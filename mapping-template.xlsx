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הנחיות" sheetId="1" state="visible" r:id="rId1"/>
    <sheet name="הזנה ב-ו" sheetId="2" state="visible" r:id="rId2"/>
    <sheet name="הזנה רכישה" sheetId="3" state="visible" r:id="rId3"/>
    <sheet name="דף הכיתה" sheetId="4" state="visible" r:id="rId4"/>
    <sheet name="כרטיס תלמיד" sheetId="5" state="visible" r:id="rId5"/>
    <sheet name="מבט בית ספרי" sheetId="6" state="visible" r:id="rId6"/>
    <sheet name="רשימו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color theme="1"/>
      <sz val="11"/>
      <scheme val="minor"/>
    </font>
    <font>
      <name val="Arial"/>
      <b val="1"/>
      <color rgb="FF1F4E79"/>
      <sz val="18"/>
    </font>
    <font>
      <name val="Arial"/>
      <color rgb="FF595959"/>
      <sz val="11"/>
    </font>
    <font>
      <name val="Arial"/>
      <b val="1"/>
      <color rgb="FF1F4E79"/>
      <sz val="14"/>
    </font>
    <font>
      <name val="Arial"/>
      <b val="1"/>
      <color rgb="FF1F4E79"/>
      <sz val="16"/>
    </font>
    <font>
      <name val="Arial"/>
      <b val="1"/>
      <color rgb="FF1F4E79"/>
      <sz val="12"/>
    </font>
    <font>
      <name val="Calibri"/>
      <color theme="1"/>
      <sz val="11"/>
    </font>
    <font>
      <name val="Arial"/>
      <color rgb="FF595959"/>
      <sz val="10"/>
    </font>
    <font>
      <name val="Arial"/>
      <b val="1"/>
      <color rgb="FF2E5F8A"/>
      <sz val="10"/>
    </font>
    <font>
      <name val="Arial"/>
      <color theme="1"/>
      <sz val="10"/>
    </font>
    <font>
      <name val="Arial"/>
      <b val="1"/>
      <color rgb="FF1F4E79"/>
      <sz val="11"/>
    </font>
    <font>
      <name val="Arial"/>
      <b val="1"/>
      <color rgb="FF1F4E79"/>
      <sz val="10"/>
    </font>
    <font/>
    <font>
      <name val="Arial"/>
      <b val="1"/>
      <color theme="1"/>
      <sz val="11"/>
    </font>
    <font>
      <name val="Arial"/>
      <b val="1"/>
      <color rgb="FFFFFFFF"/>
      <sz val="10"/>
    </font>
    <font>
      <name val="Arial"/>
      <b val="1"/>
      <color rgb="FF2E5F8A"/>
      <sz val="11"/>
    </font>
    <font>
      <name val="Arial"/>
      <color theme="1"/>
      <sz val="11"/>
    </font>
    <font>
      <name val="Arial"/>
      <b val="1"/>
      <color rgb="FFFFFFFF"/>
      <sz val="11"/>
    </font>
    <font>
      <name val="Arial"/>
      <b val="1"/>
      <color rgb="FF1F4E79"/>
      <sz val="13"/>
    </font>
    <font>
      <name val="Arial"/>
      <b val="1"/>
      <color theme="1"/>
      <sz val="9"/>
    </font>
    <font>
      <name val="Arial"/>
      <color rgb="FF000000"/>
      <sz val="10"/>
    </font>
    <font>
      <name val="Arial"/>
      <color rgb="FF7A5C00"/>
      <sz val="9"/>
    </font>
    <font>
      <name val="Arial"/>
      <color theme="1"/>
      <sz val="9"/>
    </font>
    <font>
      <name val="Arial"/>
      <i val="1"/>
      <color rgb="FF595959"/>
      <sz val="9"/>
    </font>
    <font>
      <name val="Arial"/>
      <b val="1"/>
      <color theme="1"/>
      <sz val="10"/>
    </font>
  </fonts>
  <fills count="17">
    <fill>
      <patternFill/>
    </fill>
    <fill>
      <patternFill patternType="lightGray"/>
    </fill>
    <fill>
      <patternFill patternType="solid">
        <fgColor rgb="FFF2F6FB"/>
        <bgColor rgb="FFF2F6FB"/>
      </patternFill>
    </fill>
    <fill>
      <patternFill patternType="solid">
        <fgColor rgb="FFFFF9DB"/>
        <bgColor rgb="FFFFF9DB"/>
      </patternFill>
    </fill>
    <fill>
      <patternFill patternType="solid">
        <fgColor rgb="FFEAF0F8"/>
        <bgColor rgb="FFEAF0F8"/>
      </patternFill>
    </fill>
    <fill>
      <patternFill patternType="solid">
        <fgColor rgb="FFEEF3F9"/>
        <bgColor rgb="FFEEF3F9"/>
      </patternFill>
    </fill>
    <fill>
      <patternFill patternType="solid">
        <fgColor rgb="FFF5EFE6"/>
        <bgColor rgb="FFF5EFE6"/>
      </patternFill>
    </fill>
    <fill>
      <patternFill patternType="solid">
        <fgColor rgb="FF1F4E79"/>
        <bgColor rgb="FF1F4E79"/>
      </patternFill>
    </fill>
    <fill>
      <patternFill patternType="solid">
        <fgColor rgb="FF2E5F8A"/>
        <bgColor rgb="FF2E5F8A"/>
      </patternFill>
    </fill>
    <fill>
      <patternFill patternType="solid">
        <fgColor rgb="FFFCE4E4"/>
        <bgColor rgb="FFFCE4E4"/>
      </patternFill>
    </fill>
    <fill>
      <patternFill patternType="solid">
        <fgColor rgb="FFFFF3D6"/>
        <bgColor rgb="FFFFF3D6"/>
      </patternFill>
    </fill>
    <fill>
      <patternFill patternType="solid">
        <fgColor rgb="FFE3F1E1"/>
        <bgColor rgb="FFE3F1E1"/>
      </patternFill>
    </fill>
    <fill>
      <patternFill patternType="solid">
        <fgColor rgb="FFE5E0F0"/>
        <bgColor rgb="FFE5E0F0"/>
      </patternFill>
    </fill>
    <fill>
      <patternFill patternType="solid">
        <fgColor rgb="FFEDEDED"/>
        <bgColor rgb="FFEDEDED"/>
      </patternFill>
    </fill>
    <fill>
      <patternFill patternType="solid">
        <fgColor rgb="FFF8D7DA"/>
        <bgColor rgb="FFF8D7DA"/>
      </patternFill>
    </fill>
    <fill>
      <patternFill patternType="solid">
        <fgColor rgb="FFD7ECD3"/>
        <bgColor rgb="FFD7ECD3"/>
      </patternFill>
    </fill>
    <fill>
      <patternFill patternType="solid">
        <fgColor rgb="FFEEF3F9"/>
      </patternFill>
    </fill>
  </fills>
  <borders count="8">
    <border/>
    <border>
      <bottom style="thin">
        <color rgb="FF1F4E79"/>
      </bottom>
    </border>
    <border>
      <left style="thin">
        <color rgb="FFBFCEDF"/>
      </left>
      <top style="thin">
        <color rgb="FFBFCEDF"/>
      </top>
      <bottom style="thin">
        <color rgb="FFBFCEDF"/>
      </bottom>
    </border>
    <border>
      <top style="thin">
        <color rgb="FFBFCEDF"/>
      </top>
      <bottom style="thin">
        <color rgb="FFBFCEDF"/>
      </bottom>
    </border>
    <border>
      <right style="thin">
        <color rgb="FFBFCEDF"/>
      </right>
      <top style="thin">
        <color rgb="FFBFCEDF"/>
      </top>
      <bottom style="thin">
        <color rgb="FFBFCEDF"/>
      </bottom>
    </border>
    <border>
      <left style="thin">
        <color rgb="FFBFCEDF"/>
      </left>
      <right style="thin">
        <color rgb="FFBFCEDF"/>
      </right>
      <top style="thin">
        <color rgb="FFBFCEDF"/>
      </top>
      <bottom style="thin">
        <color rgb="FFBFCEDF"/>
      </bottom>
    </border>
    <border>
      <top style="thin">
        <color rgb="FFBFCEDF"/>
      </top>
    </border>
    <border>
      <right style="thin">
        <color rgb="FFBFCEDF"/>
      </right>
      <top style="thin">
        <color rgb="FFBFCEDF"/>
      </top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 vertical="top" readingOrder="2"/>
    </xf>
    <xf numFmtId="0" fontId="6" fillId="0" borderId="0" applyAlignment="1" pivotButton="0" quotePrefix="0" xfId="0">
      <alignment horizontal="right" vertical="top" wrapText="1" readingOrder="2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right" vertical="top" readingOrder="2"/>
    </xf>
    <xf numFmtId="0" fontId="9" fillId="0" borderId="0" applyAlignment="1" pivotButton="0" quotePrefix="0" xfId="0">
      <alignment horizontal="right" vertical="top" wrapText="1" readingOrder="2"/>
    </xf>
    <xf numFmtId="0" fontId="10" fillId="0" borderId="0" applyAlignment="1" pivotButton="0" quotePrefix="0" xfId="0">
      <alignment vertical="bottom"/>
    </xf>
    <xf numFmtId="0" fontId="11" fillId="2" borderId="2" applyAlignment="1" pivotButton="0" quotePrefix="0" xfId="0">
      <alignment horizontal="center" vertical="center" readingOrder="2"/>
    </xf>
    <xf numFmtId="0" fontId="12" fillId="0" borderId="3" pivotButton="0" quotePrefix="0" xfId="0"/>
    <xf numFmtId="0" fontId="12" fillId="0" borderId="4" pivotButton="0" quotePrefix="0" xfId="0"/>
    <xf numFmtId="0" fontId="13" fillId="3" borderId="5" applyAlignment="1" pivotButton="0" quotePrefix="0" xfId="0">
      <alignment horizontal="center" vertical="bottom"/>
    </xf>
    <xf numFmtId="0" fontId="11" fillId="4" borderId="2" applyAlignment="1" pivotButton="0" quotePrefix="0" xfId="0">
      <alignment horizontal="center" vertical="center" readingOrder="2"/>
    </xf>
    <xf numFmtId="0" fontId="13" fillId="3" borderId="5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center" readingOrder="2"/>
    </xf>
    <xf numFmtId="0" fontId="11" fillId="6" borderId="2" applyAlignment="1" pivotButton="0" quotePrefix="0" xfId="0">
      <alignment horizontal="center" vertical="center" readingOrder="2"/>
    </xf>
    <xf numFmtId="0" fontId="14" fillId="7" borderId="5" applyAlignment="1" pivotButton="0" quotePrefix="0" xfId="0">
      <alignment horizontal="center" vertical="center" wrapText="1" readingOrder="2"/>
    </xf>
    <xf numFmtId="0" fontId="14" fillId="8" borderId="5" applyAlignment="1" pivotButton="0" quotePrefix="0" xfId="0">
      <alignment horizontal="center" vertical="center" wrapText="1" readingOrder="2"/>
    </xf>
    <xf numFmtId="0" fontId="15" fillId="0" borderId="0" applyAlignment="1" pivotButton="0" quotePrefix="0" xfId="0">
      <alignment vertical="bottom"/>
    </xf>
    <xf numFmtId="0" fontId="9" fillId="3" borderId="5" applyAlignment="1" pivotButton="0" quotePrefix="0" xfId="0">
      <alignment horizontal="center" vertical="center" readingOrder="2"/>
    </xf>
    <xf numFmtId="0" fontId="9" fillId="3" borderId="5" applyAlignment="1" pivotButton="0" quotePrefix="0" xfId="0">
      <alignment horizontal="center" vertical="center" readingOrder="2"/>
    </xf>
    <xf numFmtId="0" fontId="13" fillId="9" borderId="5" applyAlignment="1" pivotButton="0" quotePrefix="0" xfId="0">
      <alignment horizontal="center" vertical="center" wrapText="1" readingOrder="2"/>
    </xf>
    <xf numFmtId="0" fontId="9" fillId="3" borderId="5" applyAlignment="1" pivotButton="0" quotePrefix="0" xfId="0">
      <alignment horizontal="right" vertical="center" readingOrder="2"/>
    </xf>
    <xf numFmtId="0" fontId="9" fillId="3" borderId="5" applyAlignment="1" pivotButton="0" quotePrefix="0" xfId="0">
      <alignment horizontal="right" vertical="center" readingOrder="2"/>
    </xf>
    <xf numFmtId="0" fontId="13" fillId="5" borderId="5" applyAlignment="1" pivotButton="0" quotePrefix="0" xfId="0">
      <alignment horizontal="center" vertical="bottom"/>
    </xf>
    <xf numFmtId="9" fontId="16" fillId="5" borderId="5" applyAlignment="1" pivotButton="0" quotePrefix="0" xfId="0">
      <alignment horizontal="center" vertical="bottom"/>
    </xf>
    <xf numFmtId="0" fontId="9" fillId="0" borderId="5" applyAlignment="1" pivotButton="0" quotePrefix="0" xfId="0">
      <alignment horizontal="right" vertical="center" wrapText="1" readingOrder="2"/>
    </xf>
    <xf numFmtId="0" fontId="13" fillId="10" borderId="5" applyAlignment="1" pivotButton="0" quotePrefix="0" xfId="0">
      <alignment horizontal="center" vertical="center" wrapText="1" readingOrder="2"/>
    </xf>
    <xf numFmtId="0" fontId="13" fillId="11" borderId="5" applyAlignment="1" pivotButton="0" quotePrefix="0" xfId="0">
      <alignment horizontal="center" vertical="center" wrapText="1" readingOrder="2"/>
    </xf>
    <xf numFmtId="0" fontId="9" fillId="5" borderId="5" applyAlignment="1" pivotButton="0" quotePrefix="0" xfId="0">
      <alignment horizontal="center" vertical="center" readingOrder="2"/>
    </xf>
    <xf numFmtId="0" fontId="13" fillId="12" borderId="5" applyAlignment="1" pivotButton="0" quotePrefix="0" xfId="0">
      <alignment horizontal="center" vertical="center" wrapText="1" readingOrder="2"/>
    </xf>
    <xf numFmtId="0" fontId="13" fillId="13" borderId="5" applyAlignment="1" pivotButton="0" quotePrefix="0" xfId="0">
      <alignment horizontal="center" vertical="center" wrapText="1" readingOrder="2"/>
    </xf>
    <xf numFmtId="0" fontId="17" fillId="8" borderId="5" applyAlignment="1" pivotButton="0" quotePrefix="0" xfId="0">
      <alignment horizontal="center" vertical="bottom"/>
    </xf>
    <xf numFmtId="0" fontId="17" fillId="8" borderId="5" applyAlignment="1" pivotButton="0" quotePrefix="0" xfId="0">
      <alignment horizontal="center" vertical="bottom"/>
    </xf>
    <xf numFmtId="0" fontId="18" fillId="0" borderId="0" applyAlignment="1" pivotButton="0" quotePrefix="0" xfId="0">
      <alignment vertical="bottom"/>
    </xf>
    <xf numFmtId="0" fontId="19" fillId="9" borderId="5" applyAlignment="1" pivotButton="0" quotePrefix="0" xfId="0">
      <alignment horizontal="center" vertical="center" wrapText="1" readingOrder="2"/>
    </xf>
    <xf numFmtId="0" fontId="19" fillId="10" borderId="5" applyAlignment="1" pivotButton="0" quotePrefix="0" xfId="0">
      <alignment horizontal="center" vertical="center" wrapText="1" readingOrder="2"/>
    </xf>
    <xf numFmtId="0" fontId="19" fillId="11" borderId="5" applyAlignment="1" pivotButton="0" quotePrefix="0" xfId="0">
      <alignment horizontal="center" vertical="center" wrapText="1" readingOrder="2"/>
    </xf>
    <xf numFmtId="0" fontId="20" fillId="0" borderId="5" applyAlignment="1" pivotButton="0" quotePrefix="0" xfId="0">
      <alignment horizontal="right" vertical="bottom" readingOrder="2"/>
    </xf>
    <xf numFmtId="0" fontId="21" fillId="0" borderId="5" applyAlignment="1" pivotButton="0" quotePrefix="0" xfId="0">
      <alignment horizontal="right" vertical="bottom" readingOrder="2"/>
    </xf>
    <xf numFmtId="0" fontId="22" fillId="5" borderId="5" applyAlignment="1" pivotButton="0" quotePrefix="0" xfId="0">
      <alignment horizontal="center" vertical="center" readingOrder="2"/>
    </xf>
    <xf numFmtId="0" fontId="19" fillId="14" borderId="5" applyAlignment="1" pivotButton="0" quotePrefix="0" xfId="0">
      <alignment horizontal="center" vertical="center" wrapText="1" readingOrder="2"/>
    </xf>
    <xf numFmtId="0" fontId="19" fillId="15" borderId="5" applyAlignment="1" pivotButton="0" quotePrefix="0" xfId="0">
      <alignment horizontal="center" vertical="center" wrapText="1" readingOrder="2"/>
    </xf>
    <xf numFmtId="0" fontId="13" fillId="3" borderId="5" applyAlignment="1" pivotButton="0" quotePrefix="0" xfId="0">
      <alignment horizontal="center" vertical="bottom"/>
    </xf>
    <xf numFmtId="0" fontId="23" fillId="0" borderId="0" applyAlignment="1" pivotButton="0" quotePrefix="0" xfId="0">
      <alignment vertical="bottom"/>
    </xf>
    <xf numFmtId="0" fontId="24" fillId="2" borderId="5" applyAlignment="1" pivotButton="0" quotePrefix="0" xfId="0">
      <alignment horizontal="right" vertical="bottom" readingOrder="2"/>
    </xf>
    <xf numFmtId="0" fontId="9" fillId="5" borderId="5" applyAlignment="1" pivotButton="0" quotePrefix="0" xfId="0">
      <alignment horizontal="center" vertical="bottom" readingOrder="2"/>
    </xf>
    <xf numFmtId="9" fontId="9" fillId="5" borderId="5" applyAlignment="1" pivotButton="0" quotePrefix="0" xfId="0">
      <alignment horizontal="center" vertical="bottom" readingOrder="2"/>
    </xf>
    <xf numFmtId="0" fontId="9" fillId="3" borderId="5" applyAlignment="1" pivotButton="0" quotePrefix="0" xfId="0">
      <alignment horizontal="center" vertical="bottom"/>
    </xf>
    <xf numFmtId="0" fontId="9" fillId="0" borderId="5" applyAlignment="1" pivotButton="0" quotePrefix="0" xfId="0">
      <alignment vertical="bottom"/>
    </xf>
    <xf numFmtId="0" fontId="9" fillId="0" borderId="5" applyAlignment="1" pivotButton="0" quotePrefix="0" xfId="0">
      <alignment horizontal="center" vertical="bottom"/>
    </xf>
    <xf numFmtId="0" fontId="9" fillId="3" borderId="5" applyAlignment="1" pivotButton="0" quotePrefix="0" xfId="0">
      <alignment horizontal="center" vertical="bottom"/>
    </xf>
    <xf numFmtId="0" fontId="14" fillId="8" borderId="5" applyAlignment="1" pivotButton="0" quotePrefix="0" xfId="0">
      <alignment horizontal="right" vertical="bottom"/>
    </xf>
    <xf numFmtId="0" fontId="14" fillId="8" borderId="5" applyAlignment="1" pivotButton="0" quotePrefix="0" xfId="0">
      <alignment horizontal="center" vertical="bottom"/>
    </xf>
    <xf numFmtId="9" fontId="14" fillId="8" borderId="5" applyAlignment="1" pivotButton="0" quotePrefix="0" xfId="0">
      <alignment horizontal="center" vertical="bottom"/>
    </xf>
    <xf numFmtId="0" fontId="0" fillId="0" borderId="0" pivotButton="0" quotePrefix="0" xfId="0"/>
    <xf numFmtId="0" fontId="11" fillId="2" borderId="5" applyAlignment="1" pivotButton="0" quotePrefix="0" xfId="0">
      <alignment horizontal="center" vertical="center" readingOrder="2"/>
    </xf>
    <xf numFmtId="0" fontId="0" fillId="0" borderId="3" pivotButton="0" quotePrefix="0" xfId="0"/>
    <xf numFmtId="0" fontId="0" fillId="0" borderId="4" pivotButton="0" quotePrefix="0" xfId="0"/>
    <xf numFmtId="0" fontId="11" fillId="4" borderId="5" applyAlignment="1" pivotButton="0" quotePrefix="0" xfId="0">
      <alignment horizontal="center" vertical="center" readingOrder="2"/>
    </xf>
    <xf numFmtId="0" fontId="11" fillId="6" borderId="5" applyAlignment="1" pivotButton="0" quotePrefix="0" xfId="0">
      <alignment horizontal="center" vertical="center" readingOrder="2"/>
    </xf>
    <xf numFmtId="0" fontId="11" fillId="5" borderId="5" applyAlignment="1" pivotButton="0" quotePrefix="0" xfId="0">
      <alignment horizontal="center" vertical="center" readingOrder="2"/>
    </xf>
    <xf numFmtId="0" fontId="9" fillId="16" borderId="5" applyAlignment="1" pivotButton="0" quotePrefix="0" xfId="0">
      <alignment horizontal="center" vertical="center" readingOrder="2"/>
    </xf>
    <xf numFmtId="0" fontId="9" fillId="16" borderId="5" applyAlignment="1" pivotButton="0" quotePrefix="0" xfId="0">
      <alignment horizontal="right" vertical="center" readingOrder="2"/>
    </xf>
    <xf numFmtId="0" fontId="0" fillId="16" borderId="0" pivotButton="0" quotePrefix="0" xfId="0"/>
  </cellXfs>
  <cellStyles count="1">
    <cellStyle name="Normal" xfId="0" builtinId="0"/>
  </cellStyles>
  <dxfs count="6">
    <dxf>
      <font/>
      <fill>
        <patternFill patternType="solid">
          <fgColor rgb="FFD7ECD3"/>
          <bgColor rgb="FFD7ECD3"/>
        </patternFill>
      </fill>
      <border/>
    </dxf>
    <dxf>
      <font/>
      <fill>
        <patternFill patternType="solid">
          <fgColor rgb="FFEAF3E6"/>
          <bgColor rgb="FFEAF3E6"/>
        </patternFill>
      </fill>
      <border/>
    </dxf>
    <dxf>
      <font/>
      <fill>
        <patternFill patternType="solid">
          <fgColor rgb="FFFFF3D6"/>
          <bgColor rgb="FFFFF3D6"/>
        </patternFill>
      </fill>
      <border/>
    </dxf>
    <dxf>
      <font/>
      <fill>
        <patternFill patternType="solid">
          <fgColor rgb="FFFCE4E4"/>
          <bgColor rgb="FFFCE4E4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  <dxf>
      <font/>
      <fill>
        <patternFill patternType="solid">
          <fgColor rgb="FFE3F1E1"/>
          <bgColor rgb="FFE3F1E1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rightToLeft="1" workbookViewId="0">
      <selection activeCell="A1" sqref="A1"/>
    </sheetView>
  </sheetViews>
  <sheetFormatPr baseColWidth="8" defaultColWidth="14.43" defaultRowHeight="15" customHeight="1"/>
  <cols>
    <col width="26" customWidth="1" style="58" min="1" max="1"/>
    <col width="100" customWidth="1" style="58" min="2" max="2"/>
    <col width="8.710000000000001" customWidth="1" style="58" min="3" max="26"/>
  </cols>
  <sheetData>
    <row r="1">
      <c r="A1" s="1" t="inlineStr">
        <is>
          <t>פרופיל אורייני — מיפוי כיתתי ובית-ספרי</t>
        </is>
      </c>
    </row>
    <row r="2">
      <c r="A2" s="2" t="inlineStr">
        <is>
          <t>חינוך מיוחד  |  שני מסלולי מיפוי  ·  קריאה, שפה בעל פה וכתיבה  ·  מבנה מצטבר</t>
        </is>
      </c>
    </row>
    <row r="3"/>
    <row r="4" ht="19.5" customHeight="1" s="58">
      <c r="A4" s="5" t="inlineStr">
        <is>
          <t>עיקרון המבנה</t>
        </is>
      </c>
      <c r="B4" s="6" t="n"/>
    </row>
    <row r="5" ht="36" customHeight="1" s="58">
      <c r="A5" s="8" t="inlineStr">
        <is>
          <t>מבנה מצטבר</t>
        </is>
      </c>
      <c r="B5" s="9" t="inlineStr">
        <is>
          <t>שורה לכל תלמיד בכל פעימה, בכל שנה. אין לדרוס שורות קודמות — פעימה חדשה נרשמת בשורה חדשה. כך נשמרת ההתקדמות ואפשר לראות תנועה לאורך השנה ולאורך השנים.</t>
        </is>
      </c>
    </row>
    <row r="6" ht="19.5" customHeight="1" s="58">
      <c r="A6" s="8" t="n"/>
      <c r="B6" s="9" t="n"/>
    </row>
    <row r="7" ht="19.5" customHeight="1" s="58">
      <c r="A7" s="5" t="inlineStr">
        <is>
          <t>שני המסלולים</t>
        </is>
      </c>
      <c r="B7" s="6" t="n"/>
    </row>
    <row r="8" ht="36" customHeight="1" s="58">
      <c r="A8" s="8" t="inlineStr">
        <is>
          <t>שלב הרכישה</t>
        </is>
      </c>
      <c r="B8" s="9" t="inlineStr">
        <is>
          <t>תלמידים שטרם השלימו את רכישת יסודות הקריאה. גיליון 'הזנה רכישה', חמישה פרופילים (1 הגבוה — 5 הנמוך).</t>
        </is>
      </c>
    </row>
    <row r="9" ht="36" customHeight="1" s="58">
      <c r="A9" s="8" t="inlineStr">
        <is>
          <t>רמת ב'-ו'</t>
        </is>
      </c>
      <c r="B9" s="9" t="inlineStr">
        <is>
          <t>תלמידים שביססו את יסודות הקריאה ומפענחים. גיליון 'הזנה ב-ו', חמש קטגוריות הפרופיל האורייני.</t>
        </is>
      </c>
    </row>
    <row r="10" ht="36" customHeight="1" s="58">
      <c r="A10" s="8" t="inlineStr">
        <is>
          <t>נוהל הירידה</t>
        </is>
      </c>
      <c r="B10" s="9" t="inlineStr">
        <is>
          <t>תלמיד שאינו מוכר — מתחילים בכתב מנוקד ברמת טקסט משוערת. קורא ברהיטות — עולים לכתב לא מנוקד. מתקשה בכתב מנוקד — עוצרים, יורדים רמת טקסט ובודקים שוב, עד למציאת הרמה שבה הוא מתפקד. תלמיד שאינו מתפקד גם ברמת כיתה ב' — שייך למסלול הרכישה.</t>
        </is>
      </c>
    </row>
    <row r="11" ht="36" customHeight="1" s="58">
      <c r="A11" s="8" t="inlineStr">
        <is>
          <t>רמת הטקסט</t>
        </is>
      </c>
      <c r="B11" s="9" t="inlineStr">
        <is>
          <t>תוצאה של נוהל הירידה, ולא הערכה מוקדמת. היא אינה משפיעה על חישוב הפרופיל, אך בלעדיה אי אפשר לראות התקדמות: תלמיד יכול להישאר באותו פרופיל ולעלות רמת טקסט — וזו התקדמות אמיתית.</t>
        </is>
      </c>
    </row>
    <row r="12" ht="19.5" customHeight="1" s="58">
      <c r="A12" s="8" t="n"/>
      <c r="B12" s="9" t="n"/>
    </row>
    <row r="13" ht="19.5" customHeight="1" s="58">
      <c r="A13" s="5" t="inlineStr">
        <is>
          <t>סדר העבודה</t>
        </is>
      </c>
      <c r="B13" s="6" t="n"/>
    </row>
    <row r="14" ht="36" customHeight="1" s="58">
      <c r="A14" s="8" t="inlineStr">
        <is>
          <t>1</t>
        </is>
      </c>
      <c r="B14" s="9" t="inlineStr">
        <is>
          <t>המורה מזינה את הנתונים באפליקציית מבדקי קריאה (המקור), בזמן ההעברה. אין צורך להקליד בקובץ הזה.</t>
        </is>
      </c>
    </row>
    <row r="15" ht="36" customHeight="1" s="58">
      <c r="A15" s="8" t="inlineStr">
        <is>
          <t>2</t>
        </is>
      </c>
      <c r="B15" s="9" t="inlineStr">
        <is>
          <t>ההזנה האחרונה של כל תלמיד בכל פעימה מועתקת אוטומטית מהמקור אל גיליונות ההזנה, כולל שנת לימודים ופעימה.</t>
        </is>
      </c>
    </row>
    <row r="16" ht="36" customHeight="1" s="58">
      <c r="A16" s="8" t="inlineStr">
        <is>
          <t>3</t>
        </is>
      </c>
      <c r="B16" s="9" t="inlineStr">
        <is>
          <t>בגיליון 'דף הכיתה' בוחרים כיתה, שנה ופעימה ומקבלים את קבוצות ההוראה ואת התנועה מהפעימה הקודמת. דף זה מיועד להדפסה.</t>
        </is>
      </c>
    </row>
    <row r="17" ht="36" customHeight="1" s="58">
      <c r="A17" s="8" t="inlineStr">
        <is>
          <t>4</t>
        </is>
      </c>
      <c r="B17" s="9" t="inlineStr">
        <is>
          <t>בגיליון 'כרטיס תלמיד' בוחרים שם ורואים את כל הפעימות של אותו תלמיד לאורך השנים.</t>
        </is>
      </c>
    </row>
    <row r="18" ht="36" customHeight="1" s="58">
      <c r="A18" s="8" t="inlineStr">
        <is>
          <t>5</t>
        </is>
      </c>
      <c r="B18" s="9" t="inlineStr">
        <is>
          <t>גיליון 'מבט בית-ספרי' מרכז את שני המסלולים ומשווה בין הפעימות. אינו דורש מילוי.</t>
        </is>
      </c>
    </row>
    <row r="19" ht="19.5" customHeight="1" s="58">
      <c r="A19" s="8" t="n"/>
      <c r="B19" s="9" t="n"/>
    </row>
    <row r="20" ht="19.5" customHeight="1" s="58">
      <c r="A20" s="5" t="inlineStr">
        <is>
          <t>הפעימות</t>
        </is>
      </c>
      <c r="B20" s="6" t="n"/>
    </row>
    <row r="21" ht="36" customHeight="1" s="58">
      <c r="A21" s="8" t="inlineStr">
        <is>
          <t>קריאה</t>
        </is>
      </c>
      <c r="B21" s="9" t="inlineStr">
        <is>
          <t>שלוש פעימות: תחילת שנה · מחצית שנה · סוף השנה.</t>
        </is>
      </c>
    </row>
    <row r="22" ht="36" customHeight="1" s="58">
      <c r="A22" s="8" t="inlineStr">
        <is>
          <t>כתיבה</t>
        </is>
      </c>
      <c r="B22" s="9" t="inlineStr">
        <is>
          <t>שתי פעימות בלבד, בשדה נפרד. ניתן לסמן 'טרם נבדק' בפעימה שבה לא נבדקה כתיבה.</t>
        </is>
      </c>
    </row>
    <row r="23" ht="19.5" customHeight="1" s="58">
      <c r="A23" s="8" t="n"/>
      <c r="B23" s="9" t="n"/>
    </row>
    <row r="24" ht="19.5" customHeight="1" s="58">
      <c r="A24" s="5" t="inlineStr">
        <is>
          <t>צבעי התאים</t>
        </is>
      </c>
      <c r="B24" s="6" t="n"/>
    </row>
    <row r="25" ht="36" customHeight="1" s="58">
      <c r="A25" s="8" t="inlineStr">
        <is>
          <t>תכלת</t>
        </is>
      </c>
      <c r="B25" s="9" t="inlineStr">
        <is>
          <t>תא שמתמלא אוטומטית, מהמקור או בחישוב. אין לכתוב בו.</t>
        </is>
      </c>
    </row>
    <row r="26" ht="36" customHeight="1" s="58">
      <c r="A26" s="8" t="inlineStr">
        <is>
          <t>מזהה תלמיד</t>
        </is>
      </c>
      <c r="B26" s="9" t="inlineStr">
        <is>
          <t>כיתה ומספר תלמיד, למשל ח'1/ 5. אין שמות תלמידים בקובץ.</t>
        </is>
      </c>
    </row>
    <row r="27" ht="19.5" customHeight="1" s="58">
      <c r="A27" s="8" t="n"/>
      <c r="B27" s="9" t="n"/>
    </row>
    <row r="28" ht="19.5" customHeight="1" s="58">
      <c r="A28" s="5" t="inlineStr">
        <is>
          <t>שכבת הכתיבה — רמת ב'-ו'</t>
        </is>
      </c>
      <c r="B28" s="6" t="n"/>
    </row>
    <row r="29" ht="36" customHeight="1" s="58">
      <c r="A29" s="8" t="inlineStr">
        <is>
          <t>שני אשכולות</t>
        </is>
      </c>
      <c r="B29" s="9" t="inlineStr">
        <is>
          <t>כתיבה (מערכת הרישום): כתב · כתיב.  |  הבעה בכתב (שיח כתוב): תוכן · ארגון ולכידות · לשון.</t>
        </is>
      </c>
    </row>
    <row r="30" ht="36" customHeight="1" s="58">
      <c r="A30" s="8" t="inlineStr">
        <is>
          <t>מדוע ההפרדה</t>
        </is>
      </c>
      <c r="B30" s="9" t="inlineStr">
        <is>
          <t>הבעה בכתב מתפתחת מהשיח הדבור, הרבה לפני שהתלמיד שולט במיומנויות הכתיבה הטכניות. תלמיד עם כתיב חלש והבעה מפותחת אינו 'כתיבתו אינה מפותחת'.</t>
        </is>
      </c>
    </row>
    <row r="31" ht="36" customHeight="1" s="58">
      <c r="A31" s="8" t="inlineStr">
        <is>
          <t>ההשפעה על הפרופיל</t>
        </is>
      </c>
      <c r="B31" s="9" t="inlineStr">
        <is>
          <t>רק אשכול ההבעה בכתב משפיע על השיוך. הכתב והכתיב נאספים ומתועדים אך אינם משנים את הפרופיל.</t>
        </is>
      </c>
    </row>
    <row r="32" ht="36" customHeight="1" s="58">
      <c r="A32" s="8" t="inlineStr">
        <is>
          <t>הבעה בכתב</t>
        </is>
      </c>
      <c r="B32" s="9" t="inlineStr">
        <is>
          <t>'מפותחת' — שלושת הרכיבים ברמה העליונה.  |  'אינה מפותחת' — שניים לפחות ברמה הנמוכה.  |  אחרת — 'חלקית'.</t>
        </is>
      </c>
    </row>
    <row r="33" ht="36" customHeight="1" s="58">
      <c r="A33" s="8" t="inlineStr">
        <is>
          <t>הסוגה</t>
        </is>
      </c>
      <c r="B33" s="9" t="inlineStr">
        <is>
          <t>סיפורי · מידעי · רפלקטיבי. יש לגוון לאורך השנה — תלמיד עשוי להצליח בסוגה אחת ולהתקשות באחרת.</t>
        </is>
      </c>
    </row>
    <row r="34" ht="19.5" customHeight="1" s="58">
      <c r="A34" s="8" t="n"/>
      <c r="B34" s="9" t="n"/>
    </row>
    <row r="35" ht="19.5" customHeight="1" s="58">
      <c r="A35" s="5" t="inlineStr">
        <is>
          <t>כללי החישוב — רמת ב'-ו'</t>
        </is>
      </c>
      <c r="B35" s="6" t="n"/>
    </row>
    <row r="36" ht="36" customHeight="1" s="58">
      <c r="A36" s="8" t="inlineStr">
        <is>
          <t>איכות הקריאה</t>
        </is>
      </c>
      <c r="B36" s="9" t="inlineStr">
        <is>
          <t>'רהוטה' — דיוק, קצב ופרוזודיה תקינים.  |  'מדויקת ורציפה' — דיוק וקצב תקינים.  |  אחרת — 'אינה מדויקת או מקוטעת'.</t>
        </is>
      </c>
    </row>
    <row r="37" ht="36" customHeight="1" s="58">
      <c r="A37" s="8" t="inlineStr">
        <is>
          <t>חולשה שפתית</t>
        </is>
      </c>
      <c r="B37" s="9" t="inlineStr">
        <is>
          <t>'ניכרת' כאשר הבנת הנשמע נמוכה, או כאשר שניים לפחות מתוך שלושה — הבנת הנשמע, אוצר מילים, יכולת הבעה — אינם תקינים.</t>
        </is>
      </c>
    </row>
    <row r="38" ht="36" customHeight="1" s="58">
      <c r="A38" s="8" t="inlineStr">
        <is>
          <t>הרמה</t>
        </is>
      </c>
      <c r="B38" s="9" t="inlineStr">
        <is>
          <t>רמה א' — מיקוד בשטף / בשטף ובכישורי שפה.  |  רמה ב' — מיקוד בכישורי שפה / בהבנה והבעה.  |  רמה ג' — קוראים וכותבים מיומנים: קריאה רהוטה או מדויקת ורציפה, בלי חולשה שפתית, הבנת הנקרא תקינה והבעה בכתב מפותחת. הנגנה אינה מעכבת, ואם אינה תקינה נרשם בהערה: נדרש לעבוד על ההנגנה.</t>
        </is>
      </c>
    </row>
    <row r="39" ht="19.5" customHeight="1" s="58">
      <c r="A39" s="8" t="inlineStr">
        <is>
          <t>נתונים נדרשים</t>
        </is>
      </c>
      <c r="B39" s="9" t="inlineStr">
        <is>
          <t>לשיוך נדרשים כל הנתונים: שטף (דיוק, קצב, פרוזודיה), הבנת הנקרא, הבנת הנשמע, אוצר מילים, יכולת הבעה וכתיבה. חסר נתון: "טרם שויך".</t>
        </is>
      </c>
    </row>
    <row r="40" ht="19.5" customHeight="1" s="58">
      <c r="A40" s="5" t="inlineStr">
        <is>
          <t>כללי החישוב — שלב הרכישה</t>
        </is>
      </c>
      <c r="B40" s="6" t="n"/>
    </row>
    <row r="41" ht="36" customHeight="1" s="58">
      <c r="A41" s="8" t="inlineStr">
        <is>
          <t>המדד המכריע</t>
        </is>
      </c>
      <c r="B41" s="9" t="inlineStr">
        <is>
          <t>מספר סימני הניקוד: טרם מפענח — פרופיל 5  |  קמץ/פתח/חטף-פתח ושוואים — פרופיל 4  |  2-3 סימנים — פרופיל 3  |  4-5 סימנים — פרופיל 2  |  כל הסימנים — פרופיל 1 או 2.</t>
        </is>
      </c>
    </row>
    <row r="42" ht="36" customHeight="1" s="58">
      <c r="A42" s="8" t="inlineStr">
        <is>
          <t>ההבחנה 1 מול 2</t>
        </is>
      </c>
      <c r="B42" s="9" t="inlineStr">
        <is>
          <t>תלמיד המפענח בכל הסימנים ישויך לפרופיל 1 רק אם הוא מפיק בכתב משפטים וקטעים קצרים ומבין את הנקרא.</t>
        </is>
      </c>
    </row>
    <row r="43" ht="36" customHeight="1" s="58">
      <c r="A43" s="8" t="inlineStr">
        <is>
          <t>קבוצות ההוראה</t>
        </is>
      </c>
      <c r="B43" s="9" t="inlineStr">
        <is>
          <t>קבוצת תשתיות — פרופיל 5.  |  קבוצת רכישה — פרופילים 4-3.  |  קבוצת ביסוס — פרופילים 2-1.</t>
        </is>
      </c>
    </row>
    <row r="44" ht="15.75" customHeight="1" s="58"/>
    <row r="45" ht="15.75" customHeight="1" s="58"/>
    <row r="46" ht="15.75" customHeight="1" s="58"/>
    <row r="47" ht="15.75" customHeight="1" s="58"/>
    <row r="48" ht="15.75" customHeight="1" s="58"/>
    <row r="49" ht="15.75" customHeight="1" s="58"/>
    <row r="50" ht="15.75" customHeight="1" s="58"/>
    <row r="51" ht="15.75" customHeight="1" s="58"/>
    <row r="52" ht="15.75" customHeight="1" s="58"/>
    <row r="53" ht="15.75" customHeight="1" s="58"/>
    <row r="54" ht="15.75" customHeight="1" s="58"/>
    <row r="55" ht="15.75" customHeight="1" s="58"/>
    <row r="56" ht="15.75" customHeight="1" s="58"/>
    <row r="57" ht="15.75" customHeight="1" s="58"/>
    <row r="58" ht="15.75" customHeight="1" s="58"/>
    <row r="59" ht="15.75" customHeight="1" s="58"/>
    <row r="60" ht="15.75" customHeight="1" s="58"/>
    <row r="61" ht="15.75" customHeight="1" s="58"/>
    <row r="62" ht="15.75" customHeight="1" s="58"/>
    <row r="63" ht="15.75" customHeight="1" s="58"/>
    <row r="64" ht="15.75" customHeight="1" s="58"/>
    <row r="65" ht="15.75" customHeight="1" s="58"/>
    <row r="66" ht="15.75" customHeight="1" s="58"/>
    <row r="67" ht="15.75" customHeight="1" s="58"/>
    <row r="68" ht="15.75" customHeight="1" s="58"/>
    <row r="69" ht="15.75" customHeight="1" s="58"/>
    <row r="70" ht="15.75" customHeight="1" s="58"/>
    <row r="71" ht="15.75" customHeight="1" s="58"/>
    <row r="72" ht="15.75" customHeight="1" s="58"/>
    <row r="73" ht="15.75" customHeight="1" s="58"/>
    <row r="74" ht="15.75" customHeight="1" s="58"/>
    <row r="75" ht="15.75" customHeight="1" s="58"/>
    <row r="76" ht="15.75" customHeight="1" s="58"/>
    <row r="77" ht="15.75" customHeight="1" s="58"/>
    <row r="78" ht="15.75" customHeight="1" s="58"/>
    <row r="79" ht="15.75" customHeight="1" s="58"/>
    <row r="80" ht="15.75" customHeight="1" s="58"/>
    <row r="81" ht="15.75" customHeight="1" s="58"/>
    <row r="82" ht="15.75" customHeight="1" s="58"/>
    <row r="83" ht="15.75" customHeight="1" s="58"/>
    <row r="84" ht="15.75" customHeight="1" s="58"/>
    <row r="85" ht="15.75" customHeight="1" s="58"/>
    <row r="86" ht="15.75" customHeight="1" s="58"/>
    <row r="87" ht="15.75" customHeight="1" s="58"/>
    <row r="88" ht="15.75" customHeight="1" s="58"/>
    <row r="89" ht="15.75" customHeight="1" s="58"/>
    <row r="90" ht="15.75" customHeight="1" s="58"/>
    <row r="91" ht="15.75" customHeight="1" s="58"/>
    <row r="92" ht="15.75" customHeight="1" s="58"/>
    <row r="93" ht="15.75" customHeight="1" s="58"/>
    <row r="94" ht="15.75" customHeight="1" s="58"/>
    <row r="95" ht="15.75" customHeight="1" s="58"/>
    <row r="96" ht="15.75" customHeight="1" s="58"/>
    <row r="97" ht="15.75" customHeight="1" s="58"/>
    <row r="98" ht="15.75" customHeight="1" s="58"/>
    <row r="99" ht="15.75" customHeight="1" s="58"/>
    <row r="100" ht="15.75" customHeight="1" s="58"/>
    <row r="101" ht="15.75" customHeight="1" s="58"/>
    <row r="102" ht="15.75" customHeight="1" s="58"/>
    <row r="103" ht="15.75" customHeight="1" s="58"/>
    <row r="104" ht="15.75" customHeight="1" s="58"/>
    <row r="105" ht="15.75" customHeight="1" s="58"/>
    <row r="106" ht="15.75" customHeight="1" s="58"/>
    <row r="107" ht="15.75" customHeight="1" s="58"/>
    <row r="108" ht="15.75" customHeight="1" s="58"/>
    <row r="109" ht="15.75" customHeight="1" s="58"/>
    <row r="110" ht="15.75" customHeight="1" s="58"/>
    <row r="111" ht="15.75" customHeight="1" s="58"/>
    <row r="112" ht="15.75" customHeight="1" s="58"/>
    <row r="113" ht="15.75" customHeight="1" s="58"/>
    <row r="114" ht="15.75" customHeight="1" s="58"/>
    <row r="115" ht="15.75" customHeight="1" s="58"/>
    <row r="116" ht="15.75" customHeight="1" s="58"/>
    <row r="117" ht="15.75" customHeight="1" s="58"/>
    <row r="118" ht="15.75" customHeight="1" s="58"/>
    <row r="119" ht="15.75" customHeight="1" s="58"/>
    <row r="120" ht="15.75" customHeight="1" s="58"/>
    <row r="121" ht="15.75" customHeight="1" s="58"/>
    <row r="122" ht="15.75" customHeight="1" s="58"/>
    <row r="123" ht="15.75" customHeight="1" s="58"/>
    <row r="124" ht="15.75" customHeight="1" s="58"/>
    <row r="125" ht="15.75" customHeight="1" s="58"/>
    <row r="126" ht="15.75" customHeight="1" s="58"/>
    <row r="127" ht="15.75" customHeight="1" s="58"/>
    <row r="128" ht="15.75" customHeight="1" s="58"/>
    <row r="129" ht="15.75" customHeight="1" s="58"/>
    <row r="130" ht="15.75" customHeight="1" s="58"/>
    <row r="131" ht="15.75" customHeight="1" s="58"/>
    <row r="132" ht="15.75" customHeight="1" s="58"/>
    <row r="133" ht="15.75" customHeight="1" s="58"/>
    <row r="134" ht="15.75" customHeight="1" s="58"/>
    <row r="135" ht="15.75" customHeight="1" s="58"/>
    <row r="136" ht="15.75" customHeight="1" s="58"/>
    <row r="137" ht="15.75" customHeight="1" s="58"/>
    <row r="138" ht="15.75" customHeight="1" s="58"/>
    <row r="139" ht="15.75" customHeight="1" s="58"/>
    <row r="140" ht="15.75" customHeight="1" s="58"/>
    <row r="141" ht="15.75" customHeight="1" s="58"/>
    <row r="142" ht="15.75" customHeight="1" s="58"/>
    <row r="143" ht="15.75" customHeight="1" s="58"/>
    <row r="144" ht="15.75" customHeight="1" s="58"/>
    <row r="145" ht="15.75" customHeight="1" s="58"/>
    <row r="146" ht="15.75" customHeight="1" s="58"/>
    <row r="147" ht="15.75" customHeight="1" s="58"/>
    <row r="148" ht="15.75" customHeight="1" s="58"/>
    <row r="149" ht="15.75" customHeight="1" s="58"/>
    <row r="150" ht="15.75" customHeight="1" s="58"/>
    <row r="151" ht="15.75" customHeight="1" s="58"/>
    <row r="152" ht="15.75" customHeight="1" s="58"/>
    <row r="153" ht="15.75" customHeight="1" s="58"/>
    <row r="154" ht="15.75" customHeight="1" s="58"/>
    <row r="155" ht="15.75" customHeight="1" s="58"/>
    <row r="156" ht="15.75" customHeight="1" s="58"/>
    <row r="157" ht="15.75" customHeight="1" s="58"/>
    <row r="158" ht="15.75" customHeight="1" s="58"/>
    <row r="159" ht="15.75" customHeight="1" s="58"/>
    <row r="160" ht="15.75" customHeight="1" s="58"/>
    <row r="161" ht="15.75" customHeight="1" s="58"/>
    <row r="162" ht="15.75" customHeight="1" s="58"/>
    <row r="163" ht="15.75" customHeight="1" s="58"/>
    <row r="164" ht="15.75" customHeight="1" s="58"/>
    <row r="165" ht="15.75" customHeight="1" s="58"/>
    <row r="166" ht="15.75" customHeight="1" s="58"/>
    <row r="167" ht="15.75" customHeight="1" s="58"/>
    <row r="168" ht="15.75" customHeight="1" s="58"/>
    <row r="169" ht="15.75" customHeight="1" s="58"/>
    <row r="170" ht="15.75" customHeight="1" s="58"/>
    <row r="171" ht="15.75" customHeight="1" s="58"/>
    <row r="172" ht="15.75" customHeight="1" s="58"/>
    <row r="173" ht="15.75" customHeight="1" s="58"/>
    <row r="174" ht="15.75" customHeight="1" s="58"/>
    <row r="175" ht="15.75" customHeight="1" s="58"/>
    <row r="176" ht="15.75" customHeight="1" s="58"/>
    <row r="177" ht="15.75" customHeight="1" s="58"/>
    <row r="178" ht="15.75" customHeight="1" s="58"/>
    <row r="179" ht="15.75" customHeight="1" s="58"/>
    <row r="180" ht="15.75" customHeight="1" s="58"/>
    <row r="181" ht="15.75" customHeight="1" s="58"/>
    <row r="182" ht="15.75" customHeight="1" s="58"/>
    <row r="183" ht="15.75" customHeight="1" s="58"/>
    <row r="184" ht="15.75" customHeight="1" s="58"/>
    <row r="185" ht="15.75" customHeight="1" s="58"/>
    <row r="186" ht="15.75" customHeight="1" s="58"/>
    <row r="187" ht="15.75" customHeight="1" s="58"/>
    <row r="188" ht="15.75" customHeight="1" s="58"/>
    <row r="189" ht="15.75" customHeight="1" s="58"/>
    <row r="190" ht="15.75" customHeight="1" s="58"/>
    <row r="191" ht="15.75" customHeight="1" s="58"/>
    <row r="192" ht="15.75" customHeight="1" s="58"/>
    <row r="193" ht="15.75" customHeight="1" s="58"/>
    <row r="194" ht="15.75" customHeight="1" s="58"/>
    <row r="195" ht="15.75" customHeight="1" s="58"/>
    <row r="196" ht="15.75" customHeight="1" s="58"/>
    <row r="197" ht="15.75" customHeight="1" s="58"/>
    <row r="198" ht="15.75" customHeight="1" s="58"/>
    <row r="199" ht="15.75" customHeight="1" s="58"/>
    <row r="200" ht="15.75" customHeight="1" s="58"/>
    <row r="201" ht="15.75" customHeight="1" s="58"/>
    <row r="202" ht="15.75" customHeight="1" s="58"/>
    <row r="203" ht="15.75" customHeight="1" s="58"/>
    <row r="204" ht="15.75" customHeight="1" s="58"/>
    <row r="205" ht="15.75" customHeight="1" s="58"/>
    <row r="206" ht="15.75" customHeight="1" s="58"/>
    <row r="207" ht="15.75" customHeight="1" s="58"/>
    <row r="208" ht="15.75" customHeight="1" s="58"/>
    <row r="209" ht="15.75" customHeight="1" s="58"/>
    <row r="210" ht="15.75" customHeight="1" s="58"/>
    <row r="211" ht="15.75" customHeight="1" s="58"/>
    <row r="212" ht="15.75" customHeight="1" s="58"/>
    <row r="213" ht="15.75" customHeight="1" s="58"/>
    <row r="214" ht="15.75" customHeight="1" s="58"/>
    <row r="215" ht="15.75" customHeight="1" s="58"/>
    <row r="216" ht="15.75" customHeight="1" s="58"/>
    <row r="217" ht="15.75" customHeight="1" s="58"/>
    <row r="218" ht="15.75" customHeight="1" s="58"/>
    <row r="219" ht="15.75" customHeight="1" s="58"/>
    <row r="220" ht="15.75" customHeight="1" s="58"/>
    <row r="221" ht="15.75" customHeight="1" s="58"/>
    <row r="222" ht="15.75" customHeight="1" s="58"/>
    <row r="223" ht="15.75" customHeight="1" s="58"/>
    <row r="224" ht="15.75" customHeight="1" s="58"/>
    <row r="225" ht="15.75" customHeight="1" s="58"/>
    <row r="226" ht="15.75" customHeight="1" s="58"/>
    <row r="227" ht="15.75" customHeight="1" s="58"/>
    <row r="228" ht="15.75" customHeight="1" s="58"/>
    <row r="229" ht="15.75" customHeight="1" s="58"/>
    <row r="230" ht="15.75" customHeight="1" s="58"/>
    <row r="231" ht="15.75" customHeight="1" s="58"/>
    <row r="232" ht="15.75" customHeight="1" s="58"/>
    <row r="233" ht="15.75" customHeight="1" s="58"/>
    <row r="234" ht="15.75" customHeight="1" s="58"/>
    <row r="235" ht="15.75" customHeight="1" s="58"/>
    <row r="236" ht="15.75" customHeight="1" s="58"/>
    <row r="237" ht="15.75" customHeight="1" s="58"/>
    <row r="238" ht="15.75" customHeight="1" s="58"/>
    <row r="239" ht="15.75" customHeight="1" s="58"/>
    <row r="240" ht="15.75" customHeight="1" s="58"/>
    <row r="241" ht="15.75" customHeight="1" s="58"/>
    <row r="242" ht="15.75" customHeight="1" s="58"/>
    <row r="243" ht="15.75" customHeight="1" s="58"/>
    <row r="244" ht="15.75" customHeight="1" s="58"/>
    <row r="245" ht="15.75" customHeight="1" s="58"/>
    <row r="246" ht="15.75" customHeight="1" s="58"/>
    <row r="247" ht="15.75" customHeight="1" s="58"/>
    <row r="248" ht="15.75" customHeight="1" s="58"/>
    <row r="249" ht="15.75" customHeight="1" s="58"/>
    <row r="250" ht="15.75" customHeight="1" s="58"/>
    <row r="251" ht="15.75" customHeight="1" s="58"/>
    <row r="252" ht="15.75" customHeight="1" s="58"/>
    <row r="253" ht="15.75" customHeight="1" s="58"/>
    <row r="254" ht="15.75" customHeight="1" s="58"/>
    <row r="255" ht="15.75" customHeight="1" s="58"/>
    <row r="256" ht="15.75" customHeight="1" s="58"/>
    <row r="257" ht="15.75" customHeight="1" s="58"/>
    <row r="258" ht="15.75" customHeight="1" s="58"/>
    <row r="259" ht="15.75" customHeight="1" s="58"/>
    <row r="260" ht="15.75" customHeight="1" s="58"/>
    <row r="261" ht="15.75" customHeight="1" s="58"/>
    <row r="262" ht="15.75" customHeight="1" s="58"/>
    <row r="263" ht="15.75" customHeight="1" s="58"/>
    <row r="264" ht="15.75" customHeight="1" s="58"/>
    <row r="265" ht="15.75" customHeight="1" s="58"/>
    <row r="266" ht="15.75" customHeight="1" s="58"/>
    <row r="267" ht="15.75" customHeight="1" s="58"/>
    <row r="268" ht="15.75" customHeight="1" s="58"/>
    <row r="269" ht="15.75" customHeight="1" s="58"/>
    <row r="270" ht="15.75" customHeight="1" s="58"/>
    <row r="271" ht="15.75" customHeight="1" s="58"/>
    <row r="272" ht="15.75" customHeight="1" s="58"/>
    <row r="273" ht="15.75" customHeight="1" s="58"/>
    <row r="274" ht="15.75" customHeight="1" s="58"/>
    <row r="275" ht="15.75" customHeight="1" s="58"/>
    <row r="276" ht="15.75" customHeight="1" s="58"/>
    <row r="277" ht="15.75" customHeight="1" s="58"/>
    <row r="278" ht="15.75" customHeight="1" s="58"/>
    <row r="279" ht="15.75" customHeight="1" s="58"/>
    <row r="280" ht="15.75" customHeight="1" s="58"/>
    <row r="281" ht="15.75" customHeight="1" s="58"/>
    <row r="282" ht="15.75" customHeight="1" s="58"/>
    <row r="283" ht="15.75" customHeight="1" s="58"/>
    <row r="284" ht="15.75" customHeight="1" s="58"/>
    <row r="285" ht="15.75" customHeight="1" s="58"/>
    <row r="286" ht="15.75" customHeight="1" s="58"/>
    <row r="287" ht="15.75" customHeight="1" s="58"/>
    <row r="288" ht="15.75" customHeight="1" s="58"/>
    <row r="289" ht="15.75" customHeight="1" s="58"/>
    <row r="290" ht="15.75" customHeight="1" s="58"/>
    <row r="291" ht="15.75" customHeight="1" s="58"/>
    <row r="292" ht="15.75" customHeight="1" s="58"/>
    <row r="293" ht="15.75" customHeight="1" s="58"/>
    <row r="294" ht="15.75" customHeight="1" s="58"/>
    <row r="295" ht="15.75" customHeight="1" s="58"/>
    <row r="296" ht="15.75" customHeight="1" s="58"/>
    <row r="297" ht="15.75" customHeight="1" s="58"/>
    <row r="298" ht="15.75" customHeight="1" s="58"/>
    <row r="299" ht="15.75" customHeight="1" s="58"/>
    <row r="300" ht="15.75" customHeight="1" s="58"/>
    <row r="301" ht="15.75" customHeight="1" s="58"/>
    <row r="302" ht="15.75" customHeight="1" s="58"/>
    <row r="303" ht="15.75" customHeight="1" s="58"/>
    <row r="304" ht="15.75" customHeight="1" s="58"/>
    <row r="305" ht="15.75" customHeight="1" s="58"/>
    <row r="306" ht="15.75" customHeight="1" s="58"/>
    <row r="307" ht="15.75" customHeight="1" s="58"/>
    <row r="308" ht="15.75" customHeight="1" s="58"/>
    <row r="309" ht="15.75" customHeight="1" s="58"/>
    <row r="310" ht="15.75" customHeight="1" s="58"/>
    <row r="311" ht="15.75" customHeight="1" s="58"/>
    <row r="312" ht="15.75" customHeight="1" s="58"/>
    <row r="313" ht="15.75" customHeight="1" s="58"/>
    <row r="314" ht="15.75" customHeight="1" s="58"/>
    <row r="315" ht="15.75" customHeight="1" s="58"/>
    <row r="316" ht="15.75" customHeight="1" s="58"/>
    <row r="317" ht="15.75" customHeight="1" s="58"/>
    <row r="318" ht="15.75" customHeight="1" s="58"/>
    <row r="319" ht="15.75" customHeight="1" s="58"/>
    <row r="320" ht="15.75" customHeight="1" s="58"/>
    <row r="321" ht="15.75" customHeight="1" s="58"/>
    <row r="322" ht="15.75" customHeight="1" s="58"/>
    <row r="323" ht="15.75" customHeight="1" s="58"/>
    <row r="324" ht="15.75" customHeight="1" s="58"/>
    <row r="325" ht="15.75" customHeight="1" s="58"/>
    <row r="326" ht="15.75" customHeight="1" s="58"/>
    <row r="327" ht="15.75" customHeight="1" s="58"/>
    <row r="328" ht="15.75" customHeight="1" s="58"/>
    <row r="329" ht="15.75" customHeight="1" s="58"/>
    <row r="330" ht="15.75" customHeight="1" s="58"/>
    <row r="331" ht="15.75" customHeight="1" s="58"/>
    <row r="332" ht="15.75" customHeight="1" s="58"/>
    <row r="333" ht="15.75" customHeight="1" s="58"/>
    <row r="334" ht="15.75" customHeight="1" s="58"/>
    <row r="335" ht="15.75" customHeight="1" s="58"/>
    <row r="336" ht="15.75" customHeight="1" s="58"/>
    <row r="337" ht="15.75" customHeight="1" s="58"/>
    <row r="338" ht="15.75" customHeight="1" s="58"/>
    <row r="339" ht="15.75" customHeight="1" s="58"/>
    <row r="340" ht="15.75" customHeight="1" s="58"/>
    <row r="341" ht="15.75" customHeight="1" s="58"/>
    <row r="342" ht="15.75" customHeight="1" s="58"/>
    <row r="343" ht="15.75" customHeight="1" s="58"/>
    <row r="344" ht="15.75" customHeight="1" s="58"/>
    <row r="345" ht="15.75" customHeight="1" s="58"/>
    <row r="346" ht="15.75" customHeight="1" s="58"/>
    <row r="347" ht="15.75" customHeight="1" s="58"/>
    <row r="348" ht="15.75" customHeight="1" s="58"/>
    <row r="349" ht="15.75" customHeight="1" s="58"/>
    <row r="350" ht="15.75" customHeight="1" s="58"/>
    <row r="351" ht="15.75" customHeight="1" s="58"/>
    <row r="352" ht="15.75" customHeight="1" s="58"/>
    <row r="353" ht="15.75" customHeight="1" s="58"/>
    <row r="354" ht="15.75" customHeight="1" s="58"/>
    <row r="355" ht="15.75" customHeight="1" s="58"/>
    <row r="356" ht="15.75" customHeight="1" s="58"/>
    <row r="357" ht="15.75" customHeight="1" s="58"/>
    <row r="358" ht="15.75" customHeight="1" s="58"/>
    <row r="359" ht="15.75" customHeight="1" s="58"/>
    <row r="360" ht="15.75" customHeight="1" s="58"/>
    <row r="361" ht="15.75" customHeight="1" s="58"/>
    <row r="362" ht="15.75" customHeight="1" s="58"/>
    <row r="363" ht="15.75" customHeight="1" s="58"/>
    <row r="364" ht="15.75" customHeight="1" s="58"/>
    <row r="365" ht="15.75" customHeight="1" s="58"/>
    <row r="366" ht="15.75" customHeight="1" s="58"/>
    <row r="367" ht="15.75" customHeight="1" s="58"/>
    <row r="368" ht="15.75" customHeight="1" s="58"/>
    <row r="369" ht="15.75" customHeight="1" s="58"/>
    <row r="370" ht="15.75" customHeight="1" s="58"/>
    <row r="371" ht="15.75" customHeight="1" s="58"/>
    <row r="372" ht="15.75" customHeight="1" s="58"/>
    <row r="373" ht="15.75" customHeight="1" s="58"/>
    <row r="374" ht="15.75" customHeight="1" s="58"/>
    <row r="375" ht="15.75" customHeight="1" s="58"/>
    <row r="376" ht="15.75" customHeight="1" s="58"/>
    <row r="377" ht="15.75" customHeight="1" s="58"/>
    <row r="378" ht="15.75" customHeight="1" s="58"/>
    <row r="379" ht="15.75" customHeight="1" s="58"/>
    <row r="380" ht="15.75" customHeight="1" s="58"/>
    <row r="381" ht="15.75" customHeight="1" s="58"/>
    <row r="382" ht="15.75" customHeight="1" s="58"/>
    <row r="383" ht="15.75" customHeight="1" s="58"/>
    <row r="384" ht="15.75" customHeight="1" s="58"/>
    <row r="385" ht="15.75" customHeight="1" s="58"/>
    <row r="386" ht="15.75" customHeight="1" s="58"/>
    <row r="387" ht="15.75" customHeight="1" s="58"/>
    <row r="388" ht="15.75" customHeight="1" s="58"/>
    <row r="389" ht="15.75" customHeight="1" s="58"/>
    <row r="390" ht="15.75" customHeight="1" s="58"/>
    <row r="391" ht="15.75" customHeight="1" s="58"/>
    <row r="392" ht="15.75" customHeight="1" s="58"/>
    <row r="393" ht="15.75" customHeight="1" s="58"/>
    <row r="394" ht="15.75" customHeight="1" s="58"/>
    <row r="395" ht="15.75" customHeight="1" s="58"/>
    <row r="396" ht="15.75" customHeight="1" s="58"/>
    <row r="397" ht="15.75" customHeight="1" s="58"/>
    <row r="398" ht="15.75" customHeight="1" s="58"/>
    <row r="399" ht="15.75" customHeight="1" s="58"/>
    <row r="400" ht="15.75" customHeight="1" s="58"/>
    <row r="401" ht="15.75" customHeight="1" s="58"/>
    <row r="402" ht="15.75" customHeight="1" s="58"/>
    <row r="403" ht="15.75" customHeight="1" s="58"/>
    <row r="404" ht="15.75" customHeight="1" s="58"/>
    <row r="405" ht="15.75" customHeight="1" s="58"/>
    <row r="406" ht="15.75" customHeight="1" s="58"/>
    <row r="407" ht="15.75" customHeight="1" s="58"/>
    <row r="408" ht="15.75" customHeight="1" s="58"/>
    <row r="409" ht="15.75" customHeight="1" s="58"/>
    <row r="410" ht="15.75" customHeight="1" s="58"/>
    <row r="411" ht="15.75" customHeight="1" s="58"/>
    <row r="412" ht="15.75" customHeight="1" s="58"/>
    <row r="413" ht="15.75" customHeight="1" s="58"/>
    <row r="414" ht="15.75" customHeight="1" s="58"/>
    <row r="415" ht="15.75" customHeight="1" s="58"/>
    <row r="416" ht="15.75" customHeight="1" s="58"/>
    <row r="417" ht="15.75" customHeight="1" s="58"/>
    <row r="418" ht="15.75" customHeight="1" s="58"/>
    <row r="419" ht="15.75" customHeight="1" s="58"/>
    <row r="420" ht="15.75" customHeight="1" s="58"/>
    <row r="421" ht="15.75" customHeight="1" s="58"/>
    <row r="422" ht="15.75" customHeight="1" s="58"/>
    <row r="423" ht="15.75" customHeight="1" s="58"/>
    <row r="424" ht="15.75" customHeight="1" s="58"/>
    <row r="425" ht="15.75" customHeight="1" s="58"/>
    <row r="426" ht="15.75" customHeight="1" s="58"/>
    <row r="427" ht="15.75" customHeight="1" s="58"/>
    <row r="428" ht="15.75" customHeight="1" s="58"/>
    <row r="429" ht="15.75" customHeight="1" s="58"/>
    <row r="430" ht="15.75" customHeight="1" s="58"/>
    <row r="431" ht="15.75" customHeight="1" s="58"/>
    <row r="432" ht="15.75" customHeight="1" s="58"/>
    <row r="433" ht="15.75" customHeight="1" s="58"/>
    <row r="434" ht="15.75" customHeight="1" s="58"/>
    <row r="435" ht="15.75" customHeight="1" s="58"/>
    <row r="436" ht="15.75" customHeight="1" s="58"/>
    <row r="437" ht="15.75" customHeight="1" s="58"/>
    <row r="438" ht="15.75" customHeight="1" s="58"/>
    <row r="439" ht="15.75" customHeight="1" s="58"/>
    <row r="440" ht="15.75" customHeight="1" s="58"/>
    <row r="441" ht="15.75" customHeight="1" s="58"/>
    <row r="442" ht="15.75" customHeight="1" s="58"/>
    <row r="443" ht="15.75" customHeight="1" s="58"/>
    <row r="444" ht="15.75" customHeight="1" s="58"/>
    <row r="445" ht="15.75" customHeight="1" s="58"/>
    <row r="446" ht="15.75" customHeight="1" s="58"/>
    <row r="447" ht="15.75" customHeight="1" s="58"/>
    <row r="448" ht="15.75" customHeight="1" s="58"/>
    <row r="449" ht="15.75" customHeight="1" s="58"/>
    <row r="450" ht="15.75" customHeight="1" s="58"/>
    <row r="451" ht="15.75" customHeight="1" s="58"/>
    <row r="452" ht="15.75" customHeight="1" s="58"/>
    <row r="453" ht="15.75" customHeight="1" s="58"/>
    <row r="454" ht="15.75" customHeight="1" s="58"/>
    <row r="455" ht="15.75" customHeight="1" s="58"/>
    <row r="456" ht="15.75" customHeight="1" s="58"/>
    <row r="457" ht="15.75" customHeight="1" s="58"/>
    <row r="458" ht="15.75" customHeight="1" s="58"/>
    <row r="459" ht="15.75" customHeight="1" s="58"/>
    <row r="460" ht="15.75" customHeight="1" s="58"/>
    <row r="461" ht="15.75" customHeight="1" s="58"/>
    <row r="462" ht="15.75" customHeight="1" s="58"/>
    <row r="463" ht="15.75" customHeight="1" s="58"/>
    <row r="464" ht="15.75" customHeight="1" s="58"/>
    <row r="465" ht="15.75" customHeight="1" s="58"/>
    <row r="466" ht="15.75" customHeight="1" s="58"/>
    <row r="467" ht="15.75" customHeight="1" s="58"/>
    <row r="468" ht="15.75" customHeight="1" s="58"/>
    <row r="469" ht="15.75" customHeight="1" s="58"/>
    <row r="470" ht="15.75" customHeight="1" s="58"/>
    <row r="471" ht="15.75" customHeight="1" s="58"/>
    <row r="472" ht="15.75" customHeight="1" s="58"/>
    <row r="473" ht="15.75" customHeight="1" s="58"/>
    <row r="474" ht="15.75" customHeight="1" s="58"/>
    <row r="475" ht="15.75" customHeight="1" s="58"/>
    <row r="476" ht="15.75" customHeight="1" s="58"/>
    <row r="477" ht="15.75" customHeight="1" s="58"/>
    <row r="478" ht="15.75" customHeight="1" s="58"/>
    <row r="479" ht="15.75" customHeight="1" s="58"/>
    <row r="480" ht="15.75" customHeight="1" s="58"/>
    <row r="481" ht="15.75" customHeight="1" s="58"/>
    <row r="482" ht="15.75" customHeight="1" s="58"/>
    <row r="483" ht="15.75" customHeight="1" s="58"/>
    <row r="484" ht="15.75" customHeight="1" s="58"/>
    <row r="485" ht="15.75" customHeight="1" s="58"/>
    <row r="486" ht="15.75" customHeight="1" s="58"/>
    <row r="487" ht="15.75" customHeight="1" s="58"/>
    <row r="488" ht="15.75" customHeight="1" s="58"/>
    <row r="489" ht="15.75" customHeight="1" s="58"/>
    <row r="490" ht="15.75" customHeight="1" s="58"/>
    <row r="491" ht="15.75" customHeight="1" s="58"/>
    <row r="492" ht="15.75" customHeight="1" s="58"/>
    <row r="493" ht="15.75" customHeight="1" s="58"/>
    <row r="494" ht="15.75" customHeight="1" s="58"/>
    <row r="495" ht="15.75" customHeight="1" s="58"/>
    <row r="496" ht="15.75" customHeight="1" s="58"/>
    <row r="497" ht="15.75" customHeight="1" s="58"/>
    <row r="498" ht="15.75" customHeight="1" s="58"/>
    <row r="499" ht="15.75" customHeight="1" s="58"/>
    <row r="500" ht="15.75" customHeight="1" s="58"/>
    <row r="501" ht="15.75" customHeight="1" s="58"/>
    <row r="502" ht="15.75" customHeight="1" s="58"/>
    <row r="503" ht="15.75" customHeight="1" s="58"/>
    <row r="504" ht="15.75" customHeight="1" s="58"/>
    <row r="505" ht="15.75" customHeight="1" s="58"/>
    <row r="506" ht="15.75" customHeight="1" s="58"/>
    <row r="507" ht="15.75" customHeight="1" s="58"/>
    <row r="508" ht="15.75" customHeight="1" s="58"/>
    <row r="509" ht="15.75" customHeight="1" s="58"/>
    <row r="510" ht="15.75" customHeight="1" s="58"/>
    <row r="511" ht="15.75" customHeight="1" s="58"/>
    <row r="512" ht="15.75" customHeight="1" s="58"/>
    <row r="513" ht="15.75" customHeight="1" s="58"/>
    <row r="514" ht="15.75" customHeight="1" s="58"/>
    <row r="515" ht="15.75" customHeight="1" s="58"/>
    <row r="516" ht="15.75" customHeight="1" s="58"/>
    <row r="517" ht="15.75" customHeight="1" s="58"/>
    <row r="518" ht="15.75" customHeight="1" s="58"/>
    <row r="519" ht="15.75" customHeight="1" s="58"/>
    <row r="520" ht="15.75" customHeight="1" s="58"/>
    <row r="521" ht="15.75" customHeight="1" s="58"/>
    <row r="522" ht="15.75" customHeight="1" s="58"/>
    <row r="523" ht="15.75" customHeight="1" s="58"/>
    <row r="524" ht="15.75" customHeight="1" s="58"/>
    <row r="525" ht="15.75" customHeight="1" s="58"/>
    <row r="526" ht="15.75" customHeight="1" s="58"/>
    <row r="527" ht="15.75" customHeight="1" s="58"/>
    <row r="528" ht="15.75" customHeight="1" s="58"/>
    <row r="529" ht="15.75" customHeight="1" s="58"/>
    <row r="530" ht="15.75" customHeight="1" s="58"/>
    <row r="531" ht="15.75" customHeight="1" s="58"/>
    <row r="532" ht="15.75" customHeight="1" s="58"/>
    <row r="533" ht="15.75" customHeight="1" s="58"/>
    <row r="534" ht="15.75" customHeight="1" s="58"/>
    <row r="535" ht="15.75" customHeight="1" s="58"/>
    <row r="536" ht="15.75" customHeight="1" s="58"/>
    <row r="537" ht="15.75" customHeight="1" s="58"/>
    <row r="538" ht="15.75" customHeight="1" s="58"/>
    <row r="539" ht="15.75" customHeight="1" s="58"/>
    <row r="540" ht="15.75" customHeight="1" s="58"/>
    <row r="541" ht="15.75" customHeight="1" s="58"/>
    <row r="542" ht="15.75" customHeight="1" s="58"/>
    <row r="543" ht="15.75" customHeight="1" s="58"/>
    <row r="544" ht="15.75" customHeight="1" s="58"/>
    <row r="545" ht="15.75" customHeight="1" s="58"/>
    <row r="546" ht="15.75" customHeight="1" s="58"/>
    <row r="547" ht="15.75" customHeight="1" s="58"/>
    <row r="548" ht="15.75" customHeight="1" s="58"/>
    <row r="549" ht="15.75" customHeight="1" s="58"/>
    <row r="550" ht="15.75" customHeight="1" s="58"/>
    <row r="551" ht="15.75" customHeight="1" s="58"/>
    <row r="552" ht="15.75" customHeight="1" s="58"/>
    <row r="553" ht="15.75" customHeight="1" s="58"/>
    <row r="554" ht="15.75" customHeight="1" s="58"/>
    <row r="555" ht="15.75" customHeight="1" s="58"/>
    <row r="556" ht="15.75" customHeight="1" s="58"/>
    <row r="557" ht="15.75" customHeight="1" s="58"/>
    <row r="558" ht="15.75" customHeight="1" s="58"/>
    <row r="559" ht="15.75" customHeight="1" s="58"/>
    <row r="560" ht="15.75" customHeight="1" s="58"/>
    <row r="561" ht="15.75" customHeight="1" s="58"/>
    <row r="562" ht="15.75" customHeight="1" s="58"/>
    <row r="563" ht="15.75" customHeight="1" s="58"/>
    <row r="564" ht="15.75" customHeight="1" s="58"/>
    <row r="565" ht="15.75" customHeight="1" s="58"/>
    <row r="566" ht="15.75" customHeight="1" s="58"/>
    <row r="567" ht="15.75" customHeight="1" s="58"/>
    <row r="568" ht="15.75" customHeight="1" s="58"/>
    <row r="569" ht="15.75" customHeight="1" s="58"/>
    <row r="570" ht="15.75" customHeight="1" s="58"/>
    <row r="571" ht="15.75" customHeight="1" s="58"/>
    <row r="572" ht="15.75" customHeight="1" s="58"/>
    <row r="573" ht="15.75" customHeight="1" s="58"/>
    <row r="574" ht="15.75" customHeight="1" s="58"/>
    <row r="575" ht="15.75" customHeight="1" s="58"/>
    <row r="576" ht="15.75" customHeight="1" s="58"/>
    <row r="577" ht="15.75" customHeight="1" s="58"/>
    <row r="578" ht="15.75" customHeight="1" s="58"/>
    <row r="579" ht="15.75" customHeight="1" s="58"/>
    <row r="580" ht="15.75" customHeight="1" s="58"/>
    <row r="581" ht="15.75" customHeight="1" s="58"/>
    <row r="582" ht="15.75" customHeight="1" s="58"/>
    <row r="583" ht="15.75" customHeight="1" s="58"/>
    <row r="584" ht="15.75" customHeight="1" s="58"/>
    <row r="585" ht="15.75" customHeight="1" s="58"/>
    <row r="586" ht="15.75" customHeight="1" s="58"/>
    <row r="587" ht="15.75" customHeight="1" s="58"/>
    <row r="588" ht="15.75" customHeight="1" s="58"/>
    <row r="589" ht="15.75" customHeight="1" s="58"/>
    <row r="590" ht="15.75" customHeight="1" s="58"/>
    <row r="591" ht="15.75" customHeight="1" s="58"/>
    <row r="592" ht="15.75" customHeight="1" s="58"/>
    <row r="593" ht="15.75" customHeight="1" s="58"/>
    <row r="594" ht="15.75" customHeight="1" s="58"/>
    <row r="595" ht="15.75" customHeight="1" s="58"/>
    <row r="596" ht="15.75" customHeight="1" s="58"/>
    <row r="597" ht="15.75" customHeight="1" s="58"/>
    <row r="598" ht="15.75" customHeight="1" s="58"/>
    <row r="599" ht="15.75" customHeight="1" s="58"/>
    <row r="600" ht="15.75" customHeight="1" s="58"/>
    <row r="601" ht="15.75" customHeight="1" s="58"/>
    <row r="602" ht="15.75" customHeight="1" s="58"/>
    <row r="603" ht="15.75" customHeight="1" s="58"/>
    <row r="604" ht="15.75" customHeight="1" s="58"/>
    <row r="605" ht="15.75" customHeight="1" s="58"/>
    <row r="606" ht="15.75" customHeight="1" s="58"/>
    <row r="607" ht="15.75" customHeight="1" s="58"/>
    <row r="608" ht="15.75" customHeight="1" s="58"/>
    <row r="609" ht="15.75" customHeight="1" s="58"/>
    <row r="610" ht="15.75" customHeight="1" s="58"/>
    <row r="611" ht="15.75" customHeight="1" s="58"/>
    <row r="612" ht="15.75" customHeight="1" s="58"/>
    <row r="613" ht="15.75" customHeight="1" s="58"/>
    <row r="614" ht="15.75" customHeight="1" s="58"/>
    <row r="615" ht="15.75" customHeight="1" s="58"/>
    <row r="616" ht="15.75" customHeight="1" s="58"/>
    <row r="617" ht="15.75" customHeight="1" s="58"/>
    <row r="618" ht="15.75" customHeight="1" s="58"/>
    <row r="619" ht="15.75" customHeight="1" s="58"/>
    <row r="620" ht="15.75" customHeight="1" s="58"/>
    <row r="621" ht="15.75" customHeight="1" s="58"/>
    <row r="622" ht="15.75" customHeight="1" s="58"/>
    <row r="623" ht="15.75" customHeight="1" s="58"/>
    <row r="624" ht="15.75" customHeight="1" s="58"/>
    <row r="625" ht="15.75" customHeight="1" s="58"/>
    <row r="626" ht="15.75" customHeight="1" s="58"/>
    <row r="627" ht="15.75" customHeight="1" s="58"/>
    <row r="628" ht="15.75" customHeight="1" s="58"/>
    <row r="629" ht="15.75" customHeight="1" s="58"/>
    <row r="630" ht="15.75" customHeight="1" s="58"/>
    <row r="631" ht="15.75" customHeight="1" s="58"/>
    <row r="632" ht="15.75" customHeight="1" s="58"/>
    <row r="633" ht="15.75" customHeight="1" s="58"/>
    <row r="634" ht="15.75" customHeight="1" s="58"/>
    <row r="635" ht="15.75" customHeight="1" s="58"/>
    <row r="636" ht="15.75" customHeight="1" s="58"/>
    <row r="637" ht="15.75" customHeight="1" s="58"/>
    <row r="638" ht="15.75" customHeight="1" s="58"/>
    <row r="639" ht="15.75" customHeight="1" s="58"/>
    <row r="640" ht="15.75" customHeight="1" s="58"/>
    <row r="641" ht="15.75" customHeight="1" s="58"/>
    <row r="642" ht="15.75" customHeight="1" s="58"/>
    <row r="643" ht="15.75" customHeight="1" s="58"/>
    <row r="644" ht="15.75" customHeight="1" s="58"/>
    <row r="645" ht="15.75" customHeight="1" s="58"/>
    <row r="646" ht="15.75" customHeight="1" s="58"/>
    <row r="647" ht="15.75" customHeight="1" s="58"/>
    <row r="648" ht="15.75" customHeight="1" s="58"/>
    <row r="649" ht="15.75" customHeight="1" s="58"/>
    <row r="650" ht="15.75" customHeight="1" s="58"/>
    <row r="651" ht="15.75" customHeight="1" s="58"/>
    <row r="652" ht="15.75" customHeight="1" s="58"/>
    <row r="653" ht="15.75" customHeight="1" s="58"/>
    <row r="654" ht="15.75" customHeight="1" s="58"/>
    <row r="655" ht="15.75" customHeight="1" s="58"/>
    <row r="656" ht="15.75" customHeight="1" s="58"/>
    <row r="657" ht="15.75" customHeight="1" s="58"/>
    <row r="658" ht="15.75" customHeight="1" s="58"/>
    <row r="659" ht="15.75" customHeight="1" s="58"/>
    <row r="660" ht="15.75" customHeight="1" s="58"/>
    <row r="661" ht="15.75" customHeight="1" s="58"/>
    <row r="662" ht="15.75" customHeight="1" s="58"/>
    <row r="663" ht="15.75" customHeight="1" s="58"/>
    <row r="664" ht="15.75" customHeight="1" s="58"/>
    <row r="665" ht="15.75" customHeight="1" s="58"/>
    <row r="666" ht="15.75" customHeight="1" s="58"/>
    <row r="667" ht="15.75" customHeight="1" s="58"/>
    <row r="668" ht="15.75" customHeight="1" s="58"/>
    <row r="669" ht="15.75" customHeight="1" s="58"/>
    <row r="670" ht="15.75" customHeight="1" s="58"/>
    <row r="671" ht="15.75" customHeight="1" s="58"/>
    <row r="672" ht="15.75" customHeight="1" s="58"/>
    <row r="673" ht="15.75" customHeight="1" s="58"/>
    <row r="674" ht="15.75" customHeight="1" s="58"/>
    <row r="675" ht="15.75" customHeight="1" s="58"/>
    <row r="676" ht="15.75" customHeight="1" s="58"/>
    <row r="677" ht="15.75" customHeight="1" s="58"/>
    <row r="678" ht="15.75" customHeight="1" s="58"/>
    <row r="679" ht="15.75" customHeight="1" s="58"/>
    <row r="680" ht="15.75" customHeight="1" s="58"/>
    <row r="681" ht="15.75" customHeight="1" s="58"/>
    <row r="682" ht="15.75" customHeight="1" s="58"/>
    <row r="683" ht="15.75" customHeight="1" s="58"/>
    <row r="684" ht="15.75" customHeight="1" s="58"/>
    <row r="685" ht="15.75" customHeight="1" s="58"/>
    <row r="686" ht="15.75" customHeight="1" s="58"/>
    <row r="687" ht="15.75" customHeight="1" s="58"/>
    <row r="688" ht="15.75" customHeight="1" s="58"/>
    <row r="689" ht="15.75" customHeight="1" s="58"/>
    <row r="690" ht="15.75" customHeight="1" s="58"/>
    <row r="691" ht="15.75" customHeight="1" s="58"/>
    <row r="692" ht="15.75" customHeight="1" s="58"/>
    <row r="693" ht="15.75" customHeight="1" s="58"/>
    <row r="694" ht="15.75" customHeight="1" s="58"/>
    <row r="695" ht="15.75" customHeight="1" s="58"/>
    <row r="696" ht="15.75" customHeight="1" s="58"/>
    <row r="697" ht="15.75" customHeight="1" s="58"/>
    <row r="698" ht="15.75" customHeight="1" s="58"/>
    <row r="699" ht="15.75" customHeight="1" s="58"/>
    <row r="700" ht="15.75" customHeight="1" s="58"/>
    <row r="701" ht="15.75" customHeight="1" s="58"/>
    <row r="702" ht="15.75" customHeight="1" s="58"/>
    <row r="703" ht="15.75" customHeight="1" s="58"/>
    <row r="704" ht="15.75" customHeight="1" s="58"/>
    <row r="705" ht="15.75" customHeight="1" s="58"/>
    <row r="706" ht="15.75" customHeight="1" s="58"/>
    <row r="707" ht="15.75" customHeight="1" s="58"/>
    <row r="708" ht="15.75" customHeight="1" s="58"/>
    <row r="709" ht="15.75" customHeight="1" s="58"/>
    <row r="710" ht="15.75" customHeight="1" s="58"/>
    <row r="711" ht="15.75" customHeight="1" s="58"/>
    <row r="712" ht="15.75" customHeight="1" s="58"/>
    <row r="713" ht="15.75" customHeight="1" s="58"/>
    <row r="714" ht="15.75" customHeight="1" s="58"/>
    <row r="715" ht="15.75" customHeight="1" s="58"/>
    <row r="716" ht="15.75" customHeight="1" s="58"/>
    <row r="717" ht="15.75" customHeight="1" s="58"/>
    <row r="718" ht="15.75" customHeight="1" s="58"/>
    <row r="719" ht="15.75" customHeight="1" s="58"/>
    <row r="720" ht="15.75" customHeight="1" s="58"/>
    <row r="721" ht="15.75" customHeight="1" s="58"/>
    <row r="722" ht="15.75" customHeight="1" s="58"/>
    <row r="723" ht="15.75" customHeight="1" s="58"/>
    <row r="724" ht="15.75" customHeight="1" s="58"/>
    <row r="725" ht="15.75" customHeight="1" s="58"/>
    <row r="726" ht="15.75" customHeight="1" s="58"/>
    <row r="727" ht="15.75" customHeight="1" s="58"/>
    <row r="728" ht="15.75" customHeight="1" s="58"/>
    <row r="729" ht="15.75" customHeight="1" s="58"/>
    <row r="730" ht="15.75" customHeight="1" s="58"/>
    <row r="731" ht="15.75" customHeight="1" s="58"/>
    <row r="732" ht="15.75" customHeight="1" s="58"/>
    <row r="733" ht="15.75" customHeight="1" s="58"/>
    <row r="734" ht="15.75" customHeight="1" s="58"/>
    <row r="735" ht="15.75" customHeight="1" s="58"/>
    <row r="736" ht="15.75" customHeight="1" s="58"/>
    <row r="737" ht="15.75" customHeight="1" s="58"/>
    <row r="738" ht="15.75" customHeight="1" s="58"/>
    <row r="739" ht="15.75" customHeight="1" s="58"/>
    <row r="740" ht="15.75" customHeight="1" s="58"/>
    <row r="741" ht="15.75" customHeight="1" s="58"/>
    <row r="742" ht="15.75" customHeight="1" s="58"/>
    <row r="743" ht="15.75" customHeight="1" s="58"/>
    <row r="744" ht="15.75" customHeight="1" s="58"/>
    <row r="745" ht="15.75" customHeight="1" s="58"/>
    <row r="746" ht="15.75" customHeight="1" s="58"/>
    <row r="747" ht="15.75" customHeight="1" s="58"/>
    <row r="748" ht="15.75" customHeight="1" s="58"/>
    <row r="749" ht="15.75" customHeight="1" s="58"/>
    <row r="750" ht="15.75" customHeight="1" s="58"/>
    <row r="751" ht="15.75" customHeight="1" s="58"/>
    <row r="752" ht="15.75" customHeight="1" s="58"/>
    <row r="753" ht="15.75" customHeight="1" s="58"/>
    <row r="754" ht="15.75" customHeight="1" s="58"/>
    <row r="755" ht="15.75" customHeight="1" s="58"/>
    <row r="756" ht="15.75" customHeight="1" s="58"/>
    <row r="757" ht="15.75" customHeight="1" s="58"/>
    <row r="758" ht="15.75" customHeight="1" s="58"/>
    <row r="759" ht="15.75" customHeight="1" s="58"/>
    <row r="760" ht="15.75" customHeight="1" s="58"/>
    <row r="761" ht="15.75" customHeight="1" s="58"/>
    <row r="762" ht="15.75" customHeight="1" s="58"/>
    <row r="763" ht="15.75" customHeight="1" s="58"/>
    <row r="764" ht="15.75" customHeight="1" s="58"/>
    <row r="765" ht="15.75" customHeight="1" s="58"/>
    <row r="766" ht="15.75" customHeight="1" s="58"/>
    <row r="767" ht="15.75" customHeight="1" s="58"/>
    <row r="768" ht="15.75" customHeight="1" s="58"/>
    <row r="769" ht="15.75" customHeight="1" s="58"/>
    <row r="770" ht="15.75" customHeight="1" s="58"/>
    <row r="771" ht="15.75" customHeight="1" s="58"/>
    <row r="772" ht="15.75" customHeight="1" s="58"/>
    <row r="773" ht="15.75" customHeight="1" s="58"/>
    <row r="774" ht="15.75" customHeight="1" s="58"/>
    <row r="775" ht="15.75" customHeight="1" s="58"/>
    <row r="776" ht="15.75" customHeight="1" s="58"/>
    <row r="777" ht="15.75" customHeight="1" s="58"/>
    <row r="778" ht="15.75" customHeight="1" s="58"/>
    <row r="779" ht="15.75" customHeight="1" s="58"/>
    <row r="780" ht="15.75" customHeight="1" s="58"/>
    <row r="781" ht="15.75" customHeight="1" s="58"/>
    <row r="782" ht="15.75" customHeight="1" s="58"/>
    <row r="783" ht="15.75" customHeight="1" s="58"/>
    <row r="784" ht="15.75" customHeight="1" s="58"/>
    <row r="785" ht="15.75" customHeight="1" s="58"/>
    <row r="786" ht="15.75" customHeight="1" s="58"/>
    <row r="787" ht="15.75" customHeight="1" s="58"/>
    <row r="788" ht="15.75" customHeight="1" s="58"/>
    <row r="789" ht="15.75" customHeight="1" s="58"/>
    <row r="790" ht="15.75" customHeight="1" s="58"/>
    <row r="791" ht="15.75" customHeight="1" s="58"/>
    <row r="792" ht="15.75" customHeight="1" s="58"/>
    <row r="793" ht="15.75" customHeight="1" s="58"/>
    <row r="794" ht="15.75" customHeight="1" s="58"/>
    <row r="795" ht="15.75" customHeight="1" s="58"/>
    <row r="796" ht="15.75" customHeight="1" s="58"/>
    <row r="797" ht="15.75" customHeight="1" s="58"/>
    <row r="798" ht="15.75" customHeight="1" s="58"/>
    <row r="799" ht="15.75" customHeight="1" s="58"/>
    <row r="800" ht="15.75" customHeight="1" s="58"/>
    <row r="801" ht="15.75" customHeight="1" s="58"/>
    <row r="802" ht="15.75" customHeight="1" s="58"/>
    <row r="803" ht="15.75" customHeight="1" s="58"/>
    <row r="804" ht="15.75" customHeight="1" s="58"/>
    <row r="805" ht="15.75" customHeight="1" s="58"/>
    <row r="806" ht="15.75" customHeight="1" s="58"/>
    <row r="807" ht="15.75" customHeight="1" s="58"/>
    <row r="808" ht="15.75" customHeight="1" s="58"/>
    <row r="809" ht="15.75" customHeight="1" s="58"/>
    <row r="810" ht="15.75" customHeight="1" s="58"/>
    <row r="811" ht="15.75" customHeight="1" s="58"/>
    <row r="812" ht="15.75" customHeight="1" s="58"/>
    <row r="813" ht="15.75" customHeight="1" s="58"/>
    <row r="814" ht="15.75" customHeight="1" s="58"/>
    <row r="815" ht="15.75" customHeight="1" s="58"/>
    <row r="816" ht="15.75" customHeight="1" s="58"/>
    <row r="817" ht="15.75" customHeight="1" s="58"/>
    <row r="818" ht="15.75" customHeight="1" s="58"/>
    <row r="819" ht="15.75" customHeight="1" s="58"/>
    <row r="820" ht="15.75" customHeight="1" s="58"/>
    <row r="821" ht="15.75" customHeight="1" s="58"/>
    <row r="822" ht="15.75" customHeight="1" s="58"/>
    <row r="823" ht="15.75" customHeight="1" s="58"/>
    <row r="824" ht="15.75" customHeight="1" s="58"/>
    <row r="825" ht="15.75" customHeight="1" s="58"/>
    <row r="826" ht="15.75" customHeight="1" s="58"/>
    <row r="827" ht="15.75" customHeight="1" s="58"/>
    <row r="828" ht="15.75" customHeight="1" s="58"/>
    <row r="829" ht="15.75" customHeight="1" s="58"/>
    <row r="830" ht="15.75" customHeight="1" s="58"/>
    <row r="831" ht="15.75" customHeight="1" s="58"/>
    <row r="832" ht="15.75" customHeight="1" s="58"/>
    <row r="833" ht="15.75" customHeight="1" s="58"/>
    <row r="834" ht="15.75" customHeight="1" s="58"/>
    <row r="835" ht="15.75" customHeight="1" s="58"/>
    <row r="836" ht="15.75" customHeight="1" s="58"/>
    <row r="837" ht="15.75" customHeight="1" s="58"/>
    <row r="838" ht="15.75" customHeight="1" s="58"/>
    <row r="839" ht="15.75" customHeight="1" s="58"/>
    <row r="840" ht="15.75" customHeight="1" s="58"/>
    <row r="841" ht="15.75" customHeight="1" s="58"/>
    <row r="842" ht="15.75" customHeight="1" s="58"/>
    <row r="843" ht="15.75" customHeight="1" s="58"/>
    <row r="844" ht="15.75" customHeight="1" s="58"/>
    <row r="845" ht="15.75" customHeight="1" s="58"/>
    <row r="846" ht="15.75" customHeight="1" s="58"/>
    <row r="847" ht="15.75" customHeight="1" s="58"/>
    <row r="848" ht="15.75" customHeight="1" s="58"/>
    <row r="849" ht="15.75" customHeight="1" s="58"/>
    <row r="850" ht="15.75" customHeight="1" s="58"/>
    <row r="851" ht="15.75" customHeight="1" s="58"/>
    <row r="852" ht="15.75" customHeight="1" s="58"/>
    <row r="853" ht="15.75" customHeight="1" s="58"/>
    <row r="854" ht="15.75" customHeight="1" s="58"/>
    <row r="855" ht="15.75" customHeight="1" s="58"/>
    <row r="856" ht="15.75" customHeight="1" s="58"/>
    <row r="857" ht="15.75" customHeight="1" s="58"/>
    <row r="858" ht="15.75" customHeight="1" s="58"/>
    <row r="859" ht="15.75" customHeight="1" s="58"/>
    <row r="860" ht="15.75" customHeight="1" s="58"/>
    <row r="861" ht="15.75" customHeight="1" s="58"/>
    <row r="862" ht="15.75" customHeight="1" s="58"/>
    <row r="863" ht="15.75" customHeight="1" s="58"/>
    <row r="864" ht="15.75" customHeight="1" s="58"/>
    <row r="865" ht="15.75" customHeight="1" s="58"/>
    <row r="866" ht="15.75" customHeight="1" s="58"/>
    <row r="867" ht="15.75" customHeight="1" s="58"/>
    <row r="868" ht="15.75" customHeight="1" s="58"/>
    <row r="869" ht="15.75" customHeight="1" s="58"/>
    <row r="870" ht="15.75" customHeight="1" s="58"/>
    <row r="871" ht="15.75" customHeight="1" s="58"/>
    <row r="872" ht="15.75" customHeight="1" s="58"/>
    <row r="873" ht="15.75" customHeight="1" s="58"/>
    <row r="874" ht="15.75" customHeight="1" s="58"/>
    <row r="875" ht="15.75" customHeight="1" s="58"/>
    <row r="876" ht="15.75" customHeight="1" s="58"/>
    <row r="877" ht="15.75" customHeight="1" s="58"/>
    <row r="878" ht="15.75" customHeight="1" s="58"/>
    <row r="879" ht="15.75" customHeight="1" s="58"/>
    <row r="880" ht="15.75" customHeight="1" s="58"/>
    <row r="881" ht="15.75" customHeight="1" s="58"/>
    <row r="882" ht="15.75" customHeight="1" s="58"/>
    <row r="883" ht="15.75" customHeight="1" s="58"/>
    <row r="884" ht="15.75" customHeight="1" s="58"/>
    <row r="885" ht="15.75" customHeight="1" s="58"/>
    <row r="886" ht="15.75" customHeight="1" s="58"/>
    <row r="887" ht="15.75" customHeight="1" s="58"/>
    <row r="888" ht="15.75" customHeight="1" s="58"/>
    <row r="889" ht="15.75" customHeight="1" s="58"/>
    <row r="890" ht="15.75" customHeight="1" s="58"/>
    <row r="891" ht="15.75" customHeight="1" s="58"/>
    <row r="892" ht="15.75" customHeight="1" s="58"/>
    <row r="893" ht="15.75" customHeight="1" s="58"/>
    <row r="894" ht="15.75" customHeight="1" s="58"/>
    <row r="895" ht="15.75" customHeight="1" s="58"/>
    <row r="896" ht="15.75" customHeight="1" s="58"/>
    <row r="897" ht="15.75" customHeight="1" s="58"/>
    <row r="898" ht="15.75" customHeight="1" s="58"/>
    <row r="899" ht="15.75" customHeight="1" s="58"/>
    <row r="900" ht="15.75" customHeight="1" s="58"/>
    <row r="901" ht="15.75" customHeight="1" s="58"/>
    <row r="902" ht="15.75" customHeight="1" s="58"/>
    <row r="903" ht="15.75" customHeight="1" s="58"/>
    <row r="904" ht="15.75" customHeight="1" s="58"/>
    <row r="905" ht="15.75" customHeight="1" s="58"/>
    <row r="906" ht="15.75" customHeight="1" s="58"/>
    <row r="907" ht="15.75" customHeight="1" s="58"/>
    <row r="908" ht="15.75" customHeight="1" s="58"/>
    <row r="909" ht="15.75" customHeight="1" s="58"/>
    <row r="910" ht="15.75" customHeight="1" s="58"/>
    <row r="911" ht="15.75" customHeight="1" s="58"/>
    <row r="912" ht="15.75" customHeight="1" s="58"/>
    <row r="913" ht="15.75" customHeight="1" s="58"/>
    <row r="914" ht="15.75" customHeight="1" s="58"/>
    <row r="915" ht="15.75" customHeight="1" s="58"/>
    <row r="916" ht="15.75" customHeight="1" s="58"/>
    <row r="917" ht="15.75" customHeight="1" s="58"/>
    <row r="918" ht="15.75" customHeight="1" s="58"/>
    <row r="919" ht="15.75" customHeight="1" s="58"/>
    <row r="920" ht="15.75" customHeight="1" s="58"/>
    <row r="921" ht="15.75" customHeight="1" s="58"/>
    <row r="922" ht="15.75" customHeight="1" s="58"/>
    <row r="923" ht="15.75" customHeight="1" s="58"/>
    <row r="924" ht="15.75" customHeight="1" s="58"/>
    <row r="925" ht="15.75" customHeight="1" s="58"/>
    <row r="926" ht="15.75" customHeight="1" s="58"/>
    <row r="927" ht="15.75" customHeight="1" s="58"/>
    <row r="928" ht="15.75" customHeight="1" s="58"/>
    <row r="929" ht="15.75" customHeight="1" s="58"/>
    <row r="930" ht="15.75" customHeight="1" s="58"/>
    <row r="931" ht="15.75" customHeight="1" s="58"/>
    <row r="932" ht="15.75" customHeight="1" s="58"/>
    <row r="933" ht="15.75" customHeight="1" s="58"/>
    <row r="934" ht="15.75" customHeight="1" s="58"/>
    <row r="935" ht="15.75" customHeight="1" s="58"/>
    <row r="936" ht="15.75" customHeight="1" s="58"/>
    <row r="937" ht="15.75" customHeight="1" s="58"/>
    <row r="938" ht="15.75" customHeight="1" s="58"/>
    <row r="939" ht="15.75" customHeight="1" s="58"/>
    <row r="940" ht="15.75" customHeight="1" s="58"/>
    <row r="941" ht="15.75" customHeight="1" s="58"/>
    <row r="942" ht="15.75" customHeight="1" s="58"/>
    <row r="943" ht="15.75" customHeight="1" s="58"/>
    <row r="944" ht="15.75" customHeight="1" s="58"/>
    <row r="945" ht="15.75" customHeight="1" s="58"/>
    <row r="946" ht="15.75" customHeight="1" s="58"/>
    <row r="947" ht="15.75" customHeight="1" s="58"/>
    <row r="948" ht="15.75" customHeight="1" s="58"/>
    <row r="949" ht="15.75" customHeight="1" s="58"/>
    <row r="950" ht="15.75" customHeight="1" s="58"/>
    <row r="951" ht="15.75" customHeight="1" s="58"/>
    <row r="952" ht="15.75" customHeight="1" s="58"/>
    <row r="953" ht="15.75" customHeight="1" s="58"/>
    <row r="954" ht="15.75" customHeight="1" s="58"/>
    <row r="955" ht="15.75" customHeight="1" s="58"/>
    <row r="956" ht="15.75" customHeight="1" s="58"/>
    <row r="957" ht="15.75" customHeight="1" s="58"/>
    <row r="958" ht="15.75" customHeight="1" s="58"/>
    <row r="959" ht="15.75" customHeight="1" s="58"/>
    <row r="960" ht="15.75" customHeight="1" s="58"/>
    <row r="961" ht="15.75" customHeight="1" s="58"/>
    <row r="962" ht="15.75" customHeight="1" s="58"/>
    <row r="963" ht="15.75" customHeight="1" s="58"/>
    <row r="964" ht="15.75" customHeight="1" s="58"/>
    <row r="965" ht="15.75" customHeight="1" s="58"/>
    <row r="966" ht="15.75" customHeight="1" s="58"/>
    <row r="967" ht="15.75" customHeight="1" s="58"/>
    <row r="968" ht="15.75" customHeight="1" s="58"/>
    <row r="969" ht="15.75" customHeight="1" s="58"/>
    <row r="970" ht="15.75" customHeight="1" s="58"/>
    <row r="971" ht="15.75" customHeight="1" s="58"/>
    <row r="972" ht="15.75" customHeight="1" s="58"/>
    <row r="973" ht="15.75" customHeight="1" s="58"/>
    <row r="974" ht="15.75" customHeight="1" s="58"/>
    <row r="975" ht="15.75" customHeight="1" s="58"/>
    <row r="976" ht="15.75" customHeight="1" s="58"/>
    <row r="977" ht="15.75" customHeight="1" s="58"/>
    <row r="978" ht="15.75" customHeight="1" s="58"/>
    <row r="979" ht="15.75" customHeight="1" s="58"/>
    <row r="980" ht="15.75" customHeight="1" s="58"/>
    <row r="981" ht="15.75" customHeight="1" s="58"/>
    <row r="982" ht="15.75" customHeight="1" s="58"/>
    <row r="983" ht="15.75" customHeight="1" s="58"/>
    <row r="984" ht="15.75" customHeight="1" s="58"/>
    <row r="985" ht="15.75" customHeight="1" s="58"/>
    <row r="986" ht="15.75" customHeight="1" s="58"/>
    <row r="987" ht="15.75" customHeight="1" s="58"/>
    <row r="988" ht="15.75" customHeight="1" s="58"/>
    <row r="989" ht="15.75" customHeight="1" s="58"/>
    <row r="990" ht="15.75" customHeight="1" s="58"/>
    <row r="991" ht="15.75" customHeight="1" s="58"/>
    <row r="992" ht="15.75" customHeight="1" s="58"/>
    <row r="993" ht="15.75" customHeight="1" s="58"/>
    <row r="994" ht="15.75" customHeight="1" s="58"/>
    <row r="995" ht="15.75" customHeight="1" s="58"/>
    <row r="996" ht="15.75" customHeight="1" s="58"/>
    <row r="997" ht="15.75" customHeight="1" s="58"/>
    <row r="998" ht="15.75" customHeight="1" s="58"/>
    <row r="999" ht="15.75" customHeight="1" s="58"/>
    <row r="1000" ht="15.75" customHeight="1" s="58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505"/>
  <sheetViews>
    <sheetView showGridLines="0" rightToLeft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13" customWidth="1" style="58" min="1" max="1"/>
    <col width="10" customWidth="1" style="58" min="2" max="2"/>
    <col width="20" customWidth="1" style="58" min="3" max="3"/>
    <col width="13" customWidth="1" style="58" min="4" max="4"/>
    <col width="10" customWidth="1" style="58" min="5" max="5"/>
    <col width="13" customWidth="1" style="58" min="6" max="8"/>
    <col width="10" customWidth="1" style="58" min="9" max="10"/>
    <col width="11" customWidth="1" style="58" min="11" max="15"/>
    <col width="12" customWidth="1" style="58" min="16" max="16"/>
    <col width="13" customWidth="1" style="58" min="17" max="17"/>
    <col width="18" customWidth="1" style="58" min="18" max="18"/>
    <col width="13" customWidth="1" style="58" min="19" max="19"/>
    <col width="11" customWidth="1" style="58" min="20" max="20"/>
    <col width="10" customWidth="1" style="58" min="21" max="21"/>
    <col width="13" customWidth="1" style="58" min="22" max="22"/>
    <col width="11" customWidth="1" style="58" min="23" max="23"/>
    <col width="14" customWidth="1" style="58" min="24" max="24"/>
    <col width="15" customWidth="1" style="58" min="25" max="25"/>
    <col width="12" customWidth="1" style="58" min="26" max="27"/>
    <col width="26" customWidth="1" style="58" min="28" max="28"/>
    <col width="9" customWidth="1" style="58" min="29" max="29"/>
    <col width="20" customWidth="1" style="58" min="30" max="30"/>
    <col hidden="1" width="1" customWidth="1" style="58" min="31" max="34"/>
    <col width="12" customWidth="1" style="58" min="35" max="35"/>
    <col width="20" customWidth="1" style="58" min="36" max="36"/>
    <col width="34" customWidth="1" style="58" min="37" max="37"/>
  </cols>
  <sheetData>
    <row r="1">
      <c r="A1" s="3" t="inlineStr">
        <is>
          <t>גיליון הזנה — תפקוד אורייני ברמת כיתות ב'-ו'</t>
        </is>
      </c>
    </row>
    <row r="2">
      <c r="A2" s="7" t="inlineStr">
        <is>
          <t>שורה לכל תלמיד בכל פעימה. אין לדרוס שורות קודמות — פעימה חדשה נרשמת בשורה חדשה, וכך נשמרת ההתקדמות.</t>
        </is>
      </c>
    </row>
    <row r="3">
      <c r="A3" s="7" t="inlineStr">
        <is>
          <t>הגיליון מתמלא אוטומטית מהמקור. אין להקליד בו. העמודות התכולות הן העתקה מהמקור וחישוב.</t>
        </is>
      </c>
    </row>
    <row r="4" ht="18" customHeight="1" s="58">
      <c r="A4" s="59" t="inlineStr">
        <is>
          <t>זיהוי</t>
        </is>
      </c>
      <c r="B4" s="60" t="n"/>
      <c r="C4" s="60" t="n"/>
      <c r="D4" s="60" t="n"/>
      <c r="E4" s="60" t="n"/>
      <c r="F4" s="61" t="n"/>
      <c r="G4" s="62" t="inlineStr">
        <is>
          <t>קריאה והבנה</t>
        </is>
      </c>
      <c r="H4" s="60" t="n"/>
      <c r="I4" s="60" t="n"/>
      <c r="J4" s="60" t="n"/>
      <c r="K4" s="60" t="n"/>
      <c r="L4" s="60" t="n"/>
      <c r="M4" s="61" t="n"/>
      <c r="N4" s="59" t="inlineStr">
        <is>
          <t>שפה בעל פה</t>
        </is>
      </c>
      <c r="O4" s="60" t="n"/>
      <c r="P4" s="61" t="n"/>
      <c r="Q4" s="63" t="inlineStr">
        <is>
          <t>כתיבה</t>
        </is>
      </c>
      <c r="R4" s="60" t="n"/>
      <c r="S4" s="60" t="n"/>
      <c r="T4" s="60" t="n"/>
      <c r="U4" s="60" t="n"/>
      <c r="V4" s="60" t="n"/>
      <c r="W4" s="60" t="n"/>
      <c r="X4" s="61" t="n"/>
      <c r="Y4" s="64" t="inlineStr">
        <is>
          <t>מחושב</t>
        </is>
      </c>
      <c r="Z4" s="60" t="n"/>
      <c r="AA4" s="60" t="n"/>
      <c r="AB4" s="60" t="n"/>
      <c r="AC4" s="60" t="n"/>
      <c r="AD4" s="60" t="n"/>
      <c r="AE4" s="60" t="n"/>
      <c r="AF4" s="60" t="n"/>
      <c r="AG4" s="60" t="n"/>
      <c r="AH4" s="60" t="n"/>
      <c r="AI4" s="60" t="n"/>
      <c r="AJ4" s="61" t="n"/>
    </row>
    <row r="5" ht="37.5" customHeight="1" s="58">
      <c r="A5" s="19" t="inlineStr">
        <is>
          <t>שנת לימודים</t>
        </is>
      </c>
      <c r="B5" s="19" t="inlineStr">
        <is>
          <t>כיתה</t>
        </is>
      </c>
      <c r="C5" s="19" t="inlineStr">
        <is>
          <t>תלמיד (כיתה/מספר)</t>
        </is>
      </c>
      <c r="D5" s="19" t="inlineStr">
        <is>
          <t>מורה</t>
        </is>
      </c>
      <c r="E5" s="19" t="inlineStr">
        <is>
          <t>תאריך</t>
        </is>
      </c>
      <c r="F5" s="19" t="inlineStr">
        <is>
          <t>פעימת קריאה</t>
        </is>
      </c>
      <c r="G5" s="19" t="inlineStr">
        <is>
          <t>רמת הטקסט</t>
        </is>
      </c>
      <c r="H5" s="19" t="inlineStr">
        <is>
          <t>רמת הכתב</t>
        </is>
      </c>
      <c r="I5" s="19" t="inlineStr">
        <is>
          <t>דיוק</t>
        </is>
      </c>
      <c r="J5" s="19" t="inlineStr">
        <is>
          <t>קצב</t>
        </is>
      </c>
      <c r="K5" s="19" t="inlineStr">
        <is>
          <t>פרוזודיה</t>
        </is>
      </c>
      <c r="L5" s="19" t="inlineStr">
        <is>
          <t>הבנת הנקרא</t>
        </is>
      </c>
      <c r="M5" s="19" t="inlineStr">
        <is>
          <t>הבנת הנשמע</t>
        </is>
      </c>
      <c r="N5" s="19" t="inlineStr">
        <is>
          <t>אוצר מילים</t>
        </is>
      </c>
      <c r="O5" s="19" t="inlineStr">
        <is>
          <t>יכולת הבעה</t>
        </is>
      </c>
      <c r="P5" s="19" t="inlineStr">
        <is>
          <t>השתתפות בשיח</t>
        </is>
      </c>
      <c r="Q5" s="19" t="inlineStr">
        <is>
          <t>פעימת כתיבה</t>
        </is>
      </c>
      <c r="R5" s="19" t="inlineStr">
        <is>
          <t>הסוגה שנבדקה</t>
        </is>
      </c>
      <c r="S5" s="19" t="inlineStr">
        <is>
          <t>כתב</t>
        </is>
      </c>
      <c r="T5" s="19" t="inlineStr">
        <is>
          <t>כתיב</t>
        </is>
      </c>
      <c r="U5" s="19" t="inlineStr">
        <is>
          <t>תוכן</t>
        </is>
      </c>
      <c r="V5" s="19" t="inlineStr">
        <is>
          <t>ארגון ולכידות</t>
        </is>
      </c>
      <c r="W5" s="19" t="inlineStr">
        <is>
          <t>לשון</t>
        </is>
      </c>
      <c r="X5" s="19" t="inlineStr">
        <is>
          <t>עמדה כלפי כתיבה</t>
        </is>
      </c>
      <c r="Y5" s="20" t="inlineStr">
        <is>
          <t>איכות הקריאה</t>
        </is>
      </c>
      <c r="Z5" s="20" t="inlineStr">
        <is>
          <t>הבעה בכתב</t>
        </is>
      </c>
      <c r="AA5" s="20" t="inlineStr">
        <is>
          <t>חולשה שפתית</t>
        </is>
      </c>
      <c r="AB5" s="20" t="inlineStr">
        <is>
          <t>הפרופיל (מחושב)</t>
        </is>
      </c>
      <c r="AC5" s="20" t="inlineStr">
        <is>
          <t>הרמה</t>
        </is>
      </c>
      <c r="AD5" s="20" t="inlineStr">
        <is>
          <t>הערה לקבוצה</t>
        </is>
      </c>
      <c r="AE5" s="20" t="inlineStr">
        <is>
          <t>סדר פעימה</t>
        </is>
      </c>
      <c r="AF5" s="20" t="inlineStr">
        <is>
          <t>מפתח קבוצה</t>
        </is>
      </c>
      <c r="AG5" s="20" t="inlineStr">
        <is>
          <t>מפתח תלמיד</t>
        </is>
      </c>
      <c r="AH5" s="20" t="inlineStr">
        <is>
          <t>מפתח קודם</t>
        </is>
      </c>
      <c r="AI5" s="20" t="inlineStr">
        <is>
          <t>הרמה הקודמת</t>
        </is>
      </c>
      <c r="AJ5" s="20" t="inlineStr">
        <is>
          <t>תנועה</t>
        </is>
      </c>
      <c r="AK5" s="20" t="inlineStr">
        <is>
          <t>היבטים רגשיים והתנהגותיים</t>
        </is>
      </c>
    </row>
    <row r="6">
      <c r="A6" s="65" t="n"/>
      <c r="B6" s="65" t="n"/>
      <c r="C6" s="66" t="n"/>
      <c r="D6" s="66" t="n"/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32">
        <f>IF($C6="","",IF(COUNTA($I6:$K6)&lt;3,"— חסרים נתונים",IF(AND($I6="תקין",$J6="תקין",$K6="תקין"),"רהוטה",IF(AND($I6="תקין",$J6="תקין"),"מדויקת ורציפה","אינה מדויקת או מקוטעת"))))</f>
        <v/>
      </c>
      <c r="Z6" s="32">
        <f>IF($C6="","",IF(COUNTA($U6:$W6)&lt;3,"",IF(AND($U6="מפותח",$V6="מפותח",$W6="מפותחת"),"מפותחת",IF((--($U6="דל"))+(--($V6="אינו מפותח"))+(--($W6="דלה"))&gt;=2,"אינה מפותחת","חלקית"))))</f>
        <v/>
      </c>
      <c r="AA6" s="32">
        <f>IF($C6="","",IF(COUNTA($M6,$N6,$O6)&lt;3,"— חסרים נתונים",IF(OR($M6="נמוכה",(--($M6&lt;&gt;"תקינה"))+(--($N6&lt;&gt;"תקין"))+(--($O6&lt;&gt;"תקינה"))&gt;=2),"ניכרת","אינה ניכרת")))</f>
        <v/>
      </c>
      <c r="AB6" s="32">
        <f>IF(OR($C6="",$Y6="",$AA6="",LEFT($Y6,1)="—",LEFT($AA6,1)="—"),"",IF($Z6="","— נדרשת הערכת כתיבה",IF($L6="","— חסרה הבנת הנקרא",IF($Y6="אינה מדויקת או מקוטעת",IF($AA6="ניכרת","מיקוד בשטף הקריאה ובכישורי שפה","מיקוד בשטף קריאה"),IF($AA6="ניכרת","מיקוד בכישורי שפה",IF(AND($L6="תקינה",$Z6="מפותחת"),"קוראים וכותבים מיומנים","מיקוד בהבנה והבעה"))))))</f>
        <v/>
      </c>
      <c r="AC6" s="32">
        <f>IF(OR($AB6="",LEFT($AB6,1)="—"),"",IF(OR($AB6="מיקוד בשטף קריאה",$AB6="מיקוד בשטף הקריאה ובכישורי שפה"),"רמה א'",IF($AB6="קוראים וכותבים מיומנים","רמה ג'","רמה ב'")))</f>
        <v/>
      </c>
      <c r="AD6" s="32">
        <f>IF($AC6="","",MID(IF(AND($AC6="רמה א'",$AA6="ניכרת"),"; להוסיף עבודת אוצר מילים","")&amp;IF($Z6="אינה מפותחת","; דגש על הבעה בכתב","")&amp;IF($K6&lt;&gt;"תקין","; נדרש לעבוד על ההנגנה","")&amp;IF($AK6&lt;&gt;"","; "&amp;$AK6,""),3,400))</f>
        <v/>
      </c>
      <c r="AE6" s="32">
        <f>IF($F6="","",IF($F6="תחילת שנה",1,IF($F6="מחצית שנה",2,3)))</f>
        <v/>
      </c>
      <c r="AF6" s="32">
        <f>IF(OR($B6="",$AC6="",$A6="",$F6=""),"",$B6&amp;"|"&amp;$A6&amp;"|"&amp;$F6&amp;"|"&amp;$AC6&amp;"|"&amp;COUNTIFS($B$6:$B6,$B6,$A$6:$A6,$A6,$F$6:$F6,$F6,$AC$6:$AC6,$AC6))</f>
        <v/>
      </c>
      <c r="AG6" s="32">
        <f>IF($C6="","",$C6&amp;"|"&amp;COUNTIFS($C$6:$C6,$C6))</f>
        <v/>
      </c>
      <c r="AH6" s="32">
        <f>IF(OR($C6="",$A6="",$AE6=""),"",$C6&amp;"|"&amp;$A6&amp;"|"&amp;$AE6)</f>
        <v/>
      </c>
      <c r="AI6" s="32">
        <f>IF(OR($C6="",$AE6="",$AE6=1),"",IFERROR(INDEX($AC$6:$AC$1505,MATCH($C6&amp;"|"&amp;$A6&amp;"|"&amp;($AE6-1),$AH$6:$AH$1505,0)),""))</f>
        <v/>
      </c>
      <c r="AJ6" s="32">
        <f>IF(OR($AI6="",$AC6=""),"",IF($AI6=$AC6,"ללא שינוי","מ-"&amp;$AI6&amp;" ל-"&amp;$AC6))</f>
        <v/>
      </c>
      <c r="AK6" s="67" t="n"/>
    </row>
    <row r="7">
      <c r="A7" s="65" t="n"/>
      <c r="B7" s="65" t="n"/>
      <c r="C7" s="66" t="n"/>
      <c r="D7" s="66" t="n"/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32">
        <f>IF($C7="","",IF(COUNTA($I7:$K7)&lt;3,"— חסרים נתונים",IF(AND($I7="תקין",$J7="תקין",$K7="תקין"),"רהוטה",IF(AND($I7="תקין",$J7="תקין"),"מדויקת ורציפה","אינה מדויקת או מקוטעת"))))</f>
        <v/>
      </c>
      <c r="Z7" s="32">
        <f>IF($C7="","",IF(COUNTA($U7:$W7)&lt;3,"",IF(AND($U7="מפותח",$V7="מפותח",$W7="מפותחת"),"מפותחת",IF((--($U7="דל"))+(--($V7="אינו מפותח"))+(--($W7="דלה"))&gt;=2,"אינה מפותחת","חלקית"))))</f>
        <v/>
      </c>
      <c r="AA7" s="32">
        <f>IF($C7="","",IF(COUNTA($M7,$N7,$O7)&lt;3,"— חסרים נתונים",IF(OR($M7="נמוכה",(--($M7&lt;&gt;"תקינה"))+(--($N7&lt;&gt;"תקין"))+(--($O7&lt;&gt;"תקינה"))&gt;=2),"ניכרת","אינה ניכרת")))</f>
        <v/>
      </c>
      <c r="AB7" s="32">
        <f>IF(OR($C7="",$Y7="",$AA7="",LEFT($Y7,1)="—",LEFT($AA7,1)="—"),"",IF($Z7="","— נדרשת הערכת כתיבה",IF($L7="","— חסרה הבנת הנקרא",IF($Y7="אינה מדויקת או מקוטעת",IF($AA7="ניכרת","מיקוד בשטף הקריאה ובכישורי שפה","מיקוד בשטף קריאה"),IF($AA7="ניכרת","מיקוד בכישורי שפה",IF(AND($L7="תקינה",$Z7="מפותחת"),"קוראים וכותבים מיומנים","מיקוד בהבנה והבעה"))))))</f>
        <v/>
      </c>
      <c r="AC7" s="32">
        <f>IF(OR($AB7="",LEFT($AB7,1)="—"),"",IF(OR($AB7="מיקוד בשטף קריאה",$AB7="מיקוד בשטף הקריאה ובכישורי שפה"),"רמה א'",IF($AB7="קוראים וכותבים מיומנים","רמה ג'","רמה ב'")))</f>
        <v/>
      </c>
      <c r="AD7" s="32">
        <f>IF($AC7="","",MID(IF(AND($AC7="רמה א'",$AA7="ניכרת"),"; להוסיף עבודת אוצר מילים","")&amp;IF($Z7="אינה מפותחת","; דגש על הבעה בכתב","")&amp;IF($K7&lt;&gt;"תקין","; נדרש לעבוד על ההנגנה","")&amp;IF($AK7&lt;&gt;"","; "&amp;$AK7,""),3,400))</f>
        <v/>
      </c>
      <c r="AE7" s="32">
        <f>IF($F7="","",IF($F7="תחילת שנה",1,IF($F7="מחצית שנה",2,3)))</f>
        <v/>
      </c>
      <c r="AF7" s="32">
        <f>IF(OR($B7="",$AC7="",$A7="",$F7=""),"",$B7&amp;"|"&amp;$A7&amp;"|"&amp;$F7&amp;"|"&amp;$AC7&amp;"|"&amp;COUNTIFS($B$6:$B7,$B7,$A$6:$A7,$A7,$F$6:$F7,$F7,$AC$6:$AC7,$AC7))</f>
        <v/>
      </c>
      <c r="AG7" s="32">
        <f>IF($C7="","",$C7&amp;"|"&amp;COUNTIFS($C$6:$C7,$C7))</f>
        <v/>
      </c>
      <c r="AH7" s="32">
        <f>IF(OR($C7="",$A7="",$AE7=""),"",$C7&amp;"|"&amp;$A7&amp;"|"&amp;$AE7)</f>
        <v/>
      </c>
      <c r="AI7" s="32">
        <f>IF(OR($C7="",$AE7="",$AE7=1),"",IFERROR(INDEX($AC$6:$AC$1505,MATCH($C7&amp;"|"&amp;$A7&amp;"|"&amp;($AE7-1),$AH$6:$AH$1505,0)),""))</f>
        <v/>
      </c>
      <c r="AJ7" s="32">
        <f>IF(OR($AI7="",$AC7=""),"",IF($AI7=$AC7,"ללא שינוי","מ-"&amp;$AI7&amp;" ל-"&amp;$AC7))</f>
        <v/>
      </c>
      <c r="AK7" s="67" t="n"/>
    </row>
    <row r="8">
      <c r="A8" s="65" t="n"/>
      <c r="B8" s="65" t="n"/>
      <c r="C8" s="66" t="n"/>
      <c r="D8" s="66" t="n"/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32">
        <f>IF($C8="","",IF(COUNTA($I8:$K8)&lt;3,"— חסרים נתונים",IF(AND($I8="תקין",$J8="תקין",$K8="תקין"),"רהוטה",IF(AND($I8="תקין",$J8="תקין"),"מדויקת ורציפה","אינה מדויקת או מקוטעת"))))</f>
        <v/>
      </c>
      <c r="Z8" s="32">
        <f>IF($C8="","",IF(COUNTA($U8:$W8)&lt;3,"",IF(AND($U8="מפותח",$V8="מפותח",$W8="מפותחת"),"מפותחת",IF((--($U8="דל"))+(--($V8="אינו מפותח"))+(--($W8="דלה"))&gt;=2,"אינה מפותחת","חלקית"))))</f>
        <v/>
      </c>
      <c r="AA8" s="32">
        <f>IF($C8="","",IF(COUNTA($M8,$N8,$O8)&lt;3,"— חסרים נתונים",IF(OR($M8="נמוכה",(--($M8&lt;&gt;"תקינה"))+(--($N8&lt;&gt;"תקין"))+(--($O8&lt;&gt;"תקינה"))&gt;=2),"ניכרת","אינה ניכרת")))</f>
        <v/>
      </c>
      <c r="AB8" s="32">
        <f>IF(OR($C8="",$Y8="",$AA8="",LEFT($Y8,1)="—",LEFT($AA8,1)="—"),"",IF($Z8="","— נדרשת הערכת כתיבה",IF($L8="","— חסרה הבנת הנקרא",IF($Y8="אינה מדויקת או מקוטעת",IF($AA8="ניכרת","מיקוד בשטף הקריאה ובכישורי שפה","מיקוד בשטף קריאה"),IF($AA8="ניכרת","מיקוד בכישורי שפה",IF(AND($L8="תקינה",$Z8="מפותחת"),"קוראים וכותבים מיומנים","מיקוד בהבנה והבעה"))))))</f>
        <v/>
      </c>
      <c r="AC8" s="32">
        <f>IF(OR($AB8="",LEFT($AB8,1)="—"),"",IF(OR($AB8="מיקוד בשטף קריאה",$AB8="מיקוד בשטף הקריאה ובכישורי שפה"),"רמה א'",IF($AB8="קוראים וכותבים מיומנים","רמה ג'","רמה ב'")))</f>
        <v/>
      </c>
      <c r="AD8" s="32">
        <f>IF($AC8="","",MID(IF(AND($AC8="רמה א'",$AA8="ניכרת"),"; להוסיף עבודת אוצר מילים","")&amp;IF($Z8="אינה מפותחת","; דגש על הבעה בכתב","")&amp;IF($K8&lt;&gt;"תקין","; נדרש לעבוד על ההנגנה","")&amp;IF($AK8&lt;&gt;"","; "&amp;$AK8,""),3,400))</f>
        <v/>
      </c>
      <c r="AE8" s="32">
        <f>IF($F8="","",IF($F8="תחילת שנה",1,IF($F8="מחצית שנה",2,3)))</f>
        <v/>
      </c>
      <c r="AF8" s="32">
        <f>IF(OR($B8="",$AC8="",$A8="",$F8=""),"",$B8&amp;"|"&amp;$A8&amp;"|"&amp;$F8&amp;"|"&amp;$AC8&amp;"|"&amp;COUNTIFS($B$6:$B8,$B8,$A$6:$A8,$A8,$F$6:$F8,$F8,$AC$6:$AC8,$AC8))</f>
        <v/>
      </c>
      <c r="AG8" s="32">
        <f>IF($C8="","",$C8&amp;"|"&amp;COUNTIFS($C$6:$C8,$C8))</f>
        <v/>
      </c>
      <c r="AH8" s="32">
        <f>IF(OR($C8="",$A8="",$AE8=""),"",$C8&amp;"|"&amp;$A8&amp;"|"&amp;$AE8)</f>
        <v/>
      </c>
      <c r="AI8" s="32">
        <f>IF(OR($C8="",$AE8="",$AE8=1),"",IFERROR(INDEX($AC$6:$AC$1505,MATCH($C8&amp;"|"&amp;$A8&amp;"|"&amp;($AE8-1),$AH$6:$AH$1505,0)),""))</f>
        <v/>
      </c>
      <c r="AJ8" s="32">
        <f>IF(OR($AI8="",$AC8=""),"",IF($AI8=$AC8,"ללא שינוי","מ-"&amp;$AI8&amp;" ל-"&amp;$AC8))</f>
        <v/>
      </c>
      <c r="AK8" s="67" t="n"/>
    </row>
    <row r="9">
      <c r="A9" s="65" t="n"/>
      <c r="B9" s="65" t="n"/>
      <c r="C9" s="66" t="n"/>
      <c r="D9" s="66" t="n"/>
      <c r="E9" s="65" t="n"/>
      <c r="F9" s="65" t="n"/>
      <c r="G9" s="65" t="n"/>
      <c r="H9" s="65" t="n"/>
      <c r="I9" s="65" t="n"/>
      <c r="J9" s="65" t="n"/>
      <c r="K9" s="65" t="n"/>
      <c r="L9" s="65" t="n"/>
      <c r="M9" s="65" t="n"/>
      <c r="N9" s="65" t="n"/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32">
        <f>IF($C9="","",IF(COUNTA($I9:$K9)&lt;3,"— חסרים נתונים",IF(AND($I9="תקין",$J9="תקין",$K9="תקין"),"רהוטה",IF(AND($I9="תקין",$J9="תקין"),"מדויקת ורציפה","אינה מדויקת או מקוטעת"))))</f>
        <v/>
      </c>
      <c r="Z9" s="32">
        <f>IF($C9="","",IF(COUNTA($U9:$W9)&lt;3,"",IF(AND($U9="מפותח",$V9="מפותח",$W9="מפותחת"),"מפותחת",IF((--($U9="דל"))+(--($V9="אינו מפותח"))+(--($W9="דלה"))&gt;=2,"אינה מפותחת","חלקית"))))</f>
        <v/>
      </c>
      <c r="AA9" s="32">
        <f>IF($C9="","",IF(COUNTA($M9,$N9,$O9)&lt;3,"— חסרים נתונים",IF(OR($M9="נמוכה",(--($M9&lt;&gt;"תקינה"))+(--($N9&lt;&gt;"תקין"))+(--($O9&lt;&gt;"תקינה"))&gt;=2),"ניכרת","אינה ניכרת")))</f>
        <v/>
      </c>
      <c r="AB9" s="32">
        <f>IF(OR($C9="",$Y9="",$AA9="",LEFT($Y9,1)="—",LEFT($AA9,1)="—"),"",IF($Z9="","— נדרשת הערכת כתיבה",IF($L9="","— חסרה הבנת הנקרא",IF($Y9="אינה מדויקת או מקוטעת",IF($AA9="ניכרת","מיקוד בשטף הקריאה ובכישורי שפה","מיקוד בשטף קריאה"),IF($AA9="ניכרת","מיקוד בכישורי שפה",IF(AND($L9="תקינה",$Z9="מפותחת"),"קוראים וכותבים מיומנים","מיקוד בהבנה והבעה"))))))</f>
        <v/>
      </c>
      <c r="AC9" s="32">
        <f>IF(OR($AB9="",LEFT($AB9,1)="—"),"",IF(OR($AB9="מיקוד בשטף קריאה",$AB9="מיקוד בשטף הקריאה ובכישורי שפה"),"רמה א'",IF($AB9="קוראים וכותבים מיומנים","רמה ג'","רמה ב'")))</f>
        <v/>
      </c>
      <c r="AD9" s="32">
        <f>IF($AC9="","",MID(IF(AND($AC9="רמה א'",$AA9="ניכרת"),"; להוסיף עבודת אוצר מילים","")&amp;IF($Z9="אינה מפותחת","; דגש על הבעה בכתב","")&amp;IF($K9&lt;&gt;"תקין","; נדרש לעבוד על ההנגנה","")&amp;IF($AK9&lt;&gt;"","; "&amp;$AK9,""),3,400))</f>
        <v/>
      </c>
      <c r="AE9" s="32">
        <f>IF($F9="","",IF($F9="תחילת שנה",1,IF($F9="מחצית שנה",2,3)))</f>
        <v/>
      </c>
      <c r="AF9" s="32">
        <f>IF(OR($B9="",$AC9="",$A9="",$F9=""),"",$B9&amp;"|"&amp;$A9&amp;"|"&amp;$F9&amp;"|"&amp;$AC9&amp;"|"&amp;COUNTIFS($B$6:$B9,$B9,$A$6:$A9,$A9,$F$6:$F9,$F9,$AC$6:$AC9,$AC9))</f>
        <v/>
      </c>
      <c r="AG9" s="32">
        <f>IF($C9="","",$C9&amp;"|"&amp;COUNTIFS($C$6:$C9,$C9))</f>
        <v/>
      </c>
      <c r="AH9" s="32">
        <f>IF(OR($C9="",$A9="",$AE9=""),"",$C9&amp;"|"&amp;$A9&amp;"|"&amp;$AE9)</f>
        <v/>
      </c>
      <c r="AI9" s="32">
        <f>IF(OR($C9="",$AE9="",$AE9=1),"",IFERROR(INDEX($AC$6:$AC$1505,MATCH($C9&amp;"|"&amp;$A9&amp;"|"&amp;($AE9-1),$AH$6:$AH$1505,0)),""))</f>
        <v/>
      </c>
      <c r="AJ9" s="32">
        <f>IF(OR($AI9="",$AC9=""),"",IF($AI9=$AC9,"ללא שינוי","מ-"&amp;$AI9&amp;" ל-"&amp;$AC9))</f>
        <v/>
      </c>
      <c r="AK9" s="67" t="n"/>
    </row>
    <row r="10">
      <c r="A10" s="65" t="n"/>
      <c r="B10" s="65" t="n"/>
      <c r="C10" s="66" t="n"/>
      <c r="D10" s="66" t="n"/>
      <c r="E10" s="65" t="n"/>
      <c r="F10" s="65" t="n"/>
      <c r="G10" s="65" t="n"/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32">
        <f>IF($C10="","",IF(COUNTA($I10:$K10)&lt;3,"— חסרים נתונים",IF(AND($I10="תקין",$J10="תקין",$K10="תקין"),"רהוטה",IF(AND($I10="תקין",$J10="תקין"),"מדויקת ורציפה","אינה מדויקת או מקוטעת"))))</f>
        <v/>
      </c>
      <c r="Z10" s="32">
        <f>IF($C10="","",IF(COUNTA($U10:$W10)&lt;3,"",IF(AND($U10="מפותח",$V10="מפותח",$W10="מפותחת"),"מפותחת",IF((--($U10="דל"))+(--($V10="אינו מפותח"))+(--($W10="דלה"))&gt;=2,"אינה מפותחת","חלקית"))))</f>
        <v/>
      </c>
      <c r="AA10" s="32">
        <f>IF($C10="","",IF(COUNTA($M10,$N10,$O10)&lt;3,"— חסרים נתונים",IF(OR($M10="נמוכה",(--($M10&lt;&gt;"תקינה"))+(--($N10&lt;&gt;"תקין"))+(--($O10&lt;&gt;"תקינה"))&gt;=2),"ניכרת","אינה ניכרת")))</f>
        <v/>
      </c>
      <c r="AB10" s="32">
        <f>IF(OR($C10="",$Y10="",$AA10="",LEFT($Y10,1)="—",LEFT($AA10,1)="—"),"",IF($Z10="","— נדרשת הערכת כתיבה",IF($L10="","— חסרה הבנת הנקרא",IF($Y10="אינה מדויקת או מקוטעת",IF($AA10="ניכרת","מיקוד בשטף הקריאה ובכישורי שפה","מיקוד בשטף קריאה"),IF($AA10="ניכרת","מיקוד בכישורי שפה",IF(AND($L10="תקינה",$Z10="מפותחת"),"קוראים וכותבים מיומנים","מיקוד בהבנה והבעה"))))))</f>
        <v/>
      </c>
      <c r="AC10" s="32">
        <f>IF(OR($AB10="",LEFT($AB10,1)="—"),"",IF(OR($AB10="מיקוד בשטף קריאה",$AB10="מיקוד בשטף הקריאה ובכישורי שפה"),"רמה א'",IF($AB10="קוראים וכותבים מיומנים","רמה ג'","רמה ב'")))</f>
        <v/>
      </c>
      <c r="AD10" s="32">
        <f>IF($AC10="","",MID(IF(AND($AC10="רמה א'",$AA10="ניכרת"),"; להוסיף עבודת אוצר מילים","")&amp;IF($Z10="אינה מפותחת","; דגש על הבעה בכתב","")&amp;IF($K10&lt;&gt;"תקין","; נדרש לעבוד על ההנגנה","")&amp;IF($AK10&lt;&gt;"","; "&amp;$AK10,""),3,400))</f>
        <v/>
      </c>
      <c r="AE10" s="32">
        <f>IF($F10="","",IF($F10="תחילת שנה",1,IF($F10="מחצית שנה",2,3)))</f>
        <v/>
      </c>
      <c r="AF10" s="32">
        <f>IF(OR($B10="",$AC10="",$A10="",$F10=""),"",$B10&amp;"|"&amp;$A10&amp;"|"&amp;$F10&amp;"|"&amp;$AC10&amp;"|"&amp;COUNTIFS($B$6:$B10,$B10,$A$6:$A10,$A10,$F$6:$F10,$F10,$AC$6:$AC10,$AC10))</f>
        <v/>
      </c>
      <c r="AG10" s="32">
        <f>IF($C10="","",$C10&amp;"|"&amp;COUNTIFS($C$6:$C10,$C10))</f>
        <v/>
      </c>
      <c r="AH10" s="32">
        <f>IF(OR($C10="",$A10="",$AE10=""),"",$C10&amp;"|"&amp;$A10&amp;"|"&amp;$AE10)</f>
        <v/>
      </c>
      <c r="AI10" s="32">
        <f>IF(OR($C10="",$AE10="",$AE10=1),"",IFERROR(INDEX($AC$6:$AC$1505,MATCH($C10&amp;"|"&amp;$A10&amp;"|"&amp;($AE10-1),$AH$6:$AH$1505,0)),""))</f>
        <v/>
      </c>
      <c r="AJ10" s="32">
        <f>IF(OR($AI10="",$AC10=""),"",IF($AI10=$AC10,"ללא שינוי","מ-"&amp;$AI10&amp;" ל-"&amp;$AC10))</f>
        <v/>
      </c>
      <c r="AK10" s="67" t="n"/>
    </row>
    <row r="11">
      <c r="A11" s="65" t="n"/>
      <c r="B11" s="65" t="n"/>
      <c r="C11" s="66" t="n"/>
      <c r="D11" s="66" t="n"/>
      <c r="E11" s="65" t="n"/>
      <c r="F11" s="65" t="n"/>
      <c r="G11" s="65" t="n"/>
      <c r="H11" s="65" t="n"/>
      <c r="I11" s="65" t="n"/>
      <c r="J11" s="65" t="n"/>
      <c r="K11" s="65" t="n"/>
      <c r="L11" s="65" t="n"/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32">
        <f>IF($C11="","",IF(COUNTA($I11:$K11)&lt;3,"— חסרים נתונים",IF(AND($I11="תקין",$J11="תקין",$K11="תקין"),"רהוטה",IF(AND($I11="תקין",$J11="תקין"),"מדויקת ורציפה","אינה מדויקת או מקוטעת"))))</f>
        <v/>
      </c>
      <c r="Z11" s="32">
        <f>IF($C11="","",IF(COUNTA($U11:$W11)&lt;3,"",IF(AND($U11="מפותח",$V11="מפותח",$W11="מפותחת"),"מפותחת",IF((--($U11="דל"))+(--($V11="אינו מפותח"))+(--($W11="דלה"))&gt;=2,"אינה מפותחת","חלקית"))))</f>
        <v/>
      </c>
      <c r="AA11" s="32">
        <f>IF($C11="","",IF(COUNTA($M11,$N11,$O11)&lt;3,"— חסרים נתונים",IF(OR($M11="נמוכה",(--($M11&lt;&gt;"תקינה"))+(--($N11&lt;&gt;"תקין"))+(--($O11&lt;&gt;"תקינה"))&gt;=2),"ניכרת","אינה ניכרת")))</f>
        <v/>
      </c>
      <c r="AB11" s="32">
        <f>IF(OR($C11="",$Y11="",$AA11="",LEFT($Y11,1)="—",LEFT($AA11,1)="—"),"",IF($Z11="","— נדרשת הערכת כתיבה",IF($L11="","— חסרה הבנת הנקרא",IF($Y11="אינה מדויקת או מקוטעת",IF($AA11="ניכרת","מיקוד בשטף הקריאה ובכישורי שפה","מיקוד בשטף קריאה"),IF($AA11="ניכרת","מיקוד בכישורי שפה",IF(AND($L11="תקינה",$Z11="מפותחת"),"קוראים וכותבים מיומנים","מיקוד בהבנה והבעה"))))))</f>
        <v/>
      </c>
      <c r="AC11" s="32">
        <f>IF(OR($AB11="",LEFT($AB11,1)="—"),"",IF(OR($AB11="מיקוד בשטף קריאה",$AB11="מיקוד בשטף הקריאה ובכישורי שפה"),"רמה א'",IF($AB11="קוראים וכותבים מיומנים","רמה ג'","רמה ב'")))</f>
        <v/>
      </c>
      <c r="AD11" s="32">
        <f>IF($AC11="","",MID(IF(AND($AC11="רמה א'",$AA11="ניכרת"),"; להוסיף עבודת אוצר מילים","")&amp;IF($Z11="אינה מפותחת","; דגש על הבעה בכתב","")&amp;IF($K11&lt;&gt;"תקין","; נדרש לעבוד על ההנגנה","")&amp;IF($AK11&lt;&gt;"","; "&amp;$AK11,""),3,400))</f>
        <v/>
      </c>
      <c r="AE11" s="32">
        <f>IF($F11="","",IF($F11="תחילת שנה",1,IF($F11="מחצית שנה",2,3)))</f>
        <v/>
      </c>
      <c r="AF11" s="32">
        <f>IF(OR($B11="",$AC11="",$A11="",$F11=""),"",$B11&amp;"|"&amp;$A11&amp;"|"&amp;$F11&amp;"|"&amp;$AC11&amp;"|"&amp;COUNTIFS($B$6:$B11,$B11,$A$6:$A11,$A11,$F$6:$F11,$F11,$AC$6:$AC11,$AC11))</f>
        <v/>
      </c>
      <c r="AG11" s="32">
        <f>IF($C11="","",$C11&amp;"|"&amp;COUNTIFS($C$6:$C11,$C11))</f>
        <v/>
      </c>
      <c r="AH11" s="32">
        <f>IF(OR($C11="",$A11="",$AE11=""),"",$C11&amp;"|"&amp;$A11&amp;"|"&amp;$AE11)</f>
        <v/>
      </c>
      <c r="AI11" s="32">
        <f>IF(OR($C11="",$AE11="",$AE11=1),"",IFERROR(INDEX($AC$6:$AC$1505,MATCH($C11&amp;"|"&amp;$A11&amp;"|"&amp;($AE11-1),$AH$6:$AH$1505,0)),""))</f>
        <v/>
      </c>
      <c r="AJ11" s="32">
        <f>IF(OR($AI11="",$AC11=""),"",IF($AI11=$AC11,"ללא שינוי","מ-"&amp;$AI11&amp;" ל-"&amp;$AC11))</f>
        <v/>
      </c>
      <c r="AK11" s="67" t="n"/>
    </row>
    <row r="12">
      <c r="A12" s="65" t="n"/>
      <c r="B12" s="65" t="n"/>
      <c r="C12" s="66" t="n"/>
      <c r="D12" s="66" t="n"/>
      <c r="E12" s="65" t="n"/>
      <c r="F12" s="65" t="n"/>
      <c r="G12" s="65" t="n"/>
      <c r="H12" s="65" t="n"/>
      <c r="I12" s="65" t="n"/>
      <c r="J12" s="65" t="n"/>
      <c r="K12" s="65" t="n"/>
      <c r="L12" s="65" t="n"/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5" t="n"/>
      <c r="X12" s="65" t="n"/>
      <c r="Y12" s="32">
        <f>IF($C12="","",IF(COUNTA($I12:$K12)&lt;3,"— חסרים נתונים",IF(AND($I12="תקין",$J12="תקין",$K12="תקין"),"רהוטה",IF(AND($I12="תקין",$J12="תקין"),"מדויקת ורציפה","אינה מדויקת או מקוטעת"))))</f>
        <v/>
      </c>
      <c r="Z12" s="32">
        <f>IF($C12="","",IF(COUNTA($U12:$W12)&lt;3,"",IF(AND($U12="מפותח",$V12="מפותח",$W12="מפותחת"),"מפותחת",IF((--($U12="דל"))+(--($V12="אינו מפותח"))+(--($W12="דלה"))&gt;=2,"אינה מפותחת","חלקית"))))</f>
        <v/>
      </c>
      <c r="AA12" s="32">
        <f>IF($C12="","",IF(COUNTA($M12,$N12,$O12)&lt;3,"— חסרים נתונים",IF(OR($M12="נמוכה",(--($M12&lt;&gt;"תקינה"))+(--($N12&lt;&gt;"תקין"))+(--($O12&lt;&gt;"תקינה"))&gt;=2),"ניכרת","אינה ניכרת")))</f>
        <v/>
      </c>
      <c r="AB12" s="32">
        <f>IF(OR($C12="",$Y12="",$AA12="",LEFT($Y12,1)="—",LEFT($AA12,1)="—"),"",IF($Z12="","— נדרשת הערכת כתיבה",IF($L12="","— חסרה הבנת הנקרא",IF($Y12="אינה מדויקת או מקוטעת",IF($AA12="ניכרת","מיקוד בשטף הקריאה ובכישורי שפה","מיקוד בשטף קריאה"),IF($AA12="ניכרת","מיקוד בכישורי שפה",IF(AND($L12="תקינה",$Z12="מפותחת"),"קוראים וכותבים מיומנים","מיקוד בהבנה והבעה"))))))</f>
        <v/>
      </c>
      <c r="AC12" s="32">
        <f>IF(OR($AB12="",LEFT($AB12,1)="—"),"",IF(OR($AB12="מיקוד בשטף קריאה",$AB12="מיקוד בשטף הקריאה ובכישורי שפה"),"רמה א'",IF($AB12="קוראים וכותבים מיומנים","רמה ג'","רמה ב'")))</f>
        <v/>
      </c>
      <c r="AD12" s="32">
        <f>IF($AC12="","",MID(IF(AND($AC12="רמה א'",$AA12="ניכרת"),"; להוסיף עבודת אוצר מילים","")&amp;IF($Z12="אינה מפותחת","; דגש על הבעה בכתב","")&amp;IF($K12&lt;&gt;"תקין","; נדרש לעבוד על ההנגנה","")&amp;IF($AK12&lt;&gt;"","; "&amp;$AK12,""),3,400))</f>
        <v/>
      </c>
      <c r="AE12" s="32">
        <f>IF($F12="","",IF($F12="תחילת שנה",1,IF($F12="מחצית שנה",2,3)))</f>
        <v/>
      </c>
      <c r="AF12" s="32">
        <f>IF(OR($B12="",$AC12="",$A12="",$F12=""),"",$B12&amp;"|"&amp;$A12&amp;"|"&amp;$F12&amp;"|"&amp;$AC12&amp;"|"&amp;COUNTIFS($B$6:$B12,$B12,$A$6:$A12,$A12,$F$6:$F12,$F12,$AC$6:$AC12,$AC12))</f>
        <v/>
      </c>
      <c r="AG12" s="32">
        <f>IF($C12="","",$C12&amp;"|"&amp;COUNTIFS($C$6:$C12,$C12))</f>
        <v/>
      </c>
      <c r="AH12" s="32">
        <f>IF(OR($C12="",$A12="",$AE12=""),"",$C12&amp;"|"&amp;$A12&amp;"|"&amp;$AE12)</f>
        <v/>
      </c>
      <c r="AI12" s="32">
        <f>IF(OR($C12="",$AE12="",$AE12=1),"",IFERROR(INDEX($AC$6:$AC$1505,MATCH($C12&amp;"|"&amp;$A12&amp;"|"&amp;($AE12-1),$AH$6:$AH$1505,0)),""))</f>
        <v/>
      </c>
      <c r="AJ12" s="32">
        <f>IF(OR($AI12="",$AC12=""),"",IF($AI12=$AC12,"ללא שינוי","מ-"&amp;$AI12&amp;" ל-"&amp;$AC12))</f>
        <v/>
      </c>
      <c r="AK12" s="67" t="n"/>
    </row>
    <row r="13">
      <c r="A13" s="65" t="n"/>
      <c r="B13" s="65" t="n"/>
      <c r="C13" s="66" t="n"/>
      <c r="D13" s="66" t="n"/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32">
        <f>IF($C13="","",IF(COUNTA($I13:$K13)&lt;3,"— חסרים נתונים",IF(AND($I13="תקין",$J13="תקין",$K13="תקין"),"רהוטה",IF(AND($I13="תקין",$J13="תקין"),"מדויקת ורציפה","אינה מדויקת או מקוטעת"))))</f>
        <v/>
      </c>
      <c r="Z13" s="32">
        <f>IF($C13="","",IF(COUNTA($U13:$W13)&lt;3,"",IF(AND($U13="מפותח",$V13="מפותח",$W13="מפותחת"),"מפותחת",IF((--($U13="דל"))+(--($V13="אינו מפותח"))+(--($W13="דלה"))&gt;=2,"אינה מפותחת","חלקית"))))</f>
        <v/>
      </c>
      <c r="AA13" s="32">
        <f>IF($C13="","",IF(COUNTA($M13,$N13,$O13)&lt;3,"— חסרים נתונים",IF(OR($M13="נמוכה",(--($M13&lt;&gt;"תקינה"))+(--($N13&lt;&gt;"תקין"))+(--($O13&lt;&gt;"תקינה"))&gt;=2),"ניכרת","אינה ניכרת")))</f>
        <v/>
      </c>
      <c r="AB13" s="32">
        <f>IF(OR($C13="",$Y13="",$AA13="",LEFT($Y13,1)="—",LEFT($AA13,1)="—"),"",IF($Z13="","— נדרשת הערכת כתיבה",IF($L13="","— חסרה הבנת הנקרא",IF($Y13="אינה מדויקת או מקוטעת",IF($AA13="ניכרת","מיקוד בשטף הקריאה ובכישורי שפה","מיקוד בשטף קריאה"),IF($AA13="ניכרת","מיקוד בכישורי שפה",IF(AND($L13="תקינה",$Z13="מפותחת"),"קוראים וכותבים מיומנים","מיקוד בהבנה והבעה"))))))</f>
        <v/>
      </c>
      <c r="AC13" s="32">
        <f>IF(OR($AB13="",LEFT($AB13,1)="—"),"",IF(OR($AB13="מיקוד בשטף קריאה",$AB13="מיקוד בשטף הקריאה ובכישורי שפה"),"רמה א'",IF($AB13="קוראים וכותבים מיומנים","רמה ג'","רמה ב'")))</f>
        <v/>
      </c>
      <c r="AD13" s="32">
        <f>IF($AC13="","",MID(IF(AND($AC13="רמה א'",$AA13="ניכרת"),"; להוסיף עבודת אוצר מילים","")&amp;IF($Z13="אינה מפותחת","; דגש על הבעה בכתב","")&amp;IF($K13&lt;&gt;"תקין","; נדרש לעבוד על ההנגנה","")&amp;IF($AK13&lt;&gt;"","; "&amp;$AK13,""),3,400))</f>
        <v/>
      </c>
      <c r="AE13" s="32">
        <f>IF($F13="","",IF($F13="תחילת שנה",1,IF($F13="מחצית שנה",2,3)))</f>
        <v/>
      </c>
      <c r="AF13" s="32">
        <f>IF(OR($B13="",$AC13="",$A13="",$F13=""),"",$B13&amp;"|"&amp;$A13&amp;"|"&amp;$F13&amp;"|"&amp;$AC13&amp;"|"&amp;COUNTIFS($B$6:$B13,$B13,$A$6:$A13,$A13,$F$6:$F13,$F13,$AC$6:$AC13,$AC13))</f>
        <v/>
      </c>
      <c r="AG13" s="32">
        <f>IF($C13="","",$C13&amp;"|"&amp;COUNTIFS($C$6:$C13,$C13))</f>
        <v/>
      </c>
      <c r="AH13" s="32">
        <f>IF(OR($C13="",$A13="",$AE13=""),"",$C13&amp;"|"&amp;$A13&amp;"|"&amp;$AE13)</f>
        <v/>
      </c>
      <c r="AI13" s="32">
        <f>IF(OR($C13="",$AE13="",$AE13=1),"",IFERROR(INDEX($AC$6:$AC$1505,MATCH($C13&amp;"|"&amp;$A13&amp;"|"&amp;($AE13-1),$AH$6:$AH$1505,0)),""))</f>
        <v/>
      </c>
      <c r="AJ13" s="32">
        <f>IF(OR($AI13="",$AC13=""),"",IF($AI13=$AC13,"ללא שינוי","מ-"&amp;$AI13&amp;" ל-"&amp;$AC13))</f>
        <v/>
      </c>
      <c r="AK13" s="67" t="n"/>
    </row>
    <row r="14">
      <c r="A14" s="65" t="n"/>
      <c r="B14" s="65" t="n"/>
      <c r="C14" s="66" t="n"/>
      <c r="D14" s="66" t="n"/>
      <c r="E14" s="65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32">
        <f>IF($C14="","",IF(COUNTA($I14:$K14)&lt;3,"— חסרים נתונים",IF(AND($I14="תקין",$J14="תקין",$K14="תקין"),"רהוטה",IF(AND($I14="תקין",$J14="תקין"),"מדויקת ורציפה","אינה מדויקת או מקוטעת"))))</f>
        <v/>
      </c>
      <c r="Z14" s="32">
        <f>IF($C14="","",IF(COUNTA($U14:$W14)&lt;3,"",IF(AND($U14="מפותח",$V14="מפותח",$W14="מפותחת"),"מפותחת",IF((--($U14="דל"))+(--($V14="אינו מפותח"))+(--($W14="דלה"))&gt;=2,"אינה מפותחת","חלקית"))))</f>
        <v/>
      </c>
      <c r="AA14" s="32">
        <f>IF($C14="","",IF(COUNTA($M14,$N14,$O14)&lt;3,"— חסרים נתונים",IF(OR($M14="נמוכה",(--($M14&lt;&gt;"תקינה"))+(--($N14&lt;&gt;"תקין"))+(--($O14&lt;&gt;"תקינה"))&gt;=2),"ניכרת","אינה ניכרת")))</f>
        <v/>
      </c>
      <c r="AB14" s="32">
        <f>IF(OR($C14="",$Y14="",$AA14="",LEFT($Y14,1)="—",LEFT($AA14,1)="—"),"",IF($Z14="","— נדרשת הערכת כתיבה",IF($L14="","— חסרה הבנת הנקרא",IF($Y14="אינה מדויקת או מקוטעת",IF($AA14="ניכרת","מיקוד בשטף הקריאה ובכישורי שפה","מיקוד בשטף קריאה"),IF($AA14="ניכרת","מיקוד בכישורי שפה",IF(AND($L14="תקינה",$Z14="מפותחת"),"קוראים וכותבים מיומנים","מיקוד בהבנה והבעה"))))))</f>
        <v/>
      </c>
      <c r="AC14" s="32">
        <f>IF(OR($AB14="",LEFT($AB14,1)="—"),"",IF(OR($AB14="מיקוד בשטף קריאה",$AB14="מיקוד בשטף הקריאה ובכישורי שפה"),"רמה א'",IF($AB14="קוראים וכותבים מיומנים","רמה ג'","רמה ב'")))</f>
        <v/>
      </c>
      <c r="AD14" s="32">
        <f>IF($AC14="","",MID(IF(AND($AC14="רמה א'",$AA14="ניכרת"),"; להוסיף עבודת אוצר מילים","")&amp;IF($Z14="אינה מפותחת","; דגש על הבעה בכתב","")&amp;IF($K14&lt;&gt;"תקין","; נדרש לעבוד על ההנגנה","")&amp;IF($AK14&lt;&gt;"","; "&amp;$AK14,""),3,400))</f>
        <v/>
      </c>
      <c r="AE14" s="32">
        <f>IF($F14="","",IF($F14="תחילת שנה",1,IF($F14="מחצית שנה",2,3)))</f>
        <v/>
      </c>
      <c r="AF14" s="32">
        <f>IF(OR($B14="",$AC14="",$A14="",$F14=""),"",$B14&amp;"|"&amp;$A14&amp;"|"&amp;$F14&amp;"|"&amp;$AC14&amp;"|"&amp;COUNTIFS($B$6:$B14,$B14,$A$6:$A14,$A14,$F$6:$F14,$F14,$AC$6:$AC14,$AC14))</f>
        <v/>
      </c>
      <c r="AG14" s="32">
        <f>IF($C14="","",$C14&amp;"|"&amp;COUNTIFS($C$6:$C14,$C14))</f>
        <v/>
      </c>
      <c r="AH14" s="32">
        <f>IF(OR($C14="",$A14="",$AE14=""),"",$C14&amp;"|"&amp;$A14&amp;"|"&amp;$AE14)</f>
        <v/>
      </c>
      <c r="AI14" s="32">
        <f>IF(OR($C14="",$AE14="",$AE14=1),"",IFERROR(INDEX($AC$6:$AC$1505,MATCH($C14&amp;"|"&amp;$A14&amp;"|"&amp;($AE14-1),$AH$6:$AH$1505,0)),""))</f>
        <v/>
      </c>
      <c r="AJ14" s="32">
        <f>IF(OR($AI14="",$AC14=""),"",IF($AI14=$AC14,"ללא שינוי","מ-"&amp;$AI14&amp;" ל-"&amp;$AC14))</f>
        <v/>
      </c>
      <c r="AK14" s="67" t="n"/>
    </row>
    <row r="15">
      <c r="A15" s="65" t="n"/>
      <c r="B15" s="65" t="n"/>
      <c r="C15" s="66" t="n"/>
      <c r="D15" s="66" t="n"/>
      <c r="E15" s="65" t="n"/>
      <c r="F15" s="65" t="n"/>
      <c r="G15" s="65" t="n"/>
      <c r="H15" s="65" t="n"/>
      <c r="I15" s="65" t="n"/>
      <c r="J15" s="65" t="n"/>
      <c r="K15" s="65" t="n"/>
      <c r="L15" s="65" t="n"/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32">
        <f>IF($C15="","",IF(COUNTA($I15:$K15)&lt;3,"— חסרים נתונים",IF(AND($I15="תקין",$J15="תקין",$K15="תקין"),"רהוטה",IF(AND($I15="תקין",$J15="תקין"),"מדויקת ורציפה","אינה מדויקת או מקוטעת"))))</f>
        <v/>
      </c>
      <c r="Z15" s="32">
        <f>IF($C15="","",IF(COUNTA($U15:$W15)&lt;3,"",IF(AND($U15="מפותח",$V15="מפותח",$W15="מפותחת"),"מפותחת",IF((--($U15="דל"))+(--($V15="אינו מפותח"))+(--($W15="דלה"))&gt;=2,"אינה מפותחת","חלקית"))))</f>
        <v/>
      </c>
      <c r="AA15" s="32">
        <f>IF($C15="","",IF(COUNTA($M15,$N15,$O15)&lt;3,"— חסרים נתונים",IF(OR($M15="נמוכה",(--($M15&lt;&gt;"תקינה"))+(--($N15&lt;&gt;"תקין"))+(--($O15&lt;&gt;"תקינה"))&gt;=2),"ניכרת","אינה ניכרת")))</f>
        <v/>
      </c>
      <c r="AB15" s="32">
        <f>IF(OR($C15="",$Y15="",$AA15="",LEFT($Y15,1)="—",LEFT($AA15,1)="—"),"",IF($Z15="","— נדרשת הערכת כתיבה",IF($L15="","— חסרה הבנת הנקרא",IF($Y15="אינה מדויקת או מקוטעת",IF($AA15="ניכרת","מיקוד בשטף הקריאה ובכישורי שפה","מיקוד בשטף קריאה"),IF($AA15="ניכרת","מיקוד בכישורי שפה",IF(AND($L15="תקינה",$Z15="מפותחת"),"קוראים וכותבים מיומנים","מיקוד בהבנה והבעה"))))))</f>
        <v/>
      </c>
      <c r="AC15" s="32">
        <f>IF(OR($AB15="",LEFT($AB15,1)="—"),"",IF(OR($AB15="מיקוד בשטף קריאה",$AB15="מיקוד בשטף הקריאה ובכישורי שפה"),"רמה א'",IF($AB15="קוראים וכותבים מיומנים","רמה ג'","רמה ב'")))</f>
        <v/>
      </c>
      <c r="AD15" s="32">
        <f>IF($AC15="","",MID(IF(AND($AC15="רמה א'",$AA15="ניכרת"),"; להוסיף עבודת אוצר מילים","")&amp;IF($Z15="אינה מפותחת","; דגש על הבעה בכתב","")&amp;IF($K15&lt;&gt;"תקין","; נדרש לעבוד על ההנגנה","")&amp;IF($AK15&lt;&gt;"","; "&amp;$AK15,""),3,400))</f>
        <v/>
      </c>
      <c r="AE15" s="32">
        <f>IF($F15="","",IF($F15="תחילת שנה",1,IF($F15="מחצית שנה",2,3)))</f>
        <v/>
      </c>
      <c r="AF15" s="32">
        <f>IF(OR($B15="",$AC15="",$A15="",$F15=""),"",$B15&amp;"|"&amp;$A15&amp;"|"&amp;$F15&amp;"|"&amp;$AC15&amp;"|"&amp;COUNTIFS($B$6:$B15,$B15,$A$6:$A15,$A15,$F$6:$F15,$F15,$AC$6:$AC15,$AC15))</f>
        <v/>
      </c>
      <c r="AG15" s="32">
        <f>IF($C15="","",$C15&amp;"|"&amp;COUNTIFS($C$6:$C15,$C15))</f>
        <v/>
      </c>
      <c r="AH15" s="32">
        <f>IF(OR($C15="",$A15="",$AE15=""),"",$C15&amp;"|"&amp;$A15&amp;"|"&amp;$AE15)</f>
        <v/>
      </c>
      <c r="AI15" s="32">
        <f>IF(OR($C15="",$AE15="",$AE15=1),"",IFERROR(INDEX($AC$6:$AC$1505,MATCH($C15&amp;"|"&amp;$A15&amp;"|"&amp;($AE15-1),$AH$6:$AH$1505,0)),""))</f>
        <v/>
      </c>
      <c r="AJ15" s="32">
        <f>IF(OR($AI15="",$AC15=""),"",IF($AI15=$AC15,"ללא שינוי","מ-"&amp;$AI15&amp;" ל-"&amp;$AC15))</f>
        <v/>
      </c>
      <c r="AK15" s="67" t="n"/>
    </row>
    <row r="16">
      <c r="A16" s="65" t="n"/>
      <c r="B16" s="65" t="n"/>
      <c r="C16" s="66" t="n"/>
      <c r="D16" s="66" t="n"/>
      <c r="E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32">
        <f>IF($C16="","",IF(COUNTA($I16:$K16)&lt;3,"— חסרים נתונים",IF(AND($I16="תקין",$J16="תקין",$K16="תקין"),"רהוטה",IF(AND($I16="תקין",$J16="תקין"),"מדויקת ורציפה","אינה מדויקת או מקוטעת"))))</f>
        <v/>
      </c>
      <c r="Z16" s="32">
        <f>IF($C16="","",IF(COUNTA($U16:$W16)&lt;3,"",IF(AND($U16="מפותח",$V16="מפותח",$W16="מפותחת"),"מפותחת",IF((--($U16="דל"))+(--($V16="אינו מפותח"))+(--($W16="דלה"))&gt;=2,"אינה מפותחת","חלקית"))))</f>
        <v/>
      </c>
      <c r="AA16" s="32">
        <f>IF($C16="","",IF(COUNTA($M16,$N16,$O16)&lt;3,"— חסרים נתונים",IF(OR($M16="נמוכה",(--($M16&lt;&gt;"תקינה"))+(--($N16&lt;&gt;"תקין"))+(--($O16&lt;&gt;"תקינה"))&gt;=2),"ניכרת","אינה ניכרת")))</f>
        <v/>
      </c>
      <c r="AB16" s="32">
        <f>IF(OR($C16="",$Y16="",$AA16="",LEFT($Y16,1)="—",LEFT($AA16,1)="—"),"",IF($Z16="","— נדרשת הערכת כתיבה",IF($L16="","— חסרה הבנת הנקרא",IF($Y16="אינה מדויקת או מקוטעת",IF($AA16="ניכרת","מיקוד בשטף הקריאה ובכישורי שפה","מיקוד בשטף קריאה"),IF($AA16="ניכרת","מיקוד בכישורי שפה",IF(AND($L16="תקינה",$Z16="מפותחת"),"קוראים וכותבים מיומנים","מיקוד בהבנה והבעה"))))))</f>
        <v/>
      </c>
      <c r="AC16" s="32">
        <f>IF(OR($AB16="",LEFT($AB16,1)="—"),"",IF(OR($AB16="מיקוד בשטף קריאה",$AB16="מיקוד בשטף הקריאה ובכישורי שפה"),"רמה א'",IF($AB16="קוראים וכותבים מיומנים","רמה ג'","רמה ב'")))</f>
        <v/>
      </c>
      <c r="AD16" s="32">
        <f>IF($AC16="","",MID(IF(AND($AC16="רמה א'",$AA16="ניכרת"),"; להוסיף עבודת אוצר מילים","")&amp;IF($Z16="אינה מפותחת","; דגש על הבעה בכתב","")&amp;IF($K16&lt;&gt;"תקין","; נדרש לעבוד על ההנגנה","")&amp;IF($AK16&lt;&gt;"","; "&amp;$AK16,""),3,400))</f>
        <v/>
      </c>
      <c r="AE16" s="32">
        <f>IF($F16="","",IF($F16="תחילת שנה",1,IF($F16="מחצית שנה",2,3)))</f>
        <v/>
      </c>
      <c r="AF16" s="32">
        <f>IF(OR($B16="",$AC16="",$A16="",$F16=""),"",$B16&amp;"|"&amp;$A16&amp;"|"&amp;$F16&amp;"|"&amp;$AC16&amp;"|"&amp;COUNTIFS($B$6:$B16,$B16,$A$6:$A16,$A16,$F$6:$F16,$F16,$AC$6:$AC16,$AC16))</f>
        <v/>
      </c>
      <c r="AG16" s="32">
        <f>IF($C16="","",$C16&amp;"|"&amp;COUNTIFS($C$6:$C16,$C16))</f>
        <v/>
      </c>
      <c r="AH16" s="32">
        <f>IF(OR($C16="",$A16="",$AE16=""),"",$C16&amp;"|"&amp;$A16&amp;"|"&amp;$AE16)</f>
        <v/>
      </c>
      <c r="AI16" s="32">
        <f>IF(OR($C16="",$AE16="",$AE16=1),"",IFERROR(INDEX($AC$6:$AC$1505,MATCH($C16&amp;"|"&amp;$A16&amp;"|"&amp;($AE16-1),$AH$6:$AH$1505,0)),""))</f>
        <v/>
      </c>
      <c r="AJ16" s="32">
        <f>IF(OR($AI16="",$AC16=""),"",IF($AI16=$AC16,"ללא שינוי","מ-"&amp;$AI16&amp;" ל-"&amp;$AC16))</f>
        <v/>
      </c>
      <c r="AK16" s="67" t="n"/>
    </row>
    <row r="17">
      <c r="A17" s="65" t="n"/>
      <c r="B17" s="65" t="n"/>
      <c r="C17" s="66" t="n"/>
      <c r="D17" s="66" t="n"/>
      <c r="E17" s="65" t="n"/>
      <c r="F17" s="65" t="n"/>
      <c r="G17" s="65" t="n"/>
      <c r="H17" s="65" t="n"/>
      <c r="I17" s="65" t="n"/>
      <c r="J17" s="65" t="n"/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32">
        <f>IF($C17="","",IF(COUNTA($I17:$K17)&lt;3,"— חסרים נתונים",IF(AND($I17="תקין",$J17="תקין",$K17="תקין"),"רהוטה",IF(AND($I17="תקין",$J17="תקין"),"מדויקת ורציפה","אינה מדויקת או מקוטעת"))))</f>
        <v/>
      </c>
      <c r="Z17" s="32">
        <f>IF($C17="","",IF(COUNTA($U17:$W17)&lt;3,"",IF(AND($U17="מפותח",$V17="מפותח",$W17="מפותחת"),"מפותחת",IF((--($U17="דל"))+(--($V17="אינו מפותח"))+(--($W17="דלה"))&gt;=2,"אינה מפותחת","חלקית"))))</f>
        <v/>
      </c>
      <c r="AA17" s="32">
        <f>IF($C17="","",IF(COUNTA($M17,$N17,$O17)&lt;3,"— חסרים נתונים",IF(OR($M17="נמוכה",(--($M17&lt;&gt;"תקינה"))+(--($N17&lt;&gt;"תקין"))+(--($O17&lt;&gt;"תקינה"))&gt;=2),"ניכרת","אינה ניכרת")))</f>
        <v/>
      </c>
      <c r="AB17" s="32">
        <f>IF(OR($C17="",$Y17="",$AA17="",LEFT($Y17,1)="—",LEFT($AA17,1)="—"),"",IF($Z17="","— נדרשת הערכת כתיבה",IF($L17="","— חסרה הבנת הנקרא",IF($Y17="אינה מדויקת או מקוטעת",IF($AA17="ניכרת","מיקוד בשטף הקריאה ובכישורי שפה","מיקוד בשטף קריאה"),IF($AA17="ניכרת","מיקוד בכישורי שפה",IF(AND($L17="תקינה",$Z17="מפותחת"),"קוראים וכותבים מיומנים","מיקוד בהבנה והבעה"))))))</f>
        <v/>
      </c>
      <c r="AC17" s="32">
        <f>IF(OR($AB17="",LEFT($AB17,1)="—"),"",IF(OR($AB17="מיקוד בשטף קריאה",$AB17="מיקוד בשטף הקריאה ובכישורי שפה"),"רמה א'",IF($AB17="קוראים וכותבים מיומנים","רמה ג'","רמה ב'")))</f>
        <v/>
      </c>
      <c r="AD17" s="32">
        <f>IF($AC17="","",MID(IF(AND($AC17="רמה א'",$AA17="ניכרת"),"; להוסיף עבודת אוצר מילים","")&amp;IF($Z17="אינה מפותחת","; דגש על הבעה בכתב","")&amp;IF($K17&lt;&gt;"תקין","; נדרש לעבוד על ההנגנה","")&amp;IF($AK17&lt;&gt;"","; "&amp;$AK17,""),3,400))</f>
        <v/>
      </c>
      <c r="AE17" s="32">
        <f>IF($F17="","",IF($F17="תחילת שנה",1,IF($F17="מחצית שנה",2,3)))</f>
        <v/>
      </c>
      <c r="AF17" s="32">
        <f>IF(OR($B17="",$AC17="",$A17="",$F17=""),"",$B17&amp;"|"&amp;$A17&amp;"|"&amp;$F17&amp;"|"&amp;$AC17&amp;"|"&amp;COUNTIFS($B$6:$B17,$B17,$A$6:$A17,$A17,$F$6:$F17,$F17,$AC$6:$AC17,$AC17))</f>
        <v/>
      </c>
      <c r="AG17" s="32">
        <f>IF($C17="","",$C17&amp;"|"&amp;COUNTIFS($C$6:$C17,$C17))</f>
        <v/>
      </c>
      <c r="AH17" s="32">
        <f>IF(OR($C17="",$A17="",$AE17=""),"",$C17&amp;"|"&amp;$A17&amp;"|"&amp;$AE17)</f>
        <v/>
      </c>
      <c r="AI17" s="32">
        <f>IF(OR($C17="",$AE17="",$AE17=1),"",IFERROR(INDEX($AC$6:$AC$1505,MATCH($C17&amp;"|"&amp;$A17&amp;"|"&amp;($AE17-1),$AH$6:$AH$1505,0)),""))</f>
        <v/>
      </c>
      <c r="AJ17" s="32">
        <f>IF(OR($AI17="",$AC17=""),"",IF($AI17=$AC17,"ללא שינוי","מ-"&amp;$AI17&amp;" ל-"&amp;$AC17))</f>
        <v/>
      </c>
      <c r="AK17" s="67" t="n"/>
    </row>
    <row r="18">
      <c r="A18" s="65" t="n"/>
      <c r="B18" s="65" t="n"/>
      <c r="C18" s="66" t="n"/>
      <c r="D18" s="66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5" t="n"/>
      <c r="X18" s="65" t="n"/>
      <c r="Y18" s="32">
        <f>IF($C18="","",IF(COUNTA($I18:$K18)&lt;3,"— חסרים נתונים",IF(AND($I18="תקין",$J18="תקין",$K18="תקין"),"רהוטה",IF(AND($I18="תקין",$J18="תקין"),"מדויקת ורציפה","אינה מדויקת או מקוטעת"))))</f>
        <v/>
      </c>
      <c r="Z18" s="32">
        <f>IF($C18="","",IF(COUNTA($U18:$W18)&lt;3,"",IF(AND($U18="מפותח",$V18="מפותח",$W18="מפותחת"),"מפותחת",IF((--($U18="דל"))+(--($V18="אינו מפותח"))+(--($W18="דלה"))&gt;=2,"אינה מפותחת","חלקית"))))</f>
        <v/>
      </c>
      <c r="AA18" s="32">
        <f>IF($C18="","",IF(COUNTA($M18,$N18,$O18)&lt;3,"— חסרים נתונים",IF(OR($M18="נמוכה",(--($M18&lt;&gt;"תקינה"))+(--($N18&lt;&gt;"תקין"))+(--($O18&lt;&gt;"תקינה"))&gt;=2),"ניכרת","אינה ניכרת")))</f>
        <v/>
      </c>
      <c r="AB18" s="32">
        <f>IF(OR($C18="",$Y18="",$AA18="",LEFT($Y18,1)="—",LEFT($AA18,1)="—"),"",IF($Z18="","— נדרשת הערכת כתיבה",IF($L18="","— חסרה הבנת הנקרא",IF($Y18="אינה מדויקת או מקוטעת",IF($AA18="ניכרת","מיקוד בשטף הקריאה ובכישורי שפה","מיקוד בשטף קריאה"),IF($AA18="ניכרת","מיקוד בכישורי שפה",IF(AND($L18="תקינה",$Z18="מפותחת"),"קוראים וכותבים מיומנים","מיקוד בהבנה והבעה"))))))</f>
        <v/>
      </c>
      <c r="AC18" s="32">
        <f>IF(OR($AB18="",LEFT($AB18,1)="—"),"",IF(OR($AB18="מיקוד בשטף קריאה",$AB18="מיקוד בשטף הקריאה ובכישורי שפה"),"רמה א'",IF($AB18="קוראים וכותבים מיומנים","רמה ג'","רמה ב'")))</f>
        <v/>
      </c>
      <c r="AD18" s="32">
        <f>IF($AC18="","",MID(IF(AND($AC18="רמה א'",$AA18="ניכרת"),"; להוסיף עבודת אוצר מילים","")&amp;IF($Z18="אינה מפותחת","; דגש על הבעה בכתב","")&amp;IF($K18&lt;&gt;"תקין","; נדרש לעבוד על ההנגנה","")&amp;IF($AK18&lt;&gt;"","; "&amp;$AK18,""),3,400))</f>
        <v/>
      </c>
      <c r="AE18" s="32">
        <f>IF($F18="","",IF($F18="תחילת שנה",1,IF($F18="מחצית שנה",2,3)))</f>
        <v/>
      </c>
      <c r="AF18" s="32">
        <f>IF(OR($B18="",$AC18="",$A18="",$F18=""),"",$B18&amp;"|"&amp;$A18&amp;"|"&amp;$F18&amp;"|"&amp;$AC18&amp;"|"&amp;COUNTIFS($B$6:$B18,$B18,$A$6:$A18,$A18,$F$6:$F18,$F18,$AC$6:$AC18,$AC18))</f>
        <v/>
      </c>
      <c r="AG18" s="32">
        <f>IF($C18="","",$C18&amp;"|"&amp;COUNTIFS($C$6:$C18,$C18))</f>
        <v/>
      </c>
      <c r="AH18" s="32">
        <f>IF(OR($C18="",$A18="",$AE18=""),"",$C18&amp;"|"&amp;$A18&amp;"|"&amp;$AE18)</f>
        <v/>
      </c>
      <c r="AI18" s="32">
        <f>IF(OR($C18="",$AE18="",$AE18=1),"",IFERROR(INDEX($AC$6:$AC$1505,MATCH($C18&amp;"|"&amp;$A18&amp;"|"&amp;($AE18-1),$AH$6:$AH$1505,0)),""))</f>
        <v/>
      </c>
      <c r="AJ18" s="32">
        <f>IF(OR($AI18="",$AC18=""),"",IF($AI18=$AC18,"ללא שינוי","מ-"&amp;$AI18&amp;" ל-"&amp;$AC18))</f>
        <v/>
      </c>
      <c r="AK18" s="67" t="n"/>
    </row>
    <row r="19">
      <c r="A19" s="65" t="n"/>
      <c r="B19" s="65" t="n"/>
      <c r="C19" s="66" t="n"/>
      <c r="D19" s="66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32">
        <f>IF($C19="","",IF(COUNTA($I19:$K19)&lt;3,"— חסרים נתונים",IF(AND($I19="תקין",$J19="תקין",$K19="תקין"),"רהוטה",IF(AND($I19="תקין",$J19="תקין"),"מדויקת ורציפה","אינה מדויקת או מקוטעת"))))</f>
        <v/>
      </c>
      <c r="Z19" s="32">
        <f>IF($C19="","",IF(COUNTA($U19:$W19)&lt;3,"",IF(AND($U19="מפותח",$V19="מפותח",$W19="מפותחת"),"מפותחת",IF((--($U19="דל"))+(--($V19="אינו מפותח"))+(--($W19="דלה"))&gt;=2,"אינה מפותחת","חלקית"))))</f>
        <v/>
      </c>
      <c r="AA19" s="32">
        <f>IF($C19="","",IF(COUNTA($M19,$N19,$O19)&lt;3,"— חסרים נתונים",IF(OR($M19="נמוכה",(--($M19&lt;&gt;"תקינה"))+(--($N19&lt;&gt;"תקין"))+(--($O19&lt;&gt;"תקינה"))&gt;=2),"ניכרת","אינה ניכרת")))</f>
        <v/>
      </c>
      <c r="AB19" s="32">
        <f>IF(OR($C19="",$Y19="",$AA19="",LEFT($Y19,1)="—",LEFT($AA19,1)="—"),"",IF($Z19="","— נדרשת הערכת כתיבה",IF($L19="","— חסרה הבנת הנקרא",IF($Y19="אינה מדויקת או מקוטעת",IF($AA19="ניכרת","מיקוד בשטף הקריאה ובכישורי שפה","מיקוד בשטף קריאה"),IF($AA19="ניכרת","מיקוד בכישורי שפה",IF(AND($L19="תקינה",$Z19="מפותחת"),"קוראים וכותבים מיומנים","מיקוד בהבנה והבעה"))))))</f>
        <v/>
      </c>
      <c r="AC19" s="32">
        <f>IF(OR($AB19="",LEFT($AB19,1)="—"),"",IF(OR($AB19="מיקוד בשטף קריאה",$AB19="מיקוד בשטף הקריאה ובכישורי שפה"),"רמה א'",IF($AB19="קוראים וכותבים מיומנים","רמה ג'","רמה ב'")))</f>
        <v/>
      </c>
      <c r="AD19" s="32">
        <f>IF($AC19="","",MID(IF(AND($AC19="רמה א'",$AA19="ניכרת"),"; להוסיף עבודת אוצר מילים","")&amp;IF($Z19="אינה מפותחת","; דגש על הבעה בכתב","")&amp;IF($K19&lt;&gt;"תקין","; נדרש לעבוד על ההנגנה","")&amp;IF($AK19&lt;&gt;"","; "&amp;$AK19,""),3,400))</f>
        <v/>
      </c>
      <c r="AE19" s="32">
        <f>IF($F19="","",IF($F19="תחילת שנה",1,IF($F19="מחצית שנה",2,3)))</f>
        <v/>
      </c>
      <c r="AF19" s="32">
        <f>IF(OR($B19="",$AC19="",$A19="",$F19=""),"",$B19&amp;"|"&amp;$A19&amp;"|"&amp;$F19&amp;"|"&amp;$AC19&amp;"|"&amp;COUNTIFS($B$6:$B19,$B19,$A$6:$A19,$A19,$F$6:$F19,$F19,$AC$6:$AC19,$AC19))</f>
        <v/>
      </c>
      <c r="AG19" s="32">
        <f>IF($C19="","",$C19&amp;"|"&amp;COUNTIFS($C$6:$C19,$C19))</f>
        <v/>
      </c>
      <c r="AH19" s="32">
        <f>IF(OR($C19="",$A19="",$AE19=""),"",$C19&amp;"|"&amp;$A19&amp;"|"&amp;$AE19)</f>
        <v/>
      </c>
      <c r="AI19" s="32">
        <f>IF(OR($C19="",$AE19="",$AE19=1),"",IFERROR(INDEX($AC$6:$AC$1505,MATCH($C19&amp;"|"&amp;$A19&amp;"|"&amp;($AE19-1),$AH$6:$AH$1505,0)),""))</f>
        <v/>
      </c>
      <c r="AJ19" s="32">
        <f>IF(OR($AI19="",$AC19=""),"",IF($AI19=$AC19,"ללא שינוי","מ-"&amp;$AI19&amp;" ל-"&amp;$AC19))</f>
        <v/>
      </c>
      <c r="AK19" s="67" t="n"/>
    </row>
    <row r="20">
      <c r="A20" s="65" t="n"/>
      <c r="B20" s="65" t="n"/>
      <c r="C20" s="66" t="n"/>
      <c r="D20" s="66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5" t="n"/>
      <c r="X20" s="65" t="n"/>
      <c r="Y20" s="32">
        <f>IF($C20="","",IF(COUNTA($I20:$K20)&lt;3,"— חסרים נתונים",IF(AND($I20="תקין",$J20="תקין",$K20="תקין"),"רהוטה",IF(AND($I20="תקין",$J20="תקין"),"מדויקת ורציפה","אינה מדויקת או מקוטעת"))))</f>
        <v/>
      </c>
      <c r="Z20" s="32">
        <f>IF($C20="","",IF(COUNTA($U20:$W20)&lt;3,"",IF(AND($U20="מפותח",$V20="מפותח",$W20="מפותחת"),"מפותחת",IF((--($U20="דל"))+(--($V20="אינו מפותח"))+(--($W20="דלה"))&gt;=2,"אינה מפותחת","חלקית"))))</f>
        <v/>
      </c>
      <c r="AA20" s="32">
        <f>IF($C20="","",IF(COUNTA($M20,$N20,$O20)&lt;3,"— חסרים נתונים",IF(OR($M20="נמוכה",(--($M20&lt;&gt;"תקינה"))+(--($N20&lt;&gt;"תקין"))+(--($O20&lt;&gt;"תקינה"))&gt;=2),"ניכרת","אינה ניכרת")))</f>
        <v/>
      </c>
      <c r="AB20" s="32">
        <f>IF(OR($C20="",$Y20="",$AA20="",LEFT($Y20,1)="—",LEFT($AA20,1)="—"),"",IF($Z20="","— נדרשת הערכת כתיבה",IF($L20="","— חסרה הבנת הנקרא",IF($Y20="אינה מדויקת או מקוטעת",IF($AA20="ניכרת","מיקוד בשטף הקריאה ובכישורי שפה","מיקוד בשטף קריאה"),IF($AA20="ניכרת","מיקוד בכישורי שפה",IF(AND($L20="תקינה",$Z20="מפותחת"),"קוראים וכותבים מיומנים","מיקוד בהבנה והבעה"))))))</f>
        <v/>
      </c>
      <c r="AC20" s="32">
        <f>IF(OR($AB20="",LEFT($AB20,1)="—"),"",IF(OR($AB20="מיקוד בשטף קריאה",$AB20="מיקוד בשטף הקריאה ובכישורי שפה"),"רמה א'",IF($AB20="קוראים וכותבים מיומנים","רמה ג'","רמה ב'")))</f>
        <v/>
      </c>
      <c r="AD20" s="32">
        <f>IF($AC20="","",MID(IF(AND($AC20="רמה א'",$AA20="ניכרת"),"; להוסיף עבודת אוצר מילים","")&amp;IF($Z20="אינה מפותחת","; דגש על הבעה בכתב","")&amp;IF($K20&lt;&gt;"תקין","; נדרש לעבוד על ההנגנה","")&amp;IF($AK20&lt;&gt;"","; "&amp;$AK20,""),3,400))</f>
        <v/>
      </c>
      <c r="AE20" s="32">
        <f>IF($F20="","",IF($F20="תחילת שנה",1,IF($F20="מחצית שנה",2,3)))</f>
        <v/>
      </c>
      <c r="AF20" s="32">
        <f>IF(OR($B20="",$AC20="",$A20="",$F20=""),"",$B20&amp;"|"&amp;$A20&amp;"|"&amp;$F20&amp;"|"&amp;$AC20&amp;"|"&amp;COUNTIFS($B$6:$B20,$B20,$A$6:$A20,$A20,$F$6:$F20,$F20,$AC$6:$AC20,$AC20))</f>
        <v/>
      </c>
      <c r="AG20" s="32">
        <f>IF($C20="","",$C20&amp;"|"&amp;COUNTIFS($C$6:$C20,$C20))</f>
        <v/>
      </c>
      <c r="AH20" s="32">
        <f>IF(OR($C20="",$A20="",$AE20=""),"",$C20&amp;"|"&amp;$A20&amp;"|"&amp;$AE20)</f>
        <v/>
      </c>
      <c r="AI20" s="32">
        <f>IF(OR($C20="",$AE20="",$AE20=1),"",IFERROR(INDEX($AC$6:$AC$1505,MATCH($C20&amp;"|"&amp;$A20&amp;"|"&amp;($AE20-1),$AH$6:$AH$1505,0)),""))</f>
        <v/>
      </c>
      <c r="AJ20" s="32">
        <f>IF(OR($AI20="",$AC20=""),"",IF($AI20=$AC20,"ללא שינוי","מ-"&amp;$AI20&amp;" ל-"&amp;$AC20))</f>
        <v/>
      </c>
      <c r="AK20" s="67" t="n"/>
    </row>
    <row r="21" ht="15.75" customHeight="1" s="58">
      <c r="A21" s="65" t="n"/>
      <c r="B21" s="65" t="n"/>
      <c r="C21" s="66" t="n"/>
      <c r="D21" s="66" t="n"/>
      <c r="E21" s="65" t="n"/>
      <c r="F21" s="65" t="n"/>
      <c r="G21" s="65" t="n"/>
      <c r="H21" s="65" t="n"/>
      <c r="I21" s="65" t="n"/>
      <c r="J21" s="65" t="n"/>
      <c r="K21" s="65" t="n"/>
      <c r="L21" s="65" t="n"/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5" t="n"/>
      <c r="X21" s="65" t="n"/>
      <c r="Y21" s="32">
        <f>IF($C21="","",IF(COUNTA($I21:$K21)&lt;3,"— חסרים נתונים",IF(AND($I21="תקין",$J21="תקין",$K21="תקין"),"רהוטה",IF(AND($I21="תקין",$J21="תקין"),"מדויקת ורציפה","אינה מדויקת או מקוטעת"))))</f>
        <v/>
      </c>
      <c r="Z21" s="32">
        <f>IF($C21="","",IF(COUNTA($U21:$W21)&lt;3,"",IF(AND($U21="מפותח",$V21="מפותח",$W21="מפותחת"),"מפותחת",IF((--($U21="דל"))+(--($V21="אינו מפותח"))+(--($W21="דלה"))&gt;=2,"אינה מפותחת","חלקית"))))</f>
        <v/>
      </c>
      <c r="AA21" s="32">
        <f>IF($C21="","",IF(COUNTA($M21,$N21,$O21)&lt;3,"— חסרים נתונים",IF(OR($M21="נמוכה",(--($M21&lt;&gt;"תקינה"))+(--($N21&lt;&gt;"תקין"))+(--($O21&lt;&gt;"תקינה"))&gt;=2),"ניכרת","אינה ניכרת")))</f>
        <v/>
      </c>
      <c r="AB21" s="32">
        <f>IF(OR($C21="",$Y21="",$AA21="",LEFT($Y21,1)="—",LEFT($AA21,1)="—"),"",IF($Z21="","— נדרשת הערכת כתיבה",IF($L21="","— חסרה הבנת הנקרא",IF($Y21="אינה מדויקת או מקוטעת",IF($AA21="ניכרת","מיקוד בשטף הקריאה ובכישורי שפה","מיקוד בשטף קריאה"),IF($AA21="ניכרת","מיקוד בכישורי שפה",IF(AND($L21="תקינה",$Z21="מפותחת"),"קוראים וכותבים מיומנים","מיקוד בהבנה והבעה"))))))</f>
        <v/>
      </c>
      <c r="AC21" s="32">
        <f>IF(OR($AB21="",LEFT($AB21,1)="—"),"",IF(OR($AB21="מיקוד בשטף קריאה",$AB21="מיקוד בשטף הקריאה ובכישורי שפה"),"רמה א'",IF($AB21="קוראים וכותבים מיומנים","רמה ג'","רמה ב'")))</f>
        <v/>
      </c>
      <c r="AD21" s="32">
        <f>IF($AC21="","",MID(IF(AND($AC21="רמה א'",$AA21="ניכרת"),"; להוסיף עבודת אוצר מילים","")&amp;IF($Z21="אינה מפותחת","; דגש על הבעה בכתב","")&amp;IF($K21&lt;&gt;"תקין","; נדרש לעבוד על ההנגנה","")&amp;IF($AK21&lt;&gt;"","; "&amp;$AK21,""),3,400))</f>
        <v/>
      </c>
      <c r="AE21" s="32">
        <f>IF($F21="","",IF($F21="תחילת שנה",1,IF($F21="מחצית שנה",2,3)))</f>
        <v/>
      </c>
      <c r="AF21" s="32">
        <f>IF(OR($B21="",$AC21="",$A21="",$F21=""),"",$B21&amp;"|"&amp;$A21&amp;"|"&amp;$F21&amp;"|"&amp;$AC21&amp;"|"&amp;COUNTIFS($B$6:$B21,$B21,$A$6:$A21,$A21,$F$6:$F21,$F21,$AC$6:$AC21,$AC21))</f>
        <v/>
      </c>
      <c r="AG21" s="32">
        <f>IF($C21="","",$C21&amp;"|"&amp;COUNTIFS($C$6:$C21,$C21))</f>
        <v/>
      </c>
      <c r="AH21" s="32">
        <f>IF(OR($C21="",$A21="",$AE21=""),"",$C21&amp;"|"&amp;$A21&amp;"|"&amp;$AE21)</f>
        <v/>
      </c>
      <c r="AI21" s="32">
        <f>IF(OR($C21="",$AE21="",$AE21=1),"",IFERROR(INDEX($AC$6:$AC$1505,MATCH($C21&amp;"|"&amp;$A21&amp;"|"&amp;($AE21-1),$AH$6:$AH$1505,0)),""))</f>
        <v/>
      </c>
      <c r="AJ21" s="32">
        <f>IF(OR($AI21="",$AC21=""),"",IF($AI21=$AC21,"ללא שינוי","מ-"&amp;$AI21&amp;" ל-"&amp;$AC21))</f>
        <v/>
      </c>
      <c r="AK21" s="67" t="n"/>
    </row>
    <row r="22" ht="15.75" customHeight="1" s="58">
      <c r="A22" s="65" t="n"/>
      <c r="B22" s="65" t="n"/>
      <c r="C22" s="66" t="n"/>
      <c r="D22" s="66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32">
        <f>IF($C22="","",IF(COUNTA($I22:$K22)&lt;3,"— חסרים נתונים",IF(AND($I22="תקין",$J22="תקין",$K22="תקין"),"רהוטה",IF(AND($I22="תקין",$J22="תקין"),"מדויקת ורציפה","אינה מדויקת או מקוטעת"))))</f>
        <v/>
      </c>
      <c r="Z22" s="32">
        <f>IF($C22="","",IF(COUNTA($U22:$W22)&lt;3,"",IF(AND($U22="מפותח",$V22="מפותח",$W22="מפותחת"),"מפותחת",IF((--($U22="דל"))+(--($V22="אינו מפותח"))+(--($W22="דלה"))&gt;=2,"אינה מפותחת","חלקית"))))</f>
        <v/>
      </c>
      <c r="AA22" s="32">
        <f>IF($C22="","",IF(COUNTA($M22,$N22,$O22)&lt;3,"— חסרים נתונים",IF(OR($M22="נמוכה",(--($M22&lt;&gt;"תקינה"))+(--($N22&lt;&gt;"תקין"))+(--($O22&lt;&gt;"תקינה"))&gt;=2),"ניכרת","אינה ניכרת")))</f>
        <v/>
      </c>
      <c r="AB22" s="32">
        <f>IF(OR($C22="",$Y22="",$AA22="",LEFT($Y22,1)="—",LEFT($AA22,1)="—"),"",IF($Z22="","— נדרשת הערכת כתיבה",IF($L22="","— חסרה הבנת הנקרא",IF($Y22="אינה מדויקת או מקוטעת",IF($AA22="ניכרת","מיקוד בשטף הקריאה ובכישורי שפה","מיקוד בשטף קריאה"),IF($AA22="ניכרת","מיקוד בכישורי שפה",IF(AND($L22="תקינה",$Z22="מפותחת"),"קוראים וכותבים מיומנים","מיקוד בהבנה והבעה"))))))</f>
        <v/>
      </c>
      <c r="AC22" s="32">
        <f>IF(OR($AB22="",LEFT($AB22,1)="—"),"",IF(OR($AB22="מיקוד בשטף קריאה",$AB22="מיקוד בשטף הקריאה ובכישורי שפה"),"רמה א'",IF($AB22="קוראים וכותבים מיומנים","רמה ג'","רמה ב'")))</f>
        <v/>
      </c>
      <c r="AD22" s="32">
        <f>IF($AC22="","",MID(IF(AND($AC22="רמה א'",$AA22="ניכרת"),"; להוסיף עבודת אוצר מילים","")&amp;IF($Z22="אינה מפותחת","; דגש על הבעה בכתב","")&amp;IF($K22&lt;&gt;"תקין","; נדרש לעבוד על ההנגנה","")&amp;IF($AK22&lt;&gt;"","; "&amp;$AK22,""),3,400))</f>
        <v/>
      </c>
      <c r="AE22" s="32">
        <f>IF($F22="","",IF($F22="תחילת שנה",1,IF($F22="מחצית שנה",2,3)))</f>
        <v/>
      </c>
      <c r="AF22" s="32">
        <f>IF(OR($B22="",$AC22="",$A22="",$F22=""),"",$B22&amp;"|"&amp;$A22&amp;"|"&amp;$F22&amp;"|"&amp;$AC22&amp;"|"&amp;COUNTIFS($B$6:$B22,$B22,$A$6:$A22,$A22,$F$6:$F22,$F22,$AC$6:$AC22,$AC22))</f>
        <v/>
      </c>
      <c r="AG22" s="32">
        <f>IF($C22="","",$C22&amp;"|"&amp;COUNTIFS($C$6:$C22,$C22))</f>
        <v/>
      </c>
      <c r="AH22" s="32">
        <f>IF(OR($C22="",$A22="",$AE22=""),"",$C22&amp;"|"&amp;$A22&amp;"|"&amp;$AE22)</f>
        <v/>
      </c>
      <c r="AI22" s="32">
        <f>IF(OR($C22="",$AE22="",$AE22=1),"",IFERROR(INDEX($AC$6:$AC$1505,MATCH($C22&amp;"|"&amp;$A22&amp;"|"&amp;($AE22-1),$AH$6:$AH$1505,0)),""))</f>
        <v/>
      </c>
      <c r="AJ22" s="32">
        <f>IF(OR($AI22="",$AC22=""),"",IF($AI22=$AC22,"ללא שינוי","מ-"&amp;$AI22&amp;" ל-"&amp;$AC22))</f>
        <v/>
      </c>
      <c r="AK22" s="67" t="n"/>
    </row>
    <row r="23" ht="15.75" customHeight="1" s="58">
      <c r="A23" s="65" t="n"/>
      <c r="B23" s="65" t="n"/>
      <c r="C23" s="66" t="n"/>
      <c r="D23" s="66" t="n"/>
      <c r="E23" s="65" t="n"/>
      <c r="F23" s="65" t="n"/>
      <c r="G23" s="65" t="n"/>
      <c r="H23" s="65" t="n"/>
      <c r="I23" s="65" t="n"/>
      <c r="J23" s="65" t="n"/>
      <c r="K23" s="65" t="n"/>
      <c r="L23" s="65" t="n"/>
      <c r="M23" s="65" t="n"/>
      <c r="N23" s="65" t="n"/>
      <c r="O23" s="65" t="n"/>
      <c r="P23" s="65" t="n"/>
      <c r="Q23" s="65" t="n"/>
      <c r="R23" s="65" t="n"/>
      <c r="S23" s="65" t="n"/>
      <c r="T23" s="65" t="n"/>
      <c r="U23" s="65" t="n"/>
      <c r="V23" s="65" t="n"/>
      <c r="W23" s="65" t="n"/>
      <c r="X23" s="65" t="n"/>
      <c r="Y23" s="32">
        <f>IF($C23="","",IF(COUNTA($I23:$K23)&lt;3,"— חסרים נתונים",IF(AND($I23="תקין",$J23="תקין",$K23="תקין"),"רהוטה",IF(AND($I23="תקין",$J23="תקין"),"מדויקת ורציפה","אינה מדויקת או מקוטעת"))))</f>
        <v/>
      </c>
      <c r="Z23" s="32">
        <f>IF($C23="","",IF(COUNTA($U23:$W23)&lt;3,"",IF(AND($U23="מפותח",$V23="מפותח",$W23="מפותחת"),"מפותחת",IF((--($U23="דל"))+(--($V23="אינו מפותח"))+(--($W23="דלה"))&gt;=2,"אינה מפותחת","חלקית"))))</f>
        <v/>
      </c>
      <c r="AA23" s="32">
        <f>IF($C23="","",IF(COUNTA($M23,$N23,$O23)&lt;3,"— חסרים נתונים",IF(OR($M23="נמוכה",(--($M23&lt;&gt;"תקינה"))+(--($N23&lt;&gt;"תקין"))+(--($O23&lt;&gt;"תקינה"))&gt;=2),"ניכרת","אינה ניכרת")))</f>
        <v/>
      </c>
      <c r="AB23" s="32">
        <f>IF(OR($C23="",$Y23="",$AA23="",LEFT($Y23,1)="—",LEFT($AA23,1)="—"),"",IF($Z23="","— נדרשת הערכת כתיבה",IF($L23="","— חסרה הבנת הנקרא",IF($Y23="אינה מדויקת או מקוטעת",IF($AA23="ניכרת","מיקוד בשטף הקריאה ובכישורי שפה","מיקוד בשטף קריאה"),IF($AA23="ניכרת","מיקוד בכישורי שפה",IF(AND($L23="תקינה",$Z23="מפותחת"),"קוראים וכותבים מיומנים","מיקוד בהבנה והבעה"))))))</f>
        <v/>
      </c>
      <c r="AC23" s="32">
        <f>IF(OR($AB23="",LEFT($AB23,1)="—"),"",IF(OR($AB23="מיקוד בשטף קריאה",$AB23="מיקוד בשטף הקריאה ובכישורי שפה"),"רמה א'",IF($AB23="קוראים וכותבים מיומנים","רמה ג'","רמה ב'")))</f>
        <v/>
      </c>
      <c r="AD23" s="32">
        <f>IF($AC23="","",MID(IF(AND($AC23="רמה א'",$AA23="ניכרת"),"; להוסיף עבודת אוצר מילים","")&amp;IF($Z23="אינה מפותחת","; דגש על הבעה בכתב","")&amp;IF($K23&lt;&gt;"תקין","; נדרש לעבוד על ההנגנה","")&amp;IF($AK23&lt;&gt;"","; "&amp;$AK23,""),3,400))</f>
        <v/>
      </c>
      <c r="AE23" s="32">
        <f>IF($F23="","",IF($F23="תחילת שנה",1,IF($F23="מחצית שנה",2,3)))</f>
        <v/>
      </c>
      <c r="AF23" s="32">
        <f>IF(OR($B23="",$AC23="",$A23="",$F23=""),"",$B23&amp;"|"&amp;$A23&amp;"|"&amp;$F23&amp;"|"&amp;$AC23&amp;"|"&amp;COUNTIFS($B$6:$B23,$B23,$A$6:$A23,$A23,$F$6:$F23,$F23,$AC$6:$AC23,$AC23))</f>
        <v/>
      </c>
      <c r="AG23" s="32">
        <f>IF($C23="","",$C23&amp;"|"&amp;COUNTIFS($C$6:$C23,$C23))</f>
        <v/>
      </c>
      <c r="AH23" s="32">
        <f>IF(OR($C23="",$A23="",$AE23=""),"",$C23&amp;"|"&amp;$A23&amp;"|"&amp;$AE23)</f>
        <v/>
      </c>
      <c r="AI23" s="32">
        <f>IF(OR($C23="",$AE23="",$AE23=1),"",IFERROR(INDEX($AC$6:$AC$1505,MATCH($C23&amp;"|"&amp;$A23&amp;"|"&amp;($AE23-1),$AH$6:$AH$1505,0)),""))</f>
        <v/>
      </c>
      <c r="AJ23" s="32">
        <f>IF(OR($AI23="",$AC23=""),"",IF($AI23=$AC23,"ללא שינוי","מ-"&amp;$AI23&amp;" ל-"&amp;$AC23))</f>
        <v/>
      </c>
      <c r="AK23" s="67" t="n"/>
    </row>
    <row r="24" ht="15.75" customHeight="1" s="58">
      <c r="A24" s="65" t="n"/>
      <c r="B24" s="65" t="n"/>
      <c r="C24" s="66" t="n"/>
      <c r="D24" s="66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32">
        <f>IF($C24="","",IF(COUNTA($I24:$K24)&lt;3,"— חסרים נתונים",IF(AND($I24="תקין",$J24="תקין",$K24="תקין"),"רהוטה",IF(AND($I24="תקין",$J24="תקין"),"מדויקת ורציפה","אינה מדויקת או מקוטעת"))))</f>
        <v/>
      </c>
      <c r="Z24" s="32">
        <f>IF($C24="","",IF(COUNTA($U24:$W24)&lt;3,"",IF(AND($U24="מפותח",$V24="מפותח",$W24="מפותחת"),"מפותחת",IF((--($U24="דל"))+(--($V24="אינו מפותח"))+(--($W24="דלה"))&gt;=2,"אינה מפותחת","חלקית"))))</f>
        <v/>
      </c>
      <c r="AA24" s="32">
        <f>IF($C24="","",IF(COUNTA($M24,$N24,$O24)&lt;3,"— חסרים נתונים",IF(OR($M24="נמוכה",(--($M24&lt;&gt;"תקינה"))+(--($N24&lt;&gt;"תקין"))+(--($O24&lt;&gt;"תקינה"))&gt;=2),"ניכרת","אינה ניכרת")))</f>
        <v/>
      </c>
      <c r="AB24" s="32">
        <f>IF(OR($C24="",$Y24="",$AA24="",LEFT($Y24,1)="—",LEFT($AA24,1)="—"),"",IF($Z24="","— נדרשת הערכת כתיבה",IF($L24="","— חסרה הבנת הנקרא",IF($Y24="אינה מדויקת או מקוטעת",IF($AA24="ניכרת","מיקוד בשטף הקריאה ובכישורי שפה","מיקוד בשטף קריאה"),IF($AA24="ניכרת","מיקוד בכישורי שפה",IF(AND($L24="תקינה",$Z24="מפותחת"),"קוראים וכותבים מיומנים","מיקוד בהבנה והבעה"))))))</f>
        <v/>
      </c>
      <c r="AC24" s="32">
        <f>IF(OR($AB24="",LEFT($AB24,1)="—"),"",IF(OR($AB24="מיקוד בשטף קריאה",$AB24="מיקוד בשטף הקריאה ובכישורי שפה"),"רמה א'",IF($AB24="קוראים וכותבים מיומנים","רמה ג'","רמה ב'")))</f>
        <v/>
      </c>
      <c r="AD24" s="32">
        <f>IF($AC24="","",MID(IF(AND($AC24="רמה א'",$AA24="ניכרת"),"; להוסיף עבודת אוצר מילים","")&amp;IF($Z24="אינה מפותחת","; דגש על הבעה בכתב","")&amp;IF($K24&lt;&gt;"תקין","; נדרש לעבוד על ההנגנה","")&amp;IF($AK24&lt;&gt;"","; "&amp;$AK24,""),3,400))</f>
        <v/>
      </c>
      <c r="AE24" s="32">
        <f>IF($F24="","",IF($F24="תחילת שנה",1,IF($F24="מחצית שנה",2,3)))</f>
        <v/>
      </c>
      <c r="AF24" s="32">
        <f>IF(OR($B24="",$AC24="",$A24="",$F24=""),"",$B24&amp;"|"&amp;$A24&amp;"|"&amp;$F24&amp;"|"&amp;$AC24&amp;"|"&amp;COUNTIFS($B$6:$B24,$B24,$A$6:$A24,$A24,$F$6:$F24,$F24,$AC$6:$AC24,$AC24))</f>
        <v/>
      </c>
      <c r="AG24" s="32">
        <f>IF($C24="","",$C24&amp;"|"&amp;COUNTIFS($C$6:$C24,$C24))</f>
        <v/>
      </c>
      <c r="AH24" s="32">
        <f>IF(OR($C24="",$A24="",$AE24=""),"",$C24&amp;"|"&amp;$A24&amp;"|"&amp;$AE24)</f>
        <v/>
      </c>
      <c r="AI24" s="32">
        <f>IF(OR($C24="",$AE24="",$AE24=1),"",IFERROR(INDEX($AC$6:$AC$1505,MATCH($C24&amp;"|"&amp;$A24&amp;"|"&amp;($AE24-1),$AH$6:$AH$1505,0)),""))</f>
        <v/>
      </c>
      <c r="AJ24" s="32">
        <f>IF(OR($AI24="",$AC24=""),"",IF($AI24=$AC24,"ללא שינוי","מ-"&amp;$AI24&amp;" ל-"&amp;$AC24))</f>
        <v/>
      </c>
      <c r="AK24" s="67" t="n"/>
    </row>
    <row r="25" ht="15.75" customHeight="1" s="58">
      <c r="A25" s="65" t="n"/>
      <c r="B25" s="65" t="n"/>
      <c r="C25" s="66" t="n"/>
      <c r="D25" s="66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32">
        <f>IF($C25="","",IF(COUNTA($I25:$K25)&lt;3,"— חסרים נתונים",IF(AND($I25="תקין",$J25="תקין",$K25="תקין"),"רהוטה",IF(AND($I25="תקין",$J25="תקין"),"מדויקת ורציפה","אינה מדויקת או מקוטעת"))))</f>
        <v/>
      </c>
      <c r="Z25" s="32">
        <f>IF($C25="","",IF(COUNTA($U25:$W25)&lt;3,"",IF(AND($U25="מפותח",$V25="מפותח",$W25="מפותחת"),"מפותחת",IF((--($U25="דל"))+(--($V25="אינו מפותח"))+(--($W25="דלה"))&gt;=2,"אינה מפותחת","חלקית"))))</f>
        <v/>
      </c>
      <c r="AA25" s="32">
        <f>IF($C25="","",IF(COUNTA($M25,$N25,$O25)&lt;3,"— חסרים נתונים",IF(OR($M25="נמוכה",(--($M25&lt;&gt;"תקינה"))+(--($N25&lt;&gt;"תקין"))+(--($O25&lt;&gt;"תקינה"))&gt;=2),"ניכרת","אינה ניכרת")))</f>
        <v/>
      </c>
      <c r="AB25" s="32">
        <f>IF(OR($C25="",$Y25="",$AA25="",LEFT($Y25,1)="—",LEFT($AA25,1)="—"),"",IF($Z25="","— נדרשת הערכת כתיבה",IF($L25="","— חסרה הבנת הנקרא",IF($Y25="אינה מדויקת או מקוטעת",IF($AA25="ניכרת","מיקוד בשטף הקריאה ובכישורי שפה","מיקוד בשטף קריאה"),IF($AA25="ניכרת","מיקוד בכישורי שפה",IF(AND($L25="תקינה",$Z25="מפותחת"),"קוראים וכותבים מיומנים","מיקוד בהבנה והבעה"))))))</f>
        <v/>
      </c>
      <c r="AC25" s="32">
        <f>IF(OR($AB25="",LEFT($AB25,1)="—"),"",IF(OR($AB25="מיקוד בשטף קריאה",$AB25="מיקוד בשטף הקריאה ובכישורי שפה"),"רמה א'",IF($AB25="קוראים וכותבים מיומנים","רמה ג'","רמה ב'")))</f>
        <v/>
      </c>
      <c r="AD25" s="32">
        <f>IF($AC25="","",MID(IF(AND($AC25="רמה א'",$AA25="ניכרת"),"; להוסיף עבודת אוצר מילים","")&amp;IF($Z25="אינה מפותחת","; דגש על הבעה בכתב","")&amp;IF($K25&lt;&gt;"תקין","; נדרש לעבוד על ההנגנה","")&amp;IF($AK25&lt;&gt;"","; "&amp;$AK25,""),3,400))</f>
        <v/>
      </c>
      <c r="AE25" s="32">
        <f>IF($F25="","",IF($F25="תחילת שנה",1,IF($F25="מחצית שנה",2,3)))</f>
        <v/>
      </c>
      <c r="AF25" s="32">
        <f>IF(OR($B25="",$AC25="",$A25="",$F25=""),"",$B25&amp;"|"&amp;$A25&amp;"|"&amp;$F25&amp;"|"&amp;$AC25&amp;"|"&amp;COUNTIFS($B$6:$B25,$B25,$A$6:$A25,$A25,$F$6:$F25,$F25,$AC$6:$AC25,$AC25))</f>
        <v/>
      </c>
      <c r="AG25" s="32">
        <f>IF($C25="","",$C25&amp;"|"&amp;COUNTIFS($C$6:$C25,$C25))</f>
        <v/>
      </c>
      <c r="AH25" s="32">
        <f>IF(OR($C25="",$A25="",$AE25=""),"",$C25&amp;"|"&amp;$A25&amp;"|"&amp;$AE25)</f>
        <v/>
      </c>
      <c r="AI25" s="32">
        <f>IF(OR($C25="",$AE25="",$AE25=1),"",IFERROR(INDEX($AC$6:$AC$1505,MATCH($C25&amp;"|"&amp;$A25&amp;"|"&amp;($AE25-1),$AH$6:$AH$1505,0)),""))</f>
        <v/>
      </c>
      <c r="AJ25" s="32">
        <f>IF(OR($AI25="",$AC25=""),"",IF($AI25=$AC25,"ללא שינוי","מ-"&amp;$AI25&amp;" ל-"&amp;$AC25))</f>
        <v/>
      </c>
      <c r="AK25" s="67" t="n"/>
    </row>
    <row r="26" ht="15.75" customHeight="1" s="58">
      <c r="A26" s="65" t="n"/>
      <c r="B26" s="65" t="n"/>
      <c r="C26" s="66" t="n"/>
      <c r="D26" s="66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32">
        <f>IF($C26="","",IF(COUNTA($I26:$K26)&lt;3,"— חסרים נתונים",IF(AND($I26="תקין",$J26="תקין",$K26="תקין"),"רהוטה",IF(AND($I26="תקין",$J26="תקין"),"מדויקת ורציפה","אינה מדויקת או מקוטעת"))))</f>
        <v/>
      </c>
      <c r="Z26" s="32">
        <f>IF($C26="","",IF(COUNTA($U26:$W26)&lt;3,"",IF(AND($U26="מפותח",$V26="מפותח",$W26="מפותחת"),"מפותחת",IF((--($U26="דל"))+(--($V26="אינו מפותח"))+(--($W26="דלה"))&gt;=2,"אינה מפותחת","חלקית"))))</f>
        <v/>
      </c>
      <c r="AA26" s="32">
        <f>IF($C26="","",IF(COUNTA($M26,$N26,$O26)&lt;3,"— חסרים נתונים",IF(OR($M26="נמוכה",(--($M26&lt;&gt;"תקינה"))+(--($N26&lt;&gt;"תקין"))+(--($O26&lt;&gt;"תקינה"))&gt;=2),"ניכרת","אינה ניכרת")))</f>
        <v/>
      </c>
      <c r="AB26" s="32">
        <f>IF(OR($C26="",$Y26="",$AA26="",LEFT($Y26,1)="—",LEFT($AA26,1)="—"),"",IF($Z26="","— נדרשת הערכת כתיבה",IF($L26="","— חסרה הבנת הנקרא",IF($Y26="אינה מדויקת או מקוטעת",IF($AA26="ניכרת","מיקוד בשטף הקריאה ובכישורי שפה","מיקוד בשטף קריאה"),IF($AA26="ניכרת","מיקוד בכישורי שפה",IF(AND($L26="תקינה",$Z26="מפותחת"),"קוראים וכותבים מיומנים","מיקוד בהבנה והבעה"))))))</f>
        <v/>
      </c>
      <c r="AC26" s="32">
        <f>IF(OR($AB26="",LEFT($AB26,1)="—"),"",IF(OR($AB26="מיקוד בשטף קריאה",$AB26="מיקוד בשטף הקריאה ובכישורי שפה"),"רמה א'",IF($AB26="קוראים וכותבים מיומנים","רמה ג'","רמה ב'")))</f>
        <v/>
      </c>
      <c r="AD26" s="32">
        <f>IF($AC26="","",MID(IF(AND($AC26="רמה א'",$AA26="ניכרת"),"; להוסיף עבודת אוצר מילים","")&amp;IF($Z26="אינה מפותחת","; דגש על הבעה בכתב","")&amp;IF($K26&lt;&gt;"תקין","; נדרש לעבוד על ההנגנה","")&amp;IF($AK26&lt;&gt;"","; "&amp;$AK26,""),3,400))</f>
        <v/>
      </c>
      <c r="AE26" s="32">
        <f>IF($F26="","",IF($F26="תחילת שנה",1,IF($F26="מחצית שנה",2,3)))</f>
        <v/>
      </c>
      <c r="AF26" s="32">
        <f>IF(OR($B26="",$AC26="",$A26="",$F26=""),"",$B26&amp;"|"&amp;$A26&amp;"|"&amp;$F26&amp;"|"&amp;$AC26&amp;"|"&amp;COUNTIFS($B$6:$B26,$B26,$A$6:$A26,$A26,$F$6:$F26,$F26,$AC$6:$AC26,$AC26))</f>
        <v/>
      </c>
      <c r="AG26" s="32">
        <f>IF($C26="","",$C26&amp;"|"&amp;COUNTIFS($C$6:$C26,$C26))</f>
        <v/>
      </c>
      <c r="AH26" s="32">
        <f>IF(OR($C26="",$A26="",$AE26=""),"",$C26&amp;"|"&amp;$A26&amp;"|"&amp;$AE26)</f>
        <v/>
      </c>
      <c r="AI26" s="32">
        <f>IF(OR($C26="",$AE26="",$AE26=1),"",IFERROR(INDEX($AC$6:$AC$1505,MATCH($C26&amp;"|"&amp;$A26&amp;"|"&amp;($AE26-1),$AH$6:$AH$1505,0)),""))</f>
        <v/>
      </c>
      <c r="AJ26" s="32">
        <f>IF(OR($AI26="",$AC26=""),"",IF($AI26=$AC26,"ללא שינוי","מ-"&amp;$AI26&amp;" ל-"&amp;$AC26))</f>
        <v/>
      </c>
      <c r="AK26" s="67" t="n"/>
    </row>
    <row r="27" ht="15.75" customHeight="1" s="58">
      <c r="A27" s="65" t="n"/>
      <c r="B27" s="65" t="n"/>
      <c r="C27" s="66" t="n"/>
      <c r="D27" s="66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32">
        <f>IF($C27="","",IF(COUNTA($I27:$K27)&lt;3,"— חסרים נתונים",IF(AND($I27="תקין",$J27="תקין",$K27="תקין"),"רהוטה",IF(AND($I27="תקין",$J27="תקין"),"מדויקת ורציפה","אינה מדויקת או מקוטעת"))))</f>
        <v/>
      </c>
      <c r="Z27" s="32">
        <f>IF($C27="","",IF(COUNTA($U27:$W27)&lt;3,"",IF(AND($U27="מפותח",$V27="מפותח",$W27="מפותחת"),"מפותחת",IF((--($U27="דל"))+(--($V27="אינו מפותח"))+(--($W27="דלה"))&gt;=2,"אינה מפותחת","חלקית"))))</f>
        <v/>
      </c>
      <c r="AA27" s="32">
        <f>IF($C27="","",IF(COUNTA($M27,$N27,$O27)&lt;3,"— חסרים נתונים",IF(OR($M27="נמוכה",(--($M27&lt;&gt;"תקינה"))+(--($N27&lt;&gt;"תקין"))+(--($O27&lt;&gt;"תקינה"))&gt;=2),"ניכרת","אינה ניכרת")))</f>
        <v/>
      </c>
      <c r="AB27" s="32">
        <f>IF(OR($C27="",$Y27="",$AA27="",LEFT($Y27,1)="—",LEFT($AA27,1)="—"),"",IF($Z27="","— נדרשת הערכת כתיבה",IF($L27="","— חסרה הבנת הנקרא",IF($Y27="אינה מדויקת או מקוטעת",IF($AA27="ניכרת","מיקוד בשטף הקריאה ובכישורי שפה","מיקוד בשטף קריאה"),IF($AA27="ניכרת","מיקוד בכישורי שפה",IF(AND($L27="תקינה",$Z27="מפותחת"),"קוראים וכותבים מיומנים","מיקוד בהבנה והבעה"))))))</f>
        <v/>
      </c>
      <c r="AC27" s="32">
        <f>IF(OR($AB27="",LEFT($AB27,1)="—"),"",IF(OR($AB27="מיקוד בשטף קריאה",$AB27="מיקוד בשטף הקריאה ובכישורי שפה"),"רמה א'",IF($AB27="קוראים וכותבים מיומנים","רמה ג'","רמה ב'")))</f>
        <v/>
      </c>
      <c r="AD27" s="32">
        <f>IF($AC27="","",MID(IF(AND($AC27="רמה א'",$AA27="ניכרת"),"; להוסיף עבודת אוצר מילים","")&amp;IF($Z27="אינה מפותחת","; דגש על הבעה בכתב","")&amp;IF($K27&lt;&gt;"תקין","; נדרש לעבוד על ההנגנה","")&amp;IF($AK27&lt;&gt;"","; "&amp;$AK27,""),3,400))</f>
        <v/>
      </c>
      <c r="AE27" s="32">
        <f>IF($F27="","",IF($F27="תחילת שנה",1,IF($F27="מחצית שנה",2,3)))</f>
        <v/>
      </c>
      <c r="AF27" s="32">
        <f>IF(OR($B27="",$AC27="",$A27="",$F27=""),"",$B27&amp;"|"&amp;$A27&amp;"|"&amp;$F27&amp;"|"&amp;$AC27&amp;"|"&amp;COUNTIFS($B$6:$B27,$B27,$A$6:$A27,$A27,$F$6:$F27,$F27,$AC$6:$AC27,$AC27))</f>
        <v/>
      </c>
      <c r="AG27" s="32">
        <f>IF($C27="","",$C27&amp;"|"&amp;COUNTIFS($C$6:$C27,$C27))</f>
        <v/>
      </c>
      <c r="AH27" s="32">
        <f>IF(OR($C27="",$A27="",$AE27=""),"",$C27&amp;"|"&amp;$A27&amp;"|"&amp;$AE27)</f>
        <v/>
      </c>
      <c r="AI27" s="32">
        <f>IF(OR($C27="",$AE27="",$AE27=1),"",IFERROR(INDEX($AC$6:$AC$1505,MATCH($C27&amp;"|"&amp;$A27&amp;"|"&amp;($AE27-1),$AH$6:$AH$1505,0)),""))</f>
        <v/>
      </c>
      <c r="AJ27" s="32">
        <f>IF(OR($AI27="",$AC27=""),"",IF($AI27=$AC27,"ללא שינוי","מ-"&amp;$AI27&amp;" ל-"&amp;$AC27))</f>
        <v/>
      </c>
      <c r="AK27" s="67" t="n"/>
    </row>
    <row r="28" ht="15.75" customHeight="1" s="58">
      <c r="A28" s="65" t="n"/>
      <c r="B28" s="65" t="n"/>
      <c r="C28" s="66" t="n"/>
      <c r="D28" s="66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32">
        <f>IF($C28="","",IF(COUNTA($I28:$K28)&lt;3,"— חסרים נתונים",IF(AND($I28="תקין",$J28="תקין",$K28="תקין"),"רהוטה",IF(AND($I28="תקין",$J28="תקין"),"מדויקת ורציפה","אינה מדויקת או מקוטעת"))))</f>
        <v/>
      </c>
      <c r="Z28" s="32">
        <f>IF($C28="","",IF(COUNTA($U28:$W28)&lt;3,"",IF(AND($U28="מפותח",$V28="מפותח",$W28="מפותחת"),"מפותחת",IF((--($U28="דל"))+(--($V28="אינו מפותח"))+(--($W28="דלה"))&gt;=2,"אינה מפותחת","חלקית"))))</f>
        <v/>
      </c>
      <c r="AA28" s="32">
        <f>IF($C28="","",IF(COUNTA($M28,$N28,$O28)&lt;3,"— חסרים נתונים",IF(OR($M28="נמוכה",(--($M28&lt;&gt;"תקינה"))+(--($N28&lt;&gt;"תקין"))+(--($O28&lt;&gt;"תקינה"))&gt;=2),"ניכרת","אינה ניכרת")))</f>
        <v/>
      </c>
      <c r="AB28" s="32">
        <f>IF(OR($C28="",$Y28="",$AA28="",LEFT($Y28,1)="—",LEFT($AA28,1)="—"),"",IF($Z28="","— נדרשת הערכת כתיבה",IF($L28="","— חסרה הבנת הנקרא",IF($Y28="אינה מדויקת או מקוטעת",IF($AA28="ניכרת","מיקוד בשטף הקריאה ובכישורי שפה","מיקוד בשטף קריאה"),IF($AA28="ניכרת","מיקוד בכישורי שפה",IF(AND($L28="תקינה",$Z28="מפותחת"),"קוראים וכותבים מיומנים","מיקוד בהבנה והבעה"))))))</f>
        <v/>
      </c>
      <c r="AC28" s="32">
        <f>IF(OR($AB28="",LEFT($AB28,1)="—"),"",IF(OR($AB28="מיקוד בשטף קריאה",$AB28="מיקוד בשטף הקריאה ובכישורי שפה"),"רמה א'",IF($AB28="קוראים וכותבים מיומנים","רמה ג'","רמה ב'")))</f>
        <v/>
      </c>
      <c r="AD28" s="32">
        <f>IF($AC28="","",MID(IF(AND($AC28="רמה א'",$AA28="ניכרת"),"; להוסיף עבודת אוצר מילים","")&amp;IF($Z28="אינה מפותחת","; דגש על הבעה בכתב","")&amp;IF($K28&lt;&gt;"תקין","; נדרש לעבוד על ההנגנה","")&amp;IF($AK28&lt;&gt;"","; "&amp;$AK28,""),3,400))</f>
        <v/>
      </c>
      <c r="AE28" s="32">
        <f>IF($F28="","",IF($F28="תחילת שנה",1,IF($F28="מחצית שנה",2,3)))</f>
        <v/>
      </c>
      <c r="AF28" s="32">
        <f>IF(OR($B28="",$AC28="",$A28="",$F28=""),"",$B28&amp;"|"&amp;$A28&amp;"|"&amp;$F28&amp;"|"&amp;$AC28&amp;"|"&amp;COUNTIFS($B$6:$B28,$B28,$A$6:$A28,$A28,$F$6:$F28,$F28,$AC$6:$AC28,$AC28))</f>
        <v/>
      </c>
      <c r="AG28" s="32">
        <f>IF($C28="","",$C28&amp;"|"&amp;COUNTIFS($C$6:$C28,$C28))</f>
        <v/>
      </c>
      <c r="AH28" s="32">
        <f>IF(OR($C28="",$A28="",$AE28=""),"",$C28&amp;"|"&amp;$A28&amp;"|"&amp;$AE28)</f>
        <v/>
      </c>
      <c r="AI28" s="32">
        <f>IF(OR($C28="",$AE28="",$AE28=1),"",IFERROR(INDEX($AC$6:$AC$1505,MATCH($C28&amp;"|"&amp;$A28&amp;"|"&amp;($AE28-1),$AH$6:$AH$1505,0)),""))</f>
        <v/>
      </c>
      <c r="AJ28" s="32">
        <f>IF(OR($AI28="",$AC28=""),"",IF($AI28=$AC28,"ללא שינוי","מ-"&amp;$AI28&amp;" ל-"&amp;$AC28))</f>
        <v/>
      </c>
      <c r="AK28" s="67" t="n"/>
    </row>
    <row r="29" ht="15.75" customHeight="1" s="58">
      <c r="A29" s="65" t="n"/>
      <c r="B29" s="65" t="n"/>
      <c r="C29" s="66" t="n"/>
      <c r="D29" s="66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32">
        <f>IF($C29="","",IF(COUNTA($I29:$K29)&lt;3,"— חסרים נתונים",IF(AND($I29="תקין",$J29="תקין",$K29="תקין"),"רהוטה",IF(AND($I29="תקין",$J29="תקין"),"מדויקת ורציפה","אינה מדויקת או מקוטעת"))))</f>
        <v/>
      </c>
      <c r="Z29" s="32">
        <f>IF($C29="","",IF(COUNTA($U29:$W29)&lt;3,"",IF(AND($U29="מפותח",$V29="מפותח",$W29="מפותחת"),"מפותחת",IF((--($U29="דל"))+(--($V29="אינו מפותח"))+(--($W29="דלה"))&gt;=2,"אינה מפותחת","חלקית"))))</f>
        <v/>
      </c>
      <c r="AA29" s="32">
        <f>IF($C29="","",IF(COUNTA($M29,$N29,$O29)&lt;3,"— חסרים נתונים",IF(OR($M29="נמוכה",(--($M29&lt;&gt;"תקינה"))+(--($N29&lt;&gt;"תקין"))+(--($O29&lt;&gt;"תקינה"))&gt;=2),"ניכרת","אינה ניכרת")))</f>
        <v/>
      </c>
      <c r="AB29" s="32">
        <f>IF(OR($C29="",$Y29="",$AA29="",LEFT($Y29,1)="—",LEFT($AA29,1)="—"),"",IF($Z29="","— נדרשת הערכת כתיבה",IF($L29="","— חסרה הבנת הנקרא",IF($Y29="אינה מדויקת או מקוטעת",IF($AA29="ניכרת","מיקוד בשטף הקריאה ובכישורי שפה","מיקוד בשטף קריאה"),IF($AA29="ניכרת","מיקוד בכישורי שפה",IF(AND($L29="תקינה",$Z29="מפותחת"),"קוראים וכותבים מיומנים","מיקוד בהבנה והבעה"))))))</f>
        <v/>
      </c>
      <c r="AC29" s="32">
        <f>IF(OR($AB29="",LEFT($AB29,1)="—"),"",IF(OR($AB29="מיקוד בשטף קריאה",$AB29="מיקוד בשטף הקריאה ובכישורי שפה"),"רמה א'",IF($AB29="קוראים וכותבים מיומנים","רמה ג'","רמה ב'")))</f>
        <v/>
      </c>
      <c r="AD29" s="32">
        <f>IF($AC29="","",MID(IF(AND($AC29="רמה א'",$AA29="ניכרת"),"; להוסיף עבודת אוצר מילים","")&amp;IF($Z29="אינה מפותחת","; דגש על הבעה בכתב","")&amp;IF($K29&lt;&gt;"תקין","; נדרש לעבוד על ההנגנה","")&amp;IF($AK29&lt;&gt;"","; "&amp;$AK29,""),3,400))</f>
        <v/>
      </c>
      <c r="AE29" s="32">
        <f>IF($F29="","",IF($F29="תחילת שנה",1,IF($F29="מחצית שנה",2,3)))</f>
        <v/>
      </c>
      <c r="AF29" s="32">
        <f>IF(OR($B29="",$AC29="",$A29="",$F29=""),"",$B29&amp;"|"&amp;$A29&amp;"|"&amp;$F29&amp;"|"&amp;$AC29&amp;"|"&amp;COUNTIFS($B$6:$B29,$B29,$A$6:$A29,$A29,$F$6:$F29,$F29,$AC$6:$AC29,$AC29))</f>
        <v/>
      </c>
      <c r="AG29" s="32">
        <f>IF($C29="","",$C29&amp;"|"&amp;COUNTIFS($C$6:$C29,$C29))</f>
        <v/>
      </c>
      <c r="AH29" s="32">
        <f>IF(OR($C29="",$A29="",$AE29=""),"",$C29&amp;"|"&amp;$A29&amp;"|"&amp;$AE29)</f>
        <v/>
      </c>
      <c r="AI29" s="32">
        <f>IF(OR($C29="",$AE29="",$AE29=1),"",IFERROR(INDEX($AC$6:$AC$1505,MATCH($C29&amp;"|"&amp;$A29&amp;"|"&amp;($AE29-1),$AH$6:$AH$1505,0)),""))</f>
        <v/>
      </c>
      <c r="AJ29" s="32">
        <f>IF(OR($AI29="",$AC29=""),"",IF($AI29=$AC29,"ללא שינוי","מ-"&amp;$AI29&amp;" ל-"&amp;$AC29))</f>
        <v/>
      </c>
      <c r="AK29" s="67" t="n"/>
    </row>
    <row r="30" ht="15.75" customHeight="1" s="58">
      <c r="A30" s="65" t="n"/>
      <c r="B30" s="65" t="n"/>
      <c r="C30" s="66" t="n"/>
      <c r="D30" s="66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32">
        <f>IF($C30="","",IF(COUNTA($I30:$K30)&lt;3,"— חסרים נתונים",IF(AND($I30="תקין",$J30="תקין",$K30="תקין"),"רהוטה",IF(AND($I30="תקין",$J30="תקין"),"מדויקת ורציפה","אינה מדויקת או מקוטעת"))))</f>
        <v/>
      </c>
      <c r="Z30" s="32">
        <f>IF($C30="","",IF(COUNTA($U30:$W30)&lt;3,"",IF(AND($U30="מפותח",$V30="מפותח",$W30="מפותחת"),"מפותחת",IF((--($U30="דל"))+(--($V30="אינו מפותח"))+(--($W30="דלה"))&gt;=2,"אינה מפותחת","חלקית"))))</f>
        <v/>
      </c>
      <c r="AA30" s="32">
        <f>IF($C30="","",IF(COUNTA($M30,$N30,$O30)&lt;3,"— חסרים נתונים",IF(OR($M30="נמוכה",(--($M30&lt;&gt;"תקינה"))+(--($N30&lt;&gt;"תקין"))+(--($O30&lt;&gt;"תקינה"))&gt;=2),"ניכרת","אינה ניכרת")))</f>
        <v/>
      </c>
      <c r="AB30" s="32">
        <f>IF(OR($C30="",$Y30="",$AA30="",LEFT($Y30,1)="—",LEFT($AA30,1)="—"),"",IF($Z30="","— נדרשת הערכת כתיבה",IF($L30="","— חסרה הבנת הנקרא",IF($Y30="אינה מדויקת או מקוטעת",IF($AA30="ניכרת","מיקוד בשטף הקריאה ובכישורי שפה","מיקוד בשטף קריאה"),IF($AA30="ניכרת","מיקוד בכישורי שפה",IF(AND($L30="תקינה",$Z30="מפותחת"),"קוראים וכותבים מיומנים","מיקוד בהבנה והבעה"))))))</f>
        <v/>
      </c>
      <c r="AC30" s="32">
        <f>IF(OR($AB30="",LEFT($AB30,1)="—"),"",IF(OR($AB30="מיקוד בשטף קריאה",$AB30="מיקוד בשטף הקריאה ובכישורי שפה"),"רמה א'",IF($AB30="קוראים וכותבים מיומנים","רמה ג'","רמה ב'")))</f>
        <v/>
      </c>
      <c r="AD30" s="32">
        <f>IF($AC30="","",MID(IF(AND($AC30="רמה א'",$AA30="ניכרת"),"; להוסיף עבודת אוצר מילים","")&amp;IF($Z30="אינה מפותחת","; דגש על הבעה בכתב","")&amp;IF($K30&lt;&gt;"תקין","; נדרש לעבוד על ההנגנה","")&amp;IF($AK30&lt;&gt;"","; "&amp;$AK30,""),3,400))</f>
        <v/>
      </c>
      <c r="AE30" s="32">
        <f>IF($F30="","",IF($F30="תחילת שנה",1,IF($F30="מחצית שנה",2,3)))</f>
        <v/>
      </c>
      <c r="AF30" s="32">
        <f>IF(OR($B30="",$AC30="",$A30="",$F30=""),"",$B30&amp;"|"&amp;$A30&amp;"|"&amp;$F30&amp;"|"&amp;$AC30&amp;"|"&amp;COUNTIFS($B$6:$B30,$B30,$A$6:$A30,$A30,$F$6:$F30,$F30,$AC$6:$AC30,$AC30))</f>
        <v/>
      </c>
      <c r="AG30" s="32">
        <f>IF($C30="","",$C30&amp;"|"&amp;COUNTIFS($C$6:$C30,$C30))</f>
        <v/>
      </c>
      <c r="AH30" s="32">
        <f>IF(OR($C30="",$A30="",$AE30=""),"",$C30&amp;"|"&amp;$A30&amp;"|"&amp;$AE30)</f>
        <v/>
      </c>
      <c r="AI30" s="32">
        <f>IF(OR($C30="",$AE30="",$AE30=1),"",IFERROR(INDEX($AC$6:$AC$1505,MATCH($C30&amp;"|"&amp;$A30&amp;"|"&amp;($AE30-1),$AH$6:$AH$1505,0)),""))</f>
        <v/>
      </c>
      <c r="AJ30" s="32">
        <f>IF(OR($AI30="",$AC30=""),"",IF($AI30=$AC30,"ללא שינוי","מ-"&amp;$AI30&amp;" ל-"&amp;$AC30))</f>
        <v/>
      </c>
      <c r="AK30" s="67" t="n"/>
    </row>
    <row r="31" ht="15.75" customHeight="1" s="58">
      <c r="A31" s="65" t="n"/>
      <c r="B31" s="65" t="n"/>
      <c r="C31" s="66" t="n"/>
      <c r="D31" s="66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32">
        <f>IF($C31="","",IF(COUNTA($I31:$K31)&lt;3,"— חסרים נתונים",IF(AND($I31="תקין",$J31="תקין",$K31="תקין"),"רהוטה",IF(AND($I31="תקין",$J31="תקין"),"מדויקת ורציפה","אינה מדויקת או מקוטעת"))))</f>
        <v/>
      </c>
      <c r="Z31" s="32">
        <f>IF($C31="","",IF(COUNTA($U31:$W31)&lt;3,"",IF(AND($U31="מפותח",$V31="מפותח",$W31="מפותחת"),"מפותחת",IF((--($U31="דל"))+(--($V31="אינו מפותח"))+(--($W31="דלה"))&gt;=2,"אינה מפותחת","חלקית"))))</f>
        <v/>
      </c>
      <c r="AA31" s="32">
        <f>IF($C31="","",IF(COUNTA($M31,$N31,$O31)&lt;3,"— חסרים נתונים",IF(OR($M31="נמוכה",(--($M31&lt;&gt;"תקינה"))+(--($N31&lt;&gt;"תקין"))+(--($O31&lt;&gt;"תקינה"))&gt;=2),"ניכרת","אינה ניכרת")))</f>
        <v/>
      </c>
      <c r="AB31" s="32">
        <f>IF(OR($C31="",$Y31="",$AA31="",LEFT($Y31,1)="—",LEFT($AA31,1)="—"),"",IF($Z31="","— נדרשת הערכת כתיבה",IF($L31="","— חסרה הבנת הנקרא",IF($Y31="אינה מדויקת או מקוטעת",IF($AA31="ניכרת","מיקוד בשטף הקריאה ובכישורי שפה","מיקוד בשטף קריאה"),IF($AA31="ניכרת","מיקוד בכישורי שפה",IF(AND($L31="תקינה",$Z31="מפותחת"),"קוראים וכותבים מיומנים","מיקוד בהבנה והבעה"))))))</f>
        <v/>
      </c>
      <c r="AC31" s="32">
        <f>IF(OR($AB31="",LEFT($AB31,1)="—"),"",IF(OR($AB31="מיקוד בשטף קריאה",$AB31="מיקוד בשטף הקריאה ובכישורי שפה"),"רמה א'",IF($AB31="קוראים וכותבים מיומנים","רמה ג'","רמה ב'")))</f>
        <v/>
      </c>
      <c r="AD31" s="32">
        <f>IF($AC31="","",MID(IF(AND($AC31="רמה א'",$AA31="ניכרת"),"; להוסיף עבודת אוצר מילים","")&amp;IF($Z31="אינה מפותחת","; דגש על הבעה בכתב","")&amp;IF($K31&lt;&gt;"תקין","; נדרש לעבוד על ההנגנה","")&amp;IF($AK31&lt;&gt;"","; "&amp;$AK31,""),3,400))</f>
        <v/>
      </c>
      <c r="AE31" s="32">
        <f>IF($F31="","",IF($F31="תחילת שנה",1,IF($F31="מחצית שנה",2,3)))</f>
        <v/>
      </c>
      <c r="AF31" s="32">
        <f>IF(OR($B31="",$AC31="",$A31="",$F31=""),"",$B31&amp;"|"&amp;$A31&amp;"|"&amp;$F31&amp;"|"&amp;$AC31&amp;"|"&amp;COUNTIFS($B$6:$B31,$B31,$A$6:$A31,$A31,$F$6:$F31,$F31,$AC$6:$AC31,$AC31))</f>
        <v/>
      </c>
      <c r="AG31" s="32">
        <f>IF($C31="","",$C31&amp;"|"&amp;COUNTIFS($C$6:$C31,$C31))</f>
        <v/>
      </c>
      <c r="AH31" s="32">
        <f>IF(OR($C31="",$A31="",$AE31=""),"",$C31&amp;"|"&amp;$A31&amp;"|"&amp;$AE31)</f>
        <v/>
      </c>
      <c r="AI31" s="32">
        <f>IF(OR($C31="",$AE31="",$AE31=1),"",IFERROR(INDEX($AC$6:$AC$1505,MATCH($C31&amp;"|"&amp;$A31&amp;"|"&amp;($AE31-1),$AH$6:$AH$1505,0)),""))</f>
        <v/>
      </c>
      <c r="AJ31" s="32">
        <f>IF(OR($AI31="",$AC31=""),"",IF($AI31=$AC31,"ללא שינוי","מ-"&amp;$AI31&amp;" ל-"&amp;$AC31))</f>
        <v/>
      </c>
      <c r="AK31" s="67" t="n"/>
    </row>
    <row r="32" ht="15.75" customHeight="1" s="58">
      <c r="A32" s="65" t="n"/>
      <c r="B32" s="65" t="n"/>
      <c r="C32" s="66" t="n"/>
      <c r="D32" s="66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32">
        <f>IF($C32="","",IF(COUNTA($I32:$K32)&lt;3,"— חסרים נתונים",IF(AND($I32="תקין",$J32="תקין",$K32="תקין"),"רהוטה",IF(AND($I32="תקין",$J32="תקין"),"מדויקת ורציפה","אינה מדויקת או מקוטעת"))))</f>
        <v/>
      </c>
      <c r="Z32" s="32">
        <f>IF($C32="","",IF(COUNTA($U32:$W32)&lt;3,"",IF(AND($U32="מפותח",$V32="מפותח",$W32="מפותחת"),"מפותחת",IF((--($U32="דל"))+(--($V32="אינו מפותח"))+(--($W32="דלה"))&gt;=2,"אינה מפותחת","חלקית"))))</f>
        <v/>
      </c>
      <c r="AA32" s="32">
        <f>IF($C32="","",IF(COUNTA($M32,$N32,$O32)&lt;3,"— חסרים נתונים",IF(OR($M32="נמוכה",(--($M32&lt;&gt;"תקינה"))+(--($N32&lt;&gt;"תקין"))+(--($O32&lt;&gt;"תקינה"))&gt;=2),"ניכרת","אינה ניכרת")))</f>
        <v/>
      </c>
      <c r="AB32" s="32">
        <f>IF(OR($C32="",$Y32="",$AA32="",LEFT($Y32,1)="—",LEFT($AA32,1)="—"),"",IF($Z32="","— נדרשת הערכת כתיבה",IF($L32="","— חסרה הבנת הנקרא",IF($Y32="אינה מדויקת או מקוטעת",IF($AA32="ניכרת","מיקוד בשטף הקריאה ובכישורי שפה","מיקוד בשטף קריאה"),IF($AA32="ניכרת","מיקוד בכישורי שפה",IF(AND($L32="תקינה",$Z32="מפותחת"),"קוראים וכותבים מיומנים","מיקוד בהבנה והבעה"))))))</f>
        <v/>
      </c>
      <c r="AC32" s="32">
        <f>IF(OR($AB32="",LEFT($AB32,1)="—"),"",IF(OR($AB32="מיקוד בשטף קריאה",$AB32="מיקוד בשטף הקריאה ובכישורי שפה"),"רמה א'",IF($AB32="קוראים וכותבים מיומנים","רמה ג'","רמה ב'")))</f>
        <v/>
      </c>
      <c r="AD32" s="32">
        <f>IF($AC32="","",MID(IF(AND($AC32="רמה א'",$AA32="ניכרת"),"; להוסיף עבודת אוצר מילים","")&amp;IF($Z32="אינה מפותחת","; דגש על הבעה בכתב","")&amp;IF($K32&lt;&gt;"תקין","; נדרש לעבוד על ההנגנה","")&amp;IF($AK32&lt;&gt;"","; "&amp;$AK32,""),3,400))</f>
        <v/>
      </c>
      <c r="AE32" s="32">
        <f>IF($F32="","",IF($F32="תחילת שנה",1,IF($F32="מחצית שנה",2,3)))</f>
        <v/>
      </c>
      <c r="AF32" s="32">
        <f>IF(OR($B32="",$AC32="",$A32="",$F32=""),"",$B32&amp;"|"&amp;$A32&amp;"|"&amp;$F32&amp;"|"&amp;$AC32&amp;"|"&amp;COUNTIFS($B$6:$B32,$B32,$A$6:$A32,$A32,$F$6:$F32,$F32,$AC$6:$AC32,$AC32))</f>
        <v/>
      </c>
      <c r="AG32" s="32">
        <f>IF($C32="","",$C32&amp;"|"&amp;COUNTIFS($C$6:$C32,$C32))</f>
        <v/>
      </c>
      <c r="AH32" s="32">
        <f>IF(OR($C32="",$A32="",$AE32=""),"",$C32&amp;"|"&amp;$A32&amp;"|"&amp;$AE32)</f>
        <v/>
      </c>
      <c r="AI32" s="32">
        <f>IF(OR($C32="",$AE32="",$AE32=1),"",IFERROR(INDEX($AC$6:$AC$1505,MATCH($C32&amp;"|"&amp;$A32&amp;"|"&amp;($AE32-1),$AH$6:$AH$1505,0)),""))</f>
        <v/>
      </c>
      <c r="AJ32" s="32">
        <f>IF(OR($AI32="",$AC32=""),"",IF($AI32=$AC32,"ללא שינוי","מ-"&amp;$AI32&amp;" ל-"&amp;$AC32))</f>
        <v/>
      </c>
      <c r="AK32" s="67" t="n"/>
    </row>
    <row r="33" ht="15.75" customHeight="1" s="58">
      <c r="A33" s="65" t="n"/>
      <c r="B33" s="65" t="n"/>
      <c r="C33" s="66" t="n"/>
      <c r="D33" s="66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32">
        <f>IF($C33="","",IF(COUNTA($I33:$K33)&lt;3,"— חסרים נתונים",IF(AND($I33="תקין",$J33="תקין",$K33="תקין"),"רהוטה",IF(AND($I33="תקין",$J33="תקין"),"מדויקת ורציפה","אינה מדויקת או מקוטעת"))))</f>
        <v/>
      </c>
      <c r="Z33" s="32">
        <f>IF($C33="","",IF(COUNTA($U33:$W33)&lt;3,"",IF(AND($U33="מפותח",$V33="מפותח",$W33="מפותחת"),"מפותחת",IF((--($U33="דל"))+(--($V33="אינו מפותח"))+(--($W33="דלה"))&gt;=2,"אינה מפותחת","חלקית"))))</f>
        <v/>
      </c>
      <c r="AA33" s="32">
        <f>IF($C33="","",IF(COUNTA($M33,$N33,$O33)&lt;3,"— חסרים נתונים",IF(OR($M33="נמוכה",(--($M33&lt;&gt;"תקינה"))+(--($N33&lt;&gt;"תקין"))+(--($O33&lt;&gt;"תקינה"))&gt;=2),"ניכרת","אינה ניכרת")))</f>
        <v/>
      </c>
      <c r="AB33" s="32">
        <f>IF(OR($C33="",$Y33="",$AA33="",LEFT($Y33,1)="—",LEFT($AA33,1)="—"),"",IF($Z33="","— נדרשת הערכת כתיבה",IF($L33="","— חסרה הבנת הנקרא",IF($Y33="אינה מדויקת או מקוטעת",IF($AA33="ניכרת","מיקוד בשטף הקריאה ובכישורי שפה","מיקוד בשטף קריאה"),IF($AA33="ניכרת","מיקוד בכישורי שפה",IF(AND($L33="תקינה",$Z33="מפותחת"),"קוראים וכותבים מיומנים","מיקוד בהבנה והבעה"))))))</f>
        <v/>
      </c>
      <c r="AC33" s="32">
        <f>IF(OR($AB33="",LEFT($AB33,1)="—"),"",IF(OR($AB33="מיקוד בשטף קריאה",$AB33="מיקוד בשטף הקריאה ובכישורי שפה"),"רמה א'",IF($AB33="קוראים וכותבים מיומנים","רמה ג'","רמה ב'")))</f>
        <v/>
      </c>
      <c r="AD33" s="32">
        <f>IF($AC33="","",MID(IF(AND($AC33="רמה א'",$AA33="ניכרת"),"; להוסיף עבודת אוצר מילים","")&amp;IF($Z33="אינה מפותחת","; דגש על הבעה בכתב","")&amp;IF($K33&lt;&gt;"תקין","; נדרש לעבוד על ההנגנה","")&amp;IF($AK33&lt;&gt;"","; "&amp;$AK33,""),3,400))</f>
        <v/>
      </c>
      <c r="AE33" s="32">
        <f>IF($F33="","",IF($F33="תחילת שנה",1,IF($F33="מחצית שנה",2,3)))</f>
        <v/>
      </c>
      <c r="AF33" s="32">
        <f>IF(OR($B33="",$AC33="",$A33="",$F33=""),"",$B33&amp;"|"&amp;$A33&amp;"|"&amp;$F33&amp;"|"&amp;$AC33&amp;"|"&amp;COUNTIFS($B$6:$B33,$B33,$A$6:$A33,$A33,$F$6:$F33,$F33,$AC$6:$AC33,$AC33))</f>
        <v/>
      </c>
      <c r="AG33" s="32">
        <f>IF($C33="","",$C33&amp;"|"&amp;COUNTIFS($C$6:$C33,$C33))</f>
        <v/>
      </c>
      <c r="AH33" s="32">
        <f>IF(OR($C33="",$A33="",$AE33=""),"",$C33&amp;"|"&amp;$A33&amp;"|"&amp;$AE33)</f>
        <v/>
      </c>
      <c r="AI33" s="32">
        <f>IF(OR($C33="",$AE33="",$AE33=1),"",IFERROR(INDEX($AC$6:$AC$1505,MATCH($C33&amp;"|"&amp;$A33&amp;"|"&amp;($AE33-1),$AH$6:$AH$1505,0)),""))</f>
        <v/>
      </c>
      <c r="AJ33" s="32">
        <f>IF(OR($AI33="",$AC33=""),"",IF($AI33=$AC33,"ללא שינוי","מ-"&amp;$AI33&amp;" ל-"&amp;$AC33))</f>
        <v/>
      </c>
      <c r="AK33" s="67" t="n"/>
    </row>
    <row r="34" ht="15.75" customHeight="1" s="58">
      <c r="A34" s="65" t="n"/>
      <c r="B34" s="65" t="n"/>
      <c r="C34" s="66" t="n"/>
      <c r="D34" s="66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32">
        <f>IF($C34="","",IF(COUNTA($I34:$K34)&lt;3,"— חסרים נתונים",IF(AND($I34="תקין",$J34="תקין",$K34="תקין"),"רהוטה",IF(AND($I34="תקין",$J34="תקין"),"מדויקת ורציפה","אינה מדויקת או מקוטעת"))))</f>
        <v/>
      </c>
      <c r="Z34" s="32">
        <f>IF($C34="","",IF(COUNTA($U34:$W34)&lt;3,"",IF(AND($U34="מפותח",$V34="מפותח",$W34="מפותחת"),"מפותחת",IF((--($U34="דל"))+(--($V34="אינו מפותח"))+(--($W34="דלה"))&gt;=2,"אינה מפותחת","חלקית"))))</f>
        <v/>
      </c>
      <c r="AA34" s="32">
        <f>IF($C34="","",IF(COUNTA($M34,$N34,$O34)&lt;3,"— חסרים נתונים",IF(OR($M34="נמוכה",(--($M34&lt;&gt;"תקינה"))+(--($N34&lt;&gt;"תקין"))+(--($O34&lt;&gt;"תקינה"))&gt;=2),"ניכרת","אינה ניכרת")))</f>
        <v/>
      </c>
      <c r="AB34" s="32">
        <f>IF(OR($C34="",$Y34="",$AA34="",LEFT($Y34,1)="—",LEFT($AA34,1)="—"),"",IF($Z34="","— נדרשת הערכת כתיבה",IF($L34="","— חסרה הבנת הנקרא",IF($Y34="אינה מדויקת או מקוטעת",IF($AA34="ניכרת","מיקוד בשטף הקריאה ובכישורי שפה","מיקוד בשטף קריאה"),IF($AA34="ניכרת","מיקוד בכישורי שפה",IF(AND($L34="תקינה",$Z34="מפותחת"),"קוראים וכותבים מיומנים","מיקוד בהבנה והבעה"))))))</f>
        <v/>
      </c>
      <c r="AC34" s="32">
        <f>IF(OR($AB34="",LEFT($AB34,1)="—"),"",IF(OR($AB34="מיקוד בשטף קריאה",$AB34="מיקוד בשטף הקריאה ובכישורי שפה"),"רמה א'",IF($AB34="קוראים וכותבים מיומנים","רמה ג'","רמה ב'")))</f>
        <v/>
      </c>
      <c r="AD34" s="32">
        <f>IF($AC34="","",MID(IF(AND($AC34="רמה א'",$AA34="ניכרת"),"; להוסיף עבודת אוצר מילים","")&amp;IF($Z34="אינה מפותחת","; דגש על הבעה בכתב","")&amp;IF($K34&lt;&gt;"תקין","; נדרש לעבוד על ההנגנה","")&amp;IF($AK34&lt;&gt;"","; "&amp;$AK34,""),3,400))</f>
        <v/>
      </c>
      <c r="AE34" s="32">
        <f>IF($F34="","",IF($F34="תחילת שנה",1,IF($F34="מחצית שנה",2,3)))</f>
        <v/>
      </c>
      <c r="AF34" s="32">
        <f>IF(OR($B34="",$AC34="",$A34="",$F34=""),"",$B34&amp;"|"&amp;$A34&amp;"|"&amp;$F34&amp;"|"&amp;$AC34&amp;"|"&amp;COUNTIFS($B$6:$B34,$B34,$A$6:$A34,$A34,$F$6:$F34,$F34,$AC$6:$AC34,$AC34))</f>
        <v/>
      </c>
      <c r="AG34" s="32">
        <f>IF($C34="","",$C34&amp;"|"&amp;COUNTIFS($C$6:$C34,$C34))</f>
        <v/>
      </c>
      <c r="AH34" s="32">
        <f>IF(OR($C34="",$A34="",$AE34=""),"",$C34&amp;"|"&amp;$A34&amp;"|"&amp;$AE34)</f>
        <v/>
      </c>
      <c r="AI34" s="32">
        <f>IF(OR($C34="",$AE34="",$AE34=1),"",IFERROR(INDEX($AC$6:$AC$1505,MATCH($C34&amp;"|"&amp;$A34&amp;"|"&amp;($AE34-1),$AH$6:$AH$1505,0)),""))</f>
        <v/>
      </c>
      <c r="AJ34" s="32">
        <f>IF(OR($AI34="",$AC34=""),"",IF($AI34=$AC34,"ללא שינוי","מ-"&amp;$AI34&amp;" ל-"&amp;$AC34))</f>
        <v/>
      </c>
      <c r="AK34" s="67" t="n"/>
    </row>
    <row r="35" ht="15.75" customHeight="1" s="58">
      <c r="A35" s="65" t="n"/>
      <c r="B35" s="65" t="n"/>
      <c r="C35" s="66" t="n"/>
      <c r="D35" s="66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  <c r="W35" s="65" t="n"/>
      <c r="X35" s="65" t="n"/>
      <c r="Y35" s="32">
        <f>IF($C35="","",IF(COUNTA($I35:$K35)&lt;3,"— חסרים נתונים",IF(AND($I35="תקין",$J35="תקין",$K35="תקין"),"רהוטה",IF(AND($I35="תקין",$J35="תקין"),"מדויקת ורציפה","אינה מדויקת או מקוטעת"))))</f>
        <v/>
      </c>
      <c r="Z35" s="32">
        <f>IF($C35="","",IF(COUNTA($U35:$W35)&lt;3,"",IF(AND($U35="מפותח",$V35="מפותח",$W35="מפותחת"),"מפותחת",IF((--($U35="דל"))+(--($V35="אינו מפותח"))+(--($W35="דלה"))&gt;=2,"אינה מפותחת","חלקית"))))</f>
        <v/>
      </c>
      <c r="AA35" s="32">
        <f>IF($C35="","",IF(COUNTA($M35,$N35,$O35)&lt;3,"— חסרים נתונים",IF(OR($M35="נמוכה",(--($M35&lt;&gt;"תקינה"))+(--($N35&lt;&gt;"תקין"))+(--($O35&lt;&gt;"תקינה"))&gt;=2),"ניכרת","אינה ניכרת")))</f>
        <v/>
      </c>
      <c r="AB35" s="32">
        <f>IF(OR($C35="",$Y35="",$AA35="",LEFT($Y35,1)="—",LEFT($AA35,1)="—"),"",IF($Z35="","— נדרשת הערכת כתיבה",IF($L35="","— חסרה הבנת הנקרא",IF($Y35="אינה מדויקת או מקוטעת",IF($AA35="ניכרת","מיקוד בשטף הקריאה ובכישורי שפה","מיקוד בשטף קריאה"),IF($AA35="ניכרת","מיקוד בכישורי שפה",IF(AND($L35="תקינה",$Z35="מפותחת"),"קוראים וכותבים מיומנים","מיקוד בהבנה והבעה"))))))</f>
        <v/>
      </c>
      <c r="AC35" s="32">
        <f>IF(OR($AB35="",LEFT($AB35,1)="—"),"",IF(OR($AB35="מיקוד בשטף קריאה",$AB35="מיקוד בשטף הקריאה ובכישורי שפה"),"רמה א'",IF($AB35="קוראים וכותבים מיומנים","רמה ג'","רמה ב'")))</f>
        <v/>
      </c>
      <c r="AD35" s="32">
        <f>IF($AC35="","",MID(IF(AND($AC35="רמה א'",$AA35="ניכרת"),"; להוסיף עבודת אוצר מילים","")&amp;IF($Z35="אינה מפותחת","; דגש על הבעה בכתב","")&amp;IF($K35&lt;&gt;"תקין","; נדרש לעבוד על ההנגנה","")&amp;IF($AK35&lt;&gt;"","; "&amp;$AK35,""),3,400))</f>
        <v/>
      </c>
      <c r="AE35" s="32">
        <f>IF($F35="","",IF($F35="תחילת שנה",1,IF($F35="מחצית שנה",2,3)))</f>
        <v/>
      </c>
      <c r="AF35" s="32">
        <f>IF(OR($B35="",$AC35="",$A35="",$F35=""),"",$B35&amp;"|"&amp;$A35&amp;"|"&amp;$F35&amp;"|"&amp;$AC35&amp;"|"&amp;COUNTIFS($B$6:$B35,$B35,$A$6:$A35,$A35,$F$6:$F35,$F35,$AC$6:$AC35,$AC35))</f>
        <v/>
      </c>
      <c r="AG35" s="32">
        <f>IF($C35="","",$C35&amp;"|"&amp;COUNTIFS($C$6:$C35,$C35))</f>
        <v/>
      </c>
      <c r="AH35" s="32">
        <f>IF(OR($C35="",$A35="",$AE35=""),"",$C35&amp;"|"&amp;$A35&amp;"|"&amp;$AE35)</f>
        <v/>
      </c>
      <c r="AI35" s="32">
        <f>IF(OR($C35="",$AE35="",$AE35=1),"",IFERROR(INDEX($AC$6:$AC$1505,MATCH($C35&amp;"|"&amp;$A35&amp;"|"&amp;($AE35-1),$AH$6:$AH$1505,0)),""))</f>
        <v/>
      </c>
      <c r="AJ35" s="32">
        <f>IF(OR($AI35="",$AC35=""),"",IF($AI35=$AC35,"ללא שינוי","מ-"&amp;$AI35&amp;" ל-"&amp;$AC35))</f>
        <v/>
      </c>
      <c r="AK35" s="67" t="n"/>
    </row>
    <row r="36" ht="15.75" customHeight="1" s="58">
      <c r="A36" s="65" t="n"/>
      <c r="B36" s="65" t="n"/>
      <c r="C36" s="66" t="n"/>
      <c r="D36" s="66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5" t="n"/>
      <c r="X36" s="65" t="n"/>
      <c r="Y36" s="32">
        <f>IF($C36="","",IF(COUNTA($I36:$K36)&lt;3,"— חסרים נתונים",IF(AND($I36="תקין",$J36="תקין",$K36="תקין"),"רהוטה",IF(AND($I36="תקין",$J36="תקין"),"מדויקת ורציפה","אינה מדויקת או מקוטעת"))))</f>
        <v/>
      </c>
      <c r="Z36" s="32">
        <f>IF($C36="","",IF(COUNTA($U36:$W36)&lt;3,"",IF(AND($U36="מפותח",$V36="מפותח",$W36="מפותחת"),"מפותחת",IF((--($U36="דל"))+(--($V36="אינו מפותח"))+(--($W36="דלה"))&gt;=2,"אינה מפותחת","חלקית"))))</f>
        <v/>
      </c>
      <c r="AA36" s="32">
        <f>IF($C36="","",IF(COUNTA($M36,$N36,$O36)&lt;3,"— חסרים נתונים",IF(OR($M36="נמוכה",(--($M36&lt;&gt;"תקינה"))+(--($N36&lt;&gt;"תקין"))+(--($O36&lt;&gt;"תקינה"))&gt;=2),"ניכרת","אינה ניכרת")))</f>
        <v/>
      </c>
      <c r="AB36" s="32">
        <f>IF(OR($C36="",$Y36="",$AA36="",LEFT($Y36,1)="—",LEFT($AA36,1)="—"),"",IF($Z36="","— נדרשת הערכת כתיבה",IF($L36="","— חסרה הבנת הנקרא",IF($Y36="אינה מדויקת או מקוטעת",IF($AA36="ניכרת","מיקוד בשטף הקריאה ובכישורי שפה","מיקוד בשטף קריאה"),IF($AA36="ניכרת","מיקוד בכישורי שפה",IF(AND($L36="תקינה",$Z36="מפותחת"),"קוראים וכותבים מיומנים","מיקוד בהבנה והבעה"))))))</f>
        <v/>
      </c>
      <c r="AC36" s="32">
        <f>IF(OR($AB36="",LEFT($AB36,1)="—"),"",IF(OR($AB36="מיקוד בשטף קריאה",$AB36="מיקוד בשטף הקריאה ובכישורי שפה"),"רמה א'",IF($AB36="קוראים וכותבים מיומנים","רמה ג'","רמה ב'")))</f>
        <v/>
      </c>
      <c r="AD36" s="32">
        <f>IF($AC36="","",MID(IF(AND($AC36="רמה א'",$AA36="ניכרת"),"; להוסיף עבודת אוצר מילים","")&amp;IF($Z36="אינה מפותחת","; דגש על הבעה בכתב","")&amp;IF($K36&lt;&gt;"תקין","; נדרש לעבוד על ההנגנה","")&amp;IF($AK36&lt;&gt;"","; "&amp;$AK36,""),3,400))</f>
        <v/>
      </c>
      <c r="AE36" s="32">
        <f>IF($F36="","",IF($F36="תחילת שנה",1,IF($F36="מחצית שנה",2,3)))</f>
        <v/>
      </c>
      <c r="AF36" s="32">
        <f>IF(OR($B36="",$AC36="",$A36="",$F36=""),"",$B36&amp;"|"&amp;$A36&amp;"|"&amp;$F36&amp;"|"&amp;$AC36&amp;"|"&amp;COUNTIFS($B$6:$B36,$B36,$A$6:$A36,$A36,$F$6:$F36,$F36,$AC$6:$AC36,$AC36))</f>
        <v/>
      </c>
      <c r="AG36" s="32">
        <f>IF($C36="","",$C36&amp;"|"&amp;COUNTIFS($C$6:$C36,$C36))</f>
        <v/>
      </c>
      <c r="AH36" s="32">
        <f>IF(OR($C36="",$A36="",$AE36=""),"",$C36&amp;"|"&amp;$A36&amp;"|"&amp;$AE36)</f>
        <v/>
      </c>
      <c r="AI36" s="32">
        <f>IF(OR($C36="",$AE36="",$AE36=1),"",IFERROR(INDEX($AC$6:$AC$1505,MATCH($C36&amp;"|"&amp;$A36&amp;"|"&amp;($AE36-1),$AH$6:$AH$1505,0)),""))</f>
        <v/>
      </c>
      <c r="AJ36" s="32">
        <f>IF(OR($AI36="",$AC36=""),"",IF($AI36=$AC36,"ללא שינוי","מ-"&amp;$AI36&amp;" ל-"&amp;$AC36))</f>
        <v/>
      </c>
      <c r="AK36" s="67" t="n"/>
    </row>
    <row r="37" ht="15.75" customHeight="1" s="58">
      <c r="A37" s="65" t="n"/>
      <c r="B37" s="65" t="n"/>
      <c r="C37" s="66" t="n"/>
      <c r="D37" s="66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65" t="n"/>
      <c r="X37" s="65" t="n"/>
      <c r="Y37" s="32">
        <f>IF($C37="","",IF(COUNTA($I37:$K37)&lt;3,"— חסרים נתונים",IF(AND($I37="תקין",$J37="תקין",$K37="תקין"),"רהוטה",IF(AND($I37="תקין",$J37="תקין"),"מדויקת ורציפה","אינה מדויקת או מקוטעת"))))</f>
        <v/>
      </c>
      <c r="Z37" s="32">
        <f>IF($C37="","",IF(COUNTA($U37:$W37)&lt;3,"",IF(AND($U37="מפותח",$V37="מפותח",$W37="מפותחת"),"מפותחת",IF((--($U37="דל"))+(--($V37="אינו מפותח"))+(--($W37="דלה"))&gt;=2,"אינה מפותחת","חלקית"))))</f>
        <v/>
      </c>
      <c r="AA37" s="32">
        <f>IF($C37="","",IF(COUNTA($M37,$N37,$O37)&lt;3,"— חסרים נתונים",IF(OR($M37="נמוכה",(--($M37&lt;&gt;"תקינה"))+(--($N37&lt;&gt;"תקין"))+(--($O37&lt;&gt;"תקינה"))&gt;=2),"ניכרת","אינה ניכרת")))</f>
        <v/>
      </c>
      <c r="AB37" s="32">
        <f>IF(OR($C37="",$Y37="",$AA37="",LEFT($Y37,1)="—",LEFT($AA37,1)="—"),"",IF($Z37="","— נדרשת הערכת כתיבה",IF($L37="","— חסרה הבנת הנקרא",IF($Y37="אינה מדויקת או מקוטעת",IF($AA37="ניכרת","מיקוד בשטף הקריאה ובכישורי שפה","מיקוד בשטף קריאה"),IF($AA37="ניכרת","מיקוד בכישורי שפה",IF(AND($L37="תקינה",$Z37="מפותחת"),"קוראים וכותבים מיומנים","מיקוד בהבנה והבעה"))))))</f>
        <v/>
      </c>
      <c r="AC37" s="32">
        <f>IF(OR($AB37="",LEFT($AB37,1)="—"),"",IF(OR($AB37="מיקוד בשטף קריאה",$AB37="מיקוד בשטף הקריאה ובכישורי שפה"),"רמה א'",IF($AB37="קוראים וכותבים מיומנים","רמה ג'","רמה ב'")))</f>
        <v/>
      </c>
      <c r="AD37" s="32">
        <f>IF($AC37="","",MID(IF(AND($AC37="רמה א'",$AA37="ניכרת"),"; להוסיף עבודת אוצר מילים","")&amp;IF($Z37="אינה מפותחת","; דגש על הבעה בכתב","")&amp;IF($K37&lt;&gt;"תקין","; נדרש לעבוד על ההנגנה","")&amp;IF($AK37&lt;&gt;"","; "&amp;$AK37,""),3,400))</f>
        <v/>
      </c>
      <c r="AE37" s="32">
        <f>IF($F37="","",IF($F37="תחילת שנה",1,IF($F37="מחצית שנה",2,3)))</f>
        <v/>
      </c>
      <c r="AF37" s="32">
        <f>IF(OR($B37="",$AC37="",$A37="",$F37=""),"",$B37&amp;"|"&amp;$A37&amp;"|"&amp;$F37&amp;"|"&amp;$AC37&amp;"|"&amp;COUNTIFS($B$6:$B37,$B37,$A$6:$A37,$A37,$F$6:$F37,$F37,$AC$6:$AC37,$AC37))</f>
        <v/>
      </c>
      <c r="AG37" s="32">
        <f>IF($C37="","",$C37&amp;"|"&amp;COUNTIFS($C$6:$C37,$C37))</f>
        <v/>
      </c>
      <c r="AH37" s="32">
        <f>IF(OR($C37="",$A37="",$AE37=""),"",$C37&amp;"|"&amp;$A37&amp;"|"&amp;$AE37)</f>
        <v/>
      </c>
      <c r="AI37" s="32">
        <f>IF(OR($C37="",$AE37="",$AE37=1),"",IFERROR(INDEX($AC$6:$AC$1505,MATCH($C37&amp;"|"&amp;$A37&amp;"|"&amp;($AE37-1),$AH$6:$AH$1505,0)),""))</f>
        <v/>
      </c>
      <c r="AJ37" s="32">
        <f>IF(OR($AI37="",$AC37=""),"",IF($AI37=$AC37,"ללא שינוי","מ-"&amp;$AI37&amp;" ל-"&amp;$AC37))</f>
        <v/>
      </c>
      <c r="AK37" s="67" t="n"/>
    </row>
    <row r="38" ht="15.75" customHeight="1" s="58">
      <c r="A38" s="65" t="n"/>
      <c r="B38" s="65" t="n"/>
      <c r="C38" s="66" t="n"/>
      <c r="D38" s="66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32">
        <f>IF($C38="","",IF(COUNTA($I38:$K38)&lt;3,"— חסרים נתונים",IF(AND($I38="תקין",$J38="תקין",$K38="תקין"),"רהוטה",IF(AND($I38="תקין",$J38="תקין"),"מדויקת ורציפה","אינה מדויקת או מקוטעת"))))</f>
        <v/>
      </c>
      <c r="Z38" s="32">
        <f>IF($C38="","",IF(COUNTA($U38:$W38)&lt;3,"",IF(AND($U38="מפותח",$V38="מפותח",$W38="מפותחת"),"מפותחת",IF((--($U38="דל"))+(--($V38="אינו מפותח"))+(--($W38="דלה"))&gt;=2,"אינה מפותחת","חלקית"))))</f>
        <v/>
      </c>
      <c r="AA38" s="32">
        <f>IF($C38="","",IF(COUNTA($M38,$N38,$O38)&lt;3,"— חסרים נתונים",IF(OR($M38="נמוכה",(--($M38&lt;&gt;"תקינה"))+(--($N38&lt;&gt;"תקין"))+(--($O38&lt;&gt;"תקינה"))&gt;=2),"ניכרת","אינה ניכרת")))</f>
        <v/>
      </c>
      <c r="AB38" s="32">
        <f>IF(OR($C38="",$Y38="",$AA38="",LEFT($Y38,1)="—",LEFT($AA38,1)="—"),"",IF($Z38="","— נדרשת הערכת כתיבה",IF($L38="","— חסרה הבנת הנקרא",IF($Y38="אינה מדויקת או מקוטעת",IF($AA38="ניכרת","מיקוד בשטף הקריאה ובכישורי שפה","מיקוד בשטף קריאה"),IF($AA38="ניכרת","מיקוד בכישורי שפה",IF(AND($L38="תקינה",$Z38="מפותחת"),"קוראים וכותבים מיומנים","מיקוד בהבנה והבעה"))))))</f>
        <v/>
      </c>
      <c r="AC38" s="32">
        <f>IF(OR($AB38="",LEFT($AB38,1)="—"),"",IF(OR($AB38="מיקוד בשטף קריאה",$AB38="מיקוד בשטף הקריאה ובכישורי שפה"),"רמה א'",IF($AB38="קוראים וכותבים מיומנים","רמה ג'","רמה ב'")))</f>
        <v/>
      </c>
      <c r="AD38" s="32">
        <f>IF($AC38="","",MID(IF(AND($AC38="רמה א'",$AA38="ניכרת"),"; להוסיף עבודת אוצר מילים","")&amp;IF($Z38="אינה מפותחת","; דגש על הבעה בכתב","")&amp;IF($K38&lt;&gt;"תקין","; נדרש לעבוד על ההנגנה","")&amp;IF($AK38&lt;&gt;"","; "&amp;$AK38,""),3,400))</f>
        <v/>
      </c>
      <c r="AE38" s="32">
        <f>IF($F38="","",IF($F38="תחילת שנה",1,IF($F38="מחצית שנה",2,3)))</f>
        <v/>
      </c>
      <c r="AF38" s="32">
        <f>IF(OR($B38="",$AC38="",$A38="",$F38=""),"",$B38&amp;"|"&amp;$A38&amp;"|"&amp;$F38&amp;"|"&amp;$AC38&amp;"|"&amp;COUNTIFS($B$6:$B38,$B38,$A$6:$A38,$A38,$F$6:$F38,$F38,$AC$6:$AC38,$AC38))</f>
        <v/>
      </c>
      <c r="AG38" s="32">
        <f>IF($C38="","",$C38&amp;"|"&amp;COUNTIFS($C$6:$C38,$C38))</f>
        <v/>
      </c>
      <c r="AH38" s="32">
        <f>IF(OR($C38="",$A38="",$AE38=""),"",$C38&amp;"|"&amp;$A38&amp;"|"&amp;$AE38)</f>
        <v/>
      </c>
      <c r="AI38" s="32">
        <f>IF(OR($C38="",$AE38="",$AE38=1),"",IFERROR(INDEX($AC$6:$AC$1505,MATCH($C38&amp;"|"&amp;$A38&amp;"|"&amp;($AE38-1),$AH$6:$AH$1505,0)),""))</f>
        <v/>
      </c>
      <c r="AJ38" s="32">
        <f>IF(OR($AI38="",$AC38=""),"",IF($AI38=$AC38,"ללא שינוי","מ-"&amp;$AI38&amp;" ל-"&amp;$AC38))</f>
        <v/>
      </c>
      <c r="AK38" s="67" t="n"/>
    </row>
    <row r="39" ht="15.75" customHeight="1" s="58">
      <c r="A39" s="65" t="n"/>
      <c r="B39" s="65" t="n"/>
      <c r="C39" s="66" t="n"/>
      <c r="D39" s="66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32">
        <f>IF($C39="","",IF(COUNTA($I39:$K39)&lt;3,"— חסרים נתונים",IF(AND($I39="תקין",$J39="תקין",$K39="תקין"),"רהוטה",IF(AND($I39="תקין",$J39="תקין"),"מדויקת ורציפה","אינה מדויקת או מקוטעת"))))</f>
        <v/>
      </c>
      <c r="Z39" s="32">
        <f>IF($C39="","",IF(COUNTA($U39:$W39)&lt;3,"",IF(AND($U39="מפותח",$V39="מפותח",$W39="מפותחת"),"מפותחת",IF((--($U39="דל"))+(--($V39="אינו מפותח"))+(--($W39="דלה"))&gt;=2,"אינה מפותחת","חלקית"))))</f>
        <v/>
      </c>
      <c r="AA39" s="32">
        <f>IF($C39="","",IF(COUNTA($M39,$N39,$O39)&lt;3,"— חסרים נתונים",IF(OR($M39="נמוכה",(--($M39&lt;&gt;"תקינה"))+(--($N39&lt;&gt;"תקין"))+(--($O39&lt;&gt;"תקינה"))&gt;=2),"ניכרת","אינה ניכרת")))</f>
        <v/>
      </c>
      <c r="AB39" s="32">
        <f>IF(OR($C39="",$Y39="",$AA39="",LEFT($Y39,1)="—",LEFT($AA39,1)="—"),"",IF($Z39="","— נדרשת הערכת כתיבה",IF($L39="","— חסרה הבנת הנקרא",IF($Y39="אינה מדויקת או מקוטעת",IF($AA39="ניכרת","מיקוד בשטף הקריאה ובכישורי שפה","מיקוד בשטף קריאה"),IF($AA39="ניכרת","מיקוד בכישורי שפה",IF(AND($L39="תקינה",$Z39="מפותחת"),"קוראים וכותבים מיומנים","מיקוד בהבנה והבעה"))))))</f>
        <v/>
      </c>
      <c r="AC39" s="32">
        <f>IF(OR($AB39="",LEFT($AB39,1)="—"),"",IF(OR($AB39="מיקוד בשטף קריאה",$AB39="מיקוד בשטף הקריאה ובכישורי שפה"),"רמה א'",IF($AB39="קוראים וכותבים מיומנים","רמה ג'","רמה ב'")))</f>
        <v/>
      </c>
      <c r="AD39" s="32">
        <f>IF($AC39="","",MID(IF(AND($AC39="רמה א'",$AA39="ניכרת"),"; להוסיף עבודת אוצר מילים","")&amp;IF($Z39="אינה מפותחת","; דגש על הבעה בכתב","")&amp;IF($K39&lt;&gt;"תקין","; נדרש לעבוד על ההנגנה","")&amp;IF($AK39&lt;&gt;"","; "&amp;$AK39,""),3,400))</f>
        <v/>
      </c>
      <c r="AE39" s="32">
        <f>IF($F39="","",IF($F39="תחילת שנה",1,IF($F39="מחצית שנה",2,3)))</f>
        <v/>
      </c>
      <c r="AF39" s="32">
        <f>IF(OR($B39="",$AC39="",$A39="",$F39=""),"",$B39&amp;"|"&amp;$A39&amp;"|"&amp;$F39&amp;"|"&amp;$AC39&amp;"|"&amp;COUNTIFS($B$6:$B39,$B39,$A$6:$A39,$A39,$F$6:$F39,$F39,$AC$6:$AC39,$AC39))</f>
        <v/>
      </c>
      <c r="AG39" s="32">
        <f>IF($C39="","",$C39&amp;"|"&amp;COUNTIFS($C$6:$C39,$C39))</f>
        <v/>
      </c>
      <c r="AH39" s="32">
        <f>IF(OR($C39="",$A39="",$AE39=""),"",$C39&amp;"|"&amp;$A39&amp;"|"&amp;$AE39)</f>
        <v/>
      </c>
      <c r="AI39" s="32">
        <f>IF(OR($C39="",$AE39="",$AE39=1),"",IFERROR(INDEX($AC$6:$AC$1505,MATCH($C39&amp;"|"&amp;$A39&amp;"|"&amp;($AE39-1),$AH$6:$AH$1505,0)),""))</f>
        <v/>
      </c>
      <c r="AJ39" s="32">
        <f>IF(OR($AI39="",$AC39=""),"",IF($AI39=$AC39,"ללא שינוי","מ-"&amp;$AI39&amp;" ל-"&amp;$AC39))</f>
        <v/>
      </c>
      <c r="AK39" s="67" t="n"/>
    </row>
    <row r="40" ht="15.75" customHeight="1" s="58">
      <c r="A40" s="65" t="n"/>
      <c r="B40" s="65" t="n"/>
      <c r="C40" s="66" t="n"/>
      <c r="D40" s="66" t="n"/>
      <c r="E40" s="65" t="n"/>
      <c r="F40" s="65" t="n"/>
      <c r="G40" s="65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5" t="n"/>
      <c r="X40" s="65" t="n"/>
      <c r="Y40" s="32">
        <f>IF($C40="","",IF(COUNTA($I40:$K40)&lt;3,"— חסרים נתונים",IF(AND($I40="תקין",$J40="תקין",$K40="תקין"),"רהוטה",IF(AND($I40="תקין",$J40="תקין"),"מדויקת ורציפה","אינה מדויקת או מקוטעת"))))</f>
        <v/>
      </c>
      <c r="Z40" s="32">
        <f>IF($C40="","",IF(COUNTA($U40:$W40)&lt;3,"",IF(AND($U40="מפותח",$V40="מפותח",$W40="מפותחת"),"מפותחת",IF((--($U40="דל"))+(--($V40="אינו מפותח"))+(--($W40="דלה"))&gt;=2,"אינה מפותחת","חלקית"))))</f>
        <v/>
      </c>
      <c r="AA40" s="32">
        <f>IF($C40="","",IF(COUNTA($M40,$N40,$O40)&lt;3,"— חסרים נתונים",IF(OR($M40="נמוכה",(--($M40&lt;&gt;"תקינה"))+(--($N40&lt;&gt;"תקין"))+(--($O40&lt;&gt;"תקינה"))&gt;=2),"ניכרת","אינה ניכרת")))</f>
        <v/>
      </c>
      <c r="AB40" s="32">
        <f>IF(OR($C40="",$Y40="",$AA40="",LEFT($Y40,1)="—",LEFT($AA40,1)="—"),"",IF($Z40="","— נדרשת הערכת כתיבה",IF($L40="","— חסרה הבנת הנקרא",IF($Y40="אינה מדויקת או מקוטעת",IF($AA40="ניכרת","מיקוד בשטף הקריאה ובכישורי שפה","מיקוד בשטף קריאה"),IF($AA40="ניכרת","מיקוד בכישורי שפה",IF(AND($L40="תקינה",$Z40="מפותחת"),"קוראים וכותבים מיומנים","מיקוד בהבנה והבעה"))))))</f>
        <v/>
      </c>
      <c r="AC40" s="32">
        <f>IF(OR($AB40="",LEFT($AB40,1)="—"),"",IF(OR($AB40="מיקוד בשטף קריאה",$AB40="מיקוד בשטף הקריאה ובכישורי שפה"),"רמה א'",IF($AB40="קוראים וכותבים מיומנים","רמה ג'","רמה ב'")))</f>
        <v/>
      </c>
      <c r="AD40" s="32">
        <f>IF($AC40="","",MID(IF(AND($AC40="רמה א'",$AA40="ניכרת"),"; להוסיף עבודת אוצר מילים","")&amp;IF($Z40="אינה מפותחת","; דגש על הבעה בכתב","")&amp;IF($K40&lt;&gt;"תקין","; נדרש לעבוד על ההנגנה","")&amp;IF($AK40&lt;&gt;"","; "&amp;$AK40,""),3,400))</f>
        <v/>
      </c>
      <c r="AE40" s="32">
        <f>IF($F40="","",IF($F40="תחילת שנה",1,IF($F40="מחצית שנה",2,3)))</f>
        <v/>
      </c>
      <c r="AF40" s="32">
        <f>IF(OR($B40="",$AC40="",$A40="",$F40=""),"",$B40&amp;"|"&amp;$A40&amp;"|"&amp;$F40&amp;"|"&amp;$AC40&amp;"|"&amp;COUNTIFS($B$6:$B40,$B40,$A$6:$A40,$A40,$F$6:$F40,$F40,$AC$6:$AC40,$AC40))</f>
        <v/>
      </c>
      <c r="AG40" s="32">
        <f>IF($C40="","",$C40&amp;"|"&amp;COUNTIFS($C$6:$C40,$C40))</f>
        <v/>
      </c>
      <c r="AH40" s="32">
        <f>IF(OR($C40="",$A40="",$AE40=""),"",$C40&amp;"|"&amp;$A40&amp;"|"&amp;$AE40)</f>
        <v/>
      </c>
      <c r="AI40" s="32">
        <f>IF(OR($C40="",$AE40="",$AE40=1),"",IFERROR(INDEX($AC$6:$AC$1505,MATCH($C40&amp;"|"&amp;$A40&amp;"|"&amp;($AE40-1),$AH$6:$AH$1505,0)),""))</f>
        <v/>
      </c>
      <c r="AJ40" s="32">
        <f>IF(OR($AI40="",$AC40=""),"",IF($AI40=$AC40,"ללא שינוי","מ-"&amp;$AI40&amp;" ל-"&amp;$AC40))</f>
        <v/>
      </c>
      <c r="AK40" s="67" t="n"/>
    </row>
    <row r="41" ht="15.75" customHeight="1" s="58">
      <c r="A41" s="65" t="n"/>
      <c r="B41" s="65" t="n"/>
      <c r="C41" s="66" t="n"/>
      <c r="D41" s="66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  <c r="Y41" s="32">
        <f>IF($C41="","",IF(COUNTA($I41:$K41)&lt;3,"— חסרים נתונים",IF(AND($I41="תקין",$J41="תקין",$K41="תקין"),"רהוטה",IF(AND($I41="תקין",$J41="תקין"),"מדויקת ורציפה","אינה מדויקת או מקוטעת"))))</f>
        <v/>
      </c>
      <c r="Z41" s="32">
        <f>IF($C41="","",IF(COUNTA($U41:$W41)&lt;3,"",IF(AND($U41="מפותח",$V41="מפותח",$W41="מפותחת"),"מפותחת",IF((--($U41="דל"))+(--($V41="אינו מפותח"))+(--($W41="דלה"))&gt;=2,"אינה מפותחת","חלקית"))))</f>
        <v/>
      </c>
      <c r="AA41" s="32">
        <f>IF($C41="","",IF(COUNTA($M41,$N41,$O41)&lt;3,"— חסרים נתונים",IF(OR($M41="נמוכה",(--($M41&lt;&gt;"תקינה"))+(--($N41&lt;&gt;"תקין"))+(--($O41&lt;&gt;"תקינה"))&gt;=2),"ניכרת","אינה ניכרת")))</f>
        <v/>
      </c>
      <c r="AB41" s="32">
        <f>IF(OR($C41="",$Y41="",$AA41="",LEFT($Y41,1)="—",LEFT($AA41,1)="—"),"",IF($Z41="","— נדרשת הערכת כתיבה",IF($L41="","— חסרה הבנת הנקרא",IF($Y41="אינה מדויקת או מקוטעת",IF($AA41="ניכרת","מיקוד בשטף הקריאה ובכישורי שפה","מיקוד בשטף קריאה"),IF($AA41="ניכרת","מיקוד בכישורי שפה",IF(AND($L41="תקינה",$Z41="מפותחת"),"קוראים וכותבים מיומנים","מיקוד בהבנה והבעה"))))))</f>
        <v/>
      </c>
      <c r="AC41" s="32">
        <f>IF(OR($AB41="",LEFT($AB41,1)="—"),"",IF(OR($AB41="מיקוד בשטף קריאה",$AB41="מיקוד בשטף הקריאה ובכישורי שפה"),"רמה א'",IF($AB41="קוראים וכותבים מיומנים","רמה ג'","רמה ב'")))</f>
        <v/>
      </c>
      <c r="AD41" s="32">
        <f>IF($AC41="","",MID(IF(AND($AC41="רמה א'",$AA41="ניכרת"),"; להוסיף עבודת אוצר מילים","")&amp;IF($Z41="אינה מפותחת","; דגש על הבעה בכתב","")&amp;IF($K41&lt;&gt;"תקין","; נדרש לעבוד על ההנגנה","")&amp;IF($AK41&lt;&gt;"","; "&amp;$AK41,""),3,400))</f>
        <v/>
      </c>
      <c r="AE41" s="32">
        <f>IF($F41="","",IF($F41="תחילת שנה",1,IF($F41="מחצית שנה",2,3)))</f>
        <v/>
      </c>
      <c r="AF41" s="32">
        <f>IF(OR($B41="",$AC41="",$A41="",$F41=""),"",$B41&amp;"|"&amp;$A41&amp;"|"&amp;$F41&amp;"|"&amp;$AC41&amp;"|"&amp;COUNTIFS($B$6:$B41,$B41,$A$6:$A41,$A41,$F$6:$F41,$F41,$AC$6:$AC41,$AC41))</f>
        <v/>
      </c>
      <c r="AG41" s="32">
        <f>IF($C41="","",$C41&amp;"|"&amp;COUNTIFS($C$6:$C41,$C41))</f>
        <v/>
      </c>
      <c r="AH41" s="32">
        <f>IF(OR($C41="",$A41="",$AE41=""),"",$C41&amp;"|"&amp;$A41&amp;"|"&amp;$AE41)</f>
        <v/>
      </c>
      <c r="AI41" s="32">
        <f>IF(OR($C41="",$AE41="",$AE41=1),"",IFERROR(INDEX($AC$6:$AC$1505,MATCH($C41&amp;"|"&amp;$A41&amp;"|"&amp;($AE41-1),$AH$6:$AH$1505,0)),""))</f>
        <v/>
      </c>
      <c r="AJ41" s="32">
        <f>IF(OR($AI41="",$AC41=""),"",IF($AI41=$AC41,"ללא שינוי","מ-"&amp;$AI41&amp;" ל-"&amp;$AC41))</f>
        <v/>
      </c>
      <c r="AK41" s="67" t="n"/>
    </row>
    <row r="42" ht="15.75" customHeight="1" s="58">
      <c r="A42" s="65" t="n"/>
      <c r="B42" s="65" t="n"/>
      <c r="C42" s="66" t="n"/>
      <c r="D42" s="66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32">
        <f>IF($C42="","",IF(COUNTA($I42:$K42)&lt;3,"— חסרים נתונים",IF(AND($I42="תקין",$J42="תקין",$K42="תקין"),"רהוטה",IF(AND($I42="תקין",$J42="תקין"),"מדויקת ורציפה","אינה מדויקת או מקוטעת"))))</f>
        <v/>
      </c>
      <c r="Z42" s="32">
        <f>IF($C42="","",IF(COUNTA($U42:$W42)&lt;3,"",IF(AND($U42="מפותח",$V42="מפותח",$W42="מפותחת"),"מפותחת",IF((--($U42="דל"))+(--($V42="אינו מפותח"))+(--($W42="דלה"))&gt;=2,"אינה מפותחת","חלקית"))))</f>
        <v/>
      </c>
      <c r="AA42" s="32">
        <f>IF($C42="","",IF(COUNTA($M42,$N42,$O42)&lt;3,"— חסרים נתונים",IF(OR($M42="נמוכה",(--($M42&lt;&gt;"תקינה"))+(--($N42&lt;&gt;"תקין"))+(--($O42&lt;&gt;"תקינה"))&gt;=2),"ניכרת","אינה ניכרת")))</f>
        <v/>
      </c>
      <c r="AB42" s="32">
        <f>IF(OR($C42="",$Y42="",$AA42="",LEFT($Y42,1)="—",LEFT($AA42,1)="—"),"",IF($Z42="","— נדרשת הערכת כתיבה",IF($L42="","— חסרה הבנת הנקרא",IF($Y42="אינה מדויקת או מקוטעת",IF($AA42="ניכרת","מיקוד בשטף הקריאה ובכישורי שפה","מיקוד בשטף קריאה"),IF($AA42="ניכרת","מיקוד בכישורי שפה",IF(AND($L42="תקינה",$Z42="מפותחת"),"קוראים וכותבים מיומנים","מיקוד בהבנה והבעה"))))))</f>
        <v/>
      </c>
      <c r="AC42" s="32">
        <f>IF(OR($AB42="",LEFT($AB42,1)="—"),"",IF(OR($AB42="מיקוד בשטף קריאה",$AB42="מיקוד בשטף הקריאה ובכישורי שפה"),"רמה א'",IF($AB42="קוראים וכותבים מיומנים","רמה ג'","רמה ב'")))</f>
        <v/>
      </c>
      <c r="AD42" s="32">
        <f>IF($AC42="","",MID(IF(AND($AC42="רמה א'",$AA42="ניכרת"),"; להוסיף עבודת אוצר מילים","")&amp;IF($Z42="אינה מפותחת","; דגש על הבעה בכתב","")&amp;IF($K42&lt;&gt;"תקין","; נדרש לעבוד על ההנגנה","")&amp;IF($AK42&lt;&gt;"","; "&amp;$AK42,""),3,400))</f>
        <v/>
      </c>
      <c r="AE42" s="32">
        <f>IF($F42="","",IF($F42="תחילת שנה",1,IF($F42="מחצית שנה",2,3)))</f>
        <v/>
      </c>
      <c r="AF42" s="32">
        <f>IF(OR($B42="",$AC42="",$A42="",$F42=""),"",$B42&amp;"|"&amp;$A42&amp;"|"&amp;$F42&amp;"|"&amp;$AC42&amp;"|"&amp;COUNTIFS($B$6:$B42,$B42,$A$6:$A42,$A42,$F$6:$F42,$F42,$AC$6:$AC42,$AC42))</f>
        <v/>
      </c>
      <c r="AG42" s="32">
        <f>IF($C42="","",$C42&amp;"|"&amp;COUNTIFS($C$6:$C42,$C42))</f>
        <v/>
      </c>
      <c r="AH42" s="32">
        <f>IF(OR($C42="",$A42="",$AE42=""),"",$C42&amp;"|"&amp;$A42&amp;"|"&amp;$AE42)</f>
        <v/>
      </c>
      <c r="AI42" s="32">
        <f>IF(OR($C42="",$AE42="",$AE42=1),"",IFERROR(INDEX($AC$6:$AC$1505,MATCH($C42&amp;"|"&amp;$A42&amp;"|"&amp;($AE42-1),$AH$6:$AH$1505,0)),""))</f>
        <v/>
      </c>
      <c r="AJ42" s="32">
        <f>IF(OR($AI42="",$AC42=""),"",IF($AI42=$AC42,"ללא שינוי","מ-"&amp;$AI42&amp;" ל-"&amp;$AC42))</f>
        <v/>
      </c>
      <c r="AK42" s="67" t="n"/>
    </row>
    <row r="43" ht="15.75" customHeight="1" s="58">
      <c r="A43" s="65" t="n"/>
      <c r="B43" s="65" t="n"/>
      <c r="C43" s="66" t="n"/>
      <c r="D43" s="66" t="n"/>
      <c r="E43" s="65" t="n"/>
      <c r="F43" s="65" t="n"/>
      <c r="G43" s="65" t="n"/>
      <c r="H43" s="65" t="n"/>
      <c r="I43" s="65" t="n"/>
      <c r="J43" s="65" t="n"/>
      <c r="K43" s="65" t="n"/>
      <c r="L43" s="65" t="n"/>
      <c r="M43" s="65" t="n"/>
      <c r="N43" s="65" t="n"/>
      <c r="O43" s="65" t="n"/>
      <c r="P43" s="65" t="n"/>
      <c r="Q43" s="65" t="n"/>
      <c r="R43" s="65" t="n"/>
      <c r="S43" s="65" t="n"/>
      <c r="T43" s="65" t="n"/>
      <c r="U43" s="65" t="n"/>
      <c r="V43" s="65" t="n"/>
      <c r="W43" s="65" t="n"/>
      <c r="X43" s="65" t="n"/>
      <c r="Y43" s="32">
        <f>IF($C43="","",IF(COUNTA($I43:$K43)&lt;3,"— חסרים נתונים",IF(AND($I43="תקין",$J43="תקין",$K43="תקין"),"רהוטה",IF(AND($I43="תקין",$J43="תקין"),"מדויקת ורציפה","אינה מדויקת או מקוטעת"))))</f>
        <v/>
      </c>
      <c r="Z43" s="32">
        <f>IF($C43="","",IF(COUNTA($U43:$W43)&lt;3,"",IF(AND($U43="מפותח",$V43="מפותח",$W43="מפותחת"),"מפותחת",IF((--($U43="דל"))+(--($V43="אינו מפותח"))+(--($W43="דלה"))&gt;=2,"אינה מפותחת","חלקית"))))</f>
        <v/>
      </c>
      <c r="AA43" s="32">
        <f>IF($C43="","",IF(COUNTA($M43,$N43,$O43)&lt;3,"— חסרים נתונים",IF(OR($M43="נמוכה",(--($M43&lt;&gt;"תקינה"))+(--($N43&lt;&gt;"תקין"))+(--($O43&lt;&gt;"תקינה"))&gt;=2),"ניכרת","אינה ניכרת")))</f>
        <v/>
      </c>
      <c r="AB43" s="32">
        <f>IF(OR($C43="",$Y43="",$AA43="",LEFT($Y43,1)="—",LEFT($AA43,1)="—"),"",IF($Z43="","— נדרשת הערכת כתיבה",IF($L43="","— חסרה הבנת הנקרא",IF($Y43="אינה מדויקת או מקוטעת",IF($AA43="ניכרת","מיקוד בשטף הקריאה ובכישורי שפה","מיקוד בשטף קריאה"),IF($AA43="ניכרת","מיקוד בכישורי שפה",IF(AND($L43="תקינה",$Z43="מפותחת"),"קוראים וכותבים מיומנים","מיקוד בהבנה והבעה"))))))</f>
        <v/>
      </c>
      <c r="AC43" s="32">
        <f>IF(OR($AB43="",LEFT($AB43,1)="—"),"",IF(OR($AB43="מיקוד בשטף קריאה",$AB43="מיקוד בשטף הקריאה ובכישורי שפה"),"רמה א'",IF($AB43="קוראים וכותבים מיומנים","רמה ג'","רמה ב'")))</f>
        <v/>
      </c>
      <c r="AD43" s="32">
        <f>IF($AC43="","",MID(IF(AND($AC43="רמה א'",$AA43="ניכרת"),"; להוסיף עבודת אוצר מילים","")&amp;IF($Z43="אינה מפותחת","; דגש על הבעה בכתב","")&amp;IF($K43&lt;&gt;"תקין","; נדרש לעבוד על ההנגנה","")&amp;IF($AK43&lt;&gt;"","; "&amp;$AK43,""),3,400))</f>
        <v/>
      </c>
      <c r="AE43" s="32">
        <f>IF($F43="","",IF($F43="תחילת שנה",1,IF($F43="מחצית שנה",2,3)))</f>
        <v/>
      </c>
      <c r="AF43" s="32">
        <f>IF(OR($B43="",$AC43="",$A43="",$F43=""),"",$B43&amp;"|"&amp;$A43&amp;"|"&amp;$F43&amp;"|"&amp;$AC43&amp;"|"&amp;COUNTIFS($B$6:$B43,$B43,$A$6:$A43,$A43,$F$6:$F43,$F43,$AC$6:$AC43,$AC43))</f>
        <v/>
      </c>
      <c r="AG43" s="32">
        <f>IF($C43="","",$C43&amp;"|"&amp;COUNTIFS($C$6:$C43,$C43))</f>
        <v/>
      </c>
      <c r="AH43" s="32">
        <f>IF(OR($C43="",$A43="",$AE43=""),"",$C43&amp;"|"&amp;$A43&amp;"|"&amp;$AE43)</f>
        <v/>
      </c>
      <c r="AI43" s="32">
        <f>IF(OR($C43="",$AE43="",$AE43=1),"",IFERROR(INDEX($AC$6:$AC$1505,MATCH($C43&amp;"|"&amp;$A43&amp;"|"&amp;($AE43-1),$AH$6:$AH$1505,0)),""))</f>
        <v/>
      </c>
      <c r="AJ43" s="32">
        <f>IF(OR($AI43="",$AC43=""),"",IF($AI43=$AC43,"ללא שינוי","מ-"&amp;$AI43&amp;" ל-"&amp;$AC43))</f>
        <v/>
      </c>
      <c r="AK43" s="67" t="n"/>
    </row>
    <row r="44" ht="15.75" customHeight="1" s="58">
      <c r="A44" s="65" t="n"/>
      <c r="B44" s="65" t="n"/>
      <c r="C44" s="66" t="n"/>
      <c r="D44" s="66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5" t="n"/>
      <c r="X44" s="65" t="n"/>
      <c r="Y44" s="32">
        <f>IF($C44="","",IF(COUNTA($I44:$K44)&lt;3,"— חסרים נתונים",IF(AND($I44="תקין",$J44="תקין",$K44="תקין"),"רהוטה",IF(AND($I44="תקין",$J44="תקין"),"מדויקת ורציפה","אינה מדויקת או מקוטעת"))))</f>
        <v/>
      </c>
      <c r="Z44" s="32">
        <f>IF($C44="","",IF(COUNTA($U44:$W44)&lt;3,"",IF(AND($U44="מפותח",$V44="מפותח",$W44="מפותחת"),"מפותחת",IF((--($U44="דל"))+(--($V44="אינו מפותח"))+(--($W44="דלה"))&gt;=2,"אינה מפותחת","חלקית"))))</f>
        <v/>
      </c>
      <c r="AA44" s="32">
        <f>IF($C44="","",IF(COUNTA($M44,$N44,$O44)&lt;3,"— חסרים נתונים",IF(OR($M44="נמוכה",(--($M44&lt;&gt;"תקינה"))+(--($N44&lt;&gt;"תקין"))+(--($O44&lt;&gt;"תקינה"))&gt;=2),"ניכרת","אינה ניכרת")))</f>
        <v/>
      </c>
      <c r="AB44" s="32">
        <f>IF(OR($C44="",$Y44="",$AA44="",LEFT($Y44,1)="—",LEFT($AA44,1)="—"),"",IF($Z44="","— נדרשת הערכת כתיבה",IF($L44="","— חסרה הבנת הנקרא",IF($Y44="אינה מדויקת או מקוטעת",IF($AA44="ניכרת","מיקוד בשטף הקריאה ובכישורי שפה","מיקוד בשטף קריאה"),IF($AA44="ניכרת","מיקוד בכישורי שפה",IF(AND($L44="תקינה",$Z44="מפותחת"),"קוראים וכותבים מיומנים","מיקוד בהבנה והבעה"))))))</f>
        <v/>
      </c>
      <c r="AC44" s="32">
        <f>IF(OR($AB44="",LEFT($AB44,1)="—"),"",IF(OR($AB44="מיקוד בשטף קריאה",$AB44="מיקוד בשטף הקריאה ובכישורי שפה"),"רמה א'",IF($AB44="קוראים וכותבים מיומנים","רמה ג'","רמה ב'")))</f>
        <v/>
      </c>
      <c r="AD44" s="32">
        <f>IF($AC44="","",MID(IF(AND($AC44="רמה א'",$AA44="ניכרת"),"; להוסיף עבודת אוצר מילים","")&amp;IF($Z44="אינה מפותחת","; דגש על הבעה בכתב","")&amp;IF($K44&lt;&gt;"תקין","; נדרש לעבוד על ההנגנה","")&amp;IF($AK44&lt;&gt;"","; "&amp;$AK44,""),3,400))</f>
        <v/>
      </c>
      <c r="AE44" s="32">
        <f>IF($F44="","",IF($F44="תחילת שנה",1,IF($F44="מחצית שנה",2,3)))</f>
        <v/>
      </c>
      <c r="AF44" s="32">
        <f>IF(OR($B44="",$AC44="",$A44="",$F44=""),"",$B44&amp;"|"&amp;$A44&amp;"|"&amp;$F44&amp;"|"&amp;$AC44&amp;"|"&amp;COUNTIFS($B$6:$B44,$B44,$A$6:$A44,$A44,$F$6:$F44,$F44,$AC$6:$AC44,$AC44))</f>
        <v/>
      </c>
      <c r="AG44" s="32">
        <f>IF($C44="","",$C44&amp;"|"&amp;COUNTIFS($C$6:$C44,$C44))</f>
        <v/>
      </c>
      <c r="AH44" s="32">
        <f>IF(OR($C44="",$A44="",$AE44=""),"",$C44&amp;"|"&amp;$A44&amp;"|"&amp;$AE44)</f>
        <v/>
      </c>
      <c r="AI44" s="32">
        <f>IF(OR($C44="",$AE44="",$AE44=1),"",IFERROR(INDEX($AC$6:$AC$1505,MATCH($C44&amp;"|"&amp;$A44&amp;"|"&amp;($AE44-1),$AH$6:$AH$1505,0)),""))</f>
        <v/>
      </c>
      <c r="AJ44" s="32">
        <f>IF(OR($AI44="",$AC44=""),"",IF($AI44=$AC44,"ללא שינוי","מ-"&amp;$AI44&amp;" ל-"&amp;$AC44))</f>
        <v/>
      </c>
      <c r="AK44" s="67" t="n"/>
    </row>
    <row r="45" ht="15.75" customHeight="1" s="58">
      <c r="A45" s="65" t="n"/>
      <c r="B45" s="65" t="n"/>
      <c r="C45" s="66" t="n"/>
      <c r="D45" s="66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32">
        <f>IF($C45="","",IF(COUNTA($I45:$K45)&lt;3,"— חסרים נתונים",IF(AND($I45="תקין",$J45="תקין",$K45="תקין"),"רהוטה",IF(AND($I45="תקין",$J45="תקין"),"מדויקת ורציפה","אינה מדויקת או מקוטעת"))))</f>
        <v/>
      </c>
      <c r="Z45" s="32">
        <f>IF($C45="","",IF(COUNTA($U45:$W45)&lt;3,"",IF(AND($U45="מפותח",$V45="מפותח",$W45="מפותחת"),"מפותחת",IF((--($U45="דל"))+(--($V45="אינו מפותח"))+(--($W45="דלה"))&gt;=2,"אינה מפותחת","חלקית"))))</f>
        <v/>
      </c>
      <c r="AA45" s="32">
        <f>IF($C45="","",IF(COUNTA($M45,$N45,$O45)&lt;3,"— חסרים נתונים",IF(OR($M45="נמוכה",(--($M45&lt;&gt;"תקינה"))+(--($N45&lt;&gt;"תקין"))+(--($O45&lt;&gt;"תקינה"))&gt;=2),"ניכרת","אינה ניכרת")))</f>
        <v/>
      </c>
      <c r="AB45" s="32">
        <f>IF(OR($C45="",$Y45="",$AA45="",LEFT($Y45,1)="—",LEFT($AA45,1)="—"),"",IF($Z45="","— נדרשת הערכת כתיבה",IF($L45="","— חסרה הבנת הנקרא",IF($Y45="אינה מדויקת או מקוטעת",IF($AA45="ניכרת","מיקוד בשטף הקריאה ובכישורי שפה","מיקוד בשטף קריאה"),IF($AA45="ניכרת","מיקוד בכישורי שפה",IF(AND($L45="תקינה",$Z45="מפותחת"),"קוראים וכותבים מיומנים","מיקוד בהבנה והבעה"))))))</f>
        <v/>
      </c>
      <c r="AC45" s="32">
        <f>IF(OR($AB45="",LEFT($AB45,1)="—"),"",IF(OR($AB45="מיקוד בשטף קריאה",$AB45="מיקוד בשטף הקריאה ובכישורי שפה"),"רמה א'",IF($AB45="קוראים וכותבים מיומנים","רמה ג'","רמה ב'")))</f>
        <v/>
      </c>
      <c r="AD45" s="32">
        <f>IF($AC45="","",MID(IF(AND($AC45="רמה א'",$AA45="ניכרת"),"; להוסיף עבודת אוצר מילים","")&amp;IF($Z45="אינה מפותחת","; דגש על הבעה בכתב","")&amp;IF($K45&lt;&gt;"תקין","; נדרש לעבוד על ההנגנה","")&amp;IF($AK45&lt;&gt;"","; "&amp;$AK45,""),3,400))</f>
        <v/>
      </c>
      <c r="AE45" s="32">
        <f>IF($F45="","",IF($F45="תחילת שנה",1,IF($F45="מחצית שנה",2,3)))</f>
        <v/>
      </c>
      <c r="AF45" s="32">
        <f>IF(OR($B45="",$AC45="",$A45="",$F45=""),"",$B45&amp;"|"&amp;$A45&amp;"|"&amp;$F45&amp;"|"&amp;$AC45&amp;"|"&amp;COUNTIFS($B$6:$B45,$B45,$A$6:$A45,$A45,$F$6:$F45,$F45,$AC$6:$AC45,$AC45))</f>
        <v/>
      </c>
      <c r="AG45" s="32">
        <f>IF($C45="","",$C45&amp;"|"&amp;COUNTIFS($C$6:$C45,$C45))</f>
        <v/>
      </c>
      <c r="AH45" s="32">
        <f>IF(OR($C45="",$A45="",$AE45=""),"",$C45&amp;"|"&amp;$A45&amp;"|"&amp;$AE45)</f>
        <v/>
      </c>
      <c r="AI45" s="32">
        <f>IF(OR($C45="",$AE45="",$AE45=1),"",IFERROR(INDEX($AC$6:$AC$1505,MATCH($C45&amp;"|"&amp;$A45&amp;"|"&amp;($AE45-1),$AH$6:$AH$1505,0)),""))</f>
        <v/>
      </c>
      <c r="AJ45" s="32">
        <f>IF(OR($AI45="",$AC45=""),"",IF($AI45=$AC45,"ללא שינוי","מ-"&amp;$AI45&amp;" ל-"&amp;$AC45))</f>
        <v/>
      </c>
      <c r="AK45" s="67" t="n"/>
    </row>
    <row r="46" ht="15.75" customHeight="1" s="58">
      <c r="A46" s="65" t="n"/>
      <c r="B46" s="65" t="n"/>
      <c r="C46" s="66" t="n"/>
      <c r="D46" s="66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  <c r="W46" s="65" t="n"/>
      <c r="X46" s="65" t="n"/>
      <c r="Y46" s="32">
        <f>IF($C46="","",IF(COUNTA($I46:$K46)&lt;3,"— חסרים נתונים",IF(AND($I46="תקין",$J46="תקין",$K46="תקין"),"רהוטה",IF(AND($I46="תקין",$J46="תקין"),"מדויקת ורציפה","אינה מדויקת או מקוטעת"))))</f>
        <v/>
      </c>
      <c r="Z46" s="32">
        <f>IF($C46="","",IF(COUNTA($U46:$W46)&lt;3,"",IF(AND($U46="מפותח",$V46="מפותח",$W46="מפותחת"),"מפותחת",IF((--($U46="דל"))+(--($V46="אינו מפותח"))+(--($W46="דלה"))&gt;=2,"אינה מפותחת","חלקית"))))</f>
        <v/>
      </c>
      <c r="AA46" s="32">
        <f>IF($C46="","",IF(COUNTA($M46,$N46,$O46)&lt;3,"— חסרים נתונים",IF(OR($M46="נמוכה",(--($M46&lt;&gt;"תקינה"))+(--($N46&lt;&gt;"תקין"))+(--($O46&lt;&gt;"תקינה"))&gt;=2),"ניכרת","אינה ניכרת")))</f>
        <v/>
      </c>
      <c r="AB46" s="32">
        <f>IF(OR($C46="",$Y46="",$AA46="",LEFT($Y46,1)="—",LEFT($AA46,1)="—"),"",IF($Z46="","— נדרשת הערכת כתיבה",IF($L46="","— חסרה הבנת הנקרא",IF($Y46="אינה מדויקת או מקוטעת",IF($AA46="ניכרת","מיקוד בשטף הקריאה ובכישורי שפה","מיקוד בשטף קריאה"),IF($AA46="ניכרת","מיקוד בכישורי שפה",IF(AND($L46="תקינה",$Z46="מפותחת"),"קוראים וכותבים מיומנים","מיקוד בהבנה והבעה"))))))</f>
        <v/>
      </c>
      <c r="AC46" s="32">
        <f>IF(OR($AB46="",LEFT($AB46,1)="—"),"",IF(OR($AB46="מיקוד בשטף קריאה",$AB46="מיקוד בשטף הקריאה ובכישורי שפה"),"רמה א'",IF($AB46="קוראים וכותבים מיומנים","רמה ג'","רמה ב'")))</f>
        <v/>
      </c>
      <c r="AD46" s="32">
        <f>IF($AC46="","",MID(IF(AND($AC46="רמה א'",$AA46="ניכרת"),"; להוסיף עבודת אוצר מילים","")&amp;IF($Z46="אינה מפותחת","; דגש על הבעה בכתב","")&amp;IF($K46&lt;&gt;"תקין","; נדרש לעבוד על ההנגנה","")&amp;IF($AK46&lt;&gt;"","; "&amp;$AK46,""),3,400))</f>
        <v/>
      </c>
      <c r="AE46" s="32">
        <f>IF($F46="","",IF($F46="תחילת שנה",1,IF($F46="מחצית שנה",2,3)))</f>
        <v/>
      </c>
      <c r="AF46" s="32">
        <f>IF(OR($B46="",$AC46="",$A46="",$F46=""),"",$B46&amp;"|"&amp;$A46&amp;"|"&amp;$F46&amp;"|"&amp;$AC46&amp;"|"&amp;COUNTIFS($B$6:$B46,$B46,$A$6:$A46,$A46,$F$6:$F46,$F46,$AC$6:$AC46,$AC46))</f>
        <v/>
      </c>
      <c r="AG46" s="32">
        <f>IF($C46="","",$C46&amp;"|"&amp;COUNTIFS($C$6:$C46,$C46))</f>
        <v/>
      </c>
      <c r="AH46" s="32">
        <f>IF(OR($C46="",$A46="",$AE46=""),"",$C46&amp;"|"&amp;$A46&amp;"|"&amp;$AE46)</f>
        <v/>
      </c>
      <c r="AI46" s="32">
        <f>IF(OR($C46="",$AE46="",$AE46=1),"",IFERROR(INDEX($AC$6:$AC$1505,MATCH($C46&amp;"|"&amp;$A46&amp;"|"&amp;($AE46-1),$AH$6:$AH$1505,0)),""))</f>
        <v/>
      </c>
      <c r="AJ46" s="32">
        <f>IF(OR($AI46="",$AC46=""),"",IF($AI46=$AC46,"ללא שינוי","מ-"&amp;$AI46&amp;" ל-"&amp;$AC46))</f>
        <v/>
      </c>
      <c r="AK46" s="67" t="n"/>
    </row>
    <row r="47" ht="15.75" customHeight="1" s="58">
      <c r="A47" s="65" t="n"/>
      <c r="B47" s="65" t="n"/>
      <c r="C47" s="66" t="n"/>
      <c r="D47" s="66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32">
        <f>IF($C47="","",IF(COUNTA($I47:$K47)&lt;3,"— חסרים נתונים",IF(AND($I47="תקין",$J47="תקין",$K47="תקין"),"רהוטה",IF(AND($I47="תקין",$J47="תקין"),"מדויקת ורציפה","אינה מדויקת או מקוטעת"))))</f>
        <v/>
      </c>
      <c r="Z47" s="32">
        <f>IF($C47="","",IF(COUNTA($U47:$W47)&lt;3,"",IF(AND($U47="מפותח",$V47="מפותח",$W47="מפותחת"),"מפותחת",IF((--($U47="דל"))+(--($V47="אינו מפותח"))+(--($W47="דלה"))&gt;=2,"אינה מפותחת","חלקית"))))</f>
        <v/>
      </c>
      <c r="AA47" s="32">
        <f>IF($C47="","",IF(COUNTA($M47,$N47,$O47)&lt;3,"— חסרים נתונים",IF(OR($M47="נמוכה",(--($M47&lt;&gt;"תקינה"))+(--($N47&lt;&gt;"תקין"))+(--($O47&lt;&gt;"תקינה"))&gt;=2),"ניכרת","אינה ניכרת")))</f>
        <v/>
      </c>
      <c r="AB47" s="32">
        <f>IF(OR($C47="",$Y47="",$AA47="",LEFT($Y47,1)="—",LEFT($AA47,1)="—"),"",IF($Z47="","— נדרשת הערכת כתיבה",IF($L47="","— חסרה הבנת הנקרא",IF($Y47="אינה מדויקת או מקוטעת",IF($AA47="ניכרת","מיקוד בשטף הקריאה ובכישורי שפה","מיקוד בשטף קריאה"),IF($AA47="ניכרת","מיקוד בכישורי שפה",IF(AND($L47="תקינה",$Z47="מפותחת"),"קוראים וכותבים מיומנים","מיקוד בהבנה והבעה"))))))</f>
        <v/>
      </c>
      <c r="AC47" s="32">
        <f>IF(OR($AB47="",LEFT($AB47,1)="—"),"",IF(OR($AB47="מיקוד בשטף קריאה",$AB47="מיקוד בשטף הקריאה ובכישורי שפה"),"רמה א'",IF($AB47="קוראים וכותבים מיומנים","רמה ג'","רמה ב'")))</f>
        <v/>
      </c>
      <c r="AD47" s="32">
        <f>IF($AC47="","",MID(IF(AND($AC47="רמה א'",$AA47="ניכרת"),"; להוסיף עבודת אוצר מילים","")&amp;IF($Z47="אינה מפותחת","; דגש על הבעה בכתב","")&amp;IF($K47&lt;&gt;"תקין","; נדרש לעבוד על ההנגנה","")&amp;IF($AK47&lt;&gt;"","; "&amp;$AK47,""),3,400))</f>
        <v/>
      </c>
      <c r="AE47" s="32">
        <f>IF($F47="","",IF($F47="תחילת שנה",1,IF($F47="מחצית שנה",2,3)))</f>
        <v/>
      </c>
      <c r="AF47" s="32">
        <f>IF(OR($B47="",$AC47="",$A47="",$F47=""),"",$B47&amp;"|"&amp;$A47&amp;"|"&amp;$F47&amp;"|"&amp;$AC47&amp;"|"&amp;COUNTIFS($B$6:$B47,$B47,$A$6:$A47,$A47,$F$6:$F47,$F47,$AC$6:$AC47,$AC47))</f>
        <v/>
      </c>
      <c r="AG47" s="32">
        <f>IF($C47="","",$C47&amp;"|"&amp;COUNTIFS($C$6:$C47,$C47))</f>
        <v/>
      </c>
      <c r="AH47" s="32">
        <f>IF(OR($C47="",$A47="",$AE47=""),"",$C47&amp;"|"&amp;$A47&amp;"|"&amp;$AE47)</f>
        <v/>
      </c>
      <c r="AI47" s="32">
        <f>IF(OR($C47="",$AE47="",$AE47=1),"",IFERROR(INDEX($AC$6:$AC$1505,MATCH($C47&amp;"|"&amp;$A47&amp;"|"&amp;($AE47-1),$AH$6:$AH$1505,0)),""))</f>
        <v/>
      </c>
      <c r="AJ47" s="32">
        <f>IF(OR($AI47="",$AC47=""),"",IF($AI47=$AC47,"ללא שינוי","מ-"&amp;$AI47&amp;" ל-"&amp;$AC47))</f>
        <v/>
      </c>
      <c r="AK47" s="67" t="n"/>
    </row>
    <row r="48" ht="15.75" customHeight="1" s="58">
      <c r="A48" s="65" t="n"/>
      <c r="B48" s="65" t="n"/>
      <c r="C48" s="66" t="n"/>
      <c r="D48" s="66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65" t="n"/>
      <c r="X48" s="65" t="n"/>
      <c r="Y48" s="32">
        <f>IF($C48="","",IF(COUNTA($I48:$K48)&lt;3,"— חסרים נתונים",IF(AND($I48="תקין",$J48="תקין",$K48="תקין"),"רהוטה",IF(AND($I48="תקין",$J48="תקין"),"מדויקת ורציפה","אינה מדויקת או מקוטעת"))))</f>
        <v/>
      </c>
      <c r="Z48" s="32">
        <f>IF($C48="","",IF(COUNTA($U48:$W48)&lt;3,"",IF(AND($U48="מפותח",$V48="מפותח",$W48="מפותחת"),"מפותחת",IF((--($U48="דל"))+(--($V48="אינו מפותח"))+(--($W48="דלה"))&gt;=2,"אינה מפותחת","חלקית"))))</f>
        <v/>
      </c>
      <c r="AA48" s="32">
        <f>IF($C48="","",IF(COUNTA($M48,$N48,$O48)&lt;3,"— חסרים נתונים",IF(OR($M48="נמוכה",(--($M48&lt;&gt;"תקינה"))+(--($N48&lt;&gt;"תקין"))+(--($O48&lt;&gt;"תקינה"))&gt;=2),"ניכרת","אינה ניכרת")))</f>
        <v/>
      </c>
      <c r="AB48" s="32">
        <f>IF(OR($C48="",$Y48="",$AA48="",LEFT($Y48,1)="—",LEFT($AA48,1)="—"),"",IF($Z48="","— נדרשת הערכת כתיבה",IF($L48="","— חסרה הבנת הנקרא",IF($Y48="אינה מדויקת או מקוטעת",IF($AA48="ניכרת","מיקוד בשטף הקריאה ובכישורי שפה","מיקוד בשטף קריאה"),IF($AA48="ניכרת","מיקוד בכישורי שפה",IF(AND($L48="תקינה",$Z48="מפותחת"),"קוראים וכותבים מיומנים","מיקוד בהבנה והבעה"))))))</f>
        <v/>
      </c>
      <c r="AC48" s="32">
        <f>IF(OR($AB48="",LEFT($AB48,1)="—"),"",IF(OR($AB48="מיקוד בשטף קריאה",$AB48="מיקוד בשטף הקריאה ובכישורי שפה"),"רמה א'",IF($AB48="קוראים וכותבים מיומנים","רמה ג'","רמה ב'")))</f>
        <v/>
      </c>
      <c r="AD48" s="32">
        <f>IF($AC48="","",MID(IF(AND($AC48="רמה א'",$AA48="ניכרת"),"; להוסיף עבודת אוצר מילים","")&amp;IF($Z48="אינה מפותחת","; דגש על הבעה בכתב","")&amp;IF($K48&lt;&gt;"תקין","; נדרש לעבוד על ההנגנה","")&amp;IF($AK48&lt;&gt;"","; "&amp;$AK48,""),3,400))</f>
        <v/>
      </c>
      <c r="AE48" s="32">
        <f>IF($F48="","",IF($F48="תחילת שנה",1,IF($F48="מחצית שנה",2,3)))</f>
        <v/>
      </c>
      <c r="AF48" s="32">
        <f>IF(OR($B48="",$AC48="",$A48="",$F48=""),"",$B48&amp;"|"&amp;$A48&amp;"|"&amp;$F48&amp;"|"&amp;$AC48&amp;"|"&amp;COUNTIFS($B$6:$B48,$B48,$A$6:$A48,$A48,$F$6:$F48,$F48,$AC$6:$AC48,$AC48))</f>
        <v/>
      </c>
      <c r="AG48" s="32">
        <f>IF($C48="","",$C48&amp;"|"&amp;COUNTIFS($C$6:$C48,$C48))</f>
        <v/>
      </c>
      <c r="AH48" s="32">
        <f>IF(OR($C48="",$A48="",$AE48=""),"",$C48&amp;"|"&amp;$A48&amp;"|"&amp;$AE48)</f>
        <v/>
      </c>
      <c r="AI48" s="32">
        <f>IF(OR($C48="",$AE48="",$AE48=1),"",IFERROR(INDEX($AC$6:$AC$1505,MATCH($C48&amp;"|"&amp;$A48&amp;"|"&amp;($AE48-1),$AH$6:$AH$1505,0)),""))</f>
        <v/>
      </c>
      <c r="AJ48" s="32">
        <f>IF(OR($AI48="",$AC48=""),"",IF($AI48=$AC48,"ללא שינוי","מ-"&amp;$AI48&amp;" ל-"&amp;$AC48))</f>
        <v/>
      </c>
      <c r="AK48" s="67" t="n"/>
    </row>
    <row r="49" ht="15.75" customHeight="1" s="58">
      <c r="A49" s="65" t="n"/>
      <c r="B49" s="65" t="n"/>
      <c r="C49" s="66" t="n"/>
      <c r="D49" s="66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/>
      <c r="Y49" s="32">
        <f>IF($C49="","",IF(COUNTA($I49:$K49)&lt;3,"— חסרים נתונים",IF(AND($I49="תקין",$J49="תקין",$K49="תקין"),"רהוטה",IF(AND($I49="תקין",$J49="תקין"),"מדויקת ורציפה","אינה מדויקת או מקוטעת"))))</f>
        <v/>
      </c>
      <c r="Z49" s="32">
        <f>IF($C49="","",IF(COUNTA($U49:$W49)&lt;3,"",IF(AND($U49="מפותח",$V49="מפותח",$W49="מפותחת"),"מפותחת",IF((--($U49="דל"))+(--($V49="אינו מפותח"))+(--($W49="דלה"))&gt;=2,"אינה מפותחת","חלקית"))))</f>
        <v/>
      </c>
      <c r="AA49" s="32">
        <f>IF($C49="","",IF(COUNTA($M49,$N49,$O49)&lt;3,"— חסרים נתונים",IF(OR($M49="נמוכה",(--($M49&lt;&gt;"תקינה"))+(--($N49&lt;&gt;"תקין"))+(--($O49&lt;&gt;"תקינה"))&gt;=2),"ניכרת","אינה ניכרת")))</f>
        <v/>
      </c>
      <c r="AB49" s="32">
        <f>IF(OR($C49="",$Y49="",$AA49="",LEFT($Y49,1)="—",LEFT($AA49,1)="—"),"",IF($Z49="","— נדרשת הערכת כתיבה",IF($L49="","— חסרה הבנת הנקרא",IF($Y49="אינה מדויקת או מקוטעת",IF($AA49="ניכרת","מיקוד בשטף הקריאה ובכישורי שפה","מיקוד בשטף קריאה"),IF($AA49="ניכרת","מיקוד בכישורי שפה",IF(AND($L49="תקינה",$Z49="מפותחת"),"קוראים וכותבים מיומנים","מיקוד בהבנה והבעה"))))))</f>
        <v/>
      </c>
      <c r="AC49" s="32">
        <f>IF(OR($AB49="",LEFT($AB49,1)="—"),"",IF(OR($AB49="מיקוד בשטף קריאה",$AB49="מיקוד בשטף הקריאה ובכישורי שפה"),"רמה א'",IF($AB49="קוראים וכותבים מיומנים","רמה ג'","רמה ב'")))</f>
        <v/>
      </c>
      <c r="AD49" s="32">
        <f>IF($AC49="","",MID(IF(AND($AC49="רמה א'",$AA49="ניכרת"),"; להוסיף עבודת אוצר מילים","")&amp;IF($Z49="אינה מפותחת","; דגש על הבעה בכתב","")&amp;IF($K49&lt;&gt;"תקין","; נדרש לעבוד על ההנגנה","")&amp;IF($AK49&lt;&gt;"","; "&amp;$AK49,""),3,400))</f>
        <v/>
      </c>
      <c r="AE49" s="32">
        <f>IF($F49="","",IF($F49="תחילת שנה",1,IF($F49="מחצית שנה",2,3)))</f>
        <v/>
      </c>
      <c r="AF49" s="32">
        <f>IF(OR($B49="",$AC49="",$A49="",$F49=""),"",$B49&amp;"|"&amp;$A49&amp;"|"&amp;$F49&amp;"|"&amp;$AC49&amp;"|"&amp;COUNTIFS($B$6:$B49,$B49,$A$6:$A49,$A49,$F$6:$F49,$F49,$AC$6:$AC49,$AC49))</f>
        <v/>
      </c>
      <c r="AG49" s="32">
        <f>IF($C49="","",$C49&amp;"|"&amp;COUNTIFS($C$6:$C49,$C49))</f>
        <v/>
      </c>
      <c r="AH49" s="32">
        <f>IF(OR($C49="",$A49="",$AE49=""),"",$C49&amp;"|"&amp;$A49&amp;"|"&amp;$AE49)</f>
        <v/>
      </c>
      <c r="AI49" s="32">
        <f>IF(OR($C49="",$AE49="",$AE49=1),"",IFERROR(INDEX($AC$6:$AC$1505,MATCH($C49&amp;"|"&amp;$A49&amp;"|"&amp;($AE49-1),$AH$6:$AH$1505,0)),""))</f>
        <v/>
      </c>
      <c r="AJ49" s="32">
        <f>IF(OR($AI49="",$AC49=""),"",IF($AI49=$AC49,"ללא שינוי","מ-"&amp;$AI49&amp;" ל-"&amp;$AC49))</f>
        <v/>
      </c>
      <c r="AK49" s="67" t="n"/>
    </row>
    <row r="50" ht="15.75" customHeight="1" s="58">
      <c r="A50" s="65" t="n"/>
      <c r="B50" s="65" t="n"/>
      <c r="C50" s="66" t="n"/>
      <c r="D50" s="66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32">
        <f>IF($C50="","",IF(COUNTA($I50:$K50)&lt;3,"— חסרים נתונים",IF(AND($I50="תקין",$J50="תקין",$K50="תקין"),"רהוטה",IF(AND($I50="תקין",$J50="תקין"),"מדויקת ורציפה","אינה מדויקת או מקוטעת"))))</f>
        <v/>
      </c>
      <c r="Z50" s="32">
        <f>IF($C50="","",IF(COUNTA($U50:$W50)&lt;3,"",IF(AND($U50="מפותח",$V50="מפותח",$W50="מפותחת"),"מפותחת",IF((--($U50="דל"))+(--($V50="אינו מפותח"))+(--($W50="דלה"))&gt;=2,"אינה מפותחת","חלקית"))))</f>
        <v/>
      </c>
      <c r="AA50" s="32">
        <f>IF($C50="","",IF(COUNTA($M50,$N50,$O50)&lt;3,"— חסרים נתונים",IF(OR($M50="נמוכה",(--($M50&lt;&gt;"תקינה"))+(--($N50&lt;&gt;"תקין"))+(--($O50&lt;&gt;"תקינה"))&gt;=2),"ניכרת","אינה ניכרת")))</f>
        <v/>
      </c>
      <c r="AB50" s="32">
        <f>IF(OR($C50="",$Y50="",$AA50="",LEFT($Y50,1)="—",LEFT($AA50,1)="—"),"",IF($Z50="","— נדרשת הערכת כתיבה",IF($L50="","— חסרה הבנת הנקרא",IF($Y50="אינה מדויקת או מקוטעת",IF($AA50="ניכרת","מיקוד בשטף הקריאה ובכישורי שפה","מיקוד בשטף קריאה"),IF($AA50="ניכרת","מיקוד בכישורי שפה",IF(AND($L50="תקינה",$Z50="מפותחת"),"קוראים וכותבים מיומנים","מיקוד בהבנה והבעה"))))))</f>
        <v/>
      </c>
      <c r="AC50" s="32">
        <f>IF(OR($AB50="",LEFT($AB50,1)="—"),"",IF(OR($AB50="מיקוד בשטף קריאה",$AB50="מיקוד בשטף הקריאה ובכישורי שפה"),"רמה א'",IF($AB50="קוראים וכותבים מיומנים","רמה ג'","רמה ב'")))</f>
        <v/>
      </c>
      <c r="AD50" s="32">
        <f>IF($AC50="","",MID(IF(AND($AC50="רמה א'",$AA50="ניכרת"),"; להוסיף עבודת אוצר מילים","")&amp;IF($Z50="אינה מפותחת","; דגש על הבעה בכתב","")&amp;IF($K50&lt;&gt;"תקין","; נדרש לעבוד על ההנגנה","")&amp;IF($AK50&lt;&gt;"","; "&amp;$AK50,""),3,400))</f>
        <v/>
      </c>
      <c r="AE50" s="32">
        <f>IF($F50="","",IF($F50="תחילת שנה",1,IF($F50="מחצית שנה",2,3)))</f>
        <v/>
      </c>
      <c r="AF50" s="32">
        <f>IF(OR($B50="",$AC50="",$A50="",$F50=""),"",$B50&amp;"|"&amp;$A50&amp;"|"&amp;$F50&amp;"|"&amp;$AC50&amp;"|"&amp;COUNTIFS($B$6:$B50,$B50,$A$6:$A50,$A50,$F$6:$F50,$F50,$AC$6:$AC50,$AC50))</f>
        <v/>
      </c>
      <c r="AG50" s="32">
        <f>IF($C50="","",$C50&amp;"|"&amp;COUNTIFS($C$6:$C50,$C50))</f>
        <v/>
      </c>
      <c r="AH50" s="32">
        <f>IF(OR($C50="",$A50="",$AE50=""),"",$C50&amp;"|"&amp;$A50&amp;"|"&amp;$AE50)</f>
        <v/>
      </c>
      <c r="AI50" s="32">
        <f>IF(OR($C50="",$AE50="",$AE50=1),"",IFERROR(INDEX($AC$6:$AC$1505,MATCH($C50&amp;"|"&amp;$A50&amp;"|"&amp;($AE50-1),$AH$6:$AH$1505,0)),""))</f>
        <v/>
      </c>
      <c r="AJ50" s="32">
        <f>IF(OR($AI50="",$AC50=""),"",IF($AI50=$AC50,"ללא שינוי","מ-"&amp;$AI50&amp;" ל-"&amp;$AC50))</f>
        <v/>
      </c>
      <c r="AK50" s="67" t="n"/>
    </row>
    <row r="51" ht="15.75" customHeight="1" s="58">
      <c r="A51" s="65" t="n"/>
      <c r="B51" s="65" t="n"/>
      <c r="C51" s="66" t="n"/>
      <c r="D51" s="66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32">
        <f>IF($C51="","",IF(COUNTA($I51:$K51)&lt;3,"— חסרים נתונים",IF(AND($I51="תקין",$J51="תקין",$K51="תקין"),"רהוטה",IF(AND($I51="תקין",$J51="תקין"),"מדויקת ורציפה","אינה מדויקת או מקוטעת"))))</f>
        <v/>
      </c>
      <c r="Z51" s="32">
        <f>IF($C51="","",IF(COUNTA($U51:$W51)&lt;3,"",IF(AND($U51="מפותח",$V51="מפותח",$W51="מפותחת"),"מפותחת",IF((--($U51="דל"))+(--($V51="אינו מפותח"))+(--($W51="דלה"))&gt;=2,"אינה מפותחת","חלקית"))))</f>
        <v/>
      </c>
      <c r="AA51" s="32">
        <f>IF($C51="","",IF(COUNTA($M51,$N51,$O51)&lt;3,"— חסרים נתונים",IF(OR($M51="נמוכה",(--($M51&lt;&gt;"תקינה"))+(--($N51&lt;&gt;"תקין"))+(--($O51&lt;&gt;"תקינה"))&gt;=2),"ניכרת","אינה ניכרת")))</f>
        <v/>
      </c>
      <c r="AB51" s="32">
        <f>IF(OR($C51="",$Y51="",$AA51="",LEFT($Y51,1)="—",LEFT($AA51,1)="—"),"",IF($Z51="","— נדרשת הערכת כתיבה",IF($L51="","— חסרה הבנת הנקרא",IF($Y51="אינה מדויקת או מקוטעת",IF($AA51="ניכרת","מיקוד בשטף הקריאה ובכישורי שפה","מיקוד בשטף קריאה"),IF($AA51="ניכרת","מיקוד בכישורי שפה",IF(AND($L51="תקינה",$Z51="מפותחת"),"קוראים וכותבים מיומנים","מיקוד בהבנה והבעה"))))))</f>
        <v/>
      </c>
      <c r="AC51" s="32">
        <f>IF(OR($AB51="",LEFT($AB51,1)="—"),"",IF(OR($AB51="מיקוד בשטף קריאה",$AB51="מיקוד בשטף הקריאה ובכישורי שפה"),"רמה א'",IF($AB51="קוראים וכותבים מיומנים","רמה ג'","רמה ב'")))</f>
        <v/>
      </c>
      <c r="AD51" s="32">
        <f>IF($AC51="","",MID(IF(AND($AC51="רמה א'",$AA51="ניכרת"),"; להוסיף עבודת אוצר מילים","")&amp;IF($Z51="אינה מפותחת","; דגש על הבעה בכתב","")&amp;IF($K51&lt;&gt;"תקין","; נדרש לעבוד על ההנגנה","")&amp;IF($AK51&lt;&gt;"","; "&amp;$AK51,""),3,400))</f>
        <v/>
      </c>
      <c r="AE51" s="32">
        <f>IF($F51="","",IF($F51="תחילת שנה",1,IF($F51="מחצית שנה",2,3)))</f>
        <v/>
      </c>
      <c r="AF51" s="32">
        <f>IF(OR($B51="",$AC51="",$A51="",$F51=""),"",$B51&amp;"|"&amp;$A51&amp;"|"&amp;$F51&amp;"|"&amp;$AC51&amp;"|"&amp;COUNTIFS($B$6:$B51,$B51,$A$6:$A51,$A51,$F$6:$F51,$F51,$AC$6:$AC51,$AC51))</f>
        <v/>
      </c>
      <c r="AG51" s="32">
        <f>IF($C51="","",$C51&amp;"|"&amp;COUNTIFS($C$6:$C51,$C51))</f>
        <v/>
      </c>
      <c r="AH51" s="32">
        <f>IF(OR($C51="",$A51="",$AE51=""),"",$C51&amp;"|"&amp;$A51&amp;"|"&amp;$AE51)</f>
        <v/>
      </c>
      <c r="AI51" s="32">
        <f>IF(OR($C51="",$AE51="",$AE51=1),"",IFERROR(INDEX($AC$6:$AC$1505,MATCH($C51&amp;"|"&amp;$A51&amp;"|"&amp;($AE51-1),$AH$6:$AH$1505,0)),""))</f>
        <v/>
      </c>
      <c r="AJ51" s="32">
        <f>IF(OR($AI51="",$AC51=""),"",IF($AI51=$AC51,"ללא שינוי","מ-"&amp;$AI51&amp;" ל-"&amp;$AC51))</f>
        <v/>
      </c>
      <c r="AK51" s="67" t="n"/>
    </row>
    <row r="52" ht="15.75" customHeight="1" s="58">
      <c r="A52" s="65" t="n"/>
      <c r="B52" s="65" t="n"/>
      <c r="C52" s="66" t="n"/>
      <c r="D52" s="66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  <c r="W52" s="65" t="n"/>
      <c r="X52" s="65" t="n"/>
      <c r="Y52" s="32">
        <f>IF($C52="","",IF(COUNTA($I52:$K52)&lt;3,"— חסרים נתונים",IF(AND($I52="תקין",$J52="תקין",$K52="תקין"),"רהוטה",IF(AND($I52="תקין",$J52="תקין"),"מדויקת ורציפה","אינה מדויקת או מקוטעת"))))</f>
        <v/>
      </c>
      <c r="Z52" s="32">
        <f>IF($C52="","",IF(COUNTA($U52:$W52)&lt;3,"",IF(AND($U52="מפותח",$V52="מפותח",$W52="מפותחת"),"מפותחת",IF((--($U52="דל"))+(--($V52="אינו מפותח"))+(--($W52="דלה"))&gt;=2,"אינה מפותחת","חלקית"))))</f>
        <v/>
      </c>
      <c r="AA52" s="32">
        <f>IF($C52="","",IF(COUNTA($M52,$N52,$O52)&lt;3,"— חסרים נתונים",IF(OR($M52="נמוכה",(--($M52&lt;&gt;"תקינה"))+(--($N52&lt;&gt;"תקין"))+(--($O52&lt;&gt;"תקינה"))&gt;=2),"ניכרת","אינה ניכרת")))</f>
        <v/>
      </c>
      <c r="AB52" s="32">
        <f>IF(OR($C52="",$Y52="",$AA52="",LEFT($Y52,1)="—",LEFT($AA52,1)="—"),"",IF($Z52="","— נדרשת הערכת כתיבה",IF($L52="","— חסרה הבנת הנקרא",IF($Y52="אינה מדויקת או מקוטעת",IF($AA52="ניכרת","מיקוד בשטף הקריאה ובכישורי שפה","מיקוד בשטף קריאה"),IF($AA52="ניכרת","מיקוד בכישורי שפה",IF(AND($L52="תקינה",$Z52="מפותחת"),"קוראים וכותבים מיומנים","מיקוד בהבנה והבעה"))))))</f>
        <v/>
      </c>
      <c r="AC52" s="32">
        <f>IF(OR($AB52="",LEFT($AB52,1)="—"),"",IF(OR($AB52="מיקוד בשטף קריאה",$AB52="מיקוד בשטף הקריאה ובכישורי שפה"),"רמה א'",IF($AB52="קוראים וכותבים מיומנים","רמה ג'","רמה ב'")))</f>
        <v/>
      </c>
      <c r="AD52" s="32">
        <f>IF($AC52="","",MID(IF(AND($AC52="רמה א'",$AA52="ניכרת"),"; להוסיף עבודת אוצר מילים","")&amp;IF($Z52="אינה מפותחת","; דגש על הבעה בכתב","")&amp;IF($K52&lt;&gt;"תקין","; נדרש לעבוד על ההנגנה","")&amp;IF($AK52&lt;&gt;"","; "&amp;$AK52,""),3,400))</f>
        <v/>
      </c>
      <c r="AE52" s="32">
        <f>IF($F52="","",IF($F52="תחילת שנה",1,IF($F52="מחצית שנה",2,3)))</f>
        <v/>
      </c>
      <c r="AF52" s="32">
        <f>IF(OR($B52="",$AC52="",$A52="",$F52=""),"",$B52&amp;"|"&amp;$A52&amp;"|"&amp;$F52&amp;"|"&amp;$AC52&amp;"|"&amp;COUNTIFS($B$6:$B52,$B52,$A$6:$A52,$A52,$F$6:$F52,$F52,$AC$6:$AC52,$AC52))</f>
        <v/>
      </c>
      <c r="AG52" s="32">
        <f>IF($C52="","",$C52&amp;"|"&amp;COUNTIFS($C$6:$C52,$C52))</f>
        <v/>
      </c>
      <c r="AH52" s="32">
        <f>IF(OR($C52="",$A52="",$AE52=""),"",$C52&amp;"|"&amp;$A52&amp;"|"&amp;$AE52)</f>
        <v/>
      </c>
      <c r="AI52" s="32">
        <f>IF(OR($C52="",$AE52="",$AE52=1),"",IFERROR(INDEX($AC$6:$AC$1505,MATCH($C52&amp;"|"&amp;$A52&amp;"|"&amp;($AE52-1),$AH$6:$AH$1505,0)),""))</f>
        <v/>
      </c>
      <c r="AJ52" s="32">
        <f>IF(OR($AI52="",$AC52=""),"",IF($AI52=$AC52,"ללא שינוי","מ-"&amp;$AI52&amp;" ל-"&amp;$AC52))</f>
        <v/>
      </c>
      <c r="AK52" s="67" t="n"/>
    </row>
    <row r="53" ht="15.75" customHeight="1" s="58">
      <c r="A53" s="65" t="n"/>
      <c r="B53" s="65" t="n"/>
      <c r="C53" s="66" t="n"/>
      <c r="D53" s="66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  <c r="W53" s="65" t="n"/>
      <c r="X53" s="65" t="n"/>
      <c r="Y53" s="32">
        <f>IF($C53="","",IF(COUNTA($I53:$K53)&lt;3,"— חסרים נתונים",IF(AND($I53="תקין",$J53="תקין",$K53="תקין"),"רהוטה",IF(AND($I53="תקין",$J53="תקין"),"מדויקת ורציפה","אינה מדויקת או מקוטעת"))))</f>
        <v/>
      </c>
      <c r="Z53" s="32">
        <f>IF($C53="","",IF(COUNTA($U53:$W53)&lt;3,"",IF(AND($U53="מפותח",$V53="מפותח",$W53="מפותחת"),"מפותחת",IF((--($U53="דל"))+(--($V53="אינו מפותח"))+(--($W53="דלה"))&gt;=2,"אינה מפותחת","חלקית"))))</f>
        <v/>
      </c>
      <c r="AA53" s="32">
        <f>IF($C53="","",IF(COUNTA($M53,$N53,$O53)&lt;3,"— חסרים נתונים",IF(OR($M53="נמוכה",(--($M53&lt;&gt;"תקינה"))+(--($N53&lt;&gt;"תקין"))+(--($O53&lt;&gt;"תקינה"))&gt;=2),"ניכרת","אינה ניכרת")))</f>
        <v/>
      </c>
      <c r="AB53" s="32">
        <f>IF(OR($C53="",$Y53="",$AA53="",LEFT($Y53,1)="—",LEFT($AA53,1)="—"),"",IF($Z53="","— נדרשת הערכת כתיבה",IF($L53="","— חסרה הבנת הנקרא",IF($Y53="אינה מדויקת או מקוטעת",IF($AA53="ניכרת","מיקוד בשטף הקריאה ובכישורי שפה","מיקוד בשטף קריאה"),IF($AA53="ניכרת","מיקוד בכישורי שפה",IF(AND($L53="תקינה",$Z53="מפותחת"),"קוראים וכותבים מיומנים","מיקוד בהבנה והבעה"))))))</f>
        <v/>
      </c>
      <c r="AC53" s="32">
        <f>IF(OR($AB53="",LEFT($AB53,1)="—"),"",IF(OR($AB53="מיקוד בשטף קריאה",$AB53="מיקוד בשטף הקריאה ובכישורי שפה"),"רמה א'",IF($AB53="קוראים וכותבים מיומנים","רמה ג'","רמה ב'")))</f>
        <v/>
      </c>
      <c r="AD53" s="32">
        <f>IF($AC53="","",MID(IF(AND($AC53="רמה א'",$AA53="ניכרת"),"; להוסיף עבודת אוצר מילים","")&amp;IF($Z53="אינה מפותחת","; דגש על הבעה בכתב","")&amp;IF($K53&lt;&gt;"תקין","; נדרש לעבוד על ההנגנה","")&amp;IF($AK53&lt;&gt;"","; "&amp;$AK53,""),3,400))</f>
        <v/>
      </c>
      <c r="AE53" s="32">
        <f>IF($F53="","",IF($F53="תחילת שנה",1,IF($F53="מחצית שנה",2,3)))</f>
        <v/>
      </c>
      <c r="AF53" s="32">
        <f>IF(OR($B53="",$AC53="",$A53="",$F53=""),"",$B53&amp;"|"&amp;$A53&amp;"|"&amp;$F53&amp;"|"&amp;$AC53&amp;"|"&amp;COUNTIFS($B$6:$B53,$B53,$A$6:$A53,$A53,$F$6:$F53,$F53,$AC$6:$AC53,$AC53))</f>
        <v/>
      </c>
      <c r="AG53" s="32">
        <f>IF($C53="","",$C53&amp;"|"&amp;COUNTIFS($C$6:$C53,$C53))</f>
        <v/>
      </c>
      <c r="AH53" s="32">
        <f>IF(OR($C53="",$A53="",$AE53=""),"",$C53&amp;"|"&amp;$A53&amp;"|"&amp;$AE53)</f>
        <v/>
      </c>
      <c r="AI53" s="32">
        <f>IF(OR($C53="",$AE53="",$AE53=1),"",IFERROR(INDEX($AC$6:$AC$1505,MATCH($C53&amp;"|"&amp;$A53&amp;"|"&amp;($AE53-1),$AH$6:$AH$1505,0)),""))</f>
        <v/>
      </c>
      <c r="AJ53" s="32">
        <f>IF(OR($AI53="",$AC53=""),"",IF($AI53=$AC53,"ללא שינוי","מ-"&amp;$AI53&amp;" ל-"&amp;$AC53))</f>
        <v/>
      </c>
      <c r="AK53" s="67" t="n"/>
    </row>
    <row r="54" ht="15.75" customHeight="1" s="58">
      <c r="A54" s="65" t="n"/>
      <c r="B54" s="65" t="n"/>
      <c r="C54" s="66" t="n"/>
      <c r="D54" s="66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  <c r="W54" s="65" t="n"/>
      <c r="X54" s="65" t="n"/>
      <c r="Y54" s="32">
        <f>IF($C54="","",IF(COUNTA($I54:$K54)&lt;3,"— חסרים נתונים",IF(AND($I54="תקין",$J54="תקין",$K54="תקין"),"רהוטה",IF(AND($I54="תקין",$J54="תקין"),"מדויקת ורציפה","אינה מדויקת או מקוטעת"))))</f>
        <v/>
      </c>
      <c r="Z54" s="32">
        <f>IF($C54="","",IF(COUNTA($U54:$W54)&lt;3,"",IF(AND($U54="מפותח",$V54="מפותח",$W54="מפותחת"),"מפותחת",IF((--($U54="דל"))+(--($V54="אינו מפותח"))+(--($W54="דלה"))&gt;=2,"אינה מפותחת","חלקית"))))</f>
        <v/>
      </c>
      <c r="AA54" s="32">
        <f>IF($C54="","",IF(COUNTA($M54,$N54,$O54)&lt;3,"— חסרים נתונים",IF(OR($M54="נמוכה",(--($M54&lt;&gt;"תקינה"))+(--($N54&lt;&gt;"תקין"))+(--($O54&lt;&gt;"תקינה"))&gt;=2),"ניכרת","אינה ניכרת")))</f>
        <v/>
      </c>
      <c r="AB54" s="32">
        <f>IF(OR($C54="",$Y54="",$AA54="",LEFT($Y54,1)="—",LEFT($AA54,1)="—"),"",IF($Z54="","— נדרשת הערכת כתיבה",IF($L54="","— חסרה הבנת הנקרא",IF($Y54="אינה מדויקת או מקוטעת",IF($AA54="ניכרת","מיקוד בשטף הקריאה ובכישורי שפה","מיקוד בשטף קריאה"),IF($AA54="ניכרת","מיקוד בכישורי שפה",IF(AND($L54="תקינה",$Z54="מפותחת"),"קוראים וכותבים מיומנים","מיקוד בהבנה והבעה"))))))</f>
        <v/>
      </c>
      <c r="AC54" s="32">
        <f>IF(OR($AB54="",LEFT($AB54,1)="—"),"",IF(OR($AB54="מיקוד בשטף קריאה",$AB54="מיקוד בשטף הקריאה ובכישורי שפה"),"רמה א'",IF($AB54="קוראים וכותבים מיומנים","רמה ג'","רמה ב'")))</f>
        <v/>
      </c>
      <c r="AD54" s="32">
        <f>IF($AC54="","",MID(IF(AND($AC54="רמה א'",$AA54="ניכרת"),"; להוסיף עבודת אוצר מילים","")&amp;IF($Z54="אינה מפותחת","; דגש על הבעה בכתב","")&amp;IF($K54&lt;&gt;"תקין","; נדרש לעבוד על ההנגנה","")&amp;IF($AK54&lt;&gt;"","; "&amp;$AK54,""),3,400))</f>
        <v/>
      </c>
      <c r="AE54" s="32">
        <f>IF($F54="","",IF($F54="תחילת שנה",1,IF($F54="מחצית שנה",2,3)))</f>
        <v/>
      </c>
      <c r="AF54" s="32">
        <f>IF(OR($B54="",$AC54="",$A54="",$F54=""),"",$B54&amp;"|"&amp;$A54&amp;"|"&amp;$F54&amp;"|"&amp;$AC54&amp;"|"&amp;COUNTIFS($B$6:$B54,$B54,$A$6:$A54,$A54,$F$6:$F54,$F54,$AC$6:$AC54,$AC54))</f>
        <v/>
      </c>
      <c r="AG54" s="32">
        <f>IF($C54="","",$C54&amp;"|"&amp;COUNTIFS($C$6:$C54,$C54))</f>
        <v/>
      </c>
      <c r="AH54" s="32">
        <f>IF(OR($C54="",$A54="",$AE54=""),"",$C54&amp;"|"&amp;$A54&amp;"|"&amp;$AE54)</f>
        <v/>
      </c>
      <c r="AI54" s="32">
        <f>IF(OR($C54="",$AE54="",$AE54=1),"",IFERROR(INDEX($AC$6:$AC$1505,MATCH($C54&amp;"|"&amp;$A54&amp;"|"&amp;($AE54-1),$AH$6:$AH$1505,0)),""))</f>
        <v/>
      </c>
      <c r="AJ54" s="32">
        <f>IF(OR($AI54="",$AC54=""),"",IF($AI54=$AC54,"ללא שינוי","מ-"&amp;$AI54&amp;" ל-"&amp;$AC54))</f>
        <v/>
      </c>
      <c r="AK54" s="67" t="n"/>
    </row>
    <row r="55" ht="15.75" customHeight="1" s="58">
      <c r="A55" s="65" t="n"/>
      <c r="B55" s="65" t="n"/>
      <c r="C55" s="66" t="n"/>
      <c r="D55" s="66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  <c r="W55" s="65" t="n"/>
      <c r="X55" s="65" t="n"/>
      <c r="Y55" s="32">
        <f>IF($C55="","",IF(COUNTA($I55:$K55)&lt;3,"— חסרים נתונים",IF(AND($I55="תקין",$J55="תקין",$K55="תקין"),"רהוטה",IF(AND($I55="תקין",$J55="תקין"),"מדויקת ורציפה","אינה מדויקת או מקוטעת"))))</f>
        <v/>
      </c>
      <c r="Z55" s="32">
        <f>IF($C55="","",IF(COUNTA($U55:$W55)&lt;3,"",IF(AND($U55="מפותח",$V55="מפותח",$W55="מפותחת"),"מפותחת",IF((--($U55="דל"))+(--($V55="אינו מפותח"))+(--($W55="דלה"))&gt;=2,"אינה מפותחת","חלקית"))))</f>
        <v/>
      </c>
      <c r="AA55" s="32">
        <f>IF($C55="","",IF(COUNTA($M55,$N55,$O55)&lt;3,"— חסרים נתונים",IF(OR($M55="נמוכה",(--($M55&lt;&gt;"תקינה"))+(--($N55&lt;&gt;"תקין"))+(--($O55&lt;&gt;"תקינה"))&gt;=2),"ניכרת","אינה ניכרת")))</f>
        <v/>
      </c>
      <c r="AB55" s="32">
        <f>IF(OR($C55="",$Y55="",$AA55="",LEFT($Y55,1)="—",LEFT($AA55,1)="—"),"",IF($Z55="","— נדרשת הערכת כתיבה",IF($L55="","— חסרה הבנת הנקרא",IF($Y55="אינה מדויקת או מקוטעת",IF($AA55="ניכרת","מיקוד בשטף הקריאה ובכישורי שפה","מיקוד בשטף קריאה"),IF($AA55="ניכרת","מיקוד בכישורי שפה",IF(AND($L55="תקינה",$Z55="מפותחת"),"קוראים וכותבים מיומנים","מיקוד בהבנה והבעה"))))))</f>
        <v/>
      </c>
      <c r="AC55" s="32">
        <f>IF(OR($AB55="",LEFT($AB55,1)="—"),"",IF(OR($AB55="מיקוד בשטף קריאה",$AB55="מיקוד בשטף הקריאה ובכישורי שפה"),"רמה א'",IF($AB55="קוראים וכותבים מיומנים","רמה ג'","רמה ב'")))</f>
        <v/>
      </c>
      <c r="AD55" s="32">
        <f>IF($AC55="","",MID(IF(AND($AC55="רמה א'",$AA55="ניכרת"),"; להוסיף עבודת אוצר מילים","")&amp;IF($Z55="אינה מפותחת","; דגש על הבעה בכתב","")&amp;IF($K55&lt;&gt;"תקין","; נדרש לעבוד על ההנגנה","")&amp;IF($AK55&lt;&gt;"","; "&amp;$AK55,""),3,400))</f>
        <v/>
      </c>
      <c r="AE55" s="32">
        <f>IF($F55="","",IF($F55="תחילת שנה",1,IF($F55="מחצית שנה",2,3)))</f>
        <v/>
      </c>
      <c r="AF55" s="32">
        <f>IF(OR($B55="",$AC55="",$A55="",$F55=""),"",$B55&amp;"|"&amp;$A55&amp;"|"&amp;$F55&amp;"|"&amp;$AC55&amp;"|"&amp;COUNTIFS($B$6:$B55,$B55,$A$6:$A55,$A55,$F$6:$F55,$F55,$AC$6:$AC55,$AC55))</f>
        <v/>
      </c>
      <c r="AG55" s="32">
        <f>IF($C55="","",$C55&amp;"|"&amp;COUNTIFS($C$6:$C55,$C55))</f>
        <v/>
      </c>
      <c r="AH55" s="32">
        <f>IF(OR($C55="",$A55="",$AE55=""),"",$C55&amp;"|"&amp;$A55&amp;"|"&amp;$AE55)</f>
        <v/>
      </c>
      <c r="AI55" s="32">
        <f>IF(OR($C55="",$AE55="",$AE55=1),"",IFERROR(INDEX($AC$6:$AC$1505,MATCH($C55&amp;"|"&amp;$A55&amp;"|"&amp;($AE55-1),$AH$6:$AH$1505,0)),""))</f>
        <v/>
      </c>
      <c r="AJ55" s="32">
        <f>IF(OR($AI55="",$AC55=""),"",IF($AI55=$AC55,"ללא שינוי","מ-"&amp;$AI55&amp;" ל-"&amp;$AC55))</f>
        <v/>
      </c>
      <c r="AK55" s="67" t="n"/>
    </row>
    <row r="56" ht="15.75" customHeight="1" s="58">
      <c r="A56" s="65" t="n"/>
      <c r="B56" s="65" t="n"/>
      <c r="C56" s="66" t="n"/>
      <c r="D56" s="66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  <c r="W56" s="65" t="n"/>
      <c r="X56" s="65" t="n"/>
      <c r="Y56" s="32">
        <f>IF($C56="","",IF(COUNTA($I56:$K56)&lt;3,"— חסרים נתונים",IF(AND($I56="תקין",$J56="תקין",$K56="תקין"),"רהוטה",IF(AND($I56="תקין",$J56="תקין"),"מדויקת ורציפה","אינה מדויקת או מקוטעת"))))</f>
        <v/>
      </c>
      <c r="Z56" s="32">
        <f>IF($C56="","",IF(COUNTA($U56:$W56)&lt;3,"",IF(AND($U56="מפותח",$V56="מפותח",$W56="מפותחת"),"מפותחת",IF((--($U56="דל"))+(--($V56="אינו מפותח"))+(--($W56="דלה"))&gt;=2,"אינה מפותחת","חלקית"))))</f>
        <v/>
      </c>
      <c r="AA56" s="32">
        <f>IF($C56="","",IF(COUNTA($M56,$N56,$O56)&lt;3,"— חסרים נתונים",IF(OR($M56="נמוכה",(--($M56&lt;&gt;"תקינה"))+(--($N56&lt;&gt;"תקין"))+(--($O56&lt;&gt;"תקינה"))&gt;=2),"ניכרת","אינה ניכרת")))</f>
        <v/>
      </c>
      <c r="AB56" s="32">
        <f>IF(OR($C56="",$Y56="",$AA56="",LEFT($Y56,1)="—",LEFT($AA56,1)="—"),"",IF($Z56="","— נדרשת הערכת כתיבה",IF($L56="","— חסרה הבנת הנקרא",IF($Y56="אינה מדויקת או מקוטעת",IF($AA56="ניכרת","מיקוד בשטף הקריאה ובכישורי שפה","מיקוד בשטף קריאה"),IF($AA56="ניכרת","מיקוד בכישורי שפה",IF(AND($L56="תקינה",$Z56="מפותחת"),"קוראים וכותבים מיומנים","מיקוד בהבנה והבעה"))))))</f>
        <v/>
      </c>
      <c r="AC56" s="32">
        <f>IF(OR($AB56="",LEFT($AB56,1)="—"),"",IF(OR($AB56="מיקוד בשטף קריאה",$AB56="מיקוד בשטף הקריאה ובכישורי שפה"),"רמה א'",IF($AB56="קוראים וכותבים מיומנים","רמה ג'","רמה ב'")))</f>
        <v/>
      </c>
      <c r="AD56" s="32">
        <f>IF($AC56="","",MID(IF(AND($AC56="רמה א'",$AA56="ניכרת"),"; להוסיף עבודת אוצר מילים","")&amp;IF($Z56="אינה מפותחת","; דגש על הבעה בכתב","")&amp;IF($K56&lt;&gt;"תקין","; נדרש לעבוד על ההנגנה","")&amp;IF($AK56&lt;&gt;"","; "&amp;$AK56,""),3,400))</f>
        <v/>
      </c>
      <c r="AE56" s="32">
        <f>IF($F56="","",IF($F56="תחילת שנה",1,IF($F56="מחצית שנה",2,3)))</f>
        <v/>
      </c>
      <c r="AF56" s="32">
        <f>IF(OR($B56="",$AC56="",$A56="",$F56=""),"",$B56&amp;"|"&amp;$A56&amp;"|"&amp;$F56&amp;"|"&amp;$AC56&amp;"|"&amp;COUNTIFS($B$6:$B56,$B56,$A$6:$A56,$A56,$F$6:$F56,$F56,$AC$6:$AC56,$AC56))</f>
        <v/>
      </c>
      <c r="AG56" s="32">
        <f>IF($C56="","",$C56&amp;"|"&amp;COUNTIFS($C$6:$C56,$C56))</f>
        <v/>
      </c>
      <c r="AH56" s="32">
        <f>IF(OR($C56="",$A56="",$AE56=""),"",$C56&amp;"|"&amp;$A56&amp;"|"&amp;$AE56)</f>
        <v/>
      </c>
      <c r="AI56" s="32">
        <f>IF(OR($C56="",$AE56="",$AE56=1),"",IFERROR(INDEX($AC$6:$AC$1505,MATCH($C56&amp;"|"&amp;$A56&amp;"|"&amp;($AE56-1),$AH$6:$AH$1505,0)),""))</f>
        <v/>
      </c>
      <c r="AJ56" s="32">
        <f>IF(OR($AI56="",$AC56=""),"",IF($AI56=$AC56,"ללא שינוי","מ-"&amp;$AI56&amp;" ל-"&amp;$AC56))</f>
        <v/>
      </c>
      <c r="AK56" s="67" t="n"/>
    </row>
    <row r="57" ht="15.75" customHeight="1" s="58">
      <c r="A57" s="65" t="n"/>
      <c r="B57" s="65" t="n"/>
      <c r="C57" s="66" t="n"/>
      <c r="D57" s="66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  <c r="W57" s="65" t="n"/>
      <c r="X57" s="65" t="n"/>
      <c r="Y57" s="32">
        <f>IF($C57="","",IF(COUNTA($I57:$K57)&lt;3,"— חסרים נתונים",IF(AND($I57="תקין",$J57="תקין",$K57="תקין"),"רהוטה",IF(AND($I57="תקין",$J57="תקין"),"מדויקת ורציפה","אינה מדויקת או מקוטעת"))))</f>
        <v/>
      </c>
      <c r="Z57" s="32">
        <f>IF($C57="","",IF(COUNTA($U57:$W57)&lt;3,"",IF(AND($U57="מפותח",$V57="מפותח",$W57="מפותחת"),"מפותחת",IF((--($U57="דל"))+(--($V57="אינו מפותח"))+(--($W57="דלה"))&gt;=2,"אינה מפותחת","חלקית"))))</f>
        <v/>
      </c>
      <c r="AA57" s="32">
        <f>IF($C57="","",IF(COUNTA($M57,$N57,$O57)&lt;3,"— חסרים נתונים",IF(OR($M57="נמוכה",(--($M57&lt;&gt;"תקינה"))+(--($N57&lt;&gt;"תקין"))+(--($O57&lt;&gt;"תקינה"))&gt;=2),"ניכרת","אינה ניכרת")))</f>
        <v/>
      </c>
      <c r="AB57" s="32">
        <f>IF(OR($C57="",$Y57="",$AA57="",LEFT($Y57,1)="—",LEFT($AA57,1)="—"),"",IF($Z57="","— נדרשת הערכת כתיבה",IF($L57="","— חסרה הבנת הנקרא",IF($Y57="אינה מדויקת או מקוטעת",IF($AA57="ניכרת","מיקוד בשטף הקריאה ובכישורי שפה","מיקוד בשטף קריאה"),IF($AA57="ניכרת","מיקוד בכישורי שפה",IF(AND($L57="תקינה",$Z57="מפותחת"),"קוראים וכותבים מיומנים","מיקוד בהבנה והבעה"))))))</f>
        <v/>
      </c>
      <c r="AC57" s="32">
        <f>IF(OR($AB57="",LEFT($AB57,1)="—"),"",IF(OR($AB57="מיקוד בשטף קריאה",$AB57="מיקוד בשטף הקריאה ובכישורי שפה"),"רמה א'",IF($AB57="קוראים וכותבים מיומנים","רמה ג'","רמה ב'")))</f>
        <v/>
      </c>
      <c r="AD57" s="32">
        <f>IF($AC57="","",MID(IF(AND($AC57="רמה א'",$AA57="ניכרת"),"; להוסיף עבודת אוצר מילים","")&amp;IF($Z57="אינה מפותחת","; דגש על הבעה בכתב","")&amp;IF($K57&lt;&gt;"תקין","; נדרש לעבוד על ההנגנה","")&amp;IF($AK57&lt;&gt;"","; "&amp;$AK57,""),3,400))</f>
        <v/>
      </c>
      <c r="AE57" s="32">
        <f>IF($F57="","",IF($F57="תחילת שנה",1,IF($F57="מחצית שנה",2,3)))</f>
        <v/>
      </c>
      <c r="AF57" s="32">
        <f>IF(OR($B57="",$AC57="",$A57="",$F57=""),"",$B57&amp;"|"&amp;$A57&amp;"|"&amp;$F57&amp;"|"&amp;$AC57&amp;"|"&amp;COUNTIFS($B$6:$B57,$B57,$A$6:$A57,$A57,$F$6:$F57,$F57,$AC$6:$AC57,$AC57))</f>
        <v/>
      </c>
      <c r="AG57" s="32">
        <f>IF($C57="","",$C57&amp;"|"&amp;COUNTIFS($C$6:$C57,$C57))</f>
        <v/>
      </c>
      <c r="AH57" s="32">
        <f>IF(OR($C57="",$A57="",$AE57=""),"",$C57&amp;"|"&amp;$A57&amp;"|"&amp;$AE57)</f>
        <v/>
      </c>
      <c r="AI57" s="32">
        <f>IF(OR($C57="",$AE57="",$AE57=1),"",IFERROR(INDEX($AC$6:$AC$1505,MATCH($C57&amp;"|"&amp;$A57&amp;"|"&amp;($AE57-1),$AH$6:$AH$1505,0)),""))</f>
        <v/>
      </c>
      <c r="AJ57" s="32">
        <f>IF(OR($AI57="",$AC57=""),"",IF($AI57=$AC57,"ללא שינוי","מ-"&amp;$AI57&amp;" ל-"&amp;$AC57))</f>
        <v/>
      </c>
      <c r="AK57" s="67" t="n"/>
    </row>
    <row r="58" ht="15.75" customHeight="1" s="58">
      <c r="A58" s="65" t="n"/>
      <c r="B58" s="65" t="n"/>
      <c r="C58" s="66" t="n"/>
      <c r="D58" s="66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  <c r="W58" s="65" t="n"/>
      <c r="X58" s="65" t="n"/>
      <c r="Y58" s="32">
        <f>IF($C58="","",IF(COUNTA($I58:$K58)&lt;3,"— חסרים נתונים",IF(AND($I58="תקין",$J58="תקין",$K58="תקין"),"רהוטה",IF(AND($I58="תקין",$J58="תקין"),"מדויקת ורציפה","אינה מדויקת או מקוטעת"))))</f>
        <v/>
      </c>
      <c r="Z58" s="32">
        <f>IF($C58="","",IF(COUNTA($U58:$W58)&lt;3,"",IF(AND($U58="מפותח",$V58="מפותח",$W58="מפותחת"),"מפותחת",IF((--($U58="דל"))+(--($V58="אינו מפותח"))+(--($W58="דלה"))&gt;=2,"אינה מפותחת","חלקית"))))</f>
        <v/>
      </c>
      <c r="AA58" s="32">
        <f>IF($C58="","",IF(COUNTA($M58,$N58,$O58)&lt;3,"— חסרים נתונים",IF(OR($M58="נמוכה",(--($M58&lt;&gt;"תקינה"))+(--($N58&lt;&gt;"תקין"))+(--($O58&lt;&gt;"תקינה"))&gt;=2),"ניכרת","אינה ניכרת")))</f>
        <v/>
      </c>
      <c r="AB58" s="32">
        <f>IF(OR($C58="",$Y58="",$AA58="",LEFT($Y58,1)="—",LEFT($AA58,1)="—"),"",IF($Z58="","— נדרשת הערכת כתיבה",IF($L58="","— חסרה הבנת הנקרא",IF($Y58="אינה מדויקת או מקוטעת",IF($AA58="ניכרת","מיקוד בשטף הקריאה ובכישורי שפה","מיקוד בשטף קריאה"),IF($AA58="ניכרת","מיקוד בכישורי שפה",IF(AND($L58="תקינה",$Z58="מפותחת"),"קוראים וכותבים מיומנים","מיקוד בהבנה והבעה"))))))</f>
        <v/>
      </c>
      <c r="AC58" s="32">
        <f>IF(OR($AB58="",LEFT($AB58,1)="—"),"",IF(OR($AB58="מיקוד בשטף קריאה",$AB58="מיקוד בשטף הקריאה ובכישורי שפה"),"רמה א'",IF($AB58="קוראים וכותבים מיומנים","רמה ג'","רמה ב'")))</f>
        <v/>
      </c>
      <c r="AD58" s="32">
        <f>IF($AC58="","",MID(IF(AND($AC58="רמה א'",$AA58="ניכרת"),"; להוסיף עבודת אוצר מילים","")&amp;IF($Z58="אינה מפותחת","; דגש על הבעה בכתב","")&amp;IF($K58&lt;&gt;"תקין","; נדרש לעבוד על ההנגנה","")&amp;IF($AK58&lt;&gt;"","; "&amp;$AK58,""),3,400))</f>
        <v/>
      </c>
      <c r="AE58" s="32">
        <f>IF($F58="","",IF($F58="תחילת שנה",1,IF($F58="מחצית שנה",2,3)))</f>
        <v/>
      </c>
      <c r="AF58" s="32">
        <f>IF(OR($B58="",$AC58="",$A58="",$F58=""),"",$B58&amp;"|"&amp;$A58&amp;"|"&amp;$F58&amp;"|"&amp;$AC58&amp;"|"&amp;COUNTIFS($B$6:$B58,$B58,$A$6:$A58,$A58,$F$6:$F58,$F58,$AC$6:$AC58,$AC58))</f>
        <v/>
      </c>
      <c r="AG58" s="32">
        <f>IF($C58="","",$C58&amp;"|"&amp;COUNTIFS($C$6:$C58,$C58))</f>
        <v/>
      </c>
      <c r="AH58" s="32">
        <f>IF(OR($C58="",$A58="",$AE58=""),"",$C58&amp;"|"&amp;$A58&amp;"|"&amp;$AE58)</f>
        <v/>
      </c>
      <c r="AI58" s="32">
        <f>IF(OR($C58="",$AE58="",$AE58=1),"",IFERROR(INDEX($AC$6:$AC$1505,MATCH($C58&amp;"|"&amp;$A58&amp;"|"&amp;($AE58-1),$AH$6:$AH$1505,0)),""))</f>
        <v/>
      </c>
      <c r="AJ58" s="32">
        <f>IF(OR($AI58="",$AC58=""),"",IF($AI58=$AC58,"ללא שינוי","מ-"&amp;$AI58&amp;" ל-"&amp;$AC58))</f>
        <v/>
      </c>
      <c r="AK58" s="67" t="n"/>
    </row>
    <row r="59" ht="15.75" customHeight="1" s="58">
      <c r="A59" s="65" t="n"/>
      <c r="B59" s="65" t="n"/>
      <c r="C59" s="66" t="n"/>
      <c r="D59" s="66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  <c r="W59" s="65" t="n"/>
      <c r="X59" s="65" t="n"/>
      <c r="Y59" s="32">
        <f>IF($C59="","",IF(COUNTA($I59:$K59)&lt;3,"— חסרים נתונים",IF(AND($I59="תקין",$J59="תקין",$K59="תקין"),"רהוטה",IF(AND($I59="תקין",$J59="תקין"),"מדויקת ורציפה","אינה מדויקת או מקוטעת"))))</f>
        <v/>
      </c>
      <c r="Z59" s="32">
        <f>IF($C59="","",IF(COUNTA($U59:$W59)&lt;3,"",IF(AND($U59="מפותח",$V59="מפותח",$W59="מפותחת"),"מפותחת",IF((--($U59="דל"))+(--($V59="אינו מפותח"))+(--($W59="דלה"))&gt;=2,"אינה מפותחת","חלקית"))))</f>
        <v/>
      </c>
      <c r="AA59" s="32">
        <f>IF($C59="","",IF(COUNTA($M59,$N59,$O59)&lt;3,"— חסרים נתונים",IF(OR($M59="נמוכה",(--($M59&lt;&gt;"תקינה"))+(--($N59&lt;&gt;"תקין"))+(--($O59&lt;&gt;"תקינה"))&gt;=2),"ניכרת","אינה ניכרת")))</f>
        <v/>
      </c>
      <c r="AB59" s="32">
        <f>IF(OR($C59="",$Y59="",$AA59="",LEFT($Y59,1)="—",LEFT($AA59,1)="—"),"",IF($Z59="","— נדרשת הערכת כתיבה",IF($L59="","— חסרה הבנת הנקרא",IF($Y59="אינה מדויקת או מקוטעת",IF($AA59="ניכרת","מיקוד בשטף הקריאה ובכישורי שפה","מיקוד בשטף קריאה"),IF($AA59="ניכרת","מיקוד בכישורי שפה",IF(AND($L59="תקינה",$Z59="מפותחת"),"קוראים וכותבים מיומנים","מיקוד בהבנה והבעה"))))))</f>
        <v/>
      </c>
      <c r="AC59" s="32">
        <f>IF(OR($AB59="",LEFT($AB59,1)="—"),"",IF(OR($AB59="מיקוד בשטף קריאה",$AB59="מיקוד בשטף הקריאה ובכישורי שפה"),"רמה א'",IF($AB59="קוראים וכותבים מיומנים","רמה ג'","רמה ב'")))</f>
        <v/>
      </c>
      <c r="AD59" s="32">
        <f>IF($AC59="","",MID(IF(AND($AC59="רמה א'",$AA59="ניכרת"),"; להוסיף עבודת אוצר מילים","")&amp;IF($Z59="אינה מפותחת","; דגש על הבעה בכתב","")&amp;IF($K59&lt;&gt;"תקין","; נדרש לעבוד על ההנגנה","")&amp;IF($AK59&lt;&gt;"","; "&amp;$AK59,""),3,400))</f>
        <v/>
      </c>
      <c r="AE59" s="32">
        <f>IF($F59="","",IF($F59="תחילת שנה",1,IF($F59="מחצית שנה",2,3)))</f>
        <v/>
      </c>
      <c r="AF59" s="32">
        <f>IF(OR($B59="",$AC59="",$A59="",$F59=""),"",$B59&amp;"|"&amp;$A59&amp;"|"&amp;$F59&amp;"|"&amp;$AC59&amp;"|"&amp;COUNTIFS($B$6:$B59,$B59,$A$6:$A59,$A59,$F$6:$F59,$F59,$AC$6:$AC59,$AC59))</f>
        <v/>
      </c>
      <c r="AG59" s="32">
        <f>IF($C59="","",$C59&amp;"|"&amp;COUNTIFS($C$6:$C59,$C59))</f>
        <v/>
      </c>
      <c r="AH59" s="32">
        <f>IF(OR($C59="",$A59="",$AE59=""),"",$C59&amp;"|"&amp;$A59&amp;"|"&amp;$AE59)</f>
        <v/>
      </c>
      <c r="AI59" s="32">
        <f>IF(OR($C59="",$AE59="",$AE59=1),"",IFERROR(INDEX($AC$6:$AC$1505,MATCH($C59&amp;"|"&amp;$A59&amp;"|"&amp;($AE59-1),$AH$6:$AH$1505,0)),""))</f>
        <v/>
      </c>
      <c r="AJ59" s="32">
        <f>IF(OR($AI59="",$AC59=""),"",IF($AI59=$AC59,"ללא שינוי","מ-"&amp;$AI59&amp;" ל-"&amp;$AC59))</f>
        <v/>
      </c>
      <c r="AK59" s="67" t="n"/>
    </row>
    <row r="60" ht="15.75" customHeight="1" s="58">
      <c r="A60" s="65" t="n"/>
      <c r="B60" s="65" t="n"/>
      <c r="C60" s="66" t="n"/>
      <c r="D60" s="66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  <c r="W60" s="65" t="n"/>
      <c r="X60" s="65" t="n"/>
      <c r="Y60" s="32">
        <f>IF($C60="","",IF(COUNTA($I60:$K60)&lt;3,"— חסרים נתונים",IF(AND($I60="תקין",$J60="תקין",$K60="תקין"),"רהוטה",IF(AND($I60="תקין",$J60="תקין"),"מדויקת ורציפה","אינה מדויקת או מקוטעת"))))</f>
        <v/>
      </c>
      <c r="Z60" s="32">
        <f>IF($C60="","",IF(COUNTA($U60:$W60)&lt;3,"",IF(AND($U60="מפותח",$V60="מפותח",$W60="מפותחת"),"מפותחת",IF((--($U60="דל"))+(--($V60="אינו מפותח"))+(--($W60="דלה"))&gt;=2,"אינה מפותחת","חלקית"))))</f>
        <v/>
      </c>
      <c r="AA60" s="32">
        <f>IF($C60="","",IF(COUNTA($M60,$N60,$O60)&lt;3,"— חסרים נתונים",IF(OR($M60="נמוכה",(--($M60&lt;&gt;"תקינה"))+(--($N60&lt;&gt;"תקין"))+(--($O60&lt;&gt;"תקינה"))&gt;=2),"ניכרת","אינה ניכרת")))</f>
        <v/>
      </c>
      <c r="AB60" s="32">
        <f>IF(OR($C60="",$Y60="",$AA60="",LEFT($Y60,1)="—",LEFT($AA60,1)="—"),"",IF($Z60="","— נדרשת הערכת כתיבה",IF($L60="","— חסרה הבנת הנקרא",IF($Y60="אינה מדויקת או מקוטעת",IF($AA60="ניכרת","מיקוד בשטף הקריאה ובכישורי שפה","מיקוד בשטף קריאה"),IF($AA60="ניכרת","מיקוד בכישורי שפה",IF(AND($L60="תקינה",$Z60="מפותחת"),"קוראים וכותבים מיומנים","מיקוד בהבנה והבעה"))))))</f>
        <v/>
      </c>
      <c r="AC60" s="32">
        <f>IF(OR($AB60="",LEFT($AB60,1)="—"),"",IF(OR($AB60="מיקוד בשטף קריאה",$AB60="מיקוד בשטף הקריאה ובכישורי שפה"),"רמה א'",IF($AB60="קוראים וכותבים מיומנים","רמה ג'","רמה ב'")))</f>
        <v/>
      </c>
      <c r="AD60" s="32">
        <f>IF($AC60="","",MID(IF(AND($AC60="רמה א'",$AA60="ניכרת"),"; להוסיף עבודת אוצר מילים","")&amp;IF($Z60="אינה מפותחת","; דגש על הבעה בכתב","")&amp;IF($K60&lt;&gt;"תקין","; נדרש לעבוד על ההנגנה","")&amp;IF($AK60&lt;&gt;"","; "&amp;$AK60,""),3,400))</f>
        <v/>
      </c>
      <c r="AE60" s="32">
        <f>IF($F60="","",IF($F60="תחילת שנה",1,IF($F60="מחצית שנה",2,3)))</f>
        <v/>
      </c>
      <c r="AF60" s="32">
        <f>IF(OR($B60="",$AC60="",$A60="",$F60=""),"",$B60&amp;"|"&amp;$A60&amp;"|"&amp;$F60&amp;"|"&amp;$AC60&amp;"|"&amp;COUNTIFS($B$6:$B60,$B60,$A$6:$A60,$A60,$F$6:$F60,$F60,$AC$6:$AC60,$AC60))</f>
        <v/>
      </c>
      <c r="AG60" s="32">
        <f>IF($C60="","",$C60&amp;"|"&amp;COUNTIFS($C$6:$C60,$C60))</f>
        <v/>
      </c>
      <c r="AH60" s="32">
        <f>IF(OR($C60="",$A60="",$AE60=""),"",$C60&amp;"|"&amp;$A60&amp;"|"&amp;$AE60)</f>
        <v/>
      </c>
      <c r="AI60" s="32">
        <f>IF(OR($C60="",$AE60="",$AE60=1),"",IFERROR(INDEX($AC$6:$AC$1505,MATCH($C60&amp;"|"&amp;$A60&amp;"|"&amp;($AE60-1),$AH$6:$AH$1505,0)),""))</f>
        <v/>
      </c>
      <c r="AJ60" s="32">
        <f>IF(OR($AI60="",$AC60=""),"",IF($AI60=$AC60,"ללא שינוי","מ-"&amp;$AI60&amp;" ל-"&amp;$AC60))</f>
        <v/>
      </c>
      <c r="AK60" s="67" t="n"/>
    </row>
    <row r="61" ht="15.75" customHeight="1" s="58">
      <c r="A61" s="65" t="n"/>
      <c r="B61" s="65" t="n"/>
      <c r="C61" s="66" t="n"/>
      <c r="D61" s="66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  <c r="Y61" s="32">
        <f>IF($C61="","",IF(COUNTA($I61:$K61)&lt;3,"— חסרים נתונים",IF(AND($I61="תקין",$J61="תקין",$K61="תקין"),"רהוטה",IF(AND($I61="תקין",$J61="תקין"),"מדויקת ורציפה","אינה מדויקת או מקוטעת"))))</f>
        <v/>
      </c>
      <c r="Z61" s="32">
        <f>IF($C61="","",IF(COUNTA($U61:$W61)&lt;3,"",IF(AND($U61="מפותח",$V61="מפותח",$W61="מפותחת"),"מפותחת",IF((--($U61="דל"))+(--($V61="אינו מפותח"))+(--($W61="דלה"))&gt;=2,"אינה מפותחת","חלקית"))))</f>
        <v/>
      </c>
      <c r="AA61" s="32">
        <f>IF($C61="","",IF(COUNTA($M61,$N61,$O61)&lt;3,"— חסרים נתונים",IF(OR($M61="נמוכה",(--($M61&lt;&gt;"תקינה"))+(--($N61&lt;&gt;"תקין"))+(--($O61&lt;&gt;"תקינה"))&gt;=2),"ניכרת","אינה ניכרת")))</f>
        <v/>
      </c>
      <c r="AB61" s="32">
        <f>IF(OR($C61="",$Y61="",$AA61="",LEFT($Y61,1)="—",LEFT($AA61,1)="—"),"",IF($Z61="","— נדרשת הערכת כתיבה",IF($L61="","— חסרה הבנת הנקרא",IF($Y61="אינה מדויקת או מקוטעת",IF($AA61="ניכרת","מיקוד בשטף הקריאה ובכישורי שפה","מיקוד בשטף קריאה"),IF($AA61="ניכרת","מיקוד בכישורי שפה",IF(AND($L61="תקינה",$Z61="מפותחת"),"קוראים וכותבים מיומנים","מיקוד בהבנה והבעה"))))))</f>
        <v/>
      </c>
      <c r="AC61" s="32">
        <f>IF(OR($AB61="",LEFT($AB61,1)="—"),"",IF(OR($AB61="מיקוד בשטף קריאה",$AB61="מיקוד בשטף הקריאה ובכישורי שפה"),"רמה א'",IF($AB61="קוראים וכותבים מיומנים","רמה ג'","רמה ב'")))</f>
        <v/>
      </c>
      <c r="AD61" s="32">
        <f>IF($AC61="","",MID(IF(AND($AC61="רמה א'",$AA61="ניכרת"),"; להוסיף עבודת אוצר מילים","")&amp;IF($Z61="אינה מפותחת","; דגש על הבעה בכתב","")&amp;IF($K61&lt;&gt;"תקין","; נדרש לעבוד על ההנגנה","")&amp;IF($AK61&lt;&gt;"","; "&amp;$AK61,""),3,400))</f>
        <v/>
      </c>
      <c r="AE61" s="32">
        <f>IF($F61="","",IF($F61="תחילת שנה",1,IF($F61="מחצית שנה",2,3)))</f>
        <v/>
      </c>
      <c r="AF61" s="32">
        <f>IF(OR($B61="",$AC61="",$A61="",$F61=""),"",$B61&amp;"|"&amp;$A61&amp;"|"&amp;$F61&amp;"|"&amp;$AC61&amp;"|"&amp;COUNTIFS($B$6:$B61,$B61,$A$6:$A61,$A61,$F$6:$F61,$F61,$AC$6:$AC61,$AC61))</f>
        <v/>
      </c>
      <c r="AG61" s="32">
        <f>IF($C61="","",$C61&amp;"|"&amp;COUNTIFS($C$6:$C61,$C61))</f>
        <v/>
      </c>
      <c r="AH61" s="32">
        <f>IF(OR($C61="",$A61="",$AE61=""),"",$C61&amp;"|"&amp;$A61&amp;"|"&amp;$AE61)</f>
        <v/>
      </c>
      <c r="AI61" s="32">
        <f>IF(OR($C61="",$AE61="",$AE61=1),"",IFERROR(INDEX($AC$6:$AC$1505,MATCH($C61&amp;"|"&amp;$A61&amp;"|"&amp;($AE61-1),$AH$6:$AH$1505,0)),""))</f>
        <v/>
      </c>
      <c r="AJ61" s="32">
        <f>IF(OR($AI61="",$AC61=""),"",IF($AI61=$AC61,"ללא שינוי","מ-"&amp;$AI61&amp;" ל-"&amp;$AC61))</f>
        <v/>
      </c>
      <c r="AK61" s="67" t="n"/>
    </row>
    <row r="62" ht="15.75" customHeight="1" s="58">
      <c r="A62" s="65" t="n"/>
      <c r="B62" s="65" t="n"/>
      <c r="C62" s="66" t="n"/>
      <c r="D62" s="66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5" t="n"/>
      <c r="U62" s="65" t="n"/>
      <c r="V62" s="65" t="n"/>
      <c r="W62" s="65" t="n"/>
      <c r="X62" s="65" t="n"/>
      <c r="Y62" s="32">
        <f>IF($C62="","",IF(COUNTA($I62:$K62)&lt;3,"— חסרים נתונים",IF(AND($I62="תקין",$J62="תקין",$K62="תקין"),"רהוטה",IF(AND($I62="תקין",$J62="תקין"),"מדויקת ורציפה","אינה מדויקת או מקוטעת"))))</f>
        <v/>
      </c>
      <c r="Z62" s="32">
        <f>IF($C62="","",IF(COUNTA($U62:$W62)&lt;3,"",IF(AND($U62="מפותח",$V62="מפותח",$W62="מפותחת"),"מפותחת",IF((--($U62="דל"))+(--($V62="אינו מפותח"))+(--($W62="דלה"))&gt;=2,"אינה מפותחת","חלקית"))))</f>
        <v/>
      </c>
      <c r="AA62" s="32">
        <f>IF($C62="","",IF(COUNTA($M62,$N62,$O62)&lt;3,"— חסרים נתונים",IF(OR($M62="נמוכה",(--($M62&lt;&gt;"תקינה"))+(--($N62&lt;&gt;"תקין"))+(--($O62&lt;&gt;"תקינה"))&gt;=2),"ניכרת","אינה ניכרת")))</f>
        <v/>
      </c>
      <c r="AB62" s="32">
        <f>IF(OR($C62="",$Y62="",$AA62="",LEFT($Y62,1)="—",LEFT($AA62,1)="—"),"",IF($Z62="","— נדרשת הערכת כתיבה",IF($L62="","— חסרה הבנת הנקרא",IF($Y62="אינה מדויקת או מקוטעת",IF($AA62="ניכרת","מיקוד בשטף הקריאה ובכישורי שפה","מיקוד בשטף קריאה"),IF($AA62="ניכרת","מיקוד בכישורי שפה",IF(AND($L62="תקינה",$Z62="מפותחת"),"קוראים וכותבים מיומנים","מיקוד בהבנה והבעה"))))))</f>
        <v/>
      </c>
      <c r="AC62" s="32">
        <f>IF(OR($AB62="",LEFT($AB62,1)="—"),"",IF(OR($AB62="מיקוד בשטף קריאה",$AB62="מיקוד בשטף הקריאה ובכישורי שפה"),"רמה א'",IF($AB62="קוראים וכותבים מיומנים","רמה ג'","רמה ב'")))</f>
        <v/>
      </c>
      <c r="AD62" s="32">
        <f>IF($AC62="","",MID(IF(AND($AC62="רמה א'",$AA62="ניכרת"),"; להוסיף עבודת אוצר מילים","")&amp;IF($Z62="אינה מפותחת","; דגש על הבעה בכתב","")&amp;IF($K62&lt;&gt;"תקין","; נדרש לעבוד על ההנגנה","")&amp;IF($AK62&lt;&gt;"","; "&amp;$AK62,""),3,400))</f>
        <v/>
      </c>
      <c r="AE62" s="32">
        <f>IF($F62="","",IF($F62="תחילת שנה",1,IF($F62="מחצית שנה",2,3)))</f>
        <v/>
      </c>
      <c r="AF62" s="32">
        <f>IF(OR($B62="",$AC62="",$A62="",$F62=""),"",$B62&amp;"|"&amp;$A62&amp;"|"&amp;$F62&amp;"|"&amp;$AC62&amp;"|"&amp;COUNTIFS($B$6:$B62,$B62,$A$6:$A62,$A62,$F$6:$F62,$F62,$AC$6:$AC62,$AC62))</f>
        <v/>
      </c>
      <c r="AG62" s="32">
        <f>IF($C62="","",$C62&amp;"|"&amp;COUNTIFS($C$6:$C62,$C62))</f>
        <v/>
      </c>
      <c r="AH62" s="32">
        <f>IF(OR($C62="",$A62="",$AE62=""),"",$C62&amp;"|"&amp;$A62&amp;"|"&amp;$AE62)</f>
        <v/>
      </c>
      <c r="AI62" s="32">
        <f>IF(OR($C62="",$AE62="",$AE62=1),"",IFERROR(INDEX($AC$6:$AC$1505,MATCH($C62&amp;"|"&amp;$A62&amp;"|"&amp;($AE62-1),$AH$6:$AH$1505,0)),""))</f>
        <v/>
      </c>
      <c r="AJ62" s="32">
        <f>IF(OR($AI62="",$AC62=""),"",IF($AI62=$AC62,"ללא שינוי","מ-"&amp;$AI62&amp;" ל-"&amp;$AC62))</f>
        <v/>
      </c>
      <c r="AK62" s="67" t="n"/>
    </row>
    <row r="63" ht="15.75" customHeight="1" s="58">
      <c r="A63" s="65" t="n"/>
      <c r="B63" s="65" t="n"/>
      <c r="C63" s="66" t="n"/>
      <c r="D63" s="66" t="n"/>
      <c r="E63" s="65" t="n"/>
      <c r="F63" s="65" t="n"/>
      <c r="G63" s="65" t="n"/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65" t="n"/>
      <c r="R63" s="65" t="n"/>
      <c r="S63" s="65" t="n"/>
      <c r="T63" s="65" t="n"/>
      <c r="U63" s="65" t="n"/>
      <c r="V63" s="65" t="n"/>
      <c r="W63" s="65" t="n"/>
      <c r="X63" s="65" t="n"/>
      <c r="Y63" s="32">
        <f>IF($C63="","",IF(COUNTA($I63:$K63)&lt;3,"— חסרים נתונים",IF(AND($I63="תקין",$J63="תקין",$K63="תקין"),"רהוטה",IF(AND($I63="תקין",$J63="תקין"),"מדויקת ורציפה","אינה מדויקת או מקוטעת"))))</f>
        <v/>
      </c>
      <c r="Z63" s="32">
        <f>IF($C63="","",IF(COUNTA($U63:$W63)&lt;3,"",IF(AND($U63="מפותח",$V63="מפותח",$W63="מפותחת"),"מפותחת",IF((--($U63="דל"))+(--($V63="אינו מפותח"))+(--($W63="דלה"))&gt;=2,"אינה מפותחת","חלקית"))))</f>
        <v/>
      </c>
      <c r="AA63" s="32">
        <f>IF($C63="","",IF(COUNTA($M63,$N63,$O63)&lt;3,"— חסרים נתונים",IF(OR($M63="נמוכה",(--($M63&lt;&gt;"תקינה"))+(--($N63&lt;&gt;"תקין"))+(--($O63&lt;&gt;"תקינה"))&gt;=2),"ניכרת","אינה ניכרת")))</f>
        <v/>
      </c>
      <c r="AB63" s="32">
        <f>IF(OR($C63="",$Y63="",$AA63="",LEFT($Y63,1)="—",LEFT($AA63,1)="—"),"",IF($Z63="","— נדרשת הערכת כתיבה",IF($L63="","— חסרה הבנת הנקרא",IF($Y63="אינה מדויקת או מקוטעת",IF($AA63="ניכרת","מיקוד בשטף הקריאה ובכישורי שפה","מיקוד בשטף קריאה"),IF($AA63="ניכרת","מיקוד בכישורי שפה",IF(AND($L63="תקינה",$Z63="מפותחת"),"קוראים וכותבים מיומנים","מיקוד בהבנה והבעה"))))))</f>
        <v/>
      </c>
      <c r="AC63" s="32">
        <f>IF(OR($AB63="",LEFT($AB63,1)="—"),"",IF(OR($AB63="מיקוד בשטף קריאה",$AB63="מיקוד בשטף הקריאה ובכישורי שפה"),"רמה א'",IF($AB63="קוראים וכותבים מיומנים","רמה ג'","רמה ב'")))</f>
        <v/>
      </c>
      <c r="AD63" s="32">
        <f>IF($AC63="","",MID(IF(AND($AC63="רמה א'",$AA63="ניכרת"),"; להוסיף עבודת אוצר מילים","")&amp;IF($Z63="אינה מפותחת","; דגש על הבעה בכתב","")&amp;IF($K63&lt;&gt;"תקין","; נדרש לעבוד על ההנגנה","")&amp;IF($AK63&lt;&gt;"","; "&amp;$AK63,""),3,400))</f>
        <v/>
      </c>
      <c r="AE63" s="32">
        <f>IF($F63="","",IF($F63="תחילת שנה",1,IF($F63="מחצית שנה",2,3)))</f>
        <v/>
      </c>
      <c r="AF63" s="32">
        <f>IF(OR($B63="",$AC63="",$A63="",$F63=""),"",$B63&amp;"|"&amp;$A63&amp;"|"&amp;$F63&amp;"|"&amp;$AC63&amp;"|"&amp;COUNTIFS($B$6:$B63,$B63,$A$6:$A63,$A63,$F$6:$F63,$F63,$AC$6:$AC63,$AC63))</f>
        <v/>
      </c>
      <c r="AG63" s="32">
        <f>IF($C63="","",$C63&amp;"|"&amp;COUNTIFS($C$6:$C63,$C63))</f>
        <v/>
      </c>
      <c r="AH63" s="32">
        <f>IF(OR($C63="",$A63="",$AE63=""),"",$C63&amp;"|"&amp;$A63&amp;"|"&amp;$AE63)</f>
        <v/>
      </c>
      <c r="AI63" s="32">
        <f>IF(OR($C63="",$AE63="",$AE63=1),"",IFERROR(INDEX($AC$6:$AC$1505,MATCH($C63&amp;"|"&amp;$A63&amp;"|"&amp;($AE63-1),$AH$6:$AH$1505,0)),""))</f>
        <v/>
      </c>
      <c r="AJ63" s="32">
        <f>IF(OR($AI63="",$AC63=""),"",IF($AI63=$AC63,"ללא שינוי","מ-"&amp;$AI63&amp;" ל-"&amp;$AC63))</f>
        <v/>
      </c>
      <c r="AK63" s="67" t="n"/>
    </row>
    <row r="64" ht="15.75" customHeight="1" s="58">
      <c r="A64" s="65" t="n"/>
      <c r="B64" s="65" t="n"/>
      <c r="C64" s="66" t="n"/>
      <c r="D64" s="66" t="n"/>
      <c r="E64" s="65" t="n"/>
      <c r="F64" s="65" t="n"/>
      <c r="G64" s="65" t="n"/>
      <c r="H64" s="65" t="n"/>
      <c r="I64" s="65" t="n"/>
      <c r="J64" s="65" t="n"/>
      <c r="K64" s="65" t="n"/>
      <c r="L64" s="65" t="n"/>
      <c r="M64" s="65" t="n"/>
      <c r="N64" s="65" t="n"/>
      <c r="O64" s="65" t="n"/>
      <c r="P64" s="65" t="n"/>
      <c r="Q64" s="65" t="n"/>
      <c r="R64" s="65" t="n"/>
      <c r="S64" s="65" t="n"/>
      <c r="T64" s="65" t="n"/>
      <c r="U64" s="65" t="n"/>
      <c r="V64" s="65" t="n"/>
      <c r="W64" s="65" t="n"/>
      <c r="X64" s="65" t="n"/>
      <c r="Y64" s="32">
        <f>IF($C64="","",IF(COUNTA($I64:$K64)&lt;3,"— חסרים נתונים",IF(AND($I64="תקין",$J64="תקין",$K64="תקין"),"רהוטה",IF(AND($I64="תקין",$J64="תקין"),"מדויקת ורציפה","אינה מדויקת או מקוטעת"))))</f>
        <v/>
      </c>
      <c r="Z64" s="32">
        <f>IF($C64="","",IF(COUNTA($U64:$W64)&lt;3,"",IF(AND($U64="מפותח",$V64="מפותח",$W64="מפותחת"),"מפותחת",IF((--($U64="דל"))+(--($V64="אינו מפותח"))+(--($W64="דלה"))&gt;=2,"אינה מפותחת","חלקית"))))</f>
        <v/>
      </c>
      <c r="AA64" s="32">
        <f>IF($C64="","",IF(COUNTA($M64,$N64,$O64)&lt;3,"— חסרים נתונים",IF(OR($M64="נמוכה",(--($M64&lt;&gt;"תקינה"))+(--($N64&lt;&gt;"תקין"))+(--($O64&lt;&gt;"תקינה"))&gt;=2),"ניכרת","אינה ניכרת")))</f>
        <v/>
      </c>
      <c r="AB64" s="32">
        <f>IF(OR($C64="",$Y64="",$AA64="",LEFT($Y64,1)="—",LEFT($AA64,1)="—"),"",IF($Z64="","— נדרשת הערכת כתיבה",IF($L64="","— חסרה הבנת הנקרא",IF($Y64="אינה מדויקת או מקוטעת",IF($AA64="ניכרת","מיקוד בשטף הקריאה ובכישורי שפה","מיקוד בשטף קריאה"),IF($AA64="ניכרת","מיקוד בכישורי שפה",IF(AND($L64="תקינה",$Z64="מפותחת"),"קוראים וכותבים מיומנים","מיקוד בהבנה והבעה"))))))</f>
        <v/>
      </c>
      <c r="AC64" s="32">
        <f>IF(OR($AB64="",LEFT($AB64,1)="—"),"",IF(OR($AB64="מיקוד בשטף קריאה",$AB64="מיקוד בשטף הקריאה ובכישורי שפה"),"רמה א'",IF($AB64="קוראים וכותבים מיומנים","רמה ג'","רמה ב'")))</f>
        <v/>
      </c>
      <c r="AD64" s="32">
        <f>IF($AC64="","",MID(IF(AND($AC64="רמה א'",$AA64="ניכרת"),"; להוסיף עבודת אוצר מילים","")&amp;IF($Z64="אינה מפותחת","; דגש על הבעה בכתב","")&amp;IF($K64&lt;&gt;"תקין","; נדרש לעבוד על ההנגנה","")&amp;IF($AK64&lt;&gt;"","; "&amp;$AK64,""),3,400))</f>
        <v/>
      </c>
      <c r="AE64" s="32">
        <f>IF($F64="","",IF($F64="תחילת שנה",1,IF($F64="מחצית שנה",2,3)))</f>
        <v/>
      </c>
      <c r="AF64" s="32">
        <f>IF(OR($B64="",$AC64="",$A64="",$F64=""),"",$B64&amp;"|"&amp;$A64&amp;"|"&amp;$F64&amp;"|"&amp;$AC64&amp;"|"&amp;COUNTIFS($B$6:$B64,$B64,$A$6:$A64,$A64,$F$6:$F64,$F64,$AC$6:$AC64,$AC64))</f>
        <v/>
      </c>
      <c r="AG64" s="32">
        <f>IF($C64="","",$C64&amp;"|"&amp;COUNTIFS($C$6:$C64,$C64))</f>
        <v/>
      </c>
      <c r="AH64" s="32">
        <f>IF(OR($C64="",$A64="",$AE64=""),"",$C64&amp;"|"&amp;$A64&amp;"|"&amp;$AE64)</f>
        <v/>
      </c>
      <c r="AI64" s="32">
        <f>IF(OR($C64="",$AE64="",$AE64=1),"",IFERROR(INDEX($AC$6:$AC$1505,MATCH($C64&amp;"|"&amp;$A64&amp;"|"&amp;($AE64-1),$AH$6:$AH$1505,0)),""))</f>
        <v/>
      </c>
      <c r="AJ64" s="32">
        <f>IF(OR($AI64="",$AC64=""),"",IF($AI64=$AC64,"ללא שינוי","מ-"&amp;$AI64&amp;" ל-"&amp;$AC64))</f>
        <v/>
      </c>
      <c r="AK64" s="67" t="n"/>
    </row>
    <row r="65" ht="15.75" customHeight="1" s="58">
      <c r="A65" s="65" t="n"/>
      <c r="B65" s="65" t="n"/>
      <c r="C65" s="66" t="n"/>
      <c r="D65" s="66" t="n"/>
      <c r="E65" s="65" t="n"/>
      <c r="F65" s="65" t="n"/>
      <c r="G65" s="65" t="n"/>
      <c r="H65" s="65" t="n"/>
      <c r="I65" s="65" t="n"/>
      <c r="J65" s="65" t="n"/>
      <c r="K65" s="65" t="n"/>
      <c r="L65" s="65" t="n"/>
      <c r="M65" s="65" t="n"/>
      <c r="N65" s="65" t="n"/>
      <c r="O65" s="65" t="n"/>
      <c r="P65" s="65" t="n"/>
      <c r="Q65" s="65" t="n"/>
      <c r="R65" s="65" t="n"/>
      <c r="S65" s="65" t="n"/>
      <c r="T65" s="65" t="n"/>
      <c r="U65" s="65" t="n"/>
      <c r="V65" s="65" t="n"/>
      <c r="W65" s="65" t="n"/>
      <c r="X65" s="65" t="n"/>
      <c r="Y65" s="32">
        <f>IF($C65="","",IF(COUNTA($I65:$K65)&lt;3,"— חסרים נתונים",IF(AND($I65="תקין",$J65="תקין",$K65="תקין"),"רהוטה",IF(AND($I65="תקין",$J65="תקין"),"מדויקת ורציפה","אינה מדויקת או מקוטעת"))))</f>
        <v/>
      </c>
      <c r="Z65" s="32">
        <f>IF($C65="","",IF(COUNTA($U65:$W65)&lt;3,"",IF(AND($U65="מפותח",$V65="מפותח",$W65="מפותחת"),"מפותחת",IF((--($U65="דל"))+(--($V65="אינו מפותח"))+(--($W65="דלה"))&gt;=2,"אינה מפותחת","חלקית"))))</f>
        <v/>
      </c>
      <c r="AA65" s="32">
        <f>IF($C65="","",IF(COUNTA($M65,$N65,$O65)&lt;3,"— חסרים נתונים",IF(OR($M65="נמוכה",(--($M65&lt;&gt;"תקינה"))+(--($N65&lt;&gt;"תקין"))+(--($O65&lt;&gt;"תקינה"))&gt;=2),"ניכרת","אינה ניכרת")))</f>
        <v/>
      </c>
      <c r="AB65" s="32">
        <f>IF(OR($C65="",$Y65="",$AA65="",LEFT($Y65,1)="—",LEFT($AA65,1)="—"),"",IF($Z65="","— נדרשת הערכת כתיבה",IF($L65="","— חסרה הבנת הנקרא",IF($Y65="אינה מדויקת או מקוטעת",IF($AA65="ניכרת","מיקוד בשטף הקריאה ובכישורי שפה","מיקוד בשטף קריאה"),IF($AA65="ניכרת","מיקוד בכישורי שפה",IF(AND($L65="תקינה",$Z65="מפותחת"),"קוראים וכותבים מיומנים","מיקוד בהבנה והבעה"))))))</f>
        <v/>
      </c>
      <c r="AC65" s="32">
        <f>IF(OR($AB65="",LEFT($AB65,1)="—"),"",IF(OR($AB65="מיקוד בשטף קריאה",$AB65="מיקוד בשטף הקריאה ובכישורי שפה"),"רמה א'",IF($AB65="קוראים וכותבים מיומנים","רמה ג'","רמה ב'")))</f>
        <v/>
      </c>
      <c r="AD65" s="32">
        <f>IF($AC65="","",MID(IF(AND($AC65="רמה א'",$AA65="ניכרת"),"; להוסיף עבודת אוצר מילים","")&amp;IF($Z65="אינה מפותחת","; דגש על הבעה בכתב","")&amp;IF($K65&lt;&gt;"תקין","; נדרש לעבוד על ההנגנה","")&amp;IF($AK65&lt;&gt;"","; "&amp;$AK65,""),3,400))</f>
        <v/>
      </c>
      <c r="AE65" s="32">
        <f>IF($F65="","",IF($F65="תחילת שנה",1,IF($F65="מחצית שנה",2,3)))</f>
        <v/>
      </c>
      <c r="AF65" s="32">
        <f>IF(OR($B65="",$AC65="",$A65="",$F65=""),"",$B65&amp;"|"&amp;$A65&amp;"|"&amp;$F65&amp;"|"&amp;$AC65&amp;"|"&amp;COUNTIFS($B$6:$B65,$B65,$A$6:$A65,$A65,$F$6:$F65,$F65,$AC$6:$AC65,$AC65))</f>
        <v/>
      </c>
      <c r="AG65" s="32">
        <f>IF($C65="","",$C65&amp;"|"&amp;COUNTIFS($C$6:$C65,$C65))</f>
        <v/>
      </c>
      <c r="AH65" s="32">
        <f>IF(OR($C65="",$A65="",$AE65=""),"",$C65&amp;"|"&amp;$A65&amp;"|"&amp;$AE65)</f>
        <v/>
      </c>
      <c r="AI65" s="32">
        <f>IF(OR($C65="",$AE65="",$AE65=1),"",IFERROR(INDEX($AC$6:$AC$1505,MATCH($C65&amp;"|"&amp;$A65&amp;"|"&amp;($AE65-1),$AH$6:$AH$1505,0)),""))</f>
        <v/>
      </c>
      <c r="AJ65" s="32">
        <f>IF(OR($AI65="",$AC65=""),"",IF($AI65=$AC65,"ללא שינוי","מ-"&amp;$AI65&amp;" ל-"&amp;$AC65))</f>
        <v/>
      </c>
      <c r="AK65" s="67" t="n"/>
    </row>
    <row r="66" ht="15.75" customHeight="1" s="58">
      <c r="A66" s="65" t="n"/>
      <c r="B66" s="65" t="n"/>
      <c r="C66" s="66" t="n"/>
      <c r="D66" s="66" t="n"/>
      <c r="E66" s="65" t="n"/>
      <c r="F66" s="65" t="n"/>
      <c r="G66" s="65" t="n"/>
      <c r="H66" s="65" t="n"/>
      <c r="I66" s="65" t="n"/>
      <c r="J66" s="65" t="n"/>
      <c r="K66" s="65" t="n"/>
      <c r="L66" s="65" t="n"/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/>
      <c r="V66" s="65" t="n"/>
      <c r="W66" s="65" t="n"/>
      <c r="X66" s="65" t="n"/>
      <c r="Y66" s="32">
        <f>IF($C66="","",IF(COUNTA($I66:$K66)&lt;3,"— חסרים נתונים",IF(AND($I66="תקין",$J66="תקין",$K66="תקין"),"רהוטה",IF(AND($I66="תקין",$J66="תקין"),"מדויקת ורציפה","אינה מדויקת או מקוטעת"))))</f>
        <v/>
      </c>
      <c r="Z66" s="32">
        <f>IF($C66="","",IF(COUNTA($U66:$W66)&lt;3,"",IF(AND($U66="מפותח",$V66="מפותח",$W66="מפותחת"),"מפותחת",IF((--($U66="דל"))+(--($V66="אינו מפותח"))+(--($W66="דלה"))&gt;=2,"אינה מפותחת","חלקית"))))</f>
        <v/>
      </c>
      <c r="AA66" s="32">
        <f>IF($C66="","",IF(COUNTA($M66,$N66,$O66)&lt;3,"— חסרים נתונים",IF(OR($M66="נמוכה",(--($M66&lt;&gt;"תקינה"))+(--($N66&lt;&gt;"תקין"))+(--($O66&lt;&gt;"תקינה"))&gt;=2),"ניכרת","אינה ניכרת")))</f>
        <v/>
      </c>
      <c r="AB66" s="32">
        <f>IF(OR($C66="",$Y66="",$AA66="",LEFT($Y66,1)="—",LEFT($AA66,1)="—"),"",IF($Z66="","— נדרשת הערכת כתיבה",IF($L66="","— חסרה הבנת הנקרא",IF($Y66="אינה מדויקת או מקוטעת",IF($AA66="ניכרת","מיקוד בשטף הקריאה ובכישורי שפה","מיקוד בשטף קריאה"),IF($AA66="ניכרת","מיקוד בכישורי שפה",IF(AND($L66="תקינה",$Z66="מפותחת"),"קוראים וכותבים מיומנים","מיקוד בהבנה והבעה"))))))</f>
        <v/>
      </c>
      <c r="AC66" s="32">
        <f>IF(OR($AB66="",LEFT($AB66,1)="—"),"",IF(OR($AB66="מיקוד בשטף קריאה",$AB66="מיקוד בשטף הקריאה ובכישורי שפה"),"רמה א'",IF($AB66="קוראים וכותבים מיומנים","רמה ג'","רמה ב'")))</f>
        <v/>
      </c>
      <c r="AD66" s="32">
        <f>IF($AC66="","",MID(IF(AND($AC66="רמה א'",$AA66="ניכרת"),"; להוסיף עבודת אוצר מילים","")&amp;IF($Z66="אינה מפותחת","; דגש על הבעה בכתב","")&amp;IF($K66&lt;&gt;"תקין","; נדרש לעבוד על ההנגנה","")&amp;IF($AK66&lt;&gt;"","; "&amp;$AK66,""),3,400))</f>
        <v/>
      </c>
      <c r="AE66" s="32">
        <f>IF($F66="","",IF($F66="תחילת שנה",1,IF($F66="מחצית שנה",2,3)))</f>
        <v/>
      </c>
      <c r="AF66" s="32">
        <f>IF(OR($B66="",$AC66="",$A66="",$F66=""),"",$B66&amp;"|"&amp;$A66&amp;"|"&amp;$F66&amp;"|"&amp;$AC66&amp;"|"&amp;COUNTIFS($B$6:$B66,$B66,$A$6:$A66,$A66,$F$6:$F66,$F66,$AC$6:$AC66,$AC66))</f>
        <v/>
      </c>
      <c r="AG66" s="32">
        <f>IF($C66="","",$C66&amp;"|"&amp;COUNTIFS($C$6:$C66,$C66))</f>
        <v/>
      </c>
      <c r="AH66" s="32">
        <f>IF(OR($C66="",$A66="",$AE66=""),"",$C66&amp;"|"&amp;$A66&amp;"|"&amp;$AE66)</f>
        <v/>
      </c>
      <c r="AI66" s="32">
        <f>IF(OR($C66="",$AE66="",$AE66=1),"",IFERROR(INDEX($AC$6:$AC$1505,MATCH($C66&amp;"|"&amp;$A66&amp;"|"&amp;($AE66-1),$AH$6:$AH$1505,0)),""))</f>
        <v/>
      </c>
      <c r="AJ66" s="32">
        <f>IF(OR($AI66="",$AC66=""),"",IF($AI66=$AC66,"ללא שינוי","מ-"&amp;$AI66&amp;" ל-"&amp;$AC66))</f>
        <v/>
      </c>
      <c r="AK66" s="67" t="n"/>
    </row>
    <row r="67" ht="15.75" customHeight="1" s="58">
      <c r="A67" s="65" t="n"/>
      <c r="B67" s="65" t="n"/>
      <c r="C67" s="66" t="n"/>
      <c r="D67" s="66" t="n"/>
      <c r="E67" s="65" t="n"/>
      <c r="F67" s="65" t="n"/>
      <c r="G67" s="65" t="n"/>
      <c r="H67" s="65" t="n"/>
      <c r="I67" s="65" t="n"/>
      <c r="J67" s="65" t="n"/>
      <c r="K67" s="65" t="n"/>
      <c r="L67" s="65" t="n"/>
      <c r="M67" s="65" t="n"/>
      <c r="N67" s="65" t="n"/>
      <c r="O67" s="65" t="n"/>
      <c r="P67" s="65" t="n"/>
      <c r="Q67" s="65" t="n"/>
      <c r="R67" s="65" t="n"/>
      <c r="S67" s="65" t="n"/>
      <c r="T67" s="65" t="n"/>
      <c r="U67" s="65" t="n"/>
      <c r="V67" s="65" t="n"/>
      <c r="W67" s="65" t="n"/>
      <c r="X67" s="65" t="n"/>
      <c r="Y67" s="32">
        <f>IF($C67="","",IF(COUNTA($I67:$K67)&lt;3,"— חסרים נתונים",IF(AND($I67="תקין",$J67="תקין",$K67="תקין"),"רהוטה",IF(AND($I67="תקין",$J67="תקין"),"מדויקת ורציפה","אינה מדויקת או מקוטעת"))))</f>
        <v/>
      </c>
      <c r="Z67" s="32">
        <f>IF($C67="","",IF(COUNTA($U67:$W67)&lt;3,"",IF(AND($U67="מפותח",$V67="מפותח",$W67="מפותחת"),"מפותחת",IF((--($U67="דל"))+(--($V67="אינו מפותח"))+(--($W67="דלה"))&gt;=2,"אינה מפותחת","חלקית"))))</f>
        <v/>
      </c>
      <c r="AA67" s="32">
        <f>IF($C67="","",IF(COUNTA($M67,$N67,$O67)&lt;3,"— חסרים נתונים",IF(OR($M67="נמוכה",(--($M67&lt;&gt;"תקינה"))+(--($N67&lt;&gt;"תקין"))+(--($O67&lt;&gt;"תקינה"))&gt;=2),"ניכרת","אינה ניכרת")))</f>
        <v/>
      </c>
      <c r="AB67" s="32">
        <f>IF(OR($C67="",$Y67="",$AA67="",LEFT($Y67,1)="—",LEFT($AA67,1)="—"),"",IF($Z67="","— נדרשת הערכת כתיבה",IF($L67="","— חסרה הבנת הנקרא",IF($Y67="אינה מדויקת או מקוטעת",IF($AA67="ניכרת","מיקוד בשטף הקריאה ובכישורי שפה","מיקוד בשטף קריאה"),IF($AA67="ניכרת","מיקוד בכישורי שפה",IF(AND($L67="תקינה",$Z67="מפותחת"),"קוראים וכותבים מיומנים","מיקוד בהבנה והבעה"))))))</f>
        <v/>
      </c>
      <c r="AC67" s="32">
        <f>IF(OR($AB67="",LEFT($AB67,1)="—"),"",IF(OR($AB67="מיקוד בשטף קריאה",$AB67="מיקוד בשטף הקריאה ובכישורי שפה"),"רמה א'",IF($AB67="קוראים וכותבים מיומנים","רמה ג'","רמה ב'")))</f>
        <v/>
      </c>
      <c r="AD67" s="32">
        <f>IF($AC67="","",MID(IF(AND($AC67="רמה א'",$AA67="ניכרת"),"; להוסיף עבודת אוצר מילים","")&amp;IF($Z67="אינה מפותחת","; דגש על הבעה בכתב","")&amp;IF($K67&lt;&gt;"תקין","; נדרש לעבוד על ההנגנה","")&amp;IF($AK67&lt;&gt;"","; "&amp;$AK67,""),3,400))</f>
        <v/>
      </c>
      <c r="AE67" s="32">
        <f>IF($F67="","",IF($F67="תחילת שנה",1,IF($F67="מחצית שנה",2,3)))</f>
        <v/>
      </c>
      <c r="AF67" s="32">
        <f>IF(OR($B67="",$AC67="",$A67="",$F67=""),"",$B67&amp;"|"&amp;$A67&amp;"|"&amp;$F67&amp;"|"&amp;$AC67&amp;"|"&amp;COUNTIFS($B$6:$B67,$B67,$A$6:$A67,$A67,$F$6:$F67,$F67,$AC$6:$AC67,$AC67))</f>
        <v/>
      </c>
      <c r="AG67" s="32">
        <f>IF($C67="","",$C67&amp;"|"&amp;COUNTIFS($C$6:$C67,$C67))</f>
        <v/>
      </c>
      <c r="AH67" s="32">
        <f>IF(OR($C67="",$A67="",$AE67=""),"",$C67&amp;"|"&amp;$A67&amp;"|"&amp;$AE67)</f>
        <v/>
      </c>
      <c r="AI67" s="32">
        <f>IF(OR($C67="",$AE67="",$AE67=1),"",IFERROR(INDEX($AC$6:$AC$1505,MATCH($C67&amp;"|"&amp;$A67&amp;"|"&amp;($AE67-1),$AH$6:$AH$1505,0)),""))</f>
        <v/>
      </c>
      <c r="AJ67" s="32">
        <f>IF(OR($AI67="",$AC67=""),"",IF($AI67=$AC67,"ללא שינוי","מ-"&amp;$AI67&amp;" ל-"&amp;$AC67))</f>
        <v/>
      </c>
      <c r="AK67" s="67" t="n"/>
    </row>
    <row r="68" ht="15.75" customHeight="1" s="58">
      <c r="A68" s="65" t="n"/>
      <c r="B68" s="65" t="n"/>
      <c r="C68" s="66" t="n"/>
      <c r="D68" s="66" t="n"/>
      <c r="E68" s="65" t="n"/>
      <c r="F68" s="65" t="n"/>
      <c r="G68" s="65" t="n"/>
      <c r="H68" s="65" t="n"/>
      <c r="I68" s="65" t="n"/>
      <c r="J68" s="65" t="n"/>
      <c r="K68" s="65" t="n"/>
      <c r="L68" s="65" t="n"/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  <c r="W68" s="65" t="n"/>
      <c r="X68" s="65" t="n"/>
      <c r="Y68" s="32">
        <f>IF($C68="","",IF(COUNTA($I68:$K68)&lt;3,"— חסרים נתונים",IF(AND($I68="תקין",$J68="תקין",$K68="תקין"),"רהוטה",IF(AND($I68="תקין",$J68="תקין"),"מדויקת ורציפה","אינה מדויקת או מקוטעת"))))</f>
        <v/>
      </c>
      <c r="Z68" s="32">
        <f>IF($C68="","",IF(COUNTA($U68:$W68)&lt;3,"",IF(AND($U68="מפותח",$V68="מפותח",$W68="מפותחת"),"מפותחת",IF((--($U68="דל"))+(--($V68="אינו מפותח"))+(--($W68="דלה"))&gt;=2,"אינה מפותחת","חלקית"))))</f>
        <v/>
      </c>
      <c r="AA68" s="32">
        <f>IF($C68="","",IF(COUNTA($M68,$N68,$O68)&lt;3,"— חסרים נתונים",IF(OR($M68="נמוכה",(--($M68&lt;&gt;"תקינה"))+(--($N68&lt;&gt;"תקין"))+(--($O68&lt;&gt;"תקינה"))&gt;=2),"ניכרת","אינה ניכרת")))</f>
        <v/>
      </c>
      <c r="AB68" s="32">
        <f>IF(OR($C68="",$Y68="",$AA68="",LEFT($Y68,1)="—",LEFT($AA68,1)="—"),"",IF($Z68="","— נדרשת הערכת כתיבה",IF($L68="","— חסרה הבנת הנקרא",IF($Y68="אינה מדויקת או מקוטעת",IF($AA68="ניכרת","מיקוד בשטף הקריאה ובכישורי שפה","מיקוד בשטף קריאה"),IF($AA68="ניכרת","מיקוד בכישורי שפה",IF(AND($L68="תקינה",$Z68="מפותחת"),"קוראים וכותבים מיומנים","מיקוד בהבנה והבעה"))))))</f>
        <v/>
      </c>
      <c r="AC68" s="32">
        <f>IF(OR($AB68="",LEFT($AB68,1)="—"),"",IF(OR($AB68="מיקוד בשטף קריאה",$AB68="מיקוד בשטף הקריאה ובכישורי שפה"),"רמה א'",IF($AB68="קוראים וכותבים מיומנים","רמה ג'","רמה ב'")))</f>
        <v/>
      </c>
      <c r="AD68" s="32">
        <f>IF($AC68="","",MID(IF(AND($AC68="רמה א'",$AA68="ניכרת"),"; להוסיף עבודת אוצר מילים","")&amp;IF($Z68="אינה מפותחת","; דגש על הבעה בכתב","")&amp;IF($K68&lt;&gt;"תקין","; נדרש לעבוד על ההנגנה","")&amp;IF($AK68&lt;&gt;"","; "&amp;$AK68,""),3,400))</f>
        <v/>
      </c>
      <c r="AE68" s="32">
        <f>IF($F68="","",IF($F68="תחילת שנה",1,IF($F68="מחצית שנה",2,3)))</f>
        <v/>
      </c>
      <c r="AF68" s="32">
        <f>IF(OR($B68="",$AC68="",$A68="",$F68=""),"",$B68&amp;"|"&amp;$A68&amp;"|"&amp;$F68&amp;"|"&amp;$AC68&amp;"|"&amp;COUNTIFS($B$6:$B68,$B68,$A$6:$A68,$A68,$F$6:$F68,$F68,$AC$6:$AC68,$AC68))</f>
        <v/>
      </c>
      <c r="AG68" s="32">
        <f>IF($C68="","",$C68&amp;"|"&amp;COUNTIFS($C$6:$C68,$C68))</f>
        <v/>
      </c>
      <c r="AH68" s="32">
        <f>IF(OR($C68="",$A68="",$AE68=""),"",$C68&amp;"|"&amp;$A68&amp;"|"&amp;$AE68)</f>
        <v/>
      </c>
      <c r="AI68" s="32">
        <f>IF(OR($C68="",$AE68="",$AE68=1),"",IFERROR(INDEX($AC$6:$AC$1505,MATCH($C68&amp;"|"&amp;$A68&amp;"|"&amp;($AE68-1),$AH$6:$AH$1505,0)),""))</f>
        <v/>
      </c>
      <c r="AJ68" s="32">
        <f>IF(OR($AI68="",$AC68=""),"",IF($AI68=$AC68,"ללא שינוי","מ-"&amp;$AI68&amp;" ל-"&amp;$AC68))</f>
        <v/>
      </c>
      <c r="AK68" s="67" t="n"/>
    </row>
    <row r="69" ht="15.75" customHeight="1" s="58">
      <c r="A69" s="65" t="n"/>
      <c r="B69" s="65" t="n"/>
      <c r="C69" s="66" t="n"/>
      <c r="D69" s="66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65" t="n"/>
      <c r="R69" s="65" t="n"/>
      <c r="S69" s="65" t="n"/>
      <c r="T69" s="65" t="n"/>
      <c r="U69" s="65" t="n"/>
      <c r="V69" s="65" t="n"/>
      <c r="W69" s="65" t="n"/>
      <c r="X69" s="65" t="n"/>
      <c r="Y69" s="32">
        <f>IF($C69="","",IF(COUNTA($I69:$K69)&lt;3,"— חסרים נתונים",IF(AND($I69="תקין",$J69="תקין",$K69="תקין"),"רהוטה",IF(AND($I69="תקין",$J69="תקין"),"מדויקת ורציפה","אינה מדויקת או מקוטעת"))))</f>
        <v/>
      </c>
      <c r="Z69" s="32">
        <f>IF($C69="","",IF(COUNTA($U69:$W69)&lt;3,"",IF(AND($U69="מפותח",$V69="מפותח",$W69="מפותחת"),"מפותחת",IF((--($U69="דל"))+(--($V69="אינו מפותח"))+(--($W69="דלה"))&gt;=2,"אינה מפותחת","חלקית"))))</f>
        <v/>
      </c>
      <c r="AA69" s="32">
        <f>IF($C69="","",IF(COUNTA($M69,$N69,$O69)&lt;3,"— חסרים נתונים",IF(OR($M69="נמוכה",(--($M69&lt;&gt;"תקינה"))+(--($N69&lt;&gt;"תקין"))+(--($O69&lt;&gt;"תקינה"))&gt;=2),"ניכרת","אינה ניכרת")))</f>
        <v/>
      </c>
      <c r="AB69" s="32">
        <f>IF(OR($C69="",$Y69="",$AA69="",LEFT($Y69,1)="—",LEFT($AA69,1)="—"),"",IF($Z69="","— נדרשת הערכת כתיבה",IF($L69="","— חסרה הבנת הנקרא",IF($Y69="אינה מדויקת או מקוטעת",IF($AA69="ניכרת","מיקוד בשטף הקריאה ובכישורי שפה","מיקוד בשטף קריאה"),IF($AA69="ניכרת","מיקוד בכישורי שפה",IF(AND($L69="תקינה",$Z69="מפותחת"),"קוראים וכותבים מיומנים","מיקוד בהבנה והבעה"))))))</f>
        <v/>
      </c>
      <c r="AC69" s="32">
        <f>IF(OR($AB69="",LEFT($AB69,1)="—"),"",IF(OR($AB69="מיקוד בשטף קריאה",$AB69="מיקוד בשטף הקריאה ובכישורי שפה"),"רמה א'",IF($AB69="קוראים וכותבים מיומנים","רמה ג'","רמה ב'")))</f>
        <v/>
      </c>
      <c r="AD69" s="32">
        <f>IF($AC69="","",MID(IF(AND($AC69="רמה א'",$AA69="ניכרת"),"; להוסיף עבודת אוצר מילים","")&amp;IF($Z69="אינה מפותחת","; דגש על הבעה בכתב","")&amp;IF($K69&lt;&gt;"תקין","; נדרש לעבוד על ההנגנה","")&amp;IF($AK69&lt;&gt;"","; "&amp;$AK69,""),3,400))</f>
        <v/>
      </c>
      <c r="AE69" s="32">
        <f>IF($F69="","",IF($F69="תחילת שנה",1,IF($F69="מחצית שנה",2,3)))</f>
        <v/>
      </c>
      <c r="AF69" s="32">
        <f>IF(OR($B69="",$AC69="",$A69="",$F69=""),"",$B69&amp;"|"&amp;$A69&amp;"|"&amp;$F69&amp;"|"&amp;$AC69&amp;"|"&amp;COUNTIFS($B$6:$B69,$B69,$A$6:$A69,$A69,$F$6:$F69,$F69,$AC$6:$AC69,$AC69))</f>
        <v/>
      </c>
      <c r="AG69" s="32">
        <f>IF($C69="","",$C69&amp;"|"&amp;COUNTIFS($C$6:$C69,$C69))</f>
        <v/>
      </c>
      <c r="AH69" s="32">
        <f>IF(OR($C69="",$A69="",$AE69=""),"",$C69&amp;"|"&amp;$A69&amp;"|"&amp;$AE69)</f>
        <v/>
      </c>
      <c r="AI69" s="32">
        <f>IF(OR($C69="",$AE69="",$AE69=1),"",IFERROR(INDEX($AC$6:$AC$1505,MATCH($C69&amp;"|"&amp;$A69&amp;"|"&amp;($AE69-1),$AH$6:$AH$1505,0)),""))</f>
        <v/>
      </c>
      <c r="AJ69" s="32">
        <f>IF(OR($AI69="",$AC69=""),"",IF($AI69=$AC69,"ללא שינוי","מ-"&amp;$AI69&amp;" ל-"&amp;$AC69))</f>
        <v/>
      </c>
      <c r="AK69" s="67" t="n"/>
    </row>
    <row r="70" ht="15.75" customHeight="1" s="58">
      <c r="A70" s="65" t="n"/>
      <c r="B70" s="65" t="n"/>
      <c r="C70" s="66" t="n"/>
      <c r="D70" s="66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n"/>
      <c r="R70" s="65" t="n"/>
      <c r="S70" s="65" t="n"/>
      <c r="T70" s="65" t="n"/>
      <c r="U70" s="65" t="n"/>
      <c r="V70" s="65" t="n"/>
      <c r="W70" s="65" t="n"/>
      <c r="X70" s="65" t="n"/>
      <c r="Y70" s="32">
        <f>IF($C70="","",IF(COUNTA($I70:$K70)&lt;3,"— חסרים נתונים",IF(AND($I70="תקין",$J70="תקין",$K70="תקין"),"רהוטה",IF(AND($I70="תקין",$J70="תקין"),"מדויקת ורציפה","אינה מדויקת או מקוטעת"))))</f>
        <v/>
      </c>
      <c r="Z70" s="32">
        <f>IF($C70="","",IF(COUNTA($U70:$W70)&lt;3,"",IF(AND($U70="מפותח",$V70="מפותח",$W70="מפותחת"),"מפותחת",IF((--($U70="דל"))+(--($V70="אינו מפותח"))+(--($W70="דלה"))&gt;=2,"אינה מפותחת","חלקית"))))</f>
        <v/>
      </c>
      <c r="AA70" s="32">
        <f>IF($C70="","",IF(COUNTA($M70,$N70,$O70)&lt;3,"— חסרים נתונים",IF(OR($M70="נמוכה",(--($M70&lt;&gt;"תקינה"))+(--($N70&lt;&gt;"תקין"))+(--($O70&lt;&gt;"תקינה"))&gt;=2),"ניכרת","אינה ניכרת")))</f>
        <v/>
      </c>
      <c r="AB70" s="32">
        <f>IF(OR($C70="",$Y70="",$AA70="",LEFT($Y70,1)="—",LEFT($AA70,1)="—"),"",IF($Z70="","— נדרשת הערכת כתיבה",IF($L70="","— חסרה הבנת הנקרא",IF($Y70="אינה מדויקת או מקוטעת",IF($AA70="ניכרת","מיקוד בשטף הקריאה ובכישורי שפה","מיקוד בשטף קריאה"),IF($AA70="ניכרת","מיקוד בכישורי שפה",IF(AND($L70="תקינה",$Z70="מפותחת"),"קוראים וכותבים מיומנים","מיקוד בהבנה והבעה"))))))</f>
        <v/>
      </c>
      <c r="AC70" s="32">
        <f>IF(OR($AB70="",LEFT($AB70,1)="—"),"",IF(OR($AB70="מיקוד בשטף קריאה",$AB70="מיקוד בשטף הקריאה ובכישורי שפה"),"רמה א'",IF($AB70="קוראים וכותבים מיומנים","רמה ג'","רמה ב'")))</f>
        <v/>
      </c>
      <c r="AD70" s="32">
        <f>IF($AC70="","",MID(IF(AND($AC70="רמה א'",$AA70="ניכרת"),"; להוסיף עבודת אוצר מילים","")&amp;IF($Z70="אינה מפותחת","; דגש על הבעה בכתב","")&amp;IF($K70&lt;&gt;"תקין","; נדרש לעבוד על ההנגנה","")&amp;IF($AK70&lt;&gt;"","; "&amp;$AK70,""),3,400))</f>
        <v/>
      </c>
      <c r="AE70" s="32">
        <f>IF($F70="","",IF($F70="תחילת שנה",1,IF($F70="מחצית שנה",2,3)))</f>
        <v/>
      </c>
      <c r="AF70" s="32">
        <f>IF(OR($B70="",$AC70="",$A70="",$F70=""),"",$B70&amp;"|"&amp;$A70&amp;"|"&amp;$F70&amp;"|"&amp;$AC70&amp;"|"&amp;COUNTIFS($B$6:$B70,$B70,$A$6:$A70,$A70,$F$6:$F70,$F70,$AC$6:$AC70,$AC70))</f>
        <v/>
      </c>
      <c r="AG70" s="32">
        <f>IF($C70="","",$C70&amp;"|"&amp;COUNTIFS($C$6:$C70,$C70))</f>
        <v/>
      </c>
      <c r="AH70" s="32">
        <f>IF(OR($C70="",$A70="",$AE70=""),"",$C70&amp;"|"&amp;$A70&amp;"|"&amp;$AE70)</f>
        <v/>
      </c>
      <c r="AI70" s="32">
        <f>IF(OR($C70="",$AE70="",$AE70=1),"",IFERROR(INDEX($AC$6:$AC$1505,MATCH($C70&amp;"|"&amp;$A70&amp;"|"&amp;($AE70-1),$AH$6:$AH$1505,0)),""))</f>
        <v/>
      </c>
      <c r="AJ70" s="32">
        <f>IF(OR($AI70="",$AC70=""),"",IF($AI70=$AC70,"ללא שינוי","מ-"&amp;$AI70&amp;" ל-"&amp;$AC70))</f>
        <v/>
      </c>
      <c r="AK70" s="67" t="n"/>
    </row>
    <row r="71" ht="15.75" customHeight="1" s="58">
      <c r="A71" s="65" t="n"/>
      <c r="B71" s="65" t="n"/>
      <c r="C71" s="66" t="n"/>
      <c r="D71" s="66" t="n"/>
      <c r="E71" s="65" t="n"/>
      <c r="F71" s="65" t="n"/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65" t="n"/>
      <c r="R71" s="65" t="n"/>
      <c r="S71" s="65" t="n"/>
      <c r="T71" s="65" t="n"/>
      <c r="U71" s="65" t="n"/>
      <c r="V71" s="65" t="n"/>
      <c r="W71" s="65" t="n"/>
      <c r="X71" s="65" t="n"/>
      <c r="Y71" s="32">
        <f>IF($C71="","",IF(COUNTA($I71:$K71)&lt;3,"— חסרים נתונים",IF(AND($I71="תקין",$J71="תקין",$K71="תקין"),"רהוטה",IF(AND($I71="תקין",$J71="תקין"),"מדויקת ורציפה","אינה מדויקת או מקוטעת"))))</f>
        <v/>
      </c>
      <c r="Z71" s="32">
        <f>IF($C71="","",IF(COUNTA($U71:$W71)&lt;3,"",IF(AND($U71="מפותח",$V71="מפותח",$W71="מפותחת"),"מפותחת",IF((--($U71="דל"))+(--($V71="אינו מפותח"))+(--($W71="דלה"))&gt;=2,"אינה מפותחת","חלקית"))))</f>
        <v/>
      </c>
      <c r="AA71" s="32">
        <f>IF($C71="","",IF(COUNTA($M71,$N71,$O71)&lt;3,"— חסרים נתונים",IF(OR($M71="נמוכה",(--($M71&lt;&gt;"תקינה"))+(--($N71&lt;&gt;"תקין"))+(--($O71&lt;&gt;"תקינה"))&gt;=2),"ניכרת","אינה ניכרת")))</f>
        <v/>
      </c>
      <c r="AB71" s="32">
        <f>IF(OR($C71="",$Y71="",$AA71="",LEFT($Y71,1)="—",LEFT($AA71,1)="—"),"",IF($Z71="","— נדרשת הערכת כתיבה",IF($L71="","— חסרה הבנת הנקרא",IF($Y71="אינה מדויקת או מקוטעת",IF($AA71="ניכרת","מיקוד בשטף הקריאה ובכישורי שפה","מיקוד בשטף קריאה"),IF($AA71="ניכרת","מיקוד בכישורי שפה",IF(AND($L71="תקינה",$Z71="מפותחת"),"קוראים וכותבים מיומנים","מיקוד בהבנה והבעה"))))))</f>
        <v/>
      </c>
      <c r="AC71" s="32">
        <f>IF(OR($AB71="",LEFT($AB71,1)="—"),"",IF(OR($AB71="מיקוד בשטף קריאה",$AB71="מיקוד בשטף הקריאה ובכישורי שפה"),"רמה א'",IF($AB71="קוראים וכותבים מיומנים","רמה ג'","רמה ב'")))</f>
        <v/>
      </c>
      <c r="AD71" s="32">
        <f>IF($AC71="","",MID(IF(AND($AC71="רמה א'",$AA71="ניכרת"),"; להוסיף עבודת אוצר מילים","")&amp;IF($Z71="אינה מפותחת","; דגש על הבעה בכתב","")&amp;IF($K71&lt;&gt;"תקין","; נדרש לעבוד על ההנגנה","")&amp;IF($AK71&lt;&gt;"","; "&amp;$AK71,""),3,400))</f>
        <v/>
      </c>
      <c r="AE71" s="32">
        <f>IF($F71="","",IF($F71="תחילת שנה",1,IF($F71="מחצית שנה",2,3)))</f>
        <v/>
      </c>
      <c r="AF71" s="32">
        <f>IF(OR($B71="",$AC71="",$A71="",$F71=""),"",$B71&amp;"|"&amp;$A71&amp;"|"&amp;$F71&amp;"|"&amp;$AC71&amp;"|"&amp;COUNTIFS($B$6:$B71,$B71,$A$6:$A71,$A71,$F$6:$F71,$F71,$AC$6:$AC71,$AC71))</f>
        <v/>
      </c>
      <c r="AG71" s="32">
        <f>IF($C71="","",$C71&amp;"|"&amp;COUNTIFS($C$6:$C71,$C71))</f>
        <v/>
      </c>
      <c r="AH71" s="32">
        <f>IF(OR($C71="",$A71="",$AE71=""),"",$C71&amp;"|"&amp;$A71&amp;"|"&amp;$AE71)</f>
        <v/>
      </c>
      <c r="AI71" s="32">
        <f>IF(OR($C71="",$AE71="",$AE71=1),"",IFERROR(INDEX($AC$6:$AC$1505,MATCH($C71&amp;"|"&amp;$A71&amp;"|"&amp;($AE71-1),$AH$6:$AH$1505,0)),""))</f>
        <v/>
      </c>
      <c r="AJ71" s="32">
        <f>IF(OR($AI71="",$AC71=""),"",IF($AI71=$AC71,"ללא שינוי","מ-"&amp;$AI71&amp;" ל-"&amp;$AC71))</f>
        <v/>
      </c>
      <c r="AK71" s="67" t="n"/>
    </row>
    <row r="72" ht="15.75" customHeight="1" s="58">
      <c r="A72" s="65" t="n"/>
      <c r="B72" s="65" t="n"/>
      <c r="C72" s="66" t="n"/>
      <c r="D72" s="66" t="n"/>
      <c r="E72" s="65" t="n"/>
      <c r="F72" s="65" t="n"/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  <c r="Y72" s="32">
        <f>IF($C72="","",IF(COUNTA($I72:$K72)&lt;3,"— חסרים נתונים",IF(AND($I72="תקין",$J72="תקין",$K72="תקין"),"רהוטה",IF(AND($I72="תקין",$J72="תקין"),"מדויקת ורציפה","אינה מדויקת או מקוטעת"))))</f>
        <v/>
      </c>
      <c r="Z72" s="32">
        <f>IF($C72="","",IF(COUNTA($U72:$W72)&lt;3,"",IF(AND($U72="מפותח",$V72="מפותח",$W72="מפותחת"),"מפותחת",IF((--($U72="דל"))+(--($V72="אינו מפותח"))+(--($W72="דלה"))&gt;=2,"אינה מפותחת","חלקית"))))</f>
        <v/>
      </c>
      <c r="AA72" s="32">
        <f>IF($C72="","",IF(COUNTA($M72,$N72,$O72)&lt;3,"— חסרים נתונים",IF(OR($M72="נמוכה",(--($M72&lt;&gt;"תקינה"))+(--($N72&lt;&gt;"תקין"))+(--($O72&lt;&gt;"תקינה"))&gt;=2),"ניכרת","אינה ניכרת")))</f>
        <v/>
      </c>
      <c r="AB72" s="32">
        <f>IF(OR($C72="",$Y72="",$AA72="",LEFT($Y72,1)="—",LEFT($AA72,1)="—"),"",IF($Z72="","— נדרשת הערכת כתיבה",IF($L72="","— חסרה הבנת הנקרא",IF($Y72="אינה מדויקת או מקוטעת",IF($AA72="ניכרת","מיקוד בשטף הקריאה ובכישורי שפה","מיקוד בשטף קריאה"),IF($AA72="ניכרת","מיקוד בכישורי שפה",IF(AND($L72="תקינה",$Z72="מפותחת"),"קוראים וכותבים מיומנים","מיקוד בהבנה והבעה"))))))</f>
        <v/>
      </c>
      <c r="AC72" s="32">
        <f>IF(OR($AB72="",LEFT($AB72,1)="—"),"",IF(OR($AB72="מיקוד בשטף קריאה",$AB72="מיקוד בשטף הקריאה ובכישורי שפה"),"רמה א'",IF($AB72="קוראים וכותבים מיומנים","רמה ג'","רמה ב'")))</f>
        <v/>
      </c>
      <c r="AD72" s="32">
        <f>IF($AC72="","",MID(IF(AND($AC72="רמה א'",$AA72="ניכרת"),"; להוסיף עבודת אוצר מילים","")&amp;IF($Z72="אינה מפותחת","; דגש על הבעה בכתב","")&amp;IF($K72&lt;&gt;"תקין","; נדרש לעבוד על ההנגנה","")&amp;IF($AK72&lt;&gt;"","; "&amp;$AK72,""),3,400))</f>
        <v/>
      </c>
      <c r="AE72" s="32">
        <f>IF($F72="","",IF($F72="תחילת שנה",1,IF($F72="מחצית שנה",2,3)))</f>
        <v/>
      </c>
      <c r="AF72" s="32">
        <f>IF(OR($B72="",$AC72="",$A72="",$F72=""),"",$B72&amp;"|"&amp;$A72&amp;"|"&amp;$F72&amp;"|"&amp;$AC72&amp;"|"&amp;COUNTIFS($B$6:$B72,$B72,$A$6:$A72,$A72,$F$6:$F72,$F72,$AC$6:$AC72,$AC72))</f>
        <v/>
      </c>
      <c r="AG72" s="32">
        <f>IF($C72="","",$C72&amp;"|"&amp;COUNTIFS($C$6:$C72,$C72))</f>
        <v/>
      </c>
      <c r="AH72" s="32">
        <f>IF(OR($C72="",$A72="",$AE72=""),"",$C72&amp;"|"&amp;$A72&amp;"|"&amp;$AE72)</f>
        <v/>
      </c>
      <c r="AI72" s="32">
        <f>IF(OR($C72="",$AE72="",$AE72=1),"",IFERROR(INDEX($AC$6:$AC$1505,MATCH($C72&amp;"|"&amp;$A72&amp;"|"&amp;($AE72-1),$AH$6:$AH$1505,0)),""))</f>
        <v/>
      </c>
      <c r="AJ72" s="32">
        <f>IF(OR($AI72="",$AC72=""),"",IF($AI72=$AC72,"ללא שינוי","מ-"&amp;$AI72&amp;" ל-"&amp;$AC72))</f>
        <v/>
      </c>
      <c r="AK72" s="67" t="n"/>
    </row>
    <row r="73" ht="15.75" customHeight="1" s="58">
      <c r="A73" s="65" t="n"/>
      <c r="B73" s="65" t="n"/>
      <c r="C73" s="66" t="n"/>
      <c r="D73" s="66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32">
        <f>IF($C73="","",IF(COUNTA($I73:$K73)&lt;3,"— חסרים נתונים",IF(AND($I73="תקין",$J73="תקין",$K73="תקין"),"רהוטה",IF(AND($I73="תקין",$J73="תקין"),"מדויקת ורציפה","אינה מדויקת או מקוטעת"))))</f>
        <v/>
      </c>
      <c r="Z73" s="32">
        <f>IF($C73="","",IF(COUNTA($U73:$W73)&lt;3,"",IF(AND($U73="מפותח",$V73="מפותח",$W73="מפותחת"),"מפותחת",IF((--($U73="דל"))+(--($V73="אינו מפותח"))+(--($W73="דלה"))&gt;=2,"אינה מפותחת","חלקית"))))</f>
        <v/>
      </c>
      <c r="AA73" s="32">
        <f>IF($C73="","",IF(COUNTA($M73,$N73,$O73)&lt;3,"— חסרים נתונים",IF(OR($M73="נמוכה",(--($M73&lt;&gt;"תקינה"))+(--($N73&lt;&gt;"תקין"))+(--($O73&lt;&gt;"תקינה"))&gt;=2),"ניכרת","אינה ניכרת")))</f>
        <v/>
      </c>
      <c r="AB73" s="32">
        <f>IF(OR($C73="",$Y73="",$AA73="",LEFT($Y73,1)="—",LEFT($AA73,1)="—"),"",IF($Z73="","— נדרשת הערכת כתיבה",IF($L73="","— חסרה הבנת הנקרא",IF($Y73="אינה מדויקת או מקוטעת",IF($AA73="ניכרת","מיקוד בשטף הקריאה ובכישורי שפה","מיקוד בשטף קריאה"),IF($AA73="ניכרת","מיקוד בכישורי שפה",IF(AND($L73="תקינה",$Z73="מפותחת"),"קוראים וכותבים מיומנים","מיקוד בהבנה והבעה"))))))</f>
        <v/>
      </c>
      <c r="AC73" s="32">
        <f>IF(OR($AB73="",LEFT($AB73,1)="—"),"",IF(OR($AB73="מיקוד בשטף קריאה",$AB73="מיקוד בשטף הקריאה ובכישורי שפה"),"רמה א'",IF($AB73="קוראים וכותבים מיומנים","רמה ג'","רמה ב'")))</f>
        <v/>
      </c>
      <c r="AD73" s="32">
        <f>IF($AC73="","",MID(IF(AND($AC73="רמה א'",$AA73="ניכרת"),"; להוסיף עבודת אוצר מילים","")&amp;IF($Z73="אינה מפותחת","; דגש על הבעה בכתב","")&amp;IF($K73&lt;&gt;"תקין","; נדרש לעבוד על ההנגנה","")&amp;IF($AK73&lt;&gt;"","; "&amp;$AK73,""),3,400))</f>
        <v/>
      </c>
      <c r="AE73" s="32">
        <f>IF($F73="","",IF($F73="תחילת שנה",1,IF($F73="מחצית שנה",2,3)))</f>
        <v/>
      </c>
      <c r="AF73" s="32">
        <f>IF(OR($B73="",$AC73="",$A73="",$F73=""),"",$B73&amp;"|"&amp;$A73&amp;"|"&amp;$F73&amp;"|"&amp;$AC73&amp;"|"&amp;COUNTIFS($B$6:$B73,$B73,$A$6:$A73,$A73,$F$6:$F73,$F73,$AC$6:$AC73,$AC73))</f>
        <v/>
      </c>
      <c r="AG73" s="32">
        <f>IF($C73="","",$C73&amp;"|"&amp;COUNTIFS($C$6:$C73,$C73))</f>
        <v/>
      </c>
      <c r="AH73" s="32">
        <f>IF(OR($C73="",$A73="",$AE73=""),"",$C73&amp;"|"&amp;$A73&amp;"|"&amp;$AE73)</f>
        <v/>
      </c>
      <c r="AI73" s="32">
        <f>IF(OR($C73="",$AE73="",$AE73=1),"",IFERROR(INDEX($AC$6:$AC$1505,MATCH($C73&amp;"|"&amp;$A73&amp;"|"&amp;($AE73-1),$AH$6:$AH$1505,0)),""))</f>
        <v/>
      </c>
      <c r="AJ73" s="32">
        <f>IF(OR($AI73="",$AC73=""),"",IF($AI73=$AC73,"ללא שינוי","מ-"&amp;$AI73&amp;" ל-"&amp;$AC73))</f>
        <v/>
      </c>
      <c r="AK73" s="67" t="n"/>
    </row>
    <row r="74" ht="15.75" customHeight="1" s="58">
      <c r="A74" s="65" t="n"/>
      <c r="B74" s="65" t="n"/>
      <c r="C74" s="66" t="n"/>
      <c r="D74" s="66" t="n"/>
      <c r="E74" s="65" t="n"/>
      <c r="F74" s="65" t="n"/>
      <c r="G74" s="65" t="n"/>
      <c r="H74" s="65" t="n"/>
      <c r="I74" s="65" t="n"/>
      <c r="J74" s="65" t="n"/>
      <c r="K74" s="65" t="n"/>
      <c r="L74" s="65" t="n"/>
      <c r="M74" s="65" t="n"/>
      <c r="N74" s="65" t="n"/>
      <c r="O74" s="65" t="n"/>
      <c r="P74" s="65" t="n"/>
      <c r="Q74" s="65" t="n"/>
      <c r="R74" s="65" t="n"/>
      <c r="S74" s="65" t="n"/>
      <c r="T74" s="65" t="n"/>
      <c r="U74" s="65" t="n"/>
      <c r="V74" s="65" t="n"/>
      <c r="W74" s="65" t="n"/>
      <c r="X74" s="65" t="n"/>
      <c r="Y74" s="32">
        <f>IF($C74="","",IF(COUNTA($I74:$K74)&lt;3,"— חסרים נתונים",IF(AND($I74="תקין",$J74="תקין",$K74="תקין"),"רהוטה",IF(AND($I74="תקין",$J74="תקין"),"מדויקת ורציפה","אינה מדויקת או מקוטעת"))))</f>
        <v/>
      </c>
      <c r="Z74" s="32">
        <f>IF($C74="","",IF(COUNTA($U74:$W74)&lt;3,"",IF(AND($U74="מפותח",$V74="מפותח",$W74="מפותחת"),"מפותחת",IF((--($U74="דל"))+(--($V74="אינו מפותח"))+(--($W74="דלה"))&gt;=2,"אינה מפותחת","חלקית"))))</f>
        <v/>
      </c>
      <c r="AA74" s="32">
        <f>IF($C74="","",IF(COUNTA($M74,$N74,$O74)&lt;3,"— חסרים נתונים",IF(OR($M74="נמוכה",(--($M74&lt;&gt;"תקינה"))+(--($N74&lt;&gt;"תקין"))+(--($O74&lt;&gt;"תקינה"))&gt;=2),"ניכרת","אינה ניכרת")))</f>
        <v/>
      </c>
      <c r="AB74" s="32">
        <f>IF(OR($C74="",$Y74="",$AA74="",LEFT($Y74,1)="—",LEFT($AA74,1)="—"),"",IF($Z74="","— נדרשת הערכת כתיבה",IF($L74="","— חסרה הבנת הנקרא",IF($Y74="אינה מדויקת או מקוטעת",IF($AA74="ניכרת","מיקוד בשטף הקריאה ובכישורי שפה","מיקוד בשטף קריאה"),IF($AA74="ניכרת","מיקוד בכישורי שפה",IF(AND($L74="תקינה",$Z74="מפותחת"),"קוראים וכותבים מיומנים","מיקוד בהבנה והבעה"))))))</f>
        <v/>
      </c>
      <c r="AC74" s="32">
        <f>IF(OR($AB74="",LEFT($AB74,1)="—"),"",IF(OR($AB74="מיקוד בשטף קריאה",$AB74="מיקוד בשטף הקריאה ובכישורי שפה"),"רמה א'",IF($AB74="קוראים וכותבים מיומנים","רמה ג'","רמה ב'")))</f>
        <v/>
      </c>
      <c r="AD74" s="32">
        <f>IF($AC74="","",MID(IF(AND($AC74="רמה א'",$AA74="ניכרת"),"; להוסיף עבודת אוצר מילים","")&amp;IF($Z74="אינה מפותחת","; דגש על הבעה בכתב","")&amp;IF($K74&lt;&gt;"תקין","; נדרש לעבוד על ההנגנה","")&amp;IF($AK74&lt;&gt;"","; "&amp;$AK74,""),3,400))</f>
        <v/>
      </c>
      <c r="AE74" s="32">
        <f>IF($F74="","",IF($F74="תחילת שנה",1,IF($F74="מחצית שנה",2,3)))</f>
        <v/>
      </c>
      <c r="AF74" s="32">
        <f>IF(OR($B74="",$AC74="",$A74="",$F74=""),"",$B74&amp;"|"&amp;$A74&amp;"|"&amp;$F74&amp;"|"&amp;$AC74&amp;"|"&amp;COUNTIFS($B$6:$B74,$B74,$A$6:$A74,$A74,$F$6:$F74,$F74,$AC$6:$AC74,$AC74))</f>
        <v/>
      </c>
      <c r="AG74" s="32">
        <f>IF($C74="","",$C74&amp;"|"&amp;COUNTIFS($C$6:$C74,$C74))</f>
        <v/>
      </c>
      <c r="AH74" s="32">
        <f>IF(OR($C74="",$A74="",$AE74=""),"",$C74&amp;"|"&amp;$A74&amp;"|"&amp;$AE74)</f>
        <v/>
      </c>
      <c r="AI74" s="32">
        <f>IF(OR($C74="",$AE74="",$AE74=1),"",IFERROR(INDEX($AC$6:$AC$1505,MATCH($C74&amp;"|"&amp;$A74&amp;"|"&amp;($AE74-1),$AH$6:$AH$1505,0)),""))</f>
        <v/>
      </c>
      <c r="AJ74" s="32">
        <f>IF(OR($AI74="",$AC74=""),"",IF($AI74=$AC74,"ללא שינוי","מ-"&amp;$AI74&amp;" ל-"&amp;$AC74))</f>
        <v/>
      </c>
      <c r="AK74" s="67" t="n"/>
    </row>
    <row r="75" ht="15.75" customHeight="1" s="58">
      <c r="A75" s="65" t="n"/>
      <c r="B75" s="65" t="n"/>
      <c r="C75" s="66" t="n"/>
      <c r="D75" s="66" t="n"/>
      <c r="E75" s="65" t="n"/>
      <c r="F75" s="65" t="n"/>
      <c r="G75" s="65" t="n"/>
      <c r="H75" s="65" t="n"/>
      <c r="I75" s="65" t="n"/>
      <c r="J75" s="65" t="n"/>
      <c r="K75" s="65" t="n"/>
      <c r="L75" s="65" t="n"/>
      <c r="M75" s="65" t="n"/>
      <c r="N75" s="65" t="n"/>
      <c r="O75" s="65" t="n"/>
      <c r="P75" s="65" t="n"/>
      <c r="Q75" s="65" t="n"/>
      <c r="R75" s="65" t="n"/>
      <c r="S75" s="65" t="n"/>
      <c r="T75" s="65" t="n"/>
      <c r="U75" s="65" t="n"/>
      <c r="V75" s="65" t="n"/>
      <c r="W75" s="65" t="n"/>
      <c r="X75" s="65" t="n"/>
      <c r="Y75" s="32">
        <f>IF($C75="","",IF(COUNTA($I75:$K75)&lt;3,"— חסרים נתונים",IF(AND($I75="תקין",$J75="תקין",$K75="תקין"),"רהוטה",IF(AND($I75="תקין",$J75="תקין"),"מדויקת ורציפה","אינה מדויקת או מקוטעת"))))</f>
        <v/>
      </c>
      <c r="Z75" s="32">
        <f>IF($C75="","",IF(COUNTA($U75:$W75)&lt;3,"",IF(AND($U75="מפותח",$V75="מפותח",$W75="מפותחת"),"מפותחת",IF((--($U75="דל"))+(--($V75="אינו מפותח"))+(--($W75="דלה"))&gt;=2,"אינה מפותחת","חלקית"))))</f>
        <v/>
      </c>
      <c r="AA75" s="32">
        <f>IF($C75="","",IF(COUNTA($M75,$N75,$O75)&lt;3,"— חסרים נתונים",IF(OR($M75="נמוכה",(--($M75&lt;&gt;"תקינה"))+(--($N75&lt;&gt;"תקין"))+(--($O75&lt;&gt;"תקינה"))&gt;=2),"ניכרת","אינה ניכרת")))</f>
        <v/>
      </c>
      <c r="AB75" s="32">
        <f>IF(OR($C75="",$Y75="",$AA75="",LEFT($Y75,1)="—",LEFT($AA75,1)="—"),"",IF($Z75="","— נדרשת הערכת כתיבה",IF($L75="","— חסרה הבנת הנקרא",IF($Y75="אינה מדויקת או מקוטעת",IF($AA75="ניכרת","מיקוד בשטף הקריאה ובכישורי שפה","מיקוד בשטף קריאה"),IF($AA75="ניכרת","מיקוד בכישורי שפה",IF(AND($L75="תקינה",$Z75="מפותחת"),"קוראים וכותבים מיומנים","מיקוד בהבנה והבעה"))))))</f>
        <v/>
      </c>
      <c r="AC75" s="32">
        <f>IF(OR($AB75="",LEFT($AB75,1)="—"),"",IF(OR($AB75="מיקוד בשטף קריאה",$AB75="מיקוד בשטף הקריאה ובכישורי שפה"),"רמה א'",IF($AB75="קוראים וכותבים מיומנים","רמה ג'","רמה ב'")))</f>
        <v/>
      </c>
      <c r="AD75" s="32">
        <f>IF($AC75="","",MID(IF(AND($AC75="רמה א'",$AA75="ניכרת"),"; להוסיף עבודת אוצר מילים","")&amp;IF($Z75="אינה מפותחת","; דגש על הבעה בכתב","")&amp;IF($K75&lt;&gt;"תקין","; נדרש לעבוד על ההנגנה","")&amp;IF($AK75&lt;&gt;"","; "&amp;$AK75,""),3,400))</f>
        <v/>
      </c>
      <c r="AE75" s="32">
        <f>IF($F75="","",IF($F75="תחילת שנה",1,IF($F75="מחצית שנה",2,3)))</f>
        <v/>
      </c>
      <c r="AF75" s="32">
        <f>IF(OR($B75="",$AC75="",$A75="",$F75=""),"",$B75&amp;"|"&amp;$A75&amp;"|"&amp;$F75&amp;"|"&amp;$AC75&amp;"|"&amp;COUNTIFS($B$6:$B75,$B75,$A$6:$A75,$A75,$F$6:$F75,$F75,$AC$6:$AC75,$AC75))</f>
        <v/>
      </c>
      <c r="AG75" s="32">
        <f>IF($C75="","",$C75&amp;"|"&amp;COUNTIFS($C$6:$C75,$C75))</f>
        <v/>
      </c>
      <c r="AH75" s="32">
        <f>IF(OR($C75="",$A75="",$AE75=""),"",$C75&amp;"|"&amp;$A75&amp;"|"&amp;$AE75)</f>
        <v/>
      </c>
      <c r="AI75" s="32">
        <f>IF(OR($C75="",$AE75="",$AE75=1),"",IFERROR(INDEX($AC$6:$AC$1505,MATCH($C75&amp;"|"&amp;$A75&amp;"|"&amp;($AE75-1),$AH$6:$AH$1505,0)),""))</f>
        <v/>
      </c>
      <c r="AJ75" s="32">
        <f>IF(OR($AI75="",$AC75=""),"",IF($AI75=$AC75,"ללא שינוי","מ-"&amp;$AI75&amp;" ל-"&amp;$AC75))</f>
        <v/>
      </c>
      <c r="AK75" s="67" t="n"/>
    </row>
    <row r="76" ht="15.75" customHeight="1" s="58">
      <c r="A76" s="65" t="n"/>
      <c r="B76" s="65" t="n"/>
      <c r="C76" s="66" t="n"/>
      <c r="D76" s="66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n"/>
      <c r="R76" s="65" t="n"/>
      <c r="S76" s="65" t="n"/>
      <c r="T76" s="65" t="n"/>
      <c r="U76" s="65" t="n"/>
      <c r="V76" s="65" t="n"/>
      <c r="W76" s="65" t="n"/>
      <c r="X76" s="65" t="n"/>
      <c r="Y76" s="32">
        <f>IF($C76="","",IF(COUNTA($I76:$K76)&lt;3,"— חסרים נתונים",IF(AND($I76="תקין",$J76="תקין",$K76="תקין"),"רהוטה",IF(AND($I76="תקין",$J76="תקין"),"מדויקת ורציפה","אינה מדויקת או מקוטעת"))))</f>
        <v/>
      </c>
      <c r="Z76" s="32">
        <f>IF($C76="","",IF(COUNTA($U76:$W76)&lt;3,"",IF(AND($U76="מפותח",$V76="מפותח",$W76="מפותחת"),"מפותחת",IF((--($U76="דל"))+(--($V76="אינו מפותח"))+(--($W76="דלה"))&gt;=2,"אינה מפותחת","חלקית"))))</f>
        <v/>
      </c>
      <c r="AA76" s="32">
        <f>IF($C76="","",IF(COUNTA($M76,$N76,$O76)&lt;3,"— חסרים נתונים",IF(OR($M76="נמוכה",(--($M76&lt;&gt;"תקינה"))+(--($N76&lt;&gt;"תקין"))+(--($O76&lt;&gt;"תקינה"))&gt;=2),"ניכרת","אינה ניכרת")))</f>
        <v/>
      </c>
      <c r="AB76" s="32">
        <f>IF(OR($C76="",$Y76="",$AA76="",LEFT($Y76,1)="—",LEFT($AA76,1)="—"),"",IF($Z76="","— נדרשת הערכת כתיבה",IF($L76="","— חסרה הבנת הנקרא",IF($Y76="אינה מדויקת או מקוטעת",IF($AA76="ניכרת","מיקוד בשטף הקריאה ובכישורי שפה","מיקוד בשטף קריאה"),IF($AA76="ניכרת","מיקוד בכישורי שפה",IF(AND($L76="תקינה",$Z76="מפותחת"),"קוראים וכותבים מיומנים","מיקוד בהבנה והבעה"))))))</f>
        <v/>
      </c>
      <c r="AC76" s="32">
        <f>IF(OR($AB76="",LEFT($AB76,1)="—"),"",IF(OR($AB76="מיקוד בשטף קריאה",$AB76="מיקוד בשטף הקריאה ובכישורי שפה"),"רמה א'",IF($AB76="קוראים וכותבים מיומנים","רמה ג'","רמה ב'")))</f>
        <v/>
      </c>
      <c r="AD76" s="32">
        <f>IF($AC76="","",MID(IF(AND($AC76="רמה א'",$AA76="ניכרת"),"; להוסיף עבודת אוצר מילים","")&amp;IF($Z76="אינה מפותחת","; דגש על הבעה בכתב","")&amp;IF($K76&lt;&gt;"תקין","; נדרש לעבוד על ההנגנה","")&amp;IF($AK76&lt;&gt;"","; "&amp;$AK76,""),3,400))</f>
        <v/>
      </c>
      <c r="AE76" s="32">
        <f>IF($F76="","",IF($F76="תחילת שנה",1,IF($F76="מחצית שנה",2,3)))</f>
        <v/>
      </c>
      <c r="AF76" s="32">
        <f>IF(OR($B76="",$AC76="",$A76="",$F76=""),"",$B76&amp;"|"&amp;$A76&amp;"|"&amp;$F76&amp;"|"&amp;$AC76&amp;"|"&amp;COUNTIFS($B$6:$B76,$B76,$A$6:$A76,$A76,$F$6:$F76,$F76,$AC$6:$AC76,$AC76))</f>
        <v/>
      </c>
      <c r="AG76" s="32">
        <f>IF($C76="","",$C76&amp;"|"&amp;COUNTIFS($C$6:$C76,$C76))</f>
        <v/>
      </c>
      <c r="AH76" s="32">
        <f>IF(OR($C76="",$A76="",$AE76=""),"",$C76&amp;"|"&amp;$A76&amp;"|"&amp;$AE76)</f>
        <v/>
      </c>
      <c r="AI76" s="32">
        <f>IF(OR($C76="",$AE76="",$AE76=1),"",IFERROR(INDEX($AC$6:$AC$1505,MATCH($C76&amp;"|"&amp;$A76&amp;"|"&amp;($AE76-1),$AH$6:$AH$1505,0)),""))</f>
        <v/>
      </c>
      <c r="AJ76" s="32">
        <f>IF(OR($AI76="",$AC76=""),"",IF($AI76=$AC76,"ללא שינוי","מ-"&amp;$AI76&amp;" ל-"&amp;$AC76))</f>
        <v/>
      </c>
      <c r="AK76" s="67" t="n"/>
    </row>
    <row r="77" ht="15.75" customHeight="1" s="58">
      <c r="A77" s="65" t="n"/>
      <c r="B77" s="65" t="n"/>
      <c r="C77" s="66" t="n"/>
      <c r="D77" s="66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65" t="n"/>
      <c r="R77" s="65" t="n"/>
      <c r="S77" s="65" t="n"/>
      <c r="T77" s="65" t="n"/>
      <c r="U77" s="65" t="n"/>
      <c r="V77" s="65" t="n"/>
      <c r="W77" s="65" t="n"/>
      <c r="X77" s="65" t="n"/>
      <c r="Y77" s="32">
        <f>IF($C77="","",IF(COUNTA($I77:$K77)&lt;3,"— חסרים נתונים",IF(AND($I77="תקין",$J77="תקין",$K77="תקין"),"רהוטה",IF(AND($I77="תקין",$J77="תקין"),"מדויקת ורציפה","אינה מדויקת או מקוטעת"))))</f>
        <v/>
      </c>
      <c r="Z77" s="32">
        <f>IF($C77="","",IF(COUNTA($U77:$W77)&lt;3,"",IF(AND($U77="מפותח",$V77="מפותח",$W77="מפותחת"),"מפותחת",IF((--($U77="דל"))+(--($V77="אינו מפותח"))+(--($W77="דלה"))&gt;=2,"אינה מפותחת","חלקית"))))</f>
        <v/>
      </c>
      <c r="AA77" s="32">
        <f>IF($C77="","",IF(COUNTA($M77,$N77,$O77)&lt;3,"— חסרים נתונים",IF(OR($M77="נמוכה",(--($M77&lt;&gt;"תקינה"))+(--($N77&lt;&gt;"תקין"))+(--($O77&lt;&gt;"תקינה"))&gt;=2),"ניכרת","אינה ניכרת")))</f>
        <v/>
      </c>
      <c r="AB77" s="32">
        <f>IF(OR($C77="",$Y77="",$AA77="",LEFT($Y77,1)="—",LEFT($AA77,1)="—"),"",IF($Z77="","— נדרשת הערכת כתיבה",IF($L77="","— חסרה הבנת הנקרא",IF($Y77="אינה מדויקת או מקוטעת",IF($AA77="ניכרת","מיקוד בשטף הקריאה ובכישורי שפה","מיקוד בשטף קריאה"),IF($AA77="ניכרת","מיקוד בכישורי שפה",IF(AND($L77="תקינה",$Z77="מפותחת"),"קוראים וכותבים מיומנים","מיקוד בהבנה והבעה"))))))</f>
        <v/>
      </c>
      <c r="AC77" s="32">
        <f>IF(OR($AB77="",LEFT($AB77,1)="—"),"",IF(OR($AB77="מיקוד בשטף קריאה",$AB77="מיקוד בשטף הקריאה ובכישורי שפה"),"רמה א'",IF($AB77="קוראים וכותבים מיומנים","רמה ג'","רמה ב'")))</f>
        <v/>
      </c>
      <c r="AD77" s="32">
        <f>IF($AC77="","",MID(IF(AND($AC77="רמה א'",$AA77="ניכרת"),"; להוסיף עבודת אוצר מילים","")&amp;IF($Z77="אינה מפותחת","; דגש על הבעה בכתב","")&amp;IF($K77&lt;&gt;"תקין","; נדרש לעבוד על ההנגנה","")&amp;IF($AK77&lt;&gt;"","; "&amp;$AK77,""),3,400))</f>
        <v/>
      </c>
      <c r="AE77" s="32">
        <f>IF($F77="","",IF($F77="תחילת שנה",1,IF($F77="מחצית שנה",2,3)))</f>
        <v/>
      </c>
      <c r="AF77" s="32">
        <f>IF(OR($B77="",$AC77="",$A77="",$F77=""),"",$B77&amp;"|"&amp;$A77&amp;"|"&amp;$F77&amp;"|"&amp;$AC77&amp;"|"&amp;COUNTIFS($B$6:$B77,$B77,$A$6:$A77,$A77,$F$6:$F77,$F77,$AC$6:$AC77,$AC77))</f>
        <v/>
      </c>
      <c r="AG77" s="32">
        <f>IF($C77="","",$C77&amp;"|"&amp;COUNTIFS($C$6:$C77,$C77))</f>
        <v/>
      </c>
      <c r="AH77" s="32">
        <f>IF(OR($C77="",$A77="",$AE77=""),"",$C77&amp;"|"&amp;$A77&amp;"|"&amp;$AE77)</f>
        <v/>
      </c>
      <c r="AI77" s="32">
        <f>IF(OR($C77="",$AE77="",$AE77=1),"",IFERROR(INDEX($AC$6:$AC$1505,MATCH($C77&amp;"|"&amp;$A77&amp;"|"&amp;($AE77-1),$AH$6:$AH$1505,0)),""))</f>
        <v/>
      </c>
      <c r="AJ77" s="32">
        <f>IF(OR($AI77="",$AC77=""),"",IF($AI77=$AC77,"ללא שינוי","מ-"&amp;$AI77&amp;" ל-"&amp;$AC77))</f>
        <v/>
      </c>
      <c r="AK77" s="67" t="n"/>
    </row>
    <row r="78" ht="15.75" customHeight="1" s="58">
      <c r="A78" s="65" t="n"/>
      <c r="B78" s="65" t="n"/>
      <c r="C78" s="66" t="n"/>
      <c r="D78" s="66" t="n"/>
      <c r="E78" s="65" t="n"/>
      <c r="F78" s="65" t="n"/>
      <c r="G78" s="65" t="n"/>
      <c r="H78" s="65" t="n"/>
      <c r="I78" s="65" t="n"/>
      <c r="J78" s="65" t="n"/>
      <c r="K78" s="65" t="n"/>
      <c r="L78" s="65" t="n"/>
      <c r="M78" s="65" t="n"/>
      <c r="N78" s="65" t="n"/>
      <c r="O78" s="65" t="n"/>
      <c r="P78" s="65" t="n"/>
      <c r="Q78" s="65" t="n"/>
      <c r="R78" s="65" t="n"/>
      <c r="S78" s="65" t="n"/>
      <c r="T78" s="65" t="n"/>
      <c r="U78" s="65" t="n"/>
      <c r="V78" s="65" t="n"/>
      <c r="W78" s="65" t="n"/>
      <c r="X78" s="65" t="n"/>
      <c r="Y78" s="32">
        <f>IF($C78="","",IF(COUNTA($I78:$K78)&lt;3,"— חסרים נתונים",IF(AND($I78="תקין",$J78="תקין",$K78="תקין"),"רהוטה",IF(AND($I78="תקין",$J78="תקין"),"מדויקת ורציפה","אינה מדויקת או מקוטעת"))))</f>
        <v/>
      </c>
      <c r="Z78" s="32">
        <f>IF($C78="","",IF(COUNTA($U78:$W78)&lt;3,"",IF(AND($U78="מפותח",$V78="מפותח",$W78="מפותחת"),"מפותחת",IF((--($U78="דל"))+(--($V78="אינו מפותח"))+(--($W78="דלה"))&gt;=2,"אינה מפותחת","חלקית"))))</f>
        <v/>
      </c>
      <c r="AA78" s="32">
        <f>IF($C78="","",IF(COUNTA($M78,$N78,$O78)&lt;3,"— חסרים נתונים",IF(OR($M78="נמוכה",(--($M78&lt;&gt;"תקינה"))+(--($N78&lt;&gt;"תקין"))+(--($O78&lt;&gt;"תקינה"))&gt;=2),"ניכרת","אינה ניכרת")))</f>
        <v/>
      </c>
      <c r="AB78" s="32">
        <f>IF(OR($C78="",$Y78="",$AA78="",LEFT($Y78,1)="—",LEFT($AA78,1)="—"),"",IF($Z78="","— נדרשת הערכת כתיבה",IF($L78="","— חסרה הבנת הנקרא",IF($Y78="אינה מדויקת או מקוטעת",IF($AA78="ניכרת","מיקוד בשטף הקריאה ובכישורי שפה","מיקוד בשטף קריאה"),IF($AA78="ניכרת","מיקוד בכישורי שפה",IF(AND($L78="תקינה",$Z78="מפותחת"),"קוראים וכותבים מיומנים","מיקוד בהבנה והבעה"))))))</f>
        <v/>
      </c>
      <c r="AC78" s="32">
        <f>IF(OR($AB78="",LEFT($AB78,1)="—"),"",IF(OR($AB78="מיקוד בשטף קריאה",$AB78="מיקוד בשטף הקריאה ובכישורי שפה"),"רמה א'",IF($AB78="קוראים וכותבים מיומנים","רמה ג'","רמה ב'")))</f>
        <v/>
      </c>
      <c r="AD78" s="32">
        <f>IF($AC78="","",MID(IF(AND($AC78="רמה א'",$AA78="ניכרת"),"; להוסיף עבודת אוצר מילים","")&amp;IF($Z78="אינה מפותחת","; דגש על הבעה בכתב","")&amp;IF($K78&lt;&gt;"תקין","; נדרש לעבוד על ההנגנה","")&amp;IF($AK78&lt;&gt;"","; "&amp;$AK78,""),3,400))</f>
        <v/>
      </c>
      <c r="AE78" s="32">
        <f>IF($F78="","",IF($F78="תחילת שנה",1,IF($F78="מחצית שנה",2,3)))</f>
        <v/>
      </c>
      <c r="AF78" s="32">
        <f>IF(OR($B78="",$AC78="",$A78="",$F78=""),"",$B78&amp;"|"&amp;$A78&amp;"|"&amp;$F78&amp;"|"&amp;$AC78&amp;"|"&amp;COUNTIFS($B$6:$B78,$B78,$A$6:$A78,$A78,$F$6:$F78,$F78,$AC$6:$AC78,$AC78))</f>
        <v/>
      </c>
      <c r="AG78" s="32">
        <f>IF($C78="","",$C78&amp;"|"&amp;COUNTIFS($C$6:$C78,$C78))</f>
        <v/>
      </c>
      <c r="AH78" s="32">
        <f>IF(OR($C78="",$A78="",$AE78=""),"",$C78&amp;"|"&amp;$A78&amp;"|"&amp;$AE78)</f>
        <v/>
      </c>
      <c r="AI78" s="32">
        <f>IF(OR($C78="",$AE78="",$AE78=1),"",IFERROR(INDEX($AC$6:$AC$1505,MATCH($C78&amp;"|"&amp;$A78&amp;"|"&amp;($AE78-1),$AH$6:$AH$1505,0)),""))</f>
        <v/>
      </c>
      <c r="AJ78" s="32">
        <f>IF(OR($AI78="",$AC78=""),"",IF($AI78=$AC78,"ללא שינוי","מ-"&amp;$AI78&amp;" ל-"&amp;$AC78))</f>
        <v/>
      </c>
      <c r="AK78" s="67" t="n"/>
    </row>
    <row r="79" ht="15.75" customHeight="1" s="58">
      <c r="A79" s="65" t="n"/>
      <c r="B79" s="65" t="n"/>
      <c r="C79" s="66" t="n"/>
      <c r="D79" s="66" t="n"/>
      <c r="E79" s="65" t="n"/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  <c r="P79" s="65" t="n"/>
      <c r="Q79" s="65" t="n"/>
      <c r="R79" s="65" t="n"/>
      <c r="S79" s="65" t="n"/>
      <c r="T79" s="65" t="n"/>
      <c r="U79" s="65" t="n"/>
      <c r="V79" s="65" t="n"/>
      <c r="W79" s="65" t="n"/>
      <c r="X79" s="65" t="n"/>
      <c r="Y79" s="32">
        <f>IF($C79="","",IF(COUNTA($I79:$K79)&lt;3,"— חסרים נתונים",IF(AND($I79="תקין",$J79="תקין",$K79="תקין"),"רהוטה",IF(AND($I79="תקין",$J79="תקין"),"מדויקת ורציפה","אינה מדויקת או מקוטעת"))))</f>
        <v/>
      </c>
      <c r="Z79" s="32">
        <f>IF($C79="","",IF(COUNTA($U79:$W79)&lt;3,"",IF(AND($U79="מפותח",$V79="מפותח",$W79="מפותחת"),"מפותחת",IF((--($U79="דל"))+(--($V79="אינו מפותח"))+(--($W79="דלה"))&gt;=2,"אינה מפותחת","חלקית"))))</f>
        <v/>
      </c>
      <c r="AA79" s="32">
        <f>IF($C79="","",IF(COUNTA($M79,$N79,$O79)&lt;3,"— חסרים נתונים",IF(OR($M79="נמוכה",(--($M79&lt;&gt;"תקינה"))+(--($N79&lt;&gt;"תקין"))+(--($O79&lt;&gt;"תקינה"))&gt;=2),"ניכרת","אינה ניכרת")))</f>
        <v/>
      </c>
      <c r="AB79" s="32">
        <f>IF(OR($C79="",$Y79="",$AA79="",LEFT($Y79,1)="—",LEFT($AA79,1)="—"),"",IF($Z79="","— נדרשת הערכת כתיבה",IF($L79="","— חסרה הבנת הנקרא",IF($Y79="אינה מדויקת או מקוטעת",IF($AA79="ניכרת","מיקוד בשטף הקריאה ובכישורי שפה","מיקוד בשטף קריאה"),IF($AA79="ניכרת","מיקוד בכישורי שפה",IF(AND($L79="תקינה",$Z79="מפותחת"),"קוראים וכותבים מיומנים","מיקוד בהבנה והבעה"))))))</f>
        <v/>
      </c>
      <c r="AC79" s="32">
        <f>IF(OR($AB79="",LEFT($AB79,1)="—"),"",IF(OR($AB79="מיקוד בשטף קריאה",$AB79="מיקוד בשטף הקריאה ובכישורי שפה"),"רמה א'",IF($AB79="קוראים וכותבים מיומנים","רמה ג'","רמה ב'")))</f>
        <v/>
      </c>
      <c r="AD79" s="32">
        <f>IF($AC79="","",MID(IF(AND($AC79="רמה א'",$AA79="ניכרת"),"; להוסיף עבודת אוצר מילים","")&amp;IF($Z79="אינה מפותחת","; דגש על הבעה בכתב","")&amp;IF($K79&lt;&gt;"תקין","; נדרש לעבוד על ההנגנה","")&amp;IF($AK79&lt;&gt;"","; "&amp;$AK79,""),3,400))</f>
        <v/>
      </c>
      <c r="AE79" s="32">
        <f>IF($F79="","",IF($F79="תחילת שנה",1,IF($F79="מחצית שנה",2,3)))</f>
        <v/>
      </c>
      <c r="AF79" s="32">
        <f>IF(OR($B79="",$AC79="",$A79="",$F79=""),"",$B79&amp;"|"&amp;$A79&amp;"|"&amp;$F79&amp;"|"&amp;$AC79&amp;"|"&amp;COUNTIFS($B$6:$B79,$B79,$A$6:$A79,$A79,$F$6:$F79,$F79,$AC$6:$AC79,$AC79))</f>
        <v/>
      </c>
      <c r="AG79" s="32">
        <f>IF($C79="","",$C79&amp;"|"&amp;COUNTIFS($C$6:$C79,$C79))</f>
        <v/>
      </c>
      <c r="AH79" s="32">
        <f>IF(OR($C79="",$A79="",$AE79=""),"",$C79&amp;"|"&amp;$A79&amp;"|"&amp;$AE79)</f>
        <v/>
      </c>
      <c r="AI79" s="32">
        <f>IF(OR($C79="",$AE79="",$AE79=1),"",IFERROR(INDEX($AC$6:$AC$1505,MATCH($C79&amp;"|"&amp;$A79&amp;"|"&amp;($AE79-1),$AH$6:$AH$1505,0)),""))</f>
        <v/>
      </c>
      <c r="AJ79" s="32">
        <f>IF(OR($AI79="",$AC79=""),"",IF($AI79=$AC79,"ללא שינוי","מ-"&amp;$AI79&amp;" ל-"&amp;$AC79))</f>
        <v/>
      </c>
      <c r="AK79" s="67" t="n"/>
    </row>
    <row r="80" ht="15.75" customHeight="1" s="58">
      <c r="A80" s="65" t="n"/>
      <c r="B80" s="65" t="n"/>
      <c r="C80" s="66" t="n"/>
      <c r="D80" s="66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  <c r="P80" s="65" t="n"/>
      <c r="Q80" s="65" t="n"/>
      <c r="R80" s="65" t="n"/>
      <c r="S80" s="65" t="n"/>
      <c r="T80" s="65" t="n"/>
      <c r="U80" s="65" t="n"/>
      <c r="V80" s="65" t="n"/>
      <c r="W80" s="65" t="n"/>
      <c r="X80" s="65" t="n"/>
      <c r="Y80" s="32">
        <f>IF($C80="","",IF(COUNTA($I80:$K80)&lt;3,"— חסרים נתונים",IF(AND($I80="תקין",$J80="תקין",$K80="תקין"),"רהוטה",IF(AND($I80="תקין",$J80="תקין"),"מדויקת ורציפה","אינה מדויקת או מקוטעת"))))</f>
        <v/>
      </c>
      <c r="Z80" s="32">
        <f>IF($C80="","",IF(COUNTA($U80:$W80)&lt;3,"",IF(AND($U80="מפותח",$V80="מפותח",$W80="מפותחת"),"מפותחת",IF((--($U80="דל"))+(--($V80="אינו מפותח"))+(--($W80="דלה"))&gt;=2,"אינה מפותחת","חלקית"))))</f>
        <v/>
      </c>
      <c r="AA80" s="32">
        <f>IF($C80="","",IF(COUNTA($M80,$N80,$O80)&lt;3,"— חסרים נתונים",IF(OR($M80="נמוכה",(--($M80&lt;&gt;"תקינה"))+(--($N80&lt;&gt;"תקין"))+(--($O80&lt;&gt;"תקינה"))&gt;=2),"ניכרת","אינה ניכרת")))</f>
        <v/>
      </c>
      <c r="AB80" s="32">
        <f>IF(OR($C80="",$Y80="",$AA80="",LEFT($Y80,1)="—",LEFT($AA80,1)="—"),"",IF($Z80="","— נדרשת הערכת כתיבה",IF($L80="","— חסרה הבנת הנקרא",IF($Y80="אינה מדויקת או מקוטעת",IF($AA80="ניכרת","מיקוד בשטף הקריאה ובכישורי שפה","מיקוד בשטף קריאה"),IF($AA80="ניכרת","מיקוד בכישורי שפה",IF(AND($L80="תקינה",$Z80="מפותחת"),"קוראים וכותבים מיומנים","מיקוד בהבנה והבעה"))))))</f>
        <v/>
      </c>
      <c r="AC80" s="32">
        <f>IF(OR($AB80="",LEFT($AB80,1)="—"),"",IF(OR($AB80="מיקוד בשטף קריאה",$AB80="מיקוד בשטף הקריאה ובכישורי שפה"),"רמה א'",IF($AB80="קוראים וכותבים מיומנים","רמה ג'","רמה ב'")))</f>
        <v/>
      </c>
      <c r="AD80" s="32">
        <f>IF($AC80="","",MID(IF(AND($AC80="רמה א'",$AA80="ניכרת"),"; להוסיף עבודת אוצר מילים","")&amp;IF($Z80="אינה מפותחת","; דגש על הבעה בכתב","")&amp;IF($K80&lt;&gt;"תקין","; נדרש לעבוד על ההנגנה","")&amp;IF($AK80&lt;&gt;"","; "&amp;$AK80,""),3,400))</f>
        <v/>
      </c>
      <c r="AE80" s="32">
        <f>IF($F80="","",IF($F80="תחילת שנה",1,IF($F80="מחצית שנה",2,3)))</f>
        <v/>
      </c>
      <c r="AF80" s="32">
        <f>IF(OR($B80="",$AC80="",$A80="",$F80=""),"",$B80&amp;"|"&amp;$A80&amp;"|"&amp;$F80&amp;"|"&amp;$AC80&amp;"|"&amp;COUNTIFS($B$6:$B80,$B80,$A$6:$A80,$A80,$F$6:$F80,$F80,$AC$6:$AC80,$AC80))</f>
        <v/>
      </c>
      <c r="AG80" s="32">
        <f>IF($C80="","",$C80&amp;"|"&amp;COUNTIFS($C$6:$C80,$C80))</f>
        <v/>
      </c>
      <c r="AH80" s="32">
        <f>IF(OR($C80="",$A80="",$AE80=""),"",$C80&amp;"|"&amp;$A80&amp;"|"&amp;$AE80)</f>
        <v/>
      </c>
      <c r="AI80" s="32">
        <f>IF(OR($C80="",$AE80="",$AE80=1),"",IFERROR(INDEX($AC$6:$AC$1505,MATCH($C80&amp;"|"&amp;$A80&amp;"|"&amp;($AE80-1),$AH$6:$AH$1505,0)),""))</f>
        <v/>
      </c>
      <c r="AJ80" s="32">
        <f>IF(OR($AI80="",$AC80=""),"",IF($AI80=$AC80,"ללא שינוי","מ-"&amp;$AI80&amp;" ל-"&amp;$AC80))</f>
        <v/>
      </c>
      <c r="AK80" s="67" t="n"/>
    </row>
    <row r="81" ht="15.75" customHeight="1" s="58">
      <c r="A81" s="65" t="n"/>
      <c r="B81" s="65" t="n"/>
      <c r="C81" s="66" t="n"/>
      <c r="D81" s="66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65" t="n"/>
      <c r="R81" s="65" t="n"/>
      <c r="S81" s="65" t="n"/>
      <c r="T81" s="65" t="n"/>
      <c r="U81" s="65" t="n"/>
      <c r="V81" s="65" t="n"/>
      <c r="W81" s="65" t="n"/>
      <c r="X81" s="65" t="n"/>
      <c r="Y81" s="32">
        <f>IF($C81="","",IF(COUNTA($I81:$K81)&lt;3,"— חסרים נתונים",IF(AND($I81="תקין",$J81="תקין",$K81="תקין"),"רהוטה",IF(AND($I81="תקין",$J81="תקין"),"מדויקת ורציפה","אינה מדויקת או מקוטעת"))))</f>
        <v/>
      </c>
      <c r="Z81" s="32">
        <f>IF($C81="","",IF(COUNTA($U81:$W81)&lt;3,"",IF(AND($U81="מפותח",$V81="מפותח",$W81="מפותחת"),"מפותחת",IF((--($U81="דל"))+(--($V81="אינו מפותח"))+(--($W81="דלה"))&gt;=2,"אינה מפותחת","חלקית"))))</f>
        <v/>
      </c>
      <c r="AA81" s="32">
        <f>IF($C81="","",IF(COUNTA($M81,$N81,$O81)&lt;3,"— חסרים נתונים",IF(OR($M81="נמוכה",(--($M81&lt;&gt;"תקינה"))+(--($N81&lt;&gt;"תקין"))+(--($O81&lt;&gt;"תקינה"))&gt;=2),"ניכרת","אינה ניכרת")))</f>
        <v/>
      </c>
      <c r="AB81" s="32">
        <f>IF(OR($C81="",$Y81="",$AA81="",LEFT($Y81,1)="—",LEFT($AA81,1)="—"),"",IF($Z81="","— נדרשת הערכת כתיבה",IF($L81="","— חסרה הבנת הנקרא",IF($Y81="אינה מדויקת או מקוטעת",IF($AA81="ניכרת","מיקוד בשטף הקריאה ובכישורי שפה","מיקוד בשטף קריאה"),IF($AA81="ניכרת","מיקוד בכישורי שפה",IF(AND($L81="תקינה",$Z81="מפותחת"),"קוראים וכותבים מיומנים","מיקוד בהבנה והבעה"))))))</f>
        <v/>
      </c>
      <c r="AC81" s="32">
        <f>IF(OR($AB81="",LEFT($AB81,1)="—"),"",IF(OR($AB81="מיקוד בשטף קריאה",$AB81="מיקוד בשטף הקריאה ובכישורי שפה"),"רמה א'",IF($AB81="קוראים וכותבים מיומנים","רמה ג'","רמה ב'")))</f>
        <v/>
      </c>
      <c r="AD81" s="32">
        <f>IF($AC81="","",MID(IF(AND($AC81="רמה א'",$AA81="ניכרת"),"; להוסיף עבודת אוצר מילים","")&amp;IF($Z81="אינה מפותחת","; דגש על הבעה בכתב","")&amp;IF($K81&lt;&gt;"תקין","; נדרש לעבוד על ההנגנה","")&amp;IF($AK81&lt;&gt;"","; "&amp;$AK81,""),3,400))</f>
        <v/>
      </c>
      <c r="AE81" s="32">
        <f>IF($F81="","",IF($F81="תחילת שנה",1,IF($F81="מחצית שנה",2,3)))</f>
        <v/>
      </c>
      <c r="AF81" s="32">
        <f>IF(OR($B81="",$AC81="",$A81="",$F81=""),"",$B81&amp;"|"&amp;$A81&amp;"|"&amp;$F81&amp;"|"&amp;$AC81&amp;"|"&amp;COUNTIFS($B$6:$B81,$B81,$A$6:$A81,$A81,$F$6:$F81,$F81,$AC$6:$AC81,$AC81))</f>
        <v/>
      </c>
      <c r="AG81" s="32">
        <f>IF($C81="","",$C81&amp;"|"&amp;COUNTIFS($C$6:$C81,$C81))</f>
        <v/>
      </c>
      <c r="AH81" s="32">
        <f>IF(OR($C81="",$A81="",$AE81=""),"",$C81&amp;"|"&amp;$A81&amp;"|"&amp;$AE81)</f>
        <v/>
      </c>
      <c r="AI81" s="32">
        <f>IF(OR($C81="",$AE81="",$AE81=1),"",IFERROR(INDEX($AC$6:$AC$1505,MATCH($C81&amp;"|"&amp;$A81&amp;"|"&amp;($AE81-1),$AH$6:$AH$1505,0)),""))</f>
        <v/>
      </c>
      <c r="AJ81" s="32">
        <f>IF(OR($AI81="",$AC81=""),"",IF($AI81=$AC81,"ללא שינוי","מ-"&amp;$AI81&amp;" ל-"&amp;$AC81))</f>
        <v/>
      </c>
      <c r="AK81" s="67" t="n"/>
    </row>
    <row r="82" ht="15.75" customHeight="1" s="58">
      <c r="A82" s="65" t="n"/>
      <c r="B82" s="65" t="n"/>
      <c r="C82" s="66" t="n"/>
      <c r="D82" s="66" t="n"/>
      <c r="E82" s="65" t="n"/>
      <c r="F82" s="65" t="n"/>
      <c r="G82" s="65" t="n"/>
      <c r="H82" s="65" t="n"/>
      <c r="I82" s="65" t="n"/>
      <c r="J82" s="65" t="n"/>
      <c r="K82" s="65" t="n"/>
      <c r="L82" s="65" t="n"/>
      <c r="M82" s="65" t="n"/>
      <c r="N82" s="65" t="n"/>
      <c r="O82" s="65" t="n"/>
      <c r="P82" s="65" t="n"/>
      <c r="Q82" s="65" t="n"/>
      <c r="R82" s="65" t="n"/>
      <c r="S82" s="65" t="n"/>
      <c r="T82" s="65" t="n"/>
      <c r="U82" s="65" t="n"/>
      <c r="V82" s="65" t="n"/>
      <c r="W82" s="65" t="n"/>
      <c r="X82" s="65" t="n"/>
      <c r="Y82" s="32">
        <f>IF($C82="","",IF(COUNTA($I82:$K82)&lt;3,"— חסרים נתונים",IF(AND($I82="תקין",$J82="תקין",$K82="תקין"),"רהוטה",IF(AND($I82="תקין",$J82="תקין"),"מדויקת ורציפה","אינה מדויקת או מקוטעת"))))</f>
        <v/>
      </c>
      <c r="Z82" s="32">
        <f>IF($C82="","",IF(COUNTA($U82:$W82)&lt;3,"",IF(AND($U82="מפותח",$V82="מפותח",$W82="מפותחת"),"מפותחת",IF((--($U82="דל"))+(--($V82="אינו מפותח"))+(--($W82="דלה"))&gt;=2,"אינה מפותחת","חלקית"))))</f>
        <v/>
      </c>
      <c r="AA82" s="32">
        <f>IF($C82="","",IF(COUNTA($M82,$N82,$O82)&lt;3,"— חסרים נתונים",IF(OR($M82="נמוכה",(--($M82&lt;&gt;"תקינה"))+(--($N82&lt;&gt;"תקין"))+(--($O82&lt;&gt;"תקינה"))&gt;=2),"ניכרת","אינה ניכרת")))</f>
        <v/>
      </c>
      <c r="AB82" s="32">
        <f>IF(OR($C82="",$Y82="",$AA82="",LEFT($Y82,1)="—",LEFT($AA82,1)="—"),"",IF($Z82="","— נדרשת הערכת כתיבה",IF($L82="","— חסרה הבנת הנקרא",IF($Y82="אינה מדויקת או מקוטעת",IF($AA82="ניכרת","מיקוד בשטף הקריאה ובכישורי שפה","מיקוד בשטף קריאה"),IF($AA82="ניכרת","מיקוד בכישורי שפה",IF(AND($L82="תקינה",$Z82="מפותחת"),"קוראים וכותבים מיומנים","מיקוד בהבנה והבעה"))))))</f>
        <v/>
      </c>
      <c r="AC82" s="32">
        <f>IF(OR($AB82="",LEFT($AB82,1)="—"),"",IF(OR($AB82="מיקוד בשטף קריאה",$AB82="מיקוד בשטף הקריאה ובכישורי שפה"),"רמה א'",IF($AB82="קוראים וכותבים מיומנים","רמה ג'","רמה ב'")))</f>
        <v/>
      </c>
      <c r="AD82" s="32">
        <f>IF($AC82="","",MID(IF(AND($AC82="רמה א'",$AA82="ניכרת"),"; להוסיף עבודת אוצר מילים","")&amp;IF($Z82="אינה מפותחת","; דגש על הבעה בכתב","")&amp;IF($K82&lt;&gt;"תקין","; נדרש לעבוד על ההנגנה","")&amp;IF($AK82&lt;&gt;"","; "&amp;$AK82,""),3,400))</f>
        <v/>
      </c>
      <c r="AE82" s="32">
        <f>IF($F82="","",IF($F82="תחילת שנה",1,IF($F82="מחצית שנה",2,3)))</f>
        <v/>
      </c>
      <c r="AF82" s="32">
        <f>IF(OR($B82="",$AC82="",$A82="",$F82=""),"",$B82&amp;"|"&amp;$A82&amp;"|"&amp;$F82&amp;"|"&amp;$AC82&amp;"|"&amp;COUNTIFS($B$6:$B82,$B82,$A$6:$A82,$A82,$F$6:$F82,$F82,$AC$6:$AC82,$AC82))</f>
        <v/>
      </c>
      <c r="AG82" s="32">
        <f>IF($C82="","",$C82&amp;"|"&amp;COUNTIFS($C$6:$C82,$C82))</f>
        <v/>
      </c>
      <c r="AH82" s="32">
        <f>IF(OR($C82="",$A82="",$AE82=""),"",$C82&amp;"|"&amp;$A82&amp;"|"&amp;$AE82)</f>
        <v/>
      </c>
      <c r="AI82" s="32">
        <f>IF(OR($C82="",$AE82="",$AE82=1),"",IFERROR(INDEX($AC$6:$AC$1505,MATCH($C82&amp;"|"&amp;$A82&amp;"|"&amp;($AE82-1),$AH$6:$AH$1505,0)),""))</f>
        <v/>
      </c>
      <c r="AJ82" s="32">
        <f>IF(OR($AI82="",$AC82=""),"",IF($AI82=$AC82,"ללא שינוי","מ-"&amp;$AI82&amp;" ל-"&amp;$AC82))</f>
        <v/>
      </c>
      <c r="AK82" s="67" t="n"/>
    </row>
    <row r="83" ht="15.75" customHeight="1" s="58">
      <c r="A83" s="65" t="n"/>
      <c r="B83" s="65" t="n"/>
      <c r="C83" s="66" t="n"/>
      <c r="D83" s="66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  <c r="O83" s="65" t="n"/>
      <c r="P83" s="65" t="n"/>
      <c r="Q83" s="65" t="n"/>
      <c r="R83" s="65" t="n"/>
      <c r="S83" s="65" t="n"/>
      <c r="T83" s="65" t="n"/>
      <c r="U83" s="65" t="n"/>
      <c r="V83" s="65" t="n"/>
      <c r="W83" s="65" t="n"/>
      <c r="X83" s="65" t="n"/>
      <c r="Y83" s="32">
        <f>IF($C83="","",IF(COUNTA($I83:$K83)&lt;3,"— חסרים נתונים",IF(AND($I83="תקין",$J83="תקין",$K83="תקין"),"רהוטה",IF(AND($I83="תקין",$J83="תקין"),"מדויקת ורציפה","אינה מדויקת או מקוטעת"))))</f>
        <v/>
      </c>
      <c r="Z83" s="32">
        <f>IF($C83="","",IF(COUNTA($U83:$W83)&lt;3,"",IF(AND($U83="מפותח",$V83="מפותח",$W83="מפותחת"),"מפותחת",IF((--($U83="דל"))+(--($V83="אינו מפותח"))+(--($W83="דלה"))&gt;=2,"אינה מפותחת","חלקית"))))</f>
        <v/>
      </c>
      <c r="AA83" s="32">
        <f>IF($C83="","",IF(COUNTA($M83,$N83,$O83)&lt;3,"— חסרים נתונים",IF(OR($M83="נמוכה",(--($M83&lt;&gt;"תקינה"))+(--($N83&lt;&gt;"תקין"))+(--($O83&lt;&gt;"תקינה"))&gt;=2),"ניכרת","אינה ניכרת")))</f>
        <v/>
      </c>
      <c r="AB83" s="32">
        <f>IF(OR($C83="",$Y83="",$AA83="",LEFT($Y83,1)="—",LEFT($AA83,1)="—"),"",IF($Z83="","— נדרשת הערכת כתיבה",IF($L83="","— חסרה הבנת הנקרא",IF($Y83="אינה מדויקת או מקוטעת",IF($AA83="ניכרת","מיקוד בשטף הקריאה ובכישורי שפה","מיקוד בשטף קריאה"),IF($AA83="ניכרת","מיקוד בכישורי שפה",IF(AND($L83="תקינה",$Z83="מפותחת"),"קוראים וכותבים מיומנים","מיקוד בהבנה והבעה"))))))</f>
        <v/>
      </c>
      <c r="AC83" s="32">
        <f>IF(OR($AB83="",LEFT($AB83,1)="—"),"",IF(OR($AB83="מיקוד בשטף קריאה",$AB83="מיקוד בשטף הקריאה ובכישורי שפה"),"רמה א'",IF($AB83="קוראים וכותבים מיומנים","רמה ג'","רמה ב'")))</f>
        <v/>
      </c>
      <c r="AD83" s="32">
        <f>IF($AC83="","",MID(IF(AND($AC83="רמה א'",$AA83="ניכרת"),"; להוסיף עבודת אוצר מילים","")&amp;IF($Z83="אינה מפותחת","; דגש על הבעה בכתב","")&amp;IF($K83&lt;&gt;"תקין","; נדרש לעבוד על ההנגנה","")&amp;IF($AK83&lt;&gt;"","; "&amp;$AK83,""),3,400))</f>
        <v/>
      </c>
      <c r="AE83" s="32">
        <f>IF($F83="","",IF($F83="תחילת שנה",1,IF($F83="מחצית שנה",2,3)))</f>
        <v/>
      </c>
      <c r="AF83" s="32">
        <f>IF(OR($B83="",$AC83="",$A83="",$F83=""),"",$B83&amp;"|"&amp;$A83&amp;"|"&amp;$F83&amp;"|"&amp;$AC83&amp;"|"&amp;COUNTIFS($B$6:$B83,$B83,$A$6:$A83,$A83,$F$6:$F83,$F83,$AC$6:$AC83,$AC83))</f>
        <v/>
      </c>
      <c r="AG83" s="32">
        <f>IF($C83="","",$C83&amp;"|"&amp;COUNTIFS($C$6:$C83,$C83))</f>
        <v/>
      </c>
      <c r="AH83" s="32">
        <f>IF(OR($C83="",$A83="",$AE83=""),"",$C83&amp;"|"&amp;$A83&amp;"|"&amp;$AE83)</f>
        <v/>
      </c>
      <c r="AI83" s="32">
        <f>IF(OR($C83="",$AE83="",$AE83=1),"",IFERROR(INDEX($AC$6:$AC$1505,MATCH($C83&amp;"|"&amp;$A83&amp;"|"&amp;($AE83-1),$AH$6:$AH$1505,0)),""))</f>
        <v/>
      </c>
      <c r="AJ83" s="32">
        <f>IF(OR($AI83="",$AC83=""),"",IF($AI83=$AC83,"ללא שינוי","מ-"&amp;$AI83&amp;" ל-"&amp;$AC83))</f>
        <v/>
      </c>
      <c r="AK83" s="67" t="n"/>
    </row>
    <row r="84" ht="15.75" customHeight="1" s="58">
      <c r="A84" s="65" t="n"/>
      <c r="B84" s="65" t="n"/>
      <c r="C84" s="66" t="n"/>
      <c r="D84" s="66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5" t="n"/>
      <c r="N84" s="65" t="n"/>
      <c r="O84" s="65" t="n"/>
      <c r="P84" s="65" t="n"/>
      <c r="Q84" s="65" t="n"/>
      <c r="R84" s="65" t="n"/>
      <c r="S84" s="65" t="n"/>
      <c r="T84" s="65" t="n"/>
      <c r="U84" s="65" t="n"/>
      <c r="V84" s="65" t="n"/>
      <c r="W84" s="65" t="n"/>
      <c r="X84" s="65" t="n"/>
      <c r="Y84" s="32">
        <f>IF($C84="","",IF(COUNTA($I84:$K84)&lt;3,"— חסרים נתונים",IF(AND($I84="תקין",$J84="תקין",$K84="תקין"),"רהוטה",IF(AND($I84="תקין",$J84="תקין"),"מדויקת ורציפה","אינה מדויקת או מקוטעת"))))</f>
        <v/>
      </c>
      <c r="Z84" s="32">
        <f>IF($C84="","",IF(COUNTA($U84:$W84)&lt;3,"",IF(AND($U84="מפותח",$V84="מפותח",$W84="מפותחת"),"מפותחת",IF((--($U84="דל"))+(--($V84="אינו מפותח"))+(--($W84="דלה"))&gt;=2,"אינה מפותחת","חלקית"))))</f>
        <v/>
      </c>
      <c r="AA84" s="32">
        <f>IF($C84="","",IF(COUNTA($M84,$N84,$O84)&lt;3,"— חסרים נתונים",IF(OR($M84="נמוכה",(--($M84&lt;&gt;"תקינה"))+(--($N84&lt;&gt;"תקין"))+(--($O84&lt;&gt;"תקינה"))&gt;=2),"ניכרת","אינה ניכרת")))</f>
        <v/>
      </c>
      <c r="AB84" s="32">
        <f>IF(OR($C84="",$Y84="",$AA84="",LEFT($Y84,1)="—",LEFT($AA84,1)="—"),"",IF($Z84="","— נדרשת הערכת כתיבה",IF($L84="","— חסרה הבנת הנקרא",IF($Y84="אינה מדויקת או מקוטעת",IF($AA84="ניכרת","מיקוד בשטף הקריאה ובכישורי שפה","מיקוד בשטף קריאה"),IF($AA84="ניכרת","מיקוד בכישורי שפה",IF(AND($L84="תקינה",$Z84="מפותחת"),"קוראים וכותבים מיומנים","מיקוד בהבנה והבעה"))))))</f>
        <v/>
      </c>
      <c r="AC84" s="32">
        <f>IF(OR($AB84="",LEFT($AB84,1)="—"),"",IF(OR($AB84="מיקוד בשטף קריאה",$AB84="מיקוד בשטף הקריאה ובכישורי שפה"),"רמה א'",IF($AB84="קוראים וכותבים מיומנים","רמה ג'","רמה ב'")))</f>
        <v/>
      </c>
      <c r="AD84" s="32">
        <f>IF($AC84="","",MID(IF(AND($AC84="רמה א'",$AA84="ניכרת"),"; להוסיף עבודת אוצר מילים","")&amp;IF($Z84="אינה מפותחת","; דגש על הבעה בכתב","")&amp;IF($K84&lt;&gt;"תקין","; נדרש לעבוד על ההנגנה","")&amp;IF($AK84&lt;&gt;"","; "&amp;$AK84,""),3,400))</f>
        <v/>
      </c>
      <c r="AE84" s="32">
        <f>IF($F84="","",IF($F84="תחילת שנה",1,IF($F84="מחצית שנה",2,3)))</f>
        <v/>
      </c>
      <c r="AF84" s="32">
        <f>IF(OR($B84="",$AC84="",$A84="",$F84=""),"",$B84&amp;"|"&amp;$A84&amp;"|"&amp;$F84&amp;"|"&amp;$AC84&amp;"|"&amp;COUNTIFS($B$6:$B84,$B84,$A$6:$A84,$A84,$F$6:$F84,$F84,$AC$6:$AC84,$AC84))</f>
        <v/>
      </c>
      <c r="AG84" s="32">
        <f>IF($C84="","",$C84&amp;"|"&amp;COUNTIFS($C$6:$C84,$C84))</f>
        <v/>
      </c>
      <c r="AH84" s="32">
        <f>IF(OR($C84="",$A84="",$AE84=""),"",$C84&amp;"|"&amp;$A84&amp;"|"&amp;$AE84)</f>
        <v/>
      </c>
      <c r="AI84" s="32">
        <f>IF(OR($C84="",$AE84="",$AE84=1),"",IFERROR(INDEX($AC$6:$AC$1505,MATCH($C84&amp;"|"&amp;$A84&amp;"|"&amp;($AE84-1),$AH$6:$AH$1505,0)),""))</f>
        <v/>
      </c>
      <c r="AJ84" s="32">
        <f>IF(OR($AI84="",$AC84=""),"",IF($AI84=$AC84,"ללא שינוי","מ-"&amp;$AI84&amp;" ל-"&amp;$AC84))</f>
        <v/>
      </c>
      <c r="AK84" s="67" t="n"/>
    </row>
    <row r="85" ht="15.75" customHeight="1" s="58">
      <c r="A85" s="65" t="n"/>
      <c r="B85" s="65" t="n"/>
      <c r="C85" s="66" t="n"/>
      <c r="D85" s="66" t="n"/>
      <c r="E85" s="65" t="n"/>
      <c r="F85" s="65" t="n"/>
      <c r="G85" s="65" t="n"/>
      <c r="H85" s="65" t="n"/>
      <c r="I85" s="65" t="n"/>
      <c r="J85" s="65" t="n"/>
      <c r="K85" s="65" t="n"/>
      <c r="L85" s="65" t="n"/>
      <c r="M85" s="65" t="n"/>
      <c r="N85" s="65" t="n"/>
      <c r="O85" s="65" t="n"/>
      <c r="P85" s="65" t="n"/>
      <c r="Q85" s="65" t="n"/>
      <c r="R85" s="65" t="n"/>
      <c r="S85" s="65" t="n"/>
      <c r="T85" s="65" t="n"/>
      <c r="U85" s="65" t="n"/>
      <c r="V85" s="65" t="n"/>
      <c r="W85" s="65" t="n"/>
      <c r="X85" s="65" t="n"/>
      <c r="Y85" s="32">
        <f>IF($C85="","",IF(COUNTA($I85:$K85)&lt;3,"— חסרים נתונים",IF(AND($I85="תקין",$J85="תקין",$K85="תקין"),"רהוטה",IF(AND($I85="תקין",$J85="תקין"),"מדויקת ורציפה","אינה מדויקת או מקוטעת"))))</f>
        <v/>
      </c>
      <c r="Z85" s="32">
        <f>IF($C85="","",IF(COUNTA($U85:$W85)&lt;3,"",IF(AND($U85="מפותח",$V85="מפותח",$W85="מפותחת"),"מפותחת",IF((--($U85="דל"))+(--($V85="אינו מפותח"))+(--($W85="דלה"))&gt;=2,"אינה מפותחת","חלקית"))))</f>
        <v/>
      </c>
      <c r="AA85" s="32">
        <f>IF($C85="","",IF(COUNTA($M85,$N85,$O85)&lt;3,"— חסרים נתונים",IF(OR($M85="נמוכה",(--($M85&lt;&gt;"תקינה"))+(--($N85&lt;&gt;"תקין"))+(--($O85&lt;&gt;"תקינה"))&gt;=2),"ניכרת","אינה ניכרת")))</f>
        <v/>
      </c>
      <c r="AB85" s="32">
        <f>IF(OR($C85="",$Y85="",$AA85="",LEFT($Y85,1)="—",LEFT($AA85,1)="—"),"",IF($Z85="","— נדרשת הערכת כתיבה",IF($L85="","— חסרה הבנת הנקרא",IF($Y85="אינה מדויקת או מקוטעת",IF($AA85="ניכרת","מיקוד בשטף הקריאה ובכישורי שפה","מיקוד בשטף קריאה"),IF($AA85="ניכרת","מיקוד בכישורי שפה",IF(AND($L85="תקינה",$Z85="מפותחת"),"קוראים וכותבים מיומנים","מיקוד בהבנה והבעה"))))))</f>
        <v/>
      </c>
      <c r="AC85" s="32">
        <f>IF(OR($AB85="",LEFT($AB85,1)="—"),"",IF(OR($AB85="מיקוד בשטף קריאה",$AB85="מיקוד בשטף הקריאה ובכישורי שפה"),"רמה א'",IF($AB85="קוראים וכותבים מיומנים","רמה ג'","רמה ב'")))</f>
        <v/>
      </c>
      <c r="AD85" s="32">
        <f>IF($AC85="","",MID(IF(AND($AC85="רמה א'",$AA85="ניכרת"),"; להוסיף עבודת אוצר מילים","")&amp;IF($Z85="אינה מפותחת","; דגש על הבעה בכתב","")&amp;IF($K85&lt;&gt;"תקין","; נדרש לעבוד על ההנגנה","")&amp;IF($AK85&lt;&gt;"","; "&amp;$AK85,""),3,400))</f>
        <v/>
      </c>
      <c r="AE85" s="32">
        <f>IF($F85="","",IF($F85="תחילת שנה",1,IF($F85="מחצית שנה",2,3)))</f>
        <v/>
      </c>
      <c r="AF85" s="32">
        <f>IF(OR($B85="",$AC85="",$A85="",$F85=""),"",$B85&amp;"|"&amp;$A85&amp;"|"&amp;$F85&amp;"|"&amp;$AC85&amp;"|"&amp;COUNTIFS($B$6:$B85,$B85,$A$6:$A85,$A85,$F$6:$F85,$F85,$AC$6:$AC85,$AC85))</f>
        <v/>
      </c>
      <c r="AG85" s="32">
        <f>IF($C85="","",$C85&amp;"|"&amp;COUNTIFS($C$6:$C85,$C85))</f>
        <v/>
      </c>
      <c r="AH85" s="32">
        <f>IF(OR($C85="",$A85="",$AE85=""),"",$C85&amp;"|"&amp;$A85&amp;"|"&amp;$AE85)</f>
        <v/>
      </c>
      <c r="AI85" s="32">
        <f>IF(OR($C85="",$AE85="",$AE85=1),"",IFERROR(INDEX($AC$6:$AC$1505,MATCH($C85&amp;"|"&amp;$A85&amp;"|"&amp;($AE85-1),$AH$6:$AH$1505,0)),""))</f>
        <v/>
      </c>
      <c r="AJ85" s="32">
        <f>IF(OR($AI85="",$AC85=""),"",IF($AI85=$AC85,"ללא שינוי","מ-"&amp;$AI85&amp;" ל-"&amp;$AC85))</f>
        <v/>
      </c>
      <c r="AK85" s="67" t="n"/>
    </row>
    <row r="86" ht="15.75" customHeight="1" s="58">
      <c r="A86" s="65" t="n"/>
      <c r="B86" s="65" t="n"/>
      <c r="C86" s="66" t="n"/>
      <c r="D86" s="66" t="n"/>
      <c r="E86" s="65" t="n"/>
      <c r="F86" s="65" t="n"/>
      <c r="G86" s="65" t="n"/>
      <c r="H86" s="65" t="n"/>
      <c r="I86" s="65" t="n"/>
      <c r="J86" s="65" t="n"/>
      <c r="K86" s="65" t="n"/>
      <c r="L86" s="65" t="n"/>
      <c r="M86" s="65" t="n"/>
      <c r="N86" s="65" t="n"/>
      <c r="O86" s="65" t="n"/>
      <c r="P86" s="65" t="n"/>
      <c r="Q86" s="65" t="n"/>
      <c r="R86" s="65" t="n"/>
      <c r="S86" s="65" t="n"/>
      <c r="T86" s="65" t="n"/>
      <c r="U86" s="65" t="n"/>
      <c r="V86" s="65" t="n"/>
      <c r="W86" s="65" t="n"/>
      <c r="X86" s="65" t="n"/>
      <c r="Y86" s="32">
        <f>IF($C86="","",IF(COUNTA($I86:$K86)&lt;3,"— חסרים נתונים",IF(AND($I86="תקין",$J86="תקין",$K86="תקין"),"רהוטה",IF(AND($I86="תקין",$J86="תקין"),"מדויקת ורציפה","אינה מדויקת או מקוטעת"))))</f>
        <v/>
      </c>
      <c r="Z86" s="32">
        <f>IF($C86="","",IF(COUNTA($U86:$W86)&lt;3,"",IF(AND($U86="מפותח",$V86="מפותח",$W86="מפותחת"),"מפותחת",IF((--($U86="דל"))+(--($V86="אינו מפותח"))+(--($W86="דלה"))&gt;=2,"אינה מפותחת","חלקית"))))</f>
        <v/>
      </c>
      <c r="AA86" s="32">
        <f>IF($C86="","",IF(COUNTA($M86,$N86,$O86)&lt;3,"— חסרים נתונים",IF(OR($M86="נמוכה",(--($M86&lt;&gt;"תקינה"))+(--($N86&lt;&gt;"תקין"))+(--($O86&lt;&gt;"תקינה"))&gt;=2),"ניכרת","אינה ניכרת")))</f>
        <v/>
      </c>
      <c r="AB86" s="32">
        <f>IF(OR($C86="",$Y86="",$AA86="",LEFT($Y86,1)="—",LEFT($AA86,1)="—"),"",IF($Z86="","— נדרשת הערכת כתיבה",IF($L86="","— חסרה הבנת הנקרא",IF($Y86="אינה מדויקת או מקוטעת",IF($AA86="ניכרת","מיקוד בשטף הקריאה ובכישורי שפה","מיקוד בשטף קריאה"),IF($AA86="ניכרת","מיקוד בכישורי שפה",IF(AND($L86="תקינה",$Z86="מפותחת"),"קוראים וכותבים מיומנים","מיקוד בהבנה והבעה"))))))</f>
        <v/>
      </c>
      <c r="AC86" s="32">
        <f>IF(OR($AB86="",LEFT($AB86,1)="—"),"",IF(OR($AB86="מיקוד בשטף קריאה",$AB86="מיקוד בשטף הקריאה ובכישורי שפה"),"רמה א'",IF($AB86="קוראים וכותבים מיומנים","רמה ג'","רמה ב'")))</f>
        <v/>
      </c>
      <c r="AD86" s="32">
        <f>IF($AC86="","",MID(IF(AND($AC86="רמה א'",$AA86="ניכרת"),"; להוסיף עבודת אוצר מילים","")&amp;IF($Z86="אינה מפותחת","; דגש על הבעה בכתב","")&amp;IF($K86&lt;&gt;"תקין","; נדרש לעבוד על ההנגנה","")&amp;IF($AK86&lt;&gt;"","; "&amp;$AK86,""),3,400))</f>
        <v/>
      </c>
      <c r="AE86" s="32">
        <f>IF($F86="","",IF($F86="תחילת שנה",1,IF($F86="מחצית שנה",2,3)))</f>
        <v/>
      </c>
      <c r="AF86" s="32">
        <f>IF(OR($B86="",$AC86="",$A86="",$F86=""),"",$B86&amp;"|"&amp;$A86&amp;"|"&amp;$F86&amp;"|"&amp;$AC86&amp;"|"&amp;COUNTIFS($B$6:$B86,$B86,$A$6:$A86,$A86,$F$6:$F86,$F86,$AC$6:$AC86,$AC86))</f>
        <v/>
      </c>
      <c r="AG86" s="32">
        <f>IF($C86="","",$C86&amp;"|"&amp;COUNTIFS($C$6:$C86,$C86))</f>
        <v/>
      </c>
      <c r="AH86" s="32">
        <f>IF(OR($C86="",$A86="",$AE86=""),"",$C86&amp;"|"&amp;$A86&amp;"|"&amp;$AE86)</f>
        <v/>
      </c>
      <c r="AI86" s="32">
        <f>IF(OR($C86="",$AE86="",$AE86=1),"",IFERROR(INDEX($AC$6:$AC$1505,MATCH($C86&amp;"|"&amp;$A86&amp;"|"&amp;($AE86-1),$AH$6:$AH$1505,0)),""))</f>
        <v/>
      </c>
      <c r="AJ86" s="32">
        <f>IF(OR($AI86="",$AC86=""),"",IF($AI86=$AC86,"ללא שינוי","מ-"&amp;$AI86&amp;" ל-"&amp;$AC86))</f>
        <v/>
      </c>
      <c r="AK86" s="67" t="n"/>
    </row>
    <row r="87" ht="15.75" customHeight="1" s="58">
      <c r="A87" s="65" t="n"/>
      <c r="B87" s="65" t="n"/>
      <c r="C87" s="66" t="n"/>
      <c r="D87" s="66" t="n"/>
      <c r="E87" s="65" t="n"/>
      <c r="F87" s="65" t="n"/>
      <c r="G87" s="65" t="n"/>
      <c r="H87" s="65" t="n"/>
      <c r="I87" s="65" t="n"/>
      <c r="J87" s="65" t="n"/>
      <c r="K87" s="65" t="n"/>
      <c r="L87" s="65" t="n"/>
      <c r="M87" s="65" t="n"/>
      <c r="N87" s="65" t="n"/>
      <c r="O87" s="65" t="n"/>
      <c r="P87" s="65" t="n"/>
      <c r="Q87" s="65" t="n"/>
      <c r="R87" s="65" t="n"/>
      <c r="S87" s="65" t="n"/>
      <c r="T87" s="65" t="n"/>
      <c r="U87" s="65" t="n"/>
      <c r="V87" s="65" t="n"/>
      <c r="W87" s="65" t="n"/>
      <c r="X87" s="65" t="n"/>
      <c r="Y87" s="32">
        <f>IF($C87="","",IF(COUNTA($I87:$K87)&lt;3,"— חסרים נתונים",IF(AND($I87="תקין",$J87="תקין",$K87="תקין"),"רהוטה",IF(AND($I87="תקין",$J87="תקין"),"מדויקת ורציפה","אינה מדויקת או מקוטעת"))))</f>
        <v/>
      </c>
      <c r="Z87" s="32">
        <f>IF($C87="","",IF(COUNTA($U87:$W87)&lt;3,"",IF(AND($U87="מפותח",$V87="מפותח",$W87="מפותחת"),"מפותחת",IF((--($U87="דל"))+(--($V87="אינו מפותח"))+(--($W87="דלה"))&gt;=2,"אינה מפותחת","חלקית"))))</f>
        <v/>
      </c>
      <c r="AA87" s="32">
        <f>IF($C87="","",IF(COUNTA($M87,$N87,$O87)&lt;3,"— חסרים נתונים",IF(OR($M87="נמוכה",(--($M87&lt;&gt;"תקינה"))+(--($N87&lt;&gt;"תקין"))+(--($O87&lt;&gt;"תקינה"))&gt;=2),"ניכרת","אינה ניכרת")))</f>
        <v/>
      </c>
      <c r="AB87" s="32">
        <f>IF(OR($C87="",$Y87="",$AA87="",LEFT($Y87,1)="—",LEFT($AA87,1)="—"),"",IF($Z87="","— נדרשת הערכת כתיבה",IF($L87="","— חסרה הבנת הנקרא",IF($Y87="אינה מדויקת או מקוטעת",IF($AA87="ניכרת","מיקוד בשטף הקריאה ובכישורי שפה","מיקוד בשטף קריאה"),IF($AA87="ניכרת","מיקוד בכישורי שפה",IF(AND($L87="תקינה",$Z87="מפותחת"),"קוראים וכותבים מיומנים","מיקוד בהבנה והבעה"))))))</f>
        <v/>
      </c>
      <c r="AC87" s="32">
        <f>IF(OR($AB87="",LEFT($AB87,1)="—"),"",IF(OR($AB87="מיקוד בשטף קריאה",$AB87="מיקוד בשטף הקריאה ובכישורי שפה"),"רמה א'",IF($AB87="קוראים וכותבים מיומנים","רמה ג'","רמה ב'")))</f>
        <v/>
      </c>
      <c r="AD87" s="32">
        <f>IF($AC87="","",MID(IF(AND($AC87="רמה א'",$AA87="ניכרת"),"; להוסיף עבודת אוצר מילים","")&amp;IF($Z87="אינה מפותחת","; דגש על הבעה בכתב","")&amp;IF($K87&lt;&gt;"תקין","; נדרש לעבוד על ההנגנה","")&amp;IF($AK87&lt;&gt;"","; "&amp;$AK87,""),3,400))</f>
        <v/>
      </c>
      <c r="AE87" s="32">
        <f>IF($F87="","",IF($F87="תחילת שנה",1,IF($F87="מחצית שנה",2,3)))</f>
        <v/>
      </c>
      <c r="AF87" s="32">
        <f>IF(OR($B87="",$AC87="",$A87="",$F87=""),"",$B87&amp;"|"&amp;$A87&amp;"|"&amp;$F87&amp;"|"&amp;$AC87&amp;"|"&amp;COUNTIFS($B$6:$B87,$B87,$A$6:$A87,$A87,$F$6:$F87,$F87,$AC$6:$AC87,$AC87))</f>
        <v/>
      </c>
      <c r="AG87" s="32">
        <f>IF($C87="","",$C87&amp;"|"&amp;COUNTIFS($C$6:$C87,$C87))</f>
        <v/>
      </c>
      <c r="AH87" s="32">
        <f>IF(OR($C87="",$A87="",$AE87=""),"",$C87&amp;"|"&amp;$A87&amp;"|"&amp;$AE87)</f>
        <v/>
      </c>
      <c r="AI87" s="32">
        <f>IF(OR($C87="",$AE87="",$AE87=1),"",IFERROR(INDEX($AC$6:$AC$1505,MATCH($C87&amp;"|"&amp;$A87&amp;"|"&amp;($AE87-1),$AH$6:$AH$1505,0)),""))</f>
        <v/>
      </c>
      <c r="AJ87" s="32">
        <f>IF(OR($AI87="",$AC87=""),"",IF($AI87=$AC87,"ללא שינוי","מ-"&amp;$AI87&amp;" ל-"&amp;$AC87))</f>
        <v/>
      </c>
      <c r="AK87" s="67" t="n"/>
    </row>
    <row r="88" ht="15.75" customHeight="1" s="58">
      <c r="A88" s="65" t="n"/>
      <c r="B88" s="65" t="n"/>
      <c r="C88" s="66" t="n"/>
      <c r="D88" s="66" t="n"/>
      <c r="E88" s="65" t="n"/>
      <c r="F88" s="65" t="n"/>
      <c r="G88" s="65" t="n"/>
      <c r="H88" s="65" t="n"/>
      <c r="I88" s="65" t="n"/>
      <c r="J88" s="65" t="n"/>
      <c r="K88" s="65" t="n"/>
      <c r="L88" s="65" t="n"/>
      <c r="M88" s="65" t="n"/>
      <c r="N88" s="65" t="n"/>
      <c r="O88" s="65" t="n"/>
      <c r="P88" s="65" t="n"/>
      <c r="Q88" s="65" t="n"/>
      <c r="R88" s="65" t="n"/>
      <c r="S88" s="65" t="n"/>
      <c r="T88" s="65" t="n"/>
      <c r="U88" s="65" t="n"/>
      <c r="V88" s="65" t="n"/>
      <c r="W88" s="65" t="n"/>
      <c r="X88" s="65" t="n"/>
      <c r="Y88" s="32">
        <f>IF($C88="","",IF(COUNTA($I88:$K88)&lt;3,"— חסרים נתונים",IF(AND($I88="תקין",$J88="תקין",$K88="תקין"),"רהוטה",IF(AND($I88="תקין",$J88="תקין"),"מדויקת ורציפה","אינה מדויקת או מקוטעת"))))</f>
        <v/>
      </c>
      <c r="Z88" s="32">
        <f>IF($C88="","",IF(COUNTA($U88:$W88)&lt;3,"",IF(AND($U88="מפותח",$V88="מפותח",$W88="מפותחת"),"מפותחת",IF((--($U88="דל"))+(--($V88="אינו מפותח"))+(--($W88="דלה"))&gt;=2,"אינה מפותחת","חלקית"))))</f>
        <v/>
      </c>
      <c r="AA88" s="32">
        <f>IF($C88="","",IF(COUNTA($M88,$N88,$O88)&lt;3,"— חסרים נתונים",IF(OR($M88="נמוכה",(--($M88&lt;&gt;"תקינה"))+(--($N88&lt;&gt;"תקין"))+(--($O88&lt;&gt;"תקינה"))&gt;=2),"ניכרת","אינה ניכרת")))</f>
        <v/>
      </c>
      <c r="AB88" s="32">
        <f>IF(OR($C88="",$Y88="",$AA88="",LEFT($Y88,1)="—",LEFT($AA88,1)="—"),"",IF($Z88="","— נדרשת הערכת כתיבה",IF($L88="","— חסרה הבנת הנקרא",IF($Y88="אינה מדויקת או מקוטעת",IF($AA88="ניכרת","מיקוד בשטף הקריאה ובכישורי שפה","מיקוד בשטף קריאה"),IF($AA88="ניכרת","מיקוד בכישורי שפה",IF(AND($L88="תקינה",$Z88="מפותחת"),"קוראים וכותבים מיומנים","מיקוד בהבנה והבעה"))))))</f>
        <v/>
      </c>
      <c r="AC88" s="32">
        <f>IF(OR($AB88="",LEFT($AB88,1)="—"),"",IF(OR($AB88="מיקוד בשטף קריאה",$AB88="מיקוד בשטף הקריאה ובכישורי שפה"),"רמה א'",IF($AB88="קוראים וכותבים מיומנים","רמה ג'","רמה ב'")))</f>
        <v/>
      </c>
      <c r="AD88" s="32">
        <f>IF($AC88="","",MID(IF(AND($AC88="רמה א'",$AA88="ניכרת"),"; להוסיף עבודת אוצר מילים","")&amp;IF($Z88="אינה מפותחת","; דגש על הבעה בכתב","")&amp;IF($K88&lt;&gt;"תקין","; נדרש לעבוד על ההנגנה","")&amp;IF($AK88&lt;&gt;"","; "&amp;$AK88,""),3,400))</f>
        <v/>
      </c>
      <c r="AE88" s="32">
        <f>IF($F88="","",IF($F88="תחילת שנה",1,IF($F88="מחצית שנה",2,3)))</f>
        <v/>
      </c>
      <c r="AF88" s="32">
        <f>IF(OR($B88="",$AC88="",$A88="",$F88=""),"",$B88&amp;"|"&amp;$A88&amp;"|"&amp;$F88&amp;"|"&amp;$AC88&amp;"|"&amp;COUNTIFS($B$6:$B88,$B88,$A$6:$A88,$A88,$F$6:$F88,$F88,$AC$6:$AC88,$AC88))</f>
        <v/>
      </c>
      <c r="AG88" s="32">
        <f>IF($C88="","",$C88&amp;"|"&amp;COUNTIFS($C$6:$C88,$C88))</f>
        <v/>
      </c>
      <c r="AH88" s="32">
        <f>IF(OR($C88="",$A88="",$AE88=""),"",$C88&amp;"|"&amp;$A88&amp;"|"&amp;$AE88)</f>
        <v/>
      </c>
      <c r="AI88" s="32">
        <f>IF(OR($C88="",$AE88="",$AE88=1),"",IFERROR(INDEX($AC$6:$AC$1505,MATCH($C88&amp;"|"&amp;$A88&amp;"|"&amp;($AE88-1),$AH$6:$AH$1505,0)),""))</f>
        <v/>
      </c>
      <c r="AJ88" s="32">
        <f>IF(OR($AI88="",$AC88=""),"",IF($AI88=$AC88,"ללא שינוי","מ-"&amp;$AI88&amp;" ל-"&amp;$AC88))</f>
        <v/>
      </c>
      <c r="AK88" s="67" t="n"/>
    </row>
    <row r="89" ht="15.75" customHeight="1" s="58">
      <c r="A89" s="65" t="n"/>
      <c r="B89" s="65" t="n"/>
      <c r="C89" s="66" t="n"/>
      <c r="D89" s="66" t="n"/>
      <c r="E89" s="65" t="n"/>
      <c r="F89" s="65" t="n"/>
      <c r="G89" s="65" t="n"/>
      <c r="H89" s="65" t="n"/>
      <c r="I89" s="65" t="n"/>
      <c r="J89" s="65" t="n"/>
      <c r="K89" s="65" t="n"/>
      <c r="L89" s="65" t="n"/>
      <c r="M89" s="65" t="n"/>
      <c r="N89" s="65" t="n"/>
      <c r="O89" s="65" t="n"/>
      <c r="P89" s="65" t="n"/>
      <c r="Q89" s="65" t="n"/>
      <c r="R89" s="65" t="n"/>
      <c r="S89" s="65" t="n"/>
      <c r="T89" s="65" t="n"/>
      <c r="U89" s="65" t="n"/>
      <c r="V89" s="65" t="n"/>
      <c r="W89" s="65" t="n"/>
      <c r="X89" s="65" t="n"/>
      <c r="Y89" s="32">
        <f>IF($C89="","",IF(COUNTA($I89:$K89)&lt;3,"— חסרים נתונים",IF(AND($I89="תקין",$J89="תקין",$K89="תקין"),"רהוטה",IF(AND($I89="תקין",$J89="תקין"),"מדויקת ורציפה","אינה מדויקת או מקוטעת"))))</f>
        <v/>
      </c>
      <c r="Z89" s="32">
        <f>IF($C89="","",IF(COUNTA($U89:$W89)&lt;3,"",IF(AND($U89="מפותח",$V89="מפותח",$W89="מפותחת"),"מפותחת",IF((--($U89="דל"))+(--($V89="אינו מפותח"))+(--($W89="דלה"))&gt;=2,"אינה מפותחת","חלקית"))))</f>
        <v/>
      </c>
      <c r="AA89" s="32">
        <f>IF($C89="","",IF(COUNTA($M89,$N89,$O89)&lt;3,"— חסרים נתונים",IF(OR($M89="נמוכה",(--($M89&lt;&gt;"תקינה"))+(--($N89&lt;&gt;"תקין"))+(--($O89&lt;&gt;"תקינה"))&gt;=2),"ניכרת","אינה ניכרת")))</f>
        <v/>
      </c>
      <c r="AB89" s="32">
        <f>IF(OR($C89="",$Y89="",$AA89="",LEFT($Y89,1)="—",LEFT($AA89,1)="—"),"",IF($Z89="","— נדרשת הערכת כתיבה",IF($L89="","— חסרה הבנת הנקרא",IF($Y89="אינה מדויקת או מקוטעת",IF($AA89="ניכרת","מיקוד בשטף הקריאה ובכישורי שפה","מיקוד בשטף קריאה"),IF($AA89="ניכרת","מיקוד בכישורי שפה",IF(AND($L89="תקינה",$Z89="מפותחת"),"קוראים וכותבים מיומנים","מיקוד בהבנה והבעה"))))))</f>
        <v/>
      </c>
      <c r="AC89" s="32">
        <f>IF(OR($AB89="",LEFT($AB89,1)="—"),"",IF(OR($AB89="מיקוד בשטף קריאה",$AB89="מיקוד בשטף הקריאה ובכישורי שפה"),"רמה א'",IF($AB89="קוראים וכותבים מיומנים","רמה ג'","רמה ב'")))</f>
        <v/>
      </c>
      <c r="AD89" s="32">
        <f>IF($AC89="","",MID(IF(AND($AC89="רמה א'",$AA89="ניכרת"),"; להוסיף עבודת אוצר מילים","")&amp;IF($Z89="אינה מפותחת","; דגש על הבעה בכתב","")&amp;IF($K89&lt;&gt;"תקין","; נדרש לעבוד על ההנגנה","")&amp;IF($AK89&lt;&gt;"","; "&amp;$AK89,""),3,400))</f>
        <v/>
      </c>
      <c r="AE89" s="32">
        <f>IF($F89="","",IF($F89="תחילת שנה",1,IF($F89="מחצית שנה",2,3)))</f>
        <v/>
      </c>
      <c r="AF89" s="32">
        <f>IF(OR($B89="",$AC89="",$A89="",$F89=""),"",$B89&amp;"|"&amp;$A89&amp;"|"&amp;$F89&amp;"|"&amp;$AC89&amp;"|"&amp;COUNTIFS($B$6:$B89,$B89,$A$6:$A89,$A89,$F$6:$F89,$F89,$AC$6:$AC89,$AC89))</f>
        <v/>
      </c>
      <c r="AG89" s="32">
        <f>IF($C89="","",$C89&amp;"|"&amp;COUNTIFS($C$6:$C89,$C89))</f>
        <v/>
      </c>
      <c r="AH89" s="32">
        <f>IF(OR($C89="",$A89="",$AE89=""),"",$C89&amp;"|"&amp;$A89&amp;"|"&amp;$AE89)</f>
        <v/>
      </c>
      <c r="AI89" s="32">
        <f>IF(OR($C89="",$AE89="",$AE89=1),"",IFERROR(INDEX($AC$6:$AC$1505,MATCH($C89&amp;"|"&amp;$A89&amp;"|"&amp;($AE89-1),$AH$6:$AH$1505,0)),""))</f>
        <v/>
      </c>
      <c r="AJ89" s="32">
        <f>IF(OR($AI89="",$AC89=""),"",IF($AI89=$AC89,"ללא שינוי","מ-"&amp;$AI89&amp;" ל-"&amp;$AC89))</f>
        <v/>
      </c>
      <c r="AK89" s="67" t="n"/>
    </row>
    <row r="90" ht="15.75" customHeight="1" s="58">
      <c r="A90" s="65" t="n"/>
      <c r="B90" s="65" t="n"/>
      <c r="C90" s="66" t="n"/>
      <c r="D90" s="66" t="n"/>
      <c r="E90" s="65" t="n"/>
      <c r="F90" s="65" t="n"/>
      <c r="G90" s="65" t="n"/>
      <c r="H90" s="65" t="n"/>
      <c r="I90" s="65" t="n"/>
      <c r="J90" s="65" t="n"/>
      <c r="K90" s="65" t="n"/>
      <c r="L90" s="65" t="n"/>
      <c r="M90" s="65" t="n"/>
      <c r="N90" s="65" t="n"/>
      <c r="O90" s="65" t="n"/>
      <c r="P90" s="65" t="n"/>
      <c r="Q90" s="65" t="n"/>
      <c r="R90" s="65" t="n"/>
      <c r="S90" s="65" t="n"/>
      <c r="T90" s="65" t="n"/>
      <c r="U90" s="65" t="n"/>
      <c r="V90" s="65" t="n"/>
      <c r="W90" s="65" t="n"/>
      <c r="X90" s="65" t="n"/>
      <c r="Y90" s="32">
        <f>IF($C90="","",IF(COUNTA($I90:$K90)&lt;3,"— חסרים נתונים",IF(AND($I90="תקין",$J90="תקין",$K90="תקין"),"רהוטה",IF(AND($I90="תקין",$J90="תקין"),"מדויקת ורציפה","אינה מדויקת או מקוטעת"))))</f>
        <v/>
      </c>
      <c r="Z90" s="32">
        <f>IF($C90="","",IF(COUNTA($U90:$W90)&lt;3,"",IF(AND($U90="מפותח",$V90="מפותח",$W90="מפותחת"),"מפותחת",IF((--($U90="דל"))+(--($V90="אינו מפותח"))+(--($W90="דלה"))&gt;=2,"אינה מפותחת","חלקית"))))</f>
        <v/>
      </c>
      <c r="AA90" s="32">
        <f>IF($C90="","",IF(COUNTA($M90,$N90,$O90)&lt;3,"— חסרים נתונים",IF(OR($M90="נמוכה",(--($M90&lt;&gt;"תקינה"))+(--($N90&lt;&gt;"תקין"))+(--($O90&lt;&gt;"תקינה"))&gt;=2),"ניכרת","אינה ניכרת")))</f>
        <v/>
      </c>
      <c r="AB90" s="32">
        <f>IF(OR($C90="",$Y90="",$AA90="",LEFT($Y90,1)="—",LEFT($AA90,1)="—"),"",IF($Z90="","— נדרשת הערכת כתיבה",IF($L90="","— חסרה הבנת הנקרא",IF($Y90="אינה מדויקת או מקוטעת",IF($AA90="ניכרת","מיקוד בשטף הקריאה ובכישורי שפה","מיקוד בשטף קריאה"),IF($AA90="ניכרת","מיקוד בכישורי שפה",IF(AND($L90="תקינה",$Z90="מפותחת"),"קוראים וכותבים מיומנים","מיקוד בהבנה והבעה"))))))</f>
        <v/>
      </c>
      <c r="AC90" s="32">
        <f>IF(OR($AB90="",LEFT($AB90,1)="—"),"",IF(OR($AB90="מיקוד בשטף קריאה",$AB90="מיקוד בשטף הקריאה ובכישורי שפה"),"רמה א'",IF($AB90="קוראים וכותבים מיומנים","רמה ג'","רמה ב'")))</f>
        <v/>
      </c>
      <c r="AD90" s="32">
        <f>IF($AC90="","",MID(IF(AND($AC90="רמה א'",$AA90="ניכרת"),"; להוסיף עבודת אוצר מילים","")&amp;IF($Z90="אינה מפותחת","; דגש על הבעה בכתב","")&amp;IF($K90&lt;&gt;"תקין","; נדרש לעבוד על ההנגנה","")&amp;IF($AK90&lt;&gt;"","; "&amp;$AK90,""),3,400))</f>
        <v/>
      </c>
      <c r="AE90" s="32">
        <f>IF($F90="","",IF($F90="תחילת שנה",1,IF($F90="מחצית שנה",2,3)))</f>
        <v/>
      </c>
      <c r="AF90" s="32">
        <f>IF(OR($B90="",$AC90="",$A90="",$F90=""),"",$B90&amp;"|"&amp;$A90&amp;"|"&amp;$F90&amp;"|"&amp;$AC90&amp;"|"&amp;COUNTIFS($B$6:$B90,$B90,$A$6:$A90,$A90,$F$6:$F90,$F90,$AC$6:$AC90,$AC90))</f>
        <v/>
      </c>
      <c r="AG90" s="32">
        <f>IF($C90="","",$C90&amp;"|"&amp;COUNTIFS($C$6:$C90,$C90))</f>
        <v/>
      </c>
      <c r="AH90" s="32">
        <f>IF(OR($C90="",$A90="",$AE90=""),"",$C90&amp;"|"&amp;$A90&amp;"|"&amp;$AE90)</f>
        <v/>
      </c>
      <c r="AI90" s="32">
        <f>IF(OR($C90="",$AE90="",$AE90=1),"",IFERROR(INDEX($AC$6:$AC$1505,MATCH($C90&amp;"|"&amp;$A90&amp;"|"&amp;($AE90-1),$AH$6:$AH$1505,0)),""))</f>
        <v/>
      </c>
      <c r="AJ90" s="32">
        <f>IF(OR($AI90="",$AC90=""),"",IF($AI90=$AC90,"ללא שינוי","מ-"&amp;$AI90&amp;" ל-"&amp;$AC90))</f>
        <v/>
      </c>
      <c r="AK90" s="67" t="n"/>
    </row>
    <row r="91" ht="15.75" customHeight="1" s="58">
      <c r="A91" s="65" t="n"/>
      <c r="B91" s="65" t="n"/>
      <c r="C91" s="66" t="n"/>
      <c r="D91" s="66" t="n"/>
      <c r="E91" s="65" t="n"/>
      <c r="F91" s="65" t="n"/>
      <c r="G91" s="65" t="n"/>
      <c r="H91" s="65" t="n"/>
      <c r="I91" s="65" t="n"/>
      <c r="J91" s="65" t="n"/>
      <c r="K91" s="65" t="n"/>
      <c r="L91" s="65" t="n"/>
      <c r="M91" s="65" t="n"/>
      <c r="N91" s="65" t="n"/>
      <c r="O91" s="65" t="n"/>
      <c r="P91" s="65" t="n"/>
      <c r="Q91" s="65" t="n"/>
      <c r="R91" s="65" t="n"/>
      <c r="S91" s="65" t="n"/>
      <c r="T91" s="65" t="n"/>
      <c r="U91" s="65" t="n"/>
      <c r="V91" s="65" t="n"/>
      <c r="W91" s="65" t="n"/>
      <c r="X91" s="65" t="n"/>
      <c r="Y91" s="32">
        <f>IF($C91="","",IF(COUNTA($I91:$K91)&lt;3,"— חסרים נתונים",IF(AND($I91="תקין",$J91="תקין",$K91="תקין"),"רהוטה",IF(AND($I91="תקין",$J91="תקין"),"מדויקת ורציפה","אינה מדויקת או מקוטעת"))))</f>
        <v/>
      </c>
      <c r="Z91" s="32">
        <f>IF($C91="","",IF(COUNTA($U91:$W91)&lt;3,"",IF(AND($U91="מפותח",$V91="מפותח",$W91="מפותחת"),"מפותחת",IF((--($U91="דל"))+(--($V91="אינו מפותח"))+(--($W91="דלה"))&gt;=2,"אינה מפותחת","חלקית"))))</f>
        <v/>
      </c>
      <c r="AA91" s="32">
        <f>IF($C91="","",IF(COUNTA($M91,$N91,$O91)&lt;3,"— חסרים נתונים",IF(OR($M91="נמוכה",(--($M91&lt;&gt;"תקינה"))+(--($N91&lt;&gt;"תקין"))+(--($O91&lt;&gt;"תקינה"))&gt;=2),"ניכרת","אינה ניכרת")))</f>
        <v/>
      </c>
      <c r="AB91" s="32">
        <f>IF(OR($C91="",$Y91="",$AA91="",LEFT($Y91,1)="—",LEFT($AA91,1)="—"),"",IF($Z91="","— נדרשת הערכת כתיבה",IF($L91="","— חסרה הבנת הנקרא",IF($Y91="אינה מדויקת או מקוטעת",IF($AA91="ניכרת","מיקוד בשטף הקריאה ובכישורי שפה","מיקוד בשטף קריאה"),IF($AA91="ניכרת","מיקוד בכישורי שפה",IF(AND($L91="תקינה",$Z91="מפותחת"),"קוראים וכותבים מיומנים","מיקוד בהבנה והבעה"))))))</f>
        <v/>
      </c>
      <c r="AC91" s="32">
        <f>IF(OR($AB91="",LEFT($AB91,1)="—"),"",IF(OR($AB91="מיקוד בשטף קריאה",$AB91="מיקוד בשטף הקריאה ובכישורי שפה"),"רמה א'",IF($AB91="קוראים וכותבים מיומנים","רמה ג'","רמה ב'")))</f>
        <v/>
      </c>
      <c r="AD91" s="32">
        <f>IF($AC91="","",MID(IF(AND($AC91="רמה א'",$AA91="ניכרת"),"; להוסיף עבודת אוצר מילים","")&amp;IF($Z91="אינה מפותחת","; דגש על הבעה בכתב","")&amp;IF($K91&lt;&gt;"תקין","; נדרש לעבוד על ההנגנה","")&amp;IF($AK91&lt;&gt;"","; "&amp;$AK91,""),3,400))</f>
        <v/>
      </c>
      <c r="AE91" s="32">
        <f>IF($F91="","",IF($F91="תחילת שנה",1,IF($F91="מחצית שנה",2,3)))</f>
        <v/>
      </c>
      <c r="AF91" s="32">
        <f>IF(OR($B91="",$AC91="",$A91="",$F91=""),"",$B91&amp;"|"&amp;$A91&amp;"|"&amp;$F91&amp;"|"&amp;$AC91&amp;"|"&amp;COUNTIFS($B$6:$B91,$B91,$A$6:$A91,$A91,$F$6:$F91,$F91,$AC$6:$AC91,$AC91))</f>
        <v/>
      </c>
      <c r="AG91" s="32">
        <f>IF($C91="","",$C91&amp;"|"&amp;COUNTIFS($C$6:$C91,$C91))</f>
        <v/>
      </c>
      <c r="AH91" s="32">
        <f>IF(OR($C91="",$A91="",$AE91=""),"",$C91&amp;"|"&amp;$A91&amp;"|"&amp;$AE91)</f>
        <v/>
      </c>
      <c r="AI91" s="32">
        <f>IF(OR($C91="",$AE91="",$AE91=1),"",IFERROR(INDEX($AC$6:$AC$1505,MATCH($C91&amp;"|"&amp;$A91&amp;"|"&amp;($AE91-1),$AH$6:$AH$1505,0)),""))</f>
        <v/>
      </c>
      <c r="AJ91" s="32">
        <f>IF(OR($AI91="",$AC91=""),"",IF($AI91=$AC91,"ללא שינוי","מ-"&amp;$AI91&amp;" ל-"&amp;$AC91))</f>
        <v/>
      </c>
      <c r="AK91" s="67" t="n"/>
    </row>
    <row r="92" ht="15.75" customHeight="1" s="58">
      <c r="A92" s="65" t="n"/>
      <c r="B92" s="65" t="n"/>
      <c r="C92" s="66" t="n"/>
      <c r="D92" s="66" t="n"/>
      <c r="E92" s="65" t="n"/>
      <c r="F92" s="65" t="n"/>
      <c r="G92" s="65" t="n"/>
      <c r="H92" s="65" t="n"/>
      <c r="I92" s="65" t="n"/>
      <c r="J92" s="65" t="n"/>
      <c r="K92" s="65" t="n"/>
      <c r="L92" s="65" t="n"/>
      <c r="M92" s="65" t="n"/>
      <c r="N92" s="65" t="n"/>
      <c r="O92" s="65" t="n"/>
      <c r="P92" s="65" t="n"/>
      <c r="Q92" s="65" t="n"/>
      <c r="R92" s="65" t="n"/>
      <c r="S92" s="65" t="n"/>
      <c r="T92" s="65" t="n"/>
      <c r="U92" s="65" t="n"/>
      <c r="V92" s="65" t="n"/>
      <c r="W92" s="65" t="n"/>
      <c r="X92" s="65" t="n"/>
      <c r="Y92" s="32">
        <f>IF($C92="","",IF(COUNTA($I92:$K92)&lt;3,"— חסרים נתונים",IF(AND($I92="תקין",$J92="תקין",$K92="תקין"),"רהוטה",IF(AND($I92="תקין",$J92="תקין"),"מדויקת ורציפה","אינה מדויקת או מקוטעת"))))</f>
        <v/>
      </c>
      <c r="Z92" s="32">
        <f>IF($C92="","",IF(COUNTA($U92:$W92)&lt;3,"",IF(AND($U92="מפותח",$V92="מפותח",$W92="מפותחת"),"מפותחת",IF((--($U92="דל"))+(--($V92="אינו מפותח"))+(--($W92="דלה"))&gt;=2,"אינה מפותחת","חלקית"))))</f>
        <v/>
      </c>
      <c r="AA92" s="32">
        <f>IF($C92="","",IF(COUNTA($M92,$N92,$O92)&lt;3,"— חסרים נתונים",IF(OR($M92="נמוכה",(--($M92&lt;&gt;"תקינה"))+(--($N92&lt;&gt;"תקין"))+(--($O92&lt;&gt;"תקינה"))&gt;=2),"ניכרת","אינה ניכרת")))</f>
        <v/>
      </c>
      <c r="AB92" s="32">
        <f>IF(OR($C92="",$Y92="",$AA92="",LEFT($Y92,1)="—",LEFT($AA92,1)="—"),"",IF($Z92="","— נדרשת הערכת כתיבה",IF($L92="","— חסרה הבנת הנקרא",IF($Y92="אינה מדויקת או מקוטעת",IF($AA92="ניכרת","מיקוד בשטף הקריאה ובכישורי שפה","מיקוד בשטף קריאה"),IF($AA92="ניכרת","מיקוד בכישורי שפה",IF(AND($L92="תקינה",$Z92="מפותחת"),"קוראים וכותבים מיומנים","מיקוד בהבנה והבעה"))))))</f>
        <v/>
      </c>
      <c r="AC92" s="32">
        <f>IF(OR($AB92="",LEFT($AB92,1)="—"),"",IF(OR($AB92="מיקוד בשטף קריאה",$AB92="מיקוד בשטף הקריאה ובכישורי שפה"),"רמה א'",IF($AB92="קוראים וכותבים מיומנים","רמה ג'","רמה ב'")))</f>
        <v/>
      </c>
      <c r="AD92" s="32">
        <f>IF($AC92="","",MID(IF(AND($AC92="רמה א'",$AA92="ניכרת"),"; להוסיף עבודת אוצר מילים","")&amp;IF($Z92="אינה מפותחת","; דגש על הבעה בכתב","")&amp;IF($K92&lt;&gt;"תקין","; נדרש לעבוד על ההנגנה","")&amp;IF($AK92&lt;&gt;"","; "&amp;$AK92,""),3,400))</f>
        <v/>
      </c>
      <c r="AE92" s="32">
        <f>IF($F92="","",IF($F92="תחילת שנה",1,IF($F92="מחצית שנה",2,3)))</f>
        <v/>
      </c>
      <c r="AF92" s="32">
        <f>IF(OR($B92="",$AC92="",$A92="",$F92=""),"",$B92&amp;"|"&amp;$A92&amp;"|"&amp;$F92&amp;"|"&amp;$AC92&amp;"|"&amp;COUNTIFS($B$6:$B92,$B92,$A$6:$A92,$A92,$F$6:$F92,$F92,$AC$6:$AC92,$AC92))</f>
        <v/>
      </c>
      <c r="AG92" s="32">
        <f>IF($C92="","",$C92&amp;"|"&amp;COUNTIFS($C$6:$C92,$C92))</f>
        <v/>
      </c>
      <c r="AH92" s="32">
        <f>IF(OR($C92="",$A92="",$AE92=""),"",$C92&amp;"|"&amp;$A92&amp;"|"&amp;$AE92)</f>
        <v/>
      </c>
      <c r="AI92" s="32">
        <f>IF(OR($C92="",$AE92="",$AE92=1),"",IFERROR(INDEX($AC$6:$AC$1505,MATCH($C92&amp;"|"&amp;$A92&amp;"|"&amp;($AE92-1),$AH$6:$AH$1505,0)),""))</f>
        <v/>
      </c>
      <c r="AJ92" s="32">
        <f>IF(OR($AI92="",$AC92=""),"",IF($AI92=$AC92,"ללא שינוי","מ-"&amp;$AI92&amp;" ל-"&amp;$AC92))</f>
        <v/>
      </c>
      <c r="AK92" s="67" t="n"/>
    </row>
    <row r="93" ht="15.75" customHeight="1" s="58">
      <c r="A93" s="65" t="n"/>
      <c r="B93" s="65" t="n"/>
      <c r="C93" s="66" t="n"/>
      <c r="D93" s="66" t="n"/>
      <c r="E93" s="65" t="n"/>
      <c r="F93" s="65" t="n"/>
      <c r="G93" s="65" t="n"/>
      <c r="H93" s="65" t="n"/>
      <c r="I93" s="65" t="n"/>
      <c r="J93" s="65" t="n"/>
      <c r="K93" s="65" t="n"/>
      <c r="L93" s="65" t="n"/>
      <c r="M93" s="65" t="n"/>
      <c r="N93" s="65" t="n"/>
      <c r="O93" s="65" t="n"/>
      <c r="P93" s="65" t="n"/>
      <c r="Q93" s="65" t="n"/>
      <c r="R93" s="65" t="n"/>
      <c r="S93" s="65" t="n"/>
      <c r="T93" s="65" t="n"/>
      <c r="U93" s="65" t="n"/>
      <c r="V93" s="65" t="n"/>
      <c r="W93" s="65" t="n"/>
      <c r="X93" s="65" t="n"/>
      <c r="Y93" s="32">
        <f>IF($C93="","",IF(COUNTA($I93:$K93)&lt;3,"— חסרים נתונים",IF(AND($I93="תקין",$J93="תקין",$K93="תקין"),"רהוטה",IF(AND($I93="תקין",$J93="תקין"),"מדויקת ורציפה","אינה מדויקת או מקוטעת"))))</f>
        <v/>
      </c>
      <c r="Z93" s="32">
        <f>IF($C93="","",IF(COUNTA($U93:$W93)&lt;3,"",IF(AND($U93="מפותח",$V93="מפותח",$W93="מפותחת"),"מפותחת",IF((--($U93="דל"))+(--($V93="אינו מפותח"))+(--($W93="דלה"))&gt;=2,"אינה מפותחת","חלקית"))))</f>
        <v/>
      </c>
      <c r="AA93" s="32">
        <f>IF($C93="","",IF(COUNTA($M93,$N93,$O93)&lt;3,"— חסרים נתונים",IF(OR($M93="נמוכה",(--($M93&lt;&gt;"תקינה"))+(--($N93&lt;&gt;"תקין"))+(--($O93&lt;&gt;"תקינה"))&gt;=2),"ניכרת","אינה ניכרת")))</f>
        <v/>
      </c>
      <c r="AB93" s="32">
        <f>IF(OR($C93="",$Y93="",$AA93="",LEFT($Y93,1)="—",LEFT($AA93,1)="—"),"",IF($Z93="","— נדרשת הערכת כתיבה",IF($L93="","— חסרה הבנת הנקרא",IF($Y93="אינה מדויקת או מקוטעת",IF($AA93="ניכרת","מיקוד בשטף הקריאה ובכישורי שפה","מיקוד בשטף קריאה"),IF($AA93="ניכרת","מיקוד בכישורי שפה",IF(AND($L93="תקינה",$Z93="מפותחת"),"קוראים וכותבים מיומנים","מיקוד בהבנה והבעה"))))))</f>
        <v/>
      </c>
      <c r="AC93" s="32">
        <f>IF(OR($AB93="",LEFT($AB93,1)="—"),"",IF(OR($AB93="מיקוד בשטף קריאה",$AB93="מיקוד בשטף הקריאה ובכישורי שפה"),"רמה א'",IF($AB93="קוראים וכותבים מיומנים","רמה ג'","רמה ב'")))</f>
        <v/>
      </c>
      <c r="AD93" s="32">
        <f>IF($AC93="","",MID(IF(AND($AC93="רמה א'",$AA93="ניכרת"),"; להוסיף עבודת אוצר מילים","")&amp;IF($Z93="אינה מפותחת","; דגש על הבעה בכתב","")&amp;IF($K93&lt;&gt;"תקין","; נדרש לעבוד על ההנגנה","")&amp;IF($AK93&lt;&gt;"","; "&amp;$AK93,""),3,400))</f>
        <v/>
      </c>
      <c r="AE93" s="32">
        <f>IF($F93="","",IF($F93="תחילת שנה",1,IF($F93="מחצית שנה",2,3)))</f>
        <v/>
      </c>
      <c r="AF93" s="32">
        <f>IF(OR($B93="",$AC93="",$A93="",$F93=""),"",$B93&amp;"|"&amp;$A93&amp;"|"&amp;$F93&amp;"|"&amp;$AC93&amp;"|"&amp;COUNTIFS($B$6:$B93,$B93,$A$6:$A93,$A93,$F$6:$F93,$F93,$AC$6:$AC93,$AC93))</f>
        <v/>
      </c>
      <c r="AG93" s="32">
        <f>IF($C93="","",$C93&amp;"|"&amp;COUNTIFS($C$6:$C93,$C93))</f>
        <v/>
      </c>
      <c r="AH93" s="32">
        <f>IF(OR($C93="",$A93="",$AE93=""),"",$C93&amp;"|"&amp;$A93&amp;"|"&amp;$AE93)</f>
        <v/>
      </c>
      <c r="AI93" s="32">
        <f>IF(OR($C93="",$AE93="",$AE93=1),"",IFERROR(INDEX($AC$6:$AC$1505,MATCH($C93&amp;"|"&amp;$A93&amp;"|"&amp;($AE93-1),$AH$6:$AH$1505,0)),""))</f>
        <v/>
      </c>
      <c r="AJ93" s="32">
        <f>IF(OR($AI93="",$AC93=""),"",IF($AI93=$AC93,"ללא שינוי","מ-"&amp;$AI93&amp;" ל-"&amp;$AC93))</f>
        <v/>
      </c>
      <c r="AK93" s="67" t="n"/>
    </row>
    <row r="94" ht="15.75" customHeight="1" s="58">
      <c r="A94" s="65" t="n"/>
      <c r="B94" s="65" t="n"/>
      <c r="C94" s="66" t="n"/>
      <c r="D94" s="66" t="n"/>
      <c r="E94" s="65" t="n"/>
      <c r="F94" s="65" t="n"/>
      <c r="G94" s="65" t="n"/>
      <c r="H94" s="65" t="n"/>
      <c r="I94" s="65" t="n"/>
      <c r="J94" s="65" t="n"/>
      <c r="K94" s="65" t="n"/>
      <c r="L94" s="65" t="n"/>
      <c r="M94" s="65" t="n"/>
      <c r="N94" s="65" t="n"/>
      <c r="O94" s="65" t="n"/>
      <c r="P94" s="65" t="n"/>
      <c r="Q94" s="65" t="n"/>
      <c r="R94" s="65" t="n"/>
      <c r="S94" s="65" t="n"/>
      <c r="T94" s="65" t="n"/>
      <c r="U94" s="65" t="n"/>
      <c r="V94" s="65" t="n"/>
      <c r="W94" s="65" t="n"/>
      <c r="X94" s="65" t="n"/>
      <c r="Y94" s="32">
        <f>IF($C94="","",IF(COUNTA($I94:$K94)&lt;3,"— חסרים נתונים",IF(AND($I94="תקין",$J94="תקין",$K94="תקין"),"רהוטה",IF(AND($I94="תקין",$J94="תקין"),"מדויקת ורציפה","אינה מדויקת או מקוטעת"))))</f>
        <v/>
      </c>
      <c r="Z94" s="32">
        <f>IF($C94="","",IF(COUNTA($U94:$W94)&lt;3,"",IF(AND($U94="מפותח",$V94="מפותח",$W94="מפותחת"),"מפותחת",IF((--($U94="דל"))+(--($V94="אינו מפותח"))+(--($W94="דלה"))&gt;=2,"אינה מפותחת","חלקית"))))</f>
        <v/>
      </c>
      <c r="AA94" s="32">
        <f>IF($C94="","",IF(COUNTA($M94,$N94,$O94)&lt;3,"— חסרים נתונים",IF(OR($M94="נמוכה",(--($M94&lt;&gt;"תקינה"))+(--($N94&lt;&gt;"תקין"))+(--($O94&lt;&gt;"תקינה"))&gt;=2),"ניכרת","אינה ניכרת")))</f>
        <v/>
      </c>
      <c r="AB94" s="32">
        <f>IF(OR($C94="",$Y94="",$AA94="",LEFT($Y94,1)="—",LEFT($AA94,1)="—"),"",IF($Z94="","— נדרשת הערכת כתיבה",IF($L94="","— חסרה הבנת הנקרא",IF($Y94="אינה מדויקת או מקוטעת",IF($AA94="ניכרת","מיקוד בשטף הקריאה ובכישורי שפה","מיקוד בשטף קריאה"),IF($AA94="ניכרת","מיקוד בכישורי שפה",IF(AND($L94="תקינה",$Z94="מפותחת"),"קוראים וכותבים מיומנים","מיקוד בהבנה והבעה"))))))</f>
        <v/>
      </c>
      <c r="AC94" s="32">
        <f>IF(OR($AB94="",LEFT($AB94,1)="—"),"",IF(OR($AB94="מיקוד בשטף קריאה",$AB94="מיקוד בשטף הקריאה ובכישורי שפה"),"רמה א'",IF($AB94="קוראים וכותבים מיומנים","רמה ג'","רמה ב'")))</f>
        <v/>
      </c>
      <c r="AD94" s="32">
        <f>IF($AC94="","",MID(IF(AND($AC94="רמה א'",$AA94="ניכרת"),"; להוסיף עבודת אוצר מילים","")&amp;IF($Z94="אינה מפותחת","; דגש על הבעה בכתב","")&amp;IF($K94&lt;&gt;"תקין","; נדרש לעבוד על ההנגנה","")&amp;IF($AK94&lt;&gt;"","; "&amp;$AK94,""),3,400))</f>
        <v/>
      </c>
      <c r="AE94" s="32">
        <f>IF($F94="","",IF($F94="תחילת שנה",1,IF($F94="מחצית שנה",2,3)))</f>
        <v/>
      </c>
      <c r="AF94" s="32">
        <f>IF(OR($B94="",$AC94="",$A94="",$F94=""),"",$B94&amp;"|"&amp;$A94&amp;"|"&amp;$F94&amp;"|"&amp;$AC94&amp;"|"&amp;COUNTIFS($B$6:$B94,$B94,$A$6:$A94,$A94,$F$6:$F94,$F94,$AC$6:$AC94,$AC94))</f>
        <v/>
      </c>
      <c r="AG94" s="32">
        <f>IF($C94="","",$C94&amp;"|"&amp;COUNTIFS($C$6:$C94,$C94))</f>
        <v/>
      </c>
      <c r="AH94" s="32">
        <f>IF(OR($C94="",$A94="",$AE94=""),"",$C94&amp;"|"&amp;$A94&amp;"|"&amp;$AE94)</f>
        <v/>
      </c>
      <c r="AI94" s="32">
        <f>IF(OR($C94="",$AE94="",$AE94=1),"",IFERROR(INDEX($AC$6:$AC$1505,MATCH($C94&amp;"|"&amp;$A94&amp;"|"&amp;($AE94-1),$AH$6:$AH$1505,0)),""))</f>
        <v/>
      </c>
      <c r="AJ94" s="32">
        <f>IF(OR($AI94="",$AC94=""),"",IF($AI94=$AC94,"ללא שינוי","מ-"&amp;$AI94&amp;" ל-"&amp;$AC94))</f>
        <v/>
      </c>
      <c r="AK94" s="67" t="n"/>
    </row>
    <row r="95" ht="15.75" customHeight="1" s="58">
      <c r="A95" s="65" t="n"/>
      <c r="B95" s="65" t="n"/>
      <c r="C95" s="66" t="n"/>
      <c r="D95" s="66" t="n"/>
      <c r="E95" s="65" t="n"/>
      <c r="F95" s="65" t="n"/>
      <c r="G95" s="65" t="n"/>
      <c r="H95" s="65" t="n"/>
      <c r="I95" s="65" t="n"/>
      <c r="J95" s="65" t="n"/>
      <c r="K95" s="65" t="n"/>
      <c r="L95" s="65" t="n"/>
      <c r="M95" s="65" t="n"/>
      <c r="N95" s="65" t="n"/>
      <c r="O95" s="65" t="n"/>
      <c r="P95" s="65" t="n"/>
      <c r="Q95" s="65" t="n"/>
      <c r="R95" s="65" t="n"/>
      <c r="S95" s="65" t="n"/>
      <c r="T95" s="65" t="n"/>
      <c r="U95" s="65" t="n"/>
      <c r="V95" s="65" t="n"/>
      <c r="W95" s="65" t="n"/>
      <c r="X95" s="65" t="n"/>
      <c r="Y95" s="32">
        <f>IF($C95="","",IF(COUNTA($I95:$K95)&lt;3,"— חסרים נתונים",IF(AND($I95="תקין",$J95="תקין",$K95="תקין"),"רהוטה",IF(AND($I95="תקין",$J95="תקין"),"מדויקת ורציפה","אינה מדויקת או מקוטעת"))))</f>
        <v/>
      </c>
      <c r="Z95" s="32">
        <f>IF($C95="","",IF(COUNTA($U95:$W95)&lt;3,"",IF(AND($U95="מפותח",$V95="מפותח",$W95="מפותחת"),"מפותחת",IF((--($U95="דל"))+(--($V95="אינו מפותח"))+(--($W95="דלה"))&gt;=2,"אינה מפותחת","חלקית"))))</f>
        <v/>
      </c>
      <c r="AA95" s="32">
        <f>IF($C95="","",IF(COUNTA($M95,$N95,$O95)&lt;3,"— חסרים נתונים",IF(OR($M95="נמוכה",(--($M95&lt;&gt;"תקינה"))+(--($N95&lt;&gt;"תקין"))+(--($O95&lt;&gt;"תקינה"))&gt;=2),"ניכרת","אינה ניכרת")))</f>
        <v/>
      </c>
      <c r="AB95" s="32">
        <f>IF(OR($C95="",$Y95="",$AA95="",LEFT($Y95,1)="—",LEFT($AA95,1)="—"),"",IF($Z95="","— נדרשת הערכת כתיבה",IF($L95="","— חסרה הבנת הנקרא",IF($Y95="אינה מדויקת או מקוטעת",IF($AA95="ניכרת","מיקוד בשטף הקריאה ובכישורי שפה","מיקוד בשטף קריאה"),IF($AA95="ניכרת","מיקוד בכישורי שפה",IF(AND($L95="תקינה",$Z95="מפותחת"),"קוראים וכותבים מיומנים","מיקוד בהבנה והבעה"))))))</f>
        <v/>
      </c>
      <c r="AC95" s="32">
        <f>IF(OR($AB95="",LEFT($AB95,1)="—"),"",IF(OR($AB95="מיקוד בשטף קריאה",$AB95="מיקוד בשטף הקריאה ובכישורי שפה"),"רמה א'",IF($AB95="קוראים וכותבים מיומנים","רמה ג'","רמה ב'")))</f>
        <v/>
      </c>
      <c r="AD95" s="32">
        <f>IF($AC95="","",MID(IF(AND($AC95="רמה א'",$AA95="ניכרת"),"; להוסיף עבודת אוצר מילים","")&amp;IF($Z95="אינה מפותחת","; דגש על הבעה בכתב","")&amp;IF($K95&lt;&gt;"תקין","; נדרש לעבוד על ההנגנה","")&amp;IF($AK95&lt;&gt;"","; "&amp;$AK95,""),3,400))</f>
        <v/>
      </c>
      <c r="AE95" s="32">
        <f>IF($F95="","",IF($F95="תחילת שנה",1,IF($F95="מחצית שנה",2,3)))</f>
        <v/>
      </c>
      <c r="AF95" s="32">
        <f>IF(OR($B95="",$AC95="",$A95="",$F95=""),"",$B95&amp;"|"&amp;$A95&amp;"|"&amp;$F95&amp;"|"&amp;$AC95&amp;"|"&amp;COUNTIFS($B$6:$B95,$B95,$A$6:$A95,$A95,$F$6:$F95,$F95,$AC$6:$AC95,$AC95))</f>
        <v/>
      </c>
      <c r="AG95" s="32">
        <f>IF($C95="","",$C95&amp;"|"&amp;COUNTIFS($C$6:$C95,$C95))</f>
        <v/>
      </c>
      <c r="AH95" s="32">
        <f>IF(OR($C95="",$A95="",$AE95=""),"",$C95&amp;"|"&amp;$A95&amp;"|"&amp;$AE95)</f>
        <v/>
      </c>
      <c r="AI95" s="32">
        <f>IF(OR($C95="",$AE95="",$AE95=1),"",IFERROR(INDEX($AC$6:$AC$1505,MATCH($C95&amp;"|"&amp;$A95&amp;"|"&amp;($AE95-1),$AH$6:$AH$1505,0)),""))</f>
        <v/>
      </c>
      <c r="AJ95" s="32">
        <f>IF(OR($AI95="",$AC95=""),"",IF($AI95=$AC95,"ללא שינוי","מ-"&amp;$AI95&amp;" ל-"&amp;$AC95))</f>
        <v/>
      </c>
      <c r="AK95" s="67" t="n"/>
    </row>
    <row r="96" ht="15.75" customHeight="1" s="58">
      <c r="A96" s="65" t="n"/>
      <c r="B96" s="65" t="n"/>
      <c r="C96" s="66" t="n"/>
      <c r="D96" s="66" t="n"/>
      <c r="E96" s="65" t="n"/>
      <c r="F96" s="65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65" t="n"/>
      <c r="U96" s="65" t="n"/>
      <c r="V96" s="65" t="n"/>
      <c r="W96" s="65" t="n"/>
      <c r="X96" s="65" t="n"/>
      <c r="Y96" s="32">
        <f>IF($C96="","",IF(COUNTA($I96:$K96)&lt;3,"— חסרים נתונים",IF(AND($I96="תקין",$J96="תקין",$K96="תקין"),"רהוטה",IF(AND($I96="תקין",$J96="תקין"),"מדויקת ורציפה","אינה מדויקת או מקוטעת"))))</f>
        <v/>
      </c>
      <c r="Z96" s="32">
        <f>IF($C96="","",IF(COUNTA($U96:$W96)&lt;3,"",IF(AND($U96="מפותח",$V96="מפותח",$W96="מפותחת"),"מפותחת",IF((--($U96="דל"))+(--($V96="אינו מפותח"))+(--($W96="דלה"))&gt;=2,"אינה מפותחת","חלקית"))))</f>
        <v/>
      </c>
      <c r="AA96" s="32">
        <f>IF($C96="","",IF(COUNTA($M96,$N96,$O96)&lt;3,"— חסרים נתונים",IF(OR($M96="נמוכה",(--($M96&lt;&gt;"תקינה"))+(--($N96&lt;&gt;"תקין"))+(--($O96&lt;&gt;"תקינה"))&gt;=2),"ניכרת","אינה ניכרת")))</f>
        <v/>
      </c>
      <c r="AB96" s="32">
        <f>IF(OR($C96="",$Y96="",$AA96="",LEFT($Y96,1)="—",LEFT($AA96,1)="—"),"",IF($Z96="","— נדרשת הערכת כתיבה",IF($L96="","— חסרה הבנת הנקרא",IF($Y96="אינה מדויקת או מקוטעת",IF($AA96="ניכרת","מיקוד בשטף הקריאה ובכישורי שפה","מיקוד בשטף קריאה"),IF($AA96="ניכרת","מיקוד בכישורי שפה",IF(AND($L96="תקינה",$Z96="מפותחת"),"קוראים וכותבים מיומנים","מיקוד בהבנה והבעה"))))))</f>
        <v/>
      </c>
      <c r="AC96" s="32">
        <f>IF(OR($AB96="",LEFT($AB96,1)="—"),"",IF(OR($AB96="מיקוד בשטף קריאה",$AB96="מיקוד בשטף הקריאה ובכישורי שפה"),"רמה א'",IF($AB96="קוראים וכותבים מיומנים","רמה ג'","רמה ב'")))</f>
        <v/>
      </c>
      <c r="AD96" s="32">
        <f>IF($AC96="","",MID(IF(AND($AC96="רמה א'",$AA96="ניכרת"),"; להוסיף עבודת אוצר מילים","")&amp;IF($Z96="אינה מפותחת","; דגש על הבעה בכתב","")&amp;IF($K96&lt;&gt;"תקין","; נדרש לעבוד על ההנגנה","")&amp;IF($AK96&lt;&gt;"","; "&amp;$AK96,""),3,400))</f>
        <v/>
      </c>
      <c r="AE96" s="32">
        <f>IF($F96="","",IF($F96="תחילת שנה",1,IF($F96="מחצית שנה",2,3)))</f>
        <v/>
      </c>
      <c r="AF96" s="32">
        <f>IF(OR($B96="",$AC96="",$A96="",$F96=""),"",$B96&amp;"|"&amp;$A96&amp;"|"&amp;$F96&amp;"|"&amp;$AC96&amp;"|"&amp;COUNTIFS($B$6:$B96,$B96,$A$6:$A96,$A96,$F$6:$F96,$F96,$AC$6:$AC96,$AC96))</f>
        <v/>
      </c>
      <c r="AG96" s="32">
        <f>IF($C96="","",$C96&amp;"|"&amp;COUNTIFS($C$6:$C96,$C96))</f>
        <v/>
      </c>
      <c r="AH96" s="32">
        <f>IF(OR($C96="",$A96="",$AE96=""),"",$C96&amp;"|"&amp;$A96&amp;"|"&amp;$AE96)</f>
        <v/>
      </c>
      <c r="AI96" s="32">
        <f>IF(OR($C96="",$AE96="",$AE96=1),"",IFERROR(INDEX($AC$6:$AC$1505,MATCH($C96&amp;"|"&amp;$A96&amp;"|"&amp;($AE96-1),$AH$6:$AH$1505,0)),""))</f>
        <v/>
      </c>
      <c r="AJ96" s="32">
        <f>IF(OR($AI96="",$AC96=""),"",IF($AI96=$AC96,"ללא שינוי","מ-"&amp;$AI96&amp;" ל-"&amp;$AC96))</f>
        <v/>
      </c>
      <c r="AK96" s="67" t="n"/>
    </row>
    <row r="97" ht="15.75" customHeight="1" s="58">
      <c r="A97" s="65" t="n"/>
      <c r="B97" s="65" t="n"/>
      <c r="C97" s="66" t="n"/>
      <c r="D97" s="66" t="n"/>
      <c r="E97" s="65" t="n"/>
      <c r="F97" s="65" t="n"/>
      <c r="G97" s="65" t="n"/>
      <c r="H97" s="65" t="n"/>
      <c r="I97" s="65" t="n"/>
      <c r="J97" s="65" t="n"/>
      <c r="K97" s="65" t="n"/>
      <c r="L97" s="65" t="n"/>
      <c r="M97" s="65" t="n"/>
      <c r="N97" s="65" t="n"/>
      <c r="O97" s="65" t="n"/>
      <c r="P97" s="65" t="n"/>
      <c r="Q97" s="65" t="n"/>
      <c r="R97" s="65" t="n"/>
      <c r="S97" s="65" t="n"/>
      <c r="T97" s="65" t="n"/>
      <c r="U97" s="65" t="n"/>
      <c r="V97" s="65" t="n"/>
      <c r="W97" s="65" t="n"/>
      <c r="X97" s="65" t="n"/>
      <c r="Y97" s="32">
        <f>IF($C97="","",IF(COUNTA($I97:$K97)&lt;3,"— חסרים נתונים",IF(AND($I97="תקין",$J97="תקין",$K97="תקין"),"רהוטה",IF(AND($I97="תקין",$J97="תקין"),"מדויקת ורציפה","אינה מדויקת או מקוטעת"))))</f>
        <v/>
      </c>
      <c r="Z97" s="32">
        <f>IF($C97="","",IF(COUNTA($U97:$W97)&lt;3,"",IF(AND($U97="מפותח",$V97="מפותח",$W97="מפותחת"),"מפותחת",IF((--($U97="דל"))+(--($V97="אינו מפותח"))+(--($W97="דלה"))&gt;=2,"אינה מפותחת","חלקית"))))</f>
        <v/>
      </c>
      <c r="AA97" s="32">
        <f>IF($C97="","",IF(COUNTA($M97,$N97,$O97)&lt;3,"— חסרים נתונים",IF(OR($M97="נמוכה",(--($M97&lt;&gt;"תקינה"))+(--($N97&lt;&gt;"תקין"))+(--($O97&lt;&gt;"תקינה"))&gt;=2),"ניכרת","אינה ניכרת")))</f>
        <v/>
      </c>
      <c r="AB97" s="32">
        <f>IF(OR($C97="",$Y97="",$AA97="",LEFT($Y97,1)="—",LEFT($AA97,1)="—"),"",IF($Z97="","— נדרשת הערכת כתיבה",IF($L97="","— חסרה הבנת הנקרא",IF($Y97="אינה מדויקת או מקוטעת",IF($AA97="ניכרת","מיקוד בשטף הקריאה ובכישורי שפה","מיקוד בשטף קריאה"),IF($AA97="ניכרת","מיקוד בכישורי שפה",IF(AND($L97="תקינה",$Z97="מפותחת"),"קוראים וכותבים מיומנים","מיקוד בהבנה והבעה"))))))</f>
        <v/>
      </c>
      <c r="AC97" s="32">
        <f>IF(OR($AB97="",LEFT($AB97,1)="—"),"",IF(OR($AB97="מיקוד בשטף קריאה",$AB97="מיקוד בשטף הקריאה ובכישורי שפה"),"רמה א'",IF($AB97="קוראים וכותבים מיומנים","רמה ג'","רמה ב'")))</f>
        <v/>
      </c>
      <c r="AD97" s="32">
        <f>IF($AC97="","",MID(IF(AND($AC97="רמה א'",$AA97="ניכרת"),"; להוסיף עבודת אוצר מילים","")&amp;IF($Z97="אינה מפותחת","; דגש על הבעה בכתב","")&amp;IF($K97&lt;&gt;"תקין","; נדרש לעבוד על ההנגנה","")&amp;IF($AK97&lt;&gt;"","; "&amp;$AK97,""),3,400))</f>
        <v/>
      </c>
      <c r="AE97" s="32">
        <f>IF($F97="","",IF($F97="תחילת שנה",1,IF($F97="מחצית שנה",2,3)))</f>
        <v/>
      </c>
      <c r="AF97" s="32">
        <f>IF(OR($B97="",$AC97="",$A97="",$F97=""),"",$B97&amp;"|"&amp;$A97&amp;"|"&amp;$F97&amp;"|"&amp;$AC97&amp;"|"&amp;COUNTIFS($B$6:$B97,$B97,$A$6:$A97,$A97,$F$6:$F97,$F97,$AC$6:$AC97,$AC97))</f>
        <v/>
      </c>
      <c r="AG97" s="32">
        <f>IF($C97="","",$C97&amp;"|"&amp;COUNTIFS($C$6:$C97,$C97))</f>
        <v/>
      </c>
      <c r="AH97" s="32">
        <f>IF(OR($C97="",$A97="",$AE97=""),"",$C97&amp;"|"&amp;$A97&amp;"|"&amp;$AE97)</f>
        <v/>
      </c>
      <c r="AI97" s="32">
        <f>IF(OR($C97="",$AE97="",$AE97=1),"",IFERROR(INDEX($AC$6:$AC$1505,MATCH($C97&amp;"|"&amp;$A97&amp;"|"&amp;($AE97-1),$AH$6:$AH$1505,0)),""))</f>
        <v/>
      </c>
      <c r="AJ97" s="32">
        <f>IF(OR($AI97="",$AC97=""),"",IF($AI97=$AC97,"ללא שינוי","מ-"&amp;$AI97&amp;" ל-"&amp;$AC97))</f>
        <v/>
      </c>
      <c r="AK97" s="67" t="n"/>
    </row>
    <row r="98" ht="15.75" customHeight="1" s="58">
      <c r="A98" s="65" t="n"/>
      <c r="B98" s="65" t="n"/>
      <c r="C98" s="66" t="n"/>
      <c r="D98" s="66" t="n"/>
      <c r="E98" s="65" t="n"/>
      <c r="F98" s="65" t="n"/>
      <c r="G98" s="65" t="n"/>
      <c r="H98" s="65" t="n"/>
      <c r="I98" s="65" t="n"/>
      <c r="J98" s="65" t="n"/>
      <c r="K98" s="65" t="n"/>
      <c r="L98" s="65" t="n"/>
      <c r="M98" s="65" t="n"/>
      <c r="N98" s="65" t="n"/>
      <c r="O98" s="65" t="n"/>
      <c r="P98" s="65" t="n"/>
      <c r="Q98" s="65" t="n"/>
      <c r="R98" s="65" t="n"/>
      <c r="S98" s="65" t="n"/>
      <c r="T98" s="65" t="n"/>
      <c r="U98" s="65" t="n"/>
      <c r="V98" s="65" t="n"/>
      <c r="W98" s="65" t="n"/>
      <c r="X98" s="65" t="n"/>
      <c r="Y98" s="32">
        <f>IF($C98="","",IF(COUNTA($I98:$K98)&lt;3,"— חסרים נתונים",IF(AND($I98="תקין",$J98="תקין",$K98="תקין"),"רהוטה",IF(AND($I98="תקין",$J98="תקין"),"מדויקת ורציפה","אינה מדויקת או מקוטעת"))))</f>
        <v/>
      </c>
      <c r="Z98" s="32">
        <f>IF($C98="","",IF(COUNTA($U98:$W98)&lt;3,"",IF(AND($U98="מפותח",$V98="מפותח",$W98="מפותחת"),"מפותחת",IF((--($U98="דל"))+(--($V98="אינו מפותח"))+(--($W98="דלה"))&gt;=2,"אינה מפותחת","חלקית"))))</f>
        <v/>
      </c>
      <c r="AA98" s="32">
        <f>IF($C98="","",IF(COUNTA($M98,$N98,$O98)&lt;3,"— חסרים נתונים",IF(OR($M98="נמוכה",(--($M98&lt;&gt;"תקינה"))+(--($N98&lt;&gt;"תקין"))+(--($O98&lt;&gt;"תקינה"))&gt;=2),"ניכרת","אינה ניכרת")))</f>
        <v/>
      </c>
      <c r="AB98" s="32">
        <f>IF(OR($C98="",$Y98="",$AA98="",LEFT($Y98,1)="—",LEFT($AA98,1)="—"),"",IF($Z98="","— נדרשת הערכת כתיבה",IF($L98="","— חסרה הבנת הנקרא",IF($Y98="אינה מדויקת או מקוטעת",IF($AA98="ניכרת","מיקוד בשטף הקריאה ובכישורי שפה","מיקוד בשטף קריאה"),IF($AA98="ניכרת","מיקוד בכישורי שפה",IF(AND($L98="תקינה",$Z98="מפותחת"),"קוראים וכותבים מיומנים","מיקוד בהבנה והבעה"))))))</f>
        <v/>
      </c>
      <c r="AC98" s="32">
        <f>IF(OR($AB98="",LEFT($AB98,1)="—"),"",IF(OR($AB98="מיקוד בשטף קריאה",$AB98="מיקוד בשטף הקריאה ובכישורי שפה"),"רמה א'",IF($AB98="קוראים וכותבים מיומנים","רמה ג'","רמה ב'")))</f>
        <v/>
      </c>
      <c r="AD98" s="32">
        <f>IF($AC98="","",MID(IF(AND($AC98="רמה א'",$AA98="ניכרת"),"; להוסיף עבודת אוצר מילים","")&amp;IF($Z98="אינה מפותחת","; דגש על הבעה בכתב","")&amp;IF($K98&lt;&gt;"תקין","; נדרש לעבוד על ההנגנה","")&amp;IF($AK98&lt;&gt;"","; "&amp;$AK98,""),3,400))</f>
        <v/>
      </c>
      <c r="AE98" s="32">
        <f>IF($F98="","",IF($F98="תחילת שנה",1,IF($F98="מחצית שנה",2,3)))</f>
        <v/>
      </c>
      <c r="AF98" s="32">
        <f>IF(OR($B98="",$AC98="",$A98="",$F98=""),"",$B98&amp;"|"&amp;$A98&amp;"|"&amp;$F98&amp;"|"&amp;$AC98&amp;"|"&amp;COUNTIFS($B$6:$B98,$B98,$A$6:$A98,$A98,$F$6:$F98,$F98,$AC$6:$AC98,$AC98))</f>
        <v/>
      </c>
      <c r="AG98" s="32">
        <f>IF($C98="","",$C98&amp;"|"&amp;COUNTIFS($C$6:$C98,$C98))</f>
        <v/>
      </c>
      <c r="AH98" s="32">
        <f>IF(OR($C98="",$A98="",$AE98=""),"",$C98&amp;"|"&amp;$A98&amp;"|"&amp;$AE98)</f>
        <v/>
      </c>
      <c r="AI98" s="32">
        <f>IF(OR($C98="",$AE98="",$AE98=1),"",IFERROR(INDEX($AC$6:$AC$1505,MATCH($C98&amp;"|"&amp;$A98&amp;"|"&amp;($AE98-1),$AH$6:$AH$1505,0)),""))</f>
        <v/>
      </c>
      <c r="AJ98" s="32">
        <f>IF(OR($AI98="",$AC98=""),"",IF($AI98=$AC98,"ללא שינוי","מ-"&amp;$AI98&amp;" ל-"&amp;$AC98))</f>
        <v/>
      </c>
      <c r="AK98" s="67" t="n"/>
    </row>
    <row r="99" ht="15.75" customHeight="1" s="58">
      <c r="A99" s="65" t="n"/>
      <c r="B99" s="65" t="n"/>
      <c r="C99" s="66" t="n"/>
      <c r="D99" s="66" t="n"/>
      <c r="E99" s="65" t="n"/>
      <c r="F99" s="65" t="n"/>
      <c r="G99" s="65" t="n"/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65" t="n"/>
      <c r="R99" s="65" t="n"/>
      <c r="S99" s="65" t="n"/>
      <c r="T99" s="65" t="n"/>
      <c r="U99" s="65" t="n"/>
      <c r="V99" s="65" t="n"/>
      <c r="W99" s="65" t="n"/>
      <c r="X99" s="65" t="n"/>
      <c r="Y99" s="32">
        <f>IF($C99="","",IF(COUNTA($I99:$K99)&lt;3,"— חסרים נתונים",IF(AND($I99="תקין",$J99="תקין",$K99="תקין"),"רהוטה",IF(AND($I99="תקין",$J99="תקין"),"מדויקת ורציפה","אינה מדויקת או מקוטעת"))))</f>
        <v/>
      </c>
      <c r="Z99" s="32">
        <f>IF($C99="","",IF(COUNTA($U99:$W99)&lt;3,"",IF(AND($U99="מפותח",$V99="מפותח",$W99="מפותחת"),"מפותחת",IF((--($U99="דל"))+(--($V99="אינו מפותח"))+(--($W99="דלה"))&gt;=2,"אינה מפותחת","חלקית"))))</f>
        <v/>
      </c>
      <c r="AA99" s="32">
        <f>IF($C99="","",IF(COUNTA($M99,$N99,$O99)&lt;3,"— חסרים נתונים",IF(OR($M99="נמוכה",(--($M99&lt;&gt;"תקינה"))+(--($N99&lt;&gt;"תקין"))+(--($O99&lt;&gt;"תקינה"))&gt;=2),"ניכרת","אינה ניכרת")))</f>
        <v/>
      </c>
      <c r="AB99" s="32">
        <f>IF(OR($C99="",$Y99="",$AA99="",LEFT($Y99,1)="—",LEFT($AA99,1)="—"),"",IF($Z99="","— נדרשת הערכת כתיבה",IF($L99="","— חסרה הבנת הנקרא",IF($Y99="אינה מדויקת או מקוטעת",IF($AA99="ניכרת","מיקוד בשטף הקריאה ובכישורי שפה","מיקוד בשטף קריאה"),IF($AA99="ניכרת","מיקוד בכישורי שפה",IF(AND($L99="תקינה",$Z99="מפותחת"),"קוראים וכותבים מיומנים","מיקוד בהבנה והבעה"))))))</f>
        <v/>
      </c>
      <c r="AC99" s="32">
        <f>IF(OR($AB99="",LEFT($AB99,1)="—"),"",IF(OR($AB99="מיקוד בשטף קריאה",$AB99="מיקוד בשטף הקריאה ובכישורי שפה"),"רמה א'",IF($AB99="קוראים וכותבים מיומנים","רמה ג'","רמה ב'")))</f>
        <v/>
      </c>
      <c r="AD99" s="32">
        <f>IF($AC99="","",MID(IF(AND($AC99="רמה א'",$AA99="ניכרת"),"; להוסיף עבודת אוצר מילים","")&amp;IF($Z99="אינה מפותחת","; דגש על הבעה בכתב","")&amp;IF($K99&lt;&gt;"תקין","; נדרש לעבוד על ההנגנה","")&amp;IF($AK99&lt;&gt;"","; "&amp;$AK99,""),3,400))</f>
        <v/>
      </c>
      <c r="AE99" s="32">
        <f>IF($F99="","",IF($F99="תחילת שנה",1,IF($F99="מחצית שנה",2,3)))</f>
        <v/>
      </c>
      <c r="AF99" s="32">
        <f>IF(OR($B99="",$AC99="",$A99="",$F99=""),"",$B99&amp;"|"&amp;$A99&amp;"|"&amp;$F99&amp;"|"&amp;$AC99&amp;"|"&amp;COUNTIFS($B$6:$B99,$B99,$A$6:$A99,$A99,$F$6:$F99,$F99,$AC$6:$AC99,$AC99))</f>
        <v/>
      </c>
      <c r="AG99" s="32">
        <f>IF($C99="","",$C99&amp;"|"&amp;COUNTIFS($C$6:$C99,$C99))</f>
        <v/>
      </c>
      <c r="AH99" s="32">
        <f>IF(OR($C99="",$A99="",$AE99=""),"",$C99&amp;"|"&amp;$A99&amp;"|"&amp;$AE99)</f>
        <v/>
      </c>
      <c r="AI99" s="32">
        <f>IF(OR($C99="",$AE99="",$AE99=1),"",IFERROR(INDEX($AC$6:$AC$1505,MATCH($C99&amp;"|"&amp;$A99&amp;"|"&amp;($AE99-1),$AH$6:$AH$1505,0)),""))</f>
        <v/>
      </c>
      <c r="AJ99" s="32">
        <f>IF(OR($AI99="",$AC99=""),"",IF($AI99=$AC99,"ללא שינוי","מ-"&amp;$AI99&amp;" ל-"&amp;$AC99))</f>
        <v/>
      </c>
      <c r="AK99" s="67" t="n"/>
    </row>
    <row r="100" ht="15.75" customHeight="1" s="58">
      <c r="A100" s="65" t="n"/>
      <c r="B100" s="65" t="n"/>
      <c r="C100" s="66" t="n"/>
      <c r="D100" s="66" t="n"/>
      <c r="E100" s="65" t="n"/>
      <c r="F100" s="65" t="n"/>
      <c r="G100" s="65" t="n"/>
      <c r="H100" s="65" t="n"/>
      <c r="I100" s="65" t="n"/>
      <c r="J100" s="65" t="n"/>
      <c r="K100" s="65" t="n"/>
      <c r="L100" s="65" t="n"/>
      <c r="M100" s="65" t="n"/>
      <c r="N100" s="65" t="n"/>
      <c r="O100" s="65" t="n"/>
      <c r="P100" s="65" t="n"/>
      <c r="Q100" s="65" t="n"/>
      <c r="R100" s="65" t="n"/>
      <c r="S100" s="65" t="n"/>
      <c r="T100" s="65" t="n"/>
      <c r="U100" s="65" t="n"/>
      <c r="V100" s="65" t="n"/>
      <c r="W100" s="65" t="n"/>
      <c r="X100" s="65" t="n"/>
      <c r="Y100" s="32">
        <f>IF($C100="","",IF(COUNTA($I100:$K100)&lt;3,"— חסרים נתונים",IF(AND($I100="תקין",$J100="תקין",$K100="תקין"),"רהוטה",IF(AND($I100="תקין",$J100="תקין"),"מדויקת ורציפה","אינה מדויקת או מקוטעת"))))</f>
        <v/>
      </c>
      <c r="Z100" s="32">
        <f>IF($C100="","",IF(COUNTA($U100:$W100)&lt;3,"",IF(AND($U100="מפותח",$V100="מפותח",$W100="מפותחת"),"מפותחת",IF((--($U100="דל"))+(--($V100="אינו מפותח"))+(--($W100="דלה"))&gt;=2,"אינה מפותחת","חלקית"))))</f>
        <v/>
      </c>
      <c r="AA100" s="32">
        <f>IF($C100="","",IF(COUNTA($M100,$N100,$O100)&lt;3,"— חסרים נתונים",IF(OR($M100="נמוכה",(--($M100&lt;&gt;"תקינה"))+(--($N100&lt;&gt;"תקין"))+(--($O100&lt;&gt;"תקינה"))&gt;=2),"ניכרת","אינה ניכרת")))</f>
        <v/>
      </c>
      <c r="AB100" s="32">
        <f>IF(OR($C100="",$Y100="",$AA100="",LEFT($Y100,1)="—",LEFT($AA100,1)="—"),"",IF($Z100="","— נדרשת הערכת כתיבה",IF($L100="","— חסרה הבנת הנקרא",IF($Y100="אינה מדויקת או מקוטעת",IF($AA100="ניכרת","מיקוד בשטף הקריאה ובכישורי שפה","מיקוד בשטף קריאה"),IF($AA100="ניכרת","מיקוד בכישורי שפה",IF(AND($L100="תקינה",$Z100="מפותחת"),"קוראים וכותבים מיומנים","מיקוד בהבנה והבעה"))))))</f>
        <v/>
      </c>
      <c r="AC100" s="32">
        <f>IF(OR($AB100="",LEFT($AB100,1)="—"),"",IF(OR($AB100="מיקוד בשטף קריאה",$AB100="מיקוד בשטף הקריאה ובכישורי שפה"),"רמה א'",IF($AB100="קוראים וכותבים מיומנים","רמה ג'","רמה ב'")))</f>
        <v/>
      </c>
      <c r="AD100" s="32">
        <f>IF($AC100="","",MID(IF(AND($AC100="רמה א'",$AA100="ניכרת"),"; להוסיף עבודת אוצר מילים","")&amp;IF($Z100="אינה מפותחת","; דגש על הבעה בכתב","")&amp;IF($K100&lt;&gt;"תקין","; נדרש לעבוד על ההנגנה","")&amp;IF($AK100&lt;&gt;"","; "&amp;$AK100,""),3,400))</f>
        <v/>
      </c>
      <c r="AE100" s="32">
        <f>IF($F100="","",IF($F100="תחילת שנה",1,IF($F100="מחצית שנה",2,3)))</f>
        <v/>
      </c>
      <c r="AF100" s="32">
        <f>IF(OR($B100="",$AC100="",$A100="",$F100=""),"",$B100&amp;"|"&amp;$A100&amp;"|"&amp;$F100&amp;"|"&amp;$AC100&amp;"|"&amp;COUNTIFS($B$6:$B100,$B100,$A$6:$A100,$A100,$F$6:$F100,$F100,$AC$6:$AC100,$AC100))</f>
        <v/>
      </c>
      <c r="AG100" s="32">
        <f>IF($C100="","",$C100&amp;"|"&amp;COUNTIFS($C$6:$C100,$C100))</f>
        <v/>
      </c>
      <c r="AH100" s="32">
        <f>IF(OR($C100="",$A100="",$AE100=""),"",$C100&amp;"|"&amp;$A100&amp;"|"&amp;$AE100)</f>
        <v/>
      </c>
      <c r="AI100" s="32">
        <f>IF(OR($C100="",$AE100="",$AE100=1),"",IFERROR(INDEX($AC$6:$AC$1505,MATCH($C100&amp;"|"&amp;$A100&amp;"|"&amp;($AE100-1),$AH$6:$AH$1505,0)),""))</f>
        <v/>
      </c>
      <c r="AJ100" s="32">
        <f>IF(OR($AI100="",$AC100=""),"",IF($AI100=$AC100,"ללא שינוי","מ-"&amp;$AI100&amp;" ל-"&amp;$AC100))</f>
        <v/>
      </c>
      <c r="AK100" s="67" t="n"/>
    </row>
    <row r="101" ht="15.75" customHeight="1" s="58">
      <c r="A101" s="65" t="n"/>
      <c r="B101" s="65" t="n"/>
      <c r="C101" s="66" t="n"/>
      <c r="D101" s="66" t="n"/>
      <c r="E101" s="65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65" t="n"/>
      <c r="R101" s="65" t="n"/>
      <c r="S101" s="65" t="n"/>
      <c r="T101" s="65" t="n"/>
      <c r="U101" s="65" t="n"/>
      <c r="V101" s="65" t="n"/>
      <c r="W101" s="65" t="n"/>
      <c r="X101" s="65" t="n"/>
      <c r="Y101" s="32">
        <f>IF($C101="","",IF(COUNTA($I101:$K101)&lt;3,"— חסרים נתונים",IF(AND($I101="תקין",$J101="תקין",$K101="תקין"),"רהוטה",IF(AND($I101="תקין",$J101="תקין"),"מדויקת ורציפה","אינה מדויקת או מקוטעת"))))</f>
        <v/>
      </c>
      <c r="Z101" s="32">
        <f>IF($C101="","",IF(COUNTA($U101:$W101)&lt;3,"",IF(AND($U101="מפותח",$V101="מפותח",$W101="מפותחת"),"מפותחת",IF((--($U101="דל"))+(--($V101="אינו מפותח"))+(--($W101="דלה"))&gt;=2,"אינה מפותחת","חלקית"))))</f>
        <v/>
      </c>
      <c r="AA101" s="32">
        <f>IF($C101="","",IF(COUNTA($M101,$N101,$O101)&lt;3,"— חסרים נתונים",IF(OR($M101="נמוכה",(--($M101&lt;&gt;"תקינה"))+(--($N101&lt;&gt;"תקין"))+(--($O101&lt;&gt;"תקינה"))&gt;=2),"ניכרת","אינה ניכרת")))</f>
        <v/>
      </c>
      <c r="AB101" s="32">
        <f>IF(OR($C101="",$Y101="",$AA101="",LEFT($Y101,1)="—",LEFT($AA101,1)="—"),"",IF($Z101="","— נדרשת הערכת כתיבה",IF($L101="","— חסרה הבנת הנקרא",IF($Y101="אינה מדויקת או מקוטעת",IF($AA101="ניכרת","מיקוד בשטף הקריאה ובכישורי שפה","מיקוד בשטף קריאה"),IF($AA101="ניכרת","מיקוד בכישורי שפה",IF(AND($L101="תקינה",$Z101="מפותחת"),"קוראים וכותבים מיומנים","מיקוד בהבנה והבעה"))))))</f>
        <v/>
      </c>
      <c r="AC101" s="32">
        <f>IF(OR($AB101="",LEFT($AB101,1)="—"),"",IF(OR($AB101="מיקוד בשטף קריאה",$AB101="מיקוד בשטף הקריאה ובכישורי שפה"),"רמה א'",IF($AB101="קוראים וכותבים מיומנים","רמה ג'","רמה ב'")))</f>
        <v/>
      </c>
      <c r="AD101" s="32">
        <f>IF($AC101="","",MID(IF(AND($AC101="רמה א'",$AA101="ניכרת"),"; להוסיף עבודת אוצר מילים","")&amp;IF($Z101="אינה מפותחת","; דגש על הבעה בכתב","")&amp;IF($K101&lt;&gt;"תקין","; נדרש לעבוד על ההנגנה","")&amp;IF($AK101&lt;&gt;"","; "&amp;$AK101,""),3,400))</f>
        <v/>
      </c>
      <c r="AE101" s="32">
        <f>IF($F101="","",IF($F101="תחילת שנה",1,IF($F101="מחצית שנה",2,3)))</f>
        <v/>
      </c>
      <c r="AF101" s="32">
        <f>IF(OR($B101="",$AC101="",$A101="",$F101=""),"",$B101&amp;"|"&amp;$A101&amp;"|"&amp;$F101&amp;"|"&amp;$AC101&amp;"|"&amp;COUNTIFS($B$6:$B101,$B101,$A$6:$A101,$A101,$F$6:$F101,$F101,$AC$6:$AC101,$AC101))</f>
        <v/>
      </c>
      <c r="AG101" s="32">
        <f>IF($C101="","",$C101&amp;"|"&amp;COUNTIFS($C$6:$C101,$C101))</f>
        <v/>
      </c>
      <c r="AH101" s="32">
        <f>IF(OR($C101="",$A101="",$AE101=""),"",$C101&amp;"|"&amp;$A101&amp;"|"&amp;$AE101)</f>
        <v/>
      </c>
      <c r="AI101" s="32">
        <f>IF(OR($C101="",$AE101="",$AE101=1),"",IFERROR(INDEX($AC$6:$AC$1505,MATCH($C101&amp;"|"&amp;$A101&amp;"|"&amp;($AE101-1),$AH$6:$AH$1505,0)),""))</f>
        <v/>
      </c>
      <c r="AJ101" s="32">
        <f>IF(OR($AI101="",$AC101=""),"",IF($AI101=$AC101,"ללא שינוי","מ-"&amp;$AI101&amp;" ל-"&amp;$AC101))</f>
        <v/>
      </c>
      <c r="AK101" s="67" t="n"/>
    </row>
    <row r="102" ht="15.75" customHeight="1" s="58">
      <c r="A102" s="65" t="n"/>
      <c r="B102" s="65" t="n"/>
      <c r="C102" s="66" t="n"/>
      <c r="D102" s="66" t="n"/>
      <c r="E102" s="65" t="n"/>
      <c r="F102" s="65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65" t="n"/>
      <c r="R102" s="65" t="n"/>
      <c r="S102" s="65" t="n"/>
      <c r="T102" s="65" t="n"/>
      <c r="U102" s="65" t="n"/>
      <c r="V102" s="65" t="n"/>
      <c r="W102" s="65" t="n"/>
      <c r="X102" s="65" t="n"/>
      <c r="Y102" s="32">
        <f>IF($C102="","",IF(COUNTA($I102:$K102)&lt;3,"— חסרים נתונים",IF(AND($I102="תקין",$J102="תקין",$K102="תקין"),"רהוטה",IF(AND($I102="תקין",$J102="תקין"),"מדויקת ורציפה","אינה מדויקת או מקוטעת"))))</f>
        <v/>
      </c>
      <c r="Z102" s="32">
        <f>IF($C102="","",IF(COUNTA($U102:$W102)&lt;3,"",IF(AND($U102="מפותח",$V102="מפותח",$W102="מפותחת"),"מפותחת",IF((--($U102="דל"))+(--($V102="אינו מפותח"))+(--($W102="דלה"))&gt;=2,"אינה מפותחת","חלקית"))))</f>
        <v/>
      </c>
      <c r="AA102" s="32">
        <f>IF($C102="","",IF(COUNTA($M102,$N102,$O102)&lt;3,"— חסרים נתונים",IF(OR($M102="נמוכה",(--($M102&lt;&gt;"תקינה"))+(--($N102&lt;&gt;"תקין"))+(--($O102&lt;&gt;"תקינה"))&gt;=2),"ניכרת","אינה ניכרת")))</f>
        <v/>
      </c>
      <c r="AB102" s="32">
        <f>IF(OR($C102="",$Y102="",$AA102="",LEFT($Y102,1)="—",LEFT($AA102,1)="—"),"",IF($Z102="","— נדרשת הערכת כתיבה",IF($L102="","— חסרה הבנת הנקרא",IF($Y102="אינה מדויקת או מקוטעת",IF($AA102="ניכרת","מיקוד בשטף הקריאה ובכישורי שפה","מיקוד בשטף קריאה"),IF($AA102="ניכרת","מיקוד בכישורי שפה",IF(AND($L102="תקינה",$Z102="מפותחת"),"קוראים וכותבים מיומנים","מיקוד בהבנה והבעה"))))))</f>
        <v/>
      </c>
      <c r="AC102" s="32">
        <f>IF(OR($AB102="",LEFT($AB102,1)="—"),"",IF(OR($AB102="מיקוד בשטף קריאה",$AB102="מיקוד בשטף הקריאה ובכישורי שפה"),"רמה א'",IF($AB102="קוראים וכותבים מיומנים","רמה ג'","רמה ב'")))</f>
        <v/>
      </c>
      <c r="AD102" s="32">
        <f>IF($AC102="","",MID(IF(AND($AC102="רמה א'",$AA102="ניכרת"),"; להוסיף עבודת אוצר מילים","")&amp;IF($Z102="אינה מפותחת","; דגש על הבעה בכתב","")&amp;IF($K102&lt;&gt;"תקין","; נדרש לעבוד על ההנגנה","")&amp;IF($AK102&lt;&gt;"","; "&amp;$AK102,""),3,400))</f>
        <v/>
      </c>
      <c r="AE102" s="32">
        <f>IF($F102="","",IF($F102="תחילת שנה",1,IF($F102="מחצית שנה",2,3)))</f>
        <v/>
      </c>
      <c r="AF102" s="32">
        <f>IF(OR($B102="",$AC102="",$A102="",$F102=""),"",$B102&amp;"|"&amp;$A102&amp;"|"&amp;$F102&amp;"|"&amp;$AC102&amp;"|"&amp;COUNTIFS($B$6:$B102,$B102,$A$6:$A102,$A102,$F$6:$F102,$F102,$AC$6:$AC102,$AC102))</f>
        <v/>
      </c>
      <c r="AG102" s="32">
        <f>IF($C102="","",$C102&amp;"|"&amp;COUNTIFS($C$6:$C102,$C102))</f>
        <v/>
      </c>
      <c r="AH102" s="32">
        <f>IF(OR($C102="",$A102="",$AE102=""),"",$C102&amp;"|"&amp;$A102&amp;"|"&amp;$AE102)</f>
        <v/>
      </c>
      <c r="AI102" s="32">
        <f>IF(OR($C102="",$AE102="",$AE102=1),"",IFERROR(INDEX($AC$6:$AC$1505,MATCH($C102&amp;"|"&amp;$A102&amp;"|"&amp;($AE102-1),$AH$6:$AH$1505,0)),""))</f>
        <v/>
      </c>
      <c r="AJ102" s="32">
        <f>IF(OR($AI102="",$AC102=""),"",IF($AI102=$AC102,"ללא שינוי","מ-"&amp;$AI102&amp;" ל-"&amp;$AC102))</f>
        <v/>
      </c>
      <c r="AK102" s="67" t="n"/>
    </row>
    <row r="103" ht="15.75" customHeight="1" s="58">
      <c r="A103" s="65" t="n"/>
      <c r="B103" s="65" t="n"/>
      <c r="C103" s="66" t="n"/>
      <c r="D103" s="66" t="n"/>
      <c r="E103" s="65" t="n"/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65" t="n"/>
      <c r="R103" s="65" t="n"/>
      <c r="S103" s="65" t="n"/>
      <c r="T103" s="65" t="n"/>
      <c r="U103" s="65" t="n"/>
      <c r="V103" s="65" t="n"/>
      <c r="W103" s="65" t="n"/>
      <c r="X103" s="65" t="n"/>
      <c r="Y103" s="32">
        <f>IF($C103="","",IF(COUNTA($I103:$K103)&lt;3,"— חסרים נתונים",IF(AND($I103="תקין",$J103="תקין",$K103="תקין"),"רהוטה",IF(AND($I103="תקין",$J103="תקין"),"מדויקת ורציפה","אינה מדויקת או מקוטעת"))))</f>
        <v/>
      </c>
      <c r="Z103" s="32">
        <f>IF($C103="","",IF(COUNTA($U103:$W103)&lt;3,"",IF(AND($U103="מפותח",$V103="מפותח",$W103="מפותחת"),"מפותחת",IF((--($U103="דל"))+(--($V103="אינו מפותח"))+(--($W103="דלה"))&gt;=2,"אינה מפותחת","חלקית"))))</f>
        <v/>
      </c>
      <c r="AA103" s="32">
        <f>IF($C103="","",IF(COUNTA($M103,$N103,$O103)&lt;3,"— חסרים נתונים",IF(OR($M103="נמוכה",(--($M103&lt;&gt;"תקינה"))+(--($N103&lt;&gt;"תקין"))+(--($O103&lt;&gt;"תקינה"))&gt;=2),"ניכרת","אינה ניכרת")))</f>
        <v/>
      </c>
      <c r="AB103" s="32">
        <f>IF(OR($C103="",$Y103="",$AA103="",LEFT($Y103,1)="—",LEFT($AA103,1)="—"),"",IF($Z103="","— נדרשת הערכת כתיבה",IF($L103="","— חסרה הבנת הנקרא",IF($Y103="אינה מדויקת או מקוטעת",IF($AA103="ניכרת","מיקוד בשטף הקריאה ובכישורי שפה","מיקוד בשטף קריאה"),IF($AA103="ניכרת","מיקוד בכישורי שפה",IF(AND($L103="תקינה",$Z103="מפותחת"),"קוראים וכותבים מיומנים","מיקוד בהבנה והבעה"))))))</f>
        <v/>
      </c>
      <c r="AC103" s="32">
        <f>IF(OR($AB103="",LEFT($AB103,1)="—"),"",IF(OR($AB103="מיקוד בשטף קריאה",$AB103="מיקוד בשטף הקריאה ובכישורי שפה"),"רמה א'",IF($AB103="קוראים וכותבים מיומנים","רמה ג'","רמה ב'")))</f>
        <v/>
      </c>
      <c r="AD103" s="32">
        <f>IF($AC103="","",MID(IF(AND($AC103="רמה א'",$AA103="ניכרת"),"; להוסיף עבודת אוצר מילים","")&amp;IF($Z103="אינה מפותחת","; דגש על הבעה בכתב","")&amp;IF($K103&lt;&gt;"תקין","; נדרש לעבוד על ההנגנה","")&amp;IF($AK103&lt;&gt;"","; "&amp;$AK103,""),3,400))</f>
        <v/>
      </c>
      <c r="AE103" s="32">
        <f>IF($F103="","",IF($F103="תחילת שנה",1,IF($F103="מחצית שנה",2,3)))</f>
        <v/>
      </c>
      <c r="AF103" s="32">
        <f>IF(OR($B103="",$AC103="",$A103="",$F103=""),"",$B103&amp;"|"&amp;$A103&amp;"|"&amp;$F103&amp;"|"&amp;$AC103&amp;"|"&amp;COUNTIFS($B$6:$B103,$B103,$A$6:$A103,$A103,$F$6:$F103,$F103,$AC$6:$AC103,$AC103))</f>
        <v/>
      </c>
      <c r="AG103" s="32">
        <f>IF($C103="","",$C103&amp;"|"&amp;COUNTIFS($C$6:$C103,$C103))</f>
        <v/>
      </c>
      <c r="AH103" s="32">
        <f>IF(OR($C103="",$A103="",$AE103=""),"",$C103&amp;"|"&amp;$A103&amp;"|"&amp;$AE103)</f>
        <v/>
      </c>
      <c r="AI103" s="32">
        <f>IF(OR($C103="",$AE103="",$AE103=1),"",IFERROR(INDEX($AC$6:$AC$1505,MATCH($C103&amp;"|"&amp;$A103&amp;"|"&amp;($AE103-1),$AH$6:$AH$1505,0)),""))</f>
        <v/>
      </c>
      <c r="AJ103" s="32">
        <f>IF(OR($AI103="",$AC103=""),"",IF($AI103=$AC103,"ללא שינוי","מ-"&amp;$AI103&amp;" ל-"&amp;$AC103))</f>
        <v/>
      </c>
      <c r="AK103" s="67" t="n"/>
    </row>
    <row r="104" ht="15.75" customHeight="1" s="58">
      <c r="A104" s="65" t="n"/>
      <c r="B104" s="65" t="n"/>
      <c r="C104" s="66" t="n"/>
      <c r="D104" s="66" t="n"/>
      <c r="E104" s="65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5" t="n"/>
      <c r="X104" s="65" t="n"/>
      <c r="Y104" s="32">
        <f>IF($C104="","",IF(COUNTA($I104:$K104)&lt;3,"— חסרים נתונים",IF(AND($I104="תקין",$J104="תקין",$K104="תקין"),"רהוטה",IF(AND($I104="תקין",$J104="תקין"),"מדויקת ורציפה","אינה מדויקת או מקוטעת"))))</f>
        <v/>
      </c>
      <c r="Z104" s="32">
        <f>IF($C104="","",IF(COUNTA($U104:$W104)&lt;3,"",IF(AND($U104="מפותח",$V104="מפותח",$W104="מפותחת"),"מפותחת",IF((--($U104="דל"))+(--($V104="אינו מפותח"))+(--($W104="דלה"))&gt;=2,"אינה מפותחת","חלקית"))))</f>
        <v/>
      </c>
      <c r="AA104" s="32">
        <f>IF($C104="","",IF(COUNTA($M104,$N104,$O104)&lt;3,"— חסרים נתונים",IF(OR($M104="נמוכה",(--($M104&lt;&gt;"תקינה"))+(--($N104&lt;&gt;"תקין"))+(--($O104&lt;&gt;"תקינה"))&gt;=2),"ניכרת","אינה ניכרת")))</f>
        <v/>
      </c>
      <c r="AB104" s="32">
        <f>IF(OR($C104="",$Y104="",$AA104="",LEFT($Y104,1)="—",LEFT($AA104,1)="—"),"",IF($Z104="","— נדרשת הערכת כתיבה",IF($L104="","— חסרה הבנת הנקרא",IF($Y104="אינה מדויקת או מקוטעת",IF($AA104="ניכרת","מיקוד בשטף הקריאה ובכישורי שפה","מיקוד בשטף קריאה"),IF($AA104="ניכרת","מיקוד בכישורי שפה",IF(AND($L104="תקינה",$Z104="מפותחת"),"קוראים וכותבים מיומנים","מיקוד בהבנה והבעה"))))))</f>
        <v/>
      </c>
      <c r="AC104" s="32">
        <f>IF(OR($AB104="",LEFT($AB104,1)="—"),"",IF(OR($AB104="מיקוד בשטף קריאה",$AB104="מיקוד בשטף הקריאה ובכישורי שפה"),"רמה א'",IF($AB104="קוראים וכותבים מיומנים","רמה ג'","רמה ב'")))</f>
        <v/>
      </c>
      <c r="AD104" s="32">
        <f>IF($AC104="","",MID(IF(AND($AC104="רמה א'",$AA104="ניכרת"),"; להוסיף עבודת אוצר מילים","")&amp;IF($Z104="אינה מפותחת","; דגש על הבעה בכתב","")&amp;IF($K104&lt;&gt;"תקין","; נדרש לעבוד על ההנגנה","")&amp;IF($AK104&lt;&gt;"","; "&amp;$AK104,""),3,400))</f>
        <v/>
      </c>
      <c r="AE104" s="32">
        <f>IF($F104="","",IF($F104="תחילת שנה",1,IF($F104="מחצית שנה",2,3)))</f>
        <v/>
      </c>
      <c r="AF104" s="32">
        <f>IF(OR($B104="",$AC104="",$A104="",$F104=""),"",$B104&amp;"|"&amp;$A104&amp;"|"&amp;$F104&amp;"|"&amp;$AC104&amp;"|"&amp;COUNTIFS($B$6:$B104,$B104,$A$6:$A104,$A104,$F$6:$F104,$F104,$AC$6:$AC104,$AC104))</f>
        <v/>
      </c>
      <c r="AG104" s="32">
        <f>IF($C104="","",$C104&amp;"|"&amp;COUNTIFS($C$6:$C104,$C104))</f>
        <v/>
      </c>
      <c r="AH104" s="32">
        <f>IF(OR($C104="",$A104="",$AE104=""),"",$C104&amp;"|"&amp;$A104&amp;"|"&amp;$AE104)</f>
        <v/>
      </c>
      <c r="AI104" s="32">
        <f>IF(OR($C104="",$AE104="",$AE104=1),"",IFERROR(INDEX($AC$6:$AC$1505,MATCH($C104&amp;"|"&amp;$A104&amp;"|"&amp;($AE104-1),$AH$6:$AH$1505,0)),""))</f>
        <v/>
      </c>
      <c r="AJ104" s="32">
        <f>IF(OR($AI104="",$AC104=""),"",IF($AI104=$AC104,"ללא שינוי","מ-"&amp;$AI104&amp;" ל-"&amp;$AC104))</f>
        <v/>
      </c>
      <c r="AK104" s="67" t="n"/>
    </row>
    <row r="105" ht="15.75" customHeight="1" s="58">
      <c r="A105" s="65" t="n"/>
      <c r="B105" s="65" t="n"/>
      <c r="C105" s="66" t="n"/>
      <c r="D105" s="66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65" t="n"/>
      <c r="R105" s="65" t="n"/>
      <c r="S105" s="65" t="n"/>
      <c r="T105" s="65" t="n"/>
      <c r="U105" s="65" t="n"/>
      <c r="V105" s="65" t="n"/>
      <c r="W105" s="65" t="n"/>
      <c r="X105" s="65" t="n"/>
      <c r="Y105" s="32">
        <f>IF($C105="","",IF(COUNTA($I105:$K105)&lt;3,"— חסרים נתונים",IF(AND($I105="תקין",$J105="תקין",$K105="תקין"),"רהוטה",IF(AND($I105="תקין",$J105="תקין"),"מדויקת ורציפה","אינה מדויקת או מקוטעת"))))</f>
        <v/>
      </c>
      <c r="Z105" s="32">
        <f>IF($C105="","",IF(COUNTA($U105:$W105)&lt;3,"",IF(AND($U105="מפותח",$V105="מפותח",$W105="מפותחת"),"מפותחת",IF((--($U105="דל"))+(--($V105="אינו מפותח"))+(--($W105="דלה"))&gt;=2,"אינה מפותחת","חלקית"))))</f>
        <v/>
      </c>
      <c r="AA105" s="32">
        <f>IF($C105="","",IF(COUNTA($M105,$N105,$O105)&lt;3,"— חסרים נתונים",IF(OR($M105="נמוכה",(--($M105&lt;&gt;"תקינה"))+(--($N105&lt;&gt;"תקין"))+(--($O105&lt;&gt;"תקינה"))&gt;=2),"ניכרת","אינה ניכרת")))</f>
        <v/>
      </c>
      <c r="AB105" s="32">
        <f>IF(OR($C105="",$Y105="",$AA105="",LEFT($Y105,1)="—",LEFT($AA105,1)="—"),"",IF($Z105="","— נדרשת הערכת כתיבה",IF($L105="","— חסרה הבנת הנקרא",IF($Y105="אינה מדויקת או מקוטעת",IF($AA105="ניכרת","מיקוד בשטף הקריאה ובכישורי שפה","מיקוד בשטף קריאה"),IF($AA105="ניכרת","מיקוד בכישורי שפה",IF(AND($L105="תקינה",$Z105="מפותחת"),"קוראים וכותבים מיומנים","מיקוד בהבנה והבעה"))))))</f>
        <v/>
      </c>
      <c r="AC105" s="32">
        <f>IF(OR($AB105="",LEFT($AB105,1)="—"),"",IF(OR($AB105="מיקוד בשטף קריאה",$AB105="מיקוד בשטף הקריאה ובכישורי שפה"),"רמה א'",IF($AB105="קוראים וכותבים מיומנים","רמה ג'","רמה ב'")))</f>
        <v/>
      </c>
      <c r="AD105" s="32">
        <f>IF($AC105="","",MID(IF(AND($AC105="רמה א'",$AA105="ניכרת"),"; להוסיף עבודת אוצר מילים","")&amp;IF($Z105="אינה מפותחת","; דגש על הבעה בכתב","")&amp;IF($K105&lt;&gt;"תקין","; נדרש לעבוד על ההנגנה","")&amp;IF($AK105&lt;&gt;"","; "&amp;$AK105,""),3,400))</f>
        <v/>
      </c>
      <c r="AE105" s="32">
        <f>IF($F105="","",IF($F105="תחילת שנה",1,IF($F105="מחצית שנה",2,3)))</f>
        <v/>
      </c>
      <c r="AF105" s="32">
        <f>IF(OR($B105="",$AC105="",$A105="",$F105=""),"",$B105&amp;"|"&amp;$A105&amp;"|"&amp;$F105&amp;"|"&amp;$AC105&amp;"|"&amp;COUNTIFS($B$6:$B105,$B105,$A$6:$A105,$A105,$F$6:$F105,$F105,$AC$6:$AC105,$AC105))</f>
        <v/>
      </c>
      <c r="AG105" s="32">
        <f>IF($C105="","",$C105&amp;"|"&amp;COUNTIFS($C$6:$C105,$C105))</f>
        <v/>
      </c>
      <c r="AH105" s="32">
        <f>IF(OR($C105="",$A105="",$AE105=""),"",$C105&amp;"|"&amp;$A105&amp;"|"&amp;$AE105)</f>
        <v/>
      </c>
      <c r="AI105" s="32">
        <f>IF(OR($C105="",$AE105="",$AE105=1),"",IFERROR(INDEX($AC$6:$AC$1505,MATCH($C105&amp;"|"&amp;$A105&amp;"|"&amp;($AE105-1),$AH$6:$AH$1505,0)),""))</f>
        <v/>
      </c>
      <c r="AJ105" s="32">
        <f>IF(OR($AI105="",$AC105=""),"",IF($AI105=$AC105,"ללא שינוי","מ-"&amp;$AI105&amp;" ל-"&amp;$AC105))</f>
        <v/>
      </c>
      <c r="AK105" s="67" t="n"/>
    </row>
    <row r="106" ht="15.75" customHeight="1" s="58">
      <c r="A106" s="65" t="n"/>
      <c r="B106" s="65" t="n"/>
      <c r="C106" s="66" t="n"/>
      <c r="D106" s="66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65" t="n"/>
      <c r="R106" s="65" t="n"/>
      <c r="S106" s="65" t="n"/>
      <c r="T106" s="65" t="n"/>
      <c r="U106" s="65" t="n"/>
      <c r="V106" s="65" t="n"/>
      <c r="W106" s="65" t="n"/>
      <c r="X106" s="65" t="n"/>
      <c r="Y106" s="32">
        <f>IF($C106="","",IF(COUNTA($I106:$K106)&lt;3,"— חסרים נתונים",IF(AND($I106="תקין",$J106="תקין",$K106="תקין"),"רהוטה",IF(AND($I106="תקין",$J106="תקין"),"מדויקת ורציפה","אינה מדויקת או מקוטעת"))))</f>
        <v/>
      </c>
      <c r="Z106" s="32">
        <f>IF($C106="","",IF(COUNTA($U106:$W106)&lt;3,"",IF(AND($U106="מפותח",$V106="מפותח",$W106="מפותחת"),"מפותחת",IF((--($U106="דל"))+(--($V106="אינו מפותח"))+(--($W106="דלה"))&gt;=2,"אינה מפותחת","חלקית"))))</f>
        <v/>
      </c>
      <c r="AA106" s="32">
        <f>IF($C106="","",IF(COUNTA($M106,$N106,$O106)&lt;3,"— חסרים נתונים",IF(OR($M106="נמוכה",(--($M106&lt;&gt;"תקינה"))+(--($N106&lt;&gt;"תקין"))+(--($O106&lt;&gt;"תקינה"))&gt;=2),"ניכרת","אינה ניכרת")))</f>
        <v/>
      </c>
      <c r="AB106" s="32">
        <f>IF(OR($C106="",$Y106="",$AA106="",LEFT($Y106,1)="—",LEFT($AA106,1)="—"),"",IF($Z106="","— נדרשת הערכת כתיבה",IF($L106="","— חסרה הבנת הנקרא",IF($Y106="אינה מדויקת או מקוטעת",IF($AA106="ניכרת","מיקוד בשטף הקריאה ובכישורי שפה","מיקוד בשטף קריאה"),IF($AA106="ניכרת","מיקוד בכישורי שפה",IF(AND($L106="תקינה",$Z106="מפותחת"),"קוראים וכותבים מיומנים","מיקוד בהבנה והבעה"))))))</f>
        <v/>
      </c>
      <c r="AC106" s="32">
        <f>IF(OR($AB106="",LEFT($AB106,1)="—"),"",IF(OR($AB106="מיקוד בשטף קריאה",$AB106="מיקוד בשטף הקריאה ובכישורי שפה"),"רמה א'",IF($AB106="קוראים וכותבים מיומנים","רמה ג'","רמה ב'")))</f>
        <v/>
      </c>
      <c r="AD106" s="32">
        <f>IF($AC106="","",MID(IF(AND($AC106="רמה א'",$AA106="ניכרת"),"; להוסיף עבודת אוצר מילים","")&amp;IF($Z106="אינה מפותחת","; דגש על הבעה בכתב","")&amp;IF($K106&lt;&gt;"תקין","; נדרש לעבוד על ההנגנה","")&amp;IF($AK106&lt;&gt;"","; "&amp;$AK106,""),3,400))</f>
        <v/>
      </c>
      <c r="AE106" s="32">
        <f>IF($F106="","",IF($F106="תחילת שנה",1,IF($F106="מחצית שנה",2,3)))</f>
        <v/>
      </c>
      <c r="AF106" s="32">
        <f>IF(OR($B106="",$AC106="",$A106="",$F106=""),"",$B106&amp;"|"&amp;$A106&amp;"|"&amp;$F106&amp;"|"&amp;$AC106&amp;"|"&amp;COUNTIFS($B$6:$B106,$B106,$A$6:$A106,$A106,$F$6:$F106,$F106,$AC$6:$AC106,$AC106))</f>
        <v/>
      </c>
      <c r="AG106" s="32">
        <f>IF($C106="","",$C106&amp;"|"&amp;COUNTIFS($C$6:$C106,$C106))</f>
        <v/>
      </c>
      <c r="AH106" s="32">
        <f>IF(OR($C106="",$A106="",$AE106=""),"",$C106&amp;"|"&amp;$A106&amp;"|"&amp;$AE106)</f>
        <v/>
      </c>
      <c r="AI106" s="32">
        <f>IF(OR($C106="",$AE106="",$AE106=1),"",IFERROR(INDEX($AC$6:$AC$1505,MATCH($C106&amp;"|"&amp;$A106&amp;"|"&amp;($AE106-1),$AH$6:$AH$1505,0)),""))</f>
        <v/>
      </c>
      <c r="AJ106" s="32">
        <f>IF(OR($AI106="",$AC106=""),"",IF($AI106=$AC106,"ללא שינוי","מ-"&amp;$AI106&amp;" ל-"&amp;$AC106))</f>
        <v/>
      </c>
      <c r="AK106" s="67" t="n"/>
    </row>
    <row r="107" ht="15.75" customHeight="1" s="58">
      <c r="A107" s="65" t="n"/>
      <c r="B107" s="65" t="n"/>
      <c r="C107" s="66" t="n"/>
      <c r="D107" s="66" t="n"/>
      <c r="E107" s="65" t="n"/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65" t="n"/>
      <c r="R107" s="65" t="n"/>
      <c r="S107" s="65" t="n"/>
      <c r="T107" s="65" t="n"/>
      <c r="U107" s="65" t="n"/>
      <c r="V107" s="65" t="n"/>
      <c r="W107" s="65" t="n"/>
      <c r="X107" s="65" t="n"/>
      <c r="Y107" s="32">
        <f>IF($C107="","",IF(COUNTA($I107:$K107)&lt;3,"— חסרים נתונים",IF(AND($I107="תקין",$J107="תקין",$K107="תקין"),"רהוטה",IF(AND($I107="תקין",$J107="תקין"),"מדויקת ורציפה","אינה מדויקת או מקוטעת"))))</f>
        <v/>
      </c>
      <c r="Z107" s="32">
        <f>IF($C107="","",IF(COUNTA($U107:$W107)&lt;3,"",IF(AND($U107="מפותח",$V107="מפותח",$W107="מפותחת"),"מפותחת",IF((--($U107="דל"))+(--($V107="אינו מפותח"))+(--($W107="דלה"))&gt;=2,"אינה מפותחת","חלקית"))))</f>
        <v/>
      </c>
      <c r="AA107" s="32">
        <f>IF($C107="","",IF(COUNTA($M107,$N107,$O107)&lt;3,"— חסרים נתונים",IF(OR($M107="נמוכה",(--($M107&lt;&gt;"תקינה"))+(--($N107&lt;&gt;"תקין"))+(--($O107&lt;&gt;"תקינה"))&gt;=2),"ניכרת","אינה ניכרת")))</f>
        <v/>
      </c>
      <c r="AB107" s="32">
        <f>IF(OR($C107="",$Y107="",$AA107="",LEFT($Y107,1)="—",LEFT($AA107,1)="—"),"",IF($Z107="","— נדרשת הערכת כתיבה",IF($L107="","— חסרה הבנת הנקרא",IF($Y107="אינה מדויקת או מקוטעת",IF($AA107="ניכרת","מיקוד בשטף הקריאה ובכישורי שפה","מיקוד בשטף קריאה"),IF($AA107="ניכרת","מיקוד בכישורי שפה",IF(AND($L107="תקינה",$Z107="מפותחת"),"קוראים וכותבים מיומנים","מיקוד בהבנה והבעה"))))))</f>
        <v/>
      </c>
      <c r="AC107" s="32">
        <f>IF(OR($AB107="",LEFT($AB107,1)="—"),"",IF(OR($AB107="מיקוד בשטף קריאה",$AB107="מיקוד בשטף הקריאה ובכישורי שפה"),"רמה א'",IF($AB107="קוראים וכותבים מיומנים","רמה ג'","רמה ב'")))</f>
        <v/>
      </c>
      <c r="AD107" s="32">
        <f>IF($AC107="","",MID(IF(AND($AC107="רמה א'",$AA107="ניכרת"),"; להוסיף עבודת אוצר מילים","")&amp;IF($Z107="אינה מפותחת","; דגש על הבעה בכתב","")&amp;IF($K107&lt;&gt;"תקין","; נדרש לעבוד על ההנגנה","")&amp;IF($AK107&lt;&gt;"","; "&amp;$AK107,""),3,400))</f>
        <v/>
      </c>
      <c r="AE107" s="32">
        <f>IF($F107="","",IF($F107="תחילת שנה",1,IF($F107="מחצית שנה",2,3)))</f>
        <v/>
      </c>
      <c r="AF107" s="32">
        <f>IF(OR($B107="",$AC107="",$A107="",$F107=""),"",$B107&amp;"|"&amp;$A107&amp;"|"&amp;$F107&amp;"|"&amp;$AC107&amp;"|"&amp;COUNTIFS($B$6:$B107,$B107,$A$6:$A107,$A107,$F$6:$F107,$F107,$AC$6:$AC107,$AC107))</f>
        <v/>
      </c>
      <c r="AG107" s="32">
        <f>IF($C107="","",$C107&amp;"|"&amp;COUNTIFS($C$6:$C107,$C107))</f>
        <v/>
      </c>
      <c r="AH107" s="32">
        <f>IF(OR($C107="",$A107="",$AE107=""),"",$C107&amp;"|"&amp;$A107&amp;"|"&amp;$AE107)</f>
        <v/>
      </c>
      <c r="AI107" s="32">
        <f>IF(OR($C107="",$AE107="",$AE107=1),"",IFERROR(INDEX($AC$6:$AC$1505,MATCH($C107&amp;"|"&amp;$A107&amp;"|"&amp;($AE107-1),$AH$6:$AH$1505,0)),""))</f>
        <v/>
      </c>
      <c r="AJ107" s="32">
        <f>IF(OR($AI107="",$AC107=""),"",IF($AI107=$AC107,"ללא שינוי","מ-"&amp;$AI107&amp;" ל-"&amp;$AC107))</f>
        <v/>
      </c>
      <c r="AK107" s="67" t="n"/>
    </row>
    <row r="108" ht="15.75" customHeight="1" s="58">
      <c r="A108" s="65" t="n"/>
      <c r="B108" s="65" t="n"/>
      <c r="C108" s="66" t="n"/>
      <c r="D108" s="66" t="n"/>
      <c r="E108" s="65" t="n"/>
      <c r="F108" s="65" t="n"/>
      <c r="G108" s="65" t="n"/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65" t="n"/>
      <c r="U108" s="65" t="n"/>
      <c r="V108" s="65" t="n"/>
      <c r="W108" s="65" t="n"/>
      <c r="X108" s="65" t="n"/>
      <c r="Y108" s="32">
        <f>IF($C108="","",IF(COUNTA($I108:$K108)&lt;3,"— חסרים נתונים",IF(AND($I108="תקין",$J108="תקין",$K108="תקין"),"רהוטה",IF(AND($I108="תקין",$J108="תקין"),"מדויקת ורציפה","אינה מדויקת או מקוטעת"))))</f>
        <v/>
      </c>
      <c r="Z108" s="32">
        <f>IF($C108="","",IF(COUNTA($U108:$W108)&lt;3,"",IF(AND($U108="מפותח",$V108="מפותח",$W108="מפותחת"),"מפותחת",IF((--($U108="דל"))+(--($V108="אינו מפותח"))+(--($W108="דלה"))&gt;=2,"אינה מפותחת","חלקית"))))</f>
        <v/>
      </c>
      <c r="AA108" s="32">
        <f>IF($C108="","",IF(COUNTA($M108,$N108,$O108)&lt;3,"— חסרים נתונים",IF(OR($M108="נמוכה",(--($M108&lt;&gt;"תקינה"))+(--($N108&lt;&gt;"תקין"))+(--($O108&lt;&gt;"תקינה"))&gt;=2),"ניכרת","אינה ניכרת")))</f>
        <v/>
      </c>
      <c r="AB108" s="32">
        <f>IF(OR($C108="",$Y108="",$AA108="",LEFT($Y108,1)="—",LEFT($AA108,1)="—"),"",IF($Z108="","— נדרשת הערכת כתיבה",IF($L108="","— חסרה הבנת הנקרא",IF($Y108="אינה מדויקת או מקוטעת",IF($AA108="ניכרת","מיקוד בשטף הקריאה ובכישורי שפה","מיקוד בשטף קריאה"),IF($AA108="ניכרת","מיקוד בכישורי שפה",IF(AND($L108="תקינה",$Z108="מפותחת"),"קוראים וכותבים מיומנים","מיקוד בהבנה והבעה"))))))</f>
        <v/>
      </c>
      <c r="AC108" s="32">
        <f>IF(OR($AB108="",LEFT($AB108,1)="—"),"",IF(OR($AB108="מיקוד בשטף קריאה",$AB108="מיקוד בשטף הקריאה ובכישורי שפה"),"רמה א'",IF($AB108="קוראים וכותבים מיומנים","רמה ג'","רמה ב'")))</f>
        <v/>
      </c>
      <c r="AD108" s="32">
        <f>IF($AC108="","",MID(IF(AND($AC108="רמה א'",$AA108="ניכרת"),"; להוסיף עבודת אוצר מילים","")&amp;IF($Z108="אינה מפותחת","; דגש על הבעה בכתב","")&amp;IF($K108&lt;&gt;"תקין","; נדרש לעבוד על ההנגנה","")&amp;IF($AK108&lt;&gt;"","; "&amp;$AK108,""),3,400))</f>
        <v/>
      </c>
      <c r="AE108" s="32">
        <f>IF($F108="","",IF($F108="תחילת שנה",1,IF($F108="מחצית שנה",2,3)))</f>
        <v/>
      </c>
      <c r="AF108" s="32">
        <f>IF(OR($B108="",$AC108="",$A108="",$F108=""),"",$B108&amp;"|"&amp;$A108&amp;"|"&amp;$F108&amp;"|"&amp;$AC108&amp;"|"&amp;COUNTIFS($B$6:$B108,$B108,$A$6:$A108,$A108,$F$6:$F108,$F108,$AC$6:$AC108,$AC108))</f>
        <v/>
      </c>
      <c r="AG108" s="32">
        <f>IF($C108="","",$C108&amp;"|"&amp;COUNTIFS($C$6:$C108,$C108))</f>
        <v/>
      </c>
      <c r="AH108" s="32">
        <f>IF(OR($C108="",$A108="",$AE108=""),"",$C108&amp;"|"&amp;$A108&amp;"|"&amp;$AE108)</f>
        <v/>
      </c>
      <c r="AI108" s="32">
        <f>IF(OR($C108="",$AE108="",$AE108=1),"",IFERROR(INDEX($AC$6:$AC$1505,MATCH($C108&amp;"|"&amp;$A108&amp;"|"&amp;($AE108-1),$AH$6:$AH$1505,0)),""))</f>
        <v/>
      </c>
      <c r="AJ108" s="32">
        <f>IF(OR($AI108="",$AC108=""),"",IF($AI108=$AC108,"ללא שינוי","מ-"&amp;$AI108&amp;" ל-"&amp;$AC108))</f>
        <v/>
      </c>
      <c r="AK108" s="67" t="n"/>
    </row>
    <row r="109" ht="15.75" customHeight="1" s="58">
      <c r="A109" s="65" t="n"/>
      <c r="B109" s="65" t="n"/>
      <c r="C109" s="66" t="n"/>
      <c r="D109" s="66" t="n"/>
      <c r="E109" s="65" t="n"/>
      <c r="F109" s="65" t="n"/>
      <c r="G109" s="65" t="n"/>
      <c r="H109" s="65" t="n"/>
      <c r="I109" s="65" t="n"/>
      <c r="J109" s="65" t="n"/>
      <c r="K109" s="65" t="n"/>
      <c r="L109" s="65" t="n"/>
      <c r="M109" s="65" t="n"/>
      <c r="N109" s="65" t="n"/>
      <c r="O109" s="65" t="n"/>
      <c r="P109" s="65" t="n"/>
      <c r="Q109" s="65" t="n"/>
      <c r="R109" s="65" t="n"/>
      <c r="S109" s="65" t="n"/>
      <c r="T109" s="65" t="n"/>
      <c r="U109" s="65" t="n"/>
      <c r="V109" s="65" t="n"/>
      <c r="W109" s="65" t="n"/>
      <c r="X109" s="65" t="n"/>
      <c r="Y109" s="32">
        <f>IF($C109="","",IF(COUNTA($I109:$K109)&lt;3,"— חסרים נתונים",IF(AND($I109="תקין",$J109="תקין",$K109="תקין"),"רהוטה",IF(AND($I109="תקין",$J109="תקין"),"מדויקת ורציפה","אינה מדויקת או מקוטעת"))))</f>
        <v/>
      </c>
      <c r="Z109" s="32">
        <f>IF($C109="","",IF(COUNTA($U109:$W109)&lt;3,"",IF(AND($U109="מפותח",$V109="מפותח",$W109="מפותחת"),"מפותחת",IF((--($U109="דל"))+(--($V109="אינו מפותח"))+(--($W109="דלה"))&gt;=2,"אינה מפותחת","חלקית"))))</f>
        <v/>
      </c>
      <c r="AA109" s="32">
        <f>IF($C109="","",IF(COUNTA($M109,$N109,$O109)&lt;3,"— חסרים נתונים",IF(OR($M109="נמוכה",(--($M109&lt;&gt;"תקינה"))+(--($N109&lt;&gt;"תקין"))+(--($O109&lt;&gt;"תקינה"))&gt;=2),"ניכרת","אינה ניכרת")))</f>
        <v/>
      </c>
      <c r="AB109" s="32">
        <f>IF(OR($C109="",$Y109="",$AA109="",LEFT($Y109,1)="—",LEFT($AA109,1)="—"),"",IF($Z109="","— נדרשת הערכת כתיבה",IF($L109="","— חסרה הבנת הנקרא",IF($Y109="אינה מדויקת או מקוטעת",IF($AA109="ניכרת","מיקוד בשטף הקריאה ובכישורי שפה","מיקוד בשטף קריאה"),IF($AA109="ניכרת","מיקוד בכישורי שפה",IF(AND($L109="תקינה",$Z109="מפותחת"),"קוראים וכותבים מיומנים","מיקוד בהבנה והבעה"))))))</f>
        <v/>
      </c>
      <c r="AC109" s="32">
        <f>IF(OR($AB109="",LEFT($AB109,1)="—"),"",IF(OR($AB109="מיקוד בשטף קריאה",$AB109="מיקוד בשטף הקריאה ובכישורי שפה"),"רמה א'",IF($AB109="קוראים וכותבים מיומנים","רמה ג'","רמה ב'")))</f>
        <v/>
      </c>
      <c r="AD109" s="32">
        <f>IF($AC109="","",MID(IF(AND($AC109="רמה א'",$AA109="ניכרת"),"; להוסיף עבודת אוצר מילים","")&amp;IF($Z109="אינה מפותחת","; דגש על הבעה בכתב","")&amp;IF($K109&lt;&gt;"תקין","; נדרש לעבוד על ההנגנה","")&amp;IF($AK109&lt;&gt;"","; "&amp;$AK109,""),3,400))</f>
        <v/>
      </c>
      <c r="AE109" s="32">
        <f>IF($F109="","",IF($F109="תחילת שנה",1,IF($F109="מחצית שנה",2,3)))</f>
        <v/>
      </c>
      <c r="AF109" s="32">
        <f>IF(OR($B109="",$AC109="",$A109="",$F109=""),"",$B109&amp;"|"&amp;$A109&amp;"|"&amp;$F109&amp;"|"&amp;$AC109&amp;"|"&amp;COUNTIFS($B$6:$B109,$B109,$A$6:$A109,$A109,$F$6:$F109,$F109,$AC$6:$AC109,$AC109))</f>
        <v/>
      </c>
      <c r="AG109" s="32">
        <f>IF($C109="","",$C109&amp;"|"&amp;COUNTIFS($C$6:$C109,$C109))</f>
        <v/>
      </c>
      <c r="AH109" s="32">
        <f>IF(OR($C109="",$A109="",$AE109=""),"",$C109&amp;"|"&amp;$A109&amp;"|"&amp;$AE109)</f>
        <v/>
      </c>
      <c r="AI109" s="32">
        <f>IF(OR($C109="",$AE109="",$AE109=1),"",IFERROR(INDEX($AC$6:$AC$1505,MATCH($C109&amp;"|"&amp;$A109&amp;"|"&amp;($AE109-1),$AH$6:$AH$1505,0)),""))</f>
        <v/>
      </c>
      <c r="AJ109" s="32">
        <f>IF(OR($AI109="",$AC109=""),"",IF($AI109=$AC109,"ללא שינוי","מ-"&amp;$AI109&amp;" ל-"&amp;$AC109))</f>
        <v/>
      </c>
      <c r="AK109" s="67" t="n"/>
    </row>
    <row r="110" ht="15.75" customHeight="1" s="58">
      <c r="A110" s="65" t="n"/>
      <c r="B110" s="65" t="n"/>
      <c r="C110" s="66" t="n"/>
      <c r="D110" s="66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5" t="n"/>
      <c r="X110" s="65" t="n"/>
      <c r="Y110" s="32">
        <f>IF($C110="","",IF(COUNTA($I110:$K110)&lt;3,"— חסרים נתונים",IF(AND($I110="תקין",$J110="תקין",$K110="תקין"),"רהוטה",IF(AND($I110="תקין",$J110="תקין"),"מדויקת ורציפה","אינה מדויקת או מקוטעת"))))</f>
        <v/>
      </c>
      <c r="Z110" s="32">
        <f>IF($C110="","",IF(COUNTA($U110:$W110)&lt;3,"",IF(AND($U110="מפותח",$V110="מפותח",$W110="מפותחת"),"מפותחת",IF((--($U110="דל"))+(--($V110="אינו מפותח"))+(--($W110="דלה"))&gt;=2,"אינה מפותחת","חלקית"))))</f>
        <v/>
      </c>
      <c r="AA110" s="32">
        <f>IF($C110="","",IF(COUNTA($M110,$N110,$O110)&lt;3,"— חסרים נתונים",IF(OR($M110="נמוכה",(--($M110&lt;&gt;"תקינה"))+(--($N110&lt;&gt;"תקין"))+(--($O110&lt;&gt;"תקינה"))&gt;=2),"ניכרת","אינה ניכרת")))</f>
        <v/>
      </c>
      <c r="AB110" s="32">
        <f>IF(OR($C110="",$Y110="",$AA110="",LEFT($Y110,1)="—",LEFT($AA110,1)="—"),"",IF($Z110="","— נדרשת הערכת כתיבה",IF($L110="","— חסרה הבנת הנקרא",IF($Y110="אינה מדויקת או מקוטעת",IF($AA110="ניכרת","מיקוד בשטף הקריאה ובכישורי שפה","מיקוד בשטף קריאה"),IF($AA110="ניכרת","מיקוד בכישורי שפה",IF(AND($L110="תקינה",$Z110="מפותחת"),"קוראים וכותבים מיומנים","מיקוד בהבנה והבעה"))))))</f>
        <v/>
      </c>
      <c r="AC110" s="32">
        <f>IF(OR($AB110="",LEFT($AB110,1)="—"),"",IF(OR($AB110="מיקוד בשטף קריאה",$AB110="מיקוד בשטף הקריאה ובכישורי שפה"),"רמה א'",IF($AB110="קוראים וכותבים מיומנים","רמה ג'","רמה ב'")))</f>
        <v/>
      </c>
      <c r="AD110" s="32">
        <f>IF($AC110="","",MID(IF(AND($AC110="רמה א'",$AA110="ניכרת"),"; להוסיף עבודת אוצר מילים","")&amp;IF($Z110="אינה מפותחת","; דגש על הבעה בכתב","")&amp;IF($K110&lt;&gt;"תקין","; נדרש לעבוד על ההנגנה","")&amp;IF($AK110&lt;&gt;"","; "&amp;$AK110,""),3,400))</f>
        <v/>
      </c>
      <c r="AE110" s="32">
        <f>IF($F110="","",IF($F110="תחילת שנה",1,IF($F110="מחצית שנה",2,3)))</f>
        <v/>
      </c>
      <c r="AF110" s="32">
        <f>IF(OR($B110="",$AC110="",$A110="",$F110=""),"",$B110&amp;"|"&amp;$A110&amp;"|"&amp;$F110&amp;"|"&amp;$AC110&amp;"|"&amp;COUNTIFS($B$6:$B110,$B110,$A$6:$A110,$A110,$F$6:$F110,$F110,$AC$6:$AC110,$AC110))</f>
        <v/>
      </c>
      <c r="AG110" s="32">
        <f>IF($C110="","",$C110&amp;"|"&amp;COUNTIFS($C$6:$C110,$C110))</f>
        <v/>
      </c>
      <c r="AH110" s="32">
        <f>IF(OR($C110="",$A110="",$AE110=""),"",$C110&amp;"|"&amp;$A110&amp;"|"&amp;$AE110)</f>
        <v/>
      </c>
      <c r="AI110" s="32">
        <f>IF(OR($C110="",$AE110="",$AE110=1),"",IFERROR(INDEX($AC$6:$AC$1505,MATCH($C110&amp;"|"&amp;$A110&amp;"|"&amp;($AE110-1),$AH$6:$AH$1505,0)),""))</f>
        <v/>
      </c>
      <c r="AJ110" s="32">
        <f>IF(OR($AI110="",$AC110=""),"",IF($AI110=$AC110,"ללא שינוי","מ-"&amp;$AI110&amp;" ל-"&amp;$AC110))</f>
        <v/>
      </c>
      <c r="AK110" s="67" t="n"/>
    </row>
    <row r="111" ht="15.75" customHeight="1" s="58">
      <c r="A111" s="65" t="n"/>
      <c r="B111" s="65" t="n"/>
      <c r="C111" s="66" t="n"/>
      <c r="D111" s="66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65" t="n"/>
      <c r="R111" s="65" t="n"/>
      <c r="S111" s="65" t="n"/>
      <c r="T111" s="65" t="n"/>
      <c r="U111" s="65" t="n"/>
      <c r="V111" s="65" t="n"/>
      <c r="W111" s="65" t="n"/>
      <c r="X111" s="65" t="n"/>
      <c r="Y111" s="32">
        <f>IF($C111="","",IF(COUNTA($I111:$K111)&lt;3,"— חסרים נתונים",IF(AND($I111="תקין",$J111="תקין",$K111="תקין"),"רהוטה",IF(AND($I111="תקין",$J111="תקין"),"מדויקת ורציפה","אינה מדויקת או מקוטעת"))))</f>
        <v/>
      </c>
      <c r="Z111" s="32">
        <f>IF($C111="","",IF(COUNTA($U111:$W111)&lt;3,"",IF(AND($U111="מפותח",$V111="מפותח",$W111="מפותחת"),"מפותחת",IF((--($U111="דל"))+(--($V111="אינו מפותח"))+(--($W111="דלה"))&gt;=2,"אינה מפותחת","חלקית"))))</f>
        <v/>
      </c>
      <c r="AA111" s="32">
        <f>IF($C111="","",IF(COUNTA($M111,$N111,$O111)&lt;3,"— חסרים נתונים",IF(OR($M111="נמוכה",(--($M111&lt;&gt;"תקינה"))+(--($N111&lt;&gt;"תקין"))+(--($O111&lt;&gt;"תקינה"))&gt;=2),"ניכרת","אינה ניכרת")))</f>
        <v/>
      </c>
      <c r="AB111" s="32">
        <f>IF(OR($C111="",$Y111="",$AA111="",LEFT($Y111,1)="—",LEFT($AA111,1)="—"),"",IF($Z111="","— נדרשת הערכת כתיבה",IF($L111="","— חסרה הבנת הנקרא",IF($Y111="אינה מדויקת או מקוטעת",IF($AA111="ניכרת","מיקוד בשטף הקריאה ובכישורי שפה","מיקוד בשטף קריאה"),IF($AA111="ניכרת","מיקוד בכישורי שפה",IF(AND($L111="תקינה",$Z111="מפותחת"),"קוראים וכותבים מיומנים","מיקוד בהבנה והבעה"))))))</f>
        <v/>
      </c>
      <c r="AC111" s="32">
        <f>IF(OR($AB111="",LEFT($AB111,1)="—"),"",IF(OR($AB111="מיקוד בשטף קריאה",$AB111="מיקוד בשטף הקריאה ובכישורי שפה"),"רמה א'",IF($AB111="קוראים וכותבים מיומנים","רמה ג'","רמה ב'")))</f>
        <v/>
      </c>
      <c r="AD111" s="32">
        <f>IF($AC111="","",MID(IF(AND($AC111="רמה א'",$AA111="ניכרת"),"; להוסיף עבודת אוצר מילים","")&amp;IF($Z111="אינה מפותחת","; דגש על הבעה בכתב","")&amp;IF($K111&lt;&gt;"תקין","; נדרש לעבוד על ההנגנה","")&amp;IF($AK111&lt;&gt;"","; "&amp;$AK111,""),3,400))</f>
        <v/>
      </c>
      <c r="AE111" s="32">
        <f>IF($F111="","",IF($F111="תחילת שנה",1,IF($F111="מחצית שנה",2,3)))</f>
        <v/>
      </c>
      <c r="AF111" s="32">
        <f>IF(OR($B111="",$AC111="",$A111="",$F111=""),"",$B111&amp;"|"&amp;$A111&amp;"|"&amp;$F111&amp;"|"&amp;$AC111&amp;"|"&amp;COUNTIFS($B$6:$B111,$B111,$A$6:$A111,$A111,$F$6:$F111,$F111,$AC$6:$AC111,$AC111))</f>
        <v/>
      </c>
      <c r="AG111" s="32">
        <f>IF($C111="","",$C111&amp;"|"&amp;COUNTIFS($C$6:$C111,$C111))</f>
        <v/>
      </c>
      <c r="AH111" s="32">
        <f>IF(OR($C111="",$A111="",$AE111=""),"",$C111&amp;"|"&amp;$A111&amp;"|"&amp;$AE111)</f>
        <v/>
      </c>
      <c r="AI111" s="32">
        <f>IF(OR($C111="",$AE111="",$AE111=1),"",IFERROR(INDEX($AC$6:$AC$1505,MATCH($C111&amp;"|"&amp;$A111&amp;"|"&amp;($AE111-1),$AH$6:$AH$1505,0)),""))</f>
        <v/>
      </c>
      <c r="AJ111" s="32">
        <f>IF(OR($AI111="",$AC111=""),"",IF($AI111=$AC111,"ללא שינוי","מ-"&amp;$AI111&amp;" ל-"&amp;$AC111))</f>
        <v/>
      </c>
      <c r="AK111" s="67" t="n"/>
    </row>
    <row r="112" ht="15.75" customHeight="1" s="58">
      <c r="A112" s="65" t="n"/>
      <c r="B112" s="65" t="n"/>
      <c r="C112" s="66" t="n"/>
      <c r="D112" s="66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5" t="n"/>
      <c r="X112" s="65" t="n"/>
      <c r="Y112" s="32">
        <f>IF($C112="","",IF(COUNTA($I112:$K112)&lt;3,"— חסרים נתונים",IF(AND($I112="תקין",$J112="תקין",$K112="תקין"),"רהוטה",IF(AND($I112="תקין",$J112="תקין"),"מדויקת ורציפה","אינה מדויקת או מקוטעת"))))</f>
        <v/>
      </c>
      <c r="Z112" s="32">
        <f>IF($C112="","",IF(COUNTA($U112:$W112)&lt;3,"",IF(AND($U112="מפותח",$V112="מפותח",$W112="מפותחת"),"מפותחת",IF((--($U112="דל"))+(--($V112="אינו מפותח"))+(--($W112="דלה"))&gt;=2,"אינה מפותחת","חלקית"))))</f>
        <v/>
      </c>
      <c r="AA112" s="32">
        <f>IF($C112="","",IF(COUNTA($M112,$N112,$O112)&lt;3,"— חסרים נתונים",IF(OR($M112="נמוכה",(--($M112&lt;&gt;"תקינה"))+(--($N112&lt;&gt;"תקין"))+(--($O112&lt;&gt;"תקינה"))&gt;=2),"ניכרת","אינה ניכרת")))</f>
        <v/>
      </c>
      <c r="AB112" s="32">
        <f>IF(OR($C112="",$Y112="",$AA112="",LEFT($Y112,1)="—",LEFT($AA112,1)="—"),"",IF($Z112="","— נדרשת הערכת כתיבה",IF($L112="","— חסרה הבנת הנקרא",IF($Y112="אינה מדויקת או מקוטעת",IF($AA112="ניכרת","מיקוד בשטף הקריאה ובכישורי שפה","מיקוד בשטף קריאה"),IF($AA112="ניכרת","מיקוד בכישורי שפה",IF(AND($L112="תקינה",$Z112="מפותחת"),"קוראים וכותבים מיומנים","מיקוד בהבנה והבעה"))))))</f>
        <v/>
      </c>
      <c r="AC112" s="32">
        <f>IF(OR($AB112="",LEFT($AB112,1)="—"),"",IF(OR($AB112="מיקוד בשטף קריאה",$AB112="מיקוד בשטף הקריאה ובכישורי שפה"),"רמה א'",IF($AB112="קוראים וכותבים מיומנים","רמה ג'","רמה ב'")))</f>
        <v/>
      </c>
      <c r="AD112" s="32">
        <f>IF($AC112="","",MID(IF(AND($AC112="רמה א'",$AA112="ניכרת"),"; להוסיף עבודת אוצר מילים","")&amp;IF($Z112="אינה מפותחת","; דגש על הבעה בכתב","")&amp;IF($K112&lt;&gt;"תקין","; נדרש לעבוד על ההנגנה","")&amp;IF($AK112&lt;&gt;"","; "&amp;$AK112,""),3,400))</f>
        <v/>
      </c>
      <c r="AE112" s="32">
        <f>IF($F112="","",IF($F112="תחילת שנה",1,IF($F112="מחצית שנה",2,3)))</f>
        <v/>
      </c>
      <c r="AF112" s="32">
        <f>IF(OR($B112="",$AC112="",$A112="",$F112=""),"",$B112&amp;"|"&amp;$A112&amp;"|"&amp;$F112&amp;"|"&amp;$AC112&amp;"|"&amp;COUNTIFS($B$6:$B112,$B112,$A$6:$A112,$A112,$F$6:$F112,$F112,$AC$6:$AC112,$AC112))</f>
        <v/>
      </c>
      <c r="AG112" s="32">
        <f>IF($C112="","",$C112&amp;"|"&amp;COUNTIFS($C$6:$C112,$C112))</f>
        <v/>
      </c>
      <c r="AH112" s="32">
        <f>IF(OR($C112="",$A112="",$AE112=""),"",$C112&amp;"|"&amp;$A112&amp;"|"&amp;$AE112)</f>
        <v/>
      </c>
      <c r="AI112" s="32">
        <f>IF(OR($C112="",$AE112="",$AE112=1),"",IFERROR(INDEX($AC$6:$AC$1505,MATCH($C112&amp;"|"&amp;$A112&amp;"|"&amp;($AE112-1),$AH$6:$AH$1505,0)),""))</f>
        <v/>
      </c>
      <c r="AJ112" s="32">
        <f>IF(OR($AI112="",$AC112=""),"",IF($AI112=$AC112,"ללא שינוי","מ-"&amp;$AI112&amp;" ל-"&amp;$AC112))</f>
        <v/>
      </c>
      <c r="AK112" s="67" t="n"/>
    </row>
    <row r="113" ht="15.75" customHeight="1" s="58">
      <c r="A113" s="65" t="n"/>
      <c r="B113" s="65" t="n"/>
      <c r="C113" s="66" t="n"/>
      <c r="D113" s="66" t="n"/>
      <c r="E113" s="65" t="n"/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  <c r="P113" s="65" t="n"/>
      <c r="Q113" s="65" t="n"/>
      <c r="R113" s="65" t="n"/>
      <c r="S113" s="65" t="n"/>
      <c r="T113" s="65" t="n"/>
      <c r="U113" s="65" t="n"/>
      <c r="V113" s="65" t="n"/>
      <c r="W113" s="65" t="n"/>
      <c r="X113" s="65" t="n"/>
      <c r="Y113" s="32">
        <f>IF($C113="","",IF(COUNTA($I113:$K113)&lt;3,"— חסרים נתונים",IF(AND($I113="תקין",$J113="תקין",$K113="תקין"),"רהוטה",IF(AND($I113="תקין",$J113="תקין"),"מדויקת ורציפה","אינה מדויקת או מקוטעת"))))</f>
        <v/>
      </c>
      <c r="Z113" s="32">
        <f>IF($C113="","",IF(COUNTA($U113:$W113)&lt;3,"",IF(AND($U113="מפותח",$V113="מפותח",$W113="מפותחת"),"מפותחת",IF((--($U113="דל"))+(--($V113="אינו מפותח"))+(--($W113="דלה"))&gt;=2,"אינה מפותחת","חלקית"))))</f>
        <v/>
      </c>
      <c r="AA113" s="32">
        <f>IF($C113="","",IF(COUNTA($M113,$N113,$O113)&lt;3,"— חסרים נתונים",IF(OR($M113="נמוכה",(--($M113&lt;&gt;"תקינה"))+(--($N113&lt;&gt;"תקין"))+(--($O113&lt;&gt;"תקינה"))&gt;=2),"ניכרת","אינה ניכרת")))</f>
        <v/>
      </c>
      <c r="AB113" s="32">
        <f>IF(OR($C113="",$Y113="",$AA113="",LEFT($Y113,1)="—",LEFT($AA113,1)="—"),"",IF($Z113="","— נדרשת הערכת כתיבה",IF($L113="","— חסרה הבנת הנקרא",IF($Y113="אינה מדויקת או מקוטעת",IF($AA113="ניכרת","מיקוד בשטף הקריאה ובכישורי שפה","מיקוד בשטף קריאה"),IF($AA113="ניכרת","מיקוד בכישורי שפה",IF(AND($L113="תקינה",$Z113="מפותחת"),"קוראים וכותבים מיומנים","מיקוד בהבנה והבעה"))))))</f>
        <v/>
      </c>
      <c r="AC113" s="32">
        <f>IF(OR($AB113="",LEFT($AB113,1)="—"),"",IF(OR($AB113="מיקוד בשטף קריאה",$AB113="מיקוד בשטף הקריאה ובכישורי שפה"),"רמה א'",IF($AB113="קוראים וכותבים מיומנים","רמה ג'","רמה ב'")))</f>
        <v/>
      </c>
      <c r="AD113" s="32">
        <f>IF($AC113="","",MID(IF(AND($AC113="רמה א'",$AA113="ניכרת"),"; להוסיף עבודת אוצר מילים","")&amp;IF($Z113="אינה מפותחת","; דגש על הבעה בכתב","")&amp;IF($K113&lt;&gt;"תקין","; נדרש לעבוד על ההנגנה","")&amp;IF($AK113&lt;&gt;"","; "&amp;$AK113,""),3,400))</f>
        <v/>
      </c>
      <c r="AE113" s="32">
        <f>IF($F113="","",IF($F113="תחילת שנה",1,IF($F113="מחצית שנה",2,3)))</f>
        <v/>
      </c>
      <c r="AF113" s="32">
        <f>IF(OR($B113="",$AC113="",$A113="",$F113=""),"",$B113&amp;"|"&amp;$A113&amp;"|"&amp;$F113&amp;"|"&amp;$AC113&amp;"|"&amp;COUNTIFS($B$6:$B113,$B113,$A$6:$A113,$A113,$F$6:$F113,$F113,$AC$6:$AC113,$AC113))</f>
        <v/>
      </c>
      <c r="AG113" s="32">
        <f>IF($C113="","",$C113&amp;"|"&amp;COUNTIFS($C$6:$C113,$C113))</f>
        <v/>
      </c>
      <c r="AH113" s="32">
        <f>IF(OR($C113="",$A113="",$AE113=""),"",$C113&amp;"|"&amp;$A113&amp;"|"&amp;$AE113)</f>
        <v/>
      </c>
      <c r="AI113" s="32">
        <f>IF(OR($C113="",$AE113="",$AE113=1),"",IFERROR(INDEX($AC$6:$AC$1505,MATCH($C113&amp;"|"&amp;$A113&amp;"|"&amp;($AE113-1),$AH$6:$AH$1505,0)),""))</f>
        <v/>
      </c>
      <c r="AJ113" s="32">
        <f>IF(OR($AI113="",$AC113=""),"",IF($AI113=$AC113,"ללא שינוי","מ-"&amp;$AI113&amp;" ל-"&amp;$AC113))</f>
        <v/>
      </c>
      <c r="AK113" s="67" t="n"/>
    </row>
    <row r="114" ht="15.75" customHeight="1" s="58">
      <c r="A114" s="65" t="n"/>
      <c r="B114" s="65" t="n"/>
      <c r="C114" s="66" t="n"/>
      <c r="D114" s="66" t="n"/>
      <c r="E114" s="65" t="n"/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  <c r="W114" s="65" t="n"/>
      <c r="X114" s="65" t="n"/>
      <c r="Y114" s="32">
        <f>IF($C114="","",IF(COUNTA($I114:$K114)&lt;3,"— חסרים נתונים",IF(AND($I114="תקין",$J114="תקין",$K114="תקין"),"רהוטה",IF(AND($I114="תקין",$J114="תקין"),"מדויקת ורציפה","אינה מדויקת או מקוטעת"))))</f>
        <v/>
      </c>
      <c r="Z114" s="32">
        <f>IF($C114="","",IF(COUNTA($U114:$W114)&lt;3,"",IF(AND($U114="מפותח",$V114="מפותח",$W114="מפותחת"),"מפותחת",IF((--($U114="דל"))+(--($V114="אינו מפותח"))+(--($W114="דלה"))&gt;=2,"אינה מפותחת","חלקית"))))</f>
        <v/>
      </c>
      <c r="AA114" s="32">
        <f>IF($C114="","",IF(COUNTA($M114,$N114,$O114)&lt;3,"— חסרים נתונים",IF(OR($M114="נמוכה",(--($M114&lt;&gt;"תקינה"))+(--($N114&lt;&gt;"תקין"))+(--($O114&lt;&gt;"תקינה"))&gt;=2),"ניכרת","אינה ניכרת")))</f>
        <v/>
      </c>
      <c r="AB114" s="32">
        <f>IF(OR($C114="",$Y114="",$AA114="",LEFT($Y114,1)="—",LEFT($AA114,1)="—"),"",IF($Z114="","— נדרשת הערכת כתיבה",IF($L114="","— חסרה הבנת הנקרא",IF($Y114="אינה מדויקת או מקוטעת",IF($AA114="ניכרת","מיקוד בשטף הקריאה ובכישורי שפה","מיקוד בשטף קריאה"),IF($AA114="ניכרת","מיקוד בכישורי שפה",IF(AND($L114="תקינה",$Z114="מפותחת"),"קוראים וכותבים מיומנים","מיקוד בהבנה והבעה"))))))</f>
        <v/>
      </c>
      <c r="AC114" s="32">
        <f>IF(OR($AB114="",LEFT($AB114,1)="—"),"",IF(OR($AB114="מיקוד בשטף קריאה",$AB114="מיקוד בשטף הקריאה ובכישורי שפה"),"רמה א'",IF($AB114="קוראים וכותבים מיומנים","רמה ג'","רמה ב'")))</f>
        <v/>
      </c>
      <c r="AD114" s="32">
        <f>IF($AC114="","",MID(IF(AND($AC114="רמה א'",$AA114="ניכרת"),"; להוסיף עבודת אוצר מילים","")&amp;IF($Z114="אינה מפותחת","; דגש על הבעה בכתב","")&amp;IF($K114&lt;&gt;"תקין","; נדרש לעבוד על ההנגנה","")&amp;IF($AK114&lt;&gt;"","; "&amp;$AK114,""),3,400))</f>
        <v/>
      </c>
      <c r="AE114" s="32">
        <f>IF($F114="","",IF($F114="תחילת שנה",1,IF($F114="מחצית שנה",2,3)))</f>
        <v/>
      </c>
      <c r="AF114" s="32">
        <f>IF(OR($B114="",$AC114="",$A114="",$F114=""),"",$B114&amp;"|"&amp;$A114&amp;"|"&amp;$F114&amp;"|"&amp;$AC114&amp;"|"&amp;COUNTIFS($B$6:$B114,$B114,$A$6:$A114,$A114,$F$6:$F114,$F114,$AC$6:$AC114,$AC114))</f>
        <v/>
      </c>
      <c r="AG114" s="32">
        <f>IF($C114="","",$C114&amp;"|"&amp;COUNTIFS($C$6:$C114,$C114))</f>
        <v/>
      </c>
      <c r="AH114" s="32">
        <f>IF(OR($C114="",$A114="",$AE114=""),"",$C114&amp;"|"&amp;$A114&amp;"|"&amp;$AE114)</f>
        <v/>
      </c>
      <c r="AI114" s="32">
        <f>IF(OR($C114="",$AE114="",$AE114=1),"",IFERROR(INDEX($AC$6:$AC$1505,MATCH($C114&amp;"|"&amp;$A114&amp;"|"&amp;($AE114-1),$AH$6:$AH$1505,0)),""))</f>
        <v/>
      </c>
      <c r="AJ114" s="32">
        <f>IF(OR($AI114="",$AC114=""),"",IF($AI114=$AC114,"ללא שינוי","מ-"&amp;$AI114&amp;" ל-"&amp;$AC114))</f>
        <v/>
      </c>
      <c r="AK114" s="67" t="n"/>
    </row>
    <row r="115" ht="15.75" customHeight="1" s="58">
      <c r="A115" s="65" t="n"/>
      <c r="B115" s="65" t="n"/>
      <c r="C115" s="66" t="n"/>
      <c r="D115" s="66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65" t="n"/>
      <c r="R115" s="65" t="n"/>
      <c r="S115" s="65" t="n"/>
      <c r="T115" s="65" t="n"/>
      <c r="U115" s="65" t="n"/>
      <c r="V115" s="65" t="n"/>
      <c r="W115" s="65" t="n"/>
      <c r="X115" s="65" t="n"/>
      <c r="Y115" s="32">
        <f>IF($C115="","",IF(COUNTA($I115:$K115)&lt;3,"— חסרים נתונים",IF(AND($I115="תקין",$J115="תקין",$K115="תקין"),"רהוטה",IF(AND($I115="תקין",$J115="תקין"),"מדויקת ורציפה","אינה מדויקת או מקוטעת"))))</f>
        <v/>
      </c>
      <c r="Z115" s="32">
        <f>IF($C115="","",IF(COUNTA($U115:$W115)&lt;3,"",IF(AND($U115="מפותח",$V115="מפותח",$W115="מפותחת"),"מפותחת",IF((--($U115="דל"))+(--($V115="אינו מפותח"))+(--($W115="דלה"))&gt;=2,"אינה מפותחת","חלקית"))))</f>
        <v/>
      </c>
      <c r="AA115" s="32">
        <f>IF($C115="","",IF(COUNTA($M115,$N115,$O115)&lt;3,"— חסרים נתונים",IF(OR($M115="נמוכה",(--($M115&lt;&gt;"תקינה"))+(--($N115&lt;&gt;"תקין"))+(--($O115&lt;&gt;"תקינה"))&gt;=2),"ניכרת","אינה ניכרת")))</f>
        <v/>
      </c>
      <c r="AB115" s="32">
        <f>IF(OR($C115="",$Y115="",$AA115="",LEFT($Y115,1)="—",LEFT($AA115,1)="—"),"",IF($Z115="","— נדרשת הערכת כתיבה",IF($L115="","— חסרה הבנת הנקרא",IF($Y115="אינה מדויקת או מקוטעת",IF($AA115="ניכרת","מיקוד בשטף הקריאה ובכישורי שפה","מיקוד בשטף קריאה"),IF($AA115="ניכרת","מיקוד בכישורי שפה",IF(AND($L115="תקינה",$Z115="מפותחת"),"קוראים וכותבים מיומנים","מיקוד בהבנה והבעה"))))))</f>
        <v/>
      </c>
      <c r="AC115" s="32">
        <f>IF(OR($AB115="",LEFT($AB115,1)="—"),"",IF(OR($AB115="מיקוד בשטף קריאה",$AB115="מיקוד בשטף הקריאה ובכישורי שפה"),"רמה א'",IF($AB115="קוראים וכותבים מיומנים","רמה ג'","רמה ב'")))</f>
        <v/>
      </c>
      <c r="AD115" s="32">
        <f>IF($AC115="","",MID(IF(AND($AC115="רמה א'",$AA115="ניכרת"),"; להוסיף עבודת אוצר מילים","")&amp;IF($Z115="אינה מפותחת","; דגש על הבעה בכתב","")&amp;IF($K115&lt;&gt;"תקין","; נדרש לעבוד על ההנגנה","")&amp;IF($AK115&lt;&gt;"","; "&amp;$AK115,""),3,400))</f>
        <v/>
      </c>
      <c r="AE115" s="32">
        <f>IF($F115="","",IF($F115="תחילת שנה",1,IF($F115="מחצית שנה",2,3)))</f>
        <v/>
      </c>
      <c r="AF115" s="32">
        <f>IF(OR($B115="",$AC115="",$A115="",$F115=""),"",$B115&amp;"|"&amp;$A115&amp;"|"&amp;$F115&amp;"|"&amp;$AC115&amp;"|"&amp;COUNTIFS($B$6:$B115,$B115,$A$6:$A115,$A115,$F$6:$F115,$F115,$AC$6:$AC115,$AC115))</f>
        <v/>
      </c>
      <c r="AG115" s="32">
        <f>IF($C115="","",$C115&amp;"|"&amp;COUNTIFS($C$6:$C115,$C115))</f>
        <v/>
      </c>
      <c r="AH115" s="32">
        <f>IF(OR($C115="",$A115="",$AE115=""),"",$C115&amp;"|"&amp;$A115&amp;"|"&amp;$AE115)</f>
        <v/>
      </c>
      <c r="AI115" s="32">
        <f>IF(OR($C115="",$AE115="",$AE115=1),"",IFERROR(INDEX($AC$6:$AC$1505,MATCH($C115&amp;"|"&amp;$A115&amp;"|"&amp;($AE115-1),$AH$6:$AH$1505,0)),""))</f>
        <v/>
      </c>
      <c r="AJ115" s="32">
        <f>IF(OR($AI115="",$AC115=""),"",IF($AI115=$AC115,"ללא שינוי","מ-"&amp;$AI115&amp;" ל-"&amp;$AC115))</f>
        <v/>
      </c>
      <c r="AK115" s="67" t="n"/>
    </row>
    <row r="116" ht="15.75" customHeight="1" s="58">
      <c r="A116" s="65" t="n"/>
      <c r="B116" s="65" t="n"/>
      <c r="C116" s="66" t="n"/>
      <c r="D116" s="66" t="n"/>
      <c r="E116" s="65" t="n"/>
      <c r="F116" s="65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5" t="n"/>
      <c r="X116" s="65" t="n"/>
      <c r="Y116" s="32">
        <f>IF($C116="","",IF(COUNTA($I116:$K116)&lt;3,"— חסרים נתונים",IF(AND($I116="תקין",$J116="תקין",$K116="תקין"),"רהוטה",IF(AND($I116="תקין",$J116="תקין"),"מדויקת ורציפה","אינה מדויקת או מקוטעת"))))</f>
        <v/>
      </c>
      <c r="Z116" s="32">
        <f>IF($C116="","",IF(COUNTA($U116:$W116)&lt;3,"",IF(AND($U116="מפותח",$V116="מפותח",$W116="מפותחת"),"מפותחת",IF((--($U116="דל"))+(--($V116="אינו מפותח"))+(--($W116="דלה"))&gt;=2,"אינה מפותחת","חלקית"))))</f>
        <v/>
      </c>
      <c r="AA116" s="32">
        <f>IF($C116="","",IF(COUNTA($M116,$N116,$O116)&lt;3,"— חסרים נתונים",IF(OR($M116="נמוכה",(--($M116&lt;&gt;"תקינה"))+(--($N116&lt;&gt;"תקין"))+(--($O116&lt;&gt;"תקינה"))&gt;=2),"ניכרת","אינה ניכרת")))</f>
        <v/>
      </c>
      <c r="AB116" s="32">
        <f>IF(OR($C116="",$Y116="",$AA116="",LEFT($Y116,1)="—",LEFT($AA116,1)="—"),"",IF($Z116="","— נדרשת הערכת כתיבה",IF($L116="","— חסרה הבנת הנקרא",IF($Y116="אינה מדויקת או מקוטעת",IF($AA116="ניכרת","מיקוד בשטף הקריאה ובכישורי שפה","מיקוד בשטף קריאה"),IF($AA116="ניכרת","מיקוד בכישורי שפה",IF(AND($L116="תקינה",$Z116="מפותחת"),"קוראים וכותבים מיומנים","מיקוד בהבנה והבעה"))))))</f>
        <v/>
      </c>
      <c r="AC116" s="32">
        <f>IF(OR($AB116="",LEFT($AB116,1)="—"),"",IF(OR($AB116="מיקוד בשטף קריאה",$AB116="מיקוד בשטף הקריאה ובכישורי שפה"),"רמה א'",IF($AB116="קוראים וכותבים מיומנים","רמה ג'","רמה ב'")))</f>
        <v/>
      </c>
      <c r="AD116" s="32">
        <f>IF($AC116="","",MID(IF(AND($AC116="רמה א'",$AA116="ניכרת"),"; להוסיף עבודת אוצר מילים","")&amp;IF($Z116="אינה מפותחת","; דגש על הבעה בכתב","")&amp;IF($K116&lt;&gt;"תקין","; נדרש לעבוד על ההנגנה","")&amp;IF($AK116&lt;&gt;"","; "&amp;$AK116,""),3,400))</f>
        <v/>
      </c>
      <c r="AE116" s="32">
        <f>IF($F116="","",IF($F116="תחילת שנה",1,IF($F116="מחצית שנה",2,3)))</f>
        <v/>
      </c>
      <c r="AF116" s="32">
        <f>IF(OR($B116="",$AC116="",$A116="",$F116=""),"",$B116&amp;"|"&amp;$A116&amp;"|"&amp;$F116&amp;"|"&amp;$AC116&amp;"|"&amp;COUNTIFS($B$6:$B116,$B116,$A$6:$A116,$A116,$F$6:$F116,$F116,$AC$6:$AC116,$AC116))</f>
        <v/>
      </c>
      <c r="AG116" s="32">
        <f>IF($C116="","",$C116&amp;"|"&amp;COUNTIFS($C$6:$C116,$C116))</f>
        <v/>
      </c>
      <c r="AH116" s="32">
        <f>IF(OR($C116="",$A116="",$AE116=""),"",$C116&amp;"|"&amp;$A116&amp;"|"&amp;$AE116)</f>
        <v/>
      </c>
      <c r="AI116" s="32">
        <f>IF(OR($C116="",$AE116="",$AE116=1),"",IFERROR(INDEX($AC$6:$AC$1505,MATCH($C116&amp;"|"&amp;$A116&amp;"|"&amp;($AE116-1),$AH$6:$AH$1505,0)),""))</f>
        <v/>
      </c>
      <c r="AJ116" s="32">
        <f>IF(OR($AI116="",$AC116=""),"",IF($AI116=$AC116,"ללא שינוי","מ-"&amp;$AI116&amp;" ל-"&amp;$AC116))</f>
        <v/>
      </c>
      <c r="AK116" s="67" t="n"/>
    </row>
    <row r="117" ht="15.75" customHeight="1" s="58">
      <c r="A117" s="65" t="n"/>
      <c r="B117" s="65" t="n"/>
      <c r="C117" s="66" t="n"/>
      <c r="D117" s="66" t="n"/>
      <c r="E117" s="65" t="n"/>
      <c r="F117" s="65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65" t="n"/>
      <c r="R117" s="65" t="n"/>
      <c r="S117" s="65" t="n"/>
      <c r="T117" s="65" t="n"/>
      <c r="U117" s="65" t="n"/>
      <c r="V117" s="65" t="n"/>
      <c r="W117" s="65" t="n"/>
      <c r="X117" s="65" t="n"/>
      <c r="Y117" s="32">
        <f>IF($C117="","",IF(COUNTA($I117:$K117)&lt;3,"— חסרים נתונים",IF(AND($I117="תקין",$J117="תקין",$K117="תקין"),"רהוטה",IF(AND($I117="תקין",$J117="תקין"),"מדויקת ורציפה","אינה מדויקת או מקוטעת"))))</f>
        <v/>
      </c>
      <c r="Z117" s="32">
        <f>IF($C117="","",IF(COUNTA($U117:$W117)&lt;3,"",IF(AND($U117="מפותח",$V117="מפותח",$W117="מפותחת"),"מפותחת",IF((--($U117="דל"))+(--($V117="אינו מפותח"))+(--($W117="דלה"))&gt;=2,"אינה מפותחת","חלקית"))))</f>
        <v/>
      </c>
      <c r="AA117" s="32">
        <f>IF($C117="","",IF(COUNTA($M117,$N117,$O117)&lt;3,"— חסרים נתונים",IF(OR($M117="נמוכה",(--($M117&lt;&gt;"תקינה"))+(--($N117&lt;&gt;"תקין"))+(--($O117&lt;&gt;"תקינה"))&gt;=2),"ניכרת","אינה ניכרת")))</f>
        <v/>
      </c>
      <c r="AB117" s="32">
        <f>IF(OR($C117="",$Y117="",$AA117="",LEFT($Y117,1)="—",LEFT($AA117,1)="—"),"",IF($Z117="","— נדרשת הערכת כתיבה",IF($L117="","— חסרה הבנת הנקרא",IF($Y117="אינה מדויקת או מקוטעת",IF($AA117="ניכרת","מיקוד בשטף הקריאה ובכישורי שפה","מיקוד בשטף קריאה"),IF($AA117="ניכרת","מיקוד בכישורי שפה",IF(AND($L117="תקינה",$Z117="מפותחת"),"קוראים וכותבים מיומנים","מיקוד בהבנה והבעה"))))))</f>
        <v/>
      </c>
      <c r="AC117" s="32">
        <f>IF(OR($AB117="",LEFT($AB117,1)="—"),"",IF(OR($AB117="מיקוד בשטף קריאה",$AB117="מיקוד בשטף הקריאה ובכישורי שפה"),"רמה א'",IF($AB117="קוראים וכותבים מיומנים","רמה ג'","רמה ב'")))</f>
        <v/>
      </c>
      <c r="AD117" s="32">
        <f>IF($AC117="","",MID(IF(AND($AC117="רמה א'",$AA117="ניכרת"),"; להוסיף עבודת אוצר מילים","")&amp;IF($Z117="אינה מפותחת","; דגש על הבעה בכתב","")&amp;IF($K117&lt;&gt;"תקין","; נדרש לעבוד על ההנגנה","")&amp;IF($AK117&lt;&gt;"","; "&amp;$AK117,""),3,400))</f>
        <v/>
      </c>
      <c r="AE117" s="32">
        <f>IF($F117="","",IF($F117="תחילת שנה",1,IF($F117="מחצית שנה",2,3)))</f>
        <v/>
      </c>
      <c r="AF117" s="32">
        <f>IF(OR($B117="",$AC117="",$A117="",$F117=""),"",$B117&amp;"|"&amp;$A117&amp;"|"&amp;$F117&amp;"|"&amp;$AC117&amp;"|"&amp;COUNTIFS($B$6:$B117,$B117,$A$6:$A117,$A117,$F$6:$F117,$F117,$AC$6:$AC117,$AC117))</f>
        <v/>
      </c>
      <c r="AG117" s="32">
        <f>IF($C117="","",$C117&amp;"|"&amp;COUNTIFS($C$6:$C117,$C117))</f>
        <v/>
      </c>
      <c r="AH117" s="32">
        <f>IF(OR($C117="",$A117="",$AE117=""),"",$C117&amp;"|"&amp;$A117&amp;"|"&amp;$AE117)</f>
        <v/>
      </c>
      <c r="AI117" s="32">
        <f>IF(OR($C117="",$AE117="",$AE117=1),"",IFERROR(INDEX($AC$6:$AC$1505,MATCH($C117&amp;"|"&amp;$A117&amp;"|"&amp;($AE117-1),$AH$6:$AH$1505,0)),""))</f>
        <v/>
      </c>
      <c r="AJ117" s="32">
        <f>IF(OR($AI117="",$AC117=""),"",IF($AI117=$AC117,"ללא שינוי","מ-"&amp;$AI117&amp;" ל-"&amp;$AC117))</f>
        <v/>
      </c>
      <c r="AK117" s="67" t="n"/>
    </row>
    <row r="118" ht="15.75" customHeight="1" s="58">
      <c r="A118" s="65" t="n"/>
      <c r="B118" s="65" t="n"/>
      <c r="C118" s="66" t="n"/>
      <c r="D118" s="66" t="n"/>
      <c r="E118" s="65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5" t="n"/>
      <c r="X118" s="65" t="n"/>
      <c r="Y118" s="32">
        <f>IF($C118="","",IF(COUNTA($I118:$K118)&lt;3,"— חסרים נתונים",IF(AND($I118="תקין",$J118="תקין",$K118="תקין"),"רהוטה",IF(AND($I118="תקין",$J118="תקין"),"מדויקת ורציפה","אינה מדויקת או מקוטעת"))))</f>
        <v/>
      </c>
      <c r="Z118" s="32">
        <f>IF($C118="","",IF(COUNTA($U118:$W118)&lt;3,"",IF(AND($U118="מפותח",$V118="מפותח",$W118="מפותחת"),"מפותחת",IF((--($U118="דל"))+(--($V118="אינו מפותח"))+(--($W118="דלה"))&gt;=2,"אינה מפותחת","חלקית"))))</f>
        <v/>
      </c>
      <c r="AA118" s="32">
        <f>IF($C118="","",IF(COUNTA($M118,$N118,$O118)&lt;3,"— חסרים נתונים",IF(OR($M118="נמוכה",(--($M118&lt;&gt;"תקינה"))+(--($N118&lt;&gt;"תקין"))+(--($O118&lt;&gt;"תקינה"))&gt;=2),"ניכרת","אינה ניכרת")))</f>
        <v/>
      </c>
      <c r="AB118" s="32">
        <f>IF(OR($C118="",$Y118="",$AA118="",LEFT($Y118,1)="—",LEFT($AA118,1)="—"),"",IF($Z118="","— נדרשת הערכת כתיבה",IF($L118="","— חסרה הבנת הנקרא",IF($Y118="אינה מדויקת או מקוטעת",IF($AA118="ניכרת","מיקוד בשטף הקריאה ובכישורי שפה","מיקוד בשטף קריאה"),IF($AA118="ניכרת","מיקוד בכישורי שפה",IF(AND($L118="תקינה",$Z118="מפותחת"),"קוראים וכותבים מיומנים","מיקוד בהבנה והבעה"))))))</f>
        <v/>
      </c>
      <c r="AC118" s="32">
        <f>IF(OR($AB118="",LEFT($AB118,1)="—"),"",IF(OR($AB118="מיקוד בשטף קריאה",$AB118="מיקוד בשטף הקריאה ובכישורי שפה"),"רמה א'",IF($AB118="קוראים וכותבים מיומנים","רמה ג'","רמה ב'")))</f>
        <v/>
      </c>
      <c r="AD118" s="32">
        <f>IF($AC118="","",MID(IF(AND($AC118="רמה א'",$AA118="ניכרת"),"; להוסיף עבודת אוצר מילים","")&amp;IF($Z118="אינה מפותחת","; דגש על הבעה בכתב","")&amp;IF($K118&lt;&gt;"תקין","; נדרש לעבוד על ההנגנה","")&amp;IF($AK118&lt;&gt;"","; "&amp;$AK118,""),3,400))</f>
        <v/>
      </c>
      <c r="AE118" s="32">
        <f>IF($F118="","",IF($F118="תחילת שנה",1,IF($F118="מחצית שנה",2,3)))</f>
        <v/>
      </c>
      <c r="AF118" s="32">
        <f>IF(OR($B118="",$AC118="",$A118="",$F118=""),"",$B118&amp;"|"&amp;$A118&amp;"|"&amp;$F118&amp;"|"&amp;$AC118&amp;"|"&amp;COUNTIFS($B$6:$B118,$B118,$A$6:$A118,$A118,$F$6:$F118,$F118,$AC$6:$AC118,$AC118))</f>
        <v/>
      </c>
      <c r="AG118" s="32">
        <f>IF($C118="","",$C118&amp;"|"&amp;COUNTIFS($C$6:$C118,$C118))</f>
        <v/>
      </c>
      <c r="AH118" s="32">
        <f>IF(OR($C118="",$A118="",$AE118=""),"",$C118&amp;"|"&amp;$A118&amp;"|"&amp;$AE118)</f>
        <v/>
      </c>
      <c r="AI118" s="32">
        <f>IF(OR($C118="",$AE118="",$AE118=1),"",IFERROR(INDEX($AC$6:$AC$1505,MATCH($C118&amp;"|"&amp;$A118&amp;"|"&amp;($AE118-1),$AH$6:$AH$1505,0)),""))</f>
        <v/>
      </c>
      <c r="AJ118" s="32">
        <f>IF(OR($AI118="",$AC118=""),"",IF($AI118=$AC118,"ללא שינוי","מ-"&amp;$AI118&amp;" ל-"&amp;$AC118))</f>
        <v/>
      </c>
      <c r="AK118" s="67" t="n"/>
    </row>
    <row r="119" ht="15.75" customHeight="1" s="58">
      <c r="A119" s="65" t="n"/>
      <c r="B119" s="65" t="n"/>
      <c r="C119" s="66" t="n"/>
      <c r="D119" s="66" t="n"/>
      <c r="E119" s="65" t="n"/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65" t="n"/>
      <c r="R119" s="65" t="n"/>
      <c r="S119" s="65" t="n"/>
      <c r="T119" s="65" t="n"/>
      <c r="U119" s="65" t="n"/>
      <c r="V119" s="65" t="n"/>
      <c r="W119" s="65" t="n"/>
      <c r="X119" s="65" t="n"/>
      <c r="Y119" s="32">
        <f>IF($C119="","",IF(COUNTA($I119:$K119)&lt;3,"— חסרים נתונים",IF(AND($I119="תקין",$J119="תקין",$K119="תקין"),"רהוטה",IF(AND($I119="תקין",$J119="תקין"),"מדויקת ורציפה","אינה מדויקת או מקוטעת"))))</f>
        <v/>
      </c>
      <c r="Z119" s="32">
        <f>IF($C119="","",IF(COUNTA($U119:$W119)&lt;3,"",IF(AND($U119="מפותח",$V119="מפותח",$W119="מפותחת"),"מפותחת",IF((--($U119="דל"))+(--($V119="אינו מפותח"))+(--($W119="דלה"))&gt;=2,"אינה מפותחת","חלקית"))))</f>
        <v/>
      </c>
      <c r="AA119" s="32">
        <f>IF($C119="","",IF(COUNTA($M119,$N119,$O119)&lt;3,"— חסרים נתונים",IF(OR($M119="נמוכה",(--($M119&lt;&gt;"תקינה"))+(--($N119&lt;&gt;"תקין"))+(--($O119&lt;&gt;"תקינה"))&gt;=2),"ניכרת","אינה ניכרת")))</f>
        <v/>
      </c>
      <c r="AB119" s="32">
        <f>IF(OR($C119="",$Y119="",$AA119="",LEFT($Y119,1)="—",LEFT($AA119,1)="—"),"",IF($Z119="","— נדרשת הערכת כתיבה",IF($L119="","— חסרה הבנת הנקרא",IF($Y119="אינה מדויקת או מקוטעת",IF($AA119="ניכרת","מיקוד בשטף הקריאה ובכישורי שפה","מיקוד בשטף קריאה"),IF($AA119="ניכרת","מיקוד בכישורי שפה",IF(AND($L119="תקינה",$Z119="מפותחת"),"קוראים וכותבים מיומנים","מיקוד בהבנה והבעה"))))))</f>
        <v/>
      </c>
      <c r="AC119" s="32">
        <f>IF(OR($AB119="",LEFT($AB119,1)="—"),"",IF(OR($AB119="מיקוד בשטף קריאה",$AB119="מיקוד בשטף הקריאה ובכישורי שפה"),"רמה א'",IF($AB119="קוראים וכותבים מיומנים","רמה ג'","רמה ב'")))</f>
        <v/>
      </c>
      <c r="AD119" s="32">
        <f>IF($AC119="","",MID(IF(AND($AC119="רמה א'",$AA119="ניכרת"),"; להוסיף עבודת אוצר מילים","")&amp;IF($Z119="אינה מפותחת","; דגש על הבעה בכתב","")&amp;IF($K119&lt;&gt;"תקין","; נדרש לעבוד על ההנגנה","")&amp;IF($AK119&lt;&gt;"","; "&amp;$AK119,""),3,400))</f>
        <v/>
      </c>
      <c r="AE119" s="32">
        <f>IF($F119="","",IF($F119="תחילת שנה",1,IF($F119="מחצית שנה",2,3)))</f>
        <v/>
      </c>
      <c r="AF119" s="32">
        <f>IF(OR($B119="",$AC119="",$A119="",$F119=""),"",$B119&amp;"|"&amp;$A119&amp;"|"&amp;$F119&amp;"|"&amp;$AC119&amp;"|"&amp;COUNTIFS($B$6:$B119,$B119,$A$6:$A119,$A119,$F$6:$F119,$F119,$AC$6:$AC119,$AC119))</f>
        <v/>
      </c>
      <c r="AG119" s="32">
        <f>IF($C119="","",$C119&amp;"|"&amp;COUNTIFS($C$6:$C119,$C119))</f>
        <v/>
      </c>
      <c r="AH119" s="32">
        <f>IF(OR($C119="",$A119="",$AE119=""),"",$C119&amp;"|"&amp;$A119&amp;"|"&amp;$AE119)</f>
        <v/>
      </c>
      <c r="AI119" s="32">
        <f>IF(OR($C119="",$AE119="",$AE119=1),"",IFERROR(INDEX($AC$6:$AC$1505,MATCH($C119&amp;"|"&amp;$A119&amp;"|"&amp;($AE119-1),$AH$6:$AH$1505,0)),""))</f>
        <v/>
      </c>
      <c r="AJ119" s="32">
        <f>IF(OR($AI119="",$AC119=""),"",IF($AI119=$AC119,"ללא שינוי","מ-"&amp;$AI119&amp;" ל-"&amp;$AC119))</f>
        <v/>
      </c>
      <c r="AK119" s="67" t="n"/>
    </row>
    <row r="120" ht="15.75" customHeight="1" s="58">
      <c r="A120" s="65" t="n"/>
      <c r="B120" s="65" t="n"/>
      <c r="C120" s="66" t="n"/>
      <c r="D120" s="66" t="n"/>
      <c r="E120" s="65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5" t="n"/>
      <c r="X120" s="65" t="n"/>
      <c r="Y120" s="32">
        <f>IF($C120="","",IF(COUNTA($I120:$K120)&lt;3,"— חסרים נתונים",IF(AND($I120="תקין",$J120="תקין",$K120="תקין"),"רהוטה",IF(AND($I120="תקין",$J120="תקין"),"מדויקת ורציפה","אינה מדויקת או מקוטעת"))))</f>
        <v/>
      </c>
      <c r="Z120" s="32">
        <f>IF($C120="","",IF(COUNTA($U120:$W120)&lt;3,"",IF(AND($U120="מפותח",$V120="מפותח",$W120="מפותחת"),"מפותחת",IF((--($U120="דל"))+(--($V120="אינו מפותח"))+(--($W120="דלה"))&gt;=2,"אינה מפותחת","חלקית"))))</f>
        <v/>
      </c>
      <c r="AA120" s="32">
        <f>IF($C120="","",IF(COUNTA($M120,$N120,$O120)&lt;3,"— חסרים נתונים",IF(OR($M120="נמוכה",(--($M120&lt;&gt;"תקינה"))+(--($N120&lt;&gt;"תקין"))+(--($O120&lt;&gt;"תקינה"))&gt;=2),"ניכרת","אינה ניכרת")))</f>
        <v/>
      </c>
      <c r="AB120" s="32">
        <f>IF(OR($C120="",$Y120="",$AA120="",LEFT($Y120,1)="—",LEFT($AA120,1)="—"),"",IF($Z120="","— נדרשת הערכת כתיבה",IF($L120="","— חסרה הבנת הנקרא",IF($Y120="אינה מדויקת או מקוטעת",IF($AA120="ניכרת","מיקוד בשטף הקריאה ובכישורי שפה","מיקוד בשטף קריאה"),IF($AA120="ניכרת","מיקוד בכישורי שפה",IF(AND($L120="תקינה",$Z120="מפותחת"),"קוראים וכותבים מיומנים","מיקוד בהבנה והבעה"))))))</f>
        <v/>
      </c>
      <c r="AC120" s="32">
        <f>IF(OR($AB120="",LEFT($AB120,1)="—"),"",IF(OR($AB120="מיקוד בשטף קריאה",$AB120="מיקוד בשטף הקריאה ובכישורי שפה"),"רמה א'",IF($AB120="קוראים וכותבים מיומנים","רמה ג'","רמה ב'")))</f>
        <v/>
      </c>
      <c r="AD120" s="32">
        <f>IF($AC120="","",MID(IF(AND($AC120="רמה א'",$AA120="ניכרת"),"; להוסיף עבודת אוצר מילים","")&amp;IF($Z120="אינה מפותחת","; דגש על הבעה בכתב","")&amp;IF($K120&lt;&gt;"תקין","; נדרש לעבוד על ההנגנה","")&amp;IF($AK120&lt;&gt;"","; "&amp;$AK120,""),3,400))</f>
        <v/>
      </c>
      <c r="AE120" s="32">
        <f>IF($F120="","",IF($F120="תחילת שנה",1,IF($F120="מחצית שנה",2,3)))</f>
        <v/>
      </c>
      <c r="AF120" s="32">
        <f>IF(OR($B120="",$AC120="",$A120="",$F120=""),"",$B120&amp;"|"&amp;$A120&amp;"|"&amp;$F120&amp;"|"&amp;$AC120&amp;"|"&amp;COUNTIFS($B$6:$B120,$B120,$A$6:$A120,$A120,$F$6:$F120,$F120,$AC$6:$AC120,$AC120))</f>
        <v/>
      </c>
      <c r="AG120" s="32">
        <f>IF($C120="","",$C120&amp;"|"&amp;COUNTIFS($C$6:$C120,$C120))</f>
        <v/>
      </c>
      <c r="AH120" s="32">
        <f>IF(OR($C120="",$A120="",$AE120=""),"",$C120&amp;"|"&amp;$A120&amp;"|"&amp;$AE120)</f>
        <v/>
      </c>
      <c r="AI120" s="32">
        <f>IF(OR($C120="",$AE120="",$AE120=1),"",IFERROR(INDEX($AC$6:$AC$1505,MATCH($C120&amp;"|"&amp;$A120&amp;"|"&amp;($AE120-1),$AH$6:$AH$1505,0)),""))</f>
        <v/>
      </c>
      <c r="AJ120" s="32">
        <f>IF(OR($AI120="",$AC120=""),"",IF($AI120=$AC120,"ללא שינוי","מ-"&amp;$AI120&amp;" ל-"&amp;$AC120))</f>
        <v/>
      </c>
      <c r="AK120" s="67" t="n"/>
    </row>
    <row r="121" ht="15.75" customHeight="1" s="58">
      <c r="A121" s="65" t="n"/>
      <c r="B121" s="65" t="n"/>
      <c r="C121" s="66" t="n"/>
      <c r="D121" s="66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65" t="n"/>
      <c r="R121" s="65" t="n"/>
      <c r="S121" s="65" t="n"/>
      <c r="T121" s="65" t="n"/>
      <c r="U121" s="65" t="n"/>
      <c r="V121" s="65" t="n"/>
      <c r="W121" s="65" t="n"/>
      <c r="X121" s="65" t="n"/>
      <c r="Y121" s="32">
        <f>IF($C121="","",IF(COUNTA($I121:$K121)&lt;3,"— חסרים נתונים",IF(AND($I121="תקין",$J121="תקין",$K121="תקין"),"רהוטה",IF(AND($I121="תקין",$J121="תקין"),"מדויקת ורציפה","אינה מדויקת או מקוטעת"))))</f>
        <v/>
      </c>
      <c r="Z121" s="32">
        <f>IF($C121="","",IF(COUNTA($U121:$W121)&lt;3,"",IF(AND($U121="מפותח",$V121="מפותח",$W121="מפותחת"),"מפותחת",IF((--($U121="דל"))+(--($V121="אינו מפותח"))+(--($W121="דלה"))&gt;=2,"אינה מפותחת","חלקית"))))</f>
        <v/>
      </c>
      <c r="AA121" s="32">
        <f>IF($C121="","",IF(COUNTA($M121,$N121,$O121)&lt;3,"— חסרים נתונים",IF(OR($M121="נמוכה",(--($M121&lt;&gt;"תקינה"))+(--($N121&lt;&gt;"תקין"))+(--($O121&lt;&gt;"תקינה"))&gt;=2),"ניכרת","אינה ניכרת")))</f>
        <v/>
      </c>
      <c r="AB121" s="32">
        <f>IF(OR($C121="",$Y121="",$AA121="",LEFT($Y121,1)="—",LEFT($AA121,1)="—"),"",IF($Z121="","— נדרשת הערכת כתיבה",IF($L121="","— חסרה הבנת הנקרא",IF($Y121="אינה מדויקת או מקוטעת",IF($AA121="ניכרת","מיקוד בשטף הקריאה ובכישורי שפה","מיקוד בשטף קריאה"),IF($AA121="ניכרת","מיקוד בכישורי שפה",IF(AND($L121="תקינה",$Z121="מפותחת"),"קוראים וכותבים מיומנים","מיקוד בהבנה והבעה"))))))</f>
        <v/>
      </c>
      <c r="AC121" s="32">
        <f>IF(OR($AB121="",LEFT($AB121,1)="—"),"",IF(OR($AB121="מיקוד בשטף קריאה",$AB121="מיקוד בשטף הקריאה ובכישורי שפה"),"רמה א'",IF($AB121="קוראים וכותבים מיומנים","רמה ג'","רמה ב'")))</f>
        <v/>
      </c>
      <c r="AD121" s="32">
        <f>IF($AC121="","",MID(IF(AND($AC121="רמה א'",$AA121="ניכרת"),"; להוסיף עבודת אוצר מילים","")&amp;IF($Z121="אינה מפותחת","; דגש על הבעה בכתב","")&amp;IF($K121&lt;&gt;"תקין","; נדרש לעבוד על ההנגנה","")&amp;IF($AK121&lt;&gt;"","; "&amp;$AK121,""),3,400))</f>
        <v/>
      </c>
      <c r="AE121" s="32">
        <f>IF($F121="","",IF($F121="תחילת שנה",1,IF($F121="מחצית שנה",2,3)))</f>
        <v/>
      </c>
      <c r="AF121" s="32">
        <f>IF(OR($B121="",$AC121="",$A121="",$F121=""),"",$B121&amp;"|"&amp;$A121&amp;"|"&amp;$F121&amp;"|"&amp;$AC121&amp;"|"&amp;COUNTIFS($B$6:$B121,$B121,$A$6:$A121,$A121,$F$6:$F121,$F121,$AC$6:$AC121,$AC121))</f>
        <v/>
      </c>
      <c r="AG121" s="32">
        <f>IF($C121="","",$C121&amp;"|"&amp;COUNTIFS($C$6:$C121,$C121))</f>
        <v/>
      </c>
      <c r="AH121" s="32">
        <f>IF(OR($C121="",$A121="",$AE121=""),"",$C121&amp;"|"&amp;$A121&amp;"|"&amp;$AE121)</f>
        <v/>
      </c>
      <c r="AI121" s="32">
        <f>IF(OR($C121="",$AE121="",$AE121=1),"",IFERROR(INDEX($AC$6:$AC$1505,MATCH($C121&amp;"|"&amp;$A121&amp;"|"&amp;($AE121-1),$AH$6:$AH$1505,0)),""))</f>
        <v/>
      </c>
      <c r="AJ121" s="32">
        <f>IF(OR($AI121="",$AC121=""),"",IF($AI121=$AC121,"ללא שינוי","מ-"&amp;$AI121&amp;" ל-"&amp;$AC121))</f>
        <v/>
      </c>
      <c r="AK121" s="67" t="n"/>
    </row>
    <row r="122" ht="15.75" customHeight="1" s="58">
      <c r="A122" s="65" t="n"/>
      <c r="B122" s="65" t="n"/>
      <c r="C122" s="66" t="n"/>
      <c r="D122" s="66" t="n"/>
      <c r="E122" s="65" t="n"/>
      <c r="F122" s="65" t="n"/>
      <c r="G122" s="65" t="n"/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5" t="n"/>
      <c r="X122" s="65" t="n"/>
      <c r="Y122" s="32">
        <f>IF($C122="","",IF(COUNTA($I122:$K122)&lt;3,"— חסרים נתונים",IF(AND($I122="תקין",$J122="תקין",$K122="תקין"),"רהוטה",IF(AND($I122="תקין",$J122="תקין"),"מדויקת ורציפה","אינה מדויקת או מקוטעת"))))</f>
        <v/>
      </c>
      <c r="Z122" s="32">
        <f>IF($C122="","",IF(COUNTA($U122:$W122)&lt;3,"",IF(AND($U122="מפותח",$V122="מפותח",$W122="מפותחת"),"מפותחת",IF((--($U122="דל"))+(--($V122="אינו מפותח"))+(--($W122="דלה"))&gt;=2,"אינה מפותחת","חלקית"))))</f>
        <v/>
      </c>
      <c r="AA122" s="32">
        <f>IF($C122="","",IF(COUNTA($M122,$N122,$O122)&lt;3,"— חסרים נתונים",IF(OR($M122="נמוכה",(--($M122&lt;&gt;"תקינה"))+(--($N122&lt;&gt;"תקין"))+(--($O122&lt;&gt;"תקינה"))&gt;=2),"ניכרת","אינה ניכרת")))</f>
        <v/>
      </c>
      <c r="AB122" s="32">
        <f>IF(OR($C122="",$Y122="",$AA122="",LEFT($Y122,1)="—",LEFT($AA122,1)="—"),"",IF($Z122="","— נדרשת הערכת כתיבה",IF($L122="","— חסרה הבנת הנקרא",IF($Y122="אינה מדויקת או מקוטעת",IF($AA122="ניכרת","מיקוד בשטף הקריאה ובכישורי שפה","מיקוד בשטף קריאה"),IF($AA122="ניכרת","מיקוד בכישורי שפה",IF(AND($L122="תקינה",$Z122="מפותחת"),"קוראים וכותבים מיומנים","מיקוד בהבנה והבעה"))))))</f>
        <v/>
      </c>
      <c r="AC122" s="32">
        <f>IF(OR($AB122="",LEFT($AB122,1)="—"),"",IF(OR($AB122="מיקוד בשטף קריאה",$AB122="מיקוד בשטף הקריאה ובכישורי שפה"),"רמה א'",IF($AB122="קוראים וכותבים מיומנים","רמה ג'","רמה ב'")))</f>
        <v/>
      </c>
      <c r="AD122" s="32">
        <f>IF($AC122="","",MID(IF(AND($AC122="רמה א'",$AA122="ניכרת"),"; להוסיף עבודת אוצר מילים","")&amp;IF($Z122="אינה מפותחת","; דגש על הבעה בכתב","")&amp;IF($K122&lt;&gt;"תקין","; נדרש לעבוד על ההנגנה","")&amp;IF($AK122&lt;&gt;"","; "&amp;$AK122,""),3,400))</f>
        <v/>
      </c>
      <c r="AE122" s="32">
        <f>IF($F122="","",IF($F122="תחילת שנה",1,IF($F122="מחצית שנה",2,3)))</f>
        <v/>
      </c>
      <c r="AF122" s="32">
        <f>IF(OR($B122="",$AC122="",$A122="",$F122=""),"",$B122&amp;"|"&amp;$A122&amp;"|"&amp;$F122&amp;"|"&amp;$AC122&amp;"|"&amp;COUNTIFS($B$6:$B122,$B122,$A$6:$A122,$A122,$F$6:$F122,$F122,$AC$6:$AC122,$AC122))</f>
        <v/>
      </c>
      <c r="AG122" s="32">
        <f>IF($C122="","",$C122&amp;"|"&amp;COUNTIFS($C$6:$C122,$C122))</f>
        <v/>
      </c>
      <c r="AH122" s="32">
        <f>IF(OR($C122="",$A122="",$AE122=""),"",$C122&amp;"|"&amp;$A122&amp;"|"&amp;$AE122)</f>
        <v/>
      </c>
      <c r="AI122" s="32">
        <f>IF(OR($C122="",$AE122="",$AE122=1),"",IFERROR(INDEX($AC$6:$AC$1505,MATCH($C122&amp;"|"&amp;$A122&amp;"|"&amp;($AE122-1),$AH$6:$AH$1505,0)),""))</f>
        <v/>
      </c>
      <c r="AJ122" s="32">
        <f>IF(OR($AI122="",$AC122=""),"",IF($AI122=$AC122,"ללא שינוי","מ-"&amp;$AI122&amp;" ל-"&amp;$AC122))</f>
        <v/>
      </c>
      <c r="AK122" s="67" t="n"/>
    </row>
    <row r="123" ht="15.75" customHeight="1" s="58">
      <c r="A123" s="65" t="n"/>
      <c r="B123" s="65" t="n"/>
      <c r="C123" s="66" t="n"/>
      <c r="D123" s="66" t="n"/>
      <c r="E123" s="65" t="n"/>
      <c r="F123" s="65" t="n"/>
      <c r="G123" s="65" t="n"/>
      <c r="H123" s="65" t="n"/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65" t="n"/>
      <c r="R123" s="65" t="n"/>
      <c r="S123" s="65" t="n"/>
      <c r="T123" s="65" t="n"/>
      <c r="U123" s="65" t="n"/>
      <c r="V123" s="65" t="n"/>
      <c r="W123" s="65" t="n"/>
      <c r="X123" s="65" t="n"/>
      <c r="Y123" s="32">
        <f>IF($C123="","",IF(COUNTA($I123:$K123)&lt;3,"— חסרים נתונים",IF(AND($I123="תקין",$J123="תקין",$K123="תקין"),"רהוטה",IF(AND($I123="תקין",$J123="תקין"),"מדויקת ורציפה","אינה מדויקת או מקוטעת"))))</f>
        <v/>
      </c>
      <c r="Z123" s="32">
        <f>IF($C123="","",IF(COUNTA($U123:$W123)&lt;3,"",IF(AND($U123="מפותח",$V123="מפותח",$W123="מפותחת"),"מפותחת",IF((--($U123="דל"))+(--($V123="אינו מפותח"))+(--($W123="דלה"))&gt;=2,"אינה מפותחת","חלקית"))))</f>
        <v/>
      </c>
      <c r="AA123" s="32">
        <f>IF($C123="","",IF(COUNTA($M123,$N123,$O123)&lt;3,"— חסרים נתונים",IF(OR($M123="נמוכה",(--($M123&lt;&gt;"תקינה"))+(--($N123&lt;&gt;"תקין"))+(--($O123&lt;&gt;"תקינה"))&gt;=2),"ניכרת","אינה ניכרת")))</f>
        <v/>
      </c>
      <c r="AB123" s="32">
        <f>IF(OR($C123="",$Y123="",$AA123="",LEFT($Y123,1)="—",LEFT($AA123,1)="—"),"",IF($Z123="","— נדרשת הערכת כתיבה",IF($L123="","— חסרה הבנת הנקרא",IF($Y123="אינה מדויקת או מקוטעת",IF($AA123="ניכרת","מיקוד בשטף הקריאה ובכישורי שפה","מיקוד בשטף קריאה"),IF($AA123="ניכרת","מיקוד בכישורי שפה",IF(AND($L123="תקינה",$Z123="מפותחת"),"קוראים וכותבים מיומנים","מיקוד בהבנה והבעה"))))))</f>
        <v/>
      </c>
      <c r="AC123" s="32">
        <f>IF(OR($AB123="",LEFT($AB123,1)="—"),"",IF(OR($AB123="מיקוד בשטף קריאה",$AB123="מיקוד בשטף הקריאה ובכישורי שפה"),"רמה א'",IF($AB123="קוראים וכותבים מיומנים","רמה ג'","רמה ב'")))</f>
        <v/>
      </c>
      <c r="AD123" s="32">
        <f>IF($AC123="","",MID(IF(AND($AC123="רמה א'",$AA123="ניכרת"),"; להוסיף עבודת אוצר מילים","")&amp;IF($Z123="אינה מפותחת","; דגש על הבעה בכתב","")&amp;IF($K123&lt;&gt;"תקין","; נדרש לעבוד על ההנגנה","")&amp;IF($AK123&lt;&gt;"","; "&amp;$AK123,""),3,400))</f>
        <v/>
      </c>
      <c r="AE123" s="32">
        <f>IF($F123="","",IF($F123="תחילת שנה",1,IF($F123="מחצית שנה",2,3)))</f>
        <v/>
      </c>
      <c r="AF123" s="32">
        <f>IF(OR($B123="",$AC123="",$A123="",$F123=""),"",$B123&amp;"|"&amp;$A123&amp;"|"&amp;$F123&amp;"|"&amp;$AC123&amp;"|"&amp;COUNTIFS($B$6:$B123,$B123,$A$6:$A123,$A123,$F$6:$F123,$F123,$AC$6:$AC123,$AC123))</f>
        <v/>
      </c>
      <c r="AG123" s="32">
        <f>IF($C123="","",$C123&amp;"|"&amp;COUNTIFS($C$6:$C123,$C123))</f>
        <v/>
      </c>
      <c r="AH123" s="32">
        <f>IF(OR($C123="",$A123="",$AE123=""),"",$C123&amp;"|"&amp;$A123&amp;"|"&amp;$AE123)</f>
        <v/>
      </c>
      <c r="AI123" s="32">
        <f>IF(OR($C123="",$AE123="",$AE123=1),"",IFERROR(INDEX($AC$6:$AC$1505,MATCH($C123&amp;"|"&amp;$A123&amp;"|"&amp;($AE123-1),$AH$6:$AH$1505,0)),""))</f>
        <v/>
      </c>
      <c r="AJ123" s="32">
        <f>IF(OR($AI123="",$AC123=""),"",IF($AI123=$AC123,"ללא שינוי","מ-"&amp;$AI123&amp;" ל-"&amp;$AC123))</f>
        <v/>
      </c>
      <c r="AK123" s="67" t="n"/>
    </row>
    <row r="124" ht="15.75" customHeight="1" s="58">
      <c r="A124" s="65" t="n"/>
      <c r="B124" s="65" t="n"/>
      <c r="C124" s="66" t="n"/>
      <c r="D124" s="66" t="n"/>
      <c r="E124" s="65" t="n"/>
      <c r="F124" s="65" t="n"/>
      <c r="G124" s="65" t="n"/>
      <c r="H124" s="65" t="n"/>
      <c r="I124" s="65" t="n"/>
      <c r="J124" s="65" t="n"/>
      <c r="K124" s="65" t="n"/>
      <c r="L124" s="65" t="n"/>
      <c r="M124" s="65" t="n"/>
      <c r="N124" s="65" t="n"/>
      <c r="O124" s="65" t="n"/>
      <c r="P124" s="65" t="n"/>
      <c r="Q124" s="65" t="n"/>
      <c r="R124" s="65" t="n"/>
      <c r="S124" s="65" t="n"/>
      <c r="T124" s="65" t="n"/>
      <c r="U124" s="65" t="n"/>
      <c r="V124" s="65" t="n"/>
      <c r="W124" s="65" t="n"/>
      <c r="X124" s="65" t="n"/>
      <c r="Y124" s="32">
        <f>IF($C124="","",IF(COUNTA($I124:$K124)&lt;3,"— חסרים נתונים",IF(AND($I124="תקין",$J124="תקין",$K124="תקין"),"רהוטה",IF(AND($I124="תקין",$J124="תקין"),"מדויקת ורציפה","אינה מדויקת או מקוטעת"))))</f>
        <v/>
      </c>
      <c r="Z124" s="32">
        <f>IF($C124="","",IF(COUNTA($U124:$W124)&lt;3,"",IF(AND($U124="מפותח",$V124="מפותח",$W124="מפותחת"),"מפותחת",IF((--($U124="דל"))+(--($V124="אינו מפותח"))+(--($W124="דלה"))&gt;=2,"אינה מפותחת","חלקית"))))</f>
        <v/>
      </c>
      <c r="AA124" s="32">
        <f>IF($C124="","",IF(COUNTA($M124,$N124,$O124)&lt;3,"— חסרים נתונים",IF(OR($M124="נמוכה",(--($M124&lt;&gt;"תקינה"))+(--($N124&lt;&gt;"תקין"))+(--($O124&lt;&gt;"תקינה"))&gt;=2),"ניכרת","אינה ניכרת")))</f>
        <v/>
      </c>
      <c r="AB124" s="32">
        <f>IF(OR($C124="",$Y124="",$AA124="",LEFT($Y124,1)="—",LEFT($AA124,1)="—"),"",IF($Z124="","— נדרשת הערכת כתיבה",IF($L124="","— חסרה הבנת הנקרא",IF($Y124="אינה מדויקת או מקוטעת",IF($AA124="ניכרת","מיקוד בשטף הקריאה ובכישורי שפה","מיקוד בשטף קריאה"),IF($AA124="ניכרת","מיקוד בכישורי שפה",IF(AND($L124="תקינה",$Z124="מפותחת"),"קוראים וכותבים מיומנים","מיקוד בהבנה והבעה"))))))</f>
        <v/>
      </c>
      <c r="AC124" s="32">
        <f>IF(OR($AB124="",LEFT($AB124,1)="—"),"",IF(OR($AB124="מיקוד בשטף קריאה",$AB124="מיקוד בשטף הקריאה ובכישורי שפה"),"רמה א'",IF($AB124="קוראים וכותבים מיומנים","רמה ג'","רמה ב'")))</f>
        <v/>
      </c>
      <c r="AD124" s="32">
        <f>IF($AC124="","",MID(IF(AND($AC124="רמה א'",$AA124="ניכרת"),"; להוסיף עבודת אוצר מילים","")&amp;IF($Z124="אינה מפותחת","; דגש על הבעה בכתב","")&amp;IF($K124&lt;&gt;"תקין","; נדרש לעבוד על ההנגנה","")&amp;IF($AK124&lt;&gt;"","; "&amp;$AK124,""),3,400))</f>
        <v/>
      </c>
      <c r="AE124" s="32">
        <f>IF($F124="","",IF($F124="תחילת שנה",1,IF($F124="מחצית שנה",2,3)))</f>
        <v/>
      </c>
      <c r="AF124" s="32">
        <f>IF(OR($B124="",$AC124="",$A124="",$F124=""),"",$B124&amp;"|"&amp;$A124&amp;"|"&amp;$F124&amp;"|"&amp;$AC124&amp;"|"&amp;COUNTIFS($B$6:$B124,$B124,$A$6:$A124,$A124,$F$6:$F124,$F124,$AC$6:$AC124,$AC124))</f>
        <v/>
      </c>
      <c r="AG124" s="32">
        <f>IF($C124="","",$C124&amp;"|"&amp;COUNTIFS($C$6:$C124,$C124))</f>
        <v/>
      </c>
      <c r="AH124" s="32">
        <f>IF(OR($C124="",$A124="",$AE124=""),"",$C124&amp;"|"&amp;$A124&amp;"|"&amp;$AE124)</f>
        <v/>
      </c>
      <c r="AI124" s="32">
        <f>IF(OR($C124="",$AE124="",$AE124=1),"",IFERROR(INDEX($AC$6:$AC$1505,MATCH($C124&amp;"|"&amp;$A124&amp;"|"&amp;($AE124-1),$AH$6:$AH$1505,0)),""))</f>
        <v/>
      </c>
      <c r="AJ124" s="32">
        <f>IF(OR($AI124="",$AC124=""),"",IF($AI124=$AC124,"ללא שינוי","מ-"&amp;$AI124&amp;" ל-"&amp;$AC124))</f>
        <v/>
      </c>
      <c r="AK124" s="67" t="n"/>
    </row>
    <row r="125" ht="15.75" customHeight="1" s="58">
      <c r="A125" s="65" t="n"/>
      <c r="B125" s="65" t="n"/>
      <c r="C125" s="66" t="n"/>
      <c r="D125" s="66" t="n"/>
      <c r="E125" s="65" t="n"/>
      <c r="F125" s="65" t="n"/>
      <c r="G125" s="65" t="n"/>
      <c r="H125" s="65" t="n"/>
      <c r="I125" s="65" t="n"/>
      <c r="J125" s="65" t="n"/>
      <c r="K125" s="65" t="n"/>
      <c r="L125" s="65" t="n"/>
      <c r="M125" s="65" t="n"/>
      <c r="N125" s="65" t="n"/>
      <c r="O125" s="65" t="n"/>
      <c r="P125" s="65" t="n"/>
      <c r="Q125" s="65" t="n"/>
      <c r="R125" s="65" t="n"/>
      <c r="S125" s="65" t="n"/>
      <c r="T125" s="65" t="n"/>
      <c r="U125" s="65" t="n"/>
      <c r="V125" s="65" t="n"/>
      <c r="W125" s="65" t="n"/>
      <c r="X125" s="65" t="n"/>
      <c r="Y125" s="32">
        <f>IF($C125="","",IF(COUNTA($I125:$K125)&lt;3,"— חסרים נתונים",IF(AND($I125="תקין",$J125="תקין",$K125="תקין"),"רהוטה",IF(AND($I125="תקין",$J125="תקין"),"מדויקת ורציפה","אינה מדויקת או מקוטעת"))))</f>
        <v/>
      </c>
      <c r="Z125" s="32">
        <f>IF($C125="","",IF(COUNTA($U125:$W125)&lt;3,"",IF(AND($U125="מפותח",$V125="מפותח",$W125="מפותחת"),"מפותחת",IF((--($U125="דל"))+(--($V125="אינו מפותח"))+(--($W125="דלה"))&gt;=2,"אינה מפותחת","חלקית"))))</f>
        <v/>
      </c>
      <c r="AA125" s="32">
        <f>IF($C125="","",IF(COUNTA($M125,$N125,$O125)&lt;3,"— חסרים נתונים",IF(OR($M125="נמוכה",(--($M125&lt;&gt;"תקינה"))+(--($N125&lt;&gt;"תקין"))+(--($O125&lt;&gt;"תקינה"))&gt;=2),"ניכרת","אינה ניכרת")))</f>
        <v/>
      </c>
      <c r="AB125" s="32">
        <f>IF(OR($C125="",$Y125="",$AA125="",LEFT($Y125,1)="—",LEFT($AA125,1)="—"),"",IF($Z125="","— נדרשת הערכת כתיבה",IF($L125="","— חסרה הבנת הנקרא",IF($Y125="אינה מדויקת או מקוטעת",IF($AA125="ניכרת","מיקוד בשטף הקריאה ובכישורי שפה","מיקוד בשטף קריאה"),IF($AA125="ניכרת","מיקוד בכישורי שפה",IF(AND($L125="תקינה",$Z125="מפותחת"),"קוראים וכותבים מיומנים","מיקוד בהבנה והבעה"))))))</f>
        <v/>
      </c>
      <c r="AC125" s="32">
        <f>IF(OR($AB125="",LEFT($AB125,1)="—"),"",IF(OR($AB125="מיקוד בשטף קריאה",$AB125="מיקוד בשטף הקריאה ובכישורי שפה"),"רמה א'",IF($AB125="קוראים וכותבים מיומנים","רמה ג'","רמה ב'")))</f>
        <v/>
      </c>
      <c r="AD125" s="32">
        <f>IF($AC125="","",MID(IF(AND($AC125="רמה א'",$AA125="ניכרת"),"; להוסיף עבודת אוצר מילים","")&amp;IF($Z125="אינה מפותחת","; דגש על הבעה בכתב","")&amp;IF($K125&lt;&gt;"תקין","; נדרש לעבוד על ההנגנה","")&amp;IF($AK125&lt;&gt;"","; "&amp;$AK125,""),3,400))</f>
        <v/>
      </c>
      <c r="AE125" s="32">
        <f>IF($F125="","",IF($F125="תחילת שנה",1,IF($F125="מחצית שנה",2,3)))</f>
        <v/>
      </c>
      <c r="AF125" s="32">
        <f>IF(OR($B125="",$AC125="",$A125="",$F125=""),"",$B125&amp;"|"&amp;$A125&amp;"|"&amp;$F125&amp;"|"&amp;$AC125&amp;"|"&amp;COUNTIFS($B$6:$B125,$B125,$A$6:$A125,$A125,$F$6:$F125,$F125,$AC$6:$AC125,$AC125))</f>
        <v/>
      </c>
      <c r="AG125" s="32">
        <f>IF($C125="","",$C125&amp;"|"&amp;COUNTIFS($C$6:$C125,$C125))</f>
        <v/>
      </c>
      <c r="AH125" s="32">
        <f>IF(OR($C125="",$A125="",$AE125=""),"",$C125&amp;"|"&amp;$A125&amp;"|"&amp;$AE125)</f>
        <v/>
      </c>
      <c r="AI125" s="32">
        <f>IF(OR($C125="",$AE125="",$AE125=1),"",IFERROR(INDEX($AC$6:$AC$1505,MATCH($C125&amp;"|"&amp;$A125&amp;"|"&amp;($AE125-1),$AH$6:$AH$1505,0)),""))</f>
        <v/>
      </c>
      <c r="AJ125" s="32">
        <f>IF(OR($AI125="",$AC125=""),"",IF($AI125=$AC125,"ללא שינוי","מ-"&amp;$AI125&amp;" ל-"&amp;$AC125))</f>
        <v/>
      </c>
      <c r="AK125" s="67" t="n"/>
    </row>
    <row r="126" ht="15.75" customHeight="1" s="58">
      <c r="A126" s="65" t="n"/>
      <c r="B126" s="65" t="n"/>
      <c r="C126" s="66" t="n"/>
      <c r="D126" s="66" t="n"/>
      <c r="E126" s="65" t="n"/>
      <c r="F126" s="65" t="n"/>
      <c r="G126" s="65" t="n"/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65" t="n"/>
      <c r="R126" s="65" t="n"/>
      <c r="S126" s="65" t="n"/>
      <c r="T126" s="65" t="n"/>
      <c r="U126" s="65" t="n"/>
      <c r="V126" s="65" t="n"/>
      <c r="W126" s="65" t="n"/>
      <c r="X126" s="65" t="n"/>
      <c r="Y126" s="32">
        <f>IF($C126="","",IF(COUNTA($I126:$K126)&lt;3,"— חסרים נתונים",IF(AND($I126="תקין",$J126="תקין",$K126="תקין"),"רהוטה",IF(AND($I126="תקין",$J126="תקין"),"מדויקת ורציפה","אינה מדויקת או מקוטעת"))))</f>
        <v/>
      </c>
      <c r="Z126" s="32">
        <f>IF($C126="","",IF(COUNTA($U126:$W126)&lt;3,"",IF(AND($U126="מפותח",$V126="מפותח",$W126="מפותחת"),"מפותחת",IF((--($U126="דל"))+(--($V126="אינו מפותח"))+(--($W126="דלה"))&gt;=2,"אינה מפותחת","חלקית"))))</f>
        <v/>
      </c>
      <c r="AA126" s="32">
        <f>IF($C126="","",IF(COUNTA($M126,$N126,$O126)&lt;3,"— חסרים נתונים",IF(OR($M126="נמוכה",(--($M126&lt;&gt;"תקינה"))+(--($N126&lt;&gt;"תקין"))+(--($O126&lt;&gt;"תקינה"))&gt;=2),"ניכרת","אינה ניכרת")))</f>
        <v/>
      </c>
      <c r="AB126" s="32">
        <f>IF(OR($C126="",$Y126="",$AA126="",LEFT($Y126,1)="—",LEFT($AA126,1)="—"),"",IF($Z126="","— נדרשת הערכת כתיבה",IF($L126="","— חסרה הבנת הנקרא",IF($Y126="אינה מדויקת או מקוטעת",IF($AA126="ניכרת","מיקוד בשטף הקריאה ובכישורי שפה","מיקוד בשטף קריאה"),IF($AA126="ניכרת","מיקוד בכישורי שפה",IF(AND($L126="תקינה",$Z126="מפותחת"),"קוראים וכותבים מיומנים","מיקוד בהבנה והבעה"))))))</f>
        <v/>
      </c>
      <c r="AC126" s="32">
        <f>IF(OR($AB126="",LEFT($AB126,1)="—"),"",IF(OR($AB126="מיקוד בשטף קריאה",$AB126="מיקוד בשטף הקריאה ובכישורי שפה"),"רמה א'",IF($AB126="קוראים וכותבים מיומנים","רמה ג'","רמה ב'")))</f>
        <v/>
      </c>
      <c r="AD126" s="32">
        <f>IF($AC126="","",MID(IF(AND($AC126="רמה א'",$AA126="ניכרת"),"; להוסיף עבודת אוצר מילים","")&amp;IF($Z126="אינה מפותחת","; דגש על הבעה בכתב","")&amp;IF($K126&lt;&gt;"תקין","; נדרש לעבוד על ההנגנה","")&amp;IF($AK126&lt;&gt;"","; "&amp;$AK126,""),3,400))</f>
        <v/>
      </c>
      <c r="AE126" s="32">
        <f>IF($F126="","",IF($F126="תחילת שנה",1,IF($F126="מחצית שנה",2,3)))</f>
        <v/>
      </c>
      <c r="AF126" s="32">
        <f>IF(OR($B126="",$AC126="",$A126="",$F126=""),"",$B126&amp;"|"&amp;$A126&amp;"|"&amp;$F126&amp;"|"&amp;$AC126&amp;"|"&amp;COUNTIFS($B$6:$B126,$B126,$A$6:$A126,$A126,$F$6:$F126,$F126,$AC$6:$AC126,$AC126))</f>
        <v/>
      </c>
      <c r="AG126" s="32">
        <f>IF($C126="","",$C126&amp;"|"&amp;COUNTIFS($C$6:$C126,$C126))</f>
        <v/>
      </c>
      <c r="AH126" s="32">
        <f>IF(OR($C126="",$A126="",$AE126=""),"",$C126&amp;"|"&amp;$A126&amp;"|"&amp;$AE126)</f>
        <v/>
      </c>
      <c r="AI126" s="32">
        <f>IF(OR($C126="",$AE126="",$AE126=1),"",IFERROR(INDEX($AC$6:$AC$1505,MATCH($C126&amp;"|"&amp;$A126&amp;"|"&amp;($AE126-1),$AH$6:$AH$1505,0)),""))</f>
        <v/>
      </c>
      <c r="AJ126" s="32">
        <f>IF(OR($AI126="",$AC126=""),"",IF($AI126=$AC126,"ללא שינוי","מ-"&amp;$AI126&amp;" ל-"&amp;$AC126))</f>
        <v/>
      </c>
      <c r="AK126" s="67" t="n"/>
    </row>
    <row r="127" ht="15.75" customHeight="1" s="58">
      <c r="A127" s="65" t="n"/>
      <c r="B127" s="65" t="n"/>
      <c r="C127" s="66" t="n"/>
      <c r="D127" s="66" t="n"/>
      <c r="E127" s="65" t="n"/>
      <c r="F127" s="65" t="n"/>
      <c r="G127" s="65" t="n"/>
      <c r="H127" s="65" t="n"/>
      <c r="I127" s="65" t="n"/>
      <c r="J127" s="65" t="n"/>
      <c r="K127" s="65" t="n"/>
      <c r="L127" s="65" t="n"/>
      <c r="M127" s="65" t="n"/>
      <c r="N127" s="65" t="n"/>
      <c r="O127" s="65" t="n"/>
      <c r="P127" s="65" t="n"/>
      <c r="Q127" s="65" t="n"/>
      <c r="R127" s="65" t="n"/>
      <c r="S127" s="65" t="n"/>
      <c r="T127" s="65" t="n"/>
      <c r="U127" s="65" t="n"/>
      <c r="V127" s="65" t="n"/>
      <c r="W127" s="65" t="n"/>
      <c r="X127" s="65" t="n"/>
      <c r="Y127" s="32">
        <f>IF($C127="","",IF(COUNTA($I127:$K127)&lt;3,"— חסרים נתונים",IF(AND($I127="תקין",$J127="תקין",$K127="תקין"),"רהוטה",IF(AND($I127="תקין",$J127="תקין"),"מדויקת ורציפה","אינה מדויקת או מקוטעת"))))</f>
        <v/>
      </c>
      <c r="Z127" s="32">
        <f>IF($C127="","",IF(COUNTA($U127:$W127)&lt;3,"",IF(AND($U127="מפותח",$V127="מפותח",$W127="מפותחת"),"מפותחת",IF((--($U127="דל"))+(--($V127="אינו מפותח"))+(--($W127="דלה"))&gt;=2,"אינה מפותחת","חלקית"))))</f>
        <v/>
      </c>
      <c r="AA127" s="32">
        <f>IF($C127="","",IF(COUNTA($M127,$N127,$O127)&lt;3,"— חסרים נתונים",IF(OR($M127="נמוכה",(--($M127&lt;&gt;"תקינה"))+(--($N127&lt;&gt;"תקין"))+(--($O127&lt;&gt;"תקינה"))&gt;=2),"ניכרת","אינה ניכרת")))</f>
        <v/>
      </c>
      <c r="AB127" s="32">
        <f>IF(OR($C127="",$Y127="",$AA127="",LEFT($Y127,1)="—",LEFT($AA127,1)="—"),"",IF($Z127="","— נדרשת הערכת כתיבה",IF($L127="","— חסרה הבנת הנקרא",IF($Y127="אינה מדויקת או מקוטעת",IF($AA127="ניכרת","מיקוד בשטף הקריאה ובכישורי שפה","מיקוד בשטף קריאה"),IF($AA127="ניכרת","מיקוד בכישורי שפה",IF(AND($L127="תקינה",$Z127="מפותחת"),"קוראים וכותבים מיומנים","מיקוד בהבנה והבעה"))))))</f>
        <v/>
      </c>
      <c r="AC127" s="32">
        <f>IF(OR($AB127="",LEFT($AB127,1)="—"),"",IF(OR($AB127="מיקוד בשטף קריאה",$AB127="מיקוד בשטף הקריאה ובכישורי שפה"),"רמה א'",IF($AB127="קוראים וכותבים מיומנים","רמה ג'","רמה ב'")))</f>
        <v/>
      </c>
      <c r="AD127" s="32">
        <f>IF($AC127="","",MID(IF(AND($AC127="רמה א'",$AA127="ניכרת"),"; להוסיף עבודת אוצר מילים","")&amp;IF($Z127="אינה מפותחת","; דגש על הבעה בכתב","")&amp;IF($K127&lt;&gt;"תקין","; נדרש לעבוד על ההנגנה","")&amp;IF($AK127&lt;&gt;"","; "&amp;$AK127,""),3,400))</f>
        <v/>
      </c>
      <c r="AE127" s="32">
        <f>IF($F127="","",IF($F127="תחילת שנה",1,IF($F127="מחצית שנה",2,3)))</f>
        <v/>
      </c>
      <c r="AF127" s="32">
        <f>IF(OR($B127="",$AC127="",$A127="",$F127=""),"",$B127&amp;"|"&amp;$A127&amp;"|"&amp;$F127&amp;"|"&amp;$AC127&amp;"|"&amp;COUNTIFS($B$6:$B127,$B127,$A$6:$A127,$A127,$F$6:$F127,$F127,$AC$6:$AC127,$AC127))</f>
        <v/>
      </c>
      <c r="AG127" s="32">
        <f>IF($C127="","",$C127&amp;"|"&amp;COUNTIFS($C$6:$C127,$C127))</f>
        <v/>
      </c>
      <c r="AH127" s="32">
        <f>IF(OR($C127="",$A127="",$AE127=""),"",$C127&amp;"|"&amp;$A127&amp;"|"&amp;$AE127)</f>
        <v/>
      </c>
      <c r="AI127" s="32">
        <f>IF(OR($C127="",$AE127="",$AE127=1),"",IFERROR(INDEX($AC$6:$AC$1505,MATCH($C127&amp;"|"&amp;$A127&amp;"|"&amp;($AE127-1),$AH$6:$AH$1505,0)),""))</f>
        <v/>
      </c>
      <c r="AJ127" s="32">
        <f>IF(OR($AI127="",$AC127=""),"",IF($AI127=$AC127,"ללא שינוי","מ-"&amp;$AI127&amp;" ל-"&amp;$AC127))</f>
        <v/>
      </c>
      <c r="AK127" s="67" t="n"/>
    </row>
    <row r="128" ht="15.75" customHeight="1" s="58">
      <c r="A128" s="65" t="n"/>
      <c r="B128" s="65" t="n"/>
      <c r="C128" s="66" t="n"/>
      <c r="D128" s="66" t="n"/>
      <c r="E128" s="65" t="n"/>
      <c r="F128" s="65" t="n"/>
      <c r="G128" s="65" t="n"/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65" t="n"/>
      <c r="R128" s="65" t="n"/>
      <c r="S128" s="65" t="n"/>
      <c r="T128" s="65" t="n"/>
      <c r="U128" s="65" t="n"/>
      <c r="V128" s="65" t="n"/>
      <c r="W128" s="65" t="n"/>
      <c r="X128" s="65" t="n"/>
      <c r="Y128" s="32">
        <f>IF($C128="","",IF(COUNTA($I128:$K128)&lt;3,"— חסרים נתונים",IF(AND($I128="תקין",$J128="תקין",$K128="תקין"),"רהוטה",IF(AND($I128="תקין",$J128="תקין"),"מדויקת ורציפה","אינה מדויקת או מקוטעת"))))</f>
        <v/>
      </c>
      <c r="Z128" s="32">
        <f>IF($C128="","",IF(COUNTA($U128:$W128)&lt;3,"",IF(AND($U128="מפותח",$V128="מפותח",$W128="מפותחת"),"מפותחת",IF((--($U128="דל"))+(--($V128="אינו מפותח"))+(--($W128="דלה"))&gt;=2,"אינה מפותחת","חלקית"))))</f>
        <v/>
      </c>
      <c r="AA128" s="32">
        <f>IF($C128="","",IF(COUNTA($M128,$N128,$O128)&lt;3,"— חסרים נתונים",IF(OR($M128="נמוכה",(--($M128&lt;&gt;"תקינה"))+(--($N128&lt;&gt;"תקין"))+(--($O128&lt;&gt;"תקינה"))&gt;=2),"ניכרת","אינה ניכרת")))</f>
        <v/>
      </c>
      <c r="AB128" s="32">
        <f>IF(OR($C128="",$Y128="",$AA128="",LEFT($Y128,1)="—",LEFT($AA128,1)="—"),"",IF($Z128="","— נדרשת הערכת כתיבה",IF($L128="","— חסרה הבנת הנקרא",IF($Y128="אינה מדויקת או מקוטעת",IF($AA128="ניכרת","מיקוד בשטף הקריאה ובכישורי שפה","מיקוד בשטף קריאה"),IF($AA128="ניכרת","מיקוד בכישורי שפה",IF(AND($L128="תקינה",$Z128="מפותחת"),"קוראים וכותבים מיומנים","מיקוד בהבנה והבעה"))))))</f>
        <v/>
      </c>
      <c r="AC128" s="32">
        <f>IF(OR($AB128="",LEFT($AB128,1)="—"),"",IF(OR($AB128="מיקוד בשטף קריאה",$AB128="מיקוד בשטף הקריאה ובכישורי שפה"),"רמה א'",IF($AB128="קוראים וכותבים מיומנים","רמה ג'","רמה ב'")))</f>
        <v/>
      </c>
      <c r="AD128" s="32">
        <f>IF($AC128="","",MID(IF(AND($AC128="רמה א'",$AA128="ניכרת"),"; להוסיף עבודת אוצר מילים","")&amp;IF($Z128="אינה מפותחת","; דגש על הבעה בכתב","")&amp;IF($K128&lt;&gt;"תקין","; נדרש לעבוד על ההנגנה","")&amp;IF($AK128&lt;&gt;"","; "&amp;$AK128,""),3,400))</f>
        <v/>
      </c>
      <c r="AE128" s="32">
        <f>IF($F128="","",IF($F128="תחילת שנה",1,IF($F128="מחצית שנה",2,3)))</f>
        <v/>
      </c>
      <c r="AF128" s="32">
        <f>IF(OR($B128="",$AC128="",$A128="",$F128=""),"",$B128&amp;"|"&amp;$A128&amp;"|"&amp;$F128&amp;"|"&amp;$AC128&amp;"|"&amp;COUNTIFS($B$6:$B128,$B128,$A$6:$A128,$A128,$F$6:$F128,$F128,$AC$6:$AC128,$AC128))</f>
        <v/>
      </c>
      <c r="AG128" s="32">
        <f>IF($C128="","",$C128&amp;"|"&amp;COUNTIFS($C$6:$C128,$C128))</f>
        <v/>
      </c>
      <c r="AH128" s="32">
        <f>IF(OR($C128="",$A128="",$AE128=""),"",$C128&amp;"|"&amp;$A128&amp;"|"&amp;$AE128)</f>
        <v/>
      </c>
      <c r="AI128" s="32">
        <f>IF(OR($C128="",$AE128="",$AE128=1),"",IFERROR(INDEX($AC$6:$AC$1505,MATCH($C128&amp;"|"&amp;$A128&amp;"|"&amp;($AE128-1),$AH$6:$AH$1505,0)),""))</f>
        <v/>
      </c>
      <c r="AJ128" s="32">
        <f>IF(OR($AI128="",$AC128=""),"",IF($AI128=$AC128,"ללא שינוי","מ-"&amp;$AI128&amp;" ל-"&amp;$AC128))</f>
        <v/>
      </c>
      <c r="AK128" s="67" t="n"/>
    </row>
    <row r="129" ht="15.75" customHeight="1" s="58">
      <c r="A129" s="65" t="n"/>
      <c r="B129" s="65" t="n"/>
      <c r="C129" s="66" t="n"/>
      <c r="D129" s="66" t="n"/>
      <c r="E129" s="65" t="n"/>
      <c r="F129" s="65" t="n"/>
      <c r="G129" s="65" t="n"/>
      <c r="H129" s="65" t="n"/>
      <c r="I129" s="65" t="n"/>
      <c r="J129" s="65" t="n"/>
      <c r="K129" s="65" t="n"/>
      <c r="L129" s="65" t="n"/>
      <c r="M129" s="65" t="n"/>
      <c r="N129" s="65" t="n"/>
      <c r="O129" s="65" t="n"/>
      <c r="P129" s="65" t="n"/>
      <c r="Q129" s="65" t="n"/>
      <c r="R129" s="65" t="n"/>
      <c r="S129" s="65" t="n"/>
      <c r="T129" s="65" t="n"/>
      <c r="U129" s="65" t="n"/>
      <c r="V129" s="65" t="n"/>
      <c r="W129" s="65" t="n"/>
      <c r="X129" s="65" t="n"/>
      <c r="Y129" s="32">
        <f>IF($C129="","",IF(COUNTA($I129:$K129)&lt;3,"— חסרים נתונים",IF(AND($I129="תקין",$J129="תקין",$K129="תקין"),"רהוטה",IF(AND($I129="תקין",$J129="תקין"),"מדויקת ורציפה","אינה מדויקת או מקוטעת"))))</f>
        <v/>
      </c>
      <c r="Z129" s="32">
        <f>IF($C129="","",IF(COUNTA($U129:$W129)&lt;3,"",IF(AND($U129="מפותח",$V129="מפותח",$W129="מפותחת"),"מפותחת",IF((--($U129="דל"))+(--($V129="אינו מפותח"))+(--($W129="דלה"))&gt;=2,"אינה מפותחת","חלקית"))))</f>
        <v/>
      </c>
      <c r="AA129" s="32">
        <f>IF($C129="","",IF(COUNTA($M129,$N129,$O129)&lt;3,"— חסרים נתונים",IF(OR($M129="נמוכה",(--($M129&lt;&gt;"תקינה"))+(--($N129&lt;&gt;"תקין"))+(--($O129&lt;&gt;"תקינה"))&gt;=2),"ניכרת","אינה ניכרת")))</f>
        <v/>
      </c>
      <c r="AB129" s="32">
        <f>IF(OR($C129="",$Y129="",$AA129="",LEFT($Y129,1)="—",LEFT($AA129,1)="—"),"",IF($Z129="","— נדרשת הערכת כתיבה",IF($L129="","— חסרה הבנת הנקרא",IF($Y129="אינה מדויקת או מקוטעת",IF($AA129="ניכרת","מיקוד בשטף הקריאה ובכישורי שפה","מיקוד בשטף קריאה"),IF($AA129="ניכרת","מיקוד בכישורי שפה",IF(AND($L129="תקינה",$Z129="מפותחת"),"קוראים וכותבים מיומנים","מיקוד בהבנה והבעה"))))))</f>
        <v/>
      </c>
      <c r="AC129" s="32">
        <f>IF(OR($AB129="",LEFT($AB129,1)="—"),"",IF(OR($AB129="מיקוד בשטף קריאה",$AB129="מיקוד בשטף הקריאה ובכישורי שפה"),"רמה א'",IF($AB129="קוראים וכותבים מיומנים","רמה ג'","רמה ב'")))</f>
        <v/>
      </c>
      <c r="AD129" s="32">
        <f>IF($AC129="","",MID(IF(AND($AC129="רמה א'",$AA129="ניכרת"),"; להוסיף עבודת אוצר מילים","")&amp;IF($Z129="אינה מפותחת","; דגש על הבעה בכתב","")&amp;IF($K129&lt;&gt;"תקין","; נדרש לעבוד על ההנגנה","")&amp;IF($AK129&lt;&gt;"","; "&amp;$AK129,""),3,400))</f>
        <v/>
      </c>
      <c r="AE129" s="32">
        <f>IF($F129="","",IF($F129="תחילת שנה",1,IF($F129="מחצית שנה",2,3)))</f>
        <v/>
      </c>
      <c r="AF129" s="32">
        <f>IF(OR($B129="",$AC129="",$A129="",$F129=""),"",$B129&amp;"|"&amp;$A129&amp;"|"&amp;$F129&amp;"|"&amp;$AC129&amp;"|"&amp;COUNTIFS($B$6:$B129,$B129,$A$6:$A129,$A129,$F$6:$F129,$F129,$AC$6:$AC129,$AC129))</f>
        <v/>
      </c>
      <c r="AG129" s="32">
        <f>IF($C129="","",$C129&amp;"|"&amp;COUNTIFS($C$6:$C129,$C129))</f>
        <v/>
      </c>
      <c r="AH129" s="32">
        <f>IF(OR($C129="",$A129="",$AE129=""),"",$C129&amp;"|"&amp;$A129&amp;"|"&amp;$AE129)</f>
        <v/>
      </c>
      <c r="AI129" s="32">
        <f>IF(OR($C129="",$AE129="",$AE129=1),"",IFERROR(INDEX($AC$6:$AC$1505,MATCH($C129&amp;"|"&amp;$A129&amp;"|"&amp;($AE129-1),$AH$6:$AH$1505,0)),""))</f>
        <v/>
      </c>
      <c r="AJ129" s="32">
        <f>IF(OR($AI129="",$AC129=""),"",IF($AI129=$AC129,"ללא שינוי","מ-"&amp;$AI129&amp;" ל-"&amp;$AC129))</f>
        <v/>
      </c>
      <c r="AK129" s="67" t="n"/>
    </row>
    <row r="130" ht="15.75" customHeight="1" s="58">
      <c r="A130" s="65" t="n"/>
      <c r="B130" s="65" t="n"/>
      <c r="C130" s="66" t="n"/>
      <c r="D130" s="66" t="n"/>
      <c r="E130" s="65" t="n"/>
      <c r="F130" s="65" t="n"/>
      <c r="G130" s="65" t="n"/>
      <c r="H130" s="65" t="n"/>
      <c r="I130" s="65" t="n"/>
      <c r="J130" s="65" t="n"/>
      <c r="K130" s="65" t="n"/>
      <c r="L130" s="65" t="n"/>
      <c r="M130" s="65" t="n"/>
      <c r="N130" s="65" t="n"/>
      <c r="O130" s="65" t="n"/>
      <c r="P130" s="65" t="n"/>
      <c r="Q130" s="65" t="n"/>
      <c r="R130" s="65" t="n"/>
      <c r="S130" s="65" t="n"/>
      <c r="T130" s="65" t="n"/>
      <c r="U130" s="65" t="n"/>
      <c r="V130" s="65" t="n"/>
      <c r="W130" s="65" t="n"/>
      <c r="X130" s="65" t="n"/>
      <c r="Y130" s="32">
        <f>IF($C130="","",IF(COUNTA($I130:$K130)&lt;3,"— חסרים נתונים",IF(AND($I130="תקין",$J130="תקין",$K130="תקין"),"רהוטה",IF(AND($I130="תקין",$J130="תקין"),"מדויקת ורציפה","אינה מדויקת או מקוטעת"))))</f>
        <v/>
      </c>
      <c r="Z130" s="32">
        <f>IF($C130="","",IF(COUNTA($U130:$W130)&lt;3,"",IF(AND($U130="מפותח",$V130="מפותח",$W130="מפותחת"),"מפותחת",IF((--($U130="דל"))+(--($V130="אינו מפותח"))+(--($W130="דלה"))&gt;=2,"אינה מפותחת","חלקית"))))</f>
        <v/>
      </c>
      <c r="AA130" s="32">
        <f>IF($C130="","",IF(COUNTA($M130,$N130,$O130)&lt;3,"— חסרים נתונים",IF(OR($M130="נמוכה",(--($M130&lt;&gt;"תקינה"))+(--($N130&lt;&gt;"תקין"))+(--($O130&lt;&gt;"תקינה"))&gt;=2),"ניכרת","אינה ניכרת")))</f>
        <v/>
      </c>
      <c r="AB130" s="32">
        <f>IF(OR($C130="",$Y130="",$AA130="",LEFT($Y130,1)="—",LEFT($AA130,1)="—"),"",IF($Z130="","— נדרשת הערכת כתיבה",IF($L130="","— חסרה הבנת הנקרא",IF($Y130="אינה מדויקת או מקוטעת",IF($AA130="ניכרת","מיקוד בשטף הקריאה ובכישורי שפה","מיקוד בשטף קריאה"),IF($AA130="ניכרת","מיקוד בכישורי שפה",IF(AND($L130="תקינה",$Z130="מפותחת"),"קוראים וכותבים מיומנים","מיקוד בהבנה והבעה"))))))</f>
        <v/>
      </c>
      <c r="AC130" s="32">
        <f>IF(OR($AB130="",LEFT($AB130,1)="—"),"",IF(OR($AB130="מיקוד בשטף קריאה",$AB130="מיקוד בשטף הקריאה ובכישורי שפה"),"רמה א'",IF($AB130="קוראים וכותבים מיומנים","רמה ג'","רמה ב'")))</f>
        <v/>
      </c>
      <c r="AD130" s="32">
        <f>IF($AC130="","",MID(IF(AND($AC130="רמה א'",$AA130="ניכרת"),"; להוסיף עבודת אוצר מילים","")&amp;IF($Z130="אינה מפותחת","; דגש על הבעה בכתב","")&amp;IF($K130&lt;&gt;"תקין","; נדרש לעבוד על ההנגנה","")&amp;IF($AK130&lt;&gt;"","; "&amp;$AK130,""),3,400))</f>
        <v/>
      </c>
      <c r="AE130" s="32">
        <f>IF($F130="","",IF($F130="תחילת שנה",1,IF($F130="מחצית שנה",2,3)))</f>
        <v/>
      </c>
      <c r="AF130" s="32">
        <f>IF(OR($B130="",$AC130="",$A130="",$F130=""),"",$B130&amp;"|"&amp;$A130&amp;"|"&amp;$F130&amp;"|"&amp;$AC130&amp;"|"&amp;COUNTIFS($B$6:$B130,$B130,$A$6:$A130,$A130,$F$6:$F130,$F130,$AC$6:$AC130,$AC130))</f>
        <v/>
      </c>
      <c r="AG130" s="32">
        <f>IF($C130="","",$C130&amp;"|"&amp;COUNTIFS($C$6:$C130,$C130))</f>
        <v/>
      </c>
      <c r="AH130" s="32">
        <f>IF(OR($C130="",$A130="",$AE130=""),"",$C130&amp;"|"&amp;$A130&amp;"|"&amp;$AE130)</f>
        <v/>
      </c>
      <c r="AI130" s="32">
        <f>IF(OR($C130="",$AE130="",$AE130=1),"",IFERROR(INDEX($AC$6:$AC$1505,MATCH($C130&amp;"|"&amp;$A130&amp;"|"&amp;($AE130-1),$AH$6:$AH$1505,0)),""))</f>
        <v/>
      </c>
      <c r="AJ130" s="32">
        <f>IF(OR($AI130="",$AC130=""),"",IF($AI130=$AC130,"ללא שינוי","מ-"&amp;$AI130&amp;" ל-"&amp;$AC130))</f>
        <v/>
      </c>
      <c r="AK130" s="67" t="n"/>
    </row>
    <row r="131" ht="15.75" customHeight="1" s="58">
      <c r="A131" s="65" t="n"/>
      <c r="B131" s="65" t="n"/>
      <c r="C131" s="66" t="n"/>
      <c r="D131" s="66" t="n"/>
      <c r="E131" s="65" t="n"/>
      <c r="F131" s="65" t="n"/>
      <c r="G131" s="65" t="n"/>
      <c r="H131" s="65" t="n"/>
      <c r="I131" s="65" t="n"/>
      <c r="J131" s="65" t="n"/>
      <c r="K131" s="65" t="n"/>
      <c r="L131" s="65" t="n"/>
      <c r="M131" s="65" t="n"/>
      <c r="N131" s="65" t="n"/>
      <c r="O131" s="65" t="n"/>
      <c r="P131" s="65" t="n"/>
      <c r="Q131" s="65" t="n"/>
      <c r="R131" s="65" t="n"/>
      <c r="S131" s="65" t="n"/>
      <c r="T131" s="65" t="n"/>
      <c r="U131" s="65" t="n"/>
      <c r="V131" s="65" t="n"/>
      <c r="W131" s="65" t="n"/>
      <c r="X131" s="65" t="n"/>
      <c r="Y131" s="32">
        <f>IF($C131="","",IF(COUNTA($I131:$K131)&lt;3,"— חסרים נתונים",IF(AND($I131="תקין",$J131="תקין",$K131="תקין"),"רהוטה",IF(AND($I131="תקין",$J131="תקין"),"מדויקת ורציפה","אינה מדויקת או מקוטעת"))))</f>
        <v/>
      </c>
      <c r="Z131" s="32">
        <f>IF($C131="","",IF(COUNTA($U131:$W131)&lt;3,"",IF(AND($U131="מפותח",$V131="מפותח",$W131="מפותחת"),"מפותחת",IF((--($U131="דל"))+(--($V131="אינו מפותח"))+(--($W131="דלה"))&gt;=2,"אינה מפותחת","חלקית"))))</f>
        <v/>
      </c>
      <c r="AA131" s="32">
        <f>IF($C131="","",IF(COUNTA($M131,$N131,$O131)&lt;3,"— חסרים נתונים",IF(OR($M131="נמוכה",(--($M131&lt;&gt;"תקינה"))+(--($N131&lt;&gt;"תקין"))+(--($O131&lt;&gt;"תקינה"))&gt;=2),"ניכרת","אינה ניכרת")))</f>
        <v/>
      </c>
      <c r="AB131" s="32">
        <f>IF(OR($C131="",$Y131="",$AA131="",LEFT($Y131,1)="—",LEFT($AA131,1)="—"),"",IF($Z131="","— נדרשת הערכת כתיבה",IF($L131="","— חסרה הבנת הנקרא",IF($Y131="אינה מדויקת או מקוטעת",IF($AA131="ניכרת","מיקוד בשטף הקריאה ובכישורי שפה","מיקוד בשטף קריאה"),IF($AA131="ניכרת","מיקוד בכישורי שפה",IF(AND($L131="תקינה",$Z131="מפותחת"),"קוראים וכותבים מיומנים","מיקוד בהבנה והבעה"))))))</f>
        <v/>
      </c>
      <c r="AC131" s="32">
        <f>IF(OR($AB131="",LEFT($AB131,1)="—"),"",IF(OR($AB131="מיקוד בשטף קריאה",$AB131="מיקוד בשטף הקריאה ובכישורי שפה"),"רמה א'",IF($AB131="קוראים וכותבים מיומנים","רמה ג'","רמה ב'")))</f>
        <v/>
      </c>
      <c r="AD131" s="32">
        <f>IF($AC131="","",MID(IF(AND($AC131="רמה א'",$AA131="ניכרת"),"; להוסיף עבודת אוצר מילים","")&amp;IF($Z131="אינה מפותחת","; דגש על הבעה בכתב","")&amp;IF($K131&lt;&gt;"תקין","; נדרש לעבוד על ההנגנה","")&amp;IF($AK131&lt;&gt;"","; "&amp;$AK131,""),3,400))</f>
        <v/>
      </c>
      <c r="AE131" s="32">
        <f>IF($F131="","",IF($F131="תחילת שנה",1,IF($F131="מחצית שנה",2,3)))</f>
        <v/>
      </c>
      <c r="AF131" s="32">
        <f>IF(OR($B131="",$AC131="",$A131="",$F131=""),"",$B131&amp;"|"&amp;$A131&amp;"|"&amp;$F131&amp;"|"&amp;$AC131&amp;"|"&amp;COUNTIFS($B$6:$B131,$B131,$A$6:$A131,$A131,$F$6:$F131,$F131,$AC$6:$AC131,$AC131))</f>
        <v/>
      </c>
      <c r="AG131" s="32">
        <f>IF($C131="","",$C131&amp;"|"&amp;COUNTIFS($C$6:$C131,$C131))</f>
        <v/>
      </c>
      <c r="AH131" s="32">
        <f>IF(OR($C131="",$A131="",$AE131=""),"",$C131&amp;"|"&amp;$A131&amp;"|"&amp;$AE131)</f>
        <v/>
      </c>
      <c r="AI131" s="32">
        <f>IF(OR($C131="",$AE131="",$AE131=1),"",IFERROR(INDEX($AC$6:$AC$1505,MATCH($C131&amp;"|"&amp;$A131&amp;"|"&amp;($AE131-1),$AH$6:$AH$1505,0)),""))</f>
        <v/>
      </c>
      <c r="AJ131" s="32">
        <f>IF(OR($AI131="",$AC131=""),"",IF($AI131=$AC131,"ללא שינוי","מ-"&amp;$AI131&amp;" ל-"&amp;$AC131))</f>
        <v/>
      </c>
      <c r="AK131" s="67" t="n"/>
    </row>
    <row r="132" ht="15.75" customHeight="1" s="58">
      <c r="A132" s="65" t="n"/>
      <c r="B132" s="65" t="n"/>
      <c r="C132" s="66" t="n"/>
      <c r="D132" s="66" t="n"/>
      <c r="E132" s="65" t="n"/>
      <c r="F132" s="65" t="n"/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65" t="n"/>
      <c r="U132" s="65" t="n"/>
      <c r="V132" s="65" t="n"/>
      <c r="W132" s="65" t="n"/>
      <c r="X132" s="65" t="n"/>
      <c r="Y132" s="32">
        <f>IF($C132="","",IF(COUNTA($I132:$K132)&lt;3,"— חסרים נתונים",IF(AND($I132="תקין",$J132="תקין",$K132="תקין"),"רהוטה",IF(AND($I132="תקין",$J132="תקין"),"מדויקת ורציפה","אינה מדויקת או מקוטעת"))))</f>
        <v/>
      </c>
      <c r="Z132" s="32">
        <f>IF($C132="","",IF(COUNTA($U132:$W132)&lt;3,"",IF(AND($U132="מפותח",$V132="מפותח",$W132="מפותחת"),"מפותחת",IF((--($U132="דל"))+(--($V132="אינו מפותח"))+(--($W132="דלה"))&gt;=2,"אינה מפותחת","חלקית"))))</f>
        <v/>
      </c>
      <c r="AA132" s="32">
        <f>IF($C132="","",IF(COUNTA($M132,$N132,$O132)&lt;3,"— חסרים נתונים",IF(OR($M132="נמוכה",(--($M132&lt;&gt;"תקינה"))+(--($N132&lt;&gt;"תקין"))+(--($O132&lt;&gt;"תקינה"))&gt;=2),"ניכרת","אינה ניכרת")))</f>
        <v/>
      </c>
      <c r="AB132" s="32">
        <f>IF(OR($C132="",$Y132="",$AA132="",LEFT($Y132,1)="—",LEFT($AA132,1)="—"),"",IF($Z132="","— נדרשת הערכת כתיבה",IF($L132="","— חסרה הבנת הנקרא",IF($Y132="אינה מדויקת או מקוטעת",IF($AA132="ניכרת","מיקוד בשטף הקריאה ובכישורי שפה","מיקוד בשטף קריאה"),IF($AA132="ניכרת","מיקוד בכישורי שפה",IF(AND($L132="תקינה",$Z132="מפותחת"),"קוראים וכותבים מיומנים","מיקוד בהבנה והבעה"))))))</f>
        <v/>
      </c>
      <c r="AC132" s="32">
        <f>IF(OR($AB132="",LEFT($AB132,1)="—"),"",IF(OR($AB132="מיקוד בשטף קריאה",$AB132="מיקוד בשטף הקריאה ובכישורי שפה"),"רמה א'",IF($AB132="קוראים וכותבים מיומנים","רמה ג'","רמה ב'")))</f>
        <v/>
      </c>
      <c r="AD132" s="32">
        <f>IF($AC132="","",MID(IF(AND($AC132="רמה א'",$AA132="ניכרת"),"; להוסיף עבודת אוצר מילים","")&amp;IF($Z132="אינה מפותחת","; דגש על הבעה בכתב","")&amp;IF($K132&lt;&gt;"תקין","; נדרש לעבוד על ההנגנה","")&amp;IF($AK132&lt;&gt;"","; "&amp;$AK132,""),3,400))</f>
        <v/>
      </c>
      <c r="AE132" s="32">
        <f>IF($F132="","",IF($F132="תחילת שנה",1,IF($F132="מחצית שנה",2,3)))</f>
        <v/>
      </c>
      <c r="AF132" s="32">
        <f>IF(OR($B132="",$AC132="",$A132="",$F132=""),"",$B132&amp;"|"&amp;$A132&amp;"|"&amp;$F132&amp;"|"&amp;$AC132&amp;"|"&amp;COUNTIFS($B$6:$B132,$B132,$A$6:$A132,$A132,$F$6:$F132,$F132,$AC$6:$AC132,$AC132))</f>
        <v/>
      </c>
      <c r="AG132" s="32">
        <f>IF($C132="","",$C132&amp;"|"&amp;COUNTIFS($C$6:$C132,$C132))</f>
        <v/>
      </c>
      <c r="AH132" s="32">
        <f>IF(OR($C132="",$A132="",$AE132=""),"",$C132&amp;"|"&amp;$A132&amp;"|"&amp;$AE132)</f>
        <v/>
      </c>
      <c r="AI132" s="32">
        <f>IF(OR($C132="",$AE132="",$AE132=1),"",IFERROR(INDEX($AC$6:$AC$1505,MATCH($C132&amp;"|"&amp;$A132&amp;"|"&amp;($AE132-1),$AH$6:$AH$1505,0)),""))</f>
        <v/>
      </c>
      <c r="AJ132" s="32">
        <f>IF(OR($AI132="",$AC132=""),"",IF($AI132=$AC132,"ללא שינוי","מ-"&amp;$AI132&amp;" ל-"&amp;$AC132))</f>
        <v/>
      </c>
      <c r="AK132" s="67" t="n"/>
    </row>
    <row r="133" ht="15.75" customHeight="1" s="58">
      <c r="A133" s="65" t="n"/>
      <c r="B133" s="65" t="n"/>
      <c r="C133" s="66" t="n"/>
      <c r="D133" s="66" t="n"/>
      <c r="E133" s="65" t="n"/>
      <c r="F133" s="65" t="n"/>
      <c r="G133" s="65" t="n"/>
      <c r="H133" s="65" t="n"/>
      <c r="I133" s="65" t="n"/>
      <c r="J133" s="65" t="n"/>
      <c r="K133" s="65" t="n"/>
      <c r="L133" s="65" t="n"/>
      <c r="M133" s="65" t="n"/>
      <c r="N133" s="65" t="n"/>
      <c r="O133" s="65" t="n"/>
      <c r="P133" s="65" t="n"/>
      <c r="Q133" s="65" t="n"/>
      <c r="R133" s="65" t="n"/>
      <c r="S133" s="65" t="n"/>
      <c r="T133" s="65" t="n"/>
      <c r="U133" s="65" t="n"/>
      <c r="V133" s="65" t="n"/>
      <c r="W133" s="65" t="n"/>
      <c r="X133" s="65" t="n"/>
      <c r="Y133" s="32">
        <f>IF($C133="","",IF(COUNTA($I133:$K133)&lt;3,"— חסרים נתונים",IF(AND($I133="תקין",$J133="תקין",$K133="תקין"),"רהוטה",IF(AND($I133="תקין",$J133="תקין"),"מדויקת ורציפה","אינה מדויקת או מקוטעת"))))</f>
        <v/>
      </c>
      <c r="Z133" s="32">
        <f>IF($C133="","",IF(COUNTA($U133:$W133)&lt;3,"",IF(AND($U133="מפותח",$V133="מפותח",$W133="מפותחת"),"מפותחת",IF((--($U133="דל"))+(--($V133="אינו מפותח"))+(--($W133="דלה"))&gt;=2,"אינה מפותחת","חלקית"))))</f>
        <v/>
      </c>
      <c r="AA133" s="32">
        <f>IF($C133="","",IF(COUNTA($M133,$N133,$O133)&lt;3,"— חסרים נתונים",IF(OR($M133="נמוכה",(--($M133&lt;&gt;"תקינה"))+(--($N133&lt;&gt;"תקין"))+(--($O133&lt;&gt;"תקינה"))&gt;=2),"ניכרת","אינה ניכרת")))</f>
        <v/>
      </c>
      <c r="AB133" s="32">
        <f>IF(OR($C133="",$Y133="",$AA133="",LEFT($Y133,1)="—",LEFT($AA133,1)="—"),"",IF($Z133="","— נדרשת הערכת כתיבה",IF($L133="","— חסרה הבנת הנקרא",IF($Y133="אינה מדויקת או מקוטעת",IF($AA133="ניכרת","מיקוד בשטף הקריאה ובכישורי שפה","מיקוד בשטף קריאה"),IF($AA133="ניכרת","מיקוד בכישורי שפה",IF(AND($L133="תקינה",$Z133="מפותחת"),"קוראים וכותבים מיומנים","מיקוד בהבנה והבעה"))))))</f>
        <v/>
      </c>
      <c r="AC133" s="32">
        <f>IF(OR($AB133="",LEFT($AB133,1)="—"),"",IF(OR($AB133="מיקוד בשטף קריאה",$AB133="מיקוד בשטף הקריאה ובכישורי שפה"),"רמה א'",IF($AB133="קוראים וכותבים מיומנים","רמה ג'","רמה ב'")))</f>
        <v/>
      </c>
      <c r="AD133" s="32">
        <f>IF($AC133="","",MID(IF(AND($AC133="רמה א'",$AA133="ניכרת"),"; להוסיף עבודת אוצר מילים","")&amp;IF($Z133="אינה מפותחת","; דגש על הבעה בכתב","")&amp;IF($K133&lt;&gt;"תקין","; נדרש לעבוד על ההנגנה","")&amp;IF($AK133&lt;&gt;"","; "&amp;$AK133,""),3,400))</f>
        <v/>
      </c>
      <c r="AE133" s="32">
        <f>IF($F133="","",IF($F133="תחילת שנה",1,IF($F133="מחצית שנה",2,3)))</f>
        <v/>
      </c>
      <c r="AF133" s="32">
        <f>IF(OR($B133="",$AC133="",$A133="",$F133=""),"",$B133&amp;"|"&amp;$A133&amp;"|"&amp;$F133&amp;"|"&amp;$AC133&amp;"|"&amp;COUNTIFS($B$6:$B133,$B133,$A$6:$A133,$A133,$F$6:$F133,$F133,$AC$6:$AC133,$AC133))</f>
        <v/>
      </c>
      <c r="AG133" s="32">
        <f>IF($C133="","",$C133&amp;"|"&amp;COUNTIFS($C$6:$C133,$C133))</f>
        <v/>
      </c>
      <c r="AH133" s="32">
        <f>IF(OR($C133="",$A133="",$AE133=""),"",$C133&amp;"|"&amp;$A133&amp;"|"&amp;$AE133)</f>
        <v/>
      </c>
      <c r="AI133" s="32">
        <f>IF(OR($C133="",$AE133="",$AE133=1),"",IFERROR(INDEX($AC$6:$AC$1505,MATCH($C133&amp;"|"&amp;$A133&amp;"|"&amp;($AE133-1),$AH$6:$AH$1505,0)),""))</f>
        <v/>
      </c>
      <c r="AJ133" s="32">
        <f>IF(OR($AI133="",$AC133=""),"",IF($AI133=$AC133,"ללא שינוי","מ-"&amp;$AI133&amp;" ל-"&amp;$AC133))</f>
        <v/>
      </c>
      <c r="AK133" s="67" t="n"/>
    </row>
    <row r="134" ht="15.75" customHeight="1" s="58">
      <c r="A134" s="65" t="n"/>
      <c r="B134" s="65" t="n"/>
      <c r="C134" s="66" t="n"/>
      <c r="D134" s="66" t="n"/>
      <c r="E134" s="65" t="n"/>
      <c r="F134" s="65" t="n"/>
      <c r="G134" s="65" t="n"/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 t="n"/>
      <c r="Q134" s="65" t="n"/>
      <c r="R134" s="65" t="n"/>
      <c r="S134" s="65" t="n"/>
      <c r="T134" s="65" t="n"/>
      <c r="U134" s="65" t="n"/>
      <c r="V134" s="65" t="n"/>
      <c r="W134" s="65" t="n"/>
      <c r="X134" s="65" t="n"/>
      <c r="Y134" s="32">
        <f>IF($C134="","",IF(COUNTA($I134:$K134)&lt;3,"— חסרים נתונים",IF(AND($I134="תקין",$J134="תקין",$K134="תקין"),"רהוטה",IF(AND($I134="תקין",$J134="תקין"),"מדויקת ורציפה","אינה מדויקת או מקוטעת"))))</f>
        <v/>
      </c>
      <c r="Z134" s="32">
        <f>IF($C134="","",IF(COUNTA($U134:$W134)&lt;3,"",IF(AND($U134="מפותח",$V134="מפותח",$W134="מפותחת"),"מפותחת",IF((--($U134="דל"))+(--($V134="אינו מפותח"))+(--($W134="דלה"))&gt;=2,"אינה מפותחת","חלקית"))))</f>
        <v/>
      </c>
      <c r="AA134" s="32">
        <f>IF($C134="","",IF(COUNTA($M134,$N134,$O134)&lt;3,"— חסרים נתונים",IF(OR($M134="נמוכה",(--($M134&lt;&gt;"תקינה"))+(--($N134&lt;&gt;"תקין"))+(--($O134&lt;&gt;"תקינה"))&gt;=2),"ניכרת","אינה ניכרת")))</f>
        <v/>
      </c>
      <c r="AB134" s="32">
        <f>IF(OR($C134="",$Y134="",$AA134="",LEFT($Y134,1)="—",LEFT($AA134,1)="—"),"",IF($Z134="","— נדרשת הערכת כתיבה",IF($L134="","— חסרה הבנת הנקרא",IF($Y134="אינה מדויקת או מקוטעת",IF($AA134="ניכרת","מיקוד בשטף הקריאה ובכישורי שפה","מיקוד בשטף קריאה"),IF($AA134="ניכרת","מיקוד בכישורי שפה",IF(AND($L134="תקינה",$Z134="מפותחת"),"קוראים וכותבים מיומנים","מיקוד בהבנה והבעה"))))))</f>
        <v/>
      </c>
      <c r="AC134" s="32">
        <f>IF(OR($AB134="",LEFT($AB134,1)="—"),"",IF(OR($AB134="מיקוד בשטף קריאה",$AB134="מיקוד בשטף הקריאה ובכישורי שפה"),"רמה א'",IF($AB134="קוראים וכותבים מיומנים","רמה ג'","רמה ב'")))</f>
        <v/>
      </c>
      <c r="AD134" s="32">
        <f>IF($AC134="","",MID(IF(AND($AC134="רמה א'",$AA134="ניכרת"),"; להוסיף עבודת אוצר מילים","")&amp;IF($Z134="אינה מפותחת","; דגש על הבעה בכתב","")&amp;IF($K134&lt;&gt;"תקין","; נדרש לעבוד על ההנגנה","")&amp;IF($AK134&lt;&gt;"","; "&amp;$AK134,""),3,400))</f>
        <v/>
      </c>
      <c r="AE134" s="32">
        <f>IF($F134="","",IF($F134="תחילת שנה",1,IF($F134="מחצית שנה",2,3)))</f>
        <v/>
      </c>
      <c r="AF134" s="32">
        <f>IF(OR($B134="",$AC134="",$A134="",$F134=""),"",$B134&amp;"|"&amp;$A134&amp;"|"&amp;$F134&amp;"|"&amp;$AC134&amp;"|"&amp;COUNTIFS($B$6:$B134,$B134,$A$6:$A134,$A134,$F$6:$F134,$F134,$AC$6:$AC134,$AC134))</f>
        <v/>
      </c>
      <c r="AG134" s="32">
        <f>IF($C134="","",$C134&amp;"|"&amp;COUNTIFS($C$6:$C134,$C134))</f>
        <v/>
      </c>
      <c r="AH134" s="32">
        <f>IF(OR($C134="",$A134="",$AE134=""),"",$C134&amp;"|"&amp;$A134&amp;"|"&amp;$AE134)</f>
        <v/>
      </c>
      <c r="AI134" s="32">
        <f>IF(OR($C134="",$AE134="",$AE134=1),"",IFERROR(INDEX($AC$6:$AC$1505,MATCH($C134&amp;"|"&amp;$A134&amp;"|"&amp;($AE134-1),$AH$6:$AH$1505,0)),""))</f>
        <v/>
      </c>
      <c r="AJ134" s="32">
        <f>IF(OR($AI134="",$AC134=""),"",IF($AI134=$AC134,"ללא שינוי","מ-"&amp;$AI134&amp;" ל-"&amp;$AC134))</f>
        <v/>
      </c>
      <c r="AK134" s="67" t="n"/>
    </row>
    <row r="135" ht="15.75" customHeight="1" s="58">
      <c r="A135" s="65" t="n"/>
      <c r="B135" s="65" t="n"/>
      <c r="C135" s="66" t="n"/>
      <c r="D135" s="66" t="n"/>
      <c r="E135" s="65" t="n"/>
      <c r="F135" s="65" t="n"/>
      <c r="G135" s="65" t="n"/>
      <c r="H135" s="65" t="n"/>
      <c r="I135" s="65" t="n"/>
      <c r="J135" s="65" t="n"/>
      <c r="K135" s="65" t="n"/>
      <c r="L135" s="65" t="n"/>
      <c r="M135" s="65" t="n"/>
      <c r="N135" s="65" t="n"/>
      <c r="O135" s="65" t="n"/>
      <c r="P135" s="65" t="n"/>
      <c r="Q135" s="65" t="n"/>
      <c r="R135" s="65" t="n"/>
      <c r="S135" s="65" t="n"/>
      <c r="T135" s="65" t="n"/>
      <c r="U135" s="65" t="n"/>
      <c r="V135" s="65" t="n"/>
      <c r="W135" s="65" t="n"/>
      <c r="X135" s="65" t="n"/>
      <c r="Y135" s="32">
        <f>IF($C135="","",IF(COUNTA($I135:$K135)&lt;3,"— חסרים נתונים",IF(AND($I135="תקין",$J135="תקין",$K135="תקין"),"רהוטה",IF(AND($I135="תקין",$J135="תקין"),"מדויקת ורציפה","אינה מדויקת או מקוטעת"))))</f>
        <v/>
      </c>
      <c r="Z135" s="32">
        <f>IF($C135="","",IF(COUNTA($U135:$W135)&lt;3,"",IF(AND($U135="מפותח",$V135="מפותח",$W135="מפותחת"),"מפותחת",IF((--($U135="דל"))+(--($V135="אינו מפותח"))+(--($W135="דלה"))&gt;=2,"אינה מפותחת","חלקית"))))</f>
        <v/>
      </c>
      <c r="AA135" s="32">
        <f>IF($C135="","",IF(COUNTA($M135,$N135,$O135)&lt;3,"— חסרים נתונים",IF(OR($M135="נמוכה",(--($M135&lt;&gt;"תקינה"))+(--($N135&lt;&gt;"תקין"))+(--($O135&lt;&gt;"תקינה"))&gt;=2),"ניכרת","אינה ניכרת")))</f>
        <v/>
      </c>
      <c r="AB135" s="32">
        <f>IF(OR($C135="",$Y135="",$AA135="",LEFT($Y135,1)="—",LEFT($AA135,1)="—"),"",IF($Z135="","— נדרשת הערכת כתיבה",IF($L135="","— חסרה הבנת הנקרא",IF($Y135="אינה מדויקת או מקוטעת",IF($AA135="ניכרת","מיקוד בשטף הקריאה ובכישורי שפה","מיקוד בשטף קריאה"),IF($AA135="ניכרת","מיקוד בכישורי שפה",IF(AND($L135="תקינה",$Z135="מפותחת"),"קוראים וכותבים מיומנים","מיקוד בהבנה והבעה"))))))</f>
        <v/>
      </c>
      <c r="AC135" s="32">
        <f>IF(OR($AB135="",LEFT($AB135,1)="—"),"",IF(OR($AB135="מיקוד בשטף קריאה",$AB135="מיקוד בשטף הקריאה ובכישורי שפה"),"רמה א'",IF($AB135="קוראים וכותבים מיומנים","רמה ג'","רמה ב'")))</f>
        <v/>
      </c>
      <c r="AD135" s="32">
        <f>IF($AC135="","",MID(IF(AND($AC135="רמה א'",$AA135="ניכרת"),"; להוסיף עבודת אוצר מילים","")&amp;IF($Z135="אינה מפותחת","; דגש על הבעה בכתב","")&amp;IF($K135&lt;&gt;"תקין","; נדרש לעבוד על ההנגנה","")&amp;IF($AK135&lt;&gt;"","; "&amp;$AK135,""),3,400))</f>
        <v/>
      </c>
      <c r="AE135" s="32">
        <f>IF($F135="","",IF($F135="תחילת שנה",1,IF($F135="מחצית שנה",2,3)))</f>
        <v/>
      </c>
      <c r="AF135" s="32">
        <f>IF(OR($B135="",$AC135="",$A135="",$F135=""),"",$B135&amp;"|"&amp;$A135&amp;"|"&amp;$F135&amp;"|"&amp;$AC135&amp;"|"&amp;COUNTIFS($B$6:$B135,$B135,$A$6:$A135,$A135,$F$6:$F135,$F135,$AC$6:$AC135,$AC135))</f>
        <v/>
      </c>
      <c r="AG135" s="32">
        <f>IF($C135="","",$C135&amp;"|"&amp;COUNTIFS($C$6:$C135,$C135))</f>
        <v/>
      </c>
      <c r="AH135" s="32">
        <f>IF(OR($C135="",$A135="",$AE135=""),"",$C135&amp;"|"&amp;$A135&amp;"|"&amp;$AE135)</f>
        <v/>
      </c>
      <c r="AI135" s="32">
        <f>IF(OR($C135="",$AE135="",$AE135=1),"",IFERROR(INDEX($AC$6:$AC$1505,MATCH($C135&amp;"|"&amp;$A135&amp;"|"&amp;($AE135-1),$AH$6:$AH$1505,0)),""))</f>
        <v/>
      </c>
      <c r="AJ135" s="32">
        <f>IF(OR($AI135="",$AC135=""),"",IF($AI135=$AC135,"ללא שינוי","מ-"&amp;$AI135&amp;" ל-"&amp;$AC135))</f>
        <v/>
      </c>
      <c r="AK135" s="67" t="n"/>
    </row>
    <row r="136" ht="15.75" customHeight="1" s="58">
      <c r="A136" s="65" t="n"/>
      <c r="B136" s="65" t="n"/>
      <c r="C136" s="66" t="n"/>
      <c r="D136" s="66" t="n"/>
      <c r="E136" s="65" t="n"/>
      <c r="F136" s="65" t="n"/>
      <c r="G136" s="65" t="n"/>
      <c r="H136" s="65" t="n"/>
      <c r="I136" s="65" t="n"/>
      <c r="J136" s="65" t="n"/>
      <c r="K136" s="65" t="n"/>
      <c r="L136" s="65" t="n"/>
      <c r="M136" s="65" t="n"/>
      <c r="N136" s="65" t="n"/>
      <c r="O136" s="65" t="n"/>
      <c r="P136" s="65" t="n"/>
      <c r="Q136" s="65" t="n"/>
      <c r="R136" s="65" t="n"/>
      <c r="S136" s="65" t="n"/>
      <c r="T136" s="65" t="n"/>
      <c r="U136" s="65" t="n"/>
      <c r="V136" s="65" t="n"/>
      <c r="W136" s="65" t="n"/>
      <c r="X136" s="65" t="n"/>
      <c r="Y136" s="32">
        <f>IF($C136="","",IF(COUNTA($I136:$K136)&lt;3,"— חסרים נתונים",IF(AND($I136="תקין",$J136="תקין",$K136="תקין"),"רהוטה",IF(AND($I136="תקין",$J136="תקין"),"מדויקת ורציפה","אינה מדויקת או מקוטעת"))))</f>
        <v/>
      </c>
      <c r="Z136" s="32">
        <f>IF($C136="","",IF(COUNTA($U136:$W136)&lt;3,"",IF(AND($U136="מפותח",$V136="מפותח",$W136="מפותחת"),"מפותחת",IF((--($U136="דל"))+(--($V136="אינו מפותח"))+(--($W136="דלה"))&gt;=2,"אינה מפותחת","חלקית"))))</f>
        <v/>
      </c>
      <c r="AA136" s="32">
        <f>IF($C136="","",IF(COUNTA($M136,$N136,$O136)&lt;3,"— חסרים נתונים",IF(OR($M136="נמוכה",(--($M136&lt;&gt;"תקינה"))+(--($N136&lt;&gt;"תקין"))+(--($O136&lt;&gt;"תקינה"))&gt;=2),"ניכרת","אינה ניכרת")))</f>
        <v/>
      </c>
      <c r="AB136" s="32">
        <f>IF(OR($C136="",$Y136="",$AA136="",LEFT($Y136,1)="—",LEFT($AA136,1)="—"),"",IF($Z136="","— נדרשת הערכת כתיבה",IF($L136="","— חסרה הבנת הנקרא",IF($Y136="אינה מדויקת או מקוטעת",IF($AA136="ניכרת","מיקוד בשטף הקריאה ובכישורי שפה","מיקוד בשטף קריאה"),IF($AA136="ניכרת","מיקוד בכישורי שפה",IF(AND($L136="תקינה",$Z136="מפותחת"),"קוראים וכותבים מיומנים","מיקוד בהבנה והבעה"))))))</f>
        <v/>
      </c>
      <c r="AC136" s="32">
        <f>IF(OR($AB136="",LEFT($AB136,1)="—"),"",IF(OR($AB136="מיקוד בשטף קריאה",$AB136="מיקוד בשטף הקריאה ובכישורי שפה"),"רמה א'",IF($AB136="קוראים וכותבים מיומנים","רמה ג'","רמה ב'")))</f>
        <v/>
      </c>
      <c r="AD136" s="32">
        <f>IF($AC136="","",MID(IF(AND($AC136="רמה א'",$AA136="ניכרת"),"; להוסיף עבודת אוצר מילים","")&amp;IF($Z136="אינה מפותחת","; דגש על הבעה בכתב","")&amp;IF($K136&lt;&gt;"תקין","; נדרש לעבוד על ההנגנה","")&amp;IF($AK136&lt;&gt;"","; "&amp;$AK136,""),3,400))</f>
        <v/>
      </c>
      <c r="AE136" s="32">
        <f>IF($F136="","",IF($F136="תחילת שנה",1,IF($F136="מחצית שנה",2,3)))</f>
        <v/>
      </c>
      <c r="AF136" s="32">
        <f>IF(OR($B136="",$AC136="",$A136="",$F136=""),"",$B136&amp;"|"&amp;$A136&amp;"|"&amp;$F136&amp;"|"&amp;$AC136&amp;"|"&amp;COUNTIFS($B$6:$B136,$B136,$A$6:$A136,$A136,$F$6:$F136,$F136,$AC$6:$AC136,$AC136))</f>
        <v/>
      </c>
      <c r="AG136" s="32">
        <f>IF($C136="","",$C136&amp;"|"&amp;COUNTIFS($C$6:$C136,$C136))</f>
        <v/>
      </c>
      <c r="AH136" s="32">
        <f>IF(OR($C136="",$A136="",$AE136=""),"",$C136&amp;"|"&amp;$A136&amp;"|"&amp;$AE136)</f>
        <v/>
      </c>
      <c r="AI136" s="32">
        <f>IF(OR($C136="",$AE136="",$AE136=1),"",IFERROR(INDEX($AC$6:$AC$1505,MATCH($C136&amp;"|"&amp;$A136&amp;"|"&amp;($AE136-1),$AH$6:$AH$1505,0)),""))</f>
        <v/>
      </c>
      <c r="AJ136" s="32">
        <f>IF(OR($AI136="",$AC136=""),"",IF($AI136=$AC136,"ללא שינוי","מ-"&amp;$AI136&amp;" ל-"&amp;$AC136))</f>
        <v/>
      </c>
      <c r="AK136" s="67" t="n"/>
    </row>
    <row r="137" ht="15.75" customHeight="1" s="58">
      <c r="A137" s="65" t="n"/>
      <c r="B137" s="65" t="n"/>
      <c r="C137" s="66" t="n"/>
      <c r="D137" s="66" t="n"/>
      <c r="E137" s="65" t="n"/>
      <c r="F137" s="65" t="n"/>
      <c r="G137" s="65" t="n"/>
      <c r="H137" s="65" t="n"/>
      <c r="I137" s="65" t="n"/>
      <c r="J137" s="65" t="n"/>
      <c r="K137" s="65" t="n"/>
      <c r="L137" s="65" t="n"/>
      <c r="M137" s="65" t="n"/>
      <c r="N137" s="65" t="n"/>
      <c r="O137" s="65" t="n"/>
      <c r="P137" s="65" t="n"/>
      <c r="Q137" s="65" t="n"/>
      <c r="R137" s="65" t="n"/>
      <c r="S137" s="65" t="n"/>
      <c r="T137" s="65" t="n"/>
      <c r="U137" s="65" t="n"/>
      <c r="V137" s="65" t="n"/>
      <c r="W137" s="65" t="n"/>
      <c r="X137" s="65" t="n"/>
      <c r="Y137" s="32">
        <f>IF($C137="","",IF(COUNTA($I137:$K137)&lt;3,"— חסרים נתונים",IF(AND($I137="תקין",$J137="תקין",$K137="תקין"),"רהוטה",IF(AND($I137="תקין",$J137="תקין"),"מדויקת ורציפה","אינה מדויקת או מקוטעת"))))</f>
        <v/>
      </c>
      <c r="Z137" s="32">
        <f>IF($C137="","",IF(COUNTA($U137:$W137)&lt;3,"",IF(AND($U137="מפותח",$V137="מפותח",$W137="מפותחת"),"מפותחת",IF((--($U137="דל"))+(--($V137="אינו מפותח"))+(--($W137="דלה"))&gt;=2,"אינה מפותחת","חלקית"))))</f>
        <v/>
      </c>
      <c r="AA137" s="32">
        <f>IF($C137="","",IF(COUNTA($M137,$N137,$O137)&lt;3,"— חסרים נתונים",IF(OR($M137="נמוכה",(--($M137&lt;&gt;"תקינה"))+(--($N137&lt;&gt;"תקין"))+(--($O137&lt;&gt;"תקינה"))&gt;=2),"ניכרת","אינה ניכרת")))</f>
        <v/>
      </c>
      <c r="AB137" s="32">
        <f>IF(OR($C137="",$Y137="",$AA137="",LEFT($Y137,1)="—",LEFT($AA137,1)="—"),"",IF($Z137="","— נדרשת הערכת כתיבה",IF($L137="","— חסרה הבנת הנקרא",IF($Y137="אינה מדויקת או מקוטעת",IF($AA137="ניכרת","מיקוד בשטף הקריאה ובכישורי שפה","מיקוד בשטף קריאה"),IF($AA137="ניכרת","מיקוד בכישורי שפה",IF(AND($L137="תקינה",$Z137="מפותחת"),"קוראים וכותבים מיומנים","מיקוד בהבנה והבעה"))))))</f>
        <v/>
      </c>
      <c r="AC137" s="32">
        <f>IF(OR($AB137="",LEFT($AB137,1)="—"),"",IF(OR($AB137="מיקוד בשטף קריאה",$AB137="מיקוד בשטף הקריאה ובכישורי שפה"),"רמה א'",IF($AB137="קוראים וכותבים מיומנים","רמה ג'","רמה ב'")))</f>
        <v/>
      </c>
      <c r="AD137" s="32">
        <f>IF($AC137="","",MID(IF(AND($AC137="רמה א'",$AA137="ניכרת"),"; להוסיף עבודת אוצר מילים","")&amp;IF($Z137="אינה מפותחת","; דגש על הבעה בכתב","")&amp;IF($K137&lt;&gt;"תקין","; נדרש לעבוד על ההנגנה","")&amp;IF($AK137&lt;&gt;"","; "&amp;$AK137,""),3,400))</f>
        <v/>
      </c>
      <c r="AE137" s="32">
        <f>IF($F137="","",IF($F137="תחילת שנה",1,IF($F137="מחצית שנה",2,3)))</f>
        <v/>
      </c>
      <c r="AF137" s="32">
        <f>IF(OR($B137="",$AC137="",$A137="",$F137=""),"",$B137&amp;"|"&amp;$A137&amp;"|"&amp;$F137&amp;"|"&amp;$AC137&amp;"|"&amp;COUNTIFS($B$6:$B137,$B137,$A$6:$A137,$A137,$F$6:$F137,$F137,$AC$6:$AC137,$AC137))</f>
        <v/>
      </c>
      <c r="AG137" s="32">
        <f>IF($C137="","",$C137&amp;"|"&amp;COUNTIFS($C$6:$C137,$C137))</f>
        <v/>
      </c>
      <c r="AH137" s="32">
        <f>IF(OR($C137="",$A137="",$AE137=""),"",$C137&amp;"|"&amp;$A137&amp;"|"&amp;$AE137)</f>
        <v/>
      </c>
      <c r="AI137" s="32">
        <f>IF(OR($C137="",$AE137="",$AE137=1),"",IFERROR(INDEX($AC$6:$AC$1505,MATCH($C137&amp;"|"&amp;$A137&amp;"|"&amp;($AE137-1),$AH$6:$AH$1505,0)),""))</f>
        <v/>
      </c>
      <c r="AJ137" s="32">
        <f>IF(OR($AI137="",$AC137=""),"",IF($AI137=$AC137,"ללא שינוי","מ-"&amp;$AI137&amp;" ל-"&amp;$AC137))</f>
        <v/>
      </c>
      <c r="AK137" s="67" t="n"/>
    </row>
    <row r="138" ht="15.75" customHeight="1" s="58">
      <c r="A138" s="65" t="n"/>
      <c r="B138" s="65" t="n"/>
      <c r="C138" s="66" t="n"/>
      <c r="D138" s="66" t="n"/>
      <c r="E138" s="65" t="n"/>
      <c r="F138" s="65" t="n"/>
      <c r="G138" s="65" t="n"/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65" t="n"/>
      <c r="R138" s="65" t="n"/>
      <c r="S138" s="65" t="n"/>
      <c r="T138" s="65" t="n"/>
      <c r="U138" s="65" t="n"/>
      <c r="V138" s="65" t="n"/>
      <c r="W138" s="65" t="n"/>
      <c r="X138" s="65" t="n"/>
      <c r="Y138" s="32">
        <f>IF($C138="","",IF(COUNTA($I138:$K138)&lt;3,"— חסרים נתונים",IF(AND($I138="תקין",$J138="תקין",$K138="תקין"),"רהוטה",IF(AND($I138="תקין",$J138="תקין"),"מדויקת ורציפה","אינה מדויקת או מקוטעת"))))</f>
        <v/>
      </c>
      <c r="Z138" s="32">
        <f>IF($C138="","",IF(COUNTA($U138:$W138)&lt;3,"",IF(AND($U138="מפותח",$V138="מפותח",$W138="מפותחת"),"מפותחת",IF((--($U138="דל"))+(--($V138="אינו מפותח"))+(--($W138="דלה"))&gt;=2,"אינה מפותחת","חלקית"))))</f>
        <v/>
      </c>
      <c r="AA138" s="32">
        <f>IF($C138="","",IF(COUNTA($M138,$N138,$O138)&lt;3,"— חסרים נתונים",IF(OR($M138="נמוכה",(--($M138&lt;&gt;"תקינה"))+(--($N138&lt;&gt;"תקין"))+(--($O138&lt;&gt;"תקינה"))&gt;=2),"ניכרת","אינה ניכרת")))</f>
        <v/>
      </c>
      <c r="AB138" s="32">
        <f>IF(OR($C138="",$Y138="",$AA138="",LEFT($Y138,1)="—",LEFT($AA138,1)="—"),"",IF($Z138="","— נדרשת הערכת כתיבה",IF($L138="","— חסרה הבנת הנקרא",IF($Y138="אינה מדויקת או מקוטעת",IF($AA138="ניכרת","מיקוד בשטף הקריאה ובכישורי שפה","מיקוד בשטף קריאה"),IF($AA138="ניכרת","מיקוד בכישורי שפה",IF(AND($L138="תקינה",$Z138="מפותחת"),"קוראים וכותבים מיומנים","מיקוד בהבנה והבעה"))))))</f>
        <v/>
      </c>
      <c r="AC138" s="32">
        <f>IF(OR($AB138="",LEFT($AB138,1)="—"),"",IF(OR($AB138="מיקוד בשטף קריאה",$AB138="מיקוד בשטף הקריאה ובכישורי שפה"),"רמה א'",IF($AB138="קוראים וכותבים מיומנים","רמה ג'","רמה ב'")))</f>
        <v/>
      </c>
      <c r="AD138" s="32">
        <f>IF($AC138="","",MID(IF(AND($AC138="רמה א'",$AA138="ניכרת"),"; להוסיף עבודת אוצר מילים","")&amp;IF($Z138="אינה מפותחת","; דגש על הבעה בכתב","")&amp;IF($K138&lt;&gt;"תקין","; נדרש לעבוד על ההנגנה","")&amp;IF($AK138&lt;&gt;"","; "&amp;$AK138,""),3,400))</f>
        <v/>
      </c>
      <c r="AE138" s="32">
        <f>IF($F138="","",IF($F138="תחילת שנה",1,IF($F138="מחצית שנה",2,3)))</f>
        <v/>
      </c>
      <c r="AF138" s="32">
        <f>IF(OR($B138="",$AC138="",$A138="",$F138=""),"",$B138&amp;"|"&amp;$A138&amp;"|"&amp;$F138&amp;"|"&amp;$AC138&amp;"|"&amp;COUNTIFS($B$6:$B138,$B138,$A$6:$A138,$A138,$F$6:$F138,$F138,$AC$6:$AC138,$AC138))</f>
        <v/>
      </c>
      <c r="AG138" s="32">
        <f>IF($C138="","",$C138&amp;"|"&amp;COUNTIFS($C$6:$C138,$C138))</f>
        <v/>
      </c>
      <c r="AH138" s="32">
        <f>IF(OR($C138="",$A138="",$AE138=""),"",$C138&amp;"|"&amp;$A138&amp;"|"&amp;$AE138)</f>
        <v/>
      </c>
      <c r="AI138" s="32">
        <f>IF(OR($C138="",$AE138="",$AE138=1),"",IFERROR(INDEX($AC$6:$AC$1505,MATCH($C138&amp;"|"&amp;$A138&amp;"|"&amp;($AE138-1),$AH$6:$AH$1505,0)),""))</f>
        <v/>
      </c>
      <c r="AJ138" s="32">
        <f>IF(OR($AI138="",$AC138=""),"",IF($AI138=$AC138,"ללא שינוי","מ-"&amp;$AI138&amp;" ל-"&amp;$AC138))</f>
        <v/>
      </c>
      <c r="AK138" s="67" t="n"/>
    </row>
    <row r="139" ht="15.75" customHeight="1" s="58">
      <c r="A139" s="65" t="n"/>
      <c r="B139" s="65" t="n"/>
      <c r="C139" s="66" t="n"/>
      <c r="D139" s="66" t="n"/>
      <c r="E139" s="65" t="n"/>
      <c r="F139" s="65" t="n"/>
      <c r="G139" s="65" t="n"/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65" t="n"/>
      <c r="R139" s="65" t="n"/>
      <c r="S139" s="65" t="n"/>
      <c r="T139" s="65" t="n"/>
      <c r="U139" s="65" t="n"/>
      <c r="V139" s="65" t="n"/>
      <c r="W139" s="65" t="n"/>
      <c r="X139" s="65" t="n"/>
      <c r="Y139" s="32">
        <f>IF($C139="","",IF(COUNTA($I139:$K139)&lt;3,"— חסרים נתונים",IF(AND($I139="תקין",$J139="תקין",$K139="תקין"),"רהוטה",IF(AND($I139="תקין",$J139="תקין"),"מדויקת ורציפה","אינה מדויקת או מקוטעת"))))</f>
        <v/>
      </c>
      <c r="Z139" s="32">
        <f>IF($C139="","",IF(COUNTA($U139:$W139)&lt;3,"",IF(AND($U139="מפותח",$V139="מפותח",$W139="מפותחת"),"מפותחת",IF((--($U139="דל"))+(--($V139="אינו מפותח"))+(--($W139="דלה"))&gt;=2,"אינה מפותחת","חלקית"))))</f>
        <v/>
      </c>
      <c r="AA139" s="32">
        <f>IF($C139="","",IF(COUNTA($M139,$N139,$O139)&lt;3,"— חסרים נתונים",IF(OR($M139="נמוכה",(--($M139&lt;&gt;"תקינה"))+(--($N139&lt;&gt;"תקין"))+(--($O139&lt;&gt;"תקינה"))&gt;=2),"ניכרת","אינה ניכרת")))</f>
        <v/>
      </c>
      <c r="AB139" s="32">
        <f>IF(OR($C139="",$Y139="",$AA139="",LEFT($Y139,1)="—",LEFT($AA139,1)="—"),"",IF($Z139="","— נדרשת הערכת כתיבה",IF($L139="","— חסרה הבנת הנקרא",IF($Y139="אינה מדויקת או מקוטעת",IF($AA139="ניכרת","מיקוד בשטף הקריאה ובכישורי שפה","מיקוד בשטף קריאה"),IF($AA139="ניכרת","מיקוד בכישורי שפה",IF(AND($L139="תקינה",$Z139="מפותחת"),"קוראים וכותבים מיומנים","מיקוד בהבנה והבעה"))))))</f>
        <v/>
      </c>
      <c r="AC139" s="32">
        <f>IF(OR($AB139="",LEFT($AB139,1)="—"),"",IF(OR($AB139="מיקוד בשטף קריאה",$AB139="מיקוד בשטף הקריאה ובכישורי שפה"),"רמה א'",IF($AB139="קוראים וכותבים מיומנים","רמה ג'","רמה ב'")))</f>
        <v/>
      </c>
      <c r="AD139" s="32">
        <f>IF($AC139="","",MID(IF(AND($AC139="רמה א'",$AA139="ניכרת"),"; להוסיף עבודת אוצר מילים","")&amp;IF($Z139="אינה מפותחת","; דגש על הבעה בכתב","")&amp;IF($K139&lt;&gt;"תקין","; נדרש לעבוד על ההנגנה","")&amp;IF($AK139&lt;&gt;"","; "&amp;$AK139,""),3,400))</f>
        <v/>
      </c>
      <c r="AE139" s="32">
        <f>IF($F139="","",IF($F139="תחילת שנה",1,IF($F139="מחצית שנה",2,3)))</f>
        <v/>
      </c>
      <c r="AF139" s="32">
        <f>IF(OR($B139="",$AC139="",$A139="",$F139=""),"",$B139&amp;"|"&amp;$A139&amp;"|"&amp;$F139&amp;"|"&amp;$AC139&amp;"|"&amp;COUNTIFS($B$6:$B139,$B139,$A$6:$A139,$A139,$F$6:$F139,$F139,$AC$6:$AC139,$AC139))</f>
        <v/>
      </c>
      <c r="AG139" s="32">
        <f>IF($C139="","",$C139&amp;"|"&amp;COUNTIFS($C$6:$C139,$C139))</f>
        <v/>
      </c>
      <c r="AH139" s="32">
        <f>IF(OR($C139="",$A139="",$AE139=""),"",$C139&amp;"|"&amp;$A139&amp;"|"&amp;$AE139)</f>
        <v/>
      </c>
      <c r="AI139" s="32">
        <f>IF(OR($C139="",$AE139="",$AE139=1),"",IFERROR(INDEX($AC$6:$AC$1505,MATCH($C139&amp;"|"&amp;$A139&amp;"|"&amp;($AE139-1),$AH$6:$AH$1505,0)),""))</f>
        <v/>
      </c>
      <c r="AJ139" s="32">
        <f>IF(OR($AI139="",$AC139=""),"",IF($AI139=$AC139,"ללא שינוי","מ-"&amp;$AI139&amp;" ל-"&amp;$AC139))</f>
        <v/>
      </c>
      <c r="AK139" s="67" t="n"/>
    </row>
    <row r="140" ht="15.75" customHeight="1" s="58">
      <c r="A140" s="65" t="n"/>
      <c r="B140" s="65" t="n"/>
      <c r="C140" s="66" t="n"/>
      <c r="D140" s="66" t="n"/>
      <c r="E140" s="65" t="n"/>
      <c r="F140" s="65" t="n"/>
      <c r="G140" s="65" t="n"/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65" t="n"/>
      <c r="R140" s="65" t="n"/>
      <c r="S140" s="65" t="n"/>
      <c r="T140" s="65" t="n"/>
      <c r="U140" s="65" t="n"/>
      <c r="V140" s="65" t="n"/>
      <c r="W140" s="65" t="n"/>
      <c r="X140" s="65" t="n"/>
      <c r="Y140" s="32">
        <f>IF($C140="","",IF(COUNTA($I140:$K140)&lt;3,"— חסרים נתונים",IF(AND($I140="תקין",$J140="תקין",$K140="תקין"),"רהוטה",IF(AND($I140="תקין",$J140="תקין"),"מדויקת ורציפה","אינה מדויקת או מקוטעת"))))</f>
        <v/>
      </c>
      <c r="Z140" s="32">
        <f>IF($C140="","",IF(COUNTA($U140:$W140)&lt;3,"",IF(AND($U140="מפותח",$V140="מפותח",$W140="מפותחת"),"מפותחת",IF((--($U140="דל"))+(--($V140="אינו מפותח"))+(--($W140="דלה"))&gt;=2,"אינה מפותחת","חלקית"))))</f>
        <v/>
      </c>
      <c r="AA140" s="32">
        <f>IF($C140="","",IF(COUNTA($M140,$N140,$O140)&lt;3,"— חסרים נתונים",IF(OR($M140="נמוכה",(--($M140&lt;&gt;"תקינה"))+(--($N140&lt;&gt;"תקין"))+(--($O140&lt;&gt;"תקינה"))&gt;=2),"ניכרת","אינה ניכרת")))</f>
        <v/>
      </c>
      <c r="AB140" s="32">
        <f>IF(OR($C140="",$Y140="",$AA140="",LEFT($Y140,1)="—",LEFT($AA140,1)="—"),"",IF($Z140="","— נדרשת הערכת כתיבה",IF($L140="","— חסרה הבנת הנקרא",IF($Y140="אינה מדויקת או מקוטעת",IF($AA140="ניכרת","מיקוד בשטף הקריאה ובכישורי שפה","מיקוד בשטף קריאה"),IF($AA140="ניכרת","מיקוד בכישורי שפה",IF(AND($L140="תקינה",$Z140="מפותחת"),"קוראים וכותבים מיומנים","מיקוד בהבנה והבעה"))))))</f>
        <v/>
      </c>
      <c r="AC140" s="32">
        <f>IF(OR($AB140="",LEFT($AB140,1)="—"),"",IF(OR($AB140="מיקוד בשטף קריאה",$AB140="מיקוד בשטף הקריאה ובכישורי שפה"),"רמה א'",IF($AB140="קוראים וכותבים מיומנים","רמה ג'","רמה ב'")))</f>
        <v/>
      </c>
      <c r="AD140" s="32">
        <f>IF($AC140="","",MID(IF(AND($AC140="רמה א'",$AA140="ניכרת"),"; להוסיף עבודת אוצר מילים","")&amp;IF($Z140="אינה מפותחת","; דגש על הבעה בכתב","")&amp;IF($K140&lt;&gt;"תקין","; נדרש לעבוד על ההנגנה","")&amp;IF($AK140&lt;&gt;"","; "&amp;$AK140,""),3,400))</f>
        <v/>
      </c>
      <c r="AE140" s="32">
        <f>IF($F140="","",IF($F140="תחילת שנה",1,IF($F140="מחצית שנה",2,3)))</f>
        <v/>
      </c>
      <c r="AF140" s="32">
        <f>IF(OR($B140="",$AC140="",$A140="",$F140=""),"",$B140&amp;"|"&amp;$A140&amp;"|"&amp;$F140&amp;"|"&amp;$AC140&amp;"|"&amp;COUNTIFS($B$6:$B140,$B140,$A$6:$A140,$A140,$F$6:$F140,$F140,$AC$6:$AC140,$AC140))</f>
        <v/>
      </c>
      <c r="AG140" s="32">
        <f>IF($C140="","",$C140&amp;"|"&amp;COUNTIFS($C$6:$C140,$C140))</f>
        <v/>
      </c>
      <c r="AH140" s="32">
        <f>IF(OR($C140="",$A140="",$AE140=""),"",$C140&amp;"|"&amp;$A140&amp;"|"&amp;$AE140)</f>
        <v/>
      </c>
      <c r="AI140" s="32">
        <f>IF(OR($C140="",$AE140="",$AE140=1),"",IFERROR(INDEX($AC$6:$AC$1505,MATCH($C140&amp;"|"&amp;$A140&amp;"|"&amp;($AE140-1),$AH$6:$AH$1505,0)),""))</f>
        <v/>
      </c>
      <c r="AJ140" s="32">
        <f>IF(OR($AI140="",$AC140=""),"",IF($AI140=$AC140,"ללא שינוי","מ-"&amp;$AI140&amp;" ל-"&amp;$AC140))</f>
        <v/>
      </c>
      <c r="AK140" s="67" t="n"/>
    </row>
    <row r="141" ht="15.75" customHeight="1" s="58">
      <c r="A141" s="65" t="n"/>
      <c r="B141" s="65" t="n"/>
      <c r="C141" s="66" t="n"/>
      <c r="D141" s="66" t="n"/>
      <c r="E141" s="65" t="n"/>
      <c r="F141" s="65" t="n"/>
      <c r="G141" s="65" t="n"/>
      <c r="H141" s="65" t="n"/>
      <c r="I141" s="65" t="n"/>
      <c r="J141" s="65" t="n"/>
      <c r="K141" s="65" t="n"/>
      <c r="L141" s="65" t="n"/>
      <c r="M141" s="65" t="n"/>
      <c r="N141" s="65" t="n"/>
      <c r="O141" s="65" t="n"/>
      <c r="P141" s="65" t="n"/>
      <c r="Q141" s="65" t="n"/>
      <c r="R141" s="65" t="n"/>
      <c r="S141" s="65" t="n"/>
      <c r="T141" s="65" t="n"/>
      <c r="U141" s="65" t="n"/>
      <c r="V141" s="65" t="n"/>
      <c r="W141" s="65" t="n"/>
      <c r="X141" s="65" t="n"/>
      <c r="Y141" s="32">
        <f>IF($C141="","",IF(COUNTA($I141:$K141)&lt;3,"— חסרים נתונים",IF(AND($I141="תקין",$J141="תקין",$K141="תקין"),"רהוטה",IF(AND($I141="תקין",$J141="תקין"),"מדויקת ורציפה","אינה מדויקת או מקוטעת"))))</f>
        <v/>
      </c>
      <c r="Z141" s="32">
        <f>IF($C141="","",IF(COUNTA($U141:$W141)&lt;3,"",IF(AND($U141="מפותח",$V141="מפותח",$W141="מפותחת"),"מפותחת",IF((--($U141="דל"))+(--($V141="אינו מפותח"))+(--($W141="דלה"))&gt;=2,"אינה מפותחת","חלקית"))))</f>
        <v/>
      </c>
      <c r="AA141" s="32">
        <f>IF($C141="","",IF(COUNTA($M141,$N141,$O141)&lt;3,"— חסרים נתונים",IF(OR($M141="נמוכה",(--($M141&lt;&gt;"תקינה"))+(--($N141&lt;&gt;"תקין"))+(--($O141&lt;&gt;"תקינה"))&gt;=2),"ניכרת","אינה ניכרת")))</f>
        <v/>
      </c>
      <c r="AB141" s="32">
        <f>IF(OR($C141="",$Y141="",$AA141="",LEFT($Y141,1)="—",LEFT($AA141,1)="—"),"",IF($Z141="","— נדרשת הערכת כתיבה",IF($L141="","— חסרה הבנת הנקרא",IF($Y141="אינה מדויקת או מקוטעת",IF($AA141="ניכרת","מיקוד בשטף הקריאה ובכישורי שפה","מיקוד בשטף קריאה"),IF($AA141="ניכרת","מיקוד בכישורי שפה",IF(AND($L141="תקינה",$Z141="מפותחת"),"קוראים וכותבים מיומנים","מיקוד בהבנה והבעה"))))))</f>
        <v/>
      </c>
      <c r="AC141" s="32">
        <f>IF(OR($AB141="",LEFT($AB141,1)="—"),"",IF(OR($AB141="מיקוד בשטף קריאה",$AB141="מיקוד בשטף הקריאה ובכישורי שפה"),"רמה א'",IF($AB141="קוראים וכותבים מיומנים","רמה ג'","רמה ב'")))</f>
        <v/>
      </c>
      <c r="AD141" s="32">
        <f>IF($AC141="","",MID(IF(AND($AC141="רמה א'",$AA141="ניכרת"),"; להוסיף עבודת אוצר מילים","")&amp;IF($Z141="אינה מפותחת","; דגש על הבעה בכתב","")&amp;IF($K141&lt;&gt;"תקין","; נדרש לעבוד על ההנגנה","")&amp;IF($AK141&lt;&gt;"","; "&amp;$AK141,""),3,400))</f>
        <v/>
      </c>
      <c r="AE141" s="32">
        <f>IF($F141="","",IF($F141="תחילת שנה",1,IF($F141="מחצית שנה",2,3)))</f>
        <v/>
      </c>
      <c r="AF141" s="32">
        <f>IF(OR($B141="",$AC141="",$A141="",$F141=""),"",$B141&amp;"|"&amp;$A141&amp;"|"&amp;$F141&amp;"|"&amp;$AC141&amp;"|"&amp;COUNTIFS($B$6:$B141,$B141,$A$6:$A141,$A141,$F$6:$F141,$F141,$AC$6:$AC141,$AC141))</f>
        <v/>
      </c>
      <c r="AG141" s="32">
        <f>IF($C141="","",$C141&amp;"|"&amp;COUNTIFS($C$6:$C141,$C141))</f>
        <v/>
      </c>
      <c r="AH141" s="32">
        <f>IF(OR($C141="",$A141="",$AE141=""),"",$C141&amp;"|"&amp;$A141&amp;"|"&amp;$AE141)</f>
        <v/>
      </c>
      <c r="AI141" s="32">
        <f>IF(OR($C141="",$AE141="",$AE141=1),"",IFERROR(INDEX($AC$6:$AC$1505,MATCH($C141&amp;"|"&amp;$A141&amp;"|"&amp;($AE141-1),$AH$6:$AH$1505,0)),""))</f>
        <v/>
      </c>
      <c r="AJ141" s="32">
        <f>IF(OR($AI141="",$AC141=""),"",IF($AI141=$AC141,"ללא שינוי","מ-"&amp;$AI141&amp;" ל-"&amp;$AC141))</f>
        <v/>
      </c>
      <c r="AK141" s="67" t="n"/>
    </row>
    <row r="142" ht="15.75" customHeight="1" s="58">
      <c r="A142" s="65" t="n"/>
      <c r="B142" s="65" t="n"/>
      <c r="C142" s="66" t="n"/>
      <c r="D142" s="66" t="n"/>
      <c r="E142" s="65" t="n"/>
      <c r="F142" s="65" t="n"/>
      <c r="G142" s="65" t="n"/>
      <c r="H142" s="65" t="n"/>
      <c r="I142" s="65" t="n"/>
      <c r="J142" s="65" t="n"/>
      <c r="K142" s="65" t="n"/>
      <c r="L142" s="65" t="n"/>
      <c r="M142" s="65" t="n"/>
      <c r="N142" s="65" t="n"/>
      <c r="O142" s="65" t="n"/>
      <c r="P142" s="65" t="n"/>
      <c r="Q142" s="65" t="n"/>
      <c r="R142" s="65" t="n"/>
      <c r="S142" s="65" t="n"/>
      <c r="T142" s="65" t="n"/>
      <c r="U142" s="65" t="n"/>
      <c r="V142" s="65" t="n"/>
      <c r="W142" s="65" t="n"/>
      <c r="X142" s="65" t="n"/>
      <c r="Y142" s="32">
        <f>IF($C142="","",IF(COUNTA($I142:$K142)&lt;3,"— חסרים נתונים",IF(AND($I142="תקין",$J142="תקין",$K142="תקין"),"רהוטה",IF(AND($I142="תקין",$J142="תקין"),"מדויקת ורציפה","אינה מדויקת או מקוטעת"))))</f>
        <v/>
      </c>
      <c r="Z142" s="32">
        <f>IF($C142="","",IF(COUNTA($U142:$W142)&lt;3,"",IF(AND($U142="מפותח",$V142="מפותח",$W142="מפותחת"),"מפותחת",IF((--($U142="דל"))+(--($V142="אינו מפותח"))+(--($W142="דלה"))&gt;=2,"אינה מפותחת","חלקית"))))</f>
        <v/>
      </c>
      <c r="AA142" s="32">
        <f>IF($C142="","",IF(COUNTA($M142,$N142,$O142)&lt;3,"— חסרים נתונים",IF(OR($M142="נמוכה",(--($M142&lt;&gt;"תקינה"))+(--($N142&lt;&gt;"תקין"))+(--($O142&lt;&gt;"תקינה"))&gt;=2),"ניכרת","אינה ניכרת")))</f>
        <v/>
      </c>
      <c r="AB142" s="32">
        <f>IF(OR($C142="",$Y142="",$AA142="",LEFT($Y142,1)="—",LEFT($AA142,1)="—"),"",IF($Z142="","— נדרשת הערכת כתיבה",IF($L142="","— חסרה הבנת הנקרא",IF($Y142="אינה מדויקת או מקוטעת",IF($AA142="ניכרת","מיקוד בשטף הקריאה ובכישורי שפה","מיקוד בשטף קריאה"),IF($AA142="ניכרת","מיקוד בכישורי שפה",IF(AND($L142="תקינה",$Z142="מפותחת"),"קוראים וכותבים מיומנים","מיקוד בהבנה והבעה"))))))</f>
        <v/>
      </c>
      <c r="AC142" s="32">
        <f>IF(OR($AB142="",LEFT($AB142,1)="—"),"",IF(OR($AB142="מיקוד בשטף קריאה",$AB142="מיקוד בשטף הקריאה ובכישורי שפה"),"רמה א'",IF($AB142="קוראים וכותבים מיומנים","רמה ג'","רמה ב'")))</f>
        <v/>
      </c>
      <c r="AD142" s="32">
        <f>IF($AC142="","",MID(IF(AND($AC142="רמה א'",$AA142="ניכרת"),"; להוסיף עבודת אוצר מילים","")&amp;IF($Z142="אינה מפותחת","; דגש על הבעה בכתב","")&amp;IF($K142&lt;&gt;"תקין","; נדרש לעבוד על ההנגנה","")&amp;IF($AK142&lt;&gt;"","; "&amp;$AK142,""),3,400))</f>
        <v/>
      </c>
      <c r="AE142" s="32">
        <f>IF($F142="","",IF($F142="תחילת שנה",1,IF($F142="מחצית שנה",2,3)))</f>
        <v/>
      </c>
      <c r="AF142" s="32">
        <f>IF(OR($B142="",$AC142="",$A142="",$F142=""),"",$B142&amp;"|"&amp;$A142&amp;"|"&amp;$F142&amp;"|"&amp;$AC142&amp;"|"&amp;COUNTIFS($B$6:$B142,$B142,$A$6:$A142,$A142,$F$6:$F142,$F142,$AC$6:$AC142,$AC142))</f>
        <v/>
      </c>
      <c r="AG142" s="32">
        <f>IF($C142="","",$C142&amp;"|"&amp;COUNTIFS($C$6:$C142,$C142))</f>
        <v/>
      </c>
      <c r="AH142" s="32">
        <f>IF(OR($C142="",$A142="",$AE142=""),"",$C142&amp;"|"&amp;$A142&amp;"|"&amp;$AE142)</f>
        <v/>
      </c>
      <c r="AI142" s="32">
        <f>IF(OR($C142="",$AE142="",$AE142=1),"",IFERROR(INDEX($AC$6:$AC$1505,MATCH($C142&amp;"|"&amp;$A142&amp;"|"&amp;($AE142-1),$AH$6:$AH$1505,0)),""))</f>
        <v/>
      </c>
      <c r="AJ142" s="32">
        <f>IF(OR($AI142="",$AC142=""),"",IF($AI142=$AC142,"ללא שינוי","מ-"&amp;$AI142&amp;" ל-"&amp;$AC142))</f>
        <v/>
      </c>
      <c r="AK142" s="67" t="n"/>
    </row>
    <row r="143" ht="15.75" customHeight="1" s="58">
      <c r="A143" s="65" t="n"/>
      <c r="B143" s="65" t="n"/>
      <c r="C143" s="66" t="n"/>
      <c r="D143" s="66" t="n"/>
      <c r="E143" s="65" t="n"/>
      <c r="F143" s="65" t="n"/>
      <c r="G143" s="65" t="n"/>
      <c r="H143" s="65" t="n"/>
      <c r="I143" s="65" t="n"/>
      <c r="J143" s="65" t="n"/>
      <c r="K143" s="65" t="n"/>
      <c r="L143" s="65" t="n"/>
      <c r="M143" s="65" t="n"/>
      <c r="N143" s="65" t="n"/>
      <c r="O143" s="65" t="n"/>
      <c r="P143" s="65" t="n"/>
      <c r="Q143" s="65" t="n"/>
      <c r="R143" s="65" t="n"/>
      <c r="S143" s="65" t="n"/>
      <c r="T143" s="65" t="n"/>
      <c r="U143" s="65" t="n"/>
      <c r="V143" s="65" t="n"/>
      <c r="W143" s="65" t="n"/>
      <c r="X143" s="65" t="n"/>
      <c r="Y143" s="32">
        <f>IF($C143="","",IF(COUNTA($I143:$K143)&lt;3,"— חסרים נתונים",IF(AND($I143="תקין",$J143="תקין",$K143="תקין"),"רהוטה",IF(AND($I143="תקין",$J143="תקין"),"מדויקת ורציפה","אינה מדויקת או מקוטעת"))))</f>
        <v/>
      </c>
      <c r="Z143" s="32">
        <f>IF($C143="","",IF(COUNTA($U143:$W143)&lt;3,"",IF(AND($U143="מפותח",$V143="מפותח",$W143="מפותחת"),"מפותחת",IF((--($U143="דל"))+(--($V143="אינו מפותח"))+(--($W143="דלה"))&gt;=2,"אינה מפותחת","חלקית"))))</f>
        <v/>
      </c>
      <c r="AA143" s="32">
        <f>IF($C143="","",IF(COUNTA($M143,$N143,$O143)&lt;3,"— חסרים נתונים",IF(OR($M143="נמוכה",(--($M143&lt;&gt;"תקינה"))+(--($N143&lt;&gt;"תקין"))+(--($O143&lt;&gt;"תקינה"))&gt;=2),"ניכרת","אינה ניכרת")))</f>
        <v/>
      </c>
      <c r="AB143" s="32">
        <f>IF(OR($C143="",$Y143="",$AA143="",LEFT($Y143,1)="—",LEFT($AA143,1)="—"),"",IF($Z143="","— נדרשת הערכת כתיבה",IF($L143="","— חסרה הבנת הנקרא",IF($Y143="אינה מדויקת או מקוטעת",IF($AA143="ניכרת","מיקוד בשטף הקריאה ובכישורי שפה","מיקוד בשטף קריאה"),IF($AA143="ניכרת","מיקוד בכישורי שפה",IF(AND($L143="תקינה",$Z143="מפותחת"),"קוראים וכותבים מיומנים","מיקוד בהבנה והבעה"))))))</f>
        <v/>
      </c>
      <c r="AC143" s="32">
        <f>IF(OR($AB143="",LEFT($AB143,1)="—"),"",IF(OR($AB143="מיקוד בשטף קריאה",$AB143="מיקוד בשטף הקריאה ובכישורי שפה"),"רמה א'",IF($AB143="קוראים וכותבים מיומנים","רמה ג'","רמה ב'")))</f>
        <v/>
      </c>
      <c r="AD143" s="32">
        <f>IF($AC143="","",MID(IF(AND($AC143="רמה א'",$AA143="ניכרת"),"; להוסיף עבודת אוצר מילים","")&amp;IF($Z143="אינה מפותחת","; דגש על הבעה בכתב","")&amp;IF($K143&lt;&gt;"תקין","; נדרש לעבוד על ההנגנה","")&amp;IF($AK143&lt;&gt;"","; "&amp;$AK143,""),3,400))</f>
        <v/>
      </c>
      <c r="AE143" s="32">
        <f>IF($F143="","",IF($F143="תחילת שנה",1,IF($F143="מחצית שנה",2,3)))</f>
        <v/>
      </c>
      <c r="AF143" s="32">
        <f>IF(OR($B143="",$AC143="",$A143="",$F143=""),"",$B143&amp;"|"&amp;$A143&amp;"|"&amp;$F143&amp;"|"&amp;$AC143&amp;"|"&amp;COUNTIFS($B$6:$B143,$B143,$A$6:$A143,$A143,$F$6:$F143,$F143,$AC$6:$AC143,$AC143))</f>
        <v/>
      </c>
      <c r="AG143" s="32">
        <f>IF($C143="","",$C143&amp;"|"&amp;COUNTIFS($C$6:$C143,$C143))</f>
        <v/>
      </c>
      <c r="AH143" s="32">
        <f>IF(OR($C143="",$A143="",$AE143=""),"",$C143&amp;"|"&amp;$A143&amp;"|"&amp;$AE143)</f>
        <v/>
      </c>
      <c r="AI143" s="32">
        <f>IF(OR($C143="",$AE143="",$AE143=1),"",IFERROR(INDEX($AC$6:$AC$1505,MATCH($C143&amp;"|"&amp;$A143&amp;"|"&amp;($AE143-1),$AH$6:$AH$1505,0)),""))</f>
        <v/>
      </c>
      <c r="AJ143" s="32">
        <f>IF(OR($AI143="",$AC143=""),"",IF($AI143=$AC143,"ללא שינוי","מ-"&amp;$AI143&amp;" ל-"&amp;$AC143))</f>
        <v/>
      </c>
      <c r="AK143" s="67" t="n"/>
    </row>
    <row r="144" ht="15.75" customHeight="1" s="58">
      <c r="A144" s="65" t="n"/>
      <c r="B144" s="65" t="n"/>
      <c r="C144" s="66" t="n"/>
      <c r="D144" s="66" t="n"/>
      <c r="E144" s="65" t="n"/>
      <c r="F144" s="65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65" t="n"/>
      <c r="U144" s="65" t="n"/>
      <c r="V144" s="65" t="n"/>
      <c r="W144" s="65" t="n"/>
      <c r="X144" s="65" t="n"/>
      <c r="Y144" s="32">
        <f>IF($C144="","",IF(COUNTA($I144:$K144)&lt;3,"— חסרים נתונים",IF(AND($I144="תקין",$J144="תקין",$K144="תקין"),"רהוטה",IF(AND($I144="תקין",$J144="תקין"),"מדויקת ורציפה","אינה מדויקת או מקוטעת"))))</f>
        <v/>
      </c>
      <c r="Z144" s="32">
        <f>IF($C144="","",IF(COUNTA($U144:$W144)&lt;3,"",IF(AND($U144="מפותח",$V144="מפותח",$W144="מפותחת"),"מפותחת",IF((--($U144="דל"))+(--($V144="אינו מפותח"))+(--($W144="דלה"))&gt;=2,"אינה מפותחת","חלקית"))))</f>
        <v/>
      </c>
      <c r="AA144" s="32">
        <f>IF($C144="","",IF(COUNTA($M144,$N144,$O144)&lt;3,"— חסרים נתונים",IF(OR($M144="נמוכה",(--($M144&lt;&gt;"תקינה"))+(--($N144&lt;&gt;"תקין"))+(--($O144&lt;&gt;"תקינה"))&gt;=2),"ניכרת","אינה ניכרת")))</f>
        <v/>
      </c>
      <c r="AB144" s="32">
        <f>IF(OR($C144="",$Y144="",$AA144="",LEFT($Y144,1)="—",LEFT($AA144,1)="—"),"",IF($Z144="","— נדרשת הערכת כתיבה",IF($L144="","— חסרה הבנת הנקרא",IF($Y144="אינה מדויקת או מקוטעת",IF($AA144="ניכרת","מיקוד בשטף הקריאה ובכישורי שפה","מיקוד בשטף קריאה"),IF($AA144="ניכרת","מיקוד בכישורי שפה",IF(AND($L144="תקינה",$Z144="מפותחת"),"קוראים וכותבים מיומנים","מיקוד בהבנה והבעה"))))))</f>
        <v/>
      </c>
      <c r="AC144" s="32">
        <f>IF(OR($AB144="",LEFT($AB144,1)="—"),"",IF(OR($AB144="מיקוד בשטף קריאה",$AB144="מיקוד בשטף הקריאה ובכישורי שפה"),"רמה א'",IF($AB144="קוראים וכותבים מיומנים","רמה ג'","רמה ב'")))</f>
        <v/>
      </c>
      <c r="AD144" s="32">
        <f>IF($AC144="","",MID(IF(AND($AC144="רמה א'",$AA144="ניכרת"),"; להוסיף עבודת אוצר מילים","")&amp;IF($Z144="אינה מפותחת","; דגש על הבעה בכתב","")&amp;IF($K144&lt;&gt;"תקין","; נדרש לעבוד על ההנגנה","")&amp;IF($AK144&lt;&gt;"","; "&amp;$AK144,""),3,400))</f>
        <v/>
      </c>
      <c r="AE144" s="32">
        <f>IF($F144="","",IF($F144="תחילת שנה",1,IF($F144="מחצית שנה",2,3)))</f>
        <v/>
      </c>
      <c r="AF144" s="32">
        <f>IF(OR($B144="",$AC144="",$A144="",$F144=""),"",$B144&amp;"|"&amp;$A144&amp;"|"&amp;$F144&amp;"|"&amp;$AC144&amp;"|"&amp;COUNTIFS($B$6:$B144,$B144,$A$6:$A144,$A144,$F$6:$F144,$F144,$AC$6:$AC144,$AC144))</f>
        <v/>
      </c>
      <c r="AG144" s="32">
        <f>IF($C144="","",$C144&amp;"|"&amp;COUNTIFS($C$6:$C144,$C144))</f>
        <v/>
      </c>
      <c r="AH144" s="32">
        <f>IF(OR($C144="",$A144="",$AE144=""),"",$C144&amp;"|"&amp;$A144&amp;"|"&amp;$AE144)</f>
        <v/>
      </c>
      <c r="AI144" s="32">
        <f>IF(OR($C144="",$AE144="",$AE144=1),"",IFERROR(INDEX($AC$6:$AC$1505,MATCH($C144&amp;"|"&amp;$A144&amp;"|"&amp;($AE144-1),$AH$6:$AH$1505,0)),""))</f>
        <v/>
      </c>
      <c r="AJ144" s="32">
        <f>IF(OR($AI144="",$AC144=""),"",IF($AI144=$AC144,"ללא שינוי","מ-"&amp;$AI144&amp;" ל-"&amp;$AC144))</f>
        <v/>
      </c>
      <c r="AK144" s="67" t="n"/>
    </row>
    <row r="145" ht="15.75" customHeight="1" s="58">
      <c r="A145" s="65" t="n"/>
      <c r="B145" s="65" t="n"/>
      <c r="C145" s="66" t="n"/>
      <c r="D145" s="66" t="n"/>
      <c r="E145" s="65" t="n"/>
      <c r="F145" s="65" t="n"/>
      <c r="G145" s="65" t="n"/>
      <c r="H145" s="65" t="n"/>
      <c r="I145" s="65" t="n"/>
      <c r="J145" s="65" t="n"/>
      <c r="K145" s="65" t="n"/>
      <c r="L145" s="65" t="n"/>
      <c r="M145" s="65" t="n"/>
      <c r="N145" s="65" t="n"/>
      <c r="O145" s="65" t="n"/>
      <c r="P145" s="65" t="n"/>
      <c r="Q145" s="65" t="n"/>
      <c r="R145" s="65" t="n"/>
      <c r="S145" s="65" t="n"/>
      <c r="T145" s="65" t="n"/>
      <c r="U145" s="65" t="n"/>
      <c r="V145" s="65" t="n"/>
      <c r="W145" s="65" t="n"/>
      <c r="X145" s="65" t="n"/>
      <c r="Y145" s="32">
        <f>IF($C145="","",IF(COUNTA($I145:$K145)&lt;3,"— חסרים נתונים",IF(AND($I145="תקין",$J145="תקין",$K145="תקין"),"רהוטה",IF(AND($I145="תקין",$J145="תקין"),"מדויקת ורציפה","אינה מדויקת או מקוטעת"))))</f>
        <v/>
      </c>
      <c r="Z145" s="32">
        <f>IF($C145="","",IF(COUNTA($U145:$W145)&lt;3,"",IF(AND($U145="מפותח",$V145="מפותח",$W145="מפותחת"),"מפותחת",IF((--($U145="דל"))+(--($V145="אינו מפותח"))+(--($W145="דלה"))&gt;=2,"אינה מפותחת","חלקית"))))</f>
        <v/>
      </c>
      <c r="AA145" s="32">
        <f>IF($C145="","",IF(COUNTA($M145,$N145,$O145)&lt;3,"— חסרים נתונים",IF(OR($M145="נמוכה",(--($M145&lt;&gt;"תקינה"))+(--($N145&lt;&gt;"תקין"))+(--($O145&lt;&gt;"תקינה"))&gt;=2),"ניכרת","אינה ניכרת")))</f>
        <v/>
      </c>
      <c r="AB145" s="32">
        <f>IF(OR($C145="",$Y145="",$AA145="",LEFT($Y145,1)="—",LEFT($AA145,1)="—"),"",IF($Z145="","— נדרשת הערכת כתיבה",IF($L145="","— חסרה הבנת הנקרא",IF($Y145="אינה מדויקת או מקוטעת",IF($AA145="ניכרת","מיקוד בשטף הקריאה ובכישורי שפה","מיקוד בשטף קריאה"),IF($AA145="ניכרת","מיקוד בכישורי שפה",IF(AND($L145="תקינה",$Z145="מפותחת"),"קוראים וכותבים מיומנים","מיקוד בהבנה והבעה"))))))</f>
        <v/>
      </c>
      <c r="AC145" s="32">
        <f>IF(OR($AB145="",LEFT($AB145,1)="—"),"",IF(OR($AB145="מיקוד בשטף קריאה",$AB145="מיקוד בשטף הקריאה ובכישורי שפה"),"רמה א'",IF($AB145="קוראים וכותבים מיומנים","רמה ג'","רמה ב'")))</f>
        <v/>
      </c>
      <c r="AD145" s="32">
        <f>IF($AC145="","",MID(IF(AND($AC145="רמה א'",$AA145="ניכרת"),"; להוסיף עבודת אוצר מילים","")&amp;IF($Z145="אינה מפותחת","; דגש על הבעה בכתב","")&amp;IF($K145&lt;&gt;"תקין","; נדרש לעבוד על ההנגנה","")&amp;IF($AK145&lt;&gt;"","; "&amp;$AK145,""),3,400))</f>
        <v/>
      </c>
      <c r="AE145" s="32">
        <f>IF($F145="","",IF($F145="תחילת שנה",1,IF($F145="מחצית שנה",2,3)))</f>
        <v/>
      </c>
      <c r="AF145" s="32">
        <f>IF(OR($B145="",$AC145="",$A145="",$F145=""),"",$B145&amp;"|"&amp;$A145&amp;"|"&amp;$F145&amp;"|"&amp;$AC145&amp;"|"&amp;COUNTIFS($B$6:$B145,$B145,$A$6:$A145,$A145,$F$6:$F145,$F145,$AC$6:$AC145,$AC145))</f>
        <v/>
      </c>
      <c r="AG145" s="32">
        <f>IF($C145="","",$C145&amp;"|"&amp;COUNTIFS($C$6:$C145,$C145))</f>
        <v/>
      </c>
      <c r="AH145" s="32">
        <f>IF(OR($C145="",$A145="",$AE145=""),"",$C145&amp;"|"&amp;$A145&amp;"|"&amp;$AE145)</f>
        <v/>
      </c>
      <c r="AI145" s="32">
        <f>IF(OR($C145="",$AE145="",$AE145=1),"",IFERROR(INDEX($AC$6:$AC$1505,MATCH($C145&amp;"|"&amp;$A145&amp;"|"&amp;($AE145-1),$AH$6:$AH$1505,0)),""))</f>
        <v/>
      </c>
      <c r="AJ145" s="32">
        <f>IF(OR($AI145="",$AC145=""),"",IF($AI145=$AC145,"ללא שינוי","מ-"&amp;$AI145&amp;" ל-"&amp;$AC145))</f>
        <v/>
      </c>
      <c r="AK145" s="67" t="n"/>
    </row>
    <row r="146" ht="15.75" customHeight="1" s="58">
      <c r="A146" s="65" t="n"/>
      <c r="B146" s="65" t="n"/>
      <c r="C146" s="66" t="n"/>
      <c r="D146" s="66" t="n"/>
      <c r="E146" s="65" t="n"/>
      <c r="F146" s="65" t="n"/>
      <c r="G146" s="65" t="n"/>
      <c r="H146" s="65" t="n"/>
      <c r="I146" s="65" t="n"/>
      <c r="J146" s="65" t="n"/>
      <c r="K146" s="65" t="n"/>
      <c r="L146" s="65" t="n"/>
      <c r="M146" s="65" t="n"/>
      <c r="N146" s="65" t="n"/>
      <c r="O146" s="65" t="n"/>
      <c r="P146" s="65" t="n"/>
      <c r="Q146" s="65" t="n"/>
      <c r="R146" s="65" t="n"/>
      <c r="S146" s="65" t="n"/>
      <c r="T146" s="65" t="n"/>
      <c r="U146" s="65" t="n"/>
      <c r="V146" s="65" t="n"/>
      <c r="W146" s="65" t="n"/>
      <c r="X146" s="65" t="n"/>
      <c r="Y146" s="32">
        <f>IF($C146="","",IF(COUNTA($I146:$K146)&lt;3,"— חסרים נתונים",IF(AND($I146="תקין",$J146="תקין",$K146="תקין"),"רהוטה",IF(AND($I146="תקין",$J146="תקין"),"מדויקת ורציפה","אינה מדויקת או מקוטעת"))))</f>
        <v/>
      </c>
      <c r="Z146" s="32">
        <f>IF($C146="","",IF(COUNTA($U146:$W146)&lt;3,"",IF(AND($U146="מפותח",$V146="מפותח",$W146="מפותחת"),"מפותחת",IF((--($U146="דל"))+(--($V146="אינו מפותח"))+(--($W146="דלה"))&gt;=2,"אינה מפותחת","חלקית"))))</f>
        <v/>
      </c>
      <c r="AA146" s="32">
        <f>IF($C146="","",IF(COUNTA($M146,$N146,$O146)&lt;3,"— חסרים נתונים",IF(OR($M146="נמוכה",(--($M146&lt;&gt;"תקינה"))+(--($N146&lt;&gt;"תקין"))+(--($O146&lt;&gt;"תקינה"))&gt;=2),"ניכרת","אינה ניכרת")))</f>
        <v/>
      </c>
      <c r="AB146" s="32">
        <f>IF(OR($C146="",$Y146="",$AA146="",LEFT($Y146,1)="—",LEFT($AA146,1)="—"),"",IF($Z146="","— נדרשת הערכת כתיבה",IF($L146="","— חסרה הבנת הנקרא",IF($Y146="אינה מדויקת או מקוטעת",IF($AA146="ניכרת","מיקוד בשטף הקריאה ובכישורי שפה","מיקוד בשטף קריאה"),IF($AA146="ניכרת","מיקוד בכישורי שפה",IF(AND($L146="תקינה",$Z146="מפותחת"),"קוראים וכותבים מיומנים","מיקוד בהבנה והבעה"))))))</f>
        <v/>
      </c>
      <c r="AC146" s="32">
        <f>IF(OR($AB146="",LEFT($AB146,1)="—"),"",IF(OR($AB146="מיקוד בשטף קריאה",$AB146="מיקוד בשטף הקריאה ובכישורי שפה"),"רמה א'",IF($AB146="קוראים וכותבים מיומנים","רמה ג'","רמה ב'")))</f>
        <v/>
      </c>
      <c r="AD146" s="32">
        <f>IF($AC146="","",MID(IF(AND($AC146="רמה א'",$AA146="ניכרת"),"; להוסיף עבודת אוצר מילים","")&amp;IF($Z146="אינה מפותחת","; דגש על הבעה בכתב","")&amp;IF($K146&lt;&gt;"תקין","; נדרש לעבוד על ההנגנה","")&amp;IF($AK146&lt;&gt;"","; "&amp;$AK146,""),3,400))</f>
        <v/>
      </c>
      <c r="AE146" s="32">
        <f>IF($F146="","",IF($F146="תחילת שנה",1,IF($F146="מחצית שנה",2,3)))</f>
        <v/>
      </c>
      <c r="AF146" s="32">
        <f>IF(OR($B146="",$AC146="",$A146="",$F146=""),"",$B146&amp;"|"&amp;$A146&amp;"|"&amp;$F146&amp;"|"&amp;$AC146&amp;"|"&amp;COUNTIFS($B$6:$B146,$B146,$A$6:$A146,$A146,$F$6:$F146,$F146,$AC$6:$AC146,$AC146))</f>
        <v/>
      </c>
      <c r="AG146" s="32">
        <f>IF($C146="","",$C146&amp;"|"&amp;COUNTIFS($C$6:$C146,$C146))</f>
        <v/>
      </c>
      <c r="AH146" s="32">
        <f>IF(OR($C146="",$A146="",$AE146=""),"",$C146&amp;"|"&amp;$A146&amp;"|"&amp;$AE146)</f>
        <v/>
      </c>
      <c r="AI146" s="32">
        <f>IF(OR($C146="",$AE146="",$AE146=1),"",IFERROR(INDEX($AC$6:$AC$1505,MATCH($C146&amp;"|"&amp;$A146&amp;"|"&amp;($AE146-1),$AH$6:$AH$1505,0)),""))</f>
        <v/>
      </c>
      <c r="AJ146" s="32">
        <f>IF(OR($AI146="",$AC146=""),"",IF($AI146=$AC146,"ללא שינוי","מ-"&amp;$AI146&amp;" ל-"&amp;$AC146))</f>
        <v/>
      </c>
      <c r="AK146" s="67" t="n"/>
    </row>
    <row r="147" ht="15.75" customHeight="1" s="58">
      <c r="A147" s="65" t="n"/>
      <c r="B147" s="65" t="n"/>
      <c r="C147" s="66" t="n"/>
      <c r="D147" s="66" t="n"/>
      <c r="E147" s="65" t="n"/>
      <c r="F147" s="65" t="n"/>
      <c r="G147" s="65" t="n"/>
      <c r="H147" s="65" t="n"/>
      <c r="I147" s="65" t="n"/>
      <c r="J147" s="65" t="n"/>
      <c r="K147" s="65" t="n"/>
      <c r="L147" s="65" t="n"/>
      <c r="M147" s="65" t="n"/>
      <c r="N147" s="65" t="n"/>
      <c r="O147" s="65" t="n"/>
      <c r="P147" s="65" t="n"/>
      <c r="Q147" s="65" t="n"/>
      <c r="R147" s="65" t="n"/>
      <c r="S147" s="65" t="n"/>
      <c r="T147" s="65" t="n"/>
      <c r="U147" s="65" t="n"/>
      <c r="V147" s="65" t="n"/>
      <c r="W147" s="65" t="n"/>
      <c r="X147" s="65" t="n"/>
      <c r="Y147" s="32">
        <f>IF($C147="","",IF(COUNTA($I147:$K147)&lt;3,"— חסרים נתונים",IF(AND($I147="תקין",$J147="תקין",$K147="תקין"),"רהוטה",IF(AND($I147="תקין",$J147="תקין"),"מדויקת ורציפה","אינה מדויקת או מקוטעת"))))</f>
        <v/>
      </c>
      <c r="Z147" s="32">
        <f>IF($C147="","",IF(COUNTA($U147:$W147)&lt;3,"",IF(AND($U147="מפותח",$V147="מפותח",$W147="מפותחת"),"מפותחת",IF((--($U147="דל"))+(--($V147="אינו מפותח"))+(--($W147="דלה"))&gt;=2,"אינה מפותחת","חלקית"))))</f>
        <v/>
      </c>
      <c r="AA147" s="32">
        <f>IF($C147="","",IF(COUNTA($M147,$N147,$O147)&lt;3,"— חסרים נתונים",IF(OR($M147="נמוכה",(--($M147&lt;&gt;"תקינה"))+(--($N147&lt;&gt;"תקין"))+(--($O147&lt;&gt;"תקינה"))&gt;=2),"ניכרת","אינה ניכרת")))</f>
        <v/>
      </c>
      <c r="AB147" s="32">
        <f>IF(OR($C147="",$Y147="",$AA147="",LEFT($Y147,1)="—",LEFT($AA147,1)="—"),"",IF($Z147="","— נדרשת הערכת כתיבה",IF($L147="","— חסרה הבנת הנקרא",IF($Y147="אינה מדויקת או מקוטעת",IF($AA147="ניכרת","מיקוד בשטף הקריאה ובכישורי שפה","מיקוד בשטף קריאה"),IF($AA147="ניכרת","מיקוד בכישורי שפה",IF(AND($L147="תקינה",$Z147="מפותחת"),"קוראים וכותבים מיומנים","מיקוד בהבנה והבעה"))))))</f>
        <v/>
      </c>
      <c r="AC147" s="32">
        <f>IF(OR($AB147="",LEFT($AB147,1)="—"),"",IF(OR($AB147="מיקוד בשטף קריאה",$AB147="מיקוד בשטף הקריאה ובכישורי שפה"),"רמה א'",IF($AB147="קוראים וכותבים מיומנים","רמה ג'","רמה ב'")))</f>
        <v/>
      </c>
      <c r="AD147" s="32">
        <f>IF($AC147="","",MID(IF(AND($AC147="רמה א'",$AA147="ניכרת"),"; להוסיף עבודת אוצר מילים","")&amp;IF($Z147="אינה מפותחת","; דגש על הבעה בכתב","")&amp;IF($K147&lt;&gt;"תקין","; נדרש לעבוד על ההנגנה","")&amp;IF($AK147&lt;&gt;"","; "&amp;$AK147,""),3,400))</f>
        <v/>
      </c>
      <c r="AE147" s="32">
        <f>IF($F147="","",IF($F147="תחילת שנה",1,IF($F147="מחצית שנה",2,3)))</f>
        <v/>
      </c>
      <c r="AF147" s="32">
        <f>IF(OR($B147="",$AC147="",$A147="",$F147=""),"",$B147&amp;"|"&amp;$A147&amp;"|"&amp;$F147&amp;"|"&amp;$AC147&amp;"|"&amp;COUNTIFS($B$6:$B147,$B147,$A$6:$A147,$A147,$F$6:$F147,$F147,$AC$6:$AC147,$AC147))</f>
        <v/>
      </c>
      <c r="AG147" s="32">
        <f>IF($C147="","",$C147&amp;"|"&amp;COUNTIFS($C$6:$C147,$C147))</f>
        <v/>
      </c>
      <c r="AH147" s="32">
        <f>IF(OR($C147="",$A147="",$AE147=""),"",$C147&amp;"|"&amp;$A147&amp;"|"&amp;$AE147)</f>
        <v/>
      </c>
      <c r="AI147" s="32">
        <f>IF(OR($C147="",$AE147="",$AE147=1),"",IFERROR(INDEX($AC$6:$AC$1505,MATCH($C147&amp;"|"&amp;$A147&amp;"|"&amp;($AE147-1),$AH$6:$AH$1505,0)),""))</f>
        <v/>
      </c>
      <c r="AJ147" s="32">
        <f>IF(OR($AI147="",$AC147=""),"",IF($AI147=$AC147,"ללא שינוי","מ-"&amp;$AI147&amp;" ל-"&amp;$AC147))</f>
        <v/>
      </c>
      <c r="AK147" s="67" t="n"/>
    </row>
    <row r="148" ht="15.75" customHeight="1" s="58">
      <c r="A148" s="65" t="n"/>
      <c r="B148" s="65" t="n"/>
      <c r="C148" s="66" t="n"/>
      <c r="D148" s="66" t="n"/>
      <c r="E148" s="65" t="n"/>
      <c r="F148" s="65" t="n"/>
      <c r="G148" s="65" t="n"/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 t="n"/>
      <c r="Q148" s="65" t="n"/>
      <c r="R148" s="65" t="n"/>
      <c r="S148" s="65" t="n"/>
      <c r="T148" s="65" t="n"/>
      <c r="U148" s="65" t="n"/>
      <c r="V148" s="65" t="n"/>
      <c r="W148" s="65" t="n"/>
      <c r="X148" s="65" t="n"/>
      <c r="Y148" s="32">
        <f>IF($C148="","",IF(COUNTA($I148:$K148)&lt;3,"— חסרים נתונים",IF(AND($I148="תקין",$J148="תקין",$K148="תקין"),"רהוטה",IF(AND($I148="תקין",$J148="תקין"),"מדויקת ורציפה","אינה מדויקת או מקוטעת"))))</f>
        <v/>
      </c>
      <c r="Z148" s="32">
        <f>IF($C148="","",IF(COUNTA($U148:$W148)&lt;3,"",IF(AND($U148="מפותח",$V148="מפותח",$W148="מפותחת"),"מפותחת",IF((--($U148="דל"))+(--($V148="אינו מפותח"))+(--($W148="דלה"))&gt;=2,"אינה מפותחת","חלקית"))))</f>
        <v/>
      </c>
      <c r="AA148" s="32">
        <f>IF($C148="","",IF(COUNTA($M148,$N148,$O148)&lt;3,"— חסרים נתונים",IF(OR($M148="נמוכה",(--($M148&lt;&gt;"תקינה"))+(--($N148&lt;&gt;"תקין"))+(--($O148&lt;&gt;"תקינה"))&gt;=2),"ניכרת","אינה ניכרת")))</f>
        <v/>
      </c>
      <c r="AB148" s="32">
        <f>IF(OR($C148="",$Y148="",$AA148="",LEFT($Y148,1)="—",LEFT($AA148,1)="—"),"",IF($Z148="","— נדרשת הערכת כתיבה",IF($L148="","— חסרה הבנת הנקרא",IF($Y148="אינה מדויקת או מקוטעת",IF($AA148="ניכרת","מיקוד בשטף הקריאה ובכישורי שפה","מיקוד בשטף קריאה"),IF($AA148="ניכרת","מיקוד בכישורי שפה",IF(AND($L148="תקינה",$Z148="מפותחת"),"קוראים וכותבים מיומנים","מיקוד בהבנה והבעה"))))))</f>
        <v/>
      </c>
      <c r="AC148" s="32">
        <f>IF(OR($AB148="",LEFT($AB148,1)="—"),"",IF(OR($AB148="מיקוד בשטף קריאה",$AB148="מיקוד בשטף הקריאה ובכישורי שפה"),"רמה א'",IF($AB148="קוראים וכותבים מיומנים","רמה ג'","רמה ב'")))</f>
        <v/>
      </c>
      <c r="AD148" s="32">
        <f>IF($AC148="","",MID(IF(AND($AC148="רמה א'",$AA148="ניכרת"),"; להוסיף עבודת אוצר מילים","")&amp;IF($Z148="אינה מפותחת","; דגש על הבעה בכתב","")&amp;IF($K148&lt;&gt;"תקין","; נדרש לעבוד על ההנגנה","")&amp;IF($AK148&lt;&gt;"","; "&amp;$AK148,""),3,400))</f>
        <v/>
      </c>
      <c r="AE148" s="32">
        <f>IF($F148="","",IF($F148="תחילת שנה",1,IF($F148="מחצית שנה",2,3)))</f>
        <v/>
      </c>
      <c r="AF148" s="32">
        <f>IF(OR($B148="",$AC148="",$A148="",$F148=""),"",$B148&amp;"|"&amp;$A148&amp;"|"&amp;$F148&amp;"|"&amp;$AC148&amp;"|"&amp;COUNTIFS($B$6:$B148,$B148,$A$6:$A148,$A148,$F$6:$F148,$F148,$AC$6:$AC148,$AC148))</f>
        <v/>
      </c>
      <c r="AG148" s="32">
        <f>IF($C148="","",$C148&amp;"|"&amp;COUNTIFS($C$6:$C148,$C148))</f>
        <v/>
      </c>
      <c r="AH148" s="32">
        <f>IF(OR($C148="",$A148="",$AE148=""),"",$C148&amp;"|"&amp;$A148&amp;"|"&amp;$AE148)</f>
        <v/>
      </c>
      <c r="AI148" s="32">
        <f>IF(OR($C148="",$AE148="",$AE148=1),"",IFERROR(INDEX($AC$6:$AC$1505,MATCH($C148&amp;"|"&amp;$A148&amp;"|"&amp;($AE148-1),$AH$6:$AH$1505,0)),""))</f>
        <v/>
      </c>
      <c r="AJ148" s="32">
        <f>IF(OR($AI148="",$AC148=""),"",IF($AI148=$AC148,"ללא שינוי","מ-"&amp;$AI148&amp;" ל-"&amp;$AC148))</f>
        <v/>
      </c>
      <c r="AK148" s="67" t="n"/>
    </row>
    <row r="149" ht="15.75" customHeight="1" s="58">
      <c r="A149" s="65" t="n"/>
      <c r="B149" s="65" t="n"/>
      <c r="C149" s="66" t="n"/>
      <c r="D149" s="66" t="n"/>
      <c r="E149" s="65" t="n"/>
      <c r="F149" s="65" t="n"/>
      <c r="G149" s="65" t="n"/>
      <c r="H149" s="65" t="n"/>
      <c r="I149" s="65" t="n"/>
      <c r="J149" s="65" t="n"/>
      <c r="K149" s="65" t="n"/>
      <c r="L149" s="65" t="n"/>
      <c r="M149" s="65" t="n"/>
      <c r="N149" s="65" t="n"/>
      <c r="O149" s="65" t="n"/>
      <c r="P149" s="65" t="n"/>
      <c r="Q149" s="65" t="n"/>
      <c r="R149" s="65" t="n"/>
      <c r="S149" s="65" t="n"/>
      <c r="T149" s="65" t="n"/>
      <c r="U149" s="65" t="n"/>
      <c r="V149" s="65" t="n"/>
      <c r="W149" s="65" t="n"/>
      <c r="X149" s="65" t="n"/>
      <c r="Y149" s="32">
        <f>IF($C149="","",IF(COUNTA($I149:$K149)&lt;3,"— חסרים נתונים",IF(AND($I149="תקין",$J149="תקין",$K149="תקין"),"רהוטה",IF(AND($I149="תקין",$J149="תקין"),"מדויקת ורציפה","אינה מדויקת או מקוטעת"))))</f>
        <v/>
      </c>
      <c r="Z149" s="32">
        <f>IF($C149="","",IF(COUNTA($U149:$W149)&lt;3,"",IF(AND($U149="מפותח",$V149="מפותח",$W149="מפותחת"),"מפותחת",IF((--($U149="דל"))+(--($V149="אינו מפותח"))+(--($W149="דלה"))&gt;=2,"אינה מפותחת","חלקית"))))</f>
        <v/>
      </c>
      <c r="AA149" s="32">
        <f>IF($C149="","",IF(COUNTA($M149,$N149,$O149)&lt;3,"— חסרים נתונים",IF(OR($M149="נמוכה",(--($M149&lt;&gt;"תקינה"))+(--($N149&lt;&gt;"תקין"))+(--($O149&lt;&gt;"תקינה"))&gt;=2),"ניכרת","אינה ניכרת")))</f>
        <v/>
      </c>
      <c r="AB149" s="32">
        <f>IF(OR($C149="",$Y149="",$AA149="",LEFT($Y149,1)="—",LEFT($AA149,1)="—"),"",IF($Z149="","— נדרשת הערכת כתיבה",IF($L149="","— חסרה הבנת הנקרא",IF($Y149="אינה מדויקת או מקוטעת",IF($AA149="ניכרת","מיקוד בשטף הקריאה ובכישורי שפה","מיקוד בשטף קריאה"),IF($AA149="ניכרת","מיקוד בכישורי שפה",IF(AND($L149="תקינה",$Z149="מפותחת"),"קוראים וכותבים מיומנים","מיקוד בהבנה והבעה"))))))</f>
        <v/>
      </c>
      <c r="AC149" s="32">
        <f>IF(OR($AB149="",LEFT($AB149,1)="—"),"",IF(OR($AB149="מיקוד בשטף קריאה",$AB149="מיקוד בשטף הקריאה ובכישורי שפה"),"רמה א'",IF($AB149="קוראים וכותבים מיומנים","רמה ג'","רמה ב'")))</f>
        <v/>
      </c>
      <c r="AD149" s="32">
        <f>IF($AC149="","",MID(IF(AND($AC149="רמה א'",$AA149="ניכרת"),"; להוסיף עבודת אוצר מילים","")&amp;IF($Z149="אינה מפותחת","; דגש על הבעה בכתב","")&amp;IF($K149&lt;&gt;"תקין","; נדרש לעבוד על ההנגנה","")&amp;IF($AK149&lt;&gt;"","; "&amp;$AK149,""),3,400))</f>
        <v/>
      </c>
      <c r="AE149" s="32">
        <f>IF($F149="","",IF($F149="תחילת שנה",1,IF($F149="מחצית שנה",2,3)))</f>
        <v/>
      </c>
      <c r="AF149" s="32">
        <f>IF(OR($B149="",$AC149="",$A149="",$F149=""),"",$B149&amp;"|"&amp;$A149&amp;"|"&amp;$F149&amp;"|"&amp;$AC149&amp;"|"&amp;COUNTIFS($B$6:$B149,$B149,$A$6:$A149,$A149,$F$6:$F149,$F149,$AC$6:$AC149,$AC149))</f>
        <v/>
      </c>
      <c r="AG149" s="32">
        <f>IF($C149="","",$C149&amp;"|"&amp;COUNTIFS($C$6:$C149,$C149))</f>
        <v/>
      </c>
      <c r="AH149" s="32">
        <f>IF(OR($C149="",$A149="",$AE149=""),"",$C149&amp;"|"&amp;$A149&amp;"|"&amp;$AE149)</f>
        <v/>
      </c>
      <c r="AI149" s="32">
        <f>IF(OR($C149="",$AE149="",$AE149=1),"",IFERROR(INDEX($AC$6:$AC$1505,MATCH($C149&amp;"|"&amp;$A149&amp;"|"&amp;($AE149-1),$AH$6:$AH$1505,0)),""))</f>
        <v/>
      </c>
      <c r="AJ149" s="32">
        <f>IF(OR($AI149="",$AC149=""),"",IF($AI149=$AC149,"ללא שינוי","מ-"&amp;$AI149&amp;" ל-"&amp;$AC149))</f>
        <v/>
      </c>
      <c r="AK149" s="67" t="n"/>
    </row>
    <row r="150" ht="15.75" customHeight="1" s="58">
      <c r="A150" s="65" t="n"/>
      <c r="B150" s="65" t="n"/>
      <c r="C150" s="66" t="n"/>
      <c r="D150" s="66" t="n"/>
      <c r="E150" s="65" t="n"/>
      <c r="F150" s="65" t="n"/>
      <c r="G150" s="65" t="n"/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65" t="n"/>
      <c r="R150" s="65" t="n"/>
      <c r="S150" s="65" t="n"/>
      <c r="T150" s="65" t="n"/>
      <c r="U150" s="65" t="n"/>
      <c r="V150" s="65" t="n"/>
      <c r="W150" s="65" t="n"/>
      <c r="X150" s="65" t="n"/>
      <c r="Y150" s="32">
        <f>IF($C150="","",IF(COUNTA($I150:$K150)&lt;3,"— חסרים נתונים",IF(AND($I150="תקין",$J150="תקין",$K150="תקין"),"רהוטה",IF(AND($I150="תקין",$J150="תקין"),"מדויקת ורציפה","אינה מדויקת או מקוטעת"))))</f>
        <v/>
      </c>
      <c r="Z150" s="32">
        <f>IF($C150="","",IF(COUNTA($U150:$W150)&lt;3,"",IF(AND($U150="מפותח",$V150="מפותח",$W150="מפותחת"),"מפותחת",IF((--($U150="דל"))+(--($V150="אינו מפותח"))+(--($W150="דלה"))&gt;=2,"אינה מפותחת","חלקית"))))</f>
        <v/>
      </c>
      <c r="AA150" s="32">
        <f>IF($C150="","",IF(COUNTA($M150,$N150,$O150)&lt;3,"— חסרים נתונים",IF(OR($M150="נמוכה",(--($M150&lt;&gt;"תקינה"))+(--($N150&lt;&gt;"תקין"))+(--($O150&lt;&gt;"תקינה"))&gt;=2),"ניכרת","אינה ניכרת")))</f>
        <v/>
      </c>
      <c r="AB150" s="32">
        <f>IF(OR($C150="",$Y150="",$AA150="",LEFT($Y150,1)="—",LEFT($AA150,1)="—"),"",IF($Z150="","— נדרשת הערכת כתיבה",IF($L150="","— חסרה הבנת הנקרא",IF($Y150="אינה מדויקת או מקוטעת",IF($AA150="ניכרת","מיקוד בשטף הקריאה ובכישורי שפה","מיקוד בשטף קריאה"),IF($AA150="ניכרת","מיקוד בכישורי שפה",IF(AND($L150="תקינה",$Z150="מפותחת"),"קוראים וכותבים מיומנים","מיקוד בהבנה והבעה"))))))</f>
        <v/>
      </c>
      <c r="AC150" s="32">
        <f>IF(OR($AB150="",LEFT($AB150,1)="—"),"",IF(OR($AB150="מיקוד בשטף קריאה",$AB150="מיקוד בשטף הקריאה ובכישורי שפה"),"רמה א'",IF($AB150="קוראים וכותבים מיומנים","רמה ג'","רמה ב'")))</f>
        <v/>
      </c>
      <c r="AD150" s="32">
        <f>IF($AC150="","",MID(IF(AND($AC150="רמה א'",$AA150="ניכרת"),"; להוסיף עבודת אוצר מילים","")&amp;IF($Z150="אינה מפותחת","; דגש על הבעה בכתב","")&amp;IF($K150&lt;&gt;"תקין","; נדרש לעבוד על ההנגנה","")&amp;IF($AK150&lt;&gt;"","; "&amp;$AK150,""),3,400))</f>
        <v/>
      </c>
      <c r="AE150" s="32">
        <f>IF($F150="","",IF($F150="תחילת שנה",1,IF($F150="מחצית שנה",2,3)))</f>
        <v/>
      </c>
      <c r="AF150" s="32">
        <f>IF(OR($B150="",$AC150="",$A150="",$F150=""),"",$B150&amp;"|"&amp;$A150&amp;"|"&amp;$F150&amp;"|"&amp;$AC150&amp;"|"&amp;COUNTIFS($B$6:$B150,$B150,$A$6:$A150,$A150,$F$6:$F150,$F150,$AC$6:$AC150,$AC150))</f>
        <v/>
      </c>
      <c r="AG150" s="32">
        <f>IF($C150="","",$C150&amp;"|"&amp;COUNTIFS($C$6:$C150,$C150))</f>
        <v/>
      </c>
      <c r="AH150" s="32">
        <f>IF(OR($C150="",$A150="",$AE150=""),"",$C150&amp;"|"&amp;$A150&amp;"|"&amp;$AE150)</f>
        <v/>
      </c>
      <c r="AI150" s="32">
        <f>IF(OR($C150="",$AE150="",$AE150=1),"",IFERROR(INDEX($AC$6:$AC$1505,MATCH($C150&amp;"|"&amp;$A150&amp;"|"&amp;($AE150-1),$AH$6:$AH$1505,0)),""))</f>
        <v/>
      </c>
      <c r="AJ150" s="32">
        <f>IF(OR($AI150="",$AC150=""),"",IF($AI150=$AC150,"ללא שינוי","מ-"&amp;$AI150&amp;" ל-"&amp;$AC150))</f>
        <v/>
      </c>
      <c r="AK150" s="67" t="n"/>
    </row>
    <row r="151" ht="15.75" customHeight="1" s="58">
      <c r="A151" s="65" t="n"/>
      <c r="B151" s="65" t="n"/>
      <c r="C151" s="66" t="n"/>
      <c r="D151" s="66" t="n"/>
      <c r="E151" s="65" t="n"/>
      <c r="F151" s="65" t="n"/>
      <c r="G151" s="65" t="n"/>
      <c r="H151" s="65" t="n"/>
      <c r="I151" s="65" t="n"/>
      <c r="J151" s="65" t="n"/>
      <c r="K151" s="65" t="n"/>
      <c r="L151" s="65" t="n"/>
      <c r="M151" s="65" t="n"/>
      <c r="N151" s="65" t="n"/>
      <c r="O151" s="65" t="n"/>
      <c r="P151" s="65" t="n"/>
      <c r="Q151" s="65" t="n"/>
      <c r="R151" s="65" t="n"/>
      <c r="S151" s="65" t="n"/>
      <c r="T151" s="65" t="n"/>
      <c r="U151" s="65" t="n"/>
      <c r="V151" s="65" t="n"/>
      <c r="W151" s="65" t="n"/>
      <c r="X151" s="65" t="n"/>
      <c r="Y151" s="32">
        <f>IF($C151="","",IF(COUNTA($I151:$K151)&lt;3,"— חסרים נתונים",IF(AND($I151="תקין",$J151="תקין",$K151="תקין"),"רהוטה",IF(AND($I151="תקין",$J151="תקין"),"מדויקת ורציפה","אינה מדויקת או מקוטעת"))))</f>
        <v/>
      </c>
      <c r="Z151" s="32">
        <f>IF($C151="","",IF(COUNTA($U151:$W151)&lt;3,"",IF(AND($U151="מפותח",$V151="מפותח",$W151="מפותחת"),"מפותחת",IF((--($U151="דל"))+(--($V151="אינו מפותח"))+(--($W151="דלה"))&gt;=2,"אינה מפותחת","חלקית"))))</f>
        <v/>
      </c>
      <c r="AA151" s="32">
        <f>IF($C151="","",IF(COUNTA($M151,$N151,$O151)&lt;3,"— חסרים נתונים",IF(OR($M151="נמוכה",(--($M151&lt;&gt;"תקינה"))+(--($N151&lt;&gt;"תקין"))+(--($O151&lt;&gt;"תקינה"))&gt;=2),"ניכרת","אינה ניכרת")))</f>
        <v/>
      </c>
      <c r="AB151" s="32">
        <f>IF(OR($C151="",$Y151="",$AA151="",LEFT($Y151,1)="—",LEFT($AA151,1)="—"),"",IF($Z151="","— נדרשת הערכת כתיבה",IF($L151="","— חסרה הבנת הנקרא",IF($Y151="אינה מדויקת או מקוטעת",IF($AA151="ניכרת","מיקוד בשטף הקריאה ובכישורי שפה","מיקוד בשטף קריאה"),IF($AA151="ניכרת","מיקוד בכישורי שפה",IF(AND($L151="תקינה",$Z151="מפותחת"),"קוראים וכותבים מיומנים","מיקוד בהבנה והבעה"))))))</f>
        <v/>
      </c>
      <c r="AC151" s="32">
        <f>IF(OR($AB151="",LEFT($AB151,1)="—"),"",IF(OR($AB151="מיקוד בשטף קריאה",$AB151="מיקוד בשטף הקריאה ובכישורי שפה"),"רמה א'",IF($AB151="קוראים וכותבים מיומנים","רמה ג'","רמה ב'")))</f>
        <v/>
      </c>
      <c r="AD151" s="32">
        <f>IF($AC151="","",MID(IF(AND($AC151="רמה א'",$AA151="ניכרת"),"; להוסיף עבודת אוצר מילים","")&amp;IF($Z151="אינה מפותחת","; דגש על הבעה בכתב","")&amp;IF($K151&lt;&gt;"תקין","; נדרש לעבוד על ההנגנה","")&amp;IF($AK151&lt;&gt;"","; "&amp;$AK151,""),3,400))</f>
        <v/>
      </c>
      <c r="AE151" s="32">
        <f>IF($F151="","",IF($F151="תחילת שנה",1,IF($F151="מחצית שנה",2,3)))</f>
        <v/>
      </c>
      <c r="AF151" s="32">
        <f>IF(OR($B151="",$AC151="",$A151="",$F151=""),"",$B151&amp;"|"&amp;$A151&amp;"|"&amp;$F151&amp;"|"&amp;$AC151&amp;"|"&amp;COUNTIFS($B$6:$B151,$B151,$A$6:$A151,$A151,$F$6:$F151,$F151,$AC$6:$AC151,$AC151))</f>
        <v/>
      </c>
      <c r="AG151" s="32">
        <f>IF($C151="","",$C151&amp;"|"&amp;COUNTIFS($C$6:$C151,$C151))</f>
        <v/>
      </c>
      <c r="AH151" s="32">
        <f>IF(OR($C151="",$A151="",$AE151=""),"",$C151&amp;"|"&amp;$A151&amp;"|"&amp;$AE151)</f>
        <v/>
      </c>
      <c r="AI151" s="32">
        <f>IF(OR($C151="",$AE151="",$AE151=1),"",IFERROR(INDEX($AC$6:$AC$1505,MATCH($C151&amp;"|"&amp;$A151&amp;"|"&amp;($AE151-1),$AH$6:$AH$1505,0)),""))</f>
        <v/>
      </c>
      <c r="AJ151" s="32">
        <f>IF(OR($AI151="",$AC151=""),"",IF($AI151=$AC151,"ללא שינוי","מ-"&amp;$AI151&amp;" ל-"&amp;$AC151))</f>
        <v/>
      </c>
      <c r="AK151" s="67" t="n"/>
    </row>
    <row r="152" ht="15.75" customHeight="1" s="58">
      <c r="A152" s="65" t="n"/>
      <c r="B152" s="65" t="n"/>
      <c r="C152" s="66" t="n"/>
      <c r="D152" s="66" t="n"/>
      <c r="E152" s="65" t="n"/>
      <c r="F152" s="65" t="n"/>
      <c r="G152" s="65" t="n"/>
      <c r="H152" s="65" t="n"/>
      <c r="I152" s="65" t="n"/>
      <c r="J152" s="65" t="n"/>
      <c r="K152" s="65" t="n"/>
      <c r="L152" s="65" t="n"/>
      <c r="M152" s="65" t="n"/>
      <c r="N152" s="65" t="n"/>
      <c r="O152" s="65" t="n"/>
      <c r="P152" s="65" t="n"/>
      <c r="Q152" s="65" t="n"/>
      <c r="R152" s="65" t="n"/>
      <c r="S152" s="65" t="n"/>
      <c r="T152" s="65" t="n"/>
      <c r="U152" s="65" t="n"/>
      <c r="V152" s="65" t="n"/>
      <c r="W152" s="65" t="n"/>
      <c r="X152" s="65" t="n"/>
      <c r="Y152" s="32">
        <f>IF($C152="","",IF(COUNTA($I152:$K152)&lt;3,"— חסרים נתונים",IF(AND($I152="תקין",$J152="תקין",$K152="תקין"),"רהוטה",IF(AND($I152="תקין",$J152="תקין"),"מדויקת ורציפה","אינה מדויקת או מקוטעת"))))</f>
        <v/>
      </c>
      <c r="Z152" s="32">
        <f>IF($C152="","",IF(COUNTA($U152:$W152)&lt;3,"",IF(AND($U152="מפותח",$V152="מפותח",$W152="מפותחת"),"מפותחת",IF((--($U152="דל"))+(--($V152="אינו מפותח"))+(--($W152="דלה"))&gt;=2,"אינה מפותחת","חלקית"))))</f>
        <v/>
      </c>
      <c r="AA152" s="32">
        <f>IF($C152="","",IF(COUNTA($M152,$N152,$O152)&lt;3,"— חסרים נתונים",IF(OR($M152="נמוכה",(--($M152&lt;&gt;"תקינה"))+(--($N152&lt;&gt;"תקין"))+(--($O152&lt;&gt;"תקינה"))&gt;=2),"ניכרת","אינה ניכרת")))</f>
        <v/>
      </c>
      <c r="AB152" s="32">
        <f>IF(OR($C152="",$Y152="",$AA152="",LEFT($Y152,1)="—",LEFT($AA152,1)="—"),"",IF($Z152="","— נדרשת הערכת כתיבה",IF($L152="","— חסרה הבנת הנקרא",IF($Y152="אינה מדויקת או מקוטעת",IF($AA152="ניכרת","מיקוד בשטף הקריאה ובכישורי שפה","מיקוד בשטף קריאה"),IF($AA152="ניכרת","מיקוד בכישורי שפה",IF(AND($L152="תקינה",$Z152="מפותחת"),"קוראים וכותבים מיומנים","מיקוד בהבנה והבעה"))))))</f>
        <v/>
      </c>
      <c r="AC152" s="32">
        <f>IF(OR($AB152="",LEFT($AB152,1)="—"),"",IF(OR($AB152="מיקוד בשטף קריאה",$AB152="מיקוד בשטף הקריאה ובכישורי שפה"),"רמה א'",IF($AB152="קוראים וכותבים מיומנים","רמה ג'","רמה ב'")))</f>
        <v/>
      </c>
      <c r="AD152" s="32">
        <f>IF($AC152="","",MID(IF(AND($AC152="רמה א'",$AA152="ניכרת"),"; להוסיף עבודת אוצר מילים","")&amp;IF($Z152="אינה מפותחת","; דגש על הבעה בכתב","")&amp;IF($K152&lt;&gt;"תקין","; נדרש לעבוד על ההנגנה","")&amp;IF($AK152&lt;&gt;"","; "&amp;$AK152,""),3,400))</f>
        <v/>
      </c>
      <c r="AE152" s="32">
        <f>IF($F152="","",IF($F152="תחילת שנה",1,IF($F152="מחצית שנה",2,3)))</f>
        <v/>
      </c>
      <c r="AF152" s="32">
        <f>IF(OR($B152="",$AC152="",$A152="",$F152=""),"",$B152&amp;"|"&amp;$A152&amp;"|"&amp;$F152&amp;"|"&amp;$AC152&amp;"|"&amp;COUNTIFS($B$6:$B152,$B152,$A$6:$A152,$A152,$F$6:$F152,$F152,$AC$6:$AC152,$AC152))</f>
        <v/>
      </c>
      <c r="AG152" s="32">
        <f>IF($C152="","",$C152&amp;"|"&amp;COUNTIFS($C$6:$C152,$C152))</f>
        <v/>
      </c>
      <c r="AH152" s="32">
        <f>IF(OR($C152="",$A152="",$AE152=""),"",$C152&amp;"|"&amp;$A152&amp;"|"&amp;$AE152)</f>
        <v/>
      </c>
      <c r="AI152" s="32">
        <f>IF(OR($C152="",$AE152="",$AE152=1),"",IFERROR(INDEX($AC$6:$AC$1505,MATCH($C152&amp;"|"&amp;$A152&amp;"|"&amp;($AE152-1),$AH$6:$AH$1505,0)),""))</f>
        <v/>
      </c>
      <c r="AJ152" s="32">
        <f>IF(OR($AI152="",$AC152=""),"",IF($AI152=$AC152,"ללא שינוי","מ-"&amp;$AI152&amp;" ל-"&amp;$AC152))</f>
        <v/>
      </c>
      <c r="AK152" s="67" t="n"/>
    </row>
    <row r="153" ht="15.75" customHeight="1" s="58">
      <c r="A153" s="65" t="n"/>
      <c r="B153" s="65" t="n"/>
      <c r="C153" s="66" t="n"/>
      <c r="D153" s="66" t="n"/>
      <c r="E153" s="65" t="n"/>
      <c r="F153" s="65" t="n"/>
      <c r="G153" s="65" t="n"/>
      <c r="H153" s="65" t="n"/>
      <c r="I153" s="65" t="n"/>
      <c r="J153" s="65" t="n"/>
      <c r="K153" s="65" t="n"/>
      <c r="L153" s="65" t="n"/>
      <c r="M153" s="65" t="n"/>
      <c r="N153" s="65" t="n"/>
      <c r="O153" s="65" t="n"/>
      <c r="P153" s="65" t="n"/>
      <c r="Q153" s="65" t="n"/>
      <c r="R153" s="65" t="n"/>
      <c r="S153" s="65" t="n"/>
      <c r="T153" s="65" t="n"/>
      <c r="U153" s="65" t="n"/>
      <c r="V153" s="65" t="n"/>
      <c r="W153" s="65" t="n"/>
      <c r="X153" s="65" t="n"/>
      <c r="Y153" s="32">
        <f>IF($C153="","",IF(COUNTA($I153:$K153)&lt;3,"— חסרים נתונים",IF(AND($I153="תקין",$J153="תקין",$K153="תקין"),"רהוטה",IF(AND($I153="תקין",$J153="תקין"),"מדויקת ורציפה","אינה מדויקת או מקוטעת"))))</f>
        <v/>
      </c>
      <c r="Z153" s="32">
        <f>IF($C153="","",IF(COUNTA($U153:$W153)&lt;3,"",IF(AND($U153="מפותח",$V153="מפותח",$W153="מפותחת"),"מפותחת",IF((--($U153="דל"))+(--($V153="אינו מפותח"))+(--($W153="דלה"))&gt;=2,"אינה מפותחת","חלקית"))))</f>
        <v/>
      </c>
      <c r="AA153" s="32">
        <f>IF($C153="","",IF(COUNTA($M153,$N153,$O153)&lt;3,"— חסרים נתונים",IF(OR($M153="נמוכה",(--($M153&lt;&gt;"תקינה"))+(--($N153&lt;&gt;"תקין"))+(--($O153&lt;&gt;"תקינה"))&gt;=2),"ניכרת","אינה ניכרת")))</f>
        <v/>
      </c>
      <c r="AB153" s="32">
        <f>IF(OR($C153="",$Y153="",$AA153="",LEFT($Y153,1)="—",LEFT($AA153,1)="—"),"",IF($Z153="","— נדרשת הערכת כתיבה",IF($L153="","— חסרה הבנת הנקרא",IF($Y153="אינה מדויקת או מקוטעת",IF($AA153="ניכרת","מיקוד בשטף הקריאה ובכישורי שפה","מיקוד בשטף קריאה"),IF($AA153="ניכרת","מיקוד בכישורי שפה",IF(AND($L153="תקינה",$Z153="מפותחת"),"קוראים וכותבים מיומנים","מיקוד בהבנה והבעה"))))))</f>
        <v/>
      </c>
      <c r="AC153" s="32">
        <f>IF(OR($AB153="",LEFT($AB153,1)="—"),"",IF(OR($AB153="מיקוד בשטף קריאה",$AB153="מיקוד בשטף הקריאה ובכישורי שפה"),"רמה א'",IF($AB153="קוראים וכותבים מיומנים","רמה ג'","רמה ב'")))</f>
        <v/>
      </c>
      <c r="AD153" s="32">
        <f>IF($AC153="","",MID(IF(AND($AC153="רמה א'",$AA153="ניכרת"),"; להוסיף עבודת אוצר מילים","")&amp;IF($Z153="אינה מפותחת","; דגש על הבעה בכתב","")&amp;IF($K153&lt;&gt;"תקין","; נדרש לעבוד על ההנגנה","")&amp;IF($AK153&lt;&gt;"","; "&amp;$AK153,""),3,400))</f>
        <v/>
      </c>
      <c r="AE153" s="32">
        <f>IF($F153="","",IF($F153="תחילת שנה",1,IF($F153="מחצית שנה",2,3)))</f>
        <v/>
      </c>
      <c r="AF153" s="32">
        <f>IF(OR($B153="",$AC153="",$A153="",$F153=""),"",$B153&amp;"|"&amp;$A153&amp;"|"&amp;$F153&amp;"|"&amp;$AC153&amp;"|"&amp;COUNTIFS($B$6:$B153,$B153,$A$6:$A153,$A153,$F$6:$F153,$F153,$AC$6:$AC153,$AC153))</f>
        <v/>
      </c>
      <c r="AG153" s="32">
        <f>IF($C153="","",$C153&amp;"|"&amp;COUNTIFS($C$6:$C153,$C153))</f>
        <v/>
      </c>
      <c r="AH153" s="32">
        <f>IF(OR($C153="",$A153="",$AE153=""),"",$C153&amp;"|"&amp;$A153&amp;"|"&amp;$AE153)</f>
        <v/>
      </c>
      <c r="AI153" s="32">
        <f>IF(OR($C153="",$AE153="",$AE153=1),"",IFERROR(INDEX($AC$6:$AC$1505,MATCH($C153&amp;"|"&amp;$A153&amp;"|"&amp;($AE153-1),$AH$6:$AH$1505,0)),""))</f>
        <v/>
      </c>
      <c r="AJ153" s="32">
        <f>IF(OR($AI153="",$AC153=""),"",IF($AI153=$AC153,"ללא שינוי","מ-"&amp;$AI153&amp;" ל-"&amp;$AC153))</f>
        <v/>
      </c>
      <c r="AK153" s="67" t="n"/>
    </row>
    <row r="154" ht="15.75" customHeight="1" s="58">
      <c r="A154" s="65" t="n"/>
      <c r="B154" s="65" t="n"/>
      <c r="C154" s="66" t="n"/>
      <c r="D154" s="66" t="n"/>
      <c r="E154" s="65" t="n"/>
      <c r="F154" s="65" t="n"/>
      <c r="G154" s="65" t="n"/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65" t="n"/>
      <c r="R154" s="65" t="n"/>
      <c r="S154" s="65" t="n"/>
      <c r="T154" s="65" t="n"/>
      <c r="U154" s="65" t="n"/>
      <c r="V154" s="65" t="n"/>
      <c r="W154" s="65" t="n"/>
      <c r="X154" s="65" t="n"/>
      <c r="Y154" s="32">
        <f>IF($C154="","",IF(COUNTA($I154:$K154)&lt;3,"— חסרים נתונים",IF(AND($I154="תקין",$J154="תקין",$K154="תקין"),"רהוטה",IF(AND($I154="תקין",$J154="תקין"),"מדויקת ורציפה","אינה מדויקת או מקוטעת"))))</f>
        <v/>
      </c>
      <c r="Z154" s="32">
        <f>IF($C154="","",IF(COUNTA($U154:$W154)&lt;3,"",IF(AND($U154="מפותח",$V154="מפותח",$W154="מפותחת"),"מפותחת",IF((--($U154="דל"))+(--($V154="אינו מפותח"))+(--($W154="דלה"))&gt;=2,"אינה מפותחת","חלקית"))))</f>
        <v/>
      </c>
      <c r="AA154" s="32">
        <f>IF($C154="","",IF(COUNTA($M154,$N154,$O154)&lt;3,"— חסרים נתונים",IF(OR($M154="נמוכה",(--($M154&lt;&gt;"תקינה"))+(--($N154&lt;&gt;"תקין"))+(--($O154&lt;&gt;"תקינה"))&gt;=2),"ניכרת","אינה ניכרת")))</f>
        <v/>
      </c>
      <c r="AB154" s="32">
        <f>IF(OR($C154="",$Y154="",$AA154="",LEFT($Y154,1)="—",LEFT($AA154,1)="—"),"",IF($Z154="","— נדרשת הערכת כתיבה",IF($L154="","— חסרה הבנת הנקרא",IF($Y154="אינה מדויקת או מקוטעת",IF($AA154="ניכרת","מיקוד בשטף הקריאה ובכישורי שפה","מיקוד בשטף קריאה"),IF($AA154="ניכרת","מיקוד בכישורי שפה",IF(AND($L154="תקינה",$Z154="מפותחת"),"קוראים וכותבים מיומנים","מיקוד בהבנה והבעה"))))))</f>
        <v/>
      </c>
      <c r="AC154" s="32">
        <f>IF(OR($AB154="",LEFT($AB154,1)="—"),"",IF(OR($AB154="מיקוד בשטף קריאה",$AB154="מיקוד בשטף הקריאה ובכישורי שפה"),"רמה א'",IF($AB154="קוראים וכותבים מיומנים","רמה ג'","רמה ב'")))</f>
        <v/>
      </c>
      <c r="AD154" s="32">
        <f>IF($AC154="","",MID(IF(AND($AC154="רמה א'",$AA154="ניכרת"),"; להוסיף עבודת אוצר מילים","")&amp;IF($Z154="אינה מפותחת","; דגש על הבעה בכתב","")&amp;IF($K154&lt;&gt;"תקין","; נדרש לעבוד על ההנגנה","")&amp;IF($AK154&lt;&gt;"","; "&amp;$AK154,""),3,400))</f>
        <v/>
      </c>
      <c r="AE154" s="32">
        <f>IF($F154="","",IF($F154="תחילת שנה",1,IF($F154="מחצית שנה",2,3)))</f>
        <v/>
      </c>
      <c r="AF154" s="32">
        <f>IF(OR($B154="",$AC154="",$A154="",$F154=""),"",$B154&amp;"|"&amp;$A154&amp;"|"&amp;$F154&amp;"|"&amp;$AC154&amp;"|"&amp;COUNTIFS($B$6:$B154,$B154,$A$6:$A154,$A154,$F$6:$F154,$F154,$AC$6:$AC154,$AC154))</f>
        <v/>
      </c>
      <c r="AG154" s="32">
        <f>IF($C154="","",$C154&amp;"|"&amp;COUNTIFS($C$6:$C154,$C154))</f>
        <v/>
      </c>
      <c r="AH154" s="32">
        <f>IF(OR($C154="",$A154="",$AE154=""),"",$C154&amp;"|"&amp;$A154&amp;"|"&amp;$AE154)</f>
        <v/>
      </c>
      <c r="AI154" s="32">
        <f>IF(OR($C154="",$AE154="",$AE154=1),"",IFERROR(INDEX($AC$6:$AC$1505,MATCH($C154&amp;"|"&amp;$A154&amp;"|"&amp;($AE154-1),$AH$6:$AH$1505,0)),""))</f>
        <v/>
      </c>
      <c r="AJ154" s="32">
        <f>IF(OR($AI154="",$AC154=""),"",IF($AI154=$AC154,"ללא שינוי","מ-"&amp;$AI154&amp;" ל-"&amp;$AC154))</f>
        <v/>
      </c>
      <c r="AK154" s="67" t="n"/>
    </row>
    <row r="155" ht="15.75" customHeight="1" s="58">
      <c r="A155" s="65" t="n"/>
      <c r="B155" s="65" t="n"/>
      <c r="C155" s="66" t="n"/>
      <c r="D155" s="66" t="n"/>
      <c r="E155" s="65" t="n"/>
      <c r="F155" s="65" t="n"/>
      <c r="G155" s="65" t="n"/>
      <c r="H155" s="65" t="n"/>
      <c r="I155" s="65" t="n"/>
      <c r="J155" s="65" t="n"/>
      <c r="K155" s="65" t="n"/>
      <c r="L155" s="65" t="n"/>
      <c r="M155" s="65" t="n"/>
      <c r="N155" s="65" t="n"/>
      <c r="O155" s="65" t="n"/>
      <c r="P155" s="65" t="n"/>
      <c r="Q155" s="65" t="n"/>
      <c r="R155" s="65" t="n"/>
      <c r="S155" s="65" t="n"/>
      <c r="T155" s="65" t="n"/>
      <c r="U155" s="65" t="n"/>
      <c r="V155" s="65" t="n"/>
      <c r="W155" s="65" t="n"/>
      <c r="X155" s="65" t="n"/>
      <c r="Y155" s="32">
        <f>IF($C155="","",IF(COUNTA($I155:$K155)&lt;3,"— חסרים נתונים",IF(AND($I155="תקין",$J155="תקין",$K155="תקין"),"רהוטה",IF(AND($I155="תקין",$J155="תקין"),"מדויקת ורציפה","אינה מדויקת או מקוטעת"))))</f>
        <v/>
      </c>
      <c r="Z155" s="32">
        <f>IF($C155="","",IF(COUNTA($U155:$W155)&lt;3,"",IF(AND($U155="מפותח",$V155="מפותח",$W155="מפותחת"),"מפותחת",IF((--($U155="דל"))+(--($V155="אינו מפותח"))+(--($W155="דלה"))&gt;=2,"אינה מפותחת","חלקית"))))</f>
        <v/>
      </c>
      <c r="AA155" s="32">
        <f>IF($C155="","",IF(COUNTA($M155,$N155,$O155)&lt;3,"— חסרים נתונים",IF(OR($M155="נמוכה",(--($M155&lt;&gt;"תקינה"))+(--($N155&lt;&gt;"תקין"))+(--($O155&lt;&gt;"תקינה"))&gt;=2),"ניכרת","אינה ניכרת")))</f>
        <v/>
      </c>
      <c r="AB155" s="32">
        <f>IF(OR($C155="",$Y155="",$AA155="",LEFT($Y155,1)="—",LEFT($AA155,1)="—"),"",IF($Z155="","— נדרשת הערכת כתיבה",IF($L155="","— חסרה הבנת הנקרא",IF($Y155="אינה מדויקת או מקוטעת",IF($AA155="ניכרת","מיקוד בשטף הקריאה ובכישורי שפה","מיקוד בשטף קריאה"),IF($AA155="ניכרת","מיקוד בכישורי שפה",IF(AND($L155="תקינה",$Z155="מפותחת"),"קוראים וכותבים מיומנים","מיקוד בהבנה והבעה"))))))</f>
        <v/>
      </c>
      <c r="AC155" s="32">
        <f>IF(OR($AB155="",LEFT($AB155,1)="—"),"",IF(OR($AB155="מיקוד בשטף קריאה",$AB155="מיקוד בשטף הקריאה ובכישורי שפה"),"רמה א'",IF($AB155="קוראים וכותבים מיומנים","רמה ג'","רמה ב'")))</f>
        <v/>
      </c>
      <c r="AD155" s="32">
        <f>IF($AC155="","",MID(IF(AND($AC155="רמה א'",$AA155="ניכרת"),"; להוסיף עבודת אוצר מילים","")&amp;IF($Z155="אינה מפותחת","; דגש על הבעה בכתב","")&amp;IF($K155&lt;&gt;"תקין","; נדרש לעבוד על ההנגנה","")&amp;IF($AK155&lt;&gt;"","; "&amp;$AK155,""),3,400))</f>
        <v/>
      </c>
      <c r="AE155" s="32">
        <f>IF($F155="","",IF($F155="תחילת שנה",1,IF($F155="מחצית שנה",2,3)))</f>
        <v/>
      </c>
      <c r="AF155" s="32">
        <f>IF(OR($B155="",$AC155="",$A155="",$F155=""),"",$B155&amp;"|"&amp;$A155&amp;"|"&amp;$F155&amp;"|"&amp;$AC155&amp;"|"&amp;COUNTIFS($B$6:$B155,$B155,$A$6:$A155,$A155,$F$6:$F155,$F155,$AC$6:$AC155,$AC155))</f>
        <v/>
      </c>
      <c r="AG155" s="32">
        <f>IF($C155="","",$C155&amp;"|"&amp;COUNTIFS($C$6:$C155,$C155))</f>
        <v/>
      </c>
      <c r="AH155" s="32">
        <f>IF(OR($C155="",$A155="",$AE155=""),"",$C155&amp;"|"&amp;$A155&amp;"|"&amp;$AE155)</f>
        <v/>
      </c>
      <c r="AI155" s="32">
        <f>IF(OR($C155="",$AE155="",$AE155=1),"",IFERROR(INDEX($AC$6:$AC$1505,MATCH($C155&amp;"|"&amp;$A155&amp;"|"&amp;($AE155-1),$AH$6:$AH$1505,0)),""))</f>
        <v/>
      </c>
      <c r="AJ155" s="32">
        <f>IF(OR($AI155="",$AC155=""),"",IF($AI155=$AC155,"ללא שינוי","מ-"&amp;$AI155&amp;" ל-"&amp;$AC155))</f>
        <v/>
      </c>
      <c r="AK155" s="67" t="n"/>
    </row>
    <row r="156" ht="15.75" customHeight="1" s="58">
      <c r="A156" s="65" t="n"/>
      <c r="B156" s="65" t="n"/>
      <c r="C156" s="66" t="n"/>
      <c r="D156" s="66" t="n"/>
      <c r="E156" s="65" t="n"/>
      <c r="F156" s="65" t="n"/>
      <c r="G156" s="65" t="n"/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65" t="n"/>
      <c r="T156" s="65" t="n"/>
      <c r="U156" s="65" t="n"/>
      <c r="V156" s="65" t="n"/>
      <c r="W156" s="65" t="n"/>
      <c r="X156" s="65" t="n"/>
      <c r="Y156" s="32">
        <f>IF($C156="","",IF(COUNTA($I156:$K156)&lt;3,"— חסרים נתונים",IF(AND($I156="תקין",$J156="תקין",$K156="תקין"),"רהוטה",IF(AND($I156="תקין",$J156="תקין"),"מדויקת ורציפה","אינה מדויקת או מקוטעת"))))</f>
        <v/>
      </c>
      <c r="Z156" s="32">
        <f>IF($C156="","",IF(COUNTA($U156:$W156)&lt;3,"",IF(AND($U156="מפותח",$V156="מפותח",$W156="מפותחת"),"מפותחת",IF((--($U156="דל"))+(--($V156="אינו מפותח"))+(--($W156="דלה"))&gt;=2,"אינה מפותחת","חלקית"))))</f>
        <v/>
      </c>
      <c r="AA156" s="32">
        <f>IF($C156="","",IF(COUNTA($M156,$N156,$O156)&lt;3,"— חסרים נתונים",IF(OR($M156="נמוכה",(--($M156&lt;&gt;"תקינה"))+(--($N156&lt;&gt;"תקין"))+(--($O156&lt;&gt;"תקינה"))&gt;=2),"ניכרת","אינה ניכרת")))</f>
        <v/>
      </c>
      <c r="AB156" s="32">
        <f>IF(OR($C156="",$Y156="",$AA156="",LEFT($Y156,1)="—",LEFT($AA156,1)="—"),"",IF($Z156="","— נדרשת הערכת כתיבה",IF($L156="","— חסרה הבנת הנקרא",IF($Y156="אינה מדויקת או מקוטעת",IF($AA156="ניכרת","מיקוד בשטף הקריאה ובכישורי שפה","מיקוד בשטף קריאה"),IF($AA156="ניכרת","מיקוד בכישורי שפה",IF(AND($L156="תקינה",$Z156="מפותחת"),"קוראים וכותבים מיומנים","מיקוד בהבנה והבעה"))))))</f>
        <v/>
      </c>
      <c r="AC156" s="32">
        <f>IF(OR($AB156="",LEFT($AB156,1)="—"),"",IF(OR($AB156="מיקוד בשטף קריאה",$AB156="מיקוד בשטף הקריאה ובכישורי שפה"),"רמה א'",IF($AB156="קוראים וכותבים מיומנים","רמה ג'","רמה ב'")))</f>
        <v/>
      </c>
      <c r="AD156" s="32">
        <f>IF($AC156="","",MID(IF(AND($AC156="רמה א'",$AA156="ניכרת"),"; להוסיף עבודת אוצר מילים","")&amp;IF($Z156="אינה מפותחת","; דגש על הבעה בכתב","")&amp;IF($K156&lt;&gt;"תקין","; נדרש לעבוד על ההנגנה","")&amp;IF($AK156&lt;&gt;"","; "&amp;$AK156,""),3,400))</f>
        <v/>
      </c>
      <c r="AE156" s="32">
        <f>IF($F156="","",IF($F156="תחילת שנה",1,IF($F156="מחצית שנה",2,3)))</f>
        <v/>
      </c>
      <c r="AF156" s="32">
        <f>IF(OR($B156="",$AC156="",$A156="",$F156=""),"",$B156&amp;"|"&amp;$A156&amp;"|"&amp;$F156&amp;"|"&amp;$AC156&amp;"|"&amp;COUNTIFS($B$6:$B156,$B156,$A$6:$A156,$A156,$F$6:$F156,$F156,$AC$6:$AC156,$AC156))</f>
        <v/>
      </c>
      <c r="AG156" s="32">
        <f>IF($C156="","",$C156&amp;"|"&amp;COUNTIFS($C$6:$C156,$C156))</f>
        <v/>
      </c>
      <c r="AH156" s="32">
        <f>IF(OR($C156="",$A156="",$AE156=""),"",$C156&amp;"|"&amp;$A156&amp;"|"&amp;$AE156)</f>
        <v/>
      </c>
      <c r="AI156" s="32">
        <f>IF(OR($C156="",$AE156="",$AE156=1),"",IFERROR(INDEX($AC$6:$AC$1505,MATCH($C156&amp;"|"&amp;$A156&amp;"|"&amp;($AE156-1),$AH$6:$AH$1505,0)),""))</f>
        <v/>
      </c>
      <c r="AJ156" s="32">
        <f>IF(OR($AI156="",$AC156=""),"",IF($AI156=$AC156,"ללא שינוי","מ-"&amp;$AI156&amp;" ל-"&amp;$AC156))</f>
        <v/>
      </c>
      <c r="AK156" s="67" t="n"/>
    </row>
    <row r="157" ht="15.75" customHeight="1" s="58">
      <c r="A157" s="65" t="n"/>
      <c r="B157" s="65" t="n"/>
      <c r="C157" s="66" t="n"/>
      <c r="D157" s="66" t="n"/>
      <c r="E157" s="65" t="n"/>
      <c r="F157" s="65" t="n"/>
      <c r="G157" s="65" t="n"/>
      <c r="H157" s="65" t="n"/>
      <c r="I157" s="65" t="n"/>
      <c r="J157" s="65" t="n"/>
      <c r="K157" s="65" t="n"/>
      <c r="L157" s="65" t="n"/>
      <c r="M157" s="65" t="n"/>
      <c r="N157" s="65" t="n"/>
      <c r="O157" s="65" t="n"/>
      <c r="P157" s="65" t="n"/>
      <c r="Q157" s="65" t="n"/>
      <c r="R157" s="65" t="n"/>
      <c r="S157" s="65" t="n"/>
      <c r="T157" s="65" t="n"/>
      <c r="U157" s="65" t="n"/>
      <c r="V157" s="65" t="n"/>
      <c r="W157" s="65" t="n"/>
      <c r="X157" s="65" t="n"/>
      <c r="Y157" s="32">
        <f>IF($C157="","",IF(COUNTA($I157:$K157)&lt;3,"— חסרים נתונים",IF(AND($I157="תקין",$J157="תקין",$K157="תקין"),"רהוטה",IF(AND($I157="תקין",$J157="תקין"),"מדויקת ורציפה","אינה מדויקת או מקוטעת"))))</f>
        <v/>
      </c>
      <c r="Z157" s="32">
        <f>IF($C157="","",IF(COUNTA($U157:$W157)&lt;3,"",IF(AND($U157="מפותח",$V157="מפותח",$W157="מפותחת"),"מפותחת",IF((--($U157="דל"))+(--($V157="אינו מפותח"))+(--($W157="דלה"))&gt;=2,"אינה מפותחת","חלקית"))))</f>
        <v/>
      </c>
      <c r="AA157" s="32">
        <f>IF($C157="","",IF(COUNTA($M157,$N157,$O157)&lt;3,"— חסרים נתונים",IF(OR($M157="נמוכה",(--($M157&lt;&gt;"תקינה"))+(--($N157&lt;&gt;"תקין"))+(--($O157&lt;&gt;"תקינה"))&gt;=2),"ניכרת","אינה ניכרת")))</f>
        <v/>
      </c>
      <c r="AB157" s="32">
        <f>IF(OR($C157="",$Y157="",$AA157="",LEFT($Y157,1)="—",LEFT($AA157,1)="—"),"",IF($Z157="","— נדרשת הערכת כתיבה",IF($L157="","— חסרה הבנת הנקרא",IF($Y157="אינה מדויקת או מקוטעת",IF($AA157="ניכרת","מיקוד בשטף הקריאה ובכישורי שפה","מיקוד בשטף קריאה"),IF($AA157="ניכרת","מיקוד בכישורי שפה",IF(AND($L157="תקינה",$Z157="מפותחת"),"קוראים וכותבים מיומנים","מיקוד בהבנה והבעה"))))))</f>
        <v/>
      </c>
      <c r="AC157" s="32">
        <f>IF(OR($AB157="",LEFT($AB157,1)="—"),"",IF(OR($AB157="מיקוד בשטף קריאה",$AB157="מיקוד בשטף הקריאה ובכישורי שפה"),"רמה א'",IF($AB157="קוראים וכותבים מיומנים","רמה ג'","רמה ב'")))</f>
        <v/>
      </c>
      <c r="AD157" s="32">
        <f>IF($AC157="","",MID(IF(AND($AC157="רמה א'",$AA157="ניכרת"),"; להוסיף עבודת אוצר מילים","")&amp;IF($Z157="אינה מפותחת","; דגש על הבעה בכתב","")&amp;IF($K157&lt;&gt;"תקין","; נדרש לעבוד על ההנגנה","")&amp;IF($AK157&lt;&gt;"","; "&amp;$AK157,""),3,400))</f>
        <v/>
      </c>
      <c r="AE157" s="32">
        <f>IF($F157="","",IF($F157="תחילת שנה",1,IF($F157="מחצית שנה",2,3)))</f>
        <v/>
      </c>
      <c r="AF157" s="32">
        <f>IF(OR($B157="",$AC157="",$A157="",$F157=""),"",$B157&amp;"|"&amp;$A157&amp;"|"&amp;$F157&amp;"|"&amp;$AC157&amp;"|"&amp;COUNTIFS($B$6:$B157,$B157,$A$6:$A157,$A157,$F$6:$F157,$F157,$AC$6:$AC157,$AC157))</f>
        <v/>
      </c>
      <c r="AG157" s="32">
        <f>IF($C157="","",$C157&amp;"|"&amp;COUNTIFS($C$6:$C157,$C157))</f>
        <v/>
      </c>
      <c r="AH157" s="32">
        <f>IF(OR($C157="",$A157="",$AE157=""),"",$C157&amp;"|"&amp;$A157&amp;"|"&amp;$AE157)</f>
        <v/>
      </c>
      <c r="AI157" s="32">
        <f>IF(OR($C157="",$AE157="",$AE157=1),"",IFERROR(INDEX($AC$6:$AC$1505,MATCH($C157&amp;"|"&amp;$A157&amp;"|"&amp;($AE157-1),$AH$6:$AH$1505,0)),""))</f>
        <v/>
      </c>
      <c r="AJ157" s="32">
        <f>IF(OR($AI157="",$AC157=""),"",IF($AI157=$AC157,"ללא שינוי","מ-"&amp;$AI157&amp;" ל-"&amp;$AC157))</f>
        <v/>
      </c>
      <c r="AK157" s="67" t="n"/>
    </row>
    <row r="158" ht="15.75" customHeight="1" s="58">
      <c r="A158" s="65" t="n"/>
      <c r="B158" s="65" t="n"/>
      <c r="C158" s="66" t="n"/>
      <c r="D158" s="66" t="n"/>
      <c r="E158" s="65" t="n"/>
      <c r="F158" s="65" t="n"/>
      <c r="G158" s="65" t="n"/>
      <c r="H158" s="65" t="n"/>
      <c r="I158" s="65" t="n"/>
      <c r="J158" s="65" t="n"/>
      <c r="K158" s="65" t="n"/>
      <c r="L158" s="65" t="n"/>
      <c r="M158" s="65" t="n"/>
      <c r="N158" s="65" t="n"/>
      <c r="O158" s="65" t="n"/>
      <c r="P158" s="65" t="n"/>
      <c r="Q158" s="65" t="n"/>
      <c r="R158" s="65" t="n"/>
      <c r="S158" s="65" t="n"/>
      <c r="T158" s="65" t="n"/>
      <c r="U158" s="65" t="n"/>
      <c r="V158" s="65" t="n"/>
      <c r="W158" s="65" t="n"/>
      <c r="X158" s="65" t="n"/>
      <c r="Y158" s="32">
        <f>IF($C158="","",IF(COUNTA($I158:$K158)&lt;3,"— חסרים נתונים",IF(AND($I158="תקין",$J158="תקין",$K158="תקין"),"רהוטה",IF(AND($I158="תקין",$J158="תקין"),"מדויקת ורציפה","אינה מדויקת או מקוטעת"))))</f>
        <v/>
      </c>
      <c r="Z158" s="32">
        <f>IF($C158="","",IF(COUNTA($U158:$W158)&lt;3,"",IF(AND($U158="מפותח",$V158="מפותח",$W158="מפותחת"),"מפותחת",IF((--($U158="דל"))+(--($V158="אינו מפותח"))+(--($W158="דלה"))&gt;=2,"אינה מפותחת","חלקית"))))</f>
        <v/>
      </c>
      <c r="AA158" s="32">
        <f>IF($C158="","",IF(COUNTA($M158,$N158,$O158)&lt;3,"— חסרים נתונים",IF(OR($M158="נמוכה",(--($M158&lt;&gt;"תקינה"))+(--($N158&lt;&gt;"תקין"))+(--($O158&lt;&gt;"תקינה"))&gt;=2),"ניכרת","אינה ניכרת")))</f>
        <v/>
      </c>
      <c r="AB158" s="32">
        <f>IF(OR($C158="",$Y158="",$AA158="",LEFT($Y158,1)="—",LEFT($AA158,1)="—"),"",IF($Z158="","— נדרשת הערכת כתיבה",IF($L158="","— חסרה הבנת הנקרא",IF($Y158="אינה מדויקת או מקוטעת",IF($AA158="ניכרת","מיקוד בשטף הקריאה ובכישורי שפה","מיקוד בשטף קריאה"),IF($AA158="ניכרת","מיקוד בכישורי שפה",IF(AND($L158="תקינה",$Z158="מפותחת"),"קוראים וכותבים מיומנים","מיקוד בהבנה והבעה"))))))</f>
        <v/>
      </c>
      <c r="AC158" s="32">
        <f>IF(OR($AB158="",LEFT($AB158,1)="—"),"",IF(OR($AB158="מיקוד בשטף קריאה",$AB158="מיקוד בשטף הקריאה ובכישורי שפה"),"רמה א'",IF($AB158="קוראים וכותבים מיומנים","רמה ג'","רמה ב'")))</f>
        <v/>
      </c>
      <c r="AD158" s="32">
        <f>IF($AC158="","",MID(IF(AND($AC158="רמה א'",$AA158="ניכרת"),"; להוסיף עבודת אוצר מילים","")&amp;IF($Z158="אינה מפותחת","; דגש על הבעה בכתב","")&amp;IF($K158&lt;&gt;"תקין","; נדרש לעבוד על ההנגנה","")&amp;IF($AK158&lt;&gt;"","; "&amp;$AK158,""),3,400))</f>
        <v/>
      </c>
      <c r="AE158" s="32">
        <f>IF($F158="","",IF($F158="תחילת שנה",1,IF($F158="מחצית שנה",2,3)))</f>
        <v/>
      </c>
      <c r="AF158" s="32">
        <f>IF(OR($B158="",$AC158="",$A158="",$F158=""),"",$B158&amp;"|"&amp;$A158&amp;"|"&amp;$F158&amp;"|"&amp;$AC158&amp;"|"&amp;COUNTIFS($B$6:$B158,$B158,$A$6:$A158,$A158,$F$6:$F158,$F158,$AC$6:$AC158,$AC158))</f>
        <v/>
      </c>
      <c r="AG158" s="32">
        <f>IF($C158="","",$C158&amp;"|"&amp;COUNTIFS($C$6:$C158,$C158))</f>
        <v/>
      </c>
      <c r="AH158" s="32">
        <f>IF(OR($C158="",$A158="",$AE158=""),"",$C158&amp;"|"&amp;$A158&amp;"|"&amp;$AE158)</f>
        <v/>
      </c>
      <c r="AI158" s="32">
        <f>IF(OR($C158="",$AE158="",$AE158=1),"",IFERROR(INDEX($AC$6:$AC$1505,MATCH($C158&amp;"|"&amp;$A158&amp;"|"&amp;($AE158-1),$AH$6:$AH$1505,0)),""))</f>
        <v/>
      </c>
      <c r="AJ158" s="32">
        <f>IF(OR($AI158="",$AC158=""),"",IF($AI158=$AC158,"ללא שינוי","מ-"&amp;$AI158&amp;" ל-"&amp;$AC158))</f>
        <v/>
      </c>
      <c r="AK158" s="67" t="n"/>
    </row>
    <row r="159" ht="15.75" customHeight="1" s="58">
      <c r="A159" s="65" t="n"/>
      <c r="B159" s="65" t="n"/>
      <c r="C159" s="66" t="n"/>
      <c r="D159" s="66" t="n"/>
      <c r="E159" s="65" t="n"/>
      <c r="F159" s="65" t="n"/>
      <c r="G159" s="65" t="n"/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65" t="n"/>
      <c r="R159" s="65" t="n"/>
      <c r="S159" s="65" t="n"/>
      <c r="T159" s="65" t="n"/>
      <c r="U159" s="65" t="n"/>
      <c r="V159" s="65" t="n"/>
      <c r="W159" s="65" t="n"/>
      <c r="X159" s="65" t="n"/>
      <c r="Y159" s="32">
        <f>IF($C159="","",IF(COUNTA($I159:$K159)&lt;3,"— חסרים נתונים",IF(AND($I159="תקין",$J159="תקין",$K159="תקין"),"רהוטה",IF(AND($I159="תקין",$J159="תקין"),"מדויקת ורציפה","אינה מדויקת או מקוטעת"))))</f>
        <v/>
      </c>
      <c r="Z159" s="32">
        <f>IF($C159="","",IF(COUNTA($U159:$W159)&lt;3,"",IF(AND($U159="מפותח",$V159="מפותח",$W159="מפותחת"),"מפותחת",IF((--($U159="דל"))+(--($V159="אינו מפותח"))+(--($W159="דלה"))&gt;=2,"אינה מפותחת","חלקית"))))</f>
        <v/>
      </c>
      <c r="AA159" s="32">
        <f>IF($C159="","",IF(COUNTA($M159,$N159,$O159)&lt;3,"— חסרים נתונים",IF(OR($M159="נמוכה",(--($M159&lt;&gt;"תקינה"))+(--($N159&lt;&gt;"תקין"))+(--($O159&lt;&gt;"תקינה"))&gt;=2),"ניכרת","אינה ניכרת")))</f>
        <v/>
      </c>
      <c r="AB159" s="32">
        <f>IF(OR($C159="",$Y159="",$AA159="",LEFT($Y159,1)="—",LEFT($AA159,1)="—"),"",IF($Z159="","— נדרשת הערכת כתיבה",IF($L159="","— חסרה הבנת הנקרא",IF($Y159="אינה מדויקת או מקוטעת",IF($AA159="ניכרת","מיקוד בשטף הקריאה ובכישורי שפה","מיקוד בשטף קריאה"),IF($AA159="ניכרת","מיקוד בכישורי שפה",IF(AND($L159="תקינה",$Z159="מפותחת"),"קוראים וכותבים מיומנים","מיקוד בהבנה והבעה"))))))</f>
        <v/>
      </c>
      <c r="AC159" s="32">
        <f>IF(OR($AB159="",LEFT($AB159,1)="—"),"",IF(OR($AB159="מיקוד בשטף קריאה",$AB159="מיקוד בשטף הקריאה ובכישורי שפה"),"רמה א'",IF($AB159="קוראים וכותבים מיומנים","רמה ג'","רמה ב'")))</f>
        <v/>
      </c>
      <c r="AD159" s="32">
        <f>IF($AC159="","",MID(IF(AND($AC159="רמה א'",$AA159="ניכרת"),"; להוסיף עבודת אוצר מילים","")&amp;IF($Z159="אינה מפותחת","; דגש על הבעה בכתב","")&amp;IF($K159&lt;&gt;"תקין","; נדרש לעבוד על ההנגנה","")&amp;IF($AK159&lt;&gt;"","; "&amp;$AK159,""),3,400))</f>
        <v/>
      </c>
      <c r="AE159" s="32">
        <f>IF($F159="","",IF($F159="תחילת שנה",1,IF($F159="מחצית שנה",2,3)))</f>
        <v/>
      </c>
      <c r="AF159" s="32">
        <f>IF(OR($B159="",$AC159="",$A159="",$F159=""),"",$B159&amp;"|"&amp;$A159&amp;"|"&amp;$F159&amp;"|"&amp;$AC159&amp;"|"&amp;COUNTIFS($B$6:$B159,$B159,$A$6:$A159,$A159,$F$6:$F159,$F159,$AC$6:$AC159,$AC159))</f>
        <v/>
      </c>
      <c r="AG159" s="32">
        <f>IF($C159="","",$C159&amp;"|"&amp;COUNTIFS($C$6:$C159,$C159))</f>
        <v/>
      </c>
      <c r="AH159" s="32">
        <f>IF(OR($C159="",$A159="",$AE159=""),"",$C159&amp;"|"&amp;$A159&amp;"|"&amp;$AE159)</f>
        <v/>
      </c>
      <c r="AI159" s="32">
        <f>IF(OR($C159="",$AE159="",$AE159=1),"",IFERROR(INDEX($AC$6:$AC$1505,MATCH($C159&amp;"|"&amp;$A159&amp;"|"&amp;($AE159-1),$AH$6:$AH$1505,0)),""))</f>
        <v/>
      </c>
      <c r="AJ159" s="32">
        <f>IF(OR($AI159="",$AC159=""),"",IF($AI159=$AC159,"ללא שינוי","מ-"&amp;$AI159&amp;" ל-"&amp;$AC159))</f>
        <v/>
      </c>
      <c r="AK159" s="67" t="n"/>
    </row>
    <row r="160" ht="15.75" customHeight="1" s="58">
      <c r="A160" s="65" t="n"/>
      <c r="B160" s="65" t="n"/>
      <c r="C160" s="66" t="n"/>
      <c r="D160" s="66" t="n"/>
      <c r="E160" s="65" t="n"/>
      <c r="F160" s="65" t="n"/>
      <c r="G160" s="65" t="n"/>
      <c r="H160" s="65" t="n"/>
      <c r="I160" s="65" t="n"/>
      <c r="J160" s="65" t="n"/>
      <c r="K160" s="65" t="n"/>
      <c r="L160" s="65" t="n"/>
      <c r="M160" s="65" t="n"/>
      <c r="N160" s="65" t="n"/>
      <c r="O160" s="65" t="n"/>
      <c r="P160" s="65" t="n"/>
      <c r="Q160" s="65" t="n"/>
      <c r="R160" s="65" t="n"/>
      <c r="S160" s="65" t="n"/>
      <c r="T160" s="65" t="n"/>
      <c r="U160" s="65" t="n"/>
      <c r="V160" s="65" t="n"/>
      <c r="W160" s="65" t="n"/>
      <c r="X160" s="65" t="n"/>
      <c r="Y160" s="32">
        <f>IF($C160="","",IF(COUNTA($I160:$K160)&lt;3,"— חסרים נתונים",IF(AND($I160="תקין",$J160="תקין",$K160="תקין"),"רהוטה",IF(AND($I160="תקין",$J160="תקין"),"מדויקת ורציפה","אינה מדויקת או מקוטעת"))))</f>
        <v/>
      </c>
      <c r="Z160" s="32">
        <f>IF($C160="","",IF(COUNTA($U160:$W160)&lt;3,"",IF(AND($U160="מפותח",$V160="מפותח",$W160="מפותחת"),"מפותחת",IF((--($U160="דל"))+(--($V160="אינו מפותח"))+(--($W160="דלה"))&gt;=2,"אינה מפותחת","חלקית"))))</f>
        <v/>
      </c>
      <c r="AA160" s="32">
        <f>IF($C160="","",IF(COUNTA($M160,$N160,$O160)&lt;3,"— חסרים נתונים",IF(OR($M160="נמוכה",(--($M160&lt;&gt;"תקינה"))+(--($N160&lt;&gt;"תקין"))+(--($O160&lt;&gt;"תקינה"))&gt;=2),"ניכרת","אינה ניכרת")))</f>
        <v/>
      </c>
      <c r="AB160" s="32">
        <f>IF(OR($C160="",$Y160="",$AA160="",LEFT($Y160,1)="—",LEFT($AA160,1)="—"),"",IF($Z160="","— נדרשת הערכת כתיבה",IF($L160="","— חסרה הבנת הנקרא",IF($Y160="אינה מדויקת או מקוטעת",IF($AA160="ניכרת","מיקוד בשטף הקריאה ובכישורי שפה","מיקוד בשטף קריאה"),IF($AA160="ניכרת","מיקוד בכישורי שפה",IF(AND($L160="תקינה",$Z160="מפותחת"),"קוראים וכותבים מיומנים","מיקוד בהבנה והבעה"))))))</f>
        <v/>
      </c>
      <c r="AC160" s="32">
        <f>IF(OR($AB160="",LEFT($AB160,1)="—"),"",IF(OR($AB160="מיקוד בשטף קריאה",$AB160="מיקוד בשטף הקריאה ובכישורי שפה"),"רמה א'",IF($AB160="קוראים וכותבים מיומנים","רמה ג'","רמה ב'")))</f>
        <v/>
      </c>
      <c r="AD160" s="32">
        <f>IF($AC160="","",MID(IF(AND($AC160="רמה א'",$AA160="ניכרת"),"; להוסיף עבודת אוצר מילים","")&amp;IF($Z160="אינה מפותחת","; דגש על הבעה בכתב","")&amp;IF($K160&lt;&gt;"תקין","; נדרש לעבוד על ההנגנה","")&amp;IF($AK160&lt;&gt;"","; "&amp;$AK160,""),3,400))</f>
        <v/>
      </c>
      <c r="AE160" s="32">
        <f>IF($F160="","",IF($F160="תחילת שנה",1,IF($F160="מחצית שנה",2,3)))</f>
        <v/>
      </c>
      <c r="AF160" s="32">
        <f>IF(OR($B160="",$AC160="",$A160="",$F160=""),"",$B160&amp;"|"&amp;$A160&amp;"|"&amp;$F160&amp;"|"&amp;$AC160&amp;"|"&amp;COUNTIFS($B$6:$B160,$B160,$A$6:$A160,$A160,$F$6:$F160,$F160,$AC$6:$AC160,$AC160))</f>
        <v/>
      </c>
      <c r="AG160" s="32">
        <f>IF($C160="","",$C160&amp;"|"&amp;COUNTIFS($C$6:$C160,$C160))</f>
        <v/>
      </c>
      <c r="AH160" s="32">
        <f>IF(OR($C160="",$A160="",$AE160=""),"",$C160&amp;"|"&amp;$A160&amp;"|"&amp;$AE160)</f>
        <v/>
      </c>
      <c r="AI160" s="32">
        <f>IF(OR($C160="",$AE160="",$AE160=1),"",IFERROR(INDEX($AC$6:$AC$1505,MATCH($C160&amp;"|"&amp;$A160&amp;"|"&amp;($AE160-1),$AH$6:$AH$1505,0)),""))</f>
        <v/>
      </c>
      <c r="AJ160" s="32">
        <f>IF(OR($AI160="",$AC160=""),"",IF($AI160=$AC160,"ללא שינוי","מ-"&amp;$AI160&amp;" ל-"&amp;$AC160))</f>
        <v/>
      </c>
      <c r="AK160" s="67" t="n"/>
    </row>
    <row r="161" ht="15.75" customHeight="1" s="58">
      <c r="A161" s="65" t="n"/>
      <c r="B161" s="65" t="n"/>
      <c r="C161" s="66" t="n"/>
      <c r="D161" s="66" t="n"/>
      <c r="E161" s="65" t="n"/>
      <c r="F161" s="65" t="n"/>
      <c r="G161" s="65" t="n"/>
      <c r="H161" s="65" t="n"/>
      <c r="I161" s="65" t="n"/>
      <c r="J161" s="65" t="n"/>
      <c r="K161" s="65" t="n"/>
      <c r="L161" s="65" t="n"/>
      <c r="M161" s="65" t="n"/>
      <c r="N161" s="65" t="n"/>
      <c r="O161" s="65" t="n"/>
      <c r="P161" s="65" t="n"/>
      <c r="Q161" s="65" t="n"/>
      <c r="R161" s="65" t="n"/>
      <c r="S161" s="65" t="n"/>
      <c r="T161" s="65" t="n"/>
      <c r="U161" s="65" t="n"/>
      <c r="V161" s="65" t="n"/>
      <c r="W161" s="65" t="n"/>
      <c r="X161" s="65" t="n"/>
      <c r="Y161" s="32">
        <f>IF($C161="","",IF(COUNTA($I161:$K161)&lt;3,"— חסרים נתונים",IF(AND($I161="תקין",$J161="תקין",$K161="תקין"),"רהוטה",IF(AND($I161="תקין",$J161="תקין"),"מדויקת ורציפה","אינה מדויקת או מקוטעת"))))</f>
        <v/>
      </c>
      <c r="Z161" s="32">
        <f>IF($C161="","",IF(COUNTA($U161:$W161)&lt;3,"",IF(AND($U161="מפותח",$V161="מפותח",$W161="מפותחת"),"מפותחת",IF((--($U161="דל"))+(--($V161="אינו מפותח"))+(--($W161="דלה"))&gt;=2,"אינה מפותחת","חלקית"))))</f>
        <v/>
      </c>
      <c r="AA161" s="32">
        <f>IF($C161="","",IF(COUNTA($M161,$N161,$O161)&lt;3,"— חסרים נתונים",IF(OR($M161="נמוכה",(--($M161&lt;&gt;"תקינה"))+(--($N161&lt;&gt;"תקין"))+(--($O161&lt;&gt;"תקינה"))&gt;=2),"ניכרת","אינה ניכרת")))</f>
        <v/>
      </c>
      <c r="AB161" s="32">
        <f>IF(OR($C161="",$Y161="",$AA161="",LEFT($Y161,1)="—",LEFT($AA161,1)="—"),"",IF($Z161="","— נדרשת הערכת כתיבה",IF($L161="","— חסרה הבנת הנקרא",IF($Y161="אינה מדויקת או מקוטעת",IF($AA161="ניכרת","מיקוד בשטף הקריאה ובכישורי שפה","מיקוד בשטף קריאה"),IF($AA161="ניכרת","מיקוד בכישורי שפה",IF(AND($L161="תקינה",$Z161="מפותחת"),"קוראים וכותבים מיומנים","מיקוד בהבנה והבעה"))))))</f>
        <v/>
      </c>
      <c r="AC161" s="32">
        <f>IF(OR($AB161="",LEFT($AB161,1)="—"),"",IF(OR($AB161="מיקוד בשטף קריאה",$AB161="מיקוד בשטף הקריאה ובכישורי שפה"),"רמה א'",IF($AB161="קוראים וכותבים מיומנים","רמה ג'","רמה ב'")))</f>
        <v/>
      </c>
      <c r="AD161" s="32">
        <f>IF($AC161="","",MID(IF(AND($AC161="רמה א'",$AA161="ניכרת"),"; להוסיף עבודת אוצר מילים","")&amp;IF($Z161="אינה מפותחת","; דגש על הבעה בכתב","")&amp;IF($K161&lt;&gt;"תקין","; נדרש לעבוד על ההנגנה","")&amp;IF($AK161&lt;&gt;"","; "&amp;$AK161,""),3,400))</f>
        <v/>
      </c>
      <c r="AE161" s="32">
        <f>IF($F161="","",IF($F161="תחילת שנה",1,IF($F161="מחצית שנה",2,3)))</f>
        <v/>
      </c>
      <c r="AF161" s="32">
        <f>IF(OR($B161="",$AC161="",$A161="",$F161=""),"",$B161&amp;"|"&amp;$A161&amp;"|"&amp;$F161&amp;"|"&amp;$AC161&amp;"|"&amp;COUNTIFS($B$6:$B161,$B161,$A$6:$A161,$A161,$F$6:$F161,$F161,$AC$6:$AC161,$AC161))</f>
        <v/>
      </c>
      <c r="AG161" s="32">
        <f>IF($C161="","",$C161&amp;"|"&amp;COUNTIFS($C$6:$C161,$C161))</f>
        <v/>
      </c>
      <c r="AH161" s="32">
        <f>IF(OR($C161="",$A161="",$AE161=""),"",$C161&amp;"|"&amp;$A161&amp;"|"&amp;$AE161)</f>
        <v/>
      </c>
      <c r="AI161" s="32">
        <f>IF(OR($C161="",$AE161="",$AE161=1),"",IFERROR(INDEX($AC$6:$AC$1505,MATCH($C161&amp;"|"&amp;$A161&amp;"|"&amp;($AE161-1),$AH$6:$AH$1505,0)),""))</f>
        <v/>
      </c>
      <c r="AJ161" s="32">
        <f>IF(OR($AI161="",$AC161=""),"",IF($AI161=$AC161,"ללא שינוי","מ-"&amp;$AI161&amp;" ל-"&amp;$AC161))</f>
        <v/>
      </c>
      <c r="AK161" s="67" t="n"/>
    </row>
    <row r="162" ht="15.75" customHeight="1" s="58">
      <c r="A162" s="65" t="n"/>
      <c r="B162" s="65" t="n"/>
      <c r="C162" s="66" t="n"/>
      <c r="D162" s="66" t="n"/>
      <c r="E162" s="65" t="n"/>
      <c r="F162" s="65" t="n"/>
      <c r="G162" s="65" t="n"/>
      <c r="H162" s="65" t="n"/>
      <c r="I162" s="65" t="n"/>
      <c r="J162" s="65" t="n"/>
      <c r="K162" s="65" t="n"/>
      <c r="L162" s="65" t="n"/>
      <c r="M162" s="65" t="n"/>
      <c r="N162" s="65" t="n"/>
      <c r="O162" s="65" t="n"/>
      <c r="P162" s="65" t="n"/>
      <c r="Q162" s="65" t="n"/>
      <c r="R162" s="65" t="n"/>
      <c r="S162" s="65" t="n"/>
      <c r="T162" s="65" t="n"/>
      <c r="U162" s="65" t="n"/>
      <c r="V162" s="65" t="n"/>
      <c r="W162" s="65" t="n"/>
      <c r="X162" s="65" t="n"/>
      <c r="Y162" s="32">
        <f>IF($C162="","",IF(COUNTA($I162:$K162)&lt;3,"— חסרים נתונים",IF(AND($I162="תקין",$J162="תקין",$K162="תקין"),"רהוטה",IF(AND($I162="תקין",$J162="תקין"),"מדויקת ורציפה","אינה מדויקת או מקוטעת"))))</f>
        <v/>
      </c>
      <c r="Z162" s="32">
        <f>IF($C162="","",IF(COUNTA($U162:$W162)&lt;3,"",IF(AND($U162="מפותח",$V162="מפותח",$W162="מפותחת"),"מפותחת",IF((--($U162="דל"))+(--($V162="אינו מפותח"))+(--($W162="דלה"))&gt;=2,"אינה מפותחת","חלקית"))))</f>
        <v/>
      </c>
      <c r="AA162" s="32">
        <f>IF($C162="","",IF(COUNTA($M162,$N162,$O162)&lt;3,"— חסרים נתונים",IF(OR($M162="נמוכה",(--($M162&lt;&gt;"תקינה"))+(--($N162&lt;&gt;"תקין"))+(--($O162&lt;&gt;"תקינה"))&gt;=2),"ניכרת","אינה ניכרת")))</f>
        <v/>
      </c>
      <c r="AB162" s="32">
        <f>IF(OR($C162="",$Y162="",$AA162="",LEFT($Y162,1)="—",LEFT($AA162,1)="—"),"",IF($Z162="","— נדרשת הערכת כתיבה",IF($L162="","— חסרה הבנת הנקרא",IF($Y162="אינה מדויקת או מקוטעת",IF($AA162="ניכרת","מיקוד בשטף הקריאה ובכישורי שפה","מיקוד בשטף קריאה"),IF($AA162="ניכרת","מיקוד בכישורי שפה",IF(AND($L162="תקינה",$Z162="מפותחת"),"קוראים וכותבים מיומנים","מיקוד בהבנה והבעה"))))))</f>
        <v/>
      </c>
      <c r="AC162" s="32">
        <f>IF(OR($AB162="",LEFT($AB162,1)="—"),"",IF(OR($AB162="מיקוד בשטף קריאה",$AB162="מיקוד בשטף הקריאה ובכישורי שפה"),"רמה א'",IF($AB162="קוראים וכותבים מיומנים","רמה ג'","רמה ב'")))</f>
        <v/>
      </c>
      <c r="AD162" s="32">
        <f>IF($AC162="","",MID(IF(AND($AC162="רמה א'",$AA162="ניכרת"),"; להוסיף עבודת אוצר מילים","")&amp;IF($Z162="אינה מפותחת","; דגש על הבעה בכתב","")&amp;IF($K162&lt;&gt;"תקין","; נדרש לעבוד על ההנגנה","")&amp;IF($AK162&lt;&gt;"","; "&amp;$AK162,""),3,400))</f>
        <v/>
      </c>
      <c r="AE162" s="32">
        <f>IF($F162="","",IF($F162="תחילת שנה",1,IF($F162="מחצית שנה",2,3)))</f>
        <v/>
      </c>
      <c r="AF162" s="32">
        <f>IF(OR($B162="",$AC162="",$A162="",$F162=""),"",$B162&amp;"|"&amp;$A162&amp;"|"&amp;$F162&amp;"|"&amp;$AC162&amp;"|"&amp;COUNTIFS($B$6:$B162,$B162,$A$6:$A162,$A162,$F$6:$F162,$F162,$AC$6:$AC162,$AC162))</f>
        <v/>
      </c>
      <c r="AG162" s="32">
        <f>IF($C162="","",$C162&amp;"|"&amp;COUNTIFS($C$6:$C162,$C162))</f>
        <v/>
      </c>
      <c r="AH162" s="32">
        <f>IF(OR($C162="",$A162="",$AE162=""),"",$C162&amp;"|"&amp;$A162&amp;"|"&amp;$AE162)</f>
        <v/>
      </c>
      <c r="AI162" s="32">
        <f>IF(OR($C162="",$AE162="",$AE162=1),"",IFERROR(INDEX($AC$6:$AC$1505,MATCH($C162&amp;"|"&amp;$A162&amp;"|"&amp;($AE162-1),$AH$6:$AH$1505,0)),""))</f>
        <v/>
      </c>
      <c r="AJ162" s="32">
        <f>IF(OR($AI162="",$AC162=""),"",IF($AI162=$AC162,"ללא שינוי","מ-"&amp;$AI162&amp;" ל-"&amp;$AC162))</f>
        <v/>
      </c>
      <c r="AK162" s="67" t="n"/>
    </row>
    <row r="163" ht="15.75" customHeight="1" s="58">
      <c r="A163" s="65" t="n"/>
      <c r="B163" s="65" t="n"/>
      <c r="C163" s="66" t="n"/>
      <c r="D163" s="66" t="n"/>
      <c r="E163" s="65" t="n"/>
      <c r="F163" s="65" t="n"/>
      <c r="G163" s="65" t="n"/>
      <c r="H163" s="65" t="n"/>
      <c r="I163" s="65" t="n"/>
      <c r="J163" s="65" t="n"/>
      <c r="K163" s="65" t="n"/>
      <c r="L163" s="65" t="n"/>
      <c r="M163" s="65" t="n"/>
      <c r="N163" s="65" t="n"/>
      <c r="O163" s="65" t="n"/>
      <c r="P163" s="65" t="n"/>
      <c r="Q163" s="65" t="n"/>
      <c r="R163" s="65" t="n"/>
      <c r="S163" s="65" t="n"/>
      <c r="T163" s="65" t="n"/>
      <c r="U163" s="65" t="n"/>
      <c r="V163" s="65" t="n"/>
      <c r="W163" s="65" t="n"/>
      <c r="X163" s="65" t="n"/>
      <c r="Y163" s="32">
        <f>IF($C163="","",IF(COUNTA($I163:$K163)&lt;3,"— חסרים נתונים",IF(AND($I163="תקין",$J163="תקין",$K163="תקין"),"רהוטה",IF(AND($I163="תקין",$J163="תקין"),"מדויקת ורציפה","אינה מדויקת או מקוטעת"))))</f>
        <v/>
      </c>
      <c r="Z163" s="32">
        <f>IF($C163="","",IF(COUNTA($U163:$W163)&lt;3,"",IF(AND($U163="מפותח",$V163="מפותח",$W163="מפותחת"),"מפותחת",IF((--($U163="דל"))+(--($V163="אינו מפותח"))+(--($W163="דלה"))&gt;=2,"אינה מפותחת","חלקית"))))</f>
        <v/>
      </c>
      <c r="AA163" s="32">
        <f>IF($C163="","",IF(COUNTA($M163,$N163,$O163)&lt;3,"— חסרים נתונים",IF(OR($M163="נמוכה",(--($M163&lt;&gt;"תקינה"))+(--($N163&lt;&gt;"תקין"))+(--($O163&lt;&gt;"תקינה"))&gt;=2),"ניכרת","אינה ניכרת")))</f>
        <v/>
      </c>
      <c r="AB163" s="32">
        <f>IF(OR($C163="",$Y163="",$AA163="",LEFT($Y163,1)="—",LEFT($AA163,1)="—"),"",IF($Z163="","— נדרשת הערכת כתיבה",IF($L163="","— חסרה הבנת הנקרא",IF($Y163="אינה מדויקת או מקוטעת",IF($AA163="ניכרת","מיקוד בשטף הקריאה ובכישורי שפה","מיקוד בשטף קריאה"),IF($AA163="ניכרת","מיקוד בכישורי שפה",IF(AND($L163="תקינה",$Z163="מפותחת"),"קוראים וכותבים מיומנים","מיקוד בהבנה והבעה"))))))</f>
        <v/>
      </c>
      <c r="AC163" s="32">
        <f>IF(OR($AB163="",LEFT($AB163,1)="—"),"",IF(OR($AB163="מיקוד בשטף קריאה",$AB163="מיקוד בשטף הקריאה ובכישורי שפה"),"רמה א'",IF($AB163="קוראים וכותבים מיומנים","רמה ג'","רמה ב'")))</f>
        <v/>
      </c>
      <c r="AD163" s="32">
        <f>IF($AC163="","",MID(IF(AND($AC163="רמה א'",$AA163="ניכרת"),"; להוסיף עבודת אוצר מילים","")&amp;IF($Z163="אינה מפותחת","; דגש על הבעה בכתב","")&amp;IF($K163&lt;&gt;"תקין","; נדרש לעבוד על ההנגנה","")&amp;IF($AK163&lt;&gt;"","; "&amp;$AK163,""),3,400))</f>
        <v/>
      </c>
      <c r="AE163" s="32">
        <f>IF($F163="","",IF($F163="תחילת שנה",1,IF($F163="מחצית שנה",2,3)))</f>
        <v/>
      </c>
      <c r="AF163" s="32">
        <f>IF(OR($B163="",$AC163="",$A163="",$F163=""),"",$B163&amp;"|"&amp;$A163&amp;"|"&amp;$F163&amp;"|"&amp;$AC163&amp;"|"&amp;COUNTIFS($B$6:$B163,$B163,$A$6:$A163,$A163,$F$6:$F163,$F163,$AC$6:$AC163,$AC163))</f>
        <v/>
      </c>
      <c r="AG163" s="32">
        <f>IF($C163="","",$C163&amp;"|"&amp;COUNTIFS($C$6:$C163,$C163))</f>
        <v/>
      </c>
      <c r="AH163" s="32">
        <f>IF(OR($C163="",$A163="",$AE163=""),"",$C163&amp;"|"&amp;$A163&amp;"|"&amp;$AE163)</f>
        <v/>
      </c>
      <c r="AI163" s="32">
        <f>IF(OR($C163="",$AE163="",$AE163=1),"",IFERROR(INDEX($AC$6:$AC$1505,MATCH($C163&amp;"|"&amp;$A163&amp;"|"&amp;($AE163-1),$AH$6:$AH$1505,0)),""))</f>
        <v/>
      </c>
      <c r="AJ163" s="32">
        <f>IF(OR($AI163="",$AC163=""),"",IF($AI163=$AC163,"ללא שינוי","מ-"&amp;$AI163&amp;" ל-"&amp;$AC163))</f>
        <v/>
      </c>
      <c r="AK163" s="67" t="n"/>
    </row>
    <row r="164" ht="15.75" customHeight="1" s="58">
      <c r="A164" s="65" t="n"/>
      <c r="B164" s="65" t="n"/>
      <c r="C164" s="66" t="n"/>
      <c r="D164" s="66" t="n"/>
      <c r="E164" s="65" t="n"/>
      <c r="F164" s="65" t="n"/>
      <c r="G164" s="65" t="n"/>
      <c r="H164" s="65" t="n"/>
      <c r="I164" s="65" t="n"/>
      <c r="J164" s="65" t="n"/>
      <c r="K164" s="65" t="n"/>
      <c r="L164" s="65" t="n"/>
      <c r="M164" s="65" t="n"/>
      <c r="N164" s="65" t="n"/>
      <c r="O164" s="65" t="n"/>
      <c r="P164" s="65" t="n"/>
      <c r="Q164" s="65" t="n"/>
      <c r="R164" s="65" t="n"/>
      <c r="S164" s="65" t="n"/>
      <c r="T164" s="65" t="n"/>
      <c r="U164" s="65" t="n"/>
      <c r="V164" s="65" t="n"/>
      <c r="W164" s="65" t="n"/>
      <c r="X164" s="65" t="n"/>
      <c r="Y164" s="32">
        <f>IF($C164="","",IF(COUNTA($I164:$K164)&lt;3,"— חסרים נתונים",IF(AND($I164="תקין",$J164="תקין",$K164="תקין"),"רהוטה",IF(AND($I164="תקין",$J164="תקין"),"מדויקת ורציפה","אינה מדויקת או מקוטעת"))))</f>
        <v/>
      </c>
      <c r="Z164" s="32">
        <f>IF($C164="","",IF(COUNTA($U164:$W164)&lt;3,"",IF(AND($U164="מפותח",$V164="מפותח",$W164="מפותחת"),"מפותחת",IF((--($U164="דל"))+(--($V164="אינו מפותח"))+(--($W164="דלה"))&gt;=2,"אינה מפותחת","חלקית"))))</f>
        <v/>
      </c>
      <c r="AA164" s="32">
        <f>IF($C164="","",IF(COUNTA($M164,$N164,$O164)&lt;3,"— חסרים נתונים",IF(OR($M164="נמוכה",(--($M164&lt;&gt;"תקינה"))+(--($N164&lt;&gt;"תקין"))+(--($O164&lt;&gt;"תקינה"))&gt;=2),"ניכרת","אינה ניכרת")))</f>
        <v/>
      </c>
      <c r="AB164" s="32">
        <f>IF(OR($C164="",$Y164="",$AA164="",LEFT($Y164,1)="—",LEFT($AA164,1)="—"),"",IF($Z164="","— נדרשת הערכת כתיבה",IF($L164="","— חסרה הבנת הנקרא",IF($Y164="אינה מדויקת או מקוטעת",IF($AA164="ניכרת","מיקוד בשטף הקריאה ובכישורי שפה","מיקוד בשטף קריאה"),IF($AA164="ניכרת","מיקוד בכישורי שפה",IF(AND($L164="תקינה",$Z164="מפותחת"),"קוראים וכותבים מיומנים","מיקוד בהבנה והבעה"))))))</f>
        <v/>
      </c>
      <c r="AC164" s="32">
        <f>IF(OR($AB164="",LEFT($AB164,1)="—"),"",IF(OR($AB164="מיקוד בשטף קריאה",$AB164="מיקוד בשטף הקריאה ובכישורי שפה"),"רמה א'",IF($AB164="קוראים וכותבים מיומנים","רמה ג'","רמה ב'")))</f>
        <v/>
      </c>
      <c r="AD164" s="32">
        <f>IF($AC164="","",MID(IF(AND($AC164="רמה א'",$AA164="ניכרת"),"; להוסיף עבודת אוצר מילים","")&amp;IF($Z164="אינה מפותחת","; דגש על הבעה בכתב","")&amp;IF($K164&lt;&gt;"תקין","; נדרש לעבוד על ההנגנה","")&amp;IF($AK164&lt;&gt;"","; "&amp;$AK164,""),3,400))</f>
        <v/>
      </c>
      <c r="AE164" s="32">
        <f>IF($F164="","",IF($F164="תחילת שנה",1,IF($F164="מחצית שנה",2,3)))</f>
        <v/>
      </c>
      <c r="AF164" s="32">
        <f>IF(OR($B164="",$AC164="",$A164="",$F164=""),"",$B164&amp;"|"&amp;$A164&amp;"|"&amp;$F164&amp;"|"&amp;$AC164&amp;"|"&amp;COUNTIFS($B$6:$B164,$B164,$A$6:$A164,$A164,$F$6:$F164,$F164,$AC$6:$AC164,$AC164))</f>
        <v/>
      </c>
      <c r="AG164" s="32">
        <f>IF($C164="","",$C164&amp;"|"&amp;COUNTIFS($C$6:$C164,$C164))</f>
        <v/>
      </c>
      <c r="AH164" s="32">
        <f>IF(OR($C164="",$A164="",$AE164=""),"",$C164&amp;"|"&amp;$A164&amp;"|"&amp;$AE164)</f>
        <v/>
      </c>
      <c r="AI164" s="32">
        <f>IF(OR($C164="",$AE164="",$AE164=1),"",IFERROR(INDEX($AC$6:$AC$1505,MATCH($C164&amp;"|"&amp;$A164&amp;"|"&amp;($AE164-1),$AH$6:$AH$1505,0)),""))</f>
        <v/>
      </c>
      <c r="AJ164" s="32">
        <f>IF(OR($AI164="",$AC164=""),"",IF($AI164=$AC164,"ללא שינוי","מ-"&amp;$AI164&amp;" ל-"&amp;$AC164))</f>
        <v/>
      </c>
      <c r="AK164" s="67" t="n"/>
    </row>
    <row r="165" ht="15.75" customHeight="1" s="58">
      <c r="A165" s="65" t="n"/>
      <c r="B165" s="65" t="n"/>
      <c r="C165" s="66" t="n"/>
      <c r="D165" s="66" t="n"/>
      <c r="E165" s="65" t="n"/>
      <c r="F165" s="65" t="n"/>
      <c r="G165" s="65" t="n"/>
      <c r="H165" s="65" t="n"/>
      <c r="I165" s="65" t="n"/>
      <c r="J165" s="65" t="n"/>
      <c r="K165" s="65" t="n"/>
      <c r="L165" s="65" t="n"/>
      <c r="M165" s="65" t="n"/>
      <c r="N165" s="65" t="n"/>
      <c r="O165" s="65" t="n"/>
      <c r="P165" s="65" t="n"/>
      <c r="Q165" s="65" t="n"/>
      <c r="R165" s="65" t="n"/>
      <c r="S165" s="65" t="n"/>
      <c r="T165" s="65" t="n"/>
      <c r="U165" s="65" t="n"/>
      <c r="V165" s="65" t="n"/>
      <c r="W165" s="65" t="n"/>
      <c r="X165" s="65" t="n"/>
      <c r="Y165" s="32">
        <f>IF($C165="","",IF(COUNTA($I165:$K165)&lt;3,"— חסרים נתונים",IF(AND($I165="תקין",$J165="תקין",$K165="תקין"),"רהוטה",IF(AND($I165="תקין",$J165="תקין"),"מדויקת ורציפה","אינה מדויקת או מקוטעת"))))</f>
        <v/>
      </c>
      <c r="Z165" s="32">
        <f>IF($C165="","",IF(COUNTA($U165:$W165)&lt;3,"",IF(AND($U165="מפותח",$V165="מפותח",$W165="מפותחת"),"מפותחת",IF((--($U165="דל"))+(--($V165="אינו מפותח"))+(--($W165="דלה"))&gt;=2,"אינה מפותחת","חלקית"))))</f>
        <v/>
      </c>
      <c r="AA165" s="32">
        <f>IF($C165="","",IF(COUNTA($M165,$N165,$O165)&lt;3,"— חסרים נתונים",IF(OR($M165="נמוכה",(--($M165&lt;&gt;"תקינה"))+(--($N165&lt;&gt;"תקין"))+(--($O165&lt;&gt;"תקינה"))&gt;=2),"ניכרת","אינה ניכרת")))</f>
        <v/>
      </c>
      <c r="AB165" s="32">
        <f>IF(OR($C165="",$Y165="",$AA165="",LEFT($Y165,1)="—",LEFT($AA165,1)="—"),"",IF($Z165="","— נדרשת הערכת כתיבה",IF($L165="","— חסרה הבנת הנקרא",IF($Y165="אינה מדויקת או מקוטעת",IF($AA165="ניכרת","מיקוד בשטף הקריאה ובכישורי שפה","מיקוד בשטף קריאה"),IF($AA165="ניכרת","מיקוד בכישורי שפה",IF(AND($L165="תקינה",$Z165="מפותחת"),"קוראים וכותבים מיומנים","מיקוד בהבנה והבעה"))))))</f>
        <v/>
      </c>
      <c r="AC165" s="32">
        <f>IF(OR($AB165="",LEFT($AB165,1)="—"),"",IF(OR($AB165="מיקוד בשטף קריאה",$AB165="מיקוד בשטף הקריאה ובכישורי שפה"),"רמה א'",IF($AB165="קוראים וכותבים מיומנים","רמה ג'","רמה ב'")))</f>
        <v/>
      </c>
      <c r="AD165" s="32">
        <f>IF($AC165="","",MID(IF(AND($AC165="רמה א'",$AA165="ניכרת"),"; להוסיף עבודת אוצר מילים","")&amp;IF($Z165="אינה מפותחת","; דגש על הבעה בכתב","")&amp;IF($K165&lt;&gt;"תקין","; נדרש לעבוד על ההנגנה","")&amp;IF($AK165&lt;&gt;"","; "&amp;$AK165,""),3,400))</f>
        <v/>
      </c>
      <c r="AE165" s="32">
        <f>IF($F165="","",IF($F165="תחילת שנה",1,IF($F165="מחצית שנה",2,3)))</f>
        <v/>
      </c>
      <c r="AF165" s="32">
        <f>IF(OR($B165="",$AC165="",$A165="",$F165=""),"",$B165&amp;"|"&amp;$A165&amp;"|"&amp;$F165&amp;"|"&amp;$AC165&amp;"|"&amp;COUNTIFS($B$6:$B165,$B165,$A$6:$A165,$A165,$F$6:$F165,$F165,$AC$6:$AC165,$AC165))</f>
        <v/>
      </c>
      <c r="AG165" s="32">
        <f>IF($C165="","",$C165&amp;"|"&amp;COUNTIFS($C$6:$C165,$C165))</f>
        <v/>
      </c>
      <c r="AH165" s="32">
        <f>IF(OR($C165="",$A165="",$AE165=""),"",$C165&amp;"|"&amp;$A165&amp;"|"&amp;$AE165)</f>
        <v/>
      </c>
      <c r="AI165" s="32">
        <f>IF(OR($C165="",$AE165="",$AE165=1),"",IFERROR(INDEX($AC$6:$AC$1505,MATCH($C165&amp;"|"&amp;$A165&amp;"|"&amp;($AE165-1),$AH$6:$AH$1505,0)),""))</f>
        <v/>
      </c>
      <c r="AJ165" s="32">
        <f>IF(OR($AI165="",$AC165=""),"",IF($AI165=$AC165,"ללא שינוי","מ-"&amp;$AI165&amp;" ל-"&amp;$AC165))</f>
        <v/>
      </c>
      <c r="AK165" s="67" t="n"/>
    </row>
    <row r="166" ht="15.75" customHeight="1" s="58">
      <c r="A166" s="65" t="n"/>
      <c r="B166" s="65" t="n"/>
      <c r="C166" s="66" t="n"/>
      <c r="D166" s="66" t="n"/>
      <c r="E166" s="65" t="n"/>
      <c r="F166" s="65" t="n"/>
      <c r="G166" s="65" t="n"/>
      <c r="H166" s="65" t="n"/>
      <c r="I166" s="65" t="n"/>
      <c r="J166" s="65" t="n"/>
      <c r="K166" s="65" t="n"/>
      <c r="L166" s="65" t="n"/>
      <c r="M166" s="65" t="n"/>
      <c r="N166" s="65" t="n"/>
      <c r="O166" s="65" t="n"/>
      <c r="P166" s="65" t="n"/>
      <c r="Q166" s="65" t="n"/>
      <c r="R166" s="65" t="n"/>
      <c r="S166" s="65" t="n"/>
      <c r="T166" s="65" t="n"/>
      <c r="U166" s="65" t="n"/>
      <c r="V166" s="65" t="n"/>
      <c r="W166" s="65" t="n"/>
      <c r="X166" s="65" t="n"/>
      <c r="Y166" s="32">
        <f>IF($C166="","",IF(COUNTA($I166:$K166)&lt;3,"— חסרים נתונים",IF(AND($I166="תקין",$J166="תקין",$K166="תקין"),"רהוטה",IF(AND($I166="תקין",$J166="תקין"),"מדויקת ורציפה","אינה מדויקת או מקוטעת"))))</f>
        <v/>
      </c>
      <c r="Z166" s="32">
        <f>IF($C166="","",IF(COUNTA($U166:$W166)&lt;3,"",IF(AND($U166="מפותח",$V166="מפותח",$W166="מפותחת"),"מפותחת",IF((--($U166="דל"))+(--($V166="אינו מפותח"))+(--($W166="דלה"))&gt;=2,"אינה מפותחת","חלקית"))))</f>
        <v/>
      </c>
      <c r="AA166" s="32">
        <f>IF($C166="","",IF(COUNTA($M166,$N166,$O166)&lt;3,"— חסרים נתונים",IF(OR($M166="נמוכה",(--($M166&lt;&gt;"תקינה"))+(--($N166&lt;&gt;"תקין"))+(--($O166&lt;&gt;"תקינה"))&gt;=2),"ניכרת","אינה ניכרת")))</f>
        <v/>
      </c>
      <c r="AB166" s="32">
        <f>IF(OR($C166="",$Y166="",$AA166="",LEFT($Y166,1)="—",LEFT($AA166,1)="—"),"",IF($Z166="","— נדרשת הערכת כתיבה",IF($L166="","— חסרה הבנת הנקרא",IF($Y166="אינה מדויקת או מקוטעת",IF($AA166="ניכרת","מיקוד בשטף הקריאה ובכישורי שפה","מיקוד בשטף קריאה"),IF($AA166="ניכרת","מיקוד בכישורי שפה",IF(AND($L166="תקינה",$Z166="מפותחת"),"קוראים וכותבים מיומנים","מיקוד בהבנה והבעה"))))))</f>
        <v/>
      </c>
      <c r="AC166" s="32">
        <f>IF(OR($AB166="",LEFT($AB166,1)="—"),"",IF(OR($AB166="מיקוד בשטף קריאה",$AB166="מיקוד בשטף הקריאה ובכישורי שפה"),"רמה א'",IF($AB166="קוראים וכותבים מיומנים","רמה ג'","רמה ב'")))</f>
        <v/>
      </c>
      <c r="AD166" s="32">
        <f>IF($AC166="","",MID(IF(AND($AC166="רמה א'",$AA166="ניכרת"),"; להוסיף עבודת אוצר מילים","")&amp;IF($Z166="אינה מפותחת","; דגש על הבעה בכתב","")&amp;IF($K166&lt;&gt;"תקין","; נדרש לעבוד על ההנגנה","")&amp;IF($AK166&lt;&gt;"","; "&amp;$AK166,""),3,400))</f>
        <v/>
      </c>
      <c r="AE166" s="32">
        <f>IF($F166="","",IF($F166="תחילת שנה",1,IF($F166="מחצית שנה",2,3)))</f>
        <v/>
      </c>
      <c r="AF166" s="32">
        <f>IF(OR($B166="",$AC166="",$A166="",$F166=""),"",$B166&amp;"|"&amp;$A166&amp;"|"&amp;$F166&amp;"|"&amp;$AC166&amp;"|"&amp;COUNTIFS($B$6:$B166,$B166,$A$6:$A166,$A166,$F$6:$F166,$F166,$AC$6:$AC166,$AC166))</f>
        <v/>
      </c>
      <c r="AG166" s="32">
        <f>IF($C166="","",$C166&amp;"|"&amp;COUNTIFS($C$6:$C166,$C166))</f>
        <v/>
      </c>
      <c r="AH166" s="32">
        <f>IF(OR($C166="",$A166="",$AE166=""),"",$C166&amp;"|"&amp;$A166&amp;"|"&amp;$AE166)</f>
        <v/>
      </c>
      <c r="AI166" s="32">
        <f>IF(OR($C166="",$AE166="",$AE166=1),"",IFERROR(INDEX($AC$6:$AC$1505,MATCH($C166&amp;"|"&amp;$A166&amp;"|"&amp;($AE166-1),$AH$6:$AH$1505,0)),""))</f>
        <v/>
      </c>
      <c r="AJ166" s="32">
        <f>IF(OR($AI166="",$AC166=""),"",IF($AI166=$AC166,"ללא שינוי","מ-"&amp;$AI166&amp;" ל-"&amp;$AC166))</f>
        <v/>
      </c>
      <c r="AK166" s="67" t="n"/>
    </row>
    <row r="167" ht="15.75" customHeight="1" s="58">
      <c r="A167" s="65" t="n"/>
      <c r="B167" s="65" t="n"/>
      <c r="C167" s="66" t="n"/>
      <c r="D167" s="66" t="n"/>
      <c r="E167" s="65" t="n"/>
      <c r="F167" s="65" t="n"/>
      <c r="G167" s="65" t="n"/>
      <c r="H167" s="65" t="n"/>
      <c r="I167" s="65" t="n"/>
      <c r="J167" s="65" t="n"/>
      <c r="K167" s="65" t="n"/>
      <c r="L167" s="65" t="n"/>
      <c r="M167" s="65" t="n"/>
      <c r="N167" s="65" t="n"/>
      <c r="O167" s="65" t="n"/>
      <c r="P167" s="65" t="n"/>
      <c r="Q167" s="65" t="n"/>
      <c r="R167" s="65" t="n"/>
      <c r="S167" s="65" t="n"/>
      <c r="T167" s="65" t="n"/>
      <c r="U167" s="65" t="n"/>
      <c r="V167" s="65" t="n"/>
      <c r="W167" s="65" t="n"/>
      <c r="X167" s="65" t="n"/>
      <c r="Y167" s="32">
        <f>IF($C167="","",IF(COUNTA($I167:$K167)&lt;3,"— חסרים נתונים",IF(AND($I167="תקין",$J167="תקין",$K167="תקין"),"רהוטה",IF(AND($I167="תקין",$J167="תקין"),"מדויקת ורציפה","אינה מדויקת או מקוטעת"))))</f>
        <v/>
      </c>
      <c r="Z167" s="32">
        <f>IF($C167="","",IF(COUNTA($U167:$W167)&lt;3,"",IF(AND($U167="מפותח",$V167="מפותח",$W167="מפותחת"),"מפותחת",IF((--($U167="דל"))+(--($V167="אינו מפותח"))+(--($W167="דלה"))&gt;=2,"אינה מפותחת","חלקית"))))</f>
        <v/>
      </c>
      <c r="AA167" s="32">
        <f>IF($C167="","",IF(COUNTA($M167,$N167,$O167)&lt;3,"— חסרים נתונים",IF(OR($M167="נמוכה",(--($M167&lt;&gt;"תקינה"))+(--($N167&lt;&gt;"תקין"))+(--($O167&lt;&gt;"תקינה"))&gt;=2),"ניכרת","אינה ניכרת")))</f>
        <v/>
      </c>
      <c r="AB167" s="32">
        <f>IF(OR($C167="",$Y167="",$AA167="",LEFT($Y167,1)="—",LEFT($AA167,1)="—"),"",IF($Z167="","— נדרשת הערכת כתיבה",IF($L167="","— חסרה הבנת הנקרא",IF($Y167="אינה מדויקת או מקוטעת",IF($AA167="ניכרת","מיקוד בשטף הקריאה ובכישורי שפה","מיקוד בשטף קריאה"),IF($AA167="ניכרת","מיקוד בכישורי שפה",IF(AND($L167="תקינה",$Z167="מפותחת"),"קוראים וכותבים מיומנים","מיקוד בהבנה והבעה"))))))</f>
        <v/>
      </c>
      <c r="AC167" s="32">
        <f>IF(OR($AB167="",LEFT($AB167,1)="—"),"",IF(OR($AB167="מיקוד בשטף קריאה",$AB167="מיקוד בשטף הקריאה ובכישורי שפה"),"רמה א'",IF($AB167="קוראים וכותבים מיומנים","רמה ג'","רמה ב'")))</f>
        <v/>
      </c>
      <c r="AD167" s="32">
        <f>IF($AC167="","",MID(IF(AND($AC167="רמה א'",$AA167="ניכרת"),"; להוסיף עבודת אוצר מילים","")&amp;IF($Z167="אינה מפותחת","; דגש על הבעה בכתב","")&amp;IF($K167&lt;&gt;"תקין","; נדרש לעבוד על ההנגנה","")&amp;IF($AK167&lt;&gt;"","; "&amp;$AK167,""),3,400))</f>
        <v/>
      </c>
      <c r="AE167" s="32">
        <f>IF($F167="","",IF($F167="תחילת שנה",1,IF($F167="מחצית שנה",2,3)))</f>
        <v/>
      </c>
      <c r="AF167" s="32">
        <f>IF(OR($B167="",$AC167="",$A167="",$F167=""),"",$B167&amp;"|"&amp;$A167&amp;"|"&amp;$F167&amp;"|"&amp;$AC167&amp;"|"&amp;COUNTIFS($B$6:$B167,$B167,$A$6:$A167,$A167,$F$6:$F167,$F167,$AC$6:$AC167,$AC167))</f>
        <v/>
      </c>
      <c r="AG167" s="32">
        <f>IF($C167="","",$C167&amp;"|"&amp;COUNTIFS($C$6:$C167,$C167))</f>
        <v/>
      </c>
      <c r="AH167" s="32">
        <f>IF(OR($C167="",$A167="",$AE167=""),"",$C167&amp;"|"&amp;$A167&amp;"|"&amp;$AE167)</f>
        <v/>
      </c>
      <c r="AI167" s="32">
        <f>IF(OR($C167="",$AE167="",$AE167=1),"",IFERROR(INDEX($AC$6:$AC$1505,MATCH($C167&amp;"|"&amp;$A167&amp;"|"&amp;($AE167-1),$AH$6:$AH$1505,0)),""))</f>
        <v/>
      </c>
      <c r="AJ167" s="32">
        <f>IF(OR($AI167="",$AC167=""),"",IF($AI167=$AC167,"ללא שינוי","מ-"&amp;$AI167&amp;" ל-"&amp;$AC167))</f>
        <v/>
      </c>
      <c r="AK167" s="67" t="n"/>
    </row>
    <row r="168" ht="15.75" customHeight="1" s="58">
      <c r="A168" s="65" t="n"/>
      <c r="B168" s="65" t="n"/>
      <c r="C168" s="66" t="n"/>
      <c r="D168" s="66" t="n"/>
      <c r="E168" s="65" t="n"/>
      <c r="F168" s="65" t="n"/>
      <c r="G168" s="65" t="n"/>
      <c r="H168" s="65" t="n"/>
      <c r="I168" s="65" t="n"/>
      <c r="J168" s="65" t="n"/>
      <c r="K168" s="65" t="n"/>
      <c r="L168" s="65" t="n"/>
      <c r="M168" s="65" t="n"/>
      <c r="N168" s="65" t="n"/>
      <c r="O168" s="65" t="n"/>
      <c r="P168" s="65" t="n"/>
      <c r="Q168" s="65" t="n"/>
      <c r="R168" s="65" t="n"/>
      <c r="S168" s="65" t="n"/>
      <c r="T168" s="65" t="n"/>
      <c r="U168" s="65" t="n"/>
      <c r="V168" s="65" t="n"/>
      <c r="W168" s="65" t="n"/>
      <c r="X168" s="65" t="n"/>
      <c r="Y168" s="32">
        <f>IF($C168="","",IF(COUNTA($I168:$K168)&lt;3,"— חסרים נתונים",IF(AND($I168="תקין",$J168="תקין",$K168="תקין"),"רהוטה",IF(AND($I168="תקין",$J168="תקין"),"מדויקת ורציפה","אינה מדויקת או מקוטעת"))))</f>
        <v/>
      </c>
      <c r="Z168" s="32">
        <f>IF($C168="","",IF(COUNTA($U168:$W168)&lt;3,"",IF(AND($U168="מפותח",$V168="מפותח",$W168="מפותחת"),"מפותחת",IF((--($U168="דל"))+(--($V168="אינו מפותח"))+(--($W168="דלה"))&gt;=2,"אינה מפותחת","חלקית"))))</f>
        <v/>
      </c>
      <c r="AA168" s="32">
        <f>IF($C168="","",IF(COUNTA($M168,$N168,$O168)&lt;3,"— חסרים נתונים",IF(OR($M168="נמוכה",(--($M168&lt;&gt;"תקינה"))+(--($N168&lt;&gt;"תקין"))+(--($O168&lt;&gt;"תקינה"))&gt;=2),"ניכרת","אינה ניכרת")))</f>
        <v/>
      </c>
      <c r="AB168" s="32">
        <f>IF(OR($C168="",$Y168="",$AA168="",LEFT($Y168,1)="—",LEFT($AA168,1)="—"),"",IF($Z168="","— נדרשת הערכת כתיבה",IF($L168="","— חסרה הבנת הנקרא",IF($Y168="אינה מדויקת או מקוטעת",IF($AA168="ניכרת","מיקוד בשטף הקריאה ובכישורי שפה","מיקוד בשטף קריאה"),IF($AA168="ניכרת","מיקוד בכישורי שפה",IF(AND($L168="תקינה",$Z168="מפותחת"),"קוראים וכותבים מיומנים","מיקוד בהבנה והבעה"))))))</f>
        <v/>
      </c>
      <c r="AC168" s="32">
        <f>IF(OR($AB168="",LEFT($AB168,1)="—"),"",IF(OR($AB168="מיקוד בשטף קריאה",$AB168="מיקוד בשטף הקריאה ובכישורי שפה"),"רמה א'",IF($AB168="קוראים וכותבים מיומנים","רמה ג'","רמה ב'")))</f>
        <v/>
      </c>
      <c r="AD168" s="32">
        <f>IF($AC168="","",MID(IF(AND($AC168="רמה א'",$AA168="ניכרת"),"; להוסיף עבודת אוצר מילים","")&amp;IF($Z168="אינה מפותחת","; דגש על הבעה בכתב","")&amp;IF($K168&lt;&gt;"תקין","; נדרש לעבוד על ההנגנה","")&amp;IF($AK168&lt;&gt;"","; "&amp;$AK168,""),3,400))</f>
        <v/>
      </c>
      <c r="AE168" s="32">
        <f>IF($F168="","",IF($F168="תחילת שנה",1,IF($F168="מחצית שנה",2,3)))</f>
        <v/>
      </c>
      <c r="AF168" s="32">
        <f>IF(OR($B168="",$AC168="",$A168="",$F168=""),"",$B168&amp;"|"&amp;$A168&amp;"|"&amp;$F168&amp;"|"&amp;$AC168&amp;"|"&amp;COUNTIFS($B$6:$B168,$B168,$A$6:$A168,$A168,$F$6:$F168,$F168,$AC$6:$AC168,$AC168))</f>
        <v/>
      </c>
      <c r="AG168" s="32">
        <f>IF($C168="","",$C168&amp;"|"&amp;COUNTIFS($C$6:$C168,$C168))</f>
        <v/>
      </c>
      <c r="AH168" s="32">
        <f>IF(OR($C168="",$A168="",$AE168=""),"",$C168&amp;"|"&amp;$A168&amp;"|"&amp;$AE168)</f>
        <v/>
      </c>
      <c r="AI168" s="32">
        <f>IF(OR($C168="",$AE168="",$AE168=1),"",IFERROR(INDEX($AC$6:$AC$1505,MATCH($C168&amp;"|"&amp;$A168&amp;"|"&amp;($AE168-1),$AH$6:$AH$1505,0)),""))</f>
        <v/>
      </c>
      <c r="AJ168" s="32">
        <f>IF(OR($AI168="",$AC168=""),"",IF($AI168=$AC168,"ללא שינוי","מ-"&amp;$AI168&amp;" ל-"&amp;$AC168))</f>
        <v/>
      </c>
      <c r="AK168" s="67" t="n"/>
    </row>
    <row r="169" ht="15.75" customHeight="1" s="58">
      <c r="A169" s="65" t="n"/>
      <c r="B169" s="65" t="n"/>
      <c r="C169" s="66" t="n"/>
      <c r="D169" s="66" t="n"/>
      <c r="E169" s="65" t="n"/>
      <c r="F169" s="65" t="n"/>
      <c r="G169" s="65" t="n"/>
      <c r="H169" s="65" t="n"/>
      <c r="I169" s="65" t="n"/>
      <c r="J169" s="65" t="n"/>
      <c r="K169" s="65" t="n"/>
      <c r="L169" s="65" t="n"/>
      <c r="M169" s="65" t="n"/>
      <c r="N169" s="65" t="n"/>
      <c r="O169" s="65" t="n"/>
      <c r="P169" s="65" t="n"/>
      <c r="Q169" s="65" t="n"/>
      <c r="R169" s="65" t="n"/>
      <c r="S169" s="65" t="n"/>
      <c r="T169" s="65" t="n"/>
      <c r="U169" s="65" t="n"/>
      <c r="V169" s="65" t="n"/>
      <c r="W169" s="65" t="n"/>
      <c r="X169" s="65" t="n"/>
      <c r="Y169" s="32">
        <f>IF($C169="","",IF(COUNTA($I169:$K169)&lt;3,"— חסרים נתונים",IF(AND($I169="תקין",$J169="תקין",$K169="תקין"),"רהוטה",IF(AND($I169="תקין",$J169="תקין"),"מדויקת ורציפה","אינה מדויקת או מקוטעת"))))</f>
        <v/>
      </c>
      <c r="Z169" s="32">
        <f>IF($C169="","",IF(COUNTA($U169:$W169)&lt;3,"",IF(AND($U169="מפותח",$V169="מפותח",$W169="מפותחת"),"מפותחת",IF((--($U169="דל"))+(--($V169="אינו מפותח"))+(--($W169="דלה"))&gt;=2,"אינה מפותחת","חלקית"))))</f>
        <v/>
      </c>
      <c r="AA169" s="32">
        <f>IF($C169="","",IF(COUNTA($M169,$N169,$O169)&lt;3,"— חסרים נתונים",IF(OR($M169="נמוכה",(--($M169&lt;&gt;"תקינה"))+(--($N169&lt;&gt;"תקין"))+(--($O169&lt;&gt;"תקינה"))&gt;=2),"ניכרת","אינה ניכרת")))</f>
        <v/>
      </c>
      <c r="AB169" s="32">
        <f>IF(OR($C169="",$Y169="",$AA169="",LEFT($Y169,1)="—",LEFT($AA169,1)="—"),"",IF($Z169="","— נדרשת הערכת כתיבה",IF($L169="","— חסרה הבנת הנקרא",IF($Y169="אינה מדויקת או מקוטעת",IF($AA169="ניכרת","מיקוד בשטף הקריאה ובכישורי שפה","מיקוד בשטף קריאה"),IF($AA169="ניכרת","מיקוד בכישורי שפה",IF(AND($L169="תקינה",$Z169="מפותחת"),"קוראים וכותבים מיומנים","מיקוד בהבנה והבעה"))))))</f>
        <v/>
      </c>
      <c r="AC169" s="32">
        <f>IF(OR($AB169="",LEFT($AB169,1)="—"),"",IF(OR($AB169="מיקוד בשטף קריאה",$AB169="מיקוד בשטף הקריאה ובכישורי שפה"),"רמה א'",IF($AB169="קוראים וכותבים מיומנים","רמה ג'","רמה ב'")))</f>
        <v/>
      </c>
      <c r="AD169" s="32">
        <f>IF($AC169="","",MID(IF(AND($AC169="רמה א'",$AA169="ניכרת"),"; להוסיף עבודת אוצר מילים","")&amp;IF($Z169="אינה מפותחת","; דגש על הבעה בכתב","")&amp;IF($K169&lt;&gt;"תקין","; נדרש לעבוד על ההנגנה","")&amp;IF($AK169&lt;&gt;"","; "&amp;$AK169,""),3,400))</f>
        <v/>
      </c>
      <c r="AE169" s="32">
        <f>IF($F169="","",IF($F169="תחילת שנה",1,IF($F169="מחצית שנה",2,3)))</f>
        <v/>
      </c>
      <c r="AF169" s="32">
        <f>IF(OR($B169="",$AC169="",$A169="",$F169=""),"",$B169&amp;"|"&amp;$A169&amp;"|"&amp;$F169&amp;"|"&amp;$AC169&amp;"|"&amp;COUNTIFS($B$6:$B169,$B169,$A$6:$A169,$A169,$F$6:$F169,$F169,$AC$6:$AC169,$AC169))</f>
        <v/>
      </c>
      <c r="AG169" s="32">
        <f>IF($C169="","",$C169&amp;"|"&amp;COUNTIFS($C$6:$C169,$C169))</f>
        <v/>
      </c>
      <c r="AH169" s="32">
        <f>IF(OR($C169="",$A169="",$AE169=""),"",$C169&amp;"|"&amp;$A169&amp;"|"&amp;$AE169)</f>
        <v/>
      </c>
      <c r="AI169" s="32">
        <f>IF(OR($C169="",$AE169="",$AE169=1),"",IFERROR(INDEX($AC$6:$AC$1505,MATCH($C169&amp;"|"&amp;$A169&amp;"|"&amp;($AE169-1),$AH$6:$AH$1505,0)),""))</f>
        <v/>
      </c>
      <c r="AJ169" s="32">
        <f>IF(OR($AI169="",$AC169=""),"",IF($AI169=$AC169,"ללא שינוי","מ-"&amp;$AI169&amp;" ל-"&amp;$AC169))</f>
        <v/>
      </c>
      <c r="AK169" s="67" t="n"/>
    </row>
    <row r="170" ht="15.75" customHeight="1" s="58">
      <c r="A170" s="65" t="n"/>
      <c r="B170" s="65" t="n"/>
      <c r="C170" s="66" t="n"/>
      <c r="D170" s="66" t="n"/>
      <c r="E170" s="65" t="n"/>
      <c r="F170" s="65" t="n"/>
      <c r="G170" s="65" t="n"/>
      <c r="H170" s="65" t="n"/>
      <c r="I170" s="65" t="n"/>
      <c r="J170" s="65" t="n"/>
      <c r="K170" s="65" t="n"/>
      <c r="L170" s="65" t="n"/>
      <c r="M170" s="65" t="n"/>
      <c r="N170" s="65" t="n"/>
      <c r="O170" s="65" t="n"/>
      <c r="P170" s="65" t="n"/>
      <c r="Q170" s="65" t="n"/>
      <c r="R170" s="65" t="n"/>
      <c r="S170" s="65" t="n"/>
      <c r="T170" s="65" t="n"/>
      <c r="U170" s="65" t="n"/>
      <c r="V170" s="65" t="n"/>
      <c r="W170" s="65" t="n"/>
      <c r="X170" s="65" t="n"/>
      <c r="Y170" s="32">
        <f>IF($C170="","",IF(COUNTA($I170:$K170)&lt;3,"— חסרים נתונים",IF(AND($I170="תקין",$J170="תקין",$K170="תקין"),"רהוטה",IF(AND($I170="תקין",$J170="תקין"),"מדויקת ורציפה","אינה מדויקת או מקוטעת"))))</f>
        <v/>
      </c>
      <c r="Z170" s="32">
        <f>IF($C170="","",IF(COUNTA($U170:$W170)&lt;3,"",IF(AND($U170="מפותח",$V170="מפותח",$W170="מפותחת"),"מפותחת",IF((--($U170="דל"))+(--($V170="אינו מפותח"))+(--($W170="דלה"))&gt;=2,"אינה מפותחת","חלקית"))))</f>
        <v/>
      </c>
      <c r="AA170" s="32">
        <f>IF($C170="","",IF(COUNTA($M170,$N170,$O170)&lt;3,"— חסרים נתונים",IF(OR($M170="נמוכה",(--($M170&lt;&gt;"תקינה"))+(--($N170&lt;&gt;"תקין"))+(--($O170&lt;&gt;"תקינה"))&gt;=2),"ניכרת","אינה ניכרת")))</f>
        <v/>
      </c>
      <c r="AB170" s="32">
        <f>IF(OR($C170="",$Y170="",$AA170="",LEFT($Y170,1)="—",LEFT($AA170,1)="—"),"",IF($Z170="","— נדרשת הערכת כתיבה",IF($L170="","— חסרה הבנת הנקרא",IF($Y170="אינה מדויקת או מקוטעת",IF($AA170="ניכרת","מיקוד בשטף הקריאה ובכישורי שפה","מיקוד בשטף קריאה"),IF($AA170="ניכרת","מיקוד בכישורי שפה",IF(AND($L170="תקינה",$Z170="מפותחת"),"קוראים וכותבים מיומנים","מיקוד בהבנה והבעה"))))))</f>
        <v/>
      </c>
      <c r="AC170" s="32">
        <f>IF(OR($AB170="",LEFT($AB170,1)="—"),"",IF(OR($AB170="מיקוד בשטף קריאה",$AB170="מיקוד בשטף הקריאה ובכישורי שפה"),"רמה א'",IF($AB170="קוראים וכותבים מיומנים","רמה ג'","רמה ב'")))</f>
        <v/>
      </c>
      <c r="AD170" s="32">
        <f>IF($AC170="","",MID(IF(AND($AC170="רמה א'",$AA170="ניכרת"),"; להוסיף עבודת אוצר מילים","")&amp;IF($Z170="אינה מפותחת","; דגש על הבעה בכתב","")&amp;IF($K170&lt;&gt;"תקין","; נדרש לעבוד על ההנגנה","")&amp;IF($AK170&lt;&gt;"","; "&amp;$AK170,""),3,400))</f>
        <v/>
      </c>
      <c r="AE170" s="32">
        <f>IF($F170="","",IF($F170="תחילת שנה",1,IF($F170="מחצית שנה",2,3)))</f>
        <v/>
      </c>
      <c r="AF170" s="32">
        <f>IF(OR($B170="",$AC170="",$A170="",$F170=""),"",$B170&amp;"|"&amp;$A170&amp;"|"&amp;$F170&amp;"|"&amp;$AC170&amp;"|"&amp;COUNTIFS($B$6:$B170,$B170,$A$6:$A170,$A170,$F$6:$F170,$F170,$AC$6:$AC170,$AC170))</f>
        <v/>
      </c>
      <c r="AG170" s="32">
        <f>IF($C170="","",$C170&amp;"|"&amp;COUNTIFS($C$6:$C170,$C170))</f>
        <v/>
      </c>
      <c r="AH170" s="32">
        <f>IF(OR($C170="",$A170="",$AE170=""),"",$C170&amp;"|"&amp;$A170&amp;"|"&amp;$AE170)</f>
        <v/>
      </c>
      <c r="AI170" s="32">
        <f>IF(OR($C170="",$AE170="",$AE170=1),"",IFERROR(INDEX($AC$6:$AC$1505,MATCH($C170&amp;"|"&amp;$A170&amp;"|"&amp;($AE170-1),$AH$6:$AH$1505,0)),""))</f>
        <v/>
      </c>
      <c r="AJ170" s="32">
        <f>IF(OR($AI170="",$AC170=""),"",IF($AI170=$AC170,"ללא שינוי","מ-"&amp;$AI170&amp;" ל-"&amp;$AC170))</f>
        <v/>
      </c>
      <c r="AK170" s="67" t="n"/>
    </row>
    <row r="171" ht="15.75" customHeight="1" s="58">
      <c r="A171" s="65" t="n"/>
      <c r="B171" s="65" t="n"/>
      <c r="C171" s="66" t="n"/>
      <c r="D171" s="66" t="n"/>
      <c r="E171" s="65" t="n"/>
      <c r="F171" s="65" t="n"/>
      <c r="G171" s="65" t="n"/>
      <c r="H171" s="65" t="n"/>
      <c r="I171" s="65" t="n"/>
      <c r="J171" s="65" t="n"/>
      <c r="K171" s="65" t="n"/>
      <c r="L171" s="65" t="n"/>
      <c r="M171" s="65" t="n"/>
      <c r="N171" s="65" t="n"/>
      <c r="O171" s="65" t="n"/>
      <c r="P171" s="65" t="n"/>
      <c r="Q171" s="65" t="n"/>
      <c r="R171" s="65" t="n"/>
      <c r="S171" s="65" t="n"/>
      <c r="T171" s="65" t="n"/>
      <c r="U171" s="65" t="n"/>
      <c r="V171" s="65" t="n"/>
      <c r="W171" s="65" t="n"/>
      <c r="X171" s="65" t="n"/>
      <c r="Y171" s="32">
        <f>IF($C171="","",IF(COUNTA($I171:$K171)&lt;3,"— חסרים נתונים",IF(AND($I171="תקין",$J171="תקין",$K171="תקין"),"רהוטה",IF(AND($I171="תקין",$J171="תקין"),"מדויקת ורציפה","אינה מדויקת או מקוטעת"))))</f>
        <v/>
      </c>
      <c r="Z171" s="32">
        <f>IF($C171="","",IF(COUNTA($U171:$W171)&lt;3,"",IF(AND($U171="מפותח",$V171="מפותח",$W171="מפותחת"),"מפותחת",IF((--($U171="דל"))+(--($V171="אינו מפותח"))+(--($W171="דלה"))&gt;=2,"אינה מפותחת","חלקית"))))</f>
        <v/>
      </c>
      <c r="AA171" s="32">
        <f>IF($C171="","",IF(COUNTA($M171,$N171,$O171)&lt;3,"— חסרים נתונים",IF(OR($M171="נמוכה",(--($M171&lt;&gt;"תקינה"))+(--($N171&lt;&gt;"תקין"))+(--($O171&lt;&gt;"תקינה"))&gt;=2),"ניכרת","אינה ניכרת")))</f>
        <v/>
      </c>
      <c r="AB171" s="32">
        <f>IF(OR($C171="",$Y171="",$AA171="",LEFT($Y171,1)="—",LEFT($AA171,1)="—"),"",IF($Z171="","— נדרשת הערכת כתיבה",IF($L171="","— חסרה הבנת הנקרא",IF($Y171="אינה מדויקת או מקוטעת",IF($AA171="ניכרת","מיקוד בשטף הקריאה ובכישורי שפה","מיקוד בשטף קריאה"),IF($AA171="ניכרת","מיקוד בכישורי שפה",IF(AND($L171="תקינה",$Z171="מפותחת"),"קוראים וכותבים מיומנים","מיקוד בהבנה והבעה"))))))</f>
        <v/>
      </c>
      <c r="AC171" s="32">
        <f>IF(OR($AB171="",LEFT($AB171,1)="—"),"",IF(OR($AB171="מיקוד בשטף קריאה",$AB171="מיקוד בשטף הקריאה ובכישורי שפה"),"רמה א'",IF($AB171="קוראים וכותבים מיומנים","רמה ג'","רמה ב'")))</f>
        <v/>
      </c>
      <c r="AD171" s="32">
        <f>IF($AC171="","",MID(IF(AND($AC171="רמה א'",$AA171="ניכרת"),"; להוסיף עבודת אוצר מילים","")&amp;IF($Z171="אינה מפותחת","; דגש על הבעה בכתב","")&amp;IF($K171&lt;&gt;"תקין","; נדרש לעבוד על ההנגנה","")&amp;IF($AK171&lt;&gt;"","; "&amp;$AK171,""),3,400))</f>
        <v/>
      </c>
      <c r="AE171" s="32">
        <f>IF($F171="","",IF($F171="תחילת שנה",1,IF($F171="מחצית שנה",2,3)))</f>
        <v/>
      </c>
      <c r="AF171" s="32">
        <f>IF(OR($B171="",$AC171="",$A171="",$F171=""),"",$B171&amp;"|"&amp;$A171&amp;"|"&amp;$F171&amp;"|"&amp;$AC171&amp;"|"&amp;COUNTIFS($B$6:$B171,$B171,$A$6:$A171,$A171,$F$6:$F171,$F171,$AC$6:$AC171,$AC171))</f>
        <v/>
      </c>
      <c r="AG171" s="32">
        <f>IF($C171="","",$C171&amp;"|"&amp;COUNTIFS($C$6:$C171,$C171))</f>
        <v/>
      </c>
      <c r="AH171" s="32">
        <f>IF(OR($C171="",$A171="",$AE171=""),"",$C171&amp;"|"&amp;$A171&amp;"|"&amp;$AE171)</f>
        <v/>
      </c>
      <c r="AI171" s="32">
        <f>IF(OR($C171="",$AE171="",$AE171=1),"",IFERROR(INDEX($AC$6:$AC$1505,MATCH($C171&amp;"|"&amp;$A171&amp;"|"&amp;($AE171-1),$AH$6:$AH$1505,0)),""))</f>
        <v/>
      </c>
      <c r="AJ171" s="32">
        <f>IF(OR($AI171="",$AC171=""),"",IF($AI171=$AC171,"ללא שינוי","מ-"&amp;$AI171&amp;" ל-"&amp;$AC171))</f>
        <v/>
      </c>
      <c r="AK171" s="67" t="n"/>
    </row>
    <row r="172" ht="15.75" customHeight="1" s="58">
      <c r="A172" s="65" t="n"/>
      <c r="B172" s="65" t="n"/>
      <c r="C172" s="66" t="n"/>
      <c r="D172" s="66" t="n"/>
      <c r="E172" s="65" t="n"/>
      <c r="F172" s="65" t="n"/>
      <c r="G172" s="65" t="n"/>
      <c r="H172" s="65" t="n"/>
      <c r="I172" s="65" t="n"/>
      <c r="J172" s="65" t="n"/>
      <c r="K172" s="65" t="n"/>
      <c r="L172" s="65" t="n"/>
      <c r="M172" s="65" t="n"/>
      <c r="N172" s="65" t="n"/>
      <c r="O172" s="65" t="n"/>
      <c r="P172" s="65" t="n"/>
      <c r="Q172" s="65" t="n"/>
      <c r="R172" s="65" t="n"/>
      <c r="S172" s="65" t="n"/>
      <c r="T172" s="65" t="n"/>
      <c r="U172" s="65" t="n"/>
      <c r="V172" s="65" t="n"/>
      <c r="W172" s="65" t="n"/>
      <c r="X172" s="65" t="n"/>
      <c r="Y172" s="32">
        <f>IF($C172="","",IF(COUNTA($I172:$K172)&lt;3,"— חסרים נתונים",IF(AND($I172="תקין",$J172="תקין",$K172="תקין"),"רהוטה",IF(AND($I172="תקין",$J172="תקין"),"מדויקת ורציפה","אינה מדויקת או מקוטעת"))))</f>
        <v/>
      </c>
      <c r="Z172" s="32">
        <f>IF($C172="","",IF(COUNTA($U172:$W172)&lt;3,"",IF(AND($U172="מפותח",$V172="מפותח",$W172="מפותחת"),"מפותחת",IF((--($U172="דל"))+(--($V172="אינו מפותח"))+(--($W172="דלה"))&gt;=2,"אינה מפותחת","חלקית"))))</f>
        <v/>
      </c>
      <c r="AA172" s="32">
        <f>IF($C172="","",IF(COUNTA($M172,$N172,$O172)&lt;3,"— חסרים נתונים",IF(OR($M172="נמוכה",(--($M172&lt;&gt;"תקינה"))+(--($N172&lt;&gt;"תקין"))+(--($O172&lt;&gt;"תקינה"))&gt;=2),"ניכרת","אינה ניכרת")))</f>
        <v/>
      </c>
      <c r="AB172" s="32">
        <f>IF(OR($C172="",$Y172="",$AA172="",LEFT($Y172,1)="—",LEFT($AA172,1)="—"),"",IF($Z172="","— נדרשת הערכת כתיבה",IF($L172="","— חסרה הבנת הנקרא",IF($Y172="אינה מדויקת או מקוטעת",IF($AA172="ניכרת","מיקוד בשטף הקריאה ובכישורי שפה","מיקוד בשטף קריאה"),IF($AA172="ניכרת","מיקוד בכישורי שפה",IF(AND($L172="תקינה",$Z172="מפותחת"),"קוראים וכותבים מיומנים","מיקוד בהבנה והבעה"))))))</f>
        <v/>
      </c>
      <c r="AC172" s="32">
        <f>IF(OR($AB172="",LEFT($AB172,1)="—"),"",IF(OR($AB172="מיקוד בשטף קריאה",$AB172="מיקוד בשטף הקריאה ובכישורי שפה"),"רמה א'",IF($AB172="קוראים וכותבים מיומנים","רמה ג'","רמה ב'")))</f>
        <v/>
      </c>
      <c r="AD172" s="32">
        <f>IF($AC172="","",MID(IF(AND($AC172="רמה א'",$AA172="ניכרת"),"; להוסיף עבודת אוצר מילים","")&amp;IF($Z172="אינה מפותחת","; דגש על הבעה בכתב","")&amp;IF($K172&lt;&gt;"תקין","; נדרש לעבוד על ההנגנה","")&amp;IF($AK172&lt;&gt;"","; "&amp;$AK172,""),3,400))</f>
        <v/>
      </c>
      <c r="AE172" s="32">
        <f>IF($F172="","",IF($F172="תחילת שנה",1,IF($F172="מחצית שנה",2,3)))</f>
        <v/>
      </c>
      <c r="AF172" s="32">
        <f>IF(OR($B172="",$AC172="",$A172="",$F172=""),"",$B172&amp;"|"&amp;$A172&amp;"|"&amp;$F172&amp;"|"&amp;$AC172&amp;"|"&amp;COUNTIFS($B$6:$B172,$B172,$A$6:$A172,$A172,$F$6:$F172,$F172,$AC$6:$AC172,$AC172))</f>
        <v/>
      </c>
      <c r="AG172" s="32">
        <f>IF($C172="","",$C172&amp;"|"&amp;COUNTIFS($C$6:$C172,$C172))</f>
        <v/>
      </c>
      <c r="AH172" s="32">
        <f>IF(OR($C172="",$A172="",$AE172=""),"",$C172&amp;"|"&amp;$A172&amp;"|"&amp;$AE172)</f>
        <v/>
      </c>
      <c r="AI172" s="32">
        <f>IF(OR($C172="",$AE172="",$AE172=1),"",IFERROR(INDEX($AC$6:$AC$1505,MATCH($C172&amp;"|"&amp;$A172&amp;"|"&amp;($AE172-1),$AH$6:$AH$1505,0)),""))</f>
        <v/>
      </c>
      <c r="AJ172" s="32">
        <f>IF(OR($AI172="",$AC172=""),"",IF($AI172=$AC172,"ללא שינוי","מ-"&amp;$AI172&amp;" ל-"&amp;$AC172))</f>
        <v/>
      </c>
      <c r="AK172" s="67" t="n"/>
    </row>
    <row r="173" ht="15.75" customHeight="1" s="58">
      <c r="A173" s="65" t="n"/>
      <c r="B173" s="65" t="n"/>
      <c r="C173" s="66" t="n"/>
      <c r="D173" s="66" t="n"/>
      <c r="E173" s="65" t="n"/>
      <c r="F173" s="65" t="n"/>
      <c r="G173" s="65" t="n"/>
      <c r="H173" s="65" t="n"/>
      <c r="I173" s="65" t="n"/>
      <c r="J173" s="65" t="n"/>
      <c r="K173" s="65" t="n"/>
      <c r="L173" s="65" t="n"/>
      <c r="M173" s="65" t="n"/>
      <c r="N173" s="65" t="n"/>
      <c r="O173" s="65" t="n"/>
      <c r="P173" s="65" t="n"/>
      <c r="Q173" s="65" t="n"/>
      <c r="R173" s="65" t="n"/>
      <c r="S173" s="65" t="n"/>
      <c r="T173" s="65" t="n"/>
      <c r="U173" s="65" t="n"/>
      <c r="V173" s="65" t="n"/>
      <c r="W173" s="65" t="n"/>
      <c r="X173" s="65" t="n"/>
      <c r="Y173" s="32">
        <f>IF($C173="","",IF(COUNTA($I173:$K173)&lt;3,"— חסרים נתונים",IF(AND($I173="תקין",$J173="תקין",$K173="תקין"),"רהוטה",IF(AND($I173="תקין",$J173="תקין"),"מדויקת ורציפה","אינה מדויקת או מקוטעת"))))</f>
        <v/>
      </c>
      <c r="Z173" s="32">
        <f>IF($C173="","",IF(COUNTA($U173:$W173)&lt;3,"",IF(AND($U173="מפותח",$V173="מפותח",$W173="מפותחת"),"מפותחת",IF((--($U173="דל"))+(--($V173="אינו מפותח"))+(--($W173="דלה"))&gt;=2,"אינה מפותחת","חלקית"))))</f>
        <v/>
      </c>
      <c r="AA173" s="32">
        <f>IF($C173="","",IF(COUNTA($M173,$N173,$O173)&lt;3,"— חסרים נתונים",IF(OR($M173="נמוכה",(--($M173&lt;&gt;"תקינה"))+(--($N173&lt;&gt;"תקין"))+(--($O173&lt;&gt;"תקינה"))&gt;=2),"ניכרת","אינה ניכרת")))</f>
        <v/>
      </c>
      <c r="AB173" s="32">
        <f>IF(OR($C173="",$Y173="",$AA173="",LEFT($Y173,1)="—",LEFT($AA173,1)="—"),"",IF($Z173="","— נדרשת הערכת כתיבה",IF($L173="","— חסרה הבנת הנקרא",IF($Y173="אינה מדויקת או מקוטעת",IF($AA173="ניכרת","מיקוד בשטף הקריאה ובכישורי שפה","מיקוד בשטף קריאה"),IF($AA173="ניכרת","מיקוד בכישורי שפה",IF(AND($L173="תקינה",$Z173="מפותחת"),"קוראים וכותבים מיומנים","מיקוד בהבנה והבעה"))))))</f>
        <v/>
      </c>
      <c r="AC173" s="32">
        <f>IF(OR($AB173="",LEFT($AB173,1)="—"),"",IF(OR($AB173="מיקוד בשטף קריאה",$AB173="מיקוד בשטף הקריאה ובכישורי שפה"),"רמה א'",IF($AB173="קוראים וכותבים מיומנים","רמה ג'","רמה ב'")))</f>
        <v/>
      </c>
      <c r="AD173" s="32">
        <f>IF($AC173="","",MID(IF(AND($AC173="רמה א'",$AA173="ניכרת"),"; להוסיף עבודת אוצר מילים","")&amp;IF($Z173="אינה מפותחת","; דגש על הבעה בכתב","")&amp;IF($K173&lt;&gt;"תקין","; נדרש לעבוד על ההנגנה","")&amp;IF($AK173&lt;&gt;"","; "&amp;$AK173,""),3,400))</f>
        <v/>
      </c>
      <c r="AE173" s="32">
        <f>IF($F173="","",IF($F173="תחילת שנה",1,IF($F173="מחצית שנה",2,3)))</f>
        <v/>
      </c>
      <c r="AF173" s="32">
        <f>IF(OR($B173="",$AC173="",$A173="",$F173=""),"",$B173&amp;"|"&amp;$A173&amp;"|"&amp;$F173&amp;"|"&amp;$AC173&amp;"|"&amp;COUNTIFS($B$6:$B173,$B173,$A$6:$A173,$A173,$F$6:$F173,$F173,$AC$6:$AC173,$AC173))</f>
        <v/>
      </c>
      <c r="AG173" s="32">
        <f>IF($C173="","",$C173&amp;"|"&amp;COUNTIFS($C$6:$C173,$C173))</f>
        <v/>
      </c>
      <c r="AH173" s="32">
        <f>IF(OR($C173="",$A173="",$AE173=""),"",$C173&amp;"|"&amp;$A173&amp;"|"&amp;$AE173)</f>
        <v/>
      </c>
      <c r="AI173" s="32">
        <f>IF(OR($C173="",$AE173="",$AE173=1),"",IFERROR(INDEX($AC$6:$AC$1505,MATCH($C173&amp;"|"&amp;$A173&amp;"|"&amp;($AE173-1),$AH$6:$AH$1505,0)),""))</f>
        <v/>
      </c>
      <c r="AJ173" s="32">
        <f>IF(OR($AI173="",$AC173=""),"",IF($AI173=$AC173,"ללא שינוי","מ-"&amp;$AI173&amp;" ל-"&amp;$AC173))</f>
        <v/>
      </c>
      <c r="AK173" s="67" t="n"/>
    </row>
    <row r="174" ht="15.75" customHeight="1" s="58">
      <c r="A174" s="65" t="n"/>
      <c r="B174" s="65" t="n"/>
      <c r="C174" s="66" t="n"/>
      <c r="D174" s="66" t="n"/>
      <c r="E174" s="65" t="n"/>
      <c r="F174" s="65" t="n"/>
      <c r="G174" s="65" t="n"/>
      <c r="H174" s="65" t="n"/>
      <c r="I174" s="65" t="n"/>
      <c r="J174" s="65" t="n"/>
      <c r="K174" s="65" t="n"/>
      <c r="L174" s="65" t="n"/>
      <c r="M174" s="65" t="n"/>
      <c r="N174" s="65" t="n"/>
      <c r="O174" s="65" t="n"/>
      <c r="P174" s="65" t="n"/>
      <c r="Q174" s="65" t="n"/>
      <c r="R174" s="65" t="n"/>
      <c r="S174" s="65" t="n"/>
      <c r="T174" s="65" t="n"/>
      <c r="U174" s="65" t="n"/>
      <c r="V174" s="65" t="n"/>
      <c r="W174" s="65" t="n"/>
      <c r="X174" s="65" t="n"/>
      <c r="Y174" s="32">
        <f>IF($C174="","",IF(COUNTA($I174:$K174)&lt;3,"— חסרים נתונים",IF(AND($I174="תקין",$J174="תקין",$K174="תקין"),"רהוטה",IF(AND($I174="תקין",$J174="תקין"),"מדויקת ורציפה","אינה מדויקת או מקוטעת"))))</f>
        <v/>
      </c>
      <c r="Z174" s="32">
        <f>IF($C174="","",IF(COUNTA($U174:$W174)&lt;3,"",IF(AND($U174="מפותח",$V174="מפותח",$W174="מפותחת"),"מפותחת",IF((--($U174="דל"))+(--($V174="אינו מפותח"))+(--($W174="דלה"))&gt;=2,"אינה מפותחת","חלקית"))))</f>
        <v/>
      </c>
      <c r="AA174" s="32">
        <f>IF($C174="","",IF(COUNTA($M174,$N174,$O174)&lt;3,"— חסרים נתונים",IF(OR($M174="נמוכה",(--($M174&lt;&gt;"תקינה"))+(--($N174&lt;&gt;"תקין"))+(--($O174&lt;&gt;"תקינה"))&gt;=2),"ניכרת","אינה ניכרת")))</f>
        <v/>
      </c>
      <c r="AB174" s="32">
        <f>IF(OR($C174="",$Y174="",$AA174="",LEFT($Y174,1)="—",LEFT($AA174,1)="—"),"",IF($Z174="","— נדרשת הערכת כתיבה",IF($L174="","— חסרה הבנת הנקרא",IF($Y174="אינה מדויקת או מקוטעת",IF($AA174="ניכרת","מיקוד בשטף הקריאה ובכישורי שפה","מיקוד בשטף קריאה"),IF($AA174="ניכרת","מיקוד בכישורי שפה",IF(AND($L174="תקינה",$Z174="מפותחת"),"קוראים וכותבים מיומנים","מיקוד בהבנה והבעה"))))))</f>
        <v/>
      </c>
      <c r="AC174" s="32">
        <f>IF(OR($AB174="",LEFT($AB174,1)="—"),"",IF(OR($AB174="מיקוד בשטף קריאה",$AB174="מיקוד בשטף הקריאה ובכישורי שפה"),"רמה א'",IF($AB174="קוראים וכותבים מיומנים","רמה ג'","רמה ב'")))</f>
        <v/>
      </c>
      <c r="AD174" s="32">
        <f>IF($AC174="","",MID(IF(AND($AC174="רמה א'",$AA174="ניכרת"),"; להוסיף עבודת אוצר מילים","")&amp;IF($Z174="אינה מפותחת","; דגש על הבעה בכתב","")&amp;IF($K174&lt;&gt;"תקין","; נדרש לעבוד על ההנגנה","")&amp;IF($AK174&lt;&gt;"","; "&amp;$AK174,""),3,400))</f>
        <v/>
      </c>
      <c r="AE174" s="32">
        <f>IF($F174="","",IF($F174="תחילת שנה",1,IF($F174="מחצית שנה",2,3)))</f>
        <v/>
      </c>
      <c r="AF174" s="32">
        <f>IF(OR($B174="",$AC174="",$A174="",$F174=""),"",$B174&amp;"|"&amp;$A174&amp;"|"&amp;$F174&amp;"|"&amp;$AC174&amp;"|"&amp;COUNTIFS($B$6:$B174,$B174,$A$6:$A174,$A174,$F$6:$F174,$F174,$AC$6:$AC174,$AC174))</f>
        <v/>
      </c>
      <c r="AG174" s="32">
        <f>IF($C174="","",$C174&amp;"|"&amp;COUNTIFS($C$6:$C174,$C174))</f>
        <v/>
      </c>
      <c r="AH174" s="32">
        <f>IF(OR($C174="",$A174="",$AE174=""),"",$C174&amp;"|"&amp;$A174&amp;"|"&amp;$AE174)</f>
        <v/>
      </c>
      <c r="AI174" s="32">
        <f>IF(OR($C174="",$AE174="",$AE174=1),"",IFERROR(INDEX($AC$6:$AC$1505,MATCH($C174&amp;"|"&amp;$A174&amp;"|"&amp;($AE174-1),$AH$6:$AH$1505,0)),""))</f>
        <v/>
      </c>
      <c r="AJ174" s="32">
        <f>IF(OR($AI174="",$AC174=""),"",IF($AI174=$AC174,"ללא שינוי","מ-"&amp;$AI174&amp;" ל-"&amp;$AC174))</f>
        <v/>
      </c>
      <c r="AK174" s="67" t="n"/>
    </row>
    <row r="175" ht="15.75" customHeight="1" s="58">
      <c r="A175" s="65" t="n"/>
      <c r="B175" s="65" t="n"/>
      <c r="C175" s="66" t="n"/>
      <c r="D175" s="66" t="n"/>
      <c r="E175" s="65" t="n"/>
      <c r="F175" s="65" t="n"/>
      <c r="G175" s="65" t="n"/>
      <c r="H175" s="65" t="n"/>
      <c r="I175" s="65" t="n"/>
      <c r="J175" s="65" t="n"/>
      <c r="K175" s="65" t="n"/>
      <c r="L175" s="65" t="n"/>
      <c r="M175" s="65" t="n"/>
      <c r="N175" s="65" t="n"/>
      <c r="O175" s="65" t="n"/>
      <c r="P175" s="65" t="n"/>
      <c r="Q175" s="65" t="n"/>
      <c r="R175" s="65" t="n"/>
      <c r="S175" s="65" t="n"/>
      <c r="T175" s="65" t="n"/>
      <c r="U175" s="65" t="n"/>
      <c r="V175" s="65" t="n"/>
      <c r="W175" s="65" t="n"/>
      <c r="X175" s="65" t="n"/>
      <c r="Y175" s="32">
        <f>IF($C175="","",IF(COUNTA($I175:$K175)&lt;3,"— חסרים נתונים",IF(AND($I175="תקין",$J175="תקין",$K175="תקין"),"רהוטה",IF(AND($I175="תקין",$J175="תקין"),"מדויקת ורציפה","אינה מדויקת או מקוטעת"))))</f>
        <v/>
      </c>
      <c r="Z175" s="32">
        <f>IF($C175="","",IF(COUNTA($U175:$W175)&lt;3,"",IF(AND($U175="מפותח",$V175="מפותח",$W175="מפותחת"),"מפותחת",IF((--($U175="דל"))+(--($V175="אינו מפותח"))+(--($W175="דלה"))&gt;=2,"אינה מפותחת","חלקית"))))</f>
        <v/>
      </c>
      <c r="AA175" s="32">
        <f>IF($C175="","",IF(COUNTA($M175,$N175,$O175)&lt;3,"— חסרים נתונים",IF(OR($M175="נמוכה",(--($M175&lt;&gt;"תקינה"))+(--($N175&lt;&gt;"תקין"))+(--($O175&lt;&gt;"תקינה"))&gt;=2),"ניכרת","אינה ניכרת")))</f>
        <v/>
      </c>
      <c r="AB175" s="32">
        <f>IF(OR($C175="",$Y175="",$AA175="",LEFT($Y175,1)="—",LEFT($AA175,1)="—"),"",IF($Z175="","— נדרשת הערכת כתיבה",IF($L175="","— חסרה הבנת הנקרא",IF($Y175="אינה מדויקת או מקוטעת",IF($AA175="ניכרת","מיקוד בשטף הקריאה ובכישורי שפה","מיקוד בשטף קריאה"),IF($AA175="ניכרת","מיקוד בכישורי שפה",IF(AND($L175="תקינה",$Z175="מפותחת"),"קוראים וכותבים מיומנים","מיקוד בהבנה והבעה"))))))</f>
        <v/>
      </c>
      <c r="AC175" s="32">
        <f>IF(OR($AB175="",LEFT($AB175,1)="—"),"",IF(OR($AB175="מיקוד בשטף קריאה",$AB175="מיקוד בשטף הקריאה ובכישורי שפה"),"רמה א'",IF($AB175="קוראים וכותבים מיומנים","רמה ג'","רמה ב'")))</f>
        <v/>
      </c>
      <c r="AD175" s="32">
        <f>IF($AC175="","",MID(IF(AND($AC175="רמה א'",$AA175="ניכרת"),"; להוסיף עבודת אוצר מילים","")&amp;IF($Z175="אינה מפותחת","; דגש על הבעה בכתב","")&amp;IF($K175&lt;&gt;"תקין","; נדרש לעבוד על ההנגנה","")&amp;IF($AK175&lt;&gt;"","; "&amp;$AK175,""),3,400))</f>
        <v/>
      </c>
      <c r="AE175" s="32">
        <f>IF($F175="","",IF($F175="תחילת שנה",1,IF($F175="מחצית שנה",2,3)))</f>
        <v/>
      </c>
      <c r="AF175" s="32">
        <f>IF(OR($B175="",$AC175="",$A175="",$F175=""),"",$B175&amp;"|"&amp;$A175&amp;"|"&amp;$F175&amp;"|"&amp;$AC175&amp;"|"&amp;COUNTIFS($B$6:$B175,$B175,$A$6:$A175,$A175,$F$6:$F175,$F175,$AC$6:$AC175,$AC175))</f>
        <v/>
      </c>
      <c r="AG175" s="32">
        <f>IF($C175="","",$C175&amp;"|"&amp;COUNTIFS($C$6:$C175,$C175))</f>
        <v/>
      </c>
      <c r="AH175" s="32">
        <f>IF(OR($C175="",$A175="",$AE175=""),"",$C175&amp;"|"&amp;$A175&amp;"|"&amp;$AE175)</f>
        <v/>
      </c>
      <c r="AI175" s="32">
        <f>IF(OR($C175="",$AE175="",$AE175=1),"",IFERROR(INDEX($AC$6:$AC$1505,MATCH($C175&amp;"|"&amp;$A175&amp;"|"&amp;($AE175-1),$AH$6:$AH$1505,0)),""))</f>
        <v/>
      </c>
      <c r="AJ175" s="32">
        <f>IF(OR($AI175="",$AC175=""),"",IF($AI175=$AC175,"ללא שינוי","מ-"&amp;$AI175&amp;" ל-"&amp;$AC175))</f>
        <v/>
      </c>
      <c r="AK175" s="67" t="n"/>
    </row>
    <row r="176" ht="15.75" customHeight="1" s="58">
      <c r="A176" s="65" t="n"/>
      <c r="B176" s="65" t="n"/>
      <c r="C176" s="66" t="n"/>
      <c r="D176" s="66" t="n"/>
      <c r="E176" s="65" t="n"/>
      <c r="F176" s="65" t="n"/>
      <c r="G176" s="65" t="n"/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 t="n"/>
      <c r="Q176" s="65" t="n"/>
      <c r="R176" s="65" t="n"/>
      <c r="S176" s="65" t="n"/>
      <c r="T176" s="65" t="n"/>
      <c r="U176" s="65" t="n"/>
      <c r="V176" s="65" t="n"/>
      <c r="W176" s="65" t="n"/>
      <c r="X176" s="65" t="n"/>
      <c r="Y176" s="32">
        <f>IF($C176="","",IF(COUNTA($I176:$K176)&lt;3,"— חסרים נתונים",IF(AND($I176="תקין",$J176="תקין",$K176="תקין"),"רהוטה",IF(AND($I176="תקין",$J176="תקין"),"מדויקת ורציפה","אינה מדויקת או מקוטעת"))))</f>
        <v/>
      </c>
      <c r="Z176" s="32">
        <f>IF($C176="","",IF(COUNTA($U176:$W176)&lt;3,"",IF(AND($U176="מפותח",$V176="מפותח",$W176="מפותחת"),"מפותחת",IF((--($U176="דל"))+(--($V176="אינו מפותח"))+(--($W176="דלה"))&gt;=2,"אינה מפותחת","חלקית"))))</f>
        <v/>
      </c>
      <c r="AA176" s="32">
        <f>IF($C176="","",IF(COUNTA($M176,$N176,$O176)&lt;3,"— חסרים נתונים",IF(OR($M176="נמוכה",(--($M176&lt;&gt;"תקינה"))+(--($N176&lt;&gt;"תקין"))+(--($O176&lt;&gt;"תקינה"))&gt;=2),"ניכרת","אינה ניכרת")))</f>
        <v/>
      </c>
      <c r="AB176" s="32">
        <f>IF(OR($C176="",$Y176="",$AA176="",LEFT($Y176,1)="—",LEFT($AA176,1)="—"),"",IF($Z176="","— נדרשת הערכת כתיבה",IF($L176="","— חסרה הבנת הנקרא",IF($Y176="אינה מדויקת או מקוטעת",IF($AA176="ניכרת","מיקוד בשטף הקריאה ובכישורי שפה","מיקוד בשטף קריאה"),IF($AA176="ניכרת","מיקוד בכישורי שפה",IF(AND($L176="תקינה",$Z176="מפותחת"),"קוראים וכותבים מיומנים","מיקוד בהבנה והבעה"))))))</f>
        <v/>
      </c>
      <c r="AC176" s="32">
        <f>IF(OR($AB176="",LEFT($AB176,1)="—"),"",IF(OR($AB176="מיקוד בשטף קריאה",$AB176="מיקוד בשטף הקריאה ובכישורי שפה"),"רמה א'",IF($AB176="קוראים וכותבים מיומנים","רמה ג'","רמה ב'")))</f>
        <v/>
      </c>
      <c r="AD176" s="32">
        <f>IF($AC176="","",MID(IF(AND($AC176="רמה א'",$AA176="ניכרת"),"; להוסיף עבודת אוצר מילים","")&amp;IF($Z176="אינה מפותחת","; דגש על הבעה בכתב","")&amp;IF($K176&lt;&gt;"תקין","; נדרש לעבוד על ההנגנה","")&amp;IF($AK176&lt;&gt;"","; "&amp;$AK176,""),3,400))</f>
        <v/>
      </c>
      <c r="AE176" s="32">
        <f>IF($F176="","",IF($F176="תחילת שנה",1,IF($F176="מחצית שנה",2,3)))</f>
        <v/>
      </c>
      <c r="AF176" s="32">
        <f>IF(OR($B176="",$AC176="",$A176="",$F176=""),"",$B176&amp;"|"&amp;$A176&amp;"|"&amp;$F176&amp;"|"&amp;$AC176&amp;"|"&amp;COUNTIFS($B$6:$B176,$B176,$A$6:$A176,$A176,$F$6:$F176,$F176,$AC$6:$AC176,$AC176))</f>
        <v/>
      </c>
      <c r="AG176" s="32">
        <f>IF($C176="","",$C176&amp;"|"&amp;COUNTIFS($C$6:$C176,$C176))</f>
        <v/>
      </c>
      <c r="AH176" s="32">
        <f>IF(OR($C176="",$A176="",$AE176=""),"",$C176&amp;"|"&amp;$A176&amp;"|"&amp;$AE176)</f>
        <v/>
      </c>
      <c r="AI176" s="32">
        <f>IF(OR($C176="",$AE176="",$AE176=1),"",IFERROR(INDEX($AC$6:$AC$1505,MATCH($C176&amp;"|"&amp;$A176&amp;"|"&amp;($AE176-1),$AH$6:$AH$1505,0)),""))</f>
        <v/>
      </c>
      <c r="AJ176" s="32">
        <f>IF(OR($AI176="",$AC176=""),"",IF($AI176=$AC176,"ללא שינוי","מ-"&amp;$AI176&amp;" ל-"&amp;$AC176))</f>
        <v/>
      </c>
      <c r="AK176" s="67" t="n"/>
    </row>
    <row r="177" ht="15.75" customHeight="1" s="58">
      <c r="A177" s="65" t="n"/>
      <c r="B177" s="65" t="n"/>
      <c r="C177" s="66" t="n"/>
      <c r="D177" s="66" t="n"/>
      <c r="E177" s="65" t="n"/>
      <c r="F177" s="65" t="n"/>
      <c r="G177" s="65" t="n"/>
      <c r="H177" s="65" t="n"/>
      <c r="I177" s="65" t="n"/>
      <c r="J177" s="65" t="n"/>
      <c r="K177" s="65" t="n"/>
      <c r="L177" s="65" t="n"/>
      <c r="M177" s="65" t="n"/>
      <c r="N177" s="65" t="n"/>
      <c r="O177" s="65" t="n"/>
      <c r="P177" s="65" t="n"/>
      <c r="Q177" s="65" t="n"/>
      <c r="R177" s="65" t="n"/>
      <c r="S177" s="65" t="n"/>
      <c r="T177" s="65" t="n"/>
      <c r="U177" s="65" t="n"/>
      <c r="V177" s="65" t="n"/>
      <c r="W177" s="65" t="n"/>
      <c r="X177" s="65" t="n"/>
      <c r="Y177" s="32">
        <f>IF($C177="","",IF(COUNTA($I177:$K177)&lt;3,"— חסרים נתונים",IF(AND($I177="תקין",$J177="תקין",$K177="תקין"),"רהוטה",IF(AND($I177="תקין",$J177="תקין"),"מדויקת ורציפה","אינה מדויקת או מקוטעת"))))</f>
        <v/>
      </c>
      <c r="Z177" s="32">
        <f>IF($C177="","",IF(COUNTA($U177:$W177)&lt;3,"",IF(AND($U177="מפותח",$V177="מפותח",$W177="מפותחת"),"מפותחת",IF((--($U177="דל"))+(--($V177="אינו מפותח"))+(--($W177="דלה"))&gt;=2,"אינה מפותחת","חלקית"))))</f>
        <v/>
      </c>
      <c r="AA177" s="32">
        <f>IF($C177="","",IF(COUNTA($M177,$N177,$O177)&lt;3,"— חסרים נתונים",IF(OR($M177="נמוכה",(--($M177&lt;&gt;"תקינה"))+(--($N177&lt;&gt;"תקין"))+(--($O177&lt;&gt;"תקינה"))&gt;=2),"ניכרת","אינה ניכרת")))</f>
        <v/>
      </c>
      <c r="AB177" s="32">
        <f>IF(OR($C177="",$Y177="",$AA177="",LEFT($Y177,1)="—",LEFT($AA177,1)="—"),"",IF($Z177="","— נדרשת הערכת כתיבה",IF($L177="","— חסרה הבנת הנקרא",IF($Y177="אינה מדויקת או מקוטעת",IF($AA177="ניכרת","מיקוד בשטף הקריאה ובכישורי שפה","מיקוד בשטף קריאה"),IF($AA177="ניכרת","מיקוד בכישורי שפה",IF(AND($L177="תקינה",$Z177="מפותחת"),"קוראים וכותבים מיומנים","מיקוד בהבנה והבעה"))))))</f>
        <v/>
      </c>
      <c r="AC177" s="32">
        <f>IF(OR($AB177="",LEFT($AB177,1)="—"),"",IF(OR($AB177="מיקוד בשטף קריאה",$AB177="מיקוד בשטף הקריאה ובכישורי שפה"),"רמה א'",IF($AB177="קוראים וכותבים מיומנים","רמה ג'","רמה ב'")))</f>
        <v/>
      </c>
      <c r="AD177" s="32">
        <f>IF($AC177="","",MID(IF(AND($AC177="רמה א'",$AA177="ניכרת"),"; להוסיף עבודת אוצר מילים","")&amp;IF($Z177="אינה מפותחת","; דגש על הבעה בכתב","")&amp;IF($K177&lt;&gt;"תקין","; נדרש לעבוד על ההנגנה","")&amp;IF($AK177&lt;&gt;"","; "&amp;$AK177,""),3,400))</f>
        <v/>
      </c>
      <c r="AE177" s="32">
        <f>IF($F177="","",IF($F177="תחילת שנה",1,IF($F177="מחצית שנה",2,3)))</f>
        <v/>
      </c>
      <c r="AF177" s="32">
        <f>IF(OR($B177="",$AC177="",$A177="",$F177=""),"",$B177&amp;"|"&amp;$A177&amp;"|"&amp;$F177&amp;"|"&amp;$AC177&amp;"|"&amp;COUNTIFS($B$6:$B177,$B177,$A$6:$A177,$A177,$F$6:$F177,$F177,$AC$6:$AC177,$AC177))</f>
        <v/>
      </c>
      <c r="AG177" s="32">
        <f>IF($C177="","",$C177&amp;"|"&amp;COUNTIFS($C$6:$C177,$C177))</f>
        <v/>
      </c>
      <c r="AH177" s="32">
        <f>IF(OR($C177="",$A177="",$AE177=""),"",$C177&amp;"|"&amp;$A177&amp;"|"&amp;$AE177)</f>
        <v/>
      </c>
      <c r="AI177" s="32">
        <f>IF(OR($C177="",$AE177="",$AE177=1),"",IFERROR(INDEX($AC$6:$AC$1505,MATCH($C177&amp;"|"&amp;$A177&amp;"|"&amp;($AE177-1),$AH$6:$AH$1505,0)),""))</f>
        <v/>
      </c>
      <c r="AJ177" s="32">
        <f>IF(OR($AI177="",$AC177=""),"",IF($AI177=$AC177,"ללא שינוי","מ-"&amp;$AI177&amp;" ל-"&amp;$AC177))</f>
        <v/>
      </c>
      <c r="AK177" s="67" t="n"/>
    </row>
    <row r="178" ht="15.75" customHeight="1" s="58">
      <c r="A178" s="65" t="n"/>
      <c r="B178" s="65" t="n"/>
      <c r="C178" s="66" t="n"/>
      <c r="D178" s="66" t="n"/>
      <c r="E178" s="65" t="n"/>
      <c r="F178" s="65" t="n"/>
      <c r="G178" s="65" t="n"/>
      <c r="H178" s="65" t="n"/>
      <c r="I178" s="65" t="n"/>
      <c r="J178" s="65" t="n"/>
      <c r="K178" s="65" t="n"/>
      <c r="L178" s="65" t="n"/>
      <c r="M178" s="65" t="n"/>
      <c r="N178" s="65" t="n"/>
      <c r="O178" s="65" t="n"/>
      <c r="P178" s="65" t="n"/>
      <c r="Q178" s="65" t="n"/>
      <c r="R178" s="65" t="n"/>
      <c r="S178" s="65" t="n"/>
      <c r="T178" s="65" t="n"/>
      <c r="U178" s="65" t="n"/>
      <c r="V178" s="65" t="n"/>
      <c r="W178" s="65" t="n"/>
      <c r="X178" s="65" t="n"/>
      <c r="Y178" s="32">
        <f>IF($C178="","",IF(COUNTA($I178:$K178)&lt;3,"— חסרים נתונים",IF(AND($I178="תקין",$J178="תקין",$K178="תקין"),"רהוטה",IF(AND($I178="תקין",$J178="תקין"),"מדויקת ורציפה","אינה מדויקת או מקוטעת"))))</f>
        <v/>
      </c>
      <c r="Z178" s="32">
        <f>IF($C178="","",IF(COUNTA($U178:$W178)&lt;3,"",IF(AND($U178="מפותח",$V178="מפותח",$W178="מפותחת"),"מפותחת",IF((--($U178="דל"))+(--($V178="אינו מפותח"))+(--($W178="דלה"))&gt;=2,"אינה מפותחת","חלקית"))))</f>
        <v/>
      </c>
      <c r="AA178" s="32">
        <f>IF($C178="","",IF(COUNTA($M178,$N178,$O178)&lt;3,"— חסרים נתונים",IF(OR($M178="נמוכה",(--($M178&lt;&gt;"תקינה"))+(--($N178&lt;&gt;"תקין"))+(--($O178&lt;&gt;"תקינה"))&gt;=2),"ניכרת","אינה ניכרת")))</f>
        <v/>
      </c>
      <c r="AB178" s="32">
        <f>IF(OR($C178="",$Y178="",$AA178="",LEFT($Y178,1)="—",LEFT($AA178,1)="—"),"",IF($Z178="","— נדרשת הערכת כתיבה",IF($L178="","— חסרה הבנת הנקרא",IF($Y178="אינה מדויקת או מקוטעת",IF($AA178="ניכרת","מיקוד בשטף הקריאה ובכישורי שפה","מיקוד בשטף קריאה"),IF($AA178="ניכרת","מיקוד בכישורי שפה",IF(AND($L178="תקינה",$Z178="מפותחת"),"קוראים וכותבים מיומנים","מיקוד בהבנה והבעה"))))))</f>
        <v/>
      </c>
      <c r="AC178" s="32">
        <f>IF(OR($AB178="",LEFT($AB178,1)="—"),"",IF(OR($AB178="מיקוד בשטף קריאה",$AB178="מיקוד בשטף הקריאה ובכישורי שפה"),"רמה א'",IF($AB178="קוראים וכותבים מיומנים","רמה ג'","רמה ב'")))</f>
        <v/>
      </c>
      <c r="AD178" s="32">
        <f>IF($AC178="","",MID(IF(AND($AC178="רמה א'",$AA178="ניכרת"),"; להוסיף עבודת אוצר מילים","")&amp;IF($Z178="אינה מפותחת","; דגש על הבעה בכתב","")&amp;IF($K178&lt;&gt;"תקין","; נדרש לעבוד על ההנגנה","")&amp;IF($AK178&lt;&gt;"","; "&amp;$AK178,""),3,400))</f>
        <v/>
      </c>
      <c r="AE178" s="32">
        <f>IF($F178="","",IF($F178="תחילת שנה",1,IF($F178="מחצית שנה",2,3)))</f>
        <v/>
      </c>
      <c r="AF178" s="32">
        <f>IF(OR($B178="",$AC178="",$A178="",$F178=""),"",$B178&amp;"|"&amp;$A178&amp;"|"&amp;$F178&amp;"|"&amp;$AC178&amp;"|"&amp;COUNTIFS($B$6:$B178,$B178,$A$6:$A178,$A178,$F$6:$F178,$F178,$AC$6:$AC178,$AC178))</f>
        <v/>
      </c>
      <c r="AG178" s="32">
        <f>IF($C178="","",$C178&amp;"|"&amp;COUNTIFS($C$6:$C178,$C178))</f>
        <v/>
      </c>
      <c r="AH178" s="32">
        <f>IF(OR($C178="",$A178="",$AE178=""),"",$C178&amp;"|"&amp;$A178&amp;"|"&amp;$AE178)</f>
        <v/>
      </c>
      <c r="AI178" s="32">
        <f>IF(OR($C178="",$AE178="",$AE178=1),"",IFERROR(INDEX($AC$6:$AC$1505,MATCH($C178&amp;"|"&amp;$A178&amp;"|"&amp;($AE178-1),$AH$6:$AH$1505,0)),""))</f>
        <v/>
      </c>
      <c r="AJ178" s="32">
        <f>IF(OR($AI178="",$AC178=""),"",IF($AI178=$AC178,"ללא שינוי","מ-"&amp;$AI178&amp;" ל-"&amp;$AC178))</f>
        <v/>
      </c>
      <c r="AK178" s="67" t="n"/>
    </row>
    <row r="179" ht="15.75" customHeight="1" s="58">
      <c r="A179" s="65" t="n"/>
      <c r="B179" s="65" t="n"/>
      <c r="C179" s="66" t="n"/>
      <c r="D179" s="66" t="n"/>
      <c r="E179" s="65" t="n"/>
      <c r="F179" s="65" t="n"/>
      <c r="G179" s="65" t="n"/>
      <c r="H179" s="65" t="n"/>
      <c r="I179" s="65" t="n"/>
      <c r="J179" s="65" t="n"/>
      <c r="K179" s="65" t="n"/>
      <c r="L179" s="65" t="n"/>
      <c r="M179" s="65" t="n"/>
      <c r="N179" s="65" t="n"/>
      <c r="O179" s="65" t="n"/>
      <c r="P179" s="65" t="n"/>
      <c r="Q179" s="65" t="n"/>
      <c r="R179" s="65" t="n"/>
      <c r="S179" s="65" t="n"/>
      <c r="T179" s="65" t="n"/>
      <c r="U179" s="65" t="n"/>
      <c r="V179" s="65" t="n"/>
      <c r="W179" s="65" t="n"/>
      <c r="X179" s="65" t="n"/>
      <c r="Y179" s="32">
        <f>IF($C179="","",IF(COUNTA($I179:$K179)&lt;3,"— חסרים נתונים",IF(AND($I179="תקין",$J179="תקין",$K179="תקין"),"רהוטה",IF(AND($I179="תקין",$J179="תקין"),"מדויקת ורציפה","אינה מדויקת או מקוטעת"))))</f>
        <v/>
      </c>
      <c r="Z179" s="32">
        <f>IF($C179="","",IF(COUNTA($U179:$W179)&lt;3,"",IF(AND($U179="מפותח",$V179="מפותח",$W179="מפותחת"),"מפותחת",IF((--($U179="דל"))+(--($V179="אינו מפותח"))+(--($W179="דלה"))&gt;=2,"אינה מפותחת","חלקית"))))</f>
        <v/>
      </c>
      <c r="AA179" s="32">
        <f>IF($C179="","",IF(COUNTA($M179,$N179,$O179)&lt;3,"— חסרים נתונים",IF(OR($M179="נמוכה",(--($M179&lt;&gt;"תקינה"))+(--($N179&lt;&gt;"תקין"))+(--($O179&lt;&gt;"תקינה"))&gt;=2),"ניכרת","אינה ניכרת")))</f>
        <v/>
      </c>
      <c r="AB179" s="32">
        <f>IF(OR($C179="",$Y179="",$AA179="",LEFT($Y179,1)="—",LEFT($AA179,1)="—"),"",IF($Z179="","— נדרשת הערכת כתיבה",IF($L179="","— חסרה הבנת הנקרא",IF($Y179="אינה מדויקת או מקוטעת",IF($AA179="ניכרת","מיקוד בשטף הקריאה ובכישורי שפה","מיקוד בשטף קריאה"),IF($AA179="ניכרת","מיקוד בכישורי שפה",IF(AND($L179="תקינה",$Z179="מפותחת"),"קוראים וכותבים מיומנים","מיקוד בהבנה והבעה"))))))</f>
        <v/>
      </c>
      <c r="AC179" s="32">
        <f>IF(OR($AB179="",LEFT($AB179,1)="—"),"",IF(OR($AB179="מיקוד בשטף קריאה",$AB179="מיקוד בשטף הקריאה ובכישורי שפה"),"רמה א'",IF($AB179="קוראים וכותבים מיומנים","רמה ג'","רמה ב'")))</f>
        <v/>
      </c>
      <c r="AD179" s="32">
        <f>IF($AC179="","",MID(IF(AND($AC179="רמה א'",$AA179="ניכרת"),"; להוסיף עבודת אוצר מילים","")&amp;IF($Z179="אינה מפותחת","; דגש על הבעה בכתב","")&amp;IF($K179&lt;&gt;"תקין","; נדרש לעבוד על ההנגנה","")&amp;IF($AK179&lt;&gt;"","; "&amp;$AK179,""),3,400))</f>
        <v/>
      </c>
      <c r="AE179" s="32">
        <f>IF($F179="","",IF($F179="תחילת שנה",1,IF($F179="מחצית שנה",2,3)))</f>
        <v/>
      </c>
      <c r="AF179" s="32">
        <f>IF(OR($B179="",$AC179="",$A179="",$F179=""),"",$B179&amp;"|"&amp;$A179&amp;"|"&amp;$F179&amp;"|"&amp;$AC179&amp;"|"&amp;COUNTIFS($B$6:$B179,$B179,$A$6:$A179,$A179,$F$6:$F179,$F179,$AC$6:$AC179,$AC179))</f>
        <v/>
      </c>
      <c r="AG179" s="32">
        <f>IF($C179="","",$C179&amp;"|"&amp;COUNTIFS($C$6:$C179,$C179))</f>
        <v/>
      </c>
      <c r="AH179" s="32">
        <f>IF(OR($C179="",$A179="",$AE179=""),"",$C179&amp;"|"&amp;$A179&amp;"|"&amp;$AE179)</f>
        <v/>
      </c>
      <c r="AI179" s="32">
        <f>IF(OR($C179="",$AE179="",$AE179=1),"",IFERROR(INDEX($AC$6:$AC$1505,MATCH($C179&amp;"|"&amp;$A179&amp;"|"&amp;($AE179-1),$AH$6:$AH$1505,0)),""))</f>
        <v/>
      </c>
      <c r="AJ179" s="32">
        <f>IF(OR($AI179="",$AC179=""),"",IF($AI179=$AC179,"ללא שינוי","מ-"&amp;$AI179&amp;" ל-"&amp;$AC179))</f>
        <v/>
      </c>
      <c r="AK179" s="67" t="n"/>
    </row>
    <row r="180" ht="15.75" customHeight="1" s="58">
      <c r="A180" s="65" t="n"/>
      <c r="B180" s="65" t="n"/>
      <c r="C180" s="66" t="n"/>
      <c r="D180" s="66" t="n"/>
      <c r="E180" s="65" t="n"/>
      <c r="F180" s="65" t="n"/>
      <c r="G180" s="65" t="n"/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/>
      <c r="S180" s="65" t="n"/>
      <c r="T180" s="65" t="n"/>
      <c r="U180" s="65" t="n"/>
      <c r="V180" s="65" t="n"/>
      <c r="W180" s="65" t="n"/>
      <c r="X180" s="65" t="n"/>
      <c r="Y180" s="32">
        <f>IF($C180="","",IF(COUNTA($I180:$K180)&lt;3,"— חסרים נתונים",IF(AND($I180="תקין",$J180="תקין",$K180="תקין"),"רהוטה",IF(AND($I180="תקין",$J180="תקין"),"מדויקת ורציפה","אינה מדויקת או מקוטעת"))))</f>
        <v/>
      </c>
      <c r="Z180" s="32">
        <f>IF($C180="","",IF(COUNTA($U180:$W180)&lt;3,"",IF(AND($U180="מפותח",$V180="מפותח",$W180="מפותחת"),"מפותחת",IF((--($U180="דל"))+(--($V180="אינו מפותח"))+(--($W180="דלה"))&gt;=2,"אינה מפותחת","חלקית"))))</f>
        <v/>
      </c>
      <c r="AA180" s="32">
        <f>IF($C180="","",IF(COUNTA($M180,$N180,$O180)&lt;3,"— חסרים נתונים",IF(OR($M180="נמוכה",(--($M180&lt;&gt;"תקינה"))+(--($N180&lt;&gt;"תקין"))+(--($O180&lt;&gt;"תקינה"))&gt;=2),"ניכרת","אינה ניכרת")))</f>
        <v/>
      </c>
      <c r="AB180" s="32">
        <f>IF(OR($C180="",$Y180="",$AA180="",LEFT($Y180,1)="—",LEFT($AA180,1)="—"),"",IF($Z180="","— נדרשת הערכת כתיבה",IF($L180="","— חסרה הבנת הנקרא",IF($Y180="אינה מדויקת או מקוטעת",IF($AA180="ניכרת","מיקוד בשטף הקריאה ובכישורי שפה","מיקוד בשטף קריאה"),IF($AA180="ניכרת","מיקוד בכישורי שפה",IF(AND($L180="תקינה",$Z180="מפותחת"),"קוראים וכותבים מיומנים","מיקוד בהבנה והבעה"))))))</f>
        <v/>
      </c>
      <c r="AC180" s="32">
        <f>IF(OR($AB180="",LEFT($AB180,1)="—"),"",IF(OR($AB180="מיקוד בשטף קריאה",$AB180="מיקוד בשטף הקריאה ובכישורי שפה"),"רמה א'",IF($AB180="קוראים וכותבים מיומנים","רמה ג'","רמה ב'")))</f>
        <v/>
      </c>
      <c r="AD180" s="32">
        <f>IF($AC180="","",MID(IF(AND($AC180="רמה א'",$AA180="ניכרת"),"; להוסיף עבודת אוצר מילים","")&amp;IF($Z180="אינה מפותחת","; דגש על הבעה בכתב","")&amp;IF($K180&lt;&gt;"תקין","; נדרש לעבוד על ההנגנה","")&amp;IF($AK180&lt;&gt;"","; "&amp;$AK180,""),3,400))</f>
        <v/>
      </c>
      <c r="AE180" s="32">
        <f>IF($F180="","",IF($F180="תחילת שנה",1,IF($F180="מחצית שנה",2,3)))</f>
        <v/>
      </c>
      <c r="AF180" s="32">
        <f>IF(OR($B180="",$AC180="",$A180="",$F180=""),"",$B180&amp;"|"&amp;$A180&amp;"|"&amp;$F180&amp;"|"&amp;$AC180&amp;"|"&amp;COUNTIFS($B$6:$B180,$B180,$A$6:$A180,$A180,$F$6:$F180,$F180,$AC$6:$AC180,$AC180))</f>
        <v/>
      </c>
      <c r="AG180" s="32">
        <f>IF($C180="","",$C180&amp;"|"&amp;COUNTIFS($C$6:$C180,$C180))</f>
        <v/>
      </c>
      <c r="AH180" s="32">
        <f>IF(OR($C180="",$A180="",$AE180=""),"",$C180&amp;"|"&amp;$A180&amp;"|"&amp;$AE180)</f>
        <v/>
      </c>
      <c r="AI180" s="32">
        <f>IF(OR($C180="",$AE180="",$AE180=1),"",IFERROR(INDEX($AC$6:$AC$1505,MATCH($C180&amp;"|"&amp;$A180&amp;"|"&amp;($AE180-1),$AH$6:$AH$1505,0)),""))</f>
        <v/>
      </c>
      <c r="AJ180" s="32">
        <f>IF(OR($AI180="",$AC180=""),"",IF($AI180=$AC180,"ללא שינוי","מ-"&amp;$AI180&amp;" ל-"&amp;$AC180))</f>
        <v/>
      </c>
      <c r="AK180" s="67" t="n"/>
    </row>
    <row r="181" ht="15.75" customHeight="1" s="58">
      <c r="A181" s="65" t="n"/>
      <c r="B181" s="65" t="n"/>
      <c r="C181" s="66" t="n"/>
      <c r="D181" s="66" t="n"/>
      <c r="E181" s="65" t="n"/>
      <c r="F181" s="65" t="n"/>
      <c r="G181" s="65" t="n"/>
      <c r="H181" s="65" t="n"/>
      <c r="I181" s="65" t="n"/>
      <c r="J181" s="65" t="n"/>
      <c r="K181" s="65" t="n"/>
      <c r="L181" s="65" t="n"/>
      <c r="M181" s="65" t="n"/>
      <c r="N181" s="65" t="n"/>
      <c r="O181" s="65" t="n"/>
      <c r="P181" s="65" t="n"/>
      <c r="Q181" s="65" t="n"/>
      <c r="R181" s="65" t="n"/>
      <c r="S181" s="65" t="n"/>
      <c r="T181" s="65" t="n"/>
      <c r="U181" s="65" t="n"/>
      <c r="V181" s="65" t="n"/>
      <c r="W181" s="65" t="n"/>
      <c r="X181" s="65" t="n"/>
      <c r="Y181" s="32">
        <f>IF($C181="","",IF(COUNTA($I181:$K181)&lt;3,"— חסרים נתונים",IF(AND($I181="תקין",$J181="תקין",$K181="תקין"),"רהוטה",IF(AND($I181="תקין",$J181="תקין"),"מדויקת ורציפה","אינה מדויקת או מקוטעת"))))</f>
        <v/>
      </c>
      <c r="Z181" s="32">
        <f>IF($C181="","",IF(COUNTA($U181:$W181)&lt;3,"",IF(AND($U181="מפותח",$V181="מפותח",$W181="מפותחת"),"מפותחת",IF((--($U181="דל"))+(--($V181="אינו מפותח"))+(--($W181="דלה"))&gt;=2,"אינה מפותחת","חלקית"))))</f>
        <v/>
      </c>
      <c r="AA181" s="32">
        <f>IF($C181="","",IF(COUNTA($M181,$N181,$O181)&lt;3,"— חסרים נתונים",IF(OR($M181="נמוכה",(--($M181&lt;&gt;"תקינה"))+(--($N181&lt;&gt;"תקין"))+(--($O181&lt;&gt;"תקינה"))&gt;=2),"ניכרת","אינה ניכרת")))</f>
        <v/>
      </c>
      <c r="AB181" s="32">
        <f>IF(OR($C181="",$Y181="",$AA181="",LEFT($Y181,1)="—",LEFT($AA181,1)="—"),"",IF($Z181="","— נדרשת הערכת כתיבה",IF($L181="","— חסרה הבנת הנקרא",IF($Y181="אינה מדויקת או מקוטעת",IF($AA181="ניכרת","מיקוד בשטף הקריאה ובכישורי שפה","מיקוד בשטף קריאה"),IF($AA181="ניכרת","מיקוד בכישורי שפה",IF(AND($L181="תקינה",$Z181="מפותחת"),"קוראים וכותבים מיומנים","מיקוד בהבנה והבעה"))))))</f>
        <v/>
      </c>
      <c r="AC181" s="32">
        <f>IF(OR($AB181="",LEFT($AB181,1)="—"),"",IF(OR($AB181="מיקוד בשטף קריאה",$AB181="מיקוד בשטף הקריאה ובכישורי שפה"),"רמה א'",IF($AB181="קוראים וכותבים מיומנים","רמה ג'","רמה ב'")))</f>
        <v/>
      </c>
      <c r="AD181" s="32">
        <f>IF($AC181="","",MID(IF(AND($AC181="רמה א'",$AA181="ניכרת"),"; להוסיף עבודת אוצר מילים","")&amp;IF($Z181="אינה מפותחת","; דגש על הבעה בכתב","")&amp;IF($K181&lt;&gt;"תקין","; נדרש לעבוד על ההנגנה","")&amp;IF($AK181&lt;&gt;"","; "&amp;$AK181,""),3,400))</f>
        <v/>
      </c>
      <c r="AE181" s="32">
        <f>IF($F181="","",IF($F181="תחילת שנה",1,IF($F181="מחצית שנה",2,3)))</f>
        <v/>
      </c>
      <c r="AF181" s="32">
        <f>IF(OR($B181="",$AC181="",$A181="",$F181=""),"",$B181&amp;"|"&amp;$A181&amp;"|"&amp;$F181&amp;"|"&amp;$AC181&amp;"|"&amp;COUNTIFS($B$6:$B181,$B181,$A$6:$A181,$A181,$F$6:$F181,$F181,$AC$6:$AC181,$AC181))</f>
        <v/>
      </c>
      <c r="AG181" s="32">
        <f>IF($C181="","",$C181&amp;"|"&amp;COUNTIFS($C$6:$C181,$C181))</f>
        <v/>
      </c>
      <c r="AH181" s="32">
        <f>IF(OR($C181="",$A181="",$AE181=""),"",$C181&amp;"|"&amp;$A181&amp;"|"&amp;$AE181)</f>
        <v/>
      </c>
      <c r="AI181" s="32">
        <f>IF(OR($C181="",$AE181="",$AE181=1),"",IFERROR(INDEX($AC$6:$AC$1505,MATCH($C181&amp;"|"&amp;$A181&amp;"|"&amp;($AE181-1),$AH$6:$AH$1505,0)),""))</f>
        <v/>
      </c>
      <c r="AJ181" s="32">
        <f>IF(OR($AI181="",$AC181=""),"",IF($AI181=$AC181,"ללא שינוי","מ-"&amp;$AI181&amp;" ל-"&amp;$AC181))</f>
        <v/>
      </c>
      <c r="AK181" s="67" t="n"/>
    </row>
    <row r="182" ht="15.75" customHeight="1" s="58">
      <c r="A182" s="65" t="n"/>
      <c r="B182" s="65" t="n"/>
      <c r="C182" s="66" t="n"/>
      <c r="D182" s="66" t="n"/>
      <c r="E182" s="65" t="n"/>
      <c r="F182" s="65" t="n"/>
      <c r="G182" s="65" t="n"/>
      <c r="H182" s="65" t="n"/>
      <c r="I182" s="65" t="n"/>
      <c r="J182" s="65" t="n"/>
      <c r="K182" s="65" t="n"/>
      <c r="L182" s="65" t="n"/>
      <c r="M182" s="65" t="n"/>
      <c r="N182" s="65" t="n"/>
      <c r="O182" s="65" t="n"/>
      <c r="P182" s="65" t="n"/>
      <c r="Q182" s="65" t="n"/>
      <c r="R182" s="65" t="n"/>
      <c r="S182" s="65" t="n"/>
      <c r="T182" s="65" t="n"/>
      <c r="U182" s="65" t="n"/>
      <c r="V182" s="65" t="n"/>
      <c r="W182" s="65" t="n"/>
      <c r="X182" s="65" t="n"/>
      <c r="Y182" s="32">
        <f>IF($C182="","",IF(COUNTA($I182:$K182)&lt;3,"— חסרים נתונים",IF(AND($I182="תקין",$J182="תקין",$K182="תקין"),"רהוטה",IF(AND($I182="תקין",$J182="תקין"),"מדויקת ורציפה","אינה מדויקת או מקוטעת"))))</f>
        <v/>
      </c>
      <c r="Z182" s="32">
        <f>IF($C182="","",IF(COUNTA($U182:$W182)&lt;3,"",IF(AND($U182="מפותח",$V182="מפותח",$W182="מפותחת"),"מפותחת",IF((--($U182="דל"))+(--($V182="אינו מפותח"))+(--($W182="דלה"))&gt;=2,"אינה מפותחת","חלקית"))))</f>
        <v/>
      </c>
      <c r="AA182" s="32">
        <f>IF($C182="","",IF(COUNTA($M182,$N182,$O182)&lt;3,"— חסרים נתונים",IF(OR($M182="נמוכה",(--($M182&lt;&gt;"תקינה"))+(--($N182&lt;&gt;"תקין"))+(--($O182&lt;&gt;"תקינה"))&gt;=2),"ניכרת","אינה ניכרת")))</f>
        <v/>
      </c>
      <c r="AB182" s="32">
        <f>IF(OR($C182="",$Y182="",$AA182="",LEFT($Y182,1)="—",LEFT($AA182,1)="—"),"",IF($Z182="","— נדרשת הערכת כתיבה",IF($L182="","— חסרה הבנת הנקרא",IF($Y182="אינה מדויקת או מקוטעת",IF($AA182="ניכרת","מיקוד בשטף הקריאה ובכישורי שפה","מיקוד בשטף קריאה"),IF($AA182="ניכרת","מיקוד בכישורי שפה",IF(AND($L182="תקינה",$Z182="מפותחת"),"קוראים וכותבים מיומנים","מיקוד בהבנה והבעה"))))))</f>
        <v/>
      </c>
      <c r="AC182" s="32">
        <f>IF(OR($AB182="",LEFT($AB182,1)="—"),"",IF(OR($AB182="מיקוד בשטף קריאה",$AB182="מיקוד בשטף הקריאה ובכישורי שפה"),"רמה א'",IF($AB182="קוראים וכותבים מיומנים","רמה ג'","רמה ב'")))</f>
        <v/>
      </c>
      <c r="AD182" s="32">
        <f>IF($AC182="","",MID(IF(AND($AC182="רמה א'",$AA182="ניכרת"),"; להוסיף עבודת אוצר מילים","")&amp;IF($Z182="אינה מפותחת","; דגש על הבעה בכתב","")&amp;IF($K182&lt;&gt;"תקין","; נדרש לעבוד על ההנגנה","")&amp;IF($AK182&lt;&gt;"","; "&amp;$AK182,""),3,400))</f>
        <v/>
      </c>
      <c r="AE182" s="32">
        <f>IF($F182="","",IF($F182="תחילת שנה",1,IF($F182="מחצית שנה",2,3)))</f>
        <v/>
      </c>
      <c r="AF182" s="32">
        <f>IF(OR($B182="",$AC182="",$A182="",$F182=""),"",$B182&amp;"|"&amp;$A182&amp;"|"&amp;$F182&amp;"|"&amp;$AC182&amp;"|"&amp;COUNTIFS($B$6:$B182,$B182,$A$6:$A182,$A182,$F$6:$F182,$F182,$AC$6:$AC182,$AC182))</f>
        <v/>
      </c>
      <c r="AG182" s="32">
        <f>IF($C182="","",$C182&amp;"|"&amp;COUNTIFS($C$6:$C182,$C182))</f>
        <v/>
      </c>
      <c r="AH182" s="32">
        <f>IF(OR($C182="",$A182="",$AE182=""),"",$C182&amp;"|"&amp;$A182&amp;"|"&amp;$AE182)</f>
        <v/>
      </c>
      <c r="AI182" s="32">
        <f>IF(OR($C182="",$AE182="",$AE182=1),"",IFERROR(INDEX($AC$6:$AC$1505,MATCH($C182&amp;"|"&amp;$A182&amp;"|"&amp;($AE182-1),$AH$6:$AH$1505,0)),""))</f>
        <v/>
      </c>
      <c r="AJ182" s="32">
        <f>IF(OR($AI182="",$AC182=""),"",IF($AI182=$AC182,"ללא שינוי","מ-"&amp;$AI182&amp;" ל-"&amp;$AC182))</f>
        <v/>
      </c>
      <c r="AK182" s="67" t="n"/>
    </row>
    <row r="183" ht="15.75" customHeight="1" s="58">
      <c r="A183" s="65" t="n"/>
      <c r="B183" s="65" t="n"/>
      <c r="C183" s="66" t="n"/>
      <c r="D183" s="66" t="n"/>
      <c r="E183" s="65" t="n"/>
      <c r="F183" s="65" t="n"/>
      <c r="G183" s="65" t="n"/>
      <c r="H183" s="65" t="n"/>
      <c r="I183" s="65" t="n"/>
      <c r="J183" s="65" t="n"/>
      <c r="K183" s="65" t="n"/>
      <c r="L183" s="65" t="n"/>
      <c r="M183" s="65" t="n"/>
      <c r="N183" s="65" t="n"/>
      <c r="O183" s="65" t="n"/>
      <c r="P183" s="65" t="n"/>
      <c r="Q183" s="65" t="n"/>
      <c r="R183" s="65" t="n"/>
      <c r="S183" s="65" t="n"/>
      <c r="T183" s="65" t="n"/>
      <c r="U183" s="65" t="n"/>
      <c r="V183" s="65" t="n"/>
      <c r="W183" s="65" t="n"/>
      <c r="X183" s="65" t="n"/>
      <c r="Y183" s="32">
        <f>IF($C183="","",IF(COUNTA($I183:$K183)&lt;3,"— חסרים נתונים",IF(AND($I183="תקין",$J183="תקין",$K183="תקין"),"רהוטה",IF(AND($I183="תקין",$J183="תקין"),"מדויקת ורציפה","אינה מדויקת או מקוטעת"))))</f>
        <v/>
      </c>
      <c r="Z183" s="32">
        <f>IF($C183="","",IF(COUNTA($U183:$W183)&lt;3,"",IF(AND($U183="מפותח",$V183="מפותח",$W183="מפותחת"),"מפותחת",IF((--($U183="דל"))+(--($V183="אינו מפותח"))+(--($W183="דלה"))&gt;=2,"אינה מפותחת","חלקית"))))</f>
        <v/>
      </c>
      <c r="AA183" s="32">
        <f>IF($C183="","",IF(COUNTA($M183,$N183,$O183)&lt;3,"— חסרים נתונים",IF(OR($M183="נמוכה",(--($M183&lt;&gt;"תקינה"))+(--($N183&lt;&gt;"תקין"))+(--($O183&lt;&gt;"תקינה"))&gt;=2),"ניכרת","אינה ניכרת")))</f>
        <v/>
      </c>
      <c r="AB183" s="32">
        <f>IF(OR($C183="",$Y183="",$AA183="",LEFT($Y183,1)="—",LEFT($AA183,1)="—"),"",IF($Z183="","— נדרשת הערכת כתיבה",IF($L183="","— חסרה הבנת הנקרא",IF($Y183="אינה מדויקת או מקוטעת",IF($AA183="ניכרת","מיקוד בשטף הקריאה ובכישורי שפה","מיקוד בשטף קריאה"),IF($AA183="ניכרת","מיקוד בכישורי שפה",IF(AND($L183="תקינה",$Z183="מפותחת"),"קוראים וכותבים מיומנים","מיקוד בהבנה והבעה"))))))</f>
        <v/>
      </c>
      <c r="AC183" s="32">
        <f>IF(OR($AB183="",LEFT($AB183,1)="—"),"",IF(OR($AB183="מיקוד בשטף קריאה",$AB183="מיקוד בשטף הקריאה ובכישורי שפה"),"רמה א'",IF($AB183="קוראים וכותבים מיומנים","רמה ג'","רמה ב'")))</f>
        <v/>
      </c>
      <c r="AD183" s="32">
        <f>IF($AC183="","",MID(IF(AND($AC183="רמה א'",$AA183="ניכרת"),"; להוסיף עבודת אוצר מילים","")&amp;IF($Z183="אינה מפותחת","; דגש על הבעה בכתב","")&amp;IF($K183&lt;&gt;"תקין","; נדרש לעבוד על ההנגנה","")&amp;IF($AK183&lt;&gt;"","; "&amp;$AK183,""),3,400))</f>
        <v/>
      </c>
      <c r="AE183" s="32">
        <f>IF($F183="","",IF($F183="תחילת שנה",1,IF($F183="מחצית שנה",2,3)))</f>
        <v/>
      </c>
      <c r="AF183" s="32">
        <f>IF(OR($B183="",$AC183="",$A183="",$F183=""),"",$B183&amp;"|"&amp;$A183&amp;"|"&amp;$F183&amp;"|"&amp;$AC183&amp;"|"&amp;COUNTIFS($B$6:$B183,$B183,$A$6:$A183,$A183,$F$6:$F183,$F183,$AC$6:$AC183,$AC183))</f>
        <v/>
      </c>
      <c r="AG183" s="32">
        <f>IF($C183="","",$C183&amp;"|"&amp;COUNTIFS($C$6:$C183,$C183))</f>
        <v/>
      </c>
      <c r="AH183" s="32">
        <f>IF(OR($C183="",$A183="",$AE183=""),"",$C183&amp;"|"&amp;$A183&amp;"|"&amp;$AE183)</f>
        <v/>
      </c>
      <c r="AI183" s="32">
        <f>IF(OR($C183="",$AE183="",$AE183=1),"",IFERROR(INDEX($AC$6:$AC$1505,MATCH($C183&amp;"|"&amp;$A183&amp;"|"&amp;($AE183-1),$AH$6:$AH$1505,0)),""))</f>
        <v/>
      </c>
      <c r="AJ183" s="32">
        <f>IF(OR($AI183="",$AC183=""),"",IF($AI183=$AC183,"ללא שינוי","מ-"&amp;$AI183&amp;" ל-"&amp;$AC183))</f>
        <v/>
      </c>
      <c r="AK183" s="67" t="n"/>
    </row>
    <row r="184" ht="15.75" customHeight="1" s="58">
      <c r="A184" s="65" t="n"/>
      <c r="B184" s="65" t="n"/>
      <c r="C184" s="66" t="n"/>
      <c r="D184" s="66" t="n"/>
      <c r="E184" s="65" t="n"/>
      <c r="F184" s="65" t="n"/>
      <c r="G184" s="65" t="n"/>
      <c r="H184" s="65" t="n"/>
      <c r="I184" s="65" t="n"/>
      <c r="J184" s="65" t="n"/>
      <c r="K184" s="65" t="n"/>
      <c r="L184" s="65" t="n"/>
      <c r="M184" s="65" t="n"/>
      <c r="N184" s="65" t="n"/>
      <c r="O184" s="65" t="n"/>
      <c r="P184" s="65" t="n"/>
      <c r="Q184" s="65" t="n"/>
      <c r="R184" s="65" t="n"/>
      <c r="S184" s="65" t="n"/>
      <c r="T184" s="65" t="n"/>
      <c r="U184" s="65" t="n"/>
      <c r="V184" s="65" t="n"/>
      <c r="W184" s="65" t="n"/>
      <c r="X184" s="65" t="n"/>
      <c r="Y184" s="32">
        <f>IF($C184="","",IF(COUNTA($I184:$K184)&lt;3,"— חסרים נתונים",IF(AND($I184="תקין",$J184="תקין",$K184="תקין"),"רהוטה",IF(AND($I184="תקין",$J184="תקין"),"מדויקת ורציפה","אינה מדויקת או מקוטעת"))))</f>
        <v/>
      </c>
      <c r="Z184" s="32">
        <f>IF($C184="","",IF(COUNTA($U184:$W184)&lt;3,"",IF(AND($U184="מפותח",$V184="מפותח",$W184="מפותחת"),"מפותחת",IF((--($U184="דל"))+(--($V184="אינו מפותח"))+(--($W184="דלה"))&gt;=2,"אינה מפותחת","חלקית"))))</f>
        <v/>
      </c>
      <c r="AA184" s="32">
        <f>IF($C184="","",IF(COUNTA($M184,$N184,$O184)&lt;3,"— חסרים נתונים",IF(OR($M184="נמוכה",(--($M184&lt;&gt;"תקינה"))+(--($N184&lt;&gt;"תקין"))+(--($O184&lt;&gt;"תקינה"))&gt;=2),"ניכרת","אינה ניכרת")))</f>
        <v/>
      </c>
      <c r="AB184" s="32">
        <f>IF(OR($C184="",$Y184="",$AA184="",LEFT($Y184,1)="—",LEFT($AA184,1)="—"),"",IF($Z184="","— נדרשת הערכת כתיבה",IF($L184="","— חסרה הבנת הנקרא",IF($Y184="אינה מדויקת או מקוטעת",IF($AA184="ניכרת","מיקוד בשטף הקריאה ובכישורי שפה","מיקוד בשטף קריאה"),IF($AA184="ניכרת","מיקוד בכישורי שפה",IF(AND($L184="תקינה",$Z184="מפותחת"),"קוראים וכותבים מיומנים","מיקוד בהבנה והבעה"))))))</f>
        <v/>
      </c>
      <c r="AC184" s="32">
        <f>IF(OR($AB184="",LEFT($AB184,1)="—"),"",IF(OR($AB184="מיקוד בשטף קריאה",$AB184="מיקוד בשטף הקריאה ובכישורי שפה"),"רמה א'",IF($AB184="קוראים וכותבים מיומנים","רמה ג'","רמה ב'")))</f>
        <v/>
      </c>
      <c r="AD184" s="32">
        <f>IF($AC184="","",MID(IF(AND($AC184="רמה א'",$AA184="ניכרת"),"; להוסיף עבודת אוצר מילים","")&amp;IF($Z184="אינה מפותחת","; דגש על הבעה בכתב","")&amp;IF($K184&lt;&gt;"תקין","; נדרש לעבוד על ההנגנה","")&amp;IF($AK184&lt;&gt;"","; "&amp;$AK184,""),3,400))</f>
        <v/>
      </c>
      <c r="AE184" s="32">
        <f>IF($F184="","",IF($F184="תחילת שנה",1,IF($F184="מחצית שנה",2,3)))</f>
        <v/>
      </c>
      <c r="AF184" s="32">
        <f>IF(OR($B184="",$AC184="",$A184="",$F184=""),"",$B184&amp;"|"&amp;$A184&amp;"|"&amp;$F184&amp;"|"&amp;$AC184&amp;"|"&amp;COUNTIFS($B$6:$B184,$B184,$A$6:$A184,$A184,$F$6:$F184,$F184,$AC$6:$AC184,$AC184))</f>
        <v/>
      </c>
      <c r="AG184" s="32">
        <f>IF($C184="","",$C184&amp;"|"&amp;COUNTIFS($C$6:$C184,$C184))</f>
        <v/>
      </c>
      <c r="AH184" s="32">
        <f>IF(OR($C184="",$A184="",$AE184=""),"",$C184&amp;"|"&amp;$A184&amp;"|"&amp;$AE184)</f>
        <v/>
      </c>
      <c r="AI184" s="32">
        <f>IF(OR($C184="",$AE184="",$AE184=1),"",IFERROR(INDEX($AC$6:$AC$1505,MATCH($C184&amp;"|"&amp;$A184&amp;"|"&amp;($AE184-1),$AH$6:$AH$1505,0)),""))</f>
        <v/>
      </c>
      <c r="AJ184" s="32">
        <f>IF(OR($AI184="",$AC184=""),"",IF($AI184=$AC184,"ללא שינוי","מ-"&amp;$AI184&amp;" ל-"&amp;$AC184))</f>
        <v/>
      </c>
      <c r="AK184" s="67" t="n"/>
    </row>
    <row r="185" ht="15.75" customHeight="1" s="58">
      <c r="A185" s="65" t="n"/>
      <c r="B185" s="65" t="n"/>
      <c r="C185" s="66" t="n"/>
      <c r="D185" s="66" t="n"/>
      <c r="E185" s="65" t="n"/>
      <c r="F185" s="65" t="n"/>
      <c r="G185" s="65" t="n"/>
      <c r="H185" s="65" t="n"/>
      <c r="I185" s="65" t="n"/>
      <c r="J185" s="65" t="n"/>
      <c r="K185" s="65" t="n"/>
      <c r="L185" s="65" t="n"/>
      <c r="M185" s="65" t="n"/>
      <c r="N185" s="65" t="n"/>
      <c r="O185" s="65" t="n"/>
      <c r="P185" s="65" t="n"/>
      <c r="Q185" s="65" t="n"/>
      <c r="R185" s="65" t="n"/>
      <c r="S185" s="65" t="n"/>
      <c r="T185" s="65" t="n"/>
      <c r="U185" s="65" t="n"/>
      <c r="V185" s="65" t="n"/>
      <c r="W185" s="65" t="n"/>
      <c r="X185" s="65" t="n"/>
      <c r="Y185" s="32">
        <f>IF($C185="","",IF(COUNTA($I185:$K185)&lt;3,"— חסרים נתונים",IF(AND($I185="תקין",$J185="תקין",$K185="תקין"),"רהוטה",IF(AND($I185="תקין",$J185="תקין"),"מדויקת ורציפה","אינה מדויקת או מקוטעת"))))</f>
        <v/>
      </c>
      <c r="Z185" s="32">
        <f>IF($C185="","",IF(COUNTA($U185:$W185)&lt;3,"",IF(AND($U185="מפותח",$V185="מפותח",$W185="מפותחת"),"מפותחת",IF((--($U185="דל"))+(--($V185="אינו מפותח"))+(--($W185="דלה"))&gt;=2,"אינה מפותחת","חלקית"))))</f>
        <v/>
      </c>
      <c r="AA185" s="32">
        <f>IF($C185="","",IF(COUNTA($M185,$N185,$O185)&lt;3,"— חסרים נתונים",IF(OR($M185="נמוכה",(--($M185&lt;&gt;"תקינה"))+(--($N185&lt;&gt;"תקין"))+(--($O185&lt;&gt;"תקינה"))&gt;=2),"ניכרת","אינה ניכרת")))</f>
        <v/>
      </c>
      <c r="AB185" s="32">
        <f>IF(OR($C185="",$Y185="",$AA185="",LEFT($Y185,1)="—",LEFT($AA185,1)="—"),"",IF($Z185="","— נדרשת הערכת כתיבה",IF($L185="","— חסרה הבנת הנקרא",IF($Y185="אינה מדויקת או מקוטעת",IF($AA185="ניכרת","מיקוד בשטף הקריאה ובכישורי שפה","מיקוד בשטף קריאה"),IF($AA185="ניכרת","מיקוד בכישורי שפה",IF(AND($L185="תקינה",$Z185="מפותחת"),"קוראים וכותבים מיומנים","מיקוד בהבנה והבעה"))))))</f>
        <v/>
      </c>
      <c r="AC185" s="32">
        <f>IF(OR($AB185="",LEFT($AB185,1)="—"),"",IF(OR($AB185="מיקוד בשטף קריאה",$AB185="מיקוד בשטף הקריאה ובכישורי שפה"),"רמה א'",IF($AB185="קוראים וכותבים מיומנים","רמה ג'","רמה ב'")))</f>
        <v/>
      </c>
      <c r="AD185" s="32">
        <f>IF($AC185="","",MID(IF(AND($AC185="רמה א'",$AA185="ניכרת"),"; להוסיף עבודת אוצר מילים","")&amp;IF($Z185="אינה מפותחת","; דגש על הבעה בכתב","")&amp;IF($K185&lt;&gt;"תקין","; נדרש לעבוד על ההנגנה","")&amp;IF($AK185&lt;&gt;"","; "&amp;$AK185,""),3,400))</f>
        <v/>
      </c>
      <c r="AE185" s="32">
        <f>IF($F185="","",IF($F185="תחילת שנה",1,IF($F185="מחצית שנה",2,3)))</f>
        <v/>
      </c>
      <c r="AF185" s="32">
        <f>IF(OR($B185="",$AC185="",$A185="",$F185=""),"",$B185&amp;"|"&amp;$A185&amp;"|"&amp;$F185&amp;"|"&amp;$AC185&amp;"|"&amp;COUNTIFS($B$6:$B185,$B185,$A$6:$A185,$A185,$F$6:$F185,$F185,$AC$6:$AC185,$AC185))</f>
        <v/>
      </c>
      <c r="AG185" s="32">
        <f>IF($C185="","",$C185&amp;"|"&amp;COUNTIFS($C$6:$C185,$C185))</f>
        <v/>
      </c>
      <c r="AH185" s="32">
        <f>IF(OR($C185="",$A185="",$AE185=""),"",$C185&amp;"|"&amp;$A185&amp;"|"&amp;$AE185)</f>
        <v/>
      </c>
      <c r="AI185" s="32">
        <f>IF(OR($C185="",$AE185="",$AE185=1),"",IFERROR(INDEX($AC$6:$AC$1505,MATCH($C185&amp;"|"&amp;$A185&amp;"|"&amp;($AE185-1),$AH$6:$AH$1505,0)),""))</f>
        <v/>
      </c>
      <c r="AJ185" s="32">
        <f>IF(OR($AI185="",$AC185=""),"",IF($AI185=$AC185,"ללא שינוי","מ-"&amp;$AI185&amp;" ל-"&amp;$AC185))</f>
        <v/>
      </c>
      <c r="AK185" s="67" t="n"/>
    </row>
    <row r="186" ht="15.75" customHeight="1" s="58">
      <c r="A186" s="65" t="n"/>
      <c r="B186" s="65" t="n"/>
      <c r="C186" s="66" t="n"/>
      <c r="D186" s="66" t="n"/>
      <c r="E186" s="65" t="n"/>
      <c r="F186" s="65" t="n"/>
      <c r="G186" s="65" t="n"/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65" t="n"/>
      <c r="R186" s="65" t="n"/>
      <c r="S186" s="65" t="n"/>
      <c r="T186" s="65" t="n"/>
      <c r="U186" s="65" t="n"/>
      <c r="V186" s="65" t="n"/>
      <c r="W186" s="65" t="n"/>
      <c r="X186" s="65" t="n"/>
      <c r="Y186" s="32">
        <f>IF($C186="","",IF(COUNTA($I186:$K186)&lt;3,"— חסרים נתונים",IF(AND($I186="תקין",$J186="תקין",$K186="תקין"),"רהוטה",IF(AND($I186="תקין",$J186="תקין"),"מדויקת ורציפה","אינה מדויקת או מקוטעת"))))</f>
        <v/>
      </c>
      <c r="Z186" s="32">
        <f>IF($C186="","",IF(COUNTA($U186:$W186)&lt;3,"",IF(AND($U186="מפותח",$V186="מפותח",$W186="מפותחת"),"מפותחת",IF((--($U186="דל"))+(--($V186="אינו מפותח"))+(--($W186="דלה"))&gt;=2,"אינה מפותחת","חלקית"))))</f>
        <v/>
      </c>
      <c r="AA186" s="32">
        <f>IF($C186="","",IF(COUNTA($M186,$N186,$O186)&lt;3,"— חסרים נתונים",IF(OR($M186="נמוכה",(--($M186&lt;&gt;"תקינה"))+(--($N186&lt;&gt;"תקין"))+(--($O186&lt;&gt;"תקינה"))&gt;=2),"ניכרת","אינה ניכרת")))</f>
        <v/>
      </c>
      <c r="AB186" s="32">
        <f>IF(OR($C186="",$Y186="",$AA186="",LEFT($Y186,1)="—",LEFT($AA186,1)="—"),"",IF($Z186="","— נדרשת הערכת כתיבה",IF($L186="","— חסרה הבנת הנקרא",IF($Y186="אינה מדויקת או מקוטעת",IF($AA186="ניכרת","מיקוד בשטף הקריאה ובכישורי שפה","מיקוד בשטף קריאה"),IF($AA186="ניכרת","מיקוד בכישורי שפה",IF(AND($L186="תקינה",$Z186="מפותחת"),"קוראים וכותבים מיומנים","מיקוד בהבנה והבעה"))))))</f>
        <v/>
      </c>
      <c r="AC186" s="32">
        <f>IF(OR($AB186="",LEFT($AB186,1)="—"),"",IF(OR($AB186="מיקוד בשטף קריאה",$AB186="מיקוד בשטף הקריאה ובכישורי שפה"),"רמה א'",IF($AB186="קוראים וכותבים מיומנים","רמה ג'","רמה ב'")))</f>
        <v/>
      </c>
      <c r="AD186" s="32">
        <f>IF($AC186="","",MID(IF(AND($AC186="רמה א'",$AA186="ניכרת"),"; להוסיף עבודת אוצר מילים","")&amp;IF($Z186="אינה מפותחת","; דגש על הבעה בכתב","")&amp;IF($K186&lt;&gt;"תקין","; נדרש לעבוד על ההנגנה","")&amp;IF($AK186&lt;&gt;"","; "&amp;$AK186,""),3,400))</f>
        <v/>
      </c>
      <c r="AE186" s="32">
        <f>IF($F186="","",IF($F186="תחילת שנה",1,IF($F186="מחצית שנה",2,3)))</f>
        <v/>
      </c>
      <c r="AF186" s="32">
        <f>IF(OR($B186="",$AC186="",$A186="",$F186=""),"",$B186&amp;"|"&amp;$A186&amp;"|"&amp;$F186&amp;"|"&amp;$AC186&amp;"|"&amp;COUNTIFS($B$6:$B186,$B186,$A$6:$A186,$A186,$F$6:$F186,$F186,$AC$6:$AC186,$AC186))</f>
        <v/>
      </c>
      <c r="AG186" s="32">
        <f>IF($C186="","",$C186&amp;"|"&amp;COUNTIFS($C$6:$C186,$C186))</f>
        <v/>
      </c>
      <c r="AH186" s="32">
        <f>IF(OR($C186="",$A186="",$AE186=""),"",$C186&amp;"|"&amp;$A186&amp;"|"&amp;$AE186)</f>
        <v/>
      </c>
      <c r="AI186" s="32">
        <f>IF(OR($C186="",$AE186="",$AE186=1),"",IFERROR(INDEX($AC$6:$AC$1505,MATCH($C186&amp;"|"&amp;$A186&amp;"|"&amp;($AE186-1),$AH$6:$AH$1505,0)),""))</f>
        <v/>
      </c>
      <c r="AJ186" s="32">
        <f>IF(OR($AI186="",$AC186=""),"",IF($AI186=$AC186,"ללא שינוי","מ-"&amp;$AI186&amp;" ל-"&amp;$AC186))</f>
        <v/>
      </c>
      <c r="AK186" s="67" t="n"/>
    </row>
    <row r="187" ht="15.75" customHeight="1" s="58">
      <c r="A187" s="65" t="n"/>
      <c r="B187" s="65" t="n"/>
      <c r="C187" s="66" t="n"/>
      <c r="D187" s="66" t="n"/>
      <c r="E187" s="65" t="n"/>
      <c r="F187" s="65" t="n"/>
      <c r="G187" s="65" t="n"/>
      <c r="H187" s="65" t="n"/>
      <c r="I187" s="65" t="n"/>
      <c r="J187" s="65" t="n"/>
      <c r="K187" s="65" t="n"/>
      <c r="L187" s="65" t="n"/>
      <c r="M187" s="65" t="n"/>
      <c r="N187" s="65" t="n"/>
      <c r="O187" s="65" t="n"/>
      <c r="P187" s="65" t="n"/>
      <c r="Q187" s="65" t="n"/>
      <c r="R187" s="65" t="n"/>
      <c r="S187" s="65" t="n"/>
      <c r="T187" s="65" t="n"/>
      <c r="U187" s="65" t="n"/>
      <c r="V187" s="65" t="n"/>
      <c r="W187" s="65" t="n"/>
      <c r="X187" s="65" t="n"/>
      <c r="Y187" s="32">
        <f>IF($C187="","",IF(COUNTA($I187:$K187)&lt;3,"— חסרים נתונים",IF(AND($I187="תקין",$J187="תקין",$K187="תקין"),"רהוטה",IF(AND($I187="תקין",$J187="תקין"),"מדויקת ורציפה","אינה מדויקת או מקוטעת"))))</f>
        <v/>
      </c>
      <c r="Z187" s="32">
        <f>IF($C187="","",IF(COUNTA($U187:$W187)&lt;3,"",IF(AND($U187="מפותח",$V187="מפותח",$W187="מפותחת"),"מפותחת",IF((--($U187="דל"))+(--($V187="אינו מפותח"))+(--($W187="דלה"))&gt;=2,"אינה מפותחת","חלקית"))))</f>
        <v/>
      </c>
      <c r="AA187" s="32">
        <f>IF($C187="","",IF(COUNTA($M187,$N187,$O187)&lt;3,"— חסרים נתונים",IF(OR($M187="נמוכה",(--($M187&lt;&gt;"תקינה"))+(--($N187&lt;&gt;"תקין"))+(--($O187&lt;&gt;"תקינה"))&gt;=2),"ניכרת","אינה ניכרת")))</f>
        <v/>
      </c>
      <c r="AB187" s="32">
        <f>IF(OR($C187="",$Y187="",$AA187="",LEFT($Y187,1)="—",LEFT($AA187,1)="—"),"",IF($Z187="","— נדרשת הערכת כתיבה",IF($L187="","— חסרה הבנת הנקרא",IF($Y187="אינה מדויקת או מקוטעת",IF($AA187="ניכרת","מיקוד בשטף הקריאה ובכישורי שפה","מיקוד בשטף קריאה"),IF($AA187="ניכרת","מיקוד בכישורי שפה",IF(AND($L187="תקינה",$Z187="מפותחת"),"קוראים וכותבים מיומנים","מיקוד בהבנה והבעה"))))))</f>
        <v/>
      </c>
      <c r="AC187" s="32">
        <f>IF(OR($AB187="",LEFT($AB187,1)="—"),"",IF(OR($AB187="מיקוד בשטף קריאה",$AB187="מיקוד בשטף הקריאה ובכישורי שפה"),"רמה א'",IF($AB187="קוראים וכותבים מיומנים","רמה ג'","רמה ב'")))</f>
        <v/>
      </c>
      <c r="AD187" s="32">
        <f>IF($AC187="","",MID(IF(AND($AC187="רמה א'",$AA187="ניכרת"),"; להוסיף עבודת אוצר מילים","")&amp;IF($Z187="אינה מפותחת","; דגש על הבעה בכתב","")&amp;IF($K187&lt;&gt;"תקין","; נדרש לעבוד על ההנגנה","")&amp;IF($AK187&lt;&gt;"","; "&amp;$AK187,""),3,400))</f>
        <v/>
      </c>
      <c r="AE187" s="32">
        <f>IF($F187="","",IF($F187="תחילת שנה",1,IF($F187="מחצית שנה",2,3)))</f>
        <v/>
      </c>
      <c r="AF187" s="32">
        <f>IF(OR($B187="",$AC187="",$A187="",$F187=""),"",$B187&amp;"|"&amp;$A187&amp;"|"&amp;$F187&amp;"|"&amp;$AC187&amp;"|"&amp;COUNTIFS($B$6:$B187,$B187,$A$6:$A187,$A187,$F$6:$F187,$F187,$AC$6:$AC187,$AC187))</f>
        <v/>
      </c>
      <c r="AG187" s="32">
        <f>IF($C187="","",$C187&amp;"|"&amp;COUNTIFS($C$6:$C187,$C187))</f>
        <v/>
      </c>
      <c r="AH187" s="32">
        <f>IF(OR($C187="",$A187="",$AE187=""),"",$C187&amp;"|"&amp;$A187&amp;"|"&amp;$AE187)</f>
        <v/>
      </c>
      <c r="AI187" s="32">
        <f>IF(OR($C187="",$AE187="",$AE187=1),"",IFERROR(INDEX($AC$6:$AC$1505,MATCH($C187&amp;"|"&amp;$A187&amp;"|"&amp;($AE187-1),$AH$6:$AH$1505,0)),""))</f>
        <v/>
      </c>
      <c r="AJ187" s="32">
        <f>IF(OR($AI187="",$AC187=""),"",IF($AI187=$AC187,"ללא שינוי","מ-"&amp;$AI187&amp;" ל-"&amp;$AC187))</f>
        <v/>
      </c>
      <c r="AK187" s="67" t="n"/>
    </row>
    <row r="188" ht="15.75" customHeight="1" s="58">
      <c r="A188" s="65" t="n"/>
      <c r="B188" s="65" t="n"/>
      <c r="C188" s="66" t="n"/>
      <c r="D188" s="66" t="n"/>
      <c r="E188" s="65" t="n"/>
      <c r="F188" s="65" t="n"/>
      <c r="G188" s="65" t="n"/>
      <c r="H188" s="65" t="n"/>
      <c r="I188" s="65" t="n"/>
      <c r="J188" s="65" t="n"/>
      <c r="K188" s="65" t="n"/>
      <c r="L188" s="65" t="n"/>
      <c r="M188" s="65" t="n"/>
      <c r="N188" s="65" t="n"/>
      <c r="O188" s="65" t="n"/>
      <c r="P188" s="65" t="n"/>
      <c r="Q188" s="65" t="n"/>
      <c r="R188" s="65" t="n"/>
      <c r="S188" s="65" t="n"/>
      <c r="T188" s="65" t="n"/>
      <c r="U188" s="65" t="n"/>
      <c r="V188" s="65" t="n"/>
      <c r="W188" s="65" t="n"/>
      <c r="X188" s="65" t="n"/>
      <c r="Y188" s="32">
        <f>IF($C188="","",IF(COUNTA($I188:$K188)&lt;3,"— חסרים נתונים",IF(AND($I188="תקין",$J188="תקין",$K188="תקין"),"רהוטה",IF(AND($I188="תקין",$J188="תקין"),"מדויקת ורציפה","אינה מדויקת או מקוטעת"))))</f>
        <v/>
      </c>
      <c r="Z188" s="32">
        <f>IF($C188="","",IF(COUNTA($U188:$W188)&lt;3,"",IF(AND($U188="מפותח",$V188="מפותח",$W188="מפותחת"),"מפותחת",IF((--($U188="דל"))+(--($V188="אינו מפותח"))+(--($W188="דלה"))&gt;=2,"אינה מפותחת","חלקית"))))</f>
        <v/>
      </c>
      <c r="AA188" s="32">
        <f>IF($C188="","",IF(COUNTA($M188,$N188,$O188)&lt;3,"— חסרים נתונים",IF(OR($M188="נמוכה",(--($M188&lt;&gt;"תקינה"))+(--($N188&lt;&gt;"תקין"))+(--($O188&lt;&gt;"תקינה"))&gt;=2),"ניכרת","אינה ניכרת")))</f>
        <v/>
      </c>
      <c r="AB188" s="32">
        <f>IF(OR($C188="",$Y188="",$AA188="",LEFT($Y188,1)="—",LEFT($AA188,1)="—"),"",IF($Z188="","— נדרשת הערכת כתיבה",IF($L188="","— חסרה הבנת הנקרא",IF($Y188="אינה מדויקת או מקוטעת",IF($AA188="ניכרת","מיקוד בשטף הקריאה ובכישורי שפה","מיקוד בשטף קריאה"),IF($AA188="ניכרת","מיקוד בכישורי שפה",IF(AND($L188="תקינה",$Z188="מפותחת"),"קוראים וכותבים מיומנים","מיקוד בהבנה והבעה"))))))</f>
        <v/>
      </c>
      <c r="AC188" s="32">
        <f>IF(OR($AB188="",LEFT($AB188,1)="—"),"",IF(OR($AB188="מיקוד בשטף קריאה",$AB188="מיקוד בשטף הקריאה ובכישורי שפה"),"רמה א'",IF($AB188="קוראים וכותבים מיומנים","רמה ג'","רמה ב'")))</f>
        <v/>
      </c>
      <c r="AD188" s="32">
        <f>IF($AC188="","",MID(IF(AND($AC188="רמה א'",$AA188="ניכרת"),"; להוסיף עבודת אוצר מילים","")&amp;IF($Z188="אינה מפותחת","; דגש על הבעה בכתב","")&amp;IF($K188&lt;&gt;"תקין","; נדרש לעבוד על ההנגנה","")&amp;IF($AK188&lt;&gt;"","; "&amp;$AK188,""),3,400))</f>
        <v/>
      </c>
      <c r="AE188" s="32">
        <f>IF($F188="","",IF($F188="תחילת שנה",1,IF($F188="מחצית שנה",2,3)))</f>
        <v/>
      </c>
      <c r="AF188" s="32">
        <f>IF(OR($B188="",$AC188="",$A188="",$F188=""),"",$B188&amp;"|"&amp;$A188&amp;"|"&amp;$F188&amp;"|"&amp;$AC188&amp;"|"&amp;COUNTIFS($B$6:$B188,$B188,$A$6:$A188,$A188,$F$6:$F188,$F188,$AC$6:$AC188,$AC188))</f>
        <v/>
      </c>
      <c r="AG188" s="32">
        <f>IF($C188="","",$C188&amp;"|"&amp;COUNTIFS($C$6:$C188,$C188))</f>
        <v/>
      </c>
      <c r="AH188" s="32">
        <f>IF(OR($C188="",$A188="",$AE188=""),"",$C188&amp;"|"&amp;$A188&amp;"|"&amp;$AE188)</f>
        <v/>
      </c>
      <c r="AI188" s="32">
        <f>IF(OR($C188="",$AE188="",$AE188=1),"",IFERROR(INDEX($AC$6:$AC$1505,MATCH($C188&amp;"|"&amp;$A188&amp;"|"&amp;($AE188-1),$AH$6:$AH$1505,0)),""))</f>
        <v/>
      </c>
      <c r="AJ188" s="32">
        <f>IF(OR($AI188="",$AC188=""),"",IF($AI188=$AC188,"ללא שינוי","מ-"&amp;$AI188&amp;" ל-"&amp;$AC188))</f>
        <v/>
      </c>
      <c r="AK188" s="67" t="n"/>
    </row>
    <row r="189" ht="15.75" customHeight="1" s="58">
      <c r="A189" s="65" t="n"/>
      <c r="B189" s="65" t="n"/>
      <c r="C189" s="66" t="n"/>
      <c r="D189" s="66" t="n"/>
      <c r="E189" s="65" t="n"/>
      <c r="F189" s="65" t="n"/>
      <c r="G189" s="65" t="n"/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65" t="n"/>
      <c r="R189" s="65" t="n"/>
      <c r="S189" s="65" t="n"/>
      <c r="T189" s="65" t="n"/>
      <c r="U189" s="65" t="n"/>
      <c r="V189" s="65" t="n"/>
      <c r="W189" s="65" t="n"/>
      <c r="X189" s="65" t="n"/>
      <c r="Y189" s="32">
        <f>IF($C189="","",IF(COUNTA($I189:$K189)&lt;3,"— חסרים נתונים",IF(AND($I189="תקין",$J189="תקין",$K189="תקין"),"רהוטה",IF(AND($I189="תקין",$J189="תקין"),"מדויקת ורציפה","אינה מדויקת או מקוטעת"))))</f>
        <v/>
      </c>
      <c r="Z189" s="32">
        <f>IF($C189="","",IF(COUNTA($U189:$W189)&lt;3,"",IF(AND($U189="מפותח",$V189="מפותח",$W189="מפותחת"),"מפותחת",IF((--($U189="דל"))+(--($V189="אינו מפותח"))+(--($W189="דלה"))&gt;=2,"אינה מפותחת","חלקית"))))</f>
        <v/>
      </c>
      <c r="AA189" s="32">
        <f>IF($C189="","",IF(COUNTA($M189,$N189,$O189)&lt;3,"— חסרים נתונים",IF(OR($M189="נמוכה",(--($M189&lt;&gt;"תקינה"))+(--($N189&lt;&gt;"תקין"))+(--($O189&lt;&gt;"תקינה"))&gt;=2),"ניכרת","אינה ניכרת")))</f>
        <v/>
      </c>
      <c r="AB189" s="32">
        <f>IF(OR($C189="",$Y189="",$AA189="",LEFT($Y189,1)="—",LEFT($AA189,1)="—"),"",IF($Z189="","— נדרשת הערכת כתיבה",IF($L189="","— חסרה הבנת הנקרא",IF($Y189="אינה מדויקת או מקוטעת",IF($AA189="ניכרת","מיקוד בשטף הקריאה ובכישורי שפה","מיקוד בשטף קריאה"),IF($AA189="ניכרת","מיקוד בכישורי שפה",IF(AND($L189="תקינה",$Z189="מפותחת"),"קוראים וכותבים מיומנים","מיקוד בהבנה והבעה"))))))</f>
        <v/>
      </c>
      <c r="AC189" s="32">
        <f>IF(OR($AB189="",LEFT($AB189,1)="—"),"",IF(OR($AB189="מיקוד בשטף קריאה",$AB189="מיקוד בשטף הקריאה ובכישורי שפה"),"רמה א'",IF($AB189="קוראים וכותבים מיומנים","רמה ג'","רמה ב'")))</f>
        <v/>
      </c>
      <c r="AD189" s="32">
        <f>IF($AC189="","",MID(IF(AND($AC189="רמה א'",$AA189="ניכרת"),"; להוסיף עבודת אוצר מילים","")&amp;IF($Z189="אינה מפותחת","; דגש על הבעה בכתב","")&amp;IF($K189&lt;&gt;"תקין","; נדרש לעבוד על ההנגנה","")&amp;IF($AK189&lt;&gt;"","; "&amp;$AK189,""),3,400))</f>
        <v/>
      </c>
      <c r="AE189" s="32">
        <f>IF($F189="","",IF($F189="תחילת שנה",1,IF($F189="מחצית שנה",2,3)))</f>
        <v/>
      </c>
      <c r="AF189" s="32">
        <f>IF(OR($B189="",$AC189="",$A189="",$F189=""),"",$B189&amp;"|"&amp;$A189&amp;"|"&amp;$F189&amp;"|"&amp;$AC189&amp;"|"&amp;COUNTIFS($B$6:$B189,$B189,$A$6:$A189,$A189,$F$6:$F189,$F189,$AC$6:$AC189,$AC189))</f>
        <v/>
      </c>
      <c r="AG189" s="32">
        <f>IF($C189="","",$C189&amp;"|"&amp;COUNTIFS($C$6:$C189,$C189))</f>
        <v/>
      </c>
      <c r="AH189" s="32">
        <f>IF(OR($C189="",$A189="",$AE189=""),"",$C189&amp;"|"&amp;$A189&amp;"|"&amp;$AE189)</f>
        <v/>
      </c>
      <c r="AI189" s="32">
        <f>IF(OR($C189="",$AE189="",$AE189=1),"",IFERROR(INDEX($AC$6:$AC$1505,MATCH($C189&amp;"|"&amp;$A189&amp;"|"&amp;($AE189-1),$AH$6:$AH$1505,0)),""))</f>
        <v/>
      </c>
      <c r="AJ189" s="32">
        <f>IF(OR($AI189="",$AC189=""),"",IF($AI189=$AC189,"ללא שינוי","מ-"&amp;$AI189&amp;" ל-"&amp;$AC189))</f>
        <v/>
      </c>
      <c r="AK189" s="67" t="n"/>
    </row>
    <row r="190" ht="15.75" customHeight="1" s="58">
      <c r="A190" s="65" t="n"/>
      <c r="B190" s="65" t="n"/>
      <c r="C190" s="66" t="n"/>
      <c r="D190" s="66" t="n"/>
      <c r="E190" s="65" t="n"/>
      <c r="F190" s="65" t="n"/>
      <c r="G190" s="65" t="n"/>
      <c r="H190" s="65" t="n"/>
      <c r="I190" s="65" t="n"/>
      <c r="J190" s="65" t="n"/>
      <c r="K190" s="65" t="n"/>
      <c r="L190" s="65" t="n"/>
      <c r="M190" s="65" t="n"/>
      <c r="N190" s="65" t="n"/>
      <c r="O190" s="65" t="n"/>
      <c r="P190" s="65" t="n"/>
      <c r="Q190" s="65" t="n"/>
      <c r="R190" s="65" t="n"/>
      <c r="S190" s="65" t="n"/>
      <c r="T190" s="65" t="n"/>
      <c r="U190" s="65" t="n"/>
      <c r="V190" s="65" t="n"/>
      <c r="W190" s="65" t="n"/>
      <c r="X190" s="65" t="n"/>
      <c r="Y190" s="32">
        <f>IF($C190="","",IF(COUNTA($I190:$K190)&lt;3,"— חסרים נתונים",IF(AND($I190="תקין",$J190="תקין",$K190="תקין"),"רהוטה",IF(AND($I190="תקין",$J190="תקין"),"מדויקת ורציפה","אינה מדויקת או מקוטעת"))))</f>
        <v/>
      </c>
      <c r="Z190" s="32">
        <f>IF($C190="","",IF(COUNTA($U190:$W190)&lt;3,"",IF(AND($U190="מפותח",$V190="מפותח",$W190="מפותחת"),"מפותחת",IF((--($U190="דל"))+(--($V190="אינו מפותח"))+(--($W190="דלה"))&gt;=2,"אינה מפותחת","חלקית"))))</f>
        <v/>
      </c>
      <c r="AA190" s="32">
        <f>IF($C190="","",IF(COUNTA($M190,$N190,$O190)&lt;3,"— חסרים נתונים",IF(OR($M190="נמוכה",(--($M190&lt;&gt;"תקינה"))+(--($N190&lt;&gt;"תקין"))+(--($O190&lt;&gt;"תקינה"))&gt;=2),"ניכרת","אינה ניכרת")))</f>
        <v/>
      </c>
      <c r="AB190" s="32">
        <f>IF(OR($C190="",$Y190="",$AA190="",LEFT($Y190,1)="—",LEFT($AA190,1)="—"),"",IF($Z190="","— נדרשת הערכת כתיבה",IF($L190="","— חסרה הבנת הנקרא",IF($Y190="אינה מדויקת או מקוטעת",IF($AA190="ניכרת","מיקוד בשטף הקריאה ובכישורי שפה","מיקוד בשטף קריאה"),IF($AA190="ניכרת","מיקוד בכישורי שפה",IF(AND($L190="תקינה",$Z190="מפותחת"),"קוראים וכותבים מיומנים","מיקוד בהבנה והבעה"))))))</f>
        <v/>
      </c>
      <c r="AC190" s="32">
        <f>IF(OR($AB190="",LEFT($AB190,1)="—"),"",IF(OR($AB190="מיקוד בשטף קריאה",$AB190="מיקוד בשטף הקריאה ובכישורי שפה"),"רמה א'",IF($AB190="קוראים וכותבים מיומנים","רמה ג'","רמה ב'")))</f>
        <v/>
      </c>
      <c r="AD190" s="32">
        <f>IF($AC190="","",MID(IF(AND($AC190="רמה א'",$AA190="ניכרת"),"; להוסיף עבודת אוצר מילים","")&amp;IF($Z190="אינה מפותחת","; דגש על הבעה בכתב","")&amp;IF($K190&lt;&gt;"תקין","; נדרש לעבוד על ההנגנה","")&amp;IF($AK190&lt;&gt;"","; "&amp;$AK190,""),3,400))</f>
        <v/>
      </c>
      <c r="AE190" s="32">
        <f>IF($F190="","",IF($F190="תחילת שנה",1,IF($F190="מחצית שנה",2,3)))</f>
        <v/>
      </c>
      <c r="AF190" s="32">
        <f>IF(OR($B190="",$AC190="",$A190="",$F190=""),"",$B190&amp;"|"&amp;$A190&amp;"|"&amp;$F190&amp;"|"&amp;$AC190&amp;"|"&amp;COUNTIFS($B$6:$B190,$B190,$A$6:$A190,$A190,$F$6:$F190,$F190,$AC$6:$AC190,$AC190))</f>
        <v/>
      </c>
      <c r="AG190" s="32">
        <f>IF($C190="","",$C190&amp;"|"&amp;COUNTIFS($C$6:$C190,$C190))</f>
        <v/>
      </c>
      <c r="AH190" s="32">
        <f>IF(OR($C190="",$A190="",$AE190=""),"",$C190&amp;"|"&amp;$A190&amp;"|"&amp;$AE190)</f>
        <v/>
      </c>
      <c r="AI190" s="32">
        <f>IF(OR($C190="",$AE190="",$AE190=1),"",IFERROR(INDEX($AC$6:$AC$1505,MATCH($C190&amp;"|"&amp;$A190&amp;"|"&amp;($AE190-1),$AH$6:$AH$1505,0)),""))</f>
        <v/>
      </c>
      <c r="AJ190" s="32">
        <f>IF(OR($AI190="",$AC190=""),"",IF($AI190=$AC190,"ללא שינוי","מ-"&amp;$AI190&amp;" ל-"&amp;$AC190))</f>
        <v/>
      </c>
      <c r="AK190" s="67" t="n"/>
    </row>
    <row r="191" ht="15.75" customHeight="1" s="58">
      <c r="A191" s="65" t="n"/>
      <c r="B191" s="65" t="n"/>
      <c r="C191" s="66" t="n"/>
      <c r="D191" s="66" t="n"/>
      <c r="E191" s="65" t="n"/>
      <c r="F191" s="65" t="n"/>
      <c r="G191" s="65" t="n"/>
      <c r="H191" s="65" t="n"/>
      <c r="I191" s="65" t="n"/>
      <c r="J191" s="65" t="n"/>
      <c r="K191" s="65" t="n"/>
      <c r="L191" s="65" t="n"/>
      <c r="M191" s="65" t="n"/>
      <c r="N191" s="65" t="n"/>
      <c r="O191" s="65" t="n"/>
      <c r="P191" s="65" t="n"/>
      <c r="Q191" s="65" t="n"/>
      <c r="R191" s="65" t="n"/>
      <c r="S191" s="65" t="n"/>
      <c r="T191" s="65" t="n"/>
      <c r="U191" s="65" t="n"/>
      <c r="V191" s="65" t="n"/>
      <c r="W191" s="65" t="n"/>
      <c r="X191" s="65" t="n"/>
      <c r="Y191" s="32">
        <f>IF($C191="","",IF(COUNTA($I191:$K191)&lt;3,"— חסרים נתונים",IF(AND($I191="תקין",$J191="תקין",$K191="תקין"),"רהוטה",IF(AND($I191="תקין",$J191="תקין"),"מדויקת ורציפה","אינה מדויקת או מקוטעת"))))</f>
        <v/>
      </c>
      <c r="Z191" s="32">
        <f>IF($C191="","",IF(COUNTA($U191:$W191)&lt;3,"",IF(AND($U191="מפותח",$V191="מפותח",$W191="מפותחת"),"מפותחת",IF((--($U191="דל"))+(--($V191="אינו מפותח"))+(--($W191="דלה"))&gt;=2,"אינה מפותחת","חלקית"))))</f>
        <v/>
      </c>
      <c r="AA191" s="32">
        <f>IF($C191="","",IF(COUNTA($M191,$N191,$O191)&lt;3,"— חסרים נתונים",IF(OR($M191="נמוכה",(--($M191&lt;&gt;"תקינה"))+(--($N191&lt;&gt;"תקין"))+(--($O191&lt;&gt;"תקינה"))&gt;=2),"ניכרת","אינה ניכרת")))</f>
        <v/>
      </c>
      <c r="AB191" s="32">
        <f>IF(OR($C191="",$Y191="",$AA191="",LEFT($Y191,1)="—",LEFT($AA191,1)="—"),"",IF($Z191="","— נדרשת הערכת כתיבה",IF($L191="","— חסרה הבנת הנקרא",IF($Y191="אינה מדויקת או מקוטעת",IF($AA191="ניכרת","מיקוד בשטף הקריאה ובכישורי שפה","מיקוד בשטף קריאה"),IF($AA191="ניכרת","מיקוד בכישורי שפה",IF(AND($L191="תקינה",$Z191="מפותחת"),"קוראים וכותבים מיומנים","מיקוד בהבנה והבעה"))))))</f>
        <v/>
      </c>
      <c r="AC191" s="32">
        <f>IF(OR($AB191="",LEFT($AB191,1)="—"),"",IF(OR($AB191="מיקוד בשטף קריאה",$AB191="מיקוד בשטף הקריאה ובכישורי שפה"),"רמה א'",IF($AB191="קוראים וכותבים מיומנים","רמה ג'","רמה ב'")))</f>
        <v/>
      </c>
      <c r="AD191" s="32">
        <f>IF($AC191="","",MID(IF(AND($AC191="רמה א'",$AA191="ניכרת"),"; להוסיף עבודת אוצר מילים","")&amp;IF($Z191="אינה מפותחת","; דגש על הבעה בכתב","")&amp;IF($K191&lt;&gt;"תקין","; נדרש לעבוד על ההנגנה","")&amp;IF($AK191&lt;&gt;"","; "&amp;$AK191,""),3,400))</f>
        <v/>
      </c>
      <c r="AE191" s="32">
        <f>IF($F191="","",IF($F191="תחילת שנה",1,IF($F191="מחצית שנה",2,3)))</f>
        <v/>
      </c>
      <c r="AF191" s="32">
        <f>IF(OR($B191="",$AC191="",$A191="",$F191=""),"",$B191&amp;"|"&amp;$A191&amp;"|"&amp;$F191&amp;"|"&amp;$AC191&amp;"|"&amp;COUNTIFS($B$6:$B191,$B191,$A$6:$A191,$A191,$F$6:$F191,$F191,$AC$6:$AC191,$AC191))</f>
        <v/>
      </c>
      <c r="AG191" s="32">
        <f>IF($C191="","",$C191&amp;"|"&amp;COUNTIFS($C$6:$C191,$C191))</f>
        <v/>
      </c>
      <c r="AH191" s="32">
        <f>IF(OR($C191="",$A191="",$AE191=""),"",$C191&amp;"|"&amp;$A191&amp;"|"&amp;$AE191)</f>
        <v/>
      </c>
      <c r="AI191" s="32">
        <f>IF(OR($C191="",$AE191="",$AE191=1),"",IFERROR(INDEX($AC$6:$AC$1505,MATCH($C191&amp;"|"&amp;$A191&amp;"|"&amp;($AE191-1),$AH$6:$AH$1505,0)),""))</f>
        <v/>
      </c>
      <c r="AJ191" s="32">
        <f>IF(OR($AI191="",$AC191=""),"",IF($AI191=$AC191,"ללא שינוי","מ-"&amp;$AI191&amp;" ל-"&amp;$AC191))</f>
        <v/>
      </c>
      <c r="AK191" s="67" t="n"/>
    </row>
    <row r="192" ht="15.75" customHeight="1" s="58">
      <c r="A192" s="65" t="n"/>
      <c r="B192" s="65" t="n"/>
      <c r="C192" s="66" t="n"/>
      <c r="D192" s="66" t="n"/>
      <c r="E192" s="65" t="n"/>
      <c r="F192" s="65" t="n"/>
      <c r="G192" s="65" t="n"/>
      <c r="H192" s="65" t="n"/>
      <c r="I192" s="65" t="n"/>
      <c r="J192" s="65" t="n"/>
      <c r="K192" s="65" t="n"/>
      <c r="L192" s="65" t="n"/>
      <c r="M192" s="65" t="n"/>
      <c r="N192" s="65" t="n"/>
      <c r="O192" s="65" t="n"/>
      <c r="P192" s="65" t="n"/>
      <c r="Q192" s="65" t="n"/>
      <c r="R192" s="65" t="n"/>
      <c r="S192" s="65" t="n"/>
      <c r="T192" s="65" t="n"/>
      <c r="U192" s="65" t="n"/>
      <c r="V192" s="65" t="n"/>
      <c r="W192" s="65" t="n"/>
      <c r="X192" s="65" t="n"/>
      <c r="Y192" s="32">
        <f>IF($C192="","",IF(COUNTA($I192:$K192)&lt;3,"— חסרים נתונים",IF(AND($I192="תקין",$J192="תקין",$K192="תקין"),"רהוטה",IF(AND($I192="תקין",$J192="תקין"),"מדויקת ורציפה","אינה מדויקת או מקוטעת"))))</f>
        <v/>
      </c>
      <c r="Z192" s="32">
        <f>IF($C192="","",IF(COUNTA($U192:$W192)&lt;3,"",IF(AND($U192="מפותח",$V192="מפותח",$W192="מפותחת"),"מפותחת",IF((--($U192="דל"))+(--($V192="אינו מפותח"))+(--($W192="דלה"))&gt;=2,"אינה מפותחת","חלקית"))))</f>
        <v/>
      </c>
      <c r="AA192" s="32">
        <f>IF($C192="","",IF(COUNTA($M192,$N192,$O192)&lt;3,"— חסרים נתונים",IF(OR($M192="נמוכה",(--($M192&lt;&gt;"תקינה"))+(--($N192&lt;&gt;"תקין"))+(--($O192&lt;&gt;"תקינה"))&gt;=2),"ניכרת","אינה ניכרת")))</f>
        <v/>
      </c>
      <c r="AB192" s="32">
        <f>IF(OR($C192="",$Y192="",$AA192="",LEFT($Y192,1)="—",LEFT($AA192,1)="—"),"",IF($Z192="","— נדרשת הערכת כתיבה",IF($L192="","— חסרה הבנת הנקרא",IF($Y192="אינה מדויקת או מקוטעת",IF($AA192="ניכרת","מיקוד בשטף הקריאה ובכישורי שפה","מיקוד בשטף קריאה"),IF($AA192="ניכרת","מיקוד בכישורי שפה",IF(AND($L192="תקינה",$Z192="מפותחת"),"קוראים וכותבים מיומנים","מיקוד בהבנה והבעה"))))))</f>
        <v/>
      </c>
      <c r="AC192" s="32">
        <f>IF(OR($AB192="",LEFT($AB192,1)="—"),"",IF(OR($AB192="מיקוד בשטף קריאה",$AB192="מיקוד בשטף הקריאה ובכישורי שפה"),"רמה א'",IF($AB192="קוראים וכותבים מיומנים","רמה ג'","רמה ב'")))</f>
        <v/>
      </c>
      <c r="AD192" s="32">
        <f>IF($AC192="","",MID(IF(AND($AC192="רמה א'",$AA192="ניכרת"),"; להוסיף עבודת אוצר מילים","")&amp;IF($Z192="אינה מפותחת","; דגש על הבעה בכתב","")&amp;IF($K192&lt;&gt;"תקין","; נדרש לעבוד על ההנגנה","")&amp;IF($AK192&lt;&gt;"","; "&amp;$AK192,""),3,400))</f>
        <v/>
      </c>
      <c r="AE192" s="32">
        <f>IF($F192="","",IF($F192="תחילת שנה",1,IF($F192="מחצית שנה",2,3)))</f>
        <v/>
      </c>
      <c r="AF192" s="32">
        <f>IF(OR($B192="",$AC192="",$A192="",$F192=""),"",$B192&amp;"|"&amp;$A192&amp;"|"&amp;$F192&amp;"|"&amp;$AC192&amp;"|"&amp;COUNTIFS($B$6:$B192,$B192,$A$6:$A192,$A192,$F$6:$F192,$F192,$AC$6:$AC192,$AC192))</f>
        <v/>
      </c>
      <c r="AG192" s="32">
        <f>IF($C192="","",$C192&amp;"|"&amp;COUNTIFS($C$6:$C192,$C192))</f>
        <v/>
      </c>
      <c r="AH192" s="32">
        <f>IF(OR($C192="",$A192="",$AE192=""),"",$C192&amp;"|"&amp;$A192&amp;"|"&amp;$AE192)</f>
        <v/>
      </c>
      <c r="AI192" s="32">
        <f>IF(OR($C192="",$AE192="",$AE192=1),"",IFERROR(INDEX($AC$6:$AC$1505,MATCH($C192&amp;"|"&amp;$A192&amp;"|"&amp;($AE192-1),$AH$6:$AH$1505,0)),""))</f>
        <v/>
      </c>
      <c r="AJ192" s="32">
        <f>IF(OR($AI192="",$AC192=""),"",IF($AI192=$AC192,"ללא שינוי","מ-"&amp;$AI192&amp;" ל-"&amp;$AC192))</f>
        <v/>
      </c>
      <c r="AK192" s="67" t="n"/>
    </row>
    <row r="193" ht="15.75" customHeight="1" s="58">
      <c r="A193" s="65" t="n"/>
      <c r="B193" s="65" t="n"/>
      <c r="C193" s="66" t="n"/>
      <c r="D193" s="66" t="n"/>
      <c r="E193" s="65" t="n"/>
      <c r="F193" s="65" t="n"/>
      <c r="G193" s="65" t="n"/>
      <c r="H193" s="65" t="n"/>
      <c r="I193" s="65" t="n"/>
      <c r="J193" s="65" t="n"/>
      <c r="K193" s="65" t="n"/>
      <c r="L193" s="65" t="n"/>
      <c r="M193" s="65" t="n"/>
      <c r="N193" s="65" t="n"/>
      <c r="O193" s="65" t="n"/>
      <c r="P193" s="65" t="n"/>
      <c r="Q193" s="65" t="n"/>
      <c r="R193" s="65" t="n"/>
      <c r="S193" s="65" t="n"/>
      <c r="T193" s="65" t="n"/>
      <c r="U193" s="65" t="n"/>
      <c r="V193" s="65" t="n"/>
      <c r="W193" s="65" t="n"/>
      <c r="X193" s="65" t="n"/>
      <c r="Y193" s="32">
        <f>IF($C193="","",IF(COUNTA($I193:$K193)&lt;3,"— חסרים נתונים",IF(AND($I193="תקין",$J193="תקין",$K193="תקין"),"רהוטה",IF(AND($I193="תקין",$J193="תקין"),"מדויקת ורציפה","אינה מדויקת או מקוטעת"))))</f>
        <v/>
      </c>
      <c r="Z193" s="32">
        <f>IF($C193="","",IF(COUNTA($U193:$W193)&lt;3,"",IF(AND($U193="מפותח",$V193="מפותח",$W193="מפותחת"),"מפותחת",IF((--($U193="דל"))+(--($V193="אינו מפותח"))+(--($W193="דלה"))&gt;=2,"אינה מפותחת","חלקית"))))</f>
        <v/>
      </c>
      <c r="AA193" s="32">
        <f>IF($C193="","",IF(COUNTA($M193,$N193,$O193)&lt;3,"— חסרים נתונים",IF(OR($M193="נמוכה",(--($M193&lt;&gt;"תקינה"))+(--($N193&lt;&gt;"תקין"))+(--($O193&lt;&gt;"תקינה"))&gt;=2),"ניכרת","אינה ניכרת")))</f>
        <v/>
      </c>
      <c r="AB193" s="32">
        <f>IF(OR($C193="",$Y193="",$AA193="",LEFT($Y193,1)="—",LEFT($AA193,1)="—"),"",IF($Z193="","— נדרשת הערכת כתיבה",IF($L193="","— חסרה הבנת הנקרא",IF($Y193="אינה מדויקת או מקוטעת",IF($AA193="ניכרת","מיקוד בשטף הקריאה ובכישורי שפה","מיקוד בשטף קריאה"),IF($AA193="ניכרת","מיקוד בכישורי שפה",IF(AND($L193="תקינה",$Z193="מפותחת"),"קוראים וכותבים מיומנים","מיקוד בהבנה והבעה"))))))</f>
        <v/>
      </c>
      <c r="AC193" s="32">
        <f>IF(OR($AB193="",LEFT($AB193,1)="—"),"",IF(OR($AB193="מיקוד בשטף קריאה",$AB193="מיקוד בשטף הקריאה ובכישורי שפה"),"רמה א'",IF($AB193="קוראים וכותבים מיומנים","רמה ג'","רמה ב'")))</f>
        <v/>
      </c>
      <c r="AD193" s="32">
        <f>IF($AC193="","",MID(IF(AND($AC193="רמה א'",$AA193="ניכרת"),"; להוסיף עבודת אוצר מילים","")&amp;IF($Z193="אינה מפותחת","; דגש על הבעה בכתב","")&amp;IF($K193&lt;&gt;"תקין","; נדרש לעבוד על ההנגנה","")&amp;IF($AK193&lt;&gt;"","; "&amp;$AK193,""),3,400))</f>
        <v/>
      </c>
      <c r="AE193" s="32">
        <f>IF($F193="","",IF($F193="תחילת שנה",1,IF($F193="מחצית שנה",2,3)))</f>
        <v/>
      </c>
      <c r="AF193" s="32">
        <f>IF(OR($B193="",$AC193="",$A193="",$F193=""),"",$B193&amp;"|"&amp;$A193&amp;"|"&amp;$F193&amp;"|"&amp;$AC193&amp;"|"&amp;COUNTIFS($B$6:$B193,$B193,$A$6:$A193,$A193,$F$6:$F193,$F193,$AC$6:$AC193,$AC193))</f>
        <v/>
      </c>
      <c r="AG193" s="32">
        <f>IF($C193="","",$C193&amp;"|"&amp;COUNTIFS($C$6:$C193,$C193))</f>
        <v/>
      </c>
      <c r="AH193" s="32">
        <f>IF(OR($C193="",$A193="",$AE193=""),"",$C193&amp;"|"&amp;$A193&amp;"|"&amp;$AE193)</f>
        <v/>
      </c>
      <c r="AI193" s="32">
        <f>IF(OR($C193="",$AE193="",$AE193=1),"",IFERROR(INDEX($AC$6:$AC$1505,MATCH($C193&amp;"|"&amp;$A193&amp;"|"&amp;($AE193-1),$AH$6:$AH$1505,0)),""))</f>
        <v/>
      </c>
      <c r="AJ193" s="32">
        <f>IF(OR($AI193="",$AC193=""),"",IF($AI193=$AC193,"ללא שינוי","מ-"&amp;$AI193&amp;" ל-"&amp;$AC193))</f>
        <v/>
      </c>
      <c r="AK193" s="67" t="n"/>
    </row>
    <row r="194" ht="15.75" customHeight="1" s="58">
      <c r="A194" s="65" t="n"/>
      <c r="B194" s="65" t="n"/>
      <c r="C194" s="66" t="n"/>
      <c r="D194" s="66" t="n"/>
      <c r="E194" s="65" t="n"/>
      <c r="F194" s="65" t="n"/>
      <c r="G194" s="65" t="n"/>
      <c r="H194" s="65" t="n"/>
      <c r="I194" s="65" t="n"/>
      <c r="J194" s="65" t="n"/>
      <c r="K194" s="65" t="n"/>
      <c r="L194" s="65" t="n"/>
      <c r="M194" s="65" t="n"/>
      <c r="N194" s="65" t="n"/>
      <c r="O194" s="65" t="n"/>
      <c r="P194" s="65" t="n"/>
      <c r="Q194" s="65" t="n"/>
      <c r="R194" s="65" t="n"/>
      <c r="S194" s="65" t="n"/>
      <c r="T194" s="65" t="n"/>
      <c r="U194" s="65" t="n"/>
      <c r="V194" s="65" t="n"/>
      <c r="W194" s="65" t="n"/>
      <c r="X194" s="65" t="n"/>
      <c r="Y194" s="32">
        <f>IF($C194="","",IF(COUNTA($I194:$K194)&lt;3,"— חסרים נתונים",IF(AND($I194="תקין",$J194="תקין",$K194="תקין"),"רהוטה",IF(AND($I194="תקין",$J194="תקין"),"מדויקת ורציפה","אינה מדויקת או מקוטעת"))))</f>
        <v/>
      </c>
      <c r="Z194" s="32">
        <f>IF($C194="","",IF(COUNTA($U194:$W194)&lt;3,"",IF(AND($U194="מפותח",$V194="מפותח",$W194="מפותחת"),"מפותחת",IF((--($U194="דל"))+(--($V194="אינו מפותח"))+(--($W194="דלה"))&gt;=2,"אינה מפותחת","חלקית"))))</f>
        <v/>
      </c>
      <c r="AA194" s="32">
        <f>IF($C194="","",IF(COUNTA($M194,$N194,$O194)&lt;3,"— חסרים נתונים",IF(OR($M194="נמוכה",(--($M194&lt;&gt;"תקינה"))+(--($N194&lt;&gt;"תקין"))+(--($O194&lt;&gt;"תקינה"))&gt;=2),"ניכרת","אינה ניכרת")))</f>
        <v/>
      </c>
      <c r="AB194" s="32">
        <f>IF(OR($C194="",$Y194="",$AA194="",LEFT($Y194,1)="—",LEFT($AA194,1)="—"),"",IF($Z194="","— נדרשת הערכת כתיבה",IF($L194="","— חסרה הבנת הנקרא",IF($Y194="אינה מדויקת או מקוטעת",IF($AA194="ניכרת","מיקוד בשטף הקריאה ובכישורי שפה","מיקוד בשטף קריאה"),IF($AA194="ניכרת","מיקוד בכישורי שפה",IF(AND($L194="תקינה",$Z194="מפותחת"),"קוראים וכותבים מיומנים","מיקוד בהבנה והבעה"))))))</f>
        <v/>
      </c>
      <c r="AC194" s="32">
        <f>IF(OR($AB194="",LEFT($AB194,1)="—"),"",IF(OR($AB194="מיקוד בשטף קריאה",$AB194="מיקוד בשטף הקריאה ובכישורי שפה"),"רמה א'",IF($AB194="קוראים וכותבים מיומנים","רמה ג'","רמה ב'")))</f>
        <v/>
      </c>
      <c r="AD194" s="32">
        <f>IF($AC194="","",MID(IF(AND($AC194="רמה א'",$AA194="ניכרת"),"; להוסיף עבודת אוצר מילים","")&amp;IF($Z194="אינה מפותחת","; דגש על הבעה בכתב","")&amp;IF($K194&lt;&gt;"תקין","; נדרש לעבוד על ההנגנה","")&amp;IF($AK194&lt;&gt;"","; "&amp;$AK194,""),3,400))</f>
        <v/>
      </c>
      <c r="AE194" s="32">
        <f>IF($F194="","",IF($F194="תחילת שנה",1,IF($F194="מחצית שנה",2,3)))</f>
        <v/>
      </c>
      <c r="AF194" s="32">
        <f>IF(OR($B194="",$AC194="",$A194="",$F194=""),"",$B194&amp;"|"&amp;$A194&amp;"|"&amp;$F194&amp;"|"&amp;$AC194&amp;"|"&amp;COUNTIFS($B$6:$B194,$B194,$A$6:$A194,$A194,$F$6:$F194,$F194,$AC$6:$AC194,$AC194))</f>
        <v/>
      </c>
      <c r="AG194" s="32">
        <f>IF($C194="","",$C194&amp;"|"&amp;COUNTIFS($C$6:$C194,$C194))</f>
        <v/>
      </c>
      <c r="AH194" s="32">
        <f>IF(OR($C194="",$A194="",$AE194=""),"",$C194&amp;"|"&amp;$A194&amp;"|"&amp;$AE194)</f>
        <v/>
      </c>
      <c r="AI194" s="32">
        <f>IF(OR($C194="",$AE194="",$AE194=1),"",IFERROR(INDEX($AC$6:$AC$1505,MATCH($C194&amp;"|"&amp;$A194&amp;"|"&amp;($AE194-1),$AH$6:$AH$1505,0)),""))</f>
        <v/>
      </c>
      <c r="AJ194" s="32">
        <f>IF(OR($AI194="",$AC194=""),"",IF($AI194=$AC194,"ללא שינוי","מ-"&amp;$AI194&amp;" ל-"&amp;$AC194))</f>
        <v/>
      </c>
      <c r="AK194" s="67" t="n"/>
    </row>
    <row r="195" ht="15.75" customHeight="1" s="58">
      <c r="A195" s="65" t="n"/>
      <c r="B195" s="65" t="n"/>
      <c r="C195" s="66" t="n"/>
      <c r="D195" s="66" t="n"/>
      <c r="E195" s="65" t="n"/>
      <c r="F195" s="65" t="n"/>
      <c r="G195" s="65" t="n"/>
      <c r="H195" s="65" t="n"/>
      <c r="I195" s="65" t="n"/>
      <c r="J195" s="65" t="n"/>
      <c r="K195" s="65" t="n"/>
      <c r="L195" s="65" t="n"/>
      <c r="M195" s="65" t="n"/>
      <c r="N195" s="65" t="n"/>
      <c r="O195" s="65" t="n"/>
      <c r="P195" s="65" t="n"/>
      <c r="Q195" s="65" t="n"/>
      <c r="R195" s="65" t="n"/>
      <c r="S195" s="65" t="n"/>
      <c r="T195" s="65" t="n"/>
      <c r="U195" s="65" t="n"/>
      <c r="V195" s="65" t="n"/>
      <c r="W195" s="65" t="n"/>
      <c r="X195" s="65" t="n"/>
      <c r="Y195" s="32">
        <f>IF($C195="","",IF(COUNTA($I195:$K195)&lt;3,"— חסרים נתונים",IF(AND($I195="תקין",$J195="תקין",$K195="תקין"),"רהוטה",IF(AND($I195="תקין",$J195="תקין"),"מדויקת ורציפה","אינה מדויקת או מקוטעת"))))</f>
        <v/>
      </c>
      <c r="Z195" s="32">
        <f>IF($C195="","",IF(COUNTA($U195:$W195)&lt;3,"",IF(AND($U195="מפותח",$V195="מפותח",$W195="מפותחת"),"מפותחת",IF((--($U195="דל"))+(--($V195="אינו מפותח"))+(--($W195="דלה"))&gt;=2,"אינה מפותחת","חלקית"))))</f>
        <v/>
      </c>
      <c r="AA195" s="32">
        <f>IF($C195="","",IF(COUNTA($M195,$N195,$O195)&lt;3,"— חסרים נתונים",IF(OR($M195="נמוכה",(--($M195&lt;&gt;"תקינה"))+(--($N195&lt;&gt;"תקין"))+(--($O195&lt;&gt;"תקינה"))&gt;=2),"ניכרת","אינה ניכרת")))</f>
        <v/>
      </c>
      <c r="AB195" s="32">
        <f>IF(OR($C195="",$Y195="",$AA195="",LEFT($Y195,1)="—",LEFT($AA195,1)="—"),"",IF($Z195="","— נדרשת הערכת כתיבה",IF($L195="","— חסרה הבנת הנקרא",IF($Y195="אינה מדויקת או מקוטעת",IF($AA195="ניכרת","מיקוד בשטף הקריאה ובכישורי שפה","מיקוד בשטף קריאה"),IF($AA195="ניכרת","מיקוד בכישורי שפה",IF(AND($L195="תקינה",$Z195="מפותחת"),"קוראים וכותבים מיומנים","מיקוד בהבנה והבעה"))))))</f>
        <v/>
      </c>
      <c r="AC195" s="32">
        <f>IF(OR($AB195="",LEFT($AB195,1)="—"),"",IF(OR($AB195="מיקוד בשטף קריאה",$AB195="מיקוד בשטף הקריאה ובכישורי שפה"),"רמה א'",IF($AB195="קוראים וכותבים מיומנים","רמה ג'","רמה ב'")))</f>
        <v/>
      </c>
      <c r="AD195" s="32">
        <f>IF($AC195="","",MID(IF(AND($AC195="רמה א'",$AA195="ניכרת"),"; להוסיף עבודת אוצר מילים","")&amp;IF($Z195="אינה מפותחת","; דגש על הבעה בכתב","")&amp;IF($K195&lt;&gt;"תקין","; נדרש לעבוד על ההנגנה","")&amp;IF($AK195&lt;&gt;"","; "&amp;$AK195,""),3,400))</f>
        <v/>
      </c>
      <c r="AE195" s="32">
        <f>IF($F195="","",IF($F195="תחילת שנה",1,IF($F195="מחצית שנה",2,3)))</f>
        <v/>
      </c>
      <c r="AF195" s="32">
        <f>IF(OR($B195="",$AC195="",$A195="",$F195=""),"",$B195&amp;"|"&amp;$A195&amp;"|"&amp;$F195&amp;"|"&amp;$AC195&amp;"|"&amp;COUNTIFS($B$6:$B195,$B195,$A$6:$A195,$A195,$F$6:$F195,$F195,$AC$6:$AC195,$AC195))</f>
        <v/>
      </c>
      <c r="AG195" s="32">
        <f>IF($C195="","",$C195&amp;"|"&amp;COUNTIFS($C$6:$C195,$C195))</f>
        <v/>
      </c>
      <c r="AH195" s="32">
        <f>IF(OR($C195="",$A195="",$AE195=""),"",$C195&amp;"|"&amp;$A195&amp;"|"&amp;$AE195)</f>
        <v/>
      </c>
      <c r="AI195" s="32">
        <f>IF(OR($C195="",$AE195="",$AE195=1),"",IFERROR(INDEX($AC$6:$AC$1505,MATCH($C195&amp;"|"&amp;$A195&amp;"|"&amp;($AE195-1),$AH$6:$AH$1505,0)),""))</f>
        <v/>
      </c>
      <c r="AJ195" s="32">
        <f>IF(OR($AI195="",$AC195=""),"",IF($AI195=$AC195,"ללא שינוי","מ-"&amp;$AI195&amp;" ל-"&amp;$AC195))</f>
        <v/>
      </c>
      <c r="AK195" s="67" t="n"/>
    </row>
    <row r="196" ht="15.75" customHeight="1" s="58">
      <c r="A196" s="65" t="n"/>
      <c r="B196" s="65" t="n"/>
      <c r="C196" s="66" t="n"/>
      <c r="D196" s="66" t="n"/>
      <c r="E196" s="65" t="n"/>
      <c r="F196" s="65" t="n"/>
      <c r="G196" s="65" t="n"/>
      <c r="H196" s="65" t="n"/>
      <c r="I196" s="65" t="n"/>
      <c r="J196" s="65" t="n"/>
      <c r="K196" s="65" t="n"/>
      <c r="L196" s="65" t="n"/>
      <c r="M196" s="65" t="n"/>
      <c r="N196" s="65" t="n"/>
      <c r="O196" s="65" t="n"/>
      <c r="P196" s="65" t="n"/>
      <c r="Q196" s="65" t="n"/>
      <c r="R196" s="65" t="n"/>
      <c r="S196" s="65" t="n"/>
      <c r="T196" s="65" t="n"/>
      <c r="U196" s="65" t="n"/>
      <c r="V196" s="65" t="n"/>
      <c r="W196" s="65" t="n"/>
      <c r="X196" s="65" t="n"/>
      <c r="Y196" s="32">
        <f>IF($C196="","",IF(COUNTA($I196:$K196)&lt;3,"— חסרים נתונים",IF(AND($I196="תקין",$J196="תקין",$K196="תקין"),"רהוטה",IF(AND($I196="תקין",$J196="תקין"),"מדויקת ורציפה","אינה מדויקת או מקוטעת"))))</f>
        <v/>
      </c>
      <c r="Z196" s="32">
        <f>IF($C196="","",IF(COUNTA($U196:$W196)&lt;3,"",IF(AND($U196="מפותח",$V196="מפותח",$W196="מפותחת"),"מפותחת",IF((--($U196="דל"))+(--($V196="אינו מפותח"))+(--($W196="דלה"))&gt;=2,"אינה מפותחת","חלקית"))))</f>
        <v/>
      </c>
      <c r="AA196" s="32">
        <f>IF($C196="","",IF(COUNTA($M196,$N196,$O196)&lt;3,"— חסרים נתונים",IF(OR($M196="נמוכה",(--($M196&lt;&gt;"תקינה"))+(--($N196&lt;&gt;"תקין"))+(--($O196&lt;&gt;"תקינה"))&gt;=2),"ניכרת","אינה ניכרת")))</f>
        <v/>
      </c>
      <c r="AB196" s="32">
        <f>IF(OR($C196="",$Y196="",$AA196="",LEFT($Y196,1)="—",LEFT($AA196,1)="—"),"",IF($Z196="","— נדרשת הערכת כתיבה",IF($L196="","— חסרה הבנת הנקרא",IF($Y196="אינה מדויקת או מקוטעת",IF($AA196="ניכרת","מיקוד בשטף הקריאה ובכישורי שפה","מיקוד בשטף קריאה"),IF($AA196="ניכרת","מיקוד בכישורי שפה",IF(AND($L196="תקינה",$Z196="מפותחת"),"קוראים וכותבים מיומנים","מיקוד בהבנה והבעה"))))))</f>
        <v/>
      </c>
      <c r="AC196" s="32">
        <f>IF(OR($AB196="",LEFT($AB196,1)="—"),"",IF(OR($AB196="מיקוד בשטף קריאה",$AB196="מיקוד בשטף הקריאה ובכישורי שפה"),"רמה א'",IF($AB196="קוראים וכותבים מיומנים","רמה ג'","רמה ב'")))</f>
        <v/>
      </c>
      <c r="AD196" s="32">
        <f>IF($AC196="","",MID(IF(AND($AC196="רמה א'",$AA196="ניכרת"),"; להוסיף עבודת אוצר מילים","")&amp;IF($Z196="אינה מפותחת","; דגש על הבעה בכתב","")&amp;IF($K196&lt;&gt;"תקין","; נדרש לעבוד על ההנגנה","")&amp;IF($AK196&lt;&gt;"","; "&amp;$AK196,""),3,400))</f>
        <v/>
      </c>
      <c r="AE196" s="32">
        <f>IF($F196="","",IF($F196="תחילת שנה",1,IF($F196="מחצית שנה",2,3)))</f>
        <v/>
      </c>
      <c r="AF196" s="32">
        <f>IF(OR($B196="",$AC196="",$A196="",$F196=""),"",$B196&amp;"|"&amp;$A196&amp;"|"&amp;$F196&amp;"|"&amp;$AC196&amp;"|"&amp;COUNTIFS($B$6:$B196,$B196,$A$6:$A196,$A196,$F$6:$F196,$F196,$AC$6:$AC196,$AC196))</f>
        <v/>
      </c>
      <c r="AG196" s="32">
        <f>IF($C196="","",$C196&amp;"|"&amp;COUNTIFS($C$6:$C196,$C196))</f>
        <v/>
      </c>
      <c r="AH196" s="32">
        <f>IF(OR($C196="",$A196="",$AE196=""),"",$C196&amp;"|"&amp;$A196&amp;"|"&amp;$AE196)</f>
        <v/>
      </c>
      <c r="AI196" s="32">
        <f>IF(OR($C196="",$AE196="",$AE196=1),"",IFERROR(INDEX($AC$6:$AC$1505,MATCH($C196&amp;"|"&amp;$A196&amp;"|"&amp;($AE196-1),$AH$6:$AH$1505,0)),""))</f>
        <v/>
      </c>
      <c r="AJ196" s="32">
        <f>IF(OR($AI196="",$AC196=""),"",IF($AI196=$AC196,"ללא שינוי","מ-"&amp;$AI196&amp;" ל-"&amp;$AC196))</f>
        <v/>
      </c>
      <c r="AK196" s="67" t="n"/>
    </row>
    <row r="197" ht="15.75" customHeight="1" s="58">
      <c r="A197" s="65" t="n"/>
      <c r="B197" s="65" t="n"/>
      <c r="C197" s="66" t="n"/>
      <c r="D197" s="66" t="n"/>
      <c r="E197" s="65" t="n"/>
      <c r="F197" s="65" t="n"/>
      <c r="G197" s="65" t="n"/>
      <c r="H197" s="65" t="n"/>
      <c r="I197" s="65" t="n"/>
      <c r="J197" s="65" t="n"/>
      <c r="K197" s="65" t="n"/>
      <c r="L197" s="65" t="n"/>
      <c r="M197" s="65" t="n"/>
      <c r="N197" s="65" t="n"/>
      <c r="O197" s="65" t="n"/>
      <c r="P197" s="65" t="n"/>
      <c r="Q197" s="65" t="n"/>
      <c r="R197" s="65" t="n"/>
      <c r="S197" s="65" t="n"/>
      <c r="T197" s="65" t="n"/>
      <c r="U197" s="65" t="n"/>
      <c r="V197" s="65" t="n"/>
      <c r="W197" s="65" t="n"/>
      <c r="X197" s="65" t="n"/>
      <c r="Y197" s="32">
        <f>IF($C197="","",IF(COUNTA($I197:$K197)&lt;3,"— חסרים נתונים",IF(AND($I197="תקין",$J197="תקין",$K197="תקין"),"רהוטה",IF(AND($I197="תקין",$J197="תקין"),"מדויקת ורציפה","אינה מדויקת או מקוטעת"))))</f>
        <v/>
      </c>
      <c r="Z197" s="32">
        <f>IF($C197="","",IF(COUNTA($U197:$W197)&lt;3,"",IF(AND($U197="מפותח",$V197="מפותח",$W197="מפותחת"),"מפותחת",IF((--($U197="דל"))+(--($V197="אינו מפותח"))+(--($W197="דלה"))&gt;=2,"אינה מפותחת","חלקית"))))</f>
        <v/>
      </c>
      <c r="AA197" s="32">
        <f>IF($C197="","",IF(COUNTA($M197,$N197,$O197)&lt;3,"— חסרים נתונים",IF(OR($M197="נמוכה",(--($M197&lt;&gt;"תקינה"))+(--($N197&lt;&gt;"תקין"))+(--($O197&lt;&gt;"תקינה"))&gt;=2),"ניכרת","אינה ניכרת")))</f>
        <v/>
      </c>
      <c r="AB197" s="32">
        <f>IF(OR($C197="",$Y197="",$AA197="",LEFT($Y197,1)="—",LEFT($AA197,1)="—"),"",IF($Z197="","— נדרשת הערכת כתיבה",IF($L197="","— חסרה הבנת הנקרא",IF($Y197="אינה מדויקת או מקוטעת",IF($AA197="ניכרת","מיקוד בשטף הקריאה ובכישורי שפה","מיקוד בשטף קריאה"),IF($AA197="ניכרת","מיקוד בכישורי שפה",IF(AND($L197="תקינה",$Z197="מפותחת"),"קוראים וכותבים מיומנים","מיקוד בהבנה והבעה"))))))</f>
        <v/>
      </c>
      <c r="AC197" s="32">
        <f>IF(OR($AB197="",LEFT($AB197,1)="—"),"",IF(OR($AB197="מיקוד בשטף קריאה",$AB197="מיקוד בשטף הקריאה ובכישורי שפה"),"רמה א'",IF($AB197="קוראים וכותבים מיומנים","רמה ג'","רמה ב'")))</f>
        <v/>
      </c>
      <c r="AD197" s="32">
        <f>IF($AC197="","",MID(IF(AND($AC197="רמה א'",$AA197="ניכרת"),"; להוסיף עבודת אוצר מילים","")&amp;IF($Z197="אינה מפותחת","; דגש על הבעה בכתב","")&amp;IF($K197&lt;&gt;"תקין","; נדרש לעבוד על ההנגנה","")&amp;IF($AK197&lt;&gt;"","; "&amp;$AK197,""),3,400))</f>
        <v/>
      </c>
      <c r="AE197" s="32">
        <f>IF($F197="","",IF($F197="תחילת שנה",1,IF($F197="מחצית שנה",2,3)))</f>
        <v/>
      </c>
      <c r="AF197" s="32">
        <f>IF(OR($B197="",$AC197="",$A197="",$F197=""),"",$B197&amp;"|"&amp;$A197&amp;"|"&amp;$F197&amp;"|"&amp;$AC197&amp;"|"&amp;COUNTIFS($B$6:$B197,$B197,$A$6:$A197,$A197,$F$6:$F197,$F197,$AC$6:$AC197,$AC197))</f>
        <v/>
      </c>
      <c r="AG197" s="32">
        <f>IF($C197="","",$C197&amp;"|"&amp;COUNTIFS($C$6:$C197,$C197))</f>
        <v/>
      </c>
      <c r="AH197" s="32">
        <f>IF(OR($C197="",$A197="",$AE197=""),"",$C197&amp;"|"&amp;$A197&amp;"|"&amp;$AE197)</f>
        <v/>
      </c>
      <c r="AI197" s="32">
        <f>IF(OR($C197="",$AE197="",$AE197=1),"",IFERROR(INDEX($AC$6:$AC$1505,MATCH($C197&amp;"|"&amp;$A197&amp;"|"&amp;($AE197-1),$AH$6:$AH$1505,0)),""))</f>
        <v/>
      </c>
      <c r="AJ197" s="32">
        <f>IF(OR($AI197="",$AC197=""),"",IF($AI197=$AC197,"ללא שינוי","מ-"&amp;$AI197&amp;" ל-"&amp;$AC197))</f>
        <v/>
      </c>
      <c r="AK197" s="67" t="n"/>
    </row>
    <row r="198" ht="15.75" customHeight="1" s="58">
      <c r="A198" s="65" t="n"/>
      <c r="B198" s="65" t="n"/>
      <c r="C198" s="66" t="n"/>
      <c r="D198" s="66" t="n"/>
      <c r="E198" s="65" t="n"/>
      <c r="F198" s="65" t="n"/>
      <c r="G198" s="65" t="n"/>
      <c r="H198" s="65" t="n"/>
      <c r="I198" s="65" t="n"/>
      <c r="J198" s="65" t="n"/>
      <c r="K198" s="65" t="n"/>
      <c r="L198" s="65" t="n"/>
      <c r="M198" s="65" t="n"/>
      <c r="N198" s="65" t="n"/>
      <c r="O198" s="65" t="n"/>
      <c r="P198" s="65" t="n"/>
      <c r="Q198" s="65" t="n"/>
      <c r="R198" s="65" t="n"/>
      <c r="S198" s="65" t="n"/>
      <c r="T198" s="65" t="n"/>
      <c r="U198" s="65" t="n"/>
      <c r="V198" s="65" t="n"/>
      <c r="W198" s="65" t="n"/>
      <c r="X198" s="65" t="n"/>
      <c r="Y198" s="32">
        <f>IF($C198="","",IF(COUNTA($I198:$K198)&lt;3,"— חסרים נתונים",IF(AND($I198="תקין",$J198="תקין",$K198="תקין"),"רהוטה",IF(AND($I198="תקין",$J198="תקין"),"מדויקת ורציפה","אינה מדויקת או מקוטעת"))))</f>
        <v/>
      </c>
      <c r="Z198" s="32">
        <f>IF($C198="","",IF(COUNTA($U198:$W198)&lt;3,"",IF(AND($U198="מפותח",$V198="מפותח",$W198="מפותחת"),"מפותחת",IF((--($U198="דל"))+(--($V198="אינו מפותח"))+(--($W198="דלה"))&gt;=2,"אינה מפותחת","חלקית"))))</f>
        <v/>
      </c>
      <c r="AA198" s="32">
        <f>IF($C198="","",IF(COUNTA($M198,$N198,$O198)&lt;3,"— חסרים נתונים",IF(OR($M198="נמוכה",(--($M198&lt;&gt;"תקינה"))+(--($N198&lt;&gt;"תקין"))+(--($O198&lt;&gt;"תקינה"))&gt;=2),"ניכרת","אינה ניכרת")))</f>
        <v/>
      </c>
      <c r="AB198" s="32">
        <f>IF(OR($C198="",$Y198="",$AA198="",LEFT($Y198,1)="—",LEFT($AA198,1)="—"),"",IF($Z198="","— נדרשת הערכת כתיבה",IF($L198="","— חסרה הבנת הנקרא",IF($Y198="אינה מדויקת או מקוטעת",IF($AA198="ניכרת","מיקוד בשטף הקריאה ובכישורי שפה","מיקוד בשטף קריאה"),IF($AA198="ניכרת","מיקוד בכישורי שפה",IF(AND($L198="תקינה",$Z198="מפותחת"),"קוראים וכותבים מיומנים","מיקוד בהבנה והבעה"))))))</f>
        <v/>
      </c>
      <c r="AC198" s="32">
        <f>IF(OR($AB198="",LEFT($AB198,1)="—"),"",IF(OR($AB198="מיקוד בשטף קריאה",$AB198="מיקוד בשטף הקריאה ובכישורי שפה"),"רמה א'",IF($AB198="קוראים וכותבים מיומנים","רמה ג'","רמה ב'")))</f>
        <v/>
      </c>
      <c r="AD198" s="32">
        <f>IF($AC198="","",MID(IF(AND($AC198="רמה א'",$AA198="ניכרת"),"; להוסיף עבודת אוצר מילים","")&amp;IF($Z198="אינה מפותחת","; דגש על הבעה בכתב","")&amp;IF($K198&lt;&gt;"תקין","; נדרש לעבוד על ההנגנה","")&amp;IF($AK198&lt;&gt;"","; "&amp;$AK198,""),3,400))</f>
        <v/>
      </c>
      <c r="AE198" s="32">
        <f>IF($F198="","",IF($F198="תחילת שנה",1,IF($F198="מחצית שנה",2,3)))</f>
        <v/>
      </c>
      <c r="AF198" s="32">
        <f>IF(OR($B198="",$AC198="",$A198="",$F198=""),"",$B198&amp;"|"&amp;$A198&amp;"|"&amp;$F198&amp;"|"&amp;$AC198&amp;"|"&amp;COUNTIFS($B$6:$B198,$B198,$A$6:$A198,$A198,$F$6:$F198,$F198,$AC$6:$AC198,$AC198))</f>
        <v/>
      </c>
      <c r="AG198" s="32">
        <f>IF($C198="","",$C198&amp;"|"&amp;COUNTIFS($C$6:$C198,$C198))</f>
        <v/>
      </c>
      <c r="AH198" s="32">
        <f>IF(OR($C198="",$A198="",$AE198=""),"",$C198&amp;"|"&amp;$A198&amp;"|"&amp;$AE198)</f>
        <v/>
      </c>
      <c r="AI198" s="32">
        <f>IF(OR($C198="",$AE198="",$AE198=1),"",IFERROR(INDEX($AC$6:$AC$1505,MATCH($C198&amp;"|"&amp;$A198&amp;"|"&amp;($AE198-1),$AH$6:$AH$1505,0)),""))</f>
        <v/>
      </c>
      <c r="AJ198" s="32">
        <f>IF(OR($AI198="",$AC198=""),"",IF($AI198=$AC198,"ללא שינוי","מ-"&amp;$AI198&amp;" ל-"&amp;$AC198))</f>
        <v/>
      </c>
      <c r="AK198" s="67" t="n"/>
    </row>
    <row r="199" ht="15.75" customHeight="1" s="58">
      <c r="A199" s="65" t="n"/>
      <c r="B199" s="65" t="n"/>
      <c r="C199" s="66" t="n"/>
      <c r="D199" s="66" t="n"/>
      <c r="E199" s="65" t="n"/>
      <c r="F199" s="65" t="n"/>
      <c r="G199" s="65" t="n"/>
      <c r="H199" s="65" t="n"/>
      <c r="I199" s="65" t="n"/>
      <c r="J199" s="65" t="n"/>
      <c r="K199" s="65" t="n"/>
      <c r="L199" s="65" t="n"/>
      <c r="M199" s="65" t="n"/>
      <c r="N199" s="65" t="n"/>
      <c r="O199" s="65" t="n"/>
      <c r="P199" s="65" t="n"/>
      <c r="Q199" s="65" t="n"/>
      <c r="R199" s="65" t="n"/>
      <c r="S199" s="65" t="n"/>
      <c r="T199" s="65" t="n"/>
      <c r="U199" s="65" t="n"/>
      <c r="V199" s="65" t="n"/>
      <c r="W199" s="65" t="n"/>
      <c r="X199" s="65" t="n"/>
      <c r="Y199" s="32">
        <f>IF($C199="","",IF(COUNTA($I199:$K199)&lt;3,"— חסרים נתונים",IF(AND($I199="תקין",$J199="תקין",$K199="תקין"),"רהוטה",IF(AND($I199="תקין",$J199="תקין"),"מדויקת ורציפה","אינה מדויקת או מקוטעת"))))</f>
        <v/>
      </c>
      <c r="Z199" s="32">
        <f>IF($C199="","",IF(COUNTA($U199:$W199)&lt;3,"",IF(AND($U199="מפותח",$V199="מפותח",$W199="מפותחת"),"מפותחת",IF((--($U199="דל"))+(--($V199="אינו מפותח"))+(--($W199="דלה"))&gt;=2,"אינה מפותחת","חלקית"))))</f>
        <v/>
      </c>
      <c r="AA199" s="32">
        <f>IF($C199="","",IF(COUNTA($M199,$N199,$O199)&lt;3,"— חסרים נתונים",IF(OR($M199="נמוכה",(--($M199&lt;&gt;"תקינה"))+(--($N199&lt;&gt;"תקין"))+(--($O199&lt;&gt;"תקינה"))&gt;=2),"ניכרת","אינה ניכרת")))</f>
        <v/>
      </c>
      <c r="AB199" s="32">
        <f>IF(OR($C199="",$Y199="",$AA199="",LEFT($Y199,1)="—",LEFT($AA199,1)="—"),"",IF($Z199="","— נדרשת הערכת כתיבה",IF($L199="","— חסרה הבנת הנקרא",IF($Y199="אינה מדויקת או מקוטעת",IF($AA199="ניכרת","מיקוד בשטף הקריאה ובכישורי שפה","מיקוד בשטף קריאה"),IF($AA199="ניכרת","מיקוד בכישורי שפה",IF(AND($L199="תקינה",$Z199="מפותחת"),"קוראים וכותבים מיומנים","מיקוד בהבנה והבעה"))))))</f>
        <v/>
      </c>
      <c r="AC199" s="32">
        <f>IF(OR($AB199="",LEFT($AB199,1)="—"),"",IF(OR($AB199="מיקוד בשטף קריאה",$AB199="מיקוד בשטף הקריאה ובכישורי שפה"),"רמה א'",IF($AB199="קוראים וכותבים מיומנים","רמה ג'","רמה ב'")))</f>
        <v/>
      </c>
      <c r="AD199" s="32">
        <f>IF($AC199="","",MID(IF(AND($AC199="רמה א'",$AA199="ניכרת"),"; להוסיף עבודת אוצר מילים","")&amp;IF($Z199="אינה מפותחת","; דגש על הבעה בכתב","")&amp;IF($K199&lt;&gt;"תקין","; נדרש לעבוד על ההנגנה","")&amp;IF($AK199&lt;&gt;"","; "&amp;$AK199,""),3,400))</f>
        <v/>
      </c>
      <c r="AE199" s="32">
        <f>IF($F199="","",IF($F199="תחילת שנה",1,IF($F199="מחצית שנה",2,3)))</f>
        <v/>
      </c>
      <c r="AF199" s="32">
        <f>IF(OR($B199="",$AC199="",$A199="",$F199=""),"",$B199&amp;"|"&amp;$A199&amp;"|"&amp;$F199&amp;"|"&amp;$AC199&amp;"|"&amp;COUNTIFS($B$6:$B199,$B199,$A$6:$A199,$A199,$F$6:$F199,$F199,$AC$6:$AC199,$AC199))</f>
        <v/>
      </c>
      <c r="AG199" s="32">
        <f>IF($C199="","",$C199&amp;"|"&amp;COUNTIFS($C$6:$C199,$C199))</f>
        <v/>
      </c>
      <c r="AH199" s="32">
        <f>IF(OR($C199="",$A199="",$AE199=""),"",$C199&amp;"|"&amp;$A199&amp;"|"&amp;$AE199)</f>
        <v/>
      </c>
      <c r="AI199" s="32">
        <f>IF(OR($C199="",$AE199="",$AE199=1),"",IFERROR(INDEX($AC$6:$AC$1505,MATCH($C199&amp;"|"&amp;$A199&amp;"|"&amp;($AE199-1),$AH$6:$AH$1505,0)),""))</f>
        <v/>
      </c>
      <c r="AJ199" s="32">
        <f>IF(OR($AI199="",$AC199=""),"",IF($AI199=$AC199,"ללא שינוי","מ-"&amp;$AI199&amp;" ל-"&amp;$AC199))</f>
        <v/>
      </c>
      <c r="AK199" s="67" t="n"/>
    </row>
    <row r="200" ht="15.75" customHeight="1" s="58">
      <c r="A200" s="65" t="n"/>
      <c r="B200" s="65" t="n"/>
      <c r="C200" s="66" t="n"/>
      <c r="D200" s="66" t="n"/>
      <c r="E200" s="65" t="n"/>
      <c r="F200" s="65" t="n"/>
      <c r="G200" s="65" t="n"/>
      <c r="H200" s="65" t="n"/>
      <c r="I200" s="65" t="n"/>
      <c r="J200" s="65" t="n"/>
      <c r="K200" s="65" t="n"/>
      <c r="L200" s="65" t="n"/>
      <c r="M200" s="65" t="n"/>
      <c r="N200" s="65" t="n"/>
      <c r="O200" s="65" t="n"/>
      <c r="P200" s="65" t="n"/>
      <c r="Q200" s="65" t="n"/>
      <c r="R200" s="65" t="n"/>
      <c r="S200" s="65" t="n"/>
      <c r="T200" s="65" t="n"/>
      <c r="U200" s="65" t="n"/>
      <c r="V200" s="65" t="n"/>
      <c r="W200" s="65" t="n"/>
      <c r="X200" s="65" t="n"/>
      <c r="Y200" s="32">
        <f>IF($C200="","",IF(COUNTA($I200:$K200)&lt;3,"— חסרים נתונים",IF(AND($I200="תקין",$J200="תקין",$K200="תקין"),"רהוטה",IF(AND($I200="תקין",$J200="תקין"),"מדויקת ורציפה","אינה מדויקת או מקוטעת"))))</f>
        <v/>
      </c>
      <c r="Z200" s="32">
        <f>IF($C200="","",IF(COUNTA($U200:$W200)&lt;3,"",IF(AND($U200="מפותח",$V200="מפותח",$W200="מפותחת"),"מפותחת",IF((--($U200="דל"))+(--($V200="אינו מפותח"))+(--($W200="דלה"))&gt;=2,"אינה מפותחת","חלקית"))))</f>
        <v/>
      </c>
      <c r="AA200" s="32">
        <f>IF($C200="","",IF(COUNTA($M200,$N200,$O200)&lt;3,"— חסרים נתונים",IF(OR($M200="נמוכה",(--($M200&lt;&gt;"תקינה"))+(--($N200&lt;&gt;"תקין"))+(--($O200&lt;&gt;"תקינה"))&gt;=2),"ניכרת","אינה ניכרת")))</f>
        <v/>
      </c>
      <c r="AB200" s="32">
        <f>IF(OR($C200="",$Y200="",$AA200="",LEFT($Y200,1)="—",LEFT($AA200,1)="—"),"",IF($Z200="","— נדרשת הערכת כתיבה",IF($L200="","— חסרה הבנת הנקרא",IF($Y200="אינה מדויקת או מקוטעת",IF($AA200="ניכרת","מיקוד בשטף הקריאה ובכישורי שפה","מיקוד בשטף קריאה"),IF($AA200="ניכרת","מיקוד בכישורי שפה",IF(AND($L200="תקינה",$Z200="מפותחת"),"קוראים וכותבים מיומנים","מיקוד בהבנה והבעה"))))))</f>
        <v/>
      </c>
      <c r="AC200" s="32">
        <f>IF(OR($AB200="",LEFT($AB200,1)="—"),"",IF(OR($AB200="מיקוד בשטף קריאה",$AB200="מיקוד בשטף הקריאה ובכישורי שפה"),"רמה א'",IF($AB200="קוראים וכותבים מיומנים","רמה ג'","רמה ב'")))</f>
        <v/>
      </c>
      <c r="AD200" s="32">
        <f>IF($AC200="","",MID(IF(AND($AC200="רמה א'",$AA200="ניכרת"),"; להוסיף עבודת אוצר מילים","")&amp;IF($Z200="אינה מפותחת","; דגש על הבעה בכתב","")&amp;IF($K200&lt;&gt;"תקין","; נדרש לעבוד על ההנגנה","")&amp;IF($AK200&lt;&gt;"","; "&amp;$AK200,""),3,400))</f>
        <v/>
      </c>
      <c r="AE200" s="32">
        <f>IF($F200="","",IF($F200="תחילת שנה",1,IF($F200="מחצית שנה",2,3)))</f>
        <v/>
      </c>
      <c r="AF200" s="32">
        <f>IF(OR($B200="",$AC200="",$A200="",$F200=""),"",$B200&amp;"|"&amp;$A200&amp;"|"&amp;$F200&amp;"|"&amp;$AC200&amp;"|"&amp;COUNTIFS($B$6:$B200,$B200,$A$6:$A200,$A200,$F$6:$F200,$F200,$AC$6:$AC200,$AC200))</f>
        <v/>
      </c>
      <c r="AG200" s="32">
        <f>IF($C200="","",$C200&amp;"|"&amp;COUNTIFS($C$6:$C200,$C200))</f>
        <v/>
      </c>
      <c r="AH200" s="32">
        <f>IF(OR($C200="",$A200="",$AE200=""),"",$C200&amp;"|"&amp;$A200&amp;"|"&amp;$AE200)</f>
        <v/>
      </c>
      <c r="AI200" s="32">
        <f>IF(OR($C200="",$AE200="",$AE200=1),"",IFERROR(INDEX($AC$6:$AC$1505,MATCH($C200&amp;"|"&amp;$A200&amp;"|"&amp;($AE200-1),$AH$6:$AH$1505,0)),""))</f>
        <v/>
      </c>
      <c r="AJ200" s="32">
        <f>IF(OR($AI200="",$AC200=""),"",IF($AI200=$AC200,"ללא שינוי","מ-"&amp;$AI200&amp;" ל-"&amp;$AC200))</f>
        <v/>
      </c>
      <c r="AK200" s="67" t="n"/>
    </row>
    <row r="201" ht="15.75" customHeight="1" s="58">
      <c r="A201" s="65" t="n"/>
      <c r="B201" s="65" t="n"/>
      <c r="C201" s="66" t="n"/>
      <c r="D201" s="66" t="n"/>
      <c r="E201" s="65" t="n"/>
      <c r="F201" s="65" t="n"/>
      <c r="G201" s="65" t="n"/>
      <c r="H201" s="65" t="n"/>
      <c r="I201" s="65" t="n"/>
      <c r="J201" s="65" t="n"/>
      <c r="K201" s="65" t="n"/>
      <c r="L201" s="65" t="n"/>
      <c r="M201" s="65" t="n"/>
      <c r="N201" s="65" t="n"/>
      <c r="O201" s="65" t="n"/>
      <c r="P201" s="65" t="n"/>
      <c r="Q201" s="65" t="n"/>
      <c r="R201" s="65" t="n"/>
      <c r="S201" s="65" t="n"/>
      <c r="T201" s="65" t="n"/>
      <c r="U201" s="65" t="n"/>
      <c r="V201" s="65" t="n"/>
      <c r="W201" s="65" t="n"/>
      <c r="X201" s="65" t="n"/>
      <c r="Y201" s="32">
        <f>IF($C201="","",IF(COUNTA($I201:$K201)&lt;3,"— חסרים נתונים",IF(AND($I201="תקין",$J201="תקין",$K201="תקין"),"רהוטה",IF(AND($I201="תקין",$J201="תקין"),"מדויקת ורציפה","אינה מדויקת או מקוטעת"))))</f>
        <v/>
      </c>
      <c r="Z201" s="32">
        <f>IF($C201="","",IF(COUNTA($U201:$W201)&lt;3,"",IF(AND($U201="מפותח",$V201="מפותח",$W201="מפותחת"),"מפותחת",IF((--($U201="דל"))+(--($V201="אינו מפותח"))+(--($W201="דלה"))&gt;=2,"אינה מפותחת","חלקית"))))</f>
        <v/>
      </c>
      <c r="AA201" s="32">
        <f>IF($C201="","",IF(COUNTA($M201,$N201,$O201)&lt;3,"— חסרים נתונים",IF(OR($M201="נמוכה",(--($M201&lt;&gt;"תקינה"))+(--($N201&lt;&gt;"תקין"))+(--($O201&lt;&gt;"תקינה"))&gt;=2),"ניכרת","אינה ניכרת")))</f>
        <v/>
      </c>
      <c r="AB201" s="32">
        <f>IF(OR($C201="",$Y201="",$AA201="",LEFT($Y201,1)="—",LEFT($AA201,1)="—"),"",IF($Z201="","— נדרשת הערכת כתיבה",IF($L201="","— חסרה הבנת הנקרא",IF($Y201="אינה מדויקת או מקוטעת",IF($AA201="ניכרת","מיקוד בשטף הקריאה ובכישורי שפה","מיקוד בשטף קריאה"),IF($AA201="ניכרת","מיקוד בכישורי שפה",IF(AND($L201="תקינה",$Z201="מפותחת"),"קוראים וכותבים מיומנים","מיקוד בהבנה והבעה"))))))</f>
        <v/>
      </c>
      <c r="AC201" s="32">
        <f>IF(OR($AB201="",LEFT($AB201,1)="—"),"",IF(OR($AB201="מיקוד בשטף קריאה",$AB201="מיקוד בשטף הקריאה ובכישורי שפה"),"רמה א'",IF($AB201="קוראים וכותבים מיומנים","רמה ג'","רמה ב'")))</f>
        <v/>
      </c>
      <c r="AD201" s="32">
        <f>IF($AC201="","",MID(IF(AND($AC201="רמה א'",$AA201="ניכרת"),"; להוסיף עבודת אוצר מילים","")&amp;IF($Z201="אינה מפותחת","; דגש על הבעה בכתב","")&amp;IF($K201&lt;&gt;"תקין","; נדרש לעבוד על ההנגנה","")&amp;IF($AK201&lt;&gt;"","; "&amp;$AK201,""),3,400))</f>
        <v/>
      </c>
      <c r="AE201" s="32">
        <f>IF($F201="","",IF($F201="תחילת שנה",1,IF($F201="מחצית שנה",2,3)))</f>
        <v/>
      </c>
      <c r="AF201" s="32">
        <f>IF(OR($B201="",$AC201="",$A201="",$F201=""),"",$B201&amp;"|"&amp;$A201&amp;"|"&amp;$F201&amp;"|"&amp;$AC201&amp;"|"&amp;COUNTIFS($B$6:$B201,$B201,$A$6:$A201,$A201,$F$6:$F201,$F201,$AC$6:$AC201,$AC201))</f>
        <v/>
      </c>
      <c r="AG201" s="32">
        <f>IF($C201="","",$C201&amp;"|"&amp;COUNTIFS($C$6:$C201,$C201))</f>
        <v/>
      </c>
      <c r="AH201" s="32">
        <f>IF(OR($C201="",$A201="",$AE201=""),"",$C201&amp;"|"&amp;$A201&amp;"|"&amp;$AE201)</f>
        <v/>
      </c>
      <c r="AI201" s="32">
        <f>IF(OR($C201="",$AE201="",$AE201=1),"",IFERROR(INDEX($AC$6:$AC$1505,MATCH($C201&amp;"|"&amp;$A201&amp;"|"&amp;($AE201-1),$AH$6:$AH$1505,0)),""))</f>
        <v/>
      </c>
      <c r="AJ201" s="32">
        <f>IF(OR($AI201="",$AC201=""),"",IF($AI201=$AC201,"ללא שינוי","מ-"&amp;$AI201&amp;" ל-"&amp;$AC201))</f>
        <v/>
      </c>
      <c r="AK201" s="67" t="n"/>
    </row>
    <row r="202" ht="15.75" customHeight="1" s="58">
      <c r="A202" s="65" t="n"/>
      <c r="B202" s="65" t="n"/>
      <c r="C202" s="66" t="n"/>
      <c r="D202" s="66" t="n"/>
      <c r="E202" s="65" t="n"/>
      <c r="F202" s="65" t="n"/>
      <c r="G202" s="65" t="n"/>
      <c r="H202" s="65" t="n"/>
      <c r="I202" s="65" t="n"/>
      <c r="J202" s="65" t="n"/>
      <c r="K202" s="65" t="n"/>
      <c r="L202" s="65" t="n"/>
      <c r="M202" s="65" t="n"/>
      <c r="N202" s="65" t="n"/>
      <c r="O202" s="65" t="n"/>
      <c r="P202" s="65" t="n"/>
      <c r="Q202" s="65" t="n"/>
      <c r="R202" s="65" t="n"/>
      <c r="S202" s="65" t="n"/>
      <c r="T202" s="65" t="n"/>
      <c r="U202" s="65" t="n"/>
      <c r="V202" s="65" t="n"/>
      <c r="W202" s="65" t="n"/>
      <c r="X202" s="65" t="n"/>
      <c r="Y202" s="32">
        <f>IF($C202="","",IF(COUNTA($I202:$K202)&lt;3,"— חסרים נתונים",IF(AND($I202="תקין",$J202="תקין",$K202="תקין"),"רהוטה",IF(AND($I202="תקין",$J202="תקין"),"מדויקת ורציפה","אינה מדויקת או מקוטעת"))))</f>
        <v/>
      </c>
      <c r="Z202" s="32">
        <f>IF($C202="","",IF(COUNTA($U202:$W202)&lt;3,"",IF(AND($U202="מפותח",$V202="מפותח",$W202="מפותחת"),"מפותחת",IF((--($U202="דל"))+(--($V202="אינו מפותח"))+(--($W202="דלה"))&gt;=2,"אינה מפותחת","חלקית"))))</f>
        <v/>
      </c>
      <c r="AA202" s="32">
        <f>IF($C202="","",IF(COUNTA($M202,$N202,$O202)&lt;3,"— חסרים נתונים",IF(OR($M202="נמוכה",(--($M202&lt;&gt;"תקינה"))+(--($N202&lt;&gt;"תקין"))+(--($O202&lt;&gt;"תקינה"))&gt;=2),"ניכרת","אינה ניכרת")))</f>
        <v/>
      </c>
      <c r="AB202" s="32">
        <f>IF(OR($C202="",$Y202="",$AA202="",LEFT($Y202,1)="—",LEFT($AA202,1)="—"),"",IF($Z202="","— נדרשת הערכת כתיבה",IF($L202="","— חסרה הבנת הנקרא",IF($Y202="אינה מדויקת או מקוטעת",IF($AA202="ניכרת","מיקוד בשטף הקריאה ובכישורי שפה","מיקוד בשטף קריאה"),IF($AA202="ניכרת","מיקוד בכישורי שפה",IF(AND($L202="תקינה",$Z202="מפותחת"),"קוראים וכותבים מיומנים","מיקוד בהבנה והבעה"))))))</f>
        <v/>
      </c>
      <c r="AC202" s="32">
        <f>IF(OR($AB202="",LEFT($AB202,1)="—"),"",IF(OR($AB202="מיקוד בשטף קריאה",$AB202="מיקוד בשטף הקריאה ובכישורי שפה"),"רמה א'",IF($AB202="קוראים וכותבים מיומנים","רמה ג'","רמה ב'")))</f>
        <v/>
      </c>
      <c r="AD202" s="32">
        <f>IF($AC202="","",MID(IF(AND($AC202="רמה א'",$AA202="ניכרת"),"; להוסיף עבודת אוצר מילים","")&amp;IF($Z202="אינה מפותחת","; דגש על הבעה בכתב","")&amp;IF($K202&lt;&gt;"תקין","; נדרש לעבוד על ההנגנה","")&amp;IF($AK202&lt;&gt;"","; "&amp;$AK202,""),3,400))</f>
        <v/>
      </c>
      <c r="AE202" s="32">
        <f>IF($F202="","",IF($F202="תחילת שנה",1,IF($F202="מחצית שנה",2,3)))</f>
        <v/>
      </c>
      <c r="AF202" s="32">
        <f>IF(OR($B202="",$AC202="",$A202="",$F202=""),"",$B202&amp;"|"&amp;$A202&amp;"|"&amp;$F202&amp;"|"&amp;$AC202&amp;"|"&amp;COUNTIFS($B$6:$B202,$B202,$A$6:$A202,$A202,$F$6:$F202,$F202,$AC$6:$AC202,$AC202))</f>
        <v/>
      </c>
      <c r="AG202" s="32">
        <f>IF($C202="","",$C202&amp;"|"&amp;COUNTIFS($C$6:$C202,$C202))</f>
        <v/>
      </c>
      <c r="AH202" s="32">
        <f>IF(OR($C202="",$A202="",$AE202=""),"",$C202&amp;"|"&amp;$A202&amp;"|"&amp;$AE202)</f>
        <v/>
      </c>
      <c r="AI202" s="32">
        <f>IF(OR($C202="",$AE202="",$AE202=1),"",IFERROR(INDEX($AC$6:$AC$1505,MATCH($C202&amp;"|"&amp;$A202&amp;"|"&amp;($AE202-1),$AH$6:$AH$1505,0)),""))</f>
        <v/>
      </c>
      <c r="AJ202" s="32">
        <f>IF(OR($AI202="",$AC202=""),"",IF($AI202=$AC202,"ללא שינוי","מ-"&amp;$AI202&amp;" ל-"&amp;$AC202))</f>
        <v/>
      </c>
      <c r="AK202" s="67" t="n"/>
    </row>
    <row r="203" ht="15.75" customHeight="1" s="58">
      <c r="A203" s="65" t="n"/>
      <c r="B203" s="65" t="n"/>
      <c r="C203" s="66" t="n"/>
      <c r="D203" s="66" t="n"/>
      <c r="E203" s="65" t="n"/>
      <c r="F203" s="65" t="n"/>
      <c r="G203" s="65" t="n"/>
      <c r="H203" s="65" t="n"/>
      <c r="I203" s="65" t="n"/>
      <c r="J203" s="65" t="n"/>
      <c r="K203" s="65" t="n"/>
      <c r="L203" s="65" t="n"/>
      <c r="M203" s="65" t="n"/>
      <c r="N203" s="65" t="n"/>
      <c r="O203" s="65" t="n"/>
      <c r="P203" s="65" t="n"/>
      <c r="Q203" s="65" t="n"/>
      <c r="R203" s="65" t="n"/>
      <c r="S203" s="65" t="n"/>
      <c r="T203" s="65" t="n"/>
      <c r="U203" s="65" t="n"/>
      <c r="V203" s="65" t="n"/>
      <c r="W203" s="65" t="n"/>
      <c r="X203" s="65" t="n"/>
      <c r="Y203" s="32">
        <f>IF($C203="","",IF(COUNTA($I203:$K203)&lt;3,"— חסרים נתונים",IF(AND($I203="תקין",$J203="תקין",$K203="תקין"),"רהוטה",IF(AND($I203="תקין",$J203="תקין"),"מדויקת ורציפה","אינה מדויקת או מקוטעת"))))</f>
        <v/>
      </c>
      <c r="Z203" s="32">
        <f>IF($C203="","",IF(COUNTA($U203:$W203)&lt;3,"",IF(AND($U203="מפותח",$V203="מפותח",$W203="מפותחת"),"מפותחת",IF((--($U203="דל"))+(--($V203="אינו מפותח"))+(--($W203="דלה"))&gt;=2,"אינה מפותחת","חלקית"))))</f>
        <v/>
      </c>
      <c r="AA203" s="32">
        <f>IF($C203="","",IF(COUNTA($M203,$N203,$O203)&lt;3,"— חסרים נתונים",IF(OR($M203="נמוכה",(--($M203&lt;&gt;"תקינה"))+(--($N203&lt;&gt;"תקין"))+(--($O203&lt;&gt;"תקינה"))&gt;=2),"ניכרת","אינה ניכרת")))</f>
        <v/>
      </c>
      <c r="AB203" s="32">
        <f>IF(OR($C203="",$Y203="",$AA203="",LEFT($Y203,1)="—",LEFT($AA203,1)="—"),"",IF($Z203="","— נדרשת הערכת כתיבה",IF($L203="","— חסרה הבנת הנקרא",IF($Y203="אינה מדויקת או מקוטעת",IF($AA203="ניכרת","מיקוד בשטף הקריאה ובכישורי שפה","מיקוד בשטף קריאה"),IF($AA203="ניכרת","מיקוד בכישורי שפה",IF(AND($L203="תקינה",$Z203="מפותחת"),"קוראים וכותבים מיומנים","מיקוד בהבנה והבעה"))))))</f>
        <v/>
      </c>
      <c r="AC203" s="32">
        <f>IF(OR($AB203="",LEFT($AB203,1)="—"),"",IF(OR($AB203="מיקוד בשטף קריאה",$AB203="מיקוד בשטף הקריאה ובכישורי שפה"),"רמה א'",IF($AB203="קוראים וכותבים מיומנים","רמה ג'","רמה ב'")))</f>
        <v/>
      </c>
      <c r="AD203" s="32">
        <f>IF($AC203="","",MID(IF(AND($AC203="רמה א'",$AA203="ניכרת"),"; להוסיף עבודת אוצר מילים","")&amp;IF($Z203="אינה מפותחת","; דגש על הבעה בכתב","")&amp;IF($K203&lt;&gt;"תקין","; נדרש לעבוד על ההנגנה","")&amp;IF($AK203&lt;&gt;"","; "&amp;$AK203,""),3,400))</f>
        <v/>
      </c>
      <c r="AE203" s="32">
        <f>IF($F203="","",IF($F203="תחילת שנה",1,IF($F203="מחצית שנה",2,3)))</f>
        <v/>
      </c>
      <c r="AF203" s="32">
        <f>IF(OR($B203="",$AC203="",$A203="",$F203=""),"",$B203&amp;"|"&amp;$A203&amp;"|"&amp;$F203&amp;"|"&amp;$AC203&amp;"|"&amp;COUNTIFS($B$6:$B203,$B203,$A$6:$A203,$A203,$F$6:$F203,$F203,$AC$6:$AC203,$AC203))</f>
        <v/>
      </c>
      <c r="AG203" s="32">
        <f>IF($C203="","",$C203&amp;"|"&amp;COUNTIFS($C$6:$C203,$C203))</f>
        <v/>
      </c>
      <c r="AH203" s="32">
        <f>IF(OR($C203="",$A203="",$AE203=""),"",$C203&amp;"|"&amp;$A203&amp;"|"&amp;$AE203)</f>
        <v/>
      </c>
      <c r="AI203" s="32">
        <f>IF(OR($C203="",$AE203="",$AE203=1),"",IFERROR(INDEX($AC$6:$AC$1505,MATCH($C203&amp;"|"&amp;$A203&amp;"|"&amp;($AE203-1),$AH$6:$AH$1505,0)),""))</f>
        <v/>
      </c>
      <c r="AJ203" s="32">
        <f>IF(OR($AI203="",$AC203=""),"",IF($AI203=$AC203,"ללא שינוי","מ-"&amp;$AI203&amp;" ל-"&amp;$AC203))</f>
        <v/>
      </c>
      <c r="AK203" s="67" t="n"/>
    </row>
    <row r="204" ht="15.75" customHeight="1" s="58">
      <c r="A204" s="65" t="n"/>
      <c r="B204" s="65" t="n"/>
      <c r="C204" s="66" t="n"/>
      <c r="D204" s="66" t="n"/>
      <c r="E204" s="65" t="n"/>
      <c r="F204" s="65" t="n"/>
      <c r="G204" s="65" t="n"/>
      <c r="H204" s="65" t="n"/>
      <c r="I204" s="65" t="n"/>
      <c r="J204" s="65" t="n"/>
      <c r="K204" s="65" t="n"/>
      <c r="L204" s="65" t="n"/>
      <c r="M204" s="65" t="n"/>
      <c r="N204" s="65" t="n"/>
      <c r="O204" s="65" t="n"/>
      <c r="P204" s="65" t="n"/>
      <c r="Q204" s="65" t="n"/>
      <c r="R204" s="65" t="n"/>
      <c r="S204" s="65" t="n"/>
      <c r="T204" s="65" t="n"/>
      <c r="U204" s="65" t="n"/>
      <c r="V204" s="65" t="n"/>
      <c r="W204" s="65" t="n"/>
      <c r="X204" s="65" t="n"/>
      <c r="Y204" s="32">
        <f>IF($C204="","",IF(COUNTA($I204:$K204)&lt;3,"— חסרים נתונים",IF(AND($I204="תקין",$J204="תקין",$K204="תקין"),"רהוטה",IF(AND($I204="תקין",$J204="תקין"),"מדויקת ורציפה","אינה מדויקת או מקוטעת"))))</f>
        <v/>
      </c>
      <c r="Z204" s="32">
        <f>IF($C204="","",IF(COUNTA($U204:$W204)&lt;3,"",IF(AND($U204="מפותח",$V204="מפותח",$W204="מפותחת"),"מפותחת",IF((--($U204="דל"))+(--($V204="אינו מפותח"))+(--($W204="דלה"))&gt;=2,"אינה מפותחת","חלקית"))))</f>
        <v/>
      </c>
      <c r="AA204" s="32">
        <f>IF($C204="","",IF(COUNTA($M204,$N204,$O204)&lt;3,"— חסרים נתונים",IF(OR($M204="נמוכה",(--($M204&lt;&gt;"תקינה"))+(--($N204&lt;&gt;"תקין"))+(--($O204&lt;&gt;"תקינה"))&gt;=2),"ניכרת","אינה ניכרת")))</f>
        <v/>
      </c>
      <c r="AB204" s="32">
        <f>IF(OR($C204="",$Y204="",$AA204="",LEFT($Y204,1)="—",LEFT($AA204,1)="—"),"",IF($Z204="","— נדרשת הערכת כתיבה",IF($L204="","— חסרה הבנת הנקרא",IF($Y204="אינה מדויקת או מקוטעת",IF($AA204="ניכרת","מיקוד בשטף הקריאה ובכישורי שפה","מיקוד בשטף קריאה"),IF($AA204="ניכרת","מיקוד בכישורי שפה",IF(AND($L204="תקינה",$Z204="מפותחת"),"קוראים וכותבים מיומנים","מיקוד בהבנה והבעה"))))))</f>
        <v/>
      </c>
      <c r="AC204" s="32">
        <f>IF(OR($AB204="",LEFT($AB204,1)="—"),"",IF(OR($AB204="מיקוד בשטף קריאה",$AB204="מיקוד בשטף הקריאה ובכישורי שפה"),"רמה א'",IF($AB204="קוראים וכותבים מיומנים","רמה ג'","רמה ב'")))</f>
        <v/>
      </c>
      <c r="AD204" s="32">
        <f>IF($AC204="","",MID(IF(AND($AC204="רמה א'",$AA204="ניכרת"),"; להוסיף עבודת אוצר מילים","")&amp;IF($Z204="אינה מפותחת","; דגש על הבעה בכתב","")&amp;IF($K204&lt;&gt;"תקין","; נדרש לעבוד על ההנגנה","")&amp;IF($AK204&lt;&gt;"","; "&amp;$AK204,""),3,400))</f>
        <v/>
      </c>
      <c r="AE204" s="32">
        <f>IF($F204="","",IF($F204="תחילת שנה",1,IF($F204="מחצית שנה",2,3)))</f>
        <v/>
      </c>
      <c r="AF204" s="32">
        <f>IF(OR($B204="",$AC204="",$A204="",$F204=""),"",$B204&amp;"|"&amp;$A204&amp;"|"&amp;$F204&amp;"|"&amp;$AC204&amp;"|"&amp;COUNTIFS($B$6:$B204,$B204,$A$6:$A204,$A204,$F$6:$F204,$F204,$AC$6:$AC204,$AC204))</f>
        <v/>
      </c>
      <c r="AG204" s="32">
        <f>IF($C204="","",$C204&amp;"|"&amp;COUNTIFS($C$6:$C204,$C204))</f>
        <v/>
      </c>
      <c r="AH204" s="32">
        <f>IF(OR($C204="",$A204="",$AE204=""),"",$C204&amp;"|"&amp;$A204&amp;"|"&amp;$AE204)</f>
        <v/>
      </c>
      <c r="AI204" s="32">
        <f>IF(OR($C204="",$AE204="",$AE204=1),"",IFERROR(INDEX($AC$6:$AC$1505,MATCH($C204&amp;"|"&amp;$A204&amp;"|"&amp;($AE204-1),$AH$6:$AH$1505,0)),""))</f>
        <v/>
      </c>
      <c r="AJ204" s="32">
        <f>IF(OR($AI204="",$AC204=""),"",IF($AI204=$AC204,"ללא שינוי","מ-"&amp;$AI204&amp;" ל-"&amp;$AC204))</f>
        <v/>
      </c>
      <c r="AK204" s="67" t="n"/>
    </row>
    <row r="205" ht="15.75" customHeight="1" s="58">
      <c r="A205" s="65" t="n"/>
      <c r="B205" s="65" t="n"/>
      <c r="C205" s="66" t="n"/>
      <c r="D205" s="66" t="n"/>
      <c r="E205" s="65" t="n"/>
      <c r="F205" s="65" t="n"/>
      <c r="G205" s="65" t="n"/>
      <c r="H205" s="65" t="n"/>
      <c r="I205" s="65" t="n"/>
      <c r="J205" s="65" t="n"/>
      <c r="K205" s="65" t="n"/>
      <c r="L205" s="65" t="n"/>
      <c r="M205" s="65" t="n"/>
      <c r="N205" s="65" t="n"/>
      <c r="O205" s="65" t="n"/>
      <c r="P205" s="65" t="n"/>
      <c r="Q205" s="65" t="n"/>
      <c r="R205" s="65" t="n"/>
      <c r="S205" s="65" t="n"/>
      <c r="T205" s="65" t="n"/>
      <c r="U205" s="65" t="n"/>
      <c r="V205" s="65" t="n"/>
      <c r="W205" s="65" t="n"/>
      <c r="X205" s="65" t="n"/>
      <c r="Y205" s="32">
        <f>IF($C205="","",IF(COUNTA($I205:$K205)&lt;3,"— חסרים נתונים",IF(AND($I205="תקין",$J205="תקין",$K205="תקין"),"רהוטה",IF(AND($I205="תקין",$J205="תקין"),"מדויקת ורציפה","אינה מדויקת או מקוטעת"))))</f>
        <v/>
      </c>
      <c r="Z205" s="32">
        <f>IF($C205="","",IF(COUNTA($U205:$W205)&lt;3,"",IF(AND($U205="מפותח",$V205="מפותח",$W205="מפותחת"),"מפותחת",IF((--($U205="דל"))+(--($V205="אינו מפותח"))+(--($W205="דלה"))&gt;=2,"אינה מפותחת","חלקית"))))</f>
        <v/>
      </c>
      <c r="AA205" s="32">
        <f>IF($C205="","",IF(COUNTA($M205,$N205,$O205)&lt;3,"— חסרים נתונים",IF(OR($M205="נמוכה",(--($M205&lt;&gt;"תקינה"))+(--($N205&lt;&gt;"תקין"))+(--($O205&lt;&gt;"תקינה"))&gt;=2),"ניכרת","אינה ניכרת")))</f>
        <v/>
      </c>
      <c r="AB205" s="32">
        <f>IF(OR($C205="",$Y205="",$AA205="",LEFT($Y205,1)="—",LEFT($AA205,1)="—"),"",IF($Z205="","— נדרשת הערכת כתיבה",IF($L205="","— חסרה הבנת הנקרא",IF($Y205="אינה מדויקת או מקוטעת",IF($AA205="ניכרת","מיקוד בשטף הקריאה ובכישורי שפה","מיקוד בשטף קריאה"),IF($AA205="ניכרת","מיקוד בכישורי שפה",IF(AND($L205="תקינה",$Z205="מפותחת"),"קוראים וכותבים מיומנים","מיקוד בהבנה והבעה"))))))</f>
        <v/>
      </c>
      <c r="AC205" s="32">
        <f>IF(OR($AB205="",LEFT($AB205,1)="—"),"",IF(OR($AB205="מיקוד בשטף קריאה",$AB205="מיקוד בשטף הקריאה ובכישורי שפה"),"רמה א'",IF($AB205="קוראים וכותבים מיומנים","רמה ג'","רמה ב'")))</f>
        <v/>
      </c>
      <c r="AD205" s="32">
        <f>IF($AC205="","",MID(IF(AND($AC205="רמה א'",$AA205="ניכרת"),"; להוסיף עבודת אוצר מילים","")&amp;IF($Z205="אינה מפותחת","; דגש על הבעה בכתב","")&amp;IF($K205&lt;&gt;"תקין","; נדרש לעבוד על ההנגנה","")&amp;IF($AK205&lt;&gt;"","; "&amp;$AK205,""),3,400))</f>
        <v/>
      </c>
      <c r="AE205" s="32">
        <f>IF($F205="","",IF($F205="תחילת שנה",1,IF($F205="מחצית שנה",2,3)))</f>
        <v/>
      </c>
      <c r="AF205" s="32">
        <f>IF(OR($B205="",$AC205="",$A205="",$F205=""),"",$B205&amp;"|"&amp;$A205&amp;"|"&amp;$F205&amp;"|"&amp;$AC205&amp;"|"&amp;COUNTIFS($B$6:$B205,$B205,$A$6:$A205,$A205,$F$6:$F205,$F205,$AC$6:$AC205,$AC205))</f>
        <v/>
      </c>
      <c r="AG205" s="32">
        <f>IF($C205="","",$C205&amp;"|"&amp;COUNTIFS($C$6:$C205,$C205))</f>
        <v/>
      </c>
      <c r="AH205" s="32">
        <f>IF(OR($C205="",$A205="",$AE205=""),"",$C205&amp;"|"&amp;$A205&amp;"|"&amp;$AE205)</f>
        <v/>
      </c>
      <c r="AI205" s="32">
        <f>IF(OR($C205="",$AE205="",$AE205=1),"",IFERROR(INDEX($AC$6:$AC$1505,MATCH($C205&amp;"|"&amp;$A205&amp;"|"&amp;($AE205-1),$AH$6:$AH$1505,0)),""))</f>
        <v/>
      </c>
      <c r="AJ205" s="32">
        <f>IF(OR($AI205="",$AC205=""),"",IF($AI205=$AC205,"ללא שינוי","מ-"&amp;$AI205&amp;" ל-"&amp;$AC205))</f>
        <v/>
      </c>
      <c r="AK205" s="67" t="n"/>
    </row>
    <row r="206" ht="15.75" customHeight="1" s="58">
      <c r="A206" s="65" t="n"/>
      <c r="B206" s="65" t="n"/>
      <c r="C206" s="66" t="n"/>
      <c r="D206" s="66" t="n"/>
      <c r="E206" s="65" t="n"/>
      <c r="F206" s="65" t="n"/>
      <c r="G206" s="65" t="n"/>
      <c r="H206" s="65" t="n"/>
      <c r="I206" s="65" t="n"/>
      <c r="J206" s="65" t="n"/>
      <c r="K206" s="65" t="n"/>
      <c r="L206" s="65" t="n"/>
      <c r="M206" s="65" t="n"/>
      <c r="N206" s="65" t="n"/>
      <c r="O206" s="65" t="n"/>
      <c r="P206" s="65" t="n"/>
      <c r="Q206" s="65" t="n"/>
      <c r="R206" s="65" t="n"/>
      <c r="S206" s="65" t="n"/>
      <c r="T206" s="65" t="n"/>
      <c r="U206" s="65" t="n"/>
      <c r="V206" s="65" t="n"/>
      <c r="W206" s="65" t="n"/>
      <c r="X206" s="65" t="n"/>
      <c r="Y206" s="32">
        <f>IF($C206="","",IF(COUNTA($I206:$K206)&lt;3,"— חסרים נתונים",IF(AND($I206="תקין",$J206="תקין",$K206="תקין"),"רהוטה",IF(AND($I206="תקין",$J206="תקין"),"מדויקת ורציפה","אינה מדויקת או מקוטעת"))))</f>
        <v/>
      </c>
      <c r="Z206" s="32">
        <f>IF($C206="","",IF(COUNTA($U206:$W206)&lt;3,"",IF(AND($U206="מפותח",$V206="מפותח",$W206="מפותחת"),"מפותחת",IF((--($U206="דל"))+(--($V206="אינו מפותח"))+(--($W206="דלה"))&gt;=2,"אינה מפותחת","חלקית"))))</f>
        <v/>
      </c>
      <c r="AA206" s="32">
        <f>IF($C206="","",IF(COUNTA($M206,$N206,$O206)&lt;3,"— חסרים נתונים",IF(OR($M206="נמוכה",(--($M206&lt;&gt;"תקינה"))+(--($N206&lt;&gt;"תקין"))+(--($O206&lt;&gt;"תקינה"))&gt;=2),"ניכרת","אינה ניכרת")))</f>
        <v/>
      </c>
      <c r="AB206" s="32">
        <f>IF(OR($C206="",$Y206="",$AA206="",LEFT($Y206,1)="—",LEFT($AA206,1)="—"),"",IF($Z206="","— נדרשת הערכת כתיבה",IF($L206="","— חסרה הבנת הנקרא",IF($Y206="אינה מדויקת או מקוטעת",IF($AA206="ניכרת","מיקוד בשטף הקריאה ובכישורי שפה","מיקוד בשטף קריאה"),IF($AA206="ניכרת","מיקוד בכישורי שפה",IF(AND($L206="תקינה",$Z206="מפותחת"),"קוראים וכותבים מיומנים","מיקוד בהבנה והבעה"))))))</f>
        <v/>
      </c>
      <c r="AC206" s="32">
        <f>IF(OR($AB206="",LEFT($AB206,1)="—"),"",IF(OR($AB206="מיקוד בשטף קריאה",$AB206="מיקוד בשטף הקריאה ובכישורי שפה"),"רמה א'",IF($AB206="קוראים וכותבים מיומנים","רמה ג'","רמה ב'")))</f>
        <v/>
      </c>
      <c r="AD206" s="32">
        <f>IF($AC206="","",MID(IF(AND($AC206="רמה א'",$AA206="ניכרת"),"; להוסיף עבודת אוצר מילים","")&amp;IF($Z206="אינה מפותחת","; דגש על הבעה בכתב","")&amp;IF($K206&lt;&gt;"תקין","; נדרש לעבוד על ההנגנה","")&amp;IF($AK206&lt;&gt;"","; "&amp;$AK206,""),3,400))</f>
        <v/>
      </c>
      <c r="AE206" s="32">
        <f>IF($F206="","",IF($F206="תחילת שנה",1,IF($F206="מחצית שנה",2,3)))</f>
        <v/>
      </c>
      <c r="AF206" s="32">
        <f>IF(OR($B206="",$AC206="",$A206="",$F206=""),"",$B206&amp;"|"&amp;$A206&amp;"|"&amp;$F206&amp;"|"&amp;$AC206&amp;"|"&amp;COUNTIFS($B$6:$B206,$B206,$A$6:$A206,$A206,$F$6:$F206,$F206,$AC$6:$AC206,$AC206))</f>
        <v/>
      </c>
      <c r="AG206" s="32">
        <f>IF($C206="","",$C206&amp;"|"&amp;COUNTIFS($C$6:$C206,$C206))</f>
        <v/>
      </c>
      <c r="AH206" s="32">
        <f>IF(OR($C206="",$A206="",$AE206=""),"",$C206&amp;"|"&amp;$A206&amp;"|"&amp;$AE206)</f>
        <v/>
      </c>
      <c r="AI206" s="32">
        <f>IF(OR($C206="",$AE206="",$AE206=1),"",IFERROR(INDEX($AC$6:$AC$1505,MATCH($C206&amp;"|"&amp;$A206&amp;"|"&amp;($AE206-1),$AH$6:$AH$1505,0)),""))</f>
        <v/>
      </c>
      <c r="AJ206" s="32">
        <f>IF(OR($AI206="",$AC206=""),"",IF($AI206=$AC206,"ללא שינוי","מ-"&amp;$AI206&amp;" ל-"&amp;$AC206))</f>
        <v/>
      </c>
      <c r="AK206" s="67" t="n"/>
    </row>
    <row r="207" ht="15.75" customHeight="1" s="58">
      <c r="A207" s="65" t="n"/>
      <c r="B207" s="65" t="n"/>
      <c r="C207" s="66" t="n"/>
      <c r="D207" s="66" t="n"/>
      <c r="E207" s="65" t="n"/>
      <c r="F207" s="65" t="n"/>
      <c r="G207" s="65" t="n"/>
      <c r="H207" s="65" t="n"/>
      <c r="I207" s="65" t="n"/>
      <c r="J207" s="65" t="n"/>
      <c r="K207" s="65" t="n"/>
      <c r="L207" s="65" t="n"/>
      <c r="M207" s="65" t="n"/>
      <c r="N207" s="65" t="n"/>
      <c r="O207" s="65" t="n"/>
      <c r="P207" s="65" t="n"/>
      <c r="Q207" s="65" t="n"/>
      <c r="R207" s="65" t="n"/>
      <c r="S207" s="65" t="n"/>
      <c r="T207" s="65" t="n"/>
      <c r="U207" s="65" t="n"/>
      <c r="V207" s="65" t="n"/>
      <c r="W207" s="65" t="n"/>
      <c r="X207" s="65" t="n"/>
      <c r="Y207" s="32">
        <f>IF($C207="","",IF(COUNTA($I207:$K207)&lt;3,"— חסרים נתונים",IF(AND($I207="תקין",$J207="תקין",$K207="תקין"),"רהוטה",IF(AND($I207="תקין",$J207="תקין"),"מדויקת ורציפה","אינה מדויקת או מקוטעת"))))</f>
        <v/>
      </c>
      <c r="Z207" s="32">
        <f>IF($C207="","",IF(COUNTA($U207:$W207)&lt;3,"",IF(AND($U207="מפותח",$V207="מפותח",$W207="מפותחת"),"מפותחת",IF((--($U207="דל"))+(--($V207="אינו מפותח"))+(--($W207="דלה"))&gt;=2,"אינה מפותחת","חלקית"))))</f>
        <v/>
      </c>
      <c r="AA207" s="32">
        <f>IF($C207="","",IF(COUNTA($M207,$N207,$O207)&lt;3,"— חסרים נתונים",IF(OR($M207="נמוכה",(--($M207&lt;&gt;"תקינה"))+(--($N207&lt;&gt;"תקין"))+(--($O207&lt;&gt;"תקינה"))&gt;=2),"ניכרת","אינה ניכרת")))</f>
        <v/>
      </c>
      <c r="AB207" s="32">
        <f>IF(OR($C207="",$Y207="",$AA207="",LEFT($Y207,1)="—",LEFT($AA207,1)="—"),"",IF($Z207="","— נדרשת הערכת כתיבה",IF($L207="","— חסרה הבנת הנקרא",IF($Y207="אינה מדויקת או מקוטעת",IF($AA207="ניכרת","מיקוד בשטף הקריאה ובכישורי שפה","מיקוד בשטף קריאה"),IF($AA207="ניכרת","מיקוד בכישורי שפה",IF(AND($L207="תקינה",$Z207="מפותחת"),"קוראים וכותבים מיומנים","מיקוד בהבנה והבעה"))))))</f>
        <v/>
      </c>
      <c r="AC207" s="32">
        <f>IF(OR($AB207="",LEFT($AB207,1)="—"),"",IF(OR($AB207="מיקוד בשטף קריאה",$AB207="מיקוד בשטף הקריאה ובכישורי שפה"),"רמה א'",IF($AB207="קוראים וכותבים מיומנים","רמה ג'","רמה ב'")))</f>
        <v/>
      </c>
      <c r="AD207" s="32">
        <f>IF($AC207="","",MID(IF(AND($AC207="רמה א'",$AA207="ניכרת"),"; להוסיף עבודת אוצר מילים","")&amp;IF($Z207="אינה מפותחת","; דגש על הבעה בכתב","")&amp;IF($K207&lt;&gt;"תקין","; נדרש לעבוד על ההנגנה","")&amp;IF($AK207&lt;&gt;"","; "&amp;$AK207,""),3,400))</f>
        <v/>
      </c>
      <c r="AE207" s="32">
        <f>IF($F207="","",IF($F207="תחילת שנה",1,IF($F207="מחצית שנה",2,3)))</f>
        <v/>
      </c>
      <c r="AF207" s="32">
        <f>IF(OR($B207="",$AC207="",$A207="",$F207=""),"",$B207&amp;"|"&amp;$A207&amp;"|"&amp;$F207&amp;"|"&amp;$AC207&amp;"|"&amp;COUNTIFS($B$6:$B207,$B207,$A$6:$A207,$A207,$F$6:$F207,$F207,$AC$6:$AC207,$AC207))</f>
        <v/>
      </c>
      <c r="AG207" s="32">
        <f>IF($C207="","",$C207&amp;"|"&amp;COUNTIFS($C$6:$C207,$C207))</f>
        <v/>
      </c>
      <c r="AH207" s="32">
        <f>IF(OR($C207="",$A207="",$AE207=""),"",$C207&amp;"|"&amp;$A207&amp;"|"&amp;$AE207)</f>
        <v/>
      </c>
      <c r="AI207" s="32">
        <f>IF(OR($C207="",$AE207="",$AE207=1),"",IFERROR(INDEX($AC$6:$AC$1505,MATCH($C207&amp;"|"&amp;$A207&amp;"|"&amp;($AE207-1),$AH$6:$AH$1505,0)),""))</f>
        <v/>
      </c>
      <c r="AJ207" s="32">
        <f>IF(OR($AI207="",$AC207=""),"",IF($AI207=$AC207,"ללא שינוי","מ-"&amp;$AI207&amp;" ל-"&amp;$AC207))</f>
        <v/>
      </c>
      <c r="AK207" s="67" t="n"/>
    </row>
    <row r="208" ht="15.75" customHeight="1" s="58">
      <c r="A208" s="65" t="n"/>
      <c r="B208" s="65" t="n"/>
      <c r="C208" s="66" t="n"/>
      <c r="D208" s="66" t="n"/>
      <c r="E208" s="65" t="n"/>
      <c r="F208" s="65" t="n"/>
      <c r="G208" s="65" t="n"/>
      <c r="H208" s="65" t="n"/>
      <c r="I208" s="65" t="n"/>
      <c r="J208" s="65" t="n"/>
      <c r="K208" s="65" t="n"/>
      <c r="L208" s="65" t="n"/>
      <c r="M208" s="65" t="n"/>
      <c r="N208" s="65" t="n"/>
      <c r="O208" s="65" t="n"/>
      <c r="P208" s="65" t="n"/>
      <c r="Q208" s="65" t="n"/>
      <c r="R208" s="65" t="n"/>
      <c r="S208" s="65" t="n"/>
      <c r="T208" s="65" t="n"/>
      <c r="U208" s="65" t="n"/>
      <c r="V208" s="65" t="n"/>
      <c r="W208" s="65" t="n"/>
      <c r="X208" s="65" t="n"/>
      <c r="Y208" s="32">
        <f>IF($C208="","",IF(COUNTA($I208:$K208)&lt;3,"— חסרים נתונים",IF(AND($I208="תקין",$J208="תקין",$K208="תקין"),"רהוטה",IF(AND($I208="תקין",$J208="תקין"),"מדויקת ורציפה","אינה מדויקת או מקוטעת"))))</f>
        <v/>
      </c>
      <c r="Z208" s="32">
        <f>IF($C208="","",IF(COUNTA($U208:$W208)&lt;3,"",IF(AND($U208="מפותח",$V208="מפותח",$W208="מפותחת"),"מפותחת",IF((--($U208="דל"))+(--($V208="אינו מפותח"))+(--($W208="דלה"))&gt;=2,"אינה מפותחת","חלקית"))))</f>
        <v/>
      </c>
      <c r="AA208" s="32">
        <f>IF($C208="","",IF(COUNTA($M208,$N208,$O208)&lt;3,"— חסרים נתונים",IF(OR($M208="נמוכה",(--($M208&lt;&gt;"תקינה"))+(--($N208&lt;&gt;"תקין"))+(--($O208&lt;&gt;"תקינה"))&gt;=2),"ניכרת","אינה ניכרת")))</f>
        <v/>
      </c>
      <c r="AB208" s="32">
        <f>IF(OR($C208="",$Y208="",$AA208="",LEFT($Y208,1)="—",LEFT($AA208,1)="—"),"",IF($Z208="","— נדרשת הערכת כתיבה",IF($L208="","— חסרה הבנת הנקרא",IF($Y208="אינה מדויקת או מקוטעת",IF($AA208="ניכרת","מיקוד בשטף הקריאה ובכישורי שפה","מיקוד בשטף קריאה"),IF($AA208="ניכרת","מיקוד בכישורי שפה",IF(AND($L208="תקינה",$Z208="מפותחת"),"קוראים וכותבים מיומנים","מיקוד בהבנה והבעה"))))))</f>
        <v/>
      </c>
      <c r="AC208" s="32">
        <f>IF(OR($AB208="",LEFT($AB208,1)="—"),"",IF(OR($AB208="מיקוד בשטף קריאה",$AB208="מיקוד בשטף הקריאה ובכישורי שפה"),"רמה א'",IF($AB208="קוראים וכותבים מיומנים","רמה ג'","רמה ב'")))</f>
        <v/>
      </c>
      <c r="AD208" s="32">
        <f>IF($AC208="","",MID(IF(AND($AC208="רמה א'",$AA208="ניכרת"),"; להוסיף עבודת אוצר מילים","")&amp;IF($Z208="אינה מפותחת","; דגש על הבעה בכתב","")&amp;IF($K208&lt;&gt;"תקין","; נדרש לעבוד על ההנגנה","")&amp;IF($AK208&lt;&gt;"","; "&amp;$AK208,""),3,400))</f>
        <v/>
      </c>
      <c r="AE208" s="32">
        <f>IF($F208="","",IF($F208="תחילת שנה",1,IF($F208="מחצית שנה",2,3)))</f>
        <v/>
      </c>
      <c r="AF208" s="32">
        <f>IF(OR($B208="",$AC208="",$A208="",$F208=""),"",$B208&amp;"|"&amp;$A208&amp;"|"&amp;$F208&amp;"|"&amp;$AC208&amp;"|"&amp;COUNTIFS($B$6:$B208,$B208,$A$6:$A208,$A208,$F$6:$F208,$F208,$AC$6:$AC208,$AC208))</f>
        <v/>
      </c>
      <c r="AG208" s="32">
        <f>IF($C208="","",$C208&amp;"|"&amp;COUNTIFS($C$6:$C208,$C208))</f>
        <v/>
      </c>
      <c r="AH208" s="32">
        <f>IF(OR($C208="",$A208="",$AE208=""),"",$C208&amp;"|"&amp;$A208&amp;"|"&amp;$AE208)</f>
        <v/>
      </c>
      <c r="AI208" s="32">
        <f>IF(OR($C208="",$AE208="",$AE208=1),"",IFERROR(INDEX($AC$6:$AC$1505,MATCH($C208&amp;"|"&amp;$A208&amp;"|"&amp;($AE208-1),$AH$6:$AH$1505,0)),""))</f>
        <v/>
      </c>
      <c r="AJ208" s="32">
        <f>IF(OR($AI208="",$AC208=""),"",IF($AI208=$AC208,"ללא שינוי","מ-"&amp;$AI208&amp;" ל-"&amp;$AC208))</f>
        <v/>
      </c>
      <c r="AK208" s="67" t="n"/>
    </row>
    <row r="209" ht="15.75" customHeight="1" s="58">
      <c r="A209" s="65" t="n"/>
      <c r="B209" s="65" t="n"/>
      <c r="C209" s="66" t="n"/>
      <c r="D209" s="66" t="n"/>
      <c r="E209" s="65" t="n"/>
      <c r="F209" s="65" t="n"/>
      <c r="G209" s="65" t="n"/>
      <c r="H209" s="65" t="n"/>
      <c r="I209" s="65" t="n"/>
      <c r="J209" s="65" t="n"/>
      <c r="K209" s="65" t="n"/>
      <c r="L209" s="65" t="n"/>
      <c r="M209" s="65" t="n"/>
      <c r="N209" s="65" t="n"/>
      <c r="O209" s="65" t="n"/>
      <c r="P209" s="65" t="n"/>
      <c r="Q209" s="65" t="n"/>
      <c r="R209" s="65" t="n"/>
      <c r="S209" s="65" t="n"/>
      <c r="T209" s="65" t="n"/>
      <c r="U209" s="65" t="n"/>
      <c r="V209" s="65" t="n"/>
      <c r="W209" s="65" t="n"/>
      <c r="X209" s="65" t="n"/>
      <c r="Y209" s="32">
        <f>IF($C209="","",IF(COUNTA($I209:$K209)&lt;3,"— חסרים נתונים",IF(AND($I209="תקין",$J209="תקין",$K209="תקין"),"רהוטה",IF(AND($I209="תקין",$J209="תקין"),"מדויקת ורציפה","אינה מדויקת או מקוטעת"))))</f>
        <v/>
      </c>
      <c r="Z209" s="32">
        <f>IF($C209="","",IF(COUNTA($U209:$W209)&lt;3,"",IF(AND($U209="מפותח",$V209="מפותח",$W209="מפותחת"),"מפותחת",IF((--($U209="דל"))+(--($V209="אינו מפותח"))+(--($W209="דלה"))&gt;=2,"אינה מפותחת","חלקית"))))</f>
        <v/>
      </c>
      <c r="AA209" s="32">
        <f>IF($C209="","",IF(COUNTA($M209,$N209,$O209)&lt;3,"— חסרים נתונים",IF(OR($M209="נמוכה",(--($M209&lt;&gt;"תקינה"))+(--($N209&lt;&gt;"תקין"))+(--($O209&lt;&gt;"תקינה"))&gt;=2),"ניכרת","אינה ניכרת")))</f>
        <v/>
      </c>
      <c r="AB209" s="32">
        <f>IF(OR($C209="",$Y209="",$AA209="",LEFT($Y209,1)="—",LEFT($AA209,1)="—"),"",IF($Z209="","— נדרשת הערכת כתיבה",IF($L209="","— חסרה הבנת הנקרא",IF($Y209="אינה מדויקת או מקוטעת",IF($AA209="ניכרת","מיקוד בשטף הקריאה ובכישורי שפה","מיקוד בשטף קריאה"),IF($AA209="ניכרת","מיקוד בכישורי שפה",IF(AND($L209="תקינה",$Z209="מפותחת"),"קוראים וכותבים מיומנים","מיקוד בהבנה והבעה"))))))</f>
        <v/>
      </c>
      <c r="AC209" s="32">
        <f>IF(OR($AB209="",LEFT($AB209,1)="—"),"",IF(OR($AB209="מיקוד בשטף קריאה",$AB209="מיקוד בשטף הקריאה ובכישורי שפה"),"רמה א'",IF($AB209="קוראים וכותבים מיומנים","רמה ג'","רמה ב'")))</f>
        <v/>
      </c>
      <c r="AD209" s="32">
        <f>IF($AC209="","",MID(IF(AND($AC209="רמה א'",$AA209="ניכרת"),"; להוסיף עבודת אוצר מילים","")&amp;IF($Z209="אינה מפותחת","; דגש על הבעה בכתב","")&amp;IF($K209&lt;&gt;"תקין","; נדרש לעבוד על ההנגנה","")&amp;IF($AK209&lt;&gt;"","; "&amp;$AK209,""),3,400))</f>
        <v/>
      </c>
      <c r="AE209" s="32">
        <f>IF($F209="","",IF($F209="תחילת שנה",1,IF($F209="מחצית שנה",2,3)))</f>
        <v/>
      </c>
      <c r="AF209" s="32">
        <f>IF(OR($B209="",$AC209="",$A209="",$F209=""),"",$B209&amp;"|"&amp;$A209&amp;"|"&amp;$F209&amp;"|"&amp;$AC209&amp;"|"&amp;COUNTIFS($B$6:$B209,$B209,$A$6:$A209,$A209,$F$6:$F209,$F209,$AC$6:$AC209,$AC209))</f>
        <v/>
      </c>
      <c r="AG209" s="32">
        <f>IF($C209="","",$C209&amp;"|"&amp;COUNTIFS($C$6:$C209,$C209))</f>
        <v/>
      </c>
      <c r="AH209" s="32">
        <f>IF(OR($C209="",$A209="",$AE209=""),"",$C209&amp;"|"&amp;$A209&amp;"|"&amp;$AE209)</f>
        <v/>
      </c>
      <c r="AI209" s="32">
        <f>IF(OR($C209="",$AE209="",$AE209=1),"",IFERROR(INDEX($AC$6:$AC$1505,MATCH($C209&amp;"|"&amp;$A209&amp;"|"&amp;($AE209-1),$AH$6:$AH$1505,0)),""))</f>
        <v/>
      </c>
      <c r="AJ209" s="32">
        <f>IF(OR($AI209="",$AC209=""),"",IF($AI209=$AC209,"ללא שינוי","מ-"&amp;$AI209&amp;" ל-"&amp;$AC209))</f>
        <v/>
      </c>
      <c r="AK209" s="67" t="n"/>
    </row>
    <row r="210" ht="15.75" customHeight="1" s="58">
      <c r="A210" s="65" t="n"/>
      <c r="B210" s="65" t="n"/>
      <c r="C210" s="66" t="n"/>
      <c r="D210" s="66" t="n"/>
      <c r="E210" s="65" t="n"/>
      <c r="F210" s="65" t="n"/>
      <c r="G210" s="65" t="n"/>
      <c r="H210" s="65" t="n"/>
      <c r="I210" s="65" t="n"/>
      <c r="J210" s="65" t="n"/>
      <c r="K210" s="65" t="n"/>
      <c r="L210" s="65" t="n"/>
      <c r="M210" s="65" t="n"/>
      <c r="N210" s="65" t="n"/>
      <c r="O210" s="65" t="n"/>
      <c r="P210" s="65" t="n"/>
      <c r="Q210" s="65" t="n"/>
      <c r="R210" s="65" t="n"/>
      <c r="S210" s="65" t="n"/>
      <c r="T210" s="65" t="n"/>
      <c r="U210" s="65" t="n"/>
      <c r="V210" s="65" t="n"/>
      <c r="W210" s="65" t="n"/>
      <c r="X210" s="65" t="n"/>
      <c r="Y210" s="32">
        <f>IF($C210="","",IF(COUNTA($I210:$K210)&lt;3,"— חסרים נתונים",IF(AND($I210="תקין",$J210="תקין",$K210="תקין"),"רהוטה",IF(AND($I210="תקין",$J210="תקין"),"מדויקת ורציפה","אינה מדויקת או מקוטעת"))))</f>
        <v/>
      </c>
      <c r="Z210" s="32">
        <f>IF($C210="","",IF(COUNTA($U210:$W210)&lt;3,"",IF(AND($U210="מפותח",$V210="מפותח",$W210="מפותחת"),"מפותחת",IF((--($U210="דל"))+(--($V210="אינו מפותח"))+(--($W210="דלה"))&gt;=2,"אינה מפותחת","חלקית"))))</f>
        <v/>
      </c>
      <c r="AA210" s="32">
        <f>IF($C210="","",IF(COUNTA($M210,$N210,$O210)&lt;3,"— חסרים נתונים",IF(OR($M210="נמוכה",(--($M210&lt;&gt;"תקינה"))+(--($N210&lt;&gt;"תקין"))+(--($O210&lt;&gt;"תקינה"))&gt;=2),"ניכרת","אינה ניכרת")))</f>
        <v/>
      </c>
      <c r="AB210" s="32">
        <f>IF(OR($C210="",$Y210="",$AA210="",LEFT($Y210,1)="—",LEFT($AA210,1)="—"),"",IF($Z210="","— נדרשת הערכת כתיבה",IF($L210="","— חסרה הבנת הנקרא",IF($Y210="אינה מדויקת או מקוטעת",IF($AA210="ניכרת","מיקוד בשטף הקריאה ובכישורי שפה","מיקוד בשטף קריאה"),IF($AA210="ניכרת","מיקוד בכישורי שפה",IF(AND($L210="תקינה",$Z210="מפותחת"),"קוראים וכותבים מיומנים","מיקוד בהבנה והבעה"))))))</f>
        <v/>
      </c>
      <c r="AC210" s="32">
        <f>IF(OR($AB210="",LEFT($AB210,1)="—"),"",IF(OR($AB210="מיקוד בשטף קריאה",$AB210="מיקוד בשטף הקריאה ובכישורי שפה"),"רמה א'",IF($AB210="קוראים וכותבים מיומנים","רמה ג'","רמה ב'")))</f>
        <v/>
      </c>
      <c r="AD210" s="32">
        <f>IF($AC210="","",MID(IF(AND($AC210="רמה א'",$AA210="ניכרת"),"; להוסיף עבודת אוצר מילים","")&amp;IF($Z210="אינה מפותחת","; דגש על הבעה בכתב","")&amp;IF($K210&lt;&gt;"תקין","; נדרש לעבוד על ההנגנה","")&amp;IF($AK210&lt;&gt;"","; "&amp;$AK210,""),3,400))</f>
        <v/>
      </c>
      <c r="AE210" s="32">
        <f>IF($F210="","",IF($F210="תחילת שנה",1,IF($F210="מחצית שנה",2,3)))</f>
        <v/>
      </c>
      <c r="AF210" s="32">
        <f>IF(OR($B210="",$AC210="",$A210="",$F210=""),"",$B210&amp;"|"&amp;$A210&amp;"|"&amp;$F210&amp;"|"&amp;$AC210&amp;"|"&amp;COUNTIFS($B$6:$B210,$B210,$A$6:$A210,$A210,$F$6:$F210,$F210,$AC$6:$AC210,$AC210))</f>
        <v/>
      </c>
      <c r="AG210" s="32">
        <f>IF($C210="","",$C210&amp;"|"&amp;COUNTIFS($C$6:$C210,$C210))</f>
        <v/>
      </c>
      <c r="AH210" s="32">
        <f>IF(OR($C210="",$A210="",$AE210=""),"",$C210&amp;"|"&amp;$A210&amp;"|"&amp;$AE210)</f>
        <v/>
      </c>
      <c r="AI210" s="32">
        <f>IF(OR($C210="",$AE210="",$AE210=1),"",IFERROR(INDEX($AC$6:$AC$1505,MATCH($C210&amp;"|"&amp;$A210&amp;"|"&amp;($AE210-1),$AH$6:$AH$1505,0)),""))</f>
        <v/>
      </c>
      <c r="AJ210" s="32">
        <f>IF(OR($AI210="",$AC210=""),"",IF($AI210=$AC210,"ללא שינוי","מ-"&amp;$AI210&amp;" ל-"&amp;$AC210))</f>
        <v/>
      </c>
      <c r="AK210" s="67" t="n"/>
    </row>
    <row r="211" ht="15.75" customHeight="1" s="58">
      <c r="A211" s="65" t="n"/>
      <c r="B211" s="65" t="n"/>
      <c r="C211" s="66" t="n"/>
      <c r="D211" s="66" t="n"/>
      <c r="E211" s="65" t="n"/>
      <c r="F211" s="65" t="n"/>
      <c r="G211" s="65" t="n"/>
      <c r="H211" s="65" t="n"/>
      <c r="I211" s="65" t="n"/>
      <c r="J211" s="65" t="n"/>
      <c r="K211" s="65" t="n"/>
      <c r="L211" s="65" t="n"/>
      <c r="M211" s="65" t="n"/>
      <c r="N211" s="65" t="n"/>
      <c r="O211" s="65" t="n"/>
      <c r="P211" s="65" t="n"/>
      <c r="Q211" s="65" t="n"/>
      <c r="R211" s="65" t="n"/>
      <c r="S211" s="65" t="n"/>
      <c r="T211" s="65" t="n"/>
      <c r="U211" s="65" t="n"/>
      <c r="V211" s="65" t="n"/>
      <c r="W211" s="65" t="n"/>
      <c r="X211" s="65" t="n"/>
      <c r="Y211" s="32">
        <f>IF($C211="","",IF(COUNTA($I211:$K211)&lt;3,"— חסרים נתונים",IF(AND($I211="תקין",$J211="תקין",$K211="תקין"),"רהוטה",IF(AND($I211="תקין",$J211="תקין"),"מדויקת ורציפה","אינה מדויקת או מקוטעת"))))</f>
        <v/>
      </c>
      <c r="Z211" s="32">
        <f>IF($C211="","",IF(COUNTA($U211:$W211)&lt;3,"",IF(AND($U211="מפותח",$V211="מפותח",$W211="מפותחת"),"מפותחת",IF((--($U211="דל"))+(--($V211="אינו מפותח"))+(--($W211="דלה"))&gt;=2,"אינה מפותחת","חלקית"))))</f>
        <v/>
      </c>
      <c r="AA211" s="32">
        <f>IF($C211="","",IF(COUNTA($M211,$N211,$O211)&lt;3,"— חסרים נתונים",IF(OR($M211="נמוכה",(--($M211&lt;&gt;"תקינה"))+(--($N211&lt;&gt;"תקין"))+(--($O211&lt;&gt;"תקינה"))&gt;=2),"ניכרת","אינה ניכרת")))</f>
        <v/>
      </c>
      <c r="AB211" s="32">
        <f>IF(OR($C211="",$Y211="",$AA211="",LEFT($Y211,1)="—",LEFT($AA211,1)="—"),"",IF($Z211="","— נדרשת הערכת כתיבה",IF($L211="","— חסרה הבנת הנקרא",IF($Y211="אינה מדויקת או מקוטעת",IF($AA211="ניכרת","מיקוד בשטף הקריאה ובכישורי שפה","מיקוד בשטף קריאה"),IF($AA211="ניכרת","מיקוד בכישורי שפה",IF(AND($L211="תקינה",$Z211="מפותחת"),"קוראים וכותבים מיומנים","מיקוד בהבנה והבעה"))))))</f>
        <v/>
      </c>
      <c r="AC211" s="32">
        <f>IF(OR($AB211="",LEFT($AB211,1)="—"),"",IF(OR($AB211="מיקוד בשטף קריאה",$AB211="מיקוד בשטף הקריאה ובכישורי שפה"),"רמה א'",IF($AB211="קוראים וכותבים מיומנים","רמה ג'","רמה ב'")))</f>
        <v/>
      </c>
      <c r="AD211" s="32">
        <f>IF($AC211="","",MID(IF(AND($AC211="רמה א'",$AA211="ניכרת"),"; להוסיף עבודת אוצר מילים","")&amp;IF($Z211="אינה מפותחת","; דגש על הבעה בכתב","")&amp;IF($K211&lt;&gt;"תקין","; נדרש לעבוד על ההנגנה","")&amp;IF($AK211&lt;&gt;"","; "&amp;$AK211,""),3,400))</f>
        <v/>
      </c>
      <c r="AE211" s="32">
        <f>IF($F211="","",IF($F211="תחילת שנה",1,IF($F211="מחצית שנה",2,3)))</f>
        <v/>
      </c>
      <c r="AF211" s="32">
        <f>IF(OR($B211="",$AC211="",$A211="",$F211=""),"",$B211&amp;"|"&amp;$A211&amp;"|"&amp;$F211&amp;"|"&amp;$AC211&amp;"|"&amp;COUNTIFS($B$6:$B211,$B211,$A$6:$A211,$A211,$F$6:$F211,$F211,$AC$6:$AC211,$AC211))</f>
        <v/>
      </c>
      <c r="AG211" s="32">
        <f>IF($C211="","",$C211&amp;"|"&amp;COUNTIFS($C$6:$C211,$C211))</f>
        <v/>
      </c>
      <c r="AH211" s="32">
        <f>IF(OR($C211="",$A211="",$AE211=""),"",$C211&amp;"|"&amp;$A211&amp;"|"&amp;$AE211)</f>
        <v/>
      </c>
      <c r="AI211" s="32">
        <f>IF(OR($C211="",$AE211="",$AE211=1),"",IFERROR(INDEX($AC$6:$AC$1505,MATCH($C211&amp;"|"&amp;$A211&amp;"|"&amp;($AE211-1),$AH$6:$AH$1505,0)),""))</f>
        <v/>
      </c>
      <c r="AJ211" s="32">
        <f>IF(OR($AI211="",$AC211=""),"",IF($AI211=$AC211,"ללא שינוי","מ-"&amp;$AI211&amp;" ל-"&amp;$AC211))</f>
        <v/>
      </c>
      <c r="AK211" s="67" t="n"/>
    </row>
    <row r="212" ht="15.75" customHeight="1" s="58">
      <c r="A212" s="65" t="n"/>
      <c r="B212" s="65" t="n"/>
      <c r="C212" s="66" t="n"/>
      <c r="D212" s="66" t="n"/>
      <c r="E212" s="65" t="n"/>
      <c r="F212" s="65" t="n"/>
      <c r="G212" s="65" t="n"/>
      <c r="H212" s="65" t="n"/>
      <c r="I212" s="65" t="n"/>
      <c r="J212" s="65" t="n"/>
      <c r="K212" s="65" t="n"/>
      <c r="L212" s="65" t="n"/>
      <c r="M212" s="65" t="n"/>
      <c r="N212" s="65" t="n"/>
      <c r="O212" s="65" t="n"/>
      <c r="P212" s="65" t="n"/>
      <c r="Q212" s="65" t="n"/>
      <c r="R212" s="65" t="n"/>
      <c r="S212" s="65" t="n"/>
      <c r="T212" s="65" t="n"/>
      <c r="U212" s="65" t="n"/>
      <c r="V212" s="65" t="n"/>
      <c r="W212" s="65" t="n"/>
      <c r="X212" s="65" t="n"/>
      <c r="Y212" s="32">
        <f>IF($C212="","",IF(COUNTA($I212:$K212)&lt;3,"— חסרים נתונים",IF(AND($I212="תקין",$J212="תקין",$K212="תקין"),"רהוטה",IF(AND($I212="תקין",$J212="תקין"),"מדויקת ורציפה","אינה מדויקת או מקוטעת"))))</f>
        <v/>
      </c>
      <c r="Z212" s="32">
        <f>IF($C212="","",IF(COUNTA($U212:$W212)&lt;3,"",IF(AND($U212="מפותח",$V212="מפותח",$W212="מפותחת"),"מפותחת",IF((--($U212="דל"))+(--($V212="אינו מפותח"))+(--($W212="דלה"))&gt;=2,"אינה מפותחת","חלקית"))))</f>
        <v/>
      </c>
      <c r="AA212" s="32">
        <f>IF($C212="","",IF(COUNTA($M212,$N212,$O212)&lt;3,"— חסרים נתונים",IF(OR($M212="נמוכה",(--($M212&lt;&gt;"תקינה"))+(--($N212&lt;&gt;"תקין"))+(--($O212&lt;&gt;"תקינה"))&gt;=2),"ניכרת","אינה ניכרת")))</f>
        <v/>
      </c>
      <c r="AB212" s="32">
        <f>IF(OR($C212="",$Y212="",$AA212="",LEFT($Y212,1)="—",LEFT($AA212,1)="—"),"",IF($Z212="","— נדרשת הערכת כתיבה",IF($L212="","— חסרה הבנת הנקרא",IF($Y212="אינה מדויקת או מקוטעת",IF($AA212="ניכרת","מיקוד בשטף הקריאה ובכישורי שפה","מיקוד בשטף קריאה"),IF($AA212="ניכרת","מיקוד בכישורי שפה",IF(AND($L212="תקינה",$Z212="מפותחת"),"קוראים וכותבים מיומנים","מיקוד בהבנה והבעה"))))))</f>
        <v/>
      </c>
      <c r="AC212" s="32">
        <f>IF(OR($AB212="",LEFT($AB212,1)="—"),"",IF(OR($AB212="מיקוד בשטף קריאה",$AB212="מיקוד בשטף הקריאה ובכישורי שפה"),"רמה א'",IF($AB212="קוראים וכותבים מיומנים","רמה ג'","רמה ב'")))</f>
        <v/>
      </c>
      <c r="AD212" s="32">
        <f>IF($AC212="","",MID(IF(AND($AC212="רמה א'",$AA212="ניכרת"),"; להוסיף עבודת אוצר מילים","")&amp;IF($Z212="אינה מפותחת","; דגש על הבעה בכתב","")&amp;IF($K212&lt;&gt;"תקין","; נדרש לעבוד על ההנגנה","")&amp;IF($AK212&lt;&gt;"","; "&amp;$AK212,""),3,400))</f>
        <v/>
      </c>
      <c r="AE212" s="32">
        <f>IF($F212="","",IF($F212="תחילת שנה",1,IF($F212="מחצית שנה",2,3)))</f>
        <v/>
      </c>
      <c r="AF212" s="32">
        <f>IF(OR($B212="",$AC212="",$A212="",$F212=""),"",$B212&amp;"|"&amp;$A212&amp;"|"&amp;$F212&amp;"|"&amp;$AC212&amp;"|"&amp;COUNTIFS($B$6:$B212,$B212,$A$6:$A212,$A212,$F$6:$F212,$F212,$AC$6:$AC212,$AC212))</f>
        <v/>
      </c>
      <c r="AG212" s="32">
        <f>IF($C212="","",$C212&amp;"|"&amp;COUNTIFS($C$6:$C212,$C212))</f>
        <v/>
      </c>
      <c r="AH212" s="32">
        <f>IF(OR($C212="",$A212="",$AE212=""),"",$C212&amp;"|"&amp;$A212&amp;"|"&amp;$AE212)</f>
        <v/>
      </c>
      <c r="AI212" s="32">
        <f>IF(OR($C212="",$AE212="",$AE212=1),"",IFERROR(INDEX($AC$6:$AC$1505,MATCH($C212&amp;"|"&amp;$A212&amp;"|"&amp;($AE212-1),$AH$6:$AH$1505,0)),""))</f>
        <v/>
      </c>
      <c r="AJ212" s="32">
        <f>IF(OR($AI212="",$AC212=""),"",IF($AI212=$AC212,"ללא שינוי","מ-"&amp;$AI212&amp;" ל-"&amp;$AC212))</f>
        <v/>
      </c>
      <c r="AK212" s="67" t="n"/>
    </row>
    <row r="213" ht="15.75" customHeight="1" s="58">
      <c r="A213" s="65" t="n"/>
      <c r="B213" s="65" t="n"/>
      <c r="C213" s="66" t="n"/>
      <c r="D213" s="66" t="n"/>
      <c r="E213" s="65" t="n"/>
      <c r="F213" s="65" t="n"/>
      <c r="G213" s="65" t="n"/>
      <c r="H213" s="65" t="n"/>
      <c r="I213" s="65" t="n"/>
      <c r="J213" s="65" t="n"/>
      <c r="K213" s="65" t="n"/>
      <c r="L213" s="65" t="n"/>
      <c r="M213" s="65" t="n"/>
      <c r="N213" s="65" t="n"/>
      <c r="O213" s="65" t="n"/>
      <c r="P213" s="65" t="n"/>
      <c r="Q213" s="65" t="n"/>
      <c r="R213" s="65" t="n"/>
      <c r="S213" s="65" t="n"/>
      <c r="T213" s="65" t="n"/>
      <c r="U213" s="65" t="n"/>
      <c r="V213" s="65" t="n"/>
      <c r="W213" s="65" t="n"/>
      <c r="X213" s="65" t="n"/>
      <c r="Y213" s="32">
        <f>IF($C213="","",IF(COUNTA($I213:$K213)&lt;3,"— חסרים נתונים",IF(AND($I213="תקין",$J213="תקין",$K213="תקין"),"רהוטה",IF(AND($I213="תקין",$J213="תקין"),"מדויקת ורציפה","אינה מדויקת או מקוטעת"))))</f>
        <v/>
      </c>
      <c r="Z213" s="32">
        <f>IF($C213="","",IF(COUNTA($U213:$W213)&lt;3,"",IF(AND($U213="מפותח",$V213="מפותח",$W213="מפותחת"),"מפותחת",IF((--($U213="דל"))+(--($V213="אינו מפותח"))+(--($W213="דלה"))&gt;=2,"אינה מפותחת","חלקית"))))</f>
        <v/>
      </c>
      <c r="AA213" s="32">
        <f>IF($C213="","",IF(COUNTA($M213,$N213,$O213)&lt;3,"— חסרים נתונים",IF(OR($M213="נמוכה",(--($M213&lt;&gt;"תקינה"))+(--($N213&lt;&gt;"תקין"))+(--($O213&lt;&gt;"תקינה"))&gt;=2),"ניכרת","אינה ניכרת")))</f>
        <v/>
      </c>
      <c r="AB213" s="32">
        <f>IF(OR($C213="",$Y213="",$AA213="",LEFT($Y213,1)="—",LEFT($AA213,1)="—"),"",IF($Z213="","— נדרשת הערכת כתיבה",IF($L213="","— חסרה הבנת הנקרא",IF($Y213="אינה מדויקת או מקוטעת",IF($AA213="ניכרת","מיקוד בשטף הקריאה ובכישורי שפה","מיקוד בשטף קריאה"),IF($AA213="ניכרת","מיקוד בכישורי שפה",IF(AND($L213="תקינה",$Z213="מפותחת"),"קוראים וכותבים מיומנים","מיקוד בהבנה והבעה"))))))</f>
        <v/>
      </c>
      <c r="AC213" s="32">
        <f>IF(OR($AB213="",LEFT($AB213,1)="—"),"",IF(OR($AB213="מיקוד בשטף קריאה",$AB213="מיקוד בשטף הקריאה ובכישורי שפה"),"רמה א'",IF($AB213="קוראים וכותבים מיומנים","רמה ג'","רמה ב'")))</f>
        <v/>
      </c>
      <c r="AD213" s="32">
        <f>IF($AC213="","",MID(IF(AND($AC213="רמה א'",$AA213="ניכרת"),"; להוסיף עבודת אוצר מילים","")&amp;IF($Z213="אינה מפותחת","; דגש על הבעה בכתב","")&amp;IF($K213&lt;&gt;"תקין","; נדרש לעבוד על ההנגנה","")&amp;IF($AK213&lt;&gt;"","; "&amp;$AK213,""),3,400))</f>
        <v/>
      </c>
      <c r="AE213" s="32">
        <f>IF($F213="","",IF($F213="תחילת שנה",1,IF($F213="מחצית שנה",2,3)))</f>
        <v/>
      </c>
      <c r="AF213" s="32">
        <f>IF(OR($B213="",$AC213="",$A213="",$F213=""),"",$B213&amp;"|"&amp;$A213&amp;"|"&amp;$F213&amp;"|"&amp;$AC213&amp;"|"&amp;COUNTIFS($B$6:$B213,$B213,$A$6:$A213,$A213,$F$6:$F213,$F213,$AC$6:$AC213,$AC213))</f>
        <v/>
      </c>
      <c r="AG213" s="32">
        <f>IF($C213="","",$C213&amp;"|"&amp;COUNTIFS($C$6:$C213,$C213))</f>
        <v/>
      </c>
      <c r="AH213" s="32">
        <f>IF(OR($C213="",$A213="",$AE213=""),"",$C213&amp;"|"&amp;$A213&amp;"|"&amp;$AE213)</f>
        <v/>
      </c>
      <c r="AI213" s="32">
        <f>IF(OR($C213="",$AE213="",$AE213=1),"",IFERROR(INDEX($AC$6:$AC$1505,MATCH($C213&amp;"|"&amp;$A213&amp;"|"&amp;($AE213-1),$AH$6:$AH$1505,0)),""))</f>
        <v/>
      </c>
      <c r="AJ213" s="32">
        <f>IF(OR($AI213="",$AC213=""),"",IF($AI213=$AC213,"ללא שינוי","מ-"&amp;$AI213&amp;" ל-"&amp;$AC213))</f>
        <v/>
      </c>
      <c r="AK213" s="67" t="n"/>
    </row>
    <row r="214" ht="15.75" customHeight="1" s="58">
      <c r="A214" s="65" t="n"/>
      <c r="B214" s="65" t="n"/>
      <c r="C214" s="66" t="n"/>
      <c r="D214" s="66" t="n"/>
      <c r="E214" s="65" t="n"/>
      <c r="F214" s="65" t="n"/>
      <c r="G214" s="65" t="n"/>
      <c r="H214" s="65" t="n"/>
      <c r="I214" s="65" t="n"/>
      <c r="J214" s="65" t="n"/>
      <c r="K214" s="65" t="n"/>
      <c r="L214" s="65" t="n"/>
      <c r="M214" s="65" t="n"/>
      <c r="N214" s="65" t="n"/>
      <c r="O214" s="65" t="n"/>
      <c r="P214" s="65" t="n"/>
      <c r="Q214" s="65" t="n"/>
      <c r="R214" s="65" t="n"/>
      <c r="S214" s="65" t="n"/>
      <c r="T214" s="65" t="n"/>
      <c r="U214" s="65" t="n"/>
      <c r="V214" s="65" t="n"/>
      <c r="W214" s="65" t="n"/>
      <c r="X214" s="65" t="n"/>
      <c r="Y214" s="32">
        <f>IF($C214="","",IF(COUNTA($I214:$K214)&lt;3,"— חסרים נתונים",IF(AND($I214="תקין",$J214="תקין",$K214="תקין"),"רהוטה",IF(AND($I214="תקין",$J214="תקין"),"מדויקת ורציפה","אינה מדויקת או מקוטעת"))))</f>
        <v/>
      </c>
      <c r="Z214" s="32">
        <f>IF($C214="","",IF(COUNTA($U214:$W214)&lt;3,"",IF(AND($U214="מפותח",$V214="מפותח",$W214="מפותחת"),"מפותחת",IF((--($U214="דל"))+(--($V214="אינו מפותח"))+(--($W214="דלה"))&gt;=2,"אינה מפותחת","חלקית"))))</f>
        <v/>
      </c>
      <c r="AA214" s="32">
        <f>IF($C214="","",IF(COUNTA($M214,$N214,$O214)&lt;3,"— חסרים נתונים",IF(OR($M214="נמוכה",(--($M214&lt;&gt;"תקינה"))+(--($N214&lt;&gt;"תקין"))+(--($O214&lt;&gt;"תקינה"))&gt;=2),"ניכרת","אינה ניכרת")))</f>
        <v/>
      </c>
      <c r="AB214" s="32">
        <f>IF(OR($C214="",$Y214="",$AA214="",LEFT($Y214,1)="—",LEFT($AA214,1)="—"),"",IF($Z214="","— נדרשת הערכת כתיבה",IF($L214="","— חסרה הבנת הנקרא",IF($Y214="אינה מדויקת או מקוטעת",IF($AA214="ניכרת","מיקוד בשטף הקריאה ובכישורי שפה","מיקוד בשטף קריאה"),IF($AA214="ניכרת","מיקוד בכישורי שפה",IF(AND($L214="תקינה",$Z214="מפותחת"),"קוראים וכותבים מיומנים","מיקוד בהבנה והבעה"))))))</f>
        <v/>
      </c>
      <c r="AC214" s="32">
        <f>IF(OR($AB214="",LEFT($AB214,1)="—"),"",IF(OR($AB214="מיקוד בשטף קריאה",$AB214="מיקוד בשטף הקריאה ובכישורי שפה"),"רמה א'",IF($AB214="קוראים וכותבים מיומנים","רמה ג'","רמה ב'")))</f>
        <v/>
      </c>
      <c r="AD214" s="32">
        <f>IF($AC214="","",MID(IF(AND($AC214="רמה א'",$AA214="ניכרת"),"; להוסיף עבודת אוצר מילים","")&amp;IF($Z214="אינה מפותחת","; דגש על הבעה בכתב","")&amp;IF($K214&lt;&gt;"תקין","; נדרש לעבוד על ההנגנה","")&amp;IF($AK214&lt;&gt;"","; "&amp;$AK214,""),3,400))</f>
        <v/>
      </c>
      <c r="AE214" s="32">
        <f>IF($F214="","",IF($F214="תחילת שנה",1,IF($F214="מחצית שנה",2,3)))</f>
        <v/>
      </c>
      <c r="AF214" s="32">
        <f>IF(OR($B214="",$AC214="",$A214="",$F214=""),"",$B214&amp;"|"&amp;$A214&amp;"|"&amp;$F214&amp;"|"&amp;$AC214&amp;"|"&amp;COUNTIFS($B$6:$B214,$B214,$A$6:$A214,$A214,$F$6:$F214,$F214,$AC$6:$AC214,$AC214))</f>
        <v/>
      </c>
      <c r="AG214" s="32">
        <f>IF($C214="","",$C214&amp;"|"&amp;COUNTIFS($C$6:$C214,$C214))</f>
        <v/>
      </c>
      <c r="AH214" s="32">
        <f>IF(OR($C214="",$A214="",$AE214=""),"",$C214&amp;"|"&amp;$A214&amp;"|"&amp;$AE214)</f>
        <v/>
      </c>
      <c r="AI214" s="32">
        <f>IF(OR($C214="",$AE214="",$AE214=1),"",IFERROR(INDEX($AC$6:$AC$1505,MATCH($C214&amp;"|"&amp;$A214&amp;"|"&amp;($AE214-1),$AH$6:$AH$1505,0)),""))</f>
        <v/>
      </c>
      <c r="AJ214" s="32">
        <f>IF(OR($AI214="",$AC214=""),"",IF($AI214=$AC214,"ללא שינוי","מ-"&amp;$AI214&amp;" ל-"&amp;$AC214))</f>
        <v/>
      </c>
      <c r="AK214" s="67" t="n"/>
    </row>
    <row r="215" ht="15.75" customHeight="1" s="58">
      <c r="A215" s="65" t="n"/>
      <c r="B215" s="65" t="n"/>
      <c r="C215" s="66" t="n"/>
      <c r="D215" s="66" t="n"/>
      <c r="E215" s="65" t="n"/>
      <c r="F215" s="65" t="n"/>
      <c r="G215" s="65" t="n"/>
      <c r="H215" s="65" t="n"/>
      <c r="I215" s="65" t="n"/>
      <c r="J215" s="65" t="n"/>
      <c r="K215" s="65" t="n"/>
      <c r="L215" s="65" t="n"/>
      <c r="M215" s="65" t="n"/>
      <c r="N215" s="65" t="n"/>
      <c r="O215" s="65" t="n"/>
      <c r="P215" s="65" t="n"/>
      <c r="Q215" s="65" t="n"/>
      <c r="R215" s="65" t="n"/>
      <c r="S215" s="65" t="n"/>
      <c r="T215" s="65" t="n"/>
      <c r="U215" s="65" t="n"/>
      <c r="V215" s="65" t="n"/>
      <c r="W215" s="65" t="n"/>
      <c r="X215" s="65" t="n"/>
      <c r="Y215" s="32">
        <f>IF($C215="","",IF(COUNTA($I215:$K215)&lt;3,"— חסרים נתונים",IF(AND($I215="תקין",$J215="תקין",$K215="תקין"),"רהוטה",IF(AND($I215="תקין",$J215="תקין"),"מדויקת ורציפה","אינה מדויקת או מקוטעת"))))</f>
        <v/>
      </c>
      <c r="Z215" s="32">
        <f>IF($C215="","",IF(COUNTA($U215:$W215)&lt;3,"",IF(AND($U215="מפותח",$V215="מפותח",$W215="מפותחת"),"מפותחת",IF((--($U215="דל"))+(--($V215="אינו מפותח"))+(--($W215="דלה"))&gt;=2,"אינה מפותחת","חלקית"))))</f>
        <v/>
      </c>
      <c r="AA215" s="32">
        <f>IF($C215="","",IF(COUNTA($M215,$N215,$O215)&lt;3,"— חסרים נתונים",IF(OR($M215="נמוכה",(--($M215&lt;&gt;"תקינה"))+(--($N215&lt;&gt;"תקין"))+(--($O215&lt;&gt;"תקינה"))&gt;=2),"ניכרת","אינה ניכרת")))</f>
        <v/>
      </c>
      <c r="AB215" s="32">
        <f>IF(OR($C215="",$Y215="",$AA215="",LEFT($Y215,1)="—",LEFT($AA215,1)="—"),"",IF($Z215="","— נדרשת הערכת כתיבה",IF($L215="","— חסרה הבנת הנקרא",IF($Y215="אינה מדויקת או מקוטעת",IF($AA215="ניכרת","מיקוד בשטף הקריאה ובכישורי שפה","מיקוד בשטף קריאה"),IF($AA215="ניכרת","מיקוד בכישורי שפה",IF(AND($L215="תקינה",$Z215="מפותחת"),"קוראים וכותבים מיומנים","מיקוד בהבנה והבעה"))))))</f>
        <v/>
      </c>
      <c r="AC215" s="32">
        <f>IF(OR($AB215="",LEFT($AB215,1)="—"),"",IF(OR($AB215="מיקוד בשטף קריאה",$AB215="מיקוד בשטף הקריאה ובכישורי שפה"),"רמה א'",IF($AB215="קוראים וכותבים מיומנים","רמה ג'","רמה ב'")))</f>
        <v/>
      </c>
      <c r="AD215" s="32">
        <f>IF($AC215="","",MID(IF(AND($AC215="רמה א'",$AA215="ניכרת"),"; להוסיף עבודת אוצר מילים","")&amp;IF($Z215="אינה מפותחת","; דגש על הבעה בכתב","")&amp;IF($K215&lt;&gt;"תקין","; נדרש לעבוד על ההנגנה","")&amp;IF($AK215&lt;&gt;"","; "&amp;$AK215,""),3,400))</f>
        <v/>
      </c>
      <c r="AE215" s="32">
        <f>IF($F215="","",IF($F215="תחילת שנה",1,IF($F215="מחצית שנה",2,3)))</f>
        <v/>
      </c>
      <c r="AF215" s="32">
        <f>IF(OR($B215="",$AC215="",$A215="",$F215=""),"",$B215&amp;"|"&amp;$A215&amp;"|"&amp;$F215&amp;"|"&amp;$AC215&amp;"|"&amp;COUNTIFS($B$6:$B215,$B215,$A$6:$A215,$A215,$F$6:$F215,$F215,$AC$6:$AC215,$AC215))</f>
        <v/>
      </c>
      <c r="AG215" s="32">
        <f>IF($C215="","",$C215&amp;"|"&amp;COUNTIFS($C$6:$C215,$C215))</f>
        <v/>
      </c>
      <c r="AH215" s="32">
        <f>IF(OR($C215="",$A215="",$AE215=""),"",$C215&amp;"|"&amp;$A215&amp;"|"&amp;$AE215)</f>
        <v/>
      </c>
      <c r="AI215" s="32">
        <f>IF(OR($C215="",$AE215="",$AE215=1),"",IFERROR(INDEX($AC$6:$AC$1505,MATCH($C215&amp;"|"&amp;$A215&amp;"|"&amp;($AE215-1),$AH$6:$AH$1505,0)),""))</f>
        <v/>
      </c>
      <c r="AJ215" s="32">
        <f>IF(OR($AI215="",$AC215=""),"",IF($AI215=$AC215,"ללא שינוי","מ-"&amp;$AI215&amp;" ל-"&amp;$AC215))</f>
        <v/>
      </c>
      <c r="AK215" s="67" t="n"/>
    </row>
    <row r="216" ht="15.75" customHeight="1" s="58">
      <c r="A216" s="65" t="n"/>
      <c r="B216" s="65" t="n"/>
      <c r="C216" s="66" t="n"/>
      <c r="D216" s="66" t="n"/>
      <c r="E216" s="65" t="n"/>
      <c r="F216" s="65" t="n"/>
      <c r="G216" s="65" t="n"/>
      <c r="H216" s="65" t="n"/>
      <c r="I216" s="65" t="n"/>
      <c r="J216" s="65" t="n"/>
      <c r="K216" s="65" t="n"/>
      <c r="L216" s="65" t="n"/>
      <c r="M216" s="65" t="n"/>
      <c r="N216" s="65" t="n"/>
      <c r="O216" s="65" t="n"/>
      <c r="P216" s="65" t="n"/>
      <c r="Q216" s="65" t="n"/>
      <c r="R216" s="65" t="n"/>
      <c r="S216" s="65" t="n"/>
      <c r="T216" s="65" t="n"/>
      <c r="U216" s="65" t="n"/>
      <c r="V216" s="65" t="n"/>
      <c r="W216" s="65" t="n"/>
      <c r="X216" s="65" t="n"/>
      <c r="Y216" s="32">
        <f>IF($C216="","",IF(COUNTA($I216:$K216)&lt;3,"— חסרים נתונים",IF(AND($I216="תקין",$J216="תקין",$K216="תקין"),"רהוטה",IF(AND($I216="תקין",$J216="תקין"),"מדויקת ורציפה","אינה מדויקת או מקוטעת"))))</f>
        <v/>
      </c>
      <c r="Z216" s="32">
        <f>IF($C216="","",IF(COUNTA($U216:$W216)&lt;3,"",IF(AND($U216="מפותח",$V216="מפותח",$W216="מפותחת"),"מפותחת",IF((--($U216="דל"))+(--($V216="אינו מפותח"))+(--($W216="דלה"))&gt;=2,"אינה מפותחת","חלקית"))))</f>
        <v/>
      </c>
      <c r="AA216" s="32">
        <f>IF($C216="","",IF(COUNTA($M216,$N216,$O216)&lt;3,"— חסרים נתונים",IF(OR($M216="נמוכה",(--($M216&lt;&gt;"תקינה"))+(--($N216&lt;&gt;"תקין"))+(--($O216&lt;&gt;"תקינה"))&gt;=2),"ניכרת","אינה ניכרת")))</f>
        <v/>
      </c>
      <c r="AB216" s="32">
        <f>IF(OR($C216="",$Y216="",$AA216="",LEFT($Y216,1)="—",LEFT($AA216,1)="—"),"",IF($Z216="","— נדרשת הערכת כתיבה",IF($L216="","— חסרה הבנת הנקרא",IF($Y216="אינה מדויקת או מקוטעת",IF($AA216="ניכרת","מיקוד בשטף הקריאה ובכישורי שפה","מיקוד בשטף קריאה"),IF($AA216="ניכרת","מיקוד בכישורי שפה",IF(AND($L216="תקינה",$Z216="מפותחת"),"קוראים וכותבים מיומנים","מיקוד בהבנה והבעה"))))))</f>
        <v/>
      </c>
      <c r="AC216" s="32">
        <f>IF(OR($AB216="",LEFT($AB216,1)="—"),"",IF(OR($AB216="מיקוד בשטף קריאה",$AB216="מיקוד בשטף הקריאה ובכישורי שפה"),"רמה א'",IF($AB216="קוראים וכותבים מיומנים","רמה ג'","רמה ב'")))</f>
        <v/>
      </c>
      <c r="AD216" s="32">
        <f>IF($AC216="","",MID(IF(AND($AC216="רמה א'",$AA216="ניכרת"),"; להוסיף עבודת אוצר מילים","")&amp;IF($Z216="אינה מפותחת","; דגש על הבעה בכתב","")&amp;IF($K216&lt;&gt;"תקין","; נדרש לעבוד על ההנגנה","")&amp;IF($AK216&lt;&gt;"","; "&amp;$AK216,""),3,400))</f>
        <v/>
      </c>
      <c r="AE216" s="32">
        <f>IF($F216="","",IF($F216="תחילת שנה",1,IF($F216="מחצית שנה",2,3)))</f>
        <v/>
      </c>
      <c r="AF216" s="32">
        <f>IF(OR($B216="",$AC216="",$A216="",$F216=""),"",$B216&amp;"|"&amp;$A216&amp;"|"&amp;$F216&amp;"|"&amp;$AC216&amp;"|"&amp;COUNTIFS($B$6:$B216,$B216,$A$6:$A216,$A216,$F$6:$F216,$F216,$AC$6:$AC216,$AC216))</f>
        <v/>
      </c>
      <c r="AG216" s="32">
        <f>IF($C216="","",$C216&amp;"|"&amp;COUNTIFS($C$6:$C216,$C216))</f>
        <v/>
      </c>
      <c r="AH216" s="32">
        <f>IF(OR($C216="",$A216="",$AE216=""),"",$C216&amp;"|"&amp;$A216&amp;"|"&amp;$AE216)</f>
        <v/>
      </c>
      <c r="AI216" s="32">
        <f>IF(OR($C216="",$AE216="",$AE216=1),"",IFERROR(INDEX($AC$6:$AC$1505,MATCH($C216&amp;"|"&amp;$A216&amp;"|"&amp;($AE216-1),$AH$6:$AH$1505,0)),""))</f>
        <v/>
      </c>
      <c r="AJ216" s="32">
        <f>IF(OR($AI216="",$AC216=""),"",IF($AI216=$AC216,"ללא שינוי","מ-"&amp;$AI216&amp;" ל-"&amp;$AC216))</f>
        <v/>
      </c>
      <c r="AK216" s="67" t="n"/>
    </row>
    <row r="217" ht="15.75" customHeight="1" s="58">
      <c r="A217" s="65" t="n"/>
      <c r="B217" s="65" t="n"/>
      <c r="C217" s="66" t="n"/>
      <c r="D217" s="66" t="n"/>
      <c r="E217" s="65" t="n"/>
      <c r="F217" s="65" t="n"/>
      <c r="G217" s="65" t="n"/>
      <c r="H217" s="65" t="n"/>
      <c r="I217" s="65" t="n"/>
      <c r="J217" s="65" t="n"/>
      <c r="K217" s="65" t="n"/>
      <c r="L217" s="65" t="n"/>
      <c r="M217" s="65" t="n"/>
      <c r="N217" s="65" t="n"/>
      <c r="O217" s="65" t="n"/>
      <c r="P217" s="65" t="n"/>
      <c r="Q217" s="65" t="n"/>
      <c r="R217" s="65" t="n"/>
      <c r="S217" s="65" t="n"/>
      <c r="T217" s="65" t="n"/>
      <c r="U217" s="65" t="n"/>
      <c r="V217" s="65" t="n"/>
      <c r="W217" s="65" t="n"/>
      <c r="X217" s="65" t="n"/>
      <c r="Y217" s="32">
        <f>IF($C217="","",IF(COUNTA($I217:$K217)&lt;3,"— חסרים נתונים",IF(AND($I217="תקין",$J217="תקין",$K217="תקין"),"רהוטה",IF(AND($I217="תקין",$J217="תקין"),"מדויקת ורציפה","אינה מדויקת או מקוטעת"))))</f>
        <v/>
      </c>
      <c r="Z217" s="32">
        <f>IF($C217="","",IF(COUNTA($U217:$W217)&lt;3,"",IF(AND($U217="מפותח",$V217="מפותח",$W217="מפותחת"),"מפותחת",IF((--($U217="דל"))+(--($V217="אינו מפותח"))+(--($W217="דלה"))&gt;=2,"אינה מפותחת","חלקית"))))</f>
        <v/>
      </c>
      <c r="AA217" s="32">
        <f>IF($C217="","",IF(COUNTA($M217,$N217,$O217)&lt;3,"— חסרים נתונים",IF(OR($M217="נמוכה",(--($M217&lt;&gt;"תקינה"))+(--($N217&lt;&gt;"תקין"))+(--($O217&lt;&gt;"תקינה"))&gt;=2),"ניכרת","אינה ניכרת")))</f>
        <v/>
      </c>
      <c r="AB217" s="32">
        <f>IF(OR($C217="",$Y217="",$AA217="",LEFT($Y217,1)="—",LEFT($AA217,1)="—"),"",IF($Z217="","— נדרשת הערכת כתיבה",IF($L217="","— חסרה הבנת הנקרא",IF($Y217="אינה מדויקת או מקוטעת",IF($AA217="ניכרת","מיקוד בשטף הקריאה ובכישורי שפה","מיקוד בשטף קריאה"),IF($AA217="ניכרת","מיקוד בכישורי שפה",IF(AND($L217="תקינה",$Z217="מפותחת"),"קוראים וכותבים מיומנים","מיקוד בהבנה והבעה"))))))</f>
        <v/>
      </c>
      <c r="AC217" s="32">
        <f>IF(OR($AB217="",LEFT($AB217,1)="—"),"",IF(OR($AB217="מיקוד בשטף קריאה",$AB217="מיקוד בשטף הקריאה ובכישורי שפה"),"רמה א'",IF($AB217="קוראים וכותבים מיומנים","רמה ג'","רמה ב'")))</f>
        <v/>
      </c>
      <c r="AD217" s="32">
        <f>IF($AC217="","",MID(IF(AND($AC217="רמה א'",$AA217="ניכרת"),"; להוסיף עבודת אוצר מילים","")&amp;IF($Z217="אינה מפותחת","; דגש על הבעה בכתב","")&amp;IF($K217&lt;&gt;"תקין","; נדרש לעבוד על ההנגנה","")&amp;IF($AK217&lt;&gt;"","; "&amp;$AK217,""),3,400))</f>
        <v/>
      </c>
      <c r="AE217" s="32">
        <f>IF($F217="","",IF($F217="תחילת שנה",1,IF($F217="מחצית שנה",2,3)))</f>
        <v/>
      </c>
      <c r="AF217" s="32">
        <f>IF(OR($B217="",$AC217="",$A217="",$F217=""),"",$B217&amp;"|"&amp;$A217&amp;"|"&amp;$F217&amp;"|"&amp;$AC217&amp;"|"&amp;COUNTIFS($B$6:$B217,$B217,$A$6:$A217,$A217,$F$6:$F217,$F217,$AC$6:$AC217,$AC217))</f>
        <v/>
      </c>
      <c r="AG217" s="32">
        <f>IF($C217="","",$C217&amp;"|"&amp;COUNTIFS($C$6:$C217,$C217))</f>
        <v/>
      </c>
      <c r="AH217" s="32">
        <f>IF(OR($C217="",$A217="",$AE217=""),"",$C217&amp;"|"&amp;$A217&amp;"|"&amp;$AE217)</f>
        <v/>
      </c>
      <c r="AI217" s="32">
        <f>IF(OR($C217="",$AE217="",$AE217=1),"",IFERROR(INDEX($AC$6:$AC$1505,MATCH($C217&amp;"|"&amp;$A217&amp;"|"&amp;($AE217-1),$AH$6:$AH$1505,0)),""))</f>
        <v/>
      </c>
      <c r="AJ217" s="32">
        <f>IF(OR($AI217="",$AC217=""),"",IF($AI217=$AC217,"ללא שינוי","מ-"&amp;$AI217&amp;" ל-"&amp;$AC217))</f>
        <v/>
      </c>
      <c r="AK217" s="67" t="n"/>
    </row>
    <row r="218" ht="15.75" customHeight="1" s="58">
      <c r="A218" s="65" t="n"/>
      <c r="B218" s="65" t="n"/>
      <c r="C218" s="66" t="n"/>
      <c r="D218" s="66" t="n"/>
      <c r="E218" s="65" t="n"/>
      <c r="F218" s="65" t="n"/>
      <c r="G218" s="65" t="n"/>
      <c r="H218" s="65" t="n"/>
      <c r="I218" s="65" t="n"/>
      <c r="J218" s="65" t="n"/>
      <c r="K218" s="65" t="n"/>
      <c r="L218" s="65" t="n"/>
      <c r="M218" s="65" t="n"/>
      <c r="N218" s="65" t="n"/>
      <c r="O218" s="65" t="n"/>
      <c r="P218" s="65" t="n"/>
      <c r="Q218" s="65" t="n"/>
      <c r="R218" s="65" t="n"/>
      <c r="S218" s="65" t="n"/>
      <c r="T218" s="65" t="n"/>
      <c r="U218" s="65" t="n"/>
      <c r="V218" s="65" t="n"/>
      <c r="W218" s="65" t="n"/>
      <c r="X218" s="65" t="n"/>
      <c r="Y218" s="32">
        <f>IF($C218="","",IF(COUNTA($I218:$K218)&lt;3,"— חסרים נתונים",IF(AND($I218="תקין",$J218="תקין",$K218="תקין"),"רהוטה",IF(AND($I218="תקין",$J218="תקין"),"מדויקת ורציפה","אינה מדויקת או מקוטעת"))))</f>
        <v/>
      </c>
      <c r="Z218" s="32">
        <f>IF($C218="","",IF(COUNTA($U218:$W218)&lt;3,"",IF(AND($U218="מפותח",$V218="מפותח",$W218="מפותחת"),"מפותחת",IF((--($U218="דל"))+(--($V218="אינו מפותח"))+(--($W218="דלה"))&gt;=2,"אינה מפותחת","חלקית"))))</f>
        <v/>
      </c>
      <c r="AA218" s="32">
        <f>IF($C218="","",IF(COUNTA($M218,$N218,$O218)&lt;3,"— חסרים נתונים",IF(OR($M218="נמוכה",(--($M218&lt;&gt;"תקינה"))+(--($N218&lt;&gt;"תקין"))+(--($O218&lt;&gt;"תקינה"))&gt;=2),"ניכרת","אינה ניכרת")))</f>
        <v/>
      </c>
      <c r="AB218" s="32">
        <f>IF(OR($C218="",$Y218="",$AA218="",LEFT($Y218,1)="—",LEFT($AA218,1)="—"),"",IF($Z218="","— נדרשת הערכת כתיבה",IF($L218="","— חסרה הבנת הנקרא",IF($Y218="אינה מדויקת או מקוטעת",IF($AA218="ניכרת","מיקוד בשטף הקריאה ובכישורי שפה","מיקוד בשטף קריאה"),IF($AA218="ניכרת","מיקוד בכישורי שפה",IF(AND($L218="תקינה",$Z218="מפותחת"),"קוראים וכותבים מיומנים","מיקוד בהבנה והבעה"))))))</f>
        <v/>
      </c>
      <c r="AC218" s="32">
        <f>IF(OR($AB218="",LEFT($AB218,1)="—"),"",IF(OR($AB218="מיקוד בשטף קריאה",$AB218="מיקוד בשטף הקריאה ובכישורי שפה"),"רמה א'",IF($AB218="קוראים וכותבים מיומנים","רמה ג'","רמה ב'")))</f>
        <v/>
      </c>
      <c r="AD218" s="32">
        <f>IF($AC218="","",MID(IF(AND($AC218="רמה א'",$AA218="ניכרת"),"; להוסיף עבודת אוצר מילים","")&amp;IF($Z218="אינה מפותחת","; דגש על הבעה בכתב","")&amp;IF($K218&lt;&gt;"תקין","; נדרש לעבוד על ההנגנה","")&amp;IF($AK218&lt;&gt;"","; "&amp;$AK218,""),3,400))</f>
        <v/>
      </c>
      <c r="AE218" s="32">
        <f>IF($F218="","",IF($F218="תחילת שנה",1,IF($F218="מחצית שנה",2,3)))</f>
        <v/>
      </c>
      <c r="AF218" s="32">
        <f>IF(OR($B218="",$AC218="",$A218="",$F218=""),"",$B218&amp;"|"&amp;$A218&amp;"|"&amp;$F218&amp;"|"&amp;$AC218&amp;"|"&amp;COUNTIFS($B$6:$B218,$B218,$A$6:$A218,$A218,$F$6:$F218,$F218,$AC$6:$AC218,$AC218))</f>
        <v/>
      </c>
      <c r="AG218" s="32">
        <f>IF($C218="","",$C218&amp;"|"&amp;COUNTIFS($C$6:$C218,$C218))</f>
        <v/>
      </c>
      <c r="AH218" s="32">
        <f>IF(OR($C218="",$A218="",$AE218=""),"",$C218&amp;"|"&amp;$A218&amp;"|"&amp;$AE218)</f>
        <v/>
      </c>
      <c r="AI218" s="32">
        <f>IF(OR($C218="",$AE218="",$AE218=1),"",IFERROR(INDEX($AC$6:$AC$1505,MATCH($C218&amp;"|"&amp;$A218&amp;"|"&amp;($AE218-1),$AH$6:$AH$1505,0)),""))</f>
        <v/>
      </c>
      <c r="AJ218" s="32">
        <f>IF(OR($AI218="",$AC218=""),"",IF($AI218=$AC218,"ללא שינוי","מ-"&amp;$AI218&amp;" ל-"&amp;$AC218))</f>
        <v/>
      </c>
      <c r="AK218" s="67" t="n"/>
    </row>
    <row r="219" ht="15.75" customHeight="1" s="58">
      <c r="A219" s="65" t="n"/>
      <c r="B219" s="65" t="n"/>
      <c r="C219" s="66" t="n"/>
      <c r="D219" s="66" t="n"/>
      <c r="E219" s="65" t="n"/>
      <c r="F219" s="65" t="n"/>
      <c r="G219" s="65" t="n"/>
      <c r="H219" s="65" t="n"/>
      <c r="I219" s="65" t="n"/>
      <c r="J219" s="65" t="n"/>
      <c r="K219" s="65" t="n"/>
      <c r="L219" s="65" t="n"/>
      <c r="M219" s="65" t="n"/>
      <c r="N219" s="65" t="n"/>
      <c r="O219" s="65" t="n"/>
      <c r="P219" s="65" t="n"/>
      <c r="Q219" s="65" t="n"/>
      <c r="R219" s="65" t="n"/>
      <c r="S219" s="65" t="n"/>
      <c r="T219" s="65" t="n"/>
      <c r="U219" s="65" t="n"/>
      <c r="V219" s="65" t="n"/>
      <c r="W219" s="65" t="n"/>
      <c r="X219" s="65" t="n"/>
      <c r="Y219" s="32">
        <f>IF($C219="","",IF(COUNTA($I219:$K219)&lt;3,"— חסרים נתונים",IF(AND($I219="תקין",$J219="תקין",$K219="תקין"),"רהוטה",IF(AND($I219="תקין",$J219="תקין"),"מדויקת ורציפה","אינה מדויקת או מקוטעת"))))</f>
        <v/>
      </c>
      <c r="Z219" s="32">
        <f>IF($C219="","",IF(COUNTA($U219:$W219)&lt;3,"",IF(AND($U219="מפותח",$V219="מפותח",$W219="מפותחת"),"מפותחת",IF((--($U219="דל"))+(--($V219="אינו מפותח"))+(--($W219="דלה"))&gt;=2,"אינה מפותחת","חלקית"))))</f>
        <v/>
      </c>
      <c r="AA219" s="32">
        <f>IF($C219="","",IF(COUNTA($M219,$N219,$O219)&lt;3,"— חסרים נתונים",IF(OR($M219="נמוכה",(--($M219&lt;&gt;"תקינה"))+(--($N219&lt;&gt;"תקין"))+(--($O219&lt;&gt;"תקינה"))&gt;=2),"ניכרת","אינה ניכרת")))</f>
        <v/>
      </c>
      <c r="AB219" s="32">
        <f>IF(OR($C219="",$Y219="",$AA219="",LEFT($Y219,1)="—",LEFT($AA219,1)="—"),"",IF($Z219="","— נדרשת הערכת כתיבה",IF($L219="","— חסרה הבנת הנקרא",IF($Y219="אינה מדויקת או מקוטעת",IF($AA219="ניכרת","מיקוד בשטף הקריאה ובכישורי שפה","מיקוד בשטף קריאה"),IF($AA219="ניכרת","מיקוד בכישורי שפה",IF(AND($L219="תקינה",$Z219="מפותחת"),"קוראים וכותבים מיומנים","מיקוד בהבנה והבעה"))))))</f>
        <v/>
      </c>
      <c r="AC219" s="32">
        <f>IF(OR($AB219="",LEFT($AB219,1)="—"),"",IF(OR($AB219="מיקוד בשטף קריאה",$AB219="מיקוד בשטף הקריאה ובכישורי שפה"),"רמה א'",IF($AB219="קוראים וכותבים מיומנים","רמה ג'","רמה ב'")))</f>
        <v/>
      </c>
      <c r="AD219" s="32">
        <f>IF($AC219="","",MID(IF(AND($AC219="רמה א'",$AA219="ניכרת"),"; להוסיף עבודת אוצר מילים","")&amp;IF($Z219="אינה מפותחת","; דגש על הבעה בכתב","")&amp;IF($K219&lt;&gt;"תקין","; נדרש לעבוד על ההנגנה","")&amp;IF($AK219&lt;&gt;"","; "&amp;$AK219,""),3,400))</f>
        <v/>
      </c>
      <c r="AE219" s="32">
        <f>IF($F219="","",IF($F219="תחילת שנה",1,IF($F219="מחצית שנה",2,3)))</f>
        <v/>
      </c>
      <c r="AF219" s="32">
        <f>IF(OR($B219="",$AC219="",$A219="",$F219=""),"",$B219&amp;"|"&amp;$A219&amp;"|"&amp;$F219&amp;"|"&amp;$AC219&amp;"|"&amp;COUNTIFS($B$6:$B219,$B219,$A$6:$A219,$A219,$F$6:$F219,$F219,$AC$6:$AC219,$AC219))</f>
        <v/>
      </c>
      <c r="AG219" s="32">
        <f>IF($C219="","",$C219&amp;"|"&amp;COUNTIFS($C$6:$C219,$C219))</f>
        <v/>
      </c>
      <c r="AH219" s="32">
        <f>IF(OR($C219="",$A219="",$AE219=""),"",$C219&amp;"|"&amp;$A219&amp;"|"&amp;$AE219)</f>
        <v/>
      </c>
      <c r="AI219" s="32">
        <f>IF(OR($C219="",$AE219="",$AE219=1),"",IFERROR(INDEX($AC$6:$AC$1505,MATCH($C219&amp;"|"&amp;$A219&amp;"|"&amp;($AE219-1),$AH$6:$AH$1505,0)),""))</f>
        <v/>
      </c>
      <c r="AJ219" s="32">
        <f>IF(OR($AI219="",$AC219=""),"",IF($AI219=$AC219,"ללא שינוי","מ-"&amp;$AI219&amp;" ל-"&amp;$AC219))</f>
        <v/>
      </c>
      <c r="AK219" s="67" t="n"/>
    </row>
    <row r="220" ht="15.75" customHeight="1" s="58">
      <c r="A220" s="65" t="n"/>
      <c r="B220" s="65" t="n"/>
      <c r="C220" s="66" t="n"/>
      <c r="D220" s="66" t="n"/>
      <c r="E220" s="65" t="n"/>
      <c r="F220" s="65" t="n"/>
      <c r="G220" s="65" t="n"/>
      <c r="H220" s="65" t="n"/>
      <c r="I220" s="65" t="n"/>
      <c r="J220" s="65" t="n"/>
      <c r="K220" s="65" t="n"/>
      <c r="L220" s="65" t="n"/>
      <c r="M220" s="65" t="n"/>
      <c r="N220" s="65" t="n"/>
      <c r="O220" s="65" t="n"/>
      <c r="P220" s="65" t="n"/>
      <c r="Q220" s="65" t="n"/>
      <c r="R220" s="65" t="n"/>
      <c r="S220" s="65" t="n"/>
      <c r="T220" s="65" t="n"/>
      <c r="U220" s="65" t="n"/>
      <c r="V220" s="65" t="n"/>
      <c r="W220" s="65" t="n"/>
      <c r="X220" s="65" t="n"/>
      <c r="Y220" s="32">
        <f>IF($C220="","",IF(COUNTA($I220:$K220)&lt;3,"— חסרים נתונים",IF(AND($I220="תקין",$J220="תקין",$K220="תקין"),"רהוטה",IF(AND($I220="תקין",$J220="תקין"),"מדויקת ורציפה","אינה מדויקת או מקוטעת"))))</f>
        <v/>
      </c>
      <c r="Z220" s="32">
        <f>IF($C220="","",IF(COUNTA($U220:$W220)&lt;3,"",IF(AND($U220="מפותח",$V220="מפותח",$W220="מפותחת"),"מפותחת",IF((--($U220="דל"))+(--($V220="אינו מפותח"))+(--($W220="דלה"))&gt;=2,"אינה מפותחת","חלקית"))))</f>
        <v/>
      </c>
      <c r="AA220" s="32">
        <f>IF($C220="","",IF(COUNTA($M220,$N220,$O220)&lt;3,"— חסרים נתונים",IF(OR($M220="נמוכה",(--($M220&lt;&gt;"תקינה"))+(--($N220&lt;&gt;"תקין"))+(--($O220&lt;&gt;"תקינה"))&gt;=2),"ניכרת","אינה ניכרת")))</f>
        <v/>
      </c>
      <c r="AB220" s="32">
        <f>IF(OR($C220="",$Y220="",$AA220="",LEFT($Y220,1)="—",LEFT($AA220,1)="—"),"",IF($Z220="","— נדרשת הערכת כתיבה",IF($L220="","— חסרה הבנת הנקרא",IF($Y220="אינה מדויקת או מקוטעת",IF($AA220="ניכרת","מיקוד בשטף הקריאה ובכישורי שפה","מיקוד בשטף קריאה"),IF($AA220="ניכרת","מיקוד בכישורי שפה",IF(AND($L220="תקינה",$Z220="מפותחת"),"קוראים וכותבים מיומנים","מיקוד בהבנה והבעה"))))))</f>
        <v/>
      </c>
      <c r="AC220" s="32">
        <f>IF(OR($AB220="",LEFT($AB220,1)="—"),"",IF(OR($AB220="מיקוד בשטף קריאה",$AB220="מיקוד בשטף הקריאה ובכישורי שפה"),"רמה א'",IF($AB220="קוראים וכותבים מיומנים","רמה ג'","רמה ב'")))</f>
        <v/>
      </c>
      <c r="AD220" s="32">
        <f>IF($AC220="","",MID(IF(AND($AC220="רמה א'",$AA220="ניכרת"),"; להוסיף עבודת אוצר מילים","")&amp;IF($Z220="אינה מפותחת","; דגש על הבעה בכתב","")&amp;IF($K220&lt;&gt;"תקין","; נדרש לעבוד על ההנגנה","")&amp;IF($AK220&lt;&gt;"","; "&amp;$AK220,""),3,400))</f>
        <v/>
      </c>
      <c r="AE220" s="32">
        <f>IF($F220="","",IF($F220="תחילת שנה",1,IF($F220="מחצית שנה",2,3)))</f>
        <v/>
      </c>
      <c r="AF220" s="32">
        <f>IF(OR($B220="",$AC220="",$A220="",$F220=""),"",$B220&amp;"|"&amp;$A220&amp;"|"&amp;$F220&amp;"|"&amp;$AC220&amp;"|"&amp;COUNTIFS($B$6:$B220,$B220,$A$6:$A220,$A220,$F$6:$F220,$F220,$AC$6:$AC220,$AC220))</f>
        <v/>
      </c>
      <c r="AG220" s="32">
        <f>IF($C220="","",$C220&amp;"|"&amp;COUNTIFS($C$6:$C220,$C220))</f>
        <v/>
      </c>
      <c r="AH220" s="32">
        <f>IF(OR($C220="",$A220="",$AE220=""),"",$C220&amp;"|"&amp;$A220&amp;"|"&amp;$AE220)</f>
        <v/>
      </c>
      <c r="AI220" s="32">
        <f>IF(OR($C220="",$AE220="",$AE220=1),"",IFERROR(INDEX($AC$6:$AC$1505,MATCH($C220&amp;"|"&amp;$A220&amp;"|"&amp;($AE220-1),$AH$6:$AH$1505,0)),""))</f>
        <v/>
      </c>
      <c r="AJ220" s="32">
        <f>IF(OR($AI220="",$AC220=""),"",IF($AI220=$AC220,"ללא שינוי","מ-"&amp;$AI220&amp;" ל-"&amp;$AC220))</f>
        <v/>
      </c>
      <c r="AK220" s="67" t="n"/>
    </row>
    <row r="221" ht="15.75" customHeight="1" s="58">
      <c r="A221" s="65" t="n"/>
      <c r="B221" s="65" t="n"/>
      <c r="C221" s="66" t="n"/>
      <c r="D221" s="66" t="n"/>
      <c r="E221" s="65" t="n"/>
      <c r="F221" s="65" t="n"/>
      <c r="G221" s="65" t="n"/>
      <c r="H221" s="65" t="n"/>
      <c r="I221" s="65" t="n"/>
      <c r="J221" s="65" t="n"/>
      <c r="K221" s="65" t="n"/>
      <c r="L221" s="65" t="n"/>
      <c r="M221" s="65" t="n"/>
      <c r="N221" s="65" t="n"/>
      <c r="O221" s="65" t="n"/>
      <c r="P221" s="65" t="n"/>
      <c r="Q221" s="65" t="n"/>
      <c r="R221" s="65" t="n"/>
      <c r="S221" s="65" t="n"/>
      <c r="T221" s="65" t="n"/>
      <c r="U221" s="65" t="n"/>
      <c r="V221" s="65" t="n"/>
      <c r="W221" s="65" t="n"/>
      <c r="X221" s="65" t="n"/>
      <c r="Y221" s="32">
        <f>IF($C221="","",IF(COUNTA($I221:$K221)&lt;3,"— חסרים נתונים",IF(AND($I221="תקין",$J221="תקין",$K221="תקין"),"רהוטה",IF(AND($I221="תקין",$J221="תקין"),"מדויקת ורציפה","אינה מדויקת או מקוטעת"))))</f>
        <v/>
      </c>
      <c r="Z221" s="32">
        <f>IF($C221="","",IF(COUNTA($U221:$W221)&lt;3,"",IF(AND($U221="מפותח",$V221="מפותח",$W221="מפותחת"),"מפותחת",IF((--($U221="דל"))+(--($V221="אינו מפותח"))+(--($W221="דלה"))&gt;=2,"אינה מפותחת","חלקית"))))</f>
        <v/>
      </c>
      <c r="AA221" s="32">
        <f>IF($C221="","",IF(COUNTA($M221,$N221,$O221)&lt;3,"— חסרים נתונים",IF(OR($M221="נמוכה",(--($M221&lt;&gt;"תקינה"))+(--($N221&lt;&gt;"תקין"))+(--($O221&lt;&gt;"תקינה"))&gt;=2),"ניכרת","אינה ניכרת")))</f>
        <v/>
      </c>
      <c r="AB221" s="32">
        <f>IF(OR($C221="",$Y221="",$AA221="",LEFT($Y221,1)="—",LEFT($AA221,1)="—"),"",IF($Z221="","— נדרשת הערכת כתיבה",IF($L221="","— חסרה הבנת הנקרא",IF($Y221="אינה מדויקת או מקוטעת",IF($AA221="ניכרת","מיקוד בשטף הקריאה ובכישורי שפה","מיקוד בשטף קריאה"),IF($AA221="ניכרת","מיקוד בכישורי שפה",IF(AND($L221="תקינה",$Z221="מפותחת"),"קוראים וכותבים מיומנים","מיקוד בהבנה והבעה"))))))</f>
        <v/>
      </c>
      <c r="AC221" s="32">
        <f>IF(OR($AB221="",LEFT($AB221,1)="—"),"",IF(OR($AB221="מיקוד בשטף קריאה",$AB221="מיקוד בשטף הקריאה ובכישורי שפה"),"רמה א'",IF($AB221="קוראים וכותבים מיומנים","רמה ג'","רמה ב'")))</f>
        <v/>
      </c>
      <c r="AD221" s="32">
        <f>IF($AC221="","",MID(IF(AND($AC221="רמה א'",$AA221="ניכרת"),"; להוסיף עבודת אוצר מילים","")&amp;IF($Z221="אינה מפותחת","; דגש על הבעה בכתב","")&amp;IF($K221&lt;&gt;"תקין","; נדרש לעבוד על ההנגנה","")&amp;IF($AK221&lt;&gt;"","; "&amp;$AK221,""),3,400))</f>
        <v/>
      </c>
      <c r="AE221" s="32">
        <f>IF($F221="","",IF($F221="תחילת שנה",1,IF($F221="מחצית שנה",2,3)))</f>
        <v/>
      </c>
      <c r="AF221" s="32">
        <f>IF(OR($B221="",$AC221="",$A221="",$F221=""),"",$B221&amp;"|"&amp;$A221&amp;"|"&amp;$F221&amp;"|"&amp;$AC221&amp;"|"&amp;COUNTIFS($B$6:$B221,$B221,$A$6:$A221,$A221,$F$6:$F221,$F221,$AC$6:$AC221,$AC221))</f>
        <v/>
      </c>
      <c r="AG221" s="32">
        <f>IF($C221="","",$C221&amp;"|"&amp;COUNTIFS($C$6:$C221,$C221))</f>
        <v/>
      </c>
      <c r="AH221" s="32">
        <f>IF(OR($C221="",$A221="",$AE221=""),"",$C221&amp;"|"&amp;$A221&amp;"|"&amp;$AE221)</f>
        <v/>
      </c>
      <c r="AI221" s="32">
        <f>IF(OR($C221="",$AE221="",$AE221=1),"",IFERROR(INDEX($AC$6:$AC$1505,MATCH($C221&amp;"|"&amp;$A221&amp;"|"&amp;($AE221-1),$AH$6:$AH$1505,0)),""))</f>
        <v/>
      </c>
      <c r="AJ221" s="32">
        <f>IF(OR($AI221="",$AC221=""),"",IF($AI221=$AC221,"ללא שינוי","מ-"&amp;$AI221&amp;" ל-"&amp;$AC221))</f>
        <v/>
      </c>
      <c r="AK221" s="67" t="n"/>
    </row>
    <row r="222" ht="15.75" customHeight="1" s="58">
      <c r="A222" s="65" t="n"/>
      <c r="B222" s="65" t="n"/>
      <c r="C222" s="66" t="n"/>
      <c r="D222" s="66" t="n"/>
      <c r="E222" s="65" t="n"/>
      <c r="F222" s="65" t="n"/>
      <c r="G222" s="65" t="n"/>
      <c r="H222" s="65" t="n"/>
      <c r="I222" s="65" t="n"/>
      <c r="J222" s="65" t="n"/>
      <c r="K222" s="65" t="n"/>
      <c r="L222" s="65" t="n"/>
      <c r="M222" s="65" t="n"/>
      <c r="N222" s="65" t="n"/>
      <c r="O222" s="65" t="n"/>
      <c r="P222" s="65" t="n"/>
      <c r="Q222" s="65" t="n"/>
      <c r="R222" s="65" t="n"/>
      <c r="S222" s="65" t="n"/>
      <c r="T222" s="65" t="n"/>
      <c r="U222" s="65" t="n"/>
      <c r="V222" s="65" t="n"/>
      <c r="W222" s="65" t="n"/>
      <c r="X222" s="65" t="n"/>
      <c r="Y222" s="32">
        <f>IF($C222="","",IF(COUNTA($I222:$K222)&lt;3,"— חסרים נתונים",IF(AND($I222="תקין",$J222="תקין",$K222="תקין"),"רהוטה",IF(AND($I222="תקין",$J222="תקין"),"מדויקת ורציפה","אינה מדויקת או מקוטעת"))))</f>
        <v/>
      </c>
      <c r="Z222" s="32">
        <f>IF($C222="","",IF(COUNTA($U222:$W222)&lt;3,"",IF(AND($U222="מפותח",$V222="מפותח",$W222="מפותחת"),"מפותחת",IF((--($U222="דל"))+(--($V222="אינו מפותח"))+(--($W222="דלה"))&gt;=2,"אינה מפותחת","חלקית"))))</f>
        <v/>
      </c>
      <c r="AA222" s="32">
        <f>IF($C222="","",IF(COUNTA($M222,$N222,$O222)&lt;3,"— חסרים נתונים",IF(OR($M222="נמוכה",(--($M222&lt;&gt;"תקינה"))+(--($N222&lt;&gt;"תקין"))+(--($O222&lt;&gt;"תקינה"))&gt;=2),"ניכרת","אינה ניכרת")))</f>
        <v/>
      </c>
      <c r="AB222" s="32">
        <f>IF(OR($C222="",$Y222="",$AA222="",LEFT($Y222,1)="—",LEFT($AA222,1)="—"),"",IF($Z222="","— נדרשת הערכת כתיבה",IF($L222="","— חסרה הבנת הנקרא",IF($Y222="אינה מדויקת או מקוטעת",IF($AA222="ניכרת","מיקוד בשטף הקריאה ובכישורי שפה","מיקוד בשטף קריאה"),IF($AA222="ניכרת","מיקוד בכישורי שפה",IF(AND($L222="תקינה",$Z222="מפותחת"),"קוראים וכותבים מיומנים","מיקוד בהבנה והבעה"))))))</f>
        <v/>
      </c>
      <c r="AC222" s="32">
        <f>IF(OR($AB222="",LEFT($AB222,1)="—"),"",IF(OR($AB222="מיקוד בשטף קריאה",$AB222="מיקוד בשטף הקריאה ובכישורי שפה"),"רמה א'",IF($AB222="קוראים וכותבים מיומנים","רמה ג'","רמה ב'")))</f>
        <v/>
      </c>
      <c r="AD222" s="32">
        <f>IF($AC222="","",MID(IF(AND($AC222="רמה א'",$AA222="ניכרת"),"; להוסיף עבודת אוצר מילים","")&amp;IF($Z222="אינה מפותחת","; דגש על הבעה בכתב","")&amp;IF($K222&lt;&gt;"תקין","; נדרש לעבוד על ההנגנה","")&amp;IF($AK222&lt;&gt;"","; "&amp;$AK222,""),3,400))</f>
        <v/>
      </c>
      <c r="AE222" s="32">
        <f>IF($F222="","",IF($F222="תחילת שנה",1,IF($F222="מחצית שנה",2,3)))</f>
        <v/>
      </c>
      <c r="AF222" s="32">
        <f>IF(OR($B222="",$AC222="",$A222="",$F222=""),"",$B222&amp;"|"&amp;$A222&amp;"|"&amp;$F222&amp;"|"&amp;$AC222&amp;"|"&amp;COUNTIFS($B$6:$B222,$B222,$A$6:$A222,$A222,$F$6:$F222,$F222,$AC$6:$AC222,$AC222))</f>
        <v/>
      </c>
      <c r="AG222" s="32">
        <f>IF($C222="","",$C222&amp;"|"&amp;COUNTIFS($C$6:$C222,$C222))</f>
        <v/>
      </c>
      <c r="AH222" s="32">
        <f>IF(OR($C222="",$A222="",$AE222=""),"",$C222&amp;"|"&amp;$A222&amp;"|"&amp;$AE222)</f>
        <v/>
      </c>
      <c r="AI222" s="32">
        <f>IF(OR($C222="",$AE222="",$AE222=1),"",IFERROR(INDEX($AC$6:$AC$1505,MATCH($C222&amp;"|"&amp;$A222&amp;"|"&amp;($AE222-1),$AH$6:$AH$1505,0)),""))</f>
        <v/>
      </c>
      <c r="AJ222" s="32">
        <f>IF(OR($AI222="",$AC222=""),"",IF($AI222=$AC222,"ללא שינוי","מ-"&amp;$AI222&amp;" ל-"&amp;$AC222))</f>
        <v/>
      </c>
      <c r="AK222" s="67" t="n"/>
    </row>
    <row r="223" ht="15.75" customHeight="1" s="58">
      <c r="A223" s="65" t="n"/>
      <c r="B223" s="65" t="n"/>
      <c r="C223" s="66" t="n"/>
      <c r="D223" s="66" t="n"/>
      <c r="E223" s="65" t="n"/>
      <c r="F223" s="65" t="n"/>
      <c r="G223" s="65" t="n"/>
      <c r="H223" s="65" t="n"/>
      <c r="I223" s="65" t="n"/>
      <c r="J223" s="65" t="n"/>
      <c r="K223" s="65" t="n"/>
      <c r="L223" s="65" t="n"/>
      <c r="M223" s="65" t="n"/>
      <c r="N223" s="65" t="n"/>
      <c r="O223" s="65" t="n"/>
      <c r="P223" s="65" t="n"/>
      <c r="Q223" s="65" t="n"/>
      <c r="R223" s="65" t="n"/>
      <c r="S223" s="65" t="n"/>
      <c r="T223" s="65" t="n"/>
      <c r="U223" s="65" t="n"/>
      <c r="V223" s="65" t="n"/>
      <c r="W223" s="65" t="n"/>
      <c r="X223" s="65" t="n"/>
      <c r="Y223" s="32">
        <f>IF($C223="","",IF(COUNTA($I223:$K223)&lt;3,"— חסרים נתונים",IF(AND($I223="תקין",$J223="תקין",$K223="תקין"),"רהוטה",IF(AND($I223="תקין",$J223="תקין"),"מדויקת ורציפה","אינה מדויקת או מקוטעת"))))</f>
        <v/>
      </c>
      <c r="Z223" s="32">
        <f>IF($C223="","",IF(COUNTA($U223:$W223)&lt;3,"",IF(AND($U223="מפותח",$V223="מפותח",$W223="מפותחת"),"מפותחת",IF((--($U223="דל"))+(--($V223="אינו מפותח"))+(--($W223="דלה"))&gt;=2,"אינה מפותחת","חלקית"))))</f>
        <v/>
      </c>
      <c r="AA223" s="32">
        <f>IF($C223="","",IF(COUNTA($M223,$N223,$O223)&lt;3,"— חסרים נתונים",IF(OR($M223="נמוכה",(--($M223&lt;&gt;"תקינה"))+(--($N223&lt;&gt;"תקין"))+(--($O223&lt;&gt;"תקינה"))&gt;=2),"ניכרת","אינה ניכרת")))</f>
        <v/>
      </c>
      <c r="AB223" s="32">
        <f>IF(OR($C223="",$Y223="",$AA223="",LEFT($Y223,1)="—",LEFT($AA223,1)="—"),"",IF($Z223="","— נדרשת הערכת כתיבה",IF($L223="","— חסרה הבנת הנקרא",IF($Y223="אינה מדויקת או מקוטעת",IF($AA223="ניכרת","מיקוד בשטף הקריאה ובכישורי שפה","מיקוד בשטף קריאה"),IF($AA223="ניכרת","מיקוד בכישורי שפה",IF(AND($L223="תקינה",$Z223="מפותחת"),"קוראים וכותבים מיומנים","מיקוד בהבנה והבעה"))))))</f>
        <v/>
      </c>
      <c r="AC223" s="32">
        <f>IF(OR($AB223="",LEFT($AB223,1)="—"),"",IF(OR($AB223="מיקוד בשטף קריאה",$AB223="מיקוד בשטף הקריאה ובכישורי שפה"),"רמה א'",IF($AB223="קוראים וכותבים מיומנים","רמה ג'","רמה ב'")))</f>
        <v/>
      </c>
      <c r="AD223" s="32">
        <f>IF($AC223="","",MID(IF(AND($AC223="רמה א'",$AA223="ניכרת"),"; להוסיף עבודת אוצר מילים","")&amp;IF($Z223="אינה מפותחת","; דגש על הבעה בכתב","")&amp;IF($K223&lt;&gt;"תקין","; נדרש לעבוד על ההנגנה","")&amp;IF($AK223&lt;&gt;"","; "&amp;$AK223,""),3,400))</f>
        <v/>
      </c>
      <c r="AE223" s="32">
        <f>IF($F223="","",IF($F223="תחילת שנה",1,IF($F223="מחצית שנה",2,3)))</f>
        <v/>
      </c>
      <c r="AF223" s="32">
        <f>IF(OR($B223="",$AC223="",$A223="",$F223=""),"",$B223&amp;"|"&amp;$A223&amp;"|"&amp;$F223&amp;"|"&amp;$AC223&amp;"|"&amp;COUNTIFS($B$6:$B223,$B223,$A$6:$A223,$A223,$F$6:$F223,$F223,$AC$6:$AC223,$AC223))</f>
        <v/>
      </c>
      <c r="AG223" s="32">
        <f>IF($C223="","",$C223&amp;"|"&amp;COUNTIFS($C$6:$C223,$C223))</f>
        <v/>
      </c>
      <c r="AH223" s="32">
        <f>IF(OR($C223="",$A223="",$AE223=""),"",$C223&amp;"|"&amp;$A223&amp;"|"&amp;$AE223)</f>
        <v/>
      </c>
      <c r="AI223" s="32">
        <f>IF(OR($C223="",$AE223="",$AE223=1),"",IFERROR(INDEX($AC$6:$AC$1505,MATCH($C223&amp;"|"&amp;$A223&amp;"|"&amp;($AE223-1),$AH$6:$AH$1505,0)),""))</f>
        <v/>
      </c>
      <c r="AJ223" s="32">
        <f>IF(OR($AI223="",$AC223=""),"",IF($AI223=$AC223,"ללא שינוי","מ-"&amp;$AI223&amp;" ל-"&amp;$AC223))</f>
        <v/>
      </c>
      <c r="AK223" s="67" t="n"/>
    </row>
    <row r="224" ht="15.75" customHeight="1" s="58">
      <c r="A224" s="65" t="n"/>
      <c r="B224" s="65" t="n"/>
      <c r="C224" s="66" t="n"/>
      <c r="D224" s="66" t="n"/>
      <c r="E224" s="65" t="n"/>
      <c r="F224" s="65" t="n"/>
      <c r="G224" s="65" t="n"/>
      <c r="H224" s="65" t="n"/>
      <c r="I224" s="65" t="n"/>
      <c r="J224" s="65" t="n"/>
      <c r="K224" s="65" t="n"/>
      <c r="L224" s="65" t="n"/>
      <c r="M224" s="65" t="n"/>
      <c r="N224" s="65" t="n"/>
      <c r="O224" s="65" t="n"/>
      <c r="P224" s="65" t="n"/>
      <c r="Q224" s="65" t="n"/>
      <c r="R224" s="65" t="n"/>
      <c r="S224" s="65" t="n"/>
      <c r="T224" s="65" t="n"/>
      <c r="U224" s="65" t="n"/>
      <c r="V224" s="65" t="n"/>
      <c r="W224" s="65" t="n"/>
      <c r="X224" s="65" t="n"/>
      <c r="Y224" s="32">
        <f>IF($C224="","",IF(COUNTA($I224:$K224)&lt;3,"— חסרים נתונים",IF(AND($I224="תקין",$J224="תקין",$K224="תקין"),"רהוטה",IF(AND($I224="תקין",$J224="תקין"),"מדויקת ורציפה","אינה מדויקת או מקוטעת"))))</f>
        <v/>
      </c>
      <c r="Z224" s="32">
        <f>IF($C224="","",IF(COUNTA($U224:$W224)&lt;3,"",IF(AND($U224="מפותח",$V224="מפותח",$W224="מפותחת"),"מפותחת",IF((--($U224="דל"))+(--($V224="אינו מפותח"))+(--($W224="דלה"))&gt;=2,"אינה מפותחת","חלקית"))))</f>
        <v/>
      </c>
      <c r="AA224" s="32">
        <f>IF($C224="","",IF(COUNTA($M224,$N224,$O224)&lt;3,"— חסרים נתונים",IF(OR($M224="נמוכה",(--($M224&lt;&gt;"תקינה"))+(--($N224&lt;&gt;"תקין"))+(--($O224&lt;&gt;"תקינה"))&gt;=2),"ניכרת","אינה ניכרת")))</f>
        <v/>
      </c>
      <c r="AB224" s="32">
        <f>IF(OR($C224="",$Y224="",$AA224="",LEFT($Y224,1)="—",LEFT($AA224,1)="—"),"",IF($Z224="","— נדרשת הערכת כתיבה",IF($L224="","— חסרה הבנת הנקרא",IF($Y224="אינה מדויקת או מקוטעת",IF($AA224="ניכרת","מיקוד בשטף הקריאה ובכישורי שפה","מיקוד בשטף קריאה"),IF($AA224="ניכרת","מיקוד בכישורי שפה",IF(AND($L224="תקינה",$Z224="מפותחת"),"קוראים וכותבים מיומנים","מיקוד בהבנה והבעה"))))))</f>
        <v/>
      </c>
      <c r="AC224" s="32">
        <f>IF(OR($AB224="",LEFT($AB224,1)="—"),"",IF(OR($AB224="מיקוד בשטף קריאה",$AB224="מיקוד בשטף הקריאה ובכישורי שפה"),"רמה א'",IF($AB224="קוראים וכותבים מיומנים","רמה ג'","רמה ב'")))</f>
        <v/>
      </c>
      <c r="AD224" s="32">
        <f>IF($AC224="","",MID(IF(AND($AC224="רמה א'",$AA224="ניכרת"),"; להוסיף עבודת אוצר מילים","")&amp;IF($Z224="אינה מפותחת","; דגש על הבעה בכתב","")&amp;IF($K224&lt;&gt;"תקין","; נדרש לעבוד על ההנגנה","")&amp;IF($AK224&lt;&gt;"","; "&amp;$AK224,""),3,400))</f>
        <v/>
      </c>
      <c r="AE224" s="32">
        <f>IF($F224="","",IF($F224="תחילת שנה",1,IF($F224="מחצית שנה",2,3)))</f>
        <v/>
      </c>
      <c r="AF224" s="32">
        <f>IF(OR($B224="",$AC224="",$A224="",$F224=""),"",$B224&amp;"|"&amp;$A224&amp;"|"&amp;$F224&amp;"|"&amp;$AC224&amp;"|"&amp;COUNTIFS($B$6:$B224,$B224,$A$6:$A224,$A224,$F$6:$F224,$F224,$AC$6:$AC224,$AC224))</f>
        <v/>
      </c>
      <c r="AG224" s="32">
        <f>IF($C224="","",$C224&amp;"|"&amp;COUNTIFS($C$6:$C224,$C224))</f>
        <v/>
      </c>
      <c r="AH224" s="32">
        <f>IF(OR($C224="",$A224="",$AE224=""),"",$C224&amp;"|"&amp;$A224&amp;"|"&amp;$AE224)</f>
        <v/>
      </c>
      <c r="AI224" s="32">
        <f>IF(OR($C224="",$AE224="",$AE224=1),"",IFERROR(INDEX($AC$6:$AC$1505,MATCH($C224&amp;"|"&amp;$A224&amp;"|"&amp;($AE224-1),$AH$6:$AH$1505,0)),""))</f>
        <v/>
      </c>
      <c r="AJ224" s="32">
        <f>IF(OR($AI224="",$AC224=""),"",IF($AI224=$AC224,"ללא שינוי","מ-"&amp;$AI224&amp;" ל-"&amp;$AC224))</f>
        <v/>
      </c>
      <c r="AK224" s="67" t="n"/>
    </row>
    <row r="225" ht="15.75" customHeight="1" s="58">
      <c r="A225" s="65" t="n"/>
      <c r="B225" s="65" t="n"/>
      <c r="C225" s="66" t="n"/>
      <c r="D225" s="66" t="n"/>
      <c r="E225" s="65" t="n"/>
      <c r="F225" s="65" t="n"/>
      <c r="G225" s="65" t="n"/>
      <c r="H225" s="65" t="n"/>
      <c r="I225" s="65" t="n"/>
      <c r="J225" s="65" t="n"/>
      <c r="K225" s="65" t="n"/>
      <c r="L225" s="65" t="n"/>
      <c r="M225" s="65" t="n"/>
      <c r="N225" s="65" t="n"/>
      <c r="O225" s="65" t="n"/>
      <c r="P225" s="65" t="n"/>
      <c r="Q225" s="65" t="n"/>
      <c r="R225" s="65" t="n"/>
      <c r="S225" s="65" t="n"/>
      <c r="T225" s="65" t="n"/>
      <c r="U225" s="65" t="n"/>
      <c r="V225" s="65" t="n"/>
      <c r="W225" s="65" t="n"/>
      <c r="X225" s="65" t="n"/>
      <c r="Y225" s="32">
        <f>IF($C225="","",IF(COUNTA($I225:$K225)&lt;3,"— חסרים נתונים",IF(AND($I225="תקין",$J225="תקין",$K225="תקין"),"רהוטה",IF(AND($I225="תקין",$J225="תקין"),"מדויקת ורציפה","אינה מדויקת או מקוטעת"))))</f>
        <v/>
      </c>
      <c r="Z225" s="32">
        <f>IF($C225="","",IF(COUNTA($U225:$W225)&lt;3,"",IF(AND($U225="מפותח",$V225="מפותח",$W225="מפותחת"),"מפותחת",IF((--($U225="דל"))+(--($V225="אינו מפותח"))+(--($W225="דלה"))&gt;=2,"אינה מפותחת","חלקית"))))</f>
        <v/>
      </c>
      <c r="AA225" s="32">
        <f>IF($C225="","",IF(COUNTA($M225,$N225,$O225)&lt;3,"— חסרים נתונים",IF(OR($M225="נמוכה",(--($M225&lt;&gt;"תקינה"))+(--($N225&lt;&gt;"תקין"))+(--($O225&lt;&gt;"תקינה"))&gt;=2),"ניכרת","אינה ניכרת")))</f>
        <v/>
      </c>
      <c r="AB225" s="32">
        <f>IF(OR($C225="",$Y225="",$AA225="",LEFT($Y225,1)="—",LEFT($AA225,1)="—"),"",IF($Z225="","— נדרשת הערכת כתיבה",IF($L225="","— חסרה הבנת הנקרא",IF($Y225="אינה מדויקת או מקוטעת",IF($AA225="ניכרת","מיקוד בשטף הקריאה ובכישורי שפה","מיקוד בשטף קריאה"),IF($AA225="ניכרת","מיקוד בכישורי שפה",IF(AND($L225="תקינה",$Z225="מפותחת"),"קוראים וכותבים מיומנים","מיקוד בהבנה והבעה"))))))</f>
        <v/>
      </c>
      <c r="AC225" s="32">
        <f>IF(OR($AB225="",LEFT($AB225,1)="—"),"",IF(OR($AB225="מיקוד בשטף קריאה",$AB225="מיקוד בשטף הקריאה ובכישורי שפה"),"רמה א'",IF($AB225="קוראים וכותבים מיומנים","רמה ג'","רמה ב'")))</f>
        <v/>
      </c>
      <c r="AD225" s="32">
        <f>IF($AC225="","",MID(IF(AND($AC225="רמה א'",$AA225="ניכרת"),"; להוסיף עבודת אוצר מילים","")&amp;IF($Z225="אינה מפותחת","; דגש על הבעה בכתב","")&amp;IF($K225&lt;&gt;"תקין","; נדרש לעבוד על ההנגנה","")&amp;IF($AK225&lt;&gt;"","; "&amp;$AK225,""),3,400))</f>
        <v/>
      </c>
      <c r="AE225" s="32">
        <f>IF($F225="","",IF($F225="תחילת שנה",1,IF($F225="מחצית שנה",2,3)))</f>
        <v/>
      </c>
      <c r="AF225" s="32">
        <f>IF(OR($B225="",$AC225="",$A225="",$F225=""),"",$B225&amp;"|"&amp;$A225&amp;"|"&amp;$F225&amp;"|"&amp;$AC225&amp;"|"&amp;COUNTIFS($B$6:$B225,$B225,$A$6:$A225,$A225,$F$6:$F225,$F225,$AC$6:$AC225,$AC225))</f>
        <v/>
      </c>
      <c r="AG225" s="32">
        <f>IF($C225="","",$C225&amp;"|"&amp;COUNTIFS($C$6:$C225,$C225))</f>
        <v/>
      </c>
      <c r="AH225" s="32">
        <f>IF(OR($C225="",$A225="",$AE225=""),"",$C225&amp;"|"&amp;$A225&amp;"|"&amp;$AE225)</f>
        <v/>
      </c>
      <c r="AI225" s="32">
        <f>IF(OR($C225="",$AE225="",$AE225=1),"",IFERROR(INDEX($AC$6:$AC$1505,MATCH($C225&amp;"|"&amp;$A225&amp;"|"&amp;($AE225-1),$AH$6:$AH$1505,0)),""))</f>
        <v/>
      </c>
      <c r="AJ225" s="32">
        <f>IF(OR($AI225="",$AC225=""),"",IF($AI225=$AC225,"ללא שינוי","מ-"&amp;$AI225&amp;" ל-"&amp;$AC225))</f>
        <v/>
      </c>
      <c r="AK225" s="67" t="n"/>
    </row>
    <row r="226" ht="15.75" customHeight="1" s="58">
      <c r="A226" s="65" t="n"/>
      <c r="B226" s="65" t="n"/>
      <c r="C226" s="66" t="n"/>
      <c r="D226" s="66" t="n"/>
      <c r="E226" s="65" t="n"/>
      <c r="F226" s="65" t="n"/>
      <c r="G226" s="65" t="n"/>
      <c r="H226" s="65" t="n"/>
      <c r="I226" s="65" t="n"/>
      <c r="J226" s="65" t="n"/>
      <c r="K226" s="65" t="n"/>
      <c r="L226" s="65" t="n"/>
      <c r="M226" s="65" t="n"/>
      <c r="N226" s="65" t="n"/>
      <c r="O226" s="65" t="n"/>
      <c r="P226" s="65" t="n"/>
      <c r="Q226" s="65" t="n"/>
      <c r="R226" s="65" t="n"/>
      <c r="S226" s="65" t="n"/>
      <c r="T226" s="65" t="n"/>
      <c r="U226" s="65" t="n"/>
      <c r="V226" s="65" t="n"/>
      <c r="W226" s="65" t="n"/>
      <c r="X226" s="65" t="n"/>
      <c r="Y226" s="32">
        <f>IF($C226="","",IF(COUNTA($I226:$K226)&lt;3,"— חסרים נתונים",IF(AND($I226="תקין",$J226="תקין",$K226="תקין"),"רהוטה",IF(AND($I226="תקין",$J226="תקין"),"מדויקת ורציפה","אינה מדויקת או מקוטעת"))))</f>
        <v/>
      </c>
      <c r="Z226" s="32">
        <f>IF($C226="","",IF(COUNTA($U226:$W226)&lt;3,"",IF(AND($U226="מפותח",$V226="מפותח",$W226="מפותחת"),"מפותחת",IF((--($U226="דל"))+(--($V226="אינו מפותח"))+(--($W226="דלה"))&gt;=2,"אינה מפותחת","חלקית"))))</f>
        <v/>
      </c>
      <c r="AA226" s="32">
        <f>IF($C226="","",IF(COUNTA($M226,$N226,$O226)&lt;3,"— חסרים נתונים",IF(OR($M226="נמוכה",(--($M226&lt;&gt;"תקינה"))+(--($N226&lt;&gt;"תקין"))+(--($O226&lt;&gt;"תקינה"))&gt;=2),"ניכרת","אינה ניכרת")))</f>
        <v/>
      </c>
      <c r="AB226" s="32">
        <f>IF(OR($C226="",$Y226="",$AA226="",LEFT($Y226,1)="—",LEFT($AA226,1)="—"),"",IF($Z226="","— נדרשת הערכת כתיבה",IF($L226="","— חסרה הבנת הנקרא",IF($Y226="אינה מדויקת או מקוטעת",IF($AA226="ניכרת","מיקוד בשטף הקריאה ובכישורי שפה","מיקוד בשטף קריאה"),IF($AA226="ניכרת","מיקוד בכישורי שפה",IF(AND($L226="תקינה",$Z226="מפותחת"),"קוראים וכותבים מיומנים","מיקוד בהבנה והבעה"))))))</f>
        <v/>
      </c>
      <c r="AC226" s="32">
        <f>IF(OR($AB226="",LEFT($AB226,1)="—"),"",IF(OR($AB226="מיקוד בשטף קריאה",$AB226="מיקוד בשטף הקריאה ובכישורי שפה"),"רמה א'",IF($AB226="קוראים וכותבים מיומנים","רמה ג'","רמה ב'")))</f>
        <v/>
      </c>
      <c r="AD226" s="32">
        <f>IF($AC226="","",MID(IF(AND($AC226="רמה א'",$AA226="ניכרת"),"; להוסיף עבודת אוצר מילים","")&amp;IF($Z226="אינה מפותחת","; דגש על הבעה בכתב","")&amp;IF($K226&lt;&gt;"תקין","; נדרש לעבוד על ההנגנה","")&amp;IF($AK226&lt;&gt;"","; "&amp;$AK226,""),3,400))</f>
        <v/>
      </c>
      <c r="AE226" s="32">
        <f>IF($F226="","",IF($F226="תחילת שנה",1,IF($F226="מחצית שנה",2,3)))</f>
        <v/>
      </c>
      <c r="AF226" s="32">
        <f>IF(OR($B226="",$AC226="",$A226="",$F226=""),"",$B226&amp;"|"&amp;$A226&amp;"|"&amp;$F226&amp;"|"&amp;$AC226&amp;"|"&amp;COUNTIFS($B$6:$B226,$B226,$A$6:$A226,$A226,$F$6:$F226,$F226,$AC$6:$AC226,$AC226))</f>
        <v/>
      </c>
      <c r="AG226" s="32">
        <f>IF($C226="","",$C226&amp;"|"&amp;COUNTIFS($C$6:$C226,$C226))</f>
        <v/>
      </c>
      <c r="AH226" s="32">
        <f>IF(OR($C226="",$A226="",$AE226=""),"",$C226&amp;"|"&amp;$A226&amp;"|"&amp;$AE226)</f>
        <v/>
      </c>
      <c r="AI226" s="32">
        <f>IF(OR($C226="",$AE226="",$AE226=1),"",IFERROR(INDEX($AC$6:$AC$1505,MATCH($C226&amp;"|"&amp;$A226&amp;"|"&amp;($AE226-1),$AH$6:$AH$1505,0)),""))</f>
        <v/>
      </c>
      <c r="AJ226" s="32">
        <f>IF(OR($AI226="",$AC226=""),"",IF($AI226=$AC226,"ללא שינוי","מ-"&amp;$AI226&amp;" ל-"&amp;$AC226))</f>
        <v/>
      </c>
      <c r="AK226" s="67" t="n"/>
    </row>
    <row r="227" ht="15.75" customHeight="1" s="58">
      <c r="A227" s="65" t="n"/>
      <c r="B227" s="65" t="n"/>
      <c r="C227" s="66" t="n"/>
      <c r="D227" s="66" t="n"/>
      <c r="E227" s="65" t="n"/>
      <c r="F227" s="65" t="n"/>
      <c r="G227" s="65" t="n"/>
      <c r="H227" s="65" t="n"/>
      <c r="I227" s="65" t="n"/>
      <c r="J227" s="65" t="n"/>
      <c r="K227" s="65" t="n"/>
      <c r="L227" s="65" t="n"/>
      <c r="M227" s="65" t="n"/>
      <c r="N227" s="65" t="n"/>
      <c r="O227" s="65" t="n"/>
      <c r="P227" s="65" t="n"/>
      <c r="Q227" s="65" t="n"/>
      <c r="R227" s="65" t="n"/>
      <c r="S227" s="65" t="n"/>
      <c r="T227" s="65" t="n"/>
      <c r="U227" s="65" t="n"/>
      <c r="V227" s="65" t="n"/>
      <c r="W227" s="65" t="n"/>
      <c r="X227" s="65" t="n"/>
      <c r="Y227" s="32">
        <f>IF($C227="","",IF(COUNTA($I227:$K227)&lt;3,"— חסרים נתונים",IF(AND($I227="תקין",$J227="תקין",$K227="תקין"),"רהוטה",IF(AND($I227="תקין",$J227="תקין"),"מדויקת ורציפה","אינה מדויקת או מקוטעת"))))</f>
        <v/>
      </c>
      <c r="Z227" s="32">
        <f>IF($C227="","",IF(COUNTA($U227:$W227)&lt;3,"",IF(AND($U227="מפותח",$V227="מפותח",$W227="מפותחת"),"מפותחת",IF((--($U227="דל"))+(--($V227="אינו מפותח"))+(--($W227="דלה"))&gt;=2,"אינה מפותחת","חלקית"))))</f>
        <v/>
      </c>
      <c r="AA227" s="32">
        <f>IF($C227="","",IF(COUNTA($M227,$N227,$O227)&lt;3,"— חסרים נתונים",IF(OR($M227="נמוכה",(--($M227&lt;&gt;"תקינה"))+(--($N227&lt;&gt;"תקין"))+(--($O227&lt;&gt;"תקינה"))&gt;=2),"ניכרת","אינה ניכרת")))</f>
        <v/>
      </c>
      <c r="AB227" s="32">
        <f>IF(OR($C227="",$Y227="",$AA227="",LEFT($Y227,1)="—",LEFT($AA227,1)="—"),"",IF($Z227="","— נדרשת הערכת כתיבה",IF($L227="","— חסרה הבנת הנקרא",IF($Y227="אינה מדויקת או מקוטעת",IF($AA227="ניכרת","מיקוד בשטף הקריאה ובכישורי שפה","מיקוד בשטף קריאה"),IF($AA227="ניכרת","מיקוד בכישורי שפה",IF(AND($L227="תקינה",$Z227="מפותחת"),"קוראים וכותבים מיומנים","מיקוד בהבנה והבעה"))))))</f>
        <v/>
      </c>
      <c r="AC227" s="32">
        <f>IF(OR($AB227="",LEFT($AB227,1)="—"),"",IF(OR($AB227="מיקוד בשטף קריאה",$AB227="מיקוד בשטף הקריאה ובכישורי שפה"),"רמה א'",IF($AB227="קוראים וכותבים מיומנים","רמה ג'","רמה ב'")))</f>
        <v/>
      </c>
      <c r="AD227" s="32">
        <f>IF($AC227="","",MID(IF(AND($AC227="רמה א'",$AA227="ניכרת"),"; להוסיף עבודת אוצר מילים","")&amp;IF($Z227="אינה מפותחת","; דגש על הבעה בכתב","")&amp;IF($K227&lt;&gt;"תקין","; נדרש לעבוד על ההנגנה","")&amp;IF($AK227&lt;&gt;"","; "&amp;$AK227,""),3,400))</f>
        <v/>
      </c>
      <c r="AE227" s="32">
        <f>IF($F227="","",IF($F227="תחילת שנה",1,IF($F227="מחצית שנה",2,3)))</f>
        <v/>
      </c>
      <c r="AF227" s="32">
        <f>IF(OR($B227="",$AC227="",$A227="",$F227=""),"",$B227&amp;"|"&amp;$A227&amp;"|"&amp;$F227&amp;"|"&amp;$AC227&amp;"|"&amp;COUNTIFS($B$6:$B227,$B227,$A$6:$A227,$A227,$F$6:$F227,$F227,$AC$6:$AC227,$AC227))</f>
        <v/>
      </c>
      <c r="AG227" s="32">
        <f>IF($C227="","",$C227&amp;"|"&amp;COUNTIFS($C$6:$C227,$C227))</f>
        <v/>
      </c>
      <c r="AH227" s="32">
        <f>IF(OR($C227="",$A227="",$AE227=""),"",$C227&amp;"|"&amp;$A227&amp;"|"&amp;$AE227)</f>
        <v/>
      </c>
      <c r="AI227" s="32">
        <f>IF(OR($C227="",$AE227="",$AE227=1),"",IFERROR(INDEX($AC$6:$AC$1505,MATCH($C227&amp;"|"&amp;$A227&amp;"|"&amp;($AE227-1),$AH$6:$AH$1505,0)),""))</f>
        <v/>
      </c>
      <c r="AJ227" s="32">
        <f>IF(OR($AI227="",$AC227=""),"",IF($AI227=$AC227,"ללא שינוי","מ-"&amp;$AI227&amp;" ל-"&amp;$AC227))</f>
        <v/>
      </c>
      <c r="AK227" s="67" t="n"/>
    </row>
    <row r="228" ht="15.75" customHeight="1" s="58">
      <c r="A228" s="65" t="n"/>
      <c r="B228" s="65" t="n"/>
      <c r="C228" s="66" t="n"/>
      <c r="D228" s="66" t="n"/>
      <c r="E228" s="65" t="n"/>
      <c r="F228" s="65" t="n"/>
      <c r="G228" s="65" t="n"/>
      <c r="H228" s="65" t="n"/>
      <c r="I228" s="65" t="n"/>
      <c r="J228" s="65" t="n"/>
      <c r="K228" s="65" t="n"/>
      <c r="L228" s="65" t="n"/>
      <c r="M228" s="65" t="n"/>
      <c r="N228" s="65" t="n"/>
      <c r="O228" s="65" t="n"/>
      <c r="P228" s="65" t="n"/>
      <c r="Q228" s="65" t="n"/>
      <c r="R228" s="65" t="n"/>
      <c r="S228" s="65" t="n"/>
      <c r="T228" s="65" t="n"/>
      <c r="U228" s="65" t="n"/>
      <c r="V228" s="65" t="n"/>
      <c r="W228" s="65" t="n"/>
      <c r="X228" s="65" t="n"/>
      <c r="Y228" s="32">
        <f>IF($C228="","",IF(COUNTA($I228:$K228)&lt;3,"— חסרים נתונים",IF(AND($I228="תקין",$J228="תקין",$K228="תקין"),"רהוטה",IF(AND($I228="תקין",$J228="תקין"),"מדויקת ורציפה","אינה מדויקת או מקוטעת"))))</f>
        <v/>
      </c>
      <c r="Z228" s="32">
        <f>IF($C228="","",IF(COUNTA($U228:$W228)&lt;3,"",IF(AND($U228="מפותח",$V228="מפותח",$W228="מפותחת"),"מפותחת",IF((--($U228="דל"))+(--($V228="אינו מפותח"))+(--($W228="דלה"))&gt;=2,"אינה מפותחת","חלקית"))))</f>
        <v/>
      </c>
      <c r="AA228" s="32">
        <f>IF($C228="","",IF(COUNTA($M228,$N228,$O228)&lt;3,"— חסרים נתונים",IF(OR($M228="נמוכה",(--($M228&lt;&gt;"תקינה"))+(--($N228&lt;&gt;"תקין"))+(--($O228&lt;&gt;"תקינה"))&gt;=2),"ניכרת","אינה ניכרת")))</f>
        <v/>
      </c>
      <c r="AB228" s="32">
        <f>IF(OR($C228="",$Y228="",$AA228="",LEFT($Y228,1)="—",LEFT($AA228,1)="—"),"",IF($Z228="","— נדרשת הערכת כתיבה",IF($L228="","— חסרה הבנת הנקרא",IF($Y228="אינה מדויקת או מקוטעת",IF($AA228="ניכרת","מיקוד בשטף הקריאה ובכישורי שפה","מיקוד בשטף קריאה"),IF($AA228="ניכרת","מיקוד בכישורי שפה",IF(AND($L228="תקינה",$Z228="מפותחת"),"קוראים וכותבים מיומנים","מיקוד בהבנה והבעה"))))))</f>
        <v/>
      </c>
      <c r="AC228" s="32">
        <f>IF(OR($AB228="",LEFT($AB228,1)="—"),"",IF(OR($AB228="מיקוד בשטף קריאה",$AB228="מיקוד בשטף הקריאה ובכישורי שפה"),"רמה א'",IF($AB228="קוראים וכותבים מיומנים","רמה ג'","רמה ב'")))</f>
        <v/>
      </c>
      <c r="AD228" s="32">
        <f>IF($AC228="","",MID(IF(AND($AC228="רמה א'",$AA228="ניכרת"),"; להוסיף עבודת אוצר מילים","")&amp;IF($Z228="אינה מפותחת","; דגש על הבעה בכתב","")&amp;IF($K228&lt;&gt;"תקין","; נדרש לעבוד על ההנגנה","")&amp;IF($AK228&lt;&gt;"","; "&amp;$AK228,""),3,400))</f>
        <v/>
      </c>
      <c r="AE228" s="32">
        <f>IF($F228="","",IF($F228="תחילת שנה",1,IF($F228="מחצית שנה",2,3)))</f>
        <v/>
      </c>
      <c r="AF228" s="32">
        <f>IF(OR($B228="",$AC228="",$A228="",$F228=""),"",$B228&amp;"|"&amp;$A228&amp;"|"&amp;$F228&amp;"|"&amp;$AC228&amp;"|"&amp;COUNTIFS($B$6:$B228,$B228,$A$6:$A228,$A228,$F$6:$F228,$F228,$AC$6:$AC228,$AC228))</f>
        <v/>
      </c>
      <c r="AG228" s="32">
        <f>IF($C228="","",$C228&amp;"|"&amp;COUNTIFS($C$6:$C228,$C228))</f>
        <v/>
      </c>
      <c r="AH228" s="32">
        <f>IF(OR($C228="",$A228="",$AE228=""),"",$C228&amp;"|"&amp;$A228&amp;"|"&amp;$AE228)</f>
        <v/>
      </c>
      <c r="AI228" s="32">
        <f>IF(OR($C228="",$AE228="",$AE228=1),"",IFERROR(INDEX($AC$6:$AC$1505,MATCH($C228&amp;"|"&amp;$A228&amp;"|"&amp;($AE228-1),$AH$6:$AH$1505,0)),""))</f>
        <v/>
      </c>
      <c r="AJ228" s="32">
        <f>IF(OR($AI228="",$AC228=""),"",IF($AI228=$AC228,"ללא שינוי","מ-"&amp;$AI228&amp;" ל-"&amp;$AC228))</f>
        <v/>
      </c>
      <c r="AK228" s="67" t="n"/>
    </row>
    <row r="229" ht="15.75" customHeight="1" s="58">
      <c r="A229" s="65" t="n"/>
      <c r="B229" s="65" t="n"/>
      <c r="C229" s="66" t="n"/>
      <c r="D229" s="66" t="n"/>
      <c r="E229" s="65" t="n"/>
      <c r="F229" s="65" t="n"/>
      <c r="G229" s="65" t="n"/>
      <c r="H229" s="65" t="n"/>
      <c r="I229" s="65" t="n"/>
      <c r="J229" s="65" t="n"/>
      <c r="K229" s="65" t="n"/>
      <c r="L229" s="65" t="n"/>
      <c r="M229" s="65" t="n"/>
      <c r="N229" s="65" t="n"/>
      <c r="O229" s="65" t="n"/>
      <c r="P229" s="65" t="n"/>
      <c r="Q229" s="65" t="n"/>
      <c r="R229" s="65" t="n"/>
      <c r="S229" s="65" t="n"/>
      <c r="T229" s="65" t="n"/>
      <c r="U229" s="65" t="n"/>
      <c r="V229" s="65" t="n"/>
      <c r="W229" s="65" t="n"/>
      <c r="X229" s="65" t="n"/>
      <c r="Y229" s="32">
        <f>IF($C229="","",IF(COUNTA($I229:$K229)&lt;3,"— חסרים נתונים",IF(AND($I229="תקין",$J229="תקין",$K229="תקין"),"רהוטה",IF(AND($I229="תקין",$J229="תקין"),"מדויקת ורציפה","אינה מדויקת או מקוטעת"))))</f>
        <v/>
      </c>
      <c r="Z229" s="32">
        <f>IF($C229="","",IF(COUNTA($U229:$W229)&lt;3,"",IF(AND($U229="מפותח",$V229="מפותח",$W229="מפותחת"),"מפותחת",IF((--($U229="דל"))+(--($V229="אינו מפותח"))+(--($W229="דלה"))&gt;=2,"אינה מפותחת","חלקית"))))</f>
        <v/>
      </c>
      <c r="AA229" s="32">
        <f>IF($C229="","",IF(COUNTA($M229,$N229,$O229)&lt;3,"— חסרים נתונים",IF(OR($M229="נמוכה",(--($M229&lt;&gt;"תקינה"))+(--($N229&lt;&gt;"תקין"))+(--($O229&lt;&gt;"תקינה"))&gt;=2),"ניכרת","אינה ניכרת")))</f>
        <v/>
      </c>
      <c r="AB229" s="32">
        <f>IF(OR($C229="",$Y229="",$AA229="",LEFT($Y229,1)="—",LEFT($AA229,1)="—"),"",IF($Z229="","— נדרשת הערכת כתיבה",IF($L229="","— חסרה הבנת הנקרא",IF($Y229="אינה מדויקת או מקוטעת",IF($AA229="ניכרת","מיקוד בשטף הקריאה ובכישורי שפה","מיקוד בשטף קריאה"),IF($AA229="ניכרת","מיקוד בכישורי שפה",IF(AND($L229="תקינה",$Z229="מפותחת"),"קוראים וכותבים מיומנים","מיקוד בהבנה והבעה"))))))</f>
        <v/>
      </c>
      <c r="AC229" s="32">
        <f>IF(OR($AB229="",LEFT($AB229,1)="—"),"",IF(OR($AB229="מיקוד בשטף קריאה",$AB229="מיקוד בשטף הקריאה ובכישורי שפה"),"רמה א'",IF($AB229="קוראים וכותבים מיומנים","רמה ג'","רמה ב'")))</f>
        <v/>
      </c>
      <c r="AD229" s="32">
        <f>IF($AC229="","",MID(IF(AND($AC229="רמה א'",$AA229="ניכרת"),"; להוסיף עבודת אוצר מילים","")&amp;IF($Z229="אינה מפותחת","; דגש על הבעה בכתב","")&amp;IF($K229&lt;&gt;"תקין","; נדרש לעבוד על ההנגנה","")&amp;IF($AK229&lt;&gt;"","; "&amp;$AK229,""),3,400))</f>
        <v/>
      </c>
      <c r="AE229" s="32">
        <f>IF($F229="","",IF($F229="תחילת שנה",1,IF($F229="מחצית שנה",2,3)))</f>
        <v/>
      </c>
      <c r="AF229" s="32">
        <f>IF(OR($B229="",$AC229="",$A229="",$F229=""),"",$B229&amp;"|"&amp;$A229&amp;"|"&amp;$F229&amp;"|"&amp;$AC229&amp;"|"&amp;COUNTIFS($B$6:$B229,$B229,$A$6:$A229,$A229,$F$6:$F229,$F229,$AC$6:$AC229,$AC229))</f>
        <v/>
      </c>
      <c r="AG229" s="32">
        <f>IF($C229="","",$C229&amp;"|"&amp;COUNTIFS($C$6:$C229,$C229))</f>
        <v/>
      </c>
      <c r="AH229" s="32">
        <f>IF(OR($C229="",$A229="",$AE229=""),"",$C229&amp;"|"&amp;$A229&amp;"|"&amp;$AE229)</f>
        <v/>
      </c>
      <c r="AI229" s="32">
        <f>IF(OR($C229="",$AE229="",$AE229=1),"",IFERROR(INDEX($AC$6:$AC$1505,MATCH($C229&amp;"|"&amp;$A229&amp;"|"&amp;($AE229-1),$AH$6:$AH$1505,0)),""))</f>
        <v/>
      </c>
      <c r="AJ229" s="32">
        <f>IF(OR($AI229="",$AC229=""),"",IF($AI229=$AC229,"ללא שינוי","מ-"&amp;$AI229&amp;" ל-"&amp;$AC229))</f>
        <v/>
      </c>
      <c r="AK229" s="67" t="n"/>
    </row>
    <row r="230" ht="15.75" customHeight="1" s="58">
      <c r="A230" s="65" t="n"/>
      <c r="B230" s="65" t="n"/>
      <c r="C230" s="66" t="n"/>
      <c r="D230" s="66" t="n"/>
      <c r="E230" s="65" t="n"/>
      <c r="F230" s="65" t="n"/>
      <c r="G230" s="65" t="n"/>
      <c r="H230" s="65" t="n"/>
      <c r="I230" s="65" t="n"/>
      <c r="J230" s="65" t="n"/>
      <c r="K230" s="65" t="n"/>
      <c r="L230" s="65" t="n"/>
      <c r="M230" s="65" t="n"/>
      <c r="N230" s="65" t="n"/>
      <c r="O230" s="65" t="n"/>
      <c r="P230" s="65" t="n"/>
      <c r="Q230" s="65" t="n"/>
      <c r="R230" s="65" t="n"/>
      <c r="S230" s="65" t="n"/>
      <c r="T230" s="65" t="n"/>
      <c r="U230" s="65" t="n"/>
      <c r="V230" s="65" t="n"/>
      <c r="W230" s="65" t="n"/>
      <c r="X230" s="65" t="n"/>
      <c r="Y230" s="32">
        <f>IF($C230="","",IF(COUNTA($I230:$K230)&lt;3,"— חסרים נתונים",IF(AND($I230="תקין",$J230="תקין",$K230="תקין"),"רהוטה",IF(AND($I230="תקין",$J230="תקין"),"מדויקת ורציפה","אינה מדויקת או מקוטעת"))))</f>
        <v/>
      </c>
      <c r="Z230" s="32">
        <f>IF($C230="","",IF(COUNTA($U230:$W230)&lt;3,"",IF(AND($U230="מפותח",$V230="מפותח",$W230="מפותחת"),"מפותחת",IF((--($U230="דל"))+(--($V230="אינו מפותח"))+(--($W230="דלה"))&gt;=2,"אינה מפותחת","חלקית"))))</f>
        <v/>
      </c>
      <c r="AA230" s="32">
        <f>IF($C230="","",IF(COUNTA($M230,$N230,$O230)&lt;3,"— חסרים נתונים",IF(OR($M230="נמוכה",(--($M230&lt;&gt;"תקינה"))+(--($N230&lt;&gt;"תקין"))+(--($O230&lt;&gt;"תקינה"))&gt;=2),"ניכרת","אינה ניכרת")))</f>
        <v/>
      </c>
      <c r="AB230" s="32">
        <f>IF(OR($C230="",$Y230="",$AA230="",LEFT($Y230,1)="—",LEFT($AA230,1)="—"),"",IF($Z230="","— נדרשת הערכת כתיבה",IF($L230="","— חסרה הבנת הנקרא",IF($Y230="אינה מדויקת או מקוטעת",IF($AA230="ניכרת","מיקוד בשטף הקריאה ובכישורי שפה","מיקוד בשטף קריאה"),IF($AA230="ניכרת","מיקוד בכישורי שפה",IF(AND($L230="תקינה",$Z230="מפותחת"),"קוראים וכותבים מיומנים","מיקוד בהבנה והבעה"))))))</f>
        <v/>
      </c>
      <c r="AC230" s="32">
        <f>IF(OR($AB230="",LEFT($AB230,1)="—"),"",IF(OR($AB230="מיקוד בשטף קריאה",$AB230="מיקוד בשטף הקריאה ובכישורי שפה"),"רמה א'",IF($AB230="קוראים וכותבים מיומנים","רמה ג'","רמה ב'")))</f>
        <v/>
      </c>
      <c r="AD230" s="32">
        <f>IF($AC230="","",MID(IF(AND($AC230="רמה א'",$AA230="ניכרת"),"; להוסיף עבודת אוצר מילים","")&amp;IF($Z230="אינה מפותחת","; דגש על הבעה בכתב","")&amp;IF($K230&lt;&gt;"תקין","; נדרש לעבוד על ההנגנה","")&amp;IF($AK230&lt;&gt;"","; "&amp;$AK230,""),3,400))</f>
        <v/>
      </c>
      <c r="AE230" s="32">
        <f>IF($F230="","",IF($F230="תחילת שנה",1,IF($F230="מחצית שנה",2,3)))</f>
        <v/>
      </c>
      <c r="AF230" s="32">
        <f>IF(OR($B230="",$AC230="",$A230="",$F230=""),"",$B230&amp;"|"&amp;$A230&amp;"|"&amp;$F230&amp;"|"&amp;$AC230&amp;"|"&amp;COUNTIFS($B$6:$B230,$B230,$A$6:$A230,$A230,$F$6:$F230,$F230,$AC$6:$AC230,$AC230))</f>
        <v/>
      </c>
      <c r="AG230" s="32">
        <f>IF($C230="","",$C230&amp;"|"&amp;COUNTIFS($C$6:$C230,$C230))</f>
        <v/>
      </c>
      <c r="AH230" s="32">
        <f>IF(OR($C230="",$A230="",$AE230=""),"",$C230&amp;"|"&amp;$A230&amp;"|"&amp;$AE230)</f>
        <v/>
      </c>
      <c r="AI230" s="32">
        <f>IF(OR($C230="",$AE230="",$AE230=1),"",IFERROR(INDEX($AC$6:$AC$1505,MATCH($C230&amp;"|"&amp;$A230&amp;"|"&amp;($AE230-1),$AH$6:$AH$1505,0)),""))</f>
        <v/>
      </c>
      <c r="AJ230" s="32">
        <f>IF(OR($AI230="",$AC230=""),"",IF($AI230=$AC230,"ללא שינוי","מ-"&amp;$AI230&amp;" ל-"&amp;$AC230))</f>
        <v/>
      </c>
      <c r="AK230" s="67" t="n"/>
    </row>
    <row r="231" ht="15.75" customHeight="1" s="58">
      <c r="A231" s="65" t="n"/>
      <c r="B231" s="65" t="n"/>
      <c r="C231" s="66" t="n"/>
      <c r="D231" s="66" t="n"/>
      <c r="E231" s="65" t="n"/>
      <c r="F231" s="65" t="n"/>
      <c r="G231" s="65" t="n"/>
      <c r="H231" s="65" t="n"/>
      <c r="I231" s="65" t="n"/>
      <c r="J231" s="65" t="n"/>
      <c r="K231" s="65" t="n"/>
      <c r="L231" s="65" t="n"/>
      <c r="M231" s="65" t="n"/>
      <c r="N231" s="65" t="n"/>
      <c r="O231" s="65" t="n"/>
      <c r="P231" s="65" t="n"/>
      <c r="Q231" s="65" t="n"/>
      <c r="R231" s="65" t="n"/>
      <c r="S231" s="65" t="n"/>
      <c r="T231" s="65" t="n"/>
      <c r="U231" s="65" t="n"/>
      <c r="V231" s="65" t="n"/>
      <c r="W231" s="65" t="n"/>
      <c r="X231" s="65" t="n"/>
      <c r="Y231" s="32">
        <f>IF($C231="","",IF(COUNTA($I231:$K231)&lt;3,"— חסרים נתונים",IF(AND($I231="תקין",$J231="תקין",$K231="תקין"),"רהוטה",IF(AND($I231="תקין",$J231="תקין"),"מדויקת ורציפה","אינה מדויקת או מקוטעת"))))</f>
        <v/>
      </c>
      <c r="Z231" s="32">
        <f>IF($C231="","",IF(COUNTA($U231:$W231)&lt;3,"",IF(AND($U231="מפותח",$V231="מפותח",$W231="מפותחת"),"מפותחת",IF((--($U231="דל"))+(--($V231="אינו מפותח"))+(--($W231="דלה"))&gt;=2,"אינה מפותחת","חלקית"))))</f>
        <v/>
      </c>
      <c r="AA231" s="32">
        <f>IF($C231="","",IF(COUNTA($M231,$N231,$O231)&lt;3,"— חסרים נתונים",IF(OR($M231="נמוכה",(--($M231&lt;&gt;"תקינה"))+(--($N231&lt;&gt;"תקין"))+(--($O231&lt;&gt;"תקינה"))&gt;=2),"ניכרת","אינה ניכרת")))</f>
        <v/>
      </c>
      <c r="AB231" s="32">
        <f>IF(OR($C231="",$Y231="",$AA231="",LEFT($Y231,1)="—",LEFT($AA231,1)="—"),"",IF($Z231="","— נדרשת הערכת כתיבה",IF($L231="","— חסרה הבנת הנקרא",IF($Y231="אינה מדויקת או מקוטעת",IF($AA231="ניכרת","מיקוד בשטף הקריאה ובכישורי שפה","מיקוד בשטף קריאה"),IF($AA231="ניכרת","מיקוד בכישורי שפה",IF(AND($L231="תקינה",$Z231="מפותחת"),"קוראים וכותבים מיומנים","מיקוד בהבנה והבעה"))))))</f>
        <v/>
      </c>
      <c r="AC231" s="32">
        <f>IF(OR($AB231="",LEFT($AB231,1)="—"),"",IF(OR($AB231="מיקוד בשטף קריאה",$AB231="מיקוד בשטף הקריאה ובכישורי שפה"),"רמה א'",IF($AB231="קוראים וכותבים מיומנים","רמה ג'","רמה ב'")))</f>
        <v/>
      </c>
      <c r="AD231" s="32">
        <f>IF($AC231="","",MID(IF(AND($AC231="רמה א'",$AA231="ניכרת"),"; להוסיף עבודת אוצר מילים","")&amp;IF($Z231="אינה מפותחת","; דגש על הבעה בכתב","")&amp;IF($K231&lt;&gt;"תקין","; נדרש לעבוד על ההנגנה","")&amp;IF($AK231&lt;&gt;"","; "&amp;$AK231,""),3,400))</f>
        <v/>
      </c>
      <c r="AE231" s="32">
        <f>IF($F231="","",IF($F231="תחילת שנה",1,IF($F231="מחצית שנה",2,3)))</f>
        <v/>
      </c>
      <c r="AF231" s="32">
        <f>IF(OR($B231="",$AC231="",$A231="",$F231=""),"",$B231&amp;"|"&amp;$A231&amp;"|"&amp;$F231&amp;"|"&amp;$AC231&amp;"|"&amp;COUNTIFS($B$6:$B231,$B231,$A$6:$A231,$A231,$F$6:$F231,$F231,$AC$6:$AC231,$AC231))</f>
        <v/>
      </c>
      <c r="AG231" s="32">
        <f>IF($C231="","",$C231&amp;"|"&amp;COUNTIFS($C$6:$C231,$C231))</f>
        <v/>
      </c>
      <c r="AH231" s="32">
        <f>IF(OR($C231="",$A231="",$AE231=""),"",$C231&amp;"|"&amp;$A231&amp;"|"&amp;$AE231)</f>
        <v/>
      </c>
      <c r="AI231" s="32">
        <f>IF(OR($C231="",$AE231="",$AE231=1),"",IFERROR(INDEX($AC$6:$AC$1505,MATCH($C231&amp;"|"&amp;$A231&amp;"|"&amp;($AE231-1),$AH$6:$AH$1505,0)),""))</f>
        <v/>
      </c>
      <c r="AJ231" s="32">
        <f>IF(OR($AI231="",$AC231=""),"",IF($AI231=$AC231,"ללא שינוי","מ-"&amp;$AI231&amp;" ל-"&amp;$AC231))</f>
        <v/>
      </c>
      <c r="AK231" s="67" t="n"/>
    </row>
    <row r="232" ht="15.75" customHeight="1" s="58">
      <c r="A232" s="65" t="n"/>
      <c r="B232" s="65" t="n"/>
      <c r="C232" s="66" t="n"/>
      <c r="D232" s="66" t="n"/>
      <c r="E232" s="65" t="n"/>
      <c r="F232" s="65" t="n"/>
      <c r="G232" s="65" t="n"/>
      <c r="H232" s="65" t="n"/>
      <c r="I232" s="65" t="n"/>
      <c r="J232" s="65" t="n"/>
      <c r="K232" s="65" t="n"/>
      <c r="L232" s="65" t="n"/>
      <c r="M232" s="65" t="n"/>
      <c r="N232" s="65" t="n"/>
      <c r="O232" s="65" t="n"/>
      <c r="P232" s="65" t="n"/>
      <c r="Q232" s="65" t="n"/>
      <c r="R232" s="65" t="n"/>
      <c r="S232" s="65" t="n"/>
      <c r="T232" s="65" t="n"/>
      <c r="U232" s="65" t="n"/>
      <c r="V232" s="65" t="n"/>
      <c r="W232" s="65" t="n"/>
      <c r="X232" s="65" t="n"/>
      <c r="Y232" s="32">
        <f>IF($C232="","",IF(COUNTA($I232:$K232)&lt;3,"— חסרים נתונים",IF(AND($I232="תקין",$J232="תקין",$K232="תקין"),"רהוטה",IF(AND($I232="תקין",$J232="תקין"),"מדויקת ורציפה","אינה מדויקת או מקוטעת"))))</f>
        <v/>
      </c>
      <c r="Z232" s="32">
        <f>IF($C232="","",IF(COUNTA($U232:$W232)&lt;3,"",IF(AND($U232="מפותח",$V232="מפותח",$W232="מפותחת"),"מפותחת",IF((--($U232="דל"))+(--($V232="אינו מפותח"))+(--($W232="דלה"))&gt;=2,"אינה מפותחת","חלקית"))))</f>
        <v/>
      </c>
      <c r="AA232" s="32">
        <f>IF($C232="","",IF(COUNTA($M232,$N232,$O232)&lt;3,"— חסרים נתונים",IF(OR($M232="נמוכה",(--($M232&lt;&gt;"תקינה"))+(--($N232&lt;&gt;"תקין"))+(--($O232&lt;&gt;"תקינה"))&gt;=2),"ניכרת","אינה ניכרת")))</f>
        <v/>
      </c>
      <c r="AB232" s="32">
        <f>IF(OR($C232="",$Y232="",$AA232="",LEFT($Y232,1)="—",LEFT($AA232,1)="—"),"",IF($Z232="","— נדרשת הערכת כתיבה",IF($L232="","— חסרה הבנת הנקרא",IF($Y232="אינה מדויקת או מקוטעת",IF($AA232="ניכרת","מיקוד בשטף הקריאה ובכישורי שפה","מיקוד בשטף קריאה"),IF($AA232="ניכרת","מיקוד בכישורי שפה",IF(AND($L232="תקינה",$Z232="מפותחת"),"קוראים וכותבים מיומנים","מיקוד בהבנה והבעה"))))))</f>
        <v/>
      </c>
      <c r="AC232" s="32">
        <f>IF(OR($AB232="",LEFT($AB232,1)="—"),"",IF(OR($AB232="מיקוד בשטף קריאה",$AB232="מיקוד בשטף הקריאה ובכישורי שפה"),"רמה א'",IF($AB232="קוראים וכותבים מיומנים","רמה ג'","רמה ב'")))</f>
        <v/>
      </c>
      <c r="AD232" s="32">
        <f>IF($AC232="","",MID(IF(AND($AC232="רמה א'",$AA232="ניכרת"),"; להוסיף עבודת אוצר מילים","")&amp;IF($Z232="אינה מפותחת","; דגש על הבעה בכתב","")&amp;IF($K232&lt;&gt;"תקין","; נדרש לעבוד על ההנגנה","")&amp;IF($AK232&lt;&gt;"","; "&amp;$AK232,""),3,400))</f>
        <v/>
      </c>
      <c r="AE232" s="32">
        <f>IF($F232="","",IF($F232="תחילת שנה",1,IF($F232="מחצית שנה",2,3)))</f>
        <v/>
      </c>
      <c r="AF232" s="32">
        <f>IF(OR($B232="",$AC232="",$A232="",$F232=""),"",$B232&amp;"|"&amp;$A232&amp;"|"&amp;$F232&amp;"|"&amp;$AC232&amp;"|"&amp;COUNTIFS($B$6:$B232,$B232,$A$6:$A232,$A232,$F$6:$F232,$F232,$AC$6:$AC232,$AC232))</f>
        <v/>
      </c>
      <c r="AG232" s="32">
        <f>IF($C232="","",$C232&amp;"|"&amp;COUNTIFS($C$6:$C232,$C232))</f>
        <v/>
      </c>
      <c r="AH232" s="32">
        <f>IF(OR($C232="",$A232="",$AE232=""),"",$C232&amp;"|"&amp;$A232&amp;"|"&amp;$AE232)</f>
        <v/>
      </c>
      <c r="AI232" s="32">
        <f>IF(OR($C232="",$AE232="",$AE232=1),"",IFERROR(INDEX($AC$6:$AC$1505,MATCH($C232&amp;"|"&amp;$A232&amp;"|"&amp;($AE232-1),$AH$6:$AH$1505,0)),""))</f>
        <v/>
      </c>
      <c r="AJ232" s="32">
        <f>IF(OR($AI232="",$AC232=""),"",IF($AI232=$AC232,"ללא שינוי","מ-"&amp;$AI232&amp;" ל-"&amp;$AC232))</f>
        <v/>
      </c>
      <c r="AK232" s="67" t="n"/>
    </row>
    <row r="233" ht="15.75" customHeight="1" s="58">
      <c r="A233" s="65" t="n"/>
      <c r="B233" s="65" t="n"/>
      <c r="C233" s="66" t="n"/>
      <c r="D233" s="66" t="n"/>
      <c r="E233" s="65" t="n"/>
      <c r="F233" s="65" t="n"/>
      <c r="G233" s="65" t="n"/>
      <c r="H233" s="65" t="n"/>
      <c r="I233" s="65" t="n"/>
      <c r="J233" s="65" t="n"/>
      <c r="K233" s="65" t="n"/>
      <c r="L233" s="65" t="n"/>
      <c r="M233" s="65" t="n"/>
      <c r="N233" s="65" t="n"/>
      <c r="O233" s="65" t="n"/>
      <c r="P233" s="65" t="n"/>
      <c r="Q233" s="65" t="n"/>
      <c r="R233" s="65" t="n"/>
      <c r="S233" s="65" t="n"/>
      <c r="T233" s="65" t="n"/>
      <c r="U233" s="65" t="n"/>
      <c r="V233" s="65" t="n"/>
      <c r="W233" s="65" t="n"/>
      <c r="X233" s="65" t="n"/>
      <c r="Y233" s="32">
        <f>IF($C233="","",IF(COUNTA($I233:$K233)&lt;3,"— חסרים נתונים",IF(AND($I233="תקין",$J233="תקין",$K233="תקין"),"רהוטה",IF(AND($I233="תקין",$J233="תקין"),"מדויקת ורציפה","אינה מדויקת או מקוטעת"))))</f>
        <v/>
      </c>
      <c r="Z233" s="32">
        <f>IF($C233="","",IF(COUNTA($U233:$W233)&lt;3,"",IF(AND($U233="מפותח",$V233="מפותח",$W233="מפותחת"),"מפותחת",IF((--($U233="דל"))+(--($V233="אינו מפותח"))+(--($W233="דלה"))&gt;=2,"אינה מפותחת","חלקית"))))</f>
        <v/>
      </c>
      <c r="AA233" s="32">
        <f>IF($C233="","",IF(COUNTA($M233,$N233,$O233)&lt;3,"— חסרים נתונים",IF(OR($M233="נמוכה",(--($M233&lt;&gt;"תקינה"))+(--($N233&lt;&gt;"תקין"))+(--($O233&lt;&gt;"תקינה"))&gt;=2),"ניכרת","אינה ניכרת")))</f>
        <v/>
      </c>
      <c r="AB233" s="32">
        <f>IF(OR($C233="",$Y233="",$AA233="",LEFT($Y233,1)="—",LEFT($AA233,1)="—"),"",IF($Z233="","— נדרשת הערכת כתיבה",IF($L233="","— חסרה הבנת הנקרא",IF($Y233="אינה מדויקת או מקוטעת",IF($AA233="ניכרת","מיקוד בשטף הקריאה ובכישורי שפה","מיקוד בשטף קריאה"),IF($AA233="ניכרת","מיקוד בכישורי שפה",IF(AND($L233="תקינה",$Z233="מפותחת"),"קוראים וכותבים מיומנים","מיקוד בהבנה והבעה"))))))</f>
        <v/>
      </c>
      <c r="AC233" s="32">
        <f>IF(OR($AB233="",LEFT($AB233,1)="—"),"",IF(OR($AB233="מיקוד בשטף קריאה",$AB233="מיקוד בשטף הקריאה ובכישורי שפה"),"רמה א'",IF($AB233="קוראים וכותבים מיומנים","רמה ג'","רמה ב'")))</f>
        <v/>
      </c>
      <c r="AD233" s="32">
        <f>IF($AC233="","",MID(IF(AND($AC233="רמה א'",$AA233="ניכרת"),"; להוסיף עבודת אוצר מילים","")&amp;IF($Z233="אינה מפותחת","; דגש על הבעה בכתב","")&amp;IF($K233&lt;&gt;"תקין","; נדרש לעבוד על ההנגנה","")&amp;IF($AK233&lt;&gt;"","; "&amp;$AK233,""),3,400))</f>
        <v/>
      </c>
      <c r="AE233" s="32">
        <f>IF($F233="","",IF($F233="תחילת שנה",1,IF($F233="מחצית שנה",2,3)))</f>
        <v/>
      </c>
      <c r="AF233" s="32">
        <f>IF(OR($B233="",$AC233="",$A233="",$F233=""),"",$B233&amp;"|"&amp;$A233&amp;"|"&amp;$F233&amp;"|"&amp;$AC233&amp;"|"&amp;COUNTIFS($B$6:$B233,$B233,$A$6:$A233,$A233,$F$6:$F233,$F233,$AC$6:$AC233,$AC233))</f>
        <v/>
      </c>
      <c r="AG233" s="32">
        <f>IF($C233="","",$C233&amp;"|"&amp;COUNTIFS($C$6:$C233,$C233))</f>
        <v/>
      </c>
      <c r="AH233" s="32">
        <f>IF(OR($C233="",$A233="",$AE233=""),"",$C233&amp;"|"&amp;$A233&amp;"|"&amp;$AE233)</f>
        <v/>
      </c>
      <c r="AI233" s="32">
        <f>IF(OR($C233="",$AE233="",$AE233=1),"",IFERROR(INDEX($AC$6:$AC$1505,MATCH($C233&amp;"|"&amp;$A233&amp;"|"&amp;($AE233-1),$AH$6:$AH$1505,0)),""))</f>
        <v/>
      </c>
      <c r="AJ233" s="32">
        <f>IF(OR($AI233="",$AC233=""),"",IF($AI233=$AC233,"ללא שינוי","מ-"&amp;$AI233&amp;" ל-"&amp;$AC233))</f>
        <v/>
      </c>
      <c r="AK233" s="67" t="n"/>
    </row>
    <row r="234" ht="15.75" customHeight="1" s="58">
      <c r="A234" s="65" t="n"/>
      <c r="B234" s="65" t="n"/>
      <c r="C234" s="66" t="n"/>
      <c r="D234" s="66" t="n"/>
      <c r="E234" s="65" t="n"/>
      <c r="F234" s="65" t="n"/>
      <c r="G234" s="65" t="n"/>
      <c r="H234" s="65" t="n"/>
      <c r="I234" s="65" t="n"/>
      <c r="J234" s="65" t="n"/>
      <c r="K234" s="65" t="n"/>
      <c r="L234" s="65" t="n"/>
      <c r="M234" s="65" t="n"/>
      <c r="N234" s="65" t="n"/>
      <c r="O234" s="65" t="n"/>
      <c r="P234" s="65" t="n"/>
      <c r="Q234" s="65" t="n"/>
      <c r="R234" s="65" t="n"/>
      <c r="S234" s="65" t="n"/>
      <c r="T234" s="65" t="n"/>
      <c r="U234" s="65" t="n"/>
      <c r="V234" s="65" t="n"/>
      <c r="W234" s="65" t="n"/>
      <c r="X234" s="65" t="n"/>
      <c r="Y234" s="32">
        <f>IF($C234="","",IF(COUNTA($I234:$K234)&lt;3,"— חסרים נתונים",IF(AND($I234="תקין",$J234="תקין",$K234="תקין"),"רהוטה",IF(AND($I234="תקין",$J234="תקין"),"מדויקת ורציפה","אינה מדויקת או מקוטעת"))))</f>
        <v/>
      </c>
      <c r="Z234" s="32">
        <f>IF($C234="","",IF(COUNTA($U234:$W234)&lt;3,"",IF(AND($U234="מפותח",$V234="מפותח",$W234="מפותחת"),"מפותחת",IF((--($U234="דל"))+(--($V234="אינו מפותח"))+(--($W234="דלה"))&gt;=2,"אינה מפותחת","חלקית"))))</f>
        <v/>
      </c>
      <c r="AA234" s="32">
        <f>IF($C234="","",IF(COUNTA($M234,$N234,$O234)&lt;3,"— חסרים נתונים",IF(OR($M234="נמוכה",(--($M234&lt;&gt;"תקינה"))+(--($N234&lt;&gt;"תקין"))+(--($O234&lt;&gt;"תקינה"))&gt;=2),"ניכרת","אינה ניכרת")))</f>
        <v/>
      </c>
      <c r="AB234" s="32">
        <f>IF(OR($C234="",$Y234="",$AA234="",LEFT($Y234,1)="—",LEFT($AA234,1)="—"),"",IF($Z234="","— נדרשת הערכת כתיבה",IF($L234="","— חסרה הבנת הנקרא",IF($Y234="אינה מדויקת או מקוטעת",IF($AA234="ניכרת","מיקוד בשטף הקריאה ובכישורי שפה","מיקוד בשטף קריאה"),IF($AA234="ניכרת","מיקוד בכישורי שפה",IF(AND($L234="תקינה",$Z234="מפותחת"),"קוראים וכותבים מיומנים","מיקוד בהבנה והבעה"))))))</f>
        <v/>
      </c>
      <c r="AC234" s="32">
        <f>IF(OR($AB234="",LEFT($AB234,1)="—"),"",IF(OR($AB234="מיקוד בשטף קריאה",$AB234="מיקוד בשטף הקריאה ובכישורי שפה"),"רמה א'",IF($AB234="קוראים וכותבים מיומנים","רמה ג'","רמה ב'")))</f>
        <v/>
      </c>
      <c r="AD234" s="32">
        <f>IF($AC234="","",MID(IF(AND($AC234="רמה א'",$AA234="ניכרת"),"; להוסיף עבודת אוצר מילים","")&amp;IF($Z234="אינה מפותחת","; דגש על הבעה בכתב","")&amp;IF($K234&lt;&gt;"תקין","; נדרש לעבוד על ההנגנה","")&amp;IF($AK234&lt;&gt;"","; "&amp;$AK234,""),3,400))</f>
        <v/>
      </c>
      <c r="AE234" s="32">
        <f>IF($F234="","",IF($F234="תחילת שנה",1,IF($F234="מחצית שנה",2,3)))</f>
        <v/>
      </c>
      <c r="AF234" s="32">
        <f>IF(OR($B234="",$AC234="",$A234="",$F234=""),"",$B234&amp;"|"&amp;$A234&amp;"|"&amp;$F234&amp;"|"&amp;$AC234&amp;"|"&amp;COUNTIFS($B$6:$B234,$B234,$A$6:$A234,$A234,$F$6:$F234,$F234,$AC$6:$AC234,$AC234))</f>
        <v/>
      </c>
      <c r="AG234" s="32">
        <f>IF($C234="","",$C234&amp;"|"&amp;COUNTIFS($C$6:$C234,$C234))</f>
        <v/>
      </c>
      <c r="AH234" s="32">
        <f>IF(OR($C234="",$A234="",$AE234=""),"",$C234&amp;"|"&amp;$A234&amp;"|"&amp;$AE234)</f>
        <v/>
      </c>
      <c r="AI234" s="32">
        <f>IF(OR($C234="",$AE234="",$AE234=1),"",IFERROR(INDEX($AC$6:$AC$1505,MATCH($C234&amp;"|"&amp;$A234&amp;"|"&amp;($AE234-1),$AH$6:$AH$1505,0)),""))</f>
        <v/>
      </c>
      <c r="AJ234" s="32">
        <f>IF(OR($AI234="",$AC234=""),"",IF($AI234=$AC234,"ללא שינוי","מ-"&amp;$AI234&amp;" ל-"&amp;$AC234))</f>
        <v/>
      </c>
      <c r="AK234" s="67" t="n"/>
    </row>
    <row r="235" ht="15.75" customHeight="1" s="58">
      <c r="A235" s="65" t="n"/>
      <c r="B235" s="65" t="n"/>
      <c r="C235" s="66" t="n"/>
      <c r="D235" s="66" t="n"/>
      <c r="E235" s="65" t="n"/>
      <c r="F235" s="65" t="n"/>
      <c r="G235" s="65" t="n"/>
      <c r="H235" s="65" t="n"/>
      <c r="I235" s="65" t="n"/>
      <c r="J235" s="65" t="n"/>
      <c r="K235" s="65" t="n"/>
      <c r="L235" s="65" t="n"/>
      <c r="M235" s="65" t="n"/>
      <c r="N235" s="65" t="n"/>
      <c r="O235" s="65" t="n"/>
      <c r="P235" s="65" t="n"/>
      <c r="Q235" s="65" t="n"/>
      <c r="R235" s="65" t="n"/>
      <c r="S235" s="65" t="n"/>
      <c r="T235" s="65" t="n"/>
      <c r="U235" s="65" t="n"/>
      <c r="V235" s="65" t="n"/>
      <c r="W235" s="65" t="n"/>
      <c r="X235" s="65" t="n"/>
      <c r="Y235" s="32">
        <f>IF($C235="","",IF(COUNTA($I235:$K235)&lt;3,"— חסרים נתונים",IF(AND($I235="תקין",$J235="תקין",$K235="תקין"),"רהוטה",IF(AND($I235="תקין",$J235="תקין"),"מדויקת ורציפה","אינה מדויקת או מקוטעת"))))</f>
        <v/>
      </c>
      <c r="Z235" s="32">
        <f>IF($C235="","",IF(COUNTA($U235:$W235)&lt;3,"",IF(AND($U235="מפותח",$V235="מפותח",$W235="מפותחת"),"מפותחת",IF((--($U235="דל"))+(--($V235="אינו מפותח"))+(--($W235="דלה"))&gt;=2,"אינה מפותחת","חלקית"))))</f>
        <v/>
      </c>
      <c r="AA235" s="32">
        <f>IF($C235="","",IF(COUNTA($M235,$N235,$O235)&lt;3,"— חסרים נתונים",IF(OR($M235="נמוכה",(--($M235&lt;&gt;"תקינה"))+(--($N235&lt;&gt;"תקין"))+(--($O235&lt;&gt;"תקינה"))&gt;=2),"ניכרת","אינה ניכרת")))</f>
        <v/>
      </c>
      <c r="AB235" s="32">
        <f>IF(OR($C235="",$Y235="",$AA235="",LEFT($Y235,1)="—",LEFT($AA235,1)="—"),"",IF($Z235="","— נדרשת הערכת כתיבה",IF($L235="","— חסרה הבנת הנקרא",IF($Y235="אינה מדויקת או מקוטעת",IF($AA235="ניכרת","מיקוד בשטף הקריאה ובכישורי שפה","מיקוד בשטף קריאה"),IF($AA235="ניכרת","מיקוד בכישורי שפה",IF(AND($L235="תקינה",$Z235="מפותחת"),"קוראים וכותבים מיומנים","מיקוד בהבנה והבעה"))))))</f>
        <v/>
      </c>
      <c r="AC235" s="32">
        <f>IF(OR($AB235="",LEFT($AB235,1)="—"),"",IF(OR($AB235="מיקוד בשטף קריאה",$AB235="מיקוד בשטף הקריאה ובכישורי שפה"),"רמה א'",IF($AB235="קוראים וכותבים מיומנים","רמה ג'","רמה ב'")))</f>
        <v/>
      </c>
      <c r="AD235" s="32">
        <f>IF($AC235="","",MID(IF(AND($AC235="רמה א'",$AA235="ניכרת"),"; להוסיף עבודת אוצר מילים","")&amp;IF($Z235="אינה מפותחת","; דגש על הבעה בכתב","")&amp;IF($K235&lt;&gt;"תקין","; נדרש לעבוד על ההנגנה","")&amp;IF($AK235&lt;&gt;"","; "&amp;$AK235,""),3,400))</f>
        <v/>
      </c>
      <c r="AE235" s="32">
        <f>IF($F235="","",IF($F235="תחילת שנה",1,IF($F235="מחצית שנה",2,3)))</f>
        <v/>
      </c>
      <c r="AF235" s="32">
        <f>IF(OR($B235="",$AC235="",$A235="",$F235=""),"",$B235&amp;"|"&amp;$A235&amp;"|"&amp;$F235&amp;"|"&amp;$AC235&amp;"|"&amp;COUNTIFS($B$6:$B235,$B235,$A$6:$A235,$A235,$F$6:$F235,$F235,$AC$6:$AC235,$AC235))</f>
        <v/>
      </c>
      <c r="AG235" s="32">
        <f>IF($C235="","",$C235&amp;"|"&amp;COUNTIFS($C$6:$C235,$C235))</f>
        <v/>
      </c>
      <c r="AH235" s="32">
        <f>IF(OR($C235="",$A235="",$AE235=""),"",$C235&amp;"|"&amp;$A235&amp;"|"&amp;$AE235)</f>
        <v/>
      </c>
      <c r="AI235" s="32">
        <f>IF(OR($C235="",$AE235="",$AE235=1),"",IFERROR(INDEX($AC$6:$AC$1505,MATCH($C235&amp;"|"&amp;$A235&amp;"|"&amp;($AE235-1),$AH$6:$AH$1505,0)),""))</f>
        <v/>
      </c>
      <c r="AJ235" s="32">
        <f>IF(OR($AI235="",$AC235=""),"",IF($AI235=$AC235,"ללא שינוי","מ-"&amp;$AI235&amp;" ל-"&amp;$AC235))</f>
        <v/>
      </c>
      <c r="AK235" s="67" t="n"/>
    </row>
    <row r="236" ht="15.75" customHeight="1" s="58">
      <c r="A236" s="65" t="n"/>
      <c r="B236" s="65" t="n"/>
      <c r="C236" s="66" t="n"/>
      <c r="D236" s="66" t="n"/>
      <c r="E236" s="65" t="n"/>
      <c r="F236" s="65" t="n"/>
      <c r="G236" s="65" t="n"/>
      <c r="H236" s="65" t="n"/>
      <c r="I236" s="65" t="n"/>
      <c r="J236" s="65" t="n"/>
      <c r="K236" s="65" t="n"/>
      <c r="L236" s="65" t="n"/>
      <c r="M236" s="65" t="n"/>
      <c r="N236" s="65" t="n"/>
      <c r="O236" s="65" t="n"/>
      <c r="P236" s="65" t="n"/>
      <c r="Q236" s="65" t="n"/>
      <c r="R236" s="65" t="n"/>
      <c r="S236" s="65" t="n"/>
      <c r="T236" s="65" t="n"/>
      <c r="U236" s="65" t="n"/>
      <c r="V236" s="65" t="n"/>
      <c r="W236" s="65" t="n"/>
      <c r="X236" s="65" t="n"/>
      <c r="Y236" s="32">
        <f>IF($C236="","",IF(COUNTA($I236:$K236)&lt;3,"— חסרים נתונים",IF(AND($I236="תקין",$J236="תקין",$K236="תקין"),"רהוטה",IF(AND($I236="תקין",$J236="תקין"),"מדויקת ורציפה","אינה מדויקת או מקוטעת"))))</f>
        <v/>
      </c>
      <c r="Z236" s="32">
        <f>IF($C236="","",IF(COUNTA($U236:$W236)&lt;3,"",IF(AND($U236="מפותח",$V236="מפותח",$W236="מפותחת"),"מפותחת",IF((--($U236="דל"))+(--($V236="אינו מפותח"))+(--($W236="דלה"))&gt;=2,"אינה מפותחת","חלקית"))))</f>
        <v/>
      </c>
      <c r="AA236" s="32">
        <f>IF($C236="","",IF(COUNTA($M236,$N236,$O236)&lt;3,"— חסרים נתונים",IF(OR($M236="נמוכה",(--($M236&lt;&gt;"תקינה"))+(--($N236&lt;&gt;"תקין"))+(--($O236&lt;&gt;"תקינה"))&gt;=2),"ניכרת","אינה ניכרת")))</f>
        <v/>
      </c>
      <c r="AB236" s="32">
        <f>IF(OR($C236="",$Y236="",$AA236="",LEFT($Y236,1)="—",LEFT($AA236,1)="—"),"",IF($Z236="","— נדרשת הערכת כתיבה",IF($L236="","— חסרה הבנת הנקרא",IF($Y236="אינה מדויקת או מקוטעת",IF($AA236="ניכרת","מיקוד בשטף הקריאה ובכישורי שפה","מיקוד בשטף קריאה"),IF($AA236="ניכרת","מיקוד בכישורי שפה",IF(AND($L236="תקינה",$Z236="מפותחת"),"קוראים וכותבים מיומנים","מיקוד בהבנה והבעה"))))))</f>
        <v/>
      </c>
      <c r="AC236" s="32">
        <f>IF(OR($AB236="",LEFT($AB236,1)="—"),"",IF(OR($AB236="מיקוד בשטף קריאה",$AB236="מיקוד בשטף הקריאה ובכישורי שפה"),"רמה א'",IF($AB236="קוראים וכותבים מיומנים","רמה ג'","רמה ב'")))</f>
        <v/>
      </c>
      <c r="AD236" s="32">
        <f>IF($AC236="","",MID(IF(AND($AC236="רמה א'",$AA236="ניכרת"),"; להוסיף עבודת אוצר מילים","")&amp;IF($Z236="אינה מפותחת","; דגש על הבעה בכתב","")&amp;IF($K236&lt;&gt;"תקין","; נדרש לעבוד על ההנגנה","")&amp;IF($AK236&lt;&gt;"","; "&amp;$AK236,""),3,400))</f>
        <v/>
      </c>
      <c r="AE236" s="32">
        <f>IF($F236="","",IF($F236="תחילת שנה",1,IF($F236="מחצית שנה",2,3)))</f>
        <v/>
      </c>
      <c r="AF236" s="32">
        <f>IF(OR($B236="",$AC236="",$A236="",$F236=""),"",$B236&amp;"|"&amp;$A236&amp;"|"&amp;$F236&amp;"|"&amp;$AC236&amp;"|"&amp;COUNTIFS($B$6:$B236,$B236,$A$6:$A236,$A236,$F$6:$F236,$F236,$AC$6:$AC236,$AC236))</f>
        <v/>
      </c>
      <c r="AG236" s="32">
        <f>IF($C236="","",$C236&amp;"|"&amp;COUNTIFS($C$6:$C236,$C236))</f>
        <v/>
      </c>
      <c r="AH236" s="32">
        <f>IF(OR($C236="",$A236="",$AE236=""),"",$C236&amp;"|"&amp;$A236&amp;"|"&amp;$AE236)</f>
        <v/>
      </c>
      <c r="AI236" s="32">
        <f>IF(OR($C236="",$AE236="",$AE236=1),"",IFERROR(INDEX($AC$6:$AC$1505,MATCH($C236&amp;"|"&amp;$A236&amp;"|"&amp;($AE236-1),$AH$6:$AH$1505,0)),""))</f>
        <v/>
      </c>
      <c r="AJ236" s="32">
        <f>IF(OR($AI236="",$AC236=""),"",IF($AI236=$AC236,"ללא שינוי","מ-"&amp;$AI236&amp;" ל-"&amp;$AC236))</f>
        <v/>
      </c>
      <c r="AK236" s="67" t="n"/>
    </row>
    <row r="237" ht="15.75" customHeight="1" s="58">
      <c r="A237" s="65" t="n"/>
      <c r="B237" s="65" t="n"/>
      <c r="C237" s="66" t="n"/>
      <c r="D237" s="66" t="n"/>
      <c r="E237" s="65" t="n"/>
      <c r="F237" s="65" t="n"/>
      <c r="G237" s="65" t="n"/>
      <c r="H237" s="65" t="n"/>
      <c r="I237" s="65" t="n"/>
      <c r="J237" s="65" t="n"/>
      <c r="K237" s="65" t="n"/>
      <c r="L237" s="65" t="n"/>
      <c r="M237" s="65" t="n"/>
      <c r="N237" s="65" t="n"/>
      <c r="O237" s="65" t="n"/>
      <c r="P237" s="65" t="n"/>
      <c r="Q237" s="65" t="n"/>
      <c r="R237" s="65" t="n"/>
      <c r="S237" s="65" t="n"/>
      <c r="T237" s="65" t="n"/>
      <c r="U237" s="65" t="n"/>
      <c r="V237" s="65" t="n"/>
      <c r="W237" s="65" t="n"/>
      <c r="X237" s="65" t="n"/>
      <c r="Y237" s="32">
        <f>IF($C237="","",IF(COUNTA($I237:$K237)&lt;3,"— חסרים נתונים",IF(AND($I237="תקין",$J237="תקין",$K237="תקין"),"רהוטה",IF(AND($I237="תקין",$J237="תקין"),"מדויקת ורציפה","אינה מדויקת או מקוטעת"))))</f>
        <v/>
      </c>
      <c r="Z237" s="32">
        <f>IF($C237="","",IF(COUNTA($U237:$W237)&lt;3,"",IF(AND($U237="מפותח",$V237="מפותח",$W237="מפותחת"),"מפותחת",IF((--($U237="דל"))+(--($V237="אינו מפותח"))+(--($W237="דלה"))&gt;=2,"אינה מפותחת","חלקית"))))</f>
        <v/>
      </c>
      <c r="AA237" s="32">
        <f>IF($C237="","",IF(COUNTA($M237,$N237,$O237)&lt;3,"— חסרים נתונים",IF(OR($M237="נמוכה",(--($M237&lt;&gt;"תקינה"))+(--($N237&lt;&gt;"תקין"))+(--($O237&lt;&gt;"תקינה"))&gt;=2),"ניכרת","אינה ניכרת")))</f>
        <v/>
      </c>
      <c r="AB237" s="32">
        <f>IF(OR($C237="",$Y237="",$AA237="",LEFT($Y237,1)="—",LEFT($AA237,1)="—"),"",IF($Z237="","— נדרשת הערכת כתיבה",IF($L237="","— חסרה הבנת הנקרא",IF($Y237="אינה מדויקת או מקוטעת",IF($AA237="ניכרת","מיקוד בשטף הקריאה ובכישורי שפה","מיקוד בשטף קריאה"),IF($AA237="ניכרת","מיקוד בכישורי שפה",IF(AND($L237="תקינה",$Z237="מפותחת"),"קוראים וכותבים מיומנים","מיקוד בהבנה והבעה"))))))</f>
        <v/>
      </c>
      <c r="AC237" s="32">
        <f>IF(OR($AB237="",LEFT($AB237,1)="—"),"",IF(OR($AB237="מיקוד בשטף קריאה",$AB237="מיקוד בשטף הקריאה ובכישורי שפה"),"רמה א'",IF($AB237="קוראים וכותבים מיומנים","רמה ג'","רמה ב'")))</f>
        <v/>
      </c>
      <c r="AD237" s="32">
        <f>IF($AC237="","",MID(IF(AND($AC237="רמה א'",$AA237="ניכרת"),"; להוסיף עבודת אוצר מילים","")&amp;IF($Z237="אינה מפותחת","; דגש על הבעה בכתב","")&amp;IF($K237&lt;&gt;"תקין","; נדרש לעבוד על ההנגנה","")&amp;IF($AK237&lt;&gt;"","; "&amp;$AK237,""),3,400))</f>
        <v/>
      </c>
      <c r="AE237" s="32">
        <f>IF($F237="","",IF($F237="תחילת שנה",1,IF($F237="מחצית שנה",2,3)))</f>
        <v/>
      </c>
      <c r="AF237" s="32">
        <f>IF(OR($B237="",$AC237="",$A237="",$F237=""),"",$B237&amp;"|"&amp;$A237&amp;"|"&amp;$F237&amp;"|"&amp;$AC237&amp;"|"&amp;COUNTIFS($B$6:$B237,$B237,$A$6:$A237,$A237,$F$6:$F237,$F237,$AC$6:$AC237,$AC237))</f>
        <v/>
      </c>
      <c r="AG237" s="32">
        <f>IF($C237="","",$C237&amp;"|"&amp;COUNTIFS($C$6:$C237,$C237))</f>
        <v/>
      </c>
      <c r="AH237" s="32">
        <f>IF(OR($C237="",$A237="",$AE237=""),"",$C237&amp;"|"&amp;$A237&amp;"|"&amp;$AE237)</f>
        <v/>
      </c>
      <c r="AI237" s="32">
        <f>IF(OR($C237="",$AE237="",$AE237=1),"",IFERROR(INDEX($AC$6:$AC$1505,MATCH($C237&amp;"|"&amp;$A237&amp;"|"&amp;($AE237-1),$AH$6:$AH$1505,0)),""))</f>
        <v/>
      </c>
      <c r="AJ237" s="32">
        <f>IF(OR($AI237="",$AC237=""),"",IF($AI237=$AC237,"ללא שינוי","מ-"&amp;$AI237&amp;" ל-"&amp;$AC237))</f>
        <v/>
      </c>
      <c r="AK237" s="67" t="n"/>
    </row>
    <row r="238" ht="15.75" customHeight="1" s="58">
      <c r="A238" s="65" t="n"/>
      <c r="B238" s="65" t="n"/>
      <c r="C238" s="66" t="n"/>
      <c r="D238" s="66" t="n"/>
      <c r="E238" s="65" t="n"/>
      <c r="F238" s="65" t="n"/>
      <c r="G238" s="65" t="n"/>
      <c r="H238" s="65" t="n"/>
      <c r="I238" s="65" t="n"/>
      <c r="J238" s="65" t="n"/>
      <c r="K238" s="65" t="n"/>
      <c r="L238" s="65" t="n"/>
      <c r="M238" s="65" t="n"/>
      <c r="N238" s="65" t="n"/>
      <c r="O238" s="65" t="n"/>
      <c r="P238" s="65" t="n"/>
      <c r="Q238" s="65" t="n"/>
      <c r="R238" s="65" t="n"/>
      <c r="S238" s="65" t="n"/>
      <c r="T238" s="65" t="n"/>
      <c r="U238" s="65" t="n"/>
      <c r="V238" s="65" t="n"/>
      <c r="W238" s="65" t="n"/>
      <c r="X238" s="65" t="n"/>
      <c r="Y238" s="32">
        <f>IF($C238="","",IF(COUNTA($I238:$K238)&lt;3,"— חסרים נתונים",IF(AND($I238="תקין",$J238="תקין",$K238="תקין"),"רהוטה",IF(AND($I238="תקין",$J238="תקין"),"מדויקת ורציפה","אינה מדויקת או מקוטעת"))))</f>
        <v/>
      </c>
      <c r="Z238" s="32">
        <f>IF($C238="","",IF(COUNTA($U238:$W238)&lt;3,"",IF(AND($U238="מפותח",$V238="מפותח",$W238="מפותחת"),"מפותחת",IF((--($U238="דל"))+(--($V238="אינו מפותח"))+(--($W238="דלה"))&gt;=2,"אינה מפותחת","חלקית"))))</f>
        <v/>
      </c>
      <c r="AA238" s="32">
        <f>IF($C238="","",IF(COUNTA($M238,$N238,$O238)&lt;3,"— חסרים נתונים",IF(OR($M238="נמוכה",(--($M238&lt;&gt;"תקינה"))+(--($N238&lt;&gt;"תקין"))+(--($O238&lt;&gt;"תקינה"))&gt;=2),"ניכרת","אינה ניכרת")))</f>
        <v/>
      </c>
      <c r="AB238" s="32">
        <f>IF(OR($C238="",$Y238="",$AA238="",LEFT($Y238,1)="—",LEFT($AA238,1)="—"),"",IF($Z238="","— נדרשת הערכת כתיבה",IF($L238="","— חסרה הבנת הנקרא",IF($Y238="אינה מדויקת או מקוטעת",IF($AA238="ניכרת","מיקוד בשטף הקריאה ובכישורי שפה","מיקוד בשטף קריאה"),IF($AA238="ניכרת","מיקוד בכישורי שפה",IF(AND($L238="תקינה",$Z238="מפותחת"),"קוראים וכותבים מיומנים","מיקוד בהבנה והבעה"))))))</f>
        <v/>
      </c>
      <c r="AC238" s="32">
        <f>IF(OR($AB238="",LEFT($AB238,1)="—"),"",IF(OR($AB238="מיקוד בשטף קריאה",$AB238="מיקוד בשטף הקריאה ובכישורי שפה"),"רמה א'",IF($AB238="קוראים וכותבים מיומנים","רמה ג'","רמה ב'")))</f>
        <v/>
      </c>
      <c r="AD238" s="32">
        <f>IF($AC238="","",MID(IF(AND($AC238="רמה א'",$AA238="ניכרת"),"; להוסיף עבודת אוצר מילים","")&amp;IF($Z238="אינה מפותחת","; דגש על הבעה בכתב","")&amp;IF($K238&lt;&gt;"תקין","; נדרש לעבוד על ההנגנה","")&amp;IF($AK238&lt;&gt;"","; "&amp;$AK238,""),3,400))</f>
        <v/>
      </c>
      <c r="AE238" s="32">
        <f>IF($F238="","",IF($F238="תחילת שנה",1,IF($F238="מחצית שנה",2,3)))</f>
        <v/>
      </c>
      <c r="AF238" s="32">
        <f>IF(OR($B238="",$AC238="",$A238="",$F238=""),"",$B238&amp;"|"&amp;$A238&amp;"|"&amp;$F238&amp;"|"&amp;$AC238&amp;"|"&amp;COUNTIFS($B$6:$B238,$B238,$A$6:$A238,$A238,$F$6:$F238,$F238,$AC$6:$AC238,$AC238))</f>
        <v/>
      </c>
      <c r="AG238" s="32">
        <f>IF($C238="","",$C238&amp;"|"&amp;COUNTIFS($C$6:$C238,$C238))</f>
        <v/>
      </c>
      <c r="AH238" s="32">
        <f>IF(OR($C238="",$A238="",$AE238=""),"",$C238&amp;"|"&amp;$A238&amp;"|"&amp;$AE238)</f>
        <v/>
      </c>
      <c r="AI238" s="32">
        <f>IF(OR($C238="",$AE238="",$AE238=1),"",IFERROR(INDEX($AC$6:$AC$1505,MATCH($C238&amp;"|"&amp;$A238&amp;"|"&amp;($AE238-1),$AH$6:$AH$1505,0)),""))</f>
        <v/>
      </c>
      <c r="AJ238" s="32">
        <f>IF(OR($AI238="",$AC238=""),"",IF($AI238=$AC238,"ללא שינוי","מ-"&amp;$AI238&amp;" ל-"&amp;$AC238))</f>
        <v/>
      </c>
      <c r="AK238" s="67" t="n"/>
    </row>
    <row r="239" ht="15.75" customHeight="1" s="58">
      <c r="A239" s="65" t="n"/>
      <c r="B239" s="65" t="n"/>
      <c r="C239" s="66" t="n"/>
      <c r="D239" s="66" t="n"/>
      <c r="E239" s="65" t="n"/>
      <c r="F239" s="65" t="n"/>
      <c r="G239" s="65" t="n"/>
      <c r="H239" s="65" t="n"/>
      <c r="I239" s="65" t="n"/>
      <c r="J239" s="65" t="n"/>
      <c r="K239" s="65" t="n"/>
      <c r="L239" s="65" t="n"/>
      <c r="M239" s="65" t="n"/>
      <c r="N239" s="65" t="n"/>
      <c r="O239" s="65" t="n"/>
      <c r="P239" s="65" t="n"/>
      <c r="Q239" s="65" t="n"/>
      <c r="R239" s="65" t="n"/>
      <c r="S239" s="65" t="n"/>
      <c r="T239" s="65" t="n"/>
      <c r="U239" s="65" t="n"/>
      <c r="V239" s="65" t="n"/>
      <c r="W239" s="65" t="n"/>
      <c r="X239" s="65" t="n"/>
      <c r="Y239" s="32">
        <f>IF($C239="","",IF(COUNTA($I239:$K239)&lt;3,"— חסרים נתונים",IF(AND($I239="תקין",$J239="תקין",$K239="תקין"),"רהוטה",IF(AND($I239="תקין",$J239="תקין"),"מדויקת ורציפה","אינה מדויקת או מקוטעת"))))</f>
        <v/>
      </c>
      <c r="Z239" s="32">
        <f>IF($C239="","",IF(COUNTA($U239:$W239)&lt;3,"",IF(AND($U239="מפותח",$V239="מפותח",$W239="מפותחת"),"מפותחת",IF((--($U239="דל"))+(--($V239="אינו מפותח"))+(--($W239="דלה"))&gt;=2,"אינה מפותחת","חלקית"))))</f>
        <v/>
      </c>
      <c r="AA239" s="32">
        <f>IF($C239="","",IF(COUNTA($M239,$N239,$O239)&lt;3,"— חסרים נתונים",IF(OR($M239="נמוכה",(--($M239&lt;&gt;"תקינה"))+(--($N239&lt;&gt;"תקין"))+(--($O239&lt;&gt;"תקינה"))&gt;=2),"ניכרת","אינה ניכרת")))</f>
        <v/>
      </c>
      <c r="AB239" s="32">
        <f>IF(OR($C239="",$Y239="",$AA239="",LEFT($Y239,1)="—",LEFT($AA239,1)="—"),"",IF($Z239="","— נדרשת הערכת כתיבה",IF($L239="","— חסרה הבנת הנקרא",IF($Y239="אינה מדויקת או מקוטעת",IF($AA239="ניכרת","מיקוד בשטף הקריאה ובכישורי שפה","מיקוד בשטף קריאה"),IF($AA239="ניכרת","מיקוד בכישורי שפה",IF(AND($L239="תקינה",$Z239="מפותחת"),"קוראים וכותבים מיומנים","מיקוד בהבנה והבעה"))))))</f>
        <v/>
      </c>
      <c r="AC239" s="32">
        <f>IF(OR($AB239="",LEFT($AB239,1)="—"),"",IF(OR($AB239="מיקוד בשטף קריאה",$AB239="מיקוד בשטף הקריאה ובכישורי שפה"),"רמה א'",IF($AB239="קוראים וכותבים מיומנים","רמה ג'","רמה ב'")))</f>
        <v/>
      </c>
      <c r="AD239" s="32">
        <f>IF($AC239="","",MID(IF(AND($AC239="רמה א'",$AA239="ניכרת"),"; להוסיף עבודת אוצר מילים","")&amp;IF($Z239="אינה מפותחת","; דגש על הבעה בכתב","")&amp;IF($K239&lt;&gt;"תקין","; נדרש לעבוד על ההנגנה","")&amp;IF($AK239&lt;&gt;"","; "&amp;$AK239,""),3,400))</f>
        <v/>
      </c>
      <c r="AE239" s="32">
        <f>IF($F239="","",IF($F239="תחילת שנה",1,IF($F239="מחצית שנה",2,3)))</f>
        <v/>
      </c>
      <c r="AF239" s="32">
        <f>IF(OR($B239="",$AC239="",$A239="",$F239=""),"",$B239&amp;"|"&amp;$A239&amp;"|"&amp;$F239&amp;"|"&amp;$AC239&amp;"|"&amp;COUNTIFS($B$6:$B239,$B239,$A$6:$A239,$A239,$F$6:$F239,$F239,$AC$6:$AC239,$AC239))</f>
        <v/>
      </c>
      <c r="AG239" s="32">
        <f>IF($C239="","",$C239&amp;"|"&amp;COUNTIFS($C$6:$C239,$C239))</f>
        <v/>
      </c>
      <c r="AH239" s="32">
        <f>IF(OR($C239="",$A239="",$AE239=""),"",$C239&amp;"|"&amp;$A239&amp;"|"&amp;$AE239)</f>
        <v/>
      </c>
      <c r="AI239" s="32">
        <f>IF(OR($C239="",$AE239="",$AE239=1),"",IFERROR(INDEX($AC$6:$AC$1505,MATCH($C239&amp;"|"&amp;$A239&amp;"|"&amp;($AE239-1),$AH$6:$AH$1505,0)),""))</f>
        <v/>
      </c>
      <c r="AJ239" s="32">
        <f>IF(OR($AI239="",$AC239=""),"",IF($AI239=$AC239,"ללא שינוי","מ-"&amp;$AI239&amp;" ל-"&amp;$AC239))</f>
        <v/>
      </c>
      <c r="AK239" s="67" t="n"/>
    </row>
    <row r="240" ht="15.75" customHeight="1" s="58">
      <c r="A240" s="65" t="n"/>
      <c r="B240" s="65" t="n"/>
      <c r="C240" s="66" t="n"/>
      <c r="D240" s="66" t="n"/>
      <c r="E240" s="65" t="n"/>
      <c r="F240" s="65" t="n"/>
      <c r="G240" s="65" t="n"/>
      <c r="H240" s="65" t="n"/>
      <c r="I240" s="65" t="n"/>
      <c r="J240" s="65" t="n"/>
      <c r="K240" s="65" t="n"/>
      <c r="L240" s="65" t="n"/>
      <c r="M240" s="65" t="n"/>
      <c r="N240" s="65" t="n"/>
      <c r="O240" s="65" t="n"/>
      <c r="P240" s="65" t="n"/>
      <c r="Q240" s="65" t="n"/>
      <c r="R240" s="65" t="n"/>
      <c r="S240" s="65" t="n"/>
      <c r="T240" s="65" t="n"/>
      <c r="U240" s="65" t="n"/>
      <c r="V240" s="65" t="n"/>
      <c r="W240" s="65" t="n"/>
      <c r="X240" s="65" t="n"/>
      <c r="Y240" s="32">
        <f>IF($C240="","",IF(COUNTA($I240:$K240)&lt;3,"— חסרים נתונים",IF(AND($I240="תקין",$J240="תקין",$K240="תקין"),"רהוטה",IF(AND($I240="תקין",$J240="תקין"),"מדויקת ורציפה","אינה מדויקת או מקוטעת"))))</f>
        <v/>
      </c>
      <c r="Z240" s="32">
        <f>IF($C240="","",IF(COUNTA($U240:$W240)&lt;3,"",IF(AND($U240="מפותח",$V240="מפותח",$W240="מפותחת"),"מפותחת",IF((--($U240="דל"))+(--($V240="אינו מפותח"))+(--($W240="דלה"))&gt;=2,"אינה מפותחת","חלקית"))))</f>
        <v/>
      </c>
      <c r="AA240" s="32">
        <f>IF($C240="","",IF(COUNTA($M240,$N240,$O240)&lt;3,"— חסרים נתונים",IF(OR($M240="נמוכה",(--($M240&lt;&gt;"תקינה"))+(--($N240&lt;&gt;"תקין"))+(--($O240&lt;&gt;"תקינה"))&gt;=2),"ניכרת","אינה ניכרת")))</f>
        <v/>
      </c>
      <c r="AB240" s="32">
        <f>IF(OR($C240="",$Y240="",$AA240="",LEFT($Y240,1)="—",LEFT($AA240,1)="—"),"",IF($Z240="","— נדרשת הערכת כתיבה",IF($L240="","— חסרה הבנת הנקרא",IF($Y240="אינה מדויקת או מקוטעת",IF($AA240="ניכרת","מיקוד בשטף הקריאה ובכישורי שפה","מיקוד בשטף קריאה"),IF($AA240="ניכרת","מיקוד בכישורי שפה",IF(AND($L240="תקינה",$Z240="מפותחת"),"קוראים וכותבים מיומנים","מיקוד בהבנה והבעה"))))))</f>
        <v/>
      </c>
      <c r="AC240" s="32">
        <f>IF(OR($AB240="",LEFT($AB240,1)="—"),"",IF(OR($AB240="מיקוד בשטף קריאה",$AB240="מיקוד בשטף הקריאה ובכישורי שפה"),"רמה א'",IF($AB240="קוראים וכותבים מיומנים","רמה ג'","רמה ב'")))</f>
        <v/>
      </c>
      <c r="AD240" s="32">
        <f>IF($AC240="","",MID(IF(AND($AC240="רמה א'",$AA240="ניכרת"),"; להוסיף עבודת אוצר מילים","")&amp;IF($Z240="אינה מפותחת","; דגש על הבעה בכתב","")&amp;IF($K240&lt;&gt;"תקין","; נדרש לעבוד על ההנגנה","")&amp;IF($AK240&lt;&gt;"","; "&amp;$AK240,""),3,400))</f>
        <v/>
      </c>
      <c r="AE240" s="32">
        <f>IF($F240="","",IF($F240="תחילת שנה",1,IF($F240="מחצית שנה",2,3)))</f>
        <v/>
      </c>
      <c r="AF240" s="32">
        <f>IF(OR($B240="",$AC240="",$A240="",$F240=""),"",$B240&amp;"|"&amp;$A240&amp;"|"&amp;$F240&amp;"|"&amp;$AC240&amp;"|"&amp;COUNTIFS($B$6:$B240,$B240,$A$6:$A240,$A240,$F$6:$F240,$F240,$AC$6:$AC240,$AC240))</f>
        <v/>
      </c>
      <c r="AG240" s="32">
        <f>IF($C240="","",$C240&amp;"|"&amp;COUNTIFS($C$6:$C240,$C240))</f>
        <v/>
      </c>
      <c r="AH240" s="32">
        <f>IF(OR($C240="",$A240="",$AE240=""),"",$C240&amp;"|"&amp;$A240&amp;"|"&amp;$AE240)</f>
        <v/>
      </c>
      <c r="AI240" s="32">
        <f>IF(OR($C240="",$AE240="",$AE240=1),"",IFERROR(INDEX($AC$6:$AC$1505,MATCH($C240&amp;"|"&amp;$A240&amp;"|"&amp;($AE240-1),$AH$6:$AH$1505,0)),""))</f>
        <v/>
      </c>
      <c r="AJ240" s="32">
        <f>IF(OR($AI240="",$AC240=""),"",IF($AI240=$AC240,"ללא שינוי","מ-"&amp;$AI240&amp;" ל-"&amp;$AC240))</f>
        <v/>
      </c>
      <c r="AK240" s="67" t="n"/>
    </row>
    <row r="241" ht="15.75" customHeight="1" s="58">
      <c r="A241" s="65" t="n"/>
      <c r="B241" s="65" t="n"/>
      <c r="C241" s="66" t="n"/>
      <c r="D241" s="66" t="n"/>
      <c r="E241" s="65" t="n"/>
      <c r="F241" s="65" t="n"/>
      <c r="G241" s="65" t="n"/>
      <c r="H241" s="65" t="n"/>
      <c r="I241" s="65" t="n"/>
      <c r="J241" s="65" t="n"/>
      <c r="K241" s="65" t="n"/>
      <c r="L241" s="65" t="n"/>
      <c r="M241" s="65" t="n"/>
      <c r="N241" s="65" t="n"/>
      <c r="O241" s="65" t="n"/>
      <c r="P241" s="65" t="n"/>
      <c r="Q241" s="65" t="n"/>
      <c r="R241" s="65" t="n"/>
      <c r="S241" s="65" t="n"/>
      <c r="T241" s="65" t="n"/>
      <c r="U241" s="65" t="n"/>
      <c r="V241" s="65" t="n"/>
      <c r="W241" s="65" t="n"/>
      <c r="X241" s="65" t="n"/>
      <c r="Y241" s="32">
        <f>IF($C241="","",IF(COUNTA($I241:$K241)&lt;3,"— חסרים נתונים",IF(AND($I241="תקין",$J241="תקין",$K241="תקין"),"רהוטה",IF(AND($I241="תקין",$J241="תקין"),"מדויקת ורציפה","אינה מדויקת או מקוטעת"))))</f>
        <v/>
      </c>
      <c r="Z241" s="32">
        <f>IF($C241="","",IF(COUNTA($U241:$W241)&lt;3,"",IF(AND($U241="מפותח",$V241="מפותח",$W241="מפותחת"),"מפותחת",IF((--($U241="דל"))+(--($V241="אינו מפותח"))+(--($W241="דלה"))&gt;=2,"אינה מפותחת","חלקית"))))</f>
        <v/>
      </c>
      <c r="AA241" s="32">
        <f>IF($C241="","",IF(COUNTA($M241,$N241,$O241)&lt;3,"— חסרים נתונים",IF(OR($M241="נמוכה",(--($M241&lt;&gt;"תקינה"))+(--($N241&lt;&gt;"תקין"))+(--($O241&lt;&gt;"תקינה"))&gt;=2),"ניכרת","אינה ניכרת")))</f>
        <v/>
      </c>
      <c r="AB241" s="32">
        <f>IF(OR($C241="",$Y241="",$AA241="",LEFT($Y241,1)="—",LEFT($AA241,1)="—"),"",IF($Z241="","— נדרשת הערכת כתיבה",IF($L241="","— חסרה הבנת הנקרא",IF($Y241="אינה מדויקת או מקוטעת",IF($AA241="ניכרת","מיקוד בשטף הקריאה ובכישורי שפה","מיקוד בשטף קריאה"),IF($AA241="ניכרת","מיקוד בכישורי שפה",IF(AND($L241="תקינה",$Z241="מפותחת"),"קוראים וכותבים מיומנים","מיקוד בהבנה והבעה"))))))</f>
        <v/>
      </c>
      <c r="AC241" s="32">
        <f>IF(OR($AB241="",LEFT($AB241,1)="—"),"",IF(OR($AB241="מיקוד בשטף קריאה",$AB241="מיקוד בשטף הקריאה ובכישורי שפה"),"רמה א'",IF($AB241="קוראים וכותבים מיומנים","רמה ג'","רמה ב'")))</f>
        <v/>
      </c>
      <c r="AD241" s="32">
        <f>IF($AC241="","",MID(IF(AND($AC241="רמה א'",$AA241="ניכרת"),"; להוסיף עבודת אוצר מילים","")&amp;IF($Z241="אינה מפותחת","; דגש על הבעה בכתב","")&amp;IF($K241&lt;&gt;"תקין","; נדרש לעבוד על ההנגנה","")&amp;IF($AK241&lt;&gt;"","; "&amp;$AK241,""),3,400))</f>
        <v/>
      </c>
      <c r="AE241" s="32">
        <f>IF($F241="","",IF($F241="תחילת שנה",1,IF($F241="מחצית שנה",2,3)))</f>
        <v/>
      </c>
      <c r="AF241" s="32">
        <f>IF(OR($B241="",$AC241="",$A241="",$F241=""),"",$B241&amp;"|"&amp;$A241&amp;"|"&amp;$F241&amp;"|"&amp;$AC241&amp;"|"&amp;COUNTIFS($B$6:$B241,$B241,$A$6:$A241,$A241,$F$6:$F241,$F241,$AC$6:$AC241,$AC241))</f>
        <v/>
      </c>
      <c r="AG241" s="32">
        <f>IF($C241="","",$C241&amp;"|"&amp;COUNTIFS($C$6:$C241,$C241))</f>
        <v/>
      </c>
      <c r="AH241" s="32">
        <f>IF(OR($C241="",$A241="",$AE241=""),"",$C241&amp;"|"&amp;$A241&amp;"|"&amp;$AE241)</f>
        <v/>
      </c>
      <c r="AI241" s="32">
        <f>IF(OR($C241="",$AE241="",$AE241=1),"",IFERROR(INDEX($AC$6:$AC$1505,MATCH($C241&amp;"|"&amp;$A241&amp;"|"&amp;($AE241-1),$AH$6:$AH$1505,0)),""))</f>
        <v/>
      </c>
      <c r="AJ241" s="32">
        <f>IF(OR($AI241="",$AC241=""),"",IF($AI241=$AC241,"ללא שינוי","מ-"&amp;$AI241&amp;" ל-"&amp;$AC241))</f>
        <v/>
      </c>
      <c r="AK241" s="67" t="n"/>
    </row>
    <row r="242" ht="15.75" customHeight="1" s="58">
      <c r="A242" s="65" t="n"/>
      <c r="B242" s="65" t="n"/>
      <c r="C242" s="66" t="n"/>
      <c r="D242" s="66" t="n"/>
      <c r="E242" s="65" t="n"/>
      <c r="F242" s="65" t="n"/>
      <c r="G242" s="65" t="n"/>
      <c r="H242" s="65" t="n"/>
      <c r="I242" s="65" t="n"/>
      <c r="J242" s="65" t="n"/>
      <c r="K242" s="65" t="n"/>
      <c r="L242" s="65" t="n"/>
      <c r="M242" s="65" t="n"/>
      <c r="N242" s="65" t="n"/>
      <c r="O242" s="65" t="n"/>
      <c r="P242" s="65" t="n"/>
      <c r="Q242" s="65" t="n"/>
      <c r="R242" s="65" t="n"/>
      <c r="S242" s="65" t="n"/>
      <c r="T242" s="65" t="n"/>
      <c r="U242" s="65" t="n"/>
      <c r="V242" s="65" t="n"/>
      <c r="W242" s="65" t="n"/>
      <c r="X242" s="65" t="n"/>
      <c r="Y242" s="32">
        <f>IF($C242="","",IF(COUNTA($I242:$K242)&lt;3,"— חסרים נתונים",IF(AND($I242="תקין",$J242="תקין",$K242="תקין"),"רהוטה",IF(AND($I242="תקין",$J242="תקין"),"מדויקת ורציפה","אינה מדויקת או מקוטעת"))))</f>
        <v/>
      </c>
      <c r="Z242" s="32">
        <f>IF($C242="","",IF(COUNTA($U242:$W242)&lt;3,"",IF(AND($U242="מפותח",$V242="מפותח",$W242="מפותחת"),"מפותחת",IF((--($U242="דל"))+(--($V242="אינו מפותח"))+(--($W242="דלה"))&gt;=2,"אינה מפותחת","חלקית"))))</f>
        <v/>
      </c>
      <c r="AA242" s="32">
        <f>IF($C242="","",IF(COUNTA($M242,$N242,$O242)&lt;3,"— חסרים נתונים",IF(OR($M242="נמוכה",(--($M242&lt;&gt;"תקינה"))+(--($N242&lt;&gt;"תקין"))+(--($O242&lt;&gt;"תקינה"))&gt;=2),"ניכרת","אינה ניכרת")))</f>
        <v/>
      </c>
      <c r="AB242" s="32">
        <f>IF(OR($C242="",$Y242="",$AA242="",LEFT($Y242,1)="—",LEFT($AA242,1)="—"),"",IF($Z242="","— נדרשת הערכת כתיבה",IF($L242="","— חסרה הבנת הנקרא",IF($Y242="אינה מדויקת או מקוטעת",IF($AA242="ניכרת","מיקוד בשטף הקריאה ובכישורי שפה","מיקוד בשטף קריאה"),IF($AA242="ניכרת","מיקוד בכישורי שפה",IF(AND($L242="תקינה",$Z242="מפותחת"),"קוראים וכותבים מיומנים","מיקוד בהבנה והבעה"))))))</f>
        <v/>
      </c>
      <c r="AC242" s="32">
        <f>IF(OR($AB242="",LEFT($AB242,1)="—"),"",IF(OR($AB242="מיקוד בשטף קריאה",$AB242="מיקוד בשטף הקריאה ובכישורי שפה"),"רמה א'",IF($AB242="קוראים וכותבים מיומנים","רמה ג'","רמה ב'")))</f>
        <v/>
      </c>
      <c r="AD242" s="32">
        <f>IF($AC242="","",MID(IF(AND($AC242="רמה א'",$AA242="ניכרת"),"; להוסיף עבודת אוצר מילים","")&amp;IF($Z242="אינה מפותחת","; דגש על הבעה בכתב","")&amp;IF($K242&lt;&gt;"תקין","; נדרש לעבוד על ההנגנה","")&amp;IF($AK242&lt;&gt;"","; "&amp;$AK242,""),3,400))</f>
        <v/>
      </c>
      <c r="AE242" s="32">
        <f>IF($F242="","",IF($F242="תחילת שנה",1,IF($F242="מחצית שנה",2,3)))</f>
        <v/>
      </c>
      <c r="AF242" s="32">
        <f>IF(OR($B242="",$AC242="",$A242="",$F242=""),"",$B242&amp;"|"&amp;$A242&amp;"|"&amp;$F242&amp;"|"&amp;$AC242&amp;"|"&amp;COUNTIFS($B$6:$B242,$B242,$A$6:$A242,$A242,$F$6:$F242,$F242,$AC$6:$AC242,$AC242))</f>
        <v/>
      </c>
      <c r="AG242" s="32">
        <f>IF($C242="","",$C242&amp;"|"&amp;COUNTIFS($C$6:$C242,$C242))</f>
        <v/>
      </c>
      <c r="AH242" s="32">
        <f>IF(OR($C242="",$A242="",$AE242=""),"",$C242&amp;"|"&amp;$A242&amp;"|"&amp;$AE242)</f>
        <v/>
      </c>
      <c r="AI242" s="32">
        <f>IF(OR($C242="",$AE242="",$AE242=1),"",IFERROR(INDEX($AC$6:$AC$1505,MATCH($C242&amp;"|"&amp;$A242&amp;"|"&amp;($AE242-1),$AH$6:$AH$1505,0)),""))</f>
        <v/>
      </c>
      <c r="AJ242" s="32">
        <f>IF(OR($AI242="",$AC242=""),"",IF($AI242=$AC242,"ללא שינוי","מ-"&amp;$AI242&amp;" ל-"&amp;$AC242))</f>
        <v/>
      </c>
      <c r="AK242" s="67" t="n"/>
    </row>
    <row r="243" ht="15.75" customHeight="1" s="58">
      <c r="A243" s="65" t="n"/>
      <c r="B243" s="65" t="n"/>
      <c r="C243" s="66" t="n"/>
      <c r="D243" s="66" t="n"/>
      <c r="E243" s="65" t="n"/>
      <c r="F243" s="65" t="n"/>
      <c r="G243" s="65" t="n"/>
      <c r="H243" s="65" t="n"/>
      <c r="I243" s="65" t="n"/>
      <c r="J243" s="65" t="n"/>
      <c r="K243" s="65" t="n"/>
      <c r="L243" s="65" t="n"/>
      <c r="M243" s="65" t="n"/>
      <c r="N243" s="65" t="n"/>
      <c r="O243" s="65" t="n"/>
      <c r="P243" s="65" t="n"/>
      <c r="Q243" s="65" t="n"/>
      <c r="R243" s="65" t="n"/>
      <c r="S243" s="65" t="n"/>
      <c r="T243" s="65" t="n"/>
      <c r="U243" s="65" t="n"/>
      <c r="V243" s="65" t="n"/>
      <c r="W243" s="65" t="n"/>
      <c r="X243" s="65" t="n"/>
      <c r="Y243" s="32">
        <f>IF($C243="","",IF(COUNTA($I243:$K243)&lt;3,"— חסרים נתונים",IF(AND($I243="תקין",$J243="תקין",$K243="תקין"),"רהוטה",IF(AND($I243="תקין",$J243="תקין"),"מדויקת ורציפה","אינה מדויקת או מקוטעת"))))</f>
        <v/>
      </c>
      <c r="Z243" s="32">
        <f>IF($C243="","",IF(COUNTA($U243:$W243)&lt;3,"",IF(AND($U243="מפותח",$V243="מפותח",$W243="מפותחת"),"מפותחת",IF((--($U243="דל"))+(--($V243="אינו מפותח"))+(--($W243="דלה"))&gt;=2,"אינה מפותחת","חלקית"))))</f>
        <v/>
      </c>
      <c r="AA243" s="32">
        <f>IF($C243="","",IF(COUNTA($M243,$N243,$O243)&lt;3,"— חסרים נתונים",IF(OR($M243="נמוכה",(--($M243&lt;&gt;"תקינה"))+(--($N243&lt;&gt;"תקין"))+(--($O243&lt;&gt;"תקינה"))&gt;=2),"ניכרת","אינה ניכרת")))</f>
        <v/>
      </c>
      <c r="AB243" s="32">
        <f>IF(OR($C243="",$Y243="",$AA243="",LEFT($Y243,1)="—",LEFT($AA243,1)="—"),"",IF($Z243="","— נדרשת הערכת כתיבה",IF($L243="","— חסרה הבנת הנקרא",IF($Y243="אינה מדויקת או מקוטעת",IF($AA243="ניכרת","מיקוד בשטף הקריאה ובכישורי שפה","מיקוד בשטף קריאה"),IF($AA243="ניכרת","מיקוד בכישורי שפה",IF(AND($L243="תקינה",$Z243="מפותחת"),"קוראים וכותבים מיומנים","מיקוד בהבנה והבעה"))))))</f>
        <v/>
      </c>
      <c r="AC243" s="32">
        <f>IF(OR($AB243="",LEFT($AB243,1)="—"),"",IF(OR($AB243="מיקוד בשטף קריאה",$AB243="מיקוד בשטף הקריאה ובכישורי שפה"),"רמה א'",IF($AB243="קוראים וכותבים מיומנים","רמה ג'","רמה ב'")))</f>
        <v/>
      </c>
      <c r="AD243" s="32">
        <f>IF($AC243="","",MID(IF(AND($AC243="רמה א'",$AA243="ניכרת"),"; להוסיף עבודת אוצר מילים","")&amp;IF($Z243="אינה מפותחת","; דגש על הבעה בכתב","")&amp;IF($K243&lt;&gt;"תקין","; נדרש לעבוד על ההנגנה","")&amp;IF($AK243&lt;&gt;"","; "&amp;$AK243,""),3,400))</f>
        <v/>
      </c>
      <c r="AE243" s="32">
        <f>IF($F243="","",IF($F243="תחילת שנה",1,IF($F243="מחצית שנה",2,3)))</f>
        <v/>
      </c>
      <c r="AF243" s="32">
        <f>IF(OR($B243="",$AC243="",$A243="",$F243=""),"",$B243&amp;"|"&amp;$A243&amp;"|"&amp;$F243&amp;"|"&amp;$AC243&amp;"|"&amp;COUNTIFS($B$6:$B243,$B243,$A$6:$A243,$A243,$F$6:$F243,$F243,$AC$6:$AC243,$AC243))</f>
        <v/>
      </c>
      <c r="AG243" s="32">
        <f>IF($C243="","",$C243&amp;"|"&amp;COUNTIFS($C$6:$C243,$C243))</f>
        <v/>
      </c>
      <c r="AH243" s="32">
        <f>IF(OR($C243="",$A243="",$AE243=""),"",$C243&amp;"|"&amp;$A243&amp;"|"&amp;$AE243)</f>
        <v/>
      </c>
      <c r="AI243" s="32">
        <f>IF(OR($C243="",$AE243="",$AE243=1),"",IFERROR(INDEX($AC$6:$AC$1505,MATCH($C243&amp;"|"&amp;$A243&amp;"|"&amp;($AE243-1),$AH$6:$AH$1505,0)),""))</f>
        <v/>
      </c>
      <c r="AJ243" s="32">
        <f>IF(OR($AI243="",$AC243=""),"",IF($AI243=$AC243,"ללא שינוי","מ-"&amp;$AI243&amp;" ל-"&amp;$AC243))</f>
        <v/>
      </c>
      <c r="AK243" s="67" t="n"/>
    </row>
    <row r="244" ht="15.75" customHeight="1" s="58">
      <c r="A244" s="65" t="n"/>
      <c r="B244" s="65" t="n"/>
      <c r="C244" s="66" t="n"/>
      <c r="D244" s="66" t="n"/>
      <c r="E244" s="65" t="n"/>
      <c r="F244" s="65" t="n"/>
      <c r="G244" s="65" t="n"/>
      <c r="H244" s="65" t="n"/>
      <c r="I244" s="65" t="n"/>
      <c r="J244" s="65" t="n"/>
      <c r="K244" s="65" t="n"/>
      <c r="L244" s="65" t="n"/>
      <c r="M244" s="65" t="n"/>
      <c r="N244" s="65" t="n"/>
      <c r="O244" s="65" t="n"/>
      <c r="P244" s="65" t="n"/>
      <c r="Q244" s="65" t="n"/>
      <c r="R244" s="65" t="n"/>
      <c r="S244" s="65" t="n"/>
      <c r="T244" s="65" t="n"/>
      <c r="U244" s="65" t="n"/>
      <c r="V244" s="65" t="n"/>
      <c r="W244" s="65" t="n"/>
      <c r="X244" s="65" t="n"/>
      <c r="Y244" s="32">
        <f>IF($C244="","",IF(COUNTA($I244:$K244)&lt;3,"— חסרים נתונים",IF(AND($I244="תקין",$J244="תקין",$K244="תקין"),"רהוטה",IF(AND($I244="תקין",$J244="תקין"),"מדויקת ורציפה","אינה מדויקת או מקוטעת"))))</f>
        <v/>
      </c>
      <c r="Z244" s="32">
        <f>IF($C244="","",IF(COUNTA($U244:$W244)&lt;3,"",IF(AND($U244="מפותח",$V244="מפותח",$W244="מפותחת"),"מפותחת",IF((--($U244="דל"))+(--($V244="אינו מפותח"))+(--($W244="דלה"))&gt;=2,"אינה מפותחת","חלקית"))))</f>
        <v/>
      </c>
      <c r="AA244" s="32">
        <f>IF($C244="","",IF(COUNTA($M244,$N244,$O244)&lt;3,"— חסרים נתונים",IF(OR($M244="נמוכה",(--($M244&lt;&gt;"תקינה"))+(--($N244&lt;&gt;"תקין"))+(--($O244&lt;&gt;"תקינה"))&gt;=2),"ניכרת","אינה ניכרת")))</f>
        <v/>
      </c>
      <c r="AB244" s="32">
        <f>IF(OR($C244="",$Y244="",$AA244="",LEFT($Y244,1)="—",LEFT($AA244,1)="—"),"",IF($Z244="","— נדרשת הערכת כתיבה",IF($L244="","— חסרה הבנת הנקרא",IF($Y244="אינה מדויקת או מקוטעת",IF($AA244="ניכרת","מיקוד בשטף הקריאה ובכישורי שפה","מיקוד בשטף קריאה"),IF($AA244="ניכרת","מיקוד בכישורי שפה",IF(AND($L244="תקינה",$Z244="מפותחת"),"קוראים וכותבים מיומנים","מיקוד בהבנה והבעה"))))))</f>
        <v/>
      </c>
      <c r="AC244" s="32">
        <f>IF(OR($AB244="",LEFT($AB244,1)="—"),"",IF(OR($AB244="מיקוד בשטף קריאה",$AB244="מיקוד בשטף הקריאה ובכישורי שפה"),"רמה א'",IF($AB244="קוראים וכותבים מיומנים","רמה ג'","רמה ב'")))</f>
        <v/>
      </c>
      <c r="AD244" s="32">
        <f>IF($AC244="","",MID(IF(AND($AC244="רמה א'",$AA244="ניכרת"),"; להוסיף עבודת אוצר מילים","")&amp;IF($Z244="אינה מפותחת","; דגש על הבעה בכתב","")&amp;IF($K244&lt;&gt;"תקין","; נדרש לעבוד על ההנגנה","")&amp;IF($AK244&lt;&gt;"","; "&amp;$AK244,""),3,400))</f>
        <v/>
      </c>
      <c r="AE244" s="32">
        <f>IF($F244="","",IF($F244="תחילת שנה",1,IF($F244="מחצית שנה",2,3)))</f>
        <v/>
      </c>
      <c r="AF244" s="32">
        <f>IF(OR($B244="",$AC244="",$A244="",$F244=""),"",$B244&amp;"|"&amp;$A244&amp;"|"&amp;$F244&amp;"|"&amp;$AC244&amp;"|"&amp;COUNTIFS($B$6:$B244,$B244,$A$6:$A244,$A244,$F$6:$F244,$F244,$AC$6:$AC244,$AC244))</f>
        <v/>
      </c>
      <c r="AG244" s="32">
        <f>IF($C244="","",$C244&amp;"|"&amp;COUNTIFS($C$6:$C244,$C244))</f>
        <v/>
      </c>
      <c r="AH244" s="32">
        <f>IF(OR($C244="",$A244="",$AE244=""),"",$C244&amp;"|"&amp;$A244&amp;"|"&amp;$AE244)</f>
        <v/>
      </c>
      <c r="AI244" s="32">
        <f>IF(OR($C244="",$AE244="",$AE244=1),"",IFERROR(INDEX($AC$6:$AC$1505,MATCH($C244&amp;"|"&amp;$A244&amp;"|"&amp;($AE244-1),$AH$6:$AH$1505,0)),""))</f>
        <v/>
      </c>
      <c r="AJ244" s="32">
        <f>IF(OR($AI244="",$AC244=""),"",IF($AI244=$AC244,"ללא שינוי","מ-"&amp;$AI244&amp;" ל-"&amp;$AC244))</f>
        <v/>
      </c>
      <c r="AK244" s="67" t="n"/>
    </row>
    <row r="245" ht="15.75" customHeight="1" s="58">
      <c r="A245" s="65" t="n"/>
      <c r="B245" s="65" t="n"/>
      <c r="C245" s="66" t="n"/>
      <c r="D245" s="66" t="n"/>
      <c r="E245" s="65" t="n"/>
      <c r="F245" s="65" t="n"/>
      <c r="G245" s="65" t="n"/>
      <c r="H245" s="65" t="n"/>
      <c r="I245" s="65" t="n"/>
      <c r="J245" s="65" t="n"/>
      <c r="K245" s="65" t="n"/>
      <c r="L245" s="65" t="n"/>
      <c r="M245" s="65" t="n"/>
      <c r="N245" s="65" t="n"/>
      <c r="O245" s="65" t="n"/>
      <c r="P245" s="65" t="n"/>
      <c r="Q245" s="65" t="n"/>
      <c r="R245" s="65" t="n"/>
      <c r="S245" s="65" t="n"/>
      <c r="T245" s="65" t="n"/>
      <c r="U245" s="65" t="n"/>
      <c r="V245" s="65" t="n"/>
      <c r="W245" s="65" t="n"/>
      <c r="X245" s="65" t="n"/>
      <c r="Y245" s="32">
        <f>IF($C245="","",IF(COUNTA($I245:$K245)&lt;3,"— חסרים נתונים",IF(AND($I245="תקין",$J245="תקין",$K245="תקין"),"רהוטה",IF(AND($I245="תקין",$J245="תקין"),"מדויקת ורציפה","אינה מדויקת או מקוטעת"))))</f>
        <v/>
      </c>
      <c r="Z245" s="32">
        <f>IF($C245="","",IF(COUNTA($U245:$W245)&lt;3,"",IF(AND($U245="מפותח",$V245="מפותח",$W245="מפותחת"),"מפותחת",IF((--($U245="דל"))+(--($V245="אינו מפותח"))+(--($W245="דלה"))&gt;=2,"אינה מפותחת","חלקית"))))</f>
        <v/>
      </c>
      <c r="AA245" s="32">
        <f>IF($C245="","",IF(COUNTA($M245,$N245,$O245)&lt;3,"— חסרים נתונים",IF(OR($M245="נמוכה",(--($M245&lt;&gt;"תקינה"))+(--($N245&lt;&gt;"תקין"))+(--($O245&lt;&gt;"תקינה"))&gt;=2),"ניכרת","אינה ניכרת")))</f>
        <v/>
      </c>
      <c r="AB245" s="32">
        <f>IF(OR($C245="",$Y245="",$AA245="",LEFT($Y245,1)="—",LEFT($AA245,1)="—"),"",IF($Z245="","— נדרשת הערכת כתיבה",IF($L245="","— חסרה הבנת הנקרא",IF($Y245="אינה מדויקת או מקוטעת",IF($AA245="ניכרת","מיקוד בשטף הקריאה ובכישורי שפה","מיקוד בשטף קריאה"),IF($AA245="ניכרת","מיקוד בכישורי שפה",IF(AND($L245="תקינה",$Z245="מפותחת"),"קוראים וכותבים מיומנים","מיקוד בהבנה והבעה"))))))</f>
        <v/>
      </c>
      <c r="AC245" s="32">
        <f>IF(OR($AB245="",LEFT($AB245,1)="—"),"",IF(OR($AB245="מיקוד בשטף קריאה",$AB245="מיקוד בשטף הקריאה ובכישורי שפה"),"רמה א'",IF($AB245="קוראים וכותבים מיומנים","רמה ג'","רמה ב'")))</f>
        <v/>
      </c>
      <c r="AD245" s="32">
        <f>IF($AC245="","",MID(IF(AND($AC245="רמה א'",$AA245="ניכרת"),"; להוסיף עבודת אוצר מילים","")&amp;IF($Z245="אינה מפותחת","; דגש על הבעה בכתב","")&amp;IF($K245&lt;&gt;"תקין","; נדרש לעבוד על ההנגנה","")&amp;IF($AK245&lt;&gt;"","; "&amp;$AK245,""),3,400))</f>
        <v/>
      </c>
      <c r="AE245" s="32">
        <f>IF($F245="","",IF($F245="תחילת שנה",1,IF($F245="מחצית שנה",2,3)))</f>
        <v/>
      </c>
      <c r="AF245" s="32">
        <f>IF(OR($B245="",$AC245="",$A245="",$F245=""),"",$B245&amp;"|"&amp;$A245&amp;"|"&amp;$F245&amp;"|"&amp;$AC245&amp;"|"&amp;COUNTIFS($B$6:$B245,$B245,$A$6:$A245,$A245,$F$6:$F245,$F245,$AC$6:$AC245,$AC245))</f>
        <v/>
      </c>
      <c r="AG245" s="32">
        <f>IF($C245="","",$C245&amp;"|"&amp;COUNTIFS($C$6:$C245,$C245))</f>
        <v/>
      </c>
      <c r="AH245" s="32">
        <f>IF(OR($C245="",$A245="",$AE245=""),"",$C245&amp;"|"&amp;$A245&amp;"|"&amp;$AE245)</f>
        <v/>
      </c>
      <c r="AI245" s="32">
        <f>IF(OR($C245="",$AE245="",$AE245=1),"",IFERROR(INDEX($AC$6:$AC$1505,MATCH($C245&amp;"|"&amp;$A245&amp;"|"&amp;($AE245-1),$AH$6:$AH$1505,0)),""))</f>
        <v/>
      </c>
      <c r="AJ245" s="32">
        <f>IF(OR($AI245="",$AC245=""),"",IF($AI245=$AC245,"ללא שינוי","מ-"&amp;$AI245&amp;" ל-"&amp;$AC245))</f>
        <v/>
      </c>
      <c r="AK245" s="67" t="n"/>
    </row>
    <row r="246" ht="15.75" customHeight="1" s="58">
      <c r="A246" s="65" t="n"/>
      <c r="B246" s="65" t="n"/>
      <c r="C246" s="66" t="n"/>
      <c r="D246" s="66" t="n"/>
      <c r="E246" s="65" t="n"/>
      <c r="F246" s="65" t="n"/>
      <c r="G246" s="65" t="n"/>
      <c r="H246" s="65" t="n"/>
      <c r="I246" s="65" t="n"/>
      <c r="J246" s="65" t="n"/>
      <c r="K246" s="65" t="n"/>
      <c r="L246" s="65" t="n"/>
      <c r="M246" s="65" t="n"/>
      <c r="N246" s="65" t="n"/>
      <c r="O246" s="65" t="n"/>
      <c r="P246" s="65" t="n"/>
      <c r="Q246" s="65" t="n"/>
      <c r="R246" s="65" t="n"/>
      <c r="S246" s="65" t="n"/>
      <c r="T246" s="65" t="n"/>
      <c r="U246" s="65" t="n"/>
      <c r="V246" s="65" t="n"/>
      <c r="W246" s="65" t="n"/>
      <c r="X246" s="65" t="n"/>
      <c r="Y246" s="32">
        <f>IF($C246="","",IF(COUNTA($I246:$K246)&lt;3,"— חסרים נתונים",IF(AND($I246="תקין",$J246="תקין",$K246="תקין"),"רהוטה",IF(AND($I246="תקין",$J246="תקין"),"מדויקת ורציפה","אינה מדויקת או מקוטעת"))))</f>
        <v/>
      </c>
      <c r="Z246" s="32">
        <f>IF($C246="","",IF(COUNTA($U246:$W246)&lt;3,"",IF(AND($U246="מפותח",$V246="מפותח",$W246="מפותחת"),"מפותחת",IF((--($U246="דל"))+(--($V246="אינו מפותח"))+(--($W246="דלה"))&gt;=2,"אינה מפותחת","חלקית"))))</f>
        <v/>
      </c>
      <c r="AA246" s="32">
        <f>IF($C246="","",IF(COUNTA($M246,$N246,$O246)&lt;3,"— חסרים נתונים",IF(OR($M246="נמוכה",(--($M246&lt;&gt;"תקינה"))+(--($N246&lt;&gt;"תקין"))+(--($O246&lt;&gt;"תקינה"))&gt;=2),"ניכרת","אינה ניכרת")))</f>
        <v/>
      </c>
      <c r="AB246" s="32">
        <f>IF(OR($C246="",$Y246="",$AA246="",LEFT($Y246,1)="—",LEFT($AA246,1)="—"),"",IF($Z246="","— נדרשת הערכת כתיבה",IF($L246="","— חסרה הבנת הנקרא",IF($Y246="אינה מדויקת או מקוטעת",IF($AA246="ניכרת","מיקוד בשטף הקריאה ובכישורי שפה","מיקוד בשטף קריאה"),IF($AA246="ניכרת","מיקוד בכישורי שפה",IF(AND($L246="תקינה",$Z246="מפותחת"),"קוראים וכותבים מיומנים","מיקוד בהבנה והבעה"))))))</f>
        <v/>
      </c>
      <c r="AC246" s="32">
        <f>IF(OR($AB246="",LEFT($AB246,1)="—"),"",IF(OR($AB246="מיקוד בשטף קריאה",$AB246="מיקוד בשטף הקריאה ובכישורי שפה"),"רמה א'",IF($AB246="קוראים וכותבים מיומנים","רמה ג'","רמה ב'")))</f>
        <v/>
      </c>
      <c r="AD246" s="32">
        <f>IF($AC246="","",MID(IF(AND($AC246="רמה א'",$AA246="ניכרת"),"; להוסיף עבודת אוצר מילים","")&amp;IF($Z246="אינה מפותחת","; דגש על הבעה בכתב","")&amp;IF($K246&lt;&gt;"תקין","; נדרש לעבוד על ההנגנה","")&amp;IF($AK246&lt;&gt;"","; "&amp;$AK246,""),3,400))</f>
        <v/>
      </c>
      <c r="AE246" s="32">
        <f>IF($F246="","",IF($F246="תחילת שנה",1,IF($F246="מחצית שנה",2,3)))</f>
        <v/>
      </c>
      <c r="AF246" s="32">
        <f>IF(OR($B246="",$AC246="",$A246="",$F246=""),"",$B246&amp;"|"&amp;$A246&amp;"|"&amp;$F246&amp;"|"&amp;$AC246&amp;"|"&amp;COUNTIFS($B$6:$B246,$B246,$A$6:$A246,$A246,$F$6:$F246,$F246,$AC$6:$AC246,$AC246))</f>
        <v/>
      </c>
      <c r="AG246" s="32">
        <f>IF($C246="","",$C246&amp;"|"&amp;COUNTIFS($C$6:$C246,$C246))</f>
        <v/>
      </c>
      <c r="AH246" s="32">
        <f>IF(OR($C246="",$A246="",$AE246=""),"",$C246&amp;"|"&amp;$A246&amp;"|"&amp;$AE246)</f>
        <v/>
      </c>
      <c r="AI246" s="32">
        <f>IF(OR($C246="",$AE246="",$AE246=1),"",IFERROR(INDEX($AC$6:$AC$1505,MATCH($C246&amp;"|"&amp;$A246&amp;"|"&amp;($AE246-1),$AH$6:$AH$1505,0)),""))</f>
        <v/>
      </c>
      <c r="AJ246" s="32">
        <f>IF(OR($AI246="",$AC246=""),"",IF($AI246=$AC246,"ללא שינוי","מ-"&amp;$AI246&amp;" ל-"&amp;$AC246))</f>
        <v/>
      </c>
      <c r="AK246" s="67" t="n"/>
    </row>
    <row r="247" ht="15.75" customHeight="1" s="58">
      <c r="A247" s="65" t="n"/>
      <c r="B247" s="65" t="n"/>
      <c r="C247" s="66" t="n"/>
      <c r="D247" s="66" t="n"/>
      <c r="E247" s="65" t="n"/>
      <c r="F247" s="65" t="n"/>
      <c r="G247" s="65" t="n"/>
      <c r="H247" s="65" t="n"/>
      <c r="I247" s="65" t="n"/>
      <c r="J247" s="65" t="n"/>
      <c r="K247" s="65" t="n"/>
      <c r="L247" s="65" t="n"/>
      <c r="M247" s="65" t="n"/>
      <c r="N247" s="65" t="n"/>
      <c r="O247" s="65" t="n"/>
      <c r="P247" s="65" t="n"/>
      <c r="Q247" s="65" t="n"/>
      <c r="R247" s="65" t="n"/>
      <c r="S247" s="65" t="n"/>
      <c r="T247" s="65" t="n"/>
      <c r="U247" s="65" t="n"/>
      <c r="V247" s="65" t="n"/>
      <c r="W247" s="65" t="n"/>
      <c r="X247" s="65" t="n"/>
      <c r="Y247" s="32">
        <f>IF($C247="","",IF(COUNTA($I247:$K247)&lt;3,"— חסרים נתונים",IF(AND($I247="תקין",$J247="תקין",$K247="תקין"),"רהוטה",IF(AND($I247="תקין",$J247="תקין"),"מדויקת ורציפה","אינה מדויקת או מקוטעת"))))</f>
        <v/>
      </c>
      <c r="Z247" s="32">
        <f>IF($C247="","",IF(COUNTA($U247:$W247)&lt;3,"",IF(AND($U247="מפותח",$V247="מפותח",$W247="מפותחת"),"מפותחת",IF((--($U247="דל"))+(--($V247="אינו מפותח"))+(--($W247="דלה"))&gt;=2,"אינה מפותחת","חלקית"))))</f>
        <v/>
      </c>
      <c r="AA247" s="32">
        <f>IF($C247="","",IF(COUNTA($M247,$N247,$O247)&lt;3,"— חסרים נתונים",IF(OR($M247="נמוכה",(--($M247&lt;&gt;"תקינה"))+(--($N247&lt;&gt;"תקין"))+(--($O247&lt;&gt;"תקינה"))&gt;=2),"ניכרת","אינה ניכרת")))</f>
        <v/>
      </c>
      <c r="AB247" s="32">
        <f>IF(OR($C247="",$Y247="",$AA247="",LEFT($Y247,1)="—",LEFT($AA247,1)="—"),"",IF($Z247="","— נדרשת הערכת כתיבה",IF($L247="","— חסרה הבנת הנקרא",IF($Y247="אינה מדויקת או מקוטעת",IF($AA247="ניכרת","מיקוד בשטף הקריאה ובכישורי שפה","מיקוד בשטף קריאה"),IF($AA247="ניכרת","מיקוד בכישורי שפה",IF(AND($L247="תקינה",$Z247="מפותחת"),"קוראים וכותבים מיומנים","מיקוד בהבנה והבעה"))))))</f>
        <v/>
      </c>
      <c r="AC247" s="32">
        <f>IF(OR($AB247="",LEFT($AB247,1)="—"),"",IF(OR($AB247="מיקוד בשטף קריאה",$AB247="מיקוד בשטף הקריאה ובכישורי שפה"),"רמה א'",IF($AB247="קוראים וכותבים מיומנים","רמה ג'","רמה ב'")))</f>
        <v/>
      </c>
      <c r="AD247" s="32">
        <f>IF($AC247="","",MID(IF(AND($AC247="רמה א'",$AA247="ניכרת"),"; להוסיף עבודת אוצר מילים","")&amp;IF($Z247="אינה מפותחת","; דגש על הבעה בכתב","")&amp;IF($K247&lt;&gt;"תקין","; נדרש לעבוד על ההנגנה","")&amp;IF($AK247&lt;&gt;"","; "&amp;$AK247,""),3,400))</f>
        <v/>
      </c>
      <c r="AE247" s="32">
        <f>IF($F247="","",IF($F247="תחילת שנה",1,IF($F247="מחצית שנה",2,3)))</f>
        <v/>
      </c>
      <c r="AF247" s="32">
        <f>IF(OR($B247="",$AC247="",$A247="",$F247=""),"",$B247&amp;"|"&amp;$A247&amp;"|"&amp;$F247&amp;"|"&amp;$AC247&amp;"|"&amp;COUNTIFS($B$6:$B247,$B247,$A$6:$A247,$A247,$F$6:$F247,$F247,$AC$6:$AC247,$AC247))</f>
        <v/>
      </c>
      <c r="AG247" s="32">
        <f>IF($C247="","",$C247&amp;"|"&amp;COUNTIFS($C$6:$C247,$C247))</f>
        <v/>
      </c>
      <c r="AH247" s="32">
        <f>IF(OR($C247="",$A247="",$AE247=""),"",$C247&amp;"|"&amp;$A247&amp;"|"&amp;$AE247)</f>
        <v/>
      </c>
      <c r="AI247" s="32">
        <f>IF(OR($C247="",$AE247="",$AE247=1),"",IFERROR(INDEX($AC$6:$AC$1505,MATCH($C247&amp;"|"&amp;$A247&amp;"|"&amp;($AE247-1),$AH$6:$AH$1505,0)),""))</f>
        <v/>
      </c>
      <c r="AJ247" s="32">
        <f>IF(OR($AI247="",$AC247=""),"",IF($AI247=$AC247,"ללא שינוי","מ-"&amp;$AI247&amp;" ל-"&amp;$AC247))</f>
        <v/>
      </c>
      <c r="AK247" s="67" t="n"/>
    </row>
    <row r="248" ht="15.75" customHeight="1" s="58">
      <c r="A248" s="65" t="n"/>
      <c r="B248" s="65" t="n"/>
      <c r="C248" s="66" t="n"/>
      <c r="D248" s="66" t="n"/>
      <c r="E248" s="65" t="n"/>
      <c r="F248" s="65" t="n"/>
      <c r="G248" s="65" t="n"/>
      <c r="H248" s="65" t="n"/>
      <c r="I248" s="65" t="n"/>
      <c r="J248" s="65" t="n"/>
      <c r="K248" s="65" t="n"/>
      <c r="L248" s="65" t="n"/>
      <c r="M248" s="65" t="n"/>
      <c r="N248" s="65" t="n"/>
      <c r="O248" s="65" t="n"/>
      <c r="P248" s="65" t="n"/>
      <c r="Q248" s="65" t="n"/>
      <c r="R248" s="65" t="n"/>
      <c r="S248" s="65" t="n"/>
      <c r="T248" s="65" t="n"/>
      <c r="U248" s="65" t="n"/>
      <c r="V248" s="65" t="n"/>
      <c r="W248" s="65" t="n"/>
      <c r="X248" s="65" t="n"/>
      <c r="Y248" s="32">
        <f>IF($C248="","",IF(COUNTA($I248:$K248)&lt;3,"— חסרים נתונים",IF(AND($I248="תקין",$J248="תקין",$K248="תקין"),"רהוטה",IF(AND($I248="תקין",$J248="תקין"),"מדויקת ורציפה","אינה מדויקת או מקוטעת"))))</f>
        <v/>
      </c>
      <c r="Z248" s="32">
        <f>IF($C248="","",IF(COUNTA($U248:$W248)&lt;3,"",IF(AND($U248="מפותח",$V248="מפותח",$W248="מפותחת"),"מפותחת",IF((--($U248="דל"))+(--($V248="אינו מפותח"))+(--($W248="דלה"))&gt;=2,"אינה מפותחת","חלקית"))))</f>
        <v/>
      </c>
      <c r="AA248" s="32">
        <f>IF($C248="","",IF(COUNTA($M248,$N248,$O248)&lt;3,"— חסרים נתונים",IF(OR($M248="נמוכה",(--($M248&lt;&gt;"תקינה"))+(--($N248&lt;&gt;"תקין"))+(--($O248&lt;&gt;"תקינה"))&gt;=2),"ניכרת","אינה ניכרת")))</f>
        <v/>
      </c>
      <c r="AB248" s="32">
        <f>IF(OR($C248="",$Y248="",$AA248="",LEFT($Y248,1)="—",LEFT($AA248,1)="—"),"",IF($Z248="","— נדרשת הערכת כתיבה",IF($L248="","— חסרה הבנת הנקרא",IF($Y248="אינה מדויקת או מקוטעת",IF($AA248="ניכרת","מיקוד בשטף הקריאה ובכישורי שפה","מיקוד בשטף קריאה"),IF($AA248="ניכרת","מיקוד בכישורי שפה",IF(AND($L248="תקינה",$Z248="מפותחת"),"קוראים וכותבים מיומנים","מיקוד בהבנה והבעה"))))))</f>
        <v/>
      </c>
      <c r="AC248" s="32">
        <f>IF(OR($AB248="",LEFT($AB248,1)="—"),"",IF(OR($AB248="מיקוד בשטף קריאה",$AB248="מיקוד בשטף הקריאה ובכישורי שפה"),"רמה א'",IF($AB248="קוראים וכותבים מיומנים","רמה ג'","רמה ב'")))</f>
        <v/>
      </c>
      <c r="AD248" s="32">
        <f>IF($AC248="","",MID(IF(AND($AC248="רמה א'",$AA248="ניכרת"),"; להוסיף עבודת אוצר מילים","")&amp;IF($Z248="אינה מפותחת","; דגש על הבעה בכתב","")&amp;IF($K248&lt;&gt;"תקין","; נדרש לעבוד על ההנגנה","")&amp;IF($AK248&lt;&gt;"","; "&amp;$AK248,""),3,400))</f>
        <v/>
      </c>
      <c r="AE248" s="32">
        <f>IF($F248="","",IF($F248="תחילת שנה",1,IF($F248="מחצית שנה",2,3)))</f>
        <v/>
      </c>
      <c r="AF248" s="32">
        <f>IF(OR($B248="",$AC248="",$A248="",$F248=""),"",$B248&amp;"|"&amp;$A248&amp;"|"&amp;$F248&amp;"|"&amp;$AC248&amp;"|"&amp;COUNTIFS($B$6:$B248,$B248,$A$6:$A248,$A248,$F$6:$F248,$F248,$AC$6:$AC248,$AC248))</f>
        <v/>
      </c>
      <c r="AG248" s="32">
        <f>IF($C248="","",$C248&amp;"|"&amp;COUNTIFS($C$6:$C248,$C248))</f>
        <v/>
      </c>
      <c r="AH248" s="32">
        <f>IF(OR($C248="",$A248="",$AE248=""),"",$C248&amp;"|"&amp;$A248&amp;"|"&amp;$AE248)</f>
        <v/>
      </c>
      <c r="AI248" s="32">
        <f>IF(OR($C248="",$AE248="",$AE248=1),"",IFERROR(INDEX($AC$6:$AC$1505,MATCH($C248&amp;"|"&amp;$A248&amp;"|"&amp;($AE248-1),$AH$6:$AH$1505,0)),""))</f>
        <v/>
      </c>
      <c r="AJ248" s="32">
        <f>IF(OR($AI248="",$AC248=""),"",IF($AI248=$AC248,"ללא שינוי","מ-"&amp;$AI248&amp;" ל-"&amp;$AC248))</f>
        <v/>
      </c>
      <c r="AK248" s="67" t="n"/>
    </row>
    <row r="249" ht="15.75" customHeight="1" s="58">
      <c r="A249" s="65" t="n"/>
      <c r="B249" s="65" t="n"/>
      <c r="C249" s="66" t="n"/>
      <c r="D249" s="66" t="n"/>
      <c r="E249" s="65" t="n"/>
      <c r="F249" s="65" t="n"/>
      <c r="G249" s="65" t="n"/>
      <c r="H249" s="65" t="n"/>
      <c r="I249" s="65" t="n"/>
      <c r="J249" s="65" t="n"/>
      <c r="K249" s="65" t="n"/>
      <c r="L249" s="65" t="n"/>
      <c r="M249" s="65" t="n"/>
      <c r="N249" s="65" t="n"/>
      <c r="O249" s="65" t="n"/>
      <c r="P249" s="65" t="n"/>
      <c r="Q249" s="65" t="n"/>
      <c r="R249" s="65" t="n"/>
      <c r="S249" s="65" t="n"/>
      <c r="T249" s="65" t="n"/>
      <c r="U249" s="65" t="n"/>
      <c r="V249" s="65" t="n"/>
      <c r="W249" s="65" t="n"/>
      <c r="X249" s="65" t="n"/>
      <c r="Y249" s="32">
        <f>IF($C249="","",IF(COUNTA($I249:$K249)&lt;3,"— חסרים נתונים",IF(AND($I249="תקין",$J249="תקין",$K249="תקין"),"רהוטה",IF(AND($I249="תקין",$J249="תקין"),"מדויקת ורציפה","אינה מדויקת או מקוטעת"))))</f>
        <v/>
      </c>
      <c r="Z249" s="32">
        <f>IF($C249="","",IF(COUNTA($U249:$W249)&lt;3,"",IF(AND($U249="מפותח",$V249="מפותח",$W249="מפותחת"),"מפותחת",IF((--($U249="דל"))+(--($V249="אינו מפותח"))+(--($W249="דלה"))&gt;=2,"אינה מפותחת","חלקית"))))</f>
        <v/>
      </c>
      <c r="AA249" s="32">
        <f>IF($C249="","",IF(COUNTA($M249,$N249,$O249)&lt;3,"— חסרים נתונים",IF(OR($M249="נמוכה",(--($M249&lt;&gt;"תקינה"))+(--($N249&lt;&gt;"תקין"))+(--($O249&lt;&gt;"תקינה"))&gt;=2),"ניכרת","אינה ניכרת")))</f>
        <v/>
      </c>
      <c r="AB249" s="32">
        <f>IF(OR($C249="",$Y249="",$AA249="",LEFT($Y249,1)="—",LEFT($AA249,1)="—"),"",IF($Z249="","— נדרשת הערכת כתיבה",IF($L249="","— חסרה הבנת הנקרא",IF($Y249="אינה מדויקת או מקוטעת",IF($AA249="ניכרת","מיקוד בשטף הקריאה ובכישורי שפה","מיקוד בשטף קריאה"),IF($AA249="ניכרת","מיקוד בכישורי שפה",IF(AND($L249="תקינה",$Z249="מפותחת"),"קוראים וכותבים מיומנים","מיקוד בהבנה והבעה"))))))</f>
        <v/>
      </c>
      <c r="AC249" s="32">
        <f>IF(OR($AB249="",LEFT($AB249,1)="—"),"",IF(OR($AB249="מיקוד בשטף קריאה",$AB249="מיקוד בשטף הקריאה ובכישורי שפה"),"רמה א'",IF($AB249="קוראים וכותבים מיומנים","רמה ג'","רמה ב'")))</f>
        <v/>
      </c>
      <c r="AD249" s="32">
        <f>IF($AC249="","",MID(IF(AND($AC249="רמה א'",$AA249="ניכרת"),"; להוסיף עבודת אוצר מילים","")&amp;IF($Z249="אינה מפותחת","; דגש על הבעה בכתב","")&amp;IF($K249&lt;&gt;"תקין","; נדרש לעבוד על ההנגנה","")&amp;IF($AK249&lt;&gt;"","; "&amp;$AK249,""),3,400))</f>
        <v/>
      </c>
      <c r="AE249" s="32">
        <f>IF($F249="","",IF($F249="תחילת שנה",1,IF($F249="מחצית שנה",2,3)))</f>
        <v/>
      </c>
      <c r="AF249" s="32">
        <f>IF(OR($B249="",$AC249="",$A249="",$F249=""),"",$B249&amp;"|"&amp;$A249&amp;"|"&amp;$F249&amp;"|"&amp;$AC249&amp;"|"&amp;COUNTIFS($B$6:$B249,$B249,$A$6:$A249,$A249,$F$6:$F249,$F249,$AC$6:$AC249,$AC249))</f>
        <v/>
      </c>
      <c r="AG249" s="32">
        <f>IF($C249="","",$C249&amp;"|"&amp;COUNTIFS($C$6:$C249,$C249))</f>
        <v/>
      </c>
      <c r="AH249" s="32">
        <f>IF(OR($C249="",$A249="",$AE249=""),"",$C249&amp;"|"&amp;$A249&amp;"|"&amp;$AE249)</f>
        <v/>
      </c>
      <c r="AI249" s="32">
        <f>IF(OR($C249="",$AE249="",$AE249=1),"",IFERROR(INDEX($AC$6:$AC$1505,MATCH($C249&amp;"|"&amp;$A249&amp;"|"&amp;($AE249-1),$AH$6:$AH$1505,0)),""))</f>
        <v/>
      </c>
      <c r="AJ249" s="32">
        <f>IF(OR($AI249="",$AC249=""),"",IF($AI249=$AC249,"ללא שינוי","מ-"&amp;$AI249&amp;" ל-"&amp;$AC249))</f>
        <v/>
      </c>
      <c r="AK249" s="67" t="n"/>
    </row>
    <row r="250" ht="15.75" customHeight="1" s="58">
      <c r="A250" s="65" t="n"/>
      <c r="B250" s="65" t="n"/>
      <c r="C250" s="66" t="n"/>
      <c r="D250" s="66" t="n"/>
      <c r="E250" s="65" t="n"/>
      <c r="F250" s="65" t="n"/>
      <c r="G250" s="65" t="n"/>
      <c r="H250" s="65" t="n"/>
      <c r="I250" s="65" t="n"/>
      <c r="J250" s="65" t="n"/>
      <c r="K250" s="65" t="n"/>
      <c r="L250" s="65" t="n"/>
      <c r="M250" s="65" t="n"/>
      <c r="N250" s="65" t="n"/>
      <c r="O250" s="65" t="n"/>
      <c r="P250" s="65" t="n"/>
      <c r="Q250" s="65" t="n"/>
      <c r="R250" s="65" t="n"/>
      <c r="S250" s="65" t="n"/>
      <c r="T250" s="65" t="n"/>
      <c r="U250" s="65" t="n"/>
      <c r="V250" s="65" t="n"/>
      <c r="W250" s="65" t="n"/>
      <c r="X250" s="65" t="n"/>
      <c r="Y250" s="32">
        <f>IF($C250="","",IF(COUNTA($I250:$K250)&lt;3,"— חסרים נתונים",IF(AND($I250="תקין",$J250="תקין",$K250="תקין"),"רהוטה",IF(AND($I250="תקין",$J250="תקין"),"מדויקת ורציפה","אינה מדויקת או מקוטעת"))))</f>
        <v/>
      </c>
      <c r="Z250" s="32">
        <f>IF($C250="","",IF(COUNTA($U250:$W250)&lt;3,"",IF(AND($U250="מפותח",$V250="מפותח",$W250="מפותחת"),"מפותחת",IF((--($U250="דל"))+(--($V250="אינו מפותח"))+(--($W250="דלה"))&gt;=2,"אינה מפותחת","חלקית"))))</f>
        <v/>
      </c>
      <c r="AA250" s="32">
        <f>IF($C250="","",IF(COUNTA($M250,$N250,$O250)&lt;3,"— חסרים נתונים",IF(OR($M250="נמוכה",(--($M250&lt;&gt;"תקינה"))+(--($N250&lt;&gt;"תקין"))+(--($O250&lt;&gt;"תקינה"))&gt;=2),"ניכרת","אינה ניכרת")))</f>
        <v/>
      </c>
      <c r="AB250" s="32">
        <f>IF(OR($C250="",$Y250="",$AA250="",LEFT($Y250,1)="—",LEFT($AA250,1)="—"),"",IF($Z250="","— נדרשת הערכת כתיבה",IF($L250="","— חסרה הבנת הנקרא",IF($Y250="אינה מדויקת או מקוטעת",IF($AA250="ניכרת","מיקוד בשטף הקריאה ובכישורי שפה","מיקוד בשטף קריאה"),IF($AA250="ניכרת","מיקוד בכישורי שפה",IF(AND($L250="תקינה",$Z250="מפותחת"),"קוראים וכותבים מיומנים","מיקוד בהבנה והבעה"))))))</f>
        <v/>
      </c>
      <c r="AC250" s="32">
        <f>IF(OR($AB250="",LEFT($AB250,1)="—"),"",IF(OR($AB250="מיקוד בשטף קריאה",$AB250="מיקוד בשטף הקריאה ובכישורי שפה"),"רמה א'",IF($AB250="קוראים וכותבים מיומנים","רמה ג'","רמה ב'")))</f>
        <v/>
      </c>
      <c r="AD250" s="32">
        <f>IF($AC250="","",MID(IF(AND($AC250="רמה א'",$AA250="ניכרת"),"; להוסיף עבודת אוצר מילים","")&amp;IF($Z250="אינה מפותחת","; דגש על הבעה בכתב","")&amp;IF($K250&lt;&gt;"תקין","; נדרש לעבוד על ההנגנה","")&amp;IF($AK250&lt;&gt;"","; "&amp;$AK250,""),3,400))</f>
        <v/>
      </c>
      <c r="AE250" s="32">
        <f>IF($F250="","",IF($F250="תחילת שנה",1,IF($F250="מחצית שנה",2,3)))</f>
        <v/>
      </c>
      <c r="AF250" s="32">
        <f>IF(OR($B250="",$AC250="",$A250="",$F250=""),"",$B250&amp;"|"&amp;$A250&amp;"|"&amp;$F250&amp;"|"&amp;$AC250&amp;"|"&amp;COUNTIFS($B$6:$B250,$B250,$A$6:$A250,$A250,$F$6:$F250,$F250,$AC$6:$AC250,$AC250))</f>
        <v/>
      </c>
      <c r="AG250" s="32">
        <f>IF($C250="","",$C250&amp;"|"&amp;COUNTIFS($C$6:$C250,$C250))</f>
        <v/>
      </c>
      <c r="AH250" s="32">
        <f>IF(OR($C250="",$A250="",$AE250=""),"",$C250&amp;"|"&amp;$A250&amp;"|"&amp;$AE250)</f>
        <v/>
      </c>
      <c r="AI250" s="32">
        <f>IF(OR($C250="",$AE250="",$AE250=1),"",IFERROR(INDEX($AC$6:$AC$1505,MATCH($C250&amp;"|"&amp;$A250&amp;"|"&amp;($AE250-1),$AH$6:$AH$1505,0)),""))</f>
        <v/>
      </c>
      <c r="AJ250" s="32">
        <f>IF(OR($AI250="",$AC250=""),"",IF($AI250=$AC250,"ללא שינוי","מ-"&amp;$AI250&amp;" ל-"&amp;$AC250))</f>
        <v/>
      </c>
      <c r="AK250" s="67" t="n"/>
    </row>
    <row r="251" ht="15.75" customHeight="1" s="58">
      <c r="A251" s="65" t="n"/>
      <c r="B251" s="65" t="n"/>
      <c r="C251" s="66" t="n"/>
      <c r="D251" s="66" t="n"/>
      <c r="E251" s="65" t="n"/>
      <c r="F251" s="65" t="n"/>
      <c r="G251" s="65" t="n"/>
      <c r="H251" s="65" t="n"/>
      <c r="I251" s="65" t="n"/>
      <c r="J251" s="65" t="n"/>
      <c r="K251" s="65" t="n"/>
      <c r="L251" s="65" t="n"/>
      <c r="M251" s="65" t="n"/>
      <c r="N251" s="65" t="n"/>
      <c r="O251" s="65" t="n"/>
      <c r="P251" s="65" t="n"/>
      <c r="Q251" s="65" t="n"/>
      <c r="R251" s="65" t="n"/>
      <c r="S251" s="65" t="n"/>
      <c r="T251" s="65" t="n"/>
      <c r="U251" s="65" t="n"/>
      <c r="V251" s="65" t="n"/>
      <c r="W251" s="65" t="n"/>
      <c r="X251" s="65" t="n"/>
      <c r="Y251" s="32">
        <f>IF($C251="","",IF(COUNTA($I251:$K251)&lt;3,"— חסרים נתונים",IF(AND($I251="תקין",$J251="תקין",$K251="תקין"),"רהוטה",IF(AND($I251="תקין",$J251="תקין"),"מדויקת ורציפה","אינה מדויקת או מקוטעת"))))</f>
        <v/>
      </c>
      <c r="Z251" s="32">
        <f>IF($C251="","",IF(COUNTA($U251:$W251)&lt;3,"",IF(AND($U251="מפותח",$V251="מפותח",$W251="מפותחת"),"מפותחת",IF((--($U251="דל"))+(--($V251="אינו מפותח"))+(--($W251="דלה"))&gt;=2,"אינה מפותחת","חלקית"))))</f>
        <v/>
      </c>
      <c r="AA251" s="32">
        <f>IF($C251="","",IF(COUNTA($M251,$N251,$O251)&lt;3,"— חסרים נתונים",IF(OR($M251="נמוכה",(--($M251&lt;&gt;"תקינה"))+(--($N251&lt;&gt;"תקין"))+(--($O251&lt;&gt;"תקינה"))&gt;=2),"ניכרת","אינה ניכרת")))</f>
        <v/>
      </c>
      <c r="AB251" s="32">
        <f>IF(OR($C251="",$Y251="",$AA251="",LEFT($Y251,1)="—",LEFT($AA251,1)="—"),"",IF($Z251="","— נדרשת הערכת כתיבה",IF($L251="","— חסרה הבנת הנקרא",IF($Y251="אינה מדויקת או מקוטעת",IF($AA251="ניכרת","מיקוד בשטף הקריאה ובכישורי שפה","מיקוד בשטף קריאה"),IF($AA251="ניכרת","מיקוד בכישורי שפה",IF(AND($L251="תקינה",$Z251="מפותחת"),"קוראים וכותבים מיומנים","מיקוד בהבנה והבעה"))))))</f>
        <v/>
      </c>
      <c r="AC251" s="32">
        <f>IF(OR($AB251="",LEFT($AB251,1)="—"),"",IF(OR($AB251="מיקוד בשטף קריאה",$AB251="מיקוד בשטף הקריאה ובכישורי שפה"),"רמה א'",IF($AB251="קוראים וכותבים מיומנים","רמה ג'","רמה ב'")))</f>
        <v/>
      </c>
      <c r="AD251" s="32">
        <f>IF($AC251="","",MID(IF(AND($AC251="רמה א'",$AA251="ניכרת"),"; להוסיף עבודת אוצר מילים","")&amp;IF($Z251="אינה מפותחת","; דגש על הבעה בכתב","")&amp;IF($K251&lt;&gt;"תקין","; נדרש לעבוד על ההנגנה","")&amp;IF($AK251&lt;&gt;"","; "&amp;$AK251,""),3,400))</f>
        <v/>
      </c>
      <c r="AE251" s="32">
        <f>IF($F251="","",IF($F251="תחילת שנה",1,IF($F251="מחצית שנה",2,3)))</f>
        <v/>
      </c>
      <c r="AF251" s="32">
        <f>IF(OR($B251="",$AC251="",$A251="",$F251=""),"",$B251&amp;"|"&amp;$A251&amp;"|"&amp;$F251&amp;"|"&amp;$AC251&amp;"|"&amp;COUNTIFS($B$6:$B251,$B251,$A$6:$A251,$A251,$F$6:$F251,$F251,$AC$6:$AC251,$AC251))</f>
        <v/>
      </c>
      <c r="AG251" s="32">
        <f>IF($C251="","",$C251&amp;"|"&amp;COUNTIFS($C$6:$C251,$C251))</f>
        <v/>
      </c>
      <c r="AH251" s="32">
        <f>IF(OR($C251="",$A251="",$AE251=""),"",$C251&amp;"|"&amp;$A251&amp;"|"&amp;$AE251)</f>
        <v/>
      </c>
      <c r="AI251" s="32">
        <f>IF(OR($C251="",$AE251="",$AE251=1),"",IFERROR(INDEX($AC$6:$AC$1505,MATCH($C251&amp;"|"&amp;$A251&amp;"|"&amp;($AE251-1),$AH$6:$AH$1505,0)),""))</f>
        <v/>
      </c>
      <c r="AJ251" s="32">
        <f>IF(OR($AI251="",$AC251=""),"",IF($AI251=$AC251,"ללא שינוי","מ-"&amp;$AI251&amp;" ל-"&amp;$AC251))</f>
        <v/>
      </c>
      <c r="AK251" s="67" t="n"/>
    </row>
    <row r="252" ht="15.75" customHeight="1" s="58">
      <c r="A252" s="65" t="n"/>
      <c r="B252" s="65" t="n"/>
      <c r="C252" s="66" t="n"/>
      <c r="D252" s="66" t="n"/>
      <c r="E252" s="65" t="n"/>
      <c r="F252" s="65" t="n"/>
      <c r="G252" s="65" t="n"/>
      <c r="H252" s="65" t="n"/>
      <c r="I252" s="65" t="n"/>
      <c r="J252" s="65" t="n"/>
      <c r="K252" s="65" t="n"/>
      <c r="L252" s="65" t="n"/>
      <c r="M252" s="65" t="n"/>
      <c r="N252" s="65" t="n"/>
      <c r="O252" s="65" t="n"/>
      <c r="P252" s="65" t="n"/>
      <c r="Q252" s="65" t="n"/>
      <c r="R252" s="65" t="n"/>
      <c r="S252" s="65" t="n"/>
      <c r="T252" s="65" t="n"/>
      <c r="U252" s="65" t="n"/>
      <c r="V252" s="65" t="n"/>
      <c r="W252" s="65" t="n"/>
      <c r="X252" s="65" t="n"/>
      <c r="Y252" s="32">
        <f>IF($C252="","",IF(COUNTA($I252:$K252)&lt;3,"— חסרים נתונים",IF(AND($I252="תקין",$J252="תקין",$K252="תקין"),"רהוטה",IF(AND($I252="תקין",$J252="תקין"),"מדויקת ורציפה","אינה מדויקת או מקוטעת"))))</f>
        <v/>
      </c>
      <c r="Z252" s="32">
        <f>IF($C252="","",IF(COUNTA($U252:$W252)&lt;3,"",IF(AND($U252="מפותח",$V252="מפותח",$W252="מפותחת"),"מפותחת",IF((--($U252="דל"))+(--($V252="אינו מפותח"))+(--($W252="דלה"))&gt;=2,"אינה מפותחת","חלקית"))))</f>
        <v/>
      </c>
      <c r="AA252" s="32">
        <f>IF($C252="","",IF(COUNTA($M252,$N252,$O252)&lt;3,"— חסרים נתונים",IF(OR($M252="נמוכה",(--($M252&lt;&gt;"תקינה"))+(--($N252&lt;&gt;"תקין"))+(--($O252&lt;&gt;"תקינה"))&gt;=2),"ניכרת","אינה ניכרת")))</f>
        <v/>
      </c>
      <c r="AB252" s="32">
        <f>IF(OR($C252="",$Y252="",$AA252="",LEFT($Y252,1)="—",LEFT($AA252,1)="—"),"",IF($Z252="","— נדרשת הערכת כתיבה",IF($L252="","— חסרה הבנת הנקרא",IF($Y252="אינה מדויקת או מקוטעת",IF($AA252="ניכרת","מיקוד בשטף הקריאה ובכישורי שפה","מיקוד בשטף קריאה"),IF($AA252="ניכרת","מיקוד בכישורי שפה",IF(AND($L252="תקינה",$Z252="מפותחת"),"קוראים וכותבים מיומנים","מיקוד בהבנה והבעה"))))))</f>
        <v/>
      </c>
      <c r="AC252" s="32">
        <f>IF(OR($AB252="",LEFT($AB252,1)="—"),"",IF(OR($AB252="מיקוד בשטף קריאה",$AB252="מיקוד בשטף הקריאה ובכישורי שפה"),"רמה א'",IF($AB252="קוראים וכותבים מיומנים","רמה ג'","רמה ב'")))</f>
        <v/>
      </c>
      <c r="AD252" s="32">
        <f>IF($AC252="","",MID(IF(AND($AC252="רמה א'",$AA252="ניכרת"),"; להוסיף עבודת אוצר מילים","")&amp;IF($Z252="אינה מפותחת","; דגש על הבעה בכתב","")&amp;IF($K252&lt;&gt;"תקין","; נדרש לעבוד על ההנגנה","")&amp;IF($AK252&lt;&gt;"","; "&amp;$AK252,""),3,400))</f>
        <v/>
      </c>
      <c r="AE252" s="32">
        <f>IF($F252="","",IF($F252="תחילת שנה",1,IF($F252="מחצית שנה",2,3)))</f>
        <v/>
      </c>
      <c r="AF252" s="32">
        <f>IF(OR($B252="",$AC252="",$A252="",$F252=""),"",$B252&amp;"|"&amp;$A252&amp;"|"&amp;$F252&amp;"|"&amp;$AC252&amp;"|"&amp;COUNTIFS($B$6:$B252,$B252,$A$6:$A252,$A252,$F$6:$F252,$F252,$AC$6:$AC252,$AC252))</f>
        <v/>
      </c>
      <c r="AG252" s="32">
        <f>IF($C252="","",$C252&amp;"|"&amp;COUNTIFS($C$6:$C252,$C252))</f>
        <v/>
      </c>
      <c r="AH252" s="32">
        <f>IF(OR($C252="",$A252="",$AE252=""),"",$C252&amp;"|"&amp;$A252&amp;"|"&amp;$AE252)</f>
        <v/>
      </c>
      <c r="AI252" s="32">
        <f>IF(OR($C252="",$AE252="",$AE252=1),"",IFERROR(INDEX($AC$6:$AC$1505,MATCH($C252&amp;"|"&amp;$A252&amp;"|"&amp;($AE252-1),$AH$6:$AH$1505,0)),""))</f>
        <v/>
      </c>
      <c r="AJ252" s="32">
        <f>IF(OR($AI252="",$AC252=""),"",IF($AI252=$AC252,"ללא שינוי","מ-"&amp;$AI252&amp;" ל-"&amp;$AC252))</f>
        <v/>
      </c>
      <c r="AK252" s="67" t="n"/>
    </row>
    <row r="253" ht="15.75" customHeight="1" s="58">
      <c r="A253" s="65" t="n"/>
      <c r="B253" s="65" t="n"/>
      <c r="C253" s="66" t="n"/>
      <c r="D253" s="66" t="n"/>
      <c r="E253" s="65" t="n"/>
      <c r="F253" s="65" t="n"/>
      <c r="G253" s="65" t="n"/>
      <c r="H253" s="65" t="n"/>
      <c r="I253" s="65" t="n"/>
      <c r="J253" s="65" t="n"/>
      <c r="K253" s="65" t="n"/>
      <c r="L253" s="65" t="n"/>
      <c r="M253" s="65" t="n"/>
      <c r="N253" s="65" t="n"/>
      <c r="O253" s="65" t="n"/>
      <c r="P253" s="65" t="n"/>
      <c r="Q253" s="65" t="n"/>
      <c r="R253" s="65" t="n"/>
      <c r="S253" s="65" t="n"/>
      <c r="T253" s="65" t="n"/>
      <c r="U253" s="65" t="n"/>
      <c r="V253" s="65" t="n"/>
      <c r="W253" s="65" t="n"/>
      <c r="X253" s="65" t="n"/>
      <c r="Y253" s="32">
        <f>IF($C253="","",IF(COUNTA($I253:$K253)&lt;3,"— חסרים נתונים",IF(AND($I253="תקין",$J253="תקין",$K253="תקין"),"רהוטה",IF(AND($I253="תקין",$J253="תקין"),"מדויקת ורציפה","אינה מדויקת או מקוטעת"))))</f>
        <v/>
      </c>
      <c r="Z253" s="32">
        <f>IF($C253="","",IF(COUNTA($U253:$W253)&lt;3,"",IF(AND($U253="מפותח",$V253="מפותח",$W253="מפותחת"),"מפותחת",IF((--($U253="דל"))+(--($V253="אינו מפותח"))+(--($W253="דלה"))&gt;=2,"אינה מפותחת","חלקית"))))</f>
        <v/>
      </c>
      <c r="AA253" s="32">
        <f>IF($C253="","",IF(COUNTA($M253,$N253,$O253)&lt;3,"— חסרים נתונים",IF(OR($M253="נמוכה",(--($M253&lt;&gt;"תקינה"))+(--($N253&lt;&gt;"תקין"))+(--($O253&lt;&gt;"תקינה"))&gt;=2),"ניכרת","אינה ניכרת")))</f>
        <v/>
      </c>
      <c r="AB253" s="32">
        <f>IF(OR($C253="",$Y253="",$AA253="",LEFT($Y253,1)="—",LEFT($AA253,1)="—"),"",IF($Z253="","— נדרשת הערכת כתיבה",IF($L253="","— חסרה הבנת הנקרא",IF($Y253="אינה מדויקת או מקוטעת",IF($AA253="ניכרת","מיקוד בשטף הקריאה ובכישורי שפה","מיקוד בשטף קריאה"),IF($AA253="ניכרת","מיקוד בכישורי שפה",IF(AND($L253="תקינה",$Z253="מפותחת"),"קוראים וכותבים מיומנים","מיקוד בהבנה והבעה"))))))</f>
        <v/>
      </c>
      <c r="AC253" s="32">
        <f>IF(OR($AB253="",LEFT($AB253,1)="—"),"",IF(OR($AB253="מיקוד בשטף קריאה",$AB253="מיקוד בשטף הקריאה ובכישורי שפה"),"רמה א'",IF($AB253="קוראים וכותבים מיומנים","רמה ג'","רמה ב'")))</f>
        <v/>
      </c>
      <c r="AD253" s="32">
        <f>IF($AC253="","",MID(IF(AND($AC253="רמה א'",$AA253="ניכרת"),"; להוסיף עבודת אוצר מילים","")&amp;IF($Z253="אינה מפותחת","; דגש על הבעה בכתב","")&amp;IF($K253&lt;&gt;"תקין","; נדרש לעבוד על ההנגנה","")&amp;IF($AK253&lt;&gt;"","; "&amp;$AK253,""),3,400))</f>
        <v/>
      </c>
      <c r="AE253" s="32">
        <f>IF($F253="","",IF($F253="תחילת שנה",1,IF($F253="מחצית שנה",2,3)))</f>
        <v/>
      </c>
      <c r="AF253" s="32">
        <f>IF(OR($B253="",$AC253="",$A253="",$F253=""),"",$B253&amp;"|"&amp;$A253&amp;"|"&amp;$F253&amp;"|"&amp;$AC253&amp;"|"&amp;COUNTIFS($B$6:$B253,$B253,$A$6:$A253,$A253,$F$6:$F253,$F253,$AC$6:$AC253,$AC253))</f>
        <v/>
      </c>
      <c r="AG253" s="32">
        <f>IF($C253="","",$C253&amp;"|"&amp;COUNTIFS($C$6:$C253,$C253))</f>
        <v/>
      </c>
      <c r="AH253" s="32">
        <f>IF(OR($C253="",$A253="",$AE253=""),"",$C253&amp;"|"&amp;$A253&amp;"|"&amp;$AE253)</f>
        <v/>
      </c>
      <c r="AI253" s="32">
        <f>IF(OR($C253="",$AE253="",$AE253=1),"",IFERROR(INDEX($AC$6:$AC$1505,MATCH($C253&amp;"|"&amp;$A253&amp;"|"&amp;($AE253-1),$AH$6:$AH$1505,0)),""))</f>
        <v/>
      </c>
      <c r="AJ253" s="32">
        <f>IF(OR($AI253="",$AC253=""),"",IF($AI253=$AC253,"ללא שינוי","מ-"&amp;$AI253&amp;" ל-"&amp;$AC253))</f>
        <v/>
      </c>
      <c r="AK253" s="67" t="n"/>
    </row>
    <row r="254" ht="15.75" customHeight="1" s="58">
      <c r="A254" s="65" t="n"/>
      <c r="B254" s="65" t="n"/>
      <c r="C254" s="66" t="n"/>
      <c r="D254" s="66" t="n"/>
      <c r="E254" s="65" t="n"/>
      <c r="F254" s="65" t="n"/>
      <c r="G254" s="65" t="n"/>
      <c r="H254" s="65" t="n"/>
      <c r="I254" s="65" t="n"/>
      <c r="J254" s="65" t="n"/>
      <c r="K254" s="65" t="n"/>
      <c r="L254" s="65" t="n"/>
      <c r="M254" s="65" t="n"/>
      <c r="N254" s="65" t="n"/>
      <c r="O254" s="65" t="n"/>
      <c r="P254" s="65" t="n"/>
      <c r="Q254" s="65" t="n"/>
      <c r="R254" s="65" t="n"/>
      <c r="S254" s="65" t="n"/>
      <c r="T254" s="65" t="n"/>
      <c r="U254" s="65" t="n"/>
      <c r="V254" s="65" t="n"/>
      <c r="W254" s="65" t="n"/>
      <c r="X254" s="65" t="n"/>
      <c r="Y254" s="32">
        <f>IF($C254="","",IF(COUNTA($I254:$K254)&lt;3,"— חסרים נתונים",IF(AND($I254="תקין",$J254="תקין",$K254="תקין"),"רהוטה",IF(AND($I254="תקין",$J254="תקין"),"מדויקת ורציפה","אינה מדויקת או מקוטעת"))))</f>
        <v/>
      </c>
      <c r="Z254" s="32">
        <f>IF($C254="","",IF(COUNTA($U254:$W254)&lt;3,"",IF(AND($U254="מפותח",$V254="מפותח",$W254="מפותחת"),"מפותחת",IF((--($U254="דל"))+(--($V254="אינו מפותח"))+(--($W254="דלה"))&gt;=2,"אינה מפותחת","חלקית"))))</f>
        <v/>
      </c>
      <c r="AA254" s="32">
        <f>IF($C254="","",IF(COUNTA($M254,$N254,$O254)&lt;3,"— חסרים נתונים",IF(OR($M254="נמוכה",(--($M254&lt;&gt;"תקינה"))+(--($N254&lt;&gt;"תקין"))+(--($O254&lt;&gt;"תקינה"))&gt;=2),"ניכרת","אינה ניכרת")))</f>
        <v/>
      </c>
      <c r="AB254" s="32">
        <f>IF(OR($C254="",$Y254="",$AA254="",LEFT($Y254,1)="—",LEFT($AA254,1)="—"),"",IF($Z254="","— נדרשת הערכת כתיבה",IF($L254="","— חסרה הבנת הנקרא",IF($Y254="אינה מדויקת או מקוטעת",IF($AA254="ניכרת","מיקוד בשטף הקריאה ובכישורי שפה","מיקוד בשטף קריאה"),IF($AA254="ניכרת","מיקוד בכישורי שפה",IF(AND($L254="תקינה",$Z254="מפותחת"),"קוראים וכותבים מיומנים","מיקוד בהבנה והבעה"))))))</f>
        <v/>
      </c>
      <c r="AC254" s="32">
        <f>IF(OR($AB254="",LEFT($AB254,1)="—"),"",IF(OR($AB254="מיקוד בשטף קריאה",$AB254="מיקוד בשטף הקריאה ובכישורי שפה"),"רמה א'",IF($AB254="קוראים וכותבים מיומנים","רמה ג'","רמה ב'")))</f>
        <v/>
      </c>
      <c r="AD254" s="32">
        <f>IF($AC254="","",MID(IF(AND($AC254="רמה א'",$AA254="ניכרת"),"; להוסיף עבודת אוצר מילים","")&amp;IF($Z254="אינה מפותחת","; דגש על הבעה בכתב","")&amp;IF($K254&lt;&gt;"תקין","; נדרש לעבוד על ההנגנה","")&amp;IF($AK254&lt;&gt;"","; "&amp;$AK254,""),3,400))</f>
        <v/>
      </c>
      <c r="AE254" s="32">
        <f>IF($F254="","",IF($F254="תחילת שנה",1,IF($F254="מחצית שנה",2,3)))</f>
        <v/>
      </c>
      <c r="AF254" s="32">
        <f>IF(OR($B254="",$AC254="",$A254="",$F254=""),"",$B254&amp;"|"&amp;$A254&amp;"|"&amp;$F254&amp;"|"&amp;$AC254&amp;"|"&amp;COUNTIFS($B$6:$B254,$B254,$A$6:$A254,$A254,$F$6:$F254,$F254,$AC$6:$AC254,$AC254))</f>
        <v/>
      </c>
      <c r="AG254" s="32">
        <f>IF($C254="","",$C254&amp;"|"&amp;COUNTIFS($C$6:$C254,$C254))</f>
        <v/>
      </c>
      <c r="AH254" s="32">
        <f>IF(OR($C254="",$A254="",$AE254=""),"",$C254&amp;"|"&amp;$A254&amp;"|"&amp;$AE254)</f>
        <v/>
      </c>
      <c r="AI254" s="32">
        <f>IF(OR($C254="",$AE254="",$AE254=1),"",IFERROR(INDEX($AC$6:$AC$1505,MATCH($C254&amp;"|"&amp;$A254&amp;"|"&amp;($AE254-1),$AH$6:$AH$1505,0)),""))</f>
        <v/>
      </c>
      <c r="AJ254" s="32">
        <f>IF(OR($AI254="",$AC254=""),"",IF($AI254=$AC254,"ללא שינוי","מ-"&amp;$AI254&amp;" ל-"&amp;$AC254))</f>
        <v/>
      </c>
      <c r="AK254" s="67" t="n"/>
    </row>
    <row r="255" ht="15.75" customHeight="1" s="58">
      <c r="A255" s="65" t="n"/>
      <c r="B255" s="65" t="n"/>
      <c r="C255" s="66" t="n"/>
      <c r="D255" s="66" t="n"/>
      <c r="E255" s="65" t="n"/>
      <c r="F255" s="65" t="n"/>
      <c r="G255" s="65" t="n"/>
      <c r="H255" s="65" t="n"/>
      <c r="I255" s="65" t="n"/>
      <c r="J255" s="65" t="n"/>
      <c r="K255" s="65" t="n"/>
      <c r="L255" s="65" t="n"/>
      <c r="M255" s="65" t="n"/>
      <c r="N255" s="65" t="n"/>
      <c r="O255" s="65" t="n"/>
      <c r="P255" s="65" t="n"/>
      <c r="Q255" s="65" t="n"/>
      <c r="R255" s="65" t="n"/>
      <c r="S255" s="65" t="n"/>
      <c r="T255" s="65" t="n"/>
      <c r="U255" s="65" t="n"/>
      <c r="V255" s="65" t="n"/>
      <c r="W255" s="65" t="n"/>
      <c r="X255" s="65" t="n"/>
      <c r="Y255" s="32">
        <f>IF($C255="","",IF(COUNTA($I255:$K255)&lt;3,"— חסרים נתונים",IF(AND($I255="תקין",$J255="תקין",$K255="תקין"),"רהוטה",IF(AND($I255="תקין",$J255="תקין"),"מדויקת ורציפה","אינה מדויקת או מקוטעת"))))</f>
        <v/>
      </c>
      <c r="Z255" s="32">
        <f>IF($C255="","",IF(COUNTA($U255:$W255)&lt;3,"",IF(AND($U255="מפותח",$V255="מפותח",$W255="מפותחת"),"מפותחת",IF((--($U255="דל"))+(--($V255="אינו מפותח"))+(--($W255="דלה"))&gt;=2,"אינה מפותחת","חלקית"))))</f>
        <v/>
      </c>
      <c r="AA255" s="32">
        <f>IF($C255="","",IF(COUNTA($M255,$N255,$O255)&lt;3,"— חסרים נתונים",IF(OR($M255="נמוכה",(--($M255&lt;&gt;"תקינה"))+(--($N255&lt;&gt;"תקין"))+(--($O255&lt;&gt;"תקינה"))&gt;=2),"ניכרת","אינה ניכרת")))</f>
        <v/>
      </c>
      <c r="AB255" s="32">
        <f>IF(OR($C255="",$Y255="",$AA255="",LEFT($Y255,1)="—",LEFT($AA255,1)="—"),"",IF($Z255="","— נדרשת הערכת כתיבה",IF($L255="","— חסרה הבנת הנקרא",IF($Y255="אינה מדויקת או מקוטעת",IF($AA255="ניכרת","מיקוד בשטף הקריאה ובכישורי שפה","מיקוד בשטף קריאה"),IF($AA255="ניכרת","מיקוד בכישורי שפה",IF(AND($L255="תקינה",$Z255="מפותחת"),"קוראים וכותבים מיומנים","מיקוד בהבנה והבעה"))))))</f>
        <v/>
      </c>
      <c r="AC255" s="32">
        <f>IF(OR($AB255="",LEFT($AB255,1)="—"),"",IF(OR($AB255="מיקוד בשטף קריאה",$AB255="מיקוד בשטף הקריאה ובכישורי שפה"),"רמה א'",IF($AB255="קוראים וכותבים מיומנים","רמה ג'","רמה ב'")))</f>
        <v/>
      </c>
      <c r="AD255" s="32">
        <f>IF($AC255="","",MID(IF(AND($AC255="רמה א'",$AA255="ניכרת"),"; להוסיף עבודת אוצר מילים","")&amp;IF($Z255="אינה מפותחת","; דגש על הבעה בכתב","")&amp;IF($K255&lt;&gt;"תקין","; נדרש לעבוד על ההנגנה","")&amp;IF($AK255&lt;&gt;"","; "&amp;$AK255,""),3,400))</f>
        <v/>
      </c>
      <c r="AE255" s="32">
        <f>IF($F255="","",IF($F255="תחילת שנה",1,IF($F255="מחצית שנה",2,3)))</f>
        <v/>
      </c>
      <c r="AF255" s="32">
        <f>IF(OR($B255="",$AC255="",$A255="",$F255=""),"",$B255&amp;"|"&amp;$A255&amp;"|"&amp;$F255&amp;"|"&amp;$AC255&amp;"|"&amp;COUNTIFS($B$6:$B255,$B255,$A$6:$A255,$A255,$F$6:$F255,$F255,$AC$6:$AC255,$AC255))</f>
        <v/>
      </c>
      <c r="AG255" s="32">
        <f>IF($C255="","",$C255&amp;"|"&amp;COUNTIFS($C$6:$C255,$C255))</f>
        <v/>
      </c>
      <c r="AH255" s="32">
        <f>IF(OR($C255="",$A255="",$AE255=""),"",$C255&amp;"|"&amp;$A255&amp;"|"&amp;$AE255)</f>
        <v/>
      </c>
      <c r="AI255" s="32">
        <f>IF(OR($C255="",$AE255="",$AE255=1),"",IFERROR(INDEX($AC$6:$AC$1505,MATCH($C255&amp;"|"&amp;$A255&amp;"|"&amp;($AE255-1),$AH$6:$AH$1505,0)),""))</f>
        <v/>
      </c>
      <c r="AJ255" s="32">
        <f>IF(OR($AI255="",$AC255=""),"",IF($AI255=$AC255,"ללא שינוי","מ-"&amp;$AI255&amp;" ל-"&amp;$AC255))</f>
        <v/>
      </c>
      <c r="AK255" s="67" t="n"/>
    </row>
    <row r="256" ht="15.75" customHeight="1" s="58">
      <c r="A256" s="65" t="n"/>
      <c r="B256" s="65" t="n"/>
      <c r="C256" s="66" t="n"/>
      <c r="D256" s="66" t="n"/>
      <c r="E256" s="65" t="n"/>
      <c r="F256" s="65" t="n"/>
      <c r="G256" s="65" t="n"/>
      <c r="H256" s="65" t="n"/>
      <c r="I256" s="65" t="n"/>
      <c r="J256" s="65" t="n"/>
      <c r="K256" s="65" t="n"/>
      <c r="L256" s="65" t="n"/>
      <c r="M256" s="65" t="n"/>
      <c r="N256" s="65" t="n"/>
      <c r="O256" s="65" t="n"/>
      <c r="P256" s="65" t="n"/>
      <c r="Q256" s="65" t="n"/>
      <c r="R256" s="65" t="n"/>
      <c r="S256" s="65" t="n"/>
      <c r="T256" s="65" t="n"/>
      <c r="U256" s="65" t="n"/>
      <c r="V256" s="65" t="n"/>
      <c r="W256" s="65" t="n"/>
      <c r="X256" s="65" t="n"/>
      <c r="Y256" s="32">
        <f>IF($C256="","",IF(COUNTA($I256:$K256)&lt;3,"— חסרים נתונים",IF(AND($I256="תקין",$J256="תקין",$K256="תקין"),"רהוטה",IF(AND($I256="תקין",$J256="תקין"),"מדויקת ורציפה","אינה מדויקת או מקוטעת"))))</f>
        <v/>
      </c>
      <c r="Z256" s="32">
        <f>IF($C256="","",IF(COUNTA($U256:$W256)&lt;3,"",IF(AND($U256="מפותח",$V256="מפותח",$W256="מפותחת"),"מפותחת",IF((--($U256="דל"))+(--($V256="אינו מפותח"))+(--($W256="דלה"))&gt;=2,"אינה מפותחת","חלקית"))))</f>
        <v/>
      </c>
      <c r="AA256" s="32">
        <f>IF($C256="","",IF(COUNTA($M256,$N256,$O256)&lt;3,"— חסרים נתונים",IF(OR($M256="נמוכה",(--($M256&lt;&gt;"תקינה"))+(--($N256&lt;&gt;"תקין"))+(--($O256&lt;&gt;"תקינה"))&gt;=2),"ניכרת","אינה ניכרת")))</f>
        <v/>
      </c>
      <c r="AB256" s="32">
        <f>IF(OR($C256="",$Y256="",$AA256="",LEFT($Y256,1)="—",LEFT($AA256,1)="—"),"",IF($Z256="","— נדרשת הערכת כתיבה",IF($L256="","— חסרה הבנת הנקרא",IF($Y256="אינה מדויקת או מקוטעת",IF($AA256="ניכרת","מיקוד בשטף הקריאה ובכישורי שפה","מיקוד בשטף קריאה"),IF($AA256="ניכרת","מיקוד בכישורי שפה",IF(AND($L256="תקינה",$Z256="מפותחת"),"קוראים וכותבים מיומנים","מיקוד בהבנה והבעה"))))))</f>
        <v/>
      </c>
      <c r="AC256" s="32">
        <f>IF(OR($AB256="",LEFT($AB256,1)="—"),"",IF(OR($AB256="מיקוד בשטף קריאה",$AB256="מיקוד בשטף הקריאה ובכישורי שפה"),"רמה א'",IF($AB256="קוראים וכותבים מיומנים","רמה ג'","רמה ב'")))</f>
        <v/>
      </c>
      <c r="AD256" s="32">
        <f>IF($AC256="","",MID(IF(AND($AC256="רמה א'",$AA256="ניכרת"),"; להוסיף עבודת אוצר מילים","")&amp;IF($Z256="אינה מפותחת","; דגש על הבעה בכתב","")&amp;IF($K256&lt;&gt;"תקין","; נדרש לעבוד על ההנגנה","")&amp;IF($AK256&lt;&gt;"","; "&amp;$AK256,""),3,400))</f>
        <v/>
      </c>
      <c r="AE256" s="32">
        <f>IF($F256="","",IF($F256="תחילת שנה",1,IF($F256="מחצית שנה",2,3)))</f>
        <v/>
      </c>
      <c r="AF256" s="32">
        <f>IF(OR($B256="",$AC256="",$A256="",$F256=""),"",$B256&amp;"|"&amp;$A256&amp;"|"&amp;$F256&amp;"|"&amp;$AC256&amp;"|"&amp;COUNTIFS($B$6:$B256,$B256,$A$6:$A256,$A256,$F$6:$F256,$F256,$AC$6:$AC256,$AC256))</f>
        <v/>
      </c>
      <c r="AG256" s="32">
        <f>IF($C256="","",$C256&amp;"|"&amp;COUNTIFS($C$6:$C256,$C256))</f>
        <v/>
      </c>
      <c r="AH256" s="32">
        <f>IF(OR($C256="",$A256="",$AE256=""),"",$C256&amp;"|"&amp;$A256&amp;"|"&amp;$AE256)</f>
        <v/>
      </c>
      <c r="AI256" s="32">
        <f>IF(OR($C256="",$AE256="",$AE256=1),"",IFERROR(INDEX($AC$6:$AC$1505,MATCH($C256&amp;"|"&amp;$A256&amp;"|"&amp;($AE256-1),$AH$6:$AH$1505,0)),""))</f>
        <v/>
      </c>
      <c r="AJ256" s="32">
        <f>IF(OR($AI256="",$AC256=""),"",IF($AI256=$AC256,"ללא שינוי","מ-"&amp;$AI256&amp;" ל-"&amp;$AC256))</f>
        <v/>
      </c>
      <c r="AK256" s="67" t="n"/>
    </row>
    <row r="257" ht="15.75" customHeight="1" s="58">
      <c r="A257" s="65" t="n"/>
      <c r="B257" s="65" t="n"/>
      <c r="C257" s="66" t="n"/>
      <c r="D257" s="66" t="n"/>
      <c r="E257" s="65" t="n"/>
      <c r="F257" s="65" t="n"/>
      <c r="G257" s="65" t="n"/>
      <c r="H257" s="65" t="n"/>
      <c r="I257" s="65" t="n"/>
      <c r="J257" s="65" t="n"/>
      <c r="K257" s="65" t="n"/>
      <c r="L257" s="65" t="n"/>
      <c r="M257" s="65" t="n"/>
      <c r="N257" s="65" t="n"/>
      <c r="O257" s="65" t="n"/>
      <c r="P257" s="65" t="n"/>
      <c r="Q257" s="65" t="n"/>
      <c r="R257" s="65" t="n"/>
      <c r="S257" s="65" t="n"/>
      <c r="T257" s="65" t="n"/>
      <c r="U257" s="65" t="n"/>
      <c r="V257" s="65" t="n"/>
      <c r="W257" s="65" t="n"/>
      <c r="X257" s="65" t="n"/>
      <c r="Y257" s="32">
        <f>IF($C257="","",IF(COUNTA($I257:$K257)&lt;3,"— חסרים נתונים",IF(AND($I257="תקין",$J257="תקין",$K257="תקין"),"רהוטה",IF(AND($I257="תקין",$J257="תקין"),"מדויקת ורציפה","אינה מדויקת או מקוטעת"))))</f>
        <v/>
      </c>
      <c r="Z257" s="32">
        <f>IF($C257="","",IF(COUNTA($U257:$W257)&lt;3,"",IF(AND($U257="מפותח",$V257="מפותח",$W257="מפותחת"),"מפותחת",IF((--($U257="דל"))+(--($V257="אינו מפותח"))+(--($W257="דלה"))&gt;=2,"אינה מפותחת","חלקית"))))</f>
        <v/>
      </c>
      <c r="AA257" s="32">
        <f>IF($C257="","",IF(COUNTA($M257,$N257,$O257)&lt;3,"— חסרים נתונים",IF(OR($M257="נמוכה",(--($M257&lt;&gt;"תקינה"))+(--($N257&lt;&gt;"תקין"))+(--($O257&lt;&gt;"תקינה"))&gt;=2),"ניכרת","אינה ניכרת")))</f>
        <v/>
      </c>
      <c r="AB257" s="32">
        <f>IF(OR($C257="",$Y257="",$AA257="",LEFT($Y257,1)="—",LEFT($AA257,1)="—"),"",IF($Z257="","— נדרשת הערכת כתיבה",IF($L257="","— חסרה הבנת הנקרא",IF($Y257="אינה מדויקת או מקוטעת",IF($AA257="ניכרת","מיקוד בשטף הקריאה ובכישורי שפה","מיקוד בשטף קריאה"),IF($AA257="ניכרת","מיקוד בכישורי שפה",IF(AND($L257="תקינה",$Z257="מפותחת"),"קוראים וכותבים מיומנים","מיקוד בהבנה והבעה"))))))</f>
        <v/>
      </c>
      <c r="AC257" s="32">
        <f>IF(OR($AB257="",LEFT($AB257,1)="—"),"",IF(OR($AB257="מיקוד בשטף קריאה",$AB257="מיקוד בשטף הקריאה ובכישורי שפה"),"רמה א'",IF($AB257="קוראים וכותבים מיומנים","רמה ג'","רמה ב'")))</f>
        <v/>
      </c>
      <c r="AD257" s="32">
        <f>IF($AC257="","",MID(IF(AND($AC257="רמה א'",$AA257="ניכרת"),"; להוסיף עבודת אוצר מילים","")&amp;IF($Z257="אינה מפותחת","; דגש על הבעה בכתב","")&amp;IF($K257&lt;&gt;"תקין","; נדרש לעבוד על ההנגנה","")&amp;IF($AK257&lt;&gt;"","; "&amp;$AK257,""),3,400))</f>
        <v/>
      </c>
      <c r="AE257" s="32">
        <f>IF($F257="","",IF($F257="תחילת שנה",1,IF($F257="מחצית שנה",2,3)))</f>
        <v/>
      </c>
      <c r="AF257" s="32">
        <f>IF(OR($B257="",$AC257="",$A257="",$F257=""),"",$B257&amp;"|"&amp;$A257&amp;"|"&amp;$F257&amp;"|"&amp;$AC257&amp;"|"&amp;COUNTIFS($B$6:$B257,$B257,$A$6:$A257,$A257,$F$6:$F257,$F257,$AC$6:$AC257,$AC257))</f>
        <v/>
      </c>
      <c r="AG257" s="32">
        <f>IF($C257="","",$C257&amp;"|"&amp;COUNTIFS($C$6:$C257,$C257))</f>
        <v/>
      </c>
      <c r="AH257" s="32">
        <f>IF(OR($C257="",$A257="",$AE257=""),"",$C257&amp;"|"&amp;$A257&amp;"|"&amp;$AE257)</f>
        <v/>
      </c>
      <c r="AI257" s="32">
        <f>IF(OR($C257="",$AE257="",$AE257=1),"",IFERROR(INDEX($AC$6:$AC$1505,MATCH($C257&amp;"|"&amp;$A257&amp;"|"&amp;($AE257-1),$AH$6:$AH$1505,0)),""))</f>
        <v/>
      </c>
      <c r="AJ257" s="32">
        <f>IF(OR($AI257="",$AC257=""),"",IF($AI257=$AC257,"ללא שינוי","מ-"&amp;$AI257&amp;" ל-"&amp;$AC257))</f>
        <v/>
      </c>
      <c r="AK257" s="67" t="n"/>
    </row>
    <row r="258" ht="15.75" customHeight="1" s="58">
      <c r="A258" s="65" t="n"/>
      <c r="B258" s="65" t="n"/>
      <c r="C258" s="66" t="n"/>
      <c r="D258" s="66" t="n"/>
      <c r="E258" s="65" t="n"/>
      <c r="F258" s="65" t="n"/>
      <c r="G258" s="65" t="n"/>
      <c r="H258" s="65" t="n"/>
      <c r="I258" s="65" t="n"/>
      <c r="J258" s="65" t="n"/>
      <c r="K258" s="65" t="n"/>
      <c r="L258" s="65" t="n"/>
      <c r="M258" s="65" t="n"/>
      <c r="N258" s="65" t="n"/>
      <c r="O258" s="65" t="n"/>
      <c r="P258" s="65" t="n"/>
      <c r="Q258" s="65" t="n"/>
      <c r="R258" s="65" t="n"/>
      <c r="S258" s="65" t="n"/>
      <c r="T258" s="65" t="n"/>
      <c r="U258" s="65" t="n"/>
      <c r="V258" s="65" t="n"/>
      <c r="W258" s="65" t="n"/>
      <c r="X258" s="65" t="n"/>
      <c r="Y258" s="32">
        <f>IF($C258="","",IF(COUNTA($I258:$K258)&lt;3,"— חסרים נתונים",IF(AND($I258="תקין",$J258="תקין",$K258="תקין"),"רהוטה",IF(AND($I258="תקין",$J258="תקין"),"מדויקת ורציפה","אינה מדויקת או מקוטעת"))))</f>
        <v/>
      </c>
      <c r="Z258" s="32">
        <f>IF($C258="","",IF(COUNTA($U258:$W258)&lt;3,"",IF(AND($U258="מפותח",$V258="מפותח",$W258="מפותחת"),"מפותחת",IF((--($U258="דל"))+(--($V258="אינו מפותח"))+(--($W258="דלה"))&gt;=2,"אינה מפותחת","חלקית"))))</f>
        <v/>
      </c>
      <c r="AA258" s="32">
        <f>IF($C258="","",IF(COUNTA($M258,$N258,$O258)&lt;3,"— חסרים נתונים",IF(OR($M258="נמוכה",(--($M258&lt;&gt;"תקינה"))+(--($N258&lt;&gt;"תקין"))+(--($O258&lt;&gt;"תקינה"))&gt;=2),"ניכרת","אינה ניכרת")))</f>
        <v/>
      </c>
      <c r="AB258" s="32">
        <f>IF(OR($C258="",$Y258="",$AA258="",LEFT($Y258,1)="—",LEFT($AA258,1)="—"),"",IF($Z258="","— נדרשת הערכת כתיבה",IF($L258="","— חסרה הבנת הנקרא",IF($Y258="אינה מדויקת או מקוטעת",IF($AA258="ניכרת","מיקוד בשטף הקריאה ובכישורי שפה","מיקוד בשטף קריאה"),IF($AA258="ניכרת","מיקוד בכישורי שפה",IF(AND($L258="תקינה",$Z258="מפותחת"),"קוראים וכותבים מיומנים","מיקוד בהבנה והבעה"))))))</f>
        <v/>
      </c>
      <c r="AC258" s="32">
        <f>IF(OR($AB258="",LEFT($AB258,1)="—"),"",IF(OR($AB258="מיקוד בשטף קריאה",$AB258="מיקוד בשטף הקריאה ובכישורי שפה"),"רמה א'",IF($AB258="קוראים וכותבים מיומנים","רמה ג'","רמה ב'")))</f>
        <v/>
      </c>
      <c r="AD258" s="32">
        <f>IF($AC258="","",MID(IF(AND($AC258="רמה א'",$AA258="ניכרת"),"; להוסיף עבודת אוצר מילים","")&amp;IF($Z258="אינה מפותחת","; דגש על הבעה בכתב","")&amp;IF($K258&lt;&gt;"תקין","; נדרש לעבוד על ההנגנה","")&amp;IF($AK258&lt;&gt;"","; "&amp;$AK258,""),3,400))</f>
        <v/>
      </c>
      <c r="AE258" s="32">
        <f>IF($F258="","",IF($F258="תחילת שנה",1,IF($F258="מחצית שנה",2,3)))</f>
        <v/>
      </c>
      <c r="AF258" s="32">
        <f>IF(OR($B258="",$AC258="",$A258="",$F258=""),"",$B258&amp;"|"&amp;$A258&amp;"|"&amp;$F258&amp;"|"&amp;$AC258&amp;"|"&amp;COUNTIFS($B$6:$B258,$B258,$A$6:$A258,$A258,$F$6:$F258,$F258,$AC$6:$AC258,$AC258))</f>
        <v/>
      </c>
      <c r="AG258" s="32">
        <f>IF($C258="","",$C258&amp;"|"&amp;COUNTIFS($C$6:$C258,$C258))</f>
        <v/>
      </c>
      <c r="AH258" s="32">
        <f>IF(OR($C258="",$A258="",$AE258=""),"",$C258&amp;"|"&amp;$A258&amp;"|"&amp;$AE258)</f>
        <v/>
      </c>
      <c r="AI258" s="32">
        <f>IF(OR($C258="",$AE258="",$AE258=1),"",IFERROR(INDEX($AC$6:$AC$1505,MATCH($C258&amp;"|"&amp;$A258&amp;"|"&amp;($AE258-1),$AH$6:$AH$1505,0)),""))</f>
        <v/>
      </c>
      <c r="AJ258" s="32">
        <f>IF(OR($AI258="",$AC258=""),"",IF($AI258=$AC258,"ללא שינוי","מ-"&amp;$AI258&amp;" ל-"&amp;$AC258))</f>
        <v/>
      </c>
      <c r="AK258" s="67" t="n"/>
    </row>
    <row r="259" ht="15.75" customHeight="1" s="58">
      <c r="A259" s="65" t="n"/>
      <c r="B259" s="65" t="n"/>
      <c r="C259" s="66" t="n"/>
      <c r="D259" s="66" t="n"/>
      <c r="E259" s="65" t="n"/>
      <c r="F259" s="65" t="n"/>
      <c r="G259" s="65" t="n"/>
      <c r="H259" s="65" t="n"/>
      <c r="I259" s="65" t="n"/>
      <c r="J259" s="65" t="n"/>
      <c r="K259" s="65" t="n"/>
      <c r="L259" s="65" t="n"/>
      <c r="M259" s="65" t="n"/>
      <c r="N259" s="65" t="n"/>
      <c r="O259" s="65" t="n"/>
      <c r="P259" s="65" t="n"/>
      <c r="Q259" s="65" t="n"/>
      <c r="R259" s="65" t="n"/>
      <c r="S259" s="65" t="n"/>
      <c r="T259" s="65" t="n"/>
      <c r="U259" s="65" t="n"/>
      <c r="V259" s="65" t="n"/>
      <c r="W259" s="65" t="n"/>
      <c r="X259" s="65" t="n"/>
      <c r="Y259" s="32">
        <f>IF($C259="","",IF(COUNTA($I259:$K259)&lt;3,"— חסרים נתונים",IF(AND($I259="תקין",$J259="תקין",$K259="תקין"),"רהוטה",IF(AND($I259="תקין",$J259="תקין"),"מדויקת ורציפה","אינה מדויקת או מקוטעת"))))</f>
        <v/>
      </c>
      <c r="Z259" s="32">
        <f>IF($C259="","",IF(COUNTA($U259:$W259)&lt;3,"",IF(AND($U259="מפותח",$V259="מפותח",$W259="מפותחת"),"מפותחת",IF((--($U259="דל"))+(--($V259="אינו מפותח"))+(--($W259="דלה"))&gt;=2,"אינה מפותחת","חלקית"))))</f>
        <v/>
      </c>
      <c r="AA259" s="32">
        <f>IF($C259="","",IF(COUNTA($M259,$N259,$O259)&lt;3,"— חסרים נתונים",IF(OR($M259="נמוכה",(--($M259&lt;&gt;"תקינה"))+(--($N259&lt;&gt;"תקין"))+(--($O259&lt;&gt;"תקינה"))&gt;=2),"ניכרת","אינה ניכרת")))</f>
        <v/>
      </c>
      <c r="AB259" s="32">
        <f>IF(OR($C259="",$Y259="",$AA259="",LEFT($Y259,1)="—",LEFT($AA259,1)="—"),"",IF($Z259="","— נדרשת הערכת כתיבה",IF($L259="","— חסרה הבנת הנקרא",IF($Y259="אינה מדויקת או מקוטעת",IF($AA259="ניכרת","מיקוד בשטף הקריאה ובכישורי שפה","מיקוד בשטף קריאה"),IF($AA259="ניכרת","מיקוד בכישורי שפה",IF(AND($L259="תקינה",$Z259="מפותחת"),"קוראים וכותבים מיומנים","מיקוד בהבנה והבעה"))))))</f>
        <v/>
      </c>
      <c r="AC259" s="32">
        <f>IF(OR($AB259="",LEFT($AB259,1)="—"),"",IF(OR($AB259="מיקוד בשטף קריאה",$AB259="מיקוד בשטף הקריאה ובכישורי שפה"),"רמה א'",IF($AB259="קוראים וכותבים מיומנים","רמה ג'","רמה ב'")))</f>
        <v/>
      </c>
      <c r="AD259" s="32">
        <f>IF($AC259="","",MID(IF(AND($AC259="רמה א'",$AA259="ניכרת"),"; להוסיף עבודת אוצר מילים","")&amp;IF($Z259="אינה מפותחת","; דגש על הבעה בכתב","")&amp;IF($K259&lt;&gt;"תקין","; נדרש לעבוד על ההנגנה","")&amp;IF($AK259&lt;&gt;"","; "&amp;$AK259,""),3,400))</f>
        <v/>
      </c>
      <c r="AE259" s="32">
        <f>IF($F259="","",IF($F259="תחילת שנה",1,IF($F259="מחצית שנה",2,3)))</f>
        <v/>
      </c>
      <c r="AF259" s="32">
        <f>IF(OR($B259="",$AC259="",$A259="",$F259=""),"",$B259&amp;"|"&amp;$A259&amp;"|"&amp;$F259&amp;"|"&amp;$AC259&amp;"|"&amp;COUNTIFS($B$6:$B259,$B259,$A$6:$A259,$A259,$F$6:$F259,$F259,$AC$6:$AC259,$AC259))</f>
        <v/>
      </c>
      <c r="AG259" s="32">
        <f>IF($C259="","",$C259&amp;"|"&amp;COUNTIFS($C$6:$C259,$C259))</f>
        <v/>
      </c>
      <c r="AH259" s="32">
        <f>IF(OR($C259="",$A259="",$AE259=""),"",$C259&amp;"|"&amp;$A259&amp;"|"&amp;$AE259)</f>
        <v/>
      </c>
      <c r="AI259" s="32">
        <f>IF(OR($C259="",$AE259="",$AE259=1),"",IFERROR(INDEX($AC$6:$AC$1505,MATCH($C259&amp;"|"&amp;$A259&amp;"|"&amp;($AE259-1),$AH$6:$AH$1505,0)),""))</f>
        <v/>
      </c>
      <c r="AJ259" s="32">
        <f>IF(OR($AI259="",$AC259=""),"",IF($AI259=$AC259,"ללא שינוי","מ-"&amp;$AI259&amp;" ל-"&amp;$AC259))</f>
        <v/>
      </c>
      <c r="AK259" s="67" t="n"/>
    </row>
    <row r="260" ht="15.75" customHeight="1" s="58">
      <c r="A260" s="65" t="n"/>
      <c r="B260" s="65" t="n"/>
      <c r="C260" s="66" t="n"/>
      <c r="D260" s="66" t="n"/>
      <c r="E260" s="65" t="n"/>
      <c r="F260" s="65" t="n"/>
      <c r="G260" s="65" t="n"/>
      <c r="H260" s="65" t="n"/>
      <c r="I260" s="65" t="n"/>
      <c r="J260" s="65" t="n"/>
      <c r="K260" s="65" t="n"/>
      <c r="L260" s="65" t="n"/>
      <c r="M260" s="65" t="n"/>
      <c r="N260" s="65" t="n"/>
      <c r="O260" s="65" t="n"/>
      <c r="P260" s="65" t="n"/>
      <c r="Q260" s="65" t="n"/>
      <c r="R260" s="65" t="n"/>
      <c r="S260" s="65" t="n"/>
      <c r="T260" s="65" t="n"/>
      <c r="U260" s="65" t="n"/>
      <c r="V260" s="65" t="n"/>
      <c r="W260" s="65" t="n"/>
      <c r="X260" s="65" t="n"/>
      <c r="Y260" s="32">
        <f>IF($C260="","",IF(COUNTA($I260:$K260)&lt;3,"— חסרים נתונים",IF(AND($I260="תקין",$J260="תקין",$K260="תקין"),"רהוטה",IF(AND($I260="תקין",$J260="תקין"),"מדויקת ורציפה","אינה מדויקת או מקוטעת"))))</f>
        <v/>
      </c>
      <c r="Z260" s="32">
        <f>IF($C260="","",IF(COUNTA($U260:$W260)&lt;3,"",IF(AND($U260="מפותח",$V260="מפותח",$W260="מפותחת"),"מפותחת",IF((--($U260="דל"))+(--($V260="אינו מפותח"))+(--($W260="דלה"))&gt;=2,"אינה מפותחת","חלקית"))))</f>
        <v/>
      </c>
      <c r="AA260" s="32">
        <f>IF($C260="","",IF(COUNTA($M260,$N260,$O260)&lt;3,"— חסרים נתונים",IF(OR($M260="נמוכה",(--($M260&lt;&gt;"תקינה"))+(--($N260&lt;&gt;"תקין"))+(--($O260&lt;&gt;"תקינה"))&gt;=2),"ניכרת","אינה ניכרת")))</f>
        <v/>
      </c>
      <c r="AB260" s="32">
        <f>IF(OR($C260="",$Y260="",$AA260="",LEFT($Y260,1)="—",LEFT($AA260,1)="—"),"",IF($Z260="","— נדרשת הערכת כתיבה",IF($L260="","— חסרה הבנת הנקרא",IF($Y260="אינה מדויקת או מקוטעת",IF($AA260="ניכרת","מיקוד בשטף הקריאה ובכישורי שפה","מיקוד בשטף קריאה"),IF($AA260="ניכרת","מיקוד בכישורי שפה",IF(AND($L260="תקינה",$Z260="מפותחת"),"קוראים וכותבים מיומנים","מיקוד בהבנה והבעה"))))))</f>
        <v/>
      </c>
      <c r="AC260" s="32">
        <f>IF(OR($AB260="",LEFT($AB260,1)="—"),"",IF(OR($AB260="מיקוד בשטף קריאה",$AB260="מיקוד בשטף הקריאה ובכישורי שפה"),"רמה א'",IF($AB260="קוראים וכותבים מיומנים","רמה ג'","רמה ב'")))</f>
        <v/>
      </c>
      <c r="AD260" s="32">
        <f>IF($AC260="","",MID(IF(AND($AC260="רמה א'",$AA260="ניכרת"),"; להוסיף עבודת אוצר מילים","")&amp;IF($Z260="אינה מפותחת","; דגש על הבעה בכתב","")&amp;IF($K260&lt;&gt;"תקין","; נדרש לעבוד על ההנגנה","")&amp;IF($AK260&lt;&gt;"","; "&amp;$AK260,""),3,400))</f>
        <v/>
      </c>
      <c r="AE260" s="32">
        <f>IF($F260="","",IF($F260="תחילת שנה",1,IF($F260="מחצית שנה",2,3)))</f>
        <v/>
      </c>
      <c r="AF260" s="32">
        <f>IF(OR($B260="",$AC260="",$A260="",$F260=""),"",$B260&amp;"|"&amp;$A260&amp;"|"&amp;$F260&amp;"|"&amp;$AC260&amp;"|"&amp;COUNTIFS($B$6:$B260,$B260,$A$6:$A260,$A260,$F$6:$F260,$F260,$AC$6:$AC260,$AC260))</f>
        <v/>
      </c>
      <c r="AG260" s="32">
        <f>IF($C260="","",$C260&amp;"|"&amp;COUNTIFS($C$6:$C260,$C260))</f>
        <v/>
      </c>
      <c r="AH260" s="32">
        <f>IF(OR($C260="",$A260="",$AE260=""),"",$C260&amp;"|"&amp;$A260&amp;"|"&amp;$AE260)</f>
        <v/>
      </c>
      <c r="AI260" s="32">
        <f>IF(OR($C260="",$AE260="",$AE260=1),"",IFERROR(INDEX($AC$6:$AC$1505,MATCH($C260&amp;"|"&amp;$A260&amp;"|"&amp;($AE260-1),$AH$6:$AH$1505,0)),""))</f>
        <v/>
      </c>
      <c r="AJ260" s="32">
        <f>IF(OR($AI260="",$AC260=""),"",IF($AI260=$AC260,"ללא שינוי","מ-"&amp;$AI260&amp;" ל-"&amp;$AC260))</f>
        <v/>
      </c>
      <c r="AK260" s="67" t="n"/>
    </row>
    <row r="261" ht="15.75" customHeight="1" s="58">
      <c r="A261" s="65" t="n"/>
      <c r="B261" s="65" t="n"/>
      <c r="C261" s="66" t="n"/>
      <c r="D261" s="66" t="n"/>
      <c r="E261" s="65" t="n"/>
      <c r="F261" s="65" t="n"/>
      <c r="G261" s="65" t="n"/>
      <c r="H261" s="65" t="n"/>
      <c r="I261" s="65" t="n"/>
      <c r="J261" s="65" t="n"/>
      <c r="K261" s="65" t="n"/>
      <c r="L261" s="65" t="n"/>
      <c r="M261" s="65" t="n"/>
      <c r="N261" s="65" t="n"/>
      <c r="O261" s="65" t="n"/>
      <c r="P261" s="65" t="n"/>
      <c r="Q261" s="65" t="n"/>
      <c r="R261" s="65" t="n"/>
      <c r="S261" s="65" t="n"/>
      <c r="T261" s="65" t="n"/>
      <c r="U261" s="65" t="n"/>
      <c r="V261" s="65" t="n"/>
      <c r="W261" s="65" t="n"/>
      <c r="X261" s="65" t="n"/>
      <c r="Y261" s="32">
        <f>IF($C261="","",IF(COUNTA($I261:$K261)&lt;3,"— חסרים נתונים",IF(AND($I261="תקין",$J261="תקין",$K261="תקין"),"רהוטה",IF(AND($I261="תקין",$J261="תקין"),"מדויקת ורציפה","אינה מדויקת או מקוטעת"))))</f>
        <v/>
      </c>
      <c r="Z261" s="32">
        <f>IF($C261="","",IF(COUNTA($U261:$W261)&lt;3,"",IF(AND($U261="מפותח",$V261="מפותח",$W261="מפותחת"),"מפותחת",IF((--($U261="דל"))+(--($V261="אינו מפותח"))+(--($W261="דלה"))&gt;=2,"אינה מפותחת","חלקית"))))</f>
        <v/>
      </c>
      <c r="AA261" s="32">
        <f>IF($C261="","",IF(COUNTA($M261,$N261,$O261)&lt;3,"— חסרים נתונים",IF(OR($M261="נמוכה",(--($M261&lt;&gt;"תקינה"))+(--($N261&lt;&gt;"תקין"))+(--($O261&lt;&gt;"תקינה"))&gt;=2),"ניכרת","אינה ניכרת")))</f>
        <v/>
      </c>
      <c r="AB261" s="32">
        <f>IF(OR($C261="",$Y261="",$AA261="",LEFT($Y261,1)="—",LEFT($AA261,1)="—"),"",IF($Z261="","— נדרשת הערכת כתיבה",IF($L261="","— חסרה הבנת הנקרא",IF($Y261="אינה מדויקת או מקוטעת",IF($AA261="ניכרת","מיקוד בשטף הקריאה ובכישורי שפה","מיקוד בשטף קריאה"),IF($AA261="ניכרת","מיקוד בכישורי שפה",IF(AND($L261="תקינה",$Z261="מפותחת"),"קוראים וכותבים מיומנים","מיקוד בהבנה והבעה"))))))</f>
        <v/>
      </c>
      <c r="AC261" s="32">
        <f>IF(OR($AB261="",LEFT($AB261,1)="—"),"",IF(OR($AB261="מיקוד בשטף קריאה",$AB261="מיקוד בשטף הקריאה ובכישורי שפה"),"רמה א'",IF($AB261="קוראים וכותבים מיומנים","רמה ג'","רמה ב'")))</f>
        <v/>
      </c>
      <c r="AD261" s="32">
        <f>IF($AC261="","",MID(IF(AND($AC261="רמה א'",$AA261="ניכרת"),"; להוסיף עבודת אוצר מילים","")&amp;IF($Z261="אינה מפותחת","; דגש על הבעה בכתב","")&amp;IF($K261&lt;&gt;"תקין","; נדרש לעבוד על ההנגנה","")&amp;IF($AK261&lt;&gt;"","; "&amp;$AK261,""),3,400))</f>
        <v/>
      </c>
      <c r="AE261" s="32">
        <f>IF($F261="","",IF($F261="תחילת שנה",1,IF($F261="מחצית שנה",2,3)))</f>
        <v/>
      </c>
      <c r="AF261" s="32">
        <f>IF(OR($B261="",$AC261="",$A261="",$F261=""),"",$B261&amp;"|"&amp;$A261&amp;"|"&amp;$F261&amp;"|"&amp;$AC261&amp;"|"&amp;COUNTIFS($B$6:$B261,$B261,$A$6:$A261,$A261,$F$6:$F261,$F261,$AC$6:$AC261,$AC261))</f>
        <v/>
      </c>
      <c r="AG261" s="32">
        <f>IF($C261="","",$C261&amp;"|"&amp;COUNTIFS($C$6:$C261,$C261))</f>
        <v/>
      </c>
      <c r="AH261" s="32">
        <f>IF(OR($C261="",$A261="",$AE261=""),"",$C261&amp;"|"&amp;$A261&amp;"|"&amp;$AE261)</f>
        <v/>
      </c>
      <c r="AI261" s="32">
        <f>IF(OR($C261="",$AE261="",$AE261=1),"",IFERROR(INDEX($AC$6:$AC$1505,MATCH($C261&amp;"|"&amp;$A261&amp;"|"&amp;($AE261-1),$AH$6:$AH$1505,0)),""))</f>
        <v/>
      </c>
      <c r="AJ261" s="32">
        <f>IF(OR($AI261="",$AC261=""),"",IF($AI261=$AC261,"ללא שינוי","מ-"&amp;$AI261&amp;" ל-"&amp;$AC261))</f>
        <v/>
      </c>
      <c r="AK261" s="67" t="n"/>
    </row>
    <row r="262" ht="15.75" customHeight="1" s="58">
      <c r="A262" s="65" t="n"/>
      <c r="B262" s="65" t="n"/>
      <c r="C262" s="66" t="n"/>
      <c r="D262" s="66" t="n"/>
      <c r="E262" s="65" t="n"/>
      <c r="F262" s="65" t="n"/>
      <c r="G262" s="65" t="n"/>
      <c r="H262" s="65" t="n"/>
      <c r="I262" s="65" t="n"/>
      <c r="J262" s="65" t="n"/>
      <c r="K262" s="65" t="n"/>
      <c r="L262" s="65" t="n"/>
      <c r="M262" s="65" t="n"/>
      <c r="N262" s="65" t="n"/>
      <c r="O262" s="65" t="n"/>
      <c r="P262" s="65" t="n"/>
      <c r="Q262" s="65" t="n"/>
      <c r="R262" s="65" t="n"/>
      <c r="S262" s="65" t="n"/>
      <c r="T262" s="65" t="n"/>
      <c r="U262" s="65" t="n"/>
      <c r="V262" s="65" t="n"/>
      <c r="W262" s="65" t="n"/>
      <c r="X262" s="65" t="n"/>
      <c r="Y262" s="32">
        <f>IF($C262="","",IF(COUNTA($I262:$K262)&lt;3,"— חסרים נתונים",IF(AND($I262="תקין",$J262="תקין",$K262="תקין"),"רהוטה",IF(AND($I262="תקין",$J262="תקין"),"מדויקת ורציפה","אינה מדויקת או מקוטעת"))))</f>
        <v/>
      </c>
      <c r="Z262" s="32">
        <f>IF($C262="","",IF(COUNTA($U262:$W262)&lt;3,"",IF(AND($U262="מפותח",$V262="מפותח",$W262="מפותחת"),"מפותחת",IF((--($U262="דל"))+(--($V262="אינו מפותח"))+(--($W262="דלה"))&gt;=2,"אינה מפותחת","חלקית"))))</f>
        <v/>
      </c>
      <c r="AA262" s="32">
        <f>IF($C262="","",IF(COUNTA($M262,$N262,$O262)&lt;3,"— חסרים נתונים",IF(OR($M262="נמוכה",(--($M262&lt;&gt;"תקינה"))+(--($N262&lt;&gt;"תקין"))+(--($O262&lt;&gt;"תקינה"))&gt;=2),"ניכרת","אינה ניכרת")))</f>
        <v/>
      </c>
      <c r="AB262" s="32">
        <f>IF(OR($C262="",$Y262="",$AA262="",LEFT($Y262,1)="—",LEFT($AA262,1)="—"),"",IF($Z262="","— נדרשת הערכת כתיבה",IF($L262="","— חסרה הבנת הנקרא",IF($Y262="אינה מדויקת או מקוטעת",IF($AA262="ניכרת","מיקוד בשטף הקריאה ובכישורי שפה","מיקוד בשטף קריאה"),IF($AA262="ניכרת","מיקוד בכישורי שפה",IF(AND($L262="תקינה",$Z262="מפותחת"),"קוראים וכותבים מיומנים","מיקוד בהבנה והבעה"))))))</f>
        <v/>
      </c>
      <c r="AC262" s="32">
        <f>IF(OR($AB262="",LEFT($AB262,1)="—"),"",IF(OR($AB262="מיקוד בשטף קריאה",$AB262="מיקוד בשטף הקריאה ובכישורי שפה"),"רמה א'",IF($AB262="קוראים וכותבים מיומנים","רמה ג'","רמה ב'")))</f>
        <v/>
      </c>
      <c r="AD262" s="32">
        <f>IF($AC262="","",MID(IF(AND($AC262="רמה א'",$AA262="ניכרת"),"; להוסיף עבודת אוצר מילים","")&amp;IF($Z262="אינה מפותחת","; דגש על הבעה בכתב","")&amp;IF($K262&lt;&gt;"תקין","; נדרש לעבוד על ההנגנה","")&amp;IF($AK262&lt;&gt;"","; "&amp;$AK262,""),3,400))</f>
        <v/>
      </c>
      <c r="AE262" s="32">
        <f>IF($F262="","",IF($F262="תחילת שנה",1,IF($F262="מחצית שנה",2,3)))</f>
        <v/>
      </c>
      <c r="AF262" s="32">
        <f>IF(OR($B262="",$AC262="",$A262="",$F262=""),"",$B262&amp;"|"&amp;$A262&amp;"|"&amp;$F262&amp;"|"&amp;$AC262&amp;"|"&amp;COUNTIFS($B$6:$B262,$B262,$A$6:$A262,$A262,$F$6:$F262,$F262,$AC$6:$AC262,$AC262))</f>
        <v/>
      </c>
      <c r="AG262" s="32">
        <f>IF($C262="","",$C262&amp;"|"&amp;COUNTIFS($C$6:$C262,$C262))</f>
        <v/>
      </c>
      <c r="AH262" s="32">
        <f>IF(OR($C262="",$A262="",$AE262=""),"",$C262&amp;"|"&amp;$A262&amp;"|"&amp;$AE262)</f>
        <v/>
      </c>
      <c r="AI262" s="32">
        <f>IF(OR($C262="",$AE262="",$AE262=1),"",IFERROR(INDEX($AC$6:$AC$1505,MATCH($C262&amp;"|"&amp;$A262&amp;"|"&amp;($AE262-1),$AH$6:$AH$1505,0)),""))</f>
        <v/>
      </c>
      <c r="AJ262" s="32">
        <f>IF(OR($AI262="",$AC262=""),"",IF($AI262=$AC262,"ללא שינוי","מ-"&amp;$AI262&amp;" ל-"&amp;$AC262))</f>
        <v/>
      </c>
      <c r="AK262" s="67" t="n"/>
    </row>
    <row r="263" ht="15.75" customHeight="1" s="58">
      <c r="A263" s="65" t="n"/>
      <c r="B263" s="65" t="n"/>
      <c r="C263" s="66" t="n"/>
      <c r="D263" s="66" t="n"/>
      <c r="E263" s="65" t="n"/>
      <c r="F263" s="65" t="n"/>
      <c r="G263" s="65" t="n"/>
      <c r="H263" s="65" t="n"/>
      <c r="I263" s="65" t="n"/>
      <c r="J263" s="65" t="n"/>
      <c r="K263" s="65" t="n"/>
      <c r="L263" s="65" t="n"/>
      <c r="M263" s="65" t="n"/>
      <c r="N263" s="65" t="n"/>
      <c r="O263" s="65" t="n"/>
      <c r="P263" s="65" t="n"/>
      <c r="Q263" s="65" t="n"/>
      <c r="R263" s="65" t="n"/>
      <c r="S263" s="65" t="n"/>
      <c r="T263" s="65" t="n"/>
      <c r="U263" s="65" t="n"/>
      <c r="V263" s="65" t="n"/>
      <c r="W263" s="65" t="n"/>
      <c r="X263" s="65" t="n"/>
      <c r="Y263" s="32">
        <f>IF($C263="","",IF(COUNTA($I263:$K263)&lt;3,"— חסרים נתונים",IF(AND($I263="תקין",$J263="תקין",$K263="תקין"),"רהוטה",IF(AND($I263="תקין",$J263="תקין"),"מדויקת ורציפה","אינה מדויקת או מקוטעת"))))</f>
        <v/>
      </c>
      <c r="Z263" s="32">
        <f>IF($C263="","",IF(COUNTA($U263:$W263)&lt;3,"",IF(AND($U263="מפותח",$V263="מפותח",$W263="מפותחת"),"מפותחת",IF((--($U263="דל"))+(--($V263="אינו מפותח"))+(--($W263="דלה"))&gt;=2,"אינה מפותחת","חלקית"))))</f>
        <v/>
      </c>
      <c r="AA263" s="32">
        <f>IF($C263="","",IF(COUNTA($M263,$N263,$O263)&lt;3,"— חסרים נתונים",IF(OR($M263="נמוכה",(--($M263&lt;&gt;"תקינה"))+(--($N263&lt;&gt;"תקין"))+(--($O263&lt;&gt;"תקינה"))&gt;=2),"ניכרת","אינה ניכרת")))</f>
        <v/>
      </c>
      <c r="AB263" s="32">
        <f>IF(OR($C263="",$Y263="",$AA263="",LEFT($Y263,1)="—",LEFT($AA263,1)="—"),"",IF($Z263="","— נדרשת הערכת כתיבה",IF($L263="","— חסרה הבנת הנקרא",IF($Y263="אינה מדויקת או מקוטעת",IF($AA263="ניכרת","מיקוד בשטף הקריאה ובכישורי שפה","מיקוד בשטף קריאה"),IF($AA263="ניכרת","מיקוד בכישורי שפה",IF(AND($L263="תקינה",$Z263="מפותחת"),"קוראים וכותבים מיומנים","מיקוד בהבנה והבעה"))))))</f>
        <v/>
      </c>
      <c r="AC263" s="32">
        <f>IF(OR($AB263="",LEFT($AB263,1)="—"),"",IF(OR($AB263="מיקוד בשטף קריאה",$AB263="מיקוד בשטף הקריאה ובכישורי שפה"),"רמה א'",IF($AB263="קוראים וכותבים מיומנים","רמה ג'","רמה ב'")))</f>
        <v/>
      </c>
      <c r="AD263" s="32">
        <f>IF($AC263="","",MID(IF(AND($AC263="רמה א'",$AA263="ניכרת"),"; להוסיף עבודת אוצר מילים","")&amp;IF($Z263="אינה מפותחת","; דגש על הבעה בכתב","")&amp;IF($K263&lt;&gt;"תקין","; נדרש לעבוד על ההנגנה","")&amp;IF($AK263&lt;&gt;"","; "&amp;$AK263,""),3,400))</f>
        <v/>
      </c>
      <c r="AE263" s="32">
        <f>IF($F263="","",IF($F263="תחילת שנה",1,IF($F263="מחצית שנה",2,3)))</f>
        <v/>
      </c>
      <c r="AF263" s="32">
        <f>IF(OR($B263="",$AC263="",$A263="",$F263=""),"",$B263&amp;"|"&amp;$A263&amp;"|"&amp;$F263&amp;"|"&amp;$AC263&amp;"|"&amp;COUNTIFS($B$6:$B263,$B263,$A$6:$A263,$A263,$F$6:$F263,$F263,$AC$6:$AC263,$AC263))</f>
        <v/>
      </c>
      <c r="AG263" s="32">
        <f>IF($C263="","",$C263&amp;"|"&amp;COUNTIFS($C$6:$C263,$C263))</f>
        <v/>
      </c>
      <c r="AH263" s="32">
        <f>IF(OR($C263="",$A263="",$AE263=""),"",$C263&amp;"|"&amp;$A263&amp;"|"&amp;$AE263)</f>
        <v/>
      </c>
      <c r="AI263" s="32">
        <f>IF(OR($C263="",$AE263="",$AE263=1),"",IFERROR(INDEX($AC$6:$AC$1505,MATCH($C263&amp;"|"&amp;$A263&amp;"|"&amp;($AE263-1),$AH$6:$AH$1505,0)),""))</f>
        <v/>
      </c>
      <c r="AJ263" s="32">
        <f>IF(OR($AI263="",$AC263=""),"",IF($AI263=$AC263,"ללא שינוי","מ-"&amp;$AI263&amp;" ל-"&amp;$AC263))</f>
        <v/>
      </c>
      <c r="AK263" s="67" t="n"/>
    </row>
    <row r="264" ht="15.75" customHeight="1" s="58">
      <c r="A264" s="65" t="n"/>
      <c r="B264" s="65" t="n"/>
      <c r="C264" s="66" t="n"/>
      <c r="D264" s="66" t="n"/>
      <c r="E264" s="65" t="n"/>
      <c r="F264" s="65" t="n"/>
      <c r="G264" s="65" t="n"/>
      <c r="H264" s="65" t="n"/>
      <c r="I264" s="65" t="n"/>
      <c r="J264" s="65" t="n"/>
      <c r="K264" s="65" t="n"/>
      <c r="L264" s="65" t="n"/>
      <c r="M264" s="65" t="n"/>
      <c r="N264" s="65" t="n"/>
      <c r="O264" s="65" t="n"/>
      <c r="P264" s="65" t="n"/>
      <c r="Q264" s="65" t="n"/>
      <c r="R264" s="65" t="n"/>
      <c r="S264" s="65" t="n"/>
      <c r="T264" s="65" t="n"/>
      <c r="U264" s="65" t="n"/>
      <c r="V264" s="65" t="n"/>
      <c r="W264" s="65" t="n"/>
      <c r="X264" s="65" t="n"/>
      <c r="Y264" s="32">
        <f>IF($C264="","",IF(COUNTA($I264:$K264)&lt;3,"— חסרים נתונים",IF(AND($I264="תקין",$J264="תקין",$K264="תקין"),"רהוטה",IF(AND($I264="תקין",$J264="תקין"),"מדויקת ורציפה","אינה מדויקת או מקוטעת"))))</f>
        <v/>
      </c>
      <c r="Z264" s="32">
        <f>IF($C264="","",IF(COUNTA($U264:$W264)&lt;3,"",IF(AND($U264="מפותח",$V264="מפותח",$W264="מפותחת"),"מפותחת",IF((--($U264="דל"))+(--($V264="אינו מפותח"))+(--($W264="דלה"))&gt;=2,"אינה מפותחת","חלקית"))))</f>
        <v/>
      </c>
      <c r="AA264" s="32">
        <f>IF($C264="","",IF(COUNTA($M264,$N264,$O264)&lt;3,"— חסרים נתונים",IF(OR($M264="נמוכה",(--($M264&lt;&gt;"תקינה"))+(--($N264&lt;&gt;"תקין"))+(--($O264&lt;&gt;"תקינה"))&gt;=2),"ניכרת","אינה ניכרת")))</f>
        <v/>
      </c>
      <c r="AB264" s="32">
        <f>IF(OR($C264="",$Y264="",$AA264="",LEFT($Y264,1)="—",LEFT($AA264,1)="—"),"",IF($Z264="","— נדרשת הערכת כתיבה",IF($L264="","— חסרה הבנת הנקרא",IF($Y264="אינה מדויקת או מקוטעת",IF($AA264="ניכרת","מיקוד בשטף הקריאה ובכישורי שפה","מיקוד בשטף קריאה"),IF($AA264="ניכרת","מיקוד בכישורי שפה",IF(AND($L264="תקינה",$Z264="מפותחת"),"קוראים וכותבים מיומנים","מיקוד בהבנה והבעה"))))))</f>
        <v/>
      </c>
      <c r="AC264" s="32">
        <f>IF(OR($AB264="",LEFT($AB264,1)="—"),"",IF(OR($AB264="מיקוד בשטף קריאה",$AB264="מיקוד בשטף הקריאה ובכישורי שפה"),"רמה א'",IF($AB264="קוראים וכותבים מיומנים","רמה ג'","רמה ב'")))</f>
        <v/>
      </c>
      <c r="AD264" s="32">
        <f>IF($AC264="","",MID(IF(AND($AC264="רמה א'",$AA264="ניכרת"),"; להוסיף עבודת אוצר מילים","")&amp;IF($Z264="אינה מפותחת","; דגש על הבעה בכתב","")&amp;IF($K264&lt;&gt;"תקין","; נדרש לעבוד על ההנגנה","")&amp;IF($AK264&lt;&gt;"","; "&amp;$AK264,""),3,400))</f>
        <v/>
      </c>
      <c r="AE264" s="32">
        <f>IF($F264="","",IF($F264="תחילת שנה",1,IF($F264="מחצית שנה",2,3)))</f>
        <v/>
      </c>
      <c r="AF264" s="32">
        <f>IF(OR($B264="",$AC264="",$A264="",$F264=""),"",$B264&amp;"|"&amp;$A264&amp;"|"&amp;$F264&amp;"|"&amp;$AC264&amp;"|"&amp;COUNTIFS($B$6:$B264,$B264,$A$6:$A264,$A264,$F$6:$F264,$F264,$AC$6:$AC264,$AC264))</f>
        <v/>
      </c>
      <c r="AG264" s="32">
        <f>IF($C264="","",$C264&amp;"|"&amp;COUNTIFS($C$6:$C264,$C264))</f>
        <v/>
      </c>
      <c r="AH264" s="32">
        <f>IF(OR($C264="",$A264="",$AE264=""),"",$C264&amp;"|"&amp;$A264&amp;"|"&amp;$AE264)</f>
        <v/>
      </c>
      <c r="AI264" s="32">
        <f>IF(OR($C264="",$AE264="",$AE264=1),"",IFERROR(INDEX($AC$6:$AC$1505,MATCH($C264&amp;"|"&amp;$A264&amp;"|"&amp;($AE264-1),$AH$6:$AH$1505,0)),""))</f>
        <v/>
      </c>
      <c r="AJ264" s="32">
        <f>IF(OR($AI264="",$AC264=""),"",IF($AI264=$AC264,"ללא שינוי","מ-"&amp;$AI264&amp;" ל-"&amp;$AC264))</f>
        <v/>
      </c>
      <c r="AK264" s="67" t="n"/>
    </row>
    <row r="265" ht="15.75" customHeight="1" s="58">
      <c r="A265" s="65" t="n"/>
      <c r="B265" s="65" t="n"/>
      <c r="C265" s="66" t="n"/>
      <c r="D265" s="66" t="n"/>
      <c r="E265" s="65" t="n"/>
      <c r="F265" s="65" t="n"/>
      <c r="G265" s="65" t="n"/>
      <c r="H265" s="65" t="n"/>
      <c r="I265" s="65" t="n"/>
      <c r="J265" s="65" t="n"/>
      <c r="K265" s="65" t="n"/>
      <c r="L265" s="65" t="n"/>
      <c r="M265" s="65" t="n"/>
      <c r="N265" s="65" t="n"/>
      <c r="O265" s="65" t="n"/>
      <c r="P265" s="65" t="n"/>
      <c r="Q265" s="65" t="n"/>
      <c r="R265" s="65" t="n"/>
      <c r="S265" s="65" t="n"/>
      <c r="T265" s="65" t="n"/>
      <c r="U265" s="65" t="n"/>
      <c r="V265" s="65" t="n"/>
      <c r="W265" s="65" t="n"/>
      <c r="X265" s="65" t="n"/>
      <c r="Y265" s="32">
        <f>IF($C265="","",IF(COUNTA($I265:$K265)&lt;3,"— חסרים נתונים",IF(AND($I265="תקין",$J265="תקין",$K265="תקין"),"רהוטה",IF(AND($I265="תקין",$J265="תקין"),"מדויקת ורציפה","אינה מדויקת או מקוטעת"))))</f>
        <v/>
      </c>
      <c r="Z265" s="32">
        <f>IF($C265="","",IF(COUNTA($U265:$W265)&lt;3,"",IF(AND($U265="מפותח",$V265="מפותח",$W265="מפותחת"),"מפותחת",IF((--($U265="דל"))+(--($V265="אינו מפותח"))+(--($W265="דלה"))&gt;=2,"אינה מפותחת","חלקית"))))</f>
        <v/>
      </c>
      <c r="AA265" s="32">
        <f>IF($C265="","",IF(COUNTA($M265,$N265,$O265)&lt;3,"— חסרים נתונים",IF(OR($M265="נמוכה",(--($M265&lt;&gt;"תקינה"))+(--($N265&lt;&gt;"תקין"))+(--($O265&lt;&gt;"תקינה"))&gt;=2),"ניכרת","אינה ניכרת")))</f>
        <v/>
      </c>
      <c r="AB265" s="32">
        <f>IF(OR($C265="",$Y265="",$AA265="",LEFT($Y265,1)="—",LEFT($AA265,1)="—"),"",IF($Z265="","— נדרשת הערכת כתיבה",IF($L265="","— חסרה הבנת הנקרא",IF($Y265="אינה מדויקת או מקוטעת",IF($AA265="ניכרת","מיקוד בשטף הקריאה ובכישורי שפה","מיקוד בשטף קריאה"),IF($AA265="ניכרת","מיקוד בכישורי שפה",IF(AND($L265="תקינה",$Z265="מפותחת"),"קוראים וכותבים מיומנים","מיקוד בהבנה והבעה"))))))</f>
        <v/>
      </c>
      <c r="AC265" s="32">
        <f>IF(OR($AB265="",LEFT($AB265,1)="—"),"",IF(OR($AB265="מיקוד בשטף קריאה",$AB265="מיקוד בשטף הקריאה ובכישורי שפה"),"רמה א'",IF($AB265="קוראים וכותבים מיומנים","רמה ג'","רמה ב'")))</f>
        <v/>
      </c>
      <c r="AD265" s="32">
        <f>IF($AC265="","",MID(IF(AND($AC265="רמה א'",$AA265="ניכרת"),"; להוסיף עבודת אוצר מילים","")&amp;IF($Z265="אינה מפותחת","; דגש על הבעה בכתב","")&amp;IF($K265&lt;&gt;"תקין","; נדרש לעבוד על ההנגנה","")&amp;IF($AK265&lt;&gt;"","; "&amp;$AK265,""),3,400))</f>
        <v/>
      </c>
      <c r="AE265" s="32">
        <f>IF($F265="","",IF($F265="תחילת שנה",1,IF($F265="מחצית שנה",2,3)))</f>
        <v/>
      </c>
      <c r="AF265" s="32">
        <f>IF(OR($B265="",$AC265="",$A265="",$F265=""),"",$B265&amp;"|"&amp;$A265&amp;"|"&amp;$F265&amp;"|"&amp;$AC265&amp;"|"&amp;COUNTIFS($B$6:$B265,$B265,$A$6:$A265,$A265,$F$6:$F265,$F265,$AC$6:$AC265,$AC265))</f>
        <v/>
      </c>
      <c r="AG265" s="32">
        <f>IF($C265="","",$C265&amp;"|"&amp;COUNTIFS($C$6:$C265,$C265))</f>
        <v/>
      </c>
      <c r="AH265" s="32">
        <f>IF(OR($C265="",$A265="",$AE265=""),"",$C265&amp;"|"&amp;$A265&amp;"|"&amp;$AE265)</f>
        <v/>
      </c>
      <c r="AI265" s="32">
        <f>IF(OR($C265="",$AE265="",$AE265=1),"",IFERROR(INDEX($AC$6:$AC$1505,MATCH($C265&amp;"|"&amp;$A265&amp;"|"&amp;($AE265-1),$AH$6:$AH$1505,0)),""))</f>
        <v/>
      </c>
      <c r="AJ265" s="32">
        <f>IF(OR($AI265="",$AC265=""),"",IF($AI265=$AC265,"ללא שינוי","מ-"&amp;$AI265&amp;" ל-"&amp;$AC265))</f>
        <v/>
      </c>
      <c r="AK265" s="67" t="n"/>
    </row>
    <row r="266" ht="15.75" customHeight="1" s="58">
      <c r="A266" s="65" t="n"/>
      <c r="B266" s="65" t="n"/>
      <c r="C266" s="66" t="n"/>
      <c r="D266" s="66" t="n"/>
      <c r="E266" s="65" t="n"/>
      <c r="F266" s="65" t="n"/>
      <c r="G266" s="65" t="n"/>
      <c r="H266" s="65" t="n"/>
      <c r="I266" s="65" t="n"/>
      <c r="J266" s="65" t="n"/>
      <c r="K266" s="65" t="n"/>
      <c r="L266" s="65" t="n"/>
      <c r="M266" s="65" t="n"/>
      <c r="N266" s="65" t="n"/>
      <c r="O266" s="65" t="n"/>
      <c r="P266" s="65" t="n"/>
      <c r="Q266" s="65" t="n"/>
      <c r="R266" s="65" t="n"/>
      <c r="S266" s="65" t="n"/>
      <c r="T266" s="65" t="n"/>
      <c r="U266" s="65" t="n"/>
      <c r="V266" s="65" t="n"/>
      <c r="W266" s="65" t="n"/>
      <c r="X266" s="65" t="n"/>
      <c r="Y266" s="32">
        <f>IF($C266="","",IF(COUNTA($I266:$K266)&lt;3,"— חסרים נתונים",IF(AND($I266="תקין",$J266="תקין",$K266="תקין"),"רהוטה",IF(AND($I266="תקין",$J266="תקין"),"מדויקת ורציפה","אינה מדויקת או מקוטעת"))))</f>
        <v/>
      </c>
      <c r="Z266" s="32">
        <f>IF($C266="","",IF(COUNTA($U266:$W266)&lt;3,"",IF(AND($U266="מפותח",$V266="מפותח",$W266="מפותחת"),"מפותחת",IF((--($U266="דל"))+(--($V266="אינו מפותח"))+(--($W266="דלה"))&gt;=2,"אינה מפותחת","חלקית"))))</f>
        <v/>
      </c>
      <c r="AA266" s="32">
        <f>IF($C266="","",IF(COUNTA($M266,$N266,$O266)&lt;3,"— חסרים נתונים",IF(OR($M266="נמוכה",(--($M266&lt;&gt;"תקינה"))+(--($N266&lt;&gt;"תקין"))+(--($O266&lt;&gt;"תקינה"))&gt;=2),"ניכרת","אינה ניכרת")))</f>
        <v/>
      </c>
      <c r="AB266" s="32">
        <f>IF(OR($C266="",$Y266="",$AA266="",LEFT($Y266,1)="—",LEFT($AA266,1)="—"),"",IF($Z266="","— נדרשת הערכת כתיבה",IF($L266="","— חסרה הבנת הנקרא",IF($Y266="אינה מדויקת או מקוטעת",IF($AA266="ניכרת","מיקוד בשטף הקריאה ובכישורי שפה","מיקוד בשטף קריאה"),IF($AA266="ניכרת","מיקוד בכישורי שפה",IF(AND($L266="תקינה",$Z266="מפותחת"),"קוראים וכותבים מיומנים","מיקוד בהבנה והבעה"))))))</f>
        <v/>
      </c>
      <c r="AC266" s="32">
        <f>IF(OR($AB266="",LEFT($AB266,1)="—"),"",IF(OR($AB266="מיקוד בשטף קריאה",$AB266="מיקוד בשטף הקריאה ובכישורי שפה"),"רמה א'",IF($AB266="קוראים וכותבים מיומנים","רמה ג'","רמה ב'")))</f>
        <v/>
      </c>
      <c r="AD266" s="32">
        <f>IF($AC266="","",MID(IF(AND($AC266="רמה א'",$AA266="ניכרת"),"; להוסיף עבודת אוצר מילים","")&amp;IF($Z266="אינה מפותחת","; דגש על הבעה בכתב","")&amp;IF($K266&lt;&gt;"תקין","; נדרש לעבוד על ההנגנה","")&amp;IF($AK266&lt;&gt;"","; "&amp;$AK266,""),3,400))</f>
        <v/>
      </c>
      <c r="AE266" s="32">
        <f>IF($F266="","",IF($F266="תחילת שנה",1,IF($F266="מחצית שנה",2,3)))</f>
        <v/>
      </c>
      <c r="AF266" s="32">
        <f>IF(OR($B266="",$AC266="",$A266="",$F266=""),"",$B266&amp;"|"&amp;$A266&amp;"|"&amp;$F266&amp;"|"&amp;$AC266&amp;"|"&amp;COUNTIFS($B$6:$B266,$B266,$A$6:$A266,$A266,$F$6:$F266,$F266,$AC$6:$AC266,$AC266))</f>
        <v/>
      </c>
      <c r="AG266" s="32">
        <f>IF($C266="","",$C266&amp;"|"&amp;COUNTIFS($C$6:$C266,$C266))</f>
        <v/>
      </c>
      <c r="AH266" s="32">
        <f>IF(OR($C266="",$A266="",$AE266=""),"",$C266&amp;"|"&amp;$A266&amp;"|"&amp;$AE266)</f>
        <v/>
      </c>
      <c r="AI266" s="32">
        <f>IF(OR($C266="",$AE266="",$AE266=1),"",IFERROR(INDEX($AC$6:$AC$1505,MATCH($C266&amp;"|"&amp;$A266&amp;"|"&amp;($AE266-1),$AH$6:$AH$1505,0)),""))</f>
        <v/>
      </c>
      <c r="AJ266" s="32">
        <f>IF(OR($AI266="",$AC266=""),"",IF($AI266=$AC266,"ללא שינוי","מ-"&amp;$AI266&amp;" ל-"&amp;$AC266))</f>
        <v/>
      </c>
      <c r="AK266" s="67" t="n"/>
    </row>
    <row r="267" ht="15.75" customHeight="1" s="58">
      <c r="A267" s="65" t="n"/>
      <c r="B267" s="65" t="n"/>
      <c r="C267" s="66" t="n"/>
      <c r="D267" s="66" t="n"/>
      <c r="E267" s="65" t="n"/>
      <c r="F267" s="65" t="n"/>
      <c r="G267" s="65" t="n"/>
      <c r="H267" s="65" t="n"/>
      <c r="I267" s="65" t="n"/>
      <c r="J267" s="65" t="n"/>
      <c r="K267" s="65" t="n"/>
      <c r="L267" s="65" t="n"/>
      <c r="M267" s="65" t="n"/>
      <c r="N267" s="65" t="n"/>
      <c r="O267" s="65" t="n"/>
      <c r="P267" s="65" t="n"/>
      <c r="Q267" s="65" t="n"/>
      <c r="R267" s="65" t="n"/>
      <c r="S267" s="65" t="n"/>
      <c r="T267" s="65" t="n"/>
      <c r="U267" s="65" t="n"/>
      <c r="V267" s="65" t="n"/>
      <c r="W267" s="65" t="n"/>
      <c r="X267" s="65" t="n"/>
      <c r="Y267" s="32">
        <f>IF($C267="","",IF(COUNTA($I267:$K267)&lt;3,"— חסרים נתונים",IF(AND($I267="תקין",$J267="תקין",$K267="תקין"),"רהוטה",IF(AND($I267="תקין",$J267="תקין"),"מדויקת ורציפה","אינה מדויקת או מקוטעת"))))</f>
        <v/>
      </c>
      <c r="Z267" s="32">
        <f>IF($C267="","",IF(COUNTA($U267:$W267)&lt;3,"",IF(AND($U267="מפותח",$V267="מפותח",$W267="מפותחת"),"מפותחת",IF((--($U267="דל"))+(--($V267="אינו מפותח"))+(--($W267="דלה"))&gt;=2,"אינה מפותחת","חלקית"))))</f>
        <v/>
      </c>
      <c r="AA267" s="32">
        <f>IF($C267="","",IF(COUNTA($M267,$N267,$O267)&lt;3,"— חסרים נתונים",IF(OR($M267="נמוכה",(--($M267&lt;&gt;"תקינה"))+(--($N267&lt;&gt;"תקין"))+(--($O267&lt;&gt;"תקינה"))&gt;=2),"ניכרת","אינה ניכרת")))</f>
        <v/>
      </c>
      <c r="AB267" s="32">
        <f>IF(OR($C267="",$Y267="",$AA267="",LEFT($Y267,1)="—",LEFT($AA267,1)="—"),"",IF($Z267="","— נדרשת הערכת כתיבה",IF($L267="","— חסרה הבנת הנקרא",IF($Y267="אינה מדויקת או מקוטעת",IF($AA267="ניכרת","מיקוד בשטף הקריאה ובכישורי שפה","מיקוד בשטף קריאה"),IF($AA267="ניכרת","מיקוד בכישורי שפה",IF(AND($L267="תקינה",$Z267="מפותחת"),"קוראים וכותבים מיומנים","מיקוד בהבנה והבעה"))))))</f>
        <v/>
      </c>
      <c r="AC267" s="32">
        <f>IF(OR($AB267="",LEFT($AB267,1)="—"),"",IF(OR($AB267="מיקוד בשטף קריאה",$AB267="מיקוד בשטף הקריאה ובכישורי שפה"),"רמה א'",IF($AB267="קוראים וכותבים מיומנים","רמה ג'","רמה ב'")))</f>
        <v/>
      </c>
      <c r="AD267" s="32">
        <f>IF($AC267="","",MID(IF(AND($AC267="רמה א'",$AA267="ניכרת"),"; להוסיף עבודת אוצר מילים","")&amp;IF($Z267="אינה מפותחת","; דגש על הבעה בכתב","")&amp;IF($K267&lt;&gt;"תקין","; נדרש לעבוד על ההנגנה","")&amp;IF($AK267&lt;&gt;"","; "&amp;$AK267,""),3,400))</f>
        <v/>
      </c>
      <c r="AE267" s="32">
        <f>IF($F267="","",IF($F267="תחילת שנה",1,IF($F267="מחצית שנה",2,3)))</f>
        <v/>
      </c>
      <c r="AF267" s="32">
        <f>IF(OR($B267="",$AC267="",$A267="",$F267=""),"",$B267&amp;"|"&amp;$A267&amp;"|"&amp;$F267&amp;"|"&amp;$AC267&amp;"|"&amp;COUNTIFS($B$6:$B267,$B267,$A$6:$A267,$A267,$F$6:$F267,$F267,$AC$6:$AC267,$AC267))</f>
        <v/>
      </c>
      <c r="AG267" s="32">
        <f>IF($C267="","",$C267&amp;"|"&amp;COUNTIFS($C$6:$C267,$C267))</f>
        <v/>
      </c>
      <c r="AH267" s="32">
        <f>IF(OR($C267="",$A267="",$AE267=""),"",$C267&amp;"|"&amp;$A267&amp;"|"&amp;$AE267)</f>
        <v/>
      </c>
      <c r="AI267" s="32">
        <f>IF(OR($C267="",$AE267="",$AE267=1),"",IFERROR(INDEX($AC$6:$AC$1505,MATCH($C267&amp;"|"&amp;$A267&amp;"|"&amp;($AE267-1),$AH$6:$AH$1505,0)),""))</f>
        <v/>
      </c>
      <c r="AJ267" s="32">
        <f>IF(OR($AI267="",$AC267=""),"",IF($AI267=$AC267,"ללא שינוי","מ-"&amp;$AI267&amp;" ל-"&amp;$AC267))</f>
        <v/>
      </c>
      <c r="AK267" s="67" t="n"/>
    </row>
    <row r="268" ht="15.75" customHeight="1" s="58">
      <c r="A268" s="65" t="n"/>
      <c r="B268" s="65" t="n"/>
      <c r="C268" s="66" t="n"/>
      <c r="D268" s="66" t="n"/>
      <c r="E268" s="65" t="n"/>
      <c r="F268" s="65" t="n"/>
      <c r="G268" s="65" t="n"/>
      <c r="H268" s="65" t="n"/>
      <c r="I268" s="65" t="n"/>
      <c r="J268" s="65" t="n"/>
      <c r="K268" s="65" t="n"/>
      <c r="L268" s="65" t="n"/>
      <c r="M268" s="65" t="n"/>
      <c r="N268" s="65" t="n"/>
      <c r="O268" s="65" t="n"/>
      <c r="P268" s="65" t="n"/>
      <c r="Q268" s="65" t="n"/>
      <c r="R268" s="65" t="n"/>
      <c r="S268" s="65" t="n"/>
      <c r="T268" s="65" t="n"/>
      <c r="U268" s="65" t="n"/>
      <c r="V268" s="65" t="n"/>
      <c r="W268" s="65" t="n"/>
      <c r="X268" s="65" t="n"/>
      <c r="Y268" s="32">
        <f>IF($C268="","",IF(COUNTA($I268:$K268)&lt;3,"— חסרים נתונים",IF(AND($I268="תקין",$J268="תקין",$K268="תקין"),"רהוטה",IF(AND($I268="תקין",$J268="תקין"),"מדויקת ורציפה","אינה מדויקת או מקוטעת"))))</f>
        <v/>
      </c>
      <c r="Z268" s="32">
        <f>IF($C268="","",IF(COUNTA($U268:$W268)&lt;3,"",IF(AND($U268="מפותח",$V268="מפותח",$W268="מפותחת"),"מפותחת",IF((--($U268="דל"))+(--($V268="אינו מפותח"))+(--($W268="דלה"))&gt;=2,"אינה מפותחת","חלקית"))))</f>
        <v/>
      </c>
      <c r="AA268" s="32">
        <f>IF($C268="","",IF(COUNTA($M268,$N268,$O268)&lt;3,"— חסרים נתונים",IF(OR($M268="נמוכה",(--($M268&lt;&gt;"תקינה"))+(--($N268&lt;&gt;"תקין"))+(--($O268&lt;&gt;"תקינה"))&gt;=2),"ניכרת","אינה ניכרת")))</f>
        <v/>
      </c>
      <c r="AB268" s="32">
        <f>IF(OR($C268="",$Y268="",$AA268="",LEFT($Y268,1)="—",LEFT($AA268,1)="—"),"",IF($Z268="","— נדרשת הערכת כתיבה",IF($L268="","— חסרה הבנת הנקרא",IF($Y268="אינה מדויקת או מקוטעת",IF($AA268="ניכרת","מיקוד בשטף הקריאה ובכישורי שפה","מיקוד בשטף קריאה"),IF($AA268="ניכרת","מיקוד בכישורי שפה",IF(AND($L268="תקינה",$Z268="מפותחת"),"קוראים וכותבים מיומנים","מיקוד בהבנה והבעה"))))))</f>
        <v/>
      </c>
      <c r="AC268" s="32">
        <f>IF(OR($AB268="",LEFT($AB268,1)="—"),"",IF(OR($AB268="מיקוד בשטף קריאה",$AB268="מיקוד בשטף הקריאה ובכישורי שפה"),"רמה א'",IF($AB268="קוראים וכותבים מיומנים","רמה ג'","רמה ב'")))</f>
        <v/>
      </c>
      <c r="AD268" s="32">
        <f>IF($AC268="","",MID(IF(AND($AC268="רמה א'",$AA268="ניכרת"),"; להוסיף עבודת אוצר מילים","")&amp;IF($Z268="אינה מפותחת","; דגש על הבעה בכתב","")&amp;IF($K268&lt;&gt;"תקין","; נדרש לעבוד על ההנגנה","")&amp;IF($AK268&lt;&gt;"","; "&amp;$AK268,""),3,400))</f>
        <v/>
      </c>
      <c r="AE268" s="32">
        <f>IF($F268="","",IF($F268="תחילת שנה",1,IF($F268="מחצית שנה",2,3)))</f>
        <v/>
      </c>
      <c r="AF268" s="32">
        <f>IF(OR($B268="",$AC268="",$A268="",$F268=""),"",$B268&amp;"|"&amp;$A268&amp;"|"&amp;$F268&amp;"|"&amp;$AC268&amp;"|"&amp;COUNTIFS($B$6:$B268,$B268,$A$6:$A268,$A268,$F$6:$F268,$F268,$AC$6:$AC268,$AC268))</f>
        <v/>
      </c>
      <c r="AG268" s="32">
        <f>IF($C268="","",$C268&amp;"|"&amp;COUNTIFS($C$6:$C268,$C268))</f>
        <v/>
      </c>
      <c r="AH268" s="32">
        <f>IF(OR($C268="",$A268="",$AE268=""),"",$C268&amp;"|"&amp;$A268&amp;"|"&amp;$AE268)</f>
        <v/>
      </c>
      <c r="AI268" s="32">
        <f>IF(OR($C268="",$AE268="",$AE268=1),"",IFERROR(INDEX($AC$6:$AC$1505,MATCH($C268&amp;"|"&amp;$A268&amp;"|"&amp;($AE268-1),$AH$6:$AH$1505,0)),""))</f>
        <v/>
      </c>
      <c r="AJ268" s="32">
        <f>IF(OR($AI268="",$AC268=""),"",IF($AI268=$AC268,"ללא שינוי","מ-"&amp;$AI268&amp;" ל-"&amp;$AC268))</f>
        <v/>
      </c>
      <c r="AK268" s="67" t="n"/>
    </row>
    <row r="269" ht="15.75" customHeight="1" s="58">
      <c r="A269" s="65" t="n"/>
      <c r="B269" s="65" t="n"/>
      <c r="C269" s="66" t="n"/>
      <c r="D269" s="66" t="n"/>
      <c r="E269" s="65" t="n"/>
      <c r="F269" s="65" t="n"/>
      <c r="G269" s="65" t="n"/>
      <c r="H269" s="65" t="n"/>
      <c r="I269" s="65" t="n"/>
      <c r="J269" s="65" t="n"/>
      <c r="K269" s="65" t="n"/>
      <c r="L269" s="65" t="n"/>
      <c r="M269" s="65" t="n"/>
      <c r="N269" s="65" t="n"/>
      <c r="O269" s="65" t="n"/>
      <c r="P269" s="65" t="n"/>
      <c r="Q269" s="65" t="n"/>
      <c r="R269" s="65" t="n"/>
      <c r="S269" s="65" t="n"/>
      <c r="T269" s="65" t="n"/>
      <c r="U269" s="65" t="n"/>
      <c r="V269" s="65" t="n"/>
      <c r="W269" s="65" t="n"/>
      <c r="X269" s="65" t="n"/>
      <c r="Y269" s="32">
        <f>IF($C269="","",IF(COUNTA($I269:$K269)&lt;3,"— חסרים נתונים",IF(AND($I269="תקין",$J269="תקין",$K269="תקין"),"רהוטה",IF(AND($I269="תקין",$J269="תקין"),"מדויקת ורציפה","אינה מדויקת או מקוטעת"))))</f>
        <v/>
      </c>
      <c r="Z269" s="32">
        <f>IF($C269="","",IF(COUNTA($U269:$W269)&lt;3,"",IF(AND($U269="מפותח",$V269="מפותח",$W269="מפותחת"),"מפותחת",IF((--($U269="דל"))+(--($V269="אינו מפותח"))+(--($W269="דלה"))&gt;=2,"אינה מפותחת","חלקית"))))</f>
        <v/>
      </c>
      <c r="AA269" s="32">
        <f>IF($C269="","",IF(COUNTA($M269,$N269,$O269)&lt;3,"— חסרים נתונים",IF(OR($M269="נמוכה",(--($M269&lt;&gt;"תקינה"))+(--($N269&lt;&gt;"תקין"))+(--($O269&lt;&gt;"תקינה"))&gt;=2),"ניכרת","אינה ניכרת")))</f>
        <v/>
      </c>
      <c r="AB269" s="32">
        <f>IF(OR($C269="",$Y269="",$AA269="",LEFT($Y269,1)="—",LEFT($AA269,1)="—"),"",IF($Z269="","— נדרשת הערכת כתיבה",IF($L269="","— חסרה הבנת הנקרא",IF($Y269="אינה מדויקת או מקוטעת",IF($AA269="ניכרת","מיקוד בשטף הקריאה ובכישורי שפה","מיקוד בשטף קריאה"),IF($AA269="ניכרת","מיקוד בכישורי שפה",IF(AND($L269="תקינה",$Z269="מפותחת"),"קוראים וכותבים מיומנים","מיקוד בהבנה והבעה"))))))</f>
        <v/>
      </c>
      <c r="AC269" s="32">
        <f>IF(OR($AB269="",LEFT($AB269,1)="—"),"",IF(OR($AB269="מיקוד בשטף קריאה",$AB269="מיקוד בשטף הקריאה ובכישורי שפה"),"רמה א'",IF($AB269="קוראים וכותבים מיומנים","רמה ג'","רמה ב'")))</f>
        <v/>
      </c>
      <c r="AD269" s="32">
        <f>IF($AC269="","",MID(IF(AND($AC269="רמה א'",$AA269="ניכרת"),"; להוסיף עבודת אוצר מילים","")&amp;IF($Z269="אינה מפותחת","; דגש על הבעה בכתב","")&amp;IF($K269&lt;&gt;"תקין","; נדרש לעבוד על ההנגנה","")&amp;IF($AK269&lt;&gt;"","; "&amp;$AK269,""),3,400))</f>
        <v/>
      </c>
      <c r="AE269" s="32">
        <f>IF($F269="","",IF($F269="תחילת שנה",1,IF($F269="מחצית שנה",2,3)))</f>
        <v/>
      </c>
      <c r="AF269" s="32">
        <f>IF(OR($B269="",$AC269="",$A269="",$F269=""),"",$B269&amp;"|"&amp;$A269&amp;"|"&amp;$F269&amp;"|"&amp;$AC269&amp;"|"&amp;COUNTIFS($B$6:$B269,$B269,$A$6:$A269,$A269,$F$6:$F269,$F269,$AC$6:$AC269,$AC269))</f>
        <v/>
      </c>
      <c r="AG269" s="32">
        <f>IF($C269="","",$C269&amp;"|"&amp;COUNTIFS($C$6:$C269,$C269))</f>
        <v/>
      </c>
      <c r="AH269" s="32">
        <f>IF(OR($C269="",$A269="",$AE269=""),"",$C269&amp;"|"&amp;$A269&amp;"|"&amp;$AE269)</f>
        <v/>
      </c>
      <c r="AI269" s="32">
        <f>IF(OR($C269="",$AE269="",$AE269=1),"",IFERROR(INDEX($AC$6:$AC$1505,MATCH($C269&amp;"|"&amp;$A269&amp;"|"&amp;($AE269-1),$AH$6:$AH$1505,0)),""))</f>
        <v/>
      </c>
      <c r="AJ269" s="32">
        <f>IF(OR($AI269="",$AC269=""),"",IF($AI269=$AC269,"ללא שינוי","מ-"&amp;$AI269&amp;" ל-"&amp;$AC269))</f>
        <v/>
      </c>
      <c r="AK269" s="67" t="n"/>
    </row>
    <row r="270" ht="15.75" customHeight="1" s="58">
      <c r="A270" s="65" t="n"/>
      <c r="B270" s="65" t="n"/>
      <c r="C270" s="66" t="n"/>
      <c r="D270" s="66" t="n"/>
      <c r="E270" s="65" t="n"/>
      <c r="F270" s="65" t="n"/>
      <c r="G270" s="65" t="n"/>
      <c r="H270" s="65" t="n"/>
      <c r="I270" s="65" t="n"/>
      <c r="J270" s="65" t="n"/>
      <c r="K270" s="65" t="n"/>
      <c r="L270" s="65" t="n"/>
      <c r="M270" s="65" t="n"/>
      <c r="N270" s="65" t="n"/>
      <c r="O270" s="65" t="n"/>
      <c r="P270" s="65" t="n"/>
      <c r="Q270" s="65" t="n"/>
      <c r="R270" s="65" t="n"/>
      <c r="S270" s="65" t="n"/>
      <c r="T270" s="65" t="n"/>
      <c r="U270" s="65" t="n"/>
      <c r="V270" s="65" t="n"/>
      <c r="W270" s="65" t="n"/>
      <c r="X270" s="65" t="n"/>
      <c r="Y270" s="32">
        <f>IF($C270="","",IF(COUNTA($I270:$K270)&lt;3,"— חסרים נתונים",IF(AND($I270="תקין",$J270="תקין",$K270="תקין"),"רהוטה",IF(AND($I270="תקין",$J270="תקין"),"מדויקת ורציפה","אינה מדויקת או מקוטעת"))))</f>
        <v/>
      </c>
      <c r="Z270" s="32">
        <f>IF($C270="","",IF(COUNTA($U270:$W270)&lt;3,"",IF(AND($U270="מפותח",$V270="מפותח",$W270="מפותחת"),"מפותחת",IF((--($U270="דל"))+(--($V270="אינו מפותח"))+(--($W270="דלה"))&gt;=2,"אינה מפותחת","חלקית"))))</f>
        <v/>
      </c>
      <c r="AA270" s="32">
        <f>IF($C270="","",IF(COUNTA($M270,$N270,$O270)&lt;3,"— חסרים נתונים",IF(OR($M270="נמוכה",(--($M270&lt;&gt;"תקינה"))+(--($N270&lt;&gt;"תקין"))+(--($O270&lt;&gt;"תקינה"))&gt;=2),"ניכרת","אינה ניכרת")))</f>
        <v/>
      </c>
      <c r="AB270" s="32">
        <f>IF(OR($C270="",$Y270="",$AA270="",LEFT($Y270,1)="—",LEFT($AA270,1)="—"),"",IF($Z270="","— נדרשת הערכת כתיבה",IF($L270="","— חסרה הבנת הנקרא",IF($Y270="אינה מדויקת או מקוטעת",IF($AA270="ניכרת","מיקוד בשטף הקריאה ובכישורי שפה","מיקוד בשטף קריאה"),IF($AA270="ניכרת","מיקוד בכישורי שפה",IF(AND($L270="תקינה",$Z270="מפותחת"),"קוראים וכותבים מיומנים","מיקוד בהבנה והבעה"))))))</f>
        <v/>
      </c>
      <c r="AC270" s="32">
        <f>IF(OR($AB270="",LEFT($AB270,1)="—"),"",IF(OR($AB270="מיקוד בשטף קריאה",$AB270="מיקוד בשטף הקריאה ובכישורי שפה"),"רמה א'",IF($AB270="קוראים וכותבים מיומנים","רמה ג'","רמה ב'")))</f>
        <v/>
      </c>
      <c r="AD270" s="32">
        <f>IF($AC270="","",MID(IF(AND($AC270="רמה א'",$AA270="ניכרת"),"; להוסיף עבודת אוצר מילים","")&amp;IF($Z270="אינה מפותחת","; דגש על הבעה בכתב","")&amp;IF($K270&lt;&gt;"תקין","; נדרש לעבוד על ההנגנה","")&amp;IF($AK270&lt;&gt;"","; "&amp;$AK270,""),3,400))</f>
        <v/>
      </c>
      <c r="AE270" s="32">
        <f>IF($F270="","",IF($F270="תחילת שנה",1,IF($F270="מחצית שנה",2,3)))</f>
        <v/>
      </c>
      <c r="AF270" s="32">
        <f>IF(OR($B270="",$AC270="",$A270="",$F270=""),"",$B270&amp;"|"&amp;$A270&amp;"|"&amp;$F270&amp;"|"&amp;$AC270&amp;"|"&amp;COUNTIFS($B$6:$B270,$B270,$A$6:$A270,$A270,$F$6:$F270,$F270,$AC$6:$AC270,$AC270))</f>
        <v/>
      </c>
      <c r="AG270" s="32">
        <f>IF($C270="","",$C270&amp;"|"&amp;COUNTIFS($C$6:$C270,$C270))</f>
        <v/>
      </c>
      <c r="AH270" s="32">
        <f>IF(OR($C270="",$A270="",$AE270=""),"",$C270&amp;"|"&amp;$A270&amp;"|"&amp;$AE270)</f>
        <v/>
      </c>
      <c r="AI270" s="32">
        <f>IF(OR($C270="",$AE270="",$AE270=1),"",IFERROR(INDEX($AC$6:$AC$1505,MATCH($C270&amp;"|"&amp;$A270&amp;"|"&amp;($AE270-1),$AH$6:$AH$1505,0)),""))</f>
        <v/>
      </c>
      <c r="AJ270" s="32">
        <f>IF(OR($AI270="",$AC270=""),"",IF($AI270=$AC270,"ללא שינוי","מ-"&amp;$AI270&amp;" ל-"&amp;$AC270))</f>
        <v/>
      </c>
      <c r="AK270" s="67" t="n"/>
    </row>
    <row r="271" ht="15.75" customHeight="1" s="58">
      <c r="A271" s="65" t="n"/>
      <c r="B271" s="65" t="n"/>
      <c r="C271" s="66" t="n"/>
      <c r="D271" s="66" t="n"/>
      <c r="E271" s="65" t="n"/>
      <c r="F271" s="65" t="n"/>
      <c r="G271" s="65" t="n"/>
      <c r="H271" s="65" t="n"/>
      <c r="I271" s="65" t="n"/>
      <c r="J271" s="65" t="n"/>
      <c r="K271" s="65" t="n"/>
      <c r="L271" s="65" t="n"/>
      <c r="M271" s="65" t="n"/>
      <c r="N271" s="65" t="n"/>
      <c r="O271" s="65" t="n"/>
      <c r="P271" s="65" t="n"/>
      <c r="Q271" s="65" t="n"/>
      <c r="R271" s="65" t="n"/>
      <c r="S271" s="65" t="n"/>
      <c r="T271" s="65" t="n"/>
      <c r="U271" s="65" t="n"/>
      <c r="V271" s="65" t="n"/>
      <c r="W271" s="65" t="n"/>
      <c r="X271" s="65" t="n"/>
      <c r="Y271" s="32">
        <f>IF($C271="","",IF(COUNTA($I271:$K271)&lt;3,"— חסרים נתונים",IF(AND($I271="תקין",$J271="תקין",$K271="תקין"),"רהוטה",IF(AND($I271="תקין",$J271="תקין"),"מדויקת ורציפה","אינה מדויקת או מקוטעת"))))</f>
        <v/>
      </c>
      <c r="Z271" s="32">
        <f>IF($C271="","",IF(COUNTA($U271:$W271)&lt;3,"",IF(AND($U271="מפותח",$V271="מפותח",$W271="מפותחת"),"מפותחת",IF((--($U271="דל"))+(--($V271="אינו מפותח"))+(--($W271="דלה"))&gt;=2,"אינה מפותחת","חלקית"))))</f>
        <v/>
      </c>
      <c r="AA271" s="32">
        <f>IF($C271="","",IF(COUNTA($M271,$N271,$O271)&lt;3,"— חסרים נתונים",IF(OR($M271="נמוכה",(--($M271&lt;&gt;"תקינה"))+(--($N271&lt;&gt;"תקין"))+(--($O271&lt;&gt;"תקינה"))&gt;=2),"ניכרת","אינה ניכרת")))</f>
        <v/>
      </c>
      <c r="AB271" s="32">
        <f>IF(OR($C271="",$Y271="",$AA271="",LEFT($Y271,1)="—",LEFT($AA271,1)="—"),"",IF($Z271="","— נדרשת הערכת כתיבה",IF($L271="","— חסרה הבנת הנקרא",IF($Y271="אינה מדויקת או מקוטעת",IF($AA271="ניכרת","מיקוד בשטף הקריאה ובכישורי שפה","מיקוד בשטף קריאה"),IF($AA271="ניכרת","מיקוד בכישורי שפה",IF(AND($L271="תקינה",$Z271="מפותחת"),"קוראים וכותבים מיומנים","מיקוד בהבנה והבעה"))))))</f>
        <v/>
      </c>
      <c r="AC271" s="32">
        <f>IF(OR($AB271="",LEFT($AB271,1)="—"),"",IF(OR($AB271="מיקוד בשטף קריאה",$AB271="מיקוד בשטף הקריאה ובכישורי שפה"),"רמה א'",IF($AB271="קוראים וכותבים מיומנים","רמה ג'","רמה ב'")))</f>
        <v/>
      </c>
      <c r="AD271" s="32">
        <f>IF($AC271="","",MID(IF(AND($AC271="רמה א'",$AA271="ניכרת"),"; להוסיף עבודת אוצר מילים","")&amp;IF($Z271="אינה מפותחת","; דגש על הבעה בכתב","")&amp;IF($K271&lt;&gt;"תקין","; נדרש לעבוד על ההנגנה","")&amp;IF($AK271&lt;&gt;"","; "&amp;$AK271,""),3,400))</f>
        <v/>
      </c>
      <c r="AE271" s="32">
        <f>IF($F271="","",IF($F271="תחילת שנה",1,IF($F271="מחצית שנה",2,3)))</f>
        <v/>
      </c>
      <c r="AF271" s="32">
        <f>IF(OR($B271="",$AC271="",$A271="",$F271=""),"",$B271&amp;"|"&amp;$A271&amp;"|"&amp;$F271&amp;"|"&amp;$AC271&amp;"|"&amp;COUNTIFS($B$6:$B271,$B271,$A$6:$A271,$A271,$F$6:$F271,$F271,$AC$6:$AC271,$AC271))</f>
        <v/>
      </c>
      <c r="AG271" s="32">
        <f>IF($C271="","",$C271&amp;"|"&amp;COUNTIFS($C$6:$C271,$C271))</f>
        <v/>
      </c>
      <c r="AH271" s="32">
        <f>IF(OR($C271="",$A271="",$AE271=""),"",$C271&amp;"|"&amp;$A271&amp;"|"&amp;$AE271)</f>
        <v/>
      </c>
      <c r="AI271" s="32">
        <f>IF(OR($C271="",$AE271="",$AE271=1),"",IFERROR(INDEX($AC$6:$AC$1505,MATCH($C271&amp;"|"&amp;$A271&amp;"|"&amp;($AE271-1),$AH$6:$AH$1505,0)),""))</f>
        <v/>
      </c>
      <c r="AJ271" s="32">
        <f>IF(OR($AI271="",$AC271=""),"",IF($AI271=$AC271,"ללא שינוי","מ-"&amp;$AI271&amp;" ל-"&amp;$AC271))</f>
        <v/>
      </c>
      <c r="AK271" s="67" t="n"/>
    </row>
    <row r="272" ht="15.75" customHeight="1" s="58">
      <c r="A272" s="65" t="n"/>
      <c r="B272" s="65" t="n"/>
      <c r="C272" s="66" t="n"/>
      <c r="D272" s="66" t="n"/>
      <c r="E272" s="65" t="n"/>
      <c r="F272" s="65" t="n"/>
      <c r="G272" s="65" t="n"/>
      <c r="H272" s="65" t="n"/>
      <c r="I272" s="65" t="n"/>
      <c r="J272" s="65" t="n"/>
      <c r="K272" s="65" t="n"/>
      <c r="L272" s="65" t="n"/>
      <c r="M272" s="65" t="n"/>
      <c r="N272" s="65" t="n"/>
      <c r="O272" s="65" t="n"/>
      <c r="P272" s="65" t="n"/>
      <c r="Q272" s="65" t="n"/>
      <c r="R272" s="65" t="n"/>
      <c r="S272" s="65" t="n"/>
      <c r="T272" s="65" t="n"/>
      <c r="U272" s="65" t="n"/>
      <c r="V272" s="65" t="n"/>
      <c r="W272" s="65" t="n"/>
      <c r="X272" s="65" t="n"/>
      <c r="Y272" s="32">
        <f>IF($C272="","",IF(COUNTA($I272:$K272)&lt;3,"— חסרים נתונים",IF(AND($I272="תקין",$J272="תקין",$K272="תקין"),"רהוטה",IF(AND($I272="תקין",$J272="תקין"),"מדויקת ורציפה","אינה מדויקת או מקוטעת"))))</f>
        <v/>
      </c>
      <c r="Z272" s="32">
        <f>IF($C272="","",IF(COUNTA($U272:$W272)&lt;3,"",IF(AND($U272="מפותח",$V272="מפותח",$W272="מפותחת"),"מפותחת",IF((--($U272="דל"))+(--($V272="אינו מפותח"))+(--($W272="דלה"))&gt;=2,"אינה מפותחת","חלקית"))))</f>
        <v/>
      </c>
      <c r="AA272" s="32">
        <f>IF($C272="","",IF(COUNTA($M272,$N272,$O272)&lt;3,"— חסרים נתונים",IF(OR($M272="נמוכה",(--($M272&lt;&gt;"תקינה"))+(--($N272&lt;&gt;"תקין"))+(--($O272&lt;&gt;"תקינה"))&gt;=2),"ניכרת","אינה ניכרת")))</f>
        <v/>
      </c>
      <c r="AB272" s="32">
        <f>IF(OR($C272="",$Y272="",$AA272="",LEFT($Y272,1)="—",LEFT($AA272,1)="—"),"",IF($Z272="","— נדרשת הערכת כתיבה",IF($L272="","— חסרה הבנת הנקרא",IF($Y272="אינה מדויקת או מקוטעת",IF($AA272="ניכרת","מיקוד בשטף הקריאה ובכישורי שפה","מיקוד בשטף קריאה"),IF($AA272="ניכרת","מיקוד בכישורי שפה",IF(AND($L272="תקינה",$Z272="מפותחת"),"קוראים וכותבים מיומנים","מיקוד בהבנה והבעה"))))))</f>
        <v/>
      </c>
      <c r="AC272" s="32">
        <f>IF(OR($AB272="",LEFT($AB272,1)="—"),"",IF(OR($AB272="מיקוד בשטף קריאה",$AB272="מיקוד בשטף הקריאה ובכישורי שפה"),"רמה א'",IF($AB272="קוראים וכותבים מיומנים","רמה ג'","רמה ב'")))</f>
        <v/>
      </c>
      <c r="AD272" s="32">
        <f>IF($AC272="","",MID(IF(AND($AC272="רמה א'",$AA272="ניכרת"),"; להוסיף עבודת אוצר מילים","")&amp;IF($Z272="אינה מפותחת","; דגש על הבעה בכתב","")&amp;IF($K272&lt;&gt;"תקין","; נדרש לעבוד על ההנגנה","")&amp;IF($AK272&lt;&gt;"","; "&amp;$AK272,""),3,400))</f>
        <v/>
      </c>
      <c r="AE272" s="32">
        <f>IF($F272="","",IF($F272="תחילת שנה",1,IF($F272="מחצית שנה",2,3)))</f>
        <v/>
      </c>
      <c r="AF272" s="32">
        <f>IF(OR($B272="",$AC272="",$A272="",$F272=""),"",$B272&amp;"|"&amp;$A272&amp;"|"&amp;$F272&amp;"|"&amp;$AC272&amp;"|"&amp;COUNTIFS($B$6:$B272,$B272,$A$6:$A272,$A272,$F$6:$F272,$F272,$AC$6:$AC272,$AC272))</f>
        <v/>
      </c>
      <c r="AG272" s="32">
        <f>IF($C272="","",$C272&amp;"|"&amp;COUNTIFS($C$6:$C272,$C272))</f>
        <v/>
      </c>
      <c r="AH272" s="32">
        <f>IF(OR($C272="",$A272="",$AE272=""),"",$C272&amp;"|"&amp;$A272&amp;"|"&amp;$AE272)</f>
        <v/>
      </c>
      <c r="AI272" s="32">
        <f>IF(OR($C272="",$AE272="",$AE272=1),"",IFERROR(INDEX($AC$6:$AC$1505,MATCH($C272&amp;"|"&amp;$A272&amp;"|"&amp;($AE272-1),$AH$6:$AH$1505,0)),""))</f>
        <v/>
      </c>
      <c r="AJ272" s="32">
        <f>IF(OR($AI272="",$AC272=""),"",IF($AI272=$AC272,"ללא שינוי","מ-"&amp;$AI272&amp;" ל-"&amp;$AC272))</f>
        <v/>
      </c>
      <c r="AK272" s="67" t="n"/>
    </row>
    <row r="273" ht="15.75" customHeight="1" s="58">
      <c r="A273" s="65" t="n"/>
      <c r="B273" s="65" t="n"/>
      <c r="C273" s="66" t="n"/>
      <c r="D273" s="66" t="n"/>
      <c r="E273" s="65" t="n"/>
      <c r="F273" s="65" t="n"/>
      <c r="G273" s="65" t="n"/>
      <c r="H273" s="65" t="n"/>
      <c r="I273" s="65" t="n"/>
      <c r="J273" s="65" t="n"/>
      <c r="K273" s="65" t="n"/>
      <c r="L273" s="65" t="n"/>
      <c r="M273" s="65" t="n"/>
      <c r="N273" s="65" t="n"/>
      <c r="O273" s="65" t="n"/>
      <c r="P273" s="65" t="n"/>
      <c r="Q273" s="65" t="n"/>
      <c r="R273" s="65" t="n"/>
      <c r="S273" s="65" t="n"/>
      <c r="T273" s="65" t="n"/>
      <c r="U273" s="65" t="n"/>
      <c r="V273" s="65" t="n"/>
      <c r="W273" s="65" t="n"/>
      <c r="X273" s="65" t="n"/>
      <c r="Y273" s="32">
        <f>IF($C273="","",IF(COUNTA($I273:$K273)&lt;3,"— חסרים נתונים",IF(AND($I273="תקין",$J273="תקין",$K273="תקין"),"רהוטה",IF(AND($I273="תקין",$J273="תקין"),"מדויקת ורציפה","אינה מדויקת או מקוטעת"))))</f>
        <v/>
      </c>
      <c r="Z273" s="32">
        <f>IF($C273="","",IF(COUNTA($U273:$W273)&lt;3,"",IF(AND($U273="מפותח",$V273="מפותח",$W273="מפותחת"),"מפותחת",IF((--($U273="דל"))+(--($V273="אינו מפותח"))+(--($W273="דלה"))&gt;=2,"אינה מפותחת","חלקית"))))</f>
        <v/>
      </c>
      <c r="AA273" s="32">
        <f>IF($C273="","",IF(COUNTA($M273,$N273,$O273)&lt;3,"— חסרים נתונים",IF(OR($M273="נמוכה",(--($M273&lt;&gt;"תקינה"))+(--($N273&lt;&gt;"תקין"))+(--($O273&lt;&gt;"תקינה"))&gt;=2),"ניכרת","אינה ניכרת")))</f>
        <v/>
      </c>
      <c r="AB273" s="32">
        <f>IF(OR($C273="",$Y273="",$AA273="",LEFT($Y273,1)="—",LEFT($AA273,1)="—"),"",IF($Z273="","— נדרשת הערכת כתיבה",IF($L273="","— חסרה הבנת הנקרא",IF($Y273="אינה מדויקת או מקוטעת",IF($AA273="ניכרת","מיקוד בשטף הקריאה ובכישורי שפה","מיקוד בשטף קריאה"),IF($AA273="ניכרת","מיקוד בכישורי שפה",IF(AND($L273="תקינה",$Z273="מפותחת"),"קוראים וכותבים מיומנים","מיקוד בהבנה והבעה"))))))</f>
        <v/>
      </c>
      <c r="AC273" s="32">
        <f>IF(OR($AB273="",LEFT($AB273,1)="—"),"",IF(OR($AB273="מיקוד בשטף קריאה",$AB273="מיקוד בשטף הקריאה ובכישורי שפה"),"רמה א'",IF($AB273="קוראים וכותבים מיומנים","רמה ג'","רמה ב'")))</f>
        <v/>
      </c>
      <c r="AD273" s="32">
        <f>IF($AC273="","",MID(IF(AND($AC273="רמה א'",$AA273="ניכרת"),"; להוסיף עבודת אוצר מילים","")&amp;IF($Z273="אינה מפותחת","; דגש על הבעה בכתב","")&amp;IF($K273&lt;&gt;"תקין","; נדרש לעבוד על ההנגנה","")&amp;IF($AK273&lt;&gt;"","; "&amp;$AK273,""),3,400))</f>
        <v/>
      </c>
      <c r="AE273" s="32">
        <f>IF($F273="","",IF($F273="תחילת שנה",1,IF($F273="מחצית שנה",2,3)))</f>
        <v/>
      </c>
      <c r="AF273" s="32">
        <f>IF(OR($B273="",$AC273="",$A273="",$F273=""),"",$B273&amp;"|"&amp;$A273&amp;"|"&amp;$F273&amp;"|"&amp;$AC273&amp;"|"&amp;COUNTIFS($B$6:$B273,$B273,$A$6:$A273,$A273,$F$6:$F273,$F273,$AC$6:$AC273,$AC273))</f>
        <v/>
      </c>
      <c r="AG273" s="32">
        <f>IF($C273="","",$C273&amp;"|"&amp;COUNTIFS($C$6:$C273,$C273))</f>
        <v/>
      </c>
      <c r="AH273" s="32">
        <f>IF(OR($C273="",$A273="",$AE273=""),"",$C273&amp;"|"&amp;$A273&amp;"|"&amp;$AE273)</f>
        <v/>
      </c>
      <c r="AI273" s="32">
        <f>IF(OR($C273="",$AE273="",$AE273=1),"",IFERROR(INDEX($AC$6:$AC$1505,MATCH($C273&amp;"|"&amp;$A273&amp;"|"&amp;($AE273-1),$AH$6:$AH$1505,0)),""))</f>
        <v/>
      </c>
      <c r="AJ273" s="32">
        <f>IF(OR($AI273="",$AC273=""),"",IF($AI273=$AC273,"ללא שינוי","מ-"&amp;$AI273&amp;" ל-"&amp;$AC273))</f>
        <v/>
      </c>
      <c r="AK273" s="67" t="n"/>
    </row>
    <row r="274" ht="15.75" customHeight="1" s="58">
      <c r="A274" s="65" t="n"/>
      <c r="B274" s="65" t="n"/>
      <c r="C274" s="66" t="n"/>
      <c r="D274" s="66" t="n"/>
      <c r="E274" s="65" t="n"/>
      <c r="F274" s="65" t="n"/>
      <c r="G274" s="65" t="n"/>
      <c r="H274" s="65" t="n"/>
      <c r="I274" s="65" t="n"/>
      <c r="J274" s="65" t="n"/>
      <c r="K274" s="65" t="n"/>
      <c r="L274" s="65" t="n"/>
      <c r="M274" s="65" t="n"/>
      <c r="N274" s="65" t="n"/>
      <c r="O274" s="65" t="n"/>
      <c r="P274" s="65" t="n"/>
      <c r="Q274" s="65" t="n"/>
      <c r="R274" s="65" t="n"/>
      <c r="S274" s="65" t="n"/>
      <c r="T274" s="65" t="n"/>
      <c r="U274" s="65" t="n"/>
      <c r="V274" s="65" t="n"/>
      <c r="W274" s="65" t="n"/>
      <c r="X274" s="65" t="n"/>
      <c r="Y274" s="32">
        <f>IF($C274="","",IF(COUNTA($I274:$K274)&lt;3,"— חסרים נתונים",IF(AND($I274="תקין",$J274="תקין",$K274="תקין"),"רהוטה",IF(AND($I274="תקין",$J274="תקין"),"מדויקת ורציפה","אינה מדויקת או מקוטעת"))))</f>
        <v/>
      </c>
      <c r="Z274" s="32">
        <f>IF($C274="","",IF(COUNTA($U274:$W274)&lt;3,"",IF(AND($U274="מפותח",$V274="מפותח",$W274="מפותחת"),"מפותחת",IF((--($U274="דל"))+(--($V274="אינו מפותח"))+(--($W274="דלה"))&gt;=2,"אינה מפותחת","חלקית"))))</f>
        <v/>
      </c>
      <c r="AA274" s="32">
        <f>IF($C274="","",IF(COUNTA($M274,$N274,$O274)&lt;3,"— חסרים נתונים",IF(OR($M274="נמוכה",(--($M274&lt;&gt;"תקינה"))+(--($N274&lt;&gt;"תקין"))+(--($O274&lt;&gt;"תקינה"))&gt;=2),"ניכרת","אינה ניכרת")))</f>
        <v/>
      </c>
      <c r="AB274" s="32">
        <f>IF(OR($C274="",$Y274="",$AA274="",LEFT($Y274,1)="—",LEFT($AA274,1)="—"),"",IF($Z274="","— נדרשת הערכת כתיבה",IF($L274="","— חסרה הבנת הנקרא",IF($Y274="אינה מדויקת או מקוטעת",IF($AA274="ניכרת","מיקוד בשטף הקריאה ובכישורי שפה","מיקוד בשטף קריאה"),IF($AA274="ניכרת","מיקוד בכישורי שפה",IF(AND($L274="תקינה",$Z274="מפותחת"),"קוראים וכותבים מיומנים","מיקוד בהבנה והבעה"))))))</f>
        <v/>
      </c>
      <c r="AC274" s="32">
        <f>IF(OR($AB274="",LEFT($AB274,1)="—"),"",IF(OR($AB274="מיקוד בשטף קריאה",$AB274="מיקוד בשטף הקריאה ובכישורי שפה"),"רמה א'",IF($AB274="קוראים וכותבים מיומנים","רמה ג'","רמה ב'")))</f>
        <v/>
      </c>
      <c r="AD274" s="32">
        <f>IF($AC274="","",MID(IF(AND($AC274="רמה א'",$AA274="ניכרת"),"; להוסיף עבודת אוצר מילים","")&amp;IF($Z274="אינה מפותחת","; דגש על הבעה בכתב","")&amp;IF($K274&lt;&gt;"תקין","; נדרש לעבוד על ההנגנה","")&amp;IF($AK274&lt;&gt;"","; "&amp;$AK274,""),3,400))</f>
        <v/>
      </c>
      <c r="AE274" s="32">
        <f>IF($F274="","",IF($F274="תחילת שנה",1,IF($F274="מחצית שנה",2,3)))</f>
        <v/>
      </c>
      <c r="AF274" s="32">
        <f>IF(OR($B274="",$AC274="",$A274="",$F274=""),"",$B274&amp;"|"&amp;$A274&amp;"|"&amp;$F274&amp;"|"&amp;$AC274&amp;"|"&amp;COUNTIFS($B$6:$B274,$B274,$A$6:$A274,$A274,$F$6:$F274,$F274,$AC$6:$AC274,$AC274))</f>
        <v/>
      </c>
      <c r="AG274" s="32">
        <f>IF($C274="","",$C274&amp;"|"&amp;COUNTIFS($C$6:$C274,$C274))</f>
        <v/>
      </c>
      <c r="AH274" s="32">
        <f>IF(OR($C274="",$A274="",$AE274=""),"",$C274&amp;"|"&amp;$A274&amp;"|"&amp;$AE274)</f>
        <v/>
      </c>
      <c r="AI274" s="32">
        <f>IF(OR($C274="",$AE274="",$AE274=1),"",IFERROR(INDEX($AC$6:$AC$1505,MATCH($C274&amp;"|"&amp;$A274&amp;"|"&amp;($AE274-1),$AH$6:$AH$1505,0)),""))</f>
        <v/>
      </c>
      <c r="AJ274" s="32">
        <f>IF(OR($AI274="",$AC274=""),"",IF($AI274=$AC274,"ללא שינוי","מ-"&amp;$AI274&amp;" ל-"&amp;$AC274))</f>
        <v/>
      </c>
      <c r="AK274" s="67" t="n"/>
    </row>
    <row r="275" ht="15.75" customHeight="1" s="58">
      <c r="A275" s="65" t="n"/>
      <c r="B275" s="65" t="n"/>
      <c r="C275" s="66" t="n"/>
      <c r="D275" s="66" t="n"/>
      <c r="E275" s="65" t="n"/>
      <c r="F275" s="65" t="n"/>
      <c r="G275" s="65" t="n"/>
      <c r="H275" s="65" t="n"/>
      <c r="I275" s="65" t="n"/>
      <c r="J275" s="65" t="n"/>
      <c r="K275" s="65" t="n"/>
      <c r="L275" s="65" t="n"/>
      <c r="M275" s="65" t="n"/>
      <c r="N275" s="65" t="n"/>
      <c r="O275" s="65" t="n"/>
      <c r="P275" s="65" t="n"/>
      <c r="Q275" s="65" t="n"/>
      <c r="R275" s="65" t="n"/>
      <c r="S275" s="65" t="n"/>
      <c r="T275" s="65" t="n"/>
      <c r="U275" s="65" t="n"/>
      <c r="V275" s="65" t="n"/>
      <c r="W275" s="65" t="n"/>
      <c r="X275" s="65" t="n"/>
      <c r="Y275" s="32">
        <f>IF($C275="","",IF(COUNTA($I275:$K275)&lt;3,"— חסרים נתונים",IF(AND($I275="תקין",$J275="תקין",$K275="תקין"),"רהוטה",IF(AND($I275="תקין",$J275="תקין"),"מדויקת ורציפה","אינה מדויקת או מקוטעת"))))</f>
        <v/>
      </c>
      <c r="Z275" s="32">
        <f>IF($C275="","",IF(COUNTA($U275:$W275)&lt;3,"",IF(AND($U275="מפותח",$V275="מפותח",$W275="מפותחת"),"מפותחת",IF((--($U275="דל"))+(--($V275="אינו מפותח"))+(--($W275="דלה"))&gt;=2,"אינה מפותחת","חלקית"))))</f>
        <v/>
      </c>
      <c r="AA275" s="32">
        <f>IF($C275="","",IF(COUNTA($M275,$N275,$O275)&lt;3,"— חסרים נתונים",IF(OR($M275="נמוכה",(--($M275&lt;&gt;"תקינה"))+(--($N275&lt;&gt;"תקין"))+(--($O275&lt;&gt;"תקינה"))&gt;=2),"ניכרת","אינה ניכרת")))</f>
        <v/>
      </c>
      <c r="AB275" s="32">
        <f>IF(OR($C275="",$Y275="",$AA275="",LEFT($Y275,1)="—",LEFT($AA275,1)="—"),"",IF($Z275="","— נדרשת הערכת כתיבה",IF($L275="","— חסרה הבנת הנקרא",IF($Y275="אינה מדויקת או מקוטעת",IF($AA275="ניכרת","מיקוד בשטף הקריאה ובכישורי שפה","מיקוד בשטף קריאה"),IF($AA275="ניכרת","מיקוד בכישורי שפה",IF(AND($L275="תקינה",$Z275="מפותחת"),"קוראים וכותבים מיומנים","מיקוד בהבנה והבעה"))))))</f>
        <v/>
      </c>
      <c r="AC275" s="32">
        <f>IF(OR($AB275="",LEFT($AB275,1)="—"),"",IF(OR($AB275="מיקוד בשטף קריאה",$AB275="מיקוד בשטף הקריאה ובכישורי שפה"),"רמה א'",IF($AB275="קוראים וכותבים מיומנים","רמה ג'","רמה ב'")))</f>
        <v/>
      </c>
      <c r="AD275" s="32">
        <f>IF($AC275="","",MID(IF(AND($AC275="רמה א'",$AA275="ניכרת"),"; להוסיף עבודת אוצר מילים","")&amp;IF($Z275="אינה מפותחת","; דגש על הבעה בכתב","")&amp;IF($K275&lt;&gt;"תקין","; נדרש לעבוד על ההנגנה","")&amp;IF($AK275&lt;&gt;"","; "&amp;$AK275,""),3,400))</f>
        <v/>
      </c>
      <c r="AE275" s="32">
        <f>IF($F275="","",IF($F275="תחילת שנה",1,IF($F275="מחצית שנה",2,3)))</f>
        <v/>
      </c>
      <c r="AF275" s="32">
        <f>IF(OR($B275="",$AC275="",$A275="",$F275=""),"",$B275&amp;"|"&amp;$A275&amp;"|"&amp;$F275&amp;"|"&amp;$AC275&amp;"|"&amp;COUNTIFS($B$6:$B275,$B275,$A$6:$A275,$A275,$F$6:$F275,$F275,$AC$6:$AC275,$AC275))</f>
        <v/>
      </c>
      <c r="AG275" s="32">
        <f>IF($C275="","",$C275&amp;"|"&amp;COUNTIFS($C$6:$C275,$C275))</f>
        <v/>
      </c>
      <c r="AH275" s="32">
        <f>IF(OR($C275="",$A275="",$AE275=""),"",$C275&amp;"|"&amp;$A275&amp;"|"&amp;$AE275)</f>
        <v/>
      </c>
      <c r="AI275" s="32">
        <f>IF(OR($C275="",$AE275="",$AE275=1),"",IFERROR(INDEX($AC$6:$AC$1505,MATCH($C275&amp;"|"&amp;$A275&amp;"|"&amp;($AE275-1),$AH$6:$AH$1505,0)),""))</f>
        <v/>
      </c>
      <c r="AJ275" s="32">
        <f>IF(OR($AI275="",$AC275=""),"",IF($AI275=$AC275,"ללא שינוי","מ-"&amp;$AI275&amp;" ל-"&amp;$AC275))</f>
        <v/>
      </c>
      <c r="AK275" s="67" t="n"/>
    </row>
    <row r="276" ht="15.75" customHeight="1" s="58">
      <c r="A276" s="65" t="n"/>
      <c r="B276" s="65" t="n"/>
      <c r="C276" s="66" t="n"/>
      <c r="D276" s="66" t="n"/>
      <c r="E276" s="65" t="n"/>
      <c r="F276" s="65" t="n"/>
      <c r="G276" s="65" t="n"/>
      <c r="H276" s="65" t="n"/>
      <c r="I276" s="65" t="n"/>
      <c r="J276" s="65" t="n"/>
      <c r="K276" s="65" t="n"/>
      <c r="L276" s="65" t="n"/>
      <c r="M276" s="65" t="n"/>
      <c r="N276" s="65" t="n"/>
      <c r="O276" s="65" t="n"/>
      <c r="P276" s="65" t="n"/>
      <c r="Q276" s="65" t="n"/>
      <c r="R276" s="65" t="n"/>
      <c r="S276" s="65" t="n"/>
      <c r="T276" s="65" t="n"/>
      <c r="U276" s="65" t="n"/>
      <c r="V276" s="65" t="n"/>
      <c r="W276" s="65" t="n"/>
      <c r="X276" s="65" t="n"/>
      <c r="Y276" s="32">
        <f>IF($C276="","",IF(COUNTA($I276:$K276)&lt;3,"— חסרים נתונים",IF(AND($I276="תקין",$J276="תקין",$K276="תקין"),"רהוטה",IF(AND($I276="תקין",$J276="תקין"),"מדויקת ורציפה","אינה מדויקת או מקוטעת"))))</f>
        <v/>
      </c>
      <c r="Z276" s="32">
        <f>IF($C276="","",IF(COUNTA($U276:$W276)&lt;3,"",IF(AND($U276="מפותח",$V276="מפותח",$W276="מפותחת"),"מפותחת",IF((--($U276="דל"))+(--($V276="אינו מפותח"))+(--($W276="דלה"))&gt;=2,"אינה מפותחת","חלקית"))))</f>
        <v/>
      </c>
      <c r="AA276" s="32">
        <f>IF($C276="","",IF(COUNTA($M276,$N276,$O276)&lt;3,"— חסרים נתונים",IF(OR($M276="נמוכה",(--($M276&lt;&gt;"תקינה"))+(--($N276&lt;&gt;"תקין"))+(--($O276&lt;&gt;"תקינה"))&gt;=2),"ניכרת","אינה ניכרת")))</f>
        <v/>
      </c>
      <c r="AB276" s="32">
        <f>IF(OR($C276="",$Y276="",$AA276="",LEFT($Y276,1)="—",LEFT($AA276,1)="—"),"",IF($Z276="","— נדרשת הערכת כתיבה",IF($L276="","— חסרה הבנת הנקרא",IF($Y276="אינה מדויקת או מקוטעת",IF($AA276="ניכרת","מיקוד בשטף הקריאה ובכישורי שפה","מיקוד בשטף קריאה"),IF($AA276="ניכרת","מיקוד בכישורי שפה",IF(AND($L276="תקינה",$Z276="מפותחת"),"קוראים וכותבים מיומנים","מיקוד בהבנה והבעה"))))))</f>
        <v/>
      </c>
      <c r="AC276" s="32">
        <f>IF(OR($AB276="",LEFT($AB276,1)="—"),"",IF(OR($AB276="מיקוד בשטף קריאה",$AB276="מיקוד בשטף הקריאה ובכישורי שפה"),"רמה א'",IF($AB276="קוראים וכותבים מיומנים","רמה ג'","רמה ב'")))</f>
        <v/>
      </c>
      <c r="AD276" s="32">
        <f>IF($AC276="","",MID(IF(AND($AC276="רמה א'",$AA276="ניכרת"),"; להוסיף עבודת אוצר מילים","")&amp;IF($Z276="אינה מפותחת","; דגש על הבעה בכתב","")&amp;IF($K276&lt;&gt;"תקין","; נדרש לעבוד על ההנגנה","")&amp;IF($AK276&lt;&gt;"","; "&amp;$AK276,""),3,400))</f>
        <v/>
      </c>
      <c r="AE276" s="32">
        <f>IF($F276="","",IF($F276="תחילת שנה",1,IF($F276="מחצית שנה",2,3)))</f>
        <v/>
      </c>
      <c r="AF276" s="32">
        <f>IF(OR($B276="",$AC276="",$A276="",$F276=""),"",$B276&amp;"|"&amp;$A276&amp;"|"&amp;$F276&amp;"|"&amp;$AC276&amp;"|"&amp;COUNTIFS($B$6:$B276,$B276,$A$6:$A276,$A276,$F$6:$F276,$F276,$AC$6:$AC276,$AC276))</f>
        <v/>
      </c>
      <c r="AG276" s="32">
        <f>IF($C276="","",$C276&amp;"|"&amp;COUNTIFS($C$6:$C276,$C276))</f>
        <v/>
      </c>
      <c r="AH276" s="32">
        <f>IF(OR($C276="",$A276="",$AE276=""),"",$C276&amp;"|"&amp;$A276&amp;"|"&amp;$AE276)</f>
        <v/>
      </c>
      <c r="AI276" s="32">
        <f>IF(OR($C276="",$AE276="",$AE276=1),"",IFERROR(INDEX($AC$6:$AC$1505,MATCH($C276&amp;"|"&amp;$A276&amp;"|"&amp;($AE276-1),$AH$6:$AH$1505,0)),""))</f>
        <v/>
      </c>
      <c r="AJ276" s="32">
        <f>IF(OR($AI276="",$AC276=""),"",IF($AI276=$AC276,"ללא שינוי","מ-"&amp;$AI276&amp;" ל-"&amp;$AC276))</f>
        <v/>
      </c>
      <c r="AK276" s="67" t="n"/>
    </row>
    <row r="277" ht="15.75" customHeight="1" s="58">
      <c r="A277" s="65" t="n"/>
      <c r="B277" s="65" t="n"/>
      <c r="C277" s="66" t="n"/>
      <c r="D277" s="66" t="n"/>
      <c r="E277" s="65" t="n"/>
      <c r="F277" s="65" t="n"/>
      <c r="G277" s="65" t="n"/>
      <c r="H277" s="65" t="n"/>
      <c r="I277" s="65" t="n"/>
      <c r="J277" s="65" t="n"/>
      <c r="K277" s="65" t="n"/>
      <c r="L277" s="65" t="n"/>
      <c r="M277" s="65" t="n"/>
      <c r="N277" s="65" t="n"/>
      <c r="O277" s="65" t="n"/>
      <c r="P277" s="65" t="n"/>
      <c r="Q277" s="65" t="n"/>
      <c r="R277" s="65" t="n"/>
      <c r="S277" s="65" t="n"/>
      <c r="T277" s="65" t="n"/>
      <c r="U277" s="65" t="n"/>
      <c r="V277" s="65" t="n"/>
      <c r="W277" s="65" t="n"/>
      <c r="X277" s="65" t="n"/>
      <c r="Y277" s="32">
        <f>IF($C277="","",IF(COUNTA($I277:$K277)&lt;3,"— חסרים נתונים",IF(AND($I277="תקין",$J277="תקין",$K277="תקין"),"רהוטה",IF(AND($I277="תקין",$J277="תקין"),"מדויקת ורציפה","אינה מדויקת או מקוטעת"))))</f>
        <v/>
      </c>
      <c r="Z277" s="32">
        <f>IF($C277="","",IF(COUNTA($U277:$W277)&lt;3,"",IF(AND($U277="מפותח",$V277="מפותח",$W277="מפותחת"),"מפותחת",IF((--($U277="דל"))+(--($V277="אינו מפותח"))+(--($W277="דלה"))&gt;=2,"אינה מפותחת","חלקית"))))</f>
        <v/>
      </c>
      <c r="AA277" s="32">
        <f>IF($C277="","",IF(COUNTA($M277,$N277,$O277)&lt;3,"— חסרים נתונים",IF(OR($M277="נמוכה",(--($M277&lt;&gt;"תקינה"))+(--($N277&lt;&gt;"תקין"))+(--($O277&lt;&gt;"תקינה"))&gt;=2),"ניכרת","אינה ניכרת")))</f>
        <v/>
      </c>
      <c r="AB277" s="32">
        <f>IF(OR($C277="",$Y277="",$AA277="",LEFT($Y277,1)="—",LEFT($AA277,1)="—"),"",IF($Z277="","— נדרשת הערכת כתיבה",IF($L277="","— חסרה הבנת הנקרא",IF($Y277="אינה מדויקת או מקוטעת",IF($AA277="ניכרת","מיקוד בשטף הקריאה ובכישורי שפה","מיקוד בשטף קריאה"),IF($AA277="ניכרת","מיקוד בכישורי שפה",IF(AND($L277="תקינה",$Z277="מפותחת"),"קוראים וכותבים מיומנים","מיקוד בהבנה והבעה"))))))</f>
        <v/>
      </c>
      <c r="AC277" s="32">
        <f>IF(OR($AB277="",LEFT($AB277,1)="—"),"",IF(OR($AB277="מיקוד בשטף קריאה",$AB277="מיקוד בשטף הקריאה ובכישורי שפה"),"רמה א'",IF($AB277="קוראים וכותבים מיומנים","רמה ג'","רמה ב'")))</f>
        <v/>
      </c>
      <c r="AD277" s="32">
        <f>IF($AC277="","",MID(IF(AND($AC277="רמה א'",$AA277="ניכרת"),"; להוסיף עבודת אוצר מילים","")&amp;IF($Z277="אינה מפותחת","; דגש על הבעה בכתב","")&amp;IF($K277&lt;&gt;"תקין","; נדרש לעבוד על ההנגנה","")&amp;IF($AK277&lt;&gt;"","; "&amp;$AK277,""),3,400))</f>
        <v/>
      </c>
      <c r="AE277" s="32">
        <f>IF($F277="","",IF($F277="תחילת שנה",1,IF($F277="מחצית שנה",2,3)))</f>
        <v/>
      </c>
      <c r="AF277" s="32">
        <f>IF(OR($B277="",$AC277="",$A277="",$F277=""),"",$B277&amp;"|"&amp;$A277&amp;"|"&amp;$F277&amp;"|"&amp;$AC277&amp;"|"&amp;COUNTIFS($B$6:$B277,$B277,$A$6:$A277,$A277,$F$6:$F277,$F277,$AC$6:$AC277,$AC277))</f>
        <v/>
      </c>
      <c r="AG277" s="32">
        <f>IF($C277="","",$C277&amp;"|"&amp;COUNTIFS($C$6:$C277,$C277))</f>
        <v/>
      </c>
      <c r="AH277" s="32">
        <f>IF(OR($C277="",$A277="",$AE277=""),"",$C277&amp;"|"&amp;$A277&amp;"|"&amp;$AE277)</f>
        <v/>
      </c>
      <c r="AI277" s="32">
        <f>IF(OR($C277="",$AE277="",$AE277=1),"",IFERROR(INDEX($AC$6:$AC$1505,MATCH($C277&amp;"|"&amp;$A277&amp;"|"&amp;($AE277-1),$AH$6:$AH$1505,0)),""))</f>
        <v/>
      </c>
      <c r="AJ277" s="32">
        <f>IF(OR($AI277="",$AC277=""),"",IF($AI277=$AC277,"ללא שינוי","מ-"&amp;$AI277&amp;" ל-"&amp;$AC277))</f>
        <v/>
      </c>
      <c r="AK277" s="67" t="n"/>
    </row>
    <row r="278" ht="15.75" customHeight="1" s="58">
      <c r="A278" s="65" t="n"/>
      <c r="B278" s="65" t="n"/>
      <c r="C278" s="66" t="n"/>
      <c r="D278" s="66" t="n"/>
      <c r="E278" s="65" t="n"/>
      <c r="F278" s="65" t="n"/>
      <c r="G278" s="65" t="n"/>
      <c r="H278" s="65" t="n"/>
      <c r="I278" s="65" t="n"/>
      <c r="J278" s="65" t="n"/>
      <c r="K278" s="65" t="n"/>
      <c r="L278" s="65" t="n"/>
      <c r="M278" s="65" t="n"/>
      <c r="N278" s="65" t="n"/>
      <c r="O278" s="65" t="n"/>
      <c r="P278" s="65" t="n"/>
      <c r="Q278" s="65" t="n"/>
      <c r="R278" s="65" t="n"/>
      <c r="S278" s="65" t="n"/>
      <c r="T278" s="65" t="n"/>
      <c r="U278" s="65" t="n"/>
      <c r="V278" s="65" t="n"/>
      <c r="W278" s="65" t="n"/>
      <c r="X278" s="65" t="n"/>
      <c r="Y278" s="32">
        <f>IF($C278="","",IF(COUNTA($I278:$K278)&lt;3,"— חסרים נתונים",IF(AND($I278="תקין",$J278="תקין",$K278="תקין"),"רהוטה",IF(AND($I278="תקין",$J278="תקין"),"מדויקת ורציפה","אינה מדויקת או מקוטעת"))))</f>
        <v/>
      </c>
      <c r="Z278" s="32">
        <f>IF($C278="","",IF(COUNTA($U278:$W278)&lt;3,"",IF(AND($U278="מפותח",$V278="מפותח",$W278="מפותחת"),"מפותחת",IF((--($U278="דל"))+(--($V278="אינו מפותח"))+(--($W278="דלה"))&gt;=2,"אינה מפותחת","חלקית"))))</f>
        <v/>
      </c>
      <c r="AA278" s="32">
        <f>IF($C278="","",IF(COUNTA($M278,$N278,$O278)&lt;3,"— חסרים נתונים",IF(OR($M278="נמוכה",(--($M278&lt;&gt;"תקינה"))+(--($N278&lt;&gt;"תקין"))+(--($O278&lt;&gt;"תקינה"))&gt;=2),"ניכרת","אינה ניכרת")))</f>
        <v/>
      </c>
      <c r="AB278" s="32">
        <f>IF(OR($C278="",$Y278="",$AA278="",LEFT($Y278,1)="—",LEFT($AA278,1)="—"),"",IF($Z278="","— נדרשת הערכת כתיבה",IF($L278="","— חסרה הבנת הנקרא",IF($Y278="אינה מדויקת או מקוטעת",IF($AA278="ניכרת","מיקוד בשטף הקריאה ובכישורי שפה","מיקוד בשטף קריאה"),IF($AA278="ניכרת","מיקוד בכישורי שפה",IF(AND($L278="תקינה",$Z278="מפותחת"),"קוראים וכותבים מיומנים","מיקוד בהבנה והבעה"))))))</f>
        <v/>
      </c>
      <c r="AC278" s="32">
        <f>IF(OR($AB278="",LEFT($AB278,1)="—"),"",IF(OR($AB278="מיקוד בשטף קריאה",$AB278="מיקוד בשטף הקריאה ובכישורי שפה"),"רמה א'",IF($AB278="קוראים וכותבים מיומנים","רמה ג'","רמה ב'")))</f>
        <v/>
      </c>
      <c r="AD278" s="32">
        <f>IF($AC278="","",MID(IF(AND($AC278="רמה א'",$AA278="ניכרת"),"; להוסיף עבודת אוצר מילים","")&amp;IF($Z278="אינה מפותחת","; דגש על הבעה בכתב","")&amp;IF($K278&lt;&gt;"תקין","; נדרש לעבוד על ההנגנה","")&amp;IF($AK278&lt;&gt;"","; "&amp;$AK278,""),3,400))</f>
        <v/>
      </c>
      <c r="AE278" s="32">
        <f>IF($F278="","",IF($F278="תחילת שנה",1,IF($F278="מחצית שנה",2,3)))</f>
        <v/>
      </c>
      <c r="AF278" s="32">
        <f>IF(OR($B278="",$AC278="",$A278="",$F278=""),"",$B278&amp;"|"&amp;$A278&amp;"|"&amp;$F278&amp;"|"&amp;$AC278&amp;"|"&amp;COUNTIFS($B$6:$B278,$B278,$A$6:$A278,$A278,$F$6:$F278,$F278,$AC$6:$AC278,$AC278))</f>
        <v/>
      </c>
      <c r="AG278" s="32">
        <f>IF($C278="","",$C278&amp;"|"&amp;COUNTIFS($C$6:$C278,$C278))</f>
        <v/>
      </c>
      <c r="AH278" s="32">
        <f>IF(OR($C278="",$A278="",$AE278=""),"",$C278&amp;"|"&amp;$A278&amp;"|"&amp;$AE278)</f>
        <v/>
      </c>
      <c r="AI278" s="32">
        <f>IF(OR($C278="",$AE278="",$AE278=1),"",IFERROR(INDEX($AC$6:$AC$1505,MATCH($C278&amp;"|"&amp;$A278&amp;"|"&amp;($AE278-1),$AH$6:$AH$1505,0)),""))</f>
        <v/>
      </c>
      <c r="AJ278" s="32">
        <f>IF(OR($AI278="",$AC278=""),"",IF($AI278=$AC278,"ללא שינוי","מ-"&amp;$AI278&amp;" ל-"&amp;$AC278))</f>
        <v/>
      </c>
      <c r="AK278" s="67" t="n"/>
    </row>
    <row r="279" ht="15.75" customHeight="1" s="58">
      <c r="A279" s="65" t="n"/>
      <c r="B279" s="65" t="n"/>
      <c r="C279" s="66" t="n"/>
      <c r="D279" s="66" t="n"/>
      <c r="E279" s="65" t="n"/>
      <c r="F279" s="65" t="n"/>
      <c r="G279" s="65" t="n"/>
      <c r="H279" s="65" t="n"/>
      <c r="I279" s="65" t="n"/>
      <c r="J279" s="65" t="n"/>
      <c r="K279" s="65" t="n"/>
      <c r="L279" s="65" t="n"/>
      <c r="M279" s="65" t="n"/>
      <c r="N279" s="65" t="n"/>
      <c r="O279" s="65" t="n"/>
      <c r="P279" s="65" t="n"/>
      <c r="Q279" s="65" t="n"/>
      <c r="R279" s="65" t="n"/>
      <c r="S279" s="65" t="n"/>
      <c r="T279" s="65" t="n"/>
      <c r="U279" s="65" t="n"/>
      <c r="V279" s="65" t="n"/>
      <c r="W279" s="65" t="n"/>
      <c r="X279" s="65" t="n"/>
      <c r="Y279" s="32">
        <f>IF($C279="","",IF(COUNTA($I279:$K279)&lt;3,"— חסרים נתונים",IF(AND($I279="תקין",$J279="תקין",$K279="תקין"),"רהוטה",IF(AND($I279="תקין",$J279="תקין"),"מדויקת ורציפה","אינה מדויקת או מקוטעת"))))</f>
        <v/>
      </c>
      <c r="Z279" s="32">
        <f>IF($C279="","",IF(COUNTA($U279:$W279)&lt;3,"",IF(AND($U279="מפותח",$V279="מפותח",$W279="מפותחת"),"מפותחת",IF((--($U279="דל"))+(--($V279="אינו מפותח"))+(--($W279="דלה"))&gt;=2,"אינה מפותחת","חלקית"))))</f>
        <v/>
      </c>
      <c r="AA279" s="32">
        <f>IF($C279="","",IF(COUNTA($M279,$N279,$O279)&lt;3,"— חסרים נתונים",IF(OR($M279="נמוכה",(--($M279&lt;&gt;"תקינה"))+(--($N279&lt;&gt;"תקין"))+(--($O279&lt;&gt;"תקינה"))&gt;=2),"ניכרת","אינה ניכרת")))</f>
        <v/>
      </c>
      <c r="AB279" s="32">
        <f>IF(OR($C279="",$Y279="",$AA279="",LEFT($Y279,1)="—",LEFT($AA279,1)="—"),"",IF($Z279="","— נדרשת הערכת כתיבה",IF($L279="","— חסרה הבנת הנקרא",IF($Y279="אינה מדויקת או מקוטעת",IF($AA279="ניכרת","מיקוד בשטף הקריאה ובכישורי שפה","מיקוד בשטף קריאה"),IF($AA279="ניכרת","מיקוד בכישורי שפה",IF(AND($L279="תקינה",$Z279="מפותחת"),"קוראים וכותבים מיומנים","מיקוד בהבנה והבעה"))))))</f>
        <v/>
      </c>
      <c r="AC279" s="32">
        <f>IF(OR($AB279="",LEFT($AB279,1)="—"),"",IF(OR($AB279="מיקוד בשטף קריאה",$AB279="מיקוד בשטף הקריאה ובכישורי שפה"),"רמה א'",IF($AB279="קוראים וכותבים מיומנים","רמה ג'","רמה ב'")))</f>
        <v/>
      </c>
      <c r="AD279" s="32">
        <f>IF($AC279="","",MID(IF(AND($AC279="רמה א'",$AA279="ניכרת"),"; להוסיף עבודת אוצר מילים","")&amp;IF($Z279="אינה מפותחת","; דגש על הבעה בכתב","")&amp;IF($K279&lt;&gt;"תקין","; נדרש לעבוד על ההנגנה","")&amp;IF($AK279&lt;&gt;"","; "&amp;$AK279,""),3,400))</f>
        <v/>
      </c>
      <c r="AE279" s="32">
        <f>IF($F279="","",IF($F279="תחילת שנה",1,IF($F279="מחצית שנה",2,3)))</f>
        <v/>
      </c>
      <c r="AF279" s="32">
        <f>IF(OR($B279="",$AC279="",$A279="",$F279=""),"",$B279&amp;"|"&amp;$A279&amp;"|"&amp;$F279&amp;"|"&amp;$AC279&amp;"|"&amp;COUNTIFS($B$6:$B279,$B279,$A$6:$A279,$A279,$F$6:$F279,$F279,$AC$6:$AC279,$AC279))</f>
        <v/>
      </c>
      <c r="AG279" s="32">
        <f>IF($C279="","",$C279&amp;"|"&amp;COUNTIFS($C$6:$C279,$C279))</f>
        <v/>
      </c>
      <c r="AH279" s="32">
        <f>IF(OR($C279="",$A279="",$AE279=""),"",$C279&amp;"|"&amp;$A279&amp;"|"&amp;$AE279)</f>
        <v/>
      </c>
      <c r="AI279" s="32">
        <f>IF(OR($C279="",$AE279="",$AE279=1),"",IFERROR(INDEX($AC$6:$AC$1505,MATCH($C279&amp;"|"&amp;$A279&amp;"|"&amp;($AE279-1),$AH$6:$AH$1505,0)),""))</f>
        <v/>
      </c>
      <c r="AJ279" s="32">
        <f>IF(OR($AI279="",$AC279=""),"",IF($AI279=$AC279,"ללא שינוי","מ-"&amp;$AI279&amp;" ל-"&amp;$AC279))</f>
        <v/>
      </c>
      <c r="AK279" s="67" t="n"/>
    </row>
    <row r="280" ht="15.75" customHeight="1" s="58">
      <c r="A280" s="65" t="n"/>
      <c r="B280" s="65" t="n"/>
      <c r="C280" s="66" t="n"/>
      <c r="D280" s="66" t="n"/>
      <c r="E280" s="65" t="n"/>
      <c r="F280" s="65" t="n"/>
      <c r="G280" s="65" t="n"/>
      <c r="H280" s="65" t="n"/>
      <c r="I280" s="65" t="n"/>
      <c r="J280" s="65" t="n"/>
      <c r="K280" s="65" t="n"/>
      <c r="L280" s="65" t="n"/>
      <c r="M280" s="65" t="n"/>
      <c r="N280" s="65" t="n"/>
      <c r="O280" s="65" t="n"/>
      <c r="P280" s="65" t="n"/>
      <c r="Q280" s="65" t="n"/>
      <c r="R280" s="65" t="n"/>
      <c r="S280" s="65" t="n"/>
      <c r="T280" s="65" t="n"/>
      <c r="U280" s="65" t="n"/>
      <c r="V280" s="65" t="n"/>
      <c r="W280" s="65" t="n"/>
      <c r="X280" s="65" t="n"/>
      <c r="Y280" s="32">
        <f>IF($C280="","",IF(COUNTA($I280:$K280)&lt;3,"— חסרים נתונים",IF(AND($I280="תקין",$J280="תקין",$K280="תקין"),"רהוטה",IF(AND($I280="תקין",$J280="תקין"),"מדויקת ורציפה","אינה מדויקת או מקוטעת"))))</f>
        <v/>
      </c>
      <c r="Z280" s="32">
        <f>IF($C280="","",IF(COUNTA($U280:$W280)&lt;3,"",IF(AND($U280="מפותח",$V280="מפותח",$W280="מפותחת"),"מפותחת",IF((--($U280="דל"))+(--($V280="אינו מפותח"))+(--($W280="דלה"))&gt;=2,"אינה מפותחת","חלקית"))))</f>
        <v/>
      </c>
      <c r="AA280" s="32">
        <f>IF($C280="","",IF(COUNTA($M280,$N280,$O280)&lt;3,"— חסרים נתונים",IF(OR($M280="נמוכה",(--($M280&lt;&gt;"תקינה"))+(--($N280&lt;&gt;"תקין"))+(--($O280&lt;&gt;"תקינה"))&gt;=2),"ניכרת","אינה ניכרת")))</f>
        <v/>
      </c>
      <c r="AB280" s="32">
        <f>IF(OR($C280="",$Y280="",$AA280="",LEFT($Y280,1)="—",LEFT($AA280,1)="—"),"",IF($Z280="","— נדרשת הערכת כתיבה",IF($L280="","— חסרה הבנת הנקרא",IF($Y280="אינה מדויקת או מקוטעת",IF($AA280="ניכרת","מיקוד בשטף הקריאה ובכישורי שפה","מיקוד בשטף קריאה"),IF($AA280="ניכרת","מיקוד בכישורי שפה",IF(AND($L280="תקינה",$Z280="מפותחת"),"קוראים וכותבים מיומנים","מיקוד בהבנה והבעה"))))))</f>
        <v/>
      </c>
      <c r="AC280" s="32">
        <f>IF(OR($AB280="",LEFT($AB280,1)="—"),"",IF(OR($AB280="מיקוד בשטף קריאה",$AB280="מיקוד בשטף הקריאה ובכישורי שפה"),"רמה א'",IF($AB280="קוראים וכותבים מיומנים","רמה ג'","רמה ב'")))</f>
        <v/>
      </c>
      <c r="AD280" s="32">
        <f>IF($AC280="","",MID(IF(AND($AC280="רמה א'",$AA280="ניכרת"),"; להוסיף עבודת אוצר מילים","")&amp;IF($Z280="אינה מפותחת","; דגש על הבעה בכתב","")&amp;IF($K280&lt;&gt;"תקין","; נדרש לעבוד על ההנגנה","")&amp;IF($AK280&lt;&gt;"","; "&amp;$AK280,""),3,400))</f>
        <v/>
      </c>
      <c r="AE280" s="32">
        <f>IF($F280="","",IF($F280="תחילת שנה",1,IF($F280="מחצית שנה",2,3)))</f>
        <v/>
      </c>
      <c r="AF280" s="32">
        <f>IF(OR($B280="",$AC280="",$A280="",$F280=""),"",$B280&amp;"|"&amp;$A280&amp;"|"&amp;$F280&amp;"|"&amp;$AC280&amp;"|"&amp;COUNTIFS($B$6:$B280,$B280,$A$6:$A280,$A280,$F$6:$F280,$F280,$AC$6:$AC280,$AC280))</f>
        <v/>
      </c>
      <c r="AG280" s="32">
        <f>IF($C280="","",$C280&amp;"|"&amp;COUNTIFS($C$6:$C280,$C280))</f>
        <v/>
      </c>
      <c r="AH280" s="32">
        <f>IF(OR($C280="",$A280="",$AE280=""),"",$C280&amp;"|"&amp;$A280&amp;"|"&amp;$AE280)</f>
        <v/>
      </c>
      <c r="AI280" s="32">
        <f>IF(OR($C280="",$AE280="",$AE280=1),"",IFERROR(INDEX($AC$6:$AC$1505,MATCH($C280&amp;"|"&amp;$A280&amp;"|"&amp;($AE280-1),$AH$6:$AH$1505,0)),""))</f>
        <v/>
      </c>
      <c r="AJ280" s="32">
        <f>IF(OR($AI280="",$AC280=""),"",IF($AI280=$AC280,"ללא שינוי","מ-"&amp;$AI280&amp;" ל-"&amp;$AC280))</f>
        <v/>
      </c>
      <c r="AK280" s="67" t="n"/>
    </row>
    <row r="281" ht="15.75" customHeight="1" s="58">
      <c r="A281" s="65" t="n"/>
      <c r="B281" s="65" t="n"/>
      <c r="C281" s="66" t="n"/>
      <c r="D281" s="66" t="n"/>
      <c r="E281" s="65" t="n"/>
      <c r="F281" s="65" t="n"/>
      <c r="G281" s="65" t="n"/>
      <c r="H281" s="65" t="n"/>
      <c r="I281" s="65" t="n"/>
      <c r="J281" s="65" t="n"/>
      <c r="K281" s="65" t="n"/>
      <c r="L281" s="65" t="n"/>
      <c r="M281" s="65" t="n"/>
      <c r="N281" s="65" t="n"/>
      <c r="O281" s="65" t="n"/>
      <c r="P281" s="65" t="n"/>
      <c r="Q281" s="65" t="n"/>
      <c r="R281" s="65" t="n"/>
      <c r="S281" s="65" t="n"/>
      <c r="T281" s="65" t="n"/>
      <c r="U281" s="65" t="n"/>
      <c r="V281" s="65" t="n"/>
      <c r="W281" s="65" t="n"/>
      <c r="X281" s="65" t="n"/>
      <c r="Y281" s="32">
        <f>IF($C281="","",IF(COUNTA($I281:$K281)&lt;3,"— חסרים נתונים",IF(AND($I281="תקין",$J281="תקין",$K281="תקין"),"רהוטה",IF(AND($I281="תקין",$J281="תקין"),"מדויקת ורציפה","אינה מדויקת או מקוטעת"))))</f>
        <v/>
      </c>
      <c r="Z281" s="32">
        <f>IF($C281="","",IF(COUNTA($U281:$W281)&lt;3,"",IF(AND($U281="מפותח",$V281="מפותח",$W281="מפותחת"),"מפותחת",IF((--($U281="דל"))+(--($V281="אינו מפותח"))+(--($W281="דלה"))&gt;=2,"אינה מפותחת","חלקית"))))</f>
        <v/>
      </c>
      <c r="AA281" s="32">
        <f>IF($C281="","",IF(COUNTA($M281,$N281,$O281)&lt;3,"— חסרים נתונים",IF(OR($M281="נמוכה",(--($M281&lt;&gt;"תקינה"))+(--($N281&lt;&gt;"תקין"))+(--($O281&lt;&gt;"תקינה"))&gt;=2),"ניכרת","אינה ניכרת")))</f>
        <v/>
      </c>
      <c r="AB281" s="32">
        <f>IF(OR($C281="",$Y281="",$AA281="",LEFT($Y281,1)="—",LEFT($AA281,1)="—"),"",IF($Z281="","— נדרשת הערכת כתיבה",IF($L281="","— חסרה הבנת הנקרא",IF($Y281="אינה מדויקת או מקוטעת",IF($AA281="ניכרת","מיקוד בשטף הקריאה ובכישורי שפה","מיקוד בשטף קריאה"),IF($AA281="ניכרת","מיקוד בכישורי שפה",IF(AND($L281="תקינה",$Z281="מפותחת"),"קוראים וכותבים מיומנים","מיקוד בהבנה והבעה"))))))</f>
        <v/>
      </c>
      <c r="AC281" s="32">
        <f>IF(OR($AB281="",LEFT($AB281,1)="—"),"",IF(OR($AB281="מיקוד בשטף קריאה",$AB281="מיקוד בשטף הקריאה ובכישורי שפה"),"רמה א'",IF($AB281="קוראים וכותבים מיומנים","רמה ג'","רמה ב'")))</f>
        <v/>
      </c>
      <c r="AD281" s="32">
        <f>IF($AC281="","",MID(IF(AND($AC281="רמה א'",$AA281="ניכרת"),"; להוסיף עבודת אוצר מילים","")&amp;IF($Z281="אינה מפותחת","; דגש על הבעה בכתב","")&amp;IF($K281&lt;&gt;"תקין","; נדרש לעבוד על ההנגנה","")&amp;IF($AK281&lt;&gt;"","; "&amp;$AK281,""),3,400))</f>
        <v/>
      </c>
      <c r="AE281" s="32">
        <f>IF($F281="","",IF($F281="תחילת שנה",1,IF($F281="מחצית שנה",2,3)))</f>
        <v/>
      </c>
      <c r="AF281" s="32">
        <f>IF(OR($B281="",$AC281="",$A281="",$F281=""),"",$B281&amp;"|"&amp;$A281&amp;"|"&amp;$F281&amp;"|"&amp;$AC281&amp;"|"&amp;COUNTIFS($B$6:$B281,$B281,$A$6:$A281,$A281,$F$6:$F281,$F281,$AC$6:$AC281,$AC281))</f>
        <v/>
      </c>
      <c r="AG281" s="32">
        <f>IF($C281="","",$C281&amp;"|"&amp;COUNTIFS($C$6:$C281,$C281))</f>
        <v/>
      </c>
      <c r="AH281" s="32">
        <f>IF(OR($C281="",$A281="",$AE281=""),"",$C281&amp;"|"&amp;$A281&amp;"|"&amp;$AE281)</f>
        <v/>
      </c>
      <c r="AI281" s="32">
        <f>IF(OR($C281="",$AE281="",$AE281=1),"",IFERROR(INDEX($AC$6:$AC$1505,MATCH($C281&amp;"|"&amp;$A281&amp;"|"&amp;($AE281-1),$AH$6:$AH$1505,0)),""))</f>
        <v/>
      </c>
      <c r="AJ281" s="32">
        <f>IF(OR($AI281="",$AC281=""),"",IF($AI281=$AC281,"ללא שינוי","מ-"&amp;$AI281&amp;" ל-"&amp;$AC281))</f>
        <v/>
      </c>
      <c r="AK281" s="67" t="n"/>
    </row>
    <row r="282" ht="15.75" customHeight="1" s="58">
      <c r="A282" s="65" t="n"/>
      <c r="B282" s="65" t="n"/>
      <c r="C282" s="66" t="n"/>
      <c r="D282" s="66" t="n"/>
      <c r="E282" s="65" t="n"/>
      <c r="F282" s="65" t="n"/>
      <c r="G282" s="65" t="n"/>
      <c r="H282" s="65" t="n"/>
      <c r="I282" s="65" t="n"/>
      <c r="J282" s="65" t="n"/>
      <c r="K282" s="65" t="n"/>
      <c r="L282" s="65" t="n"/>
      <c r="M282" s="65" t="n"/>
      <c r="N282" s="65" t="n"/>
      <c r="O282" s="65" t="n"/>
      <c r="P282" s="65" t="n"/>
      <c r="Q282" s="65" t="n"/>
      <c r="R282" s="65" t="n"/>
      <c r="S282" s="65" t="n"/>
      <c r="T282" s="65" t="n"/>
      <c r="U282" s="65" t="n"/>
      <c r="V282" s="65" t="n"/>
      <c r="W282" s="65" t="n"/>
      <c r="X282" s="65" t="n"/>
      <c r="Y282" s="32">
        <f>IF($C282="","",IF(COUNTA($I282:$K282)&lt;3,"— חסרים נתונים",IF(AND($I282="תקין",$J282="תקין",$K282="תקין"),"רהוטה",IF(AND($I282="תקין",$J282="תקין"),"מדויקת ורציפה","אינה מדויקת או מקוטעת"))))</f>
        <v/>
      </c>
      <c r="Z282" s="32">
        <f>IF($C282="","",IF(COUNTA($U282:$W282)&lt;3,"",IF(AND($U282="מפותח",$V282="מפותח",$W282="מפותחת"),"מפותחת",IF((--($U282="דל"))+(--($V282="אינו מפותח"))+(--($W282="דלה"))&gt;=2,"אינה מפותחת","חלקית"))))</f>
        <v/>
      </c>
      <c r="AA282" s="32">
        <f>IF($C282="","",IF(COUNTA($M282,$N282,$O282)&lt;3,"— חסרים נתונים",IF(OR($M282="נמוכה",(--($M282&lt;&gt;"תקינה"))+(--($N282&lt;&gt;"תקין"))+(--($O282&lt;&gt;"תקינה"))&gt;=2),"ניכרת","אינה ניכרת")))</f>
        <v/>
      </c>
      <c r="AB282" s="32">
        <f>IF(OR($C282="",$Y282="",$AA282="",LEFT($Y282,1)="—",LEFT($AA282,1)="—"),"",IF($Z282="","— נדרשת הערכת כתיבה",IF($L282="","— חסרה הבנת הנקרא",IF($Y282="אינה מדויקת או מקוטעת",IF($AA282="ניכרת","מיקוד בשטף הקריאה ובכישורי שפה","מיקוד בשטף קריאה"),IF($AA282="ניכרת","מיקוד בכישורי שפה",IF(AND($L282="תקינה",$Z282="מפותחת"),"קוראים וכותבים מיומנים","מיקוד בהבנה והבעה"))))))</f>
        <v/>
      </c>
      <c r="AC282" s="32">
        <f>IF(OR($AB282="",LEFT($AB282,1)="—"),"",IF(OR($AB282="מיקוד בשטף קריאה",$AB282="מיקוד בשטף הקריאה ובכישורי שפה"),"רמה א'",IF($AB282="קוראים וכותבים מיומנים","רמה ג'","רמה ב'")))</f>
        <v/>
      </c>
      <c r="AD282" s="32">
        <f>IF($AC282="","",MID(IF(AND($AC282="רמה א'",$AA282="ניכרת"),"; להוסיף עבודת אוצר מילים","")&amp;IF($Z282="אינה מפותחת","; דגש על הבעה בכתב","")&amp;IF($K282&lt;&gt;"תקין","; נדרש לעבוד על ההנגנה","")&amp;IF($AK282&lt;&gt;"","; "&amp;$AK282,""),3,400))</f>
        <v/>
      </c>
      <c r="AE282" s="32">
        <f>IF($F282="","",IF($F282="תחילת שנה",1,IF($F282="מחצית שנה",2,3)))</f>
        <v/>
      </c>
      <c r="AF282" s="32">
        <f>IF(OR($B282="",$AC282="",$A282="",$F282=""),"",$B282&amp;"|"&amp;$A282&amp;"|"&amp;$F282&amp;"|"&amp;$AC282&amp;"|"&amp;COUNTIFS($B$6:$B282,$B282,$A$6:$A282,$A282,$F$6:$F282,$F282,$AC$6:$AC282,$AC282))</f>
        <v/>
      </c>
      <c r="AG282" s="32">
        <f>IF($C282="","",$C282&amp;"|"&amp;COUNTIFS($C$6:$C282,$C282))</f>
        <v/>
      </c>
      <c r="AH282" s="32">
        <f>IF(OR($C282="",$A282="",$AE282=""),"",$C282&amp;"|"&amp;$A282&amp;"|"&amp;$AE282)</f>
        <v/>
      </c>
      <c r="AI282" s="32">
        <f>IF(OR($C282="",$AE282="",$AE282=1),"",IFERROR(INDEX($AC$6:$AC$1505,MATCH($C282&amp;"|"&amp;$A282&amp;"|"&amp;($AE282-1),$AH$6:$AH$1505,0)),""))</f>
        <v/>
      </c>
      <c r="AJ282" s="32">
        <f>IF(OR($AI282="",$AC282=""),"",IF($AI282=$AC282,"ללא שינוי","מ-"&amp;$AI282&amp;" ל-"&amp;$AC282))</f>
        <v/>
      </c>
      <c r="AK282" s="67" t="n"/>
    </row>
    <row r="283" ht="15.75" customHeight="1" s="58">
      <c r="A283" s="65" t="n"/>
      <c r="B283" s="65" t="n"/>
      <c r="C283" s="66" t="n"/>
      <c r="D283" s="66" t="n"/>
      <c r="E283" s="65" t="n"/>
      <c r="F283" s="65" t="n"/>
      <c r="G283" s="65" t="n"/>
      <c r="H283" s="65" t="n"/>
      <c r="I283" s="65" t="n"/>
      <c r="J283" s="65" t="n"/>
      <c r="K283" s="65" t="n"/>
      <c r="L283" s="65" t="n"/>
      <c r="M283" s="65" t="n"/>
      <c r="N283" s="65" t="n"/>
      <c r="O283" s="65" t="n"/>
      <c r="P283" s="65" t="n"/>
      <c r="Q283" s="65" t="n"/>
      <c r="R283" s="65" t="n"/>
      <c r="S283" s="65" t="n"/>
      <c r="T283" s="65" t="n"/>
      <c r="U283" s="65" t="n"/>
      <c r="V283" s="65" t="n"/>
      <c r="W283" s="65" t="n"/>
      <c r="X283" s="65" t="n"/>
      <c r="Y283" s="32">
        <f>IF($C283="","",IF(COUNTA($I283:$K283)&lt;3,"— חסרים נתונים",IF(AND($I283="תקין",$J283="תקין",$K283="תקין"),"רהוטה",IF(AND($I283="תקין",$J283="תקין"),"מדויקת ורציפה","אינה מדויקת או מקוטעת"))))</f>
        <v/>
      </c>
      <c r="Z283" s="32">
        <f>IF($C283="","",IF(COUNTA($U283:$W283)&lt;3,"",IF(AND($U283="מפותח",$V283="מפותח",$W283="מפותחת"),"מפותחת",IF((--($U283="דל"))+(--($V283="אינו מפותח"))+(--($W283="דלה"))&gt;=2,"אינה מפותחת","חלקית"))))</f>
        <v/>
      </c>
      <c r="AA283" s="32">
        <f>IF($C283="","",IF(COUNTA($M283,$N283,$O283)&lt;3,"— חסרים נתונים",IF(OR($M283="נמוכה",(--($M283&lt;&gt;"תקינה"))+(--($N283&lt;&gt;"תקין"))+(--($O283&lt;&gt;"תקינה"))&gt;=2),"ניכרת","אינה ניכרת")))</f>
        <v/>
      </c>
      <c r="AB283" s="32">
        <f>IF(OR($C283="",$Y283="",$AA283="",LEFT($Y283,1)="—",LEFT($AA283,1)="—"),"",IF($Z283="","— נדרשת הערכת כתיבה",IF($L283="","— חסרה הבנת הנקרא",IF($Y283="אינה מדויקת או מקוטעת",IF($AA283="ניכרת","מיקוד בשטף הקריאה ובכישורי שפה","מיקוד בשטף קריאה"),IF($AA283="ניכרת","מיקוד בכישורי שפה",IF(AND($L283="תקינה",$Z283="מפותחת"),"קוראים וכותבים מיומנים","מיקוד בהבנה והבעה"))))))</f>
        <v/>
      </c>
      <c r="AC283" s="32">
        <f>IF(OR($AB283="",LEFT($AB283,1)="—"),"",IF(OR($AB283="מיקוד בשטף קריאה",$AB283="מיקוד בשטף הקריאה ובכישורי שפה"),"רמה א'",IF($AB283="קוראים וכותבים מיומנים","רמה ג'","רמה ב'")))</f>
        <v/>
      </c>
      <c r="AD283" s="32">
        <f>IF($AC283="","",MID(IF(AND($AC283="רמה א'",$AA283="ניכרת"),"; להוסיף עבודת אוצר מילים","")&amp;IF($Z283="אינה מפותחת","; דגש על הבעה בכתב","")&amp;IF($K283&lt;&gt;"תקין","; נדרש לעבוד על ההנגנה","")&amp;IF($AK283&lt;&gt;"","; "&amp;$AK283,""),3,400))</f>
        <v/>
      </c>
      <c r="AE283" s="32">
        <f>IF($F283="","",IF($F283="תחילת שנה",1,IF($F283="מחצית שנה",2,3)))</f>
        <v/>
      </c>
      <c r="AF283" s="32">
        <f>IF(OR($B283="",$AC283="",$A283="",$F283=""),"",$B283&amp;"|"&amp;$A283&amp;"|"&amp;$F283&amp;"|"&amp;$AC283&amp;"|"&amp;COUNTIFS($B$6:$B283,$B283,$A$6:$A283,$A283,$F$6:$F283,$F283,$AC$6:$AC283,$AC283))</f>
        <v/>
      </c>
      <c r="AG283" s="32">
        <f>IF($C283="","",$C283&amp;"|"&amp;COUNTIFS($C$6:$C283,$C283))</f>
        <v/>
      </c>
      <c r="AH283" s="32">
        <f>IF(OR($C283="",$A283="",$AE283=""),"",$C283&amp;"|"&amp;$A283&amp;"|"&amp;$AE283)</f>
        <v/>
      </c>
      <c r="AI283" s="32">
        <f>IF(OR($C283="",$AE283="",$AE283=1),"",IFERROR(INDEX($AC$6:$AC$1505,MATCH($C283&amp;"|"&amp;$A283&amp;"|"&amp;($AE283-1),$AH$6:$AH$1505,0)),""))</f>
        <v/>
      </c>
      <c r="AJ283" s="32">
        <f>IF(OR($AI283="",$AC283=""),"",IF($AI283=$AC283,"ללא שינוי","מ-"&amp;$AI283&amp;" ל-"&amp;$AC283))</f>
        <v/>
      </c>
      <c r="AK283" s="67" t="n"/>
    </row>
    <row r="284" ht="15.75" customHeight="1" s="58">
      <c r="A284" s="65" t="n"/>
      <c r="B284" s="65" t="n"/>
      <c r="C284" s="66" t="n"/>
      <c r="D284" s="66" t="n"/>
      <c r="E284" s="65" t="n"/>
      <c r="F284" s="65" t="n"/>
      <c r="G284" s="65" t="n"/>
      <c r="H284" s="65" t="n"/>
      <c r="I284" s="65" t="n"/>
      <c r="J284" s="65" t="n"/>
      <c r="K284" s="65" t="n"/>
      <c r="L284" s="65" t="n"/>
      <c r="M284" s="65" t="n"/>
      <c r="N284" s="65" t="n"/>
      <c r="O284" s="65" t="n"/>
      <c r="P284" s="65" t="n"/>
      <c r="Q284" s="65" t="n"/>
      <c r="R284" s="65" t="n"/>
      <c r="S284" s="65" t="n"/>
      <c r="T284" s="65" t="n"/>
      <c r="U284" s="65" t="n"/>
      <c r="V284" s="65" t="n"/>
      <c r="W284" s="65" t="n"/>
      <c r="X284" s="65" t="n"/>
      <c r="Y284" s="32">
        <f>IF($C284="","",IF(COUNTA($I284:$K284)&lt;3,"— חסרים נתונים",IF(AND($I284="תקין",$J284="תקין",$K284="תקין"),"רהוטה",IF(AND($I284="תקין",$J284="תקין"),"מדויקת ורציפה","אינה מדויקת או מקוטעת"))))</f>
        <v/>
      </c>
      <c r="Z284" s="32">
        <f>IF($C284="","",IF(COUNTA($U284:$W284)&lt;3,"",IF(AND($U284="מפותח",$V284="מפותח",$W284="מפותחת"),"מפותחת",IF((--($U284="דל"))+(--($V284="אינו מפותח"))+(--($W284="דלה"))&gt;=2,"אינה מפותחת","חלקית"))))</f>
        <v/>
      </c>
      <c r="AA284" s="32">
        <f>IF($C284="","",IF(COUNTA($M284,$N284,$O284)&lt;3,"— חסרים נתונים",IF(OR($M284="נמוכה",(--($M284&lt;&gt;"תקינה"))+(--($N284&lt;&gt;"תקין"))+(--($O284&lt;&gt;"תקינה"))&gt;=2),"ניכרת","אינה ניכרת")))</f>
        <v/>
      </c>
      <c r="AB284" s="32">
        <f>IF(OR($C284="",$Y284="",$AA284="",LEFT($Y284,1)="—",LEFT($AA284,1)="—"),"",IF($Z284="","— נדרשת הערכת כתיבה",IF($L284="","— חסרה הבנת הנקרא",IF($Y284="אינה מדויקת או מקוטעת",IF($AA284="ניכרת","מיקוד בשטף הקריאה ובכישורי שפה","מיקוד בשטף קריאה"),IF($AA284="ניכרת","מיקוד בכישורי שפה",IF(AND($L284="תקינה",$Z284="מפותחת"),"קוראים וכותבים מיומנים","מיקוד בהבנה והבעה"))))))</f>
        <v/>
      </c>
      <c r="AC284" s="32">
        <f>IF(OR($AB284="",LEFT($AB284,1)="—"),"",IF(OR($AB284="מיקוד בשטף קריאה",$AB284="מיקוד בשטף הקריאה ובכישורי שפה"),"רמה א'",IF($AB284="קוראים וכותבים מיומנים","רמה ג'","רמה ב'")))</f>
        <v/>
      </c>
      <c r="AD284" s="32">
        <f>IF($AC284="","",MID(IF(AND($AC284="רמה א'",$AA284="ניכרת"),"; להוסיף עבודת אוצר מילים","")&amp;IF($Z284="אינה מפותחת","; דגש על הבעה בכתב","")&amp;IF($K284&lt;&gt;"תקין","; נדרש לעבוד על ההנגנה","")&amp;IF($AK284&lt;&gt;"","; "&amp;$AK284,""),3,400))</f>
        <v/>
      </c>
      <c r="AE284" s="32">
        <f>IF($F284="","",IF($F284="תחילת שנה",1,IF($F284="מחצית שנה",2,3)))</f>
        <v/>
      </c>
      <c r="AF284" s="32">
        <f>IF(OR($B284="",$AC284="",$A284="",$F284=""),"",$B284&amp;"|"&amp;$A284&amp;"|"&amp;$F284&amp;"|"&amp;$AC284&amp;"|"&amp;COUNTIFS($B$6:$B284,$B284,$A$6:$A284,$A284,$F$6:$F284,$F284,$AC$6:$AC284,$AC284))</f>
        <v/>
      </c>
      <c r="AG284" s="32">
        <f>IF($C284="","",$C284&amp;"|"&amp;COUNTIFS($C$6:$C284,$C284))</f>
        <v/>
      </c>
      <c r="AH284" s="32">
        <f>IF(OR($C284="",$A284="",$AE284=""),"",$C284&amp;"|"&amp;$A284&amp;"|"&amp;$AE284)</f>
        <v/>
      </c>
      <c r="AI284" s="32">
        <f>IF(OR($C284="",$AE284="",$AE284=1),"",IFERROR(INDEX($AC$6:$AC$1505,MATCH($C284&amp;"|"&amp;$A284&amp;"|"&amp;($AE284-1),$AH$6:$AH$1505,0)),""))</f>
        <v/>
      </c>
      <c r="AJ284" s="32">
        <f>IF(OR($AI284="",$AC284=""),"",IF($AI284=$AC284,"ללא שינוי","מ-"&amp;$AI284&amp;" ל-"&amp;$AC284))</f>
        <v/>
      </c>
      <c r="AK284" s="67" t="n"/>
    </row>
    <row r="285" ht="15.75" customHeight="1" s="58">
      <c r="A285" s="65" t="n"/>
      <c r="B285" s="65" t="n"/>
      <c r="C285" s="66" t="n"/>
      <c r="D285" s="66" t="n"/>
      <c r="E285" s="65" t="n"/>
      <c r="F285" s="65" t="n"/>
      <c r="G285" s="65" t="n"/>
      <c r="H285" s="65" t="n"/>
      <c r="I285" s="65" t="n"/>
      <c r="J285" s="65" t="n"/>
      <c r="K285" s="65" t="n"/>
      <c r="L285" s="65" t="n"/>
      <c r="M285" s="65" t="n"/>
      <c r="N285" s="65" t="n"/>
      <c r="O285" s="65" t="n"/>
      <c r="P285" s="65" t="n"/>
      <c r="Q285" s="65" t="n"/>
      <c r="R285" s="65" t="n"/>
      <c r="S285" s="65" t="n"/>
      <c r="T285" s="65" t="n"/>
      <c r="U285" s="65" t="n"/>
      <c r="V285" s="65" t="n"/>
      <c r="W285" s="65" t="n"/>
      <c r="X285" s="65" t="n"/>
      <c r="Y285" s="32">
        <f>IF($C285="","",IF(COUNTA($I285:$K285)&lt;3,"— חסרים נתונים",IF(AND($I285="תקין",$J285="תקין",$K285="תקין"),"רהוטה",IF(AND($I285="תקין",$J285="תקין"),"מדויקת ורציפה","אינה מדויקת או מקוטעת"))))</f>
        <v/>
      </c>
      <c r="Z285" s="32">
        <f>IF($C285="","",IF(COUNTA($U285:$W285)&lt;3,"",IF(AND($U285="מפותח",$V285="מפותח",$W285="מפותחת"),"מפותחת",IF((--($U285="דל"))+(--($V285="אינו מפותח"))+(--($W285="דלה"))&gt;=2,"אינה מפותחת","חלקית"))))</f>
        <v/>
      </c>
      <c r="AA285" s="32">
        <f>IF($C285="","",IF(COUNTA($M285,$N285,$O285)&lt;3,"— חסרים נתונים",IF(OR($M285="נמוכה",(--($M285&lt;&gt;"תקינה"))+(--($N285&lt;&gt;"תקין"))+(--($O285&lt;&gt;"תקינה"))&gt;=2),"ניכרת","אינה ניכרת")))</f>
        <v/>
      </c>
      <c r="AB285" s="32">
        <f>IF(OR($C285="",$Y285="",$AA285="",LEFT($Y285,1)="—",LEFT($AA285,1)="—"),"",IF($Z285="","— נדרשת הערכת כתיבה",IF($L285="","— חסרה הבנת הנקרא",IF($Y285="אינה מדויקת או מקוטעת",IF($AA285="ניכרת","מיקוד בשטף הקריאה ובכישורי שפה","מיקוד בשטף קריאה"),IF($AA285="ניכרת","מיקוד בכישורי שפה",IF(AND($L285="תקינה",$Z285="מפותחת"),"קוראים וכותבים מיומנים","מיקוד בהבנה והבעה"))))))</f>
        <v/>
      </c>
      <c r="AC285" s="32">
        <f>IF(OR($AB285="",LEFT($AB285,1)="—"),"",IF(OR($AB285="מיקוד בשטף קריאה",$AB285="מיקוד בשטף הקריאה ובכישורי שפה"),"רמה א'",IF($AB285="קוראים וכותבים מיומנים","רמה ג'","רמה ב'")))</f>
        <v/>
      </c>
      <c r="AD285" s="32">
        <f>IF($AC285="","",MID(IF(AND($AC285="רמה א'",$AA285="ניכרת"),"; להוסיף עבודת אוצר מילים","")&amp;IF($Z285="אינה מפותחת","; דגש על הבעה בכתב","")&amp;IF($K285&lt;&gt;"תקין","; נדרש לעבוד על ההנגנה","")&amp;IF($AK285&lt;&gt;"","; "&amp;$AK285,""),3,400))</f>
        <v/>
      </c>
      <c r="AE285" s="32">
        <f>IF($F285="","",IF($F285="תחילת שנה",1,IF($F285="מחצית שנה",2,3)))</f>
        <v/>
      </c>
      <c r="AF285" s="32">
        <f>IF(OR($B285="",$AC285="",$A285="",$F285=""),"",$B285&amp;"|"&amp;$A285&amp;"|"&amp;$F285&amp;"|"&amp;$AC285&amp;"|"&amp;COUNTIFS($B$6:$B285,$B285,$A$6:$A285,$A285,$F$6:$F285,$F285,$AC$6:$AC285,$AC285))</f>
        <v/>
      </c>
      <c r="AG285" s="32">
        <f>IF($C285="","",$C285&amp;"|"&amp;COUNTIFS($C$6:$C285,$C285))</f>
        <v/>
      </c>
      <c r="AH285" s="32">
        <f>IF(OR($C285="",$A285="",$AE285=""),"",$C285&amp;"|"&amp;$A285&amp;"|"&amp;$AE285)</f>
        <v/>
      </c>
      <c r="AI285" s="32">
        <f>IF(OR($C285="",$AE285="",$AE285=1),"",IFERROR(INDEX($AC$6:$AC$1505,MATCH($C285&amp;"|"&amp;$A285&amp;"|"&amp;($AE285-1),$AH$6:$AH$1505,0)),""))</f>
        <v/>
      </c>
      <c r="AJ285" s="32">
        <f>IF(OR($AI285="",$AC285=""),"",IF($AI285=$AC285,"ללא שינוי","מ-"&amp;$AI285&amp;" ל-"&amp;$AC285))</f>
        <v/>
      </c>
      <c r="AK285" s="67" t="n"/>
    </row>
    <row r="286" ht="15.75" customHeight="1" s="58">
      <c r="A286" s="65" t="n"/>
      <c r="B286" s="65" t="n"/>
      <c r="C286" s="66" t="n"/>
      <c r="D286" s="66" t="n"/>
      <c r="E286" s="65" t="n"/>
      <c r="F286" s="65" t="n"/>
      <c r="G286" s="65" t="n"/>
      <c r="H286" s="65" t="n"/>
      <c r="I286" s="65" t="n"/>
      <c r="J286" s="65" t="n"/>
      <c r="K286" s="65" t="n"/>
      <c r="L286" s="65" t="n"/>
      <c r="M286" s="65" t="n"/>
      <c r="N286" s="65" t="n"/>
      <c r="O286" s="65" t="n"/>
      <c r="P286" s="65" t="n"/>
      <c r="Q286" s="65" t="n"/>
      <c r="R286" s="65" t="n"/>
      <c r="S286" s="65" t="n"/>
      <c r="T286" s="65" t="n"/>
      <c r="U286" s="65" t="n"/>
      <c r="V286" s="65" t="n"/>
      <c r="W286" s="65" t="n"/>
      <c r="X286" s="65" t="n"/>
      <c r="Y286" s="32">
        <f>IF($C286="","",IF(COUNTA($I286:$K286)&lt;3,"— חסרים נתונים",IF(AND($I286="תקין",$J286="תקין",$K286="תקין"),"רהוטה",IF(AND($I286="תקין",$J286="תקין"),"מדויקת ורציפה","אינה מדויקת או מקוטעת"))))</f>
        <v/>
      </c>
      <c r="Z286" s="32">
        <f>IF($C286="","",IF(COUNTA($U286:$W286)&lt;3,"",IF(AND($U286="מפותח",$V286="מפותח",$W286="מפותחת"),"מפותחת",IF((--($U286="דל"))+(--($V286="אינו מפותח"))+(--($W286="דלה"))&gt;=2,"אינה מפותחת","חלקית"))))</f>
        <v/>
      </c>
      <c r="AA286" s="32">
        <f>IF($C286="","",IF(COUNTA($M286,$N286,$O286)&lt;3,"— חסרים נתונים",IF(OR($M286="נמוכה",(--($M286&lt;&gt;"תקינה"))+(--($N286&lt;&gt;"תקין"))+(--($O286&lt;&gt;"תקינה"))&gt;=2),"ניכרת","אינה ניכרת")))</f>
        <v/>
      </c>
      <c r="AB286" s="32">
        <f>IF(OR($C286="",$Y286="",$AA286="",LEFT($Y286,1)="—",LEFT($AA286,1)="—"),"",IF($Z286="","— נדרשת הערכת כתיבה",IF($L286="","— חסרה הבנת הנקרא",IF($Y286="אינה מדויקת או מקוטעת",IF($AA286="ניכרת","מיקוד בשטף הקריאה ובכישורי שפה","מיקוד בשטף קריאה"),IF($AA286="ניכרת","מיקוד בכישורי שפה",IF(AND($L286="תקינה",$Z286="מפותחת"),"קוראים וכותבים מיומנים","מיקוד בהבנה והבעה"))))))</f>
        <v/>
      </c>
      <c r="AC286" s="32">
        <f>IF(OR($AB286="",LEFT($AB286,1)="—"),"",IF(OR($AB286="מיקוד בשטף קריאה",$AB286="מיקוד בשטף הקריאה ובכישורי שפה"),"רמה א'",IF($AB286="קוראים וכותבים מיומנים","רמה ג'","רמה ב'")))</f>
        <v/>
      </c>
      <c r="AD286" s="32">
        <f>IF($AC286="","",MID(IF(AND($AC286="רמה א'",$AA286="ניכרת"),"; להוסיף עבודת אוצר מילים","")&amp;IF($Z286="אינה מפותחת","; דגש על הבעה בכתב","")&amp;IF($K286&lt;&gt;"תקין","; נדרש לעבוד על ההנגנה","")&amp;IF($AK286&lt;&gt;"","; "&amp;$AK286,""),3,400))</f>
        <v/>
      </c>
      <c r="AE286" s="32">
        <f>IF($F286="","",IF($F286="תחילת שנה",1,IF($F286="מחצית שנה",2,3)))</f>
        <v/>
      </c>
      <c r="AF286" s="32">
        <f>IF(OR($B286="",$AC286="",$A286="",$F286=""),"",$B286&amp;"|"&amp;$A286&amp;"|"&amp;$F286&amp;"|"&amp;$AC286&amp;"|"&amp;COUNTIFS($B$6:$B286,$B286,$A$6:$A286,$A286,$F$6:$F286,$F286,$AC$6:$AC286,$AC286))</f>
        <v/>
      </c>
      <c r="AG286" s="32">
        <f>IF($C286="","",$C286&amp;"|"&amp;COUNTIFS($C$6:$C286,$C286))</f>
        <v/>
      </c>
      <c r="AH286" s="32">
        <f>IF(OR($C286="",$A286="",$AE286=""),"",$C286&amp;"|"&amp;$A286&amp;"|"&amp;$AE286)</f>
        <v/>
      </c>
      <c r="AI286" s="32">
        <f>IF(OR($C286="",$AE286="",$AE286=1),"",IFERROR(INDEX($AC$6:$AC$1505,MATCH($C286&amp;"|"&amp;$A286&amp;"|"&amp;($AE286-1),$AH$6:$AH$1505,0)),""))</f>
        <v/>
      </c>
      <c r="AJ286" s="32">
        <f>IF(OR($AI286="",$AC286=""),"",IF($AI286=$AC286,"ללא שינוי","מ-"&amp;$AI286&amp;" ל-"&amp;$AC286))</f>
        <v/>
      </c>
      <c r="AK286" s="67" t="n"/>
    </row>
    <row r="287" ht="15.75" customHeight="1" s="58">
      <c r="A287" s="65" t="n"/>
      <c r="B287" s="65" t="n"/>
      <c r="C287" s="66" t="n"/>
      <c r="D287" s="66" t="n"/>
      <c r="E287" s="65" t="n"/>
      <c r="F287" s="65" t="n"/>
      <c r="G287" s="65" t="n"/>
      <c r="H287" s="65" t="n"/>
      <c r="I287" s="65" t="n"/>
      <c r="J287" s="65" t="n"/>
      <c r="K287" s="65" t="n"/>
      <c r="L287" s="65" t="n"/>
      <c r="M287" s="65" t="n"/>
      <c r="N287" s="65" t="n"/>
      <c r="O287" s="65" t="n"/>
      <c r="P287" s="65" t="n"/>
      <c r="Q287" s="65" t="n"/>
      <c r="R287" s="65" t="n"/>
      <c r="S287" s="65" t="n"/>
      <c r="T287" s="65" t="n"/>
      <c r="U287" s="65" t="n"/>
      <c r="V287" s="65" t="n"/>
      <c r="W287" s="65" t="n"/>
      <c r="X287" s="65" t="n"/>
      <c r="Y287" s="32">
        <f>IF($C287="","",IF(COUNTA($I287:$K287)&lt;3,"— חסרים נתונים",IF(AND($I287="תקין",$J287="תקין",$K287="תקין"),"רהוטה",IF(AND($I287="תקין",$J287="תקין"),"מדויקת ורציפה","אינה מדויקת או מקוטעת"))))</f>
        <v/>
      </c>
      <c r="Z287" s="32">
        <f>IF($C287="","",IF(COUNTA($U287:$W287)&lt;3,"",IF(AND($U287="מפותח",$V287="מפותח",$W287="מפותחת"),"מפותחת",IF((--($U287="דל"))+(--($V287="אינו מפותח"))+(--($W287="דלה"))&gt;=2,"אינה מפותחת","חלקית"))))</f>
        <v/>
      </c>
      <c r="AA287" s="32">
        <f>IF($C287="","",IF(COUNTA($M287,$N287,$O287)&lt;3,"— חסרים נתונים",IF(OR($M287="נמוכה",(--($M287&lt;&gt;"תקינה"))+(--($N287&lt;&gt;"תקין"))+(--($O287&lt;&gt;"תקינה"))&gt;=2),"ניכרת","אינה ניכרת")))</f>
        <v/>
      </c>
      <c r="AB287" s="32">
        <f>IF(OR($C287="",$Y287="",$AA287="",LEFT($Y287,1)="—",LEFT($AA287,1)="—"),"",IF($Z287="","— נדרשת הערכת כתיבה",IF($L287="","— חסרה הבנת הנקרא",IF($Y287="אינה מדויקת או מקוטעת",IF($AA287="ניכרת","מיקוד בשטף הקריאה ובכישורי שפה","מיקוד בשטף קריאה"),IF($AA287="ניכרת","מיקוד בכישורי שפה",IF(AND($L287="תקינה",$Z287="מפותחת"),"קוראים וכותבים מיומנים","מיקוד בהבנה והבעה"))))))</f>
        <v/>
      </c>
      <c r="AC287" s="32">
        <f>IF(OR($AB287="",LEFT($AB287,1)="—"),"",IF(OR($AB287="מיקוד בשטף קריאה",$AB287="מיקוד בשטף הקריאה ובכישורי שפה"),"רמה א'",IF($AB287="קוראים וכותבים מיומנים","רמה ג'","רמה ב'")))</f>
        <v/>
      </c>
      <c r="AD287" s="32">
        <f>IF($AC287="","",MID(IF(AND($AC287="רמה א'",$AA287="ניכרת"),"; להוסיף עבודת אוצר מילים","")&amp;IF($Z287="אינה מפותחת","; דגש על הבעה בכתב","")&amp;IF($K287&lt;&gt;"תקין","; נדרש לעבוד על ההנגנה","")&amp;IF($AK287&lt;&gt;"","; "&amp;$AK287,""),3,400))</f>
        <v/>
      </c>
      <c r="AE287" s="32">
        <f>IF($F287="","",IF($F287="תחילת שנה",1,IF($F287="מחצית שנה",2,3)))</f>
        <v/>
      </c>
      <c r="AF287" s="32">
        <f>IF(OR($B287="",$AC287="",$A287="",$F287=""),"",$B287&amp;"|"&amp;$A287&amp;"|"&amp;$F287&amp;"|"&amp;$AC287&amp;"|"&amp;COUNTIFS($B$6:$B287,$B287,$A$6:$A287,$A287,$F$6:$F287,$F287,$AC$6:$AC287,$AC287))</f>
        <v/>
      </c>
      <c r="AG287" s="32">
        <f>IF($C287="","",$C287&amp;"|"&amp;COUNTIFS($C$6:$C287,$C287))</f>
        <v/>
      </c>
      <c r="AH287" s="32">
        <f>IF(OR($C287="",$A287="",$AE287=""),"",$C287&amp;"|"&amp;$A287&amp;"|"&amp;$AE287)</f>
        <v/>
      </c>
      <c r="AI287" s="32">
        <f>IF(OR($C287="",$AE287="",$AE287=1),"",IFERROR(INDEX($AC$6:$AC$1505,MATCH($C287&amp;"|"&amp;$A287&amp;"|"&amp;($AE287-1),$AH$6:$AH$1505,0)),""))</f>
        <v/>
      </c>
      <c r="AJ287" s="32">
        <f>IF(OR($AI287="",$AC287=""),"",IF($AI287=$AC287,"ללא שינוי","מ-"&amp;$AI287&amp;" ל-"&amp;$AC287))</f>
        <v/>
      </c>
      <c r="AK287" s="67" t="n"/>
    </row>
    <row r="288" ht="15.75" customHeight="1" s="58">
      <c r="A288" s="65" t="n"/>
      <c r="B288" s="65" t="n"/>
      <c r="C288" s="66" t="n"/>
      <c r="D288" s="66" t="n"/>
      <c r="E288" s="65" t="n"/>
      <c r="F288" s="65" t="n"/>
      <c r="G288" s="65" t="n"/>
      <c r="H288" s="65" t="n"/>
      <c r="I288" s="65" t="n"/>
      <c r="J288" s="65" t="n"/>
      <c r="K288" s="65" t="n"/>
      <c r="L288" s="65" t="n"/>
      <c r="M288" s="65" t="n"/>
      <c r="N288" s="65" t="n"/>
      <c r="O288" s="65" t="n"/>
      <c r="P288" s="65" t="n"/>
      <c r="Q288" s="65" t="n"/>
      <c r="R288" s="65" t="n"/>
      <c r="S288" s="65" t="n"/>
      <c r="T288" s="65" t="n"/>
      <c r="U288" s="65" t="n"/>
      <c r="V288" s="65" t="n"/>
      <c r="W288" s="65" t="n"/>
      <c r="X288" s="65" t="n"/>
      <c r="Y288" s="32">
        <f>IF($C288="","",IF(COUNTA($I288:$K288)&lt;3,"— חסרים נתונים",IF(AND($I288="תקין",$J288="תקין",$K288="תקין"),"רהוטה",IF(AND($I288="תקין",$J288="תקין"),"מדויקת ורציפה","אינה מדויקת או מקוטעת"))))</f>
        <v/>
      </c>
      <c r="Z288" s="32">
        <f>IF($C288="","",IF(COUNTA($U288:$W288)&lt;3,"",IF(AND($U288="מפותח",$V288="מפותח",$W288="מפותחת"),"מפותחת",IF((--($U288="דל"))+(--($V288="אינו מפותח"))+(--($W288="דלה"))&gt;=2,"אינה מפותחת","חלקית"))))</f>
        <v/>
      </c>
      <c r="AA288" s="32">
        <f>IF($C288="","",IF(COUNTA($M288,$N288,$O288)&lt;3,"— חסרים נתונים",IF(OR($M288="נמוכה",(--($M288&lt;&gt;"תקינה"))+(--($N288&lt;&gt;"תקין"))+(--($O288&lt;&gt;"תקינה"))&gt;=2),"ניכרת","אינה ניכרת")))</f>
        <v/>
      </c>
      <c r="AB288" s="32">
        <f>IF(OR($C288="",$Y288="",$AA288="",LEFT($Y288,1)="—",LEFT($AA288,1)="—"),"",IF($Z288="","— נדרשת הערכת כתיבה",IF($L288="","— חסרה הבנת הנקרא",IF($Y288="אינה מדויקת או מקוטעת",IF($AA288="ניכרת","מיקוד בשטף הקריאה ובכישורי שפה","מיקוד בשטף קריאה"),IF($AA288="ניכרת","מיקוד בכישורי שפה",IF(AND($L288="תקינה",$Z288="מפותחת"),"קוראים וכותבים מיומנים","מיקוד בהבנה והבעה"))))))</f>
        <v/>
      </c>
      <c r="AC288" s="32">
        <f>IF(OR($AB288="",LEFT($AB288,1)="—"),"",IF(OR($AB288="מיקוד בשטף קריאה",$AB288="מיקוד בשטף הקריאה ובכישורי שפה"),"רמה א'",IF($AB288="קוראים וכותבים מיומנים","רמה ג'","רמה ב'")))</f>
        <v/>
      </c>
      <c r="AD288" s="32">
        <f>IF($AC288="","",MID(IF(AND($AC288="רמה א'",$AA288="ניכרת"),"; להוסיף עבודת אוצר מילים","")&amp;IF($Z288="אינה מפותחת","; דגש על הבעה בכתב","")&amp;IF($K288&lt;&gt;"תקין","; נדרש לעבוד על ההנגנה","")&amp;IF($AK288&lt;&gt;"","; "&amp;$AK288,""),3,400))</f>
        <v/>
      </c>
      <c r="AE288" s="32">
        <f>IF($F288="","",IF($F288="תחילת שנה",1,IF($F288="מחצית שנה",2,3)))</f>
        <v/>
      </c>
      <c r="AF288" s="32">
        <f>IF(OR($B288="",$AC288="",$A288="",$F288=""),"",$B288&amp;"|"&amp;$A288&amp;"|"&amp;$F288&amp;"|"&amp;$AC288&amp;"|"&amp;COUNTIFS($B$6:$B288,$B288,$A$6:$A288,$A288,$F$6:$F288,$F288,$AC$6:$AC288,$AC288))</f>
        <v/>
      </c>
      <c r="AG288" s="32">
        <f>IF($C288="","",$C288&amp;"|"&amp;COUNTIFS($C$6:$C288,$C288))</f>
        <v/>
      </c>
      <c r="AH288" s="32">
        <f>IF(OR($C288="",$A288="",$AE288=""),"",$C288&amp;"|"&amp;$A288&amp;"|"&amp;$AE288)</f>
        <v/>
      </c>
      <c r="AI288" s="32">
        <f>IF(OR($C288="",$AE288="",$AE288=1),"",IFERROR(INDEX($AC$6:$AC$1505,MATCH($C288&amp;"|"&amp;$A288&amp;"|"&amp;($AE288-1),$AH$6:$AH$1505,0)),""))</f>
        <v/>
      </c>
      <c r="AJ288" s="32">
        <f>IF(OR($AI288="",$AC288=""),"",IF($AI288=$AC288,"ללא שינוי","מ-"&amp;$AI288&amp;" ל-"&amp;$AC288))</f>
        <v/>
      </c>
      <c r="AK288" s="67" t="n"/>
    </row>
    <row r="289" ht="15.75" customHeight="1" s="58">
      <c r="A289" s="65" t="n"/>
      <c r="B289" s="65" t="n"/>
      <c r="C289" s="66" t="n"/>
      <c r="D289" s="66" t="n"/>
      <c r="E289" s="65" t="n"/>
      <c r="F289" s="65" t="n"/>
      <c r="G289" s="65" t="n"/>
      <c r="H289" s="65" t="n"/>
      <c r="I289" s="65" t="n"/>
      <c r="J289" s="65" t="n"/>
      <c r="K289" s="65" t="n"/>
      <c r="L289" s="65" t="n"/>
      <c r="M289" s="65" t="n"/>
      <c r="N289" s="65" t="n"/>
      <c r="O289" s="65" t="n"/>
      <c r="P289" s="65" t="n"/>
      <c r="Q289" s="65" t="n"/>
      <c r="R289" s="65" t="n"/>
      <c r="S289" s="65" t="n"/>
      <c r="T289" s="65" t="n"/>
      <c r="U289" s="65" t="n"/>
      <c r="V289" s="65" t="n"/>
      <c r="W289" s="65" t="n"/>
      <c r="X289" s="65" t="n"/>
      <c r="Y289" s="32">
        <f>IF($C289="","",IF(COUNTA($I289:$K289)&lt;3,"— חסרים נתונים",IF(AND($I289="תקין",$J289="תקין",$K289="תקין"),"רהוטה",IF(AND($I289="תקין",$J289="תקין"),"מדויקת ורציפה","אינה מדויקת או מקוטעת"))))</f>
        <v/>
      </c>
      <c r="Z289" s="32">
        <f>IF($C289="","",IF(COUNTA($U289:$W289)&lt;3,"",IF(AND($U289="מפותח",$V289="מפותח",$W289="מפותחת"),"מפותחת",IF((--($U289="דל"))+(--($V289="אינו מפותח"))+(--($W289="דלה"))&gt;=2,"אינה מפותחת","חלקית"))))</f>
        <v/>
      </c>
      <c r="AA289" s="32">
        <f>IF($C289="","",IF(COUNTA($M289,$N289,$O289)&lt;3,"— חסרים נתונים",IF(OR($M289="נמוכה",(--($M289&lt;&gt;"תקינה"))+(--($N289&lt;&gt;"תקין"))+(--($O289&lt;&gt;"תקינה"))&gt;=2),"ניכרת","אינה ניכרת")))</f>
        <v/>
      </c>
      <c r="AB289" s="32">
        <f>IF(OR($C289="",$Y289="",$AA289="",LEFT($Y289,1)="—",LEFT($AA289,1)="—"),"",IF($Z289="","— נדרשת הערכת כתיבה",IF($L289="","— חסרה הבנת הנקרא",IF($Y289="אינה מדויקת או מקוטעת",IF($AA289="ניכרת","מיקוד בשטף הקריאה ובכישורי שפה","מיקוד בשטף קריאה"),IF($AA289="ניכרת","מיקוד בכישורי שפה",IF(AND($L289="תקינה",$Z289="מפותחת"),"קוראים וכותבים מיומנים","מיקוד בהבנה והבעה"))))))</f>
        <v/>
      </c>
      <c r="AC289" s="32">
        <f>IF(OR($AB289="",LEFT($AB289,1)="—"),"",IF(OR($AB289="מיקוד בשטף קריאה",$AB289="מיקוד בשטף הקריאה ובכישורי שפה"),"רמה א'",IF($AB289="קוראים וכותבים מיומנים","רמה ג'","רמה ב'")))</f>
        <v/>
      </c>
      <c r="AD289" s="32">
        <f>IF($AC289="","",MID(IF(AND($AC289="רמה א'",$AA289="ניכרת"),"; להוסיף עבודת אוצר מילים","")&amp;IF($Z289="אינה מפותחת","; דגש על הבעה בכתב","")&amp;IF($K289&lt;&gt;"תקין","; נדרש לעבוד על ההנגנה","")&amp;IF($AK289&lt;&gt;"","; "&amp;$AK289,""),3,400))</f>
        <v/>
      </c>
      <c r="AE289" s="32">
        <f>IF($F289="","",IF($F289="תחילת שנה",1,IF($F289="מחצית שנה",2,3)))</f>
        <v/>
      </c>
      <c r="AF289" s="32">
        <f>IF(OR($B289="",$AC289="",$A289="",$F289=""),"",$B289&amp;"|"&amp;$A289&amp;"|"&amp;$F289&amp;"|"&amp;$AC289&amp;"|"&amp;COUNTIFS($B$6:$B289,$B289,$A$6:$A289,$A289,$F$6:$F289,$F289,$AC$6:$AC289,$AC289))</f>
        <v/>
      </c>
      <c r="AG289" s="32">
        <f>IF($C289="","",$C289&amp;"|"&amp;COUNTIFS($C$6:$C289,$C289))</f>
        <v/>
      </c>
      <c r="AH289" s="32">
        <f>IF(OR($C289="",$A289="",$AE289=""),"",$C289&amp;"|"&amp;$A289&amp;"|"&amp;$AE289)</f>
        <v/>
      </c>
      <c r="AI289" s="32">
        <f>IF(OR($C289="",$AE289="",$AE289=1),"",IFERROR(INDEX($AC$6:$AC$1505,MATCH($C289&amp;"|"&amp;$A289&amp;"|"&amp;($AE289-1),$AH$6:$AH$1505,0)),""))</f>
        <v/>
      </c>
      <c r="AJ289" s="32">
        <f>IF(OR($AI289="",$AC289=""),"",IF($AI289=$AC289,"ללא שינוי","מ-"&amp;$AI289&amp;" ל-"&amp;$AC289))</f>
        <v/>
      </c>
      <c r="AK289" s="67" t="n"/>
    </row>
    <row r="290" ht="15.75" customHeight="1" s="58">
      <c r="A290" s="65" t="n"/>
      <c r="B290" s="65" t="n"/>
      <c r="C290" s="66" t="n"/>
      <c r="D290" s="66" t="n"/>
      <c r="E290" s="65" t="n"/>
      <c r="F290" s="65" t="n"/>
      <c r="G290" s="65" t="n"/>
      <c r="H290" s="65" t="n"/>
      <c r="I290" s="65" t="n"/>
      <c r="J290" s="65" t="n"/>
      <c r="K290" s="65" t="n"/>
      <c r="L290" s="65" t="n"/>
      <c r="M290" s="65" t="n"/>
      <c r="N290" s="65" t="n"/>
      <c r="O290" s="65" t="n"/>
      <c r="P290" s="65" t="n"/>
      <c r="Q290" s="65" t="n"/>
      <c r="R290" s="65" t="n"/>
      <c r="S290" s="65" t="n"/>
      <c r="T290" s="65" t="n"/>
      <c r="U290" s="65" t="n"/>
      <c r="V290" s="65" t="n"/>
      <c r="W290" s="65" t="n"/>
      <c r="X290" s="65" t="n"/>
      <c r="Y290" s="32">
        <f>IF($C290="","",IF(COUNTA($I290:$K290)&lt;3,"— חסרים נתונים",IF(AND($I290="תקין",$J290="תקין",$K290="תקין"),"רהוטה",IF(AND($I290="תקין",$J290="תקין"),"מדויקת ורציפה","אינה מדויקת או מקוטעת"))))</f>
        <v/>
      </c>
      <c r="Z290" s="32">
        <f>IF($C290="","",IF(COUNTA($U290:$W290)&lt;3,"",IF(AND($U290="מפותח",$V290="מפותח",$W290="מפותחת"),"מפותחת",IF((--($U290="דל"))+(--($V290="אינו מפותח"))+(--($W290="דלה"))&gt;=2,"אינה מפותחת","חלקית"))))</f>
        <v/>
      </c>
      <c r="AA290" s="32">
        <f>IF($C290="","",IF(COUNTA($M290,$N290,$O290)&lt;3,"— חסרים נתונים",IF(OR($M290="נמוכה",(--($M290&lt;&gt;"תקינה"))+(--($N290&lt;&gt;"תקין"))+(--($O290&lt;&gt;"תקינה"))&gt;=2),"ניכרת","אינה ניכרת")))</f>
        <v/>
      </c>
      <c r="AB290" s="32">
        <f>IF(OR($C290="",$Y290="",$AA290="",LEFT($Y290,1)="—",LEFT($AA290,1)="—"),"",IF($Z290="","— נדרשת הערכת כתיבה",IF($L290="","— חסרה הבנת הנקרא",IF($Y290="אינה מדויקת או מקוטעת",IF($AA290="ניכרת","מיקוד בשטף הקריאה ובכישורי שפה","מיקוד בשטף קריאה"),IF($AA290="ניכרת","מיקוד בכישורי שפה",IF(AND($L290="תקינה",$Z290="מפותחת"),"קוראים וכותבים מיומנים","מיקוד בהבנה והבעה"))))))</f>
        <v/>
      </c>
      <c r="AC290" s="32">
        <f>IF(OR($AB290="",LEFT($AB290,1)="—"),"",IF(OR($AB290="מיקוד בשטף קריאה",$AB290="מיקוד בשטף הקריאה ובכישורי שפה"),"רמה א'",IF($AB290="קוראים וכותבים מיומנים","רמה ג'","רמה ב'")))</f>
        <v/>
      </c>
      <c r="AD290" s="32">
        <f>IF($AC290="","",MID(IF(AND($AC290="רמה א'",$AA290="ניכרת"),"; להוסיף עבודת אוצר מילים","")&amp;IF($Z290="אינה מפותחת","; דגש על הבעה בכתב","")&amp;IF($K290&lt;&gt;"תקין","; נדרש לעבוד על ההנגנה","")&amp;IF($AK290&lt;&gt;"","; "&amp;$AK290,""),3,400))</f>
        <v/>
      </c>
      <c r="AE290" s="32">
        <f>IF($F290="","",IF($F290="תחילת שנה",1,IF($F290="מחצית שנה",2,3)))</f>
        <v/>
      </c>
      <c r="AF290" s="32">
        <f>IF(OR($B290="",$AC290="",$A290="",$F290=""),"",$B290&amp;"|"&amp;$A290&amp;"|"&amp;$F290&amp;"|"&amp;$AC290&amp;"|"&amp;COUNTIFS($B$6:$B290,$B290,$A$6:$A290,$A290,$F$6:$F290,$F290,$AC$6:$AC290,$AC290))</f>
        <v/>
      </c>
      <c r="AG290" s="32">
        <f>IF($C290="","",$C290&amp;"|"&amp;COUNTIFS($C$6:$C290,$C290))</f>
        <v/>
      </c>
      <c r="AH290" s="32">
        <f>IF(OR($C290="",$A290="",$AE290=""),"",$C290&amp;"|"&amp;$A290&amp;"|"&amp;$AE290)</f>
        <v/>
      </c>
      <c r="AI290" s="32">
        <f>IF(OR($C290="",$AE290="",$AE290=1),"",IFERROR(INDEX($AC$6:$AC$1505,MATCH($C290&amp;"|"&amp;$A290&amp;"|"&amp;($AE290-1),$AH$6:$AH$1505,0)),""))</f>
        <v/>
      </c>
      <c r="AJ290" s="32">
        <f>IF(OR($AI290="",$AC290=""),"",IF($AI290=$AC290,"ללא שינוי","מ-"&amp;$AI290&amp;" ל-"&amp;$AC290))</f>
        <v/>
      </c>
      <c r="AK290" s="67" t="n"/>
    </row>
    <row r="291" ht="15.75" customHeight="1" s="58">
      <c r="A291" s="65" t="n"/>
      <c r="B291" s="65" t="n"/>
      <c r="C291" s="66" t="n"/>
      <c r="D291" s="66" t="n"/>
      <c r="E291" s="65" t="n"/>
      <c r="F291" s="65" t="n"/>
      <c r="G291" s="65" t="n"/>
      <c r="H291" s="65" t="n"/>
      <c r="I291" s="65" t="n"/>
      <c r="J291" s="65" t="n"/>
      <c r="K291" s="65" t="n"/>
      <c r="L291" s="65" t="n"/>
      <c r="M291" s="65" t="n"/>
      <c r="N291" s="65" t="n"/>
      <c r="O291" s="65" t="n"/>
      <c r="P291" s="65" t="n"/>
      <c r="Q291" s="65" t="n"/>
      <c r="R291" s="65" t="n"/>
      <c r="S291" s="65" t="n"/>
      <c r="T291" s="65" t="n"/>
      <c r="U291" s="65" t="n"/>
      <c r="V291" s="65" t="n"/>
      <c r="W291" s="65" t="n"/>
      <c r="X291" s="65" t="n"/>
      <c r="Y291" s="32">
        <f>IF($C291="","",IF(COUNTA($I291:$K291)&lt;3,"— חסרים נתונים",IF(AND($I291="תקין",$J291="תקין",$K291="תקין"),"רהוטה",IF(AND($I291="תקין",$J291="תקין"),"מדויקת ורציפה","אינה מדויקת או מקוטעת"))))</f>
        <v/>
      </c>
      <c r="Z291" s="32">
        <f>IF($C291="","",IF(COUNTA($U291:$W291)&lt;3,"",IF(AND($U291="מפותח",$V291="מפותח",$W291="מפותחת"),"מפותחת",IF((--($U291="דל"))+(--($V291="אינו מפותח"))+(--($W291="דלה"))&gt;=2,"אינה מפותחת","חלקית"))))</f>
        <v/>
      </c>
      <c r="AA291" s="32">
        <f>IF($C291="","",IF(COUNTA($M291,$N291,$O291)&lt;3,"— חסרים נתונים",IF(OR($M291="נמוכה",(--($M291&lt;&gt;"תקינה"))+(--($N291&lt;&gt;"תקין"))+(--($O291&lt;&gt;"תקינה"))&gt;=2),"ניכרת","אינה ניכרת")))</f>
        <v/>
      </c>
      <c r="AB291" s="32">
        <f>IF(OR($C291="",$Y291="",$AA291="",LEFT($Y291,1)="—",LEFT($AA291,1)="—"),"",IF($Z291="","— נדרשת הערכת כתיבה",IF($L291="","— חסרה הבנת הנקרא",IF($Y291="אינה מדויקת או מקוטעת",IF($AA291="ניכרת","מיקוד בשטף הקריאה ובכישורי שפה","מיקוד בשטף קריאה"),IF($AA291="ניכרת","מיקוד בכישורי שפה",IF(AND($L291="תקינה",$Z291="מפותחת"),"קוראים וכותבים מיומנים","מיקוד בהבנה והבעה"))))))</f>
        <v/>
      </c>
      <c r="AC291" s="32">
        <f>IF(OR($AB291="",LEFT($AB291,1)="—"),"",IF(OR($AB291="מיקוד בשטף קריאה",$AB291="מיקוד בשטף הקריאה ובכישורי שפה"),"רמה א'",IF($AB291="קוראים וכותבים מיומנים","רמה ג'","רמה ב'")))</f>
        <v/>
      </c>
      <c r="AD291" s="32">
        <f>IF($AC291="","",MID(IF(AND($AC291="רמה א'",$AA291="ניכרת"),"; להוסיף עבודת אוצר מילים","")&amp;IF($Z291="אינה מפותחת","; דגש על הבעה בכתב","")&amp;IF($K291&lt;&gt;"תקין","; נדרש לעבוד על ההנגנה","")&amp;IF($AK291&lt;&gt;"","; "&amp;$AK291,""),3,400))</f>
        <v/>
      </c>
      <c r="AE291" s="32">
        <f>IF($F291="","",IF($F291="תחילת שנה",1,IF($F291="מחצית שנה",2,3)))</f>
        <v/>
      </c>
      <c r="AF291" s="32">
        <f>IF(OR($B291="",$AC291="",$A291="",$F291=""),"",$B291&amp;"|"&amp;$A291&amp;"|"&amp;$F291&amp;"|"&amp;$AC291&amp;"|"&amp;COUNTIFS($B$6:$B291,$B291,$A$6:$A291,$A291,$F$6:$F291,$F291,$AC$6:$AC291,$AC291))</f>
        <v/>
      </c>
      <c r="AG291" s="32">
        <f>IF($C291="","",$C291&amp;"|"&amp;COUNTIFS($C$6:$C291,$C291))</f>
        <v/>
      </c>
      <c r="AH291" s="32">
        <f>IF(OR($C291="",$A291="",$AE291=""),"",$C291&amp;"|"&amp;$A291&amp;"|"&amp;$AE291)</f>
        <v/>
      </c>
      <c r="AI291" s="32">
        <f>IF(OR($C291="",$AE291="",$AE291=1),"",IFERROR(INDEX($AC$6:$AC$1505,MATCH($C291&amp;"|"&amp;$A291&amp;"|"&amp;($AE291-1),$AH$6:$AH$1505,0)),""))</f>
        <v/>
      </c>
      <c r="AJ291" s="32">
        <f>IF(OR($AI291="",$AC291=""),"",IF($AI291=$AC291,"ללא שינוי","מ-"&amp;$AI291&amp;" ל-"&amp;$AC291))</f>
        <v/>
      </c>
      <c r="AK291" s="67" t="n"/>
    </row>
    <row r="292" ht="15.75" customHeight="1" s="58">
      <c r="A292" s="65" t="n"/>
      <c r="B292" s="65" t="n"/>
      <c r="C292" s="66" t="n"/>
      <c r="D292" s="66" t="n"/>
      <c r="E292" s="65" t="n"/>
      <c r="F292" s="65" t="n"/>
      <c r="G292" s="65" t="n"/>
      <c r="H292" s="65" t="n"/>
      <c r="I292" s="65" t="n"/>
      <c r="J292" s="65" t="n"/>
      <c r="K292" s="65" t="n"/>
      <c r="L292" s="65" t="n"/>
      <c r="M292" s="65" t="n"/>
      <c r="N292" s="65" t="n"/>
      <c r="O292" s="65" t="n"/>
      <c r="P292" s="65" t="n"/>
      <c r="Q292" s="65" t="n"/>
      <c r="R292" s="65" t="n"/>
      <c r="S292" s="65" t="n"/>
      <c r="T292" s="65" t="n"/>
      <c r="U292" s="65" t="n"/>
      <c r="V292" s="65" t="n"/>
      <c r="W292" s="65" t="n"/>
      <c r="X292" s="65" t="n"/>
      <c r="Y292" s="32">
        <f>IF($C292="","",IF(COUNTA($I292:$K292)&lt;3,"— חסרים נתונים",IF(AND($I292="תקין",$J292="תקין",$K292="תקין"),"רהוטה",IF(AND($I292="תקין",$J292="תקין"),"מדויקת ורציפה","אינה מדויקת או מקוטעת"))))</f>
        <v/>
      </c>
      <c r="Z292" s="32">
        <f>IF($C292="","",IF(COUNTA($U292:$W292)&lt;3,"",IF(AND($U292="מפותח",$V292="מפותח",$W292="מפותחת"),"מפותחת",IF((--($U292="דל"))+(--($V292="אינו מפותח"))+(--($W292="דלה"))&gt;=2,"אינה מפותחת","חלקית"))))</f>
        <v/>
      </c>
      <c r="AA292" s="32">
        <f>IF($C292="","",IF(COUNTA($M292,$N292,$O292)&lt;3,"— חסרים נתונים",IF(OR($M292="נמוכה",(--($M292&lt;&gt;"תקינה"))+(--($N292&lt;&gt;"תקין"))+(--($O292&lt;&gt;"תקינה"))&gt;=2),"ניכרת","אינה ניכרת")))</f>
        <v/>
      </c>
      <c r="AB292" s="32">
        <f>IF(OR($C292="",$Y292="",$AA292="",LEFT($Y292,1)="—",LEFT($AA292,1)="—"),"",IF($Z292="","— נדרשת הערכת כתיבה",IF($L292="","— חסרה הבנת הנקרא",IF($Y292="אינה מדויקת או מקוטעת",IF($AA292="ניכרת","מיקוד בשטף הקריאה ובכישורי שפה","מיקוד בשטף קריאה"),IF($AA292="ניכרת","מיקוד בכישורי שפה",IF(AND($L292="תקינה",$Z292="מפותחת"),"קוראים וכותבים מיומנים","מיקוד בהבנה והבעה"))))))</f>
        <v/>
      </c>
      <c r="AC292" s="32">
        <f>IF(OR($AB292="",LEFT($AB292,1)="—"),"",IF(OR($AB292="מיקוד בשטף קריאה",$AB292="מיקוד בשטף הקריאה ובכישורי שפה"),"רמה א'",IF($AB292="קוראים וכותבים מיומנים","רמה ג'","רמה ב'")))</f>
        <v/>
      </c>
      <c r="AD292" s="32">
        <f>IF($AC292="","",MID(IF(AND($AC292="רמה א'",$AA292="ניכרת"),"; להוסיף עבודת אוצר מילים","")&amp;IF($Z292="אינה מפותחת","; דגש על הבעה בכתב","")&amp;IF($K292&lt;&gt;"תקין","; נדרש לעבוד על ההנגנה","")&amp;IF($AK292&lt;&gt;"","; "&amp;$AK292,""),3,400))</f>
        <v/>
      </c>
      <c r="AE292" s="32">
        <f>IF($F292="","",IF($F292="תחילת שנה",1,IF($F292="מחצית שנה",2,3)))</f>
        <v/>
      </c>
      <c r="AF292" s="32">
        <f>IF(OR($B292="",$AC292="",$A292="",$F292=""),"",$B292&amp;"|"&amp;$A292&amp;"|"&amp;$F292&amp;"|"&amp;$AC292&amp;"|"&amp;COUNTIFS($B$6:$B292,$B292,$A$6:$A292,$A292,$F$6:$F292,$F292,$AC$6:$AC292,$AC292))</f>
        <v/>
      </c>
      <c r="AG292" s="32">
        <f>IF($C292="","",$C292&amp;"|"&amp;COUNTIFS($C$6:$C292,$C292))</f>
        <v/>
      </c>
      <c r="AH292" s="32">
        <f>IF(OR($C292="",$A292="",$AE292=""),"",$C292&amp;"|"&amp;$A292&amp;"|"&amp;$AE292)</f>
        <v/>
      </c>
      <c r="AI292" s="32">
        <f>IF(OR($C292="",$AE292="",$AE292=1),"",IFERROR(INDEX($AC$6:$AC$1505,MATCH($C292&amp;"|"&amp;$A292&amp;"|"&amp;($AE292-1),$AH$6:$AH$1505,0)),""))</f>
        <v/>
      </c>
      <c r="AJ292" s="32">
        <f>IF(OR($AI292="",$AC292=""),"",IF($AI292=$AC292,"ללא שינוי","מ-"&amp;$AI292&amp;" ל-"&amp;$AC292))</f>
        <v/>
      </c>
      <c r="AK292" s="67" t="n"/>
    </row>
    <row r="293" ht="15.75" customHeight="1" s="58">
      <c r="A293" s="65" t="n"/>
      <c r="B293" s="65" t="n"/>
      <c r="C293" s="66" t="n"/>
      <c r="D293" s="66" t="n"/>
      <c r="E293" s="65" t="n"/>
      <c r="F293" s="65" t="n"/>
      <c r="G293" s="65" t="n"/>
      <c r="H293" s="65" t="n"/>
      <c r="I293" s="65" t="n"/>
      <c r="J293" s="65" t="n"/>
      <c r="K293" s="65" t="n"/>
      <c r="L293" s="65" t="n"/>
      <c r="M293" s="65" t="n"/>
      <c r="N293" s="65" t="n"/>
      <c r="O293" s="65" t="n"/>
      <c r="P293" s="65" t="n"/>
      <c r="Q293" s="65" t="n"/>
      <c r="R293" s="65" t="n"/>
      <c r="S293" s="65" t="n"/>
      <c r="T293" s="65" t="n"/>
      <c r="U293" s="65" t="n"/>
      <c r="V293" s="65" t="n"/>
      <c r="W293" s="65" t="n"/>
      <c r="X293" s="65" t="n"/>
      <c r="Y293" s="32">
        <f>IF($C293="","",IF(COUNTA($I293:$K293)&lt;3,"— חסרים נתונים",IF(AND($I293="תקין",$J293="תקין",$K293="תקין"),"רהוטה",IF(AND($I293="תקין",$J293="תקין"),"מדויקת ורציפה","אינה מדויקת או מקוטעת"))))</f>
        <v/>
      </c>
      <c r="Z293" s="32">
        <f>IF($C293="","",IF(COUNTA($U293:$W293)&lt;3,"",IF(AND($U293="מפותח",$V293="מפותח",$W293="מפותחת"),"מפותחת",IF((--($U293="דל"))+(--($V293="אינו מפותח"))+(--($W293="דלה"))&gt;=2,"אינה מפותחת","חלקית"))))</f>
        <v/>
      </c>
      <c r="AA293" s="32">
        <f>IF($C293="","",IF(COUNTA($M293,$N293,$O293)&lt;3,"— חסרים נתונים",IF(OR($M293="נמוכה",(--($M293&lt;&gt;"תקינה"))+(--($N293&lt;&gt;"תקין"))+(--($O293&lt;&gt;"תקינה"))&gt;=2),"ניכרת","אינה ניכרת")))</f>
        <v/>
      </c>
      <c r="AB293" s="32">
        <f>IF(OR($C293="",$Y293="",$AA293="",LEFT($Y293,1)="—",LEFT($AA293,1)="—"),"",IF($Z293="","— נדרשת הערכת כתיבה",IF($L293="","— חסרה הבנת הנקרא",IF($Y293="אינה מדויקת או מקוטעת",IF($AA293="ניכרת","מיקוד בשטף הקריאה ובכישורי שפה","מיקוד בשטף קריאה"),IF($AA293="ניכרת","מיקוד בכישורי שפה",IF(AND($L293="תקינה",$Z293="מפותחת"),"קוראים וכותבים מיומנים","מיקוד בהבנה והבעה"))))))</f>
        <v/>
      </c>
      <c r="AC293" s="32">
        <f>IF(OR($AB293="",LEFT($AB293,1)="—"),"",IF(OR($AB293="מיקוד בשטף קריאה",$AB293="מיקוד בשטף הקריאה ובכישורי שפה"),"רמה א'",IF($AB293="קוראים וכותבים מיומנים","רמה ג'","רמה ב'")))</f>
        <v/>
      </c>
      <c r="AD293" s="32">
        <f>IF($AC293="","",MID(IF(AND($AC293="רמה א'",$AA293="ניכרת"),"; להוסיף עבודת אוצר מילים","")&amp;IF($Z293="אינה מפותחת","; דגש על הבעה בכתב","")&amp;IF($K293&lt;&gt;"תקין","; נדרש לעבוד על ההנגנה","")&amp;IF($AK293&lt;&gt;"","; "&amp;$AK293,""),3,400))</f>
        <v/>
      </c>
      <c r="AE293" s="32">
        <f>IF($F293="","",IF($F293="תחילת שנה",1,IF($F293="מחצית שנה",2,3)))</f>
        <v/>
      </c>
      <c r="AF293" s="32">
        <f>IF(OR($B293="",$AC293="",$A293="",$F293=""),"",$B293&amp;"|"&amp;$A293&amp;"|"&amp;$F293&amp;"|"&amp;$AC293&amp;"|"&amp;COUNTIFS($B$6:$B293,$B293,$A$6:$A293,$A293,$F$6:$F293,$F293,$AC$6:$AC293,$AC293))</f>
        <v/>
      </c>
      <c r="AG293" s="32">
        <f>IF($C293="","",$C293&amp;"|"&amp;COUNTIFS($C$6:$C293,$C293))</f>
        <v/>
      </c>
      <c r="AH293" s="32">
        <f>IF(OR($C293="",$A293="",$AE293=""),"",$C293&amp;"|"&amp;$A293&amp;"|"&amp;$AE293)</f>
        <v/>
      </c>
      <c r="AI293" s="32">
        <f>IF(OR($C293="",$AE293="",$AE293=1),"",IFERROR(INDEX($AC$6:$AC$1505,MATCH($C293&amp;"|"&amp;$A293&amp;"|"&amp;($AE293-1),$AH$6:$AH$1505,0)),""))</f>
        <v/>
      </c>
      <c r="AJ293" s="32">
        <f>IF(OR($AI293="",$AC293=""),"",IF($AI293=$AC293,"ללא שינוי","מ-"&amp;$AI293&amp;" ל-"&amp;$AC293))</f>
        <v/>
      </c>
      <c r="AK293" s="67" t="n"/>
    </row>
    <row r="294" ht="15.75" customHeight="1" s="58">
      <c r="A294" s="65" t="n"/>
      <c r="B294" s="65" t="n"/>
      <c r="C294" s="66" t="n"/>
      <c r="D294" s="66" t="n"/>
      <c r="E294" s="65" t="n"/>
      <c r="F294" s="65" t="n"/>
      <c r="G294" s="65" t="n"/>
      <c r="H294" s="65" t="n"/>
      <c r="I294" s="65" t="n"/>
      <c r="J294" s="65" t="n"/>
      <c r="K294" s="65" t="n"/>
      <c r="L294" s="65" t="n"/>
      <c r="M294" s="65" t="n"/>
      <c r="N294" s="65" t="n"/>
      <c r="O294" s="65" t="n"/>
      <c r="P294" s="65" t="n"/>
      <c r="Q294" s="65" t="n"/>
      <c r="R294" s="65" t="n"/>
      <c r="S294" s="65" t="n"/>
      <c r="T294" s="65" t="n"/>
      <c r="U294" s="65" t="n"/>
      <c r="V294" s="65" t="n"/>
      <c r="W294" s="65" t="n"/>
      <c r="X294" s="65" t="n"/>
      <c r="Y294" s="32">
        <f>IF($C294="","",IF(COUNTA($I294:$K294)&lt;3,"— חסרים נתונים",IF(AND($I294="תקין",$J294="תקין",$K294="תקין"),"רהוטה",IF(AND($I294="תקין",$J294="תקין"),"מדויקת ורציפה","אינה מדויקת או מקוטעת"))))</f>
        <v/>
      </c>
      <c r="Z294" s="32">
        <f>IF($C294="","",IF(COUNTA($U294:$W294)&lt;3,"",IF(AND($U294="מפותח",$V294="מפותח",$W294="מפותחת"),"מפותחת",IF((--($U294="דל"))+(--($V294="אינו מפותח"))+(--($W294="דלה"))&gt;=2,"אינה מפותחת","חלקית"))))</f>
        <v/>
      </c>
      <c r="AA294" s="32">
        <f>IF($C294="","",IF(COUNTA($M294,$N294,$O294)&lt;3,"— חסרים נתונים",IF(OR($M294="נמוכה",(--($M294&lt;&gt;"תקינה"))+(--($N294&lt;&gt;"תקין"))+(--($O294&lt;&gt;"תקינה"))&gt;=2),"ניכרת","אינה ניכרת")))</f>
        <v/>
      </c>
      <c r="AB294" s="32">
        <f>IF(OR($C294="",$Y294="",$AA294="",LEFT($Y294,1)="—",LEFT($AA294,1)="—"),"",IF($Z294="","— נדרשת הערכת כתיבה",IF($L294="","— חסרה הבנת הנקרא",IF($Y294="אינה מדויקת או מקוטעת",IF($AA294="ניכרת","מיקוד בשטף הקריאה ובכישורי שפה","מיקוד בשטף קריאה"),IF($AA294="ניכרת","מיקוד בכישורי שפה",IF(AND($L294="תקינה",$Z294="מפותחת"),"קוראים וכותבים מיומנים","מיקוד בהבנה והבעה"))))))</f>
        <v/>
      </c>
      <c r="AC294" s="32">
        <f>IF(OR($AB294="",LEFT($AB294,1)="—"),"",IF(OR($AB294="מיקוד בשטף קריאה",$AB294="מיקוד בשטף הקריאה ובכישורי שפה"),"רמה א'",IF($AB294="קוראים וכותבים מיומנים","רמה ג'","רמה ב'")))</f>
        <v/>
      </c>
      <c r="AD294" s="32">
        <f>IF($AC294="","",MID(IF(AND($AC294="רמה א'",$AA294="ניכרת"),"; להוסיף עבודת אוצר מילים","")&amp;IF($Z294="אינה מפותחת","; דגש על הבעה בכתב","")&amp;IF($K294&lt;&gt;"תקין","; נדרש לעבוד על ההנגנה","")&amp;IF($AK294&lt;&gt;"","; "&amp;$AK294,""),3,400))</f>
        <v/>
      </c>
      <c r="AE294" s="32">
        <f>IF($F294="","",IF($F294="תחילת שנה",1,IF($F294="מחצית שנה",2,3)))</f>
        <v/>
      </c>
      <c r="AF294" s="32">
        <f>IF(OR($B294="",$AC294="",$A294="",$F294=""),"",$B294&amp;"|"&amp;$A294&amp;"|"&amp;$F294&amp;"|"&amp;$AC294&amp;"|"&amp;COUNTIFS($B$6:$B294,$B294,$A$6:$A294,$A294,$F$6:$F294,$F294,$AC$6:$AC294,$AC294))</f>
        <v/>
      </c>
      <c r="AG294" s="32">
        <f>IF($C294="","",$C294&amp;"|"&amp;COUNTIFS($C$6:$C294,$C294))</f>
        <v/>
      </c>
      <c r="AH294" s="32">
        <f>IF(OR($C294="",$A294="",$AE294=""),"",$C294&amp;"|"&amp;$A294&amp;"|"&amp;$AE294)</f>
        <v/>
      </c>
      <c r="AI294" s="32">
        <f>IF(OR($C294="",$AE294="",$AE294=1),"",IFERROR(INDEX($AC$6:$AC$1505,MATCH($C294&amp;"|"&amp;$A294&amp;"|"&amp;($AE294-1),$AH$6:$AH$1505,0)),""))</f>
        <v/>
      </c>
      <c r="AJ294" s="32">
        <f>IF(OR($AI294="",$AC294=""),"",IF($AI294=$AC294,"ללא שינוי","מ-"&amp;$AI294&amp;" ל-"&amp;$AC294))</f>
        <v/>
      </c>
      <c r="AK294" s="67" t="n"/>
    </row>
    <row r="295" ht="15.75" customHeight="1" s="58">
      <c r="A295" s="65" t="n"/>
      <c r="B295" s="65" t="n"/>
      <c r="C295" s="66" t="n"/>
      <c r="D295" s="66" t="n"/>
      <c r="E295" s="65" t="n"/>
      <c r="F295" s="65" t="n"/>
      <c r="G295" s="65" t="n"/>
      <c r="H295" s="65" t="n"/>
      <c r="I295" s="65" t="n"/>
      <c r="J295" s="65" t="n"/>
      <c r="K295" s="65" t="n"/>
      <c r="L295" s="65" t="n"/>
      <c r="M295" s="65" t="n"/>
      <c r="N295" s="65" t="n"/>
      <c r="O295" s="65" t="n"/>
      <c r="P295" s="65" t="n"/>
      <c r="Q295" s="65" t="n"/>
      <c r="R295" s="65" t="n"/>
      <c r="S295" s="65" t="n"/>
      <c r="T295" s="65" t="n"/>
      <c r="U295" s="65" t="n"/>
      <c r="V295" s="65" t="n"/>
      <c r="W295" s="65" t="n"/>
      <c r="X295" s="65" t="n"/>
      <c r="Y295" s="32">
        <f>IF($C295="","",IF(COUNTA($I295:$K295)&lt;3,"— חסרים נתונים",IF(AND($I295="תקין",$J295="תקין",$K295="תקין"),"רהוטה",IF(AND($I295="תקין",$J295="תקין"),"מדויקת ורציפה","אינה מדויקת או מקוטעת"))))</f>
        <v/>
      </c>
      <c r="Z295" s="32">
        <f>IF($C295="","",IF(COUNTA($U295:$W295)&lt;3,"",IF(AND($U295="מפותח",$V295="מפותח",$W295="מפותחת"),"מפותחת",IF((--($U295="דל"))+(--($V295="אינו מפותח"))+(--($W295="דלה"))&gt;=2,"אינה מפותחת","חלקית"))))</f>
        <v/>
      </c>
      <c r="AA295" s="32">
        <f>IF($C295="","",IF(COUNTA($M295,$N295,$O295)&lt;3,"— חסרים נתונים",IF(OR($M295="נמוכה",(--($M295&lt;&gt;"תקינה"))+(--($N295&lt;&gt;"תקין"))+(--($O295&lt;&gt;"תקינה"))&gt;=2),"ניכרת","אינה ניכרת")))</f>
        <v/>
      </c>
      <c r="AB295" s="32">
        <f>IF(OR($C295="",$Y295="",$AA295="",LEFT($Y295,1)="—",LEFT($AA295,1)="—"),"",IF($Z295="","— נדרשת הערכת כתיבה",IF($L295="","— חסרה הבנת הנקרא",IF($Y295="אינה מדויקת או מקוטעת",IF($AA295="ניכרת","מיקוד בשטף הקריאה ובכישורי שפה","מיקוד בשטף קריאה"),IF($AA295="ניכרת","מיקוד בכישורי שפה",IF(AND($L295="תקינה",$Z295="מפותחת"),"קוראים וכותבים מיומנים","מיקוד בהבנה והבעה"))))))</f>
        <v/>
      </c>
      <c r="AC295" s="32">
        <f>IF(OR($AB295="",LEFT($AB295,1)="—"),"",IF(OR($AB295="מיקוד בשטף קריאה",$AB295="מיקוד בשטף הקריאה ובכישורי שפה"),"רמה א'",IF($AB295="קוראים וכותבים מיומנים","רמה ג'","רמה ב'")))</f>
        <v/>
      </c>
      <c r="AD295" s="32">
        <f>IF($AC295="","",MID(IF(AND($AC295="רמה א'",$AA295="ניכרת"),"; להוסיף עבודת אוצר מילים","")&amp;IF($Z295="אינה מפותחת","; דגש על הבעה בכתב","")&amp;IF($K295&lt;&gt;"תקין","; נדרש לעבוד על ההנגנה","")&amp;IF($AK295&lt;&gt;"","; "&amp;$AK295,""),3,400))</f>
        <v/>
      </c>
      <c r="AE295" s="32">
        <f>IF($F295="","",IF($F295="תחילת שנה",1,IF($F295="מחצית שנה",2,3)))</f>
        <v/>
      </c>
      <c r="AF295" s="32">
        <f>IF(OR($B295="",$AC295="",$A295="",$F295=""),"",$B295&amp;"|"&amp;$A295&amp;"|"&amp;$F295&amp;"|"&amp;$AC295&amp;"|"&amp;COUNTIFS($B$6:$B295,$B295,$A$6:$A295,$A295,$F$6:$F295,$F295,$AC$6:$AC295,$AC295))</f>
        <v/>
      </c>
      <c r="AG295" s="32">
        <f>IF($C295="","",$C295&amp;"|"&amp;COUNTIFS($C$6:$C295,$C295))</f>
        <v/>
      </c>
      <c r="AH295" s="32">
        <f>IF(OR($C295="",$A295="",$AE295=""),"",$C295&amp;"|"&amp;$A295&amp;"|"&amp;$AE295)</f>
        <v/>
      </c>
      <c r="AI295" s="32">
        <f>IF(OR($C295="",$AE295="",$AE295=1),"",IFERROR(INDEX($AC$6:$AC$1505,MATCH($C295&amp;"|"&amp;$A295&amp;"|"&amp;($AE295-1),$AH$6:$AH$1505,0)),""))</f>
        <v/>
      </c>
      <c r="AJ295" s="32">
        <f>IF(OR($AI295="",$AC295=""),"",IF($AI295=$AC295,"ללא שינוי","מ-"&amp;$AI295&amp;" ל-"&amp;$AC295))</f>
        <v/>
      </c>
      <c r="AK295" s="67" t="n"/>
    </row>
    <row r="296" ht="15.75" customHeight="1" s="58">
      <c r="A296" s="65" t="n"/>
      <c r="B296" s="65" t="n"/>
      <c r="C296" s="66" t="n"/>
      <c r="D296" s="66" t="n"/>
      <c r="E296" s="65" t="n"/>
      <c r="F296" s="65" t="n"/>
      <c r="G296" s="65" t="n"/>
      <c r="H296" s="65" t="n"/>
      <c r="I296" s="65" t="n"/>
      <c r="J296" s="65" t="n"/>
      <c r="K296" s="65" t="n"/>
      <c r="L296" s="65" t="n"/>
      <c r="M296" s="65" t="n"/>
      <c r="N296" s="65" t="n"/>
      <c r="O296" s="65" t="n"/>
      <c r="P296" s="65" t="n"/>
      <c r="Q296" s="65" t="n"/>
      <c r="R296" s="65" t="n"/>
      <c r="S296" s="65" t="n"/>
      <c r="T296" s="65" t="n"/>
      <c r="U296" s="65" t="n"/>
      <c r="V296" s="65" t="n"/>
      <c r="W296" s="65" t="n"/>
      <c r="X296" s="65" t="n"/>
      <c r="Y296" s="32">
        <f>IF($C296="","",IF(COUNTA($I296:$K296)&lt;3,"— חסרים נתונים",IF(AND($I296="תקין",$J296="תקין",$K296="תקין"),"רהוטה",IF(AND($I296="תקין",$J296="תקין"),"מדויקת ורציפה","אינה מדויקת או מקוטעת"))))</f>
        <v/>
      </c>
      <c r="Z296" s="32">
        <f>IF($C296="","",IF(COUNTA($U296:$W296)&lt;3,"",IF(AND($U296="מפותח",$V296="מפותח",$W296="מפותחת"),"מפותחת",IF((--($U296="דל"))+(--($V296="אינו מפותח"))+(--($W296="דלה"))&gt;=2,"אינה מפותחת","חלקית"))))</f>
        <v/>
      </c>
      <c r="AA296" s="32">
        <f>IF($C296="","",IF(COUNTA($M296,$N296,$O296)&lt;3,"— חסרים נתונים",IF(OR($M296="נמוכה",(--($M296&lt;&gt;"תקינה"))+(--($N296&lt;&gt;"תקין"))+(--($O296&lt;&gt;"תקינה"))&gt;=2),"ניכרת","אינה ניכרת")))</f>
        <v/>
      </c>
      <c r="AB296" s="32">
        <f>IF(OR($C296="",$Y296="",$AA296="",LEFT($Y296,1)="—",LEFT($AA296,1)="—"),"",IF($Z296="","— נדרשת הערכת כתיבה",IF($L296="","— חסרה הבנת הנקרא",IF($Y296="אינה מדויקת או מקוטעת",IF($AA296="ניכרת","מיקוד בשטף הקריאה ובכישורי שפה","מיקוד בשטף קריאה"),IF($AA296="ניכרת","מיקוד בכישורי שפה",IF(AND($L296="תקינה",$Z296="מפותחת"),"קוראים וכותבים מיומנים","מיקוד בהבנה והבעה"))))))</f>
        <v/>
      </c>
      <c r="AC296" s="32">
        <f>IF(OR($AB296="",LEFT($AB296,1)="—"),"",IF(OR($AB296="מיקוד בשטף קריאה",$AB296="מיקוד בשטף הקריאה ובכישורי שפה"),"רמה א'",IF($AB296="קוראים וכותבים מיומנים","רמה ג'","רמה ב'")))</f>
        <v/>
      </c>
      <c r="AD296" s="32">
        <f>IF($AC296="","",MID(IF(AND($AC296="רמה א'",$AA296="ניכרת"),"; להוסיף עבודת אוצר מילים","")&amp;IF($Z296="אינה מפותחת","; דגש על הבעה בכתב","")&amp;IF($K296&lt;&gt;"תקין","; נדרש לעבוד על ההנגנה","")&amp;IF($AK296&lt;&gt;"","; "&amp;$AK296,""),3,400))</f>
        <v/>
      </c>
      <c r="AE296" s="32">
        <f>IF($F296="","",IF($F296="תחילת שנה",1,IF($F296="מחצית שנה",2,3)))</f>
        <v/>
      </c>
      <c r="AF296" s="32">
        <f>IF(OR($B296="",$AC296="",$A296="",$F296=""),"",$B296&amp;"|"&amp;$A296&amp;"|"&amp;$F296&amp;"|"&amp;$AC296&amp;"|"&amp;COUNTIFS($B$6:$B296,$B296,$A$6:$A296,$A296,$F$6:$F296,$F296,$AC$6:$AC296,$AC296))</f>
        <v/>
      </c>
      <c r="AG296" s="32">
        <f>IF($C296="","",$C296&amp;"|"&amp;COUNTIFS($C$6:$C296,$C296))</f>
        <v/>
      </c>
      <c r="AH296" s="32">
        <f>IF(OR($C296="",$A296="",$AE296=""),"",$C296&amp;"|"&amp;$A296&amp;"|"&amp;$AE296)</f>
        <v/>
      </c>
      <c r="AI296" s="32">
        <f>IF(OR($C296="",$AE296="",$AE296=1),"",IFERROR(INDEX($AC$6:$AC$1505,MATCH($C296&amp;"|"&amp;$A296&amp;"|"&amp;($AE296-1),$AH$6:$AH$1505,0)),""))</f>
        <v/>
      </c>
      <c r="AJ296" s="32">
        <f>IF(OR($AI296="",$AC296=""),"",IF($AI296=$AC296,"ללא שינוי","מ-"&amp;$AI296&amp;" ל-"&amp;$AC296))</f>
        <v/>
      </c>
      <c r="AK296" s="67" t="n"/>
    </row>
    <row r="297" ht="15.75" customHeight="1" s="58">
      <c r="A297" s="65" t="n"/>
      <c r="B297" s="65" t="n"/>
      <c r="C297" s="66" t="n"/>
      <c r="D297" s="66" t="n"/>
      <c r="E297" s="65" t="n"/>
      <c r="F297" s="65" t="n"/>
      <c r="G297" s="65" t="n"/>
      <c r="H297" s="65" t="n"/>
      <c r="I297" s="65" t="n"/>
      <c r="J297" s="65" t="n"/>
      <c r="K297" s="65" t="n"/>
      <c r="L297" s="65" t="n"/>
      <c r="M297" s="65" t="n"/>
      <c r="N297" s="65" t="n"/>
      <c r="O297" s="65" t="n"/>
      <c r="P297" s="65" t="n"/>
      <c r="Q297" s="65" t="n"/>
      <c r="R297" s="65" t="n"/>
      <c r="S297" s="65" t="n"/>
      <c r="T297" s="65" t="n"/>
      <c r="U297" s="65" t="n"/>
      <c r="V297" s="65" t="n"/>
      <c r="W297" s="65" t="n"/>
      <c r="X297" s="65" t="n"/>
      <c r="Y297" s="32">
        <f>IF($C297="","",IF(COUNTA($I297:$K297)&lt;3,"— חסרים נתונים",IF(AND($I297="תקין",$J297="תקין",$K297="תקין"),"רהוטה",IF(AND($I297="תקין",$J297="תקין"),"מדויקת ורציפה","אינה מדויקת או מקוטעת"))))</f>
        <v/>
      </c>
      <c r="Z297" s="32">
        <f>IF($C297="","",IF(COUNTA($U297:$W297)&lt;3,"",IF(AND($U297="מפותח",$V297="מפותח",$W297="מפותחת"),"מפותחת",IF((--($U297="דל"))+(--($V297="אינו מפותח"))+(--($W297="דלה"))&gt;=2,"אינה מפותחת","חלקית"))))</f>
        <v/>
      </c>
      <c r="AA297" s="32">
        <f>IF($C297="","",IF(COUNTA($M297,$N297,$O297)&lt;3,"— חסרים נתונים",IF(OR($M297="נמוכה",(--($M297&lt;&gt;"תקינה"))+(--($N297&lt;&gt;"תקין"))+(--($O297&lt;&gt;"תקינה"))&gt;=2),"ניכרת","אינה ניכרת")))</f>
        <v/>
      </c>
      <c r="AB297" s="32">
        <f>IF(OR($C297="",$Y297="",$AA297="",LEFT($Y297,1)="—",LEFT($AA297,1)="—"),"",IF($Z297="","— נדרשת הערכת כתיבה",IF($L297="","— חסרה הבנת הנקרא",IF($Y297="אינה מדויקת או מקוטעת",IF($AA297="ניכרת","מיקוד בשטף הקריאה ובכישורי שפה","מיקוד בשטף קריאה"),IF($AA297="ניכרת","מיקוד בכישורי שפה",IF(AND($L297="תקינה",$Z297="מפותחת"),"קוראים וכותבים מיומנים","מיקוד בהבנה והבעה"))))))</f>
        <v/>
      </c>
      <c r="AC297" s="32">
        <f>IF(OR($AB297="",LEFT($AB297,1)="—"),"",IF(OR($AB297="מיקוד בשטף קריאה",$AB297="מיקוד בשטף הקריאה ובכישורי שפה"),"רמה א'",IF($AB297="קוראים וכותבים מיומנים","רמה ג'","רמה ב'")))</f>
        <v/>
      </c>
      <c r="AD297" s="32">
        <f>IF($AC297="","",MID(IF(AND($AC297="רמה א'",$AA297="ניכרת"),"; להוסיף עבודת אוצר מילים","")&amp;IF($Z297="אינה מפותחת","; דגש על הבעה בכתב","")&amp;IF($K297&lt;&gt;"תקין","; נדרש לעבוד על ההנגנה","")&amp;IF($AK297&lt;&gt;"","; "&amp;$AK297,""),3,400))</f>
        <v/>
      </c>
      <c r="AE297" s="32">
        <f>IF($F297="","",IF($F297="תחילת שנה",1,IF($F297="מחצית שנה",2,3)))</f>
        <v/>
      </c>
      <c r="AF297" s="32">
        <f>IF(OR($B297="",$AC297="",$A297="",$F297=""),"",$B297&amp;"|"&amp;$A297&amp;"|"&amp;$F297&amp;"|"&amp;$AC297&amp;"|"&amp;COUNTIFS($B$6:$B297,$B297,$A$6:$A297,$A297,$F$6:$F297,$F297,$AC$6:$AC297,$AC297))</f>
        <v/>
      </c>
      <c r="AG297" s="32">
        <f>IF($C297="","",$C297&amp;"|"&amp;COUNTIFS($C$6:$C297,$C297))</f>
        <v/>
      </c>
      <c r="AH297" s="32">
        <f>IF(OR($C297="",$A297="",$AE297=""),"",$C297&amp;"|"&amp;$A297&amp;"|"&amp;$AE297)</f>
        <v/>
      </c>
      <c r="AI297" s="32">
        <f>IF(OR($C297="",$AE297="",$AE297=1),"",IFERROR(INDEX($AC$6:$AC$1505,MATCH($C297&amp;"|"&amp;$A297&amp;"|"&amp;($AE297-1),$AH$6:$AH$1505,0)),""))</f>
        <v/>
      </c>
      <c r="AJ297" s="32">
        <f>IF(OR($AI297="",$AC297=""),"",IF($AI297=$AC297,"ללא שינוי","מ-"&amp;$AI297&amp;" ל-"&amp;$AC297))</f>
        <v/>
      </c>
      <c r="AK297" s="67" t="n"/>
    </row>
    <row r="298" ht="15.75" customHeight="1" s="58">
      <c r="A298" s="65" t="n"/>
      <c r="B298" s="65" t="n"/>
      <c r="C298" s="66" t="n"/>
      <c r="D298" s="66" t="n"/>
      <c r="E298" s="65" t="n"/>
      <c r="F298" s="65" t="n"/>
      <c r="G298" s="65" t="n"/>
      <c r="H298" s="65" t="n"/>
      <c r="I298" s="65" t="n"/>
      <c r="J298" s="65" t="n"/>
      <c r="K298" s="65" t="n"/>
      <c r="L298" s="65" t="n"/>
      <c r="M298" s="65" t="n"/>
      <c r="N298" s="65" t="n"/>
      <c r="O298" s="65" t="n"/>
      <c r="P298" s="65" t="n"/>
      <c r="Q298" s="65" t="n"/>
      <c r="R298" s="65" t="n"/>
      <c r="S298" s="65" t="n"/>
      <c r="T298" s="65" t="n"/>
      <c r="U298" s="65" t="n"/>
      <c r="V298" s="65" t="n"/>
      <c r="W298" s="65" t="n"/>
      <c r="X298" s="65" t="n"/>
      <c r="Y298" s="32">
        <f>IF($C298="","",IF(COUNTA($I298:$K298)&lt;3,"— חסרים נתונים",IF(AND($I298="תקין",$J298="תקין",$K298="תקין"),"רהוטה",IF(AND($I298="תקין",$J298="תקין"),"מדויקת ורציפה","אינה מדויקת או מקוטעת"))))</f>
        <v/>
      </c>
      <c r="Z298" s="32">
        <f>IF($C298="","",IF(COUNTA($U298:$W298)&lt;3,"",IF(AND($U298="מפותח",$V298="מפותח",$W298="מפותחת"),"מפותחת",IF((--($U298="דל"))+(--($V298="אינו מפותח"))+(--($W298="דלה"))&gt;=2,"אינה מפותחת","חלקית"))))</f>
        <v/>
      </c>
      <c r="AA298" s="32">
        <f>IF($C298="","",IF(COUNTA($M298,$N298,$O298)&lt;3,"— חסרים נתונים",IF(OR($M298="נמוכה",(--($M298&lt;&gt;"תקינה"))+(--($N298&lt;&gt;"תקין"))+(--($O298&lt;&gt;"תקינה"))&gt;=2),"ניכרת","אינה ניכרת")))</f>
        <v/>
      </c>
      <c r="AB298" s="32">
        <f>IF(OR($C298="",$Y298="",$AA298="",LEFT($Y298,1)="—",LEFT($AA298,1)="—"),"",IF($Z298="","— נדרשת הערכת כתיבה",IF($L298="","— חסרה הבנת הנקרא",IF($Y298="אינה מדויקת או מקוטעת",IF($AA298="ניכרת","מיקוד בשטף הקריאה ובכישורי שפה","מיקוד בשטף קריאה"),IF($AA298="ניכרת","מיקוד בכישורי שפה",IF(AND($L298="תקינה",$Z298="מפותחת"),"קוראים וכותבים מיומנים","מיקוד בהבנה והבעה"))))))</f>
        <v/>
      </c>
      <c r="AC298" s="32">
        <f>IF(OR($AB298="",LEFT($AB298,1)="—"),"",IF(OR($AB298="מיקוד בשטף קריאה",$AB298="מיקוד בשטף הקריאה ובכישורי שפה"),"רמה א'",IF($AB298="קוראים וכותבים מיומנים","רמה ג'","רמה ב'")))</f>
        <v/>
      </c>
      <c r="AD298" s="32">
        <f>IF($AC298="","",MID(IF(AND($AC298="רמה א'",$AA298="ניכרת"),"; להוסיף עבודת אוצר מילים","")&amp;IF($Z298="אינה מפותחת","; דגש על הבעה בכתב","")&amp;IF($K298&lt;&gt;"תקין","; נדרש לעבוד על ההנגנה","")&amp;IF($AK298&lt;&gt;"","; "&amp;$AK298,""),3,400))</f>
        <v/>
      </c>
      <c r="AE298" s="32">
        <f>IF($F298="","",IF($F298="תחילת שנה",1,IF($F298="מחצית שנה",2,3)))</f>
        <v/>
      </c>
      <c r="AF298" s="32">
        <f>IF(OR($B298="",$AC298="",$A298="",$F298=""),"",$B298&amp;"|"&amp;$A298&amp;"|"&amp;$F298&amp;"|"&amp;$AC298&amp;"|"&amp;COUNTIFS($B$6:$B298,$B298,$A$6:$A298,$A298,$F$6:$F298,$F298,$AC$6:$AC298,$AC298))</f>
        <v/>
      </c>
      <c r="AG298" s="32">
        <f>IF($C298="","",$C298&amp;"|"&amp;COUNTIFS($C$6:$C298,$C298))</f>
        <v/>
      </c>
      <c r="AH298" s="32">
        <f>IF(OR($C298="",$A298="",$AE298=""),"",$C298&amp;"|"&amp;$A298&amp;"|"&amp;$AE298)</f>
        <v/>
      </c>
      <c r="AI298" s="32">
        <f>IF(OR($C298="",$AE298="",$AE298=1),"",IFERROR(INDEX($AC$6:$AC$1505,MATCH($C298&amp;"|"&amp;$A298&amp;"|"&amp;($AE298-1),$AH$6:$AH$1505,0)),""))</f>
        <v/>
      </c>
      <c r="AJ298" s="32">
        <f>IF(OR($AI298="",$AC298=""),"",IF($AI298=$AC298,"ללא שינוי","מ-"&amp;$AI298&amp;" ל-"&amp;$AC298))</f>
        <v/>
      </c>
      <c r="AK298" s="67" t="n"/>
    </row>
    <row r="299" ht="15.75" customHeight="1" s="58">
      <c r="A299" s="65" t="n"/>
      <c r="B299" s="65" t="n"/>
      <c r="C299" s="66" t="n"/>
      <c r="D299" s="66" t="n"/>
      <c r="E299" s="65" t="n"/>
      <c r="F299" s="65" t="n"/>
      <c r="G299" s="65" t="n"/>
      <c r="H299" s="65" t="n"/>
      <c r="I299" s="65" t="n"/>
      <c r="J299" s="65" t="n"/>
      <c r="K299" s="65" t="n"/>
      <c r="L299" s="65" t="n"/>
      <c r="M299" s="65" t="n"/>
      <c r="N299" s="65" t="n"/>
      <c r="O299" s="65" t="n"/>
      <c r="P299" s="65" t="n"/>
      <c r="Q299" s="65" t="n"/>
      <c r="R299" s="65" t="n"/>
      <c r="S299" s="65" t="n"/>
      <c r="T299" s="65" t="n"/>
      <c r="U299" s="65" t="n"/>
      <c r="V299" s="65" t="n"/>
      <c r="W299" s="65" t="n"/>
      <c r="X299" s="65" t="n"/>
      <c r="Y299" s="32">
        <f>IF($C299="","",IF(COUNTA($I299:$K299)&lt;3,"— חסרים נתונים",IF(AND($I299="תקין",$J299="תקין",$K299="תקין"),"רהוטה",IF(AND($I299="תקין",$J299="תקין"),"מדויקת ורציפה","אינה מדויקת או מקוטעת"))))</f>
        <v/>
      </c>
      <c r="Z299" s="32">
        <f>IF($C299="","",IF(COUNTA($U299:$W299)&lt;3,"",IF(AND($U299="מפותח",$V299="מפותח",$W299="מפותחת"),"מפותחת",IF((--($U299="דל"))+(--($V299="אינו מפותח"))+(--($W299="דלה"))&gt;=2,"אינה מפותחת","חלקית"))))</f>
        <v/>
      </c>
      <c r="AA299" s="32">
        <f>IF($C299="","",IF(COUNTA($M299,$N299,$O299)&lt;3,"— חסרים נתונים",IF(OR($M299="נמוכה",(--($M299&lt;&gt;"תקינה"))+(--($N299&lt;&gt;"תקין"))+(--($O299&lt;&gt;"תקינה"))&gt;=2),"ניכרת","אינה ניכרת")))</f>
        <v/>
      </c>
      <c r="AB299" s="32">
        <f>IF(OR($C299="",$Y299="",$AA299="",LEFT($Y299,1)="—",LEFT($AA299,1)="—"),"",IF($Z299="","— נדרשת הערכת כתיבה",IF($L299="","— חסרה הבנת הנקרא",IF($Y299="אינה מדויקת או מקוטעת",IF($AA299="ניכרת","מיקוד בשטף הקריאה ובכישורי שפה","מיקוד בשטף קריאה"),IF($AA299="ניכרת","מיקוד בכישורי שפה",IF(AND($L299="תקינה",$Z299="מפותחת"),"קוראים וכותבים מיומנים","מיקוד בהבנה והבעה"))))))</f>
        <v/>
      </c>
      <c r="AC299" s="32">
        <f>IF(OR($AB299="",LEFT($AB299,1)="—"),"",IF(OR($AB299="מיקוד בשטף קריאה",$AB299="מיקוד בשטף הקריאה ובכישורי שפה"),"רמה א'",IF($AB299="קוראים וכותבים מיומנים","רמה ג'","רמה ב'")))</f>
        <v/>
      </c>
      <c r="AD299" s="32">
        <f>IF($AC299="","",MID(IF(AND($AC299="רמה א'",$AA299="ניכרת"),"; להוסיף עבודת אוצר מילים","")&amp;IF($Z299="אינה מפותחת","; דגש על הבעה בכתב","")&amp;IF($K299&lt;&gt;"תקין","; נדרש לעבוד על ההנגנה","")&amp;IF($AK299&lt;&gt;"","; "&amp;$AK299,""),3,400))</f>
        <v/>
      </c>
      <c r="AE299" s="32">
        <f>IF($F299="","",IF($F299="תחילת שנה",1,IF($F299="מחצית שנה",2,3)))</f>
        <v/>
      </c>
      <c r="AF299" s="32">
        <f>IF(OR($B299="",$AC299="",$A299="",$F299=""),"",$B299&amp;"|"&amp;$A299&amp;"|"&amp;$F299&amp;"|"&amp;$AC299&amp;"|"&amp;COUNTIFS($B$6:$B299,$B299,$A$6:$A299,$A299,$F$6:$F299,$F299,$AC$6:$AC299,$AC299))</f>
        <v/>
      </c>
      <c r="AG299" s="32">
        <f>IF($C299="","",$C299&amp;"|"&amp;COUNTIFS($C$6:$C299,$C299))</f>
        <v/>
      </c>
      <c r="AH299" s="32">
        <f>IF(OR($C299="",$A299="",$AE299=""),"",$C299&amp;"|"&amp;$A299&amp;"|"&amp;$AE299)</f>
        <v/>
      </c>
      <c r="AI299" s="32">
        <f>IF(OR($C299="",$AE299="",$AE299=1),"",IFERROR(INDEX($AC$6:$AC$1505,MATCH($C299&amp;"|"&amp;$A299&amp;"|"&amp;($AE299-1),$AH$6:$AH$1505,0)),""))</f>
        <v/>
      </c>
      <c r="AJ299" s="32">
        <f>IF(OR($AI299="",$AC299=""),"",IF($AI299=$AC299,"ללא שינוי","מ-"&amp;$AI299&amp;" ל-"&amp;$AC299))</f>
        <v/>
      </c>
      <c r="AK299" s="67" t="n"/>
    </row>
    <row r="300" ht="15.75" customHeight="1" s="58">
      <c r="A300" s="65" t="n"/>
      <c r="B300" s="65" t="n"/>
      <c r="C300" s="66" t="n"/>
      <c r="D300" s="66" t="n"/>
      <c r="E300" s="65" t="n"/>
      <c r="F300" s="65" t="n"/>
      <c r="G300" s="65" t="n"/>
      <c r="H300" s="65" t="n"/>
      <c r="I300" s="65" t="n"/>
      <c r="J300" s="65" t="n"/>
      <c r="K300" s="65" t="n"/>
      <c r="L300" s="65" t="n"/>
      <c r="M300" s="65" t="n"/>
      <c r="N300" s="65" t="n"/>
      <c r="O300" s="65" t="n"/>
      <c r="P300" s="65" t="n"/>
      <c r="Q300" s="65" t="n"/>
      <c r="R300" s="65" t="n"/>
      <c r="S300" s="65" t="n"/>
      <c r="T300" s="65" t="n"/>
      <c r="U300" s="65" t="n"/>
      <c r="V300" s="65" t="n"/>
      <c r="W300" s="65" t="n"/>
      <c r="X300" s="65" t="n"/>
      <c r="Y300" s="32">
        <f>IF($C300="","",IF(COUNTA($I300:$K300)&lt;3,"— חסרים נתונים",IF(AND($I300="תקין",$J300="תקין",$K300="תקין"),"רהוטה",IF(AND($I300="תקין",$J300="תקין"),"מדויקת ורציפה","אינה מדויקת או מקוטעת"))))</f>
        <v/>
      </c>
      <c r="Z300" s="32">
        <f>IF($C300="","",IF(COUNTA($U300:$W300)&lt;3,"",IF(AND($U300="מפותח",$V300="מפותח",$W300="מפותחת"),"מפותחת",IF((--($U300="דל"))+(--($V300="אינו מפותח"))+(--($W300="דלה"))&gt;=2,"אינה מפותחת","חלקית"))))</f>
        <v/>
      </c>
      <c r="AA300" s="32">
        <f>IF($C300="","",IF(COUNTA($M300,$N300,$O300)&lt;3,"— חסרים נתונים",IF(OR($M300="נמוכה",(--($M300&lt;&gt;"תקינה"))+(--($N300&lt;&gt;"תקין"))+(--($O300&lt;&gt;"תקינה"))&gt;=2),"ניכרת","אינה ניכרת")))</f>
        <v/>
      </c>
      <c r="AB300" s="32">
        <f>IF(OR($C300="",$Y300="",$AA300="",LEFT($Y300,1)="—",LEFT($AA300,1)="—"),"",IF($Z300="","— נדרשת הערכת כתיבה",IF($L300="","— חסרה הבנת הנקרא",IF($Y300="אינה מדויקת או מקוטעת",IF($AA300="ניכרת","מיקוד בשטף הקריאה ובכישורי שפה","מיקוד בשטף קריאה"),IF($AA300="ניכרת","מיקוד בכישורי שפה",IF(AND($L300="תקינה",$Z300="מפותחת"),"קוראים וכותבים מיומנים","מיקוד בהבנה והבעה"))))))</f>
        <v/>
      </c>
      <c r="AC300" s="32">
        <f>IF(OR($AB300="",LEFT($AB300,1)="—"),"",IF(OR($AB300="מיקוד בשטף קריאה",$AB300="מיקוד בשטף הקריאה ובכישורי שפה"),"רמה א'",IF($AB300="קוראים וכותבים מיומנים","רמה ג'","רמה ב'")))</f>
        <v/>
      </c>
      <c r="AD300" s="32">
        <f>IF($AC300="","",MID(IF(AND($AC300="רמה א'",$AA300="ניכרת"),"; להוסיף עבודת אוצר מילים","")&amp;IF($Z300="אינה מפותחת","; דגש על הבעה בכתב","")&amp;IF($K300&lt;&gt;"תקין","; נדרש לעבוד על ההנגנה","")&amp;IF($AK300&lt;&gt;"","; "&amp;$AK300,""),3,400))</f>
        <v/>
      </c>
      <c r="AE300" s="32">
        <f>IF($F300="","",IF($F300="תחילת שנה",1,IF($F300="מחצית שנה",2,3)))</f>
        <v/>
      </c>
      <c r="AF300" s="32">
        <f>IF(OR($B300="",$AC300="",$A300="",$F300=""),"",$B300&amp;"|"&amp;$A300&amp;"|"&amp;$F300&amp;"|"&amp;$AC300&amp;"|"&amp;COUNTIFS($B$6:$B300,$B300,$A$6:$A300,$A300,$F$6:$F300,$F300,$AC$6:$AC300,$AC300))</f>
        <v/>
      </c>
      <c r="AG300" s="32">
        <f>IF($C300="","",$C300&amp;"|"&amp;COUNTIFS($C$6:$C300,$C300))</f>
        <v/>
      </c>
      <c r="AH300" s="32">
        <f>IF(OR($C300="",$A300="",$AE300=""),"",$C300&amp;"|"&amp;$A300&amp;"|"&amp;$AE300)</f>
        <v/>
      </c>
      <c r="AI300" s="32">
        <f>IF(OR($C300="",$AE300="",$AE300=1),"",IFERROR(INDEX($AC$6:$AC$1505,MATCH($C300&amp;"|"&amp;$A300&amp;"|"&amp;($AE300-1),$AH$6:$AH$1505,0)),""))</f>
        <v/>
      </c>
      <c r="AJ300" s="32">
        <f>IF(OR($AI300="",$AC300=""),"",IF($AI300=$AC300,"ללא שינוי","מ-"&amp;$AI300&amp;" ל-"&amp;$AC300))</f>
        <v/>
      </c>
      <c r="AK300" s="67" t="n"/>
    </row>
    <row r="301" ht="15.75" customHeight="1" s="58">
      <c r="A301" s="65" t="n"/>
      <c r="B301" s="65" t="n"/>
      <c r="C301" s="66" t="n"/>
      <c r="D301" s="66" t="n"/>
      <c r="E301" s="65" t="n"/>
      <c r="F301" s="65" t="n"/>
      <c r="G301" s="65" t="n"/>
      <c r="H301" s="65" t="n"/>
      <c r="I301" s="65" t="n"/>
      <c r="J301" s="65" t="n"/>
      <c r="K301" s="65" t="n"/>
      <c r="L301" s="65" t="n"/>
      <c r="M301" s="65" t="n"/>
      <c r="N301" s="65" t="n"/>
      <c r="O301" s="65" t="n"/>
      <c r="P301" s="65" t="n"/>
      <c r="Q301" s="65" t="n"/>
      <c r="R301" s="65" t="n"/>
      <c r="S301" s="65" t="n"/>
      <c r="T301" s="65" t="n"/>
      <c r="U301" s="65" t="n"/>
      <c r="V301" s="65" t="n"/>
      <c r="W301" s="65" t="n"/>
      <c r="X301" s="65" t="n"/>
      <c r="Y301" s="32">
        <f>IF($C301="","",IF(COUNTA($I301:$K301)&lt;3,"— חסרים נתונים",IF(AND($I301="תקין",$J301="תקין",$K301="תקין"),"רהוטה",IF(AND($I301="תקין",$J301="תקין"),"מדויקת ורציפה","אינה מדויקת או מקוטעת"))))</f>
        <v/>
      </c>
      <c r="Z301" s="32">
        <f>IF($C301="","",IF(COUNTA($U301:$W301)&lt;3,"",IF(AND($U301="מפותח",$V301="מפותח",$W301="מפותחת"),"מפותחת",IF((--($U301="דל"))+(--($V301="אינו מפותח"))+(--($W301="דלה"))&gt;=2,"אינה מפותחת","חלקית"))))</f>
        <v/>
      </c>
      <c r="AA301" s="32">
        <f>IF($C301="","",IF(COUNTA($M301,$N301,$O301)&lt;3,"— חסרים נתונים",IF(OR($M301="נמוכה",(--($M301&lt;&gt;"תקינה"))+(--($N301&lt;&gt;"תקין"))+(--($O301&lt;&gt;"תקינה"))&gt;=2),"ניכרת","אינה ניכרת")))</f>
        <v/>
      </c>
      <c r="AB301" s="32">
        <f>IF(OR($C301="",$Y301="",$AA301="",LEFT($Y301,1)="—",LEFT($AA301,1)="—"),"",IF($Z301="","— נדרשת הערכת כתיבה",IF($L301="","— חסרה הבנת הנקרא",IF($Y301="אינה מדויקת או מקוטעת",IF($AA301="ניכרת","מיקוד בשטף הקריאה ובכישורי שפה","מיקוד בשטף קריאה"),IF($AA301="ניכרת","מיקוד בכישורי שפה",IF(AND($L301="תקינה",$Z301="מפותחת"),"קוראים וכותבים מיומנים","מיקוד בהבנה והבעה"))))))</f>
        <v/>
      </c>
      <c r="AC301" s="32">
        <f>IF(OR($AB301="",LEFT($AB301,1)="—"),"",IF(OR($AB301="מיקוד בשטף קריאה",$AB301="מיקוד בשטף הקריאה ובכישורי שפה"),"רמה א'",IF($AB301="קוראים וכותבים מיומנים","רמה ג'","רמה ב'")))</f>
        <v/>
      </c>
      <c r="AD301" s="32">
        <f>IF($AC301="","",MID(IF(AND($AC301="רמה א'",$AA301="ניכרת"),"; להוסיף עבודת אוצר מילים","")&amp;IF($Z301="אינה מפותחת","; דגש על הבעה בכתב","")&amp;IF($K301&lt;&gt;"תקין","; נדרש לעבוד על ההנגנה","")&amp;IF($AK301&lt;&gt;"","; "&amp;$AK301,""),3,400))</f>
        <v/>
      </c>
      <c r="AE301" s="32">
        <f>IF($F301="","",IF($F301="תחילת שנה",1,IF($F301="מחצית שנה",2,3)))</f>
        <v/>
      </c>
      <c r="AF301" s="32">
        <f>IF(OR($B301="",$AC301="",$A301="",$F301=""),"",$B301&amp;"|"&amp;$A301&amp;"|"&amp;$F301&amp;"|"&amp;$AC301&amp;"|"&amp;COUNTIFS($B$6:$B301,$B301,$A$6:$A301,$A301,$F$6:$F301,$F301,$AC$6:$AC301,$AC301))</f>
        <v/>
      </c>
      <c r="AG301" s="32">
        <f>IF($C301="","",$C301&amp;"|"&amp;COUNTIFS($C$6:$C301,$C301))</f>
        <v/>
      </c>
      <c r="AH301" s="32">
        <f>IF(OR($C301="",$A301="",$AE301=""),"",$C301&amp;"|"&amp;$A301&amp;"|"&amp;$AE301)</f>
        <v/>
      </c>
      <c r="AI301" s="32">
        <f>IF(OR($C301="",$AE301="",$AE301=1),"",IFERROR(INDEX($AC$6:$AC$1505,MATCH($C301&amp;"|"&amp;$A301&amp;"|"&amp;($AE301-1),$AH$6:$AH$1505,0)),""))</f>
        <v/>
      </c>
      <c r="AJ301" s="32">
        <f>IF(OR($AI301="",$AC301=""),"",IF($AI301=$AC301,"ללא שינוי","מ-"&amp;$AI301&amp;" ל-"&amp;$AC301))</f>
        <v/>
      </c>
      <c r="AK301" s="67" t="n"/>
    </row>
    <row r="302" ht="15.75" customHeight="1" s="58">
      <c r="A302" s="65" t="n"/>
      <c r="B302" s="65" t="n"/>
      <c r="C302" s="66" t="n"/>
      <c r="D302" s="66" t="n"/>
      <c r="E302" s="65" t="n"/>
      <c r="F302" s="65" t="n"/>
      <c r="G302" s="65" t="n"/>
      <c r="H302" s="65" t="n"/>
      <c r="I302" s="65" t="n"/>
      <c r="J302" s="65" t="n"/>
      <c r="K302" s="65" t="n"/>
      <c r="L302" s="65" t="n"/>
      <c r="M302" s="65" t="n"/>
      <c r="N302" s="65" t="n"/>
      <c r="O302" s="65" t="n"/>
      <c r="P302" s="65" t="n"/>
      <c r="Q302" s="65" t="n"/>
      <c r="R302" s="65" t="n"/>
      <c r="S302" s="65" t="n"/>
      <c r="T302" s="65" t="n"/>
      <c r="U302" s="65" t="n"/>
      <c r="V302" s="65" t="n"/>
      <c r="W302" s="65" t="n"/>
      <c r="X302" s="65" t="n"/>
      <c r="Y302" s="32">
        <f>IF($C302="","",IF(COUNTA($I302:$K302)&lt;3,"— חסרים נתונים",IF(AND($I302="תקין",$J302="תקין",$K302="תקין"),"רהוטה",IF(AND($I302="תקין",$J302="תקין"),"מדויקת ורציפה","אינה מדויקת או מקוטעת"))))</f>
        <v/>
      </c>
      <c r="Z302" s="32">
        <f>IF($C302="","",IF(COUNTA($U302:$W302)&lt;3,"",IF(AND($U302="מפותח",$V302="מפותח",$W302="מפותחת"),"מפותחת",IF((--($U302="דל"))+(--($V302="אינו מפותח"))+(--($W302="דלה"))&gt;=2,"אינה מפותחת","חלקית"))))</f>
        <v/>
      </c>
      <c r="AA302" s="32">
        <f>IF($C302="","",IF(COUNTA($M302,$N302,$O302)&lt;3,"— חסרים נתונים",IF(OR($M302="נמוכה",(--($M302&lt;&gt;"תקינה"))+(--($N302&lt;&gt;"תקין"))+(--($O302&lt;&gt;"תקינה"))&gt;=2),"ניכרת","אינה ניכרת")))</f>
        <v/>
      </c>
      <c r="AB302" s="32">
        <f>IF(OR($C302="",$Y302="",$AA302="",LEFT($Y302,1)="—",LEFT($AA302,1)="—"),"",IF($Z302="","— נדרשת הערכת כתיבה",IF($L302="","— חסרה הבנת הנקרא",IF($Y302="אינה מדויקת או מקוטעת",IF($AA302="ניכרת","מיקוד בשטף הקריאה ובכישורי שפה","מיקוד בשטף קריאה"),IF($AA302="ניכרת","מיקוד בכישורי שפה",IF(AND($L302="תקינה",$Z302="מפותחת"),"קוראים וכותבים מיומנים","מיקוד בהבנה והבעה"))))))</f>
        <v/>
      </c>
      <c r="AC302" s="32">
        <f>IF(OR($AB302="",LEFT($AB302,1)="—"),"",IF(OR($AB302="מיקוד בשטף קריאה",$AB302="מיקוד בשטף הקריאה ובכישורי שפה"),"רמה א'",IF($AB302="קוראים וכותבים מיומנים","רמה ג'","רמה ב'")))</f>
        <v/>
      </c>
      <c r="AD302" s="32">
        <f>IF($AC302="","",MID(IF(AND($AC302="רמה א'",$AA302="ניכרת"),"; להוסיף עבודת אוצר מילים","")&amp;IF($Z302="אינה מפותחת","; דגש על הבעה בכתב","")&amp;IF($K302&lt;&gt;"תקין","; נדרש לעבוד על ההנגנה","")&amp;IF($AK302&lt;&gt;"","; "&amp;$AK302,""),3,400))</f>
        <v/>
      </c>
      <c r="AE302" s="32">
        <f>IF($F302="","",IF($F302="תחילת שנה",1,IF($F302="מחצית שנה",2,3)))</f>
        <v/>
      </c>
      <c r="AF302" s="32">
        <f>IF(OR($B302="",$AC302="",$A302="",$F302=""),"",$B302&amp;"|"&amp;$A302&amp;"|"&amp;$F302&amp;"|"&amp;$AC302&amp;"|"&amp;COUNTIFS($B$6:$B302,$B302,$A$6:$A302,$A302,$F$6:$F302,$F302,$AC$6:$AC302,$AC302))</f>
        <v/>
      </c>
      <c r="AG302" s="32">
        <f>IF($C302="","",$C302&amp;"|"&amp;COUNTIFS($C$6:$C302,$C302))</f>
        <v/>
      </c>
      <c r="AH302" s="32">
        <f>IF(OR($C302="",$A302="",$AE302=""),"",$C302&amp;"|"&amp;$A302&amp;"|"&amp;$AE302)</f>
        <v/>
      </c>
      <c r="AI302" s="32">
        <f>IF(OR($C302="",$AE302="",$AE302=1),"",IFERROR(INDEX($AC$6:$AC$1505,MATCH($C302&amp;"|"&amp;$A302&amp;"|"&amp;($AE302-1),$AH$6:$AH$1505,0)),""))</f>
        <v/>
      </c>
      <c r="AJ302" s="32">
        <f>IF(OR($AI302="",$AC302=""),"",IF($AI302=$AC302,"ללא שינוי","מ-"&amp;$AI302&amp;" ל-"&amp;$AC302))</f>
        <v/>
      </c>
      <c r="AK302" s="67" t="n"/>
    </row>
    <row r="303" ht="15.75" customHeight="1" s="58">
      <c r="A303" s="65" t="n"/>
      <c r="B303" s="65" t="n"/>
      <c r="C303" s="66" t="n"/>
      <c r="D303" s="66" t="n"/>
      <c r="E303" s="65" t="n"/>
      <c r="F303" s="65" t="n"/>
      <c r="G303" s="65" t="n"/>
      <c r="H303" s="65" t="n"/>
      <c r="I303" s="65" t="n"/>
      <c r="J303" s="65" t="n"/>
      <c r="K303" s="65" t="n"/>
      <c r="L303" s="65" t="n"/>
      <c r="M303" s="65" t="n"/>
      <c r="N303" s="65" t="n"/>
      <c r="O303" s="65" t="n"/>
      <c r="P303" s="65" t="n"/>
      <c r="Q303" s="65" t="n"/>
      <c r="R303" s="65" t="n"/>
      <c r="S303" s="65" t="n"/>
      <c r="T303" s="65" t="n"/>
      <c r="U303" s="65" t="n"/>
      <c r="V303" s="65" t="n"/>
      <c r="W303" s="65" t="n"/>
      <c r="X303" s="65" t="n"/>
      <c r="Y303" s="32">
        <f>IF($C303="","",IF(COUNTA($I303:$K303)&lt;3,"— חסרים נתונים",IF(AND($I303="תקין",$J303="תקין",$K303="תקין"),"רהוטה",IF(AND($I303="תקין",$J303="תקין"),"מדויקת ורציפה","אינה מדויקת או מקוטעת"))))</f>
        <v/>
      </c>
      <c r="Z303" s="32">
        <f>IF($C303="","",IF(COUNTA($U303:$W303)&lt;3,"",IF(AND($U303="מפותח",$V303="מפותח",$W303="מפותחת"),"מפותחת",IF((--($U303="דל"))+(--($V303="אינו מפותח"))+(--($W303="דלה"))&gt;=2,"אינה מפותחת","חלקית"))))</f>
        <v/>
      </c>
      <c r="AA303" s="32">
        <f>IF($C303="","",IF(COUNTA($M303,$N303,$O303)&lt;3,"— חסרים נתונים",IF(OR($M303="נמוכה",(--($M303&lt;&gt;"תקינה"))+(--($N303&lt;&gt;"תקין"))+(--($O303&lt;&gt;"תקינה"))&gt;=2),"ניכרת","אינה ניכרת")))</f>
        <v/>
      </c>
      <c r="AB303" s="32">
        <f>IF(OR($C303="",$Y303="",$AA303="",LEFT($Y303,1)="—",LEFT($AA303,1)="—"),"",IF($Z303="","— נדרשת הערכת כתיבה",IF($L303="","— חסרה הבנת הנקרא",IF($Y303="אינה מדויקת או מקוטעת",IF($AA303="ניכרת","מיקוד בשטף הקריאה ובכישורי שפה","מיקוד בשטף קריאה"),IF($AA303="ניכרת","מיקוד בכישורי שפה",IF(AND($L303="תקינה",$Z303="מפותחת"),"קוראים וכותבים מיומנים","מיקוד בהבנה והבעה"))))))</f>
        <v/>
      </c>
      <c r="AC303" s="32">
        <f>IF(OR($AB303="",LEFT($AB303,1)="—"),"",IF(OR($AB303="מיקוד בשטף קריאה",$AB303="מיקוד בשטף הקריאה ובכישורי שפה"),"רמה א'",IF($AB303="קוראים וכותבים מיומנים","רמה ג'","רמה ב'")))</f>
        <v/>
      </c>
      <c r="AD303" s="32">
        <f>IF($AC303="","",MID(IF(AND($AC303="רמה א'",$AA303="ניכרת"),"; להוסיף עבודת אוצר מילים","")&amp;IF($Z303="אינה מפותחת","; דגש על הבעה בכתב","")&amp;IF($K303&lt;&gt;"תקין","; נדרש לעבוד על ההנגנה","")&amp;IF($AK303&lt;&gt;"","; "&amp;$AK303,""),3,400))</f>
        <v/>
      </c>
      <c r="AE303" s="32">
        <f>IF($F303="","",IF($F303="תחילת שנה",1,IF($F303="מחצית שנה",2,3)))</f>
        <v/>
      </c>
      <c r="AF303" s="32">
        <f>IF(OR($B303="",$AC303="",$A303="",$F303=""),"",$B303&amp;"|"&amp;$A303&amp;"|"&amp;$F303&amp;"|"&amp;$AC303&amp;"|"&amp;COUNTIFS($B$6:$B303,$B303,$A$6:$A303,$A303,$F$6:$F303,$F303,$AC$6:$AC303,$AC303))</f>
        <v/>
      </c>
      <c r="AG303" s="32">
        <f>IF($C303="","",$C303&amp;"|"&amp;COUNTIFS($C$6:$C303,$C303))</f>
        <v/>
      </c>
      <c r="AH303" s="32">
        <f>IF(OR($C303="",$A303="",$AE303=""),"",$C303&amp;"|"&amp;$A303&amp;"|"&amp;$AE303)</f>
        <v/>
      </c>
      <c r="AI303" s="32">
        <f>IF(OR($C303="",$AE303="",$AE303=1),"",IFERROR(INDEX($AC$6:$AC$1505,MATCH($C303&amp;"|"&amp;$A303&amp;"|"&amp;($AE303-1),$AH$6:$AH$1505,0)),""))</f>
        <v/>
      </c>
      <c r="AJ303" s="32">
        <f>IF(OR($AI303="",$AC303=""),"",IF($AI303=$AC303,"ללא שינוי","מ-"&amp;$AI303&amp;" ל-"&amp;$AC303))</f>
        <v/>
      </c>
      <c r="AK303" s="67" t="n"/>
    </row>
    <row r="304" ht="15.75" customHeight="1" s="58">
      <c r="A304" s="65" t="n"/>
      <c r="B304" s="65" t="n"/>
      <c r="C304" s="66" t="n"/>
      <c r="D304" s="66" t="n"/>
      <c r="E304" s="65" t="n"/>
      <c r="F304" s="65" t="n"/>
      <c r="G304" s="65" t="n"/>
      <c r="H304" s="65" t="n"/>
      <c r="I304" s="65" t="n"/>
      <c r="J304" s="65" t="n"/>
      <c r="K304" s="65" t="n"/>
      <c r="L304" s="65" t="n"/>
      <c r="M304" s="65" t="n"/>
      <c r="N304" s="65" t="n"/>
      <c r="O304" s="65" t="n"/>
      <c r="P304" s="65" t="n"/>
      <c r="Q304" s="65" t="n"/>
      <c r="R304" s="65" t="n"/>
      <c r="S304" s="65" t="n"/>
      <c r="T304" s="65" t="n"/>
      <c r="U304" s="65" t="n"/>
      <c r="V304" s="65" t="n"/>
      <c r="W304" s="65" t="n"/>
      <c r="X304" s="65" t="n"/>
      <c r="Y304" s="32">
        <f>IF($C304="","",IF(COUNTA($I304:$K304)&lt;3,"— חסרים נתונים",IF(AND($I304="תקין",$J304="תקין",$K304="תקין"),"רהוטה",IF(AND($I304="תקין",$J304="תקין"),"מדויקת ורציפה","אינה מדויקת או מקוטעת"))))</f>
        <v/>
      </c>
      <c r="Z304" s="32">
        <f>IF($C304="","",IF(COUNTA($U304:$W304)&lt;3,"",IF(AND($U304="מפותח",$V304="מפותח",$W304="מפותחת"),"מפותחת",IF((--($U304="דל"))+(--($V304="אינו מפותח"))+(--($W304="דלה"))&gt;=2,"אינה מפותחת","חלקית"))))</f>
        <v/>
      </c>
      <c r="AA304" s="32">
        <f>IF($C304="","",IF(COUNTA($M304,$N304,$O304)&lt;3,"— חסרים נתונים",IF(OR($M304="נמוכה",(--($M304&lt;&gt;"תקינה"))+(--($N304&lt;&gt;"תקין"))+(--($O304&lt;&gt;"תקינה"))&gt;=2),"ניכרת","אינה ניכרת")))</f>
        <v/>
      </c>
      <c r="AB304" s="32">
        <f>IF(OR($C304="",$Y304="",$AA304="",LEFT($Y304,1)="—",LEFT($AA304,1)="—"),"",IF($Z304="","— נדרשת הערכת כתיבה",IF($L304="","— חסרה הבנת הנקרא",IF($Y304="אינה מדויקת או מקוטעת",IF($AA304="ניכרת","מיקוד בשטף הקריאה ובכישורי שפה","מיקוד בשטף קריאה"),IF($AA304="ניכרת","מיקוד בכישורי שפה",IF(AND($L304="תקינה",$Z304="מפותחת"),"קוראים וכותבים מיומנים","מיקוד בהבנה והבעה"))))))</f>
        <v/>
      </c>
      <c r="AC304" s="32">
        <f>IF(OR($AB304="",LEFT($AB304,1)="—"),"",IF(OR($AB304="מיקוד בשטף קריאה",$AB304="מיקוד בשטף הקריאה ובכישורי שפה"),"רמה א'",IF($AB304="קוראים וכותבים מיומנים","רמה ג'","רמה ב'")))</f>
        <v/>
      </c>
      <c r="AD304" s="32">
        <f>IF($AC304="","",MID(IF(AND($AC304="רמה א'",$AA304="ניכרת"),"; להוסיף עבודת אוצר מילים","")&amp;IF($Z304="אינה מפותחת","; דגש על הבעה בכתב","")&amp;IF($K304&lt;&gt;"תקין","; נדרש לעבוד על ההנגנה","")&amp;IF($AK304&lt;&gt;"","; "&amp;$AK304,""),3,400))</f>
        <v/>
      </c>
      <c r="AE304" s="32">
        <f>IF($F304="","",IF($F304="תחילת שנה",1,IF($F304="מחצית שנה",2,3)))</f>
        <v/>
      </c>
      <c r="AF304" s="32">
        <f>IF(OR($B304="",$AC304="",$A304="",$F304=""),"",$B304&amp;"|"&amp;$A304&amp;"|"&amp;$F304&amp;"|"&amp;$AC304&amp;"|"&amp;COUNTIFS($B$6:$B304,$B304,$A$6:$A304,$A304,$F$6:$F304,$F304,$AC$6:$AC304,$AC304))</f>
        <v/>
      </c>
      <c r="AG304" s="32">
        <f>IF($C304="","",$C304&amp;"|"&amp;COUNTIFS($C$6:$C304,$C304))</f>
        <v/>
      </c>
      <c r="AH304" s="32">
        <f>IF(OR($C304="",$A304="",$AE304=""),"",$C304&amp;"|"&amp;$A304&amp;"|"&amp;$AE304)</f>
        <v/>
      </c>
      <c r="AI304" s="32">
        <f>IF(OR($C304="",$AE304="",$AE304=1),"",IFERROR(INDEX($AC$6:$AC$1505,MATCH($C304&amp;"|"&amp;$A304&amp;"|"&amp;($AE304-1),$AH$6:$AH$1505,0)),""))</f>
        <v/>
      </c>
      <c r="AJ304" s="32">
        <f>IF(OR($AI304="",$AC304=""),"",IF($AI304=$AC304,"ללא שינוי","מ-"&amp;$AI304&amp;" ל-"&amp;$AC304))</f>
        <v/>
      </c>
      <c r="AK304" s="67" t="n"/>
    </row>
    <row r="305" ht="15.75" customHeight="1" s="58">
      <c r="A305" s="65" t="n"/>
      <c r="B305" s="65" t="n"/>
      <c r="C305" s="66" t="n"/>
      <c r="D305" s="66" t="n"/>
      <c r="E305" s="65" t="n"/>
      <c r="F305" s="65" t="n"/>
      <c r="G305" s="65" t="n"/>
      <c r="H305" s="65" t="n"/>
      <c r="I305" s="65" t="n"/>
      <c r="J305" s="65" t="n"/>
      <c r="K305" s="65" t="n"/>
      <c r="L305" s="65" t="n"/>
      <c r="M305" s="65" t="n"/>
      <c r="N305" s="65" t="n"/>
      <c r="O305" s="65" t="n"/>
      <c r="P305" s="65" t="n"/>
      <c r="Q305" s="65" t="n"/>
      <c r="R305" s="65" t="n"/>
      <c r="S305" s="65" t="n"/>
      <c r="T305" s="65" t="n"/>
      <c r="U305" s="65" t="n"/>
      <c r="V305" s="65" t="n"/>
      <c r="W305" s="65" t="n"/>
      <c r="X305" s="65" t="n"/>
      <c r="Y305" s="32">
        <f>IF($C305="","",IF(COUNTA($I305:$K305)&lt;3,"— חסרים נתונים",IF(AND($I305="תקין",$J305="תקין",$K305="תקין"),"רהוטה",IF(AND($I305="תקין",$J305="תקין"),"מדויקת ורציפה","אינה מדויקת או מקוטעת"))))</f>
        <v/>
      </c>
      <c r="Z305" s="32">
        <f>IF($C305="","",IF(COUNTA($U305:$W305)&lt;3,"",IF(AND($U305="מפותח",$V305="מפותח",$W305="מפותחת"),"מפותחת",IF((--($U305="דל"))+(--($V305="אינו מפותח"))+(--($W305="דלה"))&gt;=2,"אינה מפותחת","חלקית"))))</f>
        <v/>
      </c>
      <c r="AA305" s="32">
        <f>IF($C305="","",IF(COUNTA($M305,$N305,$O305)&lt;3,"— חסרים נתונים",IF(OR($M305="נמוכה",(--($M305&lt;&gt;"תקינה"))+(--($N305&lt;&gt;"תקין"))+(--($O305&lt;&gt;"תקינה"))&gt;=2),"ניכרת","אינה ניכרת")))</f>
        <v/>
      </c>
      <c r="AB305" s="32">
        <f>IF(OR($C305="",$Y305="",$AA305="",LEFT($Y305,1)="—",LEFT($AA305,1)="—"),"",IF($Z305="","— נדרשת הערכת כתיבה",IF($L305="","— חסרה הבנת הנקרא",IF($Y305="אינה מדויקת או מקוטעת",IF($AA305="ניכרת","מיקוד בשטף הקריאה ובכישורי שפה","מיקוד בשטף קריאה"),IF($AA305="ניכרת","מיקוד בכישורי שפה",IF(AND($L305="תקינה",$Z305="מפותחת"),"קוראים וכותבים מיומנים","מיקוד בהבנה והבעה"))))))</f>
        <v/>
      </c>
      <c r="AC305" s="32">
        <f>IF(OR($AB305="",LEFT($AB305,1)="—"),"",IF(OR($AB305="מיקוד בשטף קריאה",$AB305="מיקוד בשטף הקריאה ובכישורי שפה"),"רמה א'",IF($AB305="קוראים וכותבים מיומנים","רמה ג'","רמה ב'")))</f>
        <v/>
      </c>
      <c r="AD305" s="32">
        <f>IF($AC305="","",MID(IF(AND($AC305="רמה א'",$AA305="ניכרת"),"; להוסיף עבודת אוצר מילים","")&amp;IF($Z305="אינה מפותחת","; דגש על הבעה בכתב","")&amp;IF($K305&lt;&gt;"תקין","; נדרש לעבוד על ההנגנה","")&amp;IF($AK305&lt;&gt;"","; "&amp;$AK305,""),3,400))</f>
        <v/>
      </c>
      <c r="AE305" s="32">
        <f>IF($F305="","",IF($F305="תחילת שנה",1,IF($F305="מחצית שנה",2,3)))</f>
        <v/>
      </c>
      <c r="AF305" s="32">
        <f>IF(OR($B305="",$AC305="",$A305="",$F305=""),"",$B305&amp;"|"&amp;$A305&amp;"|"&amp;$F305&amp;"|"&amp;$AC305&amp;"|"&amp;COUNTIFS($B$6:$B305,$B305,$A$6:$A305,$A305,$F$6:$F305,$F305,$AC$6:$AC305,$AC305))</f>
        <v/>
      </c>
      <c r="AG305" s="32">
        <f>IF($C305="","",$C305&amp;"|"&amp;COUNTIFS($C$6:$C305,$C305))</f>
        <v/>
      </c>
      <c r="AH305" s="32">
        <f>IF(OR($C305="",$A305="",$AE305=""),"",$C305&amp;"|"&amp;$A305&amp;"|"&amp;$AE305)</f>
        <v/>
      </c>
      <c r="AI305" s="32">
        <f>IF(OR($C305="",$AE305="",$AE305=1),"",IFERROR(INDEX($AC$6:$AC$1505,MATCH($C305&amp;"|"&amp;$A305&amp;"|"&amp;($AE305-1),$AH$6:$AH$1505,0)),""))</f>
        <v/>
      </c>
      <c r="AJ305" s="32">
        <f>IF(OR($AI305="",$AC305=""),"",IF($AI305=$AC305,"ללא שינוי","מ-"&amp;$AI305&amp;" ל-"&amp;$AC305))</f>
        <v/>
      </c>
      <c r="AK305" s="67" t="n"/>
    </row>
    <row r="306" ht="15.75" customHeight="1" s="58">
      <c r="A306" s="65" t="n"/>
      <c r="B306" s="65" t="n"/>
      <c r="C306" s="66" t="n"/>
      <c r="D306" s="66" t="n"/>
      <c r="E306" s="65" t="n"/>
      <c r="F306" s="65" t="n"/>
      <c r="G306" s="65" t="n"/>
      <c r="H306" s="65" t="n"/>
      <c r="I306" s="65" t="n"/>
      <c r="J306" s="65" t="n"/>
      <c r="K306" s="65" t="n"/>
      <c r="L306" s="65" t="n"/>
      <c r="M306" s="65" t="n"/>
      <c r="N306" s="65" t="n"/>
      <c r="O306" s="65" t="n"/>
      <c r="P306" s="65" t="n"/>
      <c r="Q306" s="65" t="n"/>
      <c r="R306" s="65" t="n"/>
      <c r="S306" s="65" t="n"/>
      <c r="T306" s="65" t="n"/>
      <c r="U306" s="65" t="n"/>
      <c r="V306" s="65" t="n"/>
      <c r="W306" s="65" t="n"/>
      <c r="X306" s="65" t="n"/>
      <c r="Y306" s="32">
        <f>IF($C306="","",IF(COUNTA($I306:$K306)&lt;3,"— חסרים נתונים",IF(AND($I306="תקין",$J306="תקין",$K306="תקין"),"רהוטה",IF(AND($I306="תקין",$J306="תקין"),"מדויקת ורציפה","אינה מדויקת או מקוטעת"))))</f>
        <v/>
      </c>
      <c r="Z306" s="32">
        <f>IF($C306="","",IF(COUNTA($U306:$W306)&lt;3,"",IF(AND($U306="מפותח",$V306="מפותח",$W306="מפותחת"),"מפותחת",IF((--($U306="דל"))+(--($V306="אינו מפותח"))+(--($W306="דלה"))&gt;=2,"אינה מפותחת","חלקית"))))</f>
        <v/>
      </c>
      <c r="AA306" s="32">
        <f>IF($C306="","",IF(COUNTA($M306,$N306,$O306)&lt;3,"— חסרים נתונים",IF(OR($M306="נמוכה",(--($M306&lt;&gt;"תקינה"))+(--($N306&lt;&gt;"תקין"))+(--($O306&lt;&gt;"תקינה"))&gt;=2),"ניכרת","אינה ניכרת")))</f>
        <v/>
      </c>
      <c r="AB306" s="32">
        <f>IF(OR($C306="",$Y306="",$AA306="",LEFT($Y306,1)="—",LEFT($AA306,1)="—"),"",IF($Z306="","— נדרשת הערכת כתיבה",IF($L306="","— חסרה הבנת הנקרא",IF($Y306="אינה מדויקת או מקוטעת",IF($AA306="ניכרת","מיקוד בשטף הקריאה ובכישורי שפה","מיקוד בשטף קריאה"),IF($AA306="ניכרת","מיקוד בכישורי שפה",IF(AND($L306="תקינה",$Z306="מפותחת"),"קוראים וכותבים מיומנים","מיקוד בהבנה והבעה"))))))</f>
        <v/>
      </c>
      <c r="AC306" s="32">
        <f>IF(OR($AB306="",LEFT($AB306,1)="—"),"",IF(OR($AB306="מיקוד בשטף קריאה",$AB306="מיקוד בשטף הקריאה ובכישורי שפה"),"רמה א'",IF($AB306="קוראים וכותבים מיומנים","רמה ג'","רמה ב'")))</f>
        <v/>
      </c>
      <c r="AD306" s="32">
        <f>IF($AC306="","",MID(IF(AND($AC306="רמה א'",$AA306="ניכרת"),"; להוסיף עבודת אוצר מילים","")&amp;IF($Z306="אינה מפותחת","; דגש על הבעה בכתב","")&amp;IF($K306&lt;&gt;"תקין","; נדרש לעבוד על ההנגנה","")&amp;IF($AK306&lt;&gt;"","; "&amp;$AK306,""),3,400))</f>
        <v/>
      </c>
      <c r="AE306" s="32">
        <f>IF($F306="","",IF($F306="תחילת שנה",1,IF($F306="מחצית שנה",2,3)))</f>
        <v/>
      </c>
      <c r="AF306" s="32">
        <f>IF(OR($B306="",$AC306="",$A306="",$F306=""),"",$B306&amp;"|"&amp;$A306&amp;"|"&amp;$F306&amp;"|"&amp;$AC306&amp;"|"&amp;COUNTIFS($B$6:$B306,$B306,$A$6:$A306,$A306,$F$6:$F306,$F306,$AC$6:$AC306,$AC306))</f>
        <v/>
      </c>
      <c r="AG306" s="32">
        <f>IF($C306="","",$C306&amp;"|"&amp;COUNTIFS($C$6:$C306,$C306))</f>
        <v/>
      </c>
      <c r="AH306" s="32">
        <f>IF(OR($C306="",$A306="",$AE306=""),"",$C306&amp;"|"&amp;$A306&amp;"|"&amp;$AE306)</f>
        <v/>
      </c>
      <c r="AI306" s="32">
        <f>IF(OR($C306="",$AE306="",$AE306=1),"",IFERROR(INDEX($AC$6:$AC$1505,MATCH($C306&amp;"|"&amp;$A306&amp;"|"&amp;($AE306-1),$AH$6:$AH$1505,0)),""))</f>
        <v/>
      </c>
      <c r="AJ306" s="32">
        <f>IF(OR($AI306="",$AC306=""),"",IF($AI306=$AC306,"ללא שינוי","מ-"&amp;$AI306&amp;" ל-"&amp;$AC306))</f>
        <v/>
      </c>
      <c r="AK306" s="67" t="n"/>
    </row>
    <row r="307" ht="15.75" customHeight="1" s="58">
      <c r="A307" s="65" t="n"/>
      <c r="B307" s="65" t="n"/>
      <c r="C307" s="66" t="n"/>
      <c r="D307" s="66" t="n"/>
      <c r="E307" s="65" t="n"/>
      <c r="F307" s="65" t="n"/>
      <c r="G307" s="65" t="n"/>
      <c r="H307" s="65" t="n"/>
      <c r="I307" s="65" t="n"/>
      <c r="J307" s="65" t="n"/>
      <c r="K307" s="65" t="n"/>
      <c r="L307" s="65" t="n"/>
      <c r="M307" s="65" t="n"/>
      <c r="N307" s="65" t="n"/>
      <c r="O307" s="65" t="n"/>
      <c r="P307" s="65" t="n"/>
      <c r="Q307" s="65" t="n"/>
      <c r="R307" s="65" t="n"/>
      <c r="S307" s="65" t="n"/>
      <c r="T307" s="65" t="n"/>
      <c r="U307" s="65" t="n"/>
      <c r="V307" s="65" t="n"/>
      <c r="W307" s="65" t="n"/>
      <c r="X307" s="65" t="n"/>
      <c r="Y307" s="32">
        <f>IF($C307="","",IF(COUNTA($I307:$K307)&lt;3,"— חסרים נתונים",IF(AND($I307="תקין",$J307="תקין",$K307="תקין"),"רהוטה",IF(AND($I307="תקין",$J307="תקין"),"מדויקת ורציפה","אינה מדויקת או מקוטעת"))))</f>
        <v/>
      </c>
      <c r="Z307" s="32">
        <f>IF($C307="","",IF(COUNTA($U307:$W307)&lt;3,"",IF(AND($U307="מפותח",$V307="מפותח",$W307="מפותחת"),"מפותחת",IF((--($U307="דל"))+(--($V307="אינו מפותח"))+(--($W307="דלה"))&gt;=2,"אינה מפותחת","חלקית"))))</f>
        <v/>
      </c>
      <c r="AA307" s="32">
        <f>IF($C307="","",IF(COUNTA($M307,$N307,$O307)&lt;3,"— חסרים נתונים",IF(OR($M307="נמוכה",(--($M307&lt;&gt;"תקינה"))+(--($N307&lt;&gt;"תקין"))+(--($O307&lt;&gt;"תקינה"))&gt;=2),"ניכרת","אינה ניכרת")))</f>
        <v/>
      </c>
      <c r="AB307" s="32">
        <f>IF(OR($C307="",$Y307="",$AA307="",LEFT($Y307,1)="—",LEFT($AA307,1)="—"),"",IF($Z307="","— נדרשת הערכת כתיבה",IF($L307="","— חסרה הבנת הנקרא",IF($Y307="אינה מדויקת או מקוטעת",IF($AA307="ניכרת","מיקוד בשטף הקריאה ובכישורי שפה","מיקוד בשטף קריאה"),IF($AA307="ניכרת","מיקוד בכישורי שפה",IF(AND($L307="תקינה",$Z307="מפותחת"),"קוראים וכותבים מיומנים","מיקוד בהבנה והבעה"))))))</f>
        <v/>
      </c>
      <c r="AC307" s="32">
        <f>IF(OR($AB307="",LEFT($AB307,1)="—"),"",IF(OR($AB307="מיקוד בשטף קריאה",$AB307="מיקוד בשטף הקריאה ובכישורי שפה"),"רמה א'",IF($AB307="קוראים וכותבים מיומנים","רמה ג'","רמה ב'")))</f>
        <v/>
      </c>
      <c r="AD307" s="32">
        <f>IF($AC307="","",MID(IF(AND($AC307="רמה א'",$AA307="ניכרת"),"; להוסיף עבודת אוצר מילים","")&amp;IF($Z307="אינה מפותחת","; דגש על הבעה בכתב","")&amp;IF($K307&lt;&gt;"תקין","; נדרש לעבוד על ההנגנה","")&amp;IF($AK307&lt;&gt;"","; "&amp;$AK307,""),3,400))</f>
        <v/>
      </c>
      <c r="AE307" s="32">
        <f>IF($F307="","",IF($F307="תחילת שנה",1,IF($F307="מחצית שנה",2,3)))</f>
        <v/>
      </c>
      <c r="AF307" s="32">
        <f>IF(OR($B307="",$AC307="",$A307="",$F307=""),"",$B307&amp;"|"&amp;$A307&amp;"|"&amp;$F307&amp;"|"&amp;$AC307&amp;"|"&amp;COUNTIFS($B$6:$B307,$B307,$A$6:$A307,$A307,$F$6:$F307,$F307,$AC$6:$AC307,$AC307))</f>
        <v/>
      </c>
      <c r="AG307" s="32">
        <f>IF($C307="","",$C307&amp;"|"&amp;COUNTIFS($C$6:$C307,$C307))</f>
        <v/>
      </c>
      <c r="AH307" s="32">
        <f>IF(OR($C307="",$A307="",$AE307=""),"",$C307&amp;"|"&amp;$A307&amp;"|"&amp;$AE307)</f>
        <v/>
      </c>
      <c r="AI307" s="32">
        <f>IF(OR($C307="",$AE307="",$AE307=1),"",IFERROR(INDEX($AC$6:$AC$1505,MATCH($C307&amp;"|"&amp;$A307&amp;"|"&amp;($AE307-1),$AH$6:$AH$1505,0)),""))</f>
        <v/>
      </c>
      <c r="AJ307" s="32">
        <f>IF(OR($AI307="",$AC307=""),"",IF($AI307=$AC307,"ללא שינוי","מ-"&amp;$AI307&amp;" ל-"&amp;$AC307))</f>
        <v/>
      </c>
      <c r="AK307" s="67" t="n"/>
    </row>
    <row r="308" ht="15.75" customHeight="1" s="58">
      <c r="A308" s="65" t="n"/>
      <c r="B308" s="65" t="n"/>
      <c r="C308" s="66" t="n"/>
      <c r="D308" s="66" t="n"/>
      <c r="E308" s="65" t="n"/>
      <c r="F308" s="65" t="n"/>
      <c r="G308" s="65" t="n"/>
      <c r="H308" s="65" t="n"/>
      <c r="I308" s="65" t="n"/>
      <c r="J308" s="65" t="n"/>
      <c r="K308" s="65" t="n"/>
      <c r="L308" s="65" t="n"/>
      <c r="M308" s="65" t="n"/>
      <c r="N308" s="65" t="n"/>
      <c r="O308" s="65" t="n"/>
      <c r="P308" s="65" t="n"/>
      <c r="Q308" s="65" t="n"/>
      <c r="R308" s="65" t="n"/>
      <c r="S308" s="65" t="n"/>
      <c r="T308" s="65" t="n"/>
      <c r="U308" s="65" t="n"/>
      <c r="V308" s="65" t="n"/>
      <c r="W308" s="65" t="n"/>
      <c r="X308" s="65" t="n"/>
      <c r="Y308" s="32">
        <f>IF($C308="","",IF(COUNTA($I308:$K308)&lt;3,"— חסרים נתונים",IF(AND($I308="תקין",$J308="תקין",$K308="תקין"),"רהוטה",IF(AND($I308="תקין",$J308="תקין"),"מדויקת ורציפה","אינה מדויקת או מקוטעת"))))</f>
        <v/>
      </c>
      <c r="Z308" s="32">
        <f>IF($C308="","",IF(COUNTA($U308:$W308)&lt;3,"",IF(AND($U308="מפותח",$V308="מפותח",$W308="מפותחת"),"מפותחת",IF((--($U308="דל"))+(--($V308="אינו מפותח"))+(--($W308="דלה"))&gt;=2,"אינה מפותחת","חלקית"))))</f>
        <v/>
      </c>
      <c r="AA308" s="32">
        <f>IF($C308="","",IF(COUNTA($M308,$N308,$O308)&lt;3,"— חסרים נתונים",IF(OR($M308="נמוכה",(--($M308&lt;&gt;"תקינה"))+(--($N308&lt;&gt;"תקין"))+(--($O308&lt;&gt;"תקינה"))&gt;=2),"ניכרת","אינה ניכרת")))</f>
        <v/>
      </c>
      <c r="AB308" s="32">
        <f>IF(OR($C308="",$Y308="",$AA308="",LEFT($Y308,1)="—",LEFT($AA308,1)="—"),"",IF($Z308="","— נדרשת הערכת כתיבה",IF($L308="","— חסרה הבנת הנקרא",IF($Y308="אינה מדויקת או מקוטעת",IF($AA308="ניכרת","מיקוד בשטף הקריאה ובכישורי שפה","מיקוד בשטף קריאה"),IF($AA308="ניכרת","מיקוד בכישורי שפה",IF(AND($L308="תקינה",$Z308="מפותחת"),"קוראים וכותבים מיומנים","מיקוד בהבנה והבעה"))))))</f>
        <v/>
      </c>
      <c r="AC308" s="32">
        <f>IF(OR($AB308="",LEFT($AB308,1)="—"),"",IF(OR($AB308="מיקוד בשטף קריאה",$AB308="מיקוד בשטף הקריאה ובכישורי שפה"),"רמה א'",IF($AB308="קוראים וכותבים מיומנים","רמה ג'","רמה ב'")))</f>
        <v/>
      </c>
      <c r="AD308" s="32">
        <f>IF($AC308="","",MID(IF(AND($AC308="רמה א'",$AA308="ניכרת"),"; להוסיף עבודת אוצר מילים","")&amp;IF($Z308="אינה מפותחת","; דגש על הבעה בכתב","")&amp;IF($K308&lt;&gt;"תקין","; נדרש לעבוד על ההנגנה","")&amp;IF($AK308&lt;&gt;"","; "&amp;$AK308,""),3,400))</f>
        <v/>
      </c>
      <c r="AE308" s="32">
        <f>IF($F308="","",IF($F308="תחילת שנה",1,IF($F308="מחצית שנה",2,3)))</f>
        <v/>
      </c>
      <c r="AF308" s="32">
        <f>IF(OR($B308="",$AC308="",$A308="",$F308=""),"",$B308&amp;"|"&amp;$A308&amp;"|"&amp;$F308&amp;"|"&amp;$AC308&amp;"|"&amp;COUNTIFS($B$6:$B308,$B308,$A$6:$A308,$A308,$F$6:$F308,$F308,$AC$6:$AC308,$AC308))</f>
        <v/>
      </c>
      <c r="AG308" s="32">
        <f>IF($C308="","",$C308&amp;"|"&amp;COUNTIFS($C$6:$C308,$C308))</f>
        <v/>
      </c>
      <c r="AH308" s="32">
        <f>IF(OR($C308="",$A308="",$AE308=""),"",$C308&amp;"|"&amp;$A308&amp;"|"&amp;$AE308)</f>
        <v/>
      </c>
      <c r="AI308" s="32">
        <f>IF(OR($C308="",$AE308="",$AE308=1),"",IFERROR(INDEX($AC$6:$AC$1505,MATCH($C308&amp;"|"&amp;$A308&amp;"|"&amp;($AE308-1),$AH$6:$AH$1505,0)),""))</f>
        <v/>
      </c>
      <c r="AJ308" s="32">
        <f>IF(OR($AI308="",$AC308=""),"",IF($AI308=$AC308,"ללא שינוי","מ-"&amp;$AI308&amp;" ל-"&amp;$AC308))</f>
        <v/>
      </c>
      <c r="AK308" s="67" t="n"/>
    </row>
    <row r="309" ht="15.75" customHeight="1" s="58">
      <c r="A309" s="65" t="n"/>
      <c r="B309" s="65" t="n"/>
      <c r="C309" s="66" t="n"/>
      <c r="D309" s="66" t="n"/>
      <c r="E309" s="65" t="n"/>
      <c r="F309" s="65" t="n"/>
      <c r="G309" s="65" t="n"/>
      <c r="H309" s="65" t="n"/>
      <c r="I309" s="65" t="n"/>
      <c r="J309" s="65" t="n"/>
      <c r="K309" s="65" t="n"/>
      <c r="L309" s="65" t="n"/>
      <c r="M309" s="65" t="n"/>
      <c r="N309" s="65" t="n"/>
      <c r="O309" s="65" t="n"/>
      <c r="P309" s="65" t="n"/>
      <c r="Q309" s="65" t="n"/>
      <c r="R309" s="65" t="n"/>
      <c r="S309" s="65" t="n"/>
      <c r="T309" s="65" t="n"/>
      <c r="U309" s="65" t="n"/>
      <c r="V309" s="65" t="n"/>
      <c r="W309" s="65" t="n"/>
      <c r="X309" s="65" t="n"/>
      <c r="Y309" s="32">
        <f>IF($C309="","",IF(COUNTA($I309:$K309)&lt;3,"— חסרים נתונים",IF(AND($I309="תקין",$J309="תקין",$K309="תקין"),"רהוטה",IF(AND($I309="תקין",$J309="תקין"),"מדויקת ורציפה","אינה מדויקת או מקוטעת"))))</f>
        <v/>
      </c>
      <c r="Z309" s="32">
        <f>IF($C309="","",IF(COUNTA($U309:$W309)&lt;3,"",IF(AND($U309="מפותח",$V309="מפותח",$W309="מפותחת"),"מפותחת",IF((--($U309="דל"))+(--($V309="אינו מפותח"))+(--($W309="דלה"))&gt;=2,"אינה מפותחת","חלקית"))))</f>
        <v/>
      </c>
      <c r="AA309" s="32">
        <f>IF($C309="","",IF(COUNTA($M309,$N309,$O309)&lt;3,"— חסרים נתונים",IF(OR($M309="נמוכה",(--($M309&lt;&gt;"תקינה"))+(--($N309&lt;&gt;"תקין"))+(--($O309&lt;&gt;"תקינה"))&gt;=2),"ניכרת","אינה ניכרת")))</f>
        <v/>
      </c>
      <c r="AB309" s="32">
        <f>IF(OR($C309="",$Y309="",$AA309="",LEFT($Y309,1)="—",LEFT($AA309,1)="—"),"",IF($Z309="","— נדרשת הערכת כתיבה",IF($L309="","— חסרה הבנת הנקרא",IF($Y309="אינה מדויקת או מקוטעת",IF($AA309="ניכרת","מיקוד בשטף הקריאה ובכישורי שפה","מיקוד בשטף קריאה"),IF($AA309="ניכרת","מיקוד בכישורי שפה",IF(AND($L309="תקינה",$Z309="מפותחת"),"קוראים וכותבים מיומנים","מיקוד בהבנה והבעה"))))))</f>
        <v/>
      </c>
      <c r="AC309" s="32">
        <f>IF(OR($AB309="",LEFT($AB309,1)="—"),"",IF(OR($AB309="מיקוד בשטף קריאה",$AB309="מיקוד בשטף הקריאה ובכישורי שפה"),"רמה א'",IF($AB309="קוראים וכותבים מיומנים","רמה ג'","רמה ב'")))</f>
        <v/>
      </c>
      <c r="AD309" s="32">
        <f>IF($AC309="","",MID(IF(AND($AC309="רמה א'",$AA309="ניכרת"),"; להוסיף עבודת אוצר מילים","")&amp;IF($Z309="אינה מפותחת","; דגש על הבעה בכתב","")&amp;IF($K309&lt;&gt;"תקין","; נדרש לעבוד על ההנגנה","")&amp;IF($AK309&lt;&gt;"","; "&amp;$AK309,""),3,400))</f>
        <v/>
      </c>
      <c r="AE309" s="32">
        <f>IF($F309="","",IF($F309="תחילת שנה",1,IF($F309="מחצית שנה",2,3)))</f>
        <v/>
      </c>
      <c r="AF309" s="32">
        <f>IF(OR($B309="",$AC309="",$A309="",$F309=""),"",$B309&amp;"|"&amp;$A309&amp;"|"&amp;$F309&amp;"|"&amp;$AC309&amp;"|"&amp;COUNTIFS($B$6:$B309,$B309,$A$6:$A309,$A309,$F$6:$F309,$F309,$AC$6:$AC309,$AC309))</f>
        <v/>
      </c>
      <c r="AG309" s="32">
        <f>IF($C309="","",$C309&amp;"|"&amp;COUNTIFS($C$6:$C309,$C309))</f>
        <v/>
      </c>
      <c r="AH309" s="32">
        <f>IF(OR($C309="",$A309="",$AE309=""),"",$C309&amp;"|"&amp;$A309&amp;"|"&amp;$AE309)</f>
        <v/>
      </c>
      <c r="AI309" s="32">
        <f>IF(OR($C309="",$AE309="",$AE309=1),"",IFERROR(INDEX($AC$6:$AC$1505,MATCH($C309&amp;"|"&amp;$A309&amp;"|"&amp;($AE309-1),$AH$6:$AH$1505,0)),""))</f>
        <v/>
      </c>
      <c r="AJ309" s="32">
        <f>IF(OR($AI309="",$AC309=""),"",IF($AI309=$AC309,"ללא שינוי","מ-"&amp;$AI309&amp;" ל-"&amp;$AC309))</f>
        <v/>
      </c>
      <c r="AK309" s="67" t="n"/>
    </row>
    <row r="310" ht="15.75" customHeight="1" s="58">
      <c r="A310" s="65" t="n"/>
      <c r="B310" s="65" t="n"/>
      <c r="C310" s="66" t="n"/>
      <c r="D310" s="66" t="n"/>
      <c r="E310" s="65" t="n"/>
      <c r="F310" s="65" t="n"/>
      <c r="G310" s="65" t="n"/>
      <c r="H310" s="65" t="n"/>
      <c r="I310" s="65" t="n"/>
      <c r="J310" s="65" t="n"/>
      <c r="K310" s="65" t="n"/>
      <c r="L310" s="65" t="n"/>
      <c r="M310" s="65" t="n"/>
      <c r="N310" s="65" t="n"/>
      <c r="O310" s="65" t="n"/>
      <c r="P310" s="65" t="n"/>
      <c r="Q310" s="65" t="n"/>
      <c r="R310" s="65" t="n"/>
      <c r="S310" s="65" t="n"/>
      <c r="T310" s="65" t="n"/>
      <c r="U310" s="65" t="n"/>
      <c r="V310" s="65" t="n"/>
      <c r="W310" s="65" t="n"/>
      <c r="X310" s="65" t="n"/>
      <c r="Y310" s="32">
        <f>IF($C310="","",IF(COUNTA($I310:$K310)&lt;3,"— חסרים נתונים",IF(AND($I310="תקין",$J310="תקין",$K310="תקין"),"רהוטה",IF(AND($I310="תקין",$J310="תקין"),"מדויקת ורציפה","אינה מדויקת או מקוטעת"))))</f>
        <v/>
      </c>
      <c r="Z310" s="32">
        <f>IF($C310="","",IF(COUNTA($U310:$W310)&lt;3,"",IF(AND($U310="מפותח",$V310="מפותח",$W310="מפותחת"),"מפותחת",IF((--($U310="דל"))+(--($V310="אינו מפותח"))+(--($W310="דלה"))&gt;=2,"אינה מפותחת","חלקית"))))</f>
        <v/>
      </c>
      <c r="AA310" s="32">
        <f>IF($C310="","",IF(COUNTA($M310,$N310,$O310)&lt;3,"— חסרים נתונים",IF(OR($M310="נמוכה",(--($M310&lt;&gt;"תקינה"))+(--($N310&lt;&gt;"תקין"))+(--($O310&lt;&gt;"תקינה"))&gt;=2),"ניכרת","אינה ניכרת")))</f>
        <v/>
      </c>
      <c r="AB310" s="32">
        <f>IF(OR($C310="",$Y310="",$AA310="",LEFT($Y310,1)="—",LEFT($AA310,1)="—"),"",IF($Z310="","— נדרשת הערכת כתיבה",IF($L310="","— חסרה הבנת הנקרא",IF($Y310="אינה מדויקת או מקוטעת",IF($AA310="ניכרת","מיקוד בשטף הקריאה ובכישורי שפה","מיקוד בשטף קריאה"),IF($AA310="ניכרת","מיקוד בכישורי שפה",IF(AND($L310="תקינה",$Z310="מפותחת"),"קוראים וכותבים מיומנים","מיקוד בהבנה והבעה"))))))</f>
        <v/>
      </c>
      <c r="AC310" s="32">
        <f>IF(OR($AB310="",LEFT($AB310,1)="—"),"",IF(OR($AB310="מיקוד בשטף קריאה",$AB310="מיקוד בשטף הקריאה ובכישורי שפה"),"רמה א'",IF($AB310="קוראים וכותבים מיומנים","רמה ג'","רמה ב'")))</f>
        <v/>
      </c>
      <c r="AD310" s="32">
        <f>IF($AC310="","",MID(IF(AND($AC310="רמה א'",$AA310="ניכרת"),"; להוסיף עבודת אוצר מילים","")&amp;IF($Z310="אינה מפותחת","; דגש על הבעה בכתב","")&amp;IF($K310&lt;&gt;"תקין","; נדרש לעבוד על ההנגנה","")&amp;IF($AK310&lt;&gt;"","; "&amp;$AK310,""),3,400))</f>
        <v/>
      </c>
      <c r="AE310" s="32">
        <f>IF($F310="","",IF($F310="תחילת שנה",1,IF($F310="מחצית שנה",2,3)))</f>
        <v/>
      </c>
      <c r="AF310" s="32">
        <f>IF(OR($B310="",$AC310="",$A310="",$F310=""),"",$B310&amp;"|"&amp;$A310&amp;"|"&amp;$F310&amp;"|"&amp;$AC310&amp;"|"&amp;COUNTIFS($B$6:$B310,$B310,$A$6:$A310,$A310,$F$6:$F310,$F310,$AC$6:$AC310,$AC310))</f>
        <v/>
      </c>
      <c r="AG310" s="32">
        <f>IF($C310="","",$C310&amp;"|"&amp;COUNTIFS($C$6:$C310,$C310))</f>
        <v/>
      </c>
      <c r="AH310" s="32">
        <f>IF(OR($C310="",$A310="",$AE310=""),"",$C310&amp;"|"&amp;$A310&amp;"|"&amp;$AE310)</f>
        <v/>
      </c>
      <c r="AI310" s="32">
        <f>IF(OR($C310="",$AE310="",$AE310=1),"",IFERROR(INDEX($AC$6:$AC$1505,MATCH($C310&amp;"|"&amp;$A310&amp;"|"&amp;($AE310-1),$AH$6:$AH$1505,0)),""))</f>
        <v/>
      </c>
      <c r="AJ310" s="32">
        <f>IF(OR($AI310="",$AC310=""),"",IF($AI310=$AC310,"ללא שינוי","מ-"&amp;$AI310&amp;" ל-"&amp;$AC310))</f>
        <v/>
      </c>
      <c r="AK310" s="67" t="n"/>
    </row>
    <row r="311" ht="15.75" customHeight="1" s="58">
      <c r="A311" s="65" t="n"/>
      <c r="B311" s="65" t="n"/>
      <c r="C311" s="66" t="n"/>
      <c r="D311" s="66" t="n"/>
      <c r="E311" s="65" t="n"/>
      <c r="F311" s="65" t="n"/>
      <c r="G311" s="65" t="n"/>
      <c r="H311" s="65" t="n"/>
      <c r="I311" s="65" t="n"/>
      <c r="J311" s="65" t="n"/>
      <c r="K311" s="65" t="n"/>
      <c r="L311" s="65" t="n"/>
      <c r="M311" s="65" t="n"/>
      <c r="N311" s="65" t="n"/>
      <c r="O311" s="65" t="n"/>
      <c r="P311" s="65" t="n"/>
      <c r="Q311" s="65" t="n"/>
      <c r="R311" s="65" t="n"/>
      <c r="S311" s="65" t="n"/>
      <c r="T311" s="65" t="n"/>
      <c r="U311" s="65" t="n"/>
      <c r="V311" s="65" t="n"/>
      <c r="W311" s="65" t="n"/>
      <c r="X311" s="65" t="n"/>
      <c r="Y311" s="32">
        <f>IF($C311="","",IF(COUNTA($I311:$K311)&lt;3,"— חסרים נתונים",IF(AND($I311="תקין",$J311="תקין",$K311="תקין"),"רהוטה",IF(AND($I311="תקין",$J311="תקין"),"מדויקת ורציפה","אינה מדויקת או מקוטעת"))))</f>
        <v/>
      </c>
      <c r="Z311" s="32">
        <f>IF($C311="","",IF(COUNTA($U311:$W311)&lt;3,"",IF(AND($U311="מפותח",$V311="מפותח",$W311="מפותחת"),"מפותחת",IF((--($U311="דל"))+(--($V311="אינו מפותח"))+(--($W311="דלה"))&gt;=2,"אינה מפותחת","חלקית"))))</f>
        <v/>
      </c>
      <c r="AA311" s="32">
        <f>IF($C311="","",IF(COUNTA($M311,$N311,$O311)&lt;3,"— חסרים נתונים",IF(OR($M311="נמוכה",(--($M311&lt;&gt;"תקינה"))+(--($N311&lt;&gt;"תקין"))+(--($O311&lt;&gt;"תקינה"))&gt;=2),"ניכרת","אינה ניכרת")))</f>
        <v/>
      </c>
      <c r="AB311" s="32">
        <f>IF(OR($C311="",$Y311="",$AA311="",LEFT($Y311,1)="—",LEFT($AA311,1)="—"),"",IF($Z311="","— נדרשת הערכת כתיבה",IF($L311="","— חסרה הבנת הנקרא",IF($Y311="אינה מדויקת או מקוטעת",IF($AA311="ניכרת","מיקוד בשטף הקריאה ובכישורי שפה","מיקוד בשטף קריאה"),IF($AA311="ניכרת","מיקוד בכישורי שפה",IF(AND($L311="תקינה",$Z311="מפותחת"),"קוראים וכותבים מיומנים","מיקוד בהבנה והבעה"))))))</f>
        <v/>
      </c>
      <c r="AC311" s="32">
        <f>IF(OR($AB311="",LEFT($AB311,1)="—"),"",IF(OR($AB311="מיקוד בשטף קריאה",$AB311="מיקוד בשטף הקריאה ובכישורי שפה"),"רמה א'",IF($AB311="קוראים וכותבים מיומנים","רמה ג'","רמה ב'")))</f>
        <v/>
      </c>
      <c r="AD311" s="32">
        <f>IF($AC311="","",MID(IF(AND($AC311="רמה א'",$AA311="ניכרת"),"; להוסיף עבודת אוצר מילים","")&amp;IF($Z311="אינה מפותחת","; דגש על הבעה בכתב","")&amp;IF($K311&lt;&gt;"תקין","; נדרש לעבוד על ההנגנה","")&amp;IF($AK311&lt;&gt;"","; "&amp;$AK311,""),3,400))</f>
        <v/>
      </c>
      <c r="AE311" s="32">
        <f>IF($F311="","",IF($F311="תחילת שנה",1,IF($F311="מחצית שנה",2,3)))</f>
        <v/>
      </c>
      <c r="AF311" s="32">
        <f>IF(OR($B311="",$AC311="",$A311="",$F311=""),"",$B311&amp;"|"&amp;$A311&amp;"|"&amp;$F311&amp;"|"&amp;$AC311&amp;"|"&amp;COUNTIFS($B$6:$B311,$B311,$A$6:$A311,$A311,$F$6:$F311,$F311,$AC$6:$AC311,$AC311))</f>
        <v/>
      </c>
      <c r="AG311" s="32">
        <f>IF($C311="","",$C311&amp;"|"&amp;COUNTIFS($C$6:$C311,$C311))</f>
        <v/>
      </c>
      <c r="AH311" s="32">
        <f>IF(OR($C311="",$A311="",$AE311=""),"",$C311&amp;"|"&amp;$A311&amp;"|"&amp;$AE311)</f>
        <v/>
      </c>
      <c r="AI311" s="32">
        <f>IF(OR($C311="",$AE311="",$AE311=1),"",IFERROR(INDEX($AC$6:$AC$1505,MATCH($C311&amp;"|"&amp;$A311&amp;"|"&amp;($AE311-1),$AH$6:$AH$1505,0)),""))</f>
        <v/>
      </c>
      <c r="AJ311" s="32">
        <f>IF(OR($AI311="",$AC311=""),"",IF($AI311=$AC311,"ללא שינוי","מ-"&amp;$AI311&amp;" ל-"&amp;$AC311))</f>
        <v/>
      </c>
      <c r="AK311" s="67" t="n"/>
    </row>
    <row r="312" ht="15.75" customHeight="1" s="58">
      <c r="A312" s="65" t="n"/>
      <c r="B312" s="65" t="n"/>
      <c r="C312" s="66" t="n"/>
      <c r="D312" s="66" t="n"/>
      <c r="E312" s="65" t="n"/>
      <c r="F312" s="65" t="n"/>
      <c r="G312" s="65" t="n"/>
      <c r="H312" s="65" t="n"/>
      <c r="I312" s="65" t="n"/>
      <c r="J312" s="65" t="n"/>
      <c r="K312" s="65" t="n"/>
      <c r="L312" s="65" t="n"/>
      <c r="M312" s="65" t="n"/>
      <c r="N312" s="65" t="n"/>
      <c r="O312" s="65" t="n"/>
      <c r="P312" s="65" t="n"/>
      <c r="Q312" s="65" t="n"/>
      <c r="R312" s="65" t="n"/>
      <c r="S312" s="65" t="n"/>
      <c r="T312" s="65" t="n"/>
      <c r="U312" s="65" t="n"/>
      <c r="V312" s="65" t="n"/>
      <c r="W312" s="65" t="n"/>
      <c r="X312" s="65" t="n"/>
      <c r="Y312" s="32">
        <f>IF($C312="","",IF(COUNTA($I312:$K312)&lt;3,"— חסרים נתונים",IF(AND($I312="תקין",$J312="תקין",$K312="תקין"),"רהוטה",IF(AND($I312="תקין",$J312="תקין"),"מדויקת ורציפה","אינה מדויקת או מקוטעת"))))</f>
        <v/>
      </c>
      <c r="Z312" s="32">
        <f>IF($C312="","",IF(COUNTA($U312:$W312)&lt;3,"",IF(AND($U312="מפותח",$V312="מפותח",$W312="מפותחת"),"מפותחת",IF((--($U312="דל"))+(--($V312="אינו מפותח"))+(--($W312="דלה"))&gt;=2,"אינה מפותחת","חלקית"))))</f>
        <v/>
      </c>
      <c r="AA312" s="32">
        <f>IF($C312="","",IF(COUNTA($M312,$N312,$O312)&lt;3,"— חסרים נתונים",IF(OR($M312="נמוכה",(--($M312&lt;&gt;"תקינה"))+(--($N312&lt;&gt;"תקין"))+(--($O312&lt;&gt;"תקינה"))&gt;=2),"ניכרת","אינה ניכרת")))</f>
        <v/>
      </c>
      <c r="AB312" s="32">
        <f>IF(OR($C312="",$Y312="",$AA312="",LEFT($Y312,1)="—",LEFT($AA312,1)="—"),"",IF($Z312="","— נדרשת הערכת כתיבה",IF($L312="","— חסרה הבנת הנקרא",IF($Y312="אינה מדויקת או מקוטעת",IF($AA312="ניכרת","מיקוד בשטף הקריאה ובכישורי שפה","מיקוד בשטף קריאה"),IF($AA312="ניכרת","מיקוד בכישורי שפה",IF(AND($L312="תקינה",$Z312="מפותחת"),"קוראים וכותבים מיומנים","מיקוד בהבנה והבעה"))))))</f>
        <v/>
      </c>
      <c r="AC312" s="32">
        <f>IF(OR($AB312="",LEFT($AB312,1)="—"),"",IF(OR($AB312="מיקוד בשטף קריאה",$AB312="מיקוד בשטף הקריאה ובכישורי שפה"),"רמה א'",IF($AB312="קוראים וכותבים מיומנים","רמה ג'","רמה ב'")))</f>
        <v/>
      </c>
      <c r="AD312" s="32">
        <f>IF($AC312="","",MID(IF(AND($AC312="רמה א'",$AA312="ניכרת"),"; להוסיף עבודת אוצר מילים","")&amp;IF($Z312="אינה מפותחת","; דגש על הבעה בכתב","")&amp;IF($K312&lt;&gt;"תקין","; נדרש לעבוד על ההנגנה","")&amp;IF($AK312&lt;&gt;"","; "&amp;$AK312,""),3,400))</f>
        <v/>
      </c>
      <c r="AE312" s="32">
        <f>IF($F312="","",IF($F312="תחילת שנה",1,IF($F312="מחצית שנה",2,3)))</f>
        <v/>
      </c>
      <c r="AF312" s="32">
        <f>IF(OR($B312="",$AC312="",$A312="",$F312=""),"",$B312&amp;"|"&amp;$A312&amp;"|"&amp;$F312&amp;"|"&amp;$AC312&amp;"|"&amp;COUNTIFS($B$6:$B312,$B312,$A$6:$A312,$A312,$F$6:$F312,$F312,$AC$6:$AC312,$AC312))</f>
        <v/>
      </c>
      <c r="AG312" s="32">
        <f>IF($C312="","",$C312&amp;"|"&amp;COUNTIFS($C$6:$C312,$C312))</f>
        <v/>
      </c>
      <c r="AH312" s="32">
        <f>IF(OR($C312="",$A312="",$AE312=""),"",$C312&amp;"|"&amp;$A312&amp;"|"&amp;$AE312)</f>
        <v/>
      </c>
      <c r="AI312" s="32">
        <f>IF(OR($C312="",$AE312="",$AE312=1),"",IFERROR(INDEX($AC$6:$AC$1505,MATCH($C312&amp;"|"&amp;$A312&amp;"|"&amp;($AE312-1),$AH$6:$AH$1505,0)),""))</f>
        <v/>
      </c>
      <c r="AJ312" s="32">
        <f>IF(OR($AI312="",$AC312=""),"",IF($AI312=$AC312,"ללא שינוי","מ-"&amp;$AI312&amp;" ל-"&amp;$AC312))</f>
        <v/>
      </c>
      <c r="AK312" s="67" t="n"/>
    </row>
    <row r="313" ht="15.75" customHeight="1" s="58">
      <c r="A313" s="65" t="n"/>
      <c r="B313" s="65" t="n"/>
      <c r="C313" s="66" t="n"/>
      <c r="D313" s="66" t="n"/>
      <c r="E313" s="65" t="n"/>
      <c r="F313" s="65" t="n"/>
      <c r="G313" s="65" t="n"/>
      <c r="H313" s="65" t="n"/>
      <c r="I313" s="65" t="n"/>
      <c r="J313" s="65" t="n"/>
      <c r="K313" s="65" t="n"/>
      <c r="L313" s="65" t="n"/>
      <c r="M313" s="65" t="n"/>
      <c r="N313" s="65" t="n"/>
      <c r="O313" s="65" t="n"/>
      <c r="P313" s="65" t="n"/>
      <c r="Q313" s="65" t="n"/>
      <c r="R313" s="65" t="n"/>
      <c r="S313" s="65" t="n"/>
      <c r="T313" s="65" t="n"/>
      <c r="U313" s="65" t="n"/>
      <c r="V313" s="65" t="n"/>
      <c r="W313" s="65" t="n"/>
      <c r="X313" s="65" t="n"/>
      <c r="Y313" s="32">
        <f>IF($C313="","",IF(COUNTA($I313:$K313)&lt;3,"— חסרים נתונים",IF(AND($I313="תקין",$J313="תקין",$K313="תקין"),"רהוטה",IF(AND($I313="תקין",$J313="תקין"),"מדויקת ורציפה","אינה מדויקת או מקוטעת"))))</f>
        <v/>
      </c>
      <c r="Z313" s="32">
        <f>IF($C313="","",IF(COUNTA($U313:$W313)&lt;3,"",IF(AND($U313="מפותח",$V313="מפותח",$W313="מפותחת"),"מפותחת",IF((--($U313="דל"))+(--($V313="אינו מפותח"))+(--($W313="דלה"))&gt;=2,"אינה מפותחת","חלקית"))))</f>
        <v/>
      </c>
      <c r="AA313" s="32">
        <f>IF($C313="","",IF(COUNTA($M313,$N313,$O313)&lt;3,"— חסרים נתונים",IF(OR($M313="נמוכה",(--($M313&lt;&gt;"תקינה"))+(--($N313&lt;&gt;"תקין"))+(--($O313&lt;&gt;"תקינה"))&gt;=2),"ניכרת","אינה ניכרת")))</f>
        <v/>
      </c>
      <c r="AB313" s="32">
        <f>IF(OR($C313="",$Y313="",$AA313="",LEFT($Y313,1)="—",LEFT($AA313,1)="—"),"",IF($Z313="","— נדרשת הערכת כתיבה",IF($L313="","— חסרה הבנת הנקרא",IF($Y313="אינה מדויקת או מקוטעת",IF($AA313="ניכרת","מיקוד בשטף הקריאה ובכישורי שפה","מיקוד בשטף קריאה"),IF($AA313="ניכרת","מיקוד בכישורי שפה",IF(AND($L313="תקינה",$Z313="מפותחת"),"קוראים וכותבים מיומנים","מיקוד בהבנה והבעה"))))))</f>
        <v/>
      </c>
      <c r="AC313" s="32">
        <f>IF(OR($AB313="",LEFT($AB313,1)="—"),"",IF(OR($AB313="מיקוד בשטף קריאה",$AB313="מיקוד בשטף הקריאה ובכישורי שפה"),"רמה א'",IF($AB313="קוראים וכותבים מיומנים","רמה ג'","רמה ב'")))</f>
        <v/>
      </c>
      <c r="AD313" s="32">
        <f>IF($AC313="","",MID(IF(AND($AC313="רמה א'",$AA313="ניכרת"),"; להוסיף עבודת אוצר מילים","")&amp;IF($Z313="אינה מפותחת","; דגש על הבעה בכתב","")&amp;IF($K313&lt;&gt;"תקין","; נדרש לעבוד על ההנגנה","")&amp;IF($AK313&lt;&gt;"","; "&amp;$AK313,""),3,400))</f>
        <v/>
      </c>
      <c r="AE313" s="32">
        <f>IF($F313="","",IF($F313="תחילת שנה",1,IF($F313="מחצית שנה",2,3)))</f>
        <v/>
      </c>
      <c r="AF313" s="32">
        <f>IF(OR($B313="",$AC313="",$A313="",$F313=""),"",$B313&amp;"|"&amp;$A313&amp;"|"&amp;$F313&amp;"|"&amp;$AC313&amp;"|"&amp;COUNTIFS($B$6:$B313,$B313,$A$6:$A313,$A313,$F$6:$F313,$F313,$AC$6:$AC313,$AC313))</f>
        <v/>
      </c>
      <c r="AG313" s="32">
        <f>IF($C313="","",$C313&amp;"|"&amp;COUNTIFS($C$6:$C313,$C313))</f>
        <v/>
      </c>
      <c r="AH313" s="32">
        <f>IF(OR($C313="",$A313="",$AE313=""),"",$C313&amp;"|"&amp;$A313&amp;"|"&amp;$AE313)</f>
        <v/>
      </c>
      <c r="AI313" s="32">
        <f>IF(OR($C313="",$AE313="",$AE313=1),"",IFERROR(INDEX($AC$6:$AC$1505,MATCH($C313&amp;"|"&amp;$A313&amp;"|"&amp;($AE313-1),$AH$6:$AH$1505,0)),""))</f>
        <v/>
      </c>
      <c r="AJ313" s="32">
        <f>IF(OR($AI313="",$AC313=""),"",IF($AI313=$AC313,"ללא שינוי","מ-"&amp;$AI313&amp;" ל-"&amp;$AC313))</f>
        <v/>
      </c>
      <c r="AK313" s="67" t="n"/>
    </row>
    <row r="314" ht="15.75" customHeight="1" s="58">
      <c r="A314" s="65" t="n"/>
      <c r="B314" s="65" t="n"/>
      <c r="C314" s="66" t="n"/>
      <c r="D314" s="66" t="n"/>
      <c r="E314" s="65" t="n"/>
      <c r="F314" s="65" t="n"/>
      <c r="G314" s="65" t="n"/>
      <c r="H314" s="65" t="n"/>
      <c r="I314" s="65" t="n"/>
      <c r="J314" s="65" t="n"/>
      <c r="K314" s="65" t="n"/>
      <c r="L314" s="65" t="n"/>
      <c r="M314" s="65" t="n"/>
      <c r="N314" s="65" t="n"/>
      <c r="O314" s="65" t="n"/>
      <c r="P314" s="65" t="n"/>
      <c r="Q314" s="65" t="n"/>
      <c r="R314" s="65" t="n"/>
      <c r="S314" s="65" t="n"/>
      <c r="T314" s="65" t="n"/>
      <c r="U314" s="65" t="n"/>
      <c r="V314" s="65" t="n"/>
      <c r="W314" s="65" t="n"/>
      <c r="X314" s="65" t="n"/>
      <c r="Y314" s="32">
        <f>IF($C314="","",IF(COUNTA($I314:$K314)&lt;3,"— חסרים נתונים",IF(AND($I314="תקין",$J314="תקין",$K314="תקין"),"רהוטה",IF(AND($I314="תקין",$J314="תקין"),"מדויקת ורציפה","אינה מדויקת או מקוטעת"))))</f>
        <v/>
      </c>
      <c r="Z314" s="32">
        <f>IF($C314="","",IF(COUNTA($U314:$W314)&lt;3,"",IF(AND($U314="מפותח",$V314="מפותח",$W314="מפותחת"),"מפותחת",IF((--($U314="דל"))+(--($V314="אינו מפותח"))+(--($W314="דלה"))&gt;=2,"אינה מפותחת","חלקית"))))</f>
        <v/>
      </c>
      <c r="AA314" s="32">
        <f>IF($C314="","",IF(COUNTA($M314,$N314,$O314)&lt;3,"— חסרים נתונים",IF(OR($M314="נמוכה",(--($M314&lt;&gt;"תקינה"))+(--($N314&lt;&gt;"תקין"))+(--($O314&lt;&gt;"תקינה"))&gt;=2),"ניכרת","אינה ניכרת")))</f>
        <v/>
      </c>
      <c r="AB314" s="32">
        <f>IF(OR($C314="",$Y314="",$AA314="",LEFT($Y314,1)="—",LEFT($AA314,1)="—"),"",IF($Z314="","— נדרשת הערכת כתיבה",IF($L314="","— חסרה הבנת הנקרא",IF($Y314="אינה מדויקת או מקוטעת",IF($AA314="ניכרת","מיקוד בשטף הקריאה ובכישורי שפה","מיקוד בשטף קריאה"),IF($AA314="ניכרת","מיקוד בכישורי שפה",IF(AND($L314="תקינה",$Z314="מפותחת"),"קוראים וכותבים מיומנים","מיקוד בהבנה והבעה"))))))</f>
        <v/>
      </c>
      <c r="AC314" s="32">
        <f>IF(OR($AB314="",LEFT($AB314,1)="—"),"",IF(OR($AB314="מיקוד בשטף קריאה",$AB314="מיקוד בשטף הקריאה ובכישורי שפה"),"רמה א'",IF($AB314="קוראים וכותבים מיומנים","רמה ג'","רמה ב'")))</f>
        <v/>
      </c>
      <c r="AD314" s="32">
        <f>IF($AC314="","",MID(IF(AND($AC314="רמה א'",$AA314="ניכרת"),"; להוסיף עבודת אוצר מילים","")&amp;IF($Z314="אינה מפותחת","; דגש על הבעה בכתב","")&amp;IF($K314&lt;&gt;"תקין","; נדרש לעבוד על ההנגנה","")&amp;IF($AK314&lt;&gt;"","; "&amp;$AK314,""),3,400))</f>
        <v/>
      </c>
      <c r="AE314" s="32">
        <f>IF($F314="","",IF($F314="תחילת שנה",1,IF($F314="מחצית שנה",2,3)))</f>
        <v/>
      </c>
      <c r="AF314" s="32">
        <f>IF(OR($B314="",$AC314="",$A314="",$F314=""),"",$B314&amp;"|"&amp;$A314&amp;"|"&amp;$F314&amp;"|"&amp;$AC314&amp;"|"&amp;COUNTIFS($B$6:$B314,$B314,$A$6:$A314,$A314,$F$6:$F314,$F314,$AC$6:$AC314,$AC314))</f>
        <v/>
      </c>
      <c r="AG314" s="32">
        <f>IF($C314="","",$C314&amp;"|"&amp;COUNTIFS($C$6:$C314,$C314))</f>
        <v/>
      </c>
      <c r="AH314" s="32">
        <f>IF(OR($C314="",$A314="",$AE314=""),"",$C314&amp;"|"&amp;$A314&amp;"|"&amp;$AE314)</f>
        <v/>
      </c>
      <c r="AI314" s="32">
        <f>IF(OR($C314="",$AE314="",$AE314=1),"",IFERROR(INDEX($AC$6:$AC$1505,MATCH($C314&amp;"|"&amp;$A314&amp;"|"&amp;($AE314-1),$AH$6:$AH$1505,0)),""))</f>
        <v/>
      </c>
      <c r="AJ314" s="32">
        <f>IF(OR($AI314="",$AC314=""),"",IF($AI314=$AC314,"ללא שינוי","מ-"&amp;$AI314&amp;" ל-"&amp;$AC314))</f>
        <v/>
      </c>
      <c r="AK314" s="67" t="n"/>
    </row>
    <row r="315" ht="15.75" customHeight="1" s="58">
      <c r="A315" s="65" t="n"/>
      <c r="B315" s="65" t="n"/>
      <c r="C315" s="66" t="n"/>
      <c r="D315" s="66" t="n"/>
      <c r="E315" s="65" t="n"/>
      <c r="F315" s="65" t="n"/>
      <c r="G315" s="65" t="n"/>
      <c r="H315" s="65" t="n"/>
      <c r="I315" s="65" t="n"/>
      <c r="J315" s="65" t="n"/>
      <c r="K315" s="65" t="n"/>
      <c r="L315" s="65" t="n"/>
      <c r="M315" s="65" t="n"/>
      <c r="N315" s="65" t="n"/>
      <c r="O315" s="65" t="n"/>
      <c r="P315" s="65" t="n"/>
      <c r="Q315" s="65" t="n"/>
      <c r="R315" s="65" t="n"/>
      <c r="S315" s="65" t="n"/>
      <c r="T315" s="65" t="n"/>
      <c r="U315" s="65" t="n"/>
      <c r="V315" s="65" t="n"/>
      <c r="W315" s="65" t="n"/>
      <c r="X315" s="65" t="n"/>
      <c r="Y315" s="32">
        <f>IF($C315="","",IF(COUNTA($I315:$K315)&lt;3,"— חסרים נתונים",IF(AND($I315="תקין",$J315="תקין",$K315="תקין"),"רהוטה",IF(AND($I315="תקין",$J315="תקין"),"מדויקת ורציפה","אינה מדויקת או מקוטעת"))))</f>
        <v/>
      </c>
      <c r="Z315" s="32">
        <f>IF($C315="","",IF(COUNTA($U315:$W315)&lt;3,"",IF(AND($U315="מפותח",$V315="מפותח",$W315="מפותחת"),"מפותחת",IF((--($U315="דל"))+(--($V315="אינו מפותח"))+(--($W315="דלה"))&gt;=2,"אינה מפותחת","חלקית"))))</f>
        <v/>
      </c>
      <c r="AA315" s="32">
        <f>IF($C315="","",IF(COUNTA($M315,$N315,$O315)&lt;3,"— חסרים נתונים",IF(OR($M315="נמוכה",(--($M315&lt;&gt;"תקינה"))+(--($N315&lt;&gt;"תקין"))+(--($O315&lt;&gt;"תקינה"))&gt;=2),"ניכרת","אינה ניכרת")))</f>
        <v/>
      </c>
      <c r="AB315" s="32">
        <f>IF(OR($C315="",$Y315="",$AA315="",LEFT($Y315,1)="—",LEFT($AA315,1)="—"),"",IF($Z315="","— נדרשת הערכת כתיבה",IF($L315="","— חסרה הבנת הנקרא",IF($Y315="אינה מדויקת או מקוטעת",IF($AA315="ניכרת","מיקוד בשטף הקריאה ובכישורי שפה","מיקוד בשטף קריאה"),IF($AA315="ניכרת","מיקוד בכישורי שפה",IF(AND($L315="תקינה",$Z315="מפותחת"),"קוראים וכותבים מיומנים","מיקוד בהבנה והבעה"))))))</f>
        <v/>
      </c>
      <c r="AC315" s="32">
        <f>IF(OR($AB315="",LEFT($AB315,1)="—"),"",IF(OR($AB315="מיקוד בשטף קריאה",$AB315="מיקוד בשטף הקריאה ובכישורי שפה"),"רמה א'",IF($AB315="קוראים וכותבים מיומנים","רמה ג'","רמה ב'")))</f>
        <v/>
      </c>
      <c r="AD315" s="32">
        <f>IF($AC315="","",MID(IF(AND($AC315="רמה א'",$AA315="ניכרת"),"; להוסיף עבודת אוצר מילים","")&amp;IF($Z315="אינה מפותחת","; דגש על הבעה בכתב","")&amp;IF($K315&lt;&gt;"תקין","; נדרש לעבוד על ההנגנה","")&amp;IF($AK315&lt;&gt;"","; "&amp;$AK315,""),3,400))</f>
        <v/>
      </c>
      <c r="AE315" s="32">
        <f>IF($F315="","",IF($F315="תחילת שנה",1,IF($F315="מחצית שנה",2,3)))</f>
        <v/>
      </c>
      <c r="AF315" s="32">
        <f>IF(OR($B315="",$AC315="",$A315="",$F315=""),"",$B315&amp;"|"&amp;$A315&amp;"|"&amp;$F315&amp;"|"&amp;$AC315&amp;"|"&amp;COUNTIFS($B$6:$B315,$B315,$A$6:$A315,$A315,$F$6:$F315,$F315,$AC$6:$AC315,$AC315))</f>
        <v/>
      </c>
      <c r="AG315" s="32">
        <f>IF($C315="","",$C315&amp;"|"&amp;COUNTIFS($C$6:$C315,$C315))</f>
        <v/>
      </c>
      <c r="AH315" s="32">
        <f>IF(OR($C315="",$A315="",$AE315=""),"",$C315&amp;"|"&amp;$A315&amp;"|"&amp;$AE315)</f>
        <v/>
      </c>
      <c r="AI315" s="32">
        <f>IF(OR($C315="",$AE315="",$AE315=1),"",IFERROR(INDEX($AC$6:$AC$1505,MATCH($C315&amp;"|"&amp;$A315&amp;"|"&amp;($AE315-1),$AH$6:$AH$1505,0)),""))</f>
        <v/>
      </c>
      <c r="AJ315" s="32">
        <f>IF(OR($AI315="",$AC315=""),"",IF($AI315=$AC315,"ללא שינוי","מ-"&amp;$AI315&amp;" ל-"&amp;$AC315))</f>
        <v/>
      </c>
      <c r="AK315" s="67" t="n"/>
    </row>
    <row r="316" ht="15.75" customHeight="1" s="58">
      <c r="A316" s="65" t="n"/>
      <c r="B316" s="65" t="n"/>
      <c r="C316" s="66" t="n"/>
      <c r="D316" s="66" t="n"/>
      <c r="E316" s="65" t="n"/>
      <c r="F316" s="65" t="n"/>
      <c r="G316" s="65" t="n"/>
      <c r="H316" s="65" t="n"/>
      <c r="I316" s="65" t="n"/>
      <c r="J316" s="65" t="n"/>
      <c r="K316" s="65" t="n"/>
      <c r="L316" s="65" t="n"/>
      <c r="M316" s="65" t="n"/>
      <c r="N316" s="65" t="n"/>
      <c r="O316" s="65" t="n"/>
      <c r="P316" s="65" t="n"/>
      <c r="Q316" s="65" t="n"/>
      <c r="R316" s="65" t="n"/>
      <c r="S316" s="65" t="n"/>
      <c r="T316" s="65" t="n"/>
      <c r="U316" s="65" t="n"/>
      <c r="V316" s="65" t="n"/>
      <c r="W316" s="65" t="n"/>
      <c r="X316" s="65" t="n"/>
      <c r="Y316" s="32">
        <f>IF($C316="","",IF(COUNTA($I316:$K316)&lt;3,"— חסרים נתונים",IF(AND($I316="תקין",$J316="תקין",$K316="תקין"),"רהוטה",IF(AND($I316="תקין",$J316="תקין"),"מדויקת ורציפה","אינה מדויקת או מקוטעת"))))</f>
        <v/>
      </c>
      <c r="Z316" s="32">
        <f>IF($C316="","",IF(COUNTA($U316:$W316)&lt;3,"",IF(AND($U316="מפותח",$V316="מפותח",$W316="מפותחת"),"מפותחת",IF((--($U316="דל"))+(--($V316="אינו מפותח"))+(--($W316="דלה"))&gt;=2,"אינה מפותחת","חלקית"))))</f>
        <v/>
      </c>
      <c r="AA316" s="32">
        <f>IF($C316="","",IF(COUNTA($M316,$N316,$O316)&lt;3,"— חסרים נתונים",IF(OR($M316="נמוכה",(--($M316&lt;&gt;"תקינה"))+(--($N316&lt;&gt;"תקין"))+(--($O316&lt;&gt;"תקינה"))&gt;=2),"ניכרת","אינה ניכרת")))</f>
        <v/>
      </c>
      <c r="AB316" s="32">
        <f>IF(OR($C316="",$Y316="",$AA316="",LEFT($Y316,1)="—",LEFT($AA316,1)="—"),"",IF($Z316="","— נדרשת הערכת כתיבה",IF($L316="","— חסרה הבנת הנקרא",IF($Y316="אינה מדויקת או מקוטעת",IF($AA316="ניכרת","מיקוד בשטף הקריאה ובכישורי שפה","מיקוד בשטף קריאה"),IF($AA316="ניכרת","מיקוד בכישורי שפה",IF(AND($L316="תקינה",$Z316="מפותחת"),"קוראים וכותבים מיומנים","מיקוד בהבנה והבעה"))))))</f>
        <v/>
      </c>
      <c r="AC316" s="32">
        <f>IF(OR($AB316="",LEFT($AB316,1)="—"),"",IF(OR($AB316="מיקוד בשטף קריאה",$AB316="מיקוד בשטף הקריאה ובכישורי שפה"),"רמה א'",IF($AB316="קוראים וכותבים מיומנים","רמה ג'","רמה ב'")))</f>
        <v/>
      </c>
      <c r="AD316" s="32">
        <f>IF($AC316="","",MID(IF(AND($AC316="רמה א'",$AA316="ניכרת"),"; להוסיף עבודת אוצר מילים","")&amp;IF($Z316="אינה מפותחת","; דגש על הבעה בכתב","")&amp;IF($K316&lt;&gt;"תקין","; נדרש לעבוד על ההנגנה","")&amp;IF($AK316&lt;&gt;"","; "&amp;$AK316,""),3,400))</f>
        <v/>
      </c>
      <c r="AE316" s="32">
        <f>IF($F316="","",IF($F316="תחילת שנה",1,IF($F316="מחצית שנה",2,3)))</f>
        <v/>
      </c>
      <c r="AF316" s="32">
        <f>IF(OR($B316="",$AC316="",$A316="",$F316=""),"",$B316&amp;"|"&amp;$A316&amp;"|"&amp;$F316&amp;"|"&amp;$AC316&amp;"|"&amp;COUNTIFS($B$6:$B316,$B316,$A$6:$A316,$A316,$F$6:$F316,$F316,$AC$6:$AC316,$AC316))</f>
        <v/>
      </c>
      <c r="AG316" s="32">
        <f>IF($C316="","",$C316&amp;"|"&amp;COUNTIFS($C$6:$C316,$C316))</f>
        <v/>
      </c>
      <c r="AH316" s="32">
        <f>IF(OR($C316="",$A316="",$AE316=""),"",$C316&amp;"|"&amp;$A316&amp;"|"&amp;$AE316)</f>
        <v/>
      </c>
      <c r="AI316" s="32">
        <f>IF(OR($C316="",$AE316="",$AE316=1),"",IFERROR(INDEX($AC$6:$AC$1505,MATCH($C316&amp;"|"&amp;$A316&amp;"|"&amp;($AE316-1),$AH$6:$AH$1505,0)),""))</f>
        <v/>
      </c>
      <c r="AJ316" s="32">
        <f>IF(OR($AI316="",$AC316=""),"",IF($AI316=$AC316,"ללא שינוי","מ-"&amp;$AI316&amp;" ל-"&amp;$AC316))</f>
        <v/>
      </c>
      <c r="AK316" s="67" t="n"/>
    </row>
    <row r="317" ht="15.75" customHeight="1" s="58">
      <c r="A317" s="65" t="n"/>
      <c r="B317" s="65" t="n"/>
      <c r="C317" s="66" t="n"/>
      <c r="D317" s="66" t="n"/>
      <c r="E317" s="65" t="n"/>
      <c r="F317" s="65" t="n"/>
      <c r="G317" s="65" t="n"/>
      <c r="H317" s="65" t="n"/>
      <c r="I317" s="65" t="n"/>
      <c r="J317" s="65" t="n"/>
      <c r="K317" s="65" t="n"/>
      <c r="L317" s="65" t="n"/>
      <c r="M317" s="65" t="n"/>
      <c r="N317" s="65" t="n"/>
      <c r="O317" s="65" t="n"/>
      <c r="P317" s="65" t="n"/>
      <c r="Q317" s="65" t="n"/>
      <c r="R317" s="65" t="n"/>
      <c r="S317" s="65" t="n"/>
      <c r="T317" s="65" t="n"/>
      <c r="U317" s="65" t="n"/>
      <c r="V317" s="65" t="n"/>
      <c r="W317" s="65" t="n"/>
      <c r="X317" s="65" t="n"/>
      <c r="Y317" s="32">
        <f>IF($C317="","",IF(COUNTA($I317:$K317)&lt;3,"— חסרים נתונים",IF(AND($I317="תקין",$J317="תקין",$K317="תקין"),"רהוטה",IF(AND($I317="תקין",$J317="תקין"),"מדויקת ורציפה","אינה מדויקת או מקוטעת"))))</f>
        <v/>
      </c>
      <c r="Z317" s="32">
        <f>IF($C317="","",IF(COUNTA($U317:$W317)&lt;3,"",IF(AND($U317="מפותח",$V317="מפותח",$W317="מפותחת"),"מפותחת",IF((--($U317="דל"))+(--($V317="אינו מפותח"))+(--($W317="דלה"))&gt;=2,"אינה מפותחת","חלקית"))))</f>
        <v/>
      </c>
      <c r="AA317" s="32">
        <f>IF($C317="","",IF(COUNTA($M317,$N317,$O317)&lt;3,"— חסרים נתונים",IF(OR($M317="נמוכה",(--($M317&lt;&gt;"תקינה"))+(--($N317&lt;&gt;"תקין"))+(--($O317&lt;&gt;"תקינה"))&gt;=2),"ניכרת","אינה ניכרת")))</f>
        <v/>
      </c>
      <c r="AB317" s="32">
        <f>IF(OR($C317="",$Y317="",$AA317="",LEFT($Y317,1)="—",LEFT($AA317,1)="—"),"",IF($Z317="","— נדרשת הערכת כתיבה",IF($L317="","— חסרה הבנת הנקרא",IF($Y317="אינה מדויקת או מקוטעת",IF($AA317="ניכרת","מיקוד בשטף הקריאה ובכישורי שפה","מיקוד בשטף קריאה"),IF($AA317="ניכרת","מיקוד בכישורי שפה",IF(AND($L317="תקינה",$Z317="מפותחת"),"קוראים וכותבים מיומנים","מיקוד בהבנה והבעה"))))))</f>
        <v/>
      </c>
      <c r="AC317" s="32">
        <f>IF(OR($AB317="",LEFT($AB317,1)="—"),"",IF(OR($AB317="מיקוד בשטף קריאה",$AB317="מיקוד בשטף הקריאה ובכישורי שפה"),"רמה א'",IF($AB317="קוראים וכותבים מיומנים","רמה ג'","רמה ב'")))</f>
        <v/>
      </c>
      <c r="AD317" s="32">
        <f>IF($AC317="","",MID(IF(AND($AC317="רמה א'",$AA317="ניכרת"),"; להוסיף עבודת אוצר מילים","")&amp;IF($Z317="אינה מפותחת","; דגש על הבעה בכתב","")&amp;IF($K317&lt;&gt;"תקין","; נדרש לעבוד על ההנגנה","")&amp;IF($AK317&lt;&gt;"","; "&amp;$AK317,""),3,400))</f>
        <v/>
      </c>
      <c r="AE317" s="32">
        <f>IF($F317="","",IF($F317="תחילת שנה",1,IF($F317="מחצית שנה",2,3)))</f>
        <v/>
      </c>
      <c r="AF317" s="32">
        <f>IF(OR($B317="",$AC317="",$A317="",$F317=""),"",$B317&amp;"|"&amp;$A317&amp;"|"&amp;$F317&amp;"|"&amp;$AC317&amp;"|"&amp;COUNTIFS($B$6:$B317,$B317,$A$6:$A317,$A317,$F$6:$F317,$F317,$AC$6:$AC317,$AC317))</f>
        <v/>
      </c>
      <c r="AG317" s="32">
        <f>IF($C317="","",$C317&amp;"|"&amp;COUNTIFS($C$6:$C317,$C317))</f>
        <v/>
      </c>
      <c r="AH317" s="32">
        <f>IF(OR($C317="",$A317="",$AE317=""),"",$C317&amp;"|"&amp;$A317&amp;"|"&amp;$AE317)</f>
        <v/>
      </c>
      <c r="AI317" s="32">
        <f>IF(OR($C317="",$AE317="",$AE317=1),"",IFERROR(INDEX($AC$6:$AC$1505,MATCH($C317&amp;"|"&amp;$A317&amp;"|"&amp;($AE317-1),$AH$6:$AH$1505,0)),""))</f>
        <v/>
      </c>
      <c r="AJ317" s="32">
        <f>IF(OR($AI317="",$AC317=""),"",IF($AI317=$AC317,"ללא שינוי","מ-"&amp;$AI317&amp;" ל-"&amp;$AC317))</f>
        <v/>
      </c>
      <c r="AK317" s="67" t="n"/>
    </row>
    <row r="318" ht="15.75" customHeight="1" s="58">
      <c r="A318" s="65" t="n"/>
      <c r="B318" s="65" t="n"/>
      <c r="C318" s="66" t="n"/>
      <c r="D318" s="66" t="n"/>
      <c r="E318" s="65" t="n"/>
      <c r="F318" s="65" t="n"/>
      <c r="G318" s="65" t="n"/>
      <c r="H318" s="65" t="n"/>
      <c r="I318" s="65" t="n"/>
      <c r="J318" s="65" t="n"/>
      <c r="K318" s="65" t="n"/>
      <c r="L318" s="65" t="n"/>
      <c r="M318" s="65" t="n"/>
      <c r="N318" s="65" t="n"/>
      <c r="O318" s="65" t="n"/>
      <c r="P318" s="65" t="n"/>
      <c r="Q318" s="65" t="n"/>
      <c r="R318" s="65" t="n"/>
      <c r="S318" s="65" t="n"/>
      <c r="T318" s="65" t="n"/>
      <c r="U318" s="65" t="n"/>
      <c r="V318" s="65" t="n"/>
      <c r="W318" s="65" t="n"/>
      <c r="X318" s="65" t="n"/>
      <c r="Y318" s="32">
        <f>IF($C318="","",IF(COUNTA($I318:$K318)&lt;3,"— חסרים נתונים",IF(AND($I318="תקין",$J318="תקין",$K318="תקין"),"רהוטה",IF(AND($I318="תקין",$J318="תקין"),"מדויקת ורציפה","אינה מדויקת או מקוטעת"))))</f>
        <v/>
      </c>
      <c r="Z318" s="32">
        <f>IF($C318="","",IF(COUNTA($U318:$W318)&lt;3,"",IF(AND($U318="מפותח",$V318="מפותח",$W318="מפותחת"),"מפותחת",IF((--($U318="דל"))+(--($V318="אינו מפותח"))+(--($W318="דלה"))&gt;=2,"אינה מפותחת","חלקית"))))</f>
        <v/>
      </c>
      <c r="AA318" s="32">
        <f>IF($C318="","",IF(COUNTA($M318,$N318,$O318)&lt;3,"— חסרים נתונים",IF(OR($M318="נמוכה",(--($M318&lt;&gt;"תקינה"))+(--($N318&lt;&gt;"תקין"))+(--($O318&lt;&gt;"תקינה"))&gt;=2),"ניכרת","אינה ניכרת")))</f>
        <v/>
      </c>
      <c r="AB318" s="32">
        <f>IF(OR($C318="",$Y318="",$AA318="",LEFT($Y318,1)="—",LEFT($AA318,1)="—"),"",IF($Z318="","— נדרשת הערכת כתיבה",IF($L318="","— חסרה הבנת הנקרא",IF($Y318="אינה מדויקת או מקוטעת",IF($AA318="ניכרת","מיקוד בשטף הקריאה ובכישורי שפה","מיקוד בשטף קריאה"),IF($AA318="ניכרת","מיקוד בכישורי שפה",IF(AND($L318="תקינה",$Z318="מפותחת"),"קוראים וכותבים מיומנים","מיקוד בהבנה והבעה"))))))</f>
        <v/>
      </c>
      <c r="AC318" s="32">
        <f>IF(OR($AB318="",LEFT($AB318,1)="—"),"",IF(OR($AB318="מיקוד בשטף קריאה",$AB318="מיקוד בשטף הקריאה ובכישורי שפה"),"רמה א'",IF($AB318="קוראים וכותבים מיומנים","רמה ג'","רמה ב'")))</f>
        <v/>
      </c>
      <c r="AD318" s="32">
        <f>IF($AC318="","",MID(IF(AND($AC318="רמה א'",$AA318="ניכרת"),"; להוסיף עבודת אוצר מילים","")&amp;IF($Z318="אינה מפותחת","; דגש על הבעה בכתב","")&amp;IF($K318&lt;&gt;"תקין","; נדרש לעבוד על ההנגנה","")&amp;IF($AK318&lt;&gt;"","; "&amp;$AK318,""),3,400))</f>
        <v/>
      </c>
      <c r="AE318" s="32">
        <f>IF($F318="","",IF($F318="תחילת שנה",1,IF($F318="מחצית שנה",2,3)))</f>
        <v/>
      </c>
      <c r="AF318" s="32">
        <f>IF(OR($B318="",$AC318="",$A318="",$F318=""),"",$B318&amp;"|"&amp;$A318&amp;"|"&amp;$F318&amp;"|"&amp;$AC318&amp;"|"&amp;COUNTIFS($B$6:$B318,$B318,$A$6:$A318,$A318,$F$6:$F318,$F318,$AC$6:$AC318,$AC318))</f>
        <v/>
      </c>
      <c r="AG318" s="32">
        <f>IF($C318="","",$C318&amp;"|"&amp;COUNTIFS($C$6:$C318,$C318))</f>
        <v/>
      </c>
      <c r="AH318" s="32">
        <f>IF(OR($C318="",$A318="",$AE318=""),"",$C318&amp;"|"&amp;$A318&amp;"|"&amp;$AE318)</f>
        <v/>
      </c>
      <c r="AI318" s="32">
        <f>IF(OR($C318="",$AE318="",$AE318=1),"",IFERROR(INDEX($AC$6:$AC$1505,MATCH($C318&amp;"|"&amp;$A318&amp;"|"&amp;($AE318-1),$AH$6:$AH$1505,0)),""))</f>
        <v/>
      </c>
      <c r="AJ318" s="32">
        <f>IF(OR($AI318="",$AC318=""),"",IF($AI318=$AC318,"ללא שינוי","מ-"&amp;$AI318&amp;" ל-"&amp;$AC318))</f>
        <v/>
      </c>
      <c r="AK318" s="67" t="n"/>
    </row>
    <row r="319" ht="15.75" customHeight="1" s="58">
      <c r="A319" s="65" t="n"/>
      <c r="B319" s="65" t="n"/>
      <c r="C319" s="66" t="n"/>
      <c r="D319" s="66" t="n"/>
      <c r="E319" s="65" t="n"/>
      <c r="F319" s="65" t="n"/>
      <c r="G319" s="65" t="n"/>
      <c r="H319" s="65" t="n"/>
      <c r="I319" s="65" t="n"/>
      <c r="J319" s="65" t="n"/>
      <c r="K319" s="65" t="n"/>
      <c r="L319" s="65" t="n"/>
      <c r="M319" s="65" t="n"/>
      <c r="N319" s="65" t="n"/>
      <c r="O319" s="65" t="n"/>
      <c r="P319" s="65" t="n"/>
      <c r="Q319" s="65" t="n"/>
      <c r="R319" s="65" t="n"/>
      <c r="S319" s="65" t="n"/>
      <c r="T319" s="65" t="n"/>
      <c r="U319" s="65" t="n"/>
      <c r="V319" s="65" t="n"/>
      <c r="W319" s="65" t="n"/>
      <c r="X319" s="65" t="n"/>
      <c r="Y319" s="32">
        <f>IF($C319="","",IF(COUNTA($I319:$K319)&lt;3,"— חסרים נתונים",IF(AND($I319="תקין",$J319="תקין",$K319="תקין"),"רהוטה",IF(AND($I319="תקין",$J319="תקין"),"מדויקת ורציפה","אינה מדויקת או מקוטעת"))))</f>
        <v/>
      </c>
      <c r="Z319" s="32">
        <f>IF($C319="","",IF(COUNTA($U319:$W319)&lt;3,"",IF(AND($U319="מפותח",$V319="מפותח",$W319="מפותחת"),"מפותחת",IF((--($U319="דל"))+(--($V319="אינו מפותח"))+(--($W319="דלה"))&gt;=2,"אינה מפותחת","חלקית"))))</f>
        <v/>
      </c>
      <c r="AA319" s="32">
        <f>IF($C319="","",IF(COUNTA($M319,$N319,$O319)&lt;3,"— חסרים נתונים",IF(OR($M319="נמוכה",(--($M319&lt;&gt;"תקינה"))+(--($N319&lt;&gt;"תקין"))+(--($O319&lt;&gt;"תקינה"))&gt;=2),"ניכרת","אינה ניכרת")))</f>
        <v/>
      </c>
      <c r="AB319" s="32">
        <f>IF(OR($C319="",$Y319="",$AA319="",LEFT($Y319,1)="—",LEFT($AA319,1)="—"),"",IF($Z319="","— נדרשת הערכת כתיבה",IF($L319="","— חסרה הבנת הנקרא",IF($Y319="אינה מדויקת או מקוטעת",IF($AA319="ניכרת","מיקוד בשטף הקריאה ובכישורי שפה","מיקוד בשטף קריאה"),IF($AA319="ניכרת","מיקוד בכישורי שפה",IF(AND($L319="תקינה",$Z319="מפותחת"),"קוראים וכותבים מיומנים","מיקוד בהבנה והבעה"))))))</f>
        <v/>
      </c>
      <c r="AC319" s="32">
        <f>IF(OR($AB319="",LEFT($AB319,1)="—"),"",IF(OR($AB319="מיקוד בשטף קריאה",$AB319="מיקוד בשטף הקריאה ובכישורי שפה"),"רמה א'",IF($AB319="קוראים וכותבים מיומנים","רמה ג'","רמה ב'")))</f>
        <v/>
      </c>
      <c r="AD319" s="32">
        <f>IF($AC319="","",MID(IF(AND($AC319="רמה א'",$AA319="ניכרת"),"; להוסיף עבודת אוצר מילים","")&amp;IF($Z319="אינה מפותחת","; דגש על הבעה בכתב","")&amp;IF($K319&lt;&gt;"תקין","; נדרש לעבוד על ההנגנה","")&amp;IF($AK319&lt;&gt;"","; "&amp;$AK319,""),3,400))</f>
        <v/>
      </c>
      <c r="AE319" s="32">
        <f>IF($F319="","",IF($F319="תחילת שנה",1,IF($F319="מחצית שנה",2,3)))</f>
        <v/>
      </c>
      <c r="AF319" s="32">
        <f>IF(OR($B319="",$AC319="",$A319="",$F319=""),"",$B319&amp;"|"&amp;$A319&amp;"|"&amp;$F319&amp;"|"&amp;$AC319&amp;"|"&amp;COUNTIFS($B$6:$B319,$B319,$A$6:$A319,$A319,$F$6:$F319,$F319,$AC$6:$AC319,$AC319))</f>
        <v/>
      </c>
      <c r="AG319" s="32">
        <f>IF($C319="","",$C319&amp;"|"&amp;COUNTIFS($C$6:$C319,$C319))</f>
        <v/>
      </c>
      <c r="AH319" s="32">
        <f>IF(OR($C319="",$A319="",$AE319=""),"",$C319&amp;"|"&amp;$A319&amp;"|"&amp;$AE319)</f>
        <v/>
      </c>
      <c r="AI319" s="32">
        <f>IF(OR($C319="",$AE319="",$AE319=1),"",IFERROR(INDEX($AC$6:$AC$1505,MATCH($C319&amp;"|"&amp;$A319&amp;"|"&amp;($AE319-1),$AH$6:$AH$1505,0)),""))</f>
        <v/>
      </c>
      <c r="AJ319" s="32">
        <f>IF(OR($AI319="",$AC319=""),"",IF($AI319=$AC319,"ללא שינוי","מ-"&amp;$AI319&amp;" ל-"&amp;$AC319))</f>
        <v/>
      </c>
      <c r="AK319" s="67" t="n"/>
    </row>
    <row r="320" ht="15.75" customHeight="1" s="58">
      <c r="A320" s="65" t="n"/>
      <c r="B320" s="65" t="n"/>
      <c r="C320" s="66" t="n"/>
      <c r="D320" s="66" t="n"/>
      <c r="E320" s="65" t="n"/>
      <c r="F320" s="65" t="n"/>
      <c r="G320" s="65" t="n"/>
      <c r="H320" s="65" t="n"/>
      <c r="I320" s="65" t="n"/>
      <c r="J320" s="65" t="n"/>
      <c r="K320" s="65" t="n"/>
      <c r="L320" s="65" t="n"/>
      <c r="M320" s="65" t="n"/>
      <c r="N320" s="65" t="n"/>
      <c r="O320" s="65" t="n"/>
      <c r="P320" s="65" t="n"/>
      <c r="Q320" s="65" t="n"/>
      <c r="R320" s="65" t="n"/>
      <c r="S320" s="65" t="n"/>
      <c r="T320" s="65" t="n"/>
      <c r="U320" s="65" t="n"/>
      <c r="V320" s="65" t="n"/>
      <c r="W320" s="65" t="n"/>
      <c r="X320" s="65" t="n"/>
      <c r="Y320" s="32">
        <f>IF($C320="","",IF(COUNTA($I320:$K320)&lt;3,"— חסרים נתונים",IF(AND($I320="תקין",$J320="תקין",$K320="תקין"),"רהוטה",IF(AND($I320="תקין",$J320="תקין"),"מדויקת ורציפה","אינה מדויקת או מקוטעת"))))</f>
        <v/>
      </c>
      <c r="Z320" s="32">
        <f>IF($C320="","",IF(COUNTA($U320:$W320)&lt;3,"",IF(AND($U320="מפותח",$V320="מפותח",$W320="מפותחת"),"מפותחת",IF((--($U320="דל"))+(--($V320="אינו מפותח"))+(--($W320="דלה"))&gt;=2,"אינה מפותחת","חלקית"))))</f>
        <v/>
      </c>
      <c r="AA320" s="32">
        <f>IF($C320="","",IF(COUNTA($M320,$N320,$O320)&lt;3,"— חסרים נתונים",IF(OR($M320="נמוכה",(--($M320&lt;&gt;"תקינה"))+(--($N320&lt;&gt;"תקין"))+(--($O320&lt;&gt;"תקינה"))&gt;=2),"ניכרת","אינה ניכרת")))</f>
        <v/>
      </c>
      <c r="AB320" s="32">
        <f>IF(OR($C320="",$Y320="",$AA320="",LEFT($Y320,1)="—",LEFT($AA320,1)="—"),"",IF($Z320="","— נדרשת הערכת כתיבה",IF($L320="","— חסרה הבנת הנקרא",IF($Y320="אינה מדויקת או מקוטעת",IF($AA320="ניכרת","מיקוד בשטף הקריאה ובכישורי שפה","מיקוד בשטף קריאה"),IF($AA320="ניכרת","מיקוד בכישורי שפה",IF(AND($L320="תקינה",$Z320="מפותחת"),"קוראים וכותבים מיומנים","מיקוד בהבנה והבעה"))))))</f>
        <v/>
      </c>
      <c r="AC320" s="32">
        <f>IF(OR($AB320="",LEFT($AB320,1)="—"),"",IF(OR($AB320="מיקוד בשטף קריאה",$AB320="מיקוד בשטף הקריאה ובכישורי שפה"),"רמה א'",IF($AB320="קוראים וכותבים מיומנים","רמה ג'","רמה ב'")))</f>
        <v/>
      </c>
      <c r="AD320" s="32">
        <f>IF($AC320="","",MID(IF(AND($AC320="רמה א'",$AA320="ניכרת"),"; להוסיף עבודת אוצר מילים","")&amp;IF($Z320="אינה מפותחת","; דגש על הבעה בכתב","")&amp;IF($K320&lt;&gt;"תקין","; נדרש לעבוד על ההנגנה","")&amp;IF($AK320&lt;&gt;"","; "&amp;$AK320,""),3,400))</f>
        <v/>
      </c>
      <c r="AE320" s="32">
        <f>IF($F320="","",IF($F320="תחילת שנה",1,IF($F320="מחצית שנה",2,3)))</f>
        <v/>
      </c>
      <c r="AF320" s="32">
        <f>IF(OR($B320="",$AC320="",$A320="",$F320=""),"",$B320&amp;"|"&amp;$A320&amp;"|"&amp;$F320&amp;"|"&amp;$AC320&amp;"|"&amp;COUNTIFS($B$6:$B320,$B320,$A$6:$A320,$A320,$F$6:$F320,$F320,$AC$6:$AC320,$AC320))</f>
        <v/>
      </c>
      <c r="AG320" s="32">
        <f>IF($C320="","",$C320&amp;"|"&amp;COUNTIFS($C$6:$C320,$C320))</f>
        <v/>
      </c>
      <c r="AH320" s="32">
        <f>IF(OR($C320="",$A320="",$AE320=""),"",$C320&amp;"|"&amp;$A320&amp;"|"&amp;$AE320)</f>
        <v/>
      </c>
      <c r="AI320" s="32">
        <f>IF(OR($C320="",$AE320="",$AE320=1),"",IFERROR(INDEX($AC$6:$AC$1505,MATCH($C320&amp;"|"&amp;$A320&amp;"|"&amp;($AE320-1),$AH$6:$AH$1505,0)),""))</f>
        <v/>
      </c>
      <c r="AJ320" s="32">
        <f>IF(OR($AI320="",$AC320=""),"",IF($AI320=$AC320,"ללא שינוי","מ-"&amp;$AI320&amp;" ל-"&amp;$AC320))</f>
        <v/>
      </c>
      <c r="AK320" s="67" t="n"/>
    </row>
    <row r="321" ht="15.75" customHeight="1" s="58">
      <c r="A321" s="65" t="n"/>
      <c r="B321" s="65" t="n"/>
      <c r="C321" s="66" t="n"/>
      <c r="D321" s="66" t="n"/>
      <c r="E321" s="65" t="n"/>
      <c r="F321" s="65" t="n"/>
      <c r="G321" s="65" t="n"/>
      <c r="H321" s="65" t="n"/>
      <c r="I321" s="65" t="n"/>
      <c r="J321" s="65" t="n"/>
      <c r="K321" s="65" t="n"/>
      <c r="L321" s="65" t="n"/>
      <c r="M321" s="65" t="n"/>
      <c r="N321" s="65" t="n"/>
      <c r="O321" s="65" t="n"/>
      <c r="P321" s="65" t="n"/>
      <c r="Q321" s="65" t="n"/>
      <c r="R321" s="65" t="n"/>
      <c r="S321" s="65" t="n"/>
      <c r="T321" s="65" t="n"/>
      <c r="U321" s="65" t="n"/>
      <c r="V321" s="65" t="n"/>
      <c r="W321" s="65" t="n"/>
      <c r="X321" s="65" t="n"/>
      <c r="Y321" s="32">
        <f>IF($C321="","",IF(COUNTA($I321:$K321)&lt;3,"— חסרים נתונים",IF(AND($I321="תקין",$J321="תקין",$K321="תקין"),"רהוטה",IF(AND($I321="תקין",$J321="תקין"),"מדויקת ורציפה","אינה מדויקת או מקוטעת"))))</f>
        <v/>
      </c>
      <c r="Z321" s="32">
        <f>IF($C321="","",IF(COUNTA($U321:$W321)&lt;3,"",IF(AND($U321="מפותח",$V321="מפותח",$W321="מפותחת"),"מפותחת",IF((--($U321="דל"))+(--($V321="אינו מפותח"))+(--($W321="דלה"))&gt;=2,"אינה מפותחת","חלקית"))))</f>
        <v/>
      </c>
      <c r="AA321" s="32">
        <f>IF($C321="","",IF(COUNTA($M321,$N321,$O321)&lt;3,"— חסרים נתונים",IF(OR($M321="נמוכה",(--($M321&lt;&gt;"תקינה"))+(--($N321&lt;&gt;"תקין"))+(--($O321&lt;&gt;"תקינה"))&gt;=2),"ניכרת","אינה ניכרת")))</f>
        <v/>
      </c>
      <c r="AB321" s="32">
        <f>IF(OR($C321="",$Y321="",$AA321="",LEFT($Y321,1)="—",LEFT($AA321,1)="—"),"",IF($Z321="","— נדרשת הערכת כתיבה",IF($L321="","— חסרה הבנת הנקרא",IF($Y321="אינה מדויקת או מקוטעת",IF($AA321="ניכרת","מיקוד בשטף הקריאה ובכישורי שפה","מיקוד בשטף קריאה"),IF($AA321="ניכרת","מיקוד בכישורי שפה",IF(AND($L321="תקינה",$Z321="מפותחת"),"קוראים וכותבים מיומנים","מיקוד בהבנה והבעה"))))))</f>
        <v/>
      </c>
      <c r="AC321" s="32">
        <f>IF(OR($AB321="",LEFT($AB321,1)="—"),"",IF(OR($AB321="מיקוד בשטף קריאה",$AB321="מיקוד בשטף הקריאה ובכישורי שפה"),"רמה א'",IF($AB321="קוראים וכותבים מיומנים","רמה ג'","רמה ב'")))</f>
        <v/>
      </c>
      <c r="AD321" s="32">
        <f>IF($AC321="","",MID(IF(AND($AC321="רמה א'",$AA321="ניכרת"),"; להוסיף עבודת אוצר מילים","")&amp;IF($Z321="אינה מפותחת","; דגש על הבעה בכתב","")&amp;IF($K321&lt;&gt;"תקין","; נדרש לעבוד על ההנגנה","")&amp;IF($AK321&lt;&gt;"","; "&amp;$AK321,""),3,400))</f>
        <v/>
      </c>
      <c r="AE321" s="32">
        <f>IF($F321="","",IF($F321="תחילת שנה",1,IF($F321="מחצית שנה",2,3)))</f>
        <v/>
      </c>
      <c r="AF321" s="32">
        <f>IF(OR($B321="",$AC321="",$A321="",$F321=""),"",$B321&amp;"|"&amp;$A321&amp;"|"&amp;$F321&amp;"|"&amp;$AC321&amp;"|"&amp;COUNTIFS($B$6:$B321,$B321,$A$6:$A321,$A321,$F$6:$F321,$F321,$AC$6:$AC321,$AC321))</f>
        <v/>
      </c>
      <c r="AG321" s="32">
        <f>IF($C321="","",$C321&amp;"|"&amp;COUNTIFS($C$6:$C321,$C321))</f>
        <v/>
      </c>
      <c r="AH321" s="32">
        <f>IF(OR($C321="",$A321="",$AE321=""),"",$C321&amp;"|"&amp;$A321&amp;"|"&amp;$AE321)</f>
        <v/>
      </c>
      <c r="AI321" s="32">
        <f>IF(OR($C321="",$AE321="",$AE321=1),"",IFERROR(INDEX($AC$6:$AC$1505,MATCH($C321&amp;"|"&amp;$A321&amp;"|"&amp;($AE321-1),$AH$6:$AH$1505,0)),""))</f>
        <v/>
      </c>
      <c r="AJ321" s="32">
        <f>IF(OR($AI321="",$AC321=""),"",IF($AI321=$AC321,"ללא שינוי","מ-"&amp;$AI321&amp;" ל-"&amp;$AC321))</f>
        <v/>
      </c>
      <c r="AK321" s="67" t="n"/>
    </row>
    <row r="322" ht="15.75" customHeight="1" s="58">
      <c r="A322" s="65" t="n"/>
      <c r="B322" s="65" t="n"/>
      <c r="C322" s="66" t="n"/>
      <c r="D322" s="66" t="n"/>
      <c r="E322" s="65" t="n"/>
      <c r="F322" s="65" t="n"/>
      <c r="G322" s="65" t="n"/>
      <c r="H322" s="65" t="n"/>
      <c r="I322" s="65" t="n"/>
      <c r="J322" s="65" t="n"/>
      <c r="K322" s="65" t="n"/>
      <c r="L322" s="65" t="n"/>
      <c r="M322" s="65" t="n"/>
      <c r="N322" s="65" t="n"/>
      <c r="O322" s="65" t="n"/>
      <c r="P322" s="65" t="n"/>
      <c r="Q322" s="65" t="n"/>
      <c r="R322" s="65" t="n"/>
      <c r="S322" s="65" t="n"/>
      <c r="T322" s="65" t="n"/>
      <c r="U322" s="65" t="n"/>
      <c r="V322" s="65" t="n"/>
      <c r="W322" s="65" t="n"/>
      <c r="X322" s="65" t="n"/>
      <c r="Y322" s="32">
        <f>IF($C322="","",IF(COUNTA($I322:$K322)&lt;3,"— חסרים נתונים",IF(AND($I322="תקין",$J322="תקין",$K322="תקין"),"רהוטה",IF(AND($I322="תקין",$J322="תקין"),"מדויקת ורציפה","אינה מדויקת או מקוטעת"))))</f>
        <v/>
      </c>
      <c r="Z322" s="32">
        <f>IF($C322="","",IF(COUNTA($U322:$W322)&lt;3,"",IF(AND($U322="מפותח",$V322="מפותח",$W322="מפותחת"),"מפותחת",IF((--($U322="דל"))+(--($V322="אינו מפותח"))+(--($W322="דלה"))&gt;=2,"אינה מפותחת","חלקית"))))</f>
        <v/>
      </c>
      <c r="AA322" s="32">
        <f>IF($C322="","",IF(COUNTA($M322,$N322,$O322)&lt;3,"— חסרים נתונים",IF(OR($M322="נמוכה",(--($M322&lt;&gt;"תקינה"))+(--($N322&lt;&gt;"תקין"))+(--($O322&lt;&gt;"תקינה"))&gt;=2),"ניכרת","אינה ניכרת")))</f>
        <v/>
      </c>
      <c r="AB322" s="32">
        <f>IF(OR($C322="",$Y322="",$AA322="",LEFT($Y322,1)="—",LEFT($AA322,1)="—"),"",IF($Z322="","— נדרשת הערכת כתיבה",IF($L322="","— חסרה הבנת הנקרא",IF($Y322="אינה מדויקת או מקוטעת",IF($AA322="ניכרת","מיקוד בשטף הקריאה ובכישורי שפה","מיקוד בשטף קריאה"),IF($AA322="ניכרת","מיקוד בכישורי שפה",IF(AND($L322="תקינה",$Z322="מפותחת"),"קוראים וכותבים מיומנים","מיקוד בהבנה והבעה"))))))</f>
        <v/>
      </c>
      <c r="AC322" s="32">
        <f>IF(OR($AB322="",LEFT($AB322,1)="—"),"",IF(OR($AB322="מיקוד בשטף קריאה",$AB322="מיקוד בשטף הקריאה ובכישורי שפה"),"רמה א'",IF($AB322="קוראים וכותבים מיומנים","רמה ג'","רמה ב'")))</f>
        <v/>
      </c>
      <c r="AD322" s="32">
        <f>IF($AC322="","",MID(IF(AND($AC322="רמה א'",$AA322="ניכרת"),"; להוסיף עבודת אוצר מילים","")&amp;IF($Z322="אינה מפותחת","; דגש על הבעה בכתב","")&amp;IF($K322&lt;&gt;"תקין","; נדרש לעבוד על ההנגנה","")&amp;IF($AK322&lt;&gt;"","; "&amp;$AK322,""),3,400))</f>
        <v/>
      </c>
      <c r="AE322" s="32">
        <f>IF($F322="","",IF($F322="תחילת שנה",1,IF($F322="מחצית שנה",2,3)))</f>
        <v/>
      </c>
      <c r="AF322" s="32">
        <f>IF(OR($B322="",$AC322="",$A322="",$F322=""),"",$B322&amp;"|"&amp;$A322&amp;"|"&amp;$F322&amp;"|"&amp;$AC322&amp;"|"&amp;COUNTIFS($B$6:$B322,$B322,$A$6:$A322,$A322,$F$6:$F322,$F322,$AC$6:$AC322,$AC322))</f>
        <v/>
      </c>
      <c r="AG322" s="32">
        <f>IF($C322="","",$C322&amp;"|"&amp;COUNTIFS($C$6:$C322,$C322))</f>
        <v/>
      </c>
      <c r="AH322" s="32">
        <f>IF(OR($C322="",$A322="",$AE322=""),"",$C322&amp;"|"&amp;$A322&amp;"|"&amp;$AE322)</f>
        <v/>
      </c>
      <c r="AI322" s="32">
        <f>IF(OR($C322="",$AE322="",$AE322=1),"",IFERROR(INDEX($AC$6:$AC$1505,MATCH($C322&amp;"|"&amp;$A322&amp;"|"&amp;($AE322-1),$AH$6:$AH$1505,0)),""))</f>
        <v/>
      </c>
      <c r="AJ322" s="32">
        <f>IF(OR($AI322="",$AC322=""),"",IF($AI322=$AC322,"ללא שינוי","מ-"&amp;$AI322&amp;" ל-"&amp;$AC322))</f>
        <v/>
      </c>
      <c r="AK322" s="67" t="n"/>
    </row>
    <row r="323" ht="15.75" customHeight="1" s="58">
      <c r="A323" s="65" t="n"/>
      <c r="B323" s="65" t="n"/>
      <c r="C323" s="66" t="n"/>
      <c r="D323" s="66" t="n"/>
      <c r="E323" s="65" t="n"/>
      <c r="F323" s="65" t="n"/>
      <c r="G323" s="65" t="n"/>
      <c r="H323" s="65" t="n"/>
      <c r="I323" s="65" t="n"/>
      <c r="J323" s="65" t="n"/>
      <c r="K323" s="65" t="n"/>
      <c r="L323" s="65" t="n"/>
      <c r="M323" s="65" t="n"/>
      <c r="N323" s="65" t="n"/>
      <c r="O323" s="65" t="n"/>
      <c r="P323" s="65" t="n"/>
      <c r="Q323" s="65" t="n"/>
      <c r="R323" s="65" t="n"/>
      <c r="S323" s="65" t="n"/>
      <c r="T323" s="65" t="n"/>
      <c r="U323" s="65" t="n"/>
      <c r="V323" s="65" t="n"/>
      <c r="W323" s="65" t="n"/>
      <c r="X323" s="65" t="n"/>
      <c r="Y323" s="32">
        <f>IF($C323="","",IF(COUNTA($I323:$K323)&lt;3,"— חסרים נתונים",IF(AND($I323="תקין",$J323="תקין",$K323="תקין"),"רהוטה",IF(AND($I323="תקין",$J323="תקין"),"מדויקת ורציפה","אינה מדויקת או מקוטעת"))))</f>
        <v/>
      </c>
      <c r="Z323" s="32">
        <f>IF($C323="","",IF(COUNTA($U323:$W323)&lt;3,"",IF(AND($U323="מפותח",$V323="מפותח",$W323="מפותחת"),"מפותחת",IF((--($U323="דל"))+(--($V323="אינו מפותח"))+(--($W323="דלה"))&gt;=2,"אינה מפותחת","חלקית"))))</f>
        <v/>
      </c>
      <c r="AA323" s="32">
        <f>IF($C323="","",IF(COUNTA($M323,$N323,$O323)&lt;3,"— חסרים נתונים",IF(OR($M323="נמוכה",(--($M323&lt;&gt;"תקינה"))+(--($N323&lt;&gt;"תקין"))+(--($O323&lt;&gt;"תקינה"))&gt;=2),"ניכרת","אינה ניכרת")))</f>
        <v/>
      </c>
      <c r="AB323" s="32">
        <f>IF(OR($C323="",$Y323="",$AA323="",LEFT($Y323,1)="—",LEFT($AA323,1)="—"),"",IF($Z323="","— נדרשת הערכת כתיבה",IF($L323="","— חסרה הבנת הנקרא",IF($Y323="אינה מדויקת או מקוטעת",IF($AA323="ניכרת","מיקוד בשטף הקריאה ובכישורי שפה","מיקוד בשטף קריאה"),IF($AA323="ניכרת","מיקוד בכישורי שפה",IF(AND($L323="תקינה",$Z323="מפותחת"),"קוראים וכותבים מיומנים","מיקוד בהבנה והבעה"))))))</f>
        <v/>
      </c>
      <c r="AC323" s="32">
        <f>IF(OR($AB323="",LEFT($AB323,1)="—"),"",IF(OR($AB323="מיקוד בשטף קריאה",$AB323="מיקוד בשטף הקריאה ובכישורי שפה"),"רמה א'",IF($AB323="קוראים וכותבים מיומנים","רמה ג'","רמה ב'")))</f>
        <v/>
      </c>
      <c r="AD323" s="32">
        <f>IF($AC323="","",MID(IF(AND($AC323="רמה א'",$AA323="ניכרת"),"; להוסיף עבודת אוצר מילים","")&amp;IF($Z323="אינה מפותחת","; דגש על הבעה בכתב","")&amp;IF($K323&lt;&gt;"תקין","; נדרש לעבוד על ההנגנה","")&amp;IF($AK323&lt;&gt;"","; "&amp;$AK323,""),3,400))</f>
        <v/>
      </c>
      <c r="AE323" s="32">
        <f>IF($F323="","",IF($F323="תחילת שנה",1,IF($F323="מחצית שנה",2,3)))</f>
        <v/>
      </c>
      <c r="AF323" s="32">
        <f>IF(OR($B323="",$AC323="",$A323="",$F323=""),"",$B323&amp;"|"&amp;$A323&amp;"|"&amp;$F323&amp;"|"&amp;$AC323&amp;"|"&amp;COUNTIFS($B$6:$B323,$B323,$A$6:$A323,$A323,$F$6:$F323,$F323,$AC$6:$AC323,$AC323))</f>
        <v/>
      </c>
      <c r="AG323" s="32">
        <f>IF($C323="","",$C323&amp;"|"&amp;COUNTIFS($C$6:$C323,$C323))</f>
        <v/>
      </c>
      <c r="AH323" s="32">
        <f>IF(OR($C323="",$A323="",$AE323=""),"",$C323&amp;"|"&amp;$A323&amp;"|"&amp;$AE323)</f>
        <v/>
      </c>
      <c r="AI323" s="32">
        <f>IF(OR($C323="",$AE323="",$AE323=1),"",IFERROR(INDEX($AC$6:$AC$1505,MATCH($C323&amp;"|"&amp;$A323&amp;"|"&amp;($AE323-1),$AH$6:$AH$1505,0)),""))</f>
        <v/>
      </c>
      <c r="AJ323" s="32">
        <f>IF(OR($AI323="",$AC323=""),"",IF($AI323=$AC323,"ללא שינוי","מ-"&amp;$AI323&amp;" ל-"&amp;$AC323))</f>
        <v/>
      </c>
      <c r="AK323" s="67" t="n"/>
    </row>
    <row r="324" ht="15.75" customHeight="1" s="58">
      <c r="A324" s="65" t="n"/>
      <c r="B324" s="65" t="n"/>
      <c r="C324" s="66" t="n"/>
      <c r="D324" s="66" t="n"/>
      <c r="E324" s="65" t="n"/>
      <c r="F324" s="65" t="n"/>
      <c r="G324" s="65" t="n"/>
      <c r="H324" s="65" t="n"/>
      <c r="I324" s="65" t="n"/>
      <c r="J324" s="65" t="n"/>
      <c r="K324" s="65" t="n"/>
      <c r="L324" s="65" t="n"/>
      <c r="M324" s="65" t="n"/>
      <c r="N324" s="65" t="n"/>
      <c r="O324" s="65" t="n"/>
      <c r="P324" s="65" t="n"/>
      <c r="Q324" s="65" t="n"/>
      <c r="R324" s="65" t="n"/>
      <c r="S324" s="65" t="n"/>
      <c r="T324" s="65" t="n"/>
      <c r="U324" s="65" t="n"/>
      <c r="V324" s="65" t="n"/>
      <c r="W324" s="65" t="n"/>
      <c r="X324" s="65" t="n"/>
      <c r="Y324" s="32">
        <f>IF($C324="","",IF(COUNTA($I324:$K324)&lt;3,"— חסרים נתונים",IF(AND($I324="תקין",$J324="תקין",$K324="תקין"),"רהוטה",IF(AND($I324="תקין",$J324="תקין"),"מדויקת ורציפה","אינה מדויקת או מקוטעת"))))</f>
        <v/>
      </c>
      <c r="Z324" s="32">
        <f>IF($C324="","",IF(COUNTA($U324:$W324)&lt;3,"",IF(AND($U324="מפותח",$V324="מפותח",$W324="מפותחת"),"מפותחת",IF((--($U324="דל"))+(--($V324="אינו מפותח"))+(--($W324="דלה"))&gt;=2,"אינה מפותחת","חלקית"))))</f>
        <v/>
      </c>
      <c r="AA324" s="32">
        <f>IF($C324="","",IF(COUNTA($M324,$N324,$O324)&lt;3,"— חסרים נתונים",IF(OR($M324="נמוכה",(--($M324&lt;&gt;"תקינה"))+(--($N324&lt;&gt;"תקין"))+(--($O324&lt;&gt;"תקינה"))&gt;=2),"ניכרת","אינה ניכרת")))</f>
        <v/>
      </c>
      <c r="AB324" s="32">
        <f>IF(OR($C324="",$Y324="",$AA324="",LEFT($Y324,1)="—",LEFT($AA324,1)="—"),"",IF($Z324="","— נדרשת הערכת כתיבה",IF($L324="","— חסרה הבנת הנקרא",IF($Y324="אינה מדויקת או מקוטעת",IF($AA324="ניכרת","מיקוד בשטף הקריאה ובכישורי שפה","מיקוד בשטף קריאה"),IF($AA324="ניכרת","מיקוד בכישורי שפה",IF(AND($L324="תקינה",$Z324="מפותחת"),"קוראים וכותבים מיומנים","מיקוד בהבנה והבעה"))))))</f>
        <v/>
      </c>
      <c r="AC324" s="32">
        <f>IF(OR($AB324="",LEFT($AB324,1)="—"),"",IF(OR($AB324="מיקוד בשטף קריאה",$AB324="מיקוד בשטף הקריאה ובכישורי שפה"),"רמה א'",IF($AB324="קוראים וכותבים מיומנים","רמה ג'","רמה ב'")))</f>
        <v/>
      </c>
      <c r="AD324" s="32">
        <f>IF($AC324="","",MID(IF(AND($AC324="רמה א'",$AA324="ניכרת"),"; להוסיף עבודת אוצר מילים","")&amp;IF($Z324="אינה מפותחת","; דגש על הבעה בכתב","")&amp;IF($K324&lt;&gt;"תקין","; נדרש לעבוד על ההנגנה","")&amp;IF($AK324&lt;&gt;"","; "&amp;$AK324,""),3,400))</f>
        <v/>
      </c>
      <c r="AE324" s="32">
        <f>IF($F324="","",IF($F324="תחילת שנה",1,IF($F324="מחצית שנה",2,3)))</f>
        <v/>
      </c>
      <c r="AF324" s="32">
        <f>IF(OR($B324="",$AC324="",$A324="",$F324=""),"",$B324&amp;"|"&amp;$A324&amp;"|"&amp;$F324&amp;"|"&amp;$AC324&amp;"|"&amp;COUNTIFS($B$6:$B324,$B324,$A$6:$A324,$A324,$F$6:$F324,$F324,$AC$6:$AC324,$AC324))</f>
        <v/>
      </c>
      <c r="AG324" s="32">
        <f>IF($C324="","",$C324&amp;"|"&amp;COUNTIFS($C$6:$C324,$C324))</f>
        <v/>
      </c>
      <c r="AH324" s="32">
        <f>IF(OR($C324="",$A324="",$AE324=""),"",$C324&amp;"|"&amp;$A324&amp;"|"&amp;$AE324)</f>
        <v/>
      </c>
      <c r="AI324" s="32">
        <f>IF(OR($C324="",$AE324="",$AE324=1),"",IFERROR(INDEX($AC$6:$AC$1505,MATCH($C324&amp;"|"&amp;$A324&amp;"|"&amp;($AE324-1),$AH$6:$AH$1505,0)),""))</f>
        <v/>
      </c>
      <c r="AJ324" s="32">
        <f>IF(OR($AI324="",$AC324=""),"",IF($AI324=$AC324,"ללא שינוי","מ-"&amp;$AI324&amp;" ל-"&amp;$AC324))</f>
        <v/>
      </c>
      <c r="AK324" s="67" t="n"/>
    </row>
    <row r="325" ht="15.75" customHeight="1" s="58">
      <c r="A325" s="65" t="n"/>
      <c r="B325" s="65" t="n"/>
      <c r="C325" s="66" t="n"/>
      <c r="D325" s="66" t="n"/>
      <c r="E325" s="65" t="n"/>
      <c r="F325" s="65" t="n"/>
      <c r="G325" s="65" t="n"/>
      <c r="H325" s="65" t="n"/>
      <c r="I325" s="65" t="n"/>
      <c r="J325" s="65" t="n"/>
      <c r="K325" s="65" t="n"/>
      <c r="L325" s="65" t="n"/>
      <c r="M325" s="65" t="n"/>
      <c r="N325" s="65" t="n"/>
      <c r="O325" s="65" t="n"/>
      <c r="P325" s="65" t="n"/>
      <c r="Q325" s="65" t="n"/>
      <c r="R325" s="65" t="n"/>
      <c r="S325" s="65" t="n"/>
      <c r="T325" s="65" t="n"/>
      <c r="U325" s="65" t="n"/>
      <c r="V325" s="65" t="n"/>
      <c r="W325" s="65" t="n"/>
      <c r="X325" s="65" t="n"/>
      <c r="Y325" s="32">
        <f>IF($C325="","",IF(COUNTA($I325:$K325)&lt;3,"— חסרים נתונים",IF(AND($I325="תקין",$J325="תקין",$K325="תקין"),"רהוטה",IF(AND($I325="תקין",$J325="תקין"),"מדויקת ורציפה","אינה מדויקת או מקוטעת"))))</f>
        <v/>
      </c>
      <c r="Z325" s="32">
        <f>IF($C325="","",IF(COUNTA($U325:$W325)&lt;3,"",IF(AND($U325="מפותח",$V325="מפותח",$W325="מפותחת"),"מפותחת",IF((--($U325="דל"))+(--($V325="אינו מפותח"))+(--($W325="דלה"))&gt;=2,"אינה מפותחת","חלקית"))))</f>
        <v/>
      </c>
      <c r="AA325" s="32">
        <f>IF($C325="","",IF(COUNTA($M325,$N325,$O325)&lt;3,"— חסרים נתונים",IF(OR($M325="נמוכה",(--($M325&lt;&gt;"תקינה"))+(--($N325&lt;&gt;"תקין"))+(--($O325&lt;&gt;"תקינה"))&gt;=2),"ניכרת","אינה ניכרת")))</f>
        <v/>
      </c>
      <c r="AB325" s="32">
        <f>IF(OR($C325="",$Y325="",$AA325="",LEFT($Y325,1)="—",LEFT($AA325,1)="—"),"",IF($Z325="","— נדרשת הערכת כתיבה",IF($L325="","— חסרה הבנת הנקרא",IF($Y325="אינה מדויקת או מקוטעת",IF($AA325="ניכרת","מיקוד בשטף הקריאה ובכישורי שפה","מיקוד בשטף קריאה"),IF($AA325="ניכרת","מיקוד בכישורי שפה",IF(AND($L325="תקינה",$Z325="מפותחת"),"קוראים וכותבים מיומנים","מיקוד בהבנה והבעה"))))))</f>
        <v/>
      </c>
      <c r="AC325" s="32">
        <f>IF(OR($AB325="",LEFT($AB325,1)="—"),"",IF(OR($AB325="מיקוד בשטף קריאה",$AB325="מיקוד בשטף הקריאה ובכישורי שפה"),"רמה א'",IF($AB325="קוראים וכותבים מיומנים","רמה ג'","רמה ב'")))</f>
        <v/>
      </c>
      <c r="AD325" s="32">
        <f>IF($AC325="","",MID(IF(AND($AC325="רמה א'",$AA325="ניכרת"),"; להוסיף עבודת אוצר מילים","")&amp;IF($Z325="אינה מפותחת","; דגש על הבעה בכתב","")&amp;IF($K325&lt;&gt;"תקין","; נדרש לעבוד על ההנגנה","")&amp;IF($AK325&lt;&gt;"","; "&amp;$AK325,""),3,400))</f>
        <v/>
      </c>
      <c r="AE325" s="32">
        <f>IF($F325="","",IF($F325="תחילת שנה",1,IF($F325="מחצית שנה",2,3)))</f>
        <v/>
      </c>
      <c r="AF325" s="32">
        <f>IF(OR($B325="",$AC325="",$A325="",$F325=""),"",$B325&amp;"|"&amp;$A325&amp;"|"&amp;$F325&amp;"|"&amp;$AC325&amp;"|"&amp;COUNTIFS($B$6:$B325,$B325,$A$6:$A325,$A325,$F$6:$F325,$F325,$AC$6:$AC325,$AC325))</f>
        <v/>
      </c>
      <c r="AG325" s="32">
        <f>IF($C325="","",$C325&amp;"|"&amp;COUNTIFS($C$6:$C325,$C325))</f>
        <v/>
      </c>
      <c r="AH325" s="32">
        <f>IF(OR($C325="",$A325="",$AE325=""),"",$C325&amp;"|"&amp;$A325&amp;"|"&amp;$AE325)</f>
        <v/>
      </c>
      <c r="AI325" s="32">
        <f>IF(OR($C325="",$AE325="",$AE325=1),"",IFERROR(INDEX($AC$6:$AC$1505,MATCH($C325&amp;"|"&amp;$A325&amp;"|"&amp;($AE325-1),$AH$6:$AH$1505,0)),""))</f>
        <v/>
      </c>
      <c r="AJ325" s="32">
        <f>IF(OR($AI325="",$AC325=""),"",IF($AI325=$AC325,"ללא שינוי","מ-"&amp;$AI325&amp;" ל-"&amp;$AC325))</f>
        <v/>
      </c>
      <c r="AK325" s="67" t="n"/>
    </row>
    <row r="326" ht="15.75" customHeight="1" s="58">
      <c r="A326" s="65" t="n"/>
      <c r="B326" s="65" t="n"/>
      <c r="C326" s="66" t="n"/>
      <c r="D326" s="66" t="n"/>
      <c r="E326" s="65" t="n"/>
      <c r="F326" s="65" t="n"/>
      <c r="G326" s="65" t="n"/>
      <c r="H326" s="65" t="n"/>
      <c r="I326" s="65" t="n"/>
      <c r="J326" s="65" t="n"/>
      <c r="K326" s="65" t="n"/>
      <c r="L326" s="65" t="n"/>
      <c r="M326" s="65" t="n"/>
      <c r="N326" s="65" t="n"/>
      <c r="O326" s="65" t="n"/>
      <c r="P326" s="65" t="n"/>
      <c r="Q326" s="65" t="n"/>
      <c r="R326" s="65" t="n"/>
      <c r="S326" s="65" t="n"/>
      <c r="T326" s="65" t="n"/>
      <c r="U326" s="65" t="n"/>
      <c r="V326" s="65" t="n"/>
      <c r="W326" s="65" t="n"/>
      <c r="X326" s="65" t="n"/>
      <c r="Y326" s="32">
        <f>IF($C326="","",IF(COUNTA($I326:$K326)&lt;3,"— חסרים נתונים",IF(AND($I326="תקין",$J326="תקין",$K326="תקין"),"רהוטה",IF(AND($I326="תקין",$J326="תקין"),"מדויקת ורציפה","אינה מדויקת או מקוטעת"))))</f>
        <v/>
      </c>
      <c r="Z326" s="32">
        <f>IF($C326="","",IF(COUNTA($U326:$W326)&lt;3,"",IF(AND($U326="מפותח",$V326="מפותח",$W326="מפותחת"),"מפותחת",IF((--($U326="דל"))+(--($V326="אינו מפותח"))+(--($W326="דלה"))&gt;=2,"אינה מפותחת","חלקית"))))</f>
        <v/>
      </c>
      <c r="AA326" s="32">
        <f>IF($C326="","",IF(COUNTA($M326,$N326,$O326)&lt;3,"— חסרים נתונים",IF(OR($M326="נמוכה",(--($M326&lt;&gt;"תקינה"))+(--($N326&lt;&gt;"תקין"))+(--($O326&lt;&gt;"תקינה"))&gt;=2),"ניכרת","אינה ניכרת")))</f>
        <v/>
      </c>
      <c r="AB326" s="32">
        <f>IF(OR($C326="",$Y326="",$AA326="",LEFT($Y326,1)="—",LEFT($AA326,1)="—"),"",IF($Z326="","— נדרשת הערכת כתיבה",IF($L326="","— חסרה הבנת הנקרא",IF($Y326="אינה מדויקת או מקוטעת",IF($AA326="ניכרת","מיקוד בשטף הקריאה ובכישורי שפה","מיקוד בשטף קריאה"),IF($AA326="ניכרת","מיקוד בכישורי שפה",IF(AND($L326="תקינה",$Z326="מפותחת"),"קוראים וכותבים מיומנים","מיקוד בהבנה והבעה"))))))</f>
        <v/>
      </c>
      <c r="AC326" s="32">
        <f>IF(OR($AB326="",LEFT($AB326,1)="—"),"",IF(OR($AB326="מיקוד בשטף קריאה",$AB326="מיקוד בשטף הקריאה ובכישורי שפה"),"רמה א'",IF($AB326="קוראים וכותבים מיומנים","רמה ג'","רמה ב'")))</f>
        <v/>
      </c>
      <c r="AD326" s="32">
        <f>IF($AC326="","",MID(IF(AND($AC326="רמה א'",$AA326="ניכרת"),"; להוסיף עבודת אוצר מילים","")&amp;IF($Z326="אינה מפותחת","; דגש על הבעה בכתב","")&amp;IF($K326&lt;&gt;"תקין","; נדרש לעבוד על ההנגנה","")&amp;IF($AK326&lt;&gt;"","; "&amp;$AK326,""),3,400))</f>
        <v/>
      </c>
      <c r="AE326" s="32">
        <f>IF($F326="","",IF($F326="תחילת שנה",1,IF($F326="מחצית שנה",2,3)))</f>
        <v/>
      </c>
      <c r="AF326" s="32">
        <f>IF(OR($B326="",$AC326="",$A326="",$F326=""),"",$B326&amp;"|"&amp;$A326&amp;"|"&amp;$F326&amp;"|"&amp;$AC326&amp;"|"&amp;COUNTIFS($B$6:$B326,$B326,$A$6:$A326,$A326,$F$6:$F326,$F326,$AC$6:$AC326,$AC326))</f>
        <v/>
      </c>
      <c r="AG326" s="32">
        <f>IF($C326="","",$C326&amp;"|"&amp;COUNTIFS($C$6:$C326,$C326))</f>
        <v/>
      </c>
      <c r="AH326" s="32">
        <f>IF(OR($C326="",$A326="",$AE326=""),"",$C326&amp;"|"&amp;$A326&amp;"|"&amp;$AE326)</f>
        <v/>
      </c>
      <c r="AI326" s="32">
        <f>IF(OR($C326="",$AE326="",$AE326=1),"",IFERROR(INDEX($AC$6:$AC$1505,MATCH($C326&amp;"|"&amp;$A326&amp;"|"&amp;($AE326-1),$AH$6:$AH$1505,0)),""))</f>
        <v/>
      </c>
      <c r="AJ326" s="32">
        <f>IF(OR($AI326="",$AC326=""),"",IF($AI326=$AC326,"ללא שינוי","מ-"&amp;$AI326&amp;" ל-"&amp;$AC326))</f>
        <v/>
      </c>
      <c r="AK326" s="67" t="n"/>
    </row>
    <row r="327" ht="15.75" customHeight="1" s="58">
      <c r="A327" s="65" t="n"/>
      <c r="B327" s="65" t="n"/>
      <c r="C327" s="66" t="n"/>
      <c r="D327" s="66" t="n"/>
      <c r="E327" s="65" t="n"/>
      <c r="F327" s="65" t="n"/>
      <c r="G327" s="65" t="n"/>
      <c r="H327" s="65" t="n"/>
      <c r="I327" s="65" t="n"/>
      <c r="J327" s="65" t="n"/>
      <c r="K327" s="65" t="n"/>
      <c r="L327" s="65" t="n"/>
      <c r="M327" s="65" t="n"/>
      <c r="N327" s="65" t="n"/>
      <c r="O327" s="65" t="n"/>
      <c r="P327" s="65" t="n"/>
      <c r="Q327" s="65" t="n"/>
      <c r="R327" s="65" t="n"/>
      <c r="S327" s="65" t="n"/>
      <c r="T327" s="65" t="n"/>
      <c r="U327" s="65" t="n"/>
      <c r="V327" s="65" t="n"/>
      <c r="W327" s="65" t="n"/>
      <c r="X327" s="65" t="n"/>
      <c r="Y327" s="32">
        <f>IF($C327="","",IF(COUNTA($I327:$K327)&lt;3,"— חסרים נתונים",IF(AND($I327="תקין",$J327="תקין",$K327="תקין"),"רהוטה",IF(AND($I327="תקין",$J327="תקין"),"מדויקת ורציפה","אינה מדויקת או מקוטעת"))))</f>
        <v/>
      </c>
      <c r="Z327" s="32">
        <f>IF($C327="","",IF(COUNTA($U327:$W327)&lt;3,"",IF(AND($U327="מפותח",$V327="מפותח",$W327="מפותחת"),"מפותחת",IF((--($U327="דל"))+(--($V327="אינו מפותח"))+(--($W327="דלה"))&gt;=2,"אינה מפותחת","חלקית"))))</f>
        <v/>
      </c>
      <c r="AA327" s="32">
        <f>IF($C327="","",IF(COUNTA($M327,$N327,$O327)&lt;3,"— חסרים נתונים",IF(OR($M327="נמוכה",(--($M327&lt;&gt;"תקינה"))+(--($N327&lt;&gt;"תקין"))+(--($O327&lt;&gt;"תקינה"))&gt;=2),"ניכרת","אינה ניכרת")))</f>
        <v/>
      </c>
      <c r="AB327" s="32">
        <f>IF(OR($C327="",$Y327="",$AA327="",LEFT($Y327,1)="—",LEFT($AA327,1)="—"),"",IF($Z327="","— נדרשת הערכת כתיבה",IF($L327="","— חסרה הבנת הנקרא",IF($Y327="אינה מדויקת או מקוטעת",IF($AA327="ניכרת","מיקוד בשטף הקריאה ובכישורי שפה","מיקוד בשטף קריאה"),IF($AA327="ניכרת","מיקוד בכישורי שפה",IF(AND($L327="תקינה",$Z327="מפותחת"),"קוראים וכותבים מיומנים","מיקוד בהבנה והבעה"))))))</f>
        <v/>
      </c>
      <c r="AC327" s="32">
        <f>IF(OR($AB327="",LEFT($AB327,1)="—"),"",IF(OR($AB327="מיקוד בשטף קריאה",$AB327="מיקוד בשטף הקריאה ובכישורי שפה"),"רמה א'",IF($AB327="קוראים וכותבים מיומנים","רמה ג'","רמה ב'")))</f>
        <v/>
      </c>
      <c r="AD327" s="32">
        <f>IF($AC327="","",MID(IF(AND($AC327="רמה א'",$AA327="ניכרת"),"; להוסיף עבודת אוצר מילים","")&amp;IF($Z327="אינה מפותחת","; דגש על הבעה בכתב","")&amp;IF($K327&lt;&gt;"תקין","; נדרש לעבוד על ההנגנה","")&amp;IF($AK327&lt;&gt;"","; "&amp;$AK327,""),3,400))</f>
        <v/>
      </c>
      <c r="AE327" s="32">
        <f>IF($F327="","",IF($F327="תחילת שנה",1,IF($F327="מחצית שנה",2,3)))</f>
        <v/>
      </c>
      <c r="AF327" s="32">
        <f>IF(OR($B327="",$AC327="",$A327="",$F327=""),"",$B327&amp;"|"&amp;$A327&amp;"|"&amp;$F327&amp;"|"&amp;$AC327&amp;"|"&amp;COUNTIFS($B$6:$B327,$B327,$A$6:$A327,$A327,$F$6:$F327,$F327,$AC$6:$AC327,$AC327))</f>
        <v/>
      </c>
      <c r="AG327" s="32">
        <f>IF($C327="","",$C327&amp;"|"&amp;COUNTIFS($C$6:$C327,$C327))</f>
        <v/>
      </c>
      <c r="AH327" s="32">
        <f>IF(OR($C327="",$A327="",$AE327=""),"",$C327&amp;"|"&amp;$A327&amp;"|"&amp;$AE327)</f>
        <v/>
      </c>
      <c r="AI327" s="32">
        <f>IF(OR($C327="",$AE327="",$AE327=1),"",IFERROR(INDEX($AC$6:$AC$1505,MATCH($C327&amp;"|"&amp;$A327&amp;"|"&amp;($AE327-1),$AH$6:$AH$1505,0)),""))</f>
        <v/>
      </c>
      <c r="AJ327" s="32">
        <f>IF(OR($AI327="",$AC327=""),"",IF($AI327=$AC327,"ללא שינוי","מ-"&amp;$AI327&amp;" ל-"&amp;$AC327))</f>
        <v/>
      </c>
      <c r="AK327" s="67" t="n"/>
    </row>
    <row r="328" ht="15.75" customHeight="1" s="58">
      <c r="A328" s="65" t="n"/>
      <c r="B328" s="65" t="n"/>
      <c r="C328" s="66" t="n"/>
      <c r="D328" s="66" t="n"/>
      <c r="E328" s="65" t="n"/>
      <c r="F328" s="65" t="n"/>
      <c r="G328" s="65" t="n"/>
      <c r="H328" s="65" t="n"/>
      <c r="I328" s="65" t="n"/>
      <c r="J328" s="65" t="n"/>
      <c r="K328" s="65" t="n"/>
      <c r="L328" s="65" t="n"/>
      <c r="M328" s="65" t="n"/>
      <c r="N328" s="65" t="n"/>
      <c r="O328" s="65" t="n"/>
      <c r="P328" s="65" t="n"/>
      <c r="Q328" s="65" t="n"/>
      <c r="R328" s="65" t="n"/>
      <c r="S328" s="65" t="n"/>
      <c r="T328" s="65" t="n"/>
      <c r="U328" s="65" t="n"/>
      <c r="V328" s="65" t="n"/>
      <c r="W328" s="65" t="n"/>
      <c r="X328" s="65" t="n"/>
      <c r="Y328" s="32">
        <f>IF($C328="","",IF(COUNTA($I328:$K328)&lt;3,"— חסרים נתונים",IF(AND($I328="תקין",$J328="תקין",$K328="תקין"),"רהוטה",IF(AND($I328="תקין",$J328="תקין"),"מדויקת ורציפה","אינה מדויקת או מקוטעת"))))</f>
        <v/>
      </c>
      <c r="Z328" s="32">
        <f>IF($C328="","",IF(COUNTA($U328:$W328)&lt;3,"",IF(AND($U328="מפותח",$V328="מפותח",$W328="מפותחת"),"מפותחת",IF((--($U328="דל"))+(--($V328="אינו מפותח"))+(--($W328="דלה"))&gt;=2,"אינה מפותחת","חלקית"))))</f>
        <v/>
      </c>
      <c r="AA328" s="32">
        <f>IF($C328="","",IF(COUNTA($M328,$N328,$O328)&lt;3,"— חסרים נתונים",IF(OR($M328="נמוכה",(--($M328&lt;&gt;"תקינה"))+(--($N328&lt;&gt;"תקין"))+(--($O328&lt;&gt;"תקינה"))&gt;=2),"ניכרת","אינה ניכרת")))</f>
        <v/>
      </c>
      <c r="AB328" s="32">
        <f>IF(OR($C328="",$Y328="",$AA328="",LEFT($Y328,1)="—",LEFT($AA328,1)="—"),"",IF($Z328="","— נדרשת הערכת כתיבה",IF($L328="","— חסרה הבנת הנקרא",IF($Y328="אינה מדויקת או מקוטעת",IF($AA328="ניכרת","מיקוד בשטף הקריאה ובכישורי שפה","מיקוד בשטף קריאה"),IF($AA328="ניכרת","מיקוד בכישורי שפה",IF(AND($L328="תקינה",$Z328="מפותחת"),"קוראים וכותבים מיומנים","מיקוד בהבנה והבעה"))))))</f>
        <v/>
      </c>
      <c r="AC328" s="32">
        <f>IF(OR($AB328="",LEFT($AB328,1)="—"),"",IF(OR($AB328="מיקוד בשטף קריאה",$AB328="מיקוד בשטף הקריאה ובכישורי שפה"),"רמה א'",IF($AB328="קוראים וכותבים מיומנים","רמה ג'","רמה ב'")))</f>
        <v/>
      </c>
      <c r="AD328" s="32">
        <f>IF($AC328="","",MID(IF(AND($AC328="רמה א'",$AA328="ניכרת"),"; להוסיף עבודת אוצר מילים","")&amp;IF($Z328="אינה מפותחת","; דגש על הבעה בכתב","")&amp;IF($K328&lt;&gt;"תקין","; נדרש לעבוד על ההנגנה","")&amp;IF($AK328&lt;&gt;"","; "&amp;$AK328,""),3,400))</f>
        <v/>
      </c>
      <c r="AE328" s="32">
        <f>IF($F328="","",IF($F328="תחילת שנה",1,IF($F328="מחצית שנה",2,3)))</f>
        <v/>
      </c>
      <c r="AF328" s="32">
        <f>IF(OR($B328="",$AC328="",$A328="",$F328=""),"",$B328&amp;"|"&amp;$A328&amp;"|"&amp;$F328&amp;"|"&amp;$AC328&amp;"|"&amp;COUNTIFS($B$6:$B328,$B328,$A$6:$A328,$A328,$F$6:$F328,$F328,$AC$6:$AC328,$AC328))</f>
        <v/>
      </c>
      <c r="AG328" s="32">
        <f>IF($C328="","",$C328&amp;"|"&amp;COUNTIFS($C$6:$C328,$C328))</f>
        <v/>
      </c>
      <c r="AH328" s="32">
        <f>IF(OR($C328="",$A328="",$AE328=""),"",$C328&amp;"|"&amp;$A328&amp;"|"&amp;$AE328)</f>
        <v/>
      </c>
      <c r="AI328" s="32">
        <f>IF(OR($C328="",$AE328="",$AE328=1),"",IFERROR(INDEX($AC$6:$AC$1505,MATCH($C328&amp;"|"&amp;$A328&amp;"|"&amp;($AE328-1),$AH$6:$AH$1505,0)),""))</f>
        <v/>
      </c>
      <c r="AJ328" s="32">
        <f>IF(OR($AI328="",$AC328=""),"",IF($AI328=$AC328,"ללא שינוי","מ-"&amp;$AI328&amp;" ל-"&amp;$AC328))</f>
        <v/>
      </c>
      <c r="AK328" s="67" t="n"/>
    </row>
    <row r="329" ht="15.75" customHeight="1" s="58">
      <c r="A329" s="65" t="n"/>
      <c r="B329" s="65" t="n"/>
      <c r="C329" s="66" t="n"/>
      <c r="D329" s="66" t="n"/>
      <c r="E329" s="65" t="n"/>
      <c r="F329" s="65" t="n"/>
      <c r="G329" s="65" t="n"/>
      <c r="H329" s="65" t="n"/>
      <c r="I329" s="65" t="n"/>
      <c r="J329" s="65" t="n"/>
      <c r="K329" s="65" t="n"/>
      <c r="L329" s="65" t="n"/>
      <c r="M329" s="65" t="n"/>
      <c r="N329" s="65" t="n"/>
      <c r="O329" s="65" t="n"/>
      <c r="P329" s="65" t="n"/>
      <c r="Q329" s="65" t="n"/>
      <c r="R329" s="65" t="n"/>
      <c r="S329" s="65" t="n"/>
      <c r="T329" s="65" t="n"/>
      <c r="U329" s="65" t="n"/>
      <c r="V329" s="65" t="n"/>
      <c r="W329" s="65" t="n"/>
      <c r="X329" s="65" t="n"/>
      <c r="Y329" s="32">
        <f>IF($C329="","",IF(COUNTA($I329:$K329)&lt;3,"— חסרים נתונים",IF(AND($I329="תקין",$J329="תקין",$K329="תקין"),"רהוטה",IF(AND($I329="תקין",$J329="תקין"),"מדויקת ורציפה","אינה מדויקת או מקוטעת"))))</f>
        <v/>
      </c>
      <c r="Z329" s="32">
        <f>IF($C329="","",IF(COUNTA($U329:$W329)&lt;3,"",IF(AND($U329="מפותח",$V329="מפותח",$W329="מפותחת"),"מפותחת",IF((--($U329="דל"))+(--($V329="אינו מפותח"))+(--($W329="דלה"))&gt;=2,"אינה מפותחת","חלקית"))))</f>
        <v/>
      </c>
      <c r="AA329" s="32">
        <f>IF($C329="","",IF(COUNTA($M329,$N329,$O329)&lt;3,"— חסרים נתונים",IF(OR($M329="נמוכה",(--($M329&lt;&gt;"תקינה"))+(--($N329&lt;&gt;"תקין"))+(--($O329&lt;&gt;"תקינה"))&gt;=2),"ניכרת","אינה ניכרת")))</f>
        <v/>
      </c>
      <c r="AB329" s="32">
        <f>IF(OR($C329="",$Y329="",$AA329="",LEFT($Y329,1)="—",LEFT($AA329,1)="—"),"",IF($Z329="","— נדרשת הערכת כתיבה",IF($L329="","— חסרה הבנת הנקרא",IF($Y329="אינה מדויקת או מקוטעת",IF($AA329="ניכרת","מיקוד בשטף הקריאה ובכישורי שפה","מיקוד בשטף קריאה"),IF($AA329="ניכרת","מיקוד בכישורי שפה",IF(AND($L329="תקינה",$Z329="מפותחת"),"קוראים וכותבים מיומנים","מיקוד בהבנה והבעה"))))))</f>
        <v/>
      </c>
      <c r="AC329" s="32">
        <f>IF(OR($AB329="",LEFT($AB329,1)="—"),"",IF(OR($AB329="מיקוד בשטף קריאה",$AB329="מיקוד בשטף הקריאה ובכישורי שפה"),"רמה א'",IF($AB329="קוראים וכותבים מיומנים","רמה ג'","רמה ב'")))</f>
        <v/>
      </c>
      <c r="AD329" s="32">
        <f>IF($AC329="","",MID(IF(AND($AC329="רמה א'",$AA329="ניכרת"),"; להוסיף עבודת אוצר מילים","")&amp;IF($Z329="אינה מפותחת","; דגש על הבעה בכתב","")&amp;IF($K329&lt;&gt;"תקין","; נדרש לעבוד על ההנגנה","")&amp;IF($AK329&lt;&gt;"","; "&amp;$AK329,""),3,400))</f>
        <v/>
      </c>
      <c r="AE329" s="32">
        <f>IF($F329="","",IF($F329="תחילת שנה",1,IF($F329="מחצית שנה",2,3)))</f>
        <v/>
      </c>
      <c r="AF329" s="32">
        <f>IF(OR($B329="",$AC329="",$A329="",$F329=""),"",$B329&amp;"|"&amp;$A329&amp;"|"&amp;$F329&amp;"|"&amp;$AC329&amp;"|"&amp;COUNTIFS($B$6:$B329,$B329,$A$6:$A329,$A329,$F$6:$F329,$F329,$AC$6:$AC329,$AC329))</f>
        <v/>
      </c>
      <c r="AG329" s="32">
        <f>IF($C329="","",$C329&amp;"|"&amp;COUNTIFS($C$6:$C329,$C329))</f>
        <v/>
      </c>
      <c r="AH329" s="32">
        <f>IF(OR($C329="",$A329="",$AE329=""),"",$C329&amp;"|"&amp;$A329&amp;"|"&amp;$AE329)</f>
        <v/>
      </c>
      <c r="AI329" s="32">
        <f>IF(OR($C329="",$AE329="",$AE329=1),"",IFERROR(INDEX($AC$6:$AC$1505,MATCH($C329&amp;"|"&amp;$A329&amp;"|"&amp;($AE329-1),$AH$6:$AH$1505,0)),""))</f>
        <v/>
      </c>
      <c r="AJ329" s="32">
        <f>IF(OR($AI329="",$AC329=""),"",IF($AI329=$AC329,"ללא שינוי","מ-"&amp;$AI329&amp;" ל-"&amp;$AC329))</f>
        <v/>
      </c>
      <c r="AK329" s="67" t="n"/>
    </row>
    <row r="330" ht="15.75" customHeight="1" s="58">
      <c r="A330" s="65" t="n"/>
      <c r="B330" s="65" t="n"/>
      <c r="C330" s="66" t="n"/>
      <c r="D330" s="66" t="n"/>
      <c r="E330" s="65" t="n"/>
      <c r="F330" s="65" t="n"/>
      <c r="G330" s="65" t="n"/>
      <c r="H330" s="65" t="n"/>
      <c r="I330" s="65" t="n"/>
      <c r="J330" s="65" t="n"/>
      <c r="K330" s="65" t="n"/>
      <c r="L330" s="65" t="n"/>
      <c r="M330" s="65" t="n"/>
      <c r="N330" s="65" t="n"/>
      <c r="O330" s="65" t="n"/>
      <c r="P330" s="65" t="n"/>
      <c r="Q330" s="65" t="n"/>
      <c r="R330" s="65" t="n"/>
      <c r="S330" s="65" t="n"/>
      <c r="T330" s="65" t="n"/>
      <c r="U330" s="65" t="n"/>
      <c r="V330" s="65" t="n"/>
      <c r="W330" s="65" t="n"/>
      <c r="X330" s="65" t="n"/>
      <c r="Y330" s="32">
        <f>IF($C330="","",IF(COUNTA($I330:$K330)&lt;3,"— חסרים נתונים",IF(AND($I330="תקין",$J330="תקין",$K330="תקין"),"רהוטה",IF(AND($I330="תקין",$J330="תקין"),"מדויקת ורציפה","אינה מדויקת או מקוטעת"))))</f>
        <v/>
      </c>
      <c r="Z330" s="32">
        <f>IF($C330="","",IF(COUNTA($U330:$W330)&lt;3,"",IF(AND($U330="מפותח",$V330="מפותח",$W330="מפותחת"),"מפותחת",IF((--($U330="דל"))+(--($V330="אינו מפותח"))+(--($W330="דלה"))&gt;=2,"אינה מפותחת","חלקית"))))</f>
        <v/>
      </c>
      <c r="AA330" s="32">
        <f>IF($C330="","",IF(COUNTA($M330,$N330,$O330)&lt;3,"— חסרים נתונים",IF(OR($M330="נמוכה",(--($M330&lt;&gt;"תקינה"))+(--($N330&lt;&gt;"תקין"))+(--($O330&lt;&gt;"תקינה"))&gt;=2),"ניכרת","אינה ניכרת")))</f>
        <v/>
      </c>
      <c r="AB330" s="32">
        <f>IF(OR($C330="",$Y330="",$AA330="",LEFT($Y330,1)="—",LEFT($AA330,1)="—"),"",IF($Z330="","— נדרשת הערכת כתיבה",IF($L330="","— חסרה הבנת הנקרא",IF($Y330="אינה מדויקת או מקוטעת",IF($AA330="ניכרת","מיקוד בשטף הקריאה ובכישורי שפה","מיקוד בשטף קריאה"),IF($AA330="ניכרת","מיקוד בכישורי שפה",IF(AND($L330="תקינה",$Z330="מפותחת"),"קוראים וכותבים מיומנים","מיקוד בהבנה והבעה"))))))</f>
        <v/>
      </c>
      <c r="AC330" s="32">
        <f>IF(OR($AB330="",LEFT($AB330,1)="—"),"",IF(OR($AB330="מיקוד בשטף קריאה",$AB330="מיקוד בשטף הקריאה ובכישורי שפה"),"רמה א'",IF($AB330="קוראים וכותבים מיומנים","רמה ג'","רמה ב'")))</f>
        <v/>
      </c>
      <c r="AD330" s="32">
        <f>IF($AC330="","",MID(IF(AND($AC330="רמה א'",$AA330="ניכרת"),"; להוסיף עבודת אוצר מילים","")&amp;IF($Z330="אינה מפותחת","; דגש על הבעה בכתב","")&amp;IF($K330&lt;&gt;"תקין","; נדרש לעבוד על ההנגנה","")&amp;IF($AK330&lt;&gt;"","; "&amp;$AK330,""),3,400))</f>
        <v/>
      </c>
      <c r="AE330" s="32">
        <f>IF($F330="","",IF($F330="תחילת שנה",1,IF($F330="מחצית שנה",2,3)))</f>
        <v/>
      </c>
      <c r="AF330" s="32">
        <f>IF(OR($B330="",$AC330="",$A330="",$F330=""),"",$B330&amp;"|"&amp;$A330&amp;"|"&amp;$F330&amp;"|"&amp;$AC330&amp;"|"&amp;COUNTIFS($B$6:$B330,$B330,$A$6:$A330,$A330,$F$6:$F330,$F330,$AC$6:$AC330,$AC330))</f>
        <v/>
      </c>
      <c r="AG330" s="32">
        <f>IF($C330="","",$C330&amp;"|"&amp;COUNTIFS($C$6:$C330,$C330))</f>
        <v/>
      </c>
      <c r="AH330" s="32">
        <f>IF(OR($C330="",$A330="",$AE330=""),"",$C330&amp;"|"&amp;$A330&amp;"|"&amp;$AE330)</f>
        <v/>
      </c>
      <c r="AI330" s="32">
        <f>IF(OR($C330="",$AE330="",$AE330=1),"",IFERROR(INDEX($AC$6:$AC$1505,MATCH($C330&amp;"|"&amp;$A330&amp;"|"&amp;($AE330-1),$AH$6:$AH$1505,0)),""))</f>
        <v/>
      </c>
      <c r="AJ330" s="32">
        <f>IF(OR($AI330="",$AC330=""),"",IF($AI330=$AC330,"ללא שינוי","מ-"&amp;$AI330&amp;" ל-"&amp;$AC330))</f>
        <v/>
      </c>
      <c r="AK330" s="67" t="n"/>
    </row>
    <row r="331" ht="15.75" customHeight="1" s="58">
      <c r="A331" s="65" t="n"/>
      <c r="B331" s="65" t="n"/>
      <c r="C331" s="66" t="n"/>
      <c r="D331" s="66" t="n"/>
      <c r="E331" s="65" t="n"/>
      <c r="F331" s="65" t="n"/>
      <c r="G331" s="65" t="n"/>
      <c r="H331" s="65" t="n"/>
      <c r="I331" s="65" t="n"/>
      <c r="J331" s="65" t="n"/>
      <c r="K331" s="65" t="n"/>
      <c r="L331" s="65" t="n"/>
      <c r="M331" s="65" t="n"/>
      <c r="N331" s="65" t="n"/>
      <c r="O331" s="65" t="n"/>
      <c r="P331" s="65" t="n"/>
      <c r="Q331" s="65" t="n"/>
      <c r="R331" s="65" t="n"/>
      <c r="S331" s="65" t="n"/>
      <c r="T331" s="65" t="n"/>
      <c r="U331" s="65" t="n"/>
      <c r="V331" s="65" t="n"/>
      <c r="W331" s="65" t="n"/>
      <c r="X331" s="65" t="n"/>
      <c r="Y331" s="32">
        <f>IF($C331="","",IF(COUNTA($I331:$K331)&lt;3,"— חסרים נתונים",IF(AND($I331="תקין",$J331="תקין",$K331="תקין"),"רהוטה",IF(AND($I331="תקין",$J331="תקין"),"מדויקת ורציפה","אינה מדויקת או מקוטעת"))))</f>
        <v/>
      </c>
      <c r="Z331" s="32">
        <f>IF($C331="","",IF(COUNTA($U331:$W331)&lt;3,"",IF(AND($U331="מפותח",$V331="מפותח",$W331="מפותחת"),"מפותחת",IF((--($U331="דל"))+(--($V331="אינו מפותח"))+(--($W331="דלה"))&gt;=2,"אינה מפותחת","חלקית"))))</f>
        <v/>
      </c>
      <c r="AA331" s="32">
        <f>IF($C331="","",IF(COUNTA($M331,$N331,$O331)&lt;3,"— חסרים נתונים",IF(OR($M331="נמוכה",(--($M331&lt;&gt;"תקינה"))+(--($N331&lt;&gt;"תקין"))+(--($O331&lt;&gt;"תקינה"))&gt;=2),"ניכרת","אינה ניכרת")))</f>
        <v/>
      </c>
      <c r="AB331" s="32">
        <f>IF(OR($C331="",$Y331="",$AA331="",LEFT($Y331,1)="—",LEFT($AA331,1)="—"),"",IF($Z331="","— נדרשת הערכת כתיבה",IF($L331="","— חסרה הבנת הנקרא",IF($Y331="אינה מדויקת או מקוטעת",IF($AA331="ניכרת","מיקוד בשטף הקריאה ובכישורי שפה","מיקוד בשטף קריאה"),IF($AA331="ניכרת","מיקוד בכישורי שפה",IF(AND($L331="תקינה",$Z331="מפותחת"),"קוראים וכותבים מיומנים","מיקוד בהבנה והבעה"))))))</f>
        <v/>
      </c>
      <c r="AC331" s="32">
        <f>IF(OR($AB331="",LEFT($AB331,1)="—"),"",IF(OR($AB331="מיקוד בשטף קריאה",$AB331="מיקוד בשטף הקריאה ובכישורי שפה"),"רמה א'",IF($AB331="קוראים וכותבים מיומנים","רמה ג'","רמה ב'")))</f>
        <v/>
      </c>
      <c r="AD331" s="32">
        <f>IF($AC331="","",MID(IF(AND($AC331="רמה א'",$AA331="ניכרת"),"; להוסיף עבודת אוצר מילים","")&amp;IF($Z331="אינה מפותחת","; דגש על הבעה בכתב","")&amp;IF($K331&lt;&gt;"תקין","; נדרש לעבוד על ההנגנה","")&amp;IF($AK331&lt;&gt;"","; "&amp;$AK331,""),3,400))</f>
        <v/>
      </c>
      <c r="AE331" s="32">
        <f>IF($F331="","",IF($F331="תחילת שנה",1,IF($F331="מחצית שנה",2,3)))</f>
        <v/>
      </c>
      <c r="AF331" s="32">
        <f>IF(OR($B331="",$AC331="",$A331="",$F331=""),"",$B331&amp;"|"&amp;$A331&amp;"|"&amp;$F331&amp;"|"&amp;$AC331&amp;"|"&amp;COUNTIFS($B$6:$B331,$B331,$A$6:$A331,$A331,$F$6:$F331,$F331,$AC$6:$AC331,$AC331))</f>
        <v/>
      </c>
      <c r="AG331" s="32">
        <f>IF($C331="","",$C331&amp;"|"&amp;COUNTIFS($C$6:$C331,$C331))</f>
        <v/>
      </c>
      <c r="AH331" s="32">
        <f>IF(OR($C331="",$A331="",$AE331=""),"",$C331&amp;"|"&amp;$A331&amp;"|"&amp;$AE331)</f>
        <v/>
      </c>
      <c r="AI331" s="32">
        <f>IF(OR($C331="",$AE331="",$AE331=1),"",IFERROR(INDEX($AC$6:$AC$1505,MATCH($C331&amp;"|"&amp;$A331&amp;"|"&amp;($AE331-1),$AH$6:$AH$1505,0)),""))</f>
        <v/>
      </c>
      <c r="AJ331" s="32">
        <f>IF(OR($AI331="",$AC331=""),"",IF($AI331=$AC331,"ללא שינוי","מ-"&amp;$AI331&amp;" ל-"&amp;$AC331))</f>
        <v/>
      </c>
      <c r="AK331" s="67" t="n"/>
    </row>
    <row r="332" ht="15.75" customHeight="1" s="58">
      <c r="A332" s="65" t="n"/>
      <c r="B332" s="65" t="n"/>
      <c r="C332" s="66" t="n"/>
      <c r="D332" s="66" t="n"/>
      <c r="E332" s="65" t="n"/>
      <c r="F332" s="65" t="n"/>
      <c r="G332" s="65" t="n"/>
      <c r="H332" s="65" t="n"/>
      <c r="I332" s="65" t="n"/>
      <c r="J332" s="65" t="n"/>
      <c r="K332" s="65" t="n"/>
      <c r="L332" s="65" t="n"/>
      <c r="M332" s="65" t="n"/>
      <c r="N332" s="65" t="n"/>
      <c r="O332" s="65" t="n"/>
      <c r="P332" s="65" t="n"/>
      <c r="Q332" s="65" t="n"/>
      <c r="R332" s="65" t="n"/>
      <c r="S332" s="65" t="n"/>
      <c r="T332" s="65" t="n"/>
      <c r="U332" s="65" t="n"/>
      <c r="V332" s="65" t="n"/>
      <c r="W332" s="65" t="n"/>
      <c r="X332" s="65" t="n"/>
      <c r="Y332" s="32">
        <f>IF($C332="","",IF(COUNTA($I332:$K332)&lt;3,"— חסרים נתונים",IF(AND($I332="תקין",$J332="תקין",$K332="תקין"),"רהוטה",IF(AND($I332="תקין",$J332="תקין"),"מדויקת ורציפה","אינה מדויקת או מקוטעת"))))</f>
        <v/>
      </c>
      <c r="Z332" s="32">
        <f>IF($C332="","",IF(COUNTA($U332:$W332)&lt;3,"",IF(AND($U332="מפותח",$V332="מפותח",$W332="מפותחת"),"מפותחת",IF((--($U332="דל"))+(--($V332="אינו מפותח"))+(--($W332="דלה"))&gt;=2,"אינה מפותחת","חלקית"))))</f>
        <v/>
      </c>
      <c r="AA332" s="32">
        <f>IF($C332="","",IF(COUNTA($M332,$N332,$O332)&lt;3,"— חסרים נתונים",IF(OR($M332="נמוכה",(--($M332&lt;&gt;"תקינה"))+(--($N332&lt;&gt;"תקין"))+(--($O332&lt;&gt;"תקינה"))&gt;=2),"ניכרת","אינה ניכרת")))</f>
        <v/>
      </c>
      <c r="AB332" s="32">
        <f>IF(OR($C332="",$Y332="",$AA332="",LEFT($Y332,1)="—",LEFT($AA332,1)="—"),"",IF($Z332="","— נדרשת הערכת כתיבה",IF($L332="","— חסרה הבנת הנקרא",IF($Y332="אינה מדויקת או מקוטעת",IF($AA332="ניכרת","מיקוד בשטף הקריאה ובכישורי שפה","מיקוד בשטף קריאה"),IF($AA332="ניכרת","מיקוד בכישורי שפה",IF(AND($L332="תקינה",$Z332="מפותחת"),"קוראים וכותבים מיומנים","מיקוד בהבנה והבעה"))))))</f>
        <v/>
      </c>
      <c r="AC332" s="32">
        <f>IF(OR($AB332="",LEFT($AB332,1)="—"),"",IF(OR($AB332="מיקוד בשטף קריאה",$AB332="מיקוד בשטף הקריאה ובכישורי שפה"),"רמה א'",IF($AB332="קוראים וכותבים מיומנים","רמה ג'","רמה ב'")))</f>
        <v/>
      </c>
      <c r="AD332" s="32">
        <f>IF($AC332="","",MID(IF(AND($AC332="רמה א'",$AA332="ניכרת"),"; להוסיף עבודת אוצר מילים","")&amp;IF($Z332="אינה מפותחת","; דגש על הבעה בכתב","")&amp;IF($K332&lt;&gt;"תקין","; נדרש לעבוד על ההנגנה","")&amp;IF($AK332&lt;&gt;"","; "&amp;$AK332,""),3,400))</f>
        <v/>
      </c>
      <c r="AE332" s="32">
        <f>IF($F332="","",IF($F332="תחילת שנה",1,IF($F332="מחצית שנה",2,3)))</f>
        <v/>
      </c>
      <c r="AF332" s="32">
        <f>IF(OR($B332="",$AC332="",$A332="",$F332=""),"",$B332&amp;"|"&amp;$A332&amp;"|"&amp;$F332&amp;"|"&amp;$AC332&amp;"|"&amp;COUNTIFS($B$6:$B332,$B332,$A$6:$A332,$A332,$F$6:$F332,$F332,$AC$6:$AC332,$AC332))</f>
        <v/>
      </c>
      <c r="AG332" s="32">
        <f>IF($C332="","",$C332&amp;"|"&amp;COUNTIFS($C$6:$C332,$C332))</f>
        <v/>
      </c>
      <c r="AH332" s="32">
        <f>IF(OR($C332="",$A332="",$AE332=""),"",$C332&amp;"|"&amp;$A332&amp;"|"&amp;$AE332)</f>
        <v/>
      </c>
      <c r="AI332" s="32">
        <f>IF(OR($C332="",$AE332="",$AE332=1),"",IFERROR(INDEX($AC$6:$AC$1505,MATCH($C332&amp;"|"&amp;$A332&amp;"|"&amp;($AE332-1),$AH$6:$AH$1505,0)),""))</f>
        <v/>
      </c>
      <c r="AJ332" s="32">
        <f>IF(OR($AI332="",$AC332=""),"",IF($AI332=$AC332,"ללא שינוי","מ-"&amp;$AI332&amp;" ל-"&amp;$AC332))</f>
        <v/>
      </c>
      <c r="AK332" s="67" t="n"/>
    </row>
    <row r="333" ht="15.75" customHeight="1" s="58">
      <c r="A333" s="65" t="n"/>
      <c r="B333" s="65" t="n"/>
      <c r="C333" s="66" t="n"/>
      <c r="D333" s="66" t="n"/>
      <c r="E333" s="65" t="n"/>
      <c r="F333" s="65" t="n"/>
      <c r="G333" s="65" t="n"/>
      <c r="H333" s="65" t="n"/>
      <c r="I333" s="65" t="n"/>
      <c r="J333" s="65" t="n"/>
      <c r="K333" s="65" t="n"/>
      <c r="L333" s="65" t="n"/>
      <c r="M333" s="65" t="n"/>
      <c r="N333" s="65" t="n"/>
      <c r="O333" s="65" t="n"/>
      <c r="P333" s="65" t="n"/>
      <c r="Q333" s="65" t="n"/>
      <c r="R333" s="65" t="n"/>
      <c r="S333" s="65" t="n"/>
      <c r="T333" s="65" t="n"/>
      <c r="U333" s="65" t="n"/>
      <c r="V333" s="65" t="n"/>
      <c r="W333" s="65" t="n"/>
      <c r="X333" s="65" t="n"/>
      <c r="Y333" s="32">
        <f>IF($C333="","",IF(COUNTA($I333:$K333)&lt;3,"— חסרים נתונים",IF(AND($I333="תקין",$J333="תקין",$K333="תקין"),"רהוטה",IF(AND($I333="תקין",$J333="תקין"),"מדויקת ורציפה","אינה מדויקת או מקוטעת"))))</f>
        <v/>
      </c>
      <c r="Z333" s="32">
        <f>IF($C333="","",IF(COUNTA($U333:$W333)&lt;3,"",IF(AND($U333="מפותח",$V333="מפותח",$W333="מפותחת"),"מפותחת",IF((--($U333="דל"))+(--($V333="אינו מפותח"))+(--($W333="דלה"))&gt;=2,"אינה מפותחת","חלקית"))))</f>
        <v/>
      </c>
      <c r="AA333" s="32">
        <f>IF($C333="","",IF(COUNTA($M333,$N333,$O333)&lt;3,"— חסרים נתונים",IF(OR($M333="נמוכה",(--($M333&lt;&gt;"תקינה"))+(--($N333&lt;&gt;"תקין"))+(--($O333&lt;&gt;"תקינה"))&gt;=2),"ניכרת","אינה ניכרת")))</f>
        <v/>
      </c>
      <c r="AB333" s="32">
        <f>IF(OR($C333="",$Y333="",$AA333="",LEFT($Y333,1)="—",LEFT($AA333,1)="—"),"",IF($Z333="","— נדרשת הערכת כתיבה",IF($L333="","— חסרה הבנת הנקרא",IF($Y333="אינה מדויקת או מקוטעת",IF($AA333="ניכרת","מיקוד בשטף הקריאה ובכישורי שפה","מיקוד בשטף קריאה"),IF($AA333="ניכרת","מיקוד בכישורי שפה",IF(AND($L333="תקינה",$Z333="מפותחת"),"קוראים וכותבים מיומנים","מיקוד בהבנה והבעה"))))))</f>
        <v/>
      </c>
      <c r="AC333" s="32">
        <f>IF(OR($AB333="",LEFT($AB333,1)="—"),"",IF(OR($AB333="מיקוד בשטף קריאה",$AB333="מיקוד בשטף הקריאה ובכישורי שפה"),"רמה א'",IF($AB333="קוראים וכותבים מיומנים","רמה ג'","רמה ב'")))</f>
        <v/>
      </c>
      <c r="AD333" s="32">
        <f>IF($AC333="","",MID(IF(AND($AC333="רמה א'",$AA333="ניכרת"),"; להוסיף עבודת אוצר מילים","")&amp;IF($Z333="אינה מפותחת","; דגש על הבעה בכתב","")&amp;IF($K333&lt;&gt;"תקין","; נדרש לעבוד על ההנגנה","")&amp;IF($AK333&lt;&gt;"","; "&amp;$AK333,""),3,400))</f>
        <v/>
      </c>
      <c r="AE333" s="32">
        <f>IF($F333="","",IF($F333="תחילת שנה",1,IF($F333="מחצית שנה",2,3)))</f>
        <v/>
      </c>
      <c r="AF333" s="32">
        <f>IF(OR($B333="",$AC333="",$A333="",$F333=""),"",$B333&amp;"|"&amp;$A333&amp;"|"&amp;$F333&amp;"|"&amp;$AC333&amp;"|"&amp;COUNTIFS($B$6:$B333,$B333,$A$6:$A333,$A333,$F$6:$F333,$F333,$AC$6:$AC333,$AC333))</f>
        <v/>
      </c>
      <c r="AG333" s="32">
        <f>IF($C333="","",$C333&amp;"|"&amp;COUNTIFS($C$6:$C333,$C333))</f>
        <v/>
      </c>
      <c r="AH333" s="32">
        <f>IF(OR($C333="",$A333="",$AE333=""),"",$C333&amp;"|"&amp;$A333&amp;"|"&amp;$AE333)</f>
        <v/>
      </c>
      <c r="AI333" s="32">
        <f>IF(OR($C333="",$AE333="",$AE333=1),"",IFERROR(INDEX($AC$6:$AC$1505,MATCH($C333&amp;"|"&amp;$A333&amp;"|"&amp;($AE333-1),$AH$6:$AH$1505,0)),""))</f>
        <v/>
      </c>
      <c r="AJ333" s="32">
        <f>IF(OR($AI333="",$AC333=""),"",IF($AI333=$AC333,"ללא שינוי","מ-"&amp;$AI333&amp;" ל-"&amp;$AC333))</f>
        <v/>
      </c>
      <c r="AK333" s="67" t="n"/>
    </row>
    <row r="334" ht="15.75" customHeight="1" s="58">
      <c r="A334" s="65" t="n"/>
      <c r="B334" s="65" t="n"/>
      <c r="C334" s="66" t="n"/>
      <c r="D334" s="66" t="n"/>
      <c r="E334" s="65" t="n"/>
      <c r="F334" s="65" t="n"/>
      <c r="G334" s="65" t="n"/>
      <c r="H334" s="65" t="n"/>
      <c r="I334" s="65" t="n"/>
      <c r="J334" s="65" t="n"/>
      <c r="K334" s="65" t="n"/>
      <c r="L334" s="65" t="n"/>
      <c r="M334" s="65" t="n"/>
      <c r="N334" s="65" t="n"/>
      <c r="O334" s="65" t="n"/>
      <c r="P334" s="65" t="n"/>
      <c r="Q334" s="65" t="n"/>
      <c r="R334" s="65" t="n"/>
      <c r="S334" s="65" t="n"/>
      <c r="T334" s="65" t="n"/>
      <c r="U334" s="65" t="n"/>
      <c r="V334" s="65" t="n"/>
      <c r="W334" s="65" t="n"/>
      <c r="X334" s="65" t="n"/>
      <c r="Y334" s="32">
        <f>IF($C334="","",IF(COUNTA($I334:$K334)&lt;3,"— חסרים נתונים",IF(AND($I334="תקין",$J334="תקין",$K334="תקין"),"רהוטה",IF(AND($I334="תקין",$J334="תקין"),"מדויקת ורציפה","אינה מדויקת או מקוטעת"))))</f>
        <v/>
      </c>
      <c r="Z334" s="32">
        <f>IF($C334="","",IF(COUNTA($U334:$W334)&lt;3,"",IF(AND($U334="מפותח",$V334="מפותח",$W334="מפותחת"),"מפותחת",IF((--($U334="דל"))+(--($V334="אינו מפותח"))+(--($W334="דלה"))&gt;=2,"אינה מפותחת","חלקית"))))</f>
        <v/>
      </c>
      <c r="AA334" s="32">
        <f>IF($C334="","",IF(COUNTA($M334,$N334,$O334)&lt;3,"— חסרים נתונים",IF(OR($M334="נמוכה",(--($M334&lt;&gt;"תקינה"))+(--($N334&lt;&gt;"תקין"))+(--($O334&lt;&gt;"תקינה"))&gt;=2),"ניכרת","אינה ניכרת")))</f>
        <v/>
      </c>
      <c r="AB334" s="32">
        <f>IF(OR($C334="",$Y334="",$AA334="",LEFT($Y334,1)="—",LEFT($AA334,1)="—"),"",IF($Z334="","— נדרשת הערכת כתיבה",IF($L334="","— חסרה הבנת הנקרא",IF($Y334="אינה מדויקת או מקוטעת",IF($AA334="ניכרת","מיקוד בשטף הקריאה ובכישורי שפה","מיקוד בשטף קריאה"),IF($AA334="ניכרת","מיקוד בכישורי שפה",IF(AND($L334="תקינה",$Z334="מפותחת"),"קוראים וכותבים מיומנים","מיקוד בהבנה והבעה"))))))</f>
        <v/>
      </c>
      <c r="AC334" s="32">
        <f>IF(OR($AB334="",LEFT($AB334,1)="—"),"",IF(OR($AB334="מיקוד בשטף קריאה",$AB334="מיקוד בשטף הקריאה ובכישורי שפה"),"רמה א'",IF($AB334="קוראים וכותבים מיומנים","רמה ג'","רמה ב'")))</f>
        <v/>
      </c>
      <c r="AD334" s="32">
        <f>IF($AC334="","",MID(IF(AND($AC334="רמה א'",$AA334="ניכרת"),"; להוסיף עבודת אוצר מילים","")&amp;IF($Z334="אינה מפותחת","; דגש על הבעה בכתב","")&amp;IF($K334&lt;&gt;"תקין","; נדרש לעבוד על ההנגנה","")&amp;IF($AK334&lt;&gt;"","; "&amp;$AK334,""),3,400))</f>
        <v/>
      </c>
      <c r="AE334" s="32">
        <f>IF($F334="","",IF($F334="תחילת שנה",1,IF($F334="מחצית שנה",2,3)))</f>
        <v/>
      </c>
      <c r="AF334" s="32">
        <f>IF(OR($B334="",$AC334="",$A334="",$F334=""),"",$B334&amp;"|"&amp;$A334&amp;"|"&amp;$F334&amp;"|"&amp;$AC334&amp;"|"&amp;COUNTIFS($B$6:$B334,$B334,$A$6:$A334,$A334,$F$6:$F334,$F334,$AC$6:$AC334,$AC334))</f>
        <v/>
      </c>
      <c r="AG334" s="32">
        <f>IF($C334="","",$C334&amp;"|"&amp;COUNTIFS($C$6:$C334,$C334))</f>
        <v/>
      </c>
      <c r="AH334" s="32">
        <f>IF(OR($C334="",$A334="",$AE334=""),"",$C334&amp;"|"&amp;$A334&amp;"|"&amp;$AE334)</f>
        <v/>
      </c>
      <c r="AI334" s="32">
        <f>IF(OR($C334="",$AE334="",$AE334=1),"",IFERROR(INDEX($AC$6:$AC$1505,MATCH($C334&amp;"|"&amp;$A334&amp;"|"&amp;($AE334-1),$AH$6:$AH$1505,0)),""))</f>
        <v/>
      </c>
      <c r="AJ334" s="32">
        <f>IF(OR($AI334="",$AC334=""),"",IF($AI334=$AC334,"ללא שינוי","מ-"&amp;$AI334&amp;" ל-"&amp;$AC334))</f>
        <v/>
      </c>
      <c r="AK334" s="67" t="n"/>
    </row>
    <row r="335" ht="15.75" customHeight="1" s="58">
      <c r="A335" s="65" t="n"/>
      <c r="B335" s="65" t="n"/>
      <c r="C335" s="66" t="n"/>
      <c r="D335" s="66" t="n"/>
      <c r="E335" s="65" t="n"/>
      <c r="F335" s="65" t="n"/>
      <c r="G335" s="65" t="n"/>
      <c r="H335" s="65" t="n"/>
      <c r="I335" s="65" t="n"/>
      <c r="J335" s="65" t="n"/>
      <c r="K335" s="65" t="n"/>
      <c r="L335" s="65" t="n"/>
      <c r="M335" s="65" t="n"/>
      <c r="N335" s="65" t="n"/>
      <c r="O335" s="65" t="n"/>
      <c r="P335" s="65" t="n"/>
      <c r="Q335" s="65" t="n"/>
      <c r="R335" s="65" t="n"/>
      <c r="S335" s="65" t="n"/>
      <c r="T335" s="65" t="n"/>
      <c r="U335" s="65" t="n"/>
      <c r="V335" s="65" t="n"/>
      <c r="W335" s="65" t="n"/>
      <c r="X335" s="65" t="n"/>
      <c r="Y335" s="32">
        <f>IF($C335="","",IF(COUNTA($I335:$K335)&lt;3,"— חסרים נתונים",IF(AND($I335="תקין",$J335="תקין",$K335="תקין"),"רהוטה",IF(AND($I335="תקין",$J335="תקין"),"מדויקת ורציפה","אינה מדויקת או מקוטעת"))))</f>
        <v/>
      </c>
      <c r="Z335" s="32">
        <f>IF($C335="","",IF(COUNTA($U335:$W335)&lt;3,"",IF(AND($U335="מפותח",$V335="מפותח",$W335="מפותחת"),"מפותחת",IF((--($U335="דל"))+(--($V335="אינו מפותח"))+(--($W335="דלה"))&gt;=2,"אינה מפותחת","חלקית"))))</f>
        <v/>
      </c>
      <c r="AA335" s="32">
        <f>IF($C335="","",IF(COUNTA($M335,$N335,$O335)&lt;3,"— חסרים נתונים",IF(OR($M335="נמוכה",(--($M335&lt;&gt;"תקינה"))+(--($N335&lt;&gt;"תקין"))+(--($O335&lt;&gt;"תקינה"))&gt;=2),"ניכרת","אינה ניכרת")))</f>
        <v/>
      </c>
      <c r="AB335" s="32">
        <f>IF(OR($C335="",$Y335="",$AA335="",LEFT($Y335,1)="—",LEFT($AA335,1)="—"),"",IF($Z335="","— נדרשת הערכת כתיבה",IF($L335="","— חסרה הבנת הנקרא",IF($Y335="אינה מדויקת או מקוטעת",IF($AA335="ניכרת","מיקוד בשטף הקריאה ובכישורי שפה","מיקוד בשטף קריאה"),IF($AA335="ניכרת","מיקוד בכישורי שפה",IF(AND($L335="תקינה",$Z335="מפותחת"),"קוראים וכותבים מיומנים","מיקוד בהבנה והבעה"))))))</f>
        <v/>
      </c>
      <c r="AC335" s="32">
        <f>IF(OR($AB335="",LEFT($AB335,1)="—"),"",IF(OR($AB335="מיקוד בשטף קריאה",$AB335="מיקוד בשטף הקריאה ובכישורי שפה"),"רמה א'",IF($AB335="קוראים וכותבים מיומנים","רמה ג'","רמה ב'")))</f>
        <v/>
      </c>
      <c r="AD335" s="32">
        <f>IF($AC335="","",MID(IF(AND($AC335="רמה א'",$AA335="ניכרת"),"; להוסיף עבודת אוצר מילים","")&amp;IF($Z335="אינה מפותחת","; דגש על הבעה בכתב","")&amp;IF($K335&lt;&gt;"תקין","; נדרש לעבוד על ההנגנה","")&amp;IF($AK335&lt;&gt;"","; "&amp;$AK335,""),3,400))</f>
        <v/>
      </c>
      <c r="AE335" s="32">
        <f>IF($F335="","",IF($F335="תחילת שנה",1,IF($F335="מחצית שנה",2,3)))</f>
        <v/>
      </c>
      <c r="AF335" s="32">
        <f>IF(OR($B335="",$AC335="",$A335="",$F335=""),"",$B335&amp;"|"&amp;$A335&amp;"|"&amp;$F335&amp;"|"&amp;$AC335&amp;"|"&amp;COUNTIFS($B$6:$B335,$B335,$A$6:$A335,$A335,$F$6:$F335,$F335,$AC$6:$AC335,$AC335))</f>
        <v/>
      </c>
      <c r="AG335" s="32">
        <f>IF($C335="","",$C335&amp;"|"&amp;COUNTIFS($C$6:$C335,$C335))</f>
        <v/>
      </c>
      <c r="AH335" s="32">
        <f>IF(OR($C335="",$A335="",$AE335=""),"",$C335&amp;"|"&amp;$A335&amp;"|"&amp;$AE335)</f>
        <v/>
      </c>
      <c r="AI335" s="32">
        <f>IF(OR($C335="",$AE335="",$AE335=1),"",IFERROR(INDEX($AC$6:$AC$1505,MATCH($C335&amp;"|"&amp;$A335&amp;"|"&amp;($AE335-1),$AH$6:$AH$1505,0)),""))</f>
        <v/>
      </c>
      <c r="AJ335" s="32">
        <f>IF(OR($AI335="",$AC335=""),"",IF($AI335=$AC335,"ללא שינוי","מ-"&amp;$AI335&amp;" ל-"&amp;$AC335))</f>
        <v/>
      </c>
      <c r="AK335" s="67" t="n"/>
    </row>
    <row r="336" ht="15.75" customHeight="1" s="58">
      <c r="A336" s="65" t="n"/>
      <c r="B336" s="65" t="n"/>
      <c r="C336" s="66" t="n"/>
      <c r="D336" s="66" t="n"/>
      <c r="E336" s="65" t="n"/>
      <c r="F336" s="65" t="n"/>
      <c r="G336" s="65" t="n"/>
      <c r="H336" s="65" t="n"/>
      <c r="I336" s="65" t="n"/>
      <c r="J336" s="65" t="n"/>
      <c r="K336" s="65" t="n"/>
      <c r="L336" s="65" t="n"/>
      <c r="M336" s="65" t="n"/>
      <c r="N336" s="65" t="n"/>
      <c r="O336" s="65" t="n"/>
      <c r="P336" s="65" t="n"/>
      <c r="Q336" s="65" t="n"/>
      <c r="R336" s="65" t="n"/>
      <c r="S336" s="65" t="n"/>
      <c r="T336" s="65" t="n"/>
      <c r="U336" s="65" t="n"/>
      <c r="V336" s="65" t="n"/>
      <c r="W336" s="65" t="n"/>
      <c r="X336" s="65" t="n"/>
      <c r="Y336" s="32">
        <f>IF($C336="","",IF(COUNTA($I336:$K336)&lt;3,"— חסרים נתונים",IF(AND($I336="תקין",$J336="תקין",$K336="תקין"),"רהוטה",IF(AND($I336="תקין",$J336="תקין"),"מדויקת ורציפה","אינה מדויקת או מקוטעת"))))</f>
        <v/>
      </c>
      <c r="Z336" s="32">
        <f>IF($C336="","",IF(COUNTA($U336:$W336)&lt;3,"",IF(AND($U336="מפותח",$V336="מפותח",$W336="מפותחת"),"מפותחת",IF((--($U336="דל"))+(--($V336="אינו מפותח"))+(--($W336="דלה"))&gt;=2,"אינה מפותחת","חלקית"))))</f>
        <v/>
      </c>
      <c r="AA336" s="32">
        <f>IF($C336="","",IF(COUNTA($M336,$N336,$O336)&lt;3,"— חסרים נתונים",IF(OR($M336="נמוכה",(--($M336&lt;&gt;"תקינה"))+(--($N336&lt;&gt;"תקין"))+(--($O336&lt;&gt;"תקינה"))&gt;=2),"ניכרת","אינה ניכרת")))</f>
        <v/>
      </c>
      <c r="AB336" s="32">
        <f>IF(OR($C336="",$Y336="",$AA336="",LEFT($Y336,1)="—",LEFT($AA336,1)="—"),"",IF($Z336="","— נדרשת הערכת כתיבה",IF($L336="","— חסרה הבנת הנקרא",IF($Y336="אינה מדויקת או מקוטעת",IF($AA336="ניכרת","מיקוד בשטף הקריאה ובכישורי שפה","מיקוד בשטף קריאה"),IF($AA336="ניכרת","מיקוד בכישורי שפה",IF(AND($L336="תקינה",$Z336="מפותחת"),"קוראים וכותבים מיומנים","מיקוד בהבנה והבעה"))))))</f>
        <v/>
      </c>
      <c r="AC336" s="32">
        <f>IF(OR($AB336="",LEFT($AB336,1)="—"),"",IF(OR($AB336="מיקוד בשטף קריאה",$AB336="מיקוד בשטף הקריאה ובכישורי שפה"),"רמה א'",IF($AB336="קוראים וכותבים מיומנים","רמה ג'","רמה ב'")))</f>
        <v/>
      </c>
      <c r="AD336" s="32">
        <f>IF($AC336="","",MID(IF(AND($AC336="רמה א'",$AA336="ניכרת"),"; להוסיף עבודת אוצר מילים","")&amp;IF($Z336="אינה מפותחת","; דגש על הבעה בכתב","")&amp;IF($K336&lt;&gt;"תקין","; נדרש לעבוד על ההנגנה","")&amp;IF($AK336&lt;&gt;"","; "&amp;$AK336,""),3,400))</f>
        <v/>
      </c>
      <c r="AE336" s="32">
        <f>IF($F336="","",IF($F336="תחילת שנה",1,IF($F336="מחצית שנה",2,3)))</f>
        <v/>
      </c>
      <c r="AF336" s="32">
        <f>IF(OR($B336="",$AC336="",$A336="",$F336=""),"",$B336&amp;"|"&amp;$A336&amp;"|"&amp;$F336&amp;"|"&amp;$AC336&amp;"|"&amp;COUNTIFS($B$6:$B336,$B336,$A$6:$A336,$A336,$F$6:$F336,$F336,$AC$6:$AC336,$AC336))</f>
        <v/>
      </c>
      <c r="AG336" s="32">
        <f>IF($C336="","",$C336&amp;"|"&amp;COUNTIFS($C$6:$C336,$C336))</f>
        <v/>
      </c>
      <c r="AH336" s="32">
        <f>IF(OR($C336="",$A336="",$AE336=""),"",$C336&amp;"|"&amp;$A336&amp;"|"&amp;$AE336)</f>
        <v/>
      </c>
      <c r="AI336" s="32">
        <f>IF(OR($C336="",$AE336="",$AE336=1),"",IFERROR(INDEX($AC$6:$AC$1505,MATCH($C336&amp;"|"&amp;$A336&amp;"|"&amp;($AE336-1),$AH$6:$AH$1505,0)),""))</f>
        <v/>
      </c>
      <c r="AJ336" s="32">
        <f>IF(OR($AI336="",$AC336=""),"",IF($AI336=$AC336,"ללא שינוי","מ-"&amp;$AI336&amp;" ל-"&amp;$AC336))</f>
        <v/>
      </c>
      <c r="AK336" s="67" t="n"/>
    </row>
    <row r="337" ht="15.75" customHeight="1" s="58">
      <c r="A337" s="65" t="n"/>
      <c r="B337" s="65" t="n"/>
      <c r="C337" s="66" t="n"/>
      <c r="D337" s="66" t="n"/>
      <c r="E337" s="65" t="n"/>
      <c r="F337" s="65" t="n"/>
      <c r="G337" s="65" t="n"/>
      <c r="H337" s="65" t="n"/>
      <c r="I337" s="65" t="n"/>
      <c r="J337" s="65" t="n"/>
      <c r="K337" s="65" t="n"/>
      <c r="L337" s="65" t="n"/>
      <c r="M337" s="65" t="n"/>
      <c r="N337" s="65" t="n"/>
      <c r="O337" s="65" t="n"/>
      <c r="P337" s="65" t="n"/>
      <c r="Q337" s="65" t="n"/>
      <c r="R337" s="65" t="n"/>
      <c r="S337" s="65" t="n"/>
      <c r="T337" s="65" t="n"/>
      <c r="U337" s="65" t="n"/>
      <c r="V337" s="65" t="n"/>
      <c r="W337" s="65" t="n"/>
      <c r="X337" s="65" t="n"/>
      <c r="Y337" s="32">
        <f>IF($C337="","",IF(COUNTA($I337:$K337)&lt;3,"— חסרים נתונים",IF(AND($I337="תקין",$J337="תקין",$K337="תקין"),"רהוטה",IF(AND($I337="תקין",$J337="תקין"),"מדויקת ורציפה","אינה מדויקת או מקוטעת"))))</f>
        <v/>
      </c>
      <c r="Z337" s="32">
        <f>IF($C337="","",IF(COUNTA($U337:$W337)&lt;3,"",IF(AND($U337="מפותח",$V337="מפותח",$W337="מפותחת"),"מפותחת",IF((--($U337="דל"))+(--($V337="אינו מפותח"))+(--($W337="דלה"))&gt;=2,"אינה מפותחת","חלקית"))))</f>
        <v/>
      </c>
      <c r="AA337" s="32">
        <f>IF($C337="","",IF(COUNTA($M337,$N337,$O337)&lt;3,"— חסרים נתונים",IF(OR($M337="נמוכה",(--($M337&lt;&gt;"תקינה"))+(--($N337&lt;&gt;"תקין"))+(--($O337&lt;&gt;"תקינה"))&gt;=2),"ניכרת","אינה ניכרת")))</f>
        <v/>
      </c>
      <c r="AB337" s="32">
        <f>IF(OR($C337="",$Y337="",$AA337="",LEFT($Y337,1)="—",LEFT($AA337,1)="—"),"",IF($Z337="","— נדרשת הערכת כתיבה",IF($L337="","— חסרה הבנת הנקרא",IF($Y337="אינה מדויקת או מקוטעת",IF($AA337="ניכרת","מיקוד בשטף הקריאה ובכישורי שפה","מיקוד בשטף קריאה"),IF($AA337="ניכרת","מיקוד בכישורי שפה",IF(AND($L337="תקינה",$Z337="מפותחת"),"קוראים וכותבים מיומנים","מיקוד בהבנה והבעה"))))))</f>
        <v/>
      </c>
      <c r="AC337" s="32">
        <f>IF(OR($AB337="",LEFT($AB337,1)="—"),"",IF(OR($AB337="מיקוד בשטף קריאה",$AB337="מיקוד בשטף הקריאה ובכישורי שפה"),"רמה א'",IF($AB337="קוראים וכותבים מיומנים","רמה ג'","רמה ב'")))</f>
        <v/>
      </c>
      <c r="AD337" s="32">
        <f>IF($AC337="","",MID(IF(AND($AC337="רמה א'",$AA337="ניכרת"),"; להוסיף עבודת אוצר מילים","")&amp;IF($Z337="אינה מפותחת","; דגש על הבעה בכתב","")&amp;IF($K337&lt;&gt;"תקין","; נדרש לעבוד על ההנגנה","")&amp;IF($AK337&lt;&gt;"","; "&amp;$AK337,""),3,400))</f>
        <v/>
      </c>
      <c r="AE337" s="32">
        <f>IF($F337="","",IF($F337="תחילת שנה",1,IF($F337="מחצית שנה",2,3)))</f>
        <v/>
      </c>
      <c r="AF337" s="32">
        <f>IF(OR($B337="",$AC337="",$A337="",$F337=""),"",$B337&amp;"|"&amp;$A337&amp;"|"&amp;$F337&amp;"|"&amp;$AC337&amp;"|"&amp;COUNTIFS($B$6:$B337,$B337,$A$6:$A337,$A337,$F$6:$F337,$F337,$AC$6:$AC337,$AC337))</f>
        <v/>
      </c>
      <c r="AG337" s="32">
        <f>IF($C337="","",$C337&amp;"|"&amp;COUNTIFS($C$6:$C337,$C337))</f>
        <v/>
      </c>
      <c r="AH337" s="32">
        <f>IF(OR($C337="",$A337="",$AE337=""),"",$C337&amp;"|"&amp;$A337&amp;"|"&amp;$AE337)</f>
        <v/>
      </c>
      <c r="AI337" s="32">
        <f>IF(OR($C337="",$AE337="",$AE337=1),"",IFERROR(INDEX($AC$6:$AC$1505,MATCH($C337&amp;"|"&amp;$A337&amp;"|"&amp;($AE337-1),$AH$6:$AH$1505,0)),""))</f>
        <v/>
      </c>
      <c r="AJ337" s="32">
        <f>IF(OR($AI337="",$AC337=""),"",IF($AI337=$AC337,"ללא שינוי","מ-"&amp;$AI337&amp;" ל-"&amp;$AC337))</f>
        <v/>
      </c>
      <c r="AK337" s="67" t="n"/>
    </row>
    <row r="338" ht="15.75" customHeight="1" s="58">
      <c r="A338" s="65" t="n"/>
      <c r="B338" s="65" t="n"/>
      <c r="C338" s="66" t="n"/>
      <c r="D338" s="66" t="n"/>
      <c r="E338" s="65" t="n"/>
      <c r="F338" s="65" t="n"/>
      <c r="G338" s="65" t="n"/>
      <c r="H338" s="65" t="n"/>
      <c r="I338" s="65" t="n"/>
      <c r="J338" s="65" t="n"/>
      <c r="K338" s="65" t="n"/>
      <c r="L338" s="65" t="n"/>
      <c r="M338" s="65" t="n"/>
      <c r="N338" s="65" t="n"/>
      <c r="O338" s="65" t="n"/>
      <c r="P338" s="65" t="n"/>
      <c r="Q338" s="65" t="n"/>
      <c r="R338" s="65" t="n"/>
      <c r="S338" s="65" t="n"/>
      <c r="T338" s="65" t="n"/>
      <c r="U338" s="65" t="n"/>
      <c r="V338" s="65" t="n"/>
      <c r="W338" s="65" t="n"/>
      <c r="X338" s="65" t="n"/>
      <c r="Y338" s="32">
        <f>IF($C338="","",IF(COUNTA($I338:$K338)&lt;3,"— חסרים נתונים",IF(AND($I338="תקין",$J338="תקין",$K338="תקין"),"רהוטה",IF(AND($I338="תקין",$J338="תקין"),"מדויקת ורציפה","אינה מדויקת או מקוטעת"))))</f>
        <v/>
      </c>
      <c r="Z338" s="32">
        <f>IF($C338="","",IF(COUNTA($U338:$W338)&lt;3,"",IF(AND($U338="מפותח",$V338="מפותח",$W338="מפותחת"),"מפותחת",IF((--($U338="דל"))+(--($V338="אינו מפותח"))+(--($W338="דלה"))&gt;=2,"אינה מפותחת","חלקית"))))</f>
        <v/>
      </c>
      <c r="AA338" s="32">
        <f>IF($C338="","",IF(COUNTA($M338,$N338,$O338)&lt;3,"— חסרים נתונים",IF(OR($M338="נמוכה",(--($M338&lt;&gt;"תקינה"))+(--($N338&lt;&gt;"תקין"))+(--($O338&lt;&gt;"תקינה"))&gt;=2),"ניכרת","אינה ניכרת")))</f>
        <v/>
      </c>
      <c r="AB338" s="32">
        <f>IF(OR($C338="",$Y338="",$AA338="",LEFT($Y338,1)="—",LEFT($AA338,1)="—"),"",IF($Z338="","— נדרשת הערכת כתיבה",IF($L338="","— חסרה הבנת הנקרא",IF($Y338="אינה מדויקת או מקוטעת",IF($AA338="ניכרת","מיקוד בשטף הקריאה ובכישורי שפה","מיקוד בשטף קריאה"),IF($AA338="ניכרת","מיקוד בכישורי שפה",IF(AND($L338="תקינה",$Z338="מפותחת"),"קוראים וכותבים מיומנים","מיקוד בהבנה והבעה"))))))</f>
        <v/>
      </c>
      <c r="AC338" s="32">
        <f>IF(OR($AB338="",LEFT($AB338,1)="—"),"",IF(OR($AB338="מיקוד בשטף קריאה",$AB338="מיקוד בשטף הקריאה ובכישורי שפה"),"רמה א'",IF($AB338="קוראים וכותבים מיומנים","רמה ג'","רמה ב'")))</f>
        <v/>
      </c>
      <c r="AD338" s="32">
        <f>IF($AC338="","",MID(IF(AND($AC338="רמה א'",$AA338="ניכרת"),"; להוסיף עבודת אוצר מילים","")&amp;IF($Z338="אינה מפותחת","; דגש על הבעה בכתב","")&amp;IF($K338&lt;&gt;"תקין","; נדרש לעבוד על ההנגנה","")&amp;IF($AK338&lt;&gt;"","; "&amp;$AK338,""),3,400))</f>
        <v/>
      </c>
      <c r="AE338" s="32">
        <f>IF($F338="","",IF($F338="תחילת שנה",1,IF($F338="מחצית שנה",2,3)))</f>
        <v/>
      </c>
      <c r="AF338" s="32">
        <f>IF(OR($B338="",$AC338="",$A338="",$F338=""),"",$B338&amp;"|"&amp;$A338&amp;"|"&amp;$F338&amp;"|"&amp;$AC338&amp;"|"&amp;COUNTIFS($B$6:$B338,$B338,$A$6:$A338,$A338,$F$6:$F338,$F338,$AC$6:$AC338,$AC338))</f>
        <v/>
      </c>
      <c r="AG338" s="32">
        <f>IF($C338="","",$C338&amp;"|"&amp;COUNTIFS($C$6:$C338,$C338))</f>
        <v/>
      </c>
      <c r="AH338" s="32">
        <f>IF(OR($C338="",$A338="",$AE338=""),"",$C338&amp;"|"&amp;$A338&amp;"|"&amp;$AE338)</f>
        <v/>
      </c>
      <c r="AI338" s="32">
        <f>IF(OR($C338="",$AE338="",$AE338=1),"",IFERROR(INDEX($AC$6:$AC$1505,MATCH($C338&amp;"|"&amp;$A338&amp;"|"&amp;($AE338-1),$AH$6:$AH$1505,0)),""))</f>
        <v/>
      </c>
      <c r="AJ338" s="32">
        <f>IF(OR($AI338="",$AC338=""),"",IF($AI338=$AC338,"ללא שינוי","מ-"&amp;$AI338&amp;" ל-"&amp;$AC338))</f>
        <v/>
      </c>
      <c r="AK338" s="67" t="n"/>
    </row>
    <row r="339" ht="15.75" customHeight="1" s="58">
      <c r="A339" s="65" t="n"/>
      <c r="B339" s="65" t="n"/>
      <c r="C339" s="66" t="n"/>
      <c r="D339" s="66" t="n"/>
      <c r="E339" s="65" t="n"/>
      <c r="F339" s="65" t="n"/>
      <c r="G339" s="65" t="n"/>
      <c r="H339" s="65" t="n"/>
      <c r="I339" s="65" t="n"/>
      <c r="J339" s="65" t="n"/>
      <c r="K339" s="65" t="n"/>
      <c r="L339" s="65" t="n"/>
      <c r="M339" s="65" t="n"/>
      <c r="N339" s="65" t="n"/>
      <c r="O339" s="65" t="n"/>
      <c r="P339" s="65" t="n"/>
      <c r="Q339" s="65" t="n"/>
      <c r="R339" s="65" t="n"/>
      <c r="S339" s="65" t="n"/>
      <c r="T339" s="65" t="n"/>
      <c r="U339" s="65" t="n"/>
      <c r="V339" s="65" t="n"/>
      <c r="W339" s="65" t="n"/>
      <c r="X339" s="65" t="n"/>
      <c r="Y339" s="32">
        <f>IF($C339="","",IF(COUNTA($I339:$K339)&lt;3,"— חסרים נתונים",IF(AND($I339="תקין",$J339="תקין",$K339="תקין"),"רהוטה",IF(AND($I339="תקין",$J339="תקין"),"מדויקת ורציפה","אינה מדויקת או מקוטעת"))))</f>
        <v/>
      </c>
      <c r="Z339" s="32">
        <f>IF($C339="","",IF(COUNTA($U339:$W339)&lt;3,"",IF(AND($U339="מפותח",$V339="מפותח",$W339="מפותחת"),"מפותחת",IF((--($U339="דל"))+(--($V339="אינו מפותח"))+(--($W339="דלה"))&gt;=2,"אינה מפותחת","חלקית"))))</f>
        <v/>
      </c>
      <c r="AA339" s="32">
        <f>IF($C339="","",IF(COUNTA($M339,$N339,$O339)&lt;3,"— חסרים נתונים",IF(OR($M339="נמוכה",(--($M339&lt;&gt;"תקינה"))+(--($N339&lt;&gt;"תקין"))+(--($O339&lt;&gt;"תקינה"))&gt;=2),"ניכרת","אינה ניכרת")))</f>
        <v/>
      </c>
      <c r="AB339" s="32">
        <f>IF(OR($C339="",$Y339="",$AA339="",LEFT($Y339,1)="—",LEFT($AA339,1)="—"),"",IF($Z339="","— נדרשת הערכת כתיבה",IF($L339="","— חסרה הבנת הנקרא",IF($Y339="אינה מדויקת או מקוטעת",IF($AA339="ניכרת","מיקוד בשטף הקריאה ובכישורי שפה","מיקוד בשטף קריאה"),IF($AA339="ניכרת","מיקוד בכישורי שפה",IF(AND($L339="תקינה",$Z339="מפותחת"),"קוראים וכותבים מיומנים","מיקוד בהבנה והבעה"))))))</f>
        <v/>
      </c>
      <c r="AC339" s="32">
        <f>IF(OR($AB339="",LEFT($AB339,1)="—"),"",IF(OR($AB339="מיקוד בשטף קריאה",$AB339="מיקוד בשטף הקריאה ובכישורי שפה"),"רמה א'",IF($AB339="קוראים וכותבים מיומנים","רמה ג'","רמה ב'")))</f>
        <v/>
      </c>
      <c r="AD339" s="32">
        <f>IF($AC339="","",MID(IF(AND($AC339="רמה א'",$AA339="ניכרת"),"; להוסיף עבודת אוצר מילים","")&amp;IF($Z339="אינה מפותחת","; דגש על הבעה בכתב","")&amp;IF($K339&lt;&gt;"תקין","; נדרש לעבוד על ההנגנה","")&amp;IF($AK339&lt;&gt;"","; "&amp;$AK339,""),3,400))</f>
        <v/>
      </c>
      <c r="AE339" s="32">
        <f>IF($F339="","",IF($F339="תחילת שנה",1,IF($F339="מחצית שנה",2,3)))</f>
        <v/>
      </c>
      <c r="AF339" s="32">
        <f>IF(OR($B339="",$AC339="",$A339="",$F339=""),"",$B339&amp;"|"&amp;$A339&amp;"|"&amp;$F339&amp;"|"&amp;$AC339&amp;"|"&amp;COUNTIFS($B$6:$B339,$B339,$A$6:$A339,$A339,$F$6:$F339,$F339,$AC$6:$AC339,$AC339))</f>
        <v/>
      </c>
      <c r="AG339" s="32">
        <f>IF($C339="","",$C339&amp;"|"&amp;COUNTIFS($C$6:$C339,$C339))</f>
        <v/>
      </c>
      <c r="AH339" s="32">
        <f>IF(OR($C339="",$A339="",$AE339=""),"",$C339&amp;"|"&amp;$A339&amp;"|"&amp;$AE339)</f>
        <v/>
      </c>
      <c r="AI339" s="32">
        <f>IF(OR($C339="",$AE339="",$AE339=1),"",IFERROR(INDEX($AC$6:$AC$1505,MATCH($C339&amp;"|"&amp;$A339&amp;"|"&amp;($AE339-1),$AH$6:$AH$1505,0)),""))</f>
        <v/>
      </c>
      <c r="AJ339" s="32">
        <f>IF(OR($AI339="",$AC339=""),"",IF($AI339=$AC339,"ללא שינוי","מ-"&amp;$AI339&amp;" ל-"&amp;$AC339))</f>
        <v/>
      </c>
      <c r="AK339" s="67" t="n"/>
    </row>
    <row r="340" ht="15.75" customHeight="1" s="58">
      <c r="A340" s="65" t="n"/>
      <c r="B340" s="65" t="n"/>
      <c r="C340" s="66" t="n"/>
      <c r="D340" s="66" t="n"/>
      <c r="E340" s="65" t="n"/>
      <c r="F340" s="65" t="n"/>
      <c r="G340" s="65" t="n"/>
      <c r="H340" s="65" t="n"/>
      <c r="I340" s="65" t="n"/>
      <c r="J340" s="65" t="n"/>
      <c r="K340" s="65" t="n"/>
      <c r="L340" s="65" t="n"/>
      <c r="M340" s="65" t="n"/>
      <c r="N340" s="65" t="n"/>
      <c r="O340" s="65" t="n"/>
      <c r="P340" s="65" t="n"/>
      <c r="Q340" s="65" t="n"/>
      <c r="R340" s="65" t="n"/>
      <c r="S340" s="65" t="n"/>
      <c r="T340" s="65" t="n"/>
      <c r="U340" s="65" t="n"/>
      <c r="V340" s="65" t="n"/>
      <c r="W340" s="65" t="n"/>
      <c r="X340" s="65" t="n"/>
      <c r="Y340" s="32">
        <f>IF($C340="","",IF(COUNTA($I340:$K340)&lt;3,"— חסרים נתונים",IF(AND($I340="תקין",$J340="תקין",$K340="תקין"),"רהוטה",IF(AND($I340="תקין",$J340="תקין"),"מדויקת ורציפה","אינה מדויקת או מקוטעת"))))</f>
        <v/>
      </c>
      <c r="Z340" s="32">
        <f>IF($C340="","",IF(COUNTA($U340:$W340)&lt;3,"",IF(AND($U340="מפותח",$V340="מפותח",$W340="מפותחת"),"מפותחת",IF((--($U340="דל"))+(--($V340="אינו מפותח"))+(--($W340="דלה"))&gt;=2,"אינה מפותחת","חלקית"))))</f>
        <v/>
      </c>
      <c r="AA340" s="32">
        <f>IF($C340="","",IF(COUNTA($M340,$N340,$O340)&lt;3,"— חסרים נתונים",IF(OR($M340="נמוכה",(--($M340&lt;&gt;"תקינה"))+(--($N340&lt;&gt;"תקין"))+(--($O340&lt;&gt;"תקינה"))&gt;=2),"ניכרת","אינה ניכרת")))</f>
        <v/>
      </c>
      <c r="AB340" s="32">
        <f>IF(OR($C340="",$Y340="",$AA340="",LEFT($Y340,1)="—",LEFT($AA340,1)="—"),"",IF($Z340="","— נדרשת הערכת כתיבה",IF($L340="","— חסרה הבנת הנקרא",IF($Y340="אינה מדויקת או מקוטעת",IF($AA340="ניכרת","מיקוד בשטף הקריאה ובכישורי שפה","מיקוד בשטף קריאה"),IF($AA340="ניכרת","מיקוד בכישורי שפה",IF(AND($L340="תקינה",$Z340="מפותחת"),"קוראים וכותבים מיומנים","מיקוד בהבנה והבעה"))))))</f>
        <v/>
      </c>
      <c r="AC340" s="32">
        <f>IF(OR($AB340="",LEFT($AB340,1)="—"),"",IF(OR($AB340="מיקוד בשטף קריאה",$AB340="מיקוד בשטף הקריאה ובכישורי שפה"),"רמה א'",IF($AB340="קוראים וכותבים מיומנים","רמה ג'","רמה ב'")))</f>
        <v/>
      </c>
      <c r="AD340" s="32">
        <f>IF($AC340="","",MID(IF(AND($AC340="רמה א'",$AA340="ניכרת"),"; להוסיף עבודת אוצר מילים","")&amp;IF($Z340="אינה מפותחת","; דגש על הבעה בכתב","")&amp;IF($K340&lt;&gt;"תקין","; נדרש לעבוד על ההנגנה","")&amp;IF($AK340&lt;&gt;"","; "&amp;$AK340,""),3,400))</f>
        <v/>
      </c>
      <c r="AE340" s="32">
        <f>IF($F340="","",IF($F340="תחילת שנה",1,IF($F340="מחצית שנה",2,3)))</f>
        <v/>
      </c>
      <c r="AF340" s="32">
        <f>IF(OR($B340="",$AC340="",$A340="",$F340=""),"",$B340&amp;"|"&amp;$A340&amp;"|"&amp;$F340&amp;"|"&amp;$AC340&amp;"|"&amp;COUNTIFS($B$6:$B340,$B340,$A$6:$A340,$A340,$F$6:$F340,$F340,$AC$6:$AC340,$AC340))</f>
        <v/>
      </c>
      <c r="AG340" s="32">
        <f>IF($C340="","",$C340&amp;"|"&amp;COUNTIFS($C$6:$C340,$C340))</f>
        <v/>
      </c>
      <c r="AH340" s="32">
        <f>IF(OR($C340="",$A340="",$AE340=""),"",$C340&amp;"|"&amp;$A340&amp;"|"&amp;$AE340)</f>
        <v/>
      </c>
      <c r="AI340" s="32">
        <f>IF(OR($C340="",$AE340="",$AE340=1),"",IFERROR(INDEX($AC$6:$AC$1505,MATCH($C340&amp;"|"&amp;$A340&amp;"|"&amp;($AE340-1),$AH$6:$AH$1505,0)),""))</f>
        <v/>
      </c>
      <c r="AJ340" s="32">
        <f>IF(OR($AI340="",$AC340=""),"",IF($AI340=$AC340,"ללא שינוי","מ-"&amp;$AI340&amp;" ל-"&amp;$AC340))</f>
        <v/>
      </c>
      <c r="AK340" s="67" t="n"/>
    </row>
    <row r="341" ht="15.75" customHeight="1" s="58">
      <c r="A341" s="65" t="n"/>
      <c r="B341" s="65" t="n"/>
      <c r="C341" s="66" t="n"/>
      <c r="D341" s="66" t="n"/>
      <c r="E341" s="65" t="n"/>
      <c r="F341" s="65" t="n"/>
      <c r="G341" s="65" t="n"/>
      <c r="H341" s="65" t="n"/>
      <c r="I341" s="65" t="n"/>
      <c r="J341" s="65" t="n"/>
      <c r="K341" s="65" t="n"/>
      <c r="L341" s="65" t="n"/>
      <c r="M341" s="65" t="n"/>
      <c r="N341" s="65" t="n"/>
      <c r="O341" s="65" t="n"/>
      <c r="P341" s="65" t="n"/>
      <c r="Q341" s="65" t="n"/>
      <c r="R341" s="65" t="n"/>
      <c r="S341" s="65" t="n"/>
      <c r="T341" s="65" t="n"/>
      <c r="U341" s="65" t="n"/>
      <c r="V341" s="65" t="n"/>
      <c r="W341" s="65" t="n"/>
      <c r="X341" s="65" t="n"/>
      <c r="Y341" s="32">
        <f>IF($C341="","",IF(COUNTA($I341:$K341)&lt;3,"— חסרים נתונים",IF(AND($I341="תקין",$J341="תקין",$K341="תקין"),"רהוטה",IF(AND($I341="תקין",$J341="תקין"),"מדויקת ורציפה","אינה מדויקת או מקוטעת"))))</f>
        <v/>
      </c>
      <c r="Z341" s="32">
        <f>IF($C341="","",IF(COUNTA($U341:$W341)&lt;3,"",IF(AND($U341="מפותח",$V341="מפותח",$W341="מפותחת"),"מפותחת",IF((--($U341="דל"))+(--($V341="אינו מפותח"))+(--($W341="דלה"))&gt;=2,"אינה מפותחת","חלקית"))))</f>
        <v/>
      </c>
      <c r="AA341" s="32">
        <f>IF($C341="","",IF(COUNTA($M341,$N341,$O341)&lt;3,"— חסרים נתונים",IF(OR($M341="נמוכה",(--($M341&lt;&gt;"תקינה"))+(--($N341&lt;&gt;"תקין"))+(--($O341&lt;&gt;"תקינה"))&gt;=2),"ניכרת","אינה ניכרת")))</f>
        <v/>
      </c>
      <c r="AB341" s="32">
        <f>IF(OR($C341="",$Y341="",$AA341="",LEFT($Y341,1)="—",LEFT($AA341,1)="—"),"",IF($Z341="","— נדרשת הערכת כתיבה",IF($L341="","— חסרה הבנת הנקרא",IF($Y341="אינה מדויקת או מקוטעת",IF($AA341="ניכרת","מיקוד בשטף הקריאה ובכישורי שפה","מיקוד בשטף קריאה"),IF($AA341="ניכרת","מיקוד בכישורי שפה",IF(AND($L341="תקינה",$Z341="מפותחת"),"קוראים וכותבים מיומנים","מיקוד בהבנה והבעה"))))))</f>
        <v/>
      </c>
      <c r="AC341" s="32">
        <f>IF(OR($AB341="",LEFT($AB341,1)="—"),"",IF(OR($AB341="מיקוד בשטף קריאה",$AB341="מיקוד בשטף הקריאה ובכישורי שפה"),"רמה א'",IF($AB341="קוראים וכותבים מיומנים","רמה ג'","רמה ב'")))</f>
        <v/>
      </c>
      <c r="AD341" s="32">
        <f>IF($AC341="","",MID(IF(AND($AC341="רמה א'",$AA341="ניכרת"),"; להוסיף עבודת אוצר מילים","")&amp;IF($Z341="אינה מפותחת","; דגש על הבעה בכתב","")&amp;IF($K341&lt;&gt;"תקין","; נדרש לעבוד על ההנגנה","")&amp;IF($AK341&lt;&gt;"","; "&amp;$AK341,""),3,400))</f>
        <v/>
      </c>
      <c r="AE341" s="32">
        <f>IF($F341="","",IF($F341="תחילת שנה",1,IF($F341="מחצית שנה",2,3)))</f>
        <v/>
      </c>
      <c r="AF341" s="32">
        <f>IF(OR($B341="",$AC341="",$A341="",$F341=""),"",$B341&amp;"|"&amp;$A341&amp;"|"&amp;$F341&amp;"|"&amp;$AC341&amp;"|"&amp;COUNTIFS($B$6:$B341,$B341,$A$6:$A341,$A341,$F$6:$F341,$F341,$AC$6:$AC341,$AC341))</f>
        <v/>
      </c>
      <c r="AG341" s="32">
        <f>IF($C341="","",$C341&amp;"|"&amp;COUNTIFS($C$6:$C341,$C341))</f>
        <v/>
      </c>
      <c r="AH341" s="32">
        <f>IF(OR($C341="",$A341="",$AE341=""),"",$C341&amp;"|"&amp;$A341&amp;"|"&amp;$AE341)</f>
        <v/>
      </c>
      <c r="AI341" s="32">
        <f>IF(OR($C341="",$AE341="",$AE341=1),"",IFERROR(INDEX($AC$6:$AC$1505,MATCH($C341&amp;"|"&amp;$A341&amp;"|"&amp;($AE341-1),$AH$6:$AH$1505,0)),""))</f>
        <v/>
      </c>
      <c r="AJ341" s="32">
        <f>IF(OR($AI341="",$AC341=""),"",IF($AI341=$AC341,"ללא שינוי","מ-"&amp;$AI341&amp;" ל-"&amp;$AC341))</f>
        <v/>
      </c>
      <c r="AK341" s="67" t="n"/>
    </row>
    <row r="342" ht="15.75" customHeight="1" s="58">
      <c r="A342" s="65" t="n"/>
      <c r="B342" s="65" t="n"/>
      <c r="C342" s="66" t="n"/>
      <c r="D342" s="66" t="n"/>
      <c r="E342" s="65" t="n"/>
      <c r="F342" s="65" t="n"/>
      <c r="G342" s="65" t="n"/>
      <c r="H342" s="65" t="n"/>
      <c r="I342" s="65" t="n"/>
      <c r="J342" s="65" t="n"/>
      <c r="K342" s="65" t="n"/>
      <c r="L342" s="65" t="n"/>
      <c r="M342" s="65" t="n"/>
      <c r="N342" s="65" t="n"/>
      <c r="O342" s="65" t="n"/>
      <c r="P342" s="65" t="n"/>
      <c r="Q342" s="65" t="n"/>
      <c r="R342" s="65" t="n"/>
      <c r="S342" s="65" t="n"/>
      <c r="T342" s="65" t="n"/>
      <c r="U342" s="65" t="n"/>
      <c r="V342" s="65" t="n"/>
      <c r="W342" s="65" t="n"/>
      <c r="X342" s="65" t="n"/>
      <c r="Y342" s="32">
        <f>IF($C342="","",IF(COUNTA($I342:$K342)&lt;3,"— חסרים נתונים",IF(AND($I342="תקין",$J342="תקין",$K342="תקין"),"רהוטה",IF(AND($I342="תקין",$J342="תקין"),"מדויקת ורציפה","אינה מדויקת או מקוטעת"))))</f>
        <v/>
      </c>
      <c r="Z342" s="32">
        <f>IF($C342="","",IF(COUNTA($U342:$W342)&lt;3,"",IF(AND($U342="מפותח",$V342="מפותח",$W342="מפותחת"),"מפותחת",IF((--($U342="דל"))+(--($V342="אינו מפותח"))+(--($W342="דלה"))&gt;=2,"אינה מפותחת","חלקית"))))</f>
        <v/>
      </c>
      <c r="AA342" s="32">
        <f>IF($C342="","",IF(COUNTA($M342,$N342,$O342)&lt;3,"— חסרים נתונים",IF(OR($M342="נמוכה",(--($M342&lt;&gt;"תקינה"))+(--($N342&lt;&gt;"תקין"))+(--($O342&lt;&gt;"תקינה"))&gt;=2),"ניכרת","אינה ניכרת")))</f>
        <v/>
      </c>
      <c r="AB342" s="32">
        <f>IF(OR($C342="",$Y342="",$AA342="",LEFT($Y342,1)="—",LEFT($AA342,1)="—"),"",IF($Z342="","— נדרשת הערכת כתיבה",IF($L342="","— חסרה הבנת הנקרא",IF($Y342="אינה מדויקת או מקוטעת",IF($AA342="ניכרת","מיקוד בשטף הקריאה ובכישורי שפה","מיקוד בשטף קריאה"),IF($AA342="ניכרת","מיקוד בכישורי שפה",IF(AND($L342="תקינה",$Z342="מפותחת"),"קוראים וכותבים מיומנים","מיקוד בהבנה והבעה"))))))</f>
        <v/>
      </c>
      <c r="AC342" s="32">
        <f>IF(OR($AB342="",LEFT($AB342,1)="—"),"",IF(OR($AB342="מיקוד בשטף קריאה",$AB342="מיקוד בשטף הקריאה ובכישורי שפה"),"רמה א'",IF($AB342="קוראים וכותבים מיומנים","רמה ג'","רמה ב'")))</f>
        <v/>
      </c>
      <c r="AD342" s="32">
        <f>IF($AC342="","",MID(IF(AND($AC342="רמה א'",$AA342="ניכרת"),"; להוסיף עבודת אוצר מילים","")&amp;IF($Z342="אינה מפותחת","; דגש על הבעה בכתב","")&amp;IF($K342&lt;&gt;"תקין","; נדרש לעבוד על ההנגנה","")&amp;IF($AK342&lt;&gt;"","; "&amp;$AK342,""),3,400))</f>
        <v/>
      </c>
      <c r="AE342" s="32">
        <f>IF($F342="","",IF($F342="תחילת שנה",1,IF($F342="מחצית שנה",2,3)))</f>
        <v/>
      </c>
      <c r="AF342" s="32">
        <f>IF(OR($B342="",$AC342="",$A342="",$F342=""),"",$B342&amp;"|"&amp;$A342&amp;"|"&amp;$F342&amp;"|"&amp;$AC342&amp;"|"&amp;COUNTIFS($B$6:$B342,$B342,$A$6:$A342,$A342,$F$6:$F342,$F342,$AC$6:$AC342,$AC342))</f>
        <v/>
      </c>
      <c r="AG342" s="32">
        <f>IF($C342="","",$C342&amp;"|"&amp;COUNTIFS($C$6:$C342,$C342))</f>
        <v/>
      </c>
      <c r="AH342" s="32">
        <f>IF(OR($C342="",$A342="",$AE342=""),"",$C342&amp;"|"&amp;$A342&amp;"|"&amp;$AE342)</f>
        <v/>
      </c>
      <c r="AI342" s="32">
        <f>IF(OR($C342="",$AE342="",$AE342=1),"",IFERROR(INDEX($AC$6:$AC$1505,MATCH($C342&amp;"|"&amp;$A342&amp;"|"&amp;($AE342-1),$AH$6:$AH$1505,0)),""))</f>
        <v/>
      </c>
      <c r="AJ342" s="32">
        <f>IF(OR($AI342="",$AC342=""),"",IF($AI342=$AC342,"ללא שינוי","מ-"&amp;$AI342&amp;" ל-"&amp;$AC342))</f>
        <v/>
      </c>
      <c r="AK342" s="67" t="n"/>
    </row>
    <row r="343" ht="15.75" customHeight="1" s="58">
      <c r="A343" s="65" t="n"/>
      <c r="B343" s="65" t="n"/>
      <c r="C343" s="66" t="n"/>
      <c r="D343" s="66" t="n"/>
      <c r="E343" s="65" t="n"/>
      <c r="F343" s="65" t="n"/>
      <c r="G343" s="65" t="n"/>
      <c r="H343" s="65" t="n"/>
      <c r="I343" s="65" t="n"/>
      <c r="J343" s="65" t="n"/>
      <c r="K343" s="65" t="n"/>
      <c r="L343" s="65" t="n"/>
      <c r="M343" s="65" t="n"/>
      <c r="N343" s="65" t="n"/>
      <c r="O343" s="65" t="n"/>
      <c r="P343" s="65" t="n"/>
      <c r="Q343" s="65" t="n"/>
      <c r="R343" s="65" t="n"/>
      <c r="S343" s="65" t="n"/>
      <c r="T343" s="65" t="n"/>
      <c r="U343" s="65" t="n"/>
      <c r="V343" s="65" t="n"/>
      <c r="W343" s="65" t="n"/>
      <c r="X343" s="65" t="n"/>
      <c r="Y343" s="32">
        <f>IF($C343="","",IF(COUNTA($I343:$K343)&lt;3,"— חסרים נתונים",IF(AND($I343="תקין",$J343="תקין",$K343="תקין"),"רהוטה",IF(AND($I343="תקין",$J343="תקין"),"מדויקת ורציפה","אינה מדויקת או מקוטעת"))))</f>
        <v/>
      </c>
      <c r="Z343" s="32">
        <f>IF($C343="","",IF(COUNTA($U343:$W343)&lt;3,"",IF(AND($U343="מפותח",$V343="מפותח",$W343="מפותחת"),"מפותחת",IF((--($U343="דל"))+(--($V343="אינו מפותח"))+(--($W343="דלה"))&gt;=2,"אינה מפותחת","חלקית"))))</f>
        <v/>
      </c>
      <c r="AA343" s="32">
        <f>IF($C343="","",IF(COUNTA($M343,$N343,$O343)&lt;3,"— חסרים נתונים",IF(OR($M343="נמוכה",(--($M343&lt;&gt;"תקינה"))+(--($N343&lt;&gt;"תקין"))+(--($O343&lt;&gt;"תקינה"))&gt;=2),"ניכרת","אינה ניכרת")))</f>
        <v/>
      </c>
      <c r="AB343" s="32">
        <f>IF(OR($C343="",$Y343="",$AA343="",LEFT($Y343,1)="—",LEFT($AA343,1)="—"),"",IF($Z343="","— נדרשת הערכת כתיבה",IF($L343="","— חסרה הבנת הנקרא",IF($Y343="אינה מדויקת או מקוטעת",IF($AA343="ניכרת","מיקוד בשטף הקריאה ובכישורי שפה","מיקוד בשטף קריאה"),IF($AA343="ניכרת","מיקוד בכישורי שפה",IF(AND($L343="תקינה",$Z343="מפותחת"),"קוראים וכותבים מיומנים","מיקוד בהבנה והבעה"))))))</f>
        <v/>
      </c>
      <c r="AC343" s="32">
        <f>IF(OR($AB343="",LEFT($AB343,1)="—"),"",IF(OR($AB343="מיקוד בשטף קריאה",$AB343="מיקוד בשטף הקריאה ובכישורי שפה"),"רמה א'",IF($AB343="קוראים וכותבים מיומנים","רמה ג'","רמה ב'")))</f>
        <v/>
      </c>
      <c r="AD343" s="32">
        <f>IF($AC343="","",MID(IF(AND($AC343="רמה א'",$AA343="ניכרת"),"; להוסיף עבודת אוצר מילים","")&amp;IF($Z343="אינה מפותחת","; דגש על הבעה בכתב","")&amp;IF($K343&lt;&gt;"תקין","; נדרש לעבוד על ההנגנה","")&amp;IF($AK343&lt;&gt;"","; "&amp;$AK343,""),3,400))</f>
        <v/>
      </c>
      <c r="AE343" s="32">
        <f>IF($F343="","",IF($F343="תחילת שנה",1,IF($F343="מחצית שנה",2,3)))</f>
        <v/>
      </c>
      <c r="AF343" s="32">
        <f>IF(OR($B343="",$AC343="",$A343="",$F343=""),"",$B343&amp;"|"&amp;$A343&amp;"|"&amp;$F343&amp;"|"&amp;$AC343&amp;"|"&amp;COUNTIFS($B$6:$B343,$B343,$A$6:$A343,$A343,$F$6:$F343,$F343,$AC$6:$AC343,$AC343))</f>
        <v/>
      </c>
      <c r="AG343" s="32">
        <f>IF($C343="","",$C343&amp;"|"&amp;COUNTIFS($C$6:$C343,$C343))</f>
        <v/>
      </c>
      <c r="AH343" s="32">
        <f>IF(OR($C343="",$A343="",$AE343=""),"",$C343&amp;"|"&amp;$A343&amp;"|"&amp;$AE343)</f>
        <v/>
      </c>
      <c r="AI343" s="32">
        <f>IF(OR($C343="",$AE343="",$AE343=1),"",IFERROR(INDEX($AC$6:$AC$1505,MATCH($C343&amp;"|"&amp;$A343&amp;"|"&amp;($AE343-1),$AH$6:$AH$1505,0)),""))</f>
        <v/>
      </c>
      <c r="AJ343" s="32">
        <f>IF(OR($AI343="",$AC343=""),"",IF($AI343=$AC343,"ללא שינוי","מ-"&amp;$AI343&amp;" ל-"&amp;$AC343))</f>
        <v/>
      </c>
      <c r="AK343" s="67" t="n"/>
    </row>
    <row r="344" ht="15.75" customHeight="1" s="58">
      <c r="A344" s="65" t="n"/>
      <c r="B344" s="65" t="n"/>
      <c r="C344" s="66" t="n"/>
      <c r="D344" s="66" t="n"/>
      <c r="E344" s="65" t="n"/>
      <c r="F344" s="65" t="n"/>
      <c r="G344" s="65" t="n"/>
      <c r="H344" s="65" t="n"/>
      <c r="I344" s="65" t="n"/>
      <c r="J344" s="65" t="n"/>
      <c r="K344" s="65" t="n"/>
      <c r="L344" s="65" t="n"/>
      <c r="M344" s="65" t="n"/>
      <c r="N344" s="65" t="n"/>
      <c r="O344" s="65" t="n"/>
      <c r="P344" s="65" t="n"/>
      <c r="Q344" s="65" t="n"/>
      <c r="R344" s="65" t="n"/>
      <c r="S344" s="65" t="n"/>
      <c r="T344" s="65" t="n"/>
      <c r="U344" s="65" t="n"/>
      <c r="V344" s="65" t="n"/>
      <c r="W344" s="65" t="n"/>
      <c r="X344" s="65" t="n"/>
      <c r="Y344" s="32">
        <f>IF($C344="","",IF(COUNTA($I344:$K344)&lt;3,"— חסרים נתונים",IF(AND($I344="תקין",$J344="תקין",$K344="תקין"),"רהוטה",IF(AND($I344="תקין",$J344="תקין"),"מדויקת ורציפה","אינה מדויקת או מקוטעת"))))</f>
        <v/>
      </c>
      <c r="Z344" s="32">
        <f>IF($C344="","",IF(COUNTA($U344:$W344)&lt;3,"",IF(AND($U344="מפותח",$V344="מפותח",$W344="מפותחת"),"מפותחת",IF((--($U344="דל"))+(--($V344="אינו מפותח"))+(--($W344="דלה"))&gt;=2,"אינה מפותחת","חלקית"))))</f>
        <v/>
      </c>
      <c r="AA344" s="32">
        <f>IF($C344="","",IF(COUNTA($M344,$N344,$O344)&lt;3,"— חסרים נתונים",IF(OR($M344="נמוכה",(--($M344&lt;&gt;"תקינה"))+(--($N344&lt;&gt;"תקין"))+(--($O344&lt;&gt;"תקינה"))&gt;=2),"ניכרת","אינה ניכרת")))</f>
        <v/>
      </c>
      <c r="AB344" s="32">
        <f>IF(OR($C344="",$Y344="",$AA344="",LEFT($Y344,1)="—",LEFT($AA344,1)="—"),"",IF($Z344="","— נדרשת הערכת כתיבה",IF($L344="","— חסרה הבנת הנקרא",IF($Y344="אינה מדויקת או מקוטעת",IF($AA344="ניכרת","מיקוד בשטף הקריאה ובכישורי שפה","מיקוד בשטף קריאה"),IF($AA344="ניכרת","מיקוד בכישורי שפה",IF(AND($L344="תקינה",$Z344="מפותחת"),"קוראים וכותבים מיומנים","מיקוד בהבנה והבעה"))))))</f>
        <v/>
      </c>
      <c r="AC344" s="32">
        <f>IF(OR($AB344="",LEFT($AB344,1)="—"),"",IF(OR($AB344="מיקוד בשטף קריאה",$AB344="מיקוד בשטף הקריאה ובכישורי שפה"),"רמה א'",IF($AB344="קוראים וכותבים מיומנים","רמה ג'","רמה ב'")))</f>
        <v/>
      </c>
      <c r="AD344" s="32">
        <f>IF($AC344="","",MID(IF(AND($AC344="רמה א'",$AA344="ניכרת"),"; להוסיף עבודת אוצר מילים","")&amp;IF($Z344="אינה מפותחת","; דגש על הבעה בכתב","")&amp;IF($K344&lt;&gt;"תקין","; נדרש לעבוד על ההנגנה","")&amp;IF($AK344&lt;&gt;"","; "&amp;$AK344,""),3,400))</f>
        <v/>
      </c>
      <c r="AE344" s="32">
        <f>IF($F344="","",IF($F344="תחילת שנה",1,IF($F344="מחצית שנה",2,3)))</f>
        <v/>
      </c>
      <c r="AF344" s="32">
        <f>IF(OR($B344="",$AC344="",$A344="",$F344=""),"",$B344&amp;"|"&amp;$A344&amp;"|"&amp;$F344&amp;"|"&amp;$AC344&amp;"|"&amp;COUNTIFS($B$6:$B344,$B344,$A$6:$A344,$A344,$F$6:$F344,$F344,$AC$6:$AC344,$AC344))</f>
        <v/>
      </c>
      <c r="AG344" s="32">
        <f>IF($C344="","",$C344&amp;"|"&amp;COUNTIFS($C$6:$C344,$C344))</f>
        <v/>
      </c>
      <c r="AH344" s="32">
        <f>IF(OR($C344="",$A344="",$AE344=""),"",$C344&amp;"|"&amp;$A344&amp;"|"&amp;$AE344)</f>
        <v/>
      </c>
      <c r="AI344" s="32">
        <f>IF(OR($C344="",$AE344="",$AE344=1),"",IFERROR(INDEX($AC$6:$AC$1505,MATCH($C344&amp;"|"&amp;$A344&amp;"|"&amp;($AE344-1),$AH$6:$AH$1505,0)),""))</f>
        <v/>
      </c>
      <c r="AJ344" s="32">
        <f>IF(OR($AI344="",$AC344=""),"",IF($AI344=$AC344,"ללא שינוי","מ-"&amp;$AI344&amp;" ל-"&amp;$AC344))</f>
        <v/>
      </c>
      <c r="AK344" s="67" t="n"/>
    </row>
    <row r="345" ht="15.75" customHeight="1" s="58">
      <c r="A345" s="65" t="n"/>
      <c r="B345" s="65" t="n"/>
      <c r="C345" s="66" t="n"/>
      <c r="D345" s="66" t="n"/>
      <c r="E345" s="65" t="n"/>
      <c r="F345" s="65" t="n"/>
      <c r="G345" s="65" t="n"/>
      <c r="H345" s="65" t="n"/>
      <c r="I345" s="65" t="n"/>
      <c r="J345" s="65" t="n"/>
      <c r="K345" s="65" t="n"/>
      <c r="L345" s="65" t="n"/>
      <c r="M345" s="65" t="n"/>
      <c r="N345" s="65" t="n"/>
      <c r="O345" s="65" t="n"/>
      <c r="P345" s="65" t="n"/>
      <c r="Q345" s="65" t="n"/>
      <c r="R345" s="65" t="n"/>
      <c r="S345" s="65" t="n"/>
      <c r="T345" s="65" t="n"/>
      <c r="U345" s="65" t="n"/>
      <c r="V345" s="65" t="n"/>
      <c r="W345" s="65" t="n"/>
      <c r="X345" s="65" t="n"/>
      <c r="Y345" s="32">
        <f>IF($C345="","",IF(COUNTA($I345:$K345)&lt;3,"— חסרים נתונים",IF(AND($I345="תקין",$J345="תקין",$K345="תקין"),"רהוטה",IF(AND($I345="תקין",$J345="תקין"),"מדויקת ורציפה","אינה מדויקת או מקוטעת"))))</f>
        <v/>
      </c>
      <c r="Z345" s="32">
        <f>IF($C345="","",IF(COUNTA($U345:$W345)&lt;3,"",IF(AND($U345="מפותח",$V345="מפותח",$W345="מפותחת"),"מפותחת",IF((--($U345="דל"))+(--($V345="אינו מפותח"))+(--($W345="דלה"))&gt;=2,"אינה מפותחת","חלקית"))))</f>
        <v/>
      </c>
      <c r="AA345" s="32">
        <f>IF($C345="","",IF(COUNTA($M345,$N345,$O345)&lt;3,"— חסרים נתונים",IF(OR($M345="נמוכה",(--($M345&lt;&gt;"תקינה"))+(--($N345&lt;&gt;"תקין"))+(--($O345&lt;&gt;"תקינה"))&gt;=2),"ניכרת","אינה ניכרת")))</f>
        <v/>
      </c>
      <c r="AB345" s="32">
        <f>IF(OR($C345="",$Y345="",$AA345="",LEFT($Y345,1)="—",LEFT($AA345,1)="—"),"",IF($Z345="","— נדרשת הערכת כתיבה",IF($L345="","— חסרה הבנת הנקרא",IF($Y345="אינה מדויקת או מקוטעת",IF($AA345="ניכרת","מיקוד בשטף הקריאה ובכישורי שפה","מיקוד בשטף קריאה"),IF($AA345="ניכרת","מיקוד בכישורי שפה",IF(AND($L345="תקינה",$Z345="מפותחת"),"קוראים וכותבים מיומנים","מיקוד בהבנה והבעה"))))))</f>
        <v/>
      </c>
      <c r="AC345" s="32">
        <f>IF(OR($AB345="",LEFT($AB345,1)="—"),"",IF(OR($AB345="מיקוד בשטף קריאה",$AB345="מיקוד בשטף הקריאה ובכישורי שפה"),"רמה א'",IF($AB345="קוראים וכותבים מיומנים","רמה ג'","רמה ב'")))</f>
        <v/>
      </c>
      <c r="AD345" s="32">
        <f>IF($AC345="","",MID(IF(AND($AC345="רמה א'",$AA345="ניכרת"),"; להוסיף עבודת אוצר מילים","")&amp;IF($Z345="אינה מפותחת","; דגש על הבעה בכתב","")&amp;IF($K345&lt;&gt;"תקין","; נדרש לעבוד על ההנגנה","")&amp;IF($AK345&lt;&gt;"","; "&amp;$AK345,""),3,400))</f>
        <v/>
      </c>
      <c r="AE345" s="32">
        <f>IF($F345="","",IF($F345="תחילת שנה",1,IF($F345="מחצית שנה",2,3)))</f>
        <v/>
      </c>
      <c r="AF345" s="32">
        <f>IF(OR($B345="",$AC345="",$A345="",$F345=""),"",$B345&amp;"|"&amp;$A345&amp;"|"&amp;$F345&amp;"|"&amp;$AC345&amp;"|"&amp;COUNTIFS($B$6:$B345,$B345,$A$6:$A345,$A345,$F$6:$F345,$F345,$AC$6:$AC345,$AC345))</f>
        <v/>
      </c>
      <c r="AG345" s="32">
        <f>IF($C345="","",$C345&amp;"|"&amp;COUNTIFS($C$6:$C345,$C345))</f>
        <v/>
      </c>
      <c r="AH345" s="32">
        <f>IF(OR($C345="",$A345="",$AE345=""),"",$C345&amp;"|"&amp;$A345&amp;"|"&amp;$AE345)</f>
        <v/>
      </c>
      <c r="AI345" s="32">
        <f>IF(OR($C345="",$AE345="",$AE345=1),"",IFERROR(INDEX($AC$6:$AC$1505,MATCH($C345&amp;"|"&amp;$A345&amp;"|"&amp;($AE345-1),$AH$6:$AH$1505,0)),""))</f>
        <v/>
      </c>
      <c r="AJ345" s="32">
        <f>IF(OR($AI345="",$AC345=""),"",IF($AI345=$AC345,"ללא שינוי","מ-"&amp;$AI345&amp;" ל-"&amp;$AC345))</f>
        <v/>
      </c>
      <c r="AK345" s="67" t="n"/>
    </row>
    <row r="346" ht="15.75" customHeight="1" s="58">
      <c r="A346" s="65" t="n"/>
      <c r="B346" s="65" t="n"/>
      <c r="C346" s="66" t="n"/>
      <c r="D346" s="66" t="n"/>
      <c r="E346" s="65" t="n"/>
      <c r="F346" s="65" t="n"/>
      <c r="G346" s="65" t="n"/>
      <c r="H346" s="65" t="n"/>
      <c r="I346" s="65" t="n"/>
      <c r="J346" s="65" t="n"/>
      <c r="K346" s="65" t="n"/>
      <c r="L346" s="65" t="n"/>
      <c r="M346" s="65" t="n"/>
      <c r="N346" s="65" t="n"/>
      <c r="O346" s="65" t="n"/>
      <c r="P346" s="65" t="n"/>
      <c r="Q346" s="65" t="n"/>
      <c r="R346" s="65" t="n"/>
      <c r="S346" s="65" t="n"/>
      <c r="T346" s="65" t="n"/>
      <c r="U346" s="65" t="n"/>
      <c r="V346" s="65" t="n"/>
      <c r="W346" s="65" t="n"/>
      <c r="X346" s="65" t="n"/>
      <c r="Y346" s="32">
        <f>IF($C346="","",IF(COUNTA($I346:$K346)&lt;3,"— חסרים נתונים",IF(AND($I346="תקין",$J346="תקין",$K346="תקין"),"רהוטה",IF(AND($I346="תקין",$J346="תקין"),"מדויקת ורציפה","אינה מדויקת או מקוטעת"))))</f>
        <v/>
      </c>
      <c r="Z346" s="32">
        <f>IF($C346="","",IF(COUNTA($U346:$W346)&lt;3,"",IF(AND($U346="מפותח",$V346="מפותח",$W346="מפותחת"),"מפותחת",IF((--($U346="דל"))+(--($V346="אינו מפותח"))+(--($W346="דלה"))&gt;=2,"אינה מפותחת","חלקית"))))</f>
        <v/>
      </c>
      <c r="AA346" s="32">
        <f>IF($C346="","",IF(COUNTA($M346,$N346,$O346)&lt;3,"— חסרים נתונים",IF(OR($M346="נמוכה",(--($M346&lt;&gt;"תקינה"))+(--($N346&lt;&gt;"תקין"))+(--($O346&lt;&gt;"תקינה"))&gt;=2),"ניכרת","אינה ניכרת")))</f>
        <v/>
      </c>
      <c r="AB346" s="32">
        <f>IF(OR($C346="",$Y346="",$AA346="",LEFT($Y346,1)="—",LEFT($AA346,1)="—"),"",IF($Z346="","— נדרשת הערכת כתיבה",IF($L346="","— חסרה הבנת הנקרא",IF($Y346="אינה מדויקת או מקוטעת",IF($AA346="ניכרת","מיקוד בשטף הקריאה ובכישורי שפה","מיקוד בשטף קריאה"),IF($AA346="ניכרת","מיקוד בכישורי שפה",IF(AND($L346="תקינה",$Z346="מפותחת"),"קוראים וכותבים מיומנים","מיקוד בהבנה והבעה"))))))</f>
        <v/>
      </c>
      <c r="AC346" s="32">
        <f>IF(OR($AB346="",LEFT($AB346,1)="—"),"",IF(OR($AB346="מיקוד בשטף קריאה",$AB346="מיקוד בשטף הקריאה ובכישורי שפה"),"רמה א'",IF($AB346="קוראים וכותבים מיומנים","רמה ג'","רמה ב'")))</f>
        <v/>
      </c>
      <c r="AD346" s="32">
        <f>IF($AC346="","",MID(IF(AND($AC346="רמה א'",$AA346="ניכרת"),"; להוסיף עבודת אוצר מילים","")&amp;IF($Z346="אינה מפותחת","; דגש על הבעה בכתב","")&amp;IF($K346&lt;&gt;"תקין","; נדרש לעבוד על ההנגנה","")&amp;IF($AK346&lt;&gt;"","; "&amp;$AK346,""),3,400))</f>
        <v/>
      </c>
      <c r="AE346" s="32">
        <f>IF($F346="","",IF($F346="תחילת שנה",1,IF($F346="מחצית שנה",2,3)))</f>
        <v/>
      </c>
      <c r="AF346" s="32">
        <f>IF(OR($B346="",$AC346="",$A346="",$F346=""),"",$B346&amp;"|"&amp;$A346&amp;"|"&amp;$F346&amp;"|"&amp;$AC346&amp;"|"&amp;COUNTIFS($B$6:$B346,$B346,$A$6:$A346,$A346,$F$6:$F346,$F346,$AC$6:$AC346,$AC346))</f>
        <v/>
      </c>
      <c r="AG346" s="32">
        <f>IF($C346="","",$C346&amp;"|"&amp;COUNTIFS($C$6:$C346,$C346))</f>
        <v/>
      </c>
      <c r="AH346" s="32">
        <f>IF(OR($C346="",$A346="",$AE346=""),"",$C346&amp;"|"&amp;$A346&amp;"|"&amp;$AE346)</f>
        <v/>
      </c>
      <c r="AI346" s="32">
        <f>IF(OR($C346="",$AE346="",$AE346=1),"",IFERROR(INDEX($AC$6:$AC$1505,MATCH($C346&amp;"|"&amp;$A346&amp;"|"&amp;($AE346-1),$AH$6:$AH$1505,0)),""))</f>
        <v/>
      </c>
      <c r="AJ346" s="32">
        <f>IF(OR($AI346="",$AC346=""),"",IF($AI346=$AC346,"ללא שינוי","מ-"&amp;$AI346&amp;" ל-"&amp;$AC346))</f>
        <v/>
      </c>
      <c r="AK346" s="67" t="n"/>
    </row>
    <row r="347" ht="15.75" customHeight="1" s="58">
      <c r="A347" s="65" t="n"/>
      <c r="B347" s="65" t="n"/>
      <c r="C347" s="66" t="n"/>
      <c r="D347" s="66" t="n"/>
      <c r="E347" s="65" t="n"/>
      <c r="F347" s="65" t="n"/>
      <c r="G347" s="65" t="n"/>
      <c r="H347" s="65" t="n"/>
      <c r="I347" s="65" t="n"/>
      <c r="J347" s="65" t="n"/>
      <c r="K347" s="65" t="n"/>
      <c r="L347" s="65" t="n"/>
      <c r="M347" s="65" t="n"/>
      <c r="N347" s="65" t="n"/>
      <c r="O347" s="65" t="n"/>
      <c r="P347" s="65" t="n"/>
      <c r="Q347" s="65" t="n"/>
      <c r="R347" s="65" t="n"/>
      <c r="S347" s="65" t="n"/>
      <c r="T347" s="65" t="n"/>
      <c r="U347" s="65" t="n"/>
      <c r="V347" s="65" t="n"/>
      <c r="W347" s="65" t="n"/>
      <c r="X347" s="65" t="n"/>
      <c r="Y347" s="32">
        <f>IF($C347="","",IF(COUNTA($I347:$K347)&lt;3,"— חסרים נתונים",IF(AND($I347="תקין",$J347="תקין",$K347="תקין"),"רהוטה",IF(AND($I347="תקין",$J347="תקין"),"מדויקת ורציפה","אינה מדויקת או מקוטעת"))))</f>
        <v/>
      </c>
      <c r="Z347" s="32">
        <f>IF($C347="","",IF(COUNTA($U347:$W347)&lt;3,"",IF(AND($U347="מפותח",$V347="מפותח",$W347="מפותחת"),"מפותחת",IF((--($U347="דל"))+(--($V347="אינו מפותח"))+(--($W347="דלה"))&gt;=2,"אינה מפותחת","חלקית"))))</f>
        <v/>
      </c>
      <c r="AA347" s="32">
        <f>IF($C347="","",IF(COUNTA($M347,$N347,$O347)&lt;3,"— חסרים נתונים",IF(OR($M347="נמוכה",(--($M347&lt;&gt;"תקינה"))+(--($N347&lt;&gt;"תקין"))+(--($O347&lt;&gt;"תקינה"))&gt;=2),"ניכרת","אינה ניכרת")))</f>
        <v/>
      </c>
      <c r="AB347" s="32">
        <f>IF(OR($C347="",$Y347="",$AA347="",LEFT($Y347,1)="—",LEFT($AA347,1)="—"),"",IF($Z347="","— נדרשת הערכת כתיבה",IF($L347="","— חסרה הבנת הנקרא",IF($Y347="אינה מדויקת או מקוטעת",IF($AA347="ניכרת","מיקוד בשטף הקריאה ובכישורי שפה","מיקוד בשטף קריאה"),IF($AA347="ניכרת","מיקוד בכישורי שפה",IF(AND($L347="תקינה",$Z347="מפותחת"),"קוראים וכותבים מיומנים","מיקוד בהבנה והבעה"))))))</f>
        <v/>
      </c>
      <c r="AC347" s="32">
        <f>IF(OR($AB347="",LEFT($AB347,1)="—"),"",IF(OR($AB347="מיקוד בשטף קריאה",$AB347="מיקוד בשטף הקריאה ובכישורי שפה"),"רמה א'",IF($AB347="קוראים וכותבים מיומנים","רמה ג'","רמה ב'")))</f>
        <v/>
      </c>
      <c r="AD347" s="32">
        <f>IF($AC347="","",MID(IF(AND($AC347="רמה א'",$AA347="ניכרת"),"; להוסיף עבודת אוצר מילים","")&amp;IF($Z347="אינה מפותחת","; דגש על הבעה בכתב","")&amp;IF($K347&lt;&gt;"תקין","; נדרש לעבוד על ההנגנה","")&amp;IF($AK347&lt;&gt;"","; "&amp;$AK347,""),3,400))</f>
        <v/>
      </c>
      <c r="AE347" s="32">
        <f>IF($F347="","",IF($F347="תחילת שנה",1,IF($F347="מחצית שנה",2,3)))</f>
        <v/>
      </c>
      <c r="AF347" s="32">
        <f>IF(OR($B347="",$AC347="",$A347="",$F347=""),"",$B347&amp;"|"&amp;$A347&amp;"|"&amp;$F347&amp;"|"&amp;$AC347&amp;"|"&amp;COUNTIFS($B$6:$B347,$B347,$A$6:$A347,$A347,$F$6:$F347,$F347,$AC$6:$AC347,$AC347))</f>
        <v/>
      </c>
      <c r="AG347" s="32">
        <f>IF($C347="","",$C347&amp;"|"&amp;COUNTIFS($C$6:$C347,$C347))</f>
        <v/>
      </c>
      <c r="AH347" s="32">
        <f>IF(OR($C347="",$A347="",$AE347=""),"",$C347&amp;"|"&amp;$A347&amp;"|"&amp;$AE347)</f>
        <v/>
      </c>
      <c r="AI347" s="32">
        <f>IF(OR($C347="",$AE347="",$AE347=1),"",IFERROR(INDEX($AC$6:$AC$1505,MATCH($C347&amp;"|"&amp;$A347&amp;"|"&amp;($AE347-1),$AH$6:$AH$1505,0)),""))</f>
        <v/>
      </c>
      <c r="AJ347" s="32">
        <f>IF(OR($AI347="",$AC347=""),"",IF($AI347=$AC347,"ללא שינוי","מ-"&amp;$AI347&amp;" ל-"&amp;$AC347))</f>
        <v/>
      </c>
      <c r="AK347" s="67" t="n"/>
    </row>
    <row r="348" ht="15.75" customHeight="1" s="58">
      <c r="A348" s="65" t="n"/>
      <c r="B348" s="65" t="n"/>
      <c r="C348" s="66" t="n"/>
      <c r="D348" s="66" t="n"/>
      <c r="E348" s="65" t="n"/>
      <c r="F348" s="65" t="n"/>
      <c r="G348" s="65" t="n"/>
      <c r="H348" s="65" t="n"/>
      <c r="I348" s="65" t="n"/>
      <c r="J348" s="65" t="n"/>
      <c r="K348" s="65" t="n"/>
      <c r="L348" s="65" t="n"/>
      <c r="M348" s="65" t="n"/>
      <c r="N348" s="65" t="n"/>
      <c r="O348" s="65" t="n"/>
      <c r="P348" s="65" t="n"/>
      <c r="Q348" s="65" t="n"/>
      <c r="R348" s="65" t="n"/>
      <c r="S348" s="65" t="n"/>
      <c r="T348" s="65" t="n"/>
      <c r="U348" s="65" t="n"/>
      <c r="V348" s="65" t="n"/>
      <c r="W348" s="65" t="n"/>
      <c r="X348" s="65" t="n"/>
      <c r="Y348" s="32">
        <f>IF($C348="","",IF(COUNTA($I348:$K348)&lt;3,"— חסרים נתונים",IF(AND($I348="תקין",$J348="תקין",$K348="תקין"),"רהוטה",IF(AND($I348="תקין",$J348="תקין"),"מדויקת ורציפה","אינה מדויקת או מקוטעת"))))</f>
        <v/>
      </c>
      <c r="Z348" s="32">
        <f>IF($C348="","",IF(COUNTA($U348:$W348)&lt;3,"",IF(AND($U348="מפותח",$V348="מפותח",$W348="מפותחת"),"מפותחת",IF((--($U348="דל"))+(--($V348="אינו מפותח"))+(--($W348="דלה"))&gt;=2,"אינה מפותחת","חלקית"))))</f>
        <v/>
      </c>
      <c r="AA348" s="32">
        <f>IF($C348="","",IF(COUNTA($M348,$N348,$O348)&lt;3,"— חסרים נתונים",IF(OR($M348="נמוכה",(--($M348&lt;&gt;"תקינה"))+(--($N348&lt;&gt;"תקין"))+(--($O348&lt;&gt;"תקינה"))&gt;=2),"ניכרת","אינה ניכרת")))</f>
        <v/>
      </c>
      <c r="AB348" s="32">
        <f>IF(OR($C348="",$Y348="",$AA348="",LEFT($Y348,1)="—",LEFT($AA348,1)="—"),"",IF($Z348="","— נדרשת הערכת כתיבה",IF($L348="","— חסרה הבנת הנקרא",IF($Y348="אינה מדויקת או מקוטעת",IF($AA348="ניכרת","מיקוד בשטף הקריאה ובכישורי שפה","מיקוד בשטף קריאה"),IF($AA348="ניכרת","מיקוד בכישורי שפה",IF(AND($L348="תקינה",$Z348="מפותחת"),"קוראים וכותבים מיומנים","מיקוד בהבנה והבעה"))))))</f>
        <v/>
      </c>
      <c r="AC348" s="32">
        <f>IF(OR($AB348="",LEFT($AB348,1)="—"),"",IF(OR($AB348="מיקוד בשטף קריאה",$AB348="מיקוד בשטף הקריאה ובכישורי שפה"),"רמה א'",IF($AB348="קוראים וכותבים מיומנים","רמה ג'","רמה ב'")))</f>
        <v/>
      </c>
      <c r="AD348" s="32">
        <f>IF($AC348="","",MID(IF(AND($AC348="רמה א'",$AA348="ניכרת"),"; להוסיף עבודת אוצר מילים","")&amp;IF($Z348="אינה מפותחת","; דגש על הבעה בכתב","")&amp;IF($K348&lt;&gt;"תקין","; נדרש לעבוד על ההנגנה","")&amp;IF($AK348&lt;&gt;"","; "&amp;$AK348,""),3,400))</f>
        <v/>
      </c>
      <c r="AE348" s="32">
        <f>IF($F348="","",IF($F348="תחילת שנה",1,IF($F348="מחצית שנה",2,3)))</f>
        <v/>
      </c>
      <c r="AF348" s="32">
        <f>IF(OR($B348="",$AC348="",$A348="",$F348=""),"",$B348&amp;"|"&amp;$A348&amp;"|"&amp;$F348&amp;"|"&amp;$AC348&amp;"|"&amp;COUNTIFS($B$6:$B348,$B348,$A$6:$A348,$A348,$F$6:$F348,$F348,$AC$6:$AC348,$AC348))</f>
        <v/>
      </c>
      <c r="AG348" s="32">
        <f>IF($C348="","",$C348&amp;"|"&amp;COUNTIFS($C$6:$C348,$C348))</f>
        <v/>
      </c>
      <c r="AH348" s="32">
        <f>IF(OR($C348="",$A348="",$AE348=""),"",$C348&amp;"|"&amp;$A348&amp;"|"&amp;$AE348)</f>
        <v/>
      </c>
      <c r="AI348" s="32">
        <f>IF(OR($C348="",$AE348="",$AE348=1),"",IFERROR(INDEX($AC$6:$AC$1505,MATCH($C348&amp;"|"&amp;$A348&amp;"|"&amp;($AE348-1),$AH$6:$AH$1505,0)),""))</f>
        <v/>
      </c>
      <c r="AJ348" s="32">
        <f>IF(OR($AI348="",$AC348=""),"",IF($AI348=$AC348,"ללא שינוי","מ-"&amp;$AI348&amp;" ל-"&amp;$AC348))</f>
        <v/>
      </c>
      <c r="AK348" s="67" t="n"/>
    </row>
    <row r="349" ht="15.75" customHeight="1" s="58">
      <c r="A349" s="65" t="n"/>
      <c r="B349" s="65" t="n"/>
      <c r="C349" s="66" t="n"/>
      <c r="D349" s="66" t="n"/>
      <c r="E349" s="65" t="n"/>
      <c r="F349" s="65" t="n"/>
      <c r="G349" s="65" t="n"/>
      <c r="H349" s="65" t="n"/>
      <c r="I349" s="65" t="n"/>
      <c r="J349" s="65" t="n"/>
      <c r="K349" s="65" t="n"/>
      <c r="L349" s="65" t="n"/>
      <c r="M349" s="65" t="n"/>
      <c r="N349" s="65" t="n"/>
      <c r="O349" s="65" t="n"/>
      <c r="P349" s="65" t="n"/>
      <c r="Q349" s="65" t="n"/>
      <c r="R349" s="65" t="n"/>
      <c r="S349" s="65" t="n"/>
      <c r="T349" s="65" t="n"/>
      <c r="U349" s="65" t="n"/>
      <c r="V349" s="65" t="n"/>
      <c r="W349" s="65" t="n"/>
      <c r="X349" s="65" t="n"/>
      <c r="Y349" s="32">
        <f>IF($C349="","",IF(COUNTA($I349:$K349)&lt;3,"— חסרים נתונים",IF(AND($I349="תקין",$J349="תקין",$K349="תקין"),"רהוטה",IF(AND($I349="תקין",$J349="תקין"),"מדויקת ורציפה","אינה מדויקת או מקוטעת"))))</f>
        <v/>
      </c>
      <c r="Z349" s="32">
        <f>IF($C349="","",IF(COUNTA($U349:$W349)&lt;3,"",IF(AND($U349="מפותח",$V349="מפותח",$W349="מפותחת"),"מפותחת",IF((--($U349="דל"))+(--($V349="אינו מפותח"))+(--($W349="דלה"))&gt;=2,"אינה מפותחת","חלקית"))))</f>
        <v/>
      </c>
      <c r="AA349" s="32">
        <f>IF($C349="","",IF(COUNTA($M349,$N349,$O349)&lt;3,"— חסרים נתונים",IF(OR($M349="נמוכה",(--($M349&lt;&gt;"תקינה"))+(--($N349&lt;&gt;"תקין"))+(--($O349&lt;&gt;"תקינה"))&gt;=2),"ניכרת","אינה ניכרת")))</f>
        <v/>
      </c>
      <c r="AB349" s="32">
        <f>IF(OR($C349="",$Y349="",$AA349="",LEFT($Y349,1)="—",LEFT($AA349,1)="—"),"",IF($Z349="","— נדרשת הערכת כתיבה",IF($L349="","— חסרה הבנת הנקרא",IF($Y349="אינה מדויקת או מקוטעת",IF($AA349="ניכרת","מיקוד בשטף הקריאה ובכישורי שפה","מיקוד בשטף קריאה"),IF($AA349="ניכרת","מיקוד בכישורי שפה",IF(AND($L349="תקינה",$Z349="מפותחת"),"קוראים וכותבים מיומנים","מיקוד בהבנה והבעה"))))))</f>
        <v/>
      </c>
      <c r="AC349" s="32">
        <f>IF(OR($AB349="",LEFT($AB349,1)="—"),"",IF(OR($AB349="מיקוד בשטף קריאה",$AB349="מיקוד בשטף הקריאה ובכישורי שפה"),"רמה א'",IF($AB349="קוראים וכותבים מיומנים","רמה ג'","רמה ב'")))</f>
        <v/>
      </c>
      <c r="AD349" s="32">
        <f>IF($AC349="","",MID(IF(AND($AC349="רמה א'",$AA349="ניכרת"),"; להוסיף עבודת אוצר מילים","")&amp;IF($Z349="אינה מפותחת","; דגש על הבעה בכתב","")&amp;IF($K349&lt;&gt;"תקין","; נדרש לעבוד על ההנגנה","")&amp;IF($AK349&lt;&gt;"","; "&amp;$AK349,""),3,400))</f>
        <v/>
      </c>
      <c r="AE349" s="32">
        <f>IF($F349="","",IF($F349="תחילת שנה",1,IF($F349="מחצית שנה",2,3)))</f>
        <v/>
      </c>
      <c r="AF349" s="32">
        <f>IF(OR($B349="",$AC349="",$A349="",$F349=""),"",$B349&amp;"|"&amp;$A349&amp;"|"&amp;$F349&amp;"|"&amp;$AC349&amp;"|"&amp;COUNTIFS($B$6:$B349,$B349,$A$6:$A349,$A349,$F$6:$F349,$F349,$AC$6:$AC349,$AC349))</f>
        <v/>
      </c>
      <c r="AG349" s="32">
        <f>IF($C349="","",$C349&amp;"|"&amp;COUNTIFS($C$6:$C349,$C349))</f>
        <v/>
      </c>
      <c r="AH349" s="32">
        <f>IF(OR($C349="",$A349="",$AE349=""),"",$C349&amp;"|"&amp;$A349&amp;"|"&amp;$AE349)</f>
        <v/>
      </c>
      <c r="AI349" s="32">
        <f>IF(OR($C349="",$AE349="",$AE349=1),"",IFERROR(INDEX($AC$6:$AC$1505,MATCH($C349&amp;"|"&amp;$A349&amp;"|"&amp;($AE349-1),$AH$6:$AH$1505,0)),""))</f>
        <v/>
      </c>
      <c r="AJ349" s="32">
        <f>IF(OR($AI349="",$AC349=""),"",IF($AI349=$AC349,"ללא שינוי","מ-"&amp;$AI349&amp;" ל-"&amp;$AC349))</f>
        <v/>
      </c>
      <c r="AK349" s="67" t="n"/>
    </row>
    <row r="350" ht="15.75" customHeight="1" s="58">
      <c r="A350" s="65" t="n"/>
      <c r="B350" s="65" t="n"/>
      <c r="C350" s="66" t="n"/>
      <c r="D350" s="66" t="n"/>
      <c r="E350" s="65" t="n"/>
      <c r="F350" s="65" t="n"/>
      <c r="G350" s="65" t="n"/>
      <c r="H350" s="65" t="n"/>
      <c r="I350" s="65" t="n"/>
      <c r="J350" s="65" t="n"/>
      <c r="K350" s="65" t="n"/>
      <c r="L350" s="65" t="n"/>
      <c r="M350" s="65" t="n"/>
      <c r="N350" s="65" t="n"/>
      <c r="O350" s="65" t="n"/>
      <c r="P350" s="65" t="n"/>
      <c r="Q350" s="65" t="n"/>
      <c r="R350" s="65" t="n"/>
      <c r="S350" s="65" t="n"/>
      <c r="T350" s="65" t="n"/>
      <c r="U350" s="65" t="n"/>
      <c r="V350" s="65" t="n"/>
      <c r="W350" s="65" t="n"/>
      <c r="X350" s="65" t="n"/>
      <c r="Y350" s="32">
        <f>IF($C350="","",IF(COUNTA($I350:$K350)&lt;3,"— חסרים נתונים",IF(AND($I350="תקין",$J350="תקין",$K350="תקין"),"רהוטה",IF(AND($I350="תקין",$J350="תקין"),"מדויקת ורציפה","אינה מדויקת או מקוטעת"))))</f>
        <v/>
      </c>
      <c r="Z350" s="32">
        <f>IF($C350="","",IF(COUNTA($U350:$W350)&lt;3,"",IF(AND($U350="מפותח",$V350="מפותח",$W350="מפותחת"),"מפותחת",IF((--($U350="דל"))+(--($V350="אינו מפותח"))+(--($W350="דלה"))&gt;=2,"אינה מפותחת","חלקית"))))</f>
        <v/>
      </c>
      <c r="AA350" s="32">
        <f>IF($C350="","",IF(COUNTA($M350,$N350,$O350)&lt;3,"— חסרים נתונים",IF(OR($M350="נמוכה",(--($M350&lt;&gt;"תקינה"))+(--($N350&lt;&gt;"תקין"))+(--($O350&lt;&gt;"תקינה"))&gt;=2),"ניכרת","אינה ניכרת")))</f>
        <v/>
      </c>
      <c r="AB350" s="32">
        <f>IF(OR($C350="",$Y350="",$AA350="",LEFT($Y350,1)="—",LEFT($AA350,1)="—"),"",IF($Z350="","— נדרשת הערכת כתיבה",IF($L350="","— חסרה הבנת הנקרא",IF($Y350="אינה מדויקת או מקוטעת",IF($AA350="ניכרת","מיקוד בשטף הקריאה ובכישורי שפה","מיקוד בשטף קריאה"),IF($AA350="ניכרת","מיקוד בכישורי שפה",IF(AND($L350="תקינה",$Z350="מפותחת"),"קוראים וכותבים מיומנים","מיקוד בהבנה והבעה"))))))</f>
        <v/>
      </c>
      <c r="AC350" s="32">
        <f>IF(OR($AB350="",LEFT($AB350,1)="—"),"",IF(OR($AB350="מיקוד בשטף קריאה",$AB350="מיקוד בשטף הקריאה ובכישורי שפה"),"רמה א'",IF($AB350="קוראים וכותבים מיומנים","רמה ג'","רמה ב'")))</f>
        <v/>
      </c>
      <c r="AD350" s="32">
        <f>IF($AC350="","",MID(IF(AND($AC350="רמה א'",$AA350="ניכרת"),"; להוסיף עבודת אוצר מילים","")&amp;IF($Z350="אינה מפותחת","; דגש על הבעה בכתב","")&amp;IF($K350&lt;&gt;"תקין","; נדרש לעבוד על ההנגנה","")&amp;IF($AK350&lt;&gt;"","; "&amp;$AK350,""),3,400))</f>
        <v/>
      </c>
      <c r="AE350" s="32">
        <f>IF($F350="","",IF($F350="תחילת שנה",1,IF($F350="מחצית שנה",2,3)))</f>
        <v/>
      </c>
      <c r="AF350" s="32">
        <f>IF(OR($B350="",$AC350="",$A350="",$F350=""),"",$B350&amp;"|"&amp;$A350&amp;"|"&amp;$F350&amp;"|"&amp;$AC350&amp;"|"&amp;COUNTIFS($B$6:$B350,$B350,$A$6:$A350,$A350,$F$6:$F350,$F350,$AC$6:$AC350,$AC350))</f>
        <v/>
      </c>
      <c r="AG350" s="32">
        <f>IF($C350="","",$C350&amp;"|"&amp;COUNTIFS($C$6:$C350,$C350))</f>
        <v/>
      </c>
      <c r="AH350" s="32">
        <f>IF(OR($C350="",$A350="",$AE350=""),"",$C350&amp;"|"&amp;$A350&amp;"|"&amp;$AE350)</f>
        <v/>
      </c>
      <c r="AI350" s="32">
        <f>IF(OR($C350="",$AE350="",$AE350=1),"",IFERROR(INDEX($AC$6:$AC$1505,MATCH($C350&amp;"|"&amp;$A350&amp;"|"&amp;($AE350-1),$AH$6:$AH$1505,0)),""))</f>
        <v/>
      </c>
      <c r="AJ350" s="32">
        <f>IF(OR($AI350="",$AC350=""),"",IF($AI350=$AC350,"ללא שינוי","מ-"&amp;$AI350&amp;" ל-"&amp;$AC350))</f>
        <v/>
      </c>
      <c r="AK350" s="67" t="n"/>
    </row>
    <row r="351" ht="15.75" customHeight="1" s="58">
      <c r="A351" s="65" t="n"/>
      <c r="B351" s="65" t="n"/>
      <c r="C351" s="66" t="n"/>
      <c r="D351" s="66" t="n"/>
      <c r="E351" s="65" t="n"/>
      <c r="F351" s="65" t="n"/>
      <c r="G351" s="65" t="n"/>
      <c r="H351" s="65" t="n"/>
      <c r="I351" s="65" t="n"/>
      <c r="J351" s="65" t="n"/>
      <c r="K351" s="65" t="n"/>
      <c r="L351" s="65" t="n"/>
      <c r="M351" s="65" t="n"/>
      <c r="N351" s="65" t="n"/>
      <c r="O351" s="65" t="n"/>
      <c r="P351" s="65" t="n"/>
      <c r="Q351" s="65" t="n"/>
      <c r="R351" s="65" t="n"/>
      <c r="S351" s="65" t="n"/>
      <c r="T351" s="65" t="n"/>
      <c r="U351" s="65" t="n"/>
      <c r="V351" s="65" t="n"/>
      <c r="W351" s="65" t="n"/>
      <c r="X351" s="65" t="n"/>
      <c r="Y351" s="32">
        <f>IF($C351="","",IF(COUNTA($I351:$K351)&lt;3,"— חסרים נתונים",IF(AND($I351="תקין",$J351="תקין",$K351="תקין"),"רהוטה",IF(AND($I351="תקין",$J351="תקין"),"מדויקת ורציפה","אינה מדויקת או מקוטעת"))))</f>
        <v/>
      </c>
      <c r="Z351" s="32">
        <f>IF($C351="","",IF(COUNTA($U351:$W351)&lt;3,"",IF(AND($U351="מפותח",$V351="מפותח",$W351="מפותחת"),"מפותחת",IF((--($U351="דל"))+(--($V351="אינו מפותח"))+(--($W351="דלה"))&gt;=2,"אינה מפותחת","חלקית"))))</f>
        <v/>
      </c>
      <c r="AA351" s="32">
        <f>IF($C351="","",IF(COUNTA($M351,$N351,$O351)&lt;3,"— חסרים נתונים",IF(OR($M351="נמוכה",(--($M351&lt;&gt;"תקינה"))+(--($N351&lt;&gt;"תקין"))+(--($O351&lt;&gt;"תקינה"))&gt;=2),"ניכרת","אינה ניכרת")))</f>
        <v/>
      </c>
      <c r="AB351" s="32">
        <f>IF(OR($C351="",$Y351="",$AA351="",LEFT($Y351,1)="—",LEFT($AA351,1)="—"),"",IF($Z351="","— נדרשת הערכת כתיבה",IF($L351="","— חסרה הבנת הנקרא",IF($Y351="אינה מדויקת או מקוטעת",IF($AA351="ניכרת","מיקוד בשטף הקריאה ובכישורי שפה","מיקוד בשטף קריאה"),IF($AA351="ניכרת","מיקוד בכישורי שפה",IF(AND($L351="תקינה",$Z351="מפותחת"),"קוראים וכותבים מיומנים","מיקוד בהבנה והבעה"))))))</f>
        <v/>
      </c>
      <c r="AC351" s="32">
        <f>IF(OR($AB351="",LEFT($AB351,1)="—"),"",IF(OR($AB351="מיקוד בשטף קריאה",$AB351="מיקוד בשטף הקריאה ובכישורי שפה"),"רמה א'",IF($AB351="קוראים וכותבים מיומנים","רמה ג'","רמה ב'")))</f>
        <v/>
      </c>
      <c r="AD351" s="32">
        <f>IF($AC351="","",MID(IF(AND($AC351="רמה א'",$AA351="ניכרת"),"; להוסיף עבודת אוצר מילים","")&amp;IF($Z351="אינה מפותחת","; דגש על הבעה בכתב","")&amp;IF($K351&lt;&gt;"תקין","; נדרש לעבוד על ההנגנה","")&amp;IF($AK351&lt;&gt;"","; "&amp;$AK351,""),3,400))</f>
        <v/>
      </c>
      <c r="AE351" s="32">
        <f>IF($F351="","",IF($F351="תחילת שנה",1,IF($F351="מחצית שנה",2,3)))</f>
        <v/>
      </c>
      <c r="AF351" s="32">
        <f>IF(OR($B351="",$AC351="",$A351="",$F351=""),"",$B351&amp;"|"&amp;$A351&amp;"|"&amp;$F351&amp;"|"&amp;$AC351&amp;"|"&amp;COUNTIFS($B$6:$B351,$B351,$A$6:$A351,$A351,$F$6:$F351,$F351,$AC$6:$AC351,$AC351))</f>
        <v/>
      </c>
      <c r="AG351" s="32">
        <f>IF($C351="","",$C351&amp;"|"&amp;COUNTIFS($C$6:$C351,$C351))</f>
        <v/>
      </c>
      <c r="AH351" s="32">
        <f>IF(OR($C351="",$A351="",$AE351=""),"",$C351&amp;"|"&amp;$A351&amp;"|"&amp;$AE351)</f>
        <v/>
      </c>
      <c r="AI351" s="32">
        <f>IF(OR($C351="",$AE351="",$AE351=1),"",IFERROR(INDEX($AC$6:$AC$1505,MATCH($C351&amp;"|"&amp;$A351&amp;"|"&amp;($AE351-1),$AH$6:$AH$1505,0)),""))</f>
        <v/>
      </c>
      <c r="AJ351" s="32">
        <f>IF(OR($AI351="",$AC351=""),"",IF($AI351=$AC351,"ללא שינוי","מ-"&amp;$AI351&amp;" ל-"&amp;$AC351))</f>
        <v/>
      </c>
      <c r="AK351" s="67" t="n"/>
    </row>
    <row r="352" ht="15.75" customHeight="1" s="58">
      <c r="A352" s="65" t="n"/>
      <c r="B352" s="65" t="n"/>
      <c r="C352" s="66" t="n"/>
      <c r="D352" s="66" t="n"/>
      <c r="E352" s="65" t="n"/>
      <c r="F352" s="65" t="n"/>
      <c r="G352" s="65" t="n"/>
      <c r="H352" s="65" t="n"/>
      <c r="I352" s="65" t="n"/>
      <c r="J352" s="65" t="n"/>
      <c r="K352" s="65" t="n"/>
      <c r="L352" s="65" t="n"/>
      <c r="M352" s="65" t="n"/>
      <c r="N352" s="65" t="n"/>
      <c r="O352" s="65" t="n"/>
      <c r="P352" s="65" t="n"/>
      <c r="Q352" s="65" t="n"/>
      <c r="R352" s="65" t="n"/>
      <c r="S352" s="65" t="n"/>
      <c r="T352" s="65" t="n"/>
      <c r="U352" s="65" t="n"/>
      <c r="V352" s="65" t="n"/>
      <c r="W352" s="65" t="n"/>
      <c r="X352" s="65" t="n"/>
      <c r="Y352" s="32">
        <f>IF($C352="","",IF(COUNTA($I352:$K352)&lt;3,"— חסרים נתונים",IF(AND($I352="תקין",$J352="תקין",$K352="תקין"),"רהוטה",IF(AND($I352="תקין",$J352="תקין"),"מדויקת ורציפה","אינה מדויקת או מקוטעת"))))</f>
        <v/>
      </c>
      <c r="Z352" s="32">
        <f>IF($C352="","",IF(COUNTA($U352:$W352)&lt;3,"",IF(AND($U352="מפותח",$V352="מפותח",$W352="מפותחת"),"מפותחת",IF((--($U352="דל"))+(--($V352="אינו מפותח"))+(--($W352="דלה"))&gt;=2,"אינה מפותחת","חלקית"))))</f>
        <v/>
      </c>
      <c r="AA352" s="32">
        <f>IF($C352="","",IF(COUNTA($M352,$N352,$O352)&lt;3,"— חסרים נתונים",IF(OR($M352="נמוכה",(--($M352&lt;&gt;"תקינה"))+(--($N352&lt;&gt;"תקין"))+(--($O352&lt;&gt;"תקינה"))&gt;=2),"ניכרת","אינה ניכרת")))</f>
        <v/>
      </c>
      <c r="AB352" s="32">
        <f>IF(OR($C352="",$Y352="",$AA352="",LEFT($Y352,1)="—",LEFT($AA352,1)="—"),"",IF($Z352="","— נדרשת הערכת כתיבה",IF($L352="","— חסרה הבנת הנקרא",IF($Y352="אינה מדויקת או מקוטעת",IF($AA352="ניכרת","מיקוד בשטף הקריאה ובכישורי שפה","מיקוד בשטף קריאה"),IF($AA352="ניכרת","מיקוד בכישורי שפה",IF(AND($L352="תקינה",$Z352="מפותחת"),"קוראים וכותבים מיומנים","מיקוד בהבנה והבעה"))))))</f>
        <v/>
      </c>
      <c r="AC352" s="32">
        <f>IF(OR($AB352="",LEFT($AB352,1)="—"),"",IF(OR($AB352="מיקוד בשטף קריאה",$AB352="מיקוד בשטף הקריאה ובכישורי שפה"),"רמה א'",IF($AB352="קוראים וכותבים מיומנים","רמה ג'","רמה ב'")))</f>
        <v/>
      </c>
      <c r="AD352" s="32">
        <f>IF($AC352="","",MID(IF(AND($AC352="רמה א'",$AA352="ניכרת"),"; להוסיף עבודת אוצר מילים","")&amp;IF($Z352="אינה מפותחת","; דגש על הבעה בכתב","")&amp;IF($K352&lt;&gt;"תקין","; נדרש לעבוד על ההנגנה","")&amp;IF($AK352&lt;&gt;"","; "&amp;$AK352,""),3,400))</f>
        <v/>
      </c>
      <c r="AE352" s="32">
        <f>IF($F352="","",IF($F352="תחילת שנה",1,IF($F352="מחצית שנה",2,3)))</f>
        <v/>
      </c>
      <c r="AF352" s="32">
        <f>IF(OR($B352="",$AC352="",$A352="",$F352=""),"",$B352&amp;"|"&amp;$A352&amp;"|"&amp;$F352&amp;"|"&amp;$AC352&amp;"|"&amp;COUNTIFS($B$6:$B352,$B352,$A$6:$A352,$A352,$F$6:$F352,$F352,$AC$6:$AC352,$AC352))</f>
        <v/>
      </c>
      <c r="AG352" s="32">
        <f>IF($C352="","",$C352&amp;"|"&amp;COUNTIFS($C$6:$C352,$C352))</f>
        <v/>
      </c>
      <c r="AH352" s="32">
        <f>IF(OR($C352="",$A352="",$AE352=""),"",$C352&amp;"|"&amp;$A352&amp;"|"&amp;$AE352)</f>
        <v/>
      </c>
      <c r="AI352" s="32">
        <f>IF(OR($C352="",$AE352="",$AE352=1),"",IFERROR(INDEX($AC$6:$AC$1505,MATCH($C352&amp;"|"&amp;$A352&amp;"|"&amp;($AE352-1),$AH$6:$AH$1505,0)),""))</f>
        <v/>
      </c>
      <c r="AJ352" s="32">
        <f>IF(OR($AI352="",$AC352=""),"",IF($AI352=$AC352,"ללא שינוי","מ-"&amp;$AI352&amp;" ל-"&amp;$AC352))</f>
        <v/>
      </c>
      <c r="AK352" s="67" t="n"/>
    </row>
    <row r="353" ht="15.75" customHeight="1" s="58">
      <c r="A353" s="65" t="n"/>
      <c r="B353" s="65" t="n"/>
      <c r="C353" s="66" t="n"/>
      <c r="D353" s="66" t="n"/>
      <c r="E353" s="65" t="n"/>
      <c r="F353" s="65" t="n"/>
      <c r="G353" s="65" t="n"/>
      <c r="H353" s="65" t="n"/>
      <c r="I353" s="65" t="n"/>
      <c r="J353" s="65" t="n"/>
      <c r="K353" s="65" t="n"/>
      <c r="L353" s="65" t="n"/>
      <c r="M353" s="65" t="n"/>
      <c r="N353" s="65" t="n"/>
      <c r="O353" s="65" t="n"/>
      <c r="P353" s="65" t="n"/>
      <c r="Q353" s="65" t="n"/>
      <c r="R353" s="65" t="n"/>
      <c r="S353" s="65" t="n"/>
      <c r="T353" s="65" t="n"/>
      <c r="U353" s="65" t="n"/>
      <c r="V353" s="65" t="n"/>
      <c r="W353" s="65" t="n"/>
      <c r="X353" s="65" t="n"/>
      <c r="Y353" s="32">
        <f>IF($C353="","",IF(COUNTA($I353:$K353)&lt;3,"— חסרים נתונים",IF(AND($I353="תקין",$J353="תקין",$K353="תקין"),"רהוטה",IF(AND($I353="תקין",$J353="תקין"),"מדויקת ורציפה","אינה מדויקת או מקוטעת"))))</f>
        <v/>
      </c>
      <c r="Z353" s="32">
        <f>IF($C353="","",IF(COUNTA($U353:$W353)&lt;3,"",IF(AND($U353="מפותח",$V353="מפותח",$W353="מפותחת"),"מפותחת",IF((--($U353="דל"))+(--($V353="אינו מפותח"))+(--($W353="דלה"))&gt;=2,"אינה מפותחת","חלקית"))))</f>
        <v/>
      </c>
      <c r="AA353" s="32">
        <f>IF($C353="","",IF(COUNTA($M353,$N353,$O353)&lt;3,"— חסרים נתונים",IF(OR($M353="נמוכה",(--($M353&lt;&gt;"תקינה"))+(--($N353&lt;&gt;"תקין"))+(--($O353&lt;&gt;"תקינה"))&gt;=2),"ניכרת","אינה ניכרת")))</f>
        <v/>
      </c>
      <c r="AB353" s="32">
        <f>IF(OR($C353="",$Y353="",$AA353="",LEFT($Y353,1)="—",LEFT($AA353,1)="—"),"",IF($Z353="","— נדרשת הערכת כתיבה",IF($L353="","— חסרה הבנת הנקרא",IF($Y353="אינה מדויקת או מקוטעת",IF($AA353="ניכרת","מיקוד בשטף הקריאה ובכישורי שפה","מיקוד בשטף קריאה"),IF($AA353="ניכרת","מיקוד בכישורי שפה",IF(AND($L353="תקינה",$Z353="מפותחת"),"קוראים וכותבים מיומנים","מיקוד בהבנה והבעה"))))))</f>
        <v/>
      </c>
      <c r="AC353" s="32">
        <f>IF(OR($AB353="",LEFT($AB353,1)="—"),"",IF(OR($AB353="מיקוד בשטף קריאה",$AB353="מיקוד בשטף הקריאה ובכישורי שפה"),"רמה א'",IF($AB353="קוראים וכותבים מיומנים","רמה ג'","רמה ב'")))</f>
        <v/>
      </c>
      <c r="AD353" s="32">
        <f>IF($AC353="","",MID(IF(AND($AC353="רמה א'",$AA353="ניכרת"),"; להוסיף עבודת אוצר מילים","")&amp;IF($Z353="אינה מפותחת","; דגש על הבעה בכתב","")&amp;IF($K353&lt;&gt;"תקין","; נדרש לעבוד על ההנגנה","")&amp;IF($AK353&lt;&gt;"","; "&amp;$AK353,""),3,400))</f>
        <v/>
      </c>
      <c r="AE353" s="32">
        <f>IF($F353="","",IF($F353="תחילת שנה",1,IF($F353="מחצית שנה",2,3)))</f>
        <v/>
      </c>
      <c r="AF353" s="32">
        <f>IF(OR($B353="",$AC353="",$A353="",$F353=""),"",$B353&amp;"|"&amp;$A353&amp;"|"&amp;$F353&amp;"|"&amp;$AC353&amp;"|"&amp;COUNTIFS($B$6:$B353,$B353,$A$6:$A353,$A353,$F$6:$F353,$F353,$AC$6:$AC353,$AC353))</f>
        <v/>
      </c>
      <c r="AG353" s="32">
        <f>IF($C353="","",$C353&amp;"|"&amp;COUNTIFS($C$6:$C353,$C353))</f>
        <v/>
      </c>
      <c r="AH353" s="32">
        <f>IF(OR($C353="",$A353="",$AE353=""),"",$C353&amp;"|"&amp;$A353&amp;"|"&amp;$AE353)</f>
        <v/>
      </c>
      <c r="AI353" s="32">
        <f>IF(OR($C353="",$AE353="",$AE353=1),"",IFERROR(INDEX($AC$6:$AC$1505,MATCH($C353&amp;"|"&amp;$A353&amp;"|"&amp;($AE353-1),$AH$6:$AH$1505,0)),""))</f>
        <v/>
      </c>
      <c r="AJ353" s="32">
        <f>IF(OR($AI353="",$AC353=""),"",IF($AI353=$AC353,"ללא שינוי","מ-"&amp;$AI353&amp;" ל-"&amp;$AC353))</f>
        <v/>
      </c>
      <c r="AK353" s="67" t="n"/>
    </row>
    <row r="354" ht="15.75" customHeight="1" s="58">
      <c r="A354" s="65" t="n"/>
      <c r="B354" s="65" t="n"/>
      <c r="C354" s="66" t="n"/>
      <c r="D354" s="66" t="n"/>
      <c r="E354" s="65" t="n"/>
      <c r="F354" s="65" t="n"/>
      <c r="G354" s="65" t="n"/>
      <c r="H354" s="65" t="n"/>
      <c r="I354" s="65" t="n"/>
      <c r="J354" s="65" t="n"/>
      <c r="K354" s="65" t="n"/>
      <c r="L354" s="65" t="n"/>
      <c r="M354" s="65" t="n"/>
      <c r="N354" s="65" t="n"/>
      <c r="O354" s="65" t="n"/>
      <c r="P354" s="65" t="n"/>
      <c r="Q354" s="65" t="n"/>
      <c r="R354" s="65" t="n"/>
      <c r="S354" s="65" t="n"/>
      <c r="T354" s="65" t="n"/>
      <c r="U354" s="65" t="n"/>
      <c r="V354" s="65" t="n"/>
      <c r="W354" s="65" t="n"/>
      <c r="X354" s="65" t="n"/>
      <c r="Y354" s="32">
        <f>IF($C354="","",IF(COUNTA($I354:$K354)&lt;3,"— חסרים נתונים",IF(AND($I354="תקין",$J354="תקין",$K354="תקין"),"רהוטה",IF(AND($I354="תקין",$J354="תקין"),"מדויקת ורציפה","אינה מדויקת או מקוטעת"))))</f>
        <v/>
      </c>
      <c r="Z354" s="32">
        <f>IF($C354="","",IF(COUNTA($U354:$W354)&lt;3,"",IF(AND($U354="מפותח",$V354="מפותח",$W354="מפותחת"),"מפותחת",IF((--($U354="דל"))+(--($V354="אינו מפותח"))+(--($W354="דלה"))&gt;=2,"אינה מפותחת","חלקית"))))</f>
        <v/>
      </c>
      <c r="AA354" s="32">
        <f>IF($C354="","",IF(COUNTA($M354,$N354,$O354)&lt;3,"— חסרים נתונים",IF(OR($M354="נמוכה",(--($M354&lt;&gt;"תקינה"))+(--($N354&lt;&gt;"תקין"))+(--($O354&lt;&gt;"תקינה"))&gt;=2),"ניכרת","אינה ניכרת")))</f>
        <v/>
      </c>
      <c r="AB354" s="32">
        <f>IF(OR($C354="",$Y354="",$AA354="",LEFT($Y354,1)="—",LEFT($AA354,1)="—"),"",IF($Z354="","— נדרשת הערכת כתיבה",IF($L354="","— חסרה הבנת הנקרא",IF($Y354="אינה מדויקת או מקוטעת",IF($AA354="ניכרת","מיקוד בשטף הקריאה ובכישורי שפה","מיקוד בשטף קריאה"),IF($AA354="ניכרת","מיקוד בכישורי שפה",IF(AND($L354="תקינה",$Z354="מפותחת"),"קוראים וכותבים מיומנים","מיקוד בהבנה והבעה"))))))</f>
        <v/>
      </c>
      <c r="AC354" s="32">
        <f>IF(OR($AB354="",LEFT($AB354,1)="—"),"",IF(OR($AB354="מיקוד בשטף קריאה",$AB354="מיקוד בשטף הקריאה ובכישורי שפה"),"רמה א'",IF($AB354="קוראים וכותבים מיומנים","רמה ג'","רמה ב'")))</f>
        <v/>
      </c>
      <c r="AD354" s="32">
        <f>IF($AC354="","",MID(IF(AND($AC354="רמה א'",$AA354="ניכרת"),"; להוסיף עבודת אוצר מילים","")&amp;IF($Z354="אינה מפותחת","; דגש על הבעה בכתב","")&amp;IF($K354&lt;&gt;"תקין","; נדרש לעבוד על ההנגנה","")&amp;IF($AK354&lt;&gt;"","; "&amp;$AK354,""),3,400))</f>
        <v/>
      </c>
      <c r="AE354" s="32">
        <f>IF($F354="","",IF($F354="תחילת שנה",1,IF($F354="מחצית שנה",2,3)))</f>
        <v/>
      </c>
      <c r="AF354" s="32">
        <f>IF(OR($B354="",$AC354="",$A354="",$F354=""),"",$B354&amp;"|"&amp;$A354&amp;"|"&amp;$F354&amp;"|"&amp;$AC354&amp;"|"&amp;COUNTIFS($B$6:$B354,$B354,$A$6:$A354,$A354,$F$6:$F354,$F354,$AC$6:$AC354,$AC354))</f>
        <v/>
      </c>
      <c r="AG354" s="32">
        <f>IF($C354="","",$C354&amp;"|"&amp;COUNTIFS($C$6:$C354,$C354))</f>
        <v/>
      </c>
      <c r="AH354" s="32">
        <f>IF(OR($C354="",$A354="",$AE354=""),"",$C354&amp;"|"&amp;$A354&amp;"|"&amp;$AE354)</f>
        <v/>
      </c>
      <c r="AI354" s="32">
        <f>IF(OR($C354="",$AE354="",$AE354=1),"",IFERROR(INDEX($AC$6:$AC$1505,MATCH($C354&amp;"|"&amp;$A354&amp;"|"&amp;($AE354-1),$AH$6:$AH$1505,0)),""))</f>
        <v/>
      </c>
      <c r="AJ354" s="32">
        <f>IF(OR($AI354="",$AC354=""),"",IF($AI354=$AC354,"ללא שינוי","מ-"&amp;$AI354&amp;" ל-"&amp;$AC354))</f>
        <v/>
      </c>
      <c r="AK354" s="67" t="n"/>
    </row>
    <row r="355" ht="15.75" customHeight="1" s="58">
      <c r="A355" s="65" t="n"/>
      <c r="B355" s="65" t="n"/>
      <c r="C355" s="66" t="n"/>
      <c r="D355" s="66" t="n"/>
      <c r="E355" s="65" t="n"/>
      <c r="F355" s="65" t="n"/>
      <c r="G355" s="65" t="n"/>
      <c r="H355" s="65" t="n"/>
      <c r="I355" s="65" t="n"/>
      <c r="J355" s="65" t="n"/>
      <c r="K355" s="65" t="n"/>
      <c r="L355" s="65" t="n"/>
      <c r="M355" s="65" t="n"/>
      <c r="N355" s="65" t="n"/>
      <c r="O355" s="65" t="n"/>
      <c r="P355" s="65" t="n"/>
      <c r="Q355" s="65" t="n"/>
      <c r="R355" s="65" t="n"/>
      <c r="S355" s="65" t="n"/>
      <c r="T355" s="65" t="n"/>
      <c r="U355" s="65" t="n"/>
      <c r="V355" s="65" t="n"/>
      <c r="W355" s="65" t="n"/>
      <c r="X355" s="65" t="n"/>
      <c r="Y355" s="32">
        <f>IF($C355="","",IF(COUNTA($I355:$K355)&lt;3,"— חסרים נתונים",IF(AND($I355="תקין",$J355="תקין",$K355="תקין"),"רהוטה",IF(AND($I355="תקין",$J355="תקין"),"מדויקת ורציפה","אינה מדויקת או מקוטעת"))))</f>
        <v/>
      </c>
      <c r="Z355" s="32">
        <f>IF($C355="","",IF(COUNTA($U355:$W355)&lt;3,"",IF(AND($U355="מפותח",$V355="מפותח",$W355="מפותחת"),"מפותחת",IF((--($U355="דל"))+(--($V355="אינו מפותח"))+(--($W355="דלה"))&gt;=2,"אינה מפותחת","חלקית"))))</f>
        <v/>
      </c>
      <c r="AA355" s="32">
        <f>IF($C355="","",IF(COUNTA($M355,$N355,$O355)&lt;3,"— חסרים נתונים",IF(OR($M355="נמוכה",(--($M355&lt;&gt;"תקינה"))+(--($N355&lt;&gt;"תקין"))+(--($O355&lt;&gt;"תקינה"))&gt;=2),"ניכרת","אינה ניכרת")))</f>
        <v/>
      </c>
      <c r="AB355" s="32">
        <f>IF(OR($C355="",$Y355="",$AA355="",LEFT($Y355,1)="—",LEFT($AA355,1)="—"),"",IF($Z355="","— נדרשת הערכת כתיבה",IF($L355="","— חסרה הבנת הנקרא",IF($Y355="אינה מדויקת או מקוטעת",IF($AA355="ניכרת","מיקוד בשטף הקריאה ובכישורי שפה","מיקוד בשטף קריאה"),IF($AA355="ניכרת","מיקוד בכישורי שפה",IF(AND($L355="תקינה",$Z355="מפותחת"),"קוראים וכותבים מיומנים","מיקוד בהבנה והבעה"))))))</f>
        <v/>
      </c>
      <c r="AC355" s="32">
        <f>IF(OR($AB355="",LEFT($AB355,1)="—"),"",IF(OR($AB355="מיקוד בשטף קריאה",$AB355="מיקוד בשטף הקריאה ובכישורי שפה"),"רמה א'",IF($AB355="קוראים וכותבים מיומנים","רמה ג'","רמה ב'")))</f>
        <v/>
      </c>
      <c r="AD355" s="32">
        <f>IF($AC355="","",MID(IF(AND($AC355="רמה א'",$AA355="ניכרת"),"; להוסיף עבודת אוצר מילים","")&amp;IF($Z355="אינה מפותחת","; דגש על הבעה בכתב","")&amp;IF($K355&lt;&gt;"תקין","; נדרש לעבוד על ההנגנה","")&amp;IF($AK355&lt;&gt;"","; "&amp;$AK355,""),3,400))</f>
        <v/>
      </c>
      <c r="AE355" s="32">
        <f>IF($F355="","",IF($F355="תחילת שנה",1,IF($F355="מחצית שנה",2,3)))</f>
        <v/>
      </c>
      <c r="AF355" s="32">
        <f>IF(OR($B355="",$AC355="",$A355="",$F355=""),"",$B355&amp;"|"&amp;$A355&amp;"|"&amp;$F355&amp;"|"&amp;$AC355&amp;"|"&amp;COUNTIFS($B$6:$B355,$B355,$A$6:$A355,$A355,$F$6:$F355,$F355,$AC$6:$AC355,$AC355))</f>
        <v/>
      </c>
      <c r="AG355" s="32">
        <f>IF($C355="","",$C355&amp;"|"&amp;COUNTIFS($C$6:$C355,$C355))</f>
        <v/>
      </c>
      <c r="AH355" s="32">
        <f>IF(OR($C355="",$A355="",$AE355=""),"",$C355&amp;"|"&amp;$A355&amp;"|"&amp;$AE355)</f>
        <v/>
      </c>
      <c r="AI355" s="32">
        <f>IF(OR($C355="",$AE355="",$AE355=1),"",IFERROR(INDEX($AC$6:$AC$1505,MATCH($C355&amp;"|"&amp;$A355&amp;"|"&amp;($AE355-1),$AH$6:$AH$1505,0)),""))</f>
        <v/>
      </c>
      <c r="AJ355" s="32">
        <f>IF(OR($AI355="",$AC355=""),"",IF($AI355=$AC355,"ללא שינוי","מ-"&amp;$AI355&amp;" ל-"&amp;$AC355))</f>
        <v/>
      </c>
      <c r="AK355" s="67" t="n"/>
    </row>
    <row r="356" ht="15.75" customHeight="1" s="58">
      <c r="A356" s="65" t="n"/>
      <c r="B356" s="65" t="n"/>
      <c r="C356" s="66" t="n"/>
      <c r="D356" s="66" t="n"/>
      <c r="E356" s="65" t="n"/>
      <c r="F356" s="65" t="n"/>
      <c r="G356" s="65" t="n"/>
      <c r="H356" s="65" t="n"/>
      <c r="I356" s="65" t="n"/>
      <c r="J356" s="65" t="n"/>
      <c r="K356" s="65" t="n"/>
      <c r="L356" s="65" t="n"/>
      <c r="M356" s="65" t="n"/>
      <c r="N356" s="65" t="n"/>
      <c r="O356" s="65" t="n"/>
      <c r="P356" s="65" t="n"/>
      <c r="Q356" s="65" t="n"/>
      <c r="R356" s="65" t="n"/>
      <c r="S356" s="65" t="n"/>
      <c r="T356" s="65" t="n"/>
      <c r="U356" s="65" t="n"/>
      <c r="V356" s="65" t="n"/>
      <c r="W356" s="65" t="n"/>
      <c r="X356" s="65" t="n"/>
      <c r="Y356" s="32">
        <f>IF($C356="","",IF(COUNTA($I356:$K356)&lt;3,"— חסרים נתונים",IF(AND($I356="תקין",$J356="תקין",$K356="תקין"),"רהוטה",IF(AND($I356="תקין",$J356="תקין"),"מדויקת ורציפה","אינה מדויקת או מקוטעת"))))</f>
        <v/>
      </c>
      <c r="Z356" s="32">
        <f>IF($C356="","",IF(COUNTA($U356:$W356)&lt;3,"",IF(AND($U356="מפותח",$V356="מפותח",$W356="מפותחת"),"מפותחת",IF((--($U356="דל"))+(--($V356="אינו מפותח"))+(--($W356="דלה"))&gt;=2,"אינה מפותחת","חלקית"))))</f>
        <v/>
      </c>
      <c r="AA356" s="32">
        <f>IF($C356="","",IF(COUNTA($M356,$N356,$O356)&lt;3,"— חסרים נתונים",IF(OR($M356="נמוכה",(--($M356&lt;&gt;"תקינה"))+(--($N356&lt;&gt;"תקין"))+(--($O356&lt;&gt;"תקינה"))&gt;=2),"ניכרת","אינה ניכרת")))</f>
        <v/>
      </c>
      <c r="AB356" s="32">
        <f>IF(OR($C356="",$Y356="",$AA356="",LEFT($Y356,1)="—",LEFT($AA356,1)="—"),"",IF($Z356="","— נדרשת הערכת כתיבה",IF($L356="","— חסרה הבנת הנקרא",IF($Y356="אינה מדויקת או מקוטעת",IF($AA356="ניכרת","מיקוד בשטף הקריאה ובכישורי שפה","מיקוד בשטף קריאה"),IF($AA356="ניכרת","מיקוד בכישורי שפה",IF(AND($L356="תקינה",$Z356="מפותחת"),"קוראים וכותבים מיומנים","מיקוד בהבנה והבעה"))))))</f>
        <v/>
      </c>
      <c r="AC356" s="32">
        <f>IF(OR($AB356="",LEFT($AB356,1)="—"),"",IF(OR($AB356="מיקוד בשטף קריאה",$AB356="מיקוד בשטף הקריאה ובכישורי שפה"),"רמה א'",IF($AB356="קוראים וכותבים מיומנים","רמה ג'","רמה ב'")))</f>
        <v/>
      </c>
      <c r="AD356" s="32">
        <f>IF($AC356="","",MID(IF(AND($AC356="רמה א'",$AA356="ניכרת"),"; להוסיף עבודת אוצר מילים","")&amp;IF($Z356="אינה מפותחת","; דגש על הבעה בכתב","")&amp;IF($K356&lt;&gt;"תקין","; נדרש לעבוד על ההנגנה","")&amp;IF($AK356&lt;&gt;"","; "&amp;$AK356,""),3,400))</f>
        <v/>
      </c>
      <c r="AE356" s="32">
        <f>IF($F356="","",IF($F356="תחילת שנה",1,IF($F356="מחצית שנה",2,3)))</f>
        <v/>
      </c>
      <c r="AF356" s="32">
        <f>IF(OR($B356="",$AC356="",$A356="",$F356=""),"",$B356&amp;"|"&amp;$A356&amp;"|"&amp;$F356&amp;"|"&amp;$AC356&amp;"|"&amp;COUNTIFS($B$6:$B356,$B356,$A$6:$A356,$A356,$F$6:$F356,$F356,$AC$6:$AC356,$AC356))</f>
        <v/>
      </c>
      <c r="AG356" s="32">
        <f>IF($C356="","",$C356&amp;"|"&amp;COUNTIFS($C$6:$C356,$C356))</f>
        <v/>
      </c>
      <c r="AH356" s="32">
        <f>IF(OR($C356="",$A356="",$AE356=""),"",$C356&amp;"|"&amp;$A356&amp;"|"&amp;$AE356)</f>
        <v/>
      </c>
      <c r="AI356" s="32">
        <f>IF(OR($C356="",$AE356="",$AE356=1),"",IFERROR(INDEX($AC$6:$AC$1505,MATCH($C356&amp;"|"&amp;$A356&amp;"|"&amp;($AE356-1),$AH$6:$AH$1505,0)),""))</f>
        <v/>
      </c>
      <c r="AJ356" s="32">
        <f>IF(OR($AI356="",$AC356=""),"",IF($AI356=$AC356,"ללא שינוי","מ-"&amp;$AI356&amp;" ל-"&amp;$AC356))</f>
        <v/>
      </c>
      <c r="AK356" s="67" t="n"/>
    </row>
    <row r="357" ht="15.75" customHeight="1" s="58">
      <c r="A357" s="65" t="n"/>
      <c r="B357" s="65" t="n"/>
      <c r="C357" s="66" t="n"/>
      <c r="D357" s="66" t="n"/>
      <c r="E357" s="65" t="n"/>
      <c r="F357" s="65" t="n"/>
      <c r="G357" s="65" t="n"/>
      <c r="H357" s="65" t="n"/>
      <c r="I357" s="65" t="n"/>
      <c r="J357" s="65" t="n"/>
      <c r="K357" s="65" t="n"/>
      <c r="L357" s="65" t="n"/>
      <c r="M357" s="65" t="n"/>
      <c r="N357" s="65" t="n"/>
      <c r="O357" s="65" t="n"/>
      <c r="P357" s="65" t="n"/>
      <c r="Q357" s="65" t="n"/>
      <c r="R357" s="65" t="n"/>
      <c r="S357" s="65" t="n"/>
      <c r="T357" s="65" t="n"/>
      <c r="U357" s="65" t="n"/>
      <c r="V357" s="65" t="n"/>
      <c r="W357" s="65" t="n"/>
      <c r="X357" s="65" t="n"/>
      <c r="Y357" s="32">
        <f>IF($C357="","",IF(COUNTA($I357:$K357)&lt;3,"— חסרים נתונים",IF(AND($I357="תקין",$J357="תקין",$K357="תקין"),"רהוטה",IF(AND($I357="תקין",$J357="תקין"),"מדויקת ורציפה","אינה מדויקת או מקוטעת"))))</f>
        <v/>
      </c>
      <c r="Z357" s="32">
        <f>IF($C357="","",IF(COUNTA($U357:$W357)&lt;3,"",IF(AND($U357="מפותח",$V357="מפותח",$W357="מפותחת"),"מפותחת",IF((--($U357="דל"))+(--($V357="אינו מפותח"))+(--($W357="דלה"))&gt;=2,"אינה מפותחת","חלקית"))))</f>
        <v/>
      </c>
      <c r="AA357" s="32">
        <f>IF($C357="","",IF(COUNTA($M357,$N357,$O357)&lt;3,"— חסרים נתונים",IF(OR($M357="נמוכה",(--($M357&lt;&gt;"תקינה"))+(--($N357&lt;&gt;"תקין"))+(--($O357&lt;&gt;"תקינה"))&gt;=2),"ניכרת","אינה ניכרת")))</f>
        <v/>
      </c>
      <c r="AB357" s="32">
        <f>IF(OR($C357="",$Y357="",$AA357="",LEFT($Y357,1)="—",LEFT($AA357,1)="—"),"",IF($Z357="","— נדרשת הערכת כתיבה",IF($L357="","— חסרה הבנת הנקרא",IF($Y357="אינה מדויקת או מקוטעת",IF($AA357="ניכרת","מיקוד בשטף הקריאה ובכישורי שפה","מיקוד בשטף קריאה"),IF($AA357="ניכרת","מיקוד בכישורי שפה",IF(AND($L357="תקינה",$Z357="מפותחת"),"קוראים וכותבים מיומנים","מיקוד בהבנה והבעה"))))))</f>
        <v/>
      </c>
      <c r="AC357" s="32">
        <f>IF(OR($AB357="",LEFT($AB357,1)="—"),"",IF(OR($AB357="מיקוד בשטף קריאה",$AB357="מיקוד בשטף הקריאה ובכישורי שפה"),"רמה א'",IF($AB357="קוראים וכותבים מיומנים","רמה ג'","רמה ב'")))</f>
        <v/>
      </c>
      <c r="AD357" s="32">
        <f>IF($AC357="","",MID(IF(AND($AC357="רמה א'",$AA357="ניכרת"),"; להוסיף עבודת אוצר מילים","")&amp;IF($Z357="אינה מפותחת","; דגש על הבעה בכתב","")&amp;IF($K357&lt;&gt;"תקין","; נדרש לעבוד על ההנגנה","")&amp;IF($AK357&lt;&gt;"","; "&amp;$AK357,""),3,400))</f>
        <v/>
      </c>
      <c r="AE357" s="32">
        <f>IF($F357="","",IF($F357="תחילת שנה",1,IF($F357="מחצית שנה",2,3)))</f>
        <v/>
      </c>
      <c r="AF357" s="32">
        <f>IF(OR($B357="",$AC357="",$A357="",$F357=""),"",$B357&amp;"|"&amp;$A357&amp;"|"&amp;$F357&amp;"|"&amp;$AC357&amp;"|"&amp;COUNTIFS($B$6:$B357,$B357,$A$6:$A357,$A357,$F$6:$F357,$F357,$AC$6:$AC357,$AC357))</f>
        <v/>
      </c>
      <c r="AG357" s="32">
        <f>IF($C357="","",$C357&amp;"|"&amp;COUNTIFS($C$6:$C357,$C357))</f>
        <v/>
      </c>
      <c r="AH357" s="32">
        <f>IF(OR($C357="",$A357="",$AE357=""),"",$C357&amp;"|"&amp;$A357&amp;"|"&amp;$AE357)</f>
        <v/>
      </c>
      <c r="AI357" s="32">
        <f>IF(OR($C357="",$AE357="",$AE357=1),"",IFERROR(INDEX($AC$6:$AC$1505,MATCH($C357&amp;"|"&amp;$A357&amp;"|"&amp;($AE357-1),$AH$6:$AH$1505,0)),""))</f>
        <v/>
      </c>
      <c r="AJ357" s="32">
        <f>IF(OR($AI357="",$AC357=""),"",IF($AI357=$AC357,"ללא שינוי","מ-"&amp;$AI357&amp;" ל-"&amp;$AC357))</f>
        <v/>
      </c>
      <c r="AK357" s="67" t="n"/>
    </row>
    <row r="358" ht="15.75" customHeight="1" s="58">
      <c r="A358" s="65" t="n"/>
      <c r="B358" s="65" t="n"/>
      <c r="C358" s="66" t="n"/>
      <c r="D358" s="66" t="n"/>
      <c r="E358" s="65" t="n"/>
      <c r="F358" s="65" t="n"/>
      <c r="G358" s="65" t="n"/>
      <c r="H358" s="65" t="n"/>
      <c r="I358" s="65" t="n"/>
      <c r="J358" s="65" t="n"/>
      <c r="K358" s="65" t="n"/>
      <c r="L358" s="65" t="n"/>
      <c r="M358" s="65" t="n"/>
      <c r="N358" s="65" t="n"/>
      <c r="O358" s="65" t="n"/>
      <c r="P358" s="65" t="n"/>
      <c r="Q358" s="65" t="n"/>
      <c r="R358" s="65" t="n"/>
      <c r="S358" s="65" t="n"/>
      <c r="T358" s="65" t="n"/>
      <c r="U358" s="65" t="n"/>
      <c r="V358" s="65" t="n"/>
      <c r="W358" s="65" t="n"/>
      <c r="X358" s="65" t="n"/>
      <c r="Y358" s="32">
        <f>IF($C358="","",IF(COUNTA($I358:$K358)&lt;3,"— חסרים נתונים",IF(AND($I358="תקין",$J358="תקין",$K358="תקין"),"רהוטה",IF(AND($I358="תקין",$J358="תקין"),"מדויקת ורציפה","אינה מדויקת או מקוטעת"))))</f>
        <v/>
      </c>
      <c r="Z358" s="32">
        <f>IF($C358="","",IF(COUNTA($U358:$W358)&lt;3,"",IF(AND($U358="מפותח",$V358="מפותח",$W358="מפותחת"),"מפותחת",IF((--($U358="דל"))+(--($V358="אינו מפותח"))+(--($W358="דלה"))&gt;=2,"אינה מפותחת","חלקית"))))</f>
        <v/>
      </c>
      <c r="AA358" s="32">
        <f>IF($C358="","",IF(COUNTA($M358,$N358,$O358)&lt;3,"— חסרים נתונים",IF(OR($M358="נמוכה",(--($M358&lt;&gt;"תקינה"))+(--($N358&lt;&gt;"תקין"))+(--($O358&lt;&gt;"תקינה"))&gt;=2),"ניכרת","אינה ניכרת")))</f>
        <v/>
      </c>
      <c r="AB358" s="32">
        <f>IF(OR($C358="",$Y358="",$AA358="",LEFT($Y358,1)="—",LEFT($AA358,1)="—"),"",IF($Z358="","— נדרשת הערכת כתיבה",IF($L358="","— חסרה הבנת הנקרא",IF($Y358="אינה מדויקת או מקוטעת",IF($AA358="ניכרת","מיקוד בשטף הקריאה ובכישורי שפה","מיקוד בשטף קריאה"),IF($AA358="ניכרת","מיקוד בכישורי שפה",IF(AND($L358="תקינה",$Z358="מפותחת"),"קוראים וכותבים מיומנים","מיקוד בהבנה והבעה"))))))</f>
        <v/>
      </c>
      <c r="AC358" s="32">
        <f>IF(OR($AB358="",LEFT($AB358,1)="—"),"",IF(OR($AB358="מיקוד בשטף קריאה",$AB358="מיקוד בשטף הקריאה ובכישורי שפה"),"רמה א'",IF($AB358="קוראים וכותבים מיומנים","רמה ג'","רמה ב'")))</f>
        <v/>
      </c>
      <c r="AD358" s="32">
        <f>IF($AC358="","",MID(IF(AND($AC358="רמה א'",$AA358="ניכרת"),"; להוסיף עבודת אוצר מילים","")&amp;IF($Z358="אינה מפותחת","; דגש על הבעה בכתב","")&amp;IF($K358&lt;&gt;"תקין","; נדרש לעבוד על ההנגנה","")&amp;IF($AK358&lt;&gt;"","; "&amp;$AK358,""),3,400))</f>
        <v/>
      </c>
      <c r="AE358" s="32">
        <f>IF($F358="","",IF($F358="תחילת שנה",1,IF($F358="מחצית שנה",2,3)))</f>
        <v/>
      </c>
      <c r="AF358" s="32">
        <f>IF(OR($B358="",$AC358="",$A358="",$F358=""),"",$B358&amp;"|"&amp;$A358&amp;"|"&amp;$F358&amp;"|"&amp;$AC358&amp;"|"&amp;COUNTIFS($B$6:$B358,$B358,$A$6:$A358,$A358,$F$6:$F358,$F358,$AC$6:$AC358,$AC358))</f>
        <v/>
      </c>
      <c r="AG358" s="32">
        <f>IF($C358="","",$C358&amp;"|"&amp;COUNTIFS($C$6:$C358,$C358))</f>
        <v/>
      </c>
      <c r="AH358" s="32">
        <f>IF(OR($C358="",$A358="",$AE358=""),"",$C358&amp;"|"&amp;$A358&amp;"|"&amp;$AE358)</f>
        <v/>
      </c>
      <c r="AI358" s="32">
        <f>IF(OR($C358="",$AE358="",$AE358=1),"",IFERROR(INDEX($AC$6:$AC$1505,MATCH($C358&amp;"|"&amp;$A358&amp;"|"&amp;($AE358-1),$AH$6:$AH$1505,0)),""))</f>
        <v/>
      </c>
      <c r="AJ358" s="32">
        <f>IF(OR($AI358="",$AC358=""),"",IF($AI358=$AC358,"ללא שינוי","מ-"&amp;$AI358&amp;" ל-"&amp;$AC358))</f>
        <v/>
      </c>
      <c r="AK358" s="67" t="n"/>
    </row>
    <row r="359" ht="15.75" customHeight="1" s="58">
      <c r="A359" s="65" t="n"/>
      <c r="B359" s="65" t="n"/>
      <c r="C359" s="66" t="n"/>
      <c r="D359" s="66" t="n"/>
      <c r="E359" s="65" t="n"/>
      <c r="F359" s="65" t="n"/>
      <c r="G359" s="65" t="n"/>
      <c r="H359" s="65" t="n"/>
      <c r="I359" s="65" t="n"/>
      <c r="J359" s="65" t="n"/>
      <c r="K359" s="65" t="n"/>
      <c r="L359" s="65" t="n"/>
      <c r="M359" s="65" t="n"/>
      <c r="N359" s="65" t="n"/>
      <c r="O359" s="65" t="n"/>
      <c r="P359" s="65" t="n"/>
      <c r="Q359" s="65" t="n"/>
      <c r="R359" s="65" t="n"/>
      <c r="S359" s="65" t="n"/>
      <c r="T359" s="65" t="n"/>
      <c r="U359" s="65" t="n"/>
      <c r="V359" s="65" t="n"/>
      <c r="W359" s="65" t="n"/>
      <c r="X359" s="65" t="n"/>
      <c r="Y359" s="32">
        <f>IF($C359="","",IF(COUNTA($I359:$K359)&lt;3,"— חסרים נתונים",IF(AND($I359="תקין",$J359="תקין",$K359="תקין"),"רהוטה",IF(AND($I359="תקין",$J359="תקין"),"מדויקת ורציפה","אינה מדויקת או מקוטעת"))))</f>
        <v/>
      </c>
      <c r="Z359" s="32">
        <f>IF($C359="","",IF(COUNTA($U359:$W359)&lt;3,"",IF(AND($U359="מפותח",$V359="מפותח",$W359="מפותחת"),"מפותחת",IF((--($U359="דל"))+(--($V359="אינו מפותח"))+(--($W359="דלה"))&gt;=2,"אינה מפותחת","חלקית"))))</f>
        <v/>
      </c>
      <c r="AA359" s="32">
        <f>IF($C359="","",IF(COUNTA($M359,$N359,$O359)&lt;3,"— חסרים נתונים",IF(OR($M359="נמוכה",(--($M359&lt;&gt;"תקינה"))+(--($N359&lt;&gt;"תקין"))+(--($O359&lt;&gt;"תקינה"))&gt;=2),"ניכרת","אינה ניכרת")))</f>
        <v/>
      </c>
      <c r="AB359" s="32">
        <f>IF(OR($C359="",$Y359="",$AA359="",LEFT($Y359,1)="—",LEFT($AA359,1)="—"),"",IF($Z359="","— נדרשת הערכת כתיבה",IF($L359="","— חסרה הבנת הנקרא",IF($Y359="אינה מדויקת או מקוטעת",IF($AA359="ניכרת","מיקוד בשטף הקריאה ובכישורי שפה","מיקוד בשטף קריאה"),IF($AA359="ניכרת","מיקוד בכישורי שפה",IF(AND($L359="תקינה",$Z359="מפותחת"),"קוראים וכותבים מיומנים","מיקוד בהבנה והבעה"))))))</f>
        <v/>
      </c>
      <c r="AC359" s="32">
        <f>IF(OR($AB359="",LEFT($AB359,1)="—"),"",IF(OR($AB359="מיקוד בשטף קריאה",$AB359="מיקוד בשטף הקריאה ובכישורי שפה"),"רמה א'",IF($AB359="קוראים וכותבים מיומנים","רמה ג'","רמה ב'")))</f>
        <v/>
      </c>
      <c r="AD359" s="32">
        <f>IF($AC359="","",MID(IF(AND($AC359="רמה א'",$AA359="ניכרת"),"; להוסיף עבודת אוצר מילים","")&amp;IF($Z359="אינה מפותחת","; דגש על הבעה בכתב","")&amp;IF($K359&lt;&gt;"תקין","; נדרש לעבוד על ההנגנה","")&amp;IF($AK359&lt;&gt;"","; "&amp;$AK359,""),3,400))</f>
        <v/>
      </c>
      <c r="AE359" s="32">
        <f>IF($F359="","",IF($F359="תחילת שנה",1,IF($F359="מחצית שנה",2,3)))</f>
        <v/>
      </c>
      <c r="AF359" s="32">
        <f>IF(OR($B359="",$AC359="",$A359="",$F359=""),"",$B359&amp;"|"&amp;$A359&amp;"|"&amp;$F359&amp;"|"&amp;$AC359&amp;"|"&amp;COUNTIFS($B$6:$B359,$B359,$A$6:$A359,$A359,$F$6:$F359,$F359,$AC$6:$AC359,$AC359))</f>
        <v/>
      </c>
      <c r="AG359" s="32">
        <f>IF($C359="","",$C359&amp;"|"&amp;COUNTIFS($C$6:$C359,$C359))</f>
        <v/>
      </c>
      <c r="AH359" s="32">
        <f>IF(OR($C359="",$A359="",$AE359=""),"",$C359&amp;"|"&amp;$A359&amp;"|"&amp;$AE359)</f>
        <v/>
      </c>
      <c r="AI359" s="32">
        <f>IF(OR($C359="",$AE359="",$AE359=1),"",IFERROR(INDEX($AC$6:$AC$1505,MATCH($C359&amp;"|"&amp;$A359&amp;"|"&amp;($AE359-1),$AH$6:$AH$1505,0)),""))</f>
        <v/>
      </c>
      <c r="AJ359" s="32">
        <f>IF(OR($AI359="",$AC359=""),"",IF($AI359=$AC359,"ללא שינוי","מ-"&amp;$AI359&amp;" ל-"&amp;$AC359))</f>
        <v/>
      </c>
      <c r="AK359" s="67" t="n"/>
    </row>
    <row r="360" ht="15.75" customHeight="1" s="58">
      <c r="A360" s="65" t="n"/>
      <c r="B360" s="65" t="n"/>
      <c r="C360" s="66" t="n"/>
      <c r="D360" s="66" t="n"/>
      <c r="E360" s="65" t="n"/>
      <c r="F360" s="65" t="n"/>
      <c r="G360" s="65" t="n"/>
      <c r="H360" s="65" t="n"/>
      <c r="I360" s="65" t="n"/>
      <c r="J360" s="65" t="n"/>
      <c r="K360" s="65" t="n"/>
      <c r="L360" s="65" t="n"/>
      <c r="M360" s="65" t="n"/>
      <c r="N360" s="65" t="n"/>
      <c r="O360" s="65" t="n"/>
      <c r="P360" s="65" t="n"/>
      <c r="Q360" s="65" t="n"/>
      <c r="R360" s="65" t="n"/>
      <c r="S360" s="65" t="n"/>
      <c r="T360" s="65" t="n"/>
      <c r="U360" s="65" t="n"/>
      <c r="V360" s="65" t="n"/>
      <c r="W360" s="65" t="n"/>
      <c r="X360" s="65" t="n"/>
      <c r="Y360" s="32">
        <f>IF($C360="","",IF(COUNTA($I360:$K360)&lt;3,"— חסרים נתונים",IF(AND($I360="תקין",$J360="תקין",$K360="תקין"),"רהוטה",IF(AND($I360="תקין",$J360="תקין"),"מדויקת ורציפה","אינה מדויקת או מקוטעת"))))</f>
        <v/>
      </c>
      <c r="Z360" s="32">
        <f>IF($C360="","",IF(COUNTA($U360:$W360)&lt;3,"",IF(AND($U360="מפותח",$V360="מפותח",$W360="מפותחת"),"מפותחת",IF((--($U360="דל"))+(--($V360="אינו מפותח"))+(--($W360="דלה"))&gt;=2,"אינה מפותחת","חלקית"))))</f>
        <v/>
      </c>
      <c r="AA360" s="32">
        <f>IF($C360="","",IF(COUNTA($M360,$N360,$O360)&lt;3,"— חסרים נתונים",IF(OR($M360="נמוכה",(--($M360&lt;&gt;"תקינה"))+(--($N360&lt;&gt;"תקין"))+(--($O360&lt;&gt;"תקינה"))&gt;=2),"ניכרת","אינה ניכרת")))</f>
        <v/>
      </c>
      <c r="AB360" s="32">
        <f>IF(OR($C360="",$Y360="",$AA360="",LEFT($Y360,1)="—",LEFT($AA360,1)="—"),"",IF($Z360="","— נדרשת הערכת כתיבה",IF($L360="","— חסרה הבנת הנקרא",IF($Y360="אינה מדויקת או מקוטעת",IF($AA360="ניכרת","מיקוד בשטף הקריאה ובכישורי שפה","מיקוד בשטף קריאה"),IF($AA360="ניכרת","מיקוד בכישורי שפה",IF(AND($L360="תקינה",$Z360="מפותחת"),"קוראים וכותבים מיומנים","מיקוד בהבנה והבעה"))))))</f>
        <v/>
      </c>
      <c r="AC360" s="32">
        <f>IF(OR($AB360="",LEFT($AB360,1)="—"),"",IF(OR($AB360="מיקוד בשטף קריאה",$AB360="מיקוד בשטף הקריאה ובכישורי שפה"),"רמה א'",IF($AB360="קוראים וכותבים מיומנים","רמה ג'","רמה ב'")))</f>
        <v/>
      </c>
      <c r="AD360" s="32">
        <f>IF($AC360="","",MID(IF(AND($AC360="רמה א'",$AA360="ניכרת"),"; להוסיף עבודת אוצר מילים","")&amp;IF($Z360="אינה מפותחת","; דגש על הבעה בכתב","")&amp;IF($K360&lt;&gt;"תקין","; נדרש לעבוד על ההנגנה","")&amp;IF($AK360&lt;&gt;"","; "&amp;$AK360,""),3,400))</f>
        <v/>
      </c>
      <c r="AE360" s="32">
        <f>IF($F360="","",IF($F360="תחילת שנה",1,IF($F360="מחצית שנה",2,3)))</f>
        <v/>
      </c>
      <c r="AF360" s="32">
        <f>IF(OR($B360="",$AC360="",$A360="",$F360=""),"",$B360&amp;"|"&amp;$A360&amp;"|"&amp;$F360&amp;"|"&amp;$AC360&amp;"|"&amp;COUNTIFS($B$6:$B360,$B360,$A$6:$A360,$A360,$F$6:$F360,$F360,$AC$6:$AC360,$AC360))</f>
        <v/>
      </c>
      <c r="AG360" s="32">
        <f>IF($C360="","",$C360&amp;"|"&amp;COUNTIFS($C$6:$C360,$C360))</f>
        <v/>
      </c>
      <c r="AH360" s="32">
        <f>IF(OR($C360="",$A360="",$AE360=""),"",$C360&amp;"|"&amp;$A360&amp;"|"&amp;$AE360)</f>
        <v/>
      </c>
      <c r="AI360" s="32">
        <f>IF(OR($C360="",$AE360="",$AE360=1),"",IFERROR(INDEX($AC$6:$AC$1505,MATCH($C360&amp;"|"&amp;$A360&amp;"|"&amp;($AE360-1),$AH$6:$AH$1505,0)),""))</f>
        <v/>
      </c>
      <c r="AJ360" s="32">
        <f>IF(OR($AI360="",$AC360=""),"",IF($AI360=$AC360,"ללא שינוי","מ-"&amp;$AI360&amp;" ל-"&amp;$AC360))</f>
        <v/>
      </c>
      <c r="AK360" s="67" t="n"/>
    </row>
    <row r="361" ht="15.75" customHeight="1" s="58">
      <c r="A361" s="65" t="n"/>
      <c r="B361" s="65" t="n"/>
      <c r="C361" s="66" t="n"/>
      <c r="D361" s="66" t="n"/>
      <c r="E361" s="65" t="n"/>
      <c r="F361" s="65" t="n"/>
      <c r="G361" s="65" t="n"/>
      <c r="H361" s="65" t="n"/>
      <c r="I361" s="65" t="n"/>
      <c r="J361" s="65" t="n"/>
      <c r="K361" s="65" t="n"/>
      <c r="L361" s="65" t="n"/>
      <c r="M361" s="65" t="n"/>
      <c r="N361" s="65" t="n"/>
      <c r="O361" s="65" t="n"/>
      <c r="P361" s="65" t="n"/>
      <c r="Q361" s="65" t="n"/>
      <c r="R361" s="65" t="n"/>
      <c r="S361" s="65" t="n"/>
      <c r="T361" s="65" t="n"/>
      <c r="U361" s="65" t="n"/>
      <c r="V361" s="65" t="n"/>
      <c r="W361" s="65" t="n"/>
      <c r="X361" s="65" t="n"/>
      <c r="Y361" s="32">
        <f>IF($C361="","",IF(COUNTA($I361:$K361)&lt;3,"— חסרים נתונים",IF(AND($I361="תקין",$J361="תקין",$K361="תקין"),"רהוטה",IF(AND($I361="תקין",$J361="תקין"),"מדויקת ורציפה","אינה מדויקת או מקוטעת"))))</f>
        <v/>
      </c>
      <c r="Z361" s="32">
        <f>IF($C361="","",IF(COUNTA($U361:$W361)&lt;3,"",IF(AND($U361="מפותח",$V361="מפותח",$W361="מפותחת"),"מפותחת",IF((--($U361="דל"))+(--($V361="אינו מפותח"))+(--($W361="דלה"))&gt;=2,"אינה מפותחת","חלקית"))))</f>
        <v/>
      </c>
      <c r="AA361" s="32">
        <f>IF($C361="","",IF(COUNTA($M361,$N361,$O361)&lt;3,"— חסרים נתונים",IF(OR($M361="נמוכה",(--($M361&lt;&gt;"תקינה"))+(--($N361&lt;&gt;"תקין"))+(--($O361&lt;&gt;"תקינה"))&gt;=2),"ניכרת","אינה ניכרת")))</f>
        <v/>
      </c>
      <c r="AB361" s="32">
        <f>IF(OR($C361="",$Y361="",$AA361="",LEFT($Y361,1)="—",LEFT($AA361,1)="—"),"",IF($Z361="","— נדרשת הערכת כתיבה",IF($L361="","— חסרה הבנת הנקרא",IF($Y361="אינה מדויקת או מקוטעת",IF($AA361="ניכרת","מיקוד בשטף הקריאה ובכישורי שפה","מיקוד בשטף קריאה"),IF($AA361="ניכרת","מיקוד בכישורי שפה",IF(AND($L361="תקינה",$Z361="מפותחת"),"קוראים וכותבים מיומנים","מיקוד בהבנה והבעה"))))))</f>
        <v/>
      </c>
      <c r="AC361" s="32">
        <f>IF(OR($AB361="",LEFT($AB361,1)="—"),"",IF(OR($AB361="מיקוד בשטף קריאה",$AB361="מיקוד בשטף הקריאה ובכישורי שפה"),"רמה א'",IF($AB361="קוראים וכותבים מיומנים","רמה ג'","רמה ב'")))</f>
        <v/>
      </c>
      <c r="AD361" s="32">
        <f>IF($AC361="","",MID(IF(AND($AC361="רמה א'",$AA361="ניכרת"),"; להוסיף עבודת אוצר מילים","")&amp;IF($Z361="אינה מפותחת","; דגש על הבעה בכתב","")&amp;IF($K361&lt;&gt;"תקין","; נדרש לעבוד על ההנגנה","")&amp;IF($AK361&lt;&gt;"","; "&amp;$AK361,""),3,400))</f>
        <v/>
      </c>
      <c r="AE361" s="32">
        <f>IF($F361="","",IF($F361="תחילת שנה",1,IF($F361="מחצית שנה",2,3)))</f>
        <v/>
      </c>
      <c r="AF361" s="32">
        <f>IF(OR($B361="",$AC361="",$A361="",$F361=""),"",$B361&amp;"|"&amp;$A361&amp;"|"&amp;$F361&amp;"|"&amp;$AC361&amp;"|"&amp;COUNTIFS($B$6:$B361,$B361,$A$6:$A361,$A361,$F$6:$F361,$F361,$AC$6:$AC361,$AC361))</f>
        <v/>
      </c>
      <c r="AG361" s="32">
        <f>IF($C361="","",$C361&amp;"|"&amp;COUNTIFS($C$6:$C361,$C361))</f>
        <v/>
      </c>
      <c r="AH361" s="32">
        <f>IF(OR($C361="",$A361="",$AE361=""),"",$C361&amp;"|"&amp;$A361&amp;"|"&amp;$AE361)</f>
        <v/>
      </c>
      <c r="AI361" s="32">
        <f>IF(OR($C361="",$AE361="",$AE361=1),"",IFERROR(INDEX($AC$6:$AC$1505,MATCH($C361&amp;"|"&amp;$A361&amp;"|"&amp;($AE361-1),$AH$6:$AH$1505,0)),""))</f>
        <v/>
      </c>
      <c r="AJ361" s="32">
        <f>IF(OR($AI361="",$AC361=""),"",IF($AI361=$AC361,"ללא שינוי","מ-"&amp;$AI361&amp;" ל-"&amp;$AC361))</f>
        <v/>
      </c>
      <c r="AK361" s="67" t="n"/>
    </row>
    <row r="362" ht="15.75" customHeight="1" s="58">
      <c r="A362" s="65" t="n"/>
      <c r="B362" s="65" t="n"/>
      <c r="C362" s="66" t="n"/>
      <c r="D362" s="66" t="n"/>
      <c r="E362" s="65" t="n"/>
      <c r="F362" s="65" t="n"/>
      <c r="G362" s="65" t="n"/>
      <c r="H362" s="65" t="n"/>
      <c r="I362" s="65" t="n"/>
      <c r="J362" s="65" t="n"/>
      <c r="K362" s="65" t="n"/>
      <c r="L362" s="65" t="n"/>
      <c r="M362" s="65" t="n"/>
      <c r="N362" s="65" t="n"/>
      <c r="O362" s="65" t="n"/>
      <c r="P362" s="65" t="n"/>
      <c r="Q362" s="65" t="n"/>
      <c r="R362" s="65" t="n"/>
      <c r="S362" s="65" t="n"/>
      <c r="T362" s="65" t="n"/>
      <c r="U362" s="65" t="n"/>
      <c r="V362" s="65" t="n"/>
      <c r="W362" s="65" t="n"/>
      <c r="X362" s="65" t="n"/>
      <c r="Y362" s="32">
        <f>IF($C362="","",IF(COUNTA($I362:$K362)&lt;3,"— חסרים נתונים",IF(AND($I362="תקין",$J362="תקין",$K362="תקין"),"רהוטה",IF(AND($I362="תקין",$J362="תקין"),"מדויקת ורציפה","אינה מדויקת או מקוטעת"))))</f>
        <v/>
      </c>
      <c r="Z362" s="32">
        <f>IF($C362="","",IF(COUNTA($U362:$W362)&lt;3,"",IF(AND($U362="מפותח",$V362="מפותח",$W362="מפותחת"),"מפותחת",IF((--($U362="דל"))+(--($V362="אינו מפותח"))+(--($W362="דלה"))&gt;=2,"אינה מפותחת","חלקית"))))</f>
        <v/>
      </c>
      <c r="AA362" s="32">
        <f>IF($C362="","",IF(COUNTA($M362,$N362,$O362)&lt;3,"— חסרים נתונים",IF(OR($M362="נמוכה",(--($M362&lt;&gt;"תקינה"))+(--($N362&lt;&gt;"תקין"))+(--($O362&lt;&gt;"תקינה"))&gt;=2),"ניכרת","אינה ניכרת")))</f>
        <v/>
      </c>
      <c r="AB362" s="32">
        <f>IF(OR($C362="",$Y362="",$AA362="",LEFT($Y362,1)="—",LEFT($AA362,1)="—"),"",IF($Z362="","— נדרשת הערכת כתיבה",IF($L362="","— חסרה הבנת הנקרא",IF($Y362="אינה מדויקת או מקוטעת",IF($AA362="ניכרת","מיקוד בשטף הקריאה ובכישורי שפה","מיקוד בשטף קריאה"),IF($AA362="ניכרת","מיקוד בכישורי שפה",IF(AND($L362="תקינה",$Z362="מפותחת"),"קוראים וכותבים מיומנים","מיקוד בהבנה והבעה"))))))</f>
        <v/>
      </c>
      <c r="AC362" s="32">
        <f>IF(OR($AB362="",LEFT($AB362,1)="—"),"",IF(OR($AB362="מיקוד בשטף קריאה",$AB362="מיקוד בשטף הקריאה ובכישורי שפה"),"רמה א'",IF($AB362="קוראים וכותבים מיומנים","רמה ג'","רמה ב'")))</f>
        <v/>
      </c>
      <c r="AD362" s="32">
        <f>IF($AC362="","",MID(IF(AND($AC362="רמה א'",$AA362="ניכרת"),"; להוסיף עבודת אוצר מילים","")&amp;IF($Z362="אינה מפותחת","; דגש על הבעה בכתב","")&amp;IF($K362&lt;&gt;"תקין","; נדרש לעבוד על ההנגנה","")&amp;IF($AK362&lt;&gt;"","; "&amp;$AK362,""),3,400))</f>
        <v/>
      </c>
      <c r="AE362" s="32">
        <f>IF($F362="","",IF($F362="תחילת שנה",1,IF($F362="מחצית שנה",2,3)))</f>
        <v/>
      </c>
      <c r="AF362" s="32">
        <f>IF(OR($B362="",$AC362="",$A362="",$F362=""),"",$B362&amp;"|"&amp;$A362&amp;"|"&amp;$F362&amp;"|"&amp;$AC362&amp;"|"&amp;COUNTIFS($B$6:$B362,$B362,$A$6:$A362,$A362,$F$6:$F362,$F362,$AC$6:$AC362,$AC362))</f>
        <v/>
      </c>
      <c r="AG362" s="32">
        <f>IF($C362="","",$C362&amp;"|"&amp;COUNTIFS($C$6:$C362,$C362))</f>
        <v/>
      </c>
      <c r="AH362" s="32">
        <f>IF(OR($C362="",$A362="",$AE362=""),"",$C362&amp;"|"&amp;$A362&amp;"|"&amp;$AE362)</f>
        <v/>
      </c>
      <c r="AI362" s="32">
        <f>IF(OR($C362="",$AE362="",$AE362=1),"",IFERROR(INDEX($AC$6:$AC$1505,MATCH($C362&amp;"|"&amp;$A362&amp;"|"&amp;($AE362-1),$AH$6:$AH$1505,0)),""))</f>
        <v/>
      </c>
      <c r="AJ362" s="32">
        <f>IF(OR($AI362="",$AC362=""),"",IF($AI362=$AC362,"ללא שינוי","מ-"&amp;$AI362&amp;" ל-"&amp;$AC362))</f>
        <v/>
      </c>
      <c r="AK362" s="67" t="n"/>
    </row>
    <row r="363" ht="15.75" customHeight="1" s="58">
      <c r="A363" s="65" t="n"/>
      <c r="B363" s="65" t="n"/>
      <c r="C363" s="66" t="n"/>
      <c r="D363" s="66" t="n"/>
      <c r="E363" s="65" t="n"/>
      <c r="F363" s="65" t="n"/>
      <c r="G363" s="65" t="n"/>
      <c r="H363" s="65" t="n"/>
      <c r="I363" s="65" t="n"/>
      <c r="J363" s="65" t="n"/>
      <c r="K363" s="65" t="n"/>
      <c r="L363" s="65" t="n"/>
      <c r="M363" s="65" t="n"/>
      <c r="N363" s="65" t="n"/>
      <c r="O363" s="65" t="n"/>
      <c r="P363" s="65" t="n"/>
      <c r="Q363" s="65" t="n"/>
      <c r="R363" s="65" t="n"/>
      <c r="S363" s="65" t="n"/>
      <c r="T363" s="65" t="n"/>
      <c r="U363" s="65" t="n"/>
      <c r="V363" s="65" t="n"/>
      <c r="W363" s="65" t="n"/>
      <c r="X363" s="65" t="n"/>
      <c r="Y363" s="32">
        <f>IF($C363="","",IF(COUNTA($I363:$K363)&lt;3,"— חסרים נתונים",IF(AND($I363="תקין",$J363="תקין",$K363="תקין"),"רהוטה",IF(AND($I363="תקין",$J363="תקין"),"מדויקת ורציפה","אינה מדויקת או מקוטעת"))))</f>
        <v/>
      </c>
      <c r="Z363" s="32">
        <f>IF($C363="","",IF(COUNTA($U363:$W363)&lt;3,"",IF(AND($U363="מפותח",$V363="מפותח",$W363="מפותחת"),"מפותחת",IF((--($U363="דל"))+(--($V363="אינו מפותח"))+(--($W363="דלה"))&gt;=2,"אינה מפותחת","חלקית"))))</f>
        <v/>
      </c>
      <c r="AA363" s="32">
        <f>IF($C363="","",IF(COUNTA($M363,$N363,$O363)&lt;3,"— חסרים נתונים",IF(OR($M363="נמוכה",(--($M363&lt;&gt;"תקינה"))+(--($N363&lt;&gt;"תקין"))+(--($O363&lt;&gt;"תקינה"))&gt;=2),"ניכרת","אינה ניכרת")))</f>
        <v/>
      </c>
      <c r="AB363" s="32">
        <f>IF(OR($C363="",$Y363="",$AA363="",LEFT($Y363,1)="—",LEFT($AA363,1)="—"),"",IF($Z363="","— נדרשת הערכת כתיבה",IF($L363="","— חסרה הבנת הנקרא",IF($Y363="אינה מדויקת או מקוטעת",IF($AA363="ניכרת","מיקוד בשטף הקריאה ובכישורי שפה","מיקוד בשטף קריאה"),IF($AA363="ניכרת","מיקוד בכישורי שפה",IF(AND($L363="תקינה",$Z363="מפותחת"),"קוראים וכותבים מיומנים","מיקוד בהבנה והבעה"))))))</f>
        <v/>
      </c>
      <c r="AC363" s="32">
        <f>IF(OR($AB363="",LEFT($AB363,1)="—"),"",IF(OR($AB363="מיקוד בשטף קריאה",$AB363="מיקוד בשטף הקריאה ובכישורי שפה"),"רמה א'",IF($AB363="קוראים וכותבים מיומנים","רמה ג'","רמה ב'")))</f>
        <v/>
      </c>
      <c r="AD363" s="32">
        <f>IF($AC363="","",MID(IF(AND($AC363="רמה א'",$AA363="ניכרת"),"; להוסיף עבודת אוצר מילים","")&amp;IF($Z363="אינה מפותחת","; דגש על הבעה בכתב","")&amp;IF($K363&lt;&gt;"תקין","; נדרש לעבוד על ההנגנה","")&amp;IF($AK363&lt;&gt;"","; "&amp;$AK363,""),3,400))</f>
        <v/>
      </c>
      <c r="AE363" s="32">
        <f>IF($F363="","",IF($F363="תחילת שנה",1,IF($F363="מחצית שנה",2,3)))</f>
        <v/>
      </c>
      <c r="AF363" s="32">
        <f>IF(OR($B363="",$AC363="",$A363="",$F363=""),"",$B363&amp;"|"&amp;$A363&amp;"|"&amp;$F363&amp;"|"&amp;$AC363&amp;"|"&amp;COUNTIFS($B$6:$B363,$B363,$A$6:$A363,$A363,$F$6:$F363,$F363,$AC$6:$AC363,$AC363))</f>
        <v/>
      </c>
      <c r="AG363" s="32">
        <f>IF($C363="","",$C363&amp;"|"&amp;COUNTIFS($C$6:$C363,$C363))</f>
        <v/>
      </c>
      <c r="AH363" s="32">
        <f>IF(OR($C363="",$A363="",$AE363=""),"",$C363&amp;"|"&amp;$A363&amp;"|"&amp;$AE363)</f>
        <v/>
      </c>
      <c r="AI363" s="32">
        <f>IF(OR($C363="",$AE363="",$AE363=1),"",IFERROR(INDEX($AC$6:$AC$1505,MATCH($C363&amp;"|"&amp;$A363&amp;"|"&amp;($AE363-1),$AH$6:$AH$1505,0)),""))</f>
        <v/>
      </c>
      <c r="AJ363" s="32">
        <f>IF(OR($AI363="",$AC363=""),"",IF($AI363=$AC363,"ללא שינוי","מ-"&amp;$AI363&amp;" ל-"&amp;$AC363))</f>
        <v/>
      </c>
      <c r="AK363" s="67" t="n"/>
    </row>
    <row r="364" ht="15.75" customHeight="1" s="58">
      <c r="A364" s="65" t="n"/>
      <c r="B364" s="65" t="n"/>
      <c r="C364" s="66" t="n"/>
      <c r="D364" s="66" t="n"/>
      <c r="E364" s="65" t="n"/>
      <c r="F364" s="65" t="n"/>
      <c r="G364" s="65" t="n"/>
      <c r="H364" s="65" t="n"/>
      <c r="I364" s="65" t="n"/>
      <c r="J364" s="65" t="n"/>
      <c r="K364" s="65" t="n"/>
      <c r="L364" s="65" t="n"/>
      <c r="M364" s="65" t="n"/>
      <c r="N364" s="65" t="n"/>
      <c r="O364" s="65" t="n"/>
      <c r="P364" s="65" t="n"/>
      <c r="Q364" s="65" t="n"/>
      <c r="R364" s="65" t="n"/>
      <c r="S364" s="65" t="n"/>
      <c r="T364" s="65" t="n"/>
      <c r="U364" s="65" t="n"/>
      <c r="V364" s="65" t="n"/>
      <c r="W364" s="65" t="n"/>
      <c r="X364" s="65" t="n"/>
      <c r="Y364" s="32">
        <f>IF($C364="","",IF(COUNTA($I364:$K364)&lt;3,"— חסרים נתונים",IF(AND($I364="תקין",$J364="תקין",$K364="תקין"),"רהוטה",IF(AND($I364="תקין",$J364="תקין"),"מדויקת ורציפה","אינה מדויקת או מקוטעת"))))</f>
        <v/>
      </c>
      <c r="Z364" s="32">
        <f>IF($C364="","",IF(COUNTA($U364:$W364)&lt;3,"",IF(AND($U364="מפותח",$V364="מפותח",$W364="מפותחת"),"מפותחת",IF((--($U364="דל"))+(--($V364="אינו מפותח"))+(--($W364="דלה"))&gt;=2,"אינה מפותחת","חלקית"))))</f>
        <v/>
      </c>
      <c r="AA364" s="32">
        <f>IF($C364="","",IF(COUNTA($M364,$N364,$O364)&lt;3,"— חסרים נתונים",IF(OR($M364="נמוכה",(--($M364&lt;&gt;"תקינה"))+(--($N364&lt;&gt;"תקין"))+(--($O364&lt;&gt;"תקינה"))&gt;=2),"ניכרת","אינה ניכרת")))</f>
        <v/>
      </c>
      <c r="AB364" s="32">
        <f>IF(OR($C364="",$Y364="",$AA364="",LEFT($Y364,1)="—",LEFT($AA364,1)="—"),"",IF($Z364="","— נדרשת הערכת כתיבה",IF($L364="","— חסרה הבנת הנקרא",IF($Y364="אינה מדויקת או מקוטעת",IF($AA364="ניכרת","מיקוד בשטף הקריאה ובכישורי שפה","מיקוד בשטף קריאה"),IF($AA364="ניכרת","מיקוד בכישורי שפה",IF(AND($L364="תקינה",$Z364="מפותחת"),"קוראים וכותבים מיומנים","מיקוד בהבנה והבעה"))))))</f>
        <v/>
      </c>
      <c r="AC364" s="32">
        <f>IF(OR($AB364="",LEFT($AB364,1)="—"),"",IF(OR($AB364="מיקוד בשטף קריאה",$AB364="מיקוד בשטף הקריאה ובכישורי שפה"),"רמה א'",IF($AB364="קוראים וכותבים מיומנים","רמה ג'","רמה ב'")))</f>
        <v/>
      </c>
      <c r="AD364" s="32">
        <f>IF($AC364="","",MID(IF(AND($AC364="רמה א'",$AA364="ניכרת"),"; להוסיף עבודת אוצר מילים","")&amp;IF($Z364="אינה מפותחת","; דגש על הבעה בכתב","")&amp;IF($K364&lt;&gt;"תקין","; נדרש לעבוד על ההנגנה","")&amp;IF($AK364&lt;&gt;"","; "&amp;$AK364,""),3,400))</f>
        <v/>
      </c>
      <c r="AE364" s="32">
        <f>IF($F364="","",IF($F364="תחילת שנה",1,IF($F364="מחצית שנה",2,3)))</f>
        <v/>
      </c>
      <c r="AF364" s="32">
        <f>IF(OR($B364="",$AC364="",$A364="",$F364=""),"",$B364&amp;"|"&amp;$A364&amp;"|"&amp;$F364&amp;"|"&amp;$AC364&amp;"|"&amp;COUNTIFS($B$6:$B364,$B364,$A$6:$A364,$A364,$F$6:$F364,$F364,$AC$6:$AC364,$AC364))</f>
        <v/>
      </c>
      <c r="AG364" s="32">
        <f>IF($C364="","",$C364&amp;"|"&amp;COUNTIFS($C$6:$C364,$C364))</f>
        <v/>
      </c>
      <c r="AH364" s="32">
        <f>IF(OR($C364="",$A364="",$AE364=""),"",$C364&amp;"|"&amp;$A364&amp;"|"&amp;$AE364)</f>
        <v/>
      </c>
      <c r="AI364" s="32">
        <f>IF(OR($C364="",$AE364="",$AE364=1),"",IFERROR(INDEX($AC$6:$AC$1505,MATCH($C364&amp;"|"&amp;$A364&amp;"|"&amp;($AE364-1),$AH$6:$AH$1505,0)),""))</f>
        <v/>
      </c>
      <c r="AJ364" s="32">
        <f>IF(OR($AI364="",$AC364=""),"",IF($AI364=$AC364,"ללא שינוי","מ-"&amp;$AI364&amp;" ל-"&amp;$AC364))</f>
        <v/>
      </c>
      <c r="AK364" s="67" t="n"/>
    </row>
    <row r="365" ht="15.75" customHeight="1" s="58">
      <c r="A365" s="65" t="n"/>
      <c r="B365" s="65" t="n"/>
      <c r="C365" s="66" t="n"/>
      <c r="D365" s="66" t="n"/>
      <c r="E365" s="65" t="n"/>
      <c r="F365" s="65" t="n"/>
      <c r="G365" s="65" t="n"/>
      <c r="H365" s="65" t="n"/>
      <c r="I365" s="65" t="n"/>
      <c r="J365" s="65" t="n"/>
      <c r="K365" s="65" t="n"/>
      <c r="L365" s="65" t="n"/>
      <c r="M365" s="65" t="n"/>
      <c r="N365" s="65" t="n"/>
      <c r="O365" s="65" t="n"/>
      <c r="P365" s="65" t="n"/>
      <c r="Q365" s="65" t="n"/>
      <c r="R365" s="65" t="n"/>
      <c r="S365" s="65" t="n"/>
      <c r="T365" s="65" t="n"/>
      <c r="U365" s="65" t="n"/>
      <c r="V365" s="65" t="n"/>
      <c r="W365" s="65" t="n"/>
      <c r="X365" s="65" t="n"/>
      <c r="Y365" s="32">
        <f>IF($C365="","",IF(COUNTA($I365:$K365)&lt;3,"— חסרים נתונים",IF(AND($I365="תקין",$J365="תקין",$K365="תקין"),"רהוטה",IF(AND($I365="תקין",$J365="תקין"),"מדויקת ורציפה","אינה מדויקת או מקוטעת"))))</f>
        <v/>
      </c>
      <c r="Z365" s="32">
        <f>IF($C365="","",IF(COUNTA($U365:$W365)&lt;3,"",IF(AND($U365="מפותח",$V365="מפותח",$W365="מפותחת"),"מפותחת",IF((--($U365="דל"))+(--($V365="אינו מפותח"))+(--($W365="דלה"))&gt;=2,"אינה מפותחת","חלקית"))))</f>
        <v/>
      </c>
      <c r="AA365" s="32">
        <f>IF($C365="","",IF(COUNTA($M365,$N365,$O365)&lt;3,"— חסרים נתונים",IF(OR($M365="נמוכה",(--($M365&lt;&gt;"תקינה"))+(--($N365&lt;&gt;"תקין"))+(--($O365&lt;&gt;"תקינה"))&gt;=2),"ניכרת","אינה ניכרת")))</f>
        <v/>
      </c>
      <c r="AB365" s="32">
        <f>IF(OR($C365="",$Y365="",$AA365="",LEFT($Y365,1)="—",LEFT($AA365,1)="—"),"",IF($Z365="","— נדרשת הערכת כתיבה",IF($L365="","— חסרה הבנת הנקרא",IF($Y365="אינה מדויקת או מקוטעת",IF($AA365="ניכרת","מיקוד בשטף הקריאה ובכישורי שפה","מיקוד בשטף קריאה"),IF($AA365="ניכרת","מיקוד בכישורי שפה",IF(AND($L365="תקינה",$Z365="מפותחת"),"קוראים וכותבים מיומנים","מיקוד בהבנה והבעה"))))))</f>
        <v/>
      </c>
      <c r="AC365" s="32">
        <f>IF(OR($AB365="",LEFT($AB365,1)="—"),"",IF(OR($AB365="מיקוד בשטף קריאה",$AB365="מיקוד בשטף הקריאה ובכישורי שפה"),"רמה א'",IF($AB365="קוראים וכותבים מיומנים","רמה ג'","רמה ב'")))</f>
        <v/>
      </c>
      <c r="AD365" s="32">
        <f>IF($AC365="","",MID(IF(AND($AC365="רמה א'",$AA365="ניכרת"),"; להוסיף עבודת אוצר מילים","")&amp;IF($Z365="אינה מפותחת","; דגש על הבעה בכתב","")&amp;IF($K365&lt;&gt;"תקין","; נדרש לעבוד על ההנגנה","")&amp;IF($AK365&lt;&gt;"","; "&amp;$AK365,""),3,400))</f>
        <v/>
      </c>
      <c r="AE365" s="32">
        <f>IF($F365="","",IF($F365="תחילת שנה",1,IF($F365="מחצית שנה",2,3)))</f>
        <v/>
      </c>
      <c r="AF365" s="32">
        <f>IF(OR($B365="",$AC365="",$A365="",$F365=""),"",$B365&amp;"|"&amp;$A365&amp;"|"&amp;$F365&amp;"|"&amp;$AC365&amp;"|"&amp;COUNTIFS($B$6:$B365,$B365,$A$6:$A365,$A365,$F$6:$F365,$F365,$AC$6:$AC365,$AC365))</f>
        <v/>
      </c>
      <c r="AG365" s="32">
        <f>IF($C365="","",$C365&amp;"|"&amp;COUNTIFS($C$6:$C365,$C365))</f>
        <v/>
      </c>
      <c r="AH365" s="32">
        <f>IF(OR($C365="",$A365="",$AE365=""),"",$C365&amp;"|"&amp;$A365&amp;"|"&amp;$AE365)</f>
        <v/>
      </c>
      <c r="AI365" s="32">
        <f>IF(OR($C365="",$AE365="",$AE365=1),"",IFERROR(INDEX($AC$6:$AC$1505,MATCH($C365&amp;"|"&amp;$A365&amp;"|"&amp;($AE365-1),$AH$6:$AH$1505,0)),""))</f>
        <v/>
      </c>
      <c r="AJ365" s="32">
        <f>IF(OR($AI365="",$AC365=""),"",IF($AI365=$AC365,"ללא שינוי","מ-"&amp;$AI365&amp;" ל-"&amp;$AC365))</f>
        <v/>
      </c>
      <c r="AK365" s="67" t="n"/>
    </row>
    <row r="366" ht="15.75" customHeight="1" s="58">
      <c r="A366" s="65" t="n"/>
      <c r="B366" s="65" t="n"/>
      <c r="C366" s="66" t="n"/>
      <c r="D366" s="66" t="n"/>
      <c r="E366" s="65" t="n"/>
      <c r="F366" s="65" t="n"/>
      <c r="G366" s="65" t="n"/>
      <c r="H366" s="65" t="n"/>
      <c r="I366" s="65" t="n"/>
      <c r="J366" s="65" t="n"/>
      <c r="K366" s="65" t="n"/>
      <c r="L366" s="65" t="n"/>
      <c r="M366" s="65" t="n"/>
      <c r="N366" s="65" t="n"/>
      <c r="O366" s="65" t="n"/>
      <c r="P366" s="65" t="n"/>
      <c r="Q366" s="65" t="n"/>
      <c r="R366" s="65" t="n"/>
      <c r="S366" s="65" t="n"/>
      <c r="T366" s="65" t="n"/>
      <c r="U366" s="65" t="n"/>
      <c r="V366" s="65" t="n"/>
      <c r="W366" s="65" t="n"/>
      <c r="X366" s="65" t="n"/>
      <c r="Y366" s="32">
        <f>IF($C366="","",IF(COUNTA($I366:$K366)&lt;3,"— חסרים נתונים",IF(AND($I366="תקין",$J366="תקין",$K366="תקין"),"רהוטה",IF(AND($I366="תקין",$J366="תקין"),"מדויקת ורציפה","אינה מדויקת או מקוטעת"))))</f>
        <v/>
      </c>
      <c r="Z366" s="32">
        <f>IF($C366="","",IF(COUNTA($U366:$W366)&lt;3,"",IF(AND($U366="מפותח",$V366="מפותח",$W366="מפותחת"),"מפותחת",IF((--($U366="דל"))+(--($V366="אינו מפותח"))+(--($W366="דלה"))&gt;=2,"אינה מפותחת","חלקית"))))</f>
        <v/>
      </c>
      <c r="AA366" s="32">
        <f>IF($C366="","",IF(COUNTA($M366,$N366,$O366)&lt;3,"— חסרים נתונים",IF(OR($M366="נמוכה",(--($M366&lt;&gt;"תקינה"))+(--($N366&lt;&gt;"תקין"))+(--($O366&lt;&gt;"תקינה"))&gt;=2),"ניכרת","אינה ניכרת")))</f>
        <v/>
      </c>
      <c r="AB366" s="32">
        <f>IF(OR($C366="",$Y366="",$AA366="",LEFT($Y366,1)="—",LEFT($AA366,1)="—"),"",IF($Z366="","— נדרשת הערכת כתיבה",IF($L366="","— חסרה הבנת הנקרא",IF($Y366="אינה מדויקת או מקוטעת",IF($AA366="ניכרת","מיקוד בשטף הקריאה ובכישורי שפה","מיקוד בשטף קריאה"),IF($AA366="ניכרת","מיקוד בכישורי שפה",IF(AND($L366="תקינה",$Z366="מפותחת"),"קוראים וכותבים מיומנים","מיקוד בהבנה והבעה"))))))</f>
        <v/>
      </c>
      <c r="AC366" s="32">
        <f>IF(OR($AB366="",LEFT($AB366,1)="—"),"",IF(OR($AB366="מיקוד בשטף קריאה",$AB366="מיקוד בשטף הקריאה ובכישורי שפה"),"רמה א'",IF($AB366="קוראים וכותבים מיומנים","רמה ג'","רמה ב'")))</f>
        <v/>
      </c>
      <c r="AD366" s="32">
        <f>IF($AC366="","",MID(IF(AND($AC366="רמה א'",$AA366="ניכרת"),"; להוסיף עבודת אוצר מילים","")&amp;IF($Z366="אינה מפותחת","; דגש על הבעה בכתב","")&amp;IF($K366&lt;&gt;"תקין","; נדרש לעבוד על ההנגנה","")&amp;IF($AK366&lt;&gt;"","; "&amp;$AK366,""),3,400))</f>
        <v/>
      </c>
      <c r="AE366" s="32">
        <f>IF($F366="","",IF($F366="תחילת שנה",1,IF($F366="מחצית שנה",2,3)))</f>
        <v/>
      </c>
      <c r="AF366" s="32">
        <f>IF(OR($B366="",$AC366="",$A366="",$F366=""),"",$B366&amp;"|"&amp;$A366&amp;"|"&amp;$F366&amp;"|"&amp;$AC366&amp;"|"&amp;COUNTIFS($B$6:$B366,$B366,$A$6:$A366,$A366,$F$6:$F366,$F366,$AC$6:$AC366,$AC366))</f>
        <v/>
      </c>
      <c r="AG366" s="32">
        <f>IF($C366="","",$C366&amp;"|"&amp;COUNTIFS($C$6:$C366,$C366))</f>
        <v/>
      </c>
      <c r="AH366" s="32">
        <f>IF(OR($C366="",$A366="",$AE366=""),"",$C366&amp;"|"&amp;$A366&amp;"|"&amp;$AE366)</f>
        <v/>
      </c>
      <c r="AI366" s="32">
        <f>IF(OR($C366="",$AE366="",$AE366=1),"",IFERROR(INDEX($AC$6:$AC$1505,MATCH($C366&amp;"|"&amp;$A366&amp;"|"&amp;($AE366-1),$AH$6:$AH$1505,0)),""))</f>
        <v/>
      </c>
      <c r="AJ366" s="32">
        <f>IF(OR($AI366="",$AC366=""),"",IF($AI366=$AC366,"ללא שינוי","מ-"&amp;$AI366&amp;" ל-"&amp;$AC366))</f>
        <v/>
      </c>
      <c r="AK366" s="67" t="n"/>
    </row>
    <row r="367" ht="15.75" customHeight="1" s="58">
      <c r="A367" s="65" t="n"/>
      <c r="B367" s="65" t="n"/>
      <c r="C367" s="66" t="n"/>
      <c r="D367" s="66" t="n"/>
      <c r="E367" s="65" t="n"/>
      <c r="F367" s="65" t="n"/>
      <c r="G367" s="65" t="n"/>
      <c r="H367" s="65" t="n"/>
      <c r="I367" s="65" t="n"/>
      <c r="J367" s="65" t="n"/>
      <c r="K367" s="65" t="n"/>
      <c r="L367" s="65" t="n"/>
      <c r="M367" s="65" t="n"/>
      <c r="N367" s="65" t="n"/>
      <c r="O367" s="65" t="n"/>
      <c r="P367" s="65" t="n"/>
      <c r="Q367" s="65" t="n"/>
      <c r="R367" s="65" t="n"/>
      <c r="S367" s="65" t="n"/>
      <c r="T367" s="65" t="n"/>
      <c r="U367" s="65" t="n"/>
      <c r="V367" s="65" t="n"/>
      <c r="W367" s="65" t="n"/>
      <c r="X367" s="65" t="n"/>
      <c r="Y367" s="32">
        <f>IF($C367="","",IF(COUNTA($I367:$K367)&lt;3,"— חסרים נתונים",IF(AND($I367="תקין",$J367="תקין",$K367="תקין"),"רהוטה",IF(AND($I367="תקין",$J367="תקין"),"מדויקת ורציפה","אינה מדויקת או מקוטעת"))))</f>
        <v/>
      </c>
      <c r="Z367" s="32">
        <f>IF($C367="","",IF(COUNTA($U367:$W367)&lt;3,"",IF(AND($U367="מפותח",$V367="מפותח",$W367="מפותחת"),"מפותחת",IF((--($U367="דל"))+(--($V367="אינו מפותח"))+(--($W367="דלה"))&gt;=2,"אינה מפותחת","חלקית"))))</f>
        <v/>
      </c>
      <c r="AA367" s="32">
        <f>IF($C367="","",IF(COUNTA($M367,$N367,$O367)&lt;3,"— חסרים נתונים",IF(OR($M367="נמוכה",(--($M367&lt;&gt;"תקינה"))+(--($N367&lt;&gt;"תקין"))+(--($O367&lt;&gt;"תקינה"))&gt;=2),"ניכרת","אינה ניכרת")))</f>
        <v/>
      </c>
      <c r="AB367" s="32">
        <f>IF(OR($C367="",$Y367="",$AA367="",LEFT($Y367,1)="—",LEFT($AA367,1)="—"),"",IF($Z367="","— נדרשת הערכת כתיבה",IF($L367="","— חסרה הבנת הנקרא",IF($Y367="אינה מדויקת או מקוטעת",IF($AA367="ניכרת","מיקוד בשטף הקריאה ובכישורי שפה","מיקוד בשטף קריאה"),IF($AA367="ניכרת","מיקוד בכישורי שפה",IF(AND($L367="תקינה",$Z367="מפותחת"),"קוראים וכותבים מיומנים","מיקוד בהבנה והבעה"))))))</f>
        <v/>
      </c>
      <c r="AC367" s="32">
        <f>IF(OR($AB367="",LEFT($AB367,1)="—"),"",IF(OR($AB367="מיקוד בשטף קריאה",$AB367="מיקוד בשטף הקריאה ובכישורי שפה"),"רמה א'",IF($AB367="קוראים וכותבים מיומנים","רמה ג'","רמה ב'")))</f>
        <v/>
      </c>
      <c r="AD367" s="32">
        <f>IF($AC367="","",MID(IF(AND($AC367="רמה א'",$AA367="ניכרת"),"; להוסיף עבודת אוצר מילים","")&amp;IF($Z367="אינה מפותחת","; דגש על הבעה בכתב","")&amp;IF($K367&lt;&gt;"תקין","; נדרש לעבוד על ההנגנה","")&amp;IF($AK367&lt;&gt;"","; "&amp;$AK367,""),3,400))</f>
        <v/>
      </c>
      <c r="AE367" s="32">
        <f>IF($F367="","",IF($F367="תחילת שנה",1,IF($F367="מחצית שנה",2,3)))</f>
        <v/>
      </c>
      <c r="AF367" s="32">
        <f>IF(OR($B367="",$AC367="",$A367="",$F367=""),"",$B367&amp;"|"&amp;$A367&amp;"|"&amp;$F367&amp;"|"&amp;$AC367&amp;"|"&amp;COUNTIFS($B$6:$B367,$B367,$A$6:$A367,$A367,$F$6:$F367,$F367,$AC$6:$AC367,$AC367))</f>
        <v/>
      </c>
      <c r="AG367" s="32">
        <f>IF($C367="","",$C367&amp;"|"&amp;COUNTIFS($C$6:$C367,$C367))</f>
        <v/>
      </c>
      <c r="AH367" s="32">
        <f>IF(OR($C367="",$A367="",$AE367=""),"",$C367&amp;"|"&amp;$A367&amp;"|"&amp;$AE367)</f>
        <v/>
      </c>
      <c r="AI367" s="32">
        <f>IF(OR($C367="",$AE367="",$AE367=1),"",IFERROR(INDEX($AC$6:$AC$1505,MATCH($C367&amp;"|"&amp;$A367&amp;"|"&amp;($AE367-1),$AH$6:$AH$1505,0)),""))</f>
        <v/>
      </c>
      <c r="AJ367" s="32">
        <f>IF(OR($AI367="",$AC367=""),"",IF($AI367=$AC367,"ללא שינוי","מ-"&amp;$AI367&amp;" ל-"&amp;$AC367))</f>
        <v/>
      </c>
      <c r="AK367" s="67" t="n"/>
    </row>
    <row r="368" ht="15.75" customHeight="1" s="58">
      <c r="A368" s="65" t="n"/>
      <c r="B368" s="65" t="n"/>
      <c r="C368" s="66" t="n"/>
      <c r="D368" s="66" t="n"/>
      <c r="E368" s="65" t="n"/>
      <c r="F368" s="65" t="n"/>
      <c r="G368" s="65" t="n"/>
      <c r="H368" s="65" t="n"/>
      <c r="I368" s="65" t="n"/>
      <c r="J368" s="65" t="n"/>
      <c r="K368" s="65" t="n"/>
      <c r="L368" s="65" t="n"/>
      <c r="M368" s="65" t="n"/>
      <c r="N368" s="65" t="n"/>
      <c r="O368" s="65" t="n"/>
      <c r="P368" s="65" t="n"/>
      <c r="Q368" s="65" t="n"/>
      <c r="R368" s="65" t="n"/>
      <c r="S368" s="65" t="n"/>
      <c r="T368" s="65" t="n"/>
      <c r="U368" s="65" t="n"/>
      <c r="V368" s="65" t="n"/>
      <c r="W368" s="65" t="n"/>
      <c r="X368" s="65" t="n"/>
      <c r="Y368" s="32">
        <f>IF($C368="","",IF(COUNTA($I368:$K368)&lt;3,"— חסרים נתונים",IF(AND($I368="תקין",$J368="תקין",$K368="תקין"),"רהוטה",IF(AND($I368="תקין",$J368="תקין"),"מדויקת ורציפה","אינה מדויקת או מקוטעת"))))</f>
        <v/>
      </c>
      <c r="Z368" s="32">
        <f>IF($C368="","",IF(COUNTA($U368:$W368)&lt;3,"",IF(AND($U368="מפותח",$V368="מפותח",$W368="מפותחת"),"מפותחת",IF((--($U368="דל"))+(--($V368="אינו מפותח"))+(--($W368="דלה"))&gt;=2,"אינה מפותחת","חלקית"))))</f>
        <v/>
      </c>
      <c r="AA368" s="32">
        <f>IF($C368="","",IF(COUNTA($M368,$N368,$O368)&lt;3,"— חסרים נתונים",IF(OR($M368="נמוכה",(--($M368&lt;&gt;"תקינה"))+(--($N368&lt;&gt;"תקין"))+(--($O368&lt;&gt;"תקינה"))&gt;=2),"ניכרת","אינה ניכרת")))</f>
        <v/>
      </c>
      <c r="AB368" s="32">
        <f>IF(OR($C368="",$Y368="",$AA368="",LEFT($Y368,1)="—",LEFT($AA368,1)="—"),"",IF($Z368="","— נדרשת הערכת כתיבה",IF($L368="","— חסרה הבנת הנקרא",IF($Y368="אינה מדויקת או מקוטעת",IF($AA368="ניכרת","מיקוד בשטף הקריאה ובכישורי שפה","מיקוד בשטף קריאה"),IF($AA368="ניכרת","מיקוד בכישורי שפה",IF(AND($L368="תקינה",$Z368="מפותחת"),"קוראים וכותבים מיומנים","מיקוד בהבנה והבעה"))))))</f>
        <v/>
      </c>
      <c r="AC368" s="32">
        <f>IF(OR($AB368="",LEFT($AB368,1)="—"),"",IF(OR($AB368="מיקוד בשטף קריאה",$AB368="מיקוד בשטף הקריאה ובכישורי שפה"),"רמה א'",IF($AB368="קוראים וכותבים מיומנים","רמה ג'","רמה ב'")))</f>
        <v/>
      </c>
      <c r="AD368" s="32">
        <f>IF($AC368="","",MID(IF(AND($AC368="רמה א'",$AA368="ניכרת"),"; להוסיף עבודת אוצר מילים","")&amp;IF($Z368="אינה מפותחת","; דגש על הבעה בכתב","")&amp;IF($K368&lt;&gt;"תקין","; נדרש לעבוד על ההנגנה","")&amp;IF($AK368&lt;&gt;"","; "&amp;$AK368,""),3,400))</f>
        <v/>
      </c>
      <c r="AE368" s="32">
        <f>IF($F368="","",IF($F368="תחילת שנה",1,IF($F368="מחצית שנה",2,3)))</f>
        <v/>
      </c>
      <c r="AF368" s="32">
        <f>IF(OR($B368="",$AC368="",$A368="",$F368=""),"",$B368&amp;"|"&amp;$A368&amp;"|"&amp;$F368&amp;"|"&amp;$AC368&amp;"|"&amp;COUNTIFS($B$6:$B368,$B368,$A$6:$A368,$A368,$F$6:$F368,$F368,$AC$6:$AC368,$AC368))</f>
        <v/>
      </c>
      <c r="AG368" s="32">
        <f>IF($C368="","",$C368&amp;"|"&amp;COUNTIFS($C$6:$C368,$C368))</f>
        <v/>
      </c>
      <c r="AH368" s="32">
        <f>IF(OR($C368="",$A368="",$AE368=""),"",$C368&amp;"|"&amp;$A368&amp;"|"&amp;$AE368)</f>
        <v/>
      </c>
      <c r="AI368" s="32">
        <f>IF(OR($C368="",$AE368="",$AE368=1),"",IFERROR(INDEX($AC$6:$AC$1505,MATCH($C368&amp;"|"&amp;$A368&amp;"|"&amp;($AE368-1),$AH$6:$AH$1505,0)),""))</f>
        <v/>
      </c>
      <c r="AJ368" s="32">
        <f>IF(OR($AI368="",$AC368=""),"",IF($AI368=$AC368,"ללא שינוי","מ-"&amp;$AI368&amp;" ל-"&amp;$AC368))</f>
        <v/>
      </c>
      <c r="AK368" s="67" t="n"/>
    </row>
    <row r="369" ht="15.75" customHeight="1" s="58">
      <c r="A369" s="65" t="n"/>
      <c r="B369" s="65" t="n"/>
      <c r="C369" s="66" t="n"/>
      <c r="D369" s="66" t="n"/>
      <c r="E369" s="65" t="n"/>
      <c r="F369" s="65" t="n"/>
      <c r="G369" s="65" t="n"/>
      <c r="H369" s="65" t="n"/>
      <c r="I369" s="65" t="n"/>
      <c r="J369" s="65" t="n"/>
      <c r="K369" s="65" t="n"/>
      <c r="L369" s="65" t="n"/>
      <c r="M369" s="65" t="n"/>
      <c r="N369" s="65" t="n"/>
      <c r="O369" s="65" t="n"/>
      <c r="P369" s="65" t="n"/>
      <c r="Q369" s="65" t="n"/>
      <c r="R369" s="65" t="n"/>
      <c r="S369" s="65" t="n"/>
      <c r="T369" s="65" t="n"/>
      <c r="U369" s="65" t="n"/>
      <c r="V369" s="65" t="n"/>
      <c r="W369" s="65" t="n"/>
      <c r="X369" s="65" t="n"/>
      <c r="Y369" s="32">
        <f>IF($C369="","",IF(COUNTA($I369:$K369)&lt;3,"— חסרים נתונים",IF(AND($I369="תקין",$J369="תקין",$K369="תקין"),"רהוטה",IF(AND($I369="תקין",$J369="תקין"),"מדויקת ורציפה","אינה מדויקת או מקוטעת"))))</f>
        <v/>
      </c>
      <c r="Z369" s="32">
        <f>IF($C369="","",IF(COUNTA($U369:$W369)&lt;3,"",IF(AND($U369="מפותח",$V369="מפותח",$W369="מפותחת"),"מפותחת",IF((--($U369="דל"))+(--($V369="אינו מפותח"))+(--($W369="דלה"))&gt;=2,"אינה מפותחת","חלקית"))))</f>
        <v/>
      </c>
      <c r="AA369" s="32">
        <f>IF($C369="","",IF(COUNTA($M369,$N369,$O369)&lt;3,"— חסרים נתונים",IF(OR($M369="נמוכה",(--($M369&lt;&gt;"תקינה"))+(--($N369&lt;&gt;"תקין"))+(--($O369&lt;&gt;"תקינה"))&gt;=2),"ניכרת","אינה ניכרת")))</f>
        <v/>
      </c>
      <c r="AB369" s="32">
        <f>IF(OR($C369="",$Y369="",$AA369="",LEFT($Y369,1)="—",LEFT($AA369,1)="—"),"",IF($Z369="","— נדרשת הערכת כתיבה",IF($L369="","— חסרה הבנת הנקרא",IF($Y369="אינה מדויקת או מקוטעת",IF($AA369="ניכרת","מיקוד בשטף הקריאה ובכישורי שפה","מיקוד בשטף קריאה"),IF($AA369="ניכרת","מיקוד בכישורי שפה",IF(AND($L369="תקינה",$Z369="מפותחת"),"קוראים וכותבים מיומנים","מיקוד בהבנה והבעה"))))))</f>
        <v/>
      </c>
      <c r="AC369" s="32">
        <f>IF(OR($AB369="",LEFT($AB369,1)="—"),"",IF(OR($AB369="מיקוד בשטף קריאה",$AB369="מיקוד בשטף הקריאה ובכישורי שפה"),"רמה א'",IF($AB369="קוראים וכותבים מיומנים","רמה ג'","רמה ב'")))</f>
        <v/>
      </c>
      <c r="AD369" s="32">
        <f>IF($AC369="","",MID(IF(AND($AC369="רמה א'",$AA369="ניכרת"),"; להוסיף עבודת אוצר מילים","")&amp;IF($Z369="אינה מפותחת","; דגש על הבעה בכתב","")&amp;IF($K369&lt;&gt;"תקין","; נדרש לעבוד על ההנגנה","")&amp;IF($AK369&lt;&gt;"","; "&amp;$AK369,""),3,400))</f>
        <v/>
      </c>
      <c r="AE369" s="32">
        <f>IF($F369="","",IF($F369="תחילת שנה",1,IF($F369="מחצית שנה",2,3)))</f>
        <v/>
      </c>
      <c r="AF369" s="32">
        <f>IF(OR($B369="",$AC369="",$A369="",$F369=""),"",$B369&amp;"|"&amp;$A369&amp;"|"&amp;$F369&amp;"|"&amp;$AC369&amp;"|"&amp;COUNTIFS($B$6:$B369,$B369,$A$6:$A369,$A369,$F$6:$F369,$F369,$AC$6:$AC369,$AC369))</f>
        <v/>
      </c>
      <c r="AG369" s="32">
        <f>IF($C369="","",$C369&amp;"|"&amp;COUNTIFS($C$6:$C369,$C369))</f>
        <v/>
      </c>
      <c r="AH369" s="32">
        <f>IF(OR($C369="",$A369="",$AE369=""),"",$C369&amp;"|"&amp;$A369&amp;"|"&amp;$AE369)</f>
        <v/>
      </c>
      <c r="AI369" s="32">
        <f>IF(OR($C369="",$AE369="",$AE369=1),"",IFERROR(INDEX($AC$6:$AC$1505,MATCH($C369&amp;"|"&amp;$A369&amp;"|"&amp;($AE369-1),$AH$6:$AH$1505,0)),""))</f>
        <v/>
      </c>
      <c r="AJ369" s="32">
        <f>IF(OR($AI369="",$AC369=""),"",IF($AI369=$AC369,"ללא שינוי","מ-"&amp;$AI369&amp;" ל-"&amp;$AC369))</f>
        <v/>
      </c>
      <c r="AK369" s="67" t="n"/>
    </row>
    <row r="370" ht="15.75" customHeight="1" s="58">
      <c r="A370" s="65" t="n"/>
      <c r="B370" s="65" t="n"/>
      <c r="C370" s="66" t="n"/>
      <c r="D370" s="66" t="n"/>
      <c r="E370" s="65" t="n"/>
      <c r="F370" s="65" t="n"/>
      <c r="G370" s="65" t="n"/>
      <c r="H370" s="65" t="n"/>
      <c r="I370" s="65" t="n"/>
      <c r="J370" s="65" t="n"/>
      <c r="K370" s="65" t="n"/>
      <c r="L370" s="65" t="n"/>
      <c r="M370" s="65" t="n"/>
      <c r="N370" s="65" t="n"/>
      <c r="O370" s="65" t="n"/>
      <c r="P370" s="65" t="n"/>
      <c r="Q370" s="65" t="n"/>
      <c r="R370" s="65" t="n"/>
      <c r="S370" s="65" t="n"/>
      <c r="T370" s="65" t="n"/>
      <c r="U370" s="65" t="n"/>
      <c r="V370" s="65" t="n"/>
      <c r="W370" s="65" t="n"/>
      <c r="X370" s="65" t="n"/>
      <c r="Y370" s="32">
        <f>IF($C370="","",IF(COUNTA($I370:$K370)&lt;3,"— חסרים נתונים",IF(AND($I370="תקין",$J370="תקין",$K370="תקין"),"רהוטה",IF(AND($I370="תקין",$J370="תקין"),"מדויקת ורציפה","אינה מדויקת או מקוטעת"))))</f>
        <v/>
      </c>
      <c r="Z370" s="32">
        <f>IF($C370="","",IF(COUNTA($U370:$W370)&lt;3,"",IF(AND($U370="מפותח",$V370="מפותח",$W370="מפותחת"),"מפותחת",IF((--($U370="דל"))+(--($V370="אינו מפותח"))+(--($W370="דלה"))&gt;=2,"אינה מפותחת","חלקית"))))</f>
        <v/>
      </c>
      <c r="AA370" s="32">
        <f>IF($C370="","",IF(COUNTA($M370,$N370,$O370)&lt;3,"— חסרים נתונים",IF(OR($M370="נמוכה",(--($M370&lt;&gt;"תקינה"))+(--($N370&lt;&gt;"תקין"))+(--($O370&lt;&gt;"תקינה"))&gt;=2),"ניכרת","אינה ניכרת")))</f>
        <v/>
      </c>
      <c r="AB370" s="32">
        <f>IF(OR($C370="",$Y370="",$AA370="",LEFT($Y370,1)="—",LEFT($AA370,1)="—"),"",IF($Z370="","— נדרשת הערכת כתיבה",IF($L370="","— חסרה הבנת הנקרא",IF($Y370="אינה מדויקת או מקוטעת",IF($AA370="ניכרת","מיקוד בשטף הקריאה ובכישורי שפה","מיקוד בשטף קריאה"),IF($AA370="ניכרת","מיקוד בכישורי שפה",IF(AND($L370="תקינה",$Z370="מפותחת"),"קוראים וכותבים מיומנים","מיקוד בהבנה והבעה"))))))</f>
        <v/>
      </c>
      <c r="AC370" s="32">
        <f>IF(OR($AB370="",LEFT($AB370,1)="—"),"",IF(OR($AB370="מיקוד בשטף קריאה",$AB370="מיקוד בשטף הקריאה ובכישורי שפה"),"רמה א'",IF($AB370="קוראים וכותבים מיומנים","רמה ג'","רמה ב'")))</f>
        <v/>
      </c>
      <c r="AD370" s="32">
        <f>IF($AC370="","",MID(IF(AND($AC370="רמה א'",$AA370="ניכרת"),"; להוסיף עבודת אוצר מילים","")&amp;IF($Z370="אינה מפותחת","; דגש על הבעה בכתב","")&amp;IF($K370&lt;&gt;"תקין","; נדרש לעבוד על ההנגנה","")&amp;IF($AK370&lt;&gt;"","; "&amp;$AK370,""),3,400))</f>
        <v/>
      </c>
      <c r="AE370" s="32">
        <f>IF($F370="","",IF($F370="תחילת שנה",1,IF($F370="מחצית שנה",2,3)))</f>
        <v/>
      </c>
      <c r="AF370" s="32">
        <f>IF(OR($B370="",$AC370="",$A370="",$F370=""),"",$B370&amp;"|"&amp;$A370&amp;"|"&amp;$F370&amp;"|"&amp;$AC370&amp;"|"&amp;COUNTIFS($B$6:$B370,$B370,$A$6:$A370,$A370,$F$6:$F370,$F370,$AC$6:$AC370,$AC370))</f>
        <v/>
      </c>
      <c r="AG370" s="32">
        <f>IF($C370="","",$C370&amp;"|"&amp;COUNTIFS($C$6:$C370,$C370))</f>
        <v/>
      </c>
      <c r="AH370" s="32">
        <f>IF(OR($C370="",$A370="",$AE370=""),"",$C370&amp;"|"&amp;$A370&amp;"|"&amp;$AE370)</f>
        <v/>
      </c>
      <c r="AI370" s="32">
        <f>IF(OR($C370="",$AE370="",$AE370=1),"",IFERROR(INDEX($AC$6:$AC$1505,MATCH($C370&amp;"|"&amp;$A370&amp;"|"&amp;($AE370-1),$AH$6:$AH$1505,0)),""))</f>
        <v/>
      </c>
      <c r="AJ370" s="32">
        <f>IF(OR($AI370="",$AC370=""),"",IF($AI370=$AC370,"ללא שינוי","מ-"&amp;$AI370&amp;" ל-"&amp;$AC370))</f>
        <v/>
      </c>
      <c r="AK370" s="67" t="n"/>
    </row>
    <row r="371" ht="15.75" customHeight="1" s="58">
      <c r="A371" s="65" t="n"/>
      <c r="B371" s="65" t="n"/>
      <c r="C371" s="66" t="n"/>
      <c r="D371" s="66" t="n"/>
      <c r="E371" s="65" t="n"/>
      <c r="F371" s="65" t="n"/>
      <c r="G371" s="65" t="n"/>
      <c r="H371" s="65" t="n"/>
      <c r="I371" s="65" t="n"/>
      <c r="J371" s="65" t="n"/>
      <c r="K371" s="65" t="n"/>
      <c r="L371" s="65" t="n"/>
      <c r="M371" s="65" t="n"/>
      <c r="N371" s="65" t="n"/>
      <c r="O371" s="65" t="n"/>
      <c r="P371" s="65" t="n"/>
      <c r="Q371" s="65" t="n"/>
      <c r="R371" s="65" t="n"/>
      <c r="S371" s="65" t="n"/>
      <c r="T371" s="65" t="n"/>
      <c r="U371" s="65" t="n"/>
      <c r="V371" s="65" t="n"/>
      <c r="W371" s="65" t="n"/>
      <c r="X371" s="65" t="n"/>
      <c r="Y371" s="32">
        <f>IF($C371="","",IF(COUNTA($I371:$K371)&lt;3,"— חסרים נתונים",IF(AND($I371="תקין",$J371="תקין",$K371="תקין"),"רהוטה",IF(AND($I371="תקין",$J371="תקין"),"מדויקת ורציפה","אינה מדויקת או מקוטעת"))))</f>
        <v/>
      </c>
      <c r="Z371" s="32">
        <f>IF($C371="","",IF(COUNTA($U371:$W371)&lt;3,"",IF(AND($U371="מפותח",$V371="מפותח",$W371="מפותחת"),"מפותחת",IF((--($U371="דל"))+(--($V371="אינו מפותח"))+(--($W371="דלה"))&gt;=2,"אינה מפותחת","חלקית"))))</f>
        <v/>
      </c>
      <c r="AA371" s="32">
        <f>IF($C371="","",IF(COUNTA($M371,$N371,$O371)&lt;3,"— חסרים נתונים",IF(OR($M371="נמוכה",(--($M371&lt;&gt;"תקינה"))+(--($N371&lt;&gt;"תקין"))+(--($O371&lt;&gt;"תקינה"))&gt;=2),"ניכרת","אינה ניכרת")))</f>
        <v/>
      </c>
      <c r="AB371" s="32">
        <f>IF(OR($C371="",$Y371="",$AA371="",LEFT($Y371,1)="—",LEFT($AA371,1)="—"),"",IF($Z371="","— נדרשת הערכת כתיבה",IF($L371="","— חסרה הבנת הנקרא",IF($Y371="אינה מדויקת או מקוטעת",IF($AA371="ניכרת","מיקוד בשטף הקריאה ובכישורי שפה","מיקוד בשטף קריאה"),IF($AA371="ניכרת","מיקוד בכישורי שפה",IF(AND($L371="תקינה",$Z371="מפותחת"),"קוראים וכותבים מיומנים","מיקוד בהבנה והבעה"))))))</f>
        <v/>
      </c>
      <c r="AC371" s="32">
        <f>IF(OR($AB371="",LEFT($AB371,1)="—"),"",IF(OR($AB371="מיקוד בשטף קריאה",$AB371="מיקוד בשטף הקריאה ובכישורי שפה"),"רמה א'",IF($AB371="קוראים וכותבים מיומנים","רמה ג'","רמה ב'")))</f>
        <v/>
      </c>
      <c r="AD371" s="32">
        <f>IF($AC371="","",MID(IF(AND($AC371="רמה א'",$AA371="ניכרת"),"; להוסיף עבודת אוצר מילים","")&amp;IF($Z371="אינה מפותחת","; דגש על הבעה בכתב","")&amp;IF($K371&lt;&gt;"תקין","; נדרש לעבוד על ההנגנה","")&amp;IF($AK371&lt;&gt;"","; "&amp;$AK371,""),3,400))</f>
        <v/>
      </c>
      <c r="AE371" s="32">
        <f>IF($F371="","",IF($F371="תחילת שנה",1,IF($F371="מחצית שנה",2,3)))</f>
        <v/>
      </c>
      <c r="AF371" s="32">
        <f>IF(OR($B371="",$AC371="",$A371="",$F371=""),"",$B371&amp;"|"&amp;$A371&amp;"|"&amp;$F371&amp;"|"&amp;$AC371&amp;"|"&amp;COUNTIFS($B$6:$B371,$B371,$A$6:$A371,$A371,$F$6:$F371,$F371,$AC$6:$AC371,$AC371))</f>
        <v/>
      </c>
      <c r="AG371" s="32">
        <f>IF($C371="","",$C371&amp;"|"&amp;COUNTIFS($C$6:$C371,$C371))</f>
        <v/>
      </c>
      <c r="AH371" s="32">
        <f>IF(OR($C371="",$A371="",$AE371=""),"",$C371&amp;"|"&amp;$A371&amp;"|"&amp;$AE371)</f>
        <v/>
      </c>
      <c r="AI371" s="32">
        <f>IF(OR($C371="",$AE371="",$AE371=1),"",IFERROR(INDEX($AC$6:$AC$1505,MATCH($C371&amp;"|"&amp;$A371&amp;"|"&amp;($AE371-1),$AH$6:$AH$1505,0)),""))</f>
        <v/>
      </c>
      <c r="AJ371" s="32">
        <f>IF(OR($AI371="",$AC371=""),"",IF($AI371=$AC371,"ללא שינוי","מ-"&amp;$AI371&amp;" ל-"&amp;$AC371))</f>
        <v/>
      </c>
      <c r="AK371" s="67" t="n"/>
    </row>
    <row r="372" ht="15.75" customHeight="1" s="58">
      <c r="A372" s="65" t="n"/>
      <c r="B372" s="65" t="n"/>
      <c r="C372" s="66" t="n"/>
      <c r="D372" s="66" t="n"/>
      <c r="E372" s="65" t="n"/>
      <c r="F372" s="65" t="n"/>
      <c r="G372" s="65" t="n"/>
      <c r="H372" s="65" t="n"/>
      <c r="I372" s="65" t="n"/>
      <c r="J372" s="65" t="n"/>
      <c r="K372" s="65" t="n"/>
      <c r="L372" s="65" t="n"/>
      <c r="M372" s="65" t="n"/>
      <c r="N372" s="65" t="n"/>
      <c r="O372" s="65" t="n"/>
      <c r="P372" s="65" t="n"/>
      <c r="Q372" s="65" t="n"/>
      <c r="R372" s="65" t="n"/>
      <c r="S372" s="65" t="n"/>
      <c r="T372" s="65" t="n"/>
      <c r="U372" s="65" t="n"/>
      <c r="V372" s="65" t="n"/>
      <c r="W372" s="65" t="n"/>
      <c r="X372" s="65" t="n"/>
      <c r="Y372" s="32">
        <f>IF($C372="","",IF(COUNTA($I372:$K372)&lt;3,"— חסרים נתונים",IF(AND($I372="תקין",$J372="תקין",$K372="תקין"),"רהוטה",IF(AND($I372="תקין",$J372="תקין"),"מדויקת ורציפה","אינה מדויקת או מקוטעת"))))</f>
        <v/>
      </c>
      <c r="Z372" s="32">
        <f>IF($C372="","",IF(COUNTA($U372:$W372)&lt;3,"",IF(AND($U372="מפותח",$V372="מפותח",$W372="מפותחת"),"מפותחת",IF((--($U372="דל"))+(--($V372="אינו מפותח"))+(--($W372="דלה"))&gt;=2,"אינה מפותחת","חלקית"))))</f>
        <v/>
      </c>
      <c r="AA372" s="32">
        <f>IF($C372="","",IF(COUNTA($M372,$N372,$O372)&lt;3,"— חסרים נתונים",IF(OR($M372="נמוכה",(--($M372&lt;&gt;"תקינה"))+(--($N372&lt;&gt;"תקין"))+(--($O372&lt;&gt;"תקינה"))&gt;=2),"ניכרת","אינה ניכרת")))</f>
        <v/>
      </c>
      <c r="AB372" s="32">
        <f>IF(OR($C372="",$Y372="",$AA372="",LEFT($Y372,1)="—",LEFT($AA372,1)="—"),"",IF($Z372="","— נדרשת הערכת כתיבה",IF($L372="","— חסרה הבנת הנקרא",IF($Y372="אינה מדויקת או מקוטעת",IF($AA372="ניכרת","מיקוד בשטף הקריאה ובכישורי שפה","מיקוד בשטף קריאה"),IF($AA372="ניכרת","מיקוד בכישורי שפה",IF(AND($L372="תקינה",$Z372="מפותחת"),"קוראים וכותבים מיומנים","מיקוד בהבנה והבעה"))))))</f>
        <v/>
      </c>
      <c r="AC372" s="32">
        <f>IF(OR($AB372="",LEFT($AB372,1)="—"),"",IF(OR($AB372="מיקוד בשטף קריאה",$AB372="מיקוד בשטף הקריאה ובכישורי שפה"),"רמה א'",IF($AB372="קוראים וכותבים מיומנים","רמה ג'","רמה ב'")))</f>
        <v/>
      </c>
      <c r="AD372" s="32">
        <f>IF($AC372="","",MID(IF(AND($AC372="רמה א'",$AA372="ניכרת"),"; להוסיף עבודת אוצר מילים","")&amp;IF($Z372="אינה מפותחת","; דגש על הבעה בכתב","")&amp;IF($K372&lt;&gt;"תקין","; נדרש לעבוד על ההנגנה","")&amp;IF($AK372&lt;&gt;"","; "&amp;$AK372,""),3,400))</f>
        <v/>
      </c>
      <c r="AE372" s="32">
        <f>IF($F372="","",IF($F372="תחילת שנה",1,IF($F372="מחצית שנה",2,3)))</f>
        <v/>
      </c>
      <c r="AF372" s="32">
        <f>IF(OR($B372="",$AC372="",$A372="",$F372=""),"",$B372&amp;"|"&amp;$A372&amp;"|"&amp;$F372&amp;"|"&amp;$AC372&amp;"|"&amp;COUNTIFS($B$6:$B372,$B372,$A$6:$A372,$A372,$F$6:$F372,$F372,$AC$6:$AC372,$AC372))</f>
        <v/>
      </c>
      <c r="AG372" s="32">
        <f>IF($C372="","",$C372&amp;"|"&amp;COUNTIFS($C$6:$C372,$C372))</f>
        <v/>
      </c>
      <c r="AH372" s="32">
        <f>IF(OR($C372="",$A372="",$AE372=""),"",$C372&amp;"|"&amp;$A372&amp;"|"&amp;$AE372)</f>
        <v/>
      </c>
      <c r="AI372" s="32">
        <f>IF(OR($C372="",$AE372="",$AE372=1),"",IFERROR(INDEX($AC$6:$AC$1505,MATCH($C372&amp;"|"&amp;$A372&amp;"|"&amp;($AE372-1),$AH$6:$AH$1505,0)),""))</f>
        <v/>
      </c>
      <c r="AJ372" s="32">
        <f>IF(OR($AI372="",$AC372=""),"",IF($AI372=$AC372,"ללא שינוי","מ-"&amp;$AI372&amp;" ל-"&amp;$AC372))</f>
        <v/>
      </c>
      <c r="AK372" s="67" t="n"/>
    </row>
    <row r="373" ht="15.75" customHeight="1" s="58">
      <c r="A373" s="65" t="n"/>
      <c r="B373" s="65" t="n"/>
      <c r="C373" s="66" t="n"/>
      <c r="D373" s="66" t="n"/>
      <c r="E373" s="65" t="n"/>
      <c r="F373" s="65" t="n"/>
      <c r="G373" s="65" t="n"/>
      <c r="H373" s="65" t="n"/>
      <c r="I373" s="65" t="n"/>
      <c r="J373" s="65" t="n"/>
      <c r="K373" s="65" t="n"/>
      <c r="L373" s="65" t="n"/>
      <c r="M373" s="65" t="n"/>
      <c r="N373" s="65" t="n"/>
      <c r="O373" s="65" t="n"/>
      <c r="P373" s="65" t="n"/>
      <c r="Q373" s="65" t="n"/>
      <c r="R373" s="65" t="n"/>
      <c r="S373" s="65" t="n"/>
      <c r="T373" s="65" t="n"/>
      <c r="U373" s="65" t="n"/>
      <c r="V373" s="65" t="n"/>
      <c r="W373" s="65" t="n"/>
      <c r="X373" s="65" t="n"/>
      <c r="Y373" s="32">
        <f>IF($C373="","",IF(COUNTA($I373:$K373)&lt;3,"— חסרים נתונים",IF(AND($I373="תקין",$J373="תקין",$K373="תקין"),"רהוטה",IF(AND($I373="תקין",$J373="תקין"),"מדויקת ורציפה","אינה מדויקת או מקוטעת"))))</f>
        <v/>
      </c>
      <c r="Z373" s="32">
        <f>IF($C373="","",IF(COUNTA($U373:$W373)&lt;3,"",IF(AND($U373="מפותח",$V373="מפותח",$W373="מפותחת"),"מפותחת",IF((--($U373="דל"))+(--($V373="אינו מפותח"))+(--($W373="דלה"))&gt;=2,"אינה מפותחת","חלקית"))))</f>
        <v/>
      </c>
      <c r="AA373" s="32">
        <f>IF($C373="","",IF(COUNTA($M373,$N373,$O373)&lt;3,"— חסרים נתונים",IF(OR($M373="נמוכה",(--($M373&lt;&gt;"תקינה"))+(--($N373&lt;&gt;"תקין"))+(--($O373&lt;&gt;"תקינה"))&gt;=2),"ניכרת","אינה ניכרת")))</f>
        <v/>
      </c>
      <c r="AB373" s="32">
        <f>IF(OR($C373="",$Y373="",$AA373="",LEFT($Y373,1)="—",LEFT($AA373,1)="—"),"",IF($Z373="","— נדרשת הערכת כתיבה",IF($L373="","— חסרה הבנת הנקרא",IF($Y373="אינה מדויקת או מקוטעת",IF($AA373="ניכרת","מיקוד בשטף הקריאה ובכישורי שפה","מיקוד בשטף קריאה"),IF($AA373="ניכרת","מיקוד בכישורי שפה",IF(AND($L373="תקינה",$Z373="מפותחת"),"קוראים וכותבים מיומנים","מיקוד בהבנה והבעה"))))))</f>
        <v/>
      </c>
      <c r="AC373" s="32">
        <f>IF(OR($AB373="",LEFT($AB373,1)="—"),"",IF(OR($AB373="מיקוד בשטף קריאה",$AB373="מיקוד בשטף הקריאה ובכישורי שפה"),"רמה א'",IF($AB373="קוראים וכותבים מיומנים","רמה ג'","רמה ב'")))</f>
        <v/>
      </c>
      <c r="AD373" s="32">
        <f>IF($AC373="","",MID(IF(AND($AC373="רמה א'",$AA373="ניכרת"),"; להוסיף עבודת אוצר מילים","")&amp;IF($Z373="אינה מפותחת","; דגש על הבעה בכתב","")&amp;IF($K373&lt;&gt;"תקין","; נדרש לעבוד על ההנגנה","")&amp;IF($AK373&lt;&gt;"","; "&amp;$AK373,""),3,400))</f>
        <v/>
      </c>
      <c r="AE373" s="32">
        <f>IF($F373="","",IF($F373="תחילת שנה",1,IF($F373="מחצית שנה",2,3)))</f>
        <v/>
      </c>
      <c r="AF373" s="32">
        <f>IF(OR($B373="",$AC373="",$A373="",$F373=""),"",$B373&amp;"|"&amp;$A373&amp;"|"&amp;$F373&amp;"|"&amp;$AC373&amp;"|"&amp;COUNTIFS($B$6:$B373,$B373,$A$6:$A373,$A373,$F$6:$F373,$F373,$AC$6:$AC373,$AC373))</f>
        <v/>
      </c>
      <c r="AG373" s="32">
        <f>IF($C373="","",$C373&amp;"|"&amp;COUNTIFS($C$6:$C373,$C373))</f>
        <v/>
      </c>
      <c r="AH373" s="32">
        <f>IF(OR($C373="",$A373="",$AE373=""),"",$C373&amp;"|"&amp;$A373&amp;"|"&amp;$AE373)</f>
        <v/>
      </c>
      <c r="AI373" s="32">
        <f>IF(OR($C373="",$AE373="",$AE373=1),"",IFERROR(INDEX($AC$6:$AC$1505,MATCH($C373&amp;"|"&amp;$A373&amp;"|"&amp;($AE373-1),$AH$6:$AH$1505,0)),""))</f>
        <v/>
      </c>
      <c r="AJ373" s="32">
        <f>IF(OR($AI373="",$AC373=""),"",IF($AI373=$AC373,"ללא שינוי","מ-"&amp;$AI373&amp;" ל-"&amp;$AC373))</f>
        <v/>
      </c>
      <c r="AK373" s="67" t="n"/>
    </row>
    <row r="374" ht="15.75" customHeight="1" s="58">
      <c r="A374" s="65" t="n"/>
      <c r="B374" s="65" t="n"/>
      <c r="C374" s="66" t="n"/>
      <c r="D374" s="66" t="n"/>
      <c r="E374" s="65" t="n"/>
      <c r="F374" s="65" t="n"/>
      <c r="G374" s="65" t="n"/>
      <c r="H374" s="65" t="n"/>
      <c r="I374" s="65" t="n"/>
      <c r="J374" s="65" t="n"/>
      <c r="K374" s="65" t="n"/>
      <c r="L374" s="65" t="n"/>
      <c r="M374" s="65" t="n"/>
      <c r="N374" s="65" t="n"/>
      <c r="O374" s="65" t="n"/>
      <c r="P374" s="65" t="n"/>
      <c r="Q374" s="65" t="n"/>
      <c r="R374" s="65" t="n"/>
      <c r="S374" s="65" t="n"/>
      <c r="T374" s="65" t="n"/>
      <c r="U374" s="65" t="n"/>
      <c r="V374" s="65" t="n"/>
      <c r="W374" s="65" t="n"/>
      <c r="X374" s="65" t="n"/>
      <c r="Y374" s="32">
        <f>IF($C374="","",IF(COUNTA($I374:$K374)&lt;3,"— חסרים נתונים",IF(AND($I374="תקין",$J374="תקין",$K374="תקין"),"רהוטה",IF(AND($I374="תקין",$J374="תקין"),"מדויקת ורציפה","אינה מדויקת או מקוטעת"))))</f>
        <v/>
      </c>
      <c r="Z374" s="32">
        <f>IF($C374="","",IF(COUNTA($U374:$W374)&lt;3,"",IF(AND($U374="מפותח",$V374="מפותח",$W374="מפותחת"),"מפותחת",IF((--($U374="דל"))+(--($V374="אינו מפותח"))+(--($W374="דלה"))&gt;=2,"אינה מפותחת","חלקית"))))</f>
        <v/>
      </c>
      <c r="AA374" s="32">
        <f>IF($C374="","",IF(COUNTA($M374,$N374,$O374)&lt;3,"— חסרים נתונים",IF(OR($M374="נמוכה",(--($M374&lt;&gt;"תקינה"))+(--($N374&lt;&gt;"תקין"))+(--($O374&lt;&gt;"תקינה"))&gt;=2),"ניכרת","אינה ניכרת")))</f>
        <v/>
      </c>
      <c r="AB374" s="32">
        <f>IF(OR($C374="",$Y374="",$AA374="",LEFT($Y374,1)="—",LEFT($AA374,1)="—"),"",IF($Z374="","— נדרשת הערכת כתיבה",IF($L374="","— חסרה הבנת הנקרא",IF($Y374="אינה מדויקת או מקוטעת",IF($AA374="ניכרת","מיקוד בשטף הקריאה ובכישורי שפה","מיקוד בשטף קריאה"),IF($AA374="ניכרת","מיקוד בכישורי שפה",IF(AND($L374="תקינה",$Z374="מפותחת"),"קוראים וכותבים מיומנים","מיקוד בהבנה והבעה"))))))</f>
        <v/>
      </c>
      <c r="AC374" s="32">
        <f>IF(OR($AB374="",LEFT($AB374,1)="—"),"",IF(OR($AB374="מיקוד בשטף קריאה",$AB374="מיקוד בשטף הקריאה ובכישורי שפה"),"רמה א'",IF($AB374="קוראים וכותבים מיומנים","רמה ג'","רמה ב'")))</f>
        <v/>
      </c>
      <c r="AD374" s="32">
        <f>IF($AC374="","",MID(IF(AND($AC374="רמה א'",$AA374="ניכרת"),"; להוסיף עבודת אוצר מילים","")&amp;IF($Z374="אינה מפותחת","; דגש על הבעה בכתב","")&amp;IF($K374&lt;&gt;"תקין","; נדרש לעבוד על ההנגנה","")&amp;IF($AK374&lt;&gt;"","; "&amp;$AK374,""),3,400))</f>
        <v/>
      </c>
      <c r="AE374" s="32">
        <f>IF($F374="","",IF($F374="תחילת שנה",1,IF($F374="מחצית שנה",2,3)))</f>
        <v/>
      </c>
      <c r="AF374" s="32">
        <f>IF(OR($B374="",$AC374="",$A374="",$F374=""),"",$B374&amp;"|"&amp;$A374&amp;"|"&amp;$F374&amp;"|"&amp;$AC374&amp;"|"&amp;COUNTIFS($B$6:$B374,$B374,$A$6:$A374,$A374,$F$6:$F374,$F374,$AC$6:$AC374,$AC374))</f>
        <v/>
      </c>
      <c r="AG374" s="32">
        <f>IF($C374="","",$C374&amp;"|"&amp;COUNTIFS($C$6:$C374,$C374))</f>
        <v/>
      </c>
      <c r="AH374" s="32">
        <f>IF(OR($C374="",$A374="",$AE374=""),"",$C374&amp;"|"&amp;$A374&amp;"|"&amp;$AE374)</f>
        <v/>
      </c>
      <c r="AI374" s="32">
        <f>IF(OR($C374="",$AE374="",$AE374=1),"",IFERROR(INDEX($AC$6:$AC$1505,MATCH($C374&amp;"|"&amp;$A374&amp;"|"&amp;($AE374-1),$AH$6:$AH$1505,0)),""))</f>
        <v/>
      </c>
      <c r="AJ374" s="32">
        <f>IF(OR($AI374="",$AC374=""),"",IF($AI374=$AC374,"ללא שינוי","מ-"&amp;$AI374&amp;" ל-"&amp;$AC374))</f>
        <v/>
      </c>
      <c r="AK374" s="67" t="n"/>
    </row>
    <row r="375" ht="15.75" customHeight="1" s="58">
      <c r="A375" s="65" t="n"/>
      <c r="B375" s="65" t="n"/>
      <c r="C375" s="66" t="n"/>
      <c r="D375" s="66" t="n"/>
      <c r="E375" s="65" t="n"/>
      <c r="F375" s="65" t="n"/>
      <c r="G375" s="65" t="n"/>
      <c r="H375" s="65" t="n"/>
      <c r="I375" s="65" t="n"/>
      <c r="J375" s="65" t="n"/>
      <c r="K375" s="65" t="n"/>
      <c r="L375" s="65" t="n"/>
      <c r="M375" s="65" t="n"/>
      <c r="N375" s="65" t="n"/>
      <c r="O375" s="65" t="n"/>
      <c r="P375" s="65" t="n"/>
      <c r="Q375" s="65" t="n"/>
      <c r="R375" s="65" t="n"/>
      <c r="S375" s="65" t="n"/>
      <c r="T375" s="65" t="n"/>
      <c r="U375" s="65" t="n"/>
      <c r="V375" s="65" t="n"/>
      <c r="W375" s="65" t="n"/>
      <c r="X375" s="65" t="n"/>
      <c r="Y375" s="32">
        <f>IF($C375="","",IF(COUNTA($I375:$K375)&lt;3,"— חסרים נתונים",IF(AND($I375="תקין",$J375="תקין",$K375="תקין"),"רהוטה",IF(AND($I375="תקין",$J375="תקין"),"מדויקת ורציפה","אינה מדויקת או מקוטעת"))))</f>
        <v/>
      </c>
      <c r="Z375" s="32">
        <f>IF($C375="","",IF(COUNTA($U375:$W375)&lt;3,"",IF(AND($U375="מפותח",$V375="מפותח",$W375="מפותחת"),"מפותחת",IF((--($U375="דל"))+(--($V375="אינו מפותח"))+(--($W375="דלה"))&gt;=2,"אינה מפותחת","חלקית"))))</f>
        <v/>
      </c>
      <c r="AA375" s="32">
        <f>IF($C375="","",IF(COUNTA($M375,$N375,$O375)&lt;3,"— חסרים נתונים",IF(OR($M375="נמוכה",(--($M375&lt;&gt;"תקינה"))+(--($N375&lt;&gt;"תקין"))+(--($O375&lt;&gt;"תקינה"))&gt;=2),"ניכרת","אינה ניכרת")))</f>
        <v/>
      </c>
      <c r="AB375" s="32">
        <f>IF(OR($C375="",$Y375="",$AA375="",LEFT($Y375,1)="—",LEFT($AA375,1)="—"),"",IF($Z375="","— נדרשת הערכת כתיבה",IF($L375="","— חסרה הבנת הנקרא",IF($Y375="אינה מדויקת או מקוטעת",IF($AA375="ניכרת","מיקוד בשטף הקריאה ובכישורי שפה","מיקוד בשטף קריאה"),IF($AA375="ניכרת","מיקוד בכישורי שפה",IF(AND($L375="תקינה",$Z375="מפותחת"),"קוראים וכותבים מיומנים","מיקוד בהבנה והבעה"))))))</f>
        <v/>
      </c>
      <c r="AC375" s="32">
        <f>IF(OR($AB375="",LEFT($AB375,1)="—"),"",IF(OR($AB375="מיקוד בשטף קריאה",$AB375="מיקוד בשטף הקריאה ובכישורי שפה"),"רמה א'",IF($AB375="קוראים וכותבים מיומנים","רמה ג'","רמה ב'")))</f>
        <v/>
      </c>
      <c r="AD375" s="32">
        <f>IF($AC375="","",MID(IF(AND($AC375="רמה א'",$AA375="ניכרת"),"; להוסיף עבודת אוצר מילים","")&amp;IF($Z375="אינה מפותחת","; דגש על הבעה בכתב","")&amp;IF($K375&lt;&gt;"תקין","; נדרש לעבוד על ההנגנה","")&amp;IF($AK375&lt;&gt;"","; "&amp;$AK375,""),3,400))</f>
        <v/>
      </c>
      <c r="AE375" s="32">
        <f>IF($F375="","",IF($F375="תחילת שנה",1,IF($F375="מחצית שנה",2,3)))</f>
        <v/>
      </c>
      <c r="AF375" s="32">
        <f>IF(OR($B375="",$AC375="",$A375="",$F375=""),"",$B375&amp;"|"&amp;$A375&amp;"|"&amp;$F375&amp;"|"&amp;$AC375&amp;"|"&amp;COUNTIFS($B$6:$B375,$B375,$A$6:$A375,$A375,$F$6:$F375,$F375,$AC$6:$AC375,$AC375))</f>
        <v/>
      </c>
      <c r="AG375" s="32">
        <f>IF($C375="","",$C375&amp;"|"&amp;COUNTIFS($C$6:$C375,$C375))</f>
        <v/>
      </c>
      <c r="AH375" s="32">
        <f>IF(OR($C375="",$A375="",$AE375=""),"",$C375&amp;"|"&amp;$A375&amp;"|"&amp;$AE375)</f>
        <v/>
      </c>
      <c r="AI375" s="32">
        <f>IF(OR($C375="",$AE375="",$AE375=1),"",IFERROR(INDEX($AC$6:$AC$1505,MATCH($C375&amp;"|"&amp;$A375&amp;"|"&amp;($AE375-1),$AH$6:$AH$1505,0)),""))</f>
        <v/>
      </c>
      <c r="AJ375" s="32">
        <f>IF(OR($AI375="",$AC375=""),"",IF($AI375=$AC375,"ללא שינוי","מ-"&amp;$AI375&amp;" ל-"&amp;$AC375))</f>
        <v/>
      </c>
      <c r="AK375" s="67" t="n"/>
    </row>
    <row r="376" ht="15.75" customHeight="1" s="58">
      <c r="A376" s="65" t="n"/>
      <c r="B376" s="65" t="n"/>
      <c r="C376" s="66" t="n"/>
      <c r="D376" s="66" t="n"/>
      <c r="E376" s="65" t="n"/>
      <c r="F376" s="65" t="n"/>
      <c r="G376" s="65" t="n"/>
      <c r="H376" s="65" t="n"/>
      <c r="I376" s="65" t="n"/>
      <c r="J376" s="65" t="n"/>
      <c r="K376" s="65" t="n"/>
      <c r="L376" s="65" t="n"/>
      <c r="M376" s="65" t="n"/>
      <c r="N376" s="65" t="n"/>
      <c r="O376" s="65" t="n"/>
      <c r="P376" s="65" t="n"/>
      <c r="Q376" s="65" t="n"/>
      <c r="R376" s="65" t="n"/>
      <c r="S376" s="65" t="n"/>
      <c r="T376" s="65" t="n"/>
      <c r="U376" s="65" t="n"/>
      <c r="V376" s="65" t="n"/>
      <c r="W376" s="65" t="n"/>
      <c r="X376" s="65" t="n"/>
      <c r="Y376" s="32">
        <f>IF($C376="","",IF(COUNTA($I376:$K376)&lt;3,"— חסרים נתונים",IF(AND($I376="תקין",$J376="תקין",$K376="תקין"),"רהוטה",IF(AND($I376="תקין",$J376="תקין"),"מדויקת ורציפה","אינה מדויקת או מקוטעת"))))</f>
        <v/>
      </c>
      <c r="Z376" s="32">
        <f>IF($C376="","",IF(COUNTA($U376:$W376)&lt;3,"",IF(AND($U376="מפותח",$V376="מפותח",$W376="מפותחת"),"מפותחת",IF((--($U376="דל"))+(--($V376="אינו מפותח"))+(--($W376="דלה"))&gt;=2,"אינה מפותחת","חלקית"))))</f>
        <v/>
      </c>
      <c r="AA376" s="32">
        <f>IF($C376="","",IF(COUNTA($M376,$N376,$O376)&lt;3,"— חסרים נתונים",IF(OR($M376="נמוכה",(--($M376&lt;&gt;"תקינה"))+(--($N376&lt;&gt;"תקין"))+(--($O376&lt;&gt;"תקינה"))&gt;=2),"ניכרת","אינה ניכרת")))</f>
        <v/>
      </c>
      <c r="AB376" s="32">
        <f>IF(OR($C376="",$Y376="",$AA376="",LEFT($Y376,1)="—",LEFT($AA376,1)="—"),"",IF($Z376="","— נדרשת הערכת כתיבה",IF($L376="","— חסרה הבנת הנקרא",IF($Y376="אינה מדויקת או מקוטעת",IF($AA376="ניכרת","מיקוד בשטף הקריאה ובכישורי שפה","מיקוד בשטף קריאה"),IF($AA376="ניכרת","מיקוד בכישורי שפה",IF(AND($L376="תקינה",$Z376="מפותחת"),"קוראים וכותבים מיומנים","מיקוד בהבנה והבעה"))))))</f>
        <v/>
      </c>
      <c r="AC376" s="32">
        <f>IF(OR($AB376="",LEFT($AB376,1)="—"),"",IF(OR($AB376="מיקוד בשטף קריאה",$AB376="מיקוד בשטף הקריאה ובכישורי שפה"),"רמה א'",IF($AB376="קוראים וכותבים מיומנים","רמה ג'","רמה ב'")))</f>
        <v/>
      </c>
      <c r="AD376" s="32">
        <f>IF($AC376="","",MID(IF(AND($AC376="רמה א'",$AA376="ניכרת"),"; להוסיף עבודת אוצר מילים","")&amp;IF($Z376="אינה מפותחת","; דגש על הבעה בכתב","")&amp;IF($K376&lt;&gt;"תקין","; נדרש לעבוד על ההנגנה","")&amp;IF($AK376&lt;&gt;"","; "&amp;$AK376,""),3,400))</f>
        <v/>
      </c>
      <c r="AE376" s="32">
        <f>IF($F376="","",IF($F376="תחילת שנה",1,IF($F376="מחצית שנה",2,3)))</f>
        <v/>
      </c>
      <c r="AF376" s="32">
        <f>IF(OR($B376="",$AC376="",$A376="",$F376=""),"",$B376&amp;"|"&amp;$A376&amp;"|"&amp;$F376&amp;"|"&amp;$AC376&amp;"|"&amp;COUNTIFS($B$6:$B376,$B376,$A$6:$A376,$A376,$F$6:$F376,$F376,$AC$6:$AC376,$AC376))</f>
        <v/>
      </c>
      <c r="AG376" s="32">
        <f>IF($C376="","",$C376&amp;"|"&amp;COUNTIFS($C$6:$C376,$C376))</f>
        <v/>
      </c>
      <c r="AH376" s="32">
        <f>IF(OR($C376="",$A376="",$AE376=""),"",$C376&amp;"|"&amp;$A376&amp;"|"&amp;$AE376)</f>
        <v/>
      </c>
      <c r="AI376" s="32">
        <f>IF(OR($C376="",$AE376="",$AE376=1),"",IFERROR(INDEX($AC$6:$AC$1505,MATCH($C376&amp;"|"&amp;$A376&amp;"|"&amp;($AE376-1),$AH$6:$AH$1505,0)),""))</f>
        <v/>
      </c>
      <c r="AJ376" s="32">
        <f>IF(OR($AI376="",$AC376=""),"",IF($AI376=$AC376,"ללא שינוי","מ-"&amp;$AI376&amp;" ל-"&amp;$AC376))</f>
        <v/>
      </c>
      <c r="AK376" s="67" t="n"/>
    </row>
    <row r="377" ht="15.75" customHeight="1" s="58">
      <c r="A377" s="65" t="n"/>
      <c r="B377" s="65" t="n"/>
      <c r="C377" s="66" t="n"/>
      <c r="D377" s="66" t="n"/>
      <c r="E377" s="65" t="n"/>
      <c r="F377" s="65" t="n"/>
      <c r="G377" s="65" t="n"/>
      <c r="H377" s="65" t="n"/>
      <c r="I377" s="65" t="n"/>
      <c r="J377" s="65" t="n"/>
      <c r="K377" s="65" t="n"/>
      <c r="L377" s="65" t="n"/>
      <c r="M377" s="65" t="n"/>
      <c r="N377" s="65" t="n"/>
      <c r="O377" s="65" t="n"/>
      <c r="P377" s="65" t="n"/>
      <c r="Q377" s="65" t="n"/>
      <c r="R377" s="65" t="n"/>
      <c r="S377" s="65" t="n"/>
      <c r="T377" s="65" t="n"/>
      <c r="U377" s="65" t="n"/>
      <c r="V377" s="65" t="n"/>
      <c r="W377" s="65" t="n"/>
      <c r="X377" s="65" t="n"/>
      <c r="Y377" s="32">
        <f>IF($C377="","",IF(COUNTA($I377:$K377)&lt;3,"— חסרים נתונים",IF(AND($I377="תקין",$J377="תקין",$K377="תקין"),"רהוטה",IF(AND($I377="תקין",$J377="תקין"),"מדויקת ורציפה","אינה מדויקת או מקוטעת"))))</f>
        <v/>
      </c>
      <c r="Z377" s="32">
        <f>IF($C377="","",IF(COUNTA($U377:$W377)&lt;3,"",IF(AND($U377="מפותח",$V377="מפותח",$W377="מפותחת"),"מפותחת",IF((--($U377="דל"))+(--($V377="אינו מפותח"))+(--($W377="דלה"))&gt;=2,"אינה מפותחת","חלקית"))))</f>
        <v/>
      </c>
      <c r="AA377" s="32">
        <f>IF($C377="","",IF(COUNTA($M377,$N377,$O377)&lt;3,"— חסרים נתונים",IF(OR($M377="נמוכה",(--($M377&lt;&gt;"תקינה"))+(--($N377&lt;&gt;"תקין"))+(--($O377&lt;&gt;"תקינה"))&gt;=2),"ניכרת","אינה ניכרת")))</f>
        <v/>
      </c>
      <c r="AB377" s="32">
        <f>IF(OR($C377="",$Y377="",$AA377="",LEFT($Y377,1)="—",LEFT($AA377,1)="—"),"",IF($Z377="","— נדרשת הערכת כתיבה",IF($L377="","— חסרה הבנת הנקרא",IF($Y377="אינה מדויקת או מקוטעת",IF($AA377="ניכרת","מיקוד בשטף הקריאה ובכישורי שפה","מיקוד בשטף קריאה"),IF($AA377="ניכרת","מיקוד בכישורי שפה",IF(AND($L377="תקינה",$Z377="מפותחת"),"קוראים וכותבים מיומנים","מיקוד בהבנה והבעה"))))))</f>
        <v/>
      </c>
      <c r="AC377" s="32">
        <f>IF(OR($AB377="",LEFT($AB377,1)="—"),"",IF(OR($AB377="מיקוד בשטף קריאה",$AB377="מיקוד בשטף הקריאה ובכישורי שפה"),"רמה א'",IF($AB377="קוראים וכותבים מיומנים","רמה ג'","רמה ב'")))</f>
        <v/>
      </c>
      <c r="AD377" s="32">
        <f>IF($AC377="","",MID(IF(AND($AC377="רמה א'",$AA377="ניכרת"),"; להוסיף עבודת אוצר מילים","")&amp;IF($Z377="אינה מפותחת","; דגש על הבעה בכתב","")&amp;IF($K377&lt;&gt;"תקין","; נדרש לעבוד על ההנגנה","")&amp;IF($AK377&lt;&gt;"","; "&amp;$AK377,""),3,400))</f>
        <v/>
      </c>
      <c r="AE377" s="32">
        <f>IF($F377="","",IF($F377="תחילת שנה",1,IF($F377="מחצית שנה",2,3)))</f>
        <v/>
      </c>
      <c r="AF377" s="32">
        <f>IF(OR($B377="",$AC377="",$A377="",$F377=""),"",$B377&amp;"|"&amp;$A377&amp;"|"&amp;$F377&amp;"|"&amp;$AC377&amp;"|"&amp;COUNTIFS($B$6:$B377,$B377,$A$6:$A377,$A377,$F$6:$F377,$F377,$AC$6:$AC377,$AC377))</f>
        <v/>
      </c>
      <c r="AG377" s="32">
        <f>IF($C377="","",$C377&amp;"|"&amp;COUNTIFS($C$6:$C377,$C377))</f>
        <v/>
      </c>
      <c r="AH377" s="32">
        <f>IF(OR($C377="",$A377="",$AE377=""),"",$C377&amp;"|"&amp;$A377&amp;"|"&amp;$AE377)</f>
        <v/>
      </c>
      <c r="AI377" s="32">
        <f>IF(OR($C377="",$AE377="",$AE377=1),"",IFERROR(INDEX($AC$6:$AC$1505,MATCH($C377&amp;"|"&amp;$A377&amp;"|"&amp;($AE377-1),$AH$6:$AH$1505,0)),""))</f>
        <v/>
      </c>
      <c r="AJ377" s="32">
        <f>IF(OR($AI377="",$AC377=""),"",IF($AI377=$AC377,"ללא שינוי","מ-"&amp;$AI377&amp;" ל-"&amp;$AC377))</f>
        <v/>
      </c>
      <c r="AK377" s="67" t="n"/>
    </row>
    <row r="378" ht="15.75" customHeight="1" s="58">
      <c r="A378" s="65" t="n"/>
      <c r="B378" s="65" t="n"/>
      <c r="C378" s="66" t="n"/>
      <c r="D378" s="66" t="n"/>
      <c r="E378" s="65" t="n"/>
      <c r="F378" s="65" t="n"/>
      <c r="G378" s="65" t="n"/>
      <c r="H378" s="65" t="n"/>
      <c r="I378" s="65" t="n"/>
      <c r="J378" s="65" t="n"/>
      <c r="K378" s="65" t="n"/>
      <c r="L378" s="65" t="n"/>
      <c r="M378" s="65" t="n"/>
      <c r="N378" s="65" t="n"/>
      <c r="O378" s="65" t="n"/>
      <c r="P378" s="65" t="n"/>
      <c r="Q378" s="65" t="n"/>
      <c r="R378" s="65" t="n"/>
      <c r="S378" s="65" t="n"/>
      <c r="T378" s="65" t="n"/>
      <c r="U378" s="65" t="n"/>
      <c r="V378" s="65" t="n"/>
      <c r="W378" s="65" t="n"/>
      <c r="X378" s="65" t="n"/>
      <c r="Y378" s="32">
        <f>IF($C378="","",IF(COUNTA($I378:$K378)&lt;3,"— חסרים נתונים",IF(AND($I378="תקין",$J378="תקין",$K378="תקין"),"רהוטה",IF(AND($I378="תקין",$J378="תקין"),"מדויקת ורציפה","אינה מדויקת או מקוטעת"))))</f>
        <v/>
      </c>
      <c r="Z378" s="32">
        <f>IF($C378="","",IF(COUNTA($U378:$W378)&lt;3,"",IF(AND($U378="מפותח",$V378="מפותח",$W378="מפותחת"),"מפותחת",IF((--($U378="דל"))+(--($V378="אינו מפותח"))+(--($W378="דלה"))&gt;=2,"אינה מפותחת","חלקית"))))</f>
        <v/>
      </c>
      <c r="AA378" s="32">
        <f>IF($C378="","",IF(COUNTA($M378,$N378,$O378)&lt;3,"— חסרים נתונים",IF(OR($M378="נמוכה",(--($M378&lt;&gt;"תקינה"))+(--($N378&lt;&gt;"תקין"))+(--($O378&lt;&gt;"תקינה"))&gt;=2),"ניכרת","אינה ניכרת")))</f>
        <v/>
      </c>
      <c r="AB378" s="32">
        <f>IF(OR($C378="",$Y378="",$AA378="",LEFT($Y378,1)="—",LEFT($AA378,1)="—"),"",IF($Z378="","— נדרשת הערכת כתיבה",IF($L378="","— חסרה הבנת הנקרא",IF($Y378="אינה מדויקת או מקוטעת",IF($AA378="ניכרת","מיקוד בשטף הקריאה ובכישורי שפה","מיקוד בשטף קריאה"),IF($AA378="ניכרת","מיקוד בכישורי שפה",IF(AND($L378="תקינה",$Z378="מפותחת"),"קוראים וכותבים מיומנים","מיקוד בהבנה והבעה"))))))</f>
        <v/>
      </c>
      <c r="AC378" s="32">
        <f>IF(OR($AB378="",LEFT($AB378,1)="—"),"",IF(OR($AB378="מיקוד בשטף קריאה",$AB378="מיקוד בשטף הקריאה ובכישורי שפה"),"רמה א'",IF($AB378="קוראים וכותבים מיומנים","רמה ג'","רמה ב'")))</f>
        <v/>
      </c>
      <c r="AD378" s="32">
        <f>IF($AC378="","",MID(IF(AND($AC378="רמה א'",$AA378="ניכרת"),"; להוסיף עבודת אוצר מילים","")&amp;IF($Z378="אינה מפותחת","; דגש על הבעה בכתב","")&amp;IF($K378&lt;&gt;"תקין","; נדרש לעבוד על ההנגנה","")&amp;IF($AK378&lt;&gt;"","; "&amp;$AK378,""),3,400))</f>
        <v/>
      </c>
      <c r="AE378" s="32">
        <f>IF($F378="","",IF($F378="תחילת שנה",1,IF($F378="מחצית שנה",2,3)))</f>
        <v/>
      </c>
      <c r="AF378" s="32">
        <f>IF(OR($B378="",$AC378="",$A378="",$F378=""),"",$B378&amp;"|"&amp;$A378&amp;"|"&amp;$F378&amp;"|"&amp;$AC378&amp;"|"&amp;COUNTIFS($B$6:$B378,$B378,$A$6:$A378,$A378,$F$6:$F378,$F378,$AC$6:$AC378,$AC378))</f>
        <v/>
      </c>
      <c r="AG378" s="32">
        <f>IF($C378="","",$C378&amp;"|"&amp;COUNTIFS($C$6:$C378,$C378))</f>
        <v/>
      </c>
      <c r="AH378" s="32">
        <f>IF(OR($C378="",$A378="",$AE378=""),"",$C378&amp;"|"&amp;$A378&amp;"|"&amp;$AE378)</f>
        <v/>
      </c>
      <c r="AI378" s="32">
        <f>IF(OR($C378="",$AE378="",$AE378=1),"",IFERROR(INDEX($AC$6:$AC$1505,MATCH($C378&amp;"|"&amp;$A378&amp;"|"&amp;($AE378-1),$AH$6:$AH$1505,0)),""))</f>
        <v/>
      </c>
      <c r="AJ378" s="32">
        <f>IF(OR($AI378="",$AC378=""),"",IF($AI378=$AC378,"ללא שינוי","מ-"&amp;$AI378&amp;" ל-"&amp;$AC378))</f>
        <v/>
      </c>
      <c r="AK378" s="67" t="n"/>
    </row>
    <row r="379" ht="15.75" customHeight="1" s="58">
      <c r="A379" s="65" t="n"/>
      <c r="B379" s="65" t="n"/>
      <c r="C379" s="66" t="n"/>
      <c r="D379" s="66" t="n"/>
      <c r="E379" s="65" t="n"/>
      <c r="F379" s="65" t="n"/>
      <c r="G379" s="65" t="n"/>
      <c r="H379" s="65" t="n"/>
      <c r="I379" s="65" t="n"/>
      <c r="J379" s="65" t="n"/>
      <c r="K379" s="65" t="n"/>
      <c r="L379" s="65" t="n"/>
      <c r="M379" s="65" t="n"/>
      <c r="N379" s="65" t="n"/>
      <c r="O379" s="65" t="n"/>
      <c r="P379" s="65" t="n"/>
      <c r="Q379" s="65" t="n"/>
      <c r="R379" s="65" t="n"/>
      <c r="S379" s="65" t="n"/>
      <c r="T379" s="65" t="n"/>
      <c r="U379" s="65" t="n"/>
      <c r="V379" s="65" t="n"/>
      <c r="W379" s="65" t="n"/>
      <c r="X379" s="65" t="n"/>
      <c r="Y379" s="32">
        <f>IF($C379="","",IF(COUNTA($I379:$K379)&lt;3,"— חסרים נתונים",IF(AND($I379="תקין",$J379="תקין",$K379="תקין"),"רהוטה",IF(AND($I379="תקין",$J379="תקין"),"מדויקת ורציפה","אינה מדויקת או מקוטעת"))))</f>
        <v/>
      </c>
      <c r="Z379" s="32">
        <f>IF($C379="","",IF(COUNTA($U379:$W379)&lt;3,"",IF(AND($U379="מפותח",$V379="מפותח",$W379="מפותחת"),"מפותחת",IF((--($U379="דל"))+(--($V379="אינו מפותח"))+(--($W379="דלה"))&gt;=2,"אינה מפותחת","חלקית"))))</f>
        <v/>
      </c>
      <c r="AA379" s="32">
        <f>IF($C379="","",IF(COUNTA($M379,$N379,$O379)&lt;3,"— חסרים נתונים",IF(OR($M379="נמוכה",(--($M379&lt;&gt;"תקינה"))+(--($N379&lt;&gt;"תקין"))+(--($O379&lt;&gt;"תקינה"))&gt;=2),"ניכרת","אינה ניכרת")))</f>
        <v/>
      </c>
      <c r="AB379" s="32">
        <f>IF(OR($C379="",$Y379="",$AA379="",LEFT($Y379,1)="—",LEFT($AA379,1)="—"),"",IF($Z379="","— נדרשת הערכת כתיבה",IF($L379="","— חסרה הבנת הנקרא",IF($Y379="אינה מדויקת או מקוטעת",IF($AA379="ניכרת","מיקוד בשטף הקריאה ובכישורי שפה","מיקוד בשטף קריאה"),IF($AA379="ניכרת","מיקוד בכישורי שפה",IF(AND($L379="תקינה",$Z379="מפותחת"),"קוראים וכותבים מיומנים","מיקוד בהבנה והבעה"))))))</f>
        <v/>
      </c>
      <c r="AC379" s="32">
        <f>IF(OR($AB379="",LEFT($AB379,1)="—"),"",IF(OR($AB379="מיקוד בשטף קריאה",$AB379="מיקוד בשטף הקריאה ובכישורי שפה"),"רמה א'",IF($AB379="קוראים וכותבים מיומנים","רמה ג'","רמה ב'")))</f>
        <v/>
      </c>
      <c r="AD379" s="32">
        <f>IF($AC379="","",MID(IF(AND($AC379="רמה א'",$AA379="ניכרת"),"; להוסיף עבודת אוצר מילים","")&amp;IF($Z379="אינה מפותחת","; דגש על הבעה בכתב","")&amp;IF($K379&lt;&gt;"תקין","; נדרש לעבוד על ההנגנה","")&amp;IF($AK379&lt;&gt;"","; "&amp;$AK379,""),3,400))</f>
        <v/>
      </c>
      <c r="AE379" s="32">
        <f>IF($F379="","",IF($F379="תחילת שנה",1,IF($F379="מחצית שנה",2,3)))</f>
        <v/>
      </c>
      <c r="AF379" s="32">
        <f>IF(OR($B379="",$AC379="",$A379="",$F379=""),"",$B379&amp;"|"&amp;$A379&amp;"|"&amp;$F379&amp;"|"&amp;$AC379&amp;"|"&amp;COUNTIFS($B$6:$B379,$B379,$A$6:$A379,$A379,$F$6:$F379,$F379,$AC$6:$AC379,$AC379))</f>
        <v/>
      </c>
      <c r="AG379" s="32">
        <f>IF($C379="","",$C379&amp;"|"&amp;COUNTIFS($C$6:$C379,$C379))</f>
        <v/>
      </c>
      <c r="AH379" s="32">
        <f>IF(OR($C379="",$A379="",$AE379=""),"",$C379&amp;"|"&amp;$A379&amp;"|"&amp;$AE379)</f>
        <v/>
      </c>
      <c r="AI379" s="32">
        <f>IF(OR($C379="",$AE379="",$AE379=1),"",IFERROR(INDEX($AC$6:$AC$1505,MATCH($C379&amp;"|"&amp;$A379&amp;"|"&amp;($AE379-1),$AH$6:$AH$1505,0)),""))</f>
        <v/>
      </c>
      <c r="AJ379" s="32">
        <f>IF(OR($AI379="",$AC379=""),"",IF($AI379=$AC379,"ללא שינוי","מ-"&amp;$AI379&amp;" ל-"&amp;$AC379))</f>
        <v/>
      </c>
      <c r="AK379" s="67" t="n"/>
    </row>
    <row r="380" ht="15.75" customHeight="1" s="58">
      <c r="A380" s="65" t="n"/>
      <c r="B380" s="65" t="n"/>
      <c r="C380" s="66" t="n"/>
      <c r="D380" s="66" t="n"/>
      <c r="E380" s="65" t="n"/>
      <c r="F380" s="65" t="n"/>
      <c r="G380" s="65" t="n"/>
      <c r="H380" s="65" t="n"/>
      <c r="I380" s="65" t="n"/>
      <c r="J380" s="65" t="n"/>
      <c r="K380" s="65" t="n"/>
      <c r="L380" s="65" t="n"/>
      <c r="M380" s="65" t="n"/>
      <c r="N380" s="65" t="n"/>
      <c r="O380" s="65" t="n"/>
      <c r="P380" s="65" t="n"/>
      <c r="Q380" s="65" t="n"/>
      <c r="R380" s="65" t="n"/>
      <c r="S380" s="65" t="n"/>
      <c r="T380" s="65" t="n"/>
      <c r="U380" s="65" t="n"/>
      <c r="V380" s="65" t="n"/>
      <c r="W380" s="65" t="n"/>
      <c r="X380" s="65" t="n"/>
      <c r="Y380" s="32">
        <f>IF($C380="","",IF(COUNTA($I380:$K380)&lt;3,"— חסרים נתונים",IF(AND($I380="תקין",$J380="תקין",$K380="תקין"),"רהוטה",IF(AND($I380="תקין",$J380="תקין"),"מדויקת ורציפה","אינה מדויקת או מקוטעת"))))</f>
        <v/>
      </c>
      <c r="Z380" s="32">
        <f>IF($C380="","",IF(COUNTA($U380:$W380)&lt;3,"",IF(AND($U380="מפותח",$V380="מפותח",$W380="מפותחת"),"מפותחת",IF((--($U380="דל"))+(--($V380="אינו מפותח"))+(--($W380="דלה"))&gt;=2,"אינה מפותחת","חלקית"))))</f>
        <v/>
      </c>
      <c r="AA380" s="32">
        <f>IF($C380="","",IF(COUNTA($M380,$N380,$O380)&lt;3,"— חסרים נתונים",IF(OR($M380="נמוכה",(--($M380&lt;&gt;"תקינה"))+(--($N380&lt;&gt;"תקין"))+(--($O380&lt;&gt;"תקינה"))&gt;=2),"ניכרת","אינה ניכרת")))</f>
        <v/>
      </c>
      <c r="AB380" s="32">
        <f>IF(OR($C380="",$Y380="",$AA380="",LEFT($Y380,1)="—",LEFT($AA380,1)="—"),"",IF($Z380="","— נדרשת הערכת כתיבה",IF($L380="","— חסרה הבנת הנקרא",IF($Y380="אינה מדויקת או מקוטעת",IF($AA380="ניכרת","מיקוד בשטף הקריאה ובכישורי שפה","מיקוד בשטף קריאה"),IF($AA380="ניכרת","מיקוד בכישורי שפה",IF(AND($L380="תקינה",$Z380="מפותחת"),"קוראים וכותבים מיומנים","מיקוד בהבנה והבעה"))))))</f>
        <v/>
      </c>
      <c r="AC380" s="32">
        <f>IF(OR($AB380="",LEFT($AB380,1)="—"),"",IF(OR($AB380="מיקוד בשטף קריאה",$AB380="מיקוד בשטף הקריאה ובכישורי שפה"),"רמה א'",IF($AB380="קוראים וכותבים מיומנים","רמה ג'","רמה ב'")))</f>
        <v/>
      </c>
      <c r="AD380" s="32">
        <f>IF($AC380="","",MID(IF(AND($AC380="רמה א'",$AA380="ניכרת"),"; להוסיף עבודת אוצר מילים","")&amp;IF($Z380="אינה מפותחת","; דגש על הבעה בכתב","")&amp;IF($K380&lt;&gt;"תקין","; נדרש לעבוד על ההנגנה","")&amp;IF($AK380&lt;&gt;"","; "&amp;$AK380,""),3,400))</f>
        <v/>
      </c>
      <c r="AE380" s="32">
        <f>IF($F380="","",IF($F380="תחילת שנה",1,IF($F380="מחצית שנה",2,3)))</f>
        <v/>
      </c>
      <c r="AF380" s="32">
        <f>IF(OR($B380="",$AC380="",$A380="",$F380=""),"",$B380&amp;"|"&amp;$A380&amp;"|"&amp;$F380&amp;"|"&amp;$AC380&amp;"|"&amp;COUNTIFS($B$6:$B380,$B380,$A$6:$A380,$A380,$F$6:$F380,$F380,$AC$6:$AC380,$AC380))</f>
        <v/>
      </c>
      <c r="AG380" s="32">
        <f>IF($C380="","",$C380&amp;"|"&amp;COUNTIFS($C$6:$C380,$C380))</f>
        <v/>
      </c>
      <c r="AH380" s="32">
        <f>IF(OR($C380="",$A380="",$AE380=""),"",$C380&amp;"|"&amp;$A380&amp;"|"&amp;$AE380)</f>
        <v/>
      </c>
      <c r="AI380" s="32">
        <f>IF(OR($C380="",$AE380="",$AE380=1),"",IFERROR(INDEX($AC$6:$AC$1505,MATCH($C380&amp;"|"&amp;$A380&amp;"|"&amp;($AE380-1),$AH$6:$AH$1505,0)),""))</f>
        <v/>
      </c>
      <c r="AJ380" s="32">
        <f>IF(OR($AI380="",$AC380=""),"",IF($AI380=$AC380,"ללא שינוי","מ-"&amp;$AI380&amp;" ל-"&amp;$AC380))</f>
        <v/>
      </c>
      <c r="AK380" s="67" t="n"/>
    </row>
    <row r="381" ht="15.75" customHeight="1" s="58">
      <c r="A381" s="65" t="n"/>
      <c r="B381" s="65" t="n"/>
      <c r="C381" s="66" t="n"/>
      <c r="D381" s="66" t="n"/>
      <c r="E381" s="65" t="n"/>
      <c r="F381" s="65" t="n"/>
      <c r="G381" s="65" t="n"/>
      <c r="H381" s="65" t="n"/>
      <c r="I381" s="65" t="n"/>
      <c r="J381" s="65" t="n"/>
      <c r="K381" s="65" t="n"/>
      <c r="L381" s="65" t="n"/>
      <c r="M381" s="65" t="n"/>
      <c r="N381" s="65" t="n"/>
      <c r="O381" s="65" t="n"/>
      <c r="P381" s="65" t="n"/>
      <c r="Q381" s="65" t="n"/>
      <c r="R381" s="65" t="n"/>
      <c r="S381" s="65" t="n"/>
      <c r="T381" s="65" t="n"/>
      <c r="U381" s="65" t="n"/>
      <c r="V381" s="65" t="n"/>
      <c r="W381" s="65" t="n"/>
      <c r="X381" s="65" t="n"/>
      <c r="Y381" s="32">
        <f>IF($C381="","",IF(COUNTA($I381:$K381)&lt;3,"— חסרים נתונים",IF(AND($I381="תקין",$J381="תקין",$K381="תקין"),"רהוטה",IF(AND($I381="תקין",$J381="תקין"),"מדויקת ורציפה","אינה מדויקת או מקוטעת"))))</f>
        <v/>
      </c>
      <c r="Z381" s="32">
        <f>IF($C381="","",IF(COUNTA($U381:$W381)&lt;3,"",IF(AND($U381="מפותח",$V381="מפותח",$W381="מפותחת"),"מפותחת",IF((--($U381="דל"))+(--($V381="אינו מפותח"))+(--($W381="דלה"))&gt;=2,"אינה מפותחת","חלקית"))))</f>
        <v/>
      </c>
      <c r="AA381" s="32">
        <f>IF($C381="","",IF(COUNTA($M381,$N381,$O381)&lt;3,"— חסרים נתונים",IF(OR($M381="נמוכה",(--($M381&lt;&gt;"תקינה"))+(--($N381&lt;&gt;"תקין"))+(--($O381&lt;&gt;"תקינה"))&gt;=2),"ניכרת","אינה ניכרת")))</f>
        <v/>
      </c>
      <c r="AB381" s="32">
        <f>IF(OR($C381="",$Y381="",$AA381="",LEFT($Y381,1)="—",LEFT($AA381,1)="—"),"",IF($Z381="","— נדרשת הערכת כתיבה",IF($L381="","— חסרה הבנת הנקרא",IF($Y381="אינה מדויקת או מקוטעת",IF($AA381="ניכרת","מיקוד בשטף הקריאה ובכישורי שפה","מיקוד בשטף קריאה"),IF($AA381="ניכרת","מיקוד בכישורי שפה",IF(AND($L381="תקינה",$Z381="מפותחת"),"קוראים וכותבים מיומנים","מיקוד בהבנה והבעה"))))))</f>
        <v/>
      </c>
      <c r="AC381" s="32">
        <f>IF(OR($AB381="",LEFT($AB381,1)="—"),"",IF(OR($AB381="מיקוד בשטף קריאה",$AB381="מיקוד בשטף הקריאה ובכישורי שפה"),"רמה א'",IF($AB381="קוראים וכותבים מיומנים","רמה ג'","רמה ב'")))</f>
        <v/>
      </c>
      <c r="AD381" s="32">
        <f>IF($AC381="","",MID(IF(AND($AC381="רמה א'",$AA381="ניכרת"),"; להוסיף עבודת אוצר מילים","")&amp;IF($Z381="אינה מפותחת","; דגש על הבעה בכתב","")&amp;IF($K381&lt;&gt;"תקין","; נדרש לעבוד על ההנגנה","")&amp;IF($AK381&lt;&gt;"","; "&amp;$AK381,""),3,400))</f>
        <v/>
      </c>
      <c r="AE381" s="32">
        <f>IF($F381="","",IF($F381="תחילת שנה",1,IF($F381="מחצית שנה",2,3)))</f>
        <v/>
      </c>
      <c r="AF381" s="32">
        <f>IF(OR($B381="",$AC381="",$A381="",$F381=""),"",$B381&amp;"|"&amp;$A381&amp;"|"&amp;$F381&amp;"|"&amp;$AC381&amp;"|"&amp;COUNTIFS($B$6:$B381,$B381,$A$6:$A381,$A381,$F$6:$F381,$F381,$AC$6:$AC381,$AC381))</f>
        <v/>
      </c>
      <c r="AG381" s="32">
        <f>IF($C381="","",$C381&amp;"|"&amp;COUNTIFS($C$6:$C381,$C381))</f>
        <v/>
      </c>
      <c r="AH381" s="32">
        <f>IF(OR($C381="",$A381="",$AE381=""),"",$C381&amp;"|"&amp;$A381&amp;"|"&amp;$AE381)</f>
        <v/>
      </c>
      <c r="AI381" s="32">
        <f>IF(OR($C381="",$AE381="",$AE381=1),"",IFERROR(INDEX($AC$6:$AC$1505,MATCH($C381&amp;"|"&amp;$A381&amp;"|"&amp;($AE381-1),$AH$6:$AH$1505,0)),""))</f>
        <v/>
      </c>
      <c r="AJ381" s="32">
        <f>IF(OR($AI381="",$AC381=""),"",IF($AI381=$AC381,"ללא שינוי","מ-"&amp;$AI381&amp;" ל-"&amp;$AC381))</f>
        <v/>
      </c>
      <c r="AK381" s="67" t="n"/>
    </row>
    <row r="382" ht="15.75" customHeight="1" s="58">
      <c r="A382" s="65" t="n"/>
      <c r="B382" s="65" t="n"/>
      <c r="C382" s="66" t="n"/>
      <c r="D382" s="66" t="n"/>
      <c r="E382" s="65" t="n"/>
      <c r="F382" s="65" t="n"/>
      <c r="G382" s="65" t="n"/>
      <c r="H382" s="65" t="n"/>
      <c r="I382" s="65" t="n"/>
      <c r="J382" s="65" t="n"/>
      <c r="K382" s="65" t="n"/>
      <c r="L382" s="65" t="n"/>
      <c r="M382" s="65" t="n"/>
      <c r="N382" s="65" t="n"/>
      <c r="O382" s="65" t="n"/>
      <c r="P382" s="65" t="n"/>
      <c r="Q382" s="65" t="n"/>
      <c r="R382" s="65" t="n"/>
      <c r="S382" s="65" t="n"/>
      <c r="T382" s="65" t="n"/>
      <c r="U382" s="65" t="n"/>
      <c r="V382" s="65" t="n"/>
      <c r="W382" s="65" t="n"/>
      <c r="X382" s="65" t="n"/>
      <c r="Y382" s="32">
        <f>IF($C382="","",IF(COUNTA($I382:$K382)&lt;3,"— חסרים נתונים",IF(AND($I382="תקין",$J382="תקין",$K382="תקין"),"רהוטה",IF(AND($I382="תקין",$J382="תקין"),"מדויקת ורציפה","אינה מדויקת או מקוטעת"))))</f>
        <v/>
      </c>
      <c r="Z382" s="32">
        <f>IF($C382="","",IF(COUNTA($U382:$W382)&lt;3,"",IF(AND($U382="מפותח",$V382="מפותח",$W382="מפותחת"),"מפותחת",IF((--($U382="דל"))+(--($V382="אינו מפותח"))+(--($W382="דלה"))&gt;=2,"אינה מפותחת","חלקית"))))</f>
        <v/>
      </c>
      <c r="AA382" s="32">
        <f>IF($C382="","",IF(COUNTA($M382,$N382,$O382)&lt;3,"— חסרים נתונים",IF(OR($M382="נמוכה",(--($M382&lt;&gt;"תקינה"))+(--($N382&lt;&gt;"תקין"))+(--($O382&lt;&gt;"תקינה"))&gt;=2),"ניכרת","אינה ניכרת")))</f>
        <v/>
      </c>
      <c r="AB382" s="32">
        <f>IF(OR($C382="",$Y382="",$AA382="",LEFT($Y382,1)="—",LEFT($AA382,1)="—"),"",IF($Z382="","— נדרשת הערכת כתיבה",IF($L382="","— חסרה הבנת הנקרא",IF($Y382="אינה מדויקת או מקוטעת",IF($AA382="ניכרת","מיקוד בשטף הקריאה ובכישורי שפה","מיקוד בשטף קריאה"),IF($AA382="ניכרת","מיקוד בכישורי שפה",IF(AND($L382="תקינה",$Z382="מפותחת"),"קוראים וכותבים מיומנים","מיקוד בהבנה והבעה"))))))</f>
        <v/>
      </c>
      <c r="AC382" s="32">
        <f>IF(OR($AB382="",LEFT($AB382,1)="—"),"",IF(OR($AB382="מיקוד בשטף קריאה",$AB382="מיקוד בשטף הקריאה ובכישורי שפה"),"רמה א'",IF($AB382="קוראים וכותבים מיומנים","רמה ג'","רמה ב'")))</f>
        <v/>
      </c>
      <c r="AD382" s="32">
        <f>IF($AC382="","",MID(IF(AND($AC382="רמה א'",$AA382="ניכרת"),"; להוסיף עבודת אוצר מילים","")&amp;IF($Z382="אינה מפותחת","; דגש על הבעה בכתב","")&amp;IF($K382&lt;&gt;"תקין","; נדרש לעבוד על ההנגנה","")&amp;IF($AK382&lt;&gt;"","; "&amp;$AK382,""),3,400))</f>
        <v/>
      </c>
      <c r="AE382" s="32">
        <f>IF($F382="","",IF($F382="תחילת שנה",1,IF($F382="מחצית שנה",2,3)))</f>
        <v/>
      </c>
      <c r="AF382" s="32">
        <f>IF(OR($B382="",$AC382="",$A382="",$F382=""),"",$B382&amp;"|"&amp;$A382&amp;"|"&amp;$F382&amp;"|"&amp;$AC382&amp;"|"&amp;COUNTIFS($B$6:$B382,$B382,$A$6:$A382,$A382,$F$6:$F382,$F382,$AC$6:$AC382,$AC382))</f>
        <v/>
      </c>
      <c r="AG382" s="32">
        <f>IF($C382="","",$C382&amp;"|"&amp;COUNTIFS($C$6:$C382,$C382))</f>
        <v/>
      </c>
      <c r="AH382" s="32">
        <f>IF(OR($C382="",$A382="",$AE382=""),"",$C382&amp;"|"&amp;$A382&amp;"|"&amp;$AE382)</f>
        <v/>
      </c>
      <c r="AI382" s="32">
        <f>IF(OR($C382="",$AE382="",$AE382=1),"",IFERROR(INDEX($AC$6:$AC$1505,MATCH($C382&amp;"|"&amp;$A382&amp;"|"&amp;($AE382-1),$AH$6:$AH$1505,0)),""))</f>
        <v/>
      </c>
      <c r="AJ382" s="32">
        <f>IF(OR($AI382="",$AC382=""),"",IF($AI382=$AC382,"ללא שינוי","מ-"&amp;$AI382&amp;" ל-"&amp;$AC382))</f>
        <v/>
      </c>
      <c r="AK382" s="67" t="n"/>
    </row>
    <row r="383" ht="15.75" customHeight="1" s="58">
      <c r="A383" s="65" t="n"/>
      <c r="B383" s="65" t="n"/>
      <c r="C383" s="66" t="n"/>
      <c r="D383" s="66" t="n"/>
      <c r="E383" s="65" t="n"/>
      <c r="F383" s="65" t="n"/>
      <c r="G383" s="65" t="n"/>
      <c r="H383" s="65" t="n"/>
      <c r="I383" s="65" t="n"/>
      <c r="J383" s="65" t="n"/>
      <c r="K383" s="65" t="n"/>
      <c r="L383" s="65" t="n"/>
      <c r="M383" s="65" t="n"/>
      <c r="N383" s="65" t="n"/>
      <c r="O383" s="65" t="n"/>
      <c r="P383" s="65" t="n"/>
      <c r="Q383" s="65" t="n"/>
      <c r="R383" s="65" t="n"/>
      <c r="S383" s="65" t="n"/>
      <c r="T383" s="65" t="n"/>
      <c r="U383" s="65" t="n"/>
      <c r="V383" s="65" t="n"/>
      <c r="W383" s="65" t="n"/>
      <c r="X383" s="65" t="n"/>
      <c r="Y383" s="32">
        <f>IF($C383="","",IF(COUNTA($I383:$K383)&lt;3,"— חסרים נתונים",IF(AND($I383="תקין",$J383="תקין",$K383="תקין"),"רהוטה",IF(AND($I383="תקין",$J383="תקין"),"מדויקת ורציפה","אינה מדויקת או מקוטעת"))))</f>
        <v/>
      </c>
      <c r="Z383" s="32">
        <f>IF($C383="","",IF(COUNTA($U383:$W383)&lt;3,"",IF(AND($U383="מפותח",$V383="מפותח",$W383="מפותחת"),"מפותחת",IF((--($U383="דל"))+(--($V383="אינו מפותח"))+(--($W383="דלה"))&gt;=2,"אינה מפותחת","חלקית"))))</f>
        <v/>
      </c>
      <c r="AA383" s="32">
        <f>IF($C383="","",IF(COUNTA($M383,$N383,$O383)&lt;3,"— חסרים נתונים",IF(OR($M383="נמוכה",(--($M383&lt;&gt;"תקינה"))+(--($N383&lt;&gt;"תקין"))+(--($O383&lt;&gt;"תקינה"))&gt;=2),"ניכרת","אינה ניכרת")))</f>
        <v/>
      </c>
      <c r="AB383" s="32">
        <f>IF(OR($C383="",$Y383="",$AA383="",LEFT($Y383,1)="—",LEFT($AA383,1)="—"),"",IF($Z383="","— נדרשת הערכת כתיבה",IF($L383="","— חסרה הבנת הנקרא",IF($Y383="אינה מדויקת או מקוטעת",IF($AA383="ניכרת","מיקוד בשטף הקריאה ובכישורי שפה","מיקוד בשטף קריאה"),IF($AA383="ניכרת","מיקוד בכישורי שפה",IF(AND($L383="תקינה",$Z383="מפותחת"),"קוראים וכותבים מיומנים","מיקוד בהבנה והבעה"))))))</f>
        <v/>
      </c>
      <c r="AC383" s="32">
        <f>IF(OR($AB383="",LEFT($AB383,1)="—"),"",IF(OR($AB383="מיקוד בשטף קריאה",$AB383="מיקוד בשטף הקריאה ובכישורי שפה"),"רמה א'",IF($AB383="קוראים וכותבים מיומנים","רמה ג'","רמה ב'")))</f>
        <v/>
      </c>
      <c r="AD383" s="32">
        <f>IF($AC383="","",MID(IF(AND($AC383="רמה א'",$AA383="ניכרת"),"; להוסיף עבודת אוצר מילים","")&amp;IF($Z383="אינה מפותחת","; דגש על הבעה בכתב","")&amp;IF($K383&lt;&gt;"תקין","; נדרש לעבוד על ההנגנה","")&amp;IF($AK383&lt;&gt;"","; "&amp;$AK383,""),3,400))</f>
        <v/>
      </c>
      <c r="AE383" s="32">
        <f>IF($F383="","",IF($F383="תחילת שנה",1,IF($F383="מחצית שנה",2,3)))</f>
        <v/>
      </c>
      <c r="AF383" s="32">
        <f>IF(OR($B383="",$AC383="",$A383="",$F383=""),"",$B383&amp;"|"&amp;$A383&amp;"|"&amp;$F383&amp;"|"&amp;$AC383&amp;"|"&amp;COUNTIFS($B$6:$B383,$B383,$A$6:$A383,$A383,$F$6:$F383,$F383,$AC$6:$AC383,$AC383))</f>
        <v/>
      </c>
      <c r="AG383" s="32">
        <f>IF($C383="","",$C383&amp;"|"&amp;COUNTIFS($C$6:$C383,$C383))</f>
        <v/>
      </c>
      <c r="AH383" s="32">
        <f>IF(OR($C383="",$A383="",$AE383=""),"",$C383&amp;"|"&amp;$A383&amp;"|"&amp;$AE383)</f>
        <v/>
      </c>
      <c r="AI383" s="32">
        <f>IF(OR($C383="",$AE383="",$AE383=1),"",IFERROR(INDEX($AC$6:$AC$1505,MATCH($C383&amp;"|"&amp;$A383&amp;"|"&amp;($AE383-1),$AH$6:$AH$1505,0)),""))</f>
        <v/>
      </c>
      <c r="AJ383" s="32">
        <f>IF(OR($AI383="",$AC383=""),"",IF($AI383=$AC383,"ללא שינוי","מ-"&amp;$AI383&amp;" ל-"&amp;$AC383))</f>
        <v/>
      </c>
      <c r="AK383" s="67" t="n"/>
    </row>
    <row r="384" ht="15.75" customHeight="1" s="58">
      <c r="A384" s="65" t="n"/>
      <c r="B384" s="65" t="n"/>
      <c r="C384" s="66" t="n"/>
      <c r="D384" s="66" t="n"/>
      <c r="E384" s="65" t="n"/>
      <c r="F384" s="65" t="n"/>
      <c r="G384" s="65" t="n"/>
      <c r="H384" s="65" t="n"/>
      <c r="I384" s="65" t="n"/>
      <c r="J384" s="65" t="n"/>
      <c r="K384" s="65" t="n"/>
      <c r="L384" s="65" t="n"/>
      <c r="M384" s="65" t="n"/>
      <c r="N384" s="65" t="n"/>
      <c r="O384" s="65" t="n"/>
      <c r="P384" s="65" t="n"/>
      <c r="Q384" s="65" t="n"/>
      <c r="R384" s="65" t="n"/>
      <c r="S384" s="65" t="n"/>
      <c r="T384" s="65" t="n"/>
      <c r="U384" s="65" t="n"/>
      <c r="V384" s="65" t="n"/>
      <c r="W384" s="65" t="n"/>
      <c r="X384" s="65" t="n"/>
      <c r="Y384" s="32">
        <f>IF($C384="","",IF(COUNTA($I384:$K384)&lt;3,"— חסרים נתונים",IF(AND($I384="תקין",$J384="תקין",$K384="תקין"),"רהוטה",IF(AND($I384="תקין",$J384="תקין"),"מדויקת ורציפה","אינה מדויקת או מקוטעת"))))</f>
        <v/>
      </c>
      <c r="Z384" s="32">
        <f>IF($C384="","",IF(COUNTA($U384:$W384)&lt;3,"",IF(AND($U384="מפותח",$V384="מפותח",$W384="מפותחת"),"מפותחת",IF((--($U384="דל"))+(--($V384="אינו מפותח"))+(--($W384="דלה"))&gt;=2,"אינה מפותחת","חלקית"))))</f>
        <v/>
      </c>
      <c r="AA384" s="32">
        <f>IF($C384="","",IF(COUNTA($M384,$N384,$O384)&lt;3,"— חסרים נתונים",IF(OR($M384="נמוכה",(--($M384&lt;&gt;"תקינה"))+(--($N384&lt;&gt;"תקין"))+(--($O384&lt;&gt;"תקינה"))&gt;=2),"ניכרת","אינה ניכרת")))</f>
        <v/>
      </c>
      <c r="AB384" s="32">
        <f>IF(OR($C384="",$Y384="",$AA384="",LEFT($Y384,1)="—",LEFT($AA384,1)="—"),"",IF($Z384="","— נדרשת הערכת כתיבה",IF($L384="","— חסרה הבנת הנקרא",IF($Y384="אינה מדויקת או מקוטעת",IF($AA384="ניכרת","מיקוד בשטף הקריאה ובכישורי שפה","מיקוד בשטף קריאה"),IF($AA384="ניכרת","מיקוד בכישורי שפה",IF(AND($L384="תקינה",$Z384="מפותחת"),"קוראים וכותבים מיומנים","מיקוד בהבנה והבעה"))))))</f>
        <v/>
      </c>
      <c r="AC384" s="32">
        <f>IF(OR($AB384="",LEFT($AB384,1)="—"),"",IF(OR($AB384="מיקוד בשטף קריאה",$AB384="מיקוד בשטף הקריאה ובכישורי שפה"),"רמה א'",IF($AB384="קוראים וכותבים מיומנים","רמה ג'","רמה ב'")))</f>
        <v/>
      </c>
      <c r="AD384" s="32">
        <f>IF($AC384="","",MID(IF(AND($AC384="רמה א'",$AA384="ניכרת"),"; להוסיף עבודת אוצר מילים","")&amp;IF($Z384="אינה מפותחת","; דגש על הבעה בכתב","")&amp;IF($K384&lt;&gt;"תקין","; נדרש לעבוד על ההנגנה","")&amp;IF($AK384&lt;&gt;"","; "&amp;$AK384,""),3,400))</f>
        <v/>
      </c>
      <c r="AE384" s="32">
        <f>IF($F384="","",IF($F384="תחילת שנה",1,IF($F384="מחצית שנה",2,3)))</f>
        <v/>
      </c>
      <c r="AF384" s="32">
        <f>IF(OR($B384="",$AC384="",$A384="",$F384=""),"",$B384&amp;"|"&amp;$A384&amp;"|"&amp;$F384&amp;"|"&amp;$AC384&amp;"|"&amp;COUNTIFS($B$6:$B384,$B384,$A$6:$A384,$A384,$F$6:$F384,$F384,$AC$6:$AC384,$AC384))</f>
        <v/>
      </c>
      <c r="AG384" s="32">
        <f>IF($C384="","",$C384&amp;"|"&amp;COUNTIFS($C$6:$C384,$C384))</f>
        <v/>
      </c>
      <c r="AH384" s="32">
        <f>IF(OR($C384="",$A384="",$AE384=""),"",$C384&amp;"|"&amp;$A384&amp;"|"&amp;$AE384)</f>
        <v/>
      </c>
      <c r="AI384" s="32">
        <f>IF(OR($C384="",$AE384="",$AE384=1),"",IFERROR(INDEX($AC$6:$AC$1505,MATCH($C384&amp;"|"&amp;$A384&amp;"|"&amp;($AE384-1),$AH$6:$AH$1505,0)),""))</f>
        <v/>
      </c>
      <c r="AJ384" s="32">
        <f>IF(OR($AI384="",$AC384=""),"",IF($AI384=$AC384,"ללא שינוי","מ-"&amp;$AI384&amp;" ל-"&amp;$AC384))</f>
        <v/>
      </c>
      <c r="AK384" s="67" t="n"/>
    </row>
    <row r="385" ht="15.75" customHeight="1" s="58">
      <c r="A385" s="65" t="n"/>
      <c r="B385" s="65" t="n"/>
      <c r="C385" s="66" t="n"/>
      <c r="D385" s="66" t="n"/>
      <c r="E385" s="65" t="n"/>
      <c r="F385" s="65" t="n"/>
      <c r="G385" s="65" t="n"/>
      <c r="H385" s="65" t="n"/>
      <c r="I385" s="65" t="n"/>
      <c r="J385" s="65" t="n"/>
      <c r="K385" s="65" t="n"/>
      <c r="L385" s="65" t="n"/>
      <c r="M385" s="65" t="n"/>
      <c r="N385" s="65" t="n"/>
      <c r="O385" s="65" t="n"/>
      <c r="P385" s="65" t="n"/>
      <c r="Q385" s="65" t="n"/>
      <c r="R385" s="65" t="n"/>
      <c r="S385" s="65" t="n"/>
      <c r="T385" s="65" t="n"/>
      <c r="U385" s="65" t="n"/>
      <c r="V385" s="65" t="n"/>
      <c r="W385" s="65" t="n"/>
      <c r="X385" s="65" t="n"/>
      <c r="Y385" s="32">
        <f>IF($C385="","",IF(COUNTA($I385:$K385)&lt;3,"— חסרים נתונים",IF(AND($I385="תקין",$J385="תקין",$K385="תקין"),"רהוטה",IF(AND($I385="תקין",$J385="תקין"),"מדויקת ורציפה","אינה מדויקת או מקוטעת"))))</f>
        <v/>
      </c>
      <c r="Z385" s="32">
        <f>IF($C385="","",IF(COUNTA($U385:$W385)&lt;3,"",IF(AND($U385="מפותח",$V385="מפותח",$W385="מפותחת"),"מפותחת",IF((--($U385="דל"))+(--($V385="אינו מפותח"))+(--($W385="דלה"))&gt;=2,"אינה מפותחת","חלקית"))))</f>
        <v/>
      </c>
      <c r="AA385" s="32">
        <f>IF($C385="","",IF(COUNTA($M385,$N385,$O385)&lt;3,"— חסרים נתונים",IF(OR($M385="נמוכה",(--($M385&lt;&gt;"תקינה"))+(--($N385&lt;&gt;"תקין"))+(--($O385&lt;&gt;"תקינה"))&gt;=2),"ניכרת","אינה ניכרת")))</f>
        <v/>
      </c>
      <c r="AB385" s="32">
        <f>IF(OR($C385="",$Y385="",$AA385="",LEFT($Y385,1)="—",LEFT($AA385,1)="—"),"",IF($Z385="","— נדרשת הערכת כתיבה",IF($L385="","— חסרה הבנת הנקרא",IF($Y385="אינה מדויקת או מקוטעת",IF($AA385="ניכרת","מיקוד בשטף הקריאה ובכישורי שפה","מיקוד בשטף קריאה"),IF($AA385="ניכרת","מיקוד בכישורי שפה",IF(AND($L385="תקינה",$Z385="מפותחת"),"קוראים וכותבים מיומנים","מיקוד בהבנה והבעה"))))))</f>
        <v/>
      </c>
      <c r="AC385" s="32">
        <f>IF(OR($AB385="",LEFT($AB385,1)="—"),"",IF(OR($AB385="מיקוד בשטף קריאה",$AB385="מיקוד בשטף הקריאה ובכישורי שפה"),"רמה א'",IF($AB385="קוראים וכותבים מיומנים","רמה ג'","רמה ב'")))</f>
        <v/>
      </c>
      <c r="AD385" s="32">
        <f>IF($AC385="","",MID(IF(AND($AC385="רמה א'",$AA385="ניכרת"),"; להוסיף עבודת אוצר מילים","")&amp;IF($Z385="אינה מפותחת","; דגש על הבעה בכתב","")&amp;IF($K385&lt;&gt;"תקין","; נדרש לעבוד על ההנגנה","")&amp;IF($AK385&lt;&gt;"","; "&amp;$AK385,""),3,400))</f>
        <v/>
      </c>
      <c r="AE385" s="32">
        <f>IF($F385="","",IF($F385="תחילת שנה",1,IF($F385="מחצית שנה",2,3)))</f>
        <v/>
      </c>
      <c r="AF385" s="32">
        <f>IF(OR($B385="",$AC385="",$A385="",$F385=""),"",$B385&amp;"|"&amp;$A385&amp;"|"&amp;$F385&amp;"|"&amp;$AC385&amp;"|"&amp;COUNTIFS($B$6:$B385,$B385,$A$6:$A385,$A385,$F$6:$F385,$F385,$AC$6:$AC385,$AC385))</f>
        <v/>
      </c>
      <c r="AG385" s="32">
        <f>IF($C385="","",$C385&amp;"|"&amp;COUNTIFS($C$6:$C385,$C385))</f>
        <v/>
      </c>
      <c r="AH385" s="32">
        <f>IF(OR($C385="",$A385="",$AE385=""),"",$C385&amp;"|"&amp;$A385&amp;"|"&amp;$AE385)</f>
        <v/>
      </c>
      <c r="AI385" s="32">
        <f>IF(OR($C385="",$AE385="",$AE385=1),"",IFERROR(INDEX($AC$6:$AC$1505,MATCH($C385&amp;"|"&amp;$A385&amp;"|"&amp;($AE385-1),$AH$6:$AH$1505,0)),""))</f>
        <v/>
      </c>
      <c r="AJ385" s="32">
        <f>IF(OR($AI385="",$AC385=""),"",IF($AI385=$AC385,"ללא שינוי","מ-"&amp;$AI385&amp;" ל-"&amp;$AC385))</f>
        <v/>
      </c>
      <c r="AK385" s="67" t="n"/>
    </row>
    <row r="386" ht="15.75" customHeight="1" s="58">
      <c r="A386" s="65" t="n"/>
      <c r="B386" s="65" t="n"/>
      <c r="C386" s="66" t="n"/>
      <c r="D386" s="66" t="n"/>
      <c r="E386" s="65" t="n"/>
      <c r="F386" s="65" t="n"/>
      <c r="G386" s="65" t="n"/>
      <c r="H386" s="65" t="n"/>
      <c r="I386" s="65" t="n"/>
      <c r="J386" s="65" t="n"/>
      <c r="K386" s="65" t="n"/>
      <c r="L386" s="65" t="n"/>
      <c r="M386" s="65" t="n"/>
      <c r="N386" s="65" t="n"/>
      <c r="O386" s="65" t="n"/>
      <c r="P386" s="65" t="n"/>
      <c r="Q386" s="65" t="n"/>
      <c r="R386" s="65" t="n"/>
      <c r="S386" s="65" t="n"/>
      <c r="T386" s="65" t="n"/>
      <c r="U386" s="65" t="n"/>
      <c r="V386" s="65" t="n"/>
      <c r="W386" s="65" t="n"/>
      <c r="X386" s="65" t="n"/>
      <c r="Y386" s="32">
        <f>IF($C386="","",IF(COUNTA($I386:$K386)&lt;3,"— חסרים נתונים",IF(AND($I386="תקין",$J386="תקין",$K386="תקין"),"רהוטה",IF(AND($I386="תקין",$J386="תקין"),"מדויקת ורציפה","אינה מדויקת או מקוטעת"))))</f>
        <v/>
      </c>
      <c r="Z386" s="32">
        <f>IF($C386="","",IF(COUNTA($U386:$W386)&lt;3,"",IF(AND($U386="מפותח",$V386="מפותח",$W386="מפותחת"),"מפותחת",IF((--($U386="דל"))+(--($V386="אינו מפותח"))+(--($W386="דלה"))&gt;=2,"אינה מפותחת","חלקית"))))</f>
        <v/>
      </c>
      <c r="AA386" s="32">
        <f>IF($C386="","",IF(COUNTA($M386,$N386,$O386)&lt;3,"— חסרים נתונים",IF(OR($M386="נמוכה",(--($M386&lt;&gt;"תקינה"))+(--($N386&lt;&gt;"תקין"))+(--($O386&lt;&gt;"תקינה"))&gt;=2),"ניכרת","אינה ניכרת")))</f>
        <v/>
      </c>
      <c r="AB386" s="32">
        <f>IF(OR($C386="",$Y386="",$AA386="",LEFT($Y386,1)="—",LEFT($AA386,1)="—"),"",IF($Z386="","— נדרשת הערכת כתיבה",IF($L386="","— חסרה הבנת הנקרא",IF($Y386="אינה מדויקת או מקוטעת",IF($AA386="ניכרת","מיקוד בשטף הקריאה ובכישורי שפה","מיקוד בשטף קריאה"),IF($AA386="ניכרת","מיקוד בכישורי שפה",IF(AND($L386="תקינה",$Z386="מפותחת"),"קוראים וכותבים מיומנים","מיקוד בהבנה והבעה"))))))</f>
        <v/>
      </c>
      <c r="AC386" s="32">
        <f>IF(OR($AB386="",LEFT($AB386,1)="—"),"",IF(OR($AB386="מיקוד בשטף קריאה",$AB386="מיקוד בשטף הקריאה ובכישורי שפה"),"רמה א'",IF($AB386="קוראים וכותבים מיומנים","רמה ג'","רמה ב'")))</f>
        <v/>
      </c>
      <c r="AD386" s="32">
        <f>IF($AC386="","",MID(IF(AND($AC386="רמה א'",$AA386="ניכרת"),"; להוסיף עבודת אוצר מילים","")&amp;IF($Z386="אינה מפותחת","; דגש על הבעה בכתב","")&amp;IF($K386&lt;&gt;"תקין","; נדרש לעבוד על ההנגנה","")&amp;IF($AK386&lt;&gt;"","; "&amp;$AK386,""),3,400))</f>
        <v/>
      </c>
      <c r="AE386" s="32">
        <f>IF($F386="","",IF($F386="תחילת שנה",1,IF($F386="מחצית שנה",2,3)))</f>
        <v/>
      </c>
      <c r="AF386" s="32">
        <f>IF(OR($B386="",$AC386="",$A386="",$F386=""),"",$B386&amp;"|"&amp;$A386&amp;"|"&amp;$F386&amp;"|"&amp;$AC386&amp;"|"&amp;COUNTIFS($B$6:$B386,$B386,$A$6:$A386,$A386,$F$6:$F386,$F386,$AC$6:$AC386,$AC386))</f>
        <v/>
      </c>
      <c r="AG386" s="32">
        <f>IF($C386="","",$C386&amp;"|"&amp;COUNTIFS($C$6:$C386,$C386))</f>
        <v/>
      </c>
      <c r="AH386" s="32">
        <f>IF(OR($C386="",$A386="",$AE386=""),"",$C386&amp;"|"&amp;$A386&amp;"|"&amp;$AE386)</f>
        <v/>
      </c>
      <c r="AI386" s="32">
        <f>IF(OR($C386="",$AE386="",$AE386=1),"",IFERROR(INDEX($AC$6:$AC$1505,MATCH($C386&amp;"|"&amp;$A386&amp;"|"&amp;($AE386-1),$AH$6:$AH$1505,0)),""))</f>
        <v/>
      </c>
      <c r="AJ386" s="32">
        <f>IF(OR($AI386="",$AC386=""),"",IF($AI386=$AC386,"ללא שינוי","מ-"&amp;$AI386&amp;" ל-"&amp;$AC386))</f>
        <v/>
      </c>
      <c r="AK386" s="67" t="n"/>
    </row>
    <row r="387" ht="15.75" customHeight="1" s="58">
      <c r="A387" s="65" t="n"/>
      <c r="B387" s="65" t="n"/>
      <c r="C387" s="66" t="n"/>
      <c r="D387" s="66" t="n"/>
      <c r="E387" s="65" t="n"/>
      <c r="F387" s="65" t="n"/>
      <c r="G387" s="65" t="n"/>
      <c r="H387" s="65" t="n"/>
      <c r="I387" s="65" t="n"/>
      <c r="J387" s="65" t="n"/>
      <c r="K387" s="65" t="n"/>
      <c r="L387" s="65" t="n"/>
      <c r="M387" s="65" t="n"/>
      <c r="N387" s="65" t="n"/>
      <c r="O387" s="65" t="n"/>
      <c r="P387" s="65" t="n"/>
      <c r="Q387" s="65" t="n"/>
      <c r="R387" s="65" t="n"/>
      <c r="S387" s="65" t="n"/>
      <c r="T387" s="65" t="n"/>
      <c r="U387" s="65" t="n"/>
      <c r="V387" s="65" t="n"/>
      <c r="W387" s="65" t="n"/>
      <c r="X387" s="65" t="n"/>
      <c r="Y387" s="32">
        <f>IF($C387="","",IF(COUNTA($I387:$K387)&lt;3,"— חסרים נתונים",IF(AND($I387="תקין",$J387="תקין",$K387="תקין"),"רהוטה",IF(AND($I387="תקין",$J387="תקין"),"מדויקת ורציפה","אינה מדויקת או מקוטעת"))))</f>
        <v/>
      </c>
      <c r="Z387" s="32">
        <f>IF($C387="","",IF(COUNTA($U387:$W387)&lt;3,"",IF(AND($U387="מפותח",$V387="מפותח",$W387="מפותחת"),"מפותחת",IF((--($U387="דל"))+(--($V387="אינו מפותח"))+(--($W387="דלה"))&gt;=2,"אינה מפותחת","חלקית"))))</f>
        <v/>
      </c>
      <c r="AA387" s="32">
        <f>IF($C387="","",IF(COUNTA($M387,$N387,$O387)&lt;3,"— חסרים נתונים",IF(OR($M387="נמוכה",(--($M387&lt;&gt;"תקינה"))+(--($N387&lt;&gt;"תקין"))+(--($O387&lt;&gt;"תקינה"))&gt;=2),"ניכרת","אינה ניכרת")))</f>
        <v/>
      </c>
      <c r="AB387" s="32">
        <f>IF(OR($C387="",$Y387="",$AA387="",LEFT($Y387,1)="—",LEFT($AA387,1)="—"),"",IF($Z387="","— נדרשת הערכת כתיבה",IF($L387="","— חסרה הבנת הנקרא",IF($Y387="אינה מדויקת או מקוטעת",IF($AA387="ניכרת","מיקוד בשטף הקריאה ובכישורי שפה","מיקוד בשטף קריאה"),IF($AA387="ניכרת","מיקוד בכישורי שפה",IF(AND($L387="תקינה",$Z387="מפותחת"),"קוראים וכותבים מיומנים","מיקוד בהבנה והבעה"))))))</f>
        <v/>
      </c>
      <c r="AC387" s="32">
        <f>IF(OR($AB387="",LEFT($AB387,1)="—"),"",IF(OR($AB387="מיקוד בשטף קריאה",$AB387="מיקוד בשטף הקריאה ובכישורי שפה"),"רמה א'",IF($AB387="קוראים וכותבים מיומנים","רמה ג'","רמה ב'")))</f>
        <v/>
      </c>
      <c r="AD387" s="32">
        <f>IF($AC387="","",MID(IF(AND($AC387="רמה א'",$AA387="ניכרת"),"; להוסיף עבודת אוצר מילים","")&amp;IF($Z387="אינה מפותחת","; דגש על הבעה בכתב","")&amp;IF($K387&lt;&gt;"תקין","; נדרש לעבוד על ההנגנה","")&amp;IF($AK387&lt;&gt;"","; "&amp;$AK387,""),3,400))</f>
        <v/>
      </c>
      <c r="AE387" s="32">
        <f>IF($F387="","",IF($F387="תחילת שנה",1,IF($F387="מחצית שנה",2,3)))</f>
        <v/>
      </c>
      <c r="AF387" s="32">
        <f>IF(OR($B387="",$AC387="",$A387="",$F387=""),"",$B387&amp;"|"&amp;$A387&amp;"|"&amp;$F387&amp;"|"&amp;$AC387&amp;"|"&amp;COUNTIFS($B$6:$B387,$B387,$A$6:$A387,$A387,$F$6:$F387,$F387,$AC$6:$AC387,$AC387))</f>
        <v/>
      </c>
      <c r="AG387" s="32">
        <f>IF($C387="","",$C387&amp;"|"&amp;COUNTIFS($C$6:$C387,$C387))</f>
        <v/>
      </c>
      <c r="AH387" s="32">
        <f>IF(OR($C387="",$A387="",$AE387=""),"",$C387&amp;"|"&amp;$A387&amp;"|"&amp;$AE387)</f>
        <v/>
      </c>
      <c r="AI387" s="32">
        <f>IF(OR($C387="",$AE387="",$AE387=1),"",IFERROR(INDEX($AC$6:$AC$1505,MATCH($C387&amp;"|"&amp;$A387&amp;"|"&amp;($AE387-1),$AH$6:$AH$1505,0)),""))</f>
        <v/>
      </c>
      <c r="AJ387" s="32">
        <f>IF(OR($AI387="",$AC387=""),"",IF($AI387=$AC387,"ללא שינוי","מ-"&amp;$AI387&amp;" ל-"&amp;$AC387))</f>
        <v/>
      </c>
      <c r="AK387" s="67" t="n"/>
    </row>
    <row r="388" ht="15.75" customHeight="1" s="58">
      <c r="A388" s="65" t="n"/>
      <c r="B388" s="65" t="n"/>
      <c r="C388" s="66" t="n"/>
      <c r="D388" s="66" t="n"/>
      <c r="E388" s="65" t="n"/>
      <c r="F388" s="65" t="n"/>
      <c r="G388" s="65" t="n"/>
      <c r="H388" s="65" t="n"/>
      <c r="I388" s="65" t="n"/>
      <c r="J388" s="65" t="n"/>
      <c r="K388" s="65" t="n"/>
      <c r="L388" s="65" t="n"/>
      <c r="M388" s="65" t="n"/>
      <c r="N388" s="65" t="n"/>
      <c r="O388" s="65" t="n"/>
      <c r="P388" s="65" t="n"/>
      <c r="Q388" s="65" t="n"/>
      <c r="R388" s="65" t="n"/>
      <c r="S388" s="65" t="n"/>
      <c r="T388" s="65" t="n"/>
      <c r="U388" s="65" t="n"/>
      <c r="V388" s="65" t="n"/>
      <c r="W388" s="65" t="n"/>
      <c r="X388" s="65" t="n"/>
      <c r="Y388" s="32">
        <f>IF($C388="","",IF(COUNTA($I388:$K388)&lt;3,"— חסרים נתונים",IF(AND($I388="תקין",$J388="תקין",$K388="תקין"),"רהוטה",IF(AND($I388="תקין",$J388="תקין"),"מדויקת ורציפה","אינה מדויקת או מקוטעת"))))</f>
        <v/>
      </c>
      <c r="Z388" s="32">
        <f>IF($C388="","",IF(COUNTA($U388:$W388)&lt;3,"",IF(AND($U388="מפותח",$V388="מפותח",$W388="מפותחת"),"מפותחת",IF((--($U388="דל"))+(--($V388="אינו מפותח"))+(--($W388="דלה"))&gt;=2,"אינה מפותחת","חלקית"))))</f>
        <v/>
      </c>
      <c r="AA388" s="32">
        <f>IF($C388="","",IF(COUNTA($M388,$N388,$O388)&lt;3,"— חסרים נתונים",IF(OR($M388="נמוכה",(--($M388&lt;&gt;"תקינה"))+(--($N388&lt;&gt;"תקין"))+(--($O388&lt;&gt;"תקינה"))&gt;=2),"ניכרת","אינה ניכרת")))</f>
        <v/>
      </c>
      <c r="AB388" s="32">
        <f>IF(OR($C388="",$Y388="",$AA388="",LEFT($Y388,1)="—",LEFT($AA388,1)="—"),"",IF($Z388="","— נדרשת הערכת כתיבה",IF($L388="","— חסרה הבנת הנקרא",IF($Y388="אינה מדויקת או מקוטעת",IF($AA388="ניכרת","מיקוד בשטף הקריאה ובכישורי שפה","מיקוד בשטף קריאה"),IF($AA388="ניכרת","מיקוד בכישורי שפה",IF(AND($L388="תקינה",$Z388="מפותחת"),"קוראים וכותבים מיומנים","מיקוד בהבנה והבעה"))))))</f>
        <v/>
      </c>
      <c r="AC388" s="32">
        <f>IF(OR($AB388="",LEFT($AB388,1)="—"),"",IF(OR($AB388="מיקוד בשטף קריאה",$AB388="מיקוד בשטף הקריאה ובכישורי שפה"),"רמה א'",IF($AB388="קוראים וכותבים מיומנים","רמה ג'","רמה ב'")))</f>
        <v/>
      </c>
      <c r="AD388" s="32">
        <f>IF($AC388="","",MID(IF(AND($AC388="רמה א'",$AA388="ניכרת"),"; להוסיף עבודת אוצר מילים","")&amp;IF($Z388="אינה מפותחת","; דגש על הבעה בכתב","")&amp;IF($K388&lt;&gt;"תקין","; נדרש לעבוד על ההנגנה","")&amp;IF($AK388&lt;&gt;"","; "&amp;$AK388,""),3,400))</f>
        <v/>
      </c>
      <c r="AE388" s="32">
        <f>IF($F388="","",IF($F388="תחילת שנה",1,IF($F388="מחצית שנה",2,3)))</f>
        <v/>
      </c>
      <c r="AF388" s="32">
        <f>IF(OR($B388="",$AC388="",$A388="",$F388=""),"",$B388&amp;"|"&amp;$A388&amp;"|"&amp;$F388&amp;"|"&amp;$AC388&amp;"|"&amp;COUNTIFS($B$6:$B388,$B388,$A$6:$A388,$A388,$F$6:$F388,$F388,$AC$6:$AC388,$AC388))</f>
        <v/>
      </c>
      <c r="AG388" s="32">
        <f>IF($C388="","",$C388&amp;"|"&amp;COUNTIFS($C$6:$C388,$C388))</f>
        <v/>
      </c>
      <c r="AH388" s="32">
        <f>IF(OR($C388="",$A388="",$AE388=""),"",$C388&amp;"|"&amp;$A388&amp;"|"&amp;$AE388)</f>
        <v/>
      </c>
      <c r="AI388" s="32">
        <f>IF(OR($C388="",$AE388="",$AE388=1),"",IFERROR(INDEX($AC$6:$AC$1505,MATCH($C388&amp;"|"&amp;$A388&amp;"|"&amp;($AE388-1),$AH$6:$AH$1505,0)),""))</f>
        <v/>
      </c>
      <c r="AJ388" s="32">
        <f>IF(OR($AI388="",$AC388=""),"",IF($AI388=$AC388,"ללא שינוי","מ-"&amp;$AI388&amp;" ל-"&amp;$AC388))</f>
        <v/>
      </c>
      <c r="AK388" s="67" t="n"/>
    </row>
    <row r="389" ht="15.75" customHeight="1" s="58">
      <c r="A389" s="65" t="n"/>
      <c r="B389" s="65" t="n"/>
      <c r="C389" s="66" t="n"/>
      <c r="D389" s="66" t="n"/>
      <c r="E389" s="65" t="n"/>
      <c r="F389" s="65" t="n"/>
      <c r="G389" s="65" t="n"/>
      <c r="H389" s="65" t="n"/>
      <c r="I389" s="65" t="n"/>
      <c r="J389" s="65" t="n"/>
      <c r="K389" s="65" t="n"/>
      <c r="L389" s="65" t="n"/>
      <c r="M389" s="65" t="n"/>
      <c r="N389" s="65" t="n"/>
      <c r="O389" s="65" t="n"/>
      <c r="P389" s="65" t="n"/>
      <c r="Q389" s="65" t="n"/>
      <c r="R389" s="65" t="n"/>
      <c r="S389" s="65" t="n"/>
      <c r="T389" s="65" t="n"/>
      <c r="U389" s="65" t="n"/>
      <c r="V389" s="65" t="n"/>
      <c r="W389" s="65" t="n"/>
      <c r="X389" s="65" t="n"/>
      <c r="Y389" s="32">
        <f>IF($C389="","",IF(COUNTA($I389:$K389)&lt;3,"— חסרים נתונים",IF(AND($I389="תקין",$J389="תקין",$K389="תקין"),"רהוטה",IF(AND($I389="תקין",$J389="תקין"),"מדויקת ורציפה","אינה מדויקת או מקוטעת"))))</f>
        <v/>
      </c>
      <c r="Z389" s="32">
        <f>IF($C389="","",IF(COUNTA($U389:$W389)&lt;3,"",IF(AND($U389="מפותח",$V389="מפותח",$W389="מפותחת"),"מפותחת",IF((--($U389="דל"))+(--($V389="אינו מפותח"))+(--($W389="דלה"))&gt;=2,"אינה מפותחת","חלקית"))))</f>
        <v/>
      </c>
      <c r="AA389" s="32">
        <f>IF($C389="","",IF(COUNTA($M389,$N389,$O389)&lt;3,"— חסרים נתונים",IF(OR($M389="נמוכה",(--($M389&lt;&gt;"תקינה"))+(--($N389&lt;&gt;"תקין"))+(--($O389&lt;&gt;"תקינה"))&gt;=2),"ניכרת","אינה ניכרת")))</f>
        <v/>
      </c>
      <c r="AB389" s="32">
        <f>IF(OR($C389="",$Y389="",$AA389="",LEFT($Y389,1)="—",LEFT($AA389,1)="—"),"",IF($Z389="","— נדרשת הערכת כתיבה",IF($L389="","— חסרה הבנת הנקרא",IF($Y389="אינה מדויקת או מקוטעת",IF($AA389="ניכרת","מיקוד בשטף הקריאה ובכישורי שפה","מיקוד בשטף קריאה"),IF($AA389="ניכרת","מיקוד בכישורי שפה",IF(AND($L389="תקינה",$Z389="מפותחת"),"קוראים וכותבים מיומנים","מיקוד בהבנה והבעה"))))))</f>
        <v/>
      </c>
      <c r="AC389" s="32">
        <f>IF(OR($AB389="",LEFT($AB389,1)="—"),"",IF(OR($AB389="מיקוד בשטף קריאה",$AB389="מיקוד בשטף הקריאה ובכישורי שפה"),"רמה א'",IF($AB389="קוראים וכותבים מיומנים","רמה ג'","רמה ב'")))</f>
        <v/>
      </c>
      <c r="AD389" s="32">
        <f>IF($AC389="","",MID(IF(AND($AC389="רמה א'",$AA389="ניכרת"),"; להוסיף עבודת אוצר מילים","")&amp;IF($Z389="אינה מפותחת","; דגש על הבעה בכתב","")&amp;IF($K389&lt;&gt;"תקין","; נדרש לעבוד על ההנגנה","")&amp;IF($AK389&lt;&gt;"","; "&amp;$AK389,""),3,400))</f>
        <v/>
      </c>
      <c r="AE389" s="32">
        <f>IF($F389="","",IF($F389="תחילת שנה",1,IF($F389="מחצית שנה",2,3)))</f>
        <v/>
      </c>
      <c r="AF389" s="32">
        <f>IF(OR($B389="",$AC389="",$A389="",$F389=""),"",$B389&amp;"|"&amp;$A389&amp;"|"&amp;$F389&amp;"|"&amp;$AC389&amp;"|"&amp;COUNTIFS($B$6:$B389,$B389,$A$6:$A389,$A389,$F$6:$F389,$F389,$AC$6:$AC389,$AC389))</f>
        <v/>
      </c>
      <c r="AG389" s="32">
        <f>IF($C389="","",$C389&amp;"|"&amp;COUNTIFS($C$6:$C389,$C389))</f>
        <v/>
      </c>
      <c r="AH389" s="32">
        <f>IF(OR($C389="",$A389="",$AE389=""),"",$C389&amp;"|"&amp;$A389&amp;"|"&amp;$AE389)</f>
        <v/>
      </c>
      <c r="AI389" s="32">
        <f>IF(OR($C389="",$AE389="",$AE389=1),"",IFERROR(INDEX($AC$6:$AC$1505,MATCH($C389&amp;"|"&amp;$A389&amp;"|"&amp;($AE389-1),$AH$6:$AH$1505,0)),""))</f>
        <v/>
      </c>
      <c r="AJ389" s="32">
        <f>IF(OR($AI389="",$AC389=""),"",IF($AI389=$AC389,"ללא שינוי","מ-"&amp;$AI389&amp;" ל-"&amp;$AC389))</f>
        <v/>
      </c>
      <c r="AK389" s="67" t="n"/>
    </row>
    <row r="390" ht="15.75" customHeight="1" s="58">
      <c r="A390" s="65" t="n"/>
      <c r="B390" s="65" t="n"/>
      <c r="C390" s="66" t="n"/>
      <c r="D390" s="66" t="n"/>
      <c r="E390" s="65" t="n"/>
      <c r="F390" s="65" t="n"/>
      <c r="G390" s="65" t="n"/>
      <c r="H390" s="65" t="n"/>
      <c r="I390" s="65" t="n"/>
      <c r="J390" s="65" t="n"/>
      <c r="K390" s="65" t="n"/>
      <c r="L390" s="65" t="n"/>
      <c r="M390" s="65" t="n"/>
      <c r="N390" s="65" t="n"/>
      <c r="O390" s="65" t="n"/>
      <c r="P390" s="65" t="n"/>
      <c r="Q390" s="65" t="n"/>
      <c r="R390" s="65" t="n"/>
      <c r="S390" s="65" t="n"/>
      <c r="T390" s="65" t="n"/>
      <c r="U390" s="65" t="n"/>
      <c r="V390" s="65" t="n"/>
      <c r="W390" s="65" t="n"/>
      <c r="X390" s="65" t="n"/>
      <c r="Y390" s="32">
        <f>IF($C390="","",IF(COUNTA($I390:$K390)&lt;3,"— חסרים נתונים",IF(AND($I390="תקין",$J390="תקין",$K390="תקין"),"רהוטה",IF(AND($I390="תקין",$J390="תקין"),"מדויקת ורציפה","אינה מדויקת או מקוטעת"))))</f>
        <v/>
      </c>
      <c r="Z390" s="32">
        <f>IF($C390="","",IF(COUNTA($U390:$W390)&lt;3,"",IF(AND($U390="מפותח",$V390="מפותח",$W390="מפותחת"),"מפותחת",IF((--($U390="דל"))+(--($V390="אינו מפותח"))+(--($W390="דלה"))&gt;=2,"אינה מפותחת","חלקית"))))</f>
        <v/>
      </c>
      <c r="AA390" s="32">
        <f>IF($C390="","",IF(COUNTA($M390,$N390,$O390)&lt;3,"— חסרים נתונים",IF(OR($M390="נמוכה",(--($M390&lt;&gt;"תקינה"))+(--($N390&lt;&gt;"תקין"))+(--($O390&lt;&gt;"תקינה"))&gt;=2),"ניכרת","אינה ניכרת")))</f>
        <v/>
      </c>
      <c r="AB390" s="32">
        <f>IF(OR($C390="",$Y390="",$AA390="",LEFT($Y390,1)="—",LEFT($AA390,1)="—"),"",IF($Z390="","— נדרשת הערכת כתיבה",IF($L390="","— חסרה הבנת הנקרא",IF($Y390="אינה מדויקת או מקוטעת",IF($AA390="ניכרת","מיקוד בשטף הקריאה ובכישורי שפה","מיקוד בשטף קריאה"),IF($AA390="ניכרת","מיקוד בכישורי שפה",IF(AND($L390="תקינה",$Z390="מפותחת"),"קוראים וכותבים מיומנים","מיקוד בהבנה והבעה"))))))</f>
        <v/>
      </c>
      <c r="AC390" s="32">
        <f>IF(OR($AB390="",LEFT($AB390,1)="—"),"",IF(OR($AB390="מיקוד בשטף קריאה",$AB390="מיקוד בשטף הקריאה ובכישורי שפה"),"רמה א'",IF($AB390="קוראים וכותבים מיומנים","רמה ג'","רמה ב'")))</f>
        <v/>
      </c>
      <c r="AD390" s="32">
        <f>IF($AC390="","",MID(IF(AND($AC390="רמה א'",$AA390="ניכרת"),"; להוסיף עבודת אוצר מילים","")&amp;IF($Z390="אינה מפותחת","; דגש על הבעה בכתב","")&amp;IF($K390&lt;&gt;"תקין","; נדרש לעבוד על ההנגנה","")&amp;IF($AK390&lt;&gt;"","; "&amp;$AK390,""),3,400))</f>
        <v/>
      </c>
      <c r="AE390" s="32">
        <f>IF($F390="","",IF($F390="תחילת שנה",1,IF($F390="מחצית שנה",2,3)))</f>
        <v/>
      </c>
      <c r="AF390" s="32">
        <f>IF(OR($B390="",$AC390="",$A390="",$F390=""),"",$B390&amp;"|"&amp;$A390&amp;"|"&amp;$F390&amp;"|"&amp;$AC390&amp;"|"&amp;COUNTIFS($B$6:$B390,$B390,$A$6:$A390,$A390,$F$6:$F390,$F390,$AC$6:$AC390,$AC390))</f>
        <v/>
      </c>
      <c r="AG390" s="32">
        <f>IF($C390="","",$C390&amp;"|"&amp;COUNTIFS($C$6:$C390,$C390))</f>
        <v/>
      </c>
      <c r="AH390" s="32">
        <f>IF(OR($C390="",$A390="",$AE390=""),"",$C390&amp;"|"&amp;$A390&amp;"|"&amp;$AE390)</f>
        <v/>
      </c>
      <c r="AI390" s="32">
        <f>IF(OR($C390="",$AE390="",$AE390=1),"",IFERROR(INDEX($AC$6:$AC$1505,MATCH($C390&amp;"|"&amp;$A390&amp;"|"&amp;($AE390-1),$AH$6:$AH$1505,0)),""))</f>
        <v/>
      </c>
      <c r="AJ390" s="32">
        <f>IF(OR($AI390="",$AC390=""),"",IF($AI390=$AC390,"ללא שינוי","מ-"&amp;$AI390&amp;" ל-"&amp;$AC390))</f>
        <v/>
      </c>
      <c r="AK390" s="67" t="n"/>
    </row>
    <row r="391" ht="15.75" customHeight="1" s="58">
      <c r="A391" s="65" t="n"/>
      <c r="B391" s="65" t="n"/>
      <c r="C391" s="66" t="n"/>
      <c r="D391" s="66" t="n"/>
      <c r="E391" s="65" t="n"/>
      <c r="F391" s="65" t="n"/>
      <c r="G391" s="65" t="n"/>
      <c r="H391" s="65" t="n"/>
      <c r="I391" s="65" t="n"/>
      <c r="J391" s="65" t="n"/>
      <c r="K391" s="65" t="n"/>
      <c r="L391" s="65" t="n"/>
      <c r="M391" s="65" t="n"/>
      <c r="N391" s="65" t="n"/>
      <c r="O391" s="65" t="n"/>
      <c r="P391" s="65" t="n"/>
      <c r="Q391" s="65" t="n"/>
      <c r="R391" s="65" t="n"/>
      <c r="S391" s="65" t="n"/>
      <c r="T391" s="65" t="n"/>
      <c r="U391" s="65" t="n"/>
      <c r="V391" s="65" t="n"/>
      <c r="W391" s="65" t="n"/>
      <c r="X391" s="65" t="n"/>
      <c r="Y391" s="32">
        <f>IF($C391="","",IF(COUNTA($I391:$K391)&lt;3,"— חסרים נתונים",IF(AND($I391="תקין",$J391="תקין",$K391="תקין"),"רהוטה",IF(AND($I391="תקין",$J391="תקין"),"מדויקת ורציפה","אינה מדויקת או מקוטעת"))))</f>
        <v/>
      </c>
      <c r="Z391" s="32">
        <f>IF($C391="","",IF(COUNTA($U391:$W391)&lt;3,"",IF(AND($U391="מפותח",$V391="מפותח",$W391="מפותחת"),"מפותחת",IF((--($U391="דל"))+(--($V391="אינו מפותח"))+(--($W391="דלה"))&gt;=2,"אינה מפותחת","חלקית"))))</f>
        <v/>
      </c>
      <c r="AA391" s="32">
        <f>IF($C391="","",IF(COUNTA($M391,$N391,$O391)&lt;3,"— חסרים נתונים",IF(OR($M391="נמוכה",(--($M391&lt;&gt;"תקינה"))+(--($N391&lt;&gt;"תקין"))+(--($O391&lt;&gt;"תקינה"))&gt;=2),"ניכרת","אינה ניכרת")))</f>
        <v/>
      </c>
      <c r="AB391" s="32">
        <f>IF(OR($C391="",$Y391="",$AA391="",LEFT($Y391,1)="—",LEFT($AA391,1)="—"),"",IF($Z391="","— נדרשת הערכת כתיבה",IF($L391="","— חסרה הבנת הנקרא",IF($Y391="אינה מדויקת או מקוטעת",IF($AA391="ניכרת","מיקוד בשטף הקריאה ובכישורי שפה","מיקוד בשטף קריאה"),IF($AA391="ניכרת","מיקוד בכישורי שפה",IF(AND($L391="תקינה",$Z391="מפותחת"),"קוראים וכותבים מיומנים","מיקוד בהבנה והבעה"))))))</f>
        <v/>
      </c>
      <c r="AC391" s="32">
        <f>IF(OR($AB391="",LEFT($AB391,1)="—"),"",IF(OR($AB391="מיקוד בשטף קריאה",$AB391="מיקוד בשטף הקריאה ובכישורי שפה"),"רמה א'",IF($AB391="קוראים וכותבים מיומנים","רמה ג'","רמה ב'")))</f>
        <v/>
      </c>
      <c r="AD391" s="32">
        <f>IF($AC391="","",MID(IF(AND($AC391="רמה א'",$AA391="ניכרת"),"; להוסיף עבודת אוצר מילים","")&amp;IF($Z391="אינה מפותחת","; דגש על הבעה בכתב","")&amp;IF($K391&lt;&gt;"תקין","; נדרש לעבוד על ההנגנה","")&amp;IF($AK391&lt;&gt;"","; "&amp;$AK391,""),3,400))</f>
        <v/>
      </c>
      <c r="AE391" s="32">
        <f>IF($F391="","",IF($F391="תחילת שנה",1,IF($F391="מחצית שנה",2,3)))</f>
        <v/>
      </c>
      <c r="AF391" s="32">
        <f>IF(OR($B391="",$AC391="",$A391="",$F391=""),"",$B391&amp;"|"&amp;$A391&amp;"|"&amp;$F391&amp;"|"&amp;$AC391&amp;"|"&amp;COUNTIFS($B$6:$B391,$B391,$A$6:$A391,$A391,$F$6:$F391,$F391,$AC$6:$AC391,$AC391))</f>
        <v/>
      </c>
      <c r="AG391" s="32">
        <f>IF($C391="","",$C391&amp;"|"&amp;COUNTIFS($C$6:$C391,$C391))</f>
        <v/>
      </c>
      <c r="AH391" s="32">
        <f>IF(OR($C391="",$A391="",$AE391=""),"",$C391&amp;"|"&amp;$A391&amp;"|"&amp;$AE391)</f>
        <v/>
      </c>
      <c r="AI391" s="32">
        <f>IF(OR($C391="",$AE391="",$AE391=1),"",IFERROR(INDEX($AC$6:$AC$1505,MATCH($C391&amp;"|"&amp;$A391&amp;"|"&amp;($AE391-1),$AH$6:$AH$1505,0)),""))</f>
        <v/>
      </c>
      <c r="AJ391" s="32">
        <f>IF(OR($AI391="",$AC391=""),"",IF($AI391=$AC391,"ללא שינוי","מ-"&amp;$AI391&amp;" ל-"&amp;$AC391))</f>
        <v/>
      </c>
      <c r="AK391" s="67" t="n"/>
    </row>
    <row r="392" ht="15.75" customHeight="1" s="58">
      <c r="A392" s="65" t="n"/>
      <c r="B392" s="65" t="n"/>
      <c r="C392" s="66" t="n"/>
      <c r="D392" s="66" t="n"/>
      <c r="E392" s="65" t="n"/>
      <c r="F392" s="65" t="n"/>
      <c r="G392" s="65" t="n"/>
      <c r="H392" s="65" t="n"/>
      <c r="I392" s="65" t="n"/>
      <c r="J392" s="65" t="n"/>
      <c r="K392" s="65" t="n"/>
      <c r="L392" s="65" t="n"/>
      <c r="M392" s="65" t="n"/>
      <c r="N392" s="65" t="n"/>
      <c r="O392" s="65" t="n"/>
      <c r="P392" s="65" t="n"/>
      <c r="Q392" s="65" t="n"/>
      <c r="R392" s="65" t="n"/>
      <c r="S392" s="65" t="n"/>
      <c r="T392" s="65" t="n"/>
      <c r="U392" s="65" t="n"/>
      <c r="V392" s="65" t="n"/>
      <c r="W392" s="65" t="n"/>
      <c r="X392" s="65" t="n"/>
      <c r="Y392" s="32">
        <f>IF($C392="","",IF(COUNTA($I392:$K392)&lt;3,"— חסרים נתונים",IF(AND($I392="תקין",$J392="תקין",$K392="תקין"),"רהוטה",IF(AND($I392="תקין",$J392="תקין"),"מדויקת ורציפה","אינה מדויקת או מקוטעת"))))</f>
        <v/>
      </c>
      <c r="Z392" s="32">
        <f>IF($C392="","",IF(COUNTA($U392:$W392)&lt;3,"",IF(AND($U392="מפותח",$V392="מפותח",$W392="מפותחת"),"מפותחת",IF((--($U392="דל"))+(--($V392="אינו מפותח"))+(--($W392="דלה"))&gt;=2,"אינה מפותחת","חלקית"))))</f>
        <v/>
      </c>
      <c r="AA392" s="32">
        <f>IF($C392="","",IF(COUNTA($M392,$N392,$O392)&lt;3,"— חסרים נתונים",IF(OR($M392="נמוכה",(--($M392&lt;&gt;"תקינה"))+(--($N392&lt;&gt;"תקין"))+(--($O392&lt;&gt;"תקינה"))&gt;=2),"ניכרת","אינה ניכרת")))</f>
        <v/>
      </c>
      <c r="AB392" s="32">
        <f>IF(OR($C392="",$Y392="",$AA392="",LEFT($Y392,1)="—",LEFT($AA392,1)="—"),"",IF($Z392="","— נדרשת הערכת כתיבה",IF($L392="","— חסרה הבנת הנקרא",IF($Y392="אינה מדויקת או מקוטעת",IF($AA392="ניכרת","מיקוד בשטף הקריאה ובכישורי שפה","מיקוד בשטף קריאה"),IF($AA392="ניכרת","מיקוד בכישורי שפה",IF(AND($L392="תקינה",$Z392="מפותחת"),"קוראים וכותבים מיומנים","מיקוד בהבנה והבעה"))))))</f>
        <v/>
      </c>
      <c r="AC392" s="32">
        <f>IF(OR($AB392="",LEFT($AB392,1)="—"),"",IF(OR($AB392="מיקוד בשטף קריאה",$AB392="מיקוד בשטף הקריאה ובכישורי שפה"),"רמה א'",IF($AB392="קוראים וכותבים מיומנים","רמה ג'","רמה ב'")))</f>
        <v/>
      </c>
      <c r="AD392" s="32">
        <f>IF($AC392="","",MID(IF(AND($AC392="רמה א'",$AA392="ניכרת"),"; להוסיף עבודת אוצר מילים","")&amp;IF($Z392="אינה מפותחת","; דגש על הבעה בכתב","")&amp;IF($K392&lt;&gt;"תקין","; נדרש לעבוד על ההנגנה","")&amp;IF($AK392&lt;&gt;"","; "&amp;$AK392,""),3,400))</f>
        <v/>
      </c>
      <c r="AE392" s="32">
        <f>IF($F392="","",IF($F392="תחילת שנה",1,IF($F392="מחצית שנה",2,3)))</f>
        <v/>
      </c>
      <c r="AF392" s="32">
        <f>IF(OR($B392="",$AC392="",$A392="",$F392=""),"",$B392&amp;"|"&amp;$A392&amp;"|"&amp;$F392&amp;"|"&amp;$AC392&amp;"|"&amp;COUNTIFS($B$6:$B392,$B392,$A$6:$A392,$A392,$F$6:$F392,$F392,$AC$6:$AC392,$AC392))</f>
        <v/>
      </c>
      <c r="AG392" s="32">
        <f>IF($C392="","",$C392&amp;"|"&amp;COUNTIFS($C$6:$C392,$C392))</f>
        <v/>
      </c>
      <c r="AH392" s="32">
        <f>IF(OR($C392="",$A392="",$AE392=""),"",$C392&amp;"|"&amp;$A392&amp;"|"&amp;$AE392)</f>
        <v/>
      </c>
      <c r="AI392" s="32">
        <f>IF(OR($C392="",$AE392="",$AE392=1),"",IFERROR(INDEX($AC$6:$AC$1505,MATCH($C392&amp;"|"&amp;$A392&amp;"|"&amp;($AE392-1),$AH$6:$AH$1505,0)),""))</f>
        <v/>
      </c>
      <c r="AJ392" s="32">
        <f>IF(OR($AI392="",$AC392=""),"",IF($AI392=$AC392,"ללא שינוי","מ-"&amp;$AI392&amp;" ל-"&amp;$AC392))</f>
        <v/>
      </c>
      <c r="AK392" s="67" t="n"/>
    </row>
    <row r="393" ht="15.75" customHeight="1" s="58">
      <c r="A393" s="65" t="n"/>
      <c r="B393" s="65" t="n"/>
      <c r="C393" s="66" t="n"/>
      <c r="D393" s="66" t="n"/>
      <c r="E393" s="65" t="n"/>
      <c r="F393" s="65" t="n"/>
      <c r="G393" s="65" t="n"/>
      <c r="H393" s="65" t="n"/>
      <c r="I393" s="65" t="n"/>
      <c r="J393" s="65" t="n"/>
      <c r="K393" s="65" t="n"/>
      <c r="L393" s="65" t="n"/>
      <c r="M393" s="65" t="n"/>
      <c r="N393" s="65" t="n"/>
      <c r="O393" s="65" t="n"/>
      <c r="P393" s="65" t="n"/>
      <c r="Q393" s="65" t="n"/>
      <c r="R393" s="65" t="n"/>
      <c r="S393" s="65" t="n"/>
      <c r="T393" s="65" t="n"/>
      <c r="U393" s="65" t="n"/>
      <c r="V393" s="65" t="n"/>
      <c r="W393" s="65" t="n"/>
      <c r="X393" s="65" t="n"/>
      <c r="Y393" s="32">
        <f>IF($C393="","",IF(COUNTA($I393:$K393)&lt;3,"— חסרים נתונים",IF(AND($I393="תקין",$J393="תקין",$K393="תקין"),"רהוטה",IF(AND($I393="תקין",$J393="תקין"),"מדויקת ורציפה","אינה מדויקת או מקוטעת"))))</f>
        <v/>
      </c>
      <c r="Z393" s="32">
        <f>IF($C393="","",IF(COUNTA($U393:$W393)&lt;3,"",IF(AND($U393="מפותח",$V393="מפותח",$W393="מפותחת"),"מפותחת",IF((--($U393="דל"))+(--($V393="אינו מפותח"))+(--($W393="דלה"))&gt;=2,"אינה מפותחת","חלקית"))))</f>
        <v/>
      </c>
      <c r="AA393" s="32">
        <f>IF($C393="","",IF(COUNTA($M393,$N393,$O393)&lt;3,"— חסרים נתונים",IF(OR($M393="נמוכה",(--($M393&lt;&gt;"תקינה"))+(--($N393&lt;&gt;"תקין"))+(--($O393&lt;&gt;"תקינה"))&gt;=2),"ניכרת","אינה ניכרת")))</f>
        <v/>
      </c>
      <c r="AB393" s="32">
        <f>IF(OR($C393="",$Y393="",$AA393="",LEFT($Y393,1)="—",LEFT($AA393,1)="—"),"",IF($Z393="","— נדרשת הערכת כתיבה",IF($L393="","— חסרה הבנת הנקרא",IF($Y393="אינה מדויקת או מקוטעת",IF($AA393="ניכרת","מיקוד בשטף הקריאה ובכישורי שפה","מיקוד בשטף קריאה"),IF($AA393="ניכרת","מיקוד בכישורי שפה",IF(AND($L393="תקינה",$Z393="מפותחת"),"קוראים וכותבים מיומנים","מיקוד בהבנה והבעה"))))))</f>
        <v/>
      </c>
      <c r="AC393" s="32">
        <f>IF(OR($AB393="",LEFT($AB393,1)="—"),"",IF(OR($AB393="מיקוד בשטף קריאה",$AB393="מיקוד בשטף הקריאה ובכישורי שפה"),"רמה א'",IF($AB393="קוראים וכותבים מיומנים","רמה ג'","רמה ב'")))</f>
        <v/>
      </c>
      <c r="AD393" s="32">
        <f>IF($AC393="","",MID(IF(AND($AC393="רמה א'",$AA393="ניכרת"),"; להוסיף עבודת אוצר מילים","")&amp;IF($Z393="אינה מפותחת","; דגש על הבעה בכתב","")&amp;IF($K393&lt;&gt;"תקין","; נדרש לעבוד על ההנגנה","")&amp;IF($AK393&lt;&gt;"","; "&amp;$AK393,""),3,400))</f>
        <v/>
      </c>
      <c r="AE393" s="32">
        <f>IF($F393="","",IF($F393="תחילת שנה",1,IF($F393="מחצית שנה",2,3)))</f>
        <v/>
      </c>
      <c r="AF393" s="32">
        <f>IF(OR($B393="",$AC393="",$A393="",$F393=""),"",$B393&amp;"|"&amp;$A393&amp;"|"&amp;$F393&amp;"|"&amp;$AC393&amp;"|"&amp;COUNTIFS($B$6:$B393,$B393,$A$6:$A393,$A393,$F$6:$F393,$F393,$AC$6:$AC393,$AC393))</f>
        <v/>
      </c>
      <c r="AG393" s="32">
        <f>IF($C393="","",$C393&amp;"|"&amp;COUNTIFS($C$6:$C393,$C393))</f>
        <v/>
      </c>
      <c r="AH393" s="32">
        <f>IF(OR($C393="",$A393="",$AE393=""),"",$C393&amp;"|"&amp;$A393&amp;"|"&amp;$AE393)</f>
        <v/>
      </c>
      <c r="AI393" s="32">
        <f>IF(OR($C393="",$AE393="",$AE393=1),"",IFERROR(INDEX($AC$6:$AC$1505,MATCH($C393&amp;"|"&amp;$A393&amp;"|"&amp;($AE393-1),$AH$6:$AH$1505,0)),""))</f>
        <v/>
      </c>
      <c r="AJ393" s="32">
        <f>IF(OR($AI393="",$AC393=""),"",IF($AI393=$AC393,"ללא שינוי","מ-"&amp;$AI393&amp;" ל-"&amp;$AC393))</f>
        <v/>
      </c>
      <c r="AK393" s="67" t="n"/>
    </row>
    <row r="394" ht="15.75" customHeight="1" s="58">
      <c r="A394" s="65" t="n"/>
      <c r="B394" s="65" t="n"/>
      <c r="C394" s="66" t="n"/>
      <c r="D394" s="66" t="n"/>
      <c r="E394" s="65" t="n"/>
      <c r="F394" s="65" t="n"/>
      <c r="G394" s="65" t="n"/>
      <c r="H394" s="65" t="n"/>
      <c r="I394" s="65" t="n"/>
      <c r="J394" s="65" t="n"/>
      <c r="K394" s="65" t="n"/>
      <c r="L394" s="65" t="n"/>
      <c r="M394" s="65" t="n"/>
      <c r="N394" s="65" t="n"/>
      <c r="O394" s="65" t="n"/>
      <c r="P394" s="65" t="n"/>
      <c r="Q394" s="65" t="n"/>
      <c r="R394" s="65" t="n"/>
      <c r="S394" s="65" t="n"/>
      <c r="T394" s="65" t="n"/>
      <c r="U394" s="65" t="n"/>
      <c r="V394" s="65" t="n"/>
      <c r="W394" s="65" t="n"/>
      <c r="X394" s="65" t="n"/>
      <c r="Y394" s="32">
        <f>IF($C394="","",IF(COUNTA($I394:$K394)&lt;3,"— חסרים נתונים",IF(AND($I394="תקין",$J394="תקין",$K394="תקין"),"רהוטה",IF(AND($I394="תקין",$J394="תקין"),"מדויקת ורציפה","אינה מדויקת או מקוטעת"))))</f>
        <v/>
      </c>
      <c r="Z394" s="32">
        <f>IF($C394="","",IF(COUNTA($U394:$W394)&lt;3,"",IF(AND($U394="מפותח",$V394="מפותח",$W394="מפותחת"),"מפותחת",IF((--($U394="דל"))+(--($V394="אינו מפותח"))+(--($W394="דלה"))&gt;=2,"אינה מפותחת","חלקית"))))</f>
        <v/>
      </c>
      <c r="AA394" s="32">
        <f>IF($C394="","",IF(COUNTA($M394,$N394,$O394)&lt;3,"— חסרים נתונים",IF(OR($M394="נמוכה",(--($M394&lt;&gt;"תקינה"))+(--($N394&lt;&gt;"תקין"))+(--($O394&lt;&gt;"תקינה"))&gt;=2),"ניכרת","אינה ניכרת")))</f>
        <v/>
      </c>
      <c r="AB394" s="32">
        <f>IF(OR($C394="",$Y394="",$AA394="",LEFT($Y394,1)="—",LEFT($AA394,1)="—"),"",IF($Z394="","— נדרשת הערכת כתיבה",IF($L394="","— חסרה הבנת הנקרא",IF($Y394="אינה מדויקת או מקוטעת",IF($AA394="ניכרת","מיקוד בשטף הקריאה ובכישורי שפה","מיקוד בשטף קריאה"),IF($AA394="ניכרת","מיקוד בכישורי שפה",IF(AND($L394="תקינה",$Z394="מפותחת"),"קוראים וכותבים מיומנים","מיקוד בהבנה והבעה"))))))</f>
        <v/>
      </c>
      <c r="AC394" s="32">
        <f>IF(OR($AB394="",LEFT($AB394,1)="—"),"",IF(OR($AB394="מיקוד בשטף קריאה",$AB394="מיקוד בשטף הקריאה ובכישורי שפה"),"רמה א'",IF($AB394="קוראים וכותבים מיומנים","רמה ג'","רמה ב'")))</f>
        <v/>
      </c>
      <c r="AD394" s="32">
        <f>IF($AC394="","",MID(IF(AND($AC394="רמה א'",$AA394="ניכרת"),"; להוסיף עבודת אוצר מילים","")&amp;IF($Z394="אינה מפותחת","; דגש על הבעה בכתב","")&amp;IF($K394&lt;&gt;"תקין","; נדרש לעבוד על ההנגנה","")&amp;IF($AK394&lt;&gt;"","; "&amp;$AK394,""),3,400))</f>
        <v/>
      </c>
      <c r="AE394" s="32">
        <f>IF($F394="","",IF($F394="תחילת שנה",1,IF($F394="מחצית שנה",2,3)))</f>
        <v/>
      </c>
      <c r="AF394" s="32">
        <f>IF(OR($B394="",$AC394="",$A394="",$F394=""),"",$B394&amp;"|"&amp;$A394&amp;"|"&amp;$F394&amp;"|"&amp;$AC394&amp;"|"&amp;COUNTIFS($B$6:$B394,$B394,$A$6:$A394,$A394,$F$6:$F394,$F394,$AC$6:$AC394,$AC394))</f>
        <v/>
      </c>
      <c r="AG394" s="32">
        <f>IF($C394="","",$C394&amp;"|"&amp;COUNTIFS($C$6:$C394,$C394))</f>
        <v/>
      </c>
      <c r="AH394" s="32">
        <f>IF(OR($C394="",$A394="",$AE394=""),"",$C394&amp;"|"&amp;$A394&amp;"|"&amp;$AE394)</f>
        <v/>
      </c>
      <c r="AI394" s="32">
        <f>IF(OR($C394="",$AE394="",$AE394=1),"",IFERROR(INDEX($AC$6:$AC$1505,MATCH($C394&amp;"|"&amp;$A394&amp;"|"&amp;($AE394-1),$AH$6:$AH$1505,0)),""))</f>
        <v/>
      </c>
      <c r="AJ394" s="32">
        <f>IF(OR($AI394="",$AC394=""),"",IF($AI394=$AC394,"ללא שינוי","מ-"&amp;$AI394&amp;" ל-"&amp;$AC394))</f>
        <v/>
      </c>
      <c r="AK394" s="67" t="n"/>
    </row>
    <row r="395" ht="15.75" customHeight="1" s="58">
      <c r="A395" s="65" t="n"/>
      <c r="B395" s="65" t="n"/>
      <c r="C395" s="66" t="n"/>
      <c r="D395" s="66" t="n"/>
      <c r="E395" s="65" t="n"/>
      <c r="F395" s="65" t="n"/>
      <c r="G395" s="65" t="n"/>
      <c r="H395" s="65" t="n"/>
      <c r="I395" s="65" t="n"/>
      <c r="J395" s="65" t="n"/>
      <c r="K395" s="65" t="n"/>
      <c r="L395" s="65" t="n"/>
      <c r="M395" s="65" t="n"/>
      <c r="N395" s="65" t="n"/>
      <c r="O395" s="65" t="n"/>
      <c r="P395" s="65" t="n"/>
      <c r="Q395" s="65" t="n"/>
      <c r="R395" s="65" t="n"/>
      <c r="S395" s="65" t="n"/>
      <c r="T395" s="65" t="n"/>
      <c r="U395" s="65" t="n"/>
      <c r="V395" s="65" t="n"/>
      <c r="W395" s="65" t="n"/>
      <c r="X395" s="65" t="n"/>
      <c r="Y395" s="32">
        <f>IF($C395="","",IF(COUNTA($I395:$K395)&lt;3,"— חסרים נתונים",IF(AND($I395="תקין",$J395="תקין",$K395="תקין"),"רהוטה",IF(AND($I395="תקין",$J395="תקין"),"מדויקת ורציפה","אינה מדויקת או מקוטעת"))))</f>
        <v/>
      </c>
      <c r="Z395" s="32">
        <f>IF($C395="","",IF(COUNTA($U395:$W395)&lt;3,"",IF(AND($U395="מפותח",$V395="מפותח",$W395="מפותחת"),"מפותחת",IF((--($U395="דל"))+(--($V395="אינו מפותח"))+(--($W395="דלה"))&gt;=2,"אינה מפותחת","חלקית"))))</f>
        <v/>
      </c>
      <c r="AA395" s="32">
        <f>IF($C395="","",IF(COUNTA($M395,$N395,$O395)&lt;3,"— חסרים נתונים",IF(OR($M395="נמוכה",(--($M395&lt;&gt;"תקינה"))+(--($N395&lt;&gt;"תקין"))+(--($O395&lt;&gt;"תקינה"))&gt;=2),"ניכרת","אינה ניכרת")))</f>
        <v/>
      </c>
      <c r="AB395" s="32">
        <f>IF(OR($C395="",$Y395="",$AA395="",LEFT($Y395,1)="—",LEFT($AA395,1)="—"),"",IF($Z395="","— נדרשת הערכת כתיבה",IF($L395="","— חסרה הבנת הנקרא",IF($Y395="אינה מדויקת או מקוטעת",IF($AA395="ניכרת","מיקוד בשטף הקריאה ובכישורי שפה","מיקוד בשטף קריאה"),IF($AA395="ניכרת","מיקוד בכישורי שפה",IF(AND($L395="תקינה",$Z395="מפותחת"),"קוראים וכותבים מיומנים","מיקוד בהבנה והבעה"))))))</f>
        <v/>
      </c>
      <c r="AC395" s="32">
        <f>IF(OR($AB395="",LEFT($AB395,1)="—"),"",IF(OR($AB395="מיקוד בשטף קריאה",$AB395="מיקוד בשטף הקריאה ובכישורי שפה"),"רמה א'",IF($AB395="קוראים וכותבים מיומנים","רמה ג'","רמה ב'")))</f>
        <v/>
      </c>
      <c r="AD395" s="32">
        <f>IF($AC395="","",MID(IF(AND($AC395="רמה א'",$AA395="ניכרת"),"; להוסיף עבודת אוצר מילים","")&amp;IF($Z395="אינה מפותחת","; דגש על הבעה בכתב","")&amp;IF($K395&lt;&gt;"תקין","; נדרש לעבוד על ההנגנה","")&amp;IF($AK395&lt;&gt;"","; "&amp;$AK395,""),3,400))</f>
        <v/>
      </c>
      <c r="AE395" s="32">
        <f>IF($F395="","",IF($F395="תחילת שנה",1,IF($F395="מחצית שנה",2,3)))</f>
        <v/>
      </c>
      <c r="AF395" s="32">
        <f>IF(OR($B395="",$AC395="",$A395="",$F395=""),"",$B395&amp;"|"&amp;$A395&amp;"|"&amp;$F395&amp;"|"&amp;$AC395&amp;"|"&amp;COUNTIFS($B$6:$B395,$B395,$A$6:$A395,$A395,$F$6:$F395,$F395,$AC$6:$AC395,$AC395))</f>
        <v/>
      </c>
      <c r="AG395" s="32">
        <f>IF($C395="","",$C395&amp;"|"&amp;COUNTIFS($C$6:$C395,$C395))</f>
        <v/>
      </c>
      <c r="AH395" s="32">
        <f>IF(OR($C395="",$A395="",$AE395=""),"",$C395&amp;"|"&amp;$A395&amp;"|"&amp;$AE395)</f>
        <v/>
      </c>
      <c r="AI395" s="32">
        <f>IF(OR($C395="",$AE395="",$AE395=1),"",IFERROR(INDEX($AC$6:$AC$1505,MATCH($C395&amp;"|"&amp;$A395&amp;"|"&amp;($AE395-1),$AH$6:$AH$1505,0)),""))</f>
        <v/>
      </c>
      <c r="AJ395" s="32">
        <f>IF(OR($AI395="",$AC395=""),"",IF($AI395=$AC395,"ללא שינוי","מ-"&amp;$AI395&amp;" ל-"&amp;$AC395))</f>
        <v/>
      </c>
      <c r="AK395" s="67" t="n"/>
    </row>
    <row r="396" ht="15.75" customHeight="1" s="58">
      <c r="A396" s="65" t="n"/>
      <c r="B396" s="65" t="n"/>
      <c r="C396" s="66" t="n"/>
      <c r="D396" s="66" t="n"/>
      <c r="E396" s="65" t="n"/>
      <c r="F396" s="65" t="n"/>
      <c r="G396" s="65" t="n"/>
      <c r="H396" s="65" t="n"/>
      <c r="I396" s="65" t="n"/>
      <c r="J396" s="65" t="n"/>
      <c r="K396" s="65" t="n"/>
      <c r="L396" s="65" t="n"/>
      <c r="M396" s="65" t="n"/>
      <c r="N396" s="65" t="n"/>
      <c r="O396" s="65" t="n"/>
      <c r="P396" s="65" t="n"/>
      <c r="Q396" s="65" t="n"/>
      <c r="R396" s="65" t="n"/>
      <c r="S396" s="65" t="n"/>
      <c r="T396" s="65" t="n"/>
      <c r="U396" s="65" t="n"/>
      <c r="V396" s="65" t="n"/>
      <c r="W396" s="65" t="n"/>
      <c r="X396" s="65" t="n"/>
      <c r="Y396" s="32">
        <f>IF($C396="","",IF(COUNTA($I396:$K396)&lt;3,"— חסרים נתונים",IF(AND($I396="תקין",$J396="תקין",$K396="תקין"),"רהוטה",IF(AND($I396="תקין",$J396="תקין"),"מדויקת ורציפה","אינה מדויקת או מקוטעת"))))</f>
        <v/>
      </c>
      <c r="Z396" s="32">
        <f>IF($C396="","",IF(COUNTA($U396:$W396)&lt;3,"",IF(AND($U396="מפותח",$V396="מפותח",$W396="מפותחת"),"מפותחת",IF((--($U396="דל"))+(--($V396="אינו מפותח"))+(--($W396="דלה"))&gt;=2,"אינה מפותחת","חלקית"))))</f>
        <v/>
      </c>
      <c r="AA396" s="32">
        <f>IF($C396="","",IF(COUNTA($M396,$N396,$O396)&lt;3,"— חסרים נתונים",IF(OR($M396="נמוכה",(--($M396&lt;&gt;"תקינה"))+(--($N396&lt;&gt;"תקין"))+(--($O396&lt;&gt;"תקינה"))&gt;=2),"ניכרת","אינה ניכרת")))</f>
        <v/>
      </c>
      <c r="AB396" s="32">
        <f>IF(OR($C396="",$Y396="",$AA396="",LEFT($Y396,1)="—",LEFT($AA396,1)="—"),"",IF($Z396="","— נדרשת הערכת כתיבה",IF($L396="","— חסרה הבנת הנקרא",IF($Y396="אינה מדויקת או מקוטעת",IF($AA396="ניכרת","מיקוד בשטף הקריאה ובכישורי שפה","מיקוד בשטף קריאה"),IF($AA396="ניכרת","מיקוד בכישורי שפה",IF(AND($L396="תקינה",$Z396="מפותחת"),"קוראים וכותבים מיומנים","מיקוד בהבנה והבעה"))))))</f>
        <v/>
      </c>
      <c r="AC396" s="32">
        <f>IF(OR($AB396="",LEFT($AB396,1)="—"),"",IF(OR($AB396="מיקוד בשטף קריאה",$AB396="מיקוד בשטף הקריאה ובכישורי שפה"),"רמה א'",IF($AB396="קוראים וכותבים מיומנים","רמה ג'","רמה ב'")))</f>
        <v/>
      </c>
      <c r="AD396" s="32">
        <f>IF($AC396="","",MID(IF(AND($AC396="רמה א'",$AA396="ניכרת"),"; להוסיף עבודת אוצר מילים","")&amp;IF($Z396="אינה מפותחת","; דגש על הבעה בכתב","")&amp;IF($K396&lt;&gt;"תקין","; נדרש לעבוד על ההנגנה","")&amp;IF($AK396&lt;&gt;"","; "&amp;$AK396,""),3,400))</f>
        <v/>
      </c>
      <c r="AE396" s="32">
        <f>IF($F396="","",IF($F396="תחילת שנה",1,IF($F396="מחצית שנה",2,3)))</f>
        <v/>
      </c>
      <c r="AF396" s="32">
        <f>IF(OR($B396="",$AC396="",$A396="",$F396=""),"",$B396&amp;"|"&amp;$A396&amp;"|"&amp;$F396&amp;"|"&amp;$AC396&amp;"|"&amp;COUNTIFS($B$6:$B396,$B396,$A$6:$A396,$A396,$F$6:$F396,$F396,$AC$6:$AC396,$AC396))</f>
        <v/>
      </c>
      <c r="AG396" s="32">
        <f>IF($C396="","",$C396&amp;"|"&amp;COUNTIFS($C$6:$C396,$C396))</f>
        <v/>
      </c>
      <c r="AH396" s="32">
        <f>IF(OR($C396="",$A396="",$AE396=""),"",$C396&amp;"|"&amp;$A396&amp;"|"&amp;$AE396)</f>
        <v/>
      </c>
      <c r="AI396" s="32">
        <f>IF(OR($C396="",$AE396="",$AE396=1),"",IFERROR(INDEX($AC$6:$AC$1505,MATCH($C396&amp;"|"&amp;$A396&amp;"|"&amp;($AE396-1),$AH$6:$AH$1505,0)),""))</f>
        <v/>
      </c>
      <c r="AJ396" s="32">
        <f>IF(OR($AI396="",$AC396=""),"",IF($AI396=$AC396,"ללא שינוי","מ-"&amp;$AI396&amp;" ל-"&amp;$AC396))</f>
        <v/>
      </c>
      <c r="AK396" s="67" t="n"/>
    </row>
    <row r="397" ht="15.75" customHeight="1" s="58">
      <c r="A397" s="65" t="n"/>
      <c r="B397" s="65" t="n"/>
      <c r="C397" s="66" t="n"/>
      <c r="D397" s="66" t="n"/>
      <c r="E397" s="65" t="n"/>
      <c r="F397" s="65" t="n"/>
      <c r="G397" s="65" t="n"/>
      <c r="H397" s="65" t="n"/>
      <c r="I397" s="65" t="n"/>
      <c r="J397" s="65" t="n"/>
      <c r="K397" s="65" t="n"/>
      <c r="L397" s="65" t="n"/>
      <c r="M397" s="65" t="n"/>
      <c r="N397" s="65" t="n"/>
      <c r="O397" s="65" t="n"/>
      <c r="P397" s="65" t="n"/>
      <c r="Q397" s="65" t="n"/>
      <c r="R397" s="65" t="n"/>
      <c r="S397" s="65" t="n"/>
      <c r="T397" s="65" t="n"/>
      <c r="U397" s="65" t="n"/>
      <c r="V397" s="65" t="n"/>
      <c r="W397" s="65" t="n"/>
      <c r="X397" s="65" t="n"/>
      <c r="Y397" s="32">
        <f>IF($C397="","",IF(COUNTA($I397:$K397)&lt;3,"— חסרים נתונים",IF(AND($I397="תקין",$J397="תקין",$K397="תקין"),"רהוטה",IF(AND($I397="תקין",$J397="תקין"),"מדויקת ורציפה","אינה מדויקת או מקוטעת"))))</f>
        <v/>
      </c>
      <c r="Z397" s="32">
        <f>IF($C397="","",IF(COUNTA($U397:$W397)&lt;3,"",IF(AND($U397="מפותח",$V397="מפותח",$W397="מפותחת"),"מפותחת",IF((--($U397="דל"))+(--($V397="אינו מפותח"))+(--($W397="דלה"))&gt;=2,"אינה מפותחת","חלקית"))))</f>
        <v/>
      </c>
      <c r="AA397" s="32">
        <f>IF($C397="","",IF(COUNTA($M397,$N397,$O397)&lt;3,"— חסרים נתונים",IF(OR($M397="נמוכה",(--($M397&lt;&gt;"תקינה"))+(--($N397&lt;&gt;"תקין"))+(--($O397&lt;&gt;"תקינה"))&gt;=2),"ניכרת","אינה ניכרת")))</f>
        <v/>
      </c>
      <c r="AB397" s="32">
        <f>IF(OR($C397="",$Y397="",$AA397="",LEFT($Y397,1)="—",LEFT($AA397,1)="—"),"",IF($Z397="","— נדרשת הערכת כתיבה",IF($L397="","— חסרה הבנת הנקרא",IF($Y397="אינה מדויקת או מקוטעת",IF($AA397="ניכרת","מיקוד בשטף הקריאה ובכישורי שפה","מיקוד בשטף קריאה"),IF($AA397="ניכרת","מיקוד בכישורי שפה",IF(AND($L397="תקינה",$Z397="מפותחת"),"קוראים וכותבים מיומנים","מיקוד בהבנה והבעה"))))))</f>
        <v/>
      </c>
      <c r="AC397" s="32">
        <f>IF(OR($AB397="",LEFT($AB397,1)="—"),"",IF(OR($AB397="מיקוד בשטף קריאה",$AB397="מיקוד בשטף הקריאה ובכישורי שפה"),"רמה א'",IF($AB397="קוראים וכותבים מיומנים","רמה ג'","רמה ב'")))</f>
        <v/>
      </c>
      <c r="AD397" s="32">
        <f>IF($AC397="","",MID(IF(AND($AC397="רמה א'",$AA397="ניכרת"),"; להוסיף עבודת אוצר מילים","")&amp;IF($Z397="אינה מפותחת","; דגש על הבעה בכתב","")&amp;IF($K397&lt;&gt;"תקין","; נדרש לעבוד על ההנגנה","")&amp;IF($AK397&lt;&gt;"","; "&amp;$AK397,""),3,400))</f>
        <v/>
      </c>
      <c r="AE397" s="32">
        <f>IF($F397="","",IF($F397="תחילת שנה",1,IF($F397="מחצית שנה",2,3)))</f>
        <v/>
      </c>
      <c r="AF397" s="32">
        <f>IF(OR($B397="",$AC397="",$A397="",$F397=""),"",$B397&amp;"|"&amp;$A397&amp;"|"&amp;$F397&amp;"|"&amp;$AC397&amp;"|"&amp;COUNTIFS($B$6:$B397,$B397,$A$6:$A397,$A397,$F$6:$F397,$F397,$AC$6:$AC397,$AC397))</f>
        <v/>
      </c>
      <c r="AG397" s="32">
        <f>IF($C397="","",$C397&amp;"|"&amp;COUNTIFS($C$6:$C397,$C397))</f>
        <v/>
      </c>
      <c r="AH397" s="32">
        <f>IF(OR($C397="",$A397="",$AE397=""),"",$C397&amp;"|"&amp;$A397&amp;"|"&amp;$AE397)</f>
        <v/>
      </c>
      <c r="AI397" s="32">
        <f>IF(OR($C397="",$AE397="",$AE397=1),"",IFERROR(INDEX($AC$6:$AC$1505,MATCH($C397&amp;"|"&amp;$A397&amp;"|"&amp;($AE397-1),$AH$6:$AH$1505,0)),""))</f>
        <v/>
      </c>
      <c r="AJ397" s="32">
        <f>IF(OR($AI397="",$AC397=""),"",IF($AI397=$AC397,"ללא שינוי","מ-"&amp;$AI397&amp;" ל-"&amp;$AC397))</f>
        <v/>
      </c>
      <c r="AK397" s="67" t="n"/>
    </row>
    <row r="398" ht="15.75" customHeight="1" s="58">
      <c r="A398" s="65" t="n"/>
      <c r="B398" s="65" t="n"/>
      <c r="C398" s="66" t="n"/>
      <c r="D398" s="66" t="n"/>
      <c r="E398" s="65" t="n"/>
      <c r="F398" s="65" t="n"/>
      <c r="G398" s="65" t="n"/>
      <c r="H398" s="65" t="n"/>
      <c r="I398" s="65" t="n"/>
      <c r="J398" s="65" t="n"/>
      <c r="K398" s="65" t="n"/>
      <c r="L398" s="65" t="n"/>
      <c r="M398" s="65" t="n"/>
      <c r="N398" s="65" t="n"/>
      <c r="O398" s="65" t="n"/>
      <c r="P398" s="65" t="n"/>
      <c r="Q398" s="65" t="n"/>
      <c r="R398" s="65" t="n"/>
      <c r="S398" s="65" t="n"/>
      <c r="T398" s="65" t="n"/>
      <c r="U398" s="65" t="n"/>
      <c r="V398" s="65" t="n"/>
      <c r="W398" s="65" t="n"/>
      <c r="X398" s="65" t="n"/>
      <c r="Y398" s="32">
        <f>IF($C398="","",IF(COUNTA($I398:$K398)&lt;3,"— חסרים נתונים",IF(AND($I398="תקין",$J398="תקין",$K398="תקין"),"רהוטה",IF(AND($I398="תקין",$J398="תקין"),"מדויקת ורציפה","אינה מדויקת או מקוטעת"))))</f>
        <v/>
      </c>
      <c r="Z398" s="32">
        <f>IF($C398="","",IF(COUNTA($U398:$W398)&lt;3,"",IF(AND($U398="מפותח",$V398="מפותח",$W398="מפותחת"),"מפותחת",IF((--($U398="דל"))+(--($V398="אינו מפותח"))+(--($W398="דלה"))&gt;=2,"אינה מפותחת","חלקית"))))</f>
        <v/>
      </c>
      <c r="AA398" s="32">
        <f>IF($C398="","",IF(COUNTA($M398,$N398,$O398)&lt;3,"— חסרים נתונים",IF(OR($M398="נמוכה",(--($M398&lt;&gt;"תקינה"))+(--($N398&lt;&gt;"תקין"))+(--($O398&lt;&gt;"תקינה"))&gt;=2),"ניכרת","אינה ניכרת")))</f>
        <v/>
      </c>
      <c r="AB398" s="32">
        <f>IF(OR($C398="",$Y398="",$AA398="",LEFT($Y398,1)="—",LEFT($AA398,1)="—"),"",IF($Z398="","— נדרשת הערכת כתיבה",IF($L398="","— חסרה הבנת הנקרא",IF($Y398="אינה מדויקת או מקוטעת",IF($AA398="ניכרת","מיקוד בשטף הקריאה ובכישורי שפה","מיקוד בשטף קריאה"),IF($AA398="ניכרת","מיקוד בכישורי שפה",IF(AND($L398="תקינה",$Z398="מפותחת"),"קוראים וכותבים מיומנים","מיקוד בהבנה והבעה"))))))</f>
        <v/>
      </c>
      <c r="AC398" s="32">
        <f>IF(OR($AB398="",LEFT($AB398,1)="—"),"",IF(OR($AB398="מיקוד בשטף קריאה",$AB398="מיקוד בשטף הקריאה ובכישורי שפה"),"רמה א'",IF($AB398="קוראים וכותבים מיומנים","רמה ג'","רמה ב'")))</f>
        <v/>
      </c>
      <c r="AD398" s="32">
        <f>IF($AC398="","",MID(IF(AND($AC398="רמה א'",$AA398="ניכרת"),"; להוסיף עבודת אוצר מילים","")&amp;IF($Z398="אינה מפותחת","; דגש על הבעה בכתב","")&amp;IF($K398&lt;&gt;"תקין","; נדרש לעבוד על ההנגנה","")&amp;IF($AK398&lt;&gt;"","; "&amp;$AK398,""),3,400))</f>
        <v/>
      </c>
      <c r="AE398" s="32">
        <f>IF($F398="","",IF($F398="תחילת שנה",1,IF($F398="מחצית שנה",2,3)))</f>
        <v/>
      </c>
      <c r="AF398" s="32">
        <f>IF(OR($B398="",$AC398="",$A398="",$F398=""),"",$B398&amp;"|"&amp;$A398&amp;"|"&amp;$F398&amp;"|"&amp;$AC398&amp;"|"&amp;COUNTIFS($B$6:$B398,$B398,$A$6:$A398,$A398,$F$6:$F398,$F398,$AC$6:$AC398,$AC398))</f>
        <v/>
      </c>
      <c r="AG398" s="32">
        <f>IF($C398="","",$C398&amp;"|"&amp;COUNTIFS($C$6:$C398,$C398))</f>
        <v/>
      </c>
      <c r="AH398" s="32">
        <f>IF(OR($C398="",$A398="",$AE398=""),"",$C398&amp;"|"&amp;$A398&amp;"|"&amp;$AE398)</f>
        <v/>
      </c>
      <c r="AI398" s="32">
        <f>IF(OR($C398="",$AE398="",$AE398=1),"",IFERROR(INDEX($AC$6:$AC$1505,MATCH($C398&amp;"|"&amp;$A398&amp;"|"&amp;($AE398-1),$AH$6:$AH$1505,0)),""))</f>
        <v/>
      </c>
      <c r="AJ398" s="32">
        <f>IF(OR($AI398="",$AC398=""),"",IF($AI398=$AC398,"ללא שינוי","מ-"&amp;$AI398&amp;" ל-"&amp;$AC398))</f>
        <v/>
      </c>
      <c r="AK398" s="67" t="n"/>
    </row>
    <row r="399" ht="15.75" customHeight="1" s="58">
      <c r="A399" s="65" t="n"/>
      <c r="B399" s="65" t="n"/>
      <c r="C399" s="66" t="n"/>
      <c r="D399" s="66" t="n"/>
      <c r="E399" s="65" t="n"/>
      <c r="F399" s="65" t="n"/>
      <c r="G399" s="65" t="n"/>
      <c r="H399" s="65" t="n"/>
      <c r="I399" s="65" t="n"/>
      <c r="J399" s="65" t="n"/>
      <c r="K399" s="65" t="n"/>
      <c r="L399" s="65" t="n"/>
      <c r="M399" s="65" t="n"/>
      <c r="N399" s="65" t="n"/>
      <c r="O399" s="65" t="n"/>
      <c r="P399" s="65" t="n"/>
      <c r="Q399" s="65" t="n"/>
      <c r="R399" s="65" t="n"/>
      <c r="S399" s="65" t="n"/>
      <c r="T399" s="65" t="n"/>
      <c r="U399" s="65" t="n"/>
      <c r="V399" s="65" t="n"/>
      <c r="W399" s="65" t="n"/>
      <c r="X399" s="65" t="n"/>
      <c r="Y399" s="32">
        <f>IF($C399="","",IF(COUNTA($I399:$K399)&lt;3,"— חסרים נתונים",IF(AND($I399="תקין",$J399="תקין",$K399="תקין"),"רהוטה",IF(AND($I399="תקין",$J399="תקין"),"מדויקת ורציפה","אינה מדויקת או מקוטעת"))))</f>
        <v/>
      </c>
      <c r="Z399" s="32">
        <f>IF($C399="","",IF(COUNTA($U399:$W399)&lt;3,"",IF(AND($U399="מפותח",$V399="מפותח",$W399="מפותחת"),"מפותחת",IF((--($U399="דל"))+(--($V399="אינו מפותח"))+(--($W399="דלה"))&gt;=2,"אינה מפותחת","חלקית"))))</f>
        <v/>
      </c>
      <c r="AA399" s="32">
        <f>IF($C399="","",IF(COUNTA($M399,$N399,$O399)&lt;3,"— חסרים נתונים",IF(OR($M399="נמוכה",(--($M399&lt;&gt;"תקינה"))+(--($N399&lt;&gt;"תקין"))+(--($O399&lt;&gt;"תקינה"))&gt;=2),"ניכרת","אינה ניכרת")))</f>
        <v/>
      </c>
      <c r="AB399" s="32">
        <f>IF(OR($C399="",$Y399="",$AA399="",LEFT($Y399,1)="—",LEFT($AA399,1)="—"),"",IF($Z399="","— נדרשת הערכת כתיבה",IF($L399="","— חסרה הבנת הנקרא",IF($Y399="אינה מדויקת או מקוטעת",IF($AA399="ניכרת","מיקוד בשטף הקריאה ובכישורי שפה","מיקוד בשטף קריאה"),IF($AA399="ניכרת","מיקוד בכישורי שפה",IF(AND($L399="תקינה",$Z399="מפותחת"),"קוראים וכותבים מיומנים","מיקוד בהבנה והבעה"))))))</f>
        <v/>
      </c>
      <c r="AC399" s="32">
        <f>IF(OR($AB399="",LEFT($AB399,1)="—"),"",IF(OR($AB399="מיקוד בשטף קריאה",$AB399="מיקוד בשטף הקריאה ובכישורי שפה"),"רמה א'",IF($AB399="קוראים וכותבים מיומנים","רמה ג'","רמה ב'")))</f>
        <v/>
      </c>
      <c r="AD399" s="32">
        <f>IF($AC399="","",MID(IF(AND($AC399="רמה א'",$AA399="ניכרת"),"; להוסיף עבודת אוצר מילים","")&amp;IF($Z399="אינה מפותחת","; דגש על הבעה בכתב","")&amp;IF($K399&lt;&gt;"תקין","; נדרש לעבוד על ההנגנה","")&amp;IF($AK399&lt;&gt;"","; "&amp;$AK399,""),3,400))</f>
        <v/>
      </c>
      <c r="AE399" s="32">
        <f>IF($F399="","",IF($F399="תחילת שנה",1,IF($F399="מחצית שנה",2,3)))</f>
        <v/>
      </c>
      <c r="AF399" s="32">
        <f>IF(OR($B399="",$AC399="",$A399="",$F399=""),"",$B399&amp;"|"&amp;$A399&amp;"|"&amp;$F399&amp;"|"&amp;$AC399&amp;"|"&amp;COUNTIFS($B$6:$B399,$B399,$A$6:$A399,$A399,$F$6:$F399,$F399,$AC$6:$AC399,$AC399))</f>
        <v/>
      </c>
      <c r="AG399" s="32">
        <f>IF($C399="","",$C399&amp;"|"&amp;COUNTIFS($C$6:$C399,$C399))</f>
        <v/>
      </c>
      <c r="AH399" s="32">
        <f>IF(OR($C399="",$A399="",$AE399=""),"",$C399&amp;"|"&amp;$A399&amp;"|"&amp;$AE399)</f>
        <v/>
      </c>
      <c r="AI399" s="32">
        <f>IF(OR($C399="",$AE399="",$AE399=1),"",IFERROR(INDEX($AC$6:$AC$1505,MATCH($C399&amp;"|"&amp;$A399&amp;"|"&amp;($AE399-1),$AH$6:$AH$1505,0)),""))</f>
        <v/>
      </c>
      <c r="AJ399" s="32">
        <f>IF(OR($AI399="",$AC399=""),"",IF($AI399=$AC399,"ללא שינוי","מ-"&amp;$AI399&amp;" ל-"&amp;$AC399))</f>
        <v/>
      </c>
      <c r="AK399" s="67" t="n"/>
    </row>
    <row r="400" ht="15.75" customHeight="1" s="58">
      <c r="A400" s="65" t="n"/>
      <c r="B400" s="65" t="n"/>
      <c r="C400" s="66" t="n"/>
      <c r="D400" s="66" t="n"/>
      <c r="E400" s="65" t="n"/>
      <c r="F400" s="65" t="n"/>
      <c r="G400" s="65" t="n"/>
      <c r="H400" s="65" t="n"/>
      <c r="I400" s="65" t="n"/>
      <c r="J400" s="65" t="n"/>
      <c r="K400" s="65" t="n"/>
      <c r="L400" s="65" t="n"/>
      <c r="M400" s="65" t="n"/>
      <c r="N400" s="65" t="n"/>
      <c r="O400" s="65" t="n"/>
      <c r="P400" s="65" t="n"/>
      <c r="Q400" s="65" t="n"/>
      <c r="R400" s="65" t="n"/>
      <c r="S400" s="65" t="n"/>
      <c r="T400" s="65" t="n"/>
      <c r="U400" s="65" t="n"/>
      <c r="V400" s="65" t="n"/>
      <c r="W400" s="65" t="n"/>
      <c r="X400" s="65" t="n"/>
      <c r="Y400" s="32">
        <f>IF($C400="","",IF(COUNTA($I400:$K400)&lt;3,"— חסרים נתונים",IF(AND($I400="תקין",$J400="תקין",$K400="תקין"),"רהוטה",IF(AND($I400="תקין",$J400="תקין"),"מדויקת ורציפה","אינה מדויקת או מקוטעת"))))</f>
        <v/>
      </c>
      <c r="Z400" s="32">
        <f>IF($C400="","",IF(COUNTA($U400:$W400)&lt;3,"",IF(AND($U400="מפותח",$V400="מפותח",$W400="מפותחת"),"מפותחת",IF((--($U400="דל"))+(--($V400="אינו מפותח"))+(--($W400="דלה"))&gt;=2,"אינה מפותחת","חלקית"))))</f>
        <v/>
      </c>
      <c r="AA400" s="32">
        <f>IF($C400="","",IF(COUNTA($M400,$N400,$O400)&lt;3,"— חסרים נתונים",IF(OR($M400="נמוכה",(--($M400&lt;&gt;"תקינה"))+(--($N400&lt;&gt;"תקין"))+(--($O400&lt;&gt;"תקינה"))&gt;=2),"ניכרת","אינה ניכרת")))</f>
        <v/>
      </c>
      <c r="AB400" s="32">
        <f>IF(OR($C400="",$Y400="",$AA400="",LEFT($Y400,1)="—",LEFT($AA400,1)="—"),"",IF($Z400="","— נדרשת הערכת כתיבה",IF($L400="","— חסרה הבנת הנקרא",IF($Y400="אינה מדויקת או מקוטעת",IF($AA400="ניכרת","מיקוד בשטף הקריאה ובכישורי שפה","מיקוד בשטף קריאה"),IF($AA400="ניכרת","מיקוד בכישורי שפה",IF(AND($L400="תקינה",$Z400="מפותחת"),"קוראים וכותבים מיומנים","מיקוד בהבנה והבעה"))))))</f>
        <v/>
      </c>
      <c r="AC400" s="32">
        <f>IF(OR($AB400="",LEFT($AB400,1)="—"),"",IF(OR($AB400="מיקוד בשטף קריאה",$AB400="מיקוד בשטף הקריאה ובכישורי שפה"),"רמה א'",IF($AB400="קוראים וכותבים מיומנים","רמה ג'","רמה ב'")))</f>
        <v/>
      </c>
      <c r="AD400" s="32">
        <f>IF($AC400="","",MID(IF(AND($AC400="רמה א'",$AA400="ניכרת"),"; להוסיף עבודת אוצר מילים","")&amp;IF($Z400="אינה מפותחת","; דגש על הבעה בכתב","")&amp;IF($K400&lt;&gt;"תקין","; נדרש לעבוד על ההנגנה","")&amp;IF($AK400&lt;&gt;"","; "&amp;$AK400,""),3,400))</f>
        <v/>
      </c>
      <c r="AE400" s="32">
        <f>IF($F400="","",IF($F400="תחילת שנה",1,IF($F400="מחצית שנה",2,3)))</f>
        <v/>
      </c>
      <c r="AF400" s="32">
        <f>IF(OR($B400="",$AC400="",$A400="",$F400=""),"",$B400&amp;"|"&amp;$A400&amp;"|"&amp;$F400&amp;"|"&amp;$AC400&amp;"|"&amp;COUNTIFS($B$6:$B400,$B400,$A$6:$A400,$A400,$F$6:$F400,$F400,$AC$6:$AC400,$AC400))</f>
        <v/>
      </c>
      <c r="AG400" s="32">
        <f>IF($C400="","",$C400&amp;"|"&amp;COUNTIFS($C$6:$C400,$C400))</f>
        <v/>
      </c>
      <c r="AH400" s="32">
        <f>IF(OR($C400="",$A400="",$AE400=""),"",$C400&amp;"|"&amp;$A400&amp;"|"&amp;$AE400)</f>
        <v/>
      </c>
      <c r="AI400" s="32">
        <f>IF(OR($C400="",$AE400="",$AE400=1),"",IFERROR(INDEX($AC$6:$AC$1505,MATCH($C400&amp;"|"&amp;$A400&amp;"|"&amp;($AE400-1),$AH$6:$AH$1505,0)),""))</f>
        <v/>
      </c>
      <c r="AJ400" s="32">
        <f>IF(OR($AI400="",$AC400=""),"",IF($AI400=$AC400,"ללא שינוי","מ-"&amp;$AI400&amp;" ל-"&amp;$AC400))</f>
        <v/>
      </c>
      <c r="AK400" s="67" t="n"/>
    </row>
    <row r="401" ht="15.75" customHeight="1" s="58">
      <c r="A401" s="65" t="n"/>
      <c r="B401" s="65" t="n"/>
      <c r="C401" s="66" t="n"/>
      <c r="D401" s="66" t="n"/>
      <c r="E401" s="65" t="n"/>
      <c r="F401" s="65" t="n"/>
      <c r="G401" s="65" t="n"/>
      <c r="H401" s="65" t="n"/>
      <c r="I401" s="65" t="n"/>
      <c r="J401" s="65" t="n"/>
      <c r="K401" s="65" t="n"/>
      <c r="L401" s="65" t="n"/>
      <c r="M401" s="65" t="n"/>
      <c r="N401" s="65" t="n"/>
      <c r="O401" s="65" t="n"/>
      <c r="P401" s="65" t="n"/>
      <c r="Q401" s="65" t="n"/>
      <c r="R401" s="65" t="n"/>
      <c r="S401" s="65" t="n"/>
      <c r="T401" s="65" t="n"/>
      <c r="U401" s="65" t="n"/>
      <c r="V401" s="65" t="n"/>
      <c r="W401" s="65" t="n"/>
      <c r="X401" s="65" t="n"/>
      <c r="Y401" s="32">
        <f>IF($C401="","",IF(COUNTA($I401:$K401)&lt;3,"— חסרים נתונים",IF(AND($I401="תקין",$J401="תקין",$K401="תקין"),"רהוטה",IF(AND($I401="תקין",$J401="תקין"),"מדויקת ורציפה","אינה מדויקת או מקוטעת"))))</f>
        <v/>
      </c>
      <c r="Z401" s="32">
        <f>IF($C401="","",IF(COUNTA($U401:$W401)&lt;3,"",IF(AND($U401="מפותח",$V401="מפותח",$W401="מפותחת"),"מפותחת",IF((--($U401="דל"))+(--($V401="אינו מפותח"))+(--($W401="דלה"))&gt;=2,"אינה מפותחת","חלקית"))))</f>
        <v/>
      </c>
      <c r="AA401" s="32">
        <f>IF($C401="","",IF(COUNTA($M401,$N401,$O401)&lt;3,"— חסרים נתונים",IF(OR($M401="נמוכה",(--($M401&lt;&gt;"תקינה"))+(--($N401&lt;&gt;"תקין"))+(--($O401&lt;&gt;"תקינה"))&gt;=2),"ניכרת","אינה ניכרת")))</f>
        <v/>
      </c>
      <c r="AB401" s="32">
        <f>IF(OR($C401="",$Y401="",$AA401="",LEFT($Y401,1)="—",LEFT($AA401,1)="—"),"",IF($Z401="","— נדרשת הערכת כתיבה",IF($L401="","— חסרה הבנת הנקרא",IF($Y401="אינה מדויקת או מקוטעת",IF($AA401="ניכרת","מיקוד בשטף הקריאה ובכישורי שפה","מיקוד בשטף קריאה"),IF($AA401="ניכרת","מיקוד בכישורי שפה",IF(AND($L401="תקינה",$Z401="מפותחת"),"קוראים וכותבים מיומנים","מיקוד בהבנה והבעה"))))))</f>
        <v/>
      </c>
      <c r="AC401" s="32">
        <f>IF(OR($AB401="",LEFT($AB401,1)="—"),"",IF(OR($AB401="מיקוד בשטף קריאה",$AB401="מיקוד בשטף הקריאה ובכישורי שפה"),"רמה א'",IF($AB401="קוראים וכותבים מיומנים","רמה ג'","רמה ב'")))</f>
        <v/>
      </c>
      <c r="AD401" s="32">
        <f>IF($AC401="","",MID(IF(AND($AC401="רמה א'",$AA401="ניכרת"),"; להוסיף עבודת אוצר מילים","")&amp;IF($Z401="אינה מפותחת","; דגש על הבעה בכתב","")&amp;IF($K401&lt;&gt;"תקין","; נדרש לעבוד על ההנגנה","")&amp;IF($AK401&lt;&gt;"","; "&amp;$AK401,""),3,400))</f>
        <v/>
      </c>
      <c r="AE401" s="32">
        <f>IF($F401="","",IF($F401="תחילת שנה",1,IF($F401="מחצית שנה",2,3)))</f>
        <v/>
      </c>
      <c r="AF401" s="32">
        <f>IF(OR($B401="",$AC401="",$A401="",$F401=""),"",$B401&amp;"|"&amp;$A401&amp;"|"&amp;$F401&amp;"|"&amp;$AC401&amp;"|"&amp;COUNTIFS($B$6:$B401,$B401,$A$6:$A401,$A401,$F$6:$F401,$F401,$AC$6:$AC401,$AC401))</f>
        <v/>
      </c>
      <c r="AG401" s="32">
        <f>IF($C401="","",$C401&amp;"|"&amp;COUNTIFS($C$6:$C401,$C401))</f>
        <v/>
      </c>
      <c r="AH401" s="32">
        <f>IF(OR($C401="",$A401="",$AE401=""),"",$C401&amp;"|"&amp;$A401&amp;"|"&amp;$AE401)</f>
        <v/>
      </c>
      <c r="AI401" s="32">
        <f>IF(OR($C401="",$AE401="",$AE401=1),"",IFERROR(INDEX($AC$6:$AC$1505,MATCH($C401&amp;"|"&amp;$A401&amp;"|"&amp;($AE401-1),$AH$6:$AH$1505,0)),""))</f>
        <v/>
      </c>
      <c r="AJ401" s="32">
        <f>IF(OR($AI401="",$AC401=""),"",IF($AI401=$AC401,"ללא שינוי","מ-"&amp;$AI401&amp;" ל-"&amp;$AC401))</f>
        <v/>
      </c>
      <c r="AK401" s="67" t="n"/>
    </row>
    <row r="402" ht="15.75" customHeight="1" s="58">
      <c r="A402" s="65" t="n"/>
      <c r="B402" s="65" t="n"/>
      <c r="C402" s="66" t="n"/>
      <c r="D402" s="66" t="n"/>
      <c r="E402" s="65" t="n"/>
      <c r="F402" s="65" t="n"/>
      <c r="G402" s="65" t="n"/>
      <c r="H402" s="65" t="n"/>
      <c r="I402" s="65" t="n"/>
      <c r="J402" s="65" t="n"/>
      <c r="K402" s="65" t="n"/>
      <c r="L402" s="65" t="n"/>
      <c r="M402" s="65" t="n"/>
      <c r="N402" s="65" t="n"/>
      <c r="O402" s="65" t="n"/>
      <c r="P402" s="65" t="n"/>
      <c r="Q402" s="65" t="n"/>
      <c r="R402" s="65" t="n"/>
      <c r="S402" s="65" t="n"/>
      <c r="T402" s="65" t="n"/>
      <c r="U402" s="65" t="n"/>
      <c r="V402" s="65" t="n"/>
      <c r="W402" s="65" t="n"/>
      <c r="X402" s="65" t="n"/>
      <c r="Y402" s="32">
        <f>IF($C402="","",IF(COUNTA($I402:$K402)&lt;3,"— חסרים נתונים",IF(AND($I402="תקין",$J402="תקין",$K402="תקין"),"רהוטה",IF(AND($I402="תקין",$J402="תקין"),"מדויקת ורציפה","אינה מדויקת או מקוטעת"))))</f>
        <v/>
      </c>
      <c r="Z402" s="32">
        <f>IF($C402="","",IF(COUNTA($U402:$W402)&lt;3,"",IF(AND($U402="מפותח",$V402="מפותח",$W402="מפותחת"),"מפותחת",IF((--($U402="דל"))+(--($V402="אינו מפותח"))+(--($W402="דלה"))&gt;=2,"אינה מפותחת","חלקית"))))</f>
        <v/>
      </c>
      <c r="AA402" s="32">
        <f>IF($C402="","",IF(COUNTA($M402,$N402,$O402)&lt;3,"— חסרים נתונים",IF(OR($M402="נמוכה",(--($M402&lt;&gt;"תקינה"))+(--($N402&lt;&gt;"תקין"))+(--($O402&lt;&gt;"תקינה"))&gt;=2),"ניכרת","אינה ניכרת")))</f>
        <v/>
      </c>
      <c r="AB402" s="32">
        <f>IF(OR($C402="",$Y402="",$AA402="",LEFT($Y402,1)="—",LEFT($AA402,1)="—"),"",IF($Z402="","— נדרשת הערכת כתיבה",IF($L402="","— חסרה הבנת הנקרא",IF($Y402="אינה מדויקת או מקוטעת",IF($AA402="ניכרת","מיקוד בשטף הקריאה ובכישורי שפה","מיקוד בשטף קריאה"),IF($AA402="ניכרת","מיקוד בכישורי שפה",IF(AND($L402="תקינה",$Z402="מפותחת"),"קוראים וכותבים מיומנים","מיקוד בהבנה והבעה"))))))</f>
        <v/>
      </c>
      <c r="AC402" s="32">
        <f>IF(OR($AB402="",LEFT($AB402,1)="—"),"",IF(OR($AB402="מיקוד בשטף קריאה",$AB402="מיקוד בשטף הקריאה ובכישורי שפה"),"רמה א'",IF($AB402="קוראים וכותבים מיומנים","רמה ג'","רמה ב'")))</f>
        <v/>
      </c>
      <c r="AD402" s="32">
        <f>IF($AC402="","",MID(IF(AND($AC402="רמה א'",$AA402="ניכרת"),"; להוסיף עבודת אוצר מילים","")&amp;IF($Z402="אינה מפותחת","; דגש על הבעה בכתב","")&amp;IF($K402&lt;&gt;"תקין","; נדרש לעבוד על ההנגנה","")&amp;IF($AK402&lt;&gt;"","; "&amp;$AK402,""),3,400))</f>
        <v/>
      </c>
      <c r="AE402" s="32">
        <f>IF($F402="","",IF($F402="תחילת שנה",1,IF($F402="מחצית שנה",2,3)))</f>
        <v/>
      </c>
      <c r="AF402" s="32">
        <f>IF(OR($B402="",$AC402="",$A402="",$F402=""),"",$B402&amp;"|"&amp;$A402&amp;"|"&amp;$F402&amp;"|"&amp;$AC402&amp;"|"&amp;COUNTIFS($B$6:$B402,$B402,$A$6:$A402,$A402,$F$6:$F402,$F402,$AC$6:$AC402,$AC402))</f>
        <v/>
      </c>
      <c r="AG402" s="32">
        <f>IF($C402="","",$C402&amp;"|"&amp;COUNTIFS($C$6:$C402,$C402))</f>
        <v/>
      </c>
      <c r="AH402" s="32">
        <f>IF(OR($C402="",$A402="",$AE402=""),"",$C402&amp;"|"&amp;$A402&amp;"|"&amp;$AE402)</f>
        <v/>
      </c>
      <c r="AI402" s="32">
        <f>IF(OR($C402="",$AE402="",$AE402=1),"",IFERROR(INDEX($AC$6:$AC$1505,MATCH($C402&amp;"|"&amp;$A402&amp;"|"&amp;($AE402-1),$AH$6:$AH$1505,0)),""))</f>
        <v/>
      </c>
      <c r="AJ402" s="32">
        <f>IF(OR($AI402="",$AC402=""),"",IF($AI402=$AC402,"ללא שינוי","מ-"&amp;$AI402&amp;" ל-"&amp;$AC402))</f>
        <v/>
      </c>
      <c r="AK402" s="67" t="n"/>
    </row>
    <row r="403" ht="15.75" customHeight="1" s="58">
      <c r="A403" s="65" t="n"/>
      <c r="B403" s="65" t="n"/>
      <c r="C403" s="66" t="n"/>
      <c r="D403" s="66" t="n"/>
      <c r="E403" s="65" t="n"/>
      <c r="F403" s="65" t="n"/>
      <c r="G403" s="65" t="n"/>
      <c r="H403" s="65" t="n"/>
      <c r="I403" s="65" t="n"/>
      <c r="J403" s="65" t="n"/>
      <c r="K403" s="65" t="n"/>
      <c r="L403" s="65" t="n"/>
      <c r="M403" s="65" t="n"/>
      <c r="N403" s="65" t="n"/>
      <c r="O403" s="65" t="n"/>
      <c r="P403" s="65" t="n"/>
      <c r="Q403" s="65" t="n"/>
      <c r="R403" s="65" t="n"/>
      <c r="S403" s="65" t="n"/>
      <c r="T403" s="65" t="n"/>
      <c r="U403" s="65" t="n"/>
      <c r="V403" s="65" t="n"/>
      <c r="W403" s="65" t="n"/>
      <c r="X403" s="65" t="n"/>
      <c r="Y403" s="32">
        <f>IF($C403="","",IF(COUNTA($I403:$K403)&lt;3,"— חסרים נתונים",IF(AND($I403="תקין",$J403="תקין",$K403="תקין"),"רהוטה",IF(AND($I403="תקין",$J403="תקין"),"מדויקת ורציפה","אינה מדויקת או מקוטעת"))))</f>
        <v/>
      </c>
      <c r="Z403" s="32">
        <f>IF($C403="","",IF(COUNTA($U403:$W403)&lt;3,"",IF(AND($U403="מפותח",$V403="מפותח",$W403="מפותחת"),"מפותחת",IF((--($U403="דל"))+(--($V403="אינו מפותח"))+(--($W403="דלה"))&gt;=2,"אינה מפותחת","חלקית"))))</f>
        <v/>
      </c>
      <c r="AA403" s="32">
        <f>IF($C403="","",IF(COUNTA($M403,$N403,$O403)&lt;3,"— חסרים נתונים",IF(OR($M403="נמוכה",(--($M403&lt;&gt;"תקינה"))+(--($N403&lt;&gt;"תקין"))+(--($O403&lt;&gt;"תקינה"))&gt;=2),"ניכרת","אינה ניכרת")))</f>
        <v/>
      </c>
      <c r="AB403" s="32">
        <f>IF(OR($C403="",$Y403="",$AA403="",LEFT($Y403,1)="—",LEFT($AA403,1)="—"),"",IF($Z403="","— נדרשת הערכת כתיבה",IF($L403="","— חסרה הבנת הנקרא",IF($Y403="אינה מדויקת או מקוטעת",IF($AA403="ניכרת","מיקוד בשטף הקריאה ובכישורי שפה","מיקוד בשטף קריאה"),IF($AA403="ניכרת","מיקוד בכישורי שפה",IF(AND($L403="תקינה",$Z403="מפותחת"),"קוראים וכותבים מיומנים","מיקוד בהבנה והבעה"))))))</f>
        <v/>
      </c>
      <c r="AC403" s="32">
        <f>IF(OR($AB403="",LEFT($AB403,1)="—"),"",IF(OR($AB403="מיקוד בשטף קריאה",$AB403="מיקוד בשטף הקריאה ובכישורי שפה"),"רמה א'",IF($AB403="קוראים וכותבים מיומנים","רמה ג'","רמה ב'")))</f>
        <v/>
      </c>
      <c r="AD403" s="32">
        <f>IF($AC403="","",MID(IF(AND($AC403="רמה א'",$AA403="ניכרת"),"; להוסיף עבודת אוצר מילים","")&amp;IF($Z403="אינה מפותחת","; דגש על הבעה בכתב","")&amp;IF($K403&lt;&gt;"תקין","; נדרש לעבוד על ההנגנה","")&amp;IF($AK403&lt;&gt;"","; "&amp;$AK403,""),3,400))</f>
        <v/>
      </c>
      <c r="AE403" s="32">
        <f>IF($F403="","",IF($F403="תחילת שנה",1,IF($F403="מחצית שנה",2,3)))</f>
        <v/>
      </c>
      <c r="AF403" s="32">
        <f>IF(OR($B403="",$AC403="",$A403="",$F403=""),"",$B403&amp;"|"&amp;$A403&amp;"|"&amp;$F403&amp;"|"&amp;$AC403&amp;"|"&amp;COUNTIFS($B$6:$B403,$B403,$A$6:$A403,$A403,$F$6:$F403,$F403,$AC$6:$AC403,$AC403))</f>
        <v/>
      </c>
      <c r="AG403" s="32">
        <f>IF($C403="","",$C403&amp;"|"&amp;COUNTIFS($C$6:$C403,$C403))</f>
        <v/>
      </c>
      <c r="AH403" s="32">
        <f>IF(OR($C403="",$A403="",$AE403=""),"",$C403&amp;"|"&amp;$A403&amp;"|"&amp;$AE403)</f>
        <v/>
      </c>
      <c r="AI403" s="32">
        <f>IF(OR($C403="",$AE403="",$AE403=1),"",IFERROR(INDEX($AC$6:$AC$1505,MATCH($C403&amp;"|"&amp;$A403&amp;"|"&amp;($AE403-1),$AH$6:$AH$1505,0)),""))</f>
        <v/>
      </c>
      <c r="AJ403" s="32">
        <f>IF(OR($AI403="",$AC403=""),"",IF($AI403=$AC403,"ללא שינוי","מ-"&amp;$AI403&amp;" ל-"&amp;$AC403))</f>
        <v/>
      </c>
      <c r="AK403" s="67" t="n"/>
    </row>
    <row r="404" ht="15.75" customHeight="1" s="58">
      <c r="A404" s="65" t="n"/>
      <c r="B404" s="65" t="n"/>
      <c r="C404" s="66" t="n"/>
      <c r="D404" s="66" t="n"/>
      <c r="E404" s="65" t="n"/>
      <c r="F404" s="65" t="n"/>
      <c r="G404" s="65" t="n"/>
      <c r="H404" s="65" t="n"/>
      <c r="I404" s="65" t="n"/>
      <c r="J404" s="65" t="n"/>
      <c r="K404" s="65" t="n"/>
      <c r="L404" s="65" t="n"/>
      <c r="M404" s="65" t="n"/>
      <c r="N404" s="65" t="n"/>
      <c r="O404" s="65" t="n"/>
      <c r="P404" s="65" t="n"/>
      <c r="Q404" s="65" t="n"/>
      <c r="R404" s="65" t="n"/>
      <c r="S404" s="65" t="n"/>
      <c r="T404" s="65" t="n"/>
      <c r="U404" s="65" t="n"/>
      <c r="V404" s="65" t="n"/>
      <c r="W404" s="65" t="n"/>
      <c r="X404" s="65" t="n"/>
      <c r="Y404" s="32">
        <f>IF($C404="","",IF(COUNTA($I404:$K404)&lt;3,"— חסרים נתונים",IF(AND($I404="תקין",$J404="תקין",$K404="תקין"),"רהוטה",IF(AND($I404="תקין",$J404="תקין"),"מדויקת ורציפה","אינה מדויקת או מקוטעת"))))</f>
        <v/>
      </c>
      <c r="Z404" s="32">
        <f>IF($C404="","",IF(COUNTA($U404:$W404)&lt;3,"",IF(AND($U404="מפותח",$V404="מפותח",$W404="מפותחת"),"מפותחת",IF((--($U404="דל"))+(--($V404="אינו מפותח"))+(--($W404="דלה"))&gt;=2,"אינה מפותחת","חלקית"))))</f>
        <v/>
      </c>
      <c r="AA404" s="32">
        <f>IF($C404="","",IF(COUNTA($M404,$N404,$O404)&lt;3,"— חסרים נתונים",IF(OR($M404="נמוכה",(--($M404&lt;&gt;"תקינה"))+(--($N404&lt;&gt;"תקין"))+(--($O404&lt;&gt;"תקינה"))&gt;=2),"ניכרת","אינה ניכרת")))</f>
        <v/>
      </c>
      <c r="AB404" s="32">
        <f>IF(OR($C404="",$Y404="",$AA404="",LEFT($Y404,1)="—",LEFT($AA404,1)="—"),"",IF($Z404="","— נדרשת הערכת כתיבה",IF($L404="","— חסרה הבנת הנקרא",IF($Y404="אינה מדויקת או מקוטעת",IF($AA404="ניכרת","מיקוד בשטף הקריאה ובכישורי שפה","מיקוד בשטף קריאה"),IF($AA404="ניכרת","מיקוד בכישורי שפה",IF(AND($L404="תקינה",$Z404="מפותחת"),"קוראים וכותבים מיומנים","מיקוד בהבנה והבעה"))))))</f>
        <v/>
      </c>
      <c r="AC404" s="32">
        <f>IF(OR($AB404="",LEFT($AB404,1)="—"),"",IF(OR($AB404="מיקוד בשטף קריאה",$AB404="מיקוד בשטף הקריאה ובכישורי שפה"),"רמה א'",IF($AB404="קוראים וכותבים מיומנים","רמה ג'","רמה ב'")))</f>
        <v/>
      </c>
      <c r="AD404" s="32">
        <f>IF($AC404="","",MID(IF(AND($AC404="רמה א'",$AA404="ניכרת"),"; להוסיף עבודת אוצר מילים","")&amp;IF($Z404="אינה מפותחת","; דגש על הבעה בכתב","")&amp;IF($K404&lt;&gt;"תקין","; נדרש לעבוד על ההנגנה","")&amp;IF($AK404&lt;&gt;"","; "&amp;$AK404,""),3,400))</f>
        <v/>
      </c>
      <c r="AE404" s="32">
        <f>IF($F404="","",IF($F404="תחילת שנה",1,IF($F404="מחצית שנה",2,3)))</f>
        <v/>
      </c>
      <c r="AF404" s="32">
        <f>IF(OR($B404="",$AC404="",$A404="",$F404=""),"",$B404&amp;"|"&amp;$A404&amp;"|"&amp;$F404&amp;"|"&amp;$AC404&amp;"|"&amp;COUNTIFS($B$6:$B404,$B404,$A$6:$A404,$A404,$F$6:$F404,$F404,$AC$6:$AC404,$AC404))</f>
        <v/>
      </c>
      <c r="AG404" s="32">
        <f>IF($C404="","",$C404&amp;"|"&amp;COUNTIFS($C$6:$C404,$C404))</f>
        <v/>
      </c>
      <c r="AH404" s="32">
        <f>IF(OR($C404="",$A404="",$AE404=""),"",$C404&amp;"|"&amp;$A404&amp;"|"&amp;$AE404)</f>
        <v/>
      </c>
      <c r="AI404" s="32">
        <f>IF(OR($C404="",$AE404="",$AE404=1),"",IFERROR(INDEX($AC$6:$AC$1505,MATCH($C404&amp;"|"&amp;$A404&amp;"|"&amp;($AE404-1),$AH$6:$AH$1505,0)),""))</f>
        <v/>
      </c>
      <c r="AJ404" s="32">
        <f>IF(OR($AI404="",$AC404=""),"",IF($AI404=$AC404,"ללא שינוי","מ-"&amp;$AI404&amp;" ל-"&amp;$AC404))</f>
        <v/>
      </c>
      <c r="AK404" s="67" t="n"/>
    </row>
    <row r="405" ht="15.75" customHeight="1" s="58">
      <c r="A405" s="65" t="n"/>
      <c r="B405" s="65" t="n"/>
      <c r="C405" s="66" t="n"/>
      <c r="D405" s="66" t="n"/>
      <c r="E405" s="65" t="n"/>
      <c r="F405" s="65" t="n"/>
      <c r="G405" s="65" t="n"/>
      <c r="H405" s="65" t="n"/>
      <c r="I405" s="65" t="n"/>
      <c r="J405" s="65" t="n"/>
      <c r="K405" s="65" t="n"/>
      <c r="L405" s="65" t="n"/>
      <c r="M405" s="65" t="n"/>
      <c r="N405" s="65" t="n"/>
      <c r="O405" s="65" t="n"/>
      <c r="P405" s="65" t="n"/>
      <c r="Q405" s="65" t="n"/>
      <c r="R405" s="65" t="n"/>
      <c r="S405" s="65" t="n"/>
      <c r="T405" s="65" t="n"/>
      <c r="U405" s="65" t="n"/>
      <c r="V405" s="65" t="n"/>
      <c r="W405" s="65" t="n"/>
      <c r="X405" s="65" t="n"/>
      <c r="Y405" s="32">
        <f>IF($C405="","",IF(COUNTA($I405:$K405)&lt;3,"— חסרים נתונים",IF(AND($I405="תקין",$J405="תקין",$K405="תקין"),"רהוטה",IF(AND($I405="תקין",$J405="תקין"),"מדויקת ורציפה","אינה מדויקת או מקוטעת"))))</f>
        <v/>
      </c>
      <c r="Z405" s="32">
        <f>IF($C405="","",IF(COUNTA($U405:$W405)&lt;3,"",IF(AND($U405="מפותח",$V405="מפותח",$W405="מפותחת"),"מפותחת",IF((--($U405="דל"))+(--($V405="אינו מפותח"))+(--($W405="דלה"))&gt;=2,"אינה מפותחת","חלקית"))))</f>
        <v/>
      </c>
      <c r="AA405" s="32">
        <f>IF($C405="","",IF(COUNTA($M405,$N405,$O405)&lt;3,"— חסרים נתונים",IF(OR($M405="נמוכה",(--($M405&lt;&gt;"תקינה"))+(--($N405&lt;&gt;"תקין"))+(--($O405&lt;&gt;"תקינה"))&gt;=2),"ניכרת","אינה ניכרת")))</f>
        <v/>
      </c>
      <c r="AB405" s="32">
        <f>IF(OR($C405="",$Y405="",$AA405="",LEFT($Y405,1)="—",LEFT($AA405,1)="—"),"",IF($Z405="","— נדרשת הערכת כתיבה",IF($L405="","— חסרה הבנת הנקרא",IF($Y405="אינה מדויקת או מקוטעת",IF($AA405="ניכרת","מיקוד בשטף הקריאה ובכישורי שפה","מיקוד בשטף קריאה"),IF($AA405="ניכרת","מיקוד בכישורי שפה",IF(AND($L405="תקינה",$Z405="מפותחת"),"קוראים וכותבים מיומנים","מיקוד בהבנה והבעה"))))))</f>
        <v/>
      </c>
      <c r="AC405" s="32">
        <f>IF(OR($AB405="",LEFT($AB405,1)="—"),"",IF(OR($AB405="מיקוד בשטף קריאה",$AB405="מיקוד בשטף הקריאה ובכישורי שפה"),"רמה א'",IF($AB405="קוראים וכותבים מיומנים","רמה ג'","רמה ב'")))</f>
        <v/>
      </c>
      <c r="AD405" s="32">
        <f>IF($AC405="","",MID(IF(AND($AC405="רמה א'",$AA405="ניכרת"),"; להוסיף עבודת אוצר מילים","")&amp;IF($Z405="אינה מפותחת","; דגש על הבעה בכתב","")&amp;IF($K405&lt;&gt;"תקין","; נדרש לעבוד על ההנגנה","")&amp;IF($AK405&lt;&gt;"","; "&amp;$AK405,""),3,400))</f>
        <v/>
      </c>
      <c r="AE405" s="32">
        <f>IF($F405="","",IF($F405="תחילת שנה",1,IF($F405="מחצית שנה",2,3)))</f>
        <v/>
      </c>
      <c r="AF405" s="32">
        <f>IF(OR($B405="",$AC405="",$A405="",$F405=""),"",$B405&amp;"|"&amp;$A405&amp;"|"&amp;$F405&amp;"|"&amp;$AC405&amp;"|"&amp;COUNTIFS($B$6:$B405,$B405,$A$6:$A405,$A405,$F$6:$F405,$F405,$AC$6:$AC405,$AC405))</f>
        <v/>
      </c>
      <c r="AG405" s="32">
        <f>IF($C405="","",$C405&amp;"|"&amp;COUNTIFS($C$6:$C405,$C405))</f>
        <v/>
      </c>
      <c r="AH405" s="32">
        <f>IF(OR($C405="",$A405="",$AE405=""),"",$C405&amp;"|"&amp;$A405&amp;"|"&amp;$AE405)</f>
        <v/>
      </c>
      <c r="AI405" s="32">
        <f>IF(OR($C405="",$AE405="",$AE405=1),"",IFERROR(INDEX($AC$6:$AC$1505,MATCH($C405&amp;"|"&amp;$A405&amp;"|"&amp;($AE405-1),$AH$6:$AH$1505,0)),""))</f>
        <v/>
      </c>
      <c r="AJ405" s="32">
        <f>IF(OR($AI405="",$AC405=""),"",IF($AI405=$AC405,"ללא שינוי","מ-"&amp;$AI405&amp;" ל-"&amp;$AC405))</f>
        <v/>
      </c>
      <c r="AK405" s="67" t="n"/>
    </row>
    <row r="406" ht="15.75" customHeight="1" s="58">
      <c r="A406" s="65" t="n"/>
      <c r="B406" s="65" t="n"/>
      <c r="C406" s="66" t="n"/>
      <c r="D406" s="66" t="n"/>
      <c r="E406" s="65" t="n"/>
      <c r="F406" s="65" t="n"/>
      <c r="G406" s="65" t="n"/>
      <c r="H406" s="65" t="n"/>
      <c r="I406" s="65" t="n"/>
      <c r="J406" s="65" t="n"/>
      <c r="K406" s="65" t="n"/>
      <c r="L406" s="65" t="n"/>
      <c r="M406" s="65" t="n"/>
      <c r="N406" s="65" t="n"/>
      <c r="O406" s="65" t="n"/>
      <c r="P406" s="65" t="n"/>
      <c r="Q406" s="65" t="n"/>
      <c r="R406" s="65" t="n"/>
      <c r="S406" s="65" t="n"/>
      <c r="T406" s="65" t="n"/>
      <c r="U406" s="65" t="n"/>
      <c r="V406" s="65" t="n"/>
      <c r="W406" s="65" t="n"/>
      <c r="X406" s="65" t="n"/>
      <c r="Y406" s="32">
        <f>IF($C406="","",IF(COUNTA($I406:$K406)&lt;3,"— חסרים נתונים",IF(AND($I406="תקין",$J406="תקין",$K406="תקין"),"רהוטה",IF(AND($I406="תקין",$J406="תקין"),"מדויקת ורציפה","אינה מדויקת או מקוטעת"))))</f>
        <v/>
      </c>
      <c r="Z406" s="32">
        <f>IF($C406="","",IF(COUNTA($U406:$W406)&lt;3,"",IF(AND($U406="מפותח",$V406="מפותח",$W406="מפותחת"),"מפותחת",IF((--($U406="דל"))+(--($V406="אינו מפותח"))+(--($W406="דלה"))&gt;=2,"אינה מפותחת","חלקית"))))</f>
        <v/>
      </c>
      <c r="AA406" s="32">
        <f>IF($C406="","",IF(COUNTA($M406,$N406,$O406)&lt;3,"— חסרים נתונים",IF(OR($M406="נמוכה",(--($M406&lt;&gt;"תקינה"))+(--($N406&lt;&gt;"תקין"))+(--($O406&lt;&gt;"תקינה"))&gt;=2),"ניכרת","אינה ניכרת")))</f>
        <v/>
      </c>
      <c r="AB406" s="32">
        <f>IF(OR($C406="",$Y406="",$AA406="",LEFT($Y406,1)="—",LEFT($AA406,1)="—"),"",IF($Z406="","— נדרשת הערכת כתיבה",IF($L406="","— חסרה הבנת הנקרא",IF($Y406="אינה מדויקת או מקוטעת",IF($AA406="ניכרת","מיקוד בשטף הקריאה ובכישורי שפה","מיקוד בשטף קריאה"),IF($AA406="ניכרת","מיקוד בכישורי שפה",IF(AND($L406="תקינה",$Z406="מפותחת"),"קוראים וכותבים מיומנים","מיקוד בהבנה והבעה"))))))</f>
        <v/>
      </c>
      <c r="AC406" s="32">
        <f>IF(OR($AB406="",LEFT($AB406,1)="—"),"",IF(OR($AB406="מיקוד בשטף קריאה",$AB406="מיקוד בשטף הקריאה ובכישורי שפה"),"רמה א'",IF($AB406="קוראים וכותבים מיומנים","רמה ג'","רמה ב'")))</f>
        <v/>
      </c>
      <c r="AD406" s="32">
        <f>IF($AC406="","",MID(IF(AND($AC406="רמה א'",$AA406="ניכרת"),"; להוסיף עבודת אוצר מילים","")&amp;IF($Z406="אינה מפותחת","; דגש על הבעה בכתב","")&amp;IF($K406&lt;&gt;"תקין","; נדרש לעבוד על ההנגנה","")&amp;IF($AK406&lt;&gt;"","; "&amp;$AK406,""),3,400))</f>
        <v/>
      </c>
      <c r="AE406" s="32">
        <f>IF($F406="","",IF($F406="תחילת שנה",1,IF($F406="מחצית שנה",2,3)))</f>
        <v/>
      </c>
      <c r="AF406" s="32">
        <f>IF(OR($B406="",$AC406="",$A406="",$F406=""),"",$B406&amp;"|"&amp;$A406&amp;"|"&amp;$F406&amp;"|"&amp;$AC406&amp;"|"&amp;COUNTIFS($B$6:$B406,$B406,$A$6:$A406,$A406,$F$6:$F406,$F406,$AC$6:$AC406,$AC406))</f>
        <v/>
      </c>
      <c r="AG406" s="32">
        <f>IF($C406="","",$C406&amp;"|"&amp;COUNTIFS($C$6:$C406,$C406))</f>
        <v/>
      </c>
      <c r="AH406" s="32">
        <f>IF(OR($C406="",$A406="",$AE406=""),"",$C406&amp;"|"&amp;$A406&amp;"|"&amp;$AE406)</f>
        <v/>
      </c>
      <c r="AI406" s="32">
        <f>IF(OR($C406="",$AE406="",$AE406=1),"",IFERROR(INDEX($AC$6:$AC$1505,MATCH($C406&amp;"|"&amp;$A406&amp;"|"&amp;($AE406-1),$AH$6:$AH$1505,0)),""))</f>
        <v/>
      </c>
      <c r="AJ406" s="32">
        <f>IF(OR($AI406="",$AC406=""),"",IF($AI406=$AC406,"ללא שינוי","מ-"&amp;$AI406&amp;" ל-"&amp;$AC406))</f>
        <v/>
      </c>
      <c r="AK406" s="67" t="n"/>
    </row>
    <row r="407" ht="15.75" customHeight="1" s="58">
      <c r="A407" s="65" t="n"/>
      <c r="B407" s="65" t="n"/>
      <c r="C407" s="66" t="n"/>
      <c r="D407" s="66" t="n"/>
      <c r="E407" s="65" t="n"/>
      <c r="F407" s="65" t="n"/>
      <c r="G407" s="65" t="n"/>
      <c r="H407" s="65" t="n"/>
      <c r="I407" s="65" t="n"/>
      <c r="J407" s="65" t="n"/>
      <c r="K407" s="65" t="n"/>
      <c r="L407" s="65" t="n"/>
      <c r="M407" s="65" t="n"/>
      <c r="N407" s="65" t="n"/>
      <c r="O407" s="65" t="n"/>
      <c r="P407" s="65" t="n"/>
      <c r="Q407" s="65" t="n"/>
      <c r="R407" s="65" t="n"/>
      <c r="S407" s="65" t="n"/>
      <c r="T407" s="65" t="n"/>
      <c r="U407" s="65" t="n"/>
      <c r="V407" s="65" t="n"/>
      <c r="W407" s="65" t="n"/>
      <c r="X407" s="65" t="n"/>
      <c r="Y407" s="32">
        <f>IF($C407="","",IF(COUNTA($I407:$K407)&lt;3,"— חסרים נתונים",IF(AND($I407="תקין",$J407="תקין",$K407="תקין"),"רהוטה",IF(AND($I407="תקין",$J407="תקין"),"מדויקת ורציפה","אינה מדויקת או מקוטעת"))))</f>
        <v/>
      </c>
      <c r="Z407" s="32">
        <f>IF($C407="","",IF(COUNTA($U407:$W407)&lt;3,"",IF(AND($U407="מפותח",$V407="מפותח",$W407="מפותחת"),"מפותחת",IF((--($U407="דל"))+(--($V407="אינו מפותח"))+(--($W407="דלה"))&gt;=2,"אינה מפותחת","חלקית"))))</f>
        <v/>
      </c>
      <c r="AA407" s="32">
        <f>IF($C407="","",IF(COUNTA($M407,$N407,$O407)&lt;3,"— חסרים נתונים",IF(OR($M407="נמוכה",(--($M407&lt;&gt;"תקינה"))+(--($N407&lt;&gt;"תקין"))+(--($O407&lt;&gt;"תקינה"))&gt;=2),"ניכרת","אינה ניכרת")))</f>
        <v/>
      </c>
      <c r="AB407" s="32">
        <f>IF(OR($C407="",$Y407="",$AA407="",LEFT($Y407,1)="—",LEFT($AA407,1)="—"),"",IF($Z407="","— נדרשת הערכת כתיבה",IF($L407="","— חסרה הבנת הנקרא",IF($Y407="אינה מדויקת או מקוטעת",IF($AA407="ניכרת","מיקוד בשטף הקריאה ובכישורי שפה","מיקוד בשטף קריאה"),IF($AA407="ניכרת","מיקוד בכישורי שפה",IF(AND($L407="תקינה",$Z407="מפותחת"),"קוראים וכותבים מיומנים","מיקוד בהבנה והבעה"))))))</f>
        <v/>
      </c>
      <c r="AC407" s="32">
        <f>IF(OR($AB407="",LEFT($AB407,1)="—"),"",IF(OR($AB407="מיקוד בשטף קריאה",$AB407="מיקוד בשטף הקריאה ובכישורי שפה"),"רמה א'",IF($AB407="קוראים וכותבים מיומנים","רמה ג'","רמה ב'")))</f>
        <v/>
      </c>
      <c r="AD407" s="32">
        <f>IF($AC407="","",MID(IF(AND($AC407="רמה א'",$AA407="ניכרת"),"; להוסיף עבודת אוצר מילים","")&amp;IF($Z407="אינה מפותחת","; דגש על הבעה בכתב","")&amp;IF($K407&lt;&gt;"תקין","; נדרש לעבוד על ההנגנה","")&amp;IF($AK407&lt;&gt;"","; "&amp;$AK407,""),3,400))</f>
        <v/>
      </c>
      <c r="AE407" s="32">
        <f>IF($F407="","",IF($F407="תחילת שנה",1,IF($F407="מחצית שנה",2,3)))</f>
        <v/>
      </c>
      <c r="AF407" s="32">
        <f>IF(OR($B407="",$AC407="",$A407="",$F407=""),"",$B407&amp;"|"&amp;$A407&amp;"|"&amp;$F407&amp;"|"&amp;$AC407&amp;"|"&amp;COUNTIFS($B$6:$B407,$B407,$A$6:$A407,$A407,$F$6:$F407,$F407,$AC$6:$AC407,$AC407))</f>
        <v/>
      </c>
      <c r="AG407" s="32">
        <f>IF($C407="","",$C407&amp;"|"&amp;COUNTIFS($C$6:$C407,$C407))</f>
        <v/>
      </c>
      <c r="AH407" s="32">
        <f>IF(OR($C407="",$A407="",$AE407=""),"",$C407&amp;"|"&amp;$A407&amp;"|"&amp;$AE407)</f>
        <v/>
      </c>
      <c r="AI407" s="32">
        <f>IF(OR($C407="",$AE407="",$AE407=1),"",IFERROR(INDEX($AC$6:$AC$1505,MATCH($C407&amp;"|"&amp;$A407&amp;"|"&amp;($AE407-1),$AH$6:$AH$1505,0)),""))</f>
        <v/>
      </c>
      <c r="AJ407" s="32">
        <f>IF(OR($AI407="",$AC407=""),"",IF($AI407=$AC407,"ללא שינוי","מ-"&amp;$AI407&amp;" ל-"&amp;$AC407))</f>
        <v/>
      </c>
      <c r="AK407" s="67" t="n"/>
    </row>
    <row r="408" ht="15.75" customHeight="1" s="58">
      <c r="A408" s="65" t="n"/>
      <c r="B408" s="65" t="n"/>
      <c r="C408" s="66" t="n"/>
      <c r="D408" s="66" t="n"/>
      <c r="E408" s="65" t="n"/>
      <c r="F408" s="65" t="n"/>
      <c r="G408" s="65" t="n"/>
      <c r="H408" s="65" t="n"/>
      <c r="I408" s="65" t="n"/>
      <c r="J408" s="65" t="n"/>
      <c r="K408" s="65" t="n"/>
      <c r="L408" s="65" t="n"/>
      <c r="M408" s="65" t="n"/>
      <c r="N408" s="65" t="n"/>
      <c r="O408" s="65" t="n"/>
      <c r="P408" s="65" t="n"/>
      <c r="Q408" s="65" t="n"/>
      <c r="R408" s="65" t="n"/>
      <c r="S408" s="65" t="n"/>
      <c r="T408" s="65" t="n"/>
      <c r="U408" s="65" t="n"/>
      <c r="V408" s="65" t="n"/>
      <c r="W408" s="65" t="n"/>
      <c r="X408" s="65" t="n"/>
      <c r="Y408" s="32">
        <f>IF($C408="","",IF(COUNTA($I408:$K408)&lt;3,"— חסרים נתונים",IF(AND($I408="תקין",$J408="תקין",$K408="תקין"),"רהוטה",IF(AND($I408="תקין",$J408="תקין"),"מדויקת ורציפה","אינה מדויקת או מקוטעת"))))</f>
        <v/>
      </c>
      <c r="Z408" s="32">
        <f>IF($C408="","",IF(COUNTA($U408:$W408)&lt;3,"",IF(AND($U408="מפותח",$V408="מפותח",$W408="מפותחת"),"מפותחת",IF((--($U408="דל"))+(--($V408="אינו מפותח"))+(--($W408="דלה"))&gt;=2,"אינה מפותחת","חלקית"))))</f>
        <v/>
      </c>
      <c r="AA408" s="32">
        <f>IF($C408="","",IF(COUNTA($M408,$N408,$O408)&lt;3,"— חסרים נתונים",IF(OR($M408="נמוכה",(--($M408&lt;&gt;"תקינה"))+(--($N408&lt;&gt;"תקין"))+(--($O408&lt;&gt;"תקינה"))&gt;=2),"ניכרת","אינה ניכרת")))</f>
        <v/>
      </c>
      <c r="AB408" s="32">
        <f>IF(OR($C408="",$Y408="",$AA408="",LEFT($Y408,1)="—",LEFT($AA408,1)="—"),"",IF($Z408="","— נדרשת הערכת כתיבה",IF($L408="","— חסרה הבנת הנקרא",IF($Y408="אינה מדויקת או מקוטעת",IF($AA408="ניכרת","מיקוד בשטף הקריאה ובכישורי שפה","מיקוד בשטף קריאה"),IF($AA408="ניכרת","מיקוד בכישורי שפה",IF(AND($L408="תקינה",$Z408="מפותחת"),"קוראים וכותבים מיומנים","מיקוד בהבנה והבעה"))))))</f>
        <v/>
      </c>
      <c r="AC408" s="32">
        <f>IF(OR($AB408="",LEFT($AB408,1)="—"),"",IF(OR($AB408="מיקוד בשטף קריאה",$AB408="מיקוד בשטף הקריאה ובכישורי שפה"),"רמה א'",IF($AB408="קוראים וכותבים מיומנים","רמה ג'","רמה ב'")))</f>
        <v/>
      </c>
      <c r="AD408" s="32">
        <f>IF($AC408="","",MID(IF(AND($AC408="רמה א'",$AA408="ניכרת"),"; להוסיף עבודת אוצר מילים","")&amp;IF($Z408="אינה מפותחת","; דגש על הבעה בכתב","")&amp;IF($K408&lt;&gt;"תקין","; נדרש לעבוד על ההנגנה","")&amp;IF($AK408&lt;&gt;"","; "&amp;$AK408,""),3,400))</f>
        <v/>
      </c>
      <c r="AE408" s="32">
        <f>IF($F408="","",IF($F408="תחילת שנה",1,IF($F408="מחצית שנה",2,3)))</f>
        <v/>
      </c>
      <c r="AF408" s="32">
        <f>IF(OR($B408="",$AC408="",$A408="",$F408=""),"",$B408&amp;"|"&amp;$A408&amp;"|"&amp;$F408&amp;"|"&amp;$AC408&amp;"|"&amp;COUNTIFS($B$6:$B408,$B408,$A$6:$A408,$A408,$F$6:$F408,$F408,$AC$6:$AC408,$AC408))</f>
        <v/>
      </c>
      <c r="AG408" s="32">
        <f>IF($C408="","",$C408&amp;"|"&amp;COUNTIFS($C$6:$C408,$C408))</f>
        <v/>
      </c>
      <c r="AH408" s="32">
        <f>IF(OR($C408="",$A408="",$AE408=""),"",$C408&amp;"|"&amp;$A408&amp;"|"&amp;$AE408)</f>
        <v/>
      </c>
      <c r="AI408" s="32">
        <f>IF(OR($C408="",$AE408="",$AE408=1),"",IFERROR(INDEX($AC$6:$AC$1505,MATCH($C408&amp;"|"&amp;$A408&amp;"|"&amp;($AE408-1),$AH$6:$AH$1505,0)),""))</f>
        <v/>
      </c>
      <c r="AJ408" s="32">
        <f>IF(OR($AI408="",$AC408=""),"",IF($AI408=$AC408,"ללא שינוי","מ-"&amp;$AI408&amp;" ל-"&amp;$AC408))</f>
        <v/>
      </c>
      <c r="AK408" s="67" t="n"/>
    </row>
    <row r="409" ht="15.75" customHeight="1" s="58">
      <c r="A409" s="65" t="n"/>
      <c r="B409" s="65" t="n"/>
      <c r="C409" s="66" t="n"/>
      <c r="D409" s="66" t="n"/>
      <c r="E409" s="65" t="n"/>
      <c r="F409" s="65" t="n"/>
      <c r="G409" s="65" t="n"/>
      <c r="H409" s="65" t="n"/>
      <c r="I409" s="65" t="n"/>
      <c r="J409" s="65" t="n"/>
      <c r="K409" s="65" t="n"/>
      <c r="L409" s="65" t="n"/>
      <c r="M409" s="65" t="n"/>
      <c r="N409" s="65" t="n"/>
      <c r="O409" s="65" t="n"/>
      <c r="P409" s="65" t="n"/>
      <c r="Q409" s="65" t="n"/>
      <c r="R409" s="65" t="n"/>
      <c r="S409" s="65" t="n"/>
      <c r="T409" s="65" t="n"/>
      <c r="U409" s="65" t="n"/>
      <c r="V409" s="65" t="n"/>
      <c r="W409" s="65" t="n"/>
      <c r="X409" s="65" t="n"/>
      <c r="Y409" s="32">
        <f>IF($C409="","",IF(COUNTA($I409:$K409)&lt;3,"— חסרים נתונים",IF(AND($I409="תקין",$J409="תקין",$K409="תקין"),"רהוטה",IF(AND($I409="תקין",$J409="תקין"),"מדויקת ורציפה","אינה מדויקת או מקוטעת"))))</f>
        <v/>
      </c>
      <c r="Z409" s="32">
        <f>IF($C409="","",IF(COUNTA($U409:$W409)&lt;3,"",IF(AND($U409="מפותח",$V409="מפותח",$W409="מפותחת"),"מפותחת",IF((--($U409="דל"))+(--($V409="אינו מפותח"))+(--($W409="דלה"))&gt;=2,"אינה מפותחת","חלקית"))))</f>
        <v/>
      </c>
      <c r="AA409" s="32">
        <f>IF($C409="","",IF(COUNTA($M409,$N409,$O409)&lt;3,"— חסרים נתונים",IF(OR($M409="נמוכה",(--($M409&lt;&gt;"תקינה"))+(--($N409&lt;&gt;"תקין"))+(--($O409&lt;&gt;"תקינה"))&gt;=2),"ניכרת","אינה ניכרת")))</f>
        <v/>
      </c>
      <c r="AB409" s="32">
        <f>IF(OR($C409="",$Y409="",$AA409="",LEFT($Y409,1)="—",LEFT($AA409,1)="—"),"",IF($Z409="","— נדרשת הערכת כתיבה",IF($L409="","— חסרה הבנת הנקרא",IF($Y409="אינה מדויקת או מקוטעת",IF($AA409="ניכרת","מיקוד בשטף הקריאה ובכישורי שפה","מיקוד בשטף קריאה"),IF($AA409="ניכרת","מיקוד בכישורי שפה",IF(AND($L409="תקינה",$Z409="מפותחת"),"קוראים וכותבים מיומנים","מיקוד בהבנה והבעה"))))))</f>
        <v/>
      </c>
      <c r="AC409" s="32">
        <f>IF(OR($AB409="",LEFT($AB409,1)="—"),"",IF(OR($AB409="מיקוד בשטף קריאה",$AB409="מיקוד בשטף הקריאה ובכישורי שפה"),"רמה א'",IF($AB409="קוראים וכותבים מיומנים","רמה ג'","רמה ב'")))</f>
        <v/>
      </c>
      <c r="AD409" s="32">
        <f>IF($AC409="","",MID(IF(AND($AC409="רמה א'",$AA409="ניכרת"),"; להוסיף עבודת אוצר מילים","")&amp;IF($Z409="אינה מפותחת","; דגש על הבעה בכתב","")&amp;IF($K409&lt;&gt;"תקין","; נדרש לעבוד על ההנגנה","")&amp;IF($AK409&lt;&gt;"","; "&amp;$AK409,""),3,400))</f>
        <v/>
      </c>
      <c r="AE409" s="32">
        <f>IF($F409="","",IF($F409="תחילת שנה",1,IF($F409="מחצית שנה",2,3)))</f>
        <v/>
      </c>
      <c r="AF409" s="32">
        <f>IF(OR($B409="",$AC409="",$A409="",$F409=""),"",$B409&amp;"|"&amp;$A409&amp;"|"&amp;$F409&amp;"|"&amp;$AC409&amp;"|"&amp;COUNTIFS($B$6:$B409,$B409,$A$6:$A409,$A409,$F$6:$F409,$F409,$AC$6:$AC409,$AC409))</f>
        <v/>
      </c>
      <c r="AG409" s="32">
        <f>IF($C409="","",$C409&amp;"|"&amp;COUNTIFS($C$6:$C409,$C409))</f>
        <v/>
      </c>
      <c r="AH409" s="32">
        <f>IF(OR($C409="",$A409="",$AE409=""),"",$C409&amp;"|"&amp;$A409&amp;"|"&amp;$AE409)</f>
        <v/>
      </c>
      <c r="AI409" s="32">
        <f>IF(OR($C409="",$AE409="",$AE409=1),"",IFERROR(INDEX($AC$6:$AC$1505,MATCH($C409&amp;"|"&amp;$A409&amp;"|"&amp;($AE409-1),$AH$6:$AH$1505,0)),""))</f>
        <v/>
      </c>
      <c r="AJ409" s="32">
        <f>IF(OR($AI409="",$AC409=""),"",IF($AI409=$AC409,"ללא שינוי","מ-"&amp;$AI409&amp;" ל-"&amp;$AC409))</f>
        <v/>
      </c>
      <c r="AK409" s="67" t="n"/>
    </row>
    <row r="410" ht="15.75" customHeight="1" s="58">
      <c r="A410" s="65" t="n"/>
      <c r="B410" s="65" t="n"/>
      <c r="C410" s="66" t="n"/>
      <c r="D410" s="66" t="n"/>
      <c r="E410" s="65" t="n"/>
      <c r="F410" s="65" t="n"/>
      <c r="G410" s="65" t="n"/>
      <c r="H410" s="65" t="n"/>
      <c r="I410" s="65" t="n"/>
      <c r="J410" s="65" t="n"/>
      <c r="K410" s="65" t="n"/>
      <c r="L410" s="65" t="n"/>
      <c r="M410" s="65" t="n"/>
      <c r="N410" s="65" t="n"/>
      <c r="O410" s="65" t="n"/>
      <c r="P410" s="65" t="n"/>
      <c r="Q410" s="65" t="n"/>
      <c r="R410" s="65" t="n"/>
      <c r="S410" s="65" t="n"/>
      <c r="T410" s="65" t="n"/>
      <c r="U410" s="65" t="n"/>
      <c r="V410" s="65" t="n"/>
      <c r="W410" s="65" t="n"/>
      <c r="X410" s="65" t="n"/>
      <c r="Y410" s="32">
        <f>IF($C410="","",IF(COUNTA($I410:$K410)&lt;3,"— חסרים נתונים",IF(AND($I410="תקין",$J410="תקין",$K410="תקין"),"רהוטה",IF(AND($I410="תקין",$J410="תקין"),"מדויקת ורציפה","אינה מדויקת או מקוטעת"))))</f>
        <v/>
      </c>
      <c r="Z410" s="32">
        <f>IF($C410="","",IF(COUNTA($U410:$W410)&lt;3,"",IF(AND($U410="מפותח",$V410="מפותח",$W410="מפותחת"),"מפותחת",IF((--($U410="דל"))+(--($V410="אינו מפותח"))+(--($W410="דלה"))&gt;=2,"אינה מפותחת","חלקית"))))</f>
        <v/>
      </c>
      <c r="AA410" s="32">
        <f>IF($C410="","",IF(COUNTA($M410,$N410,$O410)&lt;3,"— חסרים נתונים",IF(OR($M410="נמוכה",(--($M410&lt;&gt;"תקינה"))+(--($N410&lt;&gt;"תקין"))+(--($O410&lt;&gt;"תקינה"))&gt;=2),"ניכרת","אינה ניכרת")))</f>
        <v/>
      </c>
      <c r="AB410" s="32">
        <f>IF(OR($C410="",$Y410="",$AA410="",LEFT($Y410,1)="—",LEFT($AA410,1)="—"),"",IF($Z410="","— נדרשת הערכת כתיבה",IF($L410="","— חסרה הבנת הנקרא",IF($Y410="אינה מדויקת או מקוטעת",IF($AA410="ניכרת","מיקוד בשטף הקריאה ובכישורי שפה","מיקוד בשטף קריאה"),IF($AA410="ניכרת","מיקוד בכישורי שפה",IF(AND($L410="תקינה",$Z410="מפותחת"),"קוראים וכותבים מיומנים","מיקוד בהבנה והבעה"))))))</f>
        <v/>
      </c>
      <c r="AC410" s="32">
        <f>IF(OR($AB410="",LEFT($AB410,1)="—"),"",IF(OR($AB410="מיקוד בשטף קריאה",$AB410="מיקוד בשטף הקריאה ובכישורי שפה"),"רמה א'",IF($AB410="קוראים וכותבים מיומנים","רמה ג'","רמה ב'")))</f>
        <v/>
      </c>
      <c r="AD410" s="32">
        <f>IF($AC410="","",MID(IF(AND($AC410="רמה א'",$AA410="ניכרת"),"; להוסיף עבודת אוצר מילים","")&amp;IF($Z410="אינה מפותחת","; דגש על הבעה בכתב","")&amp;IF($K410&lt;&gt;"תקין","; נדרש לעבוד על ההנגנה","")&amp;IF($AK410&lt;&gt;"","; "&amp;$AK410,""),3,400))</f>
        <v/>
      </c>
      <c r="AE410" s="32">
        <f>IF($F410="","",IF($F410="תחילת שנה",1,IF($F410="מחצית שנה",2,3)))</f>
        <v/>
      </c>
      <c r="AF410" s="32">
        <f>IF(OR($B410="",$AC410="",$A410="",$F410=""),"",$B410&amp;"|"&amp;$A410&amp;"|"&amp;$F410&amp;"|"&amp;$AC410&amp;"|"&amp;COUNTIFS($B$6:$B410,$B410,$A$6:$A410,$A410,$F$6:$F410,$F410,$AC$6:$AC410,$AC410))</f>
        <v/>
      </c>
      <c r="AG410" s="32">
        <f>IF($C410="","",$C410&amp;"|"&amp;COUNTIFS($C$6:$C410,$C410))</f>
        <v/>
      </c>
      <c r="AH410" s="32">
        <f>IF(OR($C410="",$A410="",$AE410=""),"",$C410&amp;"|"&amp;$A410&amp;"|"&amp;$AE410)</f>
        <v/>
      </c>
      <c r="AI410" s="32">
        <f>IF(OR($C410="",$AE410="",$AE410=1),"",IFERROR(INDEX($AC$6:$AC$1505,MATCH($C410&amp;"|"&amp;$A410&amp;"|"&amp;($AE410-1),$AH$6:$AH$1505,0)),""))</f>
        <v/>
      </c>
      <c r="AJ410" s="32">
        <f>IF(OR($AI410="",$AC410=""),"",IF($AI410=$AC410,"ללא שינוי","מ-"&amp;$AI410&amp;" ל-"&amp;$AC410))</f>
        <v/>
      </c>
      <c r="AK410" s="67" t="n"/>
    </row>
    <row r="411" ht="15.75" customHeight="1" s="58">
      <c r="A411" s="65" t="n"/>
      <c r="B411" s="65" t="n"/>
      <c r="C411" s="66" t="n"/>
      <c r="D411" s="66" t="n"/>
      <c r="E411" s="65" t="n"/>
      <c r="F411" s="65" t="n"/>
      <c r="G411" s="65" t="n"/>
      <c r="H411" s="65" t="n"/>
      <c r="I411" s="65" t="n"/>
      <c r="J411" s="65" t="n"/>
      <c r="K411" s="65" t="n"/>
      <c r="L411" s="65" t="n"/>
      <c r="M411" s="65" t="n"/>
      <c r="N411" s="65" t="n"/>
      <c r="O411" s="65" t="n"/>
      <c r="P411" s="65" t="n"/>
      <c r="Q411" s="65" t="n"/>
      <c r="R411" s="65" t="n"/>
      <c r="S411" s="65" t="n"/>
      <c r="T411" s="65" t="n"/>
      <c r="U411" s="65" t="n"/>
      <c r="V411" s="65" t="n"/>
      <c r="W411" s="65" t="n"/>
      <c r="X411" s="65" t="n"/>
      <c r="Y411" s="32">
        <f>IF($C411="","",IF(COUNTA($I411:$K411)&lt;3,"— חסרים נתונים",IF(AND($I411="תקין",$J411="תקין",$K411="תקין"),"רהוטה",IF(AND($I411="תקין",$J411="תקין"),"מדויקת ורציפה","אינה מדויקת או מקוטעת"))))</f>
        <v/>
      </c>
      <c r="Z411" s="32">
        <f>IF($C411="","",IF(COUNTA($U411:$W411)&lt;3,"",IF(AND($U411="מפותח",$V411="מפותח",$W411="מפותחת"),"מפותחת",IF((--($U411="דל"))+(--($V411="אינו מפותח"))+(--($W411="דלה"))&gt;=2,"אינה מפותחת","חלקית"))))</f>
        <v/>
      </c>
      <c r="AA411" s="32">
        <f>IF($C411="","",IF(COUNTA($M411,$N411,$O411)&lt;3,"— חסרים נתונים",IF(OR($M411="נמוכה",(--($M411&lt;&gt;"תקינה"))+(--($N411&lt;&gt;"תקין"))+(--($O411&lt;&gt;"תקינה"))&gt;=2),"ניכרת","אינה ניכרת")))</f>
        <v/>
      </c>
      <c r="AB411" s="32">
        <f>IF(OR($C411="",$Y411="",$AA411="",LEFT($Y411,1)="—",LEFT($AA411,1)="—"),"",IF($Z411="","— נדרשת הערכת כתיבה",IF($L411="","— חסרה הבנת הנקרא",IF($Y411="אינה מדויקת או מקוטעת",IF($AA411="ניכרת","מיקוד בשטף הקריאה ובכישורי שפה","מיקוד בשטף קריאה"),IF($AA411="ניכרת","מיקוד בכישורי שפה",IF(AND($L411="תקינה",$Z411="מפותחת"),"קוראים וכותבים מיומנים","מיקוד בהבנה והבעה"))))))</f>
        <v/>
      </c>
      <c r="AC411" s="32">
        <f>IF(OR($AB411="",LEFT($AB411,1)="—"),"",IF(OR($AB411="מיקוד בשטף קריאה",$AB411="מיקוד בשטף הקריאה ובכישורי שפה"),"רמה א'",IF($AB411="קוראים וכותבים מיומנים","רמה ג'","רמה ב'")))</f>
        <v/>
      </c>
      <c r="AD411" s="32">
        <f>IF($AC411="","",MID(IF(AND($AC411="רמה א'",$AA411="ניכרת"),"; להוסיף עבודת אוצר מילים","")&amp;IF($Z411="אינה מפותחת","; דגש על הבעה בכתב","")&amp;IF($K411&lt;&gt;"תקין","; נדרש לעבוד על ההנגנה","")&amp;IF($AK411&lt;&gt;"","; "&amp;$AK411,""),3,400))</f>
        <v/>
      </c>
      <c r="AE411" s="32">
        <f>IF($F411="","",IF($F411="תחילת שנה",1,IF($F411="מחצית שנה",2,3)))</f>
        <v/>
      </c>
      <c r="AF411" s="32">
        <f>IF(OR($B411="",$AC411="",$A411="",$F411=""),"",$B411&amp;"|"&amp;$A411&amp;"|"&amp;$F411&amp;"|"&amp;$AC411&amp;"|"&amp;COUNTIFS($B$6:$B411,$B411,$A$6:$A411,$A411,$F$6:$F411,$F411,$AC$6:$AC411,$AC411))</f>
        <v/>
      </c>
      <c r="AG411" s="32">
        <f>IF($C411="","",$C411&amp;"|"&amp;COUNTIFS($C$6:$C411,$C411))</f>
        <v/>
      </c>
      <c r="AH411" s="32">
        <f>IF(OR($C411="",$A411="",$AE411=""),"",$C411&amp;"|"&amp;$A411&amp;"|"&amp;$AE411)</f>
        <v/>
      </c>
      <c r="AI411" s="32">
        <f>IF(OR($C411="",$AE411="",$AE411=1),"",IFERROR(INDEX($AC$6:$AC$1505,MATCH($C411&amp;"|"&amp;$A411&amp;"|"&amp;($AE411-1),$AH$6:$AH$1505,0)),""))</f>
        <v/>
      </c>
      <c r="AJ411" s="32">
        <f>IF(OR($AI411="",$AC411=""),"",IF($AI411=$AC411,"ללא שינוי","מ-"&amp;$AI411&amp;" ל-"&amp;$AC411))</f>
        <v/>
      </c>
      <c r="AK411" s="67" t="n"/>
    </row>
    <row r="412" ht="15.75" customHeight="1" s="58">
      <c r="A412" s="65" t="n"/>
      <c r="B412" s="65" t="n"/>
      <c r="C412" s="66" t="n"/>
      <c r="D412" s="66" t="n"/>
      <c r="E412" s="65" t="n"/>
      <c r="F412" s="65" t="n"/>
      <c r="G412" s="65" t="n"/>
      <c r="H412" s="65" t="n"/>
      <c r="I412" s="65" t="n"/>
      <c r="J412" s="65" t="n"/>
      <c r="K412" s="65" t="n"/>
      <c r="L412" s="65" t="n"/>
      <c r="M412" s="65" t="n"/>
      <c r="N412" s="65" t="n"/>
      <c r="O412" s="65" t="n"/>
      <c r="P412" s="65" t="n"/>
      <c r="Q412" s="65" t="n"/>
      <c r="R412" s="65" t="n"/>
      <c r="S412" s="65" t="n"/>
      <c r="T412" s="65" t="n"/>
      <c r="U412" s="65" t="n"/>
      <c r="V412" s="65" t="n"/>
      <c r="W412" s="65" t="n"/>
      <c r="X412" s="65" t="n"/>
      <c r="Y412" s="32">
        <f>IF($C412="","",IF(COUNTA($I412:$K412)&lt;3,"— חסרים נתונים",IF(AND($I412="תקין",$J412="תקין",$K412="תקין"),"רהוטה",IF(AND($I412="תקין",$J412="תקין"),"מדויקת ורציפה","אינה מדויקת או מקוטעת"))))</f>
        <v/>
      </c>
      <c r="Z412" s="32">
        <f>IF($C412="","",IF(COUNTA($U412:$W412)&lt;3,"",IF(AND($U412="מפותח",$V412="מפותח",$W412="מפותחת"),"מפותחת",IF((--($U412="דל"))+(--($V412="אינו מפותח"))+(--($W412="דלה"))&gt;=2,"אינה מפותחת","חלקית"))))</f>
        <v/>
      </c>
      <c r="AA412" s="32">
        <f>IF($C412="","",IF(COUNTA($M412,$N412,$O412)&lt;3,"— חסרים נתונים",IF(OR($M412="נמוכה",(--($M412&lt;&gt;"תקינה"))+(--($N412&lt;&gt;"תקין"))+(--($O412&lt;&gt;"תקינה"))&gt;=2),"ניכרת","אינה ניכרת")))</f>
        <v/>
      </c>
      <c r="AB412" s="32">
        <f>IF(OR($C412="",$Y412="",$AA412="",LEFT($Y412,1)="—",LEFT($AA412,1)="—"),"",IF($Z412="","— נדרשת הערכת כתיבה",IF($L412="","— חסרה הבנת הנקרא",IF($Y412="אינה מדויקת או מקוטעת",IF($AA412="ניכרת","מיקוד בשטף הקריאה ובכישורי שפה","מיקוד בשטף קריאה"),IF($AA412="ניכרת","מיקוד בכישורי שפה",IF(AND($L412="תקינה",$Z412="מפותחת"),"קוראים וכותבים מיומנים","מיקוד בהבנה והבעה"))))))</f>
        <v/>
      </c>
      <c r="AC412" s="32">
        <f>IF(OR($AB412="",LEFT($AB412,1)="—"),"",IF(OR($AB412="מיקוד בשטף קריאה",$AB412="מיקוד בשטף הקריאה ובכישורי שפה"),"רמה א'",IF($AB412="קוראים וכותבים מיומנים","רמה ג'","רמה ב'")))</f>
        <v/>
      </c>
      <c r="AD412" s="32">
        <f>IF($AC412="","",MID(IF(AND($AC412="רמה א'",$AA412="ניכרת"),"; להוסיף עבודת אוצר מילים","")&amp;IF($Z412="אינה מפותחת","; דגש על הבעה בכתב","")&amp;IF($K412&lt;&gt;"תקין","; נדרש לעבוד על ההנגנה","")&amp;IF($AK412&lt;&gt;"","; "&amp;$AK412,""),3,400))</f>
        <v/>
      </c>
      <c r="AE412" s="32">
        <f>IF($F412="","",IF($F412="תחילת שנה",1,IF($F412="מחצית שנה",2,3)))</f>
        <v/>
      </c>
      <c r="AF412" s="32">
        <f>IF(OR($B412="",$AC412="",$A412="",$F412=""),"",$B412&amp;"|"&amp;$A412&amp;"|"&amp;$F412&amp;"|"&amp;$AC412&amp;"|"&amp;COUNTIFS($B$6:$B412,$B412,$A$6:$A412,$A412,$F$6:$F412,$F412,$AC$6:$AC412,$AC412))</f>
        <v/>
      </c>
      <c r="AG412" s="32">
        <f>IF($C412="","",$C412&amp;"|"&amp;COUNTIFS($C$6:$C412,$C412))</f>
        <v/>
      </c>
      <c r="AH412" s="32">
        <f>IF(OR($C412="",$A412="",$AE412=""),"",$C412&amp;"|"&amp;$A412&amp;"|"&amp;$AE412)</f>
        <v/>
      </c>
      <c r="AI412" s="32">
        <f>IF(OR($C412="",$AE412="",$AE412=1),"",IFERROR(INDEX($AC$6:$AC$1505,MATCH($C412&amp;"|"&amp;$A412&amp;"|"&amp;($AE412-1),$AH$6:$AH$1505,0)),""))</f>
        <v/>
      </c>
      <c r="AJ412" s="32">
        <f>IF(OR($AI412="",$AC412=""),"",IF($AI412=$AC412,"ללא שינוי","מ-"&amp;$AI412&amp;" ל-"&amp;$AC412))</f>
        <v/>
      </c>
      <c r="AK412" s="67" t="n"/>
    </row>
    <row r="413" ht="15.75" customHeight="1" s="58">
      <c r="A413" s="65" t="n"/>
      <c r="B413" s="65" t="n"/>
      <c r="C413" s="66" t="n"/>
      <c r="D413" s="66" t="n"/>
      <c r="E413" s="65" t="n"/>
      <c r="F413" s="65" t="n"/>
      <c r="G413" s="65" t="n"/>
      <c r="H413" s="65" t="n"/>
      <c r="I413" s="65" t="n"/>
      <c r="J413" s="65" t="n"/>
      <c r="K413" s="65" t="n"/>
      <c r="L413" s="65" t="n"/>
      <c r="M413" s="65" t="n"/>
      <c r="N413" s="65" t="n"/>
      <c r="O413" s="65" t="n"/>
      <c r="P413" s="65" t="n"/>
      <c r="Q413" s="65" t="n"/>
      <c r="R413" s="65" t="n"/>
      <c r="S413" s="65" t="n"/>
      <c r="T413" s="65" t="n"/>
      <c r="U413" s="65" t="n"/>
      <c r="V413" s="65" t="n"/>
      <c r="W413" s="65" t="n"/>
      <c r="X413" s="65" t="n"/>
      <c r="Y413" s="32">
        <f>IF($C413="","",IF(COUNTA($I413:$K413)&lt;3,"— חסרים נתונים",IF(AND($I413="תקין",$J413="תקין",$K413="תקין"),"רהוטה",IF(AND($I413="תקין",$J413="תקין"),"מדויקת ורציפה","אינה מדויקת או מקוטעת"))))</f>
        <v/>
      </c>
      <c r="Z413" s="32">
        <f>IF($C413="","",IF(COUNTA($U413:$W413)&lt;3,"",IF(AND($U413="מפותח",$V413="מפותח",$W413="מפותחת"),"מפותחת",IF((--($U413="דל"))+(--($V413="אינו מפותח"))+(--($W413="דלה"))&gt;=2,"אינה מפותחת","חלקית"))))</f>
        <v/>
      </c>
      <c r="AA413" s="32">
        <f>IF($C413="","",IF(COUNTA($M413,$N413,$O413)&lt;3,"— חסרים נתונים",IF(OR($M413="נמוכה",(--($M413&lt;&gt;"תקינה"))+(--($N413&lt;&gt;"תקין"))+(--($O413&lt;&gt;"תקינה"))&gt;=2),"ניכרת","אינה ניכרת")))</f>
        <v/>
      </c>
      <c r="AB413" s="32">
        <f>IF(OR($C413="",$Y413="",$AA413="",LEFT($Y413,1)="—",LEFT($AA413,1)="—"),"",IF($Z413="","— נדרשת הערכת כתיבה",IF($L413="","— חסרה הבנת הנקרא",IF($Y413="אינה מדויקת או מקוטעת",IF($AA413="ניכרת","מיקוד בשטף הקריאה ובכישורי שפה","מיקוד בשטף קריאה"),IF($AA413="ניכרת","מיקוד בכישורי שפה",IF(AND($L413="תקינה",$Z413="מפותחת"),"קוראים וכותבים מיומנים","מיקוד בהבנה והבעה"))))))</f>
        <v/>
      </c>
      <c r="AC413" s="32">
        <f>IF(OR($AB413="",LEFT($AB413,1)="—"),"",IF(OR($AB413="מיקוד בשטף קריאה",$AB413="מיקוד בשטף הקריאה ובכישורי שפה"),"רמה א'",IF($AB413="קוראים וכותבים מיומנים","רמה ג'","רמה ב'")))</f>
        <v/>
      </c>
      <c r="AD413" s="32">
        <f>IF($AC413="","",MID(IF(AND($AC413="רמה א'",$AA413="ניכרת"),"; להוסיף עבודת אוצר מילים","")&amp;IF($Z413="אינה מפותחת","; דגש על הבעה בכתב","")&amp;IF($K413&lt;&gt;"תקין","; נדרש לעבוד על ההנגנה","")&amp;IF($AK413&lt;&gt;"","; "&amp;$AK413,""),3,400))</f>
        <v/>
      </c>
      <c r="AE413" s="32">
        <f>IF($F413="","",IF($F413="תחילת שנה",1,IF($F413="מחצית שנה",2,3)))</f>
        <v/>
      </c>
      <c r="AF413" s="32">
        <f>IF(OR($B413="",$AC413="",$A413="",$F413=""),"",$B413&amp;"|"&amp;$A413&amp;"|"&amp;$F413&amp;"|"&amp;$AC413&amp;"|"&amp;COUNTIFS($B$6:$B413,$B413,$A$6:$A413,$A413,$F$6:$F413,$F413,$AC$6:$AC413,$AC413))</f>
        <v/>
      </c>
      <c r="AG413" s="32">
        <f>IF($C413="","",$C413&amp;"|"&amp;COUNTIFS($C$6:$C413,$C413))</f>
        <v/>
      </c>
      <c r="AH413" s="32">
        <f>IF(OR($C413="",$A413="",$AE413=""),"",$C413&amp;"|"&amp;$A413&amp;"|"&amp;$AE413)</f>
        <v/>
      </c>
      <c r="AI413" s="32">
        <f>IF(OR($C413="",$AE413="",$AE413=1),"",IFERROR(INDEX($AC$6:$AC$1505,MATCH($C413&amp;"|"&amp;$A413&amp;"|"&amp;($AE413-1),$AH$6:$AH$1505,0)),""))</f>
        <v/>
      </c>
      <c r="AJ413" s="32">
        <f>IF(OR($AI413="",$AC413=""),"",IF($AI413=$AC413,"ללא שינוי","מ-"&amp;$AI413&amp;" ל-"&amp;$AC413))</f>
        <v/>
      </c>
      <c r="AK413" s="67" t="n"/>
    </row>
    <row r="414" ht="15.75" customHeight="1" s="58">
      <c r="A414" s="65" t="n"/>
      <c r="B414" s="65" t="n"/>
      <c r="C414" s="66" t="n"/>
      <c r="D414" s="66" t="n"/>
      <c r="E414" s="65" t="n"/>
      <c r="F414" s="65" t="n"/>
      <c r="G414" s="65" t="n"/>
      <c r="H414" s="65" t="n"/>
      <c r="I414" s="65" t="n"/>
      <c r="J414" s="65" t="n"/>
      <c r="K414" s="65" t="n"/>
      <c r="L414" s="65" t="n"/>
      <c r="M414" s="65" t="n"/>
      <c r="N414" s="65" t="n"/>
      <c r="O414" s="65" t="n"/>
      <c r="P414" s="65" t="n"/>
      <c r="Q414" s="65" t="n"/>
      <c r="R414" s="65" t="n"/>
      <c r="S414" s="65" t="n"/>
      <c r="T414" s="65" t="n"/>
      <c r="U414" s="65" t="n"/>
      <c r="V414" s="65" t="n"/>
      <c r="W414" s="65" t="n"/>
      <c r="X414" s="65" t="n"/>
      <c r="Y414" s="32">
        <f>IF($C414="","",IF(COUNTA($I414:$K414)&lt;3,"— חסרים נתונים",IF(AND($I414="תקין",$J414="תקין",$K414="תקין"),"רהוטה",IF(AND($I414="תקין",$J414="תקין"),"מדויקת ורציפה","אינה מדויקת או מקוטעת"))))</f>
        <v/>
      </c>
      <c r="Z414" s="32">
        <f>IF($C414="","",IF(COUNTA($U414:$W414)&lt;3,"",IF(AND($U414="מפותח",$V414="מפותח",$W414="מפותחת"),"מפותחת",IF((--($U414="דל"))+(--($V414="אינו מפותח"))+(--($W414="דלה"))&gt;=2,"אינה מפותחת","חלקית"))))</f>
        <v/>
      </c>
      <c r="AA414" s="32">
        <f>IF($C414="","",IF(COUNTA($M414,$N414,$O414)&lt;3,"— חסרים נתונים",IF(OR($M414="נמוכה",(--($M414&lt;&gt;"תקינה"))+(--($N414&lt;&gt;"תקין"))+(--($O414&lt;&gt;"תקינה"))&gt;=2),"ניכרת","אינה ניכרת")))</f>
        <v/>
      </c>
      <c r="AB414" s="32">
        <f>IF(OR($C414="",$Y414="",$AA414="",LEFT($Y414,1)="—",LEFT($AA414,1)="—"),"",IF($Z414="","— נדרשת הערכת כתיבה",IF($L414="","— חסרה הבנת הנקרא",IF($Y414="אינה מדויקת או מקוטעת",IF($AA414="ניכרת","מיקוד בשטף הקריאה ובכישורי שפה","מיקוד בשטף קריאה"),IF($AA414="ניכרת","מיקוד בכישורי שפה",IF(AND($L414="תקינה",$Z414="מפותחת"),"קוראים וכותבים מיומנים","מיקוד בהבנה והבעה"))))))</f>
        <v/>
      </c>
      <c r="AC414" s="32">
        <f>IF(OR($AB414="",LEFT($AB414,1)="—"),"",IF(OR($AB414="מיקוד בשטף קריאה",$AB414="מיקוד בשטף הקריאה ובכישורי שפה"),"רמה א'",IF($AB414="קוראים וכותבים מיומנים","רמה ג'","רמה ב'")))</f>
        <v/>
      </c>
      <c r="AD414" s="32">
        <f>IF($AC414="","",MID(IF(AND($AC414="רמה א'",$AA414="ניכרת"),"; להוסיף עבודת אוצר מילים","")&amp;IF($Z414="אינה מפותחת","; דגש על הבעה בכתב","")&amp;IF($K414&lt;&gt;"תקין","; נדרש לעבוד על ההנגנה","")&amp;IF($AK414&lt;&gt;"","; "&amp;$AK414,""),3,400))</f>
        <v/>
      </c>
      <c r="AE414" s="32">
        <f>IF($F414="","",IF($F414="תחילת שנה",1,IF($F414="מחצית שנה",2,3)))</f>
        <v/>
      </c>
      <c r="AF414" s="32">
        <f>IF(OR($B414="",$AC414="",$A414="",$F414=""),"",$B414&amp;"|"&amp;$A414&amp;"|"&amp;$F414&amp;"|"&amp;$AC414&amp;"|"&amp;COUNTIFS($B$6:$B414,$B414,$A$6:$A414,$A414,$F$6:$F414,$F414,$AC$6:$AC414,$AC414))</f>
        <v/>
      </c>
      <c r="AG414" s="32">
        <f>IF($C414="","",$C414&amp;"|"&amp;COUNTIFS($C$6:$C414,$C414))</f>
        <v/>
      </c>
      <c r="AH414" s="32">
        <f>IF(OR($C414="",$A414="",$AE414=""),"",$C414&amp;"|"&amp;$A414&amp;"|"&amp;$AE414)</f>
        <v/>
      </c>
      <c r="AI414" s="32">
        <f>IF(OR($C414="",$AE414="",$AE414=1),"",IFERROR(INDEX($AC$6:$AC$1505,MATCH($C414&amp;"|"&amp;$A414&amp;"|"&amp;($AE414-1),$AH$6:$AH$1505,0)),""))</f>
        <v/>
      </c>
      <c r="AJ414" s="32">
        <f>IF(OR($AI414="",$AC414=""),"",IF($AI414=$AC414,"ללא שינוי","מ-"&amp;$AI414&amp;" ל-"&amp;$AC414))</f>
        <v/>
      </c>
      <c r="AK414" s="67" t="n"/>
    </row>
    <row r="415" ht="15.75" customHeight="1" s="58">
      <c r="A415" s="65" t="n"/>
      <c r="B415" s="65" t="n"/>
      <c r="C415" s="66" t="n"/>
      <c r="D415" s="66" t="n"/>
      <c r="E415" s="65" t="n"/>
      <c r="F415" s="65" t="n"/>
      <c r="G415" s="65" t="n"/>
      <c r="H415" s="65" t="n"/>
      <c r="I415" s="65" t="n"/>
      <c r="J415" s="65" t="n"/>
      <c r="K415" s="65" t="n"/>
      <c r="L415" s="65" t="n"/>
      <c r="M415" s="65" t="n"/>
      <c r="N415" s="65" t="n"/>
      <c r="O415" s="65" t="n"/>
      <c r="P415" s="65" t="n"/>
      <c r="Q415" s="65" t="n"/>
      <c r="R415" s="65" t="n"/>
      <c r="S415" s="65" t="n"/>
      <c r="T415" s="65" t="n"/>
      <c r="U415" s="65" t="n"/>
      <c r="V415" s="65" t="n"/>
      <c r="W415" s="65" t="n"/>
      <c r="X415" s="65" t="n"/>
      <c r="Y415" s="32">
        <f>IF($C415="","",IF(COUNTA($I415:$K415)&lt;3,"— חסרים נתונים",IF(AND($I415="תקין",$J415="תקין",$K415="תקין"),"רהוטה",IF(AND($I415="תקין",$J415="תקין"),"מדויקת ורציפה","אינה מדויקת או מקוטעת"))))</f>
        <v/>
      </c>
      <c r="Z415" s="32">
        <f>IF($C415="","",IF(COUNTA($U415:$W415)&lt;3,"",IF(AND($U415="מפותח",$V415="מפותח",$W415="מפותחת"),"מפותחת",IF((--($U415="דל"))+(--($V415="אינו מפותח"))+(--($W415="דלה"))&gt;=2,"אינה מפותחת","חלקית"))))</f>
        <v/>
      </c>
      <c r="AA415" s="32">
        <f>IF($C415="","",IF(COUNTA($M415,$N415,$O415)&lt;3,"— חסרים נתונים",IF(OR($M415="נמוכה",(--($M415&lt;&gt;"תקינה"))+(--($N415&lt;&gt;"תקין"))+(--($O415&lt;&gt;"תקינה"))&gt;=2),"ניכרת","אינה ניכרת")))</f>
        <v/>
      </c>
      <c r="AB415" s="32">
        <f>IF(OR($C415="",$Y415="",$AA415="",LEFT($Y415,1)="—",LEFT($AA415,1)="—"),"",IF($Z415="","— נדרשת הערכת כתיבה",IF($L415="","— חסרה הבנת הנקרא",IF($Y415="אינה מדויקת או מקוטעת",IF($AA415="ניכרת","מיקוד בשטף הקריאה ובכישורי שפה","מיקוד בשטף קריאה"),IF($AA415="ניכרת","מיקוד בכישורי שפה",IF(AND($L415="תקינה",$Z415="מפותחת"),"קוראים וכותבים מיומנים","מיקוד בהבנה והבעה"))))))</f>
        <v/>
      </c>
      <c r="AC415" s="32">
        <f>IF(OR($AB415="",LEFT($AB415,1)="—"),"",IF(OR($AB415="מיקוד בשטף קריאה",$AB415="מיקוד בשטף הקריאה ובכישורי שפה"),"רמה א'",IF($AB415="קוראים וכותבים מיומנים","רמה ג'","רמה ב'")))</f>
        <v/>
      </c>
      <c r="AD415" s="32">
        <f>IF($AC415="","",MID(IF(AND($AC415="רמה א'",$AA415="ניכרת"),"; להוסיף עבודת אוצר מילים","")&amp;IF($Z415="אינה מפותחת","; דגש על הבעה בכתב","")&amp;IF($K415&lt;&gt;"תקין","; נדרש לעבוד על ההנגנה","")&amp;IF($AK415&lt;&gt;"","; "&amp;$AK415,""),3,400))</f>
        <v/>
      </c>
      <c r="AE415" s="32">
        <f>IF($F415="","",IF($F415="תחילת שנה",1,IF($F415="מחצית שנה",2,3)))</f>
        <v/>
      </c>
      <c r="AF415" s="32">
        <f>IF(OR($B415="",$AC415="",$A415="",$F415=""),"",$B415&amp;"|"&amp;$A415&amp;"|"&amp;$F415&amp;"|"&amp;$AC415&amp;"|"&amp;COUNTIFS($B$6:$B415,$B415,$A$6:$A415,$A415,$F$6:$F415,$F415,$AC$6:$AC415,$AC415))</f>
        <v/>
      </c>
      <c r="AG415" s="32">
        <f>IF($C415="","",$C415&amp;"|"&amp;COUNTIFS($C$6:$C415,$C415))</f>
        <v/>
      </c>
      <c r="AH415" s="32">
        <f>IF(OR($C415="",$A415="",$AE415=""),"",$C415&amp;"|"&amp;$A415&amp;"|"&amp;$AE415)</f>
        <v/>
      </c>
      <c r="AI415" s="32">
        <f>IF(OR($C415="",$AE415="",$AE415=1),"",IFERROR(INDEX($AC$6:$AC$1505,MATCH($C415&amp;"|"&amp;$A415&amp;"|"&amp;($AE415-1),$AH$6:$AH$1505,0)),""))</f>
        <v/>
      </c>
      <c r="AJ415" s="32">
        <f>IF(OR($AI415="",$AC415=""),"",IF($AI415=$AC415,"ללא שינוי","מ-"&amp;$AI415&amp;" ל-"&amp;$AC415))</f>
        <v/>
      </c>
      <c r="AK415" s="67" t="n"/>
    </row>
    <row r="416" ht="15.75" customHeight="1" s="58">
      <c r="A416" s="65" t="n"/>
      <c r="B416" s="65" t="n"/>
      <c r="C416" s="66" t="n"/>
      <c r="D416" s="66" t="n"/>
      <c r="E416" s="65" t="n"/>
      <c r="F416" s="65" t="n"/>
      <c r="G416" s="65" t="n"/>
      <c r="H416" s="65" t="n"/>
      <c r="I416" s="65" t="n"/>
      <c r="J416" s="65" t="n"/>
      <c r="K416" s="65" t="n"/>
      <c r="L416" s="65" t="n"/>
      <c r="M416" s="65" t="n"/>
      <c r="N416" s="65" t="n"/>
      <c r="O416" s="65" t="n"/>
      <c r="P416" s="65" t="n"/>
      <c r="Q416" s="65" t="n"/>
      <c r="R416" s="65" t="n"/>
      <c r="S416" s="65" t="n"/>
      <c r="T416" s="65" t="n"/>
      <c r="U416" s="65" t="n"/>
      <c r="V416" s="65" t="n"/>
      <c r="W416" s="65" t="n"/>
      <c r="X416" s="65" t="n"/>
      <c r="Y416" s="32">
        <f>IF($C416="","",IF(COUNTA($I416:$K416)&lt;3,"— חסרים נתונים",IF(AND($I416="תקין",$J416="תקין",$K416="תקין"),"רהוטה",IF(AND($I416="תקין",$J416="תקין"),"מדויקת ורציפה","אינה מדויקת או מקוטעת"))))</f>
        <v/>
      </c>
      <c r="Z416" s="32">
        <f>IF($C416="","",IF(COUNTA($U416:$W416)&lt;3,"",IF(AND($U416="מפותח",$V416="מפותח",$W416="מפותחת"),"מפותחת",IF((--($U416="דל"))+(--($V416="אינו מפותח"))+(--($W416="דלה"))&gt;=2,"אינה מפותחת","חלקית"))))</f>
        <v/>
      </c>
      <c r="AA416" s="32">
        <f>IF($C416="","",IF(COUNTA($M416,$N416,$O416)&lt;3,"— חסרים נתונים",IF(OR($M416="נמוכה",(--($M416&lt;&gt;"תקינה"))+(--($N416&lt;&gt;"תקין"))+(--($O416&lt;&gt;"תקינה"))&gt;=2),"ניכרת","אינה ניכרת")))</f>
        <v/>
      </c>
      <c r="AB416" s="32">
        <f>IF(OR($C416="",$Y416="",$AA416="",LEFT($Y416,1)="—",LEFT($AA416,1)="—"),"",IF($Z416="","— נדרשת הערכת כתיבה",IF($L416="","— חסרה הבנת הנקרא",IF($Y416="אינה מדויקת או מקוטעת",IF($AA416="ניכרת","מיקוד בשטף הקריאה ובכישורי שפה","מיקוד בשטף קריאה"),IF($AA416="ניכרת","מיקוד בכישורי שפה",IF(AND($L416="תקינה",$Z416="מפותחת"),"קוראים וכותבים מיומנים","מיקוד בהבנה והבעה"))))))</f>
        <v/>
      </c>
      <c r="AC416" s="32">
        <f>IF(OR($AB416="",LEFT($AB416,1)="—"),"",IF(OR($AB416="מיקוד בשטף קריאה",$AB416="מיקוד בשטף הקריאה ובכישורי שפה"),"רמה א'",IF($AB416="קוראים וכותבים מיומנים","רמה ג'","רמה ב'")))</f>
        <v/>
      </c>
      <c r="AD416" s="32">
        <f>IF($AC416="","",MID(IF(AND($AC416="רמה א'",$AA416="ניכרת"),"; להוסיף עבודת אוצר מילים","")&amp;IF($Z416="אינה מפותחת","; דגש על הבעה בכתב","")&amp;IF($K416&lt;&gt;"תקין","; נדרש לעבוד על ההנגנה","")&amp;IF($AK416&lt;&gt;"","; "&amp;$AK416,""),3,400))</f>
        <v/>
      </c>
      <c r="AE416" s="32">
        <f>IF($F416="","",IF($F416="תחילת שנה",1,IF($F416="מחצית שנה",2,3)))</f>
        <v/>
      </c>
      <c r="AF416" s="32">
        <f>IF(OR($B416="",$AC416="",$A416="",$F416=""),"",$B416&amp;"|"&amp;$A416&amp;"|"&amp;$F416&amp;"|"&amp;$AC416&amp;"|"&amp;COUNTIFS($B$6:$B416,$B416,$A$6:$A416,$A416,$F$6:$F416,$F416,$AC$6:$AC416,$AC416))</f>
        <v/>
      </c>
      <c r="AG416" s="32">
        <f>IF($C416="","",$C416&amp;"|"&amp;COUNTIFS($C$6:$C416,$C416))</f>
        <v/>
      </c>
      <c r="AH416" s="32">
        <f>IF(OR($C416="",$A416="",$AE416=""),"",$C416&amp;"|"&amp;$A416&amp;"|"&amp;$AE416)</f>
        <v/>
      </c>
      <c r="AI416" s="32">
        <f>IF(OR($C416="",$AE416="",$AE416=1),"",IFERROR(INDEX($AC$6:$AC$1505,MATCH($C416&amp;"|"&amp;$A416&amp;"|"&amp;($AE416-1),$AH$6:$AH$1505,0)),""))</f>
        <v/>
      </c>
      <c r="AJ416" s="32">
        <f>IF(OR($AI416="",$AC416=""),"",IF($AI416=$AC416,"ללא שינוי","מ-"&amp;$AI416&amp;" ל-"&amp;$AC416))</f>
        <v/>
      </c>
      <c r="AK416" s="67" t="n"/>
    </row>
    <row r="417" ht="15.75" customHeight="1" s="58">
      <c r="A417" s="65" t="n"/>
      <c r="B417" s="65" t="n"/>
      <c r="C417" s="66" t="n"/>
      <c r="D417" s="66" t="n"/>
      <c r="E417" s="65" t="n"/>
      <c r="F417" s="65" t="n"/>
      <c r="G417" s="65" t="n"/>
      <c r="H417" s="65" t="n"/>
      <c r="I417" s="65" t="n"/>
      <c r="J417" s="65" t="n"/>
      <c r="K417" s="65" t="n"/>
      <c r="L417" s="65" t="n"/>
      <c r="M417" s="65" t="n"/>
      <c r="N417" s="65" t="n"/>
      <c r="O417" s="65" t="n"/>
      <c r="P417" s="65" t="n"/>
      <c r="Q417" s="65" t="n"/>
      <c r="R417" s="65" t="n"/>
      <c r="S417" s="65" t="n"/>
      <c r="T417" s="65" t="n"/>
      <c r="U417" s="65" t="n"/>
      <c r="V417" s="65" t="n"/>
      <c r="W417" s="65" t="n"/>
      <c r="X417" s="65" t="n"/>
      <c r="Y417" s="32">
        <f>IF($C417="","",IF(COUNTA($I417:$K417)&lt;3,"— חסרים נתונים",IF(AND($I417="תקין",$J417="תקין",$K417="תקין"),"רהוטה",IF(AND($I417="תקין",$J417="תקין"),"מדויקת ורציפה","אינה מדויקת או מקוטעת"))))</f>
        <v/>
      </c>
      <c r="Z417" s="32">
        <f>IF($C417="","",IF(COUNTA($U417:$W417)&lt;3,"",IF(AND($U417="מפותח",$V417="מפותח",$W417="מפותחת"),"מפותחת",IF((--($U417="דל"))+(--($V417="אינו מפותח"))+(--($W417="דלה"))&gt;=2,"אינה מפותחת","חלקית"))))</f>
        <v/>
      </c>
      <c r="AA417" s="32">
        <f>IF($C417="","",IF(COUNTA($M417,$N417,$O417)&lt;3,"— חסרים נתונים",IF(OR($M417="נמוכה",(--($M417&lt;&gt;"תקינה"))+(--($N417&lt;&gt;"תקין"))+(--($O417&lt;&gt;"תקינה"))&gt;=2),"ניכרת","אינה ניכרת")))</f>
        <v/>
      </c>
      <c r="AB417" s="32">
        <f>IF(OR($C417="",$Y417="",$AA417="",LEFT($Y417,1)="—",LEFT($AA417,1)="—"),"",IF($Z417="","— נדרשת הערכת כתיבה",IF($L417="","— חסרה הבנת הנקרא",IF($Y417="אינה מדויקת או מקוטעת",IF($AA417="ניכרת","מיקוד בשטף הקריאה ובכישורי שפה","מיקוד בשטף קריאה"),IF($AA417="ניכרת","מיקוד בכישורי שפה",IF(AND($L417="תקינה",$Z417="מפותחת"),"קוראים וכותבים מיומנים","מיקוד בהבנה והבעה"))))))</f>
        <v/>
      </c>
      <c r="AC417" s="32">
        <f>IF(OR($AB417="",LEFT($AB417,1)="—"),"",IF(OR($AB417="מיקוד בשטף קריאה",$AB417="מיקוד בשטף הקריאה ובכישורי שפה"),"רמה א'",IF($AB417="קוראים וכותבים מיומנים","רמה ג'","רמה ב'")))</f>
        <v/>
      </c>
      <c r="AD417" s="32">
        <f>IF($AC417="","",MID(IF(AND($AC417="רמה א'",$AA417="ניכרת"),"; להוסיף עבודת אוצר מילים","")&amp;IF($Z417="אינה מפותחת","; דגש על הבעה בכתב","")&amp;IF($K417&lt;&gt;"תקין","; נדרש לעבוד על ההנגנה","")&amp;IF($AK417&lt;&gt;"","; "&amp;$AK417,""),3,400))</f>
        <v/>
      </c>
      <c r="AE417" s="32">
        <f>IF($F417="","",IF($F417="תחילת שנה",1,IF($F417="מחצית שנה",2,3)))</f>
        <v/>
      </c>
      <c r="AF417" s="32">
        <f>IF(OR($B417="",$AC417="",$A417="",$F417=""),"",$B417&amp;"|"&amp;$A417&amp;"|"&amp;$F417&amp;"|"&amp;$AC417&amp;"|"&amp;COUNTIFS($B$6:$B417,$B417,$A$6:$A417,$A417,$F$6:$F417,$F417,$AC$6:$AC417,$AC417))</f>
        <v/>
      </c>
      <c r="AG417" s="32">
        <f>IF($C417="","",$C417&amp;"|"&amp;COUNTIFS($C$6:$C417,$C417))</f>
        <v/>
      </c>
      <c r="AH417" s="32">
        <f>IF(OR($C417="",$A417="",$AE417=""),"",$C417&amp;"|"&amp;$A417&amp;"|"&amp;$AE417)</f>
        <v/>
      </c>
      <c r="AI417" s="32">
        <f>IF(OR($C417="",$AE417="",$AE417=1),"",IFERROR(INDEX($AC$6:$AC$1505,MATCH($C417&amp;"|"&amp;$A417&amp;"|"&amp;($AE417-1),$AH$6:$AH$1505,0)),""))</f>
        <v/>
      </c>
      <c r="AJ417" s="32">
        <f>IF(OR($AI417="",$AC417=""),"",IF($AI417=$AC417,"ללא שינוי","מ-"&amp;$AI417&amp;" ל-"&amp;$AC417))</f>
        <v/>
      </c>
      <c r="AK417" s="67" t="n"/>
    </row>
    <row r="418" ht="15.75" customHeight="1" s="58">
      <c r="A418" s="65" t="n"/>
      <c r="B418" s="65" t="n"/>
      <c r="C418" s="66" t="n"/>
      <c r="D418" s="66" t="n"/>
      <c r="E418" s="65" t="n"/>
      <c r="F418" s="65" t="n"/>
      <c r="G418" s="65" t="n"/>
      <c r="H418" s="65" t="n"/>
      <c r="I418" s="65" t="n"/>
      <c r="J418" s="65" t="n"/>
      <c r="K418" s="65" t="n"/>
      <c r="L418" s="65" t="n"/>
      <c r="M418" s="65" t="n"/>
      <c r="N418" s="65" t="n"/>
      <c r="O418" s="65" t="n"/>
      <c r="P418" s="65" t="n"/>
      <c r="Q418" s="65" t="n"/>
      <c r="R418" s="65" t="n"/>
      <c r="S418" s="65" t="n"/>
      <c r="T418" s="65" t="n"/>
      <c r="U418" s="65" t="n"/>
      <c r="V418" s="65" t="n"/>
      <c r="W418" s="65" t="n"/>
      <c r="X418" s="65" t="n"/>
      <c r="Y418" s="32">
        <f>IF($C418="","",IF(COUNTA($I418:$K418)&lt;3,"— חסרים נתונים",IF(AND($I418="תקין",$J418="תקין",$K418="תקין"),"רהוטה",IF(AND($I418="תקין",$J418="תקין"),"מדויקת ורציפה","אינה מדויקת או מקוטעת"))))</f>
        <v/>
      </c>
      <c r="Z418" s="32">
        <f>IF($C418="","",IF(COUNTA($U418:$W418)&lt;3,"",IF(AND($U418="מפותח",$V418="מפותח",$W418="מפותחת"),"מפותחת",IF((--($U418="דל"))+(--($V418="אינו מפותח"))+(--($W418="דלה"))&gt;=2,"אינה מפותחת","חלקית"))))</f>
        <v/>
      </c>
      <c r="AA418" s="32">
        <f>IF($C418="","",IF(COUNTA($M418,$N418,$O418)&lt;3,"— חסרים נתונים",IF(OR($M418="נמוכה",(--($M418&lt;&gt;"תקינה"))+(--($N418&lt;&gt;"תקין"))+(--($O418&lt;&gt;"תקינה"))&gt;=2),"ניכרת","אינה ניכרת")))</f>
        <v/>
      </c>
      <c r="AB418" s="32">
        <f>IF(OR($C418="",$Y418="",$AA418="",LEFT($Y418,1)="—",LEFT($AA418,1)="—"),"",IF($Z418="","— נדרשת הערכת כתיבה",IF($L418="","— חסרה הבנת הנקרא",IF($Y418="אינה מדויקת או מקוטעת",IF($AA418="ניכרת","מיקוד בשטף הקריאה ובכישורי שפה","מיקוד בשטף קריאה"),IF($AA418="ניכרת","מיקוד בכישורי שפה",IF(AND($L418="תקינה",$Z418="מפותחת"),"קוראים וכותבים מיומנים","מיקוד בהבנה והבעה"))))))</f>
        <v/>
      </c>
      <c r="AC418" s="32">
        <f>IF(OR($AB418="",LEFT($AB418,1)="—"),"",IF(OR($AB418="מיקוד בשטף קריאה",$AB418="מיקוד בשטף הקריאה ובכישורי שפה"),"רמה א'",IF($AB418="קוראים וכותבים מיומנים","רמה ג'","רמה ב'")))</f>
        <v/>
      </c>
      <c r="AD418" s="32">
        <f>IF($AC418="","",MID(IF(AND($AC418="רמה א'",$AA418="ניכרת"),"; להוסיף עבודת אוצר מילים","")&amp;IF($Z418="אינה מפותחת","; דגש על הבעה בכתב","")&amp;IF($K418&lt;&gt;"תקין","; נדרש לעבוד על ההנגנה","")&amp;IF($AK418&lt;&gt;"","; "&amp;$AK418,""),3,400))</f>
        <v/>
      </c>
      <c r="AE418" s="32">
        <f>IF($F418="","",IF($F418="תחילת שנה",1,IF($F418="מחצית שנה",2,3)))</f>
        <v/>
      </c>
      <c r="AF418" s="32">
        <f>IF(OR($B418="",$AC418="",$A418="",$F418=""),"",$B418&amp;"|"&amp;$A418&amp;"|"&amp;$F418&amp;"|"&amp;$AC418&amp;"|"&amp;COUNTIFS($B$6:$B418,$B418,$A$6:$A418,$A418,$F$6:$F418,$F418,$AC$6:$AC418,$AC418))</f>
        <v/>
      </c>
      <c r="AG418" s="32">
        <f>IF($C418="","",$C418&amp;"|"&amp;COUNTIFS($C$6:$C418,$C418))</f>
        <v/>
      </c>
      <c r="AH418" s="32">
        <f>IF(OR($C418="",$A418="",$AE418=""),"",$C418&amp;"|"&amp;$A418&amp;"|"&amp;$AE418)</f>
        <v/>
      </c>
      <c r="AI418" s="32">
        <f>IF(OR($C418="",$AE418="",$AE418=1),"",IFERROR(INDEX($AC$6:$AC$1505,MATCH($C418&amp;"|"&amp;$A418&amp;"|"&amp;($AE418-1),$AH$6:$AH$1505,0)),""))</f>
        <v/>
      </c>
      <c r="AJ418" s="32">
        <f>IF(OR($AI418="",$AC418=""),"",IF($AI418=$AC418,"ללא שינוי","מ-"&amp;$AI418&amp;" ל-"&amp;$AC418))</f>
        <v/>
      </c>
      <c r="AK418" s="67" t="n"/>
    </row>
    <row r="419" ht="15.75" customHeight="1" s="58">
      <c r="A419" s="65" t="n"/>
      <c r="B419" s="65" t="n"/>
      <c r="C419" s="66" t="n"/>
      <c r="D419" s="66" t="n"/>
      <c r="E419" s="65" t="n"/>
      <c r="F419" s="65" t="n"/>
      <c r="G419" s="65" t="n"/>
      <c r="H419" s="65" t="n"/>
      <c r="I419" s="65" t="n"/>
      <c r="J419" s="65" t="n"/>
      <c r="K419" s="65" t="n"/>
      <c r="L419" s="65" t="n"/>
      <c r="M419" s="65" t="n"/>
      <c r="N419" s="65" t="n"/>
      <c r="O419" s="65" t="n"/>
      <c r="P419" s="65" t="n"/>
      <c r="Q419" s="65" t="n"/>
      <c r="R419" s="65" t="n"/>
      <c r="S419" s="65" t="n"/>
      <c r="T419" s="65" t="n"/>
      <c r="U419" s="65" t="n"/>
      <c r="V419" s="65" t="n"/>
      <c r="W419" s="65" t="n"/>
      <c r="X419" s="65" t="n"/>
      <c r="Y419" s="32">
        <f>IF($C419="","",IF(COUNTA($I419:$K419)&lt;3,"— חסרים נתונים",IF(AND($I419="תקין",$J419="תקין",$K419="תקין"),"רהוטה",IF(AND($I419="תקין",$J419="תקין"),"מדויקת ורציפה","אינה מדויקת או מקוטעת"))))</f>
        <v/>
      </c>
      <c r="Z419" s="32">
        <f>IF($C419="","",IF(COUNTA($U419:$W419)&lt;3,"",IF(AND($U419="מפותח",$V419="מפותח",$W419="מפותחת"),"מפותחת",IF((--($U419="דל"))+(--($V419="אינו מפותח"))+(--($W419="דלה"))&gt;=2,"אינה מפותחת","חלקית"))))</f>
        <v/>
      </c>
      <c r="AA419" s="32">
        <f>IF($C419="","",IF(COUNTA($M419,$N419,$O419)&lt;3,"— חסרים נתונים",IF(OR($M419="נמוכה",(--($M419&lt;&gt;"תקינה"))+(--($N419&lt;&gt;"תקין"))+(--($O419&lt;&gt;"תקינה"))&gt;=2),"ניכרת","אינה ניכרת")))</f>
        <v/>
      </c>
      <c r="AB419" s="32">
        <f>IF(OR($C419="",$Y419="",$AA419="",LEFT($Y419,1)="—",LEFT($AA419,1)="—"),"",IF($Z419="","— נדרשת הערכת כתיבה",IF($L419="","— חסרה הבנת הנקרא",IF($Y419="אינה מדויקת או מקוטעת",IF($AA419="ניכרת","מיקוד בשטף הקריאה ובכישורי שפה","מיקוד בשטף קריאה"),IF($AA419="ניכרת","מיקוד בכישורי שפה",IF(AND($L419="תקינה",$Z419="מפותחת"),"קוראים וכותבים מיומנים","מיקוד בהבנה והבעה"))))))</f>
        <v/>
      </c>
      <c r="AC419" s="32">
        <f>IF(OR($AB419="",LEFT($AB419,1)="—"),"",IF(OR($AB419="מיקוד בשטף קריאה",$AB419="מיקוד בשטף הקריאה ובכישורי שפה"),"רמה א'",IF($AB419="קוראים וכותבים מיומנים","רמה ג'","רמה ב'")))</f>
        <v/>
      </c>
      <c r="AD419" s="32">
        <f>IF($AC419="","",MID(IF(AND($AC419="רמה א'",$AA419="ניכרת"),"; להוסיף עבודת אוצר מילים","")&amp;IF($Z419="אינה מפותחת","; דגש על הבעה בכתב","")&amp;IF($K419&lt;&gt;"תקין","; נדרש לעבוד על ההנגנה","")&amp;IF($AK419&lt;&gt;"","; "&amp;$AK419,""),3,400))</f>
        <v/>
      </c>
      <c r="AE419" s="32">
        <f>IF($F419="","",IF($F419="תחילת שנה",1,IF($F419="מחצית שנה",2,3)))</f>
        <v/>
      </c>
      <c r="AF419" s="32">
        <f>IF(OR($B419="",$AC419="",$A419="",$F419=""),"",$B419&amp;"|"&amp;$A419&amp;"|"&amp;$F419&amp;"|"&amp;$AC419&amp;"|"&amp;COUNTIFS($B$6:$B419,$B419,$A$6:$A419,$A419,$F$6:$F419,$F419,$AC$6:$AC419,$AC419))</f>
        <v/>
      </c>
      <c r="AG419" s="32">
        <f>IF($C419="","",$C419&amp;"|"&amp;COUNTIFS($C$6:$C419,$C419))</f>
        <v/>
      </c>
      <c r="AH419" s="32">
        <f>IF(OR($C419="",$A419="",$AE419=""),"",$C419&amp;"|"&amp;$A419&amp;"|"&amp;$AE419)</f>
        <v/>
      </c>
      <c r="AI419" s="32">
        <f>IF(OR($C419="",$AE419="",$AE419=1),"",IFERROR(INDEX($AC$6:$AC$1505,MATCH($C419&amp;"|"&amp;$A419&amp;"|"&amp;($AE419-1),$AH$6:$AH$1505,0)),""))</f>
        <v/>
      </c>
      <c r="AJ419" s="32">
        <f>IF(OR($AI419="",$AC419=""),"",IF($AI419=$AC419,"ללא שינוי","מ-"&amp;$AI419&amp;" ל-"&amp;$AC419))</f>
        <v/>
      </c>
      <c r="AK419" s="67" t="n"/>
    </row>
    <row r="420" ht="15.75" customHeight="1" s="58">
      <c r="A420" s="65" t="n"/>
      <c r="B420" s="65" t="n"/>
      <c r="C420" s="66" t="n"/>
      <c r="D420" s="66" t="n"/>
      <c r="E420" s="65" t="n"/>
      <c r="F420" s="65" t="n"/>
      <c r="G420" s="65" t="n"/>
      <c r="H420" s="65" t="n"/>
      <c r="I420" s="65" t="n"/>
      <c r="J420" s="65" t="n"/>
      <c r="K420" s="65" t="n"/>
      <c r="L420" s="65" t="n"/>
      <c r="M420" s="65" t="n"/>
      <c r="N420" s="65" t="n"/>
      <c r="O420" s="65" t="n"/>
      <c r="P420" s="65" t="n"/>
      <c r="Q420" s="65" t="n"/>
      <c r="R420" s="65" t="n"/>
      <c r="S420" s="65" t="n"/>
      <c r="T420" s="65" t="n"/>
      <c r="U420" s="65" t="n"/>
      <c r="V420" s="65" t="n"/>
      <c r="W420" s="65" t="n"/>
      <c r="X420" s="65" t="n"/>
      <c r="Y420" s="32">
        <f>IF($C420="","",IF(COUNTA($I420:$K420)&lt;3,"— חסרים נתונים",IF(AND($I420="תקין",$J420="תקין",$K420="תקין"),"רהוטה",IF(AND($I420="תקין",$J420="תקין"),"מדויקת ורציפה","אינה מדויקת או מקוטעת"))))</f>
        <v/>
      </c>
      <c r="Z420" s="32">
        <f>IF($C420="","",IF(COUNTA($U420:$W420)&lt;3,"",IF(AND($U420="מפותח",$V420="מפותח",$W420="מפותחת"),"מפותחת",IF((--($U420="דל"))+(--($V420="אינו מפותח"))+(--($W420="דלה"))&gt;=2,"אינה מפותחת","חלקית"))))</f>
        <v/>
      </c>
      <c r="AA420" s="32">
        <f>IF($C420="","",IF(COUNTA($M420,$N420,$O420)&lt;3,"— חסרים נתונים",IF(OR($M420="נמוכה",(--($M420&lt;&gt;"תקינה"))+(--($N420&lt;&gt;"תקין"))+(--($O420&lt;&gt;"תקינה"))&gt;=2),"ניכרת","אינה ניכרת")))</f>
        <v/>
      </c>
      <c r="AB420" s="32">
        <f>IF(OR($C420="",$Y420="",$AA420="",LEFT($Y420,1)="—",LEFT($AA420,1)="—"),"",IF($Z420="","— נדרשת הערכת כתיבה",IF($L420="","— חסרה הבנת הנקרא",IF($Y420="אינה מדויקת או מקוטעת",IF($AA420="ניכרת","מיקוד בשטף הקריאה ובכישורי שפה","מיקוד בשטף קריאה"),IF($AA420="ניכרת","מיקוד בכישורי שפה",IF(AND($L420="תקינה",$Z420="מפותחת"),"קוראים וכותבים מיומנים","מיקוד בהבנה והבעה"))))))</f>
        <v/>
      </c>
      <c r="AC420" s="32">
        <f>IF(OR($AB420="",LEFT($AB420,1)="—"),"",IF(OR($AB420="מיקוד בשטף קריאה",$AB420="מיקוד בשטף הקריאה ובכישורי שפה"),"רמה א'",IF($AB420="קוראים וכותבים מיומנים","רמה ג'","רמה ב'")))</f>
        <v/>
      </c>
      <c r="AD420" s="32">
        <f>IF($AC420="","",MID(IF(AND($AC420="רמה א'",$AA420="ניכרת"),"; להוסיף עבודת אוצר מילים","")&amp;IF($Z420="אינה מפותחת","; דגש על הבעה בכתב","")&amp;IF($K420&lt;&gt;"תקין","; נדרש לעבוד על ההנגנה","")&amp;IF($AK420&lt;&gt;"","; "&amp;$AK420,""),3,400))</f>
        <v/>
      </c>
      <c r="AE420" s="32">
        <f>IF($F420="","",IF($F420="תחילת שנה",1,IF($F420="מחצית שנה",2,3)))</f>
        <v/>
      </c>
      <c r="AF420" s="32">
        <f>IF(OR($B420="",$AC420="",$A420="",$F420=""),"",$B420&amp;"|"&amp;$A420&amp;"|"&amp;$F420&amp;"|"&amp;$AC420&amp;"|"&amp;COUNTIFS($B$6:$B420,$B420,$A$6:$A420,$A420,$F$6:$F420,$F420,$AC$6:$AC420,$AC420))</f>
        <v/>
      </c>
      <c r="AG420" s="32">
        <f>IF($C420="","",$C420&amp;"|"&amp;COUNTIFS($C$6:$C420,$C420))</f>
        <v/>
      </c>
      <c r="AH420" s="32">
        <f>IF(OR($C420="",$A420="",$AE420=""),"",$C420&amp;"|"&amp;$A420&amp;"|"&amp;$AE420)</f>
        <v/>
      </c>
      <c r="AI420" s="32">
        <f>IF(OR($C420="",$AE420="",$AE420=1),"",IFERROR(INDEX($AC$6:$AC$1505,MATCH($C420&amp;"|"&amp;$A420&amp;"|"&amp;($AE420-1),$AH$6:$AH$1505,0)),""))</f>
        <v/>
      </c>
      <c r="AJ420" s="32">
        <f>IF(OR($AI420="",$AC420=""),"",IF($AI420=$AC420,"ללא שינוי","מ-"&amp;$AI420&amp;" ל-"&amp;$AC420))</f>
        <v/>
      </c>
      <c r="AK420" s="67" t="n"/>
    </row>
    <row r="421" ht="15.75" customHeight="1" s="58">
      <c r="A421" s="65" t="n"/>
      <c r="B421" s="65" t="n"/>
      <c r="C421" s="66" t="n"/>
      <c r="D421" s="66" t="n"/>
      <c r="E421" s="65" t="n"/>
      <c r="F421" s="65" t="n"/>
      <c r="G421" s="65" t="n"/>
      <c r="H421" s="65" t="n"/>
      <c r="I421" s="65" t="n"/>
      <c r="J421" s="65" t="n"/>
      <c r="K421" s="65" t="n"/>
      <c r="L421" s="65" t="n"/>
      <c r="M421" s="65" t="n"/>
      <c r="N421" s="65" t="n"/>
      <c r="O421" s="65" t="n"/>
      <c r="P421" s="65" t="n"/>
      <c r="Q421" s="65" t="n"/>
      <c r="R421" s="65" t="n"/>
      <c r="S421" s="65" t="n"/>
      <c r="T421" s="65" t="n"/>
      <c r="U421" s="65" t="n"/>
      <c r="V421" s="65" t="n"/>
      <c r="W421" s="65" t="n"/>
      <c r="X421" s="65" t="n"/>
      <c r="Y421" s="32">
        <f>IF($C421="","",IF(COUNTA($I421:$K421)&lt;3,"— חסרים נתונים",IF(AND($I421="תקין",$J421="תקין",$K421="תקין"),"רהוטה",IF(AND($I421="תקין",$J421="תקין"),"מדויקת ורציפה","אינה מדויקת או מקוטעת"))))</f>
        <v/>
      </c>
      <c r="Z421" s="32">
        <f>IF($C421="","",IF(COUNTA($U421:$W421)&lt;3,"",IF(AND($U421="מפותח",$V421="מפותח",$W421="מפותחת"),"מפותחת",IF((--($U421="דל"))+(--($V421="אינו מפותח"))+(--($W421="דלה"))&gt;=2,"אינה מפותחת","חלקית"))))</f>
        <v/>
      </c>
      <c r="AA421" s="32">
        <f>IF($C421="","",IF(COUNTA($M421,$N421,$O421)&lt;3,"— חסרים נתונים",IF(OR($M421="נמוכה",(--($M421&lt;&gt;"תקינה"))+(--($N421&lt;&gt;"תקין"))+(--($O421&lt;&gt;"תקינה"))&gt;=2),"ניכרת","אינה ניכרת")))</f>
        <v/>
      </c>
      <c r="AB421" s="32">
        <f>IF(OR($C421="",$Y421="",$AA421="",LEFT($Y421,1)="—",LEFT($AA421,1)="—"),"",IF($Z421="","— נדרשת הערכת כתיבה",IF($L421="","— חסרה הבנת הנקרא",IF($Y421="אינה מדויקת או מקוטעת",IF($AA421="ניכרת","מיקוד בשטף הקריאה ובכישורי שפה","מיקוד בשטף קריאה"),IF($AA421="ניכרת","מיקוד בכישורי שפה",IF(AND($L421="תקינה",$Z421="מפותחת"),"קוראים וכותבים מיומנים","מיקוד בהבנה והבעה"))))))</f>
        <v/>
      </c>
      <c r="AC421" s="32">
        <f>IF(OR($AB421="",LEFT($AB421,1)="—"),"",IF(OR($AB421="מיקוד בשטף קריאה",$AB421="מיקוד בשטף הקריאה ובכישורי שפה"),"רמה א'",IF($AB421="קוראים וכותבים מיומנים","רמה ג'","רמה ב'")))</f>
        <v/>
      </c>
      <c r="AD421" s="32">
        <f>IF($AC421="","",MID(IF(AND($AC421="רמה א'",$AA421="ניכרת"),"; להוסיף עבודת אוצר מילים","")&amp;IF($Z421="אינה מפותחת","; דגש על הבעה בכתב","")&amp;IF($K421&lt;&gt;"תקין","; נדרש לעבוד על ההנגנה","")&amp;IF($AK421&lt;&gt;"","; "&amp;$AK421,""),3,400))</f>
        <v/>
      </c>
      <c r="AE421" s="32">
        <f>IF($F421="","",IF($F421="תחילת שנה",1,IF($F421="מחצית שנה",2,3)))</f>
        <v/>
      </c>
      <c r="AF421" s="32">
        <f>IF(OR($B421="",$AC421="",$A421="",$F421=""),"",$B421&amp;"|"&amp;$A421&amp;"|"&amp;$F421&amp;"|"&amp;$AC421&amp;"|"&amp;COUNTIFS($B$6:$B421,$B421,$A$6:$A421,$A421,$F$6:$F421,$F421,$AC$6:$AC421,$AC421))</f>
        <v/>
      </c>
      <c r="AG421" s="32">
        <f>IF($C421="","",$C421&amp;"|"&amp;COUNTIFS($C$6:$C421,$C421))</f>
        <v/>
      </c>
      <c r="AH421" s="32">
        <f>IF(OR($C421="",$A421="",$AE421=""),"",$C421&amp;"|"&amp;$A421&amp;"|"&amp;$AE421)</f>
        <v/>
      </c>
      <c r="AI421" s="32">
        <f>IF(OR($C421="",$AE421="",$AE421=1),"",IFERROR(INDEX($AC$6:$AC$1505,MATCH($C421&amp;"|"&amp;$A421&amp;"|"&amp;($AE421-1),$AH$6:$AH$1505,0)),""))</f>
        <v/>
      </c>
      <c r="AJ421" s="32">
        <f>IF(OR($AI421="",$AC421=""),"",IF($AI421=$AC421,"ללא שינוי","מ-"&amp;$AI421&amp;" ל-"&amp;$AC421))</f>
        <v/>
      </c>
      <c r="AK421" s="67" t="n"/>
    </row>
    <row r="422" ht="15.75" customHeight="1" s="58">
      <c r="A422" s="65" t="n"/>
      <c r="B422" s="65" t="n"/>
      <c r="C422" s="66" t="n"/>
      <c r="D422" s="66" t="n"/>
      <c r="E422" s="65" t="n"/>
      <c r="F422" s="65" t="n"/>
      <c r="G422" s="65" t="n"/>
      <c r="H422" s="65" t="n"/>
      <c r="I422" s="65" t="n"/>
      <c r="J422" s="65" t="n"/>
      <c r="K422" s="65" t="n"/>
      <c r="L422" s="65" t="n"/>
      <c r="M422" s="65" t="n"/>
      <c r="N422" s="65" t="n"/>
      <c r="O422" s="65" t="n"/>
      <c r="P422" s="65" t="n"/>
      <c r="Q422" s="65" t="n"/>
      <c r="R422" s="65" t="n"/>
      <c r="S422" s="65" t="n"/>
      <c r="T422" s="65" t="n"/>
      <c r="U422" s="65" t="n"/>
      <c r="V422" s="65" t="n"/>
      <c r="W422" s="65" t="n"/>
      <c r="X422" s="65" t="n"/>
      <c r="Y422" s="32">
        <f>IF($C422="","",IF(COUNTA($I422:$K422)&lt;3,"— חסרים נתונים",IF(AND($I422="תקין",$J422="תקין",$K422="תקין"),"רהוטה",IF(AND($I422="תקין",$J422="תקין"),"מדויקת ורציפה","אינה מדויקת או מקוטעת"))))</f>
        <v/>
      </c>
      <c r="Z422" s="32">
        <f>IF($C422="","",IF(COUNTA($U422:$W422)&lt;3,"",IF(AND($U422="מפותח",$V422="מפותח",$W422="מפותחת"),"מפותחת",IF((--($U422="דל"))+(--($V422="אינו מפותח"))+(--($W422="דלה"))&gt;=2,"אינה מפותחת","חלקית"))))</f>
        <v/>
      </c>
      <c r="AA422" s="32">
        <f>IF($C422="","",IF(COUNTA($M422,$N422,$O422)&lt;3,"— חסרים נתונים",IF(OR($M422="נמוכה",(--($M422&lt;&gt;"תקינה"))+(--($N422&lt;&gt;"תקין"))+(--($O422&lt;&gt;"תקינה"))&gt;=2),"ניכרת","אינה ניכרת")))</f>
        <v/>
      </c>
      <c r="AB422" s="32">
        <f>IF(OR($C422="",$Y422="",$AA422="",LEFT($Y422,1)="—",LEFT($AA422,1)="—"),"",IF($Z422="","— נדרשת הערכת כתיבה",IF($L422="","— חסרה הבנת הנקרא",IF($Y422="אינה מדויקת או מקוטעת",IF($AA422="ניכרת","מיקוד בשטף הקריאה ובכישורי שפה","מיקוד בשטף קריאה"),IF($AA422="ניכרת","מיקוד בכישורי שפה",IF(AND($L422="תקינה",$Z422="מפותחת"),"קוראים וכותבים מיומנים","מיקוד בהבנה והבעה"))))))</f>
        <v/>
      </c>
      <c r="AC422" s="32">
        <f>IF(OR($AB422="",LEFT($AB422,1)="—"),"",IF(OR($AB422="מיקוד בשטף קריאה",$AB422="מיקוד בשטף הקריאה ובכישורי שפה"),"רמה א'",IF($AB422="קוראים וכותבים מיומנים","רמה ג'","רמה ב'")))</f>
        <v/>
      </c>
      <c r="AD422" s="32">
        <f>IF($AC422="","",MID(IF(AND($AC422="רמה א'",$AA422="ניכרת"),"; להוסיף עבודת אוצר מילים","")&amp;IF($Z422="אינה מפותחת","; דגש על הבעה בכתב","")&amp;IF($K422&lt;&gt;"תקין","; נדרש לעבוד על ההנגנה","")&amp;IF($AK422&lt;&gt;"","; "&amp;$AK422,""),3,400))</f>
        <v/>
      </c>
      <c r="AE422" s="32">
        <f>IF($F422="","",IF($F422="תחילת שנה",1,IF($F422="מחצית שנה",2,3)))</f>
        <v/>
      </c>
      <c r="AF422" s="32">
        <f>IF(OR($B422="",$AC422="",$A422="",$F422=""),"",$B422&amp;"|"&amp;$A422&amp;"|"&amp;$F422&amp;"|"&amp;$AC422&amp;"|"&amp;COUNTIFS($B$6:$B422,$B422,$A$6:$A422,$A422,$F$6:$F422,$F422,$AC$6:$AC422,$AC422))</f>
        <v/>
      </c>
      <c r="AG422" s="32">
        <f>IF($C422="","",$C422&amp;"|"&amp;COUNTIFS($C$6:$C422,$C422))</f>
        <v/>
      </c>
      <c r="AH422" s="32">
        <f>IF(OR($C422="",$A422="",$AE422=""),"",$C422&amp;"|"&amp;$A422&amp;"|"&amp;$AE422)</f>
        <v/>
      </c>
      <c r="AI422" s="32">
        <f>IF(OR($C422="",$AE422="",$AE422=1),"",IFERROR(INDEX($AC$6:$AC$1505,MATCH($C422&amp;"|"&amp;$A422&amp;"|"&amp;($AE422-1),$AH$6:$AH$1505,0)),""))</f>
        <v/>
      </c>
      <c r="AJ422" s="32">
        <f>IF(OR($AI422="",$AC422=""),"",IF($AI422=$AC422,"ללא שינוי","מ-"&amp;$AI422&amp;" ל-"&amp;$AC422))</f>
        <v/>
      </c>
      <c r="AK422" s="67" t="n"/>
    </row>
    <row r="423" ht="15.75" customHeight="1" s="58">
      <c r="A423" s="65" t="n"/>
      <c r="B423" s="65" t="n"/>
      <c r="C423" s="66" t="n"/>
      <c r="D423" s="66" t="n"/>
      <c r="E423" s="65" t="n"/>
      <c r="F423" s="65" t="n"/>
      <c r="G423" s="65" t="n"/>
      <c r="H423" s="65" t="n"/>
      <c r="I423" s="65" t="n"/>
      <c r="J423" s="65" t="n"/>
      <c r="K423" s="65" t="n"/>
      <c r="L423" s="65" t="n"/>
      <c r="M423" s="65" t="n"/>
      <c r="N423" s="65" t="n"/>
      <c r="O423" s="65" t="n"/>
      <c r="P423" s="65" t="n"/>
      <c r="Q423" s="65" t="n"/>
      <c r="R423" s="65" t="n"/>
      <c r="S423" s="65" t="n"/>
      <c r="T423" s="65" t="n"/>
      <c r="U423" s="65" t="n"/>
      <c r="V423" s="65" t="n"/>
      <c r="W423" s="65" t="n"/>
      <c r="X423" s="65" t="n"/>
      <c r="Y423" s="32">
        <f>IF($C423="","",IF(COUNTA($I423:$K423)&lt;3,"— חסרים נתונים",IF(AND($I423="תקין",$J423="תקין",$K423="תקין"),"רהוטה",IF(AND($I423="תקין",$J423="תקין"),"מדויקת ורציפה","אינה מדויקת או מקוטעת"))))</f>
        <v/>
      </c>
      <c r="Z423" s="32">
        <f>IF($C423="","",IF(COUNTA($U423:$W423)&lt;3,"",IF(AND($U423="מפותח",$V423="מפותח",$W423="מפותחת"),"מפותחת",IF((--($U423="דל"))+(--($V423="אינו מפותח"))+(--($W423="דלה"))&gt;=2,"אינה מפותחת","חלקית"))))</f>
        <v/>
      </c>
      <c r="AA423" s="32">
        <f>IF($C423="","",IF(COUNTA($M423,$N423,$O423)&lt;3,"— חסרים נתונים",IF(OR($M423="נמוכה",(--($M423&lt;&gt;"תקינה"))+(--($N423&lt;&gt;"תקין"))+(--($O423&lt;&gt;"תקינה"))&gt;=2),"ניכרת","אינה ניכרת")))</f>
        <v/>
      </c>
      <c r="AB423" s="32">
        <f>IF(OR($C423="",$Y423="",$AA423="",LEFT($Y423,1)="—",LEFT($AA423,1)="—"),"",IF($Z423="","— נדרשת הערכת כתיבה",IF($L423="","— חסרה הבנת הנקרא",IF($Y423="אינה מדויקת או מקוטעת",IF($AA423="ניכרת","מיקוד בשטף הקריאה ובכישורי שפה","מיקוד בשטף קריאה"),IF($AA423="ניכרת","מיקוד בכישורי שפה",IF(AND($L423="תקינה",$Z423="מפותחת"),"קוראים וכותבים מיומנים","מיקוד בהבנה והבעה"))))))</f>
        <v/>
      </c>
      <c r="AC423" s="32">
        <f>IF(OR($AB423="",LEFT($AB423,1)="—"),"",IF(OR($AB423="מיקוד בשטף קריאה",$AB423="מיקוד בשטף הקריאה ובכישורי שפה"),"רמה א'",IF($AB423="קוראים וכותבים מיומנים","רמה ג'","רמה ב'")))</f>
        <v/>
      </c>
      <c r="AD423" s="32">
        <f>IF($AC423="","",MID(IF(AND($AC423="רמה א'",$AA423="ניכרת"),"; להוסיף עבודת אוצר מילים","")&amp;IF($Z423="אינה מפותחת","; דגש על הבעה בכתב","")&amp;IF($K423&lt;&gt;"תקין","; נדרש לעבוד על ההנגנה","")&amp;IF($AK423&lt;&gt;"","; "&amp;$AK423,""),3,400))</f>
        <v/>
      </c>
      <c r="AE423" s="32">
        <f>IF($F423="","",IF($F423="תחילת שנה",1,IF($F423="מחצית שנה",2,3)))</f>
        <v/>
      </c>
      <c r="AF423" s="32">
        <f>IF(OR($B423="",$AC423="",$A423="",$F423=""),"",$B423&amp;"|"&amp;$A423&amp;"|"&amp;$F423&amp;"|"&amp;$AC423&amp;"|"&amp;COUNTIFS($B$6:$B423,$B423,$A$6:$A423,$A423,$F$6:$F423,$F423,$AC$6:$AC423,$AC423))</f>
        <v/>
      </c>
      <c r="AG423" s="32">
        <f>IF($C423="","",$C423&amp;"|"&amp;COUNTIFS($C$6:$C423,$C423))</f>
        <v/>
      </c>
      <c r="AH423" s="32">
        <f>IF(OR($C423="",$A423="",$AE423=""),"",$C423&amp;"|"&amp;$A423&amp;"|"&amp;$AE423)</f>
        <v/>
      </c>
      <c r="AI423" s="32">
        <f>IF(OR($C423="",$AE423="",$AE423=1),"",IFERROR(INDEX($AC$6:$AC$1505,MATCH($C423&amp;"|"&amp;$A423&amp;"|"&amp;($AE423-1),$AH$6:$AH$1505,0)),""))</f>
        <v/>
      </c>
      <c r="AJ423" s="32">
        <f>IF(OR($AI423="",$AC423=""),"",IF($AI423=$AC423,"ללא שינוי","מ-"&amp;$AI423&amp;" ל-"&amp;$AC423))</f>
        <v/>
      </c>
      <c r="AK423" s="67" t="n"/>
    </row>
    <row r="424" ht="15.75" customHeight="1" s="58">
      <c r="A424" s="65" t="n"/>
      <c r="B424" s="65" t="n"/>
      <c r="C424" s="66" t="n"/>
      <c r="D424" s="66" t="n"/>
      <c r="E424" s="65" t="n"/>
      <c r="F424" s="65" t="n"/>
      <c r="G424" s="65" t="n"/>
      <c r="H424" s="65" t="n"/>
      <c r="I424" s="65" t="n"/>
      <c r="J424" s="65" t="n"/>
      <c r="K424" s="65" t="n"/>
      <c r="L424" s="65" t="n"/>
      <c r="M424" s="65" t="n"/>
      <c r="N424" s="65" t="n"/>
      <c r="O424" s="65" t="n"/>
      <c r="P424" s="65" t="n"/>
      <c r="Q424" s="65" t="n"/>
      <c r="R424" s="65" t="n"/>
      <c r="S424" s="65" t="n"/>
      <c r="T424" s="65" t="n"/>
      <c r="U424" s="65" t="n"/>
      <c r="V424" s="65" t="n"/>
      <c r="W424" s="65" t="n"/>
      <c r="X424" s="65" t="n"/>
      <c r="Y424" s="32">
        <f>IF($C424="","",IF(COUNTA($I424:$K424)&lt;3,"— חסרים נתונים",IF(AND($I424="תקין",$J424="תקין",$K424="תקין"),"רהוטה",IF(AND($I424="תקין",$J424="תקין"),"מדויקת ורציפה","אינה מדויקת או מקוטעת"))))</f>
        <v/>
      </c>
      <c r="Z424" s="32">
        <f>IF($C424="","",IF(COUNTA($U424:$W424)&lt;3,"",IF(AND($U424="מפותח",$V424="מפותח",$W424="מפותחת"),"מפותחת",IF((--($U424="דל"))+(--($V424="אינו מפותח"))+(--($W424="דלה"))&gt;=2,"אינה מפותחת","חלקית"))))</f>
        <v/>
      </c>
      <c r="AA424" s="32">
        <f>IF($C424="","",IF(COUNTA($M424,$N424,$O424)&lt;3,"— חסרים נתונים",IF(OR($M424="נמוכה",(--($M424&lt;&gt;"תקינה"))+(--($N424&lt;&gt;"תקין"))+(--($O424&lt;&gt;"תקינה"))&gt;=2),"ניכרת","אינה ניכרת")))</f>
        <v/>
      </c>
      <c r="AB424" s="32">
        <f>IF(OR($C424="",$Y424="",$AA424="",LEFT($Y424,1)="—",LEFT($AA424,1)="—"),"",IF($Z424="","— נדרשת הערכת כתיבה",IF($L424="","— חסרה הבנת הנקרא",IF($Y424="אינה מדויקת או מקוטעת",IF($AA424="ניכרת","מיקוד בשטף הקריאה ובכישורי שפה","מיקוד בשטף קריאה"),IF($AA424="ניכרת","מיקוד בכישורי שפה",IF(AND($L424="תקינה",$Z424="מפותחת"),"קוראים וכותבים מיומנים","מיקוד בהבנה והבעה"))))))</f>
        <v/>
      </c>
      <c r="AC424" s="32">
        <f>IF(OR($AB424="",LEFT($AB424,1)="—"),"",IF(OR($AB424="מיקוד בשטף קריאה",$AB424="מיקוד בשטף הקריאה ובכישורי שפה"),"רמה א'",IF($AB424="קוראים וכותבים מיומנים","רמה ג'","רמה ב'")))</f>
        <v/>
      </c>
      <c r="AD424" s="32">
        <f>IF($AC424="","",MID(IF(AND($AC424="רמה א'",$AA424="ניכרת"),"; להוסיף עבודת אוצר מילים","")&amp;IF($Z424="אינה מפותחת","; דגש על הבעה בכתב","")&amp;IF($K424&lt;&gt;"תקין","; נדרש לעבוד על ההנגנה","")&amp;IF($AK424&lt;&gt;"","; "&amp;$AK424,""),3,400))</f>
        <v/>
      </c>
      <c r="AE424" s="32">
        <f>IF($F424="","",IF($F424="תחילת שנה",1,IF($F424="מחצית שנה",2,3)))</f>
        <v/>
      </c>
      <c r="AF424" s="32">
        <f>IF(OR($B424="",$AC424="",$A424="",$F424=""),"",$B424&amp;"|"&amp;$A424&amp;"|"&amp;$F424&amp;"|"&amp;$AC424&amp;"|"&amp;COUNTIFS($B$6:$B424,$B424,$A$6:$A424,$A424,$F$6:$F424,$F424,$AC$6:$AC424,$AC424))</f>
        <v/>
      </c>
      <c r="AG424" s="32">
        <f>IF($C424="","",$C424&amp;"|"&amp;COUNTIFS($C$6:$C424,$C424))</f>
        <v/>
      </c>
      <c r="AH424" s="32">
        <f>IF(OR($C424="",$A424="",$AE424=""),"",$C424&amp;"|"&amp;$A424&amp;"|"&amp;$AE424)</f>
        <v/>
      </c>
      <c r="AI424" s="32">
        <f>IF(OR($C424="",$AE424="",$AE424=1),"",IFERROR(INDEX($AC$6:$AC$1505,MATCH($C424&amp;"|"&amp;$A424&amp;"|"&amp;($AE424-1),$AH$6:$AH$1505,0)),""))</f>
        <v/>
      </c>
      <c r="AJ424" s="32">
        <f>IF(OR($AI424="",$AC424=""),"",IF($AI424=$AC424,"ללא שינוי","מ-"&amp;$AI424&amp;" ל-"&amp;$AC424))</f>
        <v/>
      </c>
      <c r="AK424" s="67" t="n"/>
    </row>
    <row r="425" ht="15.75" customHeight="1" s="58">
      <c r="A425" s="65" t="n"/>
      <c r="B425" s="65" t="n"/>
      <c r="C425" s="66" t="n"/>
      <c r="D425" s="66" t="n"/>
      <c r="E425" s="65" t="n"/>
      <c r="F425" s="65" t="n"/>
      <c r="G425" s="65" t="n"/>
      <c r="H425" s="65" t="n"/>
      <c r="I425" s="65" t="n"/>
      <c r="J425" s="65" t="n"/>
      <c r="K425" s="65" t="n"/>
      <c r="L425" s="65" t="n"/>
      <c r="M425" s="65" t="n"/>
      <c r="N425" s="65" t="n"/>
      <c r="O425" s="65" t="n"/>
      <c r="P425" s="65" t="n"/>
      <c r="Q425" s="65" t="n"/>
      <c r="R425" s="65" t="n"/>
      <c r="S425" s="65" t="n"/>
      <c r="T425" s="65" t="n"/>
      <c r="U425" s="65" t="n"/>
      <c r="V425" s="65" t="n"/>
      <c r="W425" s="65" t="n"/>
      <c r="X425" s="65" t="n"/>
      <c r="Y425" s="32">
        <f>IF($C425="","",IF(COUNTA($I425:$K425)&lt;3,"— חסרים נתונים",IF(AND($I425="תקין",$J425="תקין",$K425="תקין"),"רהוטה",IF(AND($I425="תקין",$J425="תקין"),"מדויקת ורציפה","אינה מדויקת או מקוטעת"))))</f>
        <v/>
      </c>
      <c r="Z425" s="32">
        <f>IF($C425="","",IF(COUNTA($U425:$W425)&lt;3,"",IF(AND($U425="מפותח",$V425="מפותח",$W425="מפותחת"),"מפותחת",IF((--($U425="דל"))+(--($V425="אינו מפותח"))+(--($W425="דלה"))&gt;=2,"אינה מפותחת","חלקית"))))</f>
        <v/>
      </c>
      <c r="AA425" s="32">
        <f>IF($C425="","",IF(COUNTA($M425,$N425,$O425)&lt;3,"— חסרים נתונים",IF(OR($M425="נמוכה",(--($M425&lt;&gt;"תקינה"))+(--($N425&lt;&gt;"תקין"))+(--($O425&lt;&gt;"תקינה"))&gt;=2),"ניכרת","אינה ניכרת")))</f>
        <v/>
      </c>
      <c r="AB425" s="32">
        <f>IF(OR($C425="",$Y425="",$AA425="",LEFT($Y425,1)="—",LEFT($AA425,1)="—"),"",IF($Z425="","— נדרשת הערכת כתיבה",IF($L425="","— חסרה הבנת הנקרא",IF($Y425="אינה מדויקת או מקוטעת",IF($AA425="ניכרת","מיקוד בשטף הקריאה ובכישורי שפה","מיקוד בשטף קריאה"),IF($AA425="ניכרת","מיקוד בכישורי שפה",IF(AND($L425="תקינה",$Z425="מפותחת"),"קוראים וכותבים מיומנים","מיקוד בהבנה והבעה"))))))</f>
        <v/>
      </c>
      <c r="AC425" s="32">
        <f>IF(OR($AB425="",LEFT($AB425,1)="—"),"",IF(OR($AB425="מיקוד בשטף קריאה",$AB425="מיקוד בשטף הקריאה ובכישורי שפה"),"רמה א'",IF($AB425="קוראים וכותבים מיומנים","רמה ג'","רמה ב'")))</f>
        <v/>
      </c>
      <c r="AD425" s="32">
        <f>IF($AC425="","",MID(IF(AND($AC425="רמה א'",$AA425="ניכרת"),"; להוסיף עבודת אוצר מילים","")&amp;IF($Z425="אינה מפותחת","; דגש על הבעה בכתב","")&amp;IF($K425&lt;&gt;"תקין","; נדרש לעבוד על ההנגנה","")&amp;IF($AK425&lt;&gt;"","; "&amp;$AK425,""),3,400))</f>
        <v/>
      </c>
      <c r="AE425" s="32">
        <f>IF($F425="","",IF($F425="תחילת שנה",1,IF($F425="מחצית שנה",2,3)))</f>
        <v/>
      </c>
      <c r="AF425" s="32">
        <f>IF(OR($B425="",$AC425="",$A425="",$F425=""),"",$B425&amp;"|"&amp;$A425&amp;"|"&amp;$F425&amp;"|"&amp;$AC425&amp;"|"&amp;COUNTIFS($B$6:$B425,$B425,$A$6:$A425,$A425,$F$6:$F425,$F425,$AC$6:$AC425,$AC425))</f>
        <v/>
      </c>
      <c r="AG425" s="32">
        <f>IF($C425="","",$C425&amp;"|"&amp;COUNTIFS($C$6:$C425,$C425))</f>
        <v/>
      </c>
      <c r="AH425" s="32">
        <f>IF(OR($C425="",$A425="",$AE425=""),"",$C425&amp;"|"&amp;$A425&amp;"|"&amp;$AE425)</f>
        <v/>
      </c>
      <c r="AI425" s="32">
        <f>IF(OR($C425="",$AE425="",$AE425=1),"",IFERROR(INDEX($AC$6:$AC$1505,MATCH($C425&amp;"|"&amp;$A425&amp;"|"&amp;($AE425-1),$AH$6:$AH$1505,0)),""))</f>
        <v/>
      </c>
      <c r="AJ425" s="32">
        <f>IF(OR($AI425="",$AC425=""),"",IF($AI425=$AC425,"ללא שינוי","מ-"&amp;$AI425&amp;" ל-"&amp;$AC425))</f>
        <v/>
      </c>
      <c r="AK425" s="67" t="n"/>
    </row>
    <row r="426" ht="15.75" customHeight="1" s="58">
      <c r="A426" s="65" t="n"/>
      <c r="B426" s="65" t="n"/>
      <c r="C426" s="66" t="n"/>
      <c r="D426" s="66" t="n"/>
      <c r="E426" s="65" t="n"/>
      <c r="F426" s="65" t="n"/>
      <c r="G426" s="65" t="n"/>
      <c r="H426" s="65" t="n"/>
      <c r="I426" s="65" t="n"/>
      <c r="J426" s="65" t="n"/>
      <c r="K426" s="65" t="n"/>
      <c r="L426" s="65" t="n"/>
      <c r="M426" s="65" t="n"/>
      <c r="N426" s="65" t="n"/>
      <c r="O426" s="65" t="n"/>
      <c r="P426" s="65" t="n"/>
      <c r="Q426" s="65" t="n"/>
      <c r="R426" s="65" t="n"/>
      <c r="S426" s="65" t="n"/>
      <c r="T426" s="65" t="n"/>
      <c r="U426" s="65" t="n"/>
      <c r="V426" s="65" t="n"/>
      <c r="W426" s="65" t="n"/>
      <c r="X426" s="65" t="n"/>
      <c r="Y426" s="32">
        <f>IF($C426="","",IF(COUNTA($I426:$K426)&lt;3,"— חסרים נתונים",IF(AND($I426="תקין",$J426="תקין",$K426="תקין"),"רהוטה",IF(AND($I426="תקין",$J426="תקין"),"מדויקת ורציפה","אינה מדויקת או מקוטעת"))))</f>
        <v/>
      </c>
      <c r="Z426" s="32">
        <f>IF($C426="","",IF(COUNTA($U426:$W426)&lt;3,"",IF(AND($U426="מפותח",$V426="מפותח",$W426="מפותחת"),"מפותחת",IF((--($U426="דל"))+(--($V426="אינו מפותח"))+(--($W426="דלה"))&gt;=2,"אינה מפותחת","חלקית"))))</f>
        <v/>
      </c>
      <c r="AA426" s="32">
        <f>IF($C426="","",IF(COUNTA($M426,$N426,$O426)&lt;3,"— חסרים נתונים",IF(OR($M426="נמוכה",(--($M426&lt;&gt;"תקינה"))+(--($N426&lt;&gt;"תקין"))+(--($O426&lt;&gt;"תקינה"))&gt;=2),"ניכרת","אינה ניכרת")))</f>
        <v/>
      </c>
      <c r="AB426" s="32">
        <f>IF(OR($C426="",$Y426="",$AA426="",LEFT($Y426,1)="—",LEFT($AA426,1)="—"),"",IF($Z426="","— נדרשת הערכת כתיבה",IF($L426="","— חסרה הבנת הנקרא",IF($Y426="אינה מדויקת או מקוטעת",IF($AA426="ניכרת","מיקוד בשטף הקריאה ובכישורי שפה","מיקוד בשטף קריאה"),IF($AA426="ניכרת","מיקוד בכישורי שפה",IF(AND($L426="תקינה",$Z426="מפותחת"),"קוראים וכותבים מיומנים","מיקוד בהבנה והבעה"))))))</f>
        <v/>
      </c>
      <c r="AC426" s="32">
        <f>IF(OR($AB426="",LEFT($AB426,1)="—"),"",IF(OR($AB426="מיקוד בשטף קריאה",$AB426="מיקוד בשטף הקריאה ובכישורי שפה"),"רמה א'",IF($AB426="קוראים וכותבים מיומנים","רמה ג'","רמה ב'")))</f>
        <v/>
      </c>
      <c r="AD426" s="32">
        <f>IF($AC426="","",MID(IF(AND($AC426="רמה א'",$AA426="ניכרת"),"; להוסיף עבודת אוצר מילים","")&amp;IF($Z426="אינה מפותחת","; דגש על הבעה בכתב","")&amp;IF($K426&lt;&gt;"תקין","; נדרש לעבוד על ההנגנה","")&amp;IF($AK426&lt;&gt;"","; "&amp;$AK426,""),3,400))</f>
        <v/>
      </c>
      <c r="AE426" s="32">
        <f>IF($F426="","",IF($F426="תחילת שנה",1,IF($F426="מחצית שנה",2,3)))</f>
        <v/>
      </c>
      <c r="AF426" s="32">
        <f>IF(OR($B426="",$AC426="",$A426="",$F426=""),"",$B426&amp;"|"&amp;$A426&amp;"|"&amp;$F426&amp;"|"&amp;$AC426&amp;"|"&amp;COUNTIFS($B$6:$B426,$B426,$A$6:$A426,$A426,$F$6:$F426,$F426,$AC$6:$AC426,$AC426))</f>
        <v/>
      </c>
      <c r="AG426" s="32">
        <f>IF($C426="","",$C426&amp;"|"&amp;COUNTIFS($C$6:$C426,$C426))</f>
        <v/>
      </c>
      <c r="AH426" s="32">
        <f>IF(OR($C426="",$A426="",$AE426=""),"",$C426&amp;"|"&amp;$A426&amp;"|"&amp;$AE426)</f>
        <v/>
      </c>
      <c r="AI426" s="32">
        <f>IF(OR($C426="",$AE426="",$AE426=1),"",IFERROR(INDEX($AC$6:$AC$1505,MATCH($C426&amp;"|"&amp;$A426&amp;"|"&amp;($AE426-1),$AH$6:$AH$1505,0)),""))</f>
        <v/>
      </c>
      <c r="AJ426" s="32">
        <f>IF(OR($AI426="",$AC426=""),"",IF($AI426=$AC426,"ללא שינוי","מ-"&amp;$AI426&amp;" ל-"&amp;$AC426))</f>
        <v/>
      </c>
      <c r="AK426" s="67" t="n"/>
    </row>
    <row r="427" ht="15.75" customHeight="1" s="58">
      <c r="A427" s="65" t="n"/>
      <c r="B427" s="65" t="n"/>
      <c r="C427" s="66" t="n"/>
      <c r="D427" s="66" t="n"/>
      <c r="E427" s="65" t="n"/>
      <c r="F427" s="65" t="n"/>
      <c r="G427" s="65" t="n"/>
      <c r="H427" s="65" t="n"/>
      <c r="I427" s="65" t="n"/>
      <c r="J427" s="65" t="n"/>
      <c r="K427" s="65" t="n"/>
      <c r="L427" s="65" t="n"/>
      <c r="M427" s="65" t="n"/>
      <c r="N427" s="65" t="n"/>
      <c r="O427" s="65" t="n"/>
      <c r="P427" s="65" t="n"/>
      <c r="Q427" s="65" t="n"/>
      <c r="R427" s="65" t="n"/>
      <c r="S427" s="65" t="n"/>
      <c r="T427" s="65" t="n"/>
      <c r="U427" s="65" t="n"/>
      <c r="V427" s="65" t="n"/>
      <c r="W427" s="65" t="n"/>
      <c r="X427" s="65" t="n"/>
      <c r="Y427" s="32">
        <f>IF($C427="","",IF(COUNTA($I427:$K427)&lt;3,"— חסרים נתונים",IF(AND($I427="תקין",$J427="תקין",$K427="תקין"),"רהוטה",IF(AND($I427="תקין",$J427="תקין"),"מדויקת ורציפה","אינה מדויקת או מקוטעת"))))</f>
        <v/>
      </c>
      <c r="Z427" s="32">
        <f>IF($C427="","",IF(COUNTA($U427:$W427)&lt;3,"",IF(AND($U427="מפותח",$V427="מפותח",$W427="מפותחת"),"מפותחת",IF((--($U427="דל"))+(--($V427="אינו מפותח"))+(--($W427="דלה"))&gt;=2,"אינה מפותחת","חלקית"))))</f>
        <v/>
      </c>
      <c r="AA427" s="32">
        <f>IF($C427="","",IF(COUNTA($M427,$N427,$O427)&lt;3,"— חסרים נתונים",IF(OR($M427="נמוכה",(--($M427&lt;&gt;"תקינה"))+(--($N427&lt;&gt;"תקין"))+(--($O427&lt;&gt;"תקינה"))&gt;=2),"ניכרת","אינה ניכרת")))</f>
        <v/>
      </c>
      <c r="AB427" s="32">
        <f>IF(OR($C427="",$Y427="",$AA427="",LEFT($Y427,1)="—",LEFT($AA427,1)="—"),"",IF($Z427="","— נדרשת הערכת כתיבה",IF($L427="","— חסרה הבנת הנקרא",IF($Y427="אינה מדויקת או מקוטעת",IF($AA427="ניכרת","מיקוד בשטף הקריאה ובכישורי שפה","מיקוד בשטף קריאה"),IF($AA427="ניכרת","מיקוד בכישורי שפה",IF(AND($L427="תקינה",$Z427="מפותחת"),"קוראים וכותבים מיומנים","מיקוד בהבנה והבעה"))))))</f>
        <v/>
      </c>
      <c r="AC427" s="32">
        <f>IF(OR($AB427="",LEFT($AB427,1)="—"),"",IF(OR($AB427="מיקוד בשטף קריאה",$AB427="מיקוד בשטף הקריאה ובכישורי שפה"),"רמה א'",IF($AB427="קוראים וכותבים מיומנים","רמה ג'","רמה ב'")))</f>
        <v/>
      </c>
      <c r="AD427" s="32">
        <f>IF($AC427="","",MID(IF(AND($AC427="רמה א'",$AA427="ניכרת"),"; להוסיף עבודת אוצר מילים","")&amp;IF($Z427="אינה מפותחת","; דגש על הבעה בכתב","")&amp;IF($K427&lt;&gt;"תקין","; נדרש לעבוד על ההנגנה","")&amp;IF($AK427&lt;&gt;"","; "&amp;$AK427,""),3,400))</f>
        <v/>
      </c>
      <c r="AE427" s="32">
        <f>IF($F427="","",IF($F427="תחילת שנה",1,IF($F427="מחצית שנה",2,3)))</f>
        <v/>
      </c>
      <c r="AF427" s="32">
        <f>IF(OR($B427="",$AC427="",$A427="",$F427=""),"",$B427&amp;"|"&amp;$A427&amp;"|"&amp;$F427&amp;"|"&amp;$AC427&amp;"|"&amp;COUNTIFS($B$6:$B427,$B427,$A$6:$A427,$A427,$F$6:$F427,$F427,$AC$6:$AC427,$AC427))</f>
        <v/>
      </c>
      <c r="AG427" s="32">
        <f>IF($C427="","",$C427&amp;"|"&amp;COUNTIFS($C$6:$C427,$C427))</f>
        <v/>
      </c>
      <c r="AH427" s="32">
        <f>IF(OR($C427="",$A427="",$AE427=""),"",$C427&amp;"|"&amp;$A427&amp;"|"&amp;$AE427)</f>
        <v/>
      </c>
      <c r="AI427" s="32">
        <f>IF(OR($C427="",$AE427="",$AE427=1),"",IFERROR(INDEX($AC$6:$AC$1505,MATCH($C427&amp;"|"&amp;$A427&amp;"|"&amp;($AE427-1),$AH$6:$AH$1505,0)),""))</f>
        <v/>
      </c>
      <c r="AJ427" s="32">
        <f>IF(OR($AI427="",$AC427=""),"",IF($AI427=$AC427,"ללא שינוי","מ-"&amp;$AI427&amp;" ל-"&amp;$AC427))</f>
        <v/>
      </c>
      <c r="AK427" s="67" t="n"/>
    </row>
    <row r="428" ht="15.75" customHeight="1" s="58">
      <c r="A428" s="65" t="n"/>
      <c r="B428" s="65" t="n"/>
      <c r="C428" s="66" t="n"/>
      <c r="D428" s="66" t="n"/>
      <c r="E428" s="65" t="n"/>
      <c r="F428" s="65" t="n"/>
      <c r="G428" s="65" t="n"/>
      <c r="H428" s="65" t="n"/>
      <c r="I428" s="65" t="n"/>
      <c r="J428" s="65" t="n"/>
      <c r="K428" s="65" t="n"/>
      <c r="L428" s="65" t="n"/>
      <c r="M428" s="65" t="n"/>
      <c r="N428" s="65" t="n"/>
      <c r="O428" s="65" t="n"/>
      <c r="P428" s="65" t="n"/>
      <c r="Q428" s="65" t="n"/>
      <c r="R428" s="65" t="n"/>
      <c r="S428" s="65" t="n"/>
      <c r="T428" s="65" t="n"/>
      <c r="U428" s="65" t="n"/>
      <c r="V428" s="65" t="n"/>
      <c r="W428" s="65" t="n"/>
      <c r="X428" s="65" t="n"/>
      <c r="Y428" s="32">
        <f>IF($C428="","",IF(COUNTA($I428:$K428)&lt;3,"— חסרים נתונים",IF(AND($I428="תקין",$J428="תקין",$K428="תקין"),"רהוטה",IF(AND($I428="תקין",$J428="תקין"),"מדויקת ורציפה","אינה מדויקת או מקוטעת"))))</f>
        <v/>
      </c>
      <c r="Z428" s="32">
        <f>IF($C428="","",IF(COUNTA($U428:$W428)&lt;3,"",IF(AND($U428="מפותח",$V428="מפותח",$W428="מפותחת"),"מפותחת",IF((--($U428="דל"))+(--($V428="אינו מפותח"))+(--($W428="דלה"))&gt;=2,"אינה מפותחת","חלקית"))))</f>
        <v/>
      </c>
      <c r="AA428" s="32">
        <f>IF($C428="","",IF(COUNTA($M428,$N428,$O428)&lt;3,"— חסרים נתונים",IF(OR($M428="נמוכה",(--($M428&lt;&gt;"תקינה"))+(--($N428&lt;&gt;"תקין"))+(--($O428&lt;&gt;"תקינה"))&gt;=2),"ניכרת","אינה ניכרת")))</f>
        <v/>
      </c>
      <c r="AB428" s="32">
        <f>IF(OR($C428="",$Y428="",$AA428="",LEFT($Y428,1)="—",LEFT($AA428,1)="—"),"",IF($Z428="","— נדרשת הערכת כתיבה",IF($L428="","— חסרה הבנת הנקרא",IF($Y428="אינה מדויקת או מקוטעת",IF($AA428="ניכרת","מיקוד בשטף הקריאה ובכישורי שפה","מיקוד בשטף קריאה"),IF($AA428="ניכרת","מיקוד בכישורי שפה",IF(AND($L428="תקינה",$Z428="מפותחת"),"קוראים וכותבים מיומנים","מיקוד בהבנה והבעה"))))))</f>
        <v/>
      </c>
      <c r="AC428" s="32">
        <f>IF(OR($AB428="",LEFT($AB428,1)="—"),"",IF(OR($AB428="מיקוד בשטף קריאה",$AB428="מיקוד בשטף הקריאה ובכישורי שפה"),"רמה א'",IF($AB428="קוראים וכותבים מיומנים","רמה ג'","רמה ב'")))</f>
        <v/>
      </c>
      <c r="AD428" s="32">
        <f>IF($AC428="","",MID(IF(AND($AC428="רמה א'",$AA428="ניכרת"),"; להוסיף עבודת אוצר מילים","")&amp;IF($Z428="אינה מפותחת","; דגש על הבעה בכתב","")&amp;IF($K428&lt;&gt;"תקין","; נדרש לעבוד על ההנגנה","")&amp;IF($AK428&lt;&gt;"","; "&amp;$AK428,""),3,400))</f>
        <v/>
      </c>
      <c r="AE428" s="32">
        <f>IF($F428="","",IF($F428="תחילת שנה",1,IF($F428="מחצית שנה",2,3)))</f>
        <v/>
      </c>
      <c r="AF428" s="32">
        <f>IF(OR($B428="",$AC428="",$A428="",$F428=""),"",$B428&amp;"|"&amp;$A428&amp;"|"&amp;$F428&amp;"|"&amp;$AC428&amp;"|"&amp;COUNTIFS($B$6:$B428,$B428,$A$6:$A428,$A428,$F$6:$F428,$F428,$AC$6:$AC428,$AC428))</f>
        <v/>
      </c>
      <c r="AG428" s="32">
        <f>IF($C428="","",$C428&amp;"|"&amp;COUNTIFS($C$6:$C428,$C428))</f>
        <v/>
      </c>
      <c r="AH428" s="32">
        <f>IF(OR($C428="",$A428="",$AE428=""),"",$C428&amp;"|"&amp;$A428&amp;"|"&amp;$AE428)</f>
        <v/>
      </c>
      <c r="AI428" s="32">
        <f>IF(OR($C428="",$AE428="",$AE428=1),"",IFERROR(INDEX($AC$6:$AC$1505,MATCH($C428&amp;"|"&amp;$A428&amp;"|"&amp;($AE428-1),$AH$6:$AH$1505,0)),""))</f>
        <v/>
      </c>
      <c r="AJ428" s="32">
        <f>IF(OR($AI428="",$AC428=""),"",IF($AI428=$AC428,"ללא שינוי","מ-"&amp;$AI428&amp;" ל-"&amp;$AC428))</f>
        <v/>
      </c>
      <c r="AK428" s="67" t="n"/>
    </row>
    <row r="429" ht="15.75" customHeight="1" s="58">
      <c r="A429" s="65" t="n"/>
      <c r="B429" s="65" t="n"/>
      <c r="C429" s="66" t="n"/>
      <c r="D429" s="66" t="n"/>
      <c r="E429" s="65" t="n"/>
      <c r="F429" s="65" t="n"/>
      <c r="G429" s="65" t="n"/>
      <c r="H429" s="65" t="n"/>
      <c r="I429" s="65" t="n"/>
      <c r="J429" s="65" t="n"/>
      <c r="K429" s="65" t="n"/>
      <c r="L429" s="65" t="n"/>
      <c r="M429" s="65" t="n"/>
      <c r="N429" s="65" t="n"/>
      <c r="O429" s="65" t="n"/>
      <c r="P429" s="65" t="n"/>
      <c r="Q429" s="65" t="n"/>
      <c r="R429" s="65" t="n"/>
      <c r="S429" s="65" t="n"/>
      <c r="T429" s="65" t="n"/>
      <c r="U429" s="65" t="n"/>
      <c r="V429" s="65" t="n"/>
      <c r="W429" s="65" t="n"/>
      <c r="X429" s="65" t="n"/>
      <c r="Y429" s="32">
        <f>IF($C429="","",IF(COUNTA($I429:$K429)&lt;3,"— חסרים נתונים",IF(AND($I429="תקין",$J429="תקין",$K429="תקין"),"רהוטה",IF(AND($I429="תקין",$J429="תקין"),"מדויקת ורציפה","אינה מדויקת או מקוטעת"))))</f>
        <v/>
      </c>
      <c r="Z429" s="32">
        <f>IF($C429="","",IF(COUNTA($U429:$W429)&lt;3,"",IF(AND($U429="מפותח",$V429="מפותח",$W429="מפותחת"),"מפותחת",IF((--($U429="דל"))+(--($V429="אינו מפותח"))+(--($W429="דלה"))&gt;=2,"אינה מפותחת","חלקית"))))</f>
        <v/>
      </c>
      <c r="AA429" s="32">
        <f>IF($C429="","",IF(COUNTA($M429,$N429,$O429)&lt;3,"— חסרים נתונים",IF(OR($M429="נמוכה",(--($M429&lt;&gt;"תקינה"))+(--($N429&lt;&gt;"תקין"))+(--($O429&lt;&gt;"תקינה"))&gt;=2),"ניכרת","אינה ניכרת")))</f>
        <v/>
      </c>
      <c r="AB429" s="32">
        <f>IF(OR($C429="",$Y429="",$AA429="",LEFT($Y429,1)="—",LEFT($AA429,1)="—"),"",IF($Z429="","— נדרשת הערכת כתיבה",IF($L429="","— חסרה הבנת הנקרא",IF($Y429="אינה מדויקת או מקוטעת",IF($AA429="ניכרת","מיקוד בשטף הקריאה ובכישורי שפה","מיקוד בשטף קריאה"),IF($AA429="ניכרת","מיקוד בכישורי שפה",IF(AND($L429="תקינה",$Z429="מפותחת"),"קוראים וכותבים מיומנים","מיקוד בהבנה והבעה"))))))</f>
        <v/>
      </c>
      <c r="AC429" s="32">
        <f>IF(OR($AB429="",LEFT($AB429,1)="—"),"",IF(OR($AB429="מיקוד בשטף קריאה",$AB429="מיקוד בשטף הקריאה ובכישורי שפה"),"רמה א'",IF($AB429="קוראים וכותבים מיומנים","רמה ג'","רמה ב'")))</f>
        <v/>
      </c>
      <c r="AD429" s="32">
        <f>IF($AC429="","",MID(IF(AND($AC429="רמה א'",$AA429="ניכרת"),"; להוסיף עבודת אוצר מילים","")&amp;IF($Z429="אינה מפותחת","; דגש על הבעה בכתב","")&amp;IF($K429&lt;&gt;"תקין","; נדרש לעבוד על ההנגנה","")&amp;IF($AK429&lt;&gt;"","; "&amp;$AK429,""),3,400))</f>
        <v/>
      </c>
      <c r="AE429" s="32">
        <f>IF($F429="","",IF($F429="תחילת שנה",1,IF($F429="מחצית שנה",2,3)))</f>
        <v/>
      </c>
      <c r="AF429" s="32">
        <f>IF(OR($B429="",$AC429="",$A429="",$F429=""),"",$B429&amp;"|"&amp;$A429&amp;"|"&amp;$F429&amp;"|"&amp;$AC429&amp;"|"&amp;COUNTIFS($B$6:$B429,$B429,$A$6:$A429,$A429,$F$6:$F429,$F429,$AC$6:$AC429,$AC429))</f>
        <v/>
      </c>
      <c r="AG429" s="32">
        <f>IF($C429="","",$C429&amp;"|"&amp;COUNTIFS($C$6:$C429,$C429))</f>
        <v/>
      </c>
      <c r="AH429" s="32">
        <f>IF(OR($C429="",$A429="",$AE429=""),"",$C429&amp;"|"&amp;$A429&amp;"|"&amp;$AE429)</f>
        <v/>
      </c>
      <c r="AI429" s="32">
        <f>IF(OR($C429="",$AE429="",$AE429=1),"",IFERROR(INDEX($AC$6:$AC$1505,MATCH($C429&amp;"|"&amp;$A429&amp;"|"&amp;($AE429-1),$AH$6:$AH$1505,0)),""))</f>
        <v/>
      </c>
      <c r="AJ429" s="32">
        <f>IF(OR($AI429="",$AC429=""),"",IF($AI429=$AC429,"ללא שינוי","מ-"&amp;$AI429&amp;" ל-"&amp;$AC429))</f>
        <v/>
      </c>
      <c r="AK429" s="67" t="n"/>
    </row>
    <row r="430" ht="15.75" customHeight="1" s="58">
      <c r="A430" s="65" t="n"/>
      <c r="B430" s="65" t="n"/>
      <c r="C430" s="66" t="n"/>
      <c r="D430" s="66" t="n"/>
      <c r="E430" s="65" t="n"/>
      <c r="F430" s="65" t="n"/>
      <c r="G430" s="65" t="n"/>
      <c r="H430" s="65" t="n"/>
      <c r="I430" s="65" t="n"/>
      <c r="J430" s="65" t="n"/>
      <c r="K430" s="65" t="n"/>
      <c r="L430" s="65" t="n"/>
      <c r="M430" s="65" t="n"/>
      <c r="N430" s="65" t="n"/>
      <c r="O430" s="65" t="n"/>
      <c r="P430" s="65" t="n"/>
      <c r="Q430" s="65" t="n"/>
      <c r="R430" s="65" t="n"/>
      <c r="S430" s="65" t="n"/>
      <c r="T430" s="65" t="n"/>
      <c r="U430" s="65" t="n"/>
      <c r="V430" s="65" t="n"/>
      <c r="W430" s="65" t="n"/>
      <c r="X430" s="65" t="n"/>
      <c r="Y430" s="32">
        <f>IF($C430="","",IF(COUNTA($I430:$K430)&lt;3,"— חסרים נתונים",IF(AND($I430="תקין",$J430="תקין",$K430="תקין"),"רהוטה",IF(AND($I430="תקין",$J430="תקין"),"מדויקת ורציפה","אינה מדויקת או מקוטעת"))))</f>
        <v/>
      </c>
      <c r="Z430" s="32">
        <f>IF($C430="","",IF(COUNTA($U430:$W430)&lt;3,"",IF(AND($U430="מפותח",$V430="מפותח",$W430="מפותחת"),"מפותחת",IF((--($U430="דל"))+(--($V430="אינו מפותח"))+(--($W430="דלה"))&gt;=2,"אינה מפותחת","חלקית"))))</f>
        <v/>
      </c>
      <c r="AA430" s="32">
        <f>IF($C430="","",IF(COUNTA($M430,$N430,$O430)&lt;3,"— חסרים נתונים",IF(OR($M430="נמוכה",(--($M430&lt;&gt;"תקינה"))+(--($N430&lt;&gt;"תקין"))+(--($O430&lt;&gt;"תקינה"))&gt;=2),"ניכרת","אינה ניכרת")))</f>
        <v/>
      </c>
      <c r="AB430" s="32">
        <f>IF(OR($C430="",$Y430="",$AA430="",LEFT($Y430,1)="—",LEFT($AA430,1)="—"),"",IF($Z430="","— נדרשת הערכת כתיבה",IF($L430="","— חסרה הבנת הנקרא",IF($Y430="אינה מדויקת או מקוטעת",IF($AA430="ניכרת","מיקוד בשטף הקריאה ובכישורי שפה","מיקוד בשטף קריאה"),IF($AA430="ניכרת","מיקוד בכישורי שפה",IF(AND($L430="תקינה",$Z430="מפותחת"),"קוראים וכותבים מיומנים","מיקוד בהבנה והבעה"))))))</f>
        <v/>
      </c>
      <c r="AC430" s="32">
        <f>IF(OR($AB430="",LEFT($AB430,1)="—"),"",IF(OR($AB430="מיקוד בשטף קריאה",$AB430="מיקוד בשטף הקריאה ובכישורי שפה"),"רמה א'",IF($AB430="קוראים וכותבים מיומנים","רמה ג'","רמה ב'")))</f>
        <v/>
      </c>
      <c r="AD430" s="32">
        <f>IF($AC430="","",MID(IF(AND($AC430="רמה א'",$AA430="ניכרת"),"; להוסיף עבודת אוצר מילים","")&amp;IF($Z430="אינה מפותחת","; דגש על הבעה בכתב","")&amp;IF($K430&lt;&gt;"תקין","; נדרש לעבוד על ההנגנה","")&amp;IF($AK430&lt;&gt;"","; "&amp;$AK430,""),3,400))</f>
        <v/>
      </c>
      <c r="AE430" s="32">
        <f>IF($F430="","",IF($F430="תחילת שנה",1,IF($F430="מחצית שנה",2,3)))</f>
        <v/>
      </c>
      <c r="AF430" s="32">
        <f>IF(OR($B430="",$AC430="",$A430="",$F430=""),"",$B430&amp;"|"&amp;$A430&amp;"|"&amp;$F430&amp;"|"&amp;$AC430&amp;"|"&amp;COUNTIFS($B$6:$B430,$B430,$A$6:$A430,$A430,$F$6:$F430,$F430,$AC$6:$AC430,$AC430))</f>
        <v/>
      </c>
      <c r="AG430" s="32">
        <f>IF($C430="","",$C430&amp;"|"&amp;COUNTIFS($C$6:$C430,$C430))</f>
        <v/>
      </c>
      <c r="AH430" s="32">
        <f>IF(OR($C430="",$A430="",$AE430=""),"",$C430&amp;"|"&amp;$A430&amp;"|"&amp;$AE430)</f>
        <v/>
      </c>
      <c r="AI430" s="32">
        <f>IF(OR($C430="",$AE430="",$AE430=1),"",IFERROR(INDEX($AC$6:$AC$1505,MATCH($C430&amp;"|"&amp;$A430&amp;"|"&amp;($AE430-1),$AH$6:$AH$1505,0)),""))</f>
        <v/>
      </c>
      <c r="AJ430" s="32">
        <f>IF(OR($AI430="",$AC430=""),"",IF($AI430=$AC430,"ללא שינוי","מ-"&amp;$AI430&amp;" ל-"&amp;$AC430))</f>
        <v/>
      </c>
      <c r="AK430" s="67" t="n"/>
    </row>
    <row r="431" ht="15.75" customHeight="1" s="58">
      <c r="A431" s="65" t="n"/>
      <c r="B431" s="65" t="n"/>
      <c r="C431" s="66" t="n"/>
      <c r="D431" s="66" t="n"/>
      <c r="E431" s="65" t="n"/>
      <c r="F431" s="65" t="n"/>
      <c r="G431" s="65" t="n"/>
      <c r="H431" s="65" t="n"/>
      <c r="I431" s="65" t="n"/>
      <c r="J431" s="65" t="n"/>
      <c r="K431" s="65" t="n"/>
      <c r="L431" s="65" t="n"/>
      <c r="M431" s="65" t="n"/>
      <c r="N431" s="65" t="n"/>
      <c r="O431" s="65" t="n"/>
      <c r="P431" s="65" t="n"/>
      <c r="Q431" s="65" t="n"/>
      <c r="R431" s="65" t="n"/>
      <c r="S431" s="65" t="n"/>
      <c r="T431" s="65" t="n"/>
      <c r="U431" s="65" t="n"/>
      <c r="V431" s="65" t="n"/>
      <c r="W431" s="65" t="n"/>
      <c r="X431" s="65" t="n"/>
      <c r="Y431" s="32">
        <f>IF($C431="","",IF(COUNTA($I431:$K431)&lt;3,"— חסרים נתונים",IF(AND($I431="תקין",$J431="תקין",$K431="תקין"),"רהוטה",IF(AND($I431="תקין",$J431="תקין"),"מדויקת ורציפה","אינה מדויקת או מקוטעת"))))</f>
        <v/>
      </c>
      <c r="Z431" s="32">
        <f>IF($C431="","",IF(COUNTA($U431:$W431)&lt;3,"",IF(AND($U431="מפותח",$V431="מפותח",$W431="מפותחת"),"מפותחת",IF((--($U431="דל"))+(--($V431="אינו מפותח"))+(--($W431="דלה"))&gt;=2,"אינה מפותחת","חלקית"))))</f>
        <v/>
      </c>
      <c r="AA431" s="32">
        <f>IF($C431="","",IF(COUNTA($M431,$N431,$O431)&lt;3,"— חסרים נתונים",IF(OR($M431="נמוכה",(--($M431&lt;&gt;"תקינה"))+(--($N431&lt;&gt;"תקין"))+(--($O431&lt;&gt;"תקינה"))&gt;=2),"ניכרת","אינה ניכרת")))</f>
        <v/>
      </c>
      <c r="AB431" s="32">
        <f>IF(OR($C431="",$Y431="",$AA431="",LEFT($Y431,1)="—",LEFT($AA431,1)="—"),"",IF($Z431="","— נדרשת הערכת כתיבה",IF($L431="","— חסרה הבנת הנקרא",IF($Y431="אינה מדויקת או מקוטעת",IF($AA431="ניכרת","מיקוד בשטף הקריאה ובכישורי שפה","מיקוד בשטף קריאה"),IF($AA431="ניכרת","מיקוד בכישורי שפה",IF(AND($L431="תקינה",$Z431="מפותחת"),"קוראים וכותבים מיומנים","מיקוד בהבנה והבעה"))))))</f>
        <v/>
      </c>
      <c r="AC431" s="32">
        <f>IF(OR($AB431="",LEFT($AB431,1)="—"),"",IF(OR($AB431="מיקוד בשטף קריאה",$AB431="מיקוד בשטף הקריאה ובכישורי שפה"),"רמה א'",IF($AB431="קוראים וכותבים מיומנים","רמה ג'","רמה ב'")))</f>
        <v/>
      </c>
      <c r="AD431" s="32">
        <f>IF($AC431="","",MID(IF(AND($AC431="רמה א'",$AA431="ניכרת"),"; להוסיף עבודת אוצר מילים","")&amp;IF($Z431="אינה מפותחת","; דגש על הבעה בכתב","")&amp;IF($K431&lt;&gt;"תקין","; נדרש לעבוד על ההנגנה","")&amp;IF($AK431&lt;&gt;"","; "&amp;$AK431,""),3,400))</f>
        <v/>
      </c>
      <c r="AE431" s="32">
        <f>IF($F431="","",IF($F431="תחילת שנה",1,IF($F431="מחצית שנה",2,3)))</f>
        <v/>
      </c>
      <c r="AF431" s="32">
        <f>IF(OR($B431="",$AC431="",$A431="",$F431=""),"",$B431&amp;"|"&amp;$A431&amp;"|"&amp;$F431&amp;"|"&amp;$AC431&amp;"|"&amp;COUNTIFS($B$6:$B431,$B431,$A$6:$A431,$A431,$F$6:$F431,$F431,$AC$6:$AC431,$AC431))</f>
        <v/>
      </c>
      <c r="AG431" s="32">
        <f>IF($C431="","",$C431&amp;"|"&amp;COUNTIFS($C$6:$C431,$C431))</f>
        <v/>
      </c>
      <c r="AH431" s="32">
        <f>IF(OR($C431="",$A431="",$AE431=""),"",$C431&amp;"|"&amp;$A431&amp;"|"&amp;$AE431)</f>
        <v/>
      </c>
      <c r="AI431" s="32">
        <f>IF(OR($C431="",$AE431="",$AE431=1),"",IFERROR(INDEX($AC$6:$AC$1505,MATCH($C431&amp;"|"&amp;$A431&amp;"|"&amp;($AE431-1),$AH$6:$AH$1505,0)),""))</f>
        <v/>
      </c>
      <c r="AJ431" s="32">
        <f>IF(OR($AI431="",$AC431=""),"",IF($AI431=$AC431,"ללא שינוי","מ-"&amp;$AI431&amp;" ל-"&amp;$AC431))</f>
        <v/>
      </c>
      <c r="AK431" s="67" t="n"/>
    </row>
    <row r="432" ht="15.75" customHeight="1" s="58">
      <c r="A432" s="65" t="n"/>
      <c r="B432" s="65" t="n"/>
      <c r="C432" s="66" t="n"/>
      <c r="D432" s="66" t="n"/>
      <c r="E432" s="65" t="n"/>
      <c r="F432" s="65" t="n"/>
      <c r="G432" s="65" t="n"/>
      <c r="H432" s="65" t="n"/>
      <c r="I432" s="65" t="n"/>
      <c r="J432" s="65" t="n"/>
      <c r="K432" s="65" t="n"/>
      <c r="L432" s="65" t="n"/>
      <c r="M432" s="65" t="n"/>
      <c r="N432" s="65" t="n"/>
      <c r="O432" s="65" t="n"/>
      <c r="P432" s="65" t="n"/>
      <c r="Q432" s="65" t="n"/>
      <c r="R432" s="65" t="n"/>
      <c r="S432" s="65" t="n"/>
      <c r="T432" s="65" t="n"/>
      <c r="U432" s="65" t="n"/>
      <c r="V432" s="65" t="n"/>
      <c r="W432" s="65" t="n"/>
      <c r="X432" s="65" t="n"/>
      <c r="Y432" s="32">
        <f>IF($C432="","",IF(COUNTA($I432:$K432)&lt;3,"— חסרים נתונים",IF(AND($I432="תקין",$J432="תקין",$K432="תקין"),"רהוטה",IF(AND($I432="תקין",$J432="תקין"),"מדויקת ורציפה","אינה מדויקת או מקוטעת"))))</f>
        <v/>
      </c>
      <c r="Z432" s="32">
        <f>IF($C432="","",IF(COUNTA($U432:$W432)&lt;3,"",IF(AND($U432="מפותח",$V432="מפותח",$W432="מפותחת"),"מפותחת",IF((--($U432="דל"))+(--($V432="אינו מפותח"))+(--($W432="דלה"))&gt;=2,"אינה מפותחת","חלקית"))))</f>
        <v/>
      </c>
      <c r="AA432" s="32">
        <f>IF($C432="","",IF(COUNTA($M432,$N432,$O432)&lt;3,"— חסרים נתונים",IF(OR($M432="נמוכה",(--($M432&lt;&gt;"תקינה"))+(--($N432&lt;&gt;"תקין"))+(--($O432&lt;&gt;"תקינה"))&gt;=2),"ניכרת","אינה ניכרת")))</f>
        <v/>
      </c>
      <c r="AB432" s="32">
        <f>IF(OR($C432="",$Y432="",$AA432="",LEFT($Y432,1)="—",LEFT($AA432,1)="—"),"",IF($Z432="","— נדרשת הערכת כתיבה",IF($L432="","— חסרה הבנת הנקרא",IF($Y432="אינה מדויקת או מקוטעת",IF($AA432="ניכרת","מיקוד בשטף הקריאה ובכישורי שפה","מיקוד בשטף קריאה"),IF($AA432="ניכרת","מיקוד בכישורי שפה",IF(AND($L432="תקינה",$Z432="מפותחת"),"קוראים וכותבים מיומנים","מיקוד בהבנה והבעה"))))))</f>
        <v/>
      </c>
      <c r="AC432" s="32">
        <f>IF(OR($AB432="",LEFT($AB432,1)="—"),"",IF(OR($AB432="מיקוד בשטף קריאה",$AB432="מיקוד בשטף הקריאה ובכישורי שפה"),"רמה א'",IF($AB432="קוראים וכותבים מיומנים","רמה ג'","רמה ב'")))</f>
        <v/>
      </c>
      <c r="AD432" s="32">
        <f>IF($AC432="","",MID(IF(AND($AC432="רמה א'",$AA432="ניכרת"),"; להוסיף עבודת אוצר מילים","")&amp;IF($Z432="אינה מפותחת","; דגש על הבעה בכתב","")&amp;IF($K432&lt;&gt;"תקין","; נדרש לעבוד על ההנגנה","")&amp;IF($AK432&lt;&gt;"","; "&amp;$AK432,""),3,400))</f>
        <v/>
      </c>
      <c r="AE432" s="32">
        <f>IF($F432="","",IF($F432="תחילת שנה",1,IF($F432="מחצית שנה",2,3)))</f>
        <v/>
      </c>
      <c r="AF432" s="32">
        <f>IF(OR($B432="",$AC432="",$A432="",$F432=""),"",$B432&amp;"|"&amp;$A432&amp;"|"&amp;$F432&amp;"|"&amp;$AC432&amp;"|"&amp;COUNTIFS($B$6:$B432,$B432,$A$6:$A432,$A432,$F$6:$F432,$F432,$AC$6:$AC432,$AC432))</f>
        <v/>
      </c>
      <c r="AG432" s="32">
        <f>IF($C432="","",$C432&amp;"|"&amp;COUNTIFS($C$6:$C432,$C432))</f>
        <v/>
      </c>
      <c r="AH432" s="32">
        <f>IF(OR($C432="",$A432="",$AE432=""),"",$C432&amp;"|"&amp;$A432&amp;"|"&amp;$AE432)</f>
        <v/>
      </c>
      <c r="AI432" s="32">
        <f>IF(OR($C432="",$AE432="",$AE432=1),"",IFERROR(INDEX($AC$6:$AC$1505,MATCH($C432&amp;"|"&amp;$A432&amp;"|"&amp;($AE432-1),$AH$6:$AH$1505,0)),""))</f>
        <v/>
      </c>
      <c r="AJ432" s="32">
        <f>IF(OR($AI432="",$AC432=""),"",IF($AI432=$AC432,"ללא שינוי","מ-"&amp;$AI432&amp;" ל-"&amp;$AC432))</f>
        <v/>
      </c>
      <c r="AK432" s="67" t="n"/>
    </row>
    <row r="433" ht="15.75" customHeight="1" s="58">
      <c r="A433" s="65" t="n"/>
      <c r="B433" s="65" t="n"/>
      <c r="C433" s="66" t="n"/>
      <c r="D433" s="66" t="n"/>
      <c r="E433" s="65" t="n"/>
      <c r="F433" s="65" t="n"/>
      <c r="G433" s="65" t="n"/>
      <c r="H433" s="65" t="n"/>
      <c r="I433" s="65" t="n"/>
      <c r="J433" s="65" t="n"/>
      <c r="K433" s="65" t="n"/>
      <c r="L433" s="65" t="n"/>
      <c r="M433" s="65" t="n"/>
      <c r="N433" s="65" t="n"/>
      <c r="O433" s="65" t="n"/>
      <c r="P433" s="65" t="n"/>
      <c r="Q433" s="65" t="n"/>
      <c r="R433" s="65" t="n"/>
      <c r="S433" s="65" t="n"/>
      <c r="T433" s="65" t="n"/>
      <c r="U433" s="65" t="n"/>
      <c r="V433" s="65" t="n"/>
      <c r="W433" s="65" t="n"/>
      <c r="X433" s="65" t="n"/>
      <c r="Y433" s="32">
        <f>IF($C433="","",IF(COUNTA($I433:$K433)&lt;3,"— חסרים נתונים",IF(AND($I433="תקין",$J433="תקין",$K433="תקין"),"רהוטה",IF(AND($I433="תקין",$J433="תקין"),"מדויקת ורציפה","אינה מדויקת או מקוטעת"))))</f>
        <v/>
      </c>
      <c r="Z433" s="32">
        <f>IF($C433="","",IF(COUNTA($U433:$W433)&lt;3,"",IF(AND($U433="מפותח",$V433="מפותח",$W433="מפותחת"),"מפותחת",IF((--($U433="דל"))+(--($V433="אינו מפותח"))+(--($W433="דלה"))&gt;=2,"אינה מפותחת","חלקית"))))</f>
        <v/>
      </c>
      <c r="AA433" s="32">
        <f>IF($C433="","",IF(COUNTA($M433,$N433,$O433)&lt;3,"— חסרים נתונים",IF(OR($M433="נמוכה",(--($M433&lt;&gt;"תקינה"))+(--($N433&lt;&gt;"תקין"))+(--($O433&lt;&gt;"תקינה"))&gt;=2),"ניכרת","אינה ניכרת")))</f>
        <v/>
      </c>
      <c r="AB433" s="32">
        <f>IF(OR($C433="",$Y433="",$AA433="",LEFT($Y433,1)="—",LEFT($AA433,1)="—"),"",IF($Z433="","— נדרשת הערכת כתיבה",IF($L433="","— חסרה הבנת הנקרא",IF($Y433="אינה מדויקת או מקוטעת",IF($AA433="ניכרת","מיקוד בשטף הקריאה ובכישורי שפה","מיקוד בשטף קריאה"),IF($AA433="ניכרת","מיקוד בכישורי שפה",IF(AND($L433="תקינה",$Z433="מפותחת"),"קוראים וכותבים מיומנים","מיקוד בהבנה והבעה"))))))</f>
        <v/>
      </c>
      <c r="AC433" s="32">
        <f>IF(OR($AB433="",LEFT($AB433,1)="—"),"",IF(OR($AB433="מיקוד בשטף קריאה",$AB433="מיקוד בשטף הקריאה ובכישורי שפה"),"רמה א'",IF($AB433="קוראים וכותבים מיומנים","רמה ג'","רמה ב'")))</f>
        <v/>
      </c>
      <c r="AD433" s="32">
        <f>IF($AC433="","",MID(IF(AND($AC433="רמה א'",$AA433="ניכרת"),"; להוסיף עבודת אוצר מילים","")&amp;IF($Z433="אינה מפותחת","; דגש על הבעה בכתב","")&amp;IF($K433&lt;&gt;"תקין","; נדרש לעבוד על ההנגנה","")&amp;IF($AK433&lt;&gt;"","; "&amp;$AK433,""),3,400))</f>
        <v/>
      </c>
      <c r="AE433" s="32">
        <f>IF($F433="","",IF($F433="תחילת שנה",1,IF($F433="מחצית שנה",2,3)))</f>
        <v/>
      </c>
      <c r="AF433" s="32">
        <f>IF(OR($B433="",$AC433="",$A433="",$F433=""),"",$B433&amp;"|"&amp;$A433&amp;"|"&amp;$F433&amp;"|"&amp;$AC433&amp;"|"&amp;COUNTIFS($B$6:$B433,$B433,$A$6:$A433,$A433,$F$6:$F433,$F433,$AC$6:$AC433,$AC433))</f>
        <v/>
      </c>
      <c r="AG433" s="32">
        <f>IF($C433="","",$C433&amp;"|"&amp;COUNTIFS($C$6:$C433,$C433))</f>
        <v/>
      </c>
      <c r="AH433" s="32">
        <f>IF(OR($C433="",$A433="",$AE433=""),"",$C433&amp;"|"&amp;$A433&amp;"|"&amp;$AE433)</f>
        <v/>
      </c>
      <c r="AI433" s="32">
        <f>IF(OR($C433="",$AE433="",$AE433=1),"",IFERROR(INDEX($AC$6:$AC$1505,MATCH($C433&amp;"|"&amp;$A433&amp;"|"&amp;($AE433-1),$AH$6:$AH$1505,0)),""))</f>
        <v/>
      </c>
      <c r="AJ433" s="32">
        <f>IF(OR($AI433="",$AC433=""),"",IF($AI433=$AC433,"ללא שינוי","מ-"&amp;$AI433&amp;" ל-"&amp;$AC433))</f>
        <v/>
      </c>
      <c r="AK433" s="67" t="n"/>
    </row>
    <row r="434" ht="15.75" customHeight="1" s="58">
      <c r="A434" s="65" t="n"/>
      <c r="B434" s="65" t="n"/>
      <c r="C434" s="66" t="n"/>
      <c r="D434" s="66" t="n"/>
      <c r="E434" s="65" t="n"/>
      <c r="F434" s="65" t="n"/>
      <c r="G434" s="65" t="n"/>
      <c r="H434" s="65" t="n"/>
      <c r="I434" s="65" t="n"/>
      <c r="J434" s="65" t="n"/>
      <c r="K434" s="65" t="n"/>
      <c r="L434" s="65" t="n"/>
      <c r="M434" s="65" t="n"/>
      <c r="N434" s="65" t="n"/>
      <c r="O434" s="65" t="n"/>
      <c r="P434" s="65" t="n"/>
      <c r="Q434" s="65" t="n"/>
      <c r="R434" s="65" t="n"/>
      <c r="S434" s="65" t="n"/>
      <c r="T434" s="65" t="n"/>
      <c r="U434" s="65" t="n"/>
      <c r="V434" s="65" t="n"/>
      <c r="W434" s="65" t="n"/>
      <c r="X434" s="65" t="n"/>
      <c r="Y434" s="32">
        <f>IF($C434="","",IF(COUNTA($I434:$K434)&lt;3,"— חסרים נתונים",IF(AND($I434="תקין",$J434="תקין",$K434="תקין"),"רהוטה",IF(AND($I434="תקין",$J434="תקין"),"מדויקת ורציפה","אינה מדויקת או מקוטעת"))))</f>
        <v/>
      </c>
      <c r="Z434" s="32">
        <f>IF($C434="","",IF(COUNTA($U434:$W434)&lt;3,"",IF(AND($U434="מפותח",$V434="מפותח",$W434="מפותחת"),"מפותחת",IF((--($U434="דל"))+(--($V434="אינו מפותח"))+(--($W434="דלה"))&gt;=2,"אינה מפותחת","חלקית"))))</f>
        <v/>
      </c>
      <c r="AA434" s="32">
        <f>IF($C434="","",IF(COUNTA($M434,$N434,$O434)&lt;3,"— חסרים נתונים",IF(OR($M434="נמוכה",(--($M434&lt;&gt;"תקינה"))+(--($N434&lt;&gt;"תקין"))+(--($O434&lt;&gt;"תקינה"))&gt;=2),"ניכרת","אינה ניכרת")))</f>
        <v/>
      </c>
      <c r="AB434" s="32">
        <f>IF(OR($C434="",$Y434="",$AA434="",LEFT($Y434,1)="—",LEFT($AA434,1)="—"),"",IF($Z434="","— נדרשת הערכת כתיבה",IF($L434="","— חסרה הבנת הנקרא",IF($Y434="אינה מדויקת או מקוטעת",IF($AA434="ניכרת","מיקוד בשטף הקריאה ובכישורי שפה","מיקוד בשטף קריאה"),IF($AA434="ניכרת","מיקוד בכישורי שפה",IF(AND($L434="תקינה",$Z434="מפותחת"),"קוראים וכותבים מיומנים","מיקוד בהבנה והבעה"))))))</f>
        <v/>
      </c>
      <c r="AC434" s="32">
        <f>IF(OR($AB434="",LEFT($AB434,1)="—"),"",IF(OR($AB434="מיקוד בשטף קריאה",$AB434="מיקוד בשטף הקריאה ובכישורי שפה"),"רמה א'",IF($AB434="קוראים וכותבים מיומנים","רמה ג'","רמה ב'")))</f>
        <v/>
      </c>
      <c r="AD434" s="32">
        <f>IF($AC434="","",MID(IF(AND($AC434="רמה א'",$AA434="ניכרת"),"; להוסיף עבודת אוצר מילים","")&amp;IF($Z434="אינה מפותחת","; דגש על הבעה בכתב","")&amp;IF($K434&lt;&gt;"תקין","; נדרש לעבוד על ההנגנה","")&amp;IF($AK434&lt;&gt;"","; "&amp;$AK434,""),3,400))</f>
        <v/>
      </c>
      <c r="AE434" s="32">
        <f>IF($F434="","",IF($F434="תחילת שנה",1,IF($F434="מחצית שנה",2,3)))</f>
        <v/>
      </c>
      <c r="AF434" s="32">
        <f>IF(OR($B434="",$AC434="",$A434="",$F434=""),"",$B434&amp;"|"&amp;$A434&amp;"|"&amp;$F434&amp;"|"&amp;$AC434&amp;"|"&amp;COUNTIFS($B$6:$B434,$B434,$A$6:$A434,$A434,$F$6:$F434,$F434,$AC$6:$AC434,$AC434))</f>
        <v/>
      </c>
      <c r="AG434" s="32">
        <f>IF($C434="","",$C434&amp;"|"&amp;COUNTIFS($C$6:$C434,$C434))</f>
        <v/>
      </c>
      <c r="AH434" s="32">
        <f>IF(OR($C434="",$A434="",$AE434=""),"",$C434&amp;"|"&amp;$A434&amp;"|"&amp;$AE434)</f>
        <v/>
      </c>
      <c r="AI434" s="32">
        <f>IF(OR($C434="",$AE434="",$AE434=1),"",IFERROR(INDEX($AC$6:$AC$1505,MATCH($C434&amp;"|"&amp;$A434&amp;"|"&amp;($AE434-1),$AH$6:$AH$1505,0)),""))</f>
        <v/>
      </c>
      <c r="AJ434" s="32">
        <f>IF(OR($AI434="",$AC434=""),"",IF($AI434=$AC434,"ללא שינוי","מ-"&amp;$AI434&amp;" ל-"&amp;$AC434))</f>
        <v/>
      </c>
      <c r="AK434" s="67" t="n"/>
    </row>
    <row r="435" ht="15.75" customHeight="1" s="58">
      <c r="A435" s="65" t="n"/>
      <c r="B435" s="65" t="n"/>
      <c r="C435" s="66" t="n"/>
      <c r="D435" s="66" t="n"/>
      <c r="E435" s="65" t="n"/>
      <c r="F435" s="65" t="n"/>
      <c r="G435" s="65" t="n"/>
      <c r="H435" s="65" t="n"/>
      <c r="I435" s="65" t="n"/>
      <c r="J435" s="65" t="n"/>
      <c r="K435" s="65" t="n"/>
      <c r="L435" s="65" t="n"/>
      <c r="M435" s="65" t="n"/>
      <c r="N435" s="65" t="n"/>
      <c r="O435" s="65" t="n"/>
      <c r="P435" s="65" t="n"/>
      <c r="Q435" s="65" t="n"/>
      <c r="R435" s="65" t="n"/>
      <c r="S435" s="65" t="n"/>
      <c r="T435" s="65" t="n"/>
      <c r="U435" s="65" t="n"/>
      <c r="V435" s="65" t="n"/>
      <c r="W435" s="65" t="n"/>
      <c r="X435" s="65" t="n"/>
      <c r="Y435" s="32">
        <f>IF($C435="","",IF(COUNTA($I435:$K435)&lt;3,"— חסרים נתונים",IF(AND($I435="תקין",$J435="תקין",$K435="תקין"),"רהוטה",IF(AND($I435="תקין",$J435="תקין"),"מדויקת ורציפה","אינה מדויקת או מקוטעת"))))</f>
        <v/>
      </c>
      <c r="Z435" s="32">
        <f>IF($C435="","",IF(COUNTA($U435:$W435)&lt;3,"",IF(AND($U435="מפותח",$V435="מפותח",$W435="מפותחת"),"מפותחת",IF((--($U435="דל"))+(--($V435="אינו מפותח"))+(--($W435="דלה"))&gt;=2,"אינה מפותחת","חלקית"))))</f>
        <v/>
      </c>
      <c r="AA435" s="32">
        <f>IF($C435="","",IF(COUNTA($M435,$N435,$O435)&lt;3,"— חסרים נתונים",IF(OR($M435="נמוכה",(--($M435&lt;&gt;"תקינה"))+(--($N435&lt;&gt;"תקין"))+(--($O435&lt;&gt;"תקינה"))&gt;=2),"ניכרת","אינה ניכרת")))</f>
        <v/>
      </c>
      <c r="AB435" s="32">
        <f>IF(OR($C435="",$Y435="",$AA435="",LEFT($Y435,1)="—",LEFT($AA435,1)="—"),"",IF($Z435="","— נדרשת הערכת כתיבה",IF($L435="","— חסרה הבנת הנקרא",IF($Y435="אינה מדויקת או מקוטעת",IF($AA435="ניכרת","מיקוד בשטף הקריאה ובכישורי שפה","מיקוד בשטף קריאה"),IF($AA435="ניכרת","מיקוד בכישורי שפה",IF(AND($L435="תקינה",$Z435="מפותחת"),"קוראים וכותבים מיומנים","מיקוד בהבנה והבעה"))))))</f>
        <v/>
      </c>
      <c r="AC435" s="32">
        <f>IF(OR($AB435="",LEFT($AB435,1)="—"),"",IF(OR($AB435="מיקוד בשטף קריאה",$AB435="מיקוד בשטף הקריאה ובכישורי שפה"),"רמה א'",IF($AB435="קוראים וכותבים מיומנים","רמה ג'","רמה ב'")))</f>
        <v/>
      </c>
      <c r="AD435" s="32">
        <f>IF($AC435="","",MID(IF(AND($AC435="רמה א'",$AA435="ניכרת"),"; להוסיף עבודת אוצר מילים","")&amp;IF($Z435="אינה מפותחת","; דגש על הבעה בכתב","")&amp;IF($K435&lt;&gt;"תקין","; נדרש לעבוד על ההנגנה","")&amp;IF($AK435&lt;&gt;"","; "&amp;$AK435,""),3,400))</f>
        <v/>
      </c>
      <c r="AE435" s="32">
        <f>IF($F435="","",IF($F435="תחילת שנה",1,IF($F435="מחצית שנה",2,3)))</f>
        <v/>
      </c>
      <c r="AF435" s="32">
        <f>IF(OR($B435="",$AC435="",$A435="",$F435=""),"",$B435&amp;"|"&amp;$A435&amp;"|"&amp;$F435&amp;"|"&amp;$AC435&amp;"|"&amp;COUNTIFS($B$6:$B435,$B435,$A$6:$A435,$A435,$F$6:$F435,$F435,$AC$6:$AC435,$AC435))</f>
        <v/>
      </c>
      <c r="AG435" s="32">
        <f>IF($C435="","",$C435&amp;"|"&amp;COUNTIFS($C$6:$C435,$C435))</f>
        <v/>
      </c>
      <c r="AH435" s="32">
        <f>IF(OR($C435="",$A435="",$AE435=""),"",$C435&amp;"|"&amp;$A435&amp;"|"&amp;$AE435)</f>
        <v/>
      </c>
      <c r="AI435" s="32">
        <f>IF(OR($C435="",$AE435="",$AE435=1),"",IFERROR(INDEX($AC$6:$AC$1505,MATCH($C435&amp;"|"&amp;$A435&amp;"|"&amp;($AE435-1),$AH$6:$AH$1505,0)),""))</f>
        <v/>
      </c>
      <c r="AJ435" s="32">
        <f>IF(OR($AI435="",$AC435=""),"",IF($AI435=$AC435,"ללא שינוי","מ-"&amp;$AI435&amp;" ל-"&amp;$AC435))</f>
        <v/>
      </c>
      <c r="AK435" s="67" t="n"/>
    </row>
    <row r="436" ht="15.75" customHeight="1" s="58">
      <c r="A436" s="65" t="n"/>
      <c r="B436" s="65" t="n"/>
      <c r="C436" s="66" t="n"/>
      <c r="D436" s="66" t="n"/>
      <c r="E436" s="65" t="n"/>
      <c r="F436" s="65" t="n"/>
      <c r="G436" s="65" t="n"/>
      <c r="H436" s="65" t="n"/>
      <c r="I436" s="65" t="n"/>
      <c r="J436" s="65" t="n"/>
      <c r="K436" s="65" t="n"/>
      <c r="L436" s="65" t="n"/>
      <c r="M436" s="65" t="n"/>
      <c r="N436" s="65" t="n"/>
      <c r="O436" s="65" t="n"/>
      <c r="P436" s="65" t="n"/>
      <c r="Q436" s="65" t="n"/>
      <c r="R436" s="65" t="n"/>
      <c r="S436" s="65" t="n"/>
      <c r="T436" s="65" t="n"/>
      <c r="U436" s="65" t="n"/>
      <c r="V436" s="65" t="n"/>
      <c r="W436" s="65" t="n"/>
      <c r="X436" s="65" t="n"/>
      <c r="Y436" s="32">
        <f>IF($C436="","",IF(COUNTA($I436:$K436)&lt;3,"— חסרים נתונים",IF(AND($I436="תקין",$J436="תקין",$K436="תקין"),"רהוטה",IF(AND($I436="תקין",$J436="תקין"),"מדויקת ורציפה","אינה מדויקת או מקוטעת"))))</f>
        <v/>
      </c>
      <c r="Z436" s="32">
        <f>IF($C436="","",IF(COUNTA($U436:$W436)&lt;3,"",IF(AND($U436="מפותח",$V436="מפותח",$W436="מפותחת"),"מפותחת",IF((--($U436="דל"))+(--($V436="אינו מפותח"))+(--($W436="דלה"))&gt;=2,"אינה מפותחת","חלקית"))))</f>
        <v/>
      </c>
      <c r="AA436" s="32">
        <f>IF($C436="","",IF(COUNTA($M436,$N436,$O436)&lt;3,"— חסרים נתונים",IF(OR($M436="נמוכה",(--($M436&lt;&gt;"תקינה"))+(--($N436&lt;&gt;"תקין"))+(--($O436&lt;&gt;"תקינה"))&gt;=2),"ניכרת","אינה ניכרת")))</f>
        <v/>
      </c>
      <c r="AB436" s="32">
        <f>IF(OR($C436="",$Y436="",$AA436="",LEFT($Y436,1)="—",LEFT($AA436,1)="—"),"",IF($Z436="","— נדרשת הערכת כתיבה",IF($L436="","— חסרה הבנת הנקרא",IF($Y436="אינה מדויקת או מקוטעת",IF($AA436="ניכרת","מיקוד בשטף הקריאה ובכישורי שפה","מיקוד בשטף קריאה"),IF($AA436="ניכרת","מיקוד בכישורי שפה",IF(AND($L436="תקינה",$Z436="מפותחת"),"קוראים וכותבים מיומנים","מיקוד בהבנה והבעה"))))))</f>
        <v/>
      </c>
      <c r="AC436" s="32">
        <f>IF(OR($AB436="",LEFT($AB436,1)="—"),"",IF(OR($AB436="מיקוד בשטף קריאה",$AB436="מיקוד בשטף הקריאה ובכישורי שפה"),"רמה א'",IF($AB436="קוראים וכותבים מיומנים","רמה ג'","רמה ב'")))</f>
        <v/>
      </c>
      <c r="AD436" s="32">
        <f>IF($AC436="","",MID(IF(AND($AC436="רמה א'",$AA436="ניכרת"),"; להוסיף עבודת אוצר מילים","")&amp;IF($Z436="אינה מפותחת","; דגש על הבעה בכתב","")&amp;IF($K436&lt;&gt;"תקין","; נדרש לעבוד על ההנגנה","")&amp;IF($AK436&lt;&gt;"","; "&amp;$AK436,""),3,400))</f>
        <v/>
      </c>
      <c r="AE436" s="32">
        <f>IF($F436="","",IF($F436="תחילת שנה",1,IF($F436="מחצית שנה",2,3)))</f>
        <v/>
      </c>
      <c r="AF436" s="32">
        <f>IF(OR($B436="",$AC436="",$A436="",$F436=""),"",$B436&amp;"|"&amp;$A436&amp;"|"&amp;$F436&amp;"|"&amp;$AC436&amp;"|"&amp;COUNTIFS($B$6:$B436,$B436,$A$6:$A436,$A436,$F$6:$F436,$F436,$AC$6:$AC436,$AC436))</f>
        <v/>
      </c>
      <c r="AG436" s="32">
        <f>IF($C436="","",$C436&amp;"|"&amp;COUNTIFS($C$6:$C436,$C436))</f>
        <v/>
      </c>
      <c r="AH436" s="32">
        <f>IF(OR($C436="",$A436="",$AE436=""),"",$C436&amp;"|"&amp;$A436&amp;"|"&amp;$AE436)</f>
        <v/>
      </c>
      <c r="AI436" s="32">
        <f>IF(OR($C436="",$AE436="",$AE436=1),"",IFERROR(INDEX($AC$6:$AC$1505,MATCH($C436&amp;"|"&amp;$A436&amp;"|"&amp;($AE436-1),$AH$6:$AH$1505,0)),""))</f>
        <v/>
      </c>
      <c r="AJ436" s="32">
        <f>IF(OR($AI436="",$AC436=""),"",IF($AI436=$AC436,"ללא שינוי","מ-"&amp;$AI436&amp;" ל-"&amp;$AC436))</f>
        <v/>
      </c>
      <c r="AK436" s="67" t="n"/>
    </row>
    <row r="437" ht="15.75" customHeight="1" s="58">
      <c r="A437" s="65" t="n"/>
      <c r="B437" s="65" t="n"/>
      <c r="C437" s="66" t="n"/>
      <c r="D437" s="66" t="n"/>
      <c r="E437" s="65" t="n"/>
      <c r="F437" s="65" t="n"/>
      <c r="G437" s="65" t="n"/>
      <c r="H437" s="65" t="n"/>
      <c r="I437" s="65" t="n"/>
      <c r="J437" s="65" t="n"/>
      <c r="K437" s="65" t="n"/>
      <c r="L437" s="65" t="n"/>
      <c r="M437" s="65" t="n"/>
      <c r="N437" s="65" t="n"/>
      <c r="O437" s="65" t="n"/>
      <c r="P437" s="65" t="n"/>
      <c r="Q437" s="65" t="n"/>
      <c r="R437" s="65" t="n"/>
      <c r="S437" s="65" t="n"/>
      <c r="T437" s="65" t="n"/>
      <c r="U437" s="65" t="n"/>
      <c r="V437" s="65" t="n"/>
      <c r="W437" s="65" t="n"/>
      <c r="X437" s="65" t="n"/>
      <c r="Y437" s="32">
        <f>IF($C437="","",IF(COUNTA($I437:$K437)&lt;3,"— חסרים נתונים",IF(AND($I437="תקין",$J437="תקין",$K437="תקין"),"רהוטה",IF(AND($I437="תקין",$J437="תקין"),"מדויקת ורציפה","אינה מדויקת או מקוטעת"))))</f>
        <v/>
      </c>
      <c r="Z437" s="32">
        <f>IF($C437="","",IF(COUNTA($U437:$W437)&lt;3,"",IF(AND($U437="מפותח",$V437="מפותח",$W437="מפותחת"),"מפותחת",IF((--($U437="דל"))+(--($V437="אינו מפותח"))+(--($W437="דלה"))&gt;=2,"אינה מפותחת","חלקית"))))</f>
        <v/>
      </c>
      <c r="AA437" s="32">
        <f>IF($C437="","",IF(COUNTA($M437,$N437,$O437)&lt;3,"— חסרים נתונים",IF(OR($M437="נמוכה",(--($M437&lt;&gt;"תקינה"))+(--($N437&lt;&gt;"תקין"))+(--($O437&lt;&gt;"תקינה"))&gt;=2),"ניכרת","אינה ניכרת")))</f>
        <v/>
      </c>
      <c r="AB437" s="32">
        <f>IF(OR($C437="",$Y437="",$AA437="",LEFT($Y437,1)="—",LEFT($AA437,1)="—"),"",IF($Z437="","— נדרשת הערכת כתיבה",IF($L437="","— חסרה הבנת הנקרא",IF($Y437="אינה מדויקת או מקוטעת",IF($AA437="ניכרת","מיקוד בשטף הקריאה ובכישורי שפה","מיקוד בשטף קריאה"),IF($AA437="ניכרת","מיקוד בכישורי שפה",IF(AND($L437="תקינה",$Z437="מפותחת"),"קוראים וכותבים מיומנים","מיקוד בהבנה והבעה"))))))</f>
        <v/>
      </c>
      <c r="AC437" s="32">
        <f>IF(OR($AB437="",LEFT($AB437,1)="—"),"",IF(OR($AB437="מיקוד בשטף קריאה",$AB437="מיקוד בשטף הקריאה ובכישורי שפה"),"רמה א'",IF($AB437="קוראים וכותבים מיומנים","רמה ג'","רמה ב'")))</f>
        <v/>
      </c>
      <c r="AD437" s="32">
        <f>IF($AC437="","",MID(IF(AND($AC437="רמה א'",$AA437="ניכרת"),"; להוסיף עבודת אוצר מילים","")&amp;IF($Z437="אינה מפותחת","; דגש על הבעה בכתב","")&amp;IF($K437&lt;&gt;"תקין","; נדרש לעבוד על ההנגנה","")&amp;IF($AK437&lt;&gt;"","; "&amp;$AK437,""),3,400))</f>
        <v/>
      </c>
      <c r="AE437" s="32">
        <f>IF($F437="","",IF($F437="תחילת שנה",1,IF($F437="מחצית שנה",2,3)))</f>
        <v/>
      </c>
      <c r="AF437" s="32">
        <f>IF(OR($B437="",$AC437="",$A437="",$F437=""),"",$B437&amp;"|"&amp;$A437&amp;"|"&amp;$F437&amp;"|"&amp;$AC437&amp;"|"&amp;COUNTIFS($B$6:$B437,$B437,$A$6:$A437,$A437,$F$6:$F437,$F437,$AC$6:$AC437,$AC437))</f>
        <v/>
      </c>
      <c r="AG437" s="32">
        <f>IF($C437="","",$C437&amp;"|"&amp;COUNTIFS($C$6:$C437,$C437))</f>
        <v/>
      </c>
      <c r="AH437" s="32">
        <f>IF(OR($C437="",$A437="",$AE437=""),"",$C437&amp;"|"&amp;$A437&amp;"|"&amp;$AE437)</f>
        <v/>
      </c>
      <c r="AI437" s="32">
        <f>IF(OR($C437="",$AE437="",$AE437=1),"",IFERROR(INDEX($AC$6:$AC$1505,MATCH($C437&amp;"|"&amp;$A437&amp;"|"&amp;($AE437-1),$AH$6:$AH$1505,0)),""))</f>
        <v/>
      </c>
      <c r="AJ437" s="32">
        <f>IF(OR($AI437="",$AC437=""),"",IF($AI437=$AC437,"ללא שינוי","מ-"&amp;$AI437&amp;" ל-"&amp;$AC437))</f>
        <v/>
      </c>
      <c r="AK437" s="67" t="n"/>
    </row>
    <row r="438" ht="15.75" customHeight="1" s="58">
      <c r="A438" s="65" t="n"/>
      <c r="B438" s="65" t="n"/>
      <c r="C438" s="66" t="n"/>
      <c r="D438" s="66" t="n"/>
      <c r="E438" s="65" t="n"/>
      <c r="F438" s="65" t="n"/>
      <c r="G438" s="65" t="n"/>
      <c r="H438" s="65" t="n"/>
      <c r="I438" s="65" t="n"/>
      <c r="J438" s="65" t="n"/>
      <c r="K438" s="65" t="n"/>
      <c r="L438" s="65" t="n"/>
      <c r="M438" s="65" t="n"/>
      <c r="N438" s="65" t="n"/>
      <c r="O438" s="65" t="n"/>
      <c r="P438" s="65" t="n"/>
      <c r="Q438" s="65" t="n"/>
      <c r="R438" s="65" t="n"/>
      <c r="S438" s="65" t="n"/>
      <c r="T438" s="65" t="n"/>
      <c r="U438" s="65" t="n"/>
      <c r="V438" s="65" t="n"/>
      <c r="W438" s="65" t="n"/>
      <c r="X438" s="65" t="n"/>
      <c r="Y438" s="32">
        <f>IF($C438="","",IF(COUNTA($I438:$K438)&lt;3,"— חסרים נתונים",IF(AND($I438="תקין",$J438="תקין",$K438="תקין"),"רהוטה",IF(AND($I438="תקין",$J438="תקין"),"מדויקת ורציפה","אינה מדויקת או מקוטעת"))))</f>
        <v/>
      </c>
      <c r="Z438" s="32">
        <f>IF($C438="","",IF(COUNTA($U438:$W438)&lt;3,"",IF(AND($U438="מפותח",$V438="מפותח",$W438="מפותחת"),"מפותחת",IF((--($U438="דל"))+(--($V438="אינו מפותח"))+(--($W438="דלה"))&gt;=2,"אינה מפותחת","חלקית"))))</f>
        <v/>
      </c>
      <c r="AA438" s="32">
        <f>IF($C438="","",IF(COUNTA($M438,$N438,$O438)&lt;3,"— חסרים נתונים",IF(OR($M438="נמוכה",(--($M438&lt;&gt;"תקינה"))+(--($N438&lt;&gt;"תקין"))+(--($O438&lt;&gt;"תקינה"))&gt;=2),"ניכרת","אינה ניכרת")))</f>
        <v/>
      </c>
      <c r="AB438" s="32">
        <f>IF(OR($C438="",$Y438="",$AA438="",LEFT($Y438,1)="—",LEFT($AA438,1)="—"),"",IF($Z438="","— נדרשת הערכת כתיבה",IF($L438="","— חסרה הבנת הנקרא",IF($Y438="אינה מדויקת או מקוטעת",IF($AA438="ניכרת","מיקוד בשטף הקריאה ובכישורי שפה","מיקוד בשטף קריאה"),IF($AA438="ניכרת","מיקוד בכישורי שפה",IF(AND($L438="תקינה",$Z438="מפותחת"),"קוראים וכותבים מיומנים","מיקוד בהבנה והבעה"))))))</f>
        <v/>
      </c>
      <c r="AC438" s="32">
        <f>IF(OR($AB438="",LEFT($AB438,1)="—"),"",IF(OR($AB438="מיקוד בשטף קריאה",$AB438="מיקוד בשטף הקריאה ובכישורי שפה"),"רמה א'",IF($AB438="קוראים וכותבים מיומנים","רמה ג'","רמה ב'")))</f>
        <v/>
      </c>
      <c r="AD438" s="32">
        <f>IF($AC438="","",MID(IF(AND($AC438="רמה א'",$AA438="ניכרת"),"; להוסיף עבודת אוצר מילים","")&amp;IF($Z438="אינה מפותחת","; דגש על הבעה בכתב","")&amp;IF($K438&lt;&gt;"תקין","; נדרש לעבוד על ההנגנה","")&amp;IF($AK438&lt;&gt;"","; "&amp;$AK438,""),3,400))</f>
        <v/>
      </c>
      <c r="AE438" s="32">
        <f>IF($F438="","",IF($F438="תחילת שנה",1,IF($F438="מחצית שנה",2,3)))</f>
        <v/>
      </c>
      <c r="AF438" s="32">
        <f>IF(OR($B438="",$AC438="",$A438="",$F438=""),"",$B438&amp;"|"&amp;$A438&amp;"|"&amp;$F438&amp;"|"&amp;$AC438&amp;"|"&amp;COUNTIFS($B$6:$B438,$B438,$A$6:$A438,$A438,$F$6:$F438,$F438,$AC$6:$AC438,$AC438))</f>
        <v/>
      </c>
      <c r="AG438" s="32">
        <f>IF($C438="","",$C438&amp;"|"&amp;COUNTIFS($C$6:$C438,$C438))</f>
        <v/>
      </c>
      <c r="AH438" s="32">
        <f>IF(OR($C438="",$A438="",$AE438=""),"",$C438&amp;"|"&amp;$A438&amp;"|"&amp;$AE438)</f>
        <v/>
      </c>
      <c r="AI438" s="32">
        <f>IF(OR($C438="",$AE438="",$AE438=1),"",IFERROR(INDEX($AC$6:$AC$1505,MATCH($C438&amp;"|"&amp;$A438&amp;"|"&amp;($AE438-1),$AH$6:$AH$1505,0)),""))</f>
        <v/>
      </c>
      <c r="AJ438" s="32">
        <f>IF(OR($AI438="",$AC438=""),"",IF($AI438=$AC438,"ללא שינוי","מ-"&amp;$AI438&amp;" ל-"&amp;$AC438))</f>
        <v/>
      </c>
      <c r="AK438" s="67" t="n"/>
    </row>
    <row r="439" ht="15.75" customHeight="1" s="58">
      <c r="A439" s="65" t="n"/>
      <c r="B439" s="65" t="n"/>
      <c r="C439" s="66" t="n"/>
      <c r="D439" s="66" t="n"/>
      <c r="E439" s="65" t="n"/>
      <c r="F439" s="65" t="n"/>
      <c r="G439" s="65" t="n"/>
      <c r="H439" s="65" t="n"/>
      <c r="I439" s="65" t="n"/>
      <c r="J439" s="65" t="n"/>
      <c r="K439" s="65" t="n"/>
      <c r="L439" s="65" t="n"/>
      <c r="M439" s="65" t="n"/>
      <c r="N439" s="65" t="n"/>
      <c r="O439" s="65" t="n"/>
      <c r="P439" s="65" t="n"/>
      <c r="Q439" s="65" t="n"/>
      <c r="R439" s="65" t="n"/>
      <c r="S439" s="65" t="n"/>
      <c r="T439" s="65" t="n"/>
      <c r="U439" s="65" t="n"/>
      <c r="V439" s="65" t="n"/>
      <c r="W439" s="65" t="n"/>
      <c r="X439" s="65" t="n"/>
      <c r="Y439" s="32">
        <f>IF($C439="","",IF(COUNTA($I439:$K439)&lt;3,"— חסרים נתונים",IF(AND($I439="תקין",$J439="תקין",$K439="תקין"),"רהוטה",IF(AND($I439="תקין",$J439="תקין"),"מדויקת ורציפה","אינה מדויקת או מקוטעת"))))</f>
        <v/>
      </c>
      <c r="Z439" s="32">
        <f>IF($C439="","",IF(COUNTA($U439:$W439)&lt;3,"",IF(AND($U439="מפותח",$V439="מפותח",$W439="מפותחת"),"מפותחת",IF((--($U439="דל"))+(--($V439="אינו מפותח"))+(--($W439="דלה"))&gt;=2,"אינה מפותחת","חלקית"))))</f>
        <v/>
      </c>
      <c r="AA439" s="32">
        <f>IF($C439="","",IF(COUNTA($M439,$N439,$O439)&lt;3,"— חסרים נתונים",IF(OR($M439="נמוכה",(--($M439&lt;&gt;"תקינה"))+(--($N439&lt;&gt;"תקין"))+(--($O439&lt;&gt;"תקינה"))&gt;=2),"ניכרת","אינה ניכרת")))</f>
        <v/>
      </c>
      <c r="AB439" s="32">
        <f>IF(OR($C439="",$Y439="",$AA439="",LEFT($Y439,1)="—",LEFT($AA439,1)="—"),"",IF($Z439="","— נדרשת הערכת כתיבה",IF($L439="","— חסרה הבנת הנקרא",IF($Y439="אינה מדויקת או מקוטעת",IF($AA439="ניכרת","מיקוד בשטף הקריאה ובכישורי שפה","מיקוד בשטף קריאה"),IF($AA439="ניכרת","מיקוד בכישורי שפה",IF(AND($L439="תקינה",$Z439="מפותחת"),"קוראים וכותבים מיומנים","מיקוד בהבנה והבעה"))))))</f>
        <v/>
      </c>
      <c r="AC439" s="32">
        <f>IF(OR($AB439="",LEFT($AB439,1)="—"),"",IF(OR($AB439="מיקוד בשטף קריאה",$AB439="מיקוד בשטף הקריאה ובכישורי שפה"),"רמה א'",IF($AB439="קוראים וכותבים מיומנים","רמה ג'","רמה ב'")))</f>
        <v/>
      </c>
      <c r="AD439" s="32">
        <f>IF($AC439="","",MID(IF(AND($AC439="רמה א'",$AA439="ניכרת"),"; להוסיף עבודת אוצר מילים","")&amp;IF($Z439="אינה מפותחת","; דגש על הבעה בכתב","")&amp;IF($K439&lt;&gt;"תקין","; נדרש לעבוד על ההנגנה","")&amp;IF($AK439&lt;&gt;"","; "&amp;$AK439,""),3,400))</f>
        <v/>
      </c>
      <c r="AE439" s="32">
        <f>IF($F439="","",IF($F439="תחילת שנה",1,IF($F439="מחצית שנה",2,3)))</f>
        <v/>
      </c>
      <c r="AF439" s="32">
        <f>IF(OR($B439="",$AC439="",$A439="",$F439=""),"",$B439&amp;"|"&amp;$A439&amp;"|"&amp;$F439&amp;"|"&amp;$AC439&amp;"|"&amp;COUNTIFS($B$6:$B439,$B439,$A$6:$A439,$A439,$F$6:$F439,$F439,$AC$6:$AC439,$AC439))</f>
        <v/>
      </c>
      <c r="AG439" s="32">
        <f>IF($C439="","",$C439&amp;"|"&amp;COUNTIFS($C$6:$C439,$C439))</f>
        <v/>
      </c>
      <c r="AH439" s="32">
        <f>IF(OR($C439="",$A439="",$AE439=""),"",$C439&amp;"|"&amp;$A439&amp;"|"&amp;$AE439)</f>
        <v/>
      </c>
      <c r="AI439" s="32">
        <f>IF(OR($C439="",$AE439="",$AE439=1),"",IFERROR(INDEX($AC$6:$AC$1505,MATCH($C439&amp;"|"&amp;$A439&amp;"|"&amp;($AE439-1),$AH$6:$AH$1505,0)),""))</f>
        <v/>
      </c>
      <c r="AJ439" s="32">
        <f>IF(OR($AI439="",$AC439=""),"",IF($AI439=$AC439,"ללא שינוי","מ-"&amp;$AI439&amp;" ל-"&amp;$AC439))</f>
        <v/>
      </c>
      <c r="AK439" s="67" t="n"/>
    </row>
    <row r="440" ht="15.75" customHeight="1" s="58">
      <c r="A440" s="65" t="n"/>
      <c r="B440" s="65" t="n"/>
      <c r="C440" s="66" t="n"/>
      <c r="D440" s="66" t="n"/>
      <c r="E440" s="65" t="n"/>
      <c r="F440" s="65" t="n"/>
      <c r="G440" s="65" t="n"/>
      <c r="H440" s="65" t="n"/>
      <c r="I440" s="65" t="n"/>
      <c r="J440" s="65" t="n"/>
      <c r="K440" s="65" t="n"/>
      <c r="L440" s="65" t="n"/>
      <c r="M440" s="65" t="n"/>
      <c r="N440" s="65" t="n"/>
      <c r="O440" s="65" t="n"/>
      <c r="P440" s="65" t="n"/>
      <c r="Q440" s="65" t="n"/>
      <c r="R440" s="65" t="n"/>
      <c r="S440" s="65" t="n"/>
      <c r="T440" s="65" t="n"/>
      <c r="U440" s="65" t="n"/>
      <c r="V440" s="65" t="n"/>
      <c r="W440" s="65" t="n"/>
      <c r="X440" s="65" t="n"/>
      <c r="Y440" s="32">
        <f>IF($C440="","",IF(COUNTA($I440:$K440)&lt;3,"— חסרים נתונים",IF(AND($I440="תקין",$J440="תקין",$K440="תקין"),"רהוטה",IF(AND($I440="תקין",$J440="תקין"),"מדויקת ורציפה","אינה מדויקת או מקוטעת"))))</f>
        <v/>
      </c>
      <c r="Z440" s="32">
        <f>IF($C440="","",IF(COUNTA($U440:$W440)&lt;3,"",IF(AND($U440="מפותח",$V440="מפותח",$W440="מפותחת"),"מפותחת",IF((--($U440="דל"))+(--($V440="אינו מפותח"))+(--($W440="דלה"))&gt;=2,"אינה מפותחת","חלקית"))))</f>
        <v/>
      </c>
      <c r="AA440" s="32">
        <f>IF($C440="","",IF(COUNTA($M440,$N440,$O440)&lt;3,"— חסרים נתונים",IF(OR($M440="נמוכה",(--($M440&lt;&gt;"תקינה"))+(--($N440&lt;&gt;"תקין"))+(--($O440&lt;&gt;"תקינה"))&gt;=2),"ניכרת","אינה ניכרת")))</f>
        <v/>
      </c>
      <c r="AB440" s="32">
        <f>IF(OR($C440="",$Y440="",$AA440="",LEFT($Y440,1)="—",LEFT($AA440,1)="—"),"",IF($Z440="","— נדרשת הערכת כתיבה",IF($L440="","— חסרה הבנת הנקרא",IF($Y440="אינה מדויקת או מקוטעת",IF($AA440="ניכרת","מיקוד בשטף הקריאה ובכישורי שפה","מיקוד בשטף קריאה"),IF($AA440="ניכרת","מיקוד בכישורי שפה",IF(AND($L440="תקינה",$Z440="מפותחת"),"קוראים וכותבים מיומנים","מיקוד בהבנה והבעה"))))))</f>
        <v/>
      </c>
      <c r="AC440" s="32">
        <f>IF(OR($AB440="",LEFT($AB440,1)="—"),"",IF(OR($AB440="מיקוד בשטף קריאה",$AB440="מיקוד בשטף הקריאה ובכישורי שפה"),"רמה א'",IF($AB440="קוראים וכותבים מיומנים","רמה ג'","רמה ב'")))</f>
        <v/>
      </c>
      <c r="AD440" s="32">
        <f>IF($AC440="","",MID(IF(AND($AC440="רמה א'",$AA440="ניכרת"),"; להוסיף עבודת אוצר מילים","")&amp;IF($Z440="אינה מפותחת","; דגש על הבעה בכתב","")&amp;IF($K440&lt;&gt;"תקין","; נדרש לעבוד על ההנגנה","")&amp;IF($AK440&lt;&gt;"","; "&amp;$AK440,""),3,400))</f>
        <v/>
      </c>
      <c r="AE440" s="32">
        <f>IF($F440="","",IF($F440="תחילת שנה",1,IF($F440="מחצית שנה",2,3)))</f>
        <v/>
      </c>
      <c r="AF440" s="32">
        <f>IF(OR($B440="",$AC440="",$A440="",$F440=""),"",$B440&amp;"|"&amp;$A440&amp;"|"&amp;$F440&amp;"|"&amp;$AC440&amp;"|"&amp;COUNTIFS($B$6:$B440,$B440,$A$6:$A440,$A440,$F$6:$F440,$F440,$AC$6:$AC440,$AC440))</f>
        <v/>
      </c>
      <c r="AG440" s="32">
        <f>IF($C440="","",$C440&amp;"|"&amp;COUNTIFS($C$6:$C440,$C440))</f>
        <v/>
      </c>
      <c r="AH440" s="32">
        <f>IF(OR($C440="",$A440="",$AE440=""),"",$C440&amp;"|"&amp;$A440&amp;"|"&amp;$AE440)</f>
        <v/>
      </c>
      <c r="AI440" s="32">
        <f>IF(OR($C440="",$AE440="",$AE440=1),"",IFERROR(INDEX($AC$6:$AC$1505,MATCH($C440&amp;"|"&amp;$A440&amp;"|"&amp;($AE440-1),$AH$6:$AH$1505,0)),""))</f>
        <v/>
      </c>
      <c r="AJ440" s="32">
        <f>IF(OR($AI440="",$AC440=""),"",IF($AI440=$AC440,"ללא שינוי","מ-"&amp;$AI440&amp;" ל-"&amp;$AC440))</f>
        <v/>
      </c>
      <c r="AK440" s="67" t="n"/>
    </row>
    <row r="441" ht="15.75" customHeight="1" s="58">
      <c r="A441" s="65" t="n"/>
      <c r="B441" s="65" t="n"/>
      <c r="C441" s="66" t="n"/>
      <c r="D441" s="66" t="n"/>
      <c r="E441" s="65" t="n"/>
      <c r="F441" s="65" t="n"/>
      <c r="G441" s="65" t="n"/>
      <c r="H441" s="65" t="n"/>
      <c r="I441" s="65" t="n"/>
      <c r="J441" s="65" t="n"/>
      <c r="K441" s="65" t="n"/>
      <c r="L441" s="65" t="n"/>
      <c r="M441" s="65" t="n"/>
      <c r="N441" s="65" t="n"/>
      <c r="O441" s="65" t="n"/>
      <c r="P441" s="65" t="n"/>
      <c r="Q441" s="65" t="n"/>
      <c r="R441" s="65" t="n"/>
      <c r="S441" s="65" t="n"/>
      <c r="T441" s="65" t="n"/>
      <c r="U441" s="65" t="n"/>
      <c r="V441" s="65" t="n"/>
      <c r="W441" s="65" t="n"/>
      <c r="X441" s="65" t="n"/>
      <c r="Y441" s="32">
        <f>IF($C441="","",IF(COUNTA($I441:$K441)&lt;3,"— חסרים נתונים",IF(AND($I441="תקין",$J441="תקין",$K441="תקין"),"רהוטה",IF(AND($I441="תקין",$J441="תקין"),"מדויקת ורציפה","אינה מדויקת או מקוטעת"))))</f>
        <v/>
      </c>
      <c r="Z441" s="32">
        <f>IF($C441="","",IF(COUNTA($U441:$W441)&lt;3,"",IF(AND($U441="מפותח",$V441="מפותח",$W441="מפותחת"),"מפותחת",IF((--($U441="דל"))+(--($V441="אינו מפותח"))+(--($W441="דלה"))&gt;=2,"אינה מפותחת","חלקית"))))</f>
        <v/>
      </c>
      <c r="AA441" s="32">
        <f>IF($C441="","",IF(COUNTA($M441,$N441,$O441)&lt;3,"— חסרים נתונים",IF(OR($M441="נמוכה",(--($M441&lt;&gt;"תקינה"))+(--($N441&lt;&gt;"תקין"))+(--($O441&lt;&gt;"תקינה"))&gt;=2),"ניכרת","אינה ניכרת")))</f>
        <v/>
      </c>
      <c r="AB441" s="32">
        <f>IF(OR($C441="",$Y441="",$AA441="",LEFT($Y441,1)="—",LEFT($AA441,1)="—"),"",IF($Z441="","— נדרשת הערכת כתיבה",IF($L441="","— חסרה הבנת הנקרא",IF($Y441="אינה מדויקת או מקוטעת",IF($AA441="ניכרת","מיקוד בשטף הקריאה ובכישורי שפה","מיקוד בשטף קריאה"),IF($AA441="ניכרת","מיקוד בכישורי שפה",IF(AND($L441="תקינה",$Z441="מפותחת"),"קוראים וכותבים מיומנים","מיקוד בהבנה והבעה"))))))</f>
        <v/>
      </c>
      <c r="AC441" s="32">
        <f>IF(OR($AB441="",LEFT($AB441,1)="—"),"",IF(OR($AB441="מיקוד בשטף קריאה",$AB441="מיקוד בשטף הקריאה ובכישורי שפה"),"רמה א'",IF($AB441="קוראים וכותבים מיומנים","רמה ג'","רמה ב'")))</f>
        <v/>
      </c>
      <c r="AD441" s="32">
        <f>IF($AC441="","",MID(IF(AND($AC441="רמה א'",$AA441="ניכרת"),"; להוסיף עבודת אוצר מילים","")&amp;IF($Z441="אינה מפותחת","; דגש על הבעה בכתב","")&amp;IF($K441&lt;&gt;"תקין","; נדרש לעבוד על ההנגנה","")&amp;IF($AK441&lt;&gt;"","; "&amp;$AK441,""),3,400))</f>
        <v/>
      </c>
      <c r="AE441" s="32">
        <f>IF($F441="","",IF($F441="תחילת שנה",1,IF($F441="מחצית שנה",2,3)))</f>
        <v/>
      </c>
      <c r="AF441" s="32">
        <f>IF(OR($B441="",$AC441="",$A441="",$F441=""),"",$B441&amp;"|"&amp;$A441&amp;"|"&amp;$F441&amp;"|"&amp;$AC441&amp;"|"&amp;COUNTIFS($B$6:$B441,$B441,$A$6:$A441,$A441,$F$6:$F441,$F441,$AC$6:$AC441,$AC441))</f>
        <v/>
      </c>
      <c r="AG441" s="32">
        <f>IF($C441="","",$C441&amp;"|"&amp;COUNTIFS($C$6:$C441,$C441))</f>
        <v/>
      </c>
      <c r="AH441" s="32">
        <f>IF(OR($C441="",$A441="",$AE441=""),"",$C441&amp;"|"&amp;$A441&amp;"|"&amp;$AE441)</f>
        <v/>
      </c>
      <c r="AI441" s="32">
        <f>IF(OR($C441="",$AE441="",$AE441=1),"",IFERROR(INDEX($AC$6:$AC$1505,MATCH($C441&amp;"|"&amp;$A441&amp;"|"&amp;($AE441-1),$AH$6:$AH$1505,0)),""))</f>
        <v/>
      </c>
      <c r="AJ441" s="32">
        <f>IF(OR($AI441="",$AC441=""),"",IF($AI441=$AC441,"ללא שינוי","מ-"&amp;$AI441&amp;" ל-"&amp;$AC441))</f>
        <v/>
      </c>
      <c r="AK441" s="67" t="n"/>
    </row>
    <row r="442" ht="15.75" customHeight="1" s="58">
      <c r="A442" s="65" t="n"/>
      <c r="B442" s="65" t="n"/>
      <c r="C442" s="66" t="n"/>
      <c r="D442" s="66" t="n"/>
      <c r="E442" s="65" t="n"/>
      <c r="F442" s="65" t="n"/>
      <c r="G442" s="65" t="n"/>
      <c r="H442" s="65" t="n"/>
      <c r="I442" s="65" t="n"/>
      <c r="J442" s="65" t="n"/>
      <c r="K442" s="65" t="n"/>
      <c r="L442" s="65" t="n"/>
      <c r="M442" s="65" t="n"/>
      <c r="N442" s="65" t="n"/>
      <c r="O442" s="65" t="n"/>
      <c r="P442" s="65" t="n"/>
      <c r="Q442" s="65" t="n"/>
      <c r="R442" s="65" t="n"/>
      <c r="S442" s="65" t="n"/>
      <c r="T442" s="65" t="n"/>
      <c r="U442" s="65" t="n"/>
      <c r="V442" s="65" t="n"/>
      <c r="W442" s="65" t="n"/>
      <c r="X442" s="65" t="n"/>
      <c r="Y442" s="32">
        <f>IF($C442="","",IF(COUNTA($I442:$K442)&lt;3,"— חסרים נתונים",IF(AND($I442="תקין",$J442="תקין",$K442="תקין"),"רהוטה",IF(AND($I442="תקין",$J442="תקין"),"מדויקת ורציפה","אינה מדויקת או מקוטעת"))))</f>
        <v/>
      </c>
      <c r="Z442" s="32">
        <f>IF($C442="","",IF(COUNTA($U442:$W442)&lt;3,"",IF(AND($U442="מפותח",$V442="מפותח",$W442="מפותחת"),"מפותחת",IF((--($U442="דל"))+(--($V442="אינו מפותח"))+(--($W442="דלה"))&gt;=2,"אינה מפותחת","חלקית"))))</f>
        <v/>
      </c>
      <c r="AA442" s="32">
        <f>IF($C442="","",IF(COUNTA($M442,$N442,$O442)&lt;3,"— חסרים נתונים",IF(OR($M442="נמוכה",(--($M442&lt;&gt;"תקינה"))+(--($N442&lt;&gt;"תקין"))+(--($O442&lt;&gt;"תקינה"))&gt;=2),"ניכרת","אינה ניכרת")))</f>
        <v/>
      </c>
      <c r="AB442" s="32">
        <f>IF(OR($C442="",$Y442="",$AA442="",LEFT($Y442,1)="—",LEFT($AA442,1)="—"),"",IF($Z442="","— נדרשת הערכת כתיבה",IF($L442="","— חסרה הבנת הנקרא",IF($Y442="אינה מדויקת או מקוטעת",IF($AA442="ניכרת","מיקוד בשטף הקריאה ובכישורי שפה","מיקוד בשטף קריאה"),IF($AA442="ניכרת","מיקוד בכישורי שפה",IF(AND($L442="תקינה",$Z442="מפותחת"),"קוראים וכותבים מיומנים","מיקוד בהבנה והבעה"))))))</f>
        <v/>
      </c>
      <c r="AC442" s="32">
        <f>IF(OR($AB442="",LEFT($AB442,1)="—"),"",IF(OR($AB442="מיקוד בשטף קריאה",$AB442="מיקוד בשטף הקריאה ובכישורי שפה"),"רמה א'",IF($AB442="קוראים וכותבים מיומנים","רמה ג'","רמה ב'")))</f>
        <v/>
      </c>
      <c r="AD442" s="32">
        <f>IF($AC442="","",MID(IF(AND($AC442="רמה א'",$AA442="ניכרת"),"; להוסיף עבודת אוצר מילים","")&amp;IF($Z442="אינה מפותחת","; דגש על הבעה בכתב","")&amp;IF($K442&lt;&gt;"תקין","; נדרש לעבוד על ההנגנה","")&amp;IF($AK442&lt;&gt;"","; "&amp;$AK442,""),3,400))</f>
        <v/>
      </c>
      <c r="AE442" s="32">
        <f>IF($F442="","",IF($F442="תחילת שנה",1,IF($F442="מחצית שנה",2,3)))</f>
        <v/>
      </c>
      <c r="AF442" s="32">
        <f>IF(OR($B442="",$AC442="",$A442="",$F442=""),"",$B442&amp;"|"&amp;$A442&amp;"|"&amp;$F442&amp;"|"&amp;$AC442&amp;"|"&amp;COUNTIFS($B$6:$B442,$B442,$A$6:$A442,$A442,$F$6:$F442,$F442,$AC$6:$AC442,$AC442))</f>
        <v/>
      </c>
      <c r="AG442" s="32">
        <f>IF($C442="","",$C442&amp;"|"&amp;COUNTIFS($C$6:$C442,$C442))</f>
        <v/>
      </c>
      <c r="AH442" s="32">
        <f>IF(OR($C442="",$A442="",$AE442=""),"",$C442&amp;"|"&amp;$A442&amp;"|"&amp;$AE442)</f>
        <v/>
      </c>
      <c r="AI442" s="32">
        <f>IF(OR($C442="",$AE442="",$AE442=1),"",IFERROR(INDEX($AC$6:$AC$1505,MATCH($C442&amp;"|"&amp;$A442&amp;"|"&amp;($AE442-1),$AH$6:$AH$1505,0)),""))</f>
        <v/>
      </c>
      <c r="AJ442" s="32">
        <f>IF(OR($AI442="",$AC442=""),"",IF($AI442=$AC442,"ללא שינוי","מ-"&amp;$AI442&amp;" ל-"&amp;$AC442))</f>
        <v/>
      </c>
      <c r="AK442" s="67" t="n"/>
    </row>
    <row r="443" ht="15.75" customHeight="1" s="58">
      <c r="A443" s="65" t="n"/>
      <c r="B443" s="65" t="n"/>
      <c r="C443" s="66" t="n"/>
      <c r="D443" s="66" t="n"/>
      <c r="E443" s="65" t="n"/>
      <c r="F443" s="65" t="n"/>
      <c r="G443" s="65" t="n"/>
      <c r="H443" s="65" t="n"/>
      <c r="I443" s="65" t="n"/>
      <c r="J443" s="65" t="n"/>
      <c r="K443" s="65" t="n"/>
      <c r="L443" s="65" t="n"/>
      <c r="M443" s="65" t="n"/>
      <c r="N443" s="65" t="n"/>
      <c r="O443" s="65" t="n"/>
      <c r="P443" s="65" t="n"/>
      <c r="Q443" s="65" t="n"/>
      <c r="R443" s="65" t="n"/>
      <c r="S443" s="65" t="n"/>
      <c r="T443" s="65" t="n"/>
      <c r="U443" s="65" t="n"/>
      <c r="V443" s="65" t="n"/>
      <c r="W443" s="65" t="n"/>
      <c r="X443" s="65" t="n"/>
      <c r="Y443" s="32">
        <f>IF($C443="","",IF(COUNTA($I443:$K443)&lt;3,"— חסרים נתונים",IF(AND($I443="תקין",$J443="תקין",$K443="תקין"),"רהוטה",IF(AND($I443="תקין",$J443="תקין"),"מדויקת ורציפה","אינה מדויקת או מקוטעת"))))</f>
        <v/>
      </c>
      <c r="Z443" s="32">
        <f>IF($C443="","",IF(COUNTA($U443:$W443)&lt;3,"",IF(AND($U443="מפותח",$V443="מפותח",$W443="מפותחת"),"מפותחת",IF((--($U443="דל"))+(--($V443="אינו מפותח"))+(--($W443="דלה"))&gt;=2,"אינה מפותחת","חלקית"))))</f>
        <v/>
      </c>
      <c r="AA443" s="32">
        <f>IF($C443="","",IF(COUNTA($M443,$N443,$O443)&lt;3,"— חסרים נתונים",IF(OR($M443="נמוכה",(--($M443&lt;&gt;"תקינה"))+(--($N443&lt;&gt;"תקין"))+(--($O443&lt;&gt;"תקינה"))&gt;=2),"ניכרת","אינה ניכרת")))</f>
        <v/>
      </c>
      <c r="AB443" s="32">
        <f>IF(OR($C443="",$Y443="",$AA443="",LEFT($Y443,1)="—",LEFT($AA443,1)="—"),"",IF($Z443="","— נדרשת הערכת כתיבה",IF($L443="","— חסרה הבנת הנקרא",IF($Y443="אינה מדויקת או מקוטעת",IF($AA443="ניכרת","מיקוד בשטף הקריאה ובכישורי שפה","מיקוד בשטף קריאה"),IF($AA443="ניכרת","מיקוד בכישורי שפה",IF(AND($L443="תקינה",$Z443="מפותחת"),"קוראים וכותבים מיומנים","מיקוד בהבנה והבעה"))))))</f>
        <v/>
      </c>
      <c r="AC443" s="32">
        <f>IF(OR($AB443="",LEFT($AB443,1)="—"),"",IF(OR($AB443="מיקוד בשטף קריאה",$AB443="מיקוד בשטף הקריאה ובכישורי שפה"),"רמה א'",IF($AB443="קוראים וכותבים מיומנים","רמה ג'","רמה ב'")))</f>
        <v/>
      </c>
      <c r="AD443" s="32">
        <f>IF($AC443="","",MID(IF(AND($AC443="רמה א'",$AA443="ניכרת"),"; להוסיף עבודת אוצר מילים","")&amp;IF($Z443="אינה מפותחת","; דגש על הבעה בכתב","")&amp;IF($K443&lt;&gt;"תקין","; נדרש לעבוד על ההנגנה","")&amp;IF($AK443&lt;&gt;"","; "&amp;$AK443,""),3,400))</f>
        <v/>
      </c>
      <c r="AE443" s="32">
        <f>IF($F443="","",IF($F443="תחילת שנה",1,IF($F443="מחצית שנה",2,3)))</f>
        <v/>
      </c>
      <c r="AF443" s="32">
        <f>IF(OR($B443="",$AC443="",$A443="",$F443=""),"",$B443&amp;"|"&amp;$A443&amp;"|"&amp;$F443&amp;"|"&amp;$AC443&amp;"|"&amp;COUNTIFS($B$6:$B443,$B443,$A$6:$A443,$A443,$F$6:$F443,$F443,$AC$6:$AC443,$AC443))</f>
        <v/>
      </c>
      <c r="AG443" s="32">
        <f>IF($C443="","",$C443&amp;"|"&amp;COUNTIFS($C$6:$C443,$C443))</f>
        <v/>
      </c>
      <c r="AH443" s="32">
        <f>IF(OR($C443="",$A443="",$AE443=""),"",$C443&amp;"|"&amp;$A443&amp;"|"&amp;$AE443)</f>
        <v/>
      </c>
      <c r="AI443" s="32">
        <f>IF(OR($C443="",$AE443="",$AE443=1),"",IFERROR(INDEX($AC$6:$AC$1505,MATCH($C443&amp;"|"&amp;$A443&amp;"|"&amp;($AE443-1),$AH$6:$AH$1505,0)),""))</f>
        <v/>
      </c>
      <c r="AJ443" s="32">
        <f>IF(OR($AI443="",$AC443=""),"",IF($AI443=$AC443,"ללא שינוי","מ-"&amp;$AI443&amp;" ל-"&amp;$AC443))</f>
        <v/>
      </c>
      <c r="AK443" s="67" t="n"/>
    </row>
    <row r="444" ht="15.75" customHeight="1" s="58">
      <c r="A444" s="65" t="n"/>
      <c r="B444" s="65" t="n"/>
      <c r="C444" s="66" t="n"/>
      <c r="D444" s="66" t="n"/>
      <c r="E444" s="65" t="n"/>
      <c r="F444" s="65" t="n"/>
      <c r="G444" s="65" t="n"/>
      <c r="H444" s="65" t="n"/>
      <c r="I444" s="65" t="n"/>
      <c r="J444" s="65" t="n"/>
      <c r="K444" s="65" t="n"/>
      <c r="L444" s="65" t="n"/>
      <c r="M444" s="65" t="n"/>
      <c r="N444" s="65" t="n"/>
      <c r="O444" s="65" t="n"/>
      <c r="P444" s="65" t="n"/>
      <c r="Q444" s="65" t="n"/>
      <c r="R444" s="65" t="n"/>
      <c r="S444" s="65" t="n"/>
      <c r="T444" s="65" t="n"/>
      <c r="U444" s="65" t="n"/>
      <c r="V444" s="65" t="n"/>
      <c r="W444" s="65" t="n"/>
      <c r="X444" s="65" t="n"/>
      <c r="Y444" s="32">
        <f>IF($C444="","",IF(COUNTA($I444:$K444)&lt;3,"— חסרים נתונים",IF(AND($I444="תקין",$J444="תקין",$K444="תקין"),"רהוטה",IF(AND($I444="תקין",$J444="תקין"),"מדויקת ורציפה","אינה מדויקת או מקוטעת"))))</f>
        <v/>
      </c>
      <c r="Z444" s="32">
        <f>IF($C444="","",IF(COUNTA($U444:$W444)&lt;3,"",IF(AND($U444="מפותח",$V444="מפותח",$W444="מפותחת"),"מפותחת",IF((--($U444="דל"))+(--($V444="אינו מפותח"))+(--($W444="דלה"))&gt;=2,"אינה מפותחת","חלקית"))))</f>
        <v/>
      </c>
      <c r="AA444" s="32">
        <f>IF($C444="","",IF(COUNTA($M444,$N444,$O444)&lt;3,"— חסרים נתונים",IF(OR($M444="נמוכה",(--($M444&lt;&gt;"תקינה"))+(--($N444&lt;&gt;"תקין"))+(--($O444&lt;&gt;"תקינה"))&gt;=2),"ניכרת","אינה ניכרת")))</f>
        <v/>
      </c>
      <c r="AB444" s="32">
        <f>IF(OR($C444="",$Y444="",$AA444="",LEFT($Y444,1)="—",LEFT($AA444,1)="—"),"",IF($Z444="","— נדרשת הערכת כתיבה",IF($L444="","— חסרה הבנת הנקרא",IF($Y444="אינה מדויקת או מקוטעת",IF($AA444="ניכרת","מיקוד בשטף הקריאה ובכישורי שפה","מיקוד בשטף קריאה"),IF($AA444="ניכרת","מיקוד בכישורי שפה",IF(AND($L444="תקינה",$Z444="מפותחת"),"קוראים וכותבים מיומנים","מיקוד בהבנה והבעה"))))))</f>
        <v/>
      </c>
      <c r="AC444" s="32">
        <f>IF(OR($AB444="",LEFT($AB444,1)="—"),"",IF(OR($AB444="מיקוד בשטף קריאה",$AB444="מיקוד בשטף הקריאה ובכישורי שפה"),"רמה א'",IF($AB444="קוראים וכותבים מיומנים","רמה ג'","רמה ב'")))</f>
        <v/>
      </c>
      <c r="AD444" s="32">
        <f>IF($AC444="","",MID(IF(AND($AC444="רמה א'",$AA444="ניכרת"),"; להוסיף עבודת אוצר מילים","")&amp;IF($Z444="אינה מפותחת","; דגש על הבעה בכתב","")&amp;IF($K444&lt;&gt;"תקין","; נדרש לעבוד על ההנגנה","")&amp;IF($AK444&lt;&gt;"","; "&amp;$AK444,""),3,400))</f>
        <v/>
      </c>
      <c r="AE444" s="32">
        <f>IF($F444="","",IF($F444="תחילת שנה",1,IF($F444="מחצית שנה",2,3)))</f>
        <v/>
      </c>
      <c r="AF444" s="32">
        <f>IF(OR($B444="",$AC444="",$A444="",$F444=""),"",$B444&amp;"|"&amp;$A444&amp;"|"&amp;$F444&amp;"|"&amp;$AC444&amp;"|"&amp;COUNTIFS($B$6:$B444,$B444,$A$6:$A444,$A444,$F$6:$F444,$F444,$AC$6:$AC444,$AC444))</f>
        <v/>
      </c>
      <c r="AG444" s="32">
        <f>IF($C444="","",$C444&amp;"|"&amp;COUNTIFS($C$6:$C444,$C444))</f>
        <v/>
      </c>
      <c r="AH444" s="32">
        <f>IF(OR($C444="",$A444="",$AE444=""),"",$C444&amp;"|"&amp;$A444&amp;"|"&amp;$AE444)</f>
        <v/>
      </c>
      <c r="AI444" s="32">
        <f>IF(OR($C444="",$AE444="",$AE444=1),"",IFERROR(INDEX($AC$6:$AC$1505,MATCH($C444&amp;"|"&amp;$A444&amp;"|"&amp;($AE444-1),$AH$6:$AH$1505,0)),""))</f>
        <v/>
      </c>
      <c r="AJ444" s="32">
        <f>IF(OR($AI444="",$AC444=""),"",IF($AI444=$AC444,"ללא שינוי","מ-"&amp;$AI444&amp;" ל-"&amp;$AC444))</f>
        <v/>
      </c>
      <c r="AK444" s="67" t="n"/>
    </row>
    <row r="445" ht="15.75" customHeight="1" s="58">
      <c r="A445" s="65" t="n"/>
      <c r="B445" s="65" t="n"/>
      <c r="C445" s="66" t="n"/>
      <c r="D445" s="66" t="n"/>
      <c r="E445" s="65" t="n"/>
      <c r="F445" s="65" t="n"/>
      <c r="G445" s="65" t="n"/>
      <c r="H445" s="65" t="n"/>
      <c r="I445" s="65" t="n"/>
      <c r="J445" s="65" t="n"/>
      <c r="K445" s="65" t="n"/>
      <c r="L445" s="65" t="n"/>
      <c r="M445" s="65" t="n"/>
      <c r="N445" s="65" t="n"/>
      <c r="O445" s="65" t="n"/>
      <c r="P445" s="65" t="n"/>
      <c r="Q445" s="65" t="n"/>
      <c r="R445" s="65" t="n"/>
      <c r="S445" s="65" t="n"/>
      <c r="T445" s="65" t="n"/>
      <c r="U445" s="65" t="n"/>
      <c r="V445" s="65" t="n"/>
      <c r="W445" s="65" t="n"/>
      <c r="X445" s="65" t="n"/>
      <c r="Y445" s="32">
        <f>IF($C445="","",IF(COUNTA($I445:$K445)&lt;3,"— חסרים נתונים",IF(AND($I445="תקין",$J445="תקין",$K445="תקין"),"רהוטה",IF(AND($I445="תקין",$J445="תקין"),"מדויקת ורציפה","אינה מדויקת או מקוטעת"))))</f>
        <v/>
      </c>
      <c r="Z445" s="32">
        <f>IF($C445="","",IF(COUNTA($U445:$W445)&lt;3,"",IF(AND($U445="מפותח",$V445="מפותח",$W445="מפותחת"),"מפותחת",IF((--($U445="דל"))+(--($V445="אינו מפותח"))+(--($W445="דלה"))&gt;=2,"אינה מפותחת","חלקית"))))</f>
        <v/>
      </c>
      <c r="AA445" s="32">
        <f>IF($C445="","",IF(COUNTA($M445,$N445,$O445)&lt;3,"— חסרים נתונים",IF(OR($M445="נמוכה",(--($M445&lt;&gt;"תקינה"))+(--($N445&lt;&gt;"תקין"))+(--($O445&lt;&gt;"תקינה"))&gt;=2),"ניכרת","אינה ניכרת")))</f>
        <v/>
      </c>
      <c r="AB445" s="32">
        <f>IF(OR($C445="",$Y445="",$AA445="",LEFT($Y445,1)="—",LEFT($AA445,1)="—"),"",IF($Z445="","— נדרשת הערכת כתיבה",IF($L445="","— חסרה הבנת הנקרא",IF($Y445="אינה מדויקת או מקוטעת",IF($AA445="ניכרת","מיקוד בשטף הקריאה ובכישורי שפה","מיקוד בשטף קריאה"),IF($AA445="ניכרת","מיקוד בכישורי שפה",IF(AND($L445="תקינה",$Z445="מפותחת"),"קוראים וכותבים מיומנים","מיקוד בהבנה והבעה"))))))</f>
        <v/>
      </c>
      <c r="AC445" s="32">
        <f>IF(OR($AB445="",LEFT($AB445,1)="—"),"",IF(OR($AB445="מיקוד בשטף קריאה",$AB445="מיקוד בשטף הקריאה ובכישורי שפה"),"רמה א'",IF($AB445="קוראים וכותבים מיומנים","רמה ג'","רמה ב'")))</f>
        <v/>
      </c>
      <c r="AD445" s="32">
        <f>IF($AC445="","",MID(IF(AND($AC445="רמה א'",$AA445="ניכרת"),"; להוסיף עבודת אוצר מילים","")&amp;IF($Z445="אינה מפותחת","; דגש על הבעה בכתב","")&amp;IF($K445&lt;&gt;"תקין","; נדרש לעבוד על ההנגנה","")&amp;IF($AK445&lt;&gt;"","; "&amp;$AK445,""),3,400))</f>
        <v/>
      </c>
      <c r="AE445" s="32">
        <f>IF($F445="","",IF($F445="תחילת שנה",1,IF($F445="מחצית שנה",2,3)))</f>
        <v/>
      </c>
      <c r="AF445" s="32">
        <f>IF(OR($B445="",$AC445="",$A445="",$F445=""),"",$B445&amp;"|"&amp;$A445&amp;"|"&amp;$F445&amp;"|"&amp;$AC445&amp;"|"&amp;COUNTIFS($B$6:$B445,$B445,$A$6:$A445,$A445,$F$6:$F445,$F445,$AC$6:$AC445,$AC445))</f>
        <v/>
      </c>
      <c r="AG445" s="32">
        <f>IF($C445="","",$C445&amp;"|"&amp;COUNTIFS($C$6:$C445,$C445))</f>
        <v/>
      </c>
      <c r="AH445" s="32">
        <f>IF(OR($C445="",$A445="",$AE445=""),"",$C445&amp;"|"&amp;$A445&amp;"|"&amp;$AE445)</f>
        <v/>
      </c>
      <c r="AI445" s="32">
        <f>IF(OR($C445="",$AE445="",$AE445=1),"",IFERROR(INDEX($AC$6:$AC$1505,MATCH($C445&amp;"|"&amp;$A445&amp;"|"&amp;($AE445-1),$AH$6:$AH$1505,0)),""))</f>
        <v/>
      </c>
      <c r="AJ445" s="32">
        <f>IF(OR($AI445="",$AC445=""),"",IF($AI445=$AC445,"ללא שינוי","מ-"&amp;$AI445&amp;" ל-"&amp;$AC445))</f>
        <v/>
      </c>
      <c r="AK445" s="67" t="n"/>
    </row>
    <row r="446" ht="15.75" customHeight="1" s="58">
      <c r="A446" s="65" t="n"/>
      <c r="B446" s="65" t="n"/>
      <c r="C446" s="66" t="n"/>
      <c r="D446" s="66" t="n"/>
      <c r="E446" s="65" t="n"/>
      <c r="F446" s="65" t="n"/>
      <c r="G446" s="65" t="n"/>
      <c r="H446" s="65" t="n"/>
      <c r="I446" s="65" t="n"/>
      <c r="J446" s="65" t="n"/>
      <c r="K446" s="65" t="n"/>
      <c r="L446" s="65" t="n"/>
      <c r="M446" s="65" t="n"/>
      <c r="N446" s="65" t="n"/>
      <c r="O446" s="65" t="n"/>
      <c r="P446" s="65" t="n"/>
      <c r="Q446" s="65" t="n"/>
      <c r="R446" s="65" t="n"/>
      <c r="S446" s="65" t="n"/>
      <c r="T446" s="65" t="n"/>
      <c r="U446" s="65" t="n"/>
      <c r="V446" s="65" t="n"/>
      <c r="W446" s="65" t="n"/>
      <c r="X446" s="65" t="n"/>
      <c r="Y446" s="32">
        <f>IF($C446="","",IF(COUNTA($I446:$K446)&lt;3,"— חסרים נתונים",IF(AND($I446="תקין",$J446="תקין",$K446="תקין"),"רהוטה",IF(AND($I446="תקין",$J446="תקין"),"מדויקת ורציפה","אינה מדויקת או מקוטעת"))))</f>
        <v/>
      </c>
      <c r="Z446" s="32">
        <f>IF($C446="","",IF(COUNTA($U446:$W446)&lt;3,"",IF(AND($U446="מפותח",$V446="מפותח",$W446="מפותחת"),"מפותחת",IF((--($U446="דל"))+(--($V446="אינו מפותח"))+(--($W446="דלה"))&gt;=2,"אינה מפותחת","חלקית"))))</f>
        <v/>
      </c>
      <c r="AA446" s="32">
        <f>IF($C446="","",IF(COUNTA($M446,$N446,$O446)&lt;3,"— חסרים נתונים",IF(OR($M446="נמוכה",(--($M446&lt;&gt;"תקינה"))+(--($N446&lt;&gt;"תקין"))+(--($O446&lt;&gt;"תקינה"))&gt;=2),"ניכרת","אינה ניכרת")))</f>
        <v/>
      </c>
      <c r="AB446" s="32">
        <f>IF(OR($C446="",$Y446="",$AA446="",LEFT($Y446,1)="—",LEFT($AA446,1)="—"),"",IF($Z446="","— נדרשת הערכת כתיבה",IF($L446="","— חסרה הבנת הנקרא",IF($Y446="אינה מדויקת או מקוטעת",IF($AA446="ניכרת","מיקוד בשטף הקריאה ובכישורי שפה","מיקוד בשטף קריאה"),IF($AA446="ניכרת","מיקוד בכישורי שפה",IF(AND($L446="תקינה",$Z446="מפותחת"),"קוראים וכותבים מיומנים","מיקוד בהבנה והבעה"))))))</f>
        <v/>
      </c>
      <c r="AC446" s="32">
        <f>IF(OR($AB446="",LEFT($AB446,1)="—"),"",IF(OR($AB446="מיקוד בשטף קריאה",$AB446="מיקוד בשטף הקריאה ובכישורי שפה"),"רמה א'",IF($AB446="קוראים וכותבים מיומנים","רמה ג'","רמה ב'")))</f>
        <v/>
      </c>
      <c r="AD446" s="32">
        <f>IF($AC446="","",MID(IF(AND($AC446="רמה א'",$AA446="ניכרת"),"; להוסיף עבודת אוצר מילים","")&amp;IF($Z446="אינה מפותחת","; דגש על הבעה בכתב","")&amp;IF($K446&lt;&gt;"תקין","; נדרש לעבוד על ההנגנה","")&amp;IF($AK446&lt;&gt;"","; "&amp;$AK446,""),3,400))</f>
        <v/>
      </c>
      <c r="AE446" s="32">
        <f>IF($F446="","",IF($F446="תחילת שנה",1,IF($F446="מחצית שנה",2,3)))</f>
        <v/>
      </c>
      <c r="AF446" s="32">
        <f>IF(OR($B446="",$AC446="",$A446="",$F446=""),"",$B446&amp;"|"&amp;$A446&amp;"|"&amp;$F446&amp;"|"&amp;$AC446&amp;"|"&amp;COUNTIFS($B$6:$B446,$B446,$A$6:$A446,$A446,$F$6:$F446,$F446,$AC$6:$AC446,$AC446))</f>
        <v/>
      </c>
      <c r="AG446" s="32">
        <f>IF($C446="","",$C446&amp;"|"&amp;COUNTIFS($C$6:$C446,$C446))</f>
        <v/>
      </c>
      <c r="AH446" s="32">
        <f>IF(OR($C446="",$A446="",$AE446=""),"",$C446&amp;"|"&amp;$A446&amp;"|"&amp;$AE446)</f>
        <v/>
      </c>
      <c r="AI446" s="32">
        <f>IF(OR($C446="",$AE446="",$AE446=1),"",IFERROR(INDEX($AC$6:$AC$1505,MATCH($C446&amp;"|"&amp;$A446&amp;"|"&amp;($AE446-1),$AH$6:$AH$1505,0)),""))</f>
        <v/>
      </c>
      <c r="AJ446" s="32">
        <f>IF(OR($AI446="",$AC446=""),"",IF($AI446=$AC446,"ללא שינוי","מ-"&amp;$AI446&amp;" ל-"&amp;$AC446))</f>
        <v/>
      </c>
      <c r="AK446" s="67" t="n"/>
    </row>
    <row r="447" ht="15.75" customHeight="1" s="58">
      <c r="A447" s="65" t="n"/>
      <c r="B447" s="65" t="n"/>
      <c r="C447" s="66" t="n"/>
      <c r="D447" s="66" t="n"/>
      <c r="E447" s="65" t="n"/>
      <c r="F447" s="65" t="n"/>
      <c r="G447" s="65" t="n"/>
      <c r="H447" s="65" t="n"/>
      <c r="I447" s="65" t="n"/>
      <c r="J447" s="65" t="n"/>
      <c r="K447" s="65" t="n"/>
      <c r="L447" s="65" t="n"/>
      <c r="M447" s="65" t="n"/>
      <c r="N447" s="65" t="n"/>
      <c r="O447" s="65" t="n"/>
      <c r="P447" s="65" t="n"/>
      <c r="Q447" s="65" t="n"/>
      <c r="R447" s="65" t="n"/>
      <c r="S447" s="65" t="n"/>
      <c r="T447" s="65" t="n"/>
      <c r="U447" s="65" t="n"/>
      <c r="V447" s="65" t="n"/>
      <c r="W447" s="65" t="n"/>
      <c r="X447" s="65" t="n"/>
      <c r="Y447" s="32">
        <f>IF($C447="","",IF(COUNTA($I447:$K447)&lt;3,"— חסרים נתונים",IF(AND($I447="תקין",$J447="תקין",$K447="תקין"),"רהוטה",IF(AND($I447="תקין",$J447="תקין"),"מדויקת ורציפה","אינה מדויקת או מקוטעת"))))</f>
        <v/>
      </c>
      <c r="Z447" s="32">
        <f>IF($C447="","",IF(COUNTA($U447:$W447)&lt;3,"",IF(AND($U447="מפותח",$V447="מפותח",$W447="מפותחת"),"מפותחת",IF((--($U447="דל"))+(--($V447="אינו מפותח"))+(--($W447="דלה"))&gt;=2,"אינה מפותחת","חלקית"))))</f>
        <v/>
      </c>
      <c r="AA447" s="32">
        <f>IF($C447="","",IF(COUNTA($M447,$N447,$O447)&lt;3,"— חסרים נתונים",IF(OR($M447="נמוכה",(--($M447&lt;&gt;"תקינה"))+(--($N447&lt;&gt;"תקין"))+(--($O447&lt;&gt;"תקינה"))&gt;=2),"ניכרת","אינה ניכרת")))</f>
        <v/>
      </c>
      <c r="AB447" s="32">
        <f>IF(OR($C447="",$Y447="",$AA447="",LEFT($Y447,1)="—",LEFT($AA447,1)="—"),"",IF($Z447="","— נדרשת הערכת כתיבה",IF($L447="","— חסרה הבנת הנקרא",IF($Y447="אינה מדויקת או מקוטעת",IF($AA447="ניכרת","מיקוד בשטף הקריאה ובכישורי שפה","מיקוד בשטף קריאה"),IF($AA447="ניכרת","מיקוד בכישורי שפה",IF(AND($L447="תקינה",$Z447="מפותחת"),"קוראים וכותבים מיומנים","מיקוד בהבנה והבעה"))))))</f>
        <v/>
      </c>
      <c r="AC447" s="32">
        <f>IF(OR($AB447="",LEFT($AB447,1)="—"),"",IF(OR($AB447="מיקוד בשטף קריאה",$AB447="מיקוד בשטף הקריאה ובכישורי שפה"),"רמה א'",IF($AB447="קוראים וכותבים מיומנים","רמה ג'","רמה ב'")))</f>
        <v/>
      </c>
      <c r="AD447" s="32">
        <f>IF($AC447="","",MID(IF(AND($AC447="רמה א'",$AA447="ניכרת"),"; להוסיף עבודת אוצר מילים","")&amp;IF($Z447="אינה מפותחת","; דגש על הבעה בכתב","")&amp;IF($K447&lt;&gt;"תקין","; נדרש לעבוד על ההנגנה","")&amp;IF($AK447&lt;&gt;"","; "&amp;$AK447,""),3,400))</f>
        <v/>
      </c>
      <c r="AE447" s="32">
        <f>IF($F447="","",IF($F447="תחילת שנה",1,IF($F447="מחצית שנה",2,3)))</f>
        <v/>
      </c>
      <c r="AF447" s="32">
        <f>IF(OR($B447="",$AC447="",$A447="",$F447=""),"",$B447&amp;"|"&amp;$A447&amp;"|"&amp;$F447&amp;"|"&amp;$AC447&amp;"|"&amp;COUNTIFS($B$6:$B447,$B447,$A$6:$A447,$A447,$F$6:$F447,$F447,$AC$6:$AC447,$AC447))</f>
        <v/>
      </c>
      <c r="AG447" s="32">
        <f>IF($C447="","",$C447&amp;"|"&amp;COUNTIFS($C$6:$C447,$C447))</f>
        <v/>
      </c>
      <c r="AH447" s="32">
        <f>IF(OR($C447="",$A447="",$AE447=""),"",$C447&amp;"|"&amp;$A447&amp;"|"&amp;$AE447)</f>
        <v/>
      </c>
      <c r="AI447" s="32">
        <f>IF(OR($C447="",$AE447="",$AE447=1),"",IFERROR(INDEX($AC$6:$AC$1505,MATCH($C447&amp;"|"&amp;$A447&amp;"|"&amp;($AE447-1),$AH$6:$AH$1505,0)),""))</f>
        <v/>
      </c>
      <c r="AJ447" s="32">
        <f>IF(OR($AI447="",$AC447=""),"",IF($AI447=$AC447,"ללא שינוי","מ-"&amp;$AI447&amp;" ל-"&amp;$AC447))</f>
        <v/>
      </c>
      <c r="AK447" s="67" t="n"/>
    </row>
    <row r="448" ht="15.75" customHeight="1" s="58">
      <c r="A448" s="65" t="n"/>
      <c r="B448" s="65" t="n"/>
      <c r="C448" s="66" t="n"/>
      <c r="D448" s="66" t="n"/>
      <c r="E448" s="65" t="n"/>
      <c r="F448" s="65" t="n"/>
      <c r="G448" s="65" t="n"/>
      <c r="H448" s="65" t="n"/>
      <c r="I448" s="65" t="n"/>
      <c r="J448" s="65" t="n"/>
      <c r="K448" s="65" t="n"/>
      <c r="L448" s="65" t="n"/>
      <c r="M448" s="65" t="n"/>
      <c r="N448" s="65" t="n"/>
      <c r="O448" s="65" t="n"/>
      <c r="P448" s="65" t="n"/>
      <c r="Q448" s="65" t="n"/>
      <c r="R448" s="65" t="n"/>
      <c r="S448" s="65" t="n"/>
      <c r="T448" s="65" t="n"/>
      <c r="U448" s="65" t="n"/>
      <c r="V448" s="65" t="n"/>
      <c r="W448" s="65" t="n"/>
      <c r="X448" s="65" t="n"/>
      <c r="Y448" s="32">
        <f>IF($C448="","",IF(COUNTA($I448:$K448)&lt;3,"— חסרים נתונים",IF(AND($I448="תקין",$J448="תקין",$K448="תקין"),"רהוטה",IF(AND($I448="תקין",$J448="תקין"),"מדויקת ורציפה","אינה מדויקת או מקוטעת"))))</f>
        <v/>
      </c>
      <c r="Z448" s="32">
        <f>IF($C448="","",IF(COUNTA($U448:$W448)&lt;3,"",IF(AND($U448="מפותח",$V448="מפותח",$W448="מפותחת"),"מפותחת",IF((--($U448="דל"))+(--($V448="אינו מפותח"))+(--($W448="דלה"))&gt;=2,"אינה מפותחת","חלקית"))))</f>
        <v/>
      </c>
      <c r="AA448" s="32">
        <f>IF($C448="","",IF(COUNTA($M448,$N448,$O448)&lt;3,"— חסרים נתונים",IF(OR($M448="נמוכה",(--($M448&lt;&gt;"תקינה"))+(--($N448&lt;&gt;"תקין"))+(--($O448&lt;&gt;"תקינה"))&gt;=2),"ניכרת","אינה ניכרת")))</f>
        <v/>
      </c>
      <c r="AB448" s="32">
        <f>IF(OR($C448="",$Y448="",$AA448="",LEFT($Y448,1)="—",LEFT($AA448,1)="—"),"",IF($Z448="","— נדרשת הערכת כתיבה",IF($L448="","— חסרה הבנת הנקרא",IF($Y448="אינה מדויקת או מקוטעת",IF($AA448="ניכרת","מיקוד בשטף הקריאה ובכישורי שפה","מיקוד בשטף קריאה"),IF($AA448="ניכרת","מיקוד בכישורי שפה",IF(AND($L448="תקינה",$Z448="מפותחת"),"קוראים וכותבים מיומנים","מיקוד בהבנה והבעה"))))))</f>
        <v/>
      </c>
      <c r="AC448" s="32">
        <f>IF(OR($AB448="",LEFT($AB448,1)="—"),"",IF(OR($AB448="מיקוד בשטף קריאה",$AB448="מיקוד בשטף הקריאה ובכישורי שפה"),"רמה א'",IF($AB448="קוראים וכותבים מיומנים","רמה ג'","רמה ב'")))</f>
        <v/>
      </c>
      <c r="AD448" s="32">
        <f>IF($AC448="","",MID(IF(AND($AC448="רמה א'",$AA448="ניכרת"),"; להוסיף עבודת אוצר מילים","")&amp;IF($Z448="אינה מפותחת","; דגש על הבעה בכתב","")&amp;IF($K448&lt;&gt;"תקין","; נדרש לעבוד על ההנגנה","")&amp;IF($AK448&lt;&gt;"","; "&amp;$AK448,""),3,400))</f>
        <v/>
      </c>
      <c r="AE448" s="32">
        <f>IF($F448="","",IF($F448="תחילת שנה",1,IF($F448="מחצית שנה",2,3)))</f>
        <v/>
      </c>
      <c r="AF448" s="32">
        <f>IF(OR($B448="",$AC448="",$A448="",$F448=""),"",$B448&amp;"|"&amp;$A448&amp;"|"&amp;$F448&amp;"|"&amp;$AC448&amp;"|"&amp;COUNTIFS($B$6:$B448,$B448,$A$6:$A448,$A448,$F$6:$F448,$F448,$AC$6:$AC448,$AC448))</f>
        <v/>
      </c>
      <c r="AG448" s="32">
        <f>IF($C448="","",$C448&amp;"|"&amp;COUNTIFS($C$6:$C448,$C448))</f>
        <v/>
      </c>
      <c r="AH448" s="32">
        <f>IF(OR($C448="",$A448="",$AE448=""),"",$C448&amp;"|"&amp;$A448&amp;"|"&amp;$AE448)</f>
        <v/>
      </c>
      <c r="AI448" s="32">
        <f>IF(OR($C448="",$AE448="",$AE448=1),"",IFERROR(INDEX($AC$6:$AC$1505,MATCH($C448&amp;"|"&amp;$A448&amp;"|"&amp;($AE448-1),$AH$6:$AH$1505,0)),""))</f>
        <v/>
      </c>
      <c r="AJ448" s="32">
        <f>IF(OR($AI448="",$AC448=""),"",IF($AI448=$AC448,"ללא שינוי","מ-"&amp;$AI448&amp;" ל-"&amp;$AC448))</f>
        <v/>
      </c>
      <c r="AK448" s="67" t="n"/>
    </row>
    <row r="449" ht="15.75" customHeight="1" s="58">
      <c r="A449" s="65" t="n"/>
      <c r="B449" s="65" t="n"/>
      <c r="C449" s="66" t="n"/>
      <c r="D449" s="66" t="n"/>
      <c r="E449" s="65" t="n"/>
      <c r="F449" s="65" t="n"/>
      <c r="G449" s="65" t="n"/>
      <c r="H449" s="65" t="n"/>
      <c r="I449" s="65" t="n"/>
      <c r="J449" s="65" t="n"/>
      <c r="K449" s="65" t="n"/>
      <c r="L449" s="65" t="n"/>
      <c r="M449" s="65" t="n"/>
      <c r="N449" s="65" t="n"/>
      <c r="O449" s="65" t="n"/>
      <c r="P449" s="65" t="n"/>
      <c r="Q449" s="65" t="n"/>
      <c r="R449" s="65" t="n"/>
      <c r="S449" s="65" t="n"/>
      <c r="T449" s="65" t="n"/>
      <c r="U449" s="65" t="n"/>
      <c r="V449" s="65" t="n"/>
      <c r="W449" s="65" t="n"/>
      <c r="X449" s="65" t="n"/>
      <c r="Y449" s="32">
        <f>IF($C449="","",IF(COUNTA($I449:$K449)&lt;3,"— חסרים נתונים",IF(AND($I449="תקין",$J449="תקין",$K449="תקין"),"רהוטה",IF(AND($I449="תקין",$J449="תקין"),"מדויקת ורציפה","אינה מדויקת או מקוטעת"))))</f>
        <v/>
      </c>
      <c r="Z449" s="32">
        <f>IF($C449="","",IF(COUNTA($U449:$W449)&lt;3,"",IF(AND($U449="מפותח",$V449="מפותח",$W449="מפותחת"),"מפותחת",IF((--($U449="דל"))+(--($V449="אינו מפותח"))+(--($W449="דלה"))&gt;=2,"אינה מפותחת","חלקית"))))</f>
        <v/>
      </c>
      <c r="AA449" s="32">
        <f>IF($C449="","",IF(COUNTA($M449,$N449,$O449)&lt;3,"— חסרים נתונים",IF(OR($M449="נמוכה",(--($M449&lt;&gt;"תקינה"))+(--($N449&lt;&gt;"תקין"))+(--($O449&lt;&gt;"תקינה"))&gt;=2),"ניכרת","אינה ניכרת")))</f>
        <v/>
      </c>
      <c r="AB449" s="32">
        <f>IF(OR($C449="",$Y449="",$AA449="",LEFT($Y449,1)="—",LEFT($AA449,1)="—"),"",IF($Z449="","— נדרשת הערכת כתיבה",IF($L449="","— חסרה הבנת הנקרא",IF($Y449="אינה מדויקת או מקוטעת",IF($AA449="ניכרת","מיקוד בשטף הקריאה ובכישורי שפה","מיקוד בשטף קריאה"),IF($AA449="ניכרת","מיקוד בכישורי שפה",IF(AND($L449="תקינה",$Z449="מפותחת"),"קוראים וכותבים מיומנים","מיקוד בהבנה והבעה"))))))</f>
        <v/>
      </c>
      <c r="AC449" s="32">
        <f>IF(OR($AB449="",LEFT($AB449,1)="—"),"",IF(OR($AB449="מיקוד בשטף קריאה",$AB449="מיקוד בשטף הקריאה ובכישורי שפה"),"רמה א'",IF($AB449="קוראים וכותבים מיומנים","רמה ג'","רמה ב'")))</f>
        <v/>
      </c>
      <c r="AD449" s="32">
        <f>IF($AC449="","",MID(IF(AND($AC449="רמה א'",$AA449="ניכרת"),"; להוסיף עבודת אוצר מילים","")&amp;IF($Z449="אינה מפותחת","; דגש על הבעה בכתב","")&amp;IF($K449&lt;&gt;"תקין","; נדרש לעבוד על ההנגנה","")&amp;IF($AK449&lt;&gt;"","; "&amp;$AK449,""),3,400))</f>
        <v/>
      </c>
      <c r="AE449" s="32">
        <f>IF($F449="","",IF($F449="תחילת שנה",1,IF($F449="מחצית שנה",2,3)))</f>
        <v/>
      </c>
      <c r="AF449" s="32">
        <f>IF(OR($B449="",$AC449="",$A449="",$F449=""),"",$B449&amp;"|"&amp;$A449&amp;"|"&amp;$F449&amp;"|"&amp;$AC449&amp;"|"&amp;COUNTIFS($B$6:$B449,$B449,$A$6:$A449,$A449,$F$6:$F449,$F449,$AC$6:$AC449,$AC449))</f>
        <v/>
      </c>
      <c r="AG449" s="32">
        <f>IF($C449="","",$C449&amp;"|"&amp;COUNTIFS($C$6:$C449,$C449))</f>
        <v/>
      </c>
      <c r="AH449" s="32">
        <f>IF(OR($C449="",$A449="",$AE449=""),"",$C449&amp;"|"&amp;$A449&amp;"|"&amp;$AE449)</f>
        <v/>
      </c>
      <c r="AI449" s="32">
        <f>IF(OR($C449="",$AE449="",$AE449=1),"",IFERROR(INDEX($AC$6:$AC$1505,MATCH($C449&amp;"|"&amp;$A449&amp;"|"&amp;($AE449-1),$AH$6:$AH$1505,0)),""))</f>
        <v/>
      </c>
      <c r="AJ449" s="32">
        <f>IF(OR($AI449="",$AC449=""),"",IF($AI449=$AC449,"ללא שינוי","מ-"&amp;$AI449&amp;" ל-"&amp;$AC449))</f>
        <v/>
      </c>
      <c r="AK449" s="67" t="n"/>
    </row>
    <row r="450" ht="15.75" customHeight="1" s="58">
      <c r="A450" s="65" t="n"/>
      <c r="B450" s="65" t="n"/>
      <c r="C450" s="66" t="n"/>
      <c r="D450" s="66" t="n"/>
      <c r="E450" s="65" t="n"/>
      <c r="F450" s="65" t="n"/>
      <c r="G450" s="65" t="n"/>
      <c r="H450" s="65" t="n"/>
      <c r="I450" s="65" t="n"/>
      <c r="J450" s="65" t="n"/>
      <c r="K450" s="65" t="n"/>
      <c r="L450" s="65" t="n"/>
      <c r="M450" s="65" t="n"/>
      <c r="N450" s="65" t="n"/>
      <c r="O450" s="65" t="n"/>
      <c r="P450" s="65" t="n"/>
      <c r="Q450" s="65" t="n"/>
      <c r="R450" s="65" t="n"/>
      <c r="S450" s="65" t="n"/>
      <c r="T450" s="65" t="n"/>
      <c r="U450" s="65" t="n"/>
      <c r="V450" s="65" t="n"/>
      <c r="W450" s="65" t="n"/>
      <c r="X450" s="65" t="n"/>
      <c r="Y450" s="32">
        <f>IF($C450="","",IF(COUNTA($I450:$K450)&lt;3,"— חסרים נתונים",IF(AND($I450="תקין",$J450="תקין",$K450="תקין"),"רהוטה",IF(AND($I450="תקין",$J450="תקין"),"מדויקת ורציפה","אינה מדויקת או מקוטעת"))))</f>
        <v/>
      </c>
      <c r="Z450" s="32">
        <f>IF($C450="","",IF(COUNTA($U450:$W450)&lt;3,"",IF(AND($U450="מפותח",$V450="מפותח",$W450="מפותחת"),"מפותחת",IF((--($U450="דל"))+(--($V450="אינו מפותח"))+(--($W450="דלה"))&gt;=2,"אינה מפותחת","חלקית"))))</f>
        <v/>
      </c>
      <c r="AA450" s="32">
        <f>IF($C450="","",IF(COUNTA($M450,$N450,$O450)&lt;3,"— חסרים נתונים",IF(OR($M450="נמוכה",(--($M450&lt;&gt;"תקינה"))+(--($N450&lt;&gt;"תקין"))+(--($O450&lt;&gt;"תקינה"))&gt;=2),"ניכרת","אינה ניכרת")))</f>
        <v/>
      </c>
      <c r="AB450" s="32">
        <f>IF(OR($C450="",$Y450="",$AA450="",LEFT($Y450,1)="—",LEFT($AA450,1)="—"),"",IF($Z450="","— נדרשת הערכת כתיבה",IF($L450="","— חסרה הבנת הנקרא",IF($Y450="אינה מדויקת או מקוטעת",IF($AA450="ניכרת","מיקוד בשטף הקריאה ובכישורי שפה","מיקוד בשטף קריאה"),IF($AA450="ניכרת","מיקוד בכישורי שפה",IF(AND($L450="תקינה",$Z450="מפותחת"),"קוראים וכותבים מיומנים","מיקוד בהבנה והבעה"))))))</f>
        <v/>
      </c>
      <c r="AC450" s="32">
        <f>IF(OR($AB450="",LEFT($AB450,1)="—"),"",IF(OR($AB450="מיקוד בשטף קריאה",$AB450="מיקוד בשטף הקריאה ובכישורי שפה"),"רמה א'",IF($AB450="קוראים וכותבים מיומנים","רמה ג'","רמה ב'")))</f>
        <v/>
      </c>
      <c r="AD450" s="32">
        <f>IF($AC450="","",MID(IF(AND($AC450="רמה א'",$AA450="ניכרת"),"; להוסיף עבודת אוצר מילים","")&amp;IF($Z450="אינה מפותחת","; דגש על הבעה בכתב","")&amp;IF($K450&lt;&gt;"תקין","; נדרש לעבוד על ההנגנה","")&amp;IF($AK450&lt;&gt;"","; "&amp;$AK450,""),3,400))</f>
        <v/>
      </c>
      <c r="AE450" s="32">
        <f>IF($F450="","",IF($F450="תחילת שנה",1,IF($F450="מחצית שנה",2,3)))</f>
        <v/>
      </c>
      <c r="AF450" s="32">
        <f>IF(OR($B450="",$AC450="",$A450="",$F450=""),"",$B450&amp;"|"&amp;$A450&amp;"|"&amp;$F450&amp;"|"&amp;$AC450&amp;"|"&amp;COUNTIFS($B$6:$B450,$B450,$A$6:$A450,$A450,$F$6:$F450,$F450,$AC$6:$AC450,$AC450))</f>
        <v/>
      </c>
      <c r="AG450" s="32">
        <f>IF($C450="","",$C450&amp;"|"&amp;COUNTIFS($C$6:$C450,$C450))</f>
        <v/>
      </c>
      <c r="AH450" s="32">
        <f>IF(OR($C450="",$A450="",$AE450=""),"",$C450&amp;"|"&amp;$A450&amp;"|"&amp;$AE450)</f>
        <v/>
      </c>
      <c r="AI450" s="32">
        <f>IF(OR($C450="",$AE450="",$AE450=1),"",IFERROR(INDEX($AC$6:$AC$1505,MATCH($C450&amp;"|"&amp;$A450&amp;"|"&amp;($AE450-1),$AH$6:$AH$1505,0)),""))</f>
        <v/>
      </c>
      <c r="AJ450" s="32">
        <f>IF(OR($AI450="",$AC450=""),"",IF($AI450=$AC450,"ללא שינוי","מ-"&amp;$AI450&amp;" ל-"&amp;$AC450))</f>
        <v/>
      </c>
      <c r="AK450" s="67" t="n"/>
    </row>
    <row r="451" ht="15.75" customHeight="1" s="58">
      <c r="A451" s="65" t="n"/>
      <c r="B451" s="65" t="n"/>
      <c r="C451" s="66" t="n"/>
      <c r="D451" s="66" t="n"/>
      <c r="E451" s="65" t="n"/>
      <c r="F451" s="65" t="n"/>
      <c r="G451" s="65" t="n"/>
      <c r="H451" s="65" t="n"/>
      <c r="I451" s="65" t="n"/>
      <c r="J451" s="65" t="n"/>
      <c r="K451" s="65" t="n"/>
      <c r="L451" s="65" t="n"/>
      <c r="M451" s="65" t="n"/>
      <c r="N451" s="65" t="n"/>
      <c r="O451" s="65" t="n"/>
      <c r="P451" s="65" t="n"/>
      <c r="Q451" s="65" t="n"/>
      <c r="R451" s="65" t="n"/>
      <c r="S451" s="65" t="n"/>
      <c r="T451" s="65" t="n"/>
      <c r="U451" s="65" t="n"/>
      <c r="V451" s="65" t="n"/>
      <c r="W451" s="65" t="n"/>
      <c r="X451" s="65" t="n"/>
      <c r="Y451" s="32">
        <f>IF($C451="","",IF(COUNTA($I451:$K451)&lt;3,"— חסרים נתונים",IF(AND($I451="תקין",$J451="תקין",$K451="תקין"),"רהוטה",IF(AND($I451="תקין",$J451="תקין"),"מדויקת ורציפה","אינה מדויקת או מקוטעת"))))</f>
        <v/>
      </c>
      <c r="Z451" s="32">
        <f>IF($C451="","",IF(COUNTA($U451:$W451)&lt;3,"",IF(AND($U451="מפותח",$V451="מפותח",$W451="מפותחת"),"מפותחת",IF((--($U451="דל"))+(--($V451="אינו מפותח"))+(--($W451="דלה"))&gt;=2,"אינה מפותחת","חלקית"))))</f>
        <v/>
      </c>
      <c r="AA451" s="32">
        <f>IF($C451="","",IF(COUNTA($M451,$N451,$O451)&lt;3,"— חסרים נתונים",IF(OR($M451="נמוכה",(--($M451&lt;&gt;"תקינה"))+(--($N451&lt;&gt;"תקין"))+(--($O451&lt;&gt;"תקינה"))&gt;=2),"ניכרת","אינה ניכרת")))</f>
        <v/>
      </c>
      <c r="AB451" s="32">
        <f>IF(OR($C451="",$Y451="",$AA451="",LEFT($Y451,1)="—",LEFT($AA451,1)="—"),"",IF($Z451="","— נדרשת הערכת כתיבה",IF($L451="","— חסרה הבנת הנקרא",IF($Y451="אינה מדויקת או מקוטעת",IF($AA451="ניכרת","מיקוד בשטף הקריאה ובכישורי שפה","מיקוד בשטף קריאה"),IF($AA451="ניכרת","מיקוד בכישורי שפה",IF(AND($L451="תקינה",$Z451="מפותחת"),"קוראים וכותבים מיומנים","מיקוד בהבנה והבעה"))))))</f>
        <v/>
      </c>
      <c r="AC451" s="32">
        <f>IF(OR($AB451="",LEFT($AB451,1)="—"),"",IF(OR($AB451="מיקוד בשטף קריאה",$AB451="מיקוד בשטף הקריאה ובכישורי שפה"),"רמה א'",IF($AB451="קוראים וכותבים מיומנים","רמה ג'","רמה ב'")))</f>
        <v/>
      </c>
      <c r="AD451" s="32">
        <f>IF($AC451="","",MID(IF(AND($AC451="רמה א'",$AA451="ניכרת"),"; להוסיף עבודת אוצר מילים","")&amp;IF($Z451="אינה מפותחת","; דגש על הבעה בכתב","")&amp;IF($K451&lt;&gt;"תקין","; נדרש לעבוד על ההנגנה","")&amp;IF($AK451&lt;&gt;"","; "&amp;$AK451,""),3,400))</f>
        <v/>
      </c>
      <c r="AE451" s="32">
        <f>IF($F451="","",IF($F451="תחילת שנה",1,IF($F451="מחצית שנה",2,3)))</f>
        <v/>
      </c>
      <c r="AF451" s="32">
        <f>IF(OR($B451="",$AC451="",$A451="",$F451=""),"",$B451&amp;"|"&amp;$A451&amp;"|"&amp;$F451&amp;"|"&amp;$AC451&amp;"|"&amp;COUNTIFS($B$6:$B451,$B451,$A$6:$A451,$A451,$F$6:$F451,$F451,$AC$6:$AC451,$AC451))</f>
        <v/>
      </c>
      <c r="AG451" s="32">
        <f>IF($C451="","",$C451&amp;"|"&amp;COUNTIFS($C$6:$C451,$C451))</f>
        <v/>
      </c>
      <c r="AH451" s="32">
        <f>IF(OR($C451="",$A451="",$AE451=""),"",$C451&amp;"|"&amp;$A451&amp;"|"&amp;$AE451)</f>
        <v/>
      </c>
      <c r="AI451" s="32">
        <f>IF(OR($C451="",$AE451="",$AE451=1),"",IFERROR(INDEX($AC$6:$AC$1505,MATCH($C451&amp;"|"&amp;$A451&amp;"|"&amp;($AE451-1),$AH$6:$AH$1505,0)),""))</f>
        <v/>
      </c>
      <c r="AJ451" s="32">
        <f>IF(OR($AI451="",$AC451=""),"",IF($AI451=$AC451,"ללא שינוי","מ-"&amp;$AI451&amp;" ל-"&amp;$AC451))</f>
        <v/>
      </c>
      <c r="AK451" s="67" t="n"/>
    </row>
    <row r="452" ht="15.75" customHeight="1" s="58">
      <c r="A452" s="65" t="n"/>
      <c r="B452" s="65" t="n"/>
      <c r="C452" s="66" t="n"/>
      <c r="D452" s="66" t="n"/>
      <c r="E452" s="65" t="n"/>
      <c r="F452" s="65" t="n"/>
      <c r="G452" s="65" t="n"/>
      <c r="H452" s="65" t="n"/>
      <c r="I452" s="65" t="n"/>
      <c r="J452" s="65" t="n"/>
      <c r="K452" s="65" t="n"/>
      <c r="L452" s="65" t="n"/>
      <c r="M452" s="65" t="n"/>
      <c r="N452" s="65" t="n"/>
      <c r="O452" s="65" t="n"/>
      <c r="P452" s="65" t="n"/>
      <c r="Q452" s="65" t="n"/>
      <c r="R452" s="65" t="n"/>
      <c r="S452" s="65" t="n"/>
      <c r="T452" s="65" t="n"/>
      <c r="U452" s="65" t="n"/>
      <c r="V452" s="65" t="n"/>
      <c r="W452" s="65" t="n"/>
      <c r="X452" s="65" t="n"/>
      <c r="Y452" s="32">
        <f>IF($C452="","",IF(COUNTA($I452:$K452)&lt;3,"— חסרים נתונים",IF(AND($I452="תקין",$J452="תקין",$K452="תקין"),"רהוטה",IF(AND($I452="תקין",$J452="תקין"),"מדויקת ורציפה","אינה מדויקת או מקוטעת"))))</f>
        <v/>
      </c>
      <c r="Z452" s="32">
        <f>IF($C452="","",IF(COUNTA($U452:$W452)&lt;3,"",IF(AND($U452="מפותח",$V452="מפותח",$W452="מפותחת"),"מפותחת",IF((--($U452="דל"))+(--($V452="אינו מפותח"))+(--($W452="דלה"))&gt;=2,"אינה מפותחת","חלקית"))))</f>
        <v/>
      </c>
      <c r="AA452" s="32">
        <f>IF($C452="","",IF(COUNTA($M452,$N452,$O452)&lt;3,"— חסרים נתונים",IF(OR($M452="נמוכה",(--($M452&lt;&gt;"תקינה"))+(--($N452&lt;&gt;"תקין"))+(--($O452&lt;&gt;"תקינה"))&gt;=2),"ניכרת","אינה ניכרת")))</f>
        <v/>
      </c>
      <c r="AB452" s="32">
        <f>IF(OR($C452="",$Y452="",$AA452="",LEFT($Y452,1)="—",LEFT($AA452,1)="—"),"",IF($Z452="","— נדרשת הערכת כתיבה",IF($L452="","— חסרה הבנת הנקרא",IF($Y452="אינה מדויקת או מקוטעת",IF($AA452="ניכרת","מיקוד בשטף הקריאה ובכישורי שפה","מיקוד בשטף קריאה"),IF($AA452="ניכרת","מיקוד בכישורי שפה",IF(AND($L452="תקינה",$Z452="מפותחת"),"קוראים וכותבים מיומנים","מיקוד בהבנה והבעה"))))))</f>
        <v/>
      </c>
      <c r="AC452" s="32">
        <f>IF(OR($AB452="",LEFT($AB452,1)="—"),"",IF(OR($AB452="מיקוד בשטף קריאה",$AB452="מיקוד בשטף הקריאה ובכישורי שפה"),"רמה א'",IF($AB452="קוראים וכותבים מיומנים","רמה ג'","רמה ב'")))</f>
        <v/>
      </c>
      <c r="AD452" s="32">
        <f>IF($AC452="","",MID(IF(AND($AC452="רמה א'",$AA452="ניכרת"),"; להוסיף עבודת אוצר מילים","")&amp;IF($Z452="אינה מפותחת","; דגש על הבעה בכתב","")&amp;IF($K452&lt;&gt;"תקין","; נדרש לעבוד על ההנגנה","")&amp;IF($AK452&lt;&gt;"","; "&amp;$AK452,""),3,400))</f>
        <v/>
      </c>
      <c r="AE452" s="32">
        <f>IF($F452="","",IF($F452="תחילת שנה",1,IF($F452="מחצית שנה",2,3)))</f>
        <v/>
      </c>
      <c r="AF452" s="32">
        <f>IF(OR($B452="",$AC452="",$A452="",$F452=""),"",$B452&amp;"|"&amp;$A452&amp;"|"&amp;$F452&amp;"|"&amp;$AC452&amp;"|"&amp;COUNTIFS($B$6:$B452,$B452,$A$6:$A452,$A452,$F$6:$F452,$F452,$AC$6:$AC452,$AC452))</f>
        <v/>
      </c>
      <c r="AG452" s="32">
        <f>IF($C452="","",$C452&amp;"|"&amp;COUNTIFS($C$6:$C452,$C452))</f>
        <v/>
      </c>
      <c r="AH452" s="32">
        <f>IF(OR($C452="",$A452="",$AE452=""),"",$C452&amp;"|"&amp;$A452&amp;"|"&amp;$AE452)</f>
        <v/>
      </c>
      <c r="AI452" s="32">
        <f>IF(OR($C452="",$AE452="",$AE452=1),"",IFERROR(INDEX($AC$6:$AC$1505,MATCH($C452&amp;"|"&amp;$A452&amp;"|"&amp;($AE452-1),$AH$6:$AH$1505,0)),""))</f>
        <v/>
      </c>
      <c r="AJ452" s="32">
        <f>IF(OR($AI452="",$AC452=""),"",IF($AI452=$AC452,"ללא שינוי","מ-"&amp;$AI452&amp;" ל-"&amp;$AC452))</f>
        <v/>
      </c>
      <c r="AK452" s="67" t="n"/>
    </row>
    <row r="453" ht="15.75" customHeight="1" s="58">
      <c r="A453" s="65" t="n"/>
      <c r="B453" s="65" t="n"/>
      <c r="C453" s="66" t="n"/>
      <c r="D453" s="66" t="n"/>
      <c r="E453" s="65" t="n"/>
      <c r="F453" s="65" t="n"/>
      <c r="G453" s="65" t="n"/>
      <c r="H453" s="65" t="n"/>
      <c r="I453" s="65" t="n"/>
      <c r="J453" s="65" t="n"/>
      <c r="K453" s="65" t="n"/>
      <c r="L453" s="65" t="n"/>
      <c r="M453" s="65" t="n"/>
      <c r="N453" s="65" t="n"/>
      <c r="O453" s="65" t="n"/>
      <c r="P453" s="65" t="n"/>
      <c r="Q453" s="65" t="n"/>
      <c r="R453" s="65" t="n"/>
      <c r="S453" s="65" t="n"/>
      <c r="T453" s="65" t="n"/>
      <c r="U453" s="65" t="n"/>
      <c r="V453" s="65" t="n"/>
      <c r="W453" s="65" t="n"/>
      <c r="X453" s="65" t="n"/>
      <c r="Y453" s="32">
        <f>IF($C453="","",IF(COUNTA($I453:$K453)&lt;3,"— חסרים נתונים",IF(AND($I453="תקין",$J453="תקין",$K453="תקין"),"רהוטה",IF(AND($I453="תקין",$J453="תקין"),"מדויקת ורציפה","אינה מדויקת או מקוטעת"))))</f>
        <v/>
      </c>
      <c r="Z453" s="32">
        <f>IF($C453="","",IF(COUNTA($U453:$W453)&lt;3,"",IF(AND($U453="מפותח",$V453="מפותח",$W453="מפותחת"),"מפותחת",IF((--($U453="דל"))+(--($V453="אינו מפותח"))+(--($W453="דלה"))&gt;=2,"אינה מפותחת","חלקית"))))</f>
        <v/>
      </c>
      <c r="AA453" s="32">
        <f>IF($C453="","",IF(COUNTA($M453,$N453,$O453)&lt;3,"— חסרים נתונים",IF(OR($M453="נמוכה",(--($M453&lt;&gt;"תקינה"))+(--($N453&lt;&gt;"תקין"))+(--($O453&lt;&gt;"תקינה"))&gt;=2),"ניכרת","אינה ניכרת")))</f>
        <v/>
      </c>
      <c r="AB453" s="32">
        <f>IF(OR($C453="",$Y453="",$AA453="",LEFT($Y453,1)="—",LEFT($AA453,1)="—"),"",IF($Z453="","— נדרשת הערכת כתיבה",IF($L453="","— חסרה הבנת הנקרא",IF($Y453="אינה מדויקת או מקוטעת",IF($AA453="ניכרת","מיקוד בשטף הקריאה ובכישורי שפה","מיקוד בשטף קריאה"),IF($AA453="ניכרת","מיקוד בכישורי שפה",IF(AND($L453="תקינה",$Z453="מפותחת"),"קוראים וכותבים מיומנים","מיקוד בהבנה והבעה"))))))</f>
        <v/>
      </c>
      <c r="AC453" s="32">
        <f>IF(OR($AB453="",LEFT($AB453,1)="—"),"",IF(OR($AB453="מיקוד בשטף קריאה",$AB453="מיקוד בשטף הקריאה ובכישורי שפה"),"רמה א'",IF($AB453="קוראים וכותבים מיומנים","רמה ג'","רמה ב'")))</f>
        <v/>
      </c>
      <c r="AD453" s="32">
        <f>IF($AC453="","",MID(IF(AND($AC453="רמה א'",$AA453="ניכרת"),"; להוסיף עבודת אוצר מילים","")&amp;IF($Z453="אינה מפותחת","; דגש על הבעה בכתב","")&amp;IF($K453&lt;&gt;"תקין","; נדרש לעבוד על ההנגנה","")&amp;IF($AK453&lt;&gt;"","; "&amp;$AK453,""),3,400))</f>
        <v/>
      </c>
      <c r="AE453" s="32">
        <f>IF($F453="","",IF($F453="תחילת שנה",1,IF($F453="מחצית שנה",2,3)))</f>
        <v/>
      </c>
      <c r="AF453" s="32">
        <f>IF(OR($B453="",$AC453="",$A453="",$F453=""),"",$B453&amp;"|"&amp;$A453&amp;"|"&amp;$F453&amp;"|"&amp;$AC453&amp;"|"&amp;COUNTIFS($B$6:$B453,$B453,$A$6:$A453,$A453,$F$6:$F453,$F453,$AC$6:$AC453,$AC453))</f>
        <v/>
      </c>
      <c r="AG453" s="32">
        <f>IF($C453="","",$C453&amp;"|"&amp;COUNTIFS($C$6:$C453,$C453))</f>
        <v/>
      </c>
      <c r="AH453" s="32">
        <f>IF(OR($C453="",$A453="",$AE453=""),"",$C453&amp;"|"&amp;$A453&amp;"|"&amp;$AE453)</f>
        <v/>
      </c>
      <c r="AI453" s="32">
        <f>IF(OR($C453="",$AE453="",$AE453=1),"",IFERROR(INDEX($AC$6:$AC$1505,MATCH($C453&amp;"|"&amp;$A453&amp;"|"&amp;($AE453-1),$AH$6:$AH$1505,0)),""))</f>
        <v/>
      </c>
      <c r="AJ453" s="32">
        <f>IF(OR($AI453="",$AC453=""),"",IF($AI453=$AC453,"ללא שינוי","מ-"&amp;$AI453&amp;" ל-"&amp;$AC453))</f>
        <v/>
      </c>
      <c r="AK453" s="67" t="n"/>
    </row>
    <row r="454" ht="15.75" customHeight="1" s="58">
      <c r="A454" s="65" t="n"/>
      <c r="B454" s="65" t="n"/>
      <c r="C454" s="66" t="n"/>
      <c r="D454" s="66" t="n"/>
      <c r="E454" s="65" t="n"/>
      <c r="F454" s="65" t="n"/>
      <c r="G454" s="65" t="n"/>
      <c r="H454" s="65" t="n"/>
      <c r="I454" s="65" t="n"/>
      <c r="J454" s="65" t="n"/>
      <c r="K454" s="65" t="n"/>
      <c r="L454" s="65" t="n"/>
      <c r="M454" s="65" t="n"/>
      <c r="N454" s="65" t="n"/>
      <c r="O454" s="65" t="n"/>
      <c r="P454" s="65" t="n"/>
      <c r="Q454" s="65" t="n"/>
      <c r="R454" s="65" t="n"/>
      <c r="S454" s="65" t="n"/>
      <c r="T454" s="65" t="n"/>
      <c r="U454" s="65" t="n"/>
      <c r="V454" s="65" t="n"/>
      <c r="W454" s="65" t="n"/>
      <c r="X454" s="65" t="n"/>
      <c r="Y454" s="32">
        <f>IF($C454="","",IF(COUNTA($I454:$K454)&lt;3,"— חסרים נתונים",IF(AND($I454="תקין",$J454="תקין",$K454="תקין"),"רהוטה",IF(AND($I454="תקין",$J454="תקין"),"מדויקת ורציפה","אינה מדויקת או מקוטעת"))))</f>
        <v/>
      </c>
      <c r="Z454" s="32">
        <f>IF($C454="","",IF(COUNTA($U454:$W454)&lt;3,"",IF(AND($U454="מפותח",$V454="מפותח",$W454="מפותחת"),"מפותחת",IF((--($U454="דל"))+(--($V454="אינו מפותח"))+(--($W454="דלה"))&gt;=2,"אינה מפותחת","חלקית"))))</f>
        <v/>
      </c>
      <c r="AA454" s="32">
        <f>IF($C454="","",IF(COUNTA($M454,$N454,$O454)&lt;3,"— חסרים נתונים",IF(OR($M454="נמוכה",(--($M454&lt;&gt;"תקינה"))+(--($N454&lt;&gt;"תקין"))+(--($O454&lt;&gt;"תקינה"))&gt;=2),"ניכרת","אינה ניכרת")))</f>
        <v/>
      </c>
      <c r="AB454" s="32">
        <f>IF(OR($C454="",$Y454="",$AA454="",LEFT($Y454,1)="—",LEFT($AA454,1)="—"),"",IF($Z454="","— נדרשת הערכת כתיבה",IF($L454="","— חסרה הבנת הנקרא",IF($Y454="אינה מדויקת או מקוטעת",IF($AA454="ניכרת","מיקוד בשטף הקריאה ובכישורי שפה","מיקוד בשטף קריאה"),IF($AA454="ניכרת","מיקוד בכישורי שפה",IF(AND($L454="תקינה",$Z454="מפותחת"),"קוראים וכותבים מיומנים","מיקוד בהבנה והבעה"))))))</f>
        <v/>
      </c>
      <c r="AC454" s="32">
        <f>IF(OR($AB454="",LEFT($AB454,1)="—"),"",IF(OR($AB454="מיקוד בשטף קריאה",$AB454="מיקוד בשטף הקריאה ובכישורי שפה"),"רמה א'",IF($AB454="קוראים וכותבים מיומנים","רמה ג'","רמה ב'")))</f>
        <v/>
      </c>
      <c r="AD454" s="32">
        <f>IF($AC454="","",MID(IF(AND($AC454="רמה א'",$AA454="ניכרת"),"; להוסיף עבודת אוצר מילים","")&amp;IF($Z454="אינה מפותחת","; דגש על הבעה בכתב","")&amp;IF($K454&lt;&gt;"תקין","; נדרש לעבוד על ההנגנה","")&amp;IF($AK454&lt;&gt;"","; "&amp;$AK454,""),3,400))</f>
        <v/>
      </c>
      <c r="AE454" s="32">
        <f>IF($F454="","",IF($F454="תחילת שנה",1,IF($F454="מחצית שנה",2,3)))</f>
        <v/>
      </c>
      <c r="AF454" s="32">
        <f>IF(OR($B454="",$AC454="",$A454="",$F454=""),"",$B454&amp;"|"&amp;$A454&amp;"|"&amp;$F454&amp;"|"&amp;$AC454&amp;"|"&amp;COUNTIFS($B$6:$B454,$B454,$A$6:$A454,$A454,$F$6:$F454,$F454,$AC$6:$AC454,$AC454))</f>
        <v/>
      </c>
      <c r="AG454" s="32">
        <f>IF($C454="","",$C454&amp;"|"&amp;COUNTIFS($C$6:$C454,$C454))</f>
        <v/>
      </c>
      <c r="AH454" s="32">
        <f>IF(OR($C454="",$A454="",$AE454=""),"",$C454&amp;"|"&amp;$A454&amp;"|"&amp;$AE454)</f>
        <v/>
      </c>
      <c r="AI454" s="32">
        <f>IF(OR($C454="",$AE454="",$AE454=1),"",IFERROR(INDEX($AC$6:$AC$1505,MATCH($C454&amp;"|"&amp;$A454&amp;"|"&amp;($AE454-1),$AH$6:$AH$1505,0)),""))</f>
        <v/>
      </c>
      <c r="AJ454" s="32">
        <f>IF(OR($AI454="",$AC454=""),"",IF($AI454=$AC454,"ללא שינוי","מ-"&amp;$AI454&amp;" ל-"&amp;$AC454))</f>
        <v/>
      </c>
      <c r="AK454" s="67" t="n"/>
    </row>
    <row r="455" ht="15.75" customHeight="1" s="58">
      <c r="A455" s="65" t="n"/>
      <c r="B455" s="65" t="n"/>
      <c r="C455" s="66" t="n"/>
      <c r="D455" s="66" t="n"/>
      <c r="E455" s="65" t="n"/>
      <c r="F455" s="65" t="n"/>
      <c r="G455" s="65" t="n"/>
      <c r="H455" s="65" t="n"/>
      <c r="I455" s="65" t="n"/>
      <c r="J455" s="65" t="n"/>
      <c r="K455" s="65" t="n"/>
      <c r="L455" s="65" t="n"/>
      <c r="M455" s="65" t="n"/>
      <c r="N455" s="65" t="n"/>
      <c r="O455" s="65" t="n"/>
      <c r="P455" s="65" t="n"/>
      <c r="Q455" s="65" t="n"/>
      <c r="R455" s="65" t="n"/>
      <c r="S455" s="65" t="n"/>
      <c r="T455" s="65" t="n"/>
      <c r="U455" s="65" t="n"/>
      <c r="V455" s="65" t="n"/>
      <c r="W455" s="65" t="n"/>
      <c r="X455" s="65" t="n"/>
      <c r="Y455" s="32">
        <f>IF($C455="","",IF(COUNTA($I455:$K455)&lt;3,"— חסרים נתונים",IF(AND($I455="תקין",$J455="תקין",$K455="תקין"),"רהוטה",IF(AND($I455="תקין",$J455="תקין"),"מדויקת ורציפה","אינה מדויקת או מקוטעת"))))</f>
        <v/>
      </c>
      <c r="Z455" s="32">
        <f>IF($C455="","",IF(COUNTA($U455:$W455)&lt;3,"",IF(AND($U455="מפותח",$V455="מפותח",$W455="מפותחת"),"מפותחת",IF((--($U455="דל"))+(--($V455="אינו מפותח"))+(--($W455="דלה"))&gt;=2,"אינה מפותחת","חלקית"))))</f>
        <v/>
      </c>
      <c r="AA455" s="32">
        <f>IF($C455="","",IF(COUNTA($M455,$N455,$O455)&lt;3,"— חסרים נתונים",IF(OR($M455="נמוכה",(--($M455&lt;&gt;"תקינה"))+(--($N455&lt;&gt;"תקין"))+(--($O455&lt;&gt;"תקינה"))&gt;=2),"ניכרת","אינה ניכרת")))</f>
        <v/>
      </c>
      <c r="AB455" s="32">
        <f>IF(OR($C455="",$Y455="",$AA455="",LEFT($Y455,1)="—",LEFT($AA455,1)="—"),"",IF($Z455="","— נדרשת הערכת כתיבה",IF($L455="","— חסרה הבנת הנקרא",IF($Y455="אינה מדויקת או מקוטעת",IF($AA455="ניכרת","מיקוד בשטף הקריאה ובכישורי שפה","מיקוד בשטף קריאה"),IF($AA455="ניכרת","מיקוד בכישורי שפה",IF(AND($L455="תקינה",$Z455="מפותחת"),"קוראים וכותבים מיומנים","מיקוד בהבנה והבעה"))))))</f>
        <v/>
      </c>
      <c r="AC455" s="32">
        <f>IF(OR($AB455="",LEFT($AB455,1)="—"),"",IF(OR($AB455="מיקוד בשטף קריאה",$AB455="מיקוד בשטף הקריאה ובכישורי שפה"),"רמה א'",IF($AB455="קוראים וכותבים מיומנים","רמה ג'","רמה ב'")))</f>
        <v/>
      </c>
      <c r="AD455" s="32">
        <f>IF($AC455="","",MID(IF(AND($AC455="רמה א'",$AA455="ניכרת"),"; להוסיף עבודת אוצר מילים","")&amp;IF($Z455="אינה מפותחת","; דגש על הבעה בכתב","")&amp;IF($K455&lt;&gt;"תקין","; נדרש לעבוד על ההנגנה","")&amp;IF($AK455&lt;&gt;"","; "&amp;$AK455,""),3,400))</f>
        <v/>
      </c>
      <c r="AE455" s="32">
        <f>IF($F455="","",IF($F455="תחילת שנה",1,IF($F455="מחצית שנה",2,3)))</f>
        <v/>
      </c>
      <c r="AF455" s="32">
        <f>IF(OR($B455="",$AC455="",$A455="",$F455=""),"",$B455&amp;"|"&amp;$A455&amp;"|"&amp;$F455&amp;"|"&amp;$AC455&amp;"|"&amp;COUNTIFS($B$6:$B455,$B455,$A$6:$A455,$A455,$F$6:$F455,$F455,$AC$6:$AC455,$AC455))</f>
        <v/>
      </c>
      <c r="AG455" s="32">
        <f>IF($C455="","",$C455&amp;"|"&amp;COUNTIFS($C$6:$C455,$C455))</f>
        <v/>
      </c>
      <c r="AH455" s="32">
        <f>IF(OR($C455="",$A455="",$AE455=""),"",$C455&amp;"|"&amp;$A455&amp;"|"&amp;$AE455)</f>
        <v/>
      </c>
      <c r="AI455" s="32">
        <f>IF(OR($C455="",$AE455="",$AE455=1),"",IFERROR(INDEX($AC$6:$AC$1505,MATCH($C455&amp;"|"&amp;$A455&amp;"|"&amp;($AE455-1),$AH$6:$AH$1505,0)),""))</f>
        <v/>
      </c>
      <c r="AJ455" s="32">
        <f>IF(OR($AI455="",$AC455=""),"",IF($AI455=$AC455,"ללא שינוי","מ-"&amp;$AI455&amp;" ל-"&amp;$AC455))</f>
        <v/>
      </c>
      <c r="AK455" s="67" t="n"/>
    </row>
    <row r="456" ht="15.75" customHeight="1" s="58">
      <c r="A456" s="65" t="n"/>
      <c r="B456" s="65" t="n"/>
      <c r="C456" s="66" t="n"/>
      <c r="D456" s="66" t="n"/>
      <c r="E456" s="65" t="n"/>
      <c r="F456" s="65" t="n"/>
      <c r="G456" s="65" t="n"/>
      <c r="H456" s="65" t="n"/>
      <c r="I456" s="65" t="n"/>
      <c r="J456" s="65" t="n"/>
      <c r="K456" s="65" t="n"/>
      <c r="L456" s="65" t="n"/>
      <c r="M456" s="65" t="n"/>
      <c r="N456" s="65" t="n"/>
      <c r="O456" s="65" t="n"/>
      <c r="P456" s="65" t="n"/>
      <c r="Q456" s="65" t="n"/>
      <c r="R456" s="65" t="n"/>
      <c r="S456" s="65" t="n"/>
      <c r="T456" s="65" t="n"/>
      <c r="U456" s="65" t="n"/>
      <c r="V456" s="65" t="n"/>
      <c r="W456" s="65" t="n"/>
      <c r="X456" s="65" t="n"/>
      <c r="Y456" s="32">
        <f>IF($C456="","",IF(COUNTA($I456:$K456)&lt;3,"— חסרים נתונים",IF(AND($I456="תקין",$J456="תקין",$K456="תקין"),"רהוטה",IF(AND($I456="תקין",$J456="תקין"),"מדויקת ורציפה","אינה מדויקת או מקוטעת"))))</f>
        <v/>
      </c>
      <c r="Z456" s="32">
        <f>IF($C456="","",IF(COUNTA($U456:$W456)&lt;3,"",IF(AND($U456="מפותח",$V456="מפותח",$W456="מפותחת"),"מפותחת",IF((--($U456="דל"))+(--($V456="אינו מפותח"))+(--($W456="דלה"))&gt;=2,"אינה מפותחת","חלקית"))))</f>
        <v/>
      </c>
      <c r="AA456" s="32">
        <f>IF($C456="","",IF(COUNTA($M456,$N456,$O456)&lt;3,"— חסרים נתונים",IF(OR($M456="נמוכה",(--($M456&lt;&gt;"תקינה"))+(--($N456&lt;&gt;"תקין"))+(--($O456&lt;&gt;"תקינה"))&gt;=2),"ניכרת","אינה ניכרת")))</f>
        <v/>
      </c>
      <c r="AB456" s="32">
        <f>IF(OR($C456="",$Y456="",$AA456="",LEFT($Y456,1)="—",LEFT($AA456,1)="—"),"",IF($Z456="","— נדרשת הערכת כתיבה",IF($L456="","— חסרה הבנת הנקרא",IF($Y456="אינה מדויקת או מקוטעת",IF($AA456="ניכרת","מיקוד בשטף הקריאה ובכישורי שפה","מיקוד בשטף קריאה"),IF($AA456="ניכרת","מיקוד בכישורי שפה",IF(AND($L456="תקינה",$Z456="מפותחת"),"קוראים וכותבים מיומנים","מיקוד בהבנה והבעה"))))))</f>
        <v/>
      </c>
      <c r="AC456" s="32">
        <f>IF(OR($AB456="",LEFT($AB456,1)="—"),"",IF(OR($AB456="מיקוד בשטף קריאה",$AB456="מיקוד בשטף הקריאה ובכישורי שפה"),"רמה א'",IF($AB456="קוראים וכותבים מיומנים","רמה ג'","רמה ב'")))</f>
        <v/>
      </c>
      <c r="AD456" s="32">
        <f>IF($AC456="","",MID(IF(AND($AC456="רמה א'",$AA456="ניכרת"),"; להוסיף עבודת אוצר מילים","")&amp;IF($Z456="אינה מפותחת","; דגש על הבעה בכתב","")&amp;IF($K456&lt;&gt;"תקין","; נדרש לעבוד על ההנגנה","")&amp;IF($AK456&lt;&gt;"","; "&amp;$AK456,""),3,400))</f>
        <v/>
      </c>
      <c r="AE456" s="32">
        <f>IF($F456="","",IF($F456="תחילת שנה",1,IF($F456="מחצית שנה",2,3)))</f>
        <v/>
      </c>
      <c r="AF456" s="32">
        <f>IF(OR($B456="",$AC456="",$A456="",$F456=""),"",$B456&amp;"|"&amp;$A456&amp;"|"&amp;$F456&amp;"|"&amp;$AC456&amp;"|"&amp;COUNTIFS($B$6:$B456,$B456,$A$6:$A456,$A456,$F$6:$F456,$F456,$AC$6:$AC456,$AC456))</f>
        <v/>
      </c>
      <c r="AG456" s="32">
        <f>IF($C456="","",$C456&amp;"|"&amp;COUNTIFS($C$6:$C456,$C456))</f>
        <v/>
      </c>
      <c r="AH456" s="32">
        <f>IF(OR($C456="",$A456="",$AE456=""),"",$C456&amp;"|"&amp;$A456&amp;"|"&amp;$AE456)</f>
        <v/>
      </c>
      <c r="AI456" s="32">
        <f>IF(OR($C456="",$AE456="",$AE456=1),"",IFERROR(INDEX($AC$6:$AC$1505,MATCH($C456&amp;"|"&amp;$A456&amp;"|"&amp;($AE456-1),$AH$6:$AH$1505,0)),""))</f>
        <v/>
      </c>
      <c r="AJ456" s="32">
        <f>IF(OR($AI456="",$AC456=""),"",IF($AI456=$AC456,"ללא שינוי","מ-"&amp;$AI456&amp;" ל-"&amp;$AC456))</f>
        <v/>
      </c>
      <c r="AK456" s="67" t="n"/>
    </row>
    <row r="457" ht="15.75" customHeight="1" s="58">
      <c r="A457" s="65" t="n"/>
      <c r="B457" s="65" t="n"/>
      <c r="C457" s="66" t="n"/>
      <c r="D457" s="66" t="n"/>
      <c r="E457" s="65" t="n"/>
      <c r="F457" s="65" t="n"/>
      <c r="G457" s="65" t="n"/>
      <c r="H457" s="65" t="n"/>
      <c r="I457" s="65" t="n"/>
      <c r="J457" s="65" t="n"/>
      <c r="K457" s="65" t="n"/>
      <c r="L457" s="65" t="n"/>
      <c r="M457" s="65" t="n"/>
      <c r="N457" s="65" t="n"/>
      <c r="O457" s="65" t="n"/>
      <c r="P457" s="65" t="n"/>
      <c r="Q457" s="65" t="n"/>
      <c r="R457" s="65" t="n"/>
      <c r="S457" s="65" t="n"/>
      <c r="T457" s="65" t="n"/>
      <c r="U457" s="65" t="n"/>
      <c r="V457" s="65" t="n"/>
      <c r="W457" s="65" t="n"/>
      <c r="X457" s="65" t="n"/>
      <c r="Y457" s="32">
        <f>IF($C457="","",IF(COUNTA($I457:$K457)&lt;3,"— חסרים נתונים",IF(AND($I457="תקין",$J457="תקין",$K457="תקין"),"רהוטה",IF(AND($I457="תקין",$J457="תקין"),"מדויקת ורציפה","אינה מדויקת או מקוטעת"))))</f>
        <v/>
      </c>
      <c r="Z457" s="32">
        <f>IF($C457="","",IF(COUNTA($U457:$W457)&lt;3,"",IF(AND($U457="מפותח",$V457="מפותח",$W457="מפותחת"),"מפותחת",IF((--($U457="דל"))+(--($V457="אינו מפותח"))+(--($W457="דלה"))&gt;=2,"אינה מפותחת","חלקית"))))</f>
        <v/>
      </c>
      <c r="AA457" s="32">
        <f>IF($C457="","",IF(COUNTA($M457,$N457,$O457)&lt;3,"— חסרים נתונים",IF(OR($M457="נמוכה",(--($M457&lt;&gt;"תקינה"))+(--($N457&lt;&gt;"תקין"))+(--($O457&lt;&gt;"תקינה"))&gt;=2),"ניכרת","אינה ניכרת")))</f>
        <v/>
      </c>
      <c r="AB457" s="32">
        <f>IF(OR($C457="",$Y457="",$AA457="",LEFT($Y457,1)="—",LEFT($AA457,1)="—"),"",IF($Z457="","— נדרשת הערכת כתיבה",IF($L457="","— חסרה הבנת הנקרא",IF($Y457="אינה מדויקת או מקוטעת",IF($AA457="ניכרת","מיקוד בשטף הקריאה ובכישורי שפה","מיקוד בשטף קריאה"),IF($AA457="ניכרת","מיקוד בכישורי שפה",IF(AND($L457="תקינה",$Z457="מפותחת"),"קוראים וכותבים מיומנים","מיקוד בהבנה והבעה"))))))</f>
        <v/>
      </c>
      <c r="AC457" s="32">
        <f>IF(OR($AB457="",LEFT($AB457,1)="—"),"",IF(OR($AB457="מיקוד בשטף קריאה",$AB457="מיקוד בשטף הקריאה ובכישורי שפה"),"רמה א'",IF($AB457="קוראים וכותבים מיומנים","רמה ג'","רמה ב'")))</f>
        <v/>
      </c>
      <c r="AD457" s="32">
        <f>IF($AC457="","",MID(IF(AND($AC457="רמה א'",$AA457="ניכרת"),"; להוסיף עבודת אוצר מילים","")&amp;IF($Z457="אינה מפותחת","; דגש על הבעה בכתב","")&amp;IF($K457&lt;&gt;"תקין","; נדרש לעבוד על ההנגנה","")&amp;IF($AK457&lt;&gt;"","; "&amp;$AK457,""),3,400))</f>
        <v/>
      </c>
      <c r="AE457" s="32">
        <f>IF($F457="","",IF($F457="תחילת שנה",1,IF($F457="מחצית שנה",2,3)))</f>
        <v/>
      </c>
      <c r="AF457" s="32">
        <f>IF(OR($B457="",$AC457="",$A457="",$F457=""),"",$B457&amp;"|"&amp;$A457&amp;"|"&amp;$F457&amp;"|"&amp;$AC457&amp;"|"&amp;COUNTIFS($B$6:$B457,$B457,$A$6:$A457,$A457,$F$6:$F457,$F457,$AC$6:$AC457,$AC457))</f>
        <v/>
      </c>
      <c r="AG457" s="32">
        <f>IF($C457="","",$C457&amp;"|"&amp;COUNTIFS($C$6:$C457,$C457))</f>
        <v/>
      </c>
      <c r="AH457" s="32">
        <f>IF(OR($C457="",$A457="",$AE457=""),"",$C457&amp;"|"&amp;$A457&amp;"|"&amp;$AE457)</f>
        <v/>
      </c>
      <c r="AI457" s="32">
        <f>IF(OR($C457="",$AE457="",$AE457=1),"",IFERROR(INDEX($AC$6:$AC$1505,MATCH($C457&amp;"|"&amp;$A457&amp;"|"&amp;($AE457-1),$AH$6:$AH$1505,0)),""))</f>
        <v/>
      </c>
      <c r="AJ457" s="32">
        <f>IF(OR($AI457="",$AC457=""),"",IF($AI457=$AC457,"ללא שינוי","מ-"&amp;$AI457&amp;" ל-"&amp;$AC457))</f>
        <v/>
      </c>
      <c r="AK457" s="67" t="n"/>
    </row>
    <row r="458" ht="15.75" customHeight="1" s="58">
      <c r="A458" s="65" t="n"/>
      <c r="B458" s="65" t="n"/>
      <c r="C458" s="66" t="n"/>
      <c r="D458" s="66" t="n"/>
      <c r="E458" s="65" t="n"/>
      <c r="F458" s="65" t="n"/>
      <c r="G458" s="65" t="n"/>
      <c r="H458" s="65" t="n"/>
      <c r="I458" s="65" t="n"/>
      <c r="J458" s="65" t="n"/>
      <c r="K458" s="65" t="n"/>
      <c r="L458" s="65" t="n"/>
      <c r="M458" s="65" t="n"/>
      <c r="N458" s="65" t="n"/>
      <c r="O458" s="65" t="n"/>
      <c r="P458" s="65" t="n"/>
      <c r="Q458" s="65" t="n"/>
      <c r="R458" s="65" t="n"/>
      <c r="S458" s="65" t="n"/>
      <c r="T458" s="65" t="n"/>
      <c r="U458" s="65" t="n"/>
      <c r="V458" s="65" t="n"/>
      <c r="W458" s="65" t="n"/>
      <c r="X458" s="65" t="n"/>
      <c r="Y458" s="32">
        <f>IF($C458="","",IF(COUNTA($I458:$K458)&lt;3,"— חסרים נתונים",IF(AND($I458="תקין",$J458="תקין",$K458="תקין"),"רהוטה",IF(AND($I458="תקין",$J458="תקין"),"מדויקת ורציפה","אינה מדויקת או מקוטעת"))))</f>
        <v/>
      </c>
      <c r="Z458" s="32">
        <f>IF($C458="","",IF(COUNTA($U458:$W458)&lt;3,"",IF(AND($U458="מפותח",$V458="מפותח",$W458="מפותחת"),"מפותחת",IF((--($U458="דל"))+(--($V458="אינו מפותח"))+(--($W458="דלה"))&gt;=2,"אינה מפותחת","חלקית"))))</f>
        <v/>
      </c>
      <c r="AA458" s="32">
        <f>IF($C458="","",IF(COUNTA($M458,$N458,$O458)&lt;3,"— חסרים נתונים",IF(OR($M458="נמוכה",(--($M458&lt;&gt;"תקינה"))+(--($N458&lt;&gt;"תקין"))+(--($O458&lt;&gt;"תקינה"))&gt;=2),"ניכרת","אינה ניכרת")))</f>
        <v/>
      </c>
      <c r="AB458" s="32">
        <f>IF(OR($C458="",$Y458="",$AA458="",LEFT($Y458,1)="—",LEFT($AA458,1)="—"),"",IF($Z458="","— נדרשת הערכת כתיבה",IF($L458="","— חסרה הבנת הנקרא",IF($Y458="אינה מדויקת או מקוטעת",IF($AA458="ניכרת","מיקוד בשטף הקריאה ובכישורי שפה","מיקוד בשטף קריאה"),IF($AA458="ניכרת","מיקוד בכישורי שפה",IF(AND($L458="תקינה",$Z458="מפותחת"),"קוראים וכותבים מיומנים","מיקוד בהבנה והבעה"))))))</f>
        <v/>
      </c>
      <c r="AC458" s="32">
        <f>IF(OR($AB458="",LEFT($AB458,1)="—"),"",IF(OR($AB458="מיקוד בשטף קריאה",$AB458="מיקוד בשטף הקריאה ובכישורי שפה"),"רמה א'",IF($AB458="קוראים וכותבים מיומנים","רמה ג'","רמה ב'")))</f>
        <v/>
      </c>
      <c r="AD458" s="32">
        <f>IF($AC458="","",MID(IF(AND($AC458="רמה א'",$AA458="ניכרת"),"; להוסיף עבודת אוצר מילים","")&amp;IF($Z458="אינה מפותחת","; דגש על הבעה בכתב","")&amp;IF($K458&lt;&gt;"תקין","; נדרש לעבוד על ההנגנה","")&amp;IF($AK458&lt;&gt;"","; "&amp;$AK458,""),3,400))</f>
        <v/>
      </c>
      <c r="AE458" s="32">
        <f>IF($F458="","",IF($F458="תחילת שנה",1,IF($F458="מחצית שנה",2,3)))</f>
        <v/>
      </c>
      <c r="AF458" s="32">
        <f>IF(OR($B458="",$AC458="",$A458="",$F458=""),"",$B458&amp;"|"&amp;$A458&amp;"|"&amp;$F458&amp;"|"&amp;$AC458&amp;"|"&amp;COUNTIFS($B$6:$B458,$B458,$A$6:$A458,$A458,$F$6:$F458,$F458,$AC$6:$AC458,$AC458))</f>
        <v/>
      </c>
      <c r="AG458" s="32">
        <f>IF($C458="","",$C458&amp;"|"&amp;COUNTIFS($C$6:$C458,$C458))</f>
        <v/>
      </c>
      <c r="AH458" s="32">
        <f>IF(OR($C458="",$A458="",$AE458=""),"",$C458&amp;"|"&amp;$A458&amp;"|"&amp;$AE458)</f>
        <v/>
      </c>
      <c r="AI458" s="32">
        <f>IF(OR($C458="",$AE458="",$AE458=1),"",IFERROR(INDEX($AC$6:$AC$1505,MATCH($C458&amp;"|"&amp;$A458&amp;"|"&amp;($AE458-1),$AH$6:$AH$1505,0)),""))</f>
        <v/>
      </c>
      <c r="AJ458" s="32">
        <f>IF(OR($AI458="",$AC458=""),"",IF($AI458=$AC458,"ללא שינוי","מ-"&amp;$AI458&amp;" ל-"&amp;$AC458))</f>
        <v/>
      </c>
      <c r="AK458" s="67" t="n"/>
    </row>
    <row r="459" ht="15.75" customHeight="1" s="58">
      <c r="A459" s="65" t="n"/>
      <c r="B459" s="65" t="n"/>
      <c r="C459" s="66" t="n"/>
      <c r="D459" s="66" t="n"/>
      <c r="E459" s="65" t="n"/>
      <c r="F459" s="65" t="n"/>
      <c r="G459" s="65" t="n"/>
      <c r="H459" s="65" t="n"/>
      <c r="I459" s="65" t="n"/>
      <c r="J459" s="65" t="n"/>
      <c r="K459" s="65" t="n"/>
      <c r="L459" s="65" t="n"/>
      <c r="M459" s="65" t="n"/>
      <c r="N459" s="65" t="n"/>
      <c r="O459" s="65" t="n"/>
      <c r="P459" s="65" t="n"/>
      <c r="Q459" s="65" t="n"/>
      <c r="R459" s="65" t="n"/>
      <c r="S459" s="65" t="n"/>
      <c r="T459" s="65" t="n"/>
      <c r="U459" s="65" t="n"/>
      <c r="V459" s="65" t="n"/>
      <c r="W459" s="65" t="n"/>
      <c r="X459" s="65" t="n"/>
      <c r="Y459" s="32">
        <f>IF($C459="","",IF(COUNTA($I459:$K459)&lt;3,"— חסרים נתונים",IF(AND($I459="תקין",$J459="תקין",$K459="תקין"),"רהוטה",IF(AND($I459="תקין",$J459="תקין"),"מדויקת ורציפה","אינה מדויקת או מקוטעת"))))</f>
        <v/>
      </c>
      <c r="Z459" s="32">
        <f>IF($C459="","",IF(COUNTA($U459:$W459)&lt;3,"",IF(AND($U459="מפותח",$V459="מפותח",$W459="מפותחת"),"מפותחת",IF((--($U459="דל"))+(--($V459="אינו מפותח"))+(--($W459="דלה"))&gt;=2,"אינה מפותחת","חלקית"))))</f>
        <v/>
      </c>
      <c r="AA459" s="32">
        <f>IF($C459="","",IF(COUNTA($M459,$N459,$O459)&lt;3,"— חסרים נתונים",IF(OR($M459="נמוכה",(--($M459&lt;&gt;"תקינה"))+(--($N459&lt;&gt;"תקין"))+(--($O459&lt;&gt;"תקינה"))&gt;=2),"ניכרת","אינה ניכרת")))</f>
        <v/>
      </c>
      <c r="AB459" s="32">
        <f>IF(OR($C459="",$Y459="",$AA459="",LEFT($Y459,1)="—",LEFT($AA459,1)="—"),"",IF($Z459="","— נדרשת הערכת כתיבה",IF($L459="","— חסרה הבנת הנקרא",IF($Y459="אינה מדויקת או מקוטעת",IF($AA459="ניכרת","מיקוד בשטף הקריאה ובכישורי שפה","מיקוד בשטף קריאה"),IF($AA459="ניכרת","מיקוד בכישורי שפה",IF(AND($L459="תקינה",$Z459="מפותחת"),"קוראים וכותבים מיומנים","מיקוד בהבנה והבעה"))))))</f>
        <v/>
      </c>
      <c r="AC459" s="32">
        <f>IF(OR($AB459="",LEFT($AB459,1)="—"),"",IF(OR($AB459="מיקוד בשטף קריאה",$AB459="מיקוד בשטף הקריאה ובכישורי שפה"),"רמה א'",IF($AB459="קוראים וכותבים מיומנים","רמה ג'","רמה ב'")))</f>
        <v/>
      </c>
      <c r="AD459" s="32">
        <f>IF($AC459="","",MID(IF(AND($AC459="רמה א'",$AA459="ניכרת"),"; להוסיף עבודת אוצר מילים","")&amp;IF($Z459="אינה מפותחת","; דגש על הבעה בכתב","")&amp;IF($K459&lt;&gt;"תקין","; נדרש לעבוד על ההנגנה","")&amp;IF($AK459&lt;&gt;"","; "&amp;$AK459,""),3,400))</f>
        <v/>
      </c>
      <c r="AE459" s="32">
        <f>IF($F459="","",IF($F459="תחילת שנה",1,IF($F459="מחצית שנה",2,3)))</f>
        <v/>
      </c>
      <c r="AF459" s="32">
        <f>IF(OR($B459="",$AC459="",$A459="",$F459=""),"",$B459&amp;"|"&amp;$A459&amp;"|"&amp;$F459&amp;"|"&amp;$AC459&amp;"|"&amp;COUNTIFS($B$6:$B459,$B459,$A$6:$A459,$A459,$F$6:$F459,$F459,$AC$6:$AC459,$AC459))</f>
        <v/>
      </c>
      <c r="AG459" s="32">
        <f>IF($C459="","",$C459&amp;"|"&amp;COUNTIFS($C$6:$C459,$C459))</f>
        <v/>
      </c>
      <c r="AH459" s="32">
        <f>IF(OR($C459="",$A459="",$AE459=""),"",$C459&amp;"|"&amp;$A459&amp;"|"&amp;$AE459)</f>
        <v/>
      </c>
      <c r="AI459" s="32">
        <f>IF(OR($C459="",$AE459="",$AE459=1),"",IFERROR(INDEX($AC$6:$AC$1505,MATCH($C459&amp;"|"&amp;$A459&amp;"|"&amp;($AE459-1),$AH$6:$AH$1505,0)),""))</f>
        <v/>
      </c>
      <c r="AJ459" s="32">
        <f>IF(OR($AI459="",$AC459=""),"",IF($AI459=$AC459,"ללא שינוי","מ-"&amp;$AI459&amp;" ל-"&amp;$AC459))</f>
        <v/>
      </c>
      <c r="AK459" s="67" t="n"/>
    </row>
    <row r="460" ht="15.75" customHeight="1" s="58">
      <c r="A460" s="65" t="n"/>
      <c r="B460" s="65" t="n"/>
      <c r="C460" s="66" t="n"/>
      <c r="D460" s="66" t="n"/>
      <c r="E460" s="65" t="n"/>
      <c r="F460" s="65" t="n"/>
      <c r="G460" s="65" t="n"/>
      <c r="H460" s="65" t="n"/>
      <c r="I460" s="65" t="n"/>
      <c r="J460" s="65" t="n"/>
      <c r="K460" s="65" t="n"/>
      <c r="L460" s="65" t="n"/>
      <c r="M460" s="65" t="n"/>
      <c r="N460" s="65" t="n"/>
      <c r="O460" s="65" t="n"/>
      <c r="P460" s="65" t="n"/>
      <c r="Q460" s="65" t="n"/>
      <c r="R460" s="65" t="n"/>
      <c r="S460" s="65" t="n"/>
      <c r="T460" s="65" t="n"/>
      <c r="U460" s="65" t="n"/>
      <c r="V460" s="65" t="n"/>
      <c r="W460" s="65" t="n"/>
      <c r="X460" s="65" t="n"/>
      <c r="Y460" s="32">
        <f>IF($C460="","",IF(COUNTA($I460:$K460)&lt;3,"— חסרים נתונים",IF(AND($I460="תקין",$J460="תקין",$K460="תקין"),"רהוטה",IF(AND($I460="תקין",$J460="תקין"),"מדויקת ורציפה","אינה מדויקת או מקוטעת"))))</f>
        <v/>
      </c>
      <c r="Z460" s="32">
        <f>IF($C460="","",IF(COUNTA($U460:$W460)&lt;3,"",IF(AND($U460="מפותח",$V460="מפותח",$W460="מפותחת"),"מפותחת",IF((--($U460="דל"))+(--($V460="אינו מפותח"))+(--($W460="דלה"))&gt;=2,"אינה מפותחת","חלקית"))))</f>
        <v/>
      </c>
      <c r="AA460" s="32">
        <f>IF($C460="","",IF(COUNTA($M460,$N460,$O460)&lt;3,"— חסרים נתונים",IF(OR($M460="נמוכה",(--($M460&lt;&gt;"תקינה"))+(--($N460&lt;&gt;"תקין"))+(--($O460&lt;&gt;"תקינה"))&gt;=2),"ניכרת","אינה ניכרת")))</f>
        <v/>
      </c>
      <c r="AB460" s="32">
        <f>IF(OR($C460="",$Y460="",$AA460="",LEFT($Y460,1)="—",LEFT($AA460,1)="—"),"",IF($Z460="","— נדרשת הערכת כתיבה",IF($L460="","— חסרה הבנת הנקרא",IF($Y460="אינה מדויקת או מקוטעת",IF($AA460="ניכרת","מיקוד בשטף הקריאה ובכישורי שפה","מיקוד בשטף קריאה"),IF($AA460="ניכרת","מיקוד בכישורי שפה",IF(AND($L460="תקינה",$Z460="מפותחת"),"קוראים וכותבים מיומנים","מיקוד בהבנה והבעה"))))))</f>
        <v/>
      </c>
      <c r="AC460" s="32">
        <f>IF(OR($AB460="",LEFT($AB460,1)="—"),"",IF(OR($AB460="מיקוד בשטף קריאה",$AB460="מיקוד בשטף הקריאה ובכישורי שפה"),"רמה א'",IF($AB460="קוראים וכותבים מיומנים","רמה ג'","רמה ב'")))</f>
        <v/>
      </c>
      <c r="AD460" s="32">
        <f>IF($AC460="","",MID(IF(AND($AC460="רמה א'",$AA460="ניכרת"),"; להוסיף עבודת אוצר מילים","")&amp;IF($Z460="אינה מפותחת","; דגש על הבעה בכתב","")&amp;IF($K460&lt;&gt;"תקין","; נדרש לעבוד על ההנגנה","")&amp;IF($AK460&lt;&gt;"","; "&amp;$AK460,""),3,400))</f>
        <v/>
      </c>
      <c r="AE460" s="32">
        <f>IF($F460="","",IF($F460="תחילת שנה",1,IF($F460="מחצית שנה",2,3)))</f>
        <v/>
      </c>
      <c r="AF460" s="32">
        <f>IF(OR($B460="",$AC460="",$A460="",$F460=""),"",$B460&amp;"|"&amp;$A460&amp;"|"&amp;$F460&amp;"|"&amp;$AC460&amp;"|"&amp;COUNTIFS($B$6:$B460,$B460,$A$6:$A460,$A460,$F$6:$F460,$F460,$AC$6:$AC460,$AC460))</f>
        <v/>
      </c>
      <c r="AG460" s="32">
        <f>IF($C460="","",$C460&amp;"|"&amp;COUNTIFS($C$6:$C460,$C460))</f>
        <v/>
      </c>
      <c r="AH460" s="32">
        <f>IF(OR($C460="",$A460="",$AE460=""),"",$C460&amp;"|"&amp;$A460&amp;"|"&amp;$AE460)</f>
        <v/>
      </c>
      <c r="AI460" s="32">
        <f>IF(OR($C460="",$AE460="",$AE460=1),"",IFERROR(INDEX($AC$6:$AC$1505,MATCH($C460&amp;"|"&amp;$A460&amp;"|"&amp;($AE460-1),$AH$6:$AH$1505,0)),""))</f>
        <v/>
      </c>
      <c r="AJ460" s="32">
        <f>IF(OR($AI460="",$AC460=""),"",IF($AI460=$AC460,"ללא שינוי","מ-"&amp;$AI460&amp;" ל-"&amp;$AC460))</f>
        <v/>
      </c>
      <c r="AK460" s="67" t="n"/>
    </row>
    <row r="461" ht="15.75" customHeight="1" s="58">
      <c r="A461" s="65" t="n"/>
      <c r="B461" s="65" t="n"/>
      <c r="C461" s="66" t="n"/>
      <c r="D461" s="66" t="n"/>
      <c r="E461" s="65" t="n"/>
      <c r="F461" s="65" t="n"/>
      <c r="G461" s="65" t="n"/>
      <c r="H461" s="65" t="n"/>
      <c r="I461" s="65" t="n"/>
      <c r="J461" s="65" t="n"/>
      <c r="K461" s="65" t="n"/>
      <c r="L461" s="65" t="n"/>
      <c r="M461" s="65" t="n"/>
      <c r="N461" s="65" t="n"/>
      <c r="O461" s="65" t="n"/>
      <c r="P461" s="65" t="n"/>
      <c r="Q461" s="65" t="n"/>
      <c r="R461" s="65" t="n"/>
      <c r="S461" s="65" t="n"/>
      <c r="T461" s="65" t="n"/>
      <c r="U461" s="65" t="n"/>
      <c r="V461" s="65" t="n"/>
      <c r="W461" s="65" t="n"/>
      <c r="X461" s="65" t="n"/>
      <c r="Y461" s="32">
        <f>IF($C461="","",IF(COUNTA($I461:$K461)&lt;3,"— חסרים נתונים",IF(AND($I461="תקין",$J461="תקין",$K461="תקין"),"רהוטה",IF(AND($I461="תקין",$J461="תקין"),"מדויקת ורציפה","אינה מדויקת או מקוטעת"))))</f>
        <v/>
      </c>
      <c r="Z461" s="32">
        <f>IF($C461="","",IF(COUNTA($U461:$W461)&lt;3,"",IF(AND($U461="מפותח",$V461="מפותח",$W461="מפותחת"),"מפותחת",IF((--($U461="דל"))+(--($V461="אינו מפותח"))+(--($W461="דלה"))&gt;=2,"אינה מפותחת","חלקית"))))</f>
        <v/>
      </c>
      <c r="AA461" s="32">
        <f>IF($C461="","",IF(COUNTA($M461,$N461,$O461)&lt;3,"— חסרים נתונים",IF(OR($M461="נמוכה",(--($M461&lt;&gt;"תקינה"))+(--($N461&lt;&gt;"תקין"))+(--($O461&lt;&gt;"תקינה"))&gt;=2),"ניכרת","אינה ניכרת")))</f>
        <v/>
      </c>
      <c r="AB461" s="32">
        <f>IF(OR($C461="",$Y461="",$AA461="",LEFT($Y461,1)="—",LEFT($AA461,1)="—"),"",IF($Z461="","— נדרשת הערכת כתיבה",IF($L461="","— חסרה הבנת הנקרא",IF($Y461="אינה מדויקת או מקוטעת",IF($AA461="ניכרת","מיקוד בשטף הקריאה ובכישורי שפה","מיקוד בשטף קריאה"),IF($AA461="ניכרת","מיקוד בכישורי שפה",IF(AND($L461="תקינה",$Z461="מפותחת"),"קוראים וכותבים מיומנים","מיקוד בהבנה והבעה"))))))</f>
        <v/>
      </c>
      <c r="AC461" s="32">
        <f>IF(OR($AB461="",LEFT($AB461,1)="—"),"",IF(OR($AB461="מיקוד בשטף קריאה",$AB461="מיקוד בשטף הקריאה ובכישורי שפה"),"רמה א'",IF($AB461="קוראים וכותבים מיומנים","רמה ג'","רמה ב'")))</f>
        <v/>
      </c>
      <c r="AD461" s="32">
        <f>IF($AC461="","",MID(IF(AND($AC461="רמה א'",$AA461="ניכרת"),"; להוסיף עבודת אוצר מילים","")&amp;IF($Z461="אינה מפותחת","; דגש על הבעה בכתב","")&amp;IF($K461&lt;&gt;"תקין","; נדרש לעבוד על ההנגנה","")&amp;IF($AK461&lt;&gt;"","; "&amp;$AK461,""),3,400))</f>
        <v/>
      </c>
      <c r="AE461" s="32">
        <f>IF($F461="","",IF($F461="תחילת שנה",1,IF($F461="מחצית שנה",2,3)))</f>
        <v/>
      </c>
      <c r="AF461" s="32">
        <f>IF(OR($B461="",$AC461="",$A461="",$F461=""),"",$B461&amp;"|"&amp;$A461&amp;"|"&amp;$F461&amp;"|"&amp;$AC461&amp;"|"&amp;COUNTIFS($B$6:$B461,$B461,$A$6:$A461,$A461,$F$6:$F461,$F461,$AC$6:$AC461,$AC461))</f>
        <v/>
      </c>
      <c r="AG461" s="32">
        <f>IF($C461="","",$C461&amp;"|"&amp;COUNTIFS($C$6:$C461,$C461))</f>
        <v/>
      </c>
      <c r="AH461" s="32">
        <f>IF(OR($C461="",$A461="",$AE461=""),"",$C461&amp;"|"&amp;$A461&amp;"|"&amp;$AE461)</f>
        <v/>
      </c>
      <c r="AI461" s="32">
        <f>IF(OR($C461="",$AE461="",$AE461=1),"",IFERROR(INDEX($AC$6:$AC$1505,MATCH($C461&amp;"|"&amp;$A461&amp;"|"&amp;($AE461-1),$AH$6:$AH$1505,0)),""))</f>
        <v/>
      </c>
      <c r="AJ461" s="32">
        <f>IF(OR($AI461="",$AC461=""),"",IF($AI461=$AC461,"ללא שינוי","מ-"&amp;$AI461&amp;" ל-"&amp;$AC461))</f>
        <v/>
      </c>
      <c r="AK461" s="67" t="n"/>
    </row>
    <row r="462" ht="15.75" customHeight="1" s="58">
      <c r="A462" s="65" t="n"/>
      <c r="B462" s="65" t="n"/>
      <c r="C462" s="66" t="n"/>
      <c r="D462" s="66" t="n"/>
      <c r="E462" s="65" t="n"/>
      <c r="F462" s="65" t="n"/>
      <c r="G462" s="65" t="n"/>
      <c r="H462" s="65" t="n"/>
      <c r="I462" s="65" t="n"/>
      <c r="J462" s="65" t="n"/>
      <c r="K462" s="65" t="n"/>
      <c r="L462" s="65" t="n"/>
      <c r="M462" s="65" t="n"/>
      <c r="N462" s="65" t="n"/>
      <c r="O462" s="65" t="n"/>
      <c r="P462" s="65" t="n"/>
      <c r="Q462" s="65" t="n"/>
      <c r="R462" s="65" t="n"/>
      <c r="S462" s="65" t="n"/>
      <c r="T462" s="65" t="n"/>
      <c r="U462" s="65" t="n"/>
      <c r="V462" s="65" t="n"/>
      <c r="W462" s="65" t="n"/>
      <c r="X462" s="65" t="n"/>
      <c r="Y462" s="32">
        <f>IF($C462="","",IF(COUNTA($I462:$K462)&lt;3,"— חסרים נתונים",IF(AND($I462="תקין",$J462="תקין",$K462="תקין"),"רהוטה",IF(AND($I462="תקין",$J462="תקין"),"מדויקת ורציפה","אינה מדויקת או מקוטעת"))))</f>
        <v/>
      </c>
      <c r="Z462" s="32">
        <f>IF($C462="","",IF(COUNTA($U462:$W462)&lt;3,"",IF(AND($U462="מפותח",$V462="מפותח",$W462="מפותחת"),"מפותחת",IF((--($U462="דל"))+(--($V462="אינו מפותח"))+(--($W462="דלה"))&gt;=2,"אינה מפותחת","חלקית"))))</f>
        <v/>
      </c>
      <c r="AA462" s="32">
        <f>IF($C462="","",IF(COUNTA($M462,$N462,$O462)&lt;3,"— חסרים נתונים",IF(OR($M462="נמוכה",(--($M462&lt;&gt;"תקינה"))+(--($N462&lt;&gt;"תקין"))+(--($O462&lt;&gt;"תקינה"))&gt;=2),"ניכרת","אינה ניכרת")))</f>
        <v/>
      </c>
      <c r="AB462" s="32">
        <f>IF(OR($C462="",$Y462="",$AA462="",LEFT($Y462,1)="—",LEFT($AA462,1)="—"),"",IF($Z462="","— נדרשת הערכת כתיבה",IF($L462="","— חסרה הבנת הנקרא",IF($Y462="אינה מדויקת או מקוטעת",IF($AA462="ניכרת","מיקוד בשטף הקריאה ובכישורי שפה","מיקוד בשטף קריאה"),IF($AA462="ניכרת","מיקוד בכישורי שפה",IF(AND($L462="תקינה",$Z462="מפותחת"),"קוראים וכותבים מיומנים","מיקוד בהבנה והבעה"))))))</f>
        <v/>
      </c>
      <c r="AC462" s="32">
        <f>IF(OR($AB462="",LEFT($AB462,1)="—"),"",IF(OR($AB462="מיקוד בשטף קריאה",$AB462="מיקוד בשטף הקריאה ובכישורי שפה"),"רמה א'",IF($AB462="קוראים וכותבים מיומנים","רמה ג'","רמה ב'")))</f>
        <v/>
      </c>
      <c r="AD462" s="32">
        <f>IF($AC462="","",MID(IF(AND($AC462="רמה א'",$AA462="ניכרת"),"; להוסיף עבודת אוצר מילים","")&amp;IF($Z462="אינה מפותחת","; דגש על הבעה בכתב","")&amp;IF($K462&lt;&gt;"תקין","; נדרש לעבוד על ההנגנה","")&amp;IF($AK462&lt;&gt;"","; "&amp;$AK462,""),3,400))</f>
        <v/>
      </c>
      <c r="AE462" s="32">
        <f>IF($F462="","",IF($F462="תחילת שנה",1,IF($F462="מחצית שנה",2,3)))</f>
        <v/>
      </c>
      <c r="AF462" s="32">
        <f>IF(OR($B462="",$AC462="",$A462="",$F462=""),"",$B462&amp;"|"&amp;$A462&amp;"|"&amp;$F462&amp;"|"&amp;$AC462&amp;"|"&amp;COUNTIFS($B$6:$B462,$B462,$A$6:$A462,$A462,$F$6:$F462,$F462,$AC$6:$AC462,$AC462))</f>
        <v/>
      </c>
      <c r="AG462" s="32">
        <f>IF($C462="","",$C462&amp;"|"&amp;COUNTIFS($C$6:$C462,$C462))</f>
        <v/>
      </c>
      <c r="AH462" s="32">
        <f>IF(OR($C462="",$A462="",$AE462=""),"",$C462&amp;"|"&amp;$A462&amp;"|"&amp;$AE462)</f>
        <v/>
      </c>
      <c r="AI462" s="32">
        <f>IF(OR($C462="",$AE462="",$AE462=1),"",IFERROR(INDEX($AC$6:$AC$1505,MATCH($C462&amp;"|"&amp;$A462&amp;"|"&amp;($AE462-1),$AH$6:$AH$1505,0)),""))</f>
        <v/>
      </c>
      <c r="AJ462" s="32">
        <f>IF(OR($AI462="",$AC462=""),"",IF($AI462=$AC462,"ללא שינוי","מ-"&amp;$AI462&amp;" ל-"&amp;$AC462))</f>
        <v/>
      </c>
      <c r="AK462" s="67" t="n"/>
    </row>
    <row r="463" ht="15.75" customHeight="1" s="58">
      <c r="A463" s="65" t="n"/>
      <c r="B463" s="65" t="n"/>
      <c r="C463" s="66" t="n"/>
      <c r="D463" s="66" t="n"/>
      <c r="E463" s="65" t="n"/>
      <c r="F463" s="65" t="n"/>
      <c r="G463" s="65" t="n"/>
      <c r="H463" s="65" t="n"/>
      <c r="I463" s="65" t="n"/>
      <c r="J463" s="65" t="n"/>
      <c r="K463" s="65" t="n"/>
      <c r="L463" s="65" t="n"/>
      <c r="M463" s="65" t="n"/>
      <c r="N463" s="65" t="n"/>
      <c r="O463" s="65" t="n"/>
      <c r="P463" s="65" t="n"/>
      <c r="Q463" s="65" t="n"/>
      <c r="R463" s="65" t="n"/>
      <c r="S463" s="65" t="n"/>
      <c r="T463" s="65" t="n"/>
      <c r="U463" s="65" t="n"/>
      <c r="V463" s="65" t="n"/>
      <c r="W463" s="65" t="n"/>
      <c r="X463" s="65" t="n"/>
      <c r="Y463" s="32">
        <f>IF($C463="","",IF(COUNTA($I463:$K463)&lt;3,"— חסרים נתונים",IF(AND($I463="תקין",$J463="תקין",$K463="תקין"),"רהוטה",IF(AND($I463="תקין",$J463="תקין"),"מדויקת ורציפה","אינה מדויקת או מקוטעת"))))</f>
        <v/>
      </c>
      <c r="Z463" s="32">
        <f>IF($C463="","",IF(COUNTA($U463:$W463)&lt;3,"",IF(AND($U463="מפותח",$V463="מפותח",$W463="מפותחת"),"מפותחת",IF((--($U463="דל"))+(--($V463="אינו מפותח"))+(--($W463="דלה"))&gt;=2,"אינה מפותחת","חלקית"))))</f>
        <v/>
      </c>
      <c r="AA463" s="32">
        <f>IF($C463="","",IF(COUNTA($M463,$N463,$O463)&lt;3,"— חסרים נתונים",IF(OR($M463="נמוכה",(--($M463&lt;&gt;"תקינה"))+(--($N463&lt;&gt;"תקין"))+(--($O463&lt;&gt;"תקינה"))&gt;=2),"ניכרת","אינה ניכרת")))</f>
        <v/>
      </c>
      <c r="AB463" s="32">
        <f>IF(OR($C463="",$Y463="",$AA463="",LEFT($Y463,1)="—",LEFT($AA463,1)="—"),"",IF($Z463="","— נדרשת הערכת כתיבה",IF($L463="","— חסרה הבנת הנקרא",IF($Y463="אינה מדויקת או מקוטעת",IF($AA463="ניכרת","מיקוד בשטף הקריאה ובכישורי שפה","מיקוד בשטף קריאה"),IF($AA463="ניכרת","מיקוד בכישורי שפה",IF(AND($L463="תקינה",$Z463="מפותחת"),"קוראים וכותבים מיומנים","מיקוד בהבנה והבעה"))))))</f>
        <v/>
      </c>
      <c r="AC463" s="32">
        <f>IF(OR($AB463="",LEFT($AB463,1)="—"),"",IF(OR($AB463="מיקוד בשטף קריאה",$AB463="מיקוד בשטף הקריאה ובכישורי שפה"),"רמה א'",IF($AB463="קוראים וכותבים מיומנים","רמה ג'","רמה ב'")))</f>
        <v/>
      </c>
      <c r="AD463" s="32">
        <f>IF($AC463="","",MID(IF(AND($AC463="רמה א'",$AA463="ניכרת"),"; להוסיף עבודת אוצר מילים","")&amp;IF($Z463="אינה מפותחת","; דגש על הבעה בכתב","")&amp;IF($K463&lt;&gt;"תקין","; נדרש לעבוד על ההנגנה","")&amp;IF($AK463&lt;&gt;"","; "&amp;$AK463,""),3,400))</f>
        <v/>
      </c>
      <c r="AE463" s="32">
        <f>IF($F463="","",IF($F463="תחילת שנה",1,IF($F463="מחצית שנה",2,3)))</f>
        <v/>
      </c>
      <c r="AF463" s="32">
        <f>IF(OR($B463="",$AC463="",$A463="",$F463=""),"",$B463&amp;"|"&amp;$A463&amp;"|"&amp;$F463&amp;"|"&amp;$AC463&amp;"|"&amp;COUNTIFS($B$6:$B463,$B463,$A$6:$A463,$A463,$F$6:$F463,$F463,$AC$6:$AC463,$AC463))</f>
        <v/>
      </c>
      <c r="AG463" s="32">
        <f>IF($C463="","",$C463&amp;"|"&amp;COUNTIFS($C$6:$C463,$C463))</f>
        <v/>
      </c>
      <c r="AH463" s="32">
        <f>IF(OR($C463="",$A463="",$AE463=""),"",$C463&amp;"|"&amp;$A463&amp;"|"&amp;$AE463)</f>
        <v/>
      </c>
      <c r="AI463" s="32">
        <f>IF(OR($C463="",$AE463="",$AE463=1),"",IFERROR(INDEX($AC$6:$AC$1505,MATCH($C463&amp;"|"&amp;$A463&amp;"|"&amp;($AE463-1),$AH$6:$AH$1505,0)),""))</f>
        <v/>
      </c>
      <c r="AJ463" s="32">
        <f>IF(OR($AI463="",$AC463=""),"",IF($AI463=$AC463,"ללא שינוי","מ-"&amp;$AI463&amp;" ל-"&amp;$AC463))</f>
        <v/>
      </c>
      <c r="AK463" s="67" t="n"/>
    </row>
    <row r="464" ht="15.75" customHeight="1" s="58">
      <c r="A464" s="65" t="n"/>
      <c r="B464" s="65" t="n"/>
      <c r="C464" s="66" t="n"/>
      <c r="D464" s="66" t="n"/>
      <c r="E464" s="65" t="n"/>
      <c r="F464" s="65" t="n"/>
      <c r="G464" s="65" t="n"/>
      <c r="H464" s="65" t="n"/>
      <c r="I464" s="65" t="n"/>
      <c r="J464" s="65" t="n"/>
      <c r="K464" s="65" t="n"/>
      <c r="L464" s="65" t="n"/>
      <c r="M464" s="65" t="n"/>
      <c r="N464" s="65" t="n"/>
      <c r="O464" s="65" t="n"/>
      <c r="P464" s="65" t="n"/>
      <c r="Q464" s="65" t="n"/>
      <c r="R464" s="65" t="n"/>
      <c r="S464" s="65" t="n"/>
      <c r="T464" s="65" t="n"/>
      <c r="U464" s="65" t="n"/>
      <c r="V464" s="65" t="n"/>
      <c r="W464" s="65" t="n"/>
      <c r="X464" s="65" t="n"/>
      <c r="Y464" s="32">
        <f>IF($C464="","",IF(COUNTA($I464:$K464)&lt;3,"— חסרים נתונים",IF(AND($I464="תקין",$J464="תקין",$K464="תקין"),"רהוטה",IF(AND($I464="תקין",$J464="תקין"),"מדויקת ורציפה","אינה מדויקת או מקוטעת"))))</f>
        <v/>
      </c>
      <c r="Z464" s="32">
        <f>IF($C464="","",IF(COUNTA($U464:$W464)&lt;3,"",IF(AND($U464="מפותח",$V464="מפותח",$W464="מפותחת"),"מפותחת",IF((--($U464="דל"))+(--($V464="אינו מפותח"))+(--($W464="דלה"))&gt;=2,"אינה מפותחת","חלקית"))))</f>
        <v/>
      </c>
      <c r="AA464" s="32">
        <f>IF($C464="","",IF(COUNTA($M464,$N464,$O464)&lt;3,"— חסרים נתונים",IF(OR($M464="נמוכה",(--($M464&lt;&gt;"תקינה"))+(--($N464&lt;&gt;"תקין"))+(--($O464&lt;&gt;"תקינה"))&gt;=2),"ניכרת","אינה ניכרת")))</f>
        <v/>
      </c>
      <c r="AB464" s="32">
        <f>IF(OR($C464="",$Y464="",$AA464="",LEFT($Y464,1)="—",LEFT($AA464,1)="—"),"",IF($Z464="","— נדרשת הערכת כתיבה",IF($L464="","— חסרה הבנת הנקרא",IF($Y464="אינה מדויקת או מקוטעת",IF($AA464="ניכרת","מיקוד בשטף הקריאה ובכישורי שפה","מיקוד בשטף קריאה"),IF($AA464="ניכרת","מיקוד בכישורי שפה",IF(AND($L464="תקינה",$Z464="מפותחת"),"קוראים וכותבים מיומנים","מיקוד בהבנה והבעה"))))))</f>
        <v/>
      </c>
      <c r="AC464" s="32">
        <f>IF(OR($AB464="",LEFT($AB464,1)="—"),"",IF(OR($AB464="מיקוד בשטף קריאה",$AB464="מיקוד בשטף הקריאה ובכישורי שפה"),"רמה א'",IF($AB464="קוראים וכותבים מיומנים","רמה ג'","רמה ב'")))</f>
        <v/>
      </c>
      <c r="AD464" s="32">
        <f>IF($AC464="","",MID(IF(AND($AC464="רמה א'",$AA464="ניכרת"),"; להוסיף עבודת אוצר מילים","")&amp;IF($Z464="אינה מפותחת","; דגש על הבעה בכתב","")&amp;IF($K464&lt;&gt;"תקין","; נדרש לעבוד על ההנגנה","")&amp;IF($AK464&lt;&gt;"","; "&amp;$AK464,""),3,400))</f>
        <v/>
      </c>
      <c r="AE464" s="32">
        <f>IF($F464="","",IF($F464="תחילת שנה",1,IF($F464="מחצית שנה",2,3)))</f>
        <v/>
      </c>
      <c r="AF464" s="32">
        <f>IF(OR($B464="",$AC464="",$A464="",$F464=""),"",$B464&amp;"|"&amp;$A464&amp;"|"&amp;$F464&amp;"|"&amp;$AC464&amp;"|"&amp;COUNTIFS($B$6:$B464,$B464,$A$6:$A464,$A464,$F$6:$F464,$F464,$AC$6:$AC464,$AC464))</f>
        <v/>
      </c>
      <c r="AG464" s="32">
        <f>IF($C464="","",$C464&amp;"|"&amp;COUNTIFS($C$6:$C464,$C464))</f>
        <v/>
      </c>
      <c r="AH464" s="32">
        <f>IF(OR($C464="",$A464="",$AE464=""),"",$C464&amp;"|"&amp;$A464&amp;"|"&amp;$AE464)</f>
        <v/>
      </c>
      <c r="AI464" s="32">
        <f>IF(OR($C464="",$AE464="",$AE464=1),"",IFERROR(INDEX($AC$6:$AC$1505,MATCH($C464&amp;"|"&amp;$A464&amp;"|"&amp;($AE464-1),$AH$6:$AH$1505,0)),""))</f>
        <v/>
      </c>
      <c r="AJ464" s="32">
        <f>IF(OR($AI464="",$AC464=""),"",IF($AI464=$AC464,"ללא שינוי","מ-"&amp;$AI464&amp;" ל-"&amp;$AC464))</f>
        <v/>
      </c>
      <c r="AK464" s="67" t="n"/>
    </row>
    <row r="465" ht="15.75" customHeight="1" s="58">
      <c r="A465" s="65" t="n"/>
      <c r="B465" s="65" t="n"/>
      <c r="C465" s="66" t="n"/>
      <c r="D465" s="66" t="n"/>
      <c r="E465" s="65" t="n"/>
      <c r="F465" s="65" t="n"/>
      <c r="G465" s="65" t="n"/>
      <c r="H465" s="65" t="n"/>
      <c r="I465" s="65" t="n"/>
      <c r="J465" s="65" t="n"/>
      <c r="K465" s="65" t="n"/>
      <c r="L465" s="65" t="n"/>
      <c r="M465" s="65" t="n"/>
      <c r="N465" s="65" t="n"/>
      <c r="O465" s="65" t="n"/>
      <c r="P465" s="65" t="n"/>
      <c r="Q465" s="65" t="n"/>
      <c r="R465" s="65" t="n"/>
      <c r="S465" s="65" t="n"/>
      <c r="T465" s="65" t="n"/>
      <c r="U465" s="65" t="n"/>
      <c r="V465" s="65" t="n"/>
      <c r="W465" s="65" t="n"/>
      <c r="X465" s="65" t="n"/>
      <c r="Y465" s="32">
        <f>IF($C465="","",IF(COUNTA($I465:$K465)&lt;3,"— חסרים נתונים",IF(AND($I465="תקין",$J465="תקין",$K465="תקין"),"רהוטה",IF(AND($I465="תקין",$J465="תקין"),"מדויקת ורציפה","אינה מדויקת או מקוטעת"))))</f>
        <v/>
      </c>
      <c r="Z465" s="32">
        <f>IF($C465="","",IF(COUNTA($U465:$W465)&lt;3,"",IF(AND($U465="מפותח",$V465="מפותח",$W465="מפותחת"),"מפותחת",IF((--($U465="דל"))+(--($V465="אינו מפותח"))+(--($W465="דלה"))&gt;=2,"אינה מפותחת","חלקית"))))</f>
        <v/>
      </c>
      <c r="AA465" s="32">
        <f>IF($C465="","",IF(COUNTA($M465,$N465,$O465)&lt;3,"— חסרים נתונים",IF(OR($M465="נמוכה",(--($M465&lt;&gt;"תקינה"))+(--($N465&lt;&gt;"תקין"))+(--($O465&lt;&gt;"תקינה"))&gt;=2),"ניכרת","אינה ניכרת")))</f>
        <v/>
      </c>
      <c r="AB465" s="32">
        <f>IF(OR($C465="",$Y465="",$AA465="",LEFT($Y465,1)="—",LEFT($AA465,1)="—"),"",IF($Z465="","— נדרשת הערכת כתיבה",IF($L465="","— חסרה הבנת הנקרא",IF($Y465="אינה מדויקת או מקוטעת",IF($AA465="ניכרת","מיקוד בשטף הקריאה ובכישורי שפה","מיקוד בשטף קריאה"),IF($AA465="ניכרת","מיקוד בכישורי שפה",IF(AND($L465="תקינה",$Z465="מפותחת"),"קוראים וכותבים מיומנים","מיקוד בהבנה והבעה"))))))</f>
        <v/>
      </c>
      <c r="AC465" s="32">
        <f>IF(OR($AB465="",LEFT($AB465,1)="—"),"",IF(OR($AB465="מיקוד בשטף קריאה",$AB465="מיקוד בשטף הקריאה ובכישורי שפה"),"רמה א'",IF($AB465="קוראים וכותבים מיומנים","רמה ג'","רמה ב'")))</f>
        <v/>
      </c>
      <c r="AD465" s="32">
        <f>IF($AC465="","",MID(IF(AND($AC465="רמה א'",$AA465="ניכרת"),"; להוסיף עבודת אוצר מילים","")&amp;IF($Z465="אינה מפותחת","; דגש על הבעה בכתב","")&amp;IF($K465&lt;&gt;"תקין","; נדרש לעבוד על ההנגנה","")&amp;IF($AK465&lt;&gt;"","; "&amp;$AK465,""),3,400))</f>
        <v/>
      </c>
      <c r="AE465" s="32">
        <f>IF($F465="","",IF($F465="תחילת שנה",1,IF($F465="מחצית שנה",2,3)))</f>
        <v/>
      </c>
      <c r="AF465" s="32">
        <f>IF(OR($B465="",$AC465="",$A465="",$F465=""),"",$B465&amp;"|"&amp;$A465&amp;"|"&amp;$F465&amp;"|"&amp;$AC465&amp;"|"&amp;COUNTIFS($B$6:$B465,$B465,$A$6:$A465,$A465,$F$6:$F465,$F465,$AC$6:$AC465,$AC465))</f>
        <v/>
      </c>
      <c r="AG465" s="32">
        <f>IF($C465="","",$C465&amp;"|"&amp;COUNTIFS($C$6:$C465,$C465))</f>
        <v/>
      </c>
      <c r="AH465" s="32">
        <f>IF(OR($C465="",$A465="",$AE465=""),"",$C465&amp;"|"&amp;$A465&amp;"|"&amp;$AE465)</f>
        <v/>
      </c>
      <c r="AI465" s="32">
        <f>IF(OR($C465="",$AE465="",$AE465=1),"",IFERROR(INDEX($AC$6:$AC$1505,MATCH($C465&amp;"|"&amp;$A465&amp;"|"&amp;($AE465-1),$AH$6:$AH$1505,0)),""))</f>
        <v/>
      </c>
      <c r="AJ465" s="32">
        <f>IF(OR($AI465="",$AC465=""),"",IF($AI465=$AC465,"ללא שינוי","מ-"&amp;$AI465&amp;" ל-"&amp;$AC465))</f>
        <v/>
      </c>
      <c r="AK465" s="67" t="n"/>
    </row>
    <row r="466" ht="15.75" customHeight="1" s="58">
      <c r="A466" s="65" t="n"/>
      <c r="B466" s="65" t="n"/>
      <c r="C466" s="66" t="n"/>
      <c r="D466" s="66" t="n"/>
      <c r="E466" s="65" t="n"/>
      <c r="F466" s="65" t="n"/>
      <c r="G466" s="65" t="n"/>
      <c r="H466" s="65" t="n"/>
      <c r="I466" s="65" t="n"/>
      <c r="J466" s="65" t="n"/>
      <c r="K466" s="65" t="n"/>
      <c r="L466" s="65" t="n"/>
      <c r="M466" s="65" t="n"/>
      <c r="N466" s="65" t="n"/>
      <c r="O466" s="65" t="n"/>
      <c r="P466" s="65" t="n"/>
      <c r="Q466" s="65" t="n"/>
      <c r="R466" s="65" t="n"/>
      <c r="S466" s="65" t="n"/>
      <c r="T466" s="65" t="n"/>
      <c r="U466" s="65" t="n"/>
      <c r="V466" s="65" t="n"/>
      <c r="W466" s="65" t="n"/>
      <c r="X466" s="65" t="n"/>
      <c r="Y466" s="32">
        <f>IF($C466="","",IF(COUNTA($I466:$K466)&lt;3,"— חסרים נתונים",IF(AND($I466="תקין",$J466="תקין",$K466="תקין"),"רהוטה",IF(AND($I466="תקין",$J466="תקין"),"מדויקת ורציפה","אינה מדויקת או מקוטעת"))))</f>
        <v/>
      </c>
      <c r="Z466" s="32">
        <f>IF($C466="","",IF(COUNTA($U466:$W466)&lt;3,"",IF(AND($U466="מפותח",$V466="מפותח",$W466="מפותחת"),"מפותחת",IF((--($U466="דל"))+(--($V466="אינו מפותח"))+(--($W466="דלה"))&gt;=2,"אינה מפותחת","חלקית"))))</f>
        <v/>
      </c>
      <c r="AA466" s="32">
        <f>IF($C466="","",IF(COUNTA($M466,$N466,$O466)&lt;3,"— חסרים נתונים",IF(OR($M466="נמוכה",(--($M466&lt;&gt;"תקינה"))+(--($N466&lt;&gt;"תקין"))+(--($O466&lt;&gt;"תקינה"))&gt;=2),"ניכרת","אינה ניכרת")))</f>
        <v/>
      </c>
      <c r="AB466" s="32">
        <f>IF(OR($C466="",$Y466="",$AA466="",LEFT($Y466,1)="—",LEFT($AA466,1)="—"),"",IF($Z466="","— נדרשת הערכת כתיבה",IF($L466="","— חסרה הבנת הנקרא",IF($Y466="אינה מדויקת או מקוטעת",IF($AA466="ניכרת","מיקוד בשטף הקריאה ובכישורי שפה","מיקוד בשטף קריאה"),IF($AA466="ניכרת","מיקוד בכישורי שפה",IF(AND($L466="תקינה",$Z466="מפותחת"),"קוראים וכותבים מיומנים","מיקוד בהבנה והבעה"))))))</f>
        <v/>
      </c>
      <c r="AC466" s="32">
        <f>IF(OR($AB466="",LEFT($AB466,1)="—"),"",IF(OR($AB466="מיקוד בשטף קריאה",$AB466="מיקוד בשטף הקריאה ובכישורי שפה"),"רמה א'",IF($AB466="קוראים וכותבים מיומנים","רמה ג'","רמה ב'")))</f>
        <v/>
      </c>
      <c r="AD466" s="32">
        <f>IF($AC466="","",MID(IF(AND($AC466="רמה א'",$AA466="ניכרת"),"; להוסיף עבודת אוצר מילים","")&amp;IF($Z466="אינה מפותחת","; דגש על הבעה בכתב","")&amp;IF($K466&lt;&gt;"תקין","; נדרש לעבוד על ההנגנה","")&amp;IF($AK466&lt;&gt;"","; "&amp;$AK466,""),3,400))</f>
        <v/>
      </c>
      <c r="AE466" s="32">
        <f>IF($F466="","",IF($F466="תחילת שנה",1,IF($F466="מחצית שנה",2,3)))</f>
        <v/>
      </c>
      <c r="AF466" s="32">
        <f>IF(OR($B466="",$AC466="",$A466="",$F466=""),"",$B466&amp;"|"&amp;$A466&amp;"|"&amp;$F466&amp;"|"&amp;$AC466&amp;"|"&amp;COUNTIFS($B$6:$B466,$B466,$A$6:$A466,$A466,$F$6:$F466,$F466,$AC$6:$AC466,$AC466))</f>
        <v/>
      </c>
      <c r="AG466" s="32">
        <f>IF($C466="","",$C466&amp;"|"&amp;COUNTIFS($C$6:$C466,$C466))</f>
        <v/>
      </c>
      <c r="AH466" s="32">
        <f>IF(OR($C466="",$A466="",$AE466=""),"",$C466&amp;"|"&amp;$A466&amp;"|"&amp;$AE466)</f>
        <v/>
      </c>
      <c r="AI466" s="32">
        <f>IF(OR($C466="",$AE466="",$AE466=1),"",IFERROR(INDEX($AC$6:$AC$1505,MATCH($C466&amp;"|"&amp;$A466&amp;"|"&amp;($AE466-1),$AH$6:$AH$1505,0)),""))</f>
        <v/>
      </c>
      <c r="AJ466" s="32">
        <f>IF(OR($AI466="",$AC466=""),"",IF($AI466=$AC466,"ללא שינוי","מ-"&amp;$AI466&amp;" ל-"&amp;$AC466))</f>
        <v/>
      </c>
      <c r="AK466" s="67" t="n"/>
    </row>
    <row r="467" ht="15.75" customHeight="1" s="58">
      <c r="A467" s="65" t="n"/>
      <c r="B467" s="65" t="n"/>
      <c r="C467" s="66" t="n"/>
      <c r="D467" s="66" t="n"/>
      <c r="E467" s="65" t="n"/>
      <c r="F467" s="65" t="n"/>
      <c r="G467" s="65" t="n"/>
      <c r="H467" s="65" t="n"/>
      <c r="I467" s="65" t="n"/>
      <c r="J467" s="65" t="n"/>
      <c r="K467" s="65" t="n"/>
      <c r="L467" s="65" t="n"/>
      <c r="M467" s="65" t="n"/>
      <c r="N467" s="65" t="n"/>
      <c r="O467" s="65" t="n"/>
      <c r="P467" s="65" t="n"/>
      <c r="Q467" s="65" t="n"/>
      <c r="R467" s="65" t="n"/>
      <c r="S467" s="65" t="n"/>
      <c r="T467" s="65" t="n"/>
      <c r="U467" s="65" t="n"/>
      <c r="V467" s="65" t="n"/>
      <c r="W467" s="65" t="n"/>
      <c r="X467" s="65" t="n"/>
      <c r="Y467" s="32">
        <f>IF($C467="","",IF(COUNTA($I467:$K467)&lt;3,"— חסרים נתונים",IF(AND($I467="תקין",$J467="תקין",$K467="תקין"),"רהוטה",IF(AND($I467="תקין",$J467="תקין"),"מדויקת ורציפה","אינה מדויקת או מקוטעת"))))</f>
        <v/>
      </c>
      <c r="Z467" s="32">
        <f>IF($C467="","",IF(COUNTA($U467:$W467)&lt;3,"",IF(AND($U467="מפותח",$V467="מפותח",$W467="מפותחת"),"מפותחת",IF((--($U467="דל"))+(--($V467="אינו מפותח"))+(--($W467="דלה"))&gt;=2,"אינה מפותחת","חלקית"))))</f>
        <v/>
      </c>
      <c r="AA467" s="32">
        <f>IF($C467="","",IF(COUNTA($M467,$N467,$O467)&lt;3,"— חסרים נתונים",IF(OR($M467="נמוכה",(--($M467&lt;&gt;"תקינה"))+(--($N467&lt;&gt;"תקין"))+(--($O467&lt;&gt;"תקינה"))&gt;=2),"ניכרת","אינה ניכרת")))</f>
        <v/>
      </c>
      <c r="AB467" s="32">
        <f>IF(OR($C467="",$Y467="",$AA467="",LEFT($Y467,1)="—",LEFT($AA467,1)="—"),"",IF($Z467="","— נדרשת הערכת כתיבה",IF($L467="","— חסרה הבנת הנקרא",IF($Y467="אינה מדויקת או מקוטעת",IF($AA467="ניכרת","מיקוד בשטף הקריאה ובכישורי שפה","מיקוד בשטף קריאה"),IF($AA467="ניכרת","מיקוד בכישורי שפה",IF(AND($L467="תקינה",$Z467="מפותחת"),"קוראים וכותבים מיומנים","מיקוד בהבנה והבעה"))))))</f>
        <v/>
      </c>
      <c r="AC467" s="32">
        <f>IF(OR($AB467="",LEFT($AB467,1)="—"),"",IF(OR($AB467="מיקוד בשטף קריאה",$AB467="מיקוד בשטף הקריאה ובכישורי שפה"),"רמה א'",IF($AB467="קוראים וכותבים מיומנים","רמה ג'","רמה ב'")))</f>
        <v/>
      </c>
      <c r="AD467" s="32">
        <f>IF($AC467="","",MID(IF(AND($AC467="רמה א'",$AA467="ניכרת"),"; להוסיף עבודת אוצר מילים","")&amp;IF($Z467="אינה מפותחת","; דגש על הבעה בכתב","")&amp;IF($K467&lt;&gt;"תקין","; נדרש לעבוד על ההנגנה","")&amp;IF($AK467&lt;&gt;"","; "&amp;$AK467,""),3,400))</f>
        <v/>
      </c>
      <c r="AE467" s="32">
        <f>IF($F467="","",IF($F467="תחילת שנה",1,IF($F467="מחצית שנה",2,3)))</f>
        <v/>
      </c>
      <c r="AF467" s="32">
        <f>IF(OR($B467="",$AC467="",$A467="",$F467=""),"",$B467&amp;"|"&amp;$A467&amp;"|"&amp;$F467&amp;"|"&amp;$AC467&amp;"|"&amp;COUNTIFS($B$6:$B467,$B467,$A$6:$A467,$A467,$F$6:$F467,$F467,$AC$6:$AC467,$AC467))</f>
        <v/>
      </c>
      <c r="AG467" s="32">
        <f>IF($C467="","",$C467&amp;"|"&amp;COUNTIFS($C$6:$C467,$C467))</f>
        <v/>
      </c>
      <c r="AH467" s="32">
        <f>IF(OR($C467="",$A467="",$AE467=""),"",$C467&amp;"|"&amp;$A467&amp;"|"&amp;$AE467)</f>
        <v/>
      </c>
      <c r="AI467" s="32">
        <f>IF(OR($C467="",$AE467="",$AE467=1),"",IFERROR(INDEX($AC$6:$AC$1505,MATCH($C467&amp;"|"&amp;$A467&amp;"|"&amp;($AE467-1),$AH$6:$AH$1505,0)),""))</f>
        <v/>
      </c>
      <c r="AJ467" s="32">
        <f>IF(OR($AI467="",$AC467=""),"",IF($AI467=$AC467,"ללא שינוי","מ-"&amp;$AI467&amp;" ל-"&amp;$AC467))</f>
        <v/>
      </c>
      <c r="AK467" s="67" t="n"/>
    </row>
    <row r="468" ht="15.75" customHeight="1" s="58">
      <c r="A468" s="65" t="n"/>
      <c r="B468" s="65" t="n"/>
      <c r="C468" s="66" t="n"/>
      <c r="D468" s="66" t="n"/>
      <c r="E468" s="65" t="n"/>
      <c r="F468" s="65" t="n"/>
      <c r="G468" s="65" t="n"/>
      <c r="H468" s="65" t="n"/>
      <c r="I468" s="65" t="n"/>
      <c r="J468" s="65" t="n"/>
      <c r="K468" s="65" t="n"/>
      <c r="L468" s="65" t="n"/>
      <c r="M468" s="65" t="n"/>
      <c r="N468" s="65" t="n"/>
      <c r="O468" s="65" t="n"/>
      <c r="P468" s="65" t="n"/>
      <c r="Q468" s="65" t="n"/>
      <c r="R468" s="65" t="n"/>
      <c r="S468" s="65" t="n"/>
      <c r="T468" s="65" t="n"/>
      <c r="U468" s="65" t="n"/>
      <c r="V468" s="65" t="n"/>
      <c r="W468" s="65" t="n"/>
      <c r="X468" s="65" t="n"/>
      <c r="Y468" s="32">
        <f>IF($C468="","",IF(COUNTA($I468:$K468)&lt;3,"— חסרים נתונים",IF(AND($I468="תקין",$J468="תקין",$K468="תקין"),"רהוטה",IF(AND($I468="תקין",$J468="תקין"),"מדויקת ורציפה","אינה מדויקת או מקוטעת"))))</f>
        <v/>
      </c>
      <c r="Z468" s="32">
        <f>IF($C468="","",IF(COUNTA($U468:$W468)&lt;3,"",IF(AND($U468="מפותח",$V468="מפותח",$W468="מפותחת"),"מפותחת",IF((--($U468="דל"))+(--($V468="אינו מפותח"))+(--($W468="דלה"))&gt;=2,"אינה מפותחת","חלקית"))))</f>
        <v/>
      </c>
      <c r="AA468" s="32">
        <f>IF($C468="","",IF(COUNTA($M468,$N468,$O468)&lt;3,"— חסרים נתונים",IF(OR($M468="נמוכה",(--($M468&lt;&gt;"תקינה"))+(--($N468&lt;&gt;"תקין"))+(--($O468&lt;&gt;"תקינה"))&gt;=2),"ניכרת","אינה ניכרת")))</f>
        <v/>
      </c>
      <c r="AB468" s="32">
        <f>IF(OR($C468="",$Y468="",$AA468="",LEFT($Y468,1)="—",LEFT($AA468,1)="—"),"",IF($Z468="","— נדרשת הערכת כתיבה",IF($L468="","— חסרה הבנת הנקרא",IF($Y468="אינה מדויקת או מקוטעת",IF($AA468="ניכרת","מיקוד בשטף הקריאה ובכישורי שפה","מיקוד בשטף קריאה"),IF($AA468="ניכרת","מיקוד בכישורי שפה",IF(AND($L468="תקינה",$Z468="מפותחת"),"קוראים וכותבים מיומנים","מיקוד בהבנה והבעה"))))))</f>
        <v/>
      </c>
      <c r="AC468" s="32">
        <f>IF(OR($AB468="",LEFT($AB468,1)="—"),"",IF(OR($AB468="מיקוד בשטף קריאה",$AB468="מיקוד בשטף הקריאה ובכישורי שפה"),"רמה א'",IF($AB468="קוראים וכותבים מיומנים","רמה ג'","רמה ב'")))</f>
        <v/>
      </c>
      <c r="AD468" s="32">
        <f>IF($AC468="","",MID(IF(AND($AC468="רמה א'",$AA468="ניכרת"),"; להוסיף עבודת אוצר מילים","")&amp;IF($Z468="אינה מפותחת","; דגש על הבעה בכתב","")&amp;IF($K468&lt;&gt;"תקין","; נדרש לעבוד על ההנגנה","")&amp;IF($AK468&lt;&gt;"","; "&amp;$AK468,""),3,400))</f>
        <v/>
      </c>
      <c r="AE468" s="32">
        <f>IF($F468="","",IF($F468="תחילת שנה",1,IF($F468="מחצית שנה",2,3)))</f>
        <v/>
      </c>
      <c r="AF468" s="32">
        <f>IF(OR($B468="",$AC468="",$A468="",$F468=""),"",$B468&amp;"|"&amp;$A468&amp;"|"&amp;$F468&amp;"|"&amp;$AC468&amp;"|"&amp;COUNTIFS($B$6:$B468,$B468,$A$6:$A468,$A468,$F$6:$F468,$F468,$AC$6:$AC468,$AC468))</f>
        <v/>
      </c>
      <c r="AG468" s="32">
        <f>IF($C468="","",$C468&amp;"|"&amp;COUNTIFS($C$6:$C468,$C468))</f>
        <v/>
      </c>
      <c r="AH468" s="32">
        <f>IF(OR($C468="",$A468="",$AE468=""),"",$C468&amp;"|"&amp;$A468&amp;"|"&amp;$AE468)</f>
        <v/>
      </c>
      <c r="AI468" s="32">
        <f>IF(OR($C468="",$AE468="",$AE468=1),"",IFERROR(INDEX($AC$6:$AC$1505,MATCH($C468&amp;"|"&amp;$A468&amp;"|"&amp;($AE468-1),$AH$6:$AH$1505,0)),""))</f>
        <v/>
      </c>
      <c r="AJ468" s="32">
        <f>IF(OR($AI468="",$AC468=""),"",IF($AI468=$AC468,"ללא שינוי","מ-"&amp;$AI468&amp;" ל-"&amp;$AC468))</f>
        <v/>
      </c>
      <c r="AK468" s="67" t="n"/>
    </row>
    <row r="469" ht="15.75" customHeight="1" s="58">
      <c r="A469" s="65" t="n"/>
      <c r="B469" s="65" t="n"/>
      <c r="C469" s="66" t="n"/>
      <c r="D469" s="66" t="n"/>
      <c r="E469" s="65" t="n"/>
      <c r="F469" s="65" t="n"/>
      <c r="G469" s="65" t="n"/>
      <c r="H469" s="65" t="n"/>
      <c r="I469" s="65" t="n"/>
      <c r="J469" s="65" t="n"/>
      <c r="K469" s="65" t="n"/>
      <c r="L469" s="65" t="n"/>
      <c r="M469" s="65" t="n"/>
      <c r="N469" s="65" t="n"/>
      <c r="O469" s="65" t="n"/>
      <c r="P469" s="65" t="n"/>
      <c r="Q469" s="65" t="n"/>
      <c r="R469" s="65" t="n"/>
      <c r="S469" s="65" t="n"/>
      <c r="T469" s="65" t="n"/>
      <c r="U469" s="65" t="n"/>
      <c r="V469" s="65" t="n"/>
      <c r="W469" s="65" t="n"/>
      <c r="X469" s="65" t="n"/>
      <c r="Y469" s="32">
        <f>IF($C469="","",IF(COUNTA($I469:$K469)&lt;3,"— חסרים נתונים",IF(AND($I469="תקין",$J469="תקין",$K469="תקין"),"רהוטה",IF(AND($I469="תקין",$J469="תקין"),"מדויקת ורציפה","אינה מדויקת או מקוטעת"))))</f>
        <v/>
      </c>
      <c r="Z469" s="32">
        <f>IF($C469="","",IF(COUNTA($U469:$W469)&lt;3,"",IF(AND($U469="מפותח",$V469="מפותח",$W469="מפותחת"),"מפותחת",IF((--($U469="דל"))+(--($V469="אינו מפותח"))+(--($W469="דלה"))&gt;=2,"אינה מפותחת","חלקית"))))</f>
        <v/>
      </c>
      <c r="AA469" s="32">
        <f>IF($C469="","",IF(COUNTA($M469,$N469,$O469)&lt;3,"— חסרים נתונים",IF(OR($M469="נמוכה",(--($M469&lt;&gt;"תקינה"))+(--($N469&lt;&gt;"תקין"))+(--($O469&lt;&gt;"תקינה"))&gt;=2),"ניכרת","אינה ניכרת")))</f>
        <v/>
      </c>
      <c r="AB469" s="32">
        <f>IF(OR($C469="",$Y469="",$AA469="",LEFT($Y469,1)="—",LEFT($AA469,1)="—"),"",IF($Z469="","— נדרשת הערכת כתיבה",IF($L469="","— חסרה הבנת הנקרא",IF($Y469="אינה מדויקת או מקוטעת",IF($AA469="ניכרת","מיקוד בשטף הקריאה ובכישורי שפה","מיקוד בשטף קריאה"),IF($AA469="ניכרת","מיקוד בכישורי שפה",IF(AND($L469="תקינה",$Z469="מפותחת"),"קוראים וכותבים מיומנים","מיקוד בהבנה והבעה"))))))</f>
        <v/>
      </c>
      <c r="AC469" s="32">
        <f>IF(OR($AB469="",LEFT($AB469,1)="—"),"",IF(OR($AB469="מיקוד בשטף קריאה",$AB469="מיקוד בשטף הקריאה ובכישורי שפה"),"רמה א'",IF($AB469="קוראים וכותבים מיומנים","רמה ג'","רמה ב'")))</f>
        <v/>
      </c>
      <c r="AD469" s="32">
        <f>IF($AC469="","",MID(IF(AND($AC469="רמה א'",$AA469="ניכרת"),"; להוסיף עבודת אוצר מילים","")&amp;IF($Z469="אינה מפותחת","; דגש על הבעה בכתב","")&amp;IF($K469&lt;&gt;"תקין","; נדרש לעבוד על ההנגנה","")&amp;IF($AK469&lt;&gt;"","; "&amp;$AK469,""),3,400))</f>
        <v/>
      </c>
      <c r="AE469" s="32">
        <f>IF($F469="","",IF($F469="תחילת שנה",1,IF($F469="מחצית שנה",2,3)))</f>
        <v/>
      </c>
      <c r="AF469" s="32">
        <f>IF(OR($B469="",$AC469="",$A469="",$F469=""),"",$B469&amp;"|"&amp;$A469&amp;"|"&amp;$F469&amp;"|"&amp;$AC469&amp;"|"&amp;COUNTIFS($B$6:$B469,$B469,$A$6:$A469,$A469,$F$6:$F469,$F469,$AC$6:$AC469,$AC469))</f>
        <v/>
      </c>
      <c r="AG469" s="32">
        <f>IF($C469="","",$C469&amp;"|"&amp;COUNTIFS($C$6:$C469,$C469))</f>
        <v/>
      </c>
      <c r="AH469" s="32">
        <f>IF(OR($C469="",$A469="",$AE469=""),"",$C469&amp;"|"&amp;$A469&amp;"|"&amp;$AE469)</f>
        <v/>
      </c>
      <c r="AI469" s="32">
        <f>IF(OR($C469="",$AE469="",$AE469=1),"",IFERROR(INDEX($AC$6:$AC$1505,MATCH($C469&amp;"|"&amp;$A469&amp;"|"&amp;($AE469-1),$AH$6:$AH$1505,0)),""))</f>
        <v/>
      </c>
      <c r="AJ469" s="32">
        <f>IF(OR($AI469="",$AC469=""),"",IF($AI469=$AC469,"ללא שינוי","מ-"&amp;$AI469&amp;" ל-"&amp;$AC469))</f>
        <v/>
      </c>
      <c r="AK469" s="67" t="n"/>
    </row>
    <row r="470" ht="15.75" customHeight="1" s="58">
      <c r="A470" s="65" t="n"/>
      <c r="B470" s="65" t="n"/>
      <c r="C470" s="66" t="n"/>
      <c r="D470" s="66" t="n"/>
      <c r="E470" s="65" t="n"/>
      <c r="F470" s="65" t="n"/>
      <c r="G470" s="65" t="n"/>
      <c r="H470" s="65" t="n"/>
      <c r="I470" s="65" t="n"/>
      <c r="J470" s="65" t="n"/>
      <c r="K470" s="65" t="n"/>
      <c r="L470" s="65" t="n"/>
      <c r="M470" s="65" t="n"/>
      <c r="N470" s="65" t="n"/>
      <c r="O470" s="65" t="n"/>
      <c r="P470" s="65" t="n"/>
      <c r="Q470" s="65" t="n"/>
      <c r="R470" s="65" t="n"/>
      <c r="S470" s="65" t="n"/>
      <c r="T470" s="65" t="n"/>
      <c r="U470" s="65" t="n"/>
      <c r="V470" s="65" t="n"/>
      <c r="W470" s="65" t="n"/>
      <c r="X470" s="65" t="n"/>
      <c r="Y470" s="32">
        <f>IF($C470="","",IF(COUNTA($I470:$K470)&lt;3,"— חסרים נתונים",IF(AND($I470="תקין",$J470="תקין",$K470="תקין"),"רהוטה",IF(AND($I470="תקין",$J470="תקין"),"מדויקת ורציפה","אינה מדויקת או מקוטעת"))))</f>
        <v/>
      </c>
      <c r="Z470" s="32">
        <f>IF($C470="","",IF(COUNTA($U470:$W470)&lt;3,"",IF(AND($U470="מפותח",$V470="מפותח",$W470="מפותחת"),"מפותחת",IF((--($U470="דל"))+(--($V470="אינו מפותח"))+(--($W470="דלה"))&gt;=2,"אינה מפותחת","חלקית"))))</f>
        <v/>
      </c>
      <c r="AA470" s="32">
        <f>IF($C470="","",IF(COUNTA($M470,$N470,$O470)&lt;3,"— חסרים נתונים",IF(OR($M470="נמוכה",(--($M470&lt;&gt;"תקינה"))+(--($N470&lt;&gt;"תקין"))+(--($O470&lt;&gt;"תקינה"))&gt;=2),"ניכרת","אינה ניכרת")))</f>
        <v/>
      </c>
      <c r="AB470" s="32">
        <f>IF(OR($C470="",$Y470="",$AA470="",LEFT($Y470,1)="—",LEFT($AA470,1)="—"),"",IF($Z470="","— נדרשת הערכת כתיבה",IF($L470="","— חסרה הבנת הנקרא",IF($Y470="אינה מדויקת או מקוטעת",IF($AA470="ניכרת","מיקוד בשטף הקריאה ובכישורי שפה","מיקוד בשטף קריאה"),IF($AA470="ניכרת","מיקוד בכישורי שפה",IF(AND($L470="תקינה",$Z470="מפותחת"),"קוראים וכותבים מיומנים","מיקוד בהבנה והבעה"))))))</f>
        <v/>
      </c>
      <c r="AC470" s="32">
        <f>IF(OR($AB470="",LEFT($AB470,1)="—"),"",IF(OR($AB470="מיקוד בשטף קריאה",$AB470="מיקוד בשטף הקריאה ובכישורי שפה"),"רמה א'",IF($AB470="קוראים וכותבים מיומנים","רמה ג'","רמה ב'")))</f>
        <v/>
      </c>
      <c r="AD470" s="32">
        <f>IF($AC470="","",MID(IF(AND($AC470="רמה א'",$AA470="ניכרת"),"; להוסיף עבודת אוצר מילים","")&amp;IF($Z470="אינה מפותחת","; דגש על הבעה בכתב","")&amp;IF($K470&lt;&gt;"תקין","; נדרש לעבוד על ההנגנה","")&amp;IF($AK470&lt;&gt;"","; "&amp;$AK470,""),3,400))</f>
        <v/>
      </c>
      <c r="AE470" s="32">
        <f>IF($F470="","",IF($F470="תחילת שנה",1,IF($F470="מחצית שנה",2,3)))</f>
        <v/>
      </c>
      <c r="AF470" s="32">
        <f>IF(OR($B470="",$AC470="",$A470="",$F470=""),"",$B470&amp;"|"&amp;$A470&amp;"|"&amp;$F470&amp;"|"&amp;$AC470&amp;"|"&amp;COUNTIFS($B$6:$B470,$B470,$A$6:$A470,$A470,$F$6:$F470,$F470,$AC$6:$AC470,$AC470))</f>
        <v/>
      </c>
      <c r="AG470" s="32">
        <f>IF($C470="","",$C470&amp;"|"&amp;COUNTIFS($C$6:$C470,$C470))</f>
        <v/>
      </c>
      <c r="AH470" s="32">
        <f>IF(OR($C470="",$A470="",$AE470=""),"",$C470&amp;"|"&amp;$A470&amp;"|"&amp;$AE470)</f>
        <v/>
      </c>
      <c r="AI470" s="32">
        <f>IF(OR($C470="",$AE470="",$AE470=1),"",IFERROR(INDEX($AC$6:$AC$1505,MATCH($C470&amp;"|"&amp;$A470&amp;"|"&amp;($AE470-1),$AH$6:$AH$1505,0)),""))</f>
        <v/>
      </c>
      <c r="AJ470" s="32">
        <f>IF(OR($AI470="",$AC470=""),"",IF($AI470=$AC470,"ללא שינוי","מ-"&amp;$AI470&amp;" ל-"&amp;$AC470))</f>
        <v/>
      </c>
      <c r="AK470" s="67" t="n"/>
    </row>
    <row r="471" ht="15.75" customHeight="1" s="58">
      <c r="A471" s="65" t="n"/>
      <c r="B471" s="65" t="n"/>
      <c r="C471" s="66" t="n"/>
      <c r="D471" s="66" t="n"/>
      <c r="E471" s="65" t="n"/>
      <c r="F471" s="65" t="n"/>
      <c r="G471" s="65" t="n"/>
      <c r="H471" s="65" t="n"/>
      <c r="I471" s="65" t="n"/>
      <c r="J471" s="65" t="n"/>
      <c r="K471" s="65" t="n"/>
      <c r="L471" s="65" t="n"/>
      <c r="M471" s="65" t="n"/>
      <c r="N471" s="65" t="n"/>
      <c r="O471" s="65" t="n"/>
      <c r="P471" s="65" t="n"/>
      <c r="Q471" s="65" t="n"/>
      <c r="R471" s="65" t="n"/>
      <c r="S471" s="65" t="n"/>
      <c r="T471" s="65" t="n"/>
      <c r="U471" s="65" t="n"/>
      <c r="V471" s="65" t="n"/>
      <c r="W471" s="65" t="n"/>
      <c r="X471" s="65" t="n"/>
      <c r="Y471" s="32">
        <f>IF($C471="","",IF(COUNTA($I471:$K471)&lt;3,"— חסרים נתונים",IF(AND($I471="תקין",$J471="תקין",$K471="תקין"),"רהוטה",IF(AND($I471="תקין",$J471="תקין"),"מדויקת ורציפה","אינה מדויקת או מקוטעת"))))</f>
        <v/>
      </c>
      <c r="Z471" s="32">
        <f>IF($C471="","",IF(COUNTA($U471:$W471)&lt;3,"",IF(AND($U471="מפותח",$V471="מפותח",$W471="מפותחת"),"מפותחת",IF((--($U471="דל"))+(--($V471="אינו מפותח"))+(--($W471="דלה"))&gt;=2,"אינה מפותחת","חלקית"))))</f>
        <v/>
      </c>
      <c r="AA471" s="32">
        <f>IF($C471="","",IF(COUNTA($M471,$N471,$O471)&lt;3,"— חסרים נתונים",IF(OR($M471="נמוכה",(--($M471&lt;&gt;"תקינה"))+(--($N471&lt;&gt;"תקין"))+(--($O471&lt;&gt;"תקינה"))&gt;=2),"ניכרת","אינה ניכרת")))</f>
        <v/>
      </c>
      <c r="AB471" s="32">
        <f>IF(OR($C471="",$Y471="",$AA471="",LEFT($Y471,1)="—",LEFT($AA471,1)="—"),"",IF($Z471="","— נדרשת הערכת כתיבה",IF($L471="","— חסרה הבנת הנקרא",IF($Y471="אינה מדויקת או מקוטעת",IF($AA471="ניכרת","מיקוד בשטף הקריאה ובכישורי שפה","מיקוד בשטף קריאה"),IF($AA471="ניכרת","מיקוד בכישורי שפה",IF(AND($L471="תקינה",$Z471="מפותחת"),"קוראים וכותבים מיומנים","מיקוד בהבנה והבעה"))))))</f>
        <v/>
      </c>
      <c r="AC471" s="32">
        <f>IF(OR($AB471="",LEFT($AB471,1)="—"),"",IF(OR($AB471="מיקוד בשטף קריאה",$AB471="מיקוד בשטף הקריאה ובכישורי שפה"),"רמה א'",IF($AB471="קוראים וכותבים מיומנים","רמה ג'","רמה ב'")))</f>
        <v/>
      </c>
      <c r="AD471" s="32">
        <f>IF($AC471="","",MID(IF(AND($AC471="רמה א'",$AA471="ניכרת"),"; להוסיף עבודת אוצר מילים","")&amp;IF($Z471="אינה מפותחת","; דגש על הבעה בכתב","")&amp;IF($K471&lt;&gt;"תקין","; נדרש לעבוד על ההנגנה","")&amp;IF($AK471&lt;&gt;"","; "&amp;$AK471,""),3,400))</f>
        <v/>
      </c>
      <c r="AE471" s="32">
        <f>IF($F471="","",IF($F471="תחילת שנה",1,IF($F471="מחצית שנה",2,3)))</f>
        <v/>
      </c>
      <c r="AF471" s="32">
        <f>IF(OR($B471="",$AC471="",$A471="",$F471=""),"",$B471&amp;"|"&amp;$A471&amp;"|"&amp;$F471&amp;"|"&amp;$AC471&amp;"|"&amp;COUNTIFS($B$6:$B471,$B471,$A$6:$A471,$A471,$F$6:$F471,$F471,$AC$6:$AC471,$AC471))</f>
        <v/>
      </c>
      <c r="AG471" s="32">
        <f>IF($C471="","",$C471&amp;"|"&amp;COUNTIFS($C$6:$C471,$C471))</f>
        <v/>
      </c>
      <c r="AH471" s="32">
        <f>IF(OR($C471="",$A471="",$AE471=""),"",$C471&amp;"|"&amp;$A471&amp;"|"&amp;$AE471)</f>
        <v/>
      </c>
      <c r="AI471" s="32">
        <f>IF(OR($C471="",$AE471="",$AE471=1),"",IFERROR(INDEX($AC$6:$AC$1505,MATCH($C471&amp;"|"&amp;$A471&amp;"|"&amp;($AE471-1),$AH$6:$AH$1505,0)),""))</f>
        <v/>
      </c>
      <c r="AJ471" s="32">
        <f>IF(OR($AI471="",$AC471=""),"",IF($AI471=$AC471,"ללא שינוי","מ-"&amp;$AI471&amp;" ל-"&amp;$AC471))</f>
        <v/>
      </c>
      <c r="AK471" s="67" t="n"/>
    </row>
    <row r="472" ht="15.75" customHeight="1" s="58">
      <c r="A472" s="65" t="n"/>
      <c r="B472" s="65" t="n"/>
      <c r="C472" s="66" t="n"/>
      <c r="D472" s="66" t="n"/>
      <c r="E472" s="65" t="n"/>
      <c r="F472" s="65" t="n"/>
      <c r="G472" s="65" t="n"/>
      <c r="H472" s="65" t="n"/>
      <c r="I472" s="65" t="n"/>
      <c r="J472" s="65" t="n"/>
      <c r="K472" s="65" t="n"/>
      <c r="L472" s="65" t="n"/>
      <c r="M472" s="65" t="n"/>
      <c r="N472" s="65" t="n"/>
      <c r="O472" s="65" t="n"/>
      <c r="P472" s="65" t="n"/>
      <c r="Q472" s="65" t="n"/>
      <c r="R472" s="65" t="n"/>
      <c r="S472" s="65" t="n"/>
      <c r="T472" s="65" t="n"/>
      <c r="U472" s="65" t="n"/>
      <c r="V472" s="65" t="n"/>
      <c r="W472" s="65" t="n"/>
      <c r="X472" s="65" t="n"/>
      <c r="Y472" s="32">
        <f>IF($C472="","",IF(COUNTA($I472:$K472)&lt;3,"— חסרים נתונים",IF(AND($I472="תקין",$J472="תקין",$K472="תקין"),"רהוטה",IF(AND($I472="תקין",$J472="תקין"),"מדויקת ורציפה","אינה מדויקת או מקוטעת"))))</f>
        <v/>
      </c>
      <c r="Z472" s="32">
        <f>IF($C472="","",IF(COUNTA($U472:$W472)&lt;3,"",IF(AND($U472="מפותח",$V472="מפותח",$W472="מפותחת"),"מפותחת",IF((--($U472="דל"))+(--($V472="אינו מפותח"))+(--($W472="דלה"))&gt;=2,"אינה מפותחת","חלקית"))))</f>
        <v/>
      </c>
      <c r="AA472" s="32">
        <f>IF($C472="","",IF(COUNTA($M472,$N472,$O472)&lt;3,"— חסרים נתונים",IF(OR($M472="נמוכה",(--($M472&lt;&gt;"תקינה"))+(--($N472&lt;&gt;"תקין"))+(--($O472&lt;&gt;"תקינה"))&gt;=2),"ניכרת","אינה ניכרת")))</f>
        <v/>
      </c>
      <c r="AB472" s="32">
        <f>IF(OR($C472="",$Y472="",$AA472="",LEFT($Y472,1)="—",LEFT($AA472,1)="—"),"",IF($Z472="","— נדרשת הערכת כתיבה",IF($L472="","— חסרה הבנת הנקרא",IF($Y472="אינה מדויקת או מקוטעת",IF($AA472="ניכרת","מיקוד בשטף הקריאה ובכישורי שפה","מיקוד בשטף קריאה"),IF($AA472="ניכרת","מיקוד בכישורי שפה",IF(AND($L472="תקינה",$Z472="מפותחת"),"קוראים וכותבים מיומנים","מיקוד בהבנה והבעה"))))))</f>
        <v/>
      </c>
      <c r="AC472" s="32">
        <f>IF(OR($AB472="",LEFT($AB472,1)="—"),"",IF(OR($AB472="מיקוד בשטף קריאה",$AB472="מיקוד בשטף הקריאה ובכישורי שפה"),"רמה א'",IF($AB472="קוראים וכותבים מיומנים","רמה ג'","רמה ב'")))</f>
        <v/>
      </c>
      <c r="AD472" s="32">
        <f>IF($AC472="","",MID(IF(AND($AC472="רמה א'",$AA472="ניכרת"),"; להוסיף עבודת אוצר מילים","")&amp;IF($Z472="אינה מפותחת","; דגש על הבעה בכתב","")&amp;IF($K472&lt;&gt;"תקין","; נדרש לעבוד על ההנגנה","")&amp;IF($AK472&lt;&gt;"","; "&amp;$AK472,""),3,400))</f>
        <v/>
      </c>
      <c r="AE472" s="32">
        <f>IF($F472="","",IF($F472="תחילת שנה",1,IF($F472="מחצית שנה",2,3)))</f>
        <v/>
      </c>
      <c r="AF472" s="32">
        <f>IF(OR($B472="",$AC472="",$A472="",$F472=""),"",$B472&amp;"|"&amp;$A472&amp;"|"&amp;$F472&amp;"|"&amp;$AC472&amp;"|"&amp;COUNTIFS($B$6:$B472,$B472,$A$6:$A472,$A472,$F$6:$F472,$F472,$AC$6:$AC472,$AC472))</f>
        <v/>
      </c>
      <c r="AG472" s="32">
        <f>IF($C472="","",$C472&amp;"|"&amp;COUNTIFS($C$6:$C472,$C472))</f>
        <v/>
      </c>
      <c r="AH472" s="32">
        <f>IF(OR($C472="",$A472="",$AE472=""),"",$C472&amp;"|"&amp;$A472&amp;"|"&amp;$AE472)</f>
        <v/>
      </c>
      <c r="AI472" s="32">
        <f>IF(OR($C472="",$AE472="",$AE472=1),"",IFERROR(INDEX($AC$6:$AC$1505,MATCH($C472&amp;"|"&amp;$A472&amp;"|"&amp;($AE472-1),$AH$6:$AH$1505,0)),""))</f>
        <v/>
      </c>
      <c r="AJ472" s="32">
        <f>IF(OR($AI472="",$AC472=""),"",IF($AI472=$AC472,"ללא שינוי","מ-"&amp;$AI472&amp;" ל-"&amp;$AC472))</f>
        <v/>
      </c>
      <c r="AK472" s="67" t="n"/>
    </row>
    <row r="473" ht="15.75" customHeight="1" s="58">
      <c r="A473" s="65" t="n"/>
      <c r="B473" s="65" t="n"/>
      <c r="C473" s="66" t="n"/>
      <c r="D473" s="66" t="n"/>
      <c r="E473" s="65" t="n"/>
      <c r="F473" s="65" t="n"/>
      <c r="G473" s="65" t="n"/>
      <c r="H473" s="65" t="n"/>
      <c r="I473" s="65" t="n"/>
      <c r="J473" s="65" t="n"/>
      <c r="K473" s="65" t="n"/>
      <c r="L473" s="65" t="n"/>
      <c r="M473" s="65" t="n"/>
      <c r="N473" s="65" t="n"/>
      <c r="O473" s="65" t="n"/>
      <c r="P473" s="65" t="n"/>
      <c r="Q473" s="65" t="n"/>
      <c r="R473" s="65" t="n"/>
      <c r="S473" s="65" t="n"/>
      <c r="T473" s="65" t="n"/>
      <c r="U473" s="65" t="n"/>
      <c r="V473" s="65" t="n"/>
      <c r="W473" s="65" t="n"/>
      <c r="X473" s="65" t="n"/>
      <c r="Y473" s="32">
        <f>IF($C473="","",IF(COUNTA($I473:$K473)&lt;3,"— חסרים נתונים",IF(AND($I473="תקין",$J473="תקין",$K473="תקין"),"רהוטה",IF(AND($I473="תקין",$J473="תקין"),"מדויקת ורציפה","אינה מדויקת או מקוטעת"))))</f>
        <v/>
      </c>
      <c r="Z473" s="32">
        <f>IF($C473="","",IF(COUNTA($U473:$W473)&lt;3,"",IF(AND($U473="מפותח",$V473="מפותח",$W473="מפותחת"),"מפותחת",IF((--($U473="דל"))+(--($V473="אינו מפותח"))+(--($W473="דלה"))&gt;=2,"אינה מפותחת","חלקית"))))</f>
        <v/>
      </c>
      <c r="AA473" s="32">
        <f>IF($C473="","",IF(COUNTA($M473,$N473,$O473)&lt;3,"— חסרים נתונים",IF(OR($M473="נמוכה",(--($M473&lt;&gt;"תקינה"))+(--($N473&lt;&gt;"תקין"))+(--($O473&lt;&gt;"תקינה"))&gt;=2),"ניכרת","אינה ניכרת")))</f>
        <v/>
      </c>
      <c r="AB473" s="32">
        <f>IF(OR($C473="",$Y473="",$AA473="",LEFT($Y473,1)="—",LEFT($AA473,1)="—"),"",IF($Z473="","— נדרשת הערכת כתיבה",IF($L473="","— חסרה הבנת הנקרא",IF($Y473="אינה מדויקת או מקוטעת",IF($AA473="ניכרת","מיקוד בשטף הקריאה ובכישורי שפה","מיקוד בשטף קריאה"),IF($AA473="ניכרת","מיקוד בכישורי שפה",IF(AND($L473="תקינה",$Z473="מפותחת"),"קוראים וכותבים מיומנים","מיקוד בהבנה והבעה"))))))</f>
        <v/>
      </c>
      <c r="AC473" s="32">
        <f>IF(OR($AB473="",LEFT($AB473,1)="—"),"",IF(OR($AB473="מיקוד בשטף קריאה",$AB473="מיקוד בשטף הקריאה ובכישורי שפה"),"רמה א'",IF($AB473="קוראים וכותבים מיומנים","רמה ג'","רמה ב'")))</f>
        <v/>
      </c>
      <c r="AD473" s="32">
        <f>IF($AC473="","",MID(IF(AND($AC473="רמה א'",$AA473="ניכרת"),"; להוסיף עבודת אוצר מילים","")&amp;IF($Z473="אינה מפותחת","; דגש על הבעה בכתב","")&amp;IF($K473&lt;&gt;"תקין","; נדרש לעבוד על ההנגנה","")&amp;IF($AK473&lt;&gt;"","; "&amp;$AK473,""),3,400))</f>
        <v/>
      </c>
      <c r="AE473" s="32">
        <f>IF($F473="","",IF($F473="תחילת שנה",1,IF($F473="מחצית שנה",2,3)))</f>
        <v/>
      </c>
      <c r="AF473" s="32">
        <f>IF(OR($B473="",$AC473="",$A473="",$F473=""),"",$B473&amp;"|"&amp;$A473&amp;"|"&amp;$F473&amp;"|"&amp;$AC473&amp;"|"&amp;COUNTIFS($B$6:$B473,$B473,$A$6:$A473,$A473,$F$6:$F473,$F473,$AC$6:$AC473,$AC473))</f>
        <v/>
      </c>
      <c r="AG473" s="32">
        <f>IF($C473="","",$C473&amp;"|"&amp;COUNTIFS($C$6:$C473,$C473))</f>
        <v/>
      </c>
      <c r="AH473" s="32">
        <f>IF(OR($C473="",$A473="",$AE473=""),"",$C473&amp;"|"&amp;$A473&amp;"|"&amp;$AE473)</f>
        <v/>
      </c>
      <c r="AI473" s="32">
        <f>IF(OR($C473="",$AE473="",$AE473=1),"",IFERROR(INDEX($AC$6:$AC$1505,MATCH($C473&amp;"|"&amp;$A473&amp;"|"&amp;($AE473-1),$AH$6:$AH$1505,0)),""))</f>
        <v/>
      </c>
      <c r="AJ473" s="32">
        <f>IF(OR($AI473="",$AC473=""),"",IF($AI473=$AC473,"ללא שינוי","מ-"&amp;$AI473&amp;" ל-"&amp;$AC473))</f>
        <v/>
      </c>
      <c r="AK473" s="67" t="n"/>
    </row>
    <row r="474" ht="15.75" customHeight="1" s="58">
      <c r="A474" s="65" t="n"/>
      <c r="B474" s="65" t="n"/>
      <c r="C474" s="66" t="n"/>
      <c r="D474" s="66" t="n"/>
      <c r="E474" s="65" t="n"/>
      <c r="F474" s="65" t="n"/>
      <c r="G474" s="65" t="n"/>
      <c r="H474" s="65" t="n"/>
      <c r="I474" s="65" t="n"/>
      <c r="J474" s="65" t="n"/>
      <c r="K474" s="65" t="n"/>
      <c r="L474" s="65" t="n"/>
      <c r="M474" s="65" t="n"/>
      <c r="N474" s="65" t="n"/>
      <c r="O474" s="65" t="n"/>
      <c r="P474" s="65" t="n"/>
      <c r="Q474" s="65" t="n"/>
      <c r="R474" s="65" t="n"/>
      <c r="S474" s="65" t="n"/>
      <c r="T474" s="65" t="n"/>
      <c r="U474" s="65" t="n"/>
      <c r="V474" s="65" t="n"/>
      <c r="W474" s="65" t="n"/>
      <c r="X474" s="65" t="n"/>
      <c r="Y474" s="32">
        <f>IF($C474="","",IF(COUNTA($I474:$K474)&lt;3,"— חסרים נתונים",IF(AND($I474="תקין",$J474="תקין",$K474="תקין"),"רהוטה",IF(AND($I474="תקין",$J474="תקין"),"מדויקת ורציפה","אינה מדויקת או מקוטעת"))))</f>
        <v/>
      </c>
      <c r="Z474" s="32">
        <f>IF($C474="","",IF(COUNTA($U474:$W474)&lt;3,"",IF(AND($U474="מפותח",$V474="מפותח",$W474="מפותחת"),"מפותחת",IF((--($U474="דל"))+(--($V474="אינו מפותח"))+(--($W474="דלה"))&gt;=2,"אינה מפותחת","חלקית"))))</f>
        <v/>
      </c>
      <c r="AA474" s="32">
        <f>IF($C474="","",IF(COUNTA($M474,$N474,$O474)&lt;3,"— חסרים נתונים",IF(OR($M474="נמוכה",(--($M474&lt;&gt;"תקינה"))+(--($N474&lt;&gt;"תקין"))+(--($O474&lt;&gt;"תקינה"))&gt;=2),"ניכרת","אינה ניכרת")))</f>
        <v/>
      </c>
      <c r="AB474" s="32">
        <f>IF(OR($C474="",$Y474="",$AA474="",LEFT($Y474,1)="—",LEFT($AA474,1)="—"),"",IF($Z474="","— נדרשת הערכת כתיבה",IF($L474="","— חסרה הבנת הנקרא",IF($Y474="אינה מדויקת או מקוטעת",IF($AA474="ניכרת","מיקוד בשטף הקריאה ובכישורי שפה","מיקוד בשטף קריאה"),IF($AA474="ניכרת","מיקוד בכישורי שפה",IF(AND($L474="תקינה",$Z474="מפותחת"),"קוראים וכותבים מיומנים","מיקוד בהבנה והבעה"))))))</f>
        <v/>
      </c>
      <c r="AC474" s="32">
        <f>IF(OR($AB474="",LEFT($AB474,1)="—"),"",IF(OR($AB474="מיקוד בשטף קריאה",$AB474="מיקוד בשטף הקריאה ובכישורי שפה"),"רמה א'",IF($AB474="קוראים וכותבים מיומנים","רמה ג'","רמה ב'")))</f>
        <v/>
      </c>
      <c r="AD474" s="32">
        <f>IF($AC474="","",MID(IF(AND($AC474="רמה א'",$AA474="ניכרת"),"; להוסיף עבודת אוצר מילים","")&amp;IF($Z474="אינה מפותחת","; דגש על הבעה בכתב","")&amp;IF($K474&lt;&gt;"תקין","; נדרש לעבוד על ההנגנה","")&amp;IF($AK474&lt;&gt;"","; "&amp;$AK474,""),3,400))</f>
        <v/>
      </c>
      <c r="AE474" s="32">
        <f>IF($F474="","",IF($F474="תחילת שנה",1,IF($F474="מחצית שנה",2,3)))</f>
        <v/>
      </c>
      <c r="AF474" s="32">
        <f>IF(OR($B474="",$AC474="",$A474="",$F474=""),"",$B474&amp;"|"&amp;$A474&amp;"|"&amp;$F474&amp;"|"&amp;$AC474&amp;"|"&amp;COUNTIFS($B$6:$B474,$B474,$A$6:$A474,$A474,$F$6:$F474,$F474,$AC$6:$AC474,$AC474))</f>
        <v/>
      </c>
      <c r="AG474" s="32">
        <f>IF($C474="","",$C474&amp;"|"&amp;COUNTIFS($C$6:$C474,$C474))</f>
        <v/>
      </c>
      <c r="AH474" s="32">
        <f>IF(OR($C474="",$A474="",$AE474=""),"",$C474&amp;"|"&amp;$A474&amp;"|"&amp;$AE474)</f>
        <v/>
      </c>
      <c r="AI474" s="32">
        <f>IF(OR($C474="",$AE474="",$AE474=1),"",IFERROR(INDEX($AC$6:$AC$1505,MATCH($C474&amp;"|"&amp;$A474&amp;"|"&amp;($AE474-1),$AH$6:$AH$1505,0)),""))</f>
        <v/>
      </c>
      <c r="AJ474" s="32">
        <f>IF(OR($AI474="",$AC474=""),"",IF($AI474=$AC474,"ללא שינוי","מ-"&amp;$AI474&amp;" ל-"&amp;$AC474))</f>
        <v/>
      </c>
      <c r="AK474" s="67" t="n"/>
    </row>
    <row r="475" ht="15.75" customHeight="1" s="58">
      <c r="A475" s="65" t="n"/>
      <c r="B475" s="65" t="n"/>
      <c r="C475" s="66" t="n"/>
      <c r="D475" s="66" t="n"/>
      <c r="E475" s="65" t="n"/>
      <c r="F475" s="65" t="n"/>
      <c r="G475" s="65" t="n"/>
      <c r="H475" s="65" t="n"/>
      <c r="I475" s="65" t="n"/>
      <c r="J475" s="65" t="n"/>
      <c r="K475" s="65" t="n"/>
      <c r="L475" s="65" t="n"/>
      <c r="M475" s="65" t="n"/>
      <c r="N475" s="65" t="n"/>
      <c r="O475" s="65" t="n"/>
      <c r="P475" s="65" t="n"/>
      <c r="Q475" s="65" t="n"/>
      <c r="R475" s="65" t="n"/>
      <c r="S475" s="65" t="n"/>
      <c r="T475" s="65" t="n"/>
      <c r="U475" s="65" t="n"/>
      <c r="V475" s="65" t="n"/>
      <c r="W475" s="65" t="n"/>
      <c r="X475" s="65" t="n"/>
      <c r="Y475" s="32">
        <f>IF($C475="","",IF(COUNTA($I475:$K475)&lt;3,"— חסרים נתונים",IF(AND($I475="תקין",$J475="תקין",$K475="תקין"),"רהוטה",IF(AND($I475="תקין",$J475="תקין"),"מדויקת ורציפה","אינה מדויקת או מקוטעת"))))</f>
        <v/>
      </c>
      <c r="Z475" s="32">
        <f>IF($C475="","",IF(COUNTA($U475:$W475)&lt;3,"",IF(AND($U475="מפותח",$V475="מפותח",$W475="מפותחת"),"מפותחת",IF((--($U475="דל"))+(--($V475="אינו מפותח"))+(--($W475="דלה"))&gt;=2,"אינה מפותחת","חלקית"))))</f>
        <v/>
      </c>
      <c r="AA475" s="32">
        <f>IF($C475="","",IF(COUNTA($M475,$N475,$O475)&lt;3,"— חסרים נתונים",IF(OR($M475="נמוכה",(--($M475&lt;&gt;"תקינה"))+(--($N475&lt;&gt;"תקין"))+(--($O475&lt;&gt;"תקינה"))&gt;=2),"ניכרת","אינה ניכרת")))</f>
        <v/>
      </c>
      <c r="AB475" s="32">
        <f>IF(OR($C475="",$Y475="",$AA475="",LEFT($Y475,1)="—",LEFT($AA475,1)="—"),"",IF($Z475="","— נדרשת הערכת כתיבה",IF($L475="","— חסרה הבנת הנקרא",IF($Y475="אינה מדויקת או מקוטעת",IF($AA475="ניכרת","מיקוד בשטף הקריאה ובכישורי שפה","מיקוד בשטף קריאה"),IF($AA475="ניכרת","מיקוד בכישורי שפה",IF(AND($L475="תקינה",$Z475="מפותחת"),"קוראים וכותבים מיומנים","מיקוד בהבנה והבעה"))))))</f>
        <v/>
      </c>
      <c r="AC475" s="32">
        <f>IF(OR($AB475="",LEFT($AB475,1)="—"),"",IF(OR($AB475="מיקוד בשטף קריאה",$AB475="מיקוד בשטף הקריאה ובכישורי שפה"),"רמה א'",IF($AB475="קוראים וכותבים מיומנים","רמה ג'","רמה ב'")))</f>
        <v/>
      </c>
      <c r="AD475" s="32">
        <f>IF($AC475="","",MID(IF(AND($AC475="רמה א'",$AA475="ניכרת"),"; להוסיף עבודת אוצר מילים","")&amp;IF($Z475="אינה מפותחת","; דגש על הבעה בכתב","")&amp;IF($K475&lt;&gt;"תקין","; נדרש לעבוד על ההנגנה","")&amp;IF($AK475&lt;&gt;"","; "&amp;$AK475,""),3,400))</f>
        <v/>
      </c>
      <c r="AE475" s="32">
        <f>IF($F475="","",IF($F475="תחילת שנה",1,IF($F475="מחצית שנה",2,3)))</f>
        <v/>
      </c>
      <c r="AF475" s="32">
        <f>IF(OR($B475="",$AC475="",$A475="",$F475=""),"",$B475&amp;"|"&amp;$A475&amp;"|"&amp;$F475&amp;"|"&amp;$AC475&amp;"|"&amp;COUNTIFS($B$6:$B475,$B475,$A$6:$A475,$A475,$F$6:$F475,$F475,$AC$6:$AC475,$AC475))</f>
        <v/>
      </c>
      <c r="AG475" s="32">
        <f>IF($C475="","",$C475&amp;"|"&amp;COUNTIFS($C$6:$C475,$C475))</f>
        <v/>
      </c>
      <c r="AH475" s="32">
        <f>IF(OR($C475="",$A475="",$AE475=""),"",$C475&amp;"|"&amp;$A475&amp;"|"&amp;$AE475)</f>
        <v/>
      </c>
      <c r="AI475" s="32">
        <f>IF(OR($C475="",$AE475="",$AE475=1),"",IFERROR(INDEX($AC$6:$AC$1505,MATCH($C475&amp;"|"&amp;$A475&amp;"|"&amp;($AE475-1),$AH$6:$AH$1505,0)),""))</f>
        <v/>
      </c>
      <c r="AJ475" s="32">
        <f>IF(OR($AI475="",$AC475=""),"",IF($AI475=$AC475,"ללא שינוי","מ-"&amp;$AI475&amp;" ל-"&amp;$AC475))</f>
        <v/>
      </c>
      <c r="AK475" s="67" t="n"/>
    </row>
    <row r="476" ht="15.75" customHeight="1" s="58">
      <c r="A476" s="65" t="n"/>
      <c r="B476" s="65" t="n"/>
      <c r="C476" s="66" t="n"/>
      <c r="D476" s="66" t="n"/>
      <c r="E476" s="65" t="n"/>
      <c r="F476" s="65" t="n"/>
      <c r="G476" s="65" t="n"/>
      <c r="H476" s="65" t="n"/>
      <c r="I476" s="65" t="n"/>
      <c r="J476" s="65" t="n"/>
      <c r="K476" s="65" t="n"/>
      <c r="L476" s="65" t="n"/>
      <c r="M476" s="65" t="n"/>
      <c r="N476" s="65" t="n"/>
      <c r="O476" s="65" t="n"/>
      <c r="P476" s="65" t="n"/>
      <c r="Q476" s="65" t="n"/>
      <c r="R476" s="65" t="n"/>
      <c r="S476" s="65" t="n"/>
      <c r="T476" s="65" t="n"/>
      <c r="U476" s="65" t="n"/>
      <c r="V476" s="65" t="n"/>
      <c r="W476" s="65" t="n"/>
      <c r="X476" s="65" t="n"/>
      <c r="Y476" s="32">
        <f>IF($C476="","",IF(COUNTA($I476:$K476)&lt;3,"— חסרים נתונים",IF(AND($I476="תקין",$J476="תקין",$K476="תקין"),"רהוטה",IF(AND($I476="תקין",$J476="תקין"),"מדויקת ורציפה","אינה מדויקת או מקוטעת"))))</f>
        <v/>
      </c>
      <c r="Z476" s="32">
        <f>IF($C476="","",IF(COUNTA($U476:$W476)&lt;3,"",IF(AND($U476="מפותח",$V476="מפותח",$W476="מפותחת"),"מפותחת",IF((--($U476="דל"))+(--($V476="אינו מפותח"))+(--($W476="דלה"))&gt;=2,"אינה מפותחת","חלקית"))))</f>
        <v/>
      </c>
      <c r="AA476" s="32">
        <f>IF($C476="","",IF(COUNTA($M476,$N476,$O476)&lt;3,"— חסרים נתונים",IF(OR($M476="נמוכה",(--($M476&lt;&gt;"תקינה"))+(--($N476&lt;&gt;"תקין"))+(--($O476&lt;&gt;"תקינה"))&gt;=2),"ניכרת","אינה ניכרת")))</f>
        <v/>
      </c>
      <c r="AB476" s="32">
        <f>IF(OR($C476="",$Y476="",$AA476="",LEFT($Y476,1)="—",LEFT($AA476,1)="—"),"",IF($Z476="","— נדרשת הערכת כתיבה",IF($L476="","— חסרה הבנת הנקרא",IF($Y476="אינה מדויקת או מקוטעת",IF($AA476="ניכרת","מיקוד בשטף הקריאה ובכישורי שפה","מיקוד בשטף קריאה"),IF($AA476="ניכרת","מיקוד בכישורי שפה",IF(AND($L476="תקינה",$Z476="מפותחת"),"קוראים וכותבים מיומנים","מיקוד בהבנה והבעה"))))))</f>
        <v/>
      </c>
      <c r="AC476" s="32">
        <f>IF(OR($AB476="",LEFT($AB476,1)="—"),"",IF(OR($AB476="מיקוד בשטף קריאה",$AB476="מיקוד בשטף הקריאה ובכישורי שפה"),"רמה א'",IF($AB476="קוראים וכותבים מיומנים","רמה ג'","רמה ב'")))</f>
        <v/>
      </c>
      <c r="AD476" s="32">
        <f>IF($AC476="","",MID(IF(AND($AC476="רמה א'",$AA476="ניכרת"),"; להוסיף עבודת אוצר מילים","")&amp;IF($Z476="אינה מפותחת","; דגש על הבעה בכתב","")&amp;IF($K476&lt;&gt;"תקין","; נדרש לעבוד על ההנגנה","")&amp;IF($AK476&lt;&gt;"","; "&amp;$AK476,""),3,400))</f>
        <v/>
      </c>
      <c r="AE476" s="32">
        <f>IF($F476="","",IF($F476="תחילת שנה",1,IF($F476="מחצית שנה",2,3)))</f>
        <v/>
      </c>
      <c r="AF476" s="32">
        <f>IF(OR($B476="",$AC476="",$A476="",$F476=""),"",$B476&amp;"|"&amp;$A476&amp;"|"&amp;$F476&amp;"|"&amp;$AC476&amp;"|"&amp;COUNTIFS($B$6:$B476,$B476,$A$6:$A476,$A476,$F$6:$F476,$F476,$AC$6:$AC476,$AC476))</f>
        <v/>
      </c>
      <c r="AG476" s="32">
        <f>IF($C476="","",$C476&amp;"|"&amp;COUNTIFS($C$6:$C476,$C476))</f>
        <v/>
      </c>
      <c r="AH476" s="32">
        <f>IF(OR($C476="",$A476="",$AE476=""),"",$C476&amp;"|"&amp;$A476&amp;"|"&amp;$AE476)</f>
        <v/>
      </c>
      <c r="AI476" s="32">
        <f>IF(OR($C476="",$AE476="",$AE476=1),"",IFERROR(INDEX($AC$6:$AC$1505,MATCH($C476&amp;"|"&amp;$A476&amp;"|"&amp;($AE476-1),$AH$6:$AH$1505,0)),""))</f>
        <v/>
      </c>
      <c r="AJ476" s="32">
        <f>IF(OR($AI476="",$AC476=""),"",IF($AI476=$AC476,"ללא שינוי","מ-"&amp;$AI476&amp;" ל-"&amp;$AC476))</f>
        <v/>
      </c>
      <c r="AK476" s="67" t="n"/>
    </row>
    <row r="477" ht="15.75" customHeight="1" s="58">
      <c r="A477" s="65" t="n"/>
      <c r="B477" s="65" t="n"/>
      <c r="C477" s="66" t="n"/>
      <c r="D477" s="66" t="n"/>
      <c r="E477" s="65" t="n"/>
      <c r="F477" s="65" t="n"/>
      <c r="G477" s="65" t="n"/>
      <c r="H477" s="65" t="n"/>
      <c r="I477" s="65" t="n"/>
      <c r="J477" s="65" t="n"/>
      <c r="K477" s="65" t="n"/>
      <c r="L477" s="65" t="n"/>
      <c r="M477" s="65" t="n"/>
      <c r="N477" s="65" t="n"/>
      <c r="O477" s="65" t="n"/>
      <c r="P477" s="65" t="n"/>
      <c r="Q477" s="65" t="n"/>
      <c r="R477" s="65" t="n"/>
      <c r="S477" s="65" t="n"/>
      <c r="T477" s="65" t="n"/>
      <c r="U477" s="65" t="n"/>
      <c r="V477" s="65" t="n"/>
      <c r="W477" s="65" t="n"/>
      <c r="X477" s="65" t="n"/>
      <c r="Y477" s="32">
        <f>IF($C477="","",IF(COUNTA($I477:$K477)&lt;3,"— חסרים נתונים",IF(AND($I477="תקין",$J477="תקין",$K477="תקין"),"רהוטה",IF(AND($I477="תקין",$J477="תקין"),"מדויקת ורציפה","אינה מדויקת או מקוטעת"))))</f>
        <v/>
      </c>
      <c r="Z477" s="32">
        <f>IF($C477="","",IF(COUNTA($U477:$W477)&lt;3,"",IF(AND($U477="מפותח",$V477="מפותח",$W477="מפותחת"),"מפותחת",IF((--($U477="דל"))+(--($V477="אינו מפותח"))+(--($W477="דלה"))&gt;=2,"אינה מפותחת","חלקית"))))</f>
        <v/>
      </c>
      <c r="AA477" s="32">
        <f>IF($C477="","",IF(COUNTA($M477,$N477,$O477)&lt;3,"— חסרים נתונים",IF(OR($M477="נמוכה",(--($M477&lt;&gt;"תקינה"))+(--($N477&lt;&gt;"תקין"))+(--($O477&lt;&gt;"תקינה"))&gt;=2),"ניכרת","אינה ניכרת")))</f>
        <v/>
      </c>
      <c r="AB477" s="32">
        <f>IF(OR($C477="",$Y477="",$AA477="",LEFT($Y477,1)="—",LEFT($AA477,1)="—"),"",IF($Z477="","— נדרשת הערכת כתיבה",IF($L477="","— חסרה הבנת הנקרא",IF($Y477="אינה מדויקת או מקוטעת",IF($AA477="ניכרת","מיקוד בשטף הקריאה ובכישורי שפה","מיקוד בשטף קריאה"),IF($AA477="ניכרת","מיקוד בכישורי שפה",IF(AND($L477="תקינה",$Z477="מפותחת"),"קוראים וכותבים מיומנים","מיקוד בהבנה והבעה"))))))</f>
        <v/>
      </c>
      <c r="AC477" s="32">
        <f>IF(OR($AB477="",LEFT($AB477,1)="—"),"",IF(OR($AB477="מיקוד בשטף קריאה",$AB477="מיקוד בשטף הקריאה ובכישורי שפה"),"רמה א'",IF($AB477="קוראים וכותבים מיומנים","רמה ג'","רמה ב'")))</f>
        <v/>
      </c>
      <c r="AD477" s="32">
        <f>IF($AC477="","",MID(IF(AND($AC477="רמה א'",$AA477="ניכרת"),"; להוסיף עבודת אוצר מילים","")&amp;IF($Z477="אינה מפותחת","; דגש על הבעה בכתב","")&amp;IF($K477&lt;&gt;"תקין","; נדרש לעבוד על ההנגנה","")&amp;IF($AK477&lt;&gt;"","; "&amp;$AK477,""),3,400))</f>
        <v/>
      </c>
      <c r="AE477" s="32">
        <f>IF($F477="","",IF($F477="תחילת שנה",1,IF($F477="מחצית שנה",2,3)))</f>
        <v/>
      </c>
      <c r="AF477" s="32">
        <f>IF(OR($B477="",$AC477="",$A477="",$F477=""),"",$B477&amp;"|"&amp;$A477&amp;"|"&amp;$F477&amp;"|"&amp;$AC477&amp;"|"&amp;COUNTIFS($B$6:$B477,$B477,$A$6:$A477,$A477,$F$6:$F477,$F477,$AC$6:$AC477,$AC477))</f>
        <v/>
      </c>
      <c r="AG477" s="32">
        <f>IF($C477="","",$C477&amp;"|"&amp;COUNTIFS($C$6:$C477,$C477))</f>
        <v/>
      </c>
      <c r="AH477" s="32">
        <f>IF(OR($C477="",$A477="",$AE477=""),"",$C477&amp;"|"&amp;$A477&amp;"|"&amp;$AE477)</f>
        <v/>
      </c>
      <c r="AI477" s="32">
        <f>IF(OR($C477="",$AE477="",$AE477=1),"",IFERROR(INDEX($AC$6:$AC$1505,MATCH($C477&amp;"|"&amp;$A477&amp;"|"&amp;($AE477-1),$AH$6:$AH$1505,0)),""))</f>
        <v/>
      </c>
      <c r="AJ477" s="32">
        <f>IF(OR($AI477="",$AC477=""),"",IF($AI477=$AC477,"ללא שינוי","מ-"&amp;$AI477&amp;" ל-"&amp;$AC477))</f>
        <v/>
      </c>
      <c r="AK477" s="67" t="n"/>
    </row>
    <row r="478" ht="15.75" customHeight="1" s="58">
      <c r="A478" s="65" t="n"/>
      <c r="B478" s="65" t="n"/>
      <c r="C478" s="66" t="n"/>
      <c r="D478" s="66" t="n"/>
      <c r="E478" s="65" t="n"/>
      <c r="F478" s="65" t="n"/>
      <c r="G478" s="65" t="n"/>
      <c r="H478" s="65" t="n"/>
      <c r="I478" s="65" t="n"/>
      <c r="J478" s="65" t="n"/>
      <c r="K478" s="65" t="n"/>
      <c r="L478" s="65" t="n"/>
      <c r="M478" s="65" t="n"/>
      <c r="N478" s="65" t="n"/>
      <c r="O478" s="65" t="n"/>
      <c r="P478" s="65" t="n"/>
      <c r="Q478" s="65" t="n"/>
      <c r="R478" s="65" t="n"/>
      <c r="S478" s="65" t="n"/>
      <c r="T478" s="65" t="n"/>
      <c r="U478" s="65" t="n"/>
      <c r="V478" s="65" t="n"/>
      <c r="W478" s="65" t="n"/>
      <c r="X478" s="65" t="n"/>
      <c r="Y478" s="32">
        <f>IF($C478="","",IF(COUNTA($I478:$K478)&lt;3,"— חסרים נתונים",IF(AND($I478="תקין",$J478="תקין",$K478="תקין"),"רהוטה",IF(AND($I478="תקין",$J478="תקין"),"מדויקת ורציפה","אינה מדויקת או מקוטעת"))))</f>
        <v/>
      </c>
      <c r="Z478" s="32">
        <f>IF($C478="","",IF(COUNTA($U478:$W478)&lt;3,"",IF(AND($U478="מפותח",$V478="מפותח",$W478="מפותחת"),"מפותחת",IF((--($U478="דל"))+(--($V478="אינו מפותח"))+(--($W478="דלה"))&gt;=2,"אינה מפותחת","חלקית"))))</f>
        <v/>
      </c>
      <c r="AA478" s="32">
        <f>IF($C478="","",IF(COUNTA($M478,$N478,$O478)&lt;3,"— חסרים נתונים",IF(OR($M478="נמוכה",(--($M478&lt;&gt;"תקינה"))+(--($N478&lt;&gt;"תקין"))+(--($O478&lt;&gt;"תקינה"))&gt;=2),"ניכרת","אינה ניכרת")))</f>
        <v/>
      </c>
      <c r="AB478" s="32">
        <f>IF(OR($C478="",$Y478="",$AA478="",LEFT($Y478,1)="—",LEFT($AA478,1)="—"),"",IF($Z478="","— נדרשת הערכת כתיבה",IF($L478="","— חסרה הבנת הנקרא",IF($Y478="אינה מדויקת או מקוטעת",IF($AA478="ניכרת","מיקוד בשטף הקריאה ובכישורי שפה","מיקוד בשטף קריאה"),IF($AA478="ניכרת","מיקוד בכישורי שפה",IF(AND($L478="תקינה",$Z478="מפותחת"),"קוראים וכותבים מיומנים","מיקוד בהבנה והבעה"))))))</f>
        <v/>
      </c>
      <c r="AC478" s="32">
        <f>IF(OR($AB478="",LEFT($AB478,1)="—"),"",IF(OR($AB478="מיקוד בשטף קריאה",$AB478="מיקוד בשטף הקריאה ובכישורי שפה"),"רמה א'",IF($AB478="קוראים וכותבים מיומנים","רמה ג'","רמה ב'")))</f>
        <v/>
      </c>
      <c r="AD478" s="32">
        <f>IF($AC478="","",MID(IF(AND($AC478="רמה א'",$AA478="ניכרת"),"; להוסיף עבודת אוצר מילים","")&amp;IF($Z478="אינה מפותחת","; דגש על הבעה בכתב","")&amp;IF($K478&lt;&gt;"תקין","; נדרש לעבוד על ההנגנה","")&amp;IF($AK478&lt;&gt;"","; "&amp;$AK478,""),3,400))</f>
        <v/>
      </c>
      <c r="AE478" s="32">
        <f>IF($F478="","",IF($F478="תחילת שנה",1,IF($F478="מחצית שנה",2,3)))</f>
        <v/>
      </c>
      <c r="AF478" s="32">
        <f>IF(OR($B478="",$AC478="",$A478="",$F478=""),"",$B478&amp;"|"&amp;$A478&amp;"|"&amp;$F478&amp;"|"&amp;$AC478&amp;"|"&amp;COUNTIFS($B$6:$B478,$B478,$A$6:$A478,$A478,$F$6:$F478,$F478,$AC$6:$AC478,$AC478))</f>
        <v/>
      </c>
      <c r="AG478" s="32">
        <f>IF($C478="","",$C478&amp;"|"&amp;COUNTIFS($C$6:$C478,$C478))</f>
        <v/>
      </c>
      <c r="AH478" s="32">
        <f>IF(OR($C478="",$A478="",$AE478=""),"",$C478&amp;"|"&amp;$A478&amp;"|"&amp;$AE478)</f>
        <v/>
      </c>
      <c r="AI478" s="32">
        <f>IF(OR($C478="",$AE478="",$AE478=1),"",IFERROR(INDEX($AC$6:$AC$1505,MATCH($C478&amp;"|"&amp;$A478&amp;"|"&amp;($AE478-1),$AH$6:$AH$1505,0)),""))</f>
        <v/>
      </c>
      <c r="AJ478" s="32">
        <f>IF(OR($AI478="",$AC478=""),"",IF($AI478=$AC478,"ללא שינוי","מ-"&amp;$AI478&amp;" ל-"&amp;$AC478))</f>
        <v/>
      </c>
      <c r="AK478" s="67" t="n"/>
    </row>
    <row r="479" ht="15.75" customHeight="1" s="58">
      <c r="A479" s="65" t="n"/>
      <c r="B479" s="65" t="n"/>
      <c r="C479" s="66" t="n"/>
      <c r="D479" s="66" t="n"/>
      <c r="E479" s="65" t="n"/>
      <c r="F479" s="65" t="n"/>
      <c r="G479" s="65" t="n"/>
      <c r="H479" s="65" t="n"/>
      <c r="I479" s="65" t="n"/>
      <c r="J479" s="65" t="n"/>
      <c r="K479" s="65" t="n"/>
      <c r="L479" s="65" t="n"/>
      <c r="M479" s="65" t="n"/>
      <c r="N479" s="65" t="n"/>
      <c r="O479" s="65" t="n"/>
      <c r="P479" s="65" t="n"/>
      <c r="Q479" s="65" t="n"/>
      <c r="R479" s="65" t="n"/>
      <c r="S479" s="65" t="n"/>
      <c r="T479" s="65" t="n"/>
      <c r="U479" s="65" t="n"/>
      <c r="V479" s="65" t="n"/>
      <c r="W479" s="65" t="n"/>
      <c r="X479" s="65" t="n"/>
      <c r="Y479" s="32">
        <f>IF($C479="","",IF(COUNTA($I479:$K479)&lt;3,"— חסרים נתונים",IF(AND($I479="תקין",$J479="תקין",$K479="תקין"),"רהוטה",IF(AND($I479="תקין",$J479="תקין"),"מדויקת ורציפה","אינה מדויקת או מקוטעת"))))</f>
        <v/>
      </c>
      <c r="Z479" s="32">
        <f>IF($C479="","",IF(COUNTA($U479:$W479)&lt;3,"",IF(AND($U479="מפותח",$V479="מפותח",$W479="מפותחת"),"מפותחת",IF((--($U479="דל"))+(--($V479="אינו מפותח"))+(--($W479="דלה"))&gt;=2,"אינה מפותחת","חלקית"))))</f>
        <v/>
      </c>
      <c r="AA479" s="32">
        <f>IF($C479="","",IF(COUNTA($M479,$N479,$O479)&lt;3,"— חסרים נתונים",IF(OR($M479="נמוכה",(--($M479&lt;&gt;"תקינה"))+(--($N479&lt;&gt;"תקין"))+(--($O479&lt;&gt;"תקינה"))&gt;=2),"ניכרת","אינה ניכרת")))</f>
        <v/>
      </c>
      <c r="AB479" s="32">
        <f>IF(OR($C479="",$Y479="",$AA479="",LEFT($Y479,1)="—",LEFT($AA479,1)="—"),"",IF($Z479="","— נדרשת הערכת כתיבה",IF($L479="","— חסרה הבנת הנקרא",IF($Y479="אינה מדויקת או מקוטעת",IF($AA479="ניכרת","מיקוד בשטף הקריאה ובכישורי שפה","מיקוד בשטף קריאה"),IF($AA479="ניכרת","מיקוד בכישורי שפה",IF(AND($L479="תקינה",$Z479="מפותחת"),"קוראים וכותבים מיומנים","מיקוד בהבנה והבעה"))))))</f>
        <v/>
      </c>
      <c r="AC479" s="32">
        <f>IF(OR($AB479="",LEFT($AB479,1)="—"),"",IF(OR($AB479="מיקוד בשטף קריאה",$AB479="מיקוד בשטף הקריאה ובכישורי שפה"),"רמה א'",IF($AB479="קוראים וכותבים מיומנים","רמה ג'","רמה ב'")))</f>
        <v/>
      </c>
      <c r="AD479" s="32">
        <f>IF($AC479="","",MID(IF(AND($AC479="רמה א'",$AA479="ניכרת"),"; להוסיף עבודת אוצר מילים","")&amp;IF($Z479="אינה מפותחת","; דגש על הבעה בכתב","")&amp;IF($K479&lt;&gt;"תקין","; נדרש לעבוד על ההנגנה","")&amp;IF($AK479&lt;&gt;"","; "&amp;$AK479,""),3,400))</f>
        <v/>
      </c>
      <c r="AE479" s="32">
        <f>IF($F479="","",IF($F479="תחילת שנה",1,IF($F479="מחצית שנה",2,3)))</f>
        <v/>
      </c>
      <c r="AF479" s="32">
        <f>IF(OR($B479="",$AC479="",$A479="",$F479=""),"",$B479&amp;"|"&amp;$A479&amp;"|"&amp;$F479&amp;"|"&amp;$AC479&amp;"|"&amp;COUNTIFS($B$6:$B479,$B479,$A$6:$A479,$A479,$F$6:$F479,$F479,$AC$6:$AC479,$AC479))</f>
        <v/>
      </c>
      <c r="AG479" s="32">
        <f>IF($C479="","",$C479&amp;"|"&amp;COUNTIFS($C$6:$C479,$C479))</f>
        <v/>
      </c>
      <c r="AH479" s="32">
        <f>IF(OR($C479="",$A479="",$AE479=""),"",$C479&amp;"|"&amp;$A479&amp;"|"&amp;$AE479)</f>
        <v/>
      </c>
      <c r="AI479" s="32">
        <f>IF(OR($C479="",$AE479="",$AE479=1),"",IFERROR(INDEX($AC$6:$AC$1505,MATCH($C479&amp;"|"&amp;$A479&amp;"|"&amp;($AE479-1),$AH$6:$AH$1505,0)),""))</f>
        <v/>
      </c>
      <c r="AJ479" s="32">
        <f>IF(OR($AI479="",$AC479=""),"",IF($AI479=$AC479,"ללא שינוי","מ-"&amp;$AI479&amp;" ל-"&amp;$AC479))</f>
        <v/>
      </c>
      <c r="AK479" s="67" t="n"/>
    </row>
    <row r="480" ht="15.75" customHeight="1" s="58">
      <c r="A480" s="65" t="n"/>
      <c r="B480" s="65" t="n"/>
      <c r="C480" s="66" t="n"/>
      <c r="D480" s="66" t="n"/>
      <c r="E480" s="65" t="n"/>
      <c r="F480" s="65" t="n"/>
      <c r="G480" s="65" t="n"/>
      <c r="H480" s="65" t="n"/>
      <c r="I480" s="65" t="n"/>
      <c r="J480" s="65" t="n"/>
      <c r="K480" s="65" t="n"/>
      <c r="L480" s="65" t="n"/>
      <c r="M480" s="65" t="n"/>
      <c r="N480" s="65" t="n"/>
      <c r="O480" s="65" t="n"/>
      <c r="P480" s="65" t="n"/>
      <c r="Q480" s="65" t="n"/>
      <c r="R480" s="65" t="n"/>
      <c r="S480" s="65" t="n"/>
      <c r="T480" s="65" t="n"/>
      <c r="U480" s="65" t="n"/>
      <c r="V480" s="65" t="n"/>
      <c r="W480" s="65" t="n"/>
      <c r="X480" s="65" t="n"/>
      <c r="Y480" s="32">
        <f>IF($C480="","",IF(COUNTA($I480:$K480)&lt;3,"— חסרים נתונים",IF(AND($I480="תקין",$J480="תקין",$K480="תקין"),"רהוטה",IF(AND($I480="תקין",$J480="תקין"),"מדויקת ורציפה","אינה מדויקת או מקוטעת"))))</f>
        <v/>
      </c>
      <c r="Z480" s="32">
        <f>IF($C480="","",IF(COUNTA($U480:$W480)&lt;3,"",IF(AND($U480="מפותח",$V480="מפותח",$W480="מפותחת"),"מפותחת",IF((--($U480="דל"))+(--($V480="אינו מפותח"))+(--($W480="דלה"))&gt;=2,"אינה מפותחת","חלקית"))))</f>
        <v/>
      </c>
      <c r="AA480" s="32">
        <f>IF($C480="","",IF(COUNTA($M480,$N480,$O480)&lt;3,"— חסרים נתונים",IF(OR($M480="נמוכה",(--($M480&lt;&gt;"תקינה"))+(--($N480&lt;&gt;"תקין"))+(--($O480&lt;&gt;"תקינה"))&gt;=2),"ניכרת","אינה ניכרת")))</f>
        <v/>
      </c>
      <c r="AB480" s="32">
        <f>IF(OR($C480="",$Y480="",$AA480="",LEFT($Y480,1)="—",LEFT($AA480,1)="—"),"",IF($Z480="","— נדרשת הערכת כתיבה",IF($L480="","— חסרה הבנת הנקרא",IF($Y480="אינה מדויקת או מקוטעת",IF($AA480="ניכרת","מיקוד בשטף הקריאה ובכישורי שפה","מיקוד בשטף קריאה"),IF($AA480="ניכרת","מיקוד בכישורי שפה",IF(AND($L480="תקינה",$Z480="מפותחת"),"קוראים וכותבים מיומנים","מיקוד בהבנה והבעה"))))))</f>
        <v/>
      </c>
      <c r="AC480" s="32">
        <f>IF(OR($AB480="",LEFT($AB480,1)="—"),"",IF(OR($AB480="מיקוד בשטף קריאה",$AB480="מיקוד בשטף הקריאה ובכישורי שפה"),"רמה א'",IF($AB480="קוראים וכותבים מיומנים","רמה ג'","רמה ב'")))</f>
        <v/>
      </c>
      <c r="AD480" s="32">
        <f>IF($AC480="","",MID(IF(AND($AC480="רמה א'",$AA480="ניכרת"),"; להוסיף עבודת אוצר מילים","")&amp;IF($Z480="אינה מפותחת","; דגש על הבעה בכתב","")&amp;IF($K480&lt;&gt;"תקין","; נדרש לעבוד על ההנגנה","")&amp;IF($AK480&lt;&gt;"","; "&amp;$AK480,""),3,400))</f>
        <v/>
      </c>
      <c r="AE480" s="32">
        <f>IF($F480="","",IF($F480="תחילת שנה",1,IF($F480="מחצית שנה",2,3)))</f>
        <v/>
      </c>
      <c r="AF480" s="32">
        <f>IF(OR($B480="",$AC480="",$A480="",$F480=""),"",$B480&amp;"|"&amp;$A480&amp;"|"&amp;$F480&amp;"|"&amp;$AC480&amp;"|"&amp;COUNTIFS($B$6:$B480,$B480,$A$6:$A480,$A480,$F$6:$F480,$F480,$AC$6:$AC480,$AC480))</f>
        <v/>
      </c>
      <c r="AG480" s="32">
        <f>IF($C480="","",$C480&amp;"|"&amp;COUNTIFS($C$6:$C480,$C480))</f>
        <v/>
      </c>
      <c r="AH480" s="32">
        <f>IF(OR($C480="",$A480="",$AE480=""),"",$C480&amp;"|"&amp;$A480&amp;"|"&amp;$AE480)</f>
        <v/>
      </c>
      <c r="AI480" s="32">
        <f>IF(OR($C480="",$AE480="",$AE480=1),"",IFERROR(INDEX($AC$6:$AC$1505,MATCH($C480&amp;"|"&amp;$A480&amp;"|"&amp;($AE480-1),$AH$6:$AH$1505,0)),""))</f>
        <v/>
      </c>
      <c r="AJ480" s="32">
        <f>IF(OR($AI480="",$AC480=""),"",IF($AI480=$AC480,"ללא שינוי","מ-"&amp;$AI480&amp;" ל-"&amp;$AC480))</f>
        <v/>
      </c>
      <c r="AK480" s="67" t="n"/>
    </row>
    <row r="481" ht="15.75" customHeight="1" s="58">
      <c r="A481" s="65" t="n"/>
      <c r="B481" s="65" t="n"/>
      <c r="C481" s="66" t="n"/>
      <c r="D481" s="66" t="n"/>
      <c r="E481" s="65" t="n"/>
      <c r="F481" s="65" t="n"/>
      <c r="G481" s="65" t="n"/>
      <c r="H481" s="65" t="n"/>
      <c r="I481" s="65" t="n"/>
      <c r="J481" s="65" t="n"/>
      <c r="K481" s="65" t="n"/>
      <c r="L481" s="65" t="n"/>
      <c r="M481" s="65" t="n"/>
      <c r="N481" s="65" t="n"/>
      <c r="O481" s="65" t="n"/>
      <c r="P481" s="65" t="n"/>
      <c r="Q481" s="65" t="n"/>
      <c r="R481" s="65" t="n"/>
      <c r="S481" s="65" t="n"/>
      <c r="T481" s="65" t="n"/>
      <c r="U481" s="65" t="n"/>
      <c r="V481" s="65" t="n"/>
      <c r="W481" s="65" t="n"/>
      <c r="X481" s="65" t="n"/>
      <c r="Y481" s="32">
        <f>IF($C481="","",IF(COUNTA($I481:$K481)&lt;3,"— חסרים נתונים",IF(AND($I481="תקין",$J481="תקין",$K481="תקין"),"רהוטה",IF(AND($I481="תקין",$J481="תקין"),"מדויקת ורציפה","אינה מדויקת או מקוטעת"))))</f>
        <v/>
      </c>
      <c r="Z481" s="32">
        <f>IF($C481="","",IF(COUNTA($U481:$W481)&lt;3,"",IF(AND($U481="מפותח",$V481="מפותח",$W481="מפותחת"),"מפותחת",IF((--($U481="דל"))+(--($V481="אינו מפותח"))+(--($W481="דלה"))&gt;=2,"אינה מפותחת","חלקית"))))</f>
        <v/>
      </c>
      <c r="AA481" s="32">
        <f>IF($C481="","",IF(COUNTA($M481,$N481,$O481)&lt;3,"— חסרים נתונים",IF(OR($M481="נמוכה",(--($M481&lt;&gt;"תקינה"))+(--($N481&lt;&gt;"תקין"))+(--($O481&lt;&gt;"תקינה"))&gt;=2),"ניכרת","אינה ניכרת")))</f>
        <v/>
      </c>
      <c r="AB481" s="32">
        <f>IF(OR($C481="",$Y481="",$AA481="",LEFT($Y481,1)="—",LEFT($AA481,1)="—"),"",IF($Z481="","— נדרשת הערכת כתיבה",IF($L481="","— חסרה הבנת הנקרא",IF($Y481="אינה מדויקת או מקוטעת",IF($AA481="ניכרת","מיקוד בשטף הקריאה ובכישורי שפה","מיקוד בשטף קריאה"),IF($AA481="ניכרת","מיקוד בכישורי שפה",IF(AND($L481="תקינה",$Z481="מפותחת"),"קוראים וכותבים מיומנים","מיקוד בהבנה והבעה"))))))</f>
        <v/>
      </c>
      <c r="AC481" s="32">
        <f>IF(OR($AB481="",LEFT($AB481,1)="—"),"",IF(OR($AB481="מיקוד בשטף קריאה",$AB481="מיקוד בשטף הקריאה ובכישורי שפה"),"רמה א'",IF($AB481="קוראים וכותבים מיומנים","רמה ג'","רמה ב'")))</f>
        <v/>
      </c>
      <c r="AD481" s="32">
        <f>IF($AC481="","",MID(IF(AND($AC481="רמה א'",$AA481="ניכרת"),"; להוסיף עבודת אוצר מילים","")&amp;IF($Z481="אינה מפותחת","; דגש על הבעה בכתב","")&amp;IF($K481&lt;&gt;"תקין","; נדרש לעבוד על ההנגנה","")&amp;IF($AK481&lt;&gt;"","; "&amp;$AK481,""),3,400))</f>
        <v/>
      </c>
      <c r="AE481" s="32">
        <f>IF($F481="","",IF($F481="תחילת שנה",1,IF($F481="מחצית שנה",2,3)))</f>
        <v/>
      </c>
      <c r="AF481" s="32">
        <f>IF(OR($B481="",$AC481="",$A481="",$F481=""),"",$B481&amp;"|"&amp;$A481&amp;"|"&amp;$F481&amp;"|"&amp;$AC481&amp;"|"&amp;COUNTIFS($B$6:$B481,$B481,$A$6:$A481,$A481,$F$6:$F481,$F481,$AC$6:$AC481,$AC481))</f>
        <v/>
      </c>
      <c r="AG481" s="32">
        <f>IF($C481="","",$C481&amp;"|"&amp;COUNTIFS($C$6:$C481,$C481))</f>
        <v/>
      </c>
      <c r="AH481" s="32">
        <f>IF(OR($C481="",$A481="",$AE481=""),"",$C481&amp;"|"&amp;$A481&amp;"|"&amp;$AE481)</f>
        <v/>
      </c>
      <c r="AI481" s="32">
        <f>IF(OR($C481="",$AE481="",$AE481=1),"",IFERROR(INDEX($AC$6:$AC$1505,MATCH($C481&amp;"|"&amp;$A481&amp;"|"&amp;($AE481-1),$AH$6:$AH$1505,0)),""))</f>
        <v/>
      </c>
      <c r="AJ481" s="32">
        <f>IF(OR($AI481="",$AC481=""),"",IF($AI481=$AC481,"ללא שינוי","מ-"&amp;$AI481&amp;" ל-"&amp;$AC481))</f>
        <v/>
      </c>
      <c r="AK481" s="67" t="n"/>
    </row>
    <row r="482" ht="15.75" customHeight="1" s="58">
      <c r="A482" s="65" t="n"/>
      <c r="B482" s="65" t="n"/>
      <c r="C482" s="66" t="n"/>
      <c r="D482" s="66" t="n"/>
      <c r="E482" s="65" t="n"/>
      <c r="F482" s="65" t="n"/>
      <c r="G482" s="65" t="n"/>
      <c r="H482" s="65" t="n"/>
      <c r="I482" s="65" t="n"/>
      <c r="J482" s="65" t="n"/>
      <c r="K482" s="65" t="n"/>
      <c r="L482" s="65" t="n"/>
      <c r="M482" s="65" t="n"/>
      <c r="N482" s="65" t="n"/>
      <c r="O482" s="65" t="n"/>
      <c r="P482" s="65" t="n"/>
      <c r="Q482" s="65" t="n"/>
      <c r="R482" s="65" t="n"/>
      <c r="S482" s="65" t="n"/>
      <c r="T482" s="65" t="n"/>
      <c r="U482" s="65" t="n"/>
      <c r="V482" s="65" t="n"/>
      <c r="W482" s="65" t="n"/>
      <c r="X482" s="65" t="n"/>
      <c r="Y482" s="32">
        <f>IF($C482="","",IF(COUNTA($I482:$K482)&lt;3,"— חסרים נתונים",IF(AND($I482="תקין",$J482="תקין",$K482="תקין"),"רהוטה",IF(AND($I482="תקין",$J482="תקין"),"מדויקת ורציפה","אינה מדויקת או מקוטעת"))))</f>
        <v/>
      </c>
      <c r="Z482" s="32">
        <f>IF($C482="","",IF(COUNTA($U482:$W482)&lt;3,"",IF(AND($U482="מפותח",$V482="מפותח",$W482="מפותחת"),"מפותחת",IF((--($U482="דל"))+(--($V482="אינו מפותח"))+(--($W482="דלה"))&gt;=2,"אינה מפותחת","חלקית"))))</f>
        <v/>
      </c>
      <c r="AA482" s="32">
        <f>IF($C482="","",IF(COUNTA($M482,$N482,$O482)&lt;3,"— חסרים נתונים",IF(OR($M482="נמוכה",(--($M482&lt;&gt;"תקינה"))+(--($N482&lt;&gt;"תקין"))+(--($O482&lt;&gt;"תקינה"))&gt;=2),"ניכרת","אינה ניכרת")))</f>
        <v/>
      </c>
      <c r="AB482" s="32">
        <f>IF(OR($C482="",$Y482="",$AA482="",LEFT($Y482,1)="—",LEFT($AA482,1)="—"),"",IF($Z482="","— נדרשת הערכת כתיבה",IF($L482="","— חסרה הבנת הנקרא",IF($Y482="אינה מדויקת או מקוטעת",IF($AA482="ניכרת","מיקוד בשטף הקריאה ובכישורי שפה","מיקוד בשטף קריאה"),IF($AA482="ניכרת","מיקוד בכישורי שפה",IF(AND($L482="תקינה",$Z482="מפותחת"),"קוראים וכותבים מיומנים","מיקוד בהבנה והבעה"))))))</f>
        <v/>
      </c>
      <c r="AC482" s="32">
        <f>IF(OR($AB482="",LEFT($AB482,1)="—"),"",IF(OR($AB482="מיקוד בשטף קריאה",$AB482="מיקוד בשטף הקריאה ובכישורי שפה"),"רמה א'",IF($AB482="קוראים וכותבים מיומנים","רמה ג'","רמה ב'")))</f>
        <v/>
      </c>
      <c r="AD482" s="32">
        <f>IF($AC482="","",MID(IF(AND($AC482="רמה א'",$AA482="ניכרת"),"; להוסיף עבודת אוצר מילים","")&amp;IF($Z482="אינה מפותחת","; דגש על הבעה בכתב","")&amp;IF($K482&lt;&gt;"תקין","; נדרש לעבוד על ההנגנה","")&amp;IF($AK482&lt;&gt;"","; "&amp;$AK482,""),3,400))</f>
        <v/>
      </c>
      <c r="AE482" s="32">
        <f>IF($F482="","",IF($F482="תחילת שנה",1,IF($F482="מחצית שנה",2,3)))</f>
        <v/>
      </c>
      <c r="AF482" s="32">
        <f>IF(OR($B482="",$AC482="",$A482="",$F482=""),"",$B482&amp;"|"&amp;$A482&amp;"|"&amp;$F482&amp;"|"&amp;$AC482&amp;"|"&amp;COUNTIFS($B$6:$B482,$B482,$A$6:$A482,$A482,$F$6:$F482,$F482,$AC$6:$AC482,$AC482))</f>
        <v/>
      </c>
      <c r="AG482" s="32">
        <f>IF($C482="","",$C482&amp;"|"&amp;COUNTIFS($C$6:$C482,$C482))</f>
        <v/>
      </c>
      <c r="AH482" s="32">
        <f>IF(OR($C482="",$A482="",$AE482=""),"",$C482&amp;"|"&amp;$A482&amp;"|"&amp;$AE482)</f>
        <v/>
      </c>
      <c r="AI482" s="32">
        <f>IF(OR($C482="",$AE482="",$AE482=1),"",IFERROR(INDEX($AC$6:$AC$1505,MATCH($C482&amp;"|"&amp;$A482&amp;"|"&amp;($AE482-1),$AH$6:$AH$1505,0)),""))</f>
        <v/>
      </c>
      <c r="AJ482" s="32">
        <f>IF(OR($AI482="",$AC482=""),"",IF($AI482=$AC482,"ללא שינוי","מ-"&amp;$AI482&amp;" ל-"&amp;$AC482))</f>
        <v/>
      </c>
      <c r="AK482" s="67" t="n"/>
    </row>
    <row r="483" ht="15.75" customHeight="1" s="58">
      <c r="A483" s="65" t="n"/>
      <c r="B483" s="65" t="n"/>
      <c r="C483" s="66" t="n"/>
      <c r="D483" s="66" t="n"/>
      <c r="E483" s="65" t="n"/>
      <c r="F483" s="65" t="n"/>
      <c r="G483" s="65" t="n"/>
      <c r="H483" s="65" t="n"/>
      <c r="I483" s="65" t="n"/>
      <c r="J483" s="65" t="n"/>
      <c r="K483" s="65" t="n"/>
      <c r="L483" s="65" t="n"/>
      <c r="M483" s="65" t="n"/>
      <c r="N483" s="65" t="n"/>
      <c r="O483" s="65" t="n"/>
      <c r="P483" s="65" t="n"/>
      <c r="Q483" s="65" t="n"/>
      <c r="R483" s="65" t="n"/>
      <c r="S483" s="65" t="n"/>
      <c r="T483" s="65" t="n"/>
      <c r="U483" s="65" t="n"/>
      <c r="V483" s="65" t="n"/>
      <c r="W483" s="65" t="n"/>
      <c r="X483" s="65" t="n"/>
      <c r="Y483" s="32">
        <f>IF($C483="","",IF(COUNTA($I483:$K483)&lt;3,"— חסרים נתונים",IF(AND($I483="תקין",$J483="תקין",$K483="תקין"),"רהוטה",IF(AND($I483="תקין",$J483="תקין"),"מדויקת ורציפה","אינה מדויקת או מקוטעת"))))</f>
        <v/>
      </c>
      <c r="Z483" s="32">
        <f>IF($C483="","",IF(COUNTA($U483:$W483)&lt;3,"",IF(AND($U483="מפותח",$V483="מפותח",$W483="מפותחת"),"מפותחת",IF((--($U483="דל"))+(--($V483="אינו מפותח"))+(--($W483="דלה"))&gt;=2,"אינה מפותחת","חלקית"))))</f>
        <v/>
      </c>
      <c r="AA483" s="32">
        <f>IF($C483="","",IF(COUNTA($M483,$N483,$O483)&lt;3,"— חסרים נתונים",IF(OR($M483="נמוכה",(--($M483&lt;&gt;"תקינה"))+(--($N483&lt;&gt;"תקין"))+(--($O483&lt;&gt;"תקינה"))&gt;=2),"ניכרת","אינה ניכרת")))</f>
        <v/>
      </c>
      <c r="AB483" s="32">
        <f>IF(OR($C483="",$Y483="",$AA483="",LEFT($Y483,1)="—",LEFT($AA483,1)="—"),"",IF($Z483="","— נדרשת הערכת כתיבה",IF($L483="","— חסרה הבנת הנקרא",IF($Y483="אינה מדויקת או מקוטעת",IF($AA483="ניכרת","מיקוד בשטף הקריאה ובכישורי שפה","מיקוד בשטף קריאה"),IF($AA483="ניכרת","מיקוד בכישורי שפה",IF(AND($L483="תקינה",$Z483="מפותחת"),"קוראים וכותבים מיומנים","מיקוד בהבנה והבעה"))))))</f>
        <v/>
      </c>
      <c r="AC483" s="32">
        <f>IF(OR($AB483="",LEFT($AB483,1)="—"),"",IF(OR($AB483="מיקוד בשטף קריאה",$AB483="מיקוד בשטף הקריאה ובכישורי שפה"),"רמה א'",IF($AB483="קוראים וכותבים מיומנים","רמה ג'","רמה ב'")))</f>
        <v/>
      </c>
      <c r="AD483" s="32">
        <f>IF($AC483="","",MID(IF(AND($AC483="רמה א'",$AA483="ניכרת"),"; להוסיף עבודת אוצר מילים","")&amp;IF($Z483="אינה מפותחת","; דגש על הבעה בכתב","")&amp;IF($K483&lt;&gt;"תקין","; נדרש לעבוד על ההנגנה","")&amp;IF($AK483&lt;&gt;"","; "&amp;$AK483,""),3,400))</f>
        <v/>
      </c>
      <c r="AE483" s="32">
        <f>IF($F483="","",IF($F483="תחילת שנה",1,IF($F483="מחצית שנה",2,3)))</f>
        <v/>
      </c>
      <c r="AF483" s="32">
        <f>IF(OR($B483="",$AC483="",$A483="",$F483=""),"",$B483&amp;"|"&amp;$A483&amp;"|"&amp;$F483&amp;"|"&amp;$AC483&amp;"|"&amp;COUNTIFS($B$6:$B483,$B483,$A$6:$A483,$A483,$F$6:$F483,$F483,$AC$6:$AC483,$AC483))</f>
        <v/>
      </c>
      <c r="AG483" s="32">
        <f>IF($C483="","",$C483&amp;"|"&amp;COUNTIFS($C$6:$C483,$C483))</f>
        <v/>
      </c>
      <c r="AH483" s="32">
        <f>IF(OR($C483="",$A483="",$AE483=""),"",$C483&amp;"|"&amp;$A483&amp;"|"&amp;$AE483)</f>
        <v/>
      </c>
      <c r="AI483" s="32">
        <f>IF(OR($C483="",$AE483="",$AE483=1),"",IFERROR(INDEX($AC$6:$AC$1505,MATCH($C483&amp;"|"&amp;$A483&amp;"|"&amp;($AE483-1),$AH$6:$AH$1505,0)),""))</f>
        <v/>
      </c>
      <c r="AJ483" s="32">
        <f>IF(OR($AI483="",$AC483=""),"",IF($AI483=$AC483,"ללא שינוי","מ-"&amp;$AI483&amp;" ל-"&amp;$AC483))</f>
        <v/>
      </c>
      <c r="AK483" s="67" t="n"/>
    </row>
    <row r="484" ht="15.75" customHeight="1" s="58">
      <c r="A484" s="65" t="n"/>
      <c r="B484" s="65" t="n"/>
      <c r="C484" s="66" t="n"/>
      <c r="D484" s="66" t="n"/>
      <c r="E484" s="65" t="n"/>
      <c r="F484" s="65" t="n"/>
      <c r="G484" s="65" t="n"/>
      <c r="H484" s="65" t="n"/>
      <c r="I484" s="65" t="n"/>
      <c r="J484" s="65" t="n"/>
      <c r="K484" s="65" t="n"/>
      <c r="L484" s="65" t="n"/>
      <c r="M484" s="65" t="n"/>
      <c r="N484" s="65" t="n"/>
      <c r="O484" s="65" t="n"/>
      <c r="P484" s="65" t="n"/>
      <c r="Q484" s="65" t="n"/>
      <c r="R484" s="65" t="n"/>
      <c r="S484" s="65" t="n"/>
      <c r="T484" s="65" t="n"/>
      <c r="U484" s="65" t="n"/>
      <c r="V484" s="65" t="n"/>
      <c r="W484" s="65" t="n"/>
      <c r="X484" s="65" t="n"/>
      <c r="Y484" s="32">
        <f>IF($C484="","",IF(COUNTA($I484:$K484)&lt;3,"— חסרים נתונים",IF(AND($I484="תקין",$J484="תקין",$K484="תקין"),"רהוטה",IF(AND($I484="תקין",$J484="תקין"),"מדויקת ורציפה","אינה מדויקת או מקוטעת"))))</f>
        <v/>
      </c>
      <c r="Z484" s="32">
        <f>IF($C484="","",IF(COUNTA($U484:$W484)&lt;3,"",IF(AND($U484="מפותח",$V484="מפותח",$W484="מפותחת"),"מפותחת",IF((--($U484="דל"))+(--($V484="אינו מפותח"))+(--($W484="דלה"))&gt;=2,"אינה מפותחת","חלקית"))))</f>
        <v/>
      </c>
      <c r="AA484" s="32">
        <f>IF($C484="","",IF(COUNTA($M484,$N484,$O484)&lt;3,"— חסרים נתונים",IF(OR($M484="נמוכה",(--($M484&lt;&gt;"תקינה"))+(--($N484&lt;&gt;"תקין"))+(--($O484&lt;&gt;"תקינה"))&gt;=2),"ניכרת","אינה ניכרת")))</f>
        <v/>
      </c>
      <c r="AB484" s="32">
        <f>IF(OR($C484="",$Y484="",$AA484="",LEFT($Y484,1)="—",LEFT($AA484,1)="—"),"",IF($Z484="","— נדרשת הערכת כתיבה",IF($L484="","— חסרה הבנת הנקרא",IF($Y484="אינה מדויקת או מקוטעת",IF($AA484="ניכרת","מיקוד בשטף הקריאה ובכישורי שפה","מיקוד בשטף קריאה"),IF($AA484="ניכרת","מיקוד בכישורי שפה",IF(AND($L484="תקינה",$Z484="מפותחת"),"קוראים וכותבים מיומנים","מיקוד בהבנה והבעה"))))))</f>
        <v/>
      </c>
      <c r="AC484" s="32">
        <f>IF(OR($AB484="",LEFT($AB484,1)="—"),"",IF(OR($AB484="מיקוד בשטף קריאה",$AB484="מיקוד בשטף הקריאה ובכישורי שפה"),"רמה א'",IF($AB484="קוראים וכותבים מיומנים","רמה ג'","רמה ב'")))</f>
        <v/>
      </c>
      <c r="AD484" s="32">
        <f>IF($AC484="","",MID(IF(AND($AC484="רמה א'",$AA484="ניכרת"),"; להוסיף עבודת אוצר מילים","")&amp;IF($Z484="אינה מפותחת","; דגש על הבעה בכתב","")&amp;IF($K484&lt;&gt;"תקין","; נדרש לעבוד על ההנגנה","")&amp;IF($AK484&lt;&gt;"","; "&amp;$AK484,""),3,400))</f>
        <v/>
      </c>
      <c r="AE484" s="32">
        <f>IF($F484="","",IF($F484="תחילת שנה",1,IF($F484="מחצית שנה",2,3)))</f>
        <v/>
      </c>
      <c r="AF484" s="32">
        <f>IF(OR($B484="",$AC484="",$A484="",$F484=""),"",$B484&amp;"|"&amp;$A484&amp;"|"&amp;$F484&amp;"|"&amp;$AC484&amp;"|"&amp;COUNTIFS($B$6:$B484,$B484,$A$6:$A484,$A484,$F$6:$F484,$F484,$AC$6:$AC484,$AC484))</f>
        <v/>
      </c>
      <c r="AG484" s="32">
        <f>IF($C484="","",$C484&amp;"|"&amp;COUNTIFS($C$6:$C484,$C484))</f>
        <v/>
      </c>
      <c r="AH484" s="32">
        <f>IF(OR($C484="",$A484="",$AE484=""),"",$C484&amp;"|"&amp;$A484&amp;"|"&amp;$AE484)</f>
        <v/>
      </c>
      <c r="AI484" s="32">
        <f>IF(OR($C484="",$AE484="",$AE484=1),"",IFERROR(INDEX($AC$6:$AC$1505,MATCH($C484&amp;"|"&amp;$A484&amp;"|"&amp;($AE484-1),$AH$6:$AH$1505,0)),""))</f>
        <v/>
      </c>
      <c r="AJ484" s="32">
        <f>IF(OR($AI484="",$AC484=""),"",IF($AI484=$AC484,"ללא שינוי","מ-"&amp;$AI484&amp;" ל-"&amp;$AC484))</f>
        <v/>
      </c>
      <c r="AK484" s="67" t="n"/>
    </row>
    <row r="485" ht="15.75" customHeight="1" s="58">
      <c r="A485" s="65" t="n"/>
      <c r="B485" s="65" t="n"/>
      <c r="C485" s="66" t="n"/>
      <c r="D485" s="66" t="n"/>
      <c r="E485" s="65" t="n"/>
      <c r="F485" s="65" t="n"/>
      <c r="G485" s="65" t="n"/>
      <c r="H485" s="65" t="n"/>
      <c r="I485" s="65" t="n"/>
      <c r="J485" s="65" t="n"/>
      <c r="K485" s="65" t="n"/>
      <c r="L485" s="65" t="n"/>
      <c r="M485" s="65" t="n"/>
      <c r="N485" s="65" t="n"/>
      <c r="O485" s="65" t="n"/>
      <c r="P485" s="65" t="n"/>
      <c r="Q485" s="65" t="n"/>
      <c r="R485" s="65" t="n"/>
      <c r="S485" s="65" t="n"/>
      <c r="T485" s="65" t="n"/>
      <c r="U485" s="65" t="n"/>
      <c r="V485" s="65" t="n"/>
      <c r="W485" s="65" t="n"/>
      <c r="X485" s="65" t="n"/>
      <c r="Y485" s="32">
        <f>IF($C485="","",IF(COUNTA($I485:$K485)&lt;3,"— חסרים נתונים",IF(AND($I485="תקין",$J485="תקין",$K485="תקין"),"רהוטה",IF(AND($I485="תקין",$J485="תקין"),"מדויקת ורציפה","אינה מדויקת או מקוטעת"))))</f>
        <v/>
      </c>
      <c r="Z485" s="32">
        <f>IF($C485="","",IF(COUNTA($U485:$W485)&lt;3,"",IF(AND($U485="מפותח",$V485="מפותח",$W485="מפותחת"),"מפותחת",IF((--($U485="דל"))+(--($V485="אינו מפותח"))+(--($W485="דלה"))&gt;=2,"אינה מפותחת","חלקית"))))</f>
        <v/>
      </c>
      <c r="AA485" s="32">
        <f>IF($C485="","",IF(COUNTA($M485,$N485,$O485)&lt;3,"— חסרים נתונים",IF(OR($M485="נמוכה",(--($M485&lt;&gt;"תקינה"))+(--($N485&lt;&gt;"תקין"))+(--($O485&lt;&gt;"תקינה"))&gt;=2),"ניכרת","אינה ניכרת")))</f>
        <v/>
      </c>
      <c r="AB485" s="32">
        <f>IF(OR($C485="",$Y485="",$AA485="",LEFT($Y485,1)="—",LEFT($AA485,1)="—"),"",IF($Z485="","— נדרשת הערכת כתיבה",IF($L485="","— חסרה הבנת הנקרא",IF($Y485="אינה מדויקת או מקוטעת",IF($AA485="ניכרת","מיקוד בשטף הקריאה ובכישורי שפה","מיקוד בשטף קריאה"),IF($AA485="ניכרת","מיקוד בכישורי שפה",IF(AND($L485="תקינה",$Z485="מפותחת"),"קוראים וכותבים מיומנים","מיקוד בהבנה והבעה"))))))</f>
        <v/>
      </c>
      <c r="AC485" s="32">
        <f>IF(OR($AB485="",LEFT($AB485,1)="—"),"",IF(OR($AB485="מיקוד בשטף קריאה",$AB485="מיקוד בשטף הקריאה ובכישורי שפה"),"רמה א'",IF($AB485="קוראים וכותבים מיומנים","רמה ג'","רמה ב'")))</f>
        <v/>
      </c>
      <c r="AD485" s="32">
        <f>IF($AC485="","",MID(IF(AND($AC485="רמה א'",$AA485="ניכרת"),"; להוסיף עבודת אוצר מילים","")&amp;IF($Z485="אינה מפותחת","; דגש על הבעה בכתב","")&amp;IF($K485&lt;&gt;"תקין","; נדרש לעבוד על ההנגנה","")&amp;IF($AK485&lt;&gt;"","; "&amp;$AK485,""),3,400))</f>
        <v/>
      </c>
      <c r="AE485" s="32">
        <f>IF($F485="","",IF($F485="תחילת שנה",1,IF($F485="מחצית שנה",2,3)))</f>
        <v/>
      </c>
      <c r="AF485" s="32">
        <f>IF(OR($B485="",$AC485="",$A485="",$F485=""),"",$B485&amp;"|"&amp;$A485&amp;"|"&amp;$F485&amp;"|"&amp;$AC485&amp;"|"&amp;COUNTIFS($B$6:$B485,$B485,$A$6:$A485,$A485,$F$6:$F485,$F485,$AC$6:$AC485,$AC485))</f>
        <v/>
      </c>
      <c r="AG485" s="32">
        <f>IF($C485="","",$C485&amp;"|"&amp;COUNTIFS($C$6:$C485,$C485))</f>
        <v/>
      </c>
      <c r="AH485" s="32">
        <f>IF(OR($C485="",$A485="",$AE485=""),"",$C485&amp;"|"&amp;$A485&amp;"|"&amp;$AE485)</f>
        <v/>
      </c>
      <c r="AI485" s="32">
        <f>IF(OR($C485="",$AE485="",$AE485=1),"",IFERROR(INDEX($AC$6:$AC$1505,MATCH($C485&amp;"|"&amp;$A485&amp;"|"&amp;($AE485-1),$AH$6:$AH$1505,0)),""))</f>
        <v/>
      </c>
      <c r="AJ485" s="32">
        <f>IF(OR($AI485="",$AC485=""),"",IF($AI485=$AC485,"ללא שינוי","מ-"&amp;$AI485&amp;" ל-"&amp;$AC485))</f>
        <v/>
      </c>
      <c r="AK485" s="67" t="n"/>
    </row>
    <row r="486" ht="15.75" customHeight="1" s="58">
      <c r="A486" s="65" t="n"/>
      <c r="B486" s="65" t="n"/>
      <c r="C486" s="66" t="n"/>
      <c r="D486" s="66" t="n"/>
      <c r="E486" s="65" t="n"/>
      <c r="F486" s="65" t="n"/>
      <c r="G486" s="65" t="n"/>
      <c r="H486" s="65" t="n"/>
      <c r="I486" s="65" t="n"/>
      <c r="J486" s="65" t="n"/>
      <c r="K486" s="65" t="n"/>
      <c r="L486" s="65" t="n"/>
      <c r="M486" s="65" t="n"/>
      <c r="N486" s="65" t="n"/>
      <c r="O486" s="65" t="n"/>
      <c r="P486" s="65" t="n"/>
      <c r="Q486" s="65" t="n"/>
      <c r="R486" s="65" t="n"/>
      <c r="S486" s="65" t="n"/>
      <c r="T486" s="65" t="n"/>
      <c r="U486" s="65" t="n"/>
      <c r="V486" s="65" t="n"/>
      <c r="W486" s="65" t="n"/>
      <c r="X486" s="65" t="n"/>
      <c r="Y486" s="32">
        <f>IF($C486="","",IF(COUNTA($I486:$K486)&lt;3,"— חסרים נתונים",IF(AND($I486="תקין",$J486="תקין",$K486="תקין"),"רהוטה",IF(AND($I486="תקין",$J486="תקין"),"מדויקת ורציפה","אינה מדויקת או מקוטעת"))))</f>
        <v/>
      </c>
      <c r="Z486" s="32">
        <f>IF($C486="","",IF(COUNTA($U486:$W486)&lt;3,"",IF(AND($U486="מפותח",$V486="מפותח",$W486="מפותחת"),"מפותחת",IF((--($U486="דל"))+(--($V486="אינו מפותח"))+(--($W486="דלה"))&gt;=2,"אינה מפותחת","חלקית"))))</f>
        <v/>
      </c>
      <c r="AA486" s="32">
        <f>IF($C486="","",IF(COUNTA($M486,$N486,$O486)&lt;3,"— חסרים נתונים",IF(OR($M486="נמוכה",(--($M486&lt;&gt;"תקינה"))+(--($N486&lt;&gt;"תקין"))+(--($O486&lt;&gt;"תקינה"))&gt;=2),"ניכרת","אינה ניכרת")))</f>
        <v/>
      </c>
      <c r="AB486" s="32">
        <f>IF(OR($C486="",$Y486="",$AA486="",LEFT($Y486,1)="—",LEFT($AA486,1)="—"),"",IF($Z486="","— נדרשת הערכת כתיבה",IF($L486="","— חסרה הבנת הנקרא",IF($Y486="אינה מדויקת או מקוטעת",IF($AA486="ניכרת","מיקוד בשטף הקריאה ובכישורי שפה","מיקוד בשטף קריאה"),IF($AA486="ניכרת","מיקוד בכישורי שפה",IF(AND($L486="תקינה",$Z486="מפותחת"),"קוראים וכותבים מיומנים","מיקוד בהבנה והבעה"))))))</f>
        <v/>
      </c>
      <c r="AC486" s="32">
        <f>IF(OR($AB486="",LEFT($AB486,1)="—"),"",IF(OR($AB486="מיקוד בשטף קריאה",$AB486="מיקוד בשטף הקריאה ובכישורי שפה"),"רמה א'",IF($AB486="קוראים וכותבים מיומנים","רמה ג'","רמה ב'")))</f>
        <v/>
      </c>
      <c r="AD486" s="32">
        <f>IF($AC486="","",MID(IF(AND($AC486="רמה א'",$AA486="ניכרת"),"; להוסיף עבודת אוצר מילים","")&amp;IF($Z486="אינה מפותחת","; דגש על הבעה בכתב","")&amp;IF($K486&lt;&gt;"תקין","; נדרש לעבוד על ההנגנה","")&amp;IF($AK486&lt;&gt;"","; "&amp;$AK486,""),3,400))</f>
        <v/>
      </c>
      <c r="AE486" s="32">
        <f>IF($F486="","",IF($F486="תחילת שנה",1,IF($F486="מחצית שנה",2,3)))</f>
        <v/>
      </c>
      <c r="AF486" s="32">
        <f>IF(OR($B486="",$AC486="",$A486="",$F486=""),"",$B486&amp;"|"&amp;$A486&amp;"|"&amp;$F486&amp;"|"&amp;$AC486&amp;"|"&amp;COUNTIFS($B$6:$B486,$B486,$A$6:$A486,$A486,$F$6:$F486,$F486,$AC$6:$AC486,$AC486))</f>
        <v/>
      </c>
      <c r="AG486" s="32">
        <f>IF($C486="","",$C486&amp;"|"&amp;COUNTIFS($C$6:$C486,$C486))</f>
        <v/>
      </c>
      <c r="AH486" s="32">
        <f>IF(OR($C486="",$A486="",$AE486=""),"",$C486&amp;"|"&amp;$A486&amp;"|"&amp;$AE486)</f>
        <v/>
      </c>
      <c r="AI486" s="32">
        <f>IF(OR($C486="",$AE486="",$AE486=1),"",IFERROR(INDEX($AC$6:$AC$1505,MATCH($C486&amp;"|"&amp;$A486&amp;"|"&amp;($AE486-1),$AH$6:$AH$1505,0)),""))</f>
        <v/>
      </c>
      <c r="AJ486" s="32">
        <f>IF(OR($AI486="",$AC486=""),"",IF($AI486=$AC486,"ללא שינוי","מ-"&amp;$AI486&amp;" ל-"&amp;$AC486))</f>
        <v/>
      </c>
      <c r="AK486" s="67" t="n"/>
    </row>
    <row r="487" ht="15.75" customHeight="1" s="58">
      <c r="A487" s="65" t="n"/>
      <c r="B487" s="65" t="n"/>
      <c r="C487" s="66" t="n"/>
      <c r="D487" s="66" t="n"/>
      <c r="E487" s="65" t="n"/>
      <c r="F487" s="65" t="n"/>
      <c r="G487" s="65" t="n"/>
      <c r="H487" s="65" t="n"/>
      <c r="I487" s="65" t="n"/>
      <c r="J487" s="65" t="n"/>
      <c r="K487" s="65" t="n"/>
      <c r="L487" s="65" t="n"/>
      <c r="M487" s="65" t="n"/>
      <c r="N487" s="65" t="n"/>
      <c r="O487" s="65" t="n"/>
      <c r="P487" s="65" t="n"/>
      <c r="Q487" s="65" t="n"/>
      <c r="R487" s="65" t="n"/>
      <c r="S487" s="65" t="n"/>
      <c r="T487" s="65" t="n"/>
      <c r="U487" s="65" t="n"/>
      <c r="V487" s="65" t="n"/>
      <c r="W487" s="65" t="n"/>
      <c r="X487" s="65" t="n"/>
      <c r="Y487" s="32">
        <f>IF($C487="","",IF(COUNTA($I487:$K487)&lt;3,"— חסרים נתונים",IF(AND($I487="תקין",$J487="תקין",$K487="תקין"),"רהוטה",IF(AND($I487="תקין",$J487="תקין"),"מדויקת ורציפה","אינה מדויקת או מקוטעת"))))</f>
        <v/>
      </c>
      <c r="Z487" s="32">
        <f>IF($C487="","",IF(COUNTA($U487:$W487)&lt;3,"",IF(AND($U487="מפותח",$V487="מפותח",$W487="מפותחת"),"מפותחת",IF((--($U487="דל"))+(--($V487="אינו מפותח"))+(--($W487="דלה"))&gt;=2,"אינה מפותחת","חלקית"))))</f>
        <v/>
      </c>
      <c r="AA487" s="32">
        <f>IF($C487="","",IF(COUNTA($M487,$N487,$O487)&lt;3,"— חסרים נתונים",IF(OR($M487="נמוכה",(--($M487&lt;&gt;"תקינה"))+(--($N487&lt;&gt;"תקין"))+(--($O487&lt;&gt;"תקינה"))&gt;=2),"ניכרת","אינה ניכרת")))</f>
        <v/>
      </c>
      <c r="AB487" s="32">
        <f>IF(OR($C487="",$Y487="",$AA487="",LEFT($Y487,1)="—",LEFT($AA487,1)="—"),"",IF($Z487="","— נדרשת הערכת כתיבה",IF($L487="","— חסרה הבנת הנקרא",IF($Y487="אינה מדויקת או מקוטעת",IF($AA487="ניכרת","מיקוד בשטף הקריאה ובכישורי שפה","מיקוד בשטף קריאה"),IF($AA487="ניכרת","מיקוד בכישורי שפה",IF(AND($L487="תקינה",$Z487="מפותחת"),"קוראים וכותבים מיומנים","מיקוד בהבנה והבעה"))))))</f>
        <v/>
      </c>
      <c r="AC487" s="32">
        <f>IF(OR($AB487="",LEFT($AB487,1)="—"),"",IF(OR($AB487="מיקוד בשטף קריאה",$AB487="מיקוד בשטף הקריאה ובכישורי שפה"),"רמה א'",IF($AB487="קוראים וכותבים מיומנים","רמה ג'","רמה ב'")))</f>
        <v/>
      </c>
      <c r="AD487" s="32">
        <f>IF($AC487="","",MID(IF(AND($AC487="רמה א'",$AA487="ניכרת"),"; להוסיף עבודת אוצר מילים","")&amp;IF($Z487="אינה מפותחת","; דגש על הבעה בכתב","")&amp;IF($K487&lt;&gt;"תקין","; נדרש לעבוד על ההנגנה","")&amp;IF($AK487&lt;&gt;"","; "&amp;$AK487,""),3,400))</f>
        <v/>
      </c>
      <c r="AE487" s="32">
        <f>IF($F487="","",IF($F487="תחילת שנה",1,IF($F487="מחצית שנה",2,3)))</f>
        <v/>
      </c>
      <c r="AF487" s="32">
        <f>IF(OR($B487="",$AC487="",$A487="",$F487=""),"",$B487&amp;"|"&amp;$A487&amp;"|"&amp;$F487&amp;"|"&amp;$AC487&amp;"|"&amp;COUNTIFS($B$6:$B487,$B487,$A$6:$A487,$A487,$F$6:$F487,$F487,$AC$6:$AC487,$AC487))</f>
        <v/>
      </c>
      <c r="AG487" s="32">
        <f>IF($C487="","",$C487&amp;"|"&amp;COUNTIFS($C$6:$C487,$C487))</f>
        <v/>
      </c>
      <c r="AH487" s="32">
        <f>IF(OR($C487="",$A487="",$AE487=""),"",$C487&amp;"|"&amp;$A487&amp;"|"&amp;$AE487)</f>
        <v/>
      </c>
      <c r="AI487" s="32">
        <f>IF(OR($C487="",$AE487="",$AE487=1),"",IFERROR(INDEX($AC$6:$AC$1505,MATCH($C487&amp;"|"&amp;$A487&amp;"|"&amp;($AE487-1),$AH$6:$AH$1505,0)),""))</f>
        <v/>
      </c>
      <c r="AJ487" s="32">
        <f>IF(OR($AI487="",$AC487=""),"",IF($AI487=$AC487,"ללא שינוי","מ-"&amp;$AI487&amp;" ל-"&amp;$AC487))</f>
        <v/>
      </c>
      <c r="AK487" s="67" t="n"/>
    </row>
    <row r="488" ht="15.75" customHeight="1" s="58">
      <c r="A488" s="65" t="n"/>
      <c r="B488" s="65" t="n"/>
      <c r="C488" s="66" t="n"/>
      <c r="D488" s="66" t="n"/>
      <c r="E488" s="65" t="n"/>
      <c r="F488" s="65" t="n"/>
      <c r="G488" s="65" t="n"/>
      <c r="H488" s="65" t="n"/>
      <c r="I488" s="65" t="n"/>
      <c r="J488" s="65" t="n"/>
      <c r="K488" s="65" t="n"/>
      <c r="L488" s="65" t="n"/>
      <c r="M488" s="65" t="n"/>
      <c r="N488" s="65" t="n"/>
      <c r="O488" s="65" t="n"/>
      <c r="P488" s="65" t="n"/>
      <c r="Q488" s="65" t="n"/>
      <c r="R488" s="65" t="n"/>
      <c r="S488" s="65" t="n"/>
      <c r="T488" s="65" t="n"/>
      <c r="U488" s="65" t="n"/>
      <c r="V488" s="65" t="n"/>
      <c r="W488" s="65" t="n"/>
      <c r="X488" s="65" t="n"/>
      <c r="Y488" s="32">
        <f>IF($C488="","",IF(COUNTA($I488:$K488)&lt;3,"— חסרים נתונים",IF(AND($I488="תקין",$J488="תקין",$K488="תקין"),"רהוטה",IF(AND($I488="תקין",$J488="תקין"),"מדויקת ורציפה","אינה מדויקת או מקוטעת"))))</f>
        <v/>
      </c>
      <c r="Z488" s="32">
        <f>IF($C488="","",IF(COUNTA($U488:$W488)&lt;3,"",IF(AND($U488="מפותח",$V488="מפותח",$W488="מפותחת"),"מפותחת",IF((--($U488="דל"))+(--($V488="אינו מפותח"))+(--($W488="דלה"))&gt;=2,"אינה מפותחת","חלקית"))))</f>
        <v/>
      </c>
      <c r="AA488" s="32">
        <f>IF($C488="","",IF(COUNTA($M488,$N488,$O488)&lt;3,"— חסרים נתונים",IF(OR($M488="נמוכה",(--($M488&lt;&gt;"תקינה"))+(--($N488&lt;&gt;"תקין"))+(--($O488&lt;&gt;"תקינה"))&gt;=2),"ניכרת","אינה ניכרת")))</f>
        <v/>
      </c>
      <c r="AB488" s="32">
        <f>IF(OR($C488="",$Y488="",$AA488="",LEFT($Y488,1)="—",LEFT($AA488,1)="—"),"",IF($Z488="","— נדרשת הערכת כתיבה",IF($L488="","— חסרה הבנת הנקרא",IF($Y488="אינה מדויקת או מקוטעת",IF($AA488="ניכרת","מיקוד בשטף הקריאה ובכישורי שפה","מיקוד בשטף קריאה"),IF($AA488="ניכרת","מיקוד בכישורי שפה",IF(AND($L488="תקינה",$Z488="מפותחת"),"קוראים וכותבים מיומנים","מיקוד בהבנה והבעה"))))))</f>
        <v/>
      </c>
      <c r="AC488" s="32">
        <f>IF(OR($AB488="",LEFT($AB488,1)="—"),"",IF(OR($AB488="מיקוד בשטף קריאה",$AB488="מיקוד בשטף הקריאה ובכישורי שפה"),"רמה א'",IF($AB488="קוראים וכותבים מיומנים","רמה ג'","רמה ב'")))</f>
        <v/>
      </c>
      <c r="AD488" s="32">
        <f>IF($AC488="","",MID(IF(AND($AC488="רמה א'",$AA488="ניכרת"),"; להוסיף עבודת אוצר מילים","")&amp;IF($Z488="אינה מפותחת","; דגש על הבעה בכתב","")&amp;IF($K488&lt;&gt;"תקין","; נדרש לעבוד על ההנגנה","")&amp;IF($AK488&lt;&gt;"","; "&amp;$AK488,""),3,400))</f>
        <v/>
      </c>
      <c r="AE488" s="32">
        <f>IF($F488="","",IF($F488="תחילת שנה",1,IF($F488="מחצית שנה",2,3)))</f>
        <v/>
      </c>
      <c r="AF488" s="32">
        <f>IF(OR($B488="",$AC488="",$A488="",$F488=""),"",$B488&amp;"|"&amp;$A488&amp;"|"&amp;$F488&amp;"|"&amp;$AC488&amp;"|"&amp;COUNTIFS($B$6:$B488,$B488,$A$6:$A488,$A488,$F$6:$F488,$F488,$AC$6:$AC488,$AC488))</f>
        <v/>
      </c>
      <c r="AG488" s="32">
        <f>IF($C488="","",$C488&amp;"|"&amp;COUNTIFS($C$6:$C488,$C488))</f>
        <v/>
      </c>
      <c r="AH488" s="32">
        <f>IF(OR($C488="",$A488="",$AE488=""),"",$C488&amp;"|"&amp;$A488&amp;"|"&amp;$AE488)</f>
        <v/>
      </c>
      <c r="AI488" s="32">
        <f>IF(OR($C488="",$AE488="",$AE488=1),"",IFERROR(INDEX($AC$6:$AC$1505,MATCH($C488&amp;"|"&amp;$A488&amp;"|"&amp;($AE488-1),$AH$6:$AH$1505,0)),""))</f>
        <v/>
      </c>
      <c r="AJ488" s="32">
        <f>IF(OR($AI488="",$AC488=""),"",IF($AI488=$AC488,"ללא שינוי","מ-"&amp;$AI488&amp;" ל-"&amp;$AC488))</f>
        <v/>
      </c>
      <c r="AK488" s="67" t="n"/>
    </row>
    <row r="489" ht="15.75" customHeight="1" s="58">
      <c r="A489" s="65" t="n"/>
      <c r="B489" s="65" t="n"/>
      <c r="C489" s="66" t="n"/>
      <c r="D489" s="66" t="n"/>
      <c r="E489" s="65" t="n"/>
      <c r="F489" s="65" t="n"/>
      <c r="G489" s="65" t="n"/>
      <c r="H489" s="65" t="n"/>
      <c r="I489" s="65" t="n"/>
      <c r="J489" s="65" t="n"/>
      <c r="K489" s="65" t="n"/>
      <c r="L489" s="65" t="n"/>
      <c r="M489" s="65" t="n"/>
      <c r="N489" s="65" t="n"/>
      <c r="O489" s="65" t="n"/>
      <c r="P489" s="65" t="n"/>
      <c r="Q489" s="65" t="n"/>
      <c r="R489" s="65" t="n"/>
      <c r="S489" s="65" t="n"/>
      <c r="T489" s="65" t="n"/>
      <c r="U489" s="65" t="n"/>
      <c r="V489" s="65" t="n"/>
      <c r="W489" s="65" t="n"/>
      <c r="X489" s="65" t="n"/>
      <c r="Y489" s="32">
        <f>IF($C489="","",IF(COUNTA($I489:$K489)&lt;3,"— חסרים נתונים",IF(AND($I489="תקין",$J489="תקין",$K489="תקין"),"רהוטה",IF(AND($I489="תקין",$J489="תקין"),"מדויקת ורציפה","אינה מדויקת או מקוטעת"))))</f>
        <v/>
      </c>
      <c r="Z489" s="32">
        <f>IF($C489="","",IF(COUNTA($U489:$W489)&lt;3,"",IF(AND($U489="מפותח",$V489="מפותח",$W489="מפותחת"),"מפותחת",IF((--($U489="דל"))+(--($V489="אינו מפותח"))+(--($W489="דלה"))&gt;=2,"אינה מפותחת","חלקית"))))</f>
        <v/>
      </c>
      <c r="AA489" s="32">
        <f>IF($C489="","",IF(COUNTA($M489,$N489,$O489)&lt;3,"— חסרים נתונים",IF(OR($M489="נמוכה",(--($M489&lt;&gt;"תקינה"))+(--($N489&lt;&gt;"תקין"))+(--($O489&lt;&gt;"תקינה"))&gt;=2),"ניכרת","אינה ניכרת")))</f>
        <v/>
      </c>
      <c r="AB489" s="32">
        <f>IF(OR($C489="",$Y489="",$AA489="",LEFT($Y489,1)="—",LEFT($AA489,1)="—"),"",IF($Z489="","— נדרשת הערכת כתיבה",IF($L489="","— חסרה הבנת הנקרא",IF($Y489="אינה מדויקת או מקוטעת",IF($AA489="ניכרת","מיקוד בשטף הקריאה ובכישורי שפה","מיקוד בשטף קריאה"),IF($AA489="ניכרת","מיקוד בכישורי שפה",IF(AND($L489="תקינה",$Z489="מפותחת"),"קוראים וכותבים מיומנים","מיקוד בהבנה והבעה"))))))</f>
        <v/>
      </c>
      <c r="AC489" s="32">
        <f>IF(OR($AB489="",LEFT($AB489,1)="—"),"",IF(OR($AB489="מיקוד בשטף קריאה",$AB489="מיקוד בשטף הקריאה ובכישורי שפה"),"רמה א'",IF($AB489="קוראים וכותבים מיומנים","רמה ג'","רמה ב'")))</f>
        <v/>
      </c>
      <c r="AD489" s="32">
        <f>IF($AC489="","",MID(IF(AND($AC489="רמה א'",$AA489="ניכרת"),"; להוסיף עבודת אוצר מילים","")&amp;IF($Z489="אינה מפותחת","; דגש על הבעה בכתב","")&amp;IF($K489&lt;&gt;"תקין","; נדרש לעבוד על ההנגנה","")&amp;IF($AK489&lt;&gt;"","; "&amp;$AK489,""),3,400))</f>
        <v/>
      </c>
      <c r="AE489" s="32">
        <f>IF($F489="","",IF($F489="תחילת שנה",1,IF($F489="מחצית שנה",2,3)))</f>
        <v/>
      </c>
      <c r="AF489" s="32">
        <f>IF(OR($B489="",$AC489="",$A489="",$F489=""),"",$B489&amp;"|"&amp;$A489&amp;"|"&amp;$F489&amp;"|"&amp;$AC489&amp;"|"&amp;COUNTIFS($B$6:$B489,$B489,$A$6:$A489,$A489,$F$6:$F489,$F489,$AC$6:$AC489,$AC489))</f>
        <v/>
      </c>
      <c r="AG489" s="32">
        <f>IF($C489="","",$C489&amp;"|"&amp;COUNTIFS($C$6:$C489,$C489))</f>
        <v/>
      </c>
      <c r="AH489" s="32">
        <f>IF(OR($C489="",$A489="",$AE489=""),"",$C489&amp;"|"&amp;$A489&amp;"|"&amp;$AE489)</f>
        <v/>
      </c>
      <c r="AI489" s="32">
        <f>IF(OR($C489="",$AE489="",$AE489=1),"",IFERROR(INDEX($AC$6:$AC$1505,MATCH($C489&amp;"|"&amp;$A489&amp;"|"&amp;($AE489-1),$AH$6:$AH$1505,0)),""))</f>
        <v/>
      </c>
      <c r="AJ489" s="32">
        <f>IF(OR($AI489="",$AC489=""),"",IF($AI489=$AC489,"ללא שינוי","מ-"&amp;$AI489&amp;" ל-"&amp;$AC489))</f>
        <v/>
      </c>
      <c r="AK489" s="67" t="n"/>
    </row>
    <row r="490" ht="15.75" customHeight="1" s="58">
      <c r="A490" s="65" t="n"/>
      <c r="B490" s="65" t="n"/>
      <c r="C490" s="66" t="n"/>
      <c r="D490" s="66" t="n"/>
      <c r="E490" s="65" t="n"/>
      <c r="F490" s="65" t="n"/>
      <c r="G490" s="65" t="n"/>
      <c r="H490" s="65" t="n"/>
      <c r="I490" s="65" t="n"/>
      <c r="J490" s="65" t="n"/>
      <c r="K490" s="65" t="n"/>
      <c r="L490" s="65" t="n"/>
      <c r="M490" s="65" t="n"/>
      <c r="N490" s="65" t="n"/>
      <c r="O490" s="65" t="n"/>
      <c r="P490" s="65" t="n"/>
      <c r="Q490" s="65" t="n"/>
      <c r="R490" s="65" t="n"/>
      <c r="S490" s="65" t="n"/>
      <c r="T490" s="65" t="n"/>
      <c r="U490" s="65" t="n"/>
      <c r="V490" s="65" t="n"/>
      <c r="W490" s="65" t="n"/>
      <c r="X490" s="65" t="n"/>
      <c r="Y490" s="32">
        <f>IF($C490="","",IF(COUNTA($I490:$K490)&lt;3,"— חסרים נתונים",IF(AND($I490="תקין",$J490="תקין",$K490="תקין"),"רהוטה",IF(AND($I490="תקין",$J490="תקין"),"מדויקת ורציפה","אינה מדויקת או מקוטעת"))))</f>
        <v/>
      </c>
      <c r="Z490" s="32">
        <f>IF($C490="","",IF(COUNTA($U490:$W490)&lt;3,"",IF(AND($U490="מפותח",$V490="מפותח",$W490="מפותחת"),"מפותחת",IF((--($U490="דל"))+(--($V490="אינו מפותח"))+(--($W490="דלה"))&gt;=2,"אינה מפותחת","חלקית"))))</f>
        <v/>
      </c>
      <c r="AA490" s="32">
        <f>IF($C490="","",IF(COUNTA($M490,$N490,$O490)&lt;3,"— חסרים נתונים",IF(OR($M490="נמוכה",(--($M490&lt;&gt;"תקינה"))+(--($N490&lt;&gt;"תקין"))+(--($O490&lt;&gt;"תקינה"))&gt;=2),"ניכרת","אינה ניכרת")))</f>
        <v/>
      </c>
      <c r="AB490" s="32">
        <f>IF(OR($C490="",$Y490="",$AA490="",LEFT($Y490,1)="—",LEFT($AA490,1)="—"),"",IF($Z490="","— נדרשת הערכת כתיבה",IF($L490="","— חסרה הבנת הנקרא",IF($Y490="אינה מדויקת או מקוטעת",IF($AA490="ניכרת","מיקוד בשטף הקריאה ובכישורי שפה","מיקוד בשטף קריאה"),IF($AA490="ניכרת","מיקוד בכישורי שפה",IF(AND($L490="תקינה",$Z490="מפותחת"),"קוראים וכותבים מיומנים","מיקוד בהבנה והבעה"))))))</f>
        <v/>
      </c>
      <c r="AC490" s="32">
        <f>IF(OR($AB490="",LEFT($AB490,1)="—"),"",IF(OR($AB490="מיקוד בשטף קריאה",$AB490="מיקוד בשטף הקריאה ובכישורי שפה"),"רמה א'",IF($AB490="קוראים וכותבים מיומנים","רמה ג'","רמה ב'")))</f>
        <v/>
      </c>
      <c r="AD490" s="32">
        <f>IF($AC490="","",MID(IF(AND($AC490="רמה א'",$AA490="ניכרת"),"; להוסיף עבודת אוצר מילים","")&amp;IF($Z490="אינה מפותחת","; דגש על הבעה בכתב","")&amp;IF($K490&lt;&gt;"תקין","; נדרש לעבוד על ההנגנה","")&amp;IF($AK490&lt;&gt;"","; "&amp;$AK490,""),3,400))</f>
        <v/>
      </c>
      <c r="AE490" s="32">
        <f>IF($F490="","",IF($F490="תחילת שנה",1,IF($F490="מחצית שנה",2,3)))</f>
        <v/>
      </c>
      <c r="AF490" s="32">
        <f>IF(OR($B490="",$AC490="",$A490="",$F490=""),"",$B490&amp;"|"&amp;$A490&amp;"|"&amp;$F490&amp;"|"&amp;$AC490&amp;"|"&amp;COUNTIFS($B$6:$B490,$B490,$A$6:$A490,$A490,$F$6:$F490,$F490,$AC$6:$AC490,$AC490))</f>
        <v/>
      </c>
      <c r="AG490" s="32">
        <f>IF($C490="","",$C490&amp;"|"&amp;COUNTIFS($C$6:$C490,$C490))</f>
        <v/>
      </c>
      <c r="AH490" s="32">
        <f>IF(OR($C490="",$A490="",$AE490=""),"",$C490&amp;"|"&amp;$A490&amp;"|"&amp;$AE490)</f>
        <v/>
      </c>
      <c r="AI490" s="32">
        <f>IF(OR($C490="",$AE490="",$AE490=1),"",IFERROR(INDEX($AC$6:$AC$1505,MATCH($C490&amp;"|"&amp;$A490&amp;"|"&amp;($AE490-1),$AH$6:$AH$1505,0)),""))</f>
        <v/>
      </c>
      <c r="AJ490" s="32">
        <f>IF(OR($AI490="",$AC490=""),"",IF($AI490=$AC490,"ללא שינוי","מ-"&amp;$AI490&amp;" ל-"&amp;$AC490))</f>
        <v/>
      </c>
      <c r="AK490" s="67" t="n"/>
    </row>
    <row r="491" ht="15.75" customHeight="1" s="58">
      <c r="A491" s="65" t="n"/>
      <c r="B491" s="65" t="n"/>
      <c r="C491" s="66" t="n"/>
      <c r="D491" s="66" t="n"/>
      <c r="E491" s="65" t="n"/>
      <c r="F491" s="65" t="n"/>
      <c r="G491" s="65" t="n"/>
      <c r="H491" s="65" t="n"/>
      <c r="I491" s="65" t="n"/>
      <c r="J491" s="65" t="n"/>
      <c r="K491" s="65" t="n"/>
      <c r="L491" s="65" t="n"/>
      <c r="M491" s="65" t="n"/>
      <c r="N491" s="65" t="n"/>
      <c r="O491" s="65" t="n"/>
      <c r="P491" s="65" t="n"/>
      <c r="Q491" s="65" t="n"/>
      <c r="R491" s="65" t="n"/>
      <c r="S491" s="65" t="n"/>
      <c r="T491" s="65" t="n"/>
      <c r="U491" s="65" t="n"/>
      <c r="V491" s="65" t="n"/>
      <c r="W491" s="65" t="n"/>
      <c r="X491" s="65" t="n"/>
      <c r="Y491" s="32">
        <f>IF($C491="","",IF(COUNTA($I491:$K491)&lt;3,"— חסרים נתונים",IF(AND($I491="תקין",$J491="תקין",$K491="תקין"),"רהוטה",IF(AND($I491="תקין",$J491="תקין"),"מדויקת ורציפה","אינה מדויקת או מקוטעת"))))</f>
        <v/>
      </c>
      <c r="Z491" s="32">
        <f>IF($C491="","",IF(COUNTA($U491:$W491)&lt;3,"",IF(AND($U491="מפותח",$V491="מפותח",$W491="מפותחת"),"מפותחת",IF((--($U491="דל"))+(--($V491="אינו מפותח"))+(--($W491="דלה"))&gt;=2,"אינה מפותחת","חלקית"))))</f>
        <v/>
      </c>
      <c r="AA491" s="32">
        <f>IF($C491="","",IF(COUNTA($M491,$N491,$O491)&lt;3,"— חסרים נתונים",IF(OR($M491="נמוכה",(--($M491&lt;&gt;"תקינה"))+(--($N491&lt;&gt;"תקין"))+(--($O491&lt;&gt;"תקינה"))&gt;=2),"ניכרת","אינה ניכרת")))</f>
        <v/>
      </c>
      <c r="AB491" s="32">
        <f>IF(OR($C491="",$Y491="",$AA491="",LEFT($Y491,1)="—",LEFT($AA491,1)="—"),"",IF($Z491="","— נדרשת הערכת כתיבה",IF($L491="","— חסרה הבנת הנקרא",IF($Y491="אינה מדויקת או מקוטעת",IF($AA491="ניכרת","מיקוד בשטף הקריאה ובכישורי שפה","מיקוד בשטף קריאה"),IF($AA491="ניכרת","מיקוד בכישורי שפה",IF(AND($L491="תקינה",$Z491="מפותחת"),"קוראים וכותבים מיומנים","מיקוד בהבנה והבעה"))))))</f>
        <v/>
      </c>
      <c r="AC491" s="32">
        <f>IF(OR($AB491="",LEFT($AB491,1)="—"),"",IF(OR($AB491="מיקוד בשטף קריאה",$AB491="מיקוד בשטף הקריאה ובכישורי שפה"),"רמה א'",IF($AB491="קוראים וכותבים מיומנים","רמה ג'","רמה ב'")))</f>
        <v/>
      </c>
      <c r="AD491" s="32">
        <f>IF($AC491="","",MID(IF(AND($AC491="רמה א'",$AA491="ניכרת"),"; להוסיף עבודת אוצר מילים","")&amp;IF($Z491="אינה מפותחת","; דגש על הבעה בכתב","")&amp;IF($K491&lt;&gt;"תקין","; נדרש לעבוד על ההנגנה","")&amp;IF($AK491&lt;&gt;"","; "&amp;$AK491,""),3,400))</f>
        <v/>
      </c>
      <c r="AE491" s="32">
        <f>IF($F491="","",IF($F491="תחילת שנה",1,IF($F491="מחצית שנה",2,3)))</f>
        <v/>
      </c>
      <c r="AF491" s="32">
        <f>IF(OR($B491="",$AC491="",$A491="",$F491=""),"",$B491&amp;"|"&amp;$A491&amp;"|"&amp;$F491&amp;"|"&amp;$AC491&amp;"|"&amp;COUNTIFS($B$6:$B491,$B491,$A$6:$A491,$A491,$F$6:$F491,$F491,$AC$6:$AC491,$AC491))</f>
        <v/>
      </c>
      <c r="AG491" s="32">
        <f>IF($C491="","",$C491&amp;"|"&amp;COUNTIFS($C$6:$C491,$C491))</f>
        <v/>
      </c>
      <c r="AH491" s="32">
        <f>IF(OR($C491="",$A491="",$AE491=""),"",$C491&amp;"|"&amp;$A491&amp;"|"&amp;$AE491)</f>
        <v/>
      </c>
      <c r="AI491" s="32">
        <f>IF(OR($C491="",$AE491="",$AE491=1),"",IFERROR(INDEX($AC$6:$AC$1505,MATCH($C491&amp;"|"&amp;$A491&amp;"|"&amp;($AE491-1),$AH$6:$AH$1505,0)),""))</f>
        <v/>
      </c>
      <c r="AJ491" s="32">
        <f>IF(OR($AI491="",$AC491=""),"",IF($AI491=$AC491,"ללא שינוי","מ-"&amp;$AI491&amp;" ל-"&amp;$AC491))</f>
        <v/>
      </c>
      <c r="AK491" s="67" t="n"/>
    </row>
    <row r="492" ht="15.75" customHeight="1" s="58">
      <c r="A492" s="65" t="n"/>
      <c r="B492" s="65" t="n"/>
      <c r="C492" s="66" t="n"/>
      <c r="D492" s="66" t="n"/>
      <c r="E492" s="65" t="n"/>
      <c r="F492" s="65" t="n"/>
      <c r="G492" s="65" t="n"/>
      <c r="H492" s="65" t="n"/>
      <c r="I492" s="65" t="n"/>
      <c r="J492" s="65" t="n"/>
      <c r="K492" s="65" t="n"/>
      <c r="L492" s="65" t="n"/>
      <c r="M492" s="65" t="n"/>
      <c r="N492" s="65" t="n"/>
      <c r="O492" s="65" t="n"/>
      <c r="P492" s="65" t="n"/>
      <c r="Q492" s="65" t="n"/>
      <c r="R492" s="65" t="n"/>
      <c r="S492" s="65" t="n"/>
      <c r="T492" s="65" t="n"/>
      <c r="U492" s="65" t="n"/>
      <c r="V492" s="65" t="n"/>
      <c r="W492" s="65" t="n"/>
      <c r="X492" s="65" t="n"/>
      <c r="Y492" s="32">
        <f>IF($C492="","",IF(COUNTA($I492:$K492)&lt;3,"— חסרים נתונים",IF(AND($I492="תקין",$J492="תקין",$K492="תקין"),"רהוטה",IF(AND($I492="תקין",$J492="תקין"),"מדויקת ורציפה","אינה מדויקת או מקוטעת"))))</f>
        <v/>
      </c>
      <c r="Z492" s="32">
        <f>IF($C492="","",IF(COUNTA($U492:$W492)&lt;3,"",IF(AND($U492="מפותח",$V492="מפותח",$W492="מפותחת"),"מפותחת",IF((--($U492="דל"))+(--($V492="אינו מפותח"))+(--($W492="דלה"))&gt;=2,"אינה מפותחת","חלקית"))))</f>
        <v/>
      </c>
      <c r="AA492" s="32">
        <f>IF($C492="","",IF(COUNTA($M492,$N492,$O492)&lt;3,"— חסרים נתונים",IF(OR($M492="נמוכה",(--($M492&lt;&gt;"תקינה"))+(--($N492&lt;&gt;"תקין"))+(--($O492&lt;&gt;"תקינה"))&gt;=2),"ניכרת","אינה ניכרת")))</f>
        <v/>
      </c>
      <c r="AB492" s="32">
        <f>IF(OR($C492="",$Y492="",$AA492="",LEFT($Y492,1)="—",LEFT($AA492,1)="—"),"",IF($Z492="","— נדרשת הערכת כתיבה",IF($L492="","— חסרה הבנת הנקרא",IF($Y492="אינה מדויקת או מקוטעת",IF($AA492="ניכרת","מיקוד בשטף הקריאה ובכישורי שפה","מיקוד בשטף קריאה"),IF($AA492="ניכרת","מיקוד בכישורי שפה",IF(AND($L492="תקינה",$Z492="מפותחת"),"קוראים וכותבים מיומנים","מיקוד בהבנה והבעה"))))))</f>
        <v/>
      </c>
      <c r="AC492" s="32">
        <f>IF(OR($AB492="",LEFT($AB492,1)="—"),"",IF(OR($AB492="מיקוד בשטף קריאה",$AB492="מיקוד בשטף הקריאה ובכישורי שפה"),"רמה א'",IF($AB492="קוראים וכותבים מיומנים","רמה ג'","רמה ב'")))</f>
        <v/>
      </c>
      <c r="AD492" s="32">
        <f>IF($AC492="","",MID(IF(AND($AC492="רמה א'",$AA492="ניכרת"),"; להוסיף עבודת אוצר מילים","")&amp;IF($Z492="אינה מפותחת","; דגש על הבעה בכתב","")&amp;IF($K492&lt;&gt;"תקין","; נדרש לעבוד על ההנגנה","")&amp;IF($AK492&lt;&gt;"","; "&amp;$AK492,""),3,400))</f>
        <v/>
      </c>
      <c r="AE492" s="32">
        <f>IF($F492="","",IF($F492="תחילת שנה",1,IF($F492="מחצית שנה",2,3)))</f>
        <v/>
      </c>
      <c r="AF492" s="32">
        <f>IF(OR($B492="",$AC492="",$A492="",$F492=""),"",$B492&amp;"|"&amp;$A492&amp;"|"&amp;$F492&amp;"|"&amp;$AC492&amp;"|"&amp;COUNTIFS($B$6:$B492,$B492,$A$6:$A492,$A492,$F$6:$F492,$F492,$AC$6:$AC492,$AC492))</f>
        <v/>
      </c>
      <c r="AG492" s="32">
        <f>IF($C492="","",$C492&amp;"|"&amp;COUNTIFS($C$6:$C492,$C492))</f>
        <v/>
      </c>
      <c r="AH492" s="32">
        <f>IF(OR($C492="",$A492="",$AE492=""),"",$C492&amp;"|"&amp;$A492&amp;"|"&amp;$AE492)</f>
        <v/>
      </c>
      <c r="AI492" s="32">
        <f>IF(OR($C492="",$AE492="",$AE492=1),"",IFERROR(INDEX($AC$6:$AC$1505,MATCH($C492&amp;"|"&amp;$A492&amp;"|"&amp;($AE492-1),$AH$6:$AH$1505,0)),""))</f>
        <v/>
      </c>
      <c r="AJ492" s="32">
        <f>IF(OR($AI492="",$AC492=""),"",IF($AI492=$AC492,"ללא שינוי","מ-"&amp;$AI492&amp;" ל-"&amp;$AC492))</f>
        <v/>
      </c>
      <c r="AK492" s="67" t="n"/>
    </row>
    <row r="493" ht="15.75" customHeight="1" s="58">
      <c r="A493" s="65" t="n"/>
      <c r="B493" s="65" t="n"/>
      <c r="C493" s="66" t="n"/>
      <c r="D493" s="66" t="n"/>
      <c r="E493" s="65" t="n"/>
      <c r="F493" s="65" t="n"/>
      <c r="G493" s="65" t="n"/>
      <c r="H493" s="65" t="n"/>
      <c r="I493" s="65" t="n"/>
      <c r="J493" s="65" t="n"/>
      <c r="K493" s="65" t="n"/>
      <c r="L493" s="65" t="n"/>
      <c r="M493" s="65" t="n"/>
      <c r="N493" s="65" t="n"/>
      <c r="O493" s="65" t="n"/>
      <c r="P493" s="65" t="n"/>
      <c r="Q493" s="65" t="n"/>
      <c r="R493" s="65" t="n"/>
      <c r="S493" s="65" t="n"/>
      <c r="T493" s="65" t="n"/>
      <c r="U493" s="65" t="n"/>
      <c r="V493" s="65" t="n"/>
      <c r="W493" s="65" t="n"/>
      <c r="X493" s="65" t="n"/>
      <c r="Y493" s="32">
        <f>IF($C493="","",IF(COUNTA($I493:$K493)&lt;3,"— חסרים נתונים",IF(AND($I493="תקין",$J493="תקין",$K493="תקין"),"רהוטה",IF(AND($I493="תקין",$J493="תקין"),"מדויקת ורציפה","אינה מדויקת או מקוטעת"))))</f>
        <v/>
      </c>
      <c r="Z493" s="32">
        <f>IF($C493="","",IF(COUNTA($U493:$W493)&lt;3,"",IF(AND($U493="מפותח",$V493="מפותח",$W493="מפותחת"),"מפותחת",IF((--($U493="דל"))+(--($V493="אינו מפותח"))+(--($W493="דלה"))&gt;=2,"אינה מפותחת","חלקית"))))</f>
        <v/>
      </c>
      <c r="AA493" s="32">
        <f>IF($C493="","",IF(COUNTA($M493,$N493,$O493)&lt;3,"— חסרים נתונים",IF(OR($M493="נמוכה",(--($M493&lt;&gt;"תקינה"))+(--($N493&lt;&gt;"תקין"))+(--($O493&lt;&gt;"תקינה"))&gt;=2),"ניכרת","אינה ניכרת")))</f>
        <v/>
      </c>
      <c r="AB493" s="32">
        <f>IF(OR($C493="",$Y493="",$AA493="",LEFT($Y493,1)="—",LEFT($AA493,1)="—"),"",IF($Z493="","— נדרשת הערכת כתיבה",IF($L493="","— חסרה הבנת הנקרא",IF($Y493="אינה מדויקת או מקוטעת",IF($AA493="ניכרת","מיקוד בשטף הקריאה ובכישורי שפה","מיקוד בשטף קריאה"),IF($AA493="ניכרת","מיקוד בכישורי שפה",IF(AND($L493="תקינה",$Z493="מפותחת"),"קוראים וכותבים מיומנים","מיקוד בהבנה והבעה"))))))</f>
        <v/>
      </c>
      <c r="AC493" s="32">
        <f>IF(OR($AB493="",LEFT($AB493,1)="—"),"",IF(OR($AB493="מיקוד בשטף קריאה",$AB493="מיקוד בשטף הקריאה ובכישורי שפה"),"רמה א'",IF($AB493="קוראים וכותבים מיומנים","רמה ג'","רמה ב'")))</f>
        <v/>
      </c>
      <c r="AD493" s="32">
        <f>IF($AC493="","",MID(IF(AND($AC493="רמה א'",$AA493="ניכרת"),"; להוסיף עבודת אוצר מילים","")&amp;IF($Z493="אינה מפותחת","; דגש על הבעה בכתב","")&amp;IF($K493&lt;&gt;"תקין","; נדרש לעבוד על ההנגנה","")&amp;IF($AK493&lt;&gt;"","; "&amp;$AK493,""),3,400))</f>
        <v/>
      </c>
      <c r="AE493" s="32">
        <f>IF($F493="","",IF($F493="תחילת שנה",1,IF($F493="מחצית שנה",2,3)))</f>
        <v/>
      </c>
      <c r="AF493" s="32">
        <f>IF(OR($B493="",$AC493="",$A493="",$F493=""),"",$B493&amp;"|"&amp;$A493&amp;"|"&amp;$F493&amp;"|"&amp;$AC493&amp;"|"&amp;COUNTIFS($B$6:$B493,$B493,$A$6:$A493,$A493,$F$6:$F493,$F493,$AC$6:$AC493,$AC493))</f>
        <v/>
      </c>
      <c r="AG493" s="32">
        <f>IF($C493="","",$C493&amp;"|"&amp;COUNTIFS($C$6:$C493,$C493))</f>
        <v/>
      </c>
      <c r="AH493" s="32">
        <f>IF(OR($C493="",$A493="",$AE493=""),"",$C493&amp;"|"&amp;$A493&amp;"|"&amp;$AE493)</f>
        <v/>
      </c>
      <c r="AI493" s="32">
        <f>IF(OR($C493="",$AE493="",$AE493=1),"",IFERROR(INDEX($AC$6:$AC$1505,MATCH($C493&amp;"|"&amp;$A493&amp;"|"&amp;($AE493-1),$AH$6:$AH$1505,0)),""))</f>
        <v/>
      </c>
      <c r="AJ493" s="32">
        <f>IF(OR($AI493="",$AC493=""),"",IF($AI493=$AC493,"ללא שינוי","מ-"&amp;$AI493&amp;" ל-"&amp;$AC493))</f>
        <v/>
      </c>
      <c r="AK493" s="67" t="n"/>
    </row>
    <row r="494" ht="15.75" customHeight="1" s="58">
      <c r="A494" s="65" t="n"/>
      <c r="B494" s="65" t="n"/>
      <c r="C494" s="66" t="n"/>
      <c r="D494" s="66" t="n"/>
      <c r="E494" s="65" t="n"/>
      <c r="F494" s="65" t="n"/>
      <c r="G494" s="65" t="n"/>
      <c r="H494" s="65" t="n"/>
      <c r="I494" s="65" t="n"/>
      <c r="J494" s="65" t="n"/>
      <c r="K494" s="65" t="n"/>
      <c r="L494" s="65" t="n"/>
      <c r="M494" s="65" t="n"/>
      <c r="N494" s="65" t="n"/>
      <c r="O494" s="65" t="n"/>
      <c r="P494" s="65" t="n"/>
      <c r="Q494" s="65" t="n"/>
      <c r="R494" s="65" t="n"/>
      <c r="S494" s="65" t="n"/>
      <c r="T494" s="65" t="n"/>
      <c r="U494" s="65" t="n"/>
      <c r="V494" s="65" t="n"/>
      <c r="W494" s="65" t="n"/>
      <c r="X494" s="65" t="n"/>
      <c r="Y494" s="32">
        <f>IF($C494="","",IF(COUNTA($I494:$K494)&lt;3,"— חסרים נתונים",IF(AND($I494="תקין",$J494="תקין",$K494="תקין"),"רהוטה",IF(AND($I494="תקין",$J494="תקין"),"מדויקת ורציפה","אינה מדויקת או מקוטעת"))))</f>
        <v/>
      </c>
      <c r="Z494" s="32">
        <f>IF($C494="","",IF(COUNTA($U494:$W494)&lt;3,"",IF(AND($U494="מפותח",$V494="מפותח",$W494="מפותחת"),"מפותחת",IF((--($U494="דל"))+(--($V494="אינו מפותח"))+(--($W494="דלה"))&gt;=2,"אינה מפותחת","חלקית"))))</f>
        <v/>
      </c>
      <c r="AA494" s="32">
        <f>IF($C494="","",IF(COUNTA($M494,$N494,$O494)&lt;3,"— חסרים נתונים",IF(OR($M494="נמוכה",(--($M494&lt;&gt;"תקינה"))+(--($N494&lt;&gt;"תקין"))+(--($O494&lt;&gt;"תקינה"))&gt;=2),"ניכרת","אינה ניכרת")))</f>
        <v/>
      </c>
      <c r="AB494" s="32">
        <f>IF(OR($C494="",$Y494="",$AA494="",LEFT($Y494,1)="—",LEFT($AA494,1)="—"),"",IF($Z494="","— נדרשת הערכת כתיבה",IF($L494="","— חסרה הבנת הנקרא",IF($Y494="אינה מדויקת או מקוטעת",IF($AA494="ניכרת","מיקוד בשטף הקריאה ובכישורי שפה","מיקוד בשטף קריאה"),IF($AA494="ניכרת","מיקוד בכישורי שפה",IF(AND($L494="תקינה",$Z494="מפותחת"),"קוראים וכותבים מיומנים","מיקוד בהבנה והבעה"))))))</f>
        <v/>
      </c>
      <c r="AC494" s="32">
        <f>IF(OR($AB494="",LEFT($AB494,1)="—"),"",IF(OR($AB494="מיקוד בשטף קריאה",$AB494="מיקוד בשטף הקריאה ובכישורי שפה"),"רמה א'",IF($AB494="קוראים וכותבים מיומנים","רמה ג'","רמה ב'")))</f>
        <v/>
      </c>
      <c r="AD494" s="32">
        <f>IF($AC494="","",MID(IF(AND($AC494="רמה א'",$AA494="ניכרת"),"; להוסיף עבודת אוצר מילים","")&amp;IF($Z494="אינה מפותחת","; דגש על הבעה בכתב","")&amp;IF($K494&lt;&gt;"תקין","; נדרש לעבוד על ההנגנה","")&amp;IF($AK494&lt;&gt;"","; "&amp;$AK494,""),3,400))</f>
        <v/>
      </c>
      <c r="AE494" s="32">
        <f>IF($F494="","",IF($F494="תחילת שנה",1,IF($F494="מחצית שנה",2,3)))</f>
        <v/>
      </c>
      <c r="AF494" s="32">
        <f>IF(OR($B494="",$AC494="",$A494="",$F494=""),"",$B494&amp;"|"&amp;$A494&amp;"|"&amp;$F494&amp;"|"&amp;$AC494&amp;"|"&amp;COUNTIFS($B$6:$B494,$B494,$A$6:$A494,$A494,$F$6:$F494,$F494,$AC$6:$AC494,$AC494))</f>
        <v/>
      </c>
      <c r="AG494" s="32">
        <f>IF($C494="","",$C494&amp;"|"&amp;COUNTIFS($C$6:$C494,$C494))</f>
        <v/>
      </c>
      <c r="AH494" s="32">
        <f>IF(OR($C494="",$A494="",$AE494=""),"",$C494&amp;"|"&amp;$A494&amp;"|"&amp;$AE494)</f>
        <v/>
      </c>
      <c r="AI494" s="32">
        <f>IF(OR($C494="",$AE494="",$AE494=1),"",IFERROR(INDEX($AC$6:$AC$1505,MATCH($C494&amp;"|"&amp;$A494&amp;"|"&amp;($AE494-1),$AH$6:$AH$1505,0)),""))</f>
        <v/>
      </c>
      <c r="AJ494" s="32">
        <f>IF(OR($AI494="",$AC494=""),"",IF($AI494=$AC494,"ללא שינוי","מ-"&amp;$AI494&amp;" ל-"&amp;$AC494))</f>
        <v/>
      </c>
      <c r="AK494" s="67" t="n"/>
    </row>
    <row r="495" ht="15.75" customHeight="1" s="58">
      <c r="A495" s="65" t="n"/>
      <c r="B495" s="65" t="n"/>
      <c r="C495" s="66" t="n"/>
      <c r="D495" s="66" t="n"/>
      <c r="E495" s="65" t="n"/>
      <c r="F495" s="65" t="n"/>
      <c r="G495" s="65" t="n"/>
      <c r="H495" s="65" t="n"/>
      <c r="I495" s="65" t="n"/>
      <c r="J495" s="65" t="n"/>
      <c r="K495" s="65" t="n"/>
      <c r="L495" s="65" t="n"/>
      <c r="M495" s="65" t="n"/>
      <c r="N495" s="65" t="n"/>
      <c r="O495" s="65" t="n"/>
      <c r="P495" s="65" t="n"/>
      <c r="Q495" s="65" t="n"/>
      <c r="R495" s="65" t="n"/>
      <c r="S495" s="65" t="n"/>
      <c r="T495" s="65" t="n"/>
      <c r="U495" s="65" t="n"/>
      <c r="V495" s="65" t="n"/>
      <c r="W495" s="65" t="n"/>
      <c r="X495" s="65" t="n"/>
      <c r="Y495" s="32">
        <f>IF($C495="","",IF(COUNTA($I495:$K495)&lt;3,"— חסרים נתונים",IF(AND($I495="תקין",$J495="תקין",$K495="תקין"),"רהוטה",IF(AND($I495="תקין",$J495="תקין"),"מדויקת ורציפה","אינה מדויקת או מקוטעת"))))</f>
        <v/>
      </c>
      <c r="Z495" s="32">
        <f>IF($C495="","",IF(COUNTA($U495:$W495)&lt;3,"",IF(AND($U495="מפותח",$V495="מפותח",$W495="מפותחת"),"מפותחת",IF((--($U495="דל"))+(--($V495="אינו מפותח"))+(--($W495="דלה"))&gt;=2,"אינה מפותחת","חלקית"))))</f>
        <v/>
      </c>
      <c r="AA495" s="32">
        <f>IF($C495="","",IF(COUNTA($M495,$N495,$O495)&lt;3,"— חסרים נתונים",IF(OR($M495="נמוכה",(--($M495&lt;&gt;"תקינה"))+(--($N495&lt;&gt;"תקין"))+(--($O495&lt;&gt;"תקינה"))&gt;=2),"ניכרת","אינה ניכרת")))</f>
        <v/>
      </c>
      <c r="AB495" s="32">
        <f>IF(OR($C495="",$Y495="",$AA495="",LEFT($Y495,1)="—",LEFT($AA495,1)="—"),"",IF($Z495="","— נדרשת הערכת כתיבה",IF($L495="","— חסרה הבנת הנקרא",IF($Y495="אינה מדויקת או מקוטעת",IF($AA495="ניכרת","מיקוד בשטף הקריאה ובכישורי שפה","מיקוד בשטף קריאה"),IF($AA495="ניכרת","מיקוד בכישורי שפה",IF(AND($L495="תקינה",$Z495="מפותחת"),"קוראים וכותבים מיומנים","מיקוד בהבנה והבעה"))))))</f>
        <v/>
      </c>
      <c r="AC495" s="32">
        <f>IF(OR($AB495="",LEFT($AB495,1)="—"),"",IF(OR($AB495="מיקוד בשטף קריאה",$AB495="מיקוד בשטף הקריאה ובכישורי שפה"),"רמה א'",IF($AB495="קוראים וכותבים מיומנים","רמה ג'","רמה ב'")))</f>
        <v/>
      </c>
      <c r="AD495" s="32">
        <f>IF($AC495="","",MID(IF(AND($AC495="רמה א'",$AA495="ניכרת"),"; להוסיף עבודת אוצר מילים","")&amp;IF($Z495="אינה מפותחת","; דגש על הבעה בכתב","")&amp;IF($K495&lt;&gt;"תקין","; נדרש לעבוד על ההנגנה","")&amp;IF($AK495&lt;&gt;"","; "&amp;$AK495,""),3,400))</f>
        <v/>
      </c>
      <c r="AE495" s="32">
        <f>IF($F495="","",IF($F495="תחילת שנה",1,IF($F495="מחצית שנה",2,3)))</f>
        <v/>
      </c>
      <c r="AF495" s="32">
        <f>IF(OR($B495="",$AC495="",$A495="",$F495=""),"",$B495&amp;"|"&amp;$A495&amp;"|"&amp;$F495&amp;"|"&amp;$AC495&amp;"|"&amp;COUNTIFS($B$6:$B495,$B495,$A$6:$A495,$A495,$F$6:$F495,$F495,$AC$6:$AC495,$AC495))</f>
        <v/>
      </c>
      <c r="AG495" s="32">
        <f>IF($C495="","",$C495&amp;"|"&amp;COUNTIFS($C$6:$C495,$C495))</f>
        <v/>
      </c>
      <c r="AH495" s="32">
        <f>IF(OR($C495="",$A495="",$AE495=""),"",$C495&amp;"|"&amp;$A495&amp;"|"&amp;$AE495)</f>
        <v/>
      </c>
      <c r="AI495" s="32">
        <f>IF(OR($C495="",$AE495="",$AE495=1),"",IFERROR(INDEX($AC$6:$AC$1505,MATCH($C495&amp;"|"&amp;$A495&amp;"|"&amp;($AE495-1),$AH$6:$AH$1505,0)),""))</f>
        <v/>
      </c>
      <c r="AJ495" s="32">
        <f>IF(OR($AI495="",$AC495=""),"",IF($AI495=$AC495,"ללא שינוי","מ-"&amp;$AI495&amp;" ל-"&amp;$AC495))</f>
        <v/>
      </c>
      <c r="AK495" s="67" t="n"/>
    </row>
    <row r="496" ht="15.75" customHeight="1" s="58">
      <c r="A496" s="65" t="n"/>
      <c r="B496" s="65" t="n"/>
      <c r="C496" s="66" t="n"/>
      <c r="D496" s="66" t="n"/>
      <c r="E496" s="65" t="n"/>
      <c r="F496" s="65" t="n"/>
      <c r="G496" s="65" t="n"/>
      <c r="H496" s="65" t="n"/>
      <c r="I496" s="65" t="n"/>
      <c r="J496" s="65" t="n"/>
      <c r="K496" s="65" t="n"/>
      <c r="L496" s="65" t="n"/>
      <c r="M496" s="65" t="n"/>
      <c r="N496" s="65" t="n"/>
      <c r="O496" s="65" t="n"/>
      <c r="P496" s="65" t="n"/>
      <c r="Q496" s="65" t="n"/>
      <c r="R496" s="65" t="n"/>
      <c r="S496" s="65" t="n"/>
      <c r="T496" s="65" t="n"/>
      <c r="U496" s="65" t="n"/>
      <c r="V496" s="65" t="n"/>
      <c r="W496" s="65" t="n"/>
      <c r="X496" s="65" t="n"/>
      <c r="Y496" s="32">
        <f>IF($C496="","",IF(COUNTA($I496:$K496)&lt;3,"— חסרים נתונים",IF(AND($I496="תקין",$J496="תקין",$K496="תקין"),"רהוטה",IF(AND($I496="תקין",$J496="תקין"),"מדויקת ורציפה","אינה מדויקת או מקוטעת"))))</f>
        <v/>
      </c>
      <c r="Z496" s="32">
        <f>IF($C496="","",IF(COUNTA($U496:$W496)&lt;3,"",IF(AND($U496="מפותח",$V496="מפותח",$W496="מפותחת"),"מפותחת",IF((--($U496="דל"))+(--($V496="אינו מפותח"))+(--($W496="דלה"))&gt;=2,"אינה מפותחת","חלקית"))))</f>
        <v/>
      </c>
      <c r="AA496" s="32">
        <f>IF($C496="","",IF(COUNTA($M496,$N496,$O496)&lt;3,"— חסרים נתונים",IF(OR($M496="נמוכה",(--($M496&lt;&gt;"תקינה"))+(--($N496&lt;&gt;"תקין"))+(--($O496&lt;&gt;"תקינה"))&gt;=2),"ניכרת","אינה ניכרת")))</f>
        <v/>
      </c>
      <c r="AB496" s="32">
        <f>IF(OR($C496="",$Y496="",$AA496="",LEFT($Y496,1)="—",LEFT($AA496,1)="—"),"",IF($Z496="","— נדרשת הערכת כתיבה",IF($L496="","— חסרה הבנת הנקרא",IF($Y496="אינה מדויקת או מקוטעת",IF($AA496="ניכרת","מיקוד בשטף הקריאה ובכישורי שפה","מיקוד בשטף קריאה"),IF($AA496="ניכרת","מיקוד בכישורי שפה",IF(AND($L496="תקינה",$Z496="מפותחת"),"קוראים וכותבים מיומנים","מיקוד בהבנה והבעה"))))))</f>
        <v/>
      </c>
      <c r="AC496" s="32">
        <f>IF(OR($AB496="",LEFT($AB496,1)="—"),"",IF(OR($AB496="מיקוד בשטף קריאה",$AB496="מיקוד בשטף הקריאה ובכישורי שפה"),"רמה א'",IF($AB496="קוראים וכותבים מיומנים","רמה ג'","רמה ב'")))</f>
        <v/>
      </c>
      <c r="AD496" s="32">
        <f>IF($AC496="","",MID(IF(AND($AC496="רמה א'",$AA496="ניכרת"),"; להוסיף עבודת אוצר מילים","")&amp;IF($Z496="אינה מפותחת","; דגש על הבעה בכתב","")&amp;IF($K496&lt;&gt;"תקין","; נדרש לעבוד על ההנגנה","")&amp;IF($AK496&lt;&gt;"","; "&amp;$AK496,""),3,400))</f>
        <v/>
      </c>
      <c r="AE496" s="32">
        <f>IF($F496="","",IF($F496="תחילת שנה",1,IF($F496="מחצית שנה",2,3)))</f>
        <v/>
      </c>
      <c r="AF496" s="32">
        <f>IF(OR($B496="",$AC496="",$A496="",$F496=""),"",$B496&amp;"|"&amp;$A496&amp;"|"&amp;$F496&amp;"|"&amp;$AC496&amp;"|"&amp;COUNTIFS($B$6:$B496,$B496,$A$6:$A496,$A496,$F$6:$F496,$F496,$AC$6:$AC496,$AC496))</f>
        <v/>
      </c>
      <c r="AG496" s="32">
        <f>IF($C496="","",$C496&amp;"|"&amp;COUNTIFS($C$6:$C496,$C496))</f>
        <v/>
      </c>
      <c r="AH496" s="32">
        <f>IF(OR($C496="",$A496="",$AE496=""),"",$C496&amp;"|"&amp;$A496&amp;"|"&amp;$AE496)</f>
        <v/>
      </c>
      <c r="AI496" s="32">
        <f>IF(OR($C496="",$AE496="",$AE496=1),"",IFERROR(INDEX($AC$6:$AC$1505,MATCH($C496&amp;"|"&amp;$A496&amp;"|"&amp;($AE496-1),$AH$6:$AH$1505,0)),""))</f>
        <v/>
      </c>
      <c r="AJ496" s="32">
        <f>IF(OR($AI496="",$AC496=""),"",IF($AI496=$AC496,"ללא שינוי","מ-"&amp;$AI496&amp;" ל-"&amp;$AC496))</f>
        <v/>
      </c>
      <c r="AK496" s="67" t="n"/>
    </row>
    <row r="497" ht="15.75" customHeight="1" s="58">
      <c r="A497" s="65" t="n"/>
      <c r="B497" s="65" t="n"/>
      <c r="C497" s="66" t="n"/>
      <c r="D497" s="66" t="n"/>
      <c r="E497" s="65" t="n"/>
      <c r="F497" s="65" t="n"/>
      <c r="G497" s="65" t="n"/>
      <c r="H497" s="65" t="n"/>
      <c r="I497" s="65" t="n"/>
      <c r="J497" s="65" t="n"/>
      <c r="K497" s="65" t="n"/>
      <c r="L497" s="65" t="n"/>
      <c r="M497" s="65" t="n"/>
      <c r="N497" s="65" t="n"/>
      <c r="O497" s="65" t="n"/>
      <c r="P497" s="65" t="n"/>
      <c r="Q497" s="65" t="n"/>
      <c r="R497" s="65" t="n"/>
      <c r="S497" s="65" t="n"/>
      <c r="T497" s="65" t="n"/>
      <c r="U497" s="65" t="n"/>
      <c r="V497" s="65" t="n"/>
      <c r="W497" s="65" t="n"/>
      <c r="X497" s="65" t="n"/>
      <c r="Y497" s="32">
        <f>IF($C497="","",IF(COUNTA($I497:$K497)&lt;3,"— חסרים נתונים",IF(AND($I497="תקין",$J497="תקין",$K497="תקין"),"רהוטה",IF(AND($I497="תקין",$J497="תקין"),"מדויקת ורציפה","אינה מדויקת או מקוטעת"))))</f>
        <v/>
      </c>
      <c r="Z497" s="32">
        <f>IF($C497="","",IF(COUNTA($U497:$W497)&lt;3,"",IF(AND($U497="מפותח",$V497="מפותח",$W497="מפותחת"),"מפותחת",IF((--($U497="דל"))+(--($V497="אינו מפותח"))+(--($W497="דלה"))&gt;=2,"אינה מפותחת","חלקית"))))</f>
        <v/>
      </c>
      <c r="AA497" s="32">
        <f>IF($C497="","",IF(COUNTA($M497,$N497,$O497)&lt;3,"— חסרים נתונים",IF(OR($M497="נמוכה",(--($M497&lt;&gt;"תקינה"))+(--($N497&lt;&gt;"תקין"))+(--($O497&lt;&gt;"תקינה"))&gt;=2),"ניכרת","אינה ניכרת")))</f>
        <v/>
      </c>
      <c r="AB497" s="32">
        <f>IF(OR($C497="",$Y497="",$AA497="",LEFT($Y497,1)="—",LEFT($AA497,1)="—"),"",IF($Z497="","— נדרשת הערכת כתיבה",IF($L497="","— חסרה הבנת הנקרא",IF($Y497="אינה מדויקת או מקוטעת",IF($AA497="ניכרת","מיקוד בשטף הקריאה ובכישורי שפה","מיקוד בשטף קריאה"),IF($AA497="ניכרת","מיקוד בכישורי שפה",IF(AND($L497="תקינה",$Z497="מפותחת"),"קוראים וכותבים מיומנים","מיקוד בהבנה והבעה"))))))</f>
        <v/>
      </c>
      <c r="AC497" s="32">
        <f>IF(OR($AB497="",LEFT($AB497,1)="—"),"",IF(OR($AB497="מיקוד בשטף קריאה",$AB497="מיקוד בשטף הקריאה ובכישורי שפה"),"רמה א'",IF($AB497="קוראים וכותבים מיומנים","רמה ג'","רמה ב'")))</f>
        <v/>
      </c>
      <c r="AD497" s="32">
        <f>IF($AC497="","",MID(IF(AND($AC497="רמה א'",$AA497="ניכרת"),"; להוסיף עבודת אוצר מילים","")&amp;IF($Z497="אינה מפותחת","; דגש על הבעה בכתב","")&amp;IF($K497&lt;&gt;"תקין","; נדרש לעבוד על ההנגנה","")&amp;IF($AK497&lt;&gt;"","; "&amp;$AK497,""),3,400))</f>
        <v/>
      </c>
      <c r="AE497" s="32">
        <f>IF($F497="","",IF($F497="תחילת שנה",1,IF($F497="מחצית שנה",2,3)))</f>
        <v/>
      </c>
      <c r="AF497" s="32">
        <f>IF(OR($B497="",$AC497="",$A497="",$F497=""),"",$B497&amp;"|"&amp;$A497&amp;"|"&amp;$F497&amp;"|"&amp;$AC497&amp;"|"&amp;COUNTIFS($B$6:$B497,$B497,$A$6:$A497,$A497,$F$6:$F497,$F497,$AC$6:$AC497,$AC497))</f>
        <v/>
      </c>
      <c r="AG497" s="32">
        <f>IF($C497="","",$C497&amp;"|"&amp;COUNTIFS($C$6:$C497,$C497))</f>
        <v/>
      </c>
      <c r="AH497" s="32">
        <f>IF(OR($C497="",$A497="",$AE497=""),"",$C497&amp;"|"&amp;$A497&amp;"|"&amp;$AE497)</f>
        <v/>
      </c>
      <c r="AI497" s="32">
        <f>IF(OR($C497="",$AE497="",$AE497=1),"",IFERROR(INDEX($AC$6:$AC$1505,MATCH($C497&amp;"|"&amp;$A497&amp;"|"&amp;($AE497-1),$AH$6:$AH$1505,0)),""))</f>
        <v/>
      </c>
      <c r="AJ497" s="32">
        <f>IF(OR($AI497="",$AC497=""),"",IF($AI497=$AC497,"ללא שינוי","מ-"&amp;$AI497&amp;" ל-"&amp;$AC497))</f>
        <v/>
      </c>
      <c r="AK497" s="67" t="n"/>
    </row>
    <row r="498" ht="15.75" customHeight="1" s="58">
      <c r="A498" s="65" t="n"/>
      <c r="B498" s="65" t="n"/>
      <c r="C498" s="66" t="n"/>
      <c r="D498" s="66" t="n"/>
      <c r="E498" s="65" t="n"/>
      <c r="F498" s="65" t="n"/>
      <c r="G498" s="65" t="n"/>
      <c r="H498" s="65" t="n"/>
      <c r="I498" s="65" t="n"/>
      <c r="J498" s="65" t="n"/>
      <c r="K498" s="65" t="n"/>
      <c r="L498" s="65" t="n"/>
      <c r="M498" s="65" t="n"/>
      <c r="N498" s="65" t="n"/>
      <c r="O498" s="65" t="n"/>
      <c r="P498" s="65" t="n"/>
      <c r="Q498" s="65" t="n"/>
      <c r="R498" s="65" t="n"/>
      <c r="S498" s="65" t="n"/>
      <c r="T498" s="65" t="n"/>
      <c r="U498" s="65" t="n"/>
      <c r="V498" s="65" t="n"/>
      <c r="W498" s="65" t="n"/>
      <c r="X498" s="65" t="n"/>
      <c r="Y498" s="32">
        <f>IF($C498="","",IF(COUNTA($I498:$K498)&lt;3,"— חסרים נתונים",IF(AND($I498="תקין",$J498="תקין",$K498="תקין"),"רהוטה",IF(AND($I498="תקין",$J498="תקין"),"מדויקת ורציפה","אינה מדויקת או מקוטעת"))))</f>
        <v/>
      </c>
      <c r="Z498" s="32">
        <f>IF($C498="","",IF(COUNTA($U498:$W498)&lt;3,"",IF(AND($U498="מפותח",$V498="מפותח",$W498="מפותחת"),"מפותחת",IF((--($U498="דל"))+(--($V498="אינו מפותח"))+(--($W498="דלה"))&gt;=2,"אינה מפותחת","חלקית"))))</f>
        <v/>
      </c>
      <c r="AA498" s="32">
        <f>IF($C498="","",IF(COUNTA($M498,$N498,$O498)&lt;3,"— חסרים נתונים",IF(OR($M498="נמוכה",(--($M498&lt;&gt;"תקינה"))+(--($N498&lt;&gt;"תקין"))+(--($O498&lt;&gt;"תקינה"))&gt;=2),"ניכרת","אינה ניכרת")))</f>
        <v/>
      </c>
      <c r="AB498" s="32">
        <f>IF(OR($C498="",$Y498="",$AA498="",LEFT($Y498,1)="—",LEFT($AA498,1)="—"),"",IF($Z498="","— נדרשת הערכת כתיבה",IF($L498="","— חסרה הבנת הנקרא",IF($Y498="אינה מדויקת או מקוטעת",IF($AA498="ניכרת","מיקוד בשטף הקריאה ובכישורי שפה","מיקוד בשטף קריאה"),IF($AA498="ניכרת","מיקוד בכישורי שפה",IF(AND($L498="תקינה",$Z498="מפותחת"),"קוראים וכותבים מיומנים","מיקוד בהבנה והבעה"))))))</f>
        <v/>
      </c>
      <c r="AC498" s="32">
        <f>IF(OR($AB498="",LEFT($AB498,1)="—"),"",IF(OR($AB498="מיקוד בשטף קריאה",$AB498="מיקוד בשטף הקריאה ובכישורי שפה"),"רמה א'",IF($AB498="קוראים וכותבים מיומנים","רמה ג'","רמה ב'")))</f>
        <v/>
      </c>
      <c r="AD498" s="32">
        <f>IF($AC498="","",MID(IF(AND($AC498="רמה א'",$AA498="ניכרת"),"; להוסיף עבודת אוצר מילים","")&amp;IF($Z498="אינה מפותחת","; דגש על הבעה בכתב","")&amp;IF($K498&lt;&gt;"תקין","; נדרש לעבוד על ההנגנה","")&amp;IF($AK498&lt;&gt;"","; "&amp;$AK498,""),3,400))</f>
        <v/>
      </c>
      <c r="AE498" s="32">
        <f>IF($F498="","",IF($F498="תחילת שנה",1,IF($F498="מחצית שנה",2,3)))</f>
        <v/>
      </c>
      <c r="AF498" s="32">
        <f>IF(OR($B498="",$AC498="",$A498="",$F498=""),"",$B498&amp;"|"&amp;$A498&amp;"|"&amp;$F498&amp;"|"&amp;$AC498&amp;"|"&amp;COUNTIFS($B$6:$B498,$B498,$A$6:$A498,$A498,$F$6:$F498,$F498,$AC$6:$AC498,$AC498))</f>
        <v/>
      </c>
      <c r="AG498" s="32">
        <f>IF($C498="","",$C498&amp;"|"&amp;COUNTIFS($C$6:$C498,$C498))</f>
        <v/>
      </c>
      <c r="AH498" s="32">
        <f>IF(OR($C498="",$A498="",$AE498=""),"",$C498&amp;"|"&amp;$A498&amp;"|"&amp;$AE498)</f>
        <v/>
      </c>
      <c r="AI498" s="32">
        <f>IF(OR($C498="",$AE498="",$AE498=1),"",IFERROR(INDEX($AC$6:$AC$1505,MATCH($C498&amp;"|"&amp;$A498&amp;"|"&amp;($AE498-1),$AH$6:$AH$1505,0)),""))</f>
        <v/>
      </c>
      <c r="AJ498" s="32">
        <f>IF(OR($AI498="",$AC498=""),"",IF($AI498=$AC498,"ללא שינוי","מ-"&amp;$AI498&amp;" ל-"&amp;$AC498))</f>
        <v/>
      </c>
      <c r="AK498" s="67" t="n"/>
    </row>
    <row r="499" ht="15.75" customHeight="1" s="58">
      <c r="A499" s="65" t="n"/>
      <c r="B499" s="65" t="n"/>
      <c r="C499" s="66" t="n"/>
      <c r="D499" s="66" t="n"/>
      <c r="E499" s="65" t="n"/>
      <c r="F499" s="65" t="n"/>
      <c r="G499" s="65" t="n"/>
      <c r="H499" s="65" t="n"/>
      <c r="I499" s="65" t="n"/>
      <c r="J499" s="65" t="n"/>
      <c r="K499" s="65" t="n"/>
      <c r="L499" s="65" t="n"/>
      <c r="M499" s="65" t="n"/>
      <c r="N499" s="65" t="n"/>
      <c r="O499" s="65" t="n"/>
      <c r="P499" s="65" t="n"/>
      <c r="Q499" s="65" t="n"/>
      <c r="R499" s="65" t="n"/>
      <c r="S499" s="65" t="n"/>
      <c r="T499" s="65" t="n"/>
      <c r="U499" s="65" t="n"/>
      <c r="V499" s="65" t="n"/>
      <c r="W499" s="65" t="n"/>
      <c r="X499" s="65" t="n"/>
      <c r="Y499" s="32">
        <f>IF($C499="","",IF(COUNTA($I499:$K499)&lt;3,"— חסרים נתונים",IF(AND($I499="תקין",$J499="תקין",$K499="תקין"),"רהוטה",IF(AND($I499="תקין",$J499="תקין"),"מדויקת ורציפה","אינה מדויקת או מקוטעת"))))</f>
        <v/>
      </c>
      <c r="Z499" s="32">
        <f>IF($C499="","",IF(COUNTA($U499:$W499)&lt;3,"",IF(AND($U499="מפותח",$V499="מפותח",$W499="מפותחת"),"מפותחת",IF((--($U499="דל"))+(--($V499="אינו מפותח"))+(--($W499="דלה"))&gt;=2,"אינה מפותחת","חלקית"))))</f>
        <v/>
      </c>
      <c r="AA499" s="32">
        <f>IF($C499="","",IF(COUNTA($M499,$N499,$O499)&lt;3,"— חסרים נתונים",IF(OR($M499="נמוכה",(--($M499&lt;&gt;"תקינה"))+(--($N499&lt;&gt;"תקין"))+(--($O499&lt;&gt;"תקינה"))&gt;=2),"ניכרת","אינה ניכרת")))</f>
        <v/>
      </c>
      <c r="AB499" s="32">
        <f>IF(OR($C499="",$Y499="",$AA499="",LEFT($Y499,1)="—",LEFT($AA499,1)="—"),"",IF($Z499="","— נדרשת הערכת כתיבה",IF($L499="","— חסרה הבנת הנקרא",IF($Y499="אינה מדויקת או מקוטעת",IF($AA499="ניכרת","מיקוד בשטף הקריאה ובכישורי שפה","מיקוד בשטף קריאה"),IF($AA499="ניכרת","מיקוד בכישורי שפה",IF(AND($L499="תקינה",$Z499="מפותחת"),"קוראים וכותבים מיומנים","מיקוד בהבנה והבעה"))))))</f>
        <v/>
      </c>
      <c r="AC499" s="32">
        <f>IF(OR($AB499="",LEFT($AB499,1)="—"),"",IF(OR($AB499="מיקוד בשטף קריאה",$AB499="מיקוד בשטף הקריאה ובכישורי שפה"),"רמה א'",IF($AB499="קוראים וכותבים מיומנים","רמה ג'","רמה ב'")))</f>
        <v/>
      </c>
      <c r="AD499" s="32">
        <f>IF($AC499="","",MID(IF(AND($AC499="רמה א'",$AA499="ניכרת"),"; להוסיף עבודת אוצר מילים","")&amp;IF($Z499="אינה מפותחת","; דגש על הבעה בכתב","")&amp;IF($K499&lt;&gt;"תקין","; נדרש לעבוד על ההנגנה","")&amp;IF($AK499&lt;&gt;"","; "&amp;$AK499,""),3,400))</f>
        <v/>
      </c>
      <c r="AE499" s="32">
        <f>IF($F499="","",IF($F499="תחילת שנה",1,IF($F499="מחצית שנה",2,3)))</f>
        <v/>
      </c>
      <c r="AF499" s="32">
        <f>IF(OR($B499="",$AC499="",$A499="",$F499=""),"",$B499&amp;"|"&amp;$A499&amp;"|"&amp;$F499&amp;"|"&amp;$AC499&amp;"|"&amp;COUNTIFS($B$6:$B499,$B499,$A$6:$A499,$A499,$F$6:$F499,$F499,$AC$6:$AC499,$AC499))</f>
        <v/>
      </c>
      <c r="AG499" s="32">
        <f>IF($C499="","",$C499&amp;"|"&amp;COUNTIFS($C$6:$C499,$C499))</f>
        <v/>
      </c>
      <c r="AH499" s="32">
        <f>IF(OR($C499="",$A499="",$AE499=""),"",$C499&amp;"|"&amp;$A499&amp;"|"&amp;$AE499)</f>
        <v/>
      </c>
      <c r="AI499" s="32">
        <f>IF(OR($C499="",$AE499="",$AE499=1),"",IFERROR(INDEX($AC$6:$AC$1505,MATCH($C499&amp;"|"&amp;$A499&amp;"|"&amp;($AE499-1),$AH$6:$AH$1505,0)),""))</f>
        <v/>
      </c>
      <c r="AJ499" s="32">
        <f>IF(OR($AI499="",$AC499=""),"",IF($AI499=$AC499,"ללא שינוי","מ-"&amp;$AI499&amp;" ל-"&amp;$AC499))</f>
        <v/>
      </c>
      <c r="AK499" s="67" t="n"/>
    </row>
    <row r="500" ht="15.75" customHeight="1" s="58">
      <c r="A500" s="65" t="n"/>
      <c r="B500" s="65" t="n"/>
      <c r="C500" s="66" t="n"/>
      <c r="D500" s="66" t="n"/>
      <c r="E500" s="65" t="n"/>
      <c r="F500" s="65" t="n"/>
      <c r="G500" s="65" t="n"/>
      <c r="H500" s="65" t="n"/>
      <c r="I500" s="65" t="n"/>
      <c r="J500" s="65" t="n"/>
      <c r="K500" s="65" t="n"/>
      <c r="L500" s="65" t="n"/>
      <c r="M500" s="65" t="n"/>
      <c r="N500" s="65" t="n"/>
      <c r="O500" s="65" t="n"/>
      <c r="P500" s="65" t="n"/>
      <c r="Q500" s="65" t="n"/>
      <c r="R500" s="65" t="n"/>
      <c r="S500" s="65" t="n"/>
      <c r="T500" s="65" t="n"/>
      <c r="U500" s="65" t="n"/>
      <c r="V500" s="65" t="n"/>
      <c r="W500" s="65" t="n"/>
      <c r="X500" s="65" t="n"/>
      <c r="Y500" s="32">
        <f>IF($C500="","",IF(COUNTA($I500:$K500)&lt;3,"— חסרים נתונים",IF(AND($I500="תקין",$J500="תקין",$K500="תקין"),"רהוטה",IF(AND($I500="תקין",$J500="תקין"),"מדויקת ורציפה","אינה מדויקת או מקוטעת"))))</f>
        <v/>
      </c>
      <c r="Z500" s="32">
        <f>IF($C500="","",IF(COUNTA($U500:$W500)&lt;3,"",IF(AND($U500="מפותח",$V500="מפותח",$W500="מפותחת"),"מפותחת",IF((--($U500="דל"))+(--($V500="אינו מפותח"))+(--($W500="דלה"))&gt;=2,"אינה מפותחת","חלקית"))))</f>
        <v/>
      </c>
      <c r="AA500" s="32">
        <f>IF($C500="","",IF(COUNTA($M500,$N500,$O500)&lt;3,"— חסרים נתונים",IF(OR($M500="נמוכה",(--($M500&lt;&gt;"תקינה"))+(--($N500&lt;&gt;"תקין"))+(--($O500&lt;&gt;"תקינה"))&gt;=2),"ניכרת","אינה ניכרת")))</f>
        <v/>
      </c>
      <c r="AB500" s="32">
        <f>IF(OR($C500="",$Y500="",$AA500="",LEFT($Y500,1)="—",LEFT($AA500,1)="—"),"",IF($Z500="","— נדרשת הערכת כתיבה",IF($L500="","— חסרה הבנת הנקרא",IF($Y500="אינה מדויקת או מקוטעת",IF($AA500="ניכרת","מיקוד בשטף הקריאה ובכישורי שפה","מיקוד בשטף קריאה"),IF($AA500="ניכרת","מיקוד בכישורי שפה",IF(AND($L500="תקינה",$Z500="מפותחת"),"קוראים וכותבים מיומנים","מיקוד בהבנה והבעה"))))))</f>
        <v/>
      </c>
      <c r="AC500" s="32">
        <f>IF(OR($AB500="",LEFT($AB500,1)="—"),"",IF(OR($AB500="מיקוד בשטף קריאה",$AB500="מיקוד בשטף הקריאה ובכישורי שפה"),"רמה א'",IF($AB500="קוראים וכותבים מיומנים","רמה ג'","רמה ב'")))</f>
        <v/>
      </c>
      <c r="AD500" s="32">
        <f>IF($AC500="","",MID(IF(AND($AC500="רמה א'",$AA500="ניכרת"),"; להוסיף עבודת אוצר מילים","")&amp;IF($Z500="אינה מפותחת","; דגש על הבעה בכתב","")&amp;IF($K500&lt;&gt;"תקין","; נדרש לעבוד על ההנגנה","")&amp;IF($AK500&lt;&gt;"","; "&amp;$AK500,""),3,400))</f>
        <v/>
      </c>
      <c r="AE500" s="32">
        <f>IF($F500="","",IF($F500="תחילת שנה",1,IF($F500="מחצית שנה",2,3)))</f>
        <v/>
      </c>
      <c r="AF500" s="32">
        <f>IF(OR($B500="",$AC500="",$A500="",$F500=""),"",$B500&amp;"|"&amp;$A500&amp;"|"&amp;$F500&amp;"|"&amp;$AC500&amp;"|"&amp;COUNTIFS($B$6:$B500,$B500,$A$6:$A500,$A500,$F$6:$F500,$F500,$AC$6:$AC500,$AC500))</f>
        <v/>
      </c>
      <c r="AG500" s="32">
        <f>IF($C500="","",$C500&amp;"|"&amp;COUNTIFS($C$6:$C500,$C500))</f>
        <v/>
      </c>
      <c r="AH500" s="32">
        <f>IF(OR($C500="",$A500="",$AE500=""),"",$C500&amp;"|"&amp;$A500&amp;"|"&amp;$AE500)</f>
        <v/>
      </c>
      <c r="AI500" s="32">
        <f>IF(OR($C500="",$AE500="",$AE500=1),"",IFERROR(INDEX($AC$6:$AC$1505,MATCH($C500&amp;"|"&amp;$A500&amp;"|"&amp;($AE500-1),$AH$6:$AH$1505,0)),""))</f>
        <v/>
      </c>
      <c r="AJ500" s="32">
        <f>IF(OR($AI500="",$AC500=""),"",IF($AI500=$AC500,"ללא שינוי","מ-"&amp;$AI500&amp;" ל-"&amp;$AC500))</f>
        <v/>
      </c>
      <c r="AK500" s="67" t="n"/>
    </row>
    <row r="501" ht="15.75" customHeight="1" s="58">
      <c r="A501" s="65" t="n"/>
      <c r="B501" s="65" t="n"/>
      <c r="C501" s="66" t="n"/>
      <c r="D501" s="66" t="n"/>
      <c r="E501" s="65" t="n"/>
      <c r="F501" s="65" t="n"/>
      <c r="G501" s="65" t="n"/>
      <c r="H501" s="65" t="n"/>
      <c r="I501" s="65" t="n"/>
      <c r="J501" s="65" t="n"/>
      <c r="K501" s="65" t="n"/>
      <c r="L501" s="65" t="n"/>
      <c r="M501" s="65" t="n"/>
      <c r="N501" s="65" t="n"/>
      <c r="O501" s="65" t="n"/>
      <c r="P501" s="65" t="n"/>
      <c r="Q501" s="65" t="n"/>
      <c r="R501" s="65" t="n"/>
      <c r="S501" s="65" t="n"/>
      <c r="T501" s="65" t="n"/>
      <c r="U501" s="65" t="n"/>
      <c r="V501" s="65" t="n"/>
      <c r="W501" s="65" t="n"/>
      <c r="X501" s="65" t="n"/>
      <c r="Y501" s="32">
        <f>IF($C501="","",IF(COUNTA($I501:$K501)&lt;3,"— חסרים נתונים",IF(AND($I501="תקין",$J501="תקין",$K501="תקין"),"רהוטה",IF(AND($I501="תקין",$J501="תקין"),"מדויקת ורציפה","אינה מדויקת או מקוטעת"))))</f>
        <v/>
      </c>
      <c r="Z501" s="32">
        <f>IF($C501="","",IF(COUNTA($U501:$W501)&lt;3,"",IF(AND($U501="מפותח",$V501="מפותח",$W501="מפותחת"),"מפותחת",IF((--($U501="דל"))+(--($V501="אינו מפותח"))+(--($W501="דלה"))&gt;=2,"אינה מפותחת","חלקית"))))</f>
        <v/>
      </c>
      <c r="AA501" s="32">
        <f>IF($C501="","",IF(COUNTA($M501,$N501,$O501)&lt;3,"— חסרים נתונים",IF(OR($M501="נמוכה",(--($M501&lt;&gt;"תקינה"))+(--($N501&lt;&gt;"תקין"))+(--($O501&lt;&gt;"תקינה"))&gt;=2),"ניכרת","אינה ניכרת")))</f>
        <v/>
      </c>
      <c r="AB501" s="32">
        <f>IF(OR($C501="",$Y501="",$AA501="",LEFT($Y501,1)="—",LEFT($AA501,1)="—"),"",IF($Z501="","— נדרשת הערכת כתיבה",IF($L501="","— חסרה הבנת הנקרא",IF($Y501="אינה מדויקת או מקוטעת",IF($AA501="ניכרת","מיקוד בשטף הקריאה ובכישורי שפה","מיקוד בשטף קריאה"),IF($AA501="ניכרת","מיקוד בכישורי שפה",IF(AND($L501="תקינה",$Z501="מפותחת"),"קוראים וכותבים מיומנים","מיקוד בהבנה והבעה"))))))</f>
        <v/>
      </c>
      <c r="AC501" s="32">
        <f>IF(OR($AB501="",LEFT($AB501,1)="—"),"",IF(OR($AB501="מיקוד בשטף קריאה",$AB501="מיקוד בשטף הקריאה ובכישורי שפה"),"רמה א'",IF($AB501="קוראים וכותבים מיומנים","רמה ג'","רמה ב'")))</f>
        <v/>
      </c>
      <c r="AD501" s="32">
        <f>IF($AC501="","",MID(IF(AND($AC501="רמה א'",$AA501="ניכרת"),"; להוסיף עבודת אוצר מילים","")&amp;IF($Z501="אינה מפותחת","; דגש על הבעה בכתב","")&amp;IF($K501&lt;&gt;"תקין","; נדרש לעבוד על ההנגנה","")&amp;IF($AK501&lt;&gt;"","; "&amp;$AK501,""),3,400))</f>
        <v/>
      </c>
      <c r="AE501" s="32">
        <f>IF($F501="","",IF($F501="תחילת שנה",1,IF($F501="מחצית שנה",2,3)))</f>
        <v/>
      </c>
      <c r="AF501" s="32">
        <f>IF(OR($B501="",$AC501="",$A501="",$F501=""),"",$B501&amp;"|"&amp;$A501&amp;"|"&amp;$F501&amp;"|"&amp;$AC501&amp;"|"&amp;COUNTIFS($B$6:$B501,$B501,$A$6:$A501,$A501,$F$6:$F501,$F501,$AC$6:$AC501,$AC501))</f>
        <v/>
      </c>
      <c r="AG501" s="32">
        <f>IF($C501="","",$C501&amp;"|"&amp;COUNTIFS($C$6:$C501,$C501))</f>
        <v/>
      </c>
      <c r="AH501" s="32">
        <f>IF(OR($C501="",$A501="",$AE501=""),"",$C501&amp;"|"&amp;$A501&amp;"|"&amp;$AE501)</f>
        <v/>
      </c>
      <c r="AI501" s="32">
        <f>IF(OR($C501="",$AE501="",$AE501=1),"",IFERROR(INDEX($AC$6:$AC$1505,MATCH($C501&amp;"|"&amp;$A501&amp;"|"&amp;($AE501-1),$AH$6:$AH$1505,0)),""))</f>
        <v/>
      </c>
      <c r="AJ501" s="32">
        <f>IF(OR($AI501="",$AC501=""),"",IF($AI501=$AC501,"ללא שינוי","מ-"&amp;$AI501&amp;" ל-"&amp;$AC501))</f>
        <v/>
      </c>
      <c r="AK501" s="67" t="n"/>
    </row>
    <row r="502" ht="15.75" customHeight="1" s="58">
      <c r="A502" s="65" t="n"/>
      <c r="B502" s="65" t="n"/>
      <c r="C502" s="66" t="n"/>
      <c r="D502" s="66" t="n"/>
      <c r="E502" s="65" t="n"/>
      <c r="F502" s="65" t="n"/>
      <c r="G502" s="65" t="n"/>
      <c r="H502" s="65" t="n"/>
      <c r="I502" s="65" t="n"/>
      <c r="J502" s="65" t="n"/>
      <c r="K502" s="65" t="n"/>
      <c r="L502" s="65" t="n"/>
      <c r="M502" s="65" t="n"/>
      <c r="N502" s="65" t="n"/>
      <c r="O502" s="65" t="n"/>
      <c r="P502" s="65" t="n"/>
      <c r="Q502" s="65" t="n"/>
      <c r="R502" s="65" t="n"/>
      <c r="S502" s="65" t="n"/>
      <c r="T502" s="65" t="n"/>
      <c r="U502" s="65" t="n"/>
      <c r="V502" s="65" t="n"/>
      <c r="W502" s="65" t="n"/>
      <c r="X502" s="65" t="n"/>
      <c r="Y502" s="32">
        <f>IF($C502="","",IF(COUNTA($I502:$K502)&lt;3,"— חסרים נתונים",IF(AND($I502="תקין",$J502="תקין",$K502="תקין"),"רהוטה",IF(AND($I502="תקין",$J502="תקין"),"מדויקת ורציפה","אינה מדויקת או מקוטעת"))))</f>
        <v/>
      </c>
      <c r="Z502" s="32">
        <f>IF($C502="","",IF(COUNTA($U502:$W502)&lt;3,"",IF(AND($U502="מפותח",$V502="מפותח",$W502="מפותחת"),"מפותחת",IF((--($U502="דל"))+(--($V502="אינו מפותח"))+(--($W502="דלה"))&gt;=2,"אינה מפותחת","חלקית"))))</f>
        <v/>
      </c>
      <c r="AA502" s="32">
        <f>IF($C502="","",IF(COUNTA($M502,$N502,$O502)&lt;3,"— חסרים נתונים",IF(OR($M502="נמוכה",(--($M502&lt;&gt;"תקינה"))+(--($N502&lt;&gt;"תקין"))+(--($O502&lt;&gt;"תקינה"))&gt;=2),"ניכרת","אינה ניכרת")))</f>
        <v/>
      </c>
      <c r="AB502" s="32">
        <f>IF(OR($C502="",$Y502="",$AA502="",LEFT($Y502,1)="—",LEFT($AA502,1)="—"),"",IF($Z502="","— נדרשת הערכת כתיבה",IF($L502="","— חסרה הבנת הנקרא",IF($Y502="אינה מדויקת או מקוטעת",IF($AA502="ניכרת","מיקוד בשטף הקריאה ובכישורי שפה","מיקוד בשטף קריאה"),IF($AA502="ניכרת","מיקוד בכישורי שפה",IF(AND($L502="תקינה",$Z502="מפותחת"),"קוראים וכותבים מיומנים","מיקוד בהבנה והבעה"))))))</f>
        <v/>
      </c>
      <c r="AC502" s="32">
        <f>IF(OR($AB502="",LEFT($AB502,1)="—"),"",IF(OR($AB502="מיקוד בשטף קריאה",$AB502="מיקוד בשטף הקריאה ובכישורי שפה"),"רמה א'",IF($AB502="קוראים וכותבים מיומנים","רמה ג'","רמה ב'")))</f>
        <v/>
      </c>
      <c r="AD502" s="32">
        <f>IF($AC502="","",MID(IF(AND($AC502="רמה א'",$AA502="ניכרת"),"; להוסיף עבודת אוצר מילים","")&amp;IF($Z502="אינה מפותחת","; דגש על הבעה בכתב","")&amp;IF($K502&lt;&gt;"תקין","; נדרש לעבוד על ההנגנה","")&amp;IF($AK502&lt;&gt;"","; "&amp;$AK502,""),3,400))</f>
        <v/>
      </c>
      <c r="AE502" s="32">
        <f>IF($F502="","",IF($F502="תחילת שנה",1,IF($F502="מחצית שנה",2,3)))</f>
        <v/>
      </c>
      <c r="AF502" s="32">
        <f>IF(OR($B502="",$AC502="",$A502="",$F502=""),"",$B502&amp;"|"&amp;$A502&amp;"|"&amp;$F502&amp;"|"&amp;$AC502&amp;"|"&amp;COUNTIFS($B$6:$B502,$B502,$A$6:$A502,$A502,$F$6:$F502,$F502,$AC$6:$AC502,$AC502))</f>
        <v/>
      </c>
      <c r="AG502" s="32">
        <f>IF($C502="","",$C502&amp;"|"&amp;COUNTIFS($C$6:$C502,$C502))</f>
        <v/>
      </c>
      <c r="AH502" s="32">
        <f>IF(OR($C502="",$A502="",$AE502=""),"",$C502&amp;"|"&amp;$A502&amp;"|"&amp;$AE502)</f>
        <v/>
      </c>
      <c r="AI502" s="32">
        <f>IF(OR($C502="",$AE502="",$AE502=1),"",IFERROR(INDEX($AC$6:$AC$1505,MATCH($C502&amp;"|"&amp;$A502&amp;"|"&amp;($AE502-1),$AH$6:$AH$1505,0)),""))</f>
        <v/>
      </c>
      <c r="AJ502" s="32">
        <f>IF(OR($AI502="",$AC502=""),"",IF($AI502=$AC502,"ללא שינוי","מ-"&amp;$AI502&amp;" ל-"&amp;$AC502))</f>
        <v/>
      </c>
      <c r="AK502" s="67" t="n"/>
    </row>
    <row r="503" ht="15.75" customHeight="1" s="58">
      <c r="A503" s="65" t="n"/>
      <c r="B503" s="65" t="n"/>
      <c r="C503" s="66" t="n"/>
      <c r="D503" s="66" t="n"/>
      <c r="E503" s="65" t="n"/>
      <c r="F503" s="65" t="n"/>
      <c r="G503" s="65" t="n"/>
      <c r="H503" s="65" t="n"/>
      <c r="I503" s="65" t="n"/>
      <c r="J503" s="65" t="n"/>
      <c r="K503" s="65" t="n"/>
      <c r="L503" s="65" t="n"/>
      <c r="M503" s="65" t="n"/>
      <c r="N503" s="65" t="n"/>
      <c r="O503" s="65" t="n"/>
      <c r="P503" s="65" t="n"/>
      <c r="Q503" s="65" t="n"/>
      <c r="R503" s="65" t="n"/>
      <c r="S503" s="65" t="n"/>
      <c r="T503" s="65" t="n"/>
      <c r="U503" s="65" t="n"/>
      <c r="V503" s="65" t="n"/>
      <c r="W503" s="65" t="n"/>
      <c r="X503" s="65" t="n"/>
      <c r="Y503" s="32">
        <f>IF($C503="","",IF(COUNTA($I503:$K503)&lt;3,"— חסרים נתונים",IF(AND($I503="תקין",$J503="תקין",$K503="תקין"),"רהוטה",IF(AND($I503="תקין",$J503="תקין"),"מדויקת ורציפה","אינה מדויקת או מקוטעת"))))</f>
        <v/>
      </c>
      <c r="Z503" s="32">
        <f>IF($C503="","",IF(COUNTA($U503:$W503)&lt;3,"",IF(AND($U503="מפותח",$V503="מפותח",$W503="מפותחת"),"מפותחת",IF((--($U503="דל"))+(--($V503="אינו מפותח"))+(--($W503="דלה"))&gt;=2,"אינה מפותחת","חלקית"))))</f>
        <v/>
      </c>
      <c r="AA503" s="32">
        <f>IF($C503="","",IF(COUNTA($M503,$N503,$O503)&lt;3,"— חסרים נתונים",IF(OR($M503="נמוכה",(--($M503&lt;&gt;"תקינה"))+(--($N503&lt;&gt;"תקין"))+(--($O503&lt;&gt;"תקינה"))&gt;=2),"ניכרת","אינה ניכרת")))</f>
        <v/>
      </c>
      <c r="AB503" s="32">
        <f>IF(OR($C503="",$Y503="",$AA503="",LEFT($Y503,1)="—",LEFT($AA503,1)="—"),"",IF($Z503="","— נדרשת הערכת כתיבה",IF($L503="","— חסרה הבנת הנקרא",IF($Y503="אינה מדויקת או מקוטעת",IF($AA503="ניכרת","מיקוד בשטף הקריאה ובכישורי שפה","מיקוד בשטף קריאה"),IF($AA503="ניכרת","מיקוד בכישורי שפה",IF(AND($L503="תקינה",$Z503="מפותחת"),"קוראים וכותבים מיומנים","מיקוד בהבנה והבעה"))))))</f>
        <v/>
      </c>
      <c r="AC503" s="32">
        <f>IF(OR($AB503="",LEFT($AB503,1)="—"),"",IF(OR($AB503="מיקוד בשטף קריאה",$AB503="מיקוד בשטף הקריאה ובכישורי שפה"),"רמה א'",IF($AB503="קוראים וכותבים מיומנים","רמה ג'","רמה ב'")))</f>
        <v/>
      </c>
      <c r="AD503" s="32">
        <f>IF($AC503="","",MID(IF(AND($AC503="רמה א'",$AA503="ניכרת"),"; להוסיף עבודת אוצר מילים","")&amp;IF($Z503="אינה מפותחת","; דגש על הבעה בכתב","")&amp;IF($K503&lt;&gt;"תקין","; נדרש לעבוד על ההנגנה","")&amp;IF($AK503&lt;&gt;"","; "&amp;$AK503,""),3,400))</f>
        <v/>
      </c>
      <c r="AE503" s="32">
        <f>IF($F503="","",IF($F503="תחילת שנה",1,IF($F503="מחצית שנה",2,3)))</f>
        <v/>
      </c>
      <c r="AF503" s="32">
        <f>IF(OR($B503="",$AC503="",$A503="",$F503=""),"",$B503&amp;"|"&amp;$A503&amp;"|"&amp;$F503&amp;"|"&amp;$AC503&amp;"|"&amp;COUNTIFS($B$6:$B503,$B503,$A$6:$A503,$A503,$F$6:$F503,$F503,$AC$6:$AC503,$AC503))</f>
        <v/>
      </c>
      <c r="AG503" s="32">
        <f>IF($C503="","",$C503&amp;"|"&amp;COUNTIFS($C$6:$C503,$C503))</f>
        <v/>
      </c>
      <c r="AH503" s="32">
        <f>IF(OR($C503="",$A503="",$AE503=""),"",$C503&amp;"|"&amp;$A503&amp;"|"&amp;$AE503)</f>
        <v/>
      </c>
      <c r="AI503" s="32">
        <f>IF(OR($C503="",$AE503="",$AE503=1),"",IFERROR(INDEX($AC$6:$AC$1505,MATCH($C503&amp;"|"&amp;$A503&amp;"|"&amp;($AE503-1),$AH$6:$AH$1505,0)),""))</f>
        <v/>
      </c>
      <c r="AJ503" s="32">
        <f>IF(OR($AI503="",$AC503=""),"",IF($AI503=$AC503,"ללא שינוי","מ-"&amp;$AI503&amp;" ל-"&amp;$AC503))</f>
        <v/>
      </c>
      <c r="AK503" s="67" t="n"/>
    </row>
    <row r="504" ht="15.75" customHeight="1" s="58">
      <c r="A504" s="65" t="n"/>
      <c r="B504" s="65" t="n"/>
      <c r="C504" s="66" t="n"/>
      <c r="D504" s="66" t="n"/>
      <c r="E504" s="65" t="n"/>
      <c r="F504" s="65" t="n"/>
      <c r="G504" s="65" t="n"/>
      <c r="H504" s="65" t="n"/>
      <c r="I504" s="65" t="n"/>
      <c r="J504" s="65" t="n"/>
      <c r="K504" s="65" t="n"/>
      <c r="L504" s="65" t="n"/>
      <c r="M504" s="65" t="n"/>
      <c r="N504" s="65" t="n"/>
      <c r="O504" s="65" t="n"/>
      <c r="P504" s="65" t="n"/>
      <c r="Q504" s="65" t="n"/>
      <c r="R504" s="65" t="n"/>
      <c r="S504" s="65" t="n"/>
      <c r="T504" s="65" t="n"/>
      <c r="U504" s="65" t="n"/>
      <c r="V504" s="65" t="n"/>
      <c r="W504" s="65" t="n"/>
      <c r="X504" s="65" t="n"/>
      <c r="Y504" s="32">
        <f>IF($C504="","",IF(COUNTA($I504:$K504)&lt;3,"— חסרים נתונים",IF(AND($I504="תקין",$J504="תקין",$K504="תקין"),"רהוטה",IF(AND($I504="תקין",$J504="תקין"),"מדויקת ורציפה","אינה מדויקת או מקוטעת"))))</f>
        <v/>
      </c>
      <c r="Z504" s="32">
        <f>IF($C504="","",IF(COUNTA($U504:$W504)&lt;3,"",IF(AND($U504="מפותח",$V504="מפותח",$W504="מפותחת"),"מפותחת",IF((--($U504="דל"))+(--($V504="אינו מפותח"))+(--($W504="דלה"))&gt;=2,"אינה מפותחת","חלקית"))))</f>
        <v/>
      </c>
      <c r="AA504" s="32">
        <f>IF($C504="","",IF(COUNTA($M504,$N504,$O504)&lt;3,"— חסרים נתונים",IF(OR($M504="נמוכה",(--($M504&lt;&gt;"תקינה"))+(--($N504&lt;&gt;"תקין"))+(--($O504&lt;&gt;"תקינה"))&gt;=2),"ניכרת","אינה ניכרת")))</f>
        <v/>
      </c>
      <c r="AB504" s="32">
        <f>IF(OR($C504="",$Y504="",$AA504="",LEFT($Y504,1)="—",LEFT($AA504,1)="—"),"",IF($Z504="","— נדרשת הערכת כתיבה",IF($L504="","— חסרה הבנת הנקרא",IF($Y504="אינה מדויקת או מקוטעת",IF($AA504="ניכרת","מיקוד בשטף הקריאה ובכישורי שפה","מיקוד בשטף קריאה"),IF($AA504="ניכרת","מיקוד בכישורי שפה",IF(AND($L504="תקינה",$Z504="מפותחת"),"קוראים וכותבים מיומנים","מיקוד בהבנה והבעה"))))))</f>
        <v/>
      </c>
      <c r="AC504" s="32">
        <f>IF(OR($AB504="",LEFT($AB504,1)="—"),"",IF(OR($AB504="מיקוד בשטף קריאה",$AB504="מיקוד בשטף הקריאה ובכישורי שפה"),"רמה א'",IF($AB504="קוראים וכותבים מיומנים","רמה ג'","רמה ב'")))</f>
        <v/>
      </c>
      <c r="AD504" s="32">
        <f>IF($AC504="","",MID(IF(AND($AC504="רמה א'",$AA504="ניכרת"),"; להוסיף עבודת אוצר מילים","")&amp;IF($Z504="אינה מפותחת","; דגש על הבעה בכתב","")&amp;IF($K504&lt;&gt;"תקין","; נדרש לעבוד על ההנגנה","")&amp;IF($AK504&lt;&gt;"","; "&amp;$AK504,""),3,400))</f>
        <v/>
      </c>
      <c r="AE504" s="32">
        <f>IF($F504="","",IF($F504="תחילת שנה",1,IF($F504="מחצית שנה",2,3)))</f>
        <v/>
      </c>
      <c r="AF504" s="32">
        <f>IF(OR($B504="",$AC504="",$A504="",$F504=""),"",$B504&amp;"|"&amp;$A504&amp;"|"&amp;$F504&amp;"|"&amp;$AC504&amp;"|"&amp;COUNTIFS($B$6:$B504,$B504,$A$6:$A504,$A504,$F$6:$F504,$F504,$AC$6:$AC504,$AC504))</f>
        <v/>
      </c>
      <c r="AG504" s="32">
        <f>IF($C504="","",$C504&amp;"|"&amp;COUNTIFS($C$6:$C504,$C504))</f>
        <v/>
      </c>
      <c r="AH504" s="32">
        <f>IF(OR($C504="",$A504="",$AE504=""),"",$C504&amp;"|"&amp;$A504&amp;"|"&amp;$AE504)</f>
        <v/>
      </c>
      <c r="AI504" s="32">
        <f>IF(OR($C504="",$AE504="",$AE504=1),"",IFERROR(INDEX($AC$6:$AC$1505,MATCH($C504&amp;"|"&amp;$A504&amp;"|"&amp;($AE504-1),$AH$6:$AH$1505,0)),""))</f>
        <v/>
      </c>
      <c r="AJ504" s="32">
        <f>IF(OR($AI504="",$AC504=""),"",IF($AI504=$AC504,"ללא שינוי","מ-"&amp;$AI504&amp;" ל-"&amp;$AC504))</f>
        <v/>
      </c>
      <c r="AK504" s="67" t="n"/>
    </row>
    <row r="505" ht="15.75" customHeight="1" s="58">
      <c r="A505" s="65" t="n"/>
      <c r="B505" s="65" t="n"/>
      <c r="C505" s="66" t="n"/>
      <c r="D505" s="66" t="n"/>
      <c r="E505" s="65" t="n"/>
      <c r="F505" s="65" t="n"/>
      <c r="G505" s="65" t="n"/>
      <c r="H505" s="65" t="n"/>
      <c r="I505" s="65" t="n"/>
      <c r="J505" s="65" t="n"/>
      <c r="K505" s="65" t="n"/>
      <c r="L505" s="65" t="n"/>
      <c r="M505" s="65" t="n"/>
      <c r="N505" s="65" t="n"/>
      <c r="O505" s="65" t="n"/>
      <c r="P505" s="65" t="n"/>
      <c r="Q505" s="65" t="n"/>
      <c r="R505" s="65" t="n"/>
      <c r="S505" s="65" t="n"/>
      <c r="T505" s="65" t="n"/>
      <c r="U505" s="65" t="n"/>
      <c r="V505" s="65" t="n"/>
      <c r="W505" s="65" t="n"/>
      <c r="X505" s="65" t="n"/>
      <c r="Y505" s="32">
        <f>IF($C505="","",IF(COUNTA($I505:$K505)&lt;3,"— חסרים נתונים",IF(AND($I505="תקין",$J505="תקין",$K505="תקין"),"רהוטה",IF(AND($I505="תקין",$J505="תקין"),"מדויקת ורציפה","אינה מדויקת או מקוטעת"))))</f>
        <v/>
      </c>
      <c r="Z505" s="32">
        <f>IF($C505="","",IF(COUNTA($U505:$W505)&lt;3,"",IF(AND($U505="מפותח",$V505="מפותח",$W505="מפותחת"),"מפותחת",IF((--($U505="דל"))+(--($V505="אינו מפותח"))+(--($W505="דלה"))&gt;=2,"אינה מפותחת","חלקית"))))</f>
        <v/>
      </c>
      <c r="AA505" s="32">
        <f>IF($C505="","",IF(COUNTA($M505,$N505,$O505)&lt;3,"— חסרים נתונים",IF(OR($M505="נמוכה",(--($M505&lt;&gt;"תקינה"))+(--($N505&lt;&gt;"תקין"))+(--($O505&lt;&gt;"תקינה"))&gt;=2),"ניכרת","אינה ניכרת")))</f>
        <v/>
      </c>
      <c r="AB505" s="32">
        <f>IF(OR($C505="",$Y505="",$AA505="",LEFT($Y505,1)="—",LEFT($AA505,1)="—"),"",IF($Z505="","— נדרשת הערכת כתיבה",IF($L505="","— חסרה הבנת הנקרא",IF($Y505="אינה מדויקת או מקוטעת",IF($AA505="ניכרת","מיקוד בשטף הקריאה ובכישורי שפה","מיקוד בשטף קריאה"),IF($AA505="ניכרת","מיקוד בכישורי שפה",IF(AND($L505="תקינה",$Z505="מפותחת"),"קוראים וכותבים מיומנים","מיקוד בהבנה והבעה"))))))</f>
        <v/>
      </c>
      <c r="AC505" s="32">
        <f>IF(OR($AB505="",LEFT($AB505,1)="—"),"",IF(OR($AB505="מיקוד בשטף קריאה",$AB505="מיקוד בשטף הקריאה ובכישורי שפה"),"רמה א'",IF($AB505="קוראים וכותבים מיומנים","רמה ג'","רמה ב'")))</f>
        <v/>
      </c>
      <c r="AD505" s="32">
        <f>IF($AC505="","",MID(IF(AND($AC505="רמה א'",$AA505="ניכרת"),"; להוסיף עבודת אוצר מילים","")&amp;IF($Z505="אינה מפותחת","; דגש על הבעה בכתב","")&amp;IF($K505&lt;&gt;"תקין","; נדרש לעבוד על ההנגנה","")&amp;IF($AK505&lt;&gt;"","; "&amp;$AK505,""),3,400))</f>
        <v/>
      </c>
      <c r="AE505" s="32">
        <f>IF($F505="","",IF($F505="תחילת שנה",1,IF($F505="מחצית שנה",2,3)))</f>
        <v/>
      </c>
      <c r="AF505" s="32">
        <f>IF(OR($B505="",$AC505="",$A505="",$F505=""),"",$B505&amp;"|"&amp;$A505&amp;"|"&amp;$F505&amp;"|"&amp;$AC505&amp;"|"&amp;COUNTIFS($B$6:$B505,$B505,$A$6:$A505,$A505,$F$6:$F505,$F505,$AC$6:$AC505,$AC505))</f>
        <v/>
      </c>
      <c r="AG505" s="32">
        <f>IF($C505="","",$C505&amp;"|"&amp;COUNTIFS($C$6:$C505,$C505))</f>
        <v/>
      </c>
      <c r="AH505" s="32">
        <f>IF(OR($C505="",$A505="",$AE505=""),"",$C505&amp;"|"&amp;$A505&amp;"|"&amp;$AE505)</f>
        <v/>
      </c>
      <c r="AI505" s="32">
        <f>IF(OR($C505="",$AE505="",$AE505=1),"",IFERROR(INDEX($AC$6:$AC$1505,MATCH($C505&amp;"|"&amp;$A505&amp;"|"&amp;($AE505-1),$AH$6:$AH$1505,0)),""))</f>
        <v/>
      </c>
      <c r="AJ505" s="32">
        <f>IF(OR($AI505="",$AC505=""),"",IF($AI505=$AC505,"ללא שינוי","מ-"&amp;$AI505&amp;" ל-"&amp;$AC505))</f>
        <v/>
      </c>
      <c r="AK505" s="67" t="n"/>
    </row>
    <row r="506" ht="15.75" customHeight="1" s="58">
      <c r="A506" s="65" t="n"/>
      <c r="B506" s="65" t="n"/>
      <c r="C506" s="66" t="n"/>
      <c r="D506" s="66" t="n"/>
      <c r="E506" s="65" t="n"/>
      <c r="F506" s="65" t="n"/>
      <c r="G506" s="65" t="n"/>
      <c r="H506" s="65" t="n"/>
      <c r="I506" s="65" t="n"/>
      <c r="J506" s="65" t="n"/>
      <c r="K506" s="65" t="n"/>
      <c r="L506" s="65" t="n"/>
      <c r="M506" s="65" t="n"/>
      <c r="N506" s="65" t="n"/>
      <c r="O506" s="65" t="n"/>
      <c r="P506" s="65" t="n"/>
      <c r="Q506" s="65" t="n"/>
      <c r="R506" s="65" t="n"/>
      <c r="S506" s="65" t="n"/>
      <c r="T506" s="65" t="n"/>
      <c r="U506" s="65" t="n"/>
      <c r="V506" s="65" t="n"/>
      <c r="W506" s="65" t="n"/>
      <c r="X506" s="65" t="n"/>
      <c r="Y506" s="32">
        <f>IF($C506="","",IF(COUNTA($I506:$K506)&lt;3,"— חסרים נתונים",IF(AND($I506="תקין",$J506="תקין",$K506="תקין"),"רהוטה",IF(AND($I506="תקין",$J506="תקין"),"מדויקת ורציפה","אינה מדויקת או מקוטעת"))))</f>
        <v/>
      </c>
      <c r="Z506" s="32">
        <f>IF($C506="","",IF(COUNTA($U506:$W506)&lt;3,"",IF(AND($U506="מפותח",$V506="מפותח",$W506="מפותחת"),"מפותחת",IF((--($U506="דל"))+(--($V506="אינו מפותח"))+(--($W506="דלה"))&gt;=2,"אינה מפותחת","חלקית"))))</f>
        <v/>
      </c>
      <c r="AA506" s="32">
        <f>IF($C506="","",IF(COUNTA($M506,$N506,$O506)&lt;3,"— חסרים נתונים",IF(OR($M506="נמוכה",(--($M506&lt;&gt;"תקינה"))+(--($N506&lt;&gt;"תקין"))+(--($O506&lt;&gt;"תקינה"))&gt;=2),"ניכרת","אינה ניכרת")))</f>
        <v/>
      </c>
      <c r="AB506" s="32">
        <f>IF(OR($C506="",$Y506="",$AA506="",LEFT($Y506,1)="—",LEFT($AA506,1)="—"),"",IF($Z506="","— נדרשת הערכת כתיבה",IF($L506="","— חסרה הבנת הנקרא",IF($Y506="אינה מדויקת או מקוטעת",IF($AA506="ניכרת","מיקוד בשטף הקריאה ובכישורי שפה","מיקוד בשטף קריאה"),IF($AA506="ניכרת","מיקוד בכישורי שפה",IF(AND($L506="תקינה",$Z506="מפותחת"),"קוראים וכותבים מיומנים","מיקוד בהבנה והבעה"))))))</f>
        <v/>
      </c>
      <c r="AC506" s="32">
        <f>IF(OR($AB506="",LEFT($AB506,1)="—"),"",IF(OR($AB506="מיקוד בשטף קריאה",$AB506="מיקוד בשטף הקריאה ובכישורי שפה"),"רמה א'",IF($AB506="קוראים וכותבים מיומנים","רמה ג'","רמה ב'")))</f>
        <v/>
      </c>
      <c r="AD506" s="32">
        <f>IF($AC506="","",MID(IF(AND($AC506="רמה א'",$AA506="ניכרת"),"; להוסיף עבודת אוצר מילים","")&amp;IF($Z506="אינה מפותחת","; דגש על הבעה בכתב","")&amp;IF($K506&lt;&gt;"תקין","; נדרש לעבוד על ההנגנה","")&amp;IF($AK506&lt;&gt;"","; "&amp;$AK506,""),3,400))</f>
        <v/>
      </c>
      <c r="AE506" s="32">
        <f>IF($F506="","",IF($F506="תחילת שנה",1,IF($F506="מחצית שנה",2,3)))</f>
        <v/>
      </c>
      <c r="AF506" s="32">
        <f>IF(OR($B506="",$AC506="",$A506="",$F506=""),"",$B506&amp;"|"&amp;$A506&amp;"|"&amp;$F506&amp;"|"&amp;$AC506&amp;"|"&amp;COUNTIFS($B$6:$B506,$B506,$A$6:$A506,$A506,$F$6:$F506,$F506,$AC$6:$AC506,$AC506))</f>
        <v/>
      </c>
      <c r="AG506" s="32">
        <f>IF($C506="","",$C506&amp;"|"&amp;COUNTIFS($C$6:$C506,$C506))</f>
        <v/>
      </c>
      <c r="AH506" s="32">
        <f>IF(OR($C506="",$A506="",$AE506=""),"",$C506&amp;"|"&amp;$A506&amp;"|"&amp;$AE506)</f>
        <v/>
      </c>
      <c r="AI506" s="32">
        <f>IF(OR($C506="",$AE506="",$AE506=1),"",IFERROR(INDEX($AC$6:$AC$1505,MATCH($C506&amp;"|"&amp;$A506&amp;"|"&amp;($AE506-1),$AH$6:$AH$1505,0)),""))</f>
        <v/>
      </c>
      <c r="AJ506" s="32">
        <f>IF(OR($AI506="",$AC506=""),"",IF($AI506=$AC506,"ללא שינוי","מ-"&amp;$AI506&amp;" ל-"&amp;$AC506))</f>
        <v/>
      </c>
      <c r="AK506" s="67" t="n"/>
    </row>
    <row r="507" ht="15.75" customHeight="1" s="58">
      <c r="A507" s="65" t="n"/>
      <c r="B507" s="65" t="n"/>
      <c r="C507" s="66" t="n"/>
      <c r="D507" s="66" t="n"/>
      <c r="E507" s="65" t="n"/>
      <c r="F507" s="65" t="n"/>
      <c r="G507" s="65" t="n"/>
      <c r="H507" s="65" t="n"/>
      <c r="I507" s="65" t="n"/>
      <c r="J507" s="65" t="n"/>
      <c r="K507" s="65" t="n"/>
      <c r="L507" s="65" t="n"/>
      <c r="M507" s="65" t="n"/>
      <c r="N507" s="65" t="n"/>
      <c r="O507" s="65" t="n"/>
      <c r="P507" s="65" t="n"/>
      <c r="Q507" s="65" t="n"/>
      <c r="R507" s="65" t="n"/>
      <c r="S507" s="65" t="n"/>
      <c r="T507" s="65" t="n"/>
      <c r="U507" s="65" t="n"/>
      <c r="V507" s="65" t="n"/>
      <c r="W507" s="65" t="n"/>
      <c r="X507" s="65" t="n"/>
      <c r="Y507" s="32">
        <f>IF($C507="","",IF(COUNTA($I507:$K507)&lt;3,"— חסרים נתונים",IF(AND($I507="תקין",$J507="תקין",$K507="תקין"),"רהוטה",IF(AND($I507="תקין",$J507="תקין"),"מדויקת ורציפה","אינה מדויקת או מקוטעת"))))</f>
        <v/>
      </c>
      <c r="Z507" s="32">
        <f>IF($C507="","",IF(COUNTA($U507:$W507)&lt;3,"",IF(AND($U507="מפותח",$V507="מפותח",$W507="מפותחת"),"מפותחת",IF((--($U507="דל"))+(--($V507="אינו מפותח"))+(--($W507="דלה"))&gt;=2,"אינה מפותחת","חלקית"))))</f>
        <v/>
      </c>
      <c r="AA507" s="32">
        <f>IF($C507="","",IF(COUNTA($M507,$N507,$O507)&lt;3,"— חסרים נתונים",IF(OR($M507="נמוכה",(--($M507&lt;&gt;"תקינה"))+(--($N507&lt;&gt;"תקין"))+(--($O507&lt;&gt;"תקינה"))&gt;=2),"ניכרת","אינה ניכרת")))</f>
        <v/>
      </c>
      <c r="AB507" s="32">
        <f>IF(OR($C507="",$Y507="",$AA507="",LEFT($Y507,1)="—",LEFT($AA507,1)="—"),"",IF($Z507="","— נדרשת הערכת כתיבה",IF($L507="","— חסרה הבנת הנקרא",IF($Y507="אינה מדויקת או מקוטעת",IF($AA507="ניכרת","מיקוד בשטף הקריאה ובכישורי שפה","מיקוד בשטף קריאה"),IF($AA507="ניכרת","מיקוד בכישורי שפה",IF(AND($L507="תקינה",$Z507="מפותחת"),"קוראים וכותבים מיומנים","מיקוד בהבנה והבעה"))))))</f>
        <v/>
      </c>
      <c r="AC507" s="32">
        <f>IF(OR($AB507="",LEFT($AB507,1)="—"),"",IF(OR($AB507="מיקוד בשטף קריאה",$AB507="מיקוד בשטף הקריאה ובכישורי שפה"),"רמה א'",IF($AB507="קוראים וכותבים מיומנים","רמה ג'","רמה ב'")))</f>
        <v/>
      </c>
      <c r="AD507" s="32">
        <f>IF($AC507="","",MID(IF(AND($AC507="רמה א'",$AA507="ניכרת"),"; להוסיף עבודת אוצר מילים","")&amp;IF($Z507="אינה מפותחת","; דגש על הבעה בכתב","")&amp;IF($K507&lt;&gt;"תקין","; נדרש לעבוד על ההנגנה","")&amp;IF($AK507&lt;&gt;"","; "&amp;$AK507,""),3,400))</f>
        <v/>
      </c>
      <c r="AE507" s="32">
        <f>IF($F507="","",IF($F507="תחילת שנה",1,IF($F507="מחצית שנה",2,3)))</f>
        <v/>
      </c>
      <c r="AF507" s="32">
        <f>IF(OR($B507="",$AC507="",$A507="",$F507=""),"",$B507&amp;"|"&amp;$A507&amp;"|"&amp;$F507&amp;"|"&amp;$AC507&amp;"|"&amp;COUNTIFS($B$6:$B507,$B507,$A$6:$A507,$A507,$F$6:$F507,$F507,$AC$6:$AC507,$AC507))</f>
        <v/>
      </c>
      <c r="AG507" s="32">
        <f>IF($C507="","",$C507&amp;"|"&amp;COUNTIFS($C$6:$C507,$C507))</f>
        <v/>
      </c>
      <c r="AH507" s="32">
        <f>IF(OR($C507="",$A507="",$AE507=""),"",$C507&amp;"|"&amp;$A507&amp;"|"&amp;$AE507)</f>
        <v/>
      </c>
      <c r="AI507" s="32">
        <f>IF(OR($C507="",$AE507="",$AE507=1),"",IFERROR(INDEX($AC$6:$AC$1505,MATCH($C507&amp;"|"&amp;$A507&amp;"|"&amp;($AE507-1),$AH$6:$AH$1505,0)),""))</f>
        <v/>
      </c>
      <c r="AJ507" s="32">
        <f>IF(OR($AI507="",$AC507=""),"",IF($AI507=$AC507,"ללא שינוי","מ-"&amp;$AI507&amp;" ל-"&amp;$AC507))</f>
        <v/>
      </c>
      <c r="AK507" s="67" t="n"/>
    </row>
    <row r="508" ht="15.75" customHeight="1" s="58">
      <c r="A508" s="65" t="n"/>
      <c r="B508" s="65" t="n"/>
      <c r="C508" s="66" t="n"/>
      <c r="D508" s="66" t="n"/>
      <c r="E508" s="65" t="n"/>
      <c r="F508" s="65" t="n"/>
      <c r="G508" s="65" t="n"/>
      <c r="H508" s="65" t="n"/>
      <c r="I508" s="65" t="n"/>
      <c r="J508" s="65" t="n"/>
      <c r="K508" s="65" t="n"/>
      <c r="L508" s="65" t="n"/>
      <c r="M508" s="65" t="n"/>
      <c r="N508" s="65" t="n"/>
      <c r="O508" s="65" t="n"/>
      <c r="P508" s="65" t="n"/>
      <c r="Q508" s="65" t="n"/>
      <c r="R508" s="65" t="n"/>
      <c r="S508" s="65" t="n"/>
      <c r="T508" s="65" t="n"/>
      <c r="U508" s="65" t="n"/>
      <c r="V508" s="65" t="n"/>
      <c r="W508" s="65" t="n"/>
      <c r="X508" s="65" t="n"/>
      <c r="Y508" s="32">
        <f>IF($C508="","",IF(COUNTA($I508:$K508)&lt;3,"— חסרים נתונים",IF(AND($I508="תקין",$J508="תקין",$K508="תקין"),"רהוטה",IF(AND($I508="תקין",$J508="תקין"),"מדויקת ורציפה","אינה מדויקת או מקוטעת"))))</f>
        <v/>
      </c>
      <c r="Z508" s="32">
        <f>IF($C508="","",IF(COUNTA($U508:$W508)&lt;3,"",IF(AND($U508="מפותח",$V508="מפותח",$W508="מפותחת"),"מפותחת",IF((--($U508="דל"))+(--($V508="אינו מפותח"))+(--($W508="דלה"))&gt;=2,"אינה מפותחת","חלקית"))))</f>
        <v/>
      </c>
      <c r="AA508" s="32">
        <f>IF($C508="","",IF(COUNTA($M508,$N508,$O508)&lt;3,"— חסרים נתונים",IF(OR($M508="נמוכה",(--($M508&lt;&gt;"תקינה"))+(--($N508&lt;&gt;"תקין"))+(--($O508&lt;&gt;"תקינה"))&gt;=2),"ניכרת","אינה ניכרת")))</f>
        <v/>
      </c>
      <c r="AB508" s="32">
        <f>IF(OR($C508="",$Y508="",$AA508="",LEFT($Y508,1)="—",LEFT($AA508,1)="—"),"",IF($Z508="","— נדרשת הערכת כתיבה",IF($L508="","— חסרה הבנת הנקרא",IF($Y508="אינה מדויקת או מקוטעת",IF($AA508="ניכרת","מיקוד בשטף הקריאה ובכישורי שפה","מיקוד בשטף קריאה"),IF($AA508="ניכרת","מיקוד בכישורי שפה",IF(AND($L508="תקינה",$Z508="מפותחת"),"קוראים וכותבים מיומנים","מיקוד בהבנה והבעה"))))))</f>
        <v/>
      </c>
      <c r="AC508" s="32">
        <f>IF(OR($AB508="",LEFT($AB508,1)="—"),"",IF(OR($AB508="מיקוד בשטף קריאה",$AB508="מיקוד בשטף הקריאה ובכישורי שפה"),"רמה א'",IF($AB508="קוראים וכותבים מיומנים","רמה ג'","רמה ב'")))</f>
        <v/>
      </c>
      <c r="AD508" s="32">
        <f>IF($AC508="","",MID(IF(AND($AC508="רמה א'",$AA508="ניכרת"),"; להוסיף עבודת אוצר מילים","")&amp;IF($Z508="אינה מפותחת","; דגש על הבעה בכתב","")&amp;IF($K508&lt;&gt;"תקין","; נדרש לעבוד על ההנגנה","")&amp;IF($AK508&lt;&gt;"","; "&amp;$AK508,""),3,400))</f>
        <v/>
      </c>
      <c r="AE508" s="32">
        <f>IF($F508="","",IF($F508="תחילת שנה",1,IF($F508="מחצית שנה",2,3)))</f>
        <v/>
      </c>
      <c r="AF508" s="32">
        <f>IF(OR($B508="",$AC508="",$A508="",$F508=""),"",$B508&amp;"|"&amp;$A508&amp;"|"&amp;$F508&amp;"|"&amp;$AC508&amp;"|"&amp;COUNTIFS($B$6:$B508,$B508,$A$6:$A508,$A508,$F$6:$F508,$F508,$AC$6:$AC508,$AC508))</f>
        <v/>
      </c>
      <c r="AG508" s="32">
        <f>IF($C508="","",$C508&amp;"|"&amp;COUNTIFS($C$6:$C508,$C508))</f>
        <v/>
      </c>
      <c r="AH508" s="32">
        <f>IF(OR($C508="",$A508="",$AE508=""),"",$C508&amp;"|"&amp;$A508&amp;"|"&amp;$AE508)</f>
        <v/>
      </c>
      <c r="AI508" s="32">
        <f>IF(OR($C508="",$AE508="",$AE508=1),"",IFERROR(INDEX($AC$6:$AC$1505,MATCH($C508&amp;"|"&amp;$A508&amp;"|"&amp;($AE508-1),$AH$6:$AH$1505,0)),""))</f>
        <v/>
      </c>
      <c r="AJ508" s="32">
        <f>IF(OR($AI508="",$AC508=""),"",IF($AI508=$AC508,"ללא שינוי","מ-"&amp;$AI508&amp;" ל-"&amp;$AC508))</f>
        <v/>
      </c>
      <c r="AK508" s="67" t="n"/>
    </row>
    <row r="509" ht="15.75" customHeight="1" s="58">
      <c r="A509" s="65" t="n"/>
      <c r="B509" s="65" t="n"/>
      <c r="C509" s="66" t="n"/>
      <c r="D509" s="66" t="n"/>
      <c r="E509" s="65" t="n"/>
      <c r="F509" s="65" t="n"/>
      <c r="G509" s="65" t="n"/>
      <c r="H509" s="65" t="n"/>
      <c r="I509" s="65" t="n"/>
      <c r="J509" s="65" t="n"/>
      <c r="K509" s="65" t="n"/>
      <c r="L509" s="65" t="n"/>
      <c r="M509" s="65" t="n"/>
      <c r="N509" s="65" t="n"/>
      <c r="O509" s="65" t="n"/>
      <c r="P509" s="65" t="n"/>
      <c r="Q509" s="65" t="n"/>
      <c r="R509" s="65" t="n"/>
      <c r="S509" s="65" t="n"/>
      <c r="T509" s="65" t="n"/>
      <c r="U509" s="65" t="n"/>
      <c r="V509" s="65" t="n"/>
      <c r="W509" s="65" t="n"/>
      <c r="X509" s="65" t="n"/>
      <c r="Y509" s="32">
        <f>IF($C509="","",IF(COUNTA($I509:$K509)&lt;3,"— חסרים נתונים",IF(AND($I509="תקין",$J509="תקין",$K509="תקין"),"רהוטה",IF(AND($I509="תקין",$J509="תקין"),"מדויקת ורציפה","אינה מדויקת או מקוטעת"))))</f>
        <v/>
      </c>
      <c r="Z509" s="32">
        <f>IF($C509="","",IF(COUNTA($U509:$W509)&lt;3,"",IF(AND($U509="מפותח",$V509="מפותח",$W509="מפותחת"),"מפותחת",IF((--($U509="דל"))+(--($V509="אינו מפותח"))+(--($W509="דלה"))&gt;=2,"אינה מפותחת","חלקית"))))</f>
        <v/>
      </c>
      <c r="AA509" s="32">
        <f>IF($C509="","",IF(COUNTA($M509,$N509,$O509)&lt;3,"— חסרים נתונים",IF(OR($M509="נמוכה",(--($M509&lt;&gt;"תקינה"))+(--($N509&lt;&gt;"תקין"))+(--($O509&lt;&gt;"תקינה"))&gt;=2),"ניכרת","אינה ניכרת")))</f>
        <v/>
      </c>
      <c r="AB509" s="32">
        <f>IF(OR($C509="",$Y509="",$AA509="",LEFT($Y509,1)="—",LEFT($AA509,1)="—"),"",IF($Z509="","— נדרשת הערכת כתיבה",IF($L509="","— חסרה הבנת הנקרא",IF($Y509="אינה מדויקת או מקוטעת",IF($AA509="ניכרת","מיקוד בשטף הקריאה ובכישורי שפה","מיקוד בשטף קריאה"),IF($AA509="ניכרת","מיקוד בכישורי שפה",IF(AND($L509="תקינה",$Z509="מפותחת"),"קוראים וכותבים מיומנים","מיקוד בהבנה והבעה"))))))</f>
        <v/>
      </c>
      <c r="AC509" s="32">
        <f>IF(OR($AB509="",LEFT($AB509,1)="—"),"",IF(OR($AB509="מיקוד בשטף קריאה",$AB509="מיקוד בשטף הקריאה ובכישורי שפה"),"רמה א'",IF($AB509="קוראים וכותבים מיומנים","רמה ג'","רמה ב'")))</f>
        <v/>
      </c>
      <c r="AD509" s="32">
        <f>IF($AC509="","",MID(IF(AND($AC509="רמה א'",$AA509="ניכרת"),"; להוסיף עבודת אוצר מילים","")&amp;IF($Z509="אינה מפותחת","; דגש על הבעה בכתב","")&amp;IF($K509&lt;&gt;"תקין","; נדרש לעבוד על ההנגנה","")&amp;IF($AK509&lt;&gt;"","; "&amp;$AK509,""),3,400))</f>
        <v/>
      </c>
      <c r="AE509" s="32">
        <f>IF($F509="","",IF($F509="תחילת שנה",1,IF($F509="מחצית שנה",2,3)))</f>
        <v/>
      </c>
      <c r="AF509" s="32">
        <f>IF(OR($B509="",$AC509="",$A509="",$F509=""),"",$B509&amp;"|"&amp;$A509&amp;"|"&amp;$F509&amp;"|"&amp;$AC509&amp;"|"&amp;COUNTIFS($B$6:$B509,$B509,$A$6:$A509,$A509,$F$6:$F509,$F509,$AC$6:$AC509,$AC509))</f>
        <v/>
      </c>
      <c r="AG509" s="32">
        <f>IF($C509="","",$C509&amp;"|"&amp;COUNTIFS($C$6:$C509,$C509))</f>
        <v/>
      </c>
      <c r="AH509" s="32">
        <f>IF(OR($C509="",$A509="",$AE509=""),"",$C509&amp;"|"&amp;$A509&amp;"|"&amp;$AE509)</f>
        <v/>
      </c>
      <c r="AI509" s="32">
        <f>IF(OR($C509="",$AE509="",$AE509=1),"",IFERROR(INDEX($AC$6:$AC$1505,MATCH($C509&amp;"|"&amp;$A509&amp;"|"&amp;($AE509-1),$AH$6:$AH$1505,0)),""))</f>
        <v/>
      </c>
      <c r="AJ509" s="32">
        <f>IF(OR($AI509="",$AC509=""),"",IF($AI509=$AC509,"ללא שינוי","מ-"&amp;$AI509&amp;" ל-"&amp;$AC509))</f>
        <v/>
      </c>
      <c r="AK509" s="67" t="n"/>
    </row>
    <row r="510" ht="15.75" customHeight="1" s="58">
      <c r="A510" s="65" t="n"/>
      <c r="B510" s="65" t="n"/>
      <c r="C510" s="66" t="n"/>
      <c r="D510" s="66" t="n"/>
      <c r="E510" s="65" t="n"/>
      <c r="F510" s="65" t="n"/>
      <c r="G510" s="65" t="n"/>
      <c r="H510" s="65" t="n"/>
      <c r="I510" s="65" t="n"/>
      <c r="J510" s="65" t="n"/>
      <c r="K510" s="65" t="n"/>
      <c r="L510" s="65" t="n"/>
      <c r="M510" s="65" t="n"/>
      <c r="N510" s="65" t="n"/>
      <c r="O510" s="65" t="n"/>
      <c r="P510" s="65" t="n"/>
      <c r="Q510" s="65" t="n"/>
      <c r="R510" s="65" t="n"/>
      <c r="S510" s="65" t="n"/>
      <c r="T510" s="65" t="n"/>
      <c r="U510" s="65" t="n"/>
      <c r="V510" s="65" t="n"/>
      <c r="W510" s="65" t="n"/>
      <c r="X510" s="65" t="n"/>
      <c r="Y510" s="32">
        <f>IF($C510="","",IF(COUNTA($I510:$K510)&lt;3,"— חסרים נתונים",IF(AND($I510="תקין",$J510="תקין",$K510="תקין"),"רהוטה",IF(AND($I510="תקין",$J510="תקין"),"מדויקת ורציפה","אינה מדויקת או מקוטעת"))))</f>
        <v/>
      </c>
      <c r="Z510" s="32">
        <f>IF($C510="","",IF(COUNTA($U510:$W510)&lt;3,"",IF(AND($U510="מפותח",$V510="מפותח",$W510="מפותחת"),"מפותחת",IF((--($U510="דל"))+(--($V510="אינו מפותח"))+(--($W510="דלה"))&gt;=2,"אינה מפותחת","חלקית"))))</f>
        <v/>
      </c>
      <c r="AA510" s="32">
        <f>IF($C510="","",IF(COUNTA($M510,$N510,$O510)&lt;3,"— חסרים נתונים",IF(OR($M510="נמוכה",(--($M510&lt;&gt;"תקינה"))+(--($N510&lt;&gt;"תקין"))+(--($O510&lt;&gt;"תקינה"))&gt;=2),"ניכרת","אינה ניכרת")))</f>
        <v/>
      </c>
      <c r="AB510" s="32">
        <f>IF(OR($C510="",$Y510="",$AA510="",LEFT($Y510,1)="—",LEFT($AA510,1)="—"),"",IF($Z510="","— נדרשת הערכת כתיבה",IF($L510="","— חסרה הבנת הנקרא",IF($Y510="אינה מדויקת או מקוטעת",IF($AA510="ניכרת","מיקוד בשטף הקריאה ובכישורי שפה","מיקוד בשטף קריאה"),IF($AA510="ניכרת","מיקוד בכישורי שפה",IF(AND($L510="תקינה",$Z510="מפותחת"),"קוראים וכותבים מיומנים","מיקוד בהבנה והבעה"))))))</f>
        <v/>
      </c>
      <c r="AC510" s="32">
        <f>IF(OR($AB510="",LEFT($AB510,1)="—"),"",IF(OR($AB510="מיקוד בשטף קריאה",$AB510="מיקוד בשטף הקריאה ובכישורי שפה"),"רמה א'",IF($AB510="קוראים וכותבים מיומנים","רמה ג'","רמה ב'")))</f>
        <v/>
      </c>
      <c r="AD510" s="32">
        <f>IF($AC510="","",MID(IF(AND($AC510="רמה א'",$AA510="ניכרת"),"; להוסיף עבודת אוצר מילים","")&amp;IF($Z510="אינה מפותחת","; דגש על הבעה בכתב","")&amp;IF($K510&lt;&gt;"תקין","; נדרש לעבוד על ההנגנה","")&amp;IF($AK510&lt;&gt;"","; "&amp;$AK510,""),3,400))</f>
        <v/>
      </c>
      <c r="AE510" s="32">
        <f>IF($F510="","",IF($F510="תחילת שנה",1,IF($F510="מחצית שנה",2,3)))</f>
        <v/>
      </c>
      <c r="AF510" s="32">
        <f>IF(OR($B510="",$AC510="",$A510="",$F510=""),"",$B510&amp;"|"&amp;$A510&amp;"|"&amp;$F510&amp;"|"&amp;$AC510&amp;"|"&amp;COUNTIFS($B$6:$B510,$B510,$A$6:$A510,$A510,$F$6:$F510,$F510,$AC$6:$AC510,$AC510))</f>
        <v/>
      </c>
      <c r="AG510" s="32">
        <f>IF($C510="","",$C510&amp;"|"&amp;COUNTIFS($C$6:$C510,$C510))</f>
        <v/>
      </c>
      <c r="AH510" s="32">
        <f>IF(OR($C510="",$A510="",$AE510=""),"",$C510&amp;"|"&amp;$A510&amp;"|"&amp;$AE510)</f>
        <v/>
      </c>
      <c r="AI510" s="32">
        <f>IF(OR($C510="",$AE510="",$AE510=1),"",IFERROR(INDEX($AC$6:$AC$1505,MATCH($C510&amp;"|"&amp;$A510&amp;"|"&amp;($AE510-1),$AH$6:$AH$1505,0)),""))</f>
        <v/>
      </c>
      <c r="AJ510" s="32">
        <f>IF(OR($AI510="",$AC510=""),"",IF($AI510=$AC510,"ללא שינוי","מ-"&amp;$AI510&amp;" ל-"&amp;$AC510))</f>
        <v/>
      </c>
      <c r="AK510" s="67" t="n"/>
    </row>
    <row r="511" ht="15.75" customHeight="1" s="58">
      <c r="A511" s="65" t="n"/>
      <c r="B511" s="65" t="n"/>
      <c r="C511" s="66" t="n"/>
      <c r="D511" s="66" t="n"/>
      <c r="E511" s="65" t="n"/>
      <c r="F511" s="65" t="n"/>
      <c r="G511" s="65" t="n"/>
      <c r="H511" s="65" t="n"/>
      <c r="I511" s="65" t="n"/>
      <c r="J511" s="65" t="n"/>
      <c r="K511" s="65" t="n"/>
      <c r="L511" s="65" t="n"/>
      <c r="M511" s="65" t="n"/>
      <c r="N511" s="65" t="n"/>
      <c r="O511" s="65" t="n"/>
      <c r="P511" s="65" t="n"/>
      <c r="Q511" s="65" t="n"/>
      <c r="R511" s="65" t="n"/>
      <c r="S511" s="65" t="n"/>
      <c r="T511" s="65" t="n"/>
      <c r="U511" s="65" t="n"/>
      <c r="V511" s="65" t="n"/>
      <c r="W511" s="65" t="n"/>
      <c r="X511" s="65" t="n"/>
      <c r="Y511" s="32">
        <f>IF($C511="","",IF(COUNTA($I511:$K511)&lt;3,"— חסרים נתונים",IF(AND($I511="תקין",$J511="תקין",$K511="תקין"),"רהוטה",IF(AND($I511="תקין",$J511="תקין"),"מדויקת ורציפה","אינה מדויקת או מקוטעת"))))</f>
        <v/>
      </c>
      <c r="Z511" s="32">
        <f>IF($C511="","",IF(COUNTA($U511:$W511)&lt;3,"",IF(AND($U511="מפותח",$V511="מפותח",$W511="מפותחת"),"מפותחת",IF((--($U511="דל"))+(--($V511="אינו מפותח"))+(--($W511="דלה"))&gt;=2,"אינה מפותחת","חלקית"))))</f>
        <v/>
      </c>
      <c r="AA511" s="32">
        <f>IF($C511="","",IF(COUNTA($M511,$N511,$O511)&lt;3,"— חסרים נתונים",IF(OR($M511="נמוכה",(--($M511&lt;&gt;"תקינה"))+(--($N511&lt;&gt;"תקין"))+(--($O511&lt;&gt;"תקינה"))&gt;=2),"ניכרת","אינה ניכרת")))</f>
        <v/>
      </c>
      <c r="AB511" s="32">
        <f>IF(OR($C511="",$Y511="",$AA511="",LEFT($Y511,1)="—",LEFT($AA511,1)="—"),"",IF($Z511="","— נדרשת הערכת כתיבה",IF($L511="","— חסרה הבנת הנקרא",IF($Y511="אינה מדויקת או מקוטעת",IF($AA511="ניכרת","מיקוד בשטף הקריאה ובכישורי שפה","מיקוד בשטף קריאה"),IF($AA511="ניכרת","מיקוד בכישורי שפה",IF(AND($L511="תקינה",$Z511="מפותחת"),"קוראים וכותבים מיומנים","מיקוד בהבנה והבעה"))))))</f>
        <v/>
      </c>
      <c r="AC511" s="32">
        <f>IF(OR($AB511="",LEFT($AB511,1)="—"),"",IF(OR($AB511="מיקוד בשטף קריאה",$AB511="מיקוד בשטף הקריאה ובכישורי שפה"),"רמה א'",IF($AB511="קוראים וכותבים מיומנים","רמה ג'","רמה ב'")))</f>
        <v/>
      </c>
      <c r="AD511" s="32">
        <f>IF($AC511="","",MID(IF(AND($AC511="רמה א'",$AA511="ניכרת"),"; להוסיף עבודת אוצר מילים","")&amp;IF($Z511="אינה מפותחת","; דגש על הבעה בכתב","")&amp;IF($K511&lt;&gt;"תקין","; נדרש לעבוד על ההנגנה","")&amp;IF($AK511&lt;&gt;"","; "&amp;$AK511,""),3,400))</f>
        <v/>
      </c>
      <c r="AE511" s="32">
        <f>IF($F511="","",IF($F511="תחילת שנה",1,IF($F511="מחצית שנה",2,3)))</f>
        <v/>
      </c>
      <c r="AF511" s="32">
        <f>IF(OR($B511="",$AC511="",$A511="",$F511=""),"",$B511&amp;"|"&amp;$A511&amp;"|"&amp;$F511&amp;"|"&amp;$AC511&amp;"|"&amp;COUNTIFS($B$6:$B511,$B511,$A$6:$A511,$A511,$F$6:$F511,$F511,$AC$6:$AC511,$AC511))</f>
        <v/>
      </c>
      <c r="AG511" s="32">
        <f>IF($C511="","",$C511&amp;"|"&amp;COUNTIFS($C$6:$C511,$C511))</f>
        <v/>
      </c>
      <c r="AH511" s="32">
        <f>IF(OR($C511="",$A511="",$AE511=""),"",$C511&amp;"|"&amp;$A511&amp;"|"&amp;$AE511)</f>
        <v/>
      </c>
      <c r="AI511" s="32">
        <f>IF(OR($C511="",$AE511="",$AE511=1),"",IFERROR(INDEX($AC$6:$AC$1505,MATCH($C511&amp;"|"&amp;$A511&amp;"|"&amp;($AE511-1),$AH$6:$AH$1505,0)),""))</f>
        <v/>
      </c>
      <c r="AJ511" s="32">
        <f>IF(OR($AI511="",$AC511=""),"",IF($AI511=$AC511,"ללא שינוי","מ-"&amp;$AI511&amp;" ל-"&amp;$AC511))</f>
        <v/>
      </c>
      <c r="AK511" s="67" t="n"/>
    </row>
    <row r="512" ht="15.75" customHeight="1" s="58">
      <c r="A512" s="65" t="n"/>
      <c r="B512" s="65" t="n"/>
      <c r="C512" s="66" t="n"/>
      <c r="D512" s="66" t="n"/>
      <c r="E512" s="65" t="n"/>
      <c r="F512" s="65" t="n"/>
      <c r="G512" s="65" t="n"/>
      <c r="H512" s="65" t="n"/>
      <c r="I512" s="65" t="n"/>
      <c r="J512" s="65" t="n"/>
      <c r="K512" s="65" t="n"/>
      <c r="L512" s="65" t="n"/>
      <c r="M512" s="65" t="n"/>
      <c r="N512" s="65" t="n"/>
      <c r="O512" s="65" t="n"/>
      <c r="P512" s="65" t="n"/>
      <c r="Q512" s="65" t="n"/>
      <c r="R512" s="65" t="n"/>
      <c r="S512" s="65" t="n"/>
      <c r="T512" s="65" t="n"/>
      <c r="U512" s="65" t="n"/>
      <c r="V512" s="65" t="n"/>
      <c r="W512" s="65" t="n"/>
      <c r="X512" s="65" t="n"/>
      <c r="Y512" s="32">
        <f>IF($C512="","",IF(COUNTA($I512:$K512)&lt;3,"— חסרים נתונים",IF(AND($I512="תקין",$J512="תקין",$K512="תקין"),"רהוטה",IF(AND($I512="תקין",$J512="תקין"),"מדויקת ורציפה","אינה מדויקת או מקוטעת"))))</f>
        <v/>
      </c>
      <c r="Z512" s="32">
        <f>IF($C512="","",IF(COUNTA($U512:$W512)&lt;3,"",IF(AND($U512="מפותח",$V512="מפותח",$W512="מפותחת"),"מפותחת",IF((--($U512="דל"))+(--($V512="אינו מפותח"))+(--($W512="דלה"))&gt;=2,"אינה מפותחת","חלקית"))))</f>
        <v/>
      </c>
      <c r="AA512" s="32">
        <f>IF($C512="","",IF(COUNTA($M512,$N512,$O512)&lt;3,"— חסרים נתונים",IF(OR($M512="נמוכה",(--($M512&lt;&gt;"תקינה"))+(--($N512&lt;&gt;"תקין"))+(--($O512&lt;&gt;"תקינה"))&gt;=2),"ניכרת","אינה ניכרת")))</f>
        <v/>
      </c>
      <c r="AB512" s="32">
        <f>IF(OR($C512="",$Y512="",$AA512="",LEFT($Y512,1)="—",LEFT($AA512,1)="—"),"",IF($Z512="","— נדרשת הערכת כתיבה",IF($L512="","— חסרה הבנת הנקרא",IF($Y512="אינה מדויקת או מקוטעת",IF($AA512="ניכרת","מיקוד בשטף הקריאה ובכישורי שפה","מיקוד בשטף קריאה"),IF($AA512="ניכרת","מיקוד בכישורי שפה",IF(AND($L512="תקינה",$Z512="מפותחת"),"קוראים וכותבים מיומנים","מיקוד בהבנה והבעה"))))))</f>
        <v/>
      </c>
      <c r="AC512" s="32">
        <f>IF(OR($AB512="",LEFT($AB512,1)="—"),"",IF(OR($AB512="מיקוד בשטף קריאה",$AB512="מיקוד בשטף הקריאה ובכישורי שפה"),"רמה א'",IF($AB512="קוראים וכותבים מיומנים","רמה ג'","רמה ב'")))</f>
        <v/>
      </c>
      <c r="AD512" s="32">
        <f>IF($AC512="","",MID(IF(AND($AC512="רמה א'",$AA512="ניכרת"),"; להוסיף עבודת אוצר מילים","")&amp;IF($Z512="אינה מפותחת","; דגש על הבעה בכתב","")&amp;IF($K512&lt;&gt;"תקין","; נדרש לעבוד על ההנגנה","")&amp;IF($AK512&lt;&gt;"","; "&amp;$AK512,""),3,400))</f>
        <v/>
      </c>
      <c r="AE512" s="32">
        <f>IF($F512="","",IF($F512="תחילת שנה",1,IF($F512="מחצית שנה",2,3)))</f>
        <v/>
      </c>
      <c r="AF512" s="32">
        <f>IF(OR($B512="",$AC512="",$A512="",$F512=""),"",$B512&amp;"|"&amp;$A512&amp;"|"&amp;$F512&amp;"|"&amp;$AC512&amp;"|"&amp;COUNTIFS($B$6:$B512,$B512,$A$6:$A512,$A512,$F$6:$F512,$F512,$AC$6:$AC512,$AC512))</f>
        <v/>
      </c>
      <c r="AG512" s="32">
        <f>IF($C512="","",$C512&amp;"|"&amp;COUNTIFS($C$6:$C512,$C512))</f>
        <v/>
      </c>
      <c r="AH512" s="32">
        <f>IF(OR($C512="",$A512="",$AE512=""),"",$C512&amp;"|"&amp;$A512&amp;"|"&amp;$AE512)</f>
        <v/>
      </c>
      <c r="AI512" s="32">
        <f>IF(OR($C512="",$AE512="",$AE512=1),"",IFERROR(INDEX($AC$6:$AC$1505,MATCH($C512&amp;"|"&amp;$A512&amp;"|"&amp;($AE512-1),$AH$6:$AH$1505,0)),""))</f>
        <v/>
      </c>
      <c r="AJ512" s="32">
        <f>IF(OR($AI512="",$AC512=""),"",IF($AI512=$AC512,"ללא שינוי","מ-"&amp;$AI512&amp;" ל-"&amp;$AC512))</f>
        <v/>
      </c>
      <c r="AK512" s="67" t="n"/>
    </row>
    <row r="513" ht="15.75" customHeight="1" s="58">
      <c r="A513" s="65" t="n"/>
      <c r="B513" s="65" t="n"/>
      <c r="C513" s="66" t="n"/>
      <c r="D513" s="66" t="n"/>
      <c r="E513" s="65" t="n"/>
      <c r="F513" s="65" t="n"/>
      <c r="G513" s="65" t="n"/>
      <c r="H513" s="65" t="n"/>
      <c r="I513" s="65" t="n"/>
      <c r="J513" s="65" t="n"/>
      <c r="K513" s="65" t="n"/>
      <c r="L513" s="65" t="n"/>
      <c r="M513" s="65" t="n"/>
      <c r="N513" s="65" t="n"/>
      <c r="O513" s="65" t="n"/>
      <c r="P513" s="65" t="n"/>
      <c r="Q513" s="65" t="n"/>
      <c r="R513" s="65" t="n"/>
      <c r="S513" s="65" t="n"/>
      <c r="T513" s="65" t="n"/>
      <c r="U513" s="65" t="n"/>
      <c r="V513" s="65" t="n"/>
      <c r="W513" s="65" t="n"/>
      <c r="X513" s="65" t="n"/>
      <c r="Y513" s="32">
        <f>IF($C513="","",IF(COUNTA($I513:$K513)&lt;3,"— חסרים נתונים",IF(AND($I513="תקין",$J513="תקין",$K513="תקין"),"רהוטה",IF(AND($I513="תקין",$J513="תקין"),"מדויקת ורציפה","אינה מדויקת או מקוטעת"))))</f>
        <v/>
      </c>
      <c r="Z513" s="32">
        <f>IF($C513="","",IF(COUNTA($U513:$W513)&lt;3,"",IF(AND($U513="מפותח",$V513="מפותח",$W513="מפותחת"),"מפותחת",IF((--($U513="דל"))+(--($V513="אינו מפותח"))+(--($W513="דלה"))&gt;=2,"אינה מפותחת","חלקית"))))</f>
        <v/>
      </c>
      <c r="AA513" s="32">
        <f>IF($C513="","",IF(COUNTA($M513,$N513,$O513)&lt;3,"— חסרים נתונים",IF(OR($M513="נמוכה",(--($M513&lt;&gt;"תקינה"))+(--($N513&lt;&gt;"תקין"))+(--($O513&lt;&gt;"תקינה"))&gt;=2),"ניכרת","אינה ניכרת")))</f>
        <v/>
      </c>
      <c r="AB513" s="32">
        <f>IF(OR($C513="",$Y513="",$AA513="",LEFT($Y513,1)="—",LEFT($AA513,1)="—"),"",IF($Z513="","— נדרשת הערכת כתיבה",IF($L513="","— חסרה הבנת הנקרא",IF($Y513="אינה מדויקת או מקוטעת",IF($AA513="ניכרת","מיקוד בשטף הקריאה ובכישורי שפה","מיקוד בשטף קריאה"),IF($AA513="ניכרת","מיקוד בכישורי שפה",IF(AND($L513="תקינה",$Z513="מפותחת"),"קוראים וכותבים מיומנים","מיקוד בהבנה והבעה"))))))</f>
        <v/>
      </c>
      <c r="AC513" s="32">
        <f>IF(OR($AB513="",LEFT($AB513,1)="—"),"",IF(OR($AB513="מיקוד בשטף קריאה",$AB513="מיקוד בשטף הקריאה ובכישורי שפה"),"רמה א'",IF($AB513="קוראים וכותבים מיומנים","רמה ג'","רמה ב'")))</f>
        <v/>
      </c>
      <c r="AD513" s="32">
        <f>IF($AC513="","",MID(IF(AND($AC513="רמה א'",$AA513="ניכרת"),"; להוסיף עבודת אוצר מילים","")&amp;IF($Z513="אינה מפותחת","; דגש על הבעה בכתב","")&amp;IF($K513&lt;&gt;"תקין","; נדרש לעבוד על ההנגנה","")&amp;IF($AK513&lt;&gt;"","; "&amp;$AK513,""),3,400))</f>
        <v/>
      </c>
      <c r="AE513" s="32">
        <f>IF($F513="","",IF($F513="תחילת שנה",1,IF($F513="מחצית שנה",2,3)))</f>
        <v/>
      </c>
      <c r="AF513" s="32">
        <f>IF(OR($B513="",$AC513="",$A513="",$F513=""),"",$B513&amp;"|"&amp;$A513&amp;"|"&amp;$F513&amp;"|"&amp;$AC513&amp;"|"&amp;COUNTIFS($B$6:$B513,$B513,$A$6:$A513,$A513,$F$6:$F513,$F513,$AC$6:$AC513,$AC513))</f>
        <v/>
      </c>
      <c r="AG513" s="32">
        <f>IF($C513="","",$C513&amp;"|"&amp;COUNTIFS($C$6:$C513,$C513))</f>
        <v/>
      </c>
      <c r="AH513" s="32">
        <f>IF(OR($C513="",$A513="",$AE513=""),"",$C513&amp;"|"&amp;$A513&amp;"|"&amp;$AE513)</f>
        <v/>
      </c>
      <c r="AI513" s="32">
        <f>IF(OR($C513="",$AE513="",$AE513=1),"",IFERROR(INDEX($AC$6:$AC$1505,MATCH($C513&amp;"|"&amp;$A513&amp;"|"&amp;($AE513-1),$AH$6:$AH$1505,0)),""))</f>
        <v/>
      </c>
      <c r="AJ513" s="32">
        <f>IF(OR($AI513="",$AC513=""),"",IF($AI513=$AC513,"ללא שינוי","מ-"&amp;$AI513&amp;" ל-"&amp;$AC513))</f>
        <v/>
      </c>
      <c r="AK513" s="67" t="n"/>
    </row>
    <row r="514" ht="15.75" customHeight="1" s="58">
      <c r="A514" s="65" t="n"/>
      <c r="B514" s="65" t="n"/>
      <c r="C514" s="66" t="n"/>
      <c r="D514" s="66" t="n"/>
      <c r="E514" s="65" t="n"/>
      <c r="F514" s="65" t="n"/>
      <c r="G514" s="65" t="n"/>
      <c r="H514" s="65" t="n"/>
      <c r="I514" s="65" t="n"/>
      <c r="J514" s="65" t="n"/>
      <c r="K514" s="65" t="n"/>
      <c r="L514" s="65" t="n"/>
      <c r="M514" s="65" t="n"/>
      <c r="N514" s="65" t="n"/>
      <c r="O514" s="65" t="n"/>
      <c r="P514" s="65" t="n"/>
      <c r="Q514" s="65" t="n"/>
      <c r="R514" s="65" t="n"/>
      <c r="S514" s="65" t="n"/>
      <c r="T514" s="65" t="n"/>
      <c r="U514" s="65" t="n"/>
      <c r="V514" s="65" t="n"/>
      <c r="W514" s="65" t="n"/>
      <c r="X514" s="65" t="n"/>
      <c r="Y514" s="32">
        <f>IF($C514="","",IF(COUNTA($I514:$K514)&lt;3,"— חסרים נתונים",IF(AND($I514="תקין",$J514="תקין",$K514="תקין"),"רהוטה",IF(AND($I514="תקין",$J514="תקין"),"מדויקת ורציפה","אינה מדויקת או מקוטעת"))))</f>
        <v/>
      </c>
      <c r="Z514" s="32">
        <f>IF($C514="","",IF(COUNTA($U514:$W514)&lt;3,"",IF(AND($U514="מפותח",$V514="מפותח",$W514="מפותחת"),"מפותחת",IF((--($U514="דל"))+(--($V514="אינו מפותח"))+(--($W514="דלה"))&gt;=2,"אינה מפותחת","חלקית"))))</f>
        <v/>
      </c>
      <c r="AA514" s="32">
        <f>IF($C514="","",IF(COUNTA($M514,$N514,$O514)&lt;3,"— חסרים נתונים",IF(OR($M514="נמוכה",(--($M514&lt;&gt;"תקינה"))+(--($N514&lt;&gt;"תקין"))+(--($O514&lt;&gt;"תקינה"))&gt;=2),"ניכרת","אינה ניכרת")))</f>
        <v/>
      </c>
      <c r="AB514" s="32">
        <f>IF(OR($C514="",$Y514="",$AA514="",LEFT($Y514,1)="—",LEFT($AA514,1)="—"),"",IF($Z514="","— נדרשת הערכת כתיבה",IF($L514="","— חסרה הבנת הנקרא",IF($Y514="אינה מדויקת או מקוטעת",IF($AA514="ניכרת","מיקוד בשטף הקריאה ובכישורי שפה","מיקוד בשטף קריאה"),IF($AA514="ניכרת","מיקוד בכישורי שפה",IF(AND($L514="תקינה",$Z514="מפותחת"),"קוראים וכותבים מיומנים","מיקוד בהבנה והבעה"))))))</f>
        <v/>
      </c>
      <c r="AC514" s="32">
        <f>IF(OR($AB514="",LEFT($AB514,1)="—"),"",IF(OR($AB514="מיקוד בשטף קריאה",$AB514="מיקוד בשטף הקריאה ובכישורי שפה"),"רמה א'",IF($AB514="קוראים וכותבים מיומנים","רמה ג'","רמה ב'")))</f>
        <v/>
      </c>
      <c r="AD514" s="32">
        <f>IF($AC514="","",MID(IF(AND($AC514="רמה א'",$AA514="ניכרת"),"; להוסיף עבודת אוצר מילים","")&amp;IF($Z514="אינה מפותחת","; דגש על הבעה בכתב","")&amp;IF($K514&lt;&gt;"תקין","; נדרש לעבוד על ההנגנה","")&amp;IF($AK514&lt;&gt;"","; "&amp;$AK514,""),3,400))</f>
        <v/>
      </c>
      <c r="AE514" s="32">
        <f>IF($F514="","",IF($F514="תחילת שנה",1,IF($F514="מחצית שנה",2,3)))</f>
        <v/>
      </c>
      <c r="AF514" s="32">
        <f>IF(OR($B514="",$AC514="",$A514="",$F514=""),"",$B514&amp;"|"&amp;$A514&amp;"|"&amp;$F514&amp;"|"&amp;$AC514&amp;"|"&amp;COUNTIFS($B$6:$B514,$B514,$A$6:$A514,$A514,$F$6:$F514,$F514,$AC$6:$AC514,$AC514))</f>
        <v/>
      </c>
      <c r="AG514" s="32">
        <f>IF($C514="","",$C514&amp;"|"&amp;COUNTIFS($C$6:$C514,$C514))</f>
        <v/>
      </c>
      <c r="AH514" s="32">
        <f>IF(OR($C514="",$A514="",$AE514=""),"",$C514&amp;"|"&amp;$A514&amp;"|"&amp;$AE514)</f>
        <v/>
      </c>
      <c r="AI514" s="32">
        <f>IF(OR($C514="",$AE514="",$AE514=1),"",IFERROR(INDEX($AC$6:$AC$1505,MATCH($C514&amp;"|"&amp;$A514&amp;"|"&amp;($AE514-1),$AH$6:$AH$1505,0)),""))</f>
        <v/>
      </c>
      <c r="AJ514" s="32">
        <f>IF(OR($AI514="",$AC514=""),"",IF($AI514=$AC514,"ללא שינוי","מ-"&amp;$AI514&amp;" ל-"&amp;$AC514))</f>
        <v/>
      </c>
      <c r="AK514" s="67" t="n"/>
    </row>
    <row r="515" ht="15.75" customHeight="1" s="58">
      <c r="A515" s="65" t="n"/>
      <c r="B515" s="65" t="n"/>
      <c r="C515" s="66" t="n"/>
      <c r="D515" s="66" t="n"/>
      <c r="E515" s="65" t="n"/>
      <c r="F515" s="65" t="n"/>
      <c r="G515" s="65" t="n"/>
      <c r="H515" s="65" t="n"/>
      <c r="I515" s="65" t="n"/>
      <c r="J515" s="65" t="n"/>
      <c r="K515" s="65" t="n"/>
      <c r="L515" s="65" t="n"/>
      <c r="M515" s="65" t="n"/>
      <c r="N515" s="65" t="n"/>
      <c r="O515" s="65" t="n"/>
      <c r="P515" s="65" t="n"/>
      <c r="Q515" s="65" t="n"/>
      <c r="R515" s="65" t="n"/>
      <c r="S515" s="65" t="n"/>
      <c r="T515" s="65" t="n"/>
      <c r="U515" s="65" t="n"/>
      <c r="V515" s="65" t="n"/>
      <c r="W515" s="65" t="n"/>
      <c r="X515" s="65" t="n"/>
      <c r="Y515" s="32">
        <f>IF($C515="","",IF(COUNTA($I515:$K515)&lt;3,"— חסרים נתונים",IF(AND($I515="תקין",$J515="תקין",$K515="תקין"),"רהוטה",IF(AND($I515="תקין",$J515="תקין"),"מדויקת ורציפה","אינה מדויקת או מקוטעת"))))</f>
        <v/>
      </c>
      <c r="Z515" s="32">
        <f>IF($C515="","",IF(COUNTA($U515:$W515)&lt;3,"",IF(AND($U515="מפותח",$V515="מפותח",$W515="מפותחת"),"מפותחת",IF((--($U515="דל"))+(--($V515="אינו מפותח"))+(--($W515="דלה"))&gt;=2,"אינה מפותחת","חלקית"))))</f>
        <v/>
      </c>
      <c r="AA515" s="32">
        <f>IF($C515="","",IF(COUNTA($M515,$N515,$O515)&lt;3,"— חסרים נתונים",IF(OR($M515="נמוכה",(--($M515&lt;&gt;"תקינה"))+(--($N515&lt;&gt;"תקין"))+(--($O515&lt;&gt;"תקינה"))&gt;=2),"ניכרת","אינה ניכרת")))</f>
        <v/>
      </c>
      <c r="AB515" s="32">
        <f>IF(OR($C515="",$Y515="",$AA515="",LEFT($Y515,1)="—",LEFT($AA515,1)="—"),"",IF($Z515="","— נדרשת הערכת כתיבה",IF($L515="","— חסרה הבנת הנקרא",IF($Y515="אינה מדויקת או מקוטעת",IF($AA515="ניכרת","מיקוד בשטף הקריאה ובכישורי שפה","מיקוד בשטף קריאה"),IF($AA515="ניכרת","מיקוד בכישורי שפה",IF(AND($L515="תקינה",$Z515="מפותחת"),"קוראים וכותבים מיומנים","מיקוד בהבנה והבעה"))))))</f>
        <v/>
      </c>
      <c r="AC515" s="32">
        <f>IF(OR($AB515="",LEFT($AB515,1)="—"),"",IF(OR($AB515="מיקוד בשטף קריאה",$AB515="מיקוד בשטף הקריאה ובכישורי שפה"),"רמה א'",IF($AB515="קוראים וכותבים מיומנים","רמה ג'","רמה ב'")))</f>
        <v/>
      </c>
      <c r="AD515" s="32">
        <f>IF($AC515="","",MID(IF(AND($AC515="רמה א'",$AA515="ניכרת"),"; להוסיף עבודת אוצר מילים","")&amp;IF($Z515="אינה מפותחת","; דגש על הבעה בכתב","")&amp;IF($K515&lt;&gt;"תקין","; נדרש לעבוד על ההנגנה","")&amp;IF($AK515&lt;&gt;"","; "&amp;$AK515,""),3,400))</f>
        <v/>
      </c>
      <c r="AE515" s="32">
        <f>IF($F515="","",IF($F515="תחילת שנה",1,IF($F515="מחצית שנה",2,3)))</f>
        <v/>
      </c>
      <c r="AF515" s="32">
        <f>IF(OR($B515="",$AC515="",$A515="",$F515=""),"",$B515&amp;"|"&amp;$A515&amp;"|"&amp;$F515&amp;"|"&amp;$AC515&amp;"|"&amp;COUNTIFS($B$6:$B515,$B515,$A$6:$A515,$A515,$F$6:$F515,$F515,$AC$6:$AC515,$AC515))</f>
        <v/>
      </c>
      <c r="AG515" s="32">
        <f>IF($C515="","",$C515&amp;"|"&amp;COUNTIFS($C$6:$C515,$C515))</f>
        <v/>
      </c>
      <c r="AH515" s="32">
        <f>IF(OR($C515="",$A515="",$AE515=""),"",$C515&amp;"|"&amp;$A515&amp;"|"&amp;$AE515)</f>
        <v/>
      </c>
      <c r="AI515" s="32">
        <f>IF(OR($C515="",$AE515="",$AE515=1),"",IFERROR(INDEX($AC$6:$AC$1505,MATCH($C515&amp;"|"&amp;$A515&amp;"|"&amp;($AE515-1),$AH$6:$AH$1505,0)),""))</f>
        <v/>
      </c>
      <c r="AJ515" s="32">
        <f>IF(OR($AI515="",$AC515=""),"",IF($AI515=$AC515,"ללא שינוי","מ-"&amp;$AI515&amp;" ל-"&amp;$AC515))</f>
        <v/>
      </c>
      <c r="AK515" s="67" t="n"/>
    </row>
    <row r="516" ht="15.75" customHeight="1" s="58">
      <c r="A516" s="65" t="n"/>
      <c r="B516" s="65" t="n"/>
      <c r="C516" s="66" t="n"/>
      <c r="D516" s="66" t="n"/>
      <c r="E516" s="65" t="n"/>
      <c r="F516" s="65" t="n"/>
      <c r="G516" s="65" t="n"/>
      <c r="H516" s="65" t="n"/>
      <c r="I516" s="65" t="n"/>
      <c r="J516" s="65" t="n"/>
      <c r="K516" s="65" t="n"/>
      <c r="L516" s="65" t="n"/>
      <c r="M516" s="65" t="n"/>
      <c r="N516" s="65" t="n"/>
      <c r="O516" s="65" t="n"/>
      <c r="P516" s="65" t="n"/>
      <c r="Q516" s="65" t="n"/>
      <c r="R516" s="65" t="n"/>
      <c r="S516" s="65" t="n"/>
      <c r="T516" s="65" t="n"/>
      <c r="U516" s="65" t="n"/>
      <c r="V516" s="65" t="n"/>
      <c r="W516" s="65" t="n"/>
      <c r="X516" s="65" t="n"/>
      <c r="Y516" s="32">
        <f>IF($C516="","",IF(COUNTA($I516:$K516)&lt;3,"— חסרים נתונים",IF(AND($I516="תקין",$J516="תקין",$K516="תקין"),"רהוטה",IF(AND($I516="תקין",$J516="תקין"),"מדויקת ורציפה","אינה מדויקת או מקוטעת"))))</f>
        <v/>
      </c>
      <c r="Z516" s="32">
        <f>IF($C516="","",IF(COUNTA($U516:$W516)&lt;3,"",IF(AND($U516="מפותח",$V516="מפותח",$W516="מפותחת"),"מפותחת",IF((--($U516="דל"))+(--($V516="אינו מפותח"))+(--($W516="דלה"))&gt;=2,"אינה מפותחת","חלקית"))))</f>
        <v/>
      </c>
      <c r="AA516" s="32">
        <f>IF($C516="","",IF(COUNTA($M516,$N516,$O516)&lt;3,"— חסרים נתונים",IF(OR($M516="נמוכה",(--($M516&lt;&gt;"תקינה"))+(--($N516&lt;&gt;"תקין"))+(--($O516&lt;&gt;"תקינה"))&gt;=2),"ניכרת","אינה ניכרת")))</f>
        <v/>
      </c>
      <c r="AB516" s="32">
        <f>IF(OR($C516="",$Y516="",$AA516="",LEFT($Y516,1)="—",LEFT($AA516,1)="—"),"",IF($Z516="","— נדרשת הערכת כתיבה",IF($L516="","— חסרה הבנת הנקרא",IF($Y516="אינה מדויקת או מקוטעת",IF($AA516="ניכרת","מיקוד בשטף הקריאה ובכישורי שפה","מיקוד בשטף קריאה"),IF($AA516="ניכרת","מיקוד בכישורי שפה",IF(AND($L516="תקינה",$Z516="מפותחת"),"קוראים וכותבים מיומנים","מיקוד בהבנה והבעה"))))))</f>
        <v/>
      </c>
      <c r="AC516" s="32">
        <f>IF(OR($AB516="",LEFT($AB516,1)="—"),"",IF(OR($AB516="מיקוד בשטף קריאה",$AB516="מיקוד בשטף הקריאה ובכישורי שפה"),"רמה א'",IF($AB516="קוראים וכותבים מיומנים","רמה ג'","רמה ב'")))</f>
        <v/>
      </c>
      <c r="AD516" s="32">
        <f>IF($AC516="","",MID(IF(AND($AC516="רמה א'",$AA516="ניכרת"),"; להוסיף עבודת אוצר מילים","")&amp;IF($Z516="אינה מפותחת","; דגש על הבעה בכתב","")&amp;IF($K516&lt;&gt;"תקין","; נדרש לעבוד על ההנגנה","")&amp;IF($AK516&lt;&gt;"","; "&amp;$AK516,""),3,400))</f>
        <v/>
      </c>
      <c r="AE516" s="32">
        <f>IF($F516="","",IF($F516="תחילת שנה",1,IF($F516="מחצית שנה",2,3)))</f>
        <v/>
      </c>
      <c r="AF516" s="32">
        <f>IF(OR($B516="",$AC516="",$A516="",$F516=""),"",$B516&amp;"|"&amp;$A516&amp;"|"&amp;$F516&amp;"|"&amp;$AC516&amp;"|"&amp;COUNTIFS($B$6:$B516,$B516,$A$6:$A516,$A516,$F$6:$F516,$F516,$AC$6:$AC516,$AC516))</f>
        <v/>
      </c>
      <c r="AG516" s="32">
        <f>IF($C516="","",$C516&amp;"|"&amp;COUNTIFS($C$6:$C516,$C516))</f>
        <v/>
      </c>
      <c r="AH516" s="32">
        <f>IF(OR($C516="",$A516="",$AE516=""),"",$C516&amp;"|"&amp;$A516&amp;"|"&amp;$AE516)</f>
        <v/>
      </c>
      <c r="AI516" s="32">
        <f>IF(OR($C516="",$AE516="",$AE516=1),"",IFERROR(INDEX($AC$6:$AC$1505,MATCH($C516&amp;"|"&amp;$A516&amp;"|"&amp;($AE516-1),$AH$6:$AH$1505,0)),""))</f>
        <v/>
      </c>
      <c r="AJ516" s="32">
        <f>IF(OR($AI516="",$AC516=""),"",IF($AI516=$AC516,"ללא שינוי","מ-"&amp;$AI516&amp;" ל-"&amp;$AC516))</f>
        <v/>
      </c>
      <c r="AK516" s="67" t="n"/>
    </row>
    <row r="517" ht="15.75" customHeight="1" s="58">
      <c r="A517" s="65" t="n"/>
      <c r="B517" s="65" t="n"/>
      <c r="C517" s="66" t="n"/>
      <c r="D517" s="66" t="n"/>
      <c r="E517" s="65" t="n"/>
      <c r="F517" s="65" t="n"/>
      <c r="G517" s="65" t="n"/>
      <c r="H517" s="65" t="n"/>
      <c r="I517" s="65" t="n"/>
      <c r="J517" s="65" t="n"/>
      <c r="K517" s="65" t="n"/>
      <c r="L517" s="65" t="n"/>
      <c r="M517" s="65" t="n"/>
      <c r="N517" s="65" t="n"/>
      <c r="O517" s="65" t="n"/>
      <c r="P517" s="65" t="n"/>
      <c r="Q517" s="65" t="n"/>
      <c r="R517" s="65" t="n"/>
      <c r="S517" s="65" t="n"/>
      <c r="T517" s="65" t="n"/>
      <c r="U517" s="65" t="n"/>
      <c r="V517" s="65" t="n"/>
      <c r="W517" s="65" t="n"/>
      <c r="X517" s="65" t="n"/>
      <c r="Y517" s="32">
        <f>IF($C517="","",IF(COUNTA($I517:$K517)&lt;3,"— חסרים נתונים",IF(AND($I517="תקין",$J517="תקין",$K517="תקין"),"רהוטה",IF(AND($I517="תקין",$J517="תקין"),"מדויקת ורציפה","אינה מדויקת או מקוטעת"))))</f>
        <v/>
      </c>
      <c r="Z517" s="32">
        <f>IF($C517="","",IF(COUNTA($U517:$W517)&lt;3,"",IF(AND($U517="מפותח",$V517="מפותח",$W517="מפותחת"),"מפותחת",IF((--($U517="דל"))+(--($V517="אינו מפותח"))+(--($W517="דלה"))&gt;=2,"אינה מפותחת","חלקית"))))</f>
        <v/>
      </c>
      <c r="AA517" s="32">
        <f>IF($C517="","",IF(COUNTA($M517,$N517,$O517)&lt;3,"— חסרים נתונים",IF(OR($M517="נמוכה",(--($M517&lt;&gt;"תקינה"))+(--($N517&lt;&gt;"תקין"))+(--($O517&lt;&gt;"תקינה"))&gt;=2),"ניכרת","אינה ניכרת")))</f>
        <v/>
      </c>
      <c r="AB517" s="32">
        <f>IF(OR($C517="",$Y517="",$AA517="",LEFT($Y517,1)="—",LEFT($AA517,1)="—"),"",IF($Z517="","— נדרשת הערכת כתיבה",IF($L517="","— חסרה הבנת הנקרא",IF($Y517="אינה מדויקת או מקוטעת",IF($AA517="ניכרת","מיקוד בשטף הקריאה ובכישורי שפה","מיקוד בשטף קריאה"),IF($AA517="ניכרת","מיקוד בכישורי שפה",IF(AND($L517="תקינה",$Z517="מפותחת"),"קוראים וכותבים מיומנים","מיקוד בהבנה והבעה"))))))</f>
        <v/>
      </c>
      <c r="AC517" s="32">
        <f>IF(OR($AB517="",LEFT($AB517,1)="—"),"",IF(OR($AB517="מיקוד בשטף קריאה",$AB517="מיקוד בשטף הקריאה ובכישורי שפה"),"רמה א'",IF($AB517="קוראים וכותבים מיומנים","רמה ג'","רמה ב'")))</f>
        <v/>
      </c>
      <c r="AD517" s="32">
        <f>IF($AC517="","",MID(IF(AND($AC517="רמה א'",$AA517="ניכרת"),"; להוסיף עבודת אוצר מילים","")&amp;IF($Z517="אינה מפותחת","; דגש על הבעה בכתב","")&amp;IF($K517&lt;&gt;"תקין","; נדרש לעבוד על ההנגנה","")&amp;IF($AK517&lt;&gt;"","; "&amp;$AK517,""),3,400))</f>
        <v/>
      </c>
      <c r="AE517" s="32">
        <f>IF($F517="","",IF($F517="תחילת שנה",1,IF($F517="מחצית שנה",2,3)))</f>
        <v/>
      </c>
      <c r="AF517" s="32">
        <f>IF(OR($B517="",$AC517="",$A517="",$F517=""),"",$B517&amp;"|"&amp;$A517&amp;"|"&amp;$F517&amp;"|"&amp;$AC517&amp;"|"&amp;COUNTIFS($B$6:$B517,$B517,$A$6:$A517,$A517,$F$6:$F517,$F517,$AC$6:$AC517,$AC517))</f>
        <v/>
      </c>
      <c r="AG517" s="32">
        <f>IF($C517="","",$C517&amp;"|"&amp;COUNTIFS($C$6:$C517,$C517))</f>
        <v/>
      </c>
      <c r="AH517" s="32">
        <f>IF(OR($C517="",$A517="",$AE517=""),"",$C517&amp;"|"&amp;$A517&amp;"|"&amp;$AE517)</f>
        <v/>
      </c>
      <c r="AI517" s="32">
        <f>IF(OR($C517="",$AE517="",$AE517=1),"",IFERROR(INDEX($AC$6:$AC$1505,MATCH($C517&amp;"|"&amp;$A517&amp;"|"&amp;($AE517-1),$AH$6:$AH$1505,0)),""))</f>
        <v/>
      </c>
      <c r="AJ517" s="32">
        <f>IF(OR($AI517="",$AC517=""),"",IF($AI517=$AC517,"ללא שינוי","מ-"&amp;$AI517&amp;" ל-"&amp;$AC517))</f>
        <v/>
      </c>
      <c r="AK517" s="67" t="n"/>
    </row>
    <row r="518" ht="15.75" customHeight="1" s="58">
      <c r="A518" s="65" t="n"/>
      <c r="B518" s="65" t="n"/>
      <c r="C518" s="66" t="n"/>
      <c r="D518" s="66" t="n"/>
      <c r="E518" s="65" t="n"/>
      <c r="F518" s="65" t="n"/>
      <c r="G518" s="65" t="n"/>
      <c r="H518" s="65" t="n"/>
      <c r="I518" s="65" t="n"/>
      <c r="J518" s="65" t="n"/>
      <c r="K518" s="65" t="n"/>
      <c r="L518" s="65" t="n"/>
      <c r="M518" s="65" t="n"/>
      <c r="N518" s="65" t="n"/>
      <c r="O518" s="65" t="n"/>
      <c r="P518" s="65" t="n"/>
      <c r="Q518" s="65" t="n"/>
      <c r="R518" s="65" t="n"/>
      <c r="S518" s="65" t="n"/>
      <c r="T518" s="65" t="n"/>
      <c r="U518" s="65" t="n"/>
      <c r="V518" s="65" t="n"/>
      <c r="W518" s="65" t="n"/>
      <c r="X518" s="65" t="n"/>
      <c r="Y518" s="32">
        <f>IF($C518="","",IF(COUNTA($I518:$K518)&lt;3,"— חסרים נתונים",IF(AND($I518="תקין",$J518="תקין",$K518="תקין"),"רהוטה",IF(AND($I518="תקין",$J518="תקין"),"מדויקת ורציפה","אינה מדויקת או מקוטעת"))))</f>
        <v/>
      </c>
      <c r="Z518" s="32">
        <f>IF($C518="","",IF(COUNTA($U518:$W518)&lt;3,"",IF(AND($U518="מפותח",$V518="מפותח",$W518="מפותחת"),"מפותחת",IF((--($U518="דל"))+(--($V518="אינו מפותח"))+(--($W518="דלה"))&gt;=2,"אינה מפותחת","חלקית"))))</f>
        <v/>
      </c>
      <c r="AA518" s="32">
        <f>IF($C518="","",IF(COUNTA($M518,$N518,$O518)&lt;3,"— חסרים נתונים",IF(OR($M518="נמוכה",(--($M518&lt;&gt;"תקינה"))+(--($N518&lt;&gt;"תקין"))+(--($O518&lt;&gt;"תקינה"))&gt;=2),"ניכרת","אינה ניכרת")))</f>
        <v/>
      </c>
      <c r="AB518" s="32">
        <f>IF(OR($C518="",$Y518="",$AA518="",LEFT($Y518,1)="—",LEFT($AA518,1)="—"),"",IF($Z518="","— נדרשת הערכת כתיבה",IF($L518="","— חסרה הבנת הנקרא",IF($Y518="אינה מדויקת או מקוטעת",IF($AA518="ניכרת","מיקוד בשטף הקריאה ובכישורי שפה","מיקוד בשטף קריאה"),IF($AA518="ניכרת","מיקוד בכישורי שפה",IF(AND($L518="תקינה",$Z518="מפותחת"),"קוראים וכותבים מיומנים","מיקוד בהבנה והבעה"))))))</f>
        <v/>
      </c>
      <c r="AC518" s="32">
        <f>IF(OR($AB518="",LEFT($AB518,1)="—"),"",IF(OR($AB518="מיקוד בשטף קריאה",$AB518="מיקוד בשטף הקריאה ובכישורי שפה"),"רמה א'",IF($AB518="קוראים וכותבים מיומנים","רמה ג'","רמה ב'")))</f>
        <v/>
      </c>
      <c r="AD518" s="32">
        <f>IF($AC518="","",MID(IF(AND($AC518="רמה א'",$AA518="ניכרת"),"; להוסיף עבודת אוצר מילים","")&amp;IF($Z518="אינה מפותחת","; דגש על הבעה בכתב","")&amp;IF($K518&lt;&gt;"תקין","; נדרש לעבוד על ההנגנה","")&amp;IF($AK518&lt;&gt;"","; "&amp;$AK518,""),3,400))</f>
        <v/>
      </c>
      <c r="AE518" s="32">
        <f>IF($F518="","",IF($F518="תחילת שנה",1,IF($F518="מחצית שנה",2,3)))</f>
        <v/>
      </c>
      <c r="AF518" s="32">
        <f>IF(OR($B518="",$AC518="",$A518="",$F518=""),"",$B518&amp;"|"&amp;$A518&amp;"|"&amp;$F518&amp;"|"&amp;$AC518&amp;"|"&amp;COUNTIFS($B$6:$B518,$B518,$A$6:$A518,$A518,$F$6:$F518,$F518,$AC$6:$AC518,$AC518))</f>
        <v/>
      </c>
      <c r="AG518" s="32">
        <f>IF($C518="","",$C518&amp;"|"&amp;COUNTIFS($C$6:$C518,$C518))</f>
        <v/>
      </c>
      <c r="AH518" s="32">
        <f>IF(OR($C518="",$A518="",$AE518=""),"",$C518&amp;"|"&amp;$A518&amp;"|"&amp;$AE518)</f>
        <v/>
      </c>
      <c r="AI518" s="32">
        <f>IF(OR($C518="",$AE518="",$AE518=1),"",IFERROR(INDEX($AC$6:$AC$1505,MATCH($C518&amp;"|"&amp;$A518&amp;"|"&amp;($AE518-1),$AH$6:$AH$1505,0)),""))</f>
        <v/>
      </c>
      <c r="AJ518" s="32">
        <f>IF(OR($AI518="",$AC518=""),"",IF($AI518=$AC518,"ללא שינוי","מ-"&amp;$AI518&amp;" ל-"&amp;$AC518))</f>
        <v/>
      </c>
      <c r="AK518" s="67" t="n"/>
    </row>
    <row r="519" ht="15.75" customHeight="1" s="58">
      <c r="A519" s="65" t="n"/>
      <c r="B519" s="65" t="n"/>
      <c r="C519" s="66" t="n"/>
      <c r="D519" s="66" t="n"/>
      <c r="E519" s="65" t="n"/>
      <c r="F519" s="65" t="n"/>
      <c r="G519" s="65" t="n"/>
      <c r="H519" s="65" t="n"/>
      <c r="I519" s="65" t="n"/>
      <c r="J519" s="65" t="n"/>
      <c r="K519" s="65" t="n"/>
      <c r="L519" s="65" t="n"/>
      <c r="M519" s="65" t="n"/>
      <c r="N519" s="65" t="n"/>
      <c r="O519" s="65" t="n"/>
      <c r="P519" s="65" t="n"/>
      <c r="Q519" s="65" t="n"/>
      <c r="R519" s="65" t="n"/>
      <c r="S519" s="65" t="n"/>
      <c r="T519" s="65" t="n"/>
      <c r="U519" s="65" t="n"/>
      <c r="V519" s="65" t="n"/>
      <c r="W519" s="65" t="n"/>
      <c r="X519" s="65" t="n"/>
      <c r="Y519" s="32">
        <f>IF($C519="","",IF(COUNTA($I519:$K519)&lt;3,"— חסרים נתונים",IF(AND($I519="תקין",$J519="תקין",$K519="תקין"),"רהוטה",IF(AND($I519="תקין",$J519="תקין"),"מדויקת ורציפה","אינה מדויקת או מקוטעת"))))</f>
        <v/>
      </c>
      <c r="Z519" s="32">
        <f>IF($C519="","",IF(COUNTA($U519:$W519)&lt;3,"",IF(AND($U519="מפותח",$V519="מפותח",$W519="מפותחת"),"מפותחת",IF((--($U519="דל"))+(--($V519="אינו מפותח"))+(--($W519="דלה"))&gt;=2,"אינה מפותחת","חלקית"))))</f>
        <v/>
      </c>
      <c r="AA519" s="32">
        <f>IF($C519="","",IF(COUNTA($M519,$N519,$O519)&lt;3,"— חסרים נתונים",IF(OR($M519="נמוכה",(--($M519&lt;&gt;"תקינה"))+(--($N519&lt;&gt;"תקין"))+(--($O519&lt;&gt;"תקינה"))&gt;=2),"ניכרת","אינה ניכרת")))</f>
        <v/>
      </c>
      <c r="AB519" s="32">
        <f>IF(OR($C519="",$Y519="",$AA519="",LEFT($Y519,1)="—",LEFT($AA519,1)="—"),"",IF($Z519="","— נדרשת הערכת כתיבה",IF($L519="","— חסרה הבנת הנקרא",IF($Y519="אינה מדויקת או מקוטעת",IF($AA519="ניכרת","מיקוד בשטף הקריאה ובכישורי שפה","מיקוד בשטף קריאה"),IF($AA519="ניכרת","מיקוד בכישורי שפה",IF(AND($L519="תקינה",$Z519="מפותחת"),"קוראים וכותבים מיומנים","מיקוד בהבנה והבעה"))))))</f>
        <v/>
      </c>
      <c r="AC519" s="32">
        <f>IF(OR($AB519="",LEFT($AB519,1)="—"),"",IF(OR($AB519="מיקוד בשטף קריאה",$AB519="מיקוד בשטף הקריאה ובכישורי שפה"),"רמה א'",IF($AB519="קוראים וכותבים מיומנים","רמה ג'","רמה ב'")))</f>
        <v/>
      </c>
      <c r="AD519" s="32">
        <f>IF($AC519="","",MID(IF(AND($AC519="רמה א'",$AA519="ניכרת"),"; להוסיף עבודת אוצר מילים","")&amp;IF($Z519="אינה מפותחת","; דגש על הבעה בכתב","")&amp;IF($K519&lt;&gt;"תקין","; נדרש לעבוד על ההנגנה","")&amp;IF($AK519&lt;&gt;"","; "&amp;$AK519,""),3,400))</f>
        <v/>
      </c>
      <c r="AE519" s="32">
        <f>IF($F519="","",IF($F519="תחילת שנה",1,IF($F519="מחצית שנה",2,3)))</f>
        <v/>
      </c>
      <c r="AF519" s="32">
        <f>IF(OR($B519="",$AC519="",$A519="",$F519=""),"",$B519&amp;"|"&amp;$A519&amp;"|"&amp;$F519&amp;"|"&amp;$AC519&amp;"|"&amp;COUNTIFS($B$6:$B519,$B519,$A$6:$A519,$A519,$F$6:$F519,$F519,$AC$6:$AC519,$AC519))</f>
        <v/>
      </c>
      <c r="AG519" s="32">
        <f>IF($C519="","",$C519&amp;"|"&amp;COUNTIFS($C$6:$C519,$C519))</f>
        <v/>
      </c>
      <c r="AH519" s="32">
        <f>IF(OR($C519="",$A519="",$AE519=""),"",$C519&amp;"|"&amp;$A519&amp;"|"&amp;$AE519)</f>
        <v/>
      </c>
      <c r="AI519" s="32">
        <f>IF(OR($C519="",$AE519="",$AE519=1),"",IFERROR(INDEX($AC$6:$AC$1505,MATCH($C519&amp;"|"&amp;$A519&amp;"|"&amp;($AE519-1),$AH$6:$AH$1505,0)),""))</f>
        <v/>
      </c>
      <c r="AJ519" s="32">
        <f>IF(OR($AI519="",$AC519=""),"",IF($AI519=$AC519,"ללא שינוי","מ-"&amp;$AI519&amp;" ל-"&amp;$AC519))</f>
        <v/>
      </c>
      <c r="AK519" s="67" t="n"/>
    </row>
    <row r="520" ht="15.75" customHeight="1" s="58">
      <c r="A520" s="65" t="n"/>
      <c r="B520" s="65" t="n"/>
      <c r="C520" s="66" t="n"/>
      <c r="D520" s="66" t="n"/>
      <c r="E520" s="65" t="n"/>
      <c r="F520" s="65" t="n"/>
      <c r="G520" s="65" t="n"/>
      <c r="H520" s="65" t="n"/>
      <c r="I520" s="65" t="n"/>
      <c r="J520" s="65" t="n"/>
      <c r="K520" s="65" t="n"/>
      <c r="L520" s="65" t="n"/>
      <c r="M520" s="65" t="n"/>
      <c r="N520" s="65" t="n"/>
      <c r="O520" s="65" t="n"/>
      <c r="P520" s="65" t="n"/>
      <c r="Q520" s="65" t="n"/>
      <c r="R520" s="65" t="n"/>
      <c r="S520" s="65" t="n"/>
      <c r="T520" s="65" t="n"/>
      <c r="U520" s="65" t="n"/>
      <c r="V520" s="65" t="n"/>
      <c r="W520" s="65" t="n"/>
      <c r="X520" s="65" t="n"/>
      <c r="Y520" s="32">
        <f>IF($C520="","",IF(COUNTA($I520:$K520)&lt;3,"— חסרים נתונים",IF(AND($I520="תקין",$J520="תקין",$K520="תקין"),"רהוטה",IF(AND($I520="תקין",$J520="תקין"),"מדויקת ורציפה","אינה מדויקת או מקוטעת"))))</f>
        <v/>
      </c>
      <c r="Z520" s="32">
        <f>IF($C520="","",IF(COUNTA($U520:$W520)&lt;3,"",IF(AND($U520="מפותח",$V520="מפותח",$W520="מפותחת"),"מפותחת",IF((--($U520="דל"))+(--($V520="אינו מפותח"))+(--($W520="דלה"))&gt;=2,"אינה מפותחת","חלקית"))))</f>
        <v/>
      </c>
      <c r="AA520" s="32">
        <f>IF($C520="","",IF(COUNTA($M520,$N520,$O520)&lt;3,"— חסרים נתונים",IF(OR($M520="נמוכה",(--($M520&lt;&gt;"תקינה"))+(--($N520&lt;&gt;"תקין"))+(--($O520&lt;&gt;"תקינה"))&gt;=2),"ניכרת","אינה ניכרת")))</f>
        <v/>
      </c>
      <c r="AB520" s="32">
        <f>IF(OR($C520="",$Y520="",$AA520="",LEFT($Y520,1)="—",LEFT($AA520,1)="—"),"",IF($Z520="","— נדרשת הערכת כתיבה",IF($L520="","— חסרה הבנת הנקרא",IF($Y520="אינה מדויקת או מקוטעת",IF($AA520="ניכרת","מיקוד בשטף הקריאה ובכישורי שפה","מיקוד בשטף קריאה"),IF($AA520="ניכרת","מיקוד בכישורי שפה",IF(AND($L520="תקינה",$Z520="מפותחת"),"קוראים וכותבים מיומנים","מיקוד בהבנה והבעה"))))))</f>
        <v/>
      </c>
      <c r="AC520" s="32">
        <f>IF(OR($AB520="",LEFT($AB520,1)="—"),"",IF(OR($AB520="מיקוד בשטף קריאה",$AB520="מיקוד בשטף הקריאה ובכישורי שפה"),"רמה א'",IF($AB520="קוראים וכותבים מיומנים","רמה ג'","רמה ב'")))</f>
        <v/>
      </c>
      <c r="AD520" s="32">
        <f>IF($AC520="","",MID(IF(AND($AC520="רמה א'",$AA520="ניכרת"),"; להוסיף עבודת אוצר מילים","")&amp;IF($Z520="אינה מפותחת","; דגש על הבעה בכתב","")&amp;IF($K520&lt;&gt;"תקין","; נדרש לעבוד על ההנגנה","")&amp;IF($AK520&lt;&gt;"","; "&amp;$AK520,""),3,400))</f>
        <v/>
      </c>
      <c r="AE520" s="32">
        <f>IF($F520="","",IF($F520="תחילת שנה",1,IF($F520="מחצית שנה",2,3)))</f>
        <v/>
      </c>
      <c r="AF520" s="32">
        <f>IF(OR($B520="",$AC520="",$A520="",$F520=""),"",$B520&amp;"|"&amp;$A520&amp;"|"&amp;$F520&amp;"|"&amp;$AC520&amp;"|"&amp;COUNTIFS($B$6:$B520,$B520,$A$6:$A520,$A520,$F$6:$F520,$F520,$AC$6:$AC520,$AC520))</f>
        <v/>
      </c>
      <c r="AG520" s="32">
        <f>IF($C520="","",$C520&amp;"|"&amp;COUNTIFS($C$6:$C520,$C520))</f>
        <v/>
      </c>
      <c r="AH520" s="32">
        <f>IF(OR($C520="",$A520="",$AE520=""),"",$C520&amp;"|"&amp;$A520&amp;"|"&amp;$AE520)</f>
        <v/>
      </c>
      <c r="AI520" s="32">
        <f>IF(OR($C520="",$AE520="",$AE520=1),"",IFERROR(INDEX($AC$6:$AC$1505,MATCH($C520&amp;"|"&amp;$A520&amp;"|"&amp;($AE520-1),$AH$6:$AH$1505,0)),""))</f>
        <v/>
      </c>
      <c r="AJ520" s="32">
        <f>IF(OR($AI520="",$AC520=""),"",IF($AI520=$AC520,"ללא שינוי","מ-"&amp;$AI520&amp;" ל-"&amp;$AC520))</f>
        <v/>
      </c>
      <c r="AK520" s="67" t="n"/>
    </row>
    <row r="521" ht="15.75" customHeight="1" s="58">
      <c r="A521" s="65" t="n"/>
      <c r="B521" s="65" t="n"/>
      <c r="C521" s="66" t="n"/>
      <c r="D521" s="66" t="n"/>
      <c r="E521" s="65" t="n"/>
      <c r="F521" s="65" t="n"/>
      <c r="G521" s="65" t="n"/>
      <c r="H521" s="65" t="n"/>
      <c r="I521" s="65" t="n"/>
      <c r="J521" s="65" t="n"/>
      <c r="K521" s="65" t="n"/>
      <c r="L521" s="65" t="n"/>
      <c r="M521" s="65" t="n"/>
      <c r="N521" s="65" t="n"/>
      <c r="O521" s="65" t="n"/>
      <c r="P521" s="65" t="n"/>
      <c r="Q521" s="65" t="n"/>
      <c r="R521" s="65" t="n"/>
      <c r="S521" s="65" t="n"/>
      <c r="T521" s="65" t="n"/>
      <c r="U521" s="65" t="n"/>
      <c r="V521" s="65" t="n"/>
      <c r="W521" s="65" t="n"/>
      <c r="X521" s="65" t="n"/>
      <c r="Y521" s="32">
        <f>IF($C521="","",IF(COUNTA($I521:$K521)&lt;3,"— חסרים נתונים",IF(AND($I521="תקין",$J521="תקין",$K521="תקין"),"רהוטה",IF(AND($I521="תקין",$J521="תקין"),"מדויקת ורציפה","אינה מדויקת או מקוטעת"))))</f>
        <v/>
      </c>
      <c r="Z521" s="32">
        <f>IF($C521="","",IF(COUNTA($U521:$W521)&lt;3,"",IF(AND($U521="מפותח",$V521="מפותח",$W521="מפותחת"),"מפותחת",IF((--($U521="דל"))+(--($V521="אינו מפותח"))+(--($W521="דלה"))&gt;=2,"אינה מפותחת","חלקית"))))</f>
        <v/>
      </c>
      <c r="AA521" s="32">
        <f>IF($C521="","",IF(COUNTA($M521,$N521,$O521)&lt;3,"— חסרים נתונים",IF(OR($M521="נמוכה",(--($M521&lt;&gt;"תקינה"))+(--($N521&lt;&gt;"תקין"))+(--($O521&lt;&gt;"תקינה"))&gt;=2),"ניכרת","אינה ניכרת")))</f>
        <v/>
      </c>
      <c r="AB521" s="32">
        <f>IF(OR($C521="",$Y521="",$AA521="",LEFT($Y521,1)="—",LEFT($AA521,1)="—"),"",IF($Z521="","— נדרשת הערכת כתיבה",IF($L521="","— חסרה הבנת הנקרא",IF($Y521="אינה מדויקת או מקוטעת",IF($AA521="ניכרת","מיקוד בשטף הקריאה ובכישורי שפה","מיקוד בשטף קריאה"),IF($AA521="ניכרת","מיקוד בכישורי שפה",IF(AND($L521="תקינה",$Z521="מפותחת"),"קוראים וכותבים מיומנים","מיקוד בהבנה והבעה"))))))</f>
        <v/>
      </c>
      <c r="AC521" s="32">
        <f>IF(OR($AB521="",LEFT($AB521,1)="—"),"",IF(OR($AB521="מיקוד בשטף קריאה",$AB521="מיקוד בשטף הקריאה ובכישורי שפה"),"רמה א'",IF($AB521="קוראים וכותבים מיומנים","רמה ג'","רמה ב'")))</f>
        <v/>
      </c>
      <c r="AD521" s="32">
        <f>IF($AC521="","",MID(IF(AND($AC521="רמה א'",$AA521="ניכרת"),"; להוסיף עבודת אוצר מילים","")&amp;IF($Z521="אינה מפותחת","; דגש על הבעה בכתב","")&amp;IF($K521&lt;&gt;"תקין","; נדרש לעבוד על ההנגנה","")&amp;IF($AK521&lt;&gt;"","; "&amp;$AK521,""),3,400))</f>
        <v/>
      </c>
      <c r="AE521" s="32">
        <f>IF($F521="","",IF($F521="תחילת שנה",1,IF($F521="מחצית שנה",2,3)))</f>
        <v/>
      </c>
      <c r="AF521" s="32">
        <f>IF(OR($B521="",$AC521="",$A521="",$F521=""),"",$B521&amp;"|"&amp;$A521&amp;"|"&amp;$F521&amp;"|"&amp;$AC521&amp;"|"&amp;COUNTIFS($B$6:$B521,$B521,$A$6:$A521,$A521,$F$6:$F521,$F521,$AC$6:$AC521,$AC521))</f>
        <v/>
      </c>
      <c r="AG521" s="32">
        <f>IF($C521="","",$C521&amp;"|"&amp;COUNTIFS($C$6:$C521,$C521))</f>
        <v/>
      </c>
      <c r="AH521" s="32">
        <f>IF(OR($C521="",$A521="",$AE521=""),"",$C521&amp;"|"&amp;$A521&amp;"|"&amp;$AE521)</f>
        <v/>
      </c>
      <c r="AI521" s="32">
        <f>IF(OR($C521="",$AE521="",$AE521=1),"",IFERROR(INDEX($AC$6:$AC$1505,MATCH($C521&amp;"|"&amp;$A521&amp;"|"&amp;($AE521-1),$AH$6:$AH$1505,0)),""))</f>
        <v/>
      </c>
      <c r="AJ521" s="32">
        <f>IF(OR($AI521="",$AC521=""),"",IF($AI521=$AC521,"ללא שינוי","מ-"&amp;$AI521&amp;" ל-"&amp;$AC521))</f>
        <v/>
      </c>
      <c r="AK521" s="67" t="n"/>
    </row>
    <row r="522" ht="15.75" customHeight="1" s="58">
      <c r="A522" s="65" t="n"/>
      <c r="B522" s="65" t="n"/>
      <c r="C522" s="66" t="n"/>
      <c r="D522" s="66" t="n"/>
      <c r="E522" s="65" t="n"/>
      <c r="F522" s="65" t="n"/>
      <c r="G522" s="65" t="n"/>
      <c r="H522" s="65" t="n"/>
      <c r="I522" s="65" t="n"/>
      <c r="J522" s="65" t="n"/>
      <c r="K522" s="65" t="n"/>
      <c r="L522" s="65" t="n"/>
      <c r="M522" s="65" t="n"/>
      <c r="N522" s="65" t="n"/>
      <c r="O522" s="65" t="n"/>
      <c r="P522" s="65" t="n"/>
      <c r="Q522" s="65" t="n"/>
      <c r="R522" s="65" t="n"/>
      <c r="S522" s="65" t="n"/>
      <c r="T522" s="65" t="n"/>
      <c r="U522" s="65" t="n"/>
      <c r="V522" s="65" t="n"/>
      <c r="W522" s="65" t="n"/>
      <c r="X522" s="65" t="n"/>
      <c r="Y522" s="32">
        <f>IF($C522="","",IF(COUNTA($I522:$K522)&lt;3,"— חסרים נתונים",IF(AND($I522="תקין",$J522="תקין",$K522="תקין"),"רהוטה",IF(AND($I522="תקין",$J522="תקין"),"מדויקת ורציפה","אינה מדויקת או מקוטעת"))))</f>
        <v/>
      </c>
      <c r="Z522" s="32">
        <f>IF($C522="","",IF(COUNTA($U522:$W522)&lt;3,"",IF(AND($U522="מפותח",$V522="מפותח",$W522="מפותחת"),"מפותחת",IF((--($U522="דל"))+(--($V522="אינו מפותח"))+(--($W522="דלה"))&gt;=2,"אינה מפותחת","חלקית"))))</f>
        <v/>
      </c>
      <c r="AA522" s="32">
        <f>IF($C522="","",IF(COUNTA($M522,$N522,$O522)&lt;3,"— חסרים נתונים",IF(OR($M522="נמוכה",(--($M522&lt;&gt;"תקינה"))+(--($N522&lt;&gt;"תקין"))+(--($O522&lt;&gt;"תקינה"))&gt;=2),"ניכרת","אינה ניכרת")))</f>
        <v/>
      </c>
      <c r="AB522" s="32">
        <f>IF(OR($C522="",$Y522="",$AA522="",LEFT($Y522,1)="—",LEFT($AA522,1)="—"),"",IF($Z522="","— נדרשת הערכת כתיבה",IF($L522="","— חסרה הבנת הנקרא",IF($Y522="אינה מדויקת או מקוטעת",IF($AA522="ניכרת","מיקוד בשטף הקריאה ובכישורי שפה","מיקוד בשטף קריאה"),IF($AA522="ניכרת","מיקוד בכישורי שפה",IF(AND($L522="תקינה",$Z522="מפותחת"),"קוראים וכותבים מיומנים","מיקוד בהבנה והבעה"))))))</f>
        <v/>
      </c>
      <c r="AC522" s="32">
        <f>IF(OR($AB522="",LEFT($AB522,1)="—"),"",IF(OR($AB522="מיקוד בשטף קריאה",$AB522="מיקוד בשטף הקריאה ובכישורי שפה"),"רמה א'",IF($AB522="קוראים וכותבים מיומנים","רמה ג'","רמה ב'")))</f>
        <v/>
      </c>
      <c r="AD522" s="32">
        <f>IF($AC522="","",MID(IF(AND($AC522="רמה א'",$AA522="ניכרת"),"; להוסיף עבודת אוצר מילים","")&amp;IF($Z522="אינה מפותחת","; דגש על הבעה בכתב","")&amp;IF($K522&lt;&gt;"תקין","; נדרש לעבוד על ההנגנה","")&amp;IF($AK522&lt;&gt;"","; "&amp;$AK522,""),3,400))</f>
        <v/>
      </c>
      <c r="AE522" s="32">
        <f>IF($F522="","",IF($F522="תחילת שנה",1,IF($F522="מחצית שנה",2,3)))</f>
        <v/>
      </c>
      <c r="AF522" s="32">
        <f>IF(OR($B522="",$AC522="",$A522="",$F522=""),"",$B522&amp;"|"&amp;$A522&amp;"|"&amp;$F522&amp;"|"&amp;$AC522&amp;"|"&amp;COUNTIFS($B$6:$B522,$B522,$A$6:$A522,$A522,$F$6:$F522,$F522,$AC$6:$AC522,$AC522))</f>
        <v/>
      </c>
      <c r="AG522" s="32">
        <f>IF($C522="","",$C522&amp;"|"&amp;COUNTIFS($C$6:$C522,$C522))</f>
        <v/>
      </c>
      <c r="AH522" s="32">
        <f>IF(OR($C522="",$A522="",$AE522=""),"",$C522&amp;"|"&amp;$A522&amp;"|"&amp;$AE522)</f>
        <v/>
      </c>
      <c r="AI522" s="32">
        <f>IF(OR($C522="",$AE522="",$AE522=1),"",IFERROR(INDEX($AC$6:$AC$1505,MATCH($C522&amp;"|"&amp;$A522&amp;"|"&amp;($AE522-1),$AH$6:$AH$1505,0)),""))</f>
        <v/>
      </c>
      <c r="AJ522" s="32">
        <f>IF(OR($AI522="",$AC522=""),"",IF($AI522=$AC522,"ללא שינוי","מ-"&amp;$AI522&amp;" ל-"&amp;$AC522))</f>
        <v/>
      </c>
      <c r="AK522" s="67" t="n"/>
    </row>
    <row r="523" ht="15.75" customHeight="1" s="58">
      <c r="A523" s="65" t="n"/>
      <c r="B523" s="65" t="n"/>
      <c r="C523" s="66" t="n"/>
      <c r="D523" s="66" t="n"/>
      <c r="E523" s="65" t="n"/>
      <c r="F523" s="65" t="n"/>
      <c r="G523" s="65" t="n"/>
      <c r="H523" s="65" t="n"/>
      <c r="I523" s="65" t="n"/>
      <c r="J523" s="65" t="n"/>
      <c r="K523" s="65" t="n"/>
      <c r="L523" s="65" t="n"/>
      <c r="M523" s="65" t="n"/>
      <c r="N523" s="65" t="n"/>
      <c r="O523" s="65" t="n"/>
      <c r="P523" s="65" t="n"/>
      <c r="Q523" s="65" t="n"/>
      <c r="R523" s="65" t="n"/>
      <c r="S523" s="65" t="n"/>
      <c r="T523" s="65" t="n"/>
      <c r="U523" s="65" t="n"/>
      <c r="V523" s="65" t="n"/>
      <c r="W523" s="65" t="n"/>
      <c r="X523" s="65" t="n"/>
      <c r="Y523" s="32">
        <f>IF($C523="","",IF(COUNTA($I523:$K523)&lt;3,"— חסרים נתונים",IF(AND($I523="תקין",$J523="תקין",$K523="תקין"),"רהוטה",IF(AND($I523="תקין",$J523="תקין"),"מדויקת ורציפה","אינה מדויקת או מקוטעת"))))</f>
        <v/>
      </c>
      <c r="Z523" s="32">
        <f>IF($C523="","",IF(COUNTA($U523:$W523)&lt;3,"",IF(AND($U523="מפותח",$V523="מפותח",$W523="מפותחת"),"מפותחת",IF((--($U523="דל"))+(--($V523="אינו מפותח"))+(--($W523="דלה"))&gt;=2,"אינה מפותחת","חלקית"))))</f>
        <v/>
      </c>
      <c r="AA523" s="32">
        <f>IF($C523="","",IF(COUNTA($M523,$N523,$O523)&lt;3,"— חסרים נתונים",IF(OR($M523="נמוכה",(--($M523&lt;&gt;"תקינה"))+(--($N523&lt;&gt;"תקין"))+(--($O523&lt;&gt;"תקינה"))&gt;=2),"ניכרת","אינה ניכרת")))</f>
        <v/>
      </c>
      <c r="AB523" s="32">
        <f>IF(OR($C523="",$Y523="",$AA523="",LEFT($Y523,1)="—",LEFT($AA523,1)="—"),"",IF($Z523="","— נדרשת הערכת כתיבה",IF($L523="","— חסרה הבנת הנקרא",IF($Y523="אינה מדויקת או מקוטעת",IF($AA523="ניכרת","מיקוד בשטף הקריאה ובכישורי שפה","מיקוד בשטף קריאה"),IF($AA523="ניכרת","מיקוד בכישורי שפה",IF(AND($L523="תקינה",$Z523="מפותחת"),"קוראים וכותבים מיומנים","מיקוד בהבנה והבעה"))))))</f>
        <v/>
      </c>
      <c r="AC523" s="32">
        <f>IF(OR($AB523="",LEFT($AB523,1)="—"),"",IF(OR($AB523="מיקוד בשטף קריאה",$AB523="מיקוד בשטף הקריאה ובכישורי שפה"),"רמה א'",IF($AB523="קוראים וכותבים מיומנים","רמה ג'","רמה ב'")))</f>
        <v/>
      </c>
      <c r="AD523" s="32">
        <f>IF($AC523="","",MID(IF(AND($AC523="רמה א'",$AA523="ניכרת"),"; להוסיף עבודת אוצר מילים","")&amp;IF($Z523="אינה מפותחת","; דגש על הבעה בכתב","")&amp;IF($K523&lt;&gt;"תקין","; נדרש לעבוד על ההנגנה","")&amp;IF($AK523&lt;&gt;"","; "&amp;$AK523,""),3,400))</f>
        <v/>
      </c>
      <c r="AE523" s="32">
        <f>IF($F523="","",IF($F523="תחילת שנה",1,IF($F523="מחצית שנה",2,3)))</f>
        <v/>
      </c>
      <c r="AF523" s="32">
        <f>IF(OR($B523="",$AC523="",$A523="",$F523=""),"",$B523&amp;"|"&amp;$A523&amp;"|"&amp;$F523&amp;"|"&amp;$AC523&amp;"|"&amp;COUNTIFS($B$6:$B523,$B523,$A$6:$A523,$A523,$F$6:$F523,$F523,$AC$6:$AC523,$AC523))</f>
        <v/>
      </c>
      <c r="AG523" s="32">
        <f>IF($C523="","",$C523&amp;"|"&amp;COUNTIFS($C$6:$C523,$C523))</f>
        <v/>
      </c>
      <c r="AH523" s="32">
        <f>IF(OR($C523="",$A523="",$AE523=""),"",$C523&amp;"|"&amp;$A523&amp;"|"&amp;$AE523)</f>
        <v/>
      </c>
      <c r="AI523" s="32">
        <f>IF(OR($C523="",$AE523="",$AE523=1),"",IFERROR(INDEX($AC$6:$AC$1505,MATCH($C523&amp;"|"&amp;$A523&amp;"|"&amp;($AE523-1),$AH$6:$AH$1505,0)),""))</f>
        <v/>
      </c>
      <c r="AJ523" s="32">
        <f>IF(OR($AI523="",$AC523=""),"",IF($AI523=$AC523,"ללא שינוי","מ-"&amp;$AI523&amp;" ל-"&amp;$AC523))</f>
        <v/>
      </c>
      <c r="AK523" s="67" t="n"/>
    </row>
    <row r="524" ht="15.75" customHeight="1" s="58">
      <c r="A524" s="65" t="n"/>
      <c r="B524" s="65" t="n"/>
      <c r="C524" s="66" t="n"/>
      <c r="D524" s="66" t="n"/>
      <c r="E524" s="65" t="n"/>
      <c r="F524" s="65" t="n"/>
      <c r="G524" s="65" t="n"/>
      <c r="H524" s="65" t="n"/>
      <c r="I524" s="65" t="n"/>
      <c r="J524" s="65" t="n"/>
      <c r="K524" s="65" t="n"/>
      <c r="L524" s="65" t="n"/>
      <c r="M524" s="65" t="n"/>
      <c r="N524" s="65" t="n"/>
      <c r="O524" s="65" t="n"/>
      <c r="P524" s="65" t="n"/>
      <c r="Q524" s="65" t="n"/>
      <c r="R524" s="65" t="n"/>
      <c r="S524" s="65" t="n"/>
      <c r="T524" s="65" t="n"/>
      <c r="U524" s="65" t="n"/>
      <c r="V524" s="65" t="n"/>
      <c r="W524" s="65" t="n"/>
      <c r="X524" s="65" t="n"/>
      <c r="Y524" s="32">
        <f>IF($C524="","",IF(COUNTA($I524:$K524)&lt;3,"— חסרים נתונים",IF(AND($I524="תקין",$J524="תקין",$K524="תקין"),"רהוטה",IF(AND($I524="תקין",$J524="תקין"),"מדויקת ורציפה","אינה מדויקת או מקוטעת"))))</f>
        <v/>
      </c>
      <c r="Z524" s="32">
        <f>IF($C524="","",IF(COUNTA($U524:$W524)&lt;3,"",IF(AND($U524="מפותח",$V524="מפותח",$W524="מפותחת"),"מפותחת",IF((--($U524="דל"))+(--($V524="אינו מפותח"))+(--($W524="דלה"))&gt;=2,"אינה מפותחת","חלקית"))))</f>
        <v/>
      </c>
      <c r="AA524" s="32">
        <f>IF($C524="","",IF(COUNTA($M524,$N524,$O524)&lt;3,"— חסרים נתונים",IF(OR($M524="נמוכה",(--($M524&lt;&gt;"תקינה"))+(--($N524&lt;&gt;"תקין"))+(--($O524&lt;&gt;"תקינה"))&gt;=2),"ניכרת","אינה ניכרת")))</f>
        <v/>
      </c>
      <c r="AB524" s="32">
        <f>IF(OR($C524="",$Y524="",$AA524="",LEFT($Y524,1)="—",LEFT($AA524,1)="—"),"",IF($Z524="","— נדרשת הערכת כתיבה",IF($L524="","— חסרה הבנת הנקרא",IF($Y524="אינה מדויקת או מקוטעת",IF($AA524="ניכרת","מיקוד בשטף הקריאה ובכישורי שפה","מיקוד בשטף קריאה"),IF($AA524="ניכרת","מיקוד בכישורי שפה",IF(AND($L524="תקינה",$Z524="מפותחת"),"קוראים וכותבים מיומנים","מיקוד בהבנה והבעה"))))))</f>
        <v/>
      </c>
      <c r="AC524" s="32">
        <f>IF(OR($AB524="",LEFT($AB524,1)="—"),"",IF(OR($AB524="מיקוד בשטף קריאה",$AB524="מיקוד בשטף הקריאה ובכישורי שפה"),"רמה א'",IF($AB524="קוראים וכותבים מיומנים","רמה ג'","רמה ב'")))</f>
        <v/>
      </c>
      <c r="AD524" s="32">
        <f>IF($AC524="","",MID(IF(AND($AC524="רמה א'",$AA524="ניכרת"),"; להוסיף עבודת אוצר מילים","")&amp;IF($Z524="אינה מפותחת","; דגש על הבעה בכתב","")&amp;IF($K524&lt;&gt;"תקין","; נדרש לעבוד על ההנגנה","")&amp;IF($AK524&lt;&gt;"","; "&amp;$AK524,""),3,400))</f>
        <v/>
      </c>
      <c r="AE524" s="32">
        <f>IF($F524="","",IF($F524="תחילת שנה",1,IF($F524="מחצית שנה",2,3)))</f>
        <v/>
      </c>
      <c r="AF524" s="32">
        <f>IF(OR($B524="",$AC524="",$A524="",$F524=""),"",$B524&amp;"|"&amp;$A524&amp;"|"&amp;$F524&amp;"|"&amp;$AC524&amp;"|"&amp;COUNTIFS($B$6:$B524,$B524,$A$6:$A524,$A524,$F$6:$F524,$F524,$AC$6:$AC524,$AC524))</f>
        <v/>
      </c>
      <c r="AG524" s="32">
        <f>IF($C524="","",$C524&amp;"|"&amp;COUNTIFS($C$6:$C524,$C524))</f>
        <v/>
      </c>
      <c r="AH524" s="32">
        <f>IF(OR($C524="",$A524="",$AE524=""),"",$C524&amp;"|"&amp;$A524&amp;"|"&amp;$AE524)</f>
        <v/>
      </c>
      <c r="AI524" s="32">
        <f>IF(OR($C524="",$AE524="",$AE524=1),"",IFERROR(INDEX($AC$6:$AC$1505,MATCH($C524&amp;"|"&amp;$A524&amp;"|"&amp;($AE524-1),$AH$6:$AH$1505,0)),""))</f>
        <v/>
      </c>
      <c r="AJ524" s="32">
        <f>IF(OR($AI524="",$AC524=""),"",IF($AI524=$AC524,"ללא שינוי","מ-"&amp;$AI524&amp;" ל-"&amp;$AC524))</f>
        <v/>
      </c>
      <c r="AK524" s="67" t="n"/>
    </row>
    <row r="525" ht="15.75" customHeight="1" s="58">
      <c r="A525" s="65" t="n"/>
      <c r="B525" s="65" t="n"/>
      <c r="C525" s="66" t="n"/>
      <c r="D525" s="66" t="n"/>
      <c r="E525" s="65" t="n"/>
      <c r="F525" s="65" t="n"/>
      <c r="G525" s="65" t="n"/>
      <c r="H525" s="65" t="n"/>
      <c r="I525" s="65" t="n"/>
      <c r="J525" s="65" t="n"/>
      <c r="K525" s="65" t="n"/>
      <c r="L525" s="65" t="n"/>
      <c r="M525" s="65" t="n"/>
      <c r="N525" s="65" t="n"/>
      <c r="O525" s="65" t="n"/>
      <c r="P525" s="65" t="n"/>
      <c r="Q525" s="65" t="n"/>
      <c r="R525" s="65" t="n"/>
      <c r="S525" s="65" t="n"/>
      <c r="T525" s="65" t="n"/>
      <c r="U525" s="65" t="n"/>
      <c r="V525" s="65" t="n"/>
      <c r="W525" s="65" t="n"/>
      <c r="X525" s="65" t="n"/>
      <c r="Y525" s="32">
        <f>IF($C525="","",IF(COUNTA($I525:$K525)&lt;3,"— חסרים נתונים",IF(AND($I525="תקין",$J525="תקין",$K525="תקין"),"רהוטה",IF(AND($I525="תקין",$J525="תקין"),"מדויקת ורציפה","אינה מדויקת או מקוטעת"))))</f>
        <v/>
      </c>
      <c r="Z525" s="32">
        <f>IF($C525="","",IF(COUNTA($U525:$W525)&lt;3,"",IF(AND($U525="מפותח",$V525="מפותח",$W525="מפותחת"),"מפותחת",IF((--($U525="דל"))+(--($V525="אינו מפותח"))+(--($W525="דלה"))&gt;=2,"אינה מפותחת","חלקית"))))</f>
        <v/>
      </c>
      <c r="AA525" s="32">
        <f>IF($C525="","",IF(COUNTA($M525,$N525,$O525)&lt;3,"— חסרים נתונים",IF(OR($M525="נמוכה",(--($M525&lt;&gt;"תקינה"))+(--($N525&lt;&gt;"תקין"))+(--($O525&lt;&gt;"תקינה"))&gt;=2),"ניכרת","אינה ניכרת")))</f>
        <v/>
      </c>
      <c r="AB525" s="32">
        <f>IF(OR($C525="",$Y525="",$AA525="",LEFT($Y525,1)="—",LEFT($AA525,1)="—"),"",IF($Z525="","— נדרשת הערכת כתיבה",IF($L525="","— חסרה הבנת הנקרא",IF($Y525="אינה מדויקת או מקוטעת",IF($AA525="ניכרת","מיקוד בשטף הקריאה ובכישורי שפה","מיקוד בשטף קריאה"),IF($AA525="ניכרת","מיקוד בכישורי שפה",IF(AND($L525="תקינה",$Z525="מפותחת"),"קוראים וכותבים מיומנים","מיקוד בהבנה והבעה"))))))</f>
        <v/>
      </c>
      <c r="AC525" s="32">
        <f>IF(OR($AB525="",LEFT($AB525,1)="—"),"",IF(OR($AB525="מיקוד בשטף קריאה",$AB525="מיקוד בשטף הקריאה ובכישורי שפה"),"רמה א'",IF($AB525="קוראים וכותבים מיומנים","רמה ג'","רמה ב'")))</f>
        <v/>
      </c>
      <c r="AD525" s="32">
        <f>IF($AC525="","",MID(IF(AND($AC525="רמה א'",$AA525="ניכרת"),"; להוסיף עבודת אוצר מילים","")&amp;IF($Z525="אינה מפותחת","; דגש על הבעה בכתב","")&amp;IF($K525&lt;&gt;"תקין","; נדרש לעבוד על ההנגנה","")&amp;IF($AK525&lt;&gt;"","; "&amp;$AK525,""),3,400))</f>
        <v/>
      </c>
      <c r="AE525" s="32">
        <f>IF($F525="","",IF($F525="תחילת שנה",1,IF($F525="מחצית שנה",2,3)))</f>
        <v/>
      </c>
      <c r="AF525" s="32">
        <f>IF(OR($B525="",$AC525="",$A525="",$F525=""),"",$B525&amp;"|"&amp;$A525&amp;"|"&amp;$F525&amp;"|"&amp;$AC525&amp;"|"&amp;COUNTIFS($B$6:$B525,$B525,$A$6:$A525,$A525,$F$6:$F525,$F525,$AC$6:$AC525,$AC525))</f>
        <v/>
      </c>
      <c r="AG525" s="32">
        <f>IF($C525="","",$C525&amp;"|"&amp;COUNTIFS($C$6:$C525,$C525))</f>
        <v/>
      </c>
      <c r="AH525" s="32">
        <f>IF(OR($C525="",$A525="",$AE525=""),"",$C525&amp;"|"&amp;$A525&amp;"|"&amp;$AE525)</f>
        <v/>
      </c>
      <c r="AI525" s="32">
        <f>IF(OR($C525="",$AE525="",$AE525=1),"",IFERROR(INDEX($AC$6:$AC$1505,MATCH($C525&amp;"|"&amp;$A525&amp;"|"&amp;($AE525-1),$AH$6:$AH$1505,0)),""))</f>
        <v/>
      </c>
      <c r="AJ525" s="32">
        <f>IF(OR($AI525="",$AC525=""),"",IF($AI525=$AC525,"ללא שינוי","מ-"&amp;$AI525&amp;" ל-"&amp;$AC525))</f>
        <v/>
      </c>
      <c r="AK525" s="67" t="n"/>
    </row>
    <row r="526" ht="15.75" customHeight="1" s="58">
      <c r="A526" s="65" t="n"/>
      <c r="B526" s="65" t="n"/>
      <c r="C526" s="66" t="n"/>
      <c r="D526" s="66" t="n"/>
      <c r="E526" s="65" t="n"/>
      <c r="F526" s="65" t="n"/>
      <c r="G526" s="65" t="n"/>
      <c r="H526" s="65" t="n"/>
      <c r="I526" s="65" t="n"/>
      <c r="J526" s="65" t="n"/>
      <c r="K526" s="65" t="n"/>
      <c r="L526" s="65" t="n"/>
      <c r="M526" s="65" t="n"/>
      <c r="N526" s="65" t="n"/>
      <c r="O526" s="65" t="n"/>
      <c r="P526" s="65" t="n"/>
      <c r="Q526" s="65" t="n"/>
      <c r="R526" s="65" t="n"/>
      <c r="S526" s="65" t="n"/>
      <c r="T526" s="65" t="n"/>
      <c r="U526" s="65" t="n"/>
      <c r="V526" s="65" t="n"/>
      <c r="W526" s="65" t="n"/>
      <c r="X526" s="65" t="n"/>
      <c r="Y526" s="32">
        <f>IF($C526="","",IF(COUNTA($I526:$K526)&lt;3,"— חסרים נתונים",IF(AND($I526="תקין",$J526="תקין",$K526="תקין"),"רהוטה",IF(AND($I526="תקין",$J526="תקין"),"מדויקת ורציפה","אינה מדויקת או מקוטעת"))))</f>
        <v/>
      </c>
      <c r="Z526" s="32">
        <f>IF($C526="","",IF(COUNTA($U526:$W526)&lt;3,"",IF(AND($U526="מפותח",$V526="מפותח",$W526="מפותחת"),"מפותחת",IF((--($U526="דל"))+(--($V526="אינו מפותח"))+(--($W526="דלה"))&gt;=2,"אינה מפותחת","חלקית"))))</f>
        <v/>
      </c>
      <c r="AA526" s="32">
        <f>IF($C526="","",IF(COUNTA($M526,$N526,$O526)&lt;3,"— חסרים נתונים",IF(OR($M526="נמוכה",(--($M526&lt;&gt;"תקינה"))+(--($N526&lt;&gt;"תקין"))+(--($O526&lt;&gt;"תקינה"))&gt;=2),"ניכרת","אינה ניכרת")))</f>
        <v/>
      </c>
      <c r="AB526" s="32">
        <f>IF(OR($C526="",$Y526="",$AA526="",LEFT($Y526,1)="—",LEFT($AA526,1)="—"),"",IF($Z526="","— נדרשת הערכת כתיבה",IF($L526="","— חסרה הבנת הנקרא",IF($Y526="אינה מדויקת או מקוטעת",IF($AA526="ניכרת","מיקוד בשטף הקריאה ובכישורי שפה","מיקוד בשטף קריאה"),IF($AA526="ניכרת","מיקוד בכישורי שפה",IF(AND($L526="תקינה",$Z526="מפותחת"),"קוראים וכותבים מיומנים","מיקוד בהבנה והבעה"))))))</f>
        <v/>
      </c>
      <c r="AC526" s="32">
        <f>IF(OR($AB526="",LEFT($AB526,1)="—"),"",IF(OR($AB526="מיקוד בשטף קריאה",$AB526="מיקוד בשטף הקריאה ובכישורי שפה"),"רמה א'",IF($AB526="קוראים וכותבים מיומנים","רמה ג'","רמה ב'")))</f>
        <v/>
      </c>
      <c r="AD526" s="32">
        <f>IF($AC526="","",MID(IF(AND($AC526="רמה א'",$AA526="ניכרת"),"; להוסיף עבודת אוצר מילים","")&amp;IF($Z526="אינה מפותחת","; דגש על הבעה בכתב","")&amp;IF($K526&lt;&gt;"תקין","; נדרש לעבוד על ההנגנה","")&amp;IF($AK526&lt;&gt;"","; "&amp;$AK526,""),3,400))</f>
        <v/>
      </c>
      <c r="AE526" s="32">
        <f>IF($F526="","",IF($F526="תחילת שנה",1,IF($F526="מחצית שנה",2,3)))</f>
        <v/>
      </c>
      <c r="AF526" s="32">
        <f>IF(OR($B526="",$AC526="",$A526="",$F526=""),"",$B526&amp;"|"&amp;$A526&amp;"|"&amp;$F526&amp;"|"&amp;$AC526&amp;"|"&amp;COUNTIFS($B$6:$B526,$B526,$A$6:$A526,$A526,$F$6:$F526,$F526,$AC$6:$AC526,$AC526))</f>
        <v/>
      </c>
      <c r="AG526" s="32">
        <f>IF($C526="","",$C526&amp;"|"&amp;COUNTIFS($C$6:$C526,$C526))</f>
        <v/>
      </c>
      <c r="AH526" s="32">
        <f>IF(OR($C526="",$A526="",$AE526=""),"",$C526&amp;"|"&amp;$A526&amp;"|"&amp;$AE526)</f>
        <v/>
      </c>
      <c r="AI526" s="32">
        <f>IF(OR($C526="",$AE526="",$AE526=1),"",IFERROR(INDEX($AC$6:$AC$1505,MATCH($C526&amp;"|"&amp;$A526&amp;"|"&amp;($AE526-1),$AH$6:$AH$1505,0)),""))</f>
        <v/>
      </c>
      <c r="AJ526" s="32">
        <f>IF(OR($AI526="",$AC526=""),"",IF($AI526=$AC526,"ללא שינוי","מ-"&amp;$AI526&amp;" ל-"&amp;$AC526))</f>
        <v/>
      </c>
      <c r="AK526" s="67" t="n"/>
    </row>
    <row r="527" ht="15.75" customHeight="1" s="58">
      <c r="A527" s="65" t="n"/>
      <c r="B527" s="65" t="n"/>
      <c r="C527" s="66" t="n"/>
      <c r="D527" s="66" t="n"/>
      <c r="E527" s="65" t="n"/>
      <c r="F527" s="65" t="n"/>
      <c r="G527" s="65" t="n"/>
      <c r="H527" s="65" t="n"/>
      <c r="I527" s="65" t="n"/>
      <c r="J527" s="65" t="n"/>
      <c r="K527" s="65" t="n"/>
      <c r="L527" s="65" t="n"/>
      <c r="M527" s="65" t="n"/>
      <c r="N527" s="65" t="n"/>
      <c r="O527" s="65" t="n"/>
      <c r="P527" s="65" t="n"/>
      <c r="Q527" s="65" t="n"/>
      <c r="R527" s="65" t="n"/>
      <c r="S527" s="65" t="n"/>
      <c r="T527" s="65" t="n"/>
      <c r="U527" s="65" t="n"/>
      <c r="V527" s="65" t="n"/>
      <c r="W527" s="65" t="n"/>
      <c r="X527" s="65" t="n"/>
      <c r="Y527" s="32">
        <f>IF($C527="","",IF(COUNTA($I527:$K527)&lt;3,"— חסרים נתונים",IF(AND($I527="תקין",$J527="תקין",$K527="תקין"),"רהוטה",IF(AND($I527="תקין",$J527="תקין"),"מדויקת ורציפה","אינה מדויקת או מקוטעת"))))</f>
        <v/>
      </c>
      <c r="Z527" s="32">
        <f>IF($C527="","",IF(COUNTA($U527:$W527)&lt;3,"",IF(AND($U527="מפותח",$V527="מפותח",$W527="מפותחת"),"מפותחת",IF((--($U527="דל"))+(--($V527="אינו מפותח"))+(--($W527="דלה"))&gt;=2,"אינה מפותחת","חלקית"))))</f>
        <v/>
      </c>
      <c r="AA527" s="32">
        <f>IF($C527="","",IF(COUNTA($M527,$N527,$O527)&lt;3,"— חסרים נתונים",IF(OR($M527="נמוכה",(--($M527&lt;&gt;"תקינה"))+(--($N527&lt;&gt;"תקין"))+(--($O527&lt;&gt;"תקינה"))&gt;=2),"ניכרת","אינה ניכרת")))</f>
        <v/>
      </c>
      <c r="AB527" s="32">
        <f>IF(OR($C527="",$Y527="",$AA527="",LEFT($Y527,1)="—",LEFT($AA527,1)="—"),"",IF($Z527="","— נדרשת הערכת כתיבה",IF($L527="","— חסרה הבנת הנקרא",IF($Y527="אינה מדויקת או מקוטעת",IF($AA527="ניכרת","מיקוד בשטף הקריאה ובכישורי שפה","מיקוד בשטף קריאה"),IF($AA527="ניכרת","מיקוד בכישורי שפה",IF(AND($L527="תקינה",$Z527="מפותחת"),"קוראים וכותבים מיומנים","מיקוד בהבנה והבעה"))))))</f>
        <v/>
      </c>
      <c r="AC527" s="32">
        <f>IF(OR($AB527="",LEFT($AB527,1)="—"),"",IF(OR($AB527="מיקוד בשטף קריאה",$AB527="מיקוד בשטף הקריאה ובכישורי שפה"),"רמה א'",IF($AB527="קוראים וכותבים מיומנים","רמה ג'","רמה ב'")))</f>
        <v/>
      </c>
      <c r="AD527" s="32">
        <f>IF($AC527="","",MID(IF(AND($AC527="רמה א'",$AA527="ניכרת"),"; להוסיף עבודת אוצר מילים","")&amp;IF($Z527="אינה מפותחת","; דגש על הבעה בכתב","")&amp;IF($K527&lt;&gt;"תקין","; נדרש לעבוד על ההנגנה","")&amp;IF($AK527&lt;&gt;"","; "&amp;$AK527,""),3,400))</f>
        <v/>
      </c>
      <c r="AE527" s="32">
        <f>IF($F527="","",IF($F527="תחילת שנה",1,IF($F527="מחצית שנה",2,3)))</f>
        <v/>
      </c>
      <c r="AF527" s="32">
        <f>IF(OR($B527="",$AC527="",$A527="",$F527=""),"",$B527&amp;"|"&amp;$A527&amp;"|"&amp;$F527&amp;"|"&amp;$AC527&amp;"|"&amp;COUNTIFS($B$6:$B527,$B527,$A$6:$A527,$A527,$F$6:$F527,$F527,$AC$6:$AC527,$AC527))</f>
        <v/>
      </c>
      <c r="AG527" s="32">
        <f>IF($C527="","",$C527&amp;"|"&amp;COUNTIFS($C$6:$C527,$C527))</f>
        <v/>
      </c>
      <c r="AH527" s="32">
        <f>IF(OR($C527="",$A527="",$AE527=""),"",$C527&amp;"|"&amp;$A527&amp;"|"&amp;$AE527)</f>
        <v/>
      </c>
      <c r="AI527" s="32">
        <f>IF(OR($C527="",$AE527="",$AE527=1),"",IFERROR(INDEX($AC$6:$AC$1505,MATCH($C527&amp;"|"&amp;$A527&amp;"|"&amp;($AE527-1),$AH$6:$AH$1505,0)),""))</f>
        <v/>
      </c>
      <c r="AJ527" s="32">
        <f>IF(OR($AI527="",$AC527=""),"",IF($AI527=$AC527,"ללא שינוי","מ-"&amp;$AI527&amp;" ל-"&amp;$AC527))</f>
        <v/>
      </c>
      <c r="AK527" s="67" t="n"/>
    </row>
    <row r="528" ht="15.75" customHeight="1" s="58">
      <c r="A528" s="65" t="n"/>
      <c r="B528" s="65" t="n"/>
      <c r="C528" s="66" t="n"/>
      <c r="D528" s="66" t="n"/>
      <c r="E528" s="65" t="n"/>
      <c r="F528" s="65" t="n"/>
      <c r="G528" s="65" t="n"/>
      <c r="H528" s="65" t="n"/>
      <c r="I528" s="65" t="n"/>
      <c r="J528" s="65" t="n"/>
      <c r="K528" s="65" t="n"/>
      <c r="L528" s="65" t="n"/>
      <c r="M528" s="65" t="n"/>
      <c r="N528" s="65" t="n"/>
      <c r="O528" s="65" t="n"/>
      <c r="P528" s="65" t="n"/>
      <c r="Q528" s="65" t="n"/>
      <c r="R528" s="65" t="n"/>
      <c r="S528" s="65" t="n"/>
      <c r="T528" s="65" t="n"/>
      <c r="U528" s="65" t="n"/>
      <c r="V528" s="65" t="n"/>
      <c r="W528" s="65" t="n"/>
      <c r="X528" s="65" t="n"/>
      <c r="Y528" s="32">
        <f>IF($C528="","",IF(COUNTA($I528:$K528)&lt;3,"— חסרים נתונים",IF(AND($I528="תקין",$J528="תקין",$K528="תקין"),"רהוטה",IF(AND($I528="תקין",$J528="תקין"),"מדויקת ורציפה","אינה מדויקת או מקוטעת"))))</f>
        <v/>
      </c>
      <c r="Z528" s="32">
        <f>IF($C528="","",IF(COUNTA($U528:$W528)&lt;3,"",IF(AND($U528="מפותח",$V528="מפותח",$W528="מפותחת"),"מפותחת",IF((--($U528="דל"))+(--($V528="אינו מפותח"))+(--($W528="דלה"))&gt;=2,"אינה מפותחת","חלקית"))))</f>
        <v/>
      </c>
      <c r="AA528" s="32">
        <f>IF($C528="","",IF(COUNTA($M528,$N528,$O528)&lt;3,"— חסרים נתונים",IF(OR($M528="נמוכה",(--($M528&lt;&gt;"תקינה"))+(--($N528&lt;&gt;"תקין"))+(--($O528&lt;&gt;"תקינה"))&gt;=2),"ניכרת","אינה ניכרת")))</f>
        <v/>
      </c>
      <c r="AB528" s="32">
        <f>IF(OR($C528="",$Y528="",$AA528="",LEFT($Y528,1)="—",LEFT($AA528,1)="—"),"",IF($Z528="","— נדרשת הערכת כתיבה",IF($L528="","— חסרה הבנת הנקרא",IF($Y528="אינה מדויקת או מקוטעת",IF($AA528="ניכרת","מיקוד בשטף הקריאה ובכישורי שפה","מיקוד בשטף קריאה"),IF($AA528="ניכרת","מיקוד בכישורי שפה",IF(AND($L528="תקינה",$Z528="מפותחת"),"קוראים וכותבים מיומנים","מיקוד בהבנה והבעה"))))))</f>
        <v/>
      </c>
      <c r="AC528" s="32">
        <f>IF(OR($AB528="",LEFT($AB528,1)="—"),"",IF(OR($AB528="מיקוד בשטף קריאה",$AB528="מיקוד בשטף הקריאה ובכישורי שפה"),"רמה א'",IF($AB528="קוראים וכותבים מיומנים","רמה ג'","רמה ב'")))</f>
        <v/>
      </c>
      <c r="AD528" s="32">
        <f>IF($AC528="","",MID(IF(AND($AC528="רמה א'",$AA528="ניכרת"),"; להוסיף עבודת אוצר מילים","")&amp;IF($Z528="אינה מפותחת","; דגש על הבעה בכתב","")&amp;IF($K528&lt;&gt;"תקין","; נדרש לעבוד על ההנגנה","")&amp;IF($AK528&lt;&gt;"","; "&amp;$AK528,""),3,400))</f>
        <v/>
      </c>
      <c r="AE528" s="32">
        <f>IF($F528="","",IF($F528="תחילת שנה",1,IF($F528="מחצית שנה",2,3)))</f>
        <v/>
      </c>
      <c r="AF528" s="32">
        <f>IF(OR($B528="",$AC528="",$A528="",$F528=""),"",$B528&amp;"|"&amp;$A528&amp;"|"&amp;$F528&amp;"|"&amp;$AC528&amp;"|"&amp;COUNTIFS($B$6:$B528,$B528,$A$6:$A528,$A528,$F$6:$F528,$F528,$AC$6:$AC528,$AC528))</f>
        <v/>
      </c>
      <c r="AG528" s="32">
        <f>IF($C528="","",$C528&amp;"|"&amp;COUNTIFS($C$6:$C528,$C528))</f>
        <v/>
      </c>
      <c r="AH528" s="32">
        <f>IF(OR($C528="",$A528="",$AE528=""),"",$C528&amp;"|"&amp;$A528&amp;"|"&amp;$AE528)</f>
        <v/>
      </c>
      <c r="AI528" s="32">
        <f>IF(OR($C528="",$AE528="",$AE528=1),"",IFERROR(INDEX($AC$6:$AC$1505,MATCH($C528&amp;"|"&amp;$A528&amp;"|"&amp;($AE528-1),$AH$6:$AH$1505,0)),""))</f>
        <v/>
      </c>
      <c r="AJ528" s="32">
        <f>IF(OR($AI528="",$AC528=""),"",IF($AI528=$AC528,"ללא שינוי","מ-"&amp;$AI528&amp;" ל-"&amp;$AC528))</f>
        <v/>
      </c>
      <c r="AK528" s="67" t="n"/>
    </row>
    <row r="529" ht="15.75" customHeight="1" s="58">
      <c r="A529" s="65" t="n"/>
      <c r="B529" s="65" t="n"/>
      <c r="C529" s="66" t="n"/>
      <c r="D529" s="66" t="n"/>
      <c r="E529" s="65" t="n"/>
      <c r="F529" s="65" t="n"/>
      <c r="G529" s="65" t="n"/>
      <c r="H529" s="65" t="n"/>
      <c r="I529" s="65" t="n"/>
      <c r="J529" s="65" t="n"/>
      <c r="K529" s="65" t="n"/>
      <c r="L529" s="65" t="n"/>
      <c r="M529" s="65" t="n"/>
      <c r="N529" s="65" t="n"/>
      <c r="O529" s="65" t="n"/>
      <c r="P529" s="65" t="n"/>
      <c r="Q529" s="65" t="n"/>
      <c r="R529" s="65" t="n"/>
      <c r="S529" s="65" t="n"/>
      <c r="T529" s="65" t="n"/>
      <c r="U529" s="65" t="n"/>
      <c r="V529" s="65" t="n"/>
      <c r="W529" s="65" t="n"/>
      <c r="X529" s="65" t="n"/>
      <c r="Y529" s="32">
        <f>IF($C529="","",IF(COUNTA($I529:$K529)&lt;3,"— חסרים נתונים",IF(AND($I529="תקין",$J529="תקין",$K529="תקין"),"רהוטה",IF(AND($I529="תקין",$J529="תקין"),"מדויקת ורציפה","אינה מדויקת או מקוטעת"))))</f>
        <v/>
      </c>
      <c r="Z529" s="32">
        <f>IF($C529="","",IF(COUNTA($U529:$W529)&lt;3,"",IF(AND($U529="מפותח",$V529="מפותח",$W529="מפותחת"),"מפותחת",IF((--($U529="דל"))+(--($V529="אינו מפותח"))+(--($W529="דלה"))&gt;=2,"אינה מפותחת","חלקית"))))</f>
        <v/>
      </c>
      <c r="AA529" s="32">
        <f>IF($C529="","",IF(COUNTA($M529,$N529,$O529)&lt;3,"— חסרים נתונים",IF(OR($M529="נמוכה",(--($M529&lt;&gt;"תקינה"))+(--($N529&lt;&gt;"תקין"))+(--($O529&lt;&gt;"תקינה"))&gt;=2),"ניכרת","אינה ניכרת")))</f>
        <v/>
      </c>
      <c r="AB529" s="32">
        <f>IF(OR($C529="",$Y529="",$AA529="",LEFT($Y529,1)="—",LEFT($AA529,1)="—"),"",IF($Z529="","— נדרשת הערכת כתיבה",IF($L529="","— חסרה הבנת הנקרא",IF($Y529="אינה מדויקת או מקוטעת",IF($AA529="ניכרת","מיקוד בשטף הקריאה ובכישורי שפה","מיקוד בשטף קריאה"),IF($AA529="ניכרת","מיקוד בכישורי שפה",IF(AND($L529="תקינה",$Z529="מפותחת"),"קוראים וכותבים מיומנים","מיקוד בהבנה והבעה"))))))</f>
        <v/>
      </c>
      <c r="AC529" s="32">
        <f>IF(OR($AB529="",LEFT($AB529,1)="—"),"",IF(OR($AB529="מיקוד בשטף קריאה",$AB529="מיקוד בשטף הקריאה ובכישורי שפה"),"רמה א'",IF($AB529="קוראים וכותבים מיומנים","רמה ג'","רמה ב'")))</f>
        <v/>
      </c>
      <c r="AD529" s="32">
        <f>IF($AC529="","",MID(IF(AND($AC529="רמה א'",$AA529="ניכרת"),"; להוסיף עבודת אוצר מילים","")&amp;IF($Z529="אינה מפותחת","; דגש על הבעה בכתב","")&amp;IF($K529&lt;&gt;"תקין","; נדרש לעבוד על ההנגנה","")&amp;IF($AK529&lt;&gt;"","; "&amp;$AK529,""),3,400))</f>
        <v/>
      </c>
      <c r="AE529" s="32">
        <f>IF($F529="","",IF($F529="תחילת שנה",1,IF($F529="מחצית שנה",2,3)))</f>
        <v/>
      </c>
      <c r="AF529" s="32">
        <f>IF(OR($B529="",$AC529="",$A529="",$F529=""),"",$B529&amp;"|"&amp;$A529&amp;"|"&amp;$F529&amp;"|"&amp;$AC529&amp;"|"&amp;COUNTIFS($B$6:$B529,$B529,$A$6:$A529,$A529,$F$6:$F529,$F529,$AC$6:$AC529,$AC529))</f>
        <v/>
      </c>
      <c r="AG529" s="32">
        <f>IF($C529="","",$C529&amp;"|"&amp;COUNTIFS($C$6:$C529,$C529))</f>
        <v/>
      </c>
      <c r="AH529" s="32">
        <f>IF(OR($C529="",$A529="",$AE529=""),"",$C529&amp;"|"&amp;$A529&amp;"|"&amp;$AE529)</f>
        <v/>
      </c>
      <c r="AI529" s="32">
        <f>IF(OR($C529="",$AE529="",$AE529=1),"",IFERROR(INDEX($AC$6:$AC$1505,MATCH($C529&amp;"|"&amp;$A529&amp;"|"&amp;($AE529-1),$AH$6:$AH$1505,0)),""))</f>
        <v/>
      </c>
      <c r="AJ529" s="32">
        <f>IF(OR($AI529="",$AC529=""),"",IF($AI529=$AC529,"ללא שינוי","מ-"&amp;$AI529&amp;" ל-"&amp;$AC529))</f>
        <v/>
      </c>
      <c r="AK529" s="67" t="n"/>
    </row>
    <row r="530" ht="15.75" customHeight="1" s="58">
      <c r="A530" s="65" t="n"/>
      <c r="B530" s="65" t="n"/>
      <c r="C530" s="66" t="n"/>
      <c r="D530" s="66" t="n"/>
      <c r="E530" s="65" t="n"/>
      <c r="F530" s="65" t="n"/>
      <c r="G530" s="65" t="n"/>
      <c r="H530" s="65" t="n"/>
      <c r="I530" s="65" t="n"/>
      <c r="J530" s="65" t="n"/>
      <c r="K530" s="65" t="n"/>
      <c r="L530" s="65" t="n"/>
      <c r="M530" s="65" t="n"/>
      <c r="N530" s="65" t="n"/>
      <c r="O530" s="65" t="n"/>
      <c r="P530" s="65" t="n"/>
      <c r="Q530" s="65" t="n"/>
      <c r="R530" s="65" t="n"/>
      <c r="S530" s="65" t="n"/>
      <c r="T530" s="65" t="n"/>
      <c r="U530" s="65" t="n"/>
      <c r="V530" s="65" t="n"/>
      <c r="W530" s="65" t="n"/>
      <c r="X530" s="65" t="n"/>
      <c r="Y530" s="32">
        <f>IF($C530="","",IF(COUNTA($I530:$K530)&lt;3,"— חסרים נתונים",IF(AND($I530="תקין",$J530="תקין",$K530="תקין"),"רהוטה",IF(AND($I530="תקין",$J530="תקין"),"מדויקת ורציפה","אינה מדויקת או מקוטעת"))))</f>
        <v/>
      </c>
      <c r="Z530" s="32">
        <f>IF($C530="","",IF(COUNTA($U530:$W530)&lt;3,"",IF(AND($U530="מפותח",$V530="מפותח",$W530="מפותחת"),"מפותחת",IF((--($U530="דל"))+(--($V530="אינו מפותח"))+(--($W530="דלה"))&gt;=2,"אינה מפותחת","חלקית"))))</f>
        <v/>
      </c>
      <c r="AA530" s="32">
        <f>IF($C530="","",IF(COUNTA($M530,$N530,$O530)&lt;3,"— חסרים נתונים",IF(OR($M530="נמוכה",(--($M530&lt;&gt;"תקינה"))+(--($N530&lt;&gt;"תקין"))+(--($O530&lt;&gt;"תקינה"))&gt;=2),"ניכרת","אינה ניכרת")))</f>
        <v/>
      </c>
      <c r="AB530" s="32">
        <f>IF(OR($C530="",$Y530="",$AA530="",LEFT($Y530,1)="—",LEFT($AA530,1)="—"),"",IF($Z530="","— נדרשת הערכת כתיבה",IF($L530="","— חסרה הבנת הנקרא",IF($Y530="אינה מדויקת או מקוטעת",IF($AA530="ניכרת","מיקוד בשטף הקריאה ובכישורי שפה","מיקוד בשטף קריאה"),IF($AA530="ניכרת","מיקוד בכישורי שפה",IF(AND($L530="תקינה",$Z530="מפותחת"),"קוראים וכותבים מיומנים","מיקוד בהבנה והבעה"))))))</f>
        <v/>
      </c>
      <c r="AC530" s="32">
        <f>IF(OR($AB530="",LEFT($AB530,1)="—"),"",IF(OR($AB530="מיקוד בשטף קריאה",$AB530="מיקוד בשטף הקריאה ובכישורי שפה"),"רמה א'",IF($AB530="קוראים וכותבים מיומנים","רמה ג'","רמה ב'")))</f>
        <v/>
      </c>
      <c r="AD530" s="32">
        <f>IF($AC530="","",MID(IF(AND($AC530="רמה א'",$AA530="ניכרת"),"; להוסיף עבודת אוצר מילים","")&amp;IF($Z530="אינה מפותחת","; דגש על הבעה בכתב","")&amp;IF($K530&lt;&gt;"תקין","; נדרש לעבוד על ההנגנה","")&amp;IF($AK530&lt;&gt;"","; "&amp;$AK530,""),3,400))</f>
        <v/>
      </c>
      <c r="AE530" s="32">
        <f>IF($F530="","",IF($F530="תחילת שנה",1,IF($F530="מחצית שנה",2,3)))</f>
        <v/>
      </c>
      <c r="AF530" s="32">
        <f>IF(OR($B530="",$AC530="",$A530="",$F530=""),"",$B530&amp;"|"&amp;$A530&amp;"|"&amp;$F530&amp;"|"&amp;$AC530&amp;"|"&amp;COUNTIFS($B$6:$B530,$B530,$A$6:$A530,$A530,$F$6:$F530,$F530,$AC$6:$AC530,$AC530))</f>
        <v/>
      </c>
      <c r="AG530" s="32">
        <f>IF($C530="","",$C530&amp;"|"&amp;COUNTIFS($C$6:$C530,$C530))</f>
        <v/>
      </c>
      <c r="AH530" s="32">
        <f>IF(OR($C530="",$A530="",$AE530=""),"",$C530&amp;"|"&amp;$A530&amp;"|"&amp;$AE530)</f>
        <v/>
      </c>
      <c r="AI530" s="32">
        <f>IF(OR($C530="",$AE530="",$AE530=1),"",IFERROR(INDEX($AC$6:$AC$1505,MATCH($C530&amp;"|"&amp;$A530&amp;"|"&amp;($AE530-1),$AH$6:$AH$1505,0)),""))</f>
        <v/>
      </c>
      <c r="AJ530" s="32">
        <f>IF(OR($AI530="",$AC530=""),"",IF($AI530=$AC530,"ללא שינוי","מ-"&amp;$AI530&amp;" ל-"&amp;$AC530))</f>
        <v/>
      </c>
      <c r="AK530" s="67" t="n"/>
    </row>
    <row r="531" ht="15.75" customHeight="1" s="58">
      <c r="A531" s="65" t="n"/>
      <c r="B531" s="65" t="n"/>
      <c r="C531" s="66" t="n"/>
      <c r="D531" s="66" t="n"/>
      <c r="E531" s="65" t="n"/>
      <c r="F531" s="65" t="n"/>
      <c r="G531" s="65" t="n"/>
      <c r="H531" s="65" t="n"/>
      <c r="I531" s="65" t="n"/>
      <c r="J531" s="65" t="n"/>
      <c r="K531" s="65" t="n"/>
      <c r="L531" s="65" t="n"/>
      <c r="M531" s="65" t="n"/>
      <c r="N531" s="65" t="n"/>
      <c r="O531" s="65" t="n"/>
      <c r="P531" s="65" t="n"/>
      <c r="Q531" s="65" t="n"/>
      <c r="R531" s="65" t="n"/>
      <c r="S531" s="65" t="n"/>
      <c r="T531" s="65" t="n"/>
      <c r="U531" s="65" t="n"/>
      <c r="V531" s="65" t="n"/>
      <c r="W531" s="65" t="n"/>
      <c r="X531" s="65" t="n"/>
      <c r="Y531" s="32">
        <f>IF($C531="","",IF(COUNTA($I531:$K531)&lt;3,"— חסרים נתונים",IF(AND($I531="תקין",$J531="תקין",$K531="תקין"),"רהוטה",IF(AND($I531="תקין",$J531="תקין"),"מדויקת ורציפה","אינה מדויקת או מקוטעת"))))</f>
        <v/>
      </c>
      <c r="Z531" s="32">
        <f>IF($C531="","",IF(COUNTA($U531:$W531)&lt;3,"",IF(AND($U531="מפותח",$V531="מפותח",$W531="מפותחת"),"מפותחת",IF((--($U531="דל"))+(--($V531="אינו מפותח"))+(--($W531="דלה"))&gt;=2,"אינה מפותחת","חלקית"))))</f>
        <v/>
      </c>
      <c r="AA531" s="32">
        <f>IF($C531="","",IF(COUNTA($M531,$N531,$O531)&lt;3,"— חסרים נתונים",IF(OR($M531="נמוכה",(--($M531&lt;&gt;"תקינה"))+(--($N531&lt;&gt;"תקין"))+(--($O531&lt;&gt;"תקינה"))&gt;=2),"ניכרת","אינה ניכרת")))</f>
        <v/>
      </c>
      <c r="AB531" s="32">
        <f>IF(OR($C531="",$Y531="",$AA531="",LEFT($Y531,1)="—",LEFT($AA531,1)="—"),"",IF($Z531="","— נדרשת הערכת כתיבה",IF($L531="","— חסרה הבנת הנקרא",IF($Y531="אינה מדויקת או מקוטעת",IF($AA531="ניכרת","מיקוד בשטף הקריאה ובכישורי שפה","מיקוד בשטף קריאה"),IF($AA531="ניכרת","מיקוד בכישורי שפה",IF(AND($L531="תקינה",$Z531="מפותחת"),"קוראים וכותבים מיומנים","מיקוד בהבנה והבעה"))))))</f>
        <v/>
      </c>
      <c r="AC531" s="32">
        <f>IF(OR($AB531="",LEFT($AB531,1)="—"),"",IF(OR($AB531="מיקוד בשטף קריאה",$AB531="מיקוד בשטף הקריאה ובכישורי שפה"),"רמה א'",IF($AB531="קוראים וכותבים מיומנים","רמה ג'","רמה ב'")))</f>
        <v/>
      </c>
      <c r="AD531" s="32">
        <f>IF($AC531="","",MID(IF(AND($AC531="רמה א'",$AA531="ניכרת"),"; להוסיף עבודת אוצר מילים","")&amp;IF($Z531="אינה מפותחת","; דגש על הבעה בכתב","")&amp;IF($K531&lt;&gt;"תקין","; נדרש לעבוד על ההנגנה","")&amp;IF($AK531&lt;&gt;"","; "&amp;$AK531,""),3,400))</f>
        <v/>
      </c>
      <c r="AE531" s="32">
        <f>IF($F531="","",IF($F531="תחילת שנה",1,IF($F531="מחצית שנה",2,3)))</f>
        <v/>
      </c>
      <c r="AF531" s="32">
        <f>IF(OR($B531="",$AC531="",$A531="",$F531=""),"",$B531&amp;"|"&amp;$A531&amp;"|"&amp;$F531&amp;"|"&amp;$AC531&amp;"|"&amp;COUNTIFS($B$6:$B531,$B531,$A$6:$A531,$A531,$F$6:$F531,$F531,$AC$6:$AC531,$AC531))</f>
        <v/>
      </c>
      <c r="AG531" s="32">
        <f>IF($C531="","",$C531&amp;"|"&amp;COUNTIFS($C$6:$C531,$C531))</f>
        <v/>
      </c>
      <c r="AH531" s="32">
        <f>IF(OR($C531="",$A531="",$AE531=""),"",$C531&amp;"|"&amp;$A531&amp;"|"&amp;$AE531)</f>
        <v/>
      </c>
      <c r="AI531" s="32">
        <f>IF(OR($C531="",$AE531="",$AE531=1),"",IFERROR(INDEX($AC$6:$AC$1505,MATCH($C531&amp;"|"&amp;$A531&amp;"|"&amp;($AE531-1),$AH$6:$AH$1505,0)),""))</f>
        <v/>
      </c>
      <c r="AJ531" s="32">
        <f>IF(OR($AI531="",$AC531=""),"",IF($AI531=$AC531,"ללא שינוי","מ-"&amp;$AI531&amp;" ל-"&amp;$AC531))</f>
        <v/>
      </c>
      <c r="AK531" s="67" t="n"/>
    </row>
    <row r="532" ht="15.75" customHeight="1" s="58">
      <c r="A532" s="65" t="n"/>
      <c r="B532" s="65" t="n"/>
      <c r="C532" s="66" t="n"/>
      <c r="D532" s="66" t="n"/>
      <c r="E532" s="65" t="n"/>
      <c r="F532" s="65" t="n"/>
      <c r="G532" s="65" t="n"/>
      <c r="H532" s="65" t="n"/>
      <c r="I532" s="65" t="n"/>
      <c r="J532" s="65" t="n"/>
      <c r="K532" s="65" t="n"/>
      <c r="L532" s="65" t="n"/>
      <c r="M532" s="65" t="n"/>
      <c r="N532" s="65" t="n"/>
      <c r="O532" s="65" t="n"/>
      <c r="P532" s="65" t="n"/>
      <c r="Q532" s="65" t="n"/>
      <c r="R532" s="65" t="n"/>
      <c r="S532" s="65" t="n"/>
      <c r="T532" s="65" t="n"/>
      <c r="U532" s="65" t="n"/>
      <c r="V532" s="65" t="n"/>
      <c r="W532" s="65" t="n"/>
      <c r="X532" s="65" t="n"/>
      <c r="Y532" s="32">
        <f>IF($C532="","",IF(COUNTA($I532:$K532)&lt;3,"— חסרים נתונים",IF(AND($I532="תקין",$J532="תקין",$K532="תקין"),"רהוטה",IF(AND($I532="תקין",$J532="תקין"),"מדויקת ורציפה","אינה מדויקת או מקוטעת"))))</f>
        <v/>
      </c>
      <c r="Z532" s="32">
        <f>IF($C532="","",IF(COUNTA($U532:$W532)&lt;3,"",IF(AND($U532="מפותח",$V532="מפותח",$W532="מפותחת"),"מפותחת",IF((--($U532="דל"))+(--($V532="אינו מפותח"))+(--($W532="דלה"))&gt;=2,"אינה מפותחת","חלקית"))))</f>
        <v/>
      </c>
      <c r="AA532" s="32">
        <f>IF($C532="","",IF(COUNTA($M532,$N532,$O532)&lt;3,"— חסרים נתונים",IF(OR($M532="נמוכה",(--($M532&lt;&gt;"תקינה"))+(--($N532&lt;&gt;"תקין"))+(--($O532&lt;&gt;"תקינה"))&gt;=2),"ניכרת","אינה ניכרת")))</f>
        <v/>
      </c>
      <c r="AB532" s="32">
        <f>IF(OR($C532="",$Y532="",$AA532="",LEFT($Y532,1)="—",LEFT($AA532,1)="—"),"",IF($Z532="","— נדרשת הערכת כתיבה",IF($L532="","— חסרה הבנת הנקרא",IF($Y532="אינה מדויקת או מקוטעת",IF($AA532="ניכרת","מיקוד בשטף הקריאה ובכישורי שפה","מיקוד בשטף קריאה"),IF($AA532="ניכרת","מיקוד בכישורי שפה",IF(AND($L532="תקינה",$Z532="מפותחת"),"קוראים וכותבים מיומנים","מיקוד בהבנה והבעה"))))))</f>
        <v/>
      </c>
      <c r="AC532" s="32">
        <f>IF(OR($AB532="",LEFT($AB532,1)="—"),"",IF(OR($AB532="מיקוד בשטף קריאה",$AB532="מיקוד בשטף הקריאה ובכישורי שפה"),"רמה א'",IF($AB532="קוראים וכותבים מיומנים","רמה ג'","רמה ב'")))</f>
        <v/>
      </c>
      <c r="AD532" s="32">
        <f>IF($AC532="","",MID(IF(AND($AC532="רמה א'",$AA532="ניכרת"),"; להוסיף עבודת אוצר מילים","")&amp;IF($Z532="אינה מפותחת","; דגש על הבעה בכתב","")&amp;IF($K532&lt;&gt;"תקין","; נדרש לעבוד על ההנגנה","")&amp;IF($AK532&lt;&gt;"","; "&amp;$AK532,""),3,400))</f>
        <v/>
      </c>
      <c r="AE532" s="32">
        <f>IF($F532="","",IF($F532="תחילת שנה",1,IF($F532="מחצית שנה",2,3)))</f>
        <v/>
      </c>
      <c r="AF532" s="32">
        <f>IF(OR($B532="",$AC532="",$A532="",$F532=""),"",$B532&amp;"|"&amp;$A532&amp;"|"&amp;$F532&amp;"|"&amp;$AC532&amp;"|"&amp;COUNTIFS($B$6:$B532,$B532,$A$6:$A532,$A532,$F$6:$F532,$F532,$AC$6:$AC532,$AC532))</f>
        <v/>
      </c>
      <c r="AG532" s="32">
        <f>IF($C532="","",$C532&amp;"|"&amp;COUNTIFS($C$6:$C532,$C532))</f>
        <v/>
      </c>
      <c r="AH532" s="32">
        <f>IF(OR($C532="",$A532="",$AE532=""),"",$C532&amp;"|"&amp;$A532&amp;"|"&amp;$AE532)</f>
        <v/>
      </c>
      <c r="AI532" s="32">
        <f>IF(OR($C532="",$AE532="",$AE532=1),"",IFERROR(INDEX($AC$6:$AC$1505,MATCH($C532&amp;"|"&amp;$A532&amp;"|"&amp;($AE532-1),$AH$6:$AH$1505,0)),""))</f>
        <v/>
      </c>
      <c r="AJ532" s="32">
        <f>IF(OR($AI532="",$AC532=""),"",IF($AI532=$AC532,"ללא שינוי","מ-"&amp;$AI532&amp;" ל-"&amp;$AC532))</f>
        <v/>
      </c>
      <c r="AK532" s="67" t="n"/>
    </row>
    <row r="533" ht="15.75" customHeight="1" s="58">
      <c r="A533" s="65" t="n"/>
      <c r="B533" s="65" t="n"/>
      <c r="C533" s="66" t="n"/>
      <c r="D533" s="66" t="n"/>
      <c r="E533" s="65" t="n"/>
      <c r="F533" s="65" t="n"/>
      <c r="G533" s="65" t="n"/>
      <c r="H533" s="65" t="n"/>
      <c r="I533" s="65" t="n"/>
      <c r="J533" s="65" t="n"/>
      <c r="K533" s="65" t="n"/>
      <c r="L533" s="65" t="n"/>
      <c r="M533" s="65" t="n"/>
      <c r="N533" s="65" t="n"/>
      <c r="O533" s="65" t="n"/>
      <c r="P533" s="65" t="n"/>
      <c r="Q533" s="65" t="n"/>
      <c r="R533" s="65" t="n"/>
      <c r="S533" s="65" t="n"/>
      <c r="T533" s="65" t="n"/>
      <c r="U533" s="65" t="n"/>
      <c r="V533" s="65" t="n"/>
      <c r="W533" s="65" t="n"/>
      <c r="X533" s="65" t="n"/>
      <c r="Y533" s="32">
        <f>IF($C533="","",IF(COUNTA($I533:$K533)&lt;3,"— חסרים נתונים",IF(AND($I533="תקין",$J533="תקין",$K533="תקין"),"רהוטה",IF(AND($I533="תקין",$J533="תקין"),"מדויקת ורציפה","אינה מדויקת או מקוטעת"))))</f>
        <v/>
      </c>
      <c r="Z533" s="32">
        <f>IF($C533="","",IF(COUNTA($U533:$W533)&lt;3,"",IF(AND($U533="מפותח",$V533="מפותח",$W533="מפותחת"),"מפותחת",IF((--($U533="דל"))+(--($V533="אינו מפותח"))+(--($W533="דלה"))&gt;=2,"אינה מפותחת","חלקית"))))</f>
        <v/>
      </c>
      <c r="AA533" s="32">
        <f>IF($C533="","",IF(COUNTA($M533,$N533,$O533)&lt;3,"— חסרים נתונים",IF(OR($M533="נמוכה",(--($M533&lt;&gt;"תקינה"))+(--($N533&lt;&gt;"תקין"))+(--($O533&lt;&gt;"תקינה"))&gt;=2),"ניכרת","אינה ניכרת")))</f>
        <v/>
      </c>
      <c r="AB533" s="32">
        <f>IF(OR($C533="",$Y533="",$AA533="",LEFT($Y533,1)="—",LEFT($AA533,1)="—"),"",IF($Z533="","— נדרשת הערכת כתיבה",IF($L533="","— חסרה הבנת הנקרא",IF($Y533="אינה מדויקת או מקוטעת",IF($AA533="ניכרת","מיקוד בשטף הקריאה ובכישורי שפה","מיקוד בשטף קריאה"),IF($AA533="ניכרת","מיקוד בכישורי שפה",IF(AND($L533="תקינה",$Z533="מפותחת"),"קוראים וכותבים מיומנים","מיקוד בהבנה והבעה"))))))</f>
        <v/>
      </c>
      <c r="AC533" s="32">
        <f>IF(OR($AB533="",LEFT($AB533,1)="—"),"",IF(OR($AB533="מיקוד בשטף קריאה",$AB533="מיקוד בשטף הקריאה ובכישורי שפה"),"רמה א'",IF($AB533="קוראים וכותבים מיומנים","רמה ג'","רמה ב'")))</f>
        <v/>
      </c>
      <c r="AD533" s="32">
        <f>IF($AC533="","",MID(IF(AND($AC533="רמה א'",$AA533="ניכרת"),"; להוסיף עבודת אוצר מילים","")&amp;IF($Z533="אינה מפותחת","; דגש על הבעה בכתב","")&amp;IF($K533&lt;&gt;"תקין","; נדרש לעבוד על ההנגנה","")&amp;IF($AK533&lt;&gt;"","; "&amp;$AK533,""),3,400))</f>
        <v/>
      </c>
      <c r="AE533" s="32">
        <f>IF($F533="","",IF($F533="תחילת שנה",1,IF($F533="מחצית שנה",2,3)))</f>
        <v/>
      </c>
      <c r="AF533" s="32">
        <f>IF(OR($B533="",$AC533="",$A533="",$F533=""),"",$B533&amp;"|"&amp;$A533&amp;"|"&amp;$F533&amp;"|"&amp;$AC533&amp;"|"&amp;COUNTIFS($B$6:$B533,$B533,$A$6:$A533,$A533,$F$6:$F533,$F533,$AC$6:$AC533,$AC533))</f>
        <v/>
      </c>
      <c r="AG533" s="32">
        <f>IF($C533="","",$C533&amp;"|"&amp;COUNTIFS($C$6:$C533,$C533))</f>
        <v/>
      </c>
      <c r="AH533" s="32">
        <f>IF(OR($C533="",$A533="",$AE533=""),"",$C533&amp;"|"&amp;$A533&amp;"|"&amp;$AE533)</f>
        <v/>
      </c>
      <c r="AI533" s="32">
        <f>IF(OR($C533="",$AE533="",$AE533=1),"",IFERROR(INDEX($AC$6:$AC$1505,MATCH($C533&amp;"|"&amp;$A533&amp;"|"&amp;($AE533-1),$AH$6:$AH$1505,0)),""))</f>
        <v/>
      </c>
      <c r="AJ533" s="32">
        <f>IF(OR($AI533="",$AC533=""),"",IF($AI533=$AC533,"ללא שינוי","מ-"&amp;$AI533&amp;" ל-"&amp;$AC533))</f>
        <v/>
      </c>
      <c r="AK533" s="67" t="n"/>
    </row>
    <row r="534" ht="15.75" customHeight="1" s="58">
      <c r="A534" s="65" t="n"/>
      <c r="B534" s="65" t="n"/>
      <c r="C534" s="66" t="n"/>
      <c r="D534" s="66" t="n"/>
      <c r="E534" s="65" t="n"/>
      <c r="F534" s="65" t="n"/>
      <c r="G534" s="65" t="n"/>
      <c r="H534" s="65" t="n"/>
      <c r="I534" s="65" t="n"/>
      <c r="J534" s="65" t="n"/>
      <c r="K534" s="65" t="n"/>
      <c r="L534" s="65" t="n"/>
      <c r="M534" s="65" t="n"/>
      <c r="N534" s="65" t="n"/>
      <c r="O534" s="65" t="n"/>
      <c r="P534" s="65" t="n"/>
      <c r="Q534" s="65" t="n"/>
      <c r="R534" s="65" t="n"/>
      <c r="S534" s="65" t="n"/>
      <c r="T534" s="65" t="n"/>
      <c r="U534" s="65" t="n"/>
      <c r="V534" s="65" t="n"/>
      <c r="W534" s="65" t="n"/>
      <c r="X534" s="65" t="n"/>
      <c r="Y534" s="32">
        <f>IF($C534="","",IF(COUNTA($I534:$K534)&lt;3,"— חסרים נתונים",IF(AND($I534="תקין",$J534="תקין",$K534="תקין"),"רהוטה",IF(AND($I534="תקין",$J534="תקין"),"מדויקת ורציפה","אינה מדויקת או מקוטעת"))))</f>
        <v/>
      </c>
      <c r="Z534" s="32">
        <f>IF($C534="","",IF(COUNTA($U534:$W534)&lt;3,"",IF(AND($U534="מפותח",$V534="מפותח",$W534="מפותחת"),"מפותחת",IF((--($U534="דל"))+(--($V534="אינו מפותח"))+(--($W534="דלה"))&gt;=2,"אינה מפותחת","חלקית"))))</f>
        <v/>
      </c>
      <c r="AA534" s="32">
        <f>IF($C534="","",IF(COUNTA($M534,$N534,$O534)&lt;3,"— חסרים נתונים",IF(OR($M534="נמוכה",(--($M534&lt;&gt;"תקינה"))+(--($N534&lt;&gt;"תקין"))+(--($O534&lt;&gt;"תקינה"))&gt;=2),"ניכרת","אינה ניכרת")))</f>
        <v/>
      </c>
      <c r="AB534" s="32">
        <f>IF(OR($C534="",$Y534="",$AA534="",LEFT($Y534,1)="—",LEFT($AA534,1)="—"),"",IF($Z534="","— נדרשת הערכת כתיבה",IF($L534="","— חסרה הבנת הנקרא",IF($Y534="אינה מדויקת או מקוטעת",IF($AA534="ניכרת","מיקוד בשטף הקריאה ובכישורי שפה","מיקוד בשטף קריאה"),IF($AA534="ניכרת","מיקוד בכישורי שפה",IF(AND($L534="תקינה",$Z534="מפותחת"),"קוראים וכותבים מיומנים","מיקוד בהבנה והבעה"))))))</f>
        <v/>
      </c>
      <c r="AC534" s="32">
        <f>IF(OR($AB534="",LEFT($AB534,1)="—"),"",IF(OR($AB534="מיקוד בשטף קריאה",$AB534="מיקוד בשטף הקריאה ובכישורי שפה"),"רמה א'",IF($AB534="קוראים וכותבים מיומנים","רמה ג'","רמה ב'")))</f>
        <v/>
      </c>
      <c r="AD534" s="32">
        <f>IF($AC534="","",MID(IF(AND($AC534="רמה א'",$AA534="ניכרת"),"; להוסיף עבודת אוצר מילים","")&amp;IF($Z534="אינה מפותחת","; דגש על הבעה בכתב","")&amp;IF($K534&lt;&gt;"תקין","; נדרש לעבוד על ההנגנה","")&amp;IF($AK534&lt;&gt;"","; "&amp;$AK534,""),3,400))</f>
        <v/>
      </c>
      <c r="AE534" s="32">
        <f>IF($F534="","",IF($F534="תחילת שנה",1,IF($F534="מחצית שנה",2,3)))</f>
        <v/>
      </c>
      <c r="AF534" s="32">
        <f>IF(OR($B534="",$AC534="",$A534="",$F534=""),"",$B534&amp;"|"&amp;$A534&amp;"|"&amp;$F534&amp;"|"&amp;$AC534&amp;"|"&amp;COUNTIFS($B$6:$B534,$B534,$A$6:$A534,$A534,$F$6:$F534,$F534,$AC$6:$AC534,$AC534))</f>
        <v/>
      </c>
      <c r="AG534" s="32">
        <f>IF($C534="","",$C534&amp;"|"&amp;COUNTIFS($C$6:$C534,$C534))</f>
        <v/>
      </c>
      <c r="AH534" s="32">
        <f>IF(OR($C534="",$A534="",$AE534=""),"",$C534&amp;"|"&amp;$A534&amp;"|"&amp;$AE534)</f>
        <v/>
      </c>
      <c r="AI534" s="32">
        <f>IF(OR($C534="",$AE534="",$AE534=1),"",IFERROR(INDEX($AC$6:$AC$1505,MATCH($C534&amp;"|"&amp;$A534&amp;"|"&amp;($AE534-1),$AH$6:$AH$1505,0)),""))</f>
        <v/>
      </c>
      <c r="AJ534" s="32">
        <f>IF(OR($AI534="",$AC534=""),"",IF($AI534=$AC534,"ללא שינוי","מ-"&amp;$AI534&amp;" ל-"&amp;$AC534))</f>
        <v/>
      </c>
      <c r="AK534" s="67" t="n"/>
    </row>
    <row r="535" ht="15.75" customHeight="1" s="58">
      <c r="A535" s="65" t="n"/>
      <c r="B535" s="65" t="n"/>
      <c r="C535" s="66" t="n"/>
      <c r="D535" s="66" t="n"/>
      <c r="E535" s="65" t="n"/>
      <c r="F535" s="65" t="n"/>
      <c r="G535" s="65" t="n"/>
      <c r="H535" s="65" t="n"/>
      <c r="I535" s="65" t="n"/>
      <c r="J535" s="65" t="n"/>
      <c r="K535" s="65" t="n"/>
      <c r="L535" s="65" t="n"/>
      <c r="M535" s="65" t="n"/>
      <c r="N535" s="65" t="n"/>
      <c r="O535" s="65" t="n"/>
      <c r="P535" s="65" t="n"/>
      <c r="Q535" s="65" t="n"/>
      <c r="R535" s="65" t="n"/>
      <c r="S535" s="65" t="n"/>
      <c r="T535" s="65" t="n"/>
      <c r="U535" s="65" t="n"/>
      <c r="V535" s="65" t="n"/>
      <c r="W535" s="65" t="n"/>
      <c r="X535" s="65" t="n"/>
      <c r="Y535" s="32">
        <f>IF($C535="","",IF(COUNTA($I535:$K535)&lt;3,"— חסרים נתונים",IF(AND($I535="תקין",$J535="תקין",$K535="תקין"),"רהוטה",IF(AND($I535="תקין",$J535="תקין"),"מדויקת ורציפה","אינה מדויקת או מקוטעת"))))</f>
        <v/>
      </c>
      <c r="Z535" s="32">
        <f>IF($C535="","",IF(COUNTA($U535:$W535)&lt;3,"",IF(AND($U535="מפותח",$V535="מפותח",$W535="מפותחת"),"מפותחת",IF((--($U535="דל"))+(--($V535="אינו מפותח"))+(--($W535="דלה"))&gt;=2,"אינה מפותחת","חלקית"))))</f>
        <v/>
      </c>
      <c r="AA535" s="32">
        <f>IF($C535="","",IF(COUNTA($M535,$N535,$O535)&lt;3,"— חסרים נתונים",IF(OR($M535="נמוכה",(--($M535&lt;&gt;"תקינה"))+(--($N535&lt;&gt;"תקין"))+(--($O535&lt;&gt;"תקינה"))&gt;=2),"ניכרת","אינה ניכרת")))</f>
        <v/>
      </c>
      <c r="AB535" s="32">
        <f>IF(OR($C535="",$Y535="",$AA535="",LEFT($Y535,1)="—",LEFT($AA535,1)="—"),"",IF($Z535="","— נדרשת הערכת כתיבה",IF($L535="","— חסרה הבנת הנקרא",IF($Y535="אינה מדויקת או מקוטעת",IF($AA535="ניכרת","מיקוד בשטף הקריאה ובכישורי שפה","מיקוד בשטף קריאה"),IF($AA535="ניכרת","מיקוד בכישורי שפה",IF(AND($L535="תקינה",$Z535="מפותחת"),"קוראים וכותבים מיומנים","מיקוד בהבנה והבעה"))))))</f>
        <v/>
      </c>
      <c r="AC535" s="32">
        <f>IF(OR($AB535="",LEFT($AB535,1)="—"),"",IF(OR($AB535="מיקוד בשטף קריאה",$AB535="מיקוד בשטף הקריאה ובכישורי שפה"),"רמה א'",IF($AB535="קוראים וכותבים מיומנים","רמה ג'","רמה ב'")))</f>
        <v/>
      </c>
      <c r="AD535" s="32">
        <f>IF($AC535="","",MID(IF(AND($AC535="רמה א'",$AA535="ניכרת"),"; להוסיף עבודת אוצר מילים","")&amp;IF($Z535="אינה מפותחת","; דגש על הבעה בכתב","")&amp;IF($K535&lt;&gt;"תקין","; נדרש לעבוד על ההנגנה","")&amp;IF($AK535&lt;&gt;"","; "&amp;$AK535,""),3,400))</f>
        <v/>
      </c>
      <c r="AE535" s="32">
        <f>IF($F535="","",IF($F535="תחילת שנה",1,IF($F535="מחצית שנה",2,3)))</f>
        <v/>
      </c>
      <c r="AF535" s="32">
        <f>IF(OR($B535="",$AC535="",$A535="",$F535=""),"",$B535&amp;"|"&amp;$A535&amp;"|"&amp;$F535&amp;"|"&amp;$AC535&amp;"|"&amp;COUNTIFS($B$6:$B535,$B535,$A$6:$A535,$A535,$F$6:$F535,$F535,$AC$6:$AC535,$AC535))</f>
        <v/>
      </c>
      <c r="AG535" s="32">
        <f>IF($C535="","",$C535&amp;"|"&amp;COUNTIFS($C$6:$C535,$C535))</f>
        <v/>
      </c>
      <c r="AH535" s="32">
        <f>IF(OR($C535="",$A535="",$AE535=""),"",$C535&amp;"|"&amp;$A535&amp;"|"&amp;$AE535)</f>
        <v/>
      </c>
      <c r="AI535" s="32">
        <f>IF(OR($C535="",$AE535="",$AE535=1),"",IFERROR(INDEX($AC$6:$AC$1505,MATCH($C535&amp;"|"&amp;$A535&amp;"|"&amp;($AE535-1),$AH$6:$AH$1505,0)),""))</f>
        <v/>
      </c>
      <c r="AJ535" s="32">
        <f>IF(OR($AI535="",$AC535=""),"",IF($AI535=$AC535,"ללא שינוי","מ-"&amp;$AI535&amp;" ל-"&amp;$AC535))</f>
        <v/>
      </c>
      <c r="AK535" s="67" t="n"/>
    </row>
    <row r="536" ht="15.75" customHeight="1" s="58">
      <c r="A536" s="65" t="n"/>
      <c r="B536" s="65" t="n"/>
      <c r="C536" s="66" t="n"/>
      <c r="D536" s="66" t="n"/>
      <c r="E536" s="65" t="n"/>
      <c r="F536" s="65" t="n"/>
      <c r="G536" s="65" t="n"/>
      <c r="H536" s="65" t="n"/>
      <c r="I536" s="65" t="n"/>
      <c r="J536" s="65" t="n"/>
      <c r="K536" s="65" t="n"/>
      <c r="L536" s="65" t="n"/>
      <c r="M536" s="65" t="n"/>
      <c r="N536" s="65" t="n"/>
      <c r="O536" s="65" t="n"/>
      <c r="P536" s="65" t="n"/>
      <c r="Q536" s="65" t="n"/>
      <c r="R536" s="65" t="n"/>
      <c r="S536" s="65" t="n"/>
      <c r="T536" s="65" t="n"/>
      <c r="U536" s="65" t="n"/>
      <c r="V536" s="65" t="n"/>
      <c r="W536" s="65" t="n"/>
      <c r="X536" s="65" t="n"/>
      <c r="Y536" s="32">
        <f>IF($C536="","",IF(COUNTA($I536:$K536)&lt;3,"— חסרים נתונים",IF(AND($I536="תקין",$J536="תקין",$K536="תקין"),"רהוטה",IF(AND($I536="תקין",$J536="תקין"),"מדויקת ורציפה","אינה מדויקת או מקוטעת"))))</f>
        <v/>
      </c>
      <c r="Z536" s="32">
        <f>IF($C536="","",IF(COUNTA($U536:$W536)&lt;3,"",IF(AND($U536="מפותח",$V536="מפותח",$W536="מפותחת"),"מפותחת",IF((--($U536="דל"))+(--($V536="אינו מפותח"))+(--($W536="דלה"))&gt;=2,"אינה מפותחת","חלקית"))))</f>
        <v/>
      </c>
      <c r="AA536" s="32">
        <f>IF($C536="","",IF(COUNTA($M536,$N536,$O536)&lt;3,"— חסרים נתונים",IF(OR($M536="נמוכה",(--($M536&lt;&gt;"תקינה"))+(--($N536&lt;&gt;"תקין"))+(--($O536&lt;&gt;"תקינה"))&gt;=2),"ניכרת","אינה ניכרת")))</f>
        <v/>
      </c>
      <c r="AB536" s="32">
        <f>IF(OR($C536="",$Y536="",$AA536="",LEFT($Y536,1)="—",LEFT($AA536,1)="—"),"",IF($Z536="","— נדרשת הערכת כתיבה",IF($L536="","— חסרה הבנת הנקרא",IF($Y536="אינה מדויקת או מקוטעת",IF($AA536="ניכרת","מיקוד בשטף הקריאה ובכישורי שפה","מיקוד בשטף קריאה"),IF($AA536="ניכרת","מיקוד בכישורי שפה",IF(AND($L536="תקינה",$Z536="מפותחת"),"קוראים וכותבים מיומנים","מיקוד בהבנה והבעה"))))))</f>
        <v/>
      </c>
      <c r="AC536" s="32">
        <f>IF(OR($AB536="",LEFT($AB536,1)="—"),"",IF(OR($AB536="מיקוד בשטף קריאה",$AB536="מיקוד בשטף הקריאה ובכישורי שפה"),"רמה א'",IF($AB536="קוראים וכותבים מיומנים","רמה ג'","רמה ב'")))</f>
        <v/>
      </c>
      <c r="AD536" s="32">
        <f>IF($AC536="","",MID(IF(AND($AC536="רמה א'",$AA536="ניכרת"),"; להוסיף עבודת אוצר מילים","")&amp;IF($Z536="אינה מפותחת","; דגש על הבעה בכתב","")&amp;IF($K536&lt;&gt;"תקין","; נדרש לעבוד על ההנגנה","")&amp;IF($AK536&lt;&gt;"","; "&amp;$AK536,""),3,400))</f>
        <v/>
      </c>
      <c r="AE536" s="32">
        <f>IF($F536="","",IF($F536="תחילת שנה",1,IF($F536="מחצית שנה",2,3)))</f>
        <v/>
      </c>
      <c r="AF536" s="32">
        <f>IF(OR($B536="",$AC536="",$A536="",$F536=""),"",$B536&amp;"|"&amp;$A536&amp;"|"&amp;$F536&amp;"|"&amp;$AC536&amp;"|"&amp;COUNTIFS($B$6:$B536,$B536,$A$6:$A536,$A536,$F$6:$F536,$F536,$AC$6:$AC536,$AC536))</f>
        <v/>
      </c>
      <c r="AG536" s="32">
        <f>IF($C536="","",$C536&amp;"|"&amp;COUNTIFS($C$6:$C536,$C536))</f>
        <v/>
      </c>
      <c r="AH536" s="32">
        <f>IF(OR($C536="",$A536="",$AE536=""),"",$C536&amp;"|"&amp;$A536&amp;"|"&amp;$AE536)</f>
        <v/>
      </c>
      <c r="AI536" s="32">
        <f>IF(OR($C536="",$AE536="",$AE536=1),"",IFERROR(INDEX($AC$6:$AC$1505,MATCH($C536&amp;"|"&amp;$A536&amp;"|"&amp;($AE536-1),$AH$6:$AH$1505,0)),""))</f>
        <v/>
      </c>
      <c r="AJ536" s="32">
        <f>IF(OR($AI536="",$AC536=""),"",IF($AI536=$AC536,"ללא שינוי","מ-"&amp;$AI536&amp;" ל-"&amp;$AC536))</f>
        <v/>
      </c>
      <c r="AK536" s="67" t="n"/>
    </row>
    <row r="537" ht="15.75" customHeight="1" s="58">
      <c r="A537" s="65" t="n"/>
      <c r="B537" s="65" t="n"/>
      <c r="C537" s="66" t="n"/>
      <c r="D537" s="66" t="n"/>
      <c r="E537" s="65" t="n"/>
      <c r="F537" s="65" t="n"/>
      <c r="G537" s="65" t="n"/>
      <c r="H537" s="65" t="n"/>
      <c r="I537" s="65" t="n"/>
      <c r="J537" s="65" t="n"/>
      <c r="K537" s="65" t="n"/>
      <c r="L537" s="65" t="n"/>
      <c r="M537" s="65" t="n"/>
      <c r="N537" s="65" t="n"/>
      <c r="O537" s="65" t="n"/>
      <c r="P537" s="65" t="n"/>
      <c r="Q537" s="65" t="n"/>
      <c r="R537" s="65" t="n"/>
      <c r="S537" s="65" t="n"/>
      <c r="T537" s="65" t="n"/>
      <c r="U537" s="65" t="n"/>
      <c r="V537" s="65" t="n"/>
      <c r="W537" s="65" t="n"/>
      <c r="X537" s="65" t="n"/>
      <c r="Y537" s="32">
        <f>IF($C537="","",IF(COUNTA($I537:$K537)&lt;3,"— חסרים נתונים",IF(AND($I537="תקין",$J537="תקין",$K537="תקין"),"רהוטה",IF(AND($I537="תקין",$J537="תקין"),"מדויקת ורציפה","אינה מדויקת או מקוטעת"))))</f>
        <v/>
      </c>
      <c r="Z537" s="32">
        <f>IF($C537="","",IF(COUNTA($U537:$W537)&lt;3,"",IF(AND($U537="מפותח",$V537="מפותח",$W537="מפותחת"),"מפותחת",IF((--($U537="דל"))+(--($V537="אינו מפותח"))+(--($W537="דלה"))&gt;=2,"אינה מפותחת","חלקית"))))</f>
        <v/>
      </c>
      <c r="AA537" s="32">
        <f>IF($C537="","",IF(COUNTA($M537,$N537,$O537)&lt;3,"— חסרים נתונים",IF(OR($M537="נמוכה",(--($M537&lt;&gt;"תקינה"))+(--($N537&lt;&gt;"תקין"))+(--($O537&lt;&gt;"תקינה"))&gt;=2),"ניכרת","אינה ניכרת")))</f>
        <v/>
      </c>
      <c r="AB537" s="32">
        <f>IF(OR($C537="",$Y537="",$AA537="",LEFT($Y537,1)="—",LEFT($AA537,1)="—"),"",IF($Z537="","— נדרשת הערכת כתיבה",IF($L537="","— חסרה הבנת הנקרא",IF($Y537="אינה מדויקת או מקוטעת",IF($AA537="ניכרת","מיקוד בשטף הקריאה ובכישורי שפה","מיקוד בשטף קריאה"),IF($AA537="ניכרת","מיקוד בכישורי שפה",IF(AND($L537="תקינה",$Z537="מפותחת"),"קוראים וכותבים מיומנים","מיקוד בהבנה והבעה"))))))</f>
        <v/>
      </c>
      <c r="AC537" s="32">
        <f>IF(OR($AB537="",LEFT($AB537,1)="—"),"",IF(OR($AB537="מיקוד בשטף קריאה",$AB537="מיקוד בשטף הקריאה ובכישורי שפה"),"רמה א'",IF($AB537="קוראים וכותבים מיומנים","רמה ג'","רמה ב'")))</f>
        <v/>
      </c>
      <c r="AD537" s="32">
        <f>IF($AC537="","",MID(IF(AND($AC537="רמה א'",$AA537="ניכרת"),"; להוסיף עבודת אוצר מילים","")&amp;IF($Z537="אינה מפותחת","; דגש על הבעה בכתב","")&amp;IF($K537&lt;&gt;"תקין","; נדרש לעבוד על ההנגנה","")&amp;IF($AK537&lt;&gt;"","; "&amp;$AK537,""),3,400))</f>
        <v/>
      </c>
      <c r="AE537" s="32">
        <f>IF($F537="","",IF($F537="תחילת שנה",1,IF($F537="מחצית שנה",2,3)))</f>
        <v/>
      </c>
      <c r="AF537" s="32">
        <f>IF(OR($B537="",$AC537="",$A537="",$F537=""),"",$B537&amp;"|"&amp;$A537&amp;"|"&amp;$F537&amp;"|"&amp;$AC537&amp;"|"&amp;COUNTIFS($B$6:$B537,$B537,$A$6:$A537,$A537,$F$6:$F537,$F537,$AC$6:$AC537,$AC537))</f>
        <v/>
      </c>
      <c r="AG537" s="32">
        <f>IF($C537="","",$C537&amp;"|"&amp;COUNTIFS($C$6:$C537,$C537))</f>
        <v/>
      </c>
      <c r="AH537" s="32">
        <f>IF(OR($C537="",$A537="",$AE537=""),"",$C537&amp;"|"&amp;$A537&amp;"|"&amp;$AE537)</f>
        <v/>
      </c>
      <c r="AI537" s="32">
        <f>IF(OR($C537="",$AE537="",$AE537=1),"",IFERROR(INDEX($AC$6:$AC$1505,MATCH($C537&amp;"|"&amp;$A537&amp;"|"&amp;($AE537-1),$AH$6:$AH$1505,0)),""))</f>
        <v/>
      </c>
      <c r="AJ537" s="32">
        <f>IF(OR($AI537="",$AC537=""),"",IF($AI537=$AC537,"ללא שינוי","מ-"&amp;$AI537&amp;" ל-"&amp;$AC537))</f>
        <v/>
      </c>
      <c r="AK537" s="67" t="n"/>
    </row>
    <row r="538" ht="15.75" customHeight="1" s="58">
      <c r="A538" s="65" t="n"/>
      <c r="B538" s="65" t="n"/>
      <c r="C538" s="66" t="n"/>
      <c r="D538" s="66" t="n"/>
      <c r="E538" s="65" t="n"/>
      <c r="F538" s="65" t="n"/>
      <c r="G538" s="65" t="n"/>
      <c r="H538" s="65" t="n"/>
      <c r="I538" s="65" t="n"/>
      <c r="J538" s="65" t="n"/>
      <c r="K538" s="65" t="n"/>
      <c r="L538" s="65" t="n"/>
      <c r="M538" s="65" t="n"/>
      <c r="N538" s="65" t="n"/>
      <c r="O538" s="65" t="n"/>
      <c r="P538" s="65" t="n"/>
      <c r="Q538" s="65" t="n"/>
      <c r="R538" s="65" t="n"/>
      <c r="S538" s="65" t="n"/>
      <c r="T538" s="65" t="n"/>
      <c r="U538" s="65" t="n"/>
      <c r="V538" s="65" t="n"/>
      <c r="W538" s="65" t="n"/>
      <c r="X538" s="65" t="n"/>
      <c r="Y538" s="32">
        <f>IF($C538="","",IF(COUNTA($I538:$K538)&lt;3,"— חסרים נתונים",IF(AND($I538="תקין",$J538="תקין",$K538="תקין"),"רהוטה",IF(AND($I538="תקין",$J538="תקין"),"מדויקת ורציפה","אינה מדויקת או מקוטעת"))))</f>
        <v/>
      </c>
      <c r="Z538" s="32">
        <f>IF($C538="","",IF(COUNTA($U538:$W538)&lt;3,"",IF(AND($U538="מפותח",$V538="מפותח",$W538="מפותחת"),"מפותחת",IF((--($U538="דל"))+(--($V538="אינו מפותח"))+(--($W538="דלה"))&gt;=2,"אינה מפותחת","חלקית"))))</f>
        <v/>
      </c>
      <c r="AA538" s="32">
        <f>IF($C538="","",IF(COUNTA($M538,$N538,$O538)&lt;3,"— חסרים נתונים",IF(OR($M538="נמוכה",(--($M538&lt;&gt;"תקינה"))+(--($N538&lt;&gt;"תקין"))+(--($O538&lt;&gt;"תקינה"))&gt;=2),"ניכרת","אינה ניכרת")))</f>
        <v/>
      </c>
      <c r="AB538" s="32">
        <f>IF(OR($C538="",$Y538="",$AA538="",LEFT($Y538,1)="—",LEFT($AA538,1)="—"),"",IF($Z538="","— נדרשת הערכת כתיבה",IF($L538="","— חסרה הבנת הנקרא",IF($Y538="אינה מדויקת או מקוטעת",IF($AA538="ניכרת","מיקוד בשטף הקריאה ובכישורי שפה","מיקוד בשטף קריאה"),IF($AA538="ניכרת","מיקוד בכישורי שפה",IF(AND($L538="תקינה",$Z538="מפותחת"),"קוראים וכותבים מיומנים","מיקוד בהבנה והבעה"))))))</f>
        <v/>
      </c>
      <c r="AC538" s="32">
        <f>IF(OR($AB538="",LEFT($AB538,1)="—"),"",IF(OR($AB538="מיקוד בשטף קריאה",$AB538="מיקוד בשטף הקריאה ובכישורי שפה"),"רמה א'",IF($AB538="קוראים וכותבים מיומנים","רמה ג'","רמה ב'")))</f>
        <v/>
      </c>
      <c r="AD538" s="32">
        <f>IF($AC538="","",MID(IF(AND($AC538="רמה א'",$AA538="ניכרת"),"; להוסיף עבודת אוצר מילים","")&amp;IF($Z538="אינה מפותחת","; דגש על הבעה בכתב","")&amp;IF($K538&lt;&gt;"תקין","; נדרש לעבוד על ההנגנה","")&amp;IF($AK538&lt;&gt;"","; "&amp;$AK538,""),3,400))</f>
        <v/>
      </c>
      <c r="AE538" s="32">
        <f>IF($F538="","",IF($F538="תחילת שנה",1,IF($F538="מחצית שנה",2,3)))</f>
        <v/>
      </c>
      <c r="AF538" s="32">
        <f>IF(OR($B538="",$AC538="",$A538="",$F538=""),"",$B538&amp;"|"&amp;$A538&amp;"|"&amp;$F538&amp;"|"&amp;$AC538&amp;"|"&amp;COUNTIFS($B$6:$B538,$B538,$A$6:$A538,$A538,$F$6:$F538,$F538,$AC$6:$AC538,$AC538))</f>
        <v/>
      </c>
      <c r="AG538" s="32">
        <f>IF($C538="","",$C538&amp;"|"&amp;COUNTIFS($C$6:$C538,$C538))</f>
        <v/>
      </c>
      <c r="AH538" s="32">
        <f>IF(OR($C538="",$A538="",$AE538=""),"",$C538&amp;"|"&amp;$A538&amp;"|"&amp;$AE538)</f>
        <v/>
      </c>
      <c r="AI538" s="32">
        <f>IF(OR($C538="",$AE538="",$AE538=1),"",IFERROR(INDEX($AC$6:$AC$1505,MATCH($C538&amp;"|"&amp;$A538&amp;"|"&amp;($AE538-1),$AH$6:$AH$1505,0)),""))</f>
        <v/>
      </c>
      <c r="AJ538" s="32">
        <f>IF(OR($AI538="",$AC538=""),"",IF($AI538=$AC538,"ללא שינוי","מ-"&amp;$AI538&amp;" ל-"&amp;$AC538))</f>
        <v/>
      </c>
      <c r="AK538" s="67" t="n"/>
    </row>
    <row r="539" ht="15.75" customHeight="1" s="58">
      <c r="A539" s="65" t="n"/>
      <c r="B539" s="65" t="n"/>
      <c r="C539" s="66" t="n"/>
      <c r="D539" s="66" t="n"/>
      <c r="E539" s="65" t="n"/>
      <c r="F539" s="65" t="n"/>
      <c r="G539" s="65" t="n"/>
      <c r="H539" s="65" t="n"/>
      <c r="I539" s="65" t="n"/>
      <c r="J539" s="65" t="n"/>
      <c r="K539" s="65" t="n"/>
      <c r="L539" s="65" t="n"/>
      <c r="M539" s="65" t="n"/>
      <c r="N539" s="65" t="n"/>
      <c r="O539" s="65" t="n"/>
      <c r="P539" s="65" t="n"/>
      <c r="Q539" s="65" t="n"/>
      <c r="R539" s="65" t="n"/>
      <c r="S539" s="65" t="n"/>
      <c r="T539" s="65" t="n"/>
      <c r="U539" s="65" t="n"/>
      <c r="V539" s="65" t="n"/>
      <c r="W539" s="65" t="n"/>
      <c r="X539" s="65" t="n"/>
      <c r="Y539" s="32">
        <f>IF($C539="","",IF(COUNTA($I539:$K539)&lt;3,"— חסרים נתונים",IF(AND($I539="תקין",$J539="תקין",$K539="תקין"),"רהוטה",IF(AND($I539="תקין",$J539="תקין"),"מדויקת ורציפה","אינה מדויקת או מקוטעת"))))</f>
        <v/>
      </c>
      <c r="Z539" s="32">
        <f>IF($C539="","",IF(COUNTA($U539:$W539)&lt;3,"",IF(AND($U539="מפותח",$V539="מפותח",$W539="מפותחת"),"מפותחת",IF((--($U539="דל"))+(--($V539="אינו מפותח"))+(--($W539="דלה"))&gt;=2,"אינה מפותחת","חלקית"))))</f>
        <v/>
      </c>
      <c r="AA539" s="32">
        <f>IF($C539="","",IF(COUNTA($M539,$N539,$O539)&lt;3,"— חסרים נתונים",IF(OR($M539="נמוכה",(--($M539&lt;&gt;"תקינה"))+(--($N539&lt;&gt;"תקין"))+(--($O539&lt;&gt;"תקינה"))&gt;=2),"ניכרת","אינה ניכרת")))</f>
        <v/>
      </c>
      <c r="AB539" s="32">
        <f>IF(OR($C539="",$Y539="",$AA539="",LEFT($Y539,1)="—",LEFT($AA539,1)="—"),"",IF($Z539="","— נדרשת הערכת כתיבה",IF($L539="","— חסרה הבנת הנקרא",IF($Y539="אינה מדויקת או מקוטעת",IF($AA539="ניכרת","מיקוד בשטף הקריאה ובכישורי שפה","מיקוד בשטף קריאה"),IF($AA539="ניכרת","מיקוד בכישורי שפה",IF(AND($L539="תקינה",$Z539="מפותחת"),"קוראים וכותבים מיומנים","מיקוד בהבנה והבעה"))))))</f>
        <v/>
      </c>
      <c r="AC539" s="32">
        <f>IF(OR($AB539="",LEFT($AB539,1)="—"),"",IF(OR($AB539="מיקוד בשטף קריאה",$AB539="מיקוד בשטף הקריאה ובכישורי שפה"),"רמה א'",IF($AB539="קוראים וכותבים מיומנים","רמה ג'","רמה ב'")))</f>
        <v/>
      </c>
      <c r="AD539" s="32">
        <f>IF($AC539="","",MID(IF(AND($AC539="רמה א'",$AA539="ניכרת"),"; להוסיף עבודת אוצר מילים","")&amp;IF($Z539="אינה מפותחת","; דגש על הבעה בכתב","")&amp;IF($K539&lt;&gt;"תקין","; נדרש לעבוד על ההנגנה","")&amp;IF($AK539&lt;&gt;"","; "&amp;$AK539,""),3,400))</f>
        <v/>
      </c>
      <c r="AE539" s="32">
        <f>IF($F539="","",IF($F539="תחילת שנה",1,IF($F539="מחצית שנה",2,3)))</f>
        <v/>
      </c>
      <c r="AF539" s="32">
        <f>IF(OR($B539="",$AC539="",$A539="",$F539=""),"",$B539&amp;"|"&amp;$A539&amp;"|"&amp;$F539&amp;"|"&amp;$AC539&amp;"|"&amp;COUNTIFS($B$6:$B539,$B539,$A$6:$A539,$A539,$F$6:$F539,$F539,$AC$6:$AC539,$AC539))</f>
        <v/>
      </c>
      <c r="AG539" s="32">
        <f>IF($C539="","",$C539&amp;"|"&amp;COUNTIFS($C$6:$C539,$C539))</f>
        <v/>
      </c>
      <c r="AH539" s="32">
        <f>IF(OR($C539="",$A539="",$AE539=""),"",$C539&amp;"|"&amp;$A539&amp;"|"&amp;$AE539)</f>
        <v/>
      </c>
      <c r="AI539" s="32">
        <f>IF(OR($C539="",$AE539="",$AE539=1),"",IFERROR(INDEX($AC$6:$AC$1505,MATCH($C539&amp;"|"&amp;$A539&amp;"|"&amp;($AE539-1),$AH$6:$AH$1505,0)),""))</f>
        <v/>
      </c>
      <c r="AJ539" s="32">
        <f>IF(OR($AI539="",$AC539=""),"",IF($AI539=$AC539,"ללא שינוי","מ-"&amp;$AI539&amp;" ל-"&amp;$AC539))</f>
        <v/>
      </c>
      <c r="AK539" s="67" t="n"/>
    </row>
    <row r="540" ht="15.75" customHeight="1" s="58">
      <c r="A540" s="65" t="n"/>
      <c r="B540" s="65" t="n"/>
      <c r="C540" s="66" t="n"/>
      <c r="D540" s="66" t="n"/>
      <c r="E540" s="65" t="n"/>
      <c r="F540" s="65" t="n"/>
      <c r="G540" s="65" t="n"/>
      <c r="H540" s="65" t="n"/>
      <c r="I540" s="65" t="n"/>
      <c r="J540" s="65" t="n"/>
      <c r="K540" s="65" t="n"/>
      <c r="L540" s="65" t="n"/>
      <c r="M540" s="65" t="n"/>
      <c r="N540" s="65" t="n"/>
      <c r="O540" s="65" t="n"/>
      <c r="P540" s="65" t="n"/>
      <c r="Q540" s="65" t="n"/>
      <c r="R540" s="65" t="n"/>
      <c r="S540" s="65" t="n"/>
      <c r="T540" s="65" t="n"/>
      <c r="U540" s="65" t="n"/>
      <c r="V540" s="65" t="n"/>
      <c r="W540" s="65" t="n"/>
      <c r="X540" s="65" t="n"/>
      <c r="Y540" s="32">
        <f>IF($C540="","",IF(COUNTA($I540:$K540)&lt;3,"— חסרים נתונים",IF(AND($I540="תקין",$J540="תקין",$K540="תקין"),"רהוטה",IF(AND($I540="תקין",$J540="תקין"),"מדויקת ורציפה","אינה מדויקת או מקוטעת"))))</f>
        <v/>
      </c>
      <c r="Z540" s="32">
        <f>IF($C540="","",IF(COUNTA($U540:$W540)&lt;3,"",IF(AND($U540="מפותח",$V540="מפותח",$W540="מפותחת"),"מפותחת",IF((--($U540="דל"))+(--($V540="אינו מפותח"))+(--($W540="דלה"))&gt;=2,"אינה מפותחת","חלקית"))))</f>
        <v/>
      </c>
      <c r="AA540" s="32">
        <f>IF($C540="","",IF(COUNTA($M540,$N540,$O540)&lt;3,"— חסרים נתונים",IF(OR($M540="נמוכה",(--($M540&lt;&gt;"תקינה"))+(--($N540&lt;&gt;"תקין"))+(--($O540&lt;&gt;"תקינה"))&gt;=2),"ניכרת","אינה ניכרת")))</f>
        <v/>
      </c>
      <c r="AB540" s="32">
        <f>IF(OR($C540="",$Y540="",$AA540="",LEFT($Y540,1)="—",LEFT($AA540,1)="—"),"",IF($Z540="","— נדרשת הערכת כתיבה",IF($L540="","— חסרה הבנת הנקרא",IF($Y540="אינה מדויקת או מקוטעת",IF($AA540="ניכרת","מיקוד בשטף הקריאה ובכישורי שפה","מיקוד בשטף קריאה"),IF($AA540="ניכרת","מיקוד בכישורי שפה",IF(AND($L540="תקינה",$Z540="מפותחת"),"קוראים וכותבים מיומנים","מיקוד בהבנה והבעה"))))))</f>
        <v/>
      </c>
      <c r="AC540" s="32">
        <f>IF(OR($AB540="",LEFT($AB540,1)="—"),"",IF(OR($AB540="מיקוד בשטף קריאה",$AB540="מיקוד בשטף הקריאה ובכישורי שפה"),"רמה א'",IF($AB540="קוראים וכותבים מיומנים","רמה ג'","רמה ב'")))</f>
        <v/>
      </c>
      <c r="AD540" s="32">
        <f>IF($AC540="","",MID(IF(AND($AC540="רמה א'",$AA540="ניכרת"),"; להוסיף עבודת אוצר מילים","")&amp;IF($Z540="אינה מפותחת","; דגש על הבעה בכתב","")&amp;IF($K540&lt;&gt;"תקין","; נדרש לעבוד על ההנגנה","")&amp;IF($AK540&lt;&gt;"","; "&amp;$AK540,""),3,400))</f>
        <v/>
      </c>
      <c r="AE540" s="32">
        <f>IF($F540="","",IF($F540="תחילת שנה",1,IF($F540="מחצית שנה",2,3)))</f>
        <v/>
      </c>
      <c r="AF540" s="32">
        <f>IF(OR($B540="",$AC540="",$A540="",$F540=""),"",$B540&amp;"|"&amp;$A540&amp;"|"&amp;$F540&amp;"|"&amp;$AC540&amp;"|"&amp;COUNTIFS($B$6:$B540,$B540,$A$6:$A540,$A540,$F$6:$F540,$F540,$AC$6:$AC540,$AC540))</f>
        <v/>
      </c>
      <c r="AG540" s="32">
        <f>IF($C540="","",$C540&amp;"|"&amp;COUNTIFS($C$6:$C540,$C540))</f>
        <v/>
      </c>
      <c r="AH540" s="32">
        <f>IF(OR($C540="",$A540="",$AE540=""),"",$C540&amp;"|"&amp;$A540&amp;"|"&amp;$AE540)</f>
        <v/>
      </c>
      <c r="AI540" s="32">
        <f>IF(OR($C540="",$AE540="",$AE540=1),"",IFERROR(INDEX($AC$6:$AC$1505,MATCH($C540&amp;"|"&amp;$A540&amp;"|"&amp;($AE540-1),$AH$6:$AH$1505,0)),""))</f>
        <v/>
      </c>
      <c r="AJ540" s="32">
        <f>IF(OR($AI540="",$AC540=""),"",IF($AI540=$AC540,"ללא שינוי","מ-"&amp;$AI540&amp;" ל-"&amp;$AC540))</f>
        <v/>
      </c>
      <c r="AK540" s="67" t="n"/>
    </row>
    <row r="541" ht="15.75" customHeight="1" s="58">
      <c r="A541" s="65" t="n"/>
      <c r="B541" s="65" t="n"/>
      <c r="C541" s="66" t="n"/>
      <c r="D541" s="66" t="n"/>
      <c r="E541" s="65" t="n"/>
      <c r="F541" s="65" t="n"/>
      <c r="G541" s="65" t="n"/>
      <c r="H541" s="65" t="n"/>
      <c r="I541" s="65" t="n"/>
      <c r="J541" s="65" t="n"/>
      <c r="K541" s="65" t="n"/>
      <c r="L541" s="65" t="n"/>
      <c r="M541" s="65" t="n"/>
      <c r="N541" s="65" t="n"/>
      <c r="O541" s="65" t="n"/>
      <c r="P541" s="65" t="n"/>
      <c r="Q541" s="65" t="n"/>
      <c r="R541" s="65" t="n"/>
      <c r="S541" s="65" t="n"/>
      <c r="T541" s="65" t="n"/>
      <c r="U541" s="65" t="n"/>
      <c r="V541" s="65" t="n"/>
      <c r="W541" s="65" t="n"/>
      <c r="X541" s="65" t="n"/>
      <c r="Y541" s="32">
        <f>IF($C541="","",IF(COUNTA($I541:$K541)&lt;3,"— חסרים נתונים",IF(AND($I541="תקין",$J541="תקין",$K541="תקין"),"רהוטה",IF(AND($I541="תקין",$J541="תקין"),"מדויקת ורציפה","אינה מדויקת או מקוטעת"))))</f>
        <v/>
      </c>
      <c r="Z541" s="32">
        <f>IF($C541="","",IF(COUNTA($U541:$W541)&lt;3,"",IF(AND($U541="מפותח",$V541="מפותח",$W541="מפותחת"),"מפותחת",IF((--($U541="דל"))+(--($V541="אינו מפותח"))+(--($W541="דלה"))&gt;=2,"אינה מפותחת","חלקית"))))</f>
        <v/>
      </c>
      <c r="AA541" s="32">
        <f>IF($C541="","",IF(COUNTA($M541,$N541,$O541)&lt;3,"— חסרים נתונים",IF(OR($M541="נמוכה",(--($M541&lt;&gt;"תקינה"))+(--($N541&lt;&gt;"תקין"))+(--($O541&lt;&gt;"תקינה"))&gt;=2),"ניכרת","אינה ניכרת")))</f>
        <v/>
      </c>
      <c r="AB541" s="32">
        <f>IF(OR($C541="",$Y541="",$AA541="",LEFT($Y541,1)="—",LEFT($AA541,1)="—"),"",IF($Z541="","— נדרשת הערכת כתיבה",IF($L541="","— חסרה הבנת הנקרא",IF($Y541="אינה מדויקת או מקוטעת",IF($AA541="ניכרת","מיקוד בשטף הקריאה ובכישורי שפה","מיקוד בשטף קריאה"),IF($AA541="ניכרת","מיקוד בכישורי שפה",IF(AND($L541="תקינה",$Z541="מפותחת"),"קוראים וכותבים מיומנים","מיקוד בהבנה והבעה"))))))</f>
        <v/>
      </c>
      <c r="AC541" s="32">
        <f>IF(OR($AB541="",LEFT($AB541,1)="—"),"",IF(OR($AB541="מיקוד בשטף קריאה",$AB541="מיקוד בשטף הקריאה ובכישורי שפה"),"רמה א'",IF($AB541="קוראים וכותבים מיומנים","רמה ג'","רמה ב'")))</f>
        <v/>
      </c>
      <c r="AD541" s="32">
        <f>IF($AC541="","",MID(IF(AND($AC541="רמה א'",$AA541="ניכרת"),"; להוסיף עבודת אוצר מילים","")&amp;IF($Z541="אינה מפותחת","; דגש על הבעה בכתב","")&amp;IF($K541&lt;&gt;"תקין","; נדרש לעבוד על ההנגנה","")&amp;IF($AK541&lt;&gt;"","; "&amp;$AK541,""),3,400))</f>
        <v/>
      </c>
      <c r="AE541" s="32">
        <f>IF($F541="","",IF($F541="תחילת שנה",1,IF($F541="מחצית שנה",2,3)))</f>
        <v/>
      </c>
      <c r="AF541" s="32">
        <f>IF(OR($B541="",$AC541="",$A541="",$F541=""),"",$B541&amp;"|"&amp;$A541&amp;"|"&amp;$F541&amp;"|"&amp;$AC541&amp;"|"&amp;COUNTIFS($B$6:$B541,$B541,$A$6:$A541,$A541,$F$6:$F541,$F541,$AC$6:$AC541,$AC541))</f>
        <v/>
      </c>
      <c r="AG541" s="32">
        <f>IF($C541="","",$C541&amp;"|"&amp;COUNTIFS($C$6:$C541,$C541))</f>
        <v/>
      </c>
      <c r="AH541" s="32">
        <f>IF(OR($C541="",$A541="",$AE541=""),"",$C541&amp;"|"&amp;$A541&amp;"|"&amp;$AE541)</f>
        <v/>
      </c>
      <c r="AI541" s="32">
        <f>IF(OR($C541="",$AE541="",$AE541=1),"",IFERROR(INDEX($AC$6:$AC$1505,MATCH($C541&amp;"|"&amp;$A541&amp;"|"&amp;($AE541-1),$AH$6:$AH$1505,0)),""))</f>
        <v/>
      </c>
      <c r="AJ541" s="32">
        <f>IF(OR($AI541="",$AC541=""),"",IF($AI541=$AC541,"ללא שינוי","מ-"&amp;$AI541&amp;" ל-"&amp;$AC541))</f>
        <v/>
      </c>
      <c r="AK541" s="67" t="n"/>
    </row>
    <row r="542" ht="15.75" customHeight="1" s="58">
      <c r="A542" s="65" t="n"/>
      <c r="B542" s="65" t="n"/>
      <c r="C542" s="66" t="n"/>
      <c r="D542" s="66" t="n"/>
      <c r="E542" s="65" t="n"/>
      <c r="F542" s="65" t="n"/>
      <c r="G542" s="65" t="n"/>
      <c r="H542" s="65" t="n"/>
      <c r="I542" s="65" t="n"/>
      <c r="J542" s="65" t="n"/>
      <c r="K542" s="65" t="n"/>
      <c r="L542" s="65" t="n"/>
      <c r="M542" s="65" t="n"/>
      <c r="N542" s="65" t="n"/>
      <c r="O542" s="65" t="n"/>
      <c r="P542" s="65" t="n"/>
      <c r="Q542" s="65" t="n"/>
      <c r="R542" s="65" t="n"/>
      <c r="S542" s="65" t="n"/>
      <c r="T542" s="65" t="n"/>
      <c r="U542" s="65" t="n"/>
      <c r="V542" s="65" t="n"/>
      <c r="W542" s="65" t="n"/>
      <c r="X542" s="65" t="n"/>
      <c r="Y542" s="32">
        <f>IF($C542="","",IF(COUNTA($I542:$K542)&lt;3,"— חסרים נתונים",IF(AND($I542="תקין",$J542="תקין",$K542="תקין"),"רהוטה",IF(AND($I542="תקין",$J542="תקין"),"מדויקת ורציפה","אינה מדויקת או מקוטעת"))))</f>
        <v/>
      </c>
      <c r="Z542" s="32">
        <f>IF($C542="","",IF(COUNTA($U542:$W542)&lt;3,"",IF(AND($U542="מפותח",$V542="מפותח",$W542="מפותחת"),"מפותחת",IF((--($U542="דל"))+(--($V542="אינו מפותח"))+(--($W542="דלה"))&gt;=2,"אינה מפותחת","חלקית"))))</f>
        <v/>
      </c>
      <c r="AA542" s="32">
        <f>IF($C542="","",IF(COUNTA($M542,$N542,$O542)&lt;3,"— חסרים נתונים",IF(OR($M542="נמוכה",(--($M542&lt;&gt;"תקינה"))+(--($N542&lt;&gt;"תקין"))+(--($O542&lt;&gt;"תקינה"))&gt;=2),"ניכרת","אינה ניכרת")))</f>
        <v/>
      </c>
      <c r="AB542" s="32">
        <f>IF(OR($C542="",$Y542="",$AA542="",LEFT($Y542,1)="—",LEFT($AA542,1)="—"),"",IF($Z542="","— נדרשת הערכת כתיבה",IF($L542="","— חסרה הבנת הנקרא",IF($Y542="אינה מדויקת או מקוטעת",IF($AA542="ניכרת","מיקוד בשטף הקריאה ובכישורי שפה","מיקוד בשטף קריאה"),IF($AA542="ניכרת","מיקוד בכישורי שפה",IF(AND($L542="תקינה",$Z542="מפותחת"),"קוראים וכותבים מיומנים","מיקוד בהבנה והבעה"))))))</f>
        <v/>
      </c>
      <c r="AC542" s="32">
        <f>IF(OR($AB542="",LEFT($AB542,1)="—"),"",IF(OR($AB542="מיקוד בשטף קריאה",$AB542="מיקוד בשטף הקריאה ובכישורי שפה"),"רמה א'",IF($AB542="קוראים וכותבים מיומנים","רמה ג'","רמה ב'")))</f>
        <v/>
      </c>
      <c r="AD542" s="32">
        <f>IF($AC542="","",MID(IF(AND($AC542="רמה א'",$AA542="ניכרת"),"; להוסיף עבודת אוצר מילים","")&amp;IF($Z542="אינה מפותחת","; דגש על הבעה בכתב","")&amp;IF($K542&lt;&gt;"תקין","; נדרש לעבוד על ההנגנה","")&amp;IF($AK542&lt;&gt;"","; "&amp;$AK542,""),3,400))</f>
        <v/>
      </c>
      <c r="AE542" s="32">
        <f>IF($F542="","",IF($F542="תחילת שנה",1,IF($F542="מחצית שנה",2,3)))</f>
        <v/>
      </c>
      <c r="AF542" s="32">
        <f>IF(OR($B542="",$AC542="",$A542="",$F542=""),"",$B542&amp;"|"&amp;$A542&amp;"|"&amp;$F542&amp;"|"&amp;$AC542&amp;"|"&amp;COUNTIFS($B$6:$B542,$B542,$A$6:$A542,$A542,$F$6:$F542,$F542,$AC$6:$AC542,$AC542))</f>
        <v/>
      </c>
      <c r="AG542" s="32">
        <f>IF($C542="","",$C542&amp;"|"&amp;COUNTIFS($C$6:$C542,$C542))</f>
        <v/>
      </c>
      <c r="AH542" s="32">
        <f>IF(OR($C542="",$A542="",$AE542=""),"",$C542&amp;"|"&amp;$A542&amp;"|"&amp;$AE542)</f>
        <v/>
      </c>
      <c r="AI542" s="32">
        <f>IF(OR($C542="",$AE542="",$AE542=1),"",IFERROR(INDEX($AC$6:$AC$1505,MATCH($C542&amp;"|"&amp;$A542&amp;"|"&amp;($AE542-1),$AH$6:$AH$1505,0)),""))</f>
        <v/>
      </c>
      <c r="AJ542" s="32">
        <f>IF(OR($AI542="",$AC542=""),"",IF($AI542=$AC542,"ללא שינוי","מ-"&amp;$AI542&amp;" ל-"&amp;$AC542))</f>
        <v/>
      </c>
      <c r="AK542" s="67" t="n"/>
    </row>
    <row r="543" ht="15.75" customHeight="1" s="58">
      <c r="A543" s="65" t="n"/>
      <c r="B543" s="65" t="n"/>
      <c r="C543" s="66" t="n"/>
      <c r="D543" s="66" t="n"/>
      <c r="E543" s="65" t="n"/>
      <c r="F543" s="65" t="n"/>
      <c r="G543" s="65" t="n"/>
      <c r="H543" s="65" t="n"/>
      <c r="I543" s="65" t="n"/>
      <c r="J543" s="65" t="n"/>
      <c r="K543" s="65" t="n"/>
      <c r="L543" s="65" t="n"/>
      <c r="M543" s="65" t="n"/>
      <c r="N543" s="65" t="n"/>
      <c r="O543" s="65" t="n"/>
      <c r="P543" s="65" t="n"/>
      <c r="Q543" s="65" t="n"/>
      <c r="R543" s="65" t="n"/>
      <c r="S543" s="65" t="n"/>
      <c r="T543" s="65" t="n"/>
      <c r="U543" s="65" t="n"/>
      <c r="V543" s="65" t="n"/>
      <c r="W543" s="65" t="n"/>
      <c r="X543" s="65" t="n"/>
      <c r="Y543" s="32">
        <f>IF($C543="","",IF(COUNTA($I543:$K543)&lt;3,"— חסרים נתונים",IF(AND($I543="תקין",$J543="תקין",$K543="תקין"),"רהוטה",IF(AND($I543="תקין",$J543="תקין"),"מדויקת ורציפה","אינה מדויקת או מקוטעת"))))</f>
        <v/>
      </c>
      <c r="Z543" s="32">
        <f>IF($C543="","",IF(COUNTA($U543:$W543)&lt;3,"",IF(AND($U543="מפותח",$V543="מפותח",$W543="מפותחת"),"מפותחת",IF((--($U543="דל"))+(--($V543="אינו מפותח"))+(--($W543="דלה"))&gt;=2,"אינה מפותחת","חלקית"))))</f>
        <v/>
      </c>
      <c r="AA543" s="32">
        <f>IF($C543="","",IF(COUNTA($M543,$N543,$O543)&lt;3,"— חסרים נתונים",IF(OR($M543="נמוכה",(--($M543&lt;&gt;"תקינה"))+(--($N543&lt;&gt;"תקין"))+(--($O543&lt;&gt;"תקינה"))&gt;=2),"ניכרת","אינה ניכרת")))</f>
        <v/>
      </c>
      <c r="AB543" s="32">
        <f>IF(OR($C543="",$Y543="",$AA543="",LEFT($Y543,1)="—",LEFT($AA543,1)="—"),"",IF($Z543="","— נדרשת הערכת כתיבה",IF($L543="","— חסרה הבנת הנקרא",IF($Y543="אינה מדויקת או מקוטעת",IF($AA543="ניכרת","מיקוד בשטף הקריאה ובכישורי שפה","מיקוד בשטף קריאה"),IF($AA543="ניכרת","מיקוד בכישורי שפה",IF(AND($L543="תקינה",$Z543="מפותחת"),"קוראים וכותבים מיומנים","מיקוד בהבנה והבעה"))))))</f>
        <v/>
      </c>
      <c r="AC543" s="32">
        <f>IF(OR($AB543="",LEFT($AB543,1)="—"),"",IF(OR($AB543="מיקוד בשטף קריאה",$AB543="מיקוד בשטף הקריאה ובכישורי שפה"),"רמה א'",IF($AB543="קוראים וכותבים מיומנים","רמה ג'","רמה ב'")))</f>
        <v/>
      </c>
      <c r="AD543" s="32">
        <f>IF($AC543="","",MID(IF(AND($AC543="רמה א'",$AA543="ניכרת"),"; להוסיף עבודת אוצר מילים","")&amp;IF($Z543="אינה מפותחת","; דגש על הבעה בכתב","")&amp;IF($K543&lt;&gt;"תקין","; נדרש לעבוד על ההנגנה","")&amp;IF($AK543&lt;&gt;"","; "&amp;$AK543,""),3,400))</f>
        <v/>
      </c>
      <c r="AE543" s="32">
        <f>IF($F543="","",IF($F543="תחילת שנה",1,IF($F543="מחצית שנה",2,3)))</f>
        <v/>
      </c>
      <c r="AF543" s="32">
        <f>IF(OR($B543="",$AC543="",$A543="",$F543=""),"",$B543&amp;"|"&amp;$A543&amp;"|"&amp;$F543&amp;"|"&amp;$AC543&amp;"|"&amp;COUNTIFS($B$6:$B543,$B543,$A$6:$A543,$A543,$F$6:$F543,$F543,$AC$6:$AC543,$AC543))</f>
        <v/>
      </c>
      <c r="AG543" s="32">
        <f>IF($C543="","",$C543&amp;"|"&amp;COUNTIFS($C$6:$C543,$C543))</f>
        <v/>
      </c>
      <c r="AH543" s="32">
        <f>IF(OR($C543="",$A543="",$AE543=""),"",$C543&amp;"|"&amp;$A543&amp;"|"&amp;$AE543)</f>
        <v/>
      </c>
      <c r="AI543" s="32">
        <f>IF(OR($C543="",$AE543="",$AE543=1),"",IFERROR(INDEX($AC$6:$AC$1505,MATCH($C543&amp;"|"&amp;$A543&amp;"|"&amp;($AE543-1),$AH$6:$AH$1505,0)),""))</f>
        <v/>
      </c>
      <c r="AJ543" s="32">
        <f>IF(OR($AI543="",$AC543=""),"",IF($AI543=$AC543,"ללא שינוי","מ-"&amp;$AI543&amp;" ל-"&amp;$AC543))</f>
        <v/>
      </c>
      <c r="AK543" s="67" t="n"/>
    </row>
    <row r="544" ht="15.75" customHeight="1" s="58">
      <c r="A544" s="65" t="n"/>
      <c r="B544" s="65" t="n"/>
      <c r="C544" s="66" t="n"/>
      <c r="D544" s="66" t="n"/>
      <c r="E544" s="65" t="n"/>
      <c r="F544" s="65" t="n"/>
      <c r="G544" s="65" t="n"/>
      <c r="H544" s="65" t="n"/>
      <c r="I544" s="65" t="n"/>
      <c r="J544" s="65" t="n"/>
      <c r="K544" s="65" t="n"/>
      <c r="L544" s="65" t="n"/>
      <c r="M544" s="65" t="n"/>
      <c r="N544" s="65" t="n"/>
      <c r="O544" s="65" t="n"/>
      <c r="P544" s="65" t="n"/>
      <c r="Q544" s="65" t="n"/>
      <c r="R544" s="65" t="n"/>
      <c r="S544" s="65" t="n"/>
      <c r="T544" s="65" t="n"/>
      <c r="U544" s="65" t="n"/>
      <c r="V544" s="65" t="n"/>
      <c r="W544" s="65" t="n"/>
      <c r="X544" s="65" t="n"/>
      <c r="Y544" s="32">
        <f>IF($C544="","",IF(COUNTA($I544:$K544)&lt;3,"— חסרים נתונים",IF(AND($I544="תקין",$J544="תקין",$K544="תקין"),"רהוטה",IF(AND($I544="תקין",$J544="תקין"),"מדויקת ורציפה","אינה מדויקת או מקוטעת"))))</f>
        <v/>
      </c>
      <c r="Z544" s="32">
        <f>IF($C544="","",IF(COUNTA($U544:$W544)&lt;3,"",IF(AND($U544="מפותח",$V544="מפותח",$W544="מפותחת"),"מפותחת",IF((--($U544="דל"))+(--($V544="אינו מפותח"))+(--($W544="דלה"))&gt;=2,"אינה מפותחת","חלקית"))))</f>
        <v/>
      </c>
      <c r="AA544" s="32">
        <f>IF($C544="","",IF(COUNTA($M544,$N544,$O544)&lt;3,"— חסרים נתונים",IF(OR($M544="נמוכה",(--($M544&lt;&gt;"תקינה"))+(--($N544&lt;&gt;"תקין"))+(--($O544&lt;&gt;"תקינה"))&gt;=2),"ניכרת","אינה ניכרת")))</f>
        <v/>
      </c>
      <c r="AB544" s="32">
        <f>IF(OR($C544="",$Y544="",$AA544="",LEFT($Y544,1)="—",LEFT($AA544,1)="—"),"",IF($Z544="","— נדרשת הערכת כתיבה",IF($L544="","— חסרה הבנת הנקרא",IF($Y544="אינה מדויקת או מקוטעת",IF($AA544="ניכרת","מיקוד בשטף הקריאה ובכישורי שפה","מיקוד בשטף קריאה"),IF($AA544="ניכרת","מיקוד בכישורי שפה",IF(AND($L544="תקינה",$Z544="מפותחת"),"קוראים וכותבים מיומנים","מיקוד בהבנה והבעה"))))))</f>
        <v/>
      </c>
      <c r="AC544" s="32">
        <f>IF(OR($AB544="",LEFT($AB544,1)="—"),"",IF(OR($AB544="מיקוד בשטף קריאה",$AB544="מיקוד בשטף הקריאה ובכישורי שפה"),"רמה א'",IF($AB544="קוראים וכותבים מיומנים","רמה ג'","רמה ב'")))</f>
        <v/>
      </c>
      <c r="AD544" s="32">
        <f>IF($AC544="","",MID(IF(AND($AC544="רמה א'",$AA544="ניכרת"),"; להוסיף עבודת אוצר מילים","")&amp;IF($Z544="אינה מפותחת","; דגש על הבעה בכתב","")&amp;IF($K544&lt;&gt;"תקין","; נדרש לעבוד על ההנגנה","")&amp;IF($AK544&lt;&gt;"","; "&amp;$AK544,""),3,400))</f>
        <v/>
      </c>
      <c r="AE544" s="32">
        <f>IF($F544="","",IF($F544="תחילת שנה",1,IF($F544="מחצית שנה",2,3)))</f>
        <v/>
      </c>
      <c r="AF544" s="32">
        <f>IF(OR($B544="",$AC544="",$A544="",$F544=""),"",$B544&amp;"|"&amp;$A544&amp;"|"&amp;$F544&amp;"|"&amp;$AC544&amp;"|"&amp;COUNTIFS($B$6:$B544,$B544,$A$6:$A544,$A544,$F$6:$F544,$F544,$AC$6:$AC544,$AC544))</f>
        <v/>
      </c>
      <c r="AG544" s="32">
        <f>IF($C544="","",$C544&amp;"|"&amp;COUNTIFS($C$6:$C544,$C544))</f>
        <v/>
      </c>
      <c r="AH544" s="32">
        <f>IF(OR($C544="",$A544="",$AE544=""),"",$C544&amp;"|"&amp;$A544&amp;"|"&amp;$AE544)</f>
        <v/>
      </c>
      <c r="AI544" s="32">
        <f>IF(OR($C544="",$AE544="",$AE544=1),"",IFERROR(INDEX($AC$6:$AC$1505,MATCH($C544&amp;"|"&amp;$A544&amp;"|"&amp;($AE544-1),$AH$6:$AH$1505,0)),""))</f>
        <v/>
      </c>
      <c r="AJ544" s="32">
        <f>IF(OR($AI544="",$AC544=""),"",IF($AI544=$AC544,"ללא שינוי","מ-"&amp;$AI544&amp;" ל-"&amp;$AC544))</f>
        <v/>
      </c>
      <c r="AK544" s="67" t="n"/>
    </row>
    <row r="545" ht="15.75" customHeight="1" s="58">
      <c r="A545" s="65" t="n"/>
      <c r="B545" s="65" t="n"/>
      <c r="C545" s="66" t="n"/>
      <c r="D545" s="66" t="n"/>
      <c r="E545" s="65" t="n"/>
      <c r="F545" s="65" t="n"/>
      <c r="G545" s="65" t="n"/>
      <c r="H545" s="65" t="n"/>
      <c r="I545" s="65" t="n"/>
      <c r="J545" s="65" t="n"/>
      <c r="K545" s="65" t="n"/>
      <c r="L545" s="65" t="n"/>
      <c r="M545" s="65" t="n"/>
      <c r="N545" s="65" t="n"/>
      <c r="O545" s="65" t="n"/>
      <c r="P545" s="65" t="n"/>
      <c r="Q545" s="65" t="n"/>
      <c r="R545" s="65" t="n"/>
      <c r="S545" s="65" t="n"/>
      <c r="T545" s="65" t="n"/>
      <c r="U545" s="65" t="n"/>
      <c r="V545" s="65" t="n"/>
      <c r="W545" s="65" t="n"/>
      <c r="X545" s="65" t="n"/>
      <c r="Y545" s="32">
        <f>IF($C545="","",IF(COUNTA($I545:$K545)&lt;3,"— חסרים נתונים",IF(AND($I545="תקין",$J545="תקין",$K545="תקין"),"רהוטה",IF(AND($I545="תקין",$J545="תקין"),"מדויקת ורציפה","אינה מדויקת או מקוטעת"))))</f>
        <v/>
      </c>
      <c r="Z545" s="32">
        <f>IF($C545="","",IF(COUNTA($U545:$W545)&lt;3,"",IF(AND($U545="מפותח",$V545="מפותח",$W545="מפותחת"),"מפותחת",IF((--($U545="דל"))+(--($V545="אינו מפותח"))+(--($W545="דלה"))&gt;=2,"אינה מפותחת","חלקית"))))</f>
        <v/>
      </c>
      <c r="AA545" s="32">
        <f>IF($C545="","",IF(COUNTA($M545,$N545,$O545)&lt;3,"— חסרים נתונים",IF(OR($M545="נמוכה",(--($M545&lt;&gt;"תקינה"))+(--($N545&lt;&gt;"תקין"))+(--($O545&lt;&gt;"תקינה"))&gt;=2),"ניכרת","אינה ניכרת")))</f>
        <v/>
      </c>
      <c r="AB545" s="32">
        <f>IF(OR($C545="",$Y545="",$AA545="",LEFT($Y545,1)="—",LEFT($AA545,1)="—"),"",IF($Z545="","— נדרשת הערכת כתיבה",IF($L545="","— חסרה הבנת הנקרא",IF($Y545="אינה מדויקת או מקוטעת",IF($AA545="ניכרת","מיקוד בשטף הקריאה ובכישורי שפה","מיקוד בשטף קריאה"),IF($AA545="ניכרת","מיקוד בכישורי שפה",IF(AND($L545="תקינה",$Z545="מפותחת"),"קוראים וכותבים מיומנים","מיקוד בהבנה והבעה"))))))</f>
        <v/>
      </c>
      <c r="AC545" s="32">
        <f>IF(OR($AB545="",LEFT($AB545,1)="—"),"",IF(OR($AB545="מיקוד בשטף קריאה",$AB545="מיקוד בשטף הקריאה ובכישורי שפה"),"רמה א'",IF($AB545="קוראים וכותבים מיומנים","רמה ג'","רמה ב'")))</f>
        <v/>
      </c>
      <c r="AD545" s="32">
        <f>IF($AC545="","",MID(IF(AND($AC545="רמה א'",$AA545="ניכרת"),"; להוסיף עבודת אוצר מילים","")&amp;IF($Z545="אינה מפותחת","; דגש על הבעה בכתב","")&amp;IF($K545&lt;&gt;"תקין","; נדרש לעבוד על ההנגנה","")&amp;IF($AK545&lt;&gt;"","; "&amp;$AK545,""),3,400))</f>
        <v/>
      </c>
      <c r="AE545" s="32">
        <f>IF($F545="","",IF($F545="תחילת שנה",1,IF($F545="מחצית שנה",2,3)))</f>
        <v/>
      </c>
      <c r="AF545" s="32">
        <f>IF(OR($B545="",$AC545="",$A545="",$F545=""),"",$B545&amp;"|"&amp;$A545&amp;"|"&amp;$F545&amp;"|"&amp;$AC545&amp;"|"&amp;COUNTIFS($B$6:$B545,$B545,$A$6:$A545,$A545,$F$6:$F545,$F545,$AC$6:$AC545,$AC545))</f>
        <v/>
      </c>
      <c r="AG545" s="32">
        <f>IF($C545="","",$C545&amp;"|"&amp;COUNTIFS($C$6:$C545,$C545))</f>
        <v/>
      </c>
      <c r="AH545" s="32">
        <f>IF(OR($C545="",$A545="",$AE545=""),"",$C545&amp;"|"&amp;$A545&amp;"|"&amp;$AE545)</f>
        <v/>
      </c>
      <c r="AI545" s="32">
        <f>IF(OR($C545="",$AE545="",$AE545=1),"",IFERROR(INDEX($AC$6:$AC$1505,MATCH($C545&amp;"|"&amp;$A545&amp;"|"&amp;($AE545-1),$AH$6:$AH$1505,0)),""))</f>
        <v/>
      </c>
      <c r="AJ545" s="32">
        <f>IF(OR($AI545="",$AC545=""),"",IF($AI545=$AC545,"ללא שינוי","מ-"&amp;$AI545&amp;" ל-"&amp;$AC545))</f>
        <v/>
      </c>
      <c r="AK545" s="67" t="n"/>
    </row>
    <row r="546" ht="15.75" customHeight="1" s="58">
      <c r="A546" s="65" t="n"/>
      <c r="B546" s="65" t="n"/>
      <c r="C546" s="66" t="n"/>
      <c r="D546" s="66" t="n"/>
      <c r="E546" s="65" t="n"/>
      <c r="F546" s="65" t="n"/>
      <c r="G546" s="65" t="n"/>
      <c r="H546" s="65" t="n"/>
      <c r="I546" s="65" t="n"/>
      <c r="J546" s="65" t="n"/>
      <c r="K546" s="65" t="n"/>
      <c r="L546" s="65" t="n"/>
      <c r="M546" s="65" t="n"/>
      <c r="N546" s="65" t="n"/>
      <c r="O546" s="65" t="n"/>
      <c r="P546" s="65" t="n"/>
      <c r="Q546" s="65" t="n"/>
      <c r="R546" s="65" t="n"/>
      <c r="S546" s="65" t="n"/>
      <c r="T546" s="65" t="n"/>
      <c r="U546" s="65" t="n"/>
      <c r="V546" s="65" t="n"/>
      <c r="W546" s="65" t="n"/>
      <c r="X546" s="65" t="n"/>
      <c r="Y546" s="32">
        <f>IF($C546="","",IF(COUNTA($I546:$K546)&lt;3,"— חסרים נתונים",IF(AND($I546="תקין",$J546="תקין",$K546="תקין"),"רהוטה",IF(AND($I546="תקין",$J546="תקין"),"מדויקת ורציפה","אינה מדויקת או מקוטעת"))))</f>
        <v/>
      </c>
      <c r="Z546" s="32">
        <f>IF($C546="","",IF(COUNTA($U546:$W546)&lt;3,"",IF(AND($U546="מפותח",$V546="מפותח",$W546="מפותחת"),"מפותחת",IF((--($U546="דל"))+(--($V546="אינו מפותח"))+(--($W546="דלה"))&gt;=2,"אינה מפותחת","חלקית"))))</f>
        <v/>
      </c>
      <c r="AA546" s="32">
        <f>IF($C546="","",IF(COUNTA($M546,$N546,$O546)&lt;3,"— חסרים נתונים",IF(OR($M546="נמוכה",(--($M546&lt;&gt;"תקינה"))+(--($N546&lt;&gt;"תקין"))+(--($O546&lt;&gt;"תקינה"))&gt;=2),"ניכרת","אינה ניכרת")))</f>
        <v/>
      </c>
      <c r="AB546" s="32">
        <f>IF(OR($C546="",$Y546="",$AA546="",LEFT($Y546,1)="—",LEFT($AA546,1)="—"),"",IF($Z546="","— נדרשת הערכת כתיבה",IF($L546="","— חסרה הבנת הנקרא",IF($Y546="אינה מדויקת או מקוטעת",IF($AA546="ניכרת","מיקוד בשטף הקריאה ובכישורי שפה","מיקוד בשטף קריאה"),IF($AA546="ניכרת","מיקוד בכישורי שפה",IF(AND($L546="תקינה",$Z546="מפותחת"),"קוראים וכותבים מיומנים","מיקוד בהבנה והבעה"))))))</f>
        <v/>
      </c>
      <c r="AC546" s="32">
        <f>IF(OR($AB546="",LEFT($AB546,1)="—"),"",IF(OR($AB546="מיקוד בשטף קריאה",$AB546="מיקוד בשטף הקריאה ובכישורי שפה"),"רמה א'",IF($AB546="קוראים וכותבים מיומנים","רמה ג'","רמה ב'")))</f>
        <v/>
      </c>
      <c r="AD546" s="32">
        <f>IF($AC546="","",MID(IF(AND($AC546="רמה א'",$AA546="ניכרת"),"; להוסיף עבודת אוצר מילים","")&amp;IF($Z546="אינה מפותחת","; דגש על הבעה בכתב","")&amp;IF($K546&lt;&gt;"תקין","; נדרש לעבוד על ההנגנה","")&amp;IF($AK546&lt;&gt;"","; "&amp;$AK546,""),3,400))</f>
        <v/>
      </c>
      <c r="AE546" s="32">
        <f>IF($F546="","",IF($F546="תחילת שנה",1,IF($F546="מחצית שנה",2,3)))</f>
        <v/>
      </c>
      <c r="AF546" s="32">
        <f>IF(OR($B546="",$AC546="",$A546="",$F546=""),"",$B546&amp;"|"&amp;$A546&amp;"|"&amp;$F546&amp;"|"&amp;$AC546&amp;"|"&amp;COUNTIFS($B$6:$B546,$B546,$A$6:$A546,$A546,$F$6:$F546,$F546,$AC$6:$AC546,$AC546))</f>
        <v/>
      </c>
      <c r="AG546" s="32">
        <f>IF($C546="","",$C546&amp;"|"&amp;COUNTIFS($C$6:$C546,$C546))</f>
        <v/>
      </c>
      <c r="AH546" s="32">
        <f>IF(OR($C546="",$A546="",$AE546=""),"",$C546&amp;"|"&amp;$A546&amp;"|"&amp;$AE546)</f>
        <v/>
      </c>
      <c r="AI546" s="32">
        <f>IF(OR($C546="",$AE546="",$AE546=1),"",IFERROR(INDEX($AC$6:$AC$1505,MATCH($C546&amp;"|"&amp;$A546&amp;"|"&amp;($AE546-1),$AH$6:$AH$1505,0)),""))</f>
        <v/>
      </c>
      <c r="AJ546" s="32">
        <f>IF(OR($AI546="",$AC546=""),"",IF($AI546=$AC546,"ללא שינוי","מ-"&amp;$AI546&amp;" ל-"&amp;$AC546))</f>
        <v/>
      </c>
      <c r="AK546" s="67" t="n"/>
    </row>
    <row r="547" ht="15.75" customHeight="1" s="58">
      <c r="A547" s="65" t="n"/>
      <c r="B547" s="65" t="n"/>
      <c r="C547" s="66" t="n"/>
      <c r="D547" s="66" t="n"/>
      <c r="E547" s="65" t="n"/>
      <c r="F547" s="65" t="n"/>
      <c r="G547" s="65" t="n"/>
      <c r="H547" s="65" t="n"/>
      <c r="I547" s="65" t="n"/>
      <c r="J547" s="65" t="n"/>
      <c r="K547" s="65" t="n"/>
      <c r="L547" s="65" t="n"/>
      <c r="M547" s="65" t="n"/>
      <c r="N547" s="65" t="n"/>
      <c r="O547" s="65" t="n"/>
      <c r="P547" s="65" t="n"/>
      <c r="Q547" s="65" t="n"/>
      <c r="R547" s="65" t="n"/>
      <c r="S547" s="65" t="n"/>
      <c r="T547" s="65" t="n"/>
      <c r="U547" s="65" t="n"/>
      <c r="V547" s="65" t="n"/>
      <c r="W547" s="65" t="n"/>
      <c r="X547" s="65" t="n"/>
      <c r="Y547" s="32">
        <f>IF($C547="","",IF(COUNTA($I547:$K547)&lt;3,"— חסרים נתונים",IF(AND($I547="תקין",$J547="תקין",$K547="תקין"),"רהוטה",IF(AND($I547="תקין",$J547="תקין"),"מדויקת ורציפה","אינה מדויקת או מקוטעת"))))</f>
        <v/>
      </c>
      <c r="Z547" s="32">
        <f>IF($C547="","",IF(COUNTA($U547:$W547)&lt;3,"",IF(AND($U547="מפותח",$V547="מפותח",$W547="מפותחת"),"מפותחת",IF((--($U547="דל"))+(--($V547="אינו מפותח"))+(--($W547="דלה"))&gt;=2,"אינה מפותחת","חלקית"))))</f>
        <v/>
      </c>
      <c r="AA547" s="32">
        <f>IF($C547="","",IF(COUNTA($M547,$N547,$O547)&lt;3,"— חסרים נתונים",IF(OR($M547="נמוכה",(--($M547&lt;&gt;"תקינה"))+(--($N547&lt;&gt;"תקין"))+(--($O547&lt;&gt;"תקינה"))&gt;=2),"ניכרת","אינה ניכרת")))</f>
        <v/>
      </c>
      <c r="AB547" s="32">
        <f>IF(OR($C547="",$Y547="",$AA547="",LEFT($Y547,1)="—",LEFT($AA547,1)="—"),"",IF($Z547="","— נדרשת הערכת כתיבה",IF($L547="","— חסרה הבנת הנקרא",IF($Y547="אינה מדויקת או מקוטעת",IF($AA547="ניכרת","מיקוד בשטף הקריאה ובכישורי שפה","מיקוד בשטף קריאה"),IF($AA547="ניכרת","מיקוד בכישורי שפה",IF(AND($L547="תקינה",$Z547="מפותחת"),"קוראים וכותבים מיומנים","מיקוד בהבנה והבעה"))))))</f>
        <v/>
      </c>
      <c r="AC547" s="32">
        <f>IF(OR($AB547="",LEFT($AB547,1)="—"),"",IF(OR($AB547="מיקוד בשטף קריאה",$AB547="מיקוד בשטף הקריאה ובכישורי שפה"),"רמה א'",IF($AB547="קוראים וכותבים מיומנים","רמה ג'","רמה ב'")))</f>
        <v/>
      </c>
      <c r="AD547" s="32">
        <f>IF($AC547="","",MID(IF(AND($AC547="רמה א'",$AA547="ניכרת"),"; להוסיף עבודת אוצר מילים","")&amp;IF($Z547="אינה מפותחת","; דגש על הבעה בכתב","")&amp;IF($K547&lt;&gt;"תקין","; נדרש לעבוד על ההנגנה","")&amp;IF($AK547&lt;&gt;"","; "&amp;$AK547,""),3,400))</f>
        <v/>
      </c>
      <c r="AE547" s="32">
        <f>IF($F547="","",IF($F547="תחילת שנה",1,IF($F547="מחצית שנה",2,3)))</f>
        <v/>
      </c>
      <c r="AF547" s="32">
        <f>IF(OR($B547="",$AC547="",$A547="",$F547=""),"",$B547&amp;"|"&amp;$A547&amp;"|"&amp;$F547&amp;"|"&amp;$AC547&amp;"|"&amp;COUNTIFS($B$6:$B547,$B547,$A$6:$A547,$A547,$F$6:$F547,$F547,$AC$6:$AC547,$AC547))</f>
        <v/>
      </c>
      <c r="AG547" s="32">
        <f>IF($C547="","",$C547&amp;"|"&amp;COUNTIFS($C$6:$C547,$C547))</f>
        <v/>
      </c>
      <c r="AH547" s="32">
        <f>IF(OR($C547="",$A547="",$AE547=""),"",$C547&amp;"|"&amp;$A547&amp;"|"&amp;$AE547)</f>
        <v/>
      </c>
      <c r="AI547" s="32">
        <f>IF(OR($C547="",$AE547="",$AE547=1),"",IFERROR(INDEX($AC$6:$AC$1505,MATCH($C547&amp;"|"&amp;$A547&amp;"|"&amp;($AE547-1),$AH$6:$AH$1505,0)),""))</f>
        <v/>
      </c>
      <c r="AJ547" s="32">
        <f>IF(OR($AI547="",$AC547=""),"",IF($AI547=$AC547,"ללא שינוי","מ-"&amp;$AI547&amp;" ל-"&amp;$AC547))</f>
        <v/>
      </c>
      <c r="AK547" s="67" t="n"/>
    </row>
    <row r="548" ht="15.75" customHeight="1" s="58">
      <c r="A548" s="65" t="n"/>
      <c r="B548" s="65" t="n"/>
      <c r="C548" s="66" t="n"/>
      <c r="D548" s="66" t="n"/>
      <c r="E548" s="65" t="n"/>
      <c r="F548" s="65" t="n"/>
      <c r="G548" s="65" t="n"/>
      <c r="H548" s="65" t="n"/>
      <c r="I548" s="65" t="n"/>
      <c r="J548" s="65" t="n"/>
      <c r="K548" s="65" t="n"/>
      <c r="L548" s="65" t="n"/>
      <c r="M548" s="65" t="n"/>
      <c r="N548" s="65" t="n"/>
      <c r="O548" s="65" t="n"/>
      <c r="P548" s="65" t="n"/>
      <c r="Q548" s="65" t="n"/>
      <c r="R548" s="65" t="n"/>
      <c r="S548" s="65" t="n"/>
      <c r="T548" s="65" t="n"/>
      <c r="U548" s="65" t="n"/>
      <c r="V548" s="65" t="n"/>
      <c r="W548" s="65" t="n"/>
      <c r="X548" s="65" t="n"/>
      <c r="Y548" s="32">
        <f>IF($C548="","",IF(COUNTA($I548:$K548)&lt;3,"— חסרים נתונים",IF(AND($I548="תקין",$J548="תקין",$K548="תקין"),"רהוטה",IF(AND($I548="תקין",$J548="תקין"),"מדויקת ורציפה","אינה מדויקת או מקוטעת"))))</f>
        <v/>
      </c>
      <c r="Z548" s="32">
        <f>IF($C548="","",IF(COUNTA($U548:$W548)&lt;3,"",IF(AND($U548="מפותח",$V548="מפותח",$W548="מפותחת"),"מפותחת",IF((--($U548="דל"))+(--($V548="אינו מפותח"))+(--($W548="דלה"))&gt;=2,"אינה מפותחת","חלקית"))))</f>
        <v/>
      </c>
      <c r="AA548" s="32">
        <f>IF($C548="","",IF(COUNTA($M548,$N548,$O548)&lt;3,"— חסרים נתונים",IF(OR($M548="נמוכה",(--($M548&lt;&gt;"תקינה"))+(--($N548&lt;&gt;"תקין"))+(--($O548&lt;&gt;"תקינה"))&gt;=2),"ניכרת","אינה ניכרת")))</f>
        <v/>
      </c>
      <c r="AB548" s="32">
        <f>IF(OR($C548="",$Y548="",$AA548="",LEFT($Y548,1)="—",LEFT($AA548,1)="—"),"",IF($Z548="","— נדרשת הערכת כתיבה",IF($L548="","— חסרה הבנת הנקרא",IF($Y548="אינה מדויקת או מקוטעת",IF($AA548="ניכרת","מיקוד בשטף הקריאה ובכישורי שפה","מיקוד בשטף קריאה"),IF($AA548="ניכרת","מיקוד בכישורי שפה",IF(AND($L548="תקינה",$Z548="מפותחת"),"קוראים וכותבים מיומנים","מיקוד בהבנה והבעה"))))))</f>
        <v/>
      </c>
      <c r="AC548" s="32">
        <f>IF(OR($AB548="",LEFT($AB548,1)="—"),"",IF(OR($AB548="מיקוד בשטף קריאה",$AB548="מיקוד בשטף הקריאה ובכישורי שפה"),"רמה א'",IF($AB548="קוראים וכותבים מיומנים","רמה ג'","רמה ב'")))</f>
        <v/>
      </c>
      <c r="AD548" s="32">
        <f>IF($AC548="","",MID(IF(AND($AC548="רמה א'",$AA548="ניכרת"),"; להוסיף עבודת אוצר מילים","")&amp;IF($Z548="אינה מפותחת","; דגש על הבעה בכתב","")&amp;IF($K548&lt;&gt;"תקין","; נדרש לעבוד על ההנגנה","")&amp;IF($AK548&lt;&gt;"","; "&amp;$AK548,""),3,400))</f>
        <v/>
      </c>
      <c r="AE548" s="32">
        <f>IF($F548="","",IF($F548="תחילת שנה",1,IF($F548="מחצית שנה",2,3)))</f>
        <v/>
      </c>
      <c r="AF548" s="32">
        <f>IF(OR($B548="",$AC548="",$A548="",$F548=""),"",$B548&amp;"|"&amp;$A548&amp;"|"&amp;$F548&amp;"|"&amp;$AC548&amp;"|"&amp;COUNTIFS($B$6:$B548,$B548,$A$6:$A548,$A548,$F$6:$F548,$F548,$AC$6:$AC548,$AC548))</f>
        <v/>
      </c>
      <c r="AG548" s="32">
        <f>IF($C548="","",$C548&amp;"|"&amp;COUNTIFS($C$6:$C548,$C548))</f>
        <v/>
      </c>
      <c r="AH548" s="32">
        <f>IF(OR($C548="",$A548="",$AE548=""),"",$C548&amp;"|"&amp;$A548&amp;"|"&amp;$AE548)</f>
        <v/>
      </c>
      <c r="AI548" s="32">
        <f>IF(OR($C548="",$AE548="",$AE548=1),"",IFERROR(INDEX($AC$6:$AC$1505,MATCH($C548&amp;"|"&amp;$A548&amp;"|"&amp;($AE548-1),$AH$6:$AH$1505,0)),""))</f>
        <v/>
      </c>
      <c r="AJ548" s="32">
        <f>IF(OR($AI548="",$AC548=""),"",IF($AI548=$AC548,"ללא שינוי","מ-"&amp;$AI548&amp;" ל-"&amp;$AC548))</f>
        <v/>
      </c>
      <c r="AK548" s="67" t="n"/>
    </row>
    <row r="549" ht="15.75" customHeight="1" s="58">
      <c r="A549" s="65" t="n"/>
      <c r="B549" s="65" t="n"/>
      <c r="C549" s="66" t="n"/>
      <c r="D549" s="66" t="n"/>
      <c r="E549" s="65" t="n"/>
      <c r="F549" s="65" t="n"/>
      <c r="G549" s="65" t="n"/>
      <c r="H549" s="65" t="n"/>
      <c r="I549" s="65" t="n"/>
      <c r="J549" s="65" t="n"/>
      <c r="K549" s="65" t="n"/>
      <c r="L549" s="65" t="n"/>
      <c r="M549" s="65" t="n"/>
      <c r="N549" s="65" t="n"/>
      <c r="O549" s="65" t="n"/>
      <c r="P549" s="65" t="n"/>
      <c r="Q549" s="65" t="n"/>
      <c r="R549" s="65" t="n"/>
      <c r="S549" s="65" t="n"/>
      <c r="T549" s="65" t="n"/>
      <c r="U549" s="65" t="n"/>
      <c r="V549" s="65" t="n"/>
      <c r="W549" s="65" t="n"/>
      <c r="X549" s="65" t="n"/>
      <c r="Y549" s="32">
        <f>IF($C549="","",IF(COUNTA($I549:$K549)&lt;3,"— חסרים נתונים",IF(AND($I549="תקין",$J549="תקין",$K549="תקין"),"רהוטה",IF(AND($I549="תקין",$J549="תקין"),"מדויקת ורציפה","אינה מדויקת או מקוטעת"))))</f>
        <v/>
      </c>
      <c r="Z549" s="32">
        <f>IF($C549="","",IF(COUNTA($U549:$W549)&lt;3,"",IF(AND($U549="מפותח",$V549="מפותח",$W549="מפותחת"),"מפותחת",IF((--($U549="דל"))+(--($V549="אינו מפותח"))+(--($W549="דלה"))&gt;=2,"אינה מפותחת","חלקית"))))</f>
        <v/>
      </c>
      <c r="AA549" s="32">
        <f>IF($C549="","",IF(COUNTA($M549,$N549,$O549)&lt;3,"— חסרים נתונים",IF(OR($M549="נמוכה",(--($M549&lt;&gt;"תקינה"))+(--($N549&lt;&gt;"תקין"))+(--($O549&lt;&gt;"תקינה"))&gt;=2),"ניכרת","אינה ניכרת")))</f>
        <v/>
      </c>
      <c r="AB549" s="32">
        <f>IF(OR($C549="",$Y549="",$AA549="",LEFT($Y549,1)="—",LEFT($AA549,1)="—"),"",IF($Z549="","— נדרשת הערכת כתיבה",IF($L549="","— חסרה הבנת הנקרא",IF($Y549="אינה מדויקת או מקוטעת",IF($AA549="ניכרת","מיקוד בשטף הקריאה ובכישורי שפה","מיקוד בשטף קריאה"),IF($AA549="ניכרת","מיקוד בכישורי שפה",IF(AND($L549="תקינה",$Z549="מפותחת"),"קוראים וכותבים מיומנים","מיקוד בהבנה והבעה"))))))</f>
        <v/>
      </c>
      <c r="AC549" s="32">
        <f>IF(OR($AB549="",LEFT($AB549,1)="—"),"",IF(OR($AB549="מיקוד בשטף קריאה",$AB549="מיקוד בשטף הקריאה ובכישורי שפה"),"רמה א'",IF($AB549="קוראים וכותבים מיומנים","רמה ג'","רמה ב'")))</f>
        <v/>
      </c>
      <c r="AD549" s="32">
        <f>IF($AC549="","",MID(IF(AND($AC549="רמה א'",$AA549="ניכרת"),"; להוסיף עבודת אוצר מילים","")&amp;IF($Z549="אינה מפותחת","; דגש על הבעה בכתב","")&amp;IF($K549&lt;&gt;"תקין","; נדרש לעבוד על ההנגנה","")&amp;IF($AK549&lt;&gt;"","; "&amp;$AK549,""),3,400))</f>
        <v/>
      </c>
      <c r="AE549" s="32">
        <f>IF($F549="","",IF($F549="תחילת שנה",1,IF($F549="מחצית שנה",2,3)))</f>
        <v/>
      </c>
      <c r="AF549" s="32">
        <f>IF(OR($B549="",$AC549="",$A549="",$F549=""),"",$B549&amp;"|"&amp;$A549&amp;"|"&amp;$F549&amp;"|"&amp;$AC549&amp;"|"&amp;COUNTIFS($B$6:$B549,$B549,$A$6:$A549,$A549,$F$6:$F549,$F549,$AC$6:$AC549,$AC549))</f>
        <v/>
      </c>
      <c r="AG549" s="32">
        <f>IF($C549="","",$C549&amp;"|"&amp;COUNTIFS($C$6:$C549,$C549))</f>
        <v/>
      </c>
      <c r="AH549" s="32">
        <f>IF(OR($C549="",$A549="",$AE549=""),"",$C549&amp;"|"&amp;$A549&amp;"|"&amp;$AE549)</f>
        <v/>
      </c>
      <c r="AI549" s="32">
        <f>IF(OR($C549="",$AE549="",$AE549=1),"",IFERROR(INDEX($AC$6:$AC$1505,MATCH($C549&amp;"|"&amp;$A549&amp;"|"&amp;($AE549-1),$AH$6:$AH$1505,0)),""))</f>
        <v/>
      </c>
      <c r="AJ549" s="32">
        <f>IF(OR($AI549="",$AC549=""),"",IF($AI549=$AC549,"ללא שינוי","מ-"&amp;$AI549&amp;" ל-"&amp;$AC549))</f>
        <v/>
      </c>
      <c r="AK549" s="67" t="n"/>
    </row>
    <row r="550" ht="15.75" customHeight="1" s="58">
      <c r="A550" s="65" t="n"/>
      <c r="B550" s="65" t="n"/>
      <c r="C550" s="66" t="n"/>
      <c r="D550" s="66" t="n"/>
      <c r="E550" s="65" t="n"/>
      <c r="F550" s="65" t="n"/>
      <c r="G550" s="65" t="n"/>
      <c r="H550" s="65" t="n"/>
      <c r="I550" s="65" t="n"/>
      <c r="J550" s="65" t="n"/>
      <c r="K550" s="65" t="n"/>
      <c r="L550" s="65" t="n"/>
      <c r="M550" s="65" t="n"/>
      <c r="N550" s="65" t="n"/>
      <c r="O550" s="65" t="n"/>
      <c r="P550" s="65" t="n"/>
      <c r="Q550" s="65" t="n"/>
      <c r="R550" s="65" t="n"/>
      <c r="S550" s="65" t="n"/>
      <c r="T550" s="65" t="n"/>
      <c r="U550" s="65" t="n"/>
      <c r="V550" s="65" t="n"/>
      <c r="W550" s="65" t="n"/>
      <c r="X550" s="65" t="n"/>
      <c r="Y550" s="32">
        <f>IF($C550="","",IF(COUNTA($I550:$K550)&lt;3,"— חסרים נתונים",IF(AND($I550="תקין",$J550="תקין",$K550="תקין"),"רהוטה",IF(AND($I550="תקין",$J550="תקין"),"מדויקת ורציפה","אינה מדויקת או מקוטעת"))))</f>
        <v/>
      </c>
      <c r="Z550" s="32">
        <f>IF($C550="","",IF(COUNTA($U550:$W550)&lt;3,"",IF(AND($U550="מפותח",$V550="מפותח",$W550="מפותחת"),"מפותחת",IF((--($U550="דל"))+(--($V550="אינו מפותח"))+(--($W550="דלה"))&gt;=2,"אינה מפותחת","חלקית"))))</f>
        <v/>
      </c>
      <c r="AA550" s="32">
        <f>IF($C550="","",IF(COUNTA($M550,$N550,$O550)&lt;3,"— חסרים נתונים",IF(OR($M550="נמוכה",(--($M550&lt;&gt;"תקינה"))+(--($N550&lt;&gt;"תקין"))+(--($O550&lt;&gt;"תקינה"))&gt;=2),"ניכרת","אינה ניכרת")))</f>
        <v/>
      </c>
      <c r="AB550" s="32">
        <f>IF(OR($C550="",$Y550="",$AA550="",LEFT($Y550,1)="—",LEFT($AA550,1)="—"),"",IF($Z550="","— נדרשת הערכת כתיבה",IF($L550="","— חסרה הבנת הנקרא",IF($Y550="אינה מדויקת או מקוטעת",IF($AA550="ניכרת","מיקוד בשטף הקריאה ובכישורי שפה","מיקוד בשטף קריאה"),IF($AA550="ניכרת","מיקוד בכישורי שפה",IF(AND($L550="תקינה",$Z550="מפותחת"),"קוראים וכותבים מיומנים","מיקוד בהבנה והבעה"))))))</f>
        <v/>
      </c>
      <c r="AC550" s="32">
        <f>IF(OR($AB550="",LEFT($AB550,1)="—"),"",IF(OR($AB550="מיקוד בשטף קריאה",$AB550="מיקוד בשטף הקריאה ובכישורי שפה"),"רמה א'",IF($AB550="קוראים וכותבים מיומנים","רמה ג'","רמה ב'")))</f>
        <v/>
      </c>
      <c r="AD550" s="32">
        <f>IF($AC550="","",MID(IF(AND($AC550="רמה א'",$AA550="ניכרת"),"; להוסיף עבודת אוצר מילים","")&amp;IF($Z550="אינה מפותחת","; דגש על הבעה בכתב","")&amp;IF($K550&lt;&gt;"תקין","; נדרש לעבוד על ההנגנה","")&amp;IF($AK550&lt;&gt;"","; "&amp;$AK550,""),3,400))</f>
        <v/>
      </c>
      <c r="AE550" s="32">
        <f>IF($F550="","",IF($F550="תחילת שנה",1,IF($F550="מחצית שנה",2,3)))</f>
        <v/>
      </c>
      <c r="AF550" s="32">
        <f>IF(OR($B550="",$AC550="",$A550="",$F550=""),"",$B550&amp;"|"&amp;$A550&amp;"|"&amp;$F550&amp;"|"&amp;$AC550&amp;"|"&amp;COUNTIFS($B$6:$B550,$B550,$A$6:$A550,$A550,$F$6:$F550,$F550,$AC$6:$AC550,$AC550))</f>
        <v/>
      </c>
      <c r="AG550" s="32">
        <f>IF($C550="","",$C550&amp;"|"&amp;COUNTIFS($C$6:$C550,$C550))</f>
        <v/>
      </c>
      <c r="AH550" s="32">
        <f>IF(OR($C550="",$A550="",$AE550=""),"",$C550&amp;"|"&amp;$A550&amp;"|"&amp;$AE550)</f>
        <v/>
      </c>
      <c r="AI550" s="32">
        <f>IF(OR($C550="",$AE550="",$AE550=1),"",IFERROR(INDEX($AC$6:$AC$1505,MATCH($C550&amp;"|"&amp;$A550&amp;"|"&amp;($AE550-1),$AH$6:$AH$1505,0)),""))</f>
        <v/>
      </c>
      <c r="AJ550" s="32">
        <f>IF(OR($AI550="",$AC550=""),"",IF($AI550=$AC550,"ללא שינוי","מ-"&amp;$AI550&amp;" ל-"&amp;$AC550))</f>
        <v/>
      </c>
      <c r="AK550" s="67" t="n"/>
    </row>
    <row r="551" ht="15.75" customHeight="1" s="58">
      <c r="A551" s="65" t="n"/>
      <c r="B551" s="65" t="n"/>
      <c r="C551" s="66" t="n"/>
      <c r="D551" s="66" t="n"/>
      <c r="E551" s="65" t="n"/>
      <c r="F551" s="65" t="n"/>
      <c r="G551" s="65" t="n"/>
      <c r="H551" s="65" t="n"/>
      <c r="I551" s="65" t="n"/>
      <c r="J551" s="65" t="n"/>
      <c r="K551" s="65" t="n"/>
      <c r="L551" s="65" t="n"/>
      <c r="M551" s="65" t="n"/>
      <c r="N551" s="65" t="n"/>
      <c r="O551" s="65" t="n"/>
      <c r="P551" s="65" t="n"/>
      <c r="Q551" s="65" t="n"/>
      <c r="R551" s="65" t="n"/>
      <c r="S551" s="65" t="n"/>
      <c r="T551" s="65" t="n"/>
      <c r="U551" s="65" t="n"/>
      <c r="V551" s="65" t="n"/>
      <c r="W551" s="65" t="n"/>
      <c r="X551" s="65" t="n"/>
      <c r="Y551" s="32">
        <f>IF($C551="","",IF(COUNTA($I551:$K551)&lt;3,"— חסרים נתונים",IF(AND($I551="תקין",$J551="תקין",$K551="תקין"),"רהוטה",IF(AND($I551="תקין",$J551="תקין"),"מדויקת ורציפה","אינה מדויקת או מקוטעת"))))</f>
        <v/>
      </c>
      <c r="Z551" s="32">
        <f>IF($C551="","",IF(COUNTA($U551:$W551)&lt;3,"",IF(AND($U551="מפותח",$V551="מפותח",$W551="מפותחת"),"מפותחת",IF((--($U551="דל"))+(--($V551="אינו מפותח"))+(--($W551="דלה"))&gt;=2,"אינה מפותחת","חלקית"))))</f>
        <v/>
      </c>
      <c r="AA551" s="32">
        <f>IF($C551="","",IF(COUNTA($M551,$N551,$O551)&lt;3,"— חסרים נתונים",IF(OR($M551="נמוכה",(--($M551&lt;&gt;"תקינה"))+(--($N551&lt;&gt;"תקין"))+(--($O551&lt;&gt;"תקינה"))&gt;=2),"ניכרת","אינה ניכרת")))</f>
        <v/>
      </c>
      <c r="AB551" s="32">
        <f>IF(OR($C551="",$Y551="",$AA551="",LEFT($Y551,1)="—",LEFT($AA551,1)="—"),"",IF($Z551="","— נדרשת הערכת כתיבה",IF($L551="","— חסרה הבנת הנקרא",IF($Y551="אינה מדויקת או מקוטעת",IF($AA551="ניכרת","מיקוד בשטף הקריאה ובכישורי שפה","מיקוד בשטף קריאה"),IF($AA551="ניכרת","מיקוד בכישורי שפה",IF(AND($L551="תקינה",$Z551="מפותחת"),"קוראים וכותבים מיומנים","מיקוד בהבנה והבעה"))))))</f>
        <v/>
      </c>
      <c r="AC551" s="32">
        <f>IF(OR($AB551="",LEFT($AB551,1)="—"),"",IF(OR($AB551="מיקוד בשטף קריאה",$AB551="מיקוד בשטף הקריאה ובכישורי שפה"),"רמה א'",IF($AB551="קוראים וכותבים מיומנים","רמה ג'","רמה ב'")))</f>
        <v/>
      </c>
      <c r="AD551" s="32">
        <f>IF($AC551="","",MID(IF(AND($AC551="רמה א'",$AA551="ניכרת"),"; להוסיף עבודת אוצר מילים","")&amp;IF($Z551="אינה מפותחת","; דגש על הבעה בכתב","")&amp;IF($K551&lt;&gt;"תקין","; נדרש לעבוד על ההנגנה","")&amp;IF($AK551&lt;&gt;"","; "&amp;$AK551,""),3,400))</f>
        <v/>
      </c>
      <c r="AE551" s="32">
        <f>IF($F551="","",IF($F551="תחילת שנה",1,IF($F551="מחצית שנה",2,3)))</f>
        <v/>
      </c>
      <c r="AF551" s="32">
        <f>IF(OR($B551="",$AC551="",$A551="",$F551=""),"",$B551&amp;"|"&amp;$A551&amp;"|"&amp;$F551&amp;"|"&amp;$AC551&amp;"|"&amp;COUNTIFS($B$6:$B551,$B551,$A$6:$A551,$A551,$F$6:$F551,$F551,$AC$6:$AC551,$AC551))</f>
        <v/>
      </c>
      <c r="AG551" s="32">
        <f>IF($C551="","",$C551&amp;"|"&amp;COUNTIFS($C$6:$C551,$C551))</f>
        <v/>
      </c>
      <c r="AH551" s="32">
        <f>IF(OR($C551="",$A551="",$AE551=""),"",$C551&amp;"|"&amp;$A551&amp;"|"&amp;$AE551)</f>
        <v/>
      </c>
      <c r="AI551" s="32">
        <f>IF(OR($C551="",$AE551="",$AE551=1),"",IFERROR(INDEX($AC$6:$AC$1505,MATCH($C551&amp;"|"&amp;$A551&amp;"|"&amp;($AE551-1),$AH$6:$AH$1505,0)),""))</f>
        <v/>
      </c>
      <c r="AJ551" s="32">
        <f>IF(OR($AI551="",$AC551=""),"",IF($AI551=$AC551,"ללא שינוי","מ-"&amp;$AI551&amp;" ל-"&amp;$AC551))</f>
        <v/>
      </c>
      <c r="AK551" s="67" t="n"/>
    </row>
    <row r="552" ht="15.75" customHeight="1" s="58">
      <c r="A552" s="65" t="n"/>
      <c r="B552" s="65" t="n"/>
      <c r="C552" s="66" t="n"/>
      <c r="D552" s="66" t="n"/>
      <c r="E552" s="65" t="n"/>
      <c r="F552" s="65" t="n"/>
      <c r="G552" s="65" t="n"/>
      <c r="H552" s="65" t="n"/>
      <c r="I552" s="65" t="n"/>
      <c r="J552" s="65" t="n"/>
      <c r="K552" s="65" t="n"/>
      <c r="L552" s="65" t="n"/>
      <c r="M552" s="65" t="n"/>
      <c r="N552" s="65" t="n"/>
      <c r="O552" s="65" t="n"/>
      <c r="P552" s="65" t="n"/>
      <c r="Q552" s="65" t="n"/>
      <c r="R552" s="65" t="n"/>
      <c r="S552" s="65" t="n"/>
      <c r="T552" s="65" t="n"/>
      <c r="U552" s="65" t="n"/>
      <c r="V552" s="65" t="n"/>
      <c r="W552" s="65" t="n"/>
      <c r="X552" s="65" t="n"/>
      <c r="Y552" s="32">
        <f>IF($C552="","",IF(COUNTA($I552:$K552)&lt;3,"— חסרים נתונים",IF(AND($I552="תקין",$J552="תקין",$K552="תקין"),"רהוטה",IF(AND($I552="תקין",$J552="תקין"),"מדויקת ורציפה","אינה מדויקת או מקוטעת"))))</f>
        <v/>
      </c>
      <c r="Z552" s="32">
        <f>IF($C552="","",IF(COUNTA($U552:$W552)&lt;3,"",IF(AND($U552="מפותח",$V552="מפותח",$W552="מפותחת"),"מפותחת",IF((--($U552="דל"))+(--($V552="אינו מפותח"))+(--($W552="דלה"))&gt;=2,"אינה מפותחת","חלקית"))))</f>
        <v/>
      </c>
      <c r="AA552" s="32">
        <f>IF($C552="","",IF(COUNTA($M552,$N552,$O552)&lt;3,"— חסרים נתונים",IF(OR($M552="נמוכה",(--($M552&lt;&gt;"תקינה"))+(--($N552&lt;&gt;"תקין"))+(--($O552&lt;&gt;"תקינה"))&gt;=2),"ניכרת","אינה ניכרת")))</f>
        <v/>
      </c>
      <c r="AB552" s="32">
        <f>IF(OR($C552="",$Y552="",$AA552="",LEFT($Y552,1)="—",LEFT($AA552,1)="—"),"",IF($Z552="","— נדרשת הערכת כתיבה",IF($L552="","— חסרה הבנת הנקרא",IF($Y552="אינה מדויקת או מקוטעת",IF($AA552="ניכרת","מיקוד בשטף הקריאה ובכישורי שפה","מיקוד בשטף קריאה"),IF($AA552="ניכרת","מיקוד בכישורי שפה",IF(AND($L552="תקינה",$Z552="מפותחת"),"קוראים וכותבים מיומנים","מיקוד בהבנה והבעה"))))))</f>
        <v/>
      </c>
      <c r="AC552" s="32">
        <f>IF(OR($AB552="",LEFT($AB552,1)="—"),"",IF(OR($AB552="מיקוד בשטף קריאה",$AB552="מיקוד בשטף הקריאה ובכישורי שפה"),"רמה א'",IF($AB552="קוראים וכותבים מיומנים","רמה ג'","רמה ב'")))</f>
        <v/>
      </c>
      <c r="AD552" s="32">
        <f>IF($AC552="","",MID(IF(AND($AC552="רמה א'",$AA552="ניכרת"),"; להוסיף עבודת אוצר מילים","")&amp;IF($Z552="אינה מפותחת","; דגש על הבעה בכתב","")&amp;IF($K552&lt;&gt;"תקין","; נדרש לעבוד על ההנגנה","")&amp;IF($AK552&lt;&gt;"","; "&amp;$AK552,""),3,400))</f>
        <v/>
      </c>
      <c r="AE552" s="32">
        <f>IF($F552="","",IF($F552="תחילת שנה",1,IF($F552="מחצית שנה",2,3)))</f>
        <v/>
      </c>
      <c r="AF552" s="32">
        <f>IF(OR($B552="",$AC552="",$A552="",$F552=""),"",$B552&amp;"|"&amp;$A552&amp;"|"&amp;$F552&amp;"|"&amp;$AC552&amp;"|"&amp;COUNTIFS($B$6:$B552,$B552,$A$6:$A552,$A552,$F$6:$F552,$F552,$AC$6:$AC552,$AC552))</f>
        <v/>
      </c>
      <c r="AG552" s="32">
        <f>IF($C552="","",$C552&amp;"|"&amp;COUNTIFS($C$6:$C552,$C552))</f>
        <v/>
      </c>
      <c r="AH552" s="32">
        <f>IF(OR($C552="",$A552="",$AE552=""),"",$C552&amp;"|"&amp;$A552&amp;"|"&amp;$AE552)</f>
        <v/>
      </c>
      <c r="AI552" s="32">
        <f>IF(OR($C552="",$AE552="",$AE552=1),"",IFERROR(INDEX($AC$6:$AC$1505,MATCH($C552&amp;"|"&amp;$A552&amp;"|"&amp;($AE552-1),$AH$6:$AH$1505,0)),""))</f>
        <v/>
      </c>
      <c r="AJ552" s="32">
        <f>IF(OR($AI552="",$AC552=""),"",IF($AI552=$AC552,"ללא שינוי","מ-"&amp;$AI552&amp;" ל-"&amp;$AC552))</f>
        <v/>
      </c>
      <c r="AK552" s="67" t="n"/>
    </row>
    <row r="553" ht="15.75" customHeight="1" s="58">
      <c r="A553" s="65" t="n"/>
      <c r="B553" s="65" t="n"/>
      <c r="C553" s="66" t="n"/>
      <c r="D553" s="66" t="n"/>
      <c r="E553" s="65" t="n"/>
      <c r="F553" s="65" t="n"/>
      <c r="G553" s="65" t="n"/>
      <c r="H553" s="65" t="n"/>
      <c r="I553" s="65" t="n"/>
      <c r="J553" s="65" t="n"/>
      <c r="K553" s="65" t="n"/>
      <c r="L553" s="65" t="n"/>
      <c r="M553" s="65" t="n"/>
      <c r="N553" s="65" t="n"/>
      <c r="O553" s="65" t="n"/>
      <c r="P553" s="65" t="n"/>
      <c r="Q553" s="65" t="n"/>
      <c r="R553" s="65" t="n"/>
      <c r="S553" s="65" t="n"/>
      <c r="T553" s="65" t="n"/>
      <c r="U553" s="65" t="n"/>
      <c r="V553" s="65" t="n"/>
      <c r="W553" s="65" t="n"/>
      <c r="X553" s="65" t="n"/>
      <c r="Y553" s="32">
        <f>IF($C553="","",IF(COUNTA($I553:$K553)&lt;3,"— חסרים נתונים",IF(AND($I553="תקין",$J553="תקין",$K553="תקין"),"רהוטה",IF(AND($I553="תקין",$J553="תקין"),"מדויקת ורציפה","אינה מדויקת או מקוטעת"))))</f>
        <v/>
      </c>
      <c r="Z553" s="32">
        <f>IF($C553="","",IF(COUNTA($U553:$W553)&lt;3,"",IF(AND($U553="מפותח",$V553="מפותח",$W553="מפותחת"),"מפותחת",IF((--($U553="דל"))+(--($V553="אינו מפותח"))+(--($W553="דלה"))&gt;=2,"אינה מפותחת","חלקית"))))</f>
        <v/>
      </c>
      <c r="AA553" s="32">
        <f>IF($C553="","",IF(COUNTA($M553,$N553,$O553)&lt;3,"— חסרים נתונים",IF(OR($M553="נמוכה",(--($M553&lt;&gt;"תקינה"))+(--($N553&lt;&gt;"תקין"))+(--($O553&lt;&gt;"תקינה"))&gt;=2),"ניכרת","אינה ניכרת")))</f>
        <v/>
      </c>
      <c r="AB553" s="32">
        <f>IF(OR($C553="",$Y553="",$AA553="",LEFT($Y553,1)="—",LEFT($AA553,1)="—"),"",IF($Z553="","— נדרשת הערכת כתיבה",IF($L553="","— חסרה הבנת הנקרא",IF($Y553="אינה מדויקת או מקוטעת",IF($AA553="ניכרת","מיקוד בשטף הקריאה ובכישורי שפה","מיקוד בשטף קריאה"),IF($AA553="ניכרת","מיקוד בכישורי שפה",IF(AND($L553="תקינה",$Z553="מפותחת"),"קוראים וכותבים מיומנים","מיקוד בהבנה והבעה"))))))</f>
        <v/>
      </c>
      <c r="AC553" s="32">
        <f>IF(OR($AB553="",LEFT($AB553,1)="—"),"",IF(OR($AB553="מיקוד בשטף קריאה",$AB553="מיקוד בשטף הקריאה ובכישורי שפה"),"רמה א'",IF($AB553="קוראים וכותבים מיומנים","רמה ג'","רמה ב'")))</f>
        <v/>
      </c>
      <c r="AD553" s="32">
        <f>IF($AC553="","",MID(IF(AND($AC553="רמה א'",$AA553="ניכרת"),"; להוסיף עבודת אוצר מילים","")&amp;IF($Z553="אינה מפותחת","; דגש על הבעה בכתב","")&amp;IF($K553&lt;&gt;"תקין","; נדרש לעבוד על ההנגנה","")&amp;IF($AK553&lt;&gt;"","; "&amp;$AK553,""),3,400))</f>
        <v/>
      </c>
      <c r="AE553" s="32">
        <f>IF($F553="","",IF($F553="תחילת שנה",1,IF($F553="מחצית שנה",2,3)))</f>
        <v/>
      </c>
      <c r="AF553" s="32">
        <f>IF(OR($B553="",$AC553="",$A553="",$F553=""),"",$B553&amp;"|"&amp;$A553&amp;"|"&amp;$F553&amp;"|"&amp;$AC553&amp;"|"&amp;COUNTIFS($B$6:$B553,$B553,$A$6:$A553,$A553,$F$6:$F553,$F553,$AC$6:$AC553,$AC553))</f>
        <v/>
      </c>
      <c r="AG553" s="32">
        <f>IF($C553="","",$C553&amp;"|"&amp;COUNTIFS($C$6:$C553,$C553))</f>
        <v/>
      </c>
      <c r="AH553" s="32">
        <f>IF(OR($C553="",$A553="",$AE553=""),"",$C553&amp;"|"&amp;$A553&amp;"|"&amp;$AE553)</f>
        <v/>
      </c>
      <c r="AI553" s="32">
        <f>IF(OR($C553="",$AE553="",$AE553=1),"",IFERROR(INDEX($AC$6:$AC$1505,MATCH($C553&amp;"|"&amp;$A553&amp;"|"&amp;($AE553-1),$AH$6:$AH$1505,0)),""))</f>
        <v/>
      </c>
      <c r="AJ553" s="32">
        <f>IF(OR($AI553="",$AC553=""),"",IF($AI553=$AC553,"ללא שינוי","מ-"&amp;$AI553&amp;" ל-"&amp;$AC553))</f>
        <v/>
      </c>
      <c r="AK553" s="67" t="n"/>
    </row>
    <row r="554" ht="15.75" customHeight="1" s="58">
      <c r="A554" s="65" t="n"/>
      <c r="B554" s="65" t="n"/>
      <c r="C554" s="66" t="n"/>
      <c r="D554" s="66" t="n"/>
      <c r="E554" s="65" t="n"/>
      <c r="F554" s="65" t="n"/>
      <c r="G554" s="65" t="n"/>
      <c r="H554" s="65" t="n"/>
      <c r="I554" s="65" t="n"/>
      <c r="J554" s="65" t="n"/>
      <c r="K554" s="65" t="n"/>
      <c r="L554" s="65" t="n"/>
      <c r="M554" s="65" t="n"/>
      <c r="N554" s="65" t="n"/>
      <c r="O554" s="65" t="n"/>
      <c r="P554" s="65" t="n"/>
      <c r="Q554" s="65" t="n"/>
      <c r="R554" s="65" t="n"/>
      <c r="S554" s="65" t="n"/>
      <c r="T554" s="65" t="n"/>
      <c r="U554" s="65" t="n"/>
      <c r="V554" s="65" t="n"/>
      <c r="W554" s="65" t="n"/>
      <c r="X554" s="65" t="n"/>
      <c r="Y554" s="32">
        <f>IF($C554="","",IF(COUNTA($I554:$K554)&lt;3,"— חסרים נתונים",IF(AND($I554="תקין",$J554="תקין",$K554="תקין"),"רהוטה",IF(AND($I554="תקין",$J554="תקין"),"מדויקת ורציפה","אינה מדויקת או מקוטעת"))))</f>
        <v/>
      </c>
      <c r="Z554" s="32">
        <f>IF($C554="","",IF(COUNTA($U554:$W554)&lt;3,"",IF(AND($U554="מפותח",$V554="מפותח",$W554="מפותחת"),"מפותחת",IF((--($U554="דל"))+(--($V554="אינו מפותח"))+(--($W554="דלה"))&gt;=2,"אינה מפותחת","חלקית"))))</f>
        <v/>
      </c>
      <c r="AA554" s="32">
        <f>IF($C554="","",IF(COUNTA($M554,$N554,$O554)&lt;3,"— חסרים נתונים",IF(OR($M554="נמוכה",(--($M554&lt;&gt;"תקינה"))+(--($N554&lt;&gt;"תקין"))+(--($O554&lt;&gt;"תקינה"))&gt;=2),"ניכרת","אינה ניכרת")))</f>
        <v/>
      </c>
      <c r="AB554" s="32">
        <f>IF(OR($C554="",$Y554="",$AA554="",LEFT($Y554,1)="—",LEFT($AA554,1)="—"),"",IF($Z554="","— נדרשת הערכת כתיבה",IF($L554="","— חסרה הבנת הנקרא",IF($Y554="אינה מדויקת או מקוטעת",IF($AA554="ניכרת","מיקוד בשטף הקריאה ובכישורי שפה","מיקוד בשטף קריאה"),IF($AA554="ניכרת","מיקוד בכישורי שפה",IF(AND($L554="תקינה",$Z554="מפותחת"),"קוראים וכותבים מיומנים","מיקוד בהבנה והבעה"))))))</f>
        <v/>
      </c>
      <c r="AC554" s="32">
        <f>IF(OR($AB554="",LEFT($AB554,1)="—"),"",IF(OR($AB554="מיקוד בשטף קריאה",$AB554="מיקוד בשטף הקריאה ובכישורי שפה"),"רמה א'",IF($AB554="קוראים וכותבים מיומנים","רמה ג'","רמה ב'")))</f>
        <v/>
      </c>
      <c r="AD554" s="32">
        <f>IF($AC554="","",MID(IF(AND($AC554="רמה א'",$AA554="ניכרת"),"; להוסיף עבודת אוצר מילים","")&amp;IF($Z554="אינה מפותחת","; דגש על הבעה בכתב","")&amp;IF($K554&lt;&gt;"תקין","; נדרש לעבוד על ההנגנה","")&amp;IF($AK554&lt;&gt;"","; "&amp;$AK554,""),3,400))</f>
        <v/>
      </c>
      <c r="AE554" s="32">
        <f>IF($F554="","",IF($F554="תחילת שנה",1,IF($F554="מחצית שנה",2,3)))</f>
        <v/>
      </c>
      <c r="AF554" s="32">
        <f>IF(OR($B554="",$AC554="",$A554="",$F554=""),"",$B554&amp;"|"&amp;$A554&amp;"|"&amp;$F554&amp;"|"&amp;$AC554&amp;"|"&amp;COUNTIFS($B$6:$B554,$B554,$A$6:$A554,$A554,$F$6:$F554,$F554,$AC$6:$AC554,$AC554))</f>
        <v/>
      </c>
      <c r="AG554" s="32">
        <f>IF($C554="","",$C554&amp;"|"&amp;COUNTIFS($C$6:$C554,$C554))</f>
        <v/>
      </c>
      <c r="AH554" s="32">
        <f>IF(OR($C554="",$A554="",$AE554=""),"",$C554&amp;"|"&amp;$A554&amp;"|"&amp;$AE554)</f>
        <v/>
      </c>
      <c r="AI554" s="32">
        <f>IF(OR($C554="",$AE554="",$AE554=1),"",IFERROR(INDEX($AC$6:$AC$1505,MATCH($C554&amp;"|"&amp;$A554&amp;"|"&amp;($AE554-1),$AH$6:$AH$1505,0)),""))</f>
        <v/>
      </c>
      <c r="AJ554" s="32">
        <f>IF(OR($AI554="",$AC554=""),"",IF($AI554=$AC554,"ללא שינוי","מ-"&amp;$AI554&amp;" ל-"&amp;$AC554))</f>
        <v/>
      </c>
      <c r="AK554" s="67" t="n"/>
    </row>
    <row r="555" ht="15.75" customHeight="1" s="58">
      <c r="A555" s="65" t="n"/>
      <c r="B555" s="65" t="n"/>
      <c r="C555" s="66" t="n"/>
      <c r="D555" s="66" t="n"/>
      <c r="E555" s="65" t="n"/>
      <c r="F555" s="65" t="n"/>
      <c r="G555" s="65" t="n"/>
      <c r="H555" s="65" t="n"/>
      <c r="I555" s="65" t="n"/>
      <c r="J555" s="65" t="n"/>
      <c r="K555" s="65" t="n"/>
      <c r="L555" s="65" t="n"/>
      <c r="M555" s="65" t="n"/>
      <c r="N555" s="65" t="n"/>
      <c r="O555" s="65" t="n"/>
      <c r="P555" s="65" t="n"/>
      <c r="Q555" s="65" t="n"/>
      <c r="R555" s="65" t="n"/>
      <c r="S555" s="65" t="n"/>
      <c r="T555" s="65" t="n"/>
      <c r="U555" s="65" t="n"/>
      <c r="V555" s="65" t="n"/>
      <c r="W555" s="65" t="n"/>
      <c r="X555" s="65" t="n"/>
      <c r="Y555" s="32">
        <f>IF($C555="","",IF(COUNTA($I555:$K555)&lt;3,"— חסרים נתונים",IF(AND($I555="תקין",$J555="תקין",$K555="תקין"),"רהוטה",IF(AND($I555="תקין",$J555="תקין"),"מדויקת ורציפה","אינה מדויקת או מקוטעת"))))</f>
        <v/>
      </c>
      <c r="Z555" s="32">
        <f>IF($C555="","",IF(COUNTA($U555:$W555)&lt;3,"",IF(AND($U555="מפותח",$V555="מפותח",$W555="מפותחת"),"מפותחת",IF((--($U555="דל"))+(--($V555="אינו מפותח"))+(--($W555="דלה"))&gt;=2,"אינה מפותחת","חלקית"))))</f>
        <v/>
      </c>
      <c r="AA555" s="32">
        <f>IF($C555="","",IF(COUNTA($M555,$N555,$O555)&lt;3,"— חסרים נתונים",IF(OR($M555="נמוכה",(--($M555&lt;&gt;"תקינה"))+(--($N555&lt;&gt;"תקין"))+(--($O555&lt;&gt;"תקינה"))&gt;=2),"ניכרת","אינה ניכרת")))</f>
        <v/>
      </c>
      <c r="AB555" s="32">
        <f>IF(OR($C555="",$Y555="",$AA555="",LEFT($Y555,1)="—",LEFT($AA555,1)="—"),"",IF($Z555="","— נדרשת הערכת כתיבה",IF($L555="","— חסרה הבנת הנקרא",IF($Y555="אינה מדויקת או מקוטעת",IF($AA555="ניכרת","מיקוד בשטף הקריאה ובכישורי שפה","מיקוד בשטף קריאה"),IF($AA555="ניכרת","מיקוד בכישורי שפה",IF(AND($L555="תקינה",$Z555="מפותחת"),"קוראים וכותבים מיומנים","מיקוד בהבנה והבעה"))))))</f>
        <v/>
      </c>
      <c r="AC555" s="32">
        <f>IF(OR($AB555="",LEFT($AB555,1)="—"),"",IF(OR($AB555="מיקוד בשטף קריאה",$AB555="מיקוד בשטף הקריאה ובכישורי שפה"),"רמה א'",IF($AB555="קוראים וכותבים מיומנים","רמה ג'","רמה ב'")))</f>
        <v/>
      </c>
      <c r="AD555" s="32">
        <f>IF($AC555="","",MID(IF(AND($AC555="רמה א'",$AA555="ניכרת"),"; להוסיף עבודת אוצר מילים","")&amp;IF($Z555="אינה מפותחת","; דגש על הבעה בכתב","")&amp;IF($K555&lt;&gt;"תקין","; נדרש לעבוד על ההנגנה","")&amp;IF($AK555&lt;&gt;"","; "&amp;$AK555,""),3,400))</f>
        <v/>
      </c>
      <c r="AE555" s="32">
        <f>IF($F555="","",IF($F555="תחילת שנה",1,IF($F555="מחצית שנה",2,3)))</f>
        <v/>
      </c>
      <c r="AF555" s="32">
        <f>IF(OR($B555="",$AC555="",$A555="",$F555=""),"",$B555&amp;"|"&amp;$A555&amp;"|"&amp;$F555&amp;"|"&amp;$AC555&amp;"|"&amp;COUNTIFS($B$6:$B555,$B555,$A$6:$A555,$A555,$F$6:$F555,$F555,$AC$6:$AC555,$AC555))</f>
        <v/>
      </c>
      <c r="AG555" s="32">
        <f>IF($C555="","",$C555&amp;"|"&amp;COUNTIFS($C$6:$C555,$C555))</f>
        <v/>
      </c>
      <c r="AH555" s="32">
        <f>IF(OR($C555="",$A555="",$AE555=""),"",$C555&amp;"|"&amp;$A555&amp;"|"&amp;$AE555)</f>
        <v/>
      </c>
      <c r="AI555" s="32">
        <f>IF(OR($C555="",$AE555="",$AE555=1),"",IFERROR(INDEX($AC$6:$AC$1505,MATCH($C555&amp;"|"&amp;$A555&amp;"|"&amp;($AE555-1),$AH$6:$AH$1505,0)),""))</f>
        <v/>
      </c>
      <c r="AJ555" s="32">
        <f>IF(OR($AI555="",$AC555=""),"",IF($AI555=$AC555,"ללא שינוי","מ-"&amp;$AI555&amp;" ל-"&amp;$AC555))</f>
        <v/>
      </c>
      <c r="AK555" s="67" t="n"/>
    </row>
    <row r="556" ht="15.75" customHeight="1" s="58">
      <c r="A556" s="65" t="n"/>
      <c r="B556" s="65" t="n"/>
      <c r="C556" s="66" t="n"/>
      <c r="D556" s="66" t="n"/>
      <c r="E556" s="65" t="n"/>
      <c r="F556" s="65" t="n"/>
      <c r="G556" s="65" t="n"/>
      <c r="H556" s="65" t="n"/>
      <c r="I556" s="65" t="n"/>
      <c r="J556" s="65" t="n"/>
      <c r="K556" s="65" t="n"/>
      <c r="L556" s="65" t="n"/>
      <c r="M556" s="65" t="n"/>
      <c r="N556" s="65" t="n"/>
      <c r="O556" s="65" t="n"/>
      <c r="P556" s="65" t="n"/>
      <c r="Q556" s="65" t="n"/>
      <c r="R556" s="65" t="n"/>
      <c r="S556" s="65" t="n"/>
      <c r="T556" s="65" t="n"/>
      <c r="U556" s="65" t="n"/>
      <c r="V556" s="65" t="n"/>
      <c r="W556" s="65" t="n"/>
      <c r="X556" s="65" t="n"/>
      <c r="Y556" s="32">
        <f>IF($C556="","",IF(COUNTA($I556:$K556)&lt;3,"— חסרים נתונים",IF(AND($I556="תקין",$J556="תקין",$K556="תקין"),"רהוטה",IF(AND($I556="תקין",$J556="תקין"),"מדויקת ורציפה","אינה מדויקת או מקוטעת"))))</f>
        <v/>
      </c>
      <c r="Z556" s="32">
        <f>IF($C556="","",IF(COUNTA($U556:$W556)&lt;3,"",IF(AND($U556="מפותח",$V556="מפותח",$W556="מפותחת"),"מפותחת",IF((--($U556="דל"))+(--($V556="אינו מפותח"))+(--($W556="דלה"))&gt;=2,"אינה מפותחת","חלקית"))))</f>
        <v/>
      </c>
      <c r="AA556" s="32">
        <f>IF($C556="","",IF(COUNTA($M556,$N556,$O556)&lt;3,"— חסרים נתונים",IF(OR($M556="נמוכה",(--($M556&lt;&gt;"תקינה"))+(--($N556&lt;&gt;"תקין"))+(--($O556&lt;&gt;"תקינה"))&gt;=2),"ניכרת","אינה ניכרת")))</f>
        <v/>
      </c>
      <c r="AB556" s="32">
        <f>IF(OR($C556="",$Y556="",$AA556="",LEFT($Y556,1)="—",LEFT($AA556,1)="—"),"",IF($Z556="","— נדרשת הערכת כתיבה",IF($L556="","— חסרה הבנת הנקרא",IF($Y556="אינה מדויקת או מקוטעת",IF($AA556="ניכרת","מיקוד בשטף הקריאה ובכישורי שפה","מיקוד בשטף קריאה"),IF($AA556="ניכרת","מיקוד בכישורי שפה",IF(AND($L556="תקינה",$Z556="מפותחת"),"קוראים וכותבים מיומנים","מיקוד בהבנה והבעה"))))))</f>
        <v/>
      </c>
      <c r="AC556" s="32">
        <f>IF(OR($AB556="",LEFT($AB556,1)="—"),"",IF(OR($AB556="מיקוד בשטף קריאה",$AB556="מיקוד בשטף הקריאה ובכישורי שפה"),"רמה א'",IF($AB556="קוראים וכותבים מיומנים","רמה ג'","רמה ב'")))</f>
        <v/>
      </c>
      <c r="AD556" s="32">
        <f>IF($AC556="","",MID(IF(AND($AC556="רמה א'",$AA556="ניכרת"),"; להוסיף עבודת אוצר מילים","")&amp;IF($Z556="אינה מפותחת","; דגש על הבעה בכתב","")&amp;IF($K556&lt;&gt;"תקין","; נדרש לעבוד על ההנגנה","")&amp;IF($AK556&lt;&gt;"","; "&amp;$AK556,""),3,400))</f>
        <v/>
      </c>
      <c r="AE556" s="32">
        <f>IF($F556="","",IF($F556="תחילת שנה",1,IF($F556="מחצית שנה",2,3)))</f>
        <v/>
      </c>
      <c r="AF556" s="32">
        <f>IF(OR($B556="",$AC556="",$A556="",$F556=""),"",$B556&amp;"|"&amp;$A556&amp;"|"&amp;$F556&amp;"|"&amp;$AC556&amp;"|"&amp;COUNTIFS($B$6:$B556,$B556,$A$6:$A556,$A556,$F$6:$F556,$F556,$AC$6:$AC556,$AC556))</f>
        <v/>
      </c>
      <c r="AG556" s="32">
        <f>IF($C556="","",$C556&amp;"|"&amp;COUNTIFS($C$6:$C556,$C556))</f>
        <v/>
      </c>
      <c r="AH556" s="32">
        <f>IF(OR($C556="",$A556="",$AE556=""),"",$C556&amp;"|"&amp;$A556&amp;"|"&amp;$AE556)</f>
        <v/>
      </c>
      <c r="AI556" s="32">
        <f>IF(OR($C556="",$AE556="",$AE556=1),"",IFERROR(INDEX($AC$6:$AC$1505,MATCH($C556&amp;"|"&amp;$A556&amp;"|"&amp;($AE556-1),$AH$6:$AH$1505,0)),""))</f>
        <v/>
      </c>
      <c r="AJ556" s="32">
        <f>IF(OR($AI556="",$AC556=""),"",IF($AI556=$AC556,"ללא שינוי","מ-"&amp;$AI556&amp;" ל-"&amp;$AC556))</f>
        <v/>
      </c>
      <c r="AK556" s="67" t="n"/>
    </row>
    <row r="557" ht="15.75" customHeight="1" s="58">
      <c r="A557" s="65" t="n"/>
      <c r="B557" s="65" t="n"/>
      <c r="C557" s="66" t="n"/>
      <c r="D557" s="66" t="n"/>
      <c r="E557" s="65" t="n"/>
      <c r="F557" s="65" t="n"/>
      <c r="G557" s="65" t="n"/>
      <c r="H557" s="65" t="n"/>
      <c r="I557" s="65" t="n"/>
      <c r="J557" s="65" t="n"/>
      <c r="K557" s="65" t="n"/>
      <c r="L557" s="65" t="n"/>
      <c r="M557" s="65" t="n"/>
      <c r="N557" s="65" t="n"/>
      <c r="O557" s="65" t="n"/>
      <c r="P557" s="65" t="n"/>
      <c r="Q557" s="65" t="n"/>
      <c r="R557" s="65" t="n"/>
      <c r="S557" s="65" t="n"/>
      <c r="T557" s="65" t="n"/>
      <c r="U557" s="65" t="n"/>
      <c r="V557" s="65" t="n"/>
      <c r="W557" s="65" t="n"/>
      <c r="X557" s="65" t="n"/>
      <c r="Y557" s="32">
        <f>IF($C557="","",IF(COUNTA($I557:$K557)&lt;3,"— חסרים נתונים",IF(AND($I557="תקין",$J557="תקין",$K557="תקין"),"רהוטה",IF(AND($I557="תקין",$J557="תקין"),"מדויקת ורציפה","אינה מדויקת או מקוטעת"))))</f>
        <v/>
      </c>
      <c r="Z557" s="32">
        <f>IF($C557="","",IF(COUNTA($U557:$W557)&lt;3,"",IF(AND($U557="מפותח",$V557="מפותח",$W557="מפותחת"),"מפותחת",IF((--($U557="דל"))+(--($V557="אינו מפותח"))+(--($W557="דלה"))&gt;=2,"אינה מפותחת","חלקית"))))</f>
        <v/>
      </c>
      <c r="AA557" s="32">
        <f>IF($C557="","",IF(COUNTA($M557,$N557,$O557)&lt;3,"— חסרים נתונים",IF(OR($M557="נמוכה",(--($M557&lt;&gt;"תקינה"))+(--($N557&lt;&gt;"תקין"))+(--($O557&lt;&gt;"תקינה"))&gt;=2),"ניכרת","אינה ניכרת")))</f>
        <v/>
      </c>
      <c r="AB557" s="32">
        <f>IF(OR($C557="",$Y557="",$AA557="",LEFT($Y557,1)="—",LEFT($AA557,1)="—"),"",IF($Z557="","— נדרשת הערכת כתיבה",IF($L557="","— חסרה הבנת הנקרא",IF($Y557="אינה מדויקת או מקוטעת",IF($AA557="ניכרת","מיקוד בשטף הקריאה ובכישורי שפה","מיקוד בשטף קריאה"),IF($AA557="ניכרת","מיקוד בכישורי שפה",IF(AND($L557="תקינה",$Z557="מפותחת"),"קוראים וכותבים מיומנים","מיקוד בהבנה והבעה"))))))</f>
        <v/>
      </c>
      <c r="AC557" s="32">
        <f>IF(OR($AB557="",LEFT($AB557,1)="—"),"",IF(OR($AB557="מיקוד בשטף קריאה",$AB557="מיקוד בשטף הקריאה ובכישורי שפה"),"רמה א'",IF($AB557="קוראים וכותבים מיומנים","רמה ג'","רמה ב'")))</f>
        <v/>
      </c>
      <c r="AD557" s="32">
        <f>IF($AC557="","",MID(IF(AND($AC557="רמה א'",$AA557="ניכרת"),"; להוסיף עבודת אוצר מילים","")&amp;IF($Z557="אינה מפותחת","; דגש על הבעה בכתב","")&amp;IF($K557&lt;&gt;"תקין","; נדרש לעבוד על ההנגנה","")&amp;IF($AK557&lt;&gt;"","; "&amp;$AK557,""),3,400))</f>
        <v/>
      </c>
      <c r="AE557" s="32">
        <f>IF($F557="","",IF($F557="תחילת שנה",1,IF($F557="מחצית שנה",2,3)))</f>
        <v/>
      </c>
      <c r="AF557" s="32">
        <f>IF(OR($B557="",$AC557="",$A557="",$F557=""),"",$B557&amp;"|"&amp;$A557&amp;"|"&amp;$F557&amp;"|"&amp;$AC557&amp;"|"&amp;COUNTIFS($B$6:$B557,$B557,$A$6:$A557,$A557,$F$6:$F557,$F557,$AC$6:$AC557,$AC557))</f>
        <v/>
      </c>
      <c r="AG557" s="32">
        <f>IF($C557="","",$C557&amp;"|"&amp;COUNTIFS($C$6:$C557,$C557))</f>
        <v/>
      </c>
      <c r="AH557" s="32">
        <f>IF(OR($C557="",$A557="",$AE557=""),"",$C557&amp;"|"&amp;$A557&amp;"|"&amp;$AE557)</f>
        <v/>
      </c>
      <c r="AI557" s="32">
        <f>IF(OR($C557="",$AE557="",$AE557=1),"",IFERROR(INDEX($AC$6:$AC$1505,MATCH($C557&amp;"|"&amp;$A557&amp;"|"&amp;($AE557-1),$AH$6:$AH$1505,0)),""))</f>
        <v/>
      </c>
      <c r="AJ557" s="32">
        <f>IF(OR($AI557="",$AC557=""),"",IF($AI557=$AC557,"ללא שינוי","מ-"&amp;$AI557&amp;" ל-"&amp;$AC557))</f>
        <v/>
      </c>
      <c r="AK557" s="67" t="n"/>
    </row>
    <row r="558" ht="15.75" customHeight="1" s="58">
      <c r="A558" s="65" t="n"/>
      <c r="B558" s="65" t="n"/>
      <c r="C558" s="66" t="n"/>
      <c r="D558" s="66" t="n"/>
      <c r="E558" s="65" t="n"/>
      <c r="F558" s="65" t="n"/>
      <c r="G558" s="65" t="n"/>
      <c r="H558" s="65" t="n"/>
      <c r="I558" s="65" t="n"/>
      <c r="J558" s="65" t="n"/>
      <c r="K558" s="65" t="n"/>
      <c r="L558" s="65" t="n"/>
      <c r="M558" s="65" t="n"/>
      <c r="N558" s="65" t="n"/>
      <c r="O558" s="65" t="n"/>
      <c r="P558" s="65" t="n"/>
      <c r="Q558" s="65" t="n"/>
      <c r="R558" s="65" t="n"/>
      <c r="S558" s="65" t="n"/>
      <c r="T558" s="65" t="n"/>
      <c r="U558" s="65" t="n"/>
      <c r="V558" s="65" t="n"/>
      <c r="W558" s="65" t="n"/>
      <c r="X558" s="65" t="n"/>
      <c r="Y558" s="32">
        <f>IF($C558="","",IF(COUNTA($I558:$K558)&lt;3,"— חסרים נתונים",IF(AND($I558="תקין",$J558="תקין",$K558="תקין"),"רהוטה",IF(AND($I558="תקין",$J558="תקין"),"מדויקת ורציפה","אינה מדויקת או מקוטעת"))))</f>
        <v/>
      </c>
      <c r="Z558" s="32">
        <f>IF($C558="","",IF(COUNTA($U558:$W558)&lt;3,"",IF(AND($U558="מפותח",$V558="מפותח",$W558="מפותחת"),"מפותחת",IF((--($U558="דל"))+(--($V558="אינו מפותח"))+(--($W558="דלה"))&gt;=2,"אינה מפותחת","חלקית"))))</f>
        <v/>
      </c>
      <c r="AA558" s="32">
        <f>IF($C558="","",IF(COUNTA($M558,$N558,$O558)&lt;3,"— חסרים נתונים",IF(OR($M558="נמוכה",(--($M558&lt;&gt;"תקינה"))+(--($N558&lt;&gt;"תקין"))+(--($O558&lt;&gt;"תקינה"))&gt;=2),"ניכרת","אינה ניכרת")))</f>
        <v/>
      </c>
      <c r="AB558" s="32">
        <f>IF(OR($C558="",$Y558="",$AA558="",LEFT($Y558,1)="—",LEFT($AA558,1)="—"),"",IF($Z558="","— נדרשת הערכת כתיבה",IF($L558="","— חסרה הבנת הנקרא",IF($Y558="אינה מדויקת או מקוטעת",IF($AA558="ניכרת","מיקוד בשטף הקריאה ובכישורי שפה","מיקוד בשטף קריאה"),IF($AA558="ניכרת","מיקוד בכישורי שפה",IF(AND($L558="תקינה",$Z558="מפותחת"),"קוראים וכותבים מיומנים","מיקוד בהבנה והבעה"))))))</f>
        <v/>
      </c>
      <c r="AC558" s="32">
        <f>IF(OR($AB558="",LEFT($AB558,1)="—"),"",IF(OR($AB558="מיקוד בשטף קריאה",$AB558="מיקוד בשטף הקריאה ובכישורי שפה"),"רמה א'",IF($AB558="קוראים וכותבים מיומנים","רמה ג'","רמה ב'")))</f>
        <v/>
      </c>
      <c r="AD558" s="32">
        <f>IF($AC558="","",MID(IF(AND($AC558="רמה א'",$AA558="ניכרת"),"; להוסיף עבודת אוצר מילים","")&amp;IF($Z558="אינה מפותחת","; דגש על הבעה בכתב","")&amp;IF($K558&lt;&gt;"תקין","; נדרש לעבוד על ההנגנה","")&amp;IF($AK558&lt;&gt;"","; "&amp;$AK558,""),3,400))</f>
        <v/>
      </c>
      <c r="AE558" s="32">
        <f>IF($F558="","",IF($F558="תחילת שנה",1,IF($F558="מחצית שנה",2,3)))</f>
        <v/>
      </c>
      <c r="AF558" s="32">
        <f>IF(OR($B558="",$AC558="",$A558="",$F558=""),"",$B558&amp;"|"&amp;$A558&amp;"|"&amp;$F558&amp;"|"&amp;$AC558&amp;"|"&amp;COUNTIFS($B$6:$B558,$B558,$A$6:$A558,$A558,$F$6:$F558,$F558,$AC$6:$AC558,$AC558))</f>
        <v/>
      </c>
      <c r="AG558" s="32">
        <f>IF($C558="","",$C558&amp;"|"&amp;COUNTIFS($C$6:$C558,$C558))</f>
        <v/>
      </c>
      <c r="AH558" s="32">
        <f>IF(OR($C558="",$A558="",$AE558=""),"",$C558&amp;"|"&amp;$A558&amp;"|"&amp;$AE558)</f>
        <v/>
      </c>
      <c r="AI558" s="32">
        <f>IF(OR($C558="",$AE558="",$AE558=1),"",IFERROR(INDEX($AC$6:$AC$1505,MATCH($C558&amp;"|"&amp;$A558&amp;"|"&amp;($AE558-1),$AH$6:$AH$1505,0)),""))</f>
        <v/>
      </c>
      <c r="AJ558" s="32">
        <f>IF(OR($AI558="",$AC558=""),"",IF($AI558=$AC558,"ללא שינוי","מ-"&amp;$AI558&amp;" ל-"&amp;$AC558))</f>
        <v/>
      </c>
      <c r="AK558" s="67" t="n"/>
    </row>
    <row r="559" ht="15.75" customHeight="1" s="58">
      <c r="A559" s="65" t="n"/>
      <c r="B559" s="65" t="n"/>
      <c r="C559" s="66" t="n"/>
      <c r="D559" s="66" t="n"/>
      <c r="E559" s="65" t="n"/>
      <c r="F559" s="65" t="n"/>
      <c r="G559" s="65" t="n"/>
      <c r="H559" s="65" t="n"/>
      <c r="I559" s="65" t="n"/>
      <c r="J559" s="65" t="n"/>
      <c r="K559" s="65" t="n"/>
      <c r="L559" s="65" t="n"/>
      <c r="M559" s="65" t="n"/>
      <c r="N559" s="65" t="n"/>
      <c r="O559" s="65" t="n"/>
      <c r="P559" s="65" t="n"/>
      <c r="Q559" s="65" t="n"/>
      <c r="R559" s="65" t="n"/>
      <c r="S559" s="65" t="n"/>
      <c r="T559" s="65" t="n"/>
      <c r="U559" s="65" t="n"/>
      <c r="V559" s="65" t="n"/>
      <c r="W559" s="65" t="n"/>
      <c r="X559" s="65" t="n"/>
      <c r="Y559" s="32">
        <f>IF($C559="","",IF(COUNTA($I559:$K559)&lt;3,"— חסרים נתונים",IF(AND($I559="תקין",$J559="תקין",$K559="תקין"),"רהוטה",IF(AND($I559="תקין",$J559="תקין"),"מדויקת ורציפה","אינה מדויקת או מקוטעת"))))</f>
        <v/>
      </c>
      <c r="Z559" s="32">
        <f>IF($C559="","",IF(COUNTA($U559:$W559)&lt;3,"",IF(AND($U559="מפותח",$V559="מפותח",$W559="מפותחת"),"מפותחת",IF((--($U559="דל"))+(--($V559="אינו מפותח"))+(--($W559="דלה"))&gt;=2,"אינה מפותחת","חלקית"))))</f>
        <v/>
      </c>
      <c r="AA559" s="32">
        <f>IF($C559="","",IF(COUNTA($M559,$N559,$O559)&lt;3,"— חסרים נתונים",IF(OR($M559="נמוכה",(--($M559&lt;&gt;"תקינה"))+(--($N559&lt;&gt;"תקין"))+(--($O559&lt;&gt;"תקינה"))&gt;=2),"ניכרת","אינה ניכרת")))</f>
        <v/>
      </c>
      <c r="AB559" s="32">
        <f>IF(OR($C559="",$Y559="",$AA559="",LEFT($Y559,1)="—",LEFT($AA559,1)="—"),"",IF($Z559="","— נדרשת הערכת כתיבה",IF($L559="","— חסרה הבנת הנקרא",IF($Y559="אינה מדויקת או מקוטעת",IF($AA559="ניכרת","מיקוד בשטף הקריאה ובכישורי שפה","מיקוד בשטף קריאה"),IF($AA559="ניכרת","מיקוד בכישורי שפה",IF(AND($L559="תקינה",$Z559="מפותחת"),"קוראים וכותבים מיומנים","מיקוד בהבנה והבעה"))))))</f>
        <v/>
      </c>
      <c r="AC559" s="32">
        <f>IF(OR($AB559="",LEFT($AB559,1)="—"),"",IF(OR($AB559="מיקוד בשטף קריאה",$AB559="מיקוד בשטף הקריאה ובכישורי שפה"),"רמה א'",IF($AB559="קוראים וכותבים מיומנים","רמה ג'","רמה ב'")))</f>
        <v/>
      </c>
      <c r="AD559" s="32">
        <f>IF($AC559="","",MID(IF(AND($AC559="רמה א'",$AA559="ניכרת"),"; להוסיף עבודת אוצר מילים","")&amp;IF($Z559="אינה מפותחת","; דגש על הבעה בכתב","")&amp;IF($K559&lt;&gt;"תקין","; נדרש לעבוד על ההנגנה","")&amp;IF($AK559&lt;&gt;"","; "&amp;$AK559,""),3,400))</f>
        <v/>
      </c>
      <c r="AE559" s="32">
        <f>IF($F559="","",IF($F559="תחילת שנה",1,IF($F559="מחצית שנה",2,3)))</f>
        <v/>
      </c>
      <c r="AF559" s="32">
        <f>IF(OR($B559="",$AC559="",$A559="",$F559=""),"",$B559&amp;"|"&amp;$A559&amp;"|"&amp;$F559&amp;"|"&amp;$AC559&amp;"|"&amp;COUNTIFS($B$6:$B559,$B559,$A$6:$A559,$A559,$F$6:$F559,$F559,$AC$6:$AC559,$AC559))</f>
        <v/>
      </c>
      <c r="AG559" s="32">
        <f>IF($C559="","",$C559&amp;"|"&amp;COUNTIFS($C$6:$C559,$C559))</f>
        <v/>
      </c>
      <c r="AH559" s="32">
        <f>IF(OR($C559="",$A559="",$AE559=""),"",$C559&amp;"|"&amp;$A559&amp;"|"&amp;$AE559)</f>
        <v/>
      </c>
      <c r="AI559" s="32">
        <f>IF(OR($C559="",$AE559="",$AE559=1),"",IFERROR(INDEX($AC$6:$AC$1505,MATCH($C559&amp;"|"&amp;$A559&amp;"|"&amp;($AE559-1),$AH$6:$AH$1505,0)),""))</f>
        <v/>
      </c>
      <c r="AJ559" s="32">
        <f>IF(OR($AI559="",$AC559=""),"",IF($AI559=$AC559,"ללא שינוי","מ-"&amp;$AI559&amp;" ל-"&amp;$AC559))</f>
        <v/>
      </c>
      <c r="AK559" s="67" t="n"/>
    </row>
    <row r="560" ht="15.75" customHeight="1" s="58">
      <c r="A560" s="65" t="n"/>
      <c r="B560" s="65" t="n"/>
      <c r="C560" s="66" t="n"/>
      <c r="D560" s="66" t="n"/>
      <c r="E560" s="65" t="n"/>
      <c r="F560" s="65" t="n"/>
      <c r="G560" s="65" t="n"/>
      <c r="H560" s="65" t="n"/>
      <c r="I560" s="65" t="n"/>
      <c r="J560" s="65" t="n"/>
      <c r="K560" s="65" t="n"/>
      <c r="L560" s="65" t="n"/>
      <c r="M560" s="65" t="n"/>
      <c r="N560" s="65" t="n"/>
      <c r="O560" s="65" t="n"/>
      <c r="P560" s="65" t="n"/>
      <c r="Q560" s="65" t="n"/>
      <c r="R560" s="65" t="n"/>
      <c r="S560" s="65" t="n"/>
      <c r="T560" s="65" t="n"/>
      <c r="U560" s="65" t="n"/>
      <c r="V560" s="65" t="n"/>
      <c r="W560" s="65" t="n"/>
      <c r="X560" s="65" t="n"/>
      <c r="Y560" s="32">
        <f>IF($C560="","",IF(COUNTA($I560:$K560)&lt;3,"— חסרים נתונים",IF(AND($I560="תקין",$J560="תקין",$K560="תקין"),"רהוטה",IF(AND($I560="תקין",$J560="תקין"),"מדויקת ורציפה","אינה מדויקת או מקוטעת"))))</f>
        <v/>
      </c>
      <c r="Z560" s="32">
        <f>IF($C560="","",IF(COUNTA($U560:$W560)&lt;3,"",IF(AND($U560="מפותח",$V560="מפותח",$W560="מפותחת"),"מפותחת",IF((--($U560="דל"))+(--($V560="אינו מפותח"))+(--($W560="דלה"))&gt;=2,"אינה מפותחת","חלקית"))))</f>
        <v/>
      </c>
      <c r="AA560" s="32">
        <f>IF($C560="","",IF(COUNTA($M560,$N560,$O560)&lt;3,"— חסרים נתונים",IF(OR($M560="נמוכה",(--($M560&lt;&gt;"תקינה"))+(--($N560&lt;&gt;"תקין"))+(--($O560&lt;&gt;"תקינה"))&gt;=2),"ניכרת","אינה ניכרת")))</f>
        <v/>
      </c>
      <c r="AB560" s="32">
        <f>IF(OR($C560="",$Y560="",$AA560="",LEFT($Y560,1)="—",LEFT($AA560,1)="—"),"",IF($Z560="","— נדרשת הערכת כתיבה",IF($L560="","— חסרה הבנת הנקרא",IF($Y560="אינה מדויקת או מקוטעת",IF($AA560="ניכרת","מיקוד בשטף הקריאה ובכישורי שפה","מיקוד בשטף קריאה"),IF($AA560="ניכרת","מיקוד בכישורי שפה",IF(AND($L560="תקינה",$Z560="מפותחת"),"קוראים וכותבים מיומנים","מיקוד בהבנה והבעה"))))))</f>
        <v/>
      </c>
      <c r="AC560" s="32">
        <f>IF(OR($AB560="",LEFT($AB560,1)="—"),"",IF(OR($AB560="מיקוד בשטף קריאה",$AB560="מיקוד בשטף הקריאה ובכישורי שפה"),"רמה א'",IF($AB560="קוראים וכותבים מיומנים","רמה ג'","רמה ב'")))</f>
        <v/>
      </c>
      <c r="AD560" s="32">
        <f>IF($AC560="","",MID(IF(AND($AC560="רמה א'",$AA560="ניכרת"),"; להוסיף עבודת אוצר מילים","")&amp;IF($Z560="אינה מפותחת","; דגש על הבעה בכתב","")&amp;IF($K560&lt;&gt;"תקין","; נדרש לעבוד על ההנגנה","")&amp;IF($AK560&lt;&gt;"","; "&amp;$AK560,""),3,400))</f>
        <v/>
      </c>
      <c r="AE560" s="32">
        <f>IF($F560="","",IF($F560="תחילת שנה",1,IF($F560="מחצית שנה",2,3)))</f>
        <v/>
      </c>
      <c r="AF560" s="32">
        <f>IF(OR($B560="",$AC560="",$A560="",$F560=""),"",$B560&amp;"|"&amp;$A560&amp;"|"&amp;$F560&amp;"|"&amp;$AC560&amp;"|"&amp;COUNTIFS($B$6:$B560,$B560,$A$6:$A560,$A560,$F$6:$F560,$F560,$AC$6:$AC560,$AC560))</f>
        <v/>
      </c>
      <c r="AG560" s="32">
        <f>IF($C560="","",$C560&amp;"|"&amp;COUNTIFS($C$6:$C560,$C560))</f>
        <v/>
      </c>
      <c r="AH560" s="32">
        <f>IF(OR($C560="",$A560="",$AE560=""),"",$C560&amp;"|"&amp;$A560&amp;"|"&amp;$AE560)</f>
        <v/>
      </c>
      <c r="AI560" s="32">
        <f>IF(OR($C560="",$AE560="",$AE560=1),"",IFERROR(INDEX($AC$6:$AC$1505,MATCH($C560&amp;"|"&amp;$A560&amp;"|"&amp;($AE560-1),$AH$6:$AH$1505,0)),""))</f>
        <v/>
      </c>
      <c r="AJ560" s="32">
        <f>IF(OR($AI560="",$AC560=""),"",IF($AI560=$AC560,"ללא שינוי","מ-"&amp;$AI560&amp;" ל-"&amp;$AC560))</f>
        <v/>
      </c>
      <c r="AK560" s="67" t="n"/>
    </row>
    <row r="561" ht="15.75" customHeight="1" s="58">
      <c r="A561" s="65" t="n"/>
      <c r="B561" s="65" t="n"/>
      <c r="C561" s="66" t="n"/>
      <c r="D561" s="66" t="n"/>
      <c r="E561" s="65" t="n"/>
      <c r="F561" s="65" t="n"/>
      <c r="G561" s="65" t="n"/>
      <c r="H561" s="65" t="n"/>
      <c r="I561" s="65" t="n"/>
      <c r="J561" s="65" t="n"/>
      <c r="K561" s="65" t="n"/>
      <c r="L561" s="65" t="n"/>
      <c r="M561" s="65" t="n"/>
      <c r="N561" s="65" t="n"/>
      <c r="O561" s="65" t="n"/>
      <c r="P561" s="65" t="n"/>
      <c r="Q561" s="65" t="n"/>
      <c r="R561" s="65" t="n"/>
      <c r="S561" s="65" t="n"/>
      <c r="T561" s="65" t="n"/>
      <c r="U561" s="65" t="n"/>
      <c r="V561" s="65" t="n"/>
      <c r="W561" s="65" t="n"/>
      <c r="X561" s="65" t="n"/>
      <c r="Y561" s="32">
        <f>IF($C561="","",IF(COUNTA($I561:$K561)&lt;3,"— חסרים נתונים",IF(AND($I561="תקין",$J561="תקין",$K561="תקין"),"רהוטה",IF(AND($I561="תקין",$J561="תקין"),"מדויקת ורציפה","אינה מדויקת או מקוטעת"))))</f>
        <v/>
      </c>
      <c r="Z561" s="32">
        <f>IF($C561="","",IF(COUNTA($U561:$W561)&lt;3,"",IF(AND($U561="מפותח",$V561="מפותח",$W561="מפותחת"),"מפותחת",IF((--($U561="דל"))+(--($V561="אינו מפותח"))+(--($W561="דלה"))&gt;=2,"אינה מפותחת","חלקית"))))</f>
        <v/>
      </c>
      <c r="AA561" s="32">
        <f>IF($C561="","",IF(COUNTA($M561,$N561,$O561)&lt;3,"— חסרים נתונים",IF(OR($M561="נמוכה",(--($M561&lt;&gt;"תקינה"))+(--($N561&lt;&gt;"תקין"))+(--($O561&lt;&gt;"תקינה"))&gt;=2),"ניכרת","אינה ניכרת")))</f>
        <v/>
      </c>
      <c r="AB561" s="32">
        <f>IF(OR($C561="",$Y561="",$AA561="",LEFT($Y561,1)="—",LEFT($AA561,1)="—"),"",IF($Z561="","— נדרשת הערכת כתיבה",IF($L561="","— חסרה הבנת הנקרא",IF($Y561="אינה מדויקת או מקוטעת",IF($AA561="ניכרת","מיקוד בשטף הקריאה ובכישורי שפה","מיקוד בשטף קריאה"),IF($AA561="ניכרת","מיקוד בכישורי שפה",IF(AND($L561="תקינה",$Z561="מפותחת"),"קוראים וכותבים מיומנים","מיקוד בהבנה והבעה"))))))</f>
        <v/>
      </c>
      <c r="AC561" s="32">
        <f>IF(OR($AB561="",LEFT($AB561,1)="—"),"",IF(OR($AB561="מיקוד בשטף קריאה",$AB561="מיקוד בשטף הקריאה ובכישורי שפה"),"רמה א'",IF($AB561="קוראים וכותבים מיומנים","רמה ג'","רמה ב'")))</f>
        <v/>
      </c>
      <c r="AD561" s="32">
        <f>IF($AC561="","",MID(IF(AND($AC561="רמה א'",$AA561="ניכרת"),"; להוסיף עבודת אוצר מילים","")&amp;IF($Z561="אינה מפותחת","; דגש על הבעה בכתב","")&amp;IF($K561&lt;&gt;"תקין","; נדרש לעבוד על ההנגנה","")&amp;IF($AK561&lt;&gt;"","; "&amp;$AK561,""),3,400))</f>
        <v/>
      </c>
      <c r="AE561" s="32">
        <f>IF($F561="","",IF($F561="תחילת שנה",1,IF($F561="מחצית שנה",2,3)))</f>
        <v/>
      </c>
      <c r="AF561" s="32">
        <f>IF(OR($B561="",$AC561="",$A561="",$F561=""),"",$B561&amp;"|"&amp;$A561&amp;"|"&amp;$F561&amp;"|"&amp;$AC561&amp;"|"&amp;COUNTIFS($B$6:$B561,$B561,$A$6:$A561,$A561,$F$6:$F561,$F561,$AC$6:$AC561,$AC561))</f>
        <v/>
      </c>
      <c r="AG561" s="32">
        <f>IF($C561="","",$C561&amp;"|"&amp;COUNTIFS($C$6:$C561,$C561))</f>
        <v/>
      </c>
      <c r="AH561" s="32">
        <f>IF(OR($C561="",$A561="",$AE561=""),"",$C561&amp;"|"&amp;$A561&amp;"|"&amp;$AE561)</f>
        <v/>
      </c>
      <c r="AI561" s="32">
        <f>IF(OR($C561="",$AE561="",$AE561=1),"",IFERROR(INDEX($AC$6:$AC$1505,MATCH($C561&amp;"|"&amp;$A561&amp;"|"&amp;($AE561-1),$AH$6:$AH$1505,0)),""))</f>
        <v/>
      </c>
      <c r="AJ561" s="32">
        <f>IF(OR($AI561="",$AC561=""),"",IF($AI561=$AC561,"ללא שינוי","מ-"&amp;$AI561&amp;" ל-"&amp;$AC561))</f>
        <v/>
      </c>
      <c r="AK561" s="67" t="n"/>
    </row>
    <row r="562" ht="15.75" customHeight="1" s="58">
      <c r="A562" s="65" t="n"/>
      <c r="B562" s="65" t="n"/>
      <c r="C562" s="66" t="n"/>
      <c r="D562" s="66" t="n"/>
      <c r="E562" s="65" t="n"/>
      <c r="F562" s="65" t="n"/>
      <c r="G562" s="65" t="n"/>
      <c r="H562" s="65" t="n"/>
      <c r="I562" s="65" t="n"/>
      <c r="J562" s="65" t="n"/>
      <c r="K562" s="65" t="n"/>
      <c r="L562" s="65" t="n"/>
      <c r="M562" s="65" t="n"/>
      <c r="N562" s="65" t="n"/>
      <c r="O562" s="65" t="n"/>
      <c r="P562" s="65" t="n"/>
      <c r="Q562" s="65" t="n"/>
      <c r="R562" s="65" t="n"/>
      <c r="S562" s="65" t="n"/>
      <c r="T562" s="65" t="n"/>
      <c r="U562" s="65" t="n"/>
      <c r="V562" s="65" t="n"/>
      <c r="W562" s="65" t="n"/>
      <c r="X562" s="65" t="n"/>
      <c r="Y562" s="32">
        <f>IF($C562="","",IF(COUNTA($I562:$K562)&lt;3,"— חסרים נתונים",IF(AND($I562="תקין",$J562="תקין",$K562="תקין"),"רהוטה",IF(AND($I562="תקין",$J562="תקין"),"מדויקת ורציפה","אינה מדויקת או מקוטעת"))))</f>
        <v/>
      </c>
      <c r="Z562" s="32">
        <f>IF($C562="","",IF(COUNTA($U562:$W562)&lt;3,"",IF(AND($U562="מפותח",$V562="מפותח",$W562="מפותחת"),"מפותחת",IF((--($U562="דל"))+(--($V562="אינו מפותח"))+(--($W562="דלה"))&gt;=2,"אינה מפותחת","חלקית"))))</f>
        <v/>
      </c>
      <c r="AA562" s="32">
        <f>IF($C562="","",IF(COUNTA($M562,$N562,$O562)&lt;3,"— חסרים נתונים",IF(OR($M562="נמוכה",(--($M562&lt;&gt;"תקינה"))+(--($N562&lt;&gt;"תקין"))+(--($O562&lt;&gt;"תקינה"))&gt;=2),"ניכרת","אינה ניכרת")))</f>
        <v/>
      </c>
      <c r="AB562" s="32">
        <f>IF(OR($C562="",$Y562="",$AA562="",LEFT($Y562,1)="—",LEFT($AA562,1)="—"),"",IF($Z562="","— נדרשת הערכת כתיבה",IF($L562="","— חסרה הבנת הנקרא",IF($Y562="אינה מדויקת או מקוטעת",IF($AA562="ניכרת","מיקוד בשטף הקריאה ובכישורי שפה","מיקוד בשטף קריאה"),IF($AA562="ניכרת","מיקוד בכישורי שפה",IF(AND($L562="תקינה",$Z562="מפותחת"),"קוראים וכותבים מיומנים","מיקוד בהבנה והבעה"))))))</f>
        <v/>
      </c>
      <c r="AC562" s="32">
        <f>IF(OR($AB562="",LEFT($AB562,1)="—"),"",IF(OR($AB562="מיקוד בשטף קריאה",$AB562="מיקוד בשטף הקריאה ובכישורי שפה"),"רמה א'",IF($AB562="קוראים וכותבים מיומנים","רמה ג'","רמה ב'")))</f>
        <v/>
      </c>
      <c r="AD562" s="32">
        <f>IF($AC562="","",MID(IF(AND($AC562="רמה א'",$AA562="ניכרת"),"; להוסיף עבודת אוצר מילים","")&amp;IF($Z562="אינה מפותחת","; דגש על הבעה בכתב","")&amp;IF($K562&lt;&gt;"תקין","; נדרש לעבוד על ההנגנה","")&amp;IF($AK562&lt;&gt;"","; "&amp;$AK562,""),3,400))</f>
        <v/>
      </c>
      <c r="AE562" s="32">
        <f>IF($F562="","",IF($F562="תחילת שנה",1,IF($F562="מחצית שנה",2,3)))</f>
        <v/>
      </c>
      <c r="AF562" s="32">
        <f>IF(OR($B562="",$AC562="",$A562="",$F562=""),"",$B562&amp;"|"&amp;$A562&amp;"|"&amp;$F562&amp;"|"&amp;$AC562&amp;"|"&amp;COUNTIFS($B$6:$B562,$B562,$A$6:$A562,$A562,$F$6:$F562,$F562,$AC$6:$AC562,$AC562))</f>
        <v/>
      </c>
      <c r="AG562" s="32">
        <f>IF($C562="","",$C562&amp;"|"&amp;COUNTIFS($C$6:$C562,$C562))</f>
        <v/>
      </c>
      <c r="AH562" s="32">
        <f>IF(OR($C562="",$A562="",$AE562=""),"",$C562&amp;"|"&amp;$A562&amp;"|"&amp;$AE562)</f>
        <v/>
      </c>
      <c r="AI562" s="32">
        <f>IF(OR($C562="",$AE562="",$AE562=1),"",IFERROR(INDEX($AC$6:$AC$1505,MATCH($C562&amp;"|"&amp;$A562&amp;"|"&amp;($AE562-1),$AH$6:$AH$1505,0)),""))</f>
        <v/>
      </c>
      <c r="AJ562" s="32">
        <f>IF(OR($AI562="",$AC562=""),"",IF($AI562=$AC562,"ללא שינוי","מ-"&amp;$AI562&amp;" ל-"&amp;$AC562))</f>
        <v/>
      </c>
      <c r="AK562" s="67" t="n"/>
    </row>
    <row r="563" ht="15.75" customHeight="1" s="58">
      <c r="A563" s="65" t="n"/>
      <c r="B563" s="65" t="n"/>
      <c r="C563" s="66" t="n"/>
      <c r="D563" s="66" t="n"/>
      <c r="E563" s="65" t="n"/>
      <c r="F563" s="65" t="n"/>
      <c r="G563" s="65" t="n"/>
      <c r="H563" s="65" t="n"/>
      <c r="I563" s="65" t="n"/>
      <c r="J563" s="65" t="n"/>
      <c r="K563" s="65" t="n"/>
      <c r="L563" s="65" t="n"/>
      <c r="M563" s="65" t="n"/>
      <c r="N563" s="65" t="n"/>
      <c r="O563" s="65" t="n"/>
      <c r="P563" s="65" t="n"/>
      <c r="Q563" s="65" t="n"/>
      <c r="R563" s="65" t="n"/>
      <c r="S563" s="65" t="n"/>
      <c r="T563" s="65" t="n"/>
      <c r="U563" s="65" t="n"/>
      <c r="V563" s="65" t="n"/>
      <c r="W563" s="65" t="n"/>
      <c r="X563" s="65" t="n"/>
      <c r="Y563" s="32">
        <f>IF($C563="","",IF(COUNTA($I563:$K563)&lt;3,"— חסרים נתונים",IF(AND($I563="תקין",$J563="תקין",$K563="תקין"),"רהוטה",IF(AND($I563="תקין",$J563="תקין"),"מדויקת ורציפה","אינה מדויקת או מקוטעת"))))</f>
        <v/>
      </c>
      <c r="Z563" s="32">
        <f>IF($C563="","",IF(COUNTA($U563:$W563)&lt;3,"",IF(AND($U563="מפותח",$V563="מפותח",$W563="מפותחת"),"מפותחת",IF((--($U563="דל"))+(--($V563="אינו מפותח"))+(--($W563="דלה"))&gt;=2,"אינה מפותחת","חלקית"))))</f>
        <v/>
      </c>
      <c r="AA563" s="32">
        <f>IF($C563="","",IF(COUNTA($M563,$N563,$O563)&lt;3,"— חסרים נתונים",IF(OR($M563="נמוכה",(--($M563&lt;&gt;"תקינה"))+(--($N563&lt;&gt;"תקין"))+(--($O563&lt;&gt;"תקינה"))&gt;=2),"ניכרת","אינה ניכרת")))</f>
        <v/>
      </c>
      <c r="AB563" s="32">
        <f>IF(OR($C563="",$Y563="",$AA563="",LEFT($Y563,1)="—",LEFT($AA563,1)="—"),"",IF($Z563="","— נדרשת הערכת כתיבה",IF($L563="","— חסרה הבנת הנקרא",IF($Y563="אינה מדויקת או מקוטעת",IF($AA563="ניכרת","מיקוד בשטף הקריאה ובכישורי שפה","מיקוד בשטף קריאה"),IF($AA563="ניכרת","מיקוד בכישורי שפה",IF(AND($L563="תקינה",$Z563="מפותחת"),"קוראים וכותבים מיומנים","מיקוד בהבנה והבעה"))))))</f>
        <v/>
      </c>
      <c r="AC563" s="32">
        <f>IF(OR($AB563="",LEFT($AB563,1)="—"),"",IF(OR($AB563="מיקוד בשטף קריאה",$AB563="מיקוד בשטף הקריאה ובכישורי שפה"),"רמה א'",IF($AB563="קוראים וכותבים מיומנים","רמה ג'","רמה ב'")))</f>
        <v/>
      </c>
      <c r="AD563" s="32">
        <f>IF($AC563="","",MID(IF(AND($AC563="רמה א'",$AA563="ניכרת"),"; להוסיף עבודת אוצר מילים","")&amp;IF($Z563="אינה מפותחת","; דגש על הבעה בכתב","")&amp;IF($K563&lt;&gt;"תקין","; נדרש לעבוד על ההנגנה","")&amp;IF($AK563&lt;&gt;"","; "&amp;$AK563,""),3,400))</f>
        <v/>
      </c>
      <c r="AE563" s="32">
        <f>IF($F563="","",IF($F563="תחילת שנה",1,IF($F563="מחצית שנה",2,3)))</f>
        <v/>
      </c>
      <c r="AF563" s="32">
        <f>IF(OR($B563="",$AC563="",$A563="",$F563=""),"",$B563&amp;"|"&amp;$A563&amp;"|"&amp;$F563&amp;"|"&amp;$AC563&amp;"|"&amp;COUNTIFS($B$6:$B563,$B563,$A$6:$A563,$A563,$F$6:$F563,$F563,$AC$6:$AC563,$AC563))</f>
        <v/>
      </c>
      <c r="AG563" s="32">
        <f>IF($C563="","",$C563&amp;"|"&amp;COUNTIFS($C$6:$C563,$C563))</f>
        <v/>
      </c>
      <c r="AH563" s="32">
        <f>IF(OR($C563="",$A563="",$AE563=""),"",$C563&amp;"|"&amp;$A563&amp;"|"&amp;$AE563)</f>
        <v/>
      </c>
      <c r="AI563" s="32">
        <f>IF(OR($C563="",$AE563="",$AE563=1),"",IFERROR(INDEX($AC$6:$AC$1505,MATCH($C563&amp;"|"&amp;$A563&amp;"|"&amp;($AE563-1),$AH$6:$AH$1505,0)),""))</f>
        <v/>
      </c>
      <c r="AJ563" s="32">
        <f>IF(OR($AI563="",$AC563=""),"",IF($AI563=$AC563,"ללא שינוי","מ-"&amp;$AI563&amp;" ל-"&amp;$AC563))</f>
        <v/>
      </c>
      <c r="AK563" s="67" t="n"/>
    </row>
    <row r="564" ht="15.75" customHeight="1" s="58">
      <c r="A564" s="65" t="n"/>
      <c r="B564" s="65" t="n"/>
      <c r="C564" s="66" t="n"/>
      <c r="D564" s="66" t="n"/>
      <c r="E564" s="65" t="n"/>
      <c r="F564" s="65" t="n"/>
      <c r="G564" s="65" t="n"/>
      <c r="H564" s="65" t="n"/>
      <c r="I564" s="65" t="n"/>
      <c r="J564" s="65" t="n"/>
      <c r="K564" s="65" t="n"/>
      <c r="L564" s="65" t="n"/>
      <c r="M564" s="65" t="n"/>
      <c r="N564" s="65" t="n"/>
      <c r="O564" s="65" t="n"/>
      <c r="P564" s="65" t="n"/>
      <c r="Q564" s="65" t="n"/>
      <c r="R564" s="65" t="n"/>
      <c r="S564" s="65" t="n"/>
      <c r="T564" s="65" t="n"/>
      <c r="U564" s="65" t="n"/>
      <c r="V564" s="65" t="n"/>
      <c r="W564" s="65" t="n"/>
      <c r="X564" s="65" t="n"/>
      <c r="Y564" s="32">
        <f>IF($C564="","",IF(COUNTA($I564:$K564)&lt;3,"— חסרים נתונים",IF(AND($I564="תקין",$J564="תקין",$K564="תקין"),"רהוטה",IF(AND($I564="תקין",$J564="תקין"),"מדויקת ורציפה","אינה מדויקת או מקוטעת"))))</f>
        <v/>
      </c>
      <c r="Z564" s="32">
        <f>IF($C564="","",IF(COUNTA($U564:$W564)&lt;3,"",IF(AND($U564="מפותח",$V564="מפותח",$W564="מפותחת"),"מפותחת",IF((--($U564="דל"))+(--($V564="אינו מפותח"))+(--($W564="דלה"))&gt;=2,"אינה מפותחת","חלקית"))))</f>
        <v/>
      </c>
      <c r="AA564" s="32">
        <f>IF($C564="","",IF(COUNTA($M564,$N564,$O564)&lt;3,"— חסרים נתונים",IF(OR($M564="נמוכה",(--($M564&lt;&gt;"תקינה"))+(--($N564&lt;&gt;"תקין"))+(--($O564&lt;&gt;"תקינה"))&gt;=2),"ניכרת","אינה ניכרת")))</f>
        <v/>
      </c>
      <c r="AB564" s="32">
        <f>IF(OR($C564="",$Y564="",$AA564="",LEFT($Y564,1)="—",LEFT($AA564,1)="—"),"",IF($Z564="","— נדרשת הערכת כתיבה",IF($L564="","— חסרה הבנת הנקרא",IF($Y564="אינה מדויקת או מקוטעת",IF($AA564="ניכרת","מיקוד בשטף הקריאה ובכישורי שפה","מיקוד בשטף קריאה"),IF($AA564="ניכרת","מיקוד בכישורי שפה",IF(AND($L564="תקינה",$Z564="מפותחת"),"קוראים וכותבים מיומנים","מיקוד בהבנה והבעה"))))))</f>
        <v/>
      </c>
      <c r="AC564" s="32">
        <f>IF(OR($AB564="",LEFT($AB564,1)="—"),"",IF(OR($AB564="מיקוד בשטף קריאה",$AB564="מיקוד בשטף הקריאה ובכישורי שפה"),"רמה א'",IF($AB564="קוראים וכותבים מיומנים","רמה ג'","רמה ב'")))</f>
        <v/>
      </c>
      <c r="AD564" s="32">
        <f>IF($AC564="","",MID(IF(AND($AC564="רמה א'",$AA564="ניכרת"),"; להוסיף עבודת אוצר מילים","")&amp;IF($Z564="אינה מפותחת","; דגש על הבעה בכתב","")&amp;IF($K564&lt;&gt;"תקין","; נדרש לעבוד על ההנגנה","")&amp;IF($AK564&lt;&gt;"","; "&amp;$AK564,""),3,400))</f>
        <v/>
      </c>
      <c r="AE564" s="32">
        <f>IF($F564="","",IF($F564="תחילת שנה",1,IF($F564="מחצית שנה",2,3)))</f>
        <v/>
      </c>
      <c r="AF564" s="32">
        <f>IF(OR($B564="",$AC564="",$A564="",$F564=""),"",$B564&amp;"|"&amp;$A564&amp;"|"&amp;$F564&amp;"|"&amp;$AC564&amp;"|"&amp;COUNTIFS($B$6:$B564,$B564,$A$6:$A564,$A564,$F$6:$F564,$F564,$AC$6:$AC564,$AC564))</f>
        <v/>
      </c>
      <c r="AG564" s="32">
        <f>IF($C564="","",$C564&amp;"|"&amp;COUNTIFS($C$6:$C564,$C564))</f>
        <v/>
      </c>
      <c r="AH564" s="32">
        <f>IF(OR($C564="",$A564="",$AE564=""),"",$C564&amp;"|"&amp;$A564&amp;"|"&amp;$AE564)</f>
        <v/>
      </c>
      <c r="AI564" s="32">
        <f>IF(OR($C564="",$AE564="",$AE564=1),"",IFERROR(INDEX($AC$6:$AC$1505,MATCH($C564&amp;"|"&amp;$A564&amp;"|"&amp;($AE564-1),$AH$6:$AH$1505,0)),""))</f>
        <v/>
      </c>
      <c r="AJ564" s="32">
        <f>IF(OR($AI564="",$AC564=""),"",IF($AI564=$AC564,"ללא שינוי","מ-"&amp;$AI564&amp;" ל-"&amp;$AC564))</f>
        <v/>
      </c>
      <c r="AK564" s="67" t="n"/>
    </row>
    <row r="565" ht="15.75" customHeight="1" s="58">
      <c r="A565" s="65" t="n"/>
      <c r="B565" s="65" t="n"/>
      <c r="C565" s="66" t="n"/>
      <c r="D565" s="66" t="n"/>
      <c r="E565" s="65" t="n"/>
      <c r="F565" s="65" t="n"/>
      <c r="G565" s="65" t="n"/>
      <c r="H565" s="65" t="n"/>
      <c r="I565" s="65" t="n"/>
      <c r="J565" s="65" t="n"/>
      <c r="K565" s="65" t="n"/>
      <c r="L565" s="65" t="n"/>
      <c r="M565" s="65" t="n"/>
      <c r="N565" s="65" t="n"/>
      <c r="O565" s="65" t="n"/>
      <c r="P565" s="65" t="n"/>
      <c r="Q565" s="65" t="n"/>
      <c r="R565" s="65" t="n"/>
      <c r="S565" s="65" t="n"/>
      <c r="T565" s="65" t="n"/>
      <c r="U565" s="65" t="n"/>
      <c r="V565" s="65" t="n"/>
      <c r="W565" s="65" t="n"/>
      <c r="X565" s="65" t="n"/>
      <c r="Y565" s="32">
        <f>IF($C565="","",IF(COUNTA($I565:$K565)&lt;3,"— חסרים נתונים",IF(AND($I565="תקין",$J565="תקין",$K565="תקין"),"רהוטה",IF(AND($I565="תקין",$J565="תקין"),"מדויקת ורציפה","אינה מדויקת או מקוטעת"))))</f>
        <v/>
      </c>
      <c r="Z565" s="32">
        <f>IF($C565="","",IF(COUNTA($U565:$W565)&lt;3,"",IF(AND($U565="מפותח",$V565="מפותח",$W565="מפותחת"),"מפותחת",IF((--($U565="דל"))+(--($V565="אינו מפותח"))+(--($W565="דלה"))&gt;=2,"אינה מפותחת","חלקית"))))</f>
        <v/>
      </c>
      <c r="AA565" s="32">
        <f>IF($C565="","",IF(COUNTA($M565,$N565,$O565)&lt;3,"— חסרים נתונים",IF(OR($M565="נמוכה",(--($M565&lt;&gt;"תקינה"))+(--($N565&lt;&gt;"תקין"))+(--($O565&lt;&gt;"תקינה"))&gt;=2),"ניכרת","אינה ניכרת")))</f>
        <v/>
      </c>
      <c r="AB565" s="32">
        <f>IF(OR($C565="",$Y565="",$AA565="",LEFT($Y565,1)="—",LEFT($AA565,1)="—"),"",IF($Z565="","— נדרשת הערכת כתיבה",IF($L565="","— חסרה הבנת הנקרא",IF($Y565="אינה מדויקת או מקוטעת",IF($AA565="ניכרת","מיקוד בשטף הקריאה ובכישורי שפה","מיקוד בשטף קריאה"),IF($AA565="ניכרת","מיקוד בכישורי שפה",IF(AND($L565="תקינה",$Z565="מפותחת"),"קוראים וכותבים מיומנים","מיקוד בהבנה והבעה"))))))</f>
        <v/>
      </c>
      <c r="AC565" s="32">
        <f>IF(OR($AB565="",LEFT($AB565,1)="—"),"",IF(OR($AB565="מיקוד בשטף קריאה",$AB565="מיקוד בשטף הקריאה ובכישורי שפה"),"רמה א'",IF($AB565="קוראים וכותבים מיומנים","רמה ג'","רמה ב'")))</f>
        <v/>
      </c>
      <c r="AD565" s="32">
        <f>IF($AC565="","",MID(IF(AND($AC565="רמה א'",$AA565="ניכרת"),"; להוסיף עבודת אוצר מילים","")&amp;IF($Z565="אינה מפותחת","; דגש על הבעה בכתב","")&amp;IF($K565&lt;&gt;"תקין","; נדרש לעבוד על ההנגנה","")&amp;IF($AK565&lt;&gt;"","; "&amp;$AK565,""),3,400))</f>
        <v/>
      </c>
      <c r="AE565" s="32">
        <f>IF($F565="","",IF($F565="תחילת שנה",1,IF($F565="מחצית שנה",2,3)))</f>
        <v/>
      </c>
      <c r="AF565" s="32">
        <f>IF(OR($B565="",$AC565="",$A565="",$F565=""),"",$B565&amp;"|"&amp;$A565&amp;"|"&amp;$F565&amp;"|"&amp;$AC565&amp;"|"&amp;COUNTIFS($B$6:$B565,$B565,$A$6:$A565,$A565,$F$6:$F565,$F565,$AC$6:$AC565,$AC565))</f>
        <v/>
      </c>
      <c r="AG565" s="32">
        <f>IF($C565="","",$C565&amp;"|"&amp;COUNTIFS($C$6:$C565,$C565))</f>
        <v/>
      </c>
      <c r="AH565" s="32">
        <f>IF(OR($C565="",$A565="",$AE565=""),"",$C565&amp;"|"&amp;$A565&amp;"|"&amp;$AE565)</f>
        <v/>
      </c>
      <c r="AI565" s="32">
        <f>IF(OR($C565="",$AE565="",$AE565=1),"",IFERROR(INDEX($AC$6:$AC$1505,MATCH($C565&amp;"|"&amp;$A565&amp;"|"&amp;($AE565-1),$AH$6:$AH$1505,0)),""))</f>
        <v/>
      </c>
      <c r="AJ565" s="32">
        <f>IF(OR($AI565="",$AC565=""),"",IF($AI565=$AC565,"ללא שינוי","מ-"&amp;$AI565&amp;" ל-"&amp;$AC565))</f>
        <v/>
      </c>
      <c r="AK565" s="67" t="n"/>
    </row>
    <row r="566" ht="15.75" customHeight="1" s="58">
      <c r="A566" s="65" t="n"/>
      <c r="B566" s="65" t="n"/>
      <c r="C566" s="66" t="n"/>
      <c r="D566" s="66" t="n"/>
      <c r="E566" s="65" t="n"/>
      <c r="F566" s="65" t="n"/>
      <c r="G566" s="65" t="n"/>
      <c r="H566" s="65" t="n"/>
      <c r="I566" s="65" t="n"/>
      <c r="J566" s="65" t="n"/>
      <c r="K566" s="65" t="n"/>
      <c r="L566" s="65" t="n"/>
      <c r="M566" s="65" t="n"/>
      <c r="N566" s="65" t="n"/>
      <c r="O566" s="65" t="n"/>
      <c r="P566" s="65" t="n"/>
      <c r="Q566" s="65" t="n"/>
      <c r="R566" s="65" t="n"/>
      <c r="S566" s="65" t="n"/>
      <c r="T566" s="65" t="n"/>
      <c r="U566" s="65" t="n"/>
      <c r="V566" s="65" t="n"/>
      <c r="W566" s="65" t="n"/>
      <c r="X566" s="65" t="n"/>
      <c r="Y566" s="32">
        <f>IF($C566="","",IF(COUNTA($I566:$K566)&lt;3,"— חסרים נתונים",IF(AND($I566="תקין",$J566="תקין",$K566="תקין"),"רהוטה",IF(AND($I566="תקין",$J566="תקין"),"מדויקת ורציפה","אינה מדויקת או מקוטעת"))))</f>
        <v/>
      </c>
      <c r="Z566" s="32">
        <f>IF($C566="","",IF(COUNTA($U566:$W566)&lt;3,"",IF(AND($U566="מפותח",$V566="מפותח",$W566="מפותחת"),"מפותחת",IF((--($U566="דל"))+(--($V566="אינו מפותח"))+(--($W566="דלה"))&gt;=2,"אינה מפותחת","חלקית"))))</f>
        <v/>
      </c>
      <c r="AA566" s="32">
        <f>IF($C566="","",IF(COUNTA($M566,$N566,$O566)&lt;3,"— חסרים נתונים",IF(OR($M566="נמוכה",(--($M566&lt;&gt;"תקינה"))+(--($N566&lt;&gt;"תקין"))+(--($O566&lt;&gt;"תקינה"))&gt;=2),"ניכרת","אינה ניכרת")))</f>
        <v/>
      </c>
      <c r="AB566" s="32">
        <f>IF(OR($C566="",$Y566="",$AA566="",LEFT($Y566,1)="—",LEFT($AA566,1)="—"),"",IF($Z566="","— נדרשת הערכת כתיבה",IF($L566="","— חסרה הבנת הנקרא",IF($Y566="אינה מדויקת או מקוטעת",IF($AA566="ניכרת","מיקוד בשטף הקריאה ובכישורי שפה","מיקוד בשטף קריאה"),IF($AA566="ניכרת","מיקוד בכישורי שפה",IF(AND($L566="תקינה",$Z566="מפותחת"),"קוראים וכותבים מיומנים","מיקוד בהבנה והבעה"))))))</f>
        <v/>
      </c>
      <c r="AC566" s="32">
        <f>IF(OR($AB566="",LEFT($AB566,1)="—"),"",IF(OR($AB566="מיקוד בשטף קריאה",$AB566="מיקוד בשטף הקריאה ובכישורי שפה"),"רמה א'",IF($AB566="קוראים וכותבים מיומנים","רמה ג'","רמה ב'")))</f>
        <v/>
      </c>
      <c r="AD566" s="32">
        <f>IF($AC566="","",MID(IF(AND($AC566="רמה א'",$AA566="ניכרת"),"; להוסיף עבודת אוצר מילים","")&amp;IF($Z566="אינה מפותחת","; דגש על הבעה בכתב","")&amp;IF($K566&lt;&gt;"תקין","; נדרש לעבוד על ההנגנה","")&amp;IF($AK566&lt;&gt;"","; "&amp;$AK566,""),3,400))</f>
        <v/>
      </c>
      <c r="AE566" s="32">
        <f>IF($F566="","",IF($F566="תחילת שנה",1,IF($F566="מחצית שנה",2,3)))</f>
        <v/>
      </c>
      <c r="AF566" s="32">
        <f>IF(OR($B566="",$AC566="",$A566="",$F566=""),"",$B566&amp;"|"&amp;$A566&amp;"|"&amp;$F566&amp;"|"&amp;$AC566&amp;"|"&amp;COUNTIFS($B$6:$B566,$B566,$A$6:$A566,$A566,$F$6:$F566,$F566,$AC$6:$AC566,$AC566))</f>
        <v/>
      </c>
      <c r="AG566" s="32">
        <f>IF($C566="","",$C566&amp;"|"&amp;COUNTIFS($C$6:$C566,$C566))</f>
        <v/>
      </c>
      <c r="AH566" s="32">
        <f>IF(OR($C566="",$A566="",$AE566=""),"",$C566&amp;"|"&amp;$A566&amp;"|"&amp;$AE566)</f>
        <v/>
      </c>
      <c r="AI566" s="32">
        <f>IF(OR($C566="",$AE566="",$AE566=1),"",IFERROR(INDEX($AC$6:$AC$1505,MATCH($C566&amp;"|"&amp;$A566&amp;"|"&amp;($AE566-1),$AH$6:$AH$1505,0)),""))</f>
        <v/>
      </c>
      <c r="AJ566" s="32">
        <f>IF(OR($AI566="",$AC566=""),"",IF($AI566=$AC566,"ללא שינוי","מ-"&amp;$AI566&amp;" ל-"&amp;$AC566))</f>
        <v/>
      </c>
      <c r="AK566" s="67" t="n"/>
    </row>
    <row r="567" ht="15.75" customHeight="1" s="58">
      <c r="A567" s="65" t="n"/>
      <c r="B567" s="65" t="n"/>
      <c r="C567" s="66" t="n"/>
      <c r="D567" s="66" t="n"/>
      <c r="E567" s="65" t="n"/>
      <c r="F567" s="65" t="n"/>
      <c r="G567" s="65" t="n"/>
      <c r="H567" s="65" t="n"/>
      <c r="I567" s="65" t="n"/>
      <c r="J567" s="65" t="n"/>
      <c r="K567" s="65" t="n"/>
      <c r="L567" s="65" t="n"/>
      <c r="M567" s="65" t="n"/>
      <c r="N567" s="65" t="n"/>
      <c r="O567" s="65" t="n"/>
      <c r="P567" s="65" t="n"/>
      <c r="Q567" s="65" t="n"/>
      <c r="R567" s="65" t="n"/>
      <c r="S567" s="65" t="n"/>
      <c r="T567" s="65" t="n"/>
      <c r="U567" s="65" t="n"/>
      <c r="V567" s="65" t="n"/>
      <c r="W567" s="65" t="n"/>
      <c r="X567" s="65" t="n"/>
      <c r="Y567" s="32">
        <f>IF($C567="","",IF(COUNTA($I567:$K567)&lt;3,"— חסרים נתונים",IF(AND($I567="תקין",$J567="תקין",$K567="תקין"),"רהוטה",IF(AND($I567="תקין",$J567="תקין"),"מדויקת ורציפה","אינה מדויקת או מקוטעת"))))</f>
        <v/>
      </c>
      <c r="Z567" s="32">
        <f>IF($C567="","",IF(COUNTA($U567:$W567)&lt;3,"",IF(AND($U567="מפותח",$V567="מפותח",$W567="מפותחת"),"מפותחת",IF((--($U567="דל"))+(--($V567="אינו מפותח"))+(--($W567="דלה"))&gt;=2,"אינה מפותחת","חלקית"))))</f>
        <v/>
      </c>
      <c r="AA567" s="32">
        <f>IF($C567="","",IF(COUNTA($M567,$N567,$O567)&lt;3,"— חסרים נתונים",IF(OR($M567="נמוכה",(--($M567&lt;&gt;"תקינה"))+(--($N567&lt;&gt;"תקין"))+(--($O567&lt;&gt;"תקינה"))&gt;=2),"ניכרת","אינה ניכרת")))</f>
        <v/>
      </c>
      <c r="AB567" s="32">
        <f>IF(OR($C567="",$Y567="",$AA567="",LEFT($Y567,1)="—",LEFT($AA567,1)="—"),"",IF($Z567="","— נדרשת הערכת כתיבה",IF($L567="","— חסרה הבנת הנקרא",IF($Y567="אינה מדויקת או מקוטעת",IF($AA567="ניכרת","מיקוד בשטף הקריאה ובכישורי שפה","מיקוד בשטף קריאה"),IF($AA567="ניכרת","מיקוד בכישורי שפה",IF(AND($L567="תקינה",$Z567="מפותחת"),"קוראים וכותבים מיומנים","מיקוד בהבנה והבעה"))))))</f>
        <v/>
      </c>
      <c r="AC567" s="32">
        <f>IF(OR($AB567="",LEFT($AB567,1)="—"),"",IF(OR($AB567="מיקוד בשטף קריאה",$AB567="מיקוד בשטף הקריאה ובכישורי שפה"),"רמה א'",IF($AB567="קוראים וכותבים מיומנים","רמה ג'","רמה ב'")))</f>
        <v/>
      </c>
      <c r="AD567" s="32">
        <f>IF($AC567="","",MID(IF(AND($AC567="רמה א'",$AA567="ניכרת"),"; להוסיף עבודת אוצר מילים","")&amp;IF($Z567="אינה מפותחת","; דגש על הבעה בכתב","")&amp;IF($K567&lt;&gt;"תקין","; נדרש לעבוד על ההנגנה","")&amp;IF($AK567&lt;&gt;"","; "&amp;$AK567,""),3,400))</f>
        <v/>
      </c>
      <c r="AE567" s="32">
        <f>IF($F567="","",IF($F567="תחילת שנה",1,IF($F567="מחצית שנה",2,3)))</f>
        <v/>
      </c>
      <c r="AF567" s="32">
        <f>IF(OR($B567="",$AC567="",$A567="",$F567=""),"",$B567&amp;"|"&amp;$A567&amp;"|"&amp;$F567&amp;"|"&amp;$AC567&amp;"|"&amp;COUNTIFS($B$6:$B567,$B567,$A$6:$A567,$A567,$F$6:$F567,$F567,$AC$6:$AC567,$AC567))</f>
        <v/>
      </c>
      <c r="AG567" s="32">
        <f>IF($C567="","",$C567&amp;"|"&amp;COUNTIFS($C$6:$C567,$C567))</f>
        <v/>
      </c>
      <c r="AH567" s="32">
        <f>IF(OR($C567="",$A567="",$AE567=""),"",$C567&amp;"|"&amp;$A567&amp;"|"&amp;$AE567)</f>
        <v/>
      </c>
      <c r="AI567" s="32">
        <f>IF(OR($C567="",$AE567="",$AE567=1),"",IFERROR(INDEX($AC$6:$AC$1505,MATCH($C567&amp;"|"&amp;$A567&amp;"|"&amp;($AE567-1),$AH$6:$AH$1505,0)),""))</f>
        <v/>
      </c>
      <c r="AJ567" s="32">
        <f>IF(OR($AI567="",$AC567=""),"",IF($AI567=$AC567,"ללא שינוי","מ-"&amp;$AI567&amp;" ל-"&amp;$AC567))</f>
        <v/>
      </c>
      <c r="AK567" s="67" t="n"/>
    </row>
    <row r="568" ht="15.75" customHeight="1" s="58">
      <c r="A568" s="65" t="n"/>
      <c r="B568" s="65" t="n"/>
      <c r="C568" s="66" t="n"/>
      <c r="D568" s="66" t="n"/>
      <c r="E568" s="65" t="n"/>
      <c r="F568" s="65" t="n"/>
      <c r="G568" s="65" t="n"/>
      <c r="H568" s="65" t="n"/>
      <c r="I568" s="65" t="n"/>
      <c r="J568" s="65" t="n"/>
      <c r="K568" s="65" t="n"/>
      <c r="L568" s="65" t="n"/>
      <c r="M568" s="65" t="n"/>
      <c r="N568" s="65" t="n"/>
      <c r="O568" s="65" t="n"/>
      <c r="P568" s="65" t="n"/>
      <c r="Q568" s="65" t="n"/>
      <c r="R568" s="65" t="n"/>
      <c r="S568" s="65" t="n"/>
      <c r="T568" s="65" t="n"/>
      <c r="U568" s="65" t="n"/>
      <c r="V568" s="65" t="n"/>
      <c r="W568" s="65" t="n"/>
      <c r="X568" s="65" t="n"/>
      <c r="Y568" s="32">
        <f>IF($C568="","",IF(COUNTA($I568:$K568)&lt;3,"— חסרים נתונים",IF(AND($I568="תקין",$J568="תקין",$K568="תקין"),"רהוטה",IF(AND($I568="תקין",$J568="תקין"),"מדויקת ורציפה","אינה מדויקת או מקוטעת"))))</f>
        <v/>
      </c>
      <c r="Z568" s="32">
        <f>IF($C568="","",IF(COUNTA($U568:$W568)&lt;3,"",IF(AND($U568="מפותח",$V568="מפותח",$W568="מפותחת"),"מפותחת",IF((--($U568="דל"))+(--($V568="אינו מפותח"))+(--($W568="דלה"))&gt;=2,"אינה מפותחת","חלקית"))))</f>
        <v/>
      </c>
      <c r="AA568" s="32">
        <f>IF($C568="","",IF(COUNTA($M568,$N568,$O568)&lt;3,"— חסרים נתונים",IF(OR($M568="נמוכה",(--($M568&lt;&gt;"תקינה"))+(--($N568&lt;&gt;"תקין"))+(--($O568&lt;&gt;"תקינה"))&gt;=2),"ניכרת","אינה ניכרת")))</f>
        <v/>
      </c>
      <c r="AB568" s="32">
        <f>IF(OR($C568="",$Y568="",$AA568="",LEFT($Y568,1)="—",LEFT($AA568,1)="—"),"",IF($Z568="","— נדרשת הערכת כתיבה",IF($L568="","— חסרה הבנת הנקרא",IF($Y568="אינה מדויקת או מקוטעת",IF($AA568="ניכרת","מיקוד בשטף הקריאה ובכישורי שפה","מיקוד בשטף קריאה"),IF($AA568="ניכרת","מיקוד בכישורי שפה",IF(AND($L568="תקינה",$Z568="מפותחת"),"קוראים וכותבים מיומנים","מיקוד בהבנה והבעה"))))))</f>
        <v/>
      </c>
      <c r="AC568" s="32">
        <f>IF(OR($AB568="",LEFT($AB568,1)="—"),"",IF(OR($AB568="מיקוד בשטף קריאה",$AB568="מיקוד בשטף הקריאה ובכישורי שפה"),"רמה א'",IF($AB568="קוראים וכותבים מיומנים","רמה ג'","רמה ב'")))</f>
        <v/>
      </c>
      <c r="AD568" s="32">
        <f>IF($AC568="","",MID(IF(AND($AC568="רמה א'",$AA568="ניכרת"),"; להוסיף עבודת אוצר מילים","")&amp;IF($Z568="אינה מפותחת","; דגש על הבעה בכתב","")&amp;IF($K568&lt;&gt;"תקין","; נדרש לעבוד על ההנגנה","")&amp;IF($AK568&lt;&gt;"","; "&amp;$AK568,""),3,400))</f>
        <v/>
      </c>
      <c r="AE568" s="32">
        <f>IF($F568="","",IF($F568="תחילת שנה",1,IF($F568="מחצית שנה",2,3)))</f>
        <v/>
      </c>
      <c r="AF568" s="32">
        <f>IF(OR($B568="",$AC568="",$A568="",$F568=""),"",$B568&amp;"|"&amp;$A568&amp;"|"&amp;$F568&amp;"|"&amp;$AC568&amp;"|"&amp;COUNTIFS($B$6:$B568,$B568,$A$6:$A568,$A568,$F$6:$F568,$F568,$AC$6:$AC568,$AC568))</f>
        <v/>
      </c>
      <c r="AG568" s="32">
        <f>IF($C568="","",$C568&amp;"|"&amp;COUNTIFS($C$6:$C568,$C568))</f>
        <v/>
      </c>
      <c r="AH568" s="32">
        <f>IF(OR($C568="",$A568="",$AE568=""),"",$C568&amp;"|"&amp;$A568&amp;"|"&amp;$AE568)</f>
        <v/>
      </c>
      <c r="AI568" s="32">
        <f>IF(OR($C568="",$AE568="",$AE568=1),"",IFERROR(INDEX($AC$6:$AC$1505,MATCH($C568&amp;"|"&amp;$A568&amp;"|"&amp;($AE568-1),$AH$6:$AH$1505,0)),""))</f>
        <v/>
      </c>
      <c r="AJ568" s="32">
        <f>IF(OR($AI568="",$AC568=""),"",IF($AI568=$AC568,"ללא שינוי","מ-"&amp;$AI568&amp;" ל-"&amp;$AC568))</f>
        <v/>
      </c>
      <c r="AK568" s="67" t="n"/>
    </row>
    <row r="569" ht="15.75" customHeight="1" s="58">
      <c r="A569" s="65" t="n"/>
      <c r="B569" s="65" t="n"/>
      <c r="C569" s="66" t="n"/>
      <c r="D569" s="66" t="n"/>
      <c r="E569" s="65" t="n"/>
      <c r="F569" s="65" t="n"/>
      <c r="G569" s="65" t="n"/>
      <c r="H569" s="65" t="n"/>
      <c r="I569" s="65" t="n"/>
      <c r="J569" s="65" t="n"/>
      <c r="K569" s="65" t="n"/>
      <c r="L569" s="65" t="n"/>
      <c r="M569" s="65" t="n"/>
      <c r="N569" s="65" t="n"/>
      <c r="O569" s="65" t="n"/>
      <c r="P569" s="65" t="n"/>
      <c r="Q569" s="65" t="n"/>
      <c r="R569" s="65" t="n"/>
      <c r="S569" s="65" t="n"/>
      <c r="T569" s="65" t="n"/>
      <c r="U569" s="65" t="n"/>
      <c r="V569" s="65" t="n"/>
      <c r="W569" s="65" t="n"/>
      <c r="X569" s="65" t="n"/>
      <c r="Y569" s="32">
        <f>IF($C569="","",IF(COUNTA($I569:$K569)&lt;3,"— חסרים נתונים",IF(AND($I569="תקין",$J569="תקין",$K569="תקין"),"רהוטה",IF(AND($I569="תקין",$J569="תקין"),"מדויקת ורציפה","אינה מדויקת או מקוטעת"))))</f>
        <v/>
      </c>
      <c r="Z569" s="32">
        <f>IF($C569="","",IF(COUNTA($U569:$W569)&lt;3,"",IF(AND($U569="מפותח",$V569="מפותח",$W569="מפותחת"),"מפותחת",IF((--($U569="דל"))+(--($V569="אינו מפותח"))+(--($W569="דלה"))&gt;=2,"אינה מפותחת","חלקית"))))</f>
        <v/>
      </c>
      <c r="AA569" s="32">
        <f>IF($C569="","",IF(COUNTA($M569,$N569,$O569)&lt;3,"— חסרים נתונים",IF(OR($M569="נמוכה",(--($M569&lt;&gt;"תקינה"))+(--($N569&lt;&gt;"תקין"))+(--($O569&lt;&gt;"תקינה"))&gt;=2),"ניכרת","אינה ניכרת")))</f>
        <v/>
      </c>
      <c r="AB569" s="32">
        <f>IF(OR($C569="",$Y569="",$AA569="",LEFT($Y569,1)="—",LEFT($AA569,1)="—"),"",IF($Z569="","— נדרשת הערכת כתיבה",IF($L569="","— חסרה הבנת הנקרא",IF($Y569="אינה מדויקת או מקוטעת",IF($AA569="ניכרת","מיקוד בשטף הקריאה ובכישורי שפה","מיקוד בשטף קריאה"),IF($AA569="ניכרת","מיקוד בכישורי שפה",IF(AND($L569="תקינה",$Z569="מפותחת"),"קוראים וכותבים מיומנים","מיקוד בהבנה והבעה"))))))</f>
        <v/>
      </c>
      <c r="AC569" s="32">
        <f>IF(OR($AB569="",LEFT($AB569,1)="—"),"",IF(OR($AB569="מיקוד בשטף קריאה",$AB569="מיקוד בשטף הקריאה ובכישורי שפה"),"רמה א'",IF($AB569="קוראים וכותבים מיומנים","רמה ג'","רמה ב'")))</f>
        <v/>
      </c>
      <c r="AD569" s="32">
        <f>IF($AC569="","",MID(IF(AND($AC569="רמה א'",$AA569="ניכרת"),"; להוסיף עבודת אוצר מילים","")&amp;IF($Z569="אינה מפותחת","; דגש על הבעה בכתב","")&amp;IF($K569&lt;&gt;"תקין","; נדרש לעבוד על ההנגנה","")&amp;IF($AK569&lt;&gt;"","; "&amp;$AK569,""),3,400))</f>
        <v/>
      </c>
      <c r="AE569" s="32">
        <f>IF($F569="","",IF($F569="תחילת שנה",1,IF($F569="מחצית שנה",2,3)))</f>
        <v/>
      </c>
      <c r="AF569" s="32">
        <f>IF(OR($B569="",$AC569="",$A569="",$F569=""),"",$B569&amp;"|"&amp;$A569&amp;"|"&amp;$F569&amp;"|"&amp;$AC569&amp;"|"&amp;COUNTIFS($B$6:$B569,$B569,$A$6:$A569,$A569,$F$6:$F569,$F569,$AC$6:$AC569,$AC569))</f>
        <v/>
      </c>
      <c r="AG569" s="32">
        <f>IF($C569="","",$C569&amp;"|"&amp;COUNTIFS($C$6:$C569,$C569))</f>
        <v/>
      </c>
      <c r="AH569" s="32">
        <f>IF(OR($C569="",$A569="",$AE569=""),"",$C569&amp;"|"&amp;$A569&amp;"|"&amp;$AE569)</f>
        <v/>
      </c>
      <c r="AI569" s="32">
        <f>IF(OR($C569="",$AE569="",$AE569=1),"",IFERROR(INDEX($AC$6:$AC$1505,MATCH($C569&amp;"|"&amp;$A569&amp;"|"&amp;($AE569-1),$AH$6:$AH$1505,0)),""))</f>
        <v/>
      </c>
      <c r="AJ569" s="32">
        <f>IF(OR($AI569="",$AC569=""),"",IF($AI569=$AC569,"ללא שינוי","מ-"&amp;$AI569&amp;" ל-"&amp;$AC569))</f>
        <v/>
      </c>
      <c r="AK569" s="67" t="n"/>
    </row>
    <row r="570" ht="15.75" customHeight="1" s="58">
      <c r="A570" s="65" t="n"/>
      <c r="B570" s="65" t="n"/>
      <c r="C570" s="66" t="n"/>
      <c r="D570" s="66" t="n"/>
      <c r="E570" s="65" t="n"/>
      <c r="F570" s="65" t="n"/>
      <c r="G570" s="65" t="n"/>
      <c r="H570" s="65" t="n"/>
      <c r="I570" s="65" t="n"/>
      <c r="J570" s="65" t="n"/>
      <c r="K570" s="65" t="n"/>
      <c r="L570" s="65" t="n"/>
      <c r="M570" s="65" t="n"/>
      <c r="N570" s="65" t="n"/>
      <c r="O570" s="65" t="n"/>
      <c r="P570" s="65" t="n"/>
      <c r="Q570" s="65" t="n"/>
      <c r="R570" s="65" t="n"/>
      <c r="S570" s="65" t="n"/>
      <c r="T570" s="65" t="n"/>
      <c r="U570" s="65" t="n"/>
      <c r="V570" s="65" t="n"/>
      <c r="W570" s="65" t="n"/>
      <c r="X570" s="65" t="n"/>
      <c r="Y570" s="32">
        <f>IF($C570="","",IF(COUNTA($I570:$K570)&lt;3,"— חסרים נתונים",IF(AND($I570="תקין",$J570="תקין",$K570="תקין"),"רהוטה",IF(AND($I570="תקין",$J570="תקין"),"מדויקת ורציפה","אינה מדויקת או מקוטעת"))))</f>
        <v/>
      </c>
      <c r="Z570" s="32">
        <f>IF($C570="","",IF(COUNTA($U570:$W570)&lt;3,"",IF(AND($U570="מפותח",$V570="מפותח",$W570="מפותחת"),"מפותחת",IF((--($U570="דל"))+(--($V570="אינו מפותח"))+(--($W570="דלה"))&gt;=2,"אינה מפותחת","חלקית"))))</f>
        <v/>
      </c>
      <c r="AA570" s="32">
        <f>IF($C570="","",IF(COUNTA($M570,$N570,$O570)&lt;3,"— חסרים נתונים",IF(OR($M570="נמוכה",(--($M570&lt;&gt;"תקינה"))+(--($N570&lt;&gt;"תקין"))+(--($O570&lt;&gt;"תקינה"))&gt;=2),"ניכרת","אינה ניכרת")))</f>
        <v/>
      </c>
      <c r="AB570" s="32">
        <f>IF(OR($C570="",$Y570="",$AA570="",LEFT($Y570,1)="—",LEFT($AA570,1)="—"),"",IF($Z570="","— נדרשת הערכת כתיבה",IF($L570="","— חסרה הבנת הנקרא",IF($Y570="אינה מדויקת או מקוטעת",IF($AA570="ניכרת","מיקוד בשטף הקריאה ובכישורי שפה","מיקוד בשטף קריאה"),IF($AA570="ניכרת","מיקוד בכישורי שפה",IF(AND($L570="תקינה",$Z570="מפותחת"),"קוראים וכותבים מיומנים","מיקוד בהבנה והבעה"))))))</f>
        <v/>
      </c>
      <c r="AC570" s="32">
        <f>IF(OR($AB570="",LEFT($AB570,1)="—"),"",IF(OR($AB570="מיקוד בשטף קריאה",$AB570="מיקוד בשטף הקריאה ובכישורי שפה"),"רמה א'",IF($AB570="קוראים וכותבים מיומנים","רמה ג'","רמה ב'")))</f>
        <v/>
      </c>
      <c r="AD570" s="32">
        <f>IF($AC570="","",MID(IF(AND($AC570="רמה א'",$AA570="ניכרת"),"; להוסיף עבודת אוצר מילים","")&amp;IF($Z570="אינה מפותחת","; דגש על הבעה בכתב","")&amp;IF($K570&lt;&gt;"תקין","; נדרש לעבוד על ההנגנה","")&amp;IF($AK570&lt;&gt;"","; "&amp;$AK570,""),3,400))</f>
        <v/>
      </c>
      <c r="AE570" s="32">
        <f>IF($F570="","",IF($F570="תחילת שנה",1,IF($F570="מחצית שנה",2,3)))</f>
        <v/>
      </c>
      <c r="AF570" s="32">
        <f>IF(OR($B570="",$AC570="",$A570="",$F570=""),"",$B570&amp;"|"&amp;$A570&amp;"|"&amp;$F570&amp;"|"&amp;$AC570&amp;"|"&amp;COUNTIFS($B$6:$B570,$B570,$A$6:$A570,$A570,$F$6:$F570,$F570,$AC$6:$AC570,$AC570))</f>
        <v/>
      </c>
      <c r="AG570" s="32">
        <f>IF($C570="","",$C570&amp;"|"&amp;COUNTIFS($C$6:$C570,$C570))</f>
        <v/>
      </c>
      <c r="AH570" s="32">
        <f>IF(OR($C570="",$A570="",$AE570=""),"",$C570&amp;"|"&amp;$A570&amp;"|"&amp;$AE570)</f>
        <v/>
      </c>
      <c r="AI570" s="32">
        <f>IF(OR($C570="",$AE570="",$AE570=1),"",IFERROR(INDEX($AC$6:$AC$1505,MATCH($C570&amp;"|"&amp;$A570&amp;"|"&amp;($AE570-1),$AH$6:$AH$1505,0)),""))</f>
        <v/>
      </c>
      <c r="AJ570" s="32">
        <f>IF(OR($AI570="",$AC570=""),"",IF($AI570=$AC570,"ללא שינוי","מ-"&amp;$AI570&amp;" ל-"&amp;$AC570))</f>
        <v/>
      </c>
      <c r="AK570" s="67" t="n"/>
    </row>
    <row r="571" ht="15.75" customHeight="1" s="58">
      <c r="A571" s="65" t="n"/>
      <c r="B571" s="65" t="n"/>
      <c r="C571" s="66" t="n"/>
      <c r="D571" s="66" t="n"/>
      <c r="E571" s="65" t="n"/>
      <c r="F571" s="65" t="n"/>
      <c r="G571" s="65" t="n"/>
      <c r="H571" s="65" t="n"/>
      <c r="I571" s="65" t="n"/>
      <c r="J571" s="65" t="n"/>
      <c r="K571" s="65" t="n"/>
      <c r="L571" s="65" t="n"/>
      <c r="M571" s="65" t="n"/>
      <c r="N571" s="65" t="n"/>
      <c r="O571" s="65" t="n"/>
      <c r="P571" s="65" t="n"/>
      <c r="Q571" s="65" t="n"/>
      <c r="R571" s="65" t="n"/>
      <c r="S571" s="65" t="n"/>
      <c r="T571" s="65" t="n"/>
      <c r="U571" s="65" t="n"/>
      <c r="V571" s="65" t="n"/>
      <c r="W571" s="65" t="n"/>
      <c r="X571" s="65" t="n"/>
      <c r="Y571" s="32">
        <f>IF($C571="","",IF(COUNTA($I571:$K571)&lt;3,"— חסרים נתונים",IF(AND($I571="תקין",$J571="תקין",$K571="תקין"),"רהוטה",IF(AND($I571="תקין",$J571="תקין"),"מדויקת ורציפה","אינה מדויקת או מקוטעת"))))</f>
        <v/>
      </c>
      <c r="Z571" s="32">
        <f>IF($C571="","",IF(COUNTA($U571:$W571)&lt;3,"",IF(AND($U571="מפותח",$V571="מפותח",$W571="מפותחת"),"מפותחת",IF((--($U571="דל"))+(--($V571="אינו מפותח"))+(--($W571="דלה"))&gt;=2,"אינה מפותחת","חלקית"))))</f>
        <v/>
      </c>
      <c r="AA571" s="32">
        <f>IF($C571="","",IF(COUNTA($M571,$N571,$O571)&lt;3,"— חסרים נתונים",IF(OR($M571="נמוכה",(--($M571&lt;&gt;"תקינה"))+(--($N571&lt;&gt;"תקין"))+(--($O571&lt;&gt;"תקינה"))&gt;=2),"ניכרת","אינה ניכרת")))</f>
        <v/>
      </c>
      <c r="AB571" s="32">
        <f>IF(OR($C571="",$Y571="",$AA571="",LEFT($Y571,1)="—",LEFT($AA571,1)="—"),"",IF($Z571="","— נדרשת הערכת כתיבה",IF($L571="","— חסרה הבנת הנקרא",IF($Y571="אינה מדויקת או מקוטעת",IF($AA571="ניכרת","מיקוד בשטף הקריאה ובכישורי שפה","מיקוד בשטף קריאה"),IF($AA571="ניכרת","מיקוד בכישורי שפה",IF(AND($L571="תקינה",$Z571="מפותחת"),"קוראים וכותבים מיומנים","מיקוד בהבנה והבעה"))))))</f>
        <v/>
      </c>
      <c r="AC571" s="32">
        <f>IF(OR($AB571="",LEFT($AB571,1)="—"),"",IF(OR($AB571="מיקוד בשטף קריאה",$AB571="מיקוד בשטף הקריאה ובכישורי שפה"),"רמה א'",IF($AB571="קוראים וכותבים מיומנים","רמה ג'","רמה ב'")))</f>
        <v/>
      </c>
      <c r="AD571" s="32">
        <f>IF($AC571="","",MID(IF(AND($AC571="רמה א'",$AA571="ניכרת"),"; להוסיף עבודת אוצר מילים","")&amp;IF($Z571="אינה מפותחת","; דגש על הבעה בכתב","")&amp;IF($K571&lt;&gt;"תקין","; נדרש לעבוד על ההנגנה","")&amp;IF($AK571&lt;&gt;"","; "&amp;$AK571,""),3,400))</f>
        <v/>
      </c>
      <c r="AE571" s="32">
        <f>IF($F571="","",IF($F571="תחילת שנה",1,IF($F571="מחצית שנה",2,3)))</f>
        <v/>
      </c>
      <c r="AF571" s="32">
        <f>IF(OR($B571="",$AC571="",$A571="",$F571=""),"",$B571&amp;"|"&amp;$A571&amp;"|"&amp;$F571&amp;"|"&amp;$AC571&amp;"|"&amp;COUNTIFS($B$6:$B571,$B571,$A$6:$A571,$A571,$F$6:$F571,$F571,$AC$6:$AC571,$AC571))</f>
        <v/>
      </c>
      <c r="AG571" s="32">
        <f>IF($C571="","",$C571&amp;"|"&amp;COUNTIFS($C$6:$C571,$C571))</f>
        <v/>
      </c>
      <c r="AH571" s="32">
        <f>IF(OR($C571="",$A571="",$AE571=""),"",$C571&amp;"|"&amp;$A571&amp;"|"&amp;$AE571)</f>
        <v/>
      </c>
      <c r="AI571" s="32">
        <f>IF(OR($C571="",$AE571="",$AE571=1),"",IFERROR(INDEX($AC$6:$AC$1505,MATCH($C571&amp;"|"&amp;$A571&amp;"|"&amp;($AE571-1),$AH$6:$AH$1505,0)),""))</f>
        <v/>
      </c>
      <c r="AJ571" s="32">
        <f>IF(OR($AI571="",$AC571=""),"",IF($AI571=$AC571,"ללא שינוי","מ-"&amp;$AI571&amp;" ל-"&amp;$AC571))</f>
        <v/>
      </c>
      <c r="AK571" s="67" t="n"/>
    </row>
    <row r="572" ht="15.75" customHeight="1" s="58">
      <c r="A572" s="65" t="n"/>
      <c r="B572" s="65" t="n"/>
      <c r="C572" s="66" t="n"/>
      <c r="D572" s="66" t="n"/>
      <c r="E572" s="65" t="n"/>
      <c r="F572" s="65" t="n"/>
      <c r="G572" s="65" t="n"/>
      <c r="H572" s="65" t="n"/>
      <c r="I572" s="65" t="n"/>
      <c r="J572" s="65" t="n"/>
      <c r="K572" s="65" t="n"/>
      <c r="L572" s="65" t="n"/>
      <c r="M572" s="65" t="n"/>
      <c r="N572" s="65" t="n"/>
      <c r="O572" s="65" t="n"/>
      <c r="P572" s="65" t="n"/>
      <c r="Q572" s="65" t="n"/>
      <c r="R572" s="65" t="n"/>
      <c r="S572" s="65" t="n"/>
      <c r="T572" s="65" t="n"/>
      <c r="U572" s="65" t="n"/>
      <c r="V572" s="65" t="n"/>
      <c r="W572" s="65" t="n"/>
      <c r="X572" s="65" t="n"/>
      <c r="Y572" s="32">
        <f>IF($C572="","",IF(COUNTA($I572:$K572)&lt;3,"— חסרים נתונים",IF(AND($I572="תקין",$J572="תקין",$K572="תקין"),"רהוטה",IF(AND($I572="תקין",$J572="תקין"),"מדויקת ורציפה","אינה מדויקת או מקוטעת"))))</f>
        <v/>
      </c>
      <c r="Z572" s="32">
        <f>IF($C572="","",IF(COUNTA($U572:$W572)&lt;3,"",IF(AND($U572="מפותח",$V572="מפותח",$W572="מפותחת"),"מפותחת",IF((--($U572="דל"))+(--($V572="אינו מפותח"))+(--($W572="דלה"))&gt;=2,"אינה מפותחת","חלקית"))))</f>
        <v/>
      </c>
      <c r="AA572" s="32">
        <f>IF($C572="","",IF(COUNTA($M572,$N572,$O572)&lt;3,"— חסרים נתונים",IF(OR($M572="נמוכה",(--($M572&lt;&gt;"תקינה"))+(--($N572&lt;&gt;"תקין"))+(--($O572&lt;&gt;"תקינה"))&gt;=2),"ניכרת","אינה ניכרת")))</f>
        <v/>
      </c>
      <c r="AB572" s="32">
        <f>IF(OR($C572="",$Y572="",$AA572="",LEFT($Y572,1)="—",LEFT($AA572,1)="—"),"",IF($Z572="","— נדרשת הערכת כתיבה",IF($L572="","— חסרה הבנת הנקרא",IF($Y572="אינה מדויקת או מקוטעת",IF($AA572="ניכרת","מיקוד בשטף הקריאה ובכישורי שפה","מיקוד בשטף קריאה"),IF($AA572="ניכרת","מיקוד בכישורי שפה",IF(AND($L572="תקינה",$Z572="מפותחת"),"קוראים וכותבים מיומנים","מיקוד בהבנה והבעה"))))))</f>
        <v/>
      </c>
      <c r="AC572" s="32">
        <f>IF(OR($AB572="",LEFT($AB572,1)="—"),"",IF(OR($AB572="מיקוד בשטף קריאה",$AB572="מיקוד בשטף הקריאה ובכישורי שפה"),"רמה א'",IF($AB572="קוראים וכותבים מיומנים","רמה ג'","רמה ב'")))</f>
        <v/>
      </c>
      <c r="AD572" s="32">
        <f>IF($AC572="","",MID(IF(AND($AC572="רמה א'",$AA572="ניכרת"),"; להוסיף עבודת אוצר מילים","")&amp;IF($Z572="אינה מפותחת","; דגש על הבעה בכתב","")&amp;IF($K572&lt;&gt;"תקין","; נדרש לעבוד על ההנגנה","")&amp;IF($AK572&lt;&gt;"","; "&amp;$AK572,""),3,400))</f>
        <v/>
      </c>
      <c r="AE572" s="32">
        <f>IF($F572="","",IF($F572="תחילת שנה",1,IF($F572="מחצית שנה",2,3)))</f>
        <v/>
      </c>
      <c r="AF572" s="32">
        <f>IF(OR($B572="",$AC572="",$A572="",$F572=""),"",$B572&amp;"|"&amp;$A572&amp;"|"&amp;$F572&amp;"|"&amp;$AC572&amp;"|"&amp;COUNTIFS($B$6:$B572,$B572,$A$6:$A572,$A572,$F$6:$F572,$F572,$AC$6:$AC572,$AC572))</f>
        <v/>
      </c>
      <c r="AG572" s="32">
        <f>IF($C572="","",$C572&amp;"|"&amp;COUNTIFS($C$6:$C572,$C572))</f>
        <v/>
      </c>
      <c r="AH572" s="32">
        <f>IF(OR($C572="",$A572="",$AE572=""),"",$C572&amp;"|"&amp;$A572&amp;"|"&amp;$AE572)</f>
        <v/>
      </c>
      <c r="AI572" s="32">
        <f>IF(OR($C572="",$AE572="",$AE572=1),"",IFERROR(INDEX($AC$6:$AC$1505,MATCH($C572&amp;"|"&amp;$A572&amp;"|"&amp;($AE572-1),$AH$6:$AH$1505,0)),""))</f>
        <v/>
      </c>
      <c r="AJ572" s="32">
        <f>IF(OR($AI572="",$AC572=""),"",IF($AI572=$AC572,"ללא שינוי","מ-"&amp;$AI572&amp;" ל-"&amp;$AC572))</f>
        <v/>
      </c>
      <c r="AK572" s="67" t="n"/>
    </row>
    <row r="573" ht="15.75" customHeight="1" s="58">
      <c r="A573" s="65" t="n"/>
      <c r="B573" s="65" t="n"/>
      <c r="C573" s="66" t="n"/>
      <c r="D573" s="66" t="n"/>
      <c r="E573" s="65" t="n"/>
      <c r="F573" s="65" t="n"/>
      <c r="G573" s="65" t="n"/>
      <c r="H573" s="65" t="n"/>
      <c r="I573" s="65" t="n"/>
      <c r="J573" s="65" t="n"/>
      <c r="K573" s="65" t="n"/>
      <c r="L573" s="65" t="n"/>
      <c r="M573" s="65" t="n"/>
      <c r="N573" s="65" t="n"/>
      <c r="O573" s="65" t="n"/>
      <c r="P573" s="65" t="n"/>
      <c r="Q573" s="65" t="n"/>
      <c r="R573" s="65" t="n"/>
      <c r="S573" s="65" t="n"/>
      <c r="T573" s="65" t="n"/>
      <c r="U573" s="65" t="n"/>
      <c r="V573" s="65" t="n"/>
      <c r="W573" s="65" t="n"/>
      <c r="X573" s="65" t="n"/>
      <c r="Y573" s="32">
        <f>IF($C573="","",IF(COUNTA($I573:$K573)&lt;3,"— חסרים נתונים",IF(AND($I573="תקין",$J573="תקין",$K573="תקין"),"רהוטה",IF(AND($I573="תקין",$J573="תקין"),"מדויקת ורציפה","אינה מדויקת או מקוטעת"))))</f>
        <v/>
      </c>
      <c r="Z573" s="32">
        <f>IF($C573="","",IF(COUNTA($U573:$W573)&lt;3,"",IF(AND($U573="מפותח",$V573="מפותח",$W573="מפותחת"),"מפותחת",IF((--($U573="דל"))+(--($V573="אינו מפותח"))+(--($W573="דלה"))&gt;=2,"אינה מפותחת","חלקית"))))</f>
        <v/>
      </c>
      <c r="AA573" s="32">
        <f>IF($C573="","",IF(COUNTA($M573,$N573,$O573)&lt;3,"— חסרים נתונים",IF(OR($M573="נמוכה",(--($M573&lt;&gt;"תקינה"))+(--($N573&lt;&gt;"תקין"))+(--($O573&lt;&gt;"תקינה"))&gt;=2),"ניכרת","אינה ניכרת")))</f>
        <v/>
      </c>
      <c r="AB573" s="32">
        <f>IF(OR($C573="",$Y573="",$AA573="",LEFT($Y573,1)="—",LEFT($AA573,1)="—"),"",IF($Z573="","— נדרשת הערכת כתיבה",IF($L573="","— חסרה הבנת הנקרא",IF($Y573="אינה מדויקת או מקוטעת",IF($AA573="ניכרת","מיקוד בשטף הקריאה ובכישורי שפה","מיקוד בשטף קריאה"),IF($AA573="ניכרת","מיקוד בכישורי שפה",IF(AND($L573="תקינה",$Z573="מפותחת"),"קוראים וכותבים מיומנים","מיקוד בהבנה והבעה"))))))</f>
        <v/>
      </c>
      <c r="AC573" s="32">
        <f>IF(OR($AB573="",LEFT($AB573,1)="—"),"",IF(OR($AB573="מיקוד בשטף קריאה",$AB573="מיקוד בשטף הקריאה ובכישורי שפה"),"רמה א'",IF($AB573="קוראים וכותבים מיומנים","רמה ג'","רמה ב'")))</f>
        <v/>
      </c>
      <c r="AD573" s="32">
        <f>IF($AC573="","",MID(IF(AND($AC573="רמה א'",$AA573="ניכרת"),"; להוסיף עבודת אוצר מילים","")&amp;IF($Z573="אינה מפותחת","; דגש על הבעה בכתב","")&amp;IF($K573&lt;&gt;"תקין","; נדרש לעבוד על ההנגנה","")&amp;IF($AK573&lt;&gt;"","; "&amp;$AK573,""),3,400))</f>
        <v/>
      </c>
      <c r="AE573" s="32">
        <f>IF($F573="","",IF($F573="תחילת שנה",1,IF($F573="מחצית שנה",2,3)))</f>
        <v/>
      </c>
      <c r="AF573" s="32">
        <f>IF(OR($B573="",$AC573="",$A573="",$F573=""),"",$B573&amp;"|"&amp;$A573&amp;"|"&amp;$F573&amp;"|"&amp;$AC573&amp;"|"&amp;COUNTIFS($B$6:$B573,$B573,$A$6:$A573,$A573,$F$6:$F573,$F573,$AC$6:$AC573,$AC573))</f>
        <v/>
      </c>
      <c r="AG573" s="32">
        <f>IF($C573="","",$C573&amp;"|"&amp;COUNTIFS($C$6:$C573,$C573))</f>
        <v/>
      </c>
      <c r="AH573" s="32">
        <f>IF(OR($C573="",$A573="",$AE573=""),"",$C573&amp;"|"&amp;$A573&amp;"|"&amp;$AE573)</f>
        <v/>
      </c>
      <c r="AI573" s="32">
        <f>IF(OR($C573="",$AE573="",$AE573=1),"",IFERROR(INDEX($AC$6:$AC$1505,MATCH($C573&amp;"|"&amp;$A573&amp;"|"&amp;($AE573-1),$AH$6:$AH$1505,0)),""))</f>
        <v/>
      </c>
      <c r="AJ573" s="32">
        <f>IF(OR($AI573="",$AC573=""),"",IF($AI573=$AC573,"ללא שינוי","מ-"&amp;$AI573&amp;" ל-"&amp;$AC573))</f>
        <v/>
      </c>
      <c r="AK573" s="67" t="n"/>
    </row>
    <row r="574" ht="15.75" customHeight="1" s="58">
      <c r="A574" s="65" t="n"/>
      <c r="B574" s="65" t="n"/>
      <c r="C574" s="66" t="n"/>
      <c r="D574" s="66" t="n"/>
      <c r="E574" s="65" t="n"/>
      <c r="F574" s="65" t="n"/>
      <c r="G574" s="65" t="n"/>
      <c r="H574" s="65" t="n"/>
      <c r="I574" s="65" t="n"/>
      <c r="J574" s="65" t="n"/>
      <c r="K574" s="65" t="n"/>
      <c r="L574" s="65" t="n"/>
      <c r="M574" s="65" t="n"/>
      <c r="N574" s="65" t="n"/>
      <c r="O574" s="65" t="n"/>
      <c r="P574" s="65" t="n"/>
      <c r="Q574" s="65" t="n"/>
      <c r="R574" s="65" t="n"/>
      <c r="S574" s="65" t="n"/>
      <c r="T574" s="65" t="n"/>
      <c r="U574" s="65" t="n"/>
      <c r="V574" s="65" t="n"/>
      <c r="W574" s="65" t="n"/>
      <c r="X574" s="65" t="n"/>
      <c r="Y574" s="32">
        <f>IF($C574="","",IF(COUNTA($I574:$K574)&lt;3,"— חסרים נתונים",IF(AND($I574="תקין",$J574="תקין",$K574="תקין"),"רהוטה",IF(AND($I574="תקין",$J574="תקין"),"מדויקת ורציפה","אינה מדויקת או מקוטעת"))))</f>
        <v/>
      </c>
      <c r="Z574" s="32">
        <f>IF($C574="","",IF(COUNTA($U574:$W574)&lt;3,"",IF(AND($U574="מפותח",$V574="מפותח",$W574="מפותחת"),"מפותחת",IF((--($U574="דל"))+(--($V574="אינו מפותח"))+(--($W574="דלה"))&gt;=2,"אינה מפותחת","חלקית"))))</f>
        <v/>
      </c>
      <c r="AA574" s="32">
        <f>IF($C574="","",IF(COUNTA($M574,$N574,$O574)&lt;3,"— חסרים נתונים",IF(OR($M574="נמוכה",(--($M574&lt;&gt;"תקינה"))+(--($N574&lt;&gt;"תקין"))+(--($O574&lt;&gt;"תקינה"))&gt;=2),"ניכרת","אינה ניכרת")))</f>
        <v/>
      </c>
      <c r="AB574" s="32">
        <f>IF(OR($C574="",$Y574="",$AA574="",LEFT($Y574,1)="—",LEFT($AA574,1)="—"),"",IF($Z574="","— נדרשת הערכת כתיבה",IF($L574="","— חסרה הבנת הנקרא",IF($Y574="אינה מדויקת או מקוטעת",IF($AA574="ניכרת","מיקוד בשטף הקריאה ובכישורי שפה","מיקוד בשטף קריאה"),IF($AA574="ניכרת","מיקוד בכישורי שפה",IF(AND($L574="תקינה",$Z574="מפותחת"),"קוראים וכותבים מיומנים","מיקוד בהבנה והבעה"))))))</f>
        <v/>
      </c>
      <c r="AC574" s="32">
        <f>IF(OR($AB574="",LEFT($AB574,1)="—"),"",IF(OR($AB574="מיקוד בשטף קריאה",$AB574="מיקוד בשטף הקריאה ובכישורי שפה"),"רמה א'",IF($AB574="קוראים וכותבים מיומנים","רמה ג'","רמה ב'")))</f>
        <v/>
      </c>
      <c r="AD574" s="32">
        <f>IF($AC574="","",MID(IF(AND($AC574="רמה א'",$AA574="ניכרת"),"; להוסיף עבודת אוצר מילים","")&amp;IF($Z574="אינה מפותחת","; דגש על הבעה בכתב","")&amp;IF($K574&lt;&gt;"תקין","; נדרש לעבוד על ההנגנה","")&amp;IF($AK574&lt;&gt;"","; "&amp;$AK574,""),3,400))</f>
        <v/>
      </c>
      <c r="AE574" s="32">
        <f>IF($F574="","",IF($F574="תחילת שנה",1,IF($F574="מחצית שנה",2,3)))</f>
        <v/>
      </c>
      <c r="AF574" s="32">
        <f>IF(OR($B574="",$AC574="",$A574="",$F574=""),"",$B574&amp;"|"&amp;$A574&amp;"|"&amp;$F574&amp;"|"&amp;$AC574&amp;"|"&amp;COUNTIFS($B$6:$B574,$B574,$A$6:$A574,$A574,$F$6:$F574,$F574,$AC$6:$AC574,$AC574))</f>
        <v/>
      </c>
      <c r="AG574" s="32">
        <f>IF($C574="","",$C574&amp;"|"&amp;COUNTIFS($C$6:$C574,$C574))</f>
        <v/>
      </c>
      <c r="AH574" s="32">
        <f>IF(OR($C574="",$A574="",$AE574=""),"",$C574&amp;"|"&amp;$A574&amp;"|"&amp;$AE574)</f>
        <v/>
      </c>
      <c r="AI574" s="32">
        <f>IF(OR($C574="",$AE574="",$AE574=1),"",IFERROR(INDEX($AC$6:$AC$1505,MATCH($C574&amp;"|"&amp;$A574&amp;"|"&amp;($AE574-1),$AH$6:$AH$1505,0)),""))</f>
        <v/>
      </c>
      <c r="AJ574" s="32">
        <f>IF(OR($AI574="",$AC574=""),"",IF($AI574=$AC574,"ללא שינוי","מ-"&amp;$AI574&amp;" ל-"&amp;$AC574))</f>
        <v/>
      </c>
      <c r="AK574" s="67" t="n"/>
    </row>
    <row r="575" ht="15.75" customHeight="1" s="58">
      <c r="A575" s="65" t="n"/>
      <c r="B575" s="65" t="n"/>
      <c r="C575" s="66" t="n"/>
      <c r="D575" s="66" t="n"/>
      <c r="E575" s="65" t="n"/>
      <c r="F575" s="65" t="n"/>
      <c r="G575" s="65" t="n"/>
      <c r="H575" s="65" t="n"/>
      <c r="I575" s="65" t="n"/>
      <c r="J575" s="65" t="n"/>
      <c r="K575" s="65" t="n"/>
      <c r="L575" s="65" t="n"/>
      <c r="M575" s="65" t="n"/>
      <c r="N575" s="65" t="n"/>
      <c r="O575" s="65" t="n"/>
      <c r="P575" s="65" t="n"/>
      <c r="Q575" s="65" t="n"/>
      <c r="R575" s="65" t="n"/>
      <c r="S575" s="65" t="n"/>
      <c r="T575" s="65" t="n"/>
      <c r="U575" s="65" t="n"/>
      <c r="V575" s="65" t="n"/>
      <c r="W575" s="65" t="n"/>
      <c r="X575" s="65" t="n"/>
      <c r="Y575" s="32">
        <f>IF($C575="","",IF(COUNTA($I575:$K575)&lt;3,"— חסרים נתונים",IF(AND($I575="תקין",$J575="תקין",$K575="תקין"),"רהוטה",IF(AND($I575="תקין",$J575="תקין"),"מדויקת ורציפה","אינה מדויקת או מקוטעת"))))</f>
        <v/>
      </c>
      <c r="Z575" s="32">
        <f>IF($C575="","",IF(COUNTA($U575:$W575)&lt;3,"",IF(AND($U575="מפותח",$V575="מפותח",$W575="מפותחת"),"מפותחת",IF((--($U575="דל"))+(--($V575="אינו מפותח"))+(--($W575="דלה"))&gt;=2,"אינה מפותחת","חלקית"))))</f>
        <v/>
      </c>
      <c r="AA575" s="32">
        <f>IF($C575="","",IF(COUNTA($M575,$N575,$O575)&lt;3,"— חסרים נתונים",IF(OR($M575="נמוכה",(--($M575&lt;&gt;"תקינה"))+(--($N575&lt;&gt;"תקין"))+(--($O575&lt;&gt;"תקינה"))&gt;=2),"ניכרת","אינה ניכרת")))</f>
        <v/>
      </c>
      <c r="AB575" s="32">
        <f>IF(OR($C575="",$Y575="",$AA575="",LEFT($Y575,1)="—",LEFT($AA575,1)="—"),"",IF($Z575="","— נדרשת הערכת כתיבה",IF($L575="","— חסרה הבנת הנקרא",IF($Y575="אינה מדויקת או מקוטעת",IF($AA575="ניכרת","מיקוד בשטף הקריאה ובכישורי שפה","מיקוד בשטף קריאה"),IF($AA575="ניכרת","מיקוד בכישורי שפה",IF(AND($L575="תקינה",$Z575="מפותחת"),"קוראים וכותבים מיומנים","מיקוד בהבנה והבעה"))))))</f>
        <v/>
      </c>
      <c r="AC575" s="32">
        <f>IF(OR($AB575="",LEFT($AB575,1)="—"),"",IF(OR($AB575="מיקוד בשטף קריאה",$AB575="מיקוד בשטף הקריאה ובכישורי שפה"),"רמה א'",IF($AB575="קוראים וכותבים מיומנים","רמה ג'","רמה ב'")))</f>
        <v/>
      </c>
      <c r="AD575" s="32">
        <f>IF($AC575="","",MID(IF(AND($AC575="רמה א'",$AA575="ניכרת"),"; להוסיף עבודת אוצר מילים","")&amp;IF($Z575="אינה מפותחת","; דגש על הבעה בכתב","")&amp;IF($K575&lt;&gt;"תקין","; נדרש לעבוד על ההנגנה","")&amp;IF($AK575&lt;&gt;"","; "&amp;$AK575,""),3,400))</f>
        <v/>
      </c>
      <c r="AE575" s="32">
        <f>IF($F575="","",IF($F575="תחילת שנה",1,IF($F575="מחצית שנה",2,3)))</f>
        <v/>
      </c>
      <c r="AF575" s="32">
        <f>IF(OR($B575="",$AC575="",$A575="",$F575=""),"",$B575&amp;"|"&amp;$A575&amp;"|"&amp;$F575&amp;"|"&amp;$AC575&amp;"|"&amp;COUNTIFS($B$6:$B575,$B575,$A$6:$A575,$A575,$F$6:$F575,$F575,$AC$6:$AC575,$AC575))</f>
        <v/>
      </c>
      <c r="AG575" s="32">
        <f>IF($C575="","",$C575&amp;"|"&amp;COUNTIFS($C$6:$C575,$C575))</f>
        <v/>
      </c>
      <c r="AH575" s="32">
        <f>IF(OR($C575="",$A575="",$AE575=""),"",$C575&amp;"|"&amp;$A575&amp;"|"&amp;$AE575)</f>
        <v/>
      </c>
      <c r="AI575" s="32">
        <f>IF(OR($C575="",$AE575="",$AE575=1),"",IFERROR(INDEX($AC$6:$AC$1505,MATCH($C575&amp;"|"&amp;$A575&amp;"|"&amp;($AE575-1),$AH$6:$AH$1505,0)),""))</f>
        <v/>
      </c>
      <c r="AJ575" s="32">
        <f>IF(OR($AI575="",$AC575=""),"",IF($AI575=$AC575,"ללא שינוי","מ-"&amp;$AI575&amp;" ל-"&amp;$AC575))</f>
        <v/>
      </c>
      <c r="AK575" s="67" t="n"/>
    </row>
    <row r="576" ht="15.75" customHeight="1" s="58">
      <c r="A576" s="65" t="n"/>
      <c r="B576" s="65" t="n"/>
      <c r="C576" s="66" t="n"/>
      <c r="D576" s="66" t="n"/>
      <c r="E576" s="65" t="n"/>
      <c r="F576" s="65" t="n"/>
      <c r="G576" s="65" t="n"/>
      <c r="H576" s="65" t="n"/>
      <c r="I576" s="65" t="n"/>
      <c r="J576" s="65" t="n"/>
      <c r="K576" s="65" t="n"/>
      <c r="L576" s="65" t="n"/>
      <c r="M576" s="65" t="n"/>
      <c r="N576" s="65" t="n"/>
      <c r="O576" s="65" t="n"/>
      <c r="P576" s="65" t="n"/>
      <c r="Q576" s="65" t="n"/>
      <c r="R576" s="65" t="n"/>
      <c r="S576" s="65" t="n"/>
      <c r="T576" s="65" t="n"/>
      <c r="U576" s="65" t="n"/>
      <c r="V576" s="65" t="n"/>
      <c r="W576" s="65" t="n"/>
      <c r="X576" s="65" t="n"/>
      <c r="Y576" s="32">
        <f>IF($C576="","",IF(COUNTA($I576:$K576)&lt;3,"— חסרים נתונים",IF(AND($I576="תקין",$J576="תקין",$K576="תקין"),"רהוטה",IF(AND($I576="תקין",$J576="תקין"),"מדויקת ורציפה","אינה מדויקת או מקוטעת"))))</f>
        <v/>
      </c>
      <c r="Z576" s="32">
        <f>IF($C576="","",IF(COUNTA($U576:$W576)&lt;3,"",IF(AND($U576="מפותח",$V576="מפותח",$W576="מפותחת"),"מפותחת",IF((--($U576="דל"))+(--($V576="אינו מפותח"))+(--($W576="דלה"))&gt;=2,"אינה מפותחת","חלקית"))))</f>
        <v/>
      </c>
      <c r="AA576" s="32">
        <f>IF($C576="","",IF(COUNTA($M576,$N576,$O576)&lt;3,"— חסרים נתונים",IF(OR($M576="נמוכה",(--($M576&lt;&gt;"תקינה"))+(--($N576&lt;&gt;"תקין"))+(--($O576&lt;&gt;"תקינה"))&gt;=2),"ניכרת","אינה ניכרת")))</f>
        <v/>
      </c>
      <c r="AB576" s="32">
        <f>IF(OR($C576="",$Y576="",$AA576="",LEFT($Y576,1)="—",LEFT($AA576,1)="—"),"",IF($Z576="","— נדרשת הערכת כתיבה",IF($L576="","— חסרה הבנת הנקרא",IF($Y576="אינה מדויקת או מקוטעת",IF($AA576="ניכרת","מיקוד בשטף הקריאה ובכישורי שפה","מיקוד בשטף קריאה"),IF($AA576="ניכרת","מיקוד בכישורי שפה",IF(AND($L576="תקינה",$Z576="מפותחת"),"קוראים וכותבים מיומנים","מיקוד בהבנה והבעה"))))))</f>
        <v/>
      </c>
      <c r="AC576" s="32">
        <f>IF(OR($AB576="",LEFT($AB576,1)="—"),"",IF(OR($AB576="מיקוד בשטף קריאה",$AB576="מיקוד בשטף הקריאה ובכישורי שפה"),"רמה א'",IF($AB576="קוראים וכותבים מיומנים","רמה ג'","רמה ב'")))</f>
        <v/>
      </c>
      <c r="AD576" s="32">
        <f>IF($AC576="","",MID(IF(AND($AC576="רמה א'",$AA576="ניכרת"),"; להוסיף עבודת אוצר מילים","")&amp;IF($Z576="אינה מפותחת","; דגש על הבעה בכתב","")&amp;IF($K576&lt;&gt;"תקין","; נדרש לעבוד על ההנגנה","")&amp;IF($AK576&lt;&gt;"","; "&amp;$AK576,""),3,400))</f>
        <v/>
      </c>
      <c r="AE576" s="32">
        <f>IF($F576="","",IF($F576="תחילת שנה",1,IF($F576="מחצית שנה",2,3)))</f>
        <v/>
      </c>
      <c r="AF576" s="32">
        <f>IF(OR($B576="",$AC576="",$A576="",$F576=""),"",$B576&amp;"|"&amp;$A576&amp;"|"&amp;$F576&amp;"|"&amp;$AC576&amp;"|"&amp;COUNTIFS($B$6:$B576,$B576,$A$6:$A576,$A576,$F$6:$F576,$F576,$AC$6:$AC576,$AC576))</f>
        <v/>
      </c>
      <c r="AG576" s="32">
        <f>IF($C576="","",$C576&amp;"|"&amp;COUNTIFS($C$6:$C576,$C576))</f>
        <v/>
      </c>
      <c r="AH576" s="32">
        <f>IF(OR($C576="",$A576="",$AE576=""),"",$C576&amp;"|"&amp;$A576&amp;"|"&amp;$AE576)</f>
        <v/>
      </c>
      <c r="AI576" s="32">
        <f>IF(OR($C576="",$AE576="",$AE576=1),"",IFERROR(INDEX($AC$6:$AC$1505,MATCH($C576&amp;"|"&amp;$A576&amp;"|"&amp;($AE576-1),$AH$6:$AH$1505,0)),""))</f>
        <v/>
      </c>
      <c r="AJ576" s="32">
        <f>IF(OR($AI576="",$AC576=""),"",IF($AI576=$AC576,"ללא שינוי","מ-"&amp;$AI576&amp;" ל-"&amp;$AC576))</f>
        <v/>
      </c>
      <c r="AK576" s="67" t="n"/>
    </row>
    <row r="577" ht="15.75" customHeight="1" s="58">
      <c r="A577" s="65" t="n"/>
      <c r="B577" s="65" t="n"/>
      <c r="C577" s="66" t="n"/>
      <c r="D577" s="66" t="n"/>
      <c r="E577" s="65" t="n"/>
      <c r="F577" s="65" t="n"/>
      <c r="G577" s="65" t="n"/>
      <c r="H577" s="65" t="n"/>
      <c r="I577" s="65" t="n"/>
      <c r="J577" s="65" t="n"/>
      <c r="K577" s="65" t="n"/>
      <c r="L577" s="65" t="n"/>
      <c r="M577" s="65" t="n"/>
      <c r="N577" s="65" t="n"/>
      <c r="O577" s="65" t="n"/>
      <c r="P577" s="65" t="n"/>
      <c r="Q577" s="65" t="n"/>
      <c r="R577" s="65" t="n"/>
      <c r="S577" s="65" t="n"/>
      <c r="T577" s="65" t="n"/>
      <c r="U577" s="65" t="n"/>
      <c r="V577" s="65" t="n"/>
      <c r="W577" s="65" t="n"/>
      <c r="X577" s="65" t="n"/>
      <c r="Y577" s="32">
        <f>IF($C577="","",IF(COUNTA($I577:$K577)&lt;3,"— חסרים נתונים",IF(AND($I577="תקין",$J577="תקין",$K577="תקין"),"רהוטה",IF(AND($I577="תקין",$J577="תקין"),"מדויקת ורציפה","אינה מדויקת או מקוטעת"))))</f>
        <v/>
      </c>
      <c r="Z577" s="32">
        <f>IF($C577="","",IF(COUNTA($U577:$W577)&lt;3,"",IF(AND($U577="מפותח",$V577="מפותח",$W577="מפותחת"),"מפותחת",IF((--($U577="דל"))+(--($V577="אינו מפותח"))+(--($W577="דלה"))&gt;=2,"אינה מפותחת","חלקית"))))</f>
        <v/>
      </c>
      <c r="AA577" s="32">
        <f>IF($C577="","",IF(COUNTA($M577,$N577,$O577)&lt;3,"— חסרים נתונים",IF(OR($M577="נמוכה",(--($M577&lt;&gt;"תקינה"))+(--($N577&lt;&gt;"תקין"))+(--($O577&lt;&gt;"תקינה"))&gt;=2),"ניכרת","אינה ניכרת")))</f>
        <v/>
      </c>
      <c r="AB577" s="32">
        <f>IF(OR($C577="",$Y577="",$AA577="",LEFT($Y577,1)="—",LEFT($AA577,1)="—"),"",IF($Z577="","— נדרשת הערכת כתיבה",IF($L577="","— חסרה הבנת הנקרא",IF($Y577="אינה מדויקת או מקוטעת",IF($AA577="ניכרת","מיקוד בשטף הקריאה ובכישורי שפה","מיקוד בשטף קריאה"),IF($AA577="ניכרת","מיקוד בכישורי שפה",IF(AND($L577="תקינה",$Z577="מפותחת"),"קוראים וכותבים מיומנים","מיקוד בהבנה והבעה"))))))</f>
        <v/>
      </c>
      <c r="AC577" s="32">
        <f>IF(OR($AB577="",LEFT($AB577,1)="—"),"",IF(OR($AB577="מיקוד בשטף קריאה",$AB577="מיקוד בשטף הקריאה ובכישורי שפה"),"רמה א'",IF($AB577="קוראים וכותבים מיומנים","רמה ג'","רמה ב'")))</f>
        <v/>
      </c>
      <c r="AD577" s="32">
        <f>IF($AC577="","",MID(IF(AND($AC577="רמה א'",$AA577="ניכרת"),"; להוסיף עבודת אוצר מילים","")&amp;IF($Z577="אינה מפותחת","; דגש על הבעה בכתב","")&amp;IF($K577&lt;&gt;"תקין","; נדרש לעבוד על ההנגנה","")&amp;IF($AK577&lt;&gt;"","; "&amp;$AK577,""),3,400))</f>
        <v/>
      </c>
      <c r="AE577" s="32">
        <f>IF($F577="","",IF($F577="תחילת שנה",1,IF($F577="מחצית שנה",2,3)))</f>
        <v/>
      </c>
      <c r="AF577" s="32">
        <f>IF(OR($B577="",$AC577="",$A577="",$F577=""),"",$B577&amp;"|"&amp;$A577&amp;"|"&amp;$F577&amp;"|"&amp;$AC577&amp;"|"&amp;COUNTIFS($B$6:$B577,$B577,$A$6:$A577,$A577,$F$6:$F577,$F577,$AC$6:$AC577,$AC577))</f>
        <v/>
      </c>
      <c r="AG577" s="32">
        <f>IF($C577="","",$C577&amp;"|"&amp;COUNTIFS($C$6:$C577,$C577))</f>
        <v/>
      </c>
      <c r="AH577" s="32">
        <f>IF(OR($C577="",$A577="",$AE577=""),"",$C577&amp;"|"&amp;$A577&amp;"|"&amp;$AE577)</f>
        <v/>
      </c>
      <c r="AI577" s="32">
        <f>IF(OR($C577="",$AE577="",$AE577=1),"",IFERROR(INDEX($AC$6:$AC$1505,MATCH($C577&amp;"|"&amp;$A577&amp;"|"&amp;($AE577-1),$AH$6:$AH$1505,0)),""))</f>
        <v/>
      </c>
      <c r="AJ577" s="32">
        <f>IF(OR($AI577="",$AC577=""),"",IF($AI577=$AC577,"ללא שינוי","מ-"&amp;$AI577&amp;" ל-"&amp;$AC577))</f>
        <v/>
      </c>
      <c r="AK577" s="67" t="n"/>
    </row>
    <row r="578" ht="15.75" customHeight="1" s="58">
      <c r="A578" s="65" t="n"/>
      <c r="B578" s="65" t="n"/>
      <c r="C578" s="66" t="n"/>
      <c r="D578" s="66" t="n"/>
      <c r="E578" s="65" t="n"/>
      <c r="F578" s="65" t="n"/>
      <c r="G578" s="65" t="n"/>
      <c r="H578" s="65" t="n"/>
      <c r="I578" s="65" t="n"/>
      <c r="J578" s="65" t="n"/>
      <c r="K578" s="65" t="n"/>
      <c r="L578" s="65" t="n"/>
      <c r="M578" s="65" t="n"/>
      <c r="N578" s="65" t="n"/>
      <c r="O578" s="65" t="n"/>
      <c r="P578" s="65" t="n"/>
      <c r="Q578" s="65" t="n"/>
      <c r="R578" s="65" t="n"/>
      <c r="S578" s="65" t="n"/>
      <c r="T578" s="65" t="n"/>
      <c r="U578" s="65" t="n"/>
      <c r="V578" s="65" t="n"/>
      <c r="W578" s="65" t="n"/>
      <c r="X578" s="65" t="n"/>
      <c r="Y578" s="32">
        <f>IF($C578="","",IF(COUNTA($I578:$K578)&lt;3,"— חסרים נתונים",IF(AND($I578="תקין",$J578="תקין",$K578="תקין"),"רהוטה",IF(AND($I578="תקין",$J578="תקין"),"מדויקת ורציפה","אינה מדויקת או מקוטעת"))))</f>
        <v/>
      </c>
      <c r="Z578" s="32">
        <f>IF($C578="","",IF(COUNTA($U578:$W578)&lt;3,"",IF(AND($U578="מפותח",$V578="מפותח",$W578="מפותחת"),"מפותחת",IF((--($U578="דל"))+(--($V578="אינו מפותח"))+(--($W578="דלה"))&gt;=2,"אינה מפותחת","חלקית"))))</f>
        <v/>
      </c>
      <c r="AA578" s="32">
        <f>IF($C578="","",IF(COUNTA($M578,$N578,$O578)&lt;3,"— חסרים נתונים",IF(OR($M578="נמוכה",(--($M578&lt;&gt;"תקינה"))+(--($N578&lt;&gt;"תקין"))+(--($O578&lt;&gt;"תקינה"))&gt;=2),"ניכרת","אינה ניכרת")))</f>
        <v/>
      </c>
      <c r="AB578" s="32">
        <f>IF(OR($C578="",$Y578="",$AA578="",LEFT($Y578,1)="—",LEFT($AA578,1)="—"),"",IF($Z578="","— נדרשת הערכת כתיבה",IF($L578="","— חסרה הבנת הנקרא",IF($Y578="אינה מדויקת או מקוטעת",IF($AA578="ניכרת","מיקוד בשטף הקריאה ובכישורי שפה","מיקוד בשטף קריאה"),IF($AA578="ניכרת","מיקוד בכישורי שפה",IF(AND($L578="תקינה",$Z578="מפותחת"),"קוראים וכותבים מיומנים","מיקוד בהבנה והבעה"))))))</f>
        <v/>
      </c>
      <c r="AC578" s="32">
        <f>IF(OR($AB578="",LEFT($AB578,1)="—"),"",IF(OR($AB578="מיקוד בשטף קריאה",$AB578="מיקוד בשטף הקריאה ובכישורי שפה"),"רמה א'",IF($AB578="קוראים וכותבים מיומנים","רמה ג'","רמה ב'")))</f>
        <v/>
      </c>
      <c r="AD578" s="32">
        <f>IF($AC578="","",MID(IF(AND($AC578="רמה א'",$AA578="ניכרת"),"; להוסיף עבודת אוצר מילים","")&amp;IF($Z578="אינה מפותחת","; דגש על הבעה בכתב","")&amp;IF($K578&lt;&gt;"תקין","; נדרש לעבוד על ההנגנה","")&amp;IF($AK578&lt;&gt;"","; "&amp;$AK578,""),3,400))</f>
        <v/>
      </c>
      <c r="AE578" s="32">
        <f>IF($F578="","",IF($F578="תחילת שנה",1,IF($F578="מחצית שנה",2,3)))</f>
        <v/>
      </c>
      <c r="AF578" s="32">
        <f>IF(OR($B578="",$AC578="",$A578="",$F578=""),"",$B578&amp;"|"&amp;$A578&amp;"|"&amp;$F578&amp;"|"&amp;$AC578&amp;"|"&amp;COUNTIFS($B$6:$B578,$B578,$A$6:$A578,$A578,$F$6:$F578,$F578,$AC$6:$AC578,$AC578))</f>
        <v/>
      </c>
      <c r="AG578" s="32">
        <f>IF($C578="","",$C578&amp;"|"&amp;COUNTIFS($C$6:$C578,$C578))</f>
        <v/>
      </c>
      <c r="AH578" s="32">
        <f>IF(OR($C578="",$A578="",$AE578=""),"",$C578&amp;"|"&amp;$A578&amp;"|"&amp;$AE578)</f>
        <v/>
      </c>
      <c r="AI578" s="32">
        <f>IF(OR($C578="",$AE578="",$AE578=1),"",IFERROR(INDEX($AC$6:$AC$1505,MATCH($C578&amp;"|"&amp;$A578&amp;"|"&amp;($AE578-1),$AH$6:$AH$1505,0)),""))</f>
        <v/>
      </c>
      <c r="AJ578" s="32">
        <f>IF(OR($AI578="",$AC578=""),"",IF($AI578=$AC578,"ללא שינוי","מ-"&amp;$AI578&amp;" ל-"&amp;$AC578))</f>
        <v/>
      </c>
      <c r="AK578" s="67" t="n"/>
    </row>
    <row r="579" ht="15.75" customHeight="1" s="58">
      <c r="A579" s="65" t="n"/>
      <c r="B579" s="65" t="n"/>
      <c r="C579" s="66" t="n"/>
      <c r="D579" s="66" t="n"/>
      <c r="E579" s="65" t="n"/>
      <c r="F579" s="65" t="n"/>
      <c r="G579" s="65" t="n"/>
      <c r="H579" s="65" t="n"/>
      <c r="I579" s="65" t="n"/>
      <c r="J579" s="65" t="n"/>
      <c r="K579" s="65" t="n"/>
      <c r="L579" s="65" t="n"/>
      <c r="M579" s="65" t="n"/>
      <c r="N579" s="65" t="n"/>
      <c r="O579" s="65" t="n"/>
      <c r="P579" s="65" t="n"/>
      <c r="Q579" s="65" t="n"/>
      <c r="R579" s="65" t="n"/>
      <c r="S579" s="65" t="n"/>
      <c r="T579" s="65" t="n"/>
      <c r="U579" s="65" t="n"/>
      <c r="V579" s="65" t="n"/>
      <c r="W579" s="65" t="n"/>
      <c r="X579" s="65" t="n"/>
      <c r="Y579" s="32">
        <f>IF($C579="","",IF(COUNTA($I579:$K579)&lt;3,"— חסרים נתונים",IF(AND($I579="תקין",$J579="תקין",$K579="תקין"),"רהוטה",IF(AND($I579="תקין",$J579="תקין"),"מדויקת ורציפה","אינה מדויקת או מקוטעת"))))</f>
        <v/>
      </c>
      <c r="Z579" s="32">
        <f>IF($C579="","",IF(COUNTA($U579:$W579)&lt;3,"",IF(AND($U579="מפותח",$V579="מפותח",$W579="מפותחת"),"מפותחת",IF((--($U579="דל"))+(--($V579="אינו מפותח"))+(--($W579="דלה"))&gt;=2,"אינה מפותחת","חלקית"))))</f>
        <v/>
      </c>
      <c r="AA579" s="32">
        <f>IF($C579="","",IF(COUNTA($M579,$N579,$O579)&lt;3,"— חסרים נתונים",IF(OR($M579="נמוכה",(--($M579&lt;&gt;"תקינה"))+(--($N579&lt;&gt;"תקין"))+(--($O579&lt;&gt;"תקינה"))&gt;=2),"ניכרת","אינה ניכרת")))</f>
        <v/>
      </c>
      <c r="AB579" s="32">
        <f>IF(OR($C579="",$Y579="",$AA579="",LEFT($Y579,1)="—",LEFT($AA579,1)="—"),"",IF($Z579="","— נדרשת הערכת כתיבה",IF($L579="","— חסרה הבנת הנקרא",IF($Y579="אינה מדויקת או מקוטעת",IF($AA579="ניכרת","מיקוד בשטף הקריאה ובכישורי שפה","מיקוד בשטף קריאה"),IF($AA579="ניכרת","מיקוד בכישורי שפה",IF(AND($L579="תקינה",$Z579="מפותחת"),"קוראים וכותבים מיומנים","מיקוד בהבנה והבעה"))))))</f>
        <v/>
      </c>
      <c r="AC579" s="32">
        <f>IF(OR($AB579="",LEFT($AB579,1)="—"),"",IF(OR($AB579="מיקוד בשטף קריאה",$AB579="מיקוד בשטף הקריאה ובכישורי שפה"),"רמה א'",IF($AB579="קוראים וכותבים מיומנים","רמה ג'","רמה ב'")))</f>
        <v/>
      </c>
      <c r="AD579" s="32">
        <f>IF($AC579="","",MID(IF(AND($AC579="רמה א'",$AA579="ניכרת"),"; להוסיף עבודת אוצר מילים","")&amp;IF($Z579="אינה מפותחת","; דגש על הבעה בכתב","")&amp;IF($K579&lt;&gt;"תקין","; נדרש לעבוד על ההנגנה","")&amp;IF($AK579&lt;&gt;"","; "&amp;$AK579,""),3,400))</f>
        <v/>
      </c>
      <c r="AE579" s="32">
        <f>IF($F579="","",IF($F579="תחילת שנה",1,IF($F579="מחצית שנה",2,3)))</f>
        <v/>
      </c>
      <c r="AF579" s="32">
        <f>IF(OR($B579="",$AC579="",$A579="",$F579=""),"",$B579&amp;"|"&amp;$A579&amp;"|"&amp;$F579&amp;"|"&amp;$AC579&amp;"|"&amp;COUNTIFS($B$6:$B579,$B579,$A$6:$A579,$A579,$F$6:$F579,$F579,$AC$6:$AC579,$AC579))</f>
        <v/>
      </c>
      <c r="AG579" s="32">
        <f>IF($C579="","",$C579&amp;"|"&amp;COUNTIFS($C$6:$C579,$C579))</f>
        <v/>
      </c>
      <c r="AH579" s="32">
        <f>IF(OR($C579="",$A579="",$AE579=""),"",$C579&amp;"|"&amp;$A579&amp;"|"&amp;$AE579)</f>
        <v/>
      </c>
      <c r="AI579" s="32">
        <f>IF(OR($C579="",$AE579="",$AE579=1),"",IFERROR(INDEX($AC$6:$AC$1505,MATCH($C579&amp;"|"&amp;$A579&amp;"|"&amp;($AE579-1),$AH$6:$AH$1505,0)),""))</f>
        <v/>
      </c>
      <c r="AJ579" s="32">
        <f>IF(OR($AI579="",$AC579=""),"",IF($AI579=$AC579,"ללא שינוי","מ-"&amp;$AI579&amp;" ל-"&amp;$AC579))</f>
        <v/>
      </c>
      <c r="AK579" s="67" t="n"/>
    </row>
    <row r="580" ht="15.75" customHeight="1" s="58">
      <c r="A580" s="65" t="n"/>
      <c r="B580" s="65" t="n"/>
      <c r="C580" s="66" t="n"/>
      <c r="D580" s="66" t="n"/>
      <c r="E580" s="65" t="n"/>
      <c r="F580" s="65" t="n"/>
      <c r="G580" s="65" t="n"/>
      <c r="H580" s="65" t="n"/>
      <c r="I580" s="65" t="n"/>
      <c r="J580" s="65" t="n"/>
      <c r="K580" s="65" t="n"/>
      <c r="L580" s="65" t="n"/>
      <c r="M580" s="65" t="n"/>
      <c r="N580" s="65" t="n"/>
      <c r="O580" s="65" t="n"/>
      <c r="P580" s="65" t="n"/>
      <c r="Q580" s="65" t="n"/>
      <c r="R580" s="65" t="n"/>
      <c r="S580" s="65" t="n"/>
      <c r="T580" s="65" t="n"/>
      <c r="U580" s="65" t="n"/>
      <c r="V580" s="65" t="n"/>
      <c r="W580" s="65" t="n"/>
      <c r="X580" s="65" t="n"/>
      <c r="Y580" s="32">
        <f>IF($C580="","",IF(COUNTA($I580:$K580)&lt;3,"— חסרים נתונים",IF(AND($I580="תקין",$J580="תקין",$K580="תקין"),"רהוטה",IF(AND($I580="תקין",$J580="תקין"),"מדויקת ורציפה","אינה מדויקת או מקוטעת"))))</f>
        <v/>
      </c>
      <c r="Z580" s="32">
        <f>IF($C580="","",IF(COUNTA($U580:$W580)&lt;3,"",IF(AND($U580="מפותח",$V580="מפותח",$W580="מפותחת"),"מפותחת",IF((--($U580="דל"))+(--($V580="אינו מפותח"))+(--($W580="דלה"))&gt;=2,"אינה מפותחת","חלקית"))))</f>
        <v/>
      </c>
      <c r="AA580" s="32">
        <f>IF($C580="","",IF(COUNTA($M580,$N580,$O580)&lt;3,"— חסרים נתונים",IF(OR($M580="נמוכה",(--($M580&lt;&gt;"תקינה"))+(--($N580&lt;&gt;"תקין"))+(--($O580&lt;&gt;"תקינה"))&gt;=2),"ניכרת","אינה ניכרת")))</f>
        <v/>
      </c>
      <c r="AB580" s="32">
        <f>IF(OR($C580="",$Y580="",$AA580="",LEFT($Y580,1)="—",LEFT($AA580,1)="—"),"",IF($Z580="","— נדרשת הערכת כתיבה",IF($L580="","— חסרה הבנת הנקרא",IF($Y580="אינה מדויקת או מקוטעת",IF($AA580="ניכרת","מיקוד בשטף הקריאה ובכישורי שפה","מיקוד בשטף קריאה"),IF($AA580="ניכרת","מיקוד בכישורי שפה",IF(AND($L580="תקינה",$Z580="מפותחת"),"קוראים וכותבים מיומנים","מיקוד בהבנה והבעה"))))))</f>
        <v/>
      </c>
      <c r="AC580" s="32">
        <f>IF(OR($AB580="",LEFT($AB580,1)="—"),"",IF(OR($AB580="מיקוד בשטף קריאה",$AB580="מיקוד בשטף הקריאה ובכישורי שפה"),"רמה א'",IF($AB580="קוראים וכותבים מיומנים","רמה ג'","רמה ב'")))</f>
        <v/>
      </c>
      <c r="AD580" s="32">
        <f>IF($AC580="","",MID(IF(AND($AC580="רמה א'",$AA580="ניכרת"),"; להוסיף עבודת אוצר מילים","")&amp;IF($Z580="אינה מפותחת","; דגש על הבעה בכתב","")&amp;IF($K580&lt;&gt;"תקין","; נדרש לעבוד על ההנגנה","")&amp;IF($AK580&lt;&gt;"","; "&amp;$AK580,""),3,400))</f>
        <v/>
      </c>
      <c r="AE580" s="32">
        <f>IF($F580="","",IF($F580="תחילת שנה",1,IF($F580="מחצית שנה",2,3)))</f>
        <v/>
      </c>
      <c r="AF580" s="32">
        <f>IF(OR($B580="",$AC580="",$A580="",$F580=""),"",$B580&amp;"|"&amp;$A580&amp;"|"&amp;$F580&amp;"|"&amp;$AC580&amp;"|"&amp;COUNTIFS($B$6:$B580,$B580,$A$6:$A580,$A580,$F$6:$F580,$F580,$AC$6:$AC580,$AC580))</f>
        <v/>
      </c>
      <c r="AG580" s="32">
        <f>IF($C580="","",$C580&amp;"|"&amp;COUNTIFS($C$6:$C580,$C580))</f>
        <v/>
      </c>
      <c r="AH580" s="32">
        <f>IF(OR($C580="",$A580="",$AE580=""),"",$C580&amp;"|"&amp;$A580&amp;"|"&amp;$AE580)</f>
        <v/>
      </c>
      <c r="AI580" s="32">
        <f>IF(OR($C580="",$AE580="",$AE580=1),"",IFERROR(INDEX($AC$6:$AC$1505,MATCH($C580&amp;"|"&amp;$A580&amp;"|"&amp;($AE580-1),$AH$6:$AH$1505,0)),""))</f>
        <v/>
      </c>
      <c r="AJ580" s="32">
        <f>IF(OR($AI580="",$AC580=""),"",IF($AI580=$AC580,"ללא שינוי","מ-"&amp;$AI580&amp;" ל-"&amp;$AC580))</f>
        <v/>
      </c>
      <c r="AK580" s="67" t="n"/>
    </row>
    <row r="581" ht="15.75" customHeight="1" s="58">
      <c r="A581" s="65" t="n"/>
      <c r="B581" s="65" t="n"/>
      <c r="C581" s="66" t="n"/>
      <c r="D581" s="66" t="n"/>
      <c r="E581" s="65" t="n"/>
      <c r="F581" s="65" t="n"/>
      <c r="G581" s="65" t="n"/>
      <c r="H581" s="65" t="n"/>
      <c r="I581" s="65" t="n"/>
      <c r="J581" s="65" t="n"/>
      <c r="K581" s="65" t="n"/>
      <c r="L581" s="65" t="n"/>
      <c r="M581" s="65" t="n"/>
      <c r="N581" s="65" t="n"/>
      <c r="O581" s="65" t="n"/>
      <c r="P581" s="65" t="n"/>
      <c r="Q581" s="65" t="n"/>
      <c r="R581" s="65" t="n"/>
      <c r="S581" s="65" t="n"/>
      <c r="T581" s="65" t="n"/>
      <c r="U581" s="65" t="n"/>
      <c r="V581" s="65" t="n"/>
      <c r="W581" s="65" t="n"/>
      <c r="X581" s="65" t="n"/>
      <c r="Y581" s="32">
        <f>IF($C581="","",IF(COUNTA($I581:$K581)&lt;3,"— חסרים נתונים",IF(AND($I581="תקין",$J581="תקין",$K581="תקין"),"רהוטה",IF(AND($I581="תקין",$J581="תקין"),"מדויקת ורציפה","אינה מדויקת או מקוטעת"))))</f>
        <v/>
      </c>
      <c r="Z581" s="32">
        <f>IF($C581="","",IF(COUNTA($U581:$W581)&lt;3,"",IF(AND($U581="מפותח",$V581="מפותח",$W581="מפותחת"),"מפותחת",IF((--($U581="דל"))+(--($V581="אינו מפותח"))+(--($W581="דלה"))&gt;=2,"אינה מפותחת","חלקית"))))</f>
        <v/>
      </c>
      <c r="AA581" s="32">
        <f>IF($C581="","",IF(COUNTA($M581,$N581,$O581)&lt;3,"— חסרים נתונים",IF(OR($M581="נמוכה",(--($M581&lt;&gt;"תקינה"))+(--($N581&lt;&gt;"תקין"))+(--($O581&lt;&gt;"תקינה"))&gt;=2),"ניכרת","אינה ניכרת")))</f>
        <v/>
      </c>
      <c r="AB581" s="32">
        <f>IF(OR($C581="",$Y581="",$AA581="",LEFT($Y581,1)="—",LEFT($AA581,1)="—"),"",IF($Z581="","— נדרשת הערכת כתיבה",IF($L581="","— חסרה הבנת הנקרא",IF($Y581="אינה מדויקת או מקוטעת",IF($AA581="ניכרת","מיקוד בשטף הקריאה ובכישורי שפה","מיקוד בשטף קריאה"),IF($AA581="ניכרת","מיקוד בכישורי שפה",IF(AND($L581="תקינה",$Z581="מפותחת"),"קוראים וכותבים מיומנים","מיקוד בהבנה והבעה"))))))</f>
        <v/>
      </c>
      <c r="AC581" s="32">
        <f>IF(OR($AB581="",LEFT($AB581,1)="—"),"",IF(OR($AB581="מיקוד בשטף קריאה",$AB581="מיקוד בשטף הקריאה ובכישורי שפה"),"רמה א'",IF($AB581="קוראים וכותבים מיומנים","רמה ג'","רמה ב'")))</f>
        <v/>
      </c>
      <c r="AD581" s="32">
        <f>IF($AC581="","",MID(IF(AND($AC581="רמה א'",$AA581="ניכרת"),"; להוסיף עבודת אוצר מילים","")&amp;IF($Z581="אינה מפותחת","; דגש על הבעה בכתב","")&amp;IF($K581&lt;&gt;"תקין","; נדרש לעבוד על ההנגנה","")&amp;IF($AK581&lt;&gt;"","; "&amp;$AK581,""),3,400))</f>
        <v/>
      </c>
      <c r="AE581" s="32">
        <f>IF($F581="","",IF($F581="תחילת שנה",1,IF($F581="מחצית שנה",2,3)))</f>
        <v/>
      </c>
      <c r="AF581" s="32">
        <f>IF(OR($B581="",$AC581="",$A581="",$F581=""),"",$B581&amp;"|"&amp;$A581&amp;"|"&amp;$F581&amp;"|"&amp;$AC581&amp;"|"&amp;COUNTIFS($B$6:$B581,$B581,$A$6:$A581,$A581,$F$6:$F581,$F581,$AC$6:$AC581,$AC581))</f>
        <v/>
      </c>
      <c r="AG581" s="32">
        <f>IF($C581="","",$C581&amp;"|"&amp;COUNTIFS($C$6:$C581,$C581))</f>
        <v/>
      </c>
      <c r="AH581" s="32">
        <f>IF(OR($C581="",$A581="",$AE581=""),"",$C581&amp;"|"&amp;$A581&amp;"|"&amp;$AE581)</f>
        <v/>
      </c>
      <c r="AI581" s="32">
        <f>IF(OR($C581="",$AE581="",$AE581=1),"",IFERROR(INDEX($AC$6:$AC$1505,MATCH($C581&amp;"|"&amp;$A581&amp;"|"&amp;($AE581-1),$AH$6:$AH$1505,0)),""))</f>
        <v/>
      </c>
      <c r="AJ581" s="32">
        <f>IF(OR($AI581="",$AC581=""),"",IF($AI581=$AC581,"ללא שינוי","מ-"&amp;$AI581&amp;" ל-"&amp;$AC581))</f>
        <v/>
      </c>
      <c r="AK581" s="67" t="n"/>
    </row>
    <row r="582" ht="15.75" customHeight="1" s="58">
      <c r="A582" s="65" t="n"/>
      <c r="B582" s="65" t="n"/>
      <c r="C582" s="66" t="n"/>
      <c r="D582" s="66" t="n"/>
      <c r="E582" s="65" t="n"/>
      <c r="F582" s="65" t="n"/>
      <c r="G582" s="65" t="n"/>
      <c r="H582" s="65" t="n"/>
      <c r="I582" s="65" t="n"/>
      <c r="J582" s="65" t="n"/>
      <c r="K582" s="65" t="n"/>
      <c r="L582" s="65" t="n"/>
      <c r="M582" s="65" t="n"/>
      <c r="N582" s="65" t="n"/>
      <c r="O582" s="65" t="n"/>
      <c r="P582" s="65" t="n"/>
      <c r="Q582" s="65" t="n"/>
      <c r="R582" s="65" t="n"/>
      <c r="S582" s="65" t="n"/>
      <c r="T582" s="65" t="n"/>
      <c r="U582" s="65" t="n"/>
      <c r="V582" s="65" t="n"/>
      <c r="W582" s="65" t="n"/>
      <c r="X582" s="65" t="n"/>
      <c r="Y582" s="32">
        <f>IF($C582="","",IF(COUNTA($I582:$K582)&lt;3,"— חסרים נתונים",IF(AND($I582="תקין",$J582="תקין",$K582="תקין"),"רהוטה",IF(AND($I582="תקין",$J582="תקין"),"מדויקת ורציפה","אינה מדויקת או מקוטעת"))))</f>
        <v/>
      </c>
      <c r="Z582" s="32">
        <f>IF($C582="","",IF(COUNTA($U582:$W582)&lt;3,"",IF(AND($U582="מפותח",$V582="מפותח",$W582="מפותחת"),"מפותחת",IF((--($U582="דל"))+(--($V582="אינו מפותח"))+(--($W582="דלה"))&gt;=2,"אינה מפותחת","חלקית"))))</f>
        <v/>
      </c>
      <c r="AA582" s="32">
        <f>IF($C582="","",IF(COUNTA($M582,$N582,$O582)&lt;3,"— חסרים נתונים",IF(OR($M582="נמוכה",(--($M582&lt;&gt;"תקינה"))+(--($N582&lt;&gt;"תקין"))+(--($O582&lt;&gt;"תקינה"))&gt;=2),"ניכרת","אינה ניכרת")))</f>
        <v/>
      </c>
      <c r="AB582" s="32">
        <f>IF(OR($C582="",$Y582="",$AA582="",LEFT($Y582,1)="—",LEFT($AA582,1)="—"),"",IF($Z582="","— נדרשת הערכת כתיבה",IF($L582="","— חסרה הבנת הנקרא",IF($Y582="אינה מדויקת או מקוטעת",IF($AA582="ניכרת","מיקוד בשטף הקריאה ובכישורי שפה","מיקוד בשטף קריאה"),IF($AA582="ניכרת","מיקוד בכישורי שפה",IF(AND($L582="תקינה",$Z582="מפותחת"),"קוראים וכותבים מיומנים","מיקוד בהבנה והבעה"))))))</f>
        <v/>
      </c>
      <c r="AC582" s="32">
        <f>IF(OR($AB582="",LEFT($AB582,1)="—"),"",IF(OR($AB582="מיקוד בשטף קריאה",$AB582="מיקוד בשטף הקריאה ובכישורי שפה"),"רמה א'",IF($AB582="קוראים וכותבים מיומנים","רמה ג'","רמה ב'")))</f>
        <v/>
      </c>
      <c r="AD582" s="32">
        <f>IF($AC582="","",MID(IF(AND($AC582="רמה א'",$AA582="ניכרת"),"; להוסיף עבודת אוצר מילים","")&amp;IF($Z582="אינה מפותחת","; דגש על הבעה בכתב","")&amp;IF($K582&lt;&gt;"תקין","; נדרש לעבוד על ההנגנה","")&amp;IF($AK582&lt;&gt;"","; "&amp;$AK582,""),3,400))</f>
        <v/>
      </c>
      <c r="AE582" s="32">
        <f>IF($F582="","",IF($F582="תחילת שנה",1,IF($F582="מחצית שנה",2,3)))</f>
        <v/>
      </c>
      <c r="AF582" s="32">
        <f>IF(OR($B582="",$AC582="",$A582="",$F582=""),"",$B582&amp;"|"&amp;$A582&amp;"|"&amp;$F582&amp;"|"&amp;$AC582&amp;"|"&amp;COUNTIFS($B$6:$B582,$B582,$A$6:$A582,$A582,$F$6:$F582,$F582,$AC$6:$AC582,$AC582))</f>
        <v/>
      </c>
      <c r="AG582" s="32">
        <f>IF($C582="","",$C582&amp;"|"&amp;COUNTIFS($C$6:$C582,$C582))</f>
        <v/>
      </c>
      <c r="AH582" s="32">
        <f>IF(OR($C582="",$A582="",$AE582=""),"",$C582&amp;"|"&amp;$A582&amp;"|"&amp;$AE582)</f>
        <v/>
      </c>
      <c r="AI582" s="32">
        <f>IF(OR($C582="",$AE582="",$AE582=1),"",IFERROR(INDEX($AC$6:$AC$1505,MATCH($C582&amp;"|"&amp;$A582&amp;"|"&amp;($AE582-1),$AH$6:$AH$1505,0)),""))</f>
        <v/>
      </c>
      <c r="AJ582" s="32">
        <f>IF(OR($AI582="",$AC582=""),"",IF($AI582=$AC582,"ללא שינוי","מ-"&amp;$AI582&amp;" ל-"&amp;$AC582))</f>
        <v/>
      </c>
      <c r="AK582" s="67" t="n"/>
    </row>
    <row r="583" ht="15.75" customHeight="1" s="58">
      <c r="A583" s="65" t="n"/>
      <c r="B583" s="65" t="n"/>
      <c r="C583" s="66" t="n"/>
      <c r="D583" s="66" t="n"/>
      <c r="E583" s="65" t="n"/>
      <c r="F583" s="65" t="n"/>
      <c r="G583" s="65" t="n"/>
      <c r="H583" s="65" t="n"/>
      <c r="I583" s="65" t="n"/>
      <c r="J583" s="65" t="n"/>
      <c r="K583" s="65" t="n"/>
      <c r="L583" s="65" t="n"/>
      <c r="M583" s="65" t="n"/>
      <c r="N583" s="65" t="n"/>
      <c r="O583" s="65" t="n"/>
      <c r="P583" s="65" t="n"/>
      <c r="Q583" s="65" t="n"/>
      <c r="R583" s="65" t="n"/>
      <c r="S583" s="65" t="n"/>
      <c r="T583" s="65" t="n"/>
      <c r="U583" s="65" t="n"/>
      <c r="V583" s="65" t="n"/>
      <c r="W583" s="65" t="n"/>
      <c r="X583" s="65" t="n"/>
      <c r="Y583" s="32">
        <f>IF($C583="","",IF(COUNTA($I583:$K583)&lt;3,"— חסרים נתונים",IF(AND($I583="תקין",$J583="תקין",$K583="תקין"),"רהוטה",IF(AND($I583="תקין",$J583="תקין"),"מדויקת ורציפה","אינה מדויקת או מקוטעת"))))</f>
        <v/>
      </c>
      <c r="Z583" s="32">
        <f>IF($C583="","",IF(COUNTA($U583:$W583)&lt;3,"",IF(AND($U583="מפותח",$V583="מפותח",$W583="מפותחת"),"מפותחת",IF((--($U583="דל"))+(--($V583="אינו מפותח"))+(--($W583="דלה"))&gt;=2,"אינה מפותחת","חלקית"))))</f>
        <v/>
      </c>
      <c r="AA583" s="32">
        <f>IF($C583="","",IF(COUNTA($M583,$N583,$O583)&lt;3,"— חסרים נתונים",IF(OR($M583="נמוכה",(--($M583&lt;&gt;"תקינה"))+(--($N583&lt;&gt;"תקין"))+(--($O583&lt;&gt;"תקינה"))&gt;=2),"ניכרת","אינה ניכרת")))</f>
        <v/>
      </c>
      <c r="AB583" s="32">
        <f>IF(OR($C583="",$Y583="",$AA583="",LEFT($Y583,1)="—",LEFT($AA583,1)="—"),"",IF($Z583="","— נדרשת הערכת כתיבה",IF($L583="","— חסרה הבנת הנקרא",IF($Y583="אינה מדויקת או מקוטעת",IF($AA583="ניכרת","מיקוד בשטף הקריאה ובכישורי שפה","מיקוד בשטף קריאה"),IF($AA583="ניכרת","מיקוד בכישורי שפה",IF(AND($L583="תקינה",$Z583="מפותחת"),"קוראים וכותבים מיומנים","מיקוד בהבנה והבעה"))))))</f>
        <v/>
      </c>
      <c r="AC583" s="32">
        <f>IF(OR($AB583="",LEFT($AB583,1)="—"),"",IF(OR($AB583="מיקוד בשטף קריאה",$AB583="מיקוד בשטף הקריאה ובכישורי שפה"),"רמה א'",IF($AB583="קוראים וכותבים מיומנים","רמה ג'","רמה ב'")))</f>
        <v/>
      </c>
      <c r="AD583" s="32">
        <f>IF($AC583="","",MID(IF(AND($AC583="רמה א'",$AA583="ניכרת"),"; להוסיף עבודת אוצר מילים","")&amp;IF($Z583="אינה מפותחת","; דגש על הבעה בכתב","")&amp;IF($K583&lt;&gt;"תקין","; נדרש לעבוד על ההנגנה","")&amp;IF($AK583&lt;&gt;"","; "&amp;$AK583,""),3,400))</f>
        <v/>
      </c>
      <c r="AE583" s="32">
        <f>IF($F583="","",IF($F583="תחילת שנה",1,IF($F583="מחצית שנה",2,3)))</f>
        <v/>
      </c>
      <c r="AF583" s="32">
        <f>IF(OR($B583="",$AC583="",$A583="",$F583=""),"",$B583&amp;"|"&amp;$A583&amp;"|"&amp;$F583&amp;"|"&amp;$AC583&amp;"|"&amp;COUNTIFS($B$6:$B583,$B583,$A$6:$A583,$A583,$F$6:$F583,$F583,$AC$6:$AC583,$AC583))</f>
        <v/>
      </c>
      <c r="AG583" s="32">
        <f>IF($C583="","",$C583&amp;"|"&amp;COUNTIFS($C$6:$C583,$C583))</f>
        <v/>
      </c>
      <c r="AH583" s="32">
        <f>IF(OR($C583="",$A583="",$AE583=""),"",$C583&amp;"|"&amp;$A583&amp;"|"&amp;$AE583)</f>
        <v/>
      </c>
      <c r="AI583" s="32">
        <f>IF(OR($C583="",$AE583="",$AE583=1),"",IFERROR(INDEX($AC$6:$AC$1505,MATCH($C583&amp;"|"&amp;$A583&amp;"|"&amp;($AE583-1),$AH$6:$AH$1505,0)),""))</f>
        <v/>
      </c>
      <c r="AJ583" s="32">
        <f>IF(OR($AI583="",$AC583=""),"",IF($AI583=$AC583,"ללא שינוי","מ-"&amp;$AI583&amp;" ל-"&amp;$AC583))</f>
        <v/>
      </c>
      <c r="AK583" s="67" t="n"/>
    </row>
    <row r="584" ht="15.75" customHeight="1" s="58">
      <c r="A584" s="65" t="n"/>
      <c r="B584" s="65" t="n"/>
      <c r="C584" s="66" t="n"/>
      <c r="D584" s="66" t="n"/>
      <c r="E584" s="65" t="n"/>
      <c r="F584" s="65" t="n"/>
      <c r="G584" s="65" t="n"/>
      <c r="H584" s="65" t="n"/>
      <c r="I584" s="65" t="n"/>
      <c r="J584" s="65" t="n"/>
      <c r="K584" s="65" t="n"/>
      <c r="L584" s="65" t="n"/>
      <c r="M584" s="65" t="n"/>
      <c r="N584" s="65" t="n"/>
      <c r="O584" s="65" t="n"/>
      <c r="P584" s="65" t="n"/>
      <c r="Q584" s="65" t="n"/>
      <c r="R584" s="65" t="n"/>
      <c r="S584" s="65" t="n"/>
      <c r="T584" s="65" t="n"/>
      <c r="U584" s="65" t="n"/>
      <c r="V584" s="65" t="n"/>
      <c r="W584" s="65" t="n"/>
      <c r="X584" s="65" t="n"/>
      <c r="Y584" s="32">
        <f>IF($C584="","",IF(COUNTA($I584:$K584)&lt;3,"— חסרים נתונים",IF(AND($I584="תקין",$J584="תקין",$K584="תקין"),"רהוטה",IF(AND($I584="תקין",$J584="תקין"),"מדויקת ורציפה","אינה מדויקת או מקוטעת"))))</f>
        <v/>
      </c>
      <c r="Z584" s="32">
        <f>IF($C584="","",IF(COUNTA($U584:$W584)&lt;3,"",IF(AND($U584="מפותח",$V584="מפותח",$W584="מפותחת"),"מפותחת",IF((--($U584="דל"))+(--($V584="אינו מפותח"))+(--($W584="דלה"))&gt;=2,"אינה מפותחת","חלקית"))))</f>
        <v/>
      </c>
      <c r="AA584" s="32">
        <f>IF($C584="","",IF(COUNTA($M584,$N584,$O584)&lt;3,"— חסרים נתונים",IF(OR($M584="נמוכה",(--($M584&lt;&gt;"תקינה"))+(--($N584&lt;&gt;"תקין"))+(--($O584&lt;&gt;"תקינה"))&gt;=2),"ניכרת","אינה ניכרת")))</f>
        <v/>
      </c>
      <c r="AB584" s="32">
        <f>IF(OR($C584="",$Y584="",$AA584="",LEFT($Y584,1)="—",LEFT($AA584,1)="—"),"",IF($Z584="","— נדרשת הערכת כתיבה",IF($L584="","— חסרה הבנת הנקרא",IF($Y584="אינה מדויקת או מקוטעת",IF($AA584="ניכרת","מיקוד בשטף הקריאה ובכישורי שפה","מיקוד בשטף קריאה"),IF($AA584="ניכרת","מיקוד בכישורי שפה",IF(AND($L584="תקינה",$Z584="מפותחת"),"קוראים וכותבים מיומנים","מיקוד בהבנה והבעה"))))))</f>
        <v/>
      </c>
      <c r="AC584" s="32">
        <f>IF(OR($AB584="",LEFT($AB584,1)="—"),"",IF(OR($AB584="מיקוד בשטף קריאה",$AB584="מיקוד בשטף הקריאה ובכישורי שפה"),"רמה א'",IF($AB584="קוראים וכותבים מיומנים","רמה ג'","רמה ב'")))</f>
        <v/>
      </c>
      <c r="AD584" s="32">
        <f>IF($AC584="","",MID(IF(AND($AC584="רמה א'",$AA584="ניכרת"),"; להוסיף עבודת אוצר מילים","")&amp;IF($Z584="אינה מפותחת","; דגש על הבעה בכתב","")&amp;IF($K584&lt;&gt;"תקין","; נדרש לעבוד על ההנגנה","")&amp;IF($AK584&lt;&gt;"","; "&amp;$AK584,""),3,400))</f>
        <v/>
      </c>
      <c r="AE584" s="32">
        <f>IF($F584="","",IF($F584="תחילת שנה",1,IF($F584="מחצית שנה",2,3)))</f>
        <v/>
      </c>
      <c r="AF584" s="32">
        <f>IF(OR($B584="",$AC584="",$A584="",$F584=""),"",$B584&amp;"|"&amp;$A584&amp;"|"&amp;$F584&amp;"|"&amp;$AC584&amp;"|"&amp;COUNTIFS($B$6:$B584,$B584,$A$6:$A584,$A584,$F$6:$F584,$F584,$AC$6:$AC584,$AC584))</f>
        <v/>
      </c>
      <c r="AG584" s="32">
        <f>IF($C584="","",$C584&amp;"|"&amp;COUNTIFS($C$6:$C584,$C584))</f>
        <v/>
      </c>
      <c r="AH584" s="32">
        <f>IF(OR($C584="",$A584="",$AE584=""),"",$C584&amp;"|"&amp;$A584&amp;"|"&amp;$AE584)</f>
        <v/>
      </c>
      <c r="AI584" s="32">
        <f>IF(OR($C584="",$AE584="",$AE584=1),"",IFERROR(INDEX($AC$6:$AC$1505,MATCH($C584&amp;"|"&amp;$A584&amp;"|"&amp;($AE584-1),$AH$6:$AH$1505,0)),""))</f>
        <v/>
      </c>
      <c r="AJ584" s="32">
        <f>IF(OR($AI584="",$AC584=""),"",IF($AI584=$AC584,"ללא שינוי","מ-"&amp;$AI584&amp;" ל-"&amp;$AC584))</f>
        <v/>
      </c>
      <c r="AK584" s="67" t="n"/>
    </row>
    <row r="585" ht="15.75" customHeight="1" s="58">
      <c r="A585" s="65" t="n"/>
      <c r="B585" s="65" t="n"/>
      <c r="C585" s="66" t="n"/>
      <c r="D585" s="66" t="n"/>
      <c r="E585" s="65" t="n"/>
      <c r="F585" s="65" t="n"/>
      <c r="G585" s="65" t="n"/>
      <c r="H585" s="65" t="n"/>
      <c r="I585" s="65" t="n"/>
      <c r="J585" s="65" t="n"/>
      <c r="K585" s="65" t="n"/>
      <c r="L585" s="65" t="n"/>
      <c r="M585" s="65" t="n"/>
      <c r="N585" s="65" t="n"/>
      <c r="O585" s="65" t="n"/>
      <c r="P585" s="65" t="n"/>
      <c r="Q585" s="65" t="n"/>
      <c r="R585" s="65" t="n"/>
      <c r="S585" s="65" t="n"/>
      <c r="T585" s="65" t="n"/>
      <c r="U585" s="65" t="n"/>
      <c r="V585" s="65" t="n"/>
      <c r="W585" s="65" t="n"/>
      <c r="X585" s="65" t="n"/>
      <c r="Y585" s="32">
        <f>IF($C585="","",IF(COUNTA($I585:$K585)&lt;3,"— חסרים נתונים",IF(AND($I585="תקין",$J585="תקין",$K585="תקין"),"רהוטה",IF(AND($I585="תקין",$J585="תקין"),"מדויקת ורציפה","אינה מדויקת או מקוטעת"))))</f>
        <v/>
      </c>
      <c r="Z585" s="32">
        <f>IF($C585="","",IF(COUNTA($U585:$W585)&lt;3,"",IF(AND($U585="מפותח",$V585="מפותח",$W585="מפותחת"),"מפותחת",IF((--($U585="דל"))+(--($V585="אינו מפותח"))+(--($W585="דלה"))&gt;=2,"אינה מפותחת","חלקית"))))</f>
        <v/>
      </c>
      <c r="AA585" s="32">
        <f>IF($C585="","",IF(COUNTA($M585,$N585,$O585)&lt;3,"— חסרים נתונים",IF(OR($M585="נמוכה",(--($M585&lt;&gt;"תקינה"))+(--($N585&lt;&gt;"תקין"))+(--($O585&lt;&gt;"תקינה"))&gt;=2),"ניכרת","אינה ניכרת")))</f>
        <v/>
      </c>
      <c r="AB585" s="32">
        <f>IF(OR($C585="",$Y585="",$AA585="",LEFT($Y585,1)="—",LEFT($AA585,1)="—"),"",IF($Z585="","— נדרשת הערכת כתיבה",IF($L585="","— חסרה הבנת הנקרא",IF($Y585="אינה מדויקת או מקוטעת",IF($AA585="ניכרת","מיקוד בשטף הקריאה ובכישורי שפה","מיקוד בשטף קריאה"),IF($AA585="ניכרת","מיקוד בכישורי שפה",IF(AND($L585="תקינה",$Z585="מפותחת"),"קוראים וכותבים מיומנים","מיקוד בהבנה והבעה"))))))</f>
        <v/>
      </c>
      <c r="AC585" s="32">
        <f>IF(OR($AB585="",LEFT($AB585,1)="—"),"",IF(OR($AB585="מיקוד בשטף קריאה",$AB585="מיקוד בשטף הקריאה ובכישורי שפה"),"רמה א'",IF($AB585="קוראים וכותבים מיומנים","רמה ג'","רמה ב'")))</f>
        <v/>
      </c>
      <c r="AD585" s="32">
        <f>IF($AC585="","",MID(IF(AND($AC585="רמה א'",$AA585="ניכרת"),"; להוסיף עבודת אוצר מילים","")&amp;IF($Z585="אינה מפותחת","; דגש על הבעה בכתב","")&amp;IF($K585&lt;&gt;"תקין","; נדרש לעבוד על ההנגנה","")&amp;IF($AK585&lt;&gt;"","; "&amp;$AK585,""),3,400))</f>
        <v/>
      </c>
      <c r="AE585" s="32">
        <f>IF($F585="","",IF($F585="תחילת שנה",1,IF($F585="מחצית שנה",2,3)))</f>
        <v/>
      </c>
      <c r="AF585" s="32">
        <f>IF(OR($B585="",$AC585="",$A585="",$F585=""),"",$B585&amp;"|"&amp;$A585&amp;"|"&amp;$F585&amp;"|"&amp;$AC585&amp;"|"&amp;COUNTIFS($B$6:$B585,$B585,$A$6:$A585,$A585,$F$6:$F585,$F585,$AC$6:$AC585,$AC585))</f>
        <v/>
      </c>
      <c r="AG585" s="32">
        <f>IF($C585="","",$C585&amp;"|"&amp;COUNTIFS($C$6:$C585,$C585))</f>
        <v/>
      </c>
      <c r="AH585" s="32">
        <f>IF(OR($C585="",$A585="",$AE585=""),"",$C585&amp;"|"&amp;$A585&amp;"|"&amp;$AE585)</f>
        <v/>
      </c>
      <c r="AI585" s="32">
        <f>IF(OR($C585="",$AE585="",$AE585=1),"",IFERROR(INDEX($AC$6:$AC$1505,MATCH($C585&amp;"|"&amp;$A585&amp;"|"&amp;($AE585-1),$AH$6:$AH$1505,0)),""))</f>
        <v/>
      </c>
      <c r="AJ585" s="32">
        <f>IF(OR($AI585="",$AC585=""),"",IF($AI585=$AC585,"ללא שינוי","מ-"&amp;$AI585&amp;" ל-"&amp;$AC585))</f>
        <v/>
      </c>
      <c r="AK585" s="67" t="n"/>
    </row>
    <row r="586" ht="15.75" customHeight="1" s="58">
      <c r="A586" s="65" t="n"/>
      <c r="B586" s="65" t="n"/>
      <c r="C586" s="66" t="n"/>
      <c r="D586" s="66" t="n"/>
      <c r="E586" s="65" t="n"/>
      <c r="F586" s="65" t="n"/>
      <c r="G586" s="65" t="n"/>
      <c r="H586" s="65" t="n"/>
      <c r="I586" s="65" t="n"/>
      <c r="J586" s="65" t="n"/>
      <c r="K586" s="65" t="n"/>
      <c r="L586" s="65" t="n"/>
      <c r="M586" s="65" t="n"/>
      <c r="N586" s="65" t="n"/>
      <c r="O586" s="65" t="n"/>
      <c r="P586" s="65" t="n"/>
      <c r="Q586" s="65" t="n"/>
      <c r="R586" s="65" t="n"/>
      <c r="S586" s="65" t="n"/>
      <c r="T586" s="65" t="n"/>
      <c r="U586" s="65" t="n"/>
      <c r="V586" s="65" t="n"/>
      <c r="W586" s="65" t="n"/>
      <c r="X586" s="65" t="n"/>
      <c r="Y586" s="32">
        <f>IF($C586="","",IF(COUNTA($I586:$K586)&lt;3,"— חסרים נתונים",IF(AND($I586="תקין",$J586="תקין",$K586="תקין"),"רהוטה",IF(AND($I586="תקין",$J586="תקין"),"מדויקת ורציפה","אינה מדויקת או מקוטעת"))))</f>
        <v/>
      </c>
      <c r="Z586" s="32">
        <f>IF($C586="","",IF(COUNTA($U586:$W586)&lt;3,"",IF(AND($U586="מפותח",$V586="מפותח",$W586="מפותחת"),"מפותחת",IF((--($U586="דל"))+(--($V586="אינו מפותח"))+(--($W586="דלה"))&gt;=2,"אינה מפותחת","חלקית"))))</f>
        <v/>
      </c>
      <c r="AA586" s="32">
        <f>IF($C586="","",IF(COUNTA($M586,$N586,$O586)&lt;3,"— חסרים נתונים",IF(OR($M586="נמוכה",(--($M586&lt;&gt;"תקינה"))+(--($N586&lt;&gt;"תקין"))+(--($O586&lt;&gt;"תקינה"))&gt;=2),"ניכרת","אינה ניכרת")))</f>
        <v/>
      </c>
      <c r="AB586" s="32">
        <f>IF(OR($C586="",$Y586="",$AA586="",LEFT($Y586,1)="—",LEFT($AA586,1)="—"),"",IF($Z586="","— נדרשת הערכת כתיבה",IF($L586="","— חסרה הבנת הנקרא",IF($Y586="אינה מדויקת או מקוטעת",IF($AA586="ניכרת","מיקוד בשטף הקריאה ובכישורי שפה","מיקוד בשטף קריאה"),IF($AA586="ניכרת","מיקוד בכישורי שפה",IF(AND($L586="תקינה",$Z586="מפותחת"),"קוראים וכותבים מיומנים","מיקוד בהבנה והבעה"))))))</f>
        <v/>
      </c>
      <c r="AC586" s="32">
        <f>IF(OR($AB586="",LEFT($AB586,1)="—"),"",IF(OR($AB586="מיקוד בשטף קריאה",$AB586="מיקוד בשטף הקריאה ובכישורי שפה"),"רמה א'",IF($AB586="קוראים וכותבים מיומנים","רמה ג'","רמה ב'")))</f>
        <v/>
      </c>
      <c r="AD586" s="32">
        <f>IF($AC586="","",MID(IF(AND($AC586="רמה א'",$AA586="ניכרת"),"; להוסיף עבודת אוצר מילים","")&amp;IF($Z586="אינה מפותחת","; דגש על הבעה בכתב","")&amp;IF($K586&lt;&gt;"תקין","; נדרש לעבוד על ההנגנה","")&amp;IF($AK586&lt;&gt;"","; "&amp;$AK586,""),3,400))</f>
        <v/>
      </c>
      <c r="AE586" s="32">
        <f>IF($F586="","",IF($F586="תחילת שנה",1,IF($F586="מחצית שנה",2,3)))</f>
        <v/>
      </c>
      <c r="AF586" s="32">
        <f>IF(OR($B586="",$AC586="",$A586="",$F586=""),"",$B586&amp;"|"&amp;$A586&amp;"|"&amp;$F586&amp;"|"&amp;$AC586&amp;"|"&amp;COUNTIFS($B$6:$B586,$B586,$A$6:$A586,$A586,$F$6:$F586,$F586,$AC$6:$AC586,$AC586))</f>
        <v/>
      </c>
      <c r="AG586" s="32">
        <f>IF($C586="","",$C586&amp;"|"&amp;COUNTIFS($C$6:$C586,$C586))</f>
        <v/>
      </c>
      <c r="AH586" s="32">
        <f>IF(OR($C586="",$A586="",$AE586=""),"",$C586&amp;"|"&amp;$A586&amp;"|"&amp;$AE586)</f>
        <v/>
      </c>
      <c r="AI586" s="32">
        <f>IF(OR($C586="",$AE586="",$AE586=1),"",IFERROR(INDEX($AC$6:$AC$1505,MATCH($C586&amp;"|"&amp;$A586&amp;"|"&amp;($AE586-1),$AH$6:$AH$1505,0)),""))</f>
        <v/>
      </c>
      <c r="AJ586" s="32">
        <f>IF(OR($AI586="",$AC586=""),"",IF($AI586=$AC586,"ללא שינוי","מ-"&amp;$AI586&amp;" ל-"&amp;$AC586))</f>
        <v/>
      </c>
      <c r="AK586" s="67" t="n"/>
    </row>
    <row r="587" ht="15.75" customHeight="1" s="58">
      <c r="A587" s="65" t="n"/>
      <c r="B587" s="65" t="n"/>
      <c r="C587" s="66" t="n"/>
      <c r="D587" s="66" t="n"/>
      <c r="E587" s="65" t="n"/>
      <c r="F587" s="65" t="n"/>
      <c r="G587" s="65" t="n"/>
      <c r="H587" s="65" t="n"/>
      <c r="I587" s="65" t="n"/>
      <c r="J587" s="65" t="n"/>
      <c r="K587" s="65" t="n"/>
      <c r="L587" s="65" t="n"/>
      <c r="M587" s="65" t="n"/>
      <c r="N587" s="65" t="n"/>
      <c r="O587" s="65" t="n"/>
      <c r="P587" s="65" t="n"/>
      <c r="Q587" s="65" t="n"/>
      <c r="R587" s="65" t="n"/>
      <c r="S587" s="65" t="n"/>
      <c r="T587" s="65" t="n"/>
      <c r="U587" s="65" t="n"/>
      <c r="V587" s="65" t="n"/>
      <c r="W587" s="65" t="n"/>
      <c r="X587" s="65" t="n"/>
      <c r="Y587" s="32">
        <f>IF($C587="","",IF(COUNTA($I587:$K587)&lt;3,"— חסרים נתונים",IF(AND($I587="תקין",$J587="תקין",$K587="תקין"),"רהוטה",IF(AND($I587="תקין",$J587="תקין"),"מדויקת ורציפה","אינה מדויקת או מקוטעת"))))</f>
        <v/>
      </c>
      <c r="Z587" s="32">
        <f>IF($C587="","",IF(COUNTA($U587:$W587)&lt;3,"",IF(AND($U587="מפותח",$V587="מפותח",$W587="מפותחת"),"מפותחת",IF((--($U587="דל"))+(--($V587="אינו מפותח"))+(--($W587="דלה"))&gt;=2,"אינה מפותחת","חלקית"))))</f>
        <v/>
      </c>
      <c r="AA587" s="32">
        <f>IF($C587="","",IF(COUNTA($M587,$N587,$O587)&lt;3,"— חסרים נתונים",IF(OR($M587="נמוכה",(--($M587&lt;&gt;"תקינה"))+(--($N587&lt;&gt;"תקין"))+(--($O587&lt;&gt;"תקינה"))&gt;=2),"ניכרת","אינה ניכרת")))</f>
        <v/>
      </c>
      <c r="AB587" s="32">
        <f>IF(OR($C587="",$Y587="",$AA587="",LEFT($Y587,1)="—",LEFT($AA587,1)="—"),"",IF($Z587="","— נדרשת הערכת כתיבה",IF($L587="","— חסרה הבנת הנקרא",IF($Y587="אינה מדויקת או מקוטעת",IF($AA587="ניכרת","מיקוד בשטף הקריאה ובכישורי שפה","מיקוד בשטף קריאה"),IF($AA587="ניכרת","מיקוד בכישורי שפה",IF(AND($L587="תקינה",$Z587="מפותחת"),"קוראים וכותבים מיומנים","מיקוד בהבנה והבעה"))))))</f>
        <v/>
      </c>
      <c r="AC587" s="32">
        <f>IF(OR($AB587="",LEFT($AB587,1)="—"),"",IF(OR($AB587="מיקוד בשטף קריאה",$AB587="מיקוד בשטף הקריאה ובכישורי שפה"),"רמה א'",IF($AB587="קוראים וכותבים מיומנים","רמה ג'","רמה ב'")))</f>
        <v/>
      </c>
      <c r="AD587" s="32">
        <f>IF($AC587="","",MID(IF(AND($AC587="רמה א'",$AA587="ניכרת"),"; להוסיף עבודת אוצר מילים","")&amp;IF($Z587="אינה מפותחת","; דגש על הבעה בכתב","")&amp;IF($K587&lt;&gt;"תקין","; נדרש לעבוד על ההנגנה","")&amp;IF($AK587&lt;&gt;"","; "&amp;$AK587,""),3,400))</f>
        <v/>
      </c>
      <c r="AE587" s="32">
        <f>IF($F587="","",IF($F587="תחילת שנה",1,IF($F587="מחצית שנה",2,3)))</f>
        <v/>
      </c>
      <c r="AF587" s="32">
        <f>IF(OR($B587="",$AC587="",$A587="",$F587=""),"",$B587&amp;"|"&amp;$A587&amp;"|"&amp;$F587&amp;"|"&amp;$AC587&amp;"|"&amp;COUNTIFS($B$6:$B587,$B587,$A$6:$A587,$A587,$F$6:$F587,$F587,$AC$6:$AC587,$AC587))</f>
        <v/>
      </c>
      <c r="AG587" s="32">
        <f>IF($C587="","",$C587&amp;"|"&amp;COUNTIFS($C$6:$C587,$C587))</f>
        <v/>
      </c>
      <c r="AH587" s="32">
        <f>IF(OR($C587="",$A587="",$AE587=""),"",$C587&amp;"|"&amp;$A587&amp;"|"&amp;$AE587)</f>
        <v/>
      </c>
      <c r="AI587" s="32">
        <f>IF(OR($C587="",$AE587="",$AE587=1),"",IFERROR(INDEX($AC$6:$AC$1505,MATCH($C587&amp;"|"&amp;$A587&amp;"|"&amp;($AE587-1),$AH$6:$AH$1505,0)),""))</f>
        <v/>
      </c>
      <c r="AJ587" s="32">
        <f>IF(OR($AI587="",$AC587=""),"",IF($AI587=$AC587,"ללא שינוי","מ-"&amp;$AI587&amp;" ל-"&amp;$AC587))</f>
        <v/>
      </c>
      <c r="AK587" s="67" t="n"/>
    </row>
    <row r="588" ht="15.75" customHeight="1" s="58">
      <c r="A588" s="65" t="n"/>
      <c r="B588" s="65" t="n"/>
      <c r="C588" s="66" t="n"/>
      <c r="D588" s="66" t="n"/>
      <c r="E588" s="65" t="n"/>
      <c r="F588" s="65" t="n"/>
      <c r="G588" s="65" t="n"/>
      <c r="H588" s="65" t="n"/>
      <c r="I588" s="65" t="n"/>
      <c r="J588" s="65" t="n"/>
      <c r="K588" s="65" t="n"/>
      <c r="L588" s="65" t="n"/>
      <c r="M588" s="65" t="n"/>
      <c r="N588" s="65" t="n"/>
      <c r="O588" s="65" t="n"/>
      <c r="P588" s="65" t="n"/>
      <c r="Q588" s="65" t="n"/>
      <c r="R588" s="65" t="n"/>
      <c r="S588" s="65" t="n"/>
      <c r="T588" s="65" t="n"/>
      <c r="U588" s="65" t="n"/>
      <c r="V588" s="65" t="n"/>
      <c r="W588" s="65" t="n"/>
      <c r="X588" s="65" t="n"/>
      <c r="Y588" s="32">
        <f>IF($C588="","",IF(COUNTA($I588:$K588)&lt;3,"— חסרים נתונים",IF(AND($I588="תקין",$J588="תקין",$K588="תקין"),"רהוטה",IF(AND($I588="תקין",$J588="תקין"),"מדויקת ורציפה","אינה מדויקת או מקוטעת"))))</f>
        <v/>
      </c>
      <c r="Z588" s="32">
        <f>IF($C588="","",IF(COUNTA($U588:$W588)&lt;3,"",IF(AND($U588="מפותח",$V588="מפותח",$W588="מפותחת"),"מפותחת",IF((--($U588="דל"))+(--($V588="אינו מפותח"))+(--($W588="דלה"))&gt;=2,"אינה מפותחת","חלקית"))))</f>
        <v/>
      </c>
      <c r="AA588" s="32">
        <f>IF($C588="","",IF(COUNTA($M588,$N588,$O588)&lt;3,"— חסרים נתונים",IF(OR($M588="נמוכה",(--($M588&lt;&gt;"תקינה"))+(--($N588&lt;&gt;"תקין"))+(--($O588&lt;&gt;"תקינה"))&gt;=2),"ניכרת","אינה ניכרת")))</f>
        <v/>
      </c>
      <c r="AB588" s="32">
        <f>IF(OR($C588="",$Y588="",$AA588="",LEFT($Y588,1)="—",LEFT($AA588,1)="—"),"",IF($Z588="","— נדרשת הערכת כתיבה",IF($L588="","— חסרה הבנת הנקרא",IF($Y588="אינה מדויקת או מקוטעת",IF($AA588="ניכרת","מיקוד בשטף הקריאה ובכישורי שפה","מיקוד בשטף קריאה"),IF($AA588="ניכרת","מיקוד בכישורי שפה",IF(AND($L588="תקינה",$Z588="מפותחת"),"קוראים וכותבים מיומנים","מיקוד בהבנה והבעה"))))))</f>
        <v/>
      </c>
      <c r="AC588" s="32">
        <f>IF(OR($AB588="",LEFT($AB588,1)="—"),"",IF(OR($AB588="מיקוד בשטף קריאה",$AB588="מיקוד בשטף הקריאה ובכישורי שפה"),"רמה א'",IF($AB588="קוראים וכותבים מיומנים","רמה ג'","רמה ב'")))</f>
        <v/>
      </c>
      <c r="AD588" s="32">
        <f>IF($AC588="","",MID(IF(AND($AC588="רמה א'",$AA588="ניכרת"),"; להוסיף עבודת אוצר מילים","")&amp;IF($Z588="אינה מפותחת","; דגש על הבעה בכתב","")&amp;IF($K588&lt;&gt;"תקין","; נדרש לעבוד על ההנגנה","")&amp;IF($AK588&lt;&gt;"","; "&amp;$AK588,""),3,400))</f>
        <v/>
      </c>
      <c r="AE588" s="32">
        <f>IF($F588="","",IF($F588="תחילת שנה",1,IF($F588="מחצית שנה",2,3)))</f>
        <v/>
      </c>
      <c r="AF588" s="32">
        <f>IF(OR($B588="",$AC588="",$A588="",$F588=""),"",$B588&amp;"|"&amp;$A588&amp;"|"&amp;$F588&amp;"|"&amp;$AC588&amp;"|"&amp;COUNTIFS($B$6:$B588,$B588,$A$6:$A588,$A588,$F$6:$F588,$F588,$AC$6:$AC588,$AC588))</f>
        <v/>
      </c>
      <c r="AG588" s="32">
        <f>IF($C588="","",$C588&amp;"|"&amp;COUNTIFS($C$6:$C588,$C588))</f>
        <v/>
      </c>
      <c r="AH588" s="32">
        <f>IF(OR($C588="",$A588="",$AE588=""),"",$C588&amp;"|"&amp;$A588&amp;"|"&amp;$AE588)</f>
        <v/>
      </c>
      <c r="AI588" s="32">
        <f>IF(OR($C588="",$AE588="",$AE588=1),"",IFERROR(INDEX($AC$6:$AC$1505,MATCH($C588&amp;"|"&amp;$A588&amp;"|"&amp;($AE588-1),$AH$6:$AH$1505,0)),""))</f>
        <v/>
      </c>
      <c r="AJ588" s="32">
        <f>IF(OR($AI588="",$AC588=""),"",IF($AI588=$AC588,"ללא שינוי","מ-"&amp;$AI588&amp;" ל-"&amp;$AC588))</f>
        <v/>
      </c>
      <c r="AK588" s="67" t="n"/>
    </row>
    <row r="589" ht="15.75" customHeight="1" s="58">
      <c r="A589" s="65" t="n"/>
      <c r="B589" s="65" t="n"/>
      <c r="C589" s="66" t="n"/>
      <c r="D589" s="66" t="n"/>
      <c r="E589" s="65" t="n"/>
      <c r="F589" s="65" t="n"/>
      <c r="G589" s="65" t="n"/>
      <c r="H589" s="65" t="n"/>
      <c r="I589" s="65" t="n"/>
      <c r="J589" s="65" t="n"/>
      <c r="K589" s="65" t="n"/>
      <c r="L589" s="65" t="n"/>
      <c r="M589" s="65" t="n"/>
      <c r="N589" s="65" t="n"/>
      <c r="O589" s="65" t="n"/>
      <c r="P589" s="65" t="n"/>
      <c r="Q589" s="65" t="n"/>
      <c r="R589" s="65" t="n"/>
      <c r="S589" s="65" t="n"/>
      <c r="T589" s="65" t="n"/>
      <c r="U589" s="65" t="n"/>
      <c r="V589" s="65" t="n"/>
      <c r="W589" s="65" t="n"/>
      <c r="X589" s="65" t="n"/>
      <c r="Y589" s="32">
        <f>IF($C589="","",IF(COUNTA($I589:$K589)&lt;3,"— חסרים נתונים",IF(AND($I589="תקין",$J589="תקין",$K589="תקין"),"רהוטה",IF(AND($I589="תקין",$J589="תקין"),"מדויקת ורציפה","אינה מדויקת או מקוטעת"))))</f>
        <v/>
      </c>
      <c r="Z589" s="32">
        <f>IF($C589="","",IF(COUNTA($U589:$W589)&lt;3,"",IF(AND($U589="מפותח",$V589="מפותח",$W589="מפותחת"),"מפותחת",IF((--($U589="דל"))+(--($V589="אינו מפותח"))+(--($W589="דלה"))&gt;=2,"אינה מפותחת","חלקית"))))</f>
        <v/>
      </c>
      <c r="AA589" s="32">
        <f>IF($C589="","",IF(COUNTA($M589,$N589,$O589)&lt;3,"— חסרים נתונים",IF(OR($M589="נמוכה",(--($M589&lt;&gt;"תקינה"))+(--($N589&lt;&gt;"תקין"))+(--($O589&lt;&gt;"תקינה"))&gt;=2),"ניכרת","אינה ניכרת")))</f>
        <v/>
      </c>
      <c r="AB589" s="32">
        <f>IF(OR($C589="",$Y589="",$AA589="",LEFT($Y589,1)="—",LEFT($AA589,1)="—"),"",IF($Z589="","— נדרשת הערכת כתיבה",IF($L589="","— חסרה הבנת הנקרא",IF($Y589="אינה מדויקת או מקוטעת",IF($AA589="ניכרת","מיקוד בשטף הקריאה ובכישורי שפה","מיקוד בשטף קריאה"),IF($AA589="ניכרת","מיקוד בכישורי שפה",IF(AND($L589="תקינה",$Z589="מפותחת"),"קוראים וכותבים מיומנים","מיקוד בהבנה והבעה"))))))</f>
        <v/>
      </c>
      <c r="AC589" s="32">
        <f>IF(OR($AB589="",LEFT($AB589,1)="—"),"",IF(OR($AB589="מיקוד בשטף קריאה",$AB589="מיקוד בשטף הקריאה ובכישורי שפה"),"רמה א'",IF($AB589="קוראים וכותבים מיומנים","רמה ג'","רמה ב'")))</f>
        <v/>
      </c>
      <c r="AD589" s="32">
        <f>IF($AC589="","",MID(IF(AND($AC589="רמה א'",$AA589="ניכרת"),"; להוסיף עבודת אוצר מילים","")&amp;IF($Z589="אינה מפותחת","; דגש על הבעה בכתב","")&amp;IF($K589&lt;&gt;"תקין","; נדרש לעבוד על ההנגנה","")&amp;IF($AK589&lt;&gt;"","; "&amp;$AK589,""),3,400))</f>
        <v/>
      </c>
      <c r="AE589" s="32">
        <f>IF($F589="","",IF($F589="תחילת שנה",1,IF($F589="מחצית שנה",2,3)))</f>
        <v/>
      </c>
      <c r="AF589" s="32">
        <f>IF(OR($B589="",$AC589="",$A589="",$F589=""),"",$B589&amp;"|"&amp;$A589&amp;"|"&amp;$F589&amp;"|"&amp;$AC589&amp;"|"&amp;COUNTIFS($B$6:$B589,$B589,$A$6:$A589,$A589,$F$6:$F589,$F589,$AC$6:$AC589,$AC589))</f>
        <v/>
      </c>
      <c r="AG589" s="32">
        <f>IF($C589="","",$C589&amp;"|"&amp;COUNTIFS($C$6:$C589,$C589))</f>
        <v/>
      </c>
      <c r="AH589" s="32">
        <f>IF(OR($C589="",$A589="",$AE589=""),"",$C589&amp;"|"&amp;$A589&amp;"|"&amp;$AE589)</f>
        <v/>
      </c>
      <c r="AI589" s="32">
        <f>IF(OR($C589="",$AE589="",$AE589=1),"",IFERROR(INDEX($AC$6:$AC$1505,MATCH($C589&amp;"|"&amp;$A589&amp;"|"&amp;($AE589-1),$AH$6:$AH$1505,0)),""))</f>
        <v/>
      </c>
      <c r="AJ589" s="32">
        <f>IF(OR($AI589="",$AC589=""),"",IF($AI589=$AC589,"ללא שינוי","מ-"&amp;$AI589&amp;" ל-"&amp;$AC589))</f>
        <v/>
      </c>
      <c r="AK589" s="67" t="n"/>
    </row>
    <row r="590" ht="15.75" customHeight="1" s="58">
      <c r="A590" s="65" t="n"/>
      <c r="B590" s="65" t="n"/>
      <c r="C590" s="66" t="n"/>
      <c r="D590" s="66" t="n"/>
      <c r="E590" s="65" t="n"/>
      <c r="F590" s="65" t="n"/>
      <c r="G590" s="65" t="n"/>
      <c r="H590" s="65" t="n"/>
      <c r="I590" s="65" t="n"/>
      <c r="J590" s="65" t="n"/>
      <c r="K590" s="65" t="n"/>
      <c r="L590" s="65" t="n"/>
      <c r="M590" s="65" t="n"/>
      <c r="N590" s="65" t="n"/>
      <c r="O590" s="65" t="n"/>
      <c r="P590" s="65" t="n"/>
      <c r="Q590" s="65" t="n"/>
      <c r="R590" s="65" t="n"/>
      <c r="S590" s="65" t="n"/>
      <c r="T590" s="65" t="n"/>
      <c r="U590" s="65" t="n"/>
      <c r="V590" s="65" t="n"/>
      <c r="W590" s="65" t="n"/>
      <c r="X590" s="65" t="n"/>
      <c r="Y590" s="32">
        <f>IF($C590="","",IF(COUNTA($I590:$K590)&lt;3,"— חסרים נתונים",IF(AND($I590="תקין",$J590="תקין",$K590="תקין"),"רהוטה",IF(AND($I590="תקין",$J590="תקין"),"מדויקת ורציפה","אינה מדויקת או מקוטעת"))))</f>
        <v/>
      </c>
      <c r="Z590" s="32">
        <f>IF($C590="","",IF(COUNTA($U590:$W590)&lt;3,"",IF(AND($U590="מפותח",$V590="מפותח",$W590="מפותחת"),"מפותחת",IF((--($U590="דל"))+(--($V590="אינו מפותח"))+(--($W590="דלה"))&gt;=2,"אינה מפותחת","חלקית"))))</f>
        <v/>
      </c>
      <c r="AA590" s="32">
        <f>IF($C590="","",IF(COUNTA($M590,$N590,$O590)&lt;3,"— חסרים נתונים",IF(OR($M590="נמוכה",(--($M590&lt;&gt;"תקינה"))+(--($N590&lt;&gt;"תקין"))+(--($O590&lt;&gt;"תקינה"))&gt;=2),"ניכרת","אינה ניכרת")))</f>
        <v/>
      </c>
      <c r="AB590" s="32">
        <f>IF(OR($C590="",$Y590="",$AA590="",LEFT($Y590,1)="—",LEFT($AA590,1)="—"),"",IF($Z590="","— נדרשת הערכת כתיבה",IF($L590="","— חסרה הבנת הנקרא",IF($Y590="אינה מדויקת או מקוטעת",IF($AA590="ניכרת","מיקוד בשטף הקריאה ובכישורי שפה","מיקוד בשטף קריאה"),IF($AA590="ניכרת","מיקוד בכישורי שפה",IF(AND($L590="תקינה",$Z590="מפותחת"),"קוראים וכותבים מיומנים","מיקוד בהבנה והבעה"))))))</f>
        <v/>
      </c>
      <c r="AC590" s="32">
        <f>IF(OR($AB590="",LEFT($AB590,1)="—"),"",IF(OR($AB590="מיקוד בשטף קריאה",$AB590="מיקוד בשטף הקריאה ובכישורי שפה"),"רמה א'",IF($AB590="קוראים וכותבים מיומנים","רמה ג'","רמה ב'")))</f>
        <v/>
      </c>
      <c r="AD590" s="32">
        <f>IF($AC590="","",MID(IF(AND($AC590="רמה א'",$AA590="ניכרת"),"; להוסיף עבודת אוצר מילים","")&amp;IF($Z590="אינה מפותחת","; דגש על הבעה בכתב","")&amp;IF($K590&lt;&gt;"תקין","; נדרש לעבוד על ההנגנה","")&amp;IF($AK590&lt;&gt;"","; "&amp;$AK590,""),3,400))</f>
        <v/>
      </c>
      <c r="AE590" s="32">
        <f>IF($F590="","",IF($F590="תחילת שנה",1,IF($F590="מחצית שנה",2,3)))</f>
        <v/>
      </c>
      <c r="AF590" s="32">
        <f>IF(OR($B590="",$AC590="",$A590="",$F590=""),"",$B590&amp;"|"&amp;$A590&amp;"|"&amp;$F590&amp;"|"&amp;$AC590&amp;"|"&amp;COUNTIFS($B$6:$B590,$B590,$A$6:$A590,$A590,$F$6:$F590,$F590,$AC$6:$AC590,$AC590))</f>
        <v/>
      </c>
      <c r="AG590" s="32">
        <f>IF($C590="","",$C590&amp;"|"&amp;COUNTIFS($C$6:$C590,$C590))</f>
        <v/>
      </c>
      <c r="AH590" s="32">
        <f>IF(OR($C590="",$A590="",$AE590=""),"",$C590&amp;"|"&amp;$A590&amp;"|"&amp;$AE590)</f>
        <v/>
      </c>
      <c r="AI590" s="32">
        <f>IF(OR($C590="",$AE590="",$AE590=1),"",IFERROR(INDEX($AC$6:$AC$1505,MATCH($C590&amp;"|"&amp;$A590&amp;"|"&amp;($AE590-1),$AH$6:$AH$1505,0)),""))</f>
        <v/>
      </c>
      <c r="AJ590" s="32">
        <f>IF(OR($AI590="",$AC590=""),"",IF($AI590=$AC590,"ללא שינוי","מ-"&amp;$AI590&amp;" ל-"&amp;$AC590))</f>
        <v/>
      </c>
      <c r="AK590" s="67" t="n"/>
    </row>
    <row r="591" ht="15.75" customHeight="1" s="58">
      <c r="A591" s="65" t="n"/>
      <c r="B591" s="65" t="n"/>
      <c r="C591" s="66" t="n"/>
      <c r="D591" s="66" t="n"/>
      <c r="E591" s="65" t="n"/>
      <c r="F591" s="65" t="n"/>
      <c r="G591" s="65" t="n"/>
      <c r="H591" s="65" t="n"/>
      <c r="I591" s="65" t="n"/>
      <c r="J591" s="65" t="n"/>
      <c r="K591" s="65" t="n"/>
      <c r="L591" s="65" t="n"/>
      <c r="M591" s="65" t="n"/>
      <c r="N591" s="65" t="n"/>
      <c r="O591" s="65" t="n"/>
      <c r="P591" s="65" t="n"/>
      <c r="Q591" s="65" t="n"/>
      <c r="R591" s="65" t="n"/>
      <c r="S591" s="65" t="n"/>
      <c r="T591" s="65" t="n"/>
      <c r="U591" s="65" t="n"/>
      <c r="V591" s="65" t="n"/>
      <c r="W591" s="65" t="n"/>
      <c r="X591" s="65" t="n"/>
      <c r="Y591" s="32">
        <f>IF($C591="","",IF(COUNTA($I591:$K591)&lt;3,"— חסרים נתונים",IF(AND($I591="תקין",$J591="תקין",$K591="תקין"),"רהוטה",IF(AND($I591="תקין",$J591="תקין"),"מדויקת ורציפה","אינה מדויקת או מקוטעת"))))</f>
        <v/>
      </c>
      <c r="Z591" s="32">
        <f>IF($C591="","",IF(COUNTA($U591:$W591)&lt;3,"",IF(AND($U591="מפותח",$V591="מפותח",$W591="מפותחת"),"מפותחת",IF((--($U591="דל"))+(--($V591="אינו מפותח"))+(--($W591="דלה"))&gt;=2,"אינה מפותחת","חלקית"))))</f>
        <v/>
      </c>
      <c r="AA591" s="32">
        <f>IF($C591="","",IF(COUNTA($M591,$N591,$O591)&lt;3,"— חסרים נתונים",IF(OR($M591="נמוכה",(--($M591&lt;&gt;"תקינה"))+(--($N591&lt;&gt;"תקין"))+(--($O591&lt;&gt;"תקינה"))&gt;=2),"ניכרת","אינה ניכרת")))</f>
        <v/>
      </c>
      <c r="AB591" s="32">
        <f>IF(OR($C591="",$Y591="",$AA591="",LEFT($Y591,1)="—",LEFT($AA591,1)="—"),"",IF($Z591="","— נדרשת הערכת כתיבה",IF($L591="","— חסרה הבנת הנקרא",IF($Y591="אינה מדויקת או מקוטעת",IF($AA591="ניכרת","מיקוד בשטף הקריאה ובכישורי שפה","מיקוד בשטף קריאה"),IF($AA591="ניכרת","מיקוד בכישורי שפה",IF(AND($L591="תקינה",$Z591="מפותחת"),"קוראים וכותבים מיומנים","מיקוד בהבנה והבעה"))))))</f>
        <v/>
      </c>
      <c r="AC591" s="32">
        <f>IF(OR($AB591="",LEFT($AB591,1)="—"),"",IF(OR($AB591="מיקוד בשטף קריאה",$AB591="מיקוד בשטף הקריאה ובכישורי שפה"),"רמה א'",IF($AB591="קוראים וכותבים מיומנים","רמה ג'","רמה ב'")))</f>
        <v/>
      </c>
      <c r="AD591" s="32">
        <f>IF($AC591="","",MID(IF(AND($AC591="רמה א'",$AA591="ניכרת"),"; להוסיף עבודת אוצר מילים","")&amp;IF($Z591="אינה מפותחת","; דגש על הבעה בכתב","")&amp;IF($K591&lt;&gt;"תקין","; נדרש לעבוד על ההנגנה","")&amp;IF($AK591&lt;&gt;"","; "&amp;$AK591,""),3,400))</f>
        <v/>
      </c>
      <c r="AE591" s="32">
        <f>IF($F591="","",IF($F591="תחילת שנה",1,IF($F591="מחצית שנה",2,3)))</f>
        <v/>
      </c>
      <c r="AF591" s="32">
        <f>IF(OR($B591="",$AC591="",$A591="",$F591=""),"",$B591&amp;"|"&amp;$A591&amp;"|"&amp;$F591&amp;"|"&amp;$AC591&amp;"|"&amp;COUNTIFS($B$6:$B591,$B591,$A$6:$A591,$A591,$F$6:$F591,$F591,$AC$6:$AC591,$AC591))</f>
        <v/>
      </c>
      <c r="AG591" s="32">
        <f>IF($C591="","",$C591&amp;"|"&amp;COUNTIFS($C$6:$C591,$C591))</f>
        <v/>
      </c>
      <c r="AH591" s="32">
        <f>IF(OR($C591="",$A591="",$AE591=""),"",$C591&amp;"|"&amp;$A591&amp;"|"&amp;$AE591)</f>
        <v/>
      </c>
      <c r="AI591" s="32">
        <f>IF(OR($C591="",$AE591="",$AE591=1),"",IFERROR(INDEX($AC$6:$AC$1505,MATCH($C591&amp;"|"&amp;$A591&amp;"|"&amp;($AE591-1),$AH$6:$AH$1505,0)),""))</f>
        <v/>
      </c>
      <c r="AJ591" s="32">
        <f>IF(OR($AI591="",$AC591=""),"",IF($AI591=$AC591,"ללא שינוי","מ-"&amp;$AI591&amp;" ל-"&amp;$AC591))</f>
        <v/>
      </c>
      <c r="AK591" s="67" t="n"/>
    </row>
    <row r="592" ht="15.75" customHeight="1" s="58">
      <c r="A592" s="65" t="n"/>
      <c r="B592" s="65" t="n"/>
      <c r="C592" s="66" t="n"/>
      <c r="D592" s="66" t="n"/>
      <c r="E592" s="65" t="n"/>
      <c r="F592" s="65" t="n"/>
      <c r="G592" s="65" t="n"/>
      <c r="H592" s="65" t="n"/>
      <c r="I592" s="65" t="n"/>
      <c r="J592" s="65" t="n"/>
      <c r="K592" s="65" t="n"/>
      <c r="L592" s="65" t="n"/>
      <c r="M592" s="65" t="n"/>
      <c r="N592" s="65" t="n"/>
      <c r="O592" s="65" t="n"/>
      <c r="P592" s="65" t="n"/>
      <c r="Q592" s="65" t="n"/>
      <c r="R592" s="65" t="n"/>
      <c r="S592" s="65" t="n"/>
      <c r="T592" s="65" t="n"/>
      <c r="U592" s="65" t="n"/>
      <c r="V592" s="65" t="n"/>
      <c r="W592" s="65" t="n"/>
      <c r="X592" s="65" t="n"/>
      <c r="Y592" s="32">
        <f>IF($C592="","",IF(COUNTA($I592:$K592)&lt;3,"— חסרים נתונים",IF(AND($I592="תקין",$J592="תקין",$K592="תקין"),"רהוטה",IF(AND($I592="תקין",$J592="תקין"),"מדויקת ורציפה","אינה מדויקת או מקוטעת"))))</f>
        <v/>
      </c>
      <c r="Z592" s="32">
        <f>IF($C592="","",IF(COUNTA($U592:$W592)&lt;3,"",IF(AND($U592="מפותח",$V592="מפותח",$W592="מפותחת"),"מפותחת",IF((--($U592="דל"))+(--($V592="אינו מפותח"))+(--($W592="דלה"))&gt;=2,"אינה מפותחת","חלקית"))))</f>
        <v/>
      </c>
      <c r="AA592" s="32">
        <f>IF($C592="","",IF(COUNTA($M592,$N592,$O592)&lt;3,"— חסרים נתונים",IF(OR($M592="נמוכה",(--($M592&lt;&gt;"תקינה"))+(--($N592&lt;&gt;"תקין"))+(--($O592&lt;&gt;"תקינה"))&gt;=2),"ניכרת","אינה ניכרת")))</f>
        <v/>
      </c>
      <c r="AB592" s="32">
        <f>IF(OR($C592="",$Y592="",$AA592="",LEFT($Y592,1)="—",LEFT($AA592,1)="—"),"",IF($Z592="","— נדרשת הערכת כתיבה",IF($L592="","— חסרה הבנת הנקרא",IF($Y592="אינה מדויקת או מקוטעת",IF($AA592="ניכרת","מיקוד בשטף הקריאה ובכישורי שפה","מיקוד בשטף קריאה"),IF($AA592="ניכרת","מיקוד בכישורי שפה",IF(AND($L592="תקינה",$Z592="מפותחת"),"קוראים וכותבים מיומנים","מיקוד בהבנה והבעה"))))))</f>
        <v/>
      </c>
      <c r="AC592" s="32">
        <f>IF(OR($AB592="",LEFT($AB592,1)="—"),"",IF(OR($AB592="מיקוד בשטף קריאה",$AB592="מיקוד בשטף הקריאה ובכישורי שפה"),"רמה א'",IF($AB592="קוראים וכותבים מיומנים","רמה ג'","רמה ב'")))</f>
        <v/>
      </c>
      <c r="AD592" s="32">
        <f>IF($AC592="","",MID(IF(AND($AC592="רמה א'",$AA592="ניכרת"),"; להוסיף עבודת אוצר מילים","")&amp;IF($Z592="אינה מפותחת","; דגש על הבעה בכתב","")&amp;IF($K592&lt;&gt;"תקין","; נדרש לעבוד על ההנגנה","")&amp;IF($AK592&lt;&gt;"","; "&amp;$AK592,""),3,400))</f>
        <v/>
      </c>
      <c r="AE592" s="32">
        <f>IF($F592="","",IF($F592="תחילת שנה",1,IF($F592="מחצית שנה",2,3)))</f>
        <v/>
      </c>
      <c r="AF592" s="32">
        <f>IF(OR($B592="",$AC592="",$A592="",$F592=""),"",$B592&amp;"|"&amp;$A592&amp;"|"&amp;$F592&amp;"|"&amp;$AC592&amp;"|"&amp;COUNTIFS($B$6:$B592,$B592,$A$6:$A592,$A592,$F$6:$F592,$F592,$AC$6:$AC592,$AC592))</f>
        <v/>
      </c>
      <c r="AG592" s="32">
        <f>IF($C592="","",$C592&amp;"|"&amp;COUNTIFS($C$6:$C592,$C592))</f>
        <v/>
      </c>
      <c r="AH592" s="32">
        <f>IF(OR($C592="",$A592="",$AE592=""),"",$C592&amp;"|"&amp;$A592&amp;"|"&amp;$AE592)</f>
        <v/>
      </c>
      <c r="AI592" s="32">
        <f>IF(OR($C592="",$AE592="",$AE592=1),"",IFERROR(INDEX($AC$6:$AC$1505,MATCH($C592&amp;"|"&amp;$A592&amp;"|"&amp;($AE592-1),$AH$6:$AH$1505,0)),""))</f>
        <v/>
      </c>
      <c r="AJ592" s="32">
        <f>IF(OR($AI592="",$AC592=""),"",IF($AI592=$AC592,"ללא שינוי","מ-"&amp;$AI592&amp;" ל-"&amp;$AC592))</f>
        <v/>
      </c>
      <c r="AK592" s="67" t="n"/>
    </row>
    <row r="593" ht="15.75" customHeight="1" s="58">
      <c r="A593" s="65" t="n"/>
      <c r="B593" s="65" t="n"/>
      <c r="C593" s="66" t="n"/>
      <c r="D593" s="66" t="n"/>
      <c r="E593" s="65" t="n"/>
      <c r="F593" s="65" t="n"/>
      <c r="G593" s="65" t="n"/>
      <c r="H593" s="65" t="n"/>
      <c r="I593" s="65" t="n"/>
      <c r="J593" s="65" t="n"/>
      <c r="K593" s="65" t="n"/>
      <c r="L593" s="65" t="n"/>
      <c r="M593" s="65" t="n"/>
      <c r="N593" s="65" t="n"/>
      <c r="O593" s="65" t="n"/>
      <c r="P593" s="65" t="n"/>
      <c r="Q593" s="65" t="n"/>
      <c r="R593" s="65" t="n"/>
      <c r="S593" s="65" t="n"/>
      <c r="T593" s="65" t="n"/>
      <c r="U593" s="65" t="n"/>
      <c r="V593" s="65" t="n"/>
      <c r="W593" s="65" t="n"/>
      <c r="X593" s="65" t="n"/>
      <c r="Y593" s="32">
        <f>IF($C593="","",IF(COUNTA($I593:$K593)&lt;3,"— חסרים נתונים",IF(AND($I593="תקין",$J593="תקין",$K593="תקין"),"רהוטה",IF(AND($I593="תקין",$J593="תקין"),"מדויקת ורציפה","אינה מדויקת או מקוטעת"))))</f>
        <v/>
      </c>
      <c r="Z593" s="32">
        <f>IF($C593="","",IF(COUNTA($U593:$W593)&lt;3,"",IF(AND($U593="מפותח",$V593="מפותח",$W593="מפותחת"),"מפותחת",IF((--($U593="דל"))+(--($V593="אינו מפותח"))+(--($W593="דלה"))&gt;=2,"אינה מפותחת","חלקית"))))</f>
        <v/>
      </c>
      <c r="AA593" s="32">
        <f>IF($C593="","",IF(COUNTA($M593,$N593,$O593)&lt;3,"— חסרים נתונים",IF(OR($M593="נמוכה",(--($M593&lt;&gt;"תקינה"))+(--($N593&lt;&gt;"תקין"))+(--($O593&lt;&gt;"תקינה"))&gt;=2),"ניכרת","אינה ניכרת")))</f>
        <v/>
      </c>
      <c r="AB593" s="32">
        <f>IF(OR($C593="",$Y593="",$AA593="",LEFT($Y593,1)="—",LEFT($AA593,1)="—"),"",IF($Z593="","— נדרשת הערכת כתיבה",IF($L593="","— חסרה הבנת הנקרא",IF($Y593="אינה מדויקת או מקוטעת",IF($AA593="ניכרת","מיקוד בשטף הקריאה ובכישורי שפה","מיקוד בשטף קריאה"),IF($AA593="ניכרת","מיקוד בכישורי שפה",IF(AND($L593="תקינה",$Z593="מפותחת"),"קוראים וכותבים מיומנים","מיקוד בהבנה והבעה"))))))</f>
        <v/>
      </c>
      <c r="AC593" s="32">
        <f>IF(OR($AB593="",LEFT($AB593,1)="—"),"",IF(OR($AB593="מיקוד בשטף קריאה",$AB593="מיקוד בשטף הקריאה ובכישורי שפה"),"רמה א'",IF($AB593="קוראים וכותבים מיומנים","רמה ג'","רמה ב'")))</f>
        <v/>
      </c>
      <c r="AD593" s="32">
        <f>IF($AC593="","",MID(IF(AND($AC593="רמה א'",$AA593="ניכרת"),"; להוסיף עבודת אוצר מילים","")&amp;IF($Z593="אינה מפותחת","; דגש על הבעה בכתב","")&amp;IF($K593&lt;&gt;"תקין","; נדרש לעבוד על ההנגנה","")&amp;IF($AK593&lt;&gt;"","; "&amp;$AK593,""),3,400))</f>
        <v/>
      </c>
      <c r="AE593" s="32">
        <f>IF($F593="","",IF($F593="תחילת שנה",1,IF($F593="מחצית שנה",2,3)))</f>
        <v/>
      </c>
      <c r="AF593" s="32">
        <f>IF(OR($B593="",$AC593="",$A593="",$F593=""),"",$B593&amp;"|"&amp;$A593&amp;"|"&amp;$F593&amp;"|"&amp;$AC593&amp;"|"&amp;COUNTIFS($B$6:$B593,$B593,$A$6:$A593,$A593,$F$6:$F593,$F593,$AC$6:$AC593,$AC593))</f>
        <v/>
      </c>
      <c r="AG593" s="32">
        <f>IF($C593="","",$C593&amp;"|"&amp;COUNTIFS($C$6:$C593,$C593))</f>
        <v/>
      </c>
      <c r="AH593" s="32">
        <f>IF(OR($C593="",$A593="",$AE593=""),"",$C593&amp;"|"&amp;$A593&amp;"|"&amp;$AE593)</f>
        <v/>
      </c>
      <c r="AI593" s="32">
        <f>IF(OR($C593="",$AE593="",$AE593=1),"",IFERROR(INDEX($AC$6:$AC$1505,MATCH($C593&amp;"|"&amp;$A593&amp;"|"&amp;($AE593-1),$AH$6:$AH$1505,0)),""))</f>
        <v/>
      </c>
      <c r="AJ593" s="32">
        <f>IF(OR($AI593="",$AC593=""),"",IF($AI593=$AC593,"ללא שינוי","מ-"&amp;$AI593&amp;" ל-"&amp;$AC593))</f>
        <v/>
      </c>
      <c r="AK593" s="67" t="n"/>
    </row>
    <row r="594" ht="15.75" customHeight="1" s="58">
      <c r="A594" s="65" t="n"/>
      <c r="B594" s="65" t="n"/>
      <c r="C594" s="66" t="n"/>
      <c r="D594" s="66" t="n"/>
      <c r="E594" s="65" t="n"/>
      <c r="F594" s="65" t="n"/>
      <c r="G594" s="65" t="n"/>
      <c r="H594" s="65" t="n"/>
      <c r="I594" s="65" t="n"/>
      <c r="J594" s="65" t="n"/>
      <c r="K594" s="65" t="n"/>
      <c r="L594" s="65" t="n"/>
      <c r="M594" s="65" t="n"/>
      <c r="N594" s="65" t="n"/>
      <c r="O594" s="65" t="n"/>
      <c r="P594" s="65" t="n"/>
      <c r="Q594" s="65" t="n"/>
      <c r="R594" s="65" t="n"/>
      <c r="S594" s="65" t="n"/>
      <c r="T594" s="65" t="n"/>
      <c r="U594" s="65" t="n"/>
      <c r="V594" s="65" t="n"/>
      <c r="W594" s="65" t="n"/>
      <c r="X594" s="65" t="n"/>
      <c r="Y594" s="32">
        <f>IF($C594="","",IF(COUNTA($I594:$K594)&lt;3,"— חסרים נתונים",IF(AND($I594="תקין",$J594="תקין",$K594="תקין"),"רהוטה",IF(AND($I594="תקין",$J594="תקין"),"מדויקת ורציפה","אינה מדויקת או מקוטעת"))))</f>
        <v/>
      </c>
      <c r="Z594" s="32">
        <f>IF($C594="","",IF(COUNTA($U594:$W594)&lt;3,"",IF(AND($U594="מפותח",$V594="מפותח",$W594="מפותחת"),"מפותחת",IF((--($U594="דל"))+(--($V594="אינו מפותח"))+(--($W594="דלה"))&gt;=2,"אינה מפותחת","חלקית"))))</f>
        <v/>
      </c>
      <c r="AA594" s="32">
        <f>IF($C594="","",IF(COUNTA($M594,$N594,$O594)&lt;3,"— חסרים נתונים",IF(OR($M594="נמוכה",(--($M594&lt;&gt;"תקינה"))+(--($N594&lt;&gt;"תקין"))+(--($O594&lt;&gt;"תקינה"))&gt;=2),"ניכרת","אינה ניכרת")))</f>
        <v/>
      </c>
      <c r="AB594" s="32">
        <f>IF(OR($C594="",$Y594="",$AA594="",LEFT($Y594,1)="—",LEFT($AA594,1)="—"),"",IF($Z594="","— נדרשת הערכת כתיבה",IF($L594="","— חסרה הבנת הנקרא",IF($Y594="אינה מדויקת או מקוטעת",IF($AA594="ניכרת","מיקוד בשטף הקריאה ובכישורי שפה","מיקוד בשטף קריאה"),IF($AA594="ניכרת","מיקוד בכישורי שפה",IF(AND($L594="תקינה",$Z594="מפותחת"),"קוראים וכותבים מיומנים","מיקוד בהבנה והבעה"))))))</f>
        <v/>
      </c>
      <c r="AC594" s="32">
        <f>IF(OR($AB594="",LEFT($AB594,1)="—"),"",IF(OR($AB594="מיקוד בשטף קריאה",$AB594="מיקוד בשטף הקריאה ובכישורי שפה"),"רמה א'",IF($AB594="קוראים וכותבים מיומנים","רמה ג'","רמה ב'")))</f>
        <v/>
      </c>
      <c r="AD594" s="32">
        <f>IF($AC594="","",MID(IF(AND($AC594="רמה א'",$AA594="ניכרת"),"; להוסיף עבודת אוצר מילים","")&amp;IF($Z594="אינה מפותחת","; דגש על הבעה בכתב","")&amp;IF($K594&lt;&gt;"תקין","; נדרש לעבוד על ההנגנה","")&amp;IF($AK594&lt;&gt;"","; "&amp;$AK594,""),3,400))</f>
        <v/>
      </c>
      <c r="AE594" s="32">
        <f>IF($F594="","",IF($F594="תחילת שנה",1,IF($F594="מחצית שנה",2,3)))</f>
        <v/>
      </c>
      <c r="AF594" s="32">
        <f>IF(OR($B594="",$AC594="",$A594="",$F594=""),"",$B594&amp;"|"&amp;$A594&amp;"|"&amp;$F594&amp;"|"&amp;$AC594&amp;"|"&amp;COUNTIFS($B$6:$B594,$B594,$A$6:$A594,$A594,$F$6:$F594,$F594,$AC$6:$AC594,$AC594))</f>
        <v/>
      </c>
      <c r="AG594" s="32">
        <f>IF($C594="","",$C594&amp;"|"&amp;COUNTIFS($C$6:$C594,$C594))</f>
        <v/>
      </c>
      <c r="AH594" s="32">
        <f>IF(OR($C594="",$A594="",$AE594=""),"",$C594&amp;"|"&amp;$A594&amp;"|"&amp;$AE594)</f>
        <v/>
      </c>
      <c r="AI594" s="32">
        <f>IF(OR($C594="",$AE594="",$AE594=1),"",IFERROR(INDEX($AC$6:$AC$1505,MATCH($C594&amp;"|"&amp;$A594&amp;"|"&amp;($AE594-1),$AH$6:$AH$1505,0)),""))</f>
        <v/>
      </c>
      <c r="AJ594" s="32">
        <f>IF(OR($AI594="",$AC594=""),"",IF($AI594=$AC594,"ללא שינוי","מ-"&amp;$AI594&amp;" ל-"&amp;$AC594))</f>
        <v/>
      </c>
      <c r="AK594" s="67" t="n"/>
    </row>
    <row r="595" ht="15.75" customHeight="1" s="58">
      <c r="A595" s="65" t="n"/>
      <c r="B595" s="65" t="n"/>
      <c r="C595" s="66" t="n"/>
      <c r="D595" s="66" t="n"/>
      <c r="E595" s="65" t="n"/>
      <c r="F595" s="65" t="n"/>
      <c r="G595" s="65" t="n"/>
      <c r="H595" s="65" t="n"/>
      <c r="I595" s="65" t="n"/>
      <c r="J595" s="65" t="n"/>
      <c r="K595" s="65" t="n"/>
      <c r="L595" s="65" t="n"/>
      <c r="M595" s="65" t="n"/>
      <c r="N595" s="65" t="n"/>
      <c r="O595" s="65" t="n"/>
      <c r="P595" s="65" t="n"/>
      <c r="Q595" s="65" t="n"/>
      <c r="R595" s="65" t="n"/>
      <c r="S595" s="65" t="n"/>
      <c r="T595" s="65" t="n"/>
      <c r="U595" s="65" t="n"/>
      <c r="V595" s="65" t="n"/>
      <c r="W595" s="65" t="n"/>
      <c r="X595" s="65" t="n"/>
      <c r="Y595" s="32">
        <f>IF($C595="","",IF(COUNTA($I595:$K595)&lt;3,"— חסרים נתונים",IF(AND($I595="תקין",$J595="תקין",$K595="תקין"),"רהוטה",IF(AND($I595="תקין",$J595="תקין"),"מדויקת ורציפה","אינה מדויקת או מקוטעת"))))</f>
        <v/>
      </c>
      <c r="Z595" s="32">
        <f>IF($C595="","",IF(COUNTA($U595:$W595)&lt;3,"",IF(AND($U595="מפותח",$V595="מפותח",$W595="מפותחת"),"מפותחת",IF((--($U595="דל"))+(--($V595="אינו מפותח"))+(--($W595="דלה"))&gt;=2,"אינה מפותחת","חלקית"))))</f>
        <v/>
      </c>
      <c r="AA595" s="32">
        <f>IF($C595="","",IF(COUNTA($M595,$N595,$O595)&lt;3,"— חסרים נתונים",IF(OR($M595="נמוכה",(--($M595&lt;&gt;"תקינה"))+(--($N595&lt;&gt;"תקין"))+(--($O595&lt;&gt;"תקינה"))&gt;=2),"ניכרת","אינה ניכרת")))</f>
        <v/>
      </c>
      <c r="AB595" s="32">
        <f>IF(OR($C595="",$Y595="",$AA595="",LEFT($Y595,1)="—",LEFT($AA595,1)="—"),"",IF($Z595="","— נדרשת הערכת כתיבה",IF($L595="","— חסרה הבנת הנקרא",IF($Y595="אינה מדויקת או מקוטעת",IF($AA595="ניכרת","מיקוד בשטף הקריאה ובכישורי שפה","מיקוד בשטף קריאה"),IF($AA595="ניכרת","מיקוד בכישורי שפה",IF(AND($L595="תקינה",$Z595="מפותחת"),"קוראים וכותבים מיומנים","מיקוד בהבנה והבעה"))))))</f>
        <v/>
      </c>
      <c r="AC595" s="32">
        <f>IF(OR($AB595="",LEFT($AB595,1)="—"),"",IF(OR($AB595="מיקוד בשטף קריאה",$AB595="מיקוד בשטף הקריאה ובכישורי שפה"),"רמה א'",IF($AB595="קוראים וכותבים מיומנים","רמה ג'","רמה ב'")))</f>
        <v/>
      </c>
      <c r="AD595" s="32">
        <f>IF($AC595="","",MID(IF(AND($AC595="רמה א'",$AA595="ניכרת"),"; להוסיף עבודת אוצר מילים","")&amp;IF($Z595="אינה מפותחת","; דגש על הבעה בכתב","")&amp;IF($K595&lt;&gt;"תקין","; נדרש לעבוד על ההנגנה","")&amp;IF($AK595&lt;&gt;"","; "&amp;$AK595,""),3,400))</f>
        <v/>
      </c>
      <c r="AE595" s="32">
        <f>IF($F595="","",IF($F595="תחילת שנה",1,IF($F595="מחצית שנה",2,3)))</f>
        <v/>
      </c>
      <c r="AF595" s="32">
        <f>IF(OR($B595="",$AC595="",$A595="",$F595=""),"",$B595&amp;"|"&amp;$A595&amp;"|"&amp;$F595&amp;"|"&amp;$AC595&amp;"|"&amp;COUNTIFS($B$6:$B595,$B595,$A$6:$A595,$A595,$F$6:$F595,$F595,$AC$6:$AC595,$AC595))</f>
        <v/>
      </c>
      <c r="AG595" s="32">
        <f>IF($C595="","",$C595&amp;"|"&amp;COUNTIFS($C$6:$C595,$C595))</f>
        <v/>
      </c>
      <c r="AH595" s="32">
        <f>IF(OR($C595="",$A595="",$AE595=""),"",$C595&amp;"|"&amp;$A595&amp;"|"&amp;$AE595)</f>
        <v/>
      </c>
      <c r="AI595" s="32">
        <f>IF(OR($C595="",$AE595="",$AE595=1),"",IFERROR(INDEX($AC$6:$AC$1505,MATCH($C595&amp;"|"&amp;$A595&amp;"|"&amp;($AE595-1),$AH$6:$AH$1505,0)),""))</f>
        <v/>
      </c>
      <c r="AJ595" s="32">
        <f>IF(OR($AI595="",$AC595=""),"",IF($AI595=$AC595,"ללא שינוי","מ-"&amp;$AI595&amp;" ל-"&amp;$AC595))</f>
        <v/>
      </c>
      <c r="AK595" s="67" t="n"/>
    </row>
    <row r="596" ht="15.75" customHeight="1" s="58">
      <c r="A596" s="65" t="n"/>
      <c r="B596" s="65" t="n"/>
      <c r="C596" s="66" t="n"/>
      <c r="D596" s="66" t="n"/>
      <c r="E596" s="65" t="n"/>
      <c r="F596" s="65" t="n"/>
      <c r="G596" s="65" t="n"/>
      <c r="H596" s="65" t="n"/>
      <c r="I596" s="65" t="n"/>
      <c r="J596" s="65" t="n"/>
      <c r="K596" s="65" t="n"/>
      <c r="L596" s="65" t="n"/>
      <c r="M596" s="65" t="n"/>
      <c r="N596" s="65" t="n"/>
      <c r="O596" s="65" t="n"/>
      <c r="P596" s="65" t="n"/>
      <c r="Q596" s="65" t="n"/>
      <c r="R596" s="65" t="n"/>
      <c r="S596" s="65" t="n"/>
      <c r="T596" s="65" t="n"/>
      <c r="U596" s="65" t="n"/>
      <c r="V596" s="65" t="n"/>
      <c r="W596" s="65" t="n"/>
      <c r="X596" s="65" t="n"/>
      <c r="Y596" s="32">
        <f>IF($C596="","",IF(COUNTA($I596:$K596)&lt;3,"— חסרים נתונים",IF(AND($I596="תקין",$J596="תקין",$K596="תקין"),"רהוטה",IF(AND($I596="תקין",$J596="תקין"),"מדויקת ורציפה","אינה מדויקת או מקוטעת"))))</f>
        <v/>
      </c>
      <c r="Z596" s="32">
        <f>IF($C596="","",IF(COUNTA($U596:$W596)&lt;3,"",IF(AND($U596="מפותח",$V596="מפותח",$W596="מפותחת"),"מפותחת",IF((--($U596="דל"))+(--($V596="אינו מפותח"))+(--($W596="דלה"))&gt;=2,"אינה מפותחת","חלקית"))))</f>
        <v/>
      </c>
      <c r="AA596" s="32">
        <f>IF($C596="","",IF(COUNTA($M596,$N596,$O596)&lt;3,"— חסרים נתונים",IF(OR($M596="נמוכה",(--($M596&lt;&gt;"תקינה"))+(--($N596&lt;&gt;"תקין"))+(--($O596&lt;&gt;"תקינה"))&gt;=2),"ניכרת","אינה ניכרת")))</f>
        <v/>
      </c>
      <c r="AB596" s="32">
        <f>IF(OR($C596="",$Y596="",$AA596="",LEFT($Y596,1)="—",LEFT($AA596,1)="—"),"",IF($Z596="","— נדרשת הערכת כתיבה",IF($L596="","— חסרה הבנת הנקרא",IF($Y596="אינה מדויקת או מקוטעת",IF($AA596="ניכרת","מיקוד בשטף הקריאה ובכישורי שפה","מיקוד בשטף קריאה"),IF($AA596="ניכרת","מיקוד בכישורי שפה",IF(AND($L596="תקינה",$Z596="מפותחת"),"קוראים וכותבים מיומנים","מיקוד בהבנה והבעה"))))))</f>
        <v/>
      </c>
      <c r="AC596" s="32">
        <f>IF(OR($AB596="",LEFT($AB596,1)="—"),"",IF(OR($AB596="מיקוד בשטף קריאה",$AB596="מיקוד בשטף הקריאה ובכישורי שפה"),"רמה א'",IF($AB596="קוראים וכותבים מיומנים","רמה ג'","רמה ב'")))</f>
        <v/>
      </c>
      <c r="AD596" s="32">
        <f>IF($AC596="","",MID(IF(AND($AC596="רמה א'",$AA596="ניכרת"),"; להוסיף עבודת אוצר מילים","")&amp;IF($Z596="אינה מפותחת","; דגש על הבעה בכתב","")&amp;IF($K596&lt;&gt;"תקין","; נדרש לעבוד על ההנגנה","")&amp;IF($AK596&lt;&gt;"","; "&amp;$AK596,""),3,400))</f>
        <v/>
      </c>
      <c r="AE596" s="32">
        <f>IF($F596="","",IF($F596="תחילת שנה",1,IF($F596="מחצית שנה",2,3)))</f>
        <v/>
      </c>
      <c r="AF596" s="32">
        <f>IF(OR($B596="",$AC596="",$A596="",$F596=""),"",$B596&amp;"|"&amp;$A596&amp;"|"&amp;$F596&amp;"|"&amp;$AC596&amp;"|"&amp;COUNTIFS($B$6:$B596,$B596,$A$6:$A596,$A596,$F$6:$F596,$F596,$AC$6:$AC596,$AC596))</f>
        <v/>
      </c>
      <c r="AG596" s="32">
        <f>IF($C596="","",$C596&amp;"|"&amp;COUNTIFS($C$6:$C596,$C596))</f>
        <v/>
      </c>
      <c r="AH596" s="32">
        <f>IF(OR($C596="",$A596="",$AE596=""),"",$C596&amp;"|"&amp;$A596&amp;"|"&amp;$AE596)</f>
        <v/>
      </c>
      <c r="AI596" s="32">
        <f>IF(OR($C596="",$AE596="",$AE596=1),"",IFERROR(INDEX($AC$6:$AC$1505,MATCH($C596&amp;"|"&amp;$A596&amp;"|"&amp;($AE596-1),$AH$6:$AH$1505,0)),""))</f>
        <v/>
      </c>
      <c r="AJ596" s="32">
        <f>IF(OR($AI596="",$AC596=""),"",IF($AI596=$AC596,"ללא שינוי","מ-"&amp;$AI596&amp;" ל-"&amp;$AC596))</f>
        <v/>
      </c>
      <c r="AK596" s="67" t="n"/>
    </row>
    <row r="597" ht="15.75" customHeight="1" s="58">
      <c r="A597" s="65" t="n"/>
      <c r="B597" s="65" t="n"/>
      <c r="C597" s="66" t="n"/>
      <c r="D597" s="66" t="n"/>
      <c r="E597" s="65" t="n"/>
      <c r="F597" s="65" t="n"/>
      <c r="G597" s="65" t="n"/>
      <c r="H597" s="65" t="n"/>
      <c r="I597" s="65" t="n"/>
      <c r="J597" s="65" t="n"/>
      <c r="K597" s="65" t="n"/>
      <c r="L597" s="65" t="n"/>
      <c r="M597" s="65" t="n"/>
      <c r="N597" s="65" t="n"/>
      <c r="O597" s="65" t="n"/>
      <c r="P597" s="65" t="n"/>
      <c r="Q597" s="65" t="n"/>
      <c r="R597" s="65" t="n"/>
      <c r="S597" s="65" t="n"/>
      <c r="T597" s="65" t="n"/>
      <c r="U597" s="65" t="n"/>
      <c r="V597" s="65" t="n"/>
      <c r="W597" s="65" t="n"/>
      <c r="X597" s="65" t="n"/>
      <c r="Y597" s="32">
        <f>IF($C597="","",IF(COUNTA($I597:$K597)&lt;3,"— חסרים נתונים",IF(AND($I597="תקין",$J597="תקין",$K597="תקין"),"רהוטה",IF(AND($I597="תקין",$J597="תקין"),"מדויקת ורציפה","אינה מדויקת או מקוטעת"))))</f>
        <v/>
      </c>
      <c r="Z597" s="32">
        <f>IF($C597="","",IF(COUNTA($U597:$W597)&lt;3,"",IF(AND($U597="מפותח",$V597="מפותח",$W597="מפותחת"),"מפותחת",IF((--($U597="דל"))+(--($V597="אינו מפותח"))+(--($W597="דלה"))&gt;=2,"אינה מפותחת","חלקית"))))</f>
        <v/>
      </c>
      <c r="AA597" s="32">
        <f>IF($C597="","",IF(COUNTA($M597,$N597,$O597)&lt;3,"— חסרים נתונים",IF(OR($M597="נמוכה",(--($M597&lt;&gt;"תקינה"))+(--($N597&lt;&gt;"תקין"))+(--($O597&lt;&gt;"תקינה"))&gt;=2),"ניכרת","אינה ניכרת")))</f>
        <v/>
      </c>
      <c r="AB597" s="32">
        <f>IF(OR($C597="",$Y597="",$AA597="",LEFT($Y597,1)="—",LEFT($AA597,1)="—"),"",IF($Z597="","— נדרשת הערכת כתיבה",IF($L597="","— חסרה הבנת הנקרא",IF($Y597="אינה מדויקת או מקוטעת",IF($AA597="ניכרת","מיקוד בשטף הקריאה ובכישורי שפה","מיקוד בשטף קריאה"),IF($AA597="ניכרת","מיקוד בכישורי שפה",IF(AND($L597="תקינה",$Z597="מפותחת"),"קוראים וכותבים מיומנים","מיקוד בהבנה והבעה"))))))</f>
        <v/>
      </c>
      <c r="AC597" s="32">
        <f>IF(OR($AB597="",LEFT($AB597,1)="—"),"",IF(OR($AB597="מיקוד בשטף קריאה",$AB597="מיקוד בשטף הקריאה ובכישורי שפה"),"רמה א'",IF($AB597="קוראים וכותבים מיומנים","רמה ג'","רמה ב'")))</f>
        <v/>
      </c>
      <c r="AD597" s="32">
        <f>IF($AC597="","",MID(IF(AND($AC597="רמה א'",$AA597="ניכרת"),"; להוסיף עבודת אוצר מילים","")&amp;IF($Z597="אינה מפותחת","; דגש על הבעה בכתב","")&amp;IF($K597&lt;&gt;"תקין","; נדרש לעבוד על ההנגנה","")&amp;IF($AK597&lt;&gt;"","; "&amp;$AK597,""),3,400))</f>
        <v/>
      </c>
      <c r="AE597" s="32">
        <f>IF($F597="","",IF($F597="תחילת שנה",1,IF($F597="מחצית שנה",2,3)))</f>
        <v/>
      </c>
      <c r="AF597" s="32">
        <f>IF(OR($B597="",$AC597="",$A597="",$F597=""),"",$B597&amp;"|"&amp;$A597&amp;"|"&amp;$F597&amp;"|"&amp;$AC597&amp;"|"&amp;COUNTIFS($B$6:$B597,$B597,$A$6:$A597,$A597,$F$6:$F597,$F597,$AC$6:$AC597,$AC597))</f>
        <v/>
      </c>
      <c r="AG597" s="32">
        <f>IF($C597="","",$C597&amp;"|"&amp;COUNTIFS($C$6:$C597,$C597))</f>
        <v/>
      </c>
      <c r="AH597" s="32">
        <f>IF(OR($C597="",$A597="",$AE597=""),"",$C597&amp;"|"&amp;$A597&amp;"|"&amp;$AE597)</f>
        <v/>
      </c>
      <c r="AI597" s="32">
        <f>IF(OR($C597="",$AE597="",$AE597=1),"",IFERROR(INDEX($AC$6:$AC$1505,MATCH($C597&amp;"|"&amp;$A597&amp;"|"&amp;($AE597-1),$AH$6:$AH$1505,0)),""))</f>
        <v/>
      </c>
      <c r="AJ597" s="32">
        <f>IF(OR($AI597="",$AC597=""),"",IF($AI597=$AC597,"ללא שינוי","מ-"&amp;$AI597&amp;" ל-"&amp;$AC597))</f>
        <v/>
      </c>
      <c r="AK597" s="67" t="n"/>
    </row>
    <row r="598" ht="15.75" customHeight="1" s="58">
      <c r="A598" s="65" t="n"/>
      <c r="B598" s="65" t="n"/>
      <c r="C598" s="66" t="n"/>
      <c r="D598" s="66" t="n"/>
      <c r="E598" s="65" t="n"/>
      <c r="F598" s="65" t="n"/>
      <c r="G598" s="65" t="n"/>
      <c r="H598" s="65" t="n"/>
      <c r="I598" s="65" t="n"/>
      <c r="J598" s="65" t="n"/>
      <c r="K598" s="65" t="n"/>
      <c r="L598" s="65" t="n"/>
      <c r="M598" s="65" t="n"/>
      <c r="N598" s="65" t="n"/>
      <c r="O598" s="65" t="n"/>
      <c r="P598" s="65" t="n"/>
      <c r="Q598" s="65" t="n"/>
      <c r="R598" s="65" t="n"/>
      <c r="S598" s="65" t="n"/>
      <c r="T598" s="65" t="n"/>
      <c r="U598" s="65" t="n"/>
      <c r="V598" s="65" t="n"/>
      <c r="W598" s="65" t="n"/>
      <c r="X598" s="65" t="n"/>
      <c r="Y598" s="32">
        <f>IF($C598="","",IF(COUNTA($I598:$K598)&lt;3,"— חסרים נתונים",IF(AND($I598="תקין",$J598="תקין",$K598="תקין"),"רהוטה",IF(AND($I598="תקין",$J598="תקין"),"מדויקת ורציפה","אינה מדויקת או מקוטעת"))))</f>
        <v/>
      </c>
      <c r="Z598" s="32">
        <f>IF($C598="","",IF(COUNTA($U598:$W598)&lt;3,"",IF(AND($U598="מפותח",$V598="מפותח",$W598="מפותחת"),"מפותחת",IF((--($U598="דל"))+(--($V598="אינו מפותח"))+(--($W598="דלה"))&gt;=2,"אינה מפותחת","חלקית"))))</f>
        <v/>
      </c>
      <c r="AA598" s="32">
        <f>IF($C598="","",IF(COUNTA($M598,$N598,$O598)&lt;3,"— חסרים נתונים",IF(OR($M598="נמוכה",(--($M598&lt;&gt;"תקינה"))+(--($N598&lt;&gt;"תקין"))+(--($O598&lt;&gt;"תקינה"))&gt;=2),"ניכרת","אינה ניכרת")))</f>
        <v/>
      </c>
      <c r="AB598" s="32">
        <f>IF(OR($C598="",$Y598="",$AA598="",LEFT($Y598,1)="—",LEFT($AA598,1)="—"),"",IF($Z598="","— נדרשת הערכת כתיבה",IF($L598="","— חסרה הבנת הנקרא",IF($Y598="אינה מדויקת או מקוטעת",IF($AA598="ניכרת","מיקוד בשטף הקריאה ובכישורי שפה","מיקוד בשטף קריאה"),IF($AA598="ניכרת","מיקוד בכישורי שפה",IF(AND($L598="תקינה",$Z598="מפותחת"),"קוראים וכותבים מיומנים","מיקוד בהבנה והבעה"))))))</f>
        <v/>
      </c>
      <c r="AC598" s="32">
        <f>IF(OR($AB598="",LEFT($AB598,1)="—"),"",IF(OR($AB598="מיקוד בשטף קריאה",$AB598="מיקוד בשטף הקריאה ובכישורי שפה"),"רמה א'",IF($AB598="קוראים וכותבים מיומנים","רמה ג'","רמה ב'")))</f>
        <v/>
      </c>
      <c r="AD598" s="32">
        <f>IF($AC598="","",MID(IF(AND($AC598="רמה א'",$AA598="ניכרת"),"; להוסיף עבודת אוצר מילים","")&amp;IF($Z598="אינה מפותחת","; דגש על הבעה בכתב","")&amp;IF($K598&lt;&gt;"תקין","; נדרש לעבוד על ההנגנה","")&amp;IF($AK598&lt;&gt;"","; "&amp;$AK598,""),3,400))</f>
        <v/>
      </c>
      <c r="AE598" s="32">
        <f>IF($F598="","",IF($F598="תחילת שנה",1,IF($F598="מחצית שנה",2,3)))</f>
        <v/>
      </c>
      <c r="AF598" s="32">
        <f>IF(OR($B598="",$AC598="",$A598="",$F598=""),"",$B598&amp;"|"&amp;$A598&amp;"|"&amp;$F598&amp;"|"&amp;$AC598&amp;"|"&amp;COUNTIFS($B$6:$B598,$B598,$A$6:$A598,$A598,$F$6:$F598,$F598,$AC$6:$AC598,$AC598))</f>
        <v/>
      </c>
      <c r="AG598" s="32">
        <f>IF($C598="","",$C598&amp;"|"&amp;COUNTIFS($C$6:$C598,$C598))</f>
        <v/>
      </c>
      <c r="AH598" s="32">
        <f>IF(OR($C598="",$A598="",$AE598=""),"",$C598&amp;"|"&amp;$A598&amp;"|"&amp;$AE598)</f>
        <v/>
      </c>
      <c r="AI598" s="32">
        <f>IF(OR($C598="",$AE598="",$AE598=1),"",IFERROR(INDEX($AC$6:$AC$1505,MATCH($C598&amp;"|"&amp;$A598&amp;"|"&amp;($AE598-1),$AH$6:$AH$1505,0)),""))</f>
        <v/>
      </c>
      <c r="AJ598" s="32">
        <f>IF(OR($AI598="",$AC598=""),"",IF($AI598=$AC598,"ללא שינוי","מ-"&amp;$AI598&amp;" ל-"&amp;$AC598))</f>
        <v/>
      </c>
      <c r="AK598" s="67" t="n"/>
    </row>
    <row r="599" ht="15.75" customHeight="1" s="58">
      <c r="A599" s="65" t="n"/>
      <c r="B599" s="65" t="n"/>
      <c r="C599" s="66" t="n"/>
      <c r="D599" s="66" t="n"/>
      <c r="E599" s="65" t="n"/>
      <c r="F599" s="65" t="n"/>
      <c r="G599" s="65" t="n"/>
      <c r="H599" s="65" t="n"/>
      <c r="I599" s="65" t="n"/>
      <c r="J599" s="65" t="n"/>
      <c r="K599" s="65" t="n"/>
      <c r="L599" s="65" t="n"/>
      <c r="M599" s="65" t="n"/>
      <c r="N599" s="65" t="n"/>
      <c r="O599" s="65" t="n"/>
      <c r="P599" s="65" t="n"/>
      <c r="Q599" s="65" t="n"/>
      <c r="R599" s="65" t="n"/>
      <c r="S599" s="65" t="n"/>
      <c r="T599" s="65" t="n"/>
      <c r="U599" s="65" t="n"/>
      <c r="V599" s="65" t="n"/>
      <c r="W599" s="65" t="n"/>
      <c r="X599" s="65" t="n"/>
      <c r="Y599" s="32">
        <f>IF($C599="","",IF(COUNTA($I599:$K599)&lt;3,"— חסרים נתונים",IF(AND($I599="תקין",$J599="תקין",$K599="תקין"),"רהוטה",IF(AND($I599="תקין",$J599="תקין"),"מדויקת ורציפה","אינה מדויקת או מקוטעת"))))</f>
        <v/>
      </c>
      <c r="Z599" s="32">
        <f>IF($C599="","",IF(COUNTA($U599:$W599)&lt;3,"",IF(AND($U599="מפותח",$V599="מפותח",$W599="מפותחת"),"מפותחת",IF((--($U599="דל"))+(--($V599="אינו מפותח"))+(--($W599="דלה"))&gt;=2,"אינה מפותחת","חלקית"))))</f>
        <v/>
      </c>
      <c r="AA599" s="32">
        <f>IF($C599="","",IF(COUNTA($M599,$N599,$O599)&lt;3,"— חסרים נתונים",IF(OR($M599="נמוכה",(--($M599&lt;&gt;"תקינה"))+(--($N599&lt;&gt;"תקין"))+(--($O599&lt;&gt;"תקינה"))&gt;=2),"ניכרת","אינה ניכרת")))</f>
        <v/>
      </c>
      <c r="AB599" s="32">
        <f>IF(OR($C599="",$Y599="",$AA599="",LEFT($Y599,1)="—",LEFT($AA599,1)="—"),"",IF($Z599="","— נדרשת הערכת כתיבה",IF($L599="","— חסרה הבנת הנקרא",IF($Y599="אינה מדויקת או מקוטעת",IF($AA599="ניכרת","מיקוד בשטף הקריאה ובכישורי שפה","מיקוד בשטף קריאה"),IF($AA599="ניכרת","מיקוד בכישורי שפה",IF(AND($L599="תקינה",$Z599="מפותחת"),"קוראים וכותבים מיומנים","מיקוד בהבנה והבעה"))))))</f>
        <v/>
      </c>
      <c r="AC599" s="32">
        <f>IF(OR($AB599="",LEFT($AB599,1)="—"),"",IF(OR($AB599="מיקוד בשטף קריאה",$AB599="מיקוד בשטף הקריאה ובכישורי שפה"),"רמה א'",IF($AB599="קוראים וכותבים מיומנים","רמה ג'","רמה ב'")))</f>
        <v/>
      </c>
      <c r="AD599" s="32">
        <f>IF($AC599="","",MID(IF(AND($AC599="רמה א'",$AA599="ניכרת"),"; להוסיף עבודת אוצר מילים","")&amp;IF($Z599="אינה מפותחת","; דגש על הבעה בכתב","")&amp;IF($K599&lt;&gt;"תקין","; נדרש לעבוד על ההנגנה","")&amp;IF($AK599&lt;&gt;"","; "&amp;$AK599,""),3,400))</f>
        <v/>
      </c>
      <c r="AE599" s="32">
        <f>IF($F599="","",IF($F599="תחילת שנה",1,IF($F599="מחצית שנה",2,3)))</f>
        <v/>
      </c>
      <c r="AF599" s="32">
        <f>IF(OR($B599="",$AC599="",$A599="",$F599=""),"",$B599&amp;"|"&amp;$A599&amp;"|"&amp;$F599&amp;"|"&amp;$AC599&amp;"|"&amp;COUNTIFS($B$6:$B599,$B599,$A$6:$A599,$A599,$F$6:$F599,$F599,$AC$6:$AC599,$AC599))</f>
        <v/>
      </c>
      <c r="AG599" s="32">
        <f>IF($C599="","",$C599&amp;"|"&amp;COUNTIFS($C$6:$C599,$C599))</f>
        <v/>
      </c>
      <c r="AH599" s="32">
        <f>IF(OR($C599="",$A599="",$AE599=""),"",$C599&amp;"|"&amp;$A599&amp;"|"&amp;$AE599)</f>
        <v/>
      </c>
      <c r="AI599" s="32">
        <f>IF(OR($C599="",$AE599="",$AE599=1),"",IFERROR(INDEX($AC$6:$AC$1505,MATCH($C599&amp;"|"&amp;$A599&amp;"|"&amp;($AE599-1),$AH$6:$AH$1505,0)),""))</f>
        <v/>
      </c>
      <c r="AJ599" s="32">
        <f>IF(OR($AI599="",$AC599=""),"",IF($AI599=$AC599,"ללא שינוי","מ-"&amp;$AI599&amp;" ל-"&amp;$AC599))</f>
        <v/>
      </c>
      <c r="AK599" s="67" t="n"/>
    </row>
    <row r="600" ht="15.75" customHeight="1" s="58">
      <c r="A600" s="65" t="n"/>
      <c r="B600" s="65" t="n"/>
      <c r="C600" s="66" t="n"/>
      <c r="D600" s="66" t="n"/>
      <c r="E600" s="65" t="n"/>
      <c r="F600" s="65" t="n"/>
      <c r="G600" s="65" t="n"/>
      <c r="H600" s="65" t="n"/>
      <c r="I600" s="65" t="n"/>
      <c r="J600" s="65" t="n"/>
      <c r="K600" s="65" t="n"/>
      <c r="L600" s="65" t="n"/>
      <c r="M600" s="65" t="n"/>
      <c r="N600" s="65" t="n"/>
      <c r="O600" s="65" t="n"/>
      <c r="P600" s="65" t="n"/>
      <c r="Q600" s="65" t="n"/>
      <c r="R600" s="65" t="n"/>
      <c r="S600" s="65" t="n"/>
      <c r="T600" s="65" t="n"/>
      <c r="U600" s="65" t="n"/>
      <c r="V600" s="65" t="n"/>
      <c r="W600" s="65" t="n"/>
      <c r="X600" s="65" t="n"/>
      <c r="Y600" s="32">
        <f>IF($C600="","",IF(COUNTA($I600:$K600)&lt;3,"— חסרים נתונים",IF(AND($I600="תקין",$J600="תקין",$K600="תקין"),"רהוטה",IF(AND($I600="תקין",$J600="תקין"),"מדויקת ורציפה","אינה מדויקת או מקוטעת"))))</f>
        <v/>
      </c>
      <c r="Z600" s="32">
        <f>IF($C600="","",IF(COUNTA($U600:$W600)&lt;3,"",IF(AND($U600="מפותח",$V600="מפותח",$W600="מפותחת"),"מפותחת",IF((--($U600="דל"))+(--($V600="אינו מפותח"))+(--($W600="דלה"))&gt;=2,"אינה מפותחת","חלקית"))))</f>
        <v/>
      </c>
      <c r="AA600" s="32">
        <f>IF($C600="","",IF(COUNTA($M600,$N600,$O600)&lt;3,"— חסרים נתונים",IF(OR($M600="נמוכה",(--($M600&lt;&gt;"תקינה"))+(--($N600&lt;&gt;"תקין"))+(--($O600&lt;&gt;"תקינה"))&gt;=2),"ניכרת","אינה ניכרת")))</f>
        <v/>
      </c>
      <c r="AB600" s="32">
        <f>IF(OR($C600="",$Y600="",$AA600="",LEFT($Y600,1)="—",LEFT($AA600,1)="—"),"",IF($Z600="","— נדרשת הערכת כתיבה",IF($L600="","— חסרה הבנת הנקרא",IF($Y600="אינה מדויקת או מקוטעת",IF($AA600="ניכרת","מיקוד בשטף הקריאה ובכישורי שפה","מיקוד בשטף קריאה"),IF($AA600="ניכרת","מיקוד בכישורי שפה",IF(AND($L600="תקינה",$Z600="מפותחת"),"קוראים וכותבים מיומנים","מיקוד בהבנה והבעה"))))))</f>
        <v/>
      </c>
      <c r="AC600" s="32">
        <f>IF(OR($AB600="",LEFT($AB600,1)="—"),"",IF(OR($AB600="מיקוד בשטף קריאה",$AB600="מיקוד בשטף הקריאה ובכישורי שפה"),"רמה א'",IF($AB600="קוראים וכותבים מיומנים","רמה ג'","רמה ב'")))</f>
        <v/>
      </c>
      <c r="AD600" s="32">
        <f>IF($AC600="","",MID(IF(AND($AC600="רמה א'",$AA600="ניכרת"),"; להוסיף עבודת אוצר מילים","")&amp;IF($Z600="אינה מפותחת","; דגש על הבעה בכתב","")&amp;IF($K600&lt;&gt;"תקין","; נדרש לעבוד על ההנגנה","")&amp;IF($AK600&lt;&gt;"","; "&amp;$AK600,""),3,400))</f>
        <v/>
      </c>
      <c r="AE600" s="32">
        <f>IF($F600="","",IF($F600="תחילת שנה",1,IF($F600="מחצית שנה",2,3)))</f>
        <v/>
      </c>
      <c r="AF600" s="32">
        <f>IF(OR($B600="",$AC600="",$A600="",$F600=""),"",$B600&amp;"|"&amp;$A600&amp;"|"&amp;$F600&amp;"|"&amp;$AC600&amp;"|"&amp;COUNTIFS($B$6:$B600,$B600,$A$6:$A600,$A600,$F$6:$F600,$F600,$AC$6:$AC600,$AC600))</f>
        <v/>
      </c>
      <c r="AG600" s="32">
        <f>IF($C600="","",$C600&amp;"|"&amp;COUNTIFS($C$6:$C600,$C600))</f>
        <v/>
      </c>
      <c r="AH600" s="32">
        <f>IF(OR($C600="",$A600="",$AE600=""),"",$C600&amp;"|"&amp;$A600&amp;"|"&amp;$AE600)</f>
        <v/>
      </c>
      <c r="AI600" s="32">
        <f>IF(OR($C600="",$AE600="",$AE600=1),"",IFERROR(INDEX($AC$6:$AC$1505,MATCH($C600&amp;"|"&amp;$A600&amp;"|"&amp;($AE600-1),$AH$6:$AH$1505,0)),""))</f>
        <v/>
      </c>
      <c r="AJ600" s="32">
        <f>IF(OR($AI600="",$AC600=""),"",IF($AI600=$AC600,"ללא שינוי","מ-"&amp;$AI600&amp;" ל-"&amp;$AC600))</f>
        <v/>
      </c>
      <c r="AK600" s="67" t="n"/>
    </row>
    <row r="601" ht="15.75" customHeight="1" s="58">
      <c r="A601" s="65" t="n"/>
      <c r="B601" s="65" t="n"/>
      <c r="C601" s="66" t="n"/>
      <c r="D601" s="66" t="n"/>
      <c r="E601" s="65" t="n"/>
      <c r="F601" s="65" t="n"/>
      <c r="G601" s="65" t="n"/>
      <c r="H601" s="65" t="n"/>
      <c r="I601" s="65" t="n"/>
      <c r="J601" s="65" t="n"/>
      <c r="K601" s="65" t="n"/>
      <c r="L601" s="65" t="n"/>
      <c r="M601" s="65" t="n"/>
      <c r="N601" s="65" t="n"/>
      <c r="O601" s="65" t="n"/>
      <c r="P601" s="65" t="n"/>
      <c r="Q601" s="65" t="n"/>
      <c r="R601" s="65" t="n"/>
      <c r="S601" s="65" t="n"/>
      <c r="T601" s="65" t="n"/>
      <c r="U601" s="65" t="n"/>
      <c r="V601" s="65" t="n"/>
      <c r="W601" s="65" t="n"/>
      <c r="X601" s="65" t="n"/>
      <c r="Y601" s="32">
        <f>IF($C601="","",IF(COUNTA($I601:$K601)&lt;3,"— חסרים נתונים",IF(AND($I601="תקין",$J601="תקין",$K601="תקין"),"רהוטה",IF(AND($I601="תקין",$J601="תקין"),"מדויקת ורציפה","אינה מדויקת או מקוטעת"))))</f>
        <v/>
      </c>
      <c r="Z601" s="32">
        <f>IF($C601="","",IF(COUNTA($U601:$W601)&lt;3,"",IF(AND($U601="מפותח",$V601="מפותח",$W601="מפותחת"),"מפותחת",IF((--($U601="דל"))+(--($V601="אינו מפותח"))+(--($W601="דלה"))&gt;=2,"אינה מפותחת","חלקית"))))</f>
        <v/>
      </c>
      <c r="AA601" s="32">
        <f>IF($C601="","",IF(COUNTA($M601,$N601,$O601)&lt;3,"— חסרים נתונים",IF(OR($M601="נמוכה",(--($M601&lt;&gt;"תקינה"))+(--($N601&lt;&gt;"תקין"))+(--($O601&lt;&gt;"תקינה"))&gt;=2),"ניכרת","אינה ניכרת")))</f>
        <v/>
      </c>
      <c r="AB601" s="32">
        <f>IF(OR($C601="",$Y601="",$AA601="",LEFT($Y601,1)="—",LEFT($AA601,1)="—"),"",IF($Z601="","— נדרשת הערכת כתיבה",IF($L601="","— חסרה הבנת הנקרא",IF($Y601="אינה מדויקת או מקוטעת",IF($AA601="ניכרת","מיקוד בשטף הקריאה ובכישורי שפה","מיקוד בשטף קריאה"),IF($AA601="ניכרת","מיקוד בכישורי שפה",IF(AND($L601="תקינה",$Z601="מפותחת"),"קוראים וכותבים מיומנים","מיקוד בהבנה והבעה"))))))</f>
        <v/>
      </c>
      <c r="AC601" s="32">
        <f>IF(OR($AB601="",LEFT($AB601,1)="—"),"",IF(OR($AB601="מיקוד בשטף קריאה",$AB601="מיקוד בשטף הקריאה ובכישורי שפה"),"רמה א'",IF($AB601="קוראים וכותבים מיומנים","רמה ג'","רמה ב'")))</f>
        <v/>
      </c>
      <c r="AD601" s="32">
        <f>IF($AC601="","",MID(IF(AND($AC601="רמה א'",$AA601="ניכרת"),"; להוסיף עבודת אוצר מילים","")&amp;IF($Z601="אינה מפותחת","; דגש על הבעה בכתב","")&amp;IF($K601&lt;&gt;"תקין","; נדרש לעבוד על ההנגנה","")&amp;IF($AK601&lt;&gt;"","; "&amp;$AK601,""),3,400))</f>
        <v/>
      </c>
      <c r="AE601" s="32">
        <f>IF($F601="","",IF($F601="תחילת שנה",1,IF($F601="מחצית שנה",2,3)))</f>
        <v/>
      </c>
      <c r="AF601" s="32">
        <f>IF(OR($B601="",$AC601="",$A601="",$F601=""),"",$B601&amp;"|"&amp;$A601&amp;"|"&amp;$F601&amp;"|"&amp;$AC601&amp;"|"&amp;COUNTIFS($B$6:$B601,$B601,$A$6:$A601,$A601,$F$6:$F601,$F601,$AC$6:$AC601,$AC601))</f>
        <v/>
      </c>
      <c r="AG601" s="32">
        <f>IF($C601="","",$C601&amp;"|"&amp;COUNTIFS($C$6:$C601,$C601))</f>
        <v/>
      </c>
      <c r="AH601" s="32">
        <f>IF(OR($C601="",$A601="",$AE601=""),"",$C601&amp;"|"&amp;$A601&amp;"|"&amp;$AE601)</f>
        <v/>
      </c>
      <c r="AI601" s="32">
        <f>IF(OR($C601="",$AE601="",$AE601=1),"",IFERROR(INDEX($AC$6:$AC$1505,MATCH($C601&amp;"|"&amp;$A601&amp;"|"&amp;($AE601-1),$AH$6:$AH$1505,0)),""))</f>
        <v/>
      </c>
      <c r="AJ601" s="32">
        <f>IF(OR($AI601="",$AC601=""),"",IF($AI601=$AC601,"ללא שינוי","מ-"&amp;$AI601&amp;" ל-"&amp;$AC601))</f>
        <v/>
      </c>
      <c r="AK601" s="67" t="n"/>
    </row>
    <row r="602" ht="15.75" customHeight="1" s="58">
      <c r="A602" s="65" t="n"/>
      <c r="B602" s="65" t="n"/>
      <c r="C602" s="66" t="n"/>
      <c r="D602" s="66" t="n"/>
      <c r="E602" s="65" t="n"/>
      <c r="F602" s="65" t="n"/>
      <c r="G602" s="65" t="n"/>
      <c r="H602" s="65" t="n"/>
      <c r="I602" s="65" t="n"/>
      <c r="J602" s="65" t="n"/>
      <c r="K602" s="65" t="n"/>
      <c r="L602" s="65" t="n"/>
      <c r="M602" s="65" t="n"/>
      <c r="N602" s="65" t="n"/>
      <c r="O602" s="65" t="n"/>
      <c r="P602" s="65" t="n"/>
      <c r="Q602" s="65" t="n"/>
      <c r="R602" s="65" t="n"/>
      <c r="S602" s="65" t="n"/>
      <c r="T602" s="65" t="n"/>
      <c r="U602" s="65" t="n"/>
      <c r="V602" s="65" t="n"/>
      <c r="W602" s="65" t="n"/>
      <c r="X602" s="65" t="n"/>
      <c r="Y602" s="32">
        <f>IF($C602="","",IF(COUNTA($I602:$K602)&lt;3,"— חסרים נתונים",IF(AND($I602="תקין",$J602="תקין",$K602="תקין"),"רהוטה",IF(AND($I602="תקין",$J602="תקין"),"מדויקת ורציפה","אינה מדויקת או מקוטעת"))))</f>
        <v/>
      </c>
      <c r="Z602" s="32">
        <f>IF($C602="","",IF(COUNTA($U602:$W602)&lt;3,"",IF(AND($U602="מפותח",$V602="מפותח",$W602="מפותחת"),"מפותחת",IF((--($U602="דל"))+(--($V602="אינו מפותח"))+(--($W602="דלה"))&gt;=2,"אינה מפותחת","חלקית"))))</f>
        <v/>
      </c>
      <c r="AA602" s="32">
        <f>IF($C602="","",IF(COUNTA($M602,$N602,$O602)&lt;3,"— חסרים נתונים",IF(OR($M602="נמוכה",(--($M602&lt;&gt;"תקינה"))+(--($N602&lt;&gt;"תקין"))+(--($O602&lt;&gt;"תקינה"))&gt;=2),"ניכרת","אינה ניכרת")))</f>
        <v/>
      </c>
      <c r="AB602" s="32">
        <f>IF(OR($C602="",$Y602="",$AA602="",LEFT($Y602,1)="—",LEFT($AA602,1)="—"),"",IF($Z602="","— נדרשת הערכת כתיבה",IF($L602="","— חסרה הבנת הנקרא",IF($Y602="אינה מדויקת או מקוטעת",IF($AA602="ניכרת","מיקוד בשטף הקריאה ובכישורי שפה","מיקוד בשטף קריאה"),IF($AA602="ניכרת","מיקוד בכישורי שפה",IF(AND($L602="תקינה",$Z602="מפותחת"),"קוראים וכותבים מיומנים","מיקוד בהבנה והבעה"))))))</f>
        <v/>
      </c>
      <c r="AC602" s="32">
        <f>IF(OR($AB602="",LEFT($AB602,1)="—"),"",IF(OR($AB602="מיקוד בשטף קריאה",$AB602="מיקוד בשטף הקריאה ובכישורי שפה"),"רמה א'",IF($AB602="קוראים וכותבים מיומנים","רמה ג'","רמה ב'")))</f>
        <v/>
      </c>
      <c r="AD602" s="32">
        <f>IF($AC602="","",MID(IF(AND($AC602="רמה א'",$AA602="ניכרת"),"; להוסיף עבודת אוצר מילים","")&amp;IF($Z602="אינה מפותחת","; דגש על הבעה בכתב","")&amp;IF($K602&lt;&gt;"תקין","; נדרש לעבוד על ההנגנה","")&amp;IF($AK602&lt;&gt;"","; "&amp;$AK602,""),3,400))</f>
        <v/>
      </c>
      <c r="AE602" s="32">
        <f>IF($F602="","",IF($F602="תחילת שנה",1,IF($F602="מחצית שנה",2,3)))</f>
        <v/>
      </c>
      <c r="AF602" s="32">
        <f>IF(OR($B602="",$AC602="",$A602="",$F602=""),"",$B602&amp;"|"&amp;$A602&amp;"|"&amp;$F602&amp;"|"&amp;$AC602&amp;"|"&amp;COUNTIFS($B$6:$B602,$B602,$A$6:$A602,$A602,$F$6:$F602,$F602,$AC$6:$AC602,$AC602))</f>
        <v/>
      </c>
      <c r="AG602" s="32">
        <f>IF($C602="","",$C602&amp;"|"&amp;COUNTIFS($C$6:$C602,$C602))</f>
        <v/>
      </c>
      <c r="AH602" s="32">
        <f>IF(OR($C602="",$A602="",$AE602=""),"",$C602&amp;"|"&amp;$A602&amp;"|"&amp;$AE602)</f>
        <v/>
      </c>
      <c r="AI602" s="32">
        <f>IF(OR($C602="",$AE602="",$AE602=1),"",IFERROR(INDEX($AC$6:$AC$1505,MATCH($C602&amp;"|"&amp;$A602&amp;"|"&amp;($AE602-1),$AH$6:$AH$1505,0)),""))</f>
        <v/>
      </c>
      <c r="AJ602" s="32">
        <f>IF(OR($AI602="",$AC602=""),"",IF($AI602=$AC602,"ללא שינוי","מ-"&amp;$AI602&amp;" ל-"&amp;$AC602))</f>
        <v/>
      </c>
      <c r="AK602" s="67" t="n"/>
    </row>
    <row r="603" ht="15.75" customHeight="1" s="58">
      <c r="A603" s="65" t="n"/>
      <c r="B603" s="65" t="n"/>
      <c r="C603" s="66" t="n"/>
      <c r="D603" s="66" t="n"/>
      <c r="E603" s="65" t="n"/>
      <c r="F603" s="65" t="n"/>
      <c r="G603" s="65" t="n"/>
      <c r="H603" s="65" t="n"/>
      <c r="I603" s="65" t="n"/>
      <c r="J603" s="65" t="n"/>
      <c r="K603" s="65" t="n"/>
      <c r="L603" s="65" t="n"/>
      <c r="M603" s="65" t="n"/>
      <c r="N603" s="65" t="n"/>
      <c r="O603" s="65" t="n"/>
      <c r="P603" s="65" t="n"/>
      <c r="Q603" s="65" t="n"/>
      <c r="R603" s="65" t="n"/>
      <c r="S603" s="65" t="n"/>
      <c r="T603" s="65" t="n"/>
      <c r="U603" s="65" t="n"/>
      <c r="V603" s="65" t="n"/>
      <c r="W603" s="65" t="n"/>
      <c r="X603" s="65" t="n"/>
      <c r="Y603" s="32">
        <f>IF($C603="","",IF(COUNTA($I603:$K603)&lt;3,"— חסרים נתונים",IF(AND($I603="תקין",$J603="תקין",$K603="תקין"),"רהוטה",IF(AND($I603="תקין",$J603="תקין"),"מדויקת ורציפה","אינה מדויקת או מקוטעת"))))</f>
        <v/>
      </c>
      <c r="Z603" s="32">
        <f>IF($C603="","",IF(COUNTA($U603:$W603)&lt;3,"",IF(AND($U603="מפותח",$V603="מפותח",$W603="מפותחת"),"מפותחת",IF((--($U603="דל"))+(--($V603="אינו מפותח"))+(--($W603="דלה"))&gt;=2,"אינה מפותחת","חלקית"))))</f>
        <v/>
      </c>
      <c r="AA603" s="32">
        <f>IF($C603="","",IF(COUNTA($M603,$N603,$O603)&lt;3,"— חסרים נתונים",IF(OR($M603="נמוכה",(--($M603&lt;&gt;"תקינה"))+(--($N603&lt;&gt;"תקין"))+(--($O603&lt;&gt;"תקינה"))&gt;=2),"ניכרת","אינה ניכרת")))</f>
        <v/>
      </c>
      <c r="AB603" s="32">
        <f>IF(OR($C603="",$Y603="",$AA603="",LEFT($Y603,1)="—",LEFT($AA603,1)="—"),"",IF($Z603="","— נדרשת הערכת כתיבה",IF($L603="","— חסרה הבנת הנקרא",IF($Y603="אינה מדויקת או מקוטעת",IF($AA603="ניכרת","מיקוד בשטף הקריאה ובכישורי שפה","מיקוד בשטף קריאה"),IF($AA603="ניכרת","מיקוד בכישורי שפה",IF(AND($L603="תקינה",$Z603="מפותחת"),"קוראים וכותבים מיומנים","מיקוד בהבנה והבעה"))))))</f>
        <v/>
      </c>
      <c r="AC603" s="32">
        <f>IF(OR($AB603="",LEFT($AB603,1)="—"),"",IF(OR($AB603="מיקוד בשטף קריאה",$AB603="מיקוד בשטף הקריאה ובכישורי שפה"),"רמה א'",IF($AB603="קוראים וכותבים מיומנים","רמה ג'","רמה ב'")))</f>
        <v/>
      </c>
      <c r="AD603" s="32">
        <f>IF($AC603="","",MID(IF(AND($AC603="רמה א'",$AA603="ניכרת"),"; להוסיף עבודת אוצר מילים","")&amp;IF($Z603="אינה מפותחת","; דגש על הבעה בכתב","")&amp;IF($K603&lt;&gt;"תקין","; נדרש לעבוד על ההנגנה","")&amp;IF($AK603&lt;&gt;"","; "&amp;$AK603,""),3,400))</f>
        <v/>
      </c>
      <c r="AE603" s="32">
        <f>IF($F603="","",IF($F603="תחילת שנה",1,IF($F603="מחצית שנה",2,3)))</f>
        <v/>
      </c>
      <c r="AF603" s="32">
        <f>IF(OR($B603="",$AC603="",$A603="",$F603=""),"",$B603&amp;"|"&amp;$A603&amp;"|"&amp;$F603&amp;"|"&amp;$AC603&amp;"|"&amp;COUNTIFS($B$6:$B603,$B603,$A$6:$A603,$A603,$F$6:$F603,$F603,$AC$6:$AC603,$AC603))</f>
        <v/>
      </c>
      <c r="AG603" s="32">
        <f>IF($C603="","",$C603&amp;"|"&amp;COUNTIFS($C$6:$C603,$C603))</f>
        <v/>
      </c>
      <c r="AH603" s="32">
        <f>IF(OR($C603="",$A603="",$AE603=""),"",$C603&amp;"|"&amp;$A603&amp;"|"&amp;$AE603)</f>
        <v/>
      </c>
      <c r="AI603" s="32">
        <f>IF(OR($C603="",$AE603="",$AE603=1),"",IFERROR(INDEX($AC$6:$AC$1505,MATCH($C603&amp;"|"&amp;$A603&amp;"|"&amp;($AE603-1),$AH$6:$AH$1505,0)),""))</f>
        <v/>
      </c>
      <c r="AJ603" s="32">
        <f>IF(OR($AI603="",$AC603=""),"",IF($AI603=$AC603,"ללא שינוי","מ-"&amp;$AI603&amp;" ל-"&amp;$AC603))</f>
        <v/>
      </c>
      <c r="AK603" s="67" t="n"/>
    </row>
    <row r="604" ht="15.75" customHeight="1" s="58">
      <c r="A604" s="65" t="n"/>
      <c r="B604" s="65" t="n"/>
      <c r="C604" s="66" t="n"/>
      <c r="D604" s="66" t="n"/>
      <c r="E604" s="65" t="n"/>
      <c r="F604" s="65" t="n"/>
      <c r="G604" s="65" t="n"/>
      <c r="H604" s="65" t="n"/>
      <c r="I604" s="65" t="n"/>
      <c r="J604" s="65" t="n"/>
      <c r="K604" s="65" t="n"/>
      <c r="L604" s="65" t="n"/>
      <c r="M604" s="65" t="n"/>
      <c r="N604" s="65" t="n"/>
      <c r="O604" s="65" t="n"/>
      <c r="P604" s="65" t="n"/>
      <c r="Q604" s="65" t="n"/>
      <c r="R604" s="65" t="n"/>
      <c r="S604" s="65" t="n"/>
      <c r="T604" s="65" t="n"/>
      <c r="U604" s="65" t="n"/>
      <c r="V604" s="65" t="n"/>
      <c r="W604" s="65" t="n"/>
      <c r="X604" s="65" t="n"/>
      <c r="Y604" s="32">
        <f>IF($C604="","",IF(COUNTA($I604:$K604)&lt;3,"— חסרים נתונים",IF(AND($I604="תקין",$J604="תקין",$K604="תקין"),"רהוטה",IF(AND($I604="תקין",$J604="תקין"),"מדויקת ורציפה","אינה מדויקת או מקוטעת"))))</f>
        <v/>
      </c>
      <c r="Z604" s="32">
        <f>IF($C604="","",IF(COUNTA($U604:$W604)&lt;3,"",IF(AND($U604="מפותח",$V604="מפותח",$W604="מפותחת"),"מפותחת",IF((--($U604="דל"))+(--($V604="אינו מפותח"))+(--($W604="דלה"))&gt;=2,"אינה מפותחת","חלקית"))))</f>
        <v/>
      </c>
      <c r="AA604" s="32">
        <f>IF($C604="","",IF(COUNTA($M604,$N604,$O604)&lt;3,"— חסרים נתונים",IF(OR($M604="נמוכה",(--($M604&lt;&gt;"תקינה"))+(--($N604&lt;&gt;"תקין"))+(--($O604&lt;&gt;"תקינה"))&gt;=2),"ניכרת","אינה ניכרת")))</f>
        <v/>
      </c>
      <c r="AB604" s="32">
        <f>IF(OR($C604="",$Y604="",$AA604="",LEFT($Y604,1)="—",LEFT($AA604,1)="—"),"",IF($Z604="","— נדרשת הערכת כתיבה",IF($L604="","— חסרה הבנת הנקרא",IF($Y604="אינה מדויקת או מקוטעת",IF($AA604="ניכרת","מיקוד בשטף הקריאה ובכישורי שפה","מיקוד בשטף קריאה"),IF($AA604="ניכרת","מיקוד בכישורי שפה",IF(AND($L604="תקינה",$Z604="מפותחת"),"קוראים וכותבים מיומנים","מיקוד בהבנה והבעה"))))))</f>
        <v/>
      </c>
      <c r="AC604" s="32">
        <f>IF(OR($AB604="",LEFT($AB604,1)="—"),"",IF(OR($AB604="מיקוד בשטף קריאה",$AB604="מיקוד בשטף הקריאה ובכישורי שפה"),"רמה א'",IF($AB604="קוראים וכותבים מיומנים","רמה ג'","רמה ב'")))</f>
        <v/>
      </c>
      <c r="AD604" s="32">
        <f>IF($AC604="","",MID(IF(AND($AC604="רמה א'",$AA604="ניכרת"),"; להוסיף עבודת אוצר מילים","")&amp;IF($Z604="אינה מפותחת","; דגש על הבעה בכתב","")&amp;IF($K604&lt;&gt;"תקין","; נדרש לעבוד על ההנגנה","")&amp;IF($AK604&lt;&gt;"","; "&amp;$AK604,""),3,400))</f>
        <v/>
      </c>
      <c r="AE604" s="32">
        <f>IF($F604="","",IF($F604="תחילת שנה",1,IF($F604="מחצית שנה",2,3)))</f>
        <v/>
      </c>
      <c r="AF604" s="32">
        <f>IF(OR($B604="",$AC604="",$A604="",$F604=""),"",$B604&amp;"|"&amp;$A604&amp;"|"&amp;$F604&amp;"|"&amp;$AC604&amp;"|"&amp;COUNTIFS($B$6:$B604,$B604,$A$6:$A604,$A604,$F$6:$F604,$F604,$AC$6:$AC604,$AC604))</f>
        <v/>
      </c>
      <c r="AG604" s="32">
        <f>IF($C604="","",$C604&amp;"|"&amp;COUNTIFS($C$6:$C604,$C604))</f>
        <v/>
      </c>
      <c r="AH604" s="32">
        <f>IF(OR($C604="",$A604="",$AE604=""),"",$C604&amp;"|"&amp;$A604&amp;"|"&amp;$AE604)</f>
        <v/>
      </c>
      <c r="AI604" s="32">
        <f>IF(OR($C604="",$AE604="",$AE604=1),"",IFERROR(INDEX($AC$6:$AC$1505,MATCH($C604&amp;"|"&amp;$A604&amp;"|"&amp;($AE604-1),$AH$6:$AH$1505,0)),""))</f>
        <v/>
      </c>
      <c r="AJ604" s="32">
        <f>IF(OR($AI604="",$AC604=""),"",IF($AI604=$AC604,"ללא שינוי","מ-"&amp;$AI604&amp;" ל-"&amp;$AC604))</f>
        <v/>
      </c>
      <c r="AK604" s="67" t="n"/>
    </row>
    <row r="605" ht="15.75" customHeight="1" s="58">
      <c r="A605" s="65" t="n"/>
      <c r="B605" s="65" t="n"/>
      <c r="C605" s="66" t="n"/>
      <c r="D605" s="66" t="n"/>
      <c r="E605" s="65" t="n"/>
      <c r="F605" s="65" t="n"/>
      <c r="G605" s="65" t="n"/>
      <c r="H605" s="65" t="n"/>
      <c r="I605" s="65" t="n"/>
      <c r="J605" s="65" t="n"/>
      <c r="K605" s="65" t="n"/>
      <c r="L605" s="65" t="n"/>
      <c r="M605" s="65" t="n"/>
      <c r="N605" s="65" t="n"/>
      <c r="O605" s="65" t="n"/>
      <c r="P605" s="65" t="n"/>
      <c r="Q605" s="65" t="n"/>
      <c r="R605" s="65" t="n"/>
      <c r="S605" s="65" t="n"/>
      <c r="T605" s="65" t="n"/>
      <c r="U605" s="65" t="n"/>
      <c r="V605" s="65" t="n"/>
      <c r="W605" s="65" t="n"/>
      <c r="X605" s="65" t="n"/>
      <c r="Y605" s="32">
        <f>IF($C605="","",IF(COUNTA($I605:$K605)&lt;3,"— חסרים נתונים",IF(AND($I605="תקין",$J605="תקין",$K605="תקין"),"רהוטה",IF(AND($I605="תקין",$J605="תקין"),"מדויקת ורציפה","אינה מדויקת או מקוטעת"))))</f>
        <v/>
      </c>
      <c r="Z605" s="32">
        <f>IF($C605="","",IF(COUNTA($U605:$W605)&lt;3,"",IF(AND($U605="מפותח",$V605="מפותח",$W605="מפותחת"),"מפותחת",IF((--($U605="דל"))+(--($V605="אינו מפותח"))+(--($W605="דלה"))&gt;=2,"אינה מפותחת","חלקית"))))</f>
        <v/>
      </c>
      <c r="AA605" s="32">
        <f>IF($C605="","",IF(COUNTA($M605,$N605,$O605)&lt;3,"— חסרים נתונים",IF(OR($M605="נמוכה",(--($M605&lt;&gt;"תקינה"))+(--($N605&lt;&gt;"תקין"))+(--($O605&lt;&gt;"תקינה"))&gt;=2),"ניכרת","אינה ניכרת")))</f>
        <v/>
      </c>
      <c r="AB605" s="32">
        <f>IF(OR($C605="",$Y605="",$AA605="",LEFT($Y605,1)="—",LEFT($AA605,1)="—"),"",IF($Z605="","— נדרשת הערכת כתיבה",IF($L605="","— חסרה הבנת הנקרא",IF($Y605="אינה מדויקת או מקוטעת",IF($AA605="ניכרת","מיקוד בשטף הקריאה ובכישורי שפה","מיקוד בשטף קריאה"),IF($AA605="ניכרת","מיקוד בכישורי שפה",IF(AND($L605="תקינה",$Z605="מפותחת"),"קוראים וכותבים מיומנים","מיקוד בהבנה והבעה"))))))</f>
        <v/>
      </c>
      <c r="AC605" s="32">
        <f>IF(OR($AB605="",LEFT($AB605,1)="—"),"",IF(OR($AB605="מיקוד בשטף קריאה",$AB605="מיקוד בשטף הקריאה ובכישורי שפה"),"רמה א'",IF($AB605="קוראים וכותבים מיומנים","רמה ג'","רמה ב'")))</f>
        <v/>
      </c>
      <c r="AD605" s="32">
        <f>IF($AC605="","",MID(IF(AND($AC605="רמה א'",$AA605="ניכרת"),"; להוסיף עבודת אוצר מילים","")&amp;IF($Z605="אינה מפותחת","; דגש על הבעה בכתב","")&amp;IF($K605&lt;&gt;"תקין","; נדרש לעבוד על ההנגנה","")&amp;IF($AK605&lt;&gt;"","; "&amp;$AK605,""),3,400))</f>
        <v/>
      </c>
      <c r="AE605" s="32">
        <f>IF($F605="","",IF($F605="תחילת שנה",1,IF($F605="מחצית שנה",2,3)))</f>
        <v/>
      </c>
      <c r="AF605" s="32">
        <f>IF(OR($B605="",$AC605="",$A605="",$F605=""),"",$B605&amp;"|"&amp;$A605&amp;"|"&amp;$F605&amp;"|"&amp;$AC605&amp;"|"&amp;COUNTIFS($B$6:$B605,$B605,$A$6:$A605,$A605,$F$6:$F605,$F605,$AC$6:$AC605,$AC605))</f>
        <v/>
      </c>
      <c r="AG605" s="32">
        <f>IF($C605="","",$C605&amp;"|"&amp;COUNTIFS($C$6:$C605,$C605))</f>
        <v/>
      </c>
      <c r="AH605" s="32">
        <f>IF(OR($C605="",$A605="",$AE605=""),"",$C605&amp;"|"&amp;$A605&amp;"|"&amp;$AE605)</f>
        <v/>
      </c>
      <c r="AI605" s="32">
        <f>IF(OR($C605="",$AE605="",$AE605=1),"",IFERROR(INDEX($AC$6:$AC$1505,MATCH($C605&amp;"|"&amp;$A605&amp;"|"&amp;($AE605-1),$AH$6:$AH$1505,0)),""))</f>
        <v/>
      </c>
      <c r="AJ605" s="32">
        <f>IF(OR($AI605="",$AC605=""),"",IF($AI605=$AC605,"ללא שינוי","מ-"&amp;$AI605&amp;" ל-"&amp;$AC605))</f>
        <v/>
      </c>
      <c r="AK605" s="67" t="n"/>
    </row>
    <row r="606" ht="15.75" customHeight="1" s="58">
      <c r="A606" s="65" t="n"/>
      <c r="B606" s="65" t="n"/>
      <c r="C606" s="66" t="n"/>
      <c r="D606" s="66" t="n"/>
      <c r="E606" s="65" t="n"/>
      <c r="F606" s="65" t="n"/>
      <c r="G606" s="65" t="n"/>
      <c r="H606" s="65" t="n"/>
      <c r="I606" s="65" t="n"/>
      <c r="J606" s="65" t="n"/>
      <c r="K606" s="65" t="n"/>
      <c r="L606" s="65" t="n"/>
      <c r="M606" s="65" t="n"/>
      <c r="N606" s="65" t="n"/>
      <c r="O606" s="65" t="n"/>
      <c r="P606" s="65" t="n"/>
      <c r="Q606" s="65" t="n"/>
      <c r="R606" s="65" t="n"/>
      <c r="S606" s="65" t="n"/>
      <c r="T606" s="65" t="n"/>
      <c r="U606" s="65" t="n"/>
      <c r="V606" s="65" t="n"/>
      <c r="W606" s="65" t="n"/>
      <c r="X606" s="65" t="n"/>
      <c r="Y606" s="32">
        <f>IF($C606="","",IF(COUNTA($I606:$K606)&lt;3,"— חסרים נתונים",IF(AND($I606="תקין",$J606="תקין",$K606="תקין"),"רהוטה",IF(AND($I606="תקין",$J606="תקין"),"מדויקת ורציפה","אינה מדויקת או מקוטעת"))))</f>
        <v/>
      </c>
      <c r="Z606" s="32">
        <f>IF($C606="","",IF(COUNTA($U606:$W606)&lt;3,"",IF(AND($U606="מפותח",$V606="מפותח",$W606="מפותחת"),"מפותחת",IF((--($U606="דל"))+(--($V606="אינו מפותח"))+(--($W606="דלה"))&gt;=2,"אינה מפותחת","חלקית"))))</f>
        <v/>
      </c>
      <c r="AA606" s="32">
        <f>IF($C606="","",IF(COUNTA($M606,$N606,$O606)&lt;3,"— חסרים נתונים",IF(OR($M606="נמוכה",(--($M606&lt;&gt;"תקינה"))+(--($N606&lt;&gt;"תקין"))+(--($O606&lt;&gt;"תקינה"))&gt;=2),"ניכרת","אינה ניכרת")))</f>
        <v/>
      </c>
      <c r="AB606" s="32">
        <f>IF(OR($C606="",$Y606="",$AA606="",LEFT($Y606,1)="—",LEFT($AA606,1)="—"),"",IF($Z606="","— נדרשת הערכת כתיבה",IF($L606="","— חסרה הבנת הנקרא",IF($Y606="אינה מדויקת או מקוטעת",IF($AA606="ניכרת","מיקוד בשטף הקריאה ובכישורי שפה","מיקוד בשטף קריאה"),IF($AA606="ניכרת","מיקוד בכישורי שפה",IF(AND($L606="תקינה",$Z606="מפותחת"),"קוראים וכותבים מיומנים","מיקוד בהבנה והבעה"))))))</f>
        <v/>
      </c>
      <c r="AC606" s="32">
        <f>IF(OR($AB606="",LEFT($AB606,1)="—"),"",IF(OR($AB606="מיקוד בשטף קריאה",$AB606="מיקוד בשטף הקריאה ובכישורי שפה"),"רמה א'",IF($AB606="קוראים וכותבים מיומנים","רמה ג'","רמה ב'")))</f>
        <v/>
      </c>
      <c r="AD606" s="32">
        <f>IF($AC606="","",MID(IF(AND($AC606="רמה א'",$AA606="ניכרת"),"; להוסיף עבודת אוצר מילים","")&amp;IF($Z606="אינה מפותחת","; דגש על הבעה בכתב","")&amp;IF($K606&lt;&gt;"תקין","; נדרש לעבוד על ההנגנה","")&amp;IF($AK606&lt;&gt;"","; "&amp;$AK606,""),3,400))</f>
        <v/>
      </c>
      <c r="AE606" s="32">
        <f>IF($F606="","",IF($F606="תחילת שנה",1,IF($F606="מחצית שנה",2,3)))</f>
        <v/>
      </c>
      <c r="AF606" s="32">
        <f>IF(OR($B606="",$AC606="",$A606="",$F606=""),"",$B606&amp;"|"&amp;$A606&amp;"|"&amp;$F606&amp;"|"&amp;$AC606&amp;"|"&amp;COUNTIFS($B$6:$B606,$B606,$A$6:$A606,$A606,$F$6:$F606,$F606,$AC$6:$AC606,$AC606))</f>
        <v/>
      </c>
      <c r="AG606" s="32">
        <f>IF($C606="","",$C606&amp;"|"&amp;COUNTIFS($C$6:$C606,$C606))</f>
        <v/>
      </c>
      <c r="AH606" s="32">
        <f>IF(OR($C606="",$A606="",$AE606=""),"",$C606&amp;"|"&amp;$A606&amp;"|"&amp;$AE606)</f>
        <v/>
      </c>
      <c r="AI606" s="32">
        <f>IF(OR($C606="",$AE606="",$AE606=1),"",IFERROR(INDEX($AC$6:$AC$1505,MATCH($C606&amp;"|"&amp;$A606&amp;"|"&amp;($AE606-1),$AH$6:$AH$1505,0)),""))</f>
        <v/>
      </c>
      <c r="AJ606" s="32">
        <f>IF(OR($AI606="",$AC606=""),"",IF($AI606=$AC606,"ללא שינוי","מ-"&amp;$AI606&amp;" ל-"&amp;$AC606))</f>
        <v/>
      </c>
      <c r="AK606" s="67" t="n"/>
    </row>
    <row r="607" ht="15.75" customHeight="1" s="58">
      <c r="A607" s="65" t="n"/>
      <c r="B607" s="65" t="n"/>
      <c r="C607" s="66" t="n"/>
      <c r="D607" s="66" t="n"/>
      <c r="E607" s="65" t="n"/>
      <c r="F607" s="65" t="n"/>
      <c r="G607" s="65" t="n"/>
      <c r="H607" s="65" t="n"/>
      <c r="I607" s="65" t="n"/>
      <c r="J607" s="65" t="n"/>
      <c r="K607" s="65" t="n"/>
      <c r="L607" s="65" t="n"/>
      <c r="M607" s="65" t="n"/>
      <c r="N607" s="65" t="n"/>
      <c r="O607" s="65" t="n"/>
      <c r="P607" s="65" t="n"/>
      <c r="Q607" s="65" t="n"/>
      <c r="R607" s="65" t="n"/>
      <c r="S607" s="65" t="n"/>
      <c r="T607" s="65" t="n"/>
      <c r="U607" s="65" t="n"/>
      <c r="V607" s="65" t="n"/>
      <c r="W607" s="65" t="n"/>
      <c r="X607" s="65" t="n"/>
      <c r="Y607" s="32">
        <f>IF($C607="","",IF(COUNTA($I607:$K607)&lt;3,"— חסרים נתונים",IF(AND($I607="תקין",$J607="תקין",$K607="תקין"),"רהוטה",IF(AND($I607="תקין",$J607="תקין"),"מדויקת ורציפה","אינה מדויקת או מקוטעת"))))</f>
        <v/>
      </c>
      <c r="Z607" s="32">
        <f>IF($C607="","",IF(COUNTA($U607:$W607)&lt;3,"",IF(AND($U607="מפותח",$V607="מפותח",$W607="מפותחת"),"מפותחת",IF((--($U607="דל"))+(--($V607="אינו מפותח"))+(--($W607="דלה"))&gt;=2,"אינה מפותחת","חלקית"))))</f>
        <v/>
      </c>
      <c r="AA607" s="32">
        <f>IF($C607="","",IF(COUNTA($M607,$N607,$O607)&lt;3,"— חסרים נתונים",IF(OR($M607="נמוכה",(--($M607&lt;&gt;"תקינה"))+(--($N607&lt;&gt;"תקין"))+(--($O607&lt;&gt;"תקינה"))&gt;=2),"ניכרת","אינה ניכרת")))</f>
        <v/>
      </c>
      <c r="AB607" s="32">
        <f>IF(OR($C607="",$Y607="",$AA607="",LEFT($Y607,1)="—",LEFT($AA607,1)="—"),"",IF($Z607="","— נדרשת הערכת כתיבה",IF($L607="","— חסרה הבנת הנקרא",IF($Y607="אינה מדויקת או מקוטעת",IF($AA607="ניכרת","מיקוד בשטף הקריאה ובכישורי שפה","מיקוד בשטף קריאה"),IF($AA607="ניכרת","מיקוד בכישורי שפה",IF(AND($L607="תקינה",$Z607="מפותחת"),"קוראים וכותבים מיומנים","מיקוד בהבנה והבעה"))))))</f>
        <v/>
      </c>
      <c r="AC607" s="32">
        <f>IF(OR($AB607="",LEFT($AB607,1)="—"),"",IF(OR($AB607="מיקוד בשטף קריאה",$AB607="מיקוד בשטף הקריאה ובכישורי שפה"),"רמה א'",IF($AB607="קוראים וכותבים מיומנים","רמה ג'","רמה ב'")))</f>
        <v/>
      </c>
      <c r="AD607" s="32">
        <f>IF($AC607="","",MID(IF(AND($AC607="רמה א'",$AA607="ניכרת"),"; להוסיף עבודת אוצר מילים","")&amp;IF($Z607="אינה מפותחת","; דגש על הבעה בכתב","")&amp;IF($K607&lt;&gt;"תקין","; נדרש לעבוד על ההנגנה","")&amp;IF($AK607&lt;&gt;"","; "&amp;$AK607,""),3,400))</f>
        <v/>
      </c>
      <c r="AE607" s="32">
        <f>IF($F607="","",IF($F607="תחילת שנה",1,IF($F607="מחצית שנה",2,3)))</f>
        <v/>
      </c>
      <c r="AF607" s="32">
        <f>IF(OR($B607="",$AC607="",$A607="",$F607=""),"",$B607&amp;"|"&amp;$A607&amp;"|"&amp;$F607&amp;"|"&amp;$AC607&amp;"|"&amp;COUNTIFS($B$6:$B607,$B607,$A$6:$A607,$A607,$F$6:$F607,$F607,$AC$6:$AC607,$AC607))</f>
        <v/>
      </c>
      <c r="AG607" s="32">
        <f>IF($C607="","",$C607&amp;"|"&amp;COUNTIFS($C$6:$C607,$C607))</f>
        <v/>
      </c>
      <c r="AH607" s="32">
        <f>IF(OR($C607="",$A607="",$AE607=""),"",$C607&amp;"|"&amp;$A607&amp;"|"&amp;$AE607)</f>
        <v/>
      </c>
      <c r="AI607" s="32">
        <f>IF(OR($C607="",$AE607="",$AE607=1),"",IFERROR(INDEX($AC$6:$AC$1505,MATCH($C607&amp;"|"&amp;$A607&amp;"|"&amp;($AE607-1),$AH$6:$AH$1505,0)),""))</f>
        <v/>
      </c>
      <c r="AJ607" s="32">
        <f>IF(OR($AI607="",$AC607=""),"",IF($AI607=$AC607,"ללא שינוי","מ-"&amp;$AI607&amp;" ל-"&amp;$AC607))</f>
        <v/>
      </c>
      <c r="AK607" s="67" t="n"/>
    </row>
    <row r="608" ht="15.75" customHeight="1" s="58">
      <c r="A608" s="65" t="n"/>
      <c r="B608" s="65" t="n"/>
      <c r="C608" s="66" t="n"/>
      <c r="D608" s="66" t="n"/>
      <c r="E608" s="65" t="n"/>
      <c r="F608" s="65" t="n"/>
      <c r="G608" s="65" t="n"/>
      <c r="H608" s="65" t="n"/>
      <c r="I608" s="65" t="n"/>
      <c r="J608" s="65" t="n"/>
      <c r="K608" s="65" t="n"/>
      <c r="L608" s="65" t="n"/>
      <c r="M608" s="65" t="n"/>
      <c r="N608" s="65" t="n"/>
      <c r="O608" s="65" t="n"/>
      <c r="P608" s="65" t="n"/>
      <c r="Q608" s="65" t="n"/>
      <c r="R608" s="65" t="n"/>
      <c r="S608" s="65" t="n"/>
      <c r="T608" s="65" t="n"/>
      <c r="U608" s="65" t="n"/>
      <c r="V608" s="65" t="n"/>
      <c r="W608" s="65" t="n"/>
      <c r="X608" s="65" t="n"/>
      <c r="Y608" s="32">
        <f>IF($C608="","",IF(COUNTA($I608:$K608)&lt;3,"— חסרים נתונים",IF(AND($I608="תקין",$J608="תקין",$K608="תקין"),"רהוטה",IF(AND($I608="תקין",$J608="תקין"),"מדויקת ורציפה","אינה מדויקת או מקוטעת"))))</f>
        <v/>
      </c>
      <c r="Z608" s="32">
        <f>IF($C608="","",IF(COUNTA($U608:$W608)&lt;3,"",IF(AND($U608="מפותח",$V608="מפותח",$W608="מפותחת"),"מפותחת",IF((--($U608="דל"))+(--($V608="אינו מפותח"))+(--($W608="דלה"))&gt;=2,"אינה מפותחת","חלקית"))))</f>
        <v/>
      </c>
      <c r="AA608" s="32">
        <f>IF($C608="","",IF(COUNTA($M608,$N608,$O608)&lt;3,"— חסרים נתונים",IF(OR($M608="נמוכה",(--($M608&lt;&gt;"תקינה"))+(--($N608&lt;&gt;"תקין"))+(--($O608&lt;&gt;"תקינה"))&gt;=2),"ניכרת","אינה ניכרת")))</f>
        <v/>
      </c>
      <c r="AB608" s="32">
        <f>IF(OR($C608="",$Y608="",$AA608="",LEFT($Y608,1)="—",LEFT($AA608,1)="—"),"",IF($Z608="","— נדרשת הערכת כתיבה",IF($L608="","— חסרה הבנת הנקרא",IF($Y608="אינה מדויקת או מקוטעת",IF($AA608="ניכרת","מיקוד בשטף הקריאה ובכישורי שפה","מיקוד בשטף קריאה"),IF($AA608="ניכרת","מיקוד בכישורי שפה",IF(AND($L608="תקינה",$Z608="מפותחת"),"קוראים וכותבים מיומנים","מיקוד בהבנה והבעה"))))))</f>
        <v/>
      </c>
      <c r="AC608" s="32">
        <f>IF(OR($AB608="",LEFT($AB608,1)="—"),"",IF(OR($AB608="מיקוד בשטף קריאה",$AB608="מיקוד בשטף הקריאה ובכישורי שפה"),"רמה א'",IF($AB608="קוראים וכותבים מיומנים","רמה ג'","רמה ב'")))</f>
        <v/>
      </c>
      <c r="AD608" s="32">
        <f>IF($AC608="","",MID(IF(AND($AC608="רמה א'",$AA608="ניכרת"),"; להוסיף עבודת אוצר מילים","")&amp;IF($Z608="אינה מפותחת","; דגש על הבעה בכתב","")&amp;IF($K608&lt;&gt;"תקין","; נדרש לעבוד על ההנגנה","")&amp;IF($AK608&lt;&gt;"","; "&amp;$AK608,""),3,400))</f>
        <v/>
      </c>
      <c r="AE608" s="32">
        <f>IF($F608="","",IF($F608="תחילת שנה",1,IF($F608="מחצית שנה",2,3)))</f>
        <v/>
      </c>
      <c r="AF608" s="32">
        <f>IF(OR($B608="",$AC608="",$A608="",$F608=""),"",$B608&amp;"|"&amp;$A608&amp;"|"&amp;$F608&amp;"|"&amp;$AC608&amp;"|"&amp;COUNTIFS($B$6:$B608,$B608,$A$6:$A608,$A608,$F$6:$F608,$F608,$AC$6:$AC608,$AC608))</f>
        <v/>
      </c>
      <c r="AG608" s="32">
        <f>IF($C608="","",$C608&amp;"|"&amp;COUNTIFS($C$6:$C608,$C608))</f>
        <v/>
      </c>
      <c r="AH608" s="32">
        <f>IF(OR($C608="",$A608="",$AE608=""),"",$C608&amp;"|"&amp;$A608&amp;"|"&amp;$AE608)</f>
        <v/>
      </c>
      <c r="AI608" s="32">
        <f>IF(OR($C608="",$AE608="",$AE608=1),"",IFERROR(INDEX($AC$6:$AC$1505,MATCH($C608&amp;"|"&amp;$A608&amp;"|"&amp;($AE608-1),$AH$6:$AH$1505,0)),""))</f>
        <v/>
      </c>
      <c r="AJ608" s="32">
        <f>IF(OR($AI608="",$AC608=""),"",IF($AI608=$AC608,"ללא שינוי","מ-"&amp;$AI608&amp;" ל-"&amp;$AC608))</f>
        <v/>
      </c>
      <c r="AK608" s="67" t="n"/>
    </row>
    <row r="609" ht="15.75" customHeight="1" s="58">
      <c r="A609" s="65" t="n"/>
      <c r="B609" s="65" t="n"/>
      <c r="C609" s="66" t="n"/>
      <c r="D609" s="66" t="n"/>
      <c r="E609" s="65" t="n"/>
      <c r="F609" s="65" t="n"/>
      <c r="G609" s="65" t="n"/>
      <c r="H609" s="65" t="n"/>
      <c r="I609" s="65" t="n"/>
      <c r="J609" s="65" t="n"/>
      <c r="K609" s="65" t="n"/>
      <c r="L609" s="65" t="n"/>
      <c r="M609" s="65" t="n"/>
      <c r="N609" s="65" t="n"/>
      <c r="O609" s="65" t="n"/>
      <c r="P609" s="65" t="n"/>
      <c r="Q609" s="65" t="n"/>
      <c r="R609" s="65" t="n"/>
      <c r="S609" s="65" t="n"/>
      <c r="T609" s="65" t="n"/>
      <c r="U609" s="65" t="n"/>
      <c r="V609" s="65" t="n"/>
      <c r="W609" s="65" t="n"/>
      <c r="X609" s="65" t="n"/>
      <c r="Y609" s="32">
        <f>IF($C609="","",IF(COUNTA($I609:$K609)&lt;3,"— חסרים נתונים",IF(AND($I609="תקין",$J609="תקין",$K609="תקין"),"רהוטה",IF(AND($I609="תקין",$J609="תקין"),"מדויקת ורציפה","אינה מדויקת או מקוטעת"))))</f>
        <v/>
      </c>
      <c r="Z609" s="32">
        <f>IF($C609="","",IF(COUNTA($U609:$W609)&lt;3,"",IF(AND($U609="מפותח",$V609="מפותח",$W609="מפותחת"),"מפותחת",IF((--($U609="דל"))+(--($V609="אינו מפותח"))+(--($W609="דלה"))&gt;=2,"אינה מפותחת","חלקית"))))</f>
        <v/>
      </c>
      <c r="AA609" s="32">
        <f>IF($C609="","",IF(COUNTA($M609,$N609,$O609)&lt;3,"— חסרים נתונים",IF(OR($M609="נמוכה",(--($M609&lt;&gt;"תקינה"))+(--($N609&lt;&gt;"תקין"))+(--($O609&lt;&gt;"תקינה"))&gt;=2),"ניכרת","אינה ניכרת")))</f>
        <v/>
      </c>
      <c r="AB609" s="32">
        <f>IF(OR($C609="",$Y609="",$AA609="",LEFT($Y609,1)="—",LEFT($AA609,1)="—"),"",IF($Z609="","— נדרשת הערכת כתיבה",IF($L609="","— חסרה הבנת הנקרא",IF($Y609="אינה מדויקת או מקוטעת",IF($AA609="ניכרת","מיקוד בשטף הקריאה ובכישורי שפה","מיקוד בשטף קריאה"),IF($AA609="ניכרת","מיקוד בכישורי שפה",IF(AND($L609="תקינה",$Z609="מפותחת"),"קוראים וכותבים מיומנים","מיקוד בהבנה והבעה"))))))</f>
        <v/>
      </c>
      <c r="AC609" s="32">
        <f>IF(OR($AB609="",LEFT($AB609,1)="—"),"",IF(OR($AB609="מיקוד בשטף קריאה",$AB609="מיקוד בשטף הקריאה ובכישורי שפה"),"רמה א'",IF($AB609="קוראים וכותבים מיומנים","רמה ג'","רמה ב'")))</f>
        <v/>
      </c>
      <c r="AD609" s="32">
        <f>IF($AC609="","",MID(IF(AND($AC609="רמה א'",$AA609="ניכרת"),"; להוסיף עבודת אוצר מילים","")&amp;IF($Z609="אינה מפותחת","; דגש על הבעה בכתב","")&amp;IF($K609&lt;&gt;"תקין","; נדרש לעבוד על ההנגנה","")&amp;IF($AK609&lt;&gt;"","; "&amp;$AK609,""),3,400))</f>
        <v/>
      </c>
      <c r="AE609" s="32">
        <f>IF($F609="","",IF($F609="תחילת שנה",1,IF($F609="מחצית שנה",2,3)))</f>
        <v/>
      </c>
      <c r="AF609" s="32">
        <f>IF(OR($B609="",$AC609="",$A609="",$F609=""),"",$B609&amp;"|"&amp;$A609&amp;"|"&amp;$F609&amp;"|"&amp;$AC609&amp;"|"&amp;COUNTIFS($B$6:$B609,$B609,$A$6:$A609,$A609,$F$6:$F609,$F609,$AC$6:$AC609,$AC609))</f>
        <v/>
      </c>
      <c r="AG609" s="32">
        <f>IF($C609="","",$C609&amp;"|"&amp;COUNTIFS($C$6:$C609,$C609))</f>
        <v/>
      </c>
      <c r="AH609" s="32">
        <f>IF(OR($C609="",$A609="",$AE609=""),"",$C609&amp;"|"&amp;$A609&amp;"|"&amp;$AE609)</f>
        <v/>
      </c>
      <c r="AI609" s="32">
        <f>IF(OR($C609="",$AE609="",$AE609=1),"",IFERROR(INDEX($AC$6:$AC$1505,MATCH($C609&amp;"|"&amp;$A609&amp;"|"&amp;($AE609-1),$AH$6:$AH$1505,0)),""))</f>
        <v/>
      </c>
      <c r="AJ609" s="32">
        <f>IF(OR($AI609="",$AC609=""),"",IF($AI609=$AC609,"ללא שינוי","מ-"&amp;$AI609&amp;" ל-"&amp;$AC609))</f>
        <v/>
      </c>
      <c r="AK609" s="67" t="n"/>
    </row>
    <row r="610" ht="15.75" customHeight="1" s="58">
      <c r="A610" s="65" t="n"/>
      <c r="B610" s="65" t="n"/>
      <c r="C610" s="66" t="n"/>
      <c r="D610" s="66" t="n"/>
      <c r="E610" s="65" t="n"/>
      <c r="F610" s="65" t="n"/>
      <c r="G610" s="65" t="n"/>
      <c r="H610" s="65" t="n"/>
      <c r="I610" s="65" t="n"/>
      <c r="J610" s="65" t="n"/>
      <c r="K610" s="65" t="n"/>
      <c r="L610" s="65" t="n"/>
      <c r="M610" s="65" t="n"/>
      <c r="N610" s="65" t="n"/>
      <c r="O610" s="65" t="n"/>
      <c r="P610" s="65" t="n"/>
      <c r="Q610" s="65" t="n"/>
      <c r="R610" s="65" t="n"/>
      <c r="S610" s="65" t="n"/>
      <c r="T610" s="65" t="n"/>
      <c r="U610" s="65" t="n"/>
      <c r="V610" s="65" t="n"/>
      <c r="W610" s="65" t="n"/>
      <c r="X610" s="65" t="n"/>
      <c r="Y610" s="32">
        <f>IF($C610="","",IF(COUNTA($I610:$K610)&lt;3,"— חסרים נתונים",IF(AND($I610="תקין",$J610="תקין",$K610="תקין"),"רהוטה",IF(AND($I610="תקין",$J610="תקין"),"מדויקת ורציפה","אינה מדויקת או מקוטעת"))))</f>
        <v/>
      </c>
      <c r="Z610" s="32">
        <f>IF($C610="","",IF(COUNTA($U610:$W610)&lt;3,"",IF(AND($U610="מפותח",$V610="מפותח",$W610="מפותחת"),"מפותחת",IF((--($U610="דל"))+(--($V610="אינו מפותח"))+(--($W610="דלה"))&gt;=2,"אינה מפותחת","חלקית"))))</f>
        <v/>
      </c>
      <c r="AA610" s="32">
        <f>IF($C610="","",IF(COUNTA($M610,$N610,$O610)&lt;3,"— חסרים נתונים",IF(OR($M610="נמוכה",(--($M610&lt;&gt;"תקינה"))+(--($N610&lt;&gt;"תקין"))+(--($O610&lt;&gt;"תקינה"))&gt;=2),"ניכרת","אינה ניכרת")))</f>
        <v/>
      </c>
      <c r="AB610" s="32">
        <f>IF(OR($C610="",$Y610="",$AA610="",LEFT($Y610,1)="—",LEFT($AA610,1)="—"),"",IF($Z610="","— נדרשת הערכת כתיבה",IF($L610="","— חסרה הבנת הנקרא",IF($Y610="אינה מדויקת או מקוטעת",IF($AA610="ניכרת","מיקוד בשטף הקריאה ובכישורי שפה","מיקוד בשטף קריאה"),IF($AA610="ניכרת","מיקוד בכישורי שפה",IF(AND($L610="תקינה",$Z610="מפותחת"),"קוראים וכותבים מיומנים","מיקוד בהבנה והבעה"))))))</f>
        <v/>
      </c>
      <c r="AC610" s="32">
        <f>IF(OR($AB610="",LEFT($AB610,1)="—"),"",IF(OR($AB610="מיקוד בשטף קריאה",$AB610="מיקוד בשטף הקריאה ובכישורי שפה"),"רמה א'",IF($AB610="קוראים וכותבים מיומנים","רמה ג'","רמה ב'")))</f>
        <v/>
      </c>
      <c r="AD610" s="32">
        <f>IF($AC610="","",MID(IF(AND($AC610="רמה א'",$AA610="ניכרת"),"; להוסיף עבודת אוצר מילים","")&amp;IF($Z610="אינה מפותחת","; דגש על הבעה בכתב","")&amp;IF($K610&lt;&gt;"תקין","; נדרש לעבוד על ההנגנה","")&amp;IF($AK610&lt;&gt;"","; "&amp;$AK610,""),3,400))</f>
        <v/>
      </c>
      <c r="AE610" s="32">
        <f>IF($F610="","",IF($F610="תחילת שנה",1,IF($F610="מחצית שנה",2,3)))</f>
        <v/>
      </c>
      <c r="AF610" s="32">
        <f>IF(OR($B610="",$AC610="",$A610="",$F610=""),"",$B610&amp;"|"&amp;$A610&amp;"|"&amp;$F610&amp;"|"&amp;$AC610&amp;"|"&amp;COUNTIFS($B$6:$B610,$B610,$A$6:$A610,$A610,$F$6:$F610,$F610,$AC$6:$AC610,$AC610))</f>
        <v/>
      </c>
      <c r="AG610" s="32">
        <f>IF($C610="","",$C610&amp;"|"&amp;COUNTIFS($C$6:$C610,$C610))</f>
        <v/>
      </c>
      <c r="AH610" s="32">
        <f>IF(OR($C610="",$A610="",$AE610=""),"",$C610&amp;"|"&amp;$A610&amp;"|"&amp;$AE610)</f>
        <v/>
      </c>
      <c r="AI610" s="32">
        <f>IF(OR($C610="",$AE610="",$AE610=1),"",IFERROR(INDEX($AC$6:$AC$1505,MATCH($C610&amp;"|"&amp;$A610&amp;"|"&amp;($AE610-1),$AH$6:$AH$1505,0)),""))</f>
        <v/>
      </c>
      <c r="AJ610" s="32">
        <f>IF(OR($AI610="",$AC610=""),"",IF($AI610=$AC610,"ללא שינוי","מ-"&amp;$AI610&amp;" ל-"&amp;$AC610))</f>
        <v/>
      </c>
      <c r="AK610" s="67" t="n"/>
    </row>
    <row r="611" ht="15.75" customHeight="1" s="58">
      <c r="A611" s="65" t="n"/>
      <c r="B611" s="65" t="n"/>
      <c r="C611" s="66" t="n"/>
      <c r="D611" s="66" t="n"/>
      <c r="E611" s="65" t="n"/>
      <c r="F611" s="65" t="n"/>
      <c r="G611" s="65" t="n"/>
      <c r="H611" s="65" t="n"/>
      <c r="I611" s="65" t="n"/>
      <c r="J611" s="65" t="n"/>
      <c r="K611" s="65" t="n"/>
      <c r="L611" s="65" t="n"/>
      <c r="M611" s="65" t="n"/>
      <c r="N611" s="65" t="n"/>
      <c r="O611" s="65" t="n"/>
      <c r="P611" s="65" t="n"/>
      <c r="Q611" s="65" t="n"/>
      <c r="R611" s="65" t="n"/>
      <c r="S611" s="65" t="n"/>
      <c r="T611" s="65" t="n"/>
      <c r="U611" s="65" t="n"/>
      <c r="V611" s="65" t="n"/>
      <c r="W611" s="65" t="n"/>
      <c r="X611" s="65" t="n"/>
      <c r="Y611" s="32">
        <f>IF($C611="","",IF(COUNTA($I611:$K611)&lt;3,"— חסרים נתונים",IF(AND($I611="תקין",$J611="תקין",$K611="תקין"),"רהוטה",IF(AND($I611="תקין",$J611="תקין"),"מדויקת ורציפה","אינה מדויקת או מקוטעת"))))</f>
        <v/>
      </c>
      <c r="Z611" s="32">
        <f>IF($C611="","",IF(COUNTA($U611:$W611)&lt;3,"",IF(AND($U611="מפותח",$V611="מפותח",$W611="מפותחת"),"מפותחת",IF((--($U611="דל"))+(--($V611="אינו מפותח"))+(--($W611="דלה"))&gt;=2,"אינה מפותחת","חלקית"))))</f>
        <v/>
      </c>
      <c r="AA611" s="32">
        <f>IF($C611="","",IF(COUNTA($M611,$N611,$O611)&lt;3,"— חסרים נתונים",IF(OR($M611="נמוכה",(--($M611&lt;&gt;"תקינה"))+(--($N611&lt;&gt;"תקין"))+(--($O611&lt;&gt;"תקינה"))&gt;=2),"ניכרת","אינה ניכרת")))</f>
        <v/>
      </c>
      <c r="AB611" s="32">
        <f>IF(OR($C611="",$Y611="",$AA611="",LEFT($Y611,1)="—",LEFT($AA611,1)="—"),"",IF($Z611="","— נדרשת הערכת כתיבה",IF($L611="","— חסרה הבנת הנקרא",IF($Y611="אינה מדויקת או מקוטעת",IF($AA611="ניכרת","מיקוד בשטף הקריאה ובכישורי שפה","מיקוד בשטף קריאה"),IF($AA611="ניכרת","מיקוד בכישורי שפה",IF(AND($L611="תקינה",$Z611="מפותחת"),"קוראים וכותבים מיומנים","מיקוד בהבנה והבעה"))))))</f>
        <v/>
      </c>
      <c r="AC611" s="32">
        <f>IF(OR($AB611="",LEFT($AB611,1)="—"),"",IF(OR($AB611="מיקוד בשטף קריאה",$AB611="מיקוד בשטף הקריאה ובכישורי שפה"),"רמה א'",IF($AB611="קוראים וכותבים מיומנים","רמה ג'","רמה ב'")))</f>
        <v/>
      </c>
      <c r="AD611" s="32">
        <f>IF($AC611="","",MID(IF(AND($AC611="רמה א'",$AA611="ניכרת"),"; להוסיף עבודת אוצר מילים","")&amp;IF($Z611="אינה מפותחת","; דגש על הבעה בכתב","")&amp;IF($K611&lt;&gt;"תקין","; נדרש לעבוד על ההנגנה","")&amp;IF($AK611&lt;&gt;"","; "&amp;$AK611,""),3,400))</f>
        <v/>
      </c>
      <c r="AE611" s="32">
        <f>IF($F611="","",IF($F611="תחילת שנה",1,IF($F611="מחצית שנה",2,3)))</f>
        <v/>
      </c>
      <c r="AF611" s="32">
        <f>IF(OR($B611="",$AC611="",$A611="",$F611=""),"",$B611&amp;"|"&amp;$A611&amp;"|"&amp;$F611&amp;"|"&amp;$AC611&amp;"|"&amp;COUNTIFS($B$6:$B611,$B611,$A$6:$A611,$A611,$F$6:$F611,$F611,$AC$6:$AC611,$AC611))</f>
        <v/>
      </c>
      <c r="AG611" s="32">
        <f>IF($C611="","",$C611&amp;"|"&amp;COUNTIFS($C$6:$C611,$C611))</f>
        <v/>
      </c>
      <c r="AH611" s="32">
        <f>IF(OR($C611="",$A611="",$AE611=""),"",$C611&amp;"|"&amp;$A611&amp;"|"&amp;$AE611)</f>
        <v/>
      </c>
      <c r="AI611" s="32">
        <f>IF(OR($C611="",$AE611="",$AE611=1),"",IFERROR(INDEX($AC$6:$AC$1505,MATCH($C611&amp;"|"&amp;$A611&amp;"|"&amp;($AE611-1),$AH$6:$AH$1505,0)),""))</f>
        <v/>
      </c>
      <c r="AJ611" s="32">
        <f>IF(OR($AI611="",$AC611=""),"",IF($AI611=$AC611,"ללא שינוי","מ-"&amp;$AI611&amp;" ל-"&amp;$AC611))</f>
        <v/>
      </c>
      <c r="AK611" s="67" t="n"/>
    </row>
    <row r="612" ht="15.75" customHeight="1" s="58">
      <c r="A612" s="65" t="n"/>
      <c r="B612" s="65" t="n"/>
      <c r="C612" s="66" t="n"/>
      <c r="D612" s="66" t="n"/>
      <c r="E612" s="65" t="n"/>
      <c r="F612" s="65" t="n"/>
      <c r="G612" s="65" t="n"/>
      <c r="H612" s="65" t="n"/>
      <c r="I612" s="65" t="n"/>
      <c r="J612" s="65" t="n"/>
      <c r="K612" s="65" t="n"/>
      <c r="L612" s="65" t="n"/>
      <c r="M612" s="65" t="n"/>
      <c r="N612" s="65" t="n"/>
      <c r="O612" s="65" t="n"/>
      <c r="P612" s="65" t="n"/>
      <c r="Q612" s="65" t="n"/>
      <c r="R612" s="65" t="n"/>
      <c r="S612" s="65" t="n"/>
      <c r="T612" s="65" t="n"/>
      <c r="U612" s="65" t="n"/>
      <c r="V612" s="65" t="n"/>
      <c r="W612" s="65" t="n"/>
      <c r="X612" s="65" t="n"/>
      <c r="Y612" s="32">
        <f>IF($C612="","",IF(COUNTA($I612:$K612)&lt;3,"— חסרים נתונים",IF(AND($I612="תקין",$J612="תקין",$K612="תקין"),"רהוטה",IF(AND($I612="תקין",$J612="תקין"),"מדויקת ורציפה","אינה מדויקת או מקוטעת"))))</f>
        <v/>
      </c>
      <c r="Z612" s="32">
        <f>IF($C612="","",IF(COUNTA($U612:$W612)&lt;3,"",IF(AND($U612="מפותח",$V612="מפותח",$W612="מפותחת"),"מפותחת",IF((--($U612="דל"))+(--($V612="אינו מפותח"))+(--($W612="דלה"))&gt;=2,"אינה מפותחת","חלקית"))))</f>
        <v/>
      </c>
      <c r="AA612" s="32">
        <f>IF($C612="","",IF(COUNTA($M612,$N612,$O612)&lt;3,"— חסרים נתונים",IF(OR($M612="נמוכה",(--($M612&lt;&gt;"תקינה"))+(--($N612&lt;&gt;"תקין"))+(--($O612&lt;&gt;"תקינה"))&gt;=2),"ניכרת","אינה ניכרת")))</f>
        <v/>
      </c>
      <c r="AB612" s="32">
        <f>IF(OR($C612="",$Y612="",$AA612="",LEFT($Y612,1)="—",LEFT($AA612,1)="—"),"",IF($Z612="","— נדרשת הערכת כתיבה",IF($L612="","— חסרה הבנת הנקרא",IF($Y612="אינה מדויקת או מקוטעת",IF($AA612="ניכרת","מיקוד בשטף הקריאה ובכישורי שפה","מיקוד בשטף קריאה"),IF($AA612="ניכרת","מיקוד בכישורי שפה",IF(AND($L612="תקינה",$Z612="מפותחת"),"קוראים וכותבים מיומנים","מיקוד בהבנה והבעה"))))))</f>
        <v/>
      </c>
      <c r="AC612" s="32">
        <f>IF(OR($AB612="",LEFT($AB612,1)="—"),"",IF(OR($AB612="מיקוד בשטף קריאה",$AB612="מיקוד בשטף הקריאה ובכישורי שפה"),"רמה א'",IF($AB612="קוראים וכותבים מיומנים","רמה ג'","רמה ב'")))</f>
        <v/>
      </c>
      <c r="AD612" s="32">
        <f>IF($AC612="","",MID(IF(AND($AC612="רמה א'",$AA612="ניכרת"),"; להוסיף עבודת אוצר מילים","")&amp;IF($Z612="אינה מפותחת","; דגש על הבעה בכתב","")&amp;IF($K612&lt;&gt;"תקין","; נדרש לעבוד על ההנגנה","")&amp;IF($AK612&lt;&gt;"","; "&amp;$AK612,""),3,400))</f>
        <v/>
      </c>
      <c r="AE612" s="32">
        <f>IF($F612="","",IF($F612="תחילת שנה",1,IF($F612="מחצית שנה",2,3)))</f>
        <v/>
      </c>
      <c r="AF612" s="32">
        <f>IF(OR($B612="",$AC612="",$A612="",$F612=""),"",$B612&amp;"|"&amp;$A612&amp;"|"&amp;$F612&amp;"|"&amp;$AC612&amp;"|"&amp;COUNTIFS($B$6:$B612,$B612,$A$6:$A612,$A612,$F$6:$F612,$F612,$AC$6:$AC612,$AC612))</f>
        <v/>
      </c>
      <c r="AG612" s="32">
        <f>IF($C612="","",$C612&amp;"|"&amp;COUNTIFS($C$6:$C612,$C612))</f>
        <v/>
      </c>
      <c r="AH612" s="32">
        <f>IF(OR($C612="",$A612="",$AE612=""),"",$C612&amp;"|"&amp;$A612&amp;"|"&amp;$AE612)</f>
        <v/>
      </c>
      <c r="AI612" s="32">
        <f>IF(OR($C612="",$AE612="",$AE612=1),"",IFERROR(INDEX($AC$6:$AC$1505,MATCH($C612&amp;"|"&amp;$A612&amp;"|"&amp;($AE612-1),$AH$6:$AH$1505,0)),""))</f>
        <v/>
      </c>
      <c r="AJ612" s="32">
        <f>IF(OR($AI612="",$AC612=""),"",IF($AI612=$AC612,"ללא שינוי","מ-"&amp;$AI612&amp;" ל-"&amp;$AC612))</f>
        <v/>
      </c>
      <c r="AK612" s="67" t="n"/>
    </row>
    <row r="613" ht="15.75" customHeight="1" s="58">
      <c r="A613" s="65" t="n"/>
      <c r="B613" s="65" t="n"/>
      <c r="C613" s="66" t="n"/>
      <c r="D613" s="66" t="n"/>
      <c r="E613" s="65" t="n"/>
      <c r="F613" s="65" t="n"/>
      <c r="G613" s="65" t="n"/>
      <c r="H613" s="65" t="n"/>
      <c r="I613" s="65" t="n"/>
      <c r="J613" s="65" t="n"/>
      <c r="K613" s="65" t="n"/>
      <c r="L613" s="65" t="n"/>
      <c r="M613" s="65" t="n"/>
      <c r="N613" s="65" t="n"/>
      <c r="O613" s="65" t="n"/>
      <c r="P613" s="65" t="n"/>
      <c r="Q613" s="65" t="n"/>
      <c r="R613" s="65" t="n"/>
      <c r="S613" s="65" t="n"/>
      <c r="T613" s="65" t="n"/>
      <c r="U613" s="65" t="n"/>
      <c r="V613" s="65" t="n"/>
      <c r="W613" s="65" t="n"/>
      <c r="X613" s="65" t="n"/>
      <c r="Y613" s="32">
        <f>IF($C613="","",IF(COUNTA($I613:$K613)&lt;3,"— חסרים נתונים",IF(AND($I613="תקין",$J613="תקין",$K613="תקין"),"רהוטה",IF(AND($I613="תקין",$J613="תקין"),"מדויקת ורציפה","אינה מדויקת או מקוטעת"))))</f>
        <v/>
      </c>
      <c r="Z613" s="32">
        <f>IF($C613="","",IF(COUNTA($U613:$W613)&lt;3,"",IF(AND($U613="מפותח",$V613="מפותח",$W613="מפותחת"),"מפותחת",IF((--($U613="דל"))+(--($V613="אינו מפותח"))+(--($W613="דלה"))&gt;=2,"אינה מפותחת","חלקית"))))</f>
        <v/>
      </c>
      <c r="AA613" s="32">
        <f>IF($C613="","",IF(COUNTA($M613,$N613,$O613)&lt;3,"— חסרים נתונים",IF(OR($M613="נמוכה",(--($M613&lt;&gt;"תקינה"))+(--($N613&lt;&gt;"תקין"))+(--($O613&lt;&gt;"תקינה"))&gt;=2),"ניכרת","אינה ניכרת")))</f>
        <v/>
      </c>
      <c r="AB613" s="32">
        <f>IF(OR($C613="",$Y613="",$AA613="",LEFT($Y613,1)="—",LEFT($AA613,1)="—"),"",IF($Z613="","— נדרשת הערכת כתיבה",IF($L613="","— חסרה הבנת הנקרא",IF($Y613="אינה מדויקת או מקוטעת",IF($AA613="ניכרת","מיקוד בשטף הקריאה ובכישורי שפה","מיקוד בשטף קריאה"),IF($AA613="ניכרת","מיקוד בכישורי שפה",IF(AND($L613="תקינה",$Z613="מפותחת"),"קוראים וכותבים מיומנים","מיקוד בהבנה והבעה"))))))</f>
        <v/>
      </c>
      <c r="AC613" s="32">
        <f>IF(OR($AB613="",LEFT($AB613,1)="—"),"",IF(OR($AB613="מיקוד בשטף קריאה",$AB613="מיקוד בשטף הקריאה ובכישורי שפה"),"רמה א'",IF($AB613="קוראים וכותבים מיומנים","רמה ג'","רמה ב'")))</f>
        <v/>
      </c>
      <c r="AD613" s="32">
        <f>IF($AC613="","",MID(IF(AND($AC613="רמה א'",$AA613="ניכרת"),"; להוסיף עבודת אוצר מילים","")&amp;IF($Z613="אינה מפותחת","; דגש על הבעה בכתב","")&amp;IF($K613&lt;&gt;"תקין","; נדרש לעבוד על ההנגנה","")&amp;IF($AK613&lt;&gt;"","; "&amp;$AK613,""),3,400))</f>
        <v/>
      </c>
      <c r="AE613" s="32">
        <f>IF($F613="","",IF($F613="תחילת שנה",1,IF($F613="מחצית שנה",2,3)))</f>
        <v/>
      </c>
      <c r="AF613" s="32">
        <f>IF(OR($B613="",$AC613="",$A613="",$F613=""),"",$B613&amp;"|"&amp;$A613&amp;"|"&amp;$F613&amp;"|"&amp;$AC613&amp;"|"&amp;COUNTIFS($B$6:$B613,$B613,$A$6:$A613,$A613,$F$6:$F613,$F613,$AC$6:$AC613,$AC613))</f>
        <v/>
      </c>
      <c r="AG613" s="32">
        <f>IF($C613="","",$C613&amp;"|"&amp;COUNTIFS($C$6:$C613,$C613))</f>
        <v/>
      </c>
      <c r="AH613" s="32">
        <f>IF(OR($C613="",$A613="",$AE613=""),"",$C613&amp;"|"&amp;$A613&amp;"|"&amp;$AE613)</f>
        <v/>
      </c>
      <c r="AI613" s="32">
        <f>IF(OR($C613="",$AE613="",$AE613=1),"",IFERROR(INDEX($AC$6:$AC$1505,MATCH($C613&amp;"|"&amp;$A613&amp;"|"&amp;($AE613-1),$AH$6:$AH$1505,0)),""))</f>
        <v/>
      </c>
      <c r="AJ613" s="32">
        <f>IF(OR($AI613="",$AC613=""),"",IF($AI613=$AC613,"ללא שינוי","מ-"&amp;$AI613&amp;" ל-"&amp;$AC613))</f>
        <v/>
      </c>
      <c r="AK613" s="67" t="n"/>
    </row>
    <row r="614" ht="15.75" customHeight="1" s="58">
      <c r="A614" s="65" t="n"/>
      <c r="B614" s="65" t="n"/>
      <c r="C614" s="66" t="n"/>
      <c r="D614" s="66" t="n"/>
      <c r="E614" s="65" t="n"/>
      <c r="F614" s="65" t="n"/>
      <c r="G614" s="65" t="n"/>
      <c r="H614" s="65" t="n"/>
      <c r="I614" s="65" t="n"/>
      <c r="J614" s="65" t="n"/>
      <c r="K614" s="65" t="n"/>
      <c r="L614" s="65" t="n"/>
      <c r="M614" s="65" t="n"/>
      <c r="N614" s="65" t="n"/>
      <c r="O614" s="65" t="n"/>
      <c r="P614" s="65" t="n"/>
      <c r="Q614" s="65" t="n"/>
      <c r="R614" s="65" t="n"/>
      <c r="S614" s="65" t="n"/>
      <c r="T614" s="65" t="n"/>
      <c r="U614" s="65" t="n"/>
      <c r="V614" s="65" t="n"/>
      <c r="W614" s="65" t="n"/>
      <c r="X614" s="65" t="n"/>
      <c r="Y614" s="32">
        <f>IF($C614="","",IF(COUNTA($I614:$K614)&lt;3,"— חסרים נתונים",IF(AND($I614="תקין",$J614="תקין",$K614="תקין"),"רהוטה",IF(AND($I614="תקין",$J614="תקין"),"מדויקת ורציפה","אינה מדויקת או מקוטעת"))))</f>
        <v/>
      </c>
      <c r="Z614" s="32">
        <f>IF($C614="","",IF(COUNTA($U614:$W614)&lt;3,"",IF(AND($U614="מפותח",$V614="מפותח",$W614="מפותחת"),"מפותחת",IF((--($U614="דל"))+(--($V614="אינו מפותח"))+(--($W614="דלה"))&gt;=2,"אינה מפותחת","חלקית"))))</f>
        <v/>
      </c>
      <c r="AA614" s="32">
        <f>IF($C614="","",IF(COUNTA($M614,$N614,$O614)&lt;3,"— חסרים נתונים",IF(OR($M614="נמוכה",(--($M614&lt;&gt;"תקינה"))+(--($N614&lt;&gt;"תקין"))+(--($O614&lt;&gt;"תקינה"))&gt;=2),"ניכרת","אינה ניכרת")))</f>
        <v/>
      </c>
      <c r="AB614" s="32">
        <f>IF(OR($C614="",$Y614="",$AA614="",LEFT($Y614,1)="—",LEFT($AA614,1)="—"),"",IF($Z614="","— נדרשת הערכת כתיבה",IF($L614="","— חסרה הבנת הנקרא",IF($Y614="אינה מדויקת או מקוטעת",IF($AA614="ניכרת","מיקוד בשטף הקריאה ובכישורי שפה","מיקוד בשטף קריאה"),IF($AA614="ניכרת","מיקוד בכישורי שפה",IF(AND($L614="תקינה",$Z614="מפותחת"),"קוראים וכותבים מיומנים","מיקוד בהבנה והבעה"))))))</f>
        <v/>
      </c>
      <c r="AC614" s="32">
        <f>IF(OR($AB614="",LEFT($AB614,1)="—"),"",IF(OR($AB614="מיקוד בשטף קריאה",$AB614="מיקוד בשטף הקריאה ובכישורי שפה"),"רמה א'",IF($AB614="קוראים וכותבים מיומנים","רמה ג'","רמה ב'")))</f>
        <v/>
      </c>
      <c r="AD614" s="32">
        <f>IF($AC614="","",MID(IF(AND($AC614="רמה א'",$AA614="ניכרת"),"; להוסיף עבודת אוצר מילים","")&amp;IF($Z614="אינה מפותחת","; דגש על הבעה בכתב","")&amp;IF($K614&lt;&gt;"תקין","; נדרש לעבוד על ההנגנה","")&amp;IF($AK614&lt;&gt;"","; "&amp;$AK614,""),3,400))</f>
        <v/>
      </c>
      <c r="AE614" s="32">
        <f>IF($F614="","",IF($F614="תחילת שנה",1,IF($F614="מחצית שנה",2,3)))</f>
        <v/>
      </c>
      <c r="AF614" s="32">
        <f>IF(OR($B614="",$AC614="",$A614="",$F614=""),"",$B614&amp;"|"&amp;$A614&amp;"|"&amp;$F614&amp;"|"&amp;$AC614&amp;"|"&amp;COUNTIFS($B$6:$B614,$B614,$A$6:$A614,$A614,$F$6:$F614,$F614,$AC$6:$AC614,$AC614))</f>
        <v/>
      </c>
      <c r="AG614" s="32">
        <f>IF($C614="","",$C614&amp;"|"&amp;COUNTIFS($C$6:$C614,$C614))</f>
        <v/>
      </c>
      <c r="AH614" s="32">
        <f>IF(OR($C614="",$A614="",$AE614=""),"",$C614&amp;"|"&amp;$A614&amp;"|"&amp;$AE614)</f>
        <v/>
      </c>
      <c r="AI614" s="32">
        <f>IF(OR($C614="",$AE614="",$AE614=1),"",IFERROR(INDEX($AC$6:$AC$1505,MATCH($C614&amp;"|"&amp;$A614&amp;"|"&amp;($AE614-1),$AH$6:$AH$1505,0)),""))</f>
        <v/>
      </c>
      <c r="AJ614" s="32">
        <f>IF(OR($AI614="",$AC614=""),"",IF($AI614=$AC614,"ללא שינוי","מ-"&amp;$AI614&amp;" ל-"&amp;$AC614))</f>
        <v/>
      </c>
      <c r="AK614" s="67" t="n"/>
    </row>
    <row r="615" ht="15.75" customHeight="1" s="58">
      <c r="A615" s="65" t="n"/>
      <c r="B615" s="65" t="n"/>
      <c r="C615" s="66" t="n"/>
      <c r="D615" s="66" t="n"/>
      <c r="E615" s="65" t="n"/>
      <c r="F615" s="65" t="n"/>
      <c r="G615" s="65" t="n"/>
      <c r="H615" s="65" t="n"/>
      <c r="I615" s="65" t="n"/>
      <c r="J615" s="65" t="n"/>
      <c r="K615" s="65" t="n"/>
      <c r="L615" s="65" t="n"/>
      <c r="M615" s="65" t="n"/>
      <c r="N615" s="65" t="n"/>
      <c r="O615" s="65" t="n"/>
      <c r="P615" s="65" t="n"/>
      <c r="Q615" s="65" t="n"/>
      <c r="R615" s="65" t="n"/>
      <c r="S615" s="65" t="n"/>
      <c r="T615" s="65" t="n"/>
      <c r="U615" s="65" t="n"/>
      <c r="V615" s="65" t="n"/>
      <c r="W615" s="65" t="n"/>
      <c r="X615" s="65" t="n"/>
      <c r="Y615" s="32">
        <f>IF($C615="","",IF(COUNTA($I615:$K615)&lt;3,"— חסרים נתונים",IF(AND($I615="תקין",$J615="תקין",$K615="תקין"),"רהוטה",IF(AND($I615="תקין",$J615="תקין"),"מדויקת ורציפה","אינה מדויקת או מקוטעת"))))</f>
        <v/>
      </c>
      <c r="Z615" s="32">
        <f>IF($C615="","",IF(COUNTA($U615:$W615)&lt;3,"",IF(AND($U615="מפותח",$V615="מפותח",$W615="מפותחת"),"מפותחת",IF((--($U615="דל"))+(--($V615="אינו מפותח"))+(--($W615="דלה"))&gt;=2,"אינה מפותחת","חלקית"))))</f>
        <v/>
      </c>
      <c r="AA615" s="32">
        <f>IF($C615="","",IF(COUNTA($M615,$N615,$O615)&lt;3,"— חסרים נתונים",IF(OR($M615="נמוכה",(--($M615&lt;&gt;"תקינה"))+(--($N615&lt;&gt;"תקין"))+(--($O615&lt;&gt;"תקינה"))&gt;=2),"ניכרת","אינה ניכרת")))</f>
        <v/>
      </c>
      <c r="AB615" s="32">
        <f>IF(OR($C615="",$Y615="",$AA615="",LEFT($Y615,1)="—",LEFT($AA615,1)="—"),"",IF($Z615="","— נדרשת הערכת כתיבה",IF($L615="","— חסרה הבנת הנקרא",IF($Y615="אינה מדויקת או מקוטעת",IF($AA615="ניכרת","מיקוד בשטף הקריאה ובכישורי שפה","מיקוד בשטף קריאה"),IF($AA615="ניכרת","מיקוד בכישורי שפה",IF(AND($L615="תקינה",$Z615="מפותחת"),"קוראים וכותבים מיומנים","מיקוד בהבנה והבעה"))))))</f>
        <v/>
      </c>
      <c r="AC615" s="32">
        <f>IF(OR($AB615="",LEFT($AB615,1)="—"),"",IF(OR($AB615="מיקוד בשטף קריאה",$AB615="מיקוד בשטף הקריאה ובכישורי שפה"),"רמה א'",IF($AB615="קוראים וכותבים מיומנים","רמה ג'","רמה ב'")))</f>
        <v/>
      </c>
      <c r="AD615" s="32">
        <f>IF($AC615="","",MID(IF(AND($AC615="רמה א'",$AA615="ניכרת"),"; להוסיף עבודת אוצר מילים","")&amp;IF($Z615="אינה מפותחת","; דגש על הבעה בכתב","")&amp;IF($K615&lt;&gt;"תקין","; נדרש לעבוד על ההנגנה","")&amp;IF($AK615&lt;&gt;"","; "&amp;$AK615,""),3,400))</f>
        <v/>
      </c>
      <c r="AE615" s="32">
        <f>IF($F615="","",IF($F615="תחילת שנה",1,IF($F615="מחצית שנה",2,3)))</f>
        <v/>
      </c>
      <c r="AF615" s="32">
        <f>IF(OR($B615="",$AC615="",$A615="",$F615=""),"",$B615&amp;"|"&amp;$A615&amp;"|"&amp;$F615&amp;"|"&amp;$AC615&amp;"|"&amp;COUNTIFS($B$6:$B615,$B615,$A$6:$A615,$A615,$F$6:$F615,$F615,$AC$6:$AC615,$AC615))</f>
        <v/>
      </c>
      <c r="AG615" s="32">
        <f>IF($C615="","",$C615&amp;"|"&amp;COUNTIFS($C$6:$C615,$C615))</f>
        <v/>
      </c>
      <c r="AH615" s="32">
        <f>IF(OR($C615="",$A615="",$AE615=""),"",$C615&amp;"|"&amp;$A615&amp;"|"&amp;$AE615)</f>
        <v/>
      </c>
      <c r="AI615" s="32">
        <f>IF(OR($C615="",$AE615="",$AE615=1),"",IFERROR(INDEX($AC$6:$AC$1505,MATCH($C615&amp;"|"&amp;$A615&amp;"|"&amp;($AE615-1),$AH$6:$AH$1505,0)),""))</f>
        <v/>
      </c>
      <c r="AJ615" s="32">
        <f>IF(OR($AI615="",$AC615=""),"",IF($AI615=$AC615,"ללא שינוי","מ-"&amp;$AI615&amp;" ל-"&amp;$AC615))</f>
        <v/>
      </c>
      <c r="AK615" s="67" t="n"/>
    </row>
    <row r="616" ht="15.75" customHeight="1" s="58">
      <c r="A616" s="65" t="n"/>
      <c r="B616" s="65" t="n"/>
      <c r="C616" s="66" t="n"/>
      <c r="D616" s="66" t="n"/>
      <c r="E616" s="65" t="n"/>
      <c r="F616" s="65" t="n"/>
      <c r="G616" s="65" t="n"/>
      <c r="H616" s="65" t="n"/>
      <c r="I616" s="65" t="n"/>
      <c r="J616" s="65" t="n"/>
      <c r="K616" s="65" t="n"/>
      <c r="L616" s="65" t="n"/>
      <c r="M616" s="65" t="n"/>
      <c r="N616" s="65" t="n"/>
      <c r="O616" s="65" t="n"/>
      <c r="P616" s="65" t="n"/>
      <c r="Q616" s="65" t="n"/>
      <c r="R616" s="65" t="n"/>
      <c r="S616" s="65" t="n"/>
      <c r="T616" s="65" t="n"/>
      <c r="U616" s="65" t="n"/>
      <c r="V616" s="65" t="n"/>
      <c r="W616" s="65" t="n"/>
      <c r="X616" s="65" t="n"/>
      <c r="Y616" s="32">
        <f>IF($C616="","",IF(COUNTA($I616:$K616)&lt;3,"— חסרים נתונים",IF(AND($I616="תקין",$J616="תקין",$K616="תקין"),"רהוטה",IF(AND($I616="תקין",$J616="תקין"),"מדויקת ורציפה","אינה מדויקת או מקוטעת"))))</f>
        <v/>
      </c>
      <c r="Z616" s="32">
        <f>IF($C616="","",IF(COUNTA($U616:$W616)&lt;3,"",IF(AND($U616="מפותח",$V616="מפותח",$W616="מפותחת"),"מפותחת",IF((--($U616="דל"))+(--($V616="אינו מפותח"))+(--($W616="דלה"))&gt;=2,"אינה מפותחת","חלקית"))))</f>
        <v/>
      </c>
      <c r="AA616" s="32">
        <f>IF($C616="","",IF(COUNTA($M616,$N616,$O616)&lt;3,"— חסרים נתונים",IF(OR($M616="נמוכה",(--($M616&lt;&gt;"תקינה"))+(--($N616&lt;&gt;"תקין"))+(--($O616&lt;&gt;"תקינה"))&gt;=2),"ניכרת","אינה ניכרת")))</f>
        <v/>
      </c>
      <c r="AB616" s="32">
        <f>IF(OR($C616="",$Y616="",$AA616="",LEFT($Y616,1)="—",LEFT($AA616,1)="—"),"",IF($Z616="","— נדרשת הערכת כתיבה",IF($L616="","— חסרה הבנת הנקרא",IF($Y616="אינה מדויקת או מקוטעת",IF($AA616="ניכרת","מיקוד בשטף הקריאה ובכישורי שפה","מיקוד בשטף קריאה"),IF($AA616="ניכרת","מיקוד בכישורי שפה",IF(AND($L616="תקינה",$Z616="מפותחת"),"קוראים וכותבים מיומנים","מיקוד בהבנה והבעה"))))))</f>
        <v/>
      </c>
      <c r="AC616" s="32">
        <f>IF(OR($AB616="",LEFT($AB616,1)="—"),"",IF(OR($AB616="מיקוד בשטף קריאה",$AB616="מיקוד בשטף הקריאה ובכישורי שפה"),"רמה א'",IF($AB616="קוראים וכותבים מיומנים","רמה ג'","רמה ב'")))</f>
        <v/>
      </c>
      <c r="AD616" s="32">
        <f>IF($AC616="","",MID(IF(AND($AC616="רמה א'",$AA616="ניכרת"),"; להוסיף עבודת אוצר מילים","")&amp;IF($Z616="אינה מפותחת","; דגש על הבעה בכתב","")&amp;IF($K616&lt;&gt;"תקין","; נדרש לעבוד על ההנגנה","")&amp;IF($AK616&lt;&gt;"","; "&amp;$AK616,""),3,400))</f>
        <v/>
      </c>
      <c r="AE616" s="32">
        <f>IF($F616="","",IF($F616="תחילת שנה",1,IF($F616="מחצית שנה",2,3)))</f>
        <v/>
      </c>
      <c r="AF616" s="32">
        <f>IF(OR($B616="",$AC616="",$A616="",$F616=""),"",$B616&amp;"|"&amp;$A616&amp;"|"&amp;$F616&amp;"|"&amp;$AC616&amp;"|"&amp;COUNTIFS($B$6:$B616,$B616,$A$6:$A616,$A616,$F$6:$F616,$F616,$AC$6:$AC616,$AC616))</f>
        <v/>
      </c>
      <c r="AG616" s="32">
        <f>IF($C616="","",$C616&amp;"|"&amp;COUNTIFS($C$6:$C616,$C616))</f>
        <v/>
      </c>
      <c r="AH616" s="32">
        <f>IF(OR($C616="",$A616="",$AE616=""),"",$C616&amp;"|"&amp;$A616&amp;"|"&amp;$AE616)</f>
        <v/>
      </c>
      <c r="AI616" s="32">
        <f>IF(OR($C616="",$AE616="",$AE616=1),"",IFERROR(INDEX($AC$6:$AC$1505,MATCH($C616&amp;"|"&amp;$A616&amp;"|"&amp;($AE616-1),$AH$6:$AH$1505,0)),""))</f>
        <v/>
      </c>
      <c r="AJ616" s="32">
        <f>IF(OR($AI616="",$AC616=""),"",IF($AI616=$AC616,"ללא שינוי","מ-"&amp;$AI616&amp;" ל-"&amp;$AC616))</f>
        <v/>
      </c>
      <c r="AK616" s="67" t="n"/>
    </row>
    <row r="617" ht="15.75" customHeight="1" s="58">
      <c r="A617" s="65" t="n"/>
      <c r="B617" s="65" t="n"/>
      <c r="C617" s="66" t="n"/>
      <c r="D617" s="66" t="n"/>
      <c r="E617" s="65" t="n"/>
      <c r="F617" s="65" t="n"/>
      <c r="G617" s="65" t="n"/>
      <c r="H617" s="65" t="n"/>
      <c r="I617" s="65" t="n"/>
      <c r="J617" s="65" t="n"/>
      <c r="K617" s="65" t="n"/>
      <c r="L617" s="65" t="n"/>
      <c r="M617" s="65" t="n"/>
      <c r="N617" s="65" t="n"/>
      <c r="O617" s="65" t="n"/>
      <c r="P617" s="65" t="n"/>
      <c r="Q617" s="65" t="n"/>
      <c r="R617" s="65" t="n"/>
      <c r="S617" s="65" t="n"/>
      <c r="T617" s="65" t="n"/>
      <c r="U617" s="65" t="n"/>
      <c r="V617" s="65" t="n"/>
      <c r="W617" s="65" t="n"/>
      <c r="X617" s="65" t="n"/>
      <c r="Y617" s="32">
        <f>IF($C617="","",IF(COUNTA($I617:$K617)&lt;3,"— חסרים נתונים",IF(AND($I617="תקין",$J617="תקין",$K617="תקין"),"רהוטה",IF(AND($I617="תקין",$J617="תקין"),"מדויקת ורציפה","אינה מדויקת או מקוטעת"))))</f>
        <v/>
      </c>
      <c r="Z617" s="32">
        <f>IF($C617="","",IF(COUNTA($U617:$W617)&lt;3,"",IF(AND($U617="מפותח",$V617="מפותח",$W617="מפותחת"),"מפותחת",IF((--($U617="דל"))+(--($V617="אינו מפותח"))+(--($W617="דלה"))&gt;=2,"אינה מפותחת","חלקית"))))</f>
        <v/>
      </c>
      <c r="AA617" s="32">
        <f>IF($C617="","",IF(COUNTA($M617,$N617,$O617)&lt;3,"— חסרים נתונים",IF(OR($M617="נמוכה",(--($M617&lt;&gt;"תקינה"))+(--($N617&lt;&gt;"תקין"))+(--($O617&lt;&gt;"תקינה"))&gt;=2),"ניכרת","אינה ניכרת")))</f>
        <v/>
      </c>
      <c r="AB617" s="32">
        <f>IF(OR($C617="",$Y617="",$AA617="",LEFT($Y617,1)="—",LEFT($AA617,1)="—"),"",IF($Z617="","— נדרשת הערכת כתיבה",IF($L617="","— חסרה הבנת הנקרא",IF($Y617="אינה מדויקת או מקוטעת",IF($AA617="ניכרת","מיקוד בשטף הקריאה ובכישורי שפה","מיקוד בשטף קריאה"),IF($AA617="ניכרת","מיקוד בכישורי שפה",IF(AND($L617="תקינה",$Z617="מפותחת"),"קוראים וכותבים מיומנים","מיקוד בהבנה והבעה"))))))</f>
        <v/>
      </c>
      <c r="AC617" s="32">
        <f>IF(OR($AB617="",LEFT($AB617,1)="—"),"",IF(OR($AB617="מיקוד בשטף קריאה",$AB617="מיקוד בשטף הקריאה ובכישורי שפה"),"רמה א'",IF($AB617="קוראים וכותבים מיומנים","רמה ג'","רמה ב'")))</f>
        <v/>
      </c>
      <c r="AD617" s="32">
        <f>IF($AC617="","",MID(IF(AND($AC617="רמה א'",$AA617="ניכרת"),"; להוסיף עבודת אוצר מילים","")&amp;IF($Z617="אינה מפותחת","; דגש על הבעה בכתב","")&amp;IF($K617&lt;&gt;"תקין","; נדרש לעבוד על ההנגנה","")&amp;IF($AK617&lt;&gt;"","; "&amp;$AK617,""),3,400))</f>
        <v/>
      </c>
      <c r="AE617" s="32">
        <f>IF($F617="","",IF($F617="תחילת שנה",1,IF($F617="מחצית שנה",2,3)))</f>
        <v/>
      </c>
      <c r="AF617" s="32">
        <f>IF(OR($B617="",$AC617="",$A617="",$F617=""),"",$B617&amp;"|"&amp;$A617&amp;"|"&amp;$F617&amp;"|"&amp;$AC617&amp;"|"&amp;COUNTIFS($B$6:$B617,$B617,$A$6:$A617,$A617,$F$6:$F617,$F617,$AC$6:$AC617,$AC617))</f>
        <v/>
      </c>
      <c r="AG617" s="32">
        <f>IF($C617="","",$C617&amp;"|"&amp;COUNTIFS($C$6:$C617,$C617))</f>
        <v/>
      </c>
      <c r="AH617" s="32">
        <f>IF(OR($C617="",$A617="",$AE617=""),"",$C617&amp;"|"&amp;$A617&amp;"|"&amp;$AE617)</f>
        <v/>
      </c>
      <c r="AI617" s="32">
        <f>IF(OR($C617="",$AE617="",$AE617=1),"",IFERROR(INDEX($AC$6:$AC$1505,MATCH($C617&amp;"|"&amp;$A617&amp;"|"&amp;($AE617-1),$AH$6:$AH$1505,0)),""))</f>
        <v/>
      </c>
      <c r="AJ617" s="32">
        <f>IF(OR($AI617="",$AC617=""),"",IF($AI617=$AC617,"ללא שינוי","מ-"&amp;$AI617&amp;" ל-"&amp;$AC617))</f>
        <v/>
      </c>
      <c r="AK617" s="67" t="n"/>
    </row>
    <row r="618" ht="15.75" customHeight="1" s="58">
      <c r="A618" s="65" t="n"/>
      <c r="B618" s="65" t="n"/>
      <c r="C618" s="66" t="n"/>
      <c r="D618" s="66" t="n"/>
      <c r="E618" s="65" t="n"/>
      <c r="F618" s="65" t="n"/>
      <c r="G618" s="65" t="n"/>
      <c r="H618" s="65" t="n"/>
      <c r="I618" s="65" t="n"/>
      <c r="J618" s="65" t="n"/>
      <c r="K618" s="65" t="n"/>
      <c r="L618" s="65" t="n"/>
      <c r="M618" s="65" t="n"/>
      <c r="N618" s="65" t="n"/>
      <c r="O618" s="65" t="n"/>
      <c r="P618" s="65" t="n"/>
      <c r="Q618" s="65" t="n"/>
      <c r="R618" s="65" t="n"/>
      <c r="S618" s="65" t="n"/>
      <c r="T618" s="65" t="n"/>
      <c r="U618" s="65" t="n"/>
      <c r="V618" s="65" t="n"/>
      <c r="W618" s="65" t="n"/>
      <c r="X618" s="65" t="n"/>
      <c r="Y618" s="32">
        <f>IF($C618="","",IF(COUNTA($I618:$K618)&lt;3,"— חסרים נתונים",IF(AND($I618="תקין",$J618="תקין",$K618="תקין"),"רהוטה",IF(AND($I618="תקין",$J618="תקין"),"מדויקת ורציפה","אינה מדויקת או מקוטעת"))))</f>
        <v/>
      </c>
      <c r="Z618" s="32">
        <f>IF($C618="","",IF(COUNTA($U618:$W618)&lt;3,"",IF(AND($U618="מפותח",$V618="מפותח",$W618="מפותחת"),"מפותחת",IF((--($U618="דל"))+(--($V618="אינו מפותח"))+(--($W618="דלה"))&gt;=2,"אינה מפותחת","חלקית"))))</f>
        <v/>
      </c>
      <c r="AA618" s="32">
        <f>IF($C618="","",IF(COUNTA($M618,$N618,$O618)&lt;3,"— חסרים נתונים",IF(OR($M618="נמוכה",(--($M618&lt;&gt;"תקינה"))+(--($N618&lt;&gt;"תקין"))+(--($O618&lt;&gt;"תקינה"))&gt;=2),"ניכרת","אינה ניכרת")))</f>
        <v/>
      </c>
      <c r="AB618" s="32">
        <f>IF(OR($C618="",$Y618="",$AA618="",LEFT($Y618,1)="—",LEFT($AA618,1)="—"),"",IF($Z618="","— נדרשת הערכת כתיבה",IF($L618="","— חסרה הבנת הנקרא",IF($Y618="אינה מדויקת או מקוטעת",IF($AA618="ניכרת","מיקוד בשטף הקריאה ובכישורי שפה","מיקוד בשטף קריאה"),IF($AA618="ניכרת","מיקוד בכישורי שפה",IF(AND($L618="תקינה",$Z618="מפותחת"),"קוראים וכותבים מיומנים","מיקוד בהבנה והבעה"))))))</f>
        <v/>
      </c>
      <c r="AC618" s="32">
        <f>IF(OR($AB618="",LEFT($AB618,1)="—"),"",IF(OR($AB618="מיקוד בשטף קריאה",$AB618="מיקוד בשטף הקריאה ובכישורי שפה"),"רמה א'",IF($AB618="קוראים וכותבים מיומנים","רמה ג'","רמה ב'")))</f>
        <v/>
      </c>
      <c r="AD618" s="32">
        <f>IF($AC618="","",MID(IF(AND($AC618="רמה א'",$AA618="ניכרת"),"; להוסיף עבודת אוצר מילים","")&amp;IF($Z618="אינה מפותחת","; דגש על הבעה בכתב","")&amp;IF($K618&lt;&gt;"תקין","; נדרש לעבוד על ההנגנה","")&amp;IF($AK618&lt;&gt;"","; "&amp;$AK618,""),3,400))</f>
        <v/>
      </c>
      <c r="AE618" s="32">
        <f>IF($F618="","",IF($F618="תחילת שנה",1,IF($F618="מחצית שנה",2,3)))</f>
        <v/>
      </c>
      <c r="AF618" s="32">
        <f>IF(OR($B618="",$AC618="",$A618="",$F618=""),"",$B618&amp;"|"&amp;$A618&amp;"|"&amp;$F618&amp;"|"&amp;$AC618&amp;"|"&amp;COUNTIFS($B$6:$B618,$B618,$A$6:$A618,$A618,$F$6:$F618,$F618,$AC$6:$AC618,$AC618))</f>
        <v/>
      </c>
      <c r="AG618" s="32">
        <f>IF($C618="","",$C618&amp;"|"&amp;COUNTIFS($C$6:$C618,$C618))</f>
        <v/>
      </c>
      <c r="AH618" s="32">
        <f>IF(OR($C618="",$A618="",$AE618=""),"",$C618&amp;"|"&amp;$A618&amp;"|"&amp;$AE618)</f>
        <v/>
      </c>
      <c r="AI618" s="32">
        <f>IF(OR($C618="",$AE618="",$AE618=1),"",IFERROR(INDEX($AC$6:$AC$1505,MATCH($C618&amp;"|"&amp;$A618&amp;"|"&amp;($AE618-1),$AH$6:$AH$1505,0)),""))</f>
        <v/>
      </c>
      <c r="AJ618" s="32">
        <f>IF(OR($AI618="",$AC618=""),"",IF($AI618=$AC618,"ללא שינוי","מ-"&amp;$AI618&amp;" ל-"&amp;$AC618))</f>
        <v/>
      </c>
      <c r="AK618" s="67" t="n"/>
    </row>
    <row r="619" ht="15.75" customHeight="1" s="58">
      <c r="A619" s="65" t="n"/>
      <c r="B619" s="65" t="n"/>
      <c r="C619" s="66" t="n"/>
      <c r="D619" s="66" t="n"/>
      <c r="E619" s="65" t="n"/>
      <c r="F619" s="65" t="n"/>
      <c r="G619" s="65" t="n"/>
      <c r="H619" s="65" t="n"/>
      <c r="I619" s="65" t="n"/>
      <c r="J619" s="65" t="n"/>
      <c r="K619" s="65" t="n"/>
      <c r="L619" s="65" t="n"/>
      <c r="M619" s="65" t="n"/>
      <c r="N619" s="65" t="n"/>
      <c r="O619" s="65" t="n"/>
      <c r="P619" s="65" t="n"/>
      <c r="Q619" s="65" t="n"/>
      <c r="R619" s="65" t="n"/>
      <c r="S619" s="65" t="n"/>
      <c r="T619" s="65" t="n"/>
      <c r="U619" s="65" t="n"/>
      <c r="V619" s="65" t="n"/>
      <c r="W619" s="65" t="n"/>
      <c r="X619" s="65" t="n"/>
      <c r="Y619" s="32">
        <f>IF($C619="","",IF(COUNTA($I619:$K619)&lt;3,"— חסרים נתונים",IF(AND($I619="תקין",$J619="תקין",$K619="תקין"),"רהוטה",IF(AND($I619="תקין",$J619="תקין"),"מדויקת ורציפה","אינה מדויקת או מקוטעת"))))</f>
        <v/>
      </c>
      <c r="Z619" s="32">
        <f>IF($C619="","",IF(COUNTA($U619:$W619)&lt;3,"",IF(AND($U619="מפותח",$V619="מפותח",$W619="מפותחת"),"מפותחת",IF((--($U619="דל"))+(--($V619="אינו מפותח"))+(--($W619="דלה"))&gt;=2,"אינה מפותחת","חלקית"))))</f>
        <v/>
      </c>
      <c r="AA619" s="32">
        <f>IF($C619="","",IF(COUNTA($M619,$N619,$O619)&lt;3,"— חסרים נתונים",IF(OR($M619="נמוכה",(--($M619&lt;&gt;"תקינה"))+(--($N619&lt;&gt;"תקין"))+(--($O619&lt;&gt;"תקינה"))&gt;=2),"ניכרת","אינה ניכרת")))</f>
        <v/>
      </c>
      <c r="AB619" s="32">
        <f>IF(OR($C619="",$Y619="",$AA619="",LEFT($Y619,1)="—",LEFT($AA619,1)="—"),"",IF($Z619="","— נדרשת הערכת כתיבה",IF($L619="","— חסרה הבנת הנקרא",IF($Y619="אינה מדויקת או מקוטעת",IF($AA619="ניכרת","מיקוד בשטף הקריאה ובכישורי שפה","מיקוד בשטף קריאה"),IF($AA619="ניכרת","מיקוד בכישורי שפה",IF(AND($L619="תקינה",$Z619="מפותחת"),"קוראים וכותבים מיומנים","מיקוד בהבנה והבעה"))))))</f>
        <v/>
      </c>
      <c r="AC619" s="32">
        <f>IF(OR($AB619="",LEFT($AB619,1)="—"),"",IF(OR($AB619="מיקוד בשטף קריאה",$AB619="מיקוד בשטף הקריאה ובכישורי שפה"),"רמה א'",IF($AB619="קוראים וכותבים מיומנים","רמה ג'","רמה ב'")))</f>
        <v/>
      </c>
      <c r="AD619" s="32">
        <f>IF($AC619="","",MID(IF(AND($AC619="רמה א'",$AA619="ניכרת"),"; להוסיף עבודת אוצר מילים","")&amp;IF($Z619="אינה מפותחת","; דגש על הבעה בכתב","")&amp;IF($K619&lt;&gt;"תקין","; נדרש לעבוד על ההנגנה","")&amp;IF($AK619&lt;&gt;"","; "&amp;$AK619,""),3,400))</f>
        <v/>
      </c>
      <c r="AE619" s="32">
        <f>IF($F619="","",IF($F619="תחילת שנה",1,IF($F619="מחצית שנה",2,3)))</f>
        <v/>
      </c>
      <c r="AF619" s="32">
        <f>IF(OR($B619="",$AC619="",$A619="",$F619=""),"",$B619&amp;"|"&amp;$A619&amp;"|"&amp;$F619&amp;"|"&amp;$AC619&amp;"|"&amp;COUNTIFS($B$6:$B619,$B619,$A$6:$A619,$A619,$F$6:$F619,$F619,$AC$6:$AC619,$AC619))</f>
        <v/>
      </c>
      <c r="AG619" s="32">
        <f>IF($C619="","",$C619&amp;"|"&amp;COUNTIFS($C$6:$C619,$C619))</f>
        <v/>
      </c>
      <c r="AH619" s="32">
        <f>IF(OR($C619="",$A619="",$AE619=""),"",$C619&amp;"|"&amp;$A619&amp;"|"&amp;$AE619)</f>
        <v/>
      </c>
      <c r="AI619" s="32">
        <f>IF(OR($C619="",$AE619="",$AE619=1),"",IFERROR(INDEX($AC$6:$AC$1505,MATCH($C619&amp;"|"&amp;$A619&amp;"|"&amp;($AE619-1),$AH$6:$AH$1505,0)),""))</f>
        <v/>
      </c>
      <c r="AJ619" s="32">
        <f>IF(OR($AI619="",$AC619=""),"",IF($AI619=$AC619,"ללא שינוי","מ-"&amp;$AI619&amp;" ל-"&amp;$AC619))</f>
        <v/>
      </c>
      <c r="AK619" s="67" t="n"/>
    </row>
    <row r="620" ht="15.75" customHeight="1" s="58">
      <c r="A620" s="65" t="n"/>
      <c r="B620" s="65" t="n"/>
      <c r="C620" s="66" t="n"/>
      <c r="D620" s="66" t="n"/>
      <c r="E620" s="65" t="n"/>
      <c r="F620" s="65" t="n"/>
      <c r="G620" s="65" t="n"/>
      <c r="H620" s="65" t="n"/>
      <c r="I620" s="65" t="n"/>
      <c r="J620" s="65" t="n"/>
      <c r="K620" s="65" t="n"/>
      <c r="L620" s="65" t="n"/>
      <c r="M620" s="65" t="n"/>
      <c r="N620" s="65" t="n"/>
      <c r="O620" s="65" t="n"/>
      <c r="P620" s="65" t="n"/>
      <c r="Q620" s="65" t="n"/>
      <c r="R620" s="65" t="n"/>
      <c r="S620" s="65" t="n"/>
      <c r="T620" s="65" t="n"/>
      <c r="U620" s="65" t="n"/>
      <c r="V620" s="65" t="n"/>
      <c r="W620" s="65" t="n"/>
      <c r="X620" s="65" t="n"/>
      <c r="Y620" s="32">
        <f>IF($C620="","",IF(COUNTA($I620:$K620)&lt;3,"— חסרים נתונים",IF(AND($I620="תקין",$J620="תקין",$K620="תקין"),"רהוטה",IF(AND($I620="תקין",$J620="תקין"),"מדויקת ורציפה","אינה מדויקת או מקוטעת"))))</f>
        <v/>
      </c>
      <c r="Z620" s="32">
        <f>IF($C620="","",IF(COUNTA($U620:$W620)&lt;3,"",IF(AND($U620="מפותח",$V620="מפותח",$W620="מפותחת"),"מפותחת",IF((--($U620="דל"))+(--($V620="אינו מפותח"))+(--($W620="דלה"))&gt;=2,"אינה מפותחת","חלקית"))))</f>
        <v/>
      </c>
      <c r="AA620" s="32">
        <f>IF($C620="","",IF(COUNTA($M620,$N620,$O620)&lt;3,"— חסרים נתונים",IF(OR($M620="נמוכה",(--($M620&lt;&gt;"תקינה"))+(--($N620&lt;&gt;"תקין"))+(--($O620&lt;&gt;"תקינה"))&gt;=2),"ניכרת","אינה ניכרת")))</f>
        <v/>
      </c>
      <c r="AB620" s="32">
        <f>IF(OR($C620="",$Y620="",$AA620="",LEFT($Y620,1)="—",LEFT($AA620,1)="—"),"",IF($Z620="","— נדרשת הערכת כתיבה",IF($L620="","— חסרה הבנת הנקרא",IF($Y620="אינה מדויקת או מקוטעת",IF($AA620="ניכרת","מיקוד בשטף הקריאה ובכישורי שפה","מיקוד בשטף קריאה"),IF($AA620="ניכרת","מיקוד בכישורי שפה",IF(AND($L620="תקינה",$Z620="מפותחת"),"קוראים וכותבים מיומנים","מיקוד בהבנה והבעה"))))))</f>
        <v/>
      </c>
      <c r="AC620" s="32">
        <f>IF(OR($AB620="",LEFT($AB620,1)="—"),"",IF(OR($AB620="מיקוד בשטף קריאה",$AB620="מיקוד בשטף הקריאה ובכישורי שפה"),"רמה א'",IF($AB620="קוראים וכותבים מיומנים","רמה ג'","רמה ב'")))</f>
        <v/>
      </c>
      <c r="AD620" s="32">
        <f>IF($AC620="","",MID(IF(AND($AC620="רמה א'",$AA620="ניכרת"),"; להוסיף עבודת אוצר מילים","")&amp;IF($Z620="אינה מפותחת","; דגש על הבעה בכתב","")&amp;IF($K620&lt;&gt;"תקין","; נדרש לעבוד על ההנגנה","")&amp;IF($AK620&lt;&gt;"","; "&amp;$AK620,""),3,400))</f>
        <v/>
      </c>
      <c r="AE620" s="32">
        <f>IF($F620="","",IF($F620="תחילת שנה",1,IF($F620="מחצית שנה",2,3)))</f>
        <v/>
      </c>
      <c r="AF620" s="32">
        <f>IF(OR($B620="",$AC620="",$A620="",$F620=""),"",$B620&amp;"|"&amp;$A620&amp;"|"&amp;$F620&amp;"|"&amp;$AC620&amp;"|"&amp;COUNTIFS($B$6:$B620,$B620,$A$6:$A620,$A620,$F$6:$F620,$F620,$AC$6:$AC620,$AC620))</f>
        <v/>
      </c>
      <c r="AG620" s="32">
        <f>IF($C620="","",$C620&amp;"|"&amp;COUNTIFS($C$6:$C620,$C620))</f>
        <v/>
      </c>
      <c r="AH620" s="32">
        <f>IF(OR($C620="",$A620="",$AE620=""),"",$C620&amp;"|"&amp;$A620&amp;"|"&amp;$AE620)</f>
        <v/>
      </c>
      <c r="AI620" s="32">
        <f>IF(OR($C620="",$AE620="",$AE620=1),"",IFERROR(INDEX($AC$6:$AC$1505,MATCH($C620&amp;"|"&amp;$A620&amp;"|"&amp;($AE620-1),$AH$6:$AH$1505,0)),""))</f>
        <v/>
      </c>
      <c r="AJ620" s="32">
        <f>IF(OR($AI620="",$AC620=""),"",IF($AI620=$AC620,"ללא שינוי","מ-"&amp;$AI620&amp;" ל-"&amp;$AC620))</f>
        <v/>
      </c>
      <c r="AK620" s="67" t="n"/>
    </row>
    <row r="621" ht="15.75" customHeight="1" s="58">
      <c r="A621" s="65" t="n"/>
      <c r="B621" s="65" t="n"/>
      <c r="C621" s="66" t="n"/>
      <c r="D621" s="66" t="n"/>
      <c r="E621" s="65" t="n"/>
      <c r="F621" s="65" t="n"/>
      <c r="G621" s="65" t="n"/>
      <c r="H621" s="65" t="n"/>
      <c r="I621" s="65" t="n"/>
      <c r="J621" s="65" t="n"/>
      <c r="K621" s="65" t="n"/>
      <c r="L621" s="65" t="n"/>
      <c r="M621" s="65" t="n"/>
      <c r="N621" s="65" t="n"/>
      <c r="O621" s="65" t="n"/>
      <c r="P621" s="65" t="n"/>
      <c r="Q621" s="65" t="n"/>
      <c r="R621" s="65" t="n"/>
      <c r="S621" s="65" t="n"/>
      <c r="T621" s="65" t="n"/>
      <c r="U621" s="65" t="n"/>
      <c r="V621" s="65" t="n"/>
      <c r="W621" s="65" t="n"/>
      <c r="X621" s="65" t="n"/>
      <c r="Y621" s="32">
        <f>IF($C621="","",IF(COUNTA($I621:$K621)&lt;3,"— חסרים נתונים",IF(AND($I621="תקין",$J621="תקין",$K621="תקין"),"רהוטה",IF(AND($I621="תקין",$J621="תקין"),"מדויקת ורציפה","אינה מדויקת או מקוטעת"))))</f>
        <v/>
      </c>
      <c r="Z621" s="32">
        <f>IF($C621="","",IF(COUNTA($U621:$W621)&lt;3,"",IF(AND($U621="מפותח",$V621="מפותח",$W621="מפותחת"),"מפותחת",IF((--($U621="דל"))+(--($V621="אינו מפותח"))+(--($W621="דלה"))&gt;=2,"אינה מפותחת","חלקית"))))</f>
        <v/>
      </c>
      <c r="AA621" s="32">
        <f>IF($C621="","",IF(COUNTA($M621,$N621,$O621)&lt;3,"— חסרים נתונים",IF(OR($M621="נמוכה",(--($M621&lt;&gt;"תקינה"))+(--($N621&lt;&gt;"תקין"))+(--($O621&lt;&gt;"תקינה"))&gt;=2),"ניכרת","אינה ניכרת")))</f>
        <v/>
      </c>
      <c r="AB621" s="32">
        <f>IF(OR($C621="",$Y621="",$AA621="",LEFT($Y621,1)="—",LEFT($AA621,1)="—"),"",IF($Z621="","— נדרשת הערכת כתיבה",IF($L621="","— חסרה הבנת הנקרא",IF($Y621="אינה מדויקת או מקוטעת",IF($AA621="ניכרת","מיקוד בשטף הקריאה ובכישורי שפה","מיקוד בשטף קריאה"),IF($AA621="ניכרת","מיקוד בכישורי שפה",IF(AND($L621="תקינה",$Z621="מפותחת"),"קוראים וכותבים מיומנים","מיקוד בהבנה והבעה"))))))</f>
        <v/>
      </c>
      <c r="AC621" s="32">
        <f>IF(OR($AB621="",LEFT($AB621,1)="—"),"",IF(OR($AB621="מיקוד בשטף קריאה",$AB621="מיקוד בשטף הקריאה ובכישורי שפה"),"רמה א'",IF($AB621="קוראים וכותבים מיומנים","רמה ג'","רמה ב'")))</f>
        <v/>
      </c>
      <c r="AD621" s="32">
        <f>IF($AC621="","",MID(IF(AND($AC621="רמה א'",$AA621="ניכרת"),"; להוסיף עבודת אוצר מילים","")&amp;IF($Z621="אינה מפותחת","; דגש על הבעה בכתב","")&amp;IF($K621&lt;&gt;"תקין","; נדרש לעבוד על ההנגנה","")&amp;IF($AK621&lt;&gt;"","; "&amp;$AK621,""),3,400))</f>
        <v/>
      </c>
      <c r="AE621" s="32">
        <f>IF($F621="","",IF($F621="תחילת שנה",1,IF($F621="מחצית שנה",2,3)))</f>
        <v/>
      </c>
      <c r="AF621" s="32">
        <f>IF(OR($B621="",$AC621="",$A621="",$F621=""),"",$B621&amp;"|"&amp;$A621&amp;"|"&amp;$F621&amp;"|"&amp;$AC621&amp;"|"&amp;COUNTIFS($B$6:$B621,$B621,$A$6:$A621,$A621,$F$6:$F621,$F621,$AC$6:$AC621,$AC621))</f>
        <v/>
      </c>
      <c r="AG621" s="32">
        <f>IF($C621="","",$C621&amp;"|"&amp;COUNTIFS($C$6:$C621,$C621))</f>
        <v/>
      </c>
      <c r="AH621" s="32">
        <f>IF(OR($C621="",$A621="",$AE621=""),"",$C621&amp;"|"&amp;$A621&amp;"|"&amp;$AE621)</f>
        <v/>
      </c>
      <c r="AI621" s="32">
        <f>IF(OR($C621="",$AE621="",$AE621=1),"",IFERROR(INDEX($AC$6:$AC$1505,MATCH($C621&amp;"|"&amp;$A621&amp;"|"&amp;($AE621-1),$AH$6:$AH$1505,0)),""))</f>
        <v/>
      </c>
      <c r="AJ621" s="32">
        <f>IF(OR($AI621="",$AC621=""),"",IF($AI621=$AC621,"ללא שינוי","מ-"&amp;$AI621&amp;" ל-"&amp;$AC621))</f>
        <v/>
      </c>
      <c r="AK621" s="67" t="n"/>
    </row>
    <row r="622" ht="15.75" customHeight="1" s="58">
      <c r="A622" s="65" t="n"/>
      <c r="B622" s="65" t="n"/>
      <c r="C622" s="66" t="n"/>
      <c r="D622" s="66" t="n"/>
      <c r="E622" s="65" t="n"/>
      <c r="F622" s="65" t="n"/>
      <c r="G622" s="65" t="n"/>
      <c r="H622" s="65" t="n"/>
      <c r="I622" s="65" t="n"/>
      <c r="J622" s="65" t="n"/>
      <c r="K622" s="65" t="n"/>
      <c r="L622" s="65" t="n"/>
      <c r="M622" s="65" t="n"/>
      <c r="N622" s="65" t="n"/>
      <c r="O622" s="65" t="n"/>
      <c r="P622" s="65" t="n"/>
      <c r="Q622" s="65" t="n"/>
      <c r="R622" s="65" t="n"/>
      <c r="S622" s="65" t="n"/>
      <c r="T622" s="65" t="n"/>
      <c r="U622" s="65" t="n"/>
      <c r="V622" s="65" t="n"/>
      <c r="W622" s="65" t="n"/>
      <c r="X622" s="65" t="n"/>
      <c r="Y622" s="32">
        <f>IF($C622="","",IF(COUNTA($I622:$K622)&lt;3,"— חסרים נתונים",IF(AND($I622="תקין",$J622="תקין",$K622="תקין"),"רהוטה",IF(AND($I622="תקין",$J622="תקין"),"מדויקת ורציפה","אינה מדויקת או מקוטעת"))))</f>
        <v/>
      </c>
      <c r="Z622" s="32">
        <f>IF($C622="","",IF(COUNTA($U622:$W622)&lt;3,"",IF(AND($U622="מפותח",$V622="מפותח",$W622="מפותחת"),"מפותחת",IF((--($U622="דל"))+(--($V622="אינו מפותח"))+(--($W622="דלה"))&gt;=2,"אינה מפותחת","חלקית"))))</f>
        <v/>
      </c>
      <c r="AA622" s="32">
        <f>IF($C622="","",IF(COUNTA($M622,$N622,$O622)&lt;3,"— חסרים נתונים",IF(OR($M622="נמוכה",(--($M622&lt;&gt;"תקינה"))+(--($N622&lt;&gt;"תקין"))+(--($O622&lt;&gt;"תקינה"))&gt;=2),"ניכרת","אינה ניכרת")))</f>
        <v/>
      </c>
      <c r="AB622" s="32">
        <f>IF(OR($C622="",$Y622="",$AA622="",LEFT($Y622,1)="—",LEFT($AA622,1)="—"),"",IF($Z622="","— נדרשת הערכת כתיבה",IF($L622="","— חסרה הבנת הנקרא",IF($Y622="אינה מדויקת או מקוטעת",IF($AA622="ניכרת","מיקוד בשטף הקריאה ובכישורי שפה","מיקוד בשטף קריאה"),IF($AA622="ניכרת","מיקוד בכישורי שפה",IF(AND($L622="תקינה",$Z622="מפותחת"),"קוראים וכותבים מיומנים","מיקוד בהבנה והבעה"))))))</f>
        <v/>
      </c>
      <c r="AC622" s="32">
        <f>IF(OR($AB622="",LEFT($AB622,1)="—"),"",IF(OR($AB622="מיקוד בשטף קריאה",$AB622="מיקוד בשטף הקריאה ובכישורי שפה"),"רמה א'",IF($AB622="קוראים וכותבים מיומנים","רמה ג'","רמה ב'")))</f>
        <v/>
      </c>
      <c r="AD622" s="32">
        <f>IF($AC622="","",MID(IF(AND($AC622="רמה א'",$AA622="ניכרת"),"; להוסיף עבודת אוצר מילים","")&amp;IF($Z622="אינה מפותחת","; דגש על הבעה בכתב","")&amp;IF($K622&lt;&gt;"תקין","; נדרש לעבוד על ההנגנה","")&amp;IF($AK622&lt;&gt;"","; "&amp;$AK622,""),3,400))</f>
        <v/>
      </c>
      <c r="AE622" s="32">
        <f>IF($F622="","",IF($F622="תחילת שנה",1,IF($F622="מחצית שנה",2,3)))</f>
        <v/>
      </c>
      <c r="AF622" s="32">
        <f>IF(OR($B622="",$AC622="",$A622="",$F622=""),"",$B622&amp;"|"&amp;$A622&amp;"|"&amp;$F622&amp;"|"&amp;$AC622&amp;"|"&amp;COUNTIFS($B$6:$B622,$B622,$A$6:$A622,$A622,$F$6:$F622,$F622,$AC$6:$AC622,$AC622))</f>
        <v/>
      </c>
      <c r="AG622" s="32">
        <f>IF($C622="","",$C622&amp;"|"&amp;COUNTIFS($C$6:$C622,$C622))</f>
        <v/>
      </c>
      <c r="AH622" s="32">
        <f>IF(OR($C622="",$A622="",$AE622=""),"",$C622&amp;"|"&amp;$A622&amp;"|"&amp;$AE622)</f>
        <v/>
      </c>
      <c r="AI622" s="32">
        <f>IF(OR($C622="",$AE622="",$AE622=1),"",IFERROR(INDEX($AC$6:$AC$1505,MATCH($C622&amp;"|"&amp;$A622&amp;"|"&amp;($AE622-1),$AH$6:$AH$1505,0)),""))</f>
        <v/>
      </c>
      <c r="AJ622" s="32">
        <f>IF(OR($AI622="",$AC622=""),"",IF($AI622=$AC622,"ללא שינוי","מ-"&amp;$AI622&amp;" ל-"&amp;$AC622))</f>
        <v/>
      </c>
      <c r="AK622" s="67" t="n"/>
    </row>
    <row r="623" ht="15.75" customHeight="1" s="58">
      <c r="A623" s="65" t="n"/>
      <c r="B623" s="65" t="n"/>
      <c r="C623" s="66" t="n"/>
      <c r="D623" s="66" t="n"/>
      <c r="E623" s="65" t="n"/>
      <c r="F623" s="65" t="n"/>
      <c r="G623" s="65" t="n"/>
      <c r="H623" s="65" t="n"/>
      <c r="I623" s="65" t="n"/>
      <c r="J623" s="65" t="n"/>
      <c r="K623" s="65" t="n"/>
      <c r="L623" s="65" t="n"/>
      <c r="M623" s="65" t="n"/>
      <c r="N623" s="65" t="n"/>
      <c r="O623" s="65" t="n"/>
      <c r="P623" s="65" t="n"/>
      <c r="Q623" s="65" t="n"/>
      <c r="R623" s="65" t="n"/>
      <c r="S623" s="65" t="n"/>
      <c r="T623" s="65" t="n"/>
      <c r="U623" s="65" t="n"/>
      <c r="V623" s="65" t="n"/>
      <c r="W623" s="65" t="n"/>
      <c r="X623" s="65" t="n"/>
      <c r="Y623" s="32">
        <f>IF($C623="","",IF(COUNTA($I623:$K623)&lt;3,"— חסרים נתונים",IF(AND($I623="תקין",$J623="תקין",$K623="תקין"),"רהוטה",IF(AND($I623="תקין",$J623="תקין"),"מדויקת ורציפה","אינה מדויקת או מקוטעת"))))</f>
        <v/>
      </c>
      <c r="Z623" s="32">
        <f>IF($C623="","",IF(COUNTA($U623:$W623)&lt;3,"",IF(AND($U623="מפותח",$V623="מפותח",$W623="מפותחת"),"מפותחת",IF((--($U623="דל"))+(--($V623="אינו מפותח"))+(--($W623="דלה"))&gt;=2,"אינה מפותחת","חלקית"))))</f>
        <v/>
      </c>
      <c r="AA623" s="32">
        <f>IF($C623="","",IF(COUNTA($M623,$N623,$O623)&lt;3,"— חסרים נתונים",IF(OR($M623="נמוכה",(--($M623&lt;&gt;"תקינה"))+(--($N623&lt;&gt;"תקין"))+(--($O623&lt;&gt;"תקינה"))&gt;=2),"ניכרת","אינה ניכרת")))</f>
        <v/>
      </c>
      <c r="AB623" s="32">
        <f>IF(OR($C623="",$Y623="",$AA623="",LEFT($Y623,1)="—",LEFT($AA623,1)="—"),"",IF($Z623="","— נדרשת הערכת כתיבה",IF($L623="","— חסרה הבנת הנקרא",IF($Y623="אינה מדויקת או מקוטעת",IF($AA623="ניכרת","מיקוד בשטף הקריאה ובכישורי שפה","מיקוד בשטף קריאה"),IF($AA623="ניכרת","מיקוד בכישורי שפה",IF(AND($L623="תקינה",$Z623="מפותחת"),"קוראים וכותבים מיומנים","מיקוד בהבנה והבעה"))))))</f>
        <v/>
      </c>
      <c r="AC623" s="32">
        <f>IF(OR($AB623="",LEFT($AB623,1)="—"),"",IF(OR($AB623="מיקוד בשטף קריאה",$AB623="מיקוד בשטף הקריאה ובכישורי שפה"),"רמה א'",IF($AB623="קוראים וכותבים מיומנים","רמה ג'","רמה ב'")))</f>
        <v/>
      </c>
      <c r="AD623" s="32">
        <f>IF($AC623="","",MID(IF(AND($AC623="רמה א'",$AA623="ניכרת"),"; להוסיף עבודת אוצר מילים","")&amp;IF($Z623="אינה מפותחת","; דגש על הבעה בכתב","")&amp;IF($K623&lt;&gt;"תקין","; נדרש לעבוד על ההנגנה","")&amp;IF($AK623&lt;&gt;"","; "&amp;$AK623,""),3,400))</f>
        <v/>
      </c>
      <c r="AE623" s="32">
        <f>IF($F623="","",IF($F623="תחילת שנה",1,IF($F623="מחצית שנה",2,3)))</f>
        <v/>
      </c>
      <c r="AF623" s="32">
        <f>IF(OR($B623="",$AC623="",$A623="",$F623=""),"",$B623&amp;"|"&amp;$A623&amp;"|"&amp;$F623&amp;"|"&amp;$AC623&amp;"|"&amp;COUNTIFS($B$6:$B623,$B623,$A$6:$A623,$A623,$F$6:$F623,$F623,$AC$6:$AC623,$AC623))</f>
        <v/>
      </c>
      <c r="AG623" s="32">
        <f>IF($C623="","",$C623&amp;"|"&amp;COUNTIFS($C$6:$C623,$C623))</f>
        <v/>
      </c>
      <c r="AH623" s="32">
        <f>IF(OR($C623="",$A623="",$AE623=""),"",$C623&amp;"|"&amp;$A623&amp;"|"&amp;$AE623)</f>
        <v/>
      </c>
      <c r="AI623" s="32">
        <f>IF(OR($C623="",$AE623="",$AE623=1),"",IFERROR(INDEX($AC$6:$AC$1505,MATCH($C623&amp;"|"&amp;$A623&amp;"|"&amp;($AE623-1),$AH$6:$AH$1505,0)),""))</f>
        <v/>
      </c>
      <c r="AJ623" s="32">
        <f>IF(OR($AI623="",$AC623=""),"",IF($AI623=$AC623,"ללא שינוי","מ-"&amp;$AI623&amp;" ל-"&amp;$AC623))</f>
        <v/>
      </c>
      <c r="AK623" s="67" t="n"/>
    </row>
    <row r="624" ht="15.75" customHeight="1" s="58">
      <c r="A624" s="65" t="n"/>
      <c r="B624" s="65" t="n"/>
      <c r="C624" s="66" t="n"/>
      <c r="D624" s="66" t="n"/>
      <c r="E624" s="65" t="n"/>
      <c r="F624" s="65" t="n"/>
      <c r="G624" s="65" t="n"/>
      <c r="H624" s="65" t="n"/>
      <c r="I624" s="65" t="n"/>
      <c r="J624" s="65" t="n"/>
      <c r="K624" s="65" t="n"/>
      <c r="L624" s="65" t="n"/>
      <c r="M624" s="65" t="n"/>
      <c r="N624" s="65" t="n"/>
      <c r="O624" s="65" t="n"/>
      <c r="P624" s="65" t="n"/>
      <c r="Q624" s="65" t="n"/>
      <c r="R624" s="65" t="n"/>
      <c r="S624" s="65" t="n"/>
      <c r="T624" s="65" t="n"/>
      <c r="U624" s="65" t="n"/>
      <c r="V624" s="65" t="n"/>
      <c r="W624" s="65" t="n"/>
      <c r="X624" s="65" t="n"/>
      <c r="Y624" s="32">
        <f>IF($C624="","",IF(COUNTA($I624:$K624)&lt;3,"— חסרים נתונים",IF(AND($I624="תקין",$J624="תקין",$K624="תקין"),"רהוטה",IF(AND($I624="תקין",$J624="תקין"),"מדויקת ורציפה","אינה מדויקת או מקוטעת"))))</f>
        <v/>
      </c>
      <c r="Z624" s="32">
        <f>IF($C624="","",IF(COUNTA($U624:$W624)&lt;3,"",IF(AND($U624="מפותח",$V624="מפותח",$W624="מפותחת"),"מפותחת",IF((--($U624="דל"))+(--($V624="אינו מפותח"))+(--($W624="דלה"))&gt;=2,"אינה מפותחת","חלקית"))))</f>
        <v/>
      </c>
      <c r="AA624" s="32">
        <f>IF($C624="","",IF(COUNTA($M624,$N624,$O624)&lt;3,"— חסרים נתונים",IF(OR($M624="נמוכה",(--($M624&lt;&gt;"תקינה"))+(--($N624&lt;&gt;"תקין"))+(--($O624&lt;&gt;"תקינה"))&gt;=2),"ניכרת","אינה ניכרת")))</f>
        <v/>
      </c>
      <c r="AB624" s="32">
        <f>IF(OR($C624="",$Y624="",$AA624="",LEFT($Y624,1)="—",LEFT($AA624,1)="—"),"",IF($Z624="","— נדרשת הערכת כתיבה",IF($L624="","— חסרה הבנת הנקרא",IF($Y624="אינה מדויקת או מקוטעת",IF($AA624="ניכרת","מיקוד בשטף הקריאה ובכישורי שפה","מיקוד בשטף קריאה"),IF($AA624="ניכרת","מיקוד בכישורי שפה",IF(AND($L624="תקינה",$Z624="מפותחת"),"קוראים וכותבים מיומנים","מיקוד בהבנה והבעה"))))))</f>
        <v/>
      </c>
      <c r="AC624" s="32">
        <f>IF(OR($AB624="",LEFT($AB624,1)="—"),"",IF(OR($AB624="מיקוד בשטף קריאה",$AB624="מיקוד בשטף הקריאה ובכישורי שפה"),"רמה א'",IF($AB624="קוראים וכותבים מיומנים","רמה ג'","רמה ב'")))</f>
        <v/>
      </c>
      <c r="AD624" s="32">
        <f>IF($AC624="","",MID(IF(AND($AC624="רמה א'",$AA624="ניכרת"),"; להוסיף עבודת אוצר מילים","")&amp;IF($Z624="אינה מפותחת","; דגש על הבעה בכתב","")&amp;IF($K624&lt;&gt;"תקין","; נדרש לעבוד על ההנגנה","")&amp;IF($AK624&lt;&gt;"","; "&amp;$AK624,""),3,400))</f>
        <v/>
      </c>
      <c r="AE624" s="32">
        <f>IF($F624="","",IF($F624="תחילת שנה",1,IF($F624="מחצית שנה",2,3)))</f>
        <v/>
      </c>
      <c r="AF624" s="32">
        <f>IF(OR($B624="",$AC624="",$A624="",$F624=""),"",$B624&amp;"|"&amp;$A624&amp;"|"&amp;$F624&amp;"|"&amp;$AC624&amp;"|"&amp;COUNTIFS($B$6:$B624,$B624,$A$6:$A624,$A624,$F$6:$F624,$F624,$AC$6:$AC624,$AC624))</f>
        <v/>
      </c>
      <c r="AG624" s="32">
        <f>IF($C624="","",$C624&amp;"|"&amp;COUNTIFS($C$6:$C624,$C624))</f>
        <v/>
      </c>
      <c r="AH624" s="32">
        <f>IF(OR($C624="",$A624="",$AE624=""),"",$C624&amp;"|"&amp;$A624&amp;"|"&amp;$AE624)</f>
        <v/>
      </c>
      <c r="AI624" s="32">
        <f>IF(OR($C624="",$AE624="",$AE624=1),"",IFERROR(INDEX($AC$6:$AC$1505,MATCH($C624&amp;"|"&amp;$A624&amp;"|"&amp;($AE624-1),$AH$6:$AH$1505,0)),""))</f>
        <v/>
      </c>
      <c r="AJ624" s="32">
        <f>IF(OR($AI624="",$AC624=""),"",IF($AI624=$AC624,"ללא שינוי","מ-"&amp;$AI624&amp;" ל-"&amp;$AC624))</f>
        <v/>
      </c>
      <c r="AK624" s="67" t="n"/>
    </row>
    <row r="625" ht="15.75" customHeight="1" s="58">
      <c r="A625" s="65" t="n"/>
      <c r="B625" s="65" t="n"/>
      <c r="C625" s="66" t="n"/>
      <c r="D625" s="66" t="n"/>
      <c r="E625" s="65" t="n"/>
      <c r="F625" s="65" t="n"/>
      <c r="G625" s="65" t="n"/>
      <c r="H625" s="65" t="n"/>
      <c r="I625" s="65" t="n"/>
      <c r="J625" s="65" t="n"/>
      <c r="K625" s="65" t="n"/>
      <c r="L625" s="65" t="n"/>
      <c r="M625" s="65" t="n"/>
      <c r="N625" s="65" t="n"/>
      <c r="O625" s="65" t="n"/>
      <c r="P625" s="65" t="n"/>
      <c r="Q625" s="65" t="n"/>
      <c r="R625" s="65" t="n"/>
      <c r="S625" s="65" t="n"/>
      <c r="T625" s="65" t="n"/>
      <c r="U625" s="65" t="n"/>
      <c r="V625" s="65" t="n"/>
      <c r="W625" s="65" t="n"/>
      <c r="X625" s="65" t="n"/>
      <c r="Y625" s="32">
        <f>IF($C625="","",IF(COUNTA($I625:$K625)&lt;3,"— חסרים נתונים",IF(AND($I625="תקין",$J625="תקין",$K625="תקין"),"רהוטה",IF(AND($I625="תקין",$J625="תקין"),"מדויקת ורציפה","אינה מדויקת או מקוטעת"))))</f>
        <v/>
      </c>
      <c r="Z625" s="32">
        <f>IF($C625="","",IF(COUNTA($U625:$W625)&lt;3,"",IF(AND($U625="מפותח",$V625="מפותח",$W625="מפותחת"),"מפותחת",IF((--($U625="דל"))+(--($V625="אינו מפותח"))+(--($W625="דלה"))&gt;=2,"אינה מפותחת","חלקית"))))</f>
        <v/>
      </c>
      <c r="AA625" s="32">
        <f>IF($C625="","",IF(COUNTA($M625,$N625,$O625)&lt;3,"— חסרים נתונים",IF(OR($M625="נמוכה",(--($M625&lt;&gt;"תקינה"))+(--($N625&lt;&gt;"תקין"))+(--($O625&lt;&gt;"תקינה"))&gt;=2),"ניכרת","אינה ניכרת")))</f>
        <v/>
      </c>
      <c r="AB625" s="32">
        <f>IF(OR($C625="",$Y625="",$AA625="",LEFT($Y625,1)="—",LEFT($AA625,1)="—"),"",IF($Z625="","— נדרשת הערכת כתיבה",IF($L625="","— חסרה הבנת הנקרא",IF($Y625="אינה מדויקת או מקוטעת",IF($AA625="ניכרת","מיקוד בשטף הקריאה ובכישורי שפה","מיקוד בשטף קריאה"),IF($AA625="ניכרת","מיקוד בכישורי שפה",IF(AND($L625="תקינה",$Z625="מפותחת"),"קוראים וכותבים מיומנים","מיקוד בהבנה והבעה"))))))</f>
        <v/>
      </c>
      <c r="AC625" s="32">
        <f>IF(OR($AB625="",LEFT($AB625,1)="—"),"",IF(OR($AB625="מיקוד בשטף קריאה",$AB625="מיקוד בשטף הקריאה ובכישורי שפה"),"רמה א'",IF($AB625="קוראים וכותבים מיומנים","רמה ג'","רמה ב'")))</f>
        <v/>
      </c>
      <c r="AD625" s="32">
        <f>IF($AC625="","",MID(IF(AND($AC625="רמה א'",$AA625="ניכרת"),"; להוסיף עבודת אוצר מילים","")&amp;IF($Z625="אינה מפותחת","; דגש על הבעה בכתב","")&amp;IF($K625&lt;&gt;"תקין","; נדרש לעבוד על ההנגנה","")&amp;IF($AK625&lt;&gt;"","; "&amp;$AK625,""),3,400))</f>
        <v/>
      </c>
      <c r="AE625" s="32">
        <f>IF($F625="","",IF($F625="תחילת שנה",1,IF($F625="מחצית שנה",2,3)))</f>
        <v/>
      </c>
      <c r="AF625" s="32">
        <f>IF(OR($B625="",$AC625="",$A625="",$F625=""),"",$B625&amp;"|"&amp;$A625&amp;"|"&amp;$F625&amp;"|"&amp;$AC625&amp;"|"&amp;COUNTIFS($B$6:$B625,$B625,$A$6:$A625,$A625,$F$6:$F625,$F625,$AC$6:$AC625,$AC625))</f>
        <v/>
      </c>
      <c r="AG625" s="32">
        <f>IF($C625="","",$C625&amp;"|"&amp;COUNTIFS($C$6:$C625,$C625))</f>
        <v/>
      </c>
      <c r="AH625" s="32">
        <f>IF(OR($C625="",$A625="",$AE625=""),"",$C625&amp;"|"&amp;$A625&amp;"|"&amp;$AE625)</f>
        <v/>
      </c>
      <c r="AI625" s="32">
        <f>IF(OR($C625="",$AE625="",$AE625=1),"",IFERROR(INDEX($AC$6:$AC$1505,MATCH($C625&amp;"|"&amp;$A625&amp;"|"&amp;($AE625-1),$AH$6:$AH$1505,0)),""))</f>
        <v/>
      </c>
      <c r="AJ625" s="32">
        <f>IF(OR($AI625="",$AC625=""),"",IF($AI625=$AC625,"ללא שינוי","מ-"&amp;$AI625&amp;" ל-"&amp;$AC625))</f>
        <v/>
      </c>
      <c r="AK625" s="67" t="n"/>
    </row>
    <row r="626" ht="15.75" customHeight="1" s="58">
      <c r="A626" s="65" t="n"/>
      <c r="B626" s="65" t="n"/>
      <c r="C626" s="66" t="n"/>
      <c r="D626" s="66" t="n"/>
      <c r="E626" s="65" t="n"/>
      <c r="F626" s="65" t="n"/>
      <c r="G626" s="65" t="n"/>
      <c r="H626" s="65" t="n"/>
      <c r="I626" s="65" t="n"/>
      <c r="J626" s="65" t="n"/>
      <c r="K626" s="65" t="n"/>
      <c r="L626" s="65" t="n"/>
      <c r="M626" s="65" t="n"/>
      <c r="N626" s="65" t="n"/>
      <c r="O626" s="65" t="n"/>
      <c r="P626" s="65" t="n"/>
      <c r="Q626" s="65" t="n"/>
      <c r="R626" s="65" t="n"/>
      <c r="S626" s="65" t="n"/>
      <c r="T626" s="65" t="n"/>
      <c r="U626" s="65" t="n"/>
      <c r="V626" s="65" t="n"/>
      <c r="W626" s="65" t="n"/>
      <c r="X626" s="65" t="n"/>
      <c r="Y626" s="32">
        <f>IF($C626="","",IF(COUNTA($I626:$K626)&lt;3,"— חסרים נתונים",IF(AND($I626="תקין",$J626="תקין",$K626="תקין"),"רהוטה",IF(AND($I626="תקין",$J626="תקין"),"מדויקת ורציפה","אינה מדויקת או מקוטעת"))))</f>
        <v/>
      </c>
      <c r="Z626" s="32">
        <f>IF($C626="","",IF(COUNTA($U626:$W626)&lt;3,"",IF(AND($U626="מפותח",$V626="מפותח",$W626="מפותחת"),"מפותחת",IF((--($U626="דל"))+(--($V626="אינו מפותח"))+(--($W626="דלה"))&gt;=2,"אינה מפותחת","חלקית"))))</f>
        <v/>
      </c>
      <c r="AA626" s="32">
        <f>IF($C626="","",IF(COUNTA($M626,$N626,$O626)&lt;3,"— חסרים נתונים",IF(OR($M626="נמוכה",(--($M626&lt;&gt;"תקינה"))+(--($N626&lt;&gt;"תקין"))+(--($O626&lt;&gt;"תקינה"))&gt;=2),"ניכרת","אינה ניכרת")))</f>
        <v/>
      </c>
      <c r="AB626" s="32">
        <f>IF(OR($C626="",$Y626="",$AA626="",LEFT($Y626,1)="—",LEFT($AA626,1)="—"),"",IF($Z626="","— נדרשת הערכת כתיבה",IF($L626="","— חסרה הבנת הנקרא",IF($Y626="אינה מדויקת או מקוטעת",IF($AA626="ניכרת","מיקוד בשטף הקריאה ובכישורי שפה","מיקוד בשטף קריאה"),IF($AA626="ניכרת","מיקוד בכישורי שפה",IF(AND($L626="תקינה",$Z626="מפותחת"),"קוראים וכותבים מיומנים","מיקוד בהבנה והבעה"))))))</f>
        <v/>
      </c>
      <c r="AC626" s="32">
        <f>IF(OR($AB626="",LEFT($AB626,1)="—"),"",IF(OR($AB626="מיקוד בשטף קריאה",$AB626="מיקוד בשטף הקריאה ובכישורי שפה"),"רמה א'",IF($AB626="קוראים וכותבים מיומנים","רמה ג'","רמה ב'")))</f>
        <v/>
      </c>
      <c r="AD626" s="32">
        <f>IF($AC626="","",MID(IF(AND($AC626="רמה א'",$AA626="ניכרת"),"; להוסיף עבודת אוצר מילים","")&amp;IF($Z626="אינה מפותחת","; דגש על הבעה בכתב","")&amp;IF($K626&lt;&gt;"תקין","; נדרש לעבוד על ההנגנה","")&amp;IF($AK626&lt;&gt;"","; "&amp;$AK626,""),3,400))</f>
        <v/>
      </c>
      <c r="AE626" s="32">
        <f>IF($F626="","",IF($F626="תחילת שנה",1,IF($F626="מחצית שנה",2,3)))</f>
        <v/>
      </c>
      <c r="AF626" s="32">
        <f>IF(OR($B626="",$AC626="",$A626="",$F626=""),"",$B626&amp;"|"&amp;$A626&amp;"|"&amp;$F626&amp;"|"&amp;$AC626&amp;"|"&amp;COUNTIFS($B$6:$B626,$B626,$A$6:$A626,$A626,$F$6:$F626,$F626,$AC$6:$AC626,$AC626))</f>
        <v/>
      </c>
      <c r="AG626" s="32">
        <f>IF($C626="","",$C626&amp;"|"&amp;COUNTIFS($C$6:$C626,$C626))</f>
        <v/>
      </c>
      <c r="AH626" s="32">
        <f>IF(OR($C626="",$A626="",$AE626=""),"",$C626&amp;"|"&amp;$A626&amp;"|"&amp;$AE626)</f>
        <v/>
      </c>
      <c r="AI626" s="32">
        <f>IF(OR($C626="",$AE626="",$AE626=1),"",IFERROR(INDEX($AC$6:$AC$1505,MATCH($C626&amp;"|"&amp;$A626&amp;"|"&amp;($AE626-1),$AH$6:$AH$1505,0)),""))</f>
        <v/>
      </c>
      <c r="AJ626" s="32">
        <f>IF(OR($AI626="",$AC626=""),"",IF($AI626=$AC626,"ללא שינוי","מ-"&amp;$AI626&amp;" ל-"&amp;$AC626))</f>
        <v/>
      </c>
      <c r="AK626" s="67" t="n"/>
    </row>
    <row r="627" ht="15.75" customHeight="1" s="58">
      <c r="A627" s="65" t="n"/>
      <c r="B627" s="65" t="n"/>
      <c r="C627" s="66" t="n"/>
      <c r="D627" s="66" t="n"/>
      <c r="E627" s="65" t="n"/>
      <c r="F627" s="65" t="n"/>
      <c r="G627" s="65" t="n"/>
      <c r="H627" s="65" t="n"/>
      <c r="I627" s="65" t="n"/>
      <c r="J627" s="65" t="n"/>
      <c r="K627" s="65" t="n"/>
      <c r="L627" s="65" t="n"/>
      <c r="M627" s="65" t="n"/>
      <c r="N627" s="65" t="n"/>
      <c r="O627" s="65" t="n"/>
      <c r="P627" s="65" t="n"/>
      <c r="Q627" s="65" t="n"/>
      <c r="R627" s="65" t="n"/>
      <c r="S627" s="65" t="n"/>
      <c r="T627" s="65" t="n"/>
      <c r="U627" s="65" t="n"/>
      <c r="V627" s="65" t="n"/>
      <c r="W627" s="65" t="n"/>
      <c r="X627" s="65" t="n"/>
      <c r="Y627" s="32">
        <f>IF($C627="","",IF(COUNTA($I627:$K627)&lt;3,"— חסרים נתונים",IF(AND($I627="תקין",$J627="תקין",$K627="תקין"),"רהוטה",IF(AND($I627="תקין",$J627="תקין"),"מדויקת ורציפה","אינה מדויקת או מקוטעת"))))</f>
        <v/>
      </c>
      <c r="Z627" s="32">
        <f>IF($C627="","",IF(COUNTA($U627:$W627)&lt;3,"",IF(AND($U627="מפותח",$V627="מפותח",$W627="מפותחת"),"מפותחת",IF((--($U627="דל"))+(--($V627="אינו מפותח"))+(--($W627="דלה"))&gt;=2,"אינה מפותחת","חלקית"))))</f>
        <v/>
      </c>
      <c r="AA627" s="32">
        <f>IF($C627="","",IF(COUNTA($M627,$N627,$O627)&lt;3,"— חסרים נתונים",IF(OR($M627="נמוכה",(--($M627&lt;&gt;"תקינה"))+(--($N627&lt;&gt;"תקין"))+(--($O627&lt;&gt;"תקינה"))&gt;=2),"ניכרת","אינה ניכרת")))</f>
        <v/>
      </c>
      <c r="AB627" s="32">
        <f>IF(OR($C627="",$Y627="",$AA627="",LEFT($Y627,1)="—",LEFT($AA627,1)="—"),"",IF($Z627="","— נדרשת הערכת כתיבה",IF($L627="","— חסרה הבנת הנקרא",IF($Y627="אינה מדויקת או מקוטעת",IF($AA627="ניכרת","מיקוד בשטף הקריאה ובכישורי שפה","מיקוד בשטף קריאה"),IF($AA627="ניכרת","מיקוד בכישורי שפה",IF(AND($L627="תקינה",$Z627="מפותחת"),"קוראים וכותבים מיומנים","מיקוד בהבנה והבעה"))))))</f>
        <v/>
      </c>
      <c r="AC627" s="32">
        <f>IF(OR($AB627="",LEFT($AB627,1)="—"),"",IF(OR($AB627="מיקוד בשטף קריאה",$AB627="מיקוד בשטף הקריאה ובכישורי שפה"),"רמה א'",IF($AB627="קוראים וכותבים מיומנים","רמה ג'","רמה ב'")))</f>
        <v/>
      </c>
      <c r="AD627" s="32">
        <f>IF($AC627="","",MID(IF(AND($AC627="רמה א'",$AA627="ניכרת"),"; להוסיף עבודת אוצר מילים","")&amp;IF($Z627="אינה מפותחת","; דגש על הבעה בכתב","")&amp;IF($K627&lt;&gt;"תקין","; נדרש לעבוד על ההנגנה","")&amp;IF($AK627&lt;&gt;"","; "&amp;$AK627,""),3,400))</f>
        <v/>
      </c>
      <c r="AE627" s="32">
        <f>IF($F627="","",IF($F627="תחילת שנה",1,IF($F627="מחצית שנה",2,3)))</f>
        <v/>
      </c>
      <c r="AF627" s="32">
        <f>IF(OR($B627="",$AC627="",$A627="",$F627=""),"",$B627&amp;"|"&amp;$A627&amp;"|"&amp;$F627&amp;"|"&amp;$AC627&amp;"|"&amp;COUNTIFS($B$6:$B627,$B627,$A$6:$A627,$A627,$F$6:$F627,$F627,$AC$6:$AC627,$AC627))</f>
        <v/>
      </c>
      <c r="AG627" s="32">
        <f>IF($C627="","",$C627&amp;"|"&amp;COUNTIFS($C$6:$C627,$C627))</f>
        <v/>
      </c>
      <c r="AH627" s="32">
        <f>IF(OR($C627="",$A627="",$AE627=""),"",$C627&amp;"|"&amp;$A627&amp;"|"&amp;$AE627)</f>
        <v/>
      </c>
      <c r="AI627" s="32">
        <f>IF(OR($C627="",$AE627="",$AE627=1),"",IFERROR(INDEX($AC$6:$AC$1505,MATCH($C627&amp;"|"&amp;$A627&amp;"|"&amp;($AE627-1),$AH$6:$AH$1505,0)),""))</f>
        <v/>
      </c>
      <c r="AJ627" s="32">
        <f>IF(OR($AI627="",$AC627=""),"",IF($AI627=$AC627,"ללא שינוי","מ-"&amp;$AI627&amp;" ל-"&amp;$AC627))</f>
        <v/>
      </c>
      <c r="AK627" s="67" t="n"/>
    </row>
    <row r="628" ht="15.75" customHeight="1" s="58">
      <c r="A628" s="65" t="n"/>
      <c r="B628" s="65" t="n"/>
      <c r="C628" s="66" t="n"/>
      <c r="D628" s="66" t="n"/>
      <c r="E628" s="65" t="n"/>
      <c r="F628" s="65" t="n"/>
      <c r="G628" s="65" t="n"/>
      <c r="H628" s="65" t="n"/>
      <c r="I628" s="65" t="n"/>
      <c r="J628" s="65" t="n"/>
      <c r="K628" s="65" t="n"/>
      <c r="L628" s="65" t="n"/>
      <c r="M628" s="65" t="n"/>
      <c r="N628" s="65" t="n"/>
      <c r="O628" s="65" t="n"/>
      <c r="P628" s="65" t="n"/>
      <c r="Q628" s="65" t="n"/>
      <c r="R628" s="65" t="n"/>
      <c r="S628" s="65" t="n"/>
      <c r="T628" s="65" t="n"/>
      <c r="U628" s="65" t="n"/>
      <c r="V628" s="65" t="n"/>
      <c r="W628" s="65" t="n"/>
      <c r="X628" s="65" t="n"/>
      <c r="Y628" s="32">
        <f>IF($C628="","",IF(COUNTA($I628:$K628)&lt;3,"— חסרים נתונים",IF(AND($I628="תקין",$J628="תקין",$K628="תקין"),"רהוטה",IF(AND($I628="תקין",$J628="תקין"),"מדויקת ורציפה","אינה מדויקת או מקוטעת"))))</f>
        <v/>
      </c>
      <c r="Z628" s="32">
        <f>IF($C628="","",IF(COUNTA($U628:$W628)&lt;3,"",IF(AND($U628="מפותח",$V628="מפותח",$W628="מפותחת"),"מפותחת",IF((--($U628="דל"))+(--($V628="אינו מפותח"))+(--($W628="דלה"))&gt;=2,"אינה מפותחת","חלקית"))))</f>
        <v/>
      </c>
      <c r="AA628" s="32">
        <f>IF($C628="","",IF(COUNTA($M628,$N628,$O628)&lt;3,"— חסרים נתונים",IF(OR($M628="נמוכה",(--($M628&lt;&gt;"תקינה"))+(--($N628&lt;&gt;"תקין"))+(--($O628&lt;&gt;"תקינה"))&gt;=2),"ניכרת","אינה ניכרת")))</f>
        <v/>
      </c>
      <c r="AB628" s="32">
        <f>IF(OR($C628="",$Y628="",$AA628="",LEFT($Y628,1)="—",LEFT($AA628,1)="—"),"",IF($Z628="","— נדרשת הערכת כתיבה",IF($L628="","— חסרה הבנת הנקרא",IF($Y628="אינה מדויקת או מקוטעת",IF($AA628="ניכרת","מיקוד בשטף הקריאה ובכישורי שפה","מיקוד בשטף קריאה"),IF($AA628="ניכרת","מיקוד בכישורי שפה",IF(AND($L628="תקינה",$Z628="מפותחת"),"קוראים וכותבים מיומנים","מיקוד בהבנה והבעה"))))))</f>
        <v/>
      </c>
      <c r="AC628" s="32">
        <f>IF(OR($AB628="",LEFT($AB628,1)="—"),"",IF(OR($AB628="מיקוד בשטף קריאה",$AB628="מיקוד בשטף הקריאה ובכישורי שפה"),"רמה א'",IF($AB628="קוראים וכותבים מיומנים","רמה ג'","רמה ב'")))</f>
        <v/>
      </c>
      <c r="AD628" s="32">
        <f>IF($AC628="","",MID(IF(AND($AC628="רמה א'",$AA628="ניכרת"),"; להוסיף עבודת אוצר מילים","")&amp;IF($Z628="אינה מפותחת","; דגש על הבעה בכתב","")&amp;IF($K628&lt;&gt;"תקין","; נדרש לעבוד על ההנגנה","")&amp;IF($AK628&lt;&gt;"","; "&amp;$AK628,""),3,400))</f>
        <v/>
      </c>
      <c r="AE628" s="32">
        <f>IF($F628="","",IF($F628="תחילת שנה",1,IF($F628="מחצית שנה",2,3)))</f>
        <v/>
      </c>
      <c r="AF628" s="32">
        <f>IF(OR($B628="",$AC628="",$A628="",$F628=""),"",$B628&amp;"|"&amp;$A628&amp;"|"&amp;$F628&amp;"|"&amp;$AC628&amp;"|"&amp;COUNTIFS($B$6:$B628,$B628,$A$6:$A628,$A628,$F$6:$F628,$F628,$AC$6:$AC628,$AC628))</f>
        <v/>
      </c>
      <c r="AG628" s="32">
        <f>IF($C628="","",$C628&amp;"|"&amp;COUNTIFS($C$6:$C628,$C628))</f>
        <v/>
      </c>
      <c r="AH628" s="32">
        <f>IF(OR($C628="",$A628="",$AE628=""),"",$C628&amp;"|"&amp;$A628&amp;"|"&amp;$AE628)</f>
        <v/>
      </c>
      <c r="AI628" s="32">
        <f>IF(OR($C628="",$AE628="",$AE628=1),"",IFERROR(INDEX($AC$6:$AC$1505,MATCH($C628&amp;"|"&amp;$A628&amp;"|"&amp;($AE628-1),$AH$6:$AH$1505,0)),""))</f>
        <v/>
      </c>
      <c r="AJ628" s="32">
        <f>IF(OR($AI628="",$AC628=""),"",IF($AI628=$AC628,"ללא שינוי","מ-"&amp;$AI628&amp;" ל-"&amp;$AC628))</f>
        <v/>
      </c>
      <c r="AK628" s="67" t="n"/>
    </row>
    <row r="629" ht="15.75" customHeight="1" s="58">
      <c r="A629" s="65" t="n"/>
      <c r="B629" s="65" t="n"/>
      <c r="C629" s="66" t="n"/>
      <c r="D629" s="66" t="n"/>
      <c r="E629" s="65" t="n"/>
      <c r="F629" s="65" t="n"/>
      <c r="G629" s="65" t="n"/>
      <c r="H629" s="65" t="n"/>
      <c r="I629" s="65" t="n"/>
      <c r="J629" s="65" t="n"/>
      <c r="K629" s="65" t="n"/>
      <c r="L629" s="65" t="n"/>
      <c r="M629" s="65" t="n"/>
      <c r="N629" s="65" t="n"/>
      <c r="O629" s="65" t="n"/>
      <c r="P629" s="65" t="n"/>
      <c r="Q629" s="65" t="n"/>
      <c r="R629" s="65" t="n"/>
      <c r="S629" s="65" t="n"/>
      <c r="T629" s="65" t="n"/>
      <c r="U629" s="65" t="n"/>
      <c r="V629" s="65" t="n"/>
      <c r="W629" s="65" t="n"/>
      <c r="X629" s="65" t="n"/>
      <c r="Y629" s="32">
        <f>IF($C629="","",IF(COUNTA($I629:$K629)&lt;3,"— חסרים נתונים",IF(AND($I629="תקין",$J629="תקין",$K629="תקין"),"רהוטה",IF(AND($I629="תקין",$J629="תקין"),"מדויקת ורציפה","אינה מדויקת או מקוטעת"))))</f>
        <v/>
      </c>
      <c r="Z629" s="32">
        <f>IF($C629="","",IF(COUNTA($U629:$W629)&lt;3,"",IF(AND($U629="מפותח",$V629="מפותח",$W629="מפותחת"),"מפותחת",IF((--($U629="דל"))+(--($V629="אינו מפותח"))+(--($W629="דלה"))&gt;=2,"אינה מפותחת","חלקית"))))</f>
        <v/>
      </c>
      <c r="AA629" s="32">
        <f>IF($C629="","",IF(COUNTA($M629,$N629,$O629)&lt;3,"— חסרים נתונים",IF(OR($M629="נמוכה",(--($M629&lt;&gt;"תקינה"))+(--($N629&lt;&gt;"תקין"))+(--($O629&lt;&gt;"תקינה"))&gt;=2),"ניכרת","אינה ניכרת")))</f>
        <v/>
      </c>
      <c r="AB629" s="32">
        <f>IF(OR($C629="",$Y629="",$AA629="",LEFT($Y629,1)="—",LEFT($AA629,1)="—"),"",IF($Z629="","— נדרשת הערכת כתיבה",IF($L629="","— חסרה הבנת הנקרא",IF($Y629="אינה מדויקת או מקוטעת",IF($AA629="ניכרת","מיקוד בשטף הקריאה ובכישורי שפה","מיקוד בשטף קריאה"),IF($AA629="ניכרת","מיקוד בכישורי שפה",IF(AND($L629="תקינה",$Z629="מפותחת"),"קוראים וכותבים מיומנים","מיקוד בהבנה והבעה"))))))</f>
        <v/>
      </c>
      <c r="AC629" s="32">
        <f>IF(OR($AB629="",LEFT($AB629,1)="—"),"",IF(OR($AB629="מיקוד בשטף קריאה",$AB629="מיקוד בשטף הקריאה ובכישורי שפה"),"רמה א'",IF($AB629="קוראים וכותבים מיומנים","רמה ג'","רמה ב'")))</f>
        <v/>
      </c>
      <c r="AD629" s="32">
        <f>IF($AC629="","",MID(IF(AND($AC629="רמה א'",$AA629="ניכרת"),"; להוסיף עבודת אוצר מילים","")&amp;IF($Z629="אינה מפותחת","; דגש על הבעה בכתב","")&amp;IF($K629&lt;&gt;"תקין","; נדרש לעבוד על ההנגנה","")&amp;IF($AK629&lt;&gt;"","; "&amp;$AK629,""),3,400))</f>
        <v/>
      </c>
      <c r="AE629" s="32">
        <f>IF($F629="","",IF($F629="תחילת שנה",1,IF($F629="מחצית שנה",2,3)))</f>
        <v/>
      </c>
      <c r="AF629" s="32">
        <f>IF(OR($B629="",$AC629="",$A629="",$F629=""),"",$B629&amp;"|"&amp;$A629&amp;"|"&amp;$F629&amp;"|"&amp;$AC629&amp;"|"&amp;COUNTIFS($B$6:$B629,$B629,$A$6:$A629,$A629,$F$6:$F629,$F629,$AC$6:$AC629,$AC629))</f>
        <v/>
      </c>
      <c r="AG629" s="32">
        <f>IF($C629="","",$C629&amp;"|"&amp;COUNTIFS($C$6:$C629,$C629))</f>
        <v/>
      </c>
      <c r="AH629" s="32">
        <f>IF(OR($C629="",$A629="",$AE629=""),"",$C629&amp;"|"&amp;$A629&amp;"|"&amp;$AE629)</f>
        <v/>
      </c>
      <c r="AI629" s="32">
        <f>IF(OR($C629="",$AE629="",$AE629=1),"",IFERROR(INDEX($AC$6:$AC$1505,MATCH($C629&amp;"|"&amp;$A629&amp;"|"&amp;($AE629-1),$AH$6:$AH$1505,0)),""))</f>
        <v/>
      </c>
      <c r="AJ629" s="32">
        <f>IF(OR($AI629="",$AC629=""),"",IF($AI629=$AC629,"ללא שינוי","מ-"&amp;$AI629&amp;" ל-"&amp;$AC629))</f>
        <v/>
      </c>
      <c r="AK629" s="67" t="n"/>
    </row>
    <row r="630" ht="15.75" customHeight="1" s="58">
      <c r="A630" s="65" t="n"/>
      <c r="B630" s="65" t="n"/>
      <c r="C630" s="66" t="n"/>
      <c r="D630" s="66" t="n"/>
      <c r="E630" s="65" t="n"/>
      <c r="F630" s="65" t="n"/>
      <c r="G630" s="65" t="n"/>
      <c r="H630" s="65" t="n"/>
      <c r="I630" s="65" t="n"/>
      <c r="J630" s="65" t="n"/>
      <c r="K630" s="65" t="n"/>
      <c r="L630" s="65" t="n"/>
      <c r="M630" s="65" t="n"/>
      <c r="N630" s="65" t="n"/>
      <c r="O630" s="65" t="n"/>
      <c r="P630" s="65" t="n"/>
      <c r="Q630" s="65" t="n"/>
      <c r="R630" s="65" t="n"/>
      <c r="S630" s="65" t="n"/>
      <c r="T630" s="65" t="n"/>
      <c r="U630" s="65" t="n"/>
      <c r="V630" s="65" t="n"/>
      <c r="W630" s="65" t="n"/>
      <c r="X630" s="65" t="n"/>
      <c r="Y630" s="32">
        <f>IF($C630="","",IF(COUNTA($I630:$K630)&lt;3,"— חסרים נתונים",IF(AND($I630="תקין",$J630="תקין",$K630="תקין"),"רהוטה",IF(AND($I630="תקין",$J630="תקין"),"מדויקת ורציפה","אינה מדויקת או מקוטעת"))))</f>
        <v/>
      </c>
      <c r="Z630" s="32">
        <f>IF($C630="","",IF(COUNTA($U630:$W630)&lt;3,"",IF(AND($U630="מפותח",$V630="מפותח",$W630="מפותחת"),"מפותחת",IF((--($U630="דל"))+(--($V630="אינו מפותח"))+(--($W630="דלה"))&gt;=2,"אינה מפותחת","חלקית"))))</f>
        <v/>
      </c>
      <c r="AA630" s="32">
        <f>IF($C630="","",IF(COUNTA($M630,$N630,$O630)&lt;3,"— חסרים נתונים",IF(OR($M630="נמוכה",(--($M630&lt;&gt;"תקינה"))+(--($N630&lt;&gt;"תקין"))+(--($O630&lt;&gt;"תקינה"))&gt;=2),"ניכרת","אינה ניכרת")))</f>
        <v/>
      </c>
      <c r="AB630" s="32">
        <f>IF(OR($C630="",$Y630="",$AA630="",LEFT($Y630,1)="—",LEFT($AA630,1)="—"),"",IF($Z630="","— נדרשת הערכת כתיבה",IF($L630="","— חסרה הבנת הנקרא",IF($Y630="אינה מדויקת או מקוטעת",IF($AA630="ניכרת","מיקוד בשטף הקריאה ובכישורי שפה","מיקוד בשטף קריאה"),IF($AA630="ניכרת","מיקוד בכישורי שפה",IF(AND($L630="תקינה",$Z630="מפותחת"),"קוראים וכותבים מיומנים","מיקוד בהבנה והבעה"))))))</f>
        <v/>
      </c>
      <c r="AC630" s="32">
        <f>IF(OR($AB630="",LEFT($AB630,1)="—"),"",IF(OR($AB630="מיקוד בשטף קריאה",$AB630="מיקוד בשטף הקריאה ובכישורי שפה"),"רמה א'",IF($AB630="קוראים וכותבים מיומנים","רמה ג'","רמה ב'")))</f>
        <v/>
      </c>
      <c r="AD630" s="32">
        <f>IF($AC630="","",MID(IF(AND($AC630="רמה א'",$AA630="ניכרת"),"; להוסיף עבודת אוצר מילים","")&amp;IF($Z630="אינה מפותחת","; דגש על הבעה בכתב","")&amp;IF($K630&lt;&gt;"תקין","; נדרש לעבוד על ההנגנה","")&amp;IF($AK630&lt;&gt;"","; "&amp;$AK630,""),3,400))</f>
        <v/>
      </c>
      <c r="AE630" s="32">
        <f>IF($F630="","",IF($F630="תחילת שנה",1,IF($F630="מחצית שנה",2,3)))</f>
        <v/>
      </c>
      <c r="AF630" s="32">
        <f>IF(OR($B630="",$AC630="",$A630="",$F630=""),"",$B630&amp;"|"&amp;$A630&amp;"|"&amp;$F630&amp;"|"&amp;$AC630&amp;"|"&amp;COUNTIFS($B$6:$B630,$B630,$A$6:$A630,$A630,$F$6:$F630,$F630,$AC$6:$AC630,$AC630))</f>
        <v/>
      </c>
      <c r="AG630" s="32">
        <f>IF($C630="","",$C630&amp;"|"&amp;COUNTIFS($C$6:$C630,$C630))</f>
        <v/>
      </c>
      <c r="AH630" s="32">
        <f>IF(OR($C630="",$A630="",$AE630=""),"",$C630&amp;"|"&amp;$A630&amp;"|"&amp;$AE630)</f>
        <v/>
      </c>
      <c r="AI630" s="32">
        <f>IF(OR($C630="",$AE630="",$AE630=1),"",IFERROR(INDEX($AC$6:$AC$1505,MATCH($C630&amp;"|"&amp;$A630&amp;"|"&amp;($AE630-1),$AH$6:$AH$1505,0)),""))</f>
        <v/>
      </c>
      <c r="AJ630" s="32">
        <f>IF(OR($AI630="",$AC630=""),"",IF($AI630=$AC630,"ללא שינוי","מ-"&amp;$AI630&amp;" ל-"&amp;$AC630))</f>
        <v/>
      </c>
      <c r="AK630" s="67" t="n"/>
    </row>
    <row r="631" ht="15.75" customHeight="1" s="58">
      <c r="A631" s="65" t="n"/>
      <c r="B631" s="65" t="n"/>
      <c r="C631" s="66" t="n"/>
      <c r="D631" s="66" t="n"/>
      <c r="E631" s="65" t="n"/>
      <c r="F631" s="65" t="n"/>
      <c r="G631" s="65" t="n"/>
      <c r="H631" s="65" t="n"/>
      <c r="I631" s="65" t="n"/>
      <c r="J631" s="65" t="n"/>
      <c r="K631" s="65" t="n"/>
      <c r="L631" s="65" t="n"/>
      <c r="M631" s="65" t="n"/>
      <c r="N631" s="65" t="n"/>
      <c r="O631" s="65" t="n"/>
      <c r="P631" s="65" t="n"/>
      <c r="Q631" s="65" t="n"/>
      <c r="R631" s="65" t="n"/>
      <c r="S631" s="65" t="n"/>
      <c r="T631" s="65" t="n"/>
      <c r="U631" s="65" t="n"/>
      <c r="V631" s="65" t="n"/>
      <c r="W631" s="65" t="n"/>
      <c r="X631" s="65" t="n"/>
      <c r="Y631" s="32">
        <f>IF($C631="","",IF(COUNTA($I631:$K631)&lt;3,"— חסרים נתונים",IF(AND($I631="תקין",$J631="תקין",$K631="תקין"),"רהוטה",IF(AND($I631="תקין",$J631="תקין"),"מדויקת ורציפה","אינה מדויקת או מקוטעת"))))</f>
        <v/>
      </c>
      <c r="Z631" s="32">
        <f>IF($C631="","",IF(COUNTA($U631:$W631)&lt;3,"",IF(AND($U631="מפותח",$V631="מפותח",$W631="מפותחת"),"מפותחת",IF((--($U631="דל"))+(--($V631="אינו מפותח"))+(--($W631="דלה"))&gt;=2,"אינה מפותחת","חלקית"))))</f>
        <v/>
      </c>
      <c r="AA631" s="32">
        <f>IF($C631="","",IF(COUNTA($M631,$N631,$O631)&lt;3,"— חסרים נתונים",IF(OR($M631="נמוכה",(--($M631&lt;&gt;"תקינה"))+(--($N631&lt;&gt;"תקין"))+(--($O631&lt;&gt;"תקינה"))&gt;=2),"ניכרת","אינה ניכרת")))</f>
        <v/>
      </c>
      <c r="AB631" s="32">
        <f>IF(OR($C631="",$Y631="",$AA631="",LEFT($Y631,1)="—",LEFT($AA631,1)="—"),"",IF($Z631="","— נדרשת הערכת כתיבה",IF($L631="","— חסרה הבנת הנקרא",IF($Y631="אינה מדויקת או מקוטעת",IF($AA631="ניכרת","מיקוד בשטף הקריאה ובכישורי שפה","מיקוד בשטף קריאה"),IF($AA631="ניכרת","מיקוד בכישורי שפה",IF(AND($L631="תקינה",$Z631="מפותחת"),"קוראים וכותבים מיומנים","מיקוד בהבנה והבעה"))))))</f>
        <v/>
      </c>
      <c r="AC631" s="32">
        <f>IF(OR($AB631="",LEFT($AB631,1)="—"),"",IF(OR($AB631="מיקוד בשטף קריאה",$AB631="מיקוד בשטף הקריאה ובכישורי שפה"),"רמה א'",IF($AB631="קוראים וכותבים מיומנים","רמה ג'","רמה ב'")))</f>
        <v/>
      </c>
      <c r="AD631" s="32">
        <f>IF($AC631="","",MID(IF(AND($AC631="רמה א'",$AA631="ניכרת"),"; להוסיף עבודת אוצר מילים","")&amp;IF($Z631="אינה מפותחת","; דגש על הבעה בכתב","")&amp;IF($K631&lt;&gt;"תקין","; נדרש לעבוד על ההנגנה","")&amp;IF($AK631&lt;&gt;"","; "&amp;$AK631,""),3,400))</f>
        <v/>
      </c>
      <c r="AE631" s="32">
        <f>IF($F631="","",IF($F631="תחילת שנה",1,IF($F631="מחצית שנה",2,3)))</f>
        <v/>
      </c>
      <c r="AF631" s="32">
        <f>IF(OR($B631="",$AC631="",$A631="",$F631=""),"",$B631&amp;"|"&amp;$A631&amp;"|"&amp;$F631&amp;"|"&amp;$AC631&amp;"|"&amp;COUNTIFS($B$6:$B631,$B631,$A$6:$A631,$A631,$F$6:$F631,$F631,$AC$6:$AC631,$AC631))</f>
        <v/>
      </c>
      <c r="AG631" s="32">
        <f>IF($C631="","",$C631&amp;"|"&amp;COUNTIFS($C$6:$C631,$C631))</f>
        <v/>
      </c>
      <c r="AH631" s="32">
        <f>IF(OR($C631="",$A631="",$AE631=""),"",$C631&amp;"|"&amp;$A631&amp;"|"&amp;$AE631)</f>
        <v/>
      </c>
      <c r="AI631" s="32">
        <f>IF(OR($C631="",$AE631="",$AE631=1),"",IFERROR(INDEX($AC$6:$AC$1505,MATCH($C631&amp;"|"&amp;$A631&amp;"|"&amp;($AE631-1),$AH$6:$AH$1505,0)),""))</f>
        <v/>
      </c>
      <c r="AJ631" s="32">
        <f>IF(OR($AI631="",$AC631=""),"",IF($AI631=$AC631,"ללא שינוי","מ-"&amp;$AI631&amp;" ל-"&amp;$AC631))</f>
        <v/>
      </c>
      <c r="AK631" s="67" t="n"/>
    </row>
    <row r="632" ht="15.75" customHeight="1" s="58">
      <c r="A632" s="65" t="n"/>
      <c r="B632" s="65" t="n"/>
      <c r="C632" s="66" t="n"/>
      <c r="D632" s="66" t="n"/>
      <c r="E632" s="65" t="n"/>
      <c r="F632" s="65" t="n"/>
      <c r="G632" s="65" t="n"/>
      <c r="H632" s="65" t="n"/>
      <c r="I632" s="65" t="n"/>
      <c r="J632" s="65" t="n"/>
      <c r="K632" s="65" t="n"/>
      <c r="L632" s="65" t="n"/>
      <c r="M632" s="65" t="n"/>
      <c r="N632" s="65" t="n"/>
      <c r="O632" s="65" t="n"/>
      <c r="P632" s="65" t="n"/>
      <c r="Q632" s="65" t="n"/>
      <c r="R632" s="65" t="n"/>
      <c r="S632" s="65" t="n"/>
      <c r="T632" s="65" t="n"/>
      <c r="U632" s="65" t="n"/>
      <c r="V632" s="65" t="n"/>
      <c r="W632" s="65" t="n"/>
      <c r="X632" s="65" t="n"/>
      <c r="Y632" s="32">
        <f>IF($C632="","",IF(COUNTA($I632:$K632)&lt;3,"— חסרים נתונים",IF(AND($I632="תקין",$J632="תקין",$K632="תקין"),"רהוטה",IF(AND($I632="תקין",$J632="תקין"),"מדויקת ורציפה","אינה מדויקת או מקוטעת"))))</f>
        <v/>
      </c>
      <c r="Z632" s="32">
        <f>IF($C632="","",IF(COUNTA($U632:$W632)&lt;3,"",IF(AND($U632="מפותח",$V632="מפותח",$W632="מפותחת"),"מפותחת",IF((--($U632="דל"))+(--($V632="אינו מפותח"))+(--($W632="דלה"))&gt;=2,"אינה מפותחת","חלקית"))))</f>
        <v/>
      </c>
      <c r="AA632" s="32">
        <f>IF($C632="","",IF(COUNTA($M632,$N632,$O632)&lt;3,"— חסרים נתונים",IF(OR($M632="נמוכה",(--($M632&lt;&gt;"תקינה"))+(--($N632&lt;&gt;"תקין"))+(--($O632&lt;&gt;"תקינה"))&gt;=2),"ניכרת","אינה ניכרת")))</f>
        <v/>
      </c>
      <c r="AB632" s="32">
        <f>IF(OR($C632="",$Y632="",$AA632="",LEFT($Y632,1)="—",LEFT($AA632,1)="—"),"",IF($Z632="","— נדרשת הערכת כתיבה",IF($L632="","— חסרה הבנת הנקרא",IF($Y632="אינה מדויקת או מקוטעת",IF($AA632="ניכרת","מיקוד בשטף הקריאה ובכישורי שפה","מיקוד בשטף קריאה"),IF($AA632="ניכרת","מיקוד בכישורי שפה",IF(AND($L632="תקינה",$Z632="מפותחת"),"קוראים וכותבים מיומנים","מיקוד בהבנה והבעה"))))))</f>
        <v/>
      </c>
      <c r="AC632" s="32">
        <f>IF(OR($AB632="",LEFT($AB632,1)="—"),"",IF(OR($AB632="מיקוד בשטף קריאה",$AB632="מיקוד בשטף הקריאה ובכישורי שפה"),"רמה א'",IF($AB632="קוראים וכותבים מיומנים","רמה ג'","רמה ב'")))</f>
        <v/>
      </c>
      <c r="AD632" s="32">
        <f>IF($AC632="","",MID(IF(AND($AC632="רמה א'",$AA632="ניכרת"),"; להוסיף עבודת אוצר מילים","")&amp;IF($Z632="אינה מפותחת","; דגש על הבעה בכתב","")&amp;IF($K632&lt;&gt;"תקין","; נדרש לעבוד על ההנגנה","")&amp;IF($AK632&lt;&gt;"","; "&amp;$AK632,""),3,400))</f>
        <v/>
      </c>
      <c r="AE632" s="32">
        <f>IF($F632="","",IF($F632="תחילת שנה",1,IF($F632="מחצית שנה",2,3)))</f>
        <v/>
      </c>
      <c r="AF632" s="32">
        <f>IF(OR($B632="",$AC632="",$A632="",$F632=""),"",$B632&amp;"|"&amp;$A632&amp;"|"&amp;$F632&amp;"|"&amp;$AC632&amp;"|"&amp;COUNTIFS($B$6:$B632,$B632,$A$6:$A632,$A632,$F$6:$F632,$F632,$AC$6:$AC632,$AC632))</f>
        <v/>
      </c>
      <c r="AG632" s="32">
        <f>IF($C632="","",$C632&amp;"|"&amp;COUNTIFS($C$6:$C632,$C632))</f>
        <v/>
      </c>
      <c r="AH632" s="32">
        <f>IF(OR($C632="",$A632="",$AE632=""),"",$C632&amp;"|"&amp;$A632&amp;"|"&amp;$AE632)</f>
        <v/>
      </c>
      <c r="AI632" s="32">
        <f>IF(OR($C632="",$AE632="",$AE632=1),"",IFERROR(INDEX($AC$6:$AC$1505,MATCH($C632&amp;"|"&amp;$A632&amp;"|"&amp;($AE632-1),$AH$6:$AH$1505,0)),""))</f>
        <v/>
      </c>
      <c r="AJ632" s="32">
        <f>IF(OR($AI632="",$AC632=""),"",IF($AI632=$AC632,"ללא שינוי","מ-"&amp;$AI632&amp;" ל-"&amp;$AC632))</f>
        <v/>
      </c>
      <c r="AK632" s="67" t="n"/>
    </row>
    <row r="633" ht="15.75" customHeight="1" s="58">
      <c r="A633" s="65" t="n"/>
      <c r="B633" s="65" t="n"/>
      <c r="C633" s="66" t="n"/>
      <c r="D633" s="66" t="n"/>
      <c r="E633" s="65" t="n"/>
      <c r="F633" s="65" t="n"/>
      <c r="G633" s="65" t="n"/>
      <c r="H633" s="65" t="n"/>
      <c r="I633" s="65" t="n"/>
      <c r="J633" s="65" t="n"/>
      <c r="K633" s="65" t="n"/>
      <c r="L633" s="65" t="n"/>
      <c r="M633" s="65" t="n"/>
      <c r="N633" s="65" t="n"/>
      <c r="O633" s="65" t="n"/>
      <c r="P633" s="65" t="n"/>
      <c r="Q633" s="65" t="n"/>
      <c r="R633" s="65" t="n"/>
      <c r="S633" s="65" t="n"/>
      <c r="T633" s="65" t="n"/>
      <c r="U633" s="65" t="n"/>
      <c r="V633" s="65" t="n"/>
      <c r="W633" s="65" t="n"/>
      <c r="X633" s="65" t="n"/>
      <c r="Y633" s="32">
        <f>IF($C633="","",IF(COUNTA($I633:$K633)&lt;3,"— חסרים נתונים",IF(AND($I633="תקין",$J633="תקין",$K633="תקין"),"רהוטה",IF(AND($I633="תקין",$J633="תקין"),"מדויקת ורציפה","אינה מדויקת או מקוטעת"))))</f>
        <v/>
      </c>
      <c r="Z633" s="32">
        <f>IF($C633="","",IF(COUNTA($U633:$W633)&lt;3,"",IF(AND($U633="מפותח",$V633="מפותח",$W633="מפותחת"),"מפותחת",IF((--($U633="דל"))+(--($V633="אינו מפותח"))+(--($W633="דלה"))&gt;=2,"אינה מפותחת","חלקית"))))</f>
        <v/>
      </c>
      <c r="AA633" s="32">
        <f>IF($C633="","",IF(COUNTA($M633,$N633,$O633)&lt;3,"— חסרים נתונים",IF(OR($M633="נמוכה",(--($M633&lt;&gt;"תקינה"))+(--($N633&lt;&gt;"תקין"))+(--($O633&lt;&gt;"תקינה"))&gt;=2),"ניכרת","אינה ניכרת")))</f>
        <v/>
      </c>
      <c r="AB633" s="32">
        <f>IF(OR($C633="",$Y633="",$AA633="",LEFT($Y633,1)="—",LEFT($AA633,1)="—"),"",IF($Z633="","— נדרשת הערכת כתיבה",IF($L633="","— חסרה הבנת הנקרא",IF($Y633="אינה מדויקת או מקוטעת",IF($AA633="ניכרת","מיקוד בשטף הקריאה ובכישורי שפה","מיקוד בשטף קריאה"),IF($AA633="ניכרת","מיקוד בכישורי שפה",IF(AND($L633="תקינה",$Z633="מפותחת"),"קוראים וכותבים מיומנים","מיקוד בהבנה והבעה"))))))</f>
        <v/>
      </c>
      <c r="AC633" s="32">
        <f>IF(OR($AB633="",LEFT($AB633,1)="—"),"",IF(OR($AB633="מיקוד בשטף קריאה",$AB633="מיקוד בשטף הקריאה ובכישורי שפה"),"רמה א'",IF($AB633="קוראים וכותבים מיומנים","רמה ג'","רמה ב'")))</f>
        <v/>
      </c>
      <c r="AD633" s="32">
        <f>IF($AC633="","",MID(IF(AND($AC633="רמה א'",$AA633="ניכרת"),"; להוסיף עבודת אוצר מילים","")&amp;IF($Z633="אינה מפותחת","; דגש על הבעה בכתב","")&amp;IF($K633&lt;&gt;"תקין","; נדרש לעבוד על ההנגנה","")&amp;IF($AK633&lt;&gt;"","; "&amp;$AK633,""),3,400))</f>
        <v/>
      </c>
      <c r="AE633" s="32">
        <f>IF($F633="","",IF($F633="תחילת שנה",1,IF($F633="מחצית שנה",2,3)))</f>
        <v/>
      </c>
      <c r="AF633" s="32">
        <f>IF(OR($B633="",$AC633="",$A633="",$F633=""),"",$B633&amp;"|"&amp;$A633&amp;"|"&amp;$F633&amp;"|"&amp;$AC633&amp;"|"&amp;COUNTIFS($B$6:$B633,$B633,$A$6:$A633,$A633,$F$6:$F633,$F633,$AC$6:$AC633,$AC633))</f>
        <v/>
      </c>
      <c r="AG633" s="32">
        <f>IF($C633="","",$C633&amp;"|"&amp;COUNTIFS($C$6:$C633,$C633))</f>
        <v/>
      </c>
      <c r="AH633" s="32">
        <f>IF(OR($C633="",$A633="",$AE633=""),"",$C633&amp;"|"&amp;$A633&amp;"|"&amp;$AE633)</f>
        <v/>
      </c>
      <c r="AI633" s="32">
        <f>IF(OR($C633="",$AE633="",$AE633=1),"",IFERROR(INDEX($AC$6:$AC$1505,MATCH($C633&amp;"|"&amp;$A633&amp;"|"&amp;($AE633-1),$AH$6:$AH$1505,0)),""))</f>
        <v/>
      </c>
      <c r="AJ633" s="32">
        <f>IF(OR($AI633="",$AC633=""),"",IF($AI633=$AC633,"ללא שינוי","מ-"&amp;$AI633&amp;" ל-"&amp;$AC633))</f>
        <v/>
      </c>
      <c r="AK633" s="67" t="n"/>
    </row>
    <row r="634" ht="15.75" customHeight="1" s="58">
      <c r="A634" s="65" t="n"/>
      <c r="B634" s="65" t="n"/>
      <c r="C634" s="66" t="n"/>
      <c r="D634" s="66" t="n"/>
      <c r="E634" s="65" t="n"/>
      <c r="F634" s="65" t="n"/>
      <c r="G634" s="65" t="n"/>
      <c r="H634" s="65" t="n"/>
      <c r="I634" s="65" t="n"/>
      <c r="J634" s="65" t="n"/>
      <c r="K634" s="65" t="n"/>
      <c r="L634" s="65" t="n"/>
      <c r="M634" s="65" t="n"/>
      <c r="N634" s="65" t="n"/>
      <c r="O634" s="65" t="n"/>
      <c r="P634" s="65" t="n"/>
      <c r="Q634" s="65" t="n"/>
      <c r="R634" s="65" t="n"/>
      <c r="S634" s="65" t="n"/>
      <c r="T634" s="65" t="n"/>
      <c r="U634" s="65" t="n"/>
      <c r="V634" s="65" t="n"/>
      <c r="W634" s="65" t="n"/>
      <c r="X634" s="65" t="n"/>
      <c r="Y634" s="32">
        <f>IF($C634="","",IF(COUNTA($I634:$K634)&lt;3,"— חסרים נתונים",IF(AND($I634="תקין",$J634="תקין",$K634="תקין"),"רהוטה",IF(AND($I634="תקין",$J634="תקין"),"מדויקת ורציפה","אינה מדויקת או מקוטעת"))))</f>
        <v/>
      </c>
      <c r="Z634" s="32">
        <f>IF($C634="","",IF(COUNTA($U634:$W634)&lt;3,"",IF(AND($U634="מפותח",$V634="מפותח",$W634="מפותחת"),"מפותחת",IF((--($U634="דל"))+(--($V634="אינו מפותח"))+(--($W634="דלה"))&gt;=2,"אינה מפותחת","חלקית"))))</f>
        <v/>
      </c>
      <c r="AA634" s="32">
        <f>IF($C634="","",IF(COUNTA($M634,$N634,$O634)&lt;3,"— חסרים נתונים",IF(OR($M634="נמוכה",(--($M634&lt;&gt;"תקינה"))+(--($N634&lt;&gt;"תקין"))+(--($O634&lt;&gt;"תקינה"))&gt;=2),"ניכרת","אינה ניכרת")))</f>
        <v/>
      </c>
      <c r="AB634" s="32">
        <f>IF(OR($C634="",$Y634="",$AA634="",LEFT($Y634,1)="—",LEFT($AA634,1)="—"),"",IF($Z634="","— נדרשת הערכת כתיבה",IF($L634="","— חסרה הבנת הנקרא",IF($Y634="אינה מדויקת או מקוטעת",IF($AA634="ניכרת","מיקוד בשטף הקריאה ובכישורי שפה","מיקוד בשטף קריאה"),IF($AA634="ניכרת","מיקוד בכישורי שפה",IF(AND($L634="תקינה",$Z634="מפותחת"),"קוראים וכותבים מיומנים","מיקוד בהבנה והבעה"))))))</f>
        <v/>
      </c>
      <c r="AC634" s="32">
        <f>IF(OR($AB634="",LEFT($AB634,1)="—"),"",IF(OR($AB634="מיקוד בשטף קריאה",$AB634="מיקוד בשטף הקריאה ובכישורי שפה"),"רמה א'",IF($AB634="קוראים וכותבים מיומנים","רמה ג'","רמה ב'")))</f>
        <v/>
      </c>
      <c r="AD634" s="32">
        <f>IF($AC634="","",MID(IF(AND($AC634="רמה א'",$AA634="ניכרת"),"; להוסיף עבודת אוצר מילים","")&amp;IF($Z634="אינה מפותחת","; דגש על הבעה בכתב","")&amp;IF($K634&lt;&gt;"תקין","; נדרש לעבוד על ההנגנה","")&amp;IF($AK634&lt;&gt;"","; "&amp;$AK634,""),3,400))</f>
        <v/>
      </c>
      <c r="AE634" s="32">
        <f>IF($F634="","",IF($F634="תחילת שנה",1,IF($F634="מחצית שנה",2,3)))</f>
        <v/>
      </c>
      <c r="AF634" s="32">
        <f>IF(OR($B634="",$AC634="",$A634="",$F634=""),"",$B634&amp;"|"&amp;$A634&amp;"|"&amp;$F634&amp;"|"&amp;$AC634&amp;"|"&amp;COUNTIFS($B$6:$B634,$B634,$A$6:$A634,$A634,$F$6:$F634,$F634,$AC$6:$AC634,$AC634))</f>
        <v/>
      </c>
      <c r="AG634" s="32">
        <f>IF($C634="","",$C634&amp;"|"&amp;COUNTIFS($C$6:$C634,$C634))</f>
        <v/>
      </c>
      <c r="AH634" s="32">
        <f>IF(OR($C634="",$A634="",$AE634=""),"",$C634&amp;"|"&amp;$A634&amp;"|"&amp;$AE634)</f>
        <v/>
      </c>
      <c r="AI634" s="32">
        <f>IF(OR($C634="",$AE634="",$AE634=1),"",IFERROR(INDEX($AC$6:$AC$1505,MATCH($C634&amp;"|"&amp;$A634&amp;"|"&amp;($AE634-1),$AH$6:$AH$1505,0)),""))</f>
        <v/>
      </c>
      <c r="AJ634" s="32">
        <f>IF(OR($AI634="",$AC634=""),"",IF($AI634=$AC634,"ללא שינוי","מ-"&amp;$AI634&amp;" ל-"&amp;$AC634))</f>
        <v/>
      </c>
      <c r="AK634" s="67" t="n"/>
    </row>
    <row r="635" ht="15.75" customHeight="1" s="58">
      <c r="A635" s="65" t="n"/>
      <c r="B635" s="65" t="n"/>
      <c r="C635" s="66" t="n"/>
      <c r="D635" s="66" t="n"/>
      <c r="E635" s="65" t="n"/>
      <c r="F635" s="65" t="n"/>
      <c r="G635" s="65" t="n"/>
      <c r="H635" s="65" t="n"/>
      <c r="I635" s="65" t="n"/>
      <c r="J635" s="65" t="n"/>
      <c r="K635" s="65" t="n"/>
      <c r="L635" s="65" t="n"/>
      <c r="M635" s="65" t="n"/>
      <c r="N635" s="65" t="n"/>
      <c r="O635" s="65" t="n"/>
      <c r="P635" s="65" t="n"/>
      <c r="Q635" s="65" t="n"/>
      <c r="R635" s="65" t="n"/>
      <c r="S635" s="65" t="n"/>
      <c r="T635" s="65" t="n"/>
      <c r="U635" s="65" t="n"/>
      <c r="V635" s="65" t="n"/>
      <c r="W635" s="65" t="n"/>
      <c r="X635" s="65" t="n"/>
      <c r="Y635" s="32">
        <f>IF($C635="","",IF(COUNTA($I635:$K635)&lt;3,"— חסרים נתונים",IF(AND($I635="תקין",$J635="תקין",$K635="תקין"),"רהוטה",IF(AND($I635="תקין",$J635="תקין"),"מדויקת ורציפה","אינה מדויקת או מקוטעת"))))</f>
        <v/>
      </c>
      <c r="Z635" s="32">
        <f>IF($C635="","",IF(COUNTA($U635:$W635)&lt;3,"",IF(AND($U635="מפותח",$V635="מפותח",$W635="מפותחת"),"מפותחת",IF((--($U635="דל"))+(--($V635="אינו מפותח"))+(--($W635="דלה"))&gt;=2,"אינה מפותחת","חלקית"))))</f>
        <v/>
      </c>
      <c r="AA635" s="32">
        <f>IF($C635="","",IF(COUNTA($M635,$N635,$O635)&lt;3,"— חסרים נתונים",IF(OR($M635="נמוכה",(--($M635&lt;&gt;"תקינה"))+(--($N635&lt;&gt;"תקין"))+(--($O635&lt;&gt;"תקינה"))&gt;=2),"ניכרת","אינה ניכרת")))</f>
        <v/>
      </c>
      <c r="AB635" s="32">
        <f>IF(OR($C635="",$Y635="",$AA635="",LEFT($Y635,1)="—",LEFT($AA635,1)="—"),"",IF($Z635="","— נדרשת הערכת כתיבה",IF($L635="","— חסרה הבנת הנקרא",IF($Y635="אינה מדויקת או מקוטעת",IF($AA635="ניכרת","מיקוד בשטף הקריאה ובכישורי שפה","מיקוד בשטף קריאה"),IF($AA635="ניכרת","מיקוד בכישורי שפה",IF(AND($L635="תקינה",$Z635="מפותחת"),"קוראים וכותבים מיומנים","מיקוד בהבנה והבעה"))))))</f>
        <v/>
      </c>
      <c r="AC635" s="32">
        <f>IF(OR($AB635="",LEFT($AB635,1)="—"),"",IF(OR($AB635="מיקוד בשטף קריאה",$AB635="מיקוד בשטף הקריאה ובכישורי שפה"),"רמה א'",IF($AB635="קוראים וכותבים מיומנים","רמה ג'","רמה ב'")))</f>
        <v/>
      </c>
      <c r="AD635" s="32">
        <f>IF($AC635="","",MID(IF(AND($AC635="רמה א'",$AA635="ניכרת"),"; להוסיף עבודת אוצר מילים","")&amp;IF($Z635="אינה מפותחת","; דגש על הבעה בכתב","")&amp;IF($K635&lt;&gt;"תקין","; נדרש לעבוד על ההנגנה","")&amp;IF($AK635&lt;&gt;"","; "&amp;$AK635,""),3,400))</f>
        <v/>
      </c>
      <c r="AE635" s="32">
        <f>IF($F635="","",IF($F635="תחילת שנה",1,IF($F635="מחצית שנה",2,3)))</f>
        <v/>
      </c>
      <c r="AF635" s="32">
        <f>IF(OR($B635="",$AC635="",$A635="",$F635=""),"",$B635&amp;"|"&amp;$A635&amp;"|"&amp;$F635&amp;"|"&amp;$AC635&amp;"|"&amp;COUNTIFS($B$6:$B635,$B635,$A$6:$A635,$A635,$F$6:$F635,$F635,$AC$6:$AC635,$AC635))</f>
        <v/>
      </c>
      <c r="AG635" s="32">
        <f>IF($C635="","",$C635&amp;"|"&amp;COUNTIFS($C$6:$C635,$C635))</f>
        <v/>
      </c>
      <c r="AH635" s="32">
        <f>IF(OR($C635="",$A635="",$AE635=""),"",$C635&amp;"|"&amp;$A635&amp;"|"&amp;$AE635)</f>
        <v/>
      </c>
      <c r="AI635" s="32">
        <f>IF(OR($C635="",$AE635="",$AE635=1),"",IFERROR(INDEX($AC$6:$AC$1505,MATCH($C635&amp;"|"&amp;$A635&amp;"|"&amp;($AE635-1),$AH$6:$AH$1505,0)),""))</f>
        <v/>
      </c>
      <c r="AJ635" s="32">
        <f>IF(OR($AI635="",$AC635=""),"",IF($AI635=$AC635,"ללא שינוי","מ-"&amp;$AI635&amp;" ל-"&amp;$AC635))</f>
        <v/>
      </c>
      <c r="AK635" s="67" t="n"/>
    </row>
    <row r="636" ht="15.75" customHeight="1" s="58">
      <c r="A636" s="65" t="n"/>
      <c r="B636" s="65" t="n"/>
      <c r="C636" s="66" t="n"/>
      <c r="D636" s="66" t="n"/>
      <c r="E636" s="65" t="n"/>
      <c r="F636" s="65" t="n"/>
      <c r="G636" s="65" t="n"/>
      <c r="H636" s="65" t="n"/>
      <c r="I636" s="65" t="n"/>
      <c r="J636" s="65" t="n"/>
      <c r="K636" s="65" t="n"/>
      <c r="L636" s="65" t="n"/>
      <c r="M636" s="65" t="n"/>
      <c r="N636" s="65" t="n"/>
      <c r="O636" s="65" t="n"/>
      <c r="P636" s="65" t="n"/>
      <c r="Q636" s="65" t="n"/>
      <c r="R636" s="65" t="n"/>
      <c r="S636" s="65" t="n"/>
      <c r="T636" s="65" t="n"/>
      <c r="U636" s="65" t="n"/>
      <c r="V636" s="65" t="n"/>
      <c r="W636" s="65" t="n"/>
      <c r="X636" s="65" t="n"/>
      <c r="Y636" s="32">
        <f>IF($C636="","",IF(COUNTA($I636:$K636)&lt;3,"— חסרים נתונים",IF(AND($I636="תקין",$J636="תקין",$K636="תקין"),"רהוטה",IF(AND($I636="תקין",$J636="תקין"),"מדויקת ורציפה","אינה מדויקת או מקוטעת"))))</f>
        <v/>
      </c>
      <c r="Z636" s="32">
        <f>IF($C636="","",IF(COUNTA($U636:$W636)&lt;3,"",IF(AND($U636="מפותח",$V636="מפותח",$W636="מפותחת"),"מפותחת",IF((--($U636="דל"))+(--($V636="אינו מפותח"))+(--($W636="דלה"))&gt;=2,"אינה מפותחת","חלקית"))))</f>
        <v/>
      </c>
      <c r="AA636" s="32">
        <f>IF($C636="","",IF(COUNTA($M636,$N636,$O636)&lt;3,"— חסרים נתונים",IF(OR($M636="נמוכה",(--($M636&lt;&gt;"תקינה"))+(--($N636&lt;&gt;"תקין"))+(--($O636&lt;&gt;"תקינה"))&gt;=2),"ניכרת","אינה ניכרת")))</f>
        <v/>
      </c>
      <c r="AB636" s="32">
        <f>IF(OR($C636="",$Y636="",$AA636="",LEFT($Y636,1)="—",LEFT($AA636,1)="—"),"",IF($Z636="","— נדרשת הערכת כתיבה",IF($L636="","— חסרה הבנת הנקרא",IF($Y636="אינה מדויקת או מקוטעת",IF($AA636="ניכרת","מיקוד בשטף הקריאה ובכישורי שפה","מיקוד בשטף קריאה"),IF($AA636="ניכרת","מיקוד בכישורי שפה",IF(AND($L636="תקינה",$Z636="מפותחת"),"קוראים וכותבים מיומנים","מיקוד בהבנה והבעה"))))))</f>
        <v/>
      </c>
      <c r="AC636" s="32">
        <f>IF(OR($AB636="",LEFT($AB636,1)="—"),"",IF(OR($AB636="מיקוד בשטף קריאה",$AB636="מיקוד בשטף הקריאה ובכישורי שפה"),"רמה א'",IF($AB636="קוראים וכותבים מיומנים","רמה ג'","רמה ב'")))</f>
        <v/>
      </c>
      <c r="AD636" s="32">
        <f>IF($AC636="","",MID(IF(AND($AC636="רמה א'",$AA636="ניכרת"),"; להוסיף עבודת אוצר מילים","")&amp;IF($Z636="אינה מפותחת","; דגש על הבעה בכתב","")&amp;IF($K636&lt;&gt;"תקין","; נדרש לעבוד על ההנגנה","")&amp;IF($AK636&lt;&gt;"","; "&amp;$AK636,""),3,400))</f>
        <v/>
      </c>
      <c r="AE636" s="32">
        <f>IF($F636="","",IF($F636="תחילת שנה",1,IF($F636="מחצית שנה",2,3)))</f>
        <v/>
      </c>
      <c r="AF636" s="32">
        <f>IF(OR($B636="",$AC636="",$A636="",$F636=""),"",$B636&amp;"|"&amp;$A636&amp;"|"&amp;$F636&amp;"|"&amp;$AC636&amp;"|"&amp;COUNTIFS($B$6:$B636,$B636,$A$6:$A636,$A636,$F$6:$F636,$F636,$AC$6:$AC636,$AC636))</f>
        <v/>
      </c>
      <c r="AG636" s="32">
        <f>IF($C636="","",$C636&amp;"|"&amp;COUNTIFS($C$6:$C636,$C636))</f>
        <v/>
      </c>
      <c r="AH636" s="32">
        <f>IF(OR($C636="",$A636="",$AE636=""),"",$C636&amp;"|"&amp;$A636&amp;"|"&amp;$AE636)</f>
        <v/>
      </c>
      <c r="AI636" s="32">
        <f>IF(OR($C636="",$AE636="",$AE636=1),"",IFERROR(INDEX($AC$6:$AC$1505,MATCH($C636&amp;"|"&amp;$A636&amp;"|"&amp;($AE636-1),$AH$6:$AH$1505,0)),""))</f>
        <v/>
      </c>
      <c r="AJ636" s="32">
        <f>IF(OR($AI636="",$AC636=""),"",IF($AI636=$AC636,"ללא שינוי","מ-"&amp;$AI636&amp;" ל-"&amp;$AC636))</f>
        <v/>
      </c>
      <c r="AK636" s="67" t="n"/>
    </row>
    <row r="637" ht="15.75" customHeight="1" s="58">
      <c r="A637" s="65" t="n"/>
      <c r="B637" s="65" t="n"/>
      <c r="C637" s="66" t="n"/>
      <c r="D637" s="66" t="n"/>
      <c r="E637" s="65" t="n"/>
      <c r="F637" s="65" t="n"/>
      <c r="G637" s="65" t="n"/>
      <c r="H637" s="65" t="n"/>
      <c r="I637" s="65" t="n"/>
      <c r="J637" s="65" t="n"/>
      <c r="K637" s="65" t="n"/>
      <c r="L637" s="65" t="n"/>
      <c r="M637" s="65" t="n"/>
      <c r="N637" s="65" t="n"/>
      <c r="O637" s="65" t="n"/>
      <c r="P637" s="65" t="n"/>
      <c r="Q637" s="65" t="n"/>
      <c r="R637" s="65" t="n"/>
      <c r="S637" s="65" t="n"/>
      <c r="T637" s="65" t="n"/>
      <c r="U637" s="65" t="n"/>
      <c r="V637" s="65" t="n"/>
      <c r="W637" s="65" t="n"/>
      <c r="X637" s="65" t="n"/>
      <c r="Y637" s="32">
        <f>IF($C637="","",IF(COUNTA($I637:$K637)&lt;3,"— חסרים נתונים",IF(AND($I637="תקין",$J637="תקין",$K637="תקין"),"רהוטה",IF(AND($I637="תקין",$J637="תקין"),"מדויקת ורציפה","אינה מדויקת או מקוטעת"))))</f>
        <v/>
      </c>
      <c r="Z637" s="32">
        <f>IF($C637="","",IF(COUNTA($U637:$W637)&lt;3,"",IF(AND($U637="מפותח",$V637="מפותח",$W637="מפותחת"),"מפותחת",IF((--($U637="דל"))+(--($V637="אינו מפותח"))+(--($W637="דלה"))&gt;=2,"אינה מפותחת","חלקית"))))</f>
        <v/>
      </c>
      <c r="AA637" s="32">
        <f>IF($C637="","",IF(COUNTA($M637,$N637,$O637)&lt;3,"— חסרים נתונים",IF(OR($M637="נמוכה",(--($M637&lt;&gt;"תקינה"))+(--($N637&lt;&gt;"תקין"))+(--($O637&lt;&gt;"תקינה"))&gt;=2),"ניכרת","אינה ניכרת")))</f>
        <v/>
      </c>
      <c r="AB637" s="32">
        <f>IF(OR($C637="",$Y637="",$AA637="",LEFT($Y637,1)="—",LEFT($AA637,1)="—"),"",IF($Z637="","— נדרשת הערכת כתיבה",IF($L637="","— חסרה הבנת הנקרא",IF($Y637="אינה מדויקת או מקוטעת",IF($AA637="ניכרת","מיקוד בשטף הקריאה ובכישורי שפה","מיקוד בשטף קריאה"),IF($AA637="ניכרת","מיקוד בכישורי שפה",IF(AND($L637="תקינה",$Z637="מפותחת"),"קוראים וכותבים מיומנים","מיקוד בהבנה והבעה"))))))</f>
        <v/>
      </c>
      <c r="AC637" s="32">
        <f>IF(OR($AB637="",LEFT($AB637,1)="—"),"",IF(OR($AB637="מיקוד בשטף קריאה",$AB637="מיקוד בשטף הקריאה ובכישורי שפה"),"רמה א'",IF($AB637="קוראים וכותבים מיומנים","רמה ג'","רמה ב'")))</f>
        <v/>
      </c>
      <c r="AD637" s="32">
        <f>IF($AC637="","",MID(IF(AND($AC637="רמה א'",$AA637="ניכרת"),"; להוסיף עבודת אוצר מילים","")&amp;IF($Z637="אינה מפותחת","; דגש על הבעה בכתב","")&amp;IF($K637&lt;&gt;"תקין","; נדרש לעבוד על ההנגנה","")&amp;IF($AK637&lt;&gt;"","; "&amp;$AK637,""),3,400))</f>
        <v/>
      </c>
      <c r="AE637" s="32">
        <f>IF($F637="","",IF($F637="תחילת שנה",1,IF($F637="מחצית שנה",2,3)))</f>
        <v/>
      </c>
      <c r="AF637" s="32">
        <f>IF(OR($B637="",$AC637="",$A637="",$F637=""),"",$B637&amp;"|"&amp;$A637&amp;"|"&amp;$F637&amp;"|"&amp;$AC637&amp;"|"&amp;COUNTIFS($B$6:$B637,$B637,$A$6:$A637,$A637,$F$6:$F637,$F637,$AC$6:$AC637,$AC637))</f>
        <v/>
      </c>
      <c r="AG637" s="32">
        <f>IF($C637="","",$C637&amp;"|"&amp;COUNTIFS($C$6:$C637,$C637))</f>
        <v/>
      </c>
      <c r="AH637" s="32">
        <f>IF(OR($C637="",$A637="",$AE637=""),"",$C637&amp;"|"&amp;$A637&amp;"|"&amp;$AE637)</f>
        <v/>
      </c>
      <c r="AI637" s="32">
        <f>IF(OR($C637="",$AE637="",$AE637=1),"",IFERROR(INDEX($AC$6:$AC$1505,MATCH($C637&amp;"|"&amp;$A637&amp;"|"&amp;($AE637-1),$AH$6:$AH$1505,0)),""))</f>
        <v/>
      </c>
      <c r="AJ637" s="32">
        <f>IF(OR($AI637="",$AC637=""),"",IF($AI637=$AC637,"ללא שינוי","מ-"&amp;$AI637&amp;" ל-"&amp;$AC637))</f>
        <v/>
      </c>
      <c r="AK637" s="67" t="n"/>
    </row>
    <row r="638" ht="15.75" customHeight="1" s="58">
      <c r="A638" s="65" t="n"/>
      <c r="B638" s="65" t="n"/>
      <c r="C638" s="66" t="n"/>
      <c r="D638" s="66" t="n"/>
      <c r="E638" s="65" t="n"/>
      <c r="F638" s="65" t="n"/>
      <c r="G638" s="65" t="n"/>
      <c r="H638" s="65" t="n"/>
      <c r="I638" s="65" t="n"/>
      <c r="J638" s="65" t="n"/>
      <c r="K638" s="65" t="n"/>
      <c r="L638" s="65" t="n"/>
      <c r="M638" s="65" t="n"/>
      <c r="N638" s="65" t="n"/>
      <c r="O638" s="65" t="n"/>
      <c r="P638" s="65" t="n"/>
      <c r="Q638" s="65" t="n"/>
      <c r="R638" s="65" t="n"/>
      <c r="S638" s="65" t="n"/>
      <c r="T638" s="65" t="n"/>
      <c r="U638" s="65" t="n"/>
      <c r="V638" s="65" t="n"/>
      <c r="W638" s="65" t="n"/>
      <c r="X638" s="65" t="n"/>
      <c r="Y638" s="32">
        <f>IF($C638="","",IF(COUNTA($I638:$K638)&lt;3,"— חסרים נתונים",IF(AND($I638="תקין",$J638="תקין",$K638="תקין"),"רהוטה",IF(AND($I638="תקין",$J638="תקין"),"מדויקת ורציפה","אינה מדויקת או מקוטעת"))))</f>
        <v/>
      </c>
      <c r="Z638" s="32">
        <f>IF($C638="","",IF(COUNTA($U638:$W638)&lt;3,"",IF(AND($U638="מפותח",$V638="מפותח",$W638="מפותחת"),"מפותחת",IF((--($U638="דל"))+(--($V638="אינו מפותח"))+(--($W638="דלה"))&gt;=2,"אינה מפותחת","חלקית"))))</f>
        <v/>
      </c>
      <c r="AA638" s="32">
        <f>IF($C638="","",IF(COUNTA($M638,$N638,$O638)&lt;3,"— חסרים נתונים",IF(OR($M638="נמוכה",(--($M638&lt;&gt;"תקינה"))+(--($N638&lt;&gt;"תקין"))+(--($O638&lt;&gt;"תקינה"))&gt;=2),"ניכרת","אינה ניכרת")))</f>
        <v/>
      </c>
      <c r="AB638" s="32">
        <f>IF(OR($C638="",$Y638="",$AA638="",LEFT($Y638,1)="—",LEFT($AA638,1)="—"),"",IF($Z638="","— נדרשת הערכת כתיבה",IF($L638="","— חסרה הבנת הנקרא",IF($Y638="אינה מדויקת או מקוטעת",IF($AA638="ניכרת","מיקוד בשטף הקריאה ובכישורי שפה","מיקוד בשטף קריאה"),IF($AA638="ניכרת","מיקוד בכישורי שפה",IF(AND($L638="תקינה",$Z638="מפותחת"),"קוראים וכותבים מיומנים","מיקוד בהבנה והבעה"))))))</f>
        <v/>
      </c>
      <c r="AC638" s="32">
        <f>IF(OR($AB638="",LEFT($AB638,1)="—"),"",IF(OR($AB638="מיקוד בשטף קריאה",$AB638="מיקוד בשטף הקריאה ובכישורי שפה"),"רמה א'",IF($AB638="קוראים וכותבים מיומנים","רמה ג'","רמה ב'")))</f>
        <v/>
      </c>
      <c r="AD638" s="32">
        <f>IF($AC638="","",MID(IF(AND($AC638="רמה א'",$AA638="ניכרת"),"; להוסיף עבודת אוצר מילים","")&amp;IF($Z638="אינה מפותחת","; דגש על הבעה בכתב","")&amp;IF($K638&lt;&gt;"תקין","; נדרש לעבוד על ההנגנה","")&amp;IF($AK638&lt;&gt;"","; "&amp;$AK638,""),3,400))</f>
        <v/>
      </c>
      <c r="AE638" s="32">
        <f>IF($F638="","",IF($F638="תחילת שנה",1,IF($F638="מחצית שנה",2,3)))</f>
        <v/>
      </c>
      <c r="AF638" s="32">
        <f>IF(OR($B638="",$AC638="",$A638="",$F638=""),"",$B638&amp;"|"&amp;$A638&amp;"|"&amp;$F638&amp;"|"&amp;$AC638&amp;"|"&amp;COUNTIFS($B$6:$B638,$B638,$A$6:$A638,$A638,$F$6:$F638,$F638,$AC$6:$AC638,$AC638))</f>
        <v/>
      </c>
      <c r="AG638" s="32">
        <f>IF($C638="","",$C638&amp;"|"&amp;COUNTIFS($C$6:$C638,$C638))</f>
        <v/>
      </c>
      <c r="AH638" s="32">
        <f>IF(OR($C638="",$A638="",$AE638=""),"",$C638&amp;"|"&amp;$A638&amp;"|"&amp;$AE638)</f>
        <v/>
      </c>
      <c r="AI638" s="32">
        <f>IF(OR($C638="",$AE638="",$AE638=1),"",IFERROR(INDEX($AC$6:$AC$1505,MATCH($C638&amp;"|"&amp;$A638&amp;"|"&amp;($AE638-1),$AH$6:$AH$1505,0)),""))</f>
        <v/>
      </c>
      <c r="AJ638" s="32">
        <f>IF(OR($AI638="",$AC638=""),"",IF($AI638=$AC638,"ללא שינוי","מ-"&amp;$AI638&amp;" ל-"&amp;$AC638))</f>
        <v/>
      </c>
      <c r="AK638" s="67" t="n"/>
    </row>
    <row r="639" ht="15.75" customHeight="1" s="58">
      <c r="A639" s="65" t="n"/>
      <c r="B639" s="65" t="n"/>
      <c r="C639" s="66" t="n"/>
      <c r="D639" s="66" t="n"/>
      <c r="E639" s="65" t="n"/>
      <c r="F639" s="65" t="n"/>
      <c r="G639" s="65" t="n"/>
      <c r="H639" s="65" t="n"/>
      <c r="I639" s="65" t="n"/>
      <c r="J639" s="65" t="n"/>
      <c r="K639" s="65" t="n"/>
      <c r="L639" s="65" t="n"/>
      <c r="M639" s="65" t="n"/>
      <c r="N639" s="65" t="n"/>
      <c r="O639" s="65" t="n"/>
      <c r="P639" s="65" t="n"/>
      <c r="Q639" s="65" t="n"/>
      <c r="R639" s="65" t="n"/>
      <c r="S639" s="65" t="n"/>
      <c r="T639" s="65" t="n"/>
      <c r="U639" s="65" t="n"/>
      <c r="V639" s="65" t="n"/>
      <c r="W639" s="65" t="n"/>
      <c r="X639" s="65" t="n"/>
      <c r="Y639" s="32">
        <f>IF($C639="","",IF(COUNTA($I639:$K639)&lt;3,"— חסרים נתונים",IF(AND($I639="תקין",$J639="תקין",$K639="תקין"),"רהוטה",IF(AND($I639="תקין",$J639="תקין"),"מדויקת ורציפה","אינה מדויקת או מקוטעת"))))</f>
        <v/>
      </c>
      <c r="Z639" s="32">
        <f>IF($C639="","",IF(COUNTA($U639:$W639)&lt;3,"",IF(AND($U639="מפותח",$V639="מפותח",$W639="מפותחת"),"מפותחת",IF((--($U639="דל"))+(--($V639="אינו מפותח"))+(--($W639="דלה"))&gt;=2,"אינה מפותחת","חלקית"))))</f>
        <v/>
      </c>
      <c r="AA639" s="32">
        <f>IF($C639="","",IF(COUNTA($M639,$N639,$O639)&lt;3,"— חסרים נתונים",IF(OR($M639="נמוכה",(--($M639&lt;&gt;"תקינה"))+(--($N639&lt;&gt;"תקין"))+(--($O639&lt;&gt;"תקינה"))&gt;=2),"ניכרת","אינה ניכרת")))</f>
        <v/>
      </c>
      <c r="AB639" s="32">
        <f>IF(OR($C639="",$Y639="",$AA639="",LEFT($Y639,1)="—",LEFT($AA639,1)="—"),"",IF($Z639="","— נדרשת הערכת כתיבה",IF($L639="","— חסרה הבנת הנקרא",IF($Y639="אינה מדויקת או מקוטעת",IF($AA639="ניכרת","מיקוד בשטף הקריאה ובכישורי שפה","מיקוד בשטף קריאה"),IF($AA639="ניכרת","מיקוד בכישורי שפה",IF(AND($L639="תקינה",$Z639="מפותחת"),"קוראים וכותבים מיומנים","מיקוד בהבנה והבעה"))))))</f>
        <v/>
      </c>
      <c r="AC639" s="32">
        <f>IF(OR($AB639="",LEFT($AB639,1)="—"),"",IF(OR($AB639="מיקוד בשטף קריאה",$AB639="מיקוד בשטף הקריאה ובכישורי שפה"),"רמה א'",IF($AB639="קוראים וכותבים מיומנים","רמה ג'","רמה ב'")))</f>
        <v/>
      </c>
      <c r="AD639" s="32">
        <f>IF($AC639="","",MID(IF(AND($AC639="רמה א'",$AA639="ניכרת"),"; להוסיף עבודת אוצר מילים","")&amp;IF($Z639="אינה מפותחת","; דגש על הבעה בכתב","")&amp;IF($K639&lt;&gt;"תקין","; נדרש לעבוד על ההנגנה","")&amp;IF($AK639&lt;&gt;"","; "&amp;$AK639,""),3,400))</f>
        <v/>
      </c>
      <c r="AE639" s="32">
        <f>IF($F639="","",IF($F639="תחילת שנה",1,IF($F639="מחצית שנה",2,3)))</f>
        <v/>
      </c>
      <c r="AF639" s="32">
        <f>IF(OR($B639="",$AC639="",$A639="",$F639=""),"",$B639&amp;"|"&amp;$A639&amp;"|"&amp;$F639&amp;"|"&amp;$AC639&amp;"|"&amp;COUNTIFS($B$6:$B639,$B639,$A$6:$A639,$A639,$F$6:$F639,$F639,$AC$6:$AC639,$AC639))</f>
        <v/>
      </c>
      <c r="AG639" s="32">
        <f>IF($C639="","",$C639&amp;"|"&amp;COUNTIFS($C$6:$C639,$C639))</f>
        <v/>
      </c>
      <c r="AH639" s="32">
        <f>IF(OR($C639="",$A639="",$AE639=""),"",$C639&amp;"|"&amp;$A639&amp;"|"&amp;$AE639)</f>
        <v/>
      </c>
      <c r="AI639" s="32">
        <f>IF(OR($C639="",$AE639="",$AE639=1),"",IFERROR(INDEX($AC$6:$AC$1505,MATCH($C639&amp;"|"&amp;$A639&amp;"|"&amp;($AE639-1),$AH$6:$AH$1505,0)),""))</f>
        <v/>
      </c>
      <c r="AJ639" s="32">
        <f>IF(OR($AI639="",$AC639=""),"",IF($AI639=$AC639,"ללא שינוי","מ-"&amp;$AI639&amp;" ל-"&amp;$AC639))</f>
        <v/>
      </c>
      <c r="AK639" s="67" t="n"/>
    </row>
    <row r="640" ht="15.75" customHeight="1" s="58">
      <c r="A640" s="65" t="n"/>
      <c r="B640" s="65" t="n"/>
      <c r="C640" s="66" t="n"/>
      <c r="D640" s="66" t="n"/>
      <c r="E640" s="65" t="n"/>
      <c r="F640" s="65" t="n"/>
      <c r="G640" s="65" t="n"/>
      <c r="H640" s="65" t="n"/>
      <c r="I640" s="65" t="n"/>
      <c r="J640" s="65" t="n"/>
      <c r="K640" s="65" t="n"/>
      <c r="L640" s="65" t="n"/>
      <c r="M640" s="65" t="n"/>
      <c r="N640" s="65" t="n"/>
      <c r="O640" s="65" t="n"/>
      <c r="P640" s="65" t="n"/>
      <c r="Q640" s="65" t="n"/>
      <c r="R640" s="65" t="n"/>
      <c r="S640" s="65" t="n"/>
      <c r="T640" s="65" t="n"/>
      <c r="U640" s="65" t="n"/>
      <c r="V640" s="65" t="n"/>
      <c r="W640" s="65" t="n"/>
      <c r="X640" s="65" t="n"/>
      <c r="Y640" s="32">
        <f>IF($C640="","",IF(COUNTA($I640:$K640)&lt;3,"— חסרים נתונים",IF(AND($I640="תקין",$J640="תקין",$K640="תקין"),"רהוטה",IF(AND($I640="תקין",$J640="תקין"),"מדויקת ורציפה","אינה מדויקת או מקוטעת"))))</f>
        <v/>
      </c>
      <c r="Z640" s="32">
        <f>IF($C640="","",IF(COUNTA($U640:$W640)&lt;3,"",IF(AND($U640="מפותח",$V640="מפותח",$W640="מפותחת"),"מפותחת",IF((--($U640="דל"))+(--($V640="אינו מפותח"))+(--($W640="דלה"))&gt;=2,"אינה מפותחת","חלקית"))))</f>
        <v/>
      </c>
      <c r="AA640" s="32">
        <f>IF($C640="","",IF(COUNTA($M640,$N640,$O640)&lt;3,"— חסרים נתונים",IF(OR($M640="נמוכה",(--($M640&lt;&gt;"תקינה"))+(--($N640&lt;&gt;"תקין"))+(--($O640&lt;&gt;"תקינה"))&gt;=2),"ניכרת","אינה ניכרת")))</f>
        <v/>
      </c>
      <c r="AB640" s="32">
        <f>IF(OR($C640="",$Y640="",$AA640="",LEFT($Y640,1)="—",LEFT($AA640,1)="—"),"",IF($Z640="","— נדרשת הערכת כתיבה",IF($L640="","— חסרה הבנת הנקרא",IF($Y640="אינה מדויקת או מקוטעת",IF($AA640="ניכרת","מיקוד בשטף הקריאה ובכישורי שפה","מיקוד בשטף קריאה"),IF($AA640="ניכרת","מיקוד בכישורי שפה",IF(AND($L640="תקינה",$Z640="מפותחת"),"קוראים וכותבים מיומנים","מיקוד בהבנה והבעה"))))))</f>
        <v/>
      </c>
      <c r="AC640" s="32">
        <f>IF(OR($AB640="",LEFT($AB640,1)="—"),"",IF(OR($AB640="מיקוד בשטף קריאה",$AB640="מיקוד בשטף הקריאה ובכישורי שפה"),"רמה א'",IF($AB640="קוראים וכותבים מיומנים","רמה ג'","רמה ב'")))</f>
        <v/>
      </c>
      <c r="AD640" s="32">
        <f>IF($AC640="","",MID(IF(AND($AC640="רמה א'",$AA640="ניכרת"),"; להוסיף עבודת אוצר מילים","")&amp;IF($Z640="אינה מפותחת","; דגש על הבעה בכתב","")&amp;IF($K640&lt;&gt;"תקין","; נדרש לעבוד על ההנגנה","")&amp;IF($AK640&lt;&gt;"","; "&amp;$AK640,""),3,400))</f>
        <v/>
      </c>
      <c r="AE640" s="32">
        <f>IF($F640="","",IF($F640="תחילת שנה",1,IF($F640="מחצית שנה",2,3)))</f>
        <v/>
      </c>
      <c r="AF640" s="32">
        <f>IF(OR($B640="",$AC640="",$A640="",$F640=""),"",$B640&amp;"|"&amp;$A640&amp;"|"&amp;$F640&amp;"|"&amp;$AC640&amp;"|"&amp;COUNTIFS($B$6:$B640,$B640,$A$6:$A640,$A640,$F$6:$F640,$F640,$AC$6:$AC640,$AC640))</f>
        <v/>
      </c>
      <c r="AG640" s="32">
        <f>IF($C640="","",$C640&amp;"|"&amp;COUNTIFS($C$6:$C640,$C640))</f>
        <v/>
      </c>
      <c r="AH640" s="32">
        <f>IF(OR($C640="",$A640="",$AE640=""),"",$C640&amp;"|"&amp;$A640&amp;"|"&amp;$AE640)</f>
        <v/>
      </c>
      <c r="AI640" s="32">
        <f>IF(OR($C640="",$AE640="",$AE640=1),"",IFERROR(INDEX($AC$6:$AC$1505,MATCH($C640&amp;"|"&amp;$A640&amp;"|"&amp;($AE640-1),$AH$6:$AH$1505,0)),""))</f>
        <v/>
      </c>
      <c r="AJ640" s="32">
        <f>IF(OR($AI640="",$AC640=""),"",IF($AI640=$AC640,"ללא שינוי","מ-"&amp;$AI640&amp;" ל-"&amp;$AC640))</f>
        <v/>
      </c>
      <c r="AK640" s="67" t="n"/>
    </row>
    <row r="641" ht="15.75" customHeight="1" s="58">
      <c r="A641" s="65" t="n"/>
      <c r="B641" s="65" t="n"/>
      <c r="C641" s="66" t="n"/>
      <c r="D641" s="66" t="n"/>
      <c r="E641" s="65" t="n"/>
      <c r="F641" s="65" t="n"/>
      <c r="G641" s="65" t="n"/>
      <c r="H641" s="65" t="n"/>
      <c r="I641" s="65" t="n"/>
      <c r="J641" s="65" t="n"/>
      <c r="K641" s="65" t="n"/>
      <c r="L641" s="65" t="n"/>
      <c r="M641" s="65" t="n"/>
      <c r="N641" s="65" t="n"/>
      <c r="O641" s="65" t="n"/>
      <c r="P641" s="65" t="n"/>
      <c r="Q641" s="65" t="n"/>
      <c r="R641" s="65" t="n"/>
      <c r="S641" s="65" t="n"/>
      <c r="T641" s="65" t="n"/>
      <c r="U641" s="65" t="n"/>
      <c r="V641" s="65" t="n"/>
      <c r="W641" s="65" t="n"/>
      <c r="X641" s="65" t="n"/>
      <c r="Y641" s="32">
        <f>IF($C641="","",IF(COUNTA($I641:$K641)&lt;3,"— חסרים נתונים",IF(AND($I641="תקין",$J641="תקין",$K641="תקין"),"רהוטה",IF(AND($I641="תקין",$J641="תקין"),"מדויקת ורציפה","אינה מדויקת או מקוטעת"))))</f>
        <v/>
      </c>
      <c r="Z641" s="32">
        <f>IF($C641="","",IF(COUNTA($U641:$W641)&lt;3,"",IF(AND($U641="מפותח",$V641="מפותח",$W641="מפותחת"),"מפותחת",IF((--($U641="דל"))+(--($V641="אינו מפותח"))+(--($W641="דלה"))&gt;=2,"אינה מפותחת","חלקית"))))</f>
        <v/>
      </c>
      <c r="AA641" s="32">
        <f>IF($C641="","",IF(COUNTA($M641,$N641,$O641)&lt;3,"— חסרים נתונים",IF(OR($M641="נמוכה",(--($M641&lt;&gt;"תקינה"))+(--($N641&lt;&gt;"תקין"))+(--($O641&lt;&gt;"תקינה"))&gt;=2),"ניכרת","אינה ניכרת")))</f>
        <v/>
      </c>
      <c r="AB641" s="32">
        <f>IF(OR($C641="",$Y641="",$AA641="",LEFT($Y641,1)="—",LEFT($AA641,1)="—"),"",IF($Z641="","— נדרשת הערכת כתיבה",IF($L641="","— חסרה הבנת הנקרא",IF($Y641="אינה מדויקת או מקוטעת",IF($AA641="ניכרת","מיקוד בשטף הקריאה ובכישורי שפה","מיקוד בשטף קריאה"),IF($AA641="ניכרת","מיקוד בכישורי שפה",IF(AND($L641="תקינה",$Z641="מפותחת"),"קוראים וכותבים מיומנים","מיקוד בהבנה והבעה"))))))</f>
        <v/>
      </c>
      <c r="AC641" s="32">
        <f>IF(OR($AB641="",LEFT($AB641,1)="—"),"",IF(OR($AB641="מיקוד בשטף קריאה",$AB641="מיקוד בשטף הקריאה ובכישורי שפה"),"רמה א'",IF($AB641="קוראים וכותבים מיומנים","רמה ג'","רמה ב'")))</f>
        <v/>
      </c>
      <c r="AD641" s="32">
        <f>IF($AC641="","",MID(IF(AND($AC641="רמה א'",$AA641="ניכרת"),"; להוסיף עבודת אוצר מילים","")&amp;IF($Z641="אינה מפותחת","; דגש על הבעה בכתב","")&amp;IF($K641&lt;&gt;"תקין","; נדרש לעבוד על ההנגנה","")&amp;IF($AK641&lt;&gt;"","; "&amp;$AK641,""),3,400))</f>
        <v/>
      </c>
      <c r="AE641" s="32">
        <f>IF($F641="","",IF($F641="תחילת שנה",1,IF($F641="מחצית שנה",2,3)))</f>
        <v/>
      </c>
      <c r="AF641" s="32">
        <f>IF(OR($B641="",$AC641="",$A641="",$F641=""),"",$B641&amp;"|"&amp;$A641&amp;"|"&amp;$F641&amp;"|"&amp;$AC641&amp;"|"&amp;COUNTIFS($B$6:$B641,$B641,$A$6:$A641,$A641,$F$6:$F641,$F641,$AC$6:$AC641,$AC641))</f>
        <v/>
      </c>
      <c r="AG641" s="32">
        <f>IF($C641="","",$C641&amp;"|"&amp;COUNTIFS($C$6:$C641,$C641))</f>
        <v/>
      </c>
      <c r="AH641" s="32">
        <f>IF(OR($C641="",$A641="",$AE641=""),"",$C641&amp;"|"&amp;$A641&amp;"|"&amp;$AE641)</f>
        <v/>
      </c>
      <c r="AI641" s="32">
        <f>IF(OR($C641="",$AE641="",$AE641=1),"",IFERROR(INDEX($AC$6:$AC$1505,MATCH($C641&amp;"|"&amp;$A641&amp;"|"&amp;($AE641-1),$AH$6:$AH$1505,0)),""))</f>
        <v/>
      </c>
      <c r="AJ641" s="32">
        <f>IF(OR($AI641="",$AC641=""),"",IF($AI641=$AC641,"ללא שינוי","מ-"&amp;$AI641&amp;" ל-"&amp;$AC641))</f>
        <v/>
      </c>
      <c r="AK641" s="67" t="n"/>
    </row>
    <row r="642" ht="15.75" customHeight="1" s="58">
      <c r="A642" s="65" t="n"/>
      <c r="B642" s="65" t="n"/>
      <c r="C642" s="66" t="n"/>
      <c r="D642" s="66" t="n"/>
      <c r="E642" s="65" t="n"/>
      <c r="F642" s="65" t="n"/>
      <c r="G642" s="65" t="n"/>
      <c r="H642" s="65" t="n"/>
      <c r="I642" s="65" t="n"/>
      <c r="J642" s="65" t="n"/>
      <c r="K642" s="65" t="n"/>
      <c r="L642" s="65" t="n"/>
      <c r="M642" s="65" t="n"/>
      <c r="N642" s="65" t="n"/>
      <c r="O642" s="65" t="n"/>
      <c r="P642" s="65" t="n"/>
      <c r="Q642" s="65" t="n"/>
      <c r="R642" s="65" t="n"/>
      <c r="S642" s="65" t="n"/>
      <c r="T642" s="65" t="n"/>
      <c r="U642" s="65" t="n"/>
      <c r="V642" s="65" t="n"/>
      <c r="W642" s="65" t="n"/>
      <c r="X642" s="65" t="n"/>
      <c r="Y642" s="32">
        <f>IF($C642="","",IF(COUNTA($I642:$K642)&lt;3,"— חסרים נתונים",IF(AND($I642="תקין",$J642="תקין",$K642="תקין"),"רהוטה",IF(AND($I642="תקין",$J642="תקין"),"מדויקת ורציפה","אינה מדויקת או מקוטעת"))))</f>
        <v/>
      </c>
      <c r="Z642" s="32">
        <f>IF($C642="","",IF(COUNTA($U642:$W642)&lt;3,"",IF(AND($U642="מפותח",$V642="מפותח",$W642="מפותחת"),"מפותחת",IF((--($U642="דל"))+(--($V642="אינו מפותח"))+(--($W642="דלה"))&gt;=2,"אינה מפותחת","חלקית"))))</f>
        <v/>
      </c>
      <c r="AA642" s="32">
        <f>IF($C642="","",IF(COUNTA($M642,$N642,$O642)&lt;3,"— חסרים נתונים",IF(OR($M642="נמוכה",(--($M642&lt;&gt;"תקינה"))+(--($N642&lt;&gt;"תקין"))+(--($O642&lt;&gt;"תקינה"))&gt;=2),"ניכרת","אינה ניכרת")))</f>
        <v/>
      </c>
      <c r="AB642" s="32">
        <f>IF(OR($C642="",$Y642="",$AA642="",LEFT($Y642,1)="—",LEFT($AA642,1)="—"),"",IF($Z642="","— נדרשת הערכת כתיבה",IF($L642="","— חסרה הבנת הנקרא",IF($Y642="אינה מדויקת או מקוטעת",IF($AA642="ניכרת","מיקוד בשטף הקריאה ובכישורי שפה","מיקוד בשטף קריאה"),IF($AA642="ניכרת","מיקוד בכישורי שפה",IF(AND($L642="תקינה",$Z642="מפותחת"),"קוראים וכותבים מיומנים","מיקוד בהבנה והבעה"))))))</f>
        <v/>
      </c>
      <c r="AC642" s="32">
        <f>IF(OR($AB642="",LEFT($AB642,1)="—"),"",IF(OR($AB642="מיקוד בשטף קריאה",$AB642="מיקוד בשטף הקריאה ובכישורי שפה"),"רמה א'",IF($AB642="קוראים וכותבים מיומנים","רמה ג'","רמה ב'")))</f>
        <v/>
      </c>
      <c r="AD642" s="32">
        <f>IF($AC642="","",MID(IF(AND($AC642="רמה א'",$AA642="ניכרת"),"; להוסיף עבודת אוצר מילים","")&amp;IF($Z642="אינה מפותחת","; דגש על הבעה בכתב","")&amp;IF($K642&lt;&gt;"תקין","; נדרש לעבוד על ההנגנה","")&amp;IF($AK642&lt;&gt;"","; "&amp;$AK642,""),3,400))</f>
        <v/>
      </c>
      <c r="AE642" s="32">
        <f>IF($F642="","",IF($F642="תחילת שנה",1,IF($F642="מחצית שנה",2,3)))</f>
        <v/>
      </c>
      <c r="AF642" s="32">
        <f>IF(OR($B642="",$AC642="",$A642="",$F642=""),"",$B642&amp;"|"&amp;$A642&amp;"|"&amp;$F642&amp;"|"&amp;$AC642&amp;"|"&amp;COUNTIFS($B$6:$B642,$B642,$A$6:$A642,$A642,$F$6:$F642,$F642,$AC$6:$AC642,$AC642))</f>
        <v/>
      </c>
      <c r="AG642" s="32">
        <f>IF($C642="","",$C642&amp;"|"&amp;COUNTIFS($C$6:$C642,$C642))</f>
        <v/>
      </c>
      <c r="AH642" s="32">
        <f>IF(OR($C642="",$A642="",$AE642=""),"",$C642&amp;"|"&amp;$A642&amp;"|"&amp;$AE642)</f>
        <v/>
      </c>
      <c r="AI642" s="32">
        <f>IF(OR($C642="",$AE642="",$AE642=1),"",IFERROR(INDEX($AC$6:$AC$1505,MATCH($C642&amp;"|"&amp;$A642&amp;"|"&amp;($AE642-1),$AH$6:$AH$1505,0)),""))</f>
        <v/>
      </c>
      <c r="AJ642" s="32">
        <f>IF(OR($AI642="",$AC642=""),"",IF($AI642=$AC642,"ללא שינוי","מ-"&amp;$AI642&amp;" ל-"&amp;$AC642))</f>
        <v/>
      </c>
      <c r="AK642" s="67" t="n"/>
    </row>
    <row r="643" ht="15.75" customHeight="1" s="58">
      <c r="A643" s="65" t="n"/>
      <c r="B643" s="65" t="n"/>
      <c r="C643" s="66" t="n"/>
      <c r="D643" s="66" t="n"/>
      <c r="E643" s="65" t="n"/>
      <c r="F643" s="65" t="n"/>
      <c r="G643" s="65" t="n"/>
      <c r="H643" s="65" t="n"/>
      <c r="I643" s="65" t="n"/>
      <c r="J643" s="65" t="n"/>
      <c r="K643" s="65" t="n"/>
      <c r="L643" s="65" t="n"/>
      <c r="M643" s="65" t="n"/>
      <c r="N643" s="65" t="n"/>
      <c r="O643" s="65" t="n"/>
      <c r="P643" s="65" t="n"/>
      <c r="Q643" s="65" t="n"/>
      <c r="R643" s="65" t="n"/>
      <c r="S643" s="65" t="n"/>
      <c r="T643" s="65" t="n"/>
      <c r="U643" s="65" t="n"/>
      <c r="V643" s="65" t="n"/>
      <c r="W643" s="65" t="n"/>
      <c r="X643" s="65" t="n"/>
      <c r="Y643" s="32">
        <f>IF($C643="","",IF(COUNTA($I643:$K643)&lt;3,"— חסרים נתונים",IF(AND($I643="תקין",$J643="תקין",$K643="תקין"),"רהוטה",IF(AND($I643="תקין",$J643="תקין"),"מדויקת ורציפה","אינה מדויקת או מקוטעת"))))</f>
        <v/>
      </c>
      <c r="Z643" s="32">
        <f>IF($C643="","",IF(COUNTA($U643:$W643)&lt;3,"",IF(AND($U643="מפותח",$V643="מפותח",$W643="מפותחת"),"מפותחת",IF((--($U643="דל"))+(--($V643="אינו מפותח"))+(--($W643="דלה"))&gt;=2,"אינה מפותחת","חלקית"))))</f>
        <v/>
      </c>
      <c r="AA643" s="32">
        <f>IF($C643="","",IF(COUNTA($M643,$N643,$O643)&lt;3,"— חסרים נתונים",IF(OR($M643="נמוכה",(--($M643&lt;&gt;"תקינה"))+(--($N643&lt;&gt;"תקין"))+(--($O643&lt;&gt;"תקינה"))&gt;=2),"ניכרת","אינה ניכרת")))</f>
        <v/>
      </c>
      <c r="AB643" s="32">
        <f>IF(OR($C643="",$Y643="",$AA643="",LEFT($Y643,1)="—",LEFT($AA643,1)="—"),"",IF($Z643="","— נדרשת הערכת כתיבה",IF($L643="","— חסרה הבנת הנקרא",IF($Y643="אינה מדויקת או מקוטעת",IF($AA643="ניכרת","מיקוד בשטף הקריאה ובכישורי שפה","מיקוד בשטף קריאה"),IF($AA643="ניכרת","מיקוד בכישורי שפה",IF(AND($L643="תקינה",$Z643="מפותחת"),"קוראים וכותבים מיומנים","מיקוד בהבנה והבעה"))))))</f>
        <v/>
      </c>
      <c r="AC643" s="32">
        <f>IF(OR($AB643="",LEFT($AB643,1)="—"),"",IF(OR($AB643="מיקוד בשטף קריאה",$AB643="מיקוד בשטף הקריאה ובכישורי שפה"),"רמה א'",IF($AB643="קוראים וכותבים מיומנים","רמה ג'","רמה ב'")))</f>
        <v/>
      </c>
      <c r="AD643" s="32">
        <f>IF($AC643="","",MID(IF(AND($AC643="רמה א'",$AA643="ניכרת"),"; להוסיף עבודת אוצר מילים","")&amp;IF($Z643="אינה מפותחת","; דגש על הבעה בכתב","")&amp;IF($K643&lt;&gt;"תקין","; נדרש לעבוד על ההנגנה","")&amp;IF($AK643&lt;&gt;"","; "&amp;$AK643,""),3,400))</f>
        <v/>
      </c>
      <c r="AE643" s="32">
        <f>IF($F643="","",IF($F643="תחילת שנה",1,IF($F643="מחצית שנה",2,3)))</f>
        <v/>
      </c>
      <c r="AF643" s="32">
        <f>IF(OR($B643="",$AC643="",$A643="",$F643=""),"",$B643&amp;"|"&amp;$A643&amp;"|"&amp;$F643&amp;"|"&amp;$AC643&amp;"|"&amp;COUNTIFS($B$6:$B643,$B643,$A$6:$A643,$A643,$F$6:$F643,$F643,$AC$6:$AC643,$AC643))</f>
        <v/>
      </c>
      <c r="AG643" s="32">
        <f>IF($C643="","",$C643&amp;"|"&amp;COUNTIFS($C$6:$C643,$C643))</f>
        <v/>
      </c>
      <c r="AH643" s="32">
        <f>IF(OR($C643="",$A643="",$AE643=""),"",$C643&amp;"|"&amp;$A643&amp;"|"&amp;$AE643)</f>
        <v/>
      </c>
      <c r="AI643" s="32">
        <f>IF(OR($C643="",$AE643="",$AE643=1),"",IFERROR(INDEX($AC$6:$AC$1505,MATCH($C643&amp;"|"&amp;$A643&amp;"|"&amp;($AE643-1),$AH$6:$AH$1505,0)),""))</f>
        <v/>
      </c>
      <c r="AJ643" s="32">
        <f>IF(OR($AI643="",$AC643=""),"",IF($AI643=$AC643,"ללא שינוי","מ-"&amp;$AI643&amp;" ל-"&amp;$AC643))</f>
        <v/>
      </c>
      <c r="AK643" s="67" t="n"/>
    </row>
    <row r="644" ht="15.75" customHeight="1" s="58">
      <c r="A644" s="65" t="n"/>
      <c r="B644" s="65" t="n"/>
      <c r="C644" s="66" t="n"/>
      <c r="D644" s="66" t="n"/>
      <c r="E644" s="65" t="n"/>
      <c r="F644" s="65" t="n"/>
      <c r="G644" s="65" t="n"/>
      <c r="H644" s="65" t="n"/>
      <c r="I644" s="65" t="n"/>
      <c r="J644" s="65" t="n"/>
      <c r="K644" s="65" t="n"/>
      <c r="L644" s="65" t="n"/>
      <c r="M644" s="65" t="n"/>
      <c r="N644" s="65" t="n"/>
      <c r="O644" s="65" t="n"/>
      <c r="P644" s="65" t="n"/>
      <c r="Q644" s="65" t="n"/>
      <c r="R644" s="65" t="n"/>
      <c r="S644" s="65" t="n"/>
      <c r="T644" s="65" t="n"/>
      <c r="U644" s="65" t="n"/>
      <c r="V644" s="65" t="n"/>
      <c r="W644" s="65" t="n"/>
      <c r="X644" s="65" t="n"/>
      <c r="Y644" s="32">
        <f>IF($C644="","",IF(COUNTA($I644:$K644)&lt;3,"— חסרים נתונים",IF(AND($I644="תקין",$J644="תקין",$K644="תקין"),"רהוטה",IF(AND($I644="תקין",$J644="תקין"),"מדויקת ורציפה","אינה מדויקת או מקוטעת"))))</f>
        <v/>
      </c>
      <c r="Z644" s="32">
        <f>IF($C644="","",IF(COUNTA($U644:$W644)&lt;3,"",IF(AND($U644="מפותח",$V644="מפותח",$W644="מפותחת"),"מפותחת",IF((--($U644="דל"))+(--($V644="אינו מפותח"))+(--($W644="דלה"))&gt;=2,"אינה מפותחת","חלקית"))))</f>
        <v/>
      </c>
      <c r="AA644" s="32">
        <f>IF($C644="","",IF(COUNTA($M644,$N644,$O644)&lt;3,"— חסרים נתונים",IF(OR($M644="נמוכה",(--($M644&lt;&gt;"תקינה"))+(--($N644&lt;&gt;"תקין"))+(--($O644&lt;&gt;"תקינה"))&gt;=2),"ניכרת","אינה ניכרת")))</f>
        <v/>
      </c>
      <c r="AB644" s="32">
        <f>IF(OR($C644="",$Y644="",$AA644="",LEFT($Y644,1)="—",LEFT($AA644,1)="—"),"",IF($Z644="","— נדרשת הערכת כתיבה",IF($L644="","— חסרה הבנת הנקרא",IF($Y644="אינה מדויקת או מקוטעת",IF($AA644="ניכרת","מיקוד בשטף הקריאה ובכישורי שפה","מיקוד בשטף קריאה"),IF($AA644="ניכרת","מיקוד בכישורי שפה",IF(AND($L644="תקינה",$Z644="מפותחת"),"קוראים וכותבים מיומנים","מיקוד בהבנה והבעה"))))))</f>
        <v/>
      </c>
      <c r="AC644" s="32">
        <f>IF(OR($AB644="",LEFT($AB644,1)="—"),"",IF(OR($AB644="מיקוד בשטף קריאה",$AB644="מיקוד בשטף הקריאה ובכישורי שפה"),"רמה א'",IF($AB644="קוראים וכותבים מיומנים","רמה ג'","רמה ב'")))</f>
        <v/>
      </c>
      <c r="AD644" s="32">
        <f>IF($AC644="","",MID(IF(AND($AC644="רמה א'",$AA644="ניכרת"),"; להוסיף עבודת אוצר מילים","")&amp;IF($Z644="אינה מפותחת","; דגש על הבעה בכתב","")&amp;IF($K644&lt;&gt;"תקין","; נדרש לעבוד על ההנגנה","")&amp;IF($AK644&lt;&gt;"","; "&amp;$AK644,""),3,400))</f>
        <v/>
      </c>
      <c r="AE644" s="32">
        <f>IF($F644="","",IF($F644="תחילת שנה",1,IF($F644="מחצית שנה",2,3)))</f>
        <v/>
      </c>
      <c r="AF644" s="32">
        <f>IF(OR($B644="",$AC644="",$A644="",$F644=""),"",$B644&amp;"|"&amp;$A644&amp;"|"&amp;$F644&amp;"|"&amp;$AC644&amp;"|"&amp;COUNTIFS($B$6:$B644,$B644,$A$6:$A644,$A644,$F$6:$F644,$F644,$AC$6:$AC644,$AC644))</f>
        <v/>
      </c>
      <c r="AG644" s="32">
        <f>IF($C644="","",$C644&amp;"|"&amp;COUNTIFS($C$6:$C644,$C644))</f>
        <v/>
      </c>
      <c r="AH644" s="32">
        <f>IF(OR($C644="",$A644="",$AE644=""),"",$C644&amp;"|"&amp;$A644&amp;"|"&amp;$AE644)</f>
        <v/>
      </c>
      <c r="AI644" s="32">
        <f>IF(OR($C644="",$AE644="",$AE644=1),"",IFERROR(INDEX($AC$6:$AC$1505,MATCH($C644&amp;"|"&amp;$A644&amp;"|"&amp;($AE644-1),$AH$6:$AH$1505,0)),""))</f>
        <v/>
      </c>
      <c r="AJ644" s="32">
        <f>IF(OR($AI644="",$AC644=""),"",IF($AI644=$AC644,"ללא שינוי","מ-"&amp;$AI644&amp;" ל-"&amp;$AC644))</f>
        <v/>
      </c>
      <c r="AK644" s="67" t="n"/>
    </row>
    <row r="645" ht="15.75" customHeight="1" s="58">
      <c r="A645" s="65" t="n"/>
      <c r="B645" s="65" t="n"/>
      <c r="C645" s="66" t="n"/>
      <c r="D645" s="66" t="n"/>
      <c r="E645" s="65" t="n"/>
      <c r="F645" s="65" t="n"/>
      <c r="G645" s="65" t="n"/>
      <c r="H645" s="65" t="n"/>
      <c r="I645" s="65" t="n"/>
      <c r="J645" s="65" t="n"/>
      <c r="K645" s="65" t="n"/>
      <c r="L645" s="65" t="n"/>
      <c r="M645" s="65" t="n"/>
      <c r="N645" s="65" t="n"/>
      <c r="O645" s="65" t="n"/>
      <c r="P645" s="65" t="n"/>
      <c r="Q645" s="65" t="n"/>
      <c r="R645" s="65" t="n"/>
      <c r="S645" s="65" t="n"/>
      <c r="T645" s="65" t="n"/>
      <c r="U645" s="65" t="n"/>
      <c r="V645" s="65" t="n"/>
      <c r="W645" s="65" t="n"/>
      <c r="X645" s="65" t="n"/>
      <c r="Y645" s="32">
        <f>IF($C645="","",IF(COUNTA($I645:$K645)&lt;3,"— חסרים נתונים",IF(AND($I645="תקין",$J645="תקין",$K645="תקין"),"רהוטה",IF(AND($I645="תקין",$J645="תקין"),"מדויקת ורציפה","אינה מדויקת או מקוטעת"))))</f>
        <v/>
      </c>
      <c r="Z645" s="32">
        <f>IF($C645="","",IF(COUNTA($U645:$W645)&lt;3,"",IF(AND($U645="מפותח",$V645="מפותח",$W645="מפותחת"),"מפותחת",IF((--($U645="דל"))+(--($V645="אינו מפותח"))+(--($W645="דלה"))&gt;=2,"אינה מפותחת","חלקית"))))</f>
        <v/>
      </c>
      <c r="AA645" s="32">
        <f>IF($C645="","",IF(COUNTA($M645,$N645,$O645)&lt;3,"— חסרים נתונים",IF(OR($M645="נמוכה",(--($M645&lt;&gt;"תקינה"))+(--($N645&lt;&gt;"תקין"))+(--($O645&lt;&gt;"תקינה"))&gt;=2),"ניכרת","אינה ניכרת")))</f>
        <v/>
      </c>
      <c r="AB645" s="32">
        <f>IF(OR($C645="",$Y645="",$AA645="",LEFT($Y645,1)="—",LEFT($AA645,1)="—"),"",IF($Z645="","— נדרשת הערכת כתיבה",IF($L645="","— חסרה הבנת הנקרא",IF($Y645="אינה מדויקת או מקוטעת",IF($AA645="ניכרת","מיקוד בשטף הקריאה ובכישורי שפה","מיקוד בשטף קריאה"),IF($AA645="ניכרת","מיקוד בכישורי שפה",IF(AND($L645="תקינה",$Z645="מפותחת"),"קוראים וכותבים מיומנים","מיקוד בהבנה והבעה"))))))</f>
        <v/>
      </c>
      <c r="AC645" s="32">
        <f>IF(OR($AB645="",LEFT($AB645,1)="—"),"",IF(OR($AB645="מיקוד בשטף קריאה",$AB645="מיקוד בשטף הקריאה ובכישורי שפה"),"רמה א'",IF($AB645="קוראים וכותבים מיומנים","רמה ג'","רמה ב'")))</f>
        <v/>
      </c>
      <c r="AD645" s="32">
        <f>IF($AC645="","",MID(IF(AND($AC645="רמה א'",$AA645="ניכרת"),"; להוסיף עבודת אוצר מילים","")&amp;IF($Z645="אינה מפותחת","; דגש על הבעה בכתב","")&amp;IF($K645&lt;&gt;"תקין","; נדרש לעבוד על ההנגנה","")&amp;IF($AK645&lt;&gt;"","; "&amp;$AK645,""),3,400))</f>
        <v/>
      </c>
      <c r="AE645" s="32">
        <f>IF($F645="","",IF($F645="תחילת שנה",1,IF($F645="מחצית שנה",2,3)))</f>
        <v/>
      </c>
      <c r="AF645" s="32">
        <f>IF(OR($B645="",$AC645="",$A645="",$F645=""),"",$B645&amp;"|"&amp;$A645&amp;"|"&amp;$F645&amp;"|"&amp;$AC645&amp;"|"&amp;COUNTIFS($B$6:$B645,$B645,$A$6:$A645,$A645,$F$6:$F645,$F645,$AC$6:$AC645,$AC645))</f>
        <v/>
      </c>
      <c r="AG645" s="32">
        <f>IF($C645="","",$C645&amp;"|"&amp;COUNTIFS($C$6:$C645,$C645))</f>
        <v/>
      </c>
      <c r="AH645" s="32">
        <f>IF(OR($C645="",$A645="",$AE645=""),"",$C645&amp;"|"&amp;$A645&amp;"|"&amp;$AE645)</f>
        <v/>
      </c>
      <c r="AI645" s="32">
        <f>IF(OR($C645="",$AE645="",$AE645=1),"",IFERROR(INDEX($AC$6:$AC$1505,MATCH($C645&amp;"|"&amp;$A645&amp;"|"&amp;($AE645-1),$AH$6:$AH$1505,0)),""))</f>
        <v/>
      </c>
      <c r="AJ645" s="32">
        <f>IF(OR($AI645="",$AC645=""),"",IF($AI645=$AC645,"ללא שינוי","מ-"&amp;$AI645&amp;" ל-"&amp;$AC645))</f>
        <v/>
      </c>
      <c r="AK645" s="67" t="n"/>
    </row>
    <row r="646" ht="15.75" customHeight="1" s="58">
      <c r="A646" s="65" t="n"/>
      <c r="B646" s="65" t="n"/>
      <c r="C646" s="66" t="n"/>
      <c r="D646" s="66" t="n"/>
      <c r="E646" s="65" t="n"/>
      <c r="F646" s="65" t="n"/>
      <c r="G646" s="65" t="n"/>
      <c r="H646" s="65" t="n"/>
      <c r="I646" s="65" t="n"/>
      <c r="J646" s="65" t="n"/>
      <c r="K646" s="65" t="n"/>
      <c r="L646" s="65" t="n"/>
      <c r="M646" s="65" t="n"/>
      <c r="N646" s="65" t="n"/>
      <c r="O646" s="65" t="n"/>
      <c r="P646" s="65" t="n"/>
      <c r="Q646" s="65" t="n"/>
      <c r="R646" s="65" t="n"/>
      <c r="S646" s="65" t="n"/>
      <c r="T646" s="65" t="n"/>
      <c r="U646" s="65" t="n"/>
      <c r="V646" s="65" t="n"/>
      <c r="W646" s="65" t="n"/>
      <c r="X646" s="65" t="n"/>
      <c r="Y646" s="32">
        <f>IF($C646="","",IF(COUNTA($I646:$K646)&lt;3,"— חסרים נתונים",IF(AND($I646="תקין",$J646="תקין",$K646="תקין"),"רהוטה",IF(AND($I646="תקין",$J646="תקין"),"מדויקת ורציפה","אינה מדויקת או מקוטעת"))))</f>
        <v/>
      </c>
      <c r="Z646" s="32">
        <f>IF($C646="","",IF(COUNTA($U646:$W646)&lt;3,"",IF(AND($U646="מפותח",$V646="מפותח",$W646="מפותחת"),"מפותחת",IF((--($U646="דל"))+(--($V646="אינו מפותח"))+(--($W646="דלה"))&gt;=2,"אינה מפותחת","חלקית"))))</f>
        <v/>
      </c>
      <c r="AA646" s="32">
        <f>IF($C646="","",IF(COUNTA($M646,$N646,$O646)&lt;3,"— חסרים נתונים",IF(OR($M646="נמוכה",(--($M646&lt;&gt;"תקינה"))+(--($N646&lt;&gt;"תקין"))+(--($O646&lt;&gt;"תקינה"))&gt;=2),"ניכרת","אינה ניכרת")))</f>
        <v/>
      </c>
      <c r="AB646" s="32">
        <f>IF(OR($C646="",$Y646="",$AA646="",LEFT($Y646,1)="—",LEFT($AA646,1)="—"),"",IF($Z646="","— נדרשת הערכת כתיבה",IF($L646="","— חסרה הבנת הנקרא",IF($Y646="אינה מדויקת או מקוטעת",IF($AA646="ניכרת","מיקוד בשטף הקריאה ובכישורי שפה","מיקוד בשטף קריאה"),IF($AA646="ניכרת","מיקוד בכישורי שפה",IF(AND($L646="תקינה",$Z646="מפותחת"),"קוראים וכותבים מיומנים","מיקוד בהבנה והבעה"))))))</f>
        <v/>
      </c>
      <c r="AC646" s="32">
        <f>IF(OR($AB646="",LEFT($AB646,1)="—"),"",IF(OR($AB646="מיקוד בשטף קריאה",$AB646="מיקוד בשטף הקריאה ובכישורי שפה"),"רמה א'",IF($AB646="קוראים וכותבים מיומנים","רמה ג'","רמה ב'")))</f>
        <v/>
      </c>
      <c r="AD646" s="32">
        <f>IF($AC646="","",MID(IF(AND($AC646="רמה א'",$AA646="ניכרת"),"; להוסיף עבודת אוצר מילים","")&amp;IF($Z646="אינה מפותחת","; דגש על הבעה בכתב","")&amp;IF($K646&lt;&gt;"תקין","; נדרש לעבוד על ההנגנה","")&amp;IF($AK646&lt;&gt;"","; "&amp;$AK646,""),3,400))</f>
        <v/>
      </c>
      <c r="AE646" s="32">
        <f>IF($F646="","",IF($F646="תחילת שנה",1,IF($F646="מחצית שנה",2,3)))</f>
        <v/>
      </c>
      <c r="AF646" s="32">
        <f>IF(OR($B646="",$AC646="",$A646="",$F646=""),"",$B646&amp;"|"&amp;$A646&amp;"|"&amp;$F646&amp;"|"&amp;$AC646&amp;"|"&amp;COUNTIFS($B$6:$B646,$B646,$A$6:$A646,$A646,$F$6:$F646,$F646,$AC$6:$AC646,$AC646))</f>
        <v/>
      </c>
      <c r="AG646" s="32">
        <f>IF($C646="","",$C646&amp;"|"&amp;COUNTIFS($C$6:$C646,$C646))</f>
        <v/>
      </c>
      <c r="AH646" s="32">
        <f>IF(OR($C646="",$A646="",$AE646=""),"",$C646&amp;"|"&amp;$A646&amp;"|"&amp;$AE646)</f>
        <v/>
      </c>
      <c r="AI646" s="32">
        <f>IF(OR($C646="",$AE646="",$AE646=1),"",IFERROR(INDEX($AC$6:$AC$1505,MATCH($C646&amp;"|"&amp;$A646&amp;"|"&amp;($AE646-1),$AH$6:$AH$1505,0)),""))</f>
        <v/>
      </c>
      <c r="AJ646" s="32">
        <f>IF(OR($AI646="",$AC646=""),"",IF($AI646=$AC646,"ללא שינוי","מ-"&amp;$AI646&amp;" ל-"&amp;$AC646))</f>
        <v/>
      </c>
      <c r="AK646" s="67" t="n"/>
    </row>
    <row r="647" ht="15.75" customHeight="1" s="58">
      <c r="A647" s="65" t="n"/>
      <c r="B647" s="65" t="n"/>
      <c r="C647" s="66" t="n"/>
      <c r="D647" s="66" t="n"/>
      <c r="E647" s="65" t="n"/>
      <c r="F647" s="65" t="n"/>
      <c r="G647" s="65" t="n"/>
      <c r="H647" s="65" t="n"/>
      <c r="I647" s="65" t="n"/>
      <c r="J647" s="65" t="n"/>
      <c r="K647" s="65" t="n"/>
      <c r="L647" s="65" t="n"/>
      <c r="M647" s="65" t="n"/>
      <c r="N647" s="65" t="n"/>
      <c r="O647" s="65" t="n"/>
      <c r="P647" s="65" t="n"/>
      <c r="Q647" s="65" t="n"/>
      <c r="R647" s="65" t="n"/>
      <c r="S647" s="65" t="n"/>
      <c r="T647" s="65" t="n"/>
      <c r="U647" s="65" t="n"/>
      <c r="V647" s="65" t="n"/>
      <c r="W647" s="65" t="n"/>
      <c r="X647" s="65" t="n"/>
      <c r="Y647" s="32">
        <f>IF($C647="","",IF(COUNTA($I647:$K647)&lt;3,"— חסרים נתונים",IF(AND($I647="תקין",$J647="תקין",$K647="תקין"),"רהוטה",IF(AND($I647="תקין",$J647="תקין"),"מדויקת ורציפה","אינה מדויקת או מקוטעת"))))</f>
        <v/>
      </c>
      <c r="Z647" s="32">
        <f>IF($C647="","",IF(COUNTA($U647:$W647)&lt;3,"",IF(AND($U647="מפותח",$V647="מפותח",$W647="מפותחת"),"מפותחת",IF((--($U647="דל"))+(--($V647="אינו מפותח"))+(--($W647="דלה"))&gt;=2,"אינה מפותחת","חלקית"))))</f>
        <v/>
      </c>
      <c r="AA647" s="32">
        <f>IF($C647="","",IF(COUNTA($M647,$N647,$O647)&lt;3,"— חסרים נתונים",IF(OR($M647="נמוכה",(--($M647&lt;&gt;"תקינה"))+(--($N647&lt;&gt;"תקין"))+(--($O647&lt;&gt;"תקינה"))&gt;=2),"ניכרת","אינה ניכרת")))</f>
        <v/>
      </c>
      <c r="AB647" s="32">
        <f>IF(OR($C647="",$Y647="",$AA647="",LEFT($Y647,1)="—",LEFT($AA647,1)="—"),"",IF($Z647="","— נדרשת הערכת כתיבה",IF($L647="","— חסרה הבנת הנקרא",IF($Y647="אינה מדויקת או מקוטעת",IF($AA647="ניכרת","מיקוד בשטף הקריאה ובכישורי שפה","מיקוד בשטף קריאה"),IF($AA647="ניכרת","מיקוד בכישורי שפה",IF(AND($L647="תקינה",$Z647="מפותחת"),"קוראים וכותבים מיומנים","מיקוד בהבנה והבעה"))))))</f>
        <v/>
      </c>
      <c r="AC647" s="32">
        <f>IF(OR($AB647="",LEFT($AB647,1)="—"),"",IF(OR($AB647="מיקוד בשטף קריאה",$AB647="מיקוד בשטף הקריאה ובכישורי שפה"),"רמה א'",IF($AB647="קוראים וכותבים מיומנים","רמה ג'","רמה ב'")))</f>
        <v/>
      </c>
      <c r="AD647" s="32">
        <f>IF($AC647="","",MID(IF(AND($AC647="רמה א'",$AA647="ניכרת"),"; להוסיף עבודת אוצר מילים","")&amp;IF($Z647="אינה מפותחת","; דגש על הבעה בכתב","")&amp;IF($K647&lt;&gt;"תקין","; נדרש לעבוד על ההנגנה","")&amp;IF($AK647&lt;&gt;"","; "&amp;$AK647,""),3,400))</f>
        <v/>
      </c>
      <c r="AE647" s="32">
        <f>IF($F647="","",IF($F647="תחילת שנה",1,IF($F647="מחצית שנה",2,3)))</f>
        <v/>
      </c>
      <c r="AF647" s="32">
        <f>IF(OR($B647="",$AC647="",$A647="",$F647=""),"",$B647&amp;"|"&amp;$A647&amp;"|"&amp;$F647&amp;"|"&amp;$AC647&amp;"|"&amp;COUNTIFS($B$6:$B647,$B647,$A$6:$A647,$A647,$F$6:$F647,$F647,$AC$6:$AC647,$AC647))</f>
        <v/>
      </c>
      <c r="AG647" s="32">
        <f>IF($C647="","",$C647&amp;"|"&amp;COUNTIFS($C$6:$C647,$C647))</f>
        <v/>
      </c>
      <c r="AH647" s="32">
        <f>IF(OR($C647="",$A647="",$AE647=""),"",$C647&amp;"|"&amp;$A647&amp;"|"&amp;$AE647)</f>
        <v/>
      </c>
      <c r="AI647" s="32">
        <f>IF(OR($C647="",$AE647="",$AE647=1),"",IFERROR(INDEX($AC$6:$AC$1505,MATCH($C647&amp;"|"&amp;$A647&amp;"|"&amp;($AE647-1),$AH$6:$AH$1505,0)),""))</f>
        <v/>
      </c>
      <c r="AJ647" s="32">
        <f>IF(OR($AI647="",$AC647=""),"",IF($AI647=$AC647,"ללא שינוי","מ-"&amp;$AI647&amp;" ל-"&amp;$AC647))</f>
        <v/>
      </c>
      <c r="AK647" s="67" t="n"/>
    </row>
    <row r="648" ht="15.75" customHeight="1" s="58">
      <c r="A648" s="65" t="n"/>
      <c r="B648" s="65" t="n"/>
      <c r="C648" s="66" t="n"/>
      <c r="D648" s="66" t="n"/>
      <c r="E648" s="65" t="n"/>
      <c r="F648" s="65" t="n"/>
      <c r="G648" s="65" t="n"/>
      <c r="H648" s="65" t="n"/>
      <c r="I648" s="65" t="n"/>
      <c r="J648" s="65" t="n"/>
      <c r="K648" s="65" t="n"/>
      <c r="L648" s="65" t="n"/>
      <c r="M648" s="65" t="n"/>
      <c r="N648" s="65" t="n"/>
      <c r="O648" s="65" t="n"/>
      <c r="P648" s="65" t="n"/>
      <c r="Q648" s="65" t="n"/>
      <c r="R648" s="65" t="n"/>
      <c r="S648" s="65" t="n"/>
      <c r="T648" s="65" t="n"/>
      <c r="U648" s="65" t="n"/>
      <c r="V648" s="65" t="n"/>
      <c r="W648" s="65" t="n"/>
      <c r="X648" s="65" t="n"/>
      <c r="Y648" s="32">
        <f>IF($C648="","",IF(COUNTA($I648:$K648)&lt;3,"— חסרים נתונים",IF(AND($I648="תקין",$J648="תקין",$K648="תקין"),"רהוטה",IF(AND($I648="תקין",$J648="תקין"),"מדויקת ורציפה","אינה מדויקת או מקוטעת"))))</f>
        <v/>
      </c>
      <c r="Z648" s="32">
        <f>IF($C648="","",IF(COUNTA($U648:$W648)&lt;3,"",IF(AND($U648="מפותח",$V648="מפותח",$W648="מפותחת"),"מפותחת",IF((--($U648="דל"))+(--($V648="אינו מפותח"))+(--($W648="דלה"))&gt;=2,"אינה מפותחת","חלקית"))))</f>
        <v/>
      </c>
      <c r="AA648" s="32">
        <f>IF($C648="","",IF(COUNTA($M648,$N648,$O648)&lt;3,"— חסרים נתונים",IF(OR($M648="נמוכה",(--($M648&lt;&gt;"תקינה"))+(--($N648&lt;&gt;"תקין"))+(--($O648&lt;&gt;"תקינה"))&gt;=2),"ניכרת","אינה ניכרת")))</f>
        <v/>
      </c>
      <c r="AB648" s="32">
        <f>IF(OR($C648="",$Y648="",$AA648="",LEFT($Y648,1)="—",LEFT($AA648,1)="—"),"",IF($Z648="","— נדרשת הערכת כתיבה",IF($L648="","— חסרה הבנת הנקרא",IF($Y648="אינה מדויקת או מקוטעת",IF($AA648="ניכרת","מיקוד בשטף הקריאה ובכישורי שפה","מיקוד בשטף קריאה"),IF($AA648="ניכרת","מיקוד בכישורי שפה",IF(AND($L648="תקינה",$Z648="מפותחת"),"קוראים וכותבים מיומנים","מיקוד בהבנה והבעה"))))))</f>
        <v/>
      </c>
      <c r="AC648" s="32">
        <f>IF(OR($AB648="",LEFT($AB648,1)="—"),"",IF(OR($AB648="מיקוד בשטף קריאה",$AB648="מיקוד בשטף הקריאה ובכישורי שפה"),"רמה א'",IF($AB648="קוראים וכותבים מיומנים","רמה ג'","רמה ב'")))</f>
        <v/>
      </c>
      <c r="AD648" s="32">
        <f>IF($AC648="","",MID(IF(AND($AC648="רמה א'",$AA648="ניכרת"),"; להוסיף עבודת אוצר מילים","")&amp;IF($Z648="אינה מפותחת","; דגש על הבעה בכתב","")&amp;IF($K648&lt;&gt;"תקין","; נדרש לעבוד על ההנגנה","")&amp;IF($AK648&lt;&gt;"","; "&amp;$AK648,""),3,400))</f>
        <v/>
      </c>
      <c r="AE648" s="32">
        <f>IF($F648="","",IF($F648="תחילת שנה",1,IF($F648="מחצית שנה",2,3)))</f>
        <v/>
      </c>
      <c r="AF648" s="32">
        <f>IF(OR($B648="",$AC648="",$A648="",$F648=""),"",$B648&amp;"|"&amp;$A648&amp;"|"&amp;$F648&amp;"|"&amp;$AC648&amp;"|"&amp;COUNTIFS($B$6:$B648,$B648,$A$6:$A648,$A648,$F$6:$F648,$F648,$AC$6:$AC648,$AC648))</f>
        <v/>
      </c>
      <c r="AG648" s="32">
        <f>IF($C648="","",$C648&amp;"|"&amp;COUNTIFS($C$6:$C648,$C648))</f>
        <v/>
      </c>
      <c r="AH648" s="32">
        <f>IF(OR($C648="",$A648="",$AE648=""),"",$C648&amp;"|"&amp;$A648&amp;"|"&amp;$AE648)</f>
        <v/>
      </c>
      <c r="AI648" s="32">
        <f>IF(OR($C648="",$AE648="",$AE648=1),"",IFERROR(INDEX($AC$6:$AC$1505,MATCH($C648&amp;"|"&amp;$A648&amp;"|"&amp;($AE648-1),$AH$6:$AH$1505,0)),""))</f>
        <v/>
      </c>
      <c r="AJ648" s="32">
        <f>IF(OR($AI648="",$AC648=""),"",IF($AI648=$AC648,"ללא שינוי","מ-"&amp;$AI648&amp;" ל-"&amp;$AC648))</f>
        <v/>
      </c>
      <c r="AK648" s="67" t="n"/>
    </row>
    <row r="649" ht="15.75" customHeight="1" s="58">
      <c r="A649" s="65" t="n"/>
      <c r="B649" s="65" t="n"/>
      <c r="C649" s="66" t="n"/>
      <c r="D649" s="66" t="n"/>
      <c r="E649" s="65" t="n"/>
      <c r="F649" s="65" t="n"/>
      <c r="G649" s="65" t="n"/>
      <c r="H649" s="65" t="n"/>
      <c r="I649" s="65" t="n"/>
      <c r="J649" s="65" t="n"/>
      <c r="K649" s="65" t="n"/>
      <c r="L649" s="65" t="n"/>
      <c r="M649" s="65" t="n"/>
      <c r="N649" s="65" t="n"/>
      <c r="O649" s="65" t="n"/>
      <c r="P649" s="65" t="n"/>
      <c r="Q649" s="65" t="n"/>
      <c r="R649" s="65" t="n"/>
      <c r="S649" s="65" t="n"/>
      <c r="T649" s="65" t="n"/>
      <c r="U649" s="65" t="n"/>
      <c r="V649" s="65" t="n"/>
      <c r="W649" s="65" t="n"/>
      <c r="X649" s="65" t="n"/>
      <c r="Y649" s="32">
        <f>IF($C649="","",IF(COUNTA($I649:$K649)&lt;3,"— חסרים נתונים",IF(AND($I649="תקין",$J649="תקין",$K649="תקין"),"רהוטה",IF(AND($I649="תקין",$J649="תקין"),"מדויקת ורציפה","אינה מדויקת או מקוטעת"))))</f>
        <v/>
      </c>
      <c r="Z649" s="32">
        <f>IF($C649="","",IF(COUNTA($U649:$W649)&lt;3,"",IF(AND($U649="מפותח",$V649="מפותח",$W649="מפותחת"),"מפותחת",IF((--($U649="דל"))+(--($V649="אינו מפותח"))+(--($W649="דלה"))&gt;=2,"אינה מפותחת","חלקית"))))</f>
        <v/>
      </c>
      <c r="AA649" s="32">
        <f>IF($C649="","",IF(COUNTA($M649,$N649,$O649)&lt;3,"— חסרים נתונים",IF(OR($M649="נמוכה",(--($M649&lt;&gt;"תקינה"))+(--($N649&lt;&gt;"תקין"))+(--($O649&lt;&gt;"תקינה"))&gt;=2),"ניכרת","אינה ניכרת")))</f>
        <v/>
      </c>
      <c r="AB649" s="32">
        <f>IF(OR($C649="",$Y649="",$AA649="",LEFT($Y649,1)="—",LEFT($AA649,1)="—"),"",IF($Z649="","— נדרשת הערכת כתיבה",IF($L649="","— חסרה הבנת הנקרא",IF($Y649="אינה מדויקת או מקוטעת",IF($AA649="ניכרת","מיקוד בשטף הקריאה ובכישורי שפה","מיקוד בשטף קריאה"),IF($AA649="ניכרת","מיקוד בכישורי שפה",IF(AND($L649="תקינה",$Z649="מפותחת"),"קוראים וכותבים מיומנים","מיקוד בהבנה והבעה"))))))</f>
        <v/>
      </c>
      <c r="AC649" s="32">
        <f>IF(OR($AB649="",LEFT($AB649,1)="—"),"",IF(OR($AB649="מיקוד בשטף קריאה",$AB649="מיקוד בשטף הקריאה ובכישורי שפה"),"רמה א'",IF($AB649="קוראים וכותבים מיומנים","רמה ג'","רמה ב'")))</f>
        <v/>
      </c>
      <c r="AD649" s="32">
        <f>IF($AC649="","",MID(IF(AND($AC649="רמה א'",$AA649="ניכרת"),"; להוסיף עבודת אוצר מילים","")&amp;IF($Z649="אינה מפותחת","; דגש על הבעה בכתב","")&amp;IF($K649&lt;&gt;"תקין","; נדרש לעבוד על ההנגנה","")&amp;IF($AK649&lt;&gt;"","; "&amp;$AK649,""),3,400))</f>
        <v/>
      </c>
      <c r="AE649" s="32">
        <f>IF($F649="","",IF($F649="תחילת שנה",1,IF($F649="מחצית שנה",2,3)))</f>
        <v/>
      </c>
      <c r="AF649" s="32">
        <f>IF(OR($B649="",$AC649="",$A649="",$F649=""),"",$B649&amp;"|"&amp;$A649&amp;"|"&amp;$F649&amp;"|"&amp;$AC649&amp;"|"&amp;COUNTIFS($B$6:$B649,$B649,$A$6:$A649,$A649,$F$6:$F649,$F649,$AC$6:$AC649,$AC649))</f>
        <v/>
      </c>
      <c r="AG649" s="32">
        <f>IF($C649="","",$C649&amp;"|"&amp;COUNTIFS($C$6:$C649,$C649))</f>
        <v/>
      </c>
      <c r="AH649" s="32">
        <f>IF(OR($C649="",$A649="",$AE649=""),"",$C649&amp;"|"&amp;$A649&amp;"|"&amp;$AE649)</f>
        <v/>
      </c>
      <c r="AI649" s="32">
        <f>IF(OR($C649="",$AE649="",$AE649=1),"",IFERROR(INDEX($AC$6:$AC$1505,MATCH($C649&amp;"|"&amp;$A649&amp;"|"&amp;($AE649-1),$AH$6:$AH$1505,0)),""))</f>
        <v/>
      </c>
      <c r="AJ649" s="32">
        <f>IF(OR($AI649="",$AC649=""),"",IF($AI649=$AC649,"ללא שינוי","מ-"&amp;$AI649&amp;" ל-"&amp;$AC649))</f>
        <v/>
      </c>
      <c r="AK649" s="67" t="n"/>
    </row>
    <row r="650" ht="15.75" customHeight="1" s="58">
      <c r="A650" s="65" t="n"/>
      <c r="B650" s="65" t="n"/>
      <c r="C650" s="66" t="n"/>
      <c r="D650" s="66" t="n"/>
      <c r="E650" s="65" t="n"/>
      <c r="F650" s="65" t="n"/>
      <c r="G650" s="65" t="n"/>
      <c r="H650" s="65" t="n"/>
      <c r="I650" s="65" t="n"/>
      <c r="J650" s="65" t="n"/>
      <c r="K650" s="65" t="n"/>
      <c r="L650" s="65" t="n"/>
      <c r="M650" s="65" t="n"/>
      <c r="N650" s="65" t="n"/>
      <c r="O650" s="65" t="n"/>
      <c r="P650" s="65" t="n"/>
      <c r="Q650" s="65" t="n"/>
      <c r="R650" s="65" t="n"/>
      <c r="S650" s="65" t="n"/>
      <c r="T650" s="65" t="n"/>
      <c r="U650" s="65" t="n"/>
      <c r="V650" s="65" t="n"/>
      <c r="W650" s="65" t="n"/>
      <c r="X650" s="65" t="n"/>
      <c r="Y650" s="32">
        <f>IF($C650="","",IF(COUNTA($I650:$K650)&lt;3,"— חסרים נתונים",IF(AND($I650="תקין",$J650="תקין",$K650="תקין"),"רהוטה",IF(AND($I650="תקין",$J650="תקין"),"מדויקת ורציפה","אינה מדויקת או מקוטעת"))))</f>
        <v/>
      </c>
      <c r="Z650" s="32">
        <f>IF($C650="","",IF(COUNTA($U650:$W650)&lt;3,"",IF(AND($U650="מפותח",$V650="מפותח",$W650="מפותחת"),"מפותחת",IF((--($U650="דל"))+(--($V650="אינו מפותח"))+(--($W650="דלה"))&gt;=2,"אינה מפותחת","חלקית"))))</f>
        <v/>
      </c>
      <c r="AA650" s="32">
        <f>IF($C650="","",IF(COUNTA($M650,$N650,$O650)&lt;3,"— חסרים נתונים",IF(OR($M650="נמוכה",(--($M650&lt;&gt;"תקינה"))+(--($N650&lt;&gt;"תקין"))+(--($O650&lt;&gt;"תקינה"))&gt;=2),"ניכרת","אינה ניכרת")))</f>
        <v/>
      </c>
      <c r="AB650" s="32">
        <f>IF(OR($C650="",$Y650="",$AA650="",LEFT($Y650,1)="—",LEFT($AA650,1)="—"),"",IF($Z650="","— נדרשת הערכת כתיבה",IF($L650="","— חסרה הבנת הנקרא",IF($Y650="אינה מדויקת או מקוטעת",IF($AA650="ניכרת","מיקוד בשטף הקריאה ובכישורי שפה","מיקוד בשטף קריאה"),IF($AA650="ניכרת","מיקוד בכישורי שפה",IF(AND($L650="תקינה",$Z650="מפותחת"),"קוראים וכותבים מיומנים","מיקוד בהבנה והבעה"))))))</f>
        <v/>
      </c>
      <c r="AC650" s="32">
        <f>IF(OR($AB650="",LEFT($AB650,1)="—"),"",IF(OR($AB650="מיקוד בשטף קריאה",$AB650="מיקוד בשטף הקריאה ובכישורי שפה"),"רמה א'",IF($AB650="קוראים וכותבים מיומנים","רמה ג'","רמה ב'")))</f>
        <v/>
      </c>
      <c r="AD650" s="32">
        <f>IF($AC650="","",MID(IF(AND($AC650="רמה א'",$AA650="ניכרת"),"; להוסיף עבודת אוצר מילים","")&amp;IF($Z650="אינה מפותחת","; דגש על הבעה בכתב","")&amp;IF($K650&lt;&gt;"תקין","; נדרש לעבוד על ההנגנה","")&amp;IF($AK650&lt;&gt;"","; "&amp;$AK650,""),3,400))</f>
        <v/>
      </c>
      <c r="AE650" s="32">
        <f>IF($F650="","",IF($F650="תחילת שנה",1,IF($F650="מחצית שנה",2,3)))</f>
        <v/>
      </c>
      <c r="AF650" s="32">
        <f>IF(OR($B650="",$AC650="",$A650="",$F650=""),"",$B650&amp;"|"&amp;$A650&amp;"|"&amp;$F650&amp;"|"&amp;$AC650&amp;"|"&amp;COUNTIFS($B$6:$B650,$B650,$A$6:$A650,$A650,$F$6:$F650,$F650,$AC$6:$AC650,$AC650))</f>
        <v/>
      </c>
      <c r="AG650" s="32">
        <f>IF($C650="","",$C650&amp;"|"&amp;COUNTIFS($C$6:$C650,$C650))</f>
        <v/>
      </c>
      <c r="AH650" s="32">
        <f>IF(OR($C650="",$A650="",$AE650=""),"",$C650&amp;"|"&amp;$A650&amp;"|"&amp;$AE650)</f>
        <v/>
      </c>
      <c r="AI650" s="32">
        <f>IF(OR($C650="",$AE650="",$AE650=1),"",IFERROR(INDEX($AC$6:$AC$1505,MATCH($C650&amp;"|"&amp;$A650&amp;"|"&amp;($AE650-1),$AH$6:$AH$1505,0)),""))</f>
        <v/>
      </c>
      <c r="AJ650" s="32">
        <f>IF(OR($AI650="",$AC650=""),"",IF($AI650=$AC650,"ללא שינוי","מ-"&amp;$AI650&amp;" ל-"&amp;$AC650))</f>
        <v/>
      </c>
      <c r="AK650" s="67" t="n"/>
    </row>
    <row r="651" ht="15.75" customHeight="1" s="58">
      <c r="A651" s="65" t="n"/>
      <c r="B651" s="65" t="n"/>
      <c r="C651" s="66" t="n"/>
      <c r="D651" s="66" t="n"/>
      <c r="E651" s="65" t="n"/>
      <c r="F651" s="65" t="n"/>
      <c r="G651" s="65" t="n"/>
      <c r="H651" s="65" t="n"/>
      <c r="I651" s="65" t="n"/>
      <c r="J651" s="65" t="n"/>
      <c r="K651" s="65" t="n"/>
      <c r="L651" s="65" t="n"/>
      <c r="M651" s="65" t="n"/>
      <c r="N651" s="65" t="n"/>
      <c r="O651" s="65" t="n"/>
      <c r="P651" s="65" t="n"/>
      <c r="Q651" s="65" t="n"/>
      <c r="R651" s="65" t="n"/>
      <c r="S651" s="65" t="n"/>
      <c r="T651" s="65" t="n"/>
      <c r="U651" s="65" t="n"/>
      <c r="V651" s="65" t="n"/>
      <c r="W651" s="65" t="n"/>
      <c r="X651" s="65" t="n"/>
      <c r="Y651" s="32">
        <f>IF($C651="","",IF(COUNTA($I651:$K651)&lt;3,"— חסרים נתונים",IF(AND($I651="תקין",$J651="תקין",$K651="תקין"),"רהוטה",IF(AND($I651="תקין",$J651="תקין"),"מדויקת ורציפה","אינה מדויקת או מקוטעת"))))</f>
        <v/>
      </c>
      <c r="Z651" s="32">
        <f>IF($C651="","",IF(COUNTA($U651:$W651)&lt;3,"",IF(AND($U651="מפותח",$V651="מפותח",$W651="מפותחת"),"מפותחת",IF((--($U651="דל"))+(--($V651="אינו מפותח"))+(--($W651="דלה"))&gt;=2,"אינה מפותחת","חלקית"))))</f>
        <v/>
      </c>
      <c r="AA651" s="32">
        <f>IF($C651="","",IF(COUNTA($M651,$N651,$O651)&lt;3,"— חסרים נתונים",IF(OR($M651="נמוכה",(--($M651&lt;&gt;"תקינה"))+(--($N651&lt;&gt;"תקין"))+(--($O651&lt;&gt;"תקינה"))&gt;=2),"ניכרת","אינה ניכרת")))</f>
        <v/>
      </c>
      <c r="AB651" s="32">
        <f>IF(OR($C651="",$Y651="",$AA651="",LEFT($Y651,1)="—",LEFT($AA651,1)="—"),"",IF($Z651="","— נדרשת הערכת כתיבה",IF($L651="","— חסרה הבנת הנקרא",IF($Y651="אינה מדויקת או מקוטעת",IF($AA651="ניכרת","מיקוד בשטף הקריאה ובכישורי שפה","מיקוד בשטף קריאה"),IF($AA651="ניכרת","מיקוד בכישורי שפה",IF(AND($L651="תקינה",$Z651="מפותחת"),"קוראים וכותבים מיומנים","מיקוד בהבנה והבעה"))))))</f>
        <v/>
      </c>
      <c r="AC651" s="32">
        <f>IF(OR($AB651="",LEFT($AB651,1)="—"),"",IF(OR($AB651="מיקוד בשטף קריאה",$AB651="מיקוד בשטף הקריאה ובכישורי שפה"),"רמה א'",IF($AB651="קוראים וכותבים מיומנים","רמה ג'","רמה ב'")))</f>
        <v/>
      </c>
      <c r="AD651" s="32">
        <f>IF($AC651="","",MID(IF(AND($AC651="רמה א'",$AA651="ניכרת"),"; להוסיף עבודת אוצר מילים","")&amp;IF($Z651="אינה מפותחת","; דגש על הבעה בכתב","")&amp;IF($K651&lt;&gt;"תקין","; נדרש לעבוד על ההנגנה","")&amp;IF($AK651&lt;&gt;"","; "&amp;$AK651,""),3,400))</f>
        <v/>
      </c>
      <c r="AE651" s="32">
        <f>IF($F651="","",IF($F651="תחילת שנה",1,IF($F651="מחצית שנה",2,3)))</f>
        <v/>
      </c>
      <c r="AF651" s="32">
        <f>IF(OR($B651="",$AC651="",$A651="",$F651=""),"",$B651&amp;"|"&amp;$A651&amp;"|"&amp;$F651&amp;"|"&amp;$AC651&amp;"|"&amp;COUNTIFS($B$6:$B651,$B651,$A$6:$A651,$A651,$F$6:$F651,$F651,$AC$6:$AC651,$AC651))</f>
        <v/>
      </c>
      <c r="AG651" s="32">
        <f>IF($C651="","",$C651&amp;"|"&amp;COUNTIFS($C$6:$C651,$C651))</f>
        <v/>
      </c>
      <c r="AH651" s="32">
        <f>IF(OR($C651="",$A651="",$AE651=""),"",$C651&amp;"|"&amp;$A651&amp;"|"&amp;$AE651)</f>
        <v/>
      </c>
      <c r="AI651" s="32">
        <f>IF(OR($C651="",$AE651="",$AE651=1),"",IFERROR(INDEX($AC$6:$AC$1505,MATCH($C651&amp;"|"&amp;$A651&amp;"|"&amp;($AE651-1),$AH$6:$AH$1505,0)),""))</f>
        <v/>
      </c>
      <c r="AJ651" s="32">
        <f>IF(OR($AI651="",$AC651=""),"",IF($AI651=$AC651,"ללא שינוי","מ-"&amp;$AI651&amp;" ל-"&amp;$AC651))</f>
        <v/>
      </c>
      <c r="AK651" s="67" t="n"/>
    </row>
    <row r="652" ht="15.75" customHeight="1" s="58">
      <c r="A652" s="65" t="n"/>
      <c r="B652" s="65" t="n"/>
      <c r="C652" s="66" t="n"/>
      <c r="D652" s="66" t="n"/>
      <c r="E652" s="65" t="n"/>
      <c r="F652" s="65" t="n"/>
      <c r="G652" s="65" t="n"/>
      <c r="H652" s="65" t="n"/>
      <c r="I652" s="65" t="n"/>
      <c r="J652" s="65" t="n"/>
      <c r="K652" s="65" t="n"/>
      <c r="L652" s="65" t="n"/>
      <c r="M652" s="65" t="n"/>
      <c r="N652" s="65" t="n"/>
      <c r="O652" s="65" t="n"/>
      <c r="P652" s="65" t="n"/>
      <c r="Q652" s="65" t="n"/>
      <c r="R652" s="65" t="n"/>
      <c r="S652" s="65" t="n"/>
      <c r="T652" s="65" t="n"/>
      <c r="U652" s="65" t="n"/>
      <c r="V652" s="65" t="n"/>
      <c r="W652" s="65" t="n"/>
      <c r="X652" s="65" t="n"/>
      <c r="Y652" s="32">
        <f>IF($C652="","",IF(COUNTA($I652:$K652)&lt;3,"— חסרים נתונים",IF(AND($I652="תקין",$J652="תקין",$K652="תקין"),"רהוטה",IF(AND($I652="תקין",$J652="תקין"),"מדויקת ורציפה","אינה מדויקת או מקוטעת"))))</f>
        <v/>
      </c>
      <c r="Z652" s="32">
        <f>IF($C652="","",IF(COUNTA($U652:$W652)&lt;3,"",IF(AND($U652="מפותח",$V652="מפותח",$W652="מפותחת"),"מפותחת",IF((--($U652="דל"))+(--($V652="אינו מפותח"))+(--($W652="דלה"))&gt;=2,"אינה מפותחת","חלקית"))))</f>
        <v/>
      </c>
      <c r="AA652" s="32">
        <f>IF($C652="","",IF(COUNTA($M652,$N652,$O652)&lt;3,"— חסרים נתונים",IF(OR($M652="נמוכה",(--($M652&lt;&gt;"תקינה"))+(--($N652&lt;&gt;"תקין"))+(--($O652&lt;&gt;"תקינה"))&gt;=2),"ניכרת","אינה ניכרת")))</f>
        <v/>
      </c>
      <c r="AB652" s="32">
        <f>IF(OR($C652="",$Y652="",$AA652="",LEFT($Y652,1)="—",LEFT($AA652,1)="—"),"",IF($Z652="","— נדרשת הערכת כתיבה",IF($L652="","— חסרה הבנת הנקרא",IF($Y652="אינה מדויקת או מקוטעת",IF($AA652="ניכרת","מיקוד בשטף הקריאה ובכישורי שפה","מיקוד בשטף קריאה"),IF($AA652="ניכרת","מיקוד בכישורי שפה",IF(AND($L652="תקינה",$Z652="מפותחת"),"קוראים וכותבים מיומנים","מיקוד בהבנה והבעה"))))))</f>
        <v/>
      </c>
      <c r="AC652" s="32">
        <f>IF(OR($AB652="",LEFT($AB652,1)="—"),"",IF(OR($AB652="מיקוד בשטף קריאה",$AB652="מיקוד בשטף הקריאה ובכישורי שפה"),"רמה א'",IF($AB652="קוראים וכותבים מיומנים","רמה ג'","רמה ב'")))</f>
        <v/>
      </c>
      <c r="AD652" s="32">
        <f>IF($AC652="","",MID(IF(AND($AC652="רמה א'",$AA652="ניכרת"),"; להוסיף עבודת אוצר מילים","")&amp;IF($Z652="אינה מפותחת","; דגש על הבעה בכתב","")&amp;IF($K652&lt;&gt;"תקין","; נדרש לעבוד על ההנגנה","")&amp;IF($AK652&lt;&gt;"","; "&amp;$AK652,""),3,400))</f>
        <v/>
      </c>
      <c r="AE652" s="32">
        <f>IF($F652="","",IF($F652="תחילת שנה",1,IF($F652="מחצית שנה",2,3)))</f>
        <v/>
      </c>
      <c r="AF652" s="32">
        <f>IF(OR($B652="",$AC652="",$A652="",$F652=""),"",$B652&amp;"|"&amp;$A652&amp;"|"&amp;$F652&amp;"|"&amp;$AC652&amp;"|"&amp;COUNTIFS($B$6:$B652,$B652,$A$6:$A652,$A652,$F$6:$F652,$F652,$AC$6:$AC652,$AC652))</f>
        <v/>
      </c>
      <c r="AG652" s="32">
        <f>IF($C652="","",$C652&amp;"|"&amp;COUNTIFS($C$6:$C652,$C652))</f>
        <v/>
      </c>
      <c r="AH652" s="32">
        <f>IF(OR($C652="",$A652="",$AE652=""),"",$C652&amp;"|"&amp;$A652&amp;"|"&amp;$AE652)</f>
        <v/>
      </c>
      <c r="AI652" s="32">
        <f>IF(OR($C652="",$AE652="",$AE652=1),"",IFERROR(INDEX($AC$6:$AC$1505,MATCH($C652&amp;"|"&amp;$A652&amp;"|"&amp;($AE652-1),$AH$6:$AH$1505,0)),""))</f>
        <v/>
      </c>
      <c r="AJ652" s="32">
        <f>IF(OR($AI652="",$AC652=""),"",IF($AI652=$AC652,"ללא שינוי","מ-"&amp;$AI652&amp;" ל-"&amp;$AC652))</f>
        <v/>
      </c>
      <c r="AK652" s="67" t="n"/>
    </row>
    <row r="653" ht="15.75" customHeight="1" s="58">
      <c r="A653" s="65" t="n"/>
      <c r="B653" s="65" t="n"/>
      <c r="C653" s="66" t="n"/>
      <c r="D653" s="66" t="n"/>
      <c r="E653" s="65" t="n"/>
      <c r="F653" s="65" t="n"/>
      <c r="G653" s="65" t="n"/>
      <c r="H653" s="65" t="n"/>
      <c r="I653" s="65" t="n"/>
      <c r="J653" s="65" t="n"/>
      <c r="K653" s="65" t="n"/>
      <c r="L653" s="65" t="n"/>
      <c r="M653" s="65" t="n"/>
      <c r="N653" s="65" t="n"/>
      <c r="O653" s="65" t="n"/>
      <c r="P653" s="65" t="n"/>
      <c r="Q653" s="65" t="n"/>
      <c r="R653" s="65" t="n"/>
      <c r="S653" s="65" t="n"/>
      <c r="T653" s="65" t="n"/>
      <c r="U653" s="65" t="n"/>
      <c r="V653" s="65" t="n"/>
      <c r="W653" s="65" t="n"/>
      <c r="X653" s="65" t="n"/>
      <c r="Y653" s="32">
        <f>IF($C653="","",IF(COUNTA($I653:$K653)&lt;3,"— חסרים נתונים",IF(AND($I653="תקין",$J653="תקין",$K653="תקין"),"רהוטה",IF(AND($I653="תקין",$J653="תקין"),"מדויקת ורציפה","אינה מדויקת או מקוטעת"))))</f>
        <v/>
      </c>
      <c r="Z653" s="32">
        <f>IF($C653="","",IF(COUNTA($U653:$W653)&lt;3,"",IF(AND($U653="מפותח",$V653="מפותח",$W653="מפותחת"),"מפותחת",IF((--($U653="דל"))+(--($V653="אינו מפותח"))+(--($W653="דלה"))&gt;=2,"אינה מפותחת","חלקית"))))</f>
        <v/>
      </c>
      <c r="AA653" s="32">
        <f>IF($C653="","",IF(COUNTA($M653,$N653,$O653)&lt;3,"— חסרים נתונים",IF(OR($M653="נמוכה",(--($M653&lt;&gt;"תקינה"))+(--($N653&lt;&gt;"תקין"))+(--($O653&lt;&gt;"תקינה"))&gt;=2),"ניכרת","אינה ניכרת")))</f>
        <v/>
      </c>
      <c r="AB653" s="32">
        <f>IF(OR($C653="",$Y653="",$AA653="",LEFT($Y653,1)="—",LEFT($AA653,1)="—"),"",IF($Z653="","— נדרשת הערכת כתיבה",IF($L653="","— חסרה הבנת הנקרא",IF($Y653="אינה מדויקת או מקוטעת",IF($AA653="ניכרת","מיקוד בשטף הקריאה ובכישורי שפה","מיקוד בשטף קריאה"),IF($AA653="ניכרת","מיקוד בכישורי שפה",IF(AND($L653="תקינה",$Z653="מפותחת"),"קוראים וכותבים מיומנים","מיקוד בהבנה והבעה"))))))</f>
        <v/>
      </c>
      <c r="AC653" s="32">
        <f>IF(OR($AB653="",LEFT($AB653,1)="—"),"",IF(OR($AB653="מיקוד בשטף קריאה",$AB653="מיקוד בשטף הקריאה ובכישורי שפה"),"רמה א'",IF($AB653="קוראים וכותבים מיומנים","רמה ג'","רמה ב'")))</f>
        <v/>
      </c>
      <c r="AD653" s="32">
        <f>IF($AC653="","",MID(IF(AND($AC653="רמה א'",$AA653="ניכרת"),"; להוסיף עבודת אוצר מילים","")&amp;IF($Z653="אינה מפותחת","; דגש על הבעה בכתב","")&amp;IF($K653&lt;&gt;"תקין","; נדרש לעבוד על ההנגנה","")&amp;IF($AK653&lt;&gt;"","; "&amp;$AK653,""),3,400))</f>
        <v/>
      </c>
      <c r="AE653" s="32">
        <f>IF($F653="","",IF($F653="תחילת שנה",1,IF($F653="מחצית שנה",2,3)))</f>
        <v/>
      </c>
      <c r="AF653" s="32">
        <f>IF(OR($B653="",$AC653="",$A653="",$F653=""),"",$B653&amp;"|"&amp;$A653&amp;"|"&amp;$F653&amp;"|"&amp;$AC653&amp;"|"&amp;COUNTIFS($B$6:$B653,$B653,$A$6:$A653,$A653,$F$6:$F653,$F653,$AC$6:$AC653,$AC653))</f>
        <v/>
      </c>
      <c r="AG653" s="32">
        <f>IF($C653="","",$C653&amp;"|"&amp;COUNTIFS($C$6:$C653,$C653))</f>
        <v/>
      </c>
      <c r="AH653" s="32">
        <f>IF(OR($C653="",$A653="",$AE653=""),"",$C653&amp;"|"&amp;$A653&amp;"|"&amp;$AE653)</f>
        <v/>
      </c>
      <c r="AI653" s="32">
        <f>IF(OR($C653="",$AE653="",$AE653=1),"",IFERROR(INDEX($AC$6:$AC$1505,MATCH($C653&amp;"|"&amp;$A653&amp;"|"&amp;($AE653-1),$AH$6:$AH$1505,0)),""))</f>
        <v/>
      </c>
      <c r="AJ653" s="32">
        <f>IF(OR($AI653="",$AC653=""),"",IF($AI653=$AC653,"ללא שינוי","מ-"&amp;$AI653&amp;" ל-"&amp;$AC653))</f>
        <v/>
      </c>
      <c r="AK653" s="67" t="n"/>
    </row>
    <row r="654" ht="15.75" customHeight="1" s="58">
      <c r="A654" s="65" t="n"/>
      <c r="B654" s="65" t="n"/>
      <c r="C654" s="66" t="n"/>
      <c r="D654" s="66" t="n"/>
      <c r="E654" s="65" t="n"/>
      <c r="F654" s="65" t="n"/>
      <c r="G654" s="65" t="n"/>
      <c r="H654" s="65" t="n"/>
      <c r="I654" s="65" t="n"/>
      <c r="J654" s="65" t="n"/>
      <c r="K654" s="65" t="n"/>
      <c r="L654" s="65" t="n"/>
      <c r="M654" s="65" t="n"/>
      <c r="N654" s="65" t="n"/>
      <c r="O654" s="65" t="n"/>
      <c r="P654" s="65" t="n"/>
      <c r="Q654" s="65" t="n"/>
      <c r="R654" s="65" t="n"/>
      <c r="S654" s="65" t="n"/>
      <c r="T654" s="65" t="n"/>
      <c r="U654" s="65" t="n"/>
      <c r="V654" s="65" t="n"/>
      <c r="W654" s="65" t="n"/>
      <c r="X654" s="65" t="n"/>
      <c r="Y654" s="32">
        <f>IF($C654="","",IF(COUNTA($I654:$K654)&lt;3,"— חסרים נתונים",IF(AND($I654="תקין",$J654="תקין",$K654="תקין"),"רהוטה",IF(AND($I654="תקין",$J654="תקין"),"מדויקת ורציפה","אינה מדויקת או מקוטעת"))))</f>
        <v/>
      </c>
      <c r="Z654" s="32">
        <f>IF($C654="","",IF(COUNTA($U654:$W654)&lt;3,"",IF(AND($U654="מפותח",$V654="מפותח",$W654="מפותחת"),"מפותחת",IF((--($U654="דל"))+(--($V654="אינו מפותח"))+(--($W654="דלה"))&gt;=2,"אינה מפותחת","חלקית"))))</f>
        <v/>
      </c>
      <c r="AA654" s="32">
        <f>IF($C654="","",IF(COUNTA($M654,$N654,$O654)&lt;3,"— חסרים נתונים",IF(OR($M654="נמוכה",(--($M654&lt;&gt;"תקינה"))+(--($N654&lt;&gt;"תקין"))+(--($O654&lt;&gt;"תקינה"))&gt;=2),"ניכרת","אינה ניכרת")))</f>
        <v/>
      </c>
      <c r="AB654" s="32">
        <f>IF(OR($C654="",$Y654="",$AA654="",LEFT($Y654,1)="—",LEFT($AA654,1)="—"),"",IF($Z654="","— נדרשת הערכת כתיבה",IF($L654="","— חסרה הבנת הנקרא",IF($Y654="אינה מדויקת או מקוטעת",IF($AA654="ניכרת","מיקוד בשטף הקריאה ובכישורי שפה","מיקוד בשטף קריאה"),IF($AA654="ניכרת","מיקוד בכישורי שפה",IF(AND($L654="תקינה",$Z654="מפותחת"),"קוראים וכותבים מיומנים","מיקוד בהבנה והבעה"))))))</f>
        <v/>
      </c>
      <c r="AC654" s="32">
        <f>IF(OR($AB654="",LEFT($AB654,1)="—"),"",IF(OR($AB654="מיקוד בשטף קריאה",$AB654="מיקוד בשטף הקריאה ובכישורי שפה"),"רמה א'",IF($AB654="קוראים וכותבים מיומנים","רמה ג'","רמה ב'")))</f>
        <v/>
      </c>
      <c r="AD654" s="32">
        <f>IF($AC654="","",MID(IF(AND($AC654="רמה א'",$AA654="ניכרת"),"; להוסיף עבודת אוצר מילים","")&amp;IF($Z654="אינה מפותחת","; דגש על הבעה בכתב","")&amp;IF($K654&lt;&gt;"תקין","; נדרש לעבוד על ההנגנה","")&amp;IF($AK654&lt;&gt;"","; "&amp;$AK654,""),3,400))</f>
        <v/>
      </c>
      <c r="AE654" s="32">
        <f>IF($F654="","",IF($F654="תחילת שנה",1,IF($F654="מחצית שנה",2,3)))</f>
        <v/>
      </c>
      <c r="AF654" s="32">
        <f>IF(OR($B654="",$AC654="",$A654="",$F654=""),"",$B654&amp;"|"&amp;$A654&amp;"|"&amp;$F654&amp;"|"&amp;$AC654&amp;"|"&amp;COUNTIFS($B$6:$B654,$B654,$A$6:$A654,$A654,$F$6:$F654,$F654,$AC$6:$AC654,$AC654))</f>
        <v/>
      </c>
      <c r="AG654" s="32">
        <f>IF($C654="","",$C654&amp;"|"&amp;COUNTIFS($C$6:$C654,$C654))</f>
        <v/>
      </c>
      <c r="AH654" s="32">
        <f>IF(OR($C654="",$A654="",$AE654=""),"",$C654&amp;"|"&amp;$A654&amp;"|"&amp;$AE654)</f>
        <v/>
      </c>
      <c r="AI654" s="32">
        <f>IF(OR($C654="",$AE654="",$AE654=1),"",IFERROR(INDEX($AC$6:$AC$1505,MATCH($C654&amp;"|"&amp;$A654&amp;"|"&amp;($AE654-1),$AH$6:$AH$1505,0)),""))</f>
        <v/>
      </c>
      <c r="AJ654" s="32">
        <f>IF(OR($AI654="",$AC654=""),"",IF($AI654=$AC654,"ללא שינוי","מ-"&amp;$AI654&amp;" ל-"&amp;$AC654))</f>
        <v/>
      </c>
      <c r="AK654" s="67" t="n"/>
    </row>
    <row r="655" ht="15.75" customHeight="1" s="58">
      <c r="A655" s="65" t="n"/>
      <c r="B655" s="65" t="n"/>
      <c r="C655" s="66" t="n"/>
      <c r="D655" s="66" t="n"/>
      <c r="E655" s="65" t="n"/>
      <c r="F655" s="65" t="n"/>
      <c r="G655" s="65" t="n"/>
      <c r="H655" s="65" t="n"/>
      <c r="I655" s="65" t="n"/>
      <c r="J655" s="65" t="n"/>
      <c r="K655" s="65" t="n"/>
      <c r="L655" s="65" t="n"/>
      <c r="M655" s="65" t="n"/>
      <c r="N655" s="65" t="n"/>
      <c r="O655" s="65" t="n"/>
      <c r="P655" s="65" t="n"/>
      <c r="Q655" s="65" t="n"/>
      <c r="R655" s="65" t="n"/>
      <c r="S655" s="65" t="n"/>
      <c r="T655" s="65" t="n"/>
      <c r="U655" s="65" t="n"/>
      <c r="V655" s="65" t="n"/>
      <c r="W655" s="65" t="n"/>
      <c r="X655" s="65" t="n"/>
      <c r="Y655" s="32">
        <f>IF($C655="","",IF(COUNTA($I655:$K655)&lt;3,"— חסרים נתונים",IF(AND($I655="תקין",$J655="תקין",$K655="תקין"),"רהוטה",IF(AND($I655="תקין",$J655="תקין"),"מדויקת ורציפה","אינה מדויקת או מקוטעת"))))</f>
        <v/>
      </c>
      <c r="Z655" s="32">
        <f>IF($C655="","",IF(COUNTA($U655:$W655)&lt;3,"",IF(AND($U655="מפותח",$V655="מפותח",$W655="מפותחת"),"מפותחת",IF((--($U655="דל"))+(--($V655="אינו מפותח"))+(--($W655="דלה"))&gt;=2,"אינה מפותחת","חלקית"))))</f>
        <v/>
      </c>
      <c r="AA655" s="32">
        <f>IF($C655="","",IF(COUNTA($M655,$N655,$O655)&lt;3,"— חסרים נתונים",IF(OR($M655="נמוכה",(--($M655&lt;&gt;"תקינה"))+(--($N655&lt;&gt;"תקין"))+(--($O655&lt;&gt;"תקינה"))&gt;=2),"ניכרת","אינה ניכרת")))</f>
        <v/>
      </c>
      <c r="AB655" s="32">
        <f>IF(OR($C655="",$Y655="",$AA655="",LEFT($Y655,1)="—",LEFT($AA655,1)="—"),"",IF($Z655="","— נדרשת הערכת כתיבה",IF($L655="","— חסרה הבנת הנקרא",IF($Y655="אינה מדויקת או מקוטעת",IF($AA655="ניכרת","מיקוד בשטף הקריאה ובכישורי שפה","מיקוד בשטף קריאה"),IF($AA655="ניכרת","מיקוד בכישורי שפה",IF(AND($L655="תקינה",$Z655="מפותחת"),"קוראים וכותבים מיומנים","מיקוד בהבנה והבעה"))))))</f>
        <v/>
      </c>
      <c r="AC655" s="32">
        <f>IF(OR($AB655="",LEFT($AB655,1)="—"),"",IF(OR($AB655="מיקוד בשטף קריאה",$AB655="מיקוד בשטף הקריאה ובכישורי שפה"),"רמה א'",IF($AB655="קוראים וכותבים מיומנים","רמה ג'","רמה ב'")))</f>
        <v/>
      </c>
      <c r="AD655" s="32">
        <f>IF($AC655="","",MID(IF(AND($AC655="רמה א'",$AA655="ניכרת"),"; להוסיף עבודת אוצר מילים","")&amp;IF($Z655="אינה מפותחת","; דגש על הבעה בכתב","")&amp;IF($K655&lt;&gt;"תקין","; נדרש לעבוד על ההנגנה","")&amp;IF($AK655&lt;&gt;"","; "&amp;$AK655,""),3,400))</f>
        <v/>
      </c>
      <c r="AE655" s="32">
        <f>IF($F655="","",IF($F655="תחילת שנה",1,IF($F655="מחצית שנה",2,3)))</f>
        <v/>
      </c>
      <c r="AF655" s="32">
        <f>IF(OR($B655="",$AC655="",$A655="",$F655=""),"",$B655&amp;"|"&amp;$A655&amp;"|"&amp;$F655&amp;"|"&amp;$AC655&amp;"|"&amp;COUNTIFS($B$6:$B655,$B655,$A$6:$A655,$A655,$F$6:$F655,$F655,$AC$6:$AC655,$AC655))</f>
        <v/>
      </c>
      <c r="AG655" s="32">
        <f>IF($C655="","",$C655&amp;"|"&amp;COUNTIFS($C$6:$C655,$C655))</f>
        <v/>
      </c>
      <c r="AH655" s="32">
        <f>IF(OR($C655="",$A655="",$AE655=""),"",$C655&amp;"|"&amp;$A655&amp;"|"&amp;$AE655)</f>
        <v/>
      </c>
      <c r="AI655" s="32">
        <f>IF(OR($C655="",$AE655="",$AE655=1),"",IFERROR(INDEX($AC$6:$AC$1505,MATCH($C655&amp;"|"&amp;$A655&amp;"|"&amp;($AE655-1),$AH$6:$AH$1505,0)),""))</f>
        <v/>
      </c>
      <c r="AJ655" s="32">
        <f>IF(OR($AI655="",$AC655=""),"",IF($AI655=$AC655,"ללא שינוי","מ-"&amp;$AI655&amp;" ל-"&amp;$AC655))</f>
        <v/>
      </c>
      <c r="AK655" s="67" t="n"/>
    </row>
    <row r="656" ht="15.75" customHeight="1" s="58">
      <c r="A656" s="65" t="n"/>
      <c r="B656" s="65" t="n"/>
      <c r="C656" s="66" t="n"/>
      <c r="D656" s="66" t="n"/>
      <c r="E656" s="65" t="n"/>
      <c r="F656" s="65" t="n"/>
      <c r="G656" s="65" t="n"/>
      <c r="H656" s="65" t="n"/>
      <c r="I656" s="65" t="n"/>
      <c r="J656" s="65" t="n"/>
      <c r="K656" s="65" t="n"/>
      <c r="L656" s="65" t="n"/>
      <c r="M656" s="65" t="n"/>
      <c r="N656" s="65" t="n"/>
      <c r="O656" s="65" t="n"/>
      <c r="P656" s="65" t="n"/>
      <c r="Q656" s="65" t="n"/>
      <c r="R656" s="65" t="n"/>
      <c r="S656" s="65" t="n"/>
      <c r="T656" s="65" t="n"/>
      <c r="U656" s="65" t="n"/>
      <c r="V656" s="65" t="n"/>
      <c r="W656" s="65" t="n"/>
      <c r="X656" s="65" t="n"/>
      <c r="Y656" s="32">
        <f>IF($C656="","",IF(COUNTA($I656:$K656)&lt;3,"— חסרים נתונים",IF(AND($I656="תקין",$J656="תקין",$K656="תקין"),"רהוטה",IF(AND($I656="תקין",$J656="תקין"),"מדויקת ורציפה","אינה מדויקת או מקוטעת"))))</f>
        <v/>
      </c>
      <c r="Z656" s="32">
        <f>IF($C656="","",IF(COUNTA($U656:$W656)&lt;3,"",IF(AND($U656="מפותח",$V656="מפותח",$W656="מפותחת"),"מפותחת",IF((--($U656="דל"))+(--($V656="אינו מפותח"))+(--($W656="דלה"))&gt;=2,"אינה מפותחת","חלקית"))))</f>
        <v/>
      </c>
      <c r="AA656" s="32">
        <f>IF($C656="","",IF(COUNTA($M656,$N656,$O656)&lt;3,"— חסרים נתונים",IF(OR($M656="נמוכה",(--($M656&lt;&gt;"תקינה"))+(--($N656&lt;&gt;"תקין"))+(--($O656&lt;&gt;"תקינה"))&gt;=2),"ניכרת","אינה ניכרת")))</f>
        <v/>
      </c>
      <c r="AB656" s="32">
        <f>IF(OR($C656="",$Y656="",$AA656="",LEFT($Y656,1)="—",LEFT($AA656,1)="—"),"",IF($Z656="","— נדרשת הערכת כתיבה",IF($L656="","— חסרה הבנת הנקרא",IF($Y656="אינה מדויקת או מקוטעת",IF($AA656="ניכרת","מיקוד בשטף הקריאה ובכישורי שפה","מיקוד בשטף קריאה"),IF($AA656="ניכרת","מיקוד בכישורי שפה",IF(AND($L656="תקינה",$Z656="מפותחת"),"קוראים וכותבים מיומנים","מיקוד בהבנה והבעה"))))))</f>
        <v/>
      </c>
      <c r="AC656" s="32">
        <f>IF(OR($AB656="",LEFT($AB656,1)="—"),"",IF(OR($AB656="מיקוד בשטף קריאה",$AB656="מיקוד בשטף הקריאה ובכישורי שפה"),"רמה א'",IF($AB656="קוראים וכותבים מיומנים","רמה ג'","רמה ב'")))</f>
        <v/>
      </c>
      <c r="AD656" s="32">
        <f>IF($AC656="","",MID(IF(AND($AC656="רמה א'",$AA656="ניכרת"),"; להוסיף עבודת אוצר מילים","")&amp;IF($Z656="אינה מפותחת","; דגש על הבעה בכתב","")&amp;IF($K656&lt;&gt;"תקין","; נדרש לעבוד על ההנגנה","")&amp;IF($AK656&lt;&gt;"","; "&amp;$AK656,""),3,400))</f>
        <v/>
      </c>
      <c r="AE656" s="32">
        <f>IF($F656="","",IF($F656="תחילת שנה",1,IF($F656="מחצית שנה",2,3)))</f>
        <v/>
      </c>
      <c r="AF656" s="32">
        <f>IF(OR($B656="",$AC656="",$A656="",$F656=""),"",$B656&amp;"|"&amp;$A656&amp;"|"&amp;$F656&amp;"|"&amp;$AC656&amp;"|"&amp;COUNTIFS($B$6:$B656,$B656,$A$6:$A656,$A656,$F$6:$F656,$F656,$AC$6:$AC656,$AC656))</f>
        <v/>
      </c>
      <c r="AG656" s="32">
        <f>IF($C656="","",$C656&amp;"|"&amp;COUNTIFS($C$6:$C656,$C656))</f>
        <v/>
      </c>
      <c r="AH656" s="32">
        <f>IF(OR($C656="",$A656="",$AE656=""),"",$C656&amp;"|"&amp;$A656&amp;"|"&amp;$AE656)</f>
        <v/>
      </c>
      <c r="AI656" s="32">
        <f>IF(OR($C656="",$AE656="",$AE656=1),"",IFERROR(INDEX($AC$6:$AC$1505,MATCH($C656&amp;"|"&amp;$A656&amp;"|"&amp;($AE656-1),$AH$6:$AH$1505,0)),""))</f>
        <v/>
      </c>
      <c r="AJ656" s="32">
        <f>IF(OR($AI656="",$AC656=""),"",IF($AI656=$AC656,"ללא שינוי","מ-"&amp;$AI656&amp;" ל-"&amp;$AC656))</f>
        <v/>
      </c>
      <c r="AK656" s="67" t="n"/>
    </row>
    <row r="657" ht="15.75" customHeight="1" s="58">
      <c r="A657" s="65" t="n"/>
      <c r="B657" s="65" t="n"/>
      <c r="C657" s="66" t="n"/>
      <c r="D657" s="66" t="n"/>
      <c r="E657" s="65" t="n"/>
      <c r="F657" s="65" t="n"/>
      <c r="G657" s="65" t="n"/>
      <c r="H657" s="65" t="n"/>
      <c r="I657" s="65" t="n"/>
      <c r="J657" s="65" t="n"/>
      <c r="K657" s="65" t="n"/>
      <c r="L657" s="65" t="n"/>
      <c r="M657" s="65" t="n"/>
      <c r="N657" s="65" t="n"/>
      <c r="O657" s="65" t="n"/>
      <c r="P657" s="65" t="n"/>
      <c r="Q657" s="65" t="n"/>
      <c r="R657" s="65" t="n"/>
      <c r="S657" s="65" t="n"/>
      <c r="T657" s="65" t="n"/>
      <c r="U657" s="65" t="n"/>
      <c r="V657" s="65" t="n"/>
      <c r="W657" s="65" t="n"/>
      <c r="X657" s="65" t="n"/>
      <c r="Y657" s="32">
        <f>IF($C657="","",IF(COUNTA($I657:$K657)&lt;3,"— חסרים נתונים",IF(AND($I657="תקין",$J657="תקין",$K657="תקין"),"רהוטה",IF(AND($I657="תקין",$J657="תקין"),"מדויקת ורציפה","אינה מדויקת או מקוטעת"))))</f>
        <v/>
      </c>
      <c r="Z657" s="32">
        <f>IF($C657="","",IF(COUNTA($U657:$W657)&lt;3,"",IF(AND($U657="מפותח",$V657="מפותח",$W657="מפותחת"),"מפותחת",IF((--($U657="דל"))+(--($V657="אינו מפותח"))+(--($W657="דלה"))&gt;=2,"אינה מפותחת","חלקית"))))</f>
        <v/>
      </c>
      <c r="AA657" s="32">
        <f>IF($C657="","",IF(COUNTA($M657,$N657,$O657)&lt;3,"— חסרים נתונים",IF(OR($M657="נמוכה",(--($M657&lt;&gt;"תקינה"))+(--($N657&lt;&gt;"תקין"))+(--($O657&lt;&gt;"תקינה"))&gt;=2),"ניכרת","אינה ניכרת")))</f>
        <v/>
      </c>
      <c r="AB657" s="32">
        <f>IF(OR($C657="",$Y657="",$AA657="",LEFT($Y657,1)="—",LEFT($AA657,1)="—"),"",IF($Z657="","— נדרשת הערכת כתיבה",IF($L657="","— חסרה הבנת הנקרא",IF($Y657="אינה מדויקת או מקוטעת",IF($AA657="ניכרת","מיקוד בשטף הקריאה ובכישורי שפה","מיקוד בשטף קריאה"),IF($AA657="ניכרת","מיקוד בכישורי שפה",IF(AND($L657="תקינה",$Z657="מפותחת"),"קוראים וכותבים מיומנים","מיקוד בהבנה והבעה"))))))</f>
        <v/>
      </c>
      <c r="AC657" s="32">
        <f>IF(OR($AB657="",LEFT($AB657,1)="—"),"",IF(OR($AB657="מיקוד בשטף קריאה",$AB657="מיקוד בשטף הקריאה ובכישורי שפה"),"רמה א'",IF($AB657="קוראים וכותבים מיומנים","רמה ג'","רמה ב'")))</f>
        <v/>
      </c>
      <c r="AD657" s="32">
        <f>IF($AC657="","",MID(IF(AND($AC657="רמה א'",$AA657="ניכרת"),"; להוסיף עבודת אוצר מילים","")&amp;IF($Z657="אינה מפותחת","; דגש על הבעה בכתב","")&amp;IF($K657&lt;&gt;"תקין","; נדרש לעבוד על ההנגנה","")&amp;IF($AK657&lt;&gt;"","; "&amp;$AK657,""),3,400))</f>
        <v/>
      </c>
      <c r="AE657" s="32">
        <f>IF($F657="","",IF($F657="תחילת שנה",1,IF($F657="מחצית שנה",2,3)))</f>
        <v/>
      </c>
      <c r="AF657" s="32">
        <f>IF(OR($B657="",$AC657="",$A657="",$F657=""),"",$B657&amp;"|"&amp;$A657&amp;"|"&amp;$F657&amp;"|"&amp;$AC657&amp;"|"&amp;COUNTIFS($B$6:$B657,$B657,$A$6:$A657,$A657,$F$6:$F657,$F657,$AC$6:$AC657,$AC657))</f>
        <v/>
      </c>
      <c r="AG657" s="32">
        <f>IF($C657="","",$C657&amp;"|"&amp;COUNTIFS($C$6:$C657,$C657))</f>
        <v/>
      </c>
      <c r="AH657" s="32">
        <f>IF(OR($C657="",$A657="",$AE657=""),"",$C657&amp;"|"&amp;$A657&amp;"|"&amp;$AE657)</f>
        <v/>
      </c>
      <c r="AI657" s="32">
        <f>IF(OR($C657="",$AE657="",$AE657=1),"",IFERROR(INDEX($AC$6:$AC$1505,MATCH($C657&amp;"|"&amp;$A657&amp;"|"&amp;($AE657-1),$AH$6:$AH$1505,0)),""))</f>
        <v/>
      </c>
      <c r="AJ657" s="32">
        <f>IF(OR($AI657="",$AC657=""),"",IF($AI657=$AC657,"ללא שינוי","מ-"&amp;$AI657&amp;" ל-"&amp;$AC657))</f>
        <v/>
      </c>
      <c r="AK657" s="67" t="n"/>
    </row>
    <row r="658" ht="15.75" customHeight="1" s="58">
      <c r="A658" s="65" t="n"/>
      <c r="B658" s="65" t="n"/>
      <c r="C658" s="66" t="n"/>
      <c r="D658" s="66" t="n"/>
      <c r="E658" s="65" t="n"/>
      <c r="F658" s="65" t="n"/>
      <c r="G658" s="65" t="n"/>
      <c r="H658" s="65" t="n"/>
      <c r="I658" s="65" t="n"/>
      <c r="J658" s="65" t="n"/>
      <c r="K658" s="65" t="n"/>
      <c r="L658" s="65" t="n"/>
      <c r="M658" s="65" t="n"/>
      <c r="N658" s="65" t="n"/>
      <c r="O658" s="65" t="n"/>
      <c r="P658" s="65" t="n"/>
      <c r="Q658" s="65" t="n"/>
      <c r="R658" s="65" t="n"/>
      <c r="S658" s="65" t="n"/>
      <c r="T658" s="65" t="n"/>
      <c r="U658" s="65" t="n"/>
      <c r="V658" s="65" t="n"/>
      <c r="W658" s="65" t="n"/>
      <c r="X658" s="65" t="n"/>
      <c r="Y658" s="32">
        <f>IF($C658="","",IF(COUNTA($I658:$K658)&lt;3,"— חסרים נתונים",IF(AND($I658="תקין",$J658="תקין",$K658="תקין"),"רהוטה",IF(AND($I658="תקין",$J658="תקין"),"מדויקת ורציפה","אינה מדויקת או מקוטעת"))))</f>
        <v/>
      </c>
      <c r="Z658" s="32">
        <f>IF($C658="","",IF(COUNTA($U658:$W658)&lt;3,"",IF(AND($U658="מפותח",$V658="מפותח",$W658="מפותחת"),"מפותחת",IF((--($U658="דל"))+(--($V658="אינו מפותח"))+(--($W658="דלה"))&gt;=2,"אינה מפותחת","חלקית"))))</f>
        <v/>
      </c>
      <c r="AA658" s="32">
        <f>IF($C658="","",IF(COUNTA($M658,$N658,$O658)&lt;3,"— חסרים נתונים",IF(OR($M658="נמוכה",(--($M658&lt;&gt;"תקינה"))+(--($N658&lt;&gt;"תקין"))+(--($O658&lt;&gt;"תקינה"))&gt;=2),"ניכרת","אינה ניכרת")))</f>
        <v/>
      </c>
      <c r="AB658" s="32">
        <f>IF(OR($C658="",$Y658="",$AA658="",LEFT($Y658,1)="—",LEFT($AA658,1)="—"),"",IF($Z658="","— נדרשת הערכת כתיבה",IF($L658="","— חסרה הבנת הנקרא",IF($Y658="אינה מדויקת או מקוטעת",IF($AA658="ניכרת","מיקוד בשטף הקריאה ובכישורי שפה","מיקוד בשטף קריאה"),IF($AA658="ניכרת","מיקוד בכישורי שפה",IF(AND($L658="תקינה",$Z658="מפותחת"),"קוראים וכותבים מיומנים","מיקוד בהבנה והבעה"))))))</f>
        <v/>
      </c>
      <c r="AC658" s="32">
        <f>IF(OR($AB658="",LEFT($AB658,1)="—"),"",IF(OR($AB658="מיקוד בשטף קריאה",$AB658="מיקוד בשטף הקריאה ובכישורי שפה"),"רמה א'",IF($AB658="קוראים וכותבים מיומנים","רמה ג'","רמה ב'")))</f>
        <v/>
      </c>
      <c r="AD658" s="32">
        <f>IF($AC658="","",MID(IF(AND($AC658="רמה א'",$AA658="ניכרת"),"; להוסיף עבודת אוצר מילים","")&amp;IF($Z658="אינה מפותחת","; דגש על הבעה בכתב","")&amp;IF($K658&lt;&gt;"תקין","; נדרש לעבוד על ההנגנה","")&amp;IF($AK658&lt;&gt;"","; "&amp;$AK658,""),3,400))</f>
        <v/>
      </c>
      <c r="AE658" s="32">
        <f>IF($F658="","",IF($F658="תחילת שנה",1,IF($F658="מחצית שנה",2,3)))</f>
        <v/>
      </c>
      <c r="AF658" s="32">
        <f>IF(OR($B658="",$AC658="",$A658="",$F658=""),"",$B658&amp;"|"&amp;$A658&amp;"|"&amp;$F658&amp;"|"&amp;$AC658&amp;"|"&amp;COUNTIFS($B$6:$B658,$B658,$A$6:$A658,$A658,$F$6:$F658,$F658,$AC$6:$AC658,$AC658))</f>
        <v/>
      </c>
      <c r="AG658" s="32">
        <f>IF($C658="","",$C658&amp;"|"&amp;COUNTIFS($C$6:$C658,$C658))</f>
        <v/>
      </c>
      <c r="AH658" s="32">
        <f>IF(OR($C658="",$A658="",$AE658=""),"",$C658&amp;"|"&amp;$A658&amp;"|"&amp;$AE658)</f>
        <v/>
      </c>
      <c r="AI658" s="32">
        <f>IF(OR($C658="",$AE658="",$AE658=1),"",IFERROR(INDEX($AC$6:$AC$1505,MATCH($C658&amp;"|"&amp;$A658&amp;"|"&amp;($AE658-1),$AH$6:$AH$1505,0)),""))</f>
        <v/>
      </c>
      <c r="AJ658" s="32">
        <f>IF(OR($AI658="",$AC658=""),"",IF($AI658=$AC658,"ללא שינוי","מ-"&amp;$AI658&amp;" ל-"&amp;$AC658))</f>
        <v/>
      </c>
      <c r="AK658" s="67" t="n"/>
    </row>
    <row r="659" ht="15.75" customHeight="1" s="58">
      <c r="A659" s="65" t="n"/>
      <c r="B659" s="65" t="n"/>
      <c r="C659" s="66" t="n"/>
      <c r="D659" s="66" t="n"/>
      <c r="E659" s="65" t="n"/>
      <c r="F659" s="65" t="n"/>
      <c r="G659" s="65" t="n"/>
      <c r="H659" s="65" t="n"/>
      <c r="I659" s="65" t="n"/>
      <c r="J659" s="65" t="n"/>
      <c r="K659" s="65" t="n"/>
      <c r="L659" s="65" t="n"/>
      <c r="M659" s="65" t="n"/>
      <c r="N659" s="65" t="n"/>
      <c r="O659" s="65" t="n"/>
      <c r="P659" s="65" t="n"/>
      <c r="Q659" s="65" t="n"/>
      <c r="R659" s="65" t="n"/>
      <c r="S659" s="65" t="n"/>
      <c r="T659" s="65" t="n"/>
      <c r="U659" s="65" t="n"/>
      <c r="V659" s="65" t="n"/>
      <c r="W659" s="65" t="n"/>
      <c r="X659" s="65" t="n"/>
      <c r="Y659" s="32">
        <f>IF($C659="","",IF(COUNTA($I659:$K659)&lt;3,"— חסרים נתונים",IF(AND($I659="תקין",$J659="תקין",$K659="תקין"),"רהוטה",IF(AND($I659="תקין",$J659="תקין"),"מדויקת ורציפה","אינה מדויקת או מקוטעת"))))</f>
        <v/>
      </c>
      <c r="Z659" s="32">
        <f>IF($C659="","",IF(COUNTA($U659:$W659)&lt;3,"",IF(AND($U659="מפותח",$V659="מפותח",$W659="מפותחת"),"מפותחת",IF((--($U659="דל"))+(--($V659="אינו מפותח"))+(--($W659="דלה"))&gt;=2,"אינה מפותחת","חלקית"))))</f>
        <v/>
      </c>
      <c r="AA659" s="32">
        <f>IF($C659="","",IF(COUNTA($M659,$N659,$O659)&lt;3,"— חסרים נתונים",IF(OR($M659="נמוכה",(--($M659&lt;&gt;"תקינה"))+(--($N659&lt;&gt;"תקין"))+(--($O659&lt;&gt;"תקינה"))&gt;=2),"ניכרת","אינה ניכרת")))</f>
        <v/>
      </c>
      <c r="AB659" s="32">
        <f>IF(OR($C659="",$Y659="",$AA659="",LEFT($Y659,1)="—",LEFT($AA659,1)="—"),"",IF($Z659="","— נדרשת הערכת כתיבה",IF($L659="","— חסרה הבנת הנקרא",IF($Y659="אינה מדויקת או מקוטעת",IF($AA659="ניכרת","מיקוד בשטף הקריאה ובכישורי שפה","מיקוד בשטף קריאה"),IF($AA659="ניכרת","מיקוד בכישורי שפה",IF(AND($L659="תקינה",$Z659="מפותחת"),"קוראים וכותבים מיומנים","מיקוד בהבנה והבעה"))))))</f>
        <v/>
      </c>
      <c r="AC659" s="32">
        <f>IF(OR($AB659="",LEFT($AB659,1)="—"),"",IF(OR($AB659="מיקוד בשטף קריאה",$AB659="מיקוד בשטף הקריאה ובכישורי שפה"),"רמה א'",IF($AB659="קוראים וכותבים מיומנים","רמה ג'","רמה ב'")))</f>
        <v/>
      </c>
      <c r="AD659" s="32">
        <f>IF($AC659="","",MID(IF(AND($AC659="רמה א'",$AA659="ניכרת"),"; להוסיף עבודת אוצר מילים","")&amp;IF($Z659="אינה מפותחת","; דגש על הבעה בכתב","")&amp;IF($K659&lt;&gt;"תקין","; נדרש לעבוד על ההנגנה","")&amp;IF($AK659&lt;&gt;"","; "&amp;$AK659,""),3,400))</f>
        <v/>
      </c>
      <c r="AE659" s="32">
        <f>IF($F659="","",IF($F659="תחילת שנה",1,IF($F659="מחצית שנה",2,3)))</f>
        <v/>
      </c>
      <c r="AF659" s="32">
        <f>IF(OR($B659="",$AC659="",$A659="",$F659=""),"",$B659&amp;"|"&amp;$A659&amp;"|"&amp;$F659&amp;"|"&amp;$AC659&amp;"|"&amp;COUNTIFS($B$6:$B659,$B659,$A$6:$A659,$A659,$F$6:$F659,$F659,$AC$6:$AC659,$AC659))</f>
        <v/>
      </c>
      <c r="AG659" s="32">
        <f>IF($C659="","",$C659&amp;"|"&amp;COUNTIFS($C$6:$C659,$C659))</f>
        <v/>
      </c>
      <c r="AH659" s="32">
        <f>IF(OR($C659="",$A659="",$AE659=""),"",$C659&amp;"|"&amp;$A659&amp;"|"&amp;$AE659)</f>
        <v/>
      </c>
      <c r="AI659" s="32">
        <f>IF(OR($C659="",$AE659="",$AE659=1),"",IFERROR(INDEX($AC$6:$AC$1505,MATCH($C659&amp;"|"&amp;$A659&amp;"|"&amp;($AE659-1),$AH$6:$AH$1505,0)),""))</f>
        <v/>
      </c>
      <c r="AJ659" s="32">
        <f>IF(OR($AI659="",$AC659=""),"",IF($AI659=$AC659,"ללא שינוי","מ-"&amp;$AI659&amp;" ל-"&amp;$AC659))</f>
        <v/>
      </c>
      <c r="AK659" s="67" t="n"/>
    </row>
    <row r="660" ht="15.75" customHeight="1" s="58">
      <c r="A660" s="65" t="n"/>
      <c r="B660" s="65" t="n"/>
      <c r="C660" s="66" t="n"/>
      <c r="D660" s="66" t="n"/>
      <c r="E660" s="65" t="n"/>
      <c r="F660" s="65" t="n"/>
      <c r="G660" s="65" t="n"/>
      <c r="H660" s="65" t="n"/>
      <c r="I660" s="65" t="n"/>
      <c r="J660" s="65" t="n"/>
      <c r="K660" s="65" t="n"/>
      <c r="L660" s="65" t="n"/>
      <c r="M660" s="65" t="n"/>
      <c r="N660" s="65" t="n"/>
      <c r="O660" s="65" t="n"/>
      <c r="P660" s="65" t="n"/>
      <c r="Q660" s="65" t="n"/>
      <c r="R660" s="65" t="n"/>
      <c r="S660" s="65" t="n"/>
      <c r="T660" s="65" t="n"/>
      <c r="U660" s="65" t="n"/>
      <c r="V660" s="65" t="n"/>
      <c r="W660" s="65" t="n"/>
      <c r="X660" s="65" t="n"/>
      <c r="Y660" s="32">
        <f>IF($C660="","",IF(COUNTA($I660:$K660)&lt;3,"— חסרים נתונים",IF(AND($I660="תקין",$J660="תקין",$K660="תקין"),"רהוטה",IF(AND($I660="תקין",$J660="תקין"),"מדויקת ורציפה","אינה מדויקת או מקוטעת"))))</f>
        <v/>
      </c>
      <c r="Z660" s="32">
        <f>IF($C660="","",IF(COUNTA($U660:$W660)&lt;3,"",IF(AND($U660="מפותח",$V660="מפותח",$W660="מפותחת"),"מפותחת",IF((--($U660="דל"))+(--($V660="אינו מפותח"))+(--($W660="דלה"))&gt;=2,"אינה מפותחת","חלקית"))))</f>
        <v/>
      </c>
      <c r="AA660" s="32">
        <f>IF($C660="","",IF(COUNTA($M660,$N660,$O660)&lt;3,"— חסרים נתונים",IF(OR($M660="נמוכה",(--($M660&lt;&gt;"תקינה"))+(--($N660&lt;&gt;"תקין"))+(--($O660&lt;&gt;"תקינה"))&gt;=2),"ניכרת","אינה ניכרת")))</f>
        <v/>
      </c>
      <c r="AB660" s="32">
        <f>IF(OR($C660="",$Y660="",$AA660="",LEFT($Y660,1)="—",LEFT($AA660,1)="—"),"",IF($Z660="","— נדרשת הערכת כתיבה",IF($L660="","— חסרה הבנת הנקרא",IF($Y660="אינה מדויקת או מקוטעת",IF($AA660="ניכרת","מיקוד בשטף הקריאה ובכישורי שפה","מיקוד בשטף קריאה"),IF($AA660="ניכרת","מיקוד בכישורי שפה",IF(AND($L660="תקינה",$Z660="מפותחת"),"קוראים וכותבים מיומנים","מיקוד בהבנה והבעה"))))))</f>
        <v/>
      </c>
      <c r="AC660" s="32">
        <f>IF(OR($AB660="",LEFT($AB660,1)="—"),"",IF(OR($AB660="מיקוד בשטף קריאה",$AB660="מיקוד בשטף הקריאה ובכישורי שפה"),"רמה א'",IF($AB660="קוראים וכותבים מיומנים","רמה ג'","רמה ב'")))</f>
        <v/>
      </c>
      <c r="AD660" s="32">
        <f>IF($AC660="","",MID(IF(AND($AC660="רמה א'",$AA660="ניכרת"),"; להוסיף עבודת אוצר מילים","")&amp;IF($Z660="אינה מפותחת","; דגש על הבעה בכתב","")&amp;IF($K660&lt;&gt;"תקין","; נדרש לעבוד על ההנגנה","")&amp;IF($AK660&lt;&gt;"","; "&amp;$AK660,""),3,400))</f>
        <v/>
      </c>
      <c r="AE660" s="32">
        <f>IF($F660="","",IF($F660="תחילת שנה",1,IF($F660="מחצית שנה",2,3)))</f>
        <v/>
      </c>
      <c r="AF660" s="32">
        <f>IF(OR($B660="",$AC660="",$A660="",$F660=""),"",$B660&amp;"|"&amp;$A660&amp;"|"&amp;$F660&amp;"|"&amp;$AC660&amp;"|"&amp;COUNTIFS($B$6:$B660,$B660,$A$6:$A660,$A660,$F$6:$F660,$F660,$AC$6:$AC660,$AC660))</f>
        <v/>
      </c>
      <c r="AG660" s="32">
        <f>IF($C660="","",$C660&amp;"|"&amp;COUNTIFS($C$6:$C660,$C660))</f>
        <v/>
      </c>
      <c r="AH660" s="32">
        <f>IF(OR($C660="",$A660="",$AE660=""),"",$C660&amp;"|"&amp;$A660&amp;"|"&amp;$AE660)</f>
        <v/>
      </c>
      <c r="AI660" s="32">
        <f>IF(OR($C660="",$AE660="",$AE660=1),"",IFERROR(INDEX($AC$6:$AC$1505,MATCH($C660&amp;"|"&amp;$A660&amp;"|"&amp;($AE660-1),$AH$6:$AH$1505,0)),""))</f>
        <v/>
      </c>
      <c r="AJ660" s="32">
        <f>IF(OR($AI660="",$AC660=""),"",IF($AI660=$AC660,"ללא שינוי","מ-"&amp;$AI660&amp;" ל-"&amp;$AC660))</f>
        <v/>
      </c>
      <c r="AK660" s="67" t="n"/>
    </row>
    <row r="661" ht="15.75" customHeight="1" s="58">
      <c r="A661" s="65" t="n"/>
      <c r="B661" s="65" t="n"/>
      <c r="C661" s="66" t="n"/>
      <c r="D661" s="66" t="n"/>
      <c r="E661" s="65" t="n"/>
      <c r="F661" s="65" t="n"/>
      <c r="G661" s="65" t="n"/>
      <c r="H661" s="65" t="n"/>
      <c r="I661" s="65" t="n"/>
      <c r="J661" s="65" t="n"/>
      <c r="K661" s="65" t="n"/>
      <c r="L661" s="65" t="n"/>
      <c r="M661" s="65" t="n"/>
      <c r="N661" s="65" t="n"/>
      <c r="O661" s="65" t="n"/>
      <c r="P661" s="65" t="n"/>
      <c r="Q661" s="65" t="n"/>
      <c r="R661" s="65" t="n"/>
      <c r="S661" s="65" t="n"/>
      <c r="T661" s="65" t="n"/>
      <c r="U661" s="65" t="n"/>
      <c r="V661" s="65" t="n"/>
      <c r="W661" s="65" t="n"/>
      <c r="X661" s="65" t="n"/>
      <c r="Y661" s="32">
        <f>IF($C661="","",IF(COUNTA($I661:$K661)&lt;3,"— חסרים נתונים",IF(AND($I661="תקין",$J661="תקין",$K661="תקין"),"רהוטה",IF(AND($I661="תקין",$J661="תקין"),"מדויקת ורציפה","אינה מדויקת או מקוטעת"))))</f>
        <v/>
      </c>
      <c r="Z661" s="32">
        <f>IF($C661="","",IF(COUNTA($U661:$W661)&lt;3,"",IF(AND($U661="מפותח",$V661="מפותח",$W661="מפותחת"),"מפותחת",IF((--($U661="דל"))+(--($V661="אינו מפותח"))+(--($W661="דלה"))&gt;=2,"אינה מפותחת","חלקית"))))</f>
        <v/>
      </c>
      <c r="AA661" s="32">
        <f>IF($C661="","",IF(COUNTA($M661,$N661,$O661)&lt;3,"— חסרים נתונים",IF(OR($M661="נמוכה",(--($M661&lt;&gt;"תקינה"))+(--($N661&lt;&gt;"תקין"))+(--($O661&lt;&gt;"תקינה"))&gt;=2),"ניכרת","אינה ניכרת")))</f>
        <v/>
      </c>
      <c r="AB661" s="32">
        <f>IF(OR($C661="",$Y661="",$AA661="",LEFT($Y661,1)="—",LEFT($AA661,1)="—"),"",IF($Z661="","— נדרשת הערכת כתיבה",IF($L661="","— חסרה הבנת הנקרא",IF($Y661="אינה מדויקת או מקוטעת",IF($AA661="ניכרת","מיקוד בשטף הקריאה ובכישורי שפה","מיקוד בשטף קריאה"),IF($AA661="ניכרת","מיקוד בכישורי שפה",IF(AND($L661="תקינה",$Z661="מפותחת"),"קוראים וכותבים מיומנים","מיקוד בהבנה והבעה"))))))</f>
        <v/>
      </c>
      <c r="AC661" s="32">
        <f>IF(OR($AB661="",LEFT($AB661,1)="—"),"",IF(OR($AB661="מיקוד בשטף קריאה",$AB661="מיקוד בשטף הקריאה ובכישורי שפה"),"רמה א'",IF($AB661="קוראים וכותבים מיומנים","רמה ג'","רמה ב'")))</f>
        <v/>
      </c>
      <c r="AD661" s="32">
        <f>IF($AC661="","",MID(IF(AND($AC661="רמה א'",$AA661="ניכרת"),"; להוסיף עבודת אוצר מילים","")&amp;IF($Z661="אינה מפותחת","; דגש על הבעה בכתב","")&amp;IF($K661&lt;&gt;"תקין","; נדרש לעבוד על ההנגנה","")&amp;IF($AK661&lt;&gt;"","; "&amp;$AK661,""),3,400))</f>
        <v/>
      </c>
      <c r="AE661" s="32">
        <f>IF($F661="","",IF($F661="תחילת שנה",1,IF($F661="מחצית שנה",2,3)))</f>
        <v/>
      </c>
      <c r="AF661" s="32">
        <f>IF(OR($B661="",$AC661="",$A661="",$F661=""),"",$B661&amp;"|"&amp;$A661&amp;"|"&amp;$F661&amp;"|"&amp;$AC661&amp;"|"&amp;COUNTIFS($B$6:$B661,$B661,$A$6:$A661,$A661,$F$6:$F661,$F661,$AC$6:$AC661,$AC661))</f>
        <v/>
      </c>
      <c r="AG661" s="32">
        <f>IF($C661="","",$C661&amp;"|"&amp;COUNTIFS($C$6:$C661,$C661))</f>
        <v/>
      </c>
      <c r="AH661" s="32">
        <f>IF(OR($C661="",$A661="",$AE661=""),"",$C661&amp;"|"&amp;$A661&amp;"|"&amp;$AE661)</f>
        <v/>
      </c>
      <c r="AI661" s="32">
        <f>IF(OR($C661="",$AE661="",$AE661=1),"",IFERROR(INDEX($AC$6:$AC$1505,MATCH($C661&amp;"|"&amp;$A661&amp;"|"&amp;($AE661-1),$AH$6:$AH$1505,0)),""))</f>
        <v/>
      </c>
      <c r="AJ661" s="32">
        <f>IF(OR($AI661="",$AC661=""),"",IF($AI661=$AC661,"ללא שינוי","מ-"&amp;$AI661&amp;" ל-"&amp;$AC661))</f>
        <v/>
      </c>
      <c r="AK661" s="67" t="n"/>
    </row>
    <row r="662" ht="15.75" customHeight="1" s="58">
      <c r="A662" s="65" t="n"/>
      <c r="B662" s="65" t="n"/>
      <c r="C662" s="66" t="n"/>
      <c r="D662" s="66" t="n"/>
      <c r="E662" s="65" t="n"/>
      <c r="F662" s="65" t="n"/>
      <c r="G662" s="65" t="n"/>
      <c r="H662" s="65" t="n"/>
      <c r="I662" s="65" t="n"/>
      <c r="J662" s="65" t="n"/>
      <c r="K662" s="65" t="n"/>
      <c r="L662" s="65" t="n"/>
      <c r="M662" s="65" t="n"/>
      <c r="N662" s="65" t="n"/>
      <c r="O662" s="65" t="n"/>
      <c r="P662" s="65" t="n"/>
      <c r="Q662" s="65" t="n"/>
      <c r="R662" s="65" t="n"/>
      <c r="S662" s="65" t="n"/>
      <c r="T662" s="65" t="n"/>
      <c r="U662" s="65" t="n"/>
      <c r="V662" s="65" t="n"/>
      <c r="W662" s="65" t="n"/>
      <c r="X662" s="65" t="n"/>
      <c r="Y662" s="32">
        <f>IF($C662="","",IF(COUNTA($I662:$K662)&lt;3,"— חסרים נתונים",IF(AND($I662="תקין",$J662="תקין",$K662="תקין"),"רהוטה",IF(AND($I662="תקין",$J662="תקין"),"מדויקת ורציפה","אינה מדויקת או מקוטעת"))))</f>
        <v/>
      </c>
      <c r="Z662" s="32">
        <f>IF($C662="","",IF(COUNTA($U662:$W662)&lt;3,"",IF(AND($U662="מפותח",$V662="מפותח",$W662="מפותחת"),"מפותחת",IF((--($U662="דל"))+(--($V662="אינו מפותח"))+(--($W662="דלה"))&gt;=2,"אינה מפותחת","חלקית"))))</f>
        <v/>
      </c>
      <c r="AA662" s="32">
        <f>IF($C662="","",IF(COUNTA($M662,$N662,$O662)&lt;3,"— חסרים נתונים",IF(OR($M662="נמוכה",(--($M662&lt;&gt;"תקינה"))+(--($N662&lt;&gt;"תקין"))+(--($O662&lt;&gt;"תקינה"))&gt;=2),"ניכרת","אינה ניכרת")))</f>
        <v/>
      </c>
      <c r="AB662" s="32">
        <f>IF(OR($C662="",$Y662="",$AA662="",LEFT($Y662,1)="—",LEFT($AA662,1)="—"),"",IF($Z662="","— נדרשת הערכת כתיבה",IF($L662="","— חסרה הבנת הנקרא",IF($Y662="אינה מדויקת או מקוטעת",IF($AA662="ניכרת","מיקוד בשטף הקריאה ובכישורי שפה","מיקוד בשטף קריאה"),IF($AA662="ניכרת","מיקוד בכישורי שפה",IF(AND($L662="תקינה",$Z662="מפותחת"),"קוראים וכותבים מיומנים","מיקוד בהבנה והבעה"))))))</f>
        <v/>
      </c>
      <c r="AC662" s="32">
        <f>IF(OR($AB662="",LEFT($AB662,1)="—"),"",IF(OR($AB662="מיקוד בשטף קריאה",$AB662="מיקוד בשטף הקריאה ובכישורי שפה"),"רמה א'",IF($AB662="קוראים וכותבים מיומנים","רמה ג'","רמה ב'")))</f>
        <v/>
      </c>
      <c r="AD662" s="32">
        <f>IF($AC662="","",MID(IF(AND($AC662="רמה א'",$AA662="ניכרת"),"; להוסיף עבודת אוצר מילים","")&amp;IF($Z662="אינה מפותחת","; דגש על הבעה בכתב","")&amp;IF($K662&lt;&gt;"תקין","; נדרש לעבוד על ההנגנה","")&amp;IF($AK662&lt;&gt;"","; "&amp;$AK662,""),3,400))</f>
        <v/>
      </c>
      <c r="AE662" s="32">
        <f>IF($F662="","",IF($F662="תחילת שנה",1,IF($F662="מחצית שנה",2,3)))</f>
        <v/>
      </c>
      <c r="AF662" s="32">
        <f>IF(OR($B662="",$AC662="",$A662="",$F662=""),"",$B662&amp;"|"&amp;$A662&amp;"|"&amp;$F662&amp;"|"&amp;$AC662&amp;"|"&amp;COUNTIFS($B$6:$B662,$B662,$A$6:$A662,$A662,$F$6:$F662,$F662,$AC$6:$AC662,$AC662))</f>
        <v/>
      </c>
      <c r="AG662" s="32">
        <f>IF($C662="","",$C662&amp;"|"&amp;COUNTIFS($C$6:$C662,$C662))</f>
        <v/>
      </c>
      <c r="AH662" s="32">
        <f>IF(OR($C662="",$A662="",$AE662=""),"",$C662&amp;"|"&amp;$A662&amp;"|"&amp;$AE662)</f>
        <v/>
      </c>
      <c r="AI662" s="32">
        <f>IF(OR($C662="",$AE662="",$AE662=1),"",IFERROR(INDEX($AC$6:$AC$1505,MATCH($C662&amp;"|"&amp;$A662&amp;"|"&amp;($AE662-1),$AH$6:$AH$1505,0)),""))</f>
        <v/>
      </c>
      <c r="AJ662" s="32">
        <f>IF(OR($AI662="",$AC662=""),"",IF($AI662=$AC662,"ללא שינוי","מ-"&amp;$AI662&amp;" ל-"&amp;$AC662))</f>
        <v/>
      </c>
      <c r="AK662" s="67" t="n"/>
    </row>
    <row r="663" ht="15.75" customHeight="1" s="58">
      <c r="A663" s="65" t="n"/>
      <c r="B663" s="65" t="n"/>
      <c r="C663" s="66" t="n"/>
      <c r="D663" s="66" t="n"/>
      <c r="E663" s="65" t="n"/>
      <c r="F663" s="65" t="n"/>
      <c r="G663" s="65" t="n"/>
      <c r="H663" s="65" t="n"/>
      <c r="I663" s="65" t="n"/>
      <c r="J663" s="65" t="n"/>
      <c r="K663" s="65" t="n"/>
      <c r="L663" s="65" t="n"/>
      <c r="M663" s="65" t="n"/>
      <c r="N663" s="65" t="n"/>
      <c r="O663" s="65" t="n"/>
      <c r="P663" s="65" t="n"/>
      <c r="Q663" s="65" t="n"/>
      <c r="R663" s="65" t="n"/>
      <c r="S663" s="65" t="n"/>
      <c r="T663" s="65" t="n"/>
      <c r="U663" s="65" t="n"/>
      <c r="V663" s="65" t="n"/>
      <c r="W663" s="65" t="n"/>
      <c r="X663" s="65" t="n"/>
      <c r="Y663" s="32">
        <f>IF($C663="","",IF(COUNTA($I663:$K663)&lt;3,"— חסרים נתונים",IF(AND($I663="תקין",$J663="תקין",$K663="תקין"),"רהוטה",IF(AND($I663="תקין",$J663="תקין"),"מדויקת ורציפה","אינה מדויקת או מקוטעת"))))</f>
        <v/>
      </c>
      <c r="Z663" s="32">
        <f>IF($C663="","",IF(COUNTA($U663:$W663)&lt;3,"",IF(AND($U663="מפותח",$V663="מפותח",$W663="מפותחת"),"מפותחת",IF((--($U663="דל"))+(--($V663="אינו מפותח"))+(--($W663="דלה"))&gt;=2,"אינה מפותחת","חלקית"))))</f>
        <v/>
      </c>
      <c r="AA663" s="32">
        <f>IF($C663="","",IF(COUNTA($M663,$N663,$O663)&lt;3,"— חסרים נתונים",IF(OR($M663="נמוכה",(--($M663&lt;&gt;"תקינה"))+(--($N663&lt;&gt;"תקין"))+(--($O663&lt;&gt;"תקינה"))&gt;=2),"ניכרת","אינה ניכרת")))</f>
        <v/>
      </c>
      <c r="AB663" s="32">
        <f>IF(OR($C663="",$Y663="",$AA663="",LEFT($Y663,1)="—",LEFT($AA663,1)="—"),"",IF($Z663="","— נדרשת הערכת כתיבה",IF($L663="","— חסרה הבנת הנקרא",IF($Y663="אינה מדויקת או מקוטעת",IF($AA663="ניכרת","מיקוד בשטף הקריאה ובכישורי שפה","מיקוד בשטף קריאה"),IF($AA663="ניכרת","מיקוד בכישורי שפה",IF(AND($L663="תקינה",$Z663="מפותחת"),"קוראים וכותבים מיומנים","מיקוד בהבנה והבעה"))))))</f>
        <v/>
      </c>
      <c r="AC663" s="32">
        <f>IF(OR($AB663="",LEFT($AB663,1)="—"),"",IF(OR($AB663="מיקוד בשטף קריאה",$AB663="מיקוד בשטף הקריאה ובכישורי שפה"),"רמה א'",IF($AB663="קוראים וכותבים מיומנים","רמה ג'","רמה ב'")))</f>
        <v/>
      </c>
      <c r="AD663" s="32">
        <f>IF($AC663="","",MID(IF(AND($AC663="רמה א'",$AA663="ניכרת"),"; להוסיף עבודת אוצר מילים","")&amp;IF($Z663="אינה מפותחת","; דגש על הבעה בכתב","")&amp;IF($K663&lt;&gt;"תקין","; נדרש לעבוד על ההנגנה","")&amp;IF($AK663&lt;&gt;"","; "&amp;$AK663,""),3,400))</f>
        <v/>
      </c>
      <c r="AE663" s="32">
        <f>IF($F663="","",IF($F663="תחילת שנה",1,IF($F663="מחצית שנה",2,3)))</f>
        <v/>
      </c>
      <c r="AF663" s="32">
        <f>IF(OR($B663="",$AC663="",$A663="",$F663=""),"",$B663&amp;"|"&amp;$A663&amp;"|"&amp;$F663&amp;"|"&amp;$AC663&amp;"|"&amp;COUNTIFS($B$6:$B663,$B663,$A$6:$A663,$A663,$F$6:$F663,$F663,$AC$6:$AC663,$AC663))</f>
        <v/>
      </c>
      <c r="AG663" s="32">
        <f>IF($C663="","",$C663&amp;"|"&amp;COUNTIFS($C$6:$C663,$C663))</f>
        <v/>
      </c>
      <c r="AH663" s="32">
        <f>IF(OR($C663="",$A663="",$AE663=""),"",$C663&amp;"|"&amp;$A663&amp;"|"&amp;$AE663)</f>
        <v/>
      </c>
      <c r="AI663" s="32">
        <f>IF(OR($C663="",$AE663="",$AE663=1),"",IFERROR(INDEX($AC$6:$AC$1505,MATCH($C663&amp;"|"&amp;$A663&amp;"|"&amp;($AE663-1),$AH$6:$AH$1505,0)),""))</f>
        <v/>
      </c>
      <c r="AJ663" s="32">
        <f>IF(OR($AI663="",$AC663=""),"",IF($AI663=$AC663,"ללא שינוי","מ-"&amp;$AI663&amp;" ל-"&amp;$AC663))</f>
        <v/>
      </c>
      <c r="AK663" s="67" t="n"/>
    </row>
    <row r="664" ht="15.75" customHeight="1" s="58">
      <c r="A664" s="65" t="n"/>
      <c r="B664" s="65" t="n"/>
      <c r="C664" s="66" t="n"/>
      <c r="D664" s="66" t="n"/>
      <c r="E664" s="65" t="n"/>
      <c r="F664" s="65" t="n"/>
      <c r="G664" s="65" t="n"/>
      <c r="H664" s="65" t="n"/>
      <c r="I664" s="65" t="n"/>
      <c r="J664" s="65" t="n"/>
      <c r="K664" s="65" t="n"/>
      <c r="L664" s="65" t="n"/>
      <c r="M664" s="65" t="n"/>
      <c r="N664" s="65" t="n"/>
      <c r="O664" s="65" t="n"/>
      <c r="P664" s="65" t="n"/>
      <c r="Q664" s="65" t="n"/>
      <c r="R664" s="65" t="n"/>
      <c r="S664" s="65" t="n"/>
      <c r="T664" s="65" t="n"/>
      <c r="U664" s="65" t="n"/>
      <c r="V664" s="65" t="n"/>
      <c r="W664" s="65" t="n"/>
      <c r="X664" s="65" t="n"/>
      <c r="Y664" s="32">
        <f>IF($C664="","",IF(COUNTA($I664:$K664)&lt;3,"— חסרים נתונים",IF(AND($I664="תקין",$J664="תקין",$K664="תקין"),"רהוטה",IF(AND($I664="תקין",$J664="תקין"),"מדויקת ורציפה","אינה מדויקת או מקוטעת"))))</f>
        <v/>
      </c>
      <c r="Z664" s="32">
        <f>IF($C664="","",IF(COUNTA($U664:$W664)&lt;3,"",IF(AND($U664="מפותח",$V664="מפותח",$W664="מפותחת"),"מפותחת",IF((--($U664="דל"))+(--($V664="אינו מפותח"))+(--($W664="דלה"))&gt;=2,"אינה מפותחת","חלקית"))))</f>
        <v/>
      </c>
      <c r="AA664" s="32">
        <f>IF($C664="","",IF(COUNTA($M664,$N664,$O664)&lt;3,"— חסרים נתונים",IF(OR($M664="נמוכה",(--($M664&lt;&gt;"תקינה"))+(--($N664&lt;&gt;"תקין"))+(--($O664&lt;&gt;"תקינה"))&gt;=2),"ניכרת","אינה ניכרת")))</f>
        <v/>
      </c>
      <c r="AB664" s="32">
        <f>IF(OR($C664="",$Y664="",$AA664="",LEFT($Y664,1)="—",LEFT($AA664,1)="—"),"",IF($Z664="","— נדרשת הערכת כתיבה",IF($L664="","— חסרה הבנת הנקרא",IF($Y664="אינה מדויקת או מקוטעת",IF($AA664="ניכרת","מיקוד בשטף הקריאה ובכישורי שפה","מיקוד בשטף קריאה"),IF($AA664="ניכרת","מיקוד בכישורי שפה",IF(AND($L664="תקינה",$Z664="מפותחת"),"קוראים וכותבים מיומנים","מיקוד בהבנה והבעה"))))))</f>
        <v/>
      </c>
      <c r="AC664" s="32">
        <f>IF(OR($AB664="",LEFT($AB664,1)="—"),"",IF(OR($AB664="מיקוד בשטף קריאה",$AB664="מיקוד בשטף הקריאה ובכישורי שפה"),"רמה א'",IF($AB664="קוראים וכותבים מיומנים","רמה ג'","רמה ב'")))</f>
        <v/>
      </c>
      <c r="AD664" s="32">
        <f>IF($AC664="","",MID(IF(AND($AC664="רמה א'",$AA664="ניכרת"),"; להוסיף עבודת אוצר מילים","")&amp;IF($Z664="אינה מפותחת","; דגש על הבעה בכתב","")&amp;IF($K664&lt;&gt;"תקין","; נדרש לעבוד על ההנגנה","")&amp;IF($AK664&lt;&gt;"","; "&amp;$AK664,""),3,400))</f>
        <v/>
      </c>
      <c r="AE664" s="32">
        <f>IF($F664="","",IF($F664="תחילת שנה",1,IF($F664="מחצית שנה",2,3)))</f>
        <v/>
      </c>
      <c r="AF664" s="32">
        <f>IF(OR($B664="",$AC664="",$A664="",$F664=""),"",$B664&amp;"|"&amp;$A664&amp;"|"&amp;$F664&amp;"|"&amp;$AC664&amp;"|"&amp;COUNTIFS($B$6:$B664,$B664,$A$6:$A664,$A664,$F$6:$F664,$F664,$AC$6:$AC664,$AC664))</f>
        <v/>
      </c>
      <c r="AG664" s="32">
        <f>IF($C664="","",$C664&amp;"|"&amp;COUNTIFS($C$6:$C664,$C664))</f>
        <v/>
      </c>
      <c r="AH664" s="32">
        <f>IF(OR($C664="",$A664="",$AE664=""),"",$C664&amp;"|"&amp;$A664&amp;"|"&amp;$AE664)</f>
        <v/>
      </c>
      <c r="AI664" s="32">
        <f>IF(OR($C664="",$AE664="",$AE664=1),"",IFERROR(INDEX($AC$6:$AC$1505,MATCH($C664&amp;"|"&amp;$A664&amp;"|"&amp;($AE664-1),$AH$6:$AH$1505,0)),""))</f>
        <v/>
      </c>
      <c r="AJ664" s="32">
        <f>IF(OR($AI664="",$AC664=""),"",IF($AI664=$AC664,"ללא שינוי","מ-"&amp;$AI664&amp;" ל-"&amp;$AC664))</f>
        <v/>
      </c>
      <c r="AK664" s="67" t="n"/>
    </row>
    <row r="665" ht="15.75" customHeight="1" s="58">
      <c r="A665" s="65" t="n"/>
      <c r="B665" s="65" t="n"/>
      <c r="C665" s="66" t="n"/>
      <c r="D665" s="66" t="n"/>
      <c r="E665" s="65" t="n"/>
      <c r="F665" s="65" t="n"/>
      <c r="G665" s="65" t="n"/>
      <c r="H665" s="65" t="n"/>
      <c r="I665" s="65" t="n"/>
      <c r="J665" s="65" t="n"/>
      <c r="K665" s="65" t="n"/>
      <c r="L665" s="65" t="n"/>
      <c r="M665" s="65" t="n"/>
      <c r="N665" s="65" t="n"/>
      <c r="O665" s="65" t="n"/>
      <c r="P665" s="65" t="n"/>
      <c r="Q665" s="65" t="n"/>
      <c r="R665" s="65" t="n"/>
      <c r="S665" s="65" t="n"/>
      <c r="T665" s="65" t="n"/>
      <c r="U665" s="65" t="n"/>
      <c r="V665" s="65" t="n"/>
      <c r="W665" s="65" t="n"/>
      <c r="X665" s="65" t="n"/>
      <c r="Y665" s="32">
        <f>IF($C665="","",IF(COUNTA($I665:$K665)&lt;3,"— חסרים נתונים",IF(AND($I665="תקין",$J665="תקין",$K665="תקין"),"רהוטה",IF(AND($I665="תקין",$J665="תקין"),"מדויקת ורציפה","אינה מדויקת או מקוטעת"))))</f>
        <v/>
      </c>
      <c r="Z665" s="32">
        <f>IF($C665="","",IF(COUNTA($U665:$W665)&lt;3,"",IF(AND($U665="מפותח",$V665="מפותח",$W665="מפותחת"),"מפותחת",IF((--($U665="דל"))+(--($V665="אינו מפותח"))+(--($W665="דלה"))&gt;=2,"אינה מפותחת","חלקית"))))</f>
        <v/>
      </c>
      <c r="AA665" s="32">
        <f>IF($C665="","",IF(COUNTA($M665,$N665,$O665)&lt;3,"— חסרים נתונים",IF(OR($M665="נמוכה",(--($M665&lt;&gt;"תקינה"))+(--($N665&lt;&gt;"תקין"))+(--($O665&lt;&gt;"תקינה"))&gt;=2),"ניכרת","אינה ניכרת")))</f>
        <v/>
      </c>
      <c r="AB665" s="32">
        <f>IF(OR($C665="",$Y665="",$AA665="",LEFT($Y665,1)="—",LEFT($AA665,1)="—"),"",IF($Z665="","— נדרשת הערכת כתיבה",IF($L665="","— חסרה הבנת הנקרא",IF($Y665="אינה מדויקת או מקוטעת",IF($AA665="ניכרת","מיקוד בשטף הקריאה ובכישורי שפה","מיקוד בשטף קריאה"),IF($AA665="ניכרת","מיקוד בכישורי שפה",IF(AND($L665="תקינה",$Z665="מפותחת"),"קוראים וכותבים מיומנים","מיקוד בהבנה והבעה"))))))</f>
        <v/>
      </c>
      <c r="AC665" s="32">
        <f>IF(OR($AB665="",LEFT($AB665,1)="—"),"",IF(OR($AB665="מיקוד בשטף קריאה",$AB665="מיקוד בשטף הקריאה ובכישורי שפה"),"רמה א'",IF($AB665="קוראים וכותבים מיומנים","רמה ג'","רמה ב'")))</f>
        <v/>
      </c>
      <c r="AD665" s="32">
        <f>IF($AC665="","",MID(IF(AND($AC665="רמה א'",$AA665="ניכרת"),"; להוסיף עבודת אוצר מילים","")&amp;IF($Z665="אינה מפותחת","; דגש על הבעה בכתב","")&amp;IF($K665&lt;&gt;"תקין","; נדרש לעבוד על ההנגנה","")&amp;IF($AK665&lt;&gt;"","; "&amp;$AK665,""),3,400))</f>
        <v/>
      </c>
      <c r="AE665" s="32">
        <f>IF($F665="","",IF($F665="תחילת שנה",1,IF($F665="מחצית שנה",2,3)))</f>
        <v/>
      </c>
      <c r="AF665" s="32">
        <f>IF(OR($B665="",$AC665="",$A665="",$F665=""),"",$B665&amp;"|"&amp;$A665&amp;"|"&amp;$F665&amp;"|"&amp;$AC665&amp;"|"&amp;COUNTIFS($B$6:$B665,$B665,$A$6:$A665,$A665,$F$6:$F665,$F665,$AC$6:$AC665,$AC665))</f>
        <v/>
      </c>
      <c r="AG665" s="32">
        <f>IF($C665="","",$C665&amp;"|"&amp;COUNTIFS($C$6:$C665,$C665))</f>
        <v/>
      </c>
      <c r="AH665" s="32">
        <f>IF(OR($C665="",$A665="",$AE665=""),"",$C665&amp;"|"&amp;$A665&amp;"|"&amp;$AE665)</f>
        <v/>
      </c>
      <c r="AI665" s="32">
        <f>IF(OR($C665="",$AE665="",$AE665=1),"",IFERROR(INDEX($AC$6:$AC$1505,MATCH($C665&amp;"|"&amp;$A665&amp;"|"&amp;($AE665-1),$AH$6:$AH$1505,0)),""))</f>
        <v/>
      </c>
      <c r="AJ665" s="32">
        <f>IF(OR($AI665="",$AC665=""),"",IF($AI665=$AC665,"ללא שינוי","מ-"&amp;$AI665&amp;" ל-"&amp;$AC665))</f>
        <v/>
      </c>
      <c r="AK665" s="67" t="n"/>
    </row>
    <row r="666" ht="15.75" customHeight="1" s="58">
      <c r="A666" s="65" t="n"/>
      <c r="B666" s="65" t="n"/>
      <c r="C666" s="66" t="n"/>
      <c r="D666" s="66" t="n"/>
      <c r="E666" s="65" t="n"/>
      <c r="F666" s="65" t="n"/>
      <c r="G666" s="65" t="n"/>
      <c r="H666" s="65" t="n"/>
      <c r="I666" s="65" t="n"/>
      <c r="J666" s="65" t="n"/>
      <c r="K666" s="65" t="n"/>
      <c r="L666" s="65" t="n"/>
      <c r="M666" s="65" t="n"/>
      <c r="N666" s="65" t="n"/>
      <c r="O666" s="65" t="n"/>
      <c r="P666" s="65" t="n"/>
      <c r="Q666" s="65" t="n"/>
      <c r="R666" s="65" t="n"/>
      <c r="S666" s="65" t="n"/>
      <c r="T666" s="65" t="n"/>
      <c r="U666" s="65" t="n"/>
      <c r="V666" s="65" t="n"/>
      <c r="W666" s="65" t="n"/>
      <c r="X666" s="65" t="n"/>
      <c r="Y666" s="32">
        <f>IF($C666="","",IF(COUNTA($I666:$K666)&lt;3,"— חסרים נתונים",IF(AND($I666="תקין",$J666="תקין",$K666="תקין"),"רהוטה",IF(AND($I666="תקין",$J666="תקין"),"מדויקת ורציפה","אינה מדויקת או מקוטעת"))))</f>
        <v/>
      </c>
      <c r="Z666" s="32">
        <f>IF($C666="","",IF(COUNTA($U666:$W666)&lt;3,"",IF(AND($U666="מפותח",$V666="מפותח",$W666="מפותחת"),"מפותחת",IF((--($U666="דל"))+(--($V666="אינו מפותח"))+(--($W666="דלה"))&gt;=2,"אינה מפותחת","חלקית"))))</f>
        <v/>
      </c>
      <c r="AA666" s="32">
        <f>IF($C666="","",IF(COUNTA($M666,$N666,$O666)&lt;3,"— חסרים נתונים",IF(OR($M666="נמוכה",(--($M666&lt;&gt;"תקינה"))+(--($N666&lt;&gt;"תקין"))+(--($O666&lt;&gt;"תקינה"))&gt;=2),"ניכרת","אינה ניכרת")))</f>
        <v/>
      </c>
      <c r="AB666" s="32">
        <f>IF(OR($C666="",$Y666="",$AA666="",LEFT($Y666,1)="—",LEFT($AA666,1)="—"),"",IF($Z666="","— נדרשת הערכת כתיבה",IF($L666="","— חסרה הבנת הנקרא",IF($Y666="אינה מדויקת או מקוטעת",IF($AA666="ניכרת","מיקוד בשטף הקריאה ובכישורי שפה","מיקוד בשטף קריאה"),IF($AA666="ניכרת","מיקוד בכישורי שפה",IF(AND($L666="תקינה",$Z666="מפותחת"),"קוראים וכותבים מיומנים","מיקוד בהבנה והבעה"))))))</f>
        <v/>
      </c>
      <c r="AC666" s="32">
        <f>IF(OR($AB666="",LEFT($AB666,1)="—"),"",IF(OR($AB666="מיקוד בשטף קריאה",$AB666="מיקוד בשטף הקריאה ובכישורי שפה"),"רמה א'",IF($AB666="קוראים וכותבים מיומנים","רמה ג'","רמה ב'")))</f>
        <v/>
      </c>
      <c r="AD666" s="32">
        <f>IF($AC666="","",MID(IF(AND($AC666="רמה א'",$AA666="ניכרת"),"; להוסיף עבודת אוצר מילים","")&amp;IF($Z666="אינה מפותחת","; דגש על הבעה בכתב","")&amp;IF($K666&lt;&gt;"תקין","; נדרש לעבוד על ההנגנה","")&amp;IF($AK666&lt;&gt;"","; "&amp;$AK666,""),3,400))</f>
        <v/>
      </c>
      <c r="AE666" s="32">
        <f>IF($F666="","",IF($F666="תחילת שנה",1,IF($F666="מחצית שנה",2,3)))</f>
        <v/>
      </c>
      <c r="AF666" s="32">
        <f>IF(OR($B666="",$AC666="",$A666="",$F666=""),"",$B666&amp;"|"&amp;$A666&amp;"|"&amp;$F666&amp;"|"&amp;$AC666&amp;"|"&amp;COUNTIFS($B$6:$B666,$B666,$A$6:$A666,$A666,$F$6:$F666,$F666,$AC$6:$AC666,$AC666))</f>
        <v/>
      </c>
      <c r="AG666" s="32">
        <f>IF($C666="","",$C666&amp;"|"&amp;COUNTIFS($C$6:$C666,$C666))</f>
        <v/>
      </c>
      <c r="AH666" s="32">
        <f>IF(OR($C666="",$A666="",$AE666=""),"",$C666&amp;"|"&amp;$A666&amp;"|"&amp;$AE666)</f>
        <v/>
      </c>
      <c r="AI666" s="32">
        <f>IF(OR($C666="",$AE666="",$AE666=1),"",IFERROR(INDEX($AC$6:$AC$1505,MATCH($C666&amp;"|"&amp;$A666&amp;"|"&amp;($AE666-1),$AH$6:$AH$1505,0)),""))</f>
        <v/>
      </c>
      <c r="AJ666" s="32">
        <f>IF(OR($AI666="",$AC666=""),"",IF($AI666=$AC666,"ללא שינוי","מ-"&amp;$AI666&amp;" ל-"&amp;$AC666))</f>
        <v/>
      </c>
      <c r="AK666" s="67" t="n"/>
    </row>
    <row r="667" ht="15.75" customHeight="1" s="58">
      <c r="A667" s="65" t="n"/>
      <c r="B667" s="65" t="n"/>
      <c r="C667" s="66" t="n"/>
      <c r="D667" s="66" t="n"/>
      <c r="E667" s="65" t="n"/>
      <c r="F667" s="65" t="n"/>
      <c r="G667" s="65" t="n"/>
      <c r="H667" s="65" t="n"/>
      <c r="I667" s="65" t="n"/>
      <c r="J667" s="65" t="n"/>
      <c r="K667" s="65" t="n"/>
      <c r="L667" s="65" t="n"/>
      <c r="M667" s="65" t="n"/>
      <c r="N667" s="65" t="n"/>
      <c r="O667" s="65" t="n"/>
      <c r="P667" s="65" t="n"/>
      <c r="Q667" s="65" t="n"/>
      <c r="R667" s="65" t="n"/>
      <c r="S667" s="65" t="n"/>
      <c r="T667" s="65" t="n"/>
      <c r="U667" s="65" t="n"/>
      <c r="V667" s="65" t="n"/>
      <c r="W667" s="65" t="n"/>
      <c r="X667" s="65" t="n"/>
      <c r="Y667" s="32">
        <f>IF($C667="","",IF(COUNTA($I667:$K667)&lt;3,"— חסרים נתונים",IF(AND($I667="תקין",$J667="תקין",$K667="תקין"),"רהוטה",IF(AND($I667="תקין",$J667="תקין"),"מדויקת ורציפה","אינה מדויקת או מקוטעת"))))</f>
        <v/>
      </c>
      <c r="Z667" s="32">
        <f>IF($C667="","",IF(COUNTA($U667:$W667)&lt;3,"",IF(AND($U667="מפותח",$V667="מפותח",$W667="מפותחת"),"מפותחת",IF((--($U667="דל"))+(--($V667="אינו מפותח"))+(--($W667="דלה"))&gt;=2,"אינה מפותחת","חלקית"))))</f>
        <v/>
      </c>
      <c r="AA667" s="32">
        <f>IF($C667="","",IF(COUNTA($M667,$N667,$O667)&lt;3,"— חסרים נתונים",IF(OR($M667="נמוכה",(--($M667&lt;&gt;"תקינה"))+(--($N667&lt;&gt;"תקין"))+(--($O667&lt;&gt;"תקינה"))&gt;=2),"ניכרת","אינה ניכרת")))</f>
        <v/>
      </c>
      <c r="AB667" s="32">
        <f>IF(OR($C667="",$Y667="",$AA667="",LEFT($Y667,1)="—",LEFT($AA667,1)="—"),"",IF($Z667="","— נדרשת הערכת כתיבה",IF($L667="","— חסרה הבנת הנקרא",IF($Y667="אינה מדויקת או מקוטעת",IF($AA667="ניכרת","מיקוד בשטף הקריאה ובכישורי שפה","מיקוד בשטף קריאה"),IF($AA667="ניכרת","מיקוד בכישורי שפה",IF(AND($L667="תקינה",$Z667="מפותחת"),"קוראים וכותבים מיומנים","מיקוד בהבנה והבעה"))))))</f>
        <v/>
      </c>
      <c r="AC667" s="32">
        <f>IF(OR($AB667="",LEFT($AB667,1)="—"),"",IF(OR($AB667="מיקוד בשטף קריאה",$AB667="מיקוד בשטף הקריאה ובכישורי שפה"),"רמה א'",IF($AB667="קוראים וכותבים מיומנים","רמה ג'","רמה ב'")))</f>
        <v/>
      </c>
      <c r="AD667" s="32">
        <f>IF($AC667="","",MID(IF(AND($AC667="רמה א'",$AA667="ניכרת"),"; להוסיף עבודת אוצר מילים","")&amp;IF($Z667="אינה מפותחת","; דגש על הבעה בכתב","")&amp;IF($K667&lt;&gt;"תקין","; נדרש לעבוד על ההנגנה","")&amp;IF($AK667&lt;&gt;"","; "&amp;$AK667,""),3,400))</f>
        <v/>
      </c>
      <c r="AE667" s="32">
        <f>IF($F667="","",IF($F667="תחילת שנה",1,IF($F667="מחצית שנה",2,3)))</f>
        <v/>
      </c>
      <c r="AF667" s="32">
        <f>IF(OR($B667="",$AC667="",$A667="",$F667=""),"",$B667&amp;"|"&amp;$A667&amp;"|"&amp;$F667&amp;"|"&amp;$AC667&amp;"|"&amp;COUNTIFS($B$6:$B667,$B667,$A$6:$A667,$A667,$F$6:$F667,$F667,$AC$6:$AC667,$AC667))</f>
        <v/>
      </c>
      <c r="AG667" s="32">
        <f>IF($C667="","",$C667&amp;"|"&amp;COUNTIFS($C$6:$C667,$C667))</f>
        <v/>
      </c>
      <c r="AH667" s="32">
        <f>IF(OR($C667="",$A667="",$AE667=""),"",$C667&amp;"|"&amp;$A667&amp;"|"&amp;$AE667)</f>
        <v/>
      </c>
      <c r="AI667" s="32">
        <f>IF(OR($C667="",$AE667="",$AE667=1),"",IFERROR(INDEX($AC$6:$AC$1505,MATCH($C667&amp;"|"&amp;$A667&amp;"|"&amp;($AE667-1),$AH$6:$AH$1505,0)),""))</f>
        <v/>
      </c>
      <c r="AJ667" s="32">
        <f>IF(OR($AI667="",$AC667=""),"",IF($AI667=$AC667,"ללא שינוי","מ-"&amp;$AI667&amp;" ל-"&amp;$AC667))</f>
        <v/>
      </c>
      <c r="AK667" s="67" t="n"/>
    </row>
    <row r="668" ht="15.75" customHeight="1" s="58">
      <c r="A668" s="65" t="n"/>
      <c r="B668" s="65" t="n"/>
      <c r="C668" s="66" t="n"/>
      <c r="D668" s="66" t="n"/>
      <c r="E668" s="65" t="n"/>
      <c r="F668" s="65" t="n"/>
      <c r="G668" s="65" t="n"/>
      <c r="H668" s="65" t="n"/>
      <c r="I668" s="65" t="n"/>
      <c r="J668" s="65" t="n"/>
      <c r="K668" s="65" t="n"/>
      <c r="L668" s="65" t="n"/>
      <c r="M668" s="65" t="n"/>
      <c r="N668" s="65" t="n"/>
      <c r="O668" s="65" t="n"/>
      <c r="P668" s="65" t="n"/>
      <c r="Q668" s="65" t="n"/>
      <c r="R668" s="65" t="n"/>
      <c r="S668" s="65" t="n"/>
      <c r="T668" s="65" t="n"/>
      <c r="U668" s="65" t="n"/>
      <c r="V668" s="65" t="n"/>
      <c r="W668" s="65" t="n"/>
      <c r="X668" s="65" t="n"/>
      <c r="Y668" s="32">
        <f>IF($C668="","",IF(COUNTA($I668:$K668)&lt;3,"— חסרים נתונים",IF(AND($I668="תקין",$J668="תקין",$K668="תקין"),"רהוטה",IF(AND($I668="תקין",$J668="תקין"),"מדויקת ורציפה","אינה מדויקת או מקוטעת"))))</f>
        <v/>
      </c>
      <c r="Z668" s="32">
        <f>IF($C668="","",IF(COUNTA($U668:$W668)&lt;3,"",IF(AND($U668="מפותח",$V668="מפותח",$W668="מפותחת"),"מפותחת",IF((--($U668="דל"))+(--($V668="אינו מפותח"))+(--($W668="דלה"))&gt;=2,"אינה מפותחת","חלקית"))))</f>
        <v/>
      </c>
      <c r="AA668" s="32">
        <f>IF($C668="","",IF(COUNTA($M668,$N668,$O668)&lt;3,"— חסרים נתונים",IF(OR($M668="נמוכה",(--($M668&lt;&gt;"תקינה"))+(--($N668&lt;&gt;"תקין"))+(--($O668&lt;&gt;"תקינה"))&gt;=2),"ניכרת","אינה ניכרת")))</f>
        <v/>
      </c>
      <c r="AB668" s="32">
        <f>IF(OR($C668="",$Y668="",$AA668="",LEFT($Y668,1)="—",LEFT($AA668,1)="—"),"",IF($Z668="","— נדרשת הערכת כתיבה",IF($L668="","— חסרה הבנת הנקרא",IF($Y668="אינה מדויקת או מקוטעת",IF($AA668="ניכרת","מיקוד בשטף הקריאה ובכישורי שפה","מיקוד בשטף קריאה"),IF($AA668="ניכרת","מיקוד בכישורי שפה",IF(AND($L668="תקינה",$Z668="מפותחת"),"קוראים וכותבים מיומנים","מיקוד בהבנה והבעה"))))))</f>
        <v/>
      </c>
      <c r="AC668" s="32">
        <f>IF(OR($AB668="",LEFT($AB668,1)="—"),"",IF(OR($AB668="מיקוד בשטף קריאה",$AB668="מיקוד בשטף הקריאה ובכישורי שפה"),"רמה א'",IF($AB668="קוראים וכותבים מיומנים","רמה ג'","רמה ב'")))</f>
        <v/>
      </c>
      <c r="AD668" s="32">
        <f>IF($AC668="","",MID(IF(AND($AC668="רמה א'",$AA668="ניכרת"),"; להוסיף עבודת אוצר מילים","")&amp;IF($Z668="אינה מפותחת","; דגש על הבעה בכתב","")&amp;IF($K668&lt;&gt;"תקין","; נדרש לעבוד על ההנגנה","")&amp;IF($AK668&lt;&gt;"","; "&amp;$AK668,""),3,400))</f>
        <v/>
      </c>
      <c r="AE668" s="32">
        <f>IF($F668="","",IF($F668="תחילת שנה",1,IF($F668="מחצית שנה",2,3)))</f>
        <v/>
      </c>
      <c r="AF668" s="32">
        <f>IF(OR($B668="",$AC668="",$A668="",$F668=""),"",$B668&amp;"|"&amp;$A668&amp;"|"&amp;$F668&amp;"|"&amp;$AC668&amp;"|"&amp;COUNTIFS($B$6:$B668,$B668,$A$6:$A668,$A668,$F$6:$F668,$F668,$AC$6:$AC668,$AC668))</f>
        <v/>
      </c>
      <c r="AG668" s="32">
        <f>IF($C668="","",$C668&amp;"|"&amp;COUNTIFS($C$6:$C668,$C668))</f>
        <v/>
      </c>
      <c r="AH668" s="32">
        <f>IF(OR($C668="",$A668="",$AE668=""),"",$C668&amp;"|"&amp;$A668&amp;"|"&amp;$AE668)</f>
        <v/>
      </c>
      <c r="AI668" s="32">
        <f>IF(OR($C668="",$AE668="",$AE668=1),"",IFERROR(INDEX($AC$6:$AC$1505,MATCH($C668&amp;"|"&amp;$A668&amp;"|"&amp;($AE668-1),$AH$6:$AH$1505,0)),""))</f>
        <v/>
      </c>
      <c r="AJ668" s="32">
        <f>IF(OR($AI668="",$AC668=""),"",IF($AI668=$AC668,"ללא שינוי","מ-"&amp;$AI668&amp;" ל-"&amp;$AC668))</f>
        <v/>
      </c>
      <c r="AK668" s="67" t="n"/>
    </row>
    <row r="669" ht="15.75" customHeight="1" s="58">
      <c r="A669" s="65" t="n"/>
      <c r="B669" s="65" t="n"/>
      <c r="C669" s="66" t="n"/>
      <c r="D669" s="66" t="n"/>
      <c r="E669" s="65" t="n"/>
      <c r="F669" s="65" t="n"/>
      <c r="G669" s="65" t="n"/>
      <c r="H669" s="65" t="n"/>
      <c r="I669" s="65" t="n"/>
      <c r="J669" s="65" t="n"/>
      <c r="K669" s="65" t="n"/>
      <c r="L669" s="65" t="n"/>
      <c r="M669" s="65" t="n"/>
      <c r="N669" s="65" t="n"/>
      <c r="O669" s="65" t="n"/>
      <c r="P669" s="65" t="n"/>
      <c r="Q669" s="65" t="n"/>
      <c r="R669" s="65" t="n"/>
      <c r="S669" s="65" t="n"/>
      <c r="T669" s="65" t="n"/>
      <c r="U669" s="65" t="n"/>
      <c r="V669" s="65" t="n"/>
      <c r="W669" s="65" t="n"/>
      <c r="X669" s="65" t="n"/>
      <c r="Y669" s="32">
        <f>IF($C669="","",IF(COUNTA($I669:$K669)&lt;3,"— חסרים נתונים",IF(AND($I669="תקין",$J669="תקין",$K669="תקין"),"רהוטה",IF(AND($I669="תקין",$J669="תקין"),"מדויקת ורציפה","אינה מדויקת או מקוטעת"))))</f>
        <v/>
      </c>
      <c r="Z669" s="32">
        <f>IF($C669="","",IF(COUNTA($U669:$W669)&lt;3,"",IF(AND($U669="מפותח",$V669="מפותח",$W669="מפותחת"),"מפותחת",IF((--($U669="דל"))+(--($V669="אינו מפותח"))+(--($W669="דלה"))&gt;=2,"אינה מפותחת","חלקית"))))</f>
        <v/>
      </c>
      <c r="AA669" s="32">
        <f>IF($C669="","",IF(COUNTA($M669,$N669,$O669)&lt;3,"— חסרים נתונים",IF(OR($M669="נמוכה",(--($M669&lt;&gt;"תקינה"))+(--($N669&lt;&gt;"תקין"))+(--($O669&lt;&gt;"תקינה"))&gt;=2),"ניכרת","אינה ניכרת")))</f>
        <v/>
      </c>
      <c r="AB669" s="32">
        <f>IF(OR($C669="",$Y669="",$AA669="",LEFT($Y669,1)="—",LEFT($AA669,1)="—"),"",IF($Z669="","— נדרשת הערכת כתיבה",IF($L669="","— חסרה הבנת הנקרא",IF($Y669="אינה מדויקת או מקוטעת",IF($AA669="ניכרת","מיקוד בשטף הקריאה ובכישורי שפה","מיקוד בשטף קריאה"),IF($AA669="ניכרת","מיקוד בכישורי שפה",IF(AND($L669="תקינה",$Z669="מפותחת"),"קוראים וכותבים מיומנים","מיקוד בהבנה והבעה"))))))</f>
        <v/>
      </c>
      <c r="AC669" s="32">
        <f>IF(OR($AB669="",LEFT($AB669,1)="—"),"",IF(OR($AB669="מיקוד בשטף קריאה",$AB669="מיקוד בשטף הקריאה ובכישורי שפה"),"רמה א'",IF($AB669="קוראים וכותבים מיומנים","רמה ג'","רמה ב'")))</f>
        <v/>
      </c>
      <c r="AD669" s="32">
        <f>IF($AC669="","",MID(IF(AND($AC669="רמה א'",$AA669="ניכרת"),"; להוסיף עבודת אוצר מילים","")&amp;IF($Z669="אינה מפותחת","; דגש על הבעה בכתב","")&amp;IF($K669&lt;&gt;"תקין","; נדרש לעבוד על ההנגנה","")&amp;IF($AK669&lt;&gt;"","; "&amp;$AK669,""),3,400))</f>
        <v/>
      </c>
      <c r="AE669" s="32">
        <f>IF($F669="","",IF($F669="תחילת שנה",1,IF($F669="מחצית שנה",2,3)))</f>
        <v/>
      </c>
      <c r="AF669" s="32">
        <f>IF(OR($B669="",$AC669="",$A669="",$F669=""),"",$B669&amp;"|"&amp;$A669&amp;"|"&amp;$F669&amp;"|"&amp;$AC669&amp;"|"&amp;COUNTIFS($B$6:$B669,$B669,$A$6:$A669,$A669,$F$6:$F669,$F669,$AC$6:$AC669,$AC669))</f>
        <v/>
      </c>
      <c r="AG669" s="32">
        <f>IF($C669="","",$C669&amp;"|"&amp;COUNTIFS($C$6:$C669,$C669))</f>
        <v/>
      </c>
      <c r="AH669" s="32">
        <f>IF(OR($C669="",$A669="",$AE669=""),"",$C669&amp;"|"&amp;$A669&amp;"|"&amp;$AE669)</f>
        <v/>
      </c>
      <c r="AI669" s="32">
        <f>IF(OR($C669="",$AE669="",$AE669=1),"",IFERROR(INDEX($AC$6:$AC$1505,MATCH($C669&amp;"|"&amp;$A669&amp;"|"&amp;($AE669-1),$AH$6:$AH$1505,0)),""))</f>
        <v/>
      </c>
      <c r="AJ669" s="32">
        <f>IF(OR($AI669="",$AC669=""),"",IF($AI669=$AC669,"ללא שינוי","מ-"&amp;$AI669&amp;" ל-"&amp;$AC669))</f>
        <v/>
      </c>
      <c r="AK669" s="67" t="n"/>
    </row>
    <row r="670" ht="15.75" customHeight="1" s="58">
      <c r="A670" s="65" t="n"/>
      <c r="B670" s="65" t="n"/>
      <c r="C670" s="66" t="n"/>
      <c r="D670" s="66" t="n"/>
      <c r="E670" s="65" t="n"/>
      <c r="F670" s="65" t="n"/>
      <c r="G670" s="65" t="n"/>
      <c r="H670" s="65" t="n"/>
      <c r="I670" s="65" t="n"/>
      <c r="J670" s="65" t="n"/>
      <c r="K670" s="65" t="n"/>
      <c r="L670" s="65" t="n"/>
      <c r="M670" s="65" t="n"/>
      <c r="N670" s="65" t="n"/>
      <c r="O670" s="65" t="n"/>
      <c r="P670" s="65" t="n"/>
      <c r="Q670" s="65" t="n"/>
      <c r="R670" s="65" t="n"/>
      <c r="S670" s="65" t="n"/>
      <c r="T670" s="65" t="n"/>
      <c r="U670" s="65" t="n"/>
      <c r="V670" s="65" t="n"/>
      <c r="W670" s="65" t="n"/>
      <c r="X670" s="65" t="n"/>
      <c r="Y670" s="32">
        <f>IF($C670="","",IF(COUNTA($I670:$K670)&lt;3,"— חסרים נתונים",IF(AND($I670="תקין",$J670="תקין",$K670="תקין"),"רהוטה",IF(AND($I670="תקין",$J670="תקין"),"מדויקת ורציפה","אינה מדויקת או מקוטעת"))))</f>
        <v/>
      </c>
      <c r="Z670" s="32">
        <f>IF($C670="","",IF(COUNTA($U670:$W670)&lt;3,"",IF(AND($U670="מפותח",$V670="מפותח",$W670="מפותחת"),"מפותחת",IF((--($U670="דל"))+(--($V670="אינו מפותח"))+(--($W670="דלה"))&gt;=2,"אינה מפותחת","חלקית"))))</f>
        <v/>
      </c>
      <c r="AA670" s="32">
        <f>IF($C670="","",IF(COUNTA($M670,$N670,$O670)&lt;3,"— חסרים נתונים",IF(OR($M670="נמוכה",(--($M670&lt;&gt;"תקינה"))+(--($N670&lt;&gt;"תקין"))+(--($O670&lt;&gt;"תקינה"))&gt;=2),"ניכרת","אינה ניכרת")))</f>
        <v/>
      </c>
      <c r="AB670" s="32">
        <f>IF(OR($C670="",$Y670="",$AA670="",LEFT($Y670,1)="—",LEFT($AA670,1)="—"),"",IF($Z670="","— נדרשת הערכת כתיבה",IF($L670="","— חסרה הבנת הנקרא",IF($Y670="אינה מדויקת או מקוטעת",IF($AA670="ניכרת","מיקוד בשטף הקריאה ובכישורי שפה","מיקוד בשטף קריאה"),IF($AA670="ניכרת","מיקוד בכישורי שפה",IF(AND($L670="תקינה",$Z670="מפותחת"),"קוראים וכותבים מיומנים","מיקוד בהבנה והבעה"))))))</f>
        <v/>
      </c>
      <c r="AC670" s="32">
        <f>IF(OR($AB670="",LEFT($AB670,1)="—"),"",IF(OR($AB670="מיקוד בשטף קריאה",$AB670="מיקוד בשטף הקריאה ובכישורי שפה"),"רמה א'",IF($AB670="קוראים וכותבים מיומנים","רמה ג'","רמה ב'")))</f>
        <v/>
      </c>
      <c r="AD670" s="32">
        <f>IF($AC670="","",MID(IF(AND($AC670="רמה א'",$AA670="ניכרת"),"; להוסיף עבודת אוצר מילים","")&amp;IF($Z670="אינה מפותחת","; דגש על הבעה בכתב","")&amp;IF($K670&lt;&gt;"תקין","; נדרש לעבוד על ההנגנה","")&amp;IF($AK670&lt;&gt;"","; "&amp;$AK670,""),3,400))</f>
        <v/>
      </c>
      <c r="AE670" s="32">
        <f>IF($F670="","",IF($F670="תחילת שנה",1,IF($F670="מחצית שנה",2,3)))</f>
        <v/>
      </c>
      <c r="AF670" s="32">
        <f>IF(OR($B670="",$AC670="",$A670="",$F670=""),"",$B670&amp;"|"&amp;$A670&amp;"|"&amp;$F670&amp;"|"&amp;$AC670&amp;"|"&amp;COUNTIFS($B$6:$B670,$B670,$A$6:$A670,$A670,$F$6:$F670,$F670,$AC$6:$AC670,$AC670))</f>
        <v/>
      </c>
      <c r="AG670" s="32">
        <f>IF($C670="","",$C670&amp;"|"&amp;COUNTIFS($C$6:$C670,$C670))</f>
        <v/>
      </c>
      <c r="AH670" s="32">
        <f>IF(OR($C670="",$A670="",$AE670=""),"",$C670&amp;"|"&amp;$A670&amp;"|"&amp;$AE670)</f>
        <v/>
      </c>
      <c r="AI670" s="32">
        <f>IF(OR($C670="",$AE670="",$AE670=1),"",IFERROR(INDEX($AC$6:$AC$1505,MATCH($C670&amp;"|"&amp;$A670&amp;"|"&amp;($AE670-1),$AH$6:$AH$1505,0)),""))</f>
        <v/>
      </c>
      <c r="AJ670" s="32">
        <f>IF(OR($AI670="",$AC670=""),"",IF($AI670=$AC670,"ללא שינוי","מ-"&amp;$AI670&amp;" ל-"&amp;$AC670))</f>
        <v/>
      </c>
      <c r="AK670" s="67" t="n"/>
    </row>
    <row r="671" ht="15.75" customHeight="1" s="58">
      <c r="A671" s="65" t="n"/>
      <c r="B671" s="65" t="n"/>
      <c r="C671" s="66" t="n"/>
      <c r="D671" s="66" t="n"/>
      <c r="E671" s="65" t="n"/>
      <c r="F671" s="65" t="n"/>
      <c r="G671" s="65" t="n"/>
      <c r="H671" s="65" t="n"/>
      <c r="I671" s="65" t="n"/>
      <c r="J671" s="65" t="n"/>
      <c r="K671" s="65" t="n"/>
      <c r="L671" s="65" t="n"/>
      <c r="M671" s="65" t="n"/>
      <c r="N671" s="65" t="n"/>
      <c r="O671" s="65" t="n"/>
      <c r="P671" s="65" t="n"/>
      <c r="Q671" s="65" t="n"/>
      <c r="R671" s="65" t="n"/>
      <c r="S671" s="65" t="n"/>
      <c r="T671" s="65" t="n"/>
      <c r="U671" s="65" t="n"/>
      <c r="V671" s="65" t="n"/>
      <c r="W671" s="65" t="n"/>
      <c r="X671" s="65" t="n"/>
      <c r="Y671" s="32">
        <f>IF($C671="","",IF(COUNTA($I671:$K671)&lt;3,"— חסרים נתונים",IF(AND($I671="תקין",$J671="תקין",$K671="תקין"),"רהוטה",IF(AND($I671="תקין",$J671="תקין"),"מדויקת ורציפה","אינה מדויקת או מקוטעת"))))</f>
        <v/>
      </c>
      <c r="Z671" s="32">
        <f>IF($C671="","",IF(COUNTA($U671:$W671)&lt;3,"",IF(AND($U671="מפותח",$V671="מפותח",$W671="מפותחת"),"מפותחת",IF((--($U671="דל"))+(--($V671="אינו מפותח"))+(--($W671="דלה"))&gt;=2,"אינה מפותחת","חלקית"))))</f>
        <v/>
      </c>
      <c r="AA671" s="32">
        <f>IF($C671="","",IF(COUNTA($M671,$N671,$O671)&lt;3,"— חסרים נתונים",IF(OR($M671="נמוכה",(--($M671&lt;&gt;"תקינה"))+(--($N671&lt;&gt;"תקין"))+(--($O671&lt;&gt;"תקינה"))&gt;=2),"ניכרת","אינה ניכרת")))</f>
        <v/>
      </c>
      <c r="AB671" s="32">
        <f>IF(OR($C671="",$Y671="",$AA671="",LEFT($Y671,1)="—",LEFT($AA671,1)="—"),"",IF($Z671="","— נדרשת הערכת כתיבה",IF($L671="","— חסרה הבנת הנקרא",IF($Y671="אינה מדויקת או מקוטעת",IF($AA671="ניכרת","מיקוד בשטף הקריאה ובכישורי שפה","מיקוד בשטף קריאה"),IF($AA671="ניכרת","מיקוד בכישורי שפה",IF(AND($L671="תקינה",$Z671="מפותחת"),"קוראים וכותבים מיומנים","מיקוד בהבנה והבעה"))))))</f>
        <v/>
      </c>
      <c r="AC671" s="32">
        <f>IF(OR($AB671="",LEFT($AB671,1)="—"),"",IF(OR($AB671="מיקוד בשטף קריאה",$AB671="מיקוד בשטף הקריאה ובכישורי שפה"),"רמה א'",IF($AB671="קוראים וכותבים מיומנים","רמה ג'","רמה ב'")))</f>
        <v/>
      </c>
      <c r="AD671" s="32">
        <f>IF($AC671="","",MID(IF(AND($AC671="רמה א'",$AA671="ניכרת"),"; להוסיף עבודת אוצר מילים","")&amp;IF($Z671="אינה מפותחת","; דגש על הבעה בכתב","")&amp;IF($K671&lt;&gt;"תקין","; נדרש לעבוד על ההנגנה","")&amp;IF($AK671&lt;&gt;"","; "&amp;$AK671,""),3,400))</f>
        <v/>
      </c>
      <c r="AE671" s="32">
        <f>IF($F671="","",IF($F671="תחילת שנה",1,IF($F671="מחצית שנה",2,3)))</f>
        <v/>
      </c>
      <c r="AF671" s="32">
        <f>IF(OR($B671="",$AC671="",$A671="",$F671=""),"",$B671&amp;"|"&amp;$A671&amp;"|"&amp;$F671&amp;"|"&amp;$AC671&amp;"|"&amp;COUNTIFS($B$6:$B671,$B671,$A$6:$A671,$A671,$F$6:$F671,$F671,$AC$6:$AC671,$AC671))</f>
        <v/>
      </c>
      <c r="AG671" s="32">
        <f>IF($C671="","",$C671&amp;"|"&amp;COUNTIFS($C$6:$C671,$C671))</f>
        <v/>
      </c>
      <c r="AH671" s="32">
        <f>IF(OR($C671="",$A671="",$AE671=""),"",$C671&amp;"|"&amp;$A671&amp;"|"&amp;$AE671)</f>
        <v/>
      </c>
      <c r="AI671" s="32">
        <f>IF(OR($C671="",$AE671="",$AE671=1),"",IFERROR(INDEX($AC$6:$AC$1505,MATCH($C671&amp;"|"&amp;$A671&amp;"|"&amp;($AE671-1),$AH$6:$AH$1505,0)),""))</f>
        <v/>
      </c>
      <c r="AJ671" s="32">
        <f>IF(OR($AI671="",$AC671=""),"",IF($AI671=$AC671,"ללא שינוי","מ-"&amp;$AI671&amp;" ל-"&amp;$AC671))</f>
        <v/>
      </c>
      <c r="AK671" s="67" t="n"/>
    </row>
    <row r="672" ht="15.75" customHeight="1" s="58">
      <c r="A672" s="65" t="n"/>
      <c r="B672" s="65" t="n"/>
      <c r="C672" s="66" t="n"/>
      <c r="D672" s="66" t="n"/>
      <c r="E672" s="65" t="n"/>
      <c r="F672" s="65" t="n"/>
      <c r="G672" s="65" t="n"/>
      <c r="H672" s="65" t="n"/>
      <c r="I672" s="65" t="n"/>
      <c r="J672" s="65" t="n"/>
      <c r="K672" s="65" t="n"/>
      <c r="L672" s="65" t="n"/>
      <c r="M672" s="65" t="n"/>
      <c r="N672" s="65" t="n"/>
      <c r="O672" s="65" t="n"/>
      <c r="P672" s="65" t="n"/>
      <c r="Q672" s="65" t="n"/>
      <c r="R672" s="65" t="n"/>
      <c r="S672" s="65" t="n"/>
      <c r="T672" s="65" t="n"/>
      <c r="U672" s="65" t="n"/>
      <c r="V672" s="65" t="n"/>
      <c r="W672" s="65" t="n"/>
      <c r="X672" s="65" t="n"/>
      <c r="Y672" s="32">
        <f>IF($C672="","",IF(COUNTA($I672:$K672)&lt;3,"— חסרים נתונים",IF(AND($I672="תקין",$J672="תקין",$K672="תקין"),"רהוטה",IF(AND($I672="תקין",$J672="תקין"),"מדויקת ורציפה","אינה מדויקת או מקוטעת"))))</f>
        <v/>
      </c>
      <c r="Z672" s="32">
        <f>IF($C672="","",IF(COUNTA($U672:$W672)&lt;3,"",IF(AND($U672="מפותח",$V672="מפותח",$W672="מפותחת"),"מפותחת",IF((--($U672="דל"))+(--($V672="אינו מפותח"))+(--($W672="דלה"))&gt;=2,"אינה מפותחת","חלקית"))))</f>
        <v/>
      </c>
      <c r="AA672" s="32">
        <f>IF($C672="","",IF(COUNTA($M672,$N672,$O672)&lt;3,"— חסרים נתונים",IF(OR($M672="נמוכה",(--($M672&lt;&gt;"תקינה"))+(--($N672&lt;&gt;"תקין"))+(--($O672&lt;&gt;"תקינה"))&gt;=2),"ניכרת","אינה ניכרת")))</f>
        <v/>
      </c>
      <c r="AB672" s="32">
        <f>IF(OR($C672="",$Y672="",$AA672="",LEFT($Y672,1)="—",LEFT($AA672,1)="—"),"",IF($Z672="","— נדרשת הערכת כתיבה",IF($L672="","— חסרה הבנת הנקרא",IF($Y672="אינה מדויקת או מקוטעת",IF($AA672="ניכרת","מיקוד בשטף הקריאה ובכישורי שפה","מיקוד בשטף קריאה"),IF($AA672="ניכרת","מיקוד בכישורי שפה",IF(AND($L672="תקינה",$Z672="מפותחת"),"קוראים וכותבים מיומנים","מיקוד בהבנה והבעה"))))))</f>
        <v/>
      </c>
      <c r="AC672" s="32">
        <f>IF(OR($AB672="",LEFT($AB672,1)="—"),"",IF(OR($AB672="מיקוד בשטף קריאה",$AB672="מיקוד בשטף הקריאה ובכישורי שפה"),"רמה א'",IF($AB672="קוראים וכותבים מיומנים","רמה ג'","רמה ב'")))</f>
        <v/>
      </c>
      <c r="AD672" s="32">
        <f>IF($AC672="","",MID(IF(AND($AC672="רמה א'",$AA672="ניכרת"),"; להוסיף עבודת אוצר מילים","")&amp;IF($Z672="אינה מפותחת","; דגש על הבעה בכתב","")&amp;IF($K672&lt;&gt;"תקין","; נדרש לעבוד על ההנגנה","")&amp;IF($AK672&lt;&gt;"","; "&amp;$AK672,""),3,400))</f>
        <v/>
      </c>
      <c r="AE672" s="32">
        <f>IF($F672="","",IF($F672="תחילת שנה",1,IF($F672="מחצית שנה",2,3)))</f>
        <v/>
      </c>
      <c r="AF672" s="32">
        <f>IF(OR($B672="",$AC672="",$A672="",$F672=""),"",$B672&amp;"|"&amp;$A672&amp;"|"&amp;$F672&amp;"|"&amp;$AC672&amp;"|"&amp;COUNTIFS($B$6:$B672,$B672,$A$6:$A672,$A672,$F$6:$F672,$F672,$AC$6:$AC672,$AC672))</f>
        <v/>
      </c>
      <c r="AG672" s="32">
        <f>IF($C672="","",$C672&amp;"|"&amp;COUNTIFS($C$6:$C672,$C672))</f>
        <v/>
      </c>
      <c r="AH672" s="32">
        <f>IF(OR($C672="",$A672="",$AE672=""),"",$C672&amp;"|"&amp;$A672&amp;"|"&amp;$AE672)</f>
        <v/>
      </c>
      <c r="AI672" s="32">
        <f>IF(OR($C672="",$AE672="",$AE672=1),"",IFERROR(INDEX($AC$6:$AC$1505,MATCH($C672&amp;"|"&amp;$A672&amp;"|"&amp;($AE672-1),$AH$6:$AH$1505,0)),""))</f>
        <v/>
      </c>
      <c r="AJ672" s="32">
        <f>IF(OR($AI672="",$AC672=""),"",IF($AI672=$AC672,"ללא שינוי","מ-"&amp;$AI672&amp;" ל-"&amp;$AC672))</f>
        <v/>
      </c>
      <c r="AK672" s="67" t="n"/>
    </row>
    <row r="673" ht="15.75" customHeight="1" s="58">
      <c r="A673" s="65" t="n"/>
      <c r="B673" s="65" t="n"/>
      <c r="C673" s="66" t="n"/>
      <c r="D673" s="66" t="n"/>
      <c r="E673" s="65" t="n"/>
      <c r="F673" s="65" t="n"/>
      <c r="G673" s="65" t="n"/>
      <c r="H673" s="65" t="n"/>
      <c r="I673" s="65" t="n"/>
      <c r="J673" s="65" t="n"/>
      <c r="K673" s="65" t="n"/>
      <c r="L673" s="65" t="n"/>
      <c r="M673" s="65" t="n"/>
      <c r="N673" s="65" t="n"/>
      <c r="O673" s="65" t="n"/>
      <c r="P673" s="65" t="n"/>
      <c r="Q673" s="65" t="n"/>
      <c r="R673" s="65" t="n"/>
      <c r="S673" s="65" t="n"/>
      <c r="T673" s="65" t="n"/>
      <c r="U673" s="65" t="n"/>
      <c r="V673" s="65" t="n"/>
      <c r="W673" s="65" t="n"/>
      <c r="X673" s="65" t="n"/>
      <c r="Y673" s="32">
        <f>IF($C673="","",IF(COUNTA($I673:$K673)&lt;3,"— חסרים נתונים",IF(AND($I673="תקין",$J673="תקין",$K673="תקין"),"רהוטה",IF(AND($I673="תקין",$J673="תקין"),"מדויקת ורציפה","אינה מדויקת או מקוטעת"))))</f>
        <v/>
      </c>
      <c r="Z673" s="32">
        <f>IF($C673="","",IF(COUNTA($U673:$W673)&lt;3,"",IF(AND($U673="מפותח",$V673="מפותח",$W673="מפותחת"),"מפותחת",IF((--($U673="דל"))+(--($V673="אינו מפותח"))+(--($W673="דלה"))&gt;=2,"אינה מפותחת","חלקית"))))</f>
        <v/>
      </c>
      <c r="AA673" s="32">
        <f>IF($C673="","",IF(COUNTA($M673,$N673,$O673)&lt;3,"— חסרים נתונים",IF(OR($M673="נמוכה",(--($M673&lt;&gt;"תקינה"))+(--($N673&lt;&gt;"תקין"))+(--($O673&lt;&gt;"תקינה"))&gt;=2),"ניכרת","אינה ניכרת")))</f>
        <v/>
      </c>
      <c r="AB673" s="32">
        <f>IF(OR($C673="",$Y673="",$AA673="",LEFT($Y673,1)="—",LEFT($AA673,1)="—"),"",IF($Z673="","— נדרשת הערכת כתיבה",IF($L673="","— חסרה הבנת הנקרא",IF($Y673="אינה מדויקת או מקוטעת",IF($AA673="ניכרת","מיקוד בשטף הקריאה ובכישורי שפה","מיקוד בשטף קריאה"),IF($AA673="ניכרת","מיקוד בכישורי שפה",IF(AND($L673="תקינה",$Z673="מפותחת"),"קוראים וכותבים מיומנים","מיקוד בהבנה והבעה"))))))</f>
        <v/>
      </c>
      <c r="AC673" s="32">
        <f>IF(OR($AB673="",LEFT($AB673,1)="—"),"",IF(OR($AB673="מיקוד בשטף קריאה",$AB673="מיקוד בשטף הקריאה ובכישורי שפה"),"רמה א'",IF($AB673="קוראים וכותבים מיומנים","רמה ג'","רמה ב'")))</f>
        <v/>
      </c>
      <c r="AD673" s="32">
        <f>IF($AC673="","",MID(IF(AND($AC673="רמה א'",$AA673="ניכרת"),"; להוסיף עבודת אוצר מילים","")&amp;IF($Z673="אינה מפותחת","; דגש על הבעה בכתב","")&amp;IF($K673&lt;&gt;"תקין","; נדרש לעבוד על ההנגנה","")&amp;IF($AK673&lt;&gt;"","; "&amp;$AK673,""),3,400))</f>
        <v/>
      </c>
      <c r="AE673" s="32">
        <f>IF($F673="","",IF($F673="תחילת שנה",1,IF($F673="מחצית שנה",2,3)))</f>
        <v/>
      </c>
      <c r="AF673" s="32">
        <f>IF(OR($B673="",$AC673="",$A673="",$F673=""),"",$B673&amp;"|"&amp;$A673&amp;"|"&amp;$F673&amp;"|"&amp;$AC673&amp;"|"&amp;COUNTIFS($B$6:$B673,$B673,$A$6:$A673,$A673,$F$6:$F673,$F673,$AC$6:$AC673,$AC673))</f>
        <v/>
      </c>
      <c r="AG673" s="32">
        <f>IF($C673="","",$C673&amp;"|"&amp;COUNTIFS($C$6:$C673,$C673))</f>
        <v/>
      </c>
      <c r="AH673" s="32">
        <f>IF(OR($C673="",$A673="",$AE673=""),"",$C673&amp;"|"&amp;$A673&amp;"|"&amp;$AE673)</f>
        <v/>
      </c>
      <c r="AI673" s="32">
        <f>IF(OR($C673="",$AE673="",$AE673=1),"",IFERROR(INDEX($AC$6:$AC$1505,MATCH($C673&amp;"|"&amp;$A673&amp;"|"&amp;($AE673-1),$AH$6:$AH$1505,0)),""))</f>
        <v/>
      </c>
      <c r="AJ673" s="32">
        <f>IF(OR($AI673="",$AC673=""),"",IF($AI673=$AC673,"ללא שינוי","מ-"&amp;$AI673&amp;" ל-"&amp;$AC673))</f>
        <v/>
      </c>
      <c r="AK673" s="67" t="n"/>
    </row>
    <row r="674" ht="15.75" customHeight="1" s="58">
      <c r="A674" s="65" t="n"/>
      <c r="B674" s="65" t="n"/>
      <c r="C674" s="66" t="n"/>
      <c r="D674" s="66" t="n"/>
      <c r="E674" s="65" t="n"/>
      <c r="F674" s="65" t="n"/>
      <c r="G674" s="65" t="n"/>
      <c r="H674" s="65" t="n"/>
      <c r="I674" s="65" t="n"/>
      <c r="J674" s="65" t="n"/>
      <c r="K674" s="65" t="n"/>
      <c r="L674" s="65" t="n"/>
      <c r="M674" s="65" t="n"/>
      <c r="N674" s="65" t="n"/>
      <c r="O674" s="65" t="n"/>
      <c r="P674" s="65" t="n"/>
      <c r="Q674" s="65" t="n"/>
      <c r="R674" s="65" t="n"/>
      <c r="S674" s="65" t="n"/>
      <c r="T674" s="65" t="n"/>
      <c r="U674" s="65" t="n"/>
      <c r="V674" s="65" t="n"/>
      <c r="W674" s="65" t="n"/>
      <c r="X674" s="65" t="n"/>
      <c r="Y674" s="32">
        <f>IF($C674="","",IF(COUNTA($I674:$K674)&lt;3,"— חסרים נתונים",IF(AND($I674="תקין",$J674="תקין",$K674="תקין"),"רהוטה",IF(AND($I674="תקין",$J674="תקין"),"מדויקת ורציפה","אינה מדויקת או מקוטעת"))))</f>
        <v/>
      </c>
      <c r="Z674" s="32">
        <f>IF($C674="","",IF(COUNTA($U674:$W674)&lt;3,"",IF(AND($U674="מפותח",$V674="מפותח",$W674="מפותחת"),"מפותחת",IF((--($U674="דל"))+(--($V674="אינו מפותח"))+(--($W674="דלה"))&gt;=2,"אינה מפותחת","חלקית"))))</f>
        <v/>
      </c>
      <c r="AA674" s="32">
        <f>IF($C674="","",IF(COUNTA($M674,$N674,$O674)&lt;3,"— חסרים נתונים",IF(OR($M674="נמוכה",(--($M674&lt;&gt;"תקינה"))+(--($N674&lt;&gt;"תקין"))+(--($O674&lt;&gt;"תקינה"))&gt;=2),"ניכרת","אינה ניכרת")))</f>
        <v/>
      </c>
      <c r="AB674" s="32">
        <f>IF(OR($C674="",$Y674="",$AA674="",LEFT($Y674,1)="—",LEFT($AA674,1)="—"),"",IF($Z674="","— נדרשת הערכת כתיבה",IF($L674="","— חסרה הבנת הנקרא",IF($Y674="אינה מדויקת או מקוטעת",IF($AA674="ניכרת","מיקוד בשטף הקריאה ובכישורי שפה","מיקוד בשטף קריאה"),IF($AA674="ניכרת","מיקוד בכישורי שפה",IF(AND($L674="תקינה",$Z674="מפותחת"),"קוראים וכותבים מיומנים","מיקוד בהבנה והבעה"))))))</f>
        <v/>
      </c>
      <c r="AC674" s="32">
        <f>IF(OR($AB674="",LEFT($AB674,1)="—"),"",IF(OR($AB674="מיקוד בשטף קריאה",$AB674="מיקוד בשטף הקריאה ובכישורי שפה"),"רמה א'",IF($AB674="קוראים וכותבים מיומנים","רמה ג'","רמה ב'")))</f>
        <v/>
      </c>
      <c r="AD674" s="32">
        <f>IF($AC674="","",MID(IF(AND($AC674="רמה א'",$AA674="ניכרת"),"; להוסיף עבודת אוצר מילים","")&amp;IF($Z674="אינה מפותחת","; דגש על הבעה בכתב","")&amp;IF($K674&lt;&gt;"תקין","; נדרש לעבוד על ההנגנה","")&amp;IF($AK674&lt;&gt;"","; "&amp;$AK674,""),3,400))</f>
        <v/>
      </c>
      <c r="AE674" s="32">
        <f>IF($F674="","",IF($F674="תחילת שנה",1,IF($F674="מחצית שנה",2,3)))</f>
        <v/>
      </c>
      <c r="AF674" s="32">
        <f>IF(OR($B674="",$AC674="",$A674="",$F674=""),"",$B674&amp;"|"&amp;$A674&amp;"|"&amp;$F674&amp;"|"&amp;$AC674&amp;"|"&amp;COUNTIFS($B$6:$B674,$B674,$A$6:$A674,$A674,$F$6:$F674,$F674,$AC$6:$AC674,$AC674))</f>
        <v/>
      </c>
      <c r="AG674" s="32">
        <f>IF($C674="","",$C674&amp;"|"&amp;COUNTIFS($C$6:$C674,$C674))</f>
        <v/>
      </c>
      <c r="AH674" s="32">
        <f>IF(OR($C674="",$A674="",$AE674=""),"",$C674&amp;"|"&amp;$A674&amp;"|"&amp;$AE674)</f>
        <v/>
      </c>
      <c r="AI674" s="32">
        <f>IF(OR($C674="",$AE674="",$AE674=1),"",IFERROR(INDEX($AC$6:$AC$1505,MATCH($C674&amp;"|"&amp;$A674&amp;"|"&amp;($AE674-1),$AH$6:$AH$1505,0)),""))</f>
        <v/>
      </c>
      <c r="AJ674" s="32">
        <f>IF(OR($AI674="",$AC674=""),"",IF($AI674=$AC674,"ללא שינוי","מ-"&amp;$AI674&amp;" ל-"&amp;$AC674))</f>
        <v/>
      </c>
      <c r="AK674" s="67" t="n"/>
    </row>
    <row r="675" ht="15.75" customHeight="1" s="58">
      <c r="A675" s="65" t="n"/>
      <c r="B675" s="65" t="n"/>
      <c r="C675" s="66" t="n"/>
      <c r="D675" s="66" t="n"/>
      <c r="E675" s="65" t="n"/>
      <c r="F675" s="65" t="n"/>
      <c r="G675" s="65" t="n"/>
      <c r="H675" s="65" t="n"/>
      <c r="I675" s="65" t="n"/>
      <c r="J675" s="65" t="n"/>
      <c r="K675" s="65" t="n"/>
      <c r="L675" s="65" t="n"/>
      <c r="M675" s="65" t="n"/>
      <c r="N675" s="65" t="n"/>
      <c r="O675" s="65" t="n"/>
      <c r="P675" s="65" t="n"/>
      <c r="Q675" s="65" t="n"/>
      <c r="R675" s="65" t="n"/>
      <c r="S675" s="65" t="n"/>
      <c r="T675" s="65" t="n"/>
      <c r="U675" s="65" t="n"/>
      <c r="V675" s="65" t="n"/>
      <c r="W675" s="65" t="n"/>
      <c r="X675" s="65" t="n"/>
      <c r="Y675" s="32">
        <f>IF($C675="","",IF(COUNTA($I675:$K675)&lt;3,"— חסרים נתונים",IF(AND($I675="תקין",$J675="תקין",$K675="תקין"),"רהוטה",IF(AND($I675="תקין",$J675="תקין"),"מדויקת ורציפה","אינה מדויקת או מקוטעת"))))</f>
        <v/>
      </c>
      <c r="Z675" s="32">
        <f>IF($C675="","",IF(COUNTA($U675:$W675)&lt;3,"",IF(AND($U675="מפותח",$V675="מפותח",$W675="מפותחת"),"מפותחת",IF((--($U675="דל"))+(--($V675="אינו מפותח"))+(--($W675="דלה"))&gt;=2,"אינה מפותחת","חלקית"))))</f>
        <v/>
      </c>
      <c r="AA675" s="32">
        <f>IF($C675="","",IF(COUNTA($M675,$N675,$O675)&lt;3,"— חסרים נתונים",IF(OR($M675="נמוכה",(--($M675&lt;&gt;"תקינה"))+(--($N675&lt;&gt;"תקין"))+(--($O675&lt;&gt;"תקינה"))&gt;=2),"ניכרת","אינה ניכרת")))</f>
        <v/>
      </c>
      <c r="AB675" s="32">
        <f>IF(OR($C675="",$Y675="",$AA675="",LEFT($Y675,1)="—",LEFT($AA675,1)="—"),"",IF($Z675="","— נדרשת הערכת כתיבה",IF($L675="","— חסרה הבנת הנקרא",IF($Y675="אינה מדויקת או מקוטעת",IF($AA675="ניכרת","מיקוד בשטף הקריאה ובכישורי שפה","מיקוד בשטף קריאה"),IF($AA675="ניכרת","מיקוד בכישורי שפה",IF(AND($L675="תקינה",$Z675="מפותחת"),"קוראים וכותבים מיומנים","מיקוד בהבנה והבעה"))))))</f>
        <v/>
      </c>
      <c r="AC675" s="32">
        <f>IF(OR($AB675="",LEFT($AB675,1)="—"),"",IF(OR($AB675="מיקוד בשטף קריאה",$AB675="מיקוד בשטף הקריאה ובכישורי שפה"),"רמה א'",IF($AB675="קוראים וכותבים מיומנים","רמה ג'","רמה ב'")))</f>
        <v/>
      </c>
      <c r="AD675" s="32">
        <f>IF($AC675="","",MID(IF(AND($AC675="רמה א'",$AA675="ניכרת"),"; להוסיף עבודת אוצר מילים","")&amp;IF($Z675="אינה מפותחת","; דגש על הבעה בכתב","")&amp;IF($K675&lt;&gt;"תקין","; נדרש לעבוד על ההנגנה","")&amp;IF($AK675&lt;&gt;"","; "&amp;$AK675,""),3,400))</f>
        <v/>
      </c>
      <c r="AE675" s="32">
        <f>IF($F675="","",IF($F675="תחילת שנה",1,IF($F675="מחצית שנה",2,3)))</f>
        <v/>
      </c>
      <c r="AF675" s="32">
        <f>IF(OR($B675="",$AC675="",$A675="",$F675=""),"",$B675&amp;"|"&amp;$A675&amp;"|"&amp;$F675&amp;"|"&amp;$AC675&amp;"|"&amp;COUNTIFS($B$6:$B675,$B675,$A$6:$A675,$A675,$F$6:$F675,$F675,$AC$6:$AC675,$AC675))</f>
        <v/>
      </c>
      <c r="AG675" s="32">
        <f>IF($C675="","",$C675&amp;"|"&amp;COUNTIFS($C$6:$C675,$C675))</f>
        <v/>
      </c>
      <c r="AH675" s="32">
        <f>IF(OR($C675="",$A675="",$AE675=""),"",$C675&amp;"|"&amp;$A675&amp;"|"&amp;$AE675)</f>
        <v/>
      </c>
      <c r="AI675" s="32">
        <f>IF(OR($C675="",$AE675="",$AE675=1),"",IFERROR(INDEX($AC$6:$AC$1505,MATCH($C675&amp;"|"&amp;$A675&amp;"|"&amp;($AE675-1),$AH$6:$AH$1505,0)),""))</f>
        <v/>
      </c>
      <c r="AJ675" s="32">
        <f>IF(OR($AI675="",$AC675=""),"",IF($AI675=$AC675,"ללא שינוי","מ-"&amp;$AI675&amp;" ל-"&amp;$AC675))</f>
        <v/>
      </c>
      <c r="AK675" s="67" t="n"/>
    </row>
    <row r="676" ht="15.75" customHeight="1" s="58">
      <c r="A676" s="65" t="n"/>
      <c r="B676" s="65" t="n"/>
      <c r="C676" s="66" t="n"/>
      <c r="D676" s="66" t="n"/>
      <c r="E676" s="65" t="n"/>
      <c r="F676" s="65" t="n"/>
      <c r="G676" s="65" t="n"/>
      <c r="H676" s="65" t="n"/>
      <c r="I676" s="65" t="n"/>
      <c r="J676" s="65" t="n"/>
      <c r="K676" s="65" t="n"/>
      <c r="L676" s="65" t="n"/>
      <c r="M676" s="65" t="n"/>
      <c r="N676" s="65" t="n"/>
      <c r="O676" s="65" t="n"/>
      <c r="P676" s="65" t="n"/>
      <c r="Q676" s="65" t="n"/>
      <c r="R676" s="65" t="n"/>
      <c r="S676" s="65" t="n"/>
      <c r="T676" s="65" t="n"/>
      <c r="U676" s="65" t="n"/>
      <c r="V676" s="65" t="n"/>
      <c r="W676" s="65" t="n"/>
      <c r="X676" s="65" t="n"/>
      <c r="Y676" s="32">
        <f>IF($C676="","",IF(COUNTA($I676:$K676)&lt;3,"— חסרים נתונים",IF(AND($I676="תקין",$J676="תקין",$K676="תקין"),"רהוטה",IF(AND($I676="תקין",$J676="תקין"),"מדויקת ורציפה","אינה מדויקת או מקוטעת"))))</f>
        <v/>
      </c>
      <c r="Z676" s="32">
        <f>IF($C676="","",IF(COUNTA($U676:$W676)&lt;3,"",IF(AND($U676="מפותח",$V676="מפותח",$W676="מפותחת"),"מפותחת",IF((--($U676="דל"))+(--($V676="אינו מפותח"))+(--($W676="דלה"))&gt;=2,"אינה מפותחת","חלקית"))))</f>
        <v/>
      </c>
      <c r="AA676" s="32">
        <f>IF($C676="","",IF(COUNTA($M676,$N676,$O676)&lt;3,"— חסרים נתונים",IF(OR($M676="נמוכה",(--($M676&lt;&gt;"תקינה"))+(--($N676&lt;&gt;"תקין"))+(--($O676&lt;&gt;"תקינה"))&gt;=2),"ניכרת","אינה ניכרת")))</f>
        <v/>
      </c>
      <c r="AB676" s="32">
        <f>IF(OR($C676="",$Y676="",$AA676="",LEFT($Y676,1)="—",LEFT($AA676,1)="—"),"",IF($Z676="","— נדרשת הערכת כתיבה",IF($L676="","— חסרה הבנת הנקרא",IF($Y676="אינה מדויקת או מקוטעת",IF($AA676="ניכרת","מיקוד בשטף הקריאה ובכישורי שפה","מיקוד בשטף קריאה"),IF($AA676="ניכרת","מיקוד בכישורי שפה",IF(AND($L676="תקינה",$Z676="מפותחת"),"קוראים וכותבים מיומנים","מיקוד בהבנה והבעה"))))))</f>
        <v/>
      </c>
      <c r="AC676" s="32">
        <f>IF(OR($AB676="",LEFT($AB676,1)="—"),"",IF(OR($AB676="מיקוד בשטף קריאה",$AB676="מיקוד בשטף הקריאה ובכישורי שפה"),"רמה א'",IF($AB676="קוראים וכותבים מיומנים","רמה ג'","רמה ב'")))</f>
        <v/>
      </c>
      <c r="AD676" s="32">
        <f>IF($AC676="","",MID(IF(AND($AC676="רמה א'",$AA676="ניכרת"),"; להוסיף עבודת אוצר מילים","")&amp;IF($Z676="אינה מפותחת","; דגש על הבעה בכתב","")&amp;IF($K676&lt;&gt;"תקין","; נדרש לעבוד על ההנגנה","")&amp;IF($AK676&lt;&gt;"","; "&amp;$AK676,""),3,400))</f>
        <v/>
      </c>
      <c r="AE676" s="32">
        <f>IF($F676="","",IF($F676="תחילת שנה",1,IF($F676="מחצית שנה",2,3)))</f>
        <v/>
      </c>
      <c r="AF676" s="32">
        <f>IF(OR($B676="",$AC676="",$A676="",$F676=""),"",$B676&amp;"|"&amp;$A676&amp;"|"&amp;$F676&amp;"|"&amp;$AC676&amp;"|"&amp;COUNTIFS($B$6:$B676,$B676,$A$6:$A676,$A676,$F$6:$F676,$F676,$AC$6:$AC676,$AC676))</f>
        <v/>
      </c>
      <c r="AG676" s="32">
        <f>IF($C676="","",$C676&amp;"|"&amp;COUNTIFS($C$6:$C676,$C676))</f>
        <v/>
      </c>
      <c r="AH676" s="32">
        <f>IF(OR($C676="",$A676="",$AE676=""),"",$C676&amp;"|"&amp;$A676&amp;"|"&amp;$AE676)</f>
        <v/>
      </c>
      <c r="AI676" s="32">
        <f>IF(OR($C676="",$AE676="",$AE676=1),"",IFERROR(INDEX($AC$6:$AC$1505,MATCH($C676&amp;"|"&amp;$A676&amp;"|"&amp;($AE676-1),$AH$6:$AH$1505,0)),""))</f>
        <v/>
      </c>
      <c r="AJ676" s="32">
        <f>IF(OR($AI676="",$AC676=""),"",IF($AI676=$AC676,"ללא שינוי","מ-"&amp;$AI676&amp;" ל-"&amp;$AC676))</f>
        <v/>
      </c>
      <c r="AK676" s="67" t="n"/>
    </row>
    <row r="677" ht="15.75" customHeight="1" s="58">
      <c r="A677" s="65" t="n"/>
      <c r="B677" s="65" t="n"/>
      <c r="C677" s="66" t="n"/>
      <c r="D677" s="66" t="n"/>
      <c r="E677" s="65" t="n"/>
      <c r="F677" s="65" t="n"/>
      <c r="G677" s="65" t="n"/>
      <c r="H677" s="65" t="n"/>
      <c r="I677" s="65" t="n"/>
      <c r="J677" s="65" t="n"/>
      <c r="K677" s="65" t="n"/>
      <c r="L677" s="65" t="n"/>
      <c r="M677" s="65" t="n"/>
      <c r="N677" s="65" t="n"/>
      <c r="O677" s="65" t="n"/>
      <c r="P677" s="65" t="n"/>
      <c r="Q677" s="65" t="n"/>
      <c r="R677" s="65" t="n"/>
      <c r="S677" s="65" t="n"/>
      <c r="T677" s="65" t="n"/>
      <c r="U677" s="65" t="n"/>
      <c r="V677" s="65" t="n"/>
      <c r="W677" s="65" t="n"/>
      <c r="X677" s="65" t="n"/>
      <c r="Y677" s="32">
        <f>IF($C677="","",IF(COUNTA($I677:$K677)&lt;3,"— חסרים נתונים",IF(AND($I677="תקין",$J677="תקין",$K677="תקין"),"רהוטה",IF(AND($I677="תקין",$J677="תקין"),"מדויקת ורציפה","אינה מדויקת או מקוטעת"))))</f>
        <v/>
      </c>
      <c r="Z677" s="32">
        <f>IF($C677="","",IF(COUNTA($U677:$W677)&lt;3,"",IF(AND($U677="מפותח",$V677="מפותח",$W677="מפותחת"),"מפותחת",IF((--($U677="דל"))+(--($V677="אינו מפותח"))+(--($W677="דלה"))&gt;=2,"אינה מפותחת","חלקית"))))</f>
        <v/>
      </c>
      <c r="AA677" s="32">
        <f>IF($C677="","",IF(COUNTA($M677,$N677,$O677)&lt;3,"— חסרים נתונים",IF(OR($M677="נמוכה",(--($M677&lt;&gt;"תקינה"))+(--($N677&lt;&gt;"תקין"))+(--($O677&lt;&gt;"תקינה"))&gt;=2),"ניכרת","אינה ניכרת")))</f>
        <v/>
      </c>
      <c r="AB677" s="32">
        <f>IF(OR($C677="",$Y677="",$AA677="",LEFT($Y677,1)="—",LEFT($AA677,1)="—"),"",IF($Z677="","— נדרשת הערכת כתיבה",IF($L677="","— חסרה הבנת הנקרא",IF($Y677="אינה מדויקת או מקוטעת",IF($AA677="ניכרת","מיקוד בשטף הקריאה ובכישורי שפה","מיקוד בשטף קריאה"),IF($AA677="ניכרת","מיקוד בכישורי שפה",IF(AND($L677="תקינה",$Z677="מפותחת"),"קוראים וכותבים מיומנים","מיקוד בהבנה והבעה"))))))</f>
        <v/>
      </c>
      <c r="AC677" s="32">
        <f>IF(OR($AB677="",LEFT($AB677,1)="—"),"",IF(OR($AB677="מיקוד בשטף קריאה",$AB677="מיקוד בשטף הקריאה ובכישורי שפה"),"רמה א'",IF($AB677="קוראים וכותבים מיומנים","רמה ג'","רמה ב'")))</f>
        <v/>
      </c>
      <c r="AD677" s="32">
        <f>IF($AC677="","",MID(IF(AND($AC677="רמה א'",$AA677="ניכרת"),"; להוסיף עבודת אוצר מילים","")&amp;IF($Z677="אינה מפותחת","; דגש על הבעה בכתב","")&amp;IF($K677&lt;&gt;"תקין","; נדרש לעבוד על ההנגנה","")&amp;IF($AK677&lt;&gt;"","; "&amp;$AK677,""),3,400))</f>
        <v/>
      </c>
      <c r="AE677" s="32">
        <f>IF($F677="","",IF($F677="תחילת שנה",1,IF($F677="מחצית שנה",2,3)))</f>
        <v/>
      </c>
      <c r="AF677" s="32">
        <f>IF(OR($B677="",$AC677="",$A677="",$F677=""),"",$B677&amp;"|"&amp;$A677&amp;"|"&amp;$F677&amp;"|"&amp;$AC677&amp;"|"&amp;COUNTIFS($B$6:$B677,$B677,$A$6:$A677,$A677,$F$6:$F677,$F677,$AC$6:$AC677,$AC677))</f>
        <v/>
      </c>
      <c r="AG677" s="32">
        <f>IF($C677="","",$C677&amp;"|"&amp;COUNTIFS($C$6:$C677,$C677))</f>
        <v/>
      </c>
      <c r="AH677" s="32">
        <f>IF(OR($C677="",$A677="",$AE677=""),"",$C677&amp;"|"&amp;$A677&amp;"|"&amp;$AE677)</f>
        <v/>
      </c>
      <c r="AI677" s="32">
        <f>IF(OR($C677="",$AE677="",$AE677=1),"",IFERROR(INDEX($AC$6:$AC$1505,MATCH($C677&amp;"|"&amp;$A677&amp;"|"&amp;($AE677-1),$AH$6:$AH$1505,0)),""))</f>
        <v/>
      </c>
      <c r="AJ677" s="32">
        <f>IF(OR($AI677="",$AC677=""),"",IF($AI677=$AC677,"ללא שינוי","מ-"&amp;$AI677&amp;" ל-"&amp;$AC677))</f>
        <v/>
      </c>
      <c r="AK677" s="67" t="n"/>
    </row>
    <row r="678" ht="15.75" customHeight="1" s="58">
      <c r="A678" s="65" t="n"/>
      <c r="B678" s="65" t="n"/>
      <c r="C678" s="66" t="n"/>
      <c r="D678" s="66" t="n"/>
      <c r="E678" s="65" t="n"/>
      <c r="F678" s="65" t="n"/>
      <c r="G678" s="65" t="n"/>
      <c r="H678" s="65" t="n"/>
      <c r="I678" s="65" t="n"/>
      <c r="J678" s="65" t="n"/>
      <c r="K678" s="65" t="n"/>
      <c r="L678" s="65" t="n"/>
      <c r="M678" s="65" t="n"/>
      <c r="N678" s="65" t="n"/>
      <c r="O678" s="65" t="n"/>
      <c r="P678" s="65" t="n"/>
      <c r="Q678" s="65" t="n"/>
      <c r="R678" s="65" t="n"/>
      <c r="S678" s="65" t="n"/>
      <c r="T678" s="65" t="n"/>
      <c r="U678" s="65" t="n"/>
      <c r="V678" s="65" t="n"/>
      <c r="W678" s="65" t="n"/>
      <c r="X678" s="65" t="n"/>
      <c r="Y678" s="32">
        <f>IF($C678="","",IF(COUNTA($I678:$K678)&lt;3,"— חסרים נתונים",IF(AND($I678="תקין",$J678="תקין",$K678="תקין"),"רהוטה",IF(AND($I678="תקין",$J678="תקין"),"מדויקת ורציפה","אינה מדויקת או מקוטעת"))))</f>
        <v/>
      </c>
      <c r="Z678" s="32">
        <f>IF($C678="","",IF(COUNTA($U678:$W678)&lt;3,"",IF(AND($U678="מפותח",$V678="מפותח",$W678="מפותחת"),"מפותחת",IF((--($U678="דל"))+(--($V678="אינו מפותח"))+(--($W678="דלה"))&gt;=2,"אינה מפותחת","חלקית"))))</f>
        <v/>
      </c>
      <c r="AA678" s="32">
        <f>IF($C678="","",IF(COUNTA($M678,$N678,$O678)&lt;3,"— חסרים נתונים",IF(OR($M678="נמוכה",(--($M678&lt;&gt;"תקינה"))+(--($N678&lt;&gt;"תקין"))+(--($O678&lt;&gt;"תקינה"))&gt;=2),"ניכרת","אינה ניכרת")))</f>
        <v/>
      </c>
      <c r="AB678" s="32">
        <f>IF(OR($C678="",$Y678="",$AA678="",LEFT($Y678,1)="—",LEFT($AA678,1)="—"),"",IF($Z678="","— נדרשת הערכת כתיבה",IF($L678="","— חסרה הבנת הנקרא",IF($Y678="אינה מדויקת או מקוטעת",IF($AA678="ניכרת","מיקוד בשטף הקריאה ובכישורי שפה","מיקוד בשטף קריאה"),IF($AA678="ניכרת","מיקוד בכישורי שפה",IF(AND($L678="תקינה",$Z678="מפותחת"),"קוראים וכותבים מיומנים","מיקוד בהבנה והבעה"))))))</f>
        <v/>
      </c>
      <c r="AC678" s="32">
        <f>IF(OR($AB678="",LEFT($AB678,1)="—"),"",IF(OR($AB678="מיקוד בשטף קריאה",$AB678="מיקוד בשטף הקריאה ובכישורי שפה"),"רמה א'",IF($AB678="קוראים וכותבים מיומנים","רמה ג'","רמה ב'")))</f>
        <v/>
      </c>
      <c r="AD678" s="32">
        <f>IF($AC678="","",MID(IF(AND($AC678="רמה א'",$AA678="ניכרת"),"; להוסיף עבודת אוצר מילים","")&amp;IF($Z678="אינה מפותחת","; דגש על הבעה בכתב","")&amp;IF($K678&lt;&gt;"תקין","; נדרש לעבוד על ההנגנה","")&amp;IF($AK678&lt;&gt;"","; "&amp;$AK678,""),3,400))</f>
        <v/>
      </c>
      <c r="AE678" s="32">
        <f>IF($F678="","",IF($F678="תחילת שנה",1,IF($F678="מחצית שנה",2,3)))</f>
        <v/>
      </c>
      <c r="AF678" s="32">
        <f>IF(OR($B678="",$AC678="",$A678="",$F678=""),"",$B678&amp;"|"&amp;$A678&amp;"|"&amp;$F678&amp;"|"&amp;$AC678&amp;"|"&amp;COUNTIFS($B$6:$B678,$B678,$A$6:$A678,$A678,$F$6:$F678,$F678,$AC$6:$AC678,$AC678))</f>
        <v/>
      </c>
      <c r="AG678" s="32">
        <f>IF($C678="","",$C678&amp;"|"&amp;COUNTIFS($C$6:$C678,$C678))</f>
        <v/>
      </c>
      <c r="AH678" s="32">
        <f>IF(OR($C678="",$A678="",$AE678=""),"",$C678&amp;"|"&amp;$A678&amp;"|"&amp;$AE678)</f>
        <v/>
      </c>
      <c r="AI678" s="32">
        <f>IF(OR($C678="",$AE678="",$AE678=1),"",IFERROR(INDEX($AC$6:$AC$1505,MATCH($C678&amp;"|"&amp;$A678&amp;"|"&amp;($AE678-1),$AH$6:$AH$1505,0)),""))</f>
        <v/>
      </c>
      <c r="AJ678" s="32">
        <f>IF(OR($AI678="",$AC678=""),"",IF($AI678=$AC678,"ללא שינוי","מ-"&amp;$AI678&amp;" ל-"&amp;$AC678))</f>
        <v/>
      </c>
      <c r="AK678" s="67" t="n"/>
    </row>
    <row r="679" ht="15.75" customHeight="1" s="58">
      <c r="A679" s="65" t="n"/>
      <c r="B679" s="65" t="n"/>
      <c r="C679" s="66" t="n"/>
      <c r="D679" s="66" t="n"/>
      <c r="E679" s="65" t="n"/>
      <c r="F679" s="65" t="n"/>
      <c r="G679" s="65" t="n"/>
      <c r="H679" s="65" t="n"/>
      <c r="I679" s="65" t="n"/>
      <c r="J679" s="65" t="n"/>
      <c r="K679" s="65" t="n"/>
      <c r="L679" s="65" t="n"/>
      <c r="M679" s="65" t="n"/>
      <c r="N679" s="65" t="n"/>
      <c r="O679" s="65" t="n"/>
      <c r="P679" s="65" t="n"/>
      <c r="Q679" s="65" t="n"/>
      <c r="R679" s="65" t="n"/>
      <c r="S679" s="65" t="n"/>
      <c r="T679" s="65" t="n"/>
      <c r="U679" s="65" t="n"/>
      <c r="V679" s="65" t="n"/>
      <c r="W679" s="65" t="n"/>
      <c r="X679" s="65" t="n"/>
      <c r="Y679" s="32">
        <f>IF($C679="","",IF(COUNTA($I679:$K679)&lt;3,"— חסרים נתונים",IF(AND($I679="תקין",$J679="תקין",$K679="תקין"),"רהוטה",IF(AND($I679="תקין",$J679="תקין"),"מדויקת ורציפה","אינה מדויקת או מקוטעת"))))</f>
        <v/>
      </c>
      <c r="Z679" s="32">
        <f>IF($C679="","",IF(COUNTA($U679:$W679)&lt;3,"",IF(AND($U679="מפותח",$V679="מפותח",$W679="מפותחת"),"מפותחת",IF((--($U679="דל"))+(--($V679="אינו מפותח"))+(--($W679="דלה"))&gt;=2,"אינה מפותחת","חלקית"))))</f>
        <v/>
      </c>
      <c r="AA679" s="32">
        <f>IF($C679="","",IF(COUNTA($M679,$N679,$O679)&lt;3,"— חסרים נתונים",IF(OR($M679="נמוכה",(--($M679&lt;&gt;"תקינה"))+(--($N679&lt;&gt;"תקין"))+(--($O679&lt;&gt;"תקינה"))&gt;=2),"ניכרת","אינה ניכרת")))</f>
        <v/>
      </c>
      <c r="AB679" s="32">
        <f>IF(OR($C679="",$Y679="",$AA679="",LEFT($Y679,1)="—",LEFT($AA679,1)="—"),"",IF($Z679="","— נדרשת הערכת כתיבה",IF($L679="","— חסרה הבנת הנקרא",IF($Y679="אינה מדויקת או מקוטעת",IF($AA679="ניכרת","מיקוד בשטף הקריאה ובכישורי שפה","מיקוד בשטף קריאה"),IF($AA679="ניכרת","מיקוד בכישורי שפה",IF(AND($L679="תקינה",$Z679="מפותחת"),"קוראים וכותבים מיומנים","מיקוד בהבנה והבעה"))))))</f>
        <v/>
      </c>
      <c r="AC679" s="32">
        <f>IF(OR($AB679="",LEFT($AB679,1)="—"),"",IF(OR($AB679="מיקוד בשטף קריאה",$AB679="מיקוד בשטף הקריאה ובכישורי שפה"),"רמה א'",IF($AB679="קוראים וכותבים מיומנים","רמה ג'","רמה ב'")))</f>
        <v/>
      </c>
      <c r="AD679" s="32">
        <f>IF($AC679="","",MID(IF(AND($AC679="רמה א'",$AA679="ניכרת"),"; להוסיף עבודת אוצר מילים","")&amp;IF($Z679="אינה מפותחת","; דגש על הבעה בכתב","")&amp;IF($K679&lt;&gt;"תקין","; נדרש לעבוד על ההנגנה","")&amp;IF($AK679&lt;&gt;"","; "&amp;$AK679,""),3,400))</f>
        <v/>
      </c>
      <c r="AE679" s="32">
        <f>IF($F679="","",IF($F679="תחילת שנה",1,IF($F679="מחצית שנה",2,3)))</f>
        <v/>
      </c>
      <c r="AF679" s="32">
        <f>IF(OR($B679="",$AC679="",$A679="",$F679=""),"",$B679&amp;"|"&amp;$A679&amp;"|"&amp;$F679&amp;"|"&amp;$AC679&amp;"|"&amp;COUNTIFS($B$6:$B679,$B679,$A$6:$A679,$A679,$F$6:$F679,$F679,$AC$6:$AC679,$AC679))</f>
        <v/>
      </c>
      <c r="AG679" s="32">
        <f>IF($C679="","",$C679&amp;"|"&amp;COUNTIFS($C$6:$C679,$C679))</f>
        <v/>
      </c>
      <c r="AH679" s="32">
        <f>IF(OR($C679="",$A679="",$AE679=""),"",$C679&amp;"|"&amp;$A679&amp;"|"&amp;$AE679)</f>
        <v/>
      </c>
      <c r="AI679" s="32">
        <f>IF(OR($C679="",$AE679="",$AE679=1),"",IFERROR(INDEX($AC$6:$AC$1505,MATCH($C679&amp;"|"&amp;$A679&amp;"|"&amp;($AE679-1),$AH$6:$AH$1505,0)),""))</f>
        <v/>
      </c>
      <c r="AJ679" s="32">
        <f>IF(OR($AI679="",$AC679=""),"",IF($AI679=$AC679,"ללא שינוי","מ-"&amp;$AI679&amp;" ל-"&amp;$AC679))</f>
        <v/>
      </c>
      <c r="AK679" s="67" t="n"/>
    </row>
    <row r="680" ht="15.75" customHeight="1" s="58">
      <c r="A680" s="65" t="n"/>
      <c r="B680" s="65" t="n"/>
      <c r="C680" s="66" t="n"/>
      <c r="D680" s="66" t="n"/>
      <c r="E680" s="65" t="n"/>
      <c r="F680" s="65" t="n"/>
      <c r="G680" s="65" t="n"/>
      <c r="H680" s="65" t="n"/>
      <c r="I680" s="65" t="n"/>
      <c r="J680" s="65" t="n"/>
      <c r="K680" s="65" t="n"/>
      <c r="L680" s="65" t="n"/>
      <c r="M680" s="65" t="n"/>
      <c r="N680" s="65" t="n"/>
      <c r="O680" s="65" t="n"/>
      <c r="P680" s="65" t="n"/>
      <c r="Q680" s="65" t="n"/>
      <c r="R680" s="65" t="n"/>
      <c r="S680" s="65" t="n"/>
      <c r="T680" s="65" t="n"/>
      <c r="U680" s="65" t="n"/>
      <c r="V680" s="65" t="n"/>
      <c r="W680" s="65" t="n"/>
      <c r="X680" s="65" t="n"/>
      <c r="Y680" s="32">
        <f>IF($C680="","",IF(COUNTA($I680:$K680)&lt;3,"— חסרים נתונים",IF(AND($I680="תקין",$J680="תקין",$K680="תקין"),"רהוטה",IF(AND($I680="תקין",$J680="תקין"),"מדויקת ורציפה","אינה מדויקת או מקוטעת"))))</f>
        <v/>
      </c>
      <c r="Z680" s="32">
        <f>IF($C680="","",IF(COUNTA($U680:$W680)&lt;3,"",IF(AND($U680="מפותח",$V680="מפותח",$W680="מפותחת"),"מפותחת",IF((--($U680="דל"))+(--($V680="אינו מפותח"))+(--($W680="דלה"))&gt;=2,"אינה מפותחת","חלקית"))))</f>
        <v/>
      </c>
      <c r="AA680" s="32">
        <f>IF($C680="","",IF(COUNTA($M680,$N680,$O680)&lt;3,"— חסרים נתונים",IF(OR($M680="נמוכה",(--($M680&lt;&gt;"תקינה"))+(--($N680&lt;&gt;"תקין"))+(--($O680&lt;&gt;"תקינה"))&gt;=2),"ניכרת","אינה ניכרת")))</f>
        <v/>
      </c>
      <c r="AB680" s="32">
        <f>IF(OR($C680="",$Y680="",$AA680="",LEFT($Y680,1)="—",LEFT($AA680,1)="—"),"",IF($Z680="","— נדרשת הערכת כתיבה",IF($L680="","— חסרה הבנת הנקרא",IF($Y680="אינה מדויקת או מקוטעת",IF($AA680="ניכרת","מיקוד בשטף הקריאה ובכישורי שפה","מיקוד בשטף קריאה"),IF($AA680="ניכרת","מיקוד בכישורי שפה",IF(AND($L680="תקינה",$Z680="מפותחת"),"קוראים וכותבים מיומנים","מיקוד בהבנה והבעה"))))))</f>
        <v/>
      </c>
      <c r="AC680" s="32">
        <f>IF(OR($AB680="",LEFT($AB680,1)="—"),"",IF(OR($AB680="מיקוד בשטף קריאה",$AB680="מיקוד בשטף הקריאה ובכישורי שפה"),"רמה א'",IF($AB680="קוראים וכותבים מיומנים","רמה ג'","רמה ב'")))</f>
        <v/>
      </c>
      <c r="AD680" s="32">
        <f>IF($AC680="","",MID(IF(AND($AC680="רמה א'",$AA680="ניכרת"),"; להוסיף עבודת אוצר מילים","")&amp;IF($Z680="אינה מפותחת","; דגש על הבעה בכתב","")&amp;IF($K680&lt;&gt;"תקין","; נדרש לעבוד על ההנגנה","")&amp;IF($AK680&lt;&gt;"","; "&amp;$AK680,""),3,400))</f>
        <v/>
      </c>
      <c r="AE680" s="32">
        <f>IF($F680="","",IF($F680="תחילת שנה",1,IF($F680="מחצית שנה",2,3)))</f>
        <v/>
      </c>
      <c r="AF680" s="32">
        <f>IF(OR($B680="",$AC680="",$A680="",$F680=""),"",$B680&amp;"|"&amp;$A680&amp;"|"&amp;$F680&amp;"|"&amp;$AC680&amp;"|"&amp;COUNTIFS($B$6:$B680,$B680,$A$6:$A680,$A680,$F$6:$F680,$F680,$AC$6:$AC680,$AC680))</f>
        <v/>
      </c>
      <c r="AG680" s="32">
        <f>IF($C680="","",$C680&amp;"|"&amp;COUNTIFS($C$6:$C680,$C680))</f>
        <v/>
      </c>
      <c r="AH680" s="32">
        <f>IF(OR($C680="",$A680="",$AE680=""),"",$C680&amp;"|"&amp;$A680&amp;"|"&amp;$AE680)</f>
        <v/>
      </c>
      <c r="AI680" s="32">
        <f>IF(OR($C680="",$AE680="",$AE680=1),"",IFERROR(INDEX($AC$6:$AC$1505,MATCH($C680&amp;"|"&amp;$A680&amp;"|"&amp;($AE680-1),$AH$6:$AH$1505,0)),""))</f>
        <v/>
      </c>
      <c r="AJ680" s="32">
        <f>IF(OR($AI680="",$AC680=""),"",IF($AI680=$AC680,"ללא שינוי","מ-"&amp;$AI680&amp;" ל-"&amp;$AC680))</f>
        <v/>
      </c>
      <c r="AK680" s="67" t="n"/>
    </row>
    <row r="681" ht="15.75" customHeight="1" s="58">
      <c r="A681" s="65" t="n"/>
      <c r="B681" s="65" t="n"/>
      <c r="C681" s="66" t="n"/>
      <c r="D681" s="66" t="n"/>
      <c r="E681" s="65" t="n"/>
      <c r="F681" s="65" t="n"/>
      <c r="G681" s="65" t="n"/>
      <c r="H681" s="65" t="n"/>
      <c r="I681" s="65" t="n"/>
      <c r="J681" s="65" t="n"/>
      <c r="K681" s="65" t="n"/>
      <c r="L681" s="65" t="n"/>
      <c r="M681" s="65" t="n"/>
      <c r="N681" s="65" t="n"/>
      <c r="O681" s="65" t="n"/>
      <c r="P681" s="65" t="n"/>
      <c r="Q681" s="65" t="n"/>
      <c r="R681" s="65" t="n"/>
      <c r="S681" s="65" t="n"/>
      <c r="T681" s="65" t="n"/>
      <c r="U681" s="65" t="n"/>
      <c r="V681" s="65" t="n"/>
      <c r="W681" s="65" t="n"/>
      <c r="X681" s="65" t="n"/>
      <c r="Y681" s="32">
        <f>IF($C681="","",IF(COUNTA($I681:$K681)&lt;3,"— חסרים נתונים",IF(AND($I681="תקין",$J681="תקין",$K681="תקין"),"רהוטה",IF(AND($I681="תקין",$J681="תקין"),"מדויקת ורציפה","אינה מדויקת או מקוטעת"))))</f>
        <v/>
      </c>
      <c r="Z681" s="32">
        <f>IF($C681="","",IF(COUNTA($U681:$W681)&lt;3,"",IF(AND($U681="מפותח",$V681="מפותח",$W681="מפותחת"),"מפותחת",IF((--($U681="דל"))+(--($V681="אינו מפותח"))+(--($W681="דלה"))&gt;=2,"אינה מפותחת","חלקית"))))</f>
        <v/>
      </c>
      <c r="AA681" s="32">
        <f>IF($C681="","",IF(COUNTA($M681,$N681,$O681)&lt;3,"— חסרים נתונים",IF(OR($M681="נמוכה",(--($M681&lt;&gt;"תקינה"))+(--($N681&lt;&gt;"תקין"))+(--($O681&lt;&gt;"תקינה"))&gt;=2),"ניכרת","אינה ניכרת")))</f>
        <v/>
      </c>
      <c r="AB681" s="32">
        <f>IF(OR($C681="",$Y681="",$AA681="",LEFT($Y681,1)="—",LEFT($AA681,1)="—"),"",IF($Z681="","— נדרשת הערכת כתיבה",IF($L681="","— חסרה הבנת הנקרא",IF($Y681="אינה מדויקת או מקוטעת",IF($AA681="ניכרת","מיקוד בשטף הקריאה ובכישורי שפה","מיקוד בשטף קריאה"),IF($AA681="ניכרת","מיקוד בכישורי שפה",IF(AND($L681="תקינה",$Z681="מפותחת"),"קוראים וכותבים מיומנים","מיקוד בהבנה והבעה"))))))</f>
        <v/>
      </c>
      <c r="AC681" s="32">
        <f>IF(OR($AB681="",LEFT($AB681,1)="—"),"",IF(OR($AB681="מיקוד בשטף קריאה",$AB681="מיקוד בשטף הקריאה ובכישורי שפה"),"רמה א'",IF($AB681="קוראים וכותבים מיומנים","רמה ג'","רמה ב'")))</f>
        <v/>
      </c>
      <c r="AD681" s="32">
        <f>IF($AC681="","",MID(IF(AND($AC681="רמה א'",$AA681="ניכרת"),"; להוסיף עבודת אוצר מילים","")&amp;IF($Z681="אינה מפותחת","; דגש על הבעה בכתב","")&amp;IF($K681&lt;&gt;"תקין","; נדרש לעבוד על ההנגנה","")&amp;IF($AK681&lt;&gt;"","; "&amp;$AK681,""),3,400))</f>
        <v/>
      </c>
      <c r="AE681" s="32">
        <f>IF($F681="","",IF($F681="תחילת שנה",1,IF($F681="מחצית שנה",2,3)))</f>
        <v/>
      </c>
      <c r="AF681" s="32">
        <f>IF(OR($B681="",$AC681="",$A681="",$F681=""),"",$B681&amp;"|"&amp;$A681&amp;"|"&amp;$F681&amp;"|"&amp;$AC681&amp;"|"&amp;COUNTIFS($B$6:$B681,$B681,$A$6:$A681,$A681,$F$6:$F681,$F681,$AC$6:$AC681,$AC681))</f>
        <v/>
      </c>
      <c r="AG681" s="32">
        <f>IF($C681="","",$C681&amp;"|"&amp;COUNTIFS($C$6:$C681,$C681))</f>
        <v/>
      </c>
      <c r="AH681" s="32">
        <f>IF(OR($C681="",$A681="",$AE681=""),"",$C681&amp;"|"&amp;$A681&amp;"|"&amp;$AE681)</f>
        <v/>
      </c>
      <c r="AI681" s="32">
        <f>IF(OR($C681="",$AE681="",$AE681=1),"",IFERROR(INDEX($AC$6:$AC$1505,MATCH($C681&amp;"|"&amp;$A681&amp;"|"&amp;($AE681-1),$AH$6:$AH$1505,0)),""))</f>
        <v/>
      </c>
      <c r="AJ681" s="32">
        <f>IF(OR($AI681="",$AC681=""),"",IF($AI681=$AC681,"ללא שינוי","מ-"&amp;$AI681&amp;" ל-"&amp;$AC681))</f>
        <v/>
      </c>
      <c r="AK681" s="67" t="n"/>
    </row>
    <row r="682" ht="15.75" customHeight="1" s="58">
      <c r="A682" s="65" t="n"/>
      <c r="B682" s="65" t="n"/>
      <c r="C682" s="66" t="n"/>
      <c r="D682" s="66" t="n"/>
      <c r="E682" s="65" t="n"/>
      <c r="F682" s="65" t="n"/>
      <c r="G682" s="65" t="n"/>
      <c r="H682" s="65" t="n"/>
      <c r="I682" s="65" t="n"/>
      <c r="J682" s="65" t="n"/>
      <c r="K682" s="65" t="n"/>
      <c r="L682" s="65" t="n"/>
      <c r="M682" s="65" t="n"/>
      <c r="N682" s="65" t="n"/>
      <c r="O682" s="65" t="n"/>
      <c r="P682" s="65" t="n"/>
      <c r="Q682" s="65" t="n"/>
      <c r="R682" s="65" t="n"/>
      <c r="S682" s="65" t="n"/>
      <c r="T682" s="65" t="n"/>
      <c r="U682" s="65" t="n"/>
      <c r="V682" s="65" t="n"/>
      <c r="W682" s="65" t="n"/>
      <c r="X682" s="65" t="n"/>
      <c r="Y682" s="32">
        <f>IF($C682="","",IF(COUNTA($I682:$K682)&lt;3,"— חסרים נתונים",IF(AND($I682="תקין",$J682="תקין",$K682="תקין"),"רהוטה",IF(AND($I682="תקין",$J682="תקין"),"מדויקת ורציפה","אינה מדויקת או מקוטעת"))))</f>
        <v/>
      </c>
      <c r="Z682" s="32">
        <f>IF($C682="","",IF(COUNTA($U682:$W682)&lt;3,"",IF(AND($U682="מפותח",$V682="מפותח",$W682="מפותחת"),"מפותחת",IF((--($U682="דל"))+(--($V682="אינו מפותח"))+(--($W682="דלה"))&gt;=2,"אינה מפותחת","חלקית"))))</f>
        <v/>
      </c>
      <c r="AA682" s="32">
        <f>IF($C682="","",IF(COUNTA($M682,$N682,$O682)&lt;3,"— חסרים נתונים",IF(OR($M682="נמוכה",(--($M682&lt;&gt;"תקינה"))+(--($N682&lt;&gt;"תקין"))+(--($O682&lt;&gt;"תקינה"))&gt;=2),"ניכרת","אינה ניכרת")))</f>
        <v/>
      </c>
      <c r="AB682" s="32">
        <f>IF(OR($C682="",$Y682="",$AA682="",LEFT($Y682,1)="—",LEFT($AA682,1)="—"),"",IF($Z682="","— נדרשת הערכת כתיבה",IF($L682="","— חסרה הבנת הנקרא",IF($Y682="אינה מדויקת או מקוטעת",IF($AA682="ניכרת","מיקוד בשטף הקריאה ובכישורי שפה","מיקוד בשטף קריאה"),IF($AA682="ניכרת","מיקוד בכישורי שפה",IF(AND($L682="תקינה",$Z682="מפותחת"),"קוראים וכותבים מיומנים","מיקוד בהבנה והבעה"))))))</f>
        <v/>
      </c>
      <c r="AC682" s="32">
        <f>IF(OR($AB682="",LEFT($AB682,1)="—"),"",IF(OR($AB682="מיקוד בשטף קריאה",$AB682="מיקוד בשטף הקריאה ובכישורי שפה"),"רמה א'",IF($AB682="קוראים וכותבים מיומנים","רמה ג'","רמה ב'")))</f>
        <v/>
      </c>
      <c r="AD682" s="32">
        <f>IF($AC682="","",MID(IF(AND($AC682="רמה א'",$AA682="ניכרת"),"; להוסיף עבודת אוצר מילים","")&amp;IF($Z682="אינה מפותחת","; דגש על הבעה בכתב","")&amp;IF($K682&lt;&gt;"תקין","; נדרש לעבוד על ההנגנה","")&amp;IF($AK682&lt;&gt;"","; "&amp;$AK682,""),3,400))</f>
        <v/>
      </c>
      <c r="AE682" s="32">
        <f>IF($F682="","",IF($F682="תחילת שנה",1,IF($F682="מחצית שנה",2,3)))</f>
        <v/>
      </c>
      <c r="AF682" s="32">
        <f>IF(OR($B682="",$AC682="",$A682="",$F682=""),"",$B682&amp;"|"&amp;$A682&amp;"|"&amp;$F682&amp;"|"&amp;$AC682&amp;"|"&amp;COUNTIFS($B$6:$B682,$B682,$A$6:$A682,$A682,$F$6:$F682,$F682,$AC$6:$AC682,$AC682))</f>
        <v/>
      </c>
      <c r="AG682" s="32">
        <f>IF($C682="","",$C682&amp;"|"&amp;COUNTIFS($C$6:$C682,$C682))</f>
        <v/>
      </c>
      <c r="AH682" s="32">
        <f>IF(OR($C682="",$A682="",$AE682=""),"",$C682&amp;"|"&amp;$A682&amp;"|"&amp;$AE682)</f>
        <v/>
      </c>
      <c r="AI682" s="32">
        <f>IF(OR($C682="",$AE682="",$AE682=1),"",IFERROR(INDEX($AC$6:$AC$1505,MATCH($C682&amp;"|"&amp;$A682&amp;"|"&amp;($AE682-1),$AH$6:$AH$1505,0)),""))</f>
        <v/>
      </c>
      <c r="AJ682" s="32">
        <f>IF(OR($AI682="",$AC682=""),"",IF($AI682=$AC682,"ללא שינוי","מ-"&amp;$AI682&amp;" ל-"&amp;$AC682))</f>
        <v/>
      </c>
      <c r="AK682" s="67" t="n"/>
    </row>
    <row r="683" ht="15.75" customHeight="1" s="58">
      <c r="A683" s="65" t="n"/>
      <c r="B683" s="65" t="n"/>
      <c r="C683" s="66" t="n"/>
      <c r="D683" s="66" t="n"/>
      <c r="E683" s="65" t="n"/>
      <c r="F683" s="65" t="n"/>
      <c r="G683" s="65" t="n"/>
      <c r="H683" s="65" t="n"/>
      <c r="I683" s="65" t="n"/>
      <c r="J683" s="65" t="n"/>
      <c r="K683" s="65" t="n"/>
      <c r="L683" s="65" t="n"/>
      <c r="M683" s="65" t="n"/>
      <c r="N683" s="65" t="n"/>
      <c r="O683" s="65" t="n"/>
      <c r="P683" s="65" t="n"/>
      <c r="Q683" s="65" t="n"/>
      <c r="R683" s="65" t="n"/>
      <c r="S683" s="65" t="n"/>
      <c r="T683" s="65" t="n"/>
      <c r="U683" s="65" t="n"/>
      <c r="V683" s="65" t="n"/>
      <c r="W683" s="65" t="n"/>
      <c r="X683" s="65" t="n"/>
      <c r="Y683" s="32">
        <f>IF($C683="","",IF(COUNTA($I683:$K683)&lt;3,"— חסרים נתונים",IF(AND($I683="תקין",$J683="תקין",$K683="תקין"),"רהוטה",IF(AND($I683="תקין",$J683="תקין"),"מדויקת ורציפה","אינה מדויקת או מקוטעת"))))</f>
        <v/>
      </c>
      <c r="Z683" s="32">
        <f>IF($C683="","",IF(COUNTA($U683:$W683)&lt;3,"",IF(AND($U683="מפותח",$V683="מפותח",$W683="מפותחת"),"מפותחת",IF((--($U683="דל"))+(--($V683="אינו מפותח"))+(--($W683="דלה"))&gt;=2,"אינה מפותחת","חלקית"))))</f>
        <v/>
      </c>
      <c r="AA683" s="32">
        <f>IF($C683="","",IF(COUNTA($M683,$N683,$O683)&lt;3,"— חסרים נתונים",IF(OR($M683="נמוכה",(--($M683&lt;&gt;"תקינה"))+(--($N683&lt;&gt;"תקין"))+(--($O683&lt;&gt;"תקינה"))&gt;=2),"ניכרת","אינה ניכרת")))</f>
        <v/>
      </c>
      <c r="AB683" s="32">
        <f>IF(OR($C683="",$Y683="",$AA683="",LEFT($Y683,1)="—",LEFT($AA683,1)="—"),"",IF($Z683="","— נדרשת הערכת כתיבה",IF($L683="","— חסרה הבנת הנקרא",IF($Y683="אינה מדויקת או מקוטעת",IF($AA683="ניכרת","מיקוד בשטף הקריאה ובכישורי שפה","מיקוד בשטף קריאה"),IF($AA683="ניכרת","מיקוד בכישורי שפה",IF(AND($L683="תקינה",$Z683="מפותחת"),"קוראים וכותבים מיומנים","מיקוד בהבנה והבעה"))))))</f>
        <v/>
      </c>
      <c r="AC683" s="32">
        <f>IF(OR($AB683="",LEFT($AB683,1)="—"),"",IF(OR($AB683="מיקוד בשטף קריאה",$AB683="מיקוד בשטף הקריאה ובכישורי שפה"),"רמה א'",IF($AB683="קוראים וכותבים מיומנים","רמה ג'","רמה ב'")))</f>
        <v/>
      </c>
      <c r="AD683" s="32">
        <f>IF($AC683="","",MID(IF(AND($AC683="רמה א'",$AA683="ניכרת"),"; להוסיף עבודת אוצר מילים","")&amp;IF($Z683="אינה מפותחת","; דגש על הבעה בכתב","")&amp;IF($K683&lt;&gt;"תקין","; נדרש לעבוד על ההנגנה","")&amp;IF($AK683&lt;&gt;"","; "&amp;$AK683,""),3,400))</f>
        <v/>
      </c>
      <c r="AE683" s="32">
        <f>IF($F683="","",IF($F683="תחילת שנה",1,IF($F683="מחצית שנה",2,3)))</f>
        <v/>
      </c>
      <c r="AF683" s="32">
        <f>IF(OR($B683="",$AC683="",$A683="",$F683=""),"",$B683&amp;"|"&amp;$A683&amp;"|"&amp;$F683&amp;"|"&amp;$AC683&amp;"|"&amp;COUNTIFS($B$6:$B683,$B683,$A$6:$A683,$A683,$F$6:$F683,$F683,$AC$6:$AC683,$AC683))</f>
        <v/>
      </c>
      <c r="AG683" s="32">
        <f>IF($C683="","",$C683&amp;"|"&amp;COUNTIFS($C$6:$C683,$C683))</f>
        <v/>
      </c>
      <c r="AH683" s="32">
        <f>IF(OR($C683="",$A683="",$AE683=""),"",$C683&amp;"|"&amp;$A683&amp;"|"&amp;$AE683)</f>
        <v/>
      </c>
      <c r="AI683" s="32">
        <f>IF(OR($C683="",$AE683="",$AE683=1),"",IFERROR(INDEX($AC$6:$AC$1505,MATCH($C683&amp;"|"&amp;$A683&amp;"|"&amp;($AE683-1),$AH$6:$AH$1505,0)),""))</f>
        <v/>
      </c>
      <c r="AJ683" s="32">
        <f>IF(OR($AI683="",$AC683=""),"",IF($AI683=$AC683,"ללא שינוי","מ-"&amp;$AI683&amp;" ל-"&amp;$AC683))</f>
        <v/>
      </c>
      <c r="AK683" s="67" t="n"/>
    </row>
    <row r="684" ht="15.75" customHeight="1" s="58">
      <c r="A684" s="65" t="n"/>
      <c r="B684" s="65" t="n"/>
      <c r="C684" s="66" t="n"/>
      <c r="D684" s="66" t="n"/>
      <c r="E684" s="65" t="n"/>
      <c r="F684" s="65" t="n"/>
      <c r="G684" s="65" t="n"/>
      <c r="H684" s="65" t="n"/>
      <c r="I684" s="65" t="n"/>
      <c r="J684" s="65" t="n"/>
      <c r="K684" s="65" t="n"/>
      <c r="L684" s="65" t="n"/>
      <c r="M684" s="65" t="n"/>
      <c r="N684" s="65" t="n"/>
      <c r="O684" s="65" t="n"/>
      <c r="P684" s="65" t="n"/>
      <c r="Q684" s="65" t="n"/>
      <c r="R684" s="65" t="n"/>
      <c r="S684" s="65" t="n"/>
      <c r="T684" s="65" t="n"/>
      <c r="U684" s="65" t="n"/>
      <c r="V684" s="65" t="n"/>
      <c r="W684" s="65" t="n"/>
      <c r="X684" s="65" t="n"/>
      <c r="Y684" s="32">
        <f>IF($C684="","",IF(COUNTA($I684:$K684)&lt;3,"— חסרים נתונים",IF(AND($I684="תקין",$J684="תקין",$K684="תקין"),"רהוטה",IF(AND($I684="תקין",$J684="תקין"),"מדויקת ורציפה","אינה מדויקת או מקוטעת"))))</f>
        <v/>
      </c>
      <c r="Z684" s="32">
        <f>IF($C684="","",IF(COUNTA($U684:$W684)&lt;3,"",IF(AND($U684="מפותח",$V684="מפותח",$W684="מפותחת"),"מפותחת",IF((--($U684="דל"))+(--($V684="אינו מפותח"))+(--($W684="דלה"))&gt;=2,"אינה מפותחת","חלקית"))))</f>
        <v/>
      </c>
      <c r="AA684" s="32">
        <f>IF($C684="","",IF(COUNTA($M684,$N684,$O684)&lt;3,"— חסרים נתונים",IF(OR($M684="נמוכה",(--($M684&lt;&gt;"תקינה"))+(--($N684&lt;&gt;"תקין"))+(--($O684&lt;&gt;"תקינה"))&gt;=2),"ניכרת","אינה ניכרת")))</f>
        <v/>
      </c>
      <c r="AB684" s="32">
        <f>IF(OR($C684="",$Y684="",$AA684="",LEFT($Y684,1)="—",LEFT($AA684,1)="—"),"",IF($Z684="","— נדרשת הערכת כתיבה",IF($L684="","— חסרה הבנת הנקרא",IF($Y684="אינה מדויקת או מקוטעת",IF($AA684="ניכרת","מיקוד בשטף הקריאה ובכישורי שפה","מיקוד בשטף קריאה"),IF($AA684="ניכרת","מיקוד בכישורי שפה",IF(AND($L684="תקינה",$Z684="מפותחת"),"קוראים וכותבים מיומנים","מיקוד בהבנה והבעה"))))))</f>
        <v/>
      </c>
      <c r="AC684" s="32">
        <f>IF(OR($AB684="",LEFT($AB684,1)="—"),"",IF(OR($AB684="מיקוד בשטף קריאה",$AB684="מיקוד בשטף הקריאה ובכישורי שפה"),"רמה א'",IF($AB684="קוראים וכותבים מיומנים","רמה ג'","רמה ב'")))</f>
        <v/>
      </c>
      <c r="AD684" s="32">
        <f>IF($AC684="","",MID(IF(AND($AC684="רמה א'",$AA684="ניכרת"),"; להוסיף עבודת אוצר מילים","")&amp;IF($Z684="אינה מפותחת","; דגש על הבעה בכתב","")&amp;IF($K684&lt;&gt;"תקין","; נדרש לעבוד על ההנגנה","")&amp;IF($AK684&lt;&gt;"","; "&amp;$AK684,""),3,400))</f>
        <v/>
      </c>
      <c r="AE684" s="32">
        <f>IF($F684="","",IF($F684="תחילת שנה",1,IF($F684="מחצית שנה",2,3)))</f>
        <v/>
      </c>
      <c r="AF684" s="32">
        <f>IF(OR($B684="",$AC684="",$A684="",$F684=""),"",$B684&amp;"|"&amp;$A684&amp;"|"&amp;$F684&amp;"|"&amp;$AC684&amp;"|"&amp;COUNTIFS($B$6:$B684,$B684,$A$6:$A684,$A684,$F$6:$F684,$F684,$AC$6:$AC684,$AC684))</f>
        <v/>
      </c>
      <c r="AG684" s="32">
        <f>IF($C684="","",$C684&amp;"|"&amp;COUNTIFS($C$6:$C684,$C684))</f>
        <v/>
      </c>
      <c r="AH684" s="32">
        <f>IF(OR($C684="",$A684="",$AE684=""),"",$C684&amp;"|"&amp;$A684&amp;"|"&amp;$AE684)</f>
        <v/>
      </c>
      <c r="AI684" s="32">
        <f>IF(OR($C684="",$AE684="",$AE684=1),"",IFERROR(INDEX($AC$6:$AC$1505,MATCH($C684&amp;"|"&amp;$A684&amp;"|"&amp;($AE684-1),$AH$6:$AH$1505,0)),""))</f>
        <v/>
      </c>
      <c r="AJ684" s="32">
        <f>IF(OR($AI684="",$AC684=""),"",IF($AI684=$AC684,"ללא שינוי","מ-"&amp;$AI684&amp;" ל-"&amp;$AC684))</f>
        <v/>
      </c>
      <c r="AK684" s="67" t="n"/>
    </row>
    <row r="685" ht="15.75" customHeight="1" s="58">
      <c r="A685" s="65" t="n"/>
      <c r="B685" s="65" t="n"/>
      <c r="C685" s="66" t="n"/>
      <c r="D685" s="66" t="n"/>
      <c r="E685" s="65" t="n"/>
      <c r="F685" s="65" t="n"/>
      <c r="G685" s="65" t="n"/>
      <c r="H685" s="65" t="n"/>
      <c r="I685" s="65" t="n"/>
      <c r="J685" s="65" t="n"/>
      <c r="K685" s="65" t="n"/>
      <c r="L685" s="65" t="n"/>
      <c r="M685" s="65" t="n"/>
      <c r="N685" s="65" t="n"/>
      <c r="O685" s="65" t="n"/>
      <c r="P685" s="65" t="n"/>
      <c r="Q685" s="65" t="n"/>
      <c r="R685" s="65" t="n"/>
      <c r="S685" s="65" t="n"/>
      <c r="T685" s="65" t="n"/>
      <c r="U685" s="65" t="n"/>
      <c r="V685" s="65" t="n"/>
      <c r="W685" s="65" t="n"/>
      <c r="X685" s="65" t="n"/>
      <c r="Y685" s="32">
        <f>IF($C685="","",IF(COUNTA($I685:$K685)&lt;3,"— חסרים נתונים",IF(AND($I685="תקין",$J685="תקין",$K685="תקין"),"רהוטה",IF(AND($I685="תקין",$J685="תקין"),"מדויקת ורציפה","אינה מדויקת או מקוטעת"))))</f>
        <v/>
      </c>
      <c r="Z685" s="32">
        <f>IF($C685="","",IF(COUNTA($U685:$W685)&lt;3,"",IF(AND($U685="מפותח",$V685="מפותח",$W685="מפותחת"),"מפותחת",IF((--($U685="דל"))+(--($V685="אינו מפותח"))+(--($W685="דלה"))&gt;=2,"אינה מפותחת","חלקית"))))</f>
        <v/>
      </c>
      <c r="AA685" s="32">
        <f>IF($C685="","",IF(COUNTA($M685,$N685,$O685)&lt;3,"— חסרים נתונים",IF(OR($M685="נמוכה",(--($M685&lt;&gt;"תקינה"))+(--($N685&lt;&gt;"תקין"))+(--($O685&lt;&gt;"תקינה"))&gt;=2),"ניכרת","אינה ניכרת")))</f>
        <v/>
      </c>
      <c r="AB685" s="32">
        <f>IF(OR($C685="",$Y685="",$AA685="",LEFT($Y685,1)="—",LEFT($AA685,1)="—"),"",IF($Z685="","— נדרשת הערכת כתיבה",IF($L685="","— חסרה הבנת הנקרא",IF($Y685="אינה מדויקת או מקוטעת",IF($AA685="ניכרת","מיקוד בשטף הקריאה ובכישורי שפה","מיקוד בשטף קריאה"),IF($AA685="ניכרת","מיקוד בכישורי שפה",IF(AND($L685="תקינה",$Z685="מפותחת"),"קוראים וכותבים מיומנים","מיקוד בהבנה והבעה"))))))</f>
        <v/>
      </c>
      <c r="AC685" s="32">
        <f>IF(OR($AB685="",LEFT($AB685,1)="—"),"",IF(OR($AB685="מיקוד בשטף קריאה",$AB685="מיקוד בשטף הקריאה ובכישורי שפה"),"רמה א'",IF($AB685="קוראים וכותבים מיומנים","רמה ג'","רמה ב'")))</f>
        <v/>
      </c>
      <c r="AD685" s="32">
        <f>IF($AC685="","",MID(IF(AND($AC685="רמה א'",$AA685="ניכרת"),"; להוסיף עבודת אוצר מילים","")&amp;IF($Z685="אינה מפותחת","; דגש על הבעה בכתב","")&amp;IF($K685&lt;&gt;"תקין","; נדרש לעבוד על ההנגנה","")&amp;IF($AK685&lt;&gt;"","; "&amp;$AK685,""),3,400))</f>
        <v/>
      </c>
      <c r="AE685" s="32">
        <f>IF($F685="","",IF($F685="תחילת שנה",1,IF($F685="מחצית שנה",2,3)))</f>
        <v/>
      </c>
      <c r="AF685" s="32">
        <f>IF(OR($B685="",$AC685="",$A685="",$F685=""),"",$B685&amp;"|"&amp;$A685&amp;"|"&amp;$F685&amp;"|"&amp;$AC685&amp;"|"&amp;COUNTIFS($B$6:$B685,$B685,$A$6:$A685,$A685,$F$6:$F685,$F685,$AC$6:$AC685,$AC685))</f>
        <v/>
      </c>
      <c r="AG685" s="32">
        <f>IF($C685="","",$C685&amp;"|"&amp;COUNTIFS($C$6:$C685,$C685))</f>
        <v/>
      </c>
      <c r="AH685" s="32">
        <f>IF(OR($C685="",$A685="",$AE685=""),"",$C685&amp;"|"&amp;$A685&amp;"|"&amp;$AE685)</f>
        <v/>
      </c>
      <c r="AI685" s="32">
        <f>IF(OR($C685="",$AE685="",$AE685=1),"",IFERROR(INDEX($AC$6:$AC$1505,MATCH($C685&amp;"|"&amp;$A685&amp;"|"&amp;($AE685-1),$AH$6:$AH$1505,0)),""))</f>
        <v/>
      </c>
      <c r="AJ685" s="32">
        <f>IF(OR($AI685="",$AC685=""),"",IF($AI685=$AC685,"ללא שינוי","מ-"&amp;$AI685&amp;" ל-"&amp;$AC685))</f>
        <v/>
      </c>
      <c r="AK685" s="67" t="n"/>
    </row>
    <row r="686" ht="15.75" customHeight="1" s="58">
      <c r="A686" s="65" t="n"/>
      <c r="B686" s="65" t="n"/>
      <c r="C686" s="66" t="n"/>
      <c r="D686" s="66" t="n"/>
      <c r="E686" s="65" t="n"/>
      <c r="F686" s="65" t="n"/>
      <c r="G686" s="65" t="n"/>
      <c r="H686" s="65" t="n"/>
      <c r="I686" s="65" t="n"/>
      <c r="J686" s="65" t="n"/>
      <c r="K686" s="65" t="n"/>
      <c r="L686" s="65" t="n"/>
      <c r="M686" s="65" t="n"/>
      <c r="N686" s="65" t="n"/>
      <c r="O686" s="65" t="n"/>
      <c r="P686" s="65" t="n"/>
      <c r="Q686" s="65" t="n"/>
      <c r="R686" s="65" t="n"/>
      <c r="S686" s="65" t="n"/>
      <c r="T686" s="65" t="n"/>
      <c r="U686" s="65" t="n"/>
      <c r="V686" s="65" t="n"/>
      <c r="W686" s="65" t="n"/>
      <c r="X686" s="65" t="n"/>
      <c r="Y686" s="32">
        <f>IF($C686="","",IF(COUNTA($I686:$K686)&lt;3,"— חסרים נתונים",IF(AND($I686="תקין",$J686="תקין",$K686="תקין"),"רהוטה",IF(AND($I686="תקין",$J686="תקין"),"מדויקת ורציפה","אינה מדויקת או מקוטעת"))))</f>
        <v/>
      </c>
      <c r="Z686" s="32">
        <f>IF($C686="","",IF(COUNTA($U686:$W686)&lt;3,"",IF(AND($U686="מפותח",$V686="מפותח",$W686="מפותחת"),"מפותחת",IF((--($U686="דל"))+(--($V686="אינו מפותח"))+(--($W686="דלה"))&gt;=2,"אינה מפותחת","חלקית"))))</f>
        <v/>
      </c>
      <c r="AA686" s="32">
        <f>IF($C686="","",IF(COUNTA($M686,$N686,$O686)&lt;3,"— חסרים נתונים",IF(OR($M686="נמוכה",(--($M686&lt;&gt;"תקינה"))+(--($N686&lt;&gt;"תקין"))+(--($O686&lt;&gt;"תקינה"))&gt;=2),"ניכרת","אינה ניכרת")))</f>
        <v/>
      </c>
      <c r="AB686" s="32">
        <f>IF(OR($C686="",$Y686="",$AA686="",LEFT($Y686,1)="—",LEFT($AA686,1)="—"),"",IF($Z686="","— נדרשת הערכת כתיבה",IF($L686="","— חסרה הבנת הנקרא",IF($Y686="אינה מדויקת או מקוטעת",IF($AA686="ניכרת","מיקוד בשטף הקריאה ובכישורי שפה","מיקוד בשטף קריאה"),IF($AA686="ניכרת","מיקוד בכישורי שפה",IF(AND($L686="תקינה",$Z686="מפותחת"),"קוראים וכותבים מיומנים","מיקוד בהבנה והבעה"))))))</f>
        <v/>
      </c>
      <c r="AC686" s="32">
        <f>IF(OR($AB686="",LEFT($AB686,1)="—"),"",IF(OR($AB686="מיקוד בשטף קריאה",$AB686="מיקוד בשטף הקריאה ובכישורי שפה"),"רמה א'",IF($AB686="קוראים וכותבים מיומנים","רמה ג'","רמה ב'")))</f>
        <v/>
      </c>
      <c r="AD686" s="32">
        <f>IF($AC686="","",MID(IF(AND($AC686="רמה א'",$AA686="ניכרת"),"; להוסיף עבודת אוצר מילים","")&amp;IF($Z686="אינה מפותחת","; דגש על הבעה בכתב","")&amp;IF($K686&lt;&gt;"תקין","; נדרש לעבוד על ההנגנה","")&amp;IF($AK686&lt;&gt;"","; "&amp;$AK686,""),3,400))</f>
        <v/>
      </c>
      <c r="AE686" s="32">
        <f>IF($F686="","",IF($F686="תחילת שנה",1,IF($F686="מחצית שנה",2,3)))</f>
        <v/>
      </c>
      <c r="AF686" s="32">
        <f>IF(OR($B686="",$AC686="",$A686="",$F686=""),"",$B686&amp;"|"&amp;$A686&amp;"|"&amp;$F686&amp;"|"&amp;$AC686&amp;"|"&amp;COUNTIFS($B$6:$B686,$B686,$A$6:$A686,$A686,$F$6:$F686,$F686,$AC$6:$AC686,$AC686))</f>
        <v/>
      </c>
      <c r="AG686" s="32">
        <f>IF($C686="","",$C686&amp;"|"&amp;COUNTIFS($C$6:$C686,$C686))</f>
        <v/>
      </c>
      <c r="AH686" s="32">
        <f>IF(OR($C686="",$A686="",$AE686=""),"",$C686&amp;"|"&amp;$A686&amp;"|"&amp;$AE686)</f>
        <v/>
      </c>
      <c r="AI686" s="32">
        <f>IF(OR($C686="",$AE686="",$AE686=1),"",IFERROR(INDEX($AC$6:$AC$1505,MATCH($C686&amp;"|"&amp;$A686&amp;"|"&amp;($AE686-1),$AH$6:$AH$1505,0)),""))</f>
        <v/>
      </c>
      <c r="AJ686" s="32">
        <f>IF(OR($AI686="",$AC686=""),"",IF($AI686=$AC686,"ללא שינוי","מ-"&amp;$AI686&amp;" ל-"&amp;$AC686))</f>
        <v/>
      </c>
      <c r="AK686" s="67" t="n"/>
    </row>
    <row r="687" ht="15.75" customHeight="1" s="58">
      <c r="A687" s="65" t="n"/>
      <c r="B687" s="65" t="n"/>
      <c r="C687" s="66" t="n"/>
      <c r="D687" s="66" t="n"/>
      <c r="E687" s="65" t="n"/>
      <c r="F687" s="65" t="n"/>
      <c r="G687" s="65" t="n"/>
      <c r="H687" s="65" t="n"/>
      <c r="I687" s="65" t="n"/>
      <c r="J687" s="65" t="n"/>
      <c r="K687" s="65" t="n"/>
      <c r="L687" s="65" t="n"/>
      <c r="M687" s="65" t="n"/>
      <c r="N687" s="65" t="n"/>
      <c r="O687" s="65" t="n"/>
      <c r="P687" s="65" t="n"/>
      <c r="Q687" s="65" t="n"/>
      <c r="R687" s="65" t="n"/>
      <c r="S687" s="65" t="n"/>
      <c r="T687" s="65" t="n"/>
      <c r="U687" s="65" t="n"/>
      <c r="V687" s="65" t="n"/>
      <c r="W687" s="65" t="n"/>
      <c r="X687" s="65" t="n"/>
      <c r="Y687" s="32">
        <f>IF($C687="","",IF(COUNTA($I687:$K687)&lt;3,"— חסרים נתונים",IF(AND($I687="תקין",$J687="תקין",$K687="תקין"),"רהוטה",IF(AND($I687="תקין",$J687="תקין"),"מדויקת ורציפה","אינה מדויקת או מקוטעת"))))</f>
        <v/>
      </c>
      <c r="Z687" s="32">
        <f>IF($C687="","",IF(COUNTA($U687:$W687)&lt;3,"",IF(AND($U687="מפותח",$V687="מפותח",$W687="מפותחת"),"מפותחת",IF((--($U687="דל"))+(--($V687="אינו מפותח"))+(--($W687="דלה"))&gt;=2,"אינה מפותחת","חלקית"))))</f>
        <v/>
      </c>
      <c r="AA687" s="32">
        <f>IF($C687="","",IF(COUNTA($M687,$N687,$O687)&lt;3,"— חסרים נתונים",IF(OR($M687="נמוכה",(--($M687&lt;&gt;"תקינה"))+(--($N687&lt;&gt;"תקין"))+(--($O687&lt;&gt;"תקינה"))&gt;=2),"ניכרת","אינה ניכרת")))</f>
        <v/>
      </c>
      <c r="AB687" s="32">
        <f>IF(OR($C687="",$Y687="",$AA687="",LEFT($Y687,1)="—",LEFT($AA687,1)="—"),"",IF($Z687="","— נדרשת הערכת כתיבה",IF($L687="","— חסרה הבנת הנקרא",IF($Y687="אינה מדויקת או מקוטעת",IF($AA687="ניכרת","מיקוד בשטף הקריאה ובכישורי שפה","מיקוד בשטף קריאה"),IF($AA687="ניכרת","מיקוד בכישורי שפה",IF(AND($L687="תקינה",$Z687="מפותחת"),"קוראים וכותבים מיומנים","מיקוד בהבנה והבעה"))))))</f>
        <v/>
      </c>
      <c r="AC687" s="32">
        <f>IF(OR($AB687="",LEFT($AB687,1)="—"),"",IF(OR($AB687="מיקוד בשטף קריאה",$AB687="מיקוד בשטף הקריאה ובכישורי שפה"),"רמה א'",IF($AB687="קוראים וכותבים מיומנים","רמה ג'","רמה ב'")))</f>
        <v/>
      </c>
      <c r="AD687" s="32">
        <f>IF($AC687="","",MID(IF(AND($AC687="רמה א'",$AA687="ניכרת"),"; להוסיף עבודת אוצר מילים","")&amp;IF($Z687="אינה מפותחת","; דגש על הבעה בכתב","")&amp;IF($K687&lt;&gt;"תקין","; נדרש לעבוד על ההנגנה","")&amp;IF($AK687&lt;&gt;"","; "&amp;$AK687,""),3,400))</f>
        <v/>
      </c>
      <c r="AE687" s="32">
        <f>IF($F687="","",IF($F687="תחילת שנה",1,IF($F687="מחצית שנה",2,3)))</f>
        <v/>
      </c>
      <c r="AF687" s="32">
        <f>IF(OR($B687="",$AC687="",$A687="",$F687=""),"",$B687&amp;"|"&amp;$A687&amp;"|"&amp;$F687&amp;"|"&amp;$AC687&amp;"|"&amp;COUNTIFS($B$6:$B687,$B687,$A$6:$A687,$A687,$F$6:$F687,$F687,$AC$6:$AC687,$AC687))</f>
        <v/>
      </c>
      <c r="AG687" s="32">
        <f>IF($C687="","",$C687&amp;"|"&amp;COUNTIFS($C$6:$C687,$C687))</f>
        <v/>
      </c>
      <c r="AH687" s="32">
        <f>IF(OR($C687="",$A687="",$AE687=""),"",$C687&amp;"|"&amp;$A687&amp;"|"&amp;$AE687)</f>
        <v/>
      </c>
      <c r="AI687" s="32">
        <f>IF(OR($C687="",$AE687="",$AE687=1),"",IFERROR(INDEX($AC$6:$AC$1505,MATCH($C687&amp;"|"&amp;$A687&amp;"|"&amp;($AE687-1),$AH$6:$AH$1505,0)),""))</f>
        <v/>
      </c>
      <c r="AJ687" s="32">
        <f>IF(OR($AI687="",$AC687=""),"",IF($AI687=$AC687,"ללא שינוי","מ-"&amp;$AI687&amp;" ל-"&amp;$AC687))</f>
        <v/>
      </c>
      <c r="AK687" s="67" t="n"/>
    </row>
    <row r="688" ht="15.75" customHeight="1" s="58">
      <c r="A688" s="65" t="n"/>
      <c r="B688" s="65" t="n"/>
      <c r="C688" s="66" t="n"/>
      <c r="D688" s="66" t="n"/>
      <c r="E688" s="65" t="n"/>
      <c r="F688" s="65" t="n"/>
      <c r="G688" s="65" t="n"/>
      <c r="H688" s="65" t="n"/>
      <c r="I688" s="65" t="n"/>
      <c r="J688" s="65" t="n"/>
      <c r="K688" s="65" t="n"/>
      <c r="L688" s="65" t="n"/>
      <c r="M688" s="65" t="n"/>
      <c r="N688" s="65" t="n"/>
      <c r="O688" s="65" t="n"/>
      <c r="P688" s="65" t="n"/>
      <c r="Q688" s="65" t="n"/>
      <c r="R688" s="65" t="n"/>
      <c r="S688" s="65" t="n"/>
      <c r="T688" s="65" t="n"/>
      <c r="U688" s="65" t="n"/>
      <c r="V688" s="65" t="n"/>
      <c r="W688" s="65" t="n"/>
      <c r="X688" s="65" t="n"/>
      <c r="Y688" s="32">
        <f>IF($C688="","",IF(COUNTA($I688:$K688)&lt;3,"— חסרים נתונים",IF(AND($I688="תקין",$J688="תקין",$K688="תקין"),"רהוטה",IF(AND($I688="תקין",$J688="תקין"),"מדויקת ורציפה","אינה מדויקת או מקוטעת"))))</f>
        <v/>
      </c>
      <c r="Z688" s="32">
        <f>IF($C688="","",IF(COUNTA($U688:$W688)&lt;3,"",IF(AND($U688="מפותח",$V688="מפותח",$W688="מפותחת"),"מפותחת",IF((--($U688="דל"))+(--($V688="אינו מפותח"))+(--($W688="דלה"))&gt;=2,"אינה מפותחת","חלקית"))))</f>
        <v/>
      </c>
      <c r="AA688" s="32">
        <f>IF($C688="","",IF(COUNTA($M688,$N688,$O688)&lt;3,"— חסרים נתונים",IF(OR($M688="נמוכה",(--($M688&lt;&gt;"תקינה"))+(--($N688&lt;&gt;"תקין"))+(--($O688&lt;&gt;"תקינה"))&gt;=2),"ניכרת","אינה ניכרת")))</f>
        <v/>
      </c>
      <c r="AB688" s="32">
        <f>IF(OR($C688="",$Y688="",$AA688="",LEFT($Y688,1)="—",LEFT($AA688,1)="—"),"",IF($Z688="","— נדרשת הערכת כתיבה",IF($L688="","— חסרה הבנת הנקרא",IF($Y688="אינה מדויקת או מקוטעת",IF($AA688="ניכרת","מיקוד בשטף הקריאה ובכישורי שפה","מיקוד בשטף קריאה"),IF($AA688="ניכרת","מיקוד בכישורי שפה",IF(AND($L688="תקינה",$Z688="מפותחת"),"קוראים וכותבים מיומנים","מיקוד בהבנה והבעה"))))))</f>
        <v/>
      </c>
      <c r="AC688" s="32">
        <f>IF(OR($AB688="",LEFT($AB688,1)="—"),"",IF(OR($AB688="מיקוד בשטף קריאה",$AB688="מיקוד בשטף הקריאה ובכישורי שפה"),"רמה א'",IF($AB688="קוראים וכותבים מיומנים","רמה ג'","רמה ב'")))</f>
        <v/>
      </c>
      <c r="AD688" s="32">
        <f>IF($AC688="","",MID(IF(AND($AC688="רמה א'",$AA688="ניכרת"),"; להוסיף עבודת אוצר מילים","")&amp;IF($Z688="אינה מפותחת","; דגש על הבעה בכתב","")&amp;IF($K688&lt;&gt;"תקין","; נדרש לעבוד על ההנגנה","")&amp;IF($AK688&lt;&gt;"","; "&amp;$AK688,""),3,400))</f>
        <v/>
      </c>
      <c r="AE688" s="32">
        <f>IF($F688="","",IF($F688="תחילת שנה",1,IF($F688="מחצית שנה",2,3)))</f>
        <v/>
      </c>
      <c r="AF688" s="32">
        <f>IF(OR($B688="",$AC688="",$A688="",$F688=""),"",$B688&amp;"|"&amp;$A688&amp;"|"&amp;$F688&amp;"|"&amp;$AC688&amp;"|"&amp;COUNTIFS($B$6:$B688,$B688,$A$6:$A688,$A688,$F$6:$F688,$F688,$AC$6:$AC688,$AC688))</f>
        <v/>
      </c>
      <c r="AG688" s="32">
        <f>IF($C688="","",$C688&amp;"|"&amp;COUNTIFS($C$6:$C688,$C688))</f>
        <v/>
      </c>
      <c r="AH688" s="32">
        <f>IF(OR($C688="",$A688="",$AE688=""),"",$C688&amp;"|"&amp;$A688&amp;"|"&amp;$AE688)</f>
        <v/>
      </c>
      <c r="AI688" s="32">
        <f>IF(OR($C688="",$AE688="",$AE688=1),"",IFERROR(INDEX($AC$6:$AC$1505,MATCH($C688&amp;"|"&amp;$A688&amp;"|"&amp;($AE688-1),$AH$6:$AH$1505,0)),""))</f>
        <v/>
      </c>
      <c r="AJ688" s="32">
        <f>IF(OR($AI688="",$AC688=""),"",IF($AI688=$AC688,"ללא שינוי","מ-"&amp;$AI688&amp;" ל-"&amp;$AC688))</f>
        <v/>
      </c>
      <c r="AK688" s="67" t="n"/>
    </row>
    <row r="689" ht="15.75" customHeight="1" s="58">
      <c r="A689" s="65" t="n"/>
      <c r="B689" s="65" t="n"/>
      <c r="C689" s="66" t="n"/>
      <c r="D689" s="66" t="n"/>
      <c r="E689" s="65" t="n"/>
      <c r="F689" s="65" t="n"/>
      <c r="G689" s="65" t="n"/>
      <c r="H689" s="65" t="n"/>
      <c r="I689" s="65" t="n"/>
      <c r="J689" s="65" t="n"/>
      <c r="K689" s="65" t="n"/>
      <c r="L689" s="65" t="n"/>
      <c r="M689" s="65" t="n"/>
      <c r="N689" s="65" t="n"/>
      <c r="O689" s="65" t="n"/>
      <c r="P689" s="65" t="n"/>
      <c r="Q689" s="65" t="n"/>
      <c r="R689" s="65" t="n"/>
      <c r="S689" s="65" t="n"/>
      <c r="T689" s="65" t="n"/>
      <c r="U689" s="65" t="n"/>
      <c r="V689" s="65" t="n"/>
      <c r="W689" s="65" t="n"/>
      <c r="X689" s="65" t="n"/>
      <c r="Y689" s="32">
        <f>IF($C689="","",IF(COUNTA($I689:$K689)&lt;3,"— חסרים נתונים",IF(AND($I689="תקין",$J689="תקין",$K689="תקין"),"רהוטה",IF(AND($I689="תקין",$J689="תקין"),"מדויקת ורציפה","אינה מדויקת או מקוטעת"))))</f>
        <v/>
      </c>
      <c r="Z689" s="32">
        <f>IF($C689="","",IF(COUNTA($U689:$W689)&lt;3,"",IF(AND($U689="מפותח",$V689="מפותח",$W689="מפותחת"),"מפותחת",IF((--($U689="דל"))+(--($V689="אינו מפותח"))+(--($W689="דלה"))&gt;=2,"אינה מפותחת","חלקית"))))</f>
        <v/>
      </c>
      <c r="AA689" s="32">
        <f>IF($C689="","",IF(COUNTA($M689,$N689,$O689)&lt;3,"— חסרים נתונים",IF(OR($M689="נמוכה",(--($M689&lt;&gt;"תקינה"))+(--($N689&lt;&gt;"תקין"))+(--($O689&lt;&gt;"תקינה"))&gt;=2),"ניכרת","אינה ניכרת")))</f>
        <v/>
      </c>
      <c r="AB689" s="32">
        <f>IF(OR($C689="",$Y689="",$AA689="",LEFT($Y689,1)="—",LEFT($AA689,1)="—"),"",IF($Z689="","— נדרשת הערכת כתיבה",IF($L689="","— חסרה הבנת הנקרא",IF($Y689="אינה מדויקת או מקוטעת",IF($AA689="ניכרת","מיקוד בשטף הקריאה ובכישורי שפה","מיקוד בשטף קריאה"),IF($AA689="ניכרת","מיקוד בכישורי שפה",IF(AND($L689="תקינה",$Z689="מפותחת"),"קוראים וכותבים מיומנים","מיקוד בהבנה והבעה"))))))</f>
        <v/>
      </c>
      <c r="AC689" s="32">
        <f>IF(OR($AB689="",LEFT($AB689,1)="—"),"",IF(OR($AB689="מיקוד בשטף קריאה",$AB689="מיקוד בשטף הקריאה ובכישורי שפה"),"רמה א'",IF($AB689="קוראים וכותבים מיומנים","רמה ג'","רמה ב'")))</f>
        <v/>
      </c>
      <c r="AD689" s="32">
        <f>IF($AC689="","",MID(IF(AND($AC689="רמה א'",$AA689="ניכרת"),"; להוסיף עבודת אוצר מילים","")&amp;IF($Z689="אינה מפותחת","; דגש על הבעה בכתב","")&amp;IF($K689&lt;&gt;"תקין","; נדרש לעבוד על ההנגנה","")&amp;IF($AK689&lt;&gt;"","; "&amp;$AK689,""),3,400))</f>
        <v/>
      </c>
      <c r="AE689" s="32">
        <f>IF($F689="","",IF($F689="תחילת שנה",1,IF($F689="מחצית שנה",2,3)))</f>
        <v/>
      </c>
      <c r="AF689" s="32">
        <f>IF(OR($B689="",$AC689="",$A689="",$F689=""),"",$B689&amp;"|"&amp;$A689&amp;"|"&amp;$F689&amp;"|"&amp;$AC689&amp;"|"&amp;COUNTIFS($B$6:$B689,$B689,$A$6:$A689,$A689,$F$6:$F689,$F689,$AC$6:$AC689,$AC689))</f>
        <v/>
      </c>
      <c r="AG689" s="32">
        <f>IF($C689="","",$C689&amp;"|"&amp;COUNTIFS($C$6:$C689,$C689))</f>
        <v/>
      </c>
      <c r="AH689" s="32">
        <f>IF(OR($C689="",$A689="",$AE689=""),"",$C689&amp;"|"&amp;$A689&amp;"|"&amp;$AE689)</f>
        <v/>
      </c>
      <c r="AI689" s="32">
        <f>IF(OR($C689="",$AE689="",$AE689=1),"",IFERROR(INDEX($AC$6:$AC$1505,MATCH($C689&amp;"|"&amp;$A689&amp;"|"&amp;($AE689-1),$AH$6:$AH$1505,0)),""))</f>
        <v/>
      </c>
      <c r="AJ689" s="32">
        <f>IF(OR($AI689="",$AC689=""),"",IF($AI689=$AC689,"ללא שינוי","מ-"&amp;$AI689&amp;" ל-"&amp;$AC689))</f>
        <v/>
      </c>
      <c r="AK689" s="67" t="n"/>
    </row>
    <row r="690" ht="15.75" customHeight="1" s="58">
      <c r="A690" s="65" t="n"/>
      <c r="B690" s="65" t="n"/>
      <c r="C690" s="66" t="n"/>
      <c r="D690" s="66" t="n"/>
      <c r="E690" s="65" t="n"/>
      <c r="F690" s="65" t="n"/>
      <c r="G690" s="65" t="n"/>
      <c r="H690" s="65" t="n"/>
      <c r="I690" s="65" t="n"/>
      <c r="J690" s="65" t="n"/>
      <c r="K690" s="65" t="n"/>
      <c r="L690" s="65" t="n"/>
      <c r="M690" s="65" t="n"/>
      <c r="N690" s="65" t="n"/>
      <c r="O690" s="65" t="n"/>
      <c r="P690" s="65" t="n"/>
      <c r="Q690" s="65" t="n"/>
      <c r="R690" s="65" t="n"/>
      <c r="S690" s="65" t="n"/>
      <c r="T690" s="65" t="n"/>
      <c r="U690" s="65" t="n"/>
      <c r="V690" s="65" t="n"/>
      <c r="W690" s="65" t="n"/>
      <c r="X690" s="65" t="n"/>
      <c r="Y690" s="32">
        <f>IF($C690="","",IF(COUNTA($I690:$K690)&lt;3,"— חסרים נתונים",IF(AND($I690="תקין",$J690="תקין",$K690="תקין"),"רהוטה",IF(AND($I690="תקין",$J690="תקין"),"מדויקת ורציפה","אינה מדויקת או מקוטעת"))))</f>
        <v/>
      </c>
      <c r="Z690" s="32">
        <f>IF($C690="","",IF(COUNTA($U690:$W690)&lt;3,"",IF(AND($U690="מפותח",$V690="מפותח",$W690="מפותחת"),"מפותחת",IF((--($U690="דל"))+(--($V690="אינו מפותח"))+(--($W690="דלה"))&gt;=2,"אינה מפותחת","חלקית"))))</f>
        <v/>
      </c>
      <c r="AA690" s="32">
        <f>IF($C690="","",IF(COUNTA($M690,$N690,$O690)&lt;3,"— חסרים נתונים",IF(OR($M690="נמוכה",(--($M690&lt;&gt;"תקינה"))+(--($N690&lt;&gt;"תקין"))+(--($O690&lt;&gt;"תקינה"))&gt;=2),"ניכרת","אינה ניכרת")))</f>
        <v/>
      </c>
      <c r="AB690" s="32">
        <f>IF(OR($C690="",$Y690="",$AA690="",LEFT($Y690,1)="—",LEFT($AA690,1)="—"),"",IF($Z690="","— נדרשת הערכת כתיבה",IF($L690="","— חסרה הבנת הנקרא",IF($Y690="אינה מדויקת או מקוטעת",IF($AA690="ניכרת","מיקוד בשטף הקריאה ובכישורי שפה","מיקוד בשטף קריאה"),IF($AA690="ניכרת","מיקוד בכישורי שפה",IF(AND($L690="תקינה",$Z690="מפותחת"),"קוראים וכותבים מיומנים","מיקוד בהבנה והבעה"))))))</f>
        <v/>
      </c>
      <c r="AC690" s="32">
        <f>IF(OR($AB690="",LEFT($AB690,1)="—"),"",IF(OR($AB690="מיקוד בשטף קריאה",$AB690="מיקוד בשטף הקריאה ובכישורי שפה"),"רמה א'",IF($AB690="קוראים וכותבים מיומנים","רמה ג'","רמה ב'")))</f>
        <v/>
      </c>
      <c r="AD690" s="32">
        <f>IF($AC690="","",MID(IF(AND($AC690="רמה א'",$AA690="ניכרת"),"; להוסיף עבודת אוצר מילים","")&amp;IF($Z690="אינה מפותחת","; דגש על הבעה בכתב","")&amp;IF($K690&lt;&gt;"תקין","; נדרש לעבוד על ההנגנה","")&amp;IF($AK690&lt;&gt;"","; "&amp;$AK690,""),3,400))</f>
        <v/>
      </c>
      <c r="AE690" s="32">
        <f>IF($F690="","",IF($F690="תחילת שנה",1,IF($F690="מחצית שנה",2,3)))</f>
        <v/>
      </c>
      <c r="AF690" s="32">
        <f>IF(OR($B690="",$AC690="",$A690="",$F690=""),"",$B690&amp;"|"&amp;$A690&amp;"|"&amp;$F690&amp;"|"&amp;$AC690&amp;"|"&amp;COUNTIFS($B$6:$B690,$B690,$A$6:$A690,$A690,$F$6:$F690,$F690,$AC$6:$AC690,$AC690))</f>
        <v/>
      </c>
      <c r="AG690" s="32">
        <f>IF($C690="","",$C690&amp;"|"&amp;COUNTIFS($C$6:$C690,$C690))</f>
        <v/>
      </c>
      <c r="AH690" s="32">
        <f>IF(OR($C690="",$A690="",$AE690=""),"",$C690&amp;"|"&amp;$A690&amp;"|"&amp;$AE690)</f>
        <v/>
      </c>
      <c r="AI690" s="32">
        <f>IF(OR($C690="",$AE690="",$AE690=1),"",IFERROR(INDEX($AC$6:$AC$1505,MATCH($C690&amp;"|"&amp;$A690&amp;"|"&amp;($AE690-1),$AH$6:$AH$1505,0)),""))</f>
        <v/>
      </c>
      <c r="AJ690" s="32">
        <f>IF(OR($AI690="",$AC690=""),"",IF($AI690=$AC690,"ללא שינוי","מ-"&amp;$AI690&amp;" ל-"&amp;$AC690))</f>
        <v/>
      </c>
      <c r="AK690" s="67" t="n"/>
    </row>
    <row r="691" ht="15.75" customHeight="1" s="58">
      <c r="A691" s="65" t="n"/>
      <c r="B691" s="65" t="n"/>
      <c r="C691" s="66" t="n"/>
      <c r="D691" s="66" t="n"/>
      <c r="E691" s="65" t="n"/>
      <c r="F691" s="65" t="n"/>
      <c r="G691" s="65" t="n"/>
      <c r="H691" s="65" t="n"/>
      <c r="I691" s="65" t="n"/>
      <c r="J691" s="65" t="n"/>
      <c r="K691" s="65" t="n"/>
      <c r="L691" s="65" t="n"/>
      <c r="M691" s="65" t="n"/>
      <c r="N691" s="65" t="n"/>
      <c r="O691" s="65" t="n"/>
      <c r="P691" s="65" t="n"/>
      <c r="Q691" s="65" t="n"/>
      <c r="R691" s="65" t="n"/>
      <c r="S691" s="65" t="n"/>
      <c r="T691" s="65" t="n"/>
      <c r="U691" s="65" t="n"/>
      <c r="V691" s="65" t="n"/>
      <c r="W691" s="65" t="n"/>
      <c r="X691" s="65" t="n"/>
      <c r="Y691" s="32">
        <f>IF($C691="","",IF(COUNTA($I691:$K691)&lt;3,"— חסרים נתונים",IF(AND($I691="תקין",$J691="תקין",$K691="תקין"),"רהוטה",IF(AND($I691="תקין",$J691="תקין"),"מדויקת ורציפה","אינה מדויקת או מקוטעת"))))</f>
        <v/>
      </c>
      <c r="Z691" s="32">
        <f>IF($C691="","",IF(COUNTA($U691:$W691)&lt;3,"",IF(AND($U691="מפותח",$V691="מפותח",$W691="מפותחת"),"מפותחת",IF((--($U691="דל"))+(--($V691="אינו מפותח"))+(--($W691="דלה"))&gt;=2,"אינה מפותחת","חלקית"))))</f>
        <v/>
      </c>
      <c r="AA691" s="32">
        <f>IF($C691="","",IF(COUNTA($M691,$N691,$O691)&lt;3,"— חסרים נתונים",IF(OR($M691="נמוכה",(--($M691&lt;&gt;"תקינה"))+(--($N691&lt;&gt;"תקין"))+(--($O691&lt;&gt;"תקינה"))&gt;=2),"ניכרת","אינה ניכרת")))</f>
        <v/>
      </c>
      <c r="AB691" s="32">
        <f>IF(OR($C691="",$Y691="",$AA691="",LEFT($Y691,1)="—",LEFT($AA691,1)="—"),"",IF($Z691="","— נדרשת הערכת כתיבה",IF($L691="","— חסרה הבנת הנקרא",IF($Y691="אינה מדויקת או מקוטעת",IF($AA691="ניכרת","מיקוד בשטף הקריאה ובכישורי שפה","מיקוד בשטף קריאה"),IF($AA691="ניכרת","מיקוד בכישורי שפה",IF(AND($L691="תקינה",$Z691="מפותחת"),"קוראים וכותבים מיומנים","מיקוד בהבנה והבעה"))))))</f>
        <v/>
      </c>
      <c r="AC691" s="32">
        <f>IF(OR($AB691="",LEFT($AB691,1)="—"),"",IF(OR($AB691="מיקוד בשטף קריאה",$AB691="מיקוד בשטף הקריאה ובכישורי שפה"),"רמה א'",IF($AB691="קוראים וכותבים מיומנים","רמה ג'","רמה ב'")))</f>
        <v/>
      </c>
      <c r="AD691" s="32">
        <f>IF($AC691="","",MID(IF(AND($AC691="רמה א'",$AA691="ניכרת"),"; להוסיף עבודת אוצר מילים","")&amp;IF($Z691="אינה מפותחת","; דגש על הבעה בכתב","")&amp;IF($K691&lt;&gt;"תקין","; נדרש לעבוד על ההנגנה","")&amp;IF($AK691&lt;&gt;"","; "&amp;$AK691,""),3,400))</f>
        <v/>
      </c>
      <c r="AE691" s="32">
        <f>IF($F691="","",IF($F691="תחילת שנה",1,IF($F691="מחצית שנה",2,3)))</f>
        <v/>
      </c>
      <c r="AF691" s="32">
        <f>IF(OR($B691="",$AC691="",$A691="",$F691=""),"",$B691&amp;"|"&amp;$A691&amp;"|"&amp;$F691&amp;"|"&amp;$AC691&amp;"|"&amp;COUNTIFS($B$6:$B691,$B691,$A$6:$A691,$A691,$F$6:$F691,$F691,$AC$6:$AC691,$AC691))</f>
        <v/>
      </c>
      <c r="AG691" s="32">
        <f>IF($C691="","",$C691&amp;"|"&amp;COUNTIFS($C$6:$C691,$C691))</f>
        <v/>
      </c>
      <c r="AH691" s="32">
        <f>IF(OR($C691="",$A691="",$AE691=""),"",$C691&amp;"|"&amp;$A691&amp;"|"&amp;$AE691)</f>
        <v/>
      </c>
      <c r="AI691" s="32">
        <f>IF(OR($C691="",$AE691="",$AE691=1),"",IFERROR(INDEX($AC$6:$AC$1505,MATCH($C691&amp;"|"&amp;$A691&amp;"|"&amp;($AE691-1),$AH$6:$AH$1505,0)),""))</f>
        <v/>
      </c>
      <c r="AJ691" s="32">
        <f>IF(OR($AI691="",$AC691=""),"",IF($AI691=$AC691,"ללא שינוי","מ-"&amp;$AI691&amp;" ל-"&amp;$AC691))</f>
        <v/>
      </c>
      <c r="AK691" s="67" t="n"/>
    </row>
    <row r="692" ht="15.75" customHeight="1" s="58">
      <c r="A692" s="65" t="n"/>
      <c r="B692" s="65" t="n"/>
      <c r="C692" s="66" t="n"/>
      <c r="D692" s="66" t="n"/>
      <c r="E692" s="65" t="n"/>
      <c r="F692" s="65" t="n"/>
      <c r="G692" s="65" t="n"/>
      <c r="H692" s="65" t="n"/>
      <c r="I692" s="65" t="n"/>
      <c r="J692" s="65" t="n"/>
      <c r="K692" s="65" t="n"/>
      <c r="L692" s="65" t="n"/>
      <c r="M692" s="65" t="n"/>
      <c r="N692" s="65" t="n"/>
      <c r="O692" s="65" t="n"/>
      <c r="P692" s="65" t="n"/>
      <c r="Q692" s="65" t="n"/>
      <c r="R692" s="65" t="n"/>
      <c r="S692" s="65" t="n"/>
      <c r="T692" s="65" t="n"/>
      <c r="U692" s="65" t="n"/>
      <c r="V692" s="65" t="n"/>
      <c r="W692" s="65" t="n"/>
      <c r="X692" s="65" t="n"/>
      <c r="Y692" s="32">
        <f>IF($C692="","",IF(COUNTA($I692:$K692)&lt;3,"— חסרים נתונים",IF(AND($I692="תקין",$J692="תקין",$K692="תקין"),"רהוטה",IF(AND($I692="תקין",$J692="תקין"),"מדויקת ורציפה","אינה מדויקת או מקוטעת"))))</f>
        <v/>
      </c>
      <c r="Z692" s="32">
        <f>IF($C692="","",IF(COUNTA($U692:$W692)&lt;3,"",IF(AND($U692="מפותח",$V692="מפותח",$W692="מפותחת"),"מפותחת",IF((--($U692="דל"))+(--($V692="אינו מפותח"))+(--($W692="דלה"))&gt;=2,"אינה מפותחת","חלקית"))))</f>
        <v/>
      </c>
      <c r="AA692" s="32">
        <f>IF($C692="","",IF(COUNTA($M692,$N692,$O692)&lt;3,"— חסרים נתונים",IF(OR($M692="נמוכה",(--($M692&lt;&gt;"תקינה"))+(--($N692&lt;&gt;"תקין"))+(--($O692&lt;&gt;"תקינה"))&gt;=2),"ניכרת","אינה ניכרת")))</f>
        <v/>
      </c>
      <c r="AB692" s="32">
        <f>IF(OR($C692="",$Y692="",$AA692="",LEFT($Y692,1)="—",LEFT($AA692,1)="—"),"",IF($Z692="","— נדרשת הערכת כתיבה",IF($L692="","— חסרה הבנת הנקרא",IF($Y692="אינה מדויקת או מקוטעת",IF($AA692="ניכרת","מיקוד בשטף הקריאה ובכישורי שפה","מיקוד בשטף קריאה"),IF($AA692="ניכרת","מיקוד בכישורי שפה",IF(AND($L692="תקינה",$Z692="מפותחת"),"קוראים וכותבים מיומנים","מיקוד בהבנה והבעה"))))))</f>
        <v/>
      </c>
      <c r="AC692" s="32">
        <f>IF(OR($AB692="",LEFT($AB692,1)="—"),"",IF(OR($AB692="מיקוד בשטף קריאה",$AB692="מיקוד בשטף הקריאה ובכישורי שפה"),"רמה א'",IF($AB692="קוראים וכותבים מיומנים","רמה ג'","רמה ב'")))</f>
        <v/>
      </c>
      <c r="AD692" s="32">
        <f>IF($AC692="","",MID(IF(AND($AC692="רמה א'",$AA692="ניכרת"),"; להוסיף עבודת אוצר מילים","")&amp;IF($Z692="אינה מפותחת","; דגש על הבעה בכתב","")&amp;IF($K692&lt;&gt;"תקין","; נדרש לעבוד על ההנגנה","")&amp;IF($AK692&lt;&gt;"","; "&amp;$AK692,""),3,400))</f>
        <v/>
      </c>
      <c r="AE692" s="32">
        <f>IF($F692="","",IF($F692="תחילת שנה",1,IF($F692="מחצית שנה",2,3)))</f>
        <v/>
      </c>
      <c r="AF692" s="32">
        <f>IF(OR($B692="",$AC692="",$A692="",$F692=""),"",$B692&amp;"|"&amp;$A692&amp;"|"&amp;$F692&amp;"|"&amp;$AC692&amp;"|"&amp;COUNTIFS($B$6:$B692,$B692,$A$6:$A692,$A692,$F$6:$F692,$F692,$AC$6:$AC692,$AC692))</f>
        <v/>
      </c>
      <c r="AG692" s="32">
        <f>IF($C692="","",$C692&amp;"|"&amp;COUNTIFS($C$6:$C692,$C692))</f>
        <v/>
      </c>
      <c r="AH692" s="32">
        <f>IF(OR($C692="",$A692="",$AE692=""),"",$C692&amp;"|"&amp;$A692&amp;"|"&amp;$AE692)</f>
        <v/>
      </c>
      <c r="AI692" s="32">
        <f>IF(OR($C692="",$AE692="",$AE692=1),"",IFERROR(INDEX($AC$6:$AC$1505,MATCH($C692&amp;"|"&amp;$A692&amp;"|"&amp;($AE692-1),$AH$6:$AH$1505,0)),""))</f>
        <v/>
      </c>
      <c r="AJ692" s="32">
        <f>IF(OR($AI692="",$AC692=""),"",IF($AI692=$AC692,"ללא שינוי","מ-"&amp;$AI692&amp;" ל-"&amp;$AC692))</f>
        <v/>
      </c>
      <c r="AK692" s="67" t="n"/>
    </row>
    <row r="693" ht="15.75" customHeight="1" s="58">
      <c r="A693" s="65" t="n"/>
      <c r="B693" s="65" t="n"/>
      <c r="C693" s="66" t="n"/>
      <c r="D693" s="66" t="n"/>
      <c r="E693" s="65" t="n"/>
      <c r="F693" s="65" t="n"/>
      <c r="G693" s="65" t="n"/>
      <c r="H693" s="65" t="n"/>
      <c r="I693" s="65" t="n"/>
      <c r="J693" s="65" t="n"/>
      <c r="K693" s="65" t="n"/>
      <c r="L693" s="65" t="n"/>
      <c r="M693" s="65" t="n"/>
      <c r="N693" s="65" t="n"/>
      <c r="O693" s="65" t="n"/>
      <c r="P693" s="65" t="n"/>
      <c r="Q693" s="65" t="n"/>
      <c r="R693" s="65" t="n"/>
      <c r="S693" s="65" t="n"/>
      <c r="T693" s="65" t="n"/>
      <c r="U693" s="65" t="n"/>
      <c r="V693" s="65" t="n"/>
      <c r="W693" s="65" t="n"/>
      <c r="X693" s="65" t="n"/>
      <c r="Y693" s="32">
        <f>IF($C693="","",IF(COUNTA($I693:$K693)&lt;3,"— חסרים נתונים",IF(AND($I693="תקין",$J693="תקין",$K693="תקין"),"רהוטה",IF(AND($I693="תקין",$J693="תקין"),"מדויקת ורציפה","אינה מדויקת או מקוטעת"))))</f>
        <v/>
      </c>
      <c r="Z693" s="32">
        <f>IF($C693="","",IF(COUNTA($U693:$W693)&lt;3,"",IF(AND($U693="מפותח",$V693="מפותח",$W693="מפותחת"),"מפותחת",IF((--($U693="דל"))+(--($V693="אינו מפותח"))+(--($W693="דלה"))&gt;=2,"אינה מפותחת","חלקית"))))</f>
        <v/>
      </c>
      <c r="AA693" s="32">
        <f>IF($C693="","",IF(COUNTA($M693,$N693,$O693)&lt;3,"— חסרים נתונים",IF(OR($M693="נמוכה",(--($M693&lt;&gt;"תקינה"))+(--($N693&lt;&gt;"תקין"))+(--($O693&lt;&gt;"תקינה"))&gt;=2),"ניכרת","אינה ניכרת")))</f>
        <v/>
      </c>
      <c r="AB693" s="32">
        <f>IF(OR($C693="",$Y693="",$AA693="",LEFT($Y693,1)="—",LEFT($AA693,1)="—"),"",IF($Z693="","— נדרשת הערכת כתיבה",IF($L693="","— חסרה הבנת הנקרא",IF($Y693="אינה מדויקת או מקוטעת",IF($AA693="ניכרת","מיקוד בשטף הקריאה ובכישורי שפה","מיקוד בשטף קריאה"),IF($AA693="ניכרת","מיקוד בכישורי שפה",IF(AND($L693="תקינה",$Z693="מפותחת"),"קוראים וכותבים מיומנים","מיקוד בהבנה והבעה"))))))</f>
        <v/>
      </c>
      <c r="AC693" s="32">
        <f>IF(OR($AB693="",LEFT($AB693,1)="—"),"",IF(OR($AB693="מיקוד בשטף קריאה",$AB693="מיקוד בשטף הקריאה ובכישורי שפה"),"רמה א'",IF($AB693="קוראים וכותבים מיומנים","רמה ג'","רמה ב'")))</f>
        <v/>
      </c>
      <c r="AD693" s="32">
        <f>IF($AC693="","",MID(IF(AND($AC693="רמה א'",$AA693="ניכרת"),"; להוסיף עבודת אוצר מילים","")&amp;IF($Z693="אינה מפותחת","; דגש על הבעה בכתב","")&amp;IF($K693&lt;&gt;"תקין","; נדרש לעבוד על ההנגנה","")&amp;IF($AK693&lt;&gt;"","; "&amp;$AK693,""),3,400))</f>
        <v/>
      </c>
      <c r="AE693" s="32">
        <f>IF($F693="","",IF($F693="תחילת שנה",1,IF($F693="מחצית שנה",2,3)))</f>
        <v/>
      </c>
      <c r="AF693" s="32">
        <f>IF(OR($B693="",$AC693="",$A693="",$F693=""),"",$B693&amp;"|"&amp;$A693&amp;"|"&amp;$F693&amp;"|"&amp;$AC693&amp;"|"&amp;COUNTIFS($B$6:$B693,$B693,$A$6:$A693,$A693,$F$6:$F693,$F693,$AC$6:$AC693,$AC693))</f>
        <v/>
      </c>
      <c r="AG693" s="32">
        <f>IF($C693="","",$C693&amp;"|"&amp;COUNTIFS($C$6:$C693,$C693))</f>
        <v/>
      </c>
      <c r="AH693" s="32">
        <f>IF(OR($C693="",$A693="",$AE693=""),"",$C693&amp;"|"&amp;$A693&amp;"|"&amp;$AE693)</f>
        <v/>
      </c>
      <c r="AI693" s="32">
        <f>IF(OR($C693="",$AE693="",$AE693=1),"",IFERROR(INDEX($AC$6:$AC$1505,MATCH($C693&amp;"|"&amp;$A693&amp;"|"&amp;($AE693-1),$AH$6:$AH$1505,0)),""))</f>
        <v/>
      </c>
      <c r="AJ693" s="32">
        <f>IF(OR($AI693="",$AC693=""),"",IF($AI693=$AC693,"ללא שינוי","מ-"&amp;$AI693&amp;" ל-"&amp;$AC693))</f>
        <v/>
      </c>
      <c r="AK693" s="67" t="n"/>
    </row>
    <row r="694" ht="15.75" customHeight="1" s="58">
      <c r="A694" s="65" t="n"/>
      <c r="B694" s="65" t="n"/>
      <c r="C694" s="66" t="n"/>
      <c r="D694" s="66" t="n"/>
      <c r="E694" s="65" t="n"/>
      <c r="F694" s="65" t="n"/>
      <c r="G694" s="65" t="n"/>
      <c r="H694" s="65" t="n"/>
      <c r="I694" s="65" t="n"/>
      <c r="J694" s="65" t="n"/>
      <c r="K694" s="65" t="n"/>
      <c r="L694" s="65" t="n"/>
      <c r="M694" s="65" t="n"/>
      <c r="N694" s="65" t="n"/>
      <c r="O694" s="65" t="n"/>
      <c r="P694" s="65" t="n"/>
      <c r="Q694" s="65" t="n"/>
      <c r="R694" s="65" t="n"/>
      <c r="S694" s="65" t="n"/>
      <c r="T694" s="65" t="n"/>
      <c r="U694" s="65" t="n"/>
      <c r="V694" s="65" t="n"/>
      <c r="W694" s="65" t="n"/>
      <c r="X694" s="65" t="n"/>
      <c r="Y694" s="32">
        <f>IF($C694="","",IF(COUNTA($I694:$K694)&lt;3,"— חסרים נתונים",IF(AND($I694="תקין",$J694="תקין",$K694="תקין"),"רהוטה",IF(AND($I694="תקין",$J694="תקין"),"מדויקת ורציפה","אינה מדויקת או מקוטעת"))))</f>
        <v/>
      </c>
      <c r="Z694" s="32">
        <f>IF($C694="","",IF(COUNTA($U694:$W694)&lt;3,"",IF(AND($U694="מפותח",$V694="מפותח",$W694="מפותחת"),"מפותחת",IF((--($U694="דל"))+(--($V694="אינו מפותח"))+(--($W694="דלה"))&gt;=2,"אינה מפותחת","חלקית"))))</f>
        <v/>
      </c>
      <c r="AA694" s="32">
        <f>IF($C694="","",IF(COUNTA($M694,$N694,$O694)&lt;3,"— חסרים נתונים",IF(OR($M694="נמוכה",(--($M694&lt;&gt;"תקינה"))+(--($N694&lt;&gt;"תקין"))+(--($O694&lt;&gt;"תקינה"))&gt;=2),"ניכרת","אינה ניכרת")))</f>
        <v/>
      </c>
      <c r="AB694" s="32">
        <f>IF(OR($C694="",$Y694="",$AA694="",LEFT($Y694,1)="—",LEFT($AA694,1)="—"),"",IF($Z694="","— נדרשת הערכת כתיבה",IF($L694="","— חסרה הבנת הנקרא",IF($Y694="אינה מדויקת או מקוטעת",IF($AA694="ניכרת","מיקוד בשטף הקריאה ובכישורי שפה","מיקוד בשטף קריאה"),IF($AA694="ניכרת","מיקוד בכישורי שפה",IF(AND($L694="תקינה",$Z694="מפותחת"),"קוראים וכותבים מיומנים","מיקוד בהבנה והבעה"))))))</f>
        <v/>
      </c>
      <c r="AC694" s="32">
        <f>IF(OR($AB694="",LEFT($AB694,1)="—"),"",IF(OR($AB694="מיקוד בשטף קריאה",$AB694="מיקוד בשטף הקריאה ובכישורי שפה"),"רמה א'",IF($AB694="קוראים וכותבים מיומנים","רמה ג'","רמה ב'")))</f>
        <v/>
      </c>
      <c r="AD694" s="32">
        <f>IF($AC694="","",MID(IF(AND($AC694="רמה א'",$AA694="ניכרת"),"; להוסיף עבודת אוצר מילים","")&amp;IF($Z694="אינה מפותחת","; דגש על הבעה בכתב","")&amp;IF($K694&lt;&gt;"תקין","; נדרש לעבוד על ההנגנה","")&amp;IF($AK694&lt;&gt;"","; "&amp;$AK694,""),3,400))</f>
        <v/>
      </c>
      <c r="AE694" s="32">
        <f>IF($F694="","",IF($F694="תחילת שנה",1,IF($F694="מחצית שנה",2,3)))</f>
        <v/>
      </c>
      <c r="AF694" s="32">
        <f>IF(OR($B694="",$AC694="",$A694="",$F694=""),"",$B694&amp;"|"&amp;$A694&amp;"|"&amp;$F694&amp;"|"&amp;$AC694&amp;"|"&amp;COUNTIFS($B$6:$B694,$B694,$A$6:$A694,$A694,$F$6:$F694,$F694,$AC$6:$AC694,$AC694))</f>
        <v/>
      </c>
      <c r="AG694" s="32">
        <f>IF($C694="","",$C694&amp;"|"&amp;COUNTIFS($C$6:$C694,$C694))</f>
        <v/>
      </c>
      <c r="AH694" s="32">
        <f>IF(OR($C694="",$A694="",$AE694=""),"",$C694&amp;"|"&amp;$A694&amp;"|"&amp;$AE694)</f>
        <v/>
      </c>
      <c r="AI694" s="32">
        <f>IF(OR($C694="",$AE694="",$AE694=1),"",IFERROR(INDEX($AC$6:$AC$1505,MATCH($C694&amp;"|"&amp;$A694&amp;"|"&amp;($AE694-1),$AH$6:$AH$1505,0)),""))</f>
        <v/>
      </c>
      <c r="AJ694" s="32">
        <f>IF(OR($AI694="",$AC694=""),"",IF($AI694=$AC694,"ללא שינוי","מ-"&amp;$AI694&amp;" ל-"&amp;$AC694))</f>
        <v/>
      </c>
      <c r="AK694" s="67" t="n"/>
    </row>
    <row r="695" ht="15.75" customHeight="1" s="58">
      <c r="A695" s="65" t="n"/>
      <c r="B695" s="65" t="n"/>
      <c r="C695" s="66" t="n"/>
      <c r="D695" s="66" t="n"/>
      <c r="E695" s="65" t="n"/>
      <c r="F695" s="65" t="n"/>
      <c r="G695" s="65" t="n"/>
      <c r="H695" s="65" t="n"/>
      <c r="I695" s="65" t="n"/>
      <c r="J695" s="65" t="n"/>
      <c r="K695" s="65" t="n"/>
      <c r="L695" s="65" t="n"/>
      <c r="M695" s="65" t="n"/>
      <c r="N695" s="65" t="n"/>
      <c r="O695" s="65" t="n"/>
      <c r="P695" s="65" t="n"/>
      <c r="Q695" s="65" t="n"/>
      <c r="R695" s="65" t="n"/>
      <c r="S695" s="65" t="n"/>
      <c r="T695" s="65" t="n"/>
      <c r="U695" s="65" t="n"/>
      <c r="V695" s="65" t="n"/>
      <c r="W695" s="65" t="n"/>
      <c r="X695" s="65" t="n"/>
      <c r="Y695" s="32">
        <f>IF($C695="","",IF(COUNTA($I695:$K695)&lt;3,"— חסרים נתונים",IF(AND($I695="תקין",$J695="תקין",$K695="תקין"),"רהוטה",IF(AND($I695="תקין",$J695="תקין"),"מדויקת ורציפה","אינה מדויקת או מקוטעת"))))</f>
        <v/>
      </c>
      <c r="Z695" s="32">
        <f>IF($C695="","",IF(COUNTA($U695:$W695)&lt;3,"",IF(AND($U695="מפותח",$V695="מפותח",$W695="מפותחת"),"מפותחת",IF((--($U695="דל"))+(--($V695="אינו מפותח"))+(--($W695="דלה"))&gt;=2,"אינה מפותחת","חלקית"))))</f>
        <v/>
      </c>
      <c r="AA695" s="32">
        <f>IF($C695="","",IF(COUNTA($M695,$N695,$O695)&lt;3,"— חסרים נתונים",IF(OR($M695="נמוכה",(--($M695&lt;&gt;"תקינה"))+(--($N695&lt;&gt;"תקין"))+(--($O695&lt;&gt;"תקינה"))&gt;=2),"ניכרת","אינה ניכרת")))</f>
        <v/>
      </c>
      <c r="AB695" s="32">
        <f>IF(OR($C695="",$Y695="",$AA695="",LEFT($Y695,1)="—",LEFT($AA695,1)="—"),"",IF($Z695="","— נדרשת הערכת כתיבה",IF($L695="","— חסרה הבנת הנקרא",IF($Y695="אינה מדויקת או מקוטעת",IF($AA695="ניכרת","מיקוד בשטף הקריאה ובכישורי שפה","מיקוד בשטף קריאה"),IF($AA695="ניכרת","מיקוד בכישורי שפה",IF(AND($L695="תקינה",$Z695="מפותחת"),"קוראים וכותבים מיומנים","מיקוד בהבנה והבעה"))))))</f>
        <v/>
      </c>
      <c r="AC695" s="32">
        <f>IF(OR($AB695="",LEFT($AB695,1)="—"),"",IF(OR($AB695="מיקוד בשטף קריאה",$AB695="מיקוד בשטף הקריאה ובכישורי שפה"),"רמה א'",IF($AB695="קוראים וכותבים מיומנים","רמה ג'","רמה ב'")))</f>
        <v/>
      </c>
      <c r="AD695" s="32">
        <f>IF($AC695="","",MID(IF(AND($AC695="רמה א'",$AA695="ניכרת"),"; להוסיף עבודת אוצר מילים","")&amp;IF($Z695="אינה מפותחת","; דגש על הבעה בכתב","")&amp;IF($K695&lt;&gt;"תקין","; נדרש לעבוד על ההנגנה","")&amp;IF($AK695&lt;&gt;"","; "&amp;$AK695,""),3,400))</f>
        <v/>
      </c>
      <c r="AE695" s="32">
        <f>IF($F695="","",IF($F695="תחילת שנה",1,IF($F695="מחצית שנה",2,3)))</f>
        <v/>
      </c>
      <c r="AF695" s="32">
        <f>IF(OR($B695="",$AC695="",$A695="",$F695=""),"",$B695&amp;"|"&amp;$A695&amp;"|"&amp;$F695&amp;"|"&amp;$AC695&amp;"|"&amp;COUNTIFS($B$6:$B695,$B695,$A$6:$A695,$A695,$F$6:$F695,$F695,$AC$6:$AC695,$AC695))</f>
        <v/>
      </c>
      <c r="AG695" s="32">
        <f>IF($C695="","",$C695&amp;"|"&amp;COUNTIFS($C$6:$C695,$C695))</f>
        <v/>
      </c>
      <c r="AH695" s="32">
        <f>IF(OR($C695="",$A695="",$AE695=""),"",$C695&amp;"|"&amp;$A695&amp;"|"&amp;$AE695)</f>
        <v/>
      </c>
      <c r="AI695" s="32">
        <f>IF(OR($C695="",$AE695="",$AE695=1),"",IFERROR(INDEX($AC$6:$AC$1505,MATCH($C695&amp;"|"&amp;$A695&amp;"|"&amp;($AE695-1),$AH$6:$AH$1505,0)),""))</f>
        <v/>
      </c>
      <c r="AJ695" s="32">
        <f>IF(OR($AI695="",$AC695=""),"",IF($AI695=$AC695,"ללא שינוי","מ-"&amp;$AI695&amp;" ל-"&amp;$AC695))</f>
        <v/>
      </c>
      <c r="AK695" s="67" t="n"/>
    </row>
    <row r="696" ht="15.75" customHeight="1" s="58">
      <c r="A696" s="65" t="n"/>
      <c r="B696" s="65" t="n"/>
      <c r="C696" s="66" t="n"/>
      <c r="D696" s="66" t="n"/>
      <c r="E696" s="65" t="n"/>
      <c r="F696" s="65" t="n"/>
      <c r="G696" s="65" t="n"/>
      <c r="H696" s="65" t="n"/>
      <c r="I696" s="65" t="n"/>
      <c r="J696" s="65" t="n"/>
      <c r="K696" s="65" t="n"/>
      <c r="L696" s="65" t="n"/>
      <c r="M696" s="65" t="n"/>
      <c r="N696" s="65" t="n"/>
      <c r="O696" s="65" t="n"/>
      <c r="P696" s="65" t="n"/>
      <c r="Q696" s="65" t="n"/>
      <c r="R696" s="65" t="n"/>
      <c r="S696" s="65" t="n"/>
      <c r="T696" s="65" t="n"/>
      <c r="U696" s="65" t="n"/>
      <c r="V696" s="65" t="n"/>
      <c r="W696" s="65" t="n"/>
      <c r="X696" s="65" t="n"/>
      <c r="Y696" s="32">
        <f>IF($C696="","",IF(COUNTA($I696:$K696)&lt;3,"— חסרים נתונים",IF(AND($I696="תקין",$J696="תקין",$K696="תקין"),"רהוטה",IF(AND($I696="תקין",$J696="תקין"),"מדויקת ורציפה","אינה מדויקת או מקוטעת"))))</f>
        <v/>
      </c>
      <c r="Z696" s="32">
        <f>IF($C696="","",IF(COUNTA($U696:$W696)&lt;3,"",IF(AND($U696="מפותח",$V696="מפותח",$W696="מפותחת"),"מפותחת",IF((--($U696="דל"))+(--($V696="אינו מפותח"))+(--($W696="דלה"))&gt;=2,"אינה מפותחת","חלקית"))))</f>
        <v/>
      </c>
      <c r="AA696" s="32">
        <f>IF($C696="","",IF(COUNTA($M696,$N696,$O696)&lt;3,"— חסרים נתונים",IF(OR($M696="נמוכה",(--($M696&lt;&gt;"תקינה"))+(--($N696&lt;&gt;"תקין"))+(--($O696&lt;&gt;"תקינה"))&gt;=2),"ניכרת","אינה ניכרת")))</f>
        <v/>
      </c>
      <c r="AB696" s="32">
        <f>IF(OR($C696="",$Y696="",$AA696="",LEFT($Y696,1)="—",LEFT($AA696,1)="—"),"",IF($Z696="","— נדרשת הערכת כתיבה",IF($L696="","— חסרה הבנת הנקרא",IF($Y696="אינה מדויקת או מקוטעת",IF($AA696="ניכרת","מיקוד בשטף הקריאה ובכישורי שפה","מיקוד בשטף קריאה"),IF($AA696="ניכרת","מיקוד בכישורי שפה",IF(AND($L696="תקינה",$Z696="מפותחת"),"קוראים וכותבים מיומנים","מיקוד בהבנה והבעה"))))))</f>
        <v/>
      </c>
      <c r="AC696" s="32">
        <f>IF(OR($AB696="",LEFT($AB696,1)="—"),"",IF(OR($AB696="מיקוד בשטף קריאה",$AB696="מיקוד בשטף הקריאה ובכישורי שפה"),"רמה א'",IF($AB696="קוראים וכותבים מיומנים","רמה ג'","רמה ב'")))</f>
        <v/>
      </c>
      <c r="AD696" s="32">
        <f>IF($AC696="","",MID(IF(AND($AC696="רמה א'",$AA696="ניכרת"),"; להוסיף עבודת אוצר מילים","")&amp;IF($Z696="אינה מפותחת","; דגש על הבעה בכתב","")&amp;IF($K696&lt;&gt;"תקין","; נדרש לעבוד על ההנגנה","")&amp;IF($AK696&lt;&gt;"","; "&amp;$AK696,""),3,400))</f>
        <v/>
      </c>
      <c r="AE696" s="32">
        <f>IF($F696="","",IF($F696="תחילת שנה",1,IF($F696="מחצית שנה",2,3)))</f>
        <v/>
      </c>
      <c r="AF696" s="32">
        <f>IF(OR($B696="",$AC696="",$A696="",$F696=""),"",$B696&amp;"|"&amp;$A696&amp;"|"&amp;$F696&amp;"|"&amp;$AC696&amp;"|"&amp;COUNTIFS($B$6:$B696,$B696,$A$6:$A696,$A696,$F$6:$F696,$F696,$AC$6:$AC696,$AC696))</f>
        <v/>
      </c>
      <c r="AG696" s="32">
        <f>IF($C696="","",$C696&amp;"|"&amp;COUNTIFS($C$6:$C696,$C696))</f>
        <v/>
      </c>
      <c r="AH696" s="32">
        <f>IF(OR($C696="",$A696="",$AE696=""),"",$C696&amp;"|"&amp;$A696&amp;"|"&amp;$AE696)</f>
        <v/>
      </c>
      <c r="AI696" s="32">
        <f>IF(OR($C696="",$AE696="",$AE696=1),"",IFERROR(INDEX($AC$6:$AC$1505,MATCH($C696&amp;"|"&amp;$A696&amp;"|"&amp;($AE696-1),$AH$6:$AH$1505,0)),""))</f>
        <v/>
      </c>
      <c r="AJ696" s="32">
        <f>IF(OR($AI696="",$AC696=""),"",IF($AI696=$AC696,"ללא שינוי","מ-"&amp;$AI696&amp;" ל-"&amp;$AC696))</f>
        <v/>
      </c>
      <c r="AK696" s="67" t="n"/>
    </row>
    <row r="697" ht="15.75" customHeight="1" s="58">
      <c r="A697" s="65" t="n"/>
      <c r="B697" s="65" t="n"/>
      <c r="C697" s="66" t="n"/>
      <c r="D697" s="66" t="n"/>
      <c r="E697" s="65" t="n"/>
      <c r="F697" s="65" t="n"/>
      <c r="G697" s="65" t="n"/>
      <c r="H697" s="65" t="n"/>
      <c r="I697" s="65" t="n"/>
      <c r="J697" s="65" t="n"/>
      <c r="K697" s="65" t="n"/>
      <c r="L697" s="65" t="n"/>
      <c r="M697" s="65" t="n"/>
      <c r="N697" s="65" t="n"/>
      <c r="O697" s="65" t="n"/>
      <c r="P697" s="65" t="n"/>
      <c r="Q697" s="65" t="n"/>
      <c r="R697" s="65" t="n"/>
      <c r="S697" s="65" t="n"/>
      <c r="T697" s="65" t="n"/>
      <c r="U697" s="65" t="n"/>
      <c r="V697" s="65" t="n"/>
      <c r="W697" s="65" t="n"/>
      <c r="X697" s="65" t="n"/>
      <c r="Y697" s="32">
        <f>IF($C697="","",IF(COUNTA($I697:$K697)&lt;3,"— חסרים נתונים",IF(AND($I697="תקין",$J697="תקין",$K697="תקין"),"רהוטה",IF(AND($I697="תקין",$J697="תקין"),"מדויקת ורציפה","אינה מדויקת או מקוטעת"))))</f>
        <v/>
      </c>
      <c r="Z697" s="32">
        <f>IF($C697="","",IF(COUNTA($U697:$W697)&lt;3,"",IF(AND($U697="מפותח",$V697="מפותח",$W697="מפותחת"),"מפותחת",IF((--($U697="דל"))+(--($V697="אינו מפותח"))+(--($W697="דלה"))&gt;=2,"אינה מפותחת","חלקית"))))</f>
        <v/>
      </c>
      <c r="AA697" s="32">
        <f>IF($C697="","",IF(COUNTA($M697,$N697,$O697)&lt;3,"— חסרים נתונים",IF(OR($M697="נמוכה",(--($M697&lt;&gt;"תקינה"))+(--($N697&lt;&gt;"תקין"))+(--($O697&lt;&gt;"תקינה"))&gt;=2),"ניכרת","אינה ניכרת")))</f>
        <v/>
      </c>
      <c r="AB697" s="32">
        <f>IF(OR($C697="",$Y697="",$AA697="",LEFT($Y697,1)="—",LEFT($AA697,1)="—"),"",IF($Z697="","— נדרשת הערכת כתיבה",IF($L697="","— חסרה הבנת הנקרא",IF($Y697="אינה מדויקת או מקוטעת",IF($AA697="ניכרת","מיקוד בשטף הקריאה ובכישורי שפה","מיקוד בשטף קריאה"),IF($AA697="ניכרת","מיקוד בכישורי שפה",IF(AND($L697="תקינה",$Z697="מפותחת"),"קוראים וכותבים מיומנים","מיקוד בהבנה והבעה"))))))</f>
        <v/>
      </c>
      <c r="AC697" s="32">
        <f>IF(OR($AB697="",LEFT($AB697,1)="—"),"",IF(OR($AB697="מיקוד בשטף קריאה",$AB697="מיקוד בשטף הקריאה ובכישורי שפה"),"רמה א'",IF($AB697="קוראים וכותבים מיומנים","רמה ג'","רמה ב'")))</f>
        <v/>
      </c>
      <c r="AD697" s="32">
        <f>IF($AC697="","",MID(IF(AND($AC697="רמה א'",$AA697="ניכרת"),"; להוסיף עבודת אוצר מילים","")&amp;IF($Z697="אינה מפותחת","; דגש על הבעה בכתב","")&amp;IF($K697&lt;&gt;"תקין","; נדרש לעבוד על ההנגנה","")&amp;IF($AK697&lt;&gt;"","; "&amp;$AK697,""),3,400))</f>
        <v/>
      </c>
      <c r="AE697" s="32">
        <f>IF($F697="","",IF($F697="תחילת שנה",1,IF($F697="מחצית שנה",2,3)))</f>
        <v/>
      </c>
      <c r="AF697" s="32">
        <f>IF(OR($B697="",$AC697="",$A697="",$F697=""),"",$B697&amp;"|"&amp;$A697&amp;"|"&amp;$F697&amp;"|"&amp;$AC697&amp;"|"&amp;COUNTIFS($B$6:$B697,$B697,$A$6:$A697,$A697,$F$6:$F697,$F697,$AC$6:$AC697,$AC697))</f>
        <v/>
      </c>
      <c r="AG697" s="32">
        <f>IF($C697="","",$C697&amp;"|"&amp;COUNTIFS($C$6:$C697,$C697))</f>
        <v/>
      </c>
      <c r="AH697" s="32">
        <f>IF(OR($C697="",$A697="",$AE697=""),"",$C697&amp;"|"&amp;$A697&amp;"|"&amp;$AE697)</f>
        <v/>
      </c>
      <c r="AI697" s="32">
        <f>IF(OR($C697="",$AE697="",$AE697=1),"",IFERROR(INDEX($AC$6:$AC$1505,MATCH($C697&amp;"|"&amp;$A697&amp;"|"&amp;($AE697-1),$AH$6:$AH$1505,0)),""))</f>
        <v/>
      </c>
      <c r="AJ697" s="32">
        <f>IF(OR($AI697="",$AC697=""),"",IF($AI697=$AC697,"ללא שינוי","מ-"&amp;$AI697&amp;" ל-"&amp;$AC697))</f>
        <v/>
      </c>
      <c r="AK697" s="67" t="n"/>
    </row>
    <row r="698" ht="15.75" customHeight="1" s="58">
      <c r="A698" s="65" t="n"/>
      <c r="B698" s="65" t="n"/>
      <c r="C698" s="66" t="n"/>
      <c r="D698" s="66" t="n"/>
      <c r="E698" s="65" t="n"/>
      <c r="F698" s="65" t="n"/>
      <c r="G698" s="65" t="n"/>
      <c r="H698" s="65" t="n"/>
      <c r="I698" s="65" t="n"/>
      <c r="J698" s="65" t="n"/>
      <c r="K698" s="65" t="n"/>
      <c r="L698" s="65" t="n"/>
      <c r="M698" s="65" t="n"/>
      <c r="N698" s="65" t="n"/>
      <c r="O698" s="65" t="n"/>
      <c r="P698" s="65" t="n"/>
      <c r="Q698" s="65" t="n"/>
      <c r="R698" s="65" t="n"/>
      <c r="S698" s="65" t="n"/>
      <c r="T698" s="65" t="n"/>
      <c r="U698" s="65" t="n"/>
      <c r="V698" s="65" t="n"/>
      <c r="W698" s="65" t="n"/>
      <c r="X698" s="65" t="n"/>
      <c r="Y698" s="32">
        <f>IF($C698="","",IF(COUNTA($I698:$K698)&lt;3,"— חסרים נתונים",IF(AND($I698="תקין",$J698="תקין",$K698="תקין"),"רהוטה",IF(AND($I698="תקין",$J698="תקין"),"מדויקת ורציפה","אינה מדויקת או מקוטעת"))))</f>
        <v/>
      </c>
      <c r="Z698" s="32">
        <f>IF($C698="","",IF(COUNTA($U698:$W698)&lt;3,"",IF(AND($U698="מפותח",$V698="מפותח",$W698="מפותחת"),"מפותחת",IF((--($U698="דל"))+(--($V698="אינו מפותח"))+(--($W698="דלה"))&gt;=2,"אינה מפותחת","חלקית"))))</f>
        <v/>
      </c>
      <c r="AA698" s="32">
        <f>IF($C698="","",IF(COUNTA($M698,$N698,$O698)&lt;3,"— חסרים נתונים",IF(OR($M698="נמוכה",(--($M698&lt;&gt;"תקינה"))+(--($N698&lt;&gt;"תקין"))+(--($O698&lt;&gt;"תקינה"))&gt;=2),"ניכרת","אינה ניכרת")))</f>
        <v/>
      </c>
      <c r="AB698" s="32">
        <f>IF(OR($C698="",$Y698="",$AA698="",LEFT($Y698,1)="—",LEFT($AA698,1)="—"),"",IF($Z698="","— נדרשת הערכת כתיבה",IF($L698="","— חסרה הבנת הנקרא",IF($Y698="אינה מדויקת או מקוטעת",IF($AA698="ניכרת","מיקוד בשטף הקריאה ובכישורי שפה","מיקוד בשטף קריאה"),IF($AA698="ניכרת","מיקוד בכישורי שפה",IF(AND($L698="תקינה",$Z698="מפותחת"),"קוראים וכותבים מיומנים","מיקוד בהבנה והבעה"))))))</f>
        <v/>
      </c>
      <c r="AC698" s="32">
        <f>IF(OR($AB698="",LEFT($AB698,1)="—"),"",IF(OR($AB698="מיקוד בשטף קריאה",$AB698="מיקוד בשטף הקריאה ובכישורי שפה"),"רמה א'",IF($AB698="קוראים וכותבים מיומנים","רמה ג'","רמה ב'")))</f>
        <v/>
      </c>
      <c r="AD698" s="32">
        <f>IF($AC698="","",MID(IF(AND($AC698="רמה א'",$AA698="ניכרת"),"; להוסיף עבודת אוצר מילים","")&amp;IF($Z698="אינה מפותחת","; דגש על הבעה בכתב","")&amp;IF($K698&lt;&gt;"תקין","; נדרש לעבוד על ההנגנה","")&amp;IF($AK698&lt;&gt;"","; "&amp;$AK698,""),3,400))</f>
        <v/>
      </c>
      <c r="AE698" s="32">
        <f>IF($F698="","",IF($F698="תחילת שנה",1,IF($F698="מחצית שנה",2,3)))</f>
        <v/>
      </c>
      <c r="AF698" s="32">
        <f>IF(OR($B698="",$AC698="",$A698="",$F698=""),"",$B698&amp;"|"&amp;$A698&amp;"|"&amp;$F698&amp;"|"&amp;$AC698&amp;"|"&amp;COUNTIFS($B$6:$B698,$B698,$A$6:$A698,$A698,$F$6:$F698,$F698,$AC$6:$AC698,$AC698))</f>
        <v/>
      </c>
      <c r="AG698" s="32">
        <f>IF($C698="","",$C698&amp;"|"&amp;COUNTIFS($C$6:$C698,$C698))</f>
        <v/>
      </c>
      <c r="AH698" s="32">
        <f>IF(OR($C698="",$A698="",$AE698=""),"",$C698&amp;"|"&amp;$A698&amp;"|"&amp;$AE698)</f>
        <v/>
      </c>
      <c r="AI698" s="32">
        <f>IF(OR($C698="",$AE698="",$AE698=1),"",IFERROR(INDEX($AC$6:$AC$1505,MATCH($C698&amp;"|"&amp;$A698&amp;"|"&amp;($AE698-1),$AH$6:$AH$1505,0)),""))</f>
        <v/>
      </c>
      <c r="AJ698" s="32">
        <f>IF(OR($AI698="",$AC698=""),"",IF($AI698=$AC698,"ללא שינוי","מ-"&amp;$AI698&amp;" ל-"&amp;$AC698))</f>
        <v/>
      </c>
      <c r="AK698" s="67" t="n"/>
    </row>
    <row r="699" ht="15.75" customHeight="1" s="58">
      <c r="A699" s="65" t="n"/>
      <c r="B699" s="65" t="n"/>
      <c r="C699" s="66" t="n"/>
      <c r="D699" s="66" t="n"/>
      <c r="E699" s="65" t="n"/>
      <c r="F699" s="65" t="n"/>
      <c r="G699" s="65" t="n"/>
      <c r="H699" s="65" t="n"/>
      <c r="I699" s="65" t="n"/>
      <c r="J699" s="65" t="n"/>
      <c r="K699" s="65" t="n"/>
      <c r="L699" s="65" t="n"/>
      <c r="M699" s="65" t="n"/>
      <c r="N699" s="65" t="n"/>
      <c r="O699" s="65" t="n"/>
      <c r="P699" s="65" t="n"/>
      <c r="Q699" s="65" t="n"/>
      <c r="R699" s="65" t="n"/>
      <c r="S699" s="65" t="n"/>
      <c r="T699" s="65" t="n"/>
      <c r="U699" s="65" t="n"/>
      <c r="V699" s="65" t="n"/>
      <c r="W699" s="65" t="n"/>
      <c r="X699" s="65" t="n"/>
      <c r="Y699" s="32">
        <f>IF($C699="","",IF(COUNTA($I699:$K699)&lt;3,"— חסרים נתונים",IF(AND($I699="תקין",$J699="תקין",$K699="תקין"),"רהוטה",IF(AND($I699="תקין",$J699="תקין"),"מדויקת ורציפה","אינה מדויקת או מקוטעת"))))</f>
        <v/>
      </c>
      <c r="Z699" s="32">
        <f>IF($C699="","",IF(COUNTA($U699:$W699)&lt;3,"",IF(AND($U699="מפותח",$V699="מפותח",$W699="מפותחת"),"מפותחת",IF((--($U699="דל"))+(--($V699="אינו מפותח"))+(--($W699="דלה"))&gt;=2,"אינה מפותחת","חלקית"))))</f>
        <v/>
      </c>
      <c r="AA699" s="32">
        <f>IF($C699="","",IF(COUNTA($M699,$N699,$O699)&lt;3,"— חסרים נתונים",IF(OR($M699="נמוכה",(--($M699&lt;&gt;"תקינה"))+(--($N699&lt;&gt;"תקין"))+(--($O699&lt;&gt;"תקינה"))&gt;=2),"ניכרת","אינה ניכרת")))</f>
        <v/>
      </c>
      <c r="AB699" s="32">
        <f>IF(OR($C699="",$Y699="",$AA699="",LEFT($Y699,1)="—",LEFT($AA699,1)="—"),"",IF($Z699="","— נדרשת הערכת כתיבה",IF($L699="","— חסרה הבנת הנקרא",IF($Y699="אינה מדויקת או מקוטעת",IF($AA699="ניכרת","מיקוד בשטף הקריאה ובכישורי שפה","מיקוד בשטף קריאה"),IF($AA699="ניכרת","מיקוד בכישורי שפה",IF(AND($L699="תקינה",$Z699="מפותחת"),"קוראים וכותבים מיומנים","מיקוד בהבנה והבעה"))))))</f>
        <v/>
      </c>
      <c r="AC699" s="32">
        <f>IF(OR($AB699="",LEFT($AB699,1)="—"),"",IF(OR($AB699="מיקוד בשטף קריאה",$AB699="מיקוד בשטף הקריאה ובכישורי שפה"),"רמה א'",IF($AB699="קוראים וכותבים מיומנים","רמה ג'","רמה ב'")))</f>
        <v/>
      </c>
      <c r="AD699" s="32">
        <f>IF($AC699="","",MID(IF(AND($AC699="רמה א'",$AA699="ניכרת"),"; להוסיף עבודת אוצר מילים","")&amp;IF($Z699="אינה מפותחת","; דגש על הבעה בכתב","")&amp;IF($K699&lt;&gt;"תקין","; נדרש לעבוד על ההנגנה","")&amp;IF($AK699&lt;&gt;"","; "&amp;$AK699,""),3,400))</f>
        <v/>
      </c>
      <c r="AE699" s="32">
        <f>IF($F699="","",IF($F699="תחילת שנה",1,IF($F699="מחצית שנה",2,3)))</f>
        <v/>
      </c>
      <c r="AF699" s="32">
        <f>IF(OR($B699="",$AC699="",$A699="",$F699=""),"",$B699&amp;"|"&amp;$A699&amp;"|"&amp;$F699&amp;"|"&amp;$AC699&amp;"|"&amp;COUNTIFS($B$6:$B699,$B699,$A$6:$A699,$A699,$F$6:$F699,$F699,$AC$6:$AC699,$AC699))</f>
        <v/>
      </c>
      <c r="AG699" s="32">
        <f>IF($C699="","",$C699&amp;"|"&amp;COUNTIFS($C$6:$C699,$C699))</f>
        <v/>
      </c>
      <c r="AH699" s="32">
        <f>IF(OR($C699="",$A699="",$AE699=""),"",$C699&amp;"|"&amp;$A699&amp;"|"&amp;$AE699)</f>
        <v/>
      </c>
      <c r="AI699" s="32">
        <f>IF(OR($C699="",$AE699="",$AE699=1),"",IFERROR(INDEX($AC$6:$AC$1505,MATCH($C699&amp;"|"&amp;$A699&amp;"|"&amp;($AE699-1),$AH$6:$AH$1505,0)),""))</f>
        <v/>
      </c>
      <c r="AJ699" s="32">
        <f>IF(OR($AI699="",$AC699=""),"",IF($AI699=$AC699,"ללא שינוי","מ-"&amp;$AI699&amp;" ל-"&amp;$AC699))</f>
        <v/>
      </c>
      <c r="AK699" s="67" t="n"/>
    </row>
    <row r="700" ht="15.75" customHeight="1" s="58">
      <c r="A700" s="65" t="n"/>
      <c r="B700" s="65" t="n"/>
      <c r="C700" s="66" t="n"/>
      <c r="D700" s="66" t="n"/>
      <c r="E700" s="65" t="n"/>
      <c r="F700" s="65" t="n"/>
      <c r="G700" s="65" t="n"/>
      <c r="H700" s="65" t="n"/>
      <c r="I700" s="65" t="n"/>
      <c r="J700" s="65" t="n"/>
      <c r="K700" s="65" t="n"/>
      <c r="L700" s="65" t="n"/>
      <c r="M700" s="65" t="n"/>
      <c r="N700" s="65" t="n"/>
      <c r="O700" s="65" t="n"/>
      <c r="P700" s="65" t="n"/>
      <c r="Q700" s="65" t="n"/>
      <c r="R700" s="65" t="n"/>
      <c r="S700" s="65" t="n"/>
      <c r="T700" s="65" t="n"/>
      <c r="U700" s="65" t="n"/>
      <c r="V700" s="65" t="n"/>
      <c r="W700" s="65" t="n"/>
      <c r="X700" s="65" t="n"/>
      <c r="Y700" s="32">
        <f>IF($C700="","",IF(COUNTA($I700:$K700)&lt;3,"— חסרים נתונים",IF(AND($I700="תקין",$J700="תקין",$K700="תקין"),"רהוטה",IF(AND($I700="תקין",$J700="תקין"),"מדויקת ורציפה","אינה מדויקת או מקוטעת"))))</f>
        <v/>
      </c>
      <c r="Z700" s="32">
        <f>IF($C700="","",IF(COUNTA($U700:$W700)&lt;3,"",IF(AND($U700="מפותח",$V700="מפותח",$W700="מפותחת"),"מפותחת",IF((--($U700="דל"))+(--($V700="אינו מפותח"))+(--($W700="דלה"))&gt;=2,"אינה מפותחת","חלקית"))))</f>
        <v/>
      </c>
      <c r="AA700" s="32">
        <f>IF($C700="","",IF(COUNTA($M700,$N700,$O700)&lt;3,"— חסרים נתונים",IF(OR($M700="נמוכה",(--($M700&lt;&gt;"תקינה"))+(--($N700&lt;&gt;"תקין"))+(--($O700&lt;&gt;"תקינה"))&gt;=2),"ניכרת","אינה ניכרת")))</f>
        <v/>
      </c>
      <c r="AB700" s="32">
        <f>IF(OR($C700="",$Y700="",$AA700="",LEFT($Y700,1)="—",LEFT($AA700,1)="—"),"",IF($Z700="","— נדרשת הערכת כתיבה",IF($L700="","— חסרה הבנת הנקרא",IF($Y700="אינה מדויקת או מקוטעת",IF($AA700="ניכרת","מיקוד בשטף הקריאה ובכישורי שפה","מיקוד בשטף קריאה"),IF($AA700="ניכרת","מיקוד בכישורי שפה",IF(AND($L700="תקינה",$Z700="מפותחת"),"קוראים וכותבים מיומנים","מיקוד בהבנה והבעה"))))))</f>
        <v/>
      </c>
      <c r="AC700" s="32">
        <f>IF(OR($AB700="",LEFT($AB700,1)="—"),"",IF(OR($AB700="מיקוד בשטף קריאה",$AB700="מיקוד בשטף הקריאה ובכישורי שפה"),"רמה א'",IF($AB700="קוראים וכותבים מיומנים","רמה ג'","רמה ב'")))</f>
        <v/>
      </c>
      <c r="AD700" s="32">
        <f>IF($AC700="","",MID(IF(AND($AC700="רמה א'",$AA700="ניכרת"),"; להוסיף עבודת אוצר מילים","")&amp;IF($Z700="אינה מפותחת","; דגש על הבעה בכתב","")&amp;IF($K700&lt;&gt;"תקין","; נדרש לעבוד על ההנגנה","")&amp;IF($AK700&lt;&gt;"","; "&amp;$AK700,""),3,400))</f>
        <v/>
      </c>
      <c r="AE700" s="32">
        <f>IF($F700="","",IF($F700="תחילת שנה",1,IF($F700="מחצית שנה",2,3)))</f>
        <v/>
      </c>
      <c r="AF700" s="32">
        <f>IF(OR($B700="",$AC700="",$A700="",$F700=""),"",$B700&amp;"|"&amp;$A700&amp;"|"&amp;$F700&amp;"|"&amp;$AC700&amp;"|"&amp;COUNTIFS($B$6:$B700,$B700,$A$6:$A700,$A700,$F$6:$F700,$F700,$AC$6:$AC700,$AC700))</f>
        <v/>
      </c>
      <c r="AG700" s="32">
        <f>IF($C700="","",$C700&amp;"|"&amp;COUNTIFS($C$6:$C700,$C700))</f>
        <v/>
      </c>
      <c r="AH700" s="32">
        <f>IF(OR($C700="",$A700="",$AE700=""),"",$C700&amp;"|"&amp;$A700&amp;"|"&amp;$AE700)</f>
        <v/>
      </c>
      <c r="AI700" s="32">
        <f>IF(OR($C700="",$AE700="",$AE700=1),"",IFERROR(INDEX($AC$6:$AC$1505,MATCH($C700&amp;"|"&amp;$A700&amp;"|"&amp;($AE700-1),$AH$6:$AH$1505,0)),""))</f>
        <v/>
      </c>
      <c r="AJ700" s="32">
        <f>IF(OR($AI700="",$AC700=""),"",IF($AI700=$AC700,"ללא שינוי","מ-"&amp;$AI700&amp;" ל-"&amp;$AC700))</f>
        <v/>
      </c>
      <c r="AK700" s="67" t="n"/>
    </row>
    <row r="701" ht="15.75" customHeight="1" s="58">
      <c r="A701" s="65" t="n"/>
      <c r="B701" s="65" t="n"/>
      <c r="C701" s="66" t="n"/>
      <c r="D701" s="66" t="n"/>
      <c r="E701" s="65" t="n"/>
      <c r="F701" s="65" t="n"/>
      <c r="G701" s="65" t="n"/>
      <c r="H701" s="65" t="n"/>
      <c r="I701" s="65" t="n"/>
      <c r="J701" s="65" t="n"/>
      <c r="K701" s="65" t="n"/>
      <c r="L701" s="65" t="n"/>
      <c r="M701" s="65" t="n"/>
      <c r="N701" s="65" t="n"/>
      <c r="O701" s="65" t="n"/>
      <c r="P701" s="65" t="n"/>
      <c r="Q701" s="65" t="n"/>
      <c r="R701" s="65" t="n"/>
      <c r="S701" s="65" t="n"/>
      <c r="T701" s="65" t="n"/>
      <c r="U701" s="65" t="n"/>
      <c r="V701" s="65" t="n"/>
      <c r="W701" s="65" t="n"/>
      <c r="X701" s="65" t="n"/>
      <c r="Y701" s="32">
        <f>IF($C701="","",IF(COUNTA($I701:$K701)&lt;3,"— חסרים נתונים",IF(AND($I701="תקין",$J701="תקין",$K701="תקין"),"רהוטה",IF(AND($I701="תקין",$J701="תקין"),"מדויקת ורציפה","אינה מדויקת או מקוטעת"))))</f>
        <v/>
      </c>
      <c r="Z701" s="32">
        <f>IF($C701="","",IF(COUNTA($U701:$W701)&lt;3,"",IF(AND($U701="מפותח",$V701="מפותח",$W701="מפותחת"),"מפותחת",IF((--($U701="דל"))+(--($V701="אינו מפותח"))+(--($W701="דלה"))&gt;=2,"אינה מפותחת","חלקית"))))</f>
        <v/>
      </c>
      <c r="AA701" s="32">
        <f>IF($C701="","",IF(COUNTA($M701,$N701,$O701)&lt;3,"— חסרים נתונים",IF(OR($M701="נמוכה",(--($M701&lt;&gt;"תקינה"))+(--($N701&lt;&gt;"תקין"))+(--($O701&lt;&gt;"תקינה"))&gt;=2),"ניכרת","אינה ניכרת")))</f>
        <v/>
      </c>
      <c r="AB701" s="32">
        <f>IF(OR($C701="",$Y701="",$AA701="",LEFT($Y701,1)="—",LEFT($AA701,1)="—"),"",IF($Z701="","— נדרשת הערכת כתיבה",IF($L701="","— חסרה הבנת הנקרא",IF($Y701="אינה מדויקת או מקוטעת",IF($AA701="ניכרת","מיקוד בשטף הקריאה ובכישורי שפה","מיקוד בשטף קריאה"),IF($AA701="ניכרת","מיקוד בכישורי שפה",IF(AND($L701="תקינה",$Z701="מפותחת"),"קוראים וכותבים מיומנים","מיקוד בהבנה והבעה"))))))</f>
        <v/>
      </c>
      <c r="AC701" s="32">
        <f>IF(OR($AB701="",LEFT($AB701,1)="—"),"",IF(OR($AB701="מיקוד בשטף קריאה",$AB701="מיקוד בשטף הקריאה ובכישורי שפה"),"רמה א'",IF($AB701="קוראים וכותבים מיומנים","רמה ג'","רמה ב'")))</f>
        <v/>
      </c>
      <c r="AD701" s="32">
        <f>IF($AC701="","",MID(IF(AND($AC701="רמה א'",$AA701="ניכרת"),"; להוסיף עבודת אוצר מילים","")&amp;IF($Z701="אינה מפותחת","; דגש על הבעה בכתב","")&amp;IF($K701&lt;&gt;"תקין","; נדרש לעבוד על ההנגנה","")&amp;IF($AK701&lt;&gt;"","; "&amp;$AK701,""),3,400))</f>
        <v/>
      </c>
      <c r="AE701" s="32">
        <f>IF($F701="","",IF($F701="תחילת שנה",1,IF($F701="מחצית שנה",2,3)))</f>
        <v/>
      </c>
      <c r="AF701" s="32">
        <f>IF(OR($B701="",$AC701="",$A701="",$F701=""),"",$B701&amp;"|"&amp;$A701&amp;"|"&amp;$F701&amp;"|"&amp;$AC701&amp;"|"&amp;COUNTIFS($B$6:$B701,$B701,$A$6:$A701,$A701,$F$6:$F701,$F701,$AC$6:$AC701,$AC701))</f>
        <v/>
      </c>
      <c r="AG701" s="32">
        <f>IF($C701="","",$C701&amp;"|"&amp;COUNTIFS($C$6:$C701,$C701))</f>
        <v/>
      </c>
      <c r="AH701" s="32">
        <f>IF(OR($C701="",$A701="",$AE701=""),"",$C701&amp;"|"&amp;$A701&amp;"|"&amp;$AE701)</f>
        <v/>
      </c>
      <c r="AI701" s="32">
        <f>IF(OR($C701="",$AE701="",$AE701=1),"",IFERROR(INDEX($AC$6:$AC$1505,MATCH($C701&amp;"|"&amp;$A701&amp;"|"&amp;($AE701-1),$AH$6:$AH$1505,0)),""))</f>
        <v/>
      </c>
      <c r="AJ701" s="32">
        <f>IF(OR($AI701="",$AC701=""),"",IF($AI701=$AC701,"ללא שינוי","מ-"&amp;$AI701&amp;" ל-"&amp;$AC701))</f>
        <v/>
      </c>
      <c r="AK701" s="67" t="n"/>
    </row>
    <row r="702" ht="15.75" customHeight="1" s="58">
      <c r="A702" s="65" t="n"/>
      <c r="B702" s="65" t="n"/>
      <c r="C702" s="66" t="n"/>
      <c r="D702" s="66" t="n"/>
      <c r="E702" s="65" t="n"/>
      <c r="F702" s="65" t="n"/>
      <c r="G702" s="65" t="n"/>
      <c r="H702" s="65" t="n"/>
      <c r="I702" s="65" t="n"/>
      <c r="J702" s="65" t="n"/>
      <c r="K702" s="65" t="n"/>
      <c r="L702" s="65" t="n"/>
      <c r="M702" s="65" t="n"/>
      <c r="N702" s="65" t="n"/>
      <c r="O702" s="65" t="n"/>
      <c r="P702" s="65" t="n"/>
      <c r="Q702" s="65" t="n"/>
      <c r="R702" s="65" t="n"/>
      <c r="S702" s="65" t="n"/>
      <c r="T702" s="65" t="n"/>
      <c r="U702" s="65" t="n"/>
      <c r="V702" s="65" t="n"/>
      <c r="W702" s="65" t="n"/>
      <c r="X702" s="65" t="n"/>
      <c r="Y702" s="32">
        <f>IF($C702="","",IF(COUNTA($I702:$K702)&lt;3,"— חסרים נתונים",IF(AND($I702="תקין",$J702="תקין",$K702="תקין"),"רהוטה",IF(AND($I702="תקין",$J702="תקין"),"מדויקת ורציפה","אינה מדויקת או מקוטעת"))))</f>
        <v/>
      </c>
      <c r="Z702" s="32">
        <f>IF($C702="","",IF(COUNTA($U702:$W702)&lt;3,"",IF(AND($U702="מפותח",$V702="מפותח",$W702="מפותחת"),"מפותחת",IF((--($U702="דל"))+(--($V702="אינו מפותח"))+(--($W702="דלה"))&gt;=2,"אינה מפותחת","חלקית"))))</f>
        <v/>
      </c>
      <c r="AA702" s="32">
        <f>IF($C702="","",IF(COUNTA($M702,$N702,$O702)&lt;3,"— חסרים נתונים",IF(OR($M702="נמוכה",(--($M702&lt;&gt;"תקינה"))+(--($N702&lt;&gt;"תקין"))+(--($O702&lt;&gt;"תקינה"))&gt;=2),"ניכרת","אינה ניכרת")))</f>
        <v/>
      </c>
      <c r="AB702" s="32">
        <f>IF(OR($C702="",$Y702="",$AA702="",LEFT($Y702,1)="—",LEFT($AA702,1)="—"),"",IF($Z702="","— נדרשת הערכת כתיבה",IF($L702="","— חסרה הבנת הנקרא",IF($Y702="אינה מדויקת או מקוטעת",IF($AA702="ניכרת","מיקוד בשטף הקריאה ובכישורי שפה","מיקוד בשטף קריאה"),IF($AA702="ניכרת","מיקוד בכישורי שפה",IF(AND($L702="תקינה",$Z702="מפותחת"),"קוראים וכותבים מיומנים","מיקוד בהבנה והבעה"))))))</f>
        <v/>
      </c>
      <c r="AC702" s="32">
        <f>IF(OR($AB702="",LEFT($AB702,1)="—"),"",IF(OR($AB702="מיקוד בשטף קריאה",$AB702="מיקוד בשטף הקריאה ובכישורי שפה"),"רמה א'",IF($AB702="קוראים וכותבים מיומנים","רמה ג'","רמה ב'")))</f>
        <v/>
      </c>
      <c r="AD702" s="32">
        <f>IF($AC702="","",MID(IF(AND($AC702="רמה א'",$AA702="ניכרת"),"; להוסיף עבודת אוצר מילים","")&amp;IF($Z702="אינה מפותחת","; דגש על הבעה בכתב","")&amp;IF($K702&lt;&gt;"תקין","; נדרש לעבוד על ההנגנה","")&amp;IF($AK702&lt;&gt;"","; "&amp;$AK702,""),3,400))</f>
        <v/>
      </c>
      <c r="AE702" s="32">
        <f>IF($F702="","",IF($F702="תחילת שנה",1,IF($F702="מחצית שנה",2,3)))</f>
        <v/>
      </c>
      <c r="AF702" s="32">
        <f>IF(OR($B702="",$AC702="",$A702="",$F702=""),"",$B702&amp;"|"&amp;$A702&amp;"|"&amp;$F702&amp;"|"&amp;$AC702&amp;"|"&amp;COUNTIFS($B$6:$B702,$B702,$A$6:$A702,$A702,$F$6:$F702,$F702,$AC$6:$AC702,$AC702))</f>
        <v/>
      </c>
      <c r="AG702" s="32">
        <f>IF($C702="","",$C702&amp;"|"&amp;COUNTIFS($C$6:$C702,$C702))</f>
        <v/>
      </c>
      <c r="AH702" s="32">
        <f>IF(OR($C702="",$A702="",$AE702=""),"",$C702&amp;"|"&amp;$A702&amp;"|"&amp;$AE702)</f>
        <v/>
      </c>
      <c r="AI702" s="32">
        <f>IF(OR($C702="",$AE702="",$AE702=1),"",IFERROR(INDEX($AC$6:$AC$1505,MATCH($C702&amp;"|"&amp;$A702&amp;"|"&amp;($AE702-1),$AH$6:$AH$1505,0)),""))</f>
        <v/>
      </c>
      <c r="AJ702" s="32">
        <f>IF(OR($AI702="",$AC702=""),"",IF($AI702=$AC702,"ללא שינוי","מ-"&amp;$AI702&amp;" ל-"&amp;$AC702))</f>
        <v/>
      </c>
      <c r="AK702" s="67" t="n"/>
    </row>
    <row r="703" ht="15.75" customHeight="1" s="58">
      <c r="A703" s="65" t="n"/>
      <c r="B703" s="65" t="n"/>
      <c r="C703" s="66" t="n"/>
      <c r="D703" s="66" t="n"/>
      <c r="E703" s="65" t="n"/>
      <c r="F703" s="65" t="n"/>
      <c r="G703" s="65" t="n"/>
      <c r="H703" s="65" t="n"/>
      <c r="I703" s="65" t="n"/>
      <c r="J703" s="65" t="n"/>
      <c r="K703" s="65" t="n"/>
      <c r="L703" s="65" t="n"/>
      <c r="M703" s="65" t="n"/>
      <c r="N703" s="65" t="n"/>
      <c r="O703" s="65" t="n"/>
      <c r="P703" s="65" t="n"/>
      <c r="Q703" s="65" t="n"/>
      <c r="R703" s="65" t="n"/>
      <c r="S703" s="65" t="n"/>
      <c r="T703" s="65" t="n"/>
      <c r="U703" s="65" t="n"/>
      <c r="V703" s="65" t="n"/>
      <c r="W703" s="65" t="n"/>
      <c r="X703" s="65" t="n"/>
      <c r="Y703" s="32">
        <f>IF($C703="","",IF(COUNTA($I703:$K703)&lt;3,"— חסרים נתונים",IF(AND($I703="תקין",$J703="תקין",$K703="תקין"),"רהוטה",IF(AND($I703="תקין",$J703="תקין"),"מדויקת ורציפה","אינה מדויקת או מקוטעת"))))</f>
        <v/>
      </c>
      <c r="Z703" s="32">
        <f>IF($C703="","",IF(COUNTA($U703:$W703)&lt;3,"",IF(AND($U703="מפותח",$V703="מפותח",$W703="מפותחת"),"מפותחת",IF((--($U703="דל"))+(--($V703="אינו מפותח"))+(--($W703="דלה"))&gt;=2,"אינה מפותחת","חלקית"))))</f>
        <v/>
      </c>
      <c r="AA703" s="32">
        <f>IF($C703="","",IF(COUNTA($M703,$N703,$O703)&lt;3,"— חסרים נתונים",IF(OR($M703="נמוכה",(--($M703&lt;&gt;"תקינה"))+(--($N703&lt;&gt;"תקין"))+(--($O703&lt;&gt;"תקינה"))&gt;=2),"ניכרת","אינה ניכרת")))</f>
        <v/>
      </c>
      <c r="AB703" s="32">
        <f>IF(OR($C703="",$Y703="",$AA703="",LEFT($Y703,1)="—",LEFT($AA703,1)="—"),"",IF($Z703="","— נדרשת הערכת כתיבה",IF($L703="","— חסרה הבנת הנקרא",IF($Y703="אינה מדויקת או מקוטעת",IF($AA703="ניכרת","מיקוד בשטף הקריאה ובכישורי שפה","מיקוד בשטף קריאה"),IF($AA703="ניכרת","מיקוד בכישורי שפה",IF(AND($L703="תקינה",$Z703="מפותחת"),"קוראים וכותבים מיומנים","מיקוד בהבנה והבעה"))))))</f>
        <v/>
      </c>
      <c r="AC703" s="32">
        <f>IF(OR($AB703="",LEFT($AB703,1)="—"),"",IF(OR($AB703="מיקוד בשטף קריאה",$AB703="מיקוד בשטף הקריאה ובכישורי שפה"),"רמה א'",IF($AB703="קוראים וכותבים מיומנים","רמה ג'","רמה ב'")))</f>
        <v/>
      </c>
      <c r="AD703" s="32">
        <f>IF($AC703="","",MID(IF(AND($AC703="רמה א'",$AA703="ניכרת"),"; להוסיף עבודת אוצר מילים","")&amp;IF($Z703="אינה מפותחת","; דגש על הבעה בכתב","")&amp;IF($K703&lt;&gt;"תקין","; נדרש לעבוד על ההנגנה","")&amp;IF($AK703&lt;&gt;"","; "&amp;$AK703,""),3,400))</f>
        <v/>
      </c>
      <c r="AE703" s="32">
        <f>IF($F703="","",IF($F703="תחילת שנה",1,IF($F703="מחצית שנה",2,3)))</f>
        <v/>
      </c>
      <c r="AF703" s="32">
        <f>IF(OR($B703="",$AC703="",$A703="",$F703=""),"",$B703&amp;"|"&amp;$A703&amp;"|"&amp;$F703&amp;"|"&amp;$AC703&amp;"|"&amp;COUNTIFS($B$6:$B703,$B703,$A$6:$A703,$A703,$F$6:$F703,$F703,$AC$6:$AC703,$AC703))</f>
        <v/>
      </c>
      <c r="AG703" s="32">
        <f>IF($C703="","",$C703&amp;"|"&amp;COUNTIFS($C$6:$C703,$C703))</f>
        <v/>
      </c>
      <c r="AH703" s="32">
        <f>IF(OR($C703="",$A703="",$AE703=""),"",$C703&amp;"|"&amp;$A703&amp;"|"&amp;$AE703)</f>
        <v/>
      </c>
      <c r="AI703" s="32">
        <f>IF(OR($C703="",$AE703="",$AE703=1),"",IFERROR(INDEX($AC$6:$AC$1505,MATCH($C703&amp;"|"&amp;$A703&amp;"|"&amp;($AE703-1),$AH$6:$AH$1505,0)),""))</f>
        <v/>
      </c>
      <c r="AJ703" s="32">
        <f>IF(OR($AI703="",$AC703=""),"",IF($AI703=$AC703,"ללא שינוי","מ-"&amp;$AI703&amp;" ל-"&amp;$AC703))</f>
        <v/>
      </c>
      <c r="AK703" s="67" t="n"/>
    </row>
    <row r="704" ht="15.75" customHeight="1" s="58">
      <c r="A704" s="65" t="n"/>
      <c r="B704" s="65" t="n"/>
      <c r="C704" s="66" t="n"/>
      <c r="D704" s="66" t="n"/>
      <c r="E704" s="65" t="n"/>
      <c r="F704" s="65" t="n"/>
      <c r="G704" s="65" t="n"/>
      <c r="H704" s="65" t="n"/>
      <c r="I704" s="65" t="n"/>
      <c r="J704" s="65" t="n"/>
      <c r="K704" s="65" t="n"/>
      <c r="L704" s="65" t="n"/>
      <c r="M704" s="65" t="n"/>
      <c r="N704" s="65" t="n"/>
      <c r="O704" s="65" t="n"/>
      <c r="P704" s="65" t="n"/>
      <c r="Q704" s="65" t="n"/>
      <c r="R704" s="65" t="n"/>
      <c r="S704" s="65" t="n"/>
      <c r="T704" s="65" t="n"/>
      <c r="U704" s="65" t="n"/>
      <c r="V704" s="65" t="n"/>
      <c r="W704" s="65" t="n"/>
      <c r="X704" s="65" t="n"/>
      <c r="Y704" s="32">
        <f>IF($C704="","",IF(COUNTA($I704:$K704)&lt;3,"— חסרים נתונים",IF(AND($I704="תקין",$J704="תקין",$K704="תקין"),"רהוטה",IF(AND($I704="תקין",$J704="תקין"),"מדויקת ורציפה","אינה מדויקת או מקוטעת"))))</f>
        <v/>
      </c>
      <c r="Z704" s="32">
        <f>IF($C704="","",IF(COUNTA($U704:$W704)&lt;3,"",IF(AND($U704="מפותח",$V704="מפותח",$W704="מפותחת"),"מפותחת",IF((--($U704="דל"))+(--($V704="אינו מפותח"))+(--($W704="דלה"))&gt;=2,"אינה מפותחת","חלקית"))))</f>
        <v/>
      </c>
      <c r="AA704" s="32">
        <f>IF($C704="","",IF(COUNTA($M704,$N704,$O704)&lt;3,"— חסרים נתונים",IF(OR($M704="נמוכה",(--($M704&lt;&gt;"תקינה"))+(--($N704&lt;&gt;"תקין"))+(--($O704&lt;&gt;"תקינה"))&gt;=2),"ניכרת","אינה ניכרת")))</f>
        <v/>
      </c>
      <c r="AB704" s="32">
        <f>IF(OR($C704="",$Y704="",$AA704="",LEFT($Y704,1)="—",LEFT($AA704,1)="—"),"",IF($Z704="","— נדרשת הערכת כתיבה",IF($L704="","— חסרה הבנת הנקרא",IF($Y704="אינה מדויקת או מקוטעת",IF($AA704="ניכרת","מיקוד בשטף הקריאה ובכישורי שפה","מיקוד בשטף קריאה"),IF($AA704="ניכרת","מיקוד בכישורי שפה",IF(AND($L704="תקינה",$Z704="מפותחת"),"קוראים וכותבים מיומנים","מיקוד בהבנה והבעה"))))))</f>
        <v/>
      </c>
      <c r="AC704" s="32">
        <f>IF(OR($AB704="",LEFT($AB704,1)="—"),"",IF(OR($AB704="מיקוד בשטף קריאה",$AB704="מיקוד בשטף הקריאה ובכישורי שפה"),"רמה א'",IF($AB704="קוראים וכותבים מיומנים","רמה ג'","רמה ב'")))</f>
        <v/>
      </c>
      <c r="AD704" s="32">
        <f>IF($AC704="","",MID(IF(AND($AC704="רמה א'",$AA704="ניכרת"),"; להוסיף עבודת אוצר מילים","")&amp;IF($Z704="אינה מפותחת","; דגש על הבעה בכתב","")&amp;IF($K704&lt;&gt;"תקין","; נדרש לעבוד על ההנגנה","")&amp;IF($AK704&lt;&gt;"","; "&amp;$AK704,""),3,400))</f>
        <v/>
      </c>
      <c r="AE704" s="32">
        <f>IF($F704="","",IF($F704="תחילת שנה",1,IF($F704="מחצית שנה",2,3)))</f>
        <v/>
      </c>
      <c r="AF704" s="32">
        <f>IF(OR($B704="",$AC704="",$A704="",$F704=""),"",$B704&amp;"|"&amp;$A704&amp;"|"&amp;$F704&amp;"|"&amp;$AC704&amp;"|"&amp;COUNTIFS($B$6:$B704,$B704,$A$6:$A704,$A704,$F$6:$F704,$F704,$AC$6:$AC704,$AC704))</f>
        <v/>
      </c>
      <c r="AG704" s="32">
        <f>IF($C704="","",$C704&amp;"|"&amp;COUNTIFS($C$6:$C704,$C704))</f>
        <v/>
      </c>
      <c r="AH704" s="32">
        <f>IF(OR($C704="",$A704="",$AE704=""),"",$C704&amp;"|"&amp;$A704&amp;"|"&amp;$AE704)</f>
        <v/>
      </c>
      <c r="AI704" s="32">
        <f>IF(OR($C704="",$AE704="",$AE704=1),"",IFERROR(INDEX($AC$6:$AC$1505,MATCH($C704&amp;"|"&amp;$A704&amp;"|"&amp;($AE704-1),$AH$6:$AH$1505,0)),""))</f>
        <v/>
      </c>
      <c r="AJ704" s="32">
        <f>IF(OR($AI704="",$AC704=""),"",IF($AI704=$AC704,"ללא שינוי","מ-"&amp;$AI704&amp;" ל-"&amp;$AC704))</f>
        <v/>
      </c>
      <c r="AK704" s="67" t="n"/>
    </row>
    <row r="705" ht="15.75" customHeight="1" s="58">
      <c r="A705" s="65" t="n"/>
      <c r="B705" s="65" t="n"/>
      <c r="C705" s="66" t="n"/>
      <c r="D705" s="66" t="n"/>
      <c r="E705" s="65" t="n"/>
      <c r="F705" s="65" t="n"/>
      <c r="G705" s="65" t="n"/>
      <c r="H705" s="65" t="n"/>
      <c r="I705" s="65" t="n"/>
      <c r="J705" s="65" t="n"/>
      <c r="K705" s="65" t="n"/>
      <c r="L705" s="65" t="n"/>
      <c r="M705" s="65" t="n"/>
      <c r="N705" s="65" t="n"/>
      <c r="O705" s="65" t="n"/>
      <c r="P705" s="65" t="n"/>
      <c r="Q705" s="65" t="n"/>
      <c r="R705" s="65" t="n"/>
      <c r="S705" s="65" t="n"/>
      <c r="T705" s="65" t="n"/>
      <c r="U705" s="65" t="n"/>
      <c r="V705" s="65" t="n"/>
      <c r="W705" s="65" t="n"/>
      <c r="X705" s="65" t="n"/>
      <c r="Y705" s="32">
        <f>IF($C705="","",IF(COUNTA($I705:$K705)&lt;3,"— חסרים נתונים",IF(AND($I705="תקין",$J705="תקין",$K705="תקין"),"רהוטה",IF(AND($I705="תקין",$J705="תקין"),"מדויקת ורציפה","אינה מדויקת או מקוטעת"))))</f>
        <v/>
      </c>
      <c r="Z705" s="32">
        <f>IF($C705="","",IF(COUNTA($U705:$W705)&lt;3,"",IF(AND($U705="מפותח",$V705="מפותח",$W705="מפותחת"),"מפותחת",IF((--($U705="דל"))+(--($V705="אינו מפותח"))+(--($W705="דלה"))&gt;=2,"אינה מפותחת","חלקית"))))</f>
        <v/>
      </c>
      <c r="AA705" s="32">
        <f>IF($C705="","",IF(COUNTA($M705,$N705,$O705)&lt;3,"— חסרים נתונים",IF(OR($M705="נמוכה",(--($M705&lt;&gt;"תקינה"))+(--($N705&lt;&gt;"תקין"))+(--($O705&lt;&gt;"תקינה"))&gt;=2),"ניכרת","אינה ניכרת")))</f>
        <v/>
      </c>
      <c r="AB705" s="32">
        <f>IF(OR($C705="",$Y705="",$AA705="",LEFT($Y705,1)="—",LEFT($AA705,1)="—"),"",IF($Z705="","— נדרשת הערכת כתיבה",IF($L705="","— חסרה הבנת הנקרא",IF($Y705="אינה מדויקת או מקוטעת",IF($AA705="ניכרת","מיקוד בשטף הקריאה ובכישורי שפה","מיקוד בשטף קריאה"),IF($AA705="ניכרת","מיקוד בכישורי שפה",IF(AND($L705="תקינה",$Z705="מפותחת"),"קוראים וכותבים מיומנים","מיקוד בהבנה והבעה"))))))</f>
        <v/>
      </c>
      <c r="AC705" s="32">
        <f>IF(OR($AB705="",LEFT($AB705,1)="—"),"",IF(OR($AB705="מיקוד בשטף קריאה",$AB705="מיקוד בשטף הקריאה ובכישורי שפה"),"רמה א'",IF($AB705="קוראים וכותבים מיומנים","רמה ג'","רמה ב'")))</f>
        <v/>
      </c>
      <c r="AD705" s="32">
        <f>IF($AC705="","",MID(IF(AND($AC705="רמה א'",$AA705="ניכרת"),"; להוסיף עבודת אוצר מילים","")&amp;IF($Z705="אינה מפותחת","; דגש על הבעה בכתב","")&amp;IF($K705&lt;&gt;"תקין","; נדרש לעבוד על ההנגנה","")&amp;IF($AK705&lt;&gt;"","; "&amp;$AK705,""),3,400))</f>
        <v/>
      </c>
      <c r="AE705" s="32">
        <f>IF($F705="","",IF($F705="תחילת שנה",1,IF($F705="מחצית שנה",2,3)))</f>
        <v/>
      </c>
      <c r="AF705" s="32">
        <f>IF(OR($B705="",$AC705="",$A705="",$F705=""),"",$B705&amp;"|"&amp;$A705&amp;"|"&amp;$F705&amp;"|"&amp;$AC705&amp;"|"&amp;COUNTIFS($B$6:$B705,$B705,$A$6:$A705,$A705,$F$6:$F705,$F705,$AC$6:$AC705,$AC705))</f>
        <v/>
      </c>
      <c r="AG705" s="32">
        <f>IF($C705="","",$C705&amp;"|"&amp;COUNTIFS($C$6:$C705,$C705))</f>
        <v/>
      </c>
      <c r="AH705" s="32">
        <f>IF(OR($C705="",$A705="",$AE705=""),"",$C705&amp;"|"&amp;$A705&amp;"|"&amp;$AE705)</f>
        <v/>
      </c>
      <c r="AI705" s="32">
        <f>IF(OR($C705="",$AE705="",$AE705=1),"",IFERROR(INDEX($AC$6:$AC$1505,MATCH($C705&amp;"|"&amp;$A705&amp;"|"&amp;($AE705-1),$AH$6:$AH$1505,0)),""))</f>
        <v/>
      </c>
      <c r="AJ705" s="32">
        <f>IF(OR($AI705="",$AC705=""),"",IF($AI705=$AC705,"ללא שינוי","מ-"&amp;$AI705&amp;" ל-"&amp;$AC705))</f>
        <v/>
      </c>
      <c r="AK705" s="67" t="n"/>
    </row>
    <row r="706" ht="15.75" customHeight="1" s="58">
      <c r="A706" s="65" t="n"/>
      <c r="B706" s="65" t="n"/>
      <c r="C706" s="66" t="n"/>
      <c r="D706" s="66" t="n"/>
      <c r="E706" s="65" t="n"/>
      <c r="F706" s="65" t="n"/>
      <c r="G706" s="65" t="n"/>
      <c r="H706" s="65" t="n"/>
      <c r="I706" s="65" t="n"/>
      <c r="J706" s="65" t="n"/>
      <c r="K706" s="65" t="n"/>
      <c r="L706" s="65" t="n"/>
      <c r="M706" s="65" t="n"/>
      <c r="N706" s="65" t="n"/>
      <c r="O706" s="65" t="n"/>
      <c r="P706" s="65" t="n"/>
      <c r="Q706" s="65" t="n"/>
      <c r="R706" s="65" t="n"/>
      <c r="S706" s="65" t="n"/>
      <c r="T706" s="65" t="n"/>
      <c r="U706" s="65" t="n"/>
      <c r="V706" s="65" t="n"/>
      <c r="W706" s="65" t="n"/>
      <c r="X706" s="65" t="n"/>
      <c r="Y706" s="32">
        <f>IF($C706="","",IF(COUNTA($I706:$K706)&lt;3,"— חסרים נתונים",IF(AND($I706="תקין",$J706="תקין",$K706="תקין"),"רהוטה",IF(AND($I706="תקין",$J706="תקין"),"מדויקת ורציפה","אינה מדויקת או מקוטעת"))))</f>
        <v/>
      </c>
      <c r="Z706" s="32">
        <f>IF($C706="","",IF(COUNTA($U706:$W706)&lt;3,"",IF(AND($U706="מפותח",$V706="מפותח",$W706="מפותחת"),"מפותחת",IF((--($U706="דל"))+(--($V706="אינו מפותח"))+(--($W706="דלה"))&gt;=2,"אינה מפותחת","חלקית"))))</f>
        <v/>
      </c>
      <c r="AA706" s="32">
        <f>IF($C706="","",IF(COUNTA($M706,$N706,$O706)&lt;3,"— חסרים נתונים",IF(OR($M706="נמוכה",(--($M706&lt;&gt;"תקינה"))+(--($N706&lt;&gt;"תקין"))+(--($O706&lt;&gt;"תקינה"))&gt;=2),"ניכרת","אינה ניכרת")))</f>
        <v/>
      </c>
      <c r="AB706" s="32">
        <f>IF(OR($C706="",$Y706="",$AA706="",LEFT($Y706,1)="—",LEFT($AA706,1)="—"),"",IF($Z706="","— נדרשת הערכת כתיבה",IF($L706="","— חסרה הבנת הנקרא",IF($Y706="אינה מדויקת או מקוטעת",IF($AA706="ניכרת","מיקוד בשטף הקריאה ובכישורי שפה","מיקוד בשטף קריאה"),IF($AA706="ניכרת","מיקוד בכישורי שפה",IF(AND($L706="תקינה",$Z706="מפותחת"),"קוראים וכותבים מיומנים","מיקוד בהבנה והבעה"))))))</f>
        <v/>
      </c>
      <c r="AC706" s="32">
        <f>IF(OR($AB706="",LEFT($AB706,1)="—"),"",IF(OR($AB706="מיקוד בשטף קריאה",$AB706="מיקוד בשטף הקריאה ובכישורי שפה"),"רמה א'",IF($AB706="קוראים וכותבים מיומנים","רמה ג'","רמה ב'")))</f>
        <v/>
      </c>
      <c r="AD706" s="32">
        <f>IF($AC706="","",MID(IF(AND($AC706="רמה א'",$AA706="ניכרת"),"; להוסיף עבודת אוצר מילים","")&amp;IF($Z706="אינה מפותחת","; דגש על הבעה בכתב","")&amp;IF($K706&lt;&gt;"תקין","; נדרש לעבוד על ההנגנה","")&amp;IF($AK706&lt;&gt;"","; "&amp;$AK706,""),3,400))</f>
        <v/>
      </c>
      <c r="AE706" s="32">
        <f>IF($F706="","",IF($F706="תחילת שנה",1,IF($F706="מחצית שנה",2,3)))</f>
        <v/>
      </c>
      <c r="AF706" s="32">
        <f>IF(OR($B706="",$AC706="",$A706="",$F706=""),"",$B706&amp;"|"&amp;$A706&amp;"|"&amp;$F706&amp;"|"&amp;$AC706&amp;"|"&amp;COUNTIFS($B$6:$B706,$B706,$A$6:$A706,$A706,$F$6:$F706,$F706,$AC$6:$AC706,$AC706))</f>
        <v/>
      </c>
      <c r="AG706" s="32">
        <f>IF($C706="","",$C706&amp;"|"&amp;COUNTIFS($C$6:$C706,$C706))</f>
        <v/>
      </c>
      <c r="AH706" s="32">
        <f>IF(OR($C706="",$A706="",$AE706=""),"",$C706&amp;"|"&amp;$A706&amp;"|"&amp;$AE706)</f>
        <v/>
      </c>
      <c r="AI706" s="32">
        <f>IF(OR($C706="",$AE706="",$AE706=1),"",IFERROR(INDEX($AC$6:$AC$1505,MATCH($C706&amp;"|"&amp;$A706&amp;"|"&amp;($AE706-1),$AH$6:$AH$1505,0)),""))</f>
        <v/>
      </c>
      <c r="AJ706" s="32">
        <f>IF(OR($AI706="",$AC706=""),"",IF($AI706=$AC706,"ללא שינוי","מ-"&amp;$AI706&amp;" ל-"&amp;$AC706))</f>
        <v/>
      </c>
      <c r="AK706" s="67" t="n"/>
    </row>
    <row r="707" ht="15.75" customHeight="1" s="58">
      <c r="A707" s="65" t="n"/>
      <c r="B707" s="65" t="n"/>
      <c r="C707" s="66" t="n"/>
      <c r="D707" s="66" t="n"/>
      <c r="E707" s="65" t="n"/>
      <c r="F707" s="65" t="n"/>
      <c r="G707" s="65" t="n"/>
      <c r="H707" s="65" t="n"/>
      <c r="I707" s="65" t="n"/>
      <c r="J707" s="65" t="n"/>
      <c r="K707" s="65" t="n"/>
      <c r="L707" s="65" t="n"/>
      <c r="M707" s="65" t="n"/>
      <c r="N707" s="65" t="n"/>
      <c r="O707" s="65" t="n"/>
      <c r="P707" s="65" t="n"/>
      <c r="Q707" s="65" t="n"/>
      <c r="R707" s="65" t="n"/>
      <c r="S707" s="65" t="n"/>
      <c r="T707" s="65" t="n"/>
      <c r="U707" s="65" t="n"/>
      <c r="V707" s="65" t="n"/>
      <c r="W707" s="65" t="n"/>
      <c r="X707" s="65" t="n"/>
      <c r="Y707" s="32">
        <f>IF($C707="","",IF(COUNTA($I707:$K707)&lt;3,"— חסרים נתונים",IF(AND($I707="תקין",$J707="תקין",$K707="תקין"),"רהוטה",IF(AND($I707="תקין",$J707="תקין"),"מדויקת ורציפה","אינה מדויקת או מקוטעת"))))</f>
        <v/>
      </c>
      <c r="Z707" s="32">
        <f>IF($C707="","",IF(COUNTA($U707:$W707)&lt;3,"",IF(AND($U707="מפותח",$V707="מפותח",$W707="מפותחת"),"מפותחת",IF((--($U707="דל"))+(--($V707="אינו מפותח"))+(--($W707="דלה"))&gt;=2,"אינה מפותחת","חלקית"))))</f>
        <v/>
      </c>
      <c r="AA707" s="32">
        <f>IF($C707="","",IF(COUNTA($M707,$N707,$O707)&lt;3,"— חסרים נתונים",IF(OR($M707="נמוכה",(--($M707&lt;&gt;"תקינה"))+(--($N707&lt;&gt;"תקין"))+(--($O707&lt;&gt;"תקינה"))&gt;=2),"ניכרת","אינה ניכרת")))</f>
        <v/>
      </c>
      <c r="AB707" s="32">
        <f>IF(OR($C707="",$Y707="",$AA707="",LEFT($Y707,1)="—",LEFT($AA707,1)="—"),"",IF($Z707="","— נדרשת הערכת כתיבה",IF($L707="","— חסרה הבנת הנקרא",IF($Y707="אינה מדויקת או מקוטעת",IF($AA707="ניכרת","מיקוד בשטף הקריאה ובכישורי שפה","מיקוד בשטף קריאה"),IF($AA707="ניכרת","מיקוד בכישורי שפה",IF(AND($L707="תקינה",$Z707="מפותחת"),"קוראים וכותבים מיומנים","מיקוד בהבנה והבעה"))))))</f>
        <v/>
      </c>
      <c r="AC707" s="32">
        <f>IF(OR($AB707="",LEFT($AB707,1)="—"),"",IF(OR($AB707="מיקוד בשטף קריאה",$AB707="מיקוד בשטף הקריאה ובכישורי שפה"),"רמה א'",IF($AB707="קוראים וכותבים מיומנים","רמה ג'","רמה ב'")))</f>
        <v/>
      </c>
      <c r="AD707" s="32">
        <f>IF($AC707="","",MID(IF(AND($AC707="רמה א'",$AA707="ניכרת"),"; להוסיף עבודת אוצר מילים","")&amp;IF($Z707="אינה מפותחת","; דגש על הבעה בכתב","")&amp;IF($K707&lt;&gt;"תקין","; נדרש לעבוד על ההנגנה","")&amp;IF($AK707&lt;&gt;"","; "&amp;$AK707,""),3,400))</f>
        <v/>
      </c>
      <c r="AE707" s="32">
        <f>IF($F707="","",IF($F707="תחילת שנה",1,IF($F707="מחצית שנה",2,3)))</f>
        <v/>
      </c>
      <c r="AF707" s="32">
        <f>IF(OR($B707="",$AC707="",$A707="",$F707=""),"",$B707&amp;"|"&amp;$A707&amp;"|"&amp;$F707&amp;"|"&amp;$AC707&amp;"|"&amp;COUNTIFS($B$6:$B707,$B707,$A$6:$A707,$A707,$F$6:$F707,$F707,$AC$6:$AC707,$AC707))</f>
        <v/>
      </c>
      <c r="AG707" s="32">
        <f>IF($C707="","",$C707&amp;"|"&amp;COUNTIFS($C$6:$C707,$C707))</f>
        <v/>
      </c>
      <c r="AH707" s="32">
        <f>IF(OR($C707="",$A707="",$AE707=""),"",$C707&amp;"|"&amp;$A707&amp;"|"&amp;$AE707)</f>
        <v/>
      </c>
      <c r="AI707" s="32">
        <f>IF(OR($C707="",$AE707="",$AE707=1),"",IFERROR(INDEX($AC$6:$AC$1505,MATCH($C707&amp;"|"&amp;$A707&amp;"|"&amp;($AE707-1),$AH$6:$AH$1505,0)),""))</f>
        <v/>
      </c>
      <c r="AJ707" s="32">
        <f>IF(OR($AI707="",$AC707=""),"",IF($AI707=$AC707,"ללא שינוי","מ-"&amp;$AI707&amp;" ל-"&amp;$AC707))</f>
        <v/>
      </c>
      <c r="AK707" s="67" t="n"/>
    </row>
    <row r="708" ht="15.75" customHeight="1" s="58">
      <c r="A708" s="65" t="n"/>
      <c r="B708" s="65" t="n"/>
      <c r="C708" s="66" t="n"/>
      <c r="D708" s="66" t="n"/>
      <c r="E708" s="65" t="n"/>
      <c r="F708" s="65" t="n"/>
      <c r="G708" s="65" t="n"/>
      <c r="H708" s="65" t="n"/>
      <c r="I708" s="65" t="n"/>
      <c r="J708" s="65" t="n"/>
      <c r="K708" s="65" t="n"/>
      <c r="L708" s="65" t="n"/>
      <c r="M708" s="65" t="n"/>
      <c r="N708" s="65" t="n"/>
      <c r="O708" s="65" t="n"/>
      <c r="P708" s="65" t="n"/>
      <c r="Q708" s="65" t="n"/>
      <c r="R708" s="65" t="n"/>
      <c r="S708" s="65" t="n"/>
      <c r="T708" s="65" t="n"/>
      <c r="U708" s="65" t="n"/>
      <c r="V708" s="65" t="n"/>
      <c r="W708" s="65" t="n"/>
      <c r="X708" s="65" t="n"/>
      <c r="Y708" s="32">
        <f>IF($C708="","",IF(COUNTA($I708:$K708)&lt;3,"— חסרים נתונים",IF(AND($I708="תקין",$J708="תקין",$K708="תקין"),"רהוטה",IF(AND($I708="תקין",$J708="תקין"),"מדויקת ורציפה","אינה מדויקת או מקוטעת"))))</f>
        <v/>
      </c>
      <c r="Z708" s="32">
        <f>IF($C708="","",IF(COUNTA($U708:$W708)&lt;3,"",IF(AND($U708="מפותח",$V708="מפותח",$W708="מפותחת"),"מפותחת",IF((--($U708="דל"))+(--($V708="אינו מפותח"))+(--($W708="דלה"))&gt;=2,"אינה מפותחת","חלקית"))))</f>
        <v/>
      </c>
      <c r="AA708" s="32">
        <f>IF($C708="","",IF(COUNTA($M708,$N708,$O708)&lt;3,"— חסרים נתונים",IF(OR($M708="נמוכה",(--($M708&lt;&gt;"תקינה"))+(--($N708&lt;&gt;"תקין"))+(--($O708&lt;&gt;"תקינה"))&gt;=2),"ניכרת","אינה ניכרת")))</f>
        <v/>
      </c>
      <c r="AB708" s="32">
        <f>IF(OR($C708="",$Y708="",$AA708="",LEFT($Y708,1)="—",LEFT($AA708,1)="—"),"",IF($Z708="","— נדרשת הערכת כתיבה",IF($L708="","— חסרה הבנת הנקרא",IF($Y708="אינה מדויקת או מקוטעת",IF($AA708="ניכרת","מיקוד בשטף הקריאה ובכישורי שפה","מיקוד בשטף קריאה"),IF($AA708="ניכרת","מיקוד בכישורי שפה",IF(AND($L708="תקינה",$Z708="מפותחת"),"קוראים וכותבים מיומנים","מיקוד בהבנה והבעה"))))))</f>
        <v/>
      </c>
      <c r="AC708" s="32">
        <f>IF(OR($AB708="",LEFT($AB708,1)="—"),"",IF(OR($AB708="מיקוד בשטף קריאה",$AB708="מיקוד בשטף הקריאה ובכישורי שפה"),"רמה א'",IF($AB708="קוראים וכותבים מיומנים","רמה ג'","רמה ב'")))</f>
        <v/>
      </c>
      <c r="AD708" s="32">
        <f>IF($AC708="","",MID(IF(AND($AC708="רמה א'",$AA708="ניכרת"),"; להוסיף עבודת אוצר מילים","")&amp;IF($Z708="אינה מפותחת","; דגש על הבעה בכתב","")&amp;IF($K708&lt;&gt;"תקין","; נדרש לעבוד על ההנגנה","")&amp;IF($AK708&lt;&gt;"","; "&amp;$AK708,""),3,400))</f>
        <v/>
      </c>
      <c r="AE708" s="32">
        <f>IF($F708="","",IF($F708="תחילת שנה",1,IF($F708="מחצית שנה",2,3)))</f>
        <v/>
      </c>
      <c r="AF708" s="32">
        <f>IF(OR($B708="",$AC708="",$A708="",$F708=""),"",$B708&amp;"|"&amp;$A708&amp;"|"&amp;$F708&amp;"|"&amp;$AC708&amp;"|"&amp;COUNTIFS($B$6:$B708,$B708,$A$6:$A708,$A708,$F$6:$F708,$F708,$AC$6:$AC708,$AC708))</f>
        <v/>
      </c>
      <c r="AG708" s="32">
        <f>IF($C708="","",$C708&amp;"|"&amp;COUNTIFS($C$6:$C708,$C708))</f>
        <v/>
      </c>
      <c r="AH708" s="32">
        <f>IF(OR($C708="",$A708="",$AE708=""),"",$C708&amp;"|"&amp;$A708&amp;"|"&amp;$AE708)</f>
        <v/>
      </c>
      <c r="AI708" s="32">
        <f>IF(OR($C708="",$AE708="",$AE708=1),"",IFERROR(INDEX($AC$6:$AC$1505,MATCH($C708&amp;"|"&amp;$A708&amp;"|"&amp;($AE708-1),$AH$6:$AH$1505,0)),""))</f>
        <v/>
      </c>
      <c r="AJ708" s="32">
        <f>IF(OR($AI708="",$AC708=""),"",IF($AI708=$AC708,"ללא שינוי","מ-"&amp;$AI708&amp;" ל-"&amp;$AC708))</f>
        <v/>
      </c>
      <c r="AK708" s="67" t="n"/>
    </row>
    <row r="709" ht="15.75" customHeight="1" s="58">
      <c r="A709" s="65" t="n"/>
      <c r="B709" s="65" t="n"/>
      <c r="C709" s="66" t="n"/>
      <c r="D709" s="66" t="n"/>
      <c r="E709" s="65" t="n"/>
      <c r="F709" s="65" t="n"/>
      <c r="G709" s="65" t="n"/>
      <c r="H709" s="65" t="n"/>
      <c r="I709" s="65" t="n"/>
      <c r="J709" s="65" t="n"/>
      <c r="K709" s="65" t="n"/>
      <c r="L709" s="65" t="n"/>
      <c r="M709" s="65" t="n"/>
      <c r="N709" s="65" t="n"/>
      <c r="O709" s="65" t="n"/>
      <c r="P709" s="65" t="n"/>
      <c r="Q709" s="65" t="n"/>
      <c r="R709" s="65" t="n"/>
      <c r="S709" s="65" t="n"/>
      <c r="T709" s="65" t="n"/>
      <c r="U709" s="65" t="n"/>
      <c r="V709" s="65" t="n"/>
      <c r="W709" s="65" t="n"/>
      <c r="X709" s="65" t="n"/>
      <c r="Y709" s="32">
        <f>IF($C709="","",IF(COUNTA($I709:$K709)&lt;3,"— חסרים נתונים",IF(AND($I709="תקין",$J709="תקין",$K709="תקין"),"רהוטה",IF(AND($I709="תקין",$J709="תקין"),"מדויקת ורציפה","אינה מדויקת או מקוטעת"))))</f>
        <v/>
      </c>
      <c r="Z709" s="32">
        <f>IF($C709="","",IF(COUNTA($U709:$W709)&lt;3,"",IF(AND($U709="מפותח",$V709="מפותח",$W709="מפותחת"),"מפותחת",IF((--($U709="דל"))+(--($V709="אינו מפותח"))+(--($W709="דלה"))&gt;=2,"אינה מפותחת","חלקית"))))</f>
        <v/>
      </c>
      <c r="AA709" s="32">
        <f>IF($C709="","",IF(COUNTA($M709,$N709,$O709)&lt;3,"— חסרים נתונים",IF(OR($M709="נמוכה",(--($M709&lt;&gt;"תקינה"))+(--($N709&lt;&gt;"תקין"))+(--($O709&lt;&gt;"תקינה"))&gt;=2),"ניכרת","אינה ניכרת")))</f>
        <v/>
      </c>
      <c r="AB709" s="32">
        <f>IF(OR($C709="",$Y709="",$AA709="",LEFT($Y709,1)="—",LEFT($AA709,1)="—"),"",IF($Z709="","— נדרשת הערכת כתיבה",IF($L709="","— חסרה הבנת הנקרא",IF($Y709="אינה מדויקת או מקוטעת",IF($AA709="ניכרת","מיקוד בשטף הקריאה ובכישורי שפה","מיקוד בשטף קריאה"),IF($AA709="ניכרת","מיקוד בכישורי שפה",IF(AND($L709="תקינה",$Z709="מפותחת"),"קוראים וכותבים מיומנים","מיקוד בהבנה והבעה"))))))</f>
        <v/>
      </c>
      <c r="AC709" s="32">
        <f>IF(OR($AB709="",LEFT($AB709,1)="—"),"",IF(OR($AB709="מיקוד בשטף קריאה",$AB709="מיקוד בשטף הקריאה ובכישורי שפה"),"רמה א'",IF($AB709="קוראים וכותבים מיומנים","רמה ג'","רמה ב'")))</f>
        <v/>
      </c>
      <c r="AD709" s="32">
        <f>IF($AC709="","",MID(IF(AND($AC709="רמה א'",$AA709="ניכרת"),"; להוסיף עבודת אוצר מילים","")&amp;IF($Z709="אינה מפותחת","; דגש על הבעה בכתב","")&amp;IF($K709&lt;&gt;"תקין","; נדרש לעבוד על ההנגנה","")&amp;IF($AK709&lt;&gt;"","; "&amp;$AK709,""),3,400))</f>
        <v/>
      </c>
      <c r="AE709" s="32">
        <f>IF($F709="","",IF($F709="תחילת שנה",1,IF($F709="מחצית שנה",2,3)))</f>
        <v/>
      </c>
      <c r="AF709" s="32">
        <f>IF(OR($B709="",$AC709="",$A709="",$F709=""),"",$B709&amp;"|"&amp;$A709&amp;"|"&amp;$F709&amp;"|"&amp;$AC709&amp;"|"&amp;COUNTIFS($B$6:$B709,$B709,$A$6:$A709,$A709,$F$6:$F709,$F709,$AC$6:$AC709,$AC709))</f>
        <v/>
      </c>
      <c r="AG709" s="32">
        <f>IF($C709="","",$C709&amp;"|"&amp;COUNTIFS($C$6:$C709,$C709))</f>
        <v/>
      </c>
      <c r="AH709" s="32">
        <f>IF(OR($C709="",$A709="",$AE709=""),"",$C709&amp;"|"&amp;$A709&amp;"|"&amp;$AE709)</f>
        <v/>
      </c>
      <c r="AI709" s="32">
        <f>IF(OR($C709="",$AE709="",$AE709=1),"",IFERROR(INDEX($AC$6:$AC$1505,MATCH($C709&amp;"|"&amp;$A709&amp;"|"&amp;($AE709-1),$AH$6:$AH$1505,0)),""))</f>
        <v/>
      </c>
      <c r="AJ709" s="32">
        <f>IF(OR($AI709="",$AC709=""),"",IF($AI709=$AC709,"ללא שינוי","מ-"&amp;$AI709&amp;" ל-"&amp;$AC709))</f>
        <v/>
      </c>
      <c r="AK709" s="67" t="n"/>
    </row>
    <row r="710" ht="15.75" customHeight="1" s="58">
      <c r="A710" s="65" t="n"/>
      <c r="B710" s="65" t="n"/>
      <c r="C710" s="66" t="n"/>
      <c r="D710" s="66" t="n"/>
      <c r="E710" s="65" t="n"/>
      <c r="F710" s="65" t="n"/>
      <c r="G710" s="65" t="n"/>
      <c r="H710" s="65" t="n"/>
      <c r="I710" s="65" t="n"/>
      <c r="J710" s="65" t="n"/>
      <c r="K710" s="65" t="n"/>
      <c r="L710" s="65" t="n"/>
      <c r="M710" s="65" t="n"/>
      <c r="N710" s="65" t="n"/>
      <c r="O710" s="65" t="n"/>
      <c r="P710" s="65" t="n"/>
      <c r="Q710" s="65" t="n"/>
      <c r="R710" s="65" t="n"/>
      <c r="S710" s="65" t="n"/>
      <c r="T710" s="65" t="n"/>
      <c r="U710" s="65" t="n"/>
      <c r="V710" s="65" t="n"/>
      <c r="W710" s="65" t="n"/>
      <c r="X710" s="65" t="n"/>
      <c r="Y710" s="32">
        <f>IF($C710="","",IF(COUNTA($I710:$K710)&lt;3,"— חסרים נתונים",IF(AND($I710="תקין",$J710="תקין",$K710="תקין"),"רהוטה",IF(AND($I710="תקין",$J710="תקין"),"מדויקת ורציפה","אינה מדויקת או מקוטעת"))))</f>
        <v/>
      </c>
      <c r="Z710" s="32">
        <f>IF($C710="","",IF(COUNTA($U710:$W710)&lt;3,"",IF(AND($U710="מפותח",$V710="מפותח",$W710="מפותחת"),"מפותחת",IF((--($U710="דל"))+(--($V710="אינו מפותח"))+(--($W710="דלה"))&gt;=2,"אינה מפותחת","חלקית"))))</f>
        <v/>
      </c>
      <c r="AA710" s="32">
        <f>IF($C710="","",IF(COUNTA($M710,$N710,$O710)&lt;3,"— חסרים נתונים",IF(OR($M710="נמוכה",(--($M710&lt;&gt;"תקינה"))+(--($N710&lt;&gt;"תקין"))+(--($O710&lt;&gt;"תקינה"))&gt;=2),"ניכרת","אינה ניכרת")))</f>
        <v/>
      </c>
      <c r="AB710" s="32">
        <f>IF(OR($C710="",$Y710="",$AA710="",LEFT($Y710,1)="—",LEFT($AA710,1)="—"),"",IF($Z710="","— נדרשת הערכת כתיבה",IF($L710="","— חסרה הבנת הנקרא",IF($Y710="אינה מדויקת או מקוטעת",IF($AA710="ניכרת","מיקוד בשטף הקריאה ובכישורי שפה","מיקוד בשטף קריאה"),IF($AA710="ניכרת","מיקוד בכישורי שפה",IF(AND($L710="תקינה",$Z710="מפותחת"),"קוראים וכותבים מיומנים","מיקוד בהבנה והבעה"))))))</f>
        <v/>
      </c>
      <c r="AC710" s="32">
        <f>IF(OR($AB710="",LEFT($AB710,1)="—"),"",IF(OR($AB710="מיקוד בשטף קריאה",$AB710="מיקוד בשטף הקריאה ובכישורי שפה"),"רמה א'",IF($AB710="קוראים וכותבים מיומנים","רמה ג'","רמה ב'")))</f>
        <v/>
      </c>
      <c r="AD710" s="32">
        <f>IF($AC710="","",MID(IF(AND($AC710="רמה א'",$AA710="ניכרת"),"; להוסיף עבודת אוצר מילים","")&amp;IF($Z710="אינה מפותחת","; דגש על הבעה בכתב","")&amp;IF($K710&lt;&gt;"תקין","; נדרש לעבוד על ההנגנה","")&amp;IF($AK710&lt;&gt;"","; "&amp;$AK710,""),3,400))</f>
        <v/>
      </c>
      <c r="AE710" s="32">
        <f>IF($F710="","",IF($F710="תחילת שנה",1,IF($F710="מחצית שנה",2,3)))</f>
        <v/>
      </c>
      <c r="AF710" s="32">
        <f>IF(OR($B710="",$AC710="",$A710="",$F710=""),"",$B710&amp;"|"&amp;$A710&amp;"|"&amp;$F710&amp;"|"&amp;$AC710&amp;"|"&amp;COUNTIFS($B$6:$B710,$B710,$A$6:$A710,$A710,$F$6:$F710,$F710,$AC$6:$AC710,$AC710))</f>
        <v/>
      </c>
      <c r="AG710" s="32">
        <f>IF($C710="","",$C710&amp;"|"&amp;COUNTIFS($C$6:$C710,$C710))</f>
        <v/>
      </c>
      <c r="AH710" s="32">
        <f>IF(OR($C710="",$A710="",$AE710=""),"",$C710&amp;"|"&amp;$A710&amp;"|"&amp;$AE710)</f>
        <v/>
      </c>
      <c r="AI710" s="32">
        <f>IF(OR($C710="",$AE710="",$AE710=1),"",IFERROR(INDEX($AC$6:$AC$1505,MATCH($C710&amp;"|"&amp;$A710&amp;"|"&amp;($AE710-1),$AH$6:$AH$1505,0)),""))</f>
        <v/>
      </c>
      <c r="AJ710" s="32">
        <f>IF(OR($AI710="",$AC710=""),"",IF($AI710=$AC710,"ללא שינוי","מ-"&amp;$AI710&amp;" ל-"&amp;$AC710))</f>
        <v/>
      </c>
      <c r="AK710" s="67" t="n"/>
    </row>
    <row r="711" ht="15.75" customHeight="1" s="58">
      <c r="A711" s="65" t="n"/>
      <c r="B711" s="65" t="n"/>
      <c r="C711" s="66" t="n"/>
      <c r="D711" s="66" t="n"/>
      <c r="E711" s="65" t="n"/>
      <c r="F711" s="65" t="n"/>
      <c r="G711" s="65" t="n"/>
      <c r="H711" s="65" t="n"/>
      <c r="I711" s="65" t="n"/>
      <c r="J711" s="65" t="n"/>
      <c r="K711" s="65" t="n"/>
      <c r="L711" s="65" t="n"/>
      <c r="M711" s="65" t="n"/>
      <c r="N711" s="65" t="n"/>
      <c r="O711" s="65" t="n"/>
      <c r="P711" s="65" t="n"/>
      <c r="Q711" s="65" t="n"/>
      <c r="R711" s="65" t="n"/>
      <c r="S711" s="65" t="n"/>
      <c r="T711" s="65" t="n"/>
      <c r="U711" s="65" t="n"/>
      <c r="V711" s="65" t="n"/>
      <c r="W711" s="65" t="n"/>
      <c r="X711" s="65" t="n"/>
      <c r="Y711" s="32">
        <f>IF($C711="","",IF(COUNTA($I711:$K711)&lt;3,"— חסרים נתונים",IF(AND($I711="תקין",$J711="תקין",$K711="תקין"),"רהוטה",IF(AND($I711="תקין",$J711="תקין"),"מדויקת ורציפה","אינה מדויקת או מקוטעת"))))</f>
        <v/>
      </c>
      <c r="Z711" s="32">
        <f>IF($C711="","",IF(COUNTA($U711:$W711)&lt;3,"",IF(AND($U711="מפותח",$V711="מפותח",$W711="מפותחת"),"מפותחת",IF((--($U711="דל"))+(--($V711="אינו מפותח"))+(--($W711="דלה"))&gt;=2,"אינה מפותחת","חלקית"))))</f>
        <v/>
      </c>
      <c r="AA711" s="32">
        <f>IF($C711="","",IF(COUNTA($M711,$N711,$O711)&lt;3,"— חסרים נתונים",IF(OR($M711="נמוכה",(--($M711&lt;&gt;"תקינה"))+(--($N711&lt;&gt;"תקין"))+(--($O711&lt;&gt;"תקינה"))&gt;=2),"ניכרת","אינה ניכרת")))</f>
        <v/>
      </c>
      <c r="AB711" s="32">
        <f>IF(OR($C711="",$Y711="",$AA711="",LEFT($Y711,1)="—",LEFT($AA711,1)="—"),"",IF($Z711="","— נדרשת הערכת כתיבה",IF($L711="","— חסרה הבנת הנקרא",IF($Y711="אינה מדויקת או מקוטעת",IF($AA711="ניכרת","מיקוד בשטף הקריאה ובכישורי שפה","מיקוד בשטף קריאה"),IF($AA711="ניכרת","מיקוד בכישורי שפה",IF(AND($L711="תקינה",$Z711="מפותחת"),"קוראים וכותבים מיומנים","מיקוד בהבנה והבעה"))))))</f>
        <v/>
      </c>
      <c r="AC711" s="32">
        <f>IF(OR($AB711="",LEFT($AB711,1)="—"),"",IF(OR($AB711="מיקוד בשטף קריאה",$AB711="מיקוד בשטף הקריאה ובכישורי שפה"),"רמה א'",IF($AB711="קוראים וכותבים מיומנים","רמה ג'","רמה ב'")))</f>
        <v/>
      </c>
      <c r="AD711" s="32">
        <f>IF($AC711="","",MID(IF(AND($AC711="רמה א'",$AA711="ניכרת"),"; להוסיף עבודת אוצר מילים","")&amp;IF($Z711="אינה מפותחת","; דגש על הבעה בכתב","")&amp;IF($K711&lt;&gt;"תקין","; נדרש לעבוד על ההנגנה","")&amp;IF($AK711&lt;&gt;"","; "&amp;$AK711,""),3,400))</f>
        <v/>
      </c>
      <c r="AE711" s="32">
        <f>IF($F711="","",IF($F711="תחילת שנה",1,IF($F711="מחצית שנה",2,3)))</f>
        <v/>
      </c>
      <c r="AF711" s="32">
        <f>IF(OR($B711="",$AC711="",$A711="",$F711=""),"",$B711&amp;"|"&amp;$A711&amp;"|"&amp;$F711&amp;"|"&amp;$AC711&amp;"|"&amp;COUNTIFS($B$6:$B711,$B711,$A$6:$A711,$A711,$F$6:$F711,$F711,$AC$6:$AC711,$AC711))</f>
        <v/>
      </c>
      <c r="AG711" s="32">
        <f>IF($C711="","",$C711&amp;"|"&amp;COUNTIFS($C$6:$C711,$C711))</f>
        <v/>
      </c>
      <c r="AH711" s="32">
        <f>IF(OR($C711="",$A711="",$AE711=""),"",$C711&amp;"|"&amp;$A711&amp;"|"&amp;$AE711)</f>
        <v/>
      </c>
      <c r="AI711" s="32">
        <f>IF(OR($C711="",$AE711="",$AE711=1),"",IFERROR(INDEX($AC$6:$AC$1505,MATCH($C711&amp;"|"&amp;$A711&amp;"|"&amp;($AE711-1),$AH$6:$AH$1505,0)),""))</f>
        <v/>
      </c>
      <c r="AJ711" s="32">
        <f>IF(OR($AI711="",$AC711=""),"",IF($AI711=$AC711,"ללא שינוי","מ-"&amp;$AI711&amp;" ל-"&amp;$AC711))</f>
        <v/>
      </c>
      <c r="AK711" s="67" t="n"/>
    </row>
    <row r="712" ht="15.75" customHeight="1" s="58">
      <c r="A712" s="65" t="n"/>
      <c r="B712" s="65" t="n"/>
      <c r="C712" s="66" t="n"/>
      <c r="D712" s="66" t="n"/>
      <c r="E712" s="65" t="n"/>
      <c r="F712" s="65" t="n"/>
      <c r="G712" s="65" t="n"/>
      <c r="H712" s="65" t="n"/>
      <c r="I712" s="65" t="n"/>
      <c r="J712" s="65" t="n"/>
      <c r="K712" s="65" t="n"/>
      <c r="L712" s="65" t="n"/>
      <c r="M712" s="65" t="n"/>
      <c r="N712" s="65" t="n"/>
      <c r="O712" s="65" t="n"/>
      <c r="P712" s="65" t="n"/>
      <c r="Q712" s="65" t="n"/>
      <c r="R712" s="65" t="n"/>
      <c r="S712" s="65" t="n"/>
      <c r="T712" s="65" t="n"/>
      <c r="U712" s="65" t="n"/>
      <c r="V712" s="65" t="n"/>
      <c r="W712" s="65" t="n"/>
      <c r="X712" s="65" t="n"/>
      <c r="Y712" s="32">
        <f>IF($C712="","",IF(COUNTA($I712:$K712)&lt;3,"— חסרים נתונים",IF(AND($I712="תקין",$J712="תקין",$K712="תקין"),"רהוטה",IF(AND($I712="תקין",$J712="תקין"),"מדויקת ורציפה","אינה מדויקת או מקוטעת"))))</f>
        <v/>
      </c>
      <c r="Z712" s="32">
        <f>IF($C712="","",IF(COUNTA($U712:$W712)&lt;3,"",IF(AND($U712="מפותח",$V712="מפותח",$W712="מפותחת"),"מפותחת",IF((--($U712="דל"))+(--($V712="אינו מפותח"))+(--($W712="דלה"))&gt;=2,"אינה מפותחת","חלקית"))))</f>
        <v/>
      </c>
      <c r="AA712" s="32">
        <f>IF($C712="","",IF(COUNTA($M712,$N712,$O712)&lt;3,"— חסרים נתונים",IF(OR($M712="נמוכה",(--($M712&lt;&gt;"תקינה"))+(--($N712&lt;&gt;"תקין"))+(--($O712&lt;&gt;"תקינה"))&gt;=2),"ניכרת","אינה ניכרת")))</f>
        <v/>
      </c>
      <c r="AB712" s="32">
        <f>IF(OR($C712="",$Y712="",$AA712="",LEFT($Y712,1)="—",LEFT($AA712,1)="—"),"",IF($Z712="","— נדרשת הערכת כתיבה",IF($L712="","— חסרה הבנת הנקרא",IF($Y712="אינה מדויקת או מקוטעת",IF($AA712="ניכרת","מיקוד בשטף הקריאה ובכישורי שפה","מיקוד בשטף קריאה"),IF($AA712="ניכרת","מיקוד בכישורי שפה",IF(AND($L712="תקינה",$Z712="מפותחת"),"קוראים וכותבים מיומנים","מיקוד בהבנה והבעה"))))))</f>
        <v/>
      </c>
      <c r="AC712" s="32">
        <f>IF(OR($AB712="",LEFT($AB712,1)="—"),"",IF(OR($AB712="מיקוד בשטף קריאה",$AB712="מיקוד בשטף הקריאה ובכישורי שפה"),"רמה א'",IF($AB712="קוראים וכותבים מיומנים","רמה ג'","רמה ב'")))</f>
        <v/>
      </c>
      <c r="AD712" s="32">
        <f>IF($AC712="","",MID(IF(AND($AC712="רמה א'",$AA712="ניכרת"),"; להוסיף עבודת אוצר מילים","")&amp;IF($Z712="אינה מפותחת","; דגש על הבעה בכתב","")&amp;IF($K712&lt;&gt;"תקין","; נדרש לעבוד על ההנגנה","")&amp;IF($AK712&lt;&gt;"","; "&amp;$AK712,""),3,400))</f>
        <v/>
      </c>
      <c r="AE712" s="32">
        <f>IF($F712="","",IF($F712="תחילת שנה",1,IF($F712="מחצית שנה",2,3)))</f>
        <v/>
      </c>
      <c r="AF712" s="32">
        <f>IF(OR($B712="",$AC712="",$A712="",$F712=""),"",$B712&amp;"|"&amp;$A712&amp;"|"&amp;$F712&amp;"|"&amp;$AC712&amp;"|"&amp;COUNTIFS($B$6:$B712,$B712,$A$6:$A712,$A712,$F$6:$F712,$F712,$AC$6:$AC712,$AC712))</f>
        <v/>
      </c>
      <c r="AG712" s="32">
        <f>IF($C712="","",$C712&amp;"|"&amp;COUNTIFS($C$6:$C712,$C712))</f>
        <v/>
      </c>
      <c r="AH712" s="32">
        <f>IF(OR($C712="",$A712="",$AE712=""),"",$C712&amp;"|"&amp;$A712&amp;"|"&amp;$AE712)</f>
        <v/>
      </c>
      <c r="AI712" s="32">
        <f>IF(OR($C712="",$AE712="",$AE712=1),"",IFERROR(INDEX($AC$6:$AC$1505,MATCH($C712&amp;"|"&amp;$A712&amp;"|"&amp;($AE712-1),$AH$6:$AH$1505,0)),""))</f>
        <v/>
      </c>
      <c r="AJ712" s="32">
        <f>IF(OR($AI712="",$AC712=""),"",IF($AI712=$AC712,"ללא שינוי","מ-"&amp;$AI712&amp;" ל-"&amp;$AC712))</f>
        <v/>
      </c>
      <c r="AK712" s="67" t="n"/>
    </row>
    <row r="713" ht="15.75" customHeight="1" s="58">
      <c r="A713" s="65" t="n"/>
      <c r="B713" s="65" t="n"/>
      <c r="C713" s="66" t="n"/>
      <c r="D713" s="66" t="n"/>
      <c r="E713" s="65" t="n"/>
      <c r="F713" s="65" t="n"/>
      <c r="G713" s="65" t="n"/>
      <c r="H713" s="65" t="n"/>
      <c r="I713" s="65" t="n"/>
      <c r="J713" s="65" t="n"/>
      <c r="K713" s="65" t="n"/>
      <c r="L713" s="65" t="n"/>
      <c r="M713" s="65" t="n"/>
      <c r="N713" s="65" t="n"/>
      <c r="O713" s="65" t="n"/>
      <c r="P713" s="65" t="n"/>
      <c r="Q713" s="65" t="n"/>
      <c r="R713" s="65" t="n"/>
      <c r="S713" s="65" t="n"/>
      <c r="T713" s="65" t="n"/>
      <c r="U713" s="65" t="n"/>
      <c r="V713" s="65" t="n"/>
      <c r="W713" s="65" t="n"/>
      <c r="X713" s="65" t="n"/>
      <c r="Y713" s="32">
        <f>IF($C713="","",IF(COUNTA($I713:$K713)&lt;3,"— חסרים נתונים",IF(AND($I713="תקין",$J713="תקין",$K713="תקין"),"רהוטה",IF(AND($I713="תקין",$J713="תקין"),"מדויקת ורציפה","אינה מדויקת או מקוטעת"))))</f>
        <v/>
      </c>
      <c r="Z713" s="32">
        <f>IF($C713="","",IF(COUNTA($U713:$W713)&lt;3,"",IF(AND($U713="מפותח",$V713="מפותח",$W713="מפותחת"),"מפותחת",IF((--($U713="דל"))+(--($V713="אינו מפותח"))+(--($W713="דלה"))&gt;=2,"אינה מפותחת","חלקית"))))</f>
        <v/>
      </c>
      <c r="AA713" s="32">
        <f>IF($C713="","",IF(COUNTA($M713,$N713,$O713)&lt;3,"— חסרים נתונים",IF(OR($M713="נמוכה",(--($M713&lt;&gt;"תקינה"))+(--($N713&lt;&gt;"תקין"))+(--($O713&lt;&gt;"תקינה"))&gt;=2),"ניכרת","אינה ניכרת")))</f>
        <v/>
      </c>
      <c r="AB713" s="32">
        <f>IF(OR($C713="",$Y713="",$AA713="",LEFT($Y713,1)="—",LEFT($AA713,1)="—"),"",IF($Z713="","— נדרשת הערכת כתיבה",IF($L713="","— חסרה הבנת הנקרא",IF($Y713="אינה מדויקת או מקוטעת",IF($AA713="ניכרת","מיקוד בשטף הקריאה ובכישורי שפה","מיקוד בשטף קריאה"),IF($AA713="ניכרת","מיקוד בכישורי שפה",IF(AND($L713="תקינה",$Z713="מפותחת"),"קוראים וכותבים מיומנים","מיקוד בהבנה והבעה"))))))</f>
        <v/>
      </c>
      <c r="AC713" s="32">
        <f>IF(OR($AB713="",LEFT($AB713,1)="—"),"",IF(OR($AB713="מיקוד בשטף קריאה",$AB713="מיקוד בשטף הקריאה ובכישורי שפה"),"רמה א'",IF($AB713="קוראים וכותבים מיומנים","רמה ג'","רמה ב'")))</f>
        <v/>
      </c>
      <c r="AD713" s="32">
        <f>IF($AC713="","",MID(IF(AND($AC713="רמה א'",$AA713="ניכרת"),"; להוסיף עבודת אוצר מילים","")&amp;IF($Z713="אינה מפותחת","; דגש על הבעה בכתב","")&amp;IF($K713&lt;&gt;"תקין","; נדרש לעבוד על ההנגנה","")&amp;IF($AK713&lt;&gt;"","; "&amp;$AK713,""),3,400))</f>
        <v/>
      </c>
      <c r="AE713" s="32">
        <f>IF($F713="","",IF($F713="תחילת שנה",1,IF($F713="מחצית שנה",2,3)))</f>
        <v/>
      </c>
      <c r="AF713" s="32">
        <f>IF(OR($B713="",$AC713="",$A713="",$F713=""),"",$B713&amp;"|"&amp;$A713&amp;"|"&amp;$F713&amp;"|"&amp;$AC713&amp;"|"&amp;COUNTIFS($B$6:$B713,$B713,$A$6:$A713,$A713,$F$6:$F713,$F713,$AC$6:$AC713,$AC713))</f>
        <v/>
      </c>
      <c r="AG713" s="32">
        <f>IF($C713="","",$C713&amp;"|"&amp;COUNTIFS($C$6:$C713,$C713))</f>
        <v/>
      </c>
      <c r="AH713" s="32">
        <f>IF(OR($C713="",$A713="",$AE713=""),"",$C713&amp;"|"&amp;$A713&amp;"|"&amp;$AE713)</f>
        <v/>
      </c>
      <c r="AI713" s="32">
        <f>IF(OR($C713="",$AE713="",$AE713=1),"",IFERROR(INDEX($AC$6:$AC$1505,MATCH($C713&amp;"|"&amp;$A713&amp;"|"&amp;($AE713-1),$AH$6:$AH$1505,0)),""))</f>
        <v/>
      </c>
      <c r="AJ713" s="32">
        <f>IF(OR($AI713="",$AC713=""),"",IF($AI713=$AC713,"ללא שינוי","מ-"&amp;$AI713&amp;" ל-"&amp;$AC713))</f>
        <v/>
      </c>
      <c r="AK713" s="67" t="n"/>
    </row>
    <row r="714" ht="15.75" customHeight="1" s="58">
      <c r="A714" s="65" t="n"/>
      <c r="B714" s="65" t="n"/>
      <c r="C714" s="66" t="n"/>
      <c r="D714" s="66" t="n"/>
      <c r="E714" s="65" t="n"/>
      <c r="F714" s="65" t="n"/>
      <c r="G714" s="65" t="n"/>
      <c r="H714" s="65" t="n"/>
      <c r="I714" s="65" t="n"/>
      <c r="J714" s="65" t="n"/>
      <c r="K714" s="65" t="n"/>
      <c r="L714" s="65" t="n"/>
      <c r="M714" s="65" t="n"/>
      <c r="N714" s="65" t="n"/>
      <c r="O714" s="65" t="n"/>
      <c r="P714" s="65" t="n"/>
      <c r="Q714" s="65" t="n"/>
      <c r="R714" s="65" t="n"/>
      <c r="S714" s="65" t="n"/>
      <c r="T714" s="65" t="n"/>
      <c r="U714" s="65" t="n"/>
      <c r="V714" s="65" t="n"/>
      <c r="W714" s="65" t="n"/>
      <c r="X714" s="65" t="n"/>
      <c r="Y714" s="32">
        <f>IF($C714="","",IF(COUNTA($I714:$K714)&lt;3,"— חסרים נתונים",IF(AND($I714="תקין",$J714="תקין",$K714="תקין"),"רהוטה",IF(AND($I714="תקין",$J714="תקין"),"מדויקת ורציפה","אינה מדויקת או מקוטעת"))))</f>
        <v/>
      </c>
      <c r="Z714" s="32">
        <f>IF($C714="","",IF(COUNTA($U714:$W714)&lt;3,"",IF(AND($U714="מפותח",$V714="מפותח",$W714="מפותחת"),"מפותחת",IF((--($U714="דל"))+(--($V714="אינו מפותח"))+(--($W714="דלה"))&gt;=2,"אינה מפותחת","חלקית"))))</f>
        <v/>
      </c>
      <c r="AA714" s="32">
        <f>IF($C714="","",IF(COUNTA($M714,$N714,$O714)&lt;3,"— חסרים נתונים",IF(OR($M714="נמוכה",(--($M714&lt;&gt;"תקינה"))+(--($N714&lt;&gt;"תקין"))+(--($O714&lt;&gt;"תקינה"))&gt;=2),"ניכרת","אינה ניכרת")))</f>
        <v/>
      </c>
      <c r="AB714" s="32">
        <f>IF(OR($C714="",$Y714="",$AA714="",LEFT($Y714,1)="—",LEFT($AA714,1)="—"),"",IF($Z714="","— נדרשת הערכת כתיבה",IF($L714="","— חסרה הבנת הנקרא",IF($Y714="אינה מדויקת או מקוטעת",IF($AA714="ניכרת","מיקוד בשטף הקריאה ובכישורי שפה","מיקוד בשטף קריאה"),IF($AA714="ניכרת","מיקוד בכישורי שפה",IF(AND($L714="תקינה",$Z714="מפותחת"),"קוראים וכותבים מיומנים","מיקוד בהבנה והבעה"))))))</f>
        <v/>
      </c>
      <c r="AC714" s="32">
        <f>IF(OR($AB714="",LEFT($AB714,1)="—"),"",IF(OR($AB714="מיקוד בשטף קריאה",$AB714="מיקוד בשטף הקריאה ובכישורי שפה"),"רמה א'",IF($AB714="קוראים וכותבים מיומנים","רמה ג'","רמה ב'")))</f>
        <v/>
      </c>
      <c r="AD714" s="32">
        <f>IF($AC714="","",MID(IF(AND($AC714="רמה א'",$AA714="ניכרת"),"; להוסיף עבודת אוצר מילים","")&amp;IF($Z714="אינה מפותחת","; דגש על הבעה בכתב","")&amp;IF($K714&lt;&gt;"תקין","; נדרש לעבוד על ההנגנה","")&amp;IF($AK714&lt;&gt;"","; "&amp;$AK714,""),3,400))</f>
        <v/>
      </c>
      <c r="AE714" s="32">
        <f>IF($F714="","",IF($F714="תחילת שנה",1,IF($F714="מחצית שנה",2,3)))</f>
        <v/>
      </c>
      <c r="AF714" s="32">
        <f>IF(OR($B714="",$AC714="",$A714="",$F714=""),"",$B714&amp;"|"&amp;$A714&amp;"|"&amp;$F714&amp;"|"&amp;$AC714&amp;"|"&amp;COUNTIFS($B$6:$B714,$B714,$A$6:$A714,$A714,$F$6:$F714,$F714,$AC$6:$AC714,$AC714))</f>
        <v/>
      </c>
      <c r="AG714" s="32">
        <f>IF($C714="","",$C714&amp;"|"&amp;COUNTIFS($C$6:$C714,$C714))</f>
        <v/>
      </c>
      <c r="AH714" s="32">
        <f>IF(OR($C714="",$A714="",$AE714=""),"",$C714&amp;"|"&amp;$A714&amp;"|"&amp;$AE714)</f>
        <v/>
      </c>
      <c r="AI714" s="32">
        <f>IF(OR($C714="",$AE714="",$AE714=1),"",IFERROR(INDEX($AC$6:$AC$1505,MATCH($C714&amp;"|"&amp;$A714&amp;"|"&amp;($AE714-1),$AH$6:$AH$1505,0)),""))</f>
        <v/>
      </c>
      <c r="AJ714" s="32">
        <f>IF(OR($AI714="",$AC714=""),"",IF($AI714=$AC714,"ללא שינוי","מ-"&amp;$AI714&amp;" ל-"&amp;$AC714))</f>
        <v/>
      </c>
      <c r="AK714" s="67" t="n"/>
    </row>
    <row r="715" ht="15.75" customHeight="1" s="58">
      <c r="A715" s="65" t="n"/>
      <c r="B715" s="65" t="n"/>
      <c r="C715" s="66" t="n"/>
      <c r="D715" s="66" t="n"/>
      <c r="E715" s="65" t="n"/>
      <c r="F715" s="65" t="n"/>
      <c r="G715" s="65" t="n"/>
      <c r="H715" s="65" t="n"/>
      <c r="I715" s="65" t="n"/>
      <c r="J715" s="65" t="n"/>
      <c r="K715" s="65" t="n"/>
      <c r="L715" s="65" t="n"/>
      <c r="M715" s="65" t="n"/>
      <c r="N715" s="65" t="n"/>
      <c r="O715" s="65" t="n"/>
      <c r="P715" s="65" t="n"/>
      <c r="Q715" s="65" t="n"/>
      <c r="R715" s="65" t="n"/>
      <c r="S715" s="65" t="n"/>
      <c r="T715" s="65" t="n"/>
      <c r="U715" s="65" t="n"/>
      <c r="V715" s="65" t="n"/>
      <c r="W715" s="65" t="n"/>
      <c r="X715" s="65" t="n"/>
      <c r="Y715" s="32">
        <f>IF($C715="","",IF(COUNTA($I715:$K715)&lt;3,"— חסרים נתונים",IF(AND($I715="תקין",$J715="תקין",$K715="תקין"),"רהוטה",IF(AND($I715="תקין",$J715="תקין"),"מדויקת ורציפה","אינה מדויקת או מקוטעת"))))</f>
        <v/>
      </c>
      <c r="Z715" s="32">
        <f>IF($C715="","",IF(COUNTA($U715:$W715)&lt;3,"",IF(AND($U715="מפותח",$V715="מפותח",$W715="מפותחת"),"מפותחת",IF((--($U715="דל"))+(--($V715="אינו מפותח"))+(--($W715="דלה"))&gt;=2,"אינה מפותחת","חלקית"))))</f>
        <v/>
      </c>
      <c r="AA715" s="32">
        <f>IF($C715="","",IF(COUNTA($M715,$N715,$O715)&lt;3,"— חסרים נתונים",IF(OR($M715="נמוכה",(--($M715&lt;&gt;"תקינה"))+(--($N715&lt;&gt;"תקין"))+(--($O715&lt;&gt;"תקינה"))&gt;=2),"ניכרת","אינה ניכרת")))</f>
        <v/>
      </c>
      <c r="AB715" s="32">
        <f>IF(OR($C715="",$Y715="",$AA715="",LEFT($Y715,1)="—",LEFT($AA715,1)="—"),"",IF($Z715="","— נדרשת הערכת כתיבה",IF($L715="","— חסרה הבנת הנקרא",IF($Y715="אינה מדויקת או מקוטעת",IF($AA715="ניכרת","מיקוד בשטף הקריאה ובכישורי שפה","מיקוד בשטף קריאה"),IF($AA715="ניכרת","מיקוד בכישורי שפה",IF(AND($L715="תקינה",$Z715="מפותחת"),"קוראים וכותבים מיומנים","מיקוד בהבנה והבעה"))))))</f>
        <v/>
      </c>
      <c r="AC715" s="32">
        <f>IF(OR($AB715="",LEFT($AB715,1)="—"),"",IF(OR($AB715="מיקוד בשטף קריאה",$AB715="מיקוד בשטף הקריאה ובכישורי שפה"),"רמה א'",IF($AB715="קוראים וכותבים מיומנים","רמה ג'","רמה ב'")))</f>
        <v/>
      </c>
      <c r="AD715" s="32">
        <f>IF($AC715="","",MID(IF(AND($AC715="רמה א'",$AA715="ניכרת"),"; להוסיף עבודת אוצר מילים","")&amp;IF($Z715="אינה מפותחת","; דגש על הבעה בכתב","")&amp;IF($K715&lt;&gt;"תקין","; נדרש לעבוד על ההנגנה","")&amp;IF($AK715&lt;&gt;"","; "&amp;$AK715,""),3,400))</f>
        <v/>
      </c>
      <c r="AE715" s="32">
        <f>IF($F715="","",IF($F715="תחילת שנה",1,IF($F715="מחצית שנה",2,3)))</f>
        <v/>
      </c>
      <c r="AF715" s="32">
        <f>IF(OR($B715="",$AC715="",$A715="",$F715=""),"",$B715&amp;"|"&amp;$A715&amp;"|"&amp;$F715&amp;"|"&amp;$AC715&amp;"|"&amp;COUNTIFS($B$6:$B715,$B715,$A$6:$A715,$A715,$F$6:$F715,$F715,$AC$6:$AC715,$AC715))</f>
        <v/>
      </c>
      <c r="AG715" s="32">
        <f>IF($C715="","",$C715&amp;"|"&amp;COUNTIFS($C$6:$C715,$C715))</f>
        <v/>
      </c>
      <c r="AH715" s="32">
        <f>IF(OR($C715="",$A715="",$AE715=""),"",$C715&amp;"|"&amp;$A715&amp;"|"&amp;$AE715)</f>
        <v/>
      </c>
      <c r="AI715" s="32">
        <f>IF(OR($C715="",$AE715="",$AE715=1),"",IFERROR(INDEX($AC$6:$AC$1505,MATCH($C715&amp;"|"&amp;$A715&amp;"|"&amp;($AE715-1),$AH$6:$AH$1505,0)),""))</f>
        <v/>
      </c>
      <c r="AJ715" s="32">
        <f>IF(OR($AI715="",$AC715=""),"",IF($AI715=$AC715,"ללא שינוי","מ-"&amp;$AI715&amp;" ל-"&amp;$AC715))</f>
        <v/>
      </c>
      <c r="AK715" s="67" t="n"/>
    </row>
    <row r="716" ht="15.75" customHeight="1" s="58">
      <c r="A716" s="65" t="n"/>
      <c r="B716" s="65" t="n"/>
      <c r="C716" s="66" t="n"/>
      <c r="D716" s="66" t="n"/>
      <c r="E716" s="65" t="n"/>
      <c r="F716" s="65" t="n"/>
      <c r="G716" s="65" t="n"/>
      <c r="H716" s="65" t="n"/>
      <c r="I716" s="65" t="n"/>
      <c r="J716" s="65" t="n"/>
      <c r="K716" s="65" t="n"/>
      <c r="L716" s="65" t="n"/>
      <c r="M716" s="65" t="n"/>
      <c r="N716" s="65" t="n"/>
      <c r="O716" s="65" t="n"/>
      <c r="P716" s="65" t="n"/>
      <c r="Q716" s="65" t="n"/>
      <c r="R716" s="65" t="n"/>
      <c r="S716" s="65" t="n"/>
      <c r="T716" s="65" t="n"/>
      <c r="U716" s="65" t="n"/>
      <c r="V716" s="65" t="n"/>
      <c r="W716" s="65" t="n"/>
      <c r="X716" s="65" t="n"/>
      <c r="Y716" s="32">
        <f>IF($C716="","",IF(COUNTA($I716:$K716)&lt;3,"— חסרים נתונים",IF(AND($I716="תקין",$J716="תקין",$K716="תקין"),"רהוטה",IF(AND($I716="תקין",$J716="תקין"),"מדויקת ורציפה","אינה מדויקת או מקוטעת"))))</f>
        <v/>
      </c>
      <c r="Z716" s="32">
        <f>IF($C716="","",IF(COUNTA($U716:$W716)&lt;3,"",IF(AND($U716="מפותח",$V716="מפותח",$W716="מפותחת"),"מפותחת",IF((--($U716="דל"))+(--($V716="אינו מפותח"))+(--($W716="דלה"))&gt;=2,"אינה מפותחת","חלקית"))))</f>
        <v/>
      </c>
      <c r="AA716" s="32">
        <f>IF($C716="","",IF(COUNTA($M716,$N716,$O716)&lt;3,"— חסרים נתונים",IF(OR($M716="נמוכה",(--($M716&lt;&gt;"תקינה"))+(--($N716&lt;&gt;"תקין"))+(--($O716&lt;&gt;"תקינה"))&gt;=2),"ניכרת","אינה ניכרת")))</f>
        <v/>
      </c>
      <c r="AB716" s="32">
        <f>IF(OR($C716="",$Y716="",$AA716="",LEFT($Y716,1)="—",LEFT($AA716,1)="—"),"",IF($Z716="","— נדרשת הערכת כתיבה",IF($L716="","— חסרה הבנת הנקרא",IF($Y716="אינה מדויקת או מקוטעת",IF($AA716="ניכרת","מיקוד בשטף הקריאה ובכישורי שפה","מיקוד בשטף קריאה"),IF($AA716="ניכרת","מיקוד בכישורי שפה",IF(AND($L716="תקינה",$Z716="מפותחת"),"קוראים וכותבים מיומנים","מיקוד בהבנה והבעה"))))))</f>
        <v/>
      </c>
      <c r="AC716" s="32">
        <f>IF(OR($AB716="",LEFT($AB716,1)="—"),"",IF(OR($AB716="מיקוד בשטף קריאה",$AB716="מיקוד בשטף הקריאה ובכישורי שפה"),"רמה א'",IF($AB716="קוראים וכותבים מיומנים","רמה ג'","רמה ב'")))</f>
        <v/>
      </c>
      <c r="AD716" s="32">
        <f>IF($AC716="","",MID(IF(AND($AC716="רמה א'",$AA716="ניכרת"),"; להוסיף עבודת אוצר מילים","")&amp;IF($Z716="אינה מפותחת","; דגש על הבעה בכתב","")&amp;IF($K716&lt;&gt;"תקין","; נדרש לעבוד על ההנגנה","")&amp;IF($AK716&lt;&gt;"","; "&amp;$AK716,""),3,400))</f>
        <v/>
      </c>
      <c r="AE716" s="32">
        <f>IF($F716="","",IF($F716="תחילת שנה",1,IF($F716="מחצית שנה",2,3)))</f>
        <v/>
      </c>
      <c r="AF716" s="32">
        <f>IF(OR($B716="",$AC716="",$A716="",$F716=""),"",$B716&amp;"|"&amp;$A716&amp;"|"&amp;$F716&amp;"|"&amp;$AC716&amp;"|"&amp;COUNTIFS($B$6:$B716,$B716,$A$6:$A716,$A716,$F$6:$F716,$F716,$AC$6:$AC716,$AC716))</f>
        <v/>
      </c>
      <c r="AG716" s="32">
        <f>IF($C716="","",$C716&amp;"|"&amp;COUNTIFS($C$6:$C716,$C716))</f>
        <v/>
      </c>
      <c r="AH716" s="32">
        <f>IF(OR($C716="",$A716="",$AE716=""),"",$C716&amp;"|"&amp;$A716&amp;"|"&amp;$AE716)</f>
        <v/>
      </c>
      <c r="AI716" s="32">
        <f>IF(OR($C716="",$AE716="",$AE716=1),"",IFERROR(INDEX($AC$6:$AC$1505,MATCH($C716&amp;"|"&amp;$A716&amp;"|"&amp;($AE716-1),$AH$6:$AH$1505,0)),""))</f>
        <v/>
      </c>
      <c r="AJ716" s="32">
        <f>IF(OR($AI716="",$AC716=""),"",IF($AI716=$AC716,"ללא שינוי","מ-"&amp;$AI716&amp;" ל-"&amp;$AC716))</f>
        <v/>
      </c>
      <c r="AK716" s="67" t="n"/>
    </row>
    <row r="717" ht="15.75" customHeight="1" s="58">
      <c r="A717" s="65" t="n"/>
      <c r="B717" s="65" t="n"/>
      <c r="C717" s="66" t="n"/>
      <c r="D717" s="66" t="n"/>
      <c r="E717" s="65" t="n"/>
      <c r="F717" s="65" t="n"/>
      <c r="G717" s="65" t="n"/>
      <c r="H717" s="65" t="n"/>
      <c r="I717" s="65" t="n"/>
      <c r="J717" s="65" t="n"/>
      <c r="K717" s="65" t="n"/>
      <c r="L717" s="65" t="n"/>
      <c r="M717" s="65" t="n"/>
      <c r="N717" s="65" t="n"/>
      <c r="O717" s="65" t="n"/>
      <c r="P717" s="65" t="n"/>
      <c r="Q717" s="65" t="n"/>
      <c r="R717" s="65" t="n"/>
      <c r="S717" s="65" t="n"/>
      <c r="T717" s="65" t="n"/>
      <c r="U717" s="65" t="n"/>
      <c r="V717" s="65" t="n"/>
      <c r="W717" s="65" t="n"/>
      <c r="X717" s="65" t="n"/>
      <c r="Y717" s="32">
        <f>IF($C717="","",IF(COUNTA($I717:$K717)&lt;3,"— חסרים נתונים",IF(AND($I717="תקין",$J717="תקין",$K717="תקין"),"רהוטה",IF(AND($I717="תקין",$J717="תקין"),"מדויקת ורציפה","אינה מדויקת או מקוטעת"))))</f>
        <v/>
      </c>
      <c r="Z717" s="32">
        <f>IF($C717="","",IF(COUNTA($U717:$W717)&lt;3,"",IF(AND($U717="מפותח",$V717="מפותח",$W717="מפותחת"),"מפותחת",IF((--($U717="דל"))+(--($V717="אינו מפותח"))+(--($W717="דלה"))&gt;=2,"אינה מפותחת","חלקית"))))</f>
        <v/>
      </c>
      <c r="AA717" s="32">
        <f>IF($C717="","",IF(COUNTA($M717,$N717,$O717)&lt;3,"— חסרים נתונים",IF(OR($M717="נמוכה",(--($M717&lt;&gt;"תקינה"))+(--($N717&lt;&gt;"תקין"))+(--($O717&lt;&gt;"תקינה"))&gt;=2),"ניכרת","אינה ניכרת")))</f>
        <v/>
      </c>
      <c r="AB717" s="32">
        <f>IF(OR($C717="",$Y717="",$AA717="",LEFT($Y717,1)="—",LEFT($AA717,1)="—"),"",IF($Z717="","— נדרשת הערכת כתיבה",IF($L717="","— חסרה הבנת הנקרא",IF($Y717="אינה מדויקת או מקוטעת",IF($AA717="ניכרת","מיקוד בשטף הקריאה ובכישורי שפה","מיקוד בשטף קריאה"),IF($AA717="ניכרת","מיקוד בכישורי שפה",IF(AND($L717="תקינה",$Z717="מפותחת"),"קוראים וכותבים מיומנים","מיקוד בהבנה והבעה"))))))</f>
        <v/>
      </c>
      <c r="AC717" s="32">
        <f>IF(OR($AB717="",LEFT($AB717,1)="—"),"",IF(OR($AB717="מיקוד בשטף קריאה",$AB717="מיקוד בשטף הקריאה ובכישורי שפה"),"רמה א'",IF($AB717="קוראים וכותבים מיומנים","רמה ג'","רמה ב'")))</f>
        <v/>
      </c>
      <c r="AD717" s="32">
        <f>IF($AC717="","",MID(IF(AND($AC717="רמה א'",$AA717="ניכרת"),"; להוסיף עבודת אוצר מילים","")&amp;IF($Z717="אינה מפותחת","; דגש על הבעה בכתב","")&amp;IF($K717&lt;&gt;"תקין","; נדרש לעבוד על ההנגנה","")&amp;IF($AK717&lt;&gt;"","; "&amp;$AK717,""),3,400))</f>
        <v/>
      </c>
      <c r="AE717" s="32">
        <f>IF($F717="","",IF($F717="תחילת שנה",1,IF($F717="מחצית שנה",2,3)))</f>
        <v/>
      </c>
      <c r="AF717" s="32">
        <f>IF(OR($B717="",$AC717="",$A717="",$F717=""),"",$B717&amp;"|"&amp;$A717&amp;"|"&amp;$F717&amp;"|"&amp;$AC717&amp;"|"&amp;COUNTIFS($B$6:$B717,$B717,$A$6:$A717,$A717,$F$6:$F717,$F717,$AC$6:$AC717,$AC717))</f>
        <v/>
      </c>
      <c r="AG717" s="32">
        <f>IF($C717="","",$C717&amp;"|"&amp;COUNTIFS($C$6:$C717,$C717))</f>
        <v/>
      </c>
      <c r="AH717" s="32">
        <f>IF(OR($C717="",$A717="",$AE717=""),"",$C717&amp;"|"&amp;$A717&amp;"|"&amp;$AE717)</f>
        <v/>
      </c>
      <c r="AI717" s="32">
        <f>IF(OR($C717="",$AE717="",$AE717=1),"",IFERROR(INDEX($AC$6:$AC$1505,MATCH($C717&amp;"|"&amp;$A717&amp;"|"&amp;($AE717-1),$AH$6:$AH$1505,0)),""))</f>
        <v/>
      </c>
      <c r="AJ717" s="32">
        <f>IF(OR($AI717="",$AC717=""),"",IF($AI717=$AC717,"ללא שינוי","מ-"&amp;$AI717&amp;" ל-"&amp;$AC717))</f>
        <v/>
      </c>
      <c r="AK717" s="67" t="n"/>
    </row>
    <row r="718" ht="15.75" customHeight="1" s="58">
      <c r="A718" s="65" t="n"/>
      <c r="B718" s="65" t="n"/>
      <c r="C718" s="66" t="n"/>
      <c r="D718" s="66" t="n"/>
      <c r="E718" s="65" t="n"/>
      <c r="F718" s="65" t="n"/>
      <c r="G718" s="65" t="n"/>
      <c r="H718" s="65" t="n"/>
      <c r="I718" s="65" t="n"/>
      <c r="J718" s="65" t="n"/>
      <c r="K718" s="65" t="n"/>
      <c r="L718" s="65" t="n"/>
      <c r="M718" s="65" t="n"/>
      <c r="N718" s="65" t="n"/>
      <c r="O718" s="65" t="n"/>
      <c r="P718" s="65" t="n"/>
      <c r="Q718" s="65" t="n"/>
      <c r="R718" s="65" t="n"/>
      <c r="S718" s="65" t="n"/>
      <c r="T718" s="65" t="n"/>
      <c r="U718" s="65" t="n"/>
      <c r="V718" s="65" t="n"/>
      <c r="W718" s="65" t="n"/>
      <c r="X718" s="65" t="n"/>
      <c r="Y718" s="32">
        <f>IF($C718="","",IF(COUNTA($I718:$K718)&lt;3,"— חסרים נתונים",IF(AND($I718="תקין",$J718="תקין",$K718="תקין"),"רהוטה",IF(AND($I718="תקין",$J718="תקין"),"מדויקת ורציפה","אינה מדויקת או מקוטעת"))))</f>
        <v/>
      </c>
      <c r="Z718" s="32">
        <f>IF($C718="","",IF(COUNTA($U718:$W718)&lt;3,"",IF(AND($U718="מפותח",$V718="מפותח",$W718="מפותחת"),"מפותחת",IF((--($U718="דל"))+(--($V718="אינו מפותח"))+(--($W718="דלה"))&gt;=2,"אינה מפותחת","חלקית"))))</f>
        <v/>
      </c>
      <c r="AA718" s="32">
        <f>IF($C718="","",IF(COUNTA($M718,$N718,$O718)&lt;3,"— חסרים נתונים",IF(OR($M718="נמוכה",(--($M718&lt;&gt;"תקינה"))+(--($N718&lt;&gt;"תקין"))+(--($O718&lt;&gt;"תקינה"))&gt;=2),"ניכרת","אינה ניכרת")))</f>
        <v/>
      </c>
      <c r="AB718" s="32">
        <f>IF(OR($C718="",$Y718="",$AA718="",LEFT($Y718,1)="—",LEFT($AA718,1)="—"),"",IF($Z718="","— נדרשת הערכת כתיבה",IF($L718="","— חסרה הבנת הנקרא",IF($Y718="אינה מדויקת או מקוטעת",IF($AA718="ניכרת","מיקוד בשטף הקריאה ובכישורי שפה","מיקוד בשטף קריאה"),IF($AA718="ניכרת","מיקוד בכישורי שפה",IF(AND($L718="תקינה",$Z718="מפותחת"),"קוראים וכותבים מיומנים","מיקוד בהבנה והבעה"))))))</f>
        <v/>
      </c>
      <c r="AC718" s="32">
        <f>IF(OR($AB718="",LEFT($AB718,1)="—"),"",IF(OR($AB718="מיקוד בשטף קריאה",$AB718="מיקוד בשטף הקריאה ובכישורי שפה"),"רמה א'",IF($AB718="קוראים וכותבים מיומנים","רמה ג'","רמה ב'")))</f>
        <v/>
      </c>
      <c r="AD718" s="32">
        <f>IF($AC718="","",MID(IF(AND($AC718="רמה א'",$AA718="ניכרת"),"; להוסיף עבודת אוצר מילים","")&amp;IF($Z718="אינה מפותחת","; דגש על הבעה בכתב","")&amp;IF($K718&lt;&gt;"תקין","; נדרש לעבוד על ההנגנה","")&amp;IF($AK718&lt;&gt;"","; "&amp;$AK718,""),3,400))</f>
        <v/>
      </c>
      <c r="AE718" s="32">
        <f>IF($F718="","",IF($F718="תחילת שנה",1,IF($F718="מחצית שנה",2,3)))</f>
        <v/>
      </c>
      <c r="AF718" s="32">
        <f>IF(OR($B718="",$AC718="",$A718="",$F718=""),"",$B718&amp;"|"&amp;$A718&amp;"|"&amp;$F718&amp;"|"&amp;$AC718&amp;"|"&amp;COUNTIFS($B$6:$B718,$B718,$A$6:$A718,$A718,$F$6:$F718,$F718,$AC$6:$AC718,$AC718))</f>
        <v/>
      </c>
      <c r="AG718" s="32">
        <f>IF($C718="","",$C718&amp;"|"&amp;COUNTIFS($C$6:$C718,$C718))</f>
        <v/>
      </c>
      <c r="AH718" s="32">
        <f>IF(OR($C718="",$A718="",$AE718=""),"",$C718&amp;"|"&amp;$A718&amp;"|"&amp;$AE718)</f>
        <v/>
      </c>
      <c r="AI718" s="32">
        <f>IF(OR($C718="",$AE718="",$AE718=1),"",IFERROR(INDEX($AC$6:$AC$1505,MATCH($C718&amp;"|"&amp;$A718&amp;"|"&amp;($AE718-1),$AH$6:$AH$1505,0)),""))</f>
        <v/>
      </c>
      <c r="AJ718" s="32">
        <f>IF(OR($AI718="",$AC718=""),"",IF($AI718=$AC718,"ללא שינוי","מ-"&amp;$AI718&amp;" ל-"&amp;$AC718))</f>
        <v/>
      </c>
      <c r="AK718" s="67" t="n"/>
    </row>
    <row r="719" ht="15.75" customHeight="1" s="58">
      <c r="A719" s="65" t="n"/>
      <c r="B719" s="65" t="n"/>
      <c r="C719" s="66" t="n"/>
      <c r="D719" s="66" t="n"/>
      <c r="E719" s="65" t="n"/>
      <c r="F719" s="65" t="n"/>
      <c r="G719" s="65" t="n"/>
      <c r="H719" s="65" t="n"/>
      <c r="I719" s="65" t="n"/>
      <c r="J719" s="65" t="n"/>
      <c r="K719" s="65" t="n"/>
      <c r="L719" s="65" t="n"/>
      <c r="M719" s="65" t="n"/>
      <c r="N719" s="65" t="n"/>
      <c r="O719" s="65" t="n"/>
      <c r="P719" s="65" t="n"/>
      <c r="Q719" s="65" t="n"/>
      <c r="R719" s="65" t="n"/>
      <c r="S719" s="65" t="n"/>
      <c r="T719" s="65" t="n"/>
      <c r="U719" s="65" t="n"/>
      <c r="V719" s="65" t="n"/>
      <c r="W719" s="65" t="n"/>
      <c r="X719" s="65" t="n"/>
      <c r="Y719" s="32">
        <f>IF($C719="","",IF(COUNTA($I719:$K719)&lt;3,"— חסרים נתונים",IF(AND($I719="תקין",$J719="תקין",$K719="תקין"),"רהוטה",IF(AND($I719="תקין",$J719="תקין"),"מדויקת ורציפה","אינה מדויקת או מקוטעת"))))</f>
        <v/>
      </c>
      <c r="Z719" s="32">
        <f>IF($C719="","",IF(COUNTA($U719:$W719)&lt;3,"",IF(AND($U719="מפותח",$V719="מפותח",$W719="מפותחת"),"מפותחת",IF((--($U719="דל"))+(--($V719="אינו מפותח"))+(--($W719="דלה"))&gt;=2,"אינה מפותחת","חלקית"))))</f>
        <v/>
      </c>
      <c r="AA719" s="32">
        <f>IF($C719="","",IF(COUNTA($M719,$N719,$O719)&lt;3,"— חסרים נתונים",IF(OR($M719="נמוכה",(--($M719&lt;&gt;"תקינה"))+(--($N719&lt;&gt;"תקין"))+(--($O719&lt;&gt;"תקינה"))&gt;=2),"ניכרת","אינה ניכרת")))</f>
        <v/>
      </c>
      <c r="AB719" s="32">
        <f>IF(OR($C719="",$Y719="",$AA719="",LEFT($Y719,1)="—",LEFT($AA719,1)="—"),"",IF($Z719="","— נדרשת הערכת כתיבה",IF($L719="","— חסרה הבנת הנקרא",IF($Y719="אינה מדויקת או מקוטעת",IF($AA719="ניכרת","מיקוד בשטף הקריאה ובכישורי שפה","מיקוד בשטף קריאה"),IF($AA719="ניכרת","מיקוד בכישורי שפה",IF(AND($L719="תקינה",$Z719="מפותחת"),"קוראים וכותבים מיומנים","מיקוד בהבנה והבעה"))))))</f>
        <v/>
      </c>
      <c r="AC719" s="32">
        <f>IF(OR($AB719="",LEFT($AB719,1)="—"),"",IF(OR($AB719="מיקוד בשטף קריאה",$AB719="מיקוד בשטף הקריאה ובכישורי שפה"),"רמה א'",IF($AB719="קוראים וכותבים מיומנים","רמה ג'","רמה ב'")))</f>
        <v/>
      </c>
      <c r="AD719" s="32">
        <f>IF($AC719="","",MID(IF(AND($AC719="רמה א'",$AA719="ניכרת"),"; להוסיף עבודת אוצר מילים","")&amp;IF($Z719="אינה מפותחת","; דגש על הבעה בכתב","")&amp;IF($K719&lt;&gt;"תקין","; נדרש לעבוד על ההנגנה","")&amp;IF($AK719&lt;&gt;"","; "&amp;$AK719,""),3,400))</f>
        <v/>
      </c>
      <c r="AE719" s="32">
        <f>IF($F719="","",IF($F719="תחילת שנה",1,IF($F719="מחצית שנה",2,3)))</f>
        <v/>
      </c>
      <c r="AF719" s="32">
        <f>IF(OR($B719="",$AC719="",$A719="",$F719=""),"",$B719&amp;"|"&amp;$A719&amp;"|"&amp;$F719&amp;"|"&amp;$AC719&amp;"|"&amp;COUNTIFS($B$6:$B719,$B719,$A$6:$A719,$A719,$F$6:$F719,$F719,$AC$6:$AC719,$AC719))</f>
        <v/>
      </c>
      <c r="AG719" s="32">
        <f>IF($C719="","",$C719&amp;"|"&amp;COUNTIFS($C$6:$C719,$C719))</f>
        <v/>
      </c>
      <c r="AH719" s="32">
        <f>IF(OR($C719="",$A719="",$AE719=""),"",$C719&amp;"|"&amp;$A719&amp;"|"&amp;$AE719)</f>
        <v/>
      </c>
      <c r="AI719" s="32">
        <f>IF(OR($C719="",$AE719="",$AE719=1),"",IFERROR(INDEX($AC$6:$AC$1505,MATCH($C719&amp;"|"&amp;$A719&amp;"|"&amp;($AE719-1),$AH$6:$AH$1505,0)),""))</f>
        <v/>
      </c>
      <c r="AJ719" s="32">
        <f>IF(OR($AI719="",$AC719=""),"",IF($AI719=$AC719,"ללא שינוי","מ-"&amp;$AI719&amp;" ל-"&amp;$AC719))</f>
        <v/>
      </c>
      <c r="AK719" s="67" t="n"/>
    </row>
    <row r="720" ht="15.75" customHeight="1" s="58">
      <c r="A720" s="65" t="n"/>
      <c r="B720" s="65" t="n"/>
      <c r="C720" s="66" t="n"/>
      <c r="D720" s="66" t="n"/>
      <c r="E720" s="65" t="n"/>
      <c r="F720" s="65" t="n"/>
      <c r="G720" s="65" t="n"/>
      <c r="H720" s="65" t="n"/>
      <c r="I720" s="65" t="n"/>
      <c r="J720" s="65" t="n"/>
      <c r="K720" s="65" t="n"/>
      <c r="L720" s="65" t="n"/>
      <c r="M720" s="65" t="n"/>
      <c r="N720" s="65" t="n"/>
      <c r="O720" s="65" t="n"/>
      <c r="P720" s="65" t="n"/>
      <c r="Q720" s="65" t="n"/>
      <c r="R720" s="65" t="n"/>
      <c r="S720" s="65" t="n"/>
      <c r="T720" s="65" t="n"/>
      <c r="U720" s="65" t="n"/>
      <c r="V720" s="65" t="n"/>
      <c r="W720" s="65" t="n"/>
      <c r="X720" s="65" t="n"/>
      <c r="Y720" s="32">
        <f>IF($C720="","",IF(COUNTA($I720:$K720)&lt;3,"— חסרים נתונים",IF(AND($I720="תקין",$J720="תקין",$K720="תקין"),"רהוטה",IF(AND($I720="תקין",$J720="תקין"),"מדויקת ורציפה","אינה מדויקת או מקוטעת"))))</f>
        <v/>
      </c>
      <c r="Z720" s="32">
        <f>IF($C720="","",IF(COUNTA($U720:$W720)&lt;3,"",IF(AND($U720="מפותח",$V720="מפותח",$W720="מפותחת"),"מפותחת",IF((--($U720="דל"))+(--($V720="אינו מפותח"))+(--($W720="דלה"))&gt;=2,"אינה מפותחת","חלקית"))))</f>
        <v/>
      </c>
      <c r="AA720" s="32">
        <f>IF($C720="","",IF(COUNTA($M720,$N720,$O720)&lt;3,"— חסרים נתונים",IF(OR($M720="נמוכה",(--($M720&lt;&gt;"תקינה"))+(--($N720&lt;&gt;"תקין"))+(--($O720&lt;&gt;"תקינה"))&gt;=2),"ניכרת","אינה ניכרת")))</f>
        <v/>
      </c>
      <c r="AB720" s="32">
        <f>IF(OR($C720="",$Y720="",$AA720="",LEFT($Y720,1)="—",LEFT($AA720,1)="—"),"",IF($Z720="","— נדרשת הערכת כתיבה",IF($L720="","— חסרה הבנת הנקרא",IF($Y720="אינה מדויקת או מקוטעת",IF($AA720="ניכרת","מיקוד בשטף הקריאה ובכישורי שפה","מיקוד בשטף קריאה"),IF($AA720="ניכרת","מיקוד בכישורי שפה",IF(AND($L720="תקינה",$Z720="מפותחת"),"קוראים וכותבים מיומנים","מיקוד בהבנה והבעה"))))))</f>
        <v/>
      </c>
      <c r="AC720" s="32">
        <f>IF(OR($AB720="",LEFT($AB720,1)="—"),"",IF(OR($AB720="מיקוד בשטף קריאה",$AB720="מיקוד בשטף הקריאה ובכישורי שפה"),"רמה א'",IF($AB720="קוראים וכותבים מיומנים","רמה ג'","רמה ב'")))</f>
        <v/>
      </c>
      <c r="AD720" s="32">
        <f>IF($AC720="","",MID(IF(AND($AC720="רמה א'",$AA720="ניכרת"),"; להוסיף עבודת אוצר מילים","")&amp;IF($Z720="אינה מפותחת","; דגש על הבעה בכתב","")&amp;IF($K720&lt;&gt;"תקין","; נדרש לעבוד על ההנגנה","")&amp;IF($AK720&lt;&gt;"","; "&amp;$AK720,""),3,400))</f>
        <v/>
      </c>
      <c r="AE720" s="32">
        <f>IF($F720="","",IF($F720="תחילת שנה",1,IF($F720="מחצית שנה",2,3)))</f>
        <v/>
      </c>
      <c r="AF720" s="32">
        <f>IF(OR($B720="",$AC720="",$A720="",$F720=""),"",$B720&amp;"|"&amp;$A720&amp;"|"&amp;$F720&amp;"|"&amp;$AC720&amp;"|"&amp;COUNTIFS($B$6:$B720,$B720,$A$6:$A720,$A720,$F$6:$F720,$F720,$AC$6:$AC720,$AC720))</f>
        <v/>
      </c>
      <c r="AG720" s="32">
        <f>IF($C720="","",$C720&amp;"|"&amp;COUNTIFS($C$6:$C720,$C720))</f>
        <v/>
      </c>
      <c r="AH720" s="32">
        <f>IF(OR($C720="",$A720="",$AE720=""),"",$C720&amp;"|"&amp;$A720&amp;"|"&amp;$AE720)</f>
        <v/>
      </c>
      <c r="AI720" s="32">
        <f>IF(OR($C720="",$AE720="",$AE720=1),"",IFERROR(INDEX($AC$6:$AC$1505,MATCH($C720&amp;"|"&amp;$A720&amp;"|"&amp;($AE720-1),$AH$6:$AH$1505,0)),""))</f>
        <v/>
      </c>
      <c r="AJ720" s="32">
        <f>IF(OR($AI720="",$AC720=""),"",IF($AI720=$AC720,"ללא שינוי","מ-"&amp;$AI720&amp;" ל-"&amp;$AC720))</f>
        <v/>
      </c>
      <c r="AK720" s="67" t="n"/>
    </row>
    <row r="721" ht="15.75" customHeight="1" s="58">
      <c r="A721" s="65" t="n"/>
      <c r="B721" s="65" t="n"/>
      <c r="C721" s="66" t="n"/>
      <c r="D721" s="66" t="n"/>
      <c r="E721" s="65" t="n"/>
      <c r="F721" s="65" t="n"/>
      <c r="G721" s="65" t="n"/>
      <c r="H721" s="65" t="n"/>
      <c r="I721" s="65" t="n"/>
      <c r="J721" s="65" t="n"/>
      <c r="K721" s="65" t="n"/>
      <c r="L721" s="65" t="n"/>
      <c r="M721" s="65" t="n"/>
      <c r="N721" s="65" t="n"/>
      <c r="O721" s="65" t="n"/>
      <c r="P721" s="65" t="n"/>
      <c r="Q721" s="65" t="n"/>
      <c r="R721" s="65" t="n"/>
      <c r="S721" s="65" t="n"/>
      <c r="T721" s="65" t="n"/>
      <c r="U721" s="65" t="n"/>
      <c r="V721" s="65" t="n"/>
      <c r="W721" s="65" t="n"/>
      <c r="X721" s="65" t="n"/>
      <c r="Y721" s="32">
        <f>IF($C721="","",IF(COUNTA($I721:$K721)&lt;3,"— חסרים נתונים",IF(AND($I721="תקין",$J721="תקין",$K721="תקין"),"רהוטה",IF(AND($I721="תקין",$J721="תקין"),"מדויקת ורציפה","אינה מדויקת או מקוטעת"))))</f>
        <v/>
      </c>
      <c r="Z721" s="32">
        <f>IF($C721="","",IF(COUNTA($U721:$W721)&lt;3,"",IF(AND($U721="מפותח",$V721="מפותח",$W721="מפותחת"),"מפותחת",IF((--($U721="דל"))+(--($V721="אינו מפותח"))+(--($W721="דלה"))&gt;=2,"אינה מפותחת","חלקית"))))</f>
        <v/>
      </c>
      <c r="AA721" s="32">
        <f>IF($C721="","",IF(COUNTA($M721,$N721,$O721)&lt;3,"— חסרים נתונים",IF(OR($M721="נמוכה",(--($M721&lt;&gt;"תקינה"))+(--($N721&lt;&gt;"תקין"))+(--($O721&lt;&gt;"תקינה"))&gt;=2),"ניכרת","אינה ניכרת")))</f>
        <v/>
      </c>
      <c r="AB721" s="32">
        <f>IF(OR($C721="",$Y721="",$AA721="",LEFT($Y721,1)="—",LEFT($AA721,1)="—"),"",IF($Z721="","— נדרשת הערכת כתיבה",IF($L721="","— חסרה הבנת הנקרא",IF($Y721="אינה מדויקת או מקוטעת",IF($AA721="ניכרת","מיקוד בשטף הקריאה ובכישורי שפה","מיקוד בשטף קריאה"),IF($AA721="ניכרת","מיקוד בכישורי שפה",IF(AND($L721="תקינה",$Z721="מפותחת"),"קוראים וכותבים מיומנים","מיקוד בהבנה והבעה"))))))</f>
        <v/>
      </c>
      <c r="AC721" s="32">
        <f>IF(OR($AB721="",LEFT($AB721,1)="—"),"",IF(OR($AB721="מיקוד בשטף קריאה",$AB721="מיקוד בשטף הקריאה ובכישורי שפה"),"רמה א'",IF($AB721="קוראים וכותבים מיומנים","רמה ג'","רמה ב'")))</f>
        <v/>
      </c>
      <c r="AD721" s="32">
        <f>IF($AC721="","",MID(IF(AND($AC721="רמה א'",$AA721="ניכרת"),"; להוסיף עבודת אוצר מילים","")&amp;IF($Z721="אינה מפותחת","; דגש על הבעה בכתב","")&amp;IF($K721&lt;&gt;"תקין","; נדרש לעבוד על ההנגנה","")&amp;IF($AK721&lt;&gt;"","; "&amp;$AK721,""),3,400))</f>
        <v/>
      </c>
      <c r="AE721" s="32">
        <f>IF($F721="","",IF($F721="תחילת שנה",1,IF($F721="מחצית שנה",2,3)))</f>
        <v/>
      </c>
      <c r="AF721" s="32">
        <f>IF(OR($B721="",$AC721="",$A721="",$F721=""),"",$B721&amp;"|"&amp;$A721&amp;"|"&amp;$F721&amp;"|"&amp;$AC721&amp;"|"&amp;COUNTIFS($B$6:$B721,$B721,$A$6:$A721,$A721,$F$6:$F721,$F721,$AC$6:$AC721,$AC721))</f>
        <v/>
      </c>
      <c r="AG721" s="32">
        <f>IF($C721="","",$C721&amp;"|"&amp;COUNTIFS($C$6:$C721,$C721))</f>
        <v/>
      </c>
      <c r="AH721" s="32">
        <f>IF(OR($C721="",$A721="",$AE721=""),"",$C721&amp;"|"&amp;$A721&amp;"|"&amp;$AE721)</f>
        <v/>
      </c>
      <c r="AI721" s="32">
        <f>IF(OR($C721="",$AE721="",$AE721=1),"",IFERROR(INDEX($AC$6:$AC$1505,MATCH($C721&amp;"|"&amp;$A721&amp;"|"&amp;($AE721-1),$AH$6:$AH$1505,0)),""))</f>
        <v/>
      </c>
      <c r="AJ721" s="32">
        <f>IF(OR($AI721="",$AC721=""),"",IF($AI721=$AC721,"ללא שינוי","מ-"&amp;$AI721&amp;" ל-"&amp;$AC721))</f>
        <v/>
      </c>
      <c r="AK721" s="67" t="n"/>
    </row>
    <row r="722" ht="15.75" customHeight="1" s="58">
      <c r="A722" s="65" t="n"/>
      <c r="B722" s="65" t="n"/>
      <c r="C722" s="66" t="n"/>
      <c r="D722" s="66" t="n"/>
      <c r="E722" s="65" t="n"/>
      <c r="F722" s="65" t="n"/>
      <c r="G722" s="65" t="n"/>
      <c r="H722" s="65" t="n"/>
      <c r="I722" s="65" t="n"/>
      <c r="J722" s="65" t="n"/>
      <c r="K722" s="65" t="n"/>
      <c r="L722" s="65" t="n"/>
      <c r="M722" s="65" t="n"/>
      <c r="N722" s="65" t="n"/>
      <c r="O722" s="65" t="n"/>
      <c r="P722" s="65" t="n"/>
      <c r="Q722" s="65" t="n"/>
      <c r="R722" s="65" t="n"/>
      <c r="S722" s="65" t="n"/>
      <c r="T722" s="65" t="n"/>
      <c r="U722" s="65" t="n"/>
      <c r="V722" s="65" t="n"/>
      <c r="W722" s="65" t="n"/>
      <c r="X722" s="65" t="n"/>
      <c r="Y722" s="32">
        <f>IF($C722="","",IF(COUNTA($I722:$K722)&lt;3,"— חסרים נתונים",IF(AND($I722="תקין",$J722="תקין",$K722="תקין"),"רהוטה",IF(AND($I722="תקין",$J722="תקין"),"מדויקת ורציפה","אינה מדויקת או מקוטעת"))))</f>
        <v/>
      </c>
      <c r="Z722" s="32">
        <f>IF($C722="","",IF(COUNTA($U722:$W722)&lt;3,"",IF(AND($U722="מפותח",$V722="מפותח",$W722="מפותחת"),"מפותחת",IF((--($U722="דל"))+(--($V722="אינו מפותח"))+(--($W722="דלה"))&gt;=2,"אינה מפותחת","חלקית"))))</f>
        <v/>
      </c>
      <c r="AA722" s="32">
        <f>IF($C722="","",IF(COUNTA($M722,$N722,$O722)&lt;3,"— חסרים נתונים",IF(OR($M722="נמוכה",(--($M722&lt;&gt;"תקינה"))+(--($N722&lt;&gt;"תקין"))+(--($O722&lt;&gt;"תקינה"))&gt;=2),"ניכרת","אינה ניכרת")))</f>
        <v/>
      </c>
      <c r="AB722" s="32">
        <f>IF(OR($C722="",$Y722="",$AA722="",LEFT($Y722,1)="—",LEFT($AA722,1)="—"),"",IF($Z722="","— נדרשת הערכת כתיבה",IF($L722="","— חסרה הבנת הנקרא",IF($Y722="אינה מדויקת או מקוטעת",IF($AA722="ניכרת","מיקוד בשטף הקריאה ובכישורי שפה","מיקוד בשטף קריאה"),IF($AA722="ניכרת","מיקוד בכישורי שפה",IF(AND($L722="תקינה",$Z722="מפותחת"),"קוראים וכותבים מיומנים","מיקוד בהבנה והבעה"))))))</f>
        <v/>
      </c>
      <c r="AC722" s="32">
        <f>IF(OR($AB722="",LEFT($AB722,1)="—"),"",IF(OR($AB722="מיקוד בשטף קריאה",$AB722="מיקוד בשטף הקריאה ובכישורי שפה"),"רמה א'",IF($AB722="קוראים וכותבים מיומנים","רמה ג'","רמה ב'")))</f>
        <v/>
      </c>
      <c r="AD722" s="32">
        <f>IF($AC722="","",MID(IF(AND($AC722="רמה א'",$AA722="ניכרת"),"; להוסיף עבודת אוצר מילים","")&amp;IF($Z722="אינה מפותחת","; דגש על הבעה בכתב","")&amp;IF($K722&lt;&gt;"תקין","; נדרש לעבוד על ההנגנה","")&amp;IF($AK722&lt;&gt;"","; "&amp;$AK722,""),3,400))</f>
        <v/>
      </c>
      <c r="AE722" s="32">
        <f>IF($F722="","",IF($F722="תחילת שנה",1,IF($F722="מחצית שנה",2,3)))</f>
        <v/>
      </c>
      <c r="AF722" s="32">
        <f>IF(OR($B722="",$AC722="",$A722="",$F722=""),"",$B722&amp;"|"&amp;$A722&amp;"|"&amp;$F722&amp;"|"&amp;$AC722&amp;"|"&amp;COUNTIFS($B$6:$B722,$B722,$A$6:$A722,$A722,$F$6:$F722,$F722,$AC$6:$AC722,$AC722))</f>
        <v/>
      </c>
      <c r="AG722" s="32">
        <f>IF($C722="","",$C722&amp;"|"&amp;COUNTIFS($C$6:$C722,$C722))</f>
        <v/>
      </c>
      <c r="AH722" s="32">
        <f>IF(OR($C722="",$A722="",$AE722=""),"",$C722&amp;"|"&amp;$A722&amp;"|"&amp;$AE722)</f>
        <v/>
      </c>
      <c r="AI722" s="32">
        <f>IF(OR($C722="",$AE722="",$AE722=1),"",IFERROR(INDEX($AC$6:$AC$1505,MATCH($C722&amp;"|"&amp;$A722&amp;"|"&amp;($AE722-1),$AH$6:$AH$1505,0)),""))</f>
        <v/>
      </c>
      <c r="AJ722" s="32">
        <f>IF(OR($AI722="",$AC722=""),"",IF($AI722=$AC722,"ללא שינוי","מ-"&amp;$AI722&amp;" ל-"&amp;$AC722))</f>
        <v/>
      </c>
      <c r="AK722" s="67" t="n"/>
    </row>
    <row r="723" ht="15.75" customHeight="1" s="58">
      <c r="A723" s="65" t="n"/>
      <c r="B723" s="65" t="n"/>
      <c r="C723" s="66" t="n"/>
      <c r="D723" s="66" t="n"/>
      <c r="E723" s="65" t="n"/>
      <c r="F723" s="65" t="n"/>
      <c r="G723" s="65" t="n"/>
      <c r="H723" s="65" t="n"/>
      <c r="I723" s="65" t="n"/>
      <c r="J723" s="65" t="n"/>
      <c r="K723" s="65" t="n"/>
      <c r="L723" s="65" t="n"/>
      <c r="M723" s="65" t="n"/>
      <c r="N723" s="65" t="n"/>
      <c r="O723" s="65" t="n"/>
      <c r="P723" s="65" t="n"/>
      <c r="Q723" s="65" t="n"/>
      <c r="R723" s="65" t="n"/>
      <c r="S723" s="65" t="n"/>
      <c r="T723" s="65" t="n"/>
      <c r="U723" s="65" t="n"/>
      <c r="V723" s="65" t="n"/>
      <c r="W723" s="65" t="n"/>
      <c r="X723" s="65" t="n"/>
      <c r="Y723" s="32">
        <f>IF($C723="","",IF(COUNTA($I723:$K723)&lt;3,"— חסרים נתונים",IF(AND($I723="תקין",$J723="תקין",$K723="תקין"),"רהוטה",IF(AND($I723="תקין",$J723="תקין"),"מדויקת ורציפה","אינה מדויקת או מקוטעת"))))</f>
        <v/>
      </c>
      <c r="Z723" s="32">
        <f>IF($C723="","",IF(COUNTA($U723:$W723)&lt;3,"",IF(AND($U723="מפותח",$V723="מפותח",$W723="מפותחת"),"מפותחת",IF((--($U723="דל"))+(--($V723="אינו מפותח"))+(--($W723="דלה"))&gt;=2,"אינה מפותחת","חלקית"))))</f>
        <v/>
      </c>
      <c r="AA723" s="32">
        <f>IF($C723="","",IF(COUNTA($M723,$N723,$O723)&lt;3,"— חסרים נתונים",IF(OR($M723="נמוכה",(--($M723&lt;&gt;"תקינה"))+(--($N723&lt;&gt;"תקין"))+(--($O723&lt;&gt;"תקינה"))&gt;=2),"ניכרת","אינה ניכרת")))</f>
        <v/>
      </c>
      <c r="AB723" s="32">
        <f>IF(OR($C723="",$Y723="",$AA723="",LEFT($Y723,1)="—",LEFT($AA723,1)="—"),"",IF($Z723="","— נדרשת הערכת כתיבה",IF($L723="","— חסרה הבנת הנקרא",IF($Y723="אינה מדויקת או מקוטעת",IF($AA723="ניכרת","מיקוד בשטף הקריאה ובכישורי שפה","מיקוד בשטף קריאה"),IF($AA723="ניכרת","מיקוד בכישורי שפה",IF(AND($L723="תקינה",$Z723="מפותחת"),"קוראים וכותבים מיומנים","מיקוד בהבנה והבעה"))))))</f>
        <v/>
      </c>
      <c r="AC723" s="32">
        <f>IF(OR($AB723="",LEFT($AB723,1)="—"),"",IF(OR($AB723="מיקוד בשטף קריאה",$AB723="מיקוד בשטף הקריאה ובכישורי שפה"),"רמה א'",IF($AB723="קוראים וכותבים מיומנים","רמה ג'","רמה ב'")))</f>
        <v/>
      </c>
      <c r="AD723" s="32">
        <f>IF($AC723="","",MID(IF(AND($AC723="רמה א'",$AA723="ניכרת"),"; להוסיף עבודת אוצר מילים","")&amp;IF($Z723="אינה מפותחת","; דגש על הבעה בכתב","")&amp;IF($K723&lt;&gt;"תקין","; נדרש לעבוד על ההנגנה","")&amp;IF($AK723&lt;&gt;"","; "&amp;$AK723,""),3,400))</f>
        <v/>
      </c>
      <c r="AE723" s="32">
        <f>IF($F723="","",IF($F723="תחילת שנה",1,IF($F723="מחצית שנה",2,3)))</f>
        <v/>
      </c>
      <c r="AF723" s="32">
        <f>IF(OR($B723="",$AC723="",$A723="",$F723=""),"",$B723&amp;"|"&amp;$A723&amp;"|"&amp;$F723&amp;"|"&amp;$AC723&amp;"|"&amp;COUNTIFS($B$6:$B723,$B723,$A$6:$A723,$A723,$F$6:$F723,$F723,$AC$6:$AC723,$AC723))</f>
        <v/>
      </c>
      <c r="AG723" s="32">
        <f>IF($C723="","",$C723&amp;"|"&amp;COUNTIFS($C$6:$C723,$C723))</f>
        <v/>
      </c>
      <c r="AH723" s="32">
        <f>IF(OR($C723="",$A723="",$AE723=""),"",$C723&amp;"|"&amp;$A723&amp;"|"&amp;$AE723)</f>
        <v/>
      </c>
      <c r="AI723" s="32">
        <f>IF(OR($C723="",$AE723="",$AE723=1),"",IFERROR(INDEX($AC$6:$AC$1505,MATCH($C723&amp;"|"&amp;$A723&amp;"|"&amp;($AE723-1),$AH$6:$AH$1505,0)),""))</f>
        <v/>
      </c>
      <c r="AJ723" s="32">
        <f>IF(OR($AI723="",$AC723=""),"",IF($AI723=$AC723,"ללא שינוי","מ-"&amp;$AI723&amp;" ל-"&amp;$AC723))</f>
        <v/>
      </c>
      <c r="AK723" s="67" t="n"/>
    </row>
    <row r="724" ht="15.75" customHeight="1" s="58">
      <c r="A724" s="65" t="n"/>
      <c r="B724" s="65" t="n"/>
      <c r="C724" s="66" t="n"/>
      <c r="D724" s="66" t="n"/>
      <c r="E724" s="65" t="n"/>
      <c r="F724" s="65" t="n"/>
      <c r="G724" s="65" t="n"/>
      <c r="H724" s="65" t="n"/>
      <c r="I724" s="65" t="n"/>
      <c r="J724" s="65" t="n"/>
      <c r="K724" s="65" t="n"/>
      <c r="L724" s="65" t="n"/>
      <c r="M724" s="65" t="n"/>
      <c r="N724" s="65" t="n"/>
      <c r="O724" s="65" t="n"/>
      <c r="P724" s="65" t="n"/>
      <c r="Q724" s="65" t="n"/>
      <c r="R724" s="65" t="n"/>
      <c r="S724" s="65" t="n"/>
      <c r="T724" s="65" t="n"/>
      <c r="U724" s="65" t="n"/>
      <c r="V724" s="65" t="n"/>
      <c r="W724" s="65" t="n"/>
      <c r="X724" s="65" t="n"/>
      <c r="Y724" s="32">
        <f>IF($C724="","",IF(COUNTA($I724:$K724)&lt;3,"— חסרים נתונים",IF(AND($I724="תקין",$J724="תקין",$K724="תקין"),"רהוטה",IF(AND($I724="תקין",$J724="תקין"),"מדויקת ורציפה","אינה מדויקת או מקוטעת"))))</f>
        <v/>
      </c>
      <c r="Z724" s="32">
        <f>IF($C724="","",IF(COUNTA($U724:$W724)&lt;3,"",IF(AND($U724="מפותח",$V724="מפותח",$W724="מפותחת"),"מפותחת",IF((--($U724="דל"))+(--($V724="אינו מפותח"))+(--($W724="דלה"))&gt;=2,"אינה מפותחת","חלקית"))))</f>
        <v/>
      </c>
      <c r="AA724" s="32">
        <f>IF($C724="","",IF(COUNTA($M724,$N724,$O724)&lt;3,"— חסרים נתונים",IF(OR($M724="נמוכה",(--($M724&lt;&gt;"תקינה"))+(--($N724&lt;&gt;"תקין"))+(--($O724&lt;&gt;"תקינה"))&gt;=2),"ניכרת","אינה ניכרת")))</f>
        <v/>
      </c>
      <c r="AB724" s="32">
        <f>IF(OR($C724="",$Y724="",$AA724="",LEFT($Y724,1)="—",LEFT($AA724,1)="—"),"",IF($Z724="","— נדרשת הערכת כתיבה",IF($L724="","— חסרה הבנת הנקרא",IF($Y724="אינה מדויקת או מקוטעת",IF($AA724="ניכרת","מיקוד בשטף הקריאה ובכישורי שפה","מיקוד בשטף קריאה"),IF($AA724="ניכרת","מיקוד בכישורי שפה",IF(AND($L724="תקינה",$Z724="מפותחת"),"קוראים וכותבים מיומנים","מיקוד בהבנה והבעה"))))))</f>
        <v/>
      </c>
      <c r="AC724" s="32">
        <f>IF(OR($AB724="",LEFT($AB724,1)="—"),"",IF(OR($AB724="מיקוד בשטף קריאה",$AB724="מיקוד בשטף הקריאה ובכישורי שפה"),"רמה א'",IF($AB724="קוראים וכותבים מיומנים","רמה ג'","רמה ב'")))</f>
        <v/>
      </c>
      <c r="AD724" s="32">
        <f>IF($AC724="","",MID(IF(AND($AC724="רמה א'",$AA724="ניכרת"),"; להוסיף עבודת אוצר מילים","")&amp;IF($Z724="אינה מפותחת","; דגש על הבעה בכתב","")&amp;IF($K724&lt;&gt;"תקין","; נדרש לעבוד על ההנגנה","")&amp;IF($AK724&lt;&gt;"","; "&amp;$AK724,""),3,400))</f>
        <v/>
      </c>
      <c r="AE724" s="32">
        <f>IF($F724="","",IF($F724="תחילת שנה",1,IF($F724="מחצית שנה",2,3)))</f>
        <v/>
      </c>
      <c r="AF724" s="32">
        <f>IF(OR($B724="",$AC724="",$A724="",$F724=""),"",$B724&amp;"|"&amp;$A724&amp;"|"&amp;$F724&amp;"|"&amp;$AC724&amp;"|"&amp;COUNTIFS($B$6:$B724,$B724,$A$6:$A724,$A724,$F$6:$F724,$F724,$AC$6:$AC724,$AC724))</f>
        <v/>
      </c>
      <c r="AG724" s="32">
        <f>IF($C724="","",$C724&amp;"|"&amp;COUNTIFS($C$6:$C724,$C724))</f>
        <v/>
      </c>
      <c r="AH724" s="32">
        <f>IF(OR($C724="",$A724="",$AE724=""),"",$C724&amp;"|"&amp;$A724&amp;"|"&amp;$AE724)</f>
        <v/>
      </c>
      <c r="AI724" s="32">
        <f>IF(OR($C724="",$AE724="",$AE724=1),"",IFERROR(INDEX($AC$6:$AC$1505,MATCH($C724&amp;"|"&amp;$A724&amp;"|"&amp;($AE724-1),$AH$6:$AH$1505,0)),""))</f>
        <v/>
      </c>
      <c r="AJ724" s="32">
        <f>IF(OR($AI724="",$AC724=""),"",IF($AI724=$AC724,"ללא שינוי","מ-"&amp;$AI724&amp;" ל-"&amp;$AC724))</f>
        <v/>
      </c>
      <c r="AK724" s="67" t="n"/>
    </row>
    <row r="725" ht="15.75" customHeight="1" s="58">
      <c r="A725" s="65" t="n"/>
      <c r="B725" s="65" t="n"/>
      <c r="C725" s="66" t="n"/>
      <c r="D725" s="66" t="n"/>
      <c r="E725" s="65" t="n"/>
      <c r="F725" s="65" t="n"/>
      <c r="G725" s="65" t="n"/>
      <c r="H725" s="65" t="n"/>
      <c r="I725" s="65" t="n"/>
      <c r="J725" s="65" t="n"/>
      <c r="K725" s="65" t="n"/>
      <c r="L725" s="65" t="n"/>
      <c r="M725" s="65" t="n"/>
      <c r="N725" s="65" t="n"/>
      <c r="O725" s="65" t="n"/>
      <c r="P725" s="65" t="n"/>
      <c r="Q725" s="65" t="n"/>
      <c r="R725" s="65" t="n"/>
      <c r="S725" s="65" t="n"/>
      <c r="T725" s="65" t="n"/>
      <c r="U725" s="65" t="n"/>
      <c r="V725" s="65" t="n"/>
      <c r="W725" s="65" t="n"/>
      <c r="X725" s="65" t="n"/>
      <c r="Y725" s="32">
        <f>IF($C725="","",IF(COUNTA($I725:$K725)&lt;3,"— חסרים נתונים",IF(AND($I725="תקין",$J725="תקין",$K725="תקין"),"רהוטה",IF(AND($I725="תקין",$J725="תקין"),"מדויקת ורציפה","אינה מדויקת או מקוטעת"))))</f>
        <v/>
      </c>
      <c r="Z725" s="32">
        <f>IF($C725="","",IF(COUNTA($U725:$W725)&lt;3,"",IF(AND($U725="מפותח",$V725="מפותח",$W725="מפותחת"),"מפותחת",IF((--($U725="דל"))+(--($V725="אינו מפותח"))+(--($W725="דלה"))&gt;=2,"אינה מפותחת","חלקית"))))</f>
        <v/>
      </c>
      <c r="AA725" s="32">
        <f>IF($C725="","",IF(COUNTA($M725,$N725,$O725)&lt;3,"— חסרים נתונים",IF(OR($M725="נמוכה",(--($M725&lt;&gt;"תקינה"))+(--($N725&lt;&gt;"תקין"))+(--($O725&lt;&gt;"תקינה"))&gt;=2),"ניכרת","אינה ניכרת")))</f>
        <v/>
      </c>
      <c r="AB725" s="32">
        <f>IF(OR($C725="",$Y725="",$AA725="",LEFT($Y725,1)="—",LEFT($AA725,1)="—"),"",IF($Z725="","— נדרשת הערכת כתיבה",IF($L725="","— חסרה הבנת הנקרא",IF($Y725="אינה מדויקת או מקוטעת",IF($AA725="ניכרת","מיקוד בשטף הקריאה ובכישורי שפה","מיקוד בשטף קריאה"),IF($AA725="ניכרת","מיקוד בכישורי שפה",IF(AND($L725="תקינה",$Z725="מפותחת"),"קוראים וכותבים מיומנים","מיקוד בהבנה והבעה"))))))</f>
        <v/>
      </c>
      <c r="AC725" s="32">
        <f>IF(OR($AB725="",LEFT($AB725,1)="—"),"",IF(OR($AB725="מיקוד בשטף קריאה",$AB725="מיקוד בשטף הקריאה ובכישורי שפה"),"רמה א'",IF($AB725="קוראים וכותבים מיומנים","רמה ג'","רמה ב'")))</f>
        <v/>
      </c>
      <c r="AD725" s="32">
        <f>IF($AC725="","",MID(IF(AND($AC725="רמה א'",$AA725="ניכרת"),"; להוסיף עבודת אוצר מילים","")&amp;IF($Z725="אינה מפותחת","; דגש על הבעה בכתב","")&amp;IF($K725&lt;&gt;"תקין","; נדרש לעבוד על ההנגנה","")&amp;IF($AK725&lt;&gt;"","; "&amp;$AK725,""),3,400))</f>
        <v/>
      </c>
      <c r="AE725" s="32">
        <f>IF($F725="","",IF($F725="תחילת שנה",1,IF($F725="מחצית שנה",2,3)))</f>
        <v/>
      </c>
      <c r="AF725" s="32">
        <f>IF(OR($B725="",$AC725="",$A725="",$F725=""),"",$B725&amp;"|"&amp;$A725&amp;"|"&amp;$F725&amp;"|"&amp;$AC725&amp;"|"&amp;COUNTIFS($B$6:$B725,$B725,$A$6:$A725,$A725,$F$6:$F725,$F725,$AC$6:$AC725,$AC725))</f>
        <v/>
      </c>
      <c r="AG725" s="32">
        <f>IF($C725="","",$C725&amp;"|"&amp;COUNTIFS($C$6:$C725,$C725))</f>
        <v/>
      </c>
      <c r="AH725" s="32">
        <f>IF(OR($C725="",$A725="",$AE725=""),"",$C725&amp;"|"&amp;$A725&amp;"|"&amp;$AE725)</f>
        <v/>
      </c>
      <c r="AI725" s="32">
        <f>IF(OR($C725="",$AE725="",$AE725=1),"",IFERROR(INDEX($AC$6:$AC$1505,MATCH($C725&amp;"|"&amp;$A725&amp;"|"&amp;($AE725-1),$AH$6:$AH$1505,0)),""))</f>
        <v/>
      </c>
      <c r="AJ725" s="32">
        <f>IF(OR($AI725="",$AC725=""),"",IF($AI725=$AC725,"ללא שינוי","מ-"&amp;$AI725&amp;" ל-"&amp;$AC725))</f>
        <v/>
      </c>
      <c r="AK725" s="67" t="n"/>
    </row>
    <row r="726" ht="15.75" customHeight="1" s="58">
      <c r="A726" s="65" t="n"/>
      <c r="B726" s="65" t="n"/>
      <c r="C726" s="66" t="n"/>
      <c r="D726" s="66" t="n"/>
      <c r="E726" s="65" t="n"/>
      <c r="F726" s="65" t="n"/>
      <c r="G726" s="65" t="n"/>
      <c r="H726" s="65" t="n"/>
      <c r="I726" s="65" t="n"/>
      <c r="J726" s="65" t="n"/>
      <c r="K726" s="65" t="n"/>
      <c r="L726" s="65" t="n"/>
      <c r="M726" s="65" t="n"/>
      <c r="N726" s="65" t="n"/>
      <c r="O726" s="65" t="n"/>
      <c r="P726" s="65" t="n"/>
      <c r="Q726" s="65" t="n"/>
      <c r="R726" s="65" t="n"/>
      <c r="S726" s="65" t="n"/>
      <c r="T726" s="65" t="n"/>
      <c r="U726" s="65" t="n"/>
      <c r="V726" s="65" t="n"/>
      <c r="W726" s="65" t="n"/>
      <c r="X726" s="65" t="n"/>
      <c r="Y726" s="32">
        <f>IF($C726="","",IF(COUNTA($I726:$K726)&lt;3,"— חסרים נתונים",IF(AND($I726="תקין",$J726="תקין",$K726="תקין"),"רהוטה",IF(AND($I726="תקין",$J726="תקין"),"מדויקת ורציפה","אינה מדויקת או מקוטעת"))))</f>
        <v/>
      </c>
      <c r="Z726" s="32">
        <f>IF($C726="","",IF(COUNTA($U726:$W726)&lt;3,"",IF(AND($U726="מפותח",$V726="מפותח",$W726="מפותחת"),"מפותחת",IF((--($U726="דל"))+(--($V726="אינו מפותח"))+(--($W726="דלה"))&gt;=2,"אינה מפותחת","חלקית"))))</f>
        <v/>
      </c>
      <c r="AA726" s="32">
        <f>IF($C726="","",IF(COUNTA($M726,$N726,$O726)&lt;3,"— חסרים נתונים",IF(OR($M726="נמוכה",(--($M726&lt;&gt;"תקינה"))+(--($N726&lt;&gt;"תקין"))+(--($O726&lt;&gt;"תקינה"))&gt;=2),"ניכרת","אינה ניכרת")))</f>
        <v/>
      </c>
      <c r="AB726" s="32">
        <f>IF(OR($C726="",$Y726="",$AA726="",LEFT($Y726,1)="—",LEFT($AA726,1)="—"),"",IF($Z726="","— נדרשת הערכת כתיבה",IF($L726="","— חסרה הבנת הנקרא",IF($Y726="אינה מדויקת או מקוטעת",IF($AA726="ניכרת","מיקוד בשטף הקריאה ובכישורי שפה","מיקוד בשטף קריאה"),IF($AA726="ניכרת","מיקוד בכישורי שפה",IF(AND($L726="תקינה",$Z726="מפותחת"),"קוראים וכותבים מיומנים","מיקוד בהבנה והבעה"))))))</f>
        <v/>
      </c>
      <c r="AC726" s="32">
        <f>IF(OR($AB726="",LEFT($AB726,1)="—"),"",IF(OR($AB726="מיקוד בשטף קריאה",$AB726="מיקוד בשטף הקריאה ובכישורי שפה"),"רמה א'",IF($AB726="קוראים וכותבים מיומנים","רמה ג'","רמה ב'")))</f>
        <v/>
      </c>
      <c r="AD726" s="32">
        <f>IF($AC726="","",MID(IF(AND($AC726="רמה א'",$AA726="ניכרת"),"; להוסיף עבודת אוצר מילים","")&amp;IF($Z726="אינה מפותחת","; דגש על הבעה בכתב","")&amp;IF($K726&lt;&gt;"תקין","; נדרש לעבוד על ההנגנה","")&amp;IF($AK726&lt;&gt;"","; "&amp;$AK726,""),3,400))</f>
        <v/>
      </c>
      <c r="AE726" s="32">
        <f>IF($F726="","",IF($F726="תחילת שנה",1,IF($F726="מחצית שנה",2,3)))</f>
        <v/>
      </c>
      <c r="AF726" s="32">
        <f>IF(OR($B726="",$AC726="",$A726="",$F726=""),"",$B726&amp;"|"&amp;$A726&amp;"|"&amp;$F726&amp;"|"&amp;$AC726&amp;"|"&amp;COUNTIFS($B$6:$B726,$B726,$A$6:$A726,$A726,$F$6:$F726,$F726,$AC$6:$AC726,$AC726))</f>
        <v/>
      </c>
      <c r="AG726" s="32">
        <f>IF($C726="","",$C726&amp;"|"&amp;COUNTIFS($C$6:$C726,$C726))</f>
        <v/>
      </c>
      <c r="AH726" s="32">
        <f>IF(OR($C726="",$A726="",$AE726=""),"",$C726&amp;"|"&amp;$A726&amp;"|"&amp;$AE726)</f>
        <v/>
      </c>
      <c r="AI726" s="32">
        <f>IF(OR($C726="",$AE726="",$AE726=1),"",IFERROR(INDEX($AC$6:$AC$1505,MATCH($C726&amp;"|"&amp;$A726&amp;"|"&amp;($AE726-1),$AH$6:$AH$1505,0)),""))</f>
        <v/>
      </c>
      <c r="AJ726" s="32">
        <f>IF(OR($AI726="",$AC726=""),"",IF($AI726=$AC726,"ללא שינוי","מ-"&amp;$AI726&amp;" ל-"&amp;$AC726))</f>
        <v/>
      </c>
      <c r="AK726" s="67" t="n"/>
    </row>
    <row r="727" ht="15.75" customHeight="1" s="58">
      <c r="A727" s="65" t="n"/>
      <c r="B727" s="65" t="n"/>
      <c r="C727" s="66" t="n"/>
      <c r="D727" s="66" t="n"/>
      <c r="E727" s="65" t="n"/>
      <c r="F727" s="65" t="n"/>
      <c r="G727" s="65" t="n"/>
      <c r="H727" s="65" t="n"/>
      <c r="I727" s="65" t="n"/>
      <c r="J727" s="65" t="n"/>
      <c r="K727" s="65" t="n"/>
      <c r="L727" s="65" t="n"/>
      <c r="M727" s="65" t="n"/>
      <c r="N727" s="65" t="n"/>
      <c r="O727" s="65" t="n"/>
      <c r="P727" s="65" t="n"/>
      <c r="Q727" s="65" t="n"/>
      <c r="R727" s="65" t="n"/>
      <c r="S727" s="65" t="n"/>
      <c r="T727" s="65" t="n"/>
      <c r="U727" s="65" t="n"/>
      <c r="V727" s="65" t="n"/>
      <c r="W727" s="65" t="n"/>
      <c r="X727" s="65" t="n"/>
      <c r="Y727" s="32">
        <f>IF($C727="","",IF(COUNTA($I727:$K727)&lt;3,"— חסרים נתונים",IF(AND($I727="תקין",$J727="תקין",$K727="תקין"),"רהוטה",IF(AND($I727="תקין",$J727="תקין"),"מדויקת ורציפה","אינה מדויקת או מקוטעת"))))</f>
        <v/>
      </c>
      <c r="Z727" s="32">
        <f>IF($C727="","",IF(COUNTA($U727:$W727)&lt;3,"",IF(AND($U727="מפותח",$V727="מפותח",$W727="מפותחת"),"מפותחת",IF((--($U727="דל"))+(--($V727="אינו מפותח"))+(--($W727="דלה"))&gt;=2,"אינה מפותחת","חלקית"))))</f>
        <v/>
      </c>
      <c r="AA727" s="32">
        <f>IF($C727="","",IF(COUNTA($M727,$N727,$O727)&lt;3,"— חסרים נתונים",IF(OR($M727="נמוכה",(--($M727&lt;&gt;"תקינה"))+(--($N727&lt;&gt;"תקין"))+(--($O727&lt;&gt;"תקינה"))&gt;=2),"ניכרת","אינה ניכרת")))</f>
        <v/>
      </c>
      <c r="AB727" s="32">
        <f>IF(OR($C727="",$Y727="",$AA727="",LEFT($Y727,1)="—",LEFT($AA727,1)="—"),"",IF($Z727="","— נדרשת הערכת כתיבה",IF($L727="","— חסרה הבנת הנקרא",IF($Y727="אינה מדויקת או מקוטעת",IF($AA727="ניכרת","מיקוד בשטף הקריאה ובכישורי שפה","מיקוד בשטף קריאה"),IF($AA727="ניכרת","מיקוד בכישורי שפה",IF(AND($L727="תקינה",$Z727="מפותחת"),"קוראים וכותבים מיומנים","מיקוד בהבנה והבעה"))))))</f>
        <v/>
      </c>
      <c r="AC727" s="32">
        <f>IF(OR($AB727="",LEFT($AB727,1)="—"),"",IF(OR($AB727="מיקוד בשטף קריאה",$AB727="מיקוד בשטף הקריאה ובכישורי שפה"),"רמה א'",IF($AB727="קוראים וכותבים מיומנים","רמה ג'","רמה ב'")))</f>
        <v/>
      </c>
      <c r="AD727" s="32">
        <f>IF($AC727="","",MID(IF(AND($AC727="רמה א'",$AA727="ניכרת"),"; להוסיף עבודת אוצר מילים","")&amp;IF($Z727="אינה מפותחת","; דגש על הבעה בכתב","")&amp;IF($K727&lt;&gt;"תקין","; נדרש לעבוד על ההנגנה","")&amp;IF($AK727&lt;&gt;"","; "&amp;$AK727,""),3,400))</f>
        <v/>
      </c>
      <c r="AE727" s="32">
        <f>IF($F727="","",IF($F727="תחילת שנה",1,IF($F727="מחצית שנה",2,3)))</f>
        <v/>
      </c>
      <c r="AF727" s="32">
        <f>IF(OR($B727="",$AC727="",$A727="",$F727=""),"",$B727&amp;"|"&amp;$A727&amp;"|"&amp;$F727&amp;"|"&amp;$AC727&amp;"|"&amp;COUNTIFS($B$6:$B727,$B727,$A$6:$A727,$A727,$F$6:$F727,$F727,$AC$6:$AC727,$AC727))</f>
        <v/>
      </c>
      <c r="AG727" s="32">
        <f>IF($C727="","",$C727&amp;"|"&amp;COUNTIFS($C$6:$C727,$C727))</f>
        <v/>
      </c>
      <c r="AH727" s="32">
        <f>IF(OR($C727="",$A727="",$AE727=""),"",$C727&amp;"|"&amp;$A727&amp;"|"&amp;$AE727)</f>
        <v/>
      </c>
      <c r="AI727" s="32">
        <f>IF(OR($C727="",$AE727="",$AE727=1),"",IFERROR(INDEX($AC$6:$AC$1505,MATCH($C727&amp;"|"&amp;$A727&amp;"|"&amp;($AE727-1),$AH$6:$AH$1505,0)),""))</f>
        <v/>
      </c>
      <c r="AJ727" s="32">
        <f>IF(OR($AI727="",$AC727=""),"",IF($AI727=$AC727,"ללא שינוי","מ-"&amp;$AI727&amp;" ל-"&amp;$AC727))</f>
        <v/>
      </c>
      <c r="AK727" s="67" t="n"/>
    </row>
    <row r="728" ht="15.75" customHeight="1" s="58">
      <c r="A728" s="65" t="n"/>
      <c r="B728" s="65" t="n"/>
      <c r="C728" s="66" t="n"/>
      <c r="D728" s="66" t="n"/>
      <c r="E728" s="65" t="n"/>
      <c r="F728" s="65" t="n"/>
      <c r="G728" s="65" t="n"/>
      <c r="H728" s="65" t="n"/>
      <c r="I728" s="65" t="n"/>
      <c r="J728" s="65" t="n"/>
      <c r="K728" s="65" t="n"/>
      <c r="L728" s="65" t="n"/>
      <c r="M728" s="65" t="n"/>
      <c r="N728" s="65" t="n"/>
      <c r="O728" s="65" t="n"/>
      <c r="P728" s="65" t="n"/>
      <c r="Q728" s="65" t="n"/>
      <c r="R728" s="65" t="n"/>
      <c r="S728" s="65" t="n"/>
      <c r="T728" s="65" t="n"/>
      <c r="U728" s="65" t="n"/>
      <c r="V728" s="65" t="n"/>
      <c r="W728" s="65" t="n"/>
      <c r="X728" s="65" t="n"/>
      <c r="Y728" s="32">
        <f>IF($C728="","",IF(COUNTA($I728:$K728)&lt;3,"— חסרים נתונים",IF(AND($I728="תקין",$J728="תקין",$K728="תקין"),"רהוטה",IF(AND($I728="תקין",$J728="תקין"),"מדויקת ורציפה","אינה מדויקת או מקוטעת"))))</f>
        <v/>
      </c>
      <c r="Z728" s="32">
        <f>IF($C728="","",IF(COUNTA($U728:$W728)&lt;3,"",IF(AND($U728="מפותח",$V728="מפותח",$W728="מפותחת"),"מפותחת",IF((--($U728="דל"))+(--($V728="אינו מפותח"))+(--($W728="דלה"))&gt;=2,"אינה מפותחת","חלקית"))))</f>
        <v/>
      </c>
      <c r="AA728" s="32">
        <f>IF($C728="","",IF(COUNTA($M728,$N728,$O728)&lt;3,"— חסרים נתונים",IF(OR($M728="נמוכה",(--($M728&lt;&gt;"תקינה"))+(--($N728&lt;&gt;"תקין"))+(--($O728&lt;&gt;"תקינה"))&gt;=2),"ניכרת","אינה ניכרת")))</f>
        <v/>
      </c>
      <c r="AB728" s="32">
        <f>IF(OR($C728="",$Y728="",$AA728="",LEFT($Y728,1)="—",LEFT($AA728,1)="—"),"",IF($Z728="","— נדרשת הערכת כתיבה",IF($L728="","— חסרה הבנת הנקרא",IF($Y728="אינה מדויקת או מקוטעת",IF($AA728="ניכרת","מיקוד בשטף הקריאה ובכישורי שפה","מיקוד בשטף קריאה"),IF($AA728="ניכרת","מיקוד בכישורי שפה",IF(AND($L728="תקינה",$Z728="מפותחת"),"קוראים וכותבים מיומנים","מיקוד בהבנה והבעה"))))))</f>
        <v/>
      </c>
      <c r="AC728" s="32">
        <f>IF(OR($AB728="",LEFT($AB728,1)="—"),"",IF(OR($AB728="מיקוד בשטף קריאה",$AB728="מיקוד בשטף הקריאה ובכישורי שפה"),"רמה א'",IF($AB728="קוראים וכותבים מיומנים","רמה ג'","רמה ב'")))</f>
        <v/>
      </c>
      <c r="AD728" s="32">
        <f>IF($AC728="","",MID(IF(AND($AC728="רמה א'",$AA728="ניכרת"),"; להוסיף עבודת אוצר מילים","")&amp;IF($Z728="אינה מפותחת","; דגש על הבעה בכתב","")&amp;IF($K728&lt;&gt;"תקין","; נדרש לעבוד על ההנגנה","")&amp;IF($AK728&lt;&gt;"","; "&amp;$AK728,""),3,400))</f>
        <v/>
      </c>
      <c r="AE728" s="32">
        <f>IF($F728="","",IF($F728="תחילת שנה",1,IF($F728="מחצית שנה",2,3)))</f>
        <v/>
      </c>
      <c r="AF728" s="32">
        <f>IF(OR($B728="",$AC728="",$A728="",$F728=""),"",$B728&amp;"|"&amp;$A728&amp;"|"&amp;$F728&amp;"|"&amp;$AC728&amp;"|"&amp;COUNTIFS($B$6:$B728,$B728,$A$6:$A728,$A728,$F$6:$F728,$F728,$AC$6:$AC728,$AC728))</f>
        <v/>
      </c>
      <c r="AG728" s="32">
        <f>IF($C728="","",$C728&amp;"|"&amp;COUNTIFS($C$6:$C728,$C728))</f>
        <v/>
      </c>
      <c r="AH728" s="32">
        <f>IF(OR($C728="",$A728="",$AE728=""),"",$C728&amp;"|"&amp;$A728&amp;"|"&amp;$AE728)</f>
        <v/>
      </c>
      <c r="AI728" s="32">
        <f>IF(OR($C728="",$AE728="",$AE728=1),"",IFERROR(INDEX($AC$6:$AC$1505,MATCH($C728&amp;"|"&amp;$A728&amp;"|"&amp;($AE728-1),$AH$6:$AH$1505,0)),""))</f>
        <v/>
      </c>
      <c r="AJ728" s="32">
        <f>IF(OR($AI728="",$AC728=""),"",IF($AI728=$AC728,"ללא שינוי","מ-"&amp;$AI728&amp;" ל-"&amp;$AC728))</f>
        <v/>
      </c>
      <c r="AK728" s="67" t="n"/>
    </row>
    <row r="729" ht="15.75" customHeight="1" s="58">
      <c r="A729" s="65" t="n"/>
      <c r="B729" s="65" t="n"/>
      <c r="C729" s="66" t="n"/>
      <c r="D729" s="66" t="n"/>
      <c r="E729" s="65" t="n"/>
      <c r="F729" s="65" t="n"/>
      <c r="G729" s="65" t="n"/>
      <c r="H729" s="65" t="n"/>
      <c r="I729" s="65" t="n"/>
      <c r="J729" s="65" t="n"/>
      <c r="K729" s="65" t="n"/>
      <c r="L729" s="65" t="n"/>
      <c r="M729" s="65" t="n"/>
      <c r="N729" s="65" t="n"/>
      <c r="O729" s="65" t="n"/>
      <c r="P729" s="65" t="n"/>
      <c r="Q729" s="65" t="n"/>
      <c r="R729" s="65" t="n"/>
      <c r="S729" s="65" t="n"/>
      <c r="T729" s="65" t="n"/>
      <c r="U729" s="65" t="n"/>
      <c r="V729" s="65" t="n"/>
      <c r="W729" s="65" t="n"/>
      <c r="X729" s="65" t="n"/>
      <c r="Y729" s="32">
        <f>IF($C729="","",IF(COUNTA($I729:$K729)&lt;3,"— חסרים נתונים",IF(AND($I729="תקין",$J729="תקין",$K729="תקין"),"רהוטה",IF(AND($I729="תקין",$J729="תקין"),"מדויקת ורציפה","אינה מדויקת או מקוטעת"))))</f>
        <v/>
      </c>
      <c r="Z729" s="32">
        <f>IF($C729="","",IF(COUNTA($U729:$W729)&lt;3,"",IF(AND($U729="מפותח",$V729="מפותח",$W729="מפותחת"),"מפותחת",IF((--($U729="דל"))+(--($V729="אינו מפותח"))+(--($W729="דלה"))&gt;=2,"אינה מפותחת","חלקית"))))</f>
        <v/>
      </c>
      <c r="AA729" s="32">
        <f>IF($C729="","",IF(COUNTA($M729,$N729,$O729)&lt;3,"— חסרים נתונים",IF(OR($M729="נמוכה",(--($M729&lt;&gt;"תקינה"))+(--($N729&lt;&gt;"תקין"))+(--($O729&lt;&gt;"תקינה"))&gt;=2),"ניכרת","אינה ניכרת")))</f>
        <v/>
      </c>
      <c r="AB729" s="32">
        <f>IF(OR($C729="",$Y729="",$AA729="",LEFT($Y729,1)="—",LEFT($AA729,1)="—"),"",IF($Z729="","— נדרשת הערכת כתיבה",IF($L729="","— חסרה הבנת הנקרא",IF($Y729="אינה מדויקת או מקוטעת",IF($AA729="ניכרת","מיקוד בשטף הקריאה ובכישורי שפה","מיקוד בשטף קריאה"),IF($AA729="ניכרת","מיקוד בכישורי שפה",IF(AND($L729="תקינה",$Z729="מפותחת"),"קוראים וכותבים מיומנים","מיקוד בהבנה והבעה"))))))</f>
        <v/>
      </c>
      <c r="AC729" s="32">
        <f>IF(OR($AB729="",LEFT($AB729,1)="—"),"",IF(OR($AB729="מיקוד בשטף קריאה",$AB729="מיקוד בשטף הקריאה ובכישורי שפה"),"רמה א'",IF($AB729="קוראים וכותבים מיומנים","רמה ג'","רמה ב'")))</f>
        <v/>
      </c>
      <c r="AD729" s="32">
        <f>IF($AC729="","",MID(IF(AND($AC729="רמה א'",$AA729="ניכרת"),"; להוסיף עבודת אוצר מילים","")&amp;IF($Z729="אינה מפותחת","; דגש על הבעה בכתב","")&amp;IF($K729&lt;&gt;"תקין","; נדרש לעבוד על ההנגנה","")&amp;IF($AK729&lt;&gt;"","; "&amp;$AK729,""),3,400))</f>
        <v/>
      </c>
      <c r="AE729" s="32">
        <f>IF($F729="","",IF($F729="תחילת שנה",1,IF($F729="מחצית שנה",2,3)))</f>
        <v/>
      </c>
      <c r="AF729" s="32">
        <f>IF(OR($B729="",$AC729="",$A729="",$F729=""),"",$B729&amp;"|"&amp;$A729&amp;"|"&amp;$F729&amp;"|"&amp;$AC729&amp;"|"&amp;COUNTIFS($B$6:$B729,$B729,$A$6:$A729,$A729,$F$6:$F729,$F729,$AC$6:$AC729,$AC729))</f>
        <v/>
      </c>
      <c r="AG729" s="32">
        <f>IF($C729="","",$C729&amp;"|"&amp;COUNTIFS($C$6:$C729,$C729))</f>
        <v/>
      </c>
      <c r="AH729" s="32">
        <f>IF(OR($C729="",$A729="",$AE729=""),"",$C729&amp;"|"&amp;$A729&amp;"|"&amp;$AE729)</f>
        <v/>
      </c>
      <c r="AI729" s="32">
        <f>IF(OR($C729="",$AE729="",$AE729=1),"",IFERROR(INDEX($AC$6:$AC$1505,MATCH($C729&amp;"|"&amp;$A729&amp;"|"&amp;($AE729-1),$AH$6:$AH$1505,0)),""))</f>
        <v/>
      </c>
      <c r="AJ729" s="32">
        <f>IF(OR($AI729="",$AC729=""),"",IF($AI729=$AC729,"ללא שינוי","מ-"&amp;$AI729&amp;" ל-"&amp;$AC729))</f>
        <v/>
      </c>
      <c r="AK729" s="67" t="n"/>
    </row>
    <row r="730" ht="15.75" customHeight="1" s="58">
      <c r="A730" s="65" t="n"/>
      <c r="B730" s="65" t="n"/>
      <c r="C730" s="66" t="n"/>
      <c r="D730" s="66" t="n"/>
      <c r="E730" s="65" t="n"/>
      <c r="F730" s="65" t="n"/>
      <c r="G730" s="65" t="n"/>
      <c r="H730" s="65" t="n"/>
      <c r="I730" s="65" t="n"/>
      <c r="J730" s="65" t="n"/>
      <c r="K730" s="65" t="n"/>
      <c r="L730" s="65" t="n"/>
      <c r="M730" s="65" t="n"/>
      <c r="N730" s="65" t="n"/>
      <c r="O730" s="65" t="n"/>
      <c r="P730" s="65" t="n"/>
      <c r="Q730" s="65" t="n"/>
      <c r="R730" s="65" t="n"/>
      <c r="S730" s="65" t="n"/>
      <c r="T730" s="65" t="n"/>
      <c r="U730" s="65" t="n"/>
      <c r="V730" s="65" t="n"/>
      <c r="W730" s="65" t="n"/>
      <c r="X730" s="65" t="n"/>
      <c r="Y730" s="32">
        <f>IF($C730="","",IF(COUNTA($I730:$K730)&lt;3,"— חסרים נתונים",IF(AND($I730="תקין",$J730="תקין",$K730="תקין"),"רהוטה",IF(AND($I730="תקין",$J730="תקין"),"מדויקת ורציפה","אינה מדויקת או מקוטעת"))))</f>
        <v/>
      </c>
      <c r="Z730" s="32">
        <f>IF($C730="","",IF(COUNTA($U730:$W730)&lt;3,"",IF(AND($U730="מפותח",$V730="מפותח",$W730="מפותחת"),"מפותחת",IF((--($U730="דל"))+(--($V730="אינו מפותח"))+(--($W730="דלה"))&gt;=2,"אינה מפותחת","חלקית"))))</f>
        <v/>
      </c>
      <c r="AA730" s="32">
        <f>IF($C730="","",IF(COUNTA($M730,$N730,$O730)&lt;3,"— חסרים נתונים",IF(OR($M730="נמוכה",(--($M730&lt;&gt;"תקינה"))+(--($N730&lt;&gt;"תקין"))+(--($O730&lt;&gt;"תקינה"))&gt;=2),"ניכרת","אינה ניכרת")))</f>
        <v/>
      </c>
      <c r="AB730" s="32">
        <f>IF(OR($C730="",$Y730="",$AA730="",LEFT($Y730,1)="—",LEFT($AA730,1)="—"),"",IF($Z730="","— נדרשת הערכת כתיבה",IF($L730="","— חסרה הבנת הנקרא",IF($Y730="אינה מדויקת או מקוטעת",IF($AA730="ניכרת","מיקוד בשטף הקריאה ובכישורי שפה","מיקוד בשטף קריאה"),IF($AA730="ניכרת","מיקוד בכישורי שפה",IF(AND($L730="תקינה",$Z730="מפותחת"),"קוראים וכותבים מיומנים","מיקוד בהבנה והבעה"))))))</f>
        <v/>
      </c>
      <c r="AC730" s="32">
        <f>IF(OR($AB730="",LEFT($AB730,1)="—"),"",IF(OR($AB730="מיקוד בשטף קריאה",$AB730="מיקוד בשטף הקריאה ובכישורי שפה"),"רמה א'",IF($AB730="קוראים וכותבים מיומנים","רמה ג'","רמה ב'")))</f>
        <v/>
      </c>
      <c r="AD730" s="32">
        <f>IF($AC730="","",MID(IF(AND($AC730="רמה א'",$AA730="ניכרת"),"; להוסיף עבודת אוצר מילים","")&amp;IF($Z730="אינה מפותחת","; דגש על הבעה בכתב","")&amp;IF($K730&lt;&gt;"תקין","; נדרש לעבוד על ההנגנה","")&amp;IF($AK730&lt;&gt;"","; "&amp;$AK730,""),3,400))</f>
        <v/>
      </c>
      <c r="AE730" s="32">
        <f>IF($F730="","",IF($F730="תחילת שנה",1,IF($F730="מחצית שנה",2,3)))</f>
        <v/>
      </c>
      <c r="AF730" s="32">
        <f>IF(OR($B730="",$AC730="",$A730="",$F730=""),"",$B730&amp;"|"&amp;$A730&amp;"|"&amp;$F730&amp;"|"&amp;$AC730&amp;"|"&amp;COUNTIFS($B$6:$B730,$B730,$A$6:$A730,$A730,$F$6:$F730,$F730,$AC$6:$AC730,$AC730))</f>
        <v/>
      </c>
      <c r="AG730" s="32">
        <f>IF($C730="","",$C730&amp;"|"&amp;COUNTIFS($C$6:$C730,$C730))</f>
        <v/>
      </c>
      <c r="AH730" s="32">
        <f>IF(OR($C730="",$A730="",$AE730=""),"",$C730&amp;"|"&amp;$A730&amp;"|"&amp;$AE730)</f>
        <v/>
      </c>
      <c r="AI730" s="32">
        <f>IF(OR($C730="",$AE730="",$AE730=1),"",IFERROR(INDEX($AC$6:$AC$1505,MATCH($C730&amp;"|"&amp;$A730&amp;"|"&amp;($AE730-1),$AH$6:$AH$1505,0)),""))</f>
        <v/>
      </c>
      <c r="AJ730" s="32">
        <f>IF(OR($AI730="",$AC730=""),"",IF($AI730=$AC730,"ללא שינוי","מ-"&amp;$AI730&amp;" ל-"&amp;$AC730))</f>
        <v/>
      </c>
      <c r="AK730" s="67" t="n"/>
    </row>
    <row r="731" ht="15.75" customHeight="1" s="58">
      <c r="A731" s="65" t="n"/>
      <c r="B731" s="65" t="n"/>
      <c r="C731" s="66" t="n"/>
      <c r="D731" s="66" t="n"/>
      <c r="E731" s="65" t="n"/>
      <c r="F731" s="65" t="n"/>
      <c r="G731" s="65" t="n"/>
      <c r="H731" s="65" t="n"/>
      <c r="I731" s="65" t="n"/>
      <c r="J731" s="65" t="n"/>
      <c r="K731" s="65" t="n"/>
      <c r="L731" s="65" t="n"/>
      <c r="M731" s="65" t="n"/>
      <c r="N731" s="65" t="n"/>
      <c r="O731" s="65" t="n"/>
      <c r="P731" s="65" t="n"/>
      <c r="Q731" s="65" t="n"/>
      <c r="R731" s="65" t="n"/>
      <c r="S731" s="65" t="n"/>
      <c r="T731" s="65" t="n"/>
      <c r="U731" s="65" t="n"/>
      <c r="V731" s="65" t="n"/>
      <c r="W731" s="65" t="n"/>
      <c r="X731" s="65" t="n"/>
      <c r="Y731" s="32">
        <f>IF($C731="","",IF(COUNTA($I731:$K731)&lt;3,"— חסרים נתונים",IF(AND($I731="תקין",$J731="תקין",$K731="תקין"),"רהוטה",IF(AND($I731="תקין",$J731="תקין"),"מדויקת ורציפה","אינה מדויקת או מקוטעת"))))</f>
        <v/>
      </c>
      <c r="Z731" s="32">
        <f>IF($C731="","",IF(COUNTA($U731:$W731)&lt;3,"",IF(AND($U731="מפותח",$V731="מפותח",$W731="מפותחת"),"מפותחת",IF((--($U731="דל"))+(--($V731="אינו מפותח"))+(--($W731="דלה"))&gt;=2,"אינה מפותחת","חלקית"))))</f>
        <v/>
      </c>
      <c r="AA731" s="32">
        <f>IF($C731="","",IF(COUNTA($M731,$N731,$O731)&lt;3,"— חסרים נתונים",IF(OR($M731="נמוכה",(--($M731&lt;&gt;"תקינה"))+(--($N731&lt;&gt;"תקין"))+(--($O731&lt;&gt;"תקינה"))&gt;=2),"ניכרת","אינה ניכרת")))</f>
        <v/>
      </c>
      <c r="AB731" s="32">
        <f>IF(OR($C731="",$Y731="",$AA731="",LEFT($Y731,1)="—",LEFT($AA731,1)="—"),"",IF($Z731="","— נדרשת הערכת כתיבה",IF($L731="","— חסרה הבנת הנקרא",IF($Y731="אינה מדויקת או מקוטעת",IF($AA731="ניכרת","מיקוד בשטף הקריאה ובכישורי שפה","מיקוד בשטף קריאה"),IF($AA731="ניכרת","מיקוד בכישורי שפה",IF(AND($L731="תקינה",$Z731="מפותחת"),"קוראים וכותבים מיומנים","מיקוד בהבנה והבעה"))))))</f>
        <v/>
      </c>
      <c r="AC731" s="32">
        <f>IF(OR($AB731="",LEFT($AB731,1)="—"),"",IF(OR($AB731="מיקוד בשטף קריאה",$AB731="מיקוד בשטף הקריאה ובכישורי שפה"),"רמה א'",IF($AB731="קוראים וכותבים מיומנים","רמה ג'","רמה ב'")))</f>
        <v/>
      </c>
      <c r="AD731" s="32">
        <f>IF($AC731="","",MID(IF(AND($AC731="רמה א'",$AA731="ניכרת"),"; להוסיף עבודת אוצר מילים","")&amp;IF($Z731="אינה מפותחת","; דגש על הבעה בכתב","")&amp;IF($K731&lt;&gt;"תקין","; נדרש לעבוד על ההנגנה","")&amp;IF($AK731&lt;&gt;"","; "&amp;$AK731,""),3,400))</f>
        <v/>
      </c>
      <c r="AE731" s="32">
        <f>IF($F731="","",IF($F731="תחילת שנה",1,IF($F731="מחצית שנה",2,3)))</f>
        <v/>
      </c>
      <c r="AF731" s="32">
        <f>IF(OR($B731="",$AC731="",$A731="",$F731=""),"",$B731&amp;"|"&amp;$A731&amp;"|"&amp;$F731&amp;"|"&amp;$AC731&amp;"|"&amp;COUNTIFS($B$6:$B731,$B731,$A$6:$A731,$A731,$F$6:$F731,$F731,$AC$6:$AC731,$AC731))</f>
        <v/>
      </c>
      <c r="AG731" s="32">
        <f>IF($C731="","",$C731&amp;"|"&amp;COUNTIFS($C$6:$C731,$C731))</f>
        <v/>
      </c>
      <c r="AH731" s="32">
        <f>IF(OR($C731="",$A731="",$AE731=""),"",$C731&amp;"|"&amp;$A731&amp;"|"&amp;$AE731)</f>
        <v/>
      </c>
      <c r="AI731" s="32">
        <f>IF(OR($C731="",$AE731="",$AE731=1),"",IFERROR(INDEX($AC$6:$AC$1505,MATCH($C731&amp;"|"&amp;$A731&amp;"|"&amp;($AE731-1),$AH$6:$AH$1505,0)),""))</f>
        <v/>
      </c>
      <c r="AJ731" s="32">
        <f>IF(OR($AI731="",$AC731=""),"",IF($AI731=$AC731,"ללא שינוי","מ-"&amp;$AI731&amp;" ל-"&amp;$AC731))</f>
        <v/>
      </c>
      <c r="AK731" s="67" t="n"/>
    </row>
    <row r="732" ht="15.75" customHeight="1" s="58">
      <c r="A732" s="65" t="n"/>
      <c r="B732" s="65" t="n"/>
      <c r="C732" s="66" t="n"/>
      <c r="D732" s="66" t="n"/>
      <c r="E732" s="65" t="n"/>
      <c r="F732" s="65" t="n"/>
      <c r="G732" s="65" t="n"/>
      <c r="H732" s="65" t="n"/>
      <c r="I732" s="65" t="n"/>
      <c r="J732" s="65" t="n"/>
      <c r="K732" s="65" t="n"/>
      <c r="L732" s="65" t="n"/>
      <c r="M732" s="65" t="n"/>
      <c r="N732" s="65" t="n"/>
      <c r="O732" s="65" t="n"/>
      <c r="P732" s="65" t="n"/>
      <c r="Q732" s="65" t="n"/>
      <c r="R732" s="65" t="n"/>
      <c r="S732" s="65" t="n"/>
      <c r="T732" s="65" t="n"/>
      <c r="U732" s="65" t="n"/>
      <c r="V732" s="65" t="n"/>
      <c r="W732" s="65" t="n"/>
      <c r="X732" s="65" t="n"/>
      <c r="Y732" s="32">
        <f>IF($C732="","",IF(COUNTA($I732:$K732)&lt;3,"— חסרים נתונים",IF(AND($I732="תקין",$J732="תקין",$K732="תקין"),"רהוטה",IF(AND($I732="תקין",$J732="תקין"),"מדויקת ורציפה","אינה מדויקת או מקוטעת"))))</f>
        <v/>
      </c>
      <c r="Z732" s="32">
        <f>IF($C732="","",IF(COUNTA($U732:$W732)&lt;3,"",IF(AND($U732="מפותח",$V732="מפותח",$W732="מפותחת"),"מפותחת",IF((--($U732="דל"))+(--($V732="אינו מפותח"))+(--($W732="דלה"))&gt;=2,"אינה מפותחת","חלקית"))))</f>
        <v/>
      </c>
      <c r="AA732" s="32">
        <f>IF($C732="","",IF(COUNTA($M732,$N732,$O732)&lt;3,"— חסרים נתונים",IF(OR($M732="נמוכה",(--($M732&lt;&gt;"תקינה"))+(--($N732&lt;&gt;"תקין"))+(--($O732&lt;&gt;"תקינה"))&gt;=2),"ניכרת","אינה ניכרת")))</f>
        <v/>
      </c>
      <c r="AB732" s="32">
        <f>IF(OR($C732="",$Y732="",$AA732="",LEFT($Y732,1)="—",LEFT($AA732,1)="—"),"",IF($Z732="","— נדרשת הערכת כתיבה",IF($L732="","— חסרה הבנת הנקרא",IF($Y732="אינה מדויקת או מקוטעת",IF($AA732="ניכרת","מיקוד בשטף הקריאה ובכישורי שפה","מיקוד בשטף קריאה"),IF($AA732="ניכרת","מיקוד בכישורי שפה",IF(AND($L732="תקינה",$Z732="מפותחת"),"קוראים וכותבים מיומנים","מיקוד בהבנה והבעה"))))))</f>
        <v/>
      </c>
      <c r="AC732" s="32">
        <f>IF(OR($AB732="",LEFT($AB732,1)="—"),"",IF(OR($AB732="מיקוד בשטף קריאה",$AB732="מיקוד בשטף הקריאה ובכישורי שפה"),"רמה א'",IF($AB732="קוראים וכותבים מיומנים","רמה ג'","רמה ב'")))</f>
        <v/>
      </c>
      <c r="AD732" s="32">
        <f>IF($AC732="","",MID(IF(AND($AC732="רמה א'",$AA732="ניכרת"),"; להוסיף עבודת אוצר מילים","")&amp;IF($Z732="אינה מפותחת","; דגש על הבעה בכתב","")&amp;IF($K732&lt;&gt;"תקין","; נדרש לעבוד על ההנגנה","")&amp;IF($AK732&lt;&gt;"","; "&amp;$AK732,""),3,400))</f>
        <v/>
      </c>
      <c r="AE732" s="32">
        <f>IF($F732="","",IF($F732="תחילת שנה",1,IF($F732="מחצית שנה",2,3)))</f>
        <v/>
      </c>
      <c r="AF732" s="32">
        <f>IF(OR($B732="",$AC732="",$A732="",$F732=""),"",$B732&amp;"|"&amp;$A732&amp;"|"&amp;$F732&amp;"|"&amp;$AC732&amp;"|"&amp;COUNTIFS($B$6:$B732,$B732,$A$6:$A732,$A732,$F$6:$F732,$F732,$AC$6:$AC732,$AC732))</f>
        <v/>
      </c>
      <c r="AG732" s="32">
        <f>IF($C732="","",$C732&amp;"|"&amp;COUNTIFS($C$6:$C732,$C732))</f>
        <v/>
      </c>
      <c r="AH732" s="32">
        <f>IF(OR($C732="",$A732="",$AE732=""),"",$C732&amp;"|"&amp;$A732&amp;"|"&amp;$AE732)</f>
        <v/>
      </c>
      <c r="AI732" s="32">
        <f>IF(OR($C732="",$AE732="",$AE732=1),"",IFERROR(INDEX($AC$6:$AC$1505,MATCH($C732&amp;"|"&amp;$A732&amp;"|"&amp;($AE732-1),$AH$6:$AH$1505,0)),""))</f>
        <v/>
      </c>
      <c r="AJ732" s="32">
        <f>IF(OR($AI732="",$AC732=""),"",IF($AI732=$AC732,"ללא שינוי","מ-"&amp;$AI732&amp;" ל-"&amp;$AC732))</f>
        <v/>
      </c>
      <c r="AK732" s="67" t="n"/>
    </row>
    <row r="733" ht="15.75" customHeight="1" s="58">
      <c r="A733" s="65" t="n"/>
      <c r="B733" s="65" t="n"/>
      <c r="C733" s="66" t="n"/>
      <c r="D733" s="66" t="n"/>
      <c r="E733" s="65" t="n"/>
      <c r="F733" s="65" t="n"/>
      <c r="G733" s="65" t="n"/>
      <c r="H733" s="65" t="n"/>
      <c r="I733" s="65" t="n"/>
      <c r="J733" s="65" t="n"/>
      <c r="K733" s="65" t="n"/>
      <c r="L733" s="65" t="n"/>
      <c r="M733" s="65" t="n"/>
      <c r="N733" s="65" t="n"/>
      <c r="O733" s="65" t="n"/>
      <c r="P733" s="65" t="n"/>
      <c r="Q733" s="65" t="n"/>
      <c r="R733" s="65" t="n"/>
      <c r="S733" s="65" t="n"/>
      <c r="T733" s="65" t="n"/>
      <c r="U733" s="65" t="n"/>
      <c r="V733" s="65" t="n"/>
      <c r="W733" s="65" t="n"/>
      <c r="X733" s="65" t="n"/>
      <c r="Y733" s="32">
        <f>IF($C733="","",IF(COUNTA($I733:$K733)&lt;3,"— חסרים נתונים",IF(AND($I733="תקין",$J733="תקין",$K733="תקין"),"רהוטה",IF(AND($I733="תקין",$J733="תקין"),"מדויקת ורציפה","אינה מדויקת או מקוטעת"))))</f>
        <v/>
      </c>
      <c r="Z733" s="32">
        <f>IF($C733="","",IF(COUNTA($U733:$W733)&lt;3,"",IF(AND($U733="מפותח",$V733="מפותח",$W733="מפותחת"),"מפותחת",IF((--($U733="דל"))+(--($V733="אינו מפותח"))+(--($W733="דלה"))&gt;=2,"אינה מפותחת","חלקית"))))</f>
        <v/>
      </c>
      <c r="AA733" s="32">
        <f>IF($C733="","",IF(COUNTA($M733,$N733,$O733)&lt;3,"— חסרים נתונים",IF(OR($M733="נמוכה",(--($M733&lt;&gt;"תקינה"))+(--($N733&lt;&gt;"תקין"))+(--($O733&lt;&gt;"תקינה"))&gt;=2),"ניכרת","אינה ניכרת")))</f>
        <v/>
      </c>
      <c r="AB733" s="32">
        <f>IF(OR($C733="",$Y733="",$AA733="",LEFT($Y733,1)="—",LEFT($AA733,1)="—"),"",IF($Z733="","— נדרשת הערכת כתיבה",IF($L733="","— חסרה הבנת הנקרא",IF($Y733="אינה מדויקת או מקוטעת",IF($AA733="ניכרת","מיקוד בשטף הקריאה ובכישורי שפה","מיקוד בשטף קריאה"),IF($AA733="ניכרת","מיקוד בכישורי שפה",IF(AND($L733="תקינה",$Z733="מפותחת"),"קוראים וכותבים מיומנים","מיקוד בהבנה והבעה"))))))</f>
        <v/>
      </c>
      <c r="AC733" s="32">
        <f>IF(OR($AB733="",LEFT($AB733,1)="—"),"",IF(OR($AB733="מיקוד בשטף קריאה",$AB733="מיקוד בשטף הקריאה ובכישורי שפה"),"רמה א'",IF($AB733="קוראים וכותבים מיומנים","רמה ג'","רמה ב'")))</f>
        <v/>
      </c>
      <c r="AD733" s="32">
        <f>IF($AC733="","",MID(IF(AND($AC733="רמה א'",$AA733="ניכרת"),"; להוסיף עבודת אוצר מילים","")&amp;IF($Z733="אינה מפותחת","; דגש על הבעה בכתב","")&amp;IF($K733&lt;&gt;"תקין","; נדרש לעבוד על ההנגנה","")&amp;IF($AK733&lt;&gt;"","; "&amp;$AK733,""),3,400))</f>
        <v/>
      </c>
      <c r="AE733" s="32">
        <f>IF($F733="","",IF($F733="תחילת שנה",1,IF($F733="מחצית שנה",2,3)))</f>
        <v/>
      </c>
      <c r="AF733" s="32">
        <f>IF(OR($B733="",$AC733="",$A733="",$F733=""),"",$B733&amp;"|"&amp;$A733&amp;"|"&amp;$F733&amp;"|"&amp;$AC733&amp;"|"&amp;COUNTIFS($B$6:$B733,$B733,$A$6:$A733,$A733,$F$6:$F733,$F733,$AC$6:$AC733,$AC733))</f>
        <v/>
      </c>
      <c r="AG733" s="32">
        <f>IF($C733="","",$C733&amp;"|"&amp;COUNTIFS($C$6:$C733,$C733))</f>
        <v/>
      </c>
      <c r="AH733" s="32">
        <f>IF(OR($C733="",$A733="",$AE733=""),"",$C733&amp;"|"&amp;$A733&amp;"|"&amp;$AE733)</f>
        <v/>
      </c>
      <c r="AI733" s="32">
        <f>IF(OR($C733="",$AE733="",$AE733=1),"",IFERROR(INDEX($AC$6:$AC$1505,MATCH($C733&amp;"|"&amp;$A733&amp;"|"&amp;($AE733-1),$AH$6:$AH$1505,0)),""))</f>
        <v/>
      </c>
      <c r="AJ733" s="32">
        <f>IF(OR($AI733="",$AC733=""),"",IF($AI733=$AC733,"ללא שינוי","מ-"&amp;$AI733&amp;" ל-"&amp;$AC733))</f>
        <v/>
      </c>
      <c r="AK733" s="67" t="n"/>
    </row>
    <row r="734" ht="15.75" customHeight="1" s="58">
      <c r="A734" s="65" t="n"/>
      <c r="B734" s="65" t="n"/>
      <c r="C734" s="66" t="n"/>
      <c r="D734" s="66" t="n"/>
      <c r="E734" s="65" t="n"/>
      <c r="F734" s="65" t="n"/>
      <c r="G734" s="65" t="n"/>
      <c r="H734" s="65" t="n"/>
      <c r="I734" s="65" t="n"/>
      <c r="J734" s="65" t="n"/>
      <c r="K734" s="65" t="n"/>
      <c r="L734" s="65" t="n"/>
      <c r="M734" s="65" t="n"/>
      <c r="N734" s="65" t="n"/>
      <c r="O734" s="65" t="n"/>
      <c r="P734" s="65" t="n"/>
      <c r="Q734" s="65" t="n"/>
      <c r="R734" s="65" t="n"/>
      <c r="S734" s="65" t="n"/>
      <c r="T734" s="65" t="n"/>
      <c r="U734" s="65" t="n"/>
      <c r="V734" s="65" t="n"/>
      <c r="W734" s="65" t="n"/>
      <c r="X734" s="65" t="n"/>
      <c r="Y734" s="32">
        <f>IF($C734="","",IF(COUNTA($I734:$K734)&lt;3,"— חסרים נתונים",IF(AND($I734="תקין",$J734="תקין",$K734="תקין"),"רהוטה",IF(AND($I734="תקין",$J734="תקין"),"מדויקת ורציפה","אינה מדויקת או מקוטעת"))))</f>
        <v/>
      </c>
      <c r="Z734" s="32">
        <f>IF($C734="","",IF(COUNTA($U734:$W734)&lt;3,"",IF(AND($U734="מפותח",$V734="מפותח",$W734="מפותחת"),"מפותחת",IF((--($U734="דל"))+(--($V734="אינו מפותח"))+(--($W734="דלה"))&gt;=2,"אינה מפותחת","חלקית"))))</f>
        <v/>
      </c>
      <c r="AA734" s="32">
        <f>IF($C734="","",IF(COUNTA($M734,$N734,$O734)&lt;3,"— חסרים נתונים",IF(OR($M734="נמוכה",(--($M734&lt;&gt;"תקינה"))+(--($N734&lt;&gt;"תקין"))+(--($O734&lt;&gt;"תקינה"))&gt;=2),"ניכרת","אינה ניכרת")))</f>
        <v/>
      </c>
      <c r="AB734" s="32">
        <f>IF(OR($C734="",$Y734="",$AA734="",LEFT($Y734,1)="—",LEFT($AA734,1)="—"),"",IF($Z734="","— נדרשת הערכת כתיבה",IF($L734="","— חסרה הבנת הנקרא",IF($Y734="אינה מדויקת או מקוטעת",IF($AA734="ניכרת","מיקוד בשטף הקריאה ובכישורי שפה","מיקוד בשטף קריאה"),IF($AA734="ניכרת","מיקוד בכישורי שפה",IF(AND($L734="תקינה",$Z734="מפותחת"),"קוראים וכותבים מיומנים","מיקוד בהבנה והבעה"))))))</f>
        <v/>
      </c>
      <c r="AC734" s="32">
        <f>IF(OR($AB734="",LEFT($AB734,1)="—"),"",IF(OR($AB734="מיקוד בשטף קריאה",$AB734="מיקוד בשטף הקריאה ובכישורי שפה"),"רמה א'",IF($AB734="קוראים וכותבים מיומנים","רמה ג'","רמה ב'")))</f>
        <v/>
      </c>
      <c r="AD734" s="32">
        <f>IF($AC734="","",MID(IF(AND($AC734="רמה א'",$AA734="ניכרת"),"; להוסיף עבודת אוצר מילים","")&amp;IF($Z734="אינה מפותחת","; דגש על הבעה בכתב","")&amp;IF($K734&lt;&gt;"תקין","; נדרש לעבוד על ההנגנה","")&amp;IF($AK734&lt;&gt;"","; "&amp;$AK734,""),3,400))</f>
        <v/>
      </c>
      <c r="AE734" s="32">
        <f>IF($F734="","",IF($F734="תחילת שנה",1,IF($F734="מחצית שנה",2,3)))</f>
        <v/>
      </c>
      <c r="AF734" s="32">
        <f>IF(OR($B734="",$AC734="",$A734="",$F734=""),"",$B734&amp;"|"&amp;$A734&amp;"|"&amp;$F734&amp;"|"&amp;$AC734&amp;"|"&amp;COUNTIFS($B$6:$B734,$B734,$A$6:$A734,$A734,$F$6:$F734,$F734,$AC$6:$AC734,$AC734))</f>
        <v/>
      </c>
      <c r="AG734" s="32">
        <f>IF($C734="","",$C734&amp;"|"&amp;COUNTIFS($C$6:$C734,$C734))</f>
        <v/>
      </c>
      <c r="AH734" s="32">
        <f>IF(OR($C734="",$A734="",$AE734=""),"",$C734&amp;"|"&amp;$A734&amp;"|"&amp;$AE734)</f>
        <v/>
      </c>
      <c r="AI734" s="32">
        <f>IF(OR($C734="",$AE734="",$AE734=1),"",IFERROR(INDEX($AC$6:$AC$1505,MATCH($C734&amp;"|"&amp;$A734&amp;"|"&amp;($AE734-1),$AH$6:$AH$1505,0)),""))</f>
        <v/>
      </c>
      <c r="AJ734" s="32">
        <f>IF(OR($AI734="",$AC734=""),"",IF($AI734=$AC734,"ללא שינוי","מ-"&amp;$AI734&amp;" ל-"&amp;$AC734))</f>
        <v/>
      </c>
      <c r="AK734" s="67" t="n"/>
    </row>
    <row r="735" ht="15.75" customHeight="1" s="58">
      <c r="A735" s="65" t="n"/>
      <c r="B735" s="65" t="n"/>
      <c r="C735" s="66" t="n"/>
      <c r="D735" s="66" t="n"/>
      <c r="E735" s="65" t="n"/>
      <c r="F735" s="65" t="n"/>
      <c r="G735" s="65" t="n"/>
      <c r="H735" s="65" t="n"/>
      <c r="I735" s="65" t="n"/>
      <c r="J735" s="65" t="n"/>
      <c r="K735" s="65" t="n"/>
      <c r="L735" s="65" t="n"/>
      <c r="M735" s="65" t="n"/>
      <c r="N735" s="65" t="n"/>
      <c r="O735" s="65" t="n"/>
      <c r="P735" s="65" t="n"/>
      <c r="Q735" s="65" t="n"/>
      <c r="R735" s="65" t="n"/>
      <c r="S735" s="65" t="n"/>
      <c r="T735" s="65" t="n"/>
      <c r="U735" s="65" t="n"/>
      <c r="V735" s="65" t="n"/>
      <c r="W735" s="65" t="n"/>
      <c r="X735" s="65" t="n"/>
      <c r="Y735" s="32">
        <f>IF($C735="","",IF(COUNTA($I735:$K735)&lt;3,"— חסרים נתונים",IF(AND($I735="תקין",$J735="תקין",$K735="תקין"),"רהוטה",IF(AND($I735="תקין",$J735="תקין"),"מדויקת ורציפה","אינה מדויקת או מקוטעת"))))</f>
        <v/>
      </c>
      <c r="Z735" s="32">
        <f>IF($C735="","",IF(COUNTA($U735:$W735)&lt;3,"",IF(AND($U735="מפותח",$V735="מפותח",$W735="מפותחת"),"מפותחת",IF((--($U735="דל"))+(--($V735="אינו מפותח"))+(--($W735="דלה"))&gt;=2,"אינה מפותחת","חלקית"))))</f>
        <v/>
      </c>
      <c r="AA735" s="32">
        <f>IF($C735="","",IF(COUNTA($M735,$N735,$O735)&lt;3,"— חסרים נתונים",IF(OR($M735="נמוכה",(--($M735&lt;&gt;"תקינה"))+(--($N735&lt;&gt;"תקין"))+(--($O735&lt;&gt;"תקינה"))&gt;=2),"ניכרת","אינה ניכרת")))</f>
        <v/>
      </c>
      <c r="AB735" s="32">
        <f>IF(OR($C735="",$Y735="",$AA735="",LEFT($Y735,1)="—",LEFT($AA735,1)="—"),"",IF($Z735="","— נדרשת הערכת כתיבה",IF($L735="","— חסרה הבנת הנקרא",IF($Y735="אינה מדויקת או מקוטעת",IF($AA735="ניכרת","מיקוד בשטף הקריאה ובכישורי שפה","מיקוד בשטף קריאה"),IF($AA735="ניכרת","מיקוד בכישורי שפה",IF(AND($L735="תקינה",$Z735="מפותחת"),"קוראים וכותבים מיומנים","מיקוד בהבנה והבעה"))))))</f>
        <v/>
      </c>
      <c r="AC735" s="32">
        <f>IF(OR($AB735="",LEFT($AB735,1)="—"),"",IF(OR($AB735="מיקוד בשטף קריאה",$AB735="מיקוד בשטף הקריאה ובכישורי שפה"),"רמה א'",IF($AB735="קוראים וכותבים מיומנים","רמה ג'","רמה ב'")))</f>
        <v/>
      </c>
      <c r="AD735" s="32">
        <f>IF($AC735="","",MID(IF(AND($AC735="רמה א'",$AA735="ניכרת"),"; להוסיף עבודת אוצר מילים","")&amp;IF($Z735="אינה מפותחת","; דגש על הבעה בכתב","")&amp;IF($K735&lt;&gt;"תקין","; נדרש לעבוד על ההנגנה","")&amp;IF($AK735&lt;&gt;"","; "&amp;$AK735,""),3,400))</f>
        <v/>
      </c>
      <c r="AE735" s="32">
        <f>IF($F735="","",IF($F735="תחילת שנה",1,IF($F735="מחצית שנה",2,3)))</f>
        <v/>
      </c>
      <c r="AF735" s="32">
        <f>IF(OR($B735="",$AC735="",$A735="",$F735=""),"",$B735&amp;"|"&amp;$A735&amp;"|"&amp;$F735&amp;"|"&amp;$AC735&amp;"|"&amp;COUNTIFS($B$6:$B735,$B735,$A$6:$A735,$A735,$F$6:$F735,$F735,$AC$6:$AC735,$AC735))</f>
        <v/>
      </c>
      <c r="AG735" s="32">
        <f>IF($C735="","",$C735&amp;"|"&amp;COUNTIFS($C$6:$C735,$C735))</f>
        <v/>
      </c>
      <c r="AH735" s="32">
        <f>IF(OR($C735="",$A735="",$AE735=""),"",$C735&amp;"|"&amp;$A735&amp;"|"&amp;$AE735)</f>
        <v/>
      </c>
      <c r="AI735" s="32">
        <f>IF(OR($C735="",$AE735="",$AE735=1),"",IFERROR(INDEX($AC$6:$AC$1505,MATCH($C735&amp;"|"&amp;$A735&amp;"|"&amp;($AE735-1),$AH$6:$AH$1505,0)),""))</f>
        <v/>
      </c>
      <c r="AJ735" s="32">
        <f>IF(OR($AI735="",$AC735=""),"",IF($AI735=$AC735,"ללא שינוי","מ-"&amp;$AI735&amp;" ל-"&amp;$AC735))</f>
        <v/>
      </c>
      <c r="AK735" s="67" t="n"/>
    </row>
    <row r="736" ht="15.75" customHeight="1" s="58">
      <c r="A736" s="65" t="n"/>
      <c r="B736" s="65" t="n"/>
      <c r="C736" s="66" t="n"/>
      <c r="D736" s="66" t="n"/>
      <c r="E736" s="65" t="n"/>
      <c r="F736" s="65" t="n"/>
      <c r="G736" s="65" t="n"/>
      <c r="H736" s="65" t="n"/>
      <c r="I736" s="65" t="n"/>
      <c r="J736" s="65" t="n"/>
      <c r="K736" s="65" t="n"/>
      <c r="L736" s="65" t="n"/>
      <c r="M736" s="65" t="n"/>
      <c r="N736" s="65" t="n"/>
      <c r="O736" s="65" t="n"/>
      <c r="P736" s="65" t="n"/>
      <c r="Q736" s="65" t="n"/>
      <c r="R736" s="65" t="n"/>
      <c r="S736" s="65" t="n"/>
      <c r="T736" s="65" t="n"/>
      <c r="U736" s="65" t="n"/>
      <c r="V736" s="65" t="n"/>
      <c r="W736" s="65" t="n"/>
      <c r="X736" s="65" t="n"/>
      <c r="Y736" s="32">
        <f>IF($C736="","",IF(COUNTA($I736:$K736)&lt;3,"— חסרים נתונים",IF(AND($I736="תקין",$J736="תקין",$K736="תקין"),"רהוטה",IF(AND($I736="תקין",$J736="תקין"),"מדויקת ורציפה","אינה מדויקת או מקוטעת"))))</f>
        <v/>
      </c>
      <c r="Z736" s="32">
        <f>IF($C736="","",IF(COUNTA($U736:$W736)&lt;3,"",IF(AND($U736="מפותח",$V736="מפותח",$W736="מפותחת"),"מפותחת",IF((--($U736="דל"))+(--($V736="אינו מפותח"))+(--($W736="דלה"))&gt;=2,"אינה מפותחת","חלקית"))))</f>
        <v/>
      </c>
      <c r="AA736" s="32">
        <f>IF($C736="","",IF(COUNTA($M736,$N736,$O736)&lt;3,"— חסרים נתונים",IF(OR($M736="נמוכה",(--($M736&lt;&gt;"תקינה"))+(--($N736&lt;&gt;"תקין"))+(--($O736&lt;&gt;"תקינה"))&gt;=2),"ניכרת","אינה ניכרת")))</f>
        <v/>
      </c>
      <c r="AB736" s="32">
        <f>IF(OR($C736="",$Y736="",$AA736="",LEFT($Y736,1)="—",LEFT($AA736,1)="—"),"",IF($Z736="","— נדרשת הערכת כתיבה",IF($L736="","— חסרה הבנת הנקרא",IF($Y736="אינה מדויקת או מקוטעת",IF($AA736="ניכרת","מיקוד בשטף הקריאה ובכישורי שפה","מיקוד בשטף קריאה"),IF($AA736="ניכרת","מיקוד בכישורי שפה",IF(AND($L736="תקינה",$Z736="מפותחת"),"קוראים וכותבים מיומנים","מיקוד בהבנה והבעה"))))))</f>
        <v/>
      </c>
      <c r="AC736" s="32">
        <f>IF(OR($AB736="",LEFT($AB736,1)="—"),"",IF(OR($AB736="מיקוד בשטף קריאה",$AB736="מיקוד בשטף הקריאה ובכישורי שפה"),"רמה א'",IF($AB736="קוראים וכותבים מיומנים","רמה ג'","רמה ב'")))</f>
        <v/>
      </c>
      <c r="AD736" s="32">
        <f>IF($AC736="","",MID(IF(AND($AC736="רמה א'",$AA736="ניכרת"),"; להוסיף עבודת אוצר מילים","")&amp;IF($Z736="אינה מפותחת","; דגש על הבעה בכתב","")&amp;IF($K736&lt;&gt;"תקין","; נדרש לעבוד על ההנגנה","")&amp;IF($AK736&lt;&gt;"","; "&amp;$AK736,""),3,400))</f>
        <v/>
      </c>
      <c r="AE736" s="32">
        <f>IF($F736="","",IF($F736="תחילת שנה",1,IF($F736="מחצית שנה",2,3)))</f>
        <v/>
      </c>
      <c r="AF736" s="32">
        <f>IF(OR($B736="",$AC736="",$A736="",$F736=""),"",$B736&amp;"|"&amp;$A736&amp;"|"&amp;$F736&amp;"|"&amp;$AC736&amp;"|"&amp;COUNTIFS($B$6:$B736,$B736,$A$6:$A736,$A736,$F$6:$F736,$F736,$AC$6:$AC736,$AC736))</f>
        <v/>
      </c>
      <c r="AG736" s="32">
        <f>IF($C736="","",$C736&amp;"|"&amp;COUNTIFS($C$6:$C736,$C736))</f>
        <v/>
      </c>
      <c r="AH736" s="32">
        <f>IF(OR($C736="",$A736="",$AE736=""),"",$C736&amp;"|"&amp;$A736&amp;"|"&amp;$AE736)</f>
        <v/>
      </c>
      <c r="AI736" s="32">
        <f>IF(OR($C736="",$AE736="",$AE736=1),"",IFERROR(INDEX($AC$6:$AC$1505,MATCH($C736&amp;"|"&amp;$A736&amp;"|"&amp;($AE736-1),$AH$6:$AH$1505,0)),""))</f>
        <v/>
      </c>
      <c r="AJ736" s="32">
        <f>IF(OR($AI736="",$AC736=""),"",IF($AI736=$AC736,"ללא שינוי","מ-"&amp;$AI736&amp;" ל-"&amp;$AC736))</f>
        <v/>
      </c>
      <c r="AK736" s="67" t="n"/>
    </row>
    <row r="737" ht="15.75" customHeight="1" s="58">
      <c r="A737" s="65" t="n"/>
      <c r="B737" s="65" t="n"/>
      <c r="C737" s="66" t="n"/>
      <c r="D737" s="66" t="n"/>
      <c r="E737" s="65" t="n"/>
      <c r="F737" s="65" t="n"/>
      <c r="G737" s="65" t="n"/>
      <c r="H737" s="65" t="n"/>
      <c r="I737" s="65" t="n"/>
      <c r="J737" s="65" t="n"/>
      <c r="K737" s="65" t="n"/>
      <c r="L737" s="65" t="n"/>
      <c r="M737" s="65" t="n"/>
      <c r="N737" s="65" t="n"/>
      <c r="O737" s="65" t="n"/>
      <c r="P737" s="65" t="n"/>
      <c r="Q737" s="65" t="n"/>
      <c r="R737" s="65" t="n"/>
      <c r="S737" s="65" t="n"/>
      <c r="T737" s="65" t="n"/>
      <c r="U737" s="65" t="n"/>
      <c r="V737" s="65" t="n"/>
      <c r="W737" s="65" t="n"/>
      <c r="X737" s="65" t="n"/>
      <c r="Y737" s="32">
        <f>IF($C737="","",IF(COUNTA($I737:$K737)&lt;3,"— חסרים נתונים",IF(AND($I737="תקין",$J737="תקין",$K737="תקין"),"רהוטה",IF(AND($I737="תקין",$J737="תקין"),"מדויקת ורציפה","אינה מדויקת או מקוטעת"))))</f>
        <v/>
      </c>
      <c r="Z737" s="32">
        <f>IF($C737="","",IF(COUNTA($U737:$W737)&lt;3,"",IF(AND($U737="מפותח",$V737="מפותח",$W737="מפותחת"),"מפותחת",IF((--($U737="דל"))+(--($V737="אינו מפותח"))+(--($W737="דלה"))&gt;=2,"אינה מפותחת","חלקית"))))</f>
        <v/>
      </c>
      <c r="AA737" s="32">
        <f>IF($C737="","",IF(COUNTA($M737,$N737,$O737)&lt;3,"— חסרים נתונים",IF(OR($M737="נמוכה",(--($M737&lt;&gt;"תקינה"))+(--($N737&lt;&gt;"תקין"))+(--($O737&lt;&gt;"תקינה"))&gt;=2),"ניכרת","אינה ניכרת")))</f>
        <v/>
      </c>
      <c r="AB737" s="32">
        <f>IF(OR($C737="",$Y737="",$AA737="",LEFT($Y737,1)="—",LEFT($AA737,1)="—"),"",IF($Z737="","— נדרשת הערכת כתיבה",IF($L737="","— חסרה הבנת הנקרא",IF($Y737="אינה מדויקת או מקוטעת",IF($AA737="ניכרת","מיקוד בשטף הקריאה ובכישורי שפה","מיקוד בשטף קריאה"),IF($AA737="ניכרת","מיקוד בכישורי שפה",IF(AND($L737="תקינה",$Z737="מפותחת"),"קוראים וכותבים מיומנים","מיקוד בהבנה והבעה"))))))</f>
        <v/>
      </c>
      <c r="AC737" s="32">
        <f>IF(OR($AB737="",LEFT($AB737,1)="—"),"",IF(OR($AB737="מיקוד בשטף קריאה",$AB737="מיקוד בשטף הקריאה ובכישורי שפה"),"רמה א'",IF($AB737="קוראים וכותבים מיומנים","רמה ג'","רמה ב'")))</f>
        <v/>
      </c>
      <c r="AD737" s="32">
        <f>IF($AC737="","",MID(IF(AND($AC737="רמה א'",$AA737="ניכרת"),"; להוסיף עבודת אוצר מילים","")&amp;IF($Z737="אינה מפותחת","; דגש על הבעה בכתב","")&amp;IF($K737&lt;&gt;"תקין","; נדרש לעבוד על ההנגנה","")&amp;IF($AK737&lt;&gt;"","; "&amp;$AK737,""),3,400))</f>
        <v/>
      </c>
      <c r="AE737" s="32">
        <f>IF($F737="","",IF($F737="תחילת שנה",1,IF($F737="מחצית שנה",2,3)))</f>
        <v/>
      </c>
      <c r="AF737" s="32">
        <f>IF(OR($B737="",$AC737="",$A737="",$F737=""),"",$B737&amp;"|"&amp;$A737&amp;"|"&amp;$F737&amp;"|"&amp;$AC737&amp;"|"&amp;COUNTIFS($B$6:$B737,$B737,$A$6:$A737,$A737,$F$6:$F737,$F737,$AC$6:$AC737,$AC737))</f>
        <v/>
      </c>
      <c r="AG737" s="32">
        <f>IF($C737="","",$C737&amp;"|"&amp;COUNTIFS($C$6:$C737,$C737))</f>
        <v/>
      </c>
      <c r="AH737" s="32">
        <f>IF(OR($C737="",$A737="",$AE737=""),"",$C737&amp;"|"&amp;$A737&amp;"|"&amp;$AE737)</f>
        <v/>
      </c>
      <c r="AI737" s="32">
        <f>IF(OR($C737="",$AE737="",$AE737=1),"",IFERROR(INDEX($AC$6:$AC$1505,MATCH($C737&amp;"|"&amp;$A737&amp;"|"&amp;($AE737-1),$AH$6:$AH$1505,0)),""))</f>
        <v/>
      </c>
      <c r="AJ737" s="32">
        <f>IF(OR($AI737="",$AC737=""),"",IF($AI737=$AC737,"ללא שינוי","מ-"&amp;$AI737&amp;" ל-"&amp;$AC737))</f>
        <v/>
      </c>
      <c r="AK737" s="67" t="n"/>
    </row>
    <row r="738" ht="15.75" customHeight="1" s="58">
      <c r="A738" s="65" t="n"/>
      <c r="B738" s="65" t="n"/>
      <c r="C738" s="66" t="n"/>
      <c r="D738" s="66" t="n"/>
      <c r="E738" s="65" t="n"/>
      <c r="F738" s="65" t="n"/>
      <c r="G738" s="65" t="n"/>
      <c r="H738" s="65" t="n"/>
      <c r="I738" s="65" t="n"/>
      <c r="J738" s="65" t="n"/>
      <c r="K738" s="65" t="n"/>
      <c r="L738" s="65" t="n"/>
      <c r="M738" s="65" t="n"/>
      <c r="N738" s="65" t="n"/>
      <c r="O738" s="65" t="n"/>
      <c r="P738" s="65" t="n"/>
      <c r="Q738" s="65" t="n"/>
      <c r="R738" s="65" t="n"/>
      <c r="S738" s="65" t="n"/>
      <c r="T738" s="65" t="n"/>
      <c r="U738" s="65" t="n"/>
      <c r="V738" s="65" t="n"/>
      <c r="W738" s="65" t="n"/>
      <c r="X738" s="65" t="n"/>
      <c r="Y738" s="32">
        <f>IF($C738="","",IF(COUNTA($I738:$K738)&lt;3,"— חסרים נתונים",IF(AND($I738="תקין",$J738="תקין",$K738="תקין"),"רהוטה",IF(AND($I738="תקין",$J738="תקין"),"מדויקת ורציפה","אינה מדויקת או מקוטעת"))))</f>
        <v/>
      </c>
      <c r="Z738" s="32">
        <f>IF($C738="","",IF(COUNTA($U738:$W738)&lt;3,"",IF(AND($U738="מפותח",$V738="מפותח",$W738="מפותחת"),"מפותחת",IF((--($U738="דל"))+(--($V738="אינו מפותח"))+(--($W738="דלה"))&gt;=2,"אינה מפותחת","חלקית"))))</f>
        <v/>
      </c>
      <c r="AA738" s="32">
        <f>IF($C738="","",IF(COUNTA($M738,$N738,$O738)&lt;3,"— חסרים נתונים",IF(OR($M738="נמוכה",(--($M738&lt;&gt;"תקינה"))+(--($N738&lt;&gt;"תקין"))+(--($O738&lt;&gt;"תקינה"))&gt;=2),"ניכרת","אינה ניכרת")))</f>
        <v/>
      </c>
      <c r="AB738" s="32">
        <f>IF(OR($C738="",$Y738="",$AA738="",LEFT($Y738,1)="—",LEFT($AA738,1)="—"),"",IF($Z738="","— נדרשת הערכת כתיבה",IF($L738="","— חסרה הבנת הנקרא",IF($Y738="אינה מדויקת או מקוטעת",IF($AA738="ניכרת","מיקוד בשטף הקריאה ובכישורי שפה","מיקוד בשטף קריאה"),IF($AA738="ניכרת","מיקוד בכישורי שפה",IF(AND($L738="תקינה",$Z738="מפותחת"),"קוראים וכותבים מיומנים","מיקוד בהבנה והבעה"))))))</f>
        <v/>
      </c>
      <c r="AC738" s="32">
        <f>IF(OR($AB738="",LEFT($AB738,1)="—"),"",IF(OR($AB738="מיקוד בשטף קריאה",$AB738="מיקוד בשטף הקריאה ובכישורי שפה"),"רמה א'",IF($AB738="קוראים וכותבים מיומנים","רמה ג'","רמה ב'")))</f>
        <v/>
      </c>
      <c r="AD738" s="32">
        <f>IF($AC738="","",MID(IF(AND($AC738="רמה א'",$AA738="ניכרת"),"; להוסיף עבודת אוצר מילים","")&amp;IF($Z738="אינה מפותחת","; דגש על הבעה בכתב","")&amp;IF($K738&lt;&gt;"תקין","; נדרש לעבוד על ההנגנה","")&amp;IF($AK738&lt;&gt;"","; "&amp;$AK738,""),3,400))</f>
        <v/>
      </c>
      <c r="AE738" s="32">
        <f>IF($F738="","",IF($F738="תחילת שנה",1,IF($F738="מחצית שנה",2,3)))</f>
        <v/>
      </c>
      <c r="AF738" s="32">
        <f>IF(OR($B738="",$AC738="",$A738="",$F738=""),"",$B738&amp;"|"&amp;$A738&amp;"|"&amp;$F738&amp;"|"&amp;$AC738&amp;"|"&amp;COUNTIFS($B$6:$B738,$B738,$A$6:$A738,$A738,$F$6:$F738,$F738,$AC$6:$AC738,$AC738))</f>
        <v/>
      </c>
      <c r="AG738" s="32">
        <f>IF($C738="","",$C738&amp;"|"&amp;COUNTIFS($C$6:$C738,$C738))</f>
        <v/>
      </c>
      <c r="AH738" s="32">
        <f>IF(OR($C738="",$A738="",$AE738=""),"",$C738&amp;"|"&amp;$A738&amp;"|"&amp;$AE738)</f>
        <v/>
      </c>
      <c r="AI738" s="32">
        <f>IF(OR($C738="",$AE738="",$AE738=1),"",IFERROR(INDEX($AC$6:$AC$1505,MATCH($C738&amp;"|"&amp;$A738&amp;"|"&amp;($AE738-1),$AH$6:$AH$1505,0)),""))</f>
        <v/>
      </c>
      <c r="AJ738" s="32">
        <f>IF(OR($AI738="",$AC738=""),"",IF($AI738=$AC738,"ללא שינוי","מ-"&amp;$AI738&amp;" ל-"&amp;$AC738))</f>
        <v/>
      </c>
      <c r="AK738" s="67" t="n"/>
    </row>
    <row r="739" ht="15.75" customHeight="1" s="58">
      <c r="A739" s="65" t="n"/>
      <c r="B739" s="65" t="n"/>
      <c r="C739" s="66" t="n"/>
      <c r="D739" s="66" t="n"/>
      <c r="E739" s="65" t="n"/>
      <c r="F739" s="65" t="n"/>
      <c r="G739" s="65" t="n"/>
      <c r="H739" s="65" t="n"/>
      <c r="I739" s="65" t="n"/>
      <c r="J739" s="65" t="n"/>
      <c r="K739" s="65" t="n"/>
      <c r="L739" s="65" t="n"/>
      <c r="M739" s="65" t="n"/>
      <c r="N739" s="65" t="n"/>
      <c r="O739" s="65" t="n"/>
      <c r="P739" s="65" t="n"/>
      <c r="Q739" s="65" t="n"/>
      <c r="R739" s="65" t="n"/>
      <c r="S739" s="65" t="n"/>
      <c r="T739" s="65" t="n"/>
      <c r="U739" s="65" t="n"/>
      <c r="V739" s="65" t="n"/>
      <c r="W739" s="65" t="n"/>
      <c r="X739" s="65" t="n"/>
      <c r="Y739" s="32">
        <f>IF($C739="","",IF(COUNTA($I739:$K739)&lt;3,"— חסרים נתונים",IF(AND($I739="תקין",$J739="תקין",$K739="תקין"),"רהוטה",IF(AND($I739="תקין",$J739="תקין"),"מדויקת ורציפה","אינה מדויקת או מקוטעת"))))</f>
        <v/>
      </c>
      <c r="Z739" s="32">
        <f>IF($C739="","",IF(COUNTA($U739:$W739)&lt;3,"",IF(AND($U739="מפותח",$V739="מפותח",$W739="מפותחת"),"מפותחת",IF((--($U739="דל"))+(--($V739="אינו מפותח"))+(--($W739="דלה"))&gt;=2,"אינה מפותחת","חלקית"))))</f>
        <v/>
      </c>
      <c r="AA739" s="32">
        <f>IF($C739="","",IF(COUNTA($M739,$N739,$O739)&lt;3,"— חסרים נתונים",IF(OR($M739="נמוכה",(--($M739&lt;&gt;"תקינה"))+(--($N739&lt;&gt;"תקין"))+(--($O739&lt;&gt;"תקינה"))&gt;=2),"ניכרת","אינה ניכרת")))</f>
        <v/>
      </c>
      <c r="AB739" s="32">
        <f>IF(OR($C739="",$Y739="",$AA739="",LEFT($Y739,1)="—",LEFT($AA739,1)="—"),"",IF($Z739="","— נדרשת הערכת כתיבה",IF($L739="","— חסרה הבנת הנקרא",IF($Y739="אינה מדויקת או מקוטעת",IF($AA739="ניכרת","מיקוד בשטף הקריאה ובכישורי שפה","מיקוד בשטף קריאה"),IF($AA739="ניכרת","מיקוד בכישורי שפה",IF(AND($L739="תקינה",$Z739="מפותחת"),"קוראים וכותבים מיומנים","מיקוד בהבנה והבעה"))))))</f>
        <v/>
      </c>
      <c r="AC739" s="32">
        <f>IF(OR($AB739="",LEFT($AB739,1)="—"),"",IF(OR($AB739="מיקוד בשטף קריאה",$AB739="מיקוד בשטף הקריאה ובכישורי שפה"),"רמה א'",IF($AB739="קוראים וכותבים מיומנים","רמה ג'","רמה ב'")))</f>
        <v/>
      </c>
      <c r="AD739" s="32">
        <f>IF($AC739="","",MID(IF(AND($AC739="רמה א'",$AA739="ניכרת"),"; להוסיף עבודת אוצר מילים","")&amp;IF($Z739="אינה מפותחת","; דגש על הבעה בכתב","")&amp;IF($K739&lt;&gt;"תקין","; נדרש לעבוד על ההנגנה","")&amp;IF($AK739&lt;&gt;"","; "&amp;$AK739,""),3,400))</f>
        <v/>
      </c>
      <c r="AE739" s="32">
        <f>IF($F739="","",IF($F739="תחילת שנה",1,IF($F739="מחצית שנה",2,3)))</f>
        <v/>
      </c>
      <c r="AF739" s="32">
        <f>IF(OR($B739="",$AC739="",$A739="",$F739=""),"",$B739&amp;"|"&amp;$A739&amp;"|"&amp;$F739&amp;"|"&amp;$AC739&amp;"|"&amp;COUNTIFS($B$6:$B739,$B739,$A$6:$A739,$A739,$F$6:$F739,$F739,$AC$6:$AC739,$AC739))</f>
        <v/>
      </c>
      <c r="AG739" s="32">
        <f>IF($C739="","",$C739&amp;"|"&amp;COUNTIFS($C$6:$C739,$C739))</f>
        <v/>
      </c>
      <c r="AH739" s="32">
        <f>IF(OR($C739="",$A739="",$AE739=""),"",$C739&amp;"|"&amp;$A739&amp;"|"&amp;$AE739)</f>
        <v/>
      </c>
      <c r="AI739" s="32">
        <f>IF(OR($C739="",$AE739="",$AE739=1),"",IFERROR(INDEX($AC$6:$AC$1505,MATCH($C739&amp;"|"&amp;$A739&amp;"|"&amp;($AE739-1),$AH$6:$AH$1505,0)),""))</f>
        <v/>
      </c>
      <c r="AJ739" s="32">
        <f>IF(OR($AI739="",$AC739=""),"",IF($AI739=$AC739,"ללא שינוי","מ-"&amp;$AI739&amp;" ל-"&amp;$AC739))</f>
        <v/>
      </c>
      <c r="AK739" s="67" t="n"/>
    </row>
    <row r="740" ht="15.75" customHeight="1" s="58">
      <c r="A740" s="65" t="n"/>
      <c r="B740" s="65" t="n"/>
      <c r="C740" s="66" t="n"/>
      <c r="D740" s="66" t="n"/>
      <c r="E740" s="65" t="n"/>
      <c r="F740" s="65" t="n"/>
      <c r="G740" s="65" t="n"/>
      <c r="H740" s="65" t="n"/>
      <c r="I740" s="65" t="n"/>
      <c r="J740" s="65" t="n"/>
      <c r="K740" s="65" t="n"/>
      <c r="L740" s="65" t="n"/>
      <c r="M740" s="65" t="n"/>
      <c r="N740" s="65" t="n"/>
      <c r="O740" s="65" t="n"/>
      <c r="P740" s="65" t="n"/>
      <c r="Q740" s="65" t="n"/>
      <c r="R740" s="65" t="n"/>
      <c r="S740" s="65" t="n"/>
      <c r="T740" s="65" t="n"/>
      <c r="U740" s="65" t="n"/>
      <c r="V740" s="65" t="n"/>
      <c r="W740" s="65" t="n"/>
      <c r="X740" s="65" t="n"/>
      <c r="Y740" s="32">
        <f>IF($C740="","",IF(COUNTA($I740:$K740)&lt;3,"— חסרים נתונים",IF(AND($I740="תקין",$J740="תקין",$K740="תקין"),"רהוטה",IF(AND($I740="תקין",$J740="תקין"),"מדויקת ורציפה","אינה מדויקת או מקוטעת"))))</f>
        <v/>
      </c>
      <c r="Z740" s="32">
        <f>IF($C740="","",IF(COUNTA($U740:$W740)&lt;3,"",IF(AND($U740="מפותח",$V740="מפותח",$W740="מפותחת"),"מפותחת",IF((--($U740="דל"))+(--($V740="אינו מפותח"))+(--($W740="דלה"))&gt;=2,"אינה מפותחת","חלקית"))))</f>
        <v/>
      </c>
      <c r="AA740" s="32">
        <f>IF($C740="","",IF(COUNTA($M740,$N740,$O740)&lt;3,"— חסרים נתונים",IF(OR($M740="נמוכה",(--($M740&lt;&gt;"תקינה"))+(--($N740&lt;&gt;"תקין"))+(--($O740&lt;&gt;"תקינה"))&gt;=2),"ניכרת","אינה ניכרת")))</f>
        <v/>
      </c>
      <c r="AB740" s="32">
        <f>IF(OR($C740="",$Y740="",$AA740="",LEFT($Y740,1)="—",LEFT($AA740,1)="—"),"",IF($Z740="","— נדרשת הערכת כתיבה",IF($L740="","— חסרה הבנת הנקרא",IF($Y740="אינה מדויקת או מקוטעת",IF($AA740="ניכרת","מיקוד בשטף הקריאה ובכישורי שפה","מיקוד בשטף קריאה"),IF($AA740="ניכרת","מיקוד בכישורי שפה",IF(AND($L740="תקינה",$Z740="מפותחת"),"קוראים וכותבים מיומנים","מיקוד בהבנה והבעה"))))))</f>
        <v/>
      </c>
      <c r="AC740" s="32">
        <f>IF(OR($AB740="",LEFT($AB740,1)="—"),"",IF(OR($AB740="מיקוד בשטף קריאה",$AB740="מיקוד בשטף הקריאה ובכישורי שפה"),"רמה א'",IF($AB740="קוראים וכותבים מיומנים","רמה ג'","רמה ב'")))</f>
        <v/>
      </c>
      <c r="AD740" s="32">
        <f>IF($AC740="","",MID(IF(AND($AC740="רמה א'",$AA740="ניכרת"),"; להוסיף עבודת אוצר מילים","")&amp;IF($Z740="אינה מפותחת","; דגש על הבעה בכתב","")&amp;IF($K740&lt;&gt;"תקין","; נדרש לעבוד על ההנגנה","")&amp;IF($AK740&lt;&gt;"","; "&amp;$AK740,""),3,400))</f>
        <v/>
      </c>
      <c r="AE740" s="32">
        <f>IF($F740="","",IF($F740="תחילת שנה",1,IF($F740="מחצית שנה",2,3)))</f>
        <v/>
      </c>
      <c r="AF740" s="32">
        <f>IF(OR($B740="",$AC740="",$A740="",$F740=""),"",$B740&amp;"|"&amp;$A740&amp;"|"&amp;$F740&amp;"|"&amp;$AC740&amp;"|"&amp;COUNTIFS($B$6:$B740,$B740,$A$6:$A740,$A740,$F$6:$F740,$F740,$AC$6:$AC740,$AC740))</f>
        <v/>
      </c>
      <c r="AG740" s="32">
        <f>IF($C740="","",$C740&amp;"|"&amp;COUNTIFS($C$6:$C740,$C740))</f>
        <v/>
      </c>
      <c r="AH740" s="32">
        <f>IF(OR($C740="",$A740="",$AE740=""),"",$C740&amp;"|"&amp;$A740&amp;"|"&amp;$AE740)</f>
        <v/>
      </c>
      <c r="AI740" s="32">
        <f>IF(OR($C740="",$AE740="",$AE740=1),"",IFERROR(INDEX($AC$6:$AC$1505,MATCH($C740&amp;"|"&amp;$A740&amp;"|"&amp;($AE740-1),$AH$6:$AH$1505,0)),""))</f>
        <v/>
      </c>
      <c r="AJ740" s="32">
        <f>IF(OR($AI740="",$AC740=""),"",IF($AI740=$AC740,"ללא שינוי","מ-"&amp;$AI740&amp;" ל-"&amp;$AC740))</f>
        <v/>
      </c>
      <c r="AK740" s="67" t="n"/>
    </row>
    <row r="741" ht="15.75" customHeight="1" s="58">
      <c r="A741" s="65" t="n"/>
      <c r="B741" s="65" t="n"/>
      <c r="C741" s="66" t="n"/>
      <c r="D741" s="66" t="n"/>
      <c r="E741" s="65" t="n"/>
      <c r="F741" s="65" t="n"/>
      <c r="G741" s="65" t="n"/>
      <c r="H741" s="65" t="n"/>
      <c r="I741" s="65" t="n"/>
      <c r="J741" s="65" t="n"/>
      <c r="K741" s="65" t="n"/>
      <c r="L741" s="65" t="n"/>
      <c r="M741" s="65" t="n"/>
      <c r="N741" s="65" t="n"/>
      <c r="O741" s="65" t="n"/>
      <c r="P741" s="65" t="n"/>
      <c r="Q741" s="65" t="n"/>
      <c r="R741" s="65" t="n"/>
      <c r="S741" s="65" t="n"/>
      <c r="T741" s="65" t="n"/>
      <c r="U741" s="65" t="n"/>
      <c r="V741" s="65" t="n"/>
      <c r="W741" s="65" t="n"/>
      <c r="X741" s="65" t="n"/>
      <c r="Y741" s="32">
        <f>IF($C741="","",IF(COUNTA($I741:$K741)&lt;3,"— חסרים נתונים",IF(AND($I741="תקין",$J741="תקין",$K741="תקין"),"רהוטה",IF(AND($I741="תקין",$J741="תקין"),"מדויקת ורציפה","אינה מדויקת או מקוטעת"))))</f>
        <v/>
      </c>
      <c r="Z741" s="32">
        <f>IF($C741="","",IF(COUNTA($U741:$W741)&lt;3,"",IF(AND($U741="מפותח",$V741="מפותח",$W741="מפותחת"),"מפותחת",IF((--($U741="דל"))+(--($V741="אינו מפותח"))+(--($W741="דלה"))&gt;=2,"אינה מפותחת","חלקית"))))</f>
        <v/>
      </c>
      <c r="AA741" s="32">
        <f>IF($C741="","",IF(COUNTA($M741,$N741,$O741)&lt;3,"— חסרים נתונים",IF(OR($M741="נמוכה",(--($M741&lt;&gt;"תקינה"))+(--($N741&lt;&gt;"תקין"))+(--($O741&lt;&gt;"תקינה"))&gt;=2),"ניכרת","אינה ניכרת")))</f>
        <v/>
      </c>
      <c r="AB741" s="32">
        <f>IF(OR($C741="",$Y741="",$AA741="",LEFT($Y741,1)="—",LEFT($AA741,1)="—"),"",IF($Z741="","— נדרשת הערכת כתיבה",IF($L741="","— חסרה הבנת הנקרא",IF($Y741="אינה מדויקת או מקוטעת",IF($AA741="ניכרת","מיקוד בשטף הקריאה ובכישורי שפה","מיקוד בשטף קריאה"),IF($AA741="ניכרת","מיקוד בכישורי שפה",IF(AND($L741="תקינה",$Z741="מפותחת"),"קוראים וכותבים מיומנים","מיקוד בהבנה והבעה"))))))</f>
        <v/>
      </c>
      <c r="AC741" s="32">
        <f>IF(OR($AB741="",LEFT($AB741,1)="—"),"",IF(OR($AB741="מיקוד בשטף קריאה",$AB741="מיקוד בשטף הקריאה ובכישורי שפה"),"רמה א'",IF($AB741="קוראים וכותבים מיומנים","רמה ג'","רמה ב'")))</f>
        <v/>
      </c>
      <c r="AD741" s="32">
        <f>IF($AC741="","",MID(IF(AND($AC741="רמה א'",$AA741="ניכרת"),"; להוסיף עבודת אוצר מילים","")&amp;IF($Z741="אינה מפותחת","; דגש על הבעה בכתב","")&amp;IF($K741&lt;&gt;"תקין","; נדרש לעבוד על ההנגנה","")&amp;IF($AK741&lt;&gt;"","; "&amp;$AK741,""),3,400))</f>
        <v/>
      </c>
      <c r="AE741" s="32">
        <f>IF($F741="","",IF($F741="תחילת שנה",1,IF($F741="מחצית שנה",2,3)))</f>
        <v/>
      </c>
      <c r="AF741" s="32">
        <f>IF(OR($B741="",$AC741="",$A741="",$F741=""),"",$B741&amp;"|"&amp;$A741&amp;"|"&amp;$F741&amp;"|"&amp;$AC741&amp;"|"&amp;COUNTIFS($B$6:$B741,$B741,$A$6:$A741,$A741,$F$6:$F741,$F741,$AC$6:$AC741,$AC741))</f>
        <v/>
      </c>
      <c r="AG741" s="32">
        <f>IF($C741="","",$C741&amp;"|"&amp;COUNTIFS($C$6:$C741,$C741))</f>
        <v/>
      </c>
      <c r="AH741" s="32">
        <f>IF(OR($C741="",$A741="",$AE741=""),"",$C741&amp;"|"&amp;$A741&amp;"|"&amp;$AE741)</f>
        <v/>
      </c>
      <c r="AI741" s="32">
        <f>IF(OR($C741="",$AE741="",$AE741=1),"",IFERROR(INDEX($AC$6:$AC$1505,MATCH($C741&amp;"|"&amp;$A741&amp;"|"&amp;($AE741-1),$AH$6:$AH$1505,0)),""))</f>
        <v/>
      </c>
      <c r="AJ741" s="32">
        <f>IF(OR($AI741="",$AC741=""),"",IF($AI741=$AC741,"ללא שינוי","מ-"&amp;$AI741&amp;" ל-"&amp;$AC741))</f>
        <v/>
      </c>
      <c r="AK741" s="67" t="n"/>
    </row>
    <row r="742" ht="15.75" customHeight="1" s="58">
      <c r="A742" s="65" t="n"/>
      <c r="B742" s="65" t="n"/>
      <c r="C742" s="66" t="n"/>
      <c r="D742" s="66" t="n"/>
      <c r="E742" s="65" t="n"/>
      <c r="F742" s="65" t="n"/>
      <c r="G742" s="65" t="n"/>
      <c r="H742" s="65" t="n"/>
      <c r="I742" s="65" t="n"/>
      <c r="J742" s="65" t="n"/>
      <c r="K742" s="65" t="n"/>
      <c r="L742" s="65" t="n"/>
      <c r="M742" s="65" t="n"/>
      <c r="N742" s="65" t="n"/>
      <c r="O742" s="65" t="n"/>
      <c r="P742" s="65" t="n"/>
      <c r="Q742" s="65" t="n"/>
      <c r="R742" s="65" t="n"/>
      <c r="S742" s="65" t="n"/>
      <c r="T742" s="65" t="n"/>
      <c r="U742" s="65" t="n"/>
      <c r="V742" s="65" t="n"/>
      <c r="W742" s="65" t="n"/>
      <c r="X742" s="65" t="n"/>
      <c r="Y742" s="32">
        <f>IF($C742="","",IF(COUNTA($I742:$K742)&lt;3,"— חסרים נתונים",IF(AND($I742="תקין",$J742="תקין",$K742="תקין"),"רהוטה",IF(AND($I742="תקין",$J742="תקין"),"מדויקת ורציפה","אינה מדויקת או מקוטעת"))))</f>
        <v/>
      </c>
      <c r="Z742" s="32">
        <f>IF($C742="","",IF(COUNTA($U742:$W742)&lt;3,"",IF(AND($U742="מפותח",$V742="מפותח",$W742="מפותחת"),"מפותחת",IF((--($U742="דל"))+(--($V742="אינו מפותח"))+(--($W742="דלה"))&gt;=2,"אינה מפותחת","חלקית"))))</f>
        <v/>
      </c>
      <c r="AA742" s="32">
        <f>IF($C742="","",IF(COUNTA($M742,$N742,$O742)&lt;3,"— חסרים נתונים",IF(OR($M742="נמוכה",(--($M742&lt;&gt;"תקינה"))+(--($N742&lt;&gt;"תקין"))+(--($O742&lt;&gt;"תקינה"))&gt;=2),"ניכרת","אינה ניכרת")))</f>
        <v/>
      </c>
      <c r="AB742" s="32">
        <f>IF(OR($C742="",$Y742="",$AA742="",LEFT($Y742,1)="—",LEFT($AA742,1)="—"),"",IF($Z742="","— נדרשת הערכת כתיבה",IF($L742="","— חסרה הבנת הנקרא",IF($Y742="אינה מדויקת או מקוטעת",IF($AA742="ניכרת","מיקוד בשטף הקריאה ובכישורי שפה","מיקוד בשטף קריאה"),IF($AA742="ניכרת","מיקוד בכישורי שפה",IF(AND($L742="תקינה",$Z742="מפותחת"),"קוראים וכותבים מיומנים","מיקוד בהבנה והבעה"))))))</f>
        <v/>
      </c>
      <c r="AC742" s="32">
        <f>IF(OR($AB742="",LEFT($AB742,1)="—"),"",IF(OR($AB742="מיקוד בשטף קריאה",$AB742="מיקוד בשטף הקריאה ובכישורי שפה"),"רמה א'",IF($AB742="קוראים וכותבים מיומנים","רמה ג'","רמה ב'")))</f>
        <v/>
      </c>
      <c r="AD742" s="32">
        <f>IF($AC742="","",MID(IF(AND($AC742="רמה א'",$AA742="ניכרת"),"; להוסיף עבודת אוצר מילים","")&amp;IF($Z742="אינה מפותחת","; דגש על הבעה בכתב","")&amp;IF($K742&lt;&gt;"תקין","; נדרש לעבוד על ההנגנה","")&amp;IF($AK742&lt;&gt;"","; "&amp;$AK742,""),3,400))</f>
        <v/>
      </c>
      <c r="AE742" s="32">
        <f>IF($F742="","",IF($F742="תחילת שנה",1,IF($F742="מחצית שנה",2,3)))</f>
        <v/>
      </c>
      <c r="AF742" s="32">
        <f>IF(OR($B742="",$AC742="",$A742="",$F742=""),"",$B742&amp;"|"&amp;$A742&amp;"|"&amp;$F742&amp;"|"&amp;$AC742&amp;"|"&amp;COUNTIFS($B$6:$B742,$B742,$A$6:$A742,$A742,$F$6:$F742,$F742,$AC$6:$AC742,$AC742))</f>
        <v/>
      </c>
      <c r="AG742" s="32">
        <f>IF($C742="","",$C742&amp;"|"&amp;COUNTIFS($C$6:$C742,$C742))</f>
        <v/>
      </c>
      <c r="AH742" s="32">
        <f>IF(OR($C742="",$A742="",$AE742=""),"",$C742&amp;"|"&amp;$A742&amp;"|"&amp;$AE742)</f>
        <v/>
      </c>
      <c r="AI742" s="32">
        <f>IF(OR($C742="",$AE742="",$AE742=1),"",IFERROR(INDEX($AC$6:$AC$1505,MATCH($C742&amp;"|"&amp;$A742&amp;"|"&amp;($AE742-1),$AH$6:$AH$1505,0)),""))</f>
        <v/>
      </c>
      <c r="AJ742" s="32">
        <f>IF(OR($AI742="",$AC742=""),"",IF($AI742=$AC742,"ללא שינוי","מ-"&amp;$AI742&amp;" ל-"&amp;$AC742))</f>
        <v/>
      </c>
      <c r="AK742" s="67" t="n"/>
    </row>
    <row r="743" ht="15.75" customHeight="1" s="58">
      <c r="A743" s="65" t="n"/>
      <c r="B743" s="65" t="n"/>
      <c r="C743" s="66" t="n"/>
      <c r="D743" s="66" t="n"/>
      <c r="E743" s="65" t="n"/>
      <c r="F743" s="65" t="n"/>
      <c r="G743" s="65" t="n"/>
      <c r="H743" s="65" t="n"/>
      <c r="I743" s="65" t="n"/>
      <c r="J743" s="65" t="n"/>
      <c r="K743" s="65" t="n"/>
      <c r="L743" s="65" t="n"/>
      <c r="M743" s="65" t="n"/>
      <c r="N743" s="65" t="n"/>
      <c r="O743" s="65" t="n"/>
      <c r="P743" s="65" t="n"/>
      <c r="Q743" s="65" t="n"/>
      <c r="R743" s="65" t="n"/>
      <c r="S743" s="65" t="n"/>
      <c r="T743" s="65" t="n"/>
      <c r="U743" s="65" t="n"/>
      <c r="V743" s="65" t="n"/>
      <c r="W743" s="65" t="n"/>
      <c r="X743" s="65" t="n"/>
      <c r="Y743" s="32">
        <f>IF($C743="","",IF(COUNTA($I743:$K743)&lt;3,"— חסרים נתונים",IF(AND($I743="תקין",$J743="תקין",$K743="תקין"),"רהוטה",IF(AND($I743="תקין",$J743="תקין"),"מדויקת ורציפה","אינה מדויקת או מקוטעת"))))</f>
        <v/>
      </c>
      <c r="Z743" s="32">
        <f>IF($C743="","",IF(COUNTA($U743:$W743)&lt;3,"",IF(AND($U743="מפותח",$V743="מפותח",$W743="מפותחת"),"מפותחת",IF((--($U743="דל"))+(--($V743="אינו מפותח"))+(--($W743="דלה"))&gt;=2,"אינה מפותחת","חלקית"))))</f>
        <v/>
      </c>
      <c r="AA743" s="32">
        <f>IF($C743="","",IF(COUNTA($M743,$N743,$O743)&lt;3,"— חסרים נתונים",IF(OR($M743="נמוכה",(--($M743&lt;&gt;"תקינה"))+(--($N743&lt;&gt;"תקין"))+(--($O743&lt;&gt;"תקינה"))&gt;=2),"ניכרת","אינה ניכרת")))</f>
        <v/>
      </c>
      <c r="AB743" s="32">
        <f>IF(OR($C743="",$Y743="",$AA743="",LEFT($Y743,1)="—",LEFT($AA743,1)="—"),"",IF($Z743="","— נדרשת הערכת כתיבה",IF($L743="","— חסרה הבנת הנקרא",IF($Y743="אינה מדויקת או מקוטעת",IF($AA743="ניכרת","מיקוד בשטף הקריאה ובכישורי שפה","מיקוד בשטף קריאה"),IF($AA743="ניכרת","מיקוד בכישורי שפה",IF(AND($L743="תקינה",$Z743="מפותחת"),"קוראים וכותבים מיומנים","מיקוד בהבנה והבעה"))))))</f>
        <v/>
      </c>
      <c r="AC743" s="32">
        <f>IF(OR($AB743="",LEFT($AB743,1)="—"),"",IF(OR($AB743="מיקוד בשטף קריאה",$AB743="מיקוד בשטף הקריאה ובכישורי שפה"),"רמה א'",IF($AB743="קוראים וכותבים מיומנים","רמה ג'","רמה ב'")))</f>
        <v/>
      </c>
      <c r="AD743" s="32">
        <f>IF($AC743="","",MID(IF(AND($AC743="רמה א'",$AA743="ניכרת"),"; להוסיף עבודת אוצר מילים","")&amp;IF($Z743="אינה מפותחת","; דגש על הבעה בכתב","")&amp;IF($K743&lt;&gt;"תקין","; נדרש לעבוד על ההנגנה","")&amp;IF($AK743&lt;&gt;"","; "&amp;$AK743,""),3,400))</f>
        <v/>
      </c>
      <c r="AE743" s="32">
        <f>IF($F743="","",IF($F743="תחילת שנה",1,IF($F743="מחצית שנה",2,3)))</f>
        <v/>
      </c>
      <c r="AF743" s="32">
        <f>IF(OR($B743="",$AC743="",$A743="",$F743=""),"",$B743&amp;"|"&amp;$A743&amp;"|"&amp;$F743&amp;"|"&amp;$AC743&amp;"|"&amp;COUNTIFS($B$6:$B743,$B743,$A$6:$A743,$A743,$F$6:$F743,$F743,$AC$6:$AC743,$AC743))</f>
        <v/>
      </c>
      <c r="AG743" s="32">
        <f>IF($C743="","",$C743&amp;"|"&amp;COUNTIFS($C$6:$C743,$C743))</f>
        <v/>
      </c>
      <c r="AH743" s="32">
        <f>IF(OR($C743="",$A743="",$AE743=""),"",$C743&amp;"|"&amp;$A743&amp;"|"&amp;$AE743)</f>
        <v/>
      </c>
      <c r="AI743" s="32">
        <f>IF(OR($C743="",$AE743="",$AE743=1),"",IFERROR(INDEX($AC$6:$AC$1505,MATCH($C743&amp;"|"&amp;$A743&amp;"|"&amp;($AE743-1),$AH$6:$AH$1505,0)),""))</f>
        <v/>
      </c>
      <c r="AJ743" s="32">
        <f>IF(OR($AI743="",$AC743=""),"",IF($AI743=$AC743,"ללא שינוי","מ-"&amp;$AI743&amp;" ל-"&amp;$AC743))</f>
        <v/>
      </c>
      <c r="AK743" s="67" t="n"/>
    </row>
    <row r="744" ht="15.75" customHeight="1" s="58">
      <c r="A744" s="65" t="n"/>
      <c r="B744" s="65" t="n"/>
      <c r="C744" s="66" t="n"/>
      <c r="D744" s="66" t="n"/>
      <c r="E744" s="65" t="n"/>
      <c r="F744" s="65" t="n"/>
      <c r="G744" s="65" t="n"/>
      <c r="H744" s="65" t="n"/>
      <c r="I744" s="65" t="n"/>
      <c r="J744" s="65" t="n"/>
      <c r="K744" s="65" t="n"/>
      <c r="L744" s="65" t="n"/>
      <c r="M744" s="65" t="n"/>
      <c r="N744" s="65" t="n"/>
      <c r="O744" s="65" t="n"/>
      <c r="P744" s="65" t="n"/>
      <c r="Q744" s="65" t="n"/>
      <c r="R744" s="65" t="n"/>
      <c r="S744" s="65" t="n"/>
      <c r="T744" s="65" t="n"/>
      <c r="U744" s="65" t="n"/>
      <c r="V744" s="65" t="n"/>
      <c r="W744" s="65" t="n"/>
      <c r="X744" s="65" t="n"/>
      <c r="Y744" s="32">
        <f>IF($C744="","",IF(COUNTA($I744:$K744)&lt;3,"— חסרים נתונים",IF(AND($I744="תקין",$J744="תקין",$K744="תקין"),"רהוטה",IF(AND($I744="תקין",$J744="תקין"),"מדויקת ורציפה","אינה מדויקת או מקוטעת"))))</f>
        <v/>
      </c>
      <c r="Z744" s="32">
        <f>IF($C744="","",IF(COUNTA($U744:$W744)&lt;3,"",IF(AND($U744="מפותח",$V744="מפותח",$W744="מפותחת"),"מפותחת",IF((--($U744="דל"))+(--($V744="אינו מפותח"))+(--($W744="דלה"))&gt;=2,"אינה מפותחת","חלקית"))))</f>
        <v/>
      </c>
      <c r="AA744" s="32">
        <f>IF($C744="","",IF(COUNTA($M744,$N744,$O744)&lt;3,"— חסרים נתונים",IF(OR($M744="נמוכה",(--($M744&lt;&gt;"תקינה"))+(--($N744&lt;&gt;"תקין"))+(--($O744&lt;&gt;"תקינה"))&gt;=2),"ניכרת","אינה ניכרת")))</f>
        <v/>
      </c>
      <c r="AB744" s="32">
        <f>IF(OR($C744="",$Y744="",$AA744="",LEFT($Y744,1)="—",LEFT($AA744,1)="—"),"",IF($Z744="","— נדרשת הערכת כתיבה",IF($L744="","— חסרה הבנת הנקרא",IF($Y744="אינה מדויקת או מקוטעת",IF($AA744="ניכרת","מיקוד בשטף הקריאה ובכישורי שפה","מיקוד בשטף קריאה"),IF($AA744="ניכרת","מיקוד בכישורי שפה",IF(AND($L744="תקינה",$Z744="מפותחת"),"קוראים וכותבים מיומנים","מיקוד בהבנה והבעה"))))))</f>
        <v/>
      </c>
      <c r="AC744" s="32">
        <f>IF(OR($AB744="",LEFT($AB744,1)="—"),"",IF(OR($AB744="מיקוד בשטף קריאה",$AB744="מיקוד בשטף הקריאה ובכישורי שפה"),"רמה א'",IF($AB744="קוראים וכותבים מיומנים","רמה ג'","רמה ב'")))</f>
        <v/>
      </c>
      <c r="AD744" s="32">
        <f>IF($AC744="","",MID(IF(AND($AC744="רמה א'",$AA744="ניכרת"),"; להוסיף עבודת אוצר מילים","")&amp;IF($Z744="אינה מפותחת","; דגש על הבעה בכתב","")&amp;IF($K744&lt;&gt;"תקין","; נדרש לעבוד על ההנגנה","")&amp;IF($AK744&lt;&gt;"","; "&amp;$AK744,""),3,400))</f>
        <v/>
      </c>
      <c r="AE744" s="32">
        <f>IF($F744="","",IF($F744="תחילת שנה",1,IF($F744="מחצית שנה",2,3)))</f>
        <v/>
      </c>
      <c r="AF744" s="32">
        <f>IF(OR($B744="",$AC744="",$A744="",$F744=""),"",$B744&amp;"|"&amp;$A744&amp;"|"&amp;$F744&amp;"|"&amp;$AC744&amp;"|"&amp;COUNTIFS($B$6:$B744,$B744,$A$6:$A744,$A744,$F$6:$F744,$F744,$AC$6:$AC744,$AC744))</f>
        <v/>
      </c>
      <c r="AG744" s="32">
        <f>IF($C744="","",$C744&amp;"|"&amp;COUNTIFS($C$6:$C744,$C744))</f>
        <v/>
      </c>
      <c r="AH744" s="32">
        <f>IF(OR($C744="",$A744="",$AE744=""),"",$C744&amp;"|"&amp;$A744&amp;"|"&amp;$AE744)</f>
        <v/>
      </c>
      <c r="AI744" s="32">
        <f>IF(OR($C744="",$AE744="",$AE744=1),"",IFERROR(INDEX($AC$6:$AC$1505,MATCH($C744&amp;"|"&amp;$A744&amp;"|"&amp;($AE744-1),$AH$6:$AH$1505,0)),""))</f>
        <v/>
      </c>
      <c r="AJ744" s="32">
        <f>IF(OR($AI744="",$AC744=""),"",IF($AI744=$AC744,"ללא שינוי","מ-"&amp;$AI744&amp;" ל-"&amp;$AC744))</f>
        <v/>
      </c>
      <c r="AK744" s="67" t="n"/>
    </row>
    <row r="745" ht="15.75" customHeight="1" s="58">
      <c r="A745" s="65" t="n"/>
      <c r="B745" s="65" t="n"/>
      <c r="C745" s="66" t="n"/>
      <c r="D745" s="66" t="n"/>
      <c r="E745" s="65" t="n"/>
      <c r="F745" s="65" t="n"/>
      <c r="G745" s="65" t="n"/>
      <c r="H745" s="65" t="n"/>
      <c r="I745" s="65" t="n"/>
      <c r="J745" s="65" t="n"/>
      <c r="K745" s="65" t="n"/>
      <c r="L745" s="65" t="n"/>
      <c r="M745" s="65" t="n"/>
      <c r="N745" s="65" t="n"/>
      <c r="O745" s="65" t="n"/>
      <c r="P745" s="65" t="n"/>
      <c r="Q745" s="65" t="n"/>
      <c r="R745" s="65" t="n"/>
      <c r="S745" s="65" t="n"/>
      <c r="T745" s="65" t="n"/>
      <c r="U745" s="65" t="n"/>
      <c r="V745" s="65" t="n"/>
      <c r="W745" s="65" t="n"/>
      <c r="X745" s="65" t="n"/>
      <c r="Y745" s="32">
        <f>IF($C745="","",IF(COUNTA($I745:$K745)&lt;3,"— חסרים נתונים",IF(AND($I745="תקין",$J745="תקין",$K745="תקין"),"רהוטה",IF(AND($I745="תקין",$J745="תקין"),"מדויקת ורציפה","אינה מדויקת או מקוטעת"))))</f>
        <v/>
      </c>
      <c r="Z745" s="32">
        <f>IF($C745="","",IF(COUNTA($U745:$W745)&lt;3,"",IF(AND($U745="מפותח",$V745="מפותח",$W745="מפותחת"),"מפותחת",IF((--($U745="דל"))+(--($V745="אינו מפותח"))+(--($W745="דלה"))&gt;=2,"אינה מפותחת","חלקית"))))</f>
        <v/>
      </c>
      <c r="AA745" s="32">
        <f>IF($C745="","",IF(COUNTA($M745,$N745,$O745)&lt;3,"— חסרים נתונים",IF(OR($M745="נמוכה",(--($M745&lt;&gt;"תקינה"))+(--($N745&lt;&gt;"תקין"))+(--($O745&lt;&gt;"תקינה"))&gt;=2),"ניכרת","אינה ניכרת")))</f>
        <v/>
      </c>
      <c r="AB745" s="32">
        <f>IF(OR($C745="",$Y745="",$AA745="",LEFT($Y745,1)="—",LEFT($AA745,1)="—"),"",IF($Z745="","— נדרשת הערכת כתיבה",IF($L745="","— חסרה הבנת הנקרא",IF($Y745="אינה מדויקת או מקוטעת",IF($AA745="ניכרת","מיקוד בשטף הקריאה ובכישורי שפה","מיקוד בשטף קריאה"),IF($AA745="ניכרת","מיקוד בכישורי שפה",IF(AND($L745="תקינה",$Z745="מפותחת"),"קוראים וכותבים מיומנים","מיקוד בהבנה והבעה"))))))</f>
        <v/>
      </c>
      <c r="AC745" s="32">
        <f>IF(OR($AB745="",LEFT($AB745,1)="—"),"",IF(OR($AB745="מיקוד בשטף קריאה",$AB745="מיקוד בשטף הקריאה ובכישורי שפה"),"רמה א'",IF($AB745="קוראים וכותבים מיומנים","רמה ג'","רמה ב'")))</f>
        <v/>
      </c>
      <c r="AD745" s="32">
        <f>IF($AC745="","",MID(IF(AND($AC745="רמה א'",$AA745="ניכרת"),"; להוסיף עבודת אוצר מילים","")&amp;IF($Z745="אינה מפותחת","; דגש על הבעה בכתב","")&amp;IF($K745&lt;&gt;"תקין","; נדרש לעבוד על ההנגנה","")&amp;IF($AK745&lt;&gt;"","; "&amp;$AK745,""),3,400))</f>
        <v/>
      </c>
      <c r="AE745" s="32">
        <f>IF($F745="","",IF($F745="תחילת שנה",1,IF($F745="מחצית שנה",2,3)))</f>
        <v/>
      </c>
      <c r="AF745" s="32">
        <f>IF(OR($B745="",$AC745="",$A745="",$F745=""),"",$B745&amp;"|"&amp;$A745&amp;"|"&amp;$F745&amp;"|"&amp;$AC745&amp;"|"&amp;COUNTIFS($B$6:$B745,$B745,$A$6:$A745,$A745,$F$6:$F745,$F745,$AC$6:$AC745,$AC745))</f>
        <v/>
      </c>
      <c r="AG745" s="32">
        <f>IF($C745="","",$C745&amp;"|"&amp;COUNTIFS($C$6:$C745,$C745))</f>
        <v/>
      </c>
      <c r="AH745" s="32">
        <f>IF(OR($C745="",$A745="",$AE745=""),"",$C745&amp;"|"&amp;$A745&amp;"|"&amp;$AE745)</f>
        <v/>
      </c>
      <c r="AI745" s="32">
        <f>IF(OR($C745="",$AE745="",$AE745=1),"",IFERROR(INDEX($AC$6:$AC$1505,MATCH($C745&amp;"|"&amp;$A745&amp;"|"&amp;($AE745-1),$AH$6:$AH$1505,0)),""))</f>
        <v/>
      </c>
      <c r="AJ745" s="32">
        <f>IF(OR($AI745="",$AC745=""),"",IF($AI745=$AC745,"ללא שינוי","מ-"&amp;$AI745&amp;" ל-"&amp;$AC745))</f>
        <v/>
      </c>
      <c r="AK745" s="67" t="n"/>
    </row>
    <row r="746" ht="15.75" customHeight="1" s="58">
      <c r="A746" s="65" t="n"/>
      <c r="B746" s="65" t="n"/>
      <c r="C746" s="66" t="n"/>
      <c r="D746" s="66" t="n"/>
      <c r="E746" s="65" t="n"/>
      <c r="F746" s="65" t="n"/>
      <c r="G746" s="65" t="n"/>
      <c r="H746" s="65" t="n"/>
      <c r="I746" s="65" t="n"/>
      <c r="J746" s="65" t="n"/>
      <c r="K746" s="65" t="n"/>
      <c r="L746" s="65" t="n"/>
      <c r="M746" s="65" t="n"/>
      <c r="N746" s="65" t="n"/>
      <c r="O746" s="65" t="n"/>
      <c r="P746" s="65" t="n"/>
      <c r="Q746" s="65" t="n"/>
      <c r="R746" s="65" t="n"/>
      <c r="S746" s="65" t="n"/>
      <c r="T746" s="65" t="n"/>
      <c r="U746" s="65" t="n"/>
      <c r="V746" s="65" t="n"/>
      <c r="W746" s="65" t="n"/>
      <c r="X746" s="65" t="n"/>
      <c r="Y746" s="32">
        <f>IF($C746="","",IF(COUNTA($I746:$K746)&lt;3,"— חסרים נתונים",IF(AND($I746="תקין",$J746="תקין",$K746="תקין"),"רהוטה",IF(AND($I746="תקין",$J746="תקין"),"מדויקת ורציפה","אינה מדויקת או מקוטעת"))))</f>
        <v/>
      </c>
      <c r="Z746" s="32">
        <f>IF($C746="","",IF(COUNTA($U746:$W746)&lt;3,"",IF(AND($U746="מפותח",$V746="מפותח",$W746="מפותחת"),"מפותחת",IF((--($U746="דל"))+(--($V746="אינו מפותח"))+(--($W746="דלה"))&gt;=2,"אינה מפותחת","חלקית"))))</f>
        <v/>
      </c>
      <c r="AA746" s="32">
        <f>IF($C746="","",IF(COUNTA($M746,$N746,$O746)&lt;3,"— חסרים נתונים",IF(OR($M746="נמוכה",(--($M746&lt;&gt;"תקינה"))+(--($N746&lt;&gt;"תקין"))+(--($O746&lt;&gt;"תקינה"))&gt;=2),"ניכרת","אינה ניכרת")))</f>
        <v/>
      </c>
      <c r="AB746" s="32">
        <f>IF(OR($C746="",$Y746="",$AA746="",LEFT($Y746,1)="—",LEFT($AA746,1)="—"),"",IF($Z746="","— נדרשת הערכת כתיבה",IF($L746="","— חסרה הבנת הנקרא",IF($Y746="אינה מדויקת או מקוטעת",IF($AA746="ניכרת","מיקוד בשטף הקריאה ובכישורי שפה","מיקוד בשטף קריאה"),IF($AA746="ניכרת","מיקוד בכישורי שפה",IF(AND($L746="תקינה",$Z746="מפותחת"),"קוראים וכותבים מיומנים","מיקוד בהבנה והבעה"))))))</f>
        <v/>
      </c>
      <c r="AC746" s="32">
        <f>IF(OR($AB746="",LEFT($AB746,1)="—"),"",IF(OR($AB746="מיקוד בשטף קריאה",$AB746="מיקוד בשטף הקריאה ובכישורי שפה"),"רמה א'",IF($AB746="קוראים וכותבים מיומנים","רמה ג'","רמה ב'")))</f>
        <v/>
      </c>
      <c r="AD746" s="32">
        <f>IF($AC746="","",MID(IF(AND($AC746="רמה א'",$AA746="ניכרת"),"; להוסיף עבודת אוצר מילים","")&amp;IF($Z746="אינה מפותחת","; דגש על הבעה בכתב","")&amp;IF($K746&lt;&gt;"תקין","; נדרש לעבוד על ההנגנה","")&amp;IF($AK746&lt;&gt;"","; "&amp;$AK746,""),3,400))</f>
        <v/>
      </c>
      <c r="AE746" s="32">
        <f>IF($F746="","",IF($F746="תחילת שנה",1,IF($F746="מחצית שנה",2,3)))</f>
        <v/>
      </c>
      <c r="AF746" s="32">
        <f>IF(OR($B746="",$AC746="",$A746="",$F746=""),"",$B746&amp;"|"&amp;$A746&amp;"|"&amp;$F746&amp;"|"&amp;$AC746&amp;"|"&amp;COUNTIFS($B$6:$B746,$B746,$A$6:$A746,$A746,$F$6:$F746,$F746,$AC$6:$AC746,$AC746))</f>
        <v/>
      </c>
      <c r="AG746" s="32">
        <f>IF($C746="","",$C746&amp;"|"&amp;COUNTIFS($C$6:$C746,$C746))</f>
        <v/>
      </c>
      <c r="AH746" s="32">
        <f>IF(OR($C746="",$A746="",$AE746=""),"",$C746&amp;"|"&amp;$A746&amp;"|"&amp;$AE746)</f>
        <v/>
      </c>
      <c r="AI746" s="32">
        <f>IF(OR($C746="",$AE746="",$AE746=1),"",IFERROR(INDEX($AC$6:$AC$1505,MATCH($C746&amp;"|"&amp;$A746&amp;"|"&amp;($AE746-1),$AH$6:$AH$1505,0)),""))</f>
        <v/>
      </c>
      <c r="AJ746" s="32">
        <f>IF(OR($AI746="",$AC746=""),"",IF($AI746=$AC746,"ללא שינוי","מ-"&amp;$AI746&amp;" ל-"&amp;$AC746))</f>
        <v/>
      </c>
      <c r="AK746" s="67" t="n"/>
    </row>
    <row r="747" ht="15.75" customHeight="1" s="58">
      <c r="A747" s="65" t="n"/>
      <c r="B747" s="65" t="n"/>
      <c r="C747" s="66" t="n"/>
      <c r="D747" s="66" t="n"/>
      <c r="E747" s="65" t="n"/>
      <c r="F747" s="65" t="n"/>
      <c r="G747" s="65" t="n"/>
      <c r="H747" s="65" t="n"/>
      <c r="I747" s="65" t="n"/>
      <c r="J747" s="65" t="n"/>
      <c r="K747" s="65" t="n"/>
      <c r="L747" s="65" t="n"/>
      <c r="M747" s="65" t="n"/>
      <c r="N747" s="65" t="n"/>
      <c r="O747" s="65" t="n"/>
      <c r="P747" s="65" t="n"/>
      <c r="Q747" s="65" t="n"/>
      <c r="R747" s="65" t="n"/>
      <c r="S747" s="65" t="n"/>
      <c r="T747" s="65" t="n"/>
      <c r="U747" s="65" t="n"/>
      <c r="V747" s="65" t="n"/>
      <c r="W747" s="65" t="n"/>
      <c r="X747" s="65" t="n"/>
      <c r="Y747" s="32">
        <f>IF($C747="","",IF(COUNTA($I747:$K747)&lt;3,"— חסרים נתונים",IF(AND($I747="תקין",$J747="תקין",$K747="תקין"),"רהוטה",IF(AND($I747="תקין",$J747="תקין"),"מדויקת ורציפה","אינה מדויקת או מקוטעת"))))</f>
        <v/>
      </c>
      <c r="Z747" s="32">
        <f>IF($C747="","",IF(COUNTA($U747:$W747)&lt;3,"",IF(AND($U747="מפותח",$V747="מפותח",$W747="מפותחת"),"מפותחת",IF((--($U747="דל"))+(--($V747="אינו מפותח"))+(--($W747="דלה"))&gt;=2,"אינה מפותחת","חלקית"))))</f>
        <v/>
      </c>
      <c r="AA747" s="32">
        <f>IF($C747="","",IF(COUNTA($M747,$N747,$O747)&lt;3,"— חסרים נתונים",IF(OR($M747="נמוכה",(--($M747&lt;&gt;"תקינה"))+(--($N747&lt;&gt;"תקין"))+(--($O747&lt;&gt;"תקינה"))&gt;=2),"ניכרת","אינה ניכרת")))</f>
        <v/>
      </c>
      <c r="AB747" s="32">
        <f>IF(OR($C747="",$Y747="",$AA747="",LEFT($Y747,1)="—",LEFT($AA747,1)="—"),"",IF($Z747="","— נדרשת הערכת כתיבה",IF($L747="","— חסרה הבנת הנקרא",IF($Y747="אינה מדויקת או מקוטעת",IF($AA747="ניכרת","מיקוד בשטף הקריאה ובכישורי שפה","מיקוד בשטף קריאה"),IF($AA747="ניכרת","מיקוד בכישורי שפה",IF(AND($L747="תקינה",$Z747="מפותחת"),"קוראים וכותבים מיומנים","מיקוד בהבנה והבעה"))))))</f>
        <v/>
      </c>
      <c r="AC747" s="32">
        <f>IF(OR($AB747="",LEFT($AB747,1)="—"),"",IF(OR($AB747="מיקוד בשטף קריאה",$AB747="מיקוד בשטף הקריאה ובכישורי שפה"),"רמה א'",IF($AB747="קוראים וכותבים מיומנים","רמה ג'","רמה ב'")))</f>
        <v/>
      </c>
      <c r="AD747" s="32">
        <f>IF($AC747="","",MID(IF(AND($AC747="רמה א'",$AA747="ניכרת"),"; להוסיף עבודת אוצר מילים","")&amp;IF($Z747="אינה מפותחת","; דגש על הבעה בכתב","")&amp;IF($K747&lt;&gt;"תקין","; נדרש לעבוד על ההנגנה","")&amp;IF($AK747&lt;&gt;"","; "&amp;$AK747,""),3,400))</f>
        <v/>
      </c>
      <c r="AE747" s="32">
        <f>IF($F747="","",IF($F747="תחילת שנה",1,IF($F747="מחצית שנה",2,3)))</f>
        <v/>
      </c>
      <c r="AF747" s="32">
        <f>IF(OR($B747="",$AC747="",$A747="",$F747=""),"",$B747&amp;"|"&amp;$A747&amp;"|"&amp;$F747&amp;"|"&amp;$AC747&amp;"|"&amp;COUNTIFS($B$6:$B747,$B747,$A$6:$A747,$A747,$F$6:$F747,$F747,$AC$6:$AC747,$AC747))</f>
        <v/>
      </c>
      <c r="AG747" s="32">
        <f>IF($C747="","",$C747&amp;"|"&amp;COUNTIFS($C$6:$C747,$C747))</f>
        <v/>
      </c>
      <c r="AH747" s="32">
        <f>IF(OR($C747="",$A747="",$AE747=""),"",$C747&amp;"|"&amp;$A747&amp;"|"&amp;$AE747)</f>
        <v/>
      </c>
      <c r="AI747" s="32">
        <f>IF(OR($C747="",$AE747="",$AE747=1),"",IFERROR(INDEX($AC$6:$AC$1505,MATCH($C747&amp;"|"&amp;$A747&amp;"|"&amp;($AE747-1),$AH$6:$AH$1505,0)),""))</f>
        <v/>
      </c>
      <c r="AJ747" s="32">
        <f>IF(OR($AI747="",$AC747=""),"",IF($AI747=$AC747,"ללא שינוי","מ-"&amp;$AI747&amp;" ל-"&amp;$AC747))</f>
        <v/>
      </c>
      <c r="AK747" s="67" t="n"/>
    </row>
    <row r="748" ht="15.75" customHeight="1" s="58">
      <c r="A748" s="65" t="n"/>
      <c r="B748" s="65" t="n"/>
      <c r="C748" s="66" t="n"/>
      <c r="D748" s="66" t="n"/>
      <c r="E748" s="65" t="n"/>
      <c r="F748" s="65" t="n"/>
      <c r="G748" s="65" t="n"/>
      <c r="H748" s="65" t="n"/>
      <c r="I748" s="65" t="n"/>
      <c r="J748" s="65" t="n"/>
      <c r="K748" s="65" t="n"/>
      <c r="L748" s="65" t="n"/>
      <c r="M748" s="65" t="n"/>
      <c r="N748" s="65" t="n"/>
      <c r="O748" s="65" t="n"/>
      <c r="P748" s="65" t="n"/>
      <c r="Q748" s="65" t="n"/>
      <c r="R748" s="65" t="n"/>
      <c r="S748" s="65" t="n"/>
      <c r="T748" s="65" t="n"/>
      <c r="U748" s="65" t="n"/>
      <c r="V748" s="65" t="n"/>
      <c r="W748" s="65" t="n"/>
      <c r="X748" s="65" t="n"/>
      <c r="Y748" s="32">
        <f>IF($C748="","",IF(COUNTA($I748:$K748)&lt;3,"— חסרים נתונים",IF(AND($I748="תקין",$J748="תקין",$K748="תקין"),"רהוטה",IF(AND($I748="תקין",$J748="תקין"),"מדויקת ורציפה","אינה מדויקת או מקוטעת"))))</f>
        <v/>
      </c>
      <c r="Z748" s="32">
        <f>IF($C748="","",IF(COUNTA($U748:$W748)&lt;3,"",IF(AND($U748="מפותח",$V748="מפותח",$W748="מפותחת"),"מפותחת",IF((--($U748="דל"))+(--($V748="אינו מפותח"))+(--($W748="דלה"))&gt;=2,"אינה מפותחת","חלקית"))))</f>
        <v/>
      </c>
      <c r="AA748" s="32">
        <f>IF($C748="","",IF(COUNTA($M748,$N748,$O748)&lt;3,"— חסרים נתונים",IF(OR($M748="נמוכה",(--($M748&lt;&gt;"תקינה"))+(--($N748&lt;&gt;"תקין"))+(--($O748&lt;&gt;"תקינה"))&gt;=2),"ניכרת","אינה ניכרת")))</f>
        <v/>
      </c>
      <c r="AB748" s="32">
        <f>IF(OR($C748="",$Y748="",$AA748="",LEFT($Y748,1)="—",LEFT($AA748,1)="—"),"",IF($Z748="","— נדרשת הערכת כתיבה",IF($L748="","— חסרה הבנת הנקרא",IF($Y748="אינה מדויקת או מקוטעת",IF($AA748="ניכרת","מיקוד בשטף הקריאה ובכישורי שפה","מיקוד בשטף קריאה"),IF($AA748="ניכרת","מיקוד בכישורי שפה",IF(AND($L748="תקינה",$Z748="מפותחת"),"קוראים וכותבים מיומנים","מיקוד בהבנה והבעה"))))))</f>
        <v/>
      </c>
      <c r="AC748" s="32">
        <f>IF(OR($AB748="",LEFT($AB748,1)="—"),"",IF(OR($AB748="מיקוד בשטף קריאה",$AB748="מיקוד בשטף הקריאה ובכישורי שפה"),"רמה א'",IF($AB748="קוראים וכותבים מיומנים","רמה ג'","רמה ב'")))</f>
        <v/>
      </c>
      <c r="AD748" s="32">
        <f>IF($AC748="","",MID(IF(AND($AC748="רמה א'",$AA748="ניכרת"),"; להוסיף עבודת אוצר מילים","")&amp;IF($Z748="אינה מפותחת","; דגש על הבעה בכתב","")&amp;IF($K748&lt;&gt;"תקין","; נדרש לעבוד על ההנגנה","")&amp;IF($AK748&lt;&gt;"","; "&amp;$AK748,""),3,400))</f>
        <v/>
      </c>
      <c r="AE748" s="32">
        <f>IF($F748="","",IF($F748="תחילת שנה",1,IF($F748="מחצית שנה",2,3)))</f>
        <v/>
      </c>
      <c r="AF748" s="32">
        <f>IF(OR($B748="",$AC748="",$A748="",$F748=""),"",$B748&amp;"|"&amp;$A748&amp;"|"&amp;$F748&amp;"|"&amp;$AC748&amp;"|"&amp;COUNTIFS($B$6:$B748,$B748,$A$6:$A748,$A748,$F$6:$F748,$F748,$AC$6:$AC748,$AC748))</f>
        <v/>
      </c>
      <c r="AG748" s="32">
        <f>IF($C748="","",$C748&amp;"|"&amp;COUNTIFS($C$6:$C748,$C748))</f>
        <v/>
      </c>
      <c r="AH748" s="32">
        <f>IF(OR($C748="",$A748="",$AE748=""),"",$C748&amp;"|"&amp;$A748&amp;"|"&amp;$AE748)</f>
        <v/>
      </c>
      <c r="AI748" s="32">
        <f>IF(OR($C748="",$AE748="",$AE748=1),"",IFERROR(INDEX($AC$6:$AC$1505,MATCH($C748&amp;"|"&amp;$A748&amp;"|"&amp;($AE748-1),$AH$6:$AH$1505,0)),""))</f>
        <v/>
      </c>
      <c r="AJ748" s="32">
        <f>IF(OR($AI748="",$AC748=""),"",IF($AI748=$AC748,"ללא שינוי","מ-"&amp;$AI748&amp;" ל-"&amp;$AC748))</f>
        <v/>
      </c>
      <c r="AK748" s="67" t="n"/>
    </row>
    <row r="749" ht="15.75" customHeight="1" s="58">
      <c r="A749" s="65" t="n"/>
      <c r="B749" s="65" t="n"/>
      <c r="C749" s="66" t="n"/>
      <c r="D749" s="66" t="n"/>
      <c r="E749" s="65" t="n"/>
      <c r="F749" s="65" t="n"/>
      <c r="G749" s="65" t="n"/>
      <c r="H749" s="65" t="n"/>
      <c r="I749" s="65" t="n"/>
      <c r="J749" s="65" t="n"/>
      <c r="K749" s="65" t="n"/>
      <c r="L749" s="65" t="n"/>
      <c r="M749" s="65" t="n"/>
      <c r="N749" s="65" t="n"/>
      <c r="O749" s="65" t="n"/>
      <c r="P749" s="65" t="n"/>
      <c r="Q749" s="65" t="n"/>
      <c r="R749" s="65" t="n"/>
      <c r="S749" s="65" t="n"/>
      <c r="T749" s="65" t="n"/>
      <c r="U749" s="65" t="n"/>
      <c r="V749" s="65" t="n"/>
      <c r="W749" s="65" t="n"/>
      <c r="X749" s="65" t="n"/>
      <c r="Y749" s="32">
        <f>IF($C749="","",IF(COUNTA($I749:$K749)&lt;3,"— חסרים נתונים",IF(AND($I749="תקין",$J749="תקין",$K749="תקין"),"רהוטה",IF(AND($I749="תקין",$J749="תקין"),"מדויקת ורציפה","אינה מדויקת או מקוטעת"))))</f>
        <v/>
      </c>
      <c r="Z749" s="32">
        <f>IF($C749="","",IF(COUNTA($U749:$W749)&lt;3,"",IF(AND($U749="מפותח",$V749="מפותח",$W749="מפותחת"),"מפותחת",IF((--($U749="דל"))+(--($V749="אינו מפותח"))+(--($W749="דלה"))&gt;=2,"אינה מפותחת","חלקית"))))</f>
        <v/>
      </c>
      <c r="AA749" s="32">
        <f>IF($C749="","",IF(COUNTA($M749,$N749,$O749)&lt;3,"— חסרים נתונים",IF(OR($M749="נמוכה",(--($M749&lt;&gt;"תקינה"))+(--($N749&lt;&gt;"תקין"))+(--($O749&lt;&gt;"תקינה"))&gt;=2),"ניכרת","אינה ניכרת")))</f>
        <v/>
      </c>
      <c r="AB749" s="32">
        <f>IF(OR($C749="",$Y749="",$AA749="",LEFT($Y749,1)="—",LEFT($AA749,1)="—"),"",IF($Z749="","— נדרשת הערכת כתיבה",IF($L749="","— חסרה הבנת הנקרא",IF($Y749="אינה מדויקת או מקוטעת",IF($AA749="ניכרת","מיקוד בשטף הקריאה ובכישורי שפה","מיקוד בשטף קריאה"),IF($AA749="ניכרת","מיקוד בכישורי שפה",IF(AND($L749="תקינה",$Z749="מפותחת"),"קוראים וכותבים מיומנים","מיקוד בהבנה והבעה"))))))</f>
        <v/>
      </c>
      <c r="AC749" s="32">
        <f>IF(OR($AB749="",LEFT($AB749,1)="—"),"",IF(OR($AB749="מיקוד בשטף קריאה",$AB749="מיקוד בשטף הקריאה ובכישורי שפה"),"רמה א'",IF($AB749="קוראים וכותבים מיומנים","רמה ג'","רמה ב'")))</f>
        <v/>
      </c>
      <c r="AD749" s="32">
        <f>IF($AC749="","",MID(IF(AND($AC749="רמה א'",$AA749="ניכרת"),"; להוסיף עבודת אוצר מילים","")&amp;IF($Z749="אינה מפותחת","; דגש על הבעה בכתב","")&amp;IF($K749&lt;&gt;"תקין","; נדרש לעבוד על ההנגנה","")&amp;IF($AK749&lt;&gt;"","; "&amp;$AK749,""),3,400))</f>
        <v/>
      </c>
      <c r="AE749" s="32">
        <f>IF($F749="","",IF($F749="תחילת שנה",1,IF($F749="מחצית שנה",2,3)))</f>
        <v/>
      </c>
      <c r="AF749" s="32">
        <f>IF(OR($B749="",$AC749="",$A749="",$F749=""),"",$B749&amp;"|"&amp;$A749&amp;"|"&amp;$F749&amp;"|"&amp;$AC749&amp;"|"&amp;COUNTIFS($B$6:$B749,$B749,$A$6:$A749,$A749,$F$6:$F749,$F749,$AC$6:$AC749,$AC749))</f>
        <v/>
      </c>
      <c r="AG749" s="32">
        <f>IF($C749="","",$C749&amp;"|"&amp;COUNTIFS($C$6:$C749,$C749))</f>
        <v/>
      </c>
      <c r="AH749" s="32">
        <f>IF(OR($C749="",$A749="",$AE749=""),"",$C749&amp;"|"&amp;$A749&amp;"|"&amp;$AE749)</f>
        <v/>
      </c>
      <c r="AI749" s="32">
        <f>IF(OR($C749="",$AE749="",$AE749=1),"",IFERROR(INDEX($AC$6:$AC$1505,MATCH($C749&amp;"|"&amp;$A749&amp;"|"&amp;($AE749-1),$AH$6:$AH$1505,0)),""))</f>
        <v/>
      </c>
      <c r="AJ749" s="32">
        <f>IF(OR($AI749="",$AC749=""),"",IF($AI749=$AC749,"ללא שינוי","מ-"&amp;$AI749&amp;" ל-"&amp;$AC749))</f>
        <v/>
      </c>
      <c r="AK749" s="67" t="n"/>
    </row>
    <row r="750" ht="15.75" customHeight="1" s="58">
      <c r="A750" s="65" t="n"/>
      <c r="B750" s="65" t="n"/>
      <c r="C750" s="66" t="n"/>
      <c r="D750" s="66" t="n"/>
      <c r="E750" s="65" t="n"/>
      <c r="F750" s="65" t="n"/>
      <c r="G750" s="65" t="n"/>
      <c r="H750" s="65" t="n"/>
      <c r="I750" s="65" t="n"/>
      <c r="J750" s="65" t="n"/>
      <c r="K750" s="65" t="n"/>
      <c r="L750" s="65" t="n"/>
      <c r="M750" s="65" t="n"/>
      <c r="N750" s="65" t="n"/>
      <c r="O750" s="65" t="n"/>
      <c r="P750" s="65" t="n"/>
      <c r="Q750" s="65" t="n"/>
      <c r="R750" s="65" t="n"/>
      <c r="S750" s="65" t="n"/>
      <c r="T750" s="65" t="n"/>
      <c r="U750" s="65" t="n"/>
      <c r="V750" s="65" t="n"/>
      <c r="W750" s="65" t="n"/>
      <c r="X750" s="65" t="n"/>
      <c r="Y750" s="32">
        <f>IF($C750="","",IF(COUNTA($I750:$K750)&lt;3,"— חסרים נתונים",IF(AND($I750="תקין",$J750="תקין",$K750="תקין"),"רהוטה",IF(AND($I750="תקין",$J750="תקין"),"מדויקת ורציפה","אינה מדויקת או מקוטעת"))))</f>
        <v/>
      </c>
      <c r="Z750" s="32">
        <f>IF($C750="","",IF(COUNTA($U750:$W750)&lt;3,"",IF(AND($U750="מפותח",$V750="מפותח",$W750="מפותחת"),"מפותחת",IF((--($U750="דל"))+(--($V750="אינו מפותח"))+(--($W750="דלה"))&gt;=2,"אינה מפותחת","חלקית"))))</f>
        <v/>
      </c>
      <c r="AA750" s="32">
        <f>IF($C750="","",IF(COUNTA($M750,$N750,$O750)&lt;3,"— חסרים נתונים",IF(OR($M750="נמוכה",(--($M750&lt;&gt;"תקינה"))+(--($N750&lt;&gt;"תקין"))+(--($O750&lt;&gt;"תקינה"))&gt;=2),"ניכרת","אינה ניכרת")))</f>
        <v/>
      </c>
      <c r="AB750" s="32">
        <f>IF(OR($C750="",$Y750="",$AA750="",LEFT($Y750,1)="—",LEFT($AA750,1)="—"),"",IF($Z750="","— נדרשת הערכת כתיבה",IF($L750="","— חסרה הבנת הנקרא",IF($Y750="אינה מדויקת או מקוטעת",IF($AA750="ניכרת","מיקוד בשטף הקריאה ובכישורי שפה","מיקוד בשטף קריאה"),IF($AA750="ניכרת","מיקוד בכישורי שפה",IF(AND($L750="תקינה",$Z750="מפותחת"),"קוראים וכותבים מיומנים","מיקוד בהבנה והבעה"))))))</f>
        <v/>
      </c>
      <c r="AC750" s="32">
        <f>IF(OR($AB750="",LEFT($AB750,1)="—"),"",IF(OR($AB750="מיקוד בשטף קריאה",$AB750="מיקוד בשטף הקריאה ובכישורי שפה"),"רמה א'",IF($AB750="קוראים וכותבים מיומנים","רמה ג'","רמה ב'")))</f>
        <v/>
      </c>
      <c r="AD750" s="32">
        <f>IF($AC750="","",MID(IF(AND($AC750="רמה א'",$AA750="ניכרת"),"; להוסיף עבודת אוצר מילים","")&amp;IF($Z750="אינה מפותחת","; דגש על הבעה בכתב","")&amp;IF($K750&lt;&gt;"תקין","; נדרש לעבוד על ההנגנה","")&amp;IF($AK750&lt;&gt;"","; "&amp;$AK750,""),3,400))</f>
        <v/>
      </c>
      <c r="AE750" s="32">
        <f>IF($F750="","",IF($F750="תחילת שנה",1,IF($F750="מחצית שנה",2,3)))</f>
        <v/>
      </c>
      <c r="AF750" s="32">
        <f>IF(OR($B750="",$AC750="",$A750="",$F750=""),"",$B750&amp;"|"&amp;$A750&amp;"|"&amp;$F750&amp;"|"&amp;$AC750&amp;"|"&amp;COUNTIFS($B$6:$B750,$B750,$A$6:$A750,$A750,$F$6:$F750,$F750,$AC$6:$AC750,$AC750))</f>
        <v/>
      </c>
      <c r="AG750" s="32">
        <f>IF($C750="","",$C750&amp;"|"&amp;COUNTIFS($C$6:$C750,$C750))</f>
        <v/>
      </c>
      <c r="AH750" s="32">
        <f>IF(OR($C750="",$A750="",$AE750=""),"",$C750&amp;"|"&amp;$A750&amp;"|"&amp;$AE750)</f>
        <v/>
      </c>
      <c r="AI750" s="32">
        <f>IF(OR($C750="",$AE750="",$AE750=1),"",IFERROR(INDEX($AC$6:$AC$1505,MATCH($C750&amp;"|"&amp;$A750&amp;"|"&amp;($AE750-1),$AH$6:$AH$1505,0)),""))</f>
        <v/>
      </c>
      <c r="AJ750" s="32">
        <f>IF(OR($AI750="",$AC750=""),"",IF($AI750=$AC750,"ללא שינוי","מ-"&amp;$AI750&amp;" ל-"&amp;$AC750))</f>
        <v/>
      </c>
      <c r="AK750" s="67" t="n"/>
    </row>
    <row r="751" ht="15.75" customHeight="1" s="58">
      <c r="A751" s="65" t="n"/>
      <c r="B751" s="65" t="n"/>
      <c r="C751" s="66" t="n"/>
      <c r="D751" s="66" t="n"/>
      <c r="E751" s="65" t="n"/>
      <c r="F751" s="65" t="n"/>
      <c r="G751" s="65" t="n"/>
      <c r="H751" s="65" t="n"/>
      <c r="I751" s="65" t="n"/>
      <c r="J751" s="65" t="n"/>
      <c r="K751" s="65" t="n"/>
      <c r="L751" s="65" t="n"/>
      <c r="M751" s="65" t="n"/>
      <c r="N751" s="65" t="n"/>
      <c r="O751" s="65" t="n"/>
      <c r="P751" s="65" t="n"/>
      <c r="Q751" s="65" t="n"/>
      <c r="R751" s="65" t="n"/>
      <c r="S751" s="65" t="n"/>
      <c r="T751" s="65" t="n"/>
      <c r="U751" s="65" t="n"/>
      <c r="V751" s="65" t="n"/>
      <c r="W751" s="65" t="n"/>
      <c r="X751" s="65" t="n"/>
      <c r="Y751" s="32">
        <f>IF($C751="","",IF(COUNTA($I751:$K751)&lt;3,"— חסרים נתונים",IF(AND($I751="תקין",$J751="תקין",$K751="תקין"),"רהוטה",IF(AND($I751="תקין",$J751="תקין"),"מדויקת ורציפה","אינה מדויקת או מקוטעת"))))</f>
        <v/>
      </c>
      <c r="Z751" s="32">
        <f>IF($C751="","",IF(COUNTA($U751:$W751)&lt;3,"",IF(AND($U751="מפותח",$V751="מפותח",$W751="מפותחת"),"מפותחת",IF((--($U751="דל"))+(--($V751="אינו מפותח"))+(--($W751="דלה"))&gt;=2,"אינה מפותחת","חלקית"))))</f>
        <v/>
      </c>
      <c r="AA751" s="32">
        <f>IF($C751="","",IF(COUNTA($M751,$N751,$O751)&lt;3,"— חסרים נתונים",IF(OR($M751="נמוכה",(--($M751&lt;&gt;"תקינה"))+(--($N751&lt;&gt;"תקין"))+(--($O751&lt;&gt;"תקינה"))&gt;=2),"ניכרת","אינה ניכרת")))</f>
        <v/>
      </c>
      <c r="AB751" s="32">
        <f>IF(OR($C751="",$Y751="",$AA751="",LEFT($Y751,1)="—",LEFT($AA751,1)="—"),"",IF($Z751="","— נדרשת הערכת כתיבה",IF($L751="","— חסרה הבנת הנקרא",IF($Y751="אינה מדויקת או מקוטעת",IF($AA751="ניכרת","מיקוד בשטף הקריאה ובכישורי שפה","מיקוד בשטף קריאה"),IF($AA751="ניכרת","מיקוד בכישורי שפה",IF(AND($L751="תקינה",$Z751="מפותחת"),"קוראים וכותבים מיומנים","מיקוד בהבנה והבעה"))))))</f>
        <v/>
      </c>
      <c r="AC751" s="32">
        <f>IF(OR($AB751="",LEFT($AB751,1)="—"),"",IF(OR($AB751="מיקוד בשטף קריאה",$AB751="מיקוד בשטף הקריאה ובכישורי שפה"),"רמה א'",IF($AB751="קוראים וכותבים מיומנים","רמה ג'","רמה ב'")))</f>
        <v/>
      </c>
      <c r="AD751" s="32">
        <f>IF($AC751="","",MID(IF(AND($AC751="רמה א'",$AA751="ניכרת"),"; להוסיף עבודת אוצר מילים","")&amp;IF($Z751="אינה מפותחת","; דגש על הבעה בכתב","")&amp;IF($K751&lt;&gt;"תקין","; נדרש לעבוד על ההנגנה","")&amp;IF($AK751&lt;&gt;"","; "&amp;$AK751,""),3,400))</f>
        <v/>
      </c>
      <c r="AE751" s="32">
        <f>IF($F751="","",IF($F751="תחילת שנה",1,IF($F751="מחצית שנה",2,3)))</f>
        <v/>
      </c>
      <c r="AF751" s="32">
        <f>IF(OR($B751="",$AC751="",$A751="",$F751=""),"",$B751&amp;"|"&amp;$A751&amp;"|"&amp;$F751&amp;"|"&amp;$AC751&amp;"|"&amp;COUNTIFS($B$6:$B751,$B751,$A$6:$A751,$A751,$F$6:$F751,$F751,$AC$6:$AC751,$AC751))</f>
        <v/>
      </c>
      <c r="AG751" s="32">
        <f>IF($C751="","",$C751&amp;"|"&amp;COUNTIFS($C$6:$C751,$C751))</f>
        <v/>
      </c>
      <c r="AH751" s="32">
        <f>IF(OR($C751="",$A751="",$AE751=""),"",$C751&amp;"|"&amp;$A751&amp;"|"&amp;$AE751)</f>
        <v/>
      </c>
      <c r="AI751" s="32">
        <f>IF(OR($C751="",$AE751="",$AE751=1),"",IFERROR(INDEX($AC$6:$AC$1505,MATCH($C751&amp;"|"&amp;$A751&amp;"|"&amp;($AE751-1),$AH$6:$AH$1505,0)),""))</f>
        <v/>
      </c>
      <c r="AJ751" s="32">
        <f>IF(OR($AI751="",$AC751=""),"",IF($AI751=$AC751,"ללא שינוי","מ-"&amp;$AI751&amp;" ל-"&amp;$AC751))</f>
        <v/>
      </c>
      <c r="AK751" s="67" t="n"/>
    </row>
    <row r="752" ht="15.75" customHeight="1" s="58">
      <c r="A752" s="65" t="n"/>
      <c r="B752" s="65" t="n"/>
      <c r="C752" s="66" t="n"/>
      <c r="D752" s="66" t="n"/>
      <c r="E752" s="65" t="n"/>
      <c r="F752" s="65" t="n"/>
      <c r="G752" s="65" t="n"/>
      <c r="H752" s="65" t="n"/>
      <c r="I752" s="65" t="n"/>
      <c r="J752" s="65" t="n"/>
      <c r="K752" s="65" t="n"/>
      <c r="L752" s="65" t="n"/>
      <c r="M752" s="65" t="n"/>
      <c r="N752" s="65" t="n"/>
      <c r="O752" s="65" t="n"/>
      <c r="P752" s="65" t="n"/>
      <c r="Q752" s="65" t="n"/>
      <c r="R752" s="65" t="n"/>
      <c r="S752" s="65" t="n"/>
      <c r="T752" s="65" t="n"/>
      <c r="U752" s="65" t="n"/>
      <c r="V752" s="65" t="n"/>
      <c r="W752" s="65" t="n"/>
      <c r="X752" s="65" t="n"/>
      <c r="Y752" s="32">
        <f>IF($C752="","",IF(COUNTA($I752:$K752)&lt;3,"— חסרים נתונים",IF(AND($I752="תקין",$J752="תקין",$K752="תקין"),"רהוטה",IF(AND($I752="תקין",$J752="תקין"),"מדויקת ורציפה","אינה מדויקת או מקוטעת"))))</f>
        <v/>
      </c>
      <c r="Z752" s="32">
        <f>IF($C752="","",IF(COUNTA($U752:$W752)&lt;3,"",IF(AND($U752="מפותח",$V752="מפותח",$W752="מפותחת"),"מפותחת",IF((--($U752="דל"))+(--($V752="אינו מפותח"))+(--($W752="דלה"))&gt;=2,"אינה מפותחת","חלקית"))))</f>
        <v/>
      </c>
      <c r="AA752" s="32">
        <f>IF($C752="","",IF(COUNTA($M752,$N752,$O752)&lt;3,"— חסרים נתונים",IF(OR($M752="נמוכה",(--($M752&lt;&gt;"תקינה"))+(--($N752&lt;&gt;"תקין"))+(--($O752&lt;&gt;"תקינה"))&gt;=2),"ניכרת","אינה ניכרת")))</f>
        <v/>
      </c>
      <c r="AB752" s="32">
        <f>IF(OR($C752="",$Y752="",$AA752="",LEFT($Y752,1)="—",LEFT($AA752,1)="—"),"",IF($Z752="","— נדרשת הערכת כתיבה",IF($L752="","— חסרה הבנת הנקרא",IF($Y752="אינה מדויקת או מקוטעת",IF($AA752="ניכרת","מיקוד בשטף הקריאה ובכישורי שפה","מיקוד בשטף קריאה"),IF($AA752="ניכרת","מיקוד בכישורי שפה",IF(AND($L752="תקינה",$Z752="מפותחת"),"קוראים וכותבים מיומנים","מיקוד בהבנה והבעה"))))))</f>
        <v/>
      </c>
      <c r="AC752" s="32">
        <f>IF(OR($AB752="",LEFT($AB752,1)="—"),"",IF(OR($AB752="מיקוד בשטף קריאה",$AB752="מיקוד בשטף הקריאה ובכישורי שפה"),"רמה א'",IF($AB752="קוראים וכותבים מיומנים","רמה ג'","רמה ב'")))</f>
        <v/>
      </c>
      <c r="AD752" s="32">
        <f>IF($AC752="","",MID(IF(AND($AC752="רמה א'",$AA752="ניכרת"),"; להוסיף עבודת אוצר מילים","")&amp;IF($Z752="אינה מפותחת","; דגש על הבעה בכתב","")&amp;IF($K752&lt;&gt;"תקין","; נדרש לעבוד על ההנגנה","")&amp;IF($AK752&lt;&gt;"","; "&amp;$AK752,""),3,400))</f>
        <v/>
      </c>
      <c r="AE752" s="32">
        <f>IF($F752="","",IF($F752="תחילת שנה",1,IF($F752="מחצית שנה",2,3)))</f>
        <v/>
      </c>
      <c r="AF752" s="32">
        <f>IF(OR($B752="",$AC752="",$A752="",$F752=""),"",$B752&amp;"|"&amp;$A752&amp;"|"&amp;$F752&amp;"|"&amp;$AC752&amp;"|"&amp;COUNTIFS($B$6:$B752,$B752,$A$6:$A752,$A752,$F$6:$F752,$F752,$AC$6:$AC752,$AC752))</f>
        <v/>
      </c>
      <c r="AG752" s="32">
        <f>IF($C752="","",$C752&amp;"|"&amp;COUNTIFS($C$6:$C752,$C752))</f>
        <v/>
      </c>
      <c r="AH752" s="32">
        <f>IF(OR($C752="",$A752="",$AE752=""),"",$C752&amp;"|"&amp;$A752&amp;"|"&amp;$AE752)</f>
        <v/>
      </c>
      <c r="AI752" s="32">
        <f>IF(OR($C752="",$AE752="",$AE752=1),"",IFERROR(INDEX($AC$6:$AC$1505,MATCH($C752&amp;"|"&amp;$A752&amp;"|"&amp;($AE752-1),$AH$6:$AH$1505,0)),""))</f>
        <v/>
      </c>
      <c r="AJ752" s="32">
        <f>IF(OR($AI752="",$AC752=""),"",IF($AI752=$AC752,"ללא שינוי","מ-"&amp;$AI752&amp;" ל-"&amp;$AC752))</f>
        <v/>
      </c>
      <c r="AK752" s="67" t="n"/>
    </row>
    <row r="753" ht="15.75" customHeight="1" s="58">
      <c r="A753" s="65" t="n"/>
      <c r="B753" s="65" t="n"/>
      <c r="C753" s="66" t="n"/>
      <c r="D753" s="66" t="n"/>
      <c r="E753" s="65" t="n"/>
      <c r="F753" s="65" t="n"/>
      <c r="G753" s="65" t="n"/>
      <c r="H753" s="65" t="n"/>
      <c r="I753" s="65" t="n"/>
      <c r="J753" s="65" t="n"/>
      <c r="K753" s="65" t="n"/>
      <c r="L753" s="65" t="n"/>
      <c r="M753" s="65" t="n"/>
      <c r="N753" s="65" t="n"/>
      <c r="O753" s="65" t="n"/>
      <c r="P753" s="65" t="n"/>
      <c r="Q753" s="65" t="n"/>
      <c r="R753" s="65" t="n"/>
      <c r="S753" s="65" t="n"/>
      <c r="T753" s="65" t="n"/>
      <c r="U753" s="65" t="n"/>
      <c r="V753" s="65" t="n"/>
      <c r="W753" s="65" t="n"/>
      <c r="X753" s="65" t="n"/>
      <c r="Y753" s="32">
        <f>IF($C753="","",IF(COUNTA($I753:$K753)&lt;3,"— חסרים נתונים",IF(AND($I753="תקין",$J753="תקין",$K753="תקין"),"רהוטה",IF(AND($I753="תקין",$J753="תקין"),"מדויקת ורציפה","אינה מדויקת או מקוטעת"))))</f>
        <v/>
      </c>
      <c r="Z753" s="32">
        <f>IF($C753="","",IF(COUNTA($U753:$W753)&lt;3,"",IF(AND($U753="מפותח",$V753="מפותח",$W753="מפותחת"),"מפותחת",IF((--($U753="דל"))+(--($V753="אינו מפותח"))+(--($W753="דלה"))&gt;=2,"אינה מפותחת","חלקית"))))</f>
        <v/>
      </c>
      <c r="AA753" s="32">
        <f>IF($C753="","",IF(COUNTA($M753,$N753,$O753)&lt;3,"— חסרים נתונים",IF(OR($M753="נמוכה",(--($M753&lt;&gt;"תקינה"))+(--($N753&lt;&gt;"תקין"))+(--($O753&lt;&gt;"תקינה"))&gt;=2),"ניכרת","אינה ניכרת")))</f>
        <v/>
      </c>
      <c r="AB753" s="32">
        <f>IF(OR($C753="",$Y753="",$AA753="",LEFT($Y753,1)="—",LEFT($AA753,1)="—"),"",IF($Z753="","— נדרשת הערכת כתיבה",IF($L753="","— חסרה הבנת הנקרא",IF($Y753="אינה מדויקת או מקוטעת",IF($AA753="ניכרת","מיקוד בשטף הקריאה ובכישורי שפה","מיקוד בשטף קריאה"),IF($AA753="ניכרת","מיקוד בכישורי שפה",IF(AND($L753="תקינה",$Z753="מפותחת"),"קוראים וכותבים מיומנים","מיקוד בהבנה והבעה"))))))</f>
        <v/>
      </c>
      <c r="AC753" s="32">
        <f>IF(OR($AB753="",LEFT($AB753,1)="—"),"",IF(OR($AB753="מיקוד בשטף קריאה",$AB753="מיקוד בשטף הקריאה ובכישורי שפה"),"רמה א'",IF($AB753="קוראים וכותבים מיומנים","רמה ג'","רמה ב'")))</f>
        <v/>
      </c>
      <c r="AD753" s="32">
        <f>IF($AC753="","",MID(IF(AND($AC753="רמה א'",$AA753="ניכרת"),"; להוסיף עבודת אוצר מילים","")&amp;IF($Z753="אינה מפותחת","; דגש על הבעה בכתב","")&amp;IF($K753&lt;&gt;"תקין","; נדרש לעבוד על ההנגנה","")&amp;IF($AK753&lt;&gt;"","; "&amp;$AK753,""),3,400))</f>
        <v/>
      </c>
      <c r="AE753" s="32">
        <f>IF($F753="","",IF($F753="תחילת שנה",1,IF($F753="מחצית שנה",2,3)))</f>
        <v/>
      </c>
      <c r="AF753" s="32">
        <f>IF(OR($B753="",$AC753="",$A753="",$F753=""),"",$B753&amp;"|"&amp;$A753&amp;"|"&amp;$F753&amp;"|"&amp;$AC753&amp;"|"&amp;COUNTIFS($B$6:$B753,$B753,$A$6:$A753,$A753,$F$6:$F753,$F753,$AC$6:$AC753,$AC753))</f>
        <v/>
      </c>
      <c r="AG753" s="32">
        <f>IF($C753="","",$C753&amp;"|"&amp;COUNTIFS($C$6:$C753,$C753))</f>
        <v/>
      </c>
      <c r="AH753" s="32">
        <f>IF(OR($C753="",$A753="",$AE753=""),"",$C753&amp;"|"&amp;$A753&amp;"|"&amp;$AE753)</f>
        <v/>
      </c>
      <c r="AI753" s="32">
        <f>IF(OR($C753="",$AE753="",$AE753=1),"",IFERROR(INDEX($AC$6:$AC$1505,MATCH($C753&amp;"|"&amp;$A753&amp;"|"&amp;($AE753-1),$AH$6:$AH$1505,0)),""))</f>
        <v/>
      </c>
      <c r="AJ753" s="32">
        <f>IF(OR($AI753="",$AC753=""),"",IF($AI753=$AC753,"ללא שינוי","מ-"&amp;$AI753&amp;" ל-"&amp;$AC753))</f>
        <v/>
      </c>
      <c r="AK753" s="67" t="n"/>
    </row>
    <row r="754" ht="15.75" customHeight="1" s="58">
      <c r="A754" s="65" t="n"/>
      <c r="B754" s="65" t="n"/>
      <c r="C754" s="66" t="n"/>
      <c r="D754" s="66" t="n"/>
      <c r="E754" s="65" t="n"/>
      <c r="F754" s="65" t="n"/>
      <c r="G754" s="65" t="n"/>
      <c r="H754" s="65" t="n"/>
      <c r="I754" s="65" t="n"/>
      <c r="J754" s="65" t="n"/>
      <c r="K754" s="65" t="n"/>
      <c r="L754" s="65" t="n"/>
      <c r="M754" s="65" t="n"/>
      <c r="N754" s="65" t="n"/>
      <c r="O754" s="65" t="n"/>
      <c r="P754" s="65" t="n"/>
      <c r="Q754" s="65" t="n"/>
      <c r="R754" s="65" t="n"/>
      <c r="S754" s="65" t="n"/>
      <c r="T754" s="65" t="n"/>
      <c r="U754" s="65" t="n"/>
      <c r="V754" s="65" t="n"/>
      <c r="W754" s="65" t="n"/>
      <c r="X754" s="65" t="n"/>
      <c r="Y754" s="32">
        <f>IF($C754="","",IF(COUNTA($I754:$K754)&lt;3,"— חסרים נתונים",IF(AND($I754="תקין",$J754="תקין",$K754="תקין"),"רהוטה",IF(AND($I754="תקין",$J754="תקין"),"מדויקת ורציפה","אינה מדויקת או מקוטעת"))))</f>
        <v/>
      </c>
      <c r="Z754" s="32">
        <f>IF($C754="","",IF(COUNTA($U754:$W754)&lt;3,"",IF(AND($U754="מפותח",$V754="מפותח",$W754="מפותחת"),"מפותחת",IF((--($U754="דל"))+(--($V754="אינו מפותח"))+(--($W754="דלה"))&gt;=2,"אינה מפותחת","חלקית"))))</f>
        <v/>
      </c>
      <c r="AA754" s="32">
        <f>IF($C754="","",IF(COUNTA($M754,$N754,$O754)&lt;3,"— חסרים נתונים",IF(OR($M754="נמוכה",(--($M754&lt;&gt;"תקינה"))+(--($N754&lt;&gt;"תקין"))+(--($O754&lt;&gt;"תקינה"))&gt;=2),"ניכרת","אינה ניכרת")))</f>
        <v/>
      </c>
      <c r="AB754" s="32">
        <f>IF(OR($C754="",$Y754="",$AA754="",LEFT($Y754,1)="—",LEFT($AA754,1)="—"),"",IF($Z754="","— נדרשת הערכת כתיבה",IF($L754="","— חסרה הבנת הנקרא",IF($Y754="אינה מדויקת או מקוטעת",IF($AA754="ניכרת","מיקוד בשטף הקריאה ובכישורי שפה","מיקוד בשטף קריאה"),IF($AA754="ניכרת","מיקוד בכישורי שפה",IF(AND($L754="תקינה",$Z754="מפותחת"),"קוראים וכותבים מיומנים","מיקוד בהבנה והבעה"))))))</f>
        <v/>
      </c>
      <c r="AC754" s="32">
        <f>IF(OR($AB754="",LEFT($AB754,1)="—"),"",IF(OR($AB754="מיקוד בשטף קריאה",$AB754="מיקוד בשטף הקריאה ובכישורי שפה"),"רמה א'",IF($AB754="קוראים וכותבים מיומנים","רמה ג'","רמה ב'")))</f>
        <v/>
      </c>
      <c r="AD754" s="32">
        <f>IF($AC754="","",MID(IF(AND($AC754="רמה א'",$AA754="ניכרת"),"; להוסיף עבודת אוצר מילים","")&amp;IF($Z754="אינה מפותחת","; דגש על הבעה בכתב","")&amp;IF($K754&lt;&gt;"תקין","; נדרש לעבוד על ההנגנה","")&amp;IF($AK754&lt;&gt;"","; "&amp;$AK754,""),3,400))</f>
        <v/>
      </c>
      <c r="AE754" s="32">
        <f>IF($F754="","",IF($F754="תחילת שנה",1,IF($F754="מחצית שנה",2,3)))</f>
        <v/>
      </c>
      <c r="AF754" s="32">
        <f>IF(OR($B754="",$AC754="",$A754="",$F754=""),"",$B754&amp;"|"&amp;$A754&amp;"|"&amp;$F754&amp;"|"&amp;$AC754&amp;"|"&amp;COUNTIFS($B$6:$B754,$B754,$A$6:$A754,$A754,$F$6:$F754,$F754,$AC$6:$AC754,$AC754))</f>
        <v/>
      </c>
      <c r="AG754" s="32">
        <f>IF($C754="","",$C754&amp;"|"&amp;COUNTIFS($C$6:$C754,$C754))</f>
        <v/>
      </c>
      <c r="AH754" s="32">
        <f>IF(OR($C754="",$A754="",$AE754=""),"",$C754&amp;"|"&amp;$A754&amp;"|"&amp;$AE754)</f>
        <v/>
      </c>
      <c r="AI754" s="32">
        <f>IF(OR($C754="",$AE754="",$AE754=1),"",IFERROR(INDEX($AC$6:$AC$1505,MATCH($C754&amp;"|"&amp;$A754&amp;"|"&amp;($AE754-1),$AH$6:$AH$1505,0)),""))</f>
        <v/>
      </c>
      <c r="AJ754" s="32">
        <f>IF(OR($AI754="",$AC754=""),"",IF($AI754=$AC754,"ללא שינוי","מ-"&amp;$AI754&amp;" ל-"&amp;$AC754))</f>
        <v/>
      </c>
      <c r="AK754" s="67" t="n"/>
    </row>
    <row r="755" ht="15.75" customHeight="1" s="58">
      <c r="A755" s="65" t="n"/>
      <c r="B755" s="65" t="n"/>
      <c r="C755" s="66" t="n"/>
      <c r="D755" s="66" t="n"/>
      <c r="E755" s="65" t="n"/>
      <c r="F755" s="65" t="n"/>
      <c r="G755" s="65" t="n"/>
      <c r="H755" s="65" t="n"/>
      <c r="I755" s="65" t="n"/>
      <c r="J755" s="65" t="n"/>
      <c r="K755" s="65" t="n"/>
      <c r="L755" s="65" t="n"/>
      <c r="M755" s="65" t="n"/>
      <c r="N755" s="65" t="n"/>
      <c r="O755" s="65" t="n"/>
      <c r="P755" s="65" t="n"/>
      <c r="Q755" s="65" t="n"/>
      <c r="R755" s="65" t="n"/>
      <c r="S755" s="65" t="n"/>
      <c r="T755" s="65" t="n"/>
      <c r="U755" s="65" t="n"/>
      <c r="V755" s="65" t="n"/>
      <c r="W755" s="65" t="n"/>
      <c r="X755" s="65" t="n"/>
      <c r="Y755" s="32">
        <f>IF($C755="","",IF(COUNTA($I755:$K755)&lt;3,"— חסרים נתונים",IF(AND($I755="תקין",$J755="תקין",$K755="תקין"),"רהוטה",IF(AND($I755="תקין",$J755="תקין"),"מדויקת ורציפה","אינה מדויקת או מקוטעת"))))</f>
        <v/>
      </c>
      <c r="Z755" s="32">
        <f>IF($C755="","",IF(COUNTA($U755:$W755)&lt;3,"",IF(AND($U755="מפותח",$V755="מפותח",$W755="מפותחת"),"מפותחת",IF((--($U755="דל"))+(--($V755="אינו מפותח"))+(--($W755="דלה"))&gt;=2,"אינה מפותחת","חלקית"))))</f>
        <v/>
      </c>
      <c r="AA755" s="32">
        <f>IF($C755="","",IF(COUNTA($M755,$N755,$O755)&lt;3,"— חסרים נתונים",IF(OR($M755="נמוכה",(--($M755&lt;&gt;"תקינה"))+(--($N755&lt;&gt;"תקין"))+(--($O755&lt;&gt;"תקינה"))&gt;=2),"ניכרת","אינה ניכרת")))</f>
        <v/>
      </c>
      <c r="AB755" s="32">
        <f>IF(OR($C755="",$Y755="",$AA755="",LEFT($Y755,1)="—",LEFT($AA755,1)="—"),"",IF($Z755="","— נדרשת הערכת כתיבה",IF($L755="","— חסרה הבנת הנקרא",IF($Y755="אינה מדויקת או מקוטעת",IF($AA755="ניכרת","מיקוד בשטף הקריאה ובכישורי שפה","מיקוד בשטף קריאה"),IF($AA755="ניכרת","מיקוד בכישורי שפה",IF(AND($L755="תקינה",$Z755="מפותחת"),"קוראים וכותבים מיומנים","מיקוד בהבנה והבעה"))))))</f>
        <v/>
      </c>
      <c r="AC755" s="32">
        <f>IF(OR($AB755="",LEFT($AB755,1)="—"),"",IF(OR($AB755="מיקוד בשטף קריאה",$AB755="מיקוד בשטף הקריאה ובכישורי שפה"),"רמה א'",IF($AB755="קוראים וכותבים מיומנים","רמה ג'","רמה ב'")))</f>
        <v/>
      </c>
      <c r="AD755" s="32">
        <f>IF($AC755="","",MID(IF(AND($AC755="רמה א'",$AA755="ניכרת"),"; להוסיף עבודת אוצר מילים","")&amp;IF($Z755="אינה מפותחת","; דגש על הבעה בכתב","")&amp;IF($K755&lt;&gt;"תקין","; נדרש לעבוד על ההנגנה","")&amp;IF($AK755&lt;&gt;"","; "&amp;$AK755,""),3,400))</f>
        <v/>
      </c>
      <c r="AE755" s="32">
        <f>IF($F755="","",IF($F755="תחילת שנה",1,IF($F755="מחצית שנה",2,3)))</f>
        <v/>
      </c>
      <c r="AF755" s="32">
        <f>IF(OR($B755="",$AC755="",$A755="",$F755=""),"",$B755&amp;"|"&amp;$A755&amp;"|"&amp;$F755&amp;"|"&amp;$AC755&amp;"|"&amp;COUNTIFS($B$6:$B755,$B755,$A$6:$A755,$A755,$F$6:$F755,$F755,$AC$6:$AC755,$AC755))</f>
        <v/>
      </c>
      <c r="AG755" s="32">
        <f>IF($C755="","",$C755&amp;"|"&amp;COUNTIFS($C$6:$C755,$C755))</f>
        <v/>
      </c>
      <c r="AH755" s="32">
        <f>IF(OR($C755="",$A755="",$AE755=""),"",$C755&amp;"|"&amp;$A755&amp;"|"&amp;$AE755)</f>
        <v/>
      </c>
      <c r="AI755" s="32">
        <f>IF(OR($C755="",$AE755="",$AE755=1),"",IFERROR(INDEX($AC$6:$AC$1505,MATCH($C755&amp;"|"&amp;$A755&amp;"|"&amp;($AE755-1),$AH$6:$AH$1505,0)),""))</f>
        <v/>
      </c>
      <c r="AJ755" s="32">
        <f>IF(OR($AI755="",$AC755=""),"",IF($AI755=$AC755,"ללא שינוי","מ-"&amp;$AI755&amp;" ל-"&amp;$AC755))</f>
        <v/>
      </c>
      <c r="AK755" s="67" t="n"/>
    </row>
    <row r="756" ht="15.75" customHeight="1" s="58">
      <c r="A756" s="65" t="n"/>
      <c r="B756" s="65" t="n"/>
      <c r="C756" s="66" t="n"/>
      <c r="D756" s="66" t="n"/>
      <c r="E756" s="65" t="n"/>
      <c r="F756" s="65" t="n"/>
      <c r="G756" s="65" t="n"/>
      <c r="H756" s="65" t="n"/>
      <c r="I756" s="65" t="n"/>
      <c r="J756" s="65" t="n"/>
      <c r="K756" s="65" t="n"/>
      <c r="L756" s="65" t="n"/>
      <c r="M756" s="65" t="n"/>
      <c r="N756" s="65" t="n"/>
      <c r="O756" s="65" t="n"/>
      <c r="P756" s="65" t="n"/>
      <c r="Q756" s="65" t="n"/>
      <c r="R756" s="65" t="n"/>
      <c r="S756" s="65" t="n"/>
      <c r="T756" s="65" t="n"/>
      <c r="U756" s="65" t="n"/>
      <c r="V756" s="65" t="n"/>
      <c r="W756" s="65" t="n"/>
      <c r="X756" s="65" t="n"/>
      <c r="Y756" s="32">
        <f>IF($C756="","",IF(COUNTA($I756:$K756)&lt;3,"— חסרים נתונים",IF(AND($I756="תקין",$J756="תקין",$K756="תקין"),"רהוטה",IF(AND($I756="תקין",$J756="תקין"),"מדויקת ורציפה","אינה מדויקת או מקוטעת"))))</f>
        <v/>
      </c>
      <c r="Z756" s="32">
        <f>IF($C756="","",IF(COUNTA($U756:$W756)&lt;3,"",IF(AND($U756="מפותח",$V756="מפותח",$W756="מפותחת"),"מפותחת",IF((--($U756="דל"))+(--($V756="אינו מפותח"))+(--($W756="דלה"))&gt;=2,"אינה מפותחת","חלקית"))))</f>
        <v/>
      </c>
      <c r="AA756" s="32">
        <f>IF($C756="","",IF(COUNTA($M756,$N756,$O756)&lt;3,"— חסרים נתונים",IF(OR($M756="נמוכה",(--($M756&lt;&gt;"תקינה"))+(--($N756&lt;&gt;"תקין"))+(--($O756&lt;&gt;"תקינה"))&gt;=2),"ניכרת","אינה ניכרת")))</f>
        <v/>
      </c>
      <c r="AB756" s="32">
        <f>IF(OR($C756="",$Y756="",$AA756="",LEFT($Y756,1)="—",LEFT($AA756,1)="—"),"",IF($Z756="","— נדרשת הערכת כתיבה",IF($L756="","— חסרה הבנת הנקרא",IF($Y756="אינה מדויקת או מקוטעת",IF($AA756="ניכרת","מיקוד בשטף הקריאה ובכישורי שפה","מיקוד בשטף קריאה"),IF($AA756="ניכרת","מיקוד בכישורי שפה",IF(AND($L756="תקינה",$Z756="מפותחת"),"קוראים וכותבים מיומנים","מיקוד בהבנה והבעה"))))))</f>
        <v/>
      </c>
      <c r="AC756" s="32">
        <f>IF(OR($AB756="",LEFT($AB756,1)="—"),"",IF(OR($AB756="מיקוד בשטף קריאה",$AB756="מיקוד בשטף הקריאה ובכישורי שפה"),"רמה א'",IF($AB756="קוראים וכותבים מיומנים","רמה ג'","רמה ב'")))</f>
        <v/>
      </c>
      <c r="AD756" s="32">
        <f>IF($AC756="","",MID(IF(AND($AC756="רמה א'",$AA756="ניכרת"),"; להוסיף עבודת אוצר מילים","")&amp;IF($Z756="אינה מפותחת","; דגש על הבעה בכתב","")&amp;IF($K756&lt;&gt;"תקין","; נדרש לעבוד על ההנגנה","")&amp;IF($AK756&lt;&gt;"","; "&amp;$AK756,""),3,400))</f>
        <v/>
      </c>
      <c r="AE756" s="32">
        <f>IF($F756="","",IF($F756="תחילת שנה",1,IF($F756="מחצית שנה",2,3)))</f>
        <v/>
      </c>
      <c r="AF756" s="32">
        <f>IF(OR($B756="",$AC756="",$A756="",$F756=""),"",$B756&amp;"|"&amp;$A756&amp;"|"&amp;$F756&amp;"|"&amp;$AC756&amp;"|"&amp;COUNTIFS($B$6:$B756,$B756,$A$6:$A756,$A756,$F$6:$F756,$F756,$AC$6:$AC756,$AC756))</f>
        <v/>
      </c>
      <c r="AG756" s="32">
        <f>IF($C756="","",$C756&amp;"|"&amp;COUNTIFS($C$6:$C756,$C756))</f>
        <v/>
      </c>
      <c r="AH756" s="32">
        <f>IF(OR($C756="",$A756="",$AE756=""),"",$C756&amp;"|"&amp;$A756&amp;"|"&amp;$AE756)</f>
        <v/>
      </c>
      <c r="AI756" s="32">
        <f>IF(OR($C756="",$AE756="",$AE756=1),"",IFERROR(INDEX($AC$6:$AC$1505,MATCH($C756&amp;"|"&amp;$A756&amp;"|"&amp;($AE756-1),$AH$6:$AH$1505,0)),""))</f>
        <v/>
      </c>
      <c r="AJ756" s="32">
        <f>IF(OR($AI756="",$AC756=""),"",IF($AI756=$AC756,"ללא שינוי","מ-"&amp;$AI756&amp;" ל-"&amp;$AC756))</f>
        <v/>
      </c>
      <c r="AK756" s="67" t="n"/>
    </row>
    <row r="757" ht="15.75" customHeight="1" s="58">
      <c r="A757" s="65" t="n"/>
      <c r="B757" s="65" t="n"/>
      <c r="C757" s="66" t="n"/>
      <c r="D757" s="66" t="n"/>
      <c r="E757" s="65" t="n"/>
      <c r="F757" s="65" t="n"/>
      <c r="G757" s="65" t="n"/>
      <c r="H757" s="65" t="n"/>
      <c r="I757" s="65" t="n"/>
      <c r="J757" s="65" t="n"/>
      <c r="K757" s="65" t="n"/>
      <c r="L757" s="65" t="n"/>
      <c r="M757" s="65" t="n"/>
      <c r="N757" s="65" t="n"/>
      <c r="O757" s="65" t="n"/>
      <c r="P757" s="65" t="n"/>
      <c r="Q757" s="65" t="n"/>
      <c r="R757" s="65" t="n"/>
      <c r="S757" s="65" t="n"/>
      <c r="T757" s="65" t="n"/>
      <c r="U757" s="65" t="n"/>
      <c r="V757" s="65" t="n"/>
      <c r="W757" s="65" t="n"/>
      <c r="X757" s="65" t="n"/>
      <c r="Y757" s="32">
        <f>IF($C757="","",IF(COUNTA($I757:$K757)&lt;3,"— חסרים נתונים",IF(AND($I757="תקין",$J757="תקין",$K757="תקין"),"רהוטה",IF(AND($I757="תקין",$J757="תקין"),"מדויקת ורציפה","אינה מדויקת או מקוטעת"))))</f>
        <v/>
      </c>
      <c r="Z757" s="32">
        <f>IF($C757="","",IF(COUNTA($U757:$W757)&lt;3,"",IF(AND($U757="מפותח",$V757="מפותח",$W757="מפותחת"),"מפותחת",IF((--($U757="דל"))+(--($V757="אינו מפותח"))+(--($W757="דלה"))&gt;=2,"אינה מפותחת","חלקית"))))</f>
        <v/>
      </c>
      <c r="AA757" s="32">
        <f>IF($C757="","",IF(COUNTA($M757,$N757,$O757)&lt;3,"— חסרים נתונים",IF(OR($M757="נמוכה",(--($M757&lt;&gt;"תקינה"))+(--($N757&lt;&gt;"תקין"))+(--($O757&lt;&gt;"תקינה"))&gt;=2),"ניכרת","אינה ניכרת")))</f>
        <v/>
      </c>
      <c r="AB757" s="32">
        <f>IF(OR($C757="",$Y757="",$AA757="",LEFT($Y757,1)="—",LEFT($AA757,1)="—"),"",IF($Z757="","— נדרשת הערכת כתיבה",IF($L757="","— חסרה הבנת הנקרא",IF($Y757="אינה מדויקת או מקוטעת",IF($AA757="ניכרת","מיקוד בשטף הקריאה ובכישורי שפה","מיקוד בשטף קריאה"),IF($AA757="ניכרת","מיקוד בכישורי שפה",IF(AND($L757="תקינה",$Z757="מפותחת"),"קוראים וכותבים מיומנים","מיקוד בהבנה והבעה"))))))</f>
        <v/>
      </c>
      <c r="AC757" s="32">
        <f>IF(OR($AB757="",LEFT($AB757,1)="—"),"",IF(OR($AB757="מיקוד בשטף קריאה",$AB757="מיקוד בשטף הקריאה ובכישורי שפה"),"רמה א'",IF($AB757="קוראים וכותבים מיומנים","רמה ג'","רמה ב'")))</f>
        <v/>
      </c>
      <c r="AD757" s="32">
        <f>IF($AC757="","",MID(IF(AND($AC757="רמה א'",$AA757="ניכרת"),"; להוסיף עבודת אוצר מילים","")&amp;IF($Z757="אינה מפותחת","; דגש על הבעה בכתב","")&amp;IF($K757&lt;&gt;"תקין","; נדרש לעבוד על ההנגנה","")&amp;IF($AK757&lt;&gt;"","; "&amp;$AK757,""),3,400))</f>
        <v/>
      </c>
      <c r="AE757" s="32">
        <f>IF($F757="","",IF($F757="תחילת שנה",1,IF($F757="מחצית שנה",2,3)))</f>
        <v/>
      </c>
      <c r="AF757" s="32">
        <f>IF(OR($B757="",$AC757="",$A757="",$F757=""),"",$B757&amp;"|"&amp;$A757&amp;"|"&amp;$F757&amp;"|"&amp;$AC757&amp;"|"&amp;COUNTIFS($B$6:$B757,$B757,$A$6:$A757,$A757,$F$6:$F757,$F757,$AC$6:$AC757,$AC757))</f>
        <v/>
      </c>
      <c r="AG757" s="32">
        <f>IF($C757="","",$C757&amp;"|"&amp;COUNTIFS($C$6:$C757,$C757))</f>
        <v/>
      </c>
      <c r="AH757" s="32">
        <f>IF(OR($C757="",$A757="",$AE757=""),"",$C757&amp;"|"&amp;$A757&amp;"|"&amp;$AE757)</f>
        <v/>
      </c>
      <c r="AI757" s="32">
        <f>IF(OR($C757="",$AE757="",$AE757=1),"",IFERROR(INDEX($AC$6:$AC$1505,MATCH($C757&amp;"|"&amp;$A757&amp;"|"&amp;($AE757-1),$AH$6:$AH$1505,0)),""))</f>
        <v/>
      </c>
      <c r="AJ757" s="32">
        <f>IF(OR($AI757="",$AC757=""),"",IF($AI757=$AC757,"ללא שינוי","מ-"&amp;$AI757&amp;" ל-"&amp;$AC757))</f>
        <v/>
      </c>
      <c r="AK757" s="67" t="n"/>
    </row>
    <row r="758" ht="15.75" customHeight="1" s="58">
      <c r="A758" s="65" t="n"/>
      <c r="B758" s="65" t="n"/>
      <c r="C758" s="66" t="n"/>
      <c r="D758" s="66" t="n"/>
      <c r="E758" s="65" t="n"/>
      <c r="F758" s="65" t="n"/>
      <c r="G758" s="65" t="n"/>
      <c r="H758" s="65" t="n"/>
      <c r="I758" s="65" t="n"/>
      <c r="J758" s="65" t="n"/>
      <c r="K758" s="65" t="n"/>
      <c r="L758" s="65" t="n"/>
      <c r="M758" s="65" t="n"/>
      <c r="N758" s="65" t="n"/>
      <c r="O758" s="65" t="n"/>
      <c r="P758" s="65" t="n"/>
      <c r="Q758" s="65" t="n"/>
      <c r="R758" s="65" t="n"/>
      <c r="S758" s="65" t="n"/>
      <c r="T758" s="65" t="n"/>
      <c r="U758" s="65" t="n"/>
      <c r="V758" s="65" t="n"/>
      <c r="W758" s="65" t="n"/>
      <c r="X758" s="65" t="n"/>
      <c r="Y758" s="32">
        <f>IF($C758="","",IF(COUNTA($I758:$K758)&lt;3,"— חסרים נתונים",IF(AND($I758="תקין",$J758="תקין",$K758="תקין"),"רהוטה",IF(AND($I758="תקין",$J758="תקין"),"מדויקת ורציפה","אינה מדויקת או מקוטעת"))))</f>
        <v/>
      </c>
      <c r="Z758" s="32">
        <f>IF($C758="","",IF(COUNTA($U758:$W758)&lt;3,"",IF(AND($U758="מפותח",$V758="מפותח",$W758="מפותחת"),"מפותחת",IF((--($U758="דל"))+(--($V758="אינו מפותח"))+(--($W758="דלה"))&gt;=2,"אינה מפותחת","חלקית"))))</f>
        <v/>
      </c>
      <c r="AA758" s="32">
        <f>IF($C758="","",IF(COUNTA($M758,$N758,$O758)&lt;3,"— חסרים נתונים",IF(OR($M758="נמוכה",(--($M758&lt;&gt;"תקינה"))+(--($N758&lt;&gt;"תקין"))+(--($O758&lt;&gt;"תקינה"))&gt;=2),"ניכרת","אינה ניכרת")))</f>
        <v/>
      </c>
      <c r="AB758" s="32">
        <f>IF(OR($C758="",$Y758="",$AA758="",LEFT($Y758,1)="—",LEFT($AA758,1)="—"),"",IF($Z758="","— נדרשת הערכת כתיבה",IF($L758="","— חסרה הבנת הנקרא",IF($Y758="אינה מדויקת או מקוטעת",IF($AA758="ניכרת","מיקוד בשטף הקריאה ובכישורי שפה","מיקוד בשטף קריאה"),IF($AA758="ניכרת","מיקוד בכישורי שפה",IF(AND($L758="תקינה",$Z758="מפותחת"),"קוראים וכותבים מיומנים","מיקוד בהבנה והבעה"))))))</f>
        <v/>
      </c>
      <c r="AC758" s="32">
        <f>IF(OR($AB758="",LEFT($AB758,1)="—"),"",IF(OR($AB758="מיקוד בשטף קריאה",$AB758="מיקוד בשטף הקריאה ובכישורי שפה"),"רמה א'",IF($AB758="קוראים וכותבים מיומנים","רמה ג'","רמה ב'")))</f>
        <v/>
      </c>
      <c r="AD758" s="32">
        <f>IF($AC758="","",MID(IF(AND($AC758="רמה א'",$AA758="ניכרת"),"; להוסיף עבודת אוצר מילים","")&amp;IF($Z758="אינה מפותחת","; דגש על הבעה בכתב","")&amp;IF($K758&lt;&gt;"תקין","; נדרש לעבוד על ההנגנה","")&amp;IF($AK758&lt;&gt;"","; "&amp;$AK758,""),3,400))</f>
        <v/>
      </c>
      <c r="AE758" s="32">
        <f>IF($F758="","",IF($F758="תחילת שנה",1,IF($F758="מחצית שנה",2,3)))</f>
        <v/>
      </c>
      <c r="AF758" s="32">
        <f>IF(OR($B758="",$AC758="",$A758="",$F758=""),"",$B758&amp;"|"&amp;$A758&amp;"|"&amp;$F758&amp;"|"&amp;$AC758&amp;"|"&amp;COUNTIFS($B$6:$B758,$B758,$A$6:$A758,$A758,$F$6:$F758,$F758,$AC$6:$AC758,$AC758))</f>
        <v/>
      </c>
      <c r="AG758" s="32">
        <f>IF($C758="","",$C758&amp;"|"&amp;COUNTIFS($C$6:$C758,$C758))</f>
        <v/>
      </c>
      <c r="AH758" s="32">
        <f>IF(OR($C758="",$A758="",$AE758=""),"",$C758&amp;"|"&amp;$A758&amp;"|"&amp;$AE758)</f>
        <v/>
      </c>
      <c r="AI758" s="32">
        <f>IF(OR($C758="",$AE758="",$AE758=1),"",IFERROR(INDEX($AC$6:$AC$1505,MATCH($C758&amp;"|"&amp;$A758&amp;"|"&amp;($AE758-1),$AH$6:$AH$1505,0)),""))</f>
        <v/>
      </c>
      <c r="AJ758" s="32">
        <f>IF(OR($AI758="",$AC758=""),"",IF($AI758=$AC758,"ללא שינוי","מ-"&amp;$AI758&amp;" ל-"&amp;$AC758))</f>
        <v/>
      </c>
      <c r="AK758" s="67" t="n"/>
    </row>
    <row r="759" ht="15.75" customHeight="1" s="58">
      <c r="A759" s="65" t="n"/>
      <c r="B759" s="65" t="n"/>
      <c r="C759" s="66" t="n"/>
      <c r="D759" s="66" t="n"/>
      <c r="E759" s="65" t="n"/>
      <c r="F759" s="65" t="n"/>
      <c r="G759" s="65" t="n"/>
      <c r="H759" s="65" t="n"/>
      <c r="I759" s="65" t="n"/>
      <c r="J759" s="65" t="n"/>
      <c r="K759" s="65" t="n"/>
      <c r="L759" s="65" t="n"/>
      <c r="M759" s="65" t="n"/>
      <c r="N759" s="65" t="n"/>
      <c r="O759" s="65" t="n"/>
      <c r="P759" s="65" t="n"/>
      <c r="Q759" s="65" t="n"/>
      <c r="R759" s="65" t="n"/>
      <c r="S759" s="65" t="n"/>
      <c r="T759" s="65" t="n"/>
      <c r="U759" s="65" t="n"/>
      <c r="V759" s="65" t="n"/>
      <c r="W759" s="65" t="n"/>
      <c r="X759" s="65" t="n"/>
      <c r="Y759" s="32">
        <f>IF($C759="","",IF(COUNTA($I759:$K759)&lt;3,"— חסרים נתונים",IF(AND($I759="תקין",$J759="תקין",$K759="תקין"),"רהוטה",IF(AND($I759="תקין",$J759="תקין"),"מדויקת ורציפה","אינה מדויקת או מקוטעת"))))</f>
        <v/>
      </c>
      <c r="Z759" s="32">
        <f>IF($C759="","",IF(COUNTA($U759:$W759)&lt;3,"",IF(AND($U759="מפותח",$V759="מפותח",$W759="מפותחת"),"מפותחת",IF((--($U759="דל"))+(--($V759="אינו מפותח"))+(--($W759="דלה"))&gt;=2,"אינה מפותחת","חלקית"))))</f>
        <v/>
      </c>
      <c r="AA759" s="32">
        <f>IF($C759="","",IF(COUNTA($M759,$N759,$O759)&lt;3,"— חסרים נתונים",IF(OR($M759="נמוכה",(--($M759&lt;&gt;"תקינה"))+(--($N759&lt;&gt;"תקין"))+(--($O759&lt;&gt;"תקינה"))&gt;=2),"ניכרת","אינה ניכרת")))</f>
        <v/>
      </c>
      <c r="AB759" s="32">
        <f>IF(OR($C759="",$Y759="",$AA759="",LEFT($Y759,1)="—",LEFT($AA759,1)="—"),"",IF($Z759="","— נדרשת הערכת כתיבה",IF($L759="","— חסרה הבנת הנקרא",IF($Y759="אינה מדויקת או מקוטעת",IF($AA759="ניכרת","מיקוד בשטף הקריאה ובכישורי שפה","מיקוד בשטף קריאה"),IF($AA759="ניכרת","מיקוד בכישורי שפה",IF(AND($L759="תקינה",$Z759="מפותחת"),"קוראים וכותבים מיומנים","מיקוד בהבנה והבעה"))))))</f>
        <v/>
      </c>
      <c r="AC759" s="32">
        <f>IF(OR($AB759="",LEFT($AB759,1)="—"),"",IF(OR($AB759="מיקוד בשטף קריאה",$AB759="מיקוד בשטף הקריאה ובכישורי שפה"),"רמה א'",IF($AB759="קוראים וכותבים מיומנים","רמה ג'","רמה ב'")))</f>
        <v/>
      </c>
      <c r="AD759" s="32">
        <f>IF($AC759="","",MID(IF(AND($AC759="רמה א'",$AA759="ניכרת"),"; להוסיף עבודת אוצר מילים","")&amp;IF($Z759="אינה מפותחת","; דגש על הבעה בכתב","")&amp;IF($K759&lt;&gt;"תקין","; נדרש לעבוד על ההנגנה","")&amp;IF($AK759&lt;&gt;"","; "&amp;$AK759,""),3,400))</f>
        <v/>
      </c>
      <c r="AE759" s="32">
        <f>IF($F759="","",IF($F759="תחילת שנה",1,IF($F759="מחצית שנה",2,3)))</f>
        <v/>
      </c>
      <c r="AF759" s="32">
        <f>IF(OR($B759="",$AC759="",$A759="",$F759=""),"",$B759&amp;"|"&amp;$A759&amp;"|"&amp;$F759&amp;"|"&amp;$AC759&amp;"|"&amp;COUNTIFS($B$6:$B759,$B759,$A$6:$A759,$A759,$F$6:$F759,$F759,$AC$6:$AC759,$AC759))</f>
        <v/>
      </c>
      <c r="AG759" s="32">
        <f>IF($C759="","",$C759&amp;"|"&amp;COUNTIFS($C$6:$C759,$C759))</f>
        <v/>
      </c>
      <c r="AH759" s="32">
        <f>IF(OR($C759="",$A759="",$AE759=""),"",$C759&amp;"|"&amp;$A759&amp;"|"&amp;$AE759)</f>
        <v/>
      </c>
      <c r="AI759" s="32">
        <f>IF(OR($C759="",$AE759="",$AE759=1),"",IFERROR(INDEX($AC$6:$AC$1505,MATCH($C759&amp;"|"&amp;$A759&amp;"|"&amp;($AE759-1),$AH$6:$AH$1505,0)),""))</f>
        <v/>
      </c>
      <c r="AJ759" s="32">
        <f>IF(OR($AI759="",$AC759=""),"",IF($AI759=$AC759,"ללא שינוי","מ-"&amp;$AI759&amp;" ל-"&amp;$AC759))</f>
        <v/>
      </c>
      <c r="AK759" s="67" t="n"/>
    </row>
    <row r="760" ht="15.75" customHeight="1" s="58">
      <c r="A760" s="65" t="n"/>
      <c r="B760" s="65" t="n"/>
      <c r="C760" s="66" t="n"/>
      <c r="D760" s="66" t="n"/>
      <c r="E760" s="65" t="n"/>
      <c r="F760" s="65" t="n"/>
      <c r="G760" s="65" t="n"/>
      <c r="H760" s="65" t="n"/>
      <c r="I760" s="65" t="n"/>
      <c r="J760" s="65" t="n"/>
      <c r="K760" s="65" t="n"/>
      <c r="L760" s="65" t="n"/>
      <c r="M760" s="65" t="n"/>
      <c r="N760" s="65" t="n"/>
      <c r="O760" s="65" t="n"/>
      <c r="P760" s="65" t="n"/>
      <c r="Q760" s="65" t="n"/>
      <c r="R760" s="65" t="n"/>
      <c r="S760" s="65" t="n"/>
      <c r="T760" s="65" t="n"/>
      <c r="U760" s="65" t="n"/>
      <c r="V760" s="65" t="n"/>
      <c r="W760" s="65" t="n"/>
      <c r="X760" s="65" t="n"/>
      <c r="Y760" s="32">
        <f>IF($C760="","",IF(COUNTA($I760:$K760)&lt;3,"— חסרים נתונים",IF(AND($I760="תקין",$J760="תקין",$K760="תקין"),"רהוטה",IF(AND($I760="תקין",$J760="תקין"),"מדויקת ורציפה","אינה מדויקת או מקוטעת"))))</f>
        <v/>
      </c>
      <c r="Z760" s="32">
        <f>IF($C760="","",IF(COUNTA($U760:$W760)&lt;3,"",IF(AND($U760="מפותח",$V760="מפותח",$W760="מפותחת"),"מפותחת",IF((--($U760="דל"))+(--($V760="אינו מפותח"))+(--($W760="דלה"))&gt;=2,"אינה מפותחת","חלקית"))))</f>
        <v/>
      </c>
      <c r="AA760" s="32">
        <f>IF($C760="","",IF(COUNTA($M760,$N760,$O760)&lt;3,"— חסרים נתונים",IF(OR($M760="נמוכה",(--($M760&lt;&gt;"תקינה"))+(--($N760&lt;&gt;"תקין"))+(--($O760&lt;&gt;"תקינה"))&gt;=2),"ניכרת","אינה ניכרת")))</f>
        <v/>
      </c>
      <c r="AB760" s="32">
        <f>IF(OR($C760="",$Y760="",$AA760="",LEFT($Y760,1)="—",LEFT($AA760,1)="—"),"",IF($Z760="","— נדרשת הערכת כתיבה",IF($L760="","— חסרה הבנת הנקרא",IF($Y760="אינה מדויקת או מקוטעת",IF($AA760="ניכרת","מיקוד בשטף הקריאה ובכישורי שפה","מיקוד בשטף קריאה"),IF($AA760="ניכרת","מיקוד בכישורי שפה",IF(AND($L760="תקינה",$Z760="מפותחת"),"קוראים וכותבים מיומנים","מיקוד בהבנה והבעה"))))))</f>
        <v/>
      </c>
      <c r="AC760" s="32">
        <f>IF(OR($AB760="",LEFT($AB760,1)="—"),"",IF(OR($AB760="מיקוד בשטף קריאה",$AB760="מיקוד בשטף הקריאה ובכישורי שפה"),"רמה א'",IF($AB760="קוראים וכותבים מיומנים","רמה ג'","רמה ב'")))</f>
        <v/>
      </c>
      <c r="AD760" s="32">
        <f>IF($AC760="","",MID(IF(AND($AC760="רמה א'",$AA760="ניכרת"),"; להוסיף עבודת אוצר מילים","")&amp;IF($Z760="אינה מפותחת","; דגש על הבעה בכתב","")&amp;IF($K760&lt;&gt;"תקין","; נדרש לעבוד על ההנגנה","")&amp;IF($AK760&lt;&gt;"","; "&amp;$AK760,""),3,400))</f>
        <v/>
      </c>
      <c r="AE760" s="32">
        <f>IF($F760="","",IF($F760="תחילת שנה",1,IF($F760="מחצית שנה",2,3)))</f>
        <v/>
      </c>
      <c r="AF760" s="32">
        <f>IF(OR($B760="",$AC760="",$A760="",$F760=""),"",$B760&amp;"|"&amp;$A760&amp;"|"&amp;$F760&amp;"|"&amp;$AC760&amp;"|"&amp;COUNTIFS($B$6:$B760,$B760,$A$6:$A760,$A760,$F$6:$F760,$F760,$AC$6:$AC760,$AC760))</f>
        <v/>
      </c>
      <c r="AG760" s="32">
        <f>IF($C760="","",$C760&amp;"|"&amp;COUNTIFS($C$6:$C760,$C760))</f>
        <v/>
      </c>
      <c r="AH760" s="32">
        <f>IF(OR($C760="",$A760="",$AE760=""),"",$C760&amp;"|"&amp;$A760&amp;"|"&amp;$AE760)</f>
        <v/>
      </c>
      <c r="AI760" s="32">
        <f>IF(OR($C760="",$AE760="",$AE760=1),"",IFERROR(INDEX($AC$6:$AC$1505,MATCH($C760&amp;"|"&amp;$A760&amp;"|"&amp;($AE760-1),$AH$6:$AH$1505,0)),""))</f>
        <v/>
      </c>
      <c r="AJ760" s="32">
        <f>IF(OR($AI760="",$AC760=""),"",IF($AI760=$AC760,"ללא שינוי","מ-"&amp;$AI760&amp;" ל-"&amp;$AC760))</f>
        <v/>
      </c>
      <c r="AK760" s="67" t="n"/>
    </row>
    <row r="761" ht="15.75" customHeight="1" s="58">
      <c r="A761" s="65" t="n"/>
      <c r="B761" s="65" t="n"/>
      <c r="C761" s="66" t="n"/>
      <c r="D761" s="66" t="n"/>
      <c r="E761" s="65" t="n"/>
      <c r="F761" s="65" t="n"/>
      <c r="G761" s="65" t="n"/>
      <c r="H761" s="65" t="n"/>
      <c r="I761" s="65" t="n"/>
      <c r="J761" s="65" t="n"/>
      <c r="K761" s="65" t="n"/>
      <c r="L761" s="65" t="n"/>
      <c r="M761" s="65" t="n"/>
      <c r="N761" s="65" t="n"/>
      <c r="O761" s="65" t="n"/>
      <c r="P761" s="65" t="n"/>
      <c r="Q761" s="65" t="n"/>
      <c r="R761" s="65" t="n"/>
      <c r="S761" s="65" t="n"/>
      <c r="T761" s="65" t="n"/>
      <c r="U761" s="65" t="n"/>
      <c r="V761" s="65" t="n"/>
      <c r="W761" s="65" t="n"/>
      <c r="X761" s="65" t="n"/>
      <c r="Y761" s="32">
        <f>IF($C761="","",IF(COUNTA($I761:$K761)&lt;3,"— חסרים נתונים",IF(AND($I761="תקין",$J761="תקין",$K761="תקין"),"רהוטה",IF(AND($I761="תקין",$J761="תקין"),"מדויקת ורציפה","אינה מדויקת או מקוטעת"))))</f>
        <v/>
      </c>
      <c r="Z761" s="32">
        <f>IF($C761="","",IF(COUNTA($U761:$W761)&lt;3,"",IF(AND($U761="מפותח",$V761="מפותח",$W761="מפותחת"),"מפותחת",IF((--($U761="דל"))+(--($V761="אינו מפותח"))+(--($W761="דלה"))&gt;=2,"אינה מפותחת","חלקית"))))</f>
        <v/>
      </c>
      <c r="AA761" s="32">
        <f>IF($C761="","",IF(COUNTA($M761,$N761,$O761)&lt;3,"— חסרים נתונים",IF(OR($M761="נמוכה",(--($M761&lt;&gt;"תקינה"))+(--($N761&lt;&gt;"תקין"))+(--($O761&lt;&gt;"תקינה"))&gt;=2),"ניכרת","אינה ניכרת")))</f>
        <v/>
      </c>
      <c r="AB761" s="32">
        <f>IF(OR($C761="",$Y761="",$AA761="",LEFT($Y761,1)="—",LEFT($AA761,1)="—"),"",IF($Z761="","— נדרשת הערכת כתיבה",IF($L761="","— חסרה הבנת הנקרא",IF($Y761="אינה מדויקת או מקוטעת",IF($AA761="ניכרת","מיקוד בשטף הקריאה ובכישורי שפה","מיקוד בשטף קריאה"),IF($AA761="ניכרת","מיקוד בכישורי שפה",IF(AND($L761="תקינה",$Z761="מפותחת"),"קוראים וכותבים מיומנים","מיקוד בהבנה והבעה"))))))</f>
        <v/>
      </c>
      <c r="AC761" s="32">
        <f>IF(OR($AB761="",LEFT($AB761,1)="—"),"",IF(OR($AB761="מיקוד בשטף קריאה",$AB761="מיקוד בשטף הקריאה ובכישורי שפה"),"רמה א'",IF($AB761="קוראים וכותבים מיומנים","רמה ג'","רמה ב'")))</f>
        <v/>
      </c>
      <c r="AD761" s="32">
        <f>IF($AC761="","",MID(IF(AND($AC761="רמה א'",$AA761="ניכרת"),"; להוסיף עבודת אוצר מילים","")&amp;IF($Z761="אינה מפותחת","; דגש על הבעה בכתב","")&amp;IF($K761&lt;&gt;"תקין","; נדרש לעבוד על ההנגנה","")&amp;IF($AK761&lt;&gt;"","; "&amp;$AK761,""),3,400))</f>
        <v/>
      </c>
      <c r="AE761" s="32">
        <f>IF($F761="","",IF($F761="תחילת שנה",1,IF($F761="מחצית שנה",2,3)))</f>
        <v/>
      </c>
      <c r="AF761" s="32">
        <f>IF(OR($B761="",$AC761="",$A761="",$F761=""),"",$B761&amp;"|"&amp;$A761&amp;"|"&amp;$F761&amp;"|"&amp;$AC761&amp;"|"&amp;COUNTIFS($B$6:$B761,$B761,$A$6:$A761,$A761,$F$6:$F761,$F761,$AC$6:$AC761,$AC761))</f>
        <v/>
      </c>
      <c r="AG761" s="32">
        <f>IF($C761="","",$C761&amp;"|"&amp;COUNTIFS($C$6:$C761,$C761))</f>
        <v/>
      </c>
      <c r="AH761" s="32">
        <f>IF(OR($C761="",$A761="",$AE761=""),"",$C761&amp;"|"&amp;$A761&amp;"|"&amp;$AE761)</f>
        <v/>
      </c>
      <c r="AI761" s="32">
        <f>IF(OR($C761="",$AE761="",$AE761=1),"",IFERROR(INDEX($AC$6:$AC$1505,MATCH($C761&amp;"|"&amp;$A761&amp;"|"&amp;($AE761-1),$AH$6:$AH$1505,0)),""))</f>
        <v/>
      </c>
      <c r="AJ761" s="32">
        <f>IF(OR($AI761="",$AC761=""),"",IF($AI761=$AC761,"ללא שינוי","מ-"&amp;$AI761&amp;" ל-"&amp;$AC761))</f>
        <v/>
      </c>
      <c r="AK761" s="67" t="n"/>
    </row>
    <row r="762" ht="15.75" customHeight="1" s="58">
      <c r="A762" s="65" t="n"/>
      <c r="B762" s="65" t="n"/>
      <c r="C762" s="66" t="n"/>
      <c r="D762" s="66" t="n"/>
      <c r="E762" s="65" t="n"/>
      <c r="F762" s="65" t="n"/>
      <c r="G762" s="65" t="n"/>
      <c r="H762" s="65" t="n"/>
      <c r="I762" s="65" t="n"/>
      <c r="J762" s="65" t="n"/>
      <c r="K762" s="65" t="n"/>
      <c r="L762" s="65" t="n"/>
      <c r="M762" s="65" t="n"/>
      <c r="N762" s="65" t="n"/>
      <c r="O762" s="65" t="n"/>
      <c r="P762" s="65" t="n"/>
      <c r="Q762" s="65" t="n"/>
      <c r="R762" s="65" t="n"/>
      <c r="S762" s="65" t="n"/>
      <c r="T762" s="65" t="n"/>
      <c r="U762" s="65" t="n"/>
      <c r="V762" s="65" t="n"/>
      <c r="W762" s="65" t="n"/>
      <c r="X762" s="65" t="n"/>
      <c r="Y762" s="32">
        <f>IF($C762="","",IF(COUNTA($I762:$K762)&lt;3,"— חסרים נתונים",IF(AND($I762="תקין",$J762="תקין",$K762="תקין"),"רהוטה",IF(AND($I762="תקין",$J762="תקין"),"מדויקת ורציפה","אינה מדויקת או מקוטעת"))))</f>
        <v/>
      </c>
      <c r="Z762" s="32">
        <f>IF($C762="","",IF(COUNTA($U762:$W762)&lt;3,"",IF(AND($U762="מפותח",$V762="מפותח",$W762="מפותחת"),"מפותחת",IF((--($U762="דל"))+(--($V762="אינו מפותח"))+(--($W762="דלה"))&gt;=2,"אינה מפותחת","חלקית"))))</f>
        <v/>
      </c>
      <c r="AA762" s="32">
        <f>IF($C762="","",IF(COUNTA($M762,$N762,$O762)&lt;3,"— חסרים נתונים",IF(OR($M762="נמוכה",(--($M762&lt;&gt;"תקינה"))+(--($N762&lt;&gt;"תקין"))+(--($O762&lt;&gt;"תקינה"))&gt;=2),"ניכרת","אינה ניכרת")))</f>
        <v/>
      </c>
      <c r="AB762" s="32">
        <f>IF(OR($C762="",$Y762="",$AA762="",LEFT($Y762,1)="—",LEFT($AA762,1)="—"),"",IF($Z762="","— נדרשת הערכת כתיבה",IF($L762="","— חסרה הבנת הנקרא",IF($Y762="אינה מדויקת או מקוטעת",IF($AA762="ניכרת","מיקוד בשטף הקריאה ובכישורי שפה","מיקוד בשטף קריאה"),IF($AA762="ניכרת","מיקוד בכישורי שפה",IF(AND($L762="תקינה",$Z762="מפותחת"),"קוראים וכותבים מיומנים","מיקוד בהבנה והבעה"))))))</f>
        <v/>
      </c>
      <c r="AC762" s="32">
        <f>IF(OR($AB762="",LEFT($AB762,1)="—"),"",IF(OR($AB762="מיקוד בשטף קריאה",$AB762="מיקוד בשטף הקריאה ובכישורי שפה"),"רמה א'",IF($AB762="קוראים וכותבים מיומנים","רמה ג'","רמה ב'")))</f>
        <v/>
      </c>
      <c r="AD762" s="32">
        <f>IF($AC762="","",MID(IF(AND($AC762="רמה א'",$AA762="ניכרת"),"; להוסיף עבודת אוצר מילים","")&amp;IF($Z762="אינה מפותחת","; דגש על הבעה בכתב","")&amp;IF($K762&lt;&gt;"תקין","; נדרש לעבוד על ההנגנה","")&amp;IF($AK762&lt;&gt;"","; "&amp;$AK762,""),3,400))</f>
        <v/>
      </c>
      <c r="AE762" s="32">
        <f>IF($F762="","",IF($F762="תחילת שנה",1,IF($F762="מחצית שנה",2,3)))</f>
        <v/>
      </c>
      <c r="AF762" s="32">
        <f>IF(OR($B762="",$AC762="",$A762="",$F762=""),"",$B762&amp;"|"&amp;$A762&amp;"|"&amp;$F762&amp;"|"&amp;$AC762&amp;"|"&amp;COUNTIFS($B$6:$B762,$B762,$A$6:$A762,$A762,$F$6:$F762,$F762,$AC$6:$AC762,$AC762))</f>
        <v/>
      </c>
      <c r="AG762" s="32">
        <f>IF($C762="","",$C762&amp;"|"&amp;COUNTIFS($C$6:$C762,$C762))</f>
        <v/>
      </c>
      <c r="AH762" s="32">
        <f>IF(OR($C762="",$A762="",$AE762=""),"",$C762&amp;"|"&amp;$A762&amp;"|"&amp;$AE762)</f>
        <v/>
      </c>
      <c r="AI762" s="32">
        <f>IF(OR($C762="",$AE762="",$AE762=1),"",IFERROR(INDEX($AC$6:$AC$1505,MATCH($C762&amp;"|"&amp;$A762&amp;"|"&amp;($AE762-1),$AH$6:$AH$1505,0)),""))</f>
        <v/>
      </c>
      <c r="AJ762" s="32">
        <f>IF(OR($AI762="",$AC762=""),"",IF($AI762=$AC762,"ללא שינוי","מ-"&amp;$AI762&amp;" ל-"&amp;$AC762))</f>
        <v/>
      </c>
      <c r="AK762" s="67" t="n"/>
    </row>
    <row r="763" ht="15.75" customHeight="1" s="58">
      <c r="A763" s="65" t="n"/>
      <c r="B763" s="65" t="n"/>
      <c r="C763" s="66" t="n"/>
      <c r="D763" s="66" t="n"/>
      <c r="E763" s="65" t="n"/>
      <c r="F763" s="65" t="n"/>
      <c r="G763" s="65" t="n"/>
      <c r="H763" s="65" t="n"/>
      <c r="I763" s="65" t="n"/>
      <c r="J763" s="65" t="n"/>
      <c r="K763" s="65" t="n"/>
      <c r="L763" s="65" t="n"/>
      <c r="M763" s="65" t="n"/>
      <c r="N763" s="65" t="n"/>
      <c r="O763" s="65" t="n"/>
      <c r="P763" s="65" t="n"/>
      <c r="Q763" s="65" t="n"/>
      <c r="R763" s="65" t="n"/>
      <c r="S763" s="65" t="n"/>
      <c r="T763" s="65" t="n"/>
      <c r="U763" s="65" t="n"/>
      <c r="V763" s="65" t="n"/>
      <c r="W763" s="65" t="n"/>
      <c r="X763" s="65" t="n"/>
      <c r="Y763" s="32">
        <f>IF($C763="","",IF(COUNTA($I763:$K763)&lt;3,"— חסרים נתונים",IF(AND($I763="תקין",$J763="תקין",$K763="תקין"),"רהוטה",IF(AND($I763="תקין",$J763="תקין"),"מדויקת ורציפה","אינה מדויקת או מקוטעת"))))</f>
        <v/>
      </c>
      <c r="Z763" s="32">
        <f>IF($C763="","",IF(COUNTA($U763:$W763)&lt;3,"",IF(AND($U763="מפותח",$V763="מפותח",$W763="מפותחת"),"מפותחת",IF((--($U763="דל"))+(--($V763="אינו מפותח"))+(--($W763="דלה"))&gt;=2,"אינה מפותחת","חלקית"))))</f>
        <v/>
      </c>
      <c r="AA763" s="32">
        <f>IF($C763="","",IF(COUNTA($M763,$N763,$O763)&lt;3,"— חסרים נתונים",IF(OR($M763="נמוכה",(--($M763&lt;&gt;"תקינה"))+(--($N763&lt;&gt;"תקין"))+(--($O763&lt;&gt;"תקינה"))&gt;=2),"ניכרת","אינה ניכרת")))</f>
        <v/>
      </c>
      <c r="AB763" s="32">
        <f>IF(OR($C763="",$Y763="",$AA763="",LEFT($Y763,1)="—",LEFT($AA763,1)="—"),"",IF($Z763="","— נדרשת הערכת כתיבה",IF($L763="","— חסרה הבנת הנקרא",IF($Y763="אינה מדויקת או מקוטעת",IF($AA763="ניכרת","מיקוד בשטף הקריאה ובכישורי שפה","מיקוד בשטף קריאה"),IF($AA763="ניכרת","מיקוד בכישורי שפה",IF(AND($L763="תקינה",$Z763="מפותחת"),"קוראים וכותבים מיומנים","מיקוד בהבנה והבעה"))))))</f>
        <v/>
      </c>
      <c r="AC763" s="32">
        <f>IF(OR($AB763="",LEFT($AB763,1)="—"),"",IF(OR($AB763="מיקוד בשטף קריאה",$AB763="מיקוד בשטף הקריאה ובכישורי שפה"),"רמה א'",IF($AB763="קוראים וכותבים מיומנים","רמה ג'","רמה ב'")))</f>
        <v/>
      </c>
      <c r="AD763" s="32">
        <f>IF($AC763="","",MID(IF(AND($AC763="רמה א'",$AA763="ניכרת"),"; להוסיף עבודת אוצר מילים","")&amp;IF($Z763="אינה מפותחת","; דגש על הבעה בכתב","")&amp;IF($K763&lt;&gt;"תקין","; נדרש לעבוד על ההנגנה","")&amp;IF($AK763&lt;&gt;"","; "&amp;$AK763,""),3,400))</f>
        <v/>
      </c>
      <c r="AE763" s="32">
        <f>IF($F763="","",IF($F763="תחילת שנה",1,IF($F763="מחצית שנה",2,3)))</f>
        <v/>
      </c>
      <c r="AF763" s="32">
        <f>IF(OR($B763="",$AC763="",$A763="",$F763=""),"",$B763&amp;"|"&amp;$A763&amp;"|"&amp;$F763&amp;"|"&amp;$AC763&amp;"|"&amp;COUNTIFS($B$6:$B763,$B763,$A$6:$A763,$A763,$F$6:$F763,$F763,$AC$6:$AC763,$AC763))</f>
        <v/>
      </c>
      <c r="AG763" s="32">
        <f>IF($C763="","",$C763&amp;"|"&amp;COUNTIFS($C$6:$C763,$C763))</f>
        <v/>
      </c>
      <c r="AH763" s="32">
        <f>IF(OR($C763="",$A763="",$AE763=""),"",$C763&amp;"|"&amp;$A763&amp;"|"&amp;$AE763)</f>
        <v/>
      </c>
      <c r="AI763" s="32">
        <f>IF(OR($C763="",$AE763="",$AE763=1),"",IFERROR(INDEX($AC$6:$AC$1505,MATCH($C763&amp;"|"&amp;$A763&amp;"|"&amp;($AE763-1),$AH$6:$AH$1505,0)),""))</f>
        <v/>
      </c>
      <c r="AJ763" s="32">
        <f>IF(OR($AI763="",$AC763=""),"",IF($AI763=$AC763,"ללא שינוי","מ-"&amp;$AI763&amp;" ל-"&amp;$AC763))</f>
        <v/>
      </c>
      <c r="AK763" s="67" t="n"/>
    </row>
    <row r="764" ht="15.75" customHeight="1" s="58">
      <c r="A764" s="65" t="n"/>
      <c r="B764" s="65" t="n"/>
      <c r="C764" s="66" t="n"/>
      <c r="D764" s="66" t="n"/>
      <c r="E764" s="65" t="n"/>
      <c r="F764" s="65" t="n"/>
      <c r="G764" s="65" t="n"/>
      <c r="H764" s="65" t="n"/>
      <c r="I764" s="65" t="n"/>
      <c r="J764" s="65" t="n"/>
      <c r="K764" s="65" t="n"/>
      <c r="L764" s="65" t="n"/>
      <c r="M764" s="65" t="n"/>
      <c r="N764" s="65" t="n"/>
      <c r="O764" s="65" t="n"/>
      <c r="P764" s="65" t="n"/>
      <c r="Q764" s="65" t="n"/>
      <c r="R764" s="65" t="n"/>
      <c r="S764" s="65" t="n"/>
      <c r="T764" s="65" t="n"/>
      <c r="U764" s="65" t="n"/>
      <c r="V764" s="65" t="n"/>
      <c r="W764" s="65" t="n"/>
      <c r="X764" s="65" t="n"/>
      <c r="Y764" s="32">
        <f>IF($C764="","",IF(COUNTA($I764:$K764)&lt;3,"— חסרים נתונים",IF(AND($I764="תקין",$J764="תקין",$K764="תקין"),"רהוטה",IF(AND($I764="תקין",$J764="תקין"),"מדויקת ורציפה","אינה מדויקת או מקוטעת"))))</f>
        <v/>
      </c>
      <c r="Z764" s="32">
        <f>IF($C764="","",IF(COUNTA($U764:$W764)&lt;3,"",IF(AND($U764="מפותח",$V764="מפותח",$W764="מפותחת"),"מפותחת",IF((--($U764="דל"))+(--($V764="אינו מפותח"))+(--($W764="דלה"))&gt;=2,"אינה מפותחת","חלקית"))))</f>
        <v/>
      </c>
      <c r="AA764" s="32">
        <f>IF($C764="","",IF(COUNTA($M764,$N764,$O764)&lt;3,"— חסרים נתונים",IF(OR($M764="נמוכה",(--($M764&lt;&gt;"תקינה"))+(--($N764&lt;&gt;"תקין"))+(--($O764&lt;&gt;"תקינה"))&gt;=2),"ניכרת","אינה ניכרת")))</f>
        <v/>
      </c>
      <c r="AB764" s="32">
        <f>IF(OR($C764="",$Y764="",$AA764="",LEFT($Y764,1)="—",LEFT($AA764,1)="—"),"",IF($Z764="","— נדרשת הערכת כתיבה",IF($L764="","— חסרה הבנת הנקרא",IF($Y764="אינה מדויקת או מקוטעת",IF($AA764="ניכרת","מיקוד בשטף הקריאה ובכישורי שפה","מיקוד בשטף קריאה"),IF($AA764="ניכרת","מיקוד בכישורי שפה",IF(AND($L764="תקינה",$Z764="מפותחת"),"קוראים וכותבים מיומנים","מיקוד בהבנה והבעה"))))))</f>
        <v/>
      </c>
      <c r="AC764" s="32">
        <f>IF(OR($AB764="",LEFT($AB764,1)="—"),"",IF(OR($AB764="מיקוד בשטף קריאה",$AB764="מיקוד בשטף הקריאה ובכישורי שפה"),"רמה א'",IF($AB764="קוראים וכותבים מיומנים","רמה ג'","רמה ב'")))</f>
        <v/>
      </c>
      <c r="AD764" s="32">
        <f>IF($AC764="","",MID(IF(AND($AC764="רמה א'",$AA764="ניכרת"),"; להוסיף עבודת אוצר מילים","")&amp;IF($Z764="אינה מפותחת","; דגש על הבעה בכתב","")&amp;IF($K764&lt;&gt;"תקין","; נדרש לעבוד על ההנגנה","")&amp;IF($AK764&lt;&gt;"","; "&amp;$AK764,""),3,400))</f>
        <v/>
      </c>
      <c r="AE764" s="32">
        <f>IF($F764="","",IF($F764="תחילת שנה",1,IF($F764="מחצית שנה",2,3)))</f>
        <v/>
      </c>
      <c r="AF764" s="32">
        <f>IF(OR($B764="",$AC764="",$A764="",$F764=""),"",$B764&amp;"|"&amp;$A764&amp;"|"&amp;$F764&amp;"|"&amp;$AC764&amp;"|"&amp;COUNTIFS($B$6:$B764,$B764,$A$6:$A764,$A764,$F$6:$F764,$F764,$AC$6:$AC764,$AC764))</f>
        <v/>
      </c>
      <c r="AG764" s="32">
        <f>IF($C764="","",$C764&amp;"|"&amp;COUNTIFS($C$6:$C764,$C764))</f>
        <v/>
      </c>
      <c r="AH764" s="32">
        <f>IF(OR($C764="",$A764="",$AE764=""),"",$C764&amp;"|"&amp;$A764&amp;"|"&amp;$AE764)</f>
        <v/>
      </c>
      <c r="AI764" s="32">
        <f>IF(OR($C764="",$AE764="",$AE764=1),"",IFERROR(INDEX($AC$6:$AC$1505,MATCH($C764&amp;"|"&amp;$A764&amp;"|"&amp;($AE764-1),$AH$6:$AH$1505,0)),""))</f>
        <v/>
      </c>
      <c r="AJ764" s="32">
        <f>IF(OR($AI764="",$AC764=""),"",IF($AI764=$AC764,"ללא שינוי","מ-"&amp;$AI764&amp;" ל-"&amp;$AC764))</f>
        <v/>
      </c>
      <c r="AK764" s="67" t="n"/>
    </row>
    <row r="765" ht="15.75" customHeight="1" s="58">
      <c r="A765" s="65" t="n"/>
      <c r="B765" s="65" t="n"/>
      <c r="C765" s="66" t="n"/>
      <c r="D765" s="66" t="n"/>
      <c r="E765" s="65" t="n"/>
      <c r="F765" s="65" t="n"/>
      <c r="G765" s="65" t="n"/>
      <c r="H765" s="65" t="n"/>
      <c r="I765" s="65" t="n"/>
      <c r="J765" s="65" t="n"/>
      <c r="K765" s="65" t="n"/>
      <c r="L765" s="65" t="n"/>
      <c r="M765" s="65" t="n"/>
      <c r="N765" s="65" t="n"/>
      <c r="O765" s="65" t="n"/>
      <c r="P765" s="65" t="n"/>
      <c r="Q765" s="65" t="n"/>
      <c r="R765" s="65" t="n"/>
      <c r="S765" s="65" t="n"/>
      <c r="T765" s="65" t="n"/>
      <c r="U765" s="65" t="n"/>
      <c r="V765" s="65" t="n"/>
      <c r="W765" s="65" t="n"/>
      <c r="X765" s="65" t="n"/>
      <c r="Y765" s="32">
        <f>IF($C765="","",IF(COUNTA($I765:$K765)&lt;3,"— חסרים נתונים",IF(AND($I765="תקין",$J765="תקין",$K765="תקין"),"רהוטה",IF(AND($I765="תקין",$J765="תקין"),"מדויקת ורציפה","אינה מדויקת או מקוטעת"))))</f>
        <v/>
      </c>
      <c r="Z765" s="32">
        <f>IF($C765="","",IF(COUNTA($U765:$W765)&lt;3,"",IF(AND($U765="מפותח",$V765="מפותח",$W765="מפותחת"),"מפותחת",IF((--($U765="דל"))+(--($V765="אינו מפותח"))+(--($W765="דלה"))&gt;=2,"אינה מפותחת","חלקית"))))</f>
        <v/>
      </c>
      <c r="AA765" s="32">
        <f>IF($C765="","",IF(COUNTA($M765,$N765,$O765)&lt;3,"— חסרים נתונים",IF(OR($M765="נמוכה",(--($M765&lt;&gt;"תקינה"))+(--($N765&lt;&gt;"תקין"))+(--($O765&lt;&gt;"תקינה"))&gt;=2),"ניכרת","אינה ניכרת")))</f>
        <v/>
      </c>
      <c r="AB765" s="32">
        <f>IF(OR($C765="",$Y765="",$AA765="",LEFT($Y765,1)="—",LEFT($AA765,1)="—"),"",IF($Z765="","— נדרשת הערכת כתיבה",IF($L765="","— חסרה הבנת הנקרא",IF($Y765="אינה מדויקת או מקוטעת",IF($AA765="ניכרת","מיקוד בשטף הקריאה ובכישורי שפה","מיקוד בשטף קריאה"),IF($AA765="ניכרת","מיקוד בכישורי שפה",IF(AND($L765="תקינה",$Z765="מפותחת"),"קוראים וכותבים מיומנים","מיקוד בהבנה והבעה"))))))</f>
        <v/>
      </c>
      <c r="AC765" s="32">
        <f>IF(OR($AB765="",LEFT($AB765,1)="—"),"",IF(OR($AB765="מיקוד בשטף קריאה",$AB765="מיקוד בשטף הקריאה ובכישורי שפה"),"רמה א'",IF($AB765="קוראים וכותבים מיומנים","רמה ג'","רמה ב'")))</f>
        <v/>
      </c>
      <c r="AD765" s="32">
        <f>IF($AC765="","",MID(IF(AND($AC765="רמה א'",$AA765="ניכרת"),"; להוסיף עבודת אוצר מילים","")&amp;IF($Z765="אינה מפותחת","; דגש על הבעה בכתב","")&amp;IF($K765&lt;&gt;"תקין","; נדרש לעבוד על ההנגנה","")&amp;IF($AK765&lt;&gt;"","; "&amp;$AK765,""),3,400))</f>
        <v/>
      </c>
      <c r="AE765" s="32">
        <f>IF($F765="","",IF($F765="תחילת שנה",1,IF($F765="מחצית שנה",2,3)))</f>
        <v/>
      </c>
      <c r="AF765" s="32">
        <f>IF(OR($B765="",$AC765="",$A765="",$F765=""),"",$B765&amp;"|"&amp;$A765&amp;"|"&amp;$F765&amp;"|"&amp;$AC765&amp;"|"&amp;COUNTIFS($B$6:$B765,$B765,$A$6:$A765,$A765,$F$6:$F765,$F765,$AC$6:$AC765,$AC765))</f>
        <v/>
      </c>
      <c r="AG765" s="32">
        <f>IF($C765="","",$C765&amp;"|"&amp;COUNTIFS($C$6:$C765,$C765))</f>
        <v/>
      </c>
      <c r="AH765" s="32">
        <f>IF(OR($C765="",$A765="",$AE765=""),"",$C765&amp;"|"&amp;$A765&amp;"|"&amp;$AE765)</f>
        <v/>
      </c>
      <c r="AI765" s="32">
        <f>IF(OR($C765="",$AE765="",$AE765=1),"",IFERROR(INDEX($AC$6:$AC$1505,MATCH($C765&amp;"|"&amp;$A765&amp;"|"&amp;($AE765-1),$AH$6:$AH$1505,0)),""))</f>
        <v/>
      </c>
      <c r="AJ765" s="32">
        <f>IF(OR($AI765="",$AC765=""),"",IF($AI765=$AC765,"ללא שינוי","מ-"&amp;$AI765&amp;" ל-"&amp;$AC765))</f>
        <v/>
      </c>
      <c r="AK765" s="67" t="n"/>
    </row>
    <row r="766" ht="15.75" customHeight="1" s="58">
      <c r="A766" s="65" t="n"/>
      <c r="B766" s="65" t="n"/>
      <c r="C766" s="66" t="n"/>
      <c r="D766" s="66" t="n"/>
      <c r="E766" s="65" t="n"/>
      <c r="F766" s="65" t="n"/>
      <c r="G766" s="65" t="n"/>
      <c r="H766" s="65" t="n"/>
      <c r="I766" s="65" t="n"/>
      <c r="J766" s="65" t="n"/>
      <c r="K766" s="65" t="n"/>
      <c r="L766" s="65" t="n"/>
      <c r="M766" s="65" t="n"/>
      <c r="N766" s="65" t="n"/>
      <c r="O766" s="65" t="n"/>
      <c r="P766" s="65" t="n"/>
      <c r="Q766" s="65" t="n"/>
      <c r="R766" s="65" t="n"/>
      <c r="S766" s="65" t="n"/>
      <c r="T766" s="65" t="n"/>
      <c r="U766" s="65" t="n"/>
      <c r="V766" s="65" t="n"/>
      <c r="W766" s="65" t="n"/>
      <c r="X766" s="65" t="n"/>
      <c r="Y766" s="32">
        <f>IF($C766="","",IF(COUNTA($I766:$K766)&lt;3,"— חסרים נתונים",IF(AND($I766="תקין",$J766="תקין",$K766="תקין"),"רהוטה",IF(AND($I766="תקין",$J766="תקין"),"מדויקת ורציפה","אינה מדויקת או מקוטעת"))))</f>
        <v/>
      </c>
      <c r="Z766" s="32">
        <f>IF($C766="","",IF(COUNTA($U766:$W766)&lt;3,"",IF(AND($U766="מפותח",$V766="מפותח",$W766="מפותחת"),"מפותחת",IF((--($U766="דל"))+(--($V766="אינו מפותח"))+(--($W766="דלה"))&gt;=2,"אינה מפותחת","חלקית"))))</f>
        <v/>
      </c>
      <c r="AA766" s="32">
        <f>IF($C766="","",IF(COUNTA($M766,$N766,$O766)&lt;3,"— חסרים נתונים",IF(OR($M766="נמוכה",(--($M766&lt;&gt;"תקינה"))+(--($N766&lt;&gt;"תקין"))+(--($O766&lt;&gt;"תקינה"))&gt;=2),"ניכרת","אינה ניכרת")))</f>
        <v/>
      </c>
      <c r="AB766" s="32">
        <f>IF(OR($C766="",$Y766="",$AA766="",LEFT($Y766,1)="—",LEFT($AA766,1)="—"),"",IF($Z766="","— נדרשת הערכת כתיבה",IF($L766="","— חסרה הבנת הנקרא",IF($Y766="אינה מדויקת או מקוטעת",IF($AA766="ניכרת","מיקוד בשטף הקריאה ובכישורי שפה","מיקוד בשטף קריאה"),IF($AA766="ניכרת","מיקוד בכישורי שפה",IF(AND($L766="תקינה",$Z766="מפותחת"),"קוראים וכותבים מיומנים","מיקוד בהבנה והבעה"))))))</f>
        <v/>
      </c>
      <c r="AC766" s="32">
        <f>IF(OR($AB766="",LEFT($AB766,1)="—"),"",IF(OR($AB766="מיקוד בשטף קריאה",$AB766="מיקוד בשטף הקריאה ובכישורי שפה"),"רמה א'",IF($AB766="קוראים וכותבים מיומנים","רמה ג'","רמה ב'")))</f>
        <v/>
      </c>
      <c r="AD766" s="32">
        <f>IF($AC766="","",MID(IF(AND($AC766="רמה א'",$AA766="ניכרת"),"; להוסיף עבודת אוצר מילים","")&amp;IF($Z766="אינה מפותחת","; דגש על הבעה בכתב","")&amp;IF($K766&lt;&gt;"תקין","; נדרש לעבוד על ההנגנה","")&amp;IF($AK766&lt;&gt;"","; "&amp;$AK766,""),3,400))</f>
        <v/>
      </c>
      <c r="AE766" s="32">
        <f>IF($F766="","",IF($F766="תחילת שנה",1,IF($F766="מחצית שנה",2,3)))</f>
        <v/>
      </c>
      <c r="AF766" s="32">
        <f>IF(OR($B766="",$AC766="",$A766="",$F766=""),"",$B766&amp;"|"&amp;$A766&amp;"|"&amp;$F766&amp;"|"&amp;$AC766&amp;"|"&amp;COUNTIFS($B$6:$B766,$B766,$A$6:$A766,$A766,$F$6:$F766,$F766,$AC$6:$AC766,$AC766))</f>
        <v/>
      </c>
      <c r="AG766" s="32">
        <f>IF($C766="","",$C766&amp;"|"&amp;COUNTIFS($C$6:$C766,$C766))</f>
        <v/>
      </c>
      <c r="AH766" s="32">
        <f>IF(OR($C766="",$A766="",$AE766=""),"",$C766&amp;"|"&amp;$A766&amp;"|"&amp;$AE766)</f>
        <v/>
      </c>
      <c r="AI766" s="32">
        <f>IF(OR($C766="",$AE766="",$AE766=1),"",IFERROR(INDEX($AC$6:$AC$1505,MATCH($C766&amp;"|"&amp;$A766&amp;"|"&amp;($AE766-1),$AH$6:$AH$1505,0)),""))</f>
        <v/>
      </c>
      <c r="AJ766" s="32">
        <f>IF(OR($AI766="",$AC766=""),"",IF($AI766=$AC766,"ללא שינוי","מ-"&amp;$AI766&amp;" ל-"&amp;$AC766))</f>
        <v/>
      </c>
      <c r="AK766" s="67" t="n"/>
    </row>
    <row r="767" ht="15.75" customHeight="1" s="58">
      <c r="A767" s="65" t="n"/>
      <c r="B767" s="65" t="n"/>
      <c r="C767" s="66" t="n"/>
      <c r="D767" s="66" t="n"/>
      <c r="E767" s="65" t="n"/>
      <c r="F767" s="65" t="n"/>
      <c r="G767" s="65" t="n"/>
      <c r="H767" s="65" t="n"/>
      <c r="I767" s="65" t="n"/>
      <c r="J767" s="65" t="n"/>
      <c r="K767" s="65" t="n"/>
      <c r="L767" s="65" t="n"/>
      <c r="M767" s="65" t="n"/>
      <c r="N767" s="65" t="n"/>
      <c r="O767" s="65" t="n"/>
      <c r="P767" s="65" t="n"/>
      <c r="Q767" s="65" t="n"/>
      <c r="R767" s="65" t="n"/>
      <c r="S767" s="65" t="n"/>
      <c r="T767" s="65" t="n"/>
      <c r="U767" s="65" t="n"/>
      <c r="V767" s="65" t="n"/>
      <c r="W767" s="65" t="n"/>
      <c r="X767" s="65" t="n"/>
      <c r="Y767" s="32">
        <f>IF($C767="","",IF(COUNTA($I767:$K767)&lt;3,"— חסרים נתונים",IF(AND($I767="תקין",$J767="תקין",$K767="תקין"),"רהוטה",IF(AND($I767="תקין",$J767="תקין"),"מדויקת ורציפה","אינה מדויקת או מקוטעת"))))</f>
        <v/>
      </c>
      <c r="Z767" s="32">
        <f>IF($C767="","",IF(COUNTA($U767:$W767)&lt;3,"",IF(AND($U767="מפותח",$V767="מפותח",$W767="מפותחת"),"מפותחת",IF((--($U767="דל"))+(--($V767="אינו מפותח"))+(--($W767="דלה"))&gt;=2,"אינה מפותחת","חלקית"))))</f>
        <v/>
      </c>
      <c r="AA767" s="32">
        <f>IF($C767="","",IF(COUNTA($M767,$N767,$O767)&lt;3,"— חסרים נתונים",IF(OR($M767="נמוכה",(--($M767&lt;&gt;"תקינה"))+(--($N767&lt;&gt;"תקין"))+(--($O767&lt;&gt;"תקינה"))&gt;=2),"ניכרת","אינה ניכרת")))</f>
        <v/>
      </c>
      <c r="AB767" s="32">
        <f>IF(OR($C767="",$Y767="",$AA767="",LEFT($Y767,1)="—",LEFT($AA767,1)="—"),"",IF($Z767="","— נדרשת הערכת כתיבה",IF($L767="","— חסרה הבנת הנקרא",IF($Y767="אינה מדויקת או מקוטעת",IF($AA767="ניכרת","מיקוד בשטף הקריאה ובכישורי שפה","מיקוד בשטף קריאה"),IF($AA767="ניכרת","מיקוד בכישורי שפה",IF(AND($L767="תקינה",$Z767="מפותחת"),"קוראים וכותבים מיומנים","מיקוד בהבנה והבעה"))))))</f>
        <v/>
      </c>
      <c r="AC767" s="32">
        <f>IF(OR($AB767="",LEFT($AB767,1)="—"),"",IF(OR($AB767="מיקוד בשטף קריאה",$AB767="מיקוד בשטף הקריאה ובכישורי שפה"),"רמה א'",IF($AB767="קוראים וכותבים מיומנים","רמה ג'","רמה ב'")))</f>
        <v/>
      </c>
      <c r="AD767" s="32">
        <f>IF($AC767="","",MID(IF(AND($AC767="רמה א'",$AA767="ניכרת"),"; להוסיף עבודת אוצר מילים","")&amp;IF($Z767="אינה מפותחת","; דגש על הבעה בכתב","")&amp;IF($K767&lt;&gt;"תקין","; נדרש לעבוד על ההנגנה","")&amp;IF($AK767&lt;&gt;"","; "&amp;$AK767,""),3,400))</f>
        <v/>
      </c>
      <c r="AE767" s="32">
        <f>IF($F767="","",IF($F767="תחילת שנה",1,IF($F767="מחצית שנה",2,3)))</f>
        <v/>
      </c>
      <c r="AF767" s="32">
        <f>IF(OR($B767="",$AC767="",$A767="",$F767=""),"",$B767&amp;"|"&amp;$A767&amp;"|"&amp;$F767&amp;"|"&amp;$AC767&amp;"|"&amp;COUNTIFS($B$6:$B767,$B767,$A$6:$A767,$A767,$F$6:$F767,$F767,$AC$6:$AC767,$AC767))</f>
        <v/>
      </c>
      <c r="AG767" s="32">
        <f>IF($C767="","",$C767&amp;"|"&amp;COUNTIFS($C$6:$C767,$C767))</f>
        <v/>
      </c>
      <c r="AH767" s="32">
        <f>IF(OR($C767="",$A767="",$AE767=""),"",$C767&amp;"|"&amp;$A767&amp;"|"&amp;$AE767)</f>
        <v/>
      </c>
      <c r="AI767" s="32">
        <f>IF(OR($C767="",$AE767="",$AE767=1),"",IFERROR(INDEX($AC$6:$AC$1505,MATCH($C767&amp;"|"&amp;$A767&amp;"|"&amp;($AE767-1),$AH$6:$AH$1505,0)),""))</f>
        <v/>
      </c>
      <c r="AJ767" s="32">
        <f>IF(OR($AI767="",$AC767=""),"",IF($AI767=$AC767,"ללא שינוי","מ-"&amp;$AI767&amp;" ל-"&amp;$AC767))</f>
        <v/>
      </c>
      <c r="AK767" s="67" t="n"/>
    </row>
    <row r="768" ht="15.75" customHeight="1" s="58">
      <c r="A768" s="65" t="n"/>
      <c r="B768" s="65" t="n"/>
      <c r="C768" s="66" t="n"/>
      <c r="D768" s="66" t="n"/>
      <c r="E768" s="65" t="n"/>
      <c r="F768" s="65" t="n"/>
      <c r="G768" s="65" t="n"/>
      <c r="H768" s="65" t="n"/>
      <c r="I768" s="65" t="n"/>
      <c r="J768" s="65" t="n"/>
      <c r="K768" s="65" t="n"/>
      <c r="L768" s="65" t="n"/>
      <c r="M768" s="65" t="n"/>
      <c r="N768" s="65" t="n"/>
      <c r="O768" s="65" t="n"/>
      <c r="P768" s="65" t="n"/>
      <c r="Q768" s="65" t="n"/>
      <c r="R768" s="65" t="n"/>
      <c r="S768" s="65" t="n"/>
      <c r="T768" s="65" t="n"/>
      <c r="U768" s="65" t="n"/>
      <c r="V768" s="65" t="n"/>
      <c r="W768" s="65" t="n"/>
      <c r="X768" s="65" t="n"/>
      <c r="Y768" s="32">
        <f>IF($C768="","",IF(COUNTA($I768:$K768)&lt;3,"— חסרים נתונים",IF(AND($I768="תקין",$J768="תקין",$K768="תקין"),"רהוטה",IF(AND($I768="תקין",$J768="תקין"),"מדויקת ורציפה","אינה מדויקת או מקוטעת"))))</f>
        <v/>
      </c>
      <c r="Z768" s="32">
        <f>IF($C768="","",IF(COUNTA($U768:$W768)&lt;3,"",IF(AND($U768="מפותח",$V768="מפותח",$W768="מפותחת"),"מפותחת",IF((--($U768="דל"))+(--($V768="אינו מפותח"))+(--($W768="דלה"))&gt;=2,"אינה מפותחת","חלקית"))))</f>
        <v/>
      </c>
      <c r="AA768" s="32">
        <f>IF($C768="","",IF(COUNTA($M768,$N768,$O768)&lt;3,"— חסרים נתונים",IF(OR($M768="נמוכה",(--($M768&lt;&gt;"תקינה"))+(--($N768&lt;&gt;"תקין"))+(--($O768&lt;&gt;"תקינה"))&gt;=2),"ניכרת","אינה ניכרת")))</f>
        <v/>
      </c>
      <c r="AB768" s="32">
        <f>IF(OR($C768="",$Y768="",$AA768="",LEFT($Y768,1)="—",LEFT($AA768,1)="—"),"",IF($Z768="","— נדרשת הערכת כתיבה",IF($L768="","— חסרה הבנת הנקרא",IF($Y768="אינה מדויקת או מקוטעת",IF($AA768="ניכרת","מיקוד בשטף הקריאה ובכישורי שפה","מיקוד בשטף קריאה"),IF($AA768="ניכרת","מיקוד בכישורי שפה",IF(AND($L768="תקינה",$Z768="מפותחת"),"קוראים וכותבים מיומנים","מיקוד בהבנה והבעה"))))))</f>
        <v/>
      </c>
      <c r="AC768" s="32">
        <f>IF(OR($AB768="",LEFT($AB768,1)="—"),"",IF(OR($AB768="מיקוד בשטף קריאה",$AB768="מיקוד בשטף הקריאה ובכישורי שפה"),"רמה א'",IF($AB768="קוראים וכותבים מיומנים","רמה ג'","רמה ב'")))</f>
        <v/>
      </c>
      <c r="AD768" s="32">
        <f>IF($AC768="","",MID(IF(AND($AC768="רמה א'",$AA768="ניכרת"),"; להוסיף עבודת אוצר מילים","")&amp;IF($Z768="אינה מפותחת","; דגש על הבעה בכתב","")&amp;IF($K768&lt;&gt;"תקין","; נדרש לעבוד על ההנגנה","")&amp;IF($AK768&lt;&gt;"","; "&amp;$AK768,""),3,400))</f>
        <v/>
      </c>
      <c r="AE768" s="32">
        <f>IF($F768="","",IF($F768="תחילת שנה",1,IF($F768="מחצית שנה",2,3)))</f>
        <v/>
      </c>
      <c r="AF768" s="32">
        <f>IF(OR($B768="",$AC768="",$A768="",$F768=""),"",$B768&amp;"|"&amp;$A768&amp;"|"&amp;$F768&amp;"|"&amp;$AC768&amp;"|"&amp;COUNTIFS($B$6:$B768,$B768,$A$6:$A768,$A768,$F$6:$F768,$F768,$AC$6:$AC768,$AC768))</f>
        <v/>
      </c>
      <c r="AG768" s="32">
        <f>IF($C768="","",$C768&amp;"|"&amp;COUNTIFS($C$6:$C768,$C768))</f>
        <v/>
      </c>
      <c r="AH768" s="32">
        <f>IF(OR($C768="",$A768="",$AE768=""),"",$C768&amp;"|"&amp;$A768&amp;"|"&amp;$AE768)</f>
        <v/>
      </c>
      <c r="AI768" s="32">
        <f>IF(OR($C768="",$AE768="",$AE768=1),"",IFERROR(INDEX($AC$6:$AC$1505,MATCH($C768&amp;"|"&amp;$A768&amp;"|"&amp;($AE768-1),$AH$6:$AH$1505,0)),""))</f>
        <v/>
      </c>
      <c r="AJ768" s="32">
        <f>IF(OR($AI768="",$AC768=""),"",IF($AI768=$AC768,"ללא שינוי","מ-"&amp;$AI768&amp;" ל-"&amp;$AC768))</f>
        <v/>
      </c>
      <c r="AK768" s="67" t="n"/>
    </row>
    <row r="769" ht="15.75" customHeight="1" s="58">
      <c r="A769" s="65" t="n"/>
      <c r="B769" s="65" t="n"/>
      <c r="C769" s="66" t="n"/>
      <c r="D769" s="66" t="n"/>
      <c r="E769" s="65" t="n"/>
      <c r="F769" s="65" t="n"/>
      <c r="G769" s="65" t="n"/>
      <c r="H769" s="65" t="n"/>
      <c r="I769" s="65" t="n"/>
      <c r="J769" s="65" t="n"/>
      <c r="K769" s="65" t="n"/>
      <c r="L769" s="65" t="n"/>
      <c r="M769" s="65" t="n"/>
      <c r="N769" s="65" t="n"/>
      <c r="O769" s="65" t="n"/>
      <c r="P769" s="65" t="n"/>
      <c r="Q769" s="65" t="n"/>
      <c r="R769" s="65" t="n"/>
      <c r="S769" s="65" t="n"/>
      <c r="T769" s="65" t="n"/>
      <c r="U769" s="65" t="n"/>
      <c r="V769" s="65" t="n"/>
      <c r="W769" s="65" t="n"/>
      <c r="X769" s="65" t="n"/>
      <c r="Y769" s="32">
        <f>IF($C769="","",IF(COUNTA($I769:$K769)&lt;3,"— חסרים נתונים",IF(AND($I769="תקין",$J769="תקין",$K769="תקין"),"רהוטה",IF(AND($I769="תקין",$J769="תקין"),"מדויקת ורציפה","אינה מדויקת או מקוטעת"))))</f>
        <v/>
      </c>
      <c r="Z769" s="32">
        <f>IF($C769="","",IF(COUNTA($U769:$W769)&lt;3,"",IF(AND($U769="מפותח",$V769="מפותח",$W769="מפותחת"),"מפותחת",IF((--($U769="דל"))+(--($V769="אינו מפותח"))+(--($W769="דלה"))&gt;=2,"אינה מפותחת","חלקית"))))</f>
        <v/>
      </c>
      <c r="AA769" s="32">
        <f>IF($C769="","",IF(COUNTA($M769,$N769,$O769)&lt;3,"— חסרים נתונים",IF(OR($M769="נמוכה",(--($M769&lt;&gt;"תקינה"))+(--($N769&lt;&gt;"תקין"))+(--($O769&lt;&gt;"תקינה"))&gt;=2),"ניכרת","אינה ניכרת")))</f>
        <v/>
      </c>
      <c r="AB769" s="32">
        <f>IF(OR($C769="",$Y769="",$AA769="",LEFT($Y769,1)="—",LEFT($AA769,1)="—"),"",IF($Z769="","— נדרשת הערכת כתיבה",IF($L769="","— חסרה הבנת הנקרא",IF($Y769="אינה מדויקת או מקוטעת",IF($AA769="ניכרת","מיקוד בשטף הקריאה ובכישורי שפה","מיקוד בשטף קריאה"),IF($AA769="ניכרת","מיקוד בכישורי שפה",IF(AND($L769="תקינה",$Z769="מפותחת"),"קוראים וכותבים מיומנים","מיקוד בהבנה והבעה"))))))</f>
        <v/>
      </c>
      <c r="AC769" s="32">
        <f>IF(OR($AB769="",LEFT($AB769,1)="—"),"",IF(OR($AB769="מיקוד בשטף קריאה",$AB769="מיקוד בשטף הקריאה ובכישורי שפה"),"רמה א'",IF($AB769="קוראים וכותבים מיומנים","רמה ג'","רמה ב'")))</f>
        <v/>
      </c>
      <c r="AD769" s="32">
        <f>IF($AC769="","",MID(IF(AND($AC769="רמה א'",$AA769="ניכרת"),"; להוסיף עבודת אוצר מילים","")&amp;IF($Z769="אינה מפותחת","; דגש על הבעה בכתב","")&amp;IF($K769&lt;&gt;"תקין","; נדרש לעבוד על ההנגנה","")&amp;IF($AK769&lt;&gt;"","; "&amp;$AK769,""),3,400))</f>
        <v/>
      </c>
      <c r="AE769" s="32">
        <f>IF($F769="","",IF($F769="תחילת שנה",1,IF($F769="מחצית שנה",2,3)))</f>
        <v/>
      </c>
      <c r="AF769" s="32">
        <f>IF(OR($B769="",$AC769="",$A769="",$F769=""),"",$B769&amp;"|"&amp;$A769&amp;"|"&amp;$F769&amp;"|"&amp;$AC769&amp;"|"&amp;COUNTIFS($B$6:$B769,$B769,$A$6:$A769,$A769,$F$6:$F769,$F769,$AC$6:$AC769,$AC769))</f>
        <v/>
      </c>
      <c r="AG769" s="32">
        <f>IF($C769="","",$C769&amp;"|"&amp;COUNTIFS($C$6:$C769,$C769))</f>
        <v/>
      </c>
      <c r="AH769" s="32">
        <f>IF(OR($C769="",$A769="",$AE769=""),"",$C769&amp;"|"&amp;$A769&amp;"|"&amp;$AE769)</f>
        <v/>
      </c>
      <c r="AI769" s="32">
        <f>IF(OR($C769="",$AE769="",$AE769=1),"",IFERROR(INDEX($AC$6:$AC$1505,MATCH($C769&amp;"|"&amp;$A769&amp;"|"&amp;($AE769-1),$AH$6:$AH$1505,0)),""))</f>
        <v/>
      </c>
      <c r="AJ769" s="32">
        <f>IF(OR($AI769="",$AC769=""),"",IF($AI769=$AC769,"ללא שינוי","מ-"&amp;$AI769&amp;" ל-"&amp;$AC769))</f>
        <v/>
      </c>
      <c r="AK769" s="67" t="n"/>
    </row>
    <row r="770" ht="15.75" customHeight="1" s="58">
      <c r="A770" s="65" t="n"/>
      <c r="B770" s="65" t="n"/>
      <c r="C770" s="66" t="n"/>
      <c r="D770" s="66" t="n"/>
      <c r="E770" s="65" t="n"/>
      <c r="F770" s="65" t="n"/>
      <c r="G770" s="65" t="n"/>
      <c r="H770" s="65" t="n"/>
      <c r="I770" s="65" t="n"/>
      <c r="J770" s="65" t="n"/>
      <c r="K770" s="65" t="n"/>
      <c r="L770" s="65" t="n"/>
      <c r="M770" s="65" t="n"/>
      <c r="N770" s="65" t="n"/>
      <c r="O770" s="65" t="n"/>
      <c r="P770" s="65" t="n"/>
      <c r="Q770" s="65" t="n"/>
      <c r="R770" s="65" t="n"/>
      <c r="S770" s="65" t="n"/>
      <c r="T770" s="65" t="n"/>
      <c r="U770" s="65" t="n"/>
      <c r="V770" s="65" t="n"/>
      <c r="W770" s="65" t="n"/>
      <c r="X770" s="65" t="n"/>
      <c r="Y770" s="32">
        <f>IF($C770="","",IF(COUNTA($I770:$K770)&lt;3,"— חסרים נתונים",IF(AND($I770="תקין",$J770="תקין",$K770="תקין"),"רהוטה",IF(AND($I770="תקין",$J770="תקין"),"מדויקת ורציפה","אינה מדויקת או מקוטעת"))))</f>
        <v/>
      </c>
      <c r="Z770" s="32">
        <f>IF($C770="","",IF(COUNTA($U770:$W770)&lt;3,"",IF(AND($U770="מפותח",$V770="מפותח",$W770="מפותחת"),"מפותחת",IF((--($U770="דל"))+(--($V770="אינו מפותח"))+(--($W770="דלה"))&gt;=2,"אינה מפותחת","חלקית"))))</f>
        <v/>
      </c>
      <c r="AA770" s="32">
        <f>IF($C770="","",IF(COUNTA($M770,$N770,$O770)&lt;3,"— חסרים נתונים",IF(OR($M770="נמוכה",(--($M770&lt;&gt;"תקינה"))+(--($N770&lt;&gt;"תקין"))+(--($O770&lt;&gt;"תקינה"))&gt;=2),"ניכרת","אינה ניכרת")))</f>
        <v/>
      </c>
      <c r="AB770" s="32">
        <f>IF(OR($C770="",$Y770="",$AA770="",LEFT($Y770,1)="—",LEFT($AA770,1)="—"),"",IF($Z770="","— נדרשת הערכת כתיבה",IF($L770="","— חסרה הבנת הנקרא",IF($Y770="אינה מדויקת או מקוטעת",IF($AA770="ניכרת","מיקוד בשטף הקריאה ובכישורי שפה","מיקוד בשטף קריאה"),IF($AA770="ניכרת","מיקוד בכישורי שפה",IF(AND($L770="תקינה",$Z770="מפותחת"),"קוראים וכותבים מיומנים","מיקוד בהבנה והבעה"))))))</f>
        <v/>
      </c>
      <c r="AC770" s="32">
        <f>IF(OR($AB770="",LEFT($AB770,1)="—"),"",IF(OR($AB770="מיקוד בשטף קריאה",$AB770="מיקוד בשטף הקריאה ובכישורי שפה"),"רמה א'",IF($AB770="קוראים וכותבים מיומנים","רמה ג'","רמה ב'")))</f>
        <v/>
      </c>
      <c r="AD770" s="32">
        <f>IF($AC770="","",MID(IF(AND($AC770="רמה א'",$AA770="ניכרת"),"; להוסיף עבודת אוצר מילים","")&amp;IF($Z770="אינה מפותחת","; דגש על הבעה בכתב","")&amp;IF($K770&lt;&gt;"תקין","; נדרש לעבוד על ההנגנה","")&amp;IF($AK770&lt;&gt;"","; "&amp;$AK770,""),3,400))</f>
        <v/>
      </c>
      <c r="AE770" s="32">
        <f>IF($F770="","",IF($F770="תחילת שנה",1,IF($F770="מחצית שנה",2,3)))</f>
        <v/>
      </c>
      <c r="AF770" s="32">
        <f>IF(OR($B770="",$AC770="",$A770="",$F770=""),"",$B770&amp;"|"&amp;$A770&amp;"|"&amp;$F770&amp;"|"&amp;$AC770&amp;"|"&amp;COUNTIFS($B$6:$B770,$B770,$A$6:$A770,$A770,$F$6:$F770,$F770,$AC$6:$AC770,$AC770))</f>
        <v/>
      </c>
      <c r="AG770" s="32">
        <f>IF($C770="","",$C770&amp;"|"&amp;COUNTIFS($C$6:$C770,$C770))</f>
        <v/>
      </c>
      <c r="AH770" s="32">
        <f>IF(OR($C770="",$A770="",$AE770=""),"",$C770&amp;"|"&amp;$A770&amp;"|"&amp;$AE770)</f>
        <v/>
      </c>
      <c r="AI770" s="32">
        <f>IF(OR($C770="",$AE770="",$AE770=1),"",IFERROR(INDEX($AC$6:$AC$1505,MATCH($C770&amp;"|"&amp;$A770&amp;"|"&amp;($AE770-1),$AH$6:$AH$1505,0)),""))</f>
        <v/>
      </c>
      <c r="AJ770" s="32">
        <f>IF(OR($AI770="",$AC770=""),"",IF($AI770=$AC770,"ללא שינוי","מ-"&amp;$AI770&amp;" ל-"&amp;$AC770))</f>
        <v/>
      </c>
      <c r="AK770" s="67" t="n"/>
    </row>
    <row r="771" ht="15.75" customHeight="1" s="58">
      <c r="A771" s="65" t="n"/>
      <c r="B771" s="65" t="n"/>
      <c r="C771" s="66" t="n"/>
      <c r="D771" s="66" t="n"/>
      <c r="E771" s="65" t="n"/>
      <c r="F771" s="65" t="n"/>
      <c r="G771" s="65" t="n"/>
      <c r="H771" s="65" t="n"/>
      <c r="I771" s="65" t="n"/>
      <c r="J771" s="65" t="n"/>
      <c r="K771" s="65" t="n"/>
      <c r="L771" s="65" t="n"/>
      <c r="M771" s="65" t="n"/>
      <c r="N771" s="65" t="n"/>
      <c r="O771" s="65" t="n"/>
      <c r="P771" s="65" t="n"/>
      <c r="Q771" s="65" t="n"/>
      <c r="R771" s="65" t="n"/>
      <c r="S771" s="65" t="n"/>
      <c r="T771" s="65" t="n"/>
      <c r="U771" s="65" t="n"/>
      <c r="V771" s="65" t="n"/>
      <c r="W771" s="65" t="n"/>
      <c r="X771" s="65" t="n"/>
      <c r="Y771" s="32">
        <f>IF($C771="","",IF(COUNTA($I771:$K771)&lt;3,"— חסרים נתונים",IF(AND($I771="תקין",$J771="תקין",$K771="תקין"),"רהוטה",IF(AND($I771="תקין",$J771="תקין"),"מדויקת ורציפה","אינה מדויקת או מקוטעת"))))</f>
        <v/>
      </c>
      <c r="Z771" s="32">
        <f>IF($C771="","",IF(COUNTA($U771:$W771)&lt;3,"",IF(AND($U771="מפותח",$V771="מפותח",$W771="מפותחת"),"מפותחת",IF((--($U771="דל"))+(--($V771="אינו מפותח"))+(--($W771="דלה"))&gt;=2,"אינה מפותחת","חלקית"))))</f>
        <v/>
      </c>
      <c r="AA771" s="32">
        <f>IF($C771="","",IF(COUNTA($M771,$N771,$O771)&lt;3,"— חסרים נתונים",IF(OR($M771="נמוכה",(--($M771&lt;&gt;"תקינה"))+(--($N771&lt;&gt;"תקין"))+(--($O771&lt;&gt;"תקינה"))&gt;=2),"ניכרת","אינה ניכרת")))</f>
        <v/>
      </c>
      <c r="AB771" s="32">
        <f>IF(OR($C771="",$Y771="",$AA771="",LEFT($Y771,1)="—",LEFT($AA771,1)="—"),"",IF($Z771="","— נדרשת הערכת כתיבה",IF($L771="","— חסרה הבנת הנקרא",IF($Y771="אינה מדויקת או מקוטעת",IF($AA771="ניכרת","מיקוד בשטף הקריאה ובכישורי שפה","מיקוד בשטף קריאה"),IF($AA771="ניכרת","מיקוד בכישורי שפה",IF(AND($L771="תקינה",$Z771="מפותחת"),"קוראים וכותבים מיומנים","מיקוד בהבנה והבעה"))))))</f>
        <v/>
      </c>
      <c r="AC771" s="32">
        <f>IF(OR($AB771="",LEFT($AB771,1)="—"),"",IF(OR($AB771="מיקוד בשטף קריאה",$AB771="מיקוד בשטף הקריאה ובכישורי שפה"),"רמה א'",IF($AB771="קוראים וכותבים מיומנים","רמה ג'","רמה ב'")))</f>
        <v/>
      </c>
      <c r="AD771" s="32">
        <f>IF($AC771="","",MID(IF(AND($AC771="רמה א'",$AA771="ניכרת"),"; להוסיף עבודת אוצר מילים","")&amp;IF($Z771="אינה מפותחת","; דגש על הבעה בכתב","")&amp;IF($K771&lt;&gt;"תקין","; נדרש לעבוד על ההנגנה","")&amp;IF($AK771&lt;&gt;"","; "&amp;$AK771,""),3,400))</f>
        <v/>
      </c>
      <c r="AE771" s="32">
        <f>IF($F771="","",IF($F771="תחילת שנה",1,IF($F771="מחצית שנה",2,3)))</f>
        <v/>
      </c>
      <c r="AF771" s="32">
        <f>IF(OR($B771="",$AC771="",$A771="",$F771=""),"",$B771&amp;"|"&amp;$A771&amp;"|"&amp;$F771&amp;"|"&amp;$AC771&amp;"|"&amp;COUNTIFS($B$6:$B771,$B771,$A$6:$A771,$A771,$F$6:$F771,$F771,$AC$6:$AC771,$AC771))</f>
        <v/>
      </c>
      <c r="AG771" s="32">
        <f>IF($C771="","",$C771&amp;"|"&amp;COUNTIFS($C$6:$C771,$C771))</f>
        <v/>
      </c>
      <c r="AH771" s="32">
        <f>IF(OR($C771="",$A771="",$AE771=""),"",$C771&amp;"|"&amp;$A771&amp;"|"&amp;$AE771)</f>
        <v/>
      </c>
      <c r="AI771" s="32">
        <f>IF(OR($C771="",$AE771="",$AE771=1),"",IFERROR(INDEX($AC$6:$AC$1505,MATCH($C771&amp;"|"&amp;$A771&amp;"|"&amp;($AE771-1),$AH$6:$AH$1505,0)),""))</f>
        <v/>
      </c>
      <c r="AJ771" s="32">
        <f>IF(OR($AI771="",$AC771=""),"",IF($AI771=$AC771,"ללא שינוי","מ-"&amp;$AI771&amp;" ל-"&amp;$AC771))</f>
        <v/>
      </c>
      <c r="AK771" s="67" t="n"/>
    </row>
    <row r="772" ht="15.75" customHeight="1" s="58">
      <c r="A772" s="65" t="n"/>
      <c r="B772" s="65" t="n"/>
      <c r="C772" s="66" t="n"/>
      <c r="D772" s="66" t="n"/>
      <c r="E772" s="65" t="n"/>
      <c r="F772" s="65" t="n"/>
      <c r="G772" s="65" t="n"/>
      <c r="H772" s="65" t="n"/>
      <c r="I772" s="65" t="n"/>
      <c r="J772" s="65" t="n"/>
      <c r="K772" s="65" t="n"/>
      <c r="L772" s="65" t="n"/>
      <c r="M772" s="65" t="n"/>
      <c r="N772" s="65" t="n"/>
      <c r="O772" s="65" t="n"/>
      <c r="P772" s="65" t="n"/>
      <c r="Q772" s="65" t="n"/>
      <c r="R772" s="65" t="n"/>
      <c r="S772" s="65" t="n"/>
      <c r="T772" s="65" t="n"/>
      <c r="U772" s="65" t="n"/>
      <c r="V772" s="65" t="n"/>
      <c r="W772" s="65" t="n"/>
      <c r="X772" s="65" t="n"/>
      <c r="Y772" s="32">
        <f>IF($C772="","",IF(COUNTA($I772:$K772)&lt;3,"— חסרים נתונים",IF(AND($I772="תקין",$J772="תקין",$K772="תקין"),"רהוטה",IF(AND($I772="תקין",$J772="תקין"),"מדויקת ורציפה","אינה מדויקת או מקוטעת"))))</f>
        <v/>
      </c>
      <c r="Z772" s="32">
        <f>IF($C772="","",IF(COUNTA($U772:$W772)&lt;3,"",IF(AND($U772="מפותח",$V772="מפותח",$W772="מפותחת"),"מפותחת",IF((--($U772="דל"))+(--($V772="אינו מפותח"))+(--($W772="דלה"))&gt;=2,"אינה מפותחת","חלקית"))))</f>
        <v/>
      </c>
      <c r="AA772" s="32">
        <f>IF($C772="","",IF(COUNTA($M772,$N772,$O772)&lt;3,"— חסרים נתונים",IF(OR($M772="נמוכה",(--($M772&lt;&gt;"תקינה"))+(--($N772&lt;&gt;"תקין"))+(--($O772&lt;&gt;"תקינה"))&gt;=2),"ניכרת","אינה ניכרת")))</f>
        <v/>
      </c>
      <c r="AB772" s="32">
        <f>IF(OR($C772="",$Y772="",$AA772="",LEFT($Y772,1)="—",LEFT($AA772,1)="—"),"",IF($Z772="","— נדרשת הערכת כתיבה",IF($L772="","— חסרה הבנת הנקרא",IF($Y772="אינה מדויקת או מקוטעת",IF($AA772="ניכרת","מיקוד בשטף הקריאה ובכישורי שפה","מיקוד בשטף קריאה"),IF($AA772="ניכרת","מיקוד בכישורי שפה",IF(AND($L772="תקינה",$Z772="מפותחת"),"קוראים וכותבים מיומנים","מיקוד בהבנה והבעה"))))))</f>
        <v/>
      </c>
      <c r="AC772" s="32">
        <f>IF(OR($AB772="",LEFT($AB772,1)="—"),"",IF(OR($AB772="מיקוד בשטף קריאה",$AB772="מיקוד בשטף הקריאה ובכישורי שפה"),"רמה א'",IF($AB772="קוראים וכותבים מיומנים","רמה ג'","רמה ב'")))</f>
        <v/>
      </c>
      <c r="AD772" s="32">
        <f>IF($AC772="","",MID(IF(AND($AC772="רמה א'",$AA772="ניכרת"),"; להוסיף עבודת אוצר מילים","")&amp;IF($Z772="אינה מפותחת","; דגש על הבעה בכתב","")&amp;IF($K772&lt;&gt;"תקין","; נדרש לעבוד על ההנגנה","")&amp;IF($AK772&lt;&gt;"","; "&amp;$AK772,""),3,400))</f>
        <v/>
      </c>
      <c r="AE772" s="32">
        <f>IF($F772="","",IF($F772="תחילת שנה",1,IF($F772="מחצית שנה",2,3)))</f>
        <v/>
      </c>
      <c r="AF772" s="32">
        <f>IF(OR($B772="",$AC772="",$A772="",$F772=""),"",$B772&amp;"|"&amp;$A772&amp;"|"&amp;$F772&amp;"|"&amp;$AC772&amp;"|"&amp;COUNTIFS($B$6:$B772,$B772,$A$6:$A772,$A772,$F$6:$F772,$F772,$AC$6:$AC772,$AC772))</f>
        <v/>
      </c>
      <c r="AG772" s="32">
        <f>IF($C772="","",$C772&amp;"|"&amp;COUNTIFS($C$6:$C772,$C772))</f>
        <v/>
      </c>
      <c r="AH772" s="32">
        <f>IF(OR($C772="",$A772="",$AE772=""),"",$C772&amp;"|"&amp;$A772&amp;"|"&amp;$AE772)</f>
        <v/>
      </c>
      <c r="AI772" s="32">
        <f>IF(OR($C772="",$AE772="",$AE772=1),"",IFERROR(INDEX($AC$6:$AC$1505,MATCH($C772&amp;"|"&amp;$A772&amp;"|"&amp;($AE772-1),$AH$6:$AH$1505,0)),""))</f>
        <v/>
      </c>
      <c r="AJ772" s="32">
        <f>IF(OR($AI772="",$AC772=""),"",IF($AI772=$AC772,"ללא שינוי","מ-"&amp;$AI772&amp;" ל-"&amp;$AC772))</f>
        <v/>
      </c>
      <c r="AK772" s="67" t="n"/>
    </row>
    <row r="773" ht="15.75" customHeight="1" s="58">
      <c r="A773" s="65" t="n"/>
      <c r="B773" s="65" t="n"/>
      <c r="C773" s="66" t="n"/>
      <c r="D773" s="66" t="n"/>
      <c r="E773" s="65" t="n"/>
      <c r="F773" s="65" t="n"/>
      <c r="G773" s="65" t="n"/>
      <c r="H773" s="65" t="n"/>
      <c r="I773" s="65" t="n"/>
      <c r="J773" s="65" t="n"/>
      <c r="K773" s="65" t="n"/>
      <c r="L773" s="65" t="n"/>
      <c r="M773" s="65" t="n"/>
      <c r="N773" s="65" t="n"/>
      <c r="O773" s="65" t="n"/>
      <c r="P773" s="65" t="n"/>
      <c r="Q773" s="65" t="n"/>
      <c r="R773" s="65" t="n"/>
      <c r="S773" s="65" t="n"/>
      <c r="T773" s="65" t="n"/>
      <c r="U773" s="65" t="n"/>
      <c r="V773" s="65" t="n"/>
      <c r="W773" s="65" t="n"/>
      <c r="X773" s="65" t="n"/>
      <c r="Y773" s="32">
        <f>IF($C773="","",IF(COUNTA($I773:$K773)&lt;3,"— חסרים נתונים",IF(AND($I773="תקין",$J773="תקין",$K773="תקין"),"רהוטה",IF(AND($I773="תקין",$J773="תקין"),"מדויקת ורציפה","אינה מדויקת או מקוטעת"))))</f>
        <v/>
      </c>
      <c r="Z773" s="32">
        <f>IF($C773="","",IF(COUNTA($U773:$W773)&lt;3,"",IF(AND($U773="מפותח",$V773="מפותח",$W773="מפותחת"),"מפותחת",IF((--($U773="דל"))+(--($V773="אינו מפותח"))+(--($W773="דלה"))&gt;=2,"אינה מפותחת","חלקית"))))</f>
        <v/>
      </c>
      <c r="AA773" s="32">
        <f>IF($C773="","",IF(COUNTA($M773,$N773,$O773)&lt;3,"— חסרים נתונים",IF(OR($M773="נמוכה",(--($M773&lt;&gt;"תקינה"))+(--($N773&lt;&gt;"תקין"))+(--($O773&lt;&gt;"תקינה"))&gt;=2),"ניכרת","אינה ניכרת")))</f>
        <v/>
      </c>
      <c r="AB773" s="32">
        <f>IF(OR($C773="",$Y773="",$AA773="",LEFT($Y773,1)="—",LEFT($AA773,1)="—"),"",IF($Z773="","— נדרשת הערכת כתיבה",IF($L773="","— חסרה הבנת הנקרא",IF($Y773="אינה מדויקת או מקוטעת",IF($AA773="ניכרת","מיקוד בשטף הקריאה ובכישורי שפה","מיקוד בשטף קריאה"),IF($AA773="ניכרת","מיקוד בכישורי שפה",IF(AND($L773="תקינה",$Z773="מפותחת"),"קוראים וכותבים מיומנים","מיקוד בהבנה והבעה"))))))</f>
        <v/>
      </c>
      <c r="AC773" s="32">
        <f>IF(OR($AB773="",LEFT($AB773,1)="—"),"",IF(OR($AB773="מיקוד בשטף קריאה",$AB773="מיקוד בשטף הקריאה ובכישורי שפה"),"רמה א'",IF($AB773="קוראים וכותבים מיומנים","רמה ג'","רמה ב'")))</f>
        <v/>
      </c>
      <c r="AD773" s="32">
        <f>IF($AC773="","",MID(IF(AND($AC773="רמה א'",$AA773="ניכרת"),"; להוסיף עבודת אוצר מילים","")&amp;IF($Z773="אינה מפותחת","; דגש על הבעה בכתב","")&amp;IF($K773&lt;&gt;"תקין","; נדרש לעבוד על ההנגנה","")&amp;IF($AK773&lt;&gt;"","; "&amp;$AK773,""),3,400))</f>
        <v/>
      </c>
      <c r="AE773" s="32">
        <f>IF($F773="","",IF($F773="תחילת שנה",1,IF($F773="מחצית שנה",2,3)))</f>
        <v/>
      </c>
      <c r="AF773" s="32">
        <f>IF(OR($B773="",$AC773="",$A773="",$F773=""),"",$B773&amp;"|"&amp;$A773&amp;"|"&amp;$F773&amp;"|"&amp;$AC773&amp;"|"&amp;COUNTIFS($B$6:$B773,$B773,$A$6:$A773,$A773,$F$6:$F773,$F773,$AC$6:$AC773,$AC773))</f>
        <v/>
      </c>
      <c r="AG773" s="32">
        <f>IF($C773="","",$C773&amp;"|"&amp;COUNTIFS($C$6:$C773,$C773))</f>
        <v/>
      </c>
      <c r="AH773" s="32">
        <f>IF(OR($C773="",$A773="",$AE773=""),"",$C773&amp;"|"&amp;$A773&amp;"|"&amp;$AE773)</f>
        <v/>
      </c>
      <c r="AI773" s="32">
        <f>IF(OR($C773="",$AE773="",$AE773=1),"",IFERROR(INDEX($AC$6:$AC$1505,MATCH($C773&amp;"|"&amp;$A773&amp;"|"&amp;($AE773-1),$AH$6:$AH$1505,0)),""))</f>
        <v/>
      </c>
      <c r="AJ773" s="32">
        <f>IF(OR($AI773="",$AC773=""),"",IF($AI773=$AC773,"ללא שינוי","מ-"&amp;$AI773&amp;" ל-"&amp;$AC773))</f>
        <v/>
      </c>
      <c r="AK773" s="67" t="n"/>
    </row>
    <row r="774" ht="15.75" customHeight="1" s="58">
      <c r="A774" s="65" t="n"/>
      <c r="B774" s="65" t="n"/>
      <c r="C774" s="66" t="n"/>
      <c r="D774" s="66" t="n"/>
      <c r="E774" s="65" t="n"/>
      <c r="F774" s="65" t="n"/>
      <c r="G774" s="65" t="n"/>
      <c r="H774" s="65" t="n"/>
      <c r="I774" s="65" t="n"/>
      <c r="J774" s="65" t="n"/>
      <c r="K774" s="65" t="n"/>
      <c r="L774" s="65" t="n"/>
      <c r="M774" s="65" t="n"/>
      <c r="N774" s="65" t="n"/>
      <c r="O774" s="65" t="n"/>
      <c r="P774" s="65" t="n"/>
      <c r="Q774" s="65" t="n"/>
      <c r="R774" s="65" t="n"/>
      <c r="S774" s="65" t="n"/>
      <c r="T774" s="65" t="n"/>
      <c r="U774" s="65" t="n"/>
      <c r="V774" s="65" t="n"/>
      <c r="W774" s="65" t="n"/>
      <c r="X774" s="65" t="n"/>
      <c r="Y774" s="32">
        <f>IF($C774="","",IF(COUNTA($I774:$K774)&lt;3,"— חסרים נתונים",IF(AND($I774="תקין",$J774="תקין",$K774="תקין"),"רהוטה",IF(AND($I774="תקין",$J774="תקין"),"מדויקת ורציפה","אינה מדויקת או מקוטעת"))))</f>
        <v/>
      </c>
      <c r="Z774" s="32">
        <f>IF($C774="","",IF(COUNTA($U774:$W774)&lt;3,"",IF(AND($U774="מפותח",$V774="מפותח",$W774="מפותחת"),"מפותחת",IF((--($U774="דל"))+(--($V774="אינו מפותח"))+(--($W774="דלה"))&gt;=2,"אינה מפותחת","חלקית"))))</f>
        <v/>
      </c>
      <c r="AA774" s="32">
        <f>IF($C774="","",IF(COUNTA($M774,$N774,$O774)&lt;3,"— חסרים נתונים",IF(OR($M774="נמוכה",(--($M774&lt;&gt;"תקינה"))+(--($N774&lt;&gt;"תקין"))+(--($O774&lt;&gt;"תקינה"))&gt;=2),"ניכרת","אינה ניכרת")))</f>
        <v/>
      </c>
      <c r="AB774" s="32">
        <f>IF(OR($C774="",$Y774="",$AA774="",LEFT($Y774,1)="—",LEFT($AA774,1)="—"),"",IF($Z774="","— נדרשת הערכת כתיבה",IF($L774="","— חסרה הבנת הנקרא",IF($Y774="אינה מדויקת או מקוטעת",IF($AA774="ניכרת","מיקוד בשטף הקריאה ובכישורי שפה","מיקוד בשטף קריאה"),IF($AA774="ניכרת","מיקוד בכישורי שפה",IF(AND($L774="תקינה",$Z774="מפותחת"),"קוראים וכותבים מיומנים","מיקוד בהבנה והבעה"))))))</f>
        <v/>
      </c>
      <c r="AC774" s="32">
        <f>IF(OR($AB774="",LEFT($AB774,1)="—"),"",IF(OR($AB774="מיקוד בשטף קריאה",$AB774="מיקוד בשטף הקריאה ובכישורי שפה"),"רמה א'",IF($AB774="קוראים וכותבים מיומנים","רמה ג'","רמה ב'")))</f>
        <v/>
      </c>
      <c r="AD774" s="32">
        <f>IF($AC774="","",MID(IF(AND($AC774="רמה א'",$AA774="ניכרת"),"; להוסיף עבודת אוצר מילים","")&amp;IF($Z774="אינה מפותחת","; דגש על הבעה בכתב","")&amp;IF($K774&lt;&gt;"תקין","; נדרש לעבוד על ההנגנה","")&amp;IF($AK774&lt;&gt;"","; "&amp;$AK774,""),3,400))</f>
        <v/>
      </c>
      <c r="AE774" s="32">
        <f>IF($F774="","",IF($F774="תחילת שנה",1,IF($F774="מחצית שנה",2,3)))</f>
        <v/>
      </c>
      <c r="AF774" s="32">
        <f>IF(OR($B774="",$AC774="",$A774="",$F774=""),"",$B774&amp;"|"&amp;$A774&amp;"|"&amp;$F774&amp;"|"&amp;$AC774&amp;"|"&amp;COUNTIFS($B$6:$B774,$B774,$A$6:$A774,$A774,$F$6:$F774,$F774,$AC$6:$AC774,$AC774))</f>
        <v/>
      </c>
      <c r="AG774" s="32">
        <f>IF($C774="","",$C774&amp;"|"&amp;COUNTIFS($C$6:$C774,$C774))</f>
        <v/>
      </c>
      <c r="AH774" s="32">
        <f>IF(OR($C774="",$A774="",$AE774=""),"",$C774&amp;"|"&amp;$A774&amp;"|"&amp;$AE774)</f>
        <v/>
      </c>
      <c r="AI774" s="32">
        <f>IF(OR($C774="",$AE774="",$AE774=1),"",IFERROR(INDEX($AC$6:$AC$1505,MATCH($C774&amp;"|"&amp;$A774&amp;"|"&amp;($AE774-1),$AH$6:$AH$1505,0)),""))</f>
        <v/>
      </c>
      <c r="AJ774" s="32">
        <f>IF(OR($AI774="",$AC774=""),"",IF($AI774=$AC774,"ללא שינוי","מ-"&amp;$AI774&amp;" ל-"&amp;$AC774))</f>
        <v/>
      </c>
      <c r="AK774" s="67" t="n"/>
    </row>
    <row r="775" ht="15.75" customHeight="1" s="58">
      <c r="A775" s="65" t="n"/>
      <c r="B775" s="65" t="n"/>
      <c r="C775" s="66" t="n"/>
      <c r="D775" s="66" t="n"/>
      <c r="E775" s="65" t="n"/>
      <c r="F775" s="65" t="n"/>
      <c r="G775" s="65" t="n"/>
      <c r="H775" s="65" t="n"/>
      <c r="I775" s="65" t="n"/>
      <c r="J775" s="65" t="n"/>
      <c r="K775" s="65" t="n"/>
      <c r="L775" s="65" t="n"/>
      <c r="M775" s="65" t="n"/>
      <c r="N775" s="65" t="n"/>
      <c r="O775" s="65" t="n"/>
      <c r="P775" s="65" t="n"/>
      <c r="Q775" s="65" t="n"/>
      <c r="R775" s="65" t="n"/>
      <c r="S775" s="65" t="n"/>
      <c r="T775" s="65" t="n"/>
      <c r="U775" s="65" t="n"/>
      <c r="V775" s="65" t="n"/>
      <c r="W775" s="65" t="n"/>
      <c r="X775" s="65" t="n"/>
      <c r="Y775" s="32">
        <f>IF($C775="","",IF(COUNTA($I775:$K775)&lt;3,"— חסרים נתונים",IF(AND($I775="תקין",$J775="תקין",$K775="תקין"),"רהוטה",IF(AND($I775="תקין",$J775="תקין"),"מדויקת ורציפה","אינה מדויקת או מקוטעת"))))</f>
        <v/>
      </c>
      <c r="Z775" s="32">
        <f>IF($C775="","",IF(COUNTA($U775:$W775)&lt;3,"",IF(AND($U775="מפותח",$V775="מפותח",$W775="מפותחת"),"מפותחת",IF((--($U775="דל"))+(--($V775="אינו מפותח"))+(--($W775="דלה"))&gt;=2,"אינה מפותחת","חלקית"))))</f>
        <v/>
      </c>
      <c r="AA775" s="32">
        <f>IF($C775="","",IF(COUNTA($M775,$N775,$O775)&lt;3,"— חסרים נתונים",IF(OR($M775="נמוכה",(--($M775&lt;&gt;"תקינה"))+(--($N775&lt;&gt;"תקין"))+(--($O775&lt;&gt;"תקינה"))&gt;=2),"ניכרת","אינה ניכרת")))</f>
        <v/>
      </c>
      <c r="AB775" s="32">
        <f>IF(OR($C775="",$Y775="",$AA775="",LEFT($Y775,1)="—",LEFT($AA775,1)="—"),"",IF($Z775="","— נדרשת הערכת כתיבה",IF($L775="","— חסרה הבנת הנקרא",IF($Y775="אינה מדויקת או מקוטעת",IF($AA775="ניכרת","מיקוד בשטף הקריאה ובכישורי שפה","מיקוד בשטף קריאה"),IF($AA775="ניכרת","מיקוד בכישורי שפה",IF(AND($L775="תקינה",$Z775="מפותחת"),"קוראים וכותבים מיומנים","מיקוד בהבנה והבעה"))))))</f>
        <v/>
      </c>
      <c r="AC775" s="32">
        <f>IF(OR($AB775="",LEFT($AB775,1)="—"),"",IF(OR($AB775="מיקוד בשטף קריאה",$AB775="מיקוד בשטף הקריאה ובכישורי שפה"),"רמה א'",IF($AB775="קוראים וכותבים מיומנים","רמה ג'","רמה ב'")))</f>
        <v/>
      </c>
      <c r="AD775" s="32">
        <f>IF($AC775="","",MID(IF(AND($AC775="רמה א'",$AA775="ניכרת"),"; להוסיף עבודת אוצר מילים","")&amp;IF($Z775="אינה מפותחת","; דגש על הבעה בכתב","")&amp;IF($K775&lt;&gt;"תקין","; נדרש לעבוד על ההנגנה","")&amp;IF($AK775&lt;&gt;"","; "&amp;$AK775,""),3,400))</f>
        <v/>
      </c>
      <c r="AE775" s="32">
        <f>IF($F775="","",IF($F775="תחילת שנה",1,IF($F775="מחצית שנה",2,3)))</f>
        <v/>
      </c>
      <c r="AF775" s="32">
        <f>IF(OR($B775="",$AC775="",$A775="",$F775=""),"",$B775&amp;"|"&amp;$A775&amp;"|"&amp;$F775&amp;"|"&amp;$AC775&amp;"|"&amp;COUNTIFS($B$6:$B775,$B775,$A$6:$A775,$A775,$F$6:$F775,$F775,$AC$6:$AC775,$AC775))</f>
        <v/>
      </c>
      <c r="AG775" s="32">
        <f>IF($C775="","",$C775&amp;"|"&amp;COUNTIFS($C$6:$C775,$C775))</f>
        <v/>
      </c>
      <c r="AH775" s="32">
        <f>IF(OR($C775="",$A775="",$AE775=""),"",$C775&amp;"|"&amp;$A775&amp;"|"&amp;$AE775)</f>
        <v/>
      </c>
      <c r="AI775" s="32">
        <f>IF(OR($C775="",$AE775="",$AE775=1),"",IFERROR(INDEX($AC$6:$AC$1505,MATCH($C775&amp;"|"&amp;$A775&amp;"|"&amp;($AE775-1),$AH$6:$AH$1505,0)),""))</f>
        <v/>
      </c>
      <c r="AJ775" s="32">
        <f>IF(OR($AI775="",$AC775=""),"",IF($AI775=$AC775,"ללא שינוי","מ-"&amp;$AI775&amp;" ל-"&amp;$AC775))</f>
        <v/>
      </c>
      <c r="AK775" s="67" t="n"/>
    </row>
    <row r="776" ht="15.75" customHeight="1" s="58">
      <c r="A776" s="65" t="n"/>
      <c r="B776" s="65" t="n"/>
      <c r="C776" s="66" t="n"/>
      <c r="D776" s="66" t="n"/>
      <c r="E776" s="65" t="n"/>
      <c r="F776" s="65" t="n"/>
      <c r="G776" s="65" t="n"/>
      <c r="H776" s="65" t="n"/>
      <c r="I776" s="65" t="n"/>
      <c r="J776" s="65" t="n"/>
      <c r="K776" s="65" t="n"/>
      <c r="L776" s="65" t="n"/>
      <c r="M776" s="65" t="n"/>
      <c r="N776" s="65" t="n"/>
      <c r="O776" s="65" t="n"/>
      <c r="P776" s="65" t="n"/>
      <c r="Q776" s="65" t="n"/>
      <c r="R776" s="65" t="n"/>
      <c r="S776" s="65" t="n"/>
      <c r="T776" s="65" t="n"/>
      <c r="U776" s="65" t="n"/>
      <c r="V776" s="65" t="n"/>
      <c r="W776" s="65" t="n"/>
      <c r="X776" s="65" t="n"/>
      <c r="Y776" s="32">
        <f>IF($C776="","",IF(COUNTA($I776:$K776)&lt;3,"— חסרים נתונים",IF(AND($I776="תקין",$J776="תקין",$K776="תקין"),"רהוטה",IF(AND($I776="תקין",$J776="תקין"),"מדויקת ורציפה","אינה מדויקת או מקוטעת"))))</f>
        <v/>
      </c>
      <c r="Z776" s="32">
        <f>IF($C776="","",IF(COUNTA($U776:$W776)&lt;3,"",IF(AND($U776="מפותח",$V776="מפותח",$W776="מפותחת"),"מפותחת",IF((--($U776="דל"))+(--($V776="אינו מפותח"))+(--($W776="דלה"))&gt;=2,"אינה מפותחת","חלקית"))))</f>
        <v/>
      </c>
      <c r="AA776" s="32">
        <f>IF($C776="","",IF(COUNTA($M776,$N776,$O776)&lt;3,"— חסרים נתונים",IF(OR($M776="נמוכה",(--($M776&lt;&gt;"תקינה"))+(--($N776&lt;&gt;"תקין"))+(--($O776&lt;&gt;"תקינה"))&gt;=2),"ניכרת","אינה ניכרת")))</f>
        <v/>
      </c>
      <c r="AB776" s="32">
        <f>IF(OR($C776="",$Y776="",$AA776="",LEFT($Y776,1)="—",LEFT($AA776,1)="—"),"",IF($Z776="","— נדרשת הערכת כתיבה",IF($L776="","— חסרה הבנת הנקרא",IF($Y776="אינה מדויקת או מקוטעת",IF($AA776="ניכרת","מיקוד בשטף הקריאה ובכישורי שפה","מיקוד בשטף קריאה"),IF($AA776="ניכרת","מיקוד בכישורי שפה",IF(AND($L776="תקינה",$Z776="מפותחת"),"קוראים וכותבים מיומנים","מיקוד בהבנה והבעה"))))))</f>
        <v/>
      </c>
      <c r="AC776" s="32">
        <f>IF(OR($AB776="",LEFT($AB776,1)="—"),"",IF(OR($AB776="מיקוד בשטף קריאה",$AB776="מיקוד בשטף הקריאה ובכישורי שפה"),"רמה א'",IF($AB776="קוראים וכותבים מיומנים","רמה ג'","רמה ב'")))</f>
        <v/>
      </c>
      <c r="AD776" s="32">
        <f>IF($AC776="","",MID(IF(AND($AC776="רמה א'",$AA776="ניכרת"),"; להוסיף עבודת אוצר מילים","")&amp;IF($Z776="אינה מפותחת","; דגש על הבעה בכתב","")&amp;IF($K776&lt;&gt;"תקין","; נדרש לעבוד על ההנגנה","")&amp;IF($AK776&lt;&gt;"","; "&amp;$AK776,""),3,400))</f>
        <v/>
      </c>
      <c r="AE776" s="32">
        <f>IF($F776="","",IF($F776="תחילת שנה",1,IF($F776="מחצית שנה",2,3)))</f>
        <v/>
      </c>
      <c r="AF776" s="32">
        <f>IF(OR($B776="",$AC776="",$A776="",$F776=""),"",$B776&amp;"|"&amp;$A776&amp;"|"&amp;$F776&amp;"|"&amp;$AC776&amp;"|"&amp;COUNTIFS($B$6:$B776,$B776,$A$6:$A776,$A776,$F$6:$F776,$F776,$AC$6:$AC776,$AC776))</f>
        <v/>
      </c>
      <c r="AG776" s="32">
        <f>IF($C776="","",$C776&amp;"|"&amp;COUNTIFS($C$6:$C776,$C776))</f>
        <v/>
      </c>
      <c r="AH776" s="32">
        <f>IF(OR($C776="",$A776="",$AE776=""),"",$C776&amp;"|"&amp;$A776&amp;"|"&amp;$AE776)</f>
        <v/>
      </c>
      <c r="AI776" s="32">
        <f>IF(OR($C776="",$AE776="",$AE776=1),"",IFERROR(INDEX($AC$6:$AC$1505,MATCH($C776&amp;"|"&amp;$A776&amp;"|"&amp;($AE776-1),$AH$6:$AH$1505,0)),""))</f>
        <v/>
      </c>
      <c r="AJ776" s="32">
        <f>IF(OR($AI776="",$AC776=""),"",IF($AI776=$AC776,"ללא שינוי","מ-"&amp;$AI776&amp;" ל-"&amp;$AC776))</f>
        <v/>
      </c>
      <c r="AK776" s="67" t="n"/>
    </row>
    <row r="777" ht="15.75" customHeight="1" s="58">
      <c r="A777" s="65" t="n"/>
      <c r="B777" s="65" t="n"/>
      <c r="C777" s="66" t="n"/>
      <c r="D777" s="66" t="n"/>
      <c r="E777" s="65" t="n"/>
      <c r="F777" s="65" t="n"/>
      <c r="G777" s="65" t="n"/>
      <c r="H777" s="65" t="n"/>
      <c r="I777" s="65" t="n"/>
      <c r="J777" s="65" t="n"/>
      <c r="K777" s="65" t="n"/>
      <c r="L777" s="65" t="n"/>
      <c r="M777" s="65" t="n"/>
      <c r="N777" s="65" t="n"/>
      <c r="O777" s="65" t="n"/>
      <c r="P777" s="65" t="n"/>
      <c r="Q777" s="65" t="n"/>
      <c r="R777" s="65" t="n"/>
      <c r="S777" s="65" t="n"/>
      <c r="T777" s="65" t="n"/>
      <c r="U777" s="65" t="n"/>
      <c r="V777" s="65" t="n"/>
      <c r="W777" s="65" t="n"/>
      <c r="X777" s="65" t="n"/>
      <c r="Y777" s="32">
        <f>IF($C777="","",IF(COUNTA($I777:$K777)&lt;3,"— חסרים נתונים",IF(AND($I777="תקין",$J777="תקין",$K777="תקין"),"רהוטה",IF(AND($I777="תקין",$J777="תקין"),"מדויקת ורציפה","אינה מדויקת או מקוטעת"))))</f>
        <v/>
      </c>
      <c r="Z777" s="32">
        <f>IF($C777="","",IF(COUNTA($U777:$W777)&lt;3,"",IF(AND($U777="מפותח",$V777="מפותח",$W777="מפותחת"),"מפותחת",IF((--($U777="דל"))+(--($V777="אינו מפותח"))+(--($W777="דלה"))&gt;=2,"אינה מפותחת","חלקית"))))</f>
        <v/>
      </c>
      <c r="AA777" s="32">
        <f>IF($C777="","",IF(COUNTA($M777,$N777,$O777)&lt;3,"— חסרים נתונים",IF(OR($M777="נמוכה",(--($M777&lt;&gt;"תקינה"))+(--($N777&lt;&gt;"תקין"))+(--($O777&lt;&gt;"תקינה"))&gt;=2),"ניכרת","אינה ניכרת")))</f>
        <v/>
      </c>
      <c r="AB777" s="32">
        <f>IF(OR($C777="",$Y777="",$AA777="",LEFT($Y777,1)="—",LEFT($AA777,1)="—"),"",IF($Z777="","— נדרשת הערכת כתיבה",IF($L777="","— חסרה הבנת הנקרא",IF($Y777="אינה מדויקת או מקוטעת",IF($AA777="ניכרת","מיקוד בשטף הקריאה ובכישורי שפה","מיקוד בשטף קריאה"),IF($AA777="ניכרת","מיקוד בכישורי שפה",IF(AND($L777="תקינה",$Z777="מפותחת"),"קוראים וכותבים מיומנים","מיקוד בהבנה והבעה"))))))</f>
        <v/>
      </c>
      <c r="AC777" s="32">
        <f>IF(OR($AB777="",LEFT($AB777,1)="—"),"",IF(OR($AB777="מיקוד בשטף קריאה",$AB777="מיקוד בשטף הקריאה ובכישורי שפה"),"רמה א'",IF($AB777="קוראים וכותבים מיומנים","רמה ג'","רמה ב'")))</f>
        <v/>
      </c>
      <c r="AD777" s="32">
        <f>IF($AC777="","",MID(IF(AND($AC777="רמה א'",$AA777="ניכרת"),"; להוסיף עבודת אוצר מילים","")&amp;IF($Z777="אינה מפותחת","; דגש על הבעה בכתב","")&amp;IF($K777&lt;&gt;"תקין","; נדרש לעבוד על ההנגנה","")&amp;IF($AK777&lt;&gt;"","; "&amp;$AK777,""),3,400))</f>
        <v/>
      </c>
      <c r="AE777" s="32">
        <f>IF($F777="","",IF($F777="תחילת שנה",1,IF($F777="מחצית שנה",2,3)))</f>
        <v/>
      </c>
      <c r="AF777" s="32">
        <f>IF(OR($B777="",$AC777="",$A777="",$F777=""),"",$B777&amp;"|"&amp;$A777&amp;"|"&amp;$F777&amp;"|"&amp;$AC777&amp;"|"&amp;COUNTIFS($B$6:$B777,$B777,$A$6:$A777,$A777,$F$6:$F777,$F777,$AC$6:$AC777,$AC777))</f>
        <v/>
      </c>
      <c r="AG777" s="32">
        <f>IF($C777="","",$C777&amp;"|"&amp;COUNTIFS($C$6:$C777,$C777))</f>
        <v/>
      </c>
      <c r="AH777" s="32">
        <f>IF(OR($C777="",$A777="",$AE777=""),"",$C777&amp;"|"&amp;$A777&amp;"|"&amp;$AE777)</f>
        <v/>
      </c>
      <c r="AI777" s="32">
        <f>IF(OR($C777="",$AE777="",$AE777=1),"",IFERROR(INDEX($AC$6:$AC$1505,MATCH($C777&amp;"|"&amp;$A777&amp;"|"&amp;($AE777-1),$AH$6:$AH$1505,0)),""))</f>
        <v/>
      </c>
      <c r="AJ777" s="32">
        <f>IF(OR($AI777="",$AC777=""),"",IF($AI777=$AC777,"ללא שינוי","מ-"&amp;$AI777&amp;" ל-"&amp;$AC777))</f>
        <v/>
      </c>
      <c r="AK777" s="67" t="n"/>
    </row>
    <row r="778" ht="15.75" customHeight="1" s="58">
      <c r="A778" s="65" t="n"/>
      <c r="B778" s="65" t="n"/>
      <c r="C778" s="66" t="n"/>
      <c r="D778" s="66" t="n"/>
      <c r="E778" s="65" t="n"/>
      <c r="F778" s="65" t="n"/>
      <c r="G778" s="65" t="n"/>
      <c r="H778" s="65" t="n"/>
      <c r="I778" s="65" t="n"/>
      <c r="J778" s="65" t="n"/>
      <c r="K778" s="65" t="n"/>
      <c r="L778" s="65" t="n"/>
      <c r="M778" s="65" t="n"/>
      <c r="N778" s="65" t="n"/>
      <c r="O778" s="65" t="n"/>
      <c r="P778" s="65" t="n"/>
      <c r="Q778" s="65" t="n"/>
      <c r="R778" s="65" t="n"/>
      <c r="S778" s="65" t="n"/>
      <c r="T778" s="65" t="n"/>
      <c r="U778" s="65" t="n"/>
      <c r="V778" s="65" t="n"/>
      <c r="W778" s="65" t="n"/>
      <c r="X778" s="65" t="n"/>
      <c r="Y778" s="32">
        <f>IF($C778="","",IF(COUNTA($I778:$K778)&lt;3,"— חסרים נתונים",IF(AND($I778="תקין",$J778="תקין",$K778="תקין"),"רהוטה",IF(AND($I778="תקין",$J778="תקין"),"מדויקת ורציפה","אינה מדויקת או מקוטעת"))))</f>
        <v/>
      </c>
      <c r="Z778" s="32">
        <f>IF($C778="","",IF(COUNTA($U778:$W778)&lt;3,"",IF(AND($U778="מפותח",$V778="מפותח",$W778="מפותחת"),"מפותחת",IF((--($U778="דל"))+(--($V778="אינו מפותח"))+(--($W778="דלה"))&gt;=2,"אינה מפותחת","חלקית"))))</f>
        <v/>
      </c>
      <c r="AA778" s="32">
        <f>IF($C778="","",IF(COUNTA($M778,$N778,$O778)&lt;3,"— חסרים נתונים",IF(OR($M778="נמוכה",(--($M778&lt;&gt;"תקינה"))+(--($N778&lt;&gt;"תקין"))+(--($O778&lt;&gt;"תקינה"))&gt;=2),"ניכרת","אינה ניכרת")))</f>
        <v/>
      </c>
      <c r="AB778" s="32">
        <f>IF(OR($C778="",$Y778="",$AA778="",LEFT($Y778,1)="—",LEFT($AA778,1)="—"),"",IF($Z778="","— נדרשת הערכת כתיבה",IF($L778="","— חסרה הבנת הנקרא",IF($Y778="אינה מדויקת או מקוטעת",IF($AA778="ניכרת","מיקוד בשטף הקריאה ובכישורי שפה","מיקוד בשטף קריאה"),IF($AA778="ניכרת","מיקוד בכישורי שפה",IF(AND($L778="תקינה",$Z778="מפותחת"),"קוראים וכותבים מיומנים","מיקוד בהבנה והבעה"))))))</f>
        <v/>
      </c>
      <c r="AC778" s="32">
        <f>IF(OR($AB778="",LEFT($AB778,1)="—"),"",IF(OR($AB778="מיקוד בשטף קריאה",$AB778="מיקוד בשטף הקריאה ובכישורי שפה"),"רמה א'",IF($AB778="קוראים וכותבים מיומנים","רמה ג'","רמה ב'")))</f>
        <v/>
      </c>
      <c r="AD778" s="32">
        <f>IF($AC778="","",MID(IF(AND($AC778="רמה א'",$AA778="ניכרת"),"; להוסיף עבודת אוצר מילים","")&amp;IF($Z778="אינה מפותחת","; דגש על הבעה בכתב","")&amp;IF($K778&lt;&gt;"תקין","; נדרש לעבוד על ההנגנה","")&amp;IF($AK778&lt;&gt;"","; "&amp;$AK778,""),3,400))</f>
        <v/>
      </c>
      <c r="AE778" s="32">
        <f>IF($F778="","",IF($F778="תחילת שנה",1,IF($F778="מחצית שנה",2,3)))</f>
        <v/>
      </c>
      <c r="AF778" s="32">
        <f>IF(OR($B778="",$AC778="",$A778="",$F778=""),"",$B778&amp;"|"&amp;$A778&amp;"|"&amp;$F778&amp;"|"&amp;$AC778&amp;"|"&amp;COUNTIFS($B$6:$B778,$B778,$A$6:$A778,$A778,$F$6:$F778,$F778,$AC$6:$AC778,$AC778))</f>
        <v/>
      </c>
      <c r="AG778" s="32">
        <f>IF($C778="","",$C778&amp;"|"&amp;COUNTIFS($C$6:$C778,$C778))</f>
        <v/>
      </c>
      <c r="AH778" s="32">
        <f>IF(OR($C778="",$A778="",$AE778=""),"",$C778&amp;"|"&amp;$A778&amp;"|"&amp;$AE778)</f>
        <v/>
      </c>
      <c r="AI778" s="32">
        <f>IF(OR($C778="",$AE778="",$AE778=1),"",IFERROR(INDEX($AC$6:$AC$1505,MATCH($C778&amp;"|"&amp;$A778&amp;"|"&amp;($AE778-1),$AH$6:$AH$1505,0)),""))</f>
        <v/>
      </c>
      <c r="AJ778" s="32">
        <f>IF(OR($AI778="",$AC778=""),"",IF($AI778=$AC778,"ללא שינוי","מ-"&amp;$AI778&amp;" ל-"&amp;$AC778))</f>
        <v/>
      </c>
      <c r="AK778" s="67" t="n"/>
    </row>
    <row r="779" ht="15.75" customHeight="1" s="58">
      <c r="A779" s="65" t="n"/>
      <c r="B779" s="65" t="n"/>
      <c r="C779" s="66" t="n"/>
      <c r="D779" s="66" t="n"/>
      <c r="E779" s="65" t="n"/>
      <c r="F779" s="65" t="n"/>
      <c r="G779" s="65" t="n"/>
      <c r="H779" s="65" t="n"/>
      <c r="I779" s="65" t="n"/>
      <c r="J779" s="65" t="n"/>
      <c r="K779" s="65" t="n"/>
      <c r="L779" s="65" t="n"/>
      <c r="M779" s="65" t="n"/>
      <c r="N779" s="65" t="n"/>
      <c r="O779" s="65" t="n"/>
      <c r="P779" s="65" t="n"/>
      <c r="Q779" s="65" t="n"/>
      <c r="R779" s="65" t="n"/>
      <c r="S779" s="65" t="n"/>
      <c r="T779" s="65" t="n"/>
      <c r="U779" s="65" t="n"/>
      <c r="V779" s="65" t="n"/>
      <c r="W779" s="65" t="n"/>
      <c r="X779" s="65" t="n"/>
      <c r="Y779" s="32">
        <f>IF($C779="","",IF(COUNTA($I779:$K779)&lt;3,"— חסרים נתונים",IF(AND($I779="תקין",$J779="תקין",$K779="תקין"),"רהוטה",IF(AND($I779="תקין",$J779="תקין"),"מדויקת ורציפה","אינה מדויקת או מקוטעת"))))</f>
        <v/>
      </c>
      <c r="Z779" s="32">
        <f>IF($C779="","",IF(COUNTA($U779:$W779)&lt;3,"",IF(AND($U779="מפותח",$V779="מפותח",$W779="מפותחת"),"מפותחת",IF((--($U779="דל"))+(--($V779="אינו מפותח"))+(--($W779="דלה"))&gt;=2,"אינה מפותחת","חלקית"))))</f>
        <v/>
      </c>
      <c r="AA779" s="32">
        <f>IF($C779="","",IF(COUNTA($M779,$N779,$O779)&lt;3,"— חסרים נתונים",IF(OR($M779="נמוכה",(--($M779&lt;&gt;"תקינה"))+(--($N779&lt;&gt;"תקין"))+(--($O779&lt;&gt;"תקינה"))&gt;=2),"ניכרת","אינה ניכרת")))</f>
        <v/>
      </c>
      <c r="AB779" s="32">
        <f>IF(OR($C779="",$Y779="",$AA779="",LEFT($Y779,1)="—",LEFT($AA779,1)="—"),"",IF($Z779="","— נדרשת הערכת כתיבה",IF($L779="","— חסרה הבנת הנקרא",IF($Y779="אינה מדויקת או מקוטעת",IF($AA779="ניכרת","מיקוד בשטף הקריאה ובכישורי שפה","מיקוד בשטף קריאה"),IF($AA779="ניכרת","מיקוד בכישורי שפה",IF(AND($L779="תקינה",$Z779="מפותחת"),"קוראים וכותבים מיומנים","מיקוד בהבנה והבעה"))))))</f>
        <v/>
      </c>
      <c r="AC779" s="32">
        <f>IF(OR($AB779="",LEFT($AB779,1)="—"),"",IF(OR($AB779="מיקוד בשטף קריאה",$AB779="מיקוד בשטף הקריאה ובכישורי שפה"),"רמה א'",IF($AB779="קוראים וכותבים מיומנים","רמה ג'","רמה ב'")))</f>
        <v/>
      </c>
      <c r="AD779" s="32">
        <f>IF($AC779="","",MID(IF(AND($AC779="רמה א'",$AA779="ניכרת"),"; להוסיף עבודת אוצר מילים","")&amp;IF($Z779="אינה מפותחת","; דגש על הבעה בכתב","")&amp;IF($K779&lt;&gt;"תקין","; נדרש לעבוד על ההנגנה","")&amp;IF($AK779&lt;&gt;"","; "&amp;$AK779,""),3,400))</f>
        <v/>
      </c>
      <c r="AE779" s="32">
        <f>IF($F779="","",IF($F779="תחילת שנה",1,IF($F779="מחצית שנה",2,3)))</f>
        <v/>
      </c>
      <c r="AF779" s="32">
        <f>IF(OR($B779="",$AC779="",$A779="",$F779=""),"",$B779&amp;"|"&amp;$A779&amp;"|"&amp;$F779&amp;"|"&amp;$AC779&amp;"|"&amp;COUNTIFS($B$6:$B779,$B779,$A$6:$A779,$A779,$F$6:$F779,$F779,$AC$6:$AC779,$AC779))</f>
        <v/>
      </c>
      <c r="AG779" s="32">
        <f>IF($C779="","",$C779&amp;"|"&amp;COUNTIFS($C$6:$C779,$C779))</f>
        <v/>
      </c>
      <c r="AH779" s="32">
        <f>IF(OR($C779="",$A779="",$AE779=""),"",$C779&amp;"|"&amp;$A779&amp;"|"&amp;$AE779)</f>
        <v/>
      </c>
      <c r="AI779" s="32">
        <f>IF(OR($C779="",$AE779="",$AE779=1),"",IFERROR(INDEX($AC$6:$AC$1505,MATCH($C779&amp;"|"&amp;$A779&amp;"|"&amp;($AE779-1),$AH$6:$AH$1505,0)),""))</f>
        <v/>
      </c>
      <c r="AJ779" s="32">
        <f>IF(OR($AI779="",$AC779=""),"",IF($AI779=$AC779,"ללא שינוי","מ-"&amp;$AI779&amp;" ל-"&amp;$AC779))</f>
        <v/>
      </c>
      <c r="AK779" s="67" t="n"/>
    </row>
    <row r="780" ht="15.75" customHeight="1" s="58">
      <c r="A780" s="65" t="n"/>
      <c r="B780" s="65" t="n"/>
      <c r="C780" s="66" t="n"/>
      <c r="D780" s="66" t="n"/>
      <c r="E780" s="65" t="n"/>
      <c r="F780" s="65" t="n"/>
      <c r="G780" s="65" t="n"/>
      <c r="H780" s="65" t="n"/>
      <c r="I780" s="65" t="n"/>
      <c r="J780" s="65" t="n"/>
      <c r="K780" s="65" t="n"/>
      <c r="L780" s="65" t="n"/>
      <c r="M780" s="65" t="n"/>
      <c r="N780" s="65" t="n"/>
      <c r="O780" s="65" t="n"/>
      <c r="P780" s="65" t="n"/>
      <c r="Q780" s="65" t="n"/>
      <c r="R780" s="65" t="n"/>
      <c r="S780" s="65" t="n"/>
      <c r="T780" s="65" t="n"/>
      <c r="U780" s="65" t="n"/>
      <c r="V780" s="65" t="n"/>
      <c r="W780" s="65" t="n"/>
      <c r="X780" s="65" t="n"/>
      <c r="Y780" s="32">
        <f>IF($C780="","",IF(COUNTA($I780:$K780)&lt;3,"— חסרים נתונים",IF(AND($I780="תקין",$J780="תקין",$K780="תקין"),"רהוטה",IF(AND($I780="תקין",$J780="תקין"),"מדויקת ורציפה","אינה מדויקת או מקוטעת"))))</f>
        <v/>
      </c>
      <c r="Z780" s="32">
        <f>IF($C780="","",IF(COUNTA($U780:$W780)&lt;3,"",IF(AND($U780="מפותח",$V780="מפותח",$W780="מפותחת"),"מפותחת",IF((--($U780="דל"))+(--($V780="אינו מפותח"))+(--($W780="דלה"))&gt;=2,"אינה מפותחת","חלקית"))))</f>
        <v/>
      </c>
      <c r="AA780" s="32">
        <f>IF($C780="","",IF(COUNTA($M780,$N780,$O780)&lt;3,"— חסרים נתונים",IF(OR($M780="נמוכה",(--($M780&lt;&gt;"תקינה"))+(--($N780&lt;&gt;"תקין"))+(--($O780&lt;&gt;"תקינה"))&gt;=2),"ניכרת","אינה ניכרת")))</f>
        <v/>
      </c>
      <c r="AB780" s="32">
        <f>IF(OR($C780="",$Y780="",$AA780="",LEFT($Y780,1)="—",LEFT($AA780,1)="—"),"",IF($Z780="","— נדרשת הערכת כתיבה",IF($L780="","— חסרה הבנת הנקרא",IF($Y780="אינה מדויקת או מקוטעת",IF($AA780="ניכרת","מיקוד בשטף הקריאה ובכישורי שפה","מיקוד בשטף קריאה"),IF($AA780="ניכרת","מיקוד בכישורי שפה",IF(AND($L780="תקינה",$Z780="מפותחת"),"קוראים וכותבים מיומנים","מיקוד בהבנה והבעה"))))))</f>
        <v/>
      </c>
      <c r="AC780" s="32">
        <f>IF(OR($AB780="",LEFT($AB780,1)="—"),"",IF(OR($AB780="מיקוד בשטף קריאה",$AB780="מיקוד בשטף הקריאה ובכישורי שפה"),"רמה א'",IF($AB780="קוראים וכותבים מיומנים","רמה ג'","רמה ב'")))</f>
        <v/>
      </c>
      <c r="AD780" s="32">
        <f>IF($AC780="","",MID(IF(AND($AC780="רמה א'",$AA780="ניכרת"),"; להוסיף עבודת אוצר מילים","")&amp;IF($Z780="אינה מפותחת","; דגש על הבעה בכתב","")&amp;IF($K780&lt;&gt;"תקין","; נדרש לעבוד על ההנגנה","")&amp;IF($AK780&lt;&gt;"","; "&amp;$AK780,""),3,400))</f>
        <v/>
      </c>
      <c r="AE780" s="32">
        <f>IF($F780="","",IF($F780="תחילת שנה",1,IF($F780="מחצית שנה",2,3)))</f>
        <v/>
      </c>
      <c r="AF780" s="32">
        <f>IF(OR($B780="",$AC780="",$A780="",$F780=""),"",$B780&amp;"|"&amp;$A780&amp;"|"&amp;$F780&amp;"|"&amp;$AC780&amp;"|"&amp;COUNTIFS($B$6:$B780,$B780,$A$6:$A780,$A780,$F$6:$F780,$F780,$AC$6:$AC780,$AC780))</f>
        <v/>
      </c>
      <c r="AG780" s="32">
        <f>IF($C780="","",$C780&amp;"|"&amp;COUNTIFS($C$6:$C780,$C780))</f>
        <v/>
      </c>
      <c r="AH780" s="32">
        <f>IF(OR($C780="",$A780="",$AE780=""),"",$C780&amp;"|"&amp;$A780&amp;"|"&amp;$AE780)</f>
        <v/>
      </c>
      <c r="AI780" s="32">
        <f>IF(OR($C780="",$AE780="",$AE780=1),"",IFERROR(INDEX($AC$6:$AC$1505,MATCH($C780&amp;"|"&amp;$A780&amp;"|"&amp;($AE780-1),$AH$6:$AH$1505,0)),""))</f>
        <v/>
      </c>
      <c r="AJ780" s="32">
        <f>IF(OR($AI780="",$AC780=""),"",IF($AI780=$AC780,"ללא שינוי","מ-"&amp;$AI780&amp;" ל-"&amp;$AC780))</f>
        <v/>
      </c>
      <c r="AK780" s="67" t="n"/>
    </row>
    <row r="781" ht="15.75" customHeight="1" s="58">
      <c r="A781" s="65" t="n"/>
      <c r="B781" s="65" t="n"/>
      <c r="C781" s="66" t="n"/>
      <c r="D781" s="66" t="n"/>
      <c r="E781" s="65" t="n"/>
      <c r="F781" s="65" t="n"/>
      <c r="G781" s="65" t="n"/>
      <c r="H781" s="65" t="n"/>
      <c r="I781" s="65" t="n"/>
      <c r="J781" s="65" t="n"/>
      <c r="K781" s="65" t="n"/>
      <c r="L781" s="65" t="n"/>
      <c r="M781" s="65" t="n"/>
      <c r="N781" s="65" t="n"/>
      <c r="O781" s="65" t="n"/>
      <c r="P781" s="65" t="n"/>
      <c r="Q781" s="65" t="n"/>
      <c r="R781" s="65" t="n"/>
      <c r="S781" s="65" t="n"/>
      <c r="T781" s="65" t="n"/>
      <c r="U781" s="65" t="n"/>
      <c r="V781" s="65" t="n"/>
      <c r="W781" s="65" t="n"/>
      <c r="X781" s="65" t="n"/>
      <c r="Y781" s="32">
        <f>IF($C781="","",IF(COUNTA($I781:$K781)&lt;3,"— חסרים נתונים",IF(AND($I781="תקין",$J781="תקין",$K781="תקין"),"רהוטה",IF(AND($I781="תקין",$J781="תקין"),"מדויקת ורציפה","אינה מדויקת או מקוטעת"))))</f>
        <v/>
      </c>
      <c r="Z781" s="32">
        <f>IF($C781="","",IF(COUNTA($U781:$W781)&lt;3,"",IF(AND($U781="מפותח",$V781="מפותח",$W781="מפותחת"),"מפותחת",IF((--($U781="דל"))+(--($V781="אינו מפותח"))+(--($W781="דלה"))&gt;=2,"אינה מפותחת","חלקית"))))</f>
        <v/>
      </c>
      <c r="AA781" s="32">
        <f>IF($C781="","",IF(COUNTA($M781,$N781,$O781)&lt;3,"— חסרים נתונים",IF(OR($M781="נמוכה",(--($M781&lt;&gt;"תקינה"))+(--($N781&lt;&gt;"תקין"))+(--($O781&lt;&gt;"תקינה"))&gt;=2),"ניכרת","אינה ניכרת")))</f>
        <v/>
      </c>
      <c r="AB781" s="32">
        <f>IF(OR($C781="",$Y781="",$AA781="",LEFT($Y781,1)="—",LEFT($AA781,1)="—"),"",IF($Z781="","— נדרשת הערכת כתיבה",IF($L781="","— חסרה הבנת הנקרא",IF($Y781="אינה מדויקת או מקוטעת",IF($AA781="ניכרת","מיקוד בשטף הקריאה ובכישורי שפה","מיקוד בשטף קריאה"),IF($AA781="ניכרת","מיקוד בכישורי שפה",IF(AND($L781="תקינה",$Z781="מפותחת"),"קוראים וכותבים מיומנים","מיקוד בהבנה והבעה"))))))</f>
        <v/>
      </c>
      <c r="AC781" s="32">
        <f>IF(OR($AB781="",LEFT($AB781,1)="—"),"",IF(OR($AB781="מיקוד בשטף קריאה",$AB781="מיקוד בשטף הקריאה ובכישורי שפה"),"רמה א'",IF($AB781="קוראים וכותבים מיומנים","רמה ג'","רמה ב'")))</f>
        <v/>
      </c>
      <c r="AD781" s="32">
        <f>IF($AC781="","",MID(IF(AND($AC781="רמה א'",$AA781="ניכרת"),"; להוסיף עבודת אוצר מילים","")&amp;IF($Z781="אינה מפותחת","; דגש על הבעה בכתב","")&amp;IF($K781&lt;&gt;"תקין","; נדרש לעבוד על ההנגנה","")&amp;IF($AK781&lt;&gt;"","; "&amp;$AK781,""),3,400))</f>
        <v/>
      </c>
      <c r="AE781" s="32">
        <f>IF($F781="","",IF($F781="תחילת שנה",1,IF($F781="מחצית שנה",2,3)))</f>
        <v/>
      </c>
      <c r="AF781" s="32">
        <f>IF(OR($B781="",$AC781="",$A781="",$F781=""),"",$B781&amp;"|"&amp;$A781&amp;"|"&amp;$F781&amp;"|"&amp;$AC781&amp;"|"&amp;COUNTIFS($B$6:$B781,$B781,$A$6:$A781,$A781,$F$6:$F781,$F781,$AC$6:$AC781,$AC781))</f>
        <v/>
      </c>
      <c r="AG781" s="32">
        <f>IF($C781="","",$C781&amp;"|"&amp;COUNTIFS($C$6:$C781,$C781))</f>
        <v/>
      </c>
      <c r="AH781" s="32">
        <f>IF(OR($C781="",$A781="",$AE781=""),"",$C781&amp;"|"&amp;$A781&amp;"|"&amp;$AE781)</f>
        <v/>
      </c>
      <c r="AI781" s="32">
        <f>IF(OR($C781="",$AE781="",$AE781=1),"",IFERROR(INDEX($AC$6:$AC$1505,MATCH($C781&amp;"|"&amp;$A781&amp;"|"&amp;($AE781-1),$AH$6:$AH$1505,0)),""))</f>
        <v/>
      </c>
      <c r="AJ781" s="32">
        <f>IF(OR($AI781="",$AC781=""),"",IF($AI781=$AC781,"ללא שינוי","מ-"&amp;$AI781&amp;" ל-"&amp;$AC781))</f>
        <v/>
      </c>
      <c r="AK781" s="67" t="n"/>
    </row>
    <row r="782" ht="15.75" customHeight="1" s="58">
      <c r="A782" s="65" t="n"/>
      <c r="B782" s="65" t="n"/>
      <c r="C782" s="66" t="n"/>
      <c r="D782" s="66" t="n"/>
      <c r="E782" s="65" t="n"/>
      <c r="F782" s="65" t="n"/>
      <c r="G782" s="65" t="n"/>
      <c r="H782" s="65" t="n"/>
      <c r="I782" s="65" t="n"/>
      <c r="J782" s="65" t="n"/>
      <c r="K782" s="65" t="n"/>
      <c r="L782" s="65" t="n"/>
      <c r="M782" s="65" t="n"/>
      <c r="N782" s="65" t="n"/>
      <c r="O782" s="65" t="n"/>
      <c r="P782" s="65" t="n"/>
      <c r="Q782" s="65" t="n"/>
      <c r="R782" s="65" t="n"/>
      <c r="S782" s="65" t="n"/>
      <c r="T782" s="65" t="n"/>
      <c r="U782" s="65" t="n"/>
      <c r="V782" s="65" t="n"/>
      <c r="W782" s="65" t="n"/>
      <c r="X782" s="65" t="n"/>
      <c r="Y782" s="32">
        <f>IF($C782="","",IF(COUNTA($I782:$K782)&lt;3,"— חסרים נתונים",IF(AND($I782="תקין",$J782="תקין",$K782="תקין"),"רהוטה",IF(AND($I782="תקין",$J782="תקין"),"מדויקת ורציפה","אינה מדויקת או מקוטעת"))))</f>
        <v/>
      </c>
      <c r="Z782" s="32">
        <f>IF($C782="","",IF(COUNTA($U782:$W782)&lt;3,"",IF(AND($U782="מפותח",$V782="מפותח",$W782="מפותחת"),"מפותחת",IF((--($U782="דל"))+(--($V782="אינו מפותח"))+(--($W782="דלה"))&gt;=2,"אינה מפותחת","חלקית"))))</f>
        <v/>
      </c>
      <c r="AA782" s="32">
        <f>IF($C782="","",IF(COUNTA($M782,$N782,$O782)&lt;3,"— חסרים נתונים",IF(OR($M782="נמוכה",(--($M782&lt;&gt;"תקינה"))+(--($N782&lt;&gt;"תקין"))+(--($O782&lt;&gt;"תקינה"))&gt;=2),"ניכרת","אינה ניכרת")))</f>
        <v/>
      </c>
      <c r="AB782" s="32">
        <f>IF(OR($C782="",$Y782="",$AA782="",LEFT($Y782,1)="—",LEFT($AA782,1)="—"),"",IF($Z782="","— נדרשת הערכת כתיבה",IF($L782="","— חסרה הבנת הנקרא",IF($Y782="אינה מדויקת או מקוטעת",IF($AA782="ניכרת","מיקוד בשטף הקריאה ובכישורי שפה","מיקוד בשטף קריאה"),IF($AA782="ניכרת","מיקוד בכישורי שפה",IF(AND($L782="תקינה",$Z782="מפותחת"),"קוראים וכותבים מיומנים","מיקוד בהבנה והבעה"))))))</f>
        <v/>
      </c>
      <c r="AC782" s="32">
        <f>IF(OR($AB782="",LEFT($AB782,1)="—"),"",IF(OR($AB782="מיקוד בשטף קריאה",$AB782="מיקוד בשטף הקריאה ובכישורי שפה"),"רמה א'",IF($AB782="קוראים וכותבים מיומנים","רמה ג'","רמה ב'")))</f>
        <v/>
      </c>
      <c r="AD782" s="32">
        <f>IF($AC782="","",MID(IF(AND($AC782="רמה א'",$AA782="ניכרת"),"; להוסיף עבודת אוצר מילים","")&amp;IF($Z782="אינה מפותחת","; דגש על הבעה בכתב","")&amp;IF($K782&lt;&gt;"תקין","; נדרש לעבוד על ההנגנה","")&amp;IF($AK782&lt;&gt;"","; "&amp;$AK782,""),3,400))</f>
        <v/>
      </c>
      <c r="AE782" s="32">
        <f>IF($F782="","",IF($F782="תחילת שנה",1,IF($F782="מחצית שנה",2,3)))</f>
        <v/>
      </c>
      <c r="AF782" s="32">
        <f>IF(OR($B782="",$AC782="",$A782="",$F782=""),"",$B782&amp;"|"&amp;$A782&amp;"|"&amp;$F782&amp;"|"&amp;$AC782&amp;"|"&amp;COUNTIFS($B$6:$B782,$B782,$A$6:$A782,$A782,$F$6:$F782,$F782,$AC$6:$AC782,$AC782))</f>
        <v/>
      </c>
      <c r="AG782" s="32">
        <f>IF($C782="","",$C782&amp;"|"&amp;COUNTIFS($C$6:$C782,$C782))</f>
        <v/>
      </c>
      <c r="AH782" s="32">
        <f>IF(OR($C782="",$A782="",$AE782=""),"",$C782&amp;"|"&amp;$A782&amp;"|"&amp;$AE782)</f>
        <v/>
      </c>
      <c r="AI782" s="32">
        <f>IF(OR($C782="",$AE782="",$AE782=1),"",IFERROR(INDEX($AC$6:$AC$1505,MATCH($C782&amp;"|"&amp;$A782&amp;"|"&amp;($AE782-1),$AH$6:$AH$1505,0)),""))</f>
        <v/>
      </c>
      <c r="AJ782" s="32">
        <f>IF(OR($AI782="",$AC782=""),"",IF($AI782=$AC782,"ללא שינוי","מ-"&amp;$AI782&amp;" ל-"&amp;$AC782))</f>
        <v/>
      </c>
      <c r="AK782" s="67" t="n"/>
    </row>
    <row r="783" ht="15.75" customHeight="1" s="58">
      <c r="A783" s="65" t="n"/>
      <c r="B783" s="65" t="n"/>
      <c r="C783" s="66" t="n"/>
      <c r="D783" s="66" t="n"/>
      <c r="E783" s="65" t="n"/>
      <c r="F783" s="65" t="n"/>
      <c r="G783" s="65" t="n"/>
      <c r="H783" s="65" t="n"/>
      <c r="I783" s="65" t="n"/>
      <c r="J783" s="65" t="n"/>
      <c r="K783" s="65" t="n"/>
      <c r="L783" s="65" t="n"/>
      <c r="M783" s="65" t="n"/>
      <c r="N783" s="65" t="n"/>
      <c r="O783" s="65" t="n"/>
      <c r="P783" s="65" t="n"/>
      <c r="Q783" s="65" t="n"/>
      <c r="R783" s="65" t="n"/>
      <c r="S783" s="65" t="n"/>
      <c r="T783" s="65" t="n"/>
      <c r="U783" s="65" t="n"/>
      <c r="V783" s="65" t="n"/>
      <c r="W783" s="65" t="n"/>
      <c r="X783" s="65" t="n"/>
      <c r="Y783" s="32">
        <f>IF($C783="","",IF(COUNTA($I783:$K783)&lt;3,"— חסרים נתונים",IF(AND($I783="תקין",$J783="תקין",$K783="תקין"),"רהוטה",IF(AND($I783="תקין",$J783="תקין"),"מדויקת ורציפה","אינה מדויקת או מקוטעת"))))</f>
        <v/>
      </c>
      <c r="Z783" s="32">
        <f>IF($C783="","",IF(COUNTA($U783:$W783)&lt;3,"",IF(AND($U783="מפותח",$V783="מפותח",$W783="מפותחת"),"מפותחת",IF((--($U783="דל"))+(--($V783="אינו מפותח"))+(--($W783="דלה"))&gt;=2,"אינה מפותחת","חלקית"))))</f>
        <v/>
      </c>
      <c r="AA783" s="32">
        <f>IF($C783="","",IF(COUNTA($M783,$N783,$O783)&lt;3,"— חסרים נתונים",IF(OR($M783="נמוכה",(--($M783&lt;&gt;"תקינה"))+(--($N783&lt;&gt;"תקין"))+(--($O783&lt;&gt;"תקינה"))&gt;=2),"ניכרת","אינה ניכרת")))</f>
        <v/>
      </c>
      <c r="AB783" s="32">
        <f>IF(OR($C783="",$Y783="",$AA783="",LEFT($Y783,1)="—",LEFT($AA783,1)="—"),"",IF($Z783="","— נדרשת הערכת כתיבה",IF($L783="","— חסרה הבנת הנקרא",IF($Y783="אינה מדויקת או מקוטעת",IF($AA783="ניכרת","מיקוד בשטף הקריאה ובכישורי שפה","מיקוד בשטף קריאה"),IF($AA783="ניכרת","מיקוד בכישורי שפה",IF(AND($L783="תקינה",$Z783="מפותחת"),"קוראים וכותבים מיומנים","מיקוד בהבנה והבעה"))))))</f>
        <v/>
      </c>
      <c r="AC783" s="32">
        <f>IF(OR($AB783="",LEFT($AB783,1)="—"),"",IF(OR($AB783="מיקוד בשטף קריאה",$AB783="מיקוד בשטף הקריאה ובכישורי שפה"),"רמה א'",IF($AB783="קוראים וכותבים מיומנים","רמה ג'","רמה ב'")))</f>
        <v/>
      </c>
      <c r="AD783" s="32">
        <f>IF($AC783="","",MID(IF(AND($AC783="רמה א'",$AA783="ניכרת"),"; להוסיף עבודת אוצר מילים","")&amp;IF($Z783="אינה מפותחת","; דגש על הבעה בכתב","")&amp;IF($K783&lt;&gt;"תקין","; נדרש לעבוד על ההנגנה","")&amp;IF($AK783&lt;&gt;"","; "&amp;$AK783,""),3,400))</f>
        <v/>
      </c>
      <c r="AE783" s="32">
        <f>IF($F783="","",IF($F783="תחילת שנה",1,IF($F783="מחצית שנה",2,3)))</f>
        <v/>
      </c>
      <c r="AF783" s="32">
        <f>IF(OR($B783="",$AC783="",$A783="",$F783=""),"",$B783&amp;"|"&amp;$A783&amp;"|"&amp;$F783&amp;"|"&amp;$AC783&amp;"|"&amp;COUNTIFS($B$6:$B783,$B783,$A$6:$A783,$A783,$F$6:$F783,$F783,$AC$6:$AC783,$AC783))</f>
        <v/>
      </c>
      <c r="AG783" s="32">
        <f>IF($C783="","",$C783&amp;"|"&amp;COUNTIFS($C$6:$C783,$C783))</f>
        <v/>
      </c>
      <c r="AH783" s="32">
        <f>IF(OR($C783="",$A783="",$AE783=""),"",$C783&amp;"|"&amp;$A783&amp;"|"&amp;$AE783)</f>
        <v/>
      </c>
      <c r="AI783" s="32">
        <f>IF(OR($C783="",$AE783="",$AE783=1),"",IFERROR(INDEX($AC$6:$AC$1505,MATCH($C783&amp;"|"&amp;$A783&amp;"|"&amp;($AE783-1),$AH$6:$AH$1505,0)),""))</f>
        <v/>
      </c>
      <c r="AJ783" s="32">
        <f>IF(OR($AI783="",$AC783=""),"",IF($AI783=$AC783,"ללא שינוי","מ-"&amp;$AI783&amp;" ל-"&amp;$AC783))</f>
        <v/>
      </c>
      <c r="AK783" s="67" t="n"/>
    </row>
    <row r="784" ht="15.75" customHeight="1" s="58">
      <c r="A784" s="65" t="n"/>
      <c r="B784" s="65" t="n"/>
      <c r="C784" s="66" t="n"/>
      <c r="D784" s="66" t="n"/>
      <c r="E784" s="65" t="n"/>
      <c r="F784" s="65" t="n"/>
      <c r="G784" s="65" t="n"/>
      <c r="H784" s="65" t="n"/>
      <c r="I784" s="65" t="n"/>
      <c r="J784" s="65" t="n"/>
      <c r="K784" s="65" t="n"/>
      <c r="L784" s="65" t="n"/>
      <c r="M784" s="65" t="n"/>
      <c r="N784" s="65" t="n"/>
      <c r="O784" s="65" t="n"/>
      <c r="P784" s="65" t="n"/>
      <c r="Q784" s="65" t="n"/>
      <c r="R784" s="65" t="n"/>
      <c r="S784" s="65" t="n"/>
      <c r="T784" s="65" t="n"/>
      <c r="U784" s="65" t="n"/>
      <c r="V784" s="65" t="n"/>
      <c r="W784" s="65" t="n"/>
      <c r="X784" s="65" t="n"/>
      <c r="Y784" s="32">
        <f>IF($C784="","",IF(COUNTA($I784:$K784)&lt;3,"— חסרים נתונים",IF(AND($I784="תקין",$J784="תקין",$K784="תקין"),"רהוטה",IF(AND($I784="תקין",$J784="תקין"),"מדויקת ורציפה","אינה מדויקת או מקוטעת"))))</f>
        <v/>
      </c>
      <c r="Z784" s="32">
        <f>IF($C784="","",IF(COUNTA($U784:$W784)&lt;3,"",IF(AND($U784="מפותח",$V784="מפותח",$W784="מפותחת"),"מפותחת",IF((--($U784="דל"))+(--($V784="אינו מפותח"))+(--($W784="דלה"))&gt;=2,"אינה מפותחת","חלקית"))))</f>
        <v/>
      </c>
      <c r="AA784" s="32">
        <f>IF($C784="","",IF(COUNTA($M784,$N784,$O784)&lt;3,"— חסרים נתונים",IF(OR($M784="נמוכה",(--($M784&lt;&gt;"תקינה"))+(--($N784&lt;&gt;"תקין"))+(--($O784&lt;&gt;"תקינה"))&gt;=2),"ניכרת","אינה ניכרת")))</f>
        <v/>
      </c>
      <c r="AB784" s="32">
        <f>IF(OR($C784="",$Y784="",$AA784="",LEFT($Y784,1)="—",LEFT($AA784,1)="—"),"",IF($Z784="","— נדרשת הערכת כתיבה",IF($L784="","— חסרה הבנת הנקרא",IF($Y784="אינה מדויקת או מקוטעת",IF($AA784="ניכרת","מיקוד בשטף הקריאה ובכישורי שפה","מיקוד בשטף קריאה"),IF($AA784="ניכרת","מיקוד בכישורי שפה",IF(AND($L784="תקינה",$Z784="מפותחת"),"קוראים וכותבים מיומנים","מיקוד בהבנה והבעה"))))))</f>
        <v/>
      </c>
      <c r="AC784" s="32">
        <f>IF(OR($AB784="",LEFT($AB784,1)="—"),"",IF(OR($AB784="מיקוד בשטף קריאה",$AB784="מיקוד בשטף הקריאה ובכישורי שפה"),"רמה א'",IF($AB784="קוראים וכותבים מיומנים","רמה ג'","רמה ב'")))</f>
        <v/>
      </c>
      <c r="AD784" s="32">
        <f>IF($AC784="","",MID(IF(AND($AC784="רמה א'",$AA784="ניכרת"),"; להוסיף עבודת אוצר מילים","")&amp;IF($Z784="אינה מפותחת","; דגש על הבעה בכתב","")&amp;IF($K784&lt;&gt;"תקין","; נדרש לעבוד על ההנגנה","")&amp;IF($AK784&lt;&gt;"","; "&amp;$AK784,""),3,400))</f>
        <v/>
      </c>
      <c r="AE784" s="32">
        <f>IF($F784="","",IF($F784="תחילת שנה",1,IF($F784="מחצית שנה",2,3)))</f>
        <v/>
      </c>
      <c r="AF784" s="32">
        <f>IF(OR($B784="",$AC784="",$A784="",$F784=""),"",$B784&amp;"|"&amp;$A784&amp;"|"&amp;$F784&amp;"|"&amp;$AC784&amp;"|"&amp;COUNTIFS($B$6:$B784,$B784,$A$6:$A784,$A784,$F$6:$F784,$F784,$AC$6:$AC784,$AC784))</f>
        <v/>
      </c>
      <c r="AG784" s="32">
        <f>IF($C784="","",$C784&amp;"|"&amp;COUNTIFS($C$6:$C784,$C784))</f>
        <v/>
      </c>
      <c r="AH784" s="32">
        <f>IF(OR($C784="",$A784="",$AE784=""),"",$C784&amp;"|"&amp;$A784&amp;"|"&amp;$AE784)</f>
        <v/>
      </c>
      <c r="AI784" s="32">
        <f>IF(OR($C784="",$AE784="",$AE784=1),"",IFERROR(INDEX($AC$6:$AC$1505,MATCH($C784&amp;"|"&amp;$A784&amp;"|"&amp;($AE784-1),$AH$6:$AH$1505,0)),""))</f>
        <v/>
      </c>
      <c r="AJ784" s="32">
        <f>IF(OR($AI784="",$AC784=""),"",IF($AI784=$AC784,"ללא שינוי","מ-"&amp;$AI784&amp;" ל-"&amp;$AC784))</f>
        <v/>
      </c>
      <c r="AK784" s="67" t="n"/>
    </row>
    <row r="785" ht="15.75" customHeight="1" s="58">
      <c r="A785" s="65" t="n"/>
      <c r="B785" s="65" t="n"/>
      <c r="C785" s="66" t="n"/>
      <c r="D785" s="66" t="n"/>
      <c r="E785" s="65" t="n"/>
      <c r="F785" s="65" t="n"/>
      <c r="G785" s="65" t="n"/>
      <c r="H785" s="65" t="n"/>
      <c r="I785" s="65" t="n"/>
      <c r="J785" s="65" t="n"/>
      <c r="K785" s="65" t="n"/>
      <c r="L785" s="65" t="n"/>
      <c r="M785" s="65" t="n"/>
      <c r="N785" s="65" t="n"/>
      <c r="O785" s="65" t="n"/>
      <c r="P785" s="65" t="n"/>
      <c r="Q785" s="65" t="n"/>
      <c r="R785" s="65" t="n"/>
      <c r="S785" s="65" t="n"/>
      <c r="T785" s="65" t="n"/>
      <c r="U785" s="65" t="n"/>
      <c r="V785" s="65" t="n"/>
      <c r="W785" s="65" t="n"/>
      <c r="X785" s="65" t="n"/>
      <c r="Y785" s="32">
        <f>IF($C785="","",IF(COUNTA($I785:$K785)&lt;3,"— חסרים נתונים",IF(AND($I785="תקין",$J785="תקין",$K785="תקין"),"רהוטה",IF(AND($I785="תקין",$J785="תקין"),"מדויקת ורציפה","אינה מדויקת או מקוטעת"))))</f>
        <v/>
      </c>
      <c r="Z785" s="32">
        <f>IF($C785="","",IF(COUNTA($U785:$W785)&lt;3,"",IF(AND($U785="מפותח",$V785="מפותח",$W785="מפותחת"),"מפותחת",IF((--($U785="דל"))+(--($V785="אינו מפותח"))+(--($W785="דלה"))&gt;=2,"אינה מפותחת","חלקית"))))</f>
        <v/>
      </c>
      <c r="AA785" s="32">
        <f>IF($C785="","",IF(COUNTA($M785,$N785,$O785)&lt;3,"— חסרים נתונים",IF(OR($M785="נמוכה",(--($M785&lt;&gt;"תקינה"))+(--($N785&lt;&gt;"תקין"))+(--($O785&lt;&gt;"תקינה"))&gt;=2),"ניכרת","אינה ניכרת")))</f>
        <v/>
      </c>
      <c r="AB785" s="32">
        <f>IF(OR($C785="",$Y785="",$AA785="",LEFT($Y785,1)="—",LEFT($AA785,1)="—"),"",IF($Z785="","— נדרשת הערכת כתיבה",IF($L785="","— חסרה הבנת הנקרא",IF($Y785="אינה מדויקת או מקוטעת",IF($AA785="ניכרת","מיקוד בשטף הקריאה ובכישורי שפה","מיקוד בשטף קריאה"),IF($AA785="ניכרת","מיקוד בכישורי שפה",IF(AND($L785="תקינה",$Z785="מפותחת"),"קוראים וכותבים מיומנים","מיקוד בהבנה והבעה"))))))</f>
        <v/>
      </c>
      <c r="AC785" s="32">
        <f>IF(OR($AB785="",LEFT($AB785,1)="—"),"",IF(OR($AB785="מיקוד בשטף קריאה",$AB785="מיקוד בשטף הקריאה ובכישורי שפה"),"רמה א'",IF($AB785="קוראים וכותבים מיומנים","רמה ג'","רמה ב'")))</f>
        <v/>
      </c>
      <c r="AD785" s="32">
        <f>IF($AC785="","",MID(IF(AND($AC785="רמה א'",$AA785="ניכרת"),"; להוסיף עבודת אוצר מילים","")&amp;IF($Z785="אינה מפותחת","; דגש על הבעה בכתב","")&amp;IF($K785&lt;&gt;"תקין","; נדרש לעבוד על ההנגנה","")&amp;IF($AK785&lt;&gt;"","; "&amp;$AK785,""),3,400))</f>
        <v/>
      </c>
      <c r="AE785" s="32">
        <f>IF($F785="","",IF($F785="תחילת שנה",1,IF($F785="מחצית שנה",2,3)))</f>
        <v/>
      </c>
      <c r="AF785" s="32">
        <f>IF(OR($B785="",$AC785="",$A785="",$F785=""),"",$B785&amp;"|"&amp;$A785&amp;"|"&amp;$F785&amp;"|"&amp;$AC785&amp;"|"&amp;COUNTIFS($B$6:$B785,$B785,$A$6:$A785,$A785,$F$6:$F785,$F785,$AC$6:$AC785,$AC785))</f>
        <v/>
      </c>
      <c r="AG785" s="32">
        <f>IF($C785="","",$C785&amp;"|"&amp;COUNTIFS($C$6:$C785,$C785))</f>
        <v/>
      </c>
      <c r="AH785" s="32">
        <f>IF(OR($C785="",$A785="",$AE785=""),"",$C785&amp;"|"&amp;$A785&amp;"|"&amp;$AE785)</f>
        <v/>
      </c>
      <c r="AI785" s="32">
        <f>IF(OR($C785="",$AE785="",$AE785=1),"",IFERROR(INDEX($AC$6:$AC$1505,MATCH($C785&amp;"|"&amp;$A785&amp;"|"&amp;($AE785-1),$AH$6:$AH$1505,0)),""))</f>
        <v/>
      </c>
      <c r="AJ785" s="32">
        <f>IF(OR($AI785="",$AC785=""),"",IF($AI785=$AC785,"ללא שינוי","מ-"&amp;$AI785&amp;" ל-"&amp;$AC785))</f>
        <v/>
      </c>
      <c r="AK785" s="67" t="n"/>
    </row>
    <row r="786" ht="15.75" customHeight="1" s="58">
      <c r="A786" s="65" t="n"/>
      <c r="B786" s="65" t="n"/>
      <c r="C786" s="66" t="n"/>
      <c r="D786" s="66" t="n"/>
      <c r="E786" s="65" t="n"/>
      <c r="F786" s="65" t="n"/>
      <c r="G786" s="65" t="n"/>
      <c r="H786" s="65" t="n"/>
      <c r="I786" s="65" t="n"/>
      <c r="J786" s="65" t="n"/>
      <c r="K786" s="65" t="n"/>
      <c r="L786" s="65" t="n"/>
      <c r="M786" s="65" t="n"/>
      <c r="N786" s="65" t="n"/>
      <c r="O786" s="65" t="n"/>
      <c r="P786" s="65" t="n"/>
      <c r="Q786" s="65" t="n"/>
      <c r="R786" s="65" t="n"/>
      <c r="S786" s="65" t="n"/>
      <c r="T786" s="65" t="n"/>
      <c r="U786" s="65" t="n"/>
      <c r="V786" s="65" t="n"/>
      <c r="W786" s="65" t="n"/>
      <c r="X786" s="65" t="n"/>
      <c r="Y786" s="32">
        <f>IF($C786="","",IF(COUNTA($I786:$K786)&lt;3,"— חסרים נתונים",IF(AND($I786="תקין",$J786="תקין",$K786="תקין"),"רהוטה",IF(AND($I786="תקין",$J786="תקין"),"מדויקת ורציפה","אינה מדויקת או מקוטעת"))))</f>
        <v/>
      </c>
      <c r="Z786" s="32">
        <f>IF($C786="","",IF(COUNTA($U786:$W786)&lt;3,"",IF(AND($U786="מפותח",$V786="מפותח",$W786="מפותחת"),"מפותחת",IF((--($U786="דל"))+(--($V786="אינו מפותח"))+(--($W786="דלה"))&gt;=2,"אינה מפותחת","חלקית"))))</f>
        <v/>
      </c>
      <c r="AA786" s="32">
        <f>IF($C786="","",IF(COUNTA($M786,$N786,$O786)&lt;3,"— חסרים נתונים",IF(OR($M786="נמוכה",(--($M786&lt;&gt;"תקינה"))+(--($N786&lt;&gt;"תקין"))+(--($O786&lt;&gt;"תקינה"))&gt;=2),"ניכרת","אינה ניכרת")))</f>
        <v/>
      </c>
      <c r="AB786" s="32">
        <f>IF(OR($C786="",$Y786="",$AA786="",LEFT($Y786,1)="—",LEFT($AA786,1)="—"),"",IF($Z786="","— נדרשת הערכת כתיבה",IF($L786="","— חסרה הבנת הנקרא",IF($Y786="אינה מדויקת או מקוטעת",IF($AA786="ניכרת","מיקוד בשטף הקריאה ובכישורי שפה","מיקוד בשטף קריאה"),IF($AA786="ניכרת","מיקוד בכישורי שפה",IF(AND($L786="תקינה",$Z786="מפותחת"),"קוראים וכותבים מיומנים","מיקוד בהבנה והבעה"))))))</f>
        <v/>
      </c>
      <c r="AC786" s="32">
        <f>IF(OR($AB786="",LEFT($AB786,1)="—"),"",IF(OR($AB786="מיקוד בשטף קריאה",$AB786="מיקוד בשטף הקריאה ובכישורי שפה"),"רמה א'",IF($AB786="קוראים וכותבים מיומנים","רמה ג'","רמה ב'")))</f>
        <v/>
      </c>
      <c r="AD786" s="32">
        <f>IF($AC786="","",MID(IF(AND($AC786="רמה א'",$AA786="ניכרת"),"; להוסיף עבודת אוצר מילים","")&amp;IF($Z786="אינה מפותחת","; דגש על הבעה בכתב","")&amp;IF($K786&lt;&gt;"תקין","; נדרש לעבוד על ההנגנה","")&amp;IF($AK786&lt;&gt;"","; "&amp;$AK786,""),3,400))</f>
        <v/>
      </c>
      <c r="AE786" s="32">
        <f>IF($F786="","",IF($F786="תחילת שנה",1,IF($F786="מחצית שנה",2,3)))</f>
        <v/>
      </c>
      <c r="AF786" s="32">
        <f>IF(OR($B786="",$AC786="",$A786="",$F786=""),"",$B786&amp;"|"&amp;$A786&amp;"|"&amp;$F786&amp;"|"&amp;$AC786&amp;"|"&amp;COUNTIFS($B$6:$B786,$B786,$A$6:$A786,$A786,$F$6:$F786,$F786,$AC$6:$AC786,$AC786))</f>
        <v/>
      </c>
      <c r="AG786" s="32">
        <f>IF($C786="","",$C786&amp;"|"&amp;COUNTIFS($C$6:$C786,$C786))</f>
        <v/>
      </c>
      <c r="AH786" s="32">
        <f>IF(OR($C786="",$A786="",$AE786=""),"",$C786&amp;"|"&amp;$A786&amp;"|"&amp;$AE786)</f>
        <v/>
      </c>
      <c r="AI786" s="32">
        <f>IF(OR($C786="",$AE786="",$AE786=1),"",IFERROR(INDEX($AC$6:$AC$1505,MATCH($C786&amp;"|"&amp;$A786&amp;"|"&amp;($AE786-1),$AH$6:$AH$1505,0)),""))</f>
        <v/>
      </c>
      <c r="AJ786" s="32">
        <f>IF(OR($AI786="",$AC786=""),"",IF($AI786=$AC786,"ללא שינוי","מ-"&amp;$AI786&amp;" ל-"&amp;$AC786))</f>
        <v/>
      </c>
      <c r="AK786" s="67" t="n"/>
    </row>
    <row r="787" ht="15.75" customHeight="1" s="58">
      <c r="A787" s="65" t="n"/>
      <c r="B787" s="65" t="n"/>
      <c r="C787" s="66" t="n"/>
      <c r="D787" s="66" t="n"/>
      <c r="E787" s="65" t="n"/>
      <c r="F787" s="65" t="n"/>
      <c r="G787" s="65" t="n"/>
      <c r="H787" s="65" t="n"/>
      <c r="I787" s="65" t="n"/>
      <c r="J787" s="65" t="n"/>
      <c r="K787" s="65" t="n"/>
      <c r="L787" s="65" t="n"/>
      <c r="M787" s="65" t="n"/>
      <c r="N787" s="65" t="n"/>
      <c r="O787" s="65" t="n"/>
      <c r="P787" s="65" t="n"/>
      <c r="Q787" s="65" t="n"/>
      <c r="R787" s="65" t="n"/>
      <c r="S787" s="65" t="n"/>
      <c r="T787" s="65" t="n"/>
      <c r="U787" s="65" t="n"/>
      <c r="V787" s="65" t="n"/>
      <c r="W787" s="65" t="n"/>
      <c r="X787" s="65" t="n"/>
      <c r="Y787" s="32">
        <f>IF($C787="","",IF(COUNTA($I787:$K787)&lt;3,"— חסרים נתונים",IF(AND($I787="תקין",$J787="תקין",$K787="תקין"),"רהוטה",IF(AND($I787="תקין",$J787="תקין"),"מדויקת ורציפה","אינה מדויקת או מקוטעת"))))</f>
        <v/>
      </c>
      <c r="Z787" s="32">
        <f>IF($C787="","",IF(COUNTA($U787:$W787)&lt;3,"",IF(AND($U787="מפותח",$V787="מפותח",$W787="מפותחת"),"מפותחת",IF((--($U787="דל"))+(--($V787="אינו מפותח"))+(--($W787="דלה"))&gt;=2,"אינה מפותחת","חלקית"))))</f>
        <v/>
      </c>
      <c r="AA787" s="32">
        <f>IF($C787="","",IF(COUNTA($M787,$N787,$O787)&lt;3,"— חסרים נתונים",IF(OR($M787="נמוכה",(--($M787&lt;&gt;"תקינה"))+(--($N787&lt;&gt;"תקין"))+(--($O787&lt;&gt;"תקינה"))&gt;=2),"ניכרת","אינה ניכרת")))</f>
        <v/>
      </c>
      <c r="AB787" s="32">
        <f>IF(OR($C787="",$Y787="",$AA787="",LEFT($Y787,1)="—",LEFT($AA787,1)="—"),"",IF($Z787="","— נדרשת הערכת כתיבה",IF($L787="","— חסרה הבנת הנקרא",IF($Y787="אינה מדויקת או מקוטעת",IF($AA787="ניכרת","מיקוד בשטף הקריאה ובכישורי שפה","מיקוד בשטף קריאה"),IF($AA787="ניכרת","מיקוד בכישורי שפה",IF(AND($L787="תקינה",$Z787="מפותחת"),"קוראים וכותבים מיומנים","מיקוד בהבנה והבעה"))))))</f>
        <v/>
      </c>
      <c r="AC787" s="32">
        <f>IF(OR($AB787="",LEFT($AB787,1)="—"),"",IF(OR($AB787="מיקוד בשטף קריאה",$AB787="מיקוד בשטף הקריאה ובכישורי שפה"),"רמה א'",IF($AB787="קוראים וכותבים מיומנים","רמה ג'","רמה ב'")))</f>
        <v/>
      </c>
      <c r="AD787" s="32">
        <f>IF($AC787="","",MID(IF(AND($AC787="רמה א'",$AA787="ניכרת"),"; להוסיף עבודת אוצר מילים","")&amp;IF($Z787="אינה מפותחת","; דגש על הבעה בכתב","")&amp;IF($K787&lt;&gt;"תקין","; נדרש לעבוד על ההנגנה","")&amp;IF($AK787&lt;&gt;"","; "&amp;$AK787,""),3,400))</f>
        <v/>
      </c>
      <c r="AE787" s="32">
        <f>IF($F787="","",IF($F787="תחילת שנה",1,IF($F787="מחצית שנה",2,3)))</f>
        <v/>
      </c>
      <c r="AF787" s="32">
        <f>IF(OR($B787="",$AC787="",$A787="",$F787=""),"",$B787&amp;"|"&amp;$A787&amp;"|"&amp;$F787&amp;"|"&amp;$AC787&amp;"|"&amp;COUNTIFS($B$6:$B787,$B787,$A$6:$A787,$A787,$F$6:$F787,$F787,$AC$6:$AC787,$AC787))</f>
        <v/>
      </c>
      <c r="AG787" s="32">
        <f>IF($C787="","",$C787&amp;"|"&amp;COUNTIFS($C$6:$C787,$C787))</f>
        <v/>
      </c>
      <c r="AH787" s="32">
        <f>IF(OR($C787="",$A787="",$AE787=""),"",$C787&amp;"|"&amp;$A787&amp;"|"&amp;$AE787)</f>
        <v/>
      </c>
      <c r="AI787" s="32">
        <f>IF(OR($C787="",$AE787="",$AE787=1),"",IFERROR(INDEX($AC$6:$AC$1505,MATCH($C787&amp;"|"&amp;$A787&amp;"|"&amp;($AE787-1),$AH$6:$AH$1505,0)),""))</f>
        <v/>
      </c>
      <c r="AJ787" s="32">
        <f>IF(OR($AI787="",$AC787=""),"",IF($AI787=$AC787,"ללא שינוי","מ-"&amp;$AI787&amp;" ל-"&amp;$AC787))</f>
        <v/>
      </c>
      <c r="AK787" s="67" t="n"/>
    </row>
    <row r="788" ht="15.75" customHeight="1" s="58">
      <c r="A788" s="65" t="n"/>
      <c r="B788" s="65" t="n"/>
      <c r="C788" s="66" t="n"/>
      <c r="D788" s="66" t="n"/>
      <c r="E788" s="65" t="n"/>
      <c r="F788" s="65" t="n"/>
      <c r="G788" s="65" t="n"/>
      <c r="H788" s="65" t="n"/>
      <c r="I788" s="65" t="n"/>
      <c r="J788" s="65" t="n"/>
      <c r="K788" s="65" t="n"/>
      <c r="L788" s="65" t="n"/>
      <c r="M788" s="65" t="n"/>
      <c r="N788" s="65" t="n"/>
      <c r="O788" s="65" t="n"/>
      <c r="P788" s="65" t="n"/>
      <c r="Q788" s="65" t="n"/>
      <c r="R788" s="65" t="n"/>
      <c r="S788" s="65" t="n"/>
      <c r="T788" s="65" t="n"/>
      <c r="U788" s="65" t="n"/>
      <c r="V788" s="65" t="n"/>
      <c r="W788" s="65" t="n"/>
      <c r="X788" s="65" t="n"/>
      <c r="Y788" s="32">
        <f>IF($C788="","",IF(COUNTA($I788:$K788)&lt;3,"— חסרים נתונים",IF(AND($I788="תקין",$J788="תקין",$K788="תקין"),"רהוטה",IF(AND($I788="תקין",$J788="תקין"),"מדויקת ורציפה","אינה מדויקת או מקוטעת"))))</f>
        <v/>
      </c>
      <c r="Z788" s="32">
        <f>IF($C788="","",IF(COUNTA($U788:$W788)&lt;3,"",IF(AND($U788="מפותח",$V788="מפותח",$W788="מפותחת"),"מפותחת",IF((--($U788="דל"))+(--($V788="אינו מפותח"))+(--($W788="דלה"))&gt;=2,"אינה מפותחת","חלקית"))))</f>
        <v/>
      </c>
      <c r="AA788" s="32">
        <f>IF($C788="","",IF(COUNTA($M788,$N788,$O788)&lt;3,"— חסרים נתונים",IF(OR($M788="נמוכה",(--($M788&lt;&gt;"תקינה"))+(--($N788&lt;&gt;"תקין"))+(--($O788&lt;&gt;"תקינה"))&gt;=2),"ניכרת","אינה ניכרת")))</f>
        <v/>
      </c>
      <c r="AB788" s="32">
        <f>IF(OR($C788="",$Y788="",$AA788="",LEFT($Y788,1)="—",LEFT($AA788,1)="—"),"",IF($Z788="","— נדרשת הערכת כתיבה",IF($L788="","— חסרה הבנת הנקרא",IF($Y788="אינה מדויקת או מקוטעת",IF($AA788="ניכרת","מיקוד בשטף הקריאה ובכישורי שפה","מיקוד בשטף קריאה"),IF($AA788="ניכרת","מיקוד בכישורי שפה",IF(AND($L788="תקינה",$Z788="מפותחת"),"קוראים וכותבים מיומנים","מיקוד בהבנה והבעה"))))))</f>
        <v/>
      </c>
      <c r="AC788" s="32">
        <f>IF(OR($AB788="",LEFT($AB788,1)="—"),"",IF(OR($AB788="מיקוד בשטף קריאה",$AB788="מיקוד בשטף הקריאה ובכישורי שפה"),"רמה א'",IF($AB788="קוראים וכותבים מיומנים","רמה ג'","רמה ב'")))</f>
        <v/>
      </c>
      <c r="AD788" s="32">
        <f>IF($AC788="","",MID(IF(AND($AC788="רמה א'",$AA788="ניכרת"),"; להוסיף עבודת אוצר מילים","")&amp;IF($Z788="אינה מפותחת","; דגש על הבעה בכתב","")&amp;IF($K788&lt;&gt;"תקין","; נדרש לעבוד על ההנגנה","")&amp;IF($AK788&lt;&gt;"","; "&amp;$AK788,""),3,400))</f>
        <v/>
      </c>
      <c r="AE788" s="32">
        <f>IF($F788="","",IF($F788="תחילת שנה",1,IF($F788="מחצית שנה",2,3)))</f>
        <v/>
      </c>
      <c r="AF788" s="32">
        <f>IF(OR($B788="",$AC788="",$A788="",$F788=""),"",$B788&amp;"|"&amp;$A788&amp;"|"&amp;$F788&amp;"|"&amp;$AC788&amp;"|"&amp;COUNTIFS($B$6:$B788,$B788,$A$6:$A788,$A788,$F$6:$F788,$F788,$AC$6:$AC788,$AC788))</f>
        <v/>
      </c>
      <c r="AG788" s="32">
        <f>IF($C788="","",$C788&amp;"|"&amp;COUNTIFS($C$6:$C788,$C788))</f>
        <v/>
      </c>
      <c r="AH788" s="32">
        <f>IF(OR($C788="",$A788="",$AE788=""),"",$C788&amp;"|"&amp;$A788&amp;"|"&amp;$AE788)</f>
        <v/>
      </c>
      <c r="AI788" s="32">
        <f>IF(OR($C788="",$AE788="",$AE788=1),"",IFERROR(INDEX($AC$6:$AC$1505,MATCH($C788&amp;"|"&amp;$A788&amp;"|"&amp;($AE788-1),$AH$6:$AH$1505,0)),""))</f>
        <v/>
      </c>
      <c r="AJ788" s="32">
        <f>IF(OR($AI788="",$AC788=""),"",IF($AI788=$AC788,"ללא שינוי","מ-"&amp;$AI788&amp;" ל-"&amp;$AC788))</f>
        <v/>
      </c>
      <c r="AK788" s="67" t="n"/>
    </row>
    <row r="789" ht="15.75" customHeight="1" s="58">
      <c r="A789" s="65" t="n"/>
      <c r="B789" s="65" t="n"/>
      <c r="C789" s="66" t="n"/>
      <c r="D789" s="66" t="n"/>
      <c r="E789" s="65" t="n"/>
      <c r="F789" s="65" t="n"/>
      <c r="G789" s="65" t="n"/>
      <c r="H789" s="65" t="n"/>
      <c r="I789" s="65" t="n"/>
      <c r="J789" s="65" t="n"/>
      <c r="K789" s="65" t="n"/>
      <c r="L789" s="65" t="n"/>
      <c r="M789" s="65" t="n"/>
      <c r="N789" s="65" t="n"/>
      <c r="O789" s="65" t="n"/>
      <c r="P789" s="65" t="n"/>
      <c r="Q789" s="65" t="n"/>
      <c r="R789" s="65" t="n"/>
      <c r="S789" s="65" t="n"/>
      <c r="T789" s="65" t="n"/>
      <c r="U789" s="65" t="n"/>
      <c r="V789" s="65" t="n"/>
      <c r="W789" s="65" t="n"/>
      <c r="X789" s="65" t="n"/>
      <c r="Y789" s="32">
        <f>IF($C789="","",IF(COUNTA($I789:$K789)&lt;3,"— חסרים נתונים",IF(AND($I789="תקין",$J789="תקין",$K789="תקין"),"רהוטה",IF(AND($I789="תקין",$J789="תקין"),"מדויקת ורציפה","אינה מדויקת או מקוטעת"))))</f>
        <v/>
      </c>
      <c r="Z789" s="32">
        <f>IF($C789="","",IF(COUNTA($U789:$W789)&lt;3,"",IF(AND($U789="מפותח",$V789="מפותח",$W789="מפותחת"),"מפותחת",IF((--($U789="דל"))+(--($V789="אינו מפותח"))+(--($W789="דלה"))&gt;=2,"אינה מפותחת","חלקית"))))</f>
        <v/>
      </c>
      <c r="AA789" s="32">
        <f>IF($C789="","",IF(COUNTA($M789,$N789,$O789)&lt;3,"— חסרים נתונים",IF(OR($M789="נמוכה",(--($M789&lt;&gt;"תקינה"))+(--($N789&lt;&gt;"תקין"))+(--($O789&lt;&gt;"תקינה"))&gt;=2),"ניכרת","אינה ניכרת")))</f>
        <v/>
      </c>
      <c r="AB789" s="32">
        <f>IF(OR($C789="",$Y789="",$AA789="",LEFT($Y789,1)="—",LEFT($AA789,1)="—"),"",IF($Z789="","— נדרשת הערכת כתיבה",IF($L789="","— חסרה הבנת הנקרא",IF($Y789="אינה מדויקת או מקוטעת",IF($AA789="ניכרת","מיקוד בשטף הקריאה ובכישורי שפה","מיקוד בשטף קריאה"),IF($AA789="ניכרת","מיקוד בכישורי שפה",IF(AND($L789="תקינה",$Z789="מפותחת"),"קוראים וכותבים מיומנים","מיקוד בהבנה והבעה"))))))</f>
        <v/>
      </c>
      <c r="AC789" s="32">
        <f>IF(OR($AB789="",LEFT($AB789,1)="—"),"",IF(OR($AB789="מיקוד בשטף קריאה",$AB789="מיקוד בשטף הקריאה ובכישורי שפה"),"רמה א'",IF($AB789="קוראים וכותבים מיומנים","רמה ג'","רמה ב'")))</f>
        <v/>
      </c>
      <c r="AD789" s="32">
        <f>IF($AC789="","",MID(IF(AND($AC789="רמה א'",$AA789="ניכרת"),"; להוסיף עבודת אוצר מילים","")&amp;IF($Z789="אינה מפותחת","; דגש על הבעה בכתב","")&amp;IF($K789&lt;&gt;"תקין","; נדרש לעבוד על ההנגנה","")&amp;IF($AK789&lt;&gt;"","; "&amp;$AK789,""),3,400))</f>
        <v/>
      </c>
      <c r="AE789" s="32">
        <f>IF($F789="","",IF($F789="תחילת שנה",1,IF($F789="מחצית שנה",2,3)))</f>
        <v/>
      </c>
      <c r="AF789" s="32">
        <f>IF(OR($B789="",$AC789="",$A789="",$F789=""),"",$B789&amp;"|"&amp;$A789&amp;"|"&amp;$F789&amp;"|"&amp;$AC789&amp;"|"&amp;COUNTIFS($B$6:$B789,$B789,$A$6:$A789,$A789,$F$6:$F789,$F789,$AC$6:$AC789,$AC789))</f>
        <v/>
      </c>
      <c r="AG789" s="32">
        <f>IF($C789="","",$C789&amp;"|"&amp;COUNTIFS($C$6:$C789,$C789))</f>
        <v/>
      </c>
      <c r="AH789" s="32">
        <f>IF(OR($C789="",$A789="",$AE789=""),"",$C789&amp;"|"&amp;$A789&amp;"|"&amp;$AE789)</f>
        <v/>
      </c>
      <c r="AI789" s="32">
        <f>IF(OR($C789="",$AE789="",$AE789=1),"",IFERROR(INDEX($AC$6:$AC$1505,MATCH($C789&amp;"|"&amp;$A789&amp;"|"&amp;($AE789-1),$AH$6:$AH$1505,0)),""))</f>
        <v/>
      </c>
      <c r="AJ789" s="32">
        <f>IF(OR($AI789="",$AC789=""),"",IF($AI789=$AC789,"ללא שינוי","מ-"&amp;$AI789&amp;" ל-"&amp;$AC789))</f>
        <v/>
      </c>
      <c r="AK789" s="67" t="n"/>
    </row>
    <row r="790" ht="15.75" customHeight="1" s="58">
      <c r="A790" s="65" t="n"/>
      <c r="B790" s="65" t="n"/>
      <c r="C790" s="66" t="n"/>
      <c r="D790" s="66" t="n"/>
      <c r="E790" s="65" t="n"/>
      <c r="F790" s="65" t="n"/>
      <c r="G790" s="65" t="n"/>
      <c r="H790" s="65" t="n"/>
      <c r="I790" s="65" t="n"/>
      <c r="J790" s="65" t="n"/>
      <c r="K790" s="65" t="n"/>
      <c r="L790" s="65" t="n"/>
      <c r="M790" s="65" t="n"/>
      <c r="N790" s="65" t="n"/>
      <c r="O790" s="65" t="n"/>
      <c r="P790" s="65" t="n"/>
      <c r="Q790" s="65" t="n"/>
      <c r="R790" s="65" t="n"/>
      <c r="S790" s="65" t="n"/>
      <c r="T790" s="65" t="n"/>
      <c r="U790" s="65" t="n"/>
      <c r="V790" s="65" t="n"/>
      <c r="W790" s="65" t="n"/>
      <c r="X790" s="65" t="n"/>
      <c r="Y790" s="32">
        <f>IF($C790="","",IF(COUNTA($I790:$K790)&lt;3,"— חסרים נתונים",IF(AND($I790="תקין",$J790="תקין",$K790="תקין"),"רהוטה",IF(AND($I790="תקין",$J790="תקין"),"מדויקת ורציפה","אינה מדויקת או מקוטעת"))))</f>
        <v/>
      </c>
      <c r="Z790" s="32">
        <f>IF($C790="","",IF(COUNTA($U790:$W790)&lt;3,"",IF(AND($U790="מפותח",$V790="מפותח",$W790="מפותחת"),"מפותחת",IF((--($U790="דל"))+(--($V790="אינו מפותח"))+(--($W790="דלה"))&gt;=2,"אינה מפותחת","חלקית"))))</f>
        <v/>
      </c>
      <c r="AA790" s="32">
        <f>IF($C790="","",IF(COUNTA($M790,$N790,$O790)&lt;3,"— חסרים נתונים",IF(OR($M790="נמוכה",(--($M790&lt;&gt;"תקינה"))+(--($N790&lt;&gt;"תקין"))+(--($O790&lt;&gt;"תקינה"))&gt;=2),"ניכרת","אינה ניכרת")))</f>
        <v/>
      </c>
      <c r="AB790" s="32">
        <f>IF(OR($C790="",$Y790="",$AA790="",LEFT($Y790,1)="—",LEFT($AA790,1)="—"),"",IF($Z790="","— נדרשת הערכת כתיבה",IF($L790="","— חסרה הבנת הנקרא",IF($Y790="אינה מדויקת או מקוטעת",IF($AA790="ניכרת","מיקוד בשטף הקריאה ובכישורי שפה","מיקוד בשטף קריאה"),IF($AA790="ניכרת","מיקוד בכישורי שפה",IF(AND($L790="תקינה",$Z790="מפותחת"),"קוראים וכותבים מיומנים","מיקוד בהבנה והבעה"))))))</f>
        <v/>
      </c>
      <c r="AC790" s="32">
        <f>IF(OR($AB790="",LEFT($AB790,1)="—"),"",IF(OR($AB790="מיקוד בשטף קריאה",$AB790="מיקוד בשטף הקריאה ובכישורי שפה"),"רמה א'",IF($AB790="קוראים וכותבים מיומנים","רמה ג'","רמה ב'")))</f>
        <v/>
      </c>
      <c r="AD790" s="32">
        <f>IF($AC790="","",MID(IF(AND($AC790="רמה א'",$AA790="ניכרת"),"; להוסיף עבודת אוצר מילים","")&amp;IF($Z790="אינה מפותחת","; דגש על הבעה בכתב","")&amp;IF($K790&lt;&gt;"תקין","; נדרש לעבוד על ההנגנה","")&amp;IF($AK790&lt;&gt;"","; "&amp;$AK790,""),3,400))</f>
        <v/>
      </c>
      <c r="AE790" s="32">
        <f>IF($F790="","",IF($F790="תחילת שנה",1,IF($F790="מחצית שנה",2,3)))</f>
        <v/>
      </c>
      <c r="AF790" s="32">
        <f>IF(OR($B790="",$AC790="",$A790="",$F790=""),"",$B790&amp;"|"&amp;$A790&amp;"|"&amp;$F790&amp;"|"&amp;$AC790&amp;"|"&amp;COUNTIFS($B$6:$B790,$B790,$A$6:$A790,$A790,$F$6:$F790,$F790,$AC$6:$AC790,$AC790))</f>
        <v/>
      </c>
      <c r="AG790" s="32">
        <f>IF($C790="","",$C790&amp;"|"&amp;COUNTIFS($C$6:$C790,$C790))</f>
        <v/>
      </c>
      <c r="AH790" s="32">
        <f>IF(OR($C790="",$A790="",$AE790=""),"",$C790&amp;"|"&amp;$A790&amp;"|"&amp;$AE790)</f>
        <v/>
      </c>
      <c r="AI790" s="32">
        <f>IF(OR($C790="",$AE790="",$AE790=1),"",IFERROR(INDEX($AC$6:$AC$1505,MATCH($C790&amp;"|"&amp;$A790&amp;"|"&amp;($AE790-1),$AH$6:$AH$1505,0)),""))</f>
        <v/>
      </c>
      <c r="AJ790" s="32">
        <f>IF(OR($AI790="",$AC790=""),"",IF($AI790=$AC790,"ללא שינוי","מ-"&amp;$AI790&amp;" ל-"&amp;$AC790))</f>
        <v/>
      </c>
      <c r="AK790" s="67" t="n"/>
    </row>
    <row r="791" ht="15.75" customHeight="1" s="58">
      <c r="A791" s="65" t="n"/>
      <c r="B791" s="65" t="n"/>
      <c r="C791" s="66" t="n"/>
      <c r="D791" s="66" t="n"/>
      <c r="E791" s="65" t="n"/>
      <c r="F791" s="65" t="n"/>
      <c r="G791" s="65" t="n"/>
      <c r="H791" s="65" t="n"/>
      <c r="I791" s="65" t="n"/>
      <c r="J791" s="65" t="n"/>
      <c r="K791" s="65" t="n"/>
      <c r="L791" s="65" t="n"/>
      <c r="M791" s="65" t="n"/>
      <c r="N791" s="65" t="n"/>
      <c r="O791" s="65" t="n"/>
      <c r="P791" s="65" t="n"/>
      <c r="Q791" s="65" t="n"/>
      <c r="R791" s="65" t="n"/>
      <c r="S791" s="65" t="n"/>
      <c r="T791" s="65" t="n"/>
      <c r="U791" s="65" t="n"/>
      <c r="V791" s="65" t="n"/>
      <c r="W791" s="65" t="n"/>
      <c r="X791" s="65" t="n"/>
      <c r="Y791" s="32">
        <f>IF($C791="","",IF(COUNTA($I791:$K791)&lt;3,"— חסרים נתונים",IF(AND($I791="תקין",$J791="תקין",$K791="תקין"),"רהוטה",IF(AND($I791="תקין",$J791="תקין"),"מדויקת ורציפה","אינה מדויקת או מקוטעת"))))</f>
        <v/>
      </c>
      <c r="Z791" s="32">
        <f>IF($C791="","",IF(COUNTA($U791:$W791)&lt;3,"",IF(AND($U791="מפותח",$V791="מפותח",$W791="מפותחת"),"מפותחת",IF((--($U791="דל"))+(--($V791="אינו מפותח"))+(--($W791="דלה"))&gt;=2,"אינה מפותחת","חלקית"))))</f>
        <v/>
      </c>
      <c r="AA791" s="32">
        <f>IF($C791="","",IF(COUNTA($M791,$N791,$O791)&lt;3,"— חסרים נתונים",IF(OR($M791="נמוכה",(--($M791&lt;&gt;"תקינה"))+(--($N791&lt;&gt;"תקין"))+(--($O791&lt;&gt;"תקינה"))&gt;=2),"ניכרת","אינה ניכרת")))</f>
        <v/>
      </c>
      <c r="AB791" s="32">
        <f>IF(OR($C791="",$Y791="",$AA791="",LEFT($Y791,1)="—",LEFT($AA791,1)="—"),"",IF($Z791="","— נדרשת הערכת כתיבה",IF($L791="","— חסרה הבנת הנקרא",IF($Y791="אינה מדויקת או מקוטעת",IF($AA791="ניכרת","מיקוד בשטף הקריאה ובכישורי שפה","מיקוד בשטף קריאה"),IF($AA791="ניכרת","מיקוד בכישורי שפה",IF(AND($L791="תקינה",$Z791="מפותחת"),"קוראים וכותבים מיומנים","מיקוד בהבנה והבעה"))))))</f>
        <v/>
      </c>
      <c r="AC791" s="32">
        <f>IF(OR($AB791="",LEFT($AB791,1)="—"),"",IF(OR($AB791="מיקוד בשטף קריאה",$AB791="מיקוד בשטף הקריאה ובכישורי שפה"),"רמה א'",IF($AB791="קוראים וכותבים מיומנים","רמה ג'","רמה ב'")))</f>
        <v/>
      </c>
      <c r="AD791" s="32">
        <f>IF($AC791="","",MID(IF(AND($AC791="רמה א'",$AA791="ניכרת"),"; להוסיף עבודת אוצר מילים","")&amp;IF($Z791="אינה מפותחת","; דגש על הבעה בכתב","")&amp;IF($K791&lt;&gt;"תקין","; נדרש לעבוד על ההנגנה","")&amp;IF($AK791&lt;&gt;"","; "&amp;$AK791,""),3,400))</f>
        <v/>
      </c>
      <c r="AE791" s="32">
        <f>IF($F791="","",IF($F791="תחילת שנה",1,IF($F791="מחצית שנה",2,3)))</f>
        <v/>
      </c>
      <c r="AF791" s="32">
        <f>IF(OR($B791="",$AC791="",$A791="",$F791=""),"",$B791&amp;"|"&amp;$A791&amp;"|"&amp;$F791&amp;"|"&amp;$AC791&amp;"|"&amp;COUNTIFS($B$6:$B791,$B791,$A$6:$A791,$A791,$F$6:$F791,$F791,$AC$6:$AC791,$AC791))</f>
        <v/>
      </c>
      <c r="AG791" s="32">
        <f>IF($C791="","",$C791&amp;"|"&amp;COUNTIFS($C$6:$C791,$C791))</f>
        <v/>
      </c>
      <c r="AH791" s="32">
        <f>IF(OR($C791="",$A791="",$AE791=""),"",$C791&amp;"|"&amp;$A791&amp;"|"&amp;$AE791)</f>
        <v/>
      </c>
      <c r="AI791" s="32">
        <f>IF(OR($C791="",$AE791="",$AE791=1),"",IFERROR(INDEX($AC$6:$AC$1505,MATCH($C791&amp;"|"&amp;$A791&amp;"|"&amp;($AE791-1),$AH$6:$AH$1505,0)),""))</f>
        <v/>
      </c>
      <c r="AJ791" s="32">
        <f>IF(OR($AI791="",$AC791=""),"",IF($AI791=$AC791,"ללא שינוי","מ-"&amp;$AI791&amp;" ל-"&amp;$AC791))</f>
        <v/>
      </c>
      <c r="AK791" s="67" t="n"/>
    </row>
    <row r="792" ht="15.75" customHeight="1" s="58">
      <c r="A792" s="65" t="n"/>
      <c r="B792" s="65" t="n"/>
      <c r="C792" s="66" t="n"/>
      <c r="D792" s="66" t="n"/>
      <c r="E792" s="65" t="n"/>
      <c r="F792" s="65" t="n"/>
      <c r="G792" s="65" t="n"/>
      <c r="H792" s="65" t="n"/>
      <c r="I792" s="65" t="n"/>
      <c r="J792" s="65" t="n"/>
      <c r="K792" s="65" t="n"/>
      <c r="L792" s="65" t="n"/>
      <c r="M792" s="65" t="n"/>
      <c r="N792" s="65" t="n"/>
      <c r="O792" s="65" t="n"/>
      <c r="P792" s="65" t="n"/>
      <c r="Q792" s="65" t="n"/>
      <c r="R792" s="65" t="n"/>
      <c r="S792" s="65" t="n"/>
      <c r="T792" s="65" t="n"/>
      <c r="U792" s="65" t="n"/>
      <c r="V792" s="65" t="n"/>
      <c r="W792" s="65" t="n"/>
      <c r="X792" s="65" t="n"/>
      <c r="Y792" s="32">
        <f>IF($C792="","",IF(COUNTA($I792:$K792)&lt;3,"— חסרים נתונים",IF(AND($I792="תקין",$J792="תקין",$K792="תקין"),"רהוטה",IF(AND($I792="תקין",$J792="תקין"),"מדויקת ורציפה","אינה מדויקת או מקוטעת"))))</f>
        <v/>
      </c>
      <c r="Z792" s="32">
        <f>IF($C792="","",IF(COUNTA($U792:$W792)&lt;3,"",IF(AND($U792="מפותח",$V792="מפותח",$W792="מפותחת"),"מפותחת",IF((--($U792="דל"))+(--($V792="אינו מפותח"))+(--($W792="דלה"))&gt;=2,"אינה מפותחת","חלקית"))))</f>
        <v/>
      </c>
      <c r="AA792" s="32">
        <f>IF($C792="","",IF(COUNTA($M792,$N792,$O792)&lt;3,"— חסרים נתונים",IF(OR($M792="נמוכה",(--($M792&lt;&gt;"תקינה"))+(--($N792&lt;&gt;"תקין"))+(--($O792&lt;&gt;"תקינה"))&gt;=2),"ניכרת","אינה ניכרת")))</f>
        <v/>
      </c>
      <c r="AB792" s="32">
        <f>IF(OR($C792="",$Y792="",$AA792="",LEFT($Y792,1)="—",LEFT($AA792,1)="—"),"",IF($Z792="","— נדרשת הערכת כתיבה",IF($L792="","— חסרה הבנת הנקרא",IF($Y792="אינה מדויקת או מקוטעת",IF($AA792="ניכרת","מיקוד בשטף הקריאה ובכישורי שפה","מיקוד בשטף קריאה"),IF($AA792="ניכרת","מיקוד בכישורי שפה",IF(AND($L792="תקינה",$Z792="מפותחת"),"קוראים וכותבים מיומנים","מיקוד בהבנה והבעה"))))))</f>
        <v/>
      </c>
      <c r="AC792" s="32">
        <f>IF(OR($AB792="",LEFT($AB792,1)="—"),"",IF(OR($AB792="מיקוד בשטף קריאה",$AB792="מיקוד בשטף הקריאה ובכישורי שפה"),"רמה א'",IF($AB792="קוראים וכותבים מיומנים","רמה ג'","רמה ב'")))</f>
        <v/>
      </c>
      <c r="AD792" s="32">
        <f>IF($AC792="","",MID(IF(AND($AC792="רמה א'",$AA792="ניכרת"),"; להוסיף עבודת אוצר מילים","")&amp;IF($Z792="אינה מפותחת","; דגש על הבעה בכתב","")&amp;IF($K792&lt;&gt;"תקין","; נדרש לעבוד על ההנגנה","")&amp;IF($AK792&lt;&gt;"","; "&amp;$AK792,""),3,400))</f>
        <v/>
      </c>
      <c r="AE792" s="32">
        <f>IF($F792="","",IF($F792="תחילת שנה",1,IF($F792="מחצית שנה",2,3)))</f>
        <v/>
      </c>
      <c r="AF792" s="32">
        <f>IF(OR($B792="",$AC792="",$A792="",$F792=""),"",$B792&amp;"|"&amp;$A792&amp;"|"&amp;$F792&amp;"|"&amp;$AC792&amp;"|"&amp;COUNTIFS($B$6:$B792,$B792,$A$6:$A792,$A792,$F$6:$F792,$F792,$AC$6:$AC792,$AC792))</f>
        <v/>
      </c>
      <c r="AG792" s="32">
        <f>IF($C792="","",$C792&amp;"|"&amp;COUNTIFS($C$6:$C792,$C792))</f>
        <v/>
      </c>
      <c r="AH792" s="32">
        <f>IF(OR($C792="",$A792="",$AE792=""),"",$C792&amp;"|"&amp;$A792&amp;"|"&amp;$AE792)</f>
        <v/>
      </c>
      <c r="AI792" s="32">
        <f>IF(OR($C792="",$AE792="",$AE792=1),"",IFERROR(INDEX($AC$6:$AC$1505,MATCH($C792&amp;"|"&amp;$A792&amp;"|"&amp;($AE792-1),$AH$6:$AH$1505,0)),""))</f>
        <v/>
      </c>
      <c r="AJ792" s="32">
        <f>IF(OR($AI792="",$AC792=""),"",IF($AI792=$AC792,"ללא שינוי","מ-"&amp;$AI792&amp;" ל-"&amp;$AC792))</f>
        <v/>
      </c>
      <c r="AK792" s="67" t="n"/>
    </row>
    <row r="793" ht="15.75" customHeight="1" s="58">
      <c r="A793" s="65" t="n"/>
      <c r="B793" s="65" t="n"/>
      <c r="C793" s="66" t="n"/>
      <c r="D793" s="66" t="n"/>
      <c r="E793" s="65" t="n"/>
      <c r="F793" s="65" t="n"/>
      <c r="G793" s="65" t="n"/>
      <c r="H793" s="65" t="n"/>
      <c r="I793" s="65" t="n"/>
      <c r="J793" s="65" t="n"/>
      <c r="K793" s="65" t="n"/>
      <c r="L793" s="65" t="n"/>
      <c r="M793" s="65" t="n"/>
      <c r="N793" s="65" t="n"/>
      <c r="O793" s="65" t="n"/>
      <c r="P793" s="65" t="n"/>
      <c r="Q793" s="65" t="n"/>
      <c r="R793" s="65" t="n"/>
      <c r="S793" s="65" t="n"/>
      <c r="T793" s="65" t="n"/>
      <c r="U793" s="65" t="n"/>
      <c r="V793" s="65" t="n"/>
      <c r="W793" s="65" t="n"/>
      <c r="X793" s="65" t="n"/>
      <c r="Y793" s="32">
        <f>IF($C793="","",IF(COUNTA($I793:$K793)&lt;3,"— חסרים נתונים",IF(AND($I793="תקין",$J793="תקין",$K793="תקין"),"רהוטה",IF(AND($I793="תקין",$J793="תקין"),"מדויקת ורציפה","אינה מדויקת או מקוטעת"))))</f>
        <v/>
      </c>
      <c r="Z793" s="32">
        <f>IF($C793="","",IF(COUNTA($U793:$W793)&lt;3,"",IF(AND($U793="מפותח",$V793="מפותח",$W793="מפותחת"),"מפותחת",IF((--($U793="דל"))+(--($V793="אינו מפותח"))+(--($W793="דלה"))&gt;=2,"אינה מפותחת","חלקית"))))</f>
        <v/>
      </c>
      <c r="AA793" s="32">
        <f>IF($C793="","",IF(COUNTA($M793,$N793,$O793)&lt;3,"— חסרים נתונים",IF(OR($M793="נמוכה",(--($M793&lt;&gt;"תקינה"))+(--($N793&lt;&gt;"תקין"))+(--($O793&lt;&gt;"תקינה"))&gt;=2),"ניכרת","אינה ניכרת")))</f>
        <v/>
      </c>
      <c r="AB793" s="32">
        <f>IF(OR($C793="",$Y793="",$AA793="",LEFT($Y793,1)="—",LEFT($AA793,1)="—"),"",IF($Z793="","— נדרשת הערכת כתיבה",IF($L793="","— חסרה הבנת הנקרא",IF($Y793="אינה מדויקת או מקוטעת",IF($AA793="ניכרת","מיקוד בשטף הקריאה ובכישורי שפה","מיקוד בשטף קריאה"),IF($AA793="ניכרת","מיקוד בכישורי שפה",IF(AND($L793="תקינה",$Z793="מפותחת"),"קוראים וכותבים מיומנים","מיקוד בהבנה והבעה"))))))</f>
        <v/>
      </c>
      <c r="AC793" s="32">
        <f>IF(OR($AB793="",LEFT($AB793,1)="—"),"",IF(OR($AB793="מיקוד בשטף קריאה",$AB793="מיקוד בשטף הקריאה ובכישורי שפה"),"רמה א'",IF($AB793="קוראים וכותבים מיומנים","רמה ג'","רמה ב'")))</f>
        <v/>
      </c>
      <c r="AD793" s="32">
        <f>IF($AC793="","",MID(IF(AND($AC793="רמה א'",$AA793="ניכרת"),"; להוסיף עבודת אוצר מילים","")&amp;IF($Z793="אינה מפותחת","; דגש על הבעה בכתב","")&amp;IF($K793&lt;&gt;"תקין","; נדרש לעבוד על ההנגנה","")&amp;IF($AK793&lt;&gt;"","; "&amp;$AK793,""),3,400))</f>
        <v/>
      </c>
      <c r="AE793" s="32">
        <f>IF($F793="","",IF($F793="תחילת שנה",1,IF($F793="מחצית שנה",2,3)))</f>
        <v/>
      </c>
      <c r="AF793" s="32">
        <f>IF(OR($B793="",$AC793="",$A793="",$F793=""),"",$B793&amp;"|"&amp;$A793&amp;"|"&amp;$F793&amp;"|"&amp;$AC793&amp;"|"&amp;COUNTIFS($B$6:$B793,$B793,$A$6:$A793,$A793,$F$6:$F793,$F793,$AC$6:$AC793,$AC793))</f>
        <v/>
      </c>
      <c r="AG793" s="32">
        <f>IF($C793="","",$C793&amp;"|"&amp;COUNTIFS($C$6:$C793,$C793))</f>
        <v/>
      </c>
      <c r="AH793" s="32">
        <f>IF(OR($C793="",$A793="",$AE793=""),"",$C793&amp;"|"&amp;$A793&amp;"|"&amp;$AE793)</f>
        <v/>
      </c>
      <c r="AI793" s="32">
        <f>IF(OR($C793="",$AE793="",$AE793=1),"",IFERROR(INDEX($AC$6:$AC$1505,MATCH($C793&amp;"|"&amp;$A793&amp;"|"&amp;($AE793-1),$AH$6:$AH$1505,0)),""))</f>
        <v/>
      </c>
      <c r="AJ793" s="32">
        <f>IF(OR($AI793="",$AC793=""),"",IF($AI793=$AC793,"ללא שינוי","מ-"&amp;$AI793&amp;" ל-"&amp;$AC793))</f>
        <v/>
      </c>
      <c r="AK793" s="67" t="n"/>
    </row>
    <row r="794" ht="15.75" customHeight="1" s="58">
      <c r="A794" s="65" t="n"/>
      <c r="B794" s="65" t="n"/>
      <c r="C794" s="66" t="n"/>
      <c r="D794" s="66" t="n"/>
      <c r="E794" s="65" t="n"/>
      <c r="F794" s="65" t="n"/>
      <c r="G794" s="65" t="n"/>
      <c r="H794" s="65" t="n"/>
      <c r="I794" s="65" t="n"/>
      <c r="J794" s="65" t="n"/>
      <c r="K794" s="65" t="n"/>
      <c r="L794" s="65" t="n"/>
      <c r="M794" s="65" t="n"/>
      <c r="N794" s="65" t="n"/>
      <c r="O794" s="65" t="n"/>
      <c r="P794" s="65" t="n"/>
      <c r="Q794" s="65" t="n"/>
      <c r="R794" s="65" t="n"/>
      <c r="S794" s="65" t="n"/>
      <c r="T794" s="65" t="n"/>
      <c r="U794" s="65" t="n"/>
      <c r="V794" s="65" t="n"/>
      <c r="W794" s="65" t="n"/>
      <c r="X794" s="65" t="n"/>
      <c r="Y794" s="32">
        <f>IF($C794="","",IF(COUNTA($I794:$K794)&lt;3,"— חסרים נתונים",IF(AND($I794="תקין",$J794="תקין",$K794="תקין"),"רהוטה",IF(AND($I794="תקין",$J794="תקין"),"מדויקת ורציפה","אינה מדויקת או מקוטעת"))))</f>
        <v/>
      </c>
      <c r="Z794" s="32">
        <f>IF($C794="","",IF(COUNTA($U794:$W794)&lt;3,"",IF(AND($U794="מפותח",$V794="מפותח",$W794="מפותחת"),"מפותחת",IF((--($U794="דל"))+(--($V794="אינו מפותח"))+(--($W794="דלה"))&gt;=2,"אינה מפותחת","חלקית"))))</f>
        <v/>
      </c>
      <c r="AA794" s="32">
        <f>IF($C794="","",IF(COUNTA($M794,$N794,$O794)&lt;3,"— חסרים נתונים",IF(OR($M794="נמוכה",(--($M794&lt;&gt;"תקינה"))+(--($N794&lt;&gt;"תקין"))+(--($O794&lt;&gt;"תקינה"))&gt;=2),"ניכרת","אינה ניכרת")))</f>
        <v/>
      </c>
      <c r="AB794" s="32">
        <f>IF(OR($C794="",$Y794="",$AA794="",LEFT($Y794,1)="—",LEFT($AA794,1)="—"),"",IF($Z794="","— נדרשת הערכת כתיבה",IF($L794="","— חסרה הבנת הנקרא",IF($Y794="אינה מדויקת או מקוטעת",IF($AA794="ניכרת","מיקוד בשטף הקריאה ובכישורי שפה","מיקוד בשטף קריאה"),IF($AA794="ניכרת","מיקוד בכישורי שפה",IF(AND($L794="תקינה",$Z794="מפותחת"),"קוראים וכותבים מיומנים","מיקוד בהבנה והבעה"))))))</f>
        <v/>
      </c>
      <c r="AC794" s="32">
        <f>IF(OR($AB794="",LEFT($AB794,1)="—"),"",IF(OR($AB794="מיקוד בשטף קריאה",$AB794="מיקוד בשטף הקריאה ובכישורי שפה"),"רמה א'",IF($AB794="קוראים וכותבים מיומנים","רמה ג'","רמה ב'")))</f>
        <v/>
      </c>
      <c r="AD794" s="32">
        <f>IF($AC794="","",MID(IF(AND($AC794="רמה א'",$AA794="ניכרת"),"; להוסיף עבודת אוצר מילים","")&amp;IF($Z794="אינה מפותחת","; דגש על הבעה בכתב","")&amp;IF($K794&lt;&gt;"תקין","; נדרש לעבוד על ההנגנה","")&amp;IF($AK794&lt;&gt;"","; "&amp;$AK794,""),3,400))</f>
        <v/>
      </c>
      <c r="AE794" s="32">
        <f>IF($F794="","",IF($F794="תחילת שנה",1,IF($F794="מחצית שנה",2,3)))</f>
        <v/>
      </c>
      <c r="AF794" s="32">
        <f>IF(OR($B794="",$AC794="",$A794="",$F794=""),"",$B794&amp;"|"&amp;$A794&amp;"|"&amp;$F794&amp;"|"&amp;$AC794&amp;"|"&amp;COUNTIFS($B$6:$B794,$B794,$A$6:$A794,$A794,$F$6:$F794,$F794,$AC$6:$AC794,$AC794))</f>
        <v/>
      </c>
      <c r="AG794" s="32">
        <f>IF($C794="","",$C794&amp;"|"&amp;COUNTIFS($C$6:$C794,$C794))</f>
        <v/>
      </c>
      <c r="AH794" s="32">
        <f>IF(OR($C794="",$A794="",$AE794=""),"",$C794&amp;"|"&amp;$A794&amp;"|"&amp;$AE794)</f>
        <v/>
      </c>
      <c r="AI794" s="32">
        <f>IF(OR($C794="",$AE794="",$AE794=1),"",IFERROR(INDEX($AC$6:$AC$1505,MATCH($C794&amp;"|"&amp;$A794&amp;"|"&amp;($AE794-1),$AH$6:$AH$1505,0)),""))</f>
        <v/>
      </c>
      <c r="AJ794" s="32">
        <f>IF(OR($AI794="",$AC794=""),"",IF($AI794=$AC794,"ללא שינוי","מ-"&amp;$AI794&amp;" ל-"&amp;$AC794))</f>
        <v/>
      </c>
      <c r="AK794" s="67" t="n"/>
    </row>
    <row r="795" ht="15.75" customHeight="1" s="58">
      <c r="A795" s="65" t="n"/>
      <c r="B795" s="65" t="n"/>
      <c r="C795" s="66" t="n"/>
      <c r="D795" s="66" t="n"/>
      <c r="E795" s="65" t="n"/>
      <c r="F795" s="65" t="n"/>
      <c r="G795" s="65" t="n"/>
      <c r="H795" s="65" t="n"/>
      <c r="I795" s="65" t="n"/>
      <c r="J795" s="65" t="n"/>
      <c r="K795" s="65" t="n"/>
      <c r="L795" s="65" t="n"/>
      <c r="M795" s="65" t="n"/>
      <c r="N795" s="65" t="n"/>
      <c r="O795" s="65" t="n"/>
      <c r="P795" s="65" t="n"/>
      <c r="Q795" s="65" t="n"/>
      <c r="R795" s="65" t="n"/>
      <c r="S795" s="65" t="n"/>
      <c r="T795" s="65" t="n"/>
      <c r="U795" s="65" t="n"/>
      <c r="V795" s="65" t="n"/>
      <c r="W795" s="65" t="n"/>
      <c r="X795" s="65" t="n"/>
      <c r="Y795" s="32">
        <f>IF($C795="","",IF(COUNTA($I795:$K795)&lt;3,"— חסרים נתונים",IF(AND($I795="תקין",$J795="תקין",$K795="תקין"),"רהוטה",IF(AND($I795="תקין",$J795="תקין"),"מדויקת ורציפה","אינה מדויקת או מקוטעת"))))</f>
        <v/>
      </c>
      <c r="Z795" s="32">
        <f>IF($C795="","",IF(COUNTA($U795:$W795)&lt;3,"",IF(AND($U795="מפותח",$V795="מפותח",$W795="מפותחת"),"מפותחת",IF((--($U795="דל"))+(--($V795="אינו מפותח"))+(--($W795="דלה"))&gt;=2,"אינה מפותחת","חלקית"))))</f>
        <v/>
      </c>
      <c r="AA795" s="32">
        <f>IF($C795="","",IF(COUNTA($M795,$N795,$O795)&lt;3,"— חסרים נתונים",IF(OR($M795="נמוכה",(--($M795&lt;&gt;"תקינה"))+(--($N795&lt;&gt;"תקין"))+(--($O795&lt;&gt;"תקינה"))&gt;=2),"ניכרת","אינה ניכרת")))</f>
        <v/>
      </c>
      <c r="AB795" s="32">
        <f>IF(OR($C795="",$Y795="",$AA795="",LEFT($Y795,1)="—",LEFT($AA795,1)="—"),"",IF($Z795="","— נדרשת הערכת כתיבה",IF($L795="","— חסרה הבנת הנקרא",IF($Y795="אינה מדויקת או מקוטעת",IF($AA795="ניכרת","מיקוד בשטף הקריאה ובכישורי שפה","מיקוד בשטף קריאה"),IF($AA795="ניכרת","מיקוד בכישורי שפה",IF(AND($L795="תקינה",$Z795="מפותחת"),"קוראים וכותבים מיומנים","מיקוד בהבנה והבעה"))))))</f>
        <v/>
      </c>
      <c r="AC795" s="32">
        <f>IF(OR($AB795="",LEFT($AB795,1)="—"),"",IF(OR($AB795="מיקוד בשטף קריאה",$AB795="מיקוד בשטף הקריאה ובכישורי שפה"),"רמה א'",IF($AB795="קוראים וכותבים מיומנים","רמה ג'","רמה ב'")))</f>
        <v/>
      </c>
      <c r="AD795" s="32">
        <f>IF($AC795="","",MID(IF(AND($AC795="רמה א'",$AA795="ניכרת"),"; להוסיף עבודת אוצר מילים","")&amp;IF($Z795="אינה מפותחת","; דגש על הבעה בכתב","")&amp;IF($K795&lt;&gt;"תקין","; נדרש לעבוד על ההנגנה","")&amp;IF($AK795&lt;&gt;"","; "&amp;$AK795,""),3,400))</f>
        <v/>
      </c>
      <c r="AE795" s="32">
        <f>IF($F795="","",IF($F795="תחילת שנה",1,IF($F795="מחצית שנה",2,3)))</f>
        <v/>
      </c>
      <c r="AF795" s="32">
        <f>IF(OR($B795="",$AC795="",$A795="",$F795=""),"",$B795&amp;"|"&amp;$A795&amp;"|"&amp;$F795&amp;"|"&amp;$AC795&amp;"|"&amp;COUNTIFS($B$6:$B795,$B795,$A$6:$A795,$A795,$F$6:$F795,$F795,$AC$6:$AC795,$AC795))</f>
        <v/>
      </c>
      <c r="AG795" s="32">
        <f>IF($C795="","",$C795&amp;"|"&amp;COUNTIFS($C$6:$C795,$C795))</f>
        <v/>
      </c>
      <c r="AH795" s="32">
        <f>IF(OR($C795="",$A795="",$AE795=""),"",$C795&amp;"|"&amp;$A795&amp;"|"&amp;$AE795)</f>
        <v/>
      </c>
      <c r="AI795" s="32">
        <f>IF(OR($C795="",$AE795="",$AE795=1),"",IFERROR(INDEX($AC$6:$AC$1505,MATCH($C795&amp;"|"&amp;$A795&amp;"|"&amp;($AE795-1),$AH$6:$AH$1505,0)),""))</f>
        <v/>
      </c>
      <c r="AJ795" s="32">
        <f>IF(OR($AI795="",$AC795=""),"",IF($AI795=$AC795,"ללא שינוי","מ-"&amp;$AI795&amp;" ל-"&amp;$AC795))</f>
        <v/>
      </c>
      <c r="AK795" s="67" t="n"/>
    </row>
    <row r="796" ht="15.75" customHeight="1" s="58">
      <c r="A796" s="65" t="n"/>
      <c r="B796" s="65" t="n"/>
      <c r="C796" s="66" t="n"/>
      <c r="D796" s="66" t="n"/>
      <c r="E796" s="65" t="n"/>
      <c r="F796" s="65" t="n"/>
      <c r="G796" s="65" t="n"/>
      <c r="H796" s="65" t="n"/>
      <c r="I796" s="65" t="n"/>
      <c r="J796" s="65" t="n"/>
      <c r="K796" s="65" t="n"/>
      <c r="L796" s="65" t="n"/>
      <c r="M796" s="65" t="n"/>
      <c r="N796" s="65" t="n"/>
      <c r="O796" s="65" t="n"/>
      <c r="P796" s="65" t="n"/>
      <c r="Q796" s="65" t="n"/>
      <c r="R796" s="65" t="n"/>
      <c r="S796" s="65" t="n"/>
      <c r="T796" s="65" t="n"/>
      <c r="U796" s="65" t="n"/>
      <c r="V796" s="65" t="n"/>
      <c r="W796" s="65" t="n"/>
      <c r="X796" s="65" t="n"/>
      <c r="Y796" s="32">
        <f>IF($C796="","",IF(COUNTA($I796:$K796)&lt;3,"— חסרים נתונים",IF(AND($I796="תקין",$J796="תקין",$K796="תקין"),"רהוטה",IF(AND($I796="תקין",$J796="תקין"),"מדויקת ורציפה","אינה מדויקת או מקוטעת"))))</f>
        <v/>
      </c>
      <c r="Z796" s="32">
        <f>IF($C796="","",IF(COUNTA($U796:$W796)&lt;3,"",IF(AND($U796="מפותח",$V796="מפותח",$W796="מפותחת"),"מפותחת",IF((--($U796="דל"))+(--($V796="אינו מפותח"))+(--($W796="דלה"))&gt;=2,"אינה מפותחת","חלקית"))))</f>
        <v/>
      </c>
      <c r="AA796" s="32">
        <f>IF($C796="","",IF(COUNTA($M796,$N796,$O796)&lt;3,"— חסרים נתונים",IF(OR($M796="נמוכה",(--($M796&lt;&gt;"תקינה"))+(--($N796&lt;&gt;"תקין"))+(--($O796&lt;&gt;"תקינה"))&gt;=2),"ניכרת","אינה ניכרת")))</f>
        <v/>
      </c>
      <c r="AB796" s="32">
        <f>IF(OR($C796="",$Y796="",$AA796="",LEFT($Y796,1)="—",LEFT($AA796,1)="—"),"",IF($Z796="","— נדרשת הערכת כתיבה",IF($L796="","— חסרה הבנת הנקרא",IF($Y796="אינה מדויקת או מקוטעת",IF($AA796="ניכרת","מיקוד בשטף הקריאה ובכישורי שפה","מיקוד בשטף קריאה"),IF($AA796="ניכרת","מיקוד בכישורי שפה",IF(AND($L796="תקינה",$Z796="מפותחת"),"קוראים וכותבים מיומנים","מיקוד בהבנה והבעה"))))))</f>
        <v/>
      </c>
      <c r="AC796" s="32">
        <f>IF(OR($AB796="",LEFT($AB796,1)="—"),"",IF(OR($AB796="מיקוד בשטף קריאה",$AB796="מיקוד בשטף הקריאה ובכישורי שפה"),"רמה א'",IF($AB796="קוראים וכותבים מיומנים","רמה ג'","רמה ב'")))</f>
        <v/>
      </c>
      <c r="AD796" s="32">
        <f>IF($AC796="","",MID(IF(AND($AC796="רמה א'",$AA796="ניכרת"),"; להוסיף עבודת אוצר מילים","")&amp;IF($Z796="אינה מפותחת","; דגש על הבעה בכתב","")&amp;IF($K796&lt;&gt;"תקין","; נדרש לעבוד על ההנגנה","")&amp;IF($AK796&lt;&gt;"","; "&amp;$AK796,""),3,400))</f>
        <v/>
      </c>
      <c r="AE796" s="32">
        <f>IF($F796="","",IF($F796="תחילת שנה",1,IF($F796="מחצית שנה",2,3)))</f>
        <v/>
      </c>
      <c r="AF796" s="32">
        <f>IF(OR($B796="",$AC796="",$A796="",$F796=""),"",$B796&amp;"|"&amp;$A796&amp;"|"&amp;$F796&amp;"|"&amp;$AC796&amp;"|"&amp;COUNTIFS($B$6:$B796,$B796,$A$6:$A796,$A796,$F$6:$F796,$F796,$AC$6:$AC796,$AC796))</f>
        <v/>
      </c>
      <c r="AG796" s="32">
        <f>IF($C796="","",$C796&amp;"|"&amp;COUNTIFS($C$6:$C796,$C796))</f>
        <v/>
      </c>
      <c r="AH796" s="32">
        <f>IF(OR($C796="",$A796="",$AE796=""),"",$C796&amp;"|"&amp;$A796&amp;"|"&amp;$AE796)</f>
        <v/>
      </c>
      <c r="AI796" s="32">
        <f>IF(OR($C796="",$AE796="",$AE796=1),"",IFERROR(INDEX($AC$6:$AC$1505,MATCH($C796&amp;"|"&amp;$A796&amp;"|"&amp;($AE796-1),$AH$6:$AH$1505,0)),""))</f>
        <v/>
      </c>
      <c r="AJ796" s="32">
        <f>IF(OR($AI796="",$AC796=""),"",IF($AI796=$AC796,"ללא שינוי","מ-"&amp;$AI796&amp;" ל-"&amp;$AC796))</f>
        <v/>
      </c>
      <c r="AK796" s="67" t="n"/>
    </row>
    <row r="797" ht="15.75" customHeight="1" s="58">
      <c r="A797" s="65" t="n"/>
      <c r="B797" s="65" t="n"/>
      <c r="C797" s="66" t="n"/>
      <c r="D797" s="66" t="n"/>
      <c r="E797" s="65" t="n"/>
      <c r="F797" s="65" t="n"/>
      <c r="G797" s="65" t="n"/>
      <c r="H797" s="65" t="n"/>
      <c r="I797" s="65" t="n"/>
      <c r="J797" s="65" t="n"/>
      <c r="K797" s="65" t="n"/>
      <c r="L797" s="65" t="n"/>
      <c r="M797" s="65" t="n"/>
      <c r="N797" s="65" t="n"/>
      <c r="O797" s="65" t="n"/>
      <c r="P797" s="65" t="n"/>
      <c r="Q797" s="65" t="n"/>
      <c r="R797" s="65" t="n"/>
      <c r="S797" s="65" t="n"/>
      <c r="T797" s="65" t="n"/>
      <c r="U797" s="65" t="n"/>
      <c r="V797" s="65" t="n"/>
      <c r="W797" s="65" t="n"/>
      <c r="X797" s="65" t="n"/>
      <c r="Y797" s="32">
        <f>IF($C797="","",IF(COUNTA($I797:$K797)&lt;3,"— חסרים נתונים",IF(AND($I797="תקין",$J797="תקין",$K797="תקין"),"רהוטה",IF(AND($I797="תקין",$J797="תקין"),"מדויקת ורציפה","אינה מדויקת או מקוטעת"))))</f>
        <v/>
      </c>
      <c r="Z797" s="32">
        <f>IF($C797="","",IF(COUNTA($U797:$W797)&lt;3,"",IF(AND($U797="מפותח",$V797="מפותח",$W797="מפותחת"),"מפותחת",IF((--($U797="דל"))+(--($V797="אינו מפותח"))+(--($W797="דלה"))&gt;=2,"אינה מפותחת","חלקית"))))</f>
        <v/>
      </c>
      <c r="AA797" s="32">
        <f>IF($C797="","",IF(COUNTA($M797,$N797,$O797)&lt;3,"— חסרים נתונים",IF(OR($M797="נמוכה",(--($M797&lt;&gt;"תקינה"))+(--($N797&lt;&gt;"תקין"))+(--($O797&lt;&gt;"תקינה"))&gt;=2),"ניכרת","אינה ניכרת")))</f>
        <v/>
      </c>
      <c r="AB797" s="32">
        <f>IF(OR($C797="",$Y797="",$AA797="",LEFT($Y797,1)="—",LEFT($AA797,1)="—"),"",IF($Z797="","— נדרשת הערכת כתיבה",IF($L797="","— חסרה הבנת הנקרא",IF($Y797="אינה מדויקת או מקוטעת",IF($AA797="ניכרת","מיקוד בשטף הקריאה ובכישורי שפה","מיקוד בשטף קריאה"),IF($AA797="ניכרת","מיקוד בכישורי שפה",IF(AND($L797="תקינה",$Z797="מפותחת"),"קוראים וכותבים מיומנים","מיקוד בהבנה והבעה"))))))</f>
        <v/>
      </c>
      <c r="AC797" s="32">
        <f>IF(OR($AB797="",LEFT($AB797,1)="—"),"",IF(OR($AB797="מיקוד בשטף קריאה",$AB797="מיקוד בשטף הקריאה ובכישורי שפה"),"רמה א'",IF($AB797="קוראים וכותבים מיומנים","רמה ג'","רמה ב'")))</f>
        <v/>
      </c>
      <c r="AD797" s="32">
        <f>IF($AC797="","",MID(IF(AND($AC797="רמה א'",$AA797="ניכרת"),"; להוסיף עבודת אוצר מילים","")&amp;IF($Z797="אינה מפותחת","; דגש על הבעה בכתב","")&amp;IF($K797&lt;&gt;"תקין","; נדרש לעבוד על ההנגנה","")&amp;IF($AK797&lt;&gt;"","; "&amp;$AK797,""),3,400))</f>
        <v/>
      </c>
      <c r="AE797" s="32">
        <f>IF($F797="","",IF($F797="תחילת שנה",1,IF($F797="מחצית שנה",2,3)))</f>
        <v/>
      </c>
      <c r="AF797" s="32">
        <f>IF(OR($B797="",$AC797="",$A797="",$F797=""),"",$B797&amp;"|"&amp;$A797&amp;"|"&amp;$F797&amp;"|"&amp;$AC797&amp;"|"&amp;COUNTIFS($B$6:$B797,$B797,$A$6:$A797,$A797,$F$6:$F797,$F797,$AC$6:$AC797,$AC797))</f>
        <v/>
      </c>
      <c r="AG797" s="32">
        <f>IF($C797="","",$C797&amp;"|"&amp;COUNTIFS($C$6:$C797,$C797))</f>
        <v/>
      </c>
      <c r="AH797" s="32">
        <f>IF(OR($C797="",$A797="",$AE797=""),"",$C797&amp;"|"&amp;$A797&amp;"|"&amp;$AE797)</f>
        <v/>
      </c>
      <c r="AI797" s="32">
        <f>IF(OR($C797="",$AE797="",$AE797=1),"",IFERROR(INDEX($AC$6:$AC$1505,MATCH($C797&amp;"|"&amp;$A797&amp;"|"&amp;($AE797-1),$AH$6:$AH$1505,0)),""))</f>
        <v/>
      </c>
      <c r="AJ797" s="32">
        <f>IF(OR($AI797="",$AC797=""),"",IF($AI797=$AC797,"ללא שינוי","מ-"&amp;$AI797&amp;" ל-"&amp;$AC797))</f>
        <v/>
      </c>
      <c r="AK797" s="67" t="n"/>
    </row>
    <row r="798" ht="15.75" customHeight="1" s="58">
      <c r="A798" s="65" t="n"/>
      <c r="B798" s="65" t="n"/>
      <c r="C798" s="66" t="n"/>
      <c r="D798" s="66" t="n"/>
      <c r="E798" s="65" t="n"/>
      <c r="F798" s="65" t="n"/>
      <c r="G798" s="65" t="n"/>
      <c r="H798" s="65" t="n"/>
      <c r="I798" s="65" t="n"/>
      <c r="J798" s="65" t="n"/>
      <c r="K798" s="65" t="n"/>
      <c r="L798" s="65" t="n"/>
      <c r="M798" s="65" t="n"/>
      <c r="N798" s="65" t="n"/>
      <c r="O798" s="65" t="n"/>
      <c r="P798" s="65" t="n"/>
      <c r="Q798" s="65" t="n"/>
      <c r="R798" s="65" t="n"/>
      <c r="S798" s="65" t="n"/>
      <c r="T798" s="65" t="n"/>
      <c r="U798" s="65" t="n"/>
      <c r="V798" s="65" t="n"/>
      <c r="W798" s="65" t="n"/>
      <c r="X798" s="65" t="n"/>
      <c r="Y798" s="32">
        <f>IF($C798="","",IF(COUNTA($I798:$K798)&lt;3,"— חסרים נתונים",IF(AND($I798="תקין",$J798="תקין",$K798="תקין"),"רהוטה",IF(AND($I798="תקין",$J798="תקין"),"מדויקת ורציפה","אינה מדויקת או מקוטעת"))))</f>
        <v/>
      </c>
      <c r="Z798" s="32">
        <f>IF($C798="","",IF(COUNTA($U798:$W798)&lt;3,"",IF(AND($U798="מפותח",$V798="מפותח",$W798="מפותחת"),"מפותחת",IF((--($U798="דל"))+(--($V798="אינו מפותח"))+(--($W798="דלה"))&gt;=2,"אינה מפותחת","חלקית"))))</f>
        <v/>
      </c>
      <c r="AA798" s="32">
        <f>IF($C798="","",IF(COUNTA($M798,$N798,$O798)&lt;3,"— חסרים נתונים",IF(OR($M798="נמוכה",(--($M798&lt;&gt;"תקינה"))+(--($N798&lt;&gt;"תקין"))+(--($O798&lt;&gt;"תקינה"))&gt;=2),"ניכרת","אינה ניכרת")))</f>
        <v/>
      </c>
      <c r="AB798" s="32">
        <f>IF(OR($C798="",$Y798="",$AA798="",LEFT($Y798,1)="—",LEFT($AA798,1)="—"),"",IF($Z798="","— נדרשת הערכת כתיבה",IF($L798="","— חסרה הבנת הנקרא",IF($Y798="אינה מדויקת או מקוטעת",IF($AA798="ניכרת","מיקוד בשטף הקריאה ובכישורי שפה","מיקוד בשטף קריאה"),IF($AA798="ניכרת","מיקוד בכישורי שפה",IF(AND($L798="תקינה",$Z798="מפותחת"),"קוראים וכותבים מיומנים","מיקוד בהבנה והבעה"))))))</f>
        <v/>
      </c>
      <c r="AC798" s="32">
        <f>IF(OR($AB798="",LEFT($AB798,1)="—"),"",IF(OR($AB798="מיקוד בשטף קריאה",$AB798="מיקוד בשטף הקריאה ובכישורי שפה"),"רמה א'",IF($AB798="קוראים וכותבים מיומנים","רמה ג'","רמה ב'")))</f>
        <v/>
      </c>
      <c r="AD798" s="32">
        <f>IF($AC798="","",MID(IF(AND($AC798="רמה א'",$AA798="ניכרת"),"; להוסיף עבודת אוצר מילים","")&amp;IF($Z798="אינה מפותחת","; דגש על הבעה בכתב","")&amp;IF($K798&lt;&gt;"תקין","; נדרש לעבוד על ההנגנה","")&amp;IF($AK798&lt;&gt;"","; "&amp;$AK798,""),3,400))</f>
        <v/>
      </c>
      <c r="AE798" s="32">
        <f>IF($F798="","",IF($F798="תחילת שנה",1,IF($F798="מחצית שנה",2,3)))</f>
        <v/>
      </c>
      <c r="AF798" s="32">
        <f>IF(OR($B798="",$AC798="",$A798="",$F798=""),"",$B798&amp;"|"&amp;$A798&amp;"|"&amp;$F798&amp;"|"&amp;$AC798&amp;"|"&amp;COUNTIFS($B$6:$B798,$B798,$A$6:$A798,$A798,$F$6:$F798,$F798,$AC$6:$AC798,$AC798))</f>
        <v/>
      </c>
      <c r="AG798" s="32">
        <f>IF($C798="","",$C798&amp;"|"&amp;COUNTIFS($C$6:$C798,$C798))</f>
        <v/>
      </c>
      <c r="AH798" s="32">
        <f>IF(OR($C798="",$A798="",$AE798=""),"",$C798&amp;"|"&amp;$A798&amp;"|"&amp;$AE798)</f>
        <v/>
      </c>
      <c r="AI798" s="32">
        <f>IF(OR($C798="",$AE798="",$AE798=1),"",IFERROR(INDEX($AC$6:$AC$1505,MATCH($C798&amp;"|"&amp;$A798&amp;"|"&amp;($AE798-1),$AH$6:$AH$1505,0)),""))</f>
        <v/>
      </c>
      <c r="AJ798" s="32">
        <f>IF(OR($AI798="",$AC798=""),"",IF($AI798=$AC798,"ללא שינוי","מ-"&amp;$AI798&amp;" ל-"&amp;$AC798))</f>
        <v/>
      </c>
      <c r="AK798" s="67" t="n"/>
    </row>
    <row r="799" ht="15.75" customHeight="1" s="58">
      <c r="A799" s="65" t="n"/>
      <c r="B799" s="65" t="n"/>
      <c r="C799" s="66" t="n"/>
      <c r="D799" s="66" t="n"/>
      <c r="E799" s="65" t="n"/>
      <c r="F799" s="65" t="n"/>
      <c r="G799" s="65" t="n"/>
      <c r="H799" s="65" t="n"/>
      <c r="I799" s="65" t="n"/>
      <c r="J799" s="65" t="n"/>
      <c r="K799" s="65" t="n"/>
      <c r="L799" s="65" t="n"/>
      <c r="M799" s="65" t="n"/>
      <c r="N799" s="65" t="n"/>
      <c r="O799" s="65" t="n"/>
      <c r="P799" s="65" t="n"/>
      <c r="Q799" s="65" t="n"/>
      <c r="R799" s="65" t="n"/>
      <c r="S799" s="65" t="n"/>
      <c r="T799" s="65" t="n"/>
      <c r="U799" s="65" t="n"/>
      <c r="V799" s="65" t="n"/>
      <c r="W799" s="65" t="n"/>
      <c r="X799" s="65" t="n"/>
      <c r="Y799" s="32">
        <f>IF($C799="","",IF(COUNTA($I799:$K799)&lt;3,"— חסרים נתונים",IF(AND($I799="תקין",$J799="תקין",$K799="תקין"),"רהוטה",IF(AND($I799="תקין",$J799="תקין"),"מדויקת ורציפה","אינה מדויקת או מקוטעת"))))</f>
        <v/>
      </c>
      <c r="Z799" s="32">
        <f>IF($C799="","",IF(COUNTA($U799:$W799)&lt;3,"",IF(AND($U799="מפותח",$V799="מפותח",$W799="מפותחת"),"מפותחת",IF((--($U799="דל"))+(--($V799="אינו מפותח"))+(--($W799="דלה"))&gt;=2,"אינה מפותחת","חלקית"))))</f>
        <v/>
      </c>
      <c r="AA799" s="32">
        <f>IF($C799="","",IF(COUNTA($M799,$N799,$O799)&lt;3,"— חסרים נתונים",IF(OR($M799="נמוכה",(--($M799&lt;&gt;"תקינה"))+(--($N799&lt;&gt;"תקין"))+(--($O799&lt;&gt;"תקינה"))&gt;=2),"ניכרת","אינה ניכרת")))</f>
        <v/>
      </c>
      <c r="AB799" s="32">
        <f>IF(OR($C799="",$Y799="",$AA799="",LEFT($Y799,1)="—",LEFT($AA799,1)="—"),"",IF($Z799="","— נדרשת הערכת כתיבה",IF($L799="","— חסרה הבנת הנקרא",IF($Y799="אינה מדויקת או מקוטעת",IF($AA799="ניכרת","מיקוד בשטף הקריאה ובכישורי שפה","מיקוד בשטף קריאה"),IF($AA799="ניכרת","מיקוד בכישורי שפה",IF(AND($L799="תקינה",$Z799="מפותחת"),"קוראים וכותבים מיומנים","מיקוד בהבנה והבעה"))))))</f>
        <v/>
      </c>
      <c r="AC799" s="32">
        <f>IF(OR($AB799="",LEFT($AB799,1)="—"),"",IF(OR($AB799="מיקוד בשטף קריאה",$AB799="מיקוד בשטף הקריאה ובכישורי שפה"),"רמה א'",IF($AB799="קוראים וכותבים מיומנים","רמה ג'","רמה ב'")))</f>
        <v/>
      </c>
      <c r="AD799" s="32">
        <f>IF($AC799="","",MID(IF(AND($AC799="רמה א'",$AA799="ניכרת"),"; להוסיף עבודת אוצר מילים","")&amp;IF($Z799="אינה מפותחת","; דגש על הבעה בכתב","")&amp;IF($K799&lt;&gt;"תקין","; נדרש לעבוד על ההנגנה","")&amp;IF($AK799&lt;&gt;"","; "&amp;$AK799,""),3,400))</f>
        <v/>
      </c>
      <c r="AE799" s="32">
        <f>IF($F799="","",IF($F799="תחילת שנה",1,IF($F799="מחצית שנה",2,3)))</f>
        <v/>
      </c>
      <c r="AF799" s="32">
        <f>IF(OR($B799="",$AC799="",$A799="",$F799=""),"",$B799&amp;"|"&amp;$A799&amp;"|"&amp;$F799&amp;"|"&amp;$AC799&amp;"|"&amp;COUNTIFS($B$6:$B799,$B799,$A$6:$A799,$A799,$F$6:$F799,$F799,$AC$6:$AC799,$AC799))</f>
        <v/>
      </c>
      <c r="AG799" s="32">
        <f>IF($C799="","",$C799&amp;"|"&amp;COUNTIFS($C$6:$C799,$C799))</f>
        <v/>
      </c>
      <c r="AH799" s="32">
        <f>IF(OR($C799="",$A799="",$AE799=""),"",$C799&amp;"|"&amp;$A799&amp;"|"&amp;$AE799)</f>
        <v/>
      </c>
      <c r="AI799" s="32">
        <f>IF(OR($C799="",$AE799="",$AE799=1),"",IFERROR(INDEX($AC$6:$AC$1505,MATCH($C799&amp;"|"&amp;$A799&amp;"|"&amp;($AE799-1),$AH$6:$AH$1505,0)),""))</f>
        <v/>
      </c>
      <c r="AJ799" s="32">
        <f>IF(OR($AI799="",$AC799=""),"",IF($AI799=$AC799,"ללא שינוי","מ-"&amp;$AI799&amp;" ל-"&amp;$AC799))</f>
        <v/>
      </c>
      <c r="AK799" s="67" t="n"/>
    </row>
    <row r="800" ht="15.75" customHeight="1" s="58">
      <c r="A800" s="65" t="n"/>
      <c r="B800" s="65" t="n"/>
      <c r="C800" s="66" t="n"/>
      <c r="D800" s="66" t="n"/>
      <c r="E800" s="65" t="n"/>
      <c r="F800" s="65" t="n"/>
      <c r="G800" s="65" t="n"/>
      <c r="H800" s="65" t="n"/>
      <c r="I800" s="65" t="n"/>
      <c r="J800" s="65" t="n"/>
      <c r="K800" s="65" t="n"/>
      <c r="L800" s="65" t="n"/>
      <c r="M800" s="65" t="n"/>
      <c r="N800" s="65" t="n"/>
      <c r="O800" s="65" t="n"/>
      <c r="P800" s="65" t="n"/>
      <c r="Q800" s="65" t="n"/>
      <c r="R800" s="65" t="n"/>
      <c r="S800" s="65" t="n"/>
      <c r="T800" s="65" t="n"/>
      <c r="U800" s="65" t="n"/>
      <c r="V800" s="65" t="n"/>
      <c r="W800" s="65" t="n"/>
      <c r="X800" s="65" t="n"/>
      <c r="Y800" s="32">
        <f>IF($C800="","",IF(COUNTA($I800:$K800)&lt;3,"— חסרים נתונים",IF(AND($I800="תקין",$J800="תקין",$K800="תקין"),"רהוטה",IF(AND($I800="תקין",$J800="תקין"),"מדויקת ורציפה","אינה מדויקת או מקוטעת"))))</f>
        <v/>
      </c>
      <c r="Z800" s="32">
        <f>IF($C800="","",IF(COUNTA($U800:$W800)&lt;3,"",IF(AND($U800="מפותח",$V800="מפותח",$W800="מפותחת"),"מפותחת",IF((--($U800="דל"))+(--($V800="אינו מפותח"))+(--($W800="דלה"))&gt;=2,"אינה מפותחת","חלקית"))))</f>
        <v/>
      </c>
      <c r="AA800" s="32">
        <f>IF($C800="","",IF(COUNTA($M800,$N800,$O800)&lt;3,"— חסרים נתונים",IF(OR($M800="נמוכה",(--($M800&lt;&gt;"תקינה"))+(--($N800&lt;&gt;"תקין"))+(--($O800&lt;&gt;"תקינה"))&gt;=2),"ניכרת","אינה ניכרת")))</f>
        <v/>
      </c>
      <c r="AB800" s="32">
        <f>IF(OR($C800="",$Y800="",$AA800="",LEFT($Y800,1)="—",LEFT($AA800,1)="—"),"",IF($Z800="","— נדרשת הערכת כתיבה",IF($L800="","— חסרה הבנת הנקרא",IF($Y800="אינה מדויקת או מקוטעת",IF($AA800="ניכרת","מיקוד בשטף הקריאה ובכישורי שפה","מיקוד בשטף קריאה"),IF($AA800="ניכרת","מיקוד בכישורי שפה",IF(AND($L800="תקינה",$Z800="מפותחת"),"קוראים וכותבים מיומנים","מיקוד בהבנה והבעה"))))))</f>
        <v/>
      </c>
      <c r="AC800" s="32">
        <f>IF(OR($AB800="",LEFT($AB800,1)="—"),"",IF(OR($AB800="מיקוד בשטף קריאה",$AB800="מיקוד בשטף הקריאה ובכישורי שפה"),"רמה א'",IF($AB800="קוראים וכותבים מיומנים","רמה ג'","רמה ב'")))</f>
        <v/>
      </c>
      <c r="AD800" s="32">
        <f>IF($AC800="","",MID(IF(AND($AC800="רמה א'",$AA800="ניכרת"),"; להוסיף עבודת אוצר מילים","")&amp;IF($Z800="אינה מפותחת","; דגש על הבעה בכתב","")&amp;IF($K800&lt;&gt;"תקין","; נדרש לעבוד על ההנגנה","")&amp;IF($AK800&lt;&gt;"","; "&amp;$AK800,""),3,400))</f>
        <v/>
      </c>
      <c r="AE800" s="32">
        <f>IF($F800="","",IF($F800="תחילת שנה",1,IF($F800="מחצית שנה",2,3)))</f>
        <v/>
      </c>
      <c r="AF800" s="32">
        <f>IF(OR($B800="",$AC800="",$A800="",$F800=""),"",$B800&amp;"|"&amp;$A800&amp;"|"&amp;$F800&amp;"|"&amp;$AC800&amp;"|"&amp;COUNTIFS($B$6:$B800,$B800,$A$6:$A800,$A800,$F$6:$F800,$F800,$AC$6:$AC800,$AC800))</f>
        <v/>
      </c>
      <c r="AG800" s="32">
        <f>IF($C800="","",$C800&amp;"|"&amp;COUNTIFS($C$6:$C800,$C800))</f>
        <v/>
      </c>
      <c r="AH800" s="32">
        <f>IF(OR($C800="",$A800="",$AE800=""),"",$C800&amp;"|"&amp;$A800&amp;"|"&amp;$AE800)</f>
        <v/>
      </c>
      <c r="AI800" s="32">
        <f>IF(OR($C800="",$AE800="",$AE800=1),"",IFERROR(INDEX($AC$6:$AC$1505,MATCH($C800&amp;"|"&amp;$A800&amp;"|"&amp;($AE800-1),$AH$6:$AH$1505,0)),""))</f>
        <v/>
      </c>
      <c r="AJ800" s="32">
        <f>IF(OR($AI800="",$AC800=""),"",IF($AI800=$AC800,"ללא שינוי","מ-"&amp;$AI800&amp;" ל-"&amp;$AC800))</f>
        <v/>
      </c>
      <c r="AK800" s="67" t="n"/>
    </row>
    <row r="801" ht="15.75" customHeight="1" s="58">
      <c r="A801" s="65" t="n"/>
      <c r="B801" s="65" t="n"/>
      <c r="C801" s="66" t="n"/>
      <c r="D801" s="66" t="n"/>
      <c r="E801" s="65" t="n"/>
      <c r="F801" s="65" t="n"/>
      <c r="G801" s="65" t="n"/>
      <c r="H801" s="65" t="n"/>
      <c r="I801" s="65" t="n"/>
      <c r="J801" s="65" t="n"/>
      <c r="K801" s="65" t="n"/>
      <c r="L801" s="65" t="n"/>
      <c r="M801" s="65" t="n"/>
      <c r="N801" s="65" t="n"/>
      <c r="O801" s="65" t="n"/>
      <c r="P801" s="65" t="n"/>
      <c r="Q801" s="65" t="n"/>
      <c r="R801" s="65" t="n"/>
      <c r="S801" s="65" t="n"/>
      <c r="T801" s="65" t="n"/>
      <c r="U801" s="65" t="n"/>
      <c r="V801" s="65" t="n"/>
      <c r="W801" s="65" t="n"/>
      <c r="X801" s="65" t="n"/>
      <c r="Y801" s="32">
        <f>IF($C801="","",IF(COUNTA($I801:$K801)&lt;3,"— חסרים נתונים",IF(AND($I801="תקין",$J801="תקין",$K801="תקין"),"רהוטה",IF(AND($I801="תקין",$J801="תקין"),"מדויקת ורציפה","אינה מדויקת או מקוטעת"))))</f>
        <v/>
      </c>
      <c r="Z801" s="32">
        <f>IF($C801="","",IF(COUNTA($U801:$W801)&lt;3,"",IF(AND($U801="מפותח",$V801="מפותח",$W801="מפותחת"),"מפותחת",IF((--($U801="דל"))+(--($V801="אינו מפותח"))+(--($W801="דלה"))&gt;=2,"אינה מפותחת","חלקית"))))</f>
        <v/>
      </c>
      <c r="AA801" s="32">
        <f>IF($C801="","",IF(COUNTA($M801,$N801,$O801)&lt;3,"— חסרים נתונים",IF(OR($M801="נמוכה",(--($M801&lt;&gt;"תקינה"))+(--($N801&lt;&gt;"תקין"))+(--($O801&lt;&gt;"תקינה"))&gt;=2),"ניכרת","אינה ניכרת")))</f>
        <v/>
      </c>
      <c r="AB801" s="32">
        <f>IF(OR($C801="",$Y801="",$AA801="",LEFT($Y801,1)="—",LEFT($AA801,1)="—"),"",IF($Z801="","— נדרשת הערכת כתיבה",IF($L801="","— חסרה הבנת הנקרא",IF($Y801="אינה מדויקת או מקוטעת",IF($AA801="ניכרת","מיקוד בשטף הקריאה ובכישורי שפה","מיקוד בשטף קריאה"),IF($AA801="ניכרת","מיקוד בכישורי שפה",IF(AND($L801="תקינה",$Z801="מפותחת"),"קוראים וכותבים מיומנים","מיקוד בהבנה והבעה"))))))</f>
        <v/>
      </c>
      <c r="AC801" s="32">
        <f>IF(OR($AB801="",LEFT($AB801,1)="—"),"",IF(OR($AB801="מיקוד בשטף קריאה",$AB801="מיקוד בשטף הקריאה ובכישורי שפה"),"רמה א'",IF($AB801="קוראים וכותבים מיומנים","רמה ג'","רמה ב'")))</f>
        <v/>
      </c>
      <c r="AD801" s="32">
        <f>IF($AC801="","",MID(IF(AND($AC801="רמה א'",$AA801="ניכרת"),"; להוסיף עבודת אוצר מילים","")&amp;IF($Z801="אינה מפותחת","; דגש על הבעה בכתב","")&amp;IF($K801&lt;&gt;"תקין","; נדרש לעבוד על ההנגנה","")&amp;IF($AK801&lt;&gt;"","; "&amp;$AK801,""),3,400))</f>
        <v/>
      </c>
      <c r="AE801" s="32">
        <f>IF($F801="","",IF($F801="תחילת שנה",1,IF($F801="מחצית שנה",2,3)))</f>
        <v/>
      </c>
      <c r="AF801" s="32">
        <f>IF(OR($B801="",$AC801="",$A801="",$F801=""),"",$B801&amp;"|"&amp;$A801&amp;"|"&amp;$F801&amp;"|"&amp;$AC801&amp;"|"&amp;COUNTIFS($B$6:$B801,$B801,$A$6:$A801,$A801,$F$6:$F801,$F801,$AC$6:$AC801,$AC801))</f>
        <v/>
      </c>
      <c r="AG801" s="32">
        <f>IF($C801="","",$C801&amp;"|"&amp;COUNTIFS($C$6:$C801,$C801))</f>
        <v/>
      </c>
      <c r="AH801" s="32">
        <f>IF(OR($C801="",$A801="",$AE801=""),"",$C801&amp;"|"&amp;$A801&amp;"|"&amp;$AE801)</f>
        <v/>
      </c>
      <c r="AI801" s="32">
        <f>IF(OR($C801="",$AE801="",$AE801=1),"",IFERROR(INDEX($AC$6:$AC$1505,MATCH($C801&amp;"|"&amp;$A801&amp;"|"&amp;($AE801-1),$AH$6:$AH$1505,0)),""))</f>
        <v/>
      </c>
      <c r="AJ801" s="32">
        <f>IF(OR($AI801="",$AC801=""),"",IF($AI801=$AC801,"ללא שינוי","מ-"&amp;$AI801&amp;" ל-"&amp;$AC801))</f>
        <v/>
      </c>
      <c r="AK801" s="67" t="n"/>
    </row>
    <row r="802" ht="15.75" customHeight="1" s="58">
      <c r="A802" s="65" t="n"/>
      <c r="B802" s="65" t="n"/>
      <c r="C802" s="66" t="n"/>
      <c r="D802" s="66" t="n"/>
      <c r="E802" s="65" t="n"/>
      <c r="F802" s="65" t="n"/>
      <c r="G802" s="65" t="n"/>
      <c r="H802" s="65" t="n"/>
      <c r="I802" s="65" t="n"/>
      <c r="J802" s="65" t="n"/>
      <c r="K802" s="65" t="n"/>
      <c r="L802" s="65" t="n"/>
      <c r="M802" s="65" t="n"/>
      <c r="N802" s="65" t="n"/>
      <c r="O802" s="65" t="n"/>
      <c r="P802" s="65" t="n"/>
      <c r="Q802" s="65" t="n"/>
      <c r="R802" s="65" t="n"/>
      <c r="S802" s="65" t="n"/>
      <c r="T802" s="65" t="n"/>
      <c r="U802" s="65" t="n"/>
      <c r="V802" s="65" t="n"/>
      <c r="W802" s="65" t="n"/>
      <c r="X802" s="65" t="n"/>
      <c r="Y802" s="32">
        <f>IF($C802="","",IF(COUNTA($I802:$K802)&lt;3,"— חסרים נתונים",IF(AND($I802="תקין",$J802="תקין",$K802="תקין"),"רהוטה",IF(AND($I802="תקין",$J802="תקין"),"מדויקת ורציפה","אינה מדויקת או מקוטעת"))))</f>
        <v/>
      </c>
      <c r="Z802" s="32">
        <f>IF($C802="","",IF(COUNTA($U802:$W802)&lt;3,"",IF(AND($U802="מפותח",$V802="מפותח",$W802="מפותחת"),"מפותחת",IF((--($U802="דל"))+(--($V802="אינו מפותח"))+(--($W802="דלה"))&gt;=2,"אינה מפותחת","חלקית"))))</f>
        <v/>
      </c>
      <c r="AA802" s="32">
        <f>IF($C802="","",IF(COUNTA($M802,$N802,$O802)&lt;3,"— חסרים נתונים",IF(OR($M802="נמוכה",(--($M802&lt;&gt;"תקינה"))+(--($N802&lt;&gt;"תקין"))+(--($O802&lt;&gt;"תקינה"))&gt;=2),"ניכרת","אינה ניכרת")))</f>
        <v/>
      </c>
      <c r="AB802" s="32">
        <f>IF(OR($C802="",$Y802="",$AA802="",LEFT($Y802,1)="—",LEFT($AA802,1)="—"),"",IF($Z802="","— נדרשת הערכת כתיבה",IF($L802="","— חסרה הבנת הנקרא",IF($Y802="אינה מדויקת או מקוטעת",IF($AA802="ניכרת","מיקוד בשטף הקריאה ובכישורי שפה","מיקוד בשטף קריאה"),IF($AA802="ניכרת","מיקוד בכישורי שפה",IF(AND($L802="תקינה",$Z802="מפותחת"),"קוראים וכותבים מיומנים","מיקוד בהבנה והבעה"))))))</f>
        <v/>
      </c>
      <c r="AC802" s="32">
        <f>IF(OR($AB802="",LEFT($AB802,1)="—"),"",IF(OR($AB802="מיקוד בשטף קריאה",$AB802="מיקוד בשטף הקריאה ובכישורי שפה"),"רמה א'",IF($AB802="קוראים וכותבים מיומנים","רמה ג'","רמה ב'")))</f>
        <v/>
      </c>
      <c r="AD802" s="32">
        <f>IF($AC802="","",MID(IF(AND($AC802="רמה א'",$AA802="ניכרת"),"; להוסיף עבודת אוצר מילים","")&amp;IF($Z802="אינה מפותחת","; דגש על הבעה בכתב","")&amp;IF($K802&lt;&gt;"תקין","; נדרש לעבוד על ההנגנה","")&amp;IF($AK802&lt;&gt;"","; "&amp;$AK802,""),3,400))</f>
        <v/>
      </c>
      <c r="AE802" s="32">
        <f>IF($F802="","",IF($F802="תחילת שנה",1,IF($F802="מחצית שנה",2,3)))</f>
        <v/>
      </c>
      <c r="AF802" s="32">
        <f>IF(OR($B802="",$AC802="",$A802="",$F802=""),"",$B802&amp;"|"&amp;$A802&amp;"|"&amp;$F802&amp;"|"&amp;$AC802&amp;"|"&amp;COUNTIFS($B$6:$B802,$B802,$A$6:$A802,$A802,$F$6:$F802,$F802,$AC$6:$AC802,$AC802))</f>
        <v/>
      </c>
      <c r="AG802" s="32">
        <f>IF($C802="","",$C802&amp;"|"&amp;COUNTIFS($C$6:$C802,$C802))</f>
        <v/>
      </c>
      <c r="AH802" s="32">
        <f>IF(OR($C802="",$A802="",$AE802=""),"",$C802&amp;"|"&amp;$A802&amp;"|"&amp;$AE802)</f>
        <v/>
      </c>
      <c r="AI802" s="32">
        <f>IF(OR($C802="",$AE802="",$AE802=1),"",IFERROR(INDEX($AC$6:$AC$1505,MATCH($C802&amp;"|"&amp;$A802&amp;"|"&amp;($AE802-1),$AH$6:$AH$1505,0)),""))</f>
        <v/>
      </c>
      <c r="AJ802" s="32">
        <f>IF(OR($AI802="",$AC802=""),"",IF($AI802=$AC802,"ללא שינוי","מ-"&amp;$AI802&amp;" ל-"&amp;$AC802))</f>
        <v/>
      </c>
      <c r="AK802" s="67" t="n"/>
    </row>
    <row r="803" ht="15.75" customHeight="1" s="58">
      <c r="A803" s="65" t="n"/>
      <c r="B803" s="65" t="n"/>
      <c r="C803" s="66" t="n"/>
      <c r="D803" s="66" t="n"/>
      <c r="E803" s="65" t="n"/>
      <c r="F803" s="65" t="n"/>
      <c r="G803" s="65" t="n"/>
      <c r="H803" s="65" t="n"/>
      <c r="I803" s="65" t="n"/>
      <c r="J803" s="65" t="n"/>
      <c r="K803" s="65" t="n"/>
      <c r="L803" s="65" t="n"/>
      <c r="M803" s="65" t="n"/>
      <c r="N803" s="65" t="n"/>
      <c r="O803" s="65" t="n"/>
      <c r="P803" s="65" t="n"/>
      <c r="Q803" s="65" t="n"/>
      <c r="R803" s="65" t="n"/>
      <c r="S803" s="65" t="n"/>
      <c r="T803" s="65" t="n"/>
      <c r="U803" s="65" t="n"/>
      <c r="V803" s="65" t="n"/>
      <c r="W803" s="65" t="n"/>
      <c r="X803" s="65" t="n"/>
      <c r="Y803" s="32">
        <f>IF($C803="","",IF(COUNTA($I803:$K803)&lt;3,"— חסרים נתונים",IF(AND($I803="תקין",$J803="תקין",$K803="תקין"),"רהוטה",IF(AND($I803="תקין",$J803="תקין"),"מדויקת ורציפה","אינה מדויקת או מקוטעת"))))</f>
        <v/>
      </c>
      <c r="Z803" s="32">
        <f>IF($C803="","",IF(COUNTA($U803:$W803)&lt;3,"",IF(AND($U803="מפותח",$V803="מפותח",$W803="מפותחת"),"מפותחת",IF((--($U803="דל"))+(--($V803="אינו מפותח"))+(--($W803="דלה"))&gt;=2,"אינה מפותחת","חלקית"))))</f>
        <v/>
      </c>
      <c r="AA803" s="32">
        <f>IF($C803="","",IF(COUNTA($M803,$N803,$O803)&lt;3,"— חסרים נתונים",IF(OR($M803="נמוכה",(--($M803&lt;&gt;"תקינה"))+(--($N803&lt;&gt;"תקין"))+(--($O803&lt;&gt;"תקינה"))&gt;=2),"ניכרת","אינה ניכרת")))</f>
        <v/>
      </c>
      <c r="AB803" s="32">
        <f>IF(OR($C803="",$Y803="",$AA803="",LEFT($Y803,1)="—",LEFT($AA803,1)="—"),"",IF($Z803="","— נדרשת הערכת כתיבה",IF($L803="","— חסרה הבנת הנקרא",IF($Y803="אינה מדויקת או מקוטעת",IF($AA803="ניכרת","מיקוד בשטף הקריאה ובכישורי שפה","מיקוד בשטף קריאה"),IF($AA803="ניכרת","מיקוד בכישורי שפה",IF(AND($L803="תקינה",$Z803="מפותחת"),"קוראים וכותבים מיומנים","מיקוד בהבנה והבעה"))))))</f>
        <v/>
      </c>
      <c r="AC803" s="32">
        <f>IF(OR($AB803="",LEFT($AB803,1)="—"),"",IF(OR($AB803="מיקוד בשטף קריאה",$AB803="מיקוד בשטף הקריאה ובכישורי שפה"),"רמה א'",IF($AB803="קוראים וכותבים מיומנים","רמה ג'","רמה ב'")))</f>
        <v/>
      </c>
      <c r="AD803" s="32">
        <f>IF($AC803="","",MID(IF(AND($AC803="רמה א'",$AA803="ניכרת"),"; להוסיף עבודת אוצר מילים","")&amp;IF($Z803="אינה מפותחת","; דגש על הבעה בכתב","")&amp;IF($K803&lt;&gt;"תקין","; נדרש לעבוד על ההנגנה","")&amp;IF($AK803&lt;&gt;"","; "&amp;$AK803,""),3,400))</f>
        <v/>
      </c>
      <c r="AE803" s="32">
        <f>IF($F803="","",IF($F803="תחילת שנה",1,IF($F803="מחצית שנה",2,3)))</f>
        <v/>
      </c>
      <c r="AF803" s="32">
        <f>IF(OR($B803="",$AC803="",$A803="",$F803=""),"",$B803&amp;"|"&amp;$A803&amp;"|"&amp;$F803&amp;"|"&amp;$AC803&amp;"|"&amp;COUNTIFS($B$6:$B803,$B803,$A$6:$A803,$A803,$F$6:$F803,$F803,$AC$6:$AC803,$AC803))</f>
        <v/>
      </c>
      <c r="AG803" s="32">
        <f>IF($C803="","",$C803&amp;"|"&amp;COUNTIFS($C$6:$C803,$C803))</f>
        <v/>
      </c>
      <c r="AH803" s="32">
        <f>IF(OR($C803="",$A803="",$AE803=""),"",$C803&amp;"|"&amp;$A803&amp;"|"&amp;$AE803)</f>
        <v/>
      </c>
      <c r="AI803" s="32">
        <f>IF(OR($C803="",$AE803="",$AE803=1),"",IFERROR(INDEX($AC$6:$AC$1505,MATCH($C803&amp;"|"&amp;$A803&amp;"|"&amp;($AE803-1),$AH$6:$AH$1505,0)),""))</f>
        <v/>
      </c>
      <c r="AJ803" s="32">
        <f>IF(OR($AI803="",$AC803=""),"",IF($AI803=$AC803,"ללא שינוי","מ-"&amp;$AI803&amp;" ל-"&amp;$AC803))</f>
        <v/>
      </c>
      <c r="AK803" s="67" t="n"/>
    </row>
    <row r="804" ht="15.75" customHeight="1" s="58">
      <c r="A804" s="65" t="n"/>
      <c r="B804" s="65" t="n"/>
      <c r="C804" s="66" t="n"/>
      <c r="D804" s="66" t="n"/>
      <c r="E804" s="65" t="n"/>
      <c r="F804" s="65" t="n"/>
      <c r="G804" s="65" t="n"/>
      <c r="H804" s="65" t="n"/>
      <c r="I804" s="65" t="n"/>
      <c r="J804" s="65" t="n"/>
      <c r="K804" s="65" t="n"/>
      <c r="L804" s="65" t="n"/>
      <c r="M804" s="65" t="n"/>
      <c r="N804" s="65" t="n"/>
      <c r="O804" s="65" t="n"/>
      <c r="P804" s="65" t="n"/>
      <c r="Q804" s="65" t="n"/>
      <c r="R804" s="65" t="n"/>
      <c r="S804" s="65" t="n"/>
      <c r="T804" s="65" t="n"/>
      <c r="U804" s="65" t="n"/>
      <c r="V804" s="65" t="n"/>
      <c r="W804" s="65" t="n"/>
      <c r="X804" s="65" t="n"/>
      <c r="Y804" s="32">
        <f>IF($C804="","",IF(COUNTA($I804:$K804)&lt;3,"— חסרים נתונים",IF(AND($I804="תקין",$J804="תקין",$K804="תקין"),"רהוטה",IF(AND($I804="תקין",$J804="תקין"),"מדויקת ורציפה","אינה מדויקת או מקוטעת"))))</f>
        <v/>
      </c>
      <c r="Z804" s="32">
        <f>IF($C804="","",IF(COUNTA($U804:$W804)&lt;3,"",IF(AND($U804="מפותח",$V804="מפותח",$W804="מפותחת"),"מפותחת",IF((--($U804="דל"))+(--($V804="אינו מפותח"))+(--($W804="דלה"))&gt;=2,"אינה מפותחת","חלקית"))))</f>
        <v/>
      </c>
      <c r="AA804" s="32">
        <f>IF($C804="","",IF(COUNTA($M804,$N804,$O804)&lt;3,"— חסרים נתונים",IF(OR($M804="נמוכה",(--($M804&lt;&gt;"תקינה"))+(--($N804&lt;&gt;"תקין"))+(--($O804&lt;&gt;"תקינה"))&gt;=2),"ניכרת","אינה ניכרת")))</f>
        <v/>
      </c>
      <c r="AB804" s="32">
        <f>IF(OR($C804="",$Y804="",$AA804="",LEFT($Y804,1)="—",LEFT($AA804,1)="—"),"",IF($Z804="","— נדרשת הערכת כתיבה",IF($L804="","— חסרה הבנת הנקרא",IF($Y804="אינה מדויקת או מקוטעת",IF($AA804="ניכרת","מיקוד בשטף הקריאה ובכישורי שפה","מיקוד בשטף קריאה"),IF($AA804="ניכרת","מיקוד בכישורי שפה",IF(AND($L804="תקינה",$Z804="מפותחת"),"קוראים וכותבים מיומנים","מיקוד בהבנה והבעה"))))))</f>
        <v/>
      </c>
      <c r="AC804" s="32">
        <f>IF(OR($AB804="",LEFT($AB804,1)="—"),"",IF(OR($AB804="מיקוד בשטף קריאה",$AB804="מיקוד בשטף הקריאה ובכישורי שפה"),"רמה א'",IF($AB804="קוראים וכותבים מיומנים","רמה ג'","רמה ב'")))</f>
        <v/>
      </c>
      <c r="AD804" s="32">
        <f>IF($AC804="","",MID(IF(AND($AC804="רמה א'",$AA804="ניכרת"),"; להוסיף עבודת אוצר מילים","")&amp;IF($Z804="אינה מפותחת","; דגש על הבעה בכתב","")&amp;IF($K804&lt;&gt;"תקין","; נדרש לעבוד על ההנגנה","")&amp;IF($AK804&lt;&gt;"","; "&amp;$AK804,""),3,400))</f>
        <v/>
      </c>
      <c r="AE804" s="32">
        <f>IF($F804="","",IF($F804="תחילת שנה",1,IF($F804="מחצית שנה",2,3)))</f>
        <v/>
      </c>
      <c r="AF804" s="32">
        <f>IF(OR($B804="",$AC804="",$A804="",$F804=""),"",$B804&amp;"|"&amp;$A804&amp;"|"&amp;$F804&amp;"|"&amp;$AC804&amp;"|"&amp;COUNTIFS($B$6:$B804,$B804,$A$6:$A804,$A804,$F$6:$F804,$F804,$AC$6:$AC804,$AC804))</f>
        <v/>
      </c>
      <c r="AG804" s="32">
        <f>IF($C804="","",$C804&amp;"|"&amp;COUNTIFS($C$6:$C804,$C804))</f>
        <v/>
      </c>
      <c r="AH804" s="32">
        <f>IF(OR($C804="",$A804="",$AE804=""),"",$C804&amp;"|"&amp;$A804&amp;"|"&amp;$AE804)</f>
        <v/>
      </c>
      <c r="AI804" s="32">
        <f>IF(OR($C804="",$AE804="",$AE804=1),"",IFERROR(INDEX($AC$6:$AC$1505,MATCH($C804&amp;"|"&amp;$A804&amp;"|"&amp;($AE804-1),$AH$6:$AH$1505,0)),""))</f>
        <v/>
      </c>
      <c r="AJ804" s="32">
        <f>IF(OR($AI804="",$AC804=""),"",IF($AI804=$AC804,"ללא שינוי","מ-"&amp;$AI804&amp;" ל-"&amp;$AC804))</f>
        <v/>
      </c>
      <c r="AK804" s="67" t="n"/>
    </row>
    <row r="805" ht="15.75" customHeight="1" s="58">
      <c r="A805" s="65" t="n"/>
      <c r="B805" s="65" t="n"/>
      <c r="C805" s="66" t="n"/>
      <c r="D805" s="66" t="n"/>
      <c r="E805" s="65" t="n"/>
      <c r="F805" s="65" t="n"/>
      <c r="G805" s="65" t="n"/>
      <c r="H805" s="65" t="n"/>
      <c r="I805" s="65" t="n"/>
      <c r="J805" s="65" t="n"/>
      <c r="K805" s="65" t="n"/>
      <c r="L805" s="65" t="n"/>
      <c r="M805" s="65" t="n"/>
      <c r="N805" s="65" t="n"/>
      <c r="O805" s="65" t="n"/>
      <c r="P805" s="65" t="n"/>
      <c r="Q805" s="65" t="n"/>
      <c r="R805" s="65" t="n"/>
      <c r="S805" s="65" t="n"/>
      <c r="T805" s="65" t="n"/>
      <c r="U805" s="65" t="n"/>
      <c r="V805" s="65" t="n"/>
      <c r="W805" s="65" t="n"/>
      <c r="X805" s="65" t="n"/>
      <c r="Y805" s="32">
        <f>IF($C805="","",IF(COUNTA($I805:$K805)&lt;3,"— חסרים נתונים",IF(AND($I805="תקין",$J805="תקין",$K805="תקין"),"רהוטה",IF(AND($I805="תקין",$J805="תקין"),"מדויקת ורציפה","אינה מדויקת או מקוטעת"))))</f>
        <v/>
      </c>
      <c r="Z805" s="32">
        <f>IF($C805="","",IF(COUNTA($U805:$W805)&lt;3,"",IF(AND($U805="מפותח",$V805="מפותח",$W805="מפותחת"),"מפותחת",IF((--($U805="דל"))+(--($V805="אינו מפותח"))+(--($W805="דלה"))&gt;=2,"אינה מפותחת","חלקית"))))</f>
        <v/>
      </c>
      <c r="AA805" s="32">
        <f>IF($C805="","",IF(COUNTA($M805,$N805,$O805)&lt;3,"— חסרים נתונים",IF(OR($M805="נמוכה",(--($M805&lt;&gt;"תקינה"))+(--($N805&lt;&gt;"תקין"))+(--($O805&lt;&gt;"תקינה"))&gt;=2),"ניכרת","אינה ניכרת")))</f>
        <v/>
      </c>
      <c r="AB805" s="32">
        <f>IF(OR($C805="",$Y805="",$AA805="",LEFT($Y805,1)="—",LEFT($AA805,1)="—"),"",IF($Z805="","— נדרשת הערכת כתיבה",IF($L805="","— חסרה הבנת הנקרא",IF($Y805="אינה מדויקת או מקוטעת",IF($AA805="ניכרת","מיקוד בשטף הקריאה ובכישורי שפה","מיקוד בשטף קריאה"),IF($AA805="ניכרת","מיקוד בכישורי שפה",IF(AND($L805="תקינה",$Z805="מפותחת"),"קוראים וכותבים מיומנים","מיקוד בהבנה והבעה"))))))</f>
        <v/>
      </c>
      <c r="AC805" s="32">
        <f>IF(OR($AB805="",LEFT($AB805,1)="—"),"",IF(OR($AB805="מיקוד בשטף קריאה",$AB805="מיקוד בשטף הקריאה ובכישורי שפה"),"רמה א'",IF($AB805="קוראים וכותבים מיומנים","רמה ג'","רמה ב'")))</f>
        <v/>
      </c>
      <c r="AD805" s="32">
        <f>IF($AC805="","",MID(IF(AND($AC805="רמה א'",$AA805="ניכרת"),"; להוסיף עבודת אוצר מילים","")&amp;IF($Z805="אינה מפותחת","; דגש על הבעה בכתב","")&amp;IF($K805&lt;&gt;"תקין","; נדרש לעבוד על ההנגנה","")&amp;IF($AK805&lt;&gt;"","; "&amp;$AK805,""),3,400))</f>
        <v/>
      </c>
      <c r="AE805" s="32">
        <f>IF($F805="","",IF($F805="תחילת שנה",1,IF($F805="מחצית שנה",2,3)))</f>
        <v/>
      </c>
      <c r="AF805" s="32">
        <f>IF(OR($B805="",$AC805="",$A805="",$F805=""),"",$B805&amp;"|"&amp;$A805&amp;"|"&amp;$F805&amp;"|"&amp;$AC805&amp;"|"&amp;COUNTIFS($B$6:$B805,$B805,$A$6:$A805,$A805,$F$6:$F805,$F805,$AC$6:$AC805,$AC805))</f>
        <v/>
      </c>
      <c r="AG805" s="32">
        <f>IF($C805="","",$C805&amp;"|"&amp;COUNTIFS($C$6:$C805,$C805))</f>
        <v/>
      </c>
      <c r="AH805" s="32">
        <f>IF(OR($C805="",$A805="",$AE805=""),"",$C805&amp;"|"&amp;$A805&amp;"|"&amp;$AE805)</f>
        <v/>
      </c>
      <c r="AI805" s="32">
        <f>IF(OR($C805="",$AE805="",$AE805=1),"",IFERROR(INDEX($AC$6:$AC$1505,MATCH($C805&amp;"|"&amp;$A805&amp;"|"&amp;($AE805-1),$AH$6:$AH$1505,0)),""))</f>
        <v/>
      </c>
      <c r="AJ805" s="32">
        <f>IF(OR($AI805="",$AC805=""),"",IF($AI805=$AC805,"ללא שינוי","מ-"&amp;$AI805&amp;" ל-"&amp;$AC805))</f>
        <v/>
      </c>
      <c r="AK805" s="67" t="n"/>
    </row>
    <row r="806" ht="15.75" customHeight="1" s="58">
      <c r="A806" s="65" t="n"/>
      <c r="B806" s="65" t="n"/>
      <c r="C806" s="66" t="n"/>
      <c r="D806" s="66" t="n"/>
      <c r="E806" s="65" t="n"/>
      <c r="F806" s="65" t="n"/>
      <c r="G806" s="65" t="n"/>
      <c r="H806" s="65" t="n"/>
      <c r="I806" s="65" t="n"/>
      <c r="J806" s="65" t="n"/>
      <c r="K806" s="65" t="n"/>
      <c r="L806" s="65" t="n"/>
      <c r="M806" s="65" t="n"/>
      <c r="N806" s="65" t="n"/>
      <c r="O806" s="65" t="n"/>
      <c r="P806" s="65" t="n"/>
      <c r="Q806" s="65" t="n"/>
      <c r="R806" s="65" t="n"/>
      <c r="S806" s="65" t="n"/>
      <c r="T806" s="65" t="n"/>
      <c r="U806" s="65" t="n"/>
      <c r="V806" s="65" t="n"/>
      <c r="W806" s="65" t="n"/>
      <c r="X806" s="65" t="n"/>
      <c r="Y806" s="32">
        <f>IF($C806="","",IF(COUNTA($I806:$K806)&lt;3,"— חסרים נתונים",IF(AND($I806="תקין",$J806="תקין",$K806="תקין"),"רהוטה",IF(AND($I806="תקין",$J806="תקין"),"מדויקת ורציפה","אינה מדויקת או מקוטעת"))))</f>
        <v/>
      </c>
      <c r="Z806" s="32">
        <f>IF($C806="","",IF(COUNTA($U806:$W806)&lt;3,"",IF(AND($U806="מפותח",$V806="מפותח",$W806="מפותחת"),"מפותחת",IF((--($U806="דל"))+(--($V806="אינו מפותח"))+(--($W806="דלה"))&gt;=2,"אינה מפותחת","חלקית"))))</f>
        <v/>
      </c>
      <c r="AA806" s="32">
        <f>IF($C806="","",IF(COUNTA($M806,$N806,$O806)&lt;3,"— חסרים נתונים",IF(OR($M806="נמוכה",(--($M806&lt;&gt;"תקינה"))+(--($N806&lt;&gt;"תקין"))+(--($O806&lt;&gt;"תקינה"))&gt;=2),"ניכרת","אינה ניכרת")))</f>
        <v/>
      </c>
      <c r="AB806" s="32">
        <f>IF(OR($C806="",$Y806="",$AA806="",LEFT($Y806,1)="—",LEFT($AA806,1)="—"),"",IF($Z806="","— נדרשת הערכת כתיבה",IF($L806="","— חסרה הבנת הנקרא",IF($Y806="אינה מדויקת או מקוטעת",IF($AA806="ניכרת","מיקוד בשטף הקריאה ובכישורי שפה","מיקוד בשטף קריאה"),IF($AA806="ניכרת","מיקוד בכישורי שפה",IF(AND($L806="תקינה",$Z806="מפותחת"),"קוראים וכותבים מיומנים","מיקוד בהבנה והבעה"))))))</f>
        <v/>
      </c>
      <c r="AC806" s="32">
        <f>IF(OR($AB806="",LEFT($AB806,1)="—"),"",IF(OR($AB806="מיקוד בשטף קריאה",$AB806="מיקוד בשטף הקריאה ובכישורי שפה"),"רמה א'",IF($AB806="קוראים וכותבים מיומנים","רמה ג'","רמה ב'")))</f>
        <v/>
      </c>
      <c r="AD806" s="32">
        <f>IF($AC806="","",MID(IF(AND($AC806="רמה א'",$AA806="ניכרת"),"; להוסיף עבודת אוצר מילים","")&amp;IF($Z806="אינה מפותחת","; דגש על הבעה בכתב","")&amp;IF($K806&lt;&gt;"תקין","; נדרש לעבוד על ההנגנה","")&amp;IF($AK806&lt;&gt;"","; "&amp;$AK806,""),3,400))</f>
        <v/>
      </c>
      <c r="AE806" s="32">
        <f>IF($F806="","",IF($F806="תחילת שנה",1,IF($F806="מחצית שנה",2,3)))</f>
        <v/>
      </c>
      <c r="AF806" s="32">
        <f>IF(OR($B806="",$AC806="",$A806="",$F806=""),"",$B806&amp;"|"&amp;$A806&amp;"|"&amp;$F806&amp;"|"&amp;$AC806&amp;"|"&amp;COUNTIFS($B$6:$B806,$B806,$A$6:$A806,$A806,$F$6:$F806,$F806,$AC$6:$AC806,$AC806))</f>
        <v/>
      </c>
      <c r="AG806" s="32">
        <f>IF($C806="","",$C806&amp;"|"&amp;COUNTIFS($C$6:$C806,$C806))</f>
        <v/>
      </c>
      <c r="AH806" s="32">
        <f>IF(OR($C806="",$A806="",$AE806=""),"",$C806&amp;"|"&amp;$A806&amp;"|"&amp;$AE806)</f>
        <v/>
      </c>
      <c r="AI806" s="32">
        <f>IF(OR($C806="",$AE806="",$AE806=1),"",IFERROR(INDEX($AC$6:$AC$1505,MATCH($C806&amp;"|"&amp;$A806&amp;"|"&amp;($AE806-1),$AH$6:$AH$1505,0)),""))</f>
        <v/>
      </c>
      <c r="AJ806" s="32">
        <f>IF(OR($AI806="",$AC806=""),"",IF($AI806=$AC806,"ללא שינוי","מ-"&amp;$AI806&amp;" ל-"&amp;$AC806))</f>
        <v/>
      </c>
      <c r="AK806" s="67" t="n"/>
    </row>
    <row r="807" ht="15.75" customHeight="1" s="58">
      <c r="A807" s="65" t="n"/>
      <c r="B807" s="65" t="n"/>
      <c r="C807" s="66" t="n"/>
      <c r="D807" s="66" t="n"/>
      <c r="E807" s="65" t="n"/>
      <c r="F807" s="65" t="n"/>
      <c r="G807" s="65" t="n"/>
      <c r="H807" s="65" t="n"/>
      <c r="I807" s="65" t="n"/>
      <c r="J807" s="65" t="n"/>
      <c r="K807" s="65" t="n"/>
      <c r="L807" s="65" t="n"/>
      <c r="M807" s="65" t="n"/>
      <c r="N807" s="65" t="n"/>
      <c r="O807" s="65" t="n"/>
      <c r="P807" s="65" t="n"/>
      <c r="Q807" s="65" t="n"/>
      <c r="R807" s="65" t="n"/>
      <c r="S807" s="65" t="n"/>
      <c r="T807" s="65" t="n"/>
      <c r="U807" s="65" t="n"/>
      <c r="V807" s="65" t="n"/>
      <c r="W807" s="65" t="n"/>
      <c r="X807" s="65" t="n"/>
      <c r="Y807" s="32">
        <f>IF($C807="","",IF(COUNTA($I807:$K807)&lt;3,"— חסרים נתונים",IF(AND($I807="תקין",$J807="תקין",$K807="תקין"),"רהוטה",IF(AND($I807="תקין",$J807="תקין"),"מדויקת ורציפה","אינה מדויקת או מקוטעת"))))</f>
        <v/>
      </c>
      <c r="Z807" s="32">
        <f>IF($C807="","",IF(COUNTA($U807:$W807)&lt;3,"",IF(AND($U807="מפותח",$V807="מפותח",$W807="מפותחת"),"מפותחת",IF((--($U807="דל"))+(--($V807="אינו מפותח"))+(--($W807="דלה"))&gt;=2,"אינה מפותחת","חלקית"))))</f>
        <v/>
      </c>
      <c r="AA807" s="32">
        <f>IF($C807="","",IF(COUNTA($M807,$N807,$O807)&lt;3,"— חסרים נתונים",IF(OR($M807="נמוכה",(--($M807&lt;&gt;"תקינה"))+(--($N807&lt;&gt;"תקין"))+(--($O807&lt;&gt;"תקינה"))&gt;=2),"ניכרת","אינה ניכרת")))</f>
        <v/>
      </c>
      <c r="AB807" s="32">
        <f>IF(OR($C807="",$Y807="",$AA807="",LEFT($Y807,1)="—",LEFT($AA807,1)="—"),"",IF($Z807="","— נדרשת הערכת כתיבה",IF($L807="","— חסרה הבנת הנקרא",IF($Y807="אינה מדויקת או מקוטעת",IF($AA807="ניכרת","מיקוד בשטף הקריאה ובכישורי שפה","מיקוד בשטף קריאה"),IF($AA807="ניכרת","מיקוד בכישורי שפה",IF(AND($L807="תקינה",$Z807="מפותחת"),"קוראים וכותבים מיומנים","מיקוד בהבנה והבעה"))))))</f>
        <v/>
      </c>
      <c r="AC807" s="32">
        <f>IF(OR($AB807="",LEFT($AB807,1)="—"),"",IF(OR($AB807="מיקוד בשטף קריאה",$AB807="מיקוד בשטף הקריאה ובכישורי שפה"),"רמה א'",IF($AB807="קוראים וכותבים מיומנים","רמה ג'","רמה ב'")))</f>
        <v/>
      </c>
      <c r="AD807" s="32">
        <f>IF($AC807="","",MID(IF(AND($AC807="רמה א'",$AA807="ניכרת"),"; להוסיף עבודת אוצר מילים","")&amp;IF($Z807="אינה מפותחת","; דגש על הבעה בכתב","")&amp;IF($K807&lt;&gt;"תקין","; נדרש לעבוד על ההנגנה","")&amp;IF($AK807&lt;&gt;"","; "&amp;$AK807,""),3,400))</f>
        <v/>
      </c>
      <c r="AE807" s="32">
        <f>IF($F807="","",IF($F807="תחילת שנה",1,IF($F807="מחצית שנה",2,3)))</f>
        <v/>
      </c>
      <c r="AF807" s="32">
        <f>IF(OR($B807="",$AC807="",$A807="",$F807=""),"",$B807&amp;"|"&amp;$A807&amp;"|"&amp;$F807&amp;"|"&amp;$AC807&amp;"|"&amp;COUNTIFS($B$6:$B807,$B807,$A$6:$A807,$A807,$F$6:$F807,$F807,$AC$6:$AC807,$AC807))</f>
        <v/>
      </c>
      <c r="AG807" s="32">
        <f>IF($C807="","",$C807&amp;"|"&amp;COUNTIFS($C$6:$C807,$C807))</f>
        <v/>
      </c>
      <c r="AH807" s="32">
        <f>IF(OR($C807="",$A807="",$AE807=""),"",$C807&amp;"|"&amp;$A807&amp;"|"&amp;$AE807)</f>
        <v/>
      </c>
      <c r="AI807" s="32">
        <f>IF(OR($C807="",$AE807="",$AE807=1),"",IFERROR(INDEX($AC$6:$AC$1505,MATCH($C807&amp;"|"&amp;$A807&amp;"|"&amp;($AE807-1),$AH$6:$AH$1505,0)),""))</f>
        <v/>
      </c>
      <c r="AJ807" s="32">
        <f>IF(OR($AI807="",$AC807=""),"",IF($AI807=$AC807,"ללא שינוי","מ-"&amp;$AI807&amp;" ל-"&amp;$AC807))</f>
        <v/>
      </c>
      <c r="AK807" s="67" t="n"/>
    </row>
    <row r="808" ht="15.75" customHeight="1" s="58">
      <c r="A808" s="65" t="n"/>
      <c r="B808" s="65" t="n"/>
      <c r="C808" s="66" t="n"/>
      <c r="D808" s="66" t="n"/>
      <c r="E808" s="65" t="n"/>
      <c r="F808" s="65" t="n"/>
      <c r="G808" s="65" t="n"/>
      <c r="H808" s="65" t="n"/>
      <c r="I808" s="65" t="n"/>
      <c r="J808" s="65" t="n"/>
      <c r="K808" s="65" t="n"/>
      <c r="L808" s="65" t="n"/>
      <c r="M808" s="65" t="n"/>
      <c r="N808" s="65" t="n"/>
      <c r="O808" s="65" t="n"/>
      <c r="P808" s="65" t="n"/>
      <c r="Q808" s="65" t="n"/>
      <c r="R808" s="65" t="n"/>
      <c r="S808" s="65" t="n"/>
      <c r="T808" s="65" t="n"/>
      <c r="U808" s="65" t="n"/>
      <c r="V808" s="65" t="n"/>
      <c r="W808" s="65" t="n"/>
      <c r="X808" s="65" t="n"/>
      <c r="Y808" s="32">
        <f>IF($C808="","",IF(COUNTA($I808:$K808)&lt;3,"— חסרים נתונים",IF(AND($I808="תקין",$J808="תקין",$K808="תקין"),"רהוטה",IF(AND($I808="תקין",$J808="תקין"),"מדויקת ורציפה","אינה מדויקת או מקוטעת"))))</f>
        <v/>
      </c>
      <c r="Z808" s="32">
        <f>IF($C808="","",IF(COUNTA($U808:$W808)&lt;3,"",IF(AND($U808="מפותח",$V808="מפותח",$W808="מפותחת"),"מפותחת",IF((--($U808="דל"))+(--($V808="אינו מפותח"))+(--($W808="דלה"))&gt;=2,"אינה מפותחת","חלקית"))))</f>
        <v/>
      </c>
      <c r="AA808" s="32">
        <f>IF($C808="","",IF(COUNTA($M808,$N808,$O808)&lt;3,"— חסרים נתונים",IF(OR($M808="נמוכה",(--($M808&lt;&gt;"תקינה"))+(--($N808&lt;&gt;"תקין"))+(--($O808&lt;&gt;"תקינה"))&gt;=2),"ניכרת","אינה ניכרת")))</f>
        <v/>
      </c>
      <c r="AB808" s="32">
        <f>IF(OR($C808="",$Y808="",$AA808="",LEFT($Y808,1)="—",LEFT($AA808,1)="—"),"",IF($Z808="","— נדרשת הערכת כתיבה",IF($L808="","— חסרה הבנת הנקרא",IF($Y808="אינה מדויקת או מקוטעת",IF($AA808="ניכרת","מיקוד בשטף הקריאה ובכישורי שפה","מיקוד בשטף קריאה"),IF($AA808="ניכרת","מיקוד בכישורי שפה",IF(AND($L808="תקינה",$Z808="מפותחת"),"קוראים וכותבים מיומנים","מיקוד בהבנה והבעה"))))))</f>
        <v/>
      </c>
      <c r="AC808" s="32">
        <f>IF(OR($AB808="",LEFT($AB808,1)="—"),"",IF(OR($AB808="מיקוד בשטף קריאה",$AB808="מיקוד בשטף הקריאה ובכישורי שפה"),"רמה א'",IF($AB808="קוראים וכותבים מיומנים","רמה ג'","רמה ב'")))</f>
        <v/>
      </c>
      <c r="AD808" s="32">
        <f>IF($AC808="","",MID(IF(AND($AC808="רמה א'",$AA808="ניכרת"),"; להוסיף עבודת אוצר מילים","")&amp;IF($Z808="אינה מפותחת","; דגש על הבעה בכתב","")&amp;IF($K808&lt;&gt;"תקין","; נדרש לעבוד על ההנגנה","")&amp;IF($AK808&lt;&gt;"","; "&amp;$AK808,""),3,400))</f>
        <v/>
      </c>
      <c r="AE808" s="32">
        <f>IF($F808="","",IF($F808="תחילת שנה",1,IF($F808="מחצית שנה",2,3)))</f>
        <v/>
      </c>
      <c r="AF808" s="32">
        <f>IF(OR($B808="",$AC808="",$A808="",$F808=""),"",$B808&amp;"|"&amp;$A808&amp;"|"&amp;$F808&amp;"|"&amp;$AC808&amp;"|"&amp;COUNTIFS($B$6:$B808,$B808,$A$6:$A808,$A808,$F$6:$F808,$F808,$AC$6:$AC808,$AC808))</f>
        <v/>
      </c>
      <c r="AG808" s="32">
        <f>IF($C808="","",$C808&amp;"|"&amp;COUNTIFS($C$6:$C808,$C808))</f>
        <v/>
      </c>
      <c r="AH808" s="32">
        <f>IF(OR($C808="",$A808="",$AE808=""),"",$C808&amp;"|"&amp;$A808&amp;"|"&amp;$AE808)</f>
        <v/>
      </c>
      <c r="AI808" s="32">
        <f>IF(OR($C808="",$AE808="",$AE808=1),"",IFERROR(INDEX($AC$6:$AC$1505,MATCH($C808&amp;"|"&amp;$A808&amp;"|"&amp;($AE808-1),$AH$6:$AH$1505,0)),""))</f>
        <v/>
      </c>
      <c r="AJ808" s="32">
        <f>IF(OR($AI808="",$AC808=""),"",IF($AI808=$AC808,"ללא שינוי","מ-"&amp;$AI808&amp;" ל-"&amp;$AC808))</f>
        <v/>
      </c>
      <c r="AK808" s="67" t="n"/>
    </row>
    <row r="809" ht="15.75" customHeight="1" s="58">
      <c r="A809" s="65" t="n"/>
      <c r="B809" s="65" t="n"/>
      <c r="C809" s="66" t="n"/>
      <c r="D809" s="66" t="n"/>
      <c r="E809" s="65" t="n"/>
      <c r="F809" s="65" t="n"/>
      <c r="G809" s="65" t="n"/>
      <c r="H809" s="65" t="n"/>
      <c r="I809" s="65" t="n"/>
      <c r="J809" s="65" t="n"/>
      <c r="K809" s="65" t="n"/>
      <c r="L809" s="65" t="n"/>
      <c r="M809" s="65" t="n"/>
      <c r="N809" s="65" t="n"/>
      <c r="O809" s="65" t="n"/>
      <c r="P809" s="65" t="n"/>
      <c r="Q809" s="65" t="n"/>
      <c r="R809" s="65" t="n"/>
      <c r="S809" s="65" t="n"/>
      <c r="T809" s="65" t="n"/>
      <c r="U809" s="65" t="n"/>
      <c r="V809" s="65" t="n"/>
      <c r="W809" s="65" t="n"/>
      <c r="X809" s="65" t="n"/>
      <c r="Y809" s="32">
        <f>IF($C809="","",IF(COUNTA($I809:$K809)&lt;3,"— חסרים נתונים",IF(AND($I809="תקין",$J809="תקין",$K809="תקין"),"רהוטה",IF(AND($I809="תקין",$J809="תקין"),"מדויקת ורציפה","אינה מדויקת או מקוטעת"))))</f>
        <v/>
      </c>
      <c r="Z809" s="32">
        <f>IF($C809="","",IF(COUNTA($U809:$W809)&lt;3,"",IF(AND($U809="מפותח",$V809="מפותח",$W809="מפותחת"),"מפותחת",IF((--($U809="דל"))+(--($V809="אינו מפותח"))+(--($W809="דלה"))&gt;=2,"אינה מפותחת","חלקית"))))</f>
        <v/>
      </c>
      <c r="AA809" s="32">
        <f>IF($C809="","",IF(COUNTA($M809,$N809,$O809)&lt;3,"— חסרים נתונים",IF(OR($M809="נמוכה",(--($M809&lt;&gt;"תקינה"))+(--($N809&lt;&gt;"תקין"))+(--($O809&lt;&gt;"תקינה"))&gt;=2),"ניכרת","אינה ניכרת")))</f>
        <v/>
      </c>
      <c r="AB809" s="32">
        <f>IF(OR($C809="",$Y809="",$AA809="",LEFT($Y809,1)="—",LEFT($AA809,1)="—"),"",IF($Z809="","— נדרשת הערכת כתיבה",IF($L809="","— חסרה הבנת הנקרא",IF($Y809="אינה מדויקת או מקוטעת",IF($AA809="ניכרת","מיקוד בשטף הקריאה ובכישורי שפה","מיקוד בשטף קריאה"),IF($AA809="ניכרת","מיקוד בכישורי שפה",IF(AND($L809="תקינה",$Z809="מפותחת"),"קוראים וכותבים מיומנים","מיקוד בהבנה והבעה"))))))</f>
        <v/>
      </c>
      <c r="AC809" s="32">
        <f>IF(OR($AB809="",LEFT($AB809,1)="—"),"",IF(OR($AB809="מיקוד בשטף קריאה",$AB809="מיקוד בשטף הקריאה ובכישורי שפה"),"רמה א'",IF($AB809="קוראים וכותבים מיומנים","רמה ג'","רמה ב'")))</f>
        <v/>
      </c>
      <c r="AD809" s="32">
        <f>IF($AC809="","",MID(IF(AND($AC809="רמה א'",$AA809="ניכרת"),"; להוסיף עבודת אוצר מילים","")&amp;IF($Z809="אינה מפותחת","; דגש על הבעה בכתב","")&amp;IF($K809&lt;&gt;"תקין","; נדרש לעבוד על ההנגנה","")&amp;IF($AK809&lt;&gt;"","; "&amp;$AK809,""),3,400))</f>
        <v/>
      </c>
      <c r="AE809" s="32">
        <f>IF($F809="","",IF($F809="תחילת שנה",1,IF($F809="מחצית שנה",2,3)))</f>
        <v/>
      </c>
      <c r="AF809" s="32">
        <f>IF(OR($B809="",$AC809="",$A809="",$F809=""),"",$B809&amp;"|"&amp;$A809&amp;"|"&amp;$F809&amp;"|"&amp;$AC809&amp;"|"&amp;COUNTIFS($B$6:$B809,$B809,$A$6:$A809,$A809,$F$6:$F809,$F809,$AC$6:$AC809,$AC809))</f>
        <v/>
      </c>
      <c r="AG809" s="32">
        <f>IF($C809="","",$C809&amp;"|"&amp;COUNTIFS($C$6:$C809,$C809))</f>
        <v/>
      </c>
      <c r="AH809" s="32">
        <f>IF(OR($C809="",$A809="",$AE809=""),"",$C809&amp;"|"&amp;$A809&amp;"|"&amp;$AE809)</f>
        <v/>
      </c>
      <c r="AI809" s="32">
        <f>IF(OR($C809="",$AE809="",$AE809=1),"",IFERROR(INDEX($AC$6:$AC$1505,MATCH($C809&amp;"|"&amp;$A809&amp;"|"&amp;($AE809-1),$AH$6:$AH$1505,0)),""))</f>
        <v/>
      </c>
      <c r="AJ809" s="32">
        <f>IF(OR($AI809="",$AC809=""),"",IF($AI809=$AC809,"ללא שינוי","מ-"&amp;$AI809&amp;" ל-"&amp;$AC809))</f>
        <v/>
      </c>
      <c r="AK809" s="67" t="n"/>
    </row>
    <row r="810" ht="15.75" customHeight="1" s="58">
      <c r="A810" s="65" t="n"/>
      <c r="B810" s="65" t="n"/>
      <c r="C810" s="66" t="n"/>
      <c r="D810" s="66" t="n"/>
      <c r="E810" s="65" t="n"/>
      <c r="F810" s="65" t="n"/>
      <c r="G810" s="65" t="n"/>
      <c r="H810" s="65" t="n"/>
      <c r="I810" s="65" t="n"/>
      <c r="J810" s="65" t="n"/>
      <c r="K810" s="65" t="n"/>
      <c r="L810" s="65" t="n"/>
      <c r="M810" s="65" t="n"/>
      <c r="N810" s="65" t="n"/>
      <c r="O810" s="65" t="n"/>
      <c r="P810" s="65" t="n"/>
      <c r="Q810" s="65" t="n"/>
      <c r="R810" s="65" t="n"/>
      <c r="S810" s="65" t="n"/>
      <c r="T810" s="65" t="n"/>
      <c r="U810" s="65" t="n"/>
      <c r="V810" s="65" t="n"/>
      <c r="W810" s="65" t="n"/>
      <c r="X810" s="65" t="n"/>
      <c r="Y810" s="32">
        <f>IF($C810="","",IF(COUNTA($I810:$K810)&lt;3,"— חסרים נתונים",IF(AND($I810="תקין",$J810="תקין",$K810="תקין"),"רהוטה",IF(AND($I810="תקין",$J810="תקין"),"מדויקת ורציפה","אינה מדויקת או מקוטעת"))))</f>
        <v/>
      </c>
      <c r="Z810" s="32">
        <f>IF($C810="","",IF(COUNTA($U810:$W810)&lt;3,"",IF(AND($U810="מפותח",$V810="מפותח",$W810="מפותחת"),"מפותחת",IF((--($U810="דל"))+(--($V810="אינו מפותח"))+(--($W810="דלה"))&gt;=2,"אינה מפותחת","חלקית"))))</f>
        <v/>
      </c>
      <c r="AA810" s="32">
        <f>IF($C810="","",IF(COUNTA($M810,$N810,$O810)&lt;3,"— חסרים נתונים",IF(OR($M810="נמוכה",(--($M810&lt;&gt;"תקינה"))+(--($N810&lt;&gt;"תקין"))+(--($O810&lt;&gt;"תקינה"))&gt;=2),"ניכרת","אינה ניכרת")))</f>
        <v/>
      </c>
      <c r="AB810" s="32">
        <f>IF(OR($C810="",$Y810="",$AA810="",LEFT($Y810,1)="—",LEFT($AA810,1)="—"),"",IF($Z810="","— נדרשת הערכת כתיבה",IF($L810="","— חסרה הבנת הנקרא",IF($Y810="אינה מדויקת או מקוטעת",IF($AA810="ניכרת","מיקוד בשטף הקריאה ובכישורי שפה","מיקוד בשטף קריאה"),IF($AA810="ניכרת","מיקוד בכישורי שפה",IF(AND($L810="תקינה",$Z810="מפותחת"),"קוראים וכותבים מיומנים","מיקוד בהבנה והבעה"))))))</f>
        <v/>
      </c>
      <c r="AC810" s="32">
        <f>IF(OR($AB810="",LEFT($AB810,1)="—"),"",IF(OR($AB810="מיקוד בשטף קריאה",$AB810="מיקוד בשטף הקריאה ובכישורי שפה"),"רמה א'",IF($AB810="קוראים וכותבים מיומנים","רמה ג'","רמה ב'")))</f>
        <v/>
      </c>
      <c r="AD810" s="32">
        <f>IF($AC810="","",MID(IF(AND($AC810="רמה א'",$AA810="ניכרת"),"; להוסיף עבודת אוצר מילים","")&amp;IF($Z810="אינה מפותחת","; דגש על הבעה בכתב","")&amp;IF($K810&lt;&gt;"תקין","; נדרש לעבוד על ההנגנה","")&amp;IF($AK810&lt;&gt;"","; "&amp;$AK810,""),3,400))</f>
        <v/>
      </c>
      <c r="AE810" s="32">
        <f>IF($F810="","",IF($F810="תחילת שנה",1,IF($F810="מחצית שנה",2,3)))</f>
        <v/>
      </c>
      <c r="AF810" s="32">
        <f>IF(OR($B810="",$AC810="",$A810="",$F810=""),"",$B810&amp;"|"&amp;$A810&amp;"|"&amp;$F810&amp;"|"&amp;$AC810&amp;"|"&amp;COUNTIFS($B$6:$B810,$B810,$A$6:$A810,$A810,$F$6:$F810,$F810,$AC$6:$AC810,$AC810))</f>
        <v/>
      </c>
      <c r="AG810" s="32">
        <f>IF($C810="","",$C810&amp;"|"&amp;COUNTIFS($C$6:$C810,$C810))</f>
        <v/>
      </c>
      <c r="AH810" s="32">
        <f>IF(OR($C810="",$A810="",$AE810=""),"",$C810&amp;"|"&amp;$A810&amp;"|"&amp;$AE810)</f>
        <v/>
      </c>
      <c r="AI810" s="32">
        <f>IF(OR($C810="",$AE810="",$AE810=1),"",IFERROR(INDEX($AC$6:$AC$1505,MATCH($C810&amp;"|"&amp;$A810&amp;"|"&amp;($AE810-1),$AH$6:$AH$1505,0)),""))</f>
        <v/>
      </c>
      <c r="AJ810" s="32">
        <f>IF(OR($AI810="",$AC810=""),"",IF($AI810=$AC810,"ללא שינוי","מ-"&amp;$AI810&amp;" ל-"&amp;$AC810))</f>
        <v/>
      </c>
      <c r="AK810" s="67" t="n"/>
    </row>
    <row r="811" ht="15.75" customHeight="1" s="58">
      <c r="A811" s="65" t="n"/>
      <c r="B811" s="65" t="n"/>
      <c r="C811" s="66" t="n"/>
      <c r="D811" s="66" t="n"/>
      <c r="E811" s="65" t="n"/>
      <c r="F811" s="65" t="n"/>
      <c r="G811" s="65" t="n"/>
      <c r="H811" s="65" t="n"/>
      <c r="I811" s="65" t="n"/>
      <c r="J811" s="65" t="n"/>
      <c r="K811" s="65" t="n"/>
      <c r="L811" s="65" t="n"/>
      <c r="M811" s="65" t="n"/>
      <c r="N811" s="65" t="n"/>
      <c r="O811" s="65" t="n"/>
      <c r="P811" s="65" t="n"/>
      <c r="Q811" s="65" t="n"/>
      <c r="R811" s="65" t="n"/>
      <c r="S811" s="65" t="n"/>
      <c r="T811" s="65" t="n"/>
      <c r="U811" s="65" t="n"/>
      <c r="V811" s="65" t="n"/>
      <c r="W811" s="65" t="n"/>
      <c r="X811" s="65" t="n"/>
      <c r="Y811" s="32">
        <f>IF($C811="","",IF(COUNTA($I811:$K811)&lt;3,"— חסרים נתונים",IF(AND($I811="תקין",$J811="תקין",$K811="תקין"),"רהוטה",IF(AND($I811="תקין",$J811="תקין"),"מדויקת ורציפה","אינה מדויקת או מקוטעת"))))</f>
        <v/>
      </c>
      <c r="Z811" s="32">
        <f>IF($C811="","",IF(COUNTA($U811:$W811)&lt;3,"",IF(AND($U811="מפותח",$V811="מפותח",$W811="מפותחת"),"מפותחת",IF((--($U811="דל"))+(--($V811="אינו מפותח"))+(--($W811="דלה"))&gt;=2,"אינה מפותחת","חלקית"))))</f>
        <v/>
      </c>
      <c r="AA811" s="32">
        <f>IF($C811="","",IF(COUNTA($M811,$N811,$O811)&lt;3,"— חסרים נתונים",IF(OR($M811="נמוכה",(--($M811&lt;&gt;"תקינה"))+(--($N811&lt;&gt;"תקין"))+(--($O811&lt;&gt;"תקינה"))&gt;=2),"ניכרת","אינה ניכרת")))</f>
        <v/>
      </c>
      <c r="AB811" s="32">
        <f>IF(OR($C811="",$Y811="",$AA811="",LEFT($Y811,1)="—",LEFT($AA811,1)="—"),"",IF($Z811="","— נדרשת הערכת כתיבה",IF($L811="","— חסרה הבנת הנקרא",IF($Y811="אינה מדויקת או מקוטעת",IF($AA811="ניכרת","מיקוד בשטף הקריאה ובכישורי שפה","מיקוד בשטף קריאה"),IF($AA811="ניכרת","מיקוד בכישורי שפה",IF(AND($L811="תקינה",$Z811="מפותחת"),"קוראים וכותבים מיומנים","מיקוד בהבנה והבעה"))))))</f>
        <v/>
      </c>
      <c r="AC811" s="32">
        <f>IF(OR($AB811="",LEFT($AB811,1)="—"),"",IF(OR($AB811="מיקוד בשטף קריאה",$AB811="מיקוד בשטף הקריאה ובכישורי שפה"),"רמה א'",IF($AB811="קוראים וכותבים מיומנים","רמה ג'","רמה ב'")))</f>
        <v/>
      </c>
      <c r="AD811" s="32">
        <f>IF($AC811="","",MID(IF(AND($AC811="רמה א'",$AA811="ניכרת"),"; להוסיף עבודת אוצר מילים","")&amp;IF($Z811="אינה מפותחת","; דגש על הבעה בכתב","")&amp;IF($K811&lt;&gt;"תקין","; נדרש לעבוד על ההנגנה","")&amp;IF($AK811&lt;&gt;"","; "&amp;$AK811,""),3,400))</f>
        <v/>
      </c>
      <c r="AE811" s="32">
        <f>IF($F811="","",IF($F811="תחילת שנה",1,IF($F811="מחצית שנה",2,3)))</f>
        <v/>
      </c>
      <c r="AF811" s="32">
        <f>IF(OR($B811="",$AC811="",$A811="",$F811=""),"",$B811&amp;"|"&amp;$A811&amp;"|"&amp;$F811&amp;"|"&amp;$AC811&amp;"|"&amp;COUNTIFS($B$6:$B811,$B811,$A$6:$A811,$A811,$F$6:$F811,$F811,$AC$6:$AC811,$AC811))</f>
        <v/>
      </c>
      <c r="AG811" s="32">
        <f>IF($C811="","",$C811&amp;"|"&amp;COUNTIFS($C$6:$C811,$C811))</f>
        <v/>
      </c>
      <c r="AH811" s="32">
        <f>IF(OR($C811="",$A811="",$AE811=""),"",$C811&amp;"|"&amp;$A811&amp;"|"&amp;$AE811)</f>
        <v/>
      </c>
      <c r="AI811" s="32">
        <f>IF(OR($C811="",$AE811="",$AE811=1),"",IFERROR(INDEX($AC$6:$AC$1505,MATCH($C811&amp;"|"&amp;$A811&amp;"|"&amp;($AE811-1),$AH$6:$AH$1505,0)),""))</f>
        <v/>
      </c>
      <c r="AJ811" s="32">
        <f>IF(OR($AI811="",$AC811=""),"",IF($AI811=$AC811,"ללא שינוי","מ-"&amp;$AI811&amp;" ל-"&amp;$AC811))</f>
        <v/>
      </c>
      <c r="AK811" s="67" t="n"/>
    </row>
    <row r="812" ht="15.75" customHeight="1" s="58">
      <c r="A812" s="65" t="n"/>
      <c r="B812" s="65" t="n"/>
      <c r="C812" s="66" t="n"/>
      <c r="D812" s="66" t="n"/>
      <c r="E812" s="65" t="n"/>
      <c r="F812" s="65" t="n"/>
      <c r="G812" s="65" t="n"/>
      <c r="H812" s="65" t="n"/>
      <c r="I812" s="65" t="n"/>
      <c r="J812" s="65" t="n"/>
      <c r="K812" s="65" t="n"/>
      <c r="L812" s="65" t="n"/>
      <c r="M812" s="65" t="n"/>
      <c r="N812" s="65" t="n"/>
      <c r="O812" s="65" t="n"/>
      <c r="P812" s="65" t="n"/>
      <c r="Q812" s="65" t="n"/>
      <c r="R812" s="65" t="n"/>
      <c r="S812" s="65" t="n"/>
      <c r="T812" s="65" t="n"/>
      <c r="U812" s="65" t="n"/>
      <c r="V812" s="65" t="n"/>
      <c r="W812" s="65" t="n"/>
      <c r="X812" s="65" t="n"/>
      <c r="Y812" s="32">
        <f>IF($C812="","",IF(COUNTA($I812:$K812)&lt;3,"— חסרים נתונים",IF(AND($I812="תקין",$J812="תקין",$K812="תקין"),"רהוטה",IF(AND($I812="תקין",$J812="תקין"),"מדויקת ורציפה","אינה מדויקת או מקוטעת"))))</f>
        <v/>
      </c>
      <c r="Z812" s="32">
        <f>IF($C812="","",IF(COUNTA($U812:$W812)&lt;3,"",IF(AND($U812="מפותח",$V812="מפותח",$W812="מפותחת"),"מפותחת",IF((--($U812="דל"))+(--($V812="אינו מפותח"))+(--($W812="דלה"))&gt;=2,"אינה מפותחת","חלקית"))))</f>
        <v/>
      </c>
      <c r="AA812" s="32">
        <f>IF($C812="","",IF(COUNTA($M812,$N812,$O812)&lt;3,"— חסרים נתונים",IF(OR($M812="נמוכה",(--($M812&lt;&gt;"תקינה"))+(--($N812&lt;&gt;"תקין"))+(--($O812&lt;&gt;"תקינה"))&gt;=2),"ניכרת","אינה ניכרת")))</f>
        <v/>
      </c>
      <c r="AB812" s="32">
        <f>IF(OR($C812="",$Y812="",$AA812="",LEFT($Y812,1)="—",LEFT($AA812,1)="—"),"",IF($Z812="","— נדרשת הערכת כתיבה",IF($L812="","— חסרה הבנת הנקרא",IF($Y812="אינה מדויקת או מקוטעת",IF($AA812="ניכרת","מיקוד בשטף הקריאה ובכישורי שפה","מיקוד בשטף קריאה"),IF($AA812="ניכרת","מיקוד בכישורי שפה",IF(AND($L812="תקינה",$Z812="מפותחת"),"קוראים וכותבים מיומנים","מיקוד בהבנה והבעה"))))))</f>
        <v/>
      </c>
      <c r="AC812" s="32">
        <f>IF(OR($AB812="",LEFT($AB812,1)="—"),"",IF(OR($AB812="מיקוד בשטף קריאה",$AB812="מיקוד בשטף הקריאה ובכישורי שפה"),"רמה א'",IF($AB812="קוראים וכותבים מיומנים","רמה ג'","רמה ב'")))</f>
        <v/>
      </c>
      <c r="AD812" s="32">
        <f>IF($AC812="","",MID(IF(AND($AC812="רמה א'",$AA812="ניכרת"),"; להוסיף עבודת אוצר מילים","")&amp;IF($Z812="אינה מפותחת","; דגש על הבעה בכתב","")&amp;IF($K812&lt;&gt;"תקין","; נדרש לעבוד על ההנגנה","")&amp;IF($AK812&lt;&gt;"","; "&amp;$AK812,""),3,400))</f>
        <v/>
      </c>
      <c r="AE812" s="32">
        <f>IF($F812="","",IF($F812="תחילת שנה",1,IF($F812="מחצית שנה",2,3)))</f>
        <v/>
      </c>
      <c r="AF812" s="32">
        <f>IF(OR($B812="",$AC812="",$A812="",$F812=""),"",$B812&amp;"|"&amp;$A812&amp;"|"&amp;$F812&amp;"|"&amp;$AC812&amp;"|"&amp;COUNTIFS($B$6:$B812,$B812,$A$6:$A812,$A812,$F$6:$F812,$F812,$AC$6:$AC812,$AC812))</f>
        <v/>
      </c>
      <c r="AG812" s="32">
        <f>IF($C812="","",$C812&amp;"|"&amp;COUNTIFS($C$6:$C812,$C812))</f>
        <v/>
      </c>
      <c r="AH812" s="32">
        <f>IF(OR($C812="",$A812="",$AE812=""),"",$C812&amp;"|"&amp;$A812&amp;"|"&amp;$AE812)</f>
        <v/>
      </c>
      <c r="AI812" s="32">
        <f>IF(OR($C812="",$AE812="",$AE812=1),"",IFERROR(INDEX($AC$6:$AC$1505,MATCH($C812&amp;"|"&amp;$A812&amp;"|"&amp;($AE812-1),$AH$6:$AH$1505,0)),""))</f>
        <v/>
      </c>
      <c r="AJ812" s="32">
        <f>IF(OR($AI812="",$AC812=""),"",IF($AI812=$AC812,"ללא שינוי","מ-"&amp;$AI812&amp;" ל-"&amp;$AC812))</f>
        <v/>
      </c>
      <c r="AK812" s="67" t="n"/>
    </row>
    <row r="813" ht="15.75" customHeight="1" s="58">
      <c r="A813" s="65" t="n"/>
      <c r="B813" s="65" t="n"/>
      <c r="C813" s="66" t="n"/>
      <c r="D813" s="66" t="n"/>
      <c r="E813" s="65" t="n"/>
      <c r="F813" s="65" t="n"/>
      <c r="G813" s="65" t="n"/>
      <c r="H813" s="65" t="n"/>
      <c r="I813" s="65" t="n"/>
      <c r="J813" s="65" t="n"/>
      <c r="K813" s="65" t="n"/>
      <c r="L813" s="65" t="n"/>
      <c r="M813" s="65" t="n"/>
      <c r="N813" s="65" t="n"/>
      <c r="O813" s="65" t="n"/>
      <c r="P813" s="65" t="n"/>
      <c r="Q813" s="65" t="n"/>
      <c r="R813" s="65" t="n"/>
      <c r="S813" s="65" t="n"/>
      <c r="T813" s="65" t="n"/>
      <c r="U813" s="65" t="n"/>
      <c r="V813" s="65" t="n"/>
      <c r="W813" s="65" t="n"/>
      <c r="X813" s="65" t="n"/>
      <c r="Y813" s="32">
        <f>IF($C813="","",IF(COUNTA($I813:$K813)&lt;3,"— חסרים נתונים",IF(AND($I813="תקין",$J813="תקין",$K813="תקין"),"רהוטה",IF(AND($I813="תקין",$J813="תקין"),"מדויקת ורציפה","אינה מדויקת או מקוטעת"))))</f>
        <v/>
      </c>
      <c r="Z813" s="32">
        <f>IF($C813="","",IF(COUNTA($U813:$W813)&lt;3,"",IF(AND($U813="מפותח",$V813="מפותח",$W813="מפותחת"),"מפותחת",IF((--($U813="דל"))+(--($V813="אינו מפותח"))+(--($W813="דלה"))&gt;=2,"אינה מפותחת","חלקית"))))</f>
        <v/>
      </c>
      <c r="AA813" s="32">
        <f>IF($C813="","",IF(COUNTA($M813,$N813,$O813)&lt;3,"— חסרים נתונים",IF(OR($M813="נמוכה",(--($M813&lt;&gt;"תקינה"))+(--($N813&lt;&gt;"תקין"))+(--($O813&lt;&gt;"תקינה"))&gt;=2),"ניכרת","אינה ניכרת")))</f>
        <v/>
      </c>
      <c r="AB813" s="32">
        <f>IF(OR($C813="",$Y813="",$AA813="",LEFT($Y813,1)="—",LEFT($AA813,1)="—"),"",IF($Z813="","— נדרשת הערכת כתיבה",IF($L813="","— חסרה הבנת הנקרא",IF($Y813="אינה מדויקת או מקוטעת",IF($AA813="ניכרת","מיקוד בשטף הקריאה ובכישורי שפה","מיקוד בשטף קריאה"),IF($AA813="ניכרת","מיקוד בכישורי שפה",IF(AND($L813="תקינה",$Z813="מפותחת"),"קוראים וכותבים מיומנים","מיקוד בהבנה והבעה"))))))</f>
        <v/>
      </c>
      <c r="AC813" s="32">
        <f>IF(OR($AB813="",LEFT($AB813,1)="—"),"",IF(OR($AB813="מיקוד בשטף קריאה",$AB813="מיקוד בשטף הקריאה ובכישורי שפה"),"רמה א'",IF($AB813="קוראים וכותבים מיומנים","רמה ג'","רמה ב'")))</f>
        <v/>
      </c>
      <c r="AD813" s="32">
        <f>IF($AC813="","",MID(IF(AND($AC813="רמה א'",$AA813="ניכרת"),"; להוסיף עבודת אוצר מילים","")&amp;IF($Z813="אינה מפותחת","; דגש על הבעה בכתב","")&amp;IF($K813&lt;&gt;"תקין","; נדרש לעבוד על ההנגנה","")&amp;IF($AK813&lt;&gt;"","; "&amp;$AK813,""),3,400))</f>
        <v/>
      </c>
      <c r="AE813" s="32">
        <f>IF($F813="","",IF($F813="תחילת שנה",1,IF($F813="מחצית שנה",2,3)))</f>
        <v/>
      </c>
      <c r="AF813" s="32">
        <f>IF(OR($B813="",$AC813="",$A813="",$F813=""),"",$B813&amp;"|"&amp;$A813&amp;"|"&amp;$F813&amp;"|"&amp;$AC813&amp;"|"&amp;COUNTIFS($B$6:$B813,$B813,$A$6:$A813,$A813,$F$6:$F813,$F813,$AC$6:$AC813,$AC813))</f>
        <v/>
      </c>
      <c r="AG813" s="32">
        <f>IF($C813="","",$C813&amp;"|"&amp;COUNTIFS($C$6:$C813,$C813))</f>
        <v/>
      </c>
      <c r="AH813" s="32">
        <f>IF(OR($C813="",$A813="",$AE813=""),"",$C813&amp;"|"&amp;$A813&amp;"|"&amp;$AE813)</f>
        <v/>
      </c>
      <c r="AI813" s="32">
        <f>IF(OR($C813="",$AE813="",$AE813=1),"",IFERROR(INDEX($AC$6:$AC$1505,MATCH($C813&amp;"|"&amp;$A813&amp;"|"&amp;($AE813-1),$AH$6:$AH$1505,0)),""))</f>
        <v/>
      </c>
      <c r="AJ813" s="32">
        <f>IF(OR($AI813="",$AC813=""),"",IF($AI813=$AC813,"ללא שינוי","מ-"&amp;$AI813&amp;" ל-"&amp;$AC813))</f>
        <v/>
      </c>
      <c r="AK813" s="67" t="n"/>
    </row>
    <row r="814" ht="15.75" customHeight="1" s="58">
      <c r="A814" s="65" t="n"/>
      <c r="B814" s="65" t="n"/>
      <c r="C814" s="66" t="n"/>
      <c r="D814" s="66" t="n"/>
      <c r="E814" s="65" t="n"/>
      <c r="F814" s="65" t="n"/>
      <c r="G814" s="65" t="n"/>
      <c r="H814" s="65" t="n"/>
      <c r="I814" s="65" t="n"/>
      <c r="J814" s="65" t="n"/>
      <c r="K814" s="65" t="n"/>
      <c r="L814" s="65" t="n"/>
      <c r="M814" s="65" t="n"/>
      <c r="N814" s="65" t="n"/>
      <c r="O814" s="65" t="n"/>
      <c r="P814" s="65" t="n"/>
      <c r="Q814" s="65" t="n"/>
      <c r="R814" s="65" t="n"/>
      <c r="S814" s="65" t="n"/>
      <c r="T814" s="65" t="n"/>
      <c r="U814" s="65" t="n"/>
      <c r="V814" s="65" t="n"/>
      <c r="W814" s="65" t="n"/>
      <c r="X814" s="65" t="n"/>
      <c r="Y814" s="32">
        <f>IF($C814="","",IF(COUNTA($I814:$K814)&lt;3,"— חסרים נתונים",IF(AND($I814="תקין",$J814="תקין",$K814="תקין"),"רהוטה",IF(AND($I814="תקין",$J814="תקין"),"מדויקת ורציפה","אינה מדויקת או מקוטעת"))))</f>
        <v/>
      </c>
      <c r="Z814" s="32">
        <f>IF($C814="","",IF(COUNTA($U814:$W814)&lt;3,"",IF(AND($U814="מפותח",$V814="מפותח",$W814="מפותחת"),"מפותחת",IF((--($U814="דל"))+(--($V814="אינו מפותח"))+(--($W814="דלה"))&gt;=2,"אינה מפותחת","חלקית"))))</f>
        <v/>
      </c>
      <c r="AA814" s="32">
        <f>IF($C814="","",IF(COUNTA($M814,$N814,$O814)&lt;3,"— חסרים נתונים",IF(OR($M814="נמוכה",(--($M814&lt;&gt;"תקינה"))+(--($N814&lt;&gt;"תקין"))+(--($O814&lt;&gt;"תקינה"))&gt;=2),"ניכרת","אינה ניכרת")))</f>
        <v/>
      </c>
      <c r="AB814" s="32">
        <f>IF(OR($C814="",$Y814="",$AA814="",LEFT($Y814,1)="—",LEFT($AA814,1)="—"),"",IF($Z814="","— נדרשת הערכת כתיבה",IF($L814="","— חסרה הבנת הנקרא",IF($Y814="אינה מדויקת או מקוטעת",IF($AA814="ניכרת","מיקוד בשטף הקריאה ובכישורי שפה","מיקוד בשטף קריאה"),IF($AA814="ניכרת","מיקוד בכישורי שפה",IF(AND($L814="תקינה",$Z814="מפותחת"),"קוראים וכותבים מיומנים","מיקוד בהבנה והבעה"))))))</f>
        <v/>
      </c>
      <c r="AC814" s="32">
        <f>IF(OR($AB814="",LEFT($AB814,1)="—"),"",IF(OR($AB814="מיקוד בשטף קריאה",$AB814="מיקוד בשטף הקריאה ובכישורי שפה"),"רמה א'",IF($AB814="קוראים וכותבים מיומנים","רמה ג'","רמה ב'")))</f>
        <v/>
      </c>
      <c r="AD814" s="32">
        <f>IF($AC814="","",MID(IF(AND($AC814="רמה א'",$AA814="ניכרת"),"; להוסיף עבודת אוצר מילים","")&amp;IF($Z814="אינה מפותחת","; דגש על הבעה בכתב","")&amp;IF($K814&lt;&gt;"תקין","; נדרש לעבוד על ההנגנה","")&amp;IF($AK814&lt;&gt;"","; "&amp;$AK814,""),3,400))</f>
        <v/>
      </c>
      <c r="AE814" s="32">
        <f>IF($F814="","",IF($F814="תחילת שנה",1,IF($F814="מחצית שנה",2,3)))</f>
        <v/>
      </c>
      <c r="AF814" s="32">
        <f>IF(OR($B814="",$AC814="",$A814="",$F814=""),"",$B814&amp;"|"&amp;$A814&amp;"|"&amp;$F814&amp;"|"&amp;$AC814&amp;"|"&amp;COUNTIFS($B$6:$B814,$B814,$A$6:$A814,$A814,$F$6:$F814,$F814,$AC$6:$AC814,$AC814))</f>
        <v/>
      </c>
      <c r="AG814" s="32">
        <f>IF($C814="","",$C814&amp;"|"&amp;COUNTIFS($C$6:$C814,$C814))</f>
        <v/>
      </c>
      <c r="AH814" s="32">
        <f>IF(OR($C814="",$A814="",$AE814=""),"",$C814&amp;"|"&amp;$A814&amp;"|"&amp;$AE814)</f>
        <v/>
      </c>
      <c r="AI814" s="32">
        <f>IF(OR($C814="",$AE814="",$AE814=1),"",IFERROR(INDEX($AC$6:$AC$1505,MATCH($C814&amp;"|"&amp;$A814&amp;"|"&amp;($AE814-1),$AH$6:$AH$1505,0)),""))</f>
        <v/>
      </c>
      <c r="AJ814" s="32">
        <f>IF(OR($AI814="",$AC814=""),"",IF($AI814=$AC814,"ללא שינוי","מ-"&amp;$AI814&amp;" ל-"&amp;$AC814))</f>
        <v/>
      </c>
      <c r="AK814" s="67" t="n"/>
    </row>
    <row r="815" ht="15.75" customHeight="1" s="58">
      <c r="A815" s="65" t="n"/>
      <c r="B815" s="65" t="n"/>
      <c r="C815" s="66" t="n"/>
      <c r="D815" s="66" t="n"/>
      <c r="E815" s="65" t="n"/>
      <c r="F815" s="65" t="n"/>
      <c r="G815" s="65" t="n"/>
      <c r="H815" s="65" t="n"/>
      <c r="I815" s="65" t="n"/>
      <c r="J815" s="65" t="n"/>
      <c r="K815" s="65" t="n"/>
      <c r="L815" s="65" t="n"/>
      <c r="M815" s="65" t="n"/>
      <c r="N815" s="65" t="n"/>
      <c r="O815" s="65" t="n"/>
      <c r="P815" s="65" t="n"/>
      <c r="Q815" s="65" t="n"/>
      <c r="R815" s="65" t="n"/>
      <c r="S815" s="65" t="n"/>
      <c r="T815" s="65" t="n"/>
      <c r="U815" s="65" t="n"/>
      <c r="V815" s="65" t="n"/>
      <c r="W815" s="65" t="n"/>
      <c r="X815" s="65" t="n"/>
      <c r="Y815" s="32">
        <f>IF($C815="","",IF(COUNTA($I815:$K815)&lt;3,"— חסרים נתונים",IF(AND($I815="תקין",$J815="תקין",$K815="תקין"),"רהוטה",IF(AND($I815="תקין",$J815="תקין"),"מדויקת ורציפה","אינה מדויקת או מקוטעת"))))</f>
        <v/>
      </c>
      <c r="Z815" s="32">
        <f>IF($C815="","",IF(COUNTA($U815:$W815)&lt;3,"",IF(AND($U815="מפותח",$V815="מפותח",$W815="מפותחת"),"מפותחת",IF((--($U815="דל"))+(--($V815="אינו מפותח"))+(--($W815="דלה"))&gt;=2,"אינה מפותחת","חלקית"))))</f>
        <v/>
      </c>
      <c r="AA815" s="32">
        <f>IF($C815="","",IF(COUNTA($M815,$N815,$O815)&lt;3,"— חסרים נתונים",IF(OR($M815="נמוכה",(--($M815&lt;&gt;"תקינה"))+(--($N815&lt;&gt;"תקין"))+(--($O815&lt;&gt;"תקינה"))&gt;=2),"ניכרת","אינה ניכרת")))</f>
        <v/>
      </c>
      <c r="AB815" s="32">
        <f>IF(OR($C815="",$Y815="",$AA815="",LEFT($Y815,1)="—",LEFT($AA815,1)="—"),"",IF($Z815="","— נדרשת הערכת כתיבה",IF($L815="","— חסרה הבנת הנקרא",IF($Y815="אינה מדויקת או מקוטעת",IF($AA815="ניכרת","מיקוד בשטף הקריאה ובכישורי שפה","מיקוד בשטף קריאה"),IF($AA815="ניכרת","מיקוד בכישורי שפה",IF(AND($L815="תקינה",$Z815="מפותחת"),"קוראים וכותבים מיומנים","מיקוד בהבנה והבעה"))))))</f>
        <v/>
      </c>
      <c r="AC815" s="32">
        <f>IF(OR($AB815="",LEFT($AB815,1)="—"),"",IF(OR($AB815="מיקוד בשטף קריאה",$AB815="מיקוד בשטף הקריאה ובכישורי שפה"),"רמה א'",IF($AB815="קוראים וכותבים מיומנים","רמה ג'","רמה ב'")))</f>
        <v/>
      </c>
      <c r="AD815" s="32">
        <f>IF($AC815="","",MID(IF(AND($AC815="רמה א'",$AA815="ניכרת"),"; להוסיף עבודת אוצר מילים","")&amp;IF($Z815="אינה מפותחת","; דגש על הבעה בכתב","")&amp;IF($K815&lt;&gt;"תקין","; נדרש לעבוד על ההנגנה","")&amp;IF($AK815&lt;&gt;"","; "&amp;$AK815,""),3,400))</f>
        <v/>
      </c>
      <c r="AE815" s="32">
        <f>IF($F815="","",IF($F815="תחילת שנה",1,IF($F815="מחצית שנה",2,3)))</f>
        <v/>
      </c>
      <c r="AF815" s="32">
        <f>IF(OR($B815="",$AC815="",$A815="",$F815=""),"",$B815&amp;"|"&amp;$A815&amp;"|"&amp;$F815&amp;"|"&amp;$AC815&amp;"|"&amp;COUNTIFS($B$6:$B815,$B815,$A$6:$A815,$A815,$F$6:$F815,$F815,$AC$6:$AC815,$AC815))</f>
        <v/>
      </c>
      <c r="AG815" s="32">
        <f>IF($C815="","",$C815&amp;"|"&amp;COUNTIFS($C$6:$C815,$C815))</f>
        <v/>
      </c>
      <c r="AH815" s="32">
        <f>IF(OR($C815="",$A815="",$AE815=""),"",$C815&amp;"|"&amp;$A815&amp;"|"&amp;$AE815)</f>
        <v/>
      </c>
      <c r="AI815" s="32">
        <f>IF(OR($C815="",$AE815="",$AE815=1),"",IFERROR(INDEX($AC$6:$AC$1505,MATCH($C815&amp;"|"&amp;$A815&amp;"|"&amp;($AE815-1),$AH$6:$AH$1505,0)),""))</f>
        <v/>
      </c>
      <c r="AJ815" s="32">
        <f>IF(OR($AI815="",$AC815=""),"",IF($AI815=$AC815,"ללא שינוי","מ-"&amp;$AI815&amp;" ל-"&amp;$AC815))</f>
        <v/>
      </c>
      <c r="AK815" s="67" t="n"/>
    </row>
    <row r="816" ht="15.75" customHeight="1" s="58">
      <c r="A816" s="65" t="n"/>
      <c r="B816" s="65" t="n"/>
      <c r="C816" s="66" t="n"/>
      <c r="D816" s="66" t="n"/>
      <c r="E816" s="65" t="n"/>
      <c r="F816" s="65" t="n"/>
      <c r="G816" s="65" t="n"/>
      <c r="H816" s="65" t="n"/>
      <c r="I816" s="65" t="n"/>
      <c r="J816" s="65" t="n"/>
      <c r="K816" s="65" t="n"/>
      <c r="L816" s="65" t="n"/>
      <c r="M816" s="65" t="n"/>
      <c r="N816" s="65" t="n"/>
      <c r="O816" s="65" t="n"/>
      <c r="P816" s="65" t="n"/>
      <c r="Q816" s="65" t="n"/>
      <c r="R816" s="65" t="n"/>
      <c r="S816" s="65" t="n"/>
      <c r="T816" s="65" t="n"/>
      <c r="U816" s="65" t="n"/>
      <c r="V816" s="65" t="n"/>
      <c r="W816" s="65" t="n"/>
      <c r="X816" s="65" t="n"/>
      <c r="Y816" s="32">
        <f>IF($C816="","",IF(COUNTA($I816:$K816)&lt;3,"— חסרים נתונים",IF(AND($I816="תקין",$J816="תקין",$K816="תקין"),"רהוטה",IF(AND($I816="תקין",$J816="תקין"),"מדויקת ורציפה","אינה מדויקת או מקוטעת"))))</f>
        <v/>
      </c>
      <c r="Z816" s="32">
        <f>IF($C816="","",IF(COUNTA($U816:$W816)&lt;3,"",IF(AND($U816="מפותח",$V816="מפותח",$W816="מפותחת"),"מפותחת",IF((--($U816="דל"))+(--($V816="אינו מפותח"))+(--($W816="דלה"))&gt;=2,"אינה מפותחת","חלקית"))))</f>
        <v/>
      </c>
      <c r="AA816" s="32">
        <f>IF($C816="","",IF(COUNTA($M816,$N816,$O816)&lt;3,"— חסרים נתונים",IF(OR($M816="נמוכה",(--($M816&lt;&gt;"תקינה"))+(--($N816&lt;&gt;"תקין"))+(--($O816&lt;&gt;"תקינה"))&gt;=2),"ניכרת","אינה ניכרת")))</f>
        <v/>
      </c>
      <c r="AB816" s="32">
        <f>IF(OR($C816="",$Y816="",$AA816="",LEFT($Y816,1)="—",LEFT($AA816,1)="—"),"",IF($Z816="","— נדרשת הערכת כתיבה",IF($L816="","— חסרה הבנת הנקרא",IF($Y816="אינה מדויקת או מקוטעת",IF($AA816="ניכרת","מיקוד בשטף הקריאה ובכישורי שפה","מיקוד בשטף קריאה"),IF($AA816="ניכרת","מיקוד בכישורי שפה",IF(AND($L816="תקינה",$Z816="מפותחת"),"קוראים וכותבים מיומנים","מיקוד בהבנה והבעה"))))))</f>
        <v/>
      </c>
      <c r="AC816" s="32">
        <f>IF(OR($AB816="",LEFT($AB816,1)="—"),"",IF(OR($AB816="מיקוד בשטף קריאה",$AB816="מיקוד בשטף הקריאה ובכישורי שפה"),"רמה א'",IF($AB816="קוראים וכותבים מיומנים","רמה ג'","רמה ב'")))</f>
        <v/>
      </c>
      <c r="AD816" s="32">
        <f>IF($AC816="","",MID(IF(AND($AC816="רמה א'",$AA816="ניכרת"),"; להוסיף עבודת אוצר מילים","")&amp;IF($Z816="אינה מפותחת","; דגש על הבעה בכתב","")&amp;IF($K816&lt;&gt;"תקין","; נדרש לעבוד על ההנגנה","")&amp;IF($AK816&lt;&gt;"","; "&amp;$AK816,""),3,400))</f>
        <v/>
      </c>
      <c r="AE816" s="32">
        <f>IF($F816="","",IF($F816="תחילת שנה",1,IF($F816="מחצית שנה",2,3)))</f>
        <v/>
      </c>
      <c r="AF816" s="32">
        <f>IF(OR($B816="",$AC816="",$A816="",$F816=""),"",$B816&amp;"|"&amp;$A816&amp;"|"&amp;$F816&amp;"|"&amp;$AC816&amp;"|"&amp;COUNTIFS($B$6:$B816,$B816,$A$6:$A816,$A816,$F$6:$F816,$F816,$AC$6:$AC816,$AC816))</f>
        <v/>
      </c>
      <c r="AG816" s="32">
        <f>IF($C816="","",$C816&amp;"|"&amp;COUNTIFS($C$6:$C816,$C816))</f>
        <v/>
      </c>
      <c r="AH816" s="32">
        <f>IF(OR($C816="",$A816="",$AE816=""),"",$C816&amp;"|"&amp;$A816&amp;"|"&amp;$AE816)</f>
        <v/>
      </c>
      <c r="AI816" s="32">
        <f>IF(OR($C816="",$AE816="",$AE816=1),"",IFERROR(INDEX($AC$6:$AC$1505,MATCH($C816&amp;"|"&amp;$A816&amp;"|"&amp;($AE816-1),$AH$6:$AH$1505,0)),""))</f>
        <v/>
      </c>
      <c r="AJ816" s="32">
        <f>IF(OR($AI816="",$AC816=""),"",IF($AI816=$AC816,"ללא שינוי","מ-"&amp;$AI816&amp;" ל-"&amp;$AC816))</f>
        <v/>
      </c>
      <c r="AK816" s="67" t="n"/>
    </row>
    <row r="817" ht="15.75" customHeight="1" s="58">
      <c r="A817" s="65" t="n"/>
      <c r="B817" s="65" t="n"/>
      <c r="C817" s="66" t="n"/>
      <c r="D817" s="66" t="n"/>
      <c r="E817" s="65" t="n"/>
      <c r="F817" s="65" t="n"/>
      <c r="G817" s="65" t="n"/>
      <c r="H817" s="65" t="n"/>
      <c r="I817" s="65" t="n"/>
      <c r="J817" s="65" t="n"/>
      <c r="K817" s="65" t="n"/>
      <c r="L817" s="65" t="n"/>
      <c r="M817" s="65" t="n"/>
      <c r="N817" s="65" t="n"/>
      <c r="O817" s="65" t="n"/>
      <c r="P817" s="65" t="n"/>
      <c r="Q817" s="65" t="n"/>
      <c r="R817" s="65" t="n"/>
      <c r="S817" s="65" t="n"/>
      <c r="T817" s="65" t="n"/>
      <c r="U817" s="65" t="n"/>
      <c r="V817" s="65" t="n"/>
      <c r="W817" s="65" t="n"/>
      <c r="X817" s="65" t="n"/>
      <c r="Y817" s="32">
        <f>IF($C817="","",IF(COUNTA($I817:$K817)&lt;3,"— חסרים נתונים",IF(AND($I817="תקין",$J817="תקין",$K817="תקין"),"רהוטה",IF(AND($I817="תקין",$J817="תקין"),"מדויקת ורציפה","אינה מדויקת או מקוטעת"))))</f>
        <v/>
      </c>
      <c r="Z817" s="32">
        <f>IF($C817="","",IF(COUNTA($U817:$W817)&lt;3,"",IF(AND($U817="מפותח",$V817="מפותח",$W817="מפותחת"),"מפותחת",IF((--($U817="דל"))+(--($V817="אינו מפותח"))+(--($W817="דלה"))&gt;=2,"אינה מפותחת","חלקית"))))</f>
        <v/>
      </c>
      <c r="AA817" s="32">
        <f>IF($C817="","",IF(COUNTA($M817,$N817,$O817)&lt;3,"— חסרים נתונים",IF(OR($M817="נמוכה",(--($M817&lt;&gt;"תקינה"))+(--($N817&lt;&gt;"תקין"))+(--($O817&lt;&gt;"תקינה"))&gt;=2),"ניכרת","אינה ניכרת")))</f>
        <v/>
      </c>
      <c r="AB817" s="32">
        <f>IF(OR($C817="",$Y817="",$AA817="",LEFT($Y817,1)="—",LEFT($AA817,1)="—"),"",IF($Z817="","— נדרשת הערכת כתיבה",IF($L817="","— חסרה הבנת הנקרא",IF($Y817="אינה מדויקת או מקוטעת",IF($AA817="ניכרת","מיקוד בשטף הקריאה ובכישורי שפה","מיקוד בשטף קריאה"),IF($AA817="ניכרת","מיקוד בכישורי שפה",IF(AND($L817="תקינה",$Z817="מפותחת"),"קוראים וכותבים מיומנים","מיקוד בהבנה והבעה"))))))</f>
        <v/>
      </c>
      <c r="AC817" s="32">
        <f>IF(OR($AB817="",LEFT($AB817,1)="—"),"",IF(OR($AB817="מיקוד בשטף קריאה",$AB817="מיקוד בשטף הקריאה ובכישורי שפה"),"רמה א'",IF($AB817="קוראים וכותבים מיומנים","רמה ג'","רמה ב'")))</f>
        <v/>
      </c>
      <c r="AD817" s="32">
        <f>IF($AC817="","",MID(IF(AND($AC817="רמה א'",$AA817="ניכרת"),"; להוסיף עבודת אוצר מילים","")&amp;IF($Z817="אינה מפותחת","; דגש על הבעה בכתב","")&amp;IF($K817&lt;&gt;"תקין","; נדרש לעבוד על ההנגנה","")&amp;IF($AK817&lt;&gt;"","; "&amp;$AK817,""),3,400))</f>
        <v/>
      </c>
      <c r="AE817" s="32">
        <f>IF($F817="","",IF($F817="תחילת שנה",1,IF($F817="מחצית שנה",2,3)))</f>
        <v/>
      </c>
      <c r="AF817" s="32">
        <f>IF(OR($B817="",$AC817="",$A817="",$F817=""),"",$B817&amp;"|"&amp;$A817&amp;"|"&amp;$F817&amp;"|"&amp;$AC817&amp;"|"&amp;COUNTIFS($B$6:$B817,$B817,$A$6:$A817,$A817,$F$6:$F817,$F817,$AC$6:$AC817,$AC817))</f>
        <v/>
      </c>
      <c r="AG817" s="32">
        <f>IF($C817="","",$C817&amp;"|"&amp;COUNTIFS($C$6:$C817,$C817))</f>
        <v/>
      </c>
      <c r="AH817" s="32">
        <f>IF(OR($C817="",$A817="",$AE817=""),"",$C817&amp;"|"&amp;$A817&amp;"|"&amp;$AE817)</f>
        <v/>
      </c>
      <c r="AI817" s="32">
        <f>IF(OR($C817="",$AE817="",$AE817=1),"",IFERROR(INDEX($AC$6:$AC$1505,MATCH($C817&amp;"|"&amp;$A817&amp;"|"&amp;($AE817-1),$AH$6:$AH$1505,0)),""))</f>
        <v/>
      </c>
      <c r="AJ817" s="32">
        <f>IF(OR($AI817="",$AC817=""),"",IF($AI817=$AC817,"ללא שינוי","מ-"&amp;$AI817&amp;" ל-"&amp;$AC817))</f>
        <v/>
      </c>
      <c r="AK817" s="67" t="n"/>
    </row>
    <row r="818" ht="15.75" customHeight="1" s="58">
      <c r="A818" s="65" t="n"/>
      <c r="B818" s="65" t="n"/>
      <c r="C818" s="66" t="n"/>
      <c r="D818" s="66" t="n"/>
      <c r="E818" s="65" t="n"/>
      <c r="F818" s="65" t="n"/>
      <c r="G818" s="65" t="n"/>
      <c r="H818" s="65" t="n"/>
      <c r="I818" s="65" t="n"/>
      <c r="J818" s="65" t="n"/>
      <c r="K818" s="65" t="n"/>
      <c r="L818" s="65" t="n"/>
      <c r="M818" s="65" t="n"/>
      <c r="N818" s="65" t="n"/>
      <c r="O818" s="65" t="n"/>
      <c r="P818" s="65" t="n"/>
      <c r="Q818" s="65" t="n"/>
      <c r="R818" s="65" t="n"/>
      <c r="S818" s="65" t="n"/>
      <c r="T818" s="65" t="n"/>
      <c r="U818" s="65" t="n"/>
      <c r="V818" s="65" t="n"/>
      <c r="W818" s="65" t="n"/>
      <c r="X818" s="65" t="n"/>
      <c r="Y818" s="32">
        <f>IF($C818="","",IF(COUNTA($I818:$K818)&lt;3,"— חסרים נתונים",IF(AND($I818="תקין",$J818="תקין",$K818="תקין"),"רהוטה",IF(AND($I818="תקין",$J818="תקין"),"מדויקת ורציפה","אינה מדויקת או מקוטעת"))))</f>
        <v/>
      </c>
      <c r="Z818" s="32">
        <f>IF($C818="","",IF(COUNTA($U818:$W818)&lt;3,"",IF(AND($U818="מפותח",$V818="מפותח",$W818="מפותחת"),"מפותחת",IF((--($U818="דל"))+(--($V818="אינו מפותח"))+(--($W818="דלה"))&gt;=2,"אינה מפותחת","חלקית"))))</f>
        <v/>
      </c>
      <c r="AA818" s="32">
        <f>IF($C818="","",IF(COUNTA($M818,$N818,$O818)&lt;3,"— חסרים נתונים",IF(OR($M818="נמוכה",(--($M818&lt;&gt;"תקינה"))+(--($N818&lt;&gt;"תקין"))+(--($O818&lt;&gt;"תקינה"))&gt;=2),"ניכרת","אינה ניכרת")))</f>
        <v/>
      </c>
      <c r="AB818" s="32">
        <f>IF(OR($C818="",$Y818="",$AA818="",LEFT($Y818,1)="—",LEFT($AA818,1)="—"),"",IF($Z818="","— נדרשת הערכת כתיבה",IF($L818="","— חסרה הבנת הנקרא",IF($Y818="אינה מדויקת או מקוטעת",IF($AA818="ניכרת","מיקוד בשטף הקריאה ובכישורי שפה","מיקוד בשטף קריאה"),IF($AA818="ניכרת","מיקוד בכישורי שפה",IF(AND($L818="תקינה",$Z818="מפותחת"),"קוראים וכותבים מיומנים","מיקוד בהבנה והבעה"))))))</f>
        <v/>
      </c>
      <c r="AC818" s="32">
        <f>IF(OR($AB818="",LEFT($AB818,1)="—"),"",IF(OR($AB818="מיקוד בשטף קריאה",$AB818="מיקוד בשטף הקריאה ובכישורי שפה"),"רמה א'",IF($AB818="קוראים וכותבים מיומנים","רמה ג'","רמה ב'")))</f>
        <v/>
      </c>
      <c r="AD818" s="32">
        <f>IF($AC818="","",MID(IF(AND($AC818="רמה א'",$AA818="ניכרת"),"; להוסיף עבודת אוצר מילים","")&amp;IF($Z818="אינה מפותחת","; דגש על הבעה בכתב","")&amp;IF($K818&lt;&gt;"תקין","; נדרש לעבוד על ההנגנה","")&amp;IF($AK818&lt;&gt;"","; "&amp;$AK818,""),3,400))</f>
        <v/>
      </c>
      <c r="AE818" s="32">
        <f>IF($F818="","",IF($F818="תחילת שנה",1,IF($F818="מחצית שנה",2,3)))</f>
        <v/>
      </c>
      <c r="AF818" s="32">
        <f>IF(OR($B818="",$AC818="",$A818="",$F818=""),"",$B818&amp;"|"&amp;$A818&amp;"|"&amp;$F818&amp;"|"&amp;$AC818&amp;"|"&amp;COUNTIFS($B$6:$B818,$B818,$A$6:$A818,$A818,$F$6:$F818,$F818,$AC$6:$AC818,$AC818))</f>
        <v/>
      </c>
      <c r="AG818" s="32">
        <f>IF($C818="","",$C818&amp;"|"&amp;COUNTIFS($C$6:$C818,$C818))</f>
        <v/>
      </c>
      <c r="AH818" s="32">
        <f>IF(OR($C818="",$A818="",$AE818=""),"",$C818&amp;"|"&amp;$A818&amp;"|"&amp;$AE818)</f>
        <v/>
      </c>
      <c r="AI818" s="32">
        <f>IF(OR($C818="",$AE818="",$AE818=1),"",IFERROR(INDEX($AC$6:$AC$1505,MATCH($C818&amp;"|"&amp;$A818&amp;"|"&amp;($AE818-1),$AH$6:$AH$1505,0)),""))</f>
        <v/>
      </c>
      <c r="AJ818" s="32">
        <f>IF(OR($AI818="",$AC818=""),"",IF($AI818=$AC818,"ללא שינוי","מ-"&amp;$AI818&amp;" ל-"&amp;$AC818))</f>
        <v/>
      </c>
      <c r="AK818" s="67" t="n"/>
    </row>
    <row r="819" ht="15.75" customHeight="1" s="58">
      <c r="A819" s="65" t="n"/>
      <c r="B819" s="65" t="n"/>
      <c r="C819" s="66" t="n"/>
      <c r="D819" s="66" t="n"/>
      <c r="E819" s="65" t="n"/>
      <c r="F819" s="65" t="n"/>
      <c r="G819" s="65" t="n"/>
      <c r="H819" s="65" t="n"/>
      <c r="I819" s="65" t="n"/>
      <c r="J819" s="65" t="n"/>
      <c r="K819" s="65" t="n"/>
      <c r="L819" s="65" t="n"/>
      <c r="M819" s="65" t="n"/>
      <c r="N819" s="65" t="n"/>
      <c r="O819" s="65" t="n"/>
      <c r="P819" s="65" t="n"/>
      <c r="Q819" s="65" t="n"/>
      <c r="R819" s="65" t="n"/>
      <c r="S819" s="65" t="n"/>
      <c r="T819" s="65" t="n"/>
      <c r="U819" s="65" t="n"/>
      <c r="V819" s="65" t="n"/>
      <c r="W819" s="65" t="n"/>
      <c r="X819" s="65" t="n"/>
      <c r="Y819" s="32">
        <f>IF($C819="","",IF(COUNTA($I819:$K819)&lt;3,"— חסרים נתונים",IF(AND($I819="תקין",$J819="תקין",$K819="תקין"),"רהוטה",IF(AND($I819="תקין",$J819="תקין"),"מדויקת ורציפה","אינה מדויקת או מקוטעת"))))</f>
        <v/>
      </c>
      <c r="Z819" s="32">
        <f>IF($C819="","",IF(COUNTA($U819:$W819)&lt;3,"",IF(AND($U819="מפותח",$V819="מפותח",$W819="מפותחת"),"מפותחת",IF((--($U819="דל"))+(--($V819="אינו מפותח"))+(--($W819="דלה"))&gt;=2,"אינה מפותחת","חלקית"))))</f>
        <v/>
      </c>
      <c r="AA819" s="32">
        <f>IF($C819="","",IF(COUNTA($M819,$N819,$O819)&lt;3,"— חסרים נתונים",IF(OR($M819="נמוכה",(--($M819&lt;&gt;"תקינה"))+(--($N819&lt;&gt;"תקין"))+(--($O819&lt;&gt;"תקינה"))&gt;=2),"ניכרת","אינה ניכרת")))</f>
        <v/>
      </c>
      <c r="AB819" s="32">
        <f>IF(OR($C819="",$Y819="",$AA819="",LEFT($Y819,1)="—",LEFT($AA819,1)="—"),"",IF($Z819="","— נדרשת הערכת כתיבה",IF($L819="","— חסרה הבנת הנקרא",IF($Y819="אינה מדויקת או מקוטעת",IF($AA819="ניכרת","מיקוד בשטף הקריאה ובכישורי שפה","מיקוד בשטף קריאה"),IF($AA819="ניכרת","מיקוד בכישורי שפה",IF(AND($L819="תקינה",$Z819="מפותחת"),"קוראים וכותבים מיומנים","מיקוד בהבנה והבעה"))))))</f>
        <v/>
      </c>
      <c r="AC819" s="32">
        <f>IF(OR($AB819="",LEFT($AB819,1)="—"),"",IF(OR($AB819="מיקוד בשטף קריאה",$AB819="מיקוד בשטף הקריאה ובכישורי שפה"),"רמה א'",IF($AB819="קוראים וכותבים מיומנים","רמה ג'","רמה ב'")))</f>
        <v/>
      </c>
      <c r="AD819" s="32">
        <f>IF($AC819="","",MID(IF(AND($AC819="רמה א'",$AA819="ניכרת"),"; להוסיף עבודת אוצר מילים","")&amp;IF($Z819="אינה מפותחת","; דגש על הבעה בכתב","")&amp;IF($K819&lt;&gt;"תקין","; נדרש לעבוד על ההנגנה","")&amp;IF($AK819&lt;&gt;"","; "&amp;$AK819,""),3,400))</f>
        <v/>
      </c>
      <c r="AE819" s="32">
        <f>IF($F819="","",IF($F819="תחילת שנה",1,IF($F819="מחצית שנה",2,3)))</f>
        <v/>
      </c>
      <c r="AF819" s="32">
        <f>IF(OR($B819="",$AC819="",$A819="",$F819=""),"",$B819&amp;"|"&amp;$A819&amp;"|"&amp;$F819&amp;"|"&amp;$AC819&amp;"|"&amp;COUNTIFS($B$6:$B819,$B819,$A$6:$A819,$A819,$F$6:$F819,$F819,$AC$6:$AC819,$AC819))</f>
        <v/>
      </c>
      <c r="AG819" s="32">
        <f>IF($C819="","",$C819&amp;"|"&amp;COUNTIFS($C$6:$C819,$C819))</f>
        <v/>
      </c>
      <c r="AH819" s="32">
        <f>IF(OR($C819="",$A819="",$AE819=""),"",$C819&amp;"|"&amp;$A819&amp;"|"&amp;$AE819)</f>
        <v/>
      </c>
      <c r="AI819" s="32">
        <f>IF(OR($C819="",$AE819="",$AE819=1),"",IFERROR(INDEX($AC$6:$AC$1505,MATCH($C819&amp;"|"&amp;$A819&amp;"|"&amp;($AE819-1),$AH$6:$AH$1505,0)),""))</f>
        <v/>
      </c>
      <c r="AJ819" s="32">
        <f>IF(OR($AI819="",$AC819=""),"",IF($AI819=$AC819,"ללא שינוי","מ-"&amp;$AI819&amp;" ל-"&amp;$AC819))</f>
        <v/>
      </c>
      <c r="AK819" s="67" t="n"/>
    </row>
    <row r="820" ht="15.75" customHeight="1" s="58">
      <c r="A820" s="65" t="n"/>
      <c r="B820" s="65" t="n"/>
      <c r="C820" s="66" t="n"/>
      <c r="D820" s="66" t="n"/>
      <c r="E820" s="65" t="n"/>
      <c r="F820" s="65" t="n"/>
      <c r="G820" s="65" t="n"/>
      <c r="H820" s="65" t="n"/>
      <c r="I820" s="65" t="n"/>
      <c r="J820" s="65" t="n"/>
      <c r="K820" s="65" t="n"/>
      <c r="L820" s="65" t="n"/>
      <c r="M820" s="65" t="n"/>
      <c r="N820" s="65" t="n"/>
      <c r="O820" s="65" t="n"/>
      <c r="P820" s="65" t="n"/>
      <c r="Q820" s="65" t="n"/>
      <c r="R820" s="65" t="n"/>
      <c r="S820" s="65" t="n"/>
      <c r="T820" s="65" t="n"/>
      <c r="U820" s="65" t="n"/>
      <c r="V820" s="65" t="n"/>
      <c r="W820" s="65" t="n"/>
      <c r="X820" s="65" t="n"/>
      <c r="Y820" s="32">
        <f>IF($C820="","",IF(COUNTA($I820:$K820)&lt;3,"— חסרים נתונים",IF(AND($I820="תקין",$J820="תקין",$K820="תקין"),"רהוטה",IF(AND($I820="תקין",$J820="תקין"),"מדויקת ורציפה","אינה מדויקת או מקוטעת"))))</f>
        <v/>
      </c>
      <c r="Z820" s="32">
        <f>IF($C820="","",IF(COUNTA($U820:$W820)&lt;3,"",IF(AND($U820="מפותח",$V820="מפותח",$W820="מפותחת"),"מפותחת",IF((--($U820="דל"))+(--($V820="אינו מפותח"))+(--($W820="דלה"))&gt;=2,"אינה מפותחת","חלקית"))))</f>
        <v/>
      </c>
      <c r="AA820" s="32">
        <f>IF($C820="","",IF(COUNTA($M820,$N820,$O820)&lt;3,"— חסרים נתונים",IF(OR($M820="נמוכה",(--($M820&lt;&gt;"תקינה"))+(--($N820&lt;&gt;"תקין"))+(--($O820&lt;&gt;"תקינה"))&gt;=2),"ניכרת","אינה ניכרת")))</f>
        <v/>
      </c>
      <c r="AB820" s="32">
        <f>IF(OR($C820="",$Y820="",$AA820="",LEFT($Y820,1)="—",LEFT($AA820,1)="—"),"",IF($Z820="","— נדרשת הערכת כתיבה",IF($L820="","— חסרה הבנת הנקרא",IF($Y820="אינה מדויקת או מקוטעת",IF($AA820="ניכרת","מיקוד בשטף הקריאה ובכישורי שפה","מיקוד בשטף קריאה"),IF($AA820="ניכרת","מיקוד בכישורי שפה",IF(AND($L820="תקינה",$Z820="מפותחת"),"קוראים וכותבים מיומנים","מיקוד בהבנה והבעה"))))))</f>
        <v/>
      </c>
      <c r="AC820" s="32">
        <f>IF(OR($AB820="",LEFT($AB820,1)="—"),"",IF(OR($AB820="מיקוד בשטף קריאה",$AB820="מיקוד בשטף הקריאה ובכישורי שפה"),"רמה א'",IF($AB820="קוראים וכותבים מיומנים","רמה ג'","רמה ב'")))</f>
        <v/>
      </c>
      <c r="AD820" s="32">
        <f>IF($AC820="","",MID(IF(AND($AC820="רמה א'",$AA820="ניכרת"),"; להוסיף עבודת אוצר מילים","")&amp;IF($Z820="אינה מפותחת","; דגש על הבעה בכתב","")&amp;IF($K820&lt;&gt;"תקין","; נדרש לעבוד על ההנגנה","")&amp;IF($AK820&lt;&gt;"","; "&amp;$AK820,""),3,400))</f>
        <v/>
      </c>
      <c r="AE820" s="32">
        <f>IF($F820="","",IF($F820="תחילת שנה",1,IF($F820="מחצית שנה",2,3)))</f>
        <v/>
      </c>
      <c r="AF820" s="32">
        <f>IF(OR($B820="",$AC820="",$A820="",$F820=""),"",$B820&amp;"|"&amp;$A820&amp;"|"&amp;$F820&amp;"|"&amp;$AC820&amp;"|"&amp;COUNTIFS($B$6:$B820,$B820,$A$6:$A820,$A820,$F$6:$F820,$F820,$AC$6:$AC820,$AC820))</f>
        <v/>
      </c>
      <c r="AG820" s="32">
        <f>IF($C820="","",$C820&amp;"|"&amp;COUNTIFS($C$6:$C820,$C820))</f>
        <v/>
      </c>
      <c r="AH820" s="32">
        <f>IF(OR($C820="",$A820="",$AE820=""),"",$C820&amp;"|"&amp;$A820&amp;"|"&amp;$AE820)</f>
        <v/>
      </c>
      <c r="AI820" s="32">
        <f>IF(OR($C820="",$AE820="",$AE820=1),"",IFERROR(INDEX($AC$6:$AC$1505,MATCH($C820&amp;"|"&amp;$A820&amp;"|"&amp;($AE820-1),$AH$6:$AH$1505,0)),""))</f>
        <v/>
      </c>
      <c r="AJ820" s="32">
        <f>IF(OR($AI820="",$AC820=""),"",IF($AI820=$AC820,"ללא שינוי","מ-"&amp;$AI820&amp;" ל-"&amp;$AC820))</f>
        <v/>
      </c>
      <c r="AK820" s="67" t="n"/>
    </row>
    <row r="821" ht="15.75" customHeight="1" s="58">
      <c r="A821" s="65" t="n"/>
      <c r="B821" s="65" t="n"/>
      <c r="C821" s="66" t="n"/>
      <c r="D821" s="66" t="n"/>
      <c r="E821" s="65" t="n"/>
      <c r="F821" s="65" t="n"/>
      <c r="G821" s="65" t="n"/>
      <c r="H821" s="65" t="n"/>
      <c r="I821" s="65" t="n"/>
      <c r="J821" s="65" t="n"/>
      <c r="K821" s="65" t="n"/>
      <c r="L821" s="65" t="n"/>
      <c r="M821" s="65" t="n"/>
      <c r="N821" s="65" t="n"/>
      <c r="O821" s="65" t="n"/>
      <c r="P821" s="65" t="n"/>
      <c r="Q821" s="65" t="n"/>
      <c r="R821" s="65" t="n"/>
      <c r="S821" s="65" t="n"/>
      <c r="T821" s="65" t="n"/>
      <c r="U821" s="65" t="n"/>
      <c r="V821" s="65" t="n"/>
      <c r="W821" s="65" t="n"/>
      <c r="X821" s="65" t="n"/>
      <c r="Y821" s="32">
        <f>IF($C821="","",IF(COUNTA($I821:$K821)&lt;3,"— חסרים נתונים",IF(AND($I821="תקין",$J821="תקין",$K821="תקין"),"רהוטה",IF(AND($I821="תקין",$J821="תקין"),"מדויקת ורציפה","אינה מדויקת או מקוטעת"))))</f>
        <v/>
      </c>
      <c r="Z821" s="32">
        <f>IF($C821="","",IF(COUNTA($U821:$W821)&lt;3,"",IF(AND($U821="מפותח",$V821="מפותח",$W821="מפותחת"),"מפותחת",IF((--($U821="דל"))+(--($V821="אינו מפותח"))+(--($W821="דלה"))&gt;=2,"אינה מפותחת","חלקית"))))</f>
        <v/>
      </c>
      <c r="AA821" s="32">
        <f>IF($C821="","",IF(COUNTA($M821,$N821,$O821)&lt;3,"— חסרים נתונים",IF(OR($M821="נמוכה",(--($M821&lt;&gt;"תקינה"))+(--($N821&lt;&gt;"תקין"))+(--($O821&lt;&gt;"תקינה"))&gt;=2),"ניכרת","אינה ניכרת")))</f>
        <v/>
      </c>
      <c r="AB821" s="32">
        <f>IF(OR($C821="",$Y821="",$AA821="",LEFT($Y821,1)="—",LEFT($AA821,1)="—"),"",IF($Z821="","— נדרשת הערכת כתיבה",IF($L821="","— חסרה הבנת הנקרא",IF($Y821="אינה מדויקת או מקוטעת",IF($AA821="ניכרת","מיקוד בשטף הקריאה ובכישורי שפה","מיקוד בשטף קריאה"),IF($AA821="ניכרת","מיקוד בכישורי שפה",IF(AND($L821="תקינה",$Z821="מפותחת"),"קוראים וכותבים מיומנים","מיקוד בהבנה והבעה"))))))</f>
        <v/>
      </c>
      <c r="AC821" s="32">
        <f>IF(OR($AB821="",LEFT($AB821,1)="—"),"",IF(OR($AB821="מיקוד בשטף קריאה",$AB821="מיקוד בשטף הקריאה ובכישורי שפה"),"רמה א'",IF($AB821="קוראים וכותבים מיומנים","רמה ג'","רמה ב'")))</f>
        <v/>
      </c>
      <c r="AD821" s="32">
        <f>IF($AC821="","",MID(IF(AND($AC821="רמה א'",$AA821="ניכרת"),"; להוסיף עבודת אוצר מילים","")&amp;IF($Z821="אינה מפותחת","; דגש על הבעה בכתב","")&amp;IF($K821&lt;&gt;"תקין","; נדרש לעבוד על ההנגנה","")&amp;IF($AK821&lt;&gt;"","; "&amp;$AK821,""),3,400))</f>
        <v/>
      </c>
      <c r="AE821" s="32">
        <f>IF($F821="","",IF($F821="תחילת שנה",1,IF($F821="מחצית שנה",2,3)))</f>
        <v/>
      </c>
      <c r="AF821" s="32">
        <f>IF(OR($B821="",$AC821="",$A821="",$F821=""),"",$B821&amp;"|"&amp;$A821&amp;"|"&amp;$F821&amp;"|"&amp;$AC821&amp;"|"&amp;COUNTIFS($B$6:$B821,$B821,$A$6:$A821,$A821,$F$6:$F821,$F821,$AC$6:$AC821,$AC821))</f>
        <v/>
      </c>
      <c r="AG821" s="32">
        <f>IF($C821="","",$C821&amp;"|"&amp;COUNTIFS($C$6:$C821,$C821))</f>
        <v/>
      </c>
      <c r="AH821" s="32">
        <f>IF(OR($C821="",$A821="",$AE821=""),"",$C821&amp;"|"&amp;$A821&amp;"|"&amp;$AE821)</f>
        <v/>
      </c>
      <c r="AI821" s="32">
        <f>IF(OR($C821="",$AE821="",$AE821=1),"",IFERROR(INDEX($AC$6:$AC$1505,MATCH($C821&amp;"|"&amp;$A821&amp;"|"&amp;($AE821-1),$AH$6:$AH$1505,0)),""))</f>
        <v/>
      </c>
      <c r="AJ821" s="32">
        <f>IF(OR($AI821="",$AC821=""),"",IF($AI821=$AC821,"ללא שינוי","מ-"&amp;$AI821&amp;" ל-"&amp;$AC821))</f>
        <v/>
      </c>
      <c r="AK821" s="67" t="n"/>
    </row>
    <row r="822" ht="15.75" customHeight="1" s="58">
      <c r="A822" s="65" t="n"/>
      <c r="B822" s="65" t="n"/>
      <c r="C822" s="66" t="n"/>
      <c r="D822" s="66" t="n"/>
      <c r="E822" s="65" t="n"/>
      <c r="F822" s="65" t="n"/>
      <c r="G822" s="65" t="n"/>
      <c r="H822" s="65" t="n"/>
      <c r="I822" s="65" t="n"/>
      <c r="J822" s="65" t="n"/>
      <c r="K822" s="65" t="n"/>
      <c r="L822" s="65" t="n"/>
      <c r="M822" s="65" t="n"/>
      <c r="N822" s="65" t="n"/>
      <c r="O822" s="65" t="n"/>
      <c r="P822" s="65" t="n"/>
      <c r="Q822" s="65" t="n"/>
      <c r="R822" s="65" t="n"/>
      <c r="S822" s="65" t="n"/>
      <c r="T822" s="65" t="n"/>
      <c r="U822" s="65" t="n"/>
      <c r="V822" s="65" t="n"/>
      <c r="W822" s="65" t="n"/>
      <c r="X822" s="65" t="n"/>
      <c r="Y822" s="32">
        <f>IF($C822="","",IF(COUNTA($I822:$K822)&lt;3,"— חסרים נתונים",IF(AND($I822="תקין",$J822="תקין",$K822="תקין"),"רהוטה",IF(AND($I822="תקין",$J822="תקין"),"מדויקת ורציפה","אינה מדויקת או מקוטעת"))))</f>
        <v/>
      </c>
      <c r="Z822" s="32">
        <f>IF($C822="","",IF(COUNTA($U822:$W822)&lt;3,"",IF(AND($U822="מפותח",$V822="מפותח",$W822="מפותחת"),"מפותחת",IF((--($U822="דל"))+(--($V822="אינו מפותח"))+(--($W822="דלה"))&gt;=2,"אינה מפותחת","חלקית"))))</f>
        <v/>
      </c>
      <c r="AA822" s="32">
        <f>IF($C822="","",IF(COUNTA($M822,$N822,$O822)&lt;3,"— חסרים נתונים",IF(OR($M822="נמוכה",(--($M822&lt;&gt;"תקינה"))+(--($N822&lt;&gt;"תקין"))+(--($O822&lt;&gt;"תקינה"))&gt;=2),"ניכרת","אינה ניכרת")))</f>
        <v/>
      </c>
      <c r="AB822" s="32">
        <f>IF(OR($C822="",$Y822="",$AA822="",LEFT($Y822,1)="—",LEFT($AA822,1)="—"),"",IF($Z822="","— נדרשת הערכת כתיבה",IF($L822="","— חסרה הבנת הנקרא",IF($Y822="אינה מדויקת או מקוטעת",IF($AA822="ניכרת","מיקוד בשטף הקריאה ובכישורי שפה","מיקוד בשטף קריאה"),IF($AA822="ניכרת","מיקוד בכישורי שפה",IF(AND($L822="תקינה",$Z822="מפותחת"),"קוראים וכותבים מיומנים","מיקוד בהבנה והבעה"))))))</f>
        <v/>
      </c>
      <c r="AC822" s="32">
        <f>IF(OR($AB822="",LEFT($AB822,1)="—"),"",IF(OR($AB822="מיקוד בשטף קריאה",$AB822="מיקוד בשטף הקריאה ובכישורי שפה"),"רמה א'",IF($AB822="קוראים וכותבים מיומנים","רמה ג'","רמה ב'")))</f>
        <v/>
      </c>
      <c r="AD822" s="32">
        <f>IF($AC822="","",MID(IF(AND($AC822="רמה א'",$AA822="ניכרת"),"; להוסיף עבודת אוצר מילים","")&amp;IF($Z822="אינה מפותחת","; דגש על הבעה בכתב","")&amp;IF($K822&lt;&gt;"תקין","; נדרש לעבוד על ההנגנה","")&amp;IF($AK822&lt;&gt;"","; "&amp;$AK822,""),3,400))</f>
        <v/>
      </c>
      <c r="AE822" s="32">
        <f>IF($F822="","",IF($F822="תחילת שנה",1,IF($F822="מחצית שנה",2,3)))</f>
        <v/>
      </c>
      <c r="AF822" s="32">
        <f>IF(OR($B822="",$AC822="",$A822="",$F822=""),"",$B822&amp;"|"&amp;$A822&amp;"|"&amp;$F822&amp;"|"&amp;$AC822&amp;"|"&amp;COUNTIFS($B$6:$B822,$B822,$A$6:$A822,$A822,$F$6:$F822,$F822,$AC$6:$AC822,$AC822))</f>
        <v/>
      </c>
      <c r="AG822" s="32">
        <f>IF($C822="","",$C822&amp;"|"&amp;COUNTIFS($C$6:$C822,$C822))</f>
        <v/>
      </c>
      <c r="AH822" s="32">
        <f>IF(OR($C822="",$A822="",$AE822=""),"",$C822&amp;"|"&amp;$A822&amp;"|"&amp;$AE822)</f>
        <v/>
      </c>
      <c r="AI822" s="32">
        <f>IF(OR($C822="",$AE822="",$AE822=1),"",IFERROR(INDEX($AC$6:$AC$1505,MATCH($C822&amp;"|"&amp;$A822&amp;"|"&amp;($AE822-1),$AH$6:$AH$1505,0)),""))</f>
        <v/>
      </c>
      <c r="AJ822" s="32">
        <f>IF(OR($AI822="",$AC822=""),"",IF($AI822=$AC822,"ללא שינוי","מ-"&amp;$AI822&amp;" ל-"&amp;$AC822))</f>
        <v/>
      </c>
      <c r="AK822" s="67" t="n"/>
    </row>
    <row r="823" ht="15.75" customHeight="1" s="58">
      <c r="A823" s="65" t="n"/>
      <c r="B823" s="65" t="n"/>
      <c r="C823" s="66" t="n"/>
      <c r="D823" s="66" t="n"/>
      <c r="E823" s="65" t="n"/>
      <c r="F823" s="65" t="n"/>
      <c r="G823" s="65" t="n"/>
      <c r="H823" s="65" t="n"/>
      <c r="I823" s="65" t="n"/>
      <c r="J823" s="65" t="n"/>
      <c r="K823" s="65" t="n"/>
      <c r="L823" s="65" t="n"/>
      <c r="M823" s="65" t="n"/>
      <c r="N823" s="65" t="n"/>
      <c r="O823" s="65" t="n"/>
      <c r="P823" s="65" t="n"/>
      <c r="Q823" s="65" t="n"/>
      <c r="R823" s="65" t="n"/>
      <c r="S823" s="65" t="n"/>
      <c r="T823" s="65" t="n"/>
      <c r="U823" s="65" t="n"/>
      <c r="V823" s="65" t="n"/>
      <c r="W823" s="65" t="n"/>
      <c r="X823" s="65" t="n"/>
      <c r="Y823" s="32">
        <f>IF($C823="","",IF(COUNTA($I823:$K823)&lt;3,"— חסרים נתונים",IF(AND($I823="תקין",$J823="תקין",$K823="תקין"),"רהוטה",IF(AND($I823="תקין",$J823="תקין"),"מדויקת ורציפה","אינה מדויקת או מקוטעת"))))</f>
        <v/>
      </c>
      <c r="Z823" s="32">
        <f>IF($C823="","",IF(COUNTA($U823:$W823)&lt;3,"",IF(AND($U823="מפותח",$V823="מפותח",$W823="מפותחת"),"מפותחת",IF((--($U823="דל"))+(--($V823="אינו מפותח"))+(--($W823="דלה"))&gt;=2,"אינה מפותחת","חלקית"))))</f>
        <v/>
      </c>
      <c r="AA823" s="32">
        <f>IF($C823="","",IF(COUNTA($M823,$N823,$O823)&lt;3,"— חסרים נתונים",IF(OR($M823="נמוכה",(--($M823&lt;&gt;"תקינה"))+(--($N823&lt;&gt;"תקין"))+(--($O823&lt;&gt;"תקינה"))&gt;=2),"ניכרת","אינה ניכרת")))</f>
        <v/>
      </c>
      <c r="AB823" s="32">
        <f>IF(OR($C823="",$Y823="",$AA823="",LEFT($Y823,1)="—",LEFT($AA823,1)="—"),"",IF($Z823="","— נדרשת הערכת כתיבה",IF($L823="","— חסרה הבנת הנקרא",IF($Y823="אינה מדויקת או מקוטעת",IF($AA823="ניכרת","מיקוד בשטף הקריאה ובכישורי שפה","מיקוד בשטף קריאה"),IF($AA823="ניכרת","מיקוד בכישורי שפה",IF(AND($L823="תקינה",$Z823="מפותחת"),"קוראים וכותבים מיומנים","מיקוד בהבנה והבעה"))))))</f>
        <v/>
      </c>
      <c r="AC823" s="32">
        <f>IF(OR($AB823="",LEFT($AB823,1)="—"),"",IF(OR($AB823="מיקוד בשטף קריאה",$AB823="מיקוד בשטף הקריאה ובכישורי שפה"),"רמה א'",IF($AB823="קוראים וכותבים מיומנים","רמה ג'","רמה ב'")))</f>
        <v/>
      </c>
      <c r="AD823" s="32">
        <f>IF($AC823="","",MID(IF(AND($AC823="רמה א'",$AA823="ניכרת"),"; להוסיף עבודת אוצר מילים","")&amp;IF($Z823="אינה מפותחת","; דגש על הבעה בכתב","")&amp;IF($K823&lt;&gt;"תקין","; נדרש לעבוד על ההנגנה","")&amp;IF($AK823&lt;&gt;"","; "&amp;$AK823,""),3,400))</f>
        <v/>
      </c>
      <c r="AE823" s="32">
        <f>IF($F823="","",IF($F823="תחילת שנה",1,IF($F823="מחצית שנה",2,3)))</f>
        <v/>
      </c>
      <c r="AF823" s="32">
        <f>IF(OR($B823="",$AC823="",$A823="",$F823=""),"",$B823&amp;"|"&amp;$A823&amp;"|"&amp;$F823&amp;"|"&amp;$AC823&amp;"|"&amp;COUNTIFS($B$6:$B823,$B823,$A$6:$A823,$A823,$F$6:$F823,$F823,$AC$6:$AC823,$AC823))</f>
        <v/>
      </c>
      <c r="AG823" s="32">
        <f>IF($C823="","",$C823&amp;"|"&amp;COUNTIFS($C$6:$C823,$C823))</f>
        <v/>
      </c>
      <c r="AH823" s="32">
        <f>IF(OR($C823="",$A823="",$AE823=""),"",$C823&amp;"|"&amp;$A823&amp;"|"&amp;$AE823)</f>
        <v/>
      </c>
      <c r="AI823" s="32">
        <f>IF(OR($C823="",$AE823="",$AE823=1),"",IFERROR(INDEX($AC$6:$AC$1505,MATCH($C823&amp;"|"&amp;$A823&amp;"|"&amp;($AE823-1),$AH$6:$AH$1505,0)),""))</f>
        <v/>
      </c>
      <c r="AJ823" s="32">
        <f>IF(OR($AI823="",$AC823=""),"",IF($AI823=$AC823,"ללא שינוי","מ-"&amp;$AI823&amp;" ל-"&amp;$AC823))</f>
        <v/>
      </c>
      <c r="AK823" s="67" t="n"/>
    </row>
    <row r="824" ht="15.75" customHeight="1" s="58">
      <c r="A824" s="65" t="n"/>
      <c r="B824" s="65" t="n"/>
      <c r="C824" s="66" t="n"/>
      <c r="D824" s="66" t="n"/>
      <c r="E824" s="65" t="n"/>
      <c r="F824" s="65" t="n"/>
      <c r="G824" s="65" t="n"/>
      <c r="H824" s="65" t="n"/>
      <c r="I824" s="65" t="n"/>
      <c r="J824" s="65" t="n"/>
      <c r="K824" s="65" t="n"/>
      <c r="L824" s="65" t="n"/>
      <c r="M824" s="65" t="n"/>
      <c r="N824" s="65" t="n"/>
      <c r="O824" s="65" t="n"/>
      <c r="P824" s="65" t="n"/>
      <c r="Q824" s="65" t="n"/>
      <c r="R824" s="65" t="n"/>
      <c r="S824" s="65" t="n"/>
      <c r="T824" s="65" t="n"/>
      <c r="U824" s="65" t="n"/>
      <c r="V824" s="65" t="n"/>
      <c r="W824" s="65" t="n"/>
      <c r="X824" s="65" t="n"/>
      <c r="Y824" s="32">
        <f>IF($C824="","",IF(COUNTA($I824:$K824)&lt;3,"— חסרים נתונים",IF(AND($I824="תקין",$J824="תקין",$K824="תקין"),"רהוטה",IF(AND($I824="תקין",$J824="תקין"),"מדויקת ורציפה","אינה מדויקת או מקוטעת"))))</f>
        <v/>
      </c>
      <c r="Z824" s="32">
        <f>IF($C824="","",IF(COUNTA($U824:$W824)&lt;3,"",IF(AND($U824="מפותח",$V824="מפותח",$W824="מפותחת"),"מפותחת",IF((--($U824="דל"))+(--($V824="אינו מפותח"))+(--($W824="דלה"))&gt;=2,"אינה מפותחת","חלקית"))))</f>
        <v/>
      </c>
      <c r="AA824" s="32">
        <f>IF($C824="","",IF(COUNTA($M824,$N824,$O824)&lt;3,"— חסרים נתונים",IF(OR($M824="נמוכה",(--($M824&lt;&gt;"תקינה"))+(--($N824&lt;&gt;"תקין"))+(--($O824&lt;&gt;"תקינה"))&gt;=2),"ניכרת","אינה ניכרת")))</f>
        <v/>
      </c>
      <c r="AB824" s="32">
        <f>IF(OR($C824="",$Y824="",$AA824="",LEFT($Y824,1)="—",LEFT($AA824,1)="—"),"",IF($Z824="","— נדרשת הערכת כתיבה",IF($L824="","— חסרה הבנת הנקרא",IF($Y824="אינה מדויקת או מקוטעת",IF($AA824="ניכרת","מיקוד בשטף הקריאה ובכישורי שפה","מיקוד בשטף קריאה"),IF($AA824="ניכרת","מיקוד בכישורי שפה",IF(AND($L824="תקינה",$Z824="מפותחת"),"קוראים וכותבים מיומנים","מיקוד בהבנה והבעה"))))))</f>
        <v/>
      </c>
      <c r="AC824" s="32">
        <f>IF(OR($AB824="",LEFT($AB824,1)="—"),"",IF(OR($AB824="מיקוד בשטף קריאה",$AB824="מיקוד בשטף הקריאה ובכישורי שפה"),"רמה א'",IF($AB824="קוראים וכותבים מיומנים","רמה ג'","רמה ב'")))</f>
        <v/>
      </c>
      <c r="AD824" s="32">
        <f>IF($AC824="","",MID(IF(AND($AC824="רמה א'",$AA824="ניכרת"),"; להוסיף עבודת אוצר מילים","")&amp;IF($Z824="אינה מפותחת","; דגש על הבעה בכתב","")&amp;IF($K824&lt;&gt;"תקין","; נדרש לעבוד על ההנגנה","")&amp;IF($AK824&lt;&gt;"","; "&amp;$AK824,""),3,400))</f>
        <v/>
      </c>
      <c r="AE824" s="32">
        <f>IF($F824="","",IF($F824="תחילת שנה",1,IF($F824="מחצית שנה",2,3)))</f>
        <v/>
      </c>
      <c r="AF824" s="32">
        <f>IF(OR($B824="",$AC824="",$A824="",$F824=""),"",$B824&amp;"|"&amp;$A824&amp;"|"&amp;$F824&amp;"|"&amp;$AC824&amp;"|"&amp;COUNTIFS($B$6:$B824,$B824,$A$6:$A824,$A824,$F$6:$F824,$F824,$AC$6:$AC824,$AC824))</f>
        <v/>
      </c>
      <c r="AG824" s="32">
        <f>IF($C824="","",$C824&amp;"|"&amp;COUNTIFS($C$6:$C824,$C824))</f>
        <v/>
      </c>
      <c r="AH824" s="32">
        <f>IF(OR($C824="",$A824="",$AE824=""),"",$C824&amp;"|"&amp;$A824&amp;"|"&amp;$AE824)</f>
        <v/>
      </c>
      <c r="AI824" s="32">
        <f>IF(OR($C824="",$AE824="",$AE824=1),"",IFERROR(INDEX($AC$6:$AC$1505,MATCH($C824&amp;"|"&amp;$A824&amp;"|"&amp;($AE824-1),$AH$6:$AH$1505,0)),""))</f>
        <v/>
      </c>
      <c r="AJ824" s="32">
        <f>IF(OR($AI824="",$AC824=""),"",IF($AI824=$AC824,"ללא שינוי","מ-"&amp;$AI824&amp;" ל-"&amp;$AC824))</f>
        <v/>
      </c>
      <c r="AK824" s="67" t="n"/>
    </row>
    <row r="825" ht="15.75" customHeight="1" s="58">
      <c r="A825" s="65" t="n"/>
      <c r="B825" s="65" t="n"/>
      <c r="C825" s="66" t="n"/>
      <c r="D825" s="66" t="n"/>
      <c r="E825" s="65" t="n"/>
      <c r="F825" s="65" t="n"/>
      <c r="G825" s="65" t="n"/>
      <c r="H825" s="65" t="n"/>
      <c r="I825" s="65" t="n"/>
      <c r="J825" s="65" t="n"/>
      <c r="K825" s="65" t="n"/>
      <c r="L825" s="65" t="n"/>
      <c r="M825" s="65" t="n"/>
      <c r="N825" s="65" t="n"/>
      <c r="O825" s="65" t="n"/>
      <c r="P825" s="65" t="n"/>
      <c r="Q825" s="65" t="n"/>
      <c r="R825" s="65" t="n"/>
      <c r="S825" s="65" t="n"/>
      <c r="T825" s="65" t="n"/>
      <c r="U825" s="65" t="n"/>
      <c r="V825" s="65" t="n"/>
      <c r="W825" s="65" t="n"/>
      <c r="X825" s="65" t="n"/>
      <c r="Y825" s="32">
        <f>IF($C825="","",IF(COUNTA($I825:$K825)&lt;3,"— חסרים נתונים",IF(AND($I825="תקין",$J825="תקין",$K825="תקין"),"רהוטה",IF(AND($I825="תקין",$J825="תקין"),"מדויקת ורציפה","אינה מדויקת או מקוטעת"))))</f>
        <v/>
      </c>
      <c r="Z825" s="32">
        <f>IF($C825="","",IF(COUNTA($U825:$W825)&lt;3,"",IF(AND($U825="מפותח",$V825="מפותח",$W825="מפותחת"),"מפותחת",IF((--($U825="דל"))+(--($V825="אינו מפותח"))+(--($W825="דלה"))&gt;=2,"אינה מפותחת","חלקית"))))</f>
        <v/>
      </c>
      <c r="AA825" s="32">
        <f>IF($C825="","",IF(COUNTA($M825,$N825,$O825)&lt;3,"— חסרים נתונים",IF(OR($M825="נמוכה",(--($M825&lt;&gt;"תקינה"))+(--($N825&lt;&gt;"תקין"))+(--($O825&lt;&gt;"תקינה"))&gt;=2),"ניכרת","אינה ניכרת")))</f>
        <v/>
      </c>
      <c r="AB825" s="32">
        <f>IF(OR($C825="",$Y825="",$AA825="",LEFT($Y825,1)="—",LEFT($AA825,1)="—"),"",IF($Z825="","— נדרשת הערכת כתיבה",IF($L825="","— חסרה הבנת הנקרא",IF($Y825="אינה מדויקת או מקוטעת",IF($AA825="ניכרת","מיקוד בשטף הקריאה ובכישורי שפה","מיקוד בשטף קריאה"),IF($AA825="ניכרת","מיקוד בכישורי שפה",IF(AND($L825="תקינה",$Z825="מפותחת"),"קוראים וכותבים מיומנים","מיקוד בהבנה והבעה"))))))</f>
        <v/>
      </c>
      <c r="AC825" s="32">
        <f>IF(OR($AB825="",LEFT($AB825,1)="—"),"",IF(OR($AB825="מיקוד בשטף קריאה",$AB825="מיקוד בשטף הקריאה ובכישורי שפה"),"רמה א'",IF($AB825="קוראים וכותבים מיומנים","רמה ג'","רמה ב'")))</f>
        <v/>
      </c>
      <c r="AD825" s="32">
        <f>IF($AC825="","",MID(IF(AND($AC825="רמה א'",$AA825="ניכרת"),"; להוסיף עבודת אוצר מילים","")&amp;IF($Z825="אינה מפותחת","; דגש על הבעה בכתב","")&amp;IF($K825&lt;&gt;"תקין","; נדרש לעבוד על ההנגנה","")&amp;IF($AK825&lt;&gt;"","; "&amp;$AK825,""),3,400))</f>
        <v/>
      </c>
      <c r="AE825" s="32">
        <f>IF($F825="","",IF($F825="תחילת שנה",1,IF($F825="מחצית שנה",2,3)))</f>
        <v/>
      </c>
      <c r="AF825" s="32">
        <f>IF(OR($B825="",$AC825="",$A825="",$F825=""),"",$B825&amp;"|"&amp;$A825&amp;"|"&amp;$F825&amp;"|"&amp;$AC825&amp;"|"&amp;COUNTIFS($B$6:$B825,$B825,$A$6:$A825,$A825,$F$6:$F825,$F825,$AC$6:$AC825,$AC825))</f>
        <v/>
      </c>
      <c r="AG825" s="32">
        <f>IF($C825="","",$C825&amp;"|"&amp;COUNTIFS($C$6:$C825,$C825))</f>
        <v/>
      </c>
      <c r="AH825" s="32">
        <f>IF(OR($C825="",$A825="",$AE825=""),"",$C825&amp;"|"&amp;$A825&amp;"|"&amp;$AE825)</f>
        <v/>
      </c>
      <c r="AI825" s="32">
        <f>IF(OR($C825="",$AE825="",$AE825=1),"",IFERROR(INDEX($AC$6:$AC$1505,MATCH($C825&amp;"|"&amp;$A825&amp;"|"&amp;($AE825-1),$AH$6:$AH$1505,0)),""))</f>
        <v/>
      </c>
      <c r="AJ825" s="32">
        <f>IF(OR($AI825="",$AC825=""),"",IF($AI825=$AC825,"ללא שינוי","מ-"&amp;$AI825&amp;" ל-"&amp;$AC825))</f>
        <v/>
      </c>
      <c r="AK825" s="67" t="n"/>
    </row>
    <row r="826" ht="15.75" customHeight="1" s="58">
      <c r="A826" s="65" t="n"/>
      <c r="B826" s="65" t="n"/>
      <c r="C826" s="66" t="n"/>
      <c r="D826" s="66" t="n"/>
      <c r="E826" s="65" t="n"/>
      <c r="F826" s="65" t="n"/>
      <c r="G826" s="65" t="n"/>
      <c r="H826" s="65" t="n"/>
      <c r="I826" s="65" t="n"/>
      <c r="J826" s="65" t="n"/>
      <c r="K826" s="65" t="n"/>
      <c r="L826" s="65" t="n"/>
      <c r="M826" s="65" t="n"/>
      <c r="N826" s="65" t="n"/>
      <c r="O826" s="65" t="n"/>
      <c r="P826" s="65" t="n"/>
      <c r="Q826" s="65" t="n"/>
      <c r="R826" s="65" t="n"/>
      <c r="S826" s="65" t="n"/>
      <c r="T826" s="65" t="n"/>
      <c r="U826" s="65" t="n"/>
      <c r="V826" s="65" t="n"/>
      <c r="W826" s="65" t="n"/>
      <c r="X826" s="65" t="n"/>
      <c r="Y826" s="32">
        <f>IF($C826="","",IF(COUNTA($I826:$K826)&lt;3,"— חסרים נתונים",IF(AND($I826="תקין",$J826="תקין",$K826="תקין"),"רהוטה",IF(AND($I826="תקין",$J826="תקין"),"מדויקת ורציפה","אינה מדויקת או מקוטעת"))))</f>
        <v/>
      </c>
      <c r="Z826" s="32">
        <f>IF($C826="","",IF(COUNTA($U826:$W826)&lt;3,"",IF(AND($U826="מפותח",$V826="מפותח",$W826="מפותחת"),"מפותחת",IF((--($U826="דל"))+(--($V826="אינו מפותח"))+(--($W826="דלה"))&gt;=2,"אינה מפותחת","חלקית"))))</f>
        <v/>
      </c>
      <c r="AA826" s="32">
        <f>IF($C826="","",IF(COUNTA($M826,$N826,$O826)&lt;3,"— חסרים נתונים",IF(OR($M826="נמוכה",(--($M826&lt;&gt;"תקינה"))+(--($N826&lt;&gt;"תקין"))+(--($O826&lt;&gt;"תקינה"))&gt;=2),"ניכרת","אינה ניכרת")))</f>
        <v/>
      </c>
      <c r="AB826" s="32">
        <f>IF(OR($C826="",$Y826="",$AA826="",LEFT($Y826,1)="—",LEFT($AA826,1)="—"),"",IF($Z826="","— נדרשת הערכת כתיבה",IF($L826="","— חסרה הבנת הנקרא",IF($Y826="אינה מדויקת או מקוטעת",IF($AA826="ניכרת","מיקוד בשטף הקריאה ובכישורי שפה","מיקוד בשטף קריאה"),IF($AA826="ניכרת","מיקוד בכישורי שפה",IF(AND($L826="תקינה",$Z826="מפותחת"),"קוראים וכותבים מיומנים","מיקוד בהבנה והבעה"))))))</f>
        <v/>
      </c>
      <c r="AC826" s="32">
        <f>IF(OR($AB826="",LEFT($AB826,1)="—"),"",IF(OR($AB826="מיקוד בשטף קריאה",$AB826="מיקוד בשטף הקריאה ובכישורי שפה"),"רמה א'",IF($AB826="קוראים וכותבים מיומנים","רמה ג'","רמה ב'")))</f>
        <v/>
      </c>
      <c r="AD826" s="32">
        <f>IF($AC826="","",MID(IF(AND($AC826="רמה א'",$AA826="ניכרת"),"; להוסיף עבודת אוצר מילים","")&amp;IF($Z826="אינה מפותחת","; דגש על הבעה בכתב","")&amp;IF($K826&lt;&gt;"תקין","; נדרש לעבוד על ההנגנה","")&amp;IF($AK826&lt;&gt;"","; "&amp;$AK826,""),3,400))</f>
        <v/>
      </c>
      <c r="AE826" s="32">
        <f>IF($F826="","",IF($F826="תחילת שנה",1,IF($F826="מחצית שנה",2,3)))</f>
        <v/>
      </c>
      <c r="AF826" s="32">
        <f>IF(OR($B826="",$AC826="",$A826="",$F826=""),"",$B826&amp;"|"&amp;$A826&amp;"|"&amp;$F826&amp;"|"&amp;$AC826&amp;"|"&amp;COUNTIFS($B$6:$B826,$B826,$A$6:$A826,$A826,$F$6:$F826,$F826,$AC$6:$AC826,$AC826))</f>
        <v/>
      </c>
      <c r="AG826" s="32">
        <f>IF($C826="","",$C826&amp;"|"&amp;COUNTIFS($C$6:$C826,$C826))</f>
        <v/>
      </c>
      <c r="AH826" s="32">
        <f>IF(OR($C826="",$A826="",$AE826=""),"",$C826&amp;"|"&amp;$A826&amp;"|"&amp;$AE826)</f>
        <v/>
      </c>
      <c r="AI826" s="32">
        <f>IF(OR($C826="",$AE826="",$AE826=1),"",IFERROR(INDEX($AC$6:$AC$1505,MATCH($C826&amp;"|"&amp;$A826&amp;"|"&amp;($AE826-1),$AH$6:$AH$1505,0)),""))</f>
        <v/>
      </c>
      <c r="AJ826" s="32">
        <f>IF(OR($AI826="",$AC826=""),"",IF($AI826=$AC826,"ללא שינוי","מ-"&amp;$AI826&amp;" ל-"&amp;$AC826))</f>
        <v/>
      </c>
      <c r="AK826" s="67" t="n"/>
    </row>
    <row r="827" ht="15.75" customHeight="1" s="58">
      <c r="A827" s="65" t="n"/>
      <c r="B827" s="65" t="n"/>
      <c r="C827" s="66" t="n"/>
      <c r="D827" s="66" t="n"/>
      <c r="E827" s="65" t="n"/>
      <c r="F827" s="65" t="n"/>
      <c r="G827" s="65" t="n"/>
      <c r="H827" s="65" t="n"/>
      <c r="I827" s="65" t="n"/>
      <c r="J827" s="65" t="n"/>
      <c r="K827" s="65" t="n"/>
      <c r="L827" s="65" t="n"/>
      <c r="M827" s="65" t="n"/>
      <c r="N827" s="65" t="n"/>
      <c r="O827" s="65" t="n"/>
      <c r="P827" s="65" t="n"/>
      <c r="Q827" s="65" t="n"/>
      <c r="R827" s="65" t="n"/>
      <c r="S827" s="65" t="n"/>
      <c r="T827" s="65" t="n"/>
      <c r="U827" s="65" t="n"/>
      <c r="V827" s="65" t="n"/>
      <c r="W827" s="65" t="n"/>
      <c r="X827" s="65" t="n"/>
      <c r="Y827" s="32">
        <f>IF($C827="","",IF(COUNTA($I827:$K827)&lt;3,"— חסרים נתונים",IF(AND($I827="תקין",$J827="תקין",$K827="תקין"),"רהוטה",IF(AND($I827="תקין",$J827="תקין"),"מדויקת ורציפה","אינה מדויקת או מקוטעת"))))</f>
        <v/>
      </c>
      <c r="Z827" s="32">
        <f>IF($C827="","",IF(COUNTA($U827:$W827)&lt;3,"",IF(AND($U827="מפותח",$V827="מפותח",$W827="מפותחת"),"מפותחת",IF((--($U827="דל"))+(--($V827="אינו מפותח"))+(--($W827="דלה"))&gt;=2,"אינה מפותחת","חלקית"))))</f>
        <v/>
      </c>
      <c r="AA827" s="32">
        <f>IF($C827="","",IF(COUNTA($M827,$N827,$O827)&lt;3,"— חסרים נתונים",IF(OR($M827="נמוכה",(--($M827&lt;&gt;"תקינה"))+(--($N827&lt;&gt;"תקין"))+(--($O827&lt;&gt;"תקינה"))&gt;=2),"ניכרת","אינה ניכרת")))</f>
        <v/>
      </c>
      <c r="AB827" s="32">
        <f>IF(OR($C827="",$Y827="",$AA827="",LEFT($Y827,1)="—",LEFT($AA827,1)="—"),"",IF($Z827="","— נדרשת הערכת כתיבה",IF($L827="","— חסרה הבנת הנקרא",IF($Y827="אינה מדויקת או מקוטעת",IF($AA827="ניכרת","מיקוד בשטף הקריאה ובכישורי שפה","מיקוד בשטף קריאה"),IF($AA827="ניכרת","מיקוד בכישורי שפה",IF(AND($L827="תקינה",$Z827="מפותחת"),"קוראים וכותבים מיומנים","מיקוד בהבנה והבעה"))))))</f>
        <v/>
      </c>
      <c r="AC827" s="32">
        <f>IF(OR($AB827="",LEFT($AB827,1)="—"),"",IF(OR($AB827="מיקוד בשטף קריאה",$AB827="מיקוד בשטף הקריאה ובכישורי שפה"),"רמה א'",IF($AB827="קוראים וכותבים מיומנים","רמה ג'","רמה ב'")))</f>
        <v/>
      </c>
      <c r="AD827" s="32">
        <f>IF($AC827="","",MID(IF(AND($AC827="רמה א'",$AA827="ניכרת"),"; להוסיף עבודת אוצר מילים","")&amp;IF($Z827="אינה מפותחת","; דגש על הבעה בכתב","")&amp;IF($K827&lt;&gt;"תקין","; נדרש לעבוד על ההנגנה","")&amp;IF($AK827&lt;&gt;"","; "&amp;$AK827,""),3,400))</f>
        <v/>
      </c>
      <c r="AE827" s="32">
        <f>IF($F827="","",IF($F827="תחילת שנה",1,IF($F827="מחצית שנה",2,3)))</f>
        <v/>
      </c>
      <c r="AF827" s="32">
        <f>IF(OR($B827="",$AC827="",$A827="",$F827=""),"",$B827&amp;"|"&amp;$A827&amp;"|"&amp;$F827&amp;"|"&amp;$AC827&amp;"|"&amp;COUNTIFS($B$6:$B827,$B827,$A$6:$A827,$A827,$F$6:$F827,$F827,$AC$6:$AC827,$AC827))</f>
        <v/>
      </c>
      <c r="AG827" s="32">
        <f>IF($C827="","",$C827&amp;"|"&amp;COUNTIFS($C$6:$C827,$C827))</f>
        <v/>
      </c>
      <c r="AH827" s="32">
        <f>IF(OR($C827="",$A827="",$AE827=""),"",$C827&amp;"|"&amp;$A827&amp;"|"&amp;$AE827)</f>
        <v/>
      </c>
      <c r="AI827" s="32">
        <f>IF(OR($C827="",$AE827="",$AE827=1),"",IFERROR(INDEX($AC$6:$AC$1505,MATCH($C827&amp;"|"&amp;$A827&amp;"|"&amp;($AE827-1),$AH$6:$AH$1505,0)),""))</f>
        <v/>
      </c>
      <c r="AJ827" s="32">
        <f>IF(OR($AI827="",$AC827=""),"",IF($AI827=$AC827,"ללא שינוי","מ-"&amp;$AI827&amp;" ל-"&amp;$AC827))</f>
        <v/>
      </c>
      <c r="AK827" s="67" t="n"/>
    </row>
    <row r="828" ht="15.75" customHeight="1" s="58">
      <c r="A828" s="65" t="n"/>
      <c r="B828" s="65" t="n"/>
      <c r="C828" s="66" t="n"/>
      <c r="D828" s="66" t="n"/>
      <c r="E828" s="65" t="n"/>
      <c r="F828" s="65" t="n"/>
      <c r="G828" s="65" t="n"/>
      <c r="H828" s="65" t="n"/>
      <c r="I828" s="65" t="n"/>
      <c r="J828" s="65" t="n"/>
      <c r="K828" s="65" t="n"/>
      <c r="L828" s="65" t="n"/>
      <c r="M828" s="65" t="n"/>
      <c r="N828" s="65" t="n"/>
      <c r="O828" s="65" t="n"/>
      <c r="P828" s="65" t="n"/>
      <c r="Q828" s="65" t="n"/>
      <c r="R828" s="65" t="n"/>
      <c r="S828" s="65" t="n"/>
      <c r="T828" s="65" t="n"/>
      <c r="U828" s="65" t="n"/>
      <c r="V828" s="65" t="n"/>
      <c r="W828" s="65" t="n"/>
      <c r="X828" s="65" t="n"/>
      <c r="Y828" s="32">
        <f>IF($C828="","",IF(COUNTA($I828:$K828)&lt;3,"— חסרים נתונים",IF(AND($I828="תקין",$J828="תקין",$K828="תקין"),"רהוטה",IF(AND($I828="תקין",$J828="תקין"),"מדויקת ורציפה","אינה מדויקת או מקוטעת"))))</f>
        <v/>
      </c>
      <c r="Z828" s="32">
        <f>IF($C828="","",IF(COUNTA($U828:$W828)&lt;3,"",IF(AND($U828="מפותח",$V828="מפותח",$W828="מפותחת"),"מפותחת",IF((--($U828="דל"))+(--($V828="אינו מפותח"))+(--($W828="דלה"))&gt;=2,"אינה מפותחת","חלקית"))))</f>
        <v/>
      </c>
      <c r="AA828" s="32">
        <f>IF($C828="","",IF(COUNTA($M828,$N828,$O828)&lt;3,"— חסרים נתונים",IF(OR($M828="נמוכה",(--($M828&lt;&gt;"תקינה"))+(--($N828&lt;&gt;"תקין"))+(--($O828&lt;&gt;"תקינה"))&gt;=2),"ניכרת","אינה ניכרת")))</f>
        <v/>
      </c>
      <c r="AB828" s="32">
        <f>IF(OR($C828="",$Y828="",$AA828="",LEFT($Y828,1)="—",LEFT($AA828,1)="—"),"",IF($Z828="","— נדרשת הערכת כתיבה",IF($L828="","— חסרה הבנת הנקרא",IF($Y828="אינה מדויקת או מקוטעת",IF($AA828="ניכרת","מיקוד בשטף הקריאה ובכישורי שפה","מיקוד בשטף קריאה"),IF($AA828="ניכרת","מיקוד בכישורי שפה",IF(AND($L828="תקינה",$Z828="מפותחת"),"קוראים וכותבים מיומנים","מיקוד בהבנה והבעה"))))))</f>
        <v/>
      </c>
      <c r="AC828" s="32">
        <f>IF(OR($AB828="",LEFT($AB828,1)="—"),"",IF(OR($AB828="מיקוד בשטף קריאה",$AB828="מיקוד בשטף הקריאה ובכישורי שפה"),"רמה א'",IF($AB828="קוראים וכותבים מיומנים","רמה ג'","רמה ב'")))</f>
        <v/>
      </c>
      <c r="AD828" s="32">
        <f>IF($AC828="","",MID(IF(AND($AC828="רמה א'",$AA828="ניכרת"),"; להוסיף עבודת אוצר מילים","")&amp;IF($Z828="אינה מפותחת","; דגש על הבעה בכתב","")&amp;IF($K828&lt;&gt;"תקין","; נדרש לעבוד על ההנגנה","")&amp;IF($AK828&lt;&gt;"","; "&amp;$AK828,""),3,400))</f>
        <v/>
      </c>
      <c r="AE828" s="32">
        <f>IF($F828="","",IF($F828="תחילת שנה",1,IF($F828="מחצית שנה",2,3)))</f>
        <v/>
      </c>
      <c r="AF828" s="32">
        <f>IF(OR($B828="",$AC828="",$A828="",$F828=""),"",$B828&amp;"|"&amp;$A828&amp;"|"&amp;$F828&amp;"|"&amp;$AC828&amp;"|"&amp;COUNTIFS($B$6:$B828,$B828,$A$6:$A828,$A828,$F$6:$F828,$F828,$AC$6:$AC828,$AC828))</f>
        <v/>
      </c>
      <c r="AG828" s="32">
        <f>IF($C828="","",$C828&amp;"|"&amp;COUNTIFS($C$6:$C828,$C828))</f>
        <v/>
      </c>
      <c r="AH828" s="32">
        <f>IF(OR($C828="",$A828="",$AE828=""),"",$C828&amp;"|"&amp;$A828&amp;"|"&amp;$AE828)</f>
        <v/>
      </c>
      <c r="AI828" s="32">
        <f>IF(OR($C828="",$AE828="",$AE828=1),"",IFERROR(INDEX($AC$6:$AC$1505,MATCH($C828&amp;"|"&amp;$A828&amp;"|"&amp;($AE828-1),$AH$6:$AH$1505,0)),""))</f>
        <v/>
      </c>
      <c r="AJ828" s="32">
        <f>IF(OR($AI828="",$AC828=""),"",IF($AI828=$AC828,"ללא שינוי","מ-"&amp;$AI828&amp;" ל-"&amp;$AC828))</f>
        <v/>
      </c>
      <c r="AK828" s="67" t="n"/>
    </row>
    <row r="829" ht="15.75" customHeight="1" s="58">
      <c r="A829" s="65" t="n"/>
      <c r="B829" s="65" t="n"/>
      <c r="C829" s="66" t="n"/>
      <c r="D829" s="66" t="n"/>
      <c r="E829" s="65" t="n"/>
      <c r="F829" s="65" t="n"/>
      <c r="G829" s="65" t="n"/>
      <c r="H829" s="65" t="n"/>
      <c r="I829" s="65" t="n"/>
      <c r="J829" s="65" t="n"/>
      <c r="K829" s="65" t="n"/>
      <c r="L829" s="65" t="n"/>
      <c r="M829" s="65" t="n"/>
      <c r="N829" s="65" t="n"/>
      <c r="O829" s="65" t="n"/>
      <c r="P829" s="65" t="n"/>
      <c r="Q829" s="65" t="n"/>
      <c r="R829" s="65" t="n"/>
      <c r="S829" s="65" t="n"/>
      <c r="T829" s="65" t="n"/>
      <c r="U829" s="65" t="n"/>
      <c r="V829" s="65" t="n"/>
      <c r="W829" s="65" t="n"/>
      <c r="X829" s="65" t="n"/>
      <c r="Y829" s="32">
        <f>IF($C829="","",IF(COUNTA($I829:$K829)&lt;3,"— חסרים נתונים",IF(AND($I829="תקין",$J829="תקין",$K829="תקין"),"רהוטה",IF(AND($I829="תקין",$J829="תקין"),"מדויקת ורציפה","אינה מדויקת או מקוטעת"))))</f>
        <v/>
      </c>
      <c r="Z829" s="32">
        <f>IF($C829="","",IF(COUNTA($U829:$W829)&lt;3,"",IF(AND($U829="מפותח",$V829="מפותח",$W829="מפותחת"),"מפותחת",IF((--($U829="דל"))+(--($V829="אינו מפותח"))+(--($W829="דלה"))&gt;=2,"אינה מפותחת","חלקית"))))</f>
        <v/>
      </c>
      <c r="AA829" s="32">
        <f>IF($C829="","",IF(COUNTA($M829,$N829,$O829)&lt;3,"— חסרים נתונים",IF(OR($M829="נמוכה",(--($M829&lt;&gt;"תקינה"))+(--($N829&lt;&gt;"תקין"))+(--($O829&lt;&gt;"תקינה"))&gt;=2),"ניכרת","אינה ניכרת")))</f>
        <v/>
      </c>
      <c r="AB829" s="32">
        <f>IF(OR($C829="",$Y829="",$AA829="",LEFT($Y829,1)="—",LEFT($AA829,1)="—"),"",IF($Z829="","— נדרשת הערכת כתיבה",IF($L829="","— חסרה הבנת הנקרא",IF($Y829="אינה מדויקת או מקוטעת",IF($AA829="ניכרת","מיקוד בשטף הקריאה ובכישורי שפה","מיקוד בשטף קריאה"),IF($AA829="ניכרת","מיקוד בכישורי שפה",IF(AND($L829="תקינה",$Z829="מפותחת"),"קוראים וכותבים מיומנים","מיקוד בהבנה והבעה"))))))</f>
        <v/>
      </c>
      <c r="AC829" s="32">
        <f>IF(OR($AB829="",LEFT($AB829,1)="—"),"",IF(OR($AB829="מיקוד בשטף קריאה",$AB829="מיקוד בשטף הקריאה ובכישורי שפה"),"רמה א'",IF($AB829="קוראים וכותבים מיומנים","רמה ג'","רמה ב'")))</f>
        <v/>
      </c>
      <c r="AD829" s="32">
        <f>IF($AC829="","",MID(IF(AND($AC829="רמה א'",$AA829="ניכרת"),"; להוסיף עבודת אוצר מילים","")&amp;IF($Z829="אינה מפותחת","; דגש על הבעה בכתב","")&amp;IF($K829&lt;&gt;"תקין","; נדרש לעבוד על ההנגנה","")&amp;IF($AK829&lt;&gt;"","; "&amp;$AK829,""),3,400))</f>
        <v/>
      </c>
      <c r="AE829" s="32">
        <f>IF($F829="","",IF($F829="תחילת שנה",1,IF($F829="מחצית שנה",2,3)))</f>
        <v/>
      </c>
      <c r="AF829" s="32">
        <f>IF(OR($B829="",$AC829="",$A829="",$F829=""),"",$B829&amp;"|"&amp;$A829&amp;"|"&amp;$F829&amp;"|"&amp;$AC829&amp;"|"&amp;COUNTIFS($B$6:$B829,$B829,$A$6:$A829,$A829,$F$6:$F829,$F829,$AC$6:$AC829,$AC829))</f>
        <v/>
      </c>
      <c r="AG829" s="32">
        <f>IF($C829="","",$C829&amp;"|"&amp;COUNTIFS($C$6:$C829,$C829))</f>
        <v/>
      </c>
      <c r="AH829" s="32">
        <f>IF(OR($C829="",$A829="",$AE829=""),"",$C829&amp;"|"&amp;$A829&amp;"|"&amp;$AE829)</f>
        <v/>
      </c>
      <c r="AI829" s="32">
        <f>IF(OR($C829="",$AE829="",$AE829=1),"",IFERROR(INDEX($AC$6:$AC$1505,MATCH($C829&amp;"|"&amp;$A829&amp;"|"&amp;($AE829-1),$AH$6:$AH$1505,0)),""))</f>
        <v/>
      </c>
      <c r="AJ829" s="32">
        <f>IF(OR($AI829="",$AC829=""),"",IF($AI829=$AC829,"ללא שינוי","מ-"&amp;$AI829&amp;" ל-"&amp;$AC829))</f>
        <v/>
      </c>
      <c r="AK829" s="67" t="n"/>
    </row>
    <row r="830" ht="15.75" customHeight="1" s="58">
      <c r="A830" s="65" t="n"/>
      <c r="B830" s="65" t="n"/>
      <c r="C830" s="66" t="n"/>
      <c r="D830" s="66" t="n"/>
      <c r="E830" s="65" t="n"/>
      <c r="F830" s="65" t="n"/>
      <c r="G830" s="65" t="n"/>
      <c r="H830" s="65" t="n"/>
      <c r="I830" s="65" t="n"/>
      <c r="J830" s="65" t="n"/>
      <c r="K830" s="65" t="n"/>
      <c r="L830" s="65" t="n"/>
      <c r="M830" s="65" t="n"/>
      <c r="N830" s="65" t="n"/>
      <c r="O830" s="65" t="n"/>
      <c r="P830" s="65" t="n"/>
      <c r="Q830" s="65" t="n"/>
      <c r="R830" s="65" t="n"/>
      <c r="S830" s="65" t="n"/>
      <c r="T830" s="65" t="n"/>
      <c r="U830" s="65" t="n"/>
      <c r="V830" s="65" t="n"/>
      <c r="W830" s="65" t="n"/>
      <c r="X830" s="65" t="n"/>
      <c r="Y830" s="32">
        <f>IF($C830="","",IF(COUNTA($I830:$K830)&lt;3,"— חסרים נתונים",IF(AND($I830="תקין",$J830="תקין",$K830="תקין"),"רהוטה",IF(AND($I830="תקין",$J830="תקין"),"מדויקת ורציפה","אינה מדויקת או מקוטעת"))))</f>
        <v/>
      </c>
      <c r="Z830" s="32">
        <f>IF($C830="","",IF(COUNTA($U830:$W830)&lt;3,"",IF(AND($U830="מפותח",$V830="מפותח",$W830="מפותחת"),"מפותחת",IF((--($U830="דל"))+(--($V830="אינו מפותח"))+(--($W830="דלה"))&gt;=2,"אינה מפותחת","חלקית"))))</f>
        <v/>
      </c>
      <c r="AA830" s="32">
        <f>IF($C830="","",IF(COUNTA($M830,$N830,$O830)&lt;3,"— חסרים נתונים",IF(OR($M830="נמוכה",(--($M830&lt;&gt;"תקינה"))+(--($N830&lt;&gt;"תקין"))+(--($O830&lt;&gt;"תקינה"))&gt;=2),"ניכרת","אינה ניכרת")))</f>
        <v/>
      </c>
      <c r="AB830" s="32">
        <f>IF(OR($C830="",$Y830="",$AA830="",LEFT($Y830,1)="—",LEFT($AA830,1)="—"),"",IF($Z830="","— נדרשת הערכת כתיבה",IF($L830="","— חסרה הבנת הנקרא",IF($Y830="אינה מדויקת או מקוטעת",IF($AA830="ניכרת","מיקוד בשטף הקריאה ובכישורי שפה","מיקוד בשטף קריאה"),IF($AA830="ניכרת","מיקוד בכישורי שפה",IF(AND($L830="תקינה",$Z830="מפותחת"),"קוראים וכותבים מיומנים","מיקוד בהבנה והבעה"))))))</f>
        <v/>
      </c>
      <c r="AC830" s="32">
        <f>IF(OR($AB830="",LEFT($AB830,1)="—"),"",IF(OR($AB830="מיקוד בשטף קריאה",$AB830="מיקוד בשטף הקריאה ובכישורי שפה"),"רמה א'",IF($AB830="קוראים וכותבים מיומנים","רמה ג'","רמה ב'")))</f>
        <v/>
      </c>
      <c r="AD830" s="32">
        <f>IF($AC830="","",MID(IF(AND($AC830="רמה א'",$AA830="ניכרת"),"; להוסיף עבודת אוצר מילים","")&amp;IF($Z830="אינה מפותחת","; דגש על הבעה בכתב","")&amp;IF($K830&lt;&gt;"תקין","; נדרש לעבוד על ההנגנה","")&amp;IF($AK830&lt;&gt;"","; "&amp;$AK830,""),3,400))</f>
        <v/>
      </c>
      <c r="AE830" s="32">
        <f>IF($F830="","",IF($F830="תחילת שנה",1,IF($F830="מחצית שנה",2,3)))</f>
        <v/>
      </c>
      <c r="AF830" s="32">
        <f>IF(OR($B830="",$AC830="",$A830="",$F830=""),"",$B830&amp;"|"&amp;$A830&amp;"|"&amp;$F830&amp;"|"&amp;$AC830&amp;"|"&amp;COUNTIFS($B$6:$B830,$B830,$A$6:$A830,$A830,$F$6:$F830,$F830,$AC$6:$AC830,$AC830))</f>
        <v/>
      </c>
      <c r="AG830" s="32">
        <f>IF($C830="","",$C830&amp;"|"&amp;COUNTIFS($C$6:$C830,$C830))</f>
        <v/>
      </c>
      <c r="AH830" s="32">
        <f>IF(OR($C830="",$A830="",$AE830=""),"",$C830&amp;"|"&amp;$A830&amp;"|"&amp;$AE830)</f>
        <v/>
      </c>
      <c r="AI830" s="32">
        <f>IF(OR($C830="",$AE830="",$AE830=1),"",IFERROR(INDEX($AC$6:$AC$1505,MATCH($C830&amp;"|"&amp;$A830&amp;"|"&amp;($AE830-1),$AH$6:$AH$1505,0)),""))</f>
        <v/>
      </c>
      <c r="AJ830" s="32">
        <f>IF(OR($AI830="",$AC830=""),"",IF($AI830=$AC830,"ללא שינוי","מ-"&amp;$AI830&amp;" ל-"&amp;$AC830))</f>
        <v/>
      </c>
      <c r="AK830" s="67" t="n"/>
    </row>
    <row r="831" ht="15.75" customHeight="1" s="58">
      <c r="A831" s="65" t="n"/>
      <c r="B831" s="65" t="n"/>
      <c r="C831" s="66" t="n"/>
      <c r="D831" s="66" t="n"/>
      <c r="E831" s="65" t="n"/>
      <c r="F831" s="65" t="n"/>
      <c r="G831" s="65" t="n"/>
      <c r="H831" s="65" t="n"/>
      <c r="I831" s="65" t="n"/>
      <c r="J831" s="65" t="n"/>
      <c r="K831" s="65" t="n"/>
      <c r="L831" s="65" t="n"/>
      <c r="M831" s="65" t="n"/>
      <c r="N831" s="65" t="n"/>
      <c r="O831" s="65" t="n"/>
      <c r="P831" s="65" t="n"/>
      <c r="Q831" s="65" t="n"/>
      <c r="R831" s="65" t="n"/>
      <c r="S831" s="65" t="n"/>
      <c r="T831" s="65" t="n"/>
      <c r="U831" s="65" t="n"/>
      <c r="V831" s="65" t="n"/>
      <c r="W831" s="65" t="n"/>
      <c r="X831" s="65" t="n"/>
      <c r="Y831" s="32">
        <f>IF($C831="","",IF(COUNTA($I831:$K831)&lt;3,"— חסרים נתונים",IF(AND($I831="תקין",$J831="תקין",$K831="תקין"),"רהוטה",IF(AND($I831="תקין",$J831="תקין"),"מדויקת ורציפה","אינה מדויקת או מקוטעת"))))</f>
        <v/>
      </c>
      <c r="Z831" s="32">
        <f>IF($C831="","",IF(COUNTA($U831:$W831)&lt;3,"",IF(AND($U831="מפותח",$V831="מפותח",$W831="מפותחת"),"מפותחת",IF((--($U831="דל"))+(--($V831="אינו מפותח"))+(--($W831="דלה"))&gt;=2,"אינה מפותחת","חלקית"))))</f>
        <v/>
      </c>
      <c r="AA831" s="32">
        <f>IF($C831="","",IF(COUNTA($M831,$N831,$O831)&lt;3,"— חסרים נתונים",IF(OR($M831="נמוכה",(--($M831&lt;&gt;"תקינה"))+(--($N831&lt;&gt;"תקין"))+(--($O831&lt;&gt;"תקינה"))&gt;=2),"ניכרת","אינה ניכרת")))</f>
        <v/>
      </c>
      <c r="AB831" s="32">
        <f>IF(OR($C831="",$Y831="",$AA831="",LEFT($Y831,1)="—",LEFT($AA831,1)="—"),"",IF($Z831="","— נדרשת הערכת כתיבה",IF($L831="","— חסרה הבנת הנקרא",IF($Y831="אינה מדויקת או מקוטעת",IF($AA831="ניכרת","מיקוד בשטף הקריאה ובכישורי שפה","מיקוד בשטף קריאה"),IF($AA831="ניכרת","מיקוד בכישורי שפה",IF(AND($L831="תקינה",$Z831="מפותחת"),"קוראים וכותבים מיומנים","מיקוד בהבנה והבעה"))))))</f>
        <v/>
      </c>
      <c r="AC831" s="32">
        <f>IF(OR($AB831="",LEFT($AB831,1)="—"),"",IF(OR($AB831="מיקוד בשטף קריאה",$AB831="מיקוד בשטף הקריאה ובכישורי שפה"),"רמה א'",IF($AB831="קוראים וכותבים מיומנים","רמה ג'","רמה ב'")))</f>
        <v/>
      </c>
      <c r="AD831" s="32">
        <f>IF($AC831="","",MID(IF(AND($AC831="רמה א'",$AA831="ניכרת"),"; להוסיף עבודת אוצר מילים","")&amp;IF($Z831="אינה מפותחת","; דגש על הבעה בכתב","")&amp;IF($K831&lt;&gt;"תקין","; נדרש לעבוד על ההנגנה","")&amp;IF($AK831&lt;&gt;"","; "&amp;$AK831,""),3,400))</f>
        <v/>
      </c>
      <c r="AE831" s="32">
        <f>IF($F831="","",IF($F831="תחילת שנה",1,IF($F831="מחצית שנה",2,3)))</f>
        <v/>
      </c>
      <c r="AF831" s="32">
        <f>IF(OR($B831="",$AC831="",$A831="",$F831=""),"",$B831&amp;"|"&amp;$A831&amp;"|"&amp;$F831&amp;"|"&amp;$AC831&amp;"|"&amp;COUNTIFS($B$6:$B831,$B831,$A$6:$A831,$A831,$F$6:$F831,$F831,$AC$6:$AC831,$AC831))</f>
        <v/>
      </c>
      <c r="AG831" s="32">
        <f>IF($C831="","",$C831&amp;"|"&amp;COUNTIFS($C$6:$C831,$C831))</f>
        <v/>
      </c>
      <c r="AH831" s="32">
        <f>IF(OR($C831="",$A831="",$AE831=""),"",$C831&amp;"|"&amp;$A831&amp;"|"&amp;$AE831)</f>
        <v/>
      </c>
      <c r="AI831" s="32">
        <f>IF(OR($C831="",$AE831="",$AE831=1),"",IFERROR(INDEX($AC$6:$AC$1505,MATCH($C831&amp;"|"&amp;$A831&amp;"|"&amp;($AE831-1),$AH$6:$AH$1505,0)),""))</f>
        <v/>
      </c>
      <c r="AJ831" s="32">
        <f>IF(OR($AI831="",$AC831=""),"",IF($AI831=$AC831,"ללא שינוי","מ-"&amp;$AI831&amp;" ל-"&amp;$AC831))</f>
        <v/>
      </c>
      <c r="AK831" s="67" t="n"/>
    </row>
    <row r="832" ht="15.75" customHeight="1" s="58">
      <c r="A832" s="65" t="n"/>
      <c r="B832" s="65" t="n"/>
      <c r="C832" s="66" t="n"/>
      <c r="D832" s="66" t="n"/>
      <c r="E832" s="65" t="n"/>
      <c r="F832" s="65" t="n"/>
      <c r="G832" s="65" t="n"/>
      <c r="H832" s="65" t="n"/>
      <c r="I832" s="65" t="n"/>
      <c r="J832" s="65" t="n"/>
      <c r="K832" s="65" t="n"/>
      <c r="L832" s="65" t="n"/>
      <c r="M832" s="65" t="n"/>
      <c r="N832" s="65" t="n"/>
      <c r="O832" s="65" t="n"/>
      <c r="P832" s="65" t="n"/>
      <c r="Q832" s="65" t="n"/>
      <c r="R832" s="65" t="n"/>
      <c r="S832" s="65" t="n"/>
      <c r="T832" s="65" t="n"/>
      <c r="U832" s="65" t="n"/>
      <c r="V832" s="65" t="n"/>
      <c r="W832" s="65" t="n"/>
      <c r="X832" s="65" t="n"/>
      <c r="Y832" s="32">
        <f>IF($C832="","",IF(COUNTA($I832:$K832)&lt;3,"— חסרים נתונים",IF(AND($I832="תקין",$J832="תקין",$K832="תקין"),"רהוטה",IF(AND($I832="תקין",$J832="תקין"),"מדויקת ורציפה","אינה מדויקת או מקוטעת"))))</f>
        <v/>
      </c>
      <c r="Z832" s="32">
        <f>IF($C832="","",IF(COUNTA($U832:$W832)&lt;3,"",IF(AND($U832="מפותח",$V832="מפותח",$W832="מפותחת"),"מפותחת",IF((--($U832="דל"))+(--($V832="אינו מפותח"))+(--($W832="דלה"))&gt;=2,"אינה מפותחת","חלקית"))))</f>
        <v/>
      </c>
      <c r="AA832" s="32">
        <f>IF($C832="","",IF(COUNTA($M832,$N832,$O832)&lt;3,"— חסרים נתונים",IF(OR($M832="נמוכה",(--($M832&lt;&gt;"תקינה"))+(--($N832&lt;&gt;"תקין"))+(--($O832&lt;&gt;"תקינה"))&gt;=2),"ניכרת","אינה ניכרת")))</f>
        <v/>
      </c>
      <c r="AB832" s="32">
        <f>IF(OR($C832="",$Y832="",$AA832="",LEFT($Y832,1)="—",LEFT($AA832,1)="—"),"",IF($Z832="","— נדרשת הערכת כתיבה",IF($L832="","— חסרה הבנת הנקרא",IF($Y832="אינה מדויקת או מקוטעת",IF($AA832="ניכרת","מיקוד בשטף הקריאה ובכישורי שפה","מיקוד בשטף קריאה"),IF($AA832="ניכרת","מיקוד בכישורי שפה",IF(AND($L832="תקינה",$Z832="מפותחת"),"קוראים וכותבים מיומנים","מיקוד בהבנה והבעה"))))))</f>
        <v/>
      </c>
      <c r="AC832" s="32">
        <f>IF(OR($AB832="",LEFT($AB832,1)="—"),"",IF(OR($AB832="מיקוד בשטף קריאה",$AB832="מיקוד בשטף הקריאה ובכישורי שפה"),"רמה א'",IF($AB832="קוראים וכותבים מיומנים","רמה ג'","רמה ב'")))</f>
        <v/>
      </c>
      <c r="AD832" s="32">
        <f>IF($AC832="","",MID(IF(AND($AC832="רמה א'",$AA832="ניכרת"),"; להוסיף עבודת אוצר מילים","")&amp;IF($Z832="אינה מפותחת","; דגש על הבעה בכתב","")&amp;IF($K832&lt;&gt;"תקין","; נדרש לעבוד על ההנגנה","")&amp;IF($AK832&lt;&gt;"","; "&amp;$AK832,""),3,400))</f>
        <v/>
      </c>
      <c r="AE832" s="32">
        <f>IF($F832="","",IF($F832="תחילת שנה",1,IF($F832="מחצית שנה",2,3)))</f>
        <v/>
      </c>
      <c r="AF832" s="32">
        <f>IF(OR($B832="",$AC832="",$A832="",$F832=""),"",$B832&amp;"|"&amp;$A832&amp;"|"&amp;$F832&amp;"|"&amp;$AC832&amp;"|"&amp;COUNTIFS($B$6:$B832,$B832,$A$6:$A832,$A832,$F$6:$F832,$F832,$AC$6:$AC832,$AC832))</f>
        <v/>
      </c>
      <c r="AG832" s="32">
        <f>IF($C832="","",$C832&amp;"|"&amp;COUNTIFS($C$6:$C832,$C832))</f>
        <v/>
      </c>
      <c r="AH832" s="32">
        <f>IF(OR($C832="",$A832="",$AE832=""),"",$C832&amp;"|"&amp;$A832&amp;"|"&amp;$AE832)</f>
        <v/>
      </c>
      <c r="AI832" s="32">
        <f>IF(OR($C832="",$AE832="",$AE832=1),"",IFERROR(INDEX($AC$6:$AC$1505,MATCH($C832&amp;"|"&amp;$A832&amp;"|"&amp;($AE832-1),$AH$6:$AH$1505,0)),""))</f>
        <v/>
      </c>
      <c r="AJ832" s="32">
        <f>IF(OR($AI832="",$AC832=""),"",IF($AI832=$AC832,"ללא שינוי","מ-"&amp;$AI832&amp;" ל-"&amp;$AC832))</f>
        <v/>
      </c>
      <c r="AK832" s="67" t="n"/>
    </row>
    <row r="833" ht="15.75" customHeight="1" s="58">
      <c r="A833" s="65" t="n"/>
      <c r="B833" s="65" t="n"/>
      <c r="C833" s="66" t="n"/>
      <c r="D833" s="66" t="n"/>
      <c r="E833" s="65" t="n"/>
      <c r="F833" s="65" t="n"/>
      <c r="G833" s="65" t="n"/>
      <c r="H833" s="65" t="n"/>
      <c r="I833" s="65" t="n"/>
      <c r="J833" s="65" t="n"/>
      <c r="K833" s="65" t="n"/>
      <c r="L833" s="65" t="n"/>
      <c r="M833" s="65" t="n"/>
      <c r="N833" s="65" t="n"/>
      <c r="O833" s="65" t="n"/>
      <c r="P833" s="65" t="n"/>
      <c r="Q833" s="65" t="n"/>
      <c r="R833" s="65" t="n"/>
      <c r="S833" s="65" t="n"/>
      <c r="T833" s="65" t="n"/>
      <c r="U833" s="65" t="n"/>
      <c r="V833" s="65" t="n"/>
      <c r="W833" s="65" t="n"/>
      <c r="X833" s="65" t="n"/>
      <c r="Y833" s="32">
        <f>IF($C833="","",IF(COUNTA($I833:$K833)&lt;3,"— חסרים נתונים",IF(AND($I833="תקין",$J833="תקין",$K833="תקין"),"רהוטה",IF(AND($I833="תקין",$J833="תקין"),"מדויקת ורציפה","אינה מדויקת או מקוטעת"))))</f>
        <v/>
      </c>
      <c r="Z833" s="32">
        <f>IF($C833="","",IF(COUNTA($U833:$W833)&lt;3,"",IF(AND($U833="מפותח",$V833="מפותח",$W833="מפותחת"),"מפותחת",IF((--($U833="דל"))+(--($V833="אינו מפותח"))+(--($W833="דלה"))&gt;=2,"אינה מפותחת","חלקית"))))</f>
        <v/>
      </c>
      <c r="AA833" s="32">
        <f>IF($C833="","",IF(COUNTA($M833,$N833,$O833)&lt;3,"— חסרים נתונים",IF(OR($M833="נמוכה",(--($M833&lt;&gt;"תקינה"))+(--($N833&lt;&gt;"תקין"))+(--($O833&lt;&gt;"תקינה"))&gt;=2),"ניכרת","אינה ניכרת")))</f>
        <v/>
      </c>
      <c r="AB833" s="32">
        <f>IF(OR($C833="",$Y833="",$AA833="",LEFT($Y833,1)="—",LEFT($AA833,1)="—"),"",IF($Z833="","— נדרשת הערכת כתיבה",IF($L833="","— חסרה הבנת הנקרא",IF($Y833="אינה מדויקת או מקוטעת",IF($AA833="ניכרת","מיקוד בשטף הקריאה ובכישורי שפה","מיקוד בשטף קריאה"),IF($AA833="ניכרת","מיקוד בכישורי שפה",IF(AND($L833="תקינה",$Z833="מפותחת"),"קוראים וכותבים מיומנים","מיקוד בהבנה והבעה"))))))</f>
        <v/>
      </c>
      <c r="AC833" s="32">
        <f>IF(OR($AB833="",LEFT($AB833,1)="—"),"",IF(OR($AB833="מיקוד בשטף קריאה",$AB833="מיקוד בשטף הקריאה ובכישורי שפה"),"רמה א'",IF($AB833="קוראים וכותבים מיומנים","רמה ג'","רמה ב'")))</f>
        <v/>
      </c>
      <c r="AD833" s="32">
        <f>IF($AC833="","",MID(IF(AND($AC833="רמה א'",$AA833="ניכרת"),"; להוסיף עבודת אוצר מילים","")&amp;IF($Z833="אינה מפותחת","; דגש על הבעה בכתב","")&amp;IF($K833&lt;&gt;"תקין","; נדרש לעבוד על ההנגנה","")&amp;IF($AK833&lt;&gt;"","; "&amp;$AK833,""),3,400))</f>
        <v/>
      </c>
      <c r="AE833" s="32">
        <f>IF($F833="","",IF($F833="תחילת שנה",1,IF($F833="מחצית שנה",2,3)))</f>
        <v/>
      </c>
      <c r="AF833" s="32">
        <f>IF(OR($B833="",$AC833="",$A833="",$F833=""),"",$B833&amp;"|"&amp;$A833&amp;"|"&amp;$F833&amp;"|"&amp;$AC833&amp;"|"&amp;COUNTIFS($B$6:$B833,$B833,$A$6:$A833,$A833,$F$6:$F833,$F833,$AC$6:$AC833,$AC833))</f>
        <v/>
      </c>
      <c r="AG833" s="32">
        <f>IF($C833="","",$C833&amp;"|"&amp;COUNTIFS($C$6:$C833,$C833))</f>
        <v/>
      </c>
      <c r="AH833" s="32">
        <f>IF(OR($C833="",$A833="",$AE833=""),"",$C833&amp;"|"&amp;$A833&amp;"|"&amp;$AE833)</f>
        <v/>
      </c>
      <c r="AI833" s="32">
        <f>IF(OR($C833="",$AE833="",$AE833=1),"",IFERROR(INDEX($AC$6:$AC$1505,MATCH($C833&amp;"|"&amp;$A833&amp;"|"&amp;($AE833-1),$AH$6:$AH$1505,0)),""))</f>
        <v/>
      </c>
      <c r="AJ833" s="32">
        <f>IF(OR($AI833="",$AC833=""),"",IF($AI833=$AC833,"ללא שינוי","מ-"&amp;$AI833&amp;" ל-"&amp;$AC833))</f>
        <v/>
      </c>
      <c r="AK833" s="67" t="n"/>
    </row>
    <row r="834" ht="15.75" customHeight="1" s="58">
      <c r="A834" s="65" t="n"/>
      <c r="B834" s="65" t="n"/>
      <c r="C834" s="66" t="n"/>
      <c r="D834" s="66" t="n"/>
      <c r="E834" s="65" t="n"/>
      <c r="F834" s="65" t="n"/>
      <c r="G834" s="65" t="n"/>
      <c r="H834" s="65" t="n"/>
      <c r="I834" s="65" t="n"/>
      <c r="J834" s="65" t="n"/>
      <c r="K834" s="65" t="n"/>
      <c r="L834" s="65" t="n"/>
      <c r="M834" s="65" t="n"/>
      <c r="N834" s="65" t="n"/>
      <c r="O834" s="65" t="n"/>
      <c r="P834" s="65" t="n"/>
      <c r="Q834" s="65" t="n"/>
      <c r="R834" s="65" t="n"/>
      <c r="S834" s="65" t="n"/>
      <c r="T834" s="65" t="n"/>
      <c r="U834" s="65" t="n"/>
      <c r="V834" s="65" t="n"/>
      <c r="W834" s="65" t="n"/>
      <c r="X834" s="65" t="n"/>
      <c r="Y834" s="32">
        <f>IF($C834="","",IF(COUNTA($I834:$K834)&lt;3,"— חסרים נתונים",IF(AND($I834="תקין",$J834="תקין",$K834="תקין"),"רהוטה",IF(AND($I834="תקין",$J834="תקין"),"מדויקת ורציפה","אינה מדויקת או מקוטעת"))))</f>
        <v/>
      </c>
      <c r="Z834" s="32">
        <f>IF($C834="","",IF(COUNTA($U834:$W834)&lt;3,"",IF(AND($U834="מפותח",$V834="מפותח",$W834="מפותחת"),"מפותחת",IF((--($U834="דל"))+(--($V834="אינו מפותח"))+(--($W834="דלה"))&gt;=2,"אינה מפותחת","חלקית"))))</f>
        <v/>
      </c>
      <c r="AA834" s="32">
        <f>IF($C834="","",IF(COUNTA($M834,$N834,$O834)&lt;3,"— חסרים נתונים",IF(OR($M834="נמוכה",(--($M834&lt;&gt;"תקינה"))+(--($N834&lt;&gt;"תקין"))+(--($O834&lt;&gt;"תקינה"))&gt;=2),"ניכרת","אינה ניכרת")))</f>
        <v/>
      </c>
      <c r="AB834" s="32">
        <f>IF(OR($C834="",$Y834="",$AA834="",LEFT($Y834,1)="—",LEFT($AA834,1)="—"),"",IF($Z834="","— נדרשת הערכת כתיבה",IF($L834="","— חסרה הבנת הנקרא",IF($Y834="אינה מדויקת או מקוטעת",IF($AA834="ניכרת","מיקוד בשטף הקריאה ובכישורי שפה","מיקוד בשטף קריאה"),IF($AA834="ניכרת","מיקוד בכישורי שפה",IF(AND($L834="תקינה",$Z834="מפותחת"),"קוראים וכותבים מיומנים","מיקוד בהבנה והבעה"))))))</f>
        <v/>
      </c>
      <c r="AC834" s="32">
        <f>IF(OR($AB834="",LEFT($AB834,1)="—"),"",IF(OR($AB834="מיקוד בשטף קריאה",$AB834="מיקוד בשטף הקריאה ובכישורי שפה"),"רמה א'",IF($AB834="קוראים וכותבים מיומנים","רמה ג'","רמה ב'")))</f>
        <v/>
      </c>
      <c r="AD834" s="32">
        <f>IF($AC834="","",MID(IF(AND($AC834="רמה א'",$AA834="ניכרת"),"; להוסיף עבודת אוצר מילים","")&amp;IF($Z834="אינה מפותחת","; דגש על הבעה בכתב","")&amp;IF($K834&lt;&gt;"תקין","; נדרש לעבוד על ההנגנה","")&amp;IF($AK834&lt;&gt;"","; "&amp;$AK834,""),3,400))</f>
        <v/>
      </c>
      <c r="AE834" s="32">
        <f>IF($F834="","",IF($F834="תחילת שנה",1,IF($F834="מחצית שנה",2,3)))</f>
        <v/>
      </c>
      <c r="AF834" s="32">
        <f>IF(OR($B834="",$AC834="",$A834="",$F834=""),"",$B834&amp;"|"&amp;$A834&amp;"|"&amp;$F834&amp;"|"&amp;$AC834&amp;"|"&amp;COUNTIFS($B$6:$B834,$B834,$A$6:$A834,$A834,$F$6:$F834,$F834,$AC$6:$AC834,$AC834))</f>
        <v/>
      </c>
      <c r="AG834" s="32">
        <f>IF($C834="","",$C834&amp;"|"&amp;COUNTIFS($C$6:$C834,$C834))</f>
        <v/>
      </c>
      <c r="AH834" s="32">
        <f>IF(OR($C834="",$A834="",$AE834=""),"",$C834&amp;"|"&amp;$A834&amp;"|"&amp;$AE834)</f>
        <v/>
      </c>
      <c r="AI834" s="32">
        <f>IF(OR($C834="",$AE834="",$AE834=1),"",IFERROR(INDEX($AC$6:$AC$1505,MATCH($C834&amp;"|"&amp;$A834&amp;"|"&amp;($AE834-1),$AH$6:$AH$1505,0)),""))</f>
        <v/>
      </c>
      <c r="AJ834" s="32">
        <f>IF(OR($AI834="",$AC834=""),"",IF($AI834=$AC834,"ללא שינוי","מ-"&amp;$AI834&amp;" ל-"&amp;$AC834))</f>
        <v/>
      </c>
      <c r="AK834" s="67" t="n"/>
    </row>
    <row r="835" ht="15.75" customHeight="1" s="58">
      <c r="A835" s="65" t="n"/>
      <c r="B835" s="65" t="n"/>
      <c r="C835" s="66" t="n"/>
      <c r="D835" s="66" t="n"/>
      <c r="E835" s="65" t="n"/>
      <c r="F835" s="65" t="n"/>
      <c r="G835" s="65" t="n"/>
      <c r="H835" s="65" t="n"/>
      <c r="I835" s="65" t="n"/>
      <c r="J835" s="65" t="n"/>
      <c r="K835" s="65" t="n"/>
      <c r="L835" s="65" t="n"/>
      <c r="M835" s="65" t="n"/>
      <c r="N835" s="65" t="n"/>
      <c r="O835" s="65" t="n"/>
      <c r="P835" s="65" t="n"/>
      <c r="Q835" s="65" t="n"/>
      <c r="R835" s="65" t="n"/>
      <c r="S835" s="65" t="n"/>
      <c r="T835" s="65" t="n"/>
      <c r="U835" s="65" t="n"/>
      <c r="V835" s="65" t="n"/>
      <c r="W835" s="65" t="n"/>
      <c r="X835" s="65" t="n"/>
      <c r="Y835" s="32">
        <f>IF($C835="","",IF(COUNTA($I835:$K835)&lt;3,"— חסרים נתונים",IF(AND($I835="תקין",$J835="תקין",$K835="תקין"),"רהוטה",IF(AND($I835="תקין",$J835="תקין"),"מדויקת ורציפה","אינה מדויקת או מקוטעת"))))</f>
        <v/>
      </c>
      <c r="Z835" s="32">
        <f>IF($C835="","",IF(COUNTA($U835:$W835)&lt;3,"",IF(AND($U835="מפותח",$V835="מפותח",$W835="מפותחת"),"מפותחת",IF((--($U835="דל"))+(--($V835="אינו מפותח"))+(--($W835="דלה"))&gt;=2,"אינה מפותחת","חלקית"))))</f>
        <v/>
      </c>
      <c r="AA835" s="32">
        <f>IF($C835="","",IF(COUNTA($M835,$N835,$O835)&lt;3,"— חסרים נתונים",IF(OR($M835="נמוכה",(--($M835&lt;&gt;"תקינה"))+(--($N835&lt;&gt;"תקין"))+(--($O835&lt;&gt;"תקינה"))&gt;=2),"ניכרת","אינה ניכרת")))</f>
        <v/>
      </c>
      <c r="AB835" s="32">
        <f>IF(OR($C835="",$Y835="",$AA835="",LEFT($Y835,1)="—",LEFT($AA835,1)="—"),"",IF($Z835="","— נדרשת הערכת כתיבה",IF($L835="","— חסרה הבנת הנקרא",IF($Y835="אינה מדויקת או מקוטעת",IF($AA835="ניכרת","מיקוד בשטף הקריאה ובכישורי שפה","מיקוד בשטף קריאה"),IF($AA835="ניכרת","מיקוד בכישורי שפה",IF(AND($L835="תקינה",$Z835="מפותחת"),"קוראים וכותבים מיומנים","מיקוד בהבנה והבעה"))))))</f>
        <v/>
      </c>
      <c r="AC835" s="32">
        <f>IF(OR($AB835="",LEFT($AB835,1)="—"),"",IF(OR($AB835="מיקוד בשטף קריאה",$AB835="מיקוד בשטף הקריאה ובכישורי שפה"),"רמה א'",IF($AB835="קוראים וכותבים מיומנים","רמה ג'","רמה ב'")))</f>
        <v/>
      </c>
      <c r="AD835" s="32">
        <f>IF($AC835="","",MID(IF(AND($AC835="רמה א'",$AA835="ניכרת"),"; להוסיף עבודת אוצר מילים","")&amp;IF($Z835="אינה מפותחת","; דגש על הבעה בכתב","")&amp;IF($K835&lt;&gt;"תקין","; נדרש לעבוד על ההנגנה","")&amp;IF($AK835&lt;&gt;"","; "&amp;$AK835,""),3,400))</f>
        <v/>
      </c>
      <c r="AE835" s="32">
        <f>IF($F835="","",IF($F835="תחילת שנה",1,IF($F835="מחצית שנה",2,3)))</f>
        <v/>
      </c>
      <c r="AF835" s="32">
        <f>IF(OR($B835="",$AC835="",$A835="",$F835=""),"",$B835&amp;"|"&amp;$A835&amp;"|"&amp;$F835&amp;"|"&amp;$AC835&amp;"|"&amp;COUNTIFS($B$6:$B835,$B835,$A$6:$A835,$A835,$F$6:$F835,$F835,$AC$6:$AC835,$AC835))</f>
        <v/>
      </c>
      <c r="AG835" s="32">
        <f>IF($C835="","",$C835&amp;"|"&amp;COUNTIFS($C$6:$C835,$C835))</f>
        <v/>
      </c>
      <c r="AH835" s="32">
        <f>IF(OR($C835="",$A835="",$AE835=""),"",$C835&amp;"|"&amp;$A835&amp;"|"&amp;$AE835)</f>
        <v/>
      </c>
      <c r="AI835" s="32">
        <f>IF(OR($C835="",$AE835="",$AE835=1),"",IFERROR(INDEX($AC$6:$AC$1505,MATCH($C835&amp;"|"&amp;$A835&amp;"|"&amp;($AE835-1),$AH$6:$AH$1505,0)),""))</f>
        <v/>
      </c>
      <c r="AJ835" s="32">
        <f>IF(OR($AI835="",$AC835=""),"",IF($AI835=$AC835,"ללא שינוי","מ-"&amp;$AI835&amp;" ל-"&amp;$AC835))</f>
        <v/>
      </c>
      <c r="AK835" s="67" t="n"/>
    </row>
    <row r="836" ht="15.75" customHeight="1" s="58">
      <c r="A836" s="65" t="n"/>
      <c r="B836" s="65" t="n"/>
      <c r="C836" s="66" t="n"/>
      <c r="D836" s="66" t="n"/>
      <c r="E836" s="65" t="n"/>
      <c r="F836" s="65" t="n"/>
      <c r="G836" s="65" t="n"/>
      <c r="H836" s="65" t="n"/>
      <c r="I836" s="65" t="n"/>
      <c r="J836" s="65" t="n"/>
      <c r="K836" s="65" t="n"/>
      <c r="L836" s="65" t="n"/>
      <c r="M836" s="65" t="n"/>
      <c r="N836" s="65" t="n"/>
      <c r="O836" s="65" t="n"/>
      <c r="P836" s="65" t="n"/>
      <c r="Q836" s="65" t="n"/>
      <c r="R836" s="65" t="n"/>
      <c r="S836" s="65" t="n"/>
      <c r="T836" s="65" t="n"/>
      <c r="U836" s="65" t="n"/>
      <c r="V836" s="65" t="n"/>
      <c r="W836" s="65" t="n"/>
      <c r="X836" s="65" t="n"/>
      <c r="Y836" s="32">
        <f>IF($C836="","",IF(COUNTA($I836:$K836)&lt;3,"— חסרים נתונים",IF(AND($I836="תקין",$J836="תקין",$K836="תקין"),"רהוטה",IF(AND($I836="תקין",$J836="תקין"),"מדויקת ורציפה","אינה מדויקת או מקוטעת"))))</f>
        <v/>
      </c>
      <c r="Z836" s="32">
        <f>IF($C836="","",IF(COUNTA($U836:$W836)&lt;3,"",IF(AND($U836="מפותח",$V836="מפותח",$W836="מפותחת"),"מפותחת",IF((--($U836="דל"))+(--($V836="אינו מפותח"))+(--($W836="דלה"))&gt;=2,"אינה מפותחת","חלקית"))))</f>
        <v/>
      </c>
      <c r="AA836" s="32">
        <f>IF($C836="","",IF(COUNTA($M836,$N836,$O836)&lt;3,"— חסרים נתונים",IF(OR($M836="נמוכה",(--($M836&lt;&gt;"תקינה"))+(--($N836&lt;&gt;"תקין"))+(--($O836&lt;&gt;"תקינה"))&gt;=2),"ניכרת","אינה ניכרת")))</f>
        <v/>
      </c>
      <c r="AB836" s="32">
        <f>IF(OR($C836="",$Y836="",$AA836="",LEFT($Y836,1)="—",LEFT($AA836,1)="—"),"",IF($Z836="","— נדרשת הערכת כתיבה",IF($L836="","— חסרה הבנת הנקרא",IF($Y836="אינה מדויקת או מקוטעת",IF($AA836="ניכרת","מיקוד בשטף הקריאה ובכישורי שפה","מיקוד בשטף קריאה"),IF($AA836="ניכרת","מיקוד בכישורי שפה",IF(AND($L836="תקינה",$Z836="מפותחת"),"קוראים וכותבים מיומנים","מיקוד בהבנה והבעה"))))))</f>
        <v/>
      </c>
      <c r="AC836" s="32">
        <f>IF(OR($AB836="",LEFT($AB836,1)="—"),"",IF(OR($AB836="מיקוד בשטף קריאה",$AB836="מיקוד בשטף הקריאה ובכישורי שפה"),"רמה א'",IF($AB836="קוראים וכותבים מיומנים","רמה ג'","רמה ב'")))</f>
        <v/>
      </c>
      <c r="AD836" s="32">
        <f>IF($AC836="","",MID(IF(AND($AC836="רמה א'",$AA836="ניכרת"),"; להוסיף עבודת אוצר מילים","")&amp;IF($Z836="אינה מפותחת","; דגש על הבעה בכתב","")&amp;IF($K836&lt;&gt;"תקין","; נדרש לעבוד על ההנגנה","")&amp;IF($AK836&lt;&gt;"","; "&amp;$AK836,""),3,400))</f>
        <v/>
      </c>
      <c r="AE836" s="32">
        <f>IF($F836="","",IF($F836="תחילת שנה",1,IF($F836="מחצית שנה",2,3)))</f>
        <v/>
      </c>
      <c r="AF836" s="32">
        <f>IF(OR($B836="",$AC836="",$A836="",$F836=""),"",$B836&amp;"|"&amp;$A836&amp;"|"&amp;$F836&amp;"|"&amp;$AC836&amp;"|"&amp;COUNTIFS($B$6:$B836,$B836,$A$6:$A836,$A836,$F$6:$F836,$F836,$AC$6:$AC836,$AC836))</f>
        <v/>
      </c>
      <c r="AG836" s="32">
        <f>IF($C836="","",$C836&amp;"|"&amp;COUNTIFS($C$6:$C836,$C836))</f>
        <v/>
      </c>
      <c r="AH836" s="32">
        <f>IF(OR($C836="",$A836="",$AE836=""),"",$C836&amp;"|"&amp;$A836&amp;"|"&amp;$AE836)</f>
        <v/>
      </c>
      <c r="AI836" s="32">
        <f>IF(OR($C836="",$AE836="",$AE836=1),"",IFERROR(INDEX($AC$6:$AC$1505,MATCH($C836&amp;"|"&amp;$A836&amp;"|"&amp;($AE836-1),$AH$6:$AH$1505,0)),""))</f>
        <v/>
      </c>
      <c r="AJ836" s="32">
        <f>IF(OR($AI836="",$AC836=""),"",IF($AI836=$AC836,"ללא שינוי","מ-"&amp;$AI836&amp;" ל-"&amp;$AC836))</f>
        <v/>
      </c>
      <c r="AK836" s="67" t="n"/>
    </row>
    <row r="837" ht="15.75" customHeight="1" s="58">
      <c r="A837" s="65" t="n"/>
      <c r="B837" s="65" t="n"/>
      <c r="C837" s="66" t="n"/>
      <c r="D837" s="66" t="n"/>
      <c r="E837" s="65" t="n"/>
      <c r="F837" s="65" t="n"/>
      <c r="G837" s="65" t="n"/>
      <c r="H837" s="65" t="n"/>
      <c r="I837" s="65" t="n"/>
      <c r="J837" s="65" t="n"/>
      <c r="K837" s="65" t="n"/>
      <c r="L837" s="65" t="n"/>
      <c r="M837" s="65" t="n"/>
      <c r="N837" s="65" t="n"/>
      <c r="O837" s="65" t="n"/>
      <c r="P837" s="65" t="n"/>
      <c r="Q837" s="65" t="n"/>
      <c r="R837" s="65" t="n"/>
      <c r="S837" s="65" t="n"/>
      <c r="T837" s="65" t="n"/>
      <c r="U837" s="65" t="n"/>
      <c r="V837" s="65" t="n"/>
      <c r="W837" s="65" t="n"/>
      <c r="X837" s="65" t="n"/>
      <c r="Y837" s="32">
        <f>IF($C837="","",IF(COUNTA($I837:$K837)&lt;3,"— חסרים נתונים",IF(AND($I837="תקין",$J837="תקין",$K837="תקין"),"רהוטה",IF(AND($I837="תקין",$J837="תקין"),"מדויקת ורציפה","אינה מדויקת או מקוטעת"))))</f>
        <v/>
      </c>
      <c r="Z837" s="32">
        <f>IF($C837="","",IF(COUNTA($U837:$W837)&lt;3,"",IF(AND($U837="מפותח",$V837="מפותח",$W837="מפותחת"),"מפותחת",IF((--($U837="דל"))+(--($V837="אינו מפותח"))+(--($W837="דלה"))&gt;=2,"אינה מפותחת","חלקית"))))</f>
        <v/>
      </c>
      <c r="AA837" s="32">
        <f>IF($C837="","",IF(COUNTA($M837,$N837,$O837)&lt;3,"— חסרים נתונים",IF(OR($M837="נמוכה",(--($M837&lt;&gt;"תקינה"))+(--($N837&lt;&gt;"תקין"))+(--($O837&lt;&gt;"תקינה"))&gt;=2),"ניכרת","אינה ניכרת")))</f>
        <v/>
      </c>
      <c r="AB837" s="32">
        <f>IF(OR($C837="",$Y837="",$AA837="",LEFT($Y837,1)="—",LEFT($AA837,1)="—"),"",IF($Z837="","— נדרשת הערכת כתיבה",IF($L837="","— חסרה הבנת הנקרא",IF($Y837="אינה מדויקת או מקוטעת",IF($AA837="ניכרת","מיקוד בשטף הקריאה ובכישורי שפה","מיקוד בשטף קריאה"),IF($AA837="ניכרת","מיקוד בכישורי שפה",IF(AND($L837="תקינה",$Z837="מפותחת"),"קוראים וכותבים מיומנים","מיקוד בהבנה והבעה"))))))</f>
        <v/>
      </c>
      <c r="AC837" s="32">
        <f>IF(OR($AB837="",LEFT($AB837,1)="—"),"",IF(OR($AB837="מיקוד בשטף קריאה",$AB837="מיקוד בשטף הקריאה ובכישורי שפה"),"רמה א'",IF($AB837="קוראים וכותבים מיומנים","רמה ג'","רמה ב'")))</f>
        <v/>
      </c>
      <c r="AD837" s="32">
        <f>IF($AC837="","",MID(IF(AND($AC837="רמה א'",$AA837="ניכרת"),"; להוסיף עבודת אוצר מילים","")&amp;IF($Z837="אינה מפותחת","; דגש על הבעה בכתב","")&amp;IF($K837&lt;&gt;"תקין","; נדרש לעבוד על ההנגנה","")&amp;IF($AK837&lt;&gt;"","; "&amp;$AK837,""),3,400))</f>
        <v/>
      </c>
      <c r="AE837" s="32">
        <f>IF($F837="","",IF($F837="תחילת שנה",1,IF($F837="מחצית שנה",2,3)))</f>
        <v/>
      </c>
      <c r="AF837" s="32">
        <f>IF(OR($B837="",$AC837="",$A837="",$F837=""),"",$B837&amp;"|"&amp;$A837&amp;"|"&amp;$F837&amp;"|"&amp;$AC837&amp;"|"&amp;COUNTIFS($B$6:$B837,$B837,$A$6:$A837,$A837,$F$6:$F837,$F837,$AC$6:$AC837,$AC837))</f>
        <v/>
      </c>
      <c r="AG837" s="32">
        <f>IF($C837="","",$C837&amp;"|"&amp;COUNTIFS($C$6:$C837,$C837))</f>
        <v/>
      </c>
      <c r="AH837" s="32">
        <f>IF(OR($C837="",$A837="",$AE837=""),"",$C837&amp;"|"&amp;$A837&amp;"|"&amp;$AE837)</f>
        <v/>
      </c>
      <c r="AI837" s="32">
        <f>IF(OR($C837="",$AE837="",$AE837=1),"",IFERROR(INDEX($AC$6:$AC$1505,MATCH($C837&amp;"|"&amp;$A837&amp;"|"&amp;($AE837-1),$AH$6:$AH$1505,0)),""))</f>
        <v/>
      </c>
      <c r="AJ837" s="32">
        <f>IF(OR($AI837="",$AC837=""),"",IF($AI837=$AC837,"ללא שינוי","מ-"&amp;$AI837&amp;" ל-"&amp;$AC837))</f>
        <v/>
      </c>
      <c r="AK837" s="67" t="n"/>
    </row>
    <row r="838" ht="15.75" customHeight="1" s="58">
      <c r="A838" s="65" t="n"/>
      <c r="B838" s="65" t="n"/>
      <c r="C838" s="66" t="n"/>
      <c r="D838" s="66" t="n"/>
      <c r="E838" s="65" t="n"/>
      <c r="F838" s="65" t="n"/>
      <c r="G838" s="65" t="n"/>
      <c r="H838" s="65" t="n"/>
      <c r="I838" s="65" t="n"/>
      <c r="J838" s="65" t="n"/>
      <c r="K838" s="65" t="n"/>
      <c r="L838" s="65" t="n"/>
      <c r="M838" s="65" t="n"/>
      <c r="N838" s="65" t="n"/>
      <c r="O838" s="65" t="n"/>
      <c r="P838" s="65" t="n"/>
      <c r="Q838" s="65" t="n"/>
      <c r="R838" s="65" t="n"/>
      <c r="S838" s="65" t="n"/>
      <c r="T838" s="65" t="n"/>
      <c r="U838" s="65" t="n"/>
      <c r="V838" s="65" t="n"/>
      <c r="W838" s="65" t="n"/>
      <c r="X838" s="65" t="n"/>
      <c r="Y838" s="32">
        <f>IF($C838="","",IF(COUNTA($I838:$K838)&lt;3,"— חסרים נתונים",IF(AND($I838="תקין",$J838="תקין",$K838="תקין"),"רהוטה",IF(AND($I838="תקין",$J838="תקין"),"מדויקת ורציפה","אינה מדויקת או מקוטעת"))))</f>
        <v/>
      </c>
      <c r="Z838" s="32">
        <f>IF($C838="","",IF(COUNTA($U838:$W838)&lt;3,"",IF(AND($U838="מפותח",$V838="מפותח",$W838="מפותחת"),"מפותחת",IF((--($U838="דל"))+(--($V838="אינו מפותח"))+(--($W838="דלה"))&gt;=2,"אינה מפותחת","חלקית"))))</f>
        <v/>
      </c>
      <c r="AA838" s="32">
        <f>IF($C838="","",IF(COUNTA($M838,$N838,$O838)&lt;3,"— חסרים נתונים",IF(OR($M838="נמוכה",(--($M838&lt;&gt;"תקינה"))+(--($N838&lt;&gt;"תקין"))+(--($O838&lt;&gt;"תקינה"))&gt;=2),"ניכרת","אינה ניכרת")))</f>
        <v/>
      </c>
      <c r="AB838" s="32">
        <f>IF(OR($C838="",$Y838="",$AA838="",LEFT($Y838,1)="—",LEFT($AA838,1)="—"),"",IF($Z838="","— נדרשת הערכת כתיבה",IF($L838="","— חסרה הבנת הנקרא",IF($Y838="אינה מדויקת או מקוטעת",IF($AA838="ניכרת","מיקוד בשטף הקריאה ובכישורי שפה","מיקוד בשטף קריאה"),IF($AA838="ניכרת","מיקוד בכישורי שפה",IF(AND($L838="תקינה",$Z838="מפותחת"),"קוראים וכותבים מיומנים","מיקוד בהבנה והבעה"))))))</f>
        <v/>
      </c>
      <c r="AC838" s="32">
        <f>IF(OR($AB838="",LEFT($AB838,1)="—"),"",IF(OR($AB838="מיקוד בשטף קריאה",$AB838="מיקוד בשטף הקריאה ובכישורי שפה"),"רמה א'",IF($AB838="קוראים וכותבים מיומנים","רמה ג'","רמה ב'")))</f>
        <v/>
      </c>
      <c r="AD838" s="32">
        <f>IF($AC838="","",MID(IF(AND($AC838="רמה א'",$AA838="ניכרת"),"; להוסיף עבודת אוצר מילים","")&amp;IF($Z838="אינה מפותחת","; דגש על הבעה בכתב","")&amp;IF($K838&lt;&gt;"תקין","; נדרש לעבוד על ההנגנה","")&amp;IF($AK838&lt;&gt;"","; "&amp;$AK838,""),3,400))</f>
        <v/>
      </c>
      <c r="AE838" s="32">
        <f>IF($F838="","",IF($F838="תחילת שנה",1,IF($F838="מחצית שנה",2,3)))</f>
        <v/>
      </c>
      <c r="AF838" s="32">
        <f>IF(OR($B838="",$AC838="",$A838="",$F838=""),"",$B838&amp;"|"&amp;$A838&amp;"|"&amp;$F838&amp;"|"&amp;$AC838&amp;"|"&amp;COUNTIFS($B$6:$B838,$B838,$A$6:$A838,$A838,$F$6:$F838,$F838,$AC$6:$AC838,$AC838))</f>
        <v/>
      </c>
      <c r="AG838" s="32">
        <f>IF($C838="","",$C838&amp;"|"&amp;COUNTIFS($C$6:$C838,$C838))</f>
        <v/>
      </c>
      <c r="AH838" s="32">
        <f>IF(OR($C838="",$A838="",$AE838=""),"",$C838&amp;"|"&amp;$A838&amp;"|"&amp;$AE838)</f>
        <v/>
      </c>
      <c r="AI838" s="32">
        <f>IF(OR($C838="",$AE838="",$AE838=1),"",IFERROR(INDEX($AC$6:$AC$1505,MATCH($C838&amp;"|"&amp;$A838&amp;"|"&amp;($AE838-1),$AH$6:$AH$1505,0)),""))</f>
        <v/>
      </c>
      <c r="AJ838" s="32">
        <f>IF(OR($AI838="",$AC838=""),"",IF($AI838=$AC838,"ללא שינוי","מ-"&amp;$AI838&amp;" ל-"&amp;$AC838))</f>
        <v/>
      </c>
      <c r="AK838" s="67" t="n"/>
    </row>
    <row r="839" ht="15.75" customHeight="1" s="58">
      <c r="A839" s="65" t="n"/>
      <c r="B839" s="65" t="n"/>
      <c r="C839" s="66" t="n"/>
      <c r="D839" s="66" t="n"/>
      <c r="E839" s="65" t="n"/>
      <c r="F839" s="65" t="n"/>
      <c r="G839" s="65" t="n"/>
      <c r="H839" s="65" t="n"/>
      <c r="I839" s="65" t="n"/>
      <c r="J839" s="65" t="n"/>
      <c r="K839" s="65" t="n"/>
      <c r="L839" s="65" t="n"/>
      <c r="M839" s="65" t="n"/>
      <c r="N839" s="65" t="n"/>
      <c r="O839" s="65" t="n"/>
      <c r="P839" s="65" t="n"/>
      <c r="Q839" s="65" t="n"/>
      <c r="R839" s="65" t="n"/>
      <c r="S839" s="65" t="n"/>
      <c r="T839" s="65" t="n"/>
      <c r="U839" s="65" t="n"/>
      <c r="V839" s="65" t="n"/>
      <c r="W839" s="65" t="n"/>
      <c r="X839" s="65" t="n"/>
      <c r="Y839" s="32">
        <f>IF($C839="","",IF(COUNTA($I839:$K839)&lt;3,"— חסרים נתונים",IF(AND($I839="תקין",$J839="תקין",$K839="תקין"),"רהוטה",IF(AND($I839="תקין",$J839="תקין"),"מדויקת ורציפה","אינה מדויקת או מקוטעת"))))</f>
        <v/>
      </c>
      <c r="Z839" s="32">
        <f>IF($C839="","",IF(COUNTA($U839:$W839)&lt;3,"",IF(AND($U839="מפותח",$V839="מפותח",$W839="מפותחת"),"מפותחת",IF((--($U839="דל"))+(--($V839="אינו מפותח"))+(--($W839="דלה"))&gt;=2,"אינה מפותחת","חלקית"))))</f>
        <v/>
      </c>
      <c r="AA839" s="32">
        <f>IF($C839="","",IF(COUNTA($M839,$N839,$O839)&lt;3,"— חסרים נתונים",IF(OR($M839="נמוכה",(--($M839&lt;&gt;"תקינה"))+(--($N839&lt;&gt;"תקין"))+(--($O839&lt;&gt;"תקינה"))&gt;=2),"ניכרת","אינה ניכרת")))</f>
        <v/>
      </c>
      <c r="AB839" s="32">
        <f>IF(OR($C839="",$Y839="",$AA839="",LEFT($Y839,1)="—",LEFT($AA839,1)="—"),"",IF($Z839="","— נדרשת הערכת כתיבה",IF($L839="","— חסרה הבנת הנקרא",IF($Y839="אינה מדויקת או מקוטעת",IF($AA839="ניכרת","מיקוד בשטף הקריאה ובכישורי שפה","מיקוד בשטף קריאה"),IF($AA839="ניכרת","מיקוד בכישורי שפה",IF(AND($L839="תקינה",$Z839="מפותחת"),"קוראים וכותבים מיומנים","מיקוד בהבנה והבעה"))))))</f>
        <v/>
      </c>
      <c r="AC839" s="32">
        <f>IF(OR($AB839="",LEFT($AB839,1)="—"),"",IF(OR($AB839="מיקוד בשטף קריאה",$AB839="מיקוד בשטף הקריאה ובכישורי שפה"),"רמה א'",IF($AB839="קוראים וכותבים מיומנים","רמה ג'","רמה ב'")))</f>
        <v/>
      </c>
      <c r="AD839" s="32">
        <f>IF($AC839="","",MID(IF(AND($AC839="רמה א'",$AA839="ניכרת"),"; להוסיף עבודת אוצר מילים","")&amp;IF($Z839="אינה מפותחת","; דגש על הבעה בכתב","")&amp;IF($K839&lt;&gt;"תקין","; נדרש לעבוד על ההנגנה","")&amp;IF($AK839&lt;&gt;"","; "&amp;$AK839,""),3,400))</f>
        <v/>
      </c>
      <c r="AE839" s="32">
        <f>IF($F839="","",IF($F839="תחילת שנה",1,IF($F839="מחצית שנה",2,3)))</f>
        <v/>
      </c>
      <c r="AF839" s="32">
        <f>IF(OR($B839="",$AC839="",$A839="",$F839=""),"",$B839&amp;"|"&amp;$A839&amp;"|"&amp;$F839&amp;"|"&amp;$AC839&amp;"|"&amp;COUNTIFS($B$6:$B839,$B839,$A$6:$A839,$A839,$F$6:$F839,$F839,$AC$6:$AC839,$AC839))</f>
        <v/>
      </c>
      <c r="AG839" s="32">
        <f>IF($C839="","",$C839&amp;"|"&amp;COUNTIFS($C$6:$C839,$C839))</f>
        <v/>
      </c>
      <c r="AH839" s="32">
        <f>IF(OR($C839="",$A839="",$AE839=""),"",$C839&amp;"|"&amp;$A839&amp;"|"&amp;$AE839)</f>
        <v/>
      </c>
      <c r="AI839" s="32">
        <f>IF(OR($C839="",$AE839="",$AE839=1),"",IFERROR(INDEX($AC$6:$AC$1505,MATCH($C839&amp;"|"&amp;$A839&amp;"|"&amp;($AE839-1),$AH$6:$AH$1505,0)),""))</f>
        <v/>
      </c>
      <c r="AJ839" s="32">
        <f>IF(OR($AI839="",$AC839=""),"",IF($AI839=$AC839,"ללא שינוי","מ-"&amp;$AI839&amp;" ל-"&amp;$AC839))</f>
        <v/>
      </c>
      <c r="AK839" s="67" t="n"/>
    </row>
    <row r="840" ht="15.75" customHeight="1" s="58">
      <c r="A840" s="65" t="n"/>
      <c r="B840" s="65" t="n"/>
      <c r="C840" s="66" t="n"/>
      <c r="D840" s="66" t="n"/>
      <c r="E840" s="65" t="n"/>
      <c r="F840" s="65" t="n"/>
      <c r="G840" s="65" t="n"/>
      <c r="H840" s="65" t="n"/>
      <c r="I840" s="65" t="n"/>
      <c r="J840" s="65" t="n"/>
      <c r="K840" s="65" t="n"/>
      <c r="L840" s="65" t="n"/>
      <c r="M840" s="65" t="n"/>
      <c r="N840" s="65" t="n"/>
      <c r="O840" s="65" t="n"/>
      <c r="P840" s="65" t="n"/>
      <c r="Q840" s="65" t="n"/>
      <c r="R840" s="65" t="n"/>
      <c r="S840" s="65" t="n"/>
      <c r="T840" s="65" t="n"/>
      <c r="U840" s="65" t="n"/>
      <c r="V840" s="65" t="n"/>
      <c r="W840" s="65" t="n"/>
      <c r="X840" s="65" t="n"/>
      <c r="Y840" s="32">
        <f>IF($C840="","",IF(COUNTA($I840:$K840)&lt;3,"— חסרים נתונים",IF(AND($I840="תקין",$J840="תקין",$K840="תקין"),"רהוטה",IF(AND($I840="תקין",$J840="תקין"),"מדויקת ורציפה","אינה מדויקת או מקוטעת"))))</f>
        <v/>
      </c>
      <c r="Z840" s="32">
        <f>IF($C840="","",IF(COUNTA($U840:$W840)&lt;3,"",IF(AND($U840="מפותח",$V840="מפותח",$W840="מפותחת"),"מפותחת",IF((--($U840="דל"))+(--($V840="אינו מפותח"))+(--($W840="דלה"))&gt;=2,"אינה מפותחת","חלקית"))))</f>
        <v/>
      </c>
      <c r="AA840" s="32">
        <f>IF($C840="","",IF(COUNTA($M840,$N840,$O840)&lt;3,"— חסרים נתונים",IF(OR($M840="נמוכה",(--($M840&lt;&gt;"תקינה"))+(--($N840&lt;&gt;"תקין"))+(--($O840&lt;&gt;"תקינה"))&gt;=2),"ניכרת","אינה ניכרת")))</f>
        <v/>
      </c>
      <c r="AB840" s="32">
        <f>IF(OR($C840="",$Y840="",$AA840="",LEFT($Y840,1)="—",LEFT($AA840,1)="—"),"",IF($Z840="","— נדרשת הערכת כתיבה",IF($L840="","— חסרה הבנת הנקרא",IF($Y840="אינה מדויקת או מקוטעת",IF($AA840="ניכרת","מיקוד בשטף הקריאה ובכישורי שפה","מיקוד בשטף קריאה"),IF($AA840="ניכרת","מיקוד בכישורי שפה",IF(AND($L840="תקינה",$Z840="מפותחת"),"קוראים וכותבים מיומנים","מיקוד בהבנה והבעה"))))))</f>
        <v/>
      </c>
      <c r="AC840" s="32">
        <f>IF(OR($AB840="",LEFT($AB840,1)="—"),"",IF(OR($AB840="מיקוד בשטף קריאה",$AB840="מיקוד בשטף הקריאה ובכישורי שפה"),"רמה א'",IF($AB840="קוראים וכותבים מיומנים","רמה ג'","רמה ב'")))</f>
        <v/>
      </c>
      <c r="AD840" s="32">
        <f>IF($AC840="","",MID(IF(AND($AC840="רמה א'",$AA840="ניכרת"),"; להוסיף עבודת אוצר מילים","")&amp;IF($Z840="אינה מפותחת","; דגש על הבעה בכתב","")&amp;IF($K840&lt;&gt;"תקין","; נדרש לעבוד על ההנגנה","")&amp;IF($AK840&lt;&gt;"","; "&amp;$AK840,""),3,400))</f>
        <v/>
      </c>
      <c r="AE840" s="32">
        <f>IF($F840="","",IF($F840="תחילת שנה",1,IF($F840="מחצית שנה",2,3)))</f>
        <v/>
      </c>
      <c r="AF840" s="32">
        <f>IF(OR($B840="",$AC840="",$A840="",$F840=""),"",$B840&amp;"|"&amp;$A840&amp;"|"&amp;$F840&amp;"|"&amp;$AC840&amp;"|"&amp;COUNTIFS($B$6:$B840,$B840,$A$6:$A840,$A840,$F$6:$F840,$F840,$AC$6:$AC840,$AC840))</f>
        <v/>
      </c>
      <c r="AG840" s="32">
        <f>IF($C840="","",$C840&amp;"|"&amp;COUNTIFS($C$6:$C840,$C840))</f>
        <v/>
      </c>
      <c r="AH840" s="32">
        <f>IF(OR($C840="",$A840="",$AE840=""),"",$C840&amp;"|"&amp;$A840&amp;"|"&amp;$AE840)</f>
        <v/>
      </c>
      <c r="AI840" s="32">
        <f>IF(OR($C840="",$AE840="",$AE840=1),"",IFERROR(INDEX($AC$6:$AC$1505,MATCH($C840&amp;"|"&amp;$A840&amp;"|"&amp;($AE840-1),$AH$6:$AH$1505,0)),""))</f>
        <v/>
      </c>
      <c r="AJ840" s="32">
        <f>IF(OR($AI840="",$AC840=""),"",IF($AI840=$AC840,"ללא שינוי","מ-"&amp;$AI840&amp;" ל-"&amp;$AC840))</f>
        <v/>
      </c>
      <c r="AK840" s="67" t="n"/>
    </row>
    <row r="841" ht="15.75" customHeight="1" s="58">
      <c r="A841" s="65" t="n"/>
      <c r="B841" s="65" t="n"/>
      <c r="C841" s="66" t="n"/>
      <c r="D841" s="66" t="n"/>
      <c r="E841" s="65" t="n"/>
      <c r="F841" s="65" t="n"/>
      <c r="G841" s="65" t="n"/>
      <c r="H841" s="65" t="n"/>
      <c r="I841" s="65" t="n"/>
      <c r="J841" s="65" t="n"/>
      <c r="K841" s="65" t="n"/>
      <c r="L841" s="65" t="n"/>
      <c r="M841" s="65" t="n"/>
      <c r="N841" s="65" t="n"/>
      <c r="O841" s="65" t="n"/>
      <c r="P841" s="65" t="n"/>
      <c r="Q841" s="65" t="n"/>
      <c r="R841" s="65" t="n"/>
      <c r="S841" s="65" t="n"/>
      <c r="T841" s="65" t="n"/>
      <c r="U841" s="65" t="n"/>
      <c r="V841" s="65" t="n"/>
      <c r="W841" s="65" t="n"/>
      <c r="X841" s="65" t="n"/>
      <c r="Y841" s="32">
        <f>IF($C841="","",IF(COUNTA($I841:$K841)&lt;3,"— חסרים נתונים",IF(AND($I841="תקין",$J841="תקין",$K841="תקין"),"רהוטה",IF(AND($I841="תקין",$J841="תקין"),"מדויקת ורציפה","אינה מדויקת או מקוטעת"))))</f>
        <v/>
      </c>
      <c r="Z841" s="32">
        <f>IF($C841="","",IF(COUNTA($U841:$W841)&lt;3,"",IF(AND($U841="מפותח",$V841="מפותח",$W841="מפותחת"),"מפותחת",IF((--($U841="דל"))+(--($V841="אינו מפותח"))+(--($W841="דלה"))&gt;=2,"אינה מפותחת","חלקית"))))</f>
        <v/>
      </c>
      <c r="AA841" s="32">
        <f>IF($C841="","",IF(COUNTA($M841,$N841,$O841)&lt;3,"— חסרים נתונים",IF(OR($M841="נמוכה",(--($M841&lt;&gt;"תקינה"))+(--($N841&lt;&gt;"תקין"))+(--($O841&lt;&gt;"תקינה"))&gt;=2),"ניכרת","אינה ניכרת")))</f>
        <v/>
      </c>
      <c r="AB841" s="32">
        <f>IF(OR($C841="",$Y841="",$AA841="",LEFT($Y841,1)="—",LEFT($AA841,1)="—"),"",IF($Z841="","— נדרשת הערכת כתיבה",IF($L841="","— חסרה הבנת הנקרא",IF($Y841="אינה מדויקת או מקוטעת",IF($AA841="ניכרת","מיקוד בשטף הקריאה ובכישורי שפה","מיקוד בשטף קריאה"),IF($AA841="ניכרת","מיקוד בכישורי שפה",IF(AND($L841="תקינה",$Z841="מפותחת"),"קוראים וכותבים מיומנים","מיקוד בהבנה והבעה"))))))</f>
        <v/>
      </c>
      <c r="AC841" s="32">
        <f>IF(OR($AB841="",LEFT($AB841,1)="—"),"",IF(OR($AB841="מיקוד בשטף קריאה",$AB841="מיקוד בשטף הקריאה ובכישורי שפה"),"רמה א'",IF($AB841="קוראים וכותבים מיומנים","רמה ג'","רמה ב'")))</f>
        <v/>
      </c>
      <c r="AD841" s="32">
        <f>IF($AC841="","",MID(IF(AND($AC841="רמה א'",$AA841="ניכרת"),"; להוסיף עבודת אוצר מילים","")&amp;IF($Z841="אינה מפותחת","; דגש על הבעה בכתב","")&amp;IF($K841&lt;&gt;"תקין","; נדרש לעבוד על ההנגנה","")&amp;IF($AK841&lt;&gt;"","; "&amp;$AK841,""),3,400))</f>
        <v/>
      </c>
      <c r="AE841" s="32">
        <f>IF($F841="","",IF($F841="תחילת שנה",1,IF($F841="מחצית שנה",2,3)))</f>
        <v/>
      </c>
      <c r="AF841" s="32">
        <f>IF(OR($B841="",$AC841="",$A841="",$F841=""),"",$B841&amp;"|"&amp;$A841&amp;"|"&amp;$F841&amp;"|"&amp;$AC841&amp;"|"&amp;COUNTIFS($B$6:$B841,$B841,$A$6:$A841,$A841,$F$6:$F841,$F841,$AC$6:$AC841,$AC841))</f>
        <v/>
      </c>
      <c r="AG841" s="32">
        <f>IF($C841="","",$C841&amp;"|"&amp;COUNTIFS($C$6:$C841,$C841))</f>
        <v/>
      </c>
      <c r="AH841" s="32">
        <f>IF(OR($C841="",$A841="",$AE841=""),"",$C841&amp;"|"&amp;$A841&amp;"|"&amp;$AE841)</f>
        <v/>
      </c>
      <c r="AI841" s="32">
        <f>IF(OR($C841="",$AE841="",$AE841=1),"",IFERROR(INDEX($AC$6:$AC$1505,MATCH($C841&amp;"|"&amp;$A841&amp;"|"&amp;($AE841-1),$AH$6:$AH$1505,0)),""))</f>
        <v/>
      </c>
      <c r="AJ841" s="32">
        <f>IF(OR($AI841="",$AC841=""),"",IF($AI841=$AC841,"ללא שינוי","מ-"&amp;$AI841&amp;" ל-"&amp;$AC841))</f>
        <v/>
      </c>
      <c r="AK841" s="67" t="n"/>
    </row>
    <row r="842" ht="15.75" customHeight="1" s="58">
      <c r="A842" s="65" t="n"/>
      <c r="B842" s="65" t="n"/>
      <c r="C842" s="66" t="n"/>
      <c r="D842" s="66" t="n"/>
      <c r="E842" s="65" t="n"/>
      <c r="F842" s="65" t="n"/>
      <c r="G842" s="65" t="n"/>
      <c r="H842" s="65" t="n"/>
      <c r="I842" s="65" t="n"/>
      <c r="J842" s="65" t="n"/>
      <c r="K842" s="65" t="n"/>
      <c r="L842" s="65" t="n"/>
      <c r="M842" s="65" t="n"/>
      <c r="N842" s="65" t="n"/>
      <c r="O842" s="65" t="n"/>
      <c r="P842" s="65" t="n"/>
      <c r="Q842" s="65" t="n"/>
      <c r="R842" s="65" t="n"/>
      <c r="S842" s="65" t="n"/>
      <c r="T842" s="65" t="n"/>
      <c r="U842" s="65" t="n"/>
      <c r="V842" s="65" t="n"/>
      <c r="W842" s="65" t="n"/>
      <c r="X842" s="65" t="n"/>
      <c r="Y842" s="32">
        <f>IF($C842="","",IF(COUNTA($I842:$K842)&lt;3,"— חסרים נתונים",IF(AND($I842="תקין",$J842="תקין",$K842="תקין"),"רהוטה",IF(AND($I842="תקין",$J842="תקין"),"מדויקת ורציפה","אינה מדויקת או מקוטעת"))))</f>
        <v/>
      </c>
      <c r="Z842" s="32">
        <f>IF($C842="","",IF(COUNTA($U842:$W842)&lt;3,"",IF(AND($U842="מפותח",$V842="מפותח",$W842="מפותחת"),"מפותחת",IF((--($U842="דל"))+(--($V842="אינו מפותח"))+(--($W842="דלה"))&gt;=2,"אינה מפותחת","חלקית"))))</f>
        <v/>
      </c>
      <c r="AA842" s="32">
        <f>IF($C842="","",IF(COUNTA($M842,$N842,$O842)&lt;3,"— חסרים נתונים",IF(OR($M842="נמוכה",(--($M842&lt;&gt;"תקינה"))+(--($N842&lt;&gt;"תקין"))+(--($O842&lt;&gt;"תקינה"))&gt;=2),"ניכרת","אינה ניכרת")))</f>
        <v/>
      </c>
      <c r="AB842" s="32">
        <f>IF(OR($C842="",$Y842="",$AA842="",LEFT($Y842,1)="—",LEFT($AA842,1)="—"),"",IF($Z842="","— נדרשת הערכת כתיבה",IF($L842="","— חסרה הבנת הנקרא",IF($Y842="אינה מדויקת או מקוטעת",IF($AA842="ניכרת","מיקוד בשטף הקריאה ובכישורי שפה","מיקוד בשטף קריאה"),IF($AA842="ניכרת","מיקוד בכישורי שפה",IF(AND($L842="תקינה",$Z842="מפותחת"),"קוראים וכותבים מיומנים","מיקוד בהבנה והבעה"))))))</f>
        <v/>
      </c>
      <c r="AC842" s="32">
        <f>IF(OR($AB842="",LEFT($AB842,1)="—"),"",IF(OR($AB842="מיקוד בשטף קריאה",$AB842="מיקוד בשטף הקריאה ובכישורי שפה"),"רמה א'",IF($AB842="קוראים וכותבים מיומנים","רמה ג'","רמה ב'")))</f>
        <v/>
      </c>
      <c r="AD842" s="32">
        <f>IF($AC842="","",MID(IF(AND($AC842="רמה א'",$AA842="ניכרת"),"; להוסיף עבודת אוצר מילים","")&amp;IF($Z842="אינה מפותחת","; דגש על הבעה בכתב","")&amp;IF($K842&lt;&gt;"תקין","; נדרש לעבוד על ההנגנה","")&amp;IF($AK842&lt;&gt;"","; "&amp;$AK842,""),3,400))</f>
        <v/>
      </c>
      <c r="AE842" s="32">
        <f>IF($F842="","",IF($F842="תחילת שנה",1,IF($F842="מחצית שנה",2,3)))</f>
        <v/>
      </c>
      <c r="AF842" s="32">
        <f>IF(OR($B842="",$AC842="",$A842="",$F842=""),"",$B842&amp;"|"&amp;$A842&amp;"|"&amp;$F842&amp;"|"&amp;$AC842&amp;"|"&amp;COUNTIFS($B$6:$B842,$B842,$A$6:$A842,$A842,$F$6:$F842,$F842,$AC$6:$AC842,$AC842))</f>
        <v/>
      </c>
      <c r="AG842" s="32">
        <f>IF($C842="","",$C842&amp;"|"&amp;COUNTIFS($C$6:$C842,$C842))</f>
        <v/>
      </c>
      <c r="AH842" s="32">
        <f>IF(OR($C842="",$A842="",$AE842=""),"",$C842&amp;"|"&amp;$A842&amp;"|"&amp;$AE842)</f>
        <v/>
      </c>
      <c r="AI842" s="32">
        <f>IF(OR($C842="",$AE842="",$AE842=1),"",IFERROR(INDEX($AC$6:$AC$1505,MATCH($C842&amp;"|"&amp;$A842&amp;"|"&amp;($AE842-1),$AH$6:$AH$1505,0)),""))</f>
        <v/>
      </c>
      <c r="AJ842" s="32">
        <f>IF(OR($AI842="",$AC842=""),"",IF($AI842=$AC842,"ללא שינוי","מ-"&amp;$AI842&amp;" ל-"&amp;$AC842))</f>
        <v/>
      </c>
      <c r="AK842" s="67" t="n"/>
    </row>
    <row r="843" ht="15.75" customHeight="1" s="58">
      <c r="A843" s="65" t="n"/>
      <c r="B843" s="65" t="n"/>
      <c r="C843" s="66" t="n"/>
      <c r="D843" s="66" t="n"/>
      <c r="E843" s="65" t="n"/>
      <c r="F843" s="65" t="n"/>
      <c r="G843" s="65" t="n"/>
      <c r="H843" s="65" t="n"/>
      <c r="I843" s="65" t="n"/>
      <c r="J843" s="65" t="n"/>
      <c r="K843" s="65" t="n"/>
      <c r="L843" s="65" t="n"/>
      <c r="M843" s="65" t="n"/>
      <c r="N843" s="65" t="n"/>
      <c r="O843" s="65" t="n"/>
      <c r="P843" s="65" t="n"/>
      <c r="Q843" s="65" t="n"/>
      <c r="R843" s="65" t="n"/>
      <c r="S843" s="65" t="n"/>
      <c r="T843" s="65" t="n"/>
      <c r="U843" s="65" t="n"/>
      <c r="V843" s="65" t="n"/>
      <c r="W843" s="65" t="n"/>
      <c r="X843" s="65" t="n"/>
      <c r="Y843" s="32">
        <f>IF($C843="","",IF(COUNTA($I843:$K843)&lt;3,"— חסרים נתונים",IF(AND($I843="תקין",$J843="תקין",$K843="תקין"),"רהוטה",IF(AND($I843="תקין",$J843="תקין"),"מדויקת ורציפה","אינה מדויקת או מקוטעת"))))</f>
        <v/>
      </c>
      <c r="Z843" s="32">
        <f>IF($C843="","",IF(COUNTA($U843:$W843)&lt;3,"",IF(AND($U843="מפותח",$V843="מפותח",$W843="מפותחת"),"מפותחת",IF((--($U843="דל"))+(--($V843="אינו מפותח"))+(--($W843="דלה"))&gt;=2,"אינה מפותחת","חלקית"))))</f>
        <v/>
      </c>
      <c r="AA843" s="32">
        <f>IF($C843="","",IF(COUNTA($M843,$N843,$O843)&lt;3,"— חסרים נתונים",IF(OR($M843="נמוכה",(--($M843&lt;&gt;"תקינה"))+(--($N843&lt;&gt;"תקין"))+(--($O843&lt;&gt;"תקינה"))&gt;=2),"ניכרת","אינה ניכרת")))</f>
        <v/>
      </c>
      <c r="AB843" s="32">
        <f>IF(OR($C843="",$Y843="",$AA843="",LEFT($Y843,1)="—",LEFT($AA843,1)="—"),"",IF($Z843="","— נדרשת הערכת כתיבה",IF($L843="","— חסרה הבנת הנקרא",IF($Y843="אינה מדויקת או מקוטעת",IF($AA843="ניכרת","מיקוד בשטף הקריאה ובכישורי שפה","מיקוד בשטף קריאה"),IF($AA843="ניכרת","מיקוד בכישורי שפה",IF(AND($L843="תקינה",$Z843="מפותחת"),"קוראים וכותבים מיומנים","מיקוד בהבנה והבעה"))))))</f>
        <v/>
      </c>
      <c r="AC843" s="32">
        <f>IF(OR($AB843="",LEFT($AB843,1)="—"),"",IF(OR($AB843="מיקוד בשטף קריאה",$AB843="מיקוד בשטף הקריאה ובכישורי שפה"),"רמה א'",IF($AB843="קוראים וכותבים מיומנים","רמה ג'","רמה ב'")))</f>
        <v/>
      </c>
      <c r="AD843" s="32">
        <f>IF($AC843="","",MID(IF(AND($AC843="רמה א'",$AA843="ניכרת"),"; להוסיף עבודת אוצר מילים","")&amp;IF($Z843="אינה מפותחת","; דגש על הבעה בכתב","")&amp;IF($K843&lt;&gt;"תקין","; נדרש לעבוד על ההנגנה","")&amp;IF($AK843&lt;&gt;"","; "&amp;$AK843,""),3,400))</f>
        <v/>
      </c>
      <c r="AE843" s="32">
        <f>IF($F843="","",IF($F843="תחילת שנה",1,IF($F843="מחצית שנה",2,3)))</f>
        <v/>
      </c>
      <c r="AF843" s="32">
        <f>IF(OR($B843="",$AC843="",$A843="",$F843=""),"",$B843&amp;"|"&amp;$A843&amp;"|"&amp;$F843&amp;"|"&amp;$AC843&amp;"|"&amp;COUNTIFS($B$6:$B843,$B843,$A$6:$A843,$A843,$F$6:$F843,$F843,$AC$6:$AC843,$AC843))</f>
        <v/>
      </c>
      <c r="AG843" s="32">
        <f>IF($C843="","",$C843&amp;"|"&amp;COUNTIFS($C$6:$C843,$C843))</f>
        <v/>
      </c>
      <c r="AH843" s="32">
        <f>IF(OR($C843="",$A843="",$AE843=""),"",$C843&amp;"|"&amp;$A843&amp;"|"&amp;$AE843)</f>
        <v/>
      </c>
      <c r="AI843" s="32">
        <f>IF(OR($C843="",$AE843="",$AE843=1),"",IFERROR(INDEX($AC$6:$AC$1505,MATCH($C843&amp;"|"&amp;$A843&amp;"|"&amp;($AE843-1),$AH$6:$AH$1505,0)),""))</f>
        <v/>
      </c>
      <c r="AJ843" s="32">
        <f>IF(OR($AI843="",$AC843=""),"",IF($AI843=$AC843,"ללא שינוי","מ-"&amp;$AI843&amp;" ל-"&amp;$AC843))</f>
        <v/>
      </c>
      <c r="AK843" s="67" t="n"/>
    </row>
    <row r="844" ht="15.75" customHeight="1" s="58">
      <c r="A844" s="65" t="n"/>
      <c r="B844" s="65" t="n"/>
      <c r="C844" s="66" t="n"/>
      <c r="D844" s="66" t="n"/>
      <c r="E844" s="65" t="n"/>
      <c r="F844" s="65" t="n"/>
      <c r="G844" s="65" t="n"/>
      <c r="H844" s="65" t="n"/>
      <c r="I844" s="65" t="n"/>
      <c r="J844" s="65" t="n"/>
      <c r="K844" s="65" t="n"/>
      <c r="L844" s="65" t="n"/>
      <c r="M844" s="65" t="n"/>
      <c r="N844" s="65" t="n"/>
      <c r="O844" s="65" t="n"/>
      <c r="P844" s="65" t="n"/>
      <c r="Q844" s="65" t="n"/>
      <c r="R844" s="65" t="n"/>
      <c r="S844" s="65" t="n"/>
      <c r="T844" s="65" t="n"/>
      <c r="U844" s="65" t="n"/>
      <c r="V844" s="65" t="n"/>
      <c r="W844" s="65" t="n"/>
      <c r="X844" s="65" t="n"/>
      <c r="Y844" s="32">
        <f>IF($C844="","",IF(COUNTA($I844:$K844)&lt;3,"— חסרים נתונים",IF(AND($I844="תקין",$J844="תקין",$K844="תקין"),"רהוטה",IF(AND($I844="תקין",$J844="תקין"),"מדויקת ורציפה","אינה מדויקת או מקוטעת"))))</f>
        <v/>
      </c>
      <c r="Z844" s="32">
        <f>IF($C844="","",IF(COUNTA($U844:$W844)&lt;3,"",IF(AND($U844="מפותח",$V844="מפותח",$W844="מפותחת"),"מפותחת",IF((--($U844="דל"))+(--($V844="אינו מפותח"))+(--($W844="דלה"))&gt;=2,"אינה מפותחת","חלקית"))))</f>
        <v/>
      </c>
      <c r="AA844" s="32">
        <f>IF($C844="","",IF(COUNTA($M844,$N844,$O844)&lt;3,"— חסרים נתונים",IF(OR($M844="נמוכה",(--($M844&lt;&gt;"תקינה"))+(--($N844&lt;&gt;"תקין"))+(--($O844&lt;&gt;"תקינה"))&gt;=2),"ניכרת","אינה ניכרת")))</f>
        <v/>
      </c>
      <c r="AB844" s="32">
        <f>IF(OR($C844="",$Y844="",$AA844="",LEFT($Y844,1)="—",LEFT($AA844,1)="—"),"",IF($Z844="","— נדרשת הערכת כתיבה",IF($L844="","— חסרה הבנת הנקרא",IF($Y844="אינה מדויקת או מקוטעת",IF($AA844="ניכרת","מיקוד בשטף הקריאה ובכישורי שפה","מיקוד בשטף קריאה"),IF($AA844="ניכרת","מיקוד בכישורי שפה",IF(AND($L844="תקינה",$Z844="מפותחת"),"קוראים וכותבים מיומנים","מיקוד בהבנה והבעה"))))))</f>
        <v/>
      </c>
      <c r="AC844" s="32">
        <f>IF(OR($AB844="",LEFT($AB844,1)="—"),"",IF(OR($AB844="מיקוד בשטף קריאה",$AB844="מיקוד בשטף הקריאה ובכישורי שפה"),"רמה א'",IF($AB844="קוראים וכותבים מיומנים","רמה ג'","רמה ב'")))</f>
        <v/>
      </c>
      <c r="AD844" s="32">
        <f>IF($AC844="","",MID(IF(AND($AC844="רמה א'",$AA844="ניכרת"),"; להוסיף עבודת אוצר מילים","")&amp;IF($Z844="אינה מפותחת","; דגש על הבעה בכתב","")&amp;IF($K844&lt;&gt;"תקין","; נדרש לעבוד על ההנגנה","")&amp;IF($AK844&lt;&gt;"","; "&amp;$AK844,""),3,400))</f>
        <v/>
      </c>
      <c r="AE844" s="32">
        <f>IF($F844="","",IF($F844="תחילת שנה",1,IF($F844="מחצית שנה",2,3)))</f>
        <v/>
      </c>
      <c r="AF844" s="32">
        <f>IF(OR($B844="",$AC844="",$A844="",$F844=""),"",$B844&amp;"|"&amp;$A844&amp;"|"&amp;$F844&amp;"|"&amp;$AC844&amp;"|"&amp;COUNTIFS($B$6:$B844,$B844,$A$6:$A844,$A844,$F$6:$F844,$F844,$AC$6:$AC844,$AC844))</f>
        <v/>
      </c>
      <c r="AG844" s="32">
        <f>IF($C844="","",$C844&amp;"|"&amp;COUNTIFS($C$6:$C844,$C844))</f>
        <v/>
      </c>
      <c r="AH844" s="32">
        <f>IF(OR($C844="",$A844="",$AE844=""),"",$C844&amp;"|"&amp;$A844&amp;"|"&amp;$AE844)</f>
        <v/>
      </c>
      <c r="AI844" s="32">
        <f>IF(OR($C844="",$AE844="",$AE844=1),"",IFERROR(INDEX($AC$6:$AC$1505,MATCH($C844&amp;"|"&amp;$A844&amp;"|"&amp;($AE844-1),$AH$6:$AH$1505,0)),""))</f>
        <v/>
      </c>
      <c r="AJ844" s="32">
        <f>IF(OR($AI844="",$AC844=""),"",IF($AI844=$AC844,"ללא שינוי","מ-"&amp;$AI844&amp;" ל-"&amp;$AC844))</f>
        <v/>
      </c>
      <c r="AK844" s="67" t="n"/>
    </row>
    <row r="845" ht="15.75" customHeight="1" s="58">
      <c r="A845" s="65" t="n"/>
      <c r="B845" s="65" t="n"/>
      <c r="C845" s="66" t="n"/>
      <c r="D845" s="66" t="n"/>
      <c r="E845" s="65" t="n"/>
      <c r="F845" s="65" t="n"/>
      <c r="G845" s="65" t="n"/>
      <c r="H845" s="65" t="n"/>
      <c r="I845" s="65" t="n"/>
      <c r="J845" s="65" t="n"/>
      <c r="K845" s="65" t="n"/>
      <c r="L845" s="65" t="n"/>
      <c r="M845" s="65" t="n"/>
      <c r="N845" s="65" t="n"/>
      <c r="O845" s="65" t="n"/>
      <c r="P845" s="65" t="n"/>
      <c r="Q845" s="65" t="n"/>
      <c r="R845" s="65" t="n"/>
      <c r="S845" s="65" t="n"/>
      <c r="T845" s="65" t="n"/>
      <c r="U845" s="65" t="n"/>
      <c r="V845" s="65" t="n"/>
      <c r="W845" s="65" t="n"/>
      <c r="X845" s="65" t="n"/>
      <c r="Y845" s="32">
        <f>IF($C845="","",IF(COUNTA($I845:$K845)&lt;3,"— חסרים נתונים",IF(AND($I845="תקין",$J845="תקין",$K845="תקין"),"רהוטה",IF(AND($I845="תקין",$J845="תקין"),"מדויקת ורציפה","אינה מדויקת או מקוטעת"))))</f>
        <v/>
      </c>
      <c r="Z845" s="32">
        <f>IF($C845="","",IF(COUNTA($U845:$W845)&lt;3,"",IF(AND($U845="מפותח",$V845="מפותח",$W845="מפותחת"),"מפותחת",IF((--($U845="דל"))+(--($V845="אינו מפותח"))+(--($W845="דלה"))&gt;=2,"אינה מפותחת","חלקית"))))</f>
        <v/>
      </c>
      <c r="AA845" s="32">
        <f>IF($C845="","",IF(COUNTA($M845,$N845,$O845)&lt;3,"— חסרים נתונים",IF(OR($M845="נמוכה",(--($M845&lt;&gt;"תקינה"))+(--($N845&lt;&gt;"תקין"))+(--($O845&lt;&gt;"תקינה"))&gt;=2),"ניכרת","אינה ניכרת")))</f>
        <v/>
      </c>
      <c r="AB845" s="32">
        <f>IF(OR($C845="",$Y845="",$AA845="",LEFT($Y845,1)="—",LEFT($AA845,1)="—"),"",IF($Z845="","— נדרשת הערכת כתיבה",IF($L845="","— חסרה הבנת הנקרא",IF($Y845="אינה מדויקת או מקוטעת",IF($AA845="ניכרת","מיקוד בשטף הקריאה ובכישורי שפה","מיקוד בשטף קריאה"),IF($AA845="ניכרת","מיקוד בכישורי שפה",IF(AND($L845="תקינה",$Z845="מפותחת"),"קוראים וכותבים מיומנים","מיקוד בהבנה והבעה"))))))</f>
        <v/>
      </c>
      <c r="AC845" s="32">
        <f>IF(OR($AB845="",LEFT($AB845,1)="—"),"",IF(OR($AB845="מיקוד בשטף קריאה",$AB845="מיקוד בשטף הקריאה ובכישורי שפה"),"רמה א'",IF($AB845="קוראים וכותבים מיומנים","רמה ג'","רמה ב'")))</f>
        <v/>
      </c>
      <c r="AD845" s="32">
        <f>IF($AC845="","",MID(IF(AND($AC845="רמה א'",$AA845="ניכרת"),"; להוסיף עבודת אוצר מילים","")&amp;IF($Z845="אינה מפותחת","; דגש על הבעה בכתב","")&amp;IF($K845&lt;&gt;"תקין","; נדרש לעבוד על ההנגנה","")&amp;IF($AK845&lt;&gt;"","; "&amp;$AK845,""),3,400))</f>
        <v/>
      </c>
      <c r="AE845" s="32">
        <f>IF($F845="","",IF($F845="תחילת שנה",1,IF($F845="מחצית שנה",2,3)))</f>
        <v/>
      </c>
      <c r="AF845" s="32">
        <f>IF(OR($B845="",$AC845="",$A845="",$F845=""),"",$B845&amp;"|"&amp;$A845&amp;"|"&amp;$F845&amp;"|"&amp;$AC845&amp;"|"&amp;COUNTIFS($B$6:$B845,$B845,$A$6:$A845,$A845,$F$6:$F845,$F845,$AC$6:$AC845,$AC845))</f>
        <v/>
      </c>
      <c r="AG845" s="32">
        <f>IF($C845="","",$C845&amp;"|"&amp;COUNTIFS($C$6:$C845,$C845))</f>
        <v/>
      </c>
      <c r="AH845" s="32">
        <f>IF(OR($C845="",$A845="",$AE845=""),"",$C845&amp;"|"&amp;$A845&amp;"|"&amp;$AE845)</f>
        <v/>
      </c>
      <c r="AI845" s="32">
        <f>IF(OR($C845="",$AE845="",$AE845=1),"",IFERROR(INDEX($AC$6:$AC$1505,MATCH($C845&amp;"|"&amp;$A845&amp;"|"&amp;($AE845-1),$AH$6:$AH$1505,0)),""))</f>
        <v/>
      </c>
      <c r="AJ845" s="32">
        <f>IF(OR($AI845="",$AC845=""),"",IF($AI845=$AC845,"ללא שינוי","מ-"&amp;$AI845&amp;" ל-"&amp;$AC845))</f>
        <v/>
      </c>
      <c r="AK845" s="67" t="n"/>
    </row>
    <row r="846" ht="15.75" customHeight="1" s="58">
      <c r="A846" s="65" t="n"/>
      <c r="B846" s="65" t="n"/>
      <c r="C846" s="66" t="n"/>
      <c r="D846" s="66" t="n"/>
      <c r="E846" s="65" t="n"/>
      <c r="F846" s="65" t="n"/>
      <c r="G846" s="65" t="n"/>
      <c r="H846" s="65" t="n"/>
      <c r="I846" s="65" t="n"/>
      <c r="J846" s="65" t="n"/>
      <c r="K846" s="65" t="n"/>
      <c r="L846" s="65" t="n"/>
      <c r="M846" s="65" t="n"/>
      <c r="N846" s="65" t="n"/>
      <c r="O846" s="65" t="n"/>
      <c r="P846" s="65" t="n"/>
      <c r="Q846" s="65" t="n"/>
      <c r="R846" s="65" t="n"/>
      <c r="S846" s="65" t="n"/>
      <c r="T846" s="65" t="n"/>
      <c r="U846" s="65" t="n"/>
      <c r="V846" s="65" t="n"/>
      <c r="W846" s="65" t="n"/>
      <c r="X846" s="65" t="n"/>
      <c r="Y846" s="32">
        <f>IF($C846="","",IF(COUNTA($I846:$K846)&lt;3,"— חסרים נתונים",IF(AND($I846="תקין",$J846="תקין",$K846="תקין"),"רהוטה",IF(AND($I846="תקין",$J846="תקין"),"מדויקת ורציפה","אינה מדויקת או מקוטעת"))))</f>
        <v/>
      </c>
      <c r="Z846" s="32">
        <f>IF($C846="","",IF(COUNTA($U846:$W846)&lt;3,"",IF(AND($U846="מפותח",$V846="מפותח",$W846="מפותחת"),"מפותחת",IF((--($U846="דל"))+(--($V846="אינו מפותח"))+(--($W846="דלה"))&gt;=2,"אינה מפותחת","חלקית"))))</f>
        <v/>
      </c>
      <c r="AA846" s="32">
        <f>IF($C846="","",IF(COUNTA($M846,$N846,$O846)&lt;3,"— חסרים נתונים",IF(OR($M846="נמוכה",(--($M846&lt;&gt;"תקינה"))+(--($N846&lt;&gt;"תקין"))+(--($O846&lt;&gt;"תקינה"))&gt;=2),"ניכרת","אינה ניכרת")))</f>
        <v/>
      </c>
      <c r="AB846" s="32">
        <f>IF(OR($C846="",$Y846="",$AA846="",LEFT($Y846,1)="—",LEFT($AA846,1)="—"),"",IF($Z846="","— נדרשת הערכת כתיבה",IF($L846="","— חסרה הבנת הנקרא",IF($Y846="אינה מדויקת או מקוטעת",IF($AA846="ניכרת","מיקוד בשטף הקריאה ובכישורי שפה","מיקוד בשטף קריאה"),IF($AA846="ניכרת","מיקוד בכישורי שפה",IF(AND($L846="תקינה",$Z846="מפותחת"),"קוראים וכותבים מיומנים","מיקוד בהבנה והבעה"))))))</f>
        <v/>
      </c>
      <c r="AC846" s="32">
        <f>IF(OR($AB846="",LEFT($AB846,1)="—"),"",IF(OR($AB846="מיקוד בשטף קריאה",$AB846="מיקוד בשטף הקריאה ובכישורי שפה"),"רמה א'",IF($AB846="קוראים וכותבים מיומנים","רמה ג'","רמה ב'")))</f>
        <v/>
      </c>
      <c r="AD846" s="32">
        <f>IF($AC846="","",MID(IF(AND($AC846="רמה א'",$AA846="ניכרת"),"; להוסיף עבודת אוצר מילים","")&amp;IF($Z846="אינה מפותחת","; דגש על הבעה בכתב","")&amp;IF($K846&lt;&gt;"תקין","; נדרש לעבוד על ההנגנה","")&amp;IF($AK846&lt;&gt;"","; "&amp;$AK846,""),3,400))</f>
        <v/>
      </c>
      <c r="AE846" s="32">
        <f>IF($F846="","",IF($F846="תחילת שנה",1,IF($F846="מחצית שנה",2,3)))</f>
        <v/>
      </c>
      <c r="AF846" s="32">
        <f>IF(OR($B846="",$AC846="",$A846="",$F846=""),"",$B846&amp;"|"&amp;$A846&amp;"|"&amp;$F846&amp;"|"&amp;$AC846&amp;"|"&amp;COUNTIFS($B$6:$B846,$B846,$A$6:$A846,$A846,$F$6:$F846,$F846,$AC$6:$AC846,$AC846))</f>
        <v/>
      </c>
      <c r="AG846" s="32">
        <f>IF($C846="","",$C846&amp;"|"&amp;COUNTIFS($C$6:$C846,$C846))</f>
        <v/>
      </c>
      <c r="AH846" s="32">
        <f>IF(OR($C846="",$A846="",$AE846=""),"",$C846&amp;"|"&amp;$A846&amp;"|"&amp;$AE846)</f>
        <v/>
      </c>
      <c r="AI846" s="32">
        <f>IF(OR($C846="",$AE846="",$AE846=1),"",IFERROR(INDEX($AC$6:$AC$1505,MATCH($C846&amp;"|"&amp;$A846&amp;"|"&amp;($AE846-1),$AH$6:$AH$1505,0)),""))</f>
        <v/>
      </c>
      <c r="AJ846" s="32">
        <f>IF(OR($AI846="",$AC846=""),"",IF($AI846=$AC846,"ללא שינוי","מ-"&amp;$AI846&amp;" ל-"&amp;$AC846))</f>
        <v/>
      </c>
      <c r="AK846" s="67" t="n"/>
    </row>
    <row r="847" ht="15.75" customHeight="1" s="58">
      <c r="A847" s="65" t="n"/>
      <c r="B847" s="65" t="n"/>
      <c r="C847" s="66" t="n"/>
      <c r="D847" s="66" t="n"/>
      <c r="E847" s="65" t="n"/>
      <c r="F847" s="65" t="n"/>
      <c r="G847" s="65" t="n"/>
      <c r="H847" s="65" t="n"/>
      <c r="I847" s="65" t="n"/>
      <c r="J847" s="65" t="n"/>
      <c r="K847" s="65" t="n"/>
      <c r="L847" s="65" t="n"/>
      <c r="M847" s="65" t="n"/>
      <c r="N847" s="65" t="n"/>
      <c r="O847" s="65" t="n"/>
      <c r="P847" s="65" t="n"/>
      <c r="Q847" s="65" t="n"/>
      <c r="R847" s="65" t="n"/>
      <c r="S847" s="65" t="n"/>
      <c r="T847" s="65" t="n"/>
      <c r="U847" s="65" t="n"/>
      <c r="V847" s="65" t="n"/>
      <c r="W847" s="65" t="n"/>
      <c r="X847" s="65" t="n"/>
      <c r="Y847" s="32">
        <f>IF($C847="","",IF(COUNTA($I847:$K847)&lt;3,"— חסרים נתונים",IF(AND($I847="תקין",$J847="תקין",$K847="תקין"),"רהוטה",IF(AND($I847="תקין",$J847="תקין"),"מדויקת ורציפה","אינה מדויקת או מקוטעת"))))</f>
        <v/>
      </c>
      <c r="Z847" s="32">
        <f>IF($C847="","",IF(COUNTA($U847:$W847)&lt;3,"",IF(AND($U847="מפותח",$V847="מפותח",$W847="מפותחת"),"מפותחת",IF((--($U847="דל"))+(--($V847="אינו מפותח"))+(--($W847="דלה"))&gt;=2,"אינה מפותחת","חלקית"))))</f>
        <v/>
      </c>
      <c r="AA847" s="32">
        <f>IF($C847="","",IF(COUNTA($M847,$N847,$O847)&lt;3,"— חסרים נתונים",IF(OR($M847="נמוכה",(--($M847&lt;&gt;"תקינה"))+(--($N847&lt;&gt;"תקין"))+(--($O847&lt;&gt;"תקינה"))&gt;=2),"ניכרת","אינה ניכרת")))</f>
        <v/>
      </c>
      <c r="AB847" s="32">
        <f>IF(OR($C847="",$Y847="",$AA847="",LEFT($Y847,1)="—",LEFT($AA847,1)="—"),"",IF($Z847="","— נדרשת הערכת כתיבה",IF($L847="","— חסרה הבנת הנקרא",IF($Y847="אינה מדויקת או מקוטעת",IF($AA847="ניכרת","מיקוד בשטף הקריאה ובכישורי שפה","מיקוד בשטף קריאה"),IF($AA847="ניכרת","מיקוד בכישורי שפה",IF(AND($L847="תקינה",$Z847="מפותחת"),"קוראים וכותבים מיומנים","מיקוד בהבנה והבעה"))))))</f>
        <v/>
      </c>
      <c r="AC847" s="32">
        <f>IF(OR($AB847="",LEFT($AB847,1)="—"),"",IF(OR($AB847="מיקוד בשטף קריאה",$AB847="מיקוד בשטף הקריאה ובכישורי שפה"),"רמה א'",IF($AB847="קוראים וכותבים מיומנים","רמה ג'","רמה ב'")))</f>
        <v/>
      </c>
      <c r="AD847" s="32">
        <f>IF($AC847="","",MID(IF(AND($AC847="רמה א'",$AA847="ניכרת"),"; להוסיף עבודת אוצר מילים","")&amp;IF($Z847="אינה מפותחת","; דגש על הבעה בכתב","")&amp;IF($K847&lt;&gt;"תקין","; נדרש לעבוד על ההנגנה","")&amp;IF($AK847&lt;&gt;"","; "&amp;$AK847,""),3,400))</f>
        <v/>
      </c>
      <c r="AE847" s="32">
        <f>IF($F847="","",IF($F847="תחילת שנה",1,IF($F847="מחצית שנה",2,3)))</f>
        <v/>
      </c>
      <c r="AF847" s="32">
        <f>IF(OR($B847="",$AC847="",$A847="",$F847=""),"",$B847&amp;"|"&amp;$A847&amp;"|"&amp;$F847&amp;"|"&amp;$AC847&amp;"|"&amp;COUNTIFS($B$6:$B847,$B847,$A$6:$A847,$A847,$F$6:$F847,$F847,$AC$6:$AC847,$AC847))</f>
        <v/>
      </c>
      <c r="AG847" s="32">
        <f>IF($C847="","",$C847&amp;"|"&amp;COUNTIFS($C$6:$C847,$C847))</f>
        <v/>
      </c>
      <c r="AH847" s="32">
        <f>IF(OR($C847="",$A847="",$AE847=""),"",$C847&amp;"|"&amp;$A847&amp;"|"&amp;$AE847)</f>
        <v/>
      </c>
      <c r="AI847" s="32">
        <f>IF(OR($C847="",$AE847="",$AE847=1),"",IFERROR(INDEX($AC$6:$AC$1505,MATCH($C847&amp;"|"&amp;$A847&amp;"|"&amp;($AE847-1),$AH$6:$AH$1505,0)),""))</f>
        <v/>
      </c>
      <c r="AJ847" s="32">
        <f>IF(OR($AI847="",$AC847=""),"",IF($AI847=$AC847,"ללא שינוי","מ-"&amp;$AI847&amp;" ל-"&amp;$AC847))</f>
        <v/>
      </c>
      <c r="AK847" s="67" t="n"/>
    </row>
    <row r="848" ht="15.75" customHeight="1" s="58">
      <c r="A848" s="65" t="n"/>
      <c r="B848" s="65" t="n"/>
      <c r="C848" s="66" t="n"/>
      <c r="D848" s="66" t="n"/>
      <c r="E848" s="65" t="n"/>
      <c r="F848" s="65" t="n"/>
      <c r="G848" s="65" t="n"/>
      <c r="H848" s="65" t="n"/>
      <c r="I848" s="65" t="n"/>
      <c r="J848" s="65" t="n"/>
      <c r="K848" s="65" t="n"/>
      <c r="L848" s="65" t="n"/>
      <c r="M848" s="65" t="n"/>
      <c r="N848" s="65" t="n"/>
      <c r="O848" s="65" t="n"/>
      <c r="P848" s="65" t="n"/>
      <c r="Q848" s="65" t="n"/>
      <c r="R848" s="65" t="n"/>
      <c r="S848" s="65" t="n"/>
      <c r="T848" s="65" t="n"/>
      <c r="U848" s="65" t="n"/>
      <c r="V848" s="65" t="n"/>
      <c r="W848" s="65" t="n"/>
      <c r="X848" s="65" t="n"/>
      <c r="Y848" s="32">
        <f>IF($C848="","",IF(COUNTA($I848:$K848)&lt;3,"— חסרים נתונים",IF(AND($I848="תקין",$J848="תקין",$K848="תקין"),"רהוטה",IF(AND($I848="תקין",$J848="תקין"),"מדויקת ורציפה","אינה מדויקת או מקוטעת"))))</f>
        <v/>
      </c>
      <c r="Z848" s="32">
        <f>IF($C848="","",IF(COUNTA($U848:$W848)&lt;3,"",IF(AND($U848="מפותח",$V848="מפותח",$W848="מפותחת"),"מפותחת",IF((--($U848="דל"))+(--($V848="אינו מפותח"))+(--($W848="דלה"))&gt;=2,"אינה מפותחת","חלקית"))))</f>
        <v/>
      </c>
      <c r="AA848" s="32">
        <f>IF($C848="","",IF(COUNTA($M848,$N848,$O848)&lt;3,"— חסרים נתונים",IF(OR($M848="נמוכה",(--($M848&lt;&gt;"תקינה"))+(--($N848&lt;&gt;"תקין"))+(--($O848&lt;&gt;"תקינה"))&gt;=2),"ניכרת","אינה ניכרת")))</f>
        <v/>
      </c>
      <c r="AB848" s="32">
        <f>IF(OR($C848="",$Y848="",$AA848="",LEFT($Y848,1)="—",LEFT($AA848,1)="—"),"",IF($Z848="","— נדרשת הערכת כתיבה",IF($L848="","— חסרה הבנת הנקרא",IF($Y848="אינה מדויקת או מקוטעת",IF($AA848="ניכרת","מיקוד בשטף הקריאה ובכישורי שפה","מיקוד בשטף קריאה"),IF($AA848="ניכרת","מיקוד בכישורי שפה",IF(AND($L848="תקינה",$Z848="מפותחת"),"קוראים וכותבים מיומנים","מיקוד בהבנה והבעה"))))))</f>
        <v/>
      </c>
      <c r="AC848" s="32">
        <f>IF(OR($AB848="",LEFT($AB848,1)="—"),"",IF(OR($AB848="מיקוד בשטף קריאה",$AB848="מיקוד בשטף הקריאה ובכישורי שפה"),"רמה א'",IF($AB848="קוראים וכותבים מיומנים","רמה ג'","רמה ב'")))</f>
        <v/>
      </c>
      <c r="AD848" s="32">
        <f>IF($AC848="","",MID(IF(AND($AC848="רמה א'",$AA848="ניכרת"),"; להוסיף עבודת אוצר מילים","")&amp;IF($Z848="אינה מפותחת","; דגש על הבעה בכתב","")&amp;IF($K848&lt;&gt;"תקין","; נדרש לעבוד על ההנגנה","")&amp;IF($AK848&lt;&gt;"","; "&amp;$AK848,""),3,400))</f>
        <v/>
      </c>
      <c r="AE848" s="32">
        <f>IF($F848="","",IF($F848="תחילת שנה",1,IF($F848="מחצית שנה",2,3)))</f>
        <v/>
      </c>
      <c r="AF848" s="32">
        <f>IF(OR($B848="",$AC848="",$A848="",$F848=""),"",$B848&amp;"|"&amp;$A848&amp;"|"&amp;$F848&amp;"|"&amp;$AC848&amp;"|"&amp;COUNTIFS($B$6:$B848,$B848,$A$6:$A848,$A848,$F$6:$F848,$F848,$AC$6:$AC848,$AC848))</f>
        <v/>
      </c>
      <c r="AG848" s="32">
        <f>IF($C848="","",$C848&amp;"|"&amp;COUNTIFS($C$6:$C848,$C848))</f>
        <v/>
      </c>
      <c r="AH848" s="32">
        <f>IF(OR($C848="",$A848="",$AE848=""),"",$C848&amp;"|"&amp;$A848&amp;"|"&amp;$AE848)</f>
        <v/>
      </c>
      <c r="AI848" s="32">
        <f>IF(OR($C848="",$AE848="",$AE848=1),"",IFERROR(INDEX($AC$6:$AC$1505,MATCH($C848&amp;"|"&amp;$A848&amp;"|"&amp;($AE848-1),$AH$6:$AH$1505,0)),""))</f>
        <v/>
      </c>
      <c r="AJ848" s="32">
        <f>IF(OR($AI848="",$AC848=""),"",IF($AI848=$AC848,"ללא שינוי","מ-"&amp;$AI848&amp;" ל-"&amp;$AC848))</f>
        <v/>
      </c>
      <c r="AK848" s="67" t="n"/>
    </row>
    <row r="849" ht="15.75" customHeight="1" s="58">
      <c r="A849" s="65" t="n"/>
      <c r="B849" s="65" t="n"/>
      <c r="C849" s="66" t="n"/>
      <c r="D849" s="66" t="n"/>
      <c r="E849" s="65" t="n"/>
      <c r="F849" s="65" t="n"/>
      <c r="G849" s="65" t="n"/>
      <c r="H849" s="65" t="n"/>
      <c r="I849" s="65" t="n"/>
      <c r="J849" s="65" t="n"/>
      <c r="K849" s="65" t="n"/>
      <c r="L849" s="65" t="n"/>
      <c r="M849" s="65" t="n"/>
      <c r="N849" s="65" t="n"/>
      <c r="O849" s="65" t="n"/>
      <c r="P849" s="65" t="n"/>
      <c r="Q849" s="65" t="n"/>
      <c r="R849" s="65" t="n"/>
      <c r="S849" s="65" t="n"/>
      <c r="T849" s="65" t="n"/>
      <c r="U849" s="65" t="n"/>
      <c r="V849" s="65" t="n"/>
      <c r="W849" s="65" t="n"/>
      <c r="X849" s="65" t="n"/>
      <c r="Y849" s="32">
        <f>IF($C849="","",IF(COUNTA($I849:$K849)&lt;3,"— חסרים נתונים",IF(AND($I849="תקין",$J849="תקין",$K849="תקין"),"רהוטה",IF(AND($I849="תקין",$J849="תקין"),"מדויקת ורציפה","אינה מדויקת או מקוטעת"))))</f>
        <v/>
      </c>
      <c r="Z849" s="32">
        <f>IF($C849="","",IF(COUNTA($U849:$W849)&lt;3,"",IF(AND($U849="מפותח",$V849="מפותח",$W849="מפותחת"),"מפותחת",IF((--($U849="דל"))+(--($V849="אינו מפותח"))+(--($W849="דלה"))&gt;=2,"אינה מפותחת","חלקית"))))</f>
        <v/>
      </c>
      <c r="AA849" s="32">
        <f>IF($C849="","",IF(COUNTA($M849,$N849,$O849)&lt;3,"— חסרים נתונים",IF(OR($M849="נמוכה",(--($M849&lt;&gt;"תקינה"))+(--($N849&lt;&gt;"תקין"))+(--($O849&lt;&gt;"תקינה"))&gt;=2),"ניכרת","אינה ניכרת")))</f>
        <v/>
      </c>
      <c r="AB849" s="32">
        <f>IF(OR($C849="",$Y849="",$AA849="",LEFT($Y849,1)="—",LEFT($AA849,1)="—"),"",IF($Z849="","— נדרשת הערכת כתיבה",IF($L849="","— חסרה הבנת הנקרא",IF($Y849="אינה מדויקת או מקוטעת",IF($AA849="ניכרת","מיקוד בשטף הקריאה ובכישורי שפה","מיקוד בשטף קריאה"),IF($AA849="ניכרת","מיקוד בכישורי שפה",IF(AND($L849="תקינה",$Z849="מפותחת"),"קוראים וכותבים מיומנים","מיקוד בהבנה והבעה"))))))</f>
        <v/>
      </c>
      <c r="AC849" s="32">
        <f>IF(OR($AB849="",LEFT($AB849,1)="—"),"",IF(OR($AB849="מיקוד בשטף קריאה",$AB849="מיקוד בשטף הקריאה ובכישורי שפה"),"רמה א'",IF($AB849="קוראים וכותבים מיומנים","רמה ג'","רמה ב'")))</f>
        <v/>
      </c>
      <c r="AD849" s="32">
        <f>IF($AC849="","",MID(IF(AND($AC849="רמה א'",$AA849="ניכרת"),"; להוסיף עבודת אוצר מילים","")&amp;IF($Z849="אינה מפותחת","; דגש על הבעה בכתב","")&amp;IF($K849&lt;&gt;"תקין","; נדרש לעבוד על ההנגנה","")&amp;IF($AK849&lt;&gt;"","; "&amp;$AK849,""),3,400))</f>
        <v/>
      </c>
      <c r="AE849" s="32">
        <f>IF($F849="","",IF($F849="תחילת שנה",1,IF($F849="מחצית שנה",2,3)))</f>
        <v/>
      </c>
      <c r="AF849" s="32">
        <f>IF(OR($B849="",$AC849="",$A849="",$F849=""),"",$B849&amp;"|"&amp;$A849&amp;"|"&amp;$F849&amp;"|"&amp;$AC849&amp;"|"&amp;COUNTIFS($B$6:$B849,$B849,$A$6:$A849,$A849,$F$6:$F849,$F849,$AC$6:$AC849,$AC849))</f>
        <v/>
      </c>
      <c r="AG849" s="32">
        <f>IF($C849="","",$C849&amp;"|"&amp;COUNTIFS($C$6:$C849,$C849))</f>
        <v/>
      </c>
      <c r="AH849" s="32">
        <f>IF(OR($C849="",$A849="",$AE849=""),"",$C849&amp;"|"&amp;$A849&amp;"|"&amp;$AE849)</f>
        <v/>
      </c>
      <c r="AI849" s="32">
        <f>IF(OR($C849="",$AE849="",$AE849=1),"",IFERROR(INDEX($AC$6:$AC$1505,MATCH($C849&amp;"|"&amp;$A849&amp;"|"&amp;($AE849-1),$AH$6:$AH$1505,0)),""))</f>
        <v/>
      </c>
      <c r="AJ849" s="32">
        <f>IF(OR($AI849="",$AC849=""),"",IF($AI849=$AC849,"ללא שינוי","מ-"&amp;$AI849&amp;" ל-"&amp;$AC849))</f>
        <v/>
      </c>
      <c r="AK849" s="67" t="n"/>
    </row>
    <row r="850" ht="15.75" customHeight="1" s="58">
      <c r="A850" s="65" t="n"/>
      <c r="B850" s="65" t="n"/>
      <c r="C850" s="66" t="n"/>
      <c r="D850" s="66" t="n"/>
      <c r="E850" s="65" t="n"/>
      <c r="F850" s="65" t="n"/>
      <c r="G850" s="65" t="n"/>
      <c r="H850" s="65" t="n"/>
      <c r="I850" s="65" t="n"/>
      <c r="J850" s="65" t="n"/>
      <c r="K850" s="65" t="n"/>
      <c r="L850" s="65" t="n"/>
      <c r="M850" s="65" t="n"/>
      <c r="N850" s="65" t="n"/>
      <c r="O850" s="65" t="n"/>
      <c r="P850" s="65" t="n"/>
      <c r="Q850" s="65" t="n"/>
      <c r="R850" s="65" t="n"/>
      <c r="S850" s="65" t="n"/>
      <c r="T850" s="65" t="n"/>
      <c r="U850" s="65" t="n"/>
      <c r="V850" s="65" t="n"/>
      <c r="W850" s="65" t="n"/>
      <c r="X850" s="65" t="n"/>
      <c r="Y850" s="32">
        <f>IF($C850="","",IF(COUNTA($I850:$K850)&lt;3,"— חסרים נתונים",IF(AND($I850="תקין",$J850="תקין",$K850="תקין"),"רהוטה",IF(AND($I850="תקין",$J850="תקין"),"מדויקת ורציפה","אינה מדויקת או מקוטעת"))))</f>
        <v/>
      </c>
      <c r="Z850" s="32">
        <f>IF($C850="","",IF(COUNTA($U850:$W850)&lt;3,"",IF(AND($U850="מפותח",$V850="מפותח",$W850="מפותחת"),"מפותחת",IF((--($U850="דל"))+(--($V850="אינו מפותח"))+(--($W850="דלה"))&gt;=2,"אינה מפותחת","חלקית"))))</f>
        <v/>
      </c>
      <c r="AA850" s="32">
        <f>IF($C850="","",IF(COUNTA($M850,$N850,$O850)&lt;3,"— חסרים נתונים",IF(OR($M850="נמוכה",(--($M850&lt;&gt;"תקינה"))+(--($N850&lt;&gt;"תקין"))+(--($O850&lt;&gt;"תקינה"))&gt;=2),"ניכרת","אינה ניכרת")))</f>
        <v/>
      </c>
      <c r="AB850" s="32">
        <f>IF(OR($C850="",$Y850="",$AA850="",LEFT($Y850,1)="—",LEFT($AA850,1)="—"),"",IF($Z850="","— נדרשת הערכת כתיבה",IF($L850="","— חסרה הבנת הנקרא",IF($Y850="אינה מדויקת או מקוטעת",IF($AA850="ניכרת","מיקוד בשטף הקריאה ובכישורי שפה","מיקוד בשטף קריאה"),IF($AA850="ניכרת","מיקוד בכישורי שפה",IF(AND($L850="תקינה",$Z850="מפותחת"),"קוראים וכותבים מיומנים","מיקוד בהבנה והבעה"))))))</f>
        <v/>
      </c>
      <c r="AC850" s="32">
        <f>IF(OR($AB850="",LEFT($AB850,1)="—"),"",IF(OR($AB850="מיקוד בשטף קריאה",$AB850="מיקוד בשטף הקריאה ובכישורי שפה"),"רמה א'",IF($AB850="קוראים וכותבים מיומנים","רמה ג'","רמה ב'")))</f>
        <v/>
      </c>
      <c r="AD850" s="32">
        <f>IF($AC850="","",MID(IF(AND($AC850="רמה א'",$AA850="ניכרת"),"; להוסיף עבודת אוצר מילים","")&amp;IF($Z850="אינה מפותחת","; דגש על הבעה בכתב","")&amp;IF($K850&lt;&gt;"תקין","; נדרש לעבוד על ההנגנה","")&amp;IF($AK850&lt;&gt;"","; "&amp;$AK850,""),3,400))</f>
        <v/>
      </c>
      <c r="AE850" s="32">
        <f>IF($F850="","",IF($F850="תחילת שנה",1,IF($F850="מחצית שנה",2,3)))</f>
        <v/>
      </c>
      <c r="AF850" s="32">
        <f>IF(OR($B850="",$AC850="",$A850="",$F850=""),"",$B850&amp;"|"&amp;$A850&amp;"|"&amp;$F850&amp;"|"&amp;$AC850&amp;"|"&amp;COUNTIFS($B$6:$B850,$B850,$A$6:$A850,$A850,$F$6:$F850,$F850,$AC$6:$AC850,$AC850))</f>
        <v/>
      </c>
      <c r="AG850" s="32">
        <f>IF($C850="","",$C850&amp;"|"&amp;COUNTIFS($C$6:$C850,$C850))</f>
        <v/>
      </c>
      <c r="AH850" s="32">
        <f>IF(OR($C850="",$A850="",$AE850=""),"",$C850&amp;"|"&amp;$A850&amp;"|"&amp;$AE850)</f>
        <v/>
      </c>
      <c r="AI850" s="32">
        <f>IF(OR($C850="",$AE850="",$AE850=1),"",IFERROR(INDEX($AC$6:$AC$1505,MATCH($C850&amp;"|"&amp;$A850&amp;"|"&amp;($AE850-1),$AH$6:$AH$1505,0)),""))</f>
        <v/>
      </c>
      <c r="AJ850" s="32">
        <f>IF(OR($AI850="",$AC850=""),"",IF($AI850=$AC850,"ללא שינוי","מ-"&amp;$AI850&amp;" ל-"&amp;$AC850))</f>
        <v/>
      </c>
      <c r="AK850" s="67" t="n"/>
    </row>
    <row r="851" ht="15.75" customHeight="1" s="58">
      <c r="A851" s="65" t="n"/>
      <c r="B851" s="65" t="n"/>
      <c r="C851" s="66" t="n"/>
      <c r="D851" s="66" t="n"/>
      <c r="E851" s="65" t="n"/>
      <c r="F851" s="65" t="n"/>
      <c r="G851" s="65" t="n"/>
      <c r="H851" s="65" t="n"/>
      <c r="I851" s="65" t="n"/>
      <c r="J851" s="65" t="n"/>
      <c r="K851" s="65" t="n"/>
      <c r="L851" s="65" t="n"/>
      <c r="M851" s="65" t="n"/>
      <c r="N851" s="65" t="n"/>
      <c r="O851" s="65" t="n"/>
      <c r="P851" s="65" t="n"/>
      <c r="Q851" s="65" t="n"/>
      <c r="R851" s="65" t="n"/>
      <c r="S851" s="65" t="n"/>
      <c r="T851" s="65" t="n"/>
      <c r="U851" s="65" t="n"/>
      <c r="V851" s="65" t="n"/>
      <c r="W851" s="65" t="n"/>
      <c r="X851" s="65" t="n"/>
      <c r="Y851" s="32">
        <f>IF($C851="","",IF(COUNTA($I851:$K851)&lt;3,"— חסרים נתונים",IF(AND($I851="תקין",$J851="תקין",$K851="תקין"),"רהוטה",IF(AND($I851="תקין",$J851="תקין"),"מדויקת ורציפה","אינה מדויקת או מקוטעת"))))</f>
        <v/>
      </c>
      <c r="Z851" s="32">
        <f>IF($C851="","",IF(COUNTA($U851:$W851)&lt;3,"",IF(AND($U851="מפותח",$V851="מפותח",$W851="מפותחת"),"מפותחת",IF((--($U851="דל"))+(--($V851="אינו מפותח"))+(--($W851="דלה"))&gt;=2,"אינה מפותחת","חלקית"))))</f>
        <v/>
      </c>
      <c r="AA851" s="32">
        <f>IF($C851="","",IF(COUNTA($M851,$N851,$O851)&lt;3,"— חסרים נתונים",IF(OR($M851="נמוכה",(--($M851&lt;&gt;"תקינה"))+(--($N851&lt;&gt;"תקין"))+(--($O851&lt;&gt;"תקינה"))&gt;=2),"ניכרת","אינה ניכרת")))</f>
        <v/>
      </c>
      <c r="AB851" s="32">
        <f>IF(OR($C851="",$Y851="",$AA851="",LEFT($Y851,1)="—",LEFT($AA851,1)="—"),"",IF($Z851="","— נדרשת הערכת כתיבה",IF($L851="","— חסרה הבנת הנקרא",IF($Y851="אינה מדויקת או מקוטעת",IF($AA851="ניכרת","מיקוד בשטף הקריאה ובכישורי שפה","מיקוד בשטף קריאה"),IF($AA851="ניכרת","מיקוד בכישורי שפה",IF(AND($L851="תקינה",$Z851="מפותחת"),"קוראים וכותבים מיומנים","מיקוד בהבנה והבעה"))))))</f>
        <v/>
      </c>
      <c r="AC851" s="32">
        <f>IF(OR($AB851="",LEFT($AB851,1)="—"),"",IF(OR($AB851="מיקוד בשטף קריאה",$AB851="מיקוד בשטף הקריאה ובכישורי שפה"),"רמה א'",IF($AB851="קוראים וכותבים מיומנים","רמה ג'","רמה ב'")))</f>
        <v/>
      </c>
      <c r="AD851" s="32">
        <f>IF($AC851="","",MID(IF(AND($AC851="רמה א'",$AA851="ניכרת"),"; להוסיף עבודת אוצר מילים","")&amp;IF($Z851="אינה מפותחת","; דגש על הבעה בכתב","")&amp;IF($K851&lt;&gt;"תקין","; נדרש לעבוד על ההנגנה","")&amp;IF($AK851&lt;&gt;"","; "&amp;$AK851,""),3,400))</f>
        <v/>
      </c>
      <c r="AE851" s="32">
        <f>IF($F851="","",IF($F851="תחילת שנה",1,IF($F851="מחצית שנה",2,3)))</f>
        <v/>
      </c>
      <c r="AF851" s="32">
        <f>IF(OR($B851="",$AC851="",$A851="",$F851=""),"",$B851&amp;"|"&amp;$A851&amp;"|"&amp;$F851&amp;"|"&amp;$AC851&amp;"|"&amp;COUNTIFS($B$6:$B851,$B851,$A$6:$A851,$A851,$F$6:$F851,$F851,$AC$6:$AC851,$AC851))</f>
        <v/>
      </c>
      <c r="AG851" s="32">
        <f>IF($C851="","",$C851&amp;"|"&amp;COUNTIFS($C$6:$C851,$C851))</f>
        <v/>
      </c>
      <c r="AH851" s="32">
        <f>IF(OR($C851="",$A851="",$AE851=""),"",$C851&amp;"|"&amp;$A851&amp;"|"&amp;$AE851)</f>
        <v/>
      </c>
      <c r="AI851" s="32">
        <f>IF(OR($C851="",$AE851="",$AE851=1),"",IFERROR(INDEX($AC$6:$AC$1505,MATCH($C851&amp;"|"&amp;$A851&amp;"|"&amp;($AE851-1),$AH$6:$AH$1505,0)),""))</f>
        <v/>
      </c>
      <c r="AJ851" s="32">
        <f>IF(OR($AI851="",$AC851=""),"",IF($AI851=$AC851,"ללא שינוי","מ-"&amp;$AI851&amp;" ל-"&amp;$AC851))</f>
        <v/>
      </c>
      <c r="AK851" s="67" t="n"/>
    </row>
    <row r="852" ht="15.75" customHeight="1" s="58">
      <c r="A852" s="65" t="n"/>
      <c r="B852" s="65" t="n"/>
      <c r="C852" s="66" t="n"/>
      <c r="D852" s="66" t="n"/>
      <c r="E852" s="65" t="n"/>
      <c r="F852" s="65" t="n"/>
      <c r="G852" s="65" t="n"/>
      <c r="H852" s="65" t="n"/>
      <c r="I852" s="65" t="n"/>
      <c r="J852" s="65" t="n"/>
      <c r="K852" s="65" t="n"/>
      <c r="L852" s="65" t="n"/>
      <c r="M852" s="65" t="n"/>
      <c r="N852" s="65" t="n"/>
      <c r="O852" s="65" t="n"/>
      <c r="P852" s="65" t="n"/>
      <c r="Q852" s="65" t="n"/>
      <c r="R852" s="65" t="n"/>
      <c r="S852" s="65" t="n"/>
      <c r="T852" s="65" t="n"/>
      <c r="U852" s="65" t="n"/>
      <c r="V852" s="65" t="n"/>
      <c r="W852" s="65" t="n"/>
      <c r="X852" s="65" t="n"/>
      <c r="Y852" s="32">
        <f>IF($C852="","",IF(COUNTA($I852:$K852)&lt;3,"— חסרים נתונים",IF(AND($I852="תקין",$J852="תקין",$K852="תקין"),"רהוטה",IF(AND($I852="תקין",$J852="תקין"),"מדויקת ורציפה","אינה מדויקת או מקוטעת"))))</f>
        <v/>
      </c>
      <c r="Z852" s="32">
        <f>IF($C852="","",IF(COUNTA($U852:$W852)&lt;3,"",IF(AND($U852="מפותח",$V852="מפותח",$W852="מפותחת"),"מפותחת",IF((--($U852="דל"))+(--($V852="אינו מפותח"))+(--($W852="דלה"))&gt;=2,"אינה מפותחת","חלקית"))))</f>
        <v/>
      </c>
      <c r="AA852" s="32">
        <f>IF($C852="","",IF(COUNTA($M852,$N852,$O852)&lt;3,"— חסרים נתונים",IF(OR($M852="נמוכה",(--($M852&lt;&gt;"תקינה"))+(--($N852&lt;&gt;"תקין"))+(--($O852&lt;&gt;"תקינה"))&gt;=2),"ניכרת","אינה ניכרת")))</f>
        <v/>
      </c>
      <c r="AB852" s="32">
        <f>IF(OR($C852="",$Y852="",$AA852="",LEFT($Y852,1)="—",LEFT($AA852,1)="—"),"",IF($Z852="","— נדרשת הערכת כתיבה",IF($L852="","— חסרה הבנת הנקרא",IF($Y852="אינה מדויקת או מקוטעת",IF($AA852="ניכרת","מיקוד בשטף הקריאה ובכישורי שפה","מיקוד בשטף קריאה"),IF($AA852="ניכרת","מיקוד בכישורי שפה",IF(AND($L852="תקינה",$Z852="מפותחת"),"קוראים וכותבים מיומנים","מיקוד בהבנה והבעה"))))))</f>
        <v/>
      </c>
      <c r="AC852" s="32">
        <f>IF(OR($AB852="",LEFT($AB852,1)="—"),"",IF(OR($AB852="מיקוד בשטף קריאה",$AB852="מיקוד בשטף הקריאה ובכישורי שפה"),"רמה א'",IF($AB852="קוראים וכותבים מיומנים","רמה ג'","רמה ב'")))</f>
        <v/>
      </c>
      <c r="AD852" s="32">
        <f>IF($AC852="","",MID(IF(AND($AC852="רמה א'",$AA852="ניכרת"),"; להוסיף עבודת אוצר מילים","")&amp;IF($Z852="אינה מפותחת","; דגש על הבעה בכתב","")&amp;IF($K852&lt;&gt;"תקין","; נדרש לעבוד על ההנגנה","")&amp;IF($AK852&lt;&gt;"","; "&amp;$AK852,""),3,400))</f>
        <v/>
      </c>
      <c r="AE852" s="32">
        <f>IF($F852="","",IF($F852="תחילת שנה",1,IF($F852="מחצית שנה",2,3)))</f>
        <v/>
      </c>
      <c r="AF852" s="32">
        <f>IF(OR($B852="",$AC852="",$A852="",$F852=""),"",$B852&amp;"|"&amp;$A852&amp;"|"&amp;$F852&amp;"|"&amp;$AC852&amp;"|"&amp;COUNTIFS($B$6:$B852,$B852,$A$6:$A852,$A852,$F$6:$F852,$F852,$AC$6:$AC852,$AC852))</f>
        <v/>
      </c>
      <c r="AG852" s="32">
        <f>IF($C852="","",$C852&amp;"|"&amp;COUNTIFS($C$6:$C852,$C852))</f>
        <v/>
      </c>
      <c r="AH852" s="32">
        <f>IF(OR($C852="",$A852="",$AE852=""),"",$C852&amp;"|"&amp;$A852&amp;"|"&amp;$AE852)</f>
        <v/>
      </c>
      <c r="AI852" s="32">
        <f>IF(OR($C852="",$AE852="",$AE852=1),"",IFERROR(INDEX($AC$6:$AC$1505,MATCH($C852&amp;"|"&amp;$A852&amp;"|"&amp;($AE852-1),$AH$6:$AH$1505,0)),""))</f>
        <v/>
      </c>
      <c r="AJ852" s="32">
        <f>IF(OR($AI852="",$AC852=""),"",IF($AI852=$AC852,"ללא שינוי","מ-"&amp;$AI852&amp;" ל-"&amp;$AC852))</f>
        <v/>
      </c>
      <c r="AK852" s="67" t="n"/>
    </row>
    <row r="853" ht="15.75" customHeight="1" s="58">
      <c r="A853" s="65" t="n"/>
      <c r="B853" s="65" t="n"/>
      <c r="C853" s="66" t="n"/>
      <c r="D853" s="66" t="n"/>
      <c r="E853" s="65" t="n"/>
      <c r="F853" s="65" t="n"/>
      <c r="G853" s="65" t="n"/>
      <c r="H853" s="65" t="n"/>
      <c r="I853" s="65" t="n"/>
      <c r="J853" s="65" t="n"/>
      <c r="K853" s="65" t="n"/>
      <c r="L853" s="65" t="n"/>
      <c r="M853" s="65" t="n"/>
      <c r="N853" s="65" t="n"/>
      <c r="O853" s="65" t="n"/>
      <c r="P853" s="65" t="n"/>
      <c r="Q853" s="65" t="n"/>
      <c r="R853" s="65" t="n"/>
      <c r="S853" s="65" t="n"/>
      <c r="T853" s="65" t="n"/>
      <c r="U853" s="65" t="n"/>
      <c r="V853" s="65" t="n"/>
      <c r="W853" s="65" t="n"/>
      <c r="X853" s="65" t="n"/>
      <c r="Y853" s="32">
        <f>IF($C853="","",IF(COUNTA($I853:$K853)&lt;3,"— חסרים נתונים",IF(AND($I853="תקין",$J853="תקין",$K853="תקין"),"רהוטה",IF(AND($I853="תקין",$J853="תקין"),"מדויקת ורציפה","אינה מדויקת או מקוטעת"))))</f>
        <v/>
      </c>
      <c r="Z853" s="32">
        <f>IF($C853="","",IF(COUNTA($U853:$W853)&lt;3,"",IF(AND($U853="מפותח",$V853="מפותח",$W853="מפותחת"),"מפותחת",IF((--($U853="דל"))+(--($V853="אינו מפותח"))+(--($W853="דלה"))&gt;=2,"אינה מפותחת","חלקית"))))</f>
        <v/>
      </c>
      <c r="AA853" s="32">
        <f>IF($C853="","",IF(COUNTA($M853,$N853,$O853)&lt;3,"— חסרים נתונים",IF(OR($M853="נמוכה",(--($M853&lt;&gt;"תקינה"))+(--($N853&lt;&gt;"תקין"))+(--($O853&lt;&gt;"תקינה"))&gt;=2),"ניכרת","אינה ניכרת")))</f>
        <v/>
      </c>
      <c r="AB853" s="32">
        <f>IF(OR($C853="",$Y853="",$AA853="",LEFT($Y853,1)="—",LEFT($AA853,1)="—"),"",IF($Z853="","— נדרשת הערכת כתיבה",IF($L853="","— חסרה הבנת הנקרא",IF($Y853="אינה מדויקת או מקוטעת",IF($AA853="ניכרת","מיקוד בשטף הקריאה ובכישורי שפה","מיקוד בשטף קריאה"),IF($AA853="ניכרת","מיקוד בכישורי שפה",IF(AND($L853="תקינה",$Z853="מפותחת"),"קוראים וכותבים מיומנים","מיקוד בהבנה והבעה"))))))</f>
        <v/>
      </c>
      <c r="AC853" s="32">
        <f>IF(OR($AB853="",LEFT($AB853,1)="—"),"",IF(OR($AB853="מיקוד בשטף קריאה",$AB853="מיקוד בשטף הקריאה ובכישורי שפה"),"רמה א'",IF($AB853="קוראים וכותבים מיומנים","רמה ג'","רמה ב'")))</f>
        <v/>
      </c>
      <c r="AD853" s="32">
        <f>IF($AC853="","",MID(IF(AND($AC853="רמה א'",$AA853="ניכרת"),"; להוסיף עבודת אוצר מילים","")&amp;IF($Z853="אינה מפותחת","; דגש על הבעה בכתב","")&amp;IF($K853&lt;&gt;"תקין","; נדרש לעבוד על ההנגנה","")&amp;IF($AK853&lt;&gt;"","; "&amp;$AK853,""),3,400))</f>
        <v/>
      </c>
      <c r="AE853" s="32">
        <f>IF($F853="","",IF($F853="תחילת שנה",1,IF($F853="מחצית שנה",2,3)))</f>
        <v/>
      </c>
      <c r="AF853" s="32">
        <f>IF(OR($B853="",$AC853="",$A853="",$F853=""),"",$B853&amp;"|"&amp;$A853&amp;"|"&amp;$F853&amp;"|"&amp;$AC853&amp;"|"&amp;COUNTIFS($B$6:$B853,$B853,$A$6:$A853,$A853,$F$6:$F853,$F853,$AC$6:$AC853,$AC853))</f>
        <v/>
      </c>
      <c r="AG853" s="32">
        <f>IF($C853="","",$C853&amp;"|"&amp;COUNTIFS($C$6:$C853,$C853))</f>
        <v/>
      </c>
      <c r="AH853" s="32">
        <f>IF(OR($C853="",$A853="",$AE853=""),"",$C853&amp;"|"&amp;$A853&amp;"|"&amp;$AE853)</f>
        <v/>
      </c>
      <c r="AI853" s="32">
        <f>IF(OR($C853="",$AE853="",$AE853=1),"",IFERROR(INDEX($AC$6:$AC$1505,MATCH($C853&amp;"|"&amp;$A853&amp;"|"&amp;($AE853-1),$AH$6:$AH$1505,0)),""))</f>
        <v/>
      </c>
      <c r="AJ853" s="32">
        <f>IF(OR($AI853="",$AC853=""),"",IF($AI853=$AC853,"ללא שינוי","מ-"&amp;$AI853&amp;" ל-"&amp;$AC853))</f>
        <v/>
      </c>
      <c r="AK853" s="67" t="n"/>
    </row>
    <row r="854" ht="15.75" customHeight="1" s="58">
      <c r="A854" s="65" t="n"/>
      <c r="B854" s="65" t="n"/>
      <c r="C854" s="66" t="n"/>
      <c r="D854" s="66" t="n"/>
      <c r="E854" s="65" t="n"/>
      <c r="F854" s="65" t="n"/>
      <c r="G854" s="65" t="n"/>
      <c r="H854" s="65" t="n"/>
      <c r="I854" s="65" t="n"/>
      <c r="J854" s="65" t="n"/>
      <c r="K854" s="65" t="n"/>
      <c r="L854" s="65" t="n"/>
      <c r="M854" s="65" t="n"/>
      <c r="N854" s="65" t="n"/>
      <c r="O854" s="65" t="n"/>
      <c r="P854" s="65" t="n"/>
      <c r="Q854" s="65" t="n"/>
      <c r="R854" s="65" t="n"/>
      <c r="S854" s="65" t="n"/>
      <c r="T854" s="65" t="n"/>
      <c r="U854" s="65" t="n"/>
      <c r="V854" s="65" t="n"/>
      <c r="W854" s="65" t="n"/>
      <c r="X854" s="65" t="n"/>
      <c r="Y854" s="32">
        <f>IF($C854="","",IF(COUNTA($I854:$K854)&lt;3,"— חסרים נתונים",IF(AND($I854="תקין",$J854="תקין",$K854="תקין"),"רהוטה",IF(AND($I854="תקין",$J854="תקין"),"מדויקת ורציפה","אינה מדויקת או מקוטעת"))))</f>
        <v/>
      </c>
      <c r="Z854" s="32">
        <f>IF($C854="","",IF(COUNTA($U854:$W854)&lt;3,"",IF(AND($U854="מפותח",$V854="מפותח",$W854="מפותחת"),"מפותחת",IF((--($U854="דל"))+(--($V854="אינו מפותח"))+(--($W854="דלה"))&gt;=2,"אינה מפותחת","חלקית"))))</f>
        <v/>
      </c>
      <c r="AA854" s="32">
        <f>IF($C854="","",IF(COUNTA($M854,$N854,$O854)&lt;3,"— חסרים נתונים",IF(OR($M854="נמוכה",(--($M854&lt;&gt;"תקינה"))+(--($N854&lt;&gt;"תקין"))+(--($O854&lt;&gt;"תקינה"))&gt;=2),"ניכרת","אינה ניכרת")))</f>
        <v/>
      </c>
      <c r="AB854" s="32">
        <f>IF(OR($C854="",$Y854="",$AA854="",LEFT($Y854,1)="—",LEFT($AA854,1)="—"),"",IF($Z854="","— נדרשת הערכת כתיבה",IF($L854="","— חסרה הבנת הנקרא",IF($Y854="אינה מדויקת או מקוטעת",IF($AA854="ניכרת","מיקוד בשטף הקריאה ובכישורי שפה","מיקוד בשטף קריאה"),IF($AA854="ניכרת","מיקוד בכישורי שפה",IF(AND($L854="תקינה",$Z854="מפותחת"),"קוראים וכותבים מיומנים","מיקוד בהבנה והבעה"))))))</f>
        <v/>
      </c>
      <c r="AC854" s="32">
        <f>IF(OR($AB854="",LEFT($AB854,1)="—"),"",IF(OR($AB854="מיקוד בשטף קריאה",$AB854="מיקוד בשטף הקריאה ובכישורי שפה"),"רמה א'",IF($AB854="קוראים וכותבים מיומנים","רמה ג'","רמה ב'")))</f>
        <v/>
      </c>
      <c r="AD854" s="32">
        <f>IF($AC854="","",MID(IF(AND($AC854="רמה א'",$AA854="ניכרת"),"; להוסיף עבודת אוצר מילים","")&amp;IF($Z854="אינה מפותחת","; דגש על הבעה בכתב","")&amp;IF($K854&lt;&gt;"תקין","; נדרש לעבוד על ההנגנה","")&amp;IF($AK854&lt;&gt;"","; "&amp;$AK854,""),3,400))</f>
        <v/>
      </c>
      <c r="AE854" s="32">
        <f>IF($F854="","",IF($F854="תחילת שנה",1,IF($F854="מחצית שנה",2,3)))</f>
        <v/>
      </c>
      <c r="AF854" s="32">
        <f>IF(OR($B854="",$AC854="",$A854="",$F854=""),"",$B854&amp;"|"&amp;$A854&amp;"|"&amp;$F854&amp;"|"&amp;$AC854&amp;"|"&amp;COUNTIFS($B$6:$B854,$B854,$A$6:$A854,$A854,$F$6:$F854,$F854,$AC$6:$AC854,$AC854))</f>
        <v/>
      </c>
      <c r="AG854" s="32">
        <f>IF($C854="","",$C854&amp;"|"&amp;COUNTIFS($C$6:$C854,$C854))</f>
        <v/>
      </c>
      <c r="AH854" s="32">
        <f>IF(OR($C854="",$A854="",$AE854=""),"",$C854&amp;"|"&amp;$A854&amp;"|"&amp;$AE854)</f>
        <v/>
      </c>
      <c r="AI854" s="32">
        <f>IF(OR($C854="",$AE854="",$AE854=1),"",IFERROR(INDEX($AC$6:$AC$1505,MATCH($C854&amp;"|"&amp;$A854&amp;"|"&amp;($AE854-1),$AH$6:$AH$1505,0)),""))</f>
        <v/>
      </c>
      <c r="AJ854" s="32">
        <f>IF(OR($AI854="",$AC854=""),"",IF($AI854=$AC854,"ללא שינוי","מ-"&amp;$AI854&amp;" ל-"&amp;$AC854))</f>
        <v/>
      </c>
      <c r="AK854" s="67" t="n"/>
    </row>
    <row r="855" ht="15.75" customHeight="1" s="58">
      <c r="A855" s="65" t="n"/>
      <c r="B855" s="65" t="n"/>
      <c r="C855" s="66" t="n"/>
      <c r="D855" s="66" t="n"/>
      <c r="E855" s="65" t="n"/>
      <c r="F855" s="65" t="n"/>
      <c r="G855" s="65" t="n"/>
      <c r="H855" s="65" t="n"/>
      <c r="I855" s="65" t="n"/>
      <c r="J855" s="65" t="n"/>
      <c r="K855" s="65" t="n"/>
      <c r="L855" s="65" t="n"/>
      <c r="M855" s="65" t="n"/>
      <c r="N855" s="65" t="n"/>
      <c r="O855" s="65" t="n"/>
      <c r="P855" s="65" t="n"/>
      <c r="Q855" s="65" t="n"/>
      <c r="R855" s="65" t="n"/>
      <c r="S855" s="65" t="n"/>
      <c r="T855" s="65" t="n"/>
      <c r="U855" s="65" t="n"/>
      <c r="V855" s="65" t="n"/>
      <c r="W855" s="65" t="n"/>
      <c r="X855" s="65" t="n"/>
      <c r="Y855" s="32">
        <f>IF($C855="","",IF(COUNTA($I855:$K855)&lt;3,"— חסרים נתונים",IF(AND($I855="תקין",$J855="תקין",$K855="תקין"),"רהוטה",IF(AND($I855="תקין",$J855="תקין"),"מדויקת ורציפה","אינה מדויקת או מקוטעת"))))</f>
        <v/>
      </c>
      <c r="Z855" s="32">
        <f>IF($C855="","",IF(COUNTA($U855:$W855)&lt;3,"",IF(AND($U855="מפותח",$V855="מפותח",$W855="מפותחת"),"מפותחת",IF((--($U855="דל"))+(--($V855="אינו מפותח"))+(--($W855="דלה"))&gt;=2,"אינה מפותחת","חלקית"))))</f>
        <v/>
      </c>
      <c r="AA855" s="32">
        <f>IF($C855="","",IF(COUNTA($M855,$N855,$O855)&lt;3,"— חסרים נתונים",IF(OR($M855="נמוכה",(--($M855&lt;&gt;"תקינה"))+(--($N855&lt;&gt;"תקין"))+(--($O855&lt;&gt;"תקינה"))&gt;=2),"ניכרת","אינה ניכרת")))</f>
        <v/>
      </c>
      <c r="AB855" s="32">
        <f>IF(OR($C855="",$Y855="",$AA855="",LEFT($Y855,1)="—",LEFT($AA855,1)="—"),"",IF($Z855="","— נדרשת הערכת כתיבה",IF($L855="","— חסרה הבנת הנקרא",IF($Y855="אינה מדויקת או מקוטעת",IF($AA855="ניכרת","מיקוד בשטף הקריאה ובכישורי שפה","מיקוד בשטף קריאה"),IF($AA855="ניכרת","מיקוד בכישורי שפה",IF(AND($L855="תקינה",$Z855="מפותחת"),"קוראים וכותבים מיומנים","מיקוד בהבנה והבעה"))))))</f>
        <v/>
      </c>
      <c r="AC855" s="32">
        <f>IF(OR($AB855="",LEFT($AB855,1)="—"),"",IF(OR($AB855="מיקוד בשטף קריאה",$AB855="מיקוד בשטף הקריאה ובכישורי שפה"),"רמה א'",IF($AB855="קוראים וכותבים מיומנים","רמה ג'","רמה ב'")))</f>
        <v/>
      </c>
      <c r="AD855" s="32">
        <f>IF($AC855="","",MID(IF(AND($AC855="רמה א'",$AA855="ניכרת"),"; להוסיף עבודת אוצר מילים","")&amp;IF($Z855="אינה מפותחת","; דגש על הבעה בכתב","")&amp;IF($K855&lt;&gt;"תקין","; נדרש לעבוד על ההנגנה","")&amp;IF($AK855&lt;&gt;"","; "&amp;$AK855,""),3,400))</f>
        <v/>
      </c>
      <c r="AE855" s="32">
        <f>IF($F855="","",IF($F855="תחילת שנה",1,IF($F855="מחצית שנה",2,3)))</f>
        <v/>
      </c>
      <c r="AF855" s="32">
        <f>IF(OR($B855="",$AC855="",$A855="",$F855=""),"",$B855&amp;"|"&amp;$A855&amp;"|"&amp;$F855&amp;"|"&amp;$AC855&amp;"|"&amp;COUNTIFS($B$6:$B855,$B855,$A$6:$A855,$A855,$F$6:$F855,$F855,$AC$6:$AC855,$AC855))</f>
        <v/>
      </c>
      <c r="AG855" s="32">
        <f>IF($C855="","",$C855&amp;"|"&amp;COUNTIFS($C$6:$C855,$C855))</f>
        <v/>
      </c>
      <c r="AH855" s="32">
        <f>IF(OR($C855="",$A855="",$AE855=""),"",$C855&amp;"|"&amp;$A855&amp;"|"&amp;$AE855)</f>
        <v/>
      </c>
      <c r="AI855" s="32">
        <f>IF(OR($C855="",$AE855="",$AE855=1),"",IFERROR(INDEX($AC$6:$AC$1505,MATCH($C855&amp;"|"&amp;$A855&amp;"|"&amp;($AE855-1),$AH$6:$AH$1505,0)),""))</f>
        <v/>
      </c>
      <c r="AJ855" s="32">
        <f>IF(OR($AI855="",$AC855=""),"",IF($AI855=$AC855,"ללא שינוי","מ-"&amp;$AI855&amp;" ל-"&amp;$AC855))</f>
        <v/>
      </c>
      <c r="AK855" s="67" t="n"/>
    </row>
    <row r="856" ht="15.75" customHeight="1" s="58">
      <c r="A856" s="65" t="n"/>
      <c r="B856" s="65" t="n"/>
      <c r="C856" s="66" t="n"/>
      <c r="D856" s="66" t="n"/>
      <c r="E856" s="65" t="n"/>
      <c r="F856" s="65" t="n"/>
      <c r="G856" s="65" t="n"/>
      <c r="H856" s="65" t="n"/>
      <c r="I856" s="65" t="n"/>
      <c r="J856" s="65" t="n"/>
      <c r="K856" s="65" t="n"/>
      <c r="L856" s="65" t="n"/>
      <c r="M856" s="65" t="n"/>
      <c r="N856" s="65" t="n"/>
      <c r="O856" s="65" t="n"/>
      <c r="P856" s="65" t="n"/>
      <c r="Q856" s="65" t="n"/>
      <c r="R856" s="65" t="n"/>
      <c r="S856" s="65" t="n"/>
      <c r="T856" s="65" t="n"/>
      <c r="U856" s="65" t="n"/>
      <c r="V856" s="65" t="n"/>
      <c r="W856" s="65" t="n"/>
      <c r="X856" s="65" t="n"/>
      <c r="Y856" s="32">
        <f>IF($C856="","",IF(COUNTA($I856:$K856)&lt;3,"— חסרים נתונים",IF(AND($I856="תקין",$J856="תקין",$K856="תקין"),"רהוטה",IF(AND($I856="תקין",$J856="תקין"),"מדויקת ורציפה","אינה מדויקת או מקוטעת"))))</f>
        <v/>
      </c>
      <c r="Z856" s="32">
        <f>IF($C856="","",IF(COUNTA($U856:$W856)&lt;3,"",IF(AND($U856="מפותח",$V856="מפותח",$W856="מפותחת"),"מפותחת",IF((--($U856="דל"))+(--($V856="אינו מפותח"))+(--($W856="דלה"))&gt;=2,"אינה מפותחת","חלקית"))))</f>
        <v/>
      </c>
      <c r="AA856" s="32">
        <f>IF($C856="","",IF(COUNTA($M856,$N856,$O856)&lt;3,"— חסרים נתונים",IF(OR($M856="נמוכה",(--($M856&lt;&gt;"תקינה"))+(--($N856&lt;&gt;"תקין"))+(--($O856&lt;&gt;"תקינה"))&gt;=2),"ניכרת","אינה ניכרת")))</f>
        <v/>
      </c>
      <c r="AB856" s="32">
        <f>IF(OR($C856="",$Y856="",$AA856="",LEFT($Y856,1)="—",LEFT($AA856,1)="—"),"",IF($Z856="","— נדרשת הערכת כתיבה",IF($L856="","— חסרה הבנת הנקרא",IF($Y856="אינה מדויקת או מקוטעת",IF($AA856="ניכרת","מיקוד בשטף הקריאה ובכישורי שפה","מיקוד בשטף קריאה"),IF($AA856="ניכרת","מיקוד בכישורי שפה",IF(AND($L856="תקינה",$Z856="מפותחת"),"קוראים וכותבים מיומנים","מיקוד בהבנה והבעה"))))))</f>
        <v/>
      </c>
      <c r="AC856" s="32">
        <f>IF(OR($AB856="",LEFT($AB856,1)="—"),"",IF(OR($AB856="מיקוד בשטף קריאה",$AB856="מיקוד בשטף הקריאה ובכישורי שפה"),"רמה א'",IF($AB856="קוראים וכותבים מיומנים","רמה ג'","רמה ב'")))</f>
        <v/>
      </c>
      <c r="AD856" s="32">
        <f>IF($AC856="","",MID(IF(AND($AC856="רמה א'",$AA856="ניכרת"),"; להוסיף עבודת אוצר מילים","")&amp;IF($Z856="אינה מפותחת","; דגש על הבעה בכתב","")&amp;IF($K856&lt;&gt;"תקין","; נדרש לעבוד על ההנגנה","")&amp;IF($AK856&lt;&gt;"","; "&amp;$AK856,""),3,400))</f>
        <v/>
      </c>
      <c r="AE856" s="32">
        <f>IF($F856="","",IF($F856="תחילת שנה",1,IF($F856="מחצית שנה",2,3)))</f>
        <v/>
      </c>
      <c r="AF856" s="32">
        <f>IF(OR($B856="",$AC856="",$A856="",$F856=""),"",$B856&amp;"|"&amp;$A856&amp;"|"&amp;$F856&amp;"|"&amp;$AC856&amp;"|"&amp;COUNTIFS($B$6:$B856,$B856,$A$6:$A856,$A856,$F$6:$F856,$F856,$AC$6:$AC856,$AC856))</f>
        <v/>
      </c>
      <c r="AG856" s="32">
        <f>IF($C856="","",$C856&amp;"|"&amp;COUNTIFS($C$6:$C856,$C856))</f>
        <v/>
      </c>
      <c r="AH856" s="32">
        <f>IF(OR($C856="",$A856="",$AE856=""),"",$C856&amp;"|"&amp;$A856&amp;"|"&amp;$AE856)</f>
        <v/>
      </c>
      <c r="AI856" s="32">
        <f>IF(OR($C856="",$AE856="",$AE856=1),"",IFERROR(INDEX($AC$6:$AC$1505,MATCH($C856&amp;"|"&amp;$A856&amp;"|"&amp;($AE856-1),$AH$6:$AH$1505,0)),""))</f>
        <v/>
      </c>
      <c r="AJ856" s="32">
        <f>IF(OR($AI856="",$AC856=""),"",IF($AI856=$AC856,"ללא שינוי","מ-"&amp;$AI856&amp;" ל-"&amp;$AC856))</f>
        <v/>
      </c>
      <c r="AK856" s="67" t="n"/>
    </row>
    <row r="857" ht="15.75" customHeight="1" s="58">
      <c r="A857" s="65" t="n"/>
      <c r="B857" s="65" t="n"/>
      <c r="C857" s="66" t="n"/>
      <c r="D857" s="66" t="n"/>
      <c r="E857" s="65" t="n"/>
      <c r="F857" s="65" t="n"/>
      <c r="G857" s="65" t="n"/>
      <c r="H857" s="65" t="n"/>
      <c r="I857" s="65" t="n"/>
      <c r="J857" s="65" t="n"/>
      <c r="K857" s="65" t="n"/>
      <c r="L857" s="65" t="n"/>
      <c r="M857" s="65" t="n"/>
      <c r="N857" s="65" t="n"/>
      <c r="O857" s="65" t="n"/>
      <c r="P857" s="65" t="n"/>
      <c r="Q857" s="65" t="n"/>
      <c r="R857" s="65" t="n"/>
      <c r="S857" s="65" t="n"/>
      <c r="T857" s="65" t="n"/>
      <c r="U857" s="65" t="n"/>
      <c r="V857" s="65" t="n"/>
      <c r="W857" s="65" t="n"/>
      <c r="X857" s="65" t="n"/>
      <c r="Y857" s="32">
        <f>IF($C857="","",IF(COUNTA($I857:$K857)&lt;3,"— חסרים נתונים",IF(AND($I857="תקין",$J857="תקין",$K857="תקין"),"רהוטה",IF(AND($I857="תקין",$J857="תקין"),"מדויקת ורציפה","אינה מדויקת או מקוטעת"))))</f>
        <v/>
      </c>
      <c r="Z857" s="32">
        <f>IF($C857="","",IF(COUNTA($U857:$W857)&lt;3,"",IF(AND($U857="מפותח",$V857="מפותח",$W857="מפותחת"),"מפותחת",IF((--($U857="דל"))+(--($V857="אינו מפותח"))+(--($W857="דלה"))&gt;=2,"אינה מפותחת","חלקית"))))</f>
        <v/>
      </c>
      <c r="AA857" s="32">
        <f>IF($C857="","",IF(COUNTA($M857,$N857,$O857)&lt;3,"— חסרים נתונים",IF(OR($M857="נמוכה",(--($M857&lt;&gt;"תקינה"))+(--($N857&lt;&gt;"תקין"))+(--($O857&lt;&gt;"תקינה"))&gt;=2),"ניכרת","אינה ניכרת")))</f>
        <v/>
      </c>
      <c r="AB857" s="32">
        <f>IF(OR($C857="",$Y857="",$AA857="",LEFT($Y857,1)="—",LEFT($AA857,1)="—"),"",IF($Z857="","— נדרשת הערכת כתיבה",IF($L857="","— חסרה הבנת הנקרא",IF($Y857="אינה מדויקת או מקוטעת",IF($AA857="ניכרת","מיקוד בשטף הקריאה ובכישורי שפה","מיקוד בשטף קריאה"),IF($AA857="ניכרת","מיקוד בכישורי שפה",IF(AND($L857="תקינה",$Z857="מפותחת"),"קוראים וכותבים מיומנים","מיקוד בהבנה והבעה"))))))</f>
        <v/>
      </c>
      <c r="AC857" s="32">
        <f>IF(OR($AB857="",LEFT($AB857,1)="—"),"",IF(OR($AB857="מיקוד בשטף קריאה",$AB857="מיקוד בשטף הקריאה ובכישורי שפה"),"רמה א'",IF($AB857="קוראים וכותבים מיומנים","רמה ג'","רמה ב'")))</f>
        <v/>
      </c>
      <c r="AD857" s="32">
        <f>IF($AC857="","",MID(IF(AND($AC857="רמה א'",$AA857="ניכרת"),"; להוסיף עבודת אוצר מילים","")&amp;IF($Z857="אינה מפותחת","; דגש על הבעה בכתב","")&amp;IF($K857&lt;&gt;"תקין","; נדרש לעבוד על ההנגנה","")&amp;IF($AK857&lt;&gt;"","; "&amp;$AK857,""),3,400))</f>
        <v/>
      </c>
      <c r="AE857" s="32">
        <f>IF($F857="","",IF($F857="תחילת שנה",1,IF($F857="מחצית שנה",2,3)))</f>
        <v/>
      </c>
      <c r="AF857" s="32">
        <f>IF(OR($B857="",$AC857="",$A857="",$F857=""),"",$B857&amp;"|"&amp;$A857&amp;"|"&amp;$F857&amp;"|"&amp;$AC857&amp;"|"&amp;COUNTIFS($B$6:$B857,$B857,$A$6:$A857,$A857,$F$6:$F857,$F857,$AC$6:$AC857,$AC857))</f>
        <v/>
      </c>
      <c r="AG857" s="32">
        <f>IF($C857="","",$C857&amp;"|"&amp;COUNTIFS($C$6:$C857,$C857))</f>
        <v/>
      </c>
      <c r="AH857" s="32">
        <f>IF(OR($C857="",$A857="",$AE857=""),"",$C857&amp;"|"&amp;$A857&amp;"|"&amp;$AE857)</f>
        <v/>
      </c>
      <c r="AI857" s="32">
        <f>IF(OR($C857="",$AE857="",$AE857=1),"",IFERROR(INDEX($AC$6:$AC$1505,MATCH($C857&amp;"|"&amp;$A857&amp;"|"&amp;($AE857-1),$AH$6:$AH$1505,0)),""))</f>
        <v/>
      </c>
      <c r="AJ857" s="32">
        <f>IF(OR($AI857="",$AC857=""),"",IF($AI857=$AC857,"ללא שינוי","מ-"&amp;$AI857&amp;" ל-"&amp;$AC857))</f>
        <v/>
      </c>
      <c r="AK857" s="67" t="n"/>
    </row>
    <row r="858" ht="15.75" customHeight="1" s="58">
      <c r="A858" s="65" t="n"/>
      <c r="B858" s="65" t="n"/>
      <c r="C858" s="66" t="n"/>
      <c r="D858" s="66" t="n"/>
      <c r="E858" s="65" t="n"/>
      <c r="F858" s="65" t="n"/>
      <c r="G858" s="65" t="n"/>
      <c r="H858" s="65" t="n"/>
      <c r="I858" s="65" t="n"/>
      <c r="J858" s="65" t="n"/>
      <c r="K858" s="65" t="n"/>
      <c r="L858" s="65" t="n"/>
      <c r="M858" s="65" t="n"/>
      <c r="N858" s="65" t="n"/>
      <c r="O858" s="65" t="n"/>
      <c r="P858" s="65" t="n"/>
      <c r="Q858" s="65" t="n"/>
      <c r="R858" s="65" t="n"/>
      <c r="S858" s="65" t="n"/>
      <c r="T858" s="65" t="n"/>
      <c r="U858" s="65" t="n"/>
      <c r="V858" s="65" t="n"/>
      <c r="W858" s="65" t="n"/>
      <c r="X858" s="65" t="n"/>
      <c r="Y858" s="32">
        <f>IF($C858="","",IF(COUNTA($I858:$K858)&lt;3,"— חסרים נתונים",IF(AND($I858="תקין",$J858="תקין",$K858="תקין"),"רהוטה",IF(AND($I858="תקין",$J858="תקין"),"מדויקת ורציפה","אינה מדויקת או מקוטעת"))))</f>
        <v/>
      </c>
      <c r="Z858" s="32">
        <f>IF($C858="","",IF(COUNTA($U858:$W858)&lt;3,"",IF(AND($U858="מפותח",$V858="מפותח",$W858="מפותחת"),"מפותחת",IF((--($U858="דל"))+(--($V858="אינו מפותח"))+(--($W858="דלה"))&gt;=2,"אינה מפותחת","חלקית"))))</f>
        <v/>
      </c>
      <c r="AA858" s="32">
        <f>IF($C858="","",IF(COUNTA($M858,$N858,$O858)&lt;3,"— חסרים נתונים",IF(OR($M858="נמוכה",(--($M858&lt;&gt;"תקינה"))+(--($N858&lt;&gt;"תקין"))+(--($O858&lt;&gt;"תקינה"))&gt;=2),"ניכרת","אינה ניכרת")))</f>
        <v/>
      </c>
      <c r="AB858" s="32">
        <f>IF(OR($C858="",$Y858="",$AA858="",LEFT($Y858,1)="—",LEFT($AA858,1)="—"),"",IF($Z858="","— נדרשת הערכת כתיבה",IF($L858="","— חסרה הבנת הנקרא",IF($Y858="אינה מדויקת או מקוטעת",IF($AA858="ניכרת","מיקוד בשטף הקריאה ובכישורי שפה","מיקוד בשטף קריאה"),IF($AA858="ניכרת","מיקוד בכישורי שפה",IF(AND($L858="תקינה",$Z858="מפותחת"),"קוראים וכותבים מיומנים","מיקוד בהבנה והבעה"))))))</f>
        <v/>
      </c>
      <c r="AC858" s="32">
        <f>IF(OR($AB858="",LEFT($AB858,1)="—"),"",IF(OR($AB858="מיקוד בשטף קריאה",$AB858="מיקוד בשטף הקריאה ובכישורי שפה"),"רמה א'",IF($AB858="קוראים וכותבים מיומנים","רמה ג'","רמה ב'")))</f>
        <v/>
      </c>
      <c r="AD858" s="32">
        <f>IF($AC858="","",MID(IF(AND($AC858="רמה א'",$AA858="ניכרת"),"; להוסיף עבודת אוצר מילים","")&amp;IF($Z858="אינה מפותחת","; דגש על הבעה בכתב","")&amp;IF($K858&lt;&gt;"תקין","; נדרש לעבוד על ההנגנה","")&amp;IF($AK858&lt;&gt;"","; "&amp;$AK858,""),3,400))</f>
        <v/>
      </c>
      <c r="AE858" s="32">
        <f>IF($F858="","",IF($F858="תחילת שנה",1,IF($F858="מחצית שנה",2,3)))</f>
        <v/>
      </c>
      <c r="AF858" s="32">
        <f>IF(OR($B858="",$AC858="",$A858="",$F858=""),"",$B858&amp;"|"&amp;$A858&amp;"|"&amp;$F858&amp;"|"&amp;$AC858&amp;"|"&amp;COUNTIFS($B$6:$B858,$B858,$A$6:$A858,$A858,$F$6:$F858,$F858,$AC$6:$AC858,$AC858))</f>
        <v/>
      </c>
      <c r="AG858" s="32">
        <f>IF($C858="","",$C858&amp;"|"&amp;COUNTIFS($C$6:$C858,$C858))</f>
        <v/>
      </c>
      <c r="AH858" s="32">
        <f>IF(OR($C858="",$A858="",$AE858=""),"",$C858&amp;"|"&amp;$A858&amp;"|"&amp;$AE858)</f>
        <v/>
      </c>
      <c r="AI858" s="32">
        <f>IF(OR($C858="",$AE858="",$AE858=1),"",IFERROR(INDEX($AC$6:$AC$1505,MATCH($C858&amp;"|"&amp;$A858&amp;"|"&amp;($AE858-1),$AH$6:$AH$1505,0)),""))</f>
        <v/>
      </c>
      <c r="AJ858" s="32">
        <f>IF(OR($AI858="",$AC858=""),"",IF($AI858=$AC858,"ללא שינוי","מ-"&amp;$AI858&amp;" ל-"&amp;$AC858))</f>
        <v/>
      </c>
      <c r="AK858" s="67" t="n"/>
    </row>
    <row r="859" ht="15.75" customHeight="1" s="58">
      <c r="A859" s="65" t="n"/>
      <c r="B859" s="65" t="n"/>
      <c r="C859" s="66" t="n"/>
      <c r="D859" s="66" t="n"/>
      <c r="E859" s="65" t="n"/>
      <c r="F859" s="65" t="n"/>
      <c r="G859" s="65" t="n"/>
      <c r="H859" s="65" t="n"/>
      <c r="I859" s="65" t="n"/>
      <c r="J859" s="65" t="n"/>
      <c r="K859" s="65" t="n"/>
      <c r="L859" s="65" t="n"/>
      <c r="M859" s="65" t="n"/>
      <c r="N859" s="65" t="n"/>
      <c r="O859" s="65" t="n"/>
      <c r="P859" s="65" t="n"/>
      <c r="Q859" s="65" t="n"/>
      <c r="R859" s="65" t="n"/>
      <c r="S859" s="65" t="n"/>
      <c r="T859" s="65" t="n"/>
      <c r="U859" s="65" t="n"/>
      <c r="V859" s="65" t="n"/>
      <c r="W859" s="65" t="n"/>
      <c r="X859" s="65" t="n"/>
      <c r="Y859" s="32">
        <f>IF($C859="","",IF(COUNTA($I859:$K859)&lt;3,"— חסרים נתונים",IF(AND($I859="תקין",$J859="תקין",$K859="תקין"),"רהוטה",IF(AND($I859="תקין",$J859="תקין"),"מדויקת ורציפה","אינה מדויקת או מקוטעת"))))</f>
        <v/>
      </c>
      <c r="Z859" s="32">
        <f>IF($C859="","",IF(COUNTA($U859:$W859)&lt;3,"",IF(AND($U859="מפותח",$V859="מפותח",$W859="מפותחת"),"מפותחת",IF((--($U859="דל"))+(--($V859="אינו מפותח"))+(--($W859="דלה"))&gt;=2,"אינה מפותחת","חלקית"))))</f>
        <v/>
      </c>
      <c r="AA859" s="32">
        <f>IF($C859="","",IF(COUNTA($M859,$N859,$O859)&lt;3,"— חסרים נתונים",IF(OR($M859="נמוכה",(--($M859&lt;&gt;"תקינה"))+(--($N859&lt;&gt;"תקין"))+(--($O859&lt;&gt;"תקינה"))&gt;=2),"ניכרת","אינה ניכרת")))</f>
        <v/>
      </c>
      <c r="AB859" s="32">
        <f>IF(OR($C859="",$Y859="",$AA859="",LEFT($Y859,1)="—",LEFT($AA859,1)="—"),"",IF($Z859="","— נדרשת הערכת כתיבה",IF($L859="","— חסרה הבנת הנקרא",IF($Y859="אינה מדויקת או מקוטעת",IF($AA859="ניכרת","מיקוד בשטף הקריאה ובכישורי שפה","מיקוד בשטף קריאה"),IF($AA859="ניכרת","מיקוד בכישורי שפה",IF(AND($L859="תקינה",$Z859="מפותחת"),"קוראים וכותבים מיומנים","מיקוד בהבנה והבעה"))))))</f>
        <v/>
      </c>
      <c r="AC859" s="32">
        <f>IF(OR($AB859="",LEFT($AB859,1)="—"),"",IF(OR($AB859="מיקוד בשטף קריאה",$AB859="מיקוד בשטף הקריאה ובכישורי שפה"),"רמה א'",IF($AB859="קוראים וכותבים מיומנים","רמה ג'","רמה ב'")))</f>
        <v/>
      </c>
      <c r="AD859" s="32">
        <f>IF($AC859="","",MID(IF(AND($AC859="רמה א'",$AA859="ניכרת"),"; להוסיף עבודת אוצר מילים","")&amp;IF($Z859="אינה מפותחת","; דגש על הבעה בכתב","")&amp;IF($K859&lt;&gt;"תקין","; נדרש לעבוד על ההנגנה","")&amp;IF($AK859&lt;&gt;"","; "&amp;$AK859,""),3,400))</f>
        <v/>
      </c>
      <c r="AE859" s="32">
        <f>IF($F859="","",IF($F859="תחילת שנה",1,IF($F859="מחצית שנה",2,3)))</f>
        <v/>
      </c>
      <c r="AF859" s="32">
        <f>IF(OR($B859="",$AC859="",$A859="",$F859=""),"",$B859&amp;"|"&amp;$A859&amp;"|"&amp;$F859&amp;"|"&amp;$AC859&amp;"|"&amp;COUNTIFS($B$6:$B859,$B859,$A$6:$A859,$A859,$F$6:$F859,$F859,$AC$6:$AC859,$AC859))</f>
        <v/>
      </c>
      <c r="AG859" s="32">
        <f>IF($C859="","",$C859&amp;"|"&amp;COUNTIFS($C$6:$C859,$C859))</f>
        <v/>
      </c>
      <c r="AH859" s="32">
        <f>IF(OR($C859="",$A859="",$AE859=""),"",$C859&amp;"|"&amp;$A859&amp;"|"&amp;$AE859)</f>
        <v/>
      </c>
      <c r="AI859" s="32">
        <f>IF(OR($C859="",$AE859="",$AE859=1),"",IFERROR(INDEX($AC$6:$AC$1505,MATCH($C859&amp;"|"&amp;$A859&amp;"|"&amp;($AE859-1),$AH$6:$AH$1505,0)),""))</f>
        <v/>
      </c>
      <c r="AJ859" s="32">
        <f>IF(OR($AI859="",$AC859=""),"",IF($AI859=$AC859,"ללא שינוי","מ-"&amp;$AI859&amp;" ל-"&amp;$AC859))</f>
        <v/>
      </c>
      <c r="AK859" s="67" t="n"/>
    </row>
    <row r="860" ht="15.75" customHeight="1" s="58">
      <c r="A860" s="65" t="n"/>
      <c r="B860" s="65" t="n"/>
      <c r="C860" s="66" t="n"/>
      <c r="D860" s="66" t="n"/>
      <c r="E860" s="65" t="n"/>
      <c r="F860" s="65" t="n"/>
      <c r="G860" s="65" t="n"/>
      <c r="H860" s="65" t="n"/>
      <c r="I860" s="65" t="n"/>
      <c r="J860" s="65" t="n"/>
      <c r="K860" s="65" t="n"/>
      <c r="L860" s="65" t="n"/>
      <c r="M860" s="65" t="n"/>
      <c r="N860" s="65" t="n"/>
      <c r="O860" s="65" t="n"/>
      <c r="P860" s="65" t="n"/>
      <c r="Q860" s="65" t="n"/>
      <c r="R860" s="65" t="n"/>
      <c r="S860" s="65" t="n"/>
      <c r="T860" s="65" t="n"/>
      <c r="U860" s="65" t="n"/>
      <c r="V860" s="65" t="n"/>
      <c r="W860" s="65" t="n"/>
      <c r="X860" s="65" t="n"/>
      <c r="Y860" s="32">
        <f>IF($C860="","",IF(COUNTA($I860:$K860)&lt;3,"— חסרים נתונים",IF(AND($I860="תקין",$J860="תקין",$K860="תקין"),"רהוטה",IF(AND($I860="תקין",$J860="תקין"),"מדויקת ורציפה","אינה מדויקת או מקוטעת"))))</f>
        <v/>
      </c>
      <c r="Z860" s="32">
        <f>IF($C860="","",IF(COUNTA($U860:$W860)&lt;3,"",IF(AND($U860="מפותח",$V860="מפותח",$W860="מפותחת"),"מפותחת",IF((--($U860="דל"))+(--($V860="אינו מפותח"))+(--($W860="דלה"))&gt;=2,"אינה מפותחת","חלקית"))))</f>
        <v/>
      </c>
      <c r="AA860" s="32">
        <f>IF($C860="","",IF(COUNTA($M860,$N860,$O860)&lt;3,"— חסרים נתונים",IF(OR($M860="נמוכה",(--($M860&lt;&gt;"תקינה"))+(--($N860&lt;&gt;"תקין"))+(--($O860&lt;&gt;"תקינה"))&gt;=2),"ניכרת","אינה ניכרת")))</f>
        <v/>
      </c>
      <c r="AB860" s="32">
        <f>IF(OR($C860="",$Y860="",$AA860="",LEFT($Y860,1)="—",LEFT($AA860,1)="—"),"",IF($Z860="","— נדרשת הערכת כתיבה",IF($L860="","— חסרה הבנת הנקרא",IF($Y860="אינה מדויקת או מקוטעת",IF($AA860="ניכרת","מיקוד בשטף הקריאה ובכישורי שפה","מיקוד בשטף קריאה"),IF($AA860="ניכרת","מיקוד בכישורי שפה",IF(AND($L860="תקינה",$Z860="מפותחת"),"קוראים וכותבים מיומנים","מיקוד בהבנה והבעה"))))))</f>
        <v/>
      </c>
      <c r="AC860" s="32">
        <f>IF(OR($AB860="",LEFT($AB860,1)="—"),"",IF(OR($AB860="מיקוד בשטף קריאה",$AB860="מיקוד בשטף הקריאה ובכישורי שפה"),"רמה א'",IF($AB860="קוראים וכותבים מיומנים","רמה ג'","רמה ב'")))</f>
        <v/>
      </c>
      <c r="AD860" s="32">
        <f>IF($AC860="","",MID(IF(AND($AC860="רמה א'",$AA860="ניכרת"),"; להוסיף עבודת אוצר מילים","")&amp;IF($Z860="אינה מפותחת","; דגש על הבעה בכתב","")&amp;IF($K860&lt;&gt;"תקין","; נדרש לעבוד על ההנגנה","")&amp;IF($AK860&lt;&gt;"","; "&amp;$AK860,""),3,400))</f>
        <v/>
      </c>
      <c r="AE860" s="32">
        <f>IF($F860="","",IF($F860="תחילת שנה",1,IF($F860="מחצית שנה",2,3)))</f>
        <v/>
      </c>
      <c r="AF860" s="32">
        <f>IF(OR($B860="",$AC860="",$A860="",$F860=""),"",$B860&amp;"|"&amp;$A860&amp;"|"&amp;$F860&amp;"|"&amp;$AC860&amp;"|"&amp;COUNTIFS($B$6:$B860,$B860,$A$6:$A860,$A860,$F$6:$F860,$F860,$AC$6:$AC860,$AC860))</f>
        <v/>
      </c>
      <c r="AG860" s="32">
        <f>IF($C860="","",$C860&amp;"|"&amp;COUNTIFS($C$6:$C860,$C860))</f>
        <v/>
      </c>
      <c r="AH860" s="32">
        <f>IF(OR($C860="",$A860="",$AE860=""),"",$C860&amp;"|"&amp;$A860&amp;"|"&amp;$AE860)</f>
        <v/>
      </c>
      <c r="AI860" s="32">
        <f>IF(OR($C860="",$AE860="",$AE860=1),"",IFERROR(INDEX($AC$6:$AC$1505,MATCH($C860&amp;"|"&amp;$A860&amp;"|"&amp;($AE860-1),$AH$6:$AH$1505,0)),""))</f>
        <v/>
      </c>
      <c r="AJ860" s="32">
        <f>IF(OR($AI860="",$AC860=""),"",IF($AI860=$AC860,"ללא שינוי","מ-"&amp;$AI860&amp;" ל-"&amp;$AC860))</f>
        <v/>
      </c>
      <c r="AK860" s="67" t="n"/>
    </row>
    <row r="861" ht="15.75" customHeight="1" s="58">
      <c r="A861" s="65" t="n"/>
      <c r="B861" s="65" t="n"/>
      <c r="C861" s="66" t="n"/>
      <c r="D861" s="66" t="n"/>
      <c r="E861" s="65" t="n"/>
      <c r="F861" s="65" t="n"/>
      <c r="G861" s="65" t="n"/>
      <c r="H861" s="65" t="n"/>
      <c r="I861" s="65" t="n"/>
      <c r="J861" s="65" t="n"/>
      <c r="K861" s="65" t="n"/>
      <c r="L861" s="65" t="n"/>
      <c r="M861" s="65" t="n"/>
      <c r="N861" s="65" t="n"/>
      <c r="O861" s="65" t="n"/>
      <c r="P861" s="65" t="n"/>
      <c r="Q861" s="65" t="n"/>
      <c r="R861" s="65" t="n"/>
      <c r="S861" s="65" t="n"/>
      <c r="T861" s="65" t="n"/>
      <c r="U861" s="65" t="n"/>
      <c r="V861" s="65" t="n"/>
      <c r="W861" s="65" t="n"/>
      <c r="X861" s="65" t="n"/>
      <c r="Y861" s="32">
        <f>IF($C861="","",IF(COUNTA($I861:$K861)&lt;3,"— חסרים נתונים",IF(AND($I861="תקין",$J861="תקין",$K861="תקין"),"רהוטה",IF(AND($I861="תקין",$J861="תקין"),"מדויקת ורציפה","אינה מדויקת או מקוטעת"))))</f>
        <v/>
      </c>
      <c r="Z861" s="32">
        <f>IF($C861="","",IF(COUNTA($U861:$W861)&lt;3,"",IF(AND($U861="מפותח",$V861="מפותח",$W861="מפותחת"),"מפותחת",IF((--($U861="דל"))+(--($V861="אינו מפותח"))+(--($W861="דלה"))&gt;=2,"אינה מפותחת","חלקית"))))</f>
        <v/>
      </c>
      <c r="AA861" s="32">
        <f>IF($C861="","",IF(COUNTA($M861,$N861,$O861)&lt;3,"— חסרים נתונים",IF(OR($M861="נמוכה",(--($M861&lt;&gt;"תקינה"))+(--($N861&lt;&gt;"תקין"))+(--($O861&lt;&gt;"תקינה"))&gt;=2),"ניכרת","אינה ניכרת")))</f>
        <v/>
      </c>
      <c r="AB861" s="32">
        <f>IF(OR($C861="",$Y861="",$AA861="",LEFT($Y861,1)="—",LEFT($AA861,1)="—"),"",IF($Z861="","— נדרשת הערכת כתיבה",IF($L861="","— חסרה הבנת הנקרא",IF($Y861="אינה מדויקת או מקוטעת",IF($AA861="ניכרת","מיקוד בשטף הקריאה ובכישורי שפה","מיקוד בשטף קריאה"),IF($AA861="ניכרת","מיקוד בכישורי שפה",IF(AND($L861="תקינה",$Z861="מפותחת"),"קוראים וכותבים מיומנים","מיקוד בהבנה והבעה"))))))</f>
        <v/>
      </c>
      <c r="AC861" s="32">
        <f>IF(OR($AB861="",LEFT($AB861,1)="—"),"",IF(OR($AB861="מיקוד בשטף קריאה",$AB861="מיקוד בשטף הקריאה ובכישורי שפה"),"רמה א'",IF($AB861="קוראים וכותבים מיומנים","רמה ג'","רמה ב'")))</f>
        <v/>
      </c>
      <c r="AD861" s="32">
        <f>IF($AC861="","",MID(IF(AND($AC861="רמה א'",$AA861="ניכרת"),"; להוסיף עבודת אוצר מילים","")&amp;IF($Z861="אינה מפותחת","; דגש על הבעה בכתב","")&amp;IF($K861&lt;&gt;"תקין","; נדרש לעבוד על ההנגנה","")&amp;IF($AK861&lt;&gt;"","; "&amp;$AK861,""),3,400))</f>
        <v/>
      </c>
      <c r="AE861" s="32">
        <f>IF($F861="","",IF($F861="תחילת שנה",1,IF($F861="מחצית שנה",2,3)))</f>
        <v/>
      </c>
      <c r="AF861" s="32">
        <f>IF(OR($B861="",$AC861="",$A861="",$F861=""),"",$B861&amp;"|"&amp;$A861&amp;"|"&amp;$F861&amp;"|"&amp;$AC861&amp;"|"&amp;COUNTIFS($B$6:$B861,$B861,$A$6:$A861,$A861,$F$6:$F861,$F861,$AC$6:$AC861,$AC861))</f>
        <v/>
      </c>
      <c r="AG861" s="32">
        <f>IF($C861="","",$C861&amp;"|"&amp;COUNTIFS($C$6:$C861,$C861))</f>
        <v/>
      </c>
      <c r="AH861" s="32">
        <f>IF(OR($C861="",$A861="",$AE861=""),"",$C861&amp;"|"&amp;$A861&amp;"|"&amp;$AE861)</f>
        <v/>
      </c>
      <c r="AI861" s="32">
        <f>IF(OR($C861="",$AE861="",$AE861=1),"",IFERROR(INDEX($AC$6:$AC$1505,MATCH($C861&amp;"|"&amp;$A861&amp;"|"&amp;($AE861-1),$AH$6:$AH$1505,0)),""))</f>
        <v/>
      </c>
      <c r="AJ861" s="32">
        <f>IF(OR($AI861="",$AC861=""),"",IF($AI861=$AC861,"ללא שינוי","מ-"&amp;$AI861&amp;" ל-"&amp;$AC861))</f>
        <v/>
      </c>
      <c r="AK861" s="67" t="n"/>
    </row>
    <row r="862" ht="15.75" customHeight="1" s="58">
      <c r="A862" s="65" t="n"/>
      <c r="B862" s="65" t="n"/>
      <c r="C862" s="66" t="n"/>
      <c r="D862" s="66" t="n"/>
      <c r="E862" s="65" t="n"/>
      <c r="F862" s="65" t="n"/>
      <c r="G862" s="65" t="n"/>
      <c r="H862" s="65" t="n"/>
      <c r="I862" s="65" t="n"/>
      <c r="J862" s="65" t="n"/>
      <c r="K862" s="65" t="n"/>
      <c r="L862" s="65" t="n"/>
      <c r="M862" s="65" t="n"/>
      <c r="N862" s="65" t="n"/>
      <c r="O862" s="65" t="n"/>
      <c r="P862" s="65" t="n"/>
      <c r="Q862" s="65" t="n"/>
      <c r="R862" s="65" t="n"/>
      <c r="S862" s="65" t="n"/>
      <c r="T862" s="65" t="n"/>
      <c r="U862" s="65" t="n"/>
      <c r="V862" s="65" t="n"/>
      <c r="W862" s="65" t="n"/>
      <c r="X862" s="65" t="n"/>
      <c r="Y862" s="32">
        <f>IF($C862="","",IF(COUNTA($I862:$K862)&lt;3,"— חסרים נתונים",IF(AND($I862="תקין",$J862="תקין",$K862="תקין"),"רהוטה",IF(AND($I862="תקין",$J862="תקין"),"מדויקת ורציפה","אינה מדויקת או מקוטעת"))))</f>
        <v/>
      </c>
      <c r="Z862" s="32">
        <f>IF($C862="","",IF(COUNTA($U862:$W862)&lt;3,"",IF(AND($U862="מפותח",$V862="מפותח",$W862="מפותחת"),"מפותחת",IF((--($U862="דל"))+(--($V862="אינו מפותח"))+(--($W862="דלה"))&gt;=2,"אינה מפותחת","חלקית"))))</f>
        <v/>
      </c>
      <c r="AA862" s="32">
        <f>IF($C862="","",IF(COUNTA($M862,$N862,$O862)&lt;3,"— חסרים נתונים",IF(OR($M862="נמוכה",(--($M862&lt;&gt;"תקינה"))+(--($N862&lt;&gt;"תקין"))+(--($O862&lt;&gt;"תקינה"))&gt;=2),"ניכרת","אינה ניכרת")))</f>
        <v/>
      </c>
      <c r="AB862" s="32">
        <f>IF(OR($C862="",$Y862="",$AA862="",LEFT($Y862,1)="—",LEFT($AA862,1)="—"),"",IF($Z862="","— נדרשת הערכת כתיבה",IF($L862="","— חסרה הבנת הנקרא",IF($Y862="אינה מדויקת או מקוטעת",IF($AA862="ניכרת","מיקוד בשטף הקריאה ובכישורי שפה","מיקוד בשטף קריאה"),IF($AA862="ניכרת","מיקוד בכישורי שפה",IF(AND($L862="תקינה",$Z862="מפותחת"),"קוראים וכותבים מיומנים","מיקוד בהבנה והבעה"))))))</f>
        <v/>
      </c>
      <c r="AC862" s="32">
        <f>IF(OR($AB862="",LEFT($AB862,1)="—"),"",IF(OR($AB862="מיקוד בשטף קריאה",$AB862="מיקוד בשטף הקריאה ובכישורי שפה"),"רמה א'",IF($AB862="קוראים וכותבים מיומנים","רמה ג'","רמה ב'")))</f>
        <v/>
      </c>
      <c r="AD862" s="32">
        <f>IF($AC862="","",MID(IF(AND($AC862="רמה א'",$AA862="ניכרת"),"; להוסיף עבודת אוצר מילים","")&amp;IF($Z862="אינה מפותחת","; דגש על הבעה בכתב","")&amp;IF($K862&lt;&gt;"תקין","; נדרש לעבוד על ההנגנה","")&amp;IF($AK862&lt;&gt;"","; "&amp;$AK862,""),3,400))</f>
        <v/>
      </c>
      <c r="AE862" s="32">
        <f>IF($F862="","",IF($F862="תחילת שנה",1,IF($F862="מחצית שנה",2,3)))</f>
        <v/>
      </c>
      <c r="AF862" s="32">
        <f>IF(OR($B862="",$AC862="",$A862="",$F862=""),"",$B862&amp;"|"&amp;$A862&amp;"|"&amp;$F862&amp;"|"&amp;$AC862&amp;"|"&amp;COUNTIFS($B$6:$B862,$B862,$A$6:$A862,$A862,$F$6:$F862,$F862,$AC$6:$AC862,$AC862))</f>
        <v/>
      </c>
      <c r="AG862" s="32">
        <f>IF($C862="","",$C862&amp;"|"&amp;COUNTIFS($C$6:$C862,$C862))</f>
        <v/>
      </c>
      <c r="AH862" s="32">
        <f>IF(OR($C862="",$A862="",$AE862=""),"",$C862&amp;"|"&amp;$A862&amp;"|"&amp;$AE862)</f>
        <v/>
      </c>
      <c r="AI862" s="32">
        <f>IF(OR($C862="",$AE862="",$AE862=1),"",IFERROR(INDEX($AC$6:$AC$1505,MATCH($C862&amp;"|"&amp;$A862&amp;"|"&amp;($AE862-1),$AH$6:$AH$1505,0)),""))</f>
        <v/>
      </c>
      <c r="AJ862" s="32">
        <f>IF(OR($AI862="",$AC862=""),"",IF($AI862=$AC862,"ללא שינוי","מ-"&amp;$AI862&amp;" ל-"&amp;$AC862))</f>
        <v/>
      </c>
      <c r="AK862" s="67" t="n"/>
    </row>
    <row r="863" ht="15.75" customHeight="1" s="58">
      <c r="A863" s="65" t="n"/>
      <c r="B863" s="65" t="n"/>
      <c r="C863" s="66" t="n"/>
      <c r="D863" s="66" t="n"/>
      <c r="E863" s="65" t="n"/>
      <c r="F863" s="65" t="n"/>
      <c r="G863" s="65" t="n"/>
      <c r="H863" s="65" t="n"/>
      <c r="I863" s="65" t="n"/>
      <c r="J863" s="65" t="n"/>
      <c r="K863" s="65" t="n"/>
      <c r="L863" s="65" t="n"/>
      <c r="M863" s="65" t="n"/>
      <c r="N863" s="65" t="n"/>
      <c r="O863" s="65" t="n"/>
      <c r="P863" s="65" t="n"/>
      <c r="Q863" s="65" t="n"/>
      <c r="R863" s="65" t="n"/>
      <c r="S863" s="65" t="n"/>
      <c r="T863" s="65" t="n"/>
      <c r="U863" s="65" t="n"/>
      <c r="V863" s="65" t="n"/>
      <c r="W863" s="65" t="n"/>
      <c r="X863" s="65" t="n"/>
      <c r="Y863" s="32">
        <f>IF($C863="","",IF(COUNTA($I863:$K863)&lt;3,"— חסרים נתונים",IF(AND($I863="תקין",$J863="תקין",$K863="תקין"),"רהוטה",IF(AND($I863="תקין",$J863="תקין"),"מדויקת ורציפה","אינה מדויקת או מקוטעת"))))</f>
        <v/>
      </c>
      <c r="Z863" s="32">
        <f>IF($C863="","",IF(COUNTA($U863:$W863)&lt;3,"",IF(AND($U863="מפותח",$V863="מפותח",$W863="מפותחת"),"מפותחת",IF((--($U863="דל"))+(--($V863="אינו מפותח"))+(--($W863="דלה"))&gt;=2,"אינה מפותחת","חלקית"))))</f>
        <v/>
      </c>
      <c r="AA863" s="32">
        <f>IF($C863="","",IF(COUNTA($M863,$N863,$O863)&lt;3,"— חסרים נתונים",IF(OR($M863="נמוכה",(--($M863&lt;&gt;"תקינה"))+(--($N863&lt;&gt;"תקין"))+(--($O863&lt;&gt;"תקינה"))&gt;=2),"ניכרת","אינה ניכרת")))</f>
        <v/>
      </c>
      <c r="AB863" s="32">
        <f>IF(OR($C863="",$Y863="",$AA863="",LEFT($Y863,1)="—",LEFT($AA863,1)="—"),"",IF($Z863="","— נדרשת הערכת כתיבה",IF($L863="","— חסרה הבנת הנקרא",IF($Y863="אינה מדויקת או מקוטעת",IF($AA863="ניכרת","מיקוד בשטף הקריאה ובכישורי שפה","מיקוד בשטף קריאה"),IF($AA863="ניכרת","מיקוד בכישורי שפה",IF(AND($L863="תקינה",$Z863="מפותחת"),"קוראים וכותבים מיומנים","מיקוד בהבנה והבעה"))))))</f>
        <v/>
      </c>
      <c r="AC863" s="32">
        <f>IF(OR($AB863="",LEFT($AB863,1)="—"),"",IF(OR($AB863="מיקוד בשטף קריאה",$AB863="מיקוד בשטף הקריאה ובכישורי שפה"),"רמה א'",IF($AB863="קוראים וכותבים מיומנים","רמה ג'","רמה ב'")))</f>
        <v/>
      </c>
      <c r="AD863" s="32">
        <f>IF($AC863="","",MID(IF(AND($AC863="רמה א'",$AA863="ניכרת"),"; להוסיף עבודת אוצר מילים","")&amp;IF($Z863="אינה מפותחת","; דגש על הבעה בכתב","")&amp;IF($K863&lt;&gt;"תקין","; נדרש לעבוד על ההנגנה","")&amp;IF($AK863&lt;&gt;"","; "&amp;$AK863,""),3,400))</f>
        <v/>
      </c>
      <c r="AE863" s="32">
        <f>IF($F863="","",IF($F863="תחילת שנה",1,IF($F863="מחצית שנה",2,3)))</f>
        <v/>
      </c>
      <c r="AF863" s="32">
        <f>IF(OR($B863="",$AC863="",$A863="",$F863=""),"",$B863&amp;"|"&amp;$A863&amp;"|"&amp;$F863&amp;"|"&amp;$AC863&amp;"|"&amp;COUNTIFS($B$6:$B863,$B863,$A$6:$A863,$A863,$F$6:$F863,$F863,$AC$6:$AC863,$AC863))</f>
        <v/>
      </c>
      <c r="AG863" s="32">
        <f>IF($C863="","",$C863&amp;"|"&amp;COUNTIFS($C$6:$C863,$C863))</f>
        <v/>
      </c>
      <c r="AH863" s="32">
        <f>IF(OR($C863="",$A863="",$AE863=""),"",$C863&amp;"|"&amp;$A863&amp;"|"&amp;$AE863)</f>
        <v/>
      </c>
      <c r="AI863" s="32">
        <f>IF(OR($C863="",$AE863="",$AE863=1),"",IFERROR(INDEX($AC$6:$AC$1505,MATCH($C863&amp;"|"&amp;$A863&amp;"|"&amp;($AE863-1),$AH$6:$AH$1505,0)),""))</f>
        <v/>
      </c>
      <c r="AJ863" s="32">
        <f>IF(OR($AI863="",$AC863=""),"",IF($AI863=$AC863,"ללא שינוי","מ-"&amp;$AI863&amp;" ל-"&amp;$AC863))</f>
        <v/>
      </c>
      <c r="AK863" s="67" t="n"/>
    </row>
    <row r="864" ht="15.75" customHeight="1" s="58">
      <c r="A864" s="65" t="n"/>
      <c r="B864" s="65" t="n"/>
      <c r="C864" s="66" t="n"/>
      <c r="D864" s="66" t="n"/>
      <c r="E864" s="65" t="n"/>
      <c r="F864" s="65" t="n"/>
      <c r="G864" s="65" t="n"/>
      <c r="H864" s="65" t="n"/>
      <c r="I864" s="65" t="n"/>
      <c r="J864" s="65" t="n"/>
      <c r="K864" s="65" t="n"/>
      <c r="L864" s="65" t="n"/>
      <c r="M864" s="65" t="n"/>
      <c r="N864" s="65" t="n"/>
      <c r="O864" s="65" t="n"/>
      <c r="P864" s="65" t="n"/>
      <c r="Q864" s="65" t="n"/>
      <c r="R864" s="65" t="n"/>
      <c r="S864" s="65" t="n"/>
      <c r="T864" s="65" t="n"/>
      <c r="U864" s="65" t="n"/>
      <c r="V864" s="65" t="n"/>
      <c r="W864" s="65" t="n"/>
      <c r="X864" s="65" t="n"/>
      <c r="Y864" s="32">
        <f>IF($C864="","",IF(COUNTA($I864:$K864)&lt;3,"— חסרים נתונים",IF(AND($I864="תקין",$J864="תקין",$K864="תקין"),"רהוטה",IF(AND($I864="תקין",$J864="תקין"),"מדויקת ורציפה","אינה מדויקת או מקוטעת"))))</f>
        <v/>
      </c>
      <c r="Z864" s="32">
        <f>IF($C864="","",IF(COUNTA($U864:$W864)&lt;3,"",IF(AND($U864="מפותח",$V864="מפותח",$W864="מפותחת"),"מפותחת",IF((--($U864="דל"))+(--($V864="אינו מפותח"))+(--($W864="דלה"))&gt;=2,"אינה מפותחת","חלקית"))))</f>
        <v/>
      </c>
      <c r="AA864" s="32">
        <f>IF($C864="","",IF(COUNTA($M864,$N864,$O864)&lt;3,"— חסרים נתונים",IF(OR($M864="נמוכה",(--($M864&lt;&gt;"תקינה"))+(--($N864&lt;&gt;"תקין"))+(--($O864&lt;&gt;"תקינה"))&gt;=2),"ניכרת","אינה ניכרת")))</f>
        <v/>
      </c>
      <c r="AB864" s="32">
        <f>IF(OR($C864="",$Y864="",$AA864="",LEFT($Y864,1)="—",LEFT($AA864,1)="—"),"",IF($Z864="","— נדרשת הערכת כתיבה",IF($L864="","— חסרה הבנת הנקרא",IF($Y864="אינה מדויקת או מקוטעת",IF($AA864="ניכרת","מיקוד בשטף הקריאה ובכישורי שפה","מיקוד בשטף קריאה"),IF($AA864="ניכרת","מיקוד בכישורי שפה",IF(AND($L864="תקינה",$Z864="מפותחת"),"קוראים וכותבים מיומנים","מיקוד בהבנה והבעה"))))))</f>
        <v/>
      </c>
      <c r="AC864" s="32">
        <f>IF(OR($AB864="",LEFT($AB864,1)="—"),"",IF(OR($AB864="מיקוד בשטף קריאה",$AB864="מיקוד בשטף הקריאה ובכישורי שפה"),"רמה א'",IF($AB864="קוראים וכותבים מיומנים","רמה ג'","רמה ב'")))</f>
        <v/>
      </c>
      <c r="AD864" s="32">
        <f>IF($AC864="","",MID(IF(AND($AC864="רמה א'",$AA864="ניכרת"),"; להוסיף עבודת אוצר מילים","")&amp;IF($Z864="אינה מפותחת","; דגש על הבעה בכתב","")&amp;IF($K864&lt;&gt;"תקין","; נדרש לעבוד על ההנגנה","")&amp;IF($AK864&lt;&gt;"","; "&amp;$AK864,""),3,400))</f>
        <v/>
      </c>
      <c r="AE864" s="32">
        <f>IF($F864="","",IF($F864="תחילת שנה",1,IF($F864="מחצית שנה",2,3)))</f>
        <v/>
      </c>
      <c r="AF864" s="32">
        <f>IF(OR($B864="",$AC864="",$A864="",$F864=""),"",$B864&amp;"|"&amp;$A864&amp;"|"&amp;$F864&amp;"|"&amp;$AC864&amp;"|"&amp;COUNTIFS($B$6:$B864,$B864,$A$6:$A864,$A864,$F$6:$F864,$F864,$AC$6:$AC864,$AC864))</f>
        <v/>
      </c>
      <c r="AG864" s="32">
        <f>IF($C864="","",$C864&amp;"|"&amp;COUNTIFS($C$6:$C864,$C864))</f>
        <v/>
      </c>
      <c r="AH864" s="32">
        <f>IF(OR($C864="",$A864="",$AE864=""),"",$C864&amp;"|"&amp;$A864&amp;"|"&amp;$AE864)</f>
        <v/>
      </c>
      <c r="AI864" s="32">
        <f>IF(OR($C864="",$AE864="",$AE864=1),"",IFERROR(INDEX($AC$6:$AC$1505,MATCH($C864&amp;"|"&amp;$A864&amp;"|"&amp;($AE864-1),$AH$6:$AH$1505,0)),""))</f>
        <v/>
      </c>
      <c r="AJ864" s="32">
        <f>IF(OR($AI864="",$AC864=""),"",IF($AI864=$AC864,"ללא שינוי","מ-"&amp;$AI864&amp;" ל-"&amp;$AC864))</f>
        <v/>
      </c>
      <c r="AK864" s="67" t="n"/>
    </row>
    <row r="865" ht="15.75" customHeight="1" s="58">
      <c r="A865" s="65" t="n"/>
      <c r="B865" s="65" t="n"/>
      <c r="C865" s="66" t="n"/>
      <c r="D865" s="66" t="n"/>
      <c r="E865" s="65" t="n"/>
      <c r="F865" s="65" t="n"/>
      <c r="G865" s="65" t="n"/>
      <c r="H865" s="65" t="n"/>
      <c r="I865" s="65" t="n"/>
      <c r="J865" s="65" t="n"/>
      <c r="K865" s="65" t="n"/>
      <c r="L865" s="65" t="n"/>
      <c r="M865" s="65" t="n"/>
      <c r="N865" s="65" t="n"/>
      <c r="O865" s="65" t="n"/>
      <c r="P865" s="65" t="n"/>
      <c r="Q865" s="65" t="n"/>
      <c r="R865" s="65" t="n"/>
      <c r="S865" s="65" t="n"/>
      <c r="T865" s="65" t="n"/>
      <c r="U865" s="65" t="n"/>
      <c r="V865" s="65" t="n"/>
      <c r="W865" s="65" t="n"/>
      <c r="X865" s="65" t="n"/>
      <c r="Y865" s="32">
        <f>IF($C865="","",IF(COUNTA($I865:$K865)&lt;3,"— חסרים נתונים",IF(AND($I865="תקין",$J865="תקין",$K865="תקין"),"רהוטה",IF(AND($I865="תקין",$J865="תקין"),"מדויקת ורציפה","אינה מדויקת או מקוטעת"))))</f>
        <v/>
      </c>
      <c r="Z865" s="32">
        <f>IF($C865="","",IF(COUNTA($U865:$W865)&lt;3,"",IF(AND($U865="מפותח",$V865="מפותח",$W865="מפותחת"),"מפותחת",IF((--($U865="דל"))+(--($V865="אינו מפותח"))+(--($W865="דלה"))&gt;=2,"אינה מפותחת","חלקית"))))</f>
        <v/>
      </c>
      <c r="AA865" s="32">
        <f>IF($C865="","",IF(COUNTA($M865,$N865,$O865)&lt;3,"— חסרים נתונים",IF(OR($M865="נמוכה",(--($M865&lt;&gt;"תקינה"))+(--($N865&lt;&gt;"תקין"))+(--($O865&lt;&gt;"תקינה"))&gt;=2),"ניכרת","אינה ניכרת")))</f>
        <v/>
      </c>
      <c r="AB865" s="32">
        <f>IF(OR($C865="",$Y865="",$AA865="",LEFT($Y865,1)="—",LEFT($AA865,1)="—"),"",IF($Z865="","— נדרשת הערכת כתיבה",IF($L865="","— חסרה הבנת הנקרא",IF($Y865="אינה מדויקת או מקוטעת",IF($AA865="ניכרת","מיקוד בשטף הקריאה ובכישורי שפה","מיקוד בשטף קריאה"),IF($AA865="ניכרת","מיקוד בכישורי שפה",IF(AND($L865="תקינה",$Z865="מפותחת"),"קוראים וכותבים מיומנים","מיקוד בהבנה והבעה"))))))</f>
        <v/>
      </c>
      <c r="AC865" s="32">
        <f>IF(OR($AB865="",LEFT($AB865,1)="—"),"",IF(OR($AB865="מיקוד בשטף קריאה",$AB865="מיקוד בשטף הקריאה ובכישורי שפה"),"רמה א'",IF($AB865="קוראים וכותבים מיומנים","רמה ג'","רמה ב'")))</f>
        <v/>
      </c>
      <c r="AD865" s="32">
        <f>IF($AC865="","",MID(IF(AND($AC865="רמה א'",$AA865="ניכרת"),"; להוסיף עבודת אוצר מילים","")&amp;IF($Z865="אינה מפותחת","; דגש על הבעה בכתב","")&amp;IF($K865&lt;&gt;"תקין","; נדרש לעבוד על ההנגנה","")&amp;IF($AK865&lt;&gt;"","; "&amp;$AK865,""),3,400))</f>
        <v/>
      </c>
      <c r="AE865" s="32">
        <f>IF($F865="","",IF($F865="תחילת שנה",1,IF($F865="מחצית שנה",2,3)))</f>
        <v/>
      </c>
      <c r="AF865" s="32">
        <f>IF(OR($B865="",$AC865="",$A865="",$F865=""),"",$B865&amp;"|"&amp;$A865&amp;"|"&amp;$F865&amp;"|"&amp;$AC865&amp;"|"&amp;COUNTIFS($B$6:$B865,$B865,$A$6:$A865,$A865,$F$6:$F865,$F865,$AC$6:$AC865,$AC865))</f>
        <v/>
      </c>
      <c r="AG865" s="32">
        <f>IF($C865="","",$C865&amp;"|"&amp;COUNTIFS($C$6:$C865,$C865))</f>
        <v/>
      </c>
      <c r="AH865" s="32">
        <f>IF(OR($C865="",$A865="",$AE865=""),"",$C865&amp;"|"&amp;$A865&amp;"|"&amp;$AE865)</f>
        <v/>
      </c>
      <c r="AI865" s="32">
        <f>IF(OR($C865="",$AE865="",$AE865=1),"",IFERROR(INDEX($AC$6:$AC$1505,MATCH($C865&amp;"|"&amp;$A865&amp;"|"&amp;($AE865-1),$AH$6:$AH$1505,0)),""))</f>
        <v/>
      </c>
      <c r="AJ865" s="32">
        <f>IF(OR($AI865="",$AC865=""),"",IF($AI865=$AC865,"ללא שינוי","מ-"&amp;$AI865&amp;" ל-"&amp;$AC865))</f>
        <v/>
      </c>
      <c r="AK865" s="67" t="n"/>
    </row>
    <row r="866" ht="15.75" customHeight="1" s="58">
      <c r="A866" s="65" t="n"/>
      <c r="B866" s="65" t="n"/>
      <c r="C866" s="66" t="n"/>
      <c r="D866" s="66" t="n"/>
      <c r="E866" s="65" t="n"/>
      <c r="F866" s="65" t="n"/>
      <c r="G866" s="65" t="n"/>
      <c r="H866" s="65" t="n"/>
      <c r="I866" s="65" t="n"/>
      <c r="J866" s="65" t="n"/>
      <c r="K866" s="65" t="n"/>
      <c r="L866" s="65" t="n"/>
      <c r="M866" s="65" t="n"/>
      <c r="N866" s="65" t="n"/>
      <c r="O866" s="65" t="n"/>
      <c r="P866" s="65" t="n"/>
      <c r="Q866" s="65" t="n"/>
      <c r="R866" s="65" t="n"/>
      <c r="S866" s="65" t="n"/>
      <c r="T866" s="65" t="n"/>
      <c r="U866" s="65" t="n"/>
      <c r="V866" s="65" t="n"/>
      <c r="W866" s="65" t="n"/>
      <c r="X866" s="65" t="n"/>
      <c r="Y866" s="32">
        <f>IF($C866="","",IF(COUNTA($I866:$K866)&lt;3,"— חסרים נתונים",IF(AND($I866="תקין",$J866="תקין",$K866="תקין"),"רהוטה",IF(AND($I866="תקין",$J866="תקין"),"מדויקת ורציפה","אינה מדויקת או מקוטעת"))))</f>
        <v/>
      </c>
      <c r="Z866" s="32">
        <f>IF($C866="","",IF(COUNTA($U866:$W866)&lt;3,"",IF(AND($U866="מפותח",$V866="מפותח",$W866="מפותחת"),"מפותחת",IF((--($U866="דל"))+(--($V866="אינו מפותח"))+(--($W866="דלה"))&gt;=2,"אינה מפותחת","חלקית"))))</f>
        <v/>
      </c>
      <c r="AA866" s="32">
        <f>IF($C866="","",IF(COUNTA($M866,$N866,$O866)&lt;3,"— חסרים נתונים",IF(OR($M866="נמוכה",(--($M866&lt;&gt;"תקינה"))+(--($N866&lt;&gt;"תקין"))+(--($O866&lt;&gt;"תקינה"))&gt;=2),"ניכרת","אינה ניכרת")))</f>
        <v/>
      </c>
      <c r="AB866" s="32">
        <f>IF(OR($C866="",$Y866="",$AA866="",LEFT($Y866,1)="—",LEFT($AA866,1)="—"),"",IF($Z866="","— נדרשת הערכת כתיבה",IF($L866="","— חסרה הבנת הנקרא",IF($Y866="אינה מדויקת או מקוטעת",IF($AA866="ניכרת","מיקוד בשטף הקריאה ובכישורי שפה","מיקוד בשטף קריאה"),IF($AA866="ניכרת","מיקוד בכישורי שפה",IF(AND($L866="תקינה",$Z866="מפותחת"),"קוראים וכותבים מיומנים","מיקוד בהבנה והבעה"))))))</f>
        <v/>
      </c>
      <c r="AC866" s="32">
        <f>IF(OR($AB866="",LEFT($AB866,1)="—"),"",IF(OR($AB866="מיקוד בשטף קריאה",$AB866="מיקוד בשטף הקריאה ובכישורי שפה"),"רמה א'",IF($AB866="קוראים וכותבים מיומנים","רמה ג'","רמה ב'")))</f>
        <v/>
      </c>
      <c r="AD866" s="32">
        <f>IF($AC866="","",MID(IF(AND($AC866="רמה א'",$AA866="ניכרת"),"; להוסיף עבודת אוצר מילים","")&amp;IF($Z866="אינה מפותחת","; דגש על הבעה בכתב","")&amp;IF($K866&lt;&gt;"תקין","; נדרש לעבוד על ההנגנה","")&amp;IF($AK866&lt;&gt;"","; "&amp;$AK866,""),3,400))</f>
        <v/>
      </c>
      <c r="AE866" s="32">
        <f>IF($F866="","",IF($F866="תחילת שנה",1,IF($F866="מחצית שנה",2,3)))</f>
        <v/>
      </c>
      <c r="AF866" s="32">
        <f>IF(OR($B866="",$AC866="",$A866="",$F866=""),"",$B866&amp;"|"&amp;$A866&amp;"|"&amp;$F866&amp;"|"&amp;$AC866&amp;"|"&amp;COUNTIFS($B$6:$B866,$B866,$A$6:$A866,$A866,$F$6:$F866,$F866,$AC$6:$AC866,$AC866))</f>
        <v/>
      </c>
      <c r="AG866" s="32">
        <f>IF($C866="","",$C866&amp;"|"&amp;COUNTIFS($C$6:$C866,$C866))</f>
        <v/>
      </c>
      <c r="AH866" s="32">
        <f>IF(OR($C866="",$A866="",$AE866=""),"",$C866&amp;"|"&amp;$A866&amp;"|"&amp;$AE866)</f>
        <v/>
      </c>
      <c r="AI866" s="32">
        <f>IF(OR($C866="",$AE866="",$AE866=1),"",IFERROR(INDEX($AC$6:$AC$1505,MATCH($C866&amp;"|"&amp;$A866&amp;"|"&amp;($AE866-1),$AH$6:$AH$1505,0)),""))</f>
        <v/>
      </c>
      <c r="AJ866" s="32">
        <f>IF(OR($AI866="",$AC866=""),"",IF($AI866=$AC866,"ללא שינוי","מ-"&amp;$AI866&amp;" ל-"&amp;$AC866))</f>
        <v/>
      </c>
      <c r="AK866" s="67" t="n"/>
    </row>
    <row r="867" ht="15.75" customHeight="1" s="58">
      <c r="A867" s="65" t="n"/>
      <c r="B867" s="65" t="n"/>
      <c r="C867" s="66" t="n"/>
      <c r="D867" s="66" t="n"/>
      <c r="E867" s="65" t="n"/>
      <c r="F867" s="65" t="n"/>
      <c r="G867" s="65" t="n"/>
      <c r="H867" s="65" t="n"/>
      <c r="I867" s="65" t="n"/>
      <c r="J867" s="65" t="n"/>
      <c r="K867" s="65" t="n"/>
      <c r="L867" s="65" t="n"/>
      <c r="M867" s="65" t="n"/>
      <c r="N867" s="65" t="n"/>
      <c r="O867" s="65" t="n"/>
      <c r="P867" s="65" t="n"/>
      <c r="Q867" s="65" t="n"/>
      <c r="R867" s="65" t="n"/>
      <c r="S867" s="65" t="n"/>
      <c r="T867" s="65" t="n"/>
      <c r="U867" s="65" t="n"/>
      <c r="V867" s="65" t="n"/>
      <c r="W867" s="65" t="n"/>
      <c r="X867" s="65" t="n"/>
      <c r="Y867" s="32">
        <f>IF($C867="","",IF(COUNTA($I867:$K867)&lt;3,"— חסרים נתונים",IF(AND($I867="תקין",$J867="תקין",$K867="תקין"),"רהוטה",IF(AND($I867="תקין",$J867="תקין"),"מדויקת ורציפה","אינה מדויקת או מקוטעת"))))</f>
        <v/>
      </c>
      <c r="Z867" s="32">
        <f>IF($C867="","",IF(COUNTA($U867:$W867)&lt;3,"",IF(AND($U867="מפותח",$V867="מפותח",$W867="מפותחת"),"מפותחת",IF((--($U867="דל"))+(--($V867="אינו מפותח"))+(--($W867="דלה"))&gt;=2,"אינה מפותחת","חלקית"))))</f>
        <v/>
      </c>
      <c r="AA867" s="32">
        <f>IF($C867="","",IF(COUNTA($M867,$N867,$O867)&lt;3,"— חסרים נתונים",IF(OR($M867="נמוכה",(--($M867&lt;&gt;"תקינה"))+(--($N867&lt;&gt;"תקין"))+(--($O867&lt;&gt;"תקינה"))&gt;=2),"ניכרת","אינה ניכרת")))</f>
        <v/>
      </c>
      <c r="AB867" s="32">
        <f>IF(OR($C867="",$Y867="",$AA867="",LEFT($Y867,1)="—",LEFT($AA867,1)="—"),"",IF($Z867="","— נדרשת הערכת כתיבה",IF($L867="","— חסרה הבנת הנקרא",IF($Y867="אינה מדויקת או מקוטעת",IF($AA867="ניכרת","מיקוד בשטף הקריאה ובכישורי שפה","מיקוד בשטף קריאה"),IF($AA867="ניכרת","מיקוד בכישורי שפה",IF(AND($L867="תקינה",$Z867="מפותחת"),"קוראים וכותבים מיומנים","מיקוד בהבנה והבעה"))))))</f>
        <v/>
      </c>
      <c r="AC867" s="32">
        <f>IF(OR($AB867="",LEFT($AB867,1)="—"),"",IF(OR($AB867="מיקוד בשטף קריאה",$AB867="מיקוד בשטף הקריאה ובכישורי שפה"),"רמה א'",IF($AB867="קוראים וכותבים מיומנים","רמה ג'","רמה ב'")))</f>
        <v/>
      </c>
      <c r="AD867" s="32">
        <f>IF($AC867="","",MID(IF(AND($AC867="רמה א'",$AA867="ניכרת"),"; להוסיף עבודת אוצר מילים","")&amp;IF($Z867="אינה מפותחת","; דגש על הבעה בכתב","")&amp;IF($K867&lt;&gt;"תקין","; נדרש לעבוד על ההנגנה","")&amp;IF($AK867&lt;&gt;"","; "&amp;$AK867,""),3,400))</f>
        <v/>
      </c>
      <c r="AE867" s="32">
        <f>IF($F867="","",IF($F867="תחילת שנה",1,IF($F867="מחצית שנה",2,3)))</f>
        <v/>
      </c>
      <c r="AF867" s="32">
        <f>IF(OR($B867="",$AC867="",$A867="",$F867=""),"",$B867&amp;"|"&amp;$A867&amp;"|"&amp;$F867&amp;"|"&amp;$AC867&amp;"|"&amp;COUNTIFS($B$6:$B867,$B867,$A$6:$A867,$A867,$F$6:$F867,$F867,$AC$6:$AC867,$AC867))</f>
        <v/>
      </c>
      <c r="AG867" s="32">
        <f>IF($C867="","",$C867&amp;"|"&amp;COUNTIFS($C$6:$C867,$C867))</f>
        <v/>
      </c>
      <c r="AH867" s="32">
        <f>IF(OR($C867="",$A867="",$AE867=""),"",$C867&amp;"|"&amp;$A867&amp;"|"&amp;$AE867)</f>
        <v/>
      </c>
      <c r="AI867" s="32">
        <f>IF(OR($C867="",$AE867="",$AE867=1),"",IFERROR(INDEX($AC$6:$AC$1505,MATCH($C867&amp;"|"&amp;$A867&amp;"|"&amp;($AE867-1),$AH$6:$AH$1505,0)),""))</f>
        <v/>
      </c>
      <c r="AJ867" s="32">
        <f>IF(OR($AI867="",$AC867=""),"",IF($AI867=$AC867,"ללא שינוי","מ-"&amp;$AI867&amp;" ל-"&amp;$AC867))</f>
        <v/>
      </c>
      <c r="AK867" s="67" t="n"/>
    </row>
    <row r="868" ht="15.75" customHeight="1" s="58">
      <c r="A868" s="65" t="n"/>
      <c r="B868" s="65" t="n"/>
      <c r="C868" s="66" t="n"/>
      <c r="D868" s="66" t="n"/>
      <c r="E868" s="65" t="n"/>
      <c r="F868" s="65" t="n"/>
      <c r="G868" s="65" t="n"/>
      <c r="H868" s="65" t="n"/>
      <c r="I868" s="65" t="n"/>
      <c r="J868" s="65" t="n"/>
      <c r="K868" s="65" t="n"/>
      <c r="L868" s="65" t="n"/>
      <c r="M868" s="65" t="n"/>
      <c r="N868" s="65" t="n"/>
      <c r="O868" s="65" t="n"/>
      <c r="P868" s="65" t="n"/>
      <c r="Q868" s="65" t="n"/>
      <c r="R868" s="65" t="n"/>
      <c r="S868" s="65" t="n"/>
      <c r="T868" s="65" t="n"/>
      <c r="U868" s="65" t="n"/>
      <c r="V868" s="65" t="n"/>
      <c r="W868" s="65" t="n"/>
      <c r="X868" s="65" t="n"/>
      <c r="Y868" s="32">
        <f>IF($C868="","",IF(COUNTA($I868:$K868)&lt;3,"— חסרים נתונים",IF(AND($I868="תקין",$J868="תקין",$K868="תקין"),"רהוטה",IF(AND($I868="תקין",$J868="תקין"),"מדויקת ורציפה","אינה מדויקת או מקוטעת"))))</f>
        <v/>
      </c>
      <c r="Z868" s="32">
        <f>IF($C868="","",IF(COUNTA($U868:$W868)&lt;3,"",IF(AND($U868="מפותח",$V868="מפותח",$W868="מפותחת"),"מפותחת",IF((--($U868="דל"))+(--($V868="אינו מפותח"))+(--($W868="דלה"))&gt;=2,"אינה מפותחת","חלקית"))))</f>
        <v/>
      </c>
      <c r="AA868" s="32">
        <f>IF($C868="","",IF(COUNTA($M868,$N868,$O868)&lt;3,"— חסרים נתונים",IF(OR($M868="נמוכה",(--($M868&lt;&gt;"תקינה"))+(--($N868&lt;&gt;"תקין"))+(--($O868&lt;&gt;"תקינה"))&gt;=2),"ניכרת","אינה ניכרת")))</f>
        <v/>
      </c>
      <c r="AB868" s="32">
        <f>IF(OR($C868="",$Y868="",$AA868="",LEFT($Y868,1)="—",LEFT($AA868,1)="—"),"",IF($Z868="","— נדרשת הערכת כתיבה",IF($L868="","— חסרה הבנת הנקרא",IF($Y868="אינה מדויקת או מקוטעת",IF($AA868="ניכרת","מיקוד בשטף הקריאה ובכישורי שפה","מיקוד בשטף קריאה"),IF($AA868="ניכרת","מיקוד בכישורי שפה",IF(AND($L868="תקינה",$Z868="מפותחת"),"קוראים וכותבים מיומנים","מיקוד בהבנה והבעה"))))))</f>
        <v/>
      </c>
      <c r="AC868" s="32">
        <f>IF(OR($AB868="",LEFT($AB868,1)="—"),"",IF(OR($AB868="מיקוד בשטף קריאה",$AB868="מיקוד בשטף הקריאה ובכישורי שפה"),"רמה א'",IF($AB868="קוראים וכותבים מיומנים","רמה ג'","רמה ב'")))</f>
        <v/>
      </c>
      <c r="AD868" s="32">
        <f>IF($AC868="","",MID(IF(AND($AC868="רמה א'",$AA868="ניכרת"),"; להוסיף עבודת אוצר מילים","")&amp;IF($Z868="אינה מפותחת","; דגש על הבעה בכתב","")&amp;IF($K868&lt;&gt;"תקין","; נדרש לעבוד על ההנגנה","")&amp;IF($AK868&lt;&gt;"","; "&amp;$AK868,""),3,400))</f>
        <v/>
      </c>
      <c r="AE868" s="32">
        <f>IF($F868="","",IF($F868="תחילת שנה",1,IF($F868="מחצית שנה",2,3)))</f>
        <v/>
      </c>
      <c r="AF868" s="32">
        <f>IF(OR($B868="",$AC868="",$A868="",$F868=""),"",$B868&amp;"|"&amp;$A868&amp;"|"&amp;$F868&amp;"|"&amp;$AC868&amp;"|"&amp;COUNTIFS($B$6:$B868,$B868,$A$6:$A868,$A868,$F$6:$F868,$F868,$AC$6:$AC868,$AC868))</f>
        <v/>
      </c>
      <c r="AG868" s="32">
        <f>IF($C868="","",$C868&amp;"|"&amp;COUNTIFS($C$6:$C868,$C868))</f>
        <v/>
      </c>
      <c r="AH868" s="32">
        <f>IF(OR($C868="",$A868="",$AE868=""),"",$C868&amp;"|"&amp;$A868&amp;"|"&amp;$AE868)</f>
        <v/>
      </c>
      <c r="AI868" s="32">
        <f>IF(OR($C868="",$AE868="",$AE868=1),"",IFERROR(INDEX($AC$6:$AC$1505,MATCH($C868&amp;"|"&amp;$A868&amp;"|"&amp;($AE868-1),$AH$6:$AH$1505,0)),""))</f>
        <v/>
      </c>
      <c r="AJ868" s="32">
        <f>IF(OR($AI868="",$AC868=""),"",IF($AI868=$AC868,"ללא שינוי","מ-"&amp;$AI868&amp;" ל-"&amp;$AC868))</f>
        <v/>
      </c>
      <c r="AK868" s="67" t="n"/>
    </row>
    <row r="869" ht="15.75" customHeight="1" s="58">
      <c r="A869" s="65" t="n"/>
      <c r="B869" s="65" t="n"/>
      <c r="C869" s="66" t="n"/>
      <c r="D869" s="66" t="n"/>
      <c r="E869" s="65" t="n"/>
      <c r="F869" s="65" t="n"/>
      <c r="G869" s="65" t="n"/>
      <c r="H869" s="65" t="n"/>
      <c r="I869" s="65" t="n"/>
      <c r="J869" s="65" t="n"/>
      <c r="K869" s="65" t="n"/>
      <c r="L869" s="65" t="n"/>
      <c r="M869" s="65" t="n"/>
      <c r="N869" s="65" t="n"/>
      <c r="O869" s="65" t="n"/>
      <c r="P869" s="65" t="n"/>
      <c r="Q869" s="65" t="n"/>
      <c r="R869" s="65" t="n"/>
      <c r="S869" s="65" t="n"/>
      <c r="T869" s="65" t="n"/>
      <c r="U869" s="65" t="n"/>
      <c r="V869" s="65" t="n"/>
      <c r="W869" s="65" t="n"/>
      <c r="X869" s="65" t="n"/>
      <c r="Y869" s="32">
        <f>IF($C869="","",IF(COUNTA($I869:$K869)&lt;3,"— חסרים נתונים",IF(AND($I869="תקין",$J869="תקין",$K869="תקין"),"רהוטה",IF(AND($I869="תקין",$J869="תקין"),"מדויקת ורציפה","אינה מדויקת או מקוטעת"))))</f>
        <v/>
      </c>
      <c r="Z869" s="32">
        <f>IF($C869="","",IF(COUNTA($U869:$W869)&lt;3,"",IF(AND($U869="מפותח",$V869="מפותח",$W869="מפותחת"),"מפותחת",IF((--($U869="דל"))+(--($V869="אינו מפותח"))+(--($W869="דלה"))&gt;=2,"אינה מפותחת","חלקית"))))</f>
        <v/>
      </c>
      <c r="AA869" s="32">
        <f>IF($C869="","",IF(COUNTA($M869,$N869,$O869)&lt;3,"— חסרים נתונים",IF(OR($M869="נמוכה",(--($M869&lt;&gt;"תקינה"))+(--($N869&lt;&gt;"תקין"))+(--($O869&lt;&gt;"תקינה"))&gt;=2),"ניכרת","אינה ניכרת")))</f>
        <v/>
      </c>
      <c r="AB869" s="32">
        <f>IF(OR($C869="",$Y869="",$AA869="",LEFT($Y869,1)="—",LEFT($AA869,1)="—"),"",IF($Z869="","— נדרשת הערכת כתיבה",IF($L869="","— חסרה הבנת הנקרא",IF($Y869="אינה מדויקת או מקוטעת",IF($AA869="ניכרת","מיקוד בשטף הקריאה ובכישורי שפה","מיקוד בשטף קריאה"),IF($AA869="ניכרת","מיקוד בכישורי שפה",IF(AND($L869="תקינה",$Z869="מפותחת"),"קוראים וכותבים מיומנים","מיקוד בהבנה והבעה"))))))</f>
        <v/>
      </c>
      <c r="AC869" s="32">
        <f>IF(OR($AB869="",LEFT($AB869,1)="—"),"",IF(OR($AB869="מיקוד בשטף קריאה",$AB869="מיקוד בשטף הקריאה ובכישורי שפה"),"רמה א'",IF($AB869="קוראים וכותבים מיומנים","רמה ג'","רמה ב'")))</f>
        <v/>
      </c>
      <c r="AD869" s="32">
        <f>IF($AC869="","",MID(IF(AND($AC869="רמה א'",$AA869="ניכרת"),"; להוסיף עבודת אוצר מילים","")&amp;IF($Z869="אינה מפותחת","; דגש על הבעה בכתב","")&amp;IF($K869&lt;&gt;"תקין","; נדרש לעבוד על ההנגנה","")&amp;IF($AK869&lt;&gt;"","; "&amp;$AK869,""),3,400))</f>
        <v/>
      </c>
      <c r="AE869" s="32">
        <f>IF($F869="","",IF($F869="תחילת שנה",1,IF($F869="מחצית שנה",2,3)))</f>
        <v/>
      </c>
      <c r="AF869" s="32">
        <f>IF(OR($B869="",$AC869="",$A869="",$F869=""),"",$B869&amp;"|"&amp;$A869&amp;"|"&amp;$F869&amp;"|"&amp;$AC869&amp;"|"&amp;COUNTIFS($B$6:$B869,$B869,$A$6:$A869,$A869,$F$6:$F869,$F869,$AC$6:$AC869,$AC869))</f>
        <v/>
      </c>
      <c r="AG869" s="32">
        <f>IF($C869="","",$C869&amp;"|"&amp;COUNTIFS($C$6:$C869,$C869))</f>
        <v/>
      </c>
      <c r="AH869" s="32">
        <f>IF(OR($C869="",$A869="",$AE869=""),"",$C869&amp;"|"&amp;$A869&amp;"|"&amp;$AE869)</f>
        <v/>
      </c>
      <c r="AI869" s="32">
        <f>IF(OR($C869="",$AE869="",$AE869=1),"",IFERROR(INDEX($AC$6:$AC$1505,MATCH($C869&amp;"|"&amp;$A869&amp;"|"&amp;($AE869-1),$AH$6:$AH$1505,0)),""))</f>
        <v/>
      </c>
      <c r="AJ869" s="32">
        <f>IF(OR($AI869="",$AC869=""),"",IF($AI869=$AC869,"ללא שינוי","מ-"&amp;$AI869&amp;" ל-"&amp;$AC869))</f>
        <v/>
      </c>
      <c r="AK869" s="67" t="n"/>
    </row>
    <row r="870" ht="15.75" customHeight="1" s="58">
      <c r="A870" s="65" t="n"/>
      <c r="B870" s="65" t="n"/>
      <c r="C870" s="66" t="n"/>
      <c r="D870" s="66" t="n"/>
      <c r="E870" s="65" t="n"/>
      <c r="F870" s="65" t="n"/>
      <c r="G870" s="65" t="n"/>
      <c r="H870" s="65" t="n"/>
      <c r="I870" s="65" t="n"/>
      <c r="J870" s="65" t="n"/>
      <c r="K870" s="65" t="n"/>
      <c r="L870" s="65" t="n"/>
      <c r="M870" s="65" t="n"/>
      <c r="N870" s="65" t="n"/>
      <c r="O870" s="65" t="n"/>
      <c r="P870" s="65" t="n"/>
      <c r="Q870" s="65" t="n"/>
      <c r="R870" s="65" t="n"/>
      <c r="S870" s="65" t="n"/>
      <c r="T870" s="65" t="n"/>
      <c r="U870" s="65" t="n"/>
      <c r="V870" s="65" t="n"/>
      <c r="W870" s="65" t="n"/>
      <c r="X870" s="65" t="n"/>
      <c r="Y870" s="32">
        <f>IF($C870="","",IF(COUNTA($I870:$K870)&lt;3,"— חסרים נתונים",IF(AND($I870="תקין",$J870="תקין",$K870="תקין"),"רהוטה",IF(AND($I870="תקין",$J870="תקין"),"מדויקת ורציפה","אינה מדויקת או מקוטעת"))))</f>
        <v/>
      </c>
      <c r="Z870" s="32">
        <f>IF($C870="","",IF(COUNTA($U870:$W870)&lt;3,"",IF(AND($U870="מפותח",$V870="מפותח",$W870="מפותחת"),"מפותחת",IF((--($U870="דל"))+(--($V870="אינו מפותח"))+(--($W870="דלה"))&gt;=2,"אינה מפותחת","חלקית"))))</f>
        <v/>
      </c>
      <c r="AA870" s="32">
        <f>IF($C870="","",IF(COUNTA($M870,$N870,$O870)&lt;3,"— חסרים נתונים",IF(OR($M870="נמוכה",(--($M870&lt;&gt;"תקינה"))+(--($N870&lt;&gt;"תקין"))+(--($O870&lt;&gt;"תקינה"))&gt;=2),"ניכרת","אינה ניכרת")))</f>
        <v/>
      </c>
      <c r="AB870" s="32">
        <f>IF(OR($C870="",$Y870="",$AA870="",LEFT($Y870,1)="—",LEFT($AA870,1)="—"),"",IF($Z870="","— נדרשת הערכת כתיבה",IF($L870="","— חסרה הבנת הנקרא",IF($Y870="אינה מדויקת או מקוטעת",IF($AA870="ניכרת","מיקוד בשטף הקריאה ובכישורי שפה","מיקוד בשטף קריאה"),IF($AA870="ניכרת","מיקוד בכישורי שפה",IF(AND($L870="תקינה",$Z870="מפותחת"),"קוראים וכותבים מיומנים","מיקוד בהבנה והבעה"))))))</f>
        <v/>
      </c>
      <c r="AC870" s="32">
        <f>IF(OR($AB870="",LEFT($AB870,1)="—"),"",IF(OR($AB870="מיקוד בשטף קריאה",$AB870="מיקוד בשטף הקריאה ובכישורי שפה"),"רמה א'",IF($AB870="קוראים וכותבים מיומנים","רמה ג'","רמה ב'")))</f>
        <v/>
      </c>
      <c r="AD870" s="32">
        <f>IF($AC870="","",MID(IF(AND($AC870="רמה א'",$AA870="ניכרת"),"; להוסיף עבודת אוצר מילים","")&amp;IF($Z870="אינה מפותחת","; דגש על הבעה בכתב","")&amp;IF($K870&lt;&gt;"תקין","; נדרש לעבוד על ההנגנה","")&amp;IF($AK870&lt;&gt;"","; "&amp;$AK870,""),3,400))</f>
        <v/>
      </c>
      <c r="AE870" s="32">
        <f>IF($F870="","",IF($F870="תחילת שנה",1,IF($F870="מחצית שנה",2,3)))</f>
        <v/>
      </c>
      <c r="AF870" s="32">
        <f>IF(OR($B870="",$AC870="",$A870="",$F870=""),"",$B870&amp;"|"&amp;$A870&amp;"|"&amp;$F870&amp;"|"&amp;$AC870&amp;"|"&amp;COUNTIFS($B$6:$B870,$B870,$A$6:$A870,$A870,$F$6:$F870,$F870,$AC$6:$AC870,$AC870))</f>
        <v/>
      </c>
      <c r="AG870" s="32">
        <f>IF($C870="","",$C870&amp;"|"&amp;COUNTIFS($C$6:$C870,$C870))</f>
        <v/>
      </c>
      <c r="AH870" s="32">
        <f>IF(OR($C870="",$A870="",$AE870=""),"",$C870&amp;"|"&amp;$A870&amp;"|"&amp;$AE870)</f>
        <v/>
      </c>
      <c r="AI870" s="32">
        <f>IF(OR($C870="",$AE870="",$AE870=1),"",IFERROR(INDEX($AC$6:$AC$1505,MATCH($C870&amp;"|"&amp;$A870&amp;"|"&amp;($AE870-1),$AH$6:$AH$1505,0)),""))</f>
        <v/>
      </c>
      <c r="AJ870" s="32">
        <f>IF(OR($AI870="",$AC870=""),"",IF($AI870=$AC870,"ללא שינוי","מ-"&amp;$AI870&amp;" ל-"&amp;$AC870))</f>
        <v/>
      </c>
      <c r="AK870" s="67" t="n"/>
    </row>
    <row r="871" ht="15.75" customHeight="1" s="58">
      <c r="A871" s="65" t="n"/>
      <c r="B871" s="65" t="n"/>
      <c r="C871" s="66" t="n"/>
      <c r="D871" s="66" t="n"/>
      <c r="E871" s="65" t="n"/>
      <c r="F871" s="65" t="n"/>
      <c r="G871" s="65" t="n"/>
      <c r="H871" s="65" t="n"/>
      <c r="I871" s="65" t="n"/>
      <c r="J871" s="65" t="n"/>
      <c r="K871" s="65" t="n"/>
      <c r="L871" s="65" t="n"/>
      <c r="M871" s="65" t="n"/>
      <c r="N871" s="65" t="n"/>
      <c r="O871" s="65" t="n"/>
      <c r="P871" s="65" t="n"/>
      <c r="Q871" s="65" t="n"/>
      <c r="R871" s="65" t="n"/>
      <c r="S871" s="65" t="n"/>
      <c r="T871" s="65" t="n"/>
      <c r="U871" s="65" t="n"/>
      <c r="V871" s="65" t="n"/>
      <c r="W871" s="65" t="n"/>
      <c r="X871" s="65" t="n"/>
      <c r="Y871" s="32">
        <f>IF($C871="","",IF(COUNTA($I871:$K871)&lt;3,"— חסרים נתונים",IF(AND($I871="תקין",$J871="תקין",$K871="תקין"),"רהוטה",IF(AND($I871="תקין",$J871="תקין"),"מדויקת ורציפה","אינה מדויקת או מקוטעת"))))</f>
        <v/>
      </c>
      <c r="Z871" s="32">
        <f>IF($C871="","",IF(COUNTA($U871:$W871)&lt;3,"",IF(AND($U871="מפותח",$V871="מפותח",$W871="מפותחת"),"מפותחת",IF((--($U871="דל"))+(--($V871="אינו מפותח"))+(--($W871="דלה"))&gt;=2,"אינה מפותחת","חלקית"))))</f>
        <v/>
      </c>
      <c r="AA871" s="32">
        <f>IF($C871="","",IF(COUNTA($M871,$N871,$O871)&lt;3,"— חסרים נתונים",IF(OR($M871="נמוכה",(--($M871&lt;&gt;"תקינה"))+(--($N871&lt;&gt;"תקין"))+(--($O871&lt;&gt;"תקינה"))&gt;=2),"ניכרת","אינה ניכרת")))</f>
        <v/>
      </c>
      <c r="AB871" s="32">
        <f>IF(OR($C871="",$Y871="",$AA871="",LEFT($Y871,1)="—",LEFT($AA871,1)="—"),"",IF($Z871="","— נדרשת הערכת כתיבה",IF($L871="","— חסרה הבנת הנקרא",IF($Y871="אינה מדויקת או מקוטעת",IF($AA871="ניכרת","מיקוד בשטף הקריאה ובכישורי שפה","מיקוד בשטף קריאה"),IF($AA871="ניכרת","מיקוד בכישורי שפה",IF(AND($L871="תקינה",$Z871="מפותחת"),"קוראים וכותבים מיומנים","מיקוד בהבנה והבעה"))))))</f>
        <v/>
      </c>
      <c r="AC871" s="32">
        <f>IF(OR($AB871="",LEFT($AB871,1)="—"),"",IF(OR($AB871="מיקוד בשטף קריאה",$AB871="מיקוד בשטף הקריאה ובכישורי שפה"),"רמה א'",IF($AB871="קוראים וכותבים מיומנים","רמה ג'","רמה ב'")))</f>
        <v/>
      </c>
      <c r="AD871" s="32">
        <f>IF($AC871="","",MID(IF(AND($AC871="רמה א'",$AA871="ניכרת"),"; להוסיף עבודת אוצר מילים","")&amp;IF($Z871="אינה מפותחת","; דגש על הבעה בכתב","")&amp;IF($K871&lt;&gt;"תקין","; נדרש לעבוד על ההנגנה","")&amp;IF($AK871&lt;&gt;"","; "&amp;$AK871,""),3,400))</f>
        <v/>
      </c>
      <c r="AE871" s="32">
        <f>IF($F871="","",IF($F871="תחילת שנה",1,IF($F871="מחצית שנה",2,3)))</f>
        <v/>
      </c>
      <c r="AF871" s="32">
        <f>IF(OR($B871="",$AC871="",$A871="",$F871=""),"",$B871&amp;"|"&amp;$A871&amp;"|"&amp;$F871&amp;"|"&amp;$AC871&amp;"|"&amp;COUNTIFS($B$6:$B871,$B871,$A$6:$A871,$A871,$F$6:$F871,$F871,$AC$6:$AC871,$AC871))</f>
        <v/>
      </c>
      <c r="AG871" s="32">
        <f>IF($C871="","",$C871&amp;"|"&amp;COUNTIFS($C$6:$C871,$C871))</f>
        <v/>
      </c>
      <c r="AH871" s="32">
        <f>IF(OR($C871="",$A871="",$AE871=""),"",$C871&amp;"|"&amp;$A871&amp;"|"&amp;$AE871)</f>
        <v/>
      </c>
      <c r="AI871" s="32">
        <f>IF(OR($C871="",$AE871="",$AE871=1),"",IFERROR(INDEX($AC$6:$AC$1505,MATCH($C871&amp;"|"&amp;$A871&amp;"|"&amp;($AE871-1),$AH$6:$AH$1505,0)),""))</f>
        <v/>
      </c>
      <c r="AJ871" s="32">
        <f>IF(OR($AI871="",$AC871=""),"",IF($AI871=$AC871,"ללא שינוי","מ-"&amp;$AI871&amp;" ל-"&amp;$AC871))</f>
        <v/>
      </c>
      <c r="AK871" s="67" t="n"/>
    </row>
    <row r="872" ht="15.75" customHeight="1" s="58">
      <c r="A872" s="65" t="n"/>
      <c r="B872" s="65" t="n"/>
      <c r="C872" s="66" t="n"/>
      <c r="D872" s="66" t="n"/>
      <c r="E872" s="65" t="n"/>
      <c r="F872" s="65" t="n"/>
      <c r="G872" s="65" t="n"/>
      <c r="H872" s="65" t="n"/>
      <c r="I872" s="65" t="n"/>
      <c r="J872" s="65" t="n"/>
      <c r="K872" s="65" t="n"/>
      <c r="L872" s="65" t="n"/>
      <c r="M872" s="65" t="n"/>
      <c r="N872" s="65" t="n"/>
      <c r="O872" s="65" t="n"/>
      <c r="P872" s="65" t="n"/>
      <c r="Q872" s="65" t="n"/>
      <c r="R872" s="65" t="n"/>
      <c r="S872" s="65" t="n"/>
      <c r="T872" s="65" t="n"/>
      <c r="U872" s="65" t="n"/>
      <c r="V872" s="65" t="n"/>
      <c r="W872" s="65" t="n"/>
      <c r="X872" s="65" t="n"/>
      <c r="Y872" s="32">
        <f>IF($C872="","",IF(COUNTA($I872:$K872)&lt;3,"— חסרים נתונים",IF(AND($I872="תקין",$J872="תקין",$K872="תקין"),"רהוטה",IF(AND($I872="תקין",$J872="תקין"),"מדויקת ורציפה","אינה מדויקת או מקוטעת"))))</f>
        <v/>
      </c>
      <c r="Z872" s="32">
        <f>IF($C872="","",IF(COUNTA($U872:$W872)&lt;3,"",IF(AND($U872="מפותח",$V872="מפותח",$W872="מפותחת"),"מפותחת",IF((--($U872="דל"))+(--($V872="אינו מפותח"))+(--($W872="דלה"))&gt;=2,"אינה מפותחת","חלקית"))))</f>
        <v/>
      </c>
      <c r="AA872" s="32">
        <f>IF($C872="","",IF(COUNTA($M872,$N872,$O872)&lt;3,"— חסרים נתונים",IF(OR($M872="נמוכה",(--($M872&lt;&gt;"תקינה"))+(--($N872&lt;&gt;"תקין"))+(--($O872&lt;&gt;"תקינה"))&gt;=2),"ניכרת","אינה ניכרת")))</f>
        <v/>
      </c>
      <c r="AB872" s="32">
        <f>IF(OR($C872="",$Y872="",$AA872="",LEFT($Y872,1)="—",LEFT($AA872,1)="—"),"",IF($Z872="","— נדרשת הערכת כתיבה",IF($L872="","— חסרה הבנת הנקרא",IF($Y872="אינה מדויקת או מקוטעת",IF($AA872="ניכרת","מיקוד בשטף הקריאה ובכישורי שפה","מיקוד בשטף קריאה"),IF($AA872="ניכרת","מיקוד בכישורי שפה",IF(AND($L872="תקינה",$Z872="מפותחת"),"קוראים וכותבים מיומנים","מיקוד בהבנה והבעה"))))))</f>
        <v/>
      </c>
      <c r="AC872" s="32">
        <f>IF(OR($AB872="",LEFT($AB872,1)="—"),"",IF(OR($AB872="מיקוד בשטף קריאה",$AB872="מיקוד בשטף הקריאה ובכישורי שפה"),"רמה א'",IF($AB872="קוראים וכותבים מיומנים","רמה ג'","רמה ב'")))</f>
        <v/>
      </c>
      <c r="AD872" s="32">
        <f>IF($AC872="","",MID(IF(AND($AC872="רמה א'",$AA872="ניכרת"),"; להוסיף עבודת אוצר מילים","")&amp;IF($Z872="אינה מפותחת","; דגש על הבעה בכתב","")&amp;IF($K872&lt;&gt;"תקין","; נדרש לעבוד על ההנגנה","")&amp;IF($AK872&lt;&gt;"","; "&amp;$AK872,""),3,400))</f>
        <v/>
      </c>
      <c r="AE872" s="32">
        <f>IF($F872="","",IF($F872="תחילת שנה",1,IF($F872="מחצית שנה",2,3)))</f>
        <v/>
      </c>
      <c r="AF872" s="32">
        <f>IF(OR($B872="",$AC872="",$A872="",$F872=""),"",$B872&amp;"|"&amp;$A872&amp;"|"&amp;$F872&amp;"|"&amp;$AC872&amp;"|"&amp;COUNTIFS($B$6:$B872,$B872,$A$6:$A872,$A872,$F$6:$F872,$F872,$AC$6:$AC872,$AC872))</f>
        <v/>
      </c>
      <c r="AG872" s="32">
        <f>IF($C872="","",$C872&amp;"|"&amp;COUNTIFS($C$6:$C872,$C872))</f>
        <v/>
      </c>
      <c r="AH872" s="32">
        <f>IF(OR($C872="",$A872="",$AE872=""),"",$C872&amp;"|"&amp;$A872&amp;"|"&amp;$AE872)</f>
        <v/>
      </c>
      <c r="AI872" s="32">
        <f>IF(OR($C872="",$AE872="",$AE872=1),"",IFERROR(INDEX($AC$6:$AC$1505,MATCH($C872&amp;"|"&amp;$A872&amp;"|"&amp;($AE872-1),$AH$6:$AH$1505,0)),""))</f>
        <v/>
      </c>
      <c r="AJ872" s="32">
        <f>IF(OR($AI872="",$AC872=""),"",IF($AI872=$AC872,"ללא שינוי","מ-"&amp;$AI872&amp;" ל-"&amp;$AC872))</f>
        <v/>
      </c>
      <c r="AK872" s="67" t="n"/>
    </row>
    <row r="873" ht="15.75" customHeight="1" s="58">
      <c r="A873" s="65" t="n"/>
      <c r="B873" s="65" t="n"/>
      <c r="C873" s="66" t="n"/>
      <c r="D873" s="66" t="n"/>
      <c r="E873" s="65" t="n"/>
      <c r="F873" s="65" t="n"/>
      <c r="G873" s="65" t="n"/>
      <c r="H873" s="65" t="n"/>
      <c r="I873" s="65" t="n"/>
      <c r="J873" s="65" t="n"/>
      <c r="K873" s="65" t="n"/>
      <c r="L873" s="65" t="n"/>
      <c r="M873" s="65" t="n"/>
      <c r="N873" s="65" t="n"/>
      <c r="O873" s="65" t="n"/>
      <c r="P873" s="65" t="n"/>
      <c r="Q873" s="65" t="n"/>
      <c r="R873" s="65" t="n"/>
      <c r="S873" s="65" t="n"/>
      <c r="T873" s="65" t="n"/>
      <c r="U873" s="65" t="n"/>
      <c r="V873" s="65" t="n"/>
      <c r="W873" s="65" t="n"/>
      <c r="X873" s="65" t="n"/>
      <c r="Y873" s="32">
        <f>IF($C873="","",IF(COUNTA($I873:$K873)&lt;3,"— חסרים נתונים",IF(AND($I873="תקין",$J873="תקין",$K873="תקין"),"רהוטה",IF(AND($I873="תקין",$J873="תקין"),"מדויקת ורציפה","אינה מדויקת או מקוטעת"))))</f>
        <v/>
      </c>
      <c r="Z873" s="32">
        <f>IF($C873="","",IF(COUNTA($U873:$W873)&lt;3,"",IF(AND($U873="מפותח",$V873="מפותח",$W873="מפותחת"),"מפותחת",IF((--($U873="דל"))+(--($V873="אינו מפותח"))+(--($W873="דלה"))&gt;=2,"אינה מפותחת","חלקית"))))</f>
        <v/>
      </c>
      <c r="AA873" s="32">
        <f>IF($C873="","",IF(COUNTA($M873,$N873,$O873)&lt;3,"— חסרים נתונים",IF(OR($M873="נמוכה",(--($M873&lt;&gt;"תקינה"))+(--($N873&lt;&gt;"תקין"))+(--($O873&lt;&gt;"תקינה"))&gt;=2),"ניכרת","אינה ניכרת")))</f>
        <v/>
      </c>
      <c r="AB873" s="32">
        <f>IF(OR($C873="",$Y873="",$AA873="",LEFT($Y873,1)="—",LEFT($AA873,1)="—"),"",IF($Z873="","— נדרשת הערכת כתיבה",IF($L873="","— חסרה הבנת הנקרא",IF($Y873="אינה מדויקת או מקוטעת",IF($AA873="ניכרת","מיקוד בשטף הקריאה ובכישורי שפה","מיקוד בשטף קריאה"),IF($AA873="ניכרת","מיקוד בכישורי שפה",IF(AND($L873="תקינה",$Z873="מפותחת"),"קוראים וכותבים מיומנים","מיקוד בהבנה והבעה"))))))</f>
        <v/>
      </c>
      <c r="AC873" s="32">
        <f>IF(OR($AB873="",LEFT($AB873,1)="—"),"",IF(OR($AB873="מיקוד בשטף קריאה",$AB873="מיקוד בשטף הקריאה ובכישורי שפה"),"רמה א'",IF($AB873="קוראים וכותבים מיומנים","רמה ג'","רמה ב'")))</f>
        <v/>
      </c>
      <c r="AD873" s="32">
        <f>IF($AC873="","",MID(IF(AND($AC873="רמה א'",$AA873="ניכרת"),"; להוסיף עבודת אוצר מילים","")&amp;IF($Z873="אינה מפותחת","; דגש על הבעה בכתב","")&amp;IF($K873&lt;&gt;"תקין","; נדרש לעבוד על ההנגנה","")&amp;IF($AK873&lt;&gt;"","; "&amp;$AK873,""),3,400))</f>
        <v/>
      </c>
      <c r="AE873" s="32">
        <f>IF($F873="","",IF($F873="תחילת שנה",1,IF($F873="מחצית שנה",2,3)))</f>
        <v/>
      </c>
      <c r="AF873" s="32">
        <f>IF(OR($B873="",$AC873="",$A873="",$F873=""),"",$B873&amp;"|"&amp;$A873&amp;"|"&amp;$F873&amp;"|"&amp;$AC873&amp;"|"&amp;COUNTIFS($B$6:$B873,$B873,$A$6:$A873,$A873,$F$6:$F873,$F873,$AC$6:$AC873,$AC873))</f>
        <v/>
      </c>
      <c r="AG873" s="32">
        <f>IF($C873="","",$C873&amp;"|"&amp;COUNTIFS($C$6:$C873,$C873))</f>
        <v/>
      </c>
      <c r="AH873" s="32">
        <f>IF(OR($C873="",$A873="",$AE873=""),"",$C873&amp;"|"&amp;$A873&amp;"|"&amp;$AE873)</f>
        <v/>
      </c>
      <c r="AI873" s="32">
        <f>IF(OR($C873="",$AE873="",$AE873=1),"",IFERROR(INDEX($AC$6:$AC$1505,MATCH($C873&amp;"|"&amp;$A873&amp;"|"&amp;($AE873-1),$AH$6:$AH$1505,0)),""))</f>
        <v/>
      </c>
      <c r="AJ873" s="32">
        <f>IF(OR($AI873="",$AC873=""),"",IF($AI873=$AC873,"ללא שינוי","מ-"&amp;$AI873&amp;" ל-"&amp;$AC873))</f>
        <v/>
      </c>
      <c r="AK873" s="67" t="n"/>
    </row>
    <row r="874" ht="15.75" customHeight="1" s="58">
      <c r="A874" s="65" t="n"/>
      <c r="B874" s="65" t="n"/>
      <c r="C874" s="66" t="n"/>
      <c r="D874" s="66" t="n"/>
      <c r="E874" s="65" t="n"/>
      <c r="F874" s="65" t="n"/>
      <c r="G874" s="65" t="n"/>
      <c r="H874" s="65" t="n"/>
      <c r="I874" s="65" t="n"/>
      <c r="J874" s="65" t="n"/>
      <c r="K874" s="65" t="n"/>
      <c r="L874" s="65" t="n"/>
      <c r="M874" s="65" t="n"/>
      <c r="N874" s="65" t="n"/>
      <c r="O874" s="65" t="n"/>
      <c r="P874" s="65" t="n"/>
      <c r="Q874" s="65" t="n"/>
      <c r="R874" s="65" t="n"/>
      <c r="S874" s="65" t="n"/>
      <c r="T874" s="65" t="n"/>
      <c r="U874" s="65" t="n"/>
      <c r="V874" s="65" t="n"/>
      <c r="W874" s="65" t="n"/>
      <c r="X874" s="65" t="n"/>
      <c r="Y874" s="32">
        <f>IF($C874="","",IF(COUNTA($I874:$K874)&lt;3,"— חסרים נתונים",IF(AND($I874="תקין",$J874="תקין",$K874="תקין"),"רהוטה",IF(AND($I874="תקין",$J874="תקין"),"מדויקת ורציפה","אינה מדויקת או מקוטעת"))))</f>
        <v/>
      </c>
      <c r="Z874" s="32">
        <f>IF($C874="","",IF(COUNTA($U874:$W874)&lt;3,"",IF(AND($U874="מפותח",$V874="מפותח",$W874="מפותחת"),"מפותחת",IF((--($U874="דל"))+(--($V874="אינו מפותח"))+(--($W874="דלה"))&gt;=2,"אינה מפותחת","חלקית"))))</f>
        <v/>
      </c>
      <c r="AA874" s="32">
        <f>IF($C874="","",IF(COUNTA($M874,$N874,$O874)&lt;3,"— חסרים נתונים",IF(OR($M874="נמוכה",(--($M874&lt;&gt;"תקינה"))+(--($N874&lt;&gt;"תקין"))+(--($O874&lt;&gt;"תקינה"))&gt;=2),"ניכרת","אינה ניכרת")))</f>
        <v/>
      </c>
      <c r="AB874" s="32">
        <f>IF(OR($C874="",$Y874="",$AA874="",LEFT($Y874,1)="—",LEFT($AA874,1)="—"),"",IF($Z874="","— נדרשת הערכת כתיבה",IF($L874="","— חסרה הבנת הנקרא",IF($Y874="אינה מדויקת או מקוטעת",IF($AA874="ניכרת","מיקוד בשטף הקריאה ובכישורי שפה","מיקוד בשטף קריאה"),IF($AA874="ניכרת","מיקוד בכישורי שפה",IF(AND($L874="תקינה",$Z874="מפותחת"),"קוראים וכותבים מיומנים","מיקוד בהבנה והבעה"))))))</f>
        <v/>
      </c>
      <c r="AC874" s="32">
        <f>IF(OR($AB874="",LEFT($AB874,1)="—"),"",IF(OR($AB874="מיקוד בשטף קריאה",$AB874="מיקוד בשטף הקריאה ובכישורי שפה"),"רמה א'",IF($AB874="קוראים וכותבים מיומנים","רמה ג'","רמה ב'")))</f>
        <v/>
      </c>
      <c r="AD874" s="32">
        <f>IF($AC874="","",MID(IF(AND($AC874="רמה א'",$AA874="ניכרת"),"; להוסיף עבודת אוצר מילים","")&amp;IF($Z874="אינה מפותחת","; דגש על הבעה בכתב","")&amp;IF($K874&lt;&gt;"תקין","; נדרש לעבוד על ההנגנה","")&amp;IF($AK874&lt;&gt;"","; "&amp;$AK874,""),3,400))</f>
        <v/>
      </c>
      <c r="AE874" s="32">
        <f>IF($F874="","",IF($F874="תחילת שנה",1,IF($F874="מחצית שנה",2,3)))</f>
        <v/>
      </c>
      <c r="AF874" s="32">
        <f>IF(OR($B874="",$AC874="",$A874="",$F874=""),"",$B874&amp;"|"&amp;$A874&amp;"|"&amp;$F874&amp;"|"&amp;$AC874&amp;"|"&amp;COUNTIFS($B$6:$B874,$B874,$A$6:$A874,$A874,$F$6:$F874,$F874,$AC$6:$AC874,$AC874))</f>
        <v/>
      </c>
      <c r="AG874" s="32">
        <f>IF($C874="","",$C874&amp;"|"&amp;COUNTIFS($C$6:$C874,$C874))</f>
        <v/>
      </c>
      <c r="AH874" s="32">
        <f>IF(OR($C874="",$A874="",$AE874=""),"",$C874&amp;"|"&amp;$A874&amp;"|"&amp;$AE874)</f>
        <v/>
      </c>
      <c r="AI874" s="32">
        <f>IF(OR($C874="",$AE874="",$AE874=1),"",IFERROR(INDEX($AC$6:$AC$1505,MATCH($C874&amp;"|"&amp;$A874&amp;"|"&amp;($AE874-1),$AH$6:$AH$1505,0)),""))</f>
        <v/>
      </c>
      <c r="AJ874" s="32">
        <f>IF(OR($AI874="",$AC874=""),"",IF($AI874=$AC874,"ללא שינוי","מ-"&amp;$AI874&amp;" ל-"&amp;$AC874))</f>
        <v/>
      </c>
      <c r="AK874" s="67" t="n"/>
    </row>
    <row r="875" ht="15.75" customHeight="1" s="58">
      <c r="A875" s="65" t="n"/>
      <c r="B875" s="65" t="n"/>
      <c r="C875" s="66" t="n"/>
      <c r="D875" s="66" t="n"/>
      <c r="E875" s="65" t="n"/>
      <c r="F875" s="65" t="n"/>
      <c r="G875" s="65" t="n"/>
      <c r="H875" s="65" t="n"/>
      <c r="I875" s="65" t="n"/>
      <c r="J875" s="65" t="n"/>
      <c r="K875" s="65" t="n"/>
      <c r="L875" s="65" t="n"/>
      <c r="M875" s="65" t="n"/>
      <c r="N875" s="65" t="n"/>
      <c r="O875" s="65" t="n"/>
      <c r="P875" s="65" t="n"/>
      <c r="Q875" s="65" t="n"/>
      <c r="R875" s="65" t="n"/>
      <c r="S875" s="65" t="n"/>
      <c r="T875" s="65" t="n"/>
      <c r="U875" s="65" t="n"/>
      <c r="V875" s="65" t="n"/>
      <c r="W875" s="65" t="n"/>
      <c r="X875" s="65" t="n"/>
      <c r="Y875" s="32">
        <f>IF($C875="","",IF(COUNTA($I875:$K875)&lt;3,"— חסרים נתונים",IF(AND($I875="תקין",$J875="תקין",$K875="תקין"),"רהוטה",IF(AND($I875="תקין",$J875="תקין"),"מדויקת ורציפה","אינה מדויקת או מקוטעת"))))</f>
        <v/>
      </c>
      <c r="Z875" s="32">
        <f>IF($C875="","",IF(COUNTA($U875:$W875)&lt;3,"",IF(AND($U875="מפותח",$V875="מפותח",$W875="מפותחת"),"מפותחת",IF((--($U875="דל"))+(--($V875="אינו מפותח"))+(--($W875="דלה"))&gt;=2,"אינה מפותחת","חלקית"))))</f>
        <v/>
      </c>
      <c r="AA875" s="32">
        <f>IF($C875="","",IF(COUNTA($M875,$N875,$O875)&lt;3,"— חסרים נתונים",IF(OR($M875="נמוכה",(--($M875&lt;&gt;"תקינה"))+(--($N875&lt;&gt;"תקין"))+(--($O875&lt;&gt;"תקינה"))&gt;=2),"ניכרת","אינה ניכרת")))</f>
        <v/>
      </c>
      <c r="AB875" s="32">
        <f>IF(OR($C875="",$Y875="",$AA875="",LEFT($Y875,1)="—",LEFT($AA875,1)="—"),"",IF($Z875="","— נדרשת הערכת כתיבה",IF($L875="","— חסרה הבנת הנקרא",IF($Y875="אינה מדויקת או מקוטעת",IF($AA875="ניכרת","מיקוד בשטף הקריאה ובכישורי שפה","מיקוד בשטף קריאה"),IF($AA875="ניכרת","מיקוד בכישורי שפה",IF(AND($L875="תקינה",$Z875="מפותחת"),"קוראים וכותבים מיומנים","מיקוד בהבנה והבעה"))))))</f>
        <v/>
      </c>
      <c r="AC875" s="32">
        <f>IF(OR($AB875="",LEFT($AB875,1)="—"),"",IF(OR($AB875="מיקוד בשטף קריאה",$AB875="מיקוד בשטף הקריאה ובכישורי שפה"),"רמה א'",IF($AB875="קוראים וכותבים מיומנים","רמה ג'","רמה ב'")))</f>
        <v/>
      </c>
      <c r="AD875" s="32">
        <f>IF($AC875="","",MID(IF(AND($AC875="רמה א'",$AA875="ניכרת"),"; להוסיף עבודת אוצר מילים","")&amp;IF($Z875="אינה מפותחת","; דגש על הבעה בכתב","")&amp;IF($K875&lt;&gt;"תקין","; נדרש לעבוד על ההנגנה","")&amp;IF($AK875&lt;&gt;"","; "&amp;$AK875,""),3,400))</f>
        <v/>
      </c>
      <c r="AE875" s="32">
        <f>IF($F875="","",IF($F875="תחילת שנה",1,IF($F875="מחצית שנה",2,3)))</f>
        <v/>
      </c>
      <c r="AF875" s="32">
        <f>IF(OR($B875="",$AC875="",$A875="",$F875=""),"",$B875&amp;"|"&amp;$A875&amp;"|"&amp;$F875&amp;"|"&amp;$AC875&amp;"|"&amp;COUNTIFS($B$6:$B875,$B875,$A$6:$A875,$A875,$F$6:$F875,$F875,$AC$6:$AC875,$AC875))</f>
        <v/>
      </c>
      <c r="AG875" s="32">
        <f>IF($C875="","",$C875&amp;"|"&amp;COUNTIFS($C$6:$C875,$C875))</f>
        <v/>
      </c>
      <c r="AH875" s="32">
        <f>IF(OR($C875="",$A875="",$AE875=""),"",$C875&amp;"|"&amp;$A875&amp;"|"&amp;$AE875)</f>
        <v/>
      </c>
      <c r="AI875" s="32">
        <f>IF(OR($C875="",$AE875="",$AE875=1),"",IFERROR(INDEX($AC$6:$AC$1505,MATCH($C875&amp;"|"&amp;$A875&amp;"|"&amp;($AE875-1),$AH$6:$AH$1505,0)),""))</f>
        <v/>
      </c>
      <c r="AJ875" s="32">
        <f>IF(OR($AI875="",$AC875=""),"",IF($AI875=$AC875,"ללא שינוי","מ-"&amp;$AI875&amp;" ל-"&amp;$AC875))</f>
        <v/>
      </c>
      <c r="AK875" s="67" t="n"/>
    </row>
    <row r="876" ht="15.75" customHeight="1" s="58">
      <c r="A876" s="65" t="n"/>
      <c r="B876" s="65" t="n"/>
      <c r="C876" s="66" t="n"/>
      <c r="D876" s="66" t="n"/>
      <c r="E876" s="65" t="n"/>
      <c r="F876" s="65" t="n"/>
      <c r="G876" s="65" t="n"/>
      <c r="H876" s="65" t="n"/>
      <c r="I876" s="65" t="n"/>
      <c r="J876" s="65" t="n"/>
      <c r="K876" s="65" t="n"/>
      <c r="L876" s="65" t="n"/>
      <c r="M876" s="65" t="n"/>
      <c r="N876" s="65" t="n"/>
      <c r="O876" s="65" t="n"/>
      <c r="P876" s="65" t="n"/>
      <c r="Q876" s="65" t="n"/>
      <c r="R876" s="65" t="n"/>
      <c r="S876" s="65" t="n"/>
      <c r="T876" s="65" t="n"/>
      <c r="U876" s="65" t="n"/>
      <c r="V876" s="65" t="n"/>
      <c r="W876" s="65" t="n"/>
      <c r="X876" s="65" t="n"/>
      <c r="Y876" s="32">
        <f>IF($C876="","",IF(COUNTA($I876:$K876)&lt;3,"— חסרים נתונים",IF(AND($I876="תקין",$J876="תקין",$K876="תקין"),"רהוטה",IF(AND($I876="תקין",$J876="תקין"),"מדויקת ורציפה","אינה מדויקת או מקוטעת"))))</f>
        <v/>
      </c>
      <c r="Z876" s="32">
        <f>IF($C876="","",IF(COUNTA($U876:$W876)&lt;3,"",IF(AND($U876="מפותח",$V876="מפותח",$W876="מפותחת"),"מפותחת",IF((--($U876="דל"))+(--($V876="אינו מפותח"))+(--($W876="דלה"))&gt;=2,"אינה מפותחת","חלקית"))))</f>
        <v/>
      </c>
      <c r="AA876" s="32">
        <f>IF($C876="","",IF(COUNTA($M876,$N876,$O876)&lt;3,"— חסרים נתונים",IF(OR($M876="נמוכה",(--($M876&lt;&gt;"תקינה"))+(--($N876&lt;&gt;"תקין"))+(--($O876&lt;&gt;"תקינה"))&gt;=2),"ניכרת","אינה ניכרת")))</f>
        <v/>
      </c>
      <c r="AB876" s="32">
        <f>IF(OR($C876="",$Y876="",$AA876="",LEFT($Y876,1)="—",LEFT($AA876,1)="—"),"",IF($Z876="","— נדרשת הערכת כתיבה",IF($L876="","— חסרה הבנת הנקרא",IF($Y876="אינה מדויקת או מקוטעת",IF($AA876="ניכרת","מיקוד בשטף הקריאה ובכישורי שפה","מיקוד בשטף קריאה"),IF($AA876="ניכרת","מיקוד בכישורי שפה",IF(AND($L876="תקינה",$Z876="מפותחת"),"קוראים וכותבים מיומנים","מיקוד בהבנה והבעה"))))))</f>
        <v/>
      </c>
      <c r="AC876" s="32">
        <f>IF(OR($AB876="",LEFT($AB876,1)="—"),"",IF(OR($AB876="מיקוד בשטף קריאה",$AB876="מיקוד בשטף הקריאה ובכישורי שפה"),"רמה א'",IF($AB876="קוראים וכותבים מיומנים","רמה ג'","רמה ב'")))</f>
        <v/>
      </c>
      <c r="AD876" s="32">
        <f>IF($AC876="","",MID(IF(AND($AC876="רמה א'",$AA876="ניכרת"),"; להוסיף עבודת אוצר מילים","")&amp;IF($Z876="אינה מפותחת","; דגש על הבעה בכתב","")&amp;IF($K876&lt;&gt;"תקין","; נדרש לעבוד על ההנגנה","")&amp;IF($AK876&lt;&gt;"","; "&amp;$AK876,""),3,400))</f>
        <v/>
      </c>
      <c r="AE876" s="32">
        <f>IF($F876="","",IF($F876="תחילת שנה",1,IF($F876="מחצית שנה",2,3)))</f>
        <v/>
      </c>
      <c r="AF876" s="32">
        <f>IF(OR($B876="",$AC876="",$A876="",$F876=""),"",$B876&amp;"|"&amp;$A876&amp;"|"&amp;$F876&amp;"|"&amp;$AC876&amp;"|"&amp;COUNTIFS($B$6:$B876,$B876,$A$6:$A876,$A876,$F$6:$F876,$F876,$AC$6:$AC876,$AC876))</f>
        <v/>
      </c>
      <c r="AG876" s="32">
        <f>IF($C876="","",$C876&amp;"|"&amp;COUNTIFS($C$6:$C876,$C876))</f>
        <v/>
      </c>
      <c r="AH876" s="32">
        <f>IF(OR($C876="",$A876="",$AE876=""),"",$C876&amp;"|"&amp;$A876&amp;"|"&amp;$AE876)</f>
        <v/>
      </c>
      <c r="AI876" s="32">
        <f>IF(OR($C876="",$AE876="",$AE876=1),"",IFERROR(INDEX($AC$6:$AC$1505,MATCH($C876&amp;"|"&amp;$A876&amp;"|"&amp;($AE876-1),$AH$6:$AH$1505,0)),""))</f>
        <v/>
      </c>
      <c r="AJ876" s="32">
        <f>IF(OR($AI876="",$AC876=""),"",IF($AI876=$AC876,"ללא שינוי","מ-"&amp;$AI876&amp;" ל-"&amp;$AC876))</f>
        <v/>
      </c>
      <c r="AK876" s="67" t="n"/>
    </row>
    <row r="877" ht="15.75" customHeight="1" s="58">
      <c r="A877" s="65" t="n"/>
      <c r="B877" s="65" t="n"/>
      <c r="C877" s="66" t="n"/>
      <c r="D877" s="66" t="n"/>
      <c r="E877" s="65" t="n"/>
      <c r="F877" s="65" t="n"/>
      <c r="G877" s="65" t="n"/>
      <c r="H877" s="65" t="n"/>
      <c r="I877" s="65" t="n"/>
      <c r="J877" s="65" t="n"/>
      <c r="K877" s="65" t="n"/>
      <c r="L877" s="65" t="n"/>
      <c r="M877" s="65" t="n"/>
      <c r="N877" s="65" t="n"/>
      <c r="O877" s="65" t="n"/>
      <c r="P877" s="65" t="n"/>
      <c r="Q877" s="65" t="n"/>
      <c r="R877" s="65" t="n"/>
      <c r="S877" s="65" t="n"/>
      <c r="T877" s="65" t="n"/>
      <c r="U877" s="65" t="n"/>
      <c r="V877" s="65" t="n"/>
      <c r="W877" s="65" t="n"/>
      <c r="X877" s="65" t="n"/>
      <c r="Y877" s="32">
        <f>IF($C877="","",IF(COUNTA($I877:$K877)&lt;3,"— חסרים נתונים",IF(AND($I877="תקין",$J877="תקין",$K877="תקין"),"רהוטה",IF(AND($I877="תקין",$J877="תקין"),"מדויקת ורציפה","אינה מדויקת או מקוטעת"))))</f>
        <v/>
      </c>
      <c r="Z877" s="32">
        <f>IF($C877="","",IF(COUNTA($U877:$W877)&lt;3,"",IF(AND($U877="מפותח",$V877="מפותח",$W877="מפותחת"),"מפותחת",IF((--($U877="דל"))+(--($V877="אינו מפותח"))+(--($W877="דלה"))&gt;=2,"אינה מפותחת","חלקית"))))</f>
        <v/>
      </c>
      <c r="AA877" s="32">
        <f>IF($C877="","",IF(COUNTA($M877,$N877,$O877)&lt;3,"— חסרים נתונים",IF(OR($M877="נמוכה",(--($M877&lt;&gt;"תקינה"))+(--($N877&lt;&gt;"תקין"))+(--($O877&lt;&gt;"תקינה"))&gt;=2),"ניכרת","אינה ניכרת")))</f>
        <v/>
      </c>
      <c r="AB877" s="32">
        <f>IF(OR($C877="",$Y877="",$AA877="",LEFT($Y877,1)="—",LEFT($AA877,1)="—"),"",IF($Z877="","— נדרשת הערכת כתיבה",IF($L877="","— חסרה הבנת הנקרא",IF($Y877="אינה מדויקת או מקוטעת",IF($AA877="ניכרת","מיקוד בשטף הקריאה ובכישורי שפה","מיקוד בשטף קריאה"),IF($AA877="ניכרת","מיקוד בכישורי שפה",IF(AND($L877="תקינה",$Z877="מפותחת"),"קוראים וכותבים מיומנים","מיקוד בהבנה והבעה"))))))</f>
        <v/>
      </c>
      <c r="AC877" s="32">
        <f>IF(OR($AB877="",LEFT($AB877,1)="—"),"",IF(OR($AB877="מיקוד בשטף קריאה",$AB877="מיקוד בשטף הקריאה ובכישורי שפה"),"רמה א'",IF($AB877="קוראים וכותבים מיומנים","רמה ג'","רמה ב'")))</f>
        <v/>
      </c>
      <c r="AD877" s="32">
        <f>IF($AC877="","",MID(IF(AND($AC877="רמה א'",$AA877="ניכרת"),"; להוסיף עבודת אוצר מילים","")&amp;IF($Z877="אינה מפותחת","; דגש על הבעה בכתב","")&amp;IF($K877&lt;&gt;"תקין","; נדרש לעבוד על ההנגנה","")&amp;IF($AK877&lt;&gt;"","; "&amp;$AK877,""),3,400))</f>
        <v/>
      </c>
      <c r="AE877" s="32">
        <f>IF($F877="","",IF($F877="תחילת שנה",1,IF($F877="מחצית שנה",2,3)))</f>
        <v/>
      </c>
      <c r="AF877" s="32">
        <f>IF(OR($B877="",$AC877="",$A877="",$F877=""),"",$B877&amp;"|"&amp;$A877&amp;"|"&amp;$F877&amp;"|"&amp;$AC877&amp;"|"&amp;COUNTIFS($B$6:$B877,$B877,$A$6:$A877,$A877,$F$6:$F877,$F877,$AC$6:$AC877,$AC877))</f>
        <v/>
      </c>
      <c r="AG877" s="32">
        <f>IF($C877="","",$C877&amp;"|"&amp;COUNTIFS($C$6:$C877,$C877))</f>
        <v/>
      </c>
      <c r="AH877" s="32">
        <f>IF(OR($C877="",$A877="",$AE877=""),"",$C877&amp;"|"&amp;$A877&amp;"|"&amp;$AE877)</f>
        <v/>
      </c>
      <c r="AI877" s="32">
        <f>IF(OR($C877="",$AE877="",$AE877=1),"",IFERROR(INDEX($AC$6:$AC$1505,MATCH($C877&amp;"|"&amp;$A877&amp;"|"&amp;($AE877-1),$AH$6:$AH$1505,0)),""))</f>
        <v/>
      </c>
      <c r="AJ877" s="32">
        <f>IF(OR($AI877="",$AC877=""),"",IF($AI877=$AC877,"ללא שינוי","מ-"&amp;$AI877&amp;" ל-"&amp;$AC877))</f>
        <v/>
      </c>
      <c r="AK877" s="67" t="n"/>
    </row>
    <row r="878" ht="15.75" customHeight="1" s="58">
      <c r="A878" s="65" t="n"/>
      <c r="B878" s="65" t="n"/>
      <c r="C878" s="66" t="n"/>
      <c r="D878" s="66" t="n"/>
      <c r="E878" s="65" t="n"/>
      <c r="F878" s="65" t="n"/>
      <c r="G878" s="65" t="n"/>
      <c r="H878" s="65" t="n"/>
      <c r="I878" s="65" t="n"/>
      <c r="J878" s="65" t="n"/>
      <c r="K878" s="65" t="n"/>
      <c r="L878" s="65" t="n"/>
      <c r="M878" s="65" t="n"/>
      <c r="N878" s="65" t="n"/>
      <c r="O878" s="65" t="n"/>
      <c r="P878" s="65" t="n"/>
      <c r="Q878" s="65" t="n"/>
      <c r="R878" s="65" t="n"/>
      <c r="S878" s="65" t="n"/>
      <c r="T878" s="65" t="n"/>
      <c r="U878" s="65" t="n"/>
      <c r="V878" s="65" t="n"/>
      <c r="W878" s="65" t="n"/>
      <c r="X878" s="65" t="n"/>
      <c r="Y878" s="32">
        <f>IF($C878="","",IF(COUNTA($I878:$K878)&lt;3,"— חסרים נתונים",IF(AND($I878="תקין",$J878="תקין",$K878="תקין"),"רהוטה",IF(AND($I878="תקין",$J878="תקין"),"מדויקת ורציפה","אינה מדויקת או מקוטעת"))))</f>
        <v/>
      </c>
      <c r="Z878" s="32">
        <f>IF($C878="","",IF(COUNTA($U878:$W878)&lt;3,"",IF(AND($U878="מפותח",$V878="מפותח",$W878="מפותחת"),"מפותחת",IF((--($U878="דל"))+(--($V878="אינו מפותח"))+(--($W878="דלה"))&gt;=2,"אינה מפותחת","חלקית"))))</f>
        <v/>
      </c>
      <c r="AA878" s="32">
        <f>IF($C878="","",IF(COUNTA($M878,$N878,$O878)&lt;3,"— חסרים נתונים",IF(OR($M878="נמוכה",(--($M878&lt;&gt;"תקינה"))+(--($N878&lt;&gt;"תקין"))+(--($O878&lt;&gt;"תקינה"))&gt;=2),"ניכרת","אינה ניכרת")))</f>
        <v/>
      </c>
      <c r="AB878" s="32">
        <f>IF(OR($C878="",$Y878="",$AA878="",LEFT($Y878,1)="—",LEFT($AA878,1)="—"),"",IF($Z878="","— נדרשת הערכת כתיבה",IF($L878="","— חסרה הבנת הנקרא",IF($Y878="אינה מדויקת או מקוטעת",IF($AA878="ניכרת","מיקוד בשטף הקריאה ובכישורי שפה","מיקוד בשטף קריאה"),IF($AA878="ניכרת","מיקוד בכישורי שפה",IF(AND($L878="תקינה",$Z878="מפותחת"),"קוראים וכותבים מיומנים","מיקוד בהבנה והבעה"))))))</f>
        <v/>
      </c>
      <c r="AC878" s="32">
        <f>IF(OR($AB878="",LEFT($AB878,1)="—"),"",IF(OR($AB878="מיקוד בשטף קריאה",$AB878="מיקוד בשטף הקריאה ובכישורי שפה"),"רמה א'",IF($AB878="קוראים וכותבים מיומנים","רמה ג'","רמה ב'")))</f>
        <v/>
      </c>
      <c r="AD878" s="32">
        <f>IF($AC878="","",MID(IF(AND($AC878="רמה א'",$AA878="ניכרת"),"; להוסיף עבודת אוצר מילים","")&amp;IF($Z878="אינה מפותחת","; דגש על הבעה בכתב","")&amp;IF($K878&lt;&gt;"תקין","; נדרש לעבוד על ההנגנה","")&amp;IF($AK878&lt;&gt;"","; "&amp;$AK878,""),3,400))</f>
        <v/>
      </c>
      <c r="AE878" s="32">
        <f>IF($F878="","",IF($F878="תחילת שנה",1,IF($F878="מחצית שנה",2,3)))</f>
        <v/>
      </c>
      <c r="AF878" s="32">
        <f>IF(OR($B878="",$AC878="",$A878="",$F878=""),"",$B878&amp;"|"&amp;$A878&amp;"|"&amp;$F878&amp;"|"&amp;$AC878&amp;"|"&amp;COUNTIFS($B$6:$B878,$B878,$A$6:$A878,$A878,$F$6:$F878,$F878,$AC$6:$AC878,$AC878))</f>
        <v/>
      </c>
      <c r="AG878" s="32">
        <f>IF($C878="","",$C878&amp;"|"&amp;COUNTIFS($C$6:$C878,$C878))</f>
        <v/>
      </c>
      <c r="AH878" s="32">
        <f>IF(OR($C878="",$A878="",$AE878=""),"",$C878&amp;"|"&amp;$A878&amp;"|"&amp;$AE878)</f>
        <v/>
      </c>
      <c r="AI878" s="32">
        <f>IF(OR($C878="",$AE878="",$AE878=1),"",IFERROR(INDEX($AC$6:$AC$1505,MATCH($C878&amp;"|"&amp;$A878&amp;"|"&amp;($AE878-1),$AH$6:$AH$1505,0)),""))</f>
        <v/>
      </c>
      <c r="AJ878" s="32">
        <f>IF(OR($AI878="",$AC878=""),"",IF($AI878=$AC878,"ללא שינוי","מ-"&amp;$AI878&amp;" ל-"&amp;$AC878))</f>
        <v/>
      </c>
      <c r="AK878" s="67" t="n"/>
    </row>
    <row r="879" ht="15.75" customHeight="1" s="58">
      <c r="A879" s="65" t="n"/>
      <c r="B879" s="65" t="n"/>
      <c r="C879" s="66" t="n"/>
      <c r="D879" s="66" t="n"/>
      <c r="E879" s="65" t="n"/>
      <c r="F879" s="65" t="n"/>
      <c r="G879" s="65" t="n"/>
      <c r="H879" s="65" t="n"/>
      <c r="I879" s="65" t="n"/>
      <c r="J879" s="65" t="n"/>
      <c r="K879" s="65" t="n"/>
      <c r="L879" s="65" t="n"/>
      <c r="M879" s="65" t="n"/>
      <c r="N879" s="65" t="n"/>
      <c r="O879" s="65" t="n"/>
      <c r="P879" s="65" t="n"/>
      <c r="Q879" s="65" t="n"/>
      <c r="R879" s="65" t="n"/>
      <c r="S879" s="65" t="n"/>
      <c r="T879" s="65" t="n"/>
      <c r="U879" s="65" t="n"/>
      <c r="V879" s="65" t="n"/>
      <c r="W879" s="65" t="n"/>
      <c r="X879" s="65" t="n"/>
      <c r="Y879" s="32">
        <f>IF($C879="","",IF(COUNTA($I879:$K879)&lt;3,"— חסרים נתונים",IF(AND($I879="תקין",$J879="תקין",$K879="תקין"),"רהוטה",IF(AND($I879="תקין",$J879="תקין"),"מדויקת ורציפה","אינה מדויקת או מקוטעת"))))</f>
        <v/>
      </c>
      <c r="Z879" s="32">
        <f>IF($C879="","",IF(COUNTA($U879:$W879)&lt;3,"",IF(AND($U879="מפותח",$V879="מפותח",$W879="מפותחת"),"מפותחת",IF((--($U879="דל"))+(--($V879="אינו מפותח"))+(--($W879="דלה"))&gt;=2,"אינה מפותחת","חלקית"))))</f>
        <v/>
      </c>
      <c r="AA879" s="32">
        <f>IF($C879="","",IF(COUNTA($M879,$N879,$O879)&lt;3,"— חסרים נתונים",IF(OR($M879="נמוכה",(--($M879&lt;&gt;"תקינה"))+(--($N879&lt;&gt;"תקין"))+(--($O879&lt;&gt;"תקינה"))&gt;=2),"ניכרת","אינה ניכרת")))</f>
        <v/>
      </c>
      <c r="AB879" s="32">
        <f>IF(OR($C879="",$Y879="",$AA879="",LEFT($Y879,1)="—",LEFT($AA879,1)="—"),"",IF($Z879="","— נדרשת הערכת כתיבה",IF($L879="","— חסרה הבנת הנקרא",IF($Y879="אינה מדויקת או מקוטעת",IF($AA879="ניכרת","מיקוד בשטף הקריאה ובכישורי שפה","מיקוד בשטף קריאה"),IF($AA879="ניכרת","מיקוד בכישורי שפה",IF(AND($L879="תקינה",$Z879="מפותחת"),"קוראים וכותבים מיומנים","מיקוד בהבנה והבעה"))))))</f>
        <v/>
      </c>
      <c r="AC879" s="32">
        <f>IF(OR($AB879="",LEFT($AB879,1)="—"),"",IF(OR($AB879="מיקוד בשטף קריאה",$AB879="מיקוד בשטף הקריאה ובכישורי שפה"),"רמה א'",IF($AB879="קוראים וכותבים מיומנים","רמה ג'","רמה ב'")))</f>
        <v/>
      </c>
      <c r="AD879" s="32">
        <f>IF($AC879="","",MID(IF(AND($AC879="רמה א'",$AA879="ניכרת"),"; להוסיף עבודת אוצר מילים","")&amp;IF($Z879="אינה מפותחת","; דגש על הבעה בכתב","")&amp;IF($K879&lt;&gt;"תקין","; נדרש לעבוד על ההנגנה","")&amp;IF($AK879&lt;&gt;"","; "&amp;$AK879,""),3,400))</f>
        <v/>
      </c>
      <c r="AE879" s="32">
        <f>IF($F879="","",IF($F879="תחילת שנה",1,IF($F879="מחצית שנה",2,3)))</f>
        <v/>
      </c>
      <c r="AF879" s="32">
        <f>IF(OR($B879="",$AC879="",$A879="",$F879=""),"",$B879&amp;"|"&amp;$A879&amp;"|"&amp;$F879&amp;"|"&amp;$AC879&amp;"|"&amp;COUNTIFS($B$6:$B879,$B879,$A$6:$A879,$A879,$F$6:$F879,$F879,$AC$6:$AC879,$AC879))</f>
        <v/>
      </c>
      <c r="AG879" s="32">
        <f>IF($C879="","",$C879&amp;"|"&amp;COUNTIFS($C$6:$C879,$C879))</f>
        <v/>
      </c>
      <c r="AH879" s="32">
        <f>IF(OR($C879="",$A879="",$AE879=""),"",$C879&amp;"|"&amp;$A879&amp;"|"&amp;$AE879)</f>
        <v/>
      </c>
      <c r="AI879" s="32">
        <f>IF(OR($C879="",$AE879="",$AE879=1),"",IFERROR(INDEX($AC$6:$AC$1505,MATCH($C879&amp;"|"&amp;$A879&amp;"|"&amp;($AE879-1),$AH$6:$AH$1505,0)),""))</f>
        <v/>
      </c>
      <c r="AJ879" s="32">
        <f>IF(OR($AI879="",$AC879=""),"",IF($AI879=$AC879,"ללא שינוי","מ-"&amp;$AI879&amp;" ל-"&amp;$AC879))</f>
        <v/>
      </c>
      <c r="AK879" s="67" t="n"/>
    </row>
    <row r="880" ht="15.75" customHeight="1" s="58">
      <c r="A880" s="65" t="n"/>
      <c r="B880" s="65" t="n"/>
      <c r="C880" s="66" t="n"/>
      <c r="D880" s="66" t="n"/>
      <c r="E880" s="65" t="n"/>
      <c r="F880" s="65" t="n"/>
      <c r="G880" s="65" t="n"/>
      <c r="H880" s="65" t="n"/>
      <c r="I880" s="65" t="n"/>
      <c r="J880" s="65" t="n"/>
      <c r="K880" s="65" t="n"/>
      <c r="L880" s="65" t="n"/>
      <c r="M880" s="65" t="n"/>
      <c r="N880" s="65" t="n"/>
      <c r="O880" s="65" t="n"/>
      <c r="P880" s="65" t="n"/>
      <c r="Q880" s="65" t="n"/>
      <c r="R880" s="65" t="n"/>
      <c r="S880" s="65" t="n"/>
      <c r="T880" s="65" t="n"/>
      <c r="U880" s="65" t="n"/>
      <c r="V880" s="65" t="n"/>
      <c r="W880" s="65" t="n"/>
      <c r="X880" s="65" t="n"/>
      <c r="Y880" s="32">
        <f>IF($C880="","",IF(COUNTA($I880:$K880)&lt;3,"— חסרים נתונים",IF(AND($I880="תקין",$J880="תקין",$K880="תקין"),"רהוטה",IF(AND($I880="תקין",$J880="תקין"),"מדויקת ורציפה","אינה מדויקת או מקוטעת"))))</f>
        <v/>
      </c>
      <c r="Z880" s="32">
        <f>IF($C880="","",IF(COUNTA($U880:$W880)&lt;3,"",IF(AND($U880="מפותח",$V880="מפותח",$W880="מפותחת"),"מפותחת",IF((--($U880="דל"))+(--($V880="אינו מפותח"))+(--($W880="דלה"))&gt;=2,"אינה מפותחת","חלקית"))))</f>
        <v/>
      </c>
      <c r="AA880" s="32">
        <f>IF($C880="","",IF(COUNTA($M880,$N880,$O880)&lt;3,"— חסרים נתונים",IF(OR($M880="נמוכה",(--($M880&lt;&gt;"תקינה"))+(--($N880&lt;&gt;"תקין"))+(--($O880&lt;&gt;"תקינה"))&gt;=2),"ניכרת","אינה ניכרת")))</f>
        <v/>
      </c>
      <c r="AB880" s="32">
        <f>IF(OR($C880="",$Y880="",$AA880="",LEFT($Y880,1)="—",LEFT($AA880,1)="—"),"",IF($Z880="","— נדרשת הערכת כתיבה",IF($L880="","— חסרה הבנת הנקרא",IF($Y880="אינה מדויקת או מקוטעת",IF($AA880="ניכרת","מיקוד בשטף הקריאה ובכישורי שפה","מיקוד בשטף קריאה"),IF($AA880="ניכרת","מיקוד בכישורי שפה",IF(AND($L880="תקינה",$Z880="מפותחת"),"קוראים וכותבים מיומנים","מיקוד בהבנה והבעה"))))))</f>
        <v/>
      </c>
      <c r="AC880" s="32">
        <f>IF(OR($AB880="",LEFT($AB880,1)="—"),"",IF(OR($AB880="מיקוד בשטף קריאה",$AB880="מיקוד בשטף הקריאה ובכישורי שפה"),"רמה א'",IF($AB880="קוראים וכותבים מיומנים","רמה ג'","רמה ב'")))</f>
        <v/>
      </c>
      <c r="AD880" s="32">
        <f>IF($AC880="","",MID(IF(AND($AC880="רמה א'",$AA880="ניכרת"),"; להוסיף עבודת אוצר מילים","")&amp;IF($Z880="אינה מפותחת","; דגש על הבעה בכתב","")&amp;IF($K880&lt;&gt;"תקין","; נדרש לעבוד על ההנגנה","")&amp;IF($AK880&lt;&gt;"","; "&amp;$AK880,""),3,400))</f>
        <v/>
      </c>
      <c r="AE880" s="32">
        <f>IF($F880="","",IF($F880="תחילת שנה",1,IF($F880="מחצית שנה",2,3)))</f>
        <v/>
      </c>
      <c r="AF880" s="32">
        <f>IF(OR($B880="",$AC880="",$A880="",$F880=""),"",$B880&amp;"|"&amp;$A880&amp;"|"&amp;$F880&amp;"|"&amp;$AC880&amp;"|"&amp;COUNTIFS($B$6:$B880,$B880,$A$6:$A880,$A880,$F$6:$F880,$F880,$AC$6:$AC880,$AC880))</f>
        <v/>
      </c>
      <c r="AG880" s="32">
        <f>IF($C880="","",$C880&amp;"|"&amp;COUNTIFS($C$6:$C880,$C880))</f>
        <v/>
      </c>
      <c r="AH880" s="32">
        <f>IF(OR($C880="",$A880="",$AE880=""),"",$C880&amp;"|"&amp;$A880&amp;"|"&amp;$AE880)</f>
        <v/>
      </c>
      <c r="AI880" s="32">
        <f>IF(OR($C880="",$AE880="",$AE880=1),"",IFERROR(INDEX($AC$6:$AC$1505,MATCH($C880&amp;"|"&amp;$A880&amp;"|"&amp;($AE880-1),$AH$6:$AH$1505,0)),""))</f>
        <v/>
      </c>
      <c r="AJ880" s="32">
        <f>IF(OR($AI880="",$AC880=""),"",IF($AI880=$AC880,"ללא שינוי","מ-"&amp;$AI880&amp;" ל-"&amp;$AC880))</f>
        <v/>
      </c>
      <c r="AK880" s="67" t="n"/>
    </row>
    <row r="881" ht="15.75" customHeight="1" s="58">
      <c r="A881" s="65" t="n"/>
      <c r="B881" s="65" t="n"/>
      <c r="C881" s="66" t="n"/>
      <c r="D881" s="66" t="n"/>
      <c r="E881" s="65" t="n"/>
      <c r="F881" s="65" t="n"/>
      <c r="G881" s="65" t="n"/>
      <c r="H881" s="65" t="n"/>
      <c r="I881" s="65" t="n"/>
      <c r="J881" s="65" t="n"/>
      <c r="K881" s="65" t="n"/>
      <c r="L881" s="65" t="n"/>
      <c r="M881" s="65" t="n"/>
      <c r="N881" s="65" t="n"/>
      <c r="O881" s="65" t="n"/>
      <c r="P881" s="65" t="n"/>
      <c r="Q881" s="65" t="n"/>
      <c r="R881" s="65" t="n"/>
      <c r="S881" s="65" t="n"/>
      <c r="T881" s="65" t="n"/>
      <c r="U881" s="65" t="n"/>
      <c r="V881" s="65" t="n"/>
      <c r="W881" s="65" t="n"/>
      <c r="X881" s="65" t="n"/>
      <c r="Y881" s="32">
        <f>IF($C881="","",IF(COUNTA($I881:$K881)&lt;3,"— חסרים נתונים",IF(AND($I881="תקין",$J881="תקין",$K881="תקין"),"רהוטה",IF(AND($I881="תקין",$J881="תקין"),"מדויקת ורציפה","אינה מדויקת או מקוטעת"))))</f>
        <v/>
      </c>
      <c r="Z881" s="32">
        <f>IF($C881="","",IF(COUNTA($U881:$W881)&lt;3,"",IF(AND($U881="מפותח",$V881="מפותח",$W881="מפותחת"),"מפותחת",IF((--($U881="דל"))+(--($V881="אינו מפותח"))+(--($W881="דלה"))&gt;=2,"אינה מפותחת","חלקית"))))</f>
        <v/>
      </c>
      <c r="AA881" s="32">
        <f>IF($C881="","",IF(COUNTA($M881,$N881,$O881)&lt;3,"— חסרים נתונים",IF(OR($M881="נמוכה",(--($M881&lt;&gt;"תקינה"))+(--($N881&lt;&gt;"תקין"))+(--($O881&lt;&gt;"תקינה"))&gt;=2),"ניכרת","אינה ניכרת")))</f>
        <v/>
      </c>
      <c r="AB881" s="32">
        <f>IF(OR($C881="",$Y881="",$AA881="",LEFT($Y881,1)="—",LEFT($AA881,1)="—"),"",IF($Z881="","— נדרשת הערכת כתיבה",IF($L881="","— חסרה הבנת הנקרא",IF($Y881="אינה מדויקת או מקוטעת",IF($AA881="ניכרת","מיקוד בשטף הקריאה ובכישורי שפה","מיקוד בשטף קריאה"),IF($AA881="ניכרת","מיקוד בכישורי שפה",IF(AND($L881="תקינה",$Z881="מפותחת"),"קוראים וכותבים מיומנים","מיקוד בהבנה והבעה"))))))</f>
        <v/>
      </c>
      <c r="AC881" s="32">
        <f>IF(OR($AB881="",LEFT($AB881,1)="—"),"",IF(OR($AB881="מיקוד בשטף קריאה",$AB881="מיקוד בשטף הקריאה ובכישורי שפה"),"רמה א'",IF($AB881="קוראים וכותבים מיומנים","רמה ג'","רמה ב'")))</f>
        <v/>
      </c>
      <c r="AD881" s="32">
        <f>IF($AC881="","",MID(IF(AND($AC881="רמה א'",$AA881="ניכרת"),"; להוסיף עבודת אוצר מילים","")&amp;IF($Z881="אינה מפותחת","; דגש על הבעה בכתב","")&amp;IF($K881&lt;&gt;"תקין","; נדרש לעבוד על ההנגנה","")&amp;IF($AK881&lt;&gt;"","; "&amp;$AK881,""),3,400))</f>
        <v/>
      </c>
      <c r="AE881" s="32">
        <f>IF($F881="","",IF($F881="תחילת שנה",1,IF($F881="מחצית שנה",2,3)))</f>
        <v/>
      </c>
      <c r="AF881" s="32">
        <f>IF(OR($B881="",$AC881="",$A881="",$F881=""),"",$B881&amp;"|"&amp;$A881&amp;"|"&amp;$F881&amp;"|"&amp;$AC881&amp;"|"&amp;COUNTIFS($B$6:$B881,$B881,$A$6:$A881,$A881,$F$6:$F881,$F881,$AC$6:$AC881,$AC881))</f>
        <v/>
      </c>
      <c r="AG881" s="32">
        <f>IF($C881="","",$C881&amp;"|"&amp;COUNTIFS($C$6:$C881,$C881))</f>
        <v/>
      </c>
      <c r="AH881" s="32">
        <f>IF(OR($C881="",$A881="",$AE881=""),"",$C881&amp;"|"&amp;$A881&amp;"|"&amp;$AE881)</f>
        <v/>
      </c>
      <c r="AI881" s="32">
        <f>IF(OR($C881="",$AE881="",$AE881=1),"",IFERROR(INDEX($AC$6:$AC$1505,MATCH($C881&amp;"|"&amp;$A881&amp;"|"&amp;($AE881-1),$AH$6:$AH$1505,0)),""))</f>
        <v/>
      </c>
      <c r="AJ881" s="32">
        <f>IF(OR($AI881="",$AC881=""),"",IF($AI881=$AC881,"ללא שינוי","מ-"&amp;$AI881&amp;" ל-"&amp;$AC881))</f>
        <v/>
      </c>
      <c r="AK881" s="67" t="n"/>
    </row>
    <row r="882" ht="15.75" customHeight="1" s="58">
      <c r="A882" s="65" t="n"/>
      <c r="B882" s="65" t="n"/>
      <c r="C882" s="66" t="n"/>
      <c r="D882" s="66" t="n"/>
      <c r="E882" s="65" t="n"/>
      <c r="F882" s="65" t="n"/>
      <c r="G882" s="65" t="n"/>
      <c r="H882" s="65" t="n"/>
      <c r="I882" s="65" t="n"/>
      <c r="J882" s="65" t="n"/>
      <c r="K882" s="65" t="n"/>
      <c r="L882" s="65" t="n"/>
      <c r="M882" s="65" t="n"/>
      <c r="N882" s="65" t="n"/>
      <c r="O882" s="65" t="n"/>
      <c r="P882" s="65" t="n"/>
      <c r="Q882" s="65" t="n"/>
      <c r="R882" s="65" t="n"/>
      <c r="S882" s="65" t="n"/>
      <c r="T882" s="65" t="n"/>
      <c r="U882" s="65" t="n"/>
      <c r="V882" s="65" t="n"/>
      <c r="W882" s="65" t="n"/>
      <c r="X882" s="65" t="n"/>
      <c r="Y882" s="32">
        <f>IF($C882="","",IF(COUNTA($I882:$K882)&lt;3,"— חסרים נתונים",IF(AND($I882="תקין",$J882="תקין",$K882="תקין"),"רהוטה",IF(AND($I882="תקין",$J882="תקין"),"מדויקת ורציפה","אינה מדויקת או מקוטעת"))))</f>
        <v/>
      </c>
      <c r="Z882" s="32">
        <f>IF($C882="","",IF(COUNTA($U882:$W882)&lt;3,"",IF(AND($U882="מפותח",$V882="מפותח",$W882="מפותחת"),"מפותחת",IF((--($U882="דל"))+(--($V882="אינו מפותח"))+(--($W882="דלה"))&gt;=2,"אינה מפותחת","חלקית"))))</f>
        <v/>
      </c>
      <c r="AA882" s="32">
        <f>IF($C882="","",IF(COUNTA($M882,$N882,$O882)&lt;3,"— חסרים נתונים",IF(OR($M882="נמוכה",(--($M882&lt;&gt;"תקינה"))+(--($N882&lt;&gt;"תקין"))+(--($O882&lt;&gt;"תקינה"))&gt;=2),"ניכרת","אינה ניכרת")))</f>
        <v/>
      </c>
      <c r="AB882" s="32">
        <f>IF(OR($C882="",$Y882="",$AA882="",LEFT($Y882,1)="—",LEFT($AA882,1)="—"),"",IF($Z882="","— נדרשת הערכת כתיבה",IF($L882="","— חסרה הבנת הנקרא",IF($Y882="אינה מדויקת או מקוטעת",IF($AA882="ניכרת","מיקוד בשטף הקריאה ובכישורי שפה","מיקוד בשטף קריאה"),IF($AA882="ניכרת","מיקוד בכישורי שפה",IF(AND($L882="תקינה",$Z882="מפותחת"),"קוראים וכותבים מיומנים","מיקוד בהבנה והבעה"))))))</f>
        <v/>
      </c>
      <c r="AC882" s="32">
        <f>IF(OR($AB882="",LEFT($AB882,1)="—"),"",IF(OR($AB882="מיקוד בשטף קריאה",$AB882="מיקוד בשטף הקריאה ובכישורי שפה"),"רמה א'",IF($AB882="קוראים וכותבים מיומנים","רמה ג'","רמה ב'")))</f>
        <v/>
      </c>
      <c r="AD882" s="32">
        <f>IF($AC882="","",MID(IF(AND($AC882="רמה א'",$AA882="ניכרת"),"; להוסיף עבודת אוצר מילים","")&amp;IF($Z882="אינה מפותחת","; דגש על הבעה בכתב","")&amp;IF($K882&lt;&gt;"תקין","; נדרש לעבוד על ההנגנה","")&amp;IF($AK882&lt;&gt;"","; "&amp;$AK882,""),3,400))</f>
        <v/>
      </c>
      <c r="AE882" s="32">
        <f>IF($F882="","",IF($F882="תחילת שנה",1,IF($F882="מחצית שנה",2,3)))</f>
        <v/>
      </c>
      <c r="AF882" s="32">
        <f>IF(OR($B882="",$AC882="",$A882="",$F882=""),"",$B882&amp;"|"&amp;$A882&amp;"|"&amp;$F882&amp;"|"&amp;$AC882&amp;"|"&amp;COUNTIFS($B$6:$B882,$B882,$A$6:$A882,$A882,$F$6:$F882,$F882,$AC$6:$AC882,$AC882))</f>
        <v/>
      </c>
      <c r="AG882" s="32">
        <f>IF($C882="","",$C882&amp;"|"&amp;COUNTIFS($C$6:$C882,$C882))</f>
        <v/>
      </c>
      <c r="AH882" s="32">
        <f>IF(OR($C882="",$A882="",$AE882=""),"",$C882&amp;"|"&amp;$A882&amp;"|"&amp;$AE882)</f>
        <v/>
      </c>
      <c r="AI882" s="32">
        <f>IF(OR($C882="",$AE882="",$AE882=1),"",IFERROR(INDEX($AC$6:$AC$1505,MATCH($C882&amp;"|"&amp;$A882&amp;"|"&amp;($AE882-1),$AH$6:$AH$1505,0)),""))</f>
        <v/>
      </c>
      <c r="AJ882" s="32">
        <f>IF(OR($AI882="",$AC882=""),"",IF($AI882=$AC882,"ללא שינוי","מ-"&amp;$AI882&amp;" ל-"&amp;$AC882))</f>
        <v/>
      </c>
      <c r="AK882" s="67" t="n"/>
    </row>
    <row r="883" ht="15.75" customHeight="1" s="58">
      <c r="A883" s="65" t="n"/>
      <c r="B883" s="65" t="n"/>
      <c r="C883" s="66" t="n"/>
      <c r="D883" s="66" t="n"/>
      <c r="E883" s="65" t="n"/>
      <c r="F883" s="65" t="n"/>
      <c r="G883" s="65" t="n"/>
      <c r="H883" s="65" t="n"/>
      <c r="I883" s="65" t="n"/>
      <c r="J883" s="65" t="n"/>
      <c r="K883" s="65" t="n"/>
      <c r="L883" s="65" t="n"/>
      <c r="M883" s="65" t="n"/>
      <c r="N883" s="65" t="n"/>
      <c r="O883" s="65" t="n"/>
      <c r="P883" s="65" t="n"/>
      <c r="Q883" s="65" t="n"/>
      <c r="R883" s="65" t="n"/>
      <c r="S883" s="65" t="n"/>
      <c r="T883" s="65" t="n"/>
      <c r="U883" s="65" t="n"/>
      <c r="V883" s="65" t="n"/>
      <c r="W883" s="65" t="n"/>
      <c r="X883" s="65" t="n"/>
      <c r="Y883" s="32">
        <f>IF($C883="","",IF(COUNTA($I883:$K883)&lt;3,"— חסרים נתונים",IF(AND($I883="תקין",$J883="תקין",$K883="תקין"),"רהוטה",IF(AND($I883="תקין",$J883="תקין"),"מדויקת ורציפה","אינה מדויקת או מקוטעת"))))</f>
        <v/>
      </c>
      <c r="Z883" s="32">
        <f>IF($C883="","",IF(COUNTA($U883:$W883)&lt;3,"",IF(AND($U883="מפותח",$V883="מפותח",$W883="מפותחת"),"מפותחת",IF((--($U883="דל"))+(--($V883="אינו מפותח"))+(--($W883="דלה"))&gt;=2,"אינה מפותחת","חלקית"))))</f>
        <v/>
      </c>
      <c r="AA883" s="32">
        <f>IF($C883="","",IF(COUNTA($M883,$N883,$O883)&lt;3,"— חסרים נתונים",IF(OR($M883="נמוכה",(--($M883&lt;&gt;"תקינה"))+(--($N883&lt;&gt;"תקין"))+(--($O883&lt;&gt;"תקינה"))&gt;=2),"ניכרת","אינה ניכרת")))</f>
        <v/>
      </c>
      <c r="AB883" s="32">
        <f>IF(OR($C883="",$Y883="",$AA883="",LEFT($Y883,1)="—",LEFT($AA883,1)="—"),"",IF($Z883="","— נדרשת הערכת כתיבה",IF($L883="","— חסרה הבנת הנקרא",IF($Y883="אינה מדויקת או מקוטעת",IF($AA883="ניכרת","מיקוד בשטף הקריאה ובכישורי שפה","מיקוד בשטף קריאה"),IF($AA883="ניכרת","מיקוד בכישורי שפה",IF(AND($L883="תקינה",$Z883="מפותחת"),"קוראים וכותבים מיומנים","מיקוד בהבנה והבעה"))))))</f>
        <v/>
      </c>
      <c r="AC883" s="32">
        <f>IF(OR($AB883="",LEFT($AB883,1)="—"),"",IF(OR($AB883="מיקוד בשטף קריאה",$AB883="מיקוד בשטף הקריאה ובכישורי שפה"),"רמה א'",IF($AB883="קוראים וכותבים מיומנים","רמה ג'","רמה ב'")))</f>
        <v/>
      </c>
      <c r="AD883" s="32">
        <f>IF($AC883="","",MID(IF(AND($AC883="רמה א'",$AA883="ניכרת"),"; להוסיף עבודת אוצר מילים","")&amp;IF($Z883="אינה מפותחת","; דגש על הבעה בכתב","")&amp;IF($K883&lt;&gt;"תקין","; נדרש לעבוד על ההנגנה","")&amp;IF($AK883&lt;&gt;"","; "&amp;$AK883,""),3,400))</f>
        <v/>
      </c>
      <c r="AE883" s="32">
        <f>IF($F883="","",IF($F883="תחילת שנה",1,IF($F883="מחצית שנה",2,3)))</f>
        <v/>
      </c>
      <c r="AF883" s="32">
        <f>IF(OR($B883="",$AC883="",$A883="",$F883=""),"",$B883&amp;"|"&amp;$A883&amp;"|"&amp;$F883&amp;"|"&amp;$AC883&amp;"|"&amp;COUNTIFS($B$6:$B883,$B883,$A$6:$A883,$A883,$F$6:$F883,$F883,$AC$6:$AC883,$AC883))</f>
        <v/>
      </c>
      <c r="AG883" s="32">
        <f>IF($C883="","",$C883&amp;"|"&amp;COUNTIFS($C$6:$C883,$C883))</f>
        <v/>
      </c>
      <c r="AH883" s="32">
        <f>IF(OR($C883="",$A883="",$AE883=""),"",$C883&amp;"|"&amp;$A883&amp;"|"&amp;$AE883)</f>
        <v/>
      </c>
      <c r="AI883" s="32">
        <f>IF(OR($C883="",$AE883="",$AE883=1),"",IFERROR(INDEX($AC$6:$AC$1505,MATCH($C883&amp;"|"&amp;$A883&amp;"|"&amp;($AE883-1),$AH$6:$AH$1505,0)),""))</f>
        <v/>
      </c>
      <c r="AJ883" s="32">
        <f>IF(OR($AI883="",$AC883=""),"",IF($AI883=$AC883,"ללא שינוי","מ-"&amp;$AI883&amp;" ל-"&amp;$AC883))</f>
        <v/>
      </c>
      <c r="AK883" s="67" t="n"/>
    </row>
    <row r="884" ht="15.75" customHeight="1" s="58">
      <c r="A884" s="65" t="n"/>
      <c r="B884" s="65" t="n"/>
      <c r="C884" s="66" t="n"/>
      <c r="D884" s="66" t="n"/>
      <c r="E884" s="65" t="n"/>
      <c r="F884" s="65" t="n"/>
      <c r="G884" s="65" t="n"/>
      <c r="H884" s="65" t="n"/>
      <c r="I884" s="65" t="n"/>
      <c r="J884" s="65" t="n"/>
      <c r="K884" s="65" t="n"/>
      <c r="L884" s="65" t="n"/>
      <c r="M884" s="65" t="n"/>
      <c r="N884" s="65" t="n"/>
      <c r="O884" s="65" t="n"/>
      <c r="P884" s="65" t="n"/>
      <c r="Q884" s="65" t="n"/>
      <c r="R884" s="65" t="n"/>
      <c r="S884" s="65" t="n"/>
      <c r="T884" s="65" t="n"/>
      <c r="U884" s="65" t="n"/>
      <c r="V884" s="65" t="n"/>
      <c r="W884" s="65" t="n"/>
      <c r="X884" s="65" t="n"/>
      <c r="Y884" s="32">
        <f>IF($C884="","",IF(COUNTA($I884:$K884)&lt;3,"— חסרים נתונים",IF(AND($I884="תקין",$J884="תקין",$K884="תקין"),"רהוטה",IF(AND($I884="תקין",$J884="תקין"),"מדויקת ורציפה","אינה מדויקת או מקוטעת"))))</f>
        <v/>
      </c>
      <c r="Z884" s="32">
        <f>IF($C884="","",IF(COUNTA($U884:$W884)&lt;3,"",IF(AND($U884="מפותח",$V884="מפותח",$W884="מפותחת"),"מפותחת",IF((--($U884="דל"))+(--($V884="אינו מפותח"))+(--($W884="דלה"))&gt;=2,"אינה מפותחת","חלקית"))))</f>
        <v/>
      </c>
      <c r="AA884" s="32">
        <f>IF($C884="","",IF(COUNTA($M884,$N884,$O884)&lt;3,"— חסרים נתונים",IF(OR($M884="נמוכה",(--($M884&lt;&gt;"תקינה"))+(--($N884&lt;&gt;"תקין"))+(--($O884&lt;&gt;"תקינה"))&gt;=2),"ניכרת","אינה ניכרת")))</f>
        <v/>
      </c>
      <c r="AB884" s="32">
        <f>IF(OR($C884="",$Y884="",$AA884="",LEFT($Y884,1)="—",LEFT($AA884,1)="—"),"",IF($Z884="","— נדרשת הערכת כתיבה",IF($L884="","— חסרה הבנת הנקרא",IF($Y884="אינה מדויקת או מקוטעת",IF($AA884="ניכרת","מיקוד בשטף הקריאה ובכישורי שפה","מיקוד בשטף קריאה"),IF($AA884="ניכרת","מיקוד בכישורי שפה",IF(AND($L884="תקינה",$Z884="מפותחת"),"קוראים וכותבים מיומנים","מיקוד בהבנה והבעה"))))))</f>
        <v/>
      </c>
      <c r="AC884" s="32">
        <f>IF(OR($AB884="",LEFT($AB884,1)="—"),"",IF(OR($AB884="מיקוד בשטף קריאה",$AB884="מיקוד בשטף הקריאה ובכישורי שפה"),"רמה א'",IF($AB884="קוראים וכותבים מיומנים","רמה ג'","רמה ב'")))</f>
        <v/>
      </c>
      <c r="AD884" s="32">
        <f>IF($AC884="","",MID(IF(AND($AC884="רמה א'",$AA884="ניכרת"),"; להוסיף עבודת אוצר מילים","")&amp;IF($Z884="אינה מפותחת","; דגש על הבעה בכתב","")&amp;IF($K884&lt;&gt;"תקין","; נדרש לעבוד על ההנגנה","")&amp;IF($AK884&lt;&gt;"","; "&amp;$AK884,""),3,400))</f>
        <v/>
      </c>
      <c r="AE884" s="32">
        <f>IF($F884="","",IF($F884="תחילת שנה",1,IF($F884="מחצית שנה",2,3)))</f>
        <v/>
      </c>
      <c r="AF884" s="32">
        <f>IF(OR($B884="",$AC884="",$A884="",$F884=""),"",$B884&amp;"|"&amp;$A884&amp;"|"&amp;$F884&amp;"|"&amp;$AC884&amp;"|"&amp;COUNTIFS($B$6:$B884,$B884,$A$6:$A884,$A884,$F$6:$F884,$F884,$AC$6:$AC884,$AC884))</f>
        <v/>
      </c>
      <c r="AG884" s="32">
        <f>IF($C884="","",$C884&amp;"|"&amp;COUNTIFS($C$6:$C884,$C884))</f>
        <v/>
      </c>
      <c r="AH884" s="32">
        <f>IF(OR($C884="",$A884="",$AE884=""),"",$C884&amp;"|"&amp;$A884&amp;"|"&amp;$AE884)</f>
        <v/>
      </c>
      <c r="AI884" s="32">
        <f>IF(OR($C884="",$AE884="",$AE884=1),"",IFERROR(INDEX($AC$6:$AC$1505,MATCH($C884&amp;"|"&amp;$A884&amp;"|"&amp;($AE884-1),$AH$6:$AH$1505,0)),""))</f>
        <v/>
      </c>
      <c r="AJ884" s="32">
        <f>IF(OR($AI884="",$AC884=""),"",IF($AI884=$AC884,"ללא שינוי","מ-"&amp;$AI884&amp;" ל-"&amp;$AC884))</f>
        <v/>
      </c>
      <c r="AK884" s="67" t="n"/>
    </row>
    <row r="885" ht="15.75" customHeight="1" s="58">
      <c r="A885" s="65" t="n"/>
      <c r="B885" s="65" t="n"/>
      <c r="C885" s="66" t="n"/>
      <c r="D885" s="66" t="n"/>
      <c r="E885" s="65" t="n"/>
      <c r="F885" s="65" t="n"/>
      <c r="G885" s="65" t="n"/>
      <c r="H885" s="65" t="n"/>
      <c r="I885" s="65" t="n"/>
      <c r="J885" s="65" t="n"/>
      <c r="K885" s="65" t="n"/>
      <c r="L885" s="65" t="n"/>
      <c r="M885" s="65" t="n"/>
      <c r="N885" s="65" t="n"/>
      <c r="O885" s="65" t="n"/>
      <c r="P885" s="65" t="n"/>
      <c r="Q885" s="65" t="n"/>
      <c r="R885" s="65" t="n"/>
      <c r="S885" s="65" t="n"/>
      <c r="T885" s="65" t="n"/>
      <c r="U885" s="65" t="n"/>
      <c r="V885" s="65" t="n"/>
      <c r="W885" s="65" t="n"/>
      <c r="X885" s="65" t="n"/>
      <c r="Y885" s="32">
        <f>IF($C885="","",IF(COUNTA($I885:$K885)&lt;3,"— חסרים נתונים",IF(AND($I885="תקין",$J885="תקין",$K885="תקין"),"רהוטה",IF(AND($I885="תקין",$J885="תקין"),"מדויקת ורציפה","אינה מדויקת או מקוטעת"))))</f>
        <v/>
      </c>
      <c r="Z885" s="32">
        <f>IF($C885="","",IF(COUNTA($U885:$W885)&lt;3,"",IF(AND($U885="מפותח",$V885="מפותח",$W885="מפותחת"),"מפותחת",IF((--($U885="דל"))+(--($V885="אינו מפותח"))+(--($W885="דלה"))&gt;=2,"אינה מפותחת","חלקית"))))</f>
        <v/>
      </c>
      <c r="AA885" s="32">
        <f>IF($C885="","",IF(COUNTA($M885,$N885,$O885)&lt;3,"— חסרים נתונים",IF(OR($M885="נמוכה",(--($M885&lt;&gt;"תקינה"))+(--($N885&lt;&gt;"תקין"))+(--($O885&lt;&gt;"תקינה"))&gt;=2),"ניכרת","אינה ניכרת")))</f>
        <v/>
      </c>
      <c r="AB885" s="32">
        <f>IF(OR($C885="",$Y885="",$AA885="",LEFT($Y885,1)="—",LEFT($AA885,1)="—"),"",IF($Z885="","— נדרשת הערכת כתיבה",IF($L885="","— חסרה הבנת הנקרא",IF($Y885="אינה מדויקת או מקוטעת",IF($AA885="ניכרת","מיקוד בשטף הקריאה ובכישורי שפה","מיקוד בשטף קריאה"),IF($AA885="ניכרת","מיקוד בכישורי שפה",IF(AND($L885="תקינה",$Z885="מפותחת"),"קוראים וכותבים מיומנים","מיקוד בהבנה והבעה"))))))</f>
        <v/>
      </c>
      <c r="AC885" s="32">
        <f>IF(OR($AB885="",LEFT($AB885,1)="—"),"",IF(OR($AB885="מיקוד בשטף קריאה",$AB885="מיקוד בשטף הקריאה ובכישורי שפה"),"רמה א'",IF($AB885="קוראים וכותבים מיומנים","רמה ג'","רמה ב'")))</f>
        <v/>
      </c>
      <c r="AD885" s="32">
        <f>IF($AC885="","",MID(IF(AND($AC885="רמה א'",$AA885="ניכרת"),"; להוסיף עבודת אוצר מילים","")&amp;IF($Z885="אינה מפותחת","; דגש על הבעה בכתב","")&amp;IF($K885&lt;&gt;"תקין","; נדרש לעבוד על ההנגנה","")&amp;IF($AK885&lt;&gt;"","; "&amp;$AK885,""),3,400))</f>
        <v/>
      </c>
      <c r="AE885" s="32">
        <f>IF($F885="","",IF($F885="תחילת שנה",1,IF($F885="מחצית שנה",2,3)))</f>
        <v/>
      </c>
      <c r="AF885" s="32">
        <f>IF(OR($B885="",$AC885="",$A885="",$F885=""),"",$B885&amp;"|"&amp;$A885&amp;"|"&amp;$F885&amp;"|"&amp;$AC885&amp;"|"&amp;COUNTIFS($B$6:$B885,$B885,$A$6:$A885,$A885,$F$6:$F885,$F885,$AC$6:$AC885,$AC885))</f>
        <v/>
      </c>
      <c r="AG885" s="32">
        <f>IF($C885="","",$C885&amp;"|"&amp;COUNTIFS($C$6:$C885,$C885))</f>
        <v/>
      </c>
      <c r="AH885" s="32">
        <f>IF(OR($C885="",$A885="",$AE885=""),"",$C885&amp;"|"&amp;$A885&amp;"|"&amp;$AE885)</f>
        <v/>
      </c>
      <c r="AI885" s="32">
        <f>IF(OR($C885="",$AE885="",$AE885=1),"",IFERROR(INDEX($AC$6:$AC$1505,MATCH($C885&amp;"|"&amp;$A885&amp;"|"&amp;($AE885-1),$AH$6:$AH$1505,0)),""))</f>
        <v/>
      </c>
      <c r="AJ885" s="32">
        <f>IF(OR($AI885="",$AC885=""),"",IF($AI885=$AC885,"ללא שינוי","מ-"&amp;$AI885&amp;" ל-"&amp;$AC885))</f>
        <v/>
      </c>
      <c r="AK885" s="67" t="n"/>
    </row>
    <row r="886" ht="15.75" customHeight="1" s="58">
      <c r="A886" s="65" t="n"/>
      <c r="B886" s="65" t="n"/>
      <c r="C886" s="66" t="n"/>
      <c r="D886" s="66" t="n"/>
      <c r="E886" s="65" t="n"/>
      <c r="F886" s="65" t="n"/>
      <c r="G886" s="65" t="n"/>
      <c r="H886" s="65" t="n"/>
      <c r="I886" s="65" t="n"/>
      <c r="J886" s="65" t="n"/>
      <c r="K886" s="65" t="n"/>
      <c r="L886" s="65" t="n"/>
      <c r="M886" s="65" t="n"/>
      <c r="N886" s="65" t="n"/>
      <c r="O886" s="65" t="n"/>
      <c r="P886" s="65" t="n"/>
      <c r="Q886" s="65" t="n"/>
      <c r="R886" s="65" t="n"/>
      <c r="S886" s="65" t="n"/>
      <c r="T886" s="65" t="n"/>
      <c r="U886" s="65" t="n"/>
      <c r="V886" s="65" t="n"/>
      <c r="W886" s="65" t="n"/>
      <c r="X886" s="65" t="n"/>
      <c r="Y886" s="32">
        <f>IF($C886="","",IF(COUNTA($I886:$K886)&lt;3,"— חסרים נתונים",IF(AND($I886="תקין",$J886="תקין",$K886="תקין"),"רהוטה",IF(AND($I886="תקין",$J886="תקין"),"מדויקת ורציפה","אינה מדויקת או מקוטעת"))))</f>
        <v/>
      </c>
      <c r="Z886" s="32">
        <f>IF($C886="","",IF(COUNTA($U886:$W886)&lt;3,"",IF(AND($U886="מפותח",$V886="מפותח",$W886="מפותחת"),"מפותחת",IF((--($U886="דל"))+(--($V886="אינו מפותח"))+(--($W886="דלה"))&gt;=2,"אינה מפותחת","חלקית"))))</f>
        <v/>
      </c>
      <c r="AA886" s="32">
        <f>IF($C886="","",IF(COUNTA($M886,$N886,$O886)&lt;3,"— חסרים נתונים",IF(OR($M886="נמוכה",(--($M886&lt;&gt;"תקינה"))+(--($N886&lt;&gt;"תקין"))+(--($O886&lt;&gt;"תקינה"))&gt;=2),"ניכרת","אינה ניכרת")))</f>
        <v/>
      </c>
      <c r="AB886" s="32">
        <f>IF(OR($C886="",$Y886="",$AA886="",LEFT($Y886,1)="—",LEFT($AA886,1)="—"),"",IF($Z886="","— נדרשת הערכת כתיבה",IF($L886="","— חסרה הבנת הנקרא",IF($Y886="אינה מדויקת או מקוטעת",IF($AA886="ניכרת","מיקוד בשטף הקריאה ובכישורי שפה","מיקוד בשטף קריאה"),IF($AA886="ניכרת","מיקוד בכישורי שפה",IF(AND($L886="תקינה",$Z886="מפותחת"),"קוראים וכותבים מיומנים","מיקוד בהבנה והבעה"))))))</f>
        <v/>
      </c>
      <c r="AC886" s="32">
        <f>IF(OR($AB886="",LEFT($AB886,1)="—"),"",IF(OR($AB886="מיקוד בשטף קריאה",$AB886="מיקוד בשטף הקריאה ובכישורי שפה"),"רמה א'",IF($AB886="קוראים וכותבים מיומנים","רמה ג'","רמה ב'")))</f>
        <v/>
      </c>
      <c r="AD886" s="32">
        <f>IF($AC886="","",MID(IF(AND($AC886="רמה א'",$AA886="ניכרת"),"; להוסיף עבודת אוצר מילים","")&amp;IF($Z886="אינה מפותחת","; דגש על הבעה בכתב","")&amp;IF($K886&lt;&gt;"תקין","; נדרש לעבוד על ההנגנה","")&amp;IF($AK886&lt;&gt;"","; "&amp;$AK886,""),3,400))</f>
        <v/>
      </c>
      <c r="AE886" s="32">
        <f>IF($F886="","",IF($F886="תחילת שנה",1,IF($F886="מחצית שנה",2,3)))</f>
        <v/>
      </c>
      <c r="AF886" s="32">
        <f>IF(OR($B886="",$AC886="",$A886="",$F886=""),"",$B886&amp;"|"&amp;$A886&amp;"|"&amp;$F886&amp;"|"&amp;$AC886&amp;"|"&amp;COUNTIFS($B$6:$B886,$B886,$A$6:$A886,$A886,$F$6:$F886,$F886,$AC$6:$AC886,$AC886))</f>
        <v/>
      </c>
      <c r="AG886" s="32">
        <f>IF($C886="","",$C886&amp;"|"&amp;COUNTIFS($C$6:$C886,$C886))</f>
        <v/>
      </c>
      <c r="AH886" s="32">
        <f>IF(OR($C886="",$A886="",$AE886=""),"",$C886&amp;"|"&amp;$A886&amp;"|"&amp;$AE886)</f>
        <v/>
      </c>
      <c r="AI886" s="32">
        <f>IF(OR($C886="",$AE886="",$AE886=1),"",IFERROR(INDEX($AC$6:$AC$1505,MATCH($C886&amp;"|"&amp;$A886&amp;"|"&amp;($AE886-1),$AH$6:$AH$1505,0)),""))</f>
        <v/>
      </c>
      <c r="AJ886" s="32">
        <f>IF(OR($AI886="",$AC886=""),"",IF($AI886=$AC886,"ללא שינוי","מ-"&amp;$AI886&amp;" ל-"&amp;$AC886))</f>
        <v/>
      </c>
      <c r="AK886" s="67" t="n"/>
    </row>
    <row r="887" ht="15.75" customHeight="1" s="58">
      <c r="A887" s="65" t="n"/>
      <c r="B887" s="65" t="n"/>
      <c r="C887" s="66" t="n"/>
      <c r="D887" s="66" t="n"/>
      <c r="E887" s="65" t="n"/>
      <c r="F887" s="65" t="n"/>
      <c r="G887" s="65" t="n"/>
      <c r="H887" s="65" t="n"/>
      <c r="I887" s="65" t="n"/>
      <c r="J887" s="65" t="n"/>
      <c r="K887" s="65" t="n"/>
      <c r="L887" s="65" t="n"/>
      <c r="M887" s="65" t="n"/>
      <c r="N887" s="65" t="n"/>
      <c r="O887" s="65" t="n"/>
      <c r="P887" s="65" t="n"/>
      <c r="Q887" s="65" t="n"/>
      <c r="R887" s="65" t="n"/>
      <c r="S887" s="65" t="n"/>
      <c r="T887" s="65" t="n"/>
      <c r="U887" s="65" t="n"/>
      <c r="V887" s="65" t="n"/>
      <c r="W887" s="65" t="n"/>
      <c r="X887" s="65" t="n"/>
      <c r="Y887" s="32">
        <f>IF($C887="","",IF(COUNTA($I887:$K887)&lt;3,"— חסרים נתונים",IF(AND($I887="תקין",$J887="תקין",$K887="תקין"),"רהוטה",IF(AND($I887="תקין",$J887="תקין"),"מדויקת ורציפה","אינה מדויקת או מקוטעת"))))</f>
        <v/>
      </c>
      <c r="Z887" s="32">
        <f>IF($C887="","",IF(COUNTA($U887:$W887)&lt;3,"",IF(AND($U887="מפותח",$V887="מפותח",$W887="מפותחת"),"מפותחת",IF((--($U887="דל"))+(--($V887="אינו מפותח"))+(--($W887="דלה"))&gt;=2,"אינה מפותחת","חלקית"))))</f>
        <v/>
      </c>
      <c r="AA887" s="32">
        <f>IF($C887="","",IF(COUNTA($M887,$N887,$O887)&lt;3,"— חסרים נתונים",IF(OR($M887="נמוכה",(--($M887&lt;&gt;"תקינה"))+(--($N887&lt;&gt;"תקין"))+(--($O887&lt;&gt;"תקינה"))&gt;=2),"ניכרת","אינה ניכרת")))</f>
        <v/>
      </c>
      <c r="AB887" s="32">
        <f>IF(OR($C887="",$Y887="",$AA887="",LEFT($Y887,1)="—",LEFT($AA887,1)="—"),"",IF($Z887="","— נדרשת הערכת כתיבה",IF($L887="","— חסרה הבנת הנקרא",IF($Y887="אינה מדויקת או מקוטעת",IF($AA887="ניכרת","מיקוד בשטף הקריאה ובכישורי שפה","מיקוד בשטף קריאה"),IF($AA887="ניכרת","מיקוד בכישורי שפה",IF(AND($L887="תקינה",$Z887="מפותחת"),"קוראים וכותבים מיומנים","מיקוד בהבנה והבעה"))))))</f>
        <v/>
      </c>
      <c r="AC887" s="32">
        <f>IF(OR($AB887="",LEFT($AB887,1)="—"),"",IF(OR($AB887="מיקוד בשטף קריאה",$AB887="מיקוד בשטף הקריאה ובכישורי שפה"),"רמה א'",IF($AB887="קוראים וכותבים מיומנים","רמה ג'","רמה ב'")))</f>
        <v/>
      </c>
      <c r="AD887" s="32">
        <f>IF($AC887="","",MID(IF(AND($AC887="רמה א'",$AA887="ניכרת"),"; להוסיף עבודת אוצר מילים","")&amp;IF($Z887="אינה מפותחת","; דגש על הבעה בכתב","")&amp;IF($K887&lt;&gt;"תקין","; נדרש לעבוד על ההנגנה","")&amp;IF($AK887&lt;&gt;"","; "&amp;$AK887,""),3,400))</f>
        <v/>
      </c>
      <c r="AE887" s="32">
        <f>IF($F887="","",IF($F887="תחילת שנה",1,IF($F887="מחצית שנה",2,3)))</f>
        <v/>
      </c>
      <c r="AF887" s="32">
        <f>IF(OR($B887="",$AC887="",$A887="",$F887=""),"",$B887&amp;"|"&amp;$A887&amp;"|"&amp;$F887&amp;"|"&amp;$AC887&amp;"|"&amp;COUNTIFS($B$6:$B887,$B887,$A$6:$A887,$A887,$F$6:$F887,$F887,$AC$6:$AC887,$AC887))</f>
        <v/>
      </c>
      <c r="AG887" s="32">
        <f>IF($C887="","",$C887&amp;"|"&amp;COUNTIFS($C$6:$C887,$C887))</f>
        <v/>
      </c>
      <c r="AH887" s="32">
        <f>IF(OR($C887="",$A887="",$AE887=""),"",$C887&amp;"|"&amp;$A887&amp;"|"&amp;$AE887)</f>
        <v/>
      </c>
      <c r="AI887" s="32">
        <f>IF(OR($C887="",$AE887="",$AE887=1),"",IFERROR(INDEX($AC$6:$AC$1505,MATCH($C887&amp;"|"&amp;$A887&amp;"|"&amp;($AE887-1),$AH$6:$AH$1505,0)),""))</f>
        <v/>
      </c>
      <c r="AJ887" s="32">
        <f>IF(OR($AI887="",$AC887=""),"",IF($AI887=$AC887,"ללא שינוי","מ-"&amp;$AI887&amp;" ל-"&amp;$AC887))</f>
        <v/>
      </c>
      <c r="AK887" s="67" t="n"/>
    </row>
    <row r="888" ht="15.75" customHeight="1" s="58">
      <c r="A888" s="65" t="n"/>
      <c r="B888" s="65" t="n"/>
      <c r="C888" s="66" t="n"/>
      <c r="D888" s="66" t="n"/>
      <c r="E888" s="65" t="n"/>
      <c r="F888" s="65" t="n"/>
      <c r="G888" s="65" t="n"/>
      <c r="H888" s="65" t="n"/>
      <c r="I888" s="65" t="n"/>
      <c r="J888" s="65" t="n"/>
      <c r="K888" s="65" t="n"/>
      <c r="L888" s="65" t="n"/>
      <c r="M888" s="65" t="n"/>
      <c r="N888" s="65" t="n"/>
      <c r="O888" s="65" t="n"/>
      <c r="P888" s="65" t="n"/>
      <c r="Q888" s="65" t="n"/>
      <c r="R888" s="65" t="n"/>
      <c r="S888" s="65" t="n"/>
      <c r="T888" s="65" t="n"/>
      <c r="U888" s="65" t="n"/>
      <c r="V888" s="65" t="n"/>
      <c r="W888" s="65" t="n"/>
      <c r="X888" s="65" t="n"/>
      <c r="Y888" s="32">
        <f>IF($C888="","",IF(COUNTA($I888:$K888)&lt;3,"— חסרים נתונים",IF(AND($I888="תקין",$J888="תקין",$K888="תקין"),"רהוטה",IF(AND($I888="תקין",$J888="תקין"),"מדויקת ורציפה","אינה מדויקת או מקוטעת"))))</f>
        <v/>
      </c>
      <c r="Z888" s="32">
        <f>IF($C888="","",IF(COUNTA($U888:$W888)&lt;3,"",IF(AND($U888="מפותח",$V888="מפותח",$W888="מפותחת"),"מפותחת",IF((--($U888="דל"))+(--($V888="אינו מפותח"))+(--($W888="דלה"))&gt;=2,"אינה מפותחת","חלקית"))))</f>
        <v/>
      </c>
      <c r="AA888" s="32">
        <f>IF($C888="","",IF(COUNTA($M888,$N888,$O888)&lt;3,"— חסרים נתונים",IF(OR($M888="נמוכה",(--($M888&lt;&gt;"תקינה"))+(--($N888&lt;&gt;"תקין"))+(--($O888&lt;&gt;"תקינה"))&gt;=2),"ניכרת","אינה ניכרת")))</f>
        <v/>
      </c>
      <c r="AB888" s="32">
        <f>IF(OR($C888="",$Y888="",$AA888="",LEFT($Y888,1)="—",LEFT($AA888,1)="—"),"",IF($Z888="","— נדרשת הערכת כתיבה",IF($L888="","— חסרה הבנת הנקרא",IF($Y888="אינה מדויקת או מקוטעת",IF($AA888="ניכרת","מיקוד בשטף הקריאה ובכישורי שפה","מיקוד בשטף קריאה"),IF($AA888="ניכרת","מיקוד בכישורי שפה",IF(AND($L888="תקינה",$Z888="מפותחת"),"קוראים וכותבים מיומנים","מיקוד בהבנה והבעה"))))))</f>
        <v/>
      </c>
      <c r="AC888" s="32">
        <f>IF(OR($AB888="",LEFT($AB888,1)="—"),"",IF(OR($AB888="מיקוד בשטף קריאה",$AB888="מיקוד בשטף הקריאה ובכישורי שפה"),"רמה א'",IF($AB888="קוראים וכותבים מיומנים","רמה ג'","רמה ב'")))</f>
        <v/>
      </c>
      <c r="AD888" s="32">
        <f>IF($AC888="","",MID(IF(AND($AC888="רמה א'",$AA888="ניכרת"),"; להוסיף עבודת אוצר מילים","")&amp;IF($Z888="אינה מפותחת","; דגש על הבעה בכתב","")&amp;IF($K888&lt;&gt;"תקין","; נדרש לעבוד על ההנגנה","")&amp;IF($AK888&lt;&gt;"","; "&amp;$AK888,""),3,400))</f>
        <v/>
      </c>
      <c r="AE888" s="32">
        <f>IF($F888="","",IF($F888="תחילת שנה",1,IF($F888="מחצית שנה",2,3)))</f>
        <v/>
      </c>
      <c r="AF888" s="32">
        <f>IF(OR($B888="",$AC888="",$A888="",$F888=""),"",$B888&amp;"|"&amp;$A888&amp;"|"&amp;$F888&amp;"|"&amp;$AC888&amp;"|"&amp;COUNTIFS($B$6:$B888,$B888,$A$6:$A888,$A888,$F$6:$F888,$F888,$AC$6:$AC888,$AC888))</f>
        <v/>
      </c>
      <c r="AG888" s="32">
        <f>IF($C888="","",$C888&amp;"|"&amp;COUNTIFS($C$6:$C888,$C888))</f>
        <v/>
      </c>
      <c r="AH888" s="32">
        <f>IF(OR($C888="",$A888="",$AE888=""),"",$C888&amp;"|"&amp;$A888&amp;"|"&amp;$AE888)</f>
        <v/>
      </c>
      <c r="AI888" s="32">
        <f>IF(OR($C888="",$AE888="",$AE888=1),"",IFERROR(INDEX($AC$6:$AC$1505,MATCH($C888&amp;"|"&amp;$A888&amp;"|"&amp;($AE888-1),$AH$6:$AH$1505,0)),""))</f>
        <v/>
      </c>
      <c r="AJ888" s="32">
        <f>IF(OR($AI888="",$AC888=""),"",IF($AI888=$AC888,"ללא שינוי","מ-"&amp;$AI888&amp;" ל-"&amp;$AC888))</f>
        <v/>
      </c>
      <c r="AK888" s="67" t="n"/>
    </row>
    <row r="889" ht="15.75" customHeight="1" s="58">
      <c r="A889" s="65" t="n"/>
      <c r="B889" s="65" t="n"/>
      <c r="C889" s="66" t="n"/>
      <c r="D889" s="66" t="n"/>
      <c r="E889" s="65" t="n"/>
      <c r="F889" s="65" t="n"/>
      <c r="G889" s="65" t="n"/>
      <c r="H889" s="65" t="n"/>
      <c r="I889" s="65" t="n"/>
      <c r="J889" s="65" t="n"/>
      <c r="K889" s="65" t="n"/>
      <c r="L889" s="65" t="n"/>
      <c r="M889" s="65" t="n"/>
      <c r="N889" s="65" t="n"/>
      <c r="O889" s="65" t="n"/>
      <c r="P889" s="65" t="n"/>
      <c r="Q889" s="65" t="n"/>
      <c r="R889" s="65" t="n"/>
      <c r="S889" s="65" t="n"/>
      <c r="T889" s="65" t="n"/>
      <c r="U889" s="65" t="n"/>
      <c r="V889" s="65" t="n"/>
      <c r="W889" s="65" t="n"/>
      <c r="X889" s="65" t="n"/>
      <c r="Y889" s="32">
        <f>IF($C889="","",IF(COUNTA($I889:$K889)&lt;3,"— חסרים נתונים",IF(AND($I889="תקין",$J889="תקין",$K889="תקין"),"רהוטה",IF(AND($I889="תקין",$J889="תקין"),"מדויקת ורציפה","אינה מדויקת או מקוטעת"))))</f>
        <v/>
      </c>
      <c r="Z889" s="32">
        <f>IF($C889="","",IF(COUNTA($U889:$W889)&lt;3,"",IF(AND($U889="מפותח",$V889="מפותח",$W889="מפותחת"),"מפותחת",IF((--($U889="דל"))+(--($V889="אינו מפותח"))+(--($W889="דלה"))&gt;=2,"אינה מפותחת","חלקית"))))</f>
        <v/>
      </c>
      <c r="AA889" s="32">
        <f>IF($C889="","",IF(COUNTA($M889,$N889,$O889)&lt;3,"— חסרים נתונים",IF(OR($M889="נמוכה",(--($M889&lt;&gt;"תקינה"))+(--($N889&lt;&gt;"תקין"))+(--($O889&lt;&gt;"תקינה"))&gt;=2),"ניכרת","אינה ניכרת")))</f>
        <v/>
      </c>
      <c r="AB889" s="32">
        <f>IF(OR($C889="",$Y889="",$AA889="",LEFT($Y889,1)="—",LEFT($AA889,1)="—"),"",IF($Z889="","— נדרשת הערכת כתיבה",IF($L889="","— חסרה הבנת הנקרא",IF($Y889="אינה מדויקת או מקוטעת",IF($AA889="ניכרת","מיקוד בשטף הקריאה ובכישורי שפה","מיקוד בשטף קריאה"),IF($AA889="ניכרת","מיקוד בכישורי שפה",IF(AND($L889="תקינה",$Z889="מפותחת"),"קוראים וכותבים מיומנים","מיקוד בהבנה והבעה"))))))</f>
        <v/>
      </c>
      <c r="AC889" s="32">
        <f>IF(OR($AB889="",LEFT($AB889,1)="—"),"",IF(OR($AB889="מיקוד בשטף קריאה",$AB889="מיקוד בשטף הקריאה ובכישורי שפה"),"רמה א'",IF($AB889="קוראים וכותבים מיומנים","רמה ג'","רמה ב'")))</f>
        <v/>
      </c>
      <c r="AD889" s="32">
        <f>IF($AC889="","",MID(IF(AND($AC889="רמה א'",$AA889="ניכרת"),"; להוסיף עבודת אוצר מילים","")&amp;IF($Z889="אינה מפותחת","; דגש על הבעה בכתב","")&amp;IF($K889&lt;&gt;"תקין","; נדרש לעבוד על ההנגנה","")&amp;IF($AK889&lt;&gt;"","; "&amp;$AK889,""),3,400))</f>
        <v/>
      </c>
      <c r="AE889" s="32">
        <f>IF($F889="","",IF($F889="תחילת שנה",1,IF($F889="מחצית שנה",2,3)))</f>
        <v/>
      </c>
      <c r="AF889" s="32">
        <f>IF(OR($B889="",$AC889="",$A889="",$F889=""),"",$B889&amp;"|"&amp;$A889&amp;"|"&amp;$F889&amp;"|"&amp;$AC889&amp;"|"&amp;COUNTIFS($B$6:$B889,$B889,$A$6:$A889,$A889,$F$6:$F889,$F889,$AC$6:$AC889,$AC889))</f>
        <v/>
      </c>
      <c r="AG889" s="32">
        <f>IF($C889="","",$C889&amp;"|"&amp;COUNTIFS($C$6:$C889,$C889))</f>
        <v/>
      </c>
      <c r="AH889" s="32">
        <f>IF(OR($C889="",$A889="",$AE889=""),"",$C889&amp;"|"&amp;$A889&amp;"|"&amp;$AE889)</f>
        <v/>
      </c>
      <c r="AI889" s="32">
        <f>IF(OR($C889="",$AE889="",$AE889=1),"",IFERROR(INDEX($AC$6:$AC$1505,MATCH($C889&amp;"|"&amp;$A889&amp;"|"&amp;($AE889-1),$AH$6:$AH$1505,0)),""))</f>
        <v/>
      </c>
      <c r="AJ889" s="32">
        <f>IF(OR($AI889="",$AC889=""),"",IF($AI889=$AC889,"ללא שינוי","מ-"&amp;$AI889&amp;" ל-"&amp;$AC889))</f>
        <v/>
      </c>
      <c r="AK889" s="67" t="n"/>
    </row>
    <row r="890" ht="15.75" customHeight="1" s="58">
      <c r="A890" s="65" t="n"/>
      <c r="B890" s="65" t="n"/>
      <c r="C890" s="66" t="n"/>
      <c r="D890" s="66" t="n"/>
      <c r="E890" s="65" t="n"/>
      <c r="F890" s="65" t="n"/>
      <c r="G890" s="65" t="n"/>
      <c r="H890" s="65" t="n"/>
      <c r="I890" s="65" t="n"/>
      <c r="J890" s="65" t="n"/>
      <c r="K890" s="65" t="n"/>
      <c r="L890" s="65" t="n"/>
      <c r="M890" s="65" t="n"/>
      <c r="N890" s="65" t="n"/>
      <c r="O890" s="65" t="n"/>
      <c r="P890" s="65" t="n"/>
      <c r="Q890" s="65" t="n"/>
      <c r="R890" s="65" t="n"/>
      <c r="S890" s="65" t="n"/>
      <c r="T890" s="65" t="n"/>
      <c r="U890" s="65" t="n"/>
      <c r="V890" s="65" t="n"/>
      <c r="W890" s="65" t="n"/>
      <c r="X890" s="65" t="n"/>
      <c r="Y890" s="32">
        <f>IF($C890="","",IF(COUNTA($I890:$K890)&lt;3,"— חסרים נתונים",IF(AND($I890="תקין",$J890="תקין",$K890="תקין"),"רהוטה",IF(AND($I890="תקין",$J890="תקין"),"מדויקת ורציפה","אינה מדויקת או מקוטעת"))))</f>
        <v/>
      </c>
      <c r="Z890" s="32">
        <f>IF($C890="","",IF(COUNTA($U890:$W890)&lt;3,"",IF(AND($U890="מפותח",$V890="מפותח",$W890="מפותחת"),"מפותחת",IF((--($U890="דל"))+(--($V890="אינו מפותח"))+(--($W890="דלה"))&gt;=2,"אינה מפותחת","חלקית"))))</f>
        <v/>
      </c>
      <c r="AA890" s="32">
        <f>IF($C890="","",IF(COUNTA($M890,$N890,$O890)&lt;3,"— חסרים נתונים",IF(OR($M890="נמוכה",(--($M890&lt;&gt;"תקינה"))+(--($N890&lt;&gt;"תקין"))+(--($O890&lt;&gt;"תקינה"))&gt;=2),"ניכרת","אינה ניכרת")))</f>
        <v/>
      </c>
      <c r="AB890" s="32">
        <f>IF(OR($C890="",$Y890="",$AA890="",LEFT($Y890,1)="—",LEFT($AA890,1)="—"),"",IF($Z890="","— נדרשת הערכת כתיבה",IF($L890="","— חסרה הבנת הנקרא",IF($Y890="אינה מדויקת או מקוטעת",IF($AA890="ניכרת","מיקוד בשטף הקריאה ובכישורי שפה","מיקוד בשטף קריאה"),IF($AA890="ניכרת","מיקוד בכישורי שפה",IF(AND($L890="תקינה",$Z890="מפותחת"),"קוראים וכותבים מיומנים","מיקוד בהבנה והבעה"))))))</f>
        <v/>
      </c>
      <c r="AC890" s="32">
        <f>IF(OR($AB890="",LEFT($AB890,1)="—"),"",IF(OR($AB890="מיקוד בשטף קריאה",$AB890="מיקוד בשטף הקריאה ובכישורי שפה"),"רמה א'",IF($AB890="קוראים וכותבים מיומנים","רמה ג'","רמה ב'")))</f>
        <v/>
      </c>
      <c r="AD890" s="32">
        <f>IF($AC890="","",MID(IF(AND($AC890="רמה א'",$AA890="ניכרת"),"; להוסיף עבודת אוצר מילים","")&amp;IF($Z890="אינה מפותחת","; דגש על הבעה בכתב","")&amp;IF($K890&lt;&gt;"תקין","; נדרש לעבוד על ההנגנה","")&amp;IF($AK890&lt;&gt;"","; "&amp;$AK890,""),3,400))</f>
        <v/>
      </c>
      <c r="AE890" s="32">
        <f>IF($F890="","",IF($F890="תחילת שנה",1,IF($F890="מחצית שנה",2,3)))</f>
        <v/>
      </c>
      <c r="AF890" s="32">
        <f>IF(OR($B890="",$AC890="",$A890="",$F890=""),"",$B890&amp;"|"&amp;$A890&amp;"|"&amp;$F890&amp;"|"&amp;$AC890&amp;"|"&amp;COUNTIFS($B$6:$B890,$B890,$A$6:$A890,$A890,$F$6:$F890,$F890,$AC$6:$AC890,$AC890))</f>
        <v/>
      </c>
      <c r="AG890" s="32">
        <f>IF($C890="","",$C890&amp;"|"&amp;COUNTIFS($C$6:$C890,$C890))</f>
        <v/>
      </c>
      <c r="AH890" s="32">
        <f>IF(OR($C890="",$A890="",$AE890=""),"",$C890&amp;"|"&amp;$A890&amp;"|"&amp;$AE890)</f>
        <v/>
      </c>
      <c r="AI890" s="32">
        <f>IF(OR($C890="",$AE890="",$AE890=1),"",IFERROR(INDEX($AC$6:$AC$1505,MATCH($C890&amp;"|"&amp;$A890&amp;"|"&amp;($AE890-1),$AH$6:$AH$1505,0)),""))</f>
        <v/>
      </c>
      <c r="AJ890" s="32">
        <f>IF(OR($AI890="",$AC890=""),"",IF($AI890=$AC890,"ללא שינוי","מ-"&amp;$AI890&amp;" ל-"&amp;$AC890))</f>
        <v/>
      </c>
      <c r="AK890" s="67" t="n"/>
    </row>
    <row r="891" ht="15.75" customHeight="1" s="58">
      <c r="A891" s="65" t="n"/>
      <c r="B891" s="65" t="n"/>
      <c r="C891" s="66" t="n"/>
      <c r="D891" s="66" t="n"/>
      <c r="E891" s="65" t="n"/>
      <c r="F891" s="65" t="n"/>
      <c r="G891" s="65" t="n"/>
      <c r="H891" s="65" t="n"/>
      <c r="I891" s="65" t="n"/>
      <c r="J891" s="65" t="n"/>
      <c r="K891" s="65" t="n"/>
      <c r="L891" s="65" t="n"/>
      <c r="M891" s="65" t="n"/>
      <c r="N891" s="65" t="n"/>
      <c r="O891" s="65" t="n"/>
      <c r="P891" s="65" t="n"/>
      <c r="Q891" s="65" t="n"/>
      <c r="R891" s="65" t="n"/>
      <c r="S891" s="65" t="n"/>
      <c r="T891" s="65" t="n"/>
      <c r="U891" s="65" t="n"/>
      <c r="V891" s="65" t="n"/>
      <c r="W891" s="65" t="n"/>
      <c r="X891" s="65" t="n"/>
      <c r="Y891" s="32">
        <f>IF($C891="","",IF(COUNTA($I891:$K891)&lt;3,"— חסרים נתונים",IF(AND($I891="תקין",$J891="תקין",$K891="תקין"),"רהוטה",IF(AND($I891="תקין",$J891="תקין"),"מדויקת ורציפה","אינה מדויקת או מקוטעת"))))</f>
        <v/>
      </c>
      <c r="Z891" s="32">
        <f>IF($C891="","",IF(COUNTA($U891:$W891)&lt;3,"",IF(AND($U891="מפותח",$V891="מפותח",$W891="מפותחת"),"מפותחת",IF((--($U891="דל"))+(--($V891="אינו מפותח"))+(--($W891="דלה"))&gt;=2,"אינה מפותחת","חלקית"))))</f>
        <v/>
      </c>
      <c r="AA891" s="32">
        <f>IF($C891="","",IF(COUNTA($M891,$N891,$O891)&lt;3,"— חסרים נתונים",IF(OR($M891="נמוכה",(--($M891&lt;&gt;"תקינה"))+(--($N891&lt;&gt;"תקין"))+(--($O891&lt;&gt;"תקינה"))&gt;=2),"ניכרת","אינה ניכרת")))</f>
        <v/>
      </c>
      <c r="AB891" s="32">
        <f>IF(OR($C891="",$Y891="",$AA891="",LEFT($Y891,1)="—",LEFT($AA891,1)="—"),"",IF($Z891="","— נדרשת הערכת כתיבה",IF($L891="","— חסרה הבנת הנקרא",IF($Y891="אינה מדויקת או מקוטעת",IF($AA891="ניכרת","מיקוד בשטף הקריאה ובכישורי שפה","מיקוד בשטף קריאה"),IF($AA891="ניכרת","מיקוד בכישורי שפה",IF(AND($L891="תקינה",$Z891="מפותחת"),"קוראים וכותבים מיומנים","מיקוד בהבנה והבעה"))))))</f>
        <v/>
      </c>
      <c r="AC891" s="32">
        <f>IF(OR($AB891="",LEFT($AB891,1)="—"),"",IF(OR($AB891="מיקוד בשטף קריאה",$AB891="מיקוד בשטף הקריאה ובכישורי שפה"),"רמה א'",IF($AB891="קוראים וכותבים מיומנים","רמה ג'","רמה ב'")))</f>
        <v/>
      </c>
      <c r="AD891" s="32">
        <f>IF($AC891="","",MID(IF(AND($AC891="רמה א'",$AA891="ניכרת"),"; להוסיף עבודת אוצר מילים","")&amp;IF($Z891="אינה מפותחת","; דגש על הבעה בכתב","")&amp;IF($K891&lt;&gt;"תקין","; נדרש לעבוד על ההנגנה","")&amp;IF($AK891&lt;&gt;"","; "&amp;$AK891,""),3,400))</f>
        <v/>
      </c>
      <c r="AE891" s="32">
        <f>IF($F891="","",IF($F891="תחילת שנה",1,IF($F891="מחצית שנה",2,3)))</f>
        <v/>
      </c>
      <c r="AF891" s="32">
        <f>IF(OR($B891="",$AC891="",$A891="",$F891=""),"",$B891&amp;"|"&amp;$A891&amp;"|"&amp;$F891&amp;"|"&amp;$AC891&amp;"|"&amp;COUNTIFS($B$6:$B891,$B891,$A$6:$A891,$A891,$F$6:$F891,$F891,$AC$6:$AC891,$AC891))</f>
        <v/>
      </c>
      <c r="AG891" s="32">
        <f>IF($C891="","",$C891&amp;"|"&amp;COUNTIFS($C$6:$C891,$C891))</f>
        <v/>
      </c>
      <c r="AH891" s="32">
        <f>IF(OR($C891="",$A891="",$AE891=""),"",$C891&amp;"|"&amp;$A891&amp;"|"&amp;$AE891)</f>
        <v/>
      </c>
      <c r="AI891" s="32">
        <f>IF(OR($C891="",$AE891="",$AE891=1),"",IFERROR(INDEX($AC$6:$AC$1505,MATCH($C891&amp;"|"&amp;$A891&amp;"|"&amp;($AE891-1),$AH$6:$AH$1505,0)),""))</f>
        <v/>
      </c>
      <c r="AJ891" s="32">
        <f>IF(OR($AI891="",$AC891=""),"",IF($AI891=$AC891,"ללא שינוי","מ-"&amp;$AI891&amp;" ל-"&amp;$AC891))</f>
        <v/>
      </c>
      <c r="AK891" s="67" t="n"/>
    </row>
    <row r="892" ht="15.75" customHeight="1" s="58">
      <c r="A892" s="65" t="n"/>
      <c r="B892" s="65" t="n"/>
      <c r="C892" s="66" t="n"/>
      <c r="D892" s="66" t="n"/>
      <c r="E892" s="65" t="n"/>
      <c r="F892" s="65" t="n"/>
      <c r="G892" s="65" t="n"/>
      <c r="H892" s="65" t="n"/>
      <c r="I892" s="65" t="n"/>
      <c r="J892" s="65" t="n"/>
      <c r="K892" s="65" t="n"/>
      <c r="L892" s="65" t="n"/>
      <c r="M892" s="65" t="n"/>
      <c r="N892" s="65" t="n"/>
      <c r="O892" s="65" t="n"/>
      <c r="P892" s="65" t="n"/>
      <c r="Q892" s="65" t="n"/>
      <c r="R892" s="65" t="n"/>
      <c r="S892" s="65" t="n"/>
      <c r="T892" s="65" t="n"/>
      <c r="U892" s="65" t="n"/>
      <c r="V892" s="65" t="n"/>
      <c r="W892" s="65" t="n"/>
      <c r="X892" s="65" t="n"/>
      <c r="Y892" s="32">
        <f>IF($C892="","",IF(COUNTA($I892:$K892)&lt;3,"— חסרים נתונים",IF(AND($I892="תקין",$J892="תקין",$K892="תקין"),"רהוטה",IF(AND($I892="תקין",$J892="תקין"),"מדויקת ורציפה","אינה מדויקת או מקוטעת"))))</f>
        <v/>
      </c>
      <c r="Z892" s="32">
        <f>IF($C892="","",IF(COUNTA($U892:$W892)&lt;3,"",IF(AND($U892="מפותח",$V892="מפותח",$W892="מפותחת"),"מפותחת",IF((--($U892="דל"))+(--($V892="אינו מפותח"))+(--($W892="דלה"))&gt;=2,"אינה מפותחת","חלקית"))))</f>
        <v/>
      </c>
      <c r="AA892" s="32">
        <f>IF($C892="","",IF(COUNTA($M892,$N892,$O892)&lt;3,"— חסרים נתונים",IF(OR($M892="נמוכה",(--($M892&lt;&gt;"תקינה"))+(--($N892&lt;&gt;"תקין"))+(--($O892&lt;&gt;"תקינה"))&gt;=2),"ניכרת","אינה ניכרת")))</f>
        <v/>
      </c>
      <c r="AB892" s="32">
        <f>IF(OR($C892="",$Y892="",$AA892="",LEFT($Y892,1)="—",LEFT($AA892,1)="—"),"",IF($Z892="","— נדרשת הערכת כתיבה",IF($L892="","— חסרה הבנת הנקרא",IF($Y892="אינה מדויקת או מקוטעת",IF($AA892="ניכרת","מיקוד בשטף הקריאה ובכישורי שפה","מיקוד בשטף קריאה"),IF($AA892="ניכרת","מיקוד בכישורי שפה",IF(AND($L892="תקינה",$Z892="מפותחת"),"קוראים וכותבים מיומנים","מיקוד בהבנה והבעה"))))))</f>
        <v/>
      </c>
      <c r="AC892" s="32">
        <f>IF(OR($AB892="",LEFT($AB892,1)="—"),"",IF(OR($AB892="מיקוד בשטף קריאה",$AB892="מיקוד בשטף הקריאה ובכישורי שפה"),"רמה א'",IF($AB892="קוראים וכותבים מיומנים","רמה ג'","רמה ב'")))</f>
        <v/>
      </c>
      <c r="AD892" s="32">
        <f>IF($AC892="","",MID(IF(AND($AC892="רמה א'",$AA892="ניכרת"),"; להוסיף עבודת אוצר מילים","")&amp;IF($Z892="אינה מפותחת","; דגש על הבעה בכתב","")&amp;IF($K892&lt;&gt;"תקין","; נדרש לעבוד על ההנגנה","")&amp;IF($AK892&lt;&gt;"","; "&amp;$AK892,""),3,400))</f>
        <v/>
      </c>
      <c r="AE892" s="32">
        <f>IF($F892="","",IF($F892="תחילת שנה",1,IF($F892="מחצית שנה",2,3)))</f>
        <v/>
      </c>
      <c r="AF892" s="32">
        <f>IF(OR($B892="",$AC892="",$A892="",$F892=""),"",$B892&amp;"|"&amp;$A892&amp;"|"&amp;$F892&amp;"|"&amp;$AC892&amp;"|"&amp;COUNTIFS($B$6:$B892,$B892,$A$6:$A892,$A892,$F$6:$F892,$F892,$AC$6:$AC892,$AC892))</f>
        <v/>
      </c>
      <c r="AG892" s="32">
        <f>IF($C892="","",$C892&amp;"|"&amp;COUNTIFS($C$6:$C892,$C892))</f>
        <v/>
      </c>
      <c r="AH892" s="32">
        <f>IF(OR($C892="",$A892="",$AE892=""),"",$C892&amp;"|"&amp;$A892&amp;"|"&amp;$AE892)</f>
        <v/>
      </c>
      <c r="AI892" s="32">
        <f>IF(OR($C892="",$AE892="",$AE892=1),"",IFERROR(INDEX($AC$6:$AC$1505,MATCH($C892&amp;"|"&amp;$A892&amp;"|"&amp;($AE892-1),$AH$6:$AH$1505,0)),""))</f>
        <v/>
      </c>
      <c r="AJ892" s="32">
        <f>IF(OR($AI892="",$AC892=""),"",IF($AI892=$AC892,"ללא שינוי","מ-"&amp;$AI892&amp;" ל-"&amp;$AC892))</f>
        <v/>
      </c>
      <c r="AK892" s="67" t="n"/>
    </row>
    <row r="893" ht="15.75" customHeight="1" s="58">
      <c r="A893" s="65" t="n"/>
      <c r="B893" s="65" t="n"/>
      <c r="C893" s="66" t="n"/>
      <c r="D893" s="66" t="n"/>
      <c r="E893" s="65" t="n"/>
      <c r="F893" s="65" t="n"/>
      <c r="G893" s="65" t="n"/>
      <c r="H893" s="65" t="n"/>
      <c r="I893" s="65" t="n"/>
      <c r="J893" s="65" t="n"/>
      <c r="K893" s="65" t="n"/>
      <c r="L893" s="65" t="n"/>
      <c r="M893" s="65" t="n"/>
      <c r="N893" s="65" t="n"/>
      <c r="O893" s="65" t="n"/>
      <c r="P893" s="65" t="n"/>
      <c r="Q893" s="65" t="n"/>
      <c r="R893" s="65" t="n"/>
      <c r="S893" s="65" t="n"/>
      <c r="T893" s="65" t="n"/>
      <c r="U893" s="65" t="n"/>
      <c r="V893" s="65" t="n"/>
      <c r="W893" s="65" t="n"/>
      <c r="X893" s="65" t="n"/>
      <c r="Y893" s="32">
        <f>IF($C893="","",IF(COUNTA($I893:$K893)&lt;3,"— חסרים נתונים",IF(AND($I893="תקין",$J893="תקין",$K893="תקין"),"רהוטה",IF(AND($I893="תקין",$J893="תקין"),"מדויקת ורציפה","אינה מדויקת או מקוטעת"))))</f>
        <v/>
      </c>
      <c r="Z893" s="32">
        <f>IF($C893="","",IF(COUNTA($U893:$W893)&lt;3,"",IF(AND($U893="מפותח",$V893="מפותח",$W893="מפותחת"),"מפותחת",IF((--($U893="דל"))+(--($V893="אינו מפותח"))+(--($W893="דלה"))&gt;=2,"אינה מפותחת","חלקית"))))</f>
        <v/>
      </c>
      <c r="AA893" s="32">
        <f>IF($C893="","",IF(COUNTA($M893,$N893,$O893)&lt;3,"— חסרים נתונים",IF(OR($M893="נמוכה",(--($M893&lt;&gt;"תקינה"))+(--($N893&lt;&gt;"תקין"))+(--($O893&lt;&gt;"תקינה"))&gt;=2),"ניכרת","אינה ניכרת")))</f>
        <v/>
      </c>
      <c r="AB893" s="32">
        <f>IF(OR($C893="",$Y893="",$AA893="",LEFT($Y893,1)="—",LEFT($AA893,1)="—"),"",IF($Z893="","— נדרשת הערכת כתיבה",IF($L893="","— חסרה הבנת הנקרא",IF($Y893="אינה מדויקת או מקוטעת",IF($AA893="ניכרת","מיקוד בשטף הקריאה ובכישורי שפה","מיקוד בשטף קריאה"),IF($AA893="ניכרת","מיקוד בכישורי שפה",IF(AND($L893="תקינה",$Z893="מפותחת"),"קוראים וכותבים מיומנים","מיקוד בהבנה והבעה"))))))</f>
        <v/>
      </c>
      <c r="AC893" s="32">
        <f>IF(OR($AB893="",LEFT($AB893,1)="—"),"",IF(OR($AB893="מיקוד בשטף קריאה",$AB893="מיקוד בשטף הקריאה ובכישורי שפה"),"רמה א'",IF($AB893="קוראים וכותבים מיומנים","רמה ג'","רמה ב'")))</f>
        <v/>
      </c>
      <c r="AD893" s="32">
        <f>IF($AC893="","",MID(IF(AND($AC893="רמה א'",$AA893="ניכרת"),"; להוסיף עבודת אוצר מילים","")&amp;IF($Z893="אינה מפותחת","; דגש על הבעה בכתב","")&amp;IF($K893&lt;&gt;"תקין","; נדרש לעבוד על ההנגנה","")&amp;IF($AK893&lt;&gt;"","; "&amp;$AK893,""),3,400))</f>
        <v/>
      </c>
      <c r="AE893" s="32">
        <f>IF($F893="","",IF($F893="תחילת שנה",1,IF($F893="מחצית שנה",2,3)))</f>
        <v/>
      </c>
      <c r="AF893" s="32">
        <f>IF(OR($B893="",$AC893="",$A893="",$F893=""),"",$B893&amp;"|"&amp;$A893&amp;"|"&amp;$F893&amp;"|"&amp;$AC893&amp;"|"&amp;COUNTIFS($B$6:$B893,$B893,$A$6:$A893,$A893,$F$6:$F893,$F893,$AC$6:$AC893,$AC893))</f>
        <v/>
      </c>
      <c r="AG893" s="32">
        <f>IF($C893="","",$C893&amp;"|"&amp;COUNTIFS($C$6:$C893,$C893))</f>
        <v/>
      </c>
      <c r="AH893" s="32">
        <f>IF(OR($C893="",$A893="",$AE893=""),"",$C893&amp;"|"&amp;$A893&amp;"|"&amp;$AE893)</f>
        <v/>
      </c>
      <c r="AI893" s="32">
        <f>IF(OR($C893="",$AE893="",$AE893=1),"",IFERROR(INDEX($AC$6:$AC$1505,MATCH($C893&amp;"|"&amp;$A893&amp;"|"&amp;($AE893-1),$AH$6:$AH$1505,0)),""))</f>
        <v/>
      </c>
      <c r="AJ893" s="32">
        <f>IF(OR($AI893="",$AC893=""),"",IF($AI893=$AC893,"ללא שינוי","מ-"&amp;$AI893&amp;" ל-"&amp;$AC893))</f>
        <v/>
      </c>
      <c r="AK893" s="67" t="n"/>
    </row>
    <row r="894" ht="15.75" customHeight="1" s="58">
      <c r="A894" s="65" t="n"/>
      <c r="B894" s="65" t="n"/>
      <c r="C894" s="66" t="n"/>
      <c r="D894" s="66" t="n"/>
      <c r="E894" s="65" t="n"/>
      <c r="F894" s="65" t="n"/>
      <c r="G894" s="65" t="n"/>
      <c r="H894" s="65" t="n"/>
      <c r="I894" s="65" t="n"/>
      <c r="J894" s="65" t="n"/>
      <c r="K894" s="65" t="n"/>
      <c r="L894" s="65" t="n"/>
      <c r="M894" s="65" t="n"/>
      <c r="N894" s="65" t="n"/>
      <c r="O894" s="65" t="n"/>
      <c r="P894" s="65" t="n"/>
      <c r="Q894" s="65" t="n"/>
      <c r="R894" s="65" t="n"/>
      <c r="S894" s="65" t="n"/>
      <c r="T894" s="65" t="n"/>
      <c r="U894" s="65" t="n"/>
      <c r="V894" s="65" t="n"/>
      <c r="W894" s="65" t="n"/>
      <c r="X894" s="65" t="n"/>
      <c r="Y894" s="32">
        <f>IF($C894="","",IF(COUNTA($I894:$K894)&lt;3,"— חסרים נתונים",IF(AND($I894="תקין",$J894="תקין",$K894="תקין"),"רהוטה",IF(AND($I894="תקין",$J894="תקין"),"מדויקת ורציפה","אינה מדויקת או מקוטעת"))))</f>
        <v/>
      </c>
      <c r="Z894" s="32">
        <f>IF($C894="","",IF(COUNTA($U894:$W894)&lt;3,"",IF(AND($U894="מפותח",$V894="מפותח",$W894="מפותחת"),"מפותחת",IF((--($U894="דל"))+(--($V894="אינו מפותח"))+(--($W894="דלה"))&gt;=2,"אינה מפותחת","חלקית"))))</f>
        <v/>
      </c>
      <c r="AA894" s="32">
        <f>IF($C894="","",IF(COUNTA($M894,$N894,$O894)&lt;3,"— חסרים נתונים",IF(OR($M894="נמוכה",(--($M894&lt;&gt;"תקינה"))+(--($N894&lt;&gt;"תקין"))+(--($O894&lt;&gt;"תקינה"))&gt;=2),"ניכרת","אינה ניכרת")))</f>
        <v/>
      </c>
      <c r="AB894" s="32">
        <f>IF(OR($C894="",$Y894="",$AA894="",LEFT($Y894,1)="—",LEFT($AA894,1)="—"),"",IF($Z894="","— נדרשת הערכת כתיבה",IF($L894="","— חסרה הבנת הנקרא",IF($Y894="אינה מדויקת או מקוטעת",IF($AA894="ניכרת","מיקוד בשטף הקריאה ובכישורי שפה","מיקוד בשטף קריאה"),IF($AA894="ניכרת","מיקוד בכישורי שפה",IF(AND($L894="תקינה",$Z894="מפותחת"),"קוראים וכותבים מיומנים","מיקוד בהבנה והבעה"))))))</f>
        <v/>
      </c>
      <c r="AC894" s="32">
        <f>IF(OR($AB894="",LEFT($AB894,1)="—"),"",IF(OR($AB894="מיקוד בשטף קריאה",$AB894="מיקוד בשטף הקריאה ובכישורי שפה"),"רמה א'",IF($AB894="קוראים וכותבים מיומנים","רמה ג'","רמה ב'")))</f>
        <v/>
      </c>
      <c r="AD894" s="32">
        <f>IF($AC894="","",MID(IF(AND($AC894="רמה א'",$AA894="ניכרת"),"; להוסיף עבודת אוצר מילים","")&amp;IF($Z894="אינה מפותחת","; דגש על הבעה בכתב","")&amp;IF($K894&lt;&gt;"תקין","; נדרש לעבוד על ההנגנה","")&amp;IF($AK894&lt;&gt;"","; "&amp;$AK894,""),3,400))</f>
        <v/>
      </c>
      <c r="AE894" s="32">
        <f>IF($F894="","",IF($F894="תחילת שנה",1,IF($F894="מחצית שנה",2,3)))</f>
        <v/>
      </c>
      <c r="AF894" s="32">
        <f>IF(OR($B894="",$AC894="",$A894="",$F894=""),"",$B894&amp;"|"&amp;$A894&amp;"|"&amp;$F894&amp;"|"&amp;$AC894&amp;"|"&amp;COUNTIFS($B$6:$B894,$B894,$A$6:$A894,$A894,$F$6:$F894,$F894,$AC$6:$AC894,$AC894))</f>
        <v/>
      </c>
      <c r="AG894" s="32">
        <f>IF($C894="","",$C894&amp;"|"&amp;COUNTIFS($C$6:$C894,$C894))</f>
        <v/>
      </c>
      <c r="AH894" s="32">
        <f>IF(OR($C894="",$A894="",$AE894=""),"",$C894&amp;"|"&amp;$A894&amp;"|"&amp;$AE894)</f>
        <v/>
      </c>
      <c r="AI894" s="32">
        <f>IF(OR($C894="",$AE894="",$AE894=1),"",IFERROR(INDEX($AC$6:$AC$1505,MATCH($C894&amp;"|"&amp;$A894&amp;"|"&amp;($AE894-1),$AH$6:$AH$1505,0)),""))</f>
        <v/>
      </c>
      <c r="AJ894" s="32">
        <f>IF(OR($AI894="",$AC894=""),"",IF($AI894=$AC894,"ללא שינוי","מ-"&amp;$AI894&amp;" ל-"&amp;$AC894))</f>
        <v/>
      </c>
      <c r="AK894" s="67" t="n"/>
    </row>
    <row r="895" ht="15.75" customHeight="1" s="58">
      <c r="A895" s="65" t="n"/>
      <c r="B895" s="65" t="n"/>
      <c r="C895" s="66" t="n"/>
      <c r="D895" s="66" t="n"/>
      <c r="E895" s="65" t="n"/>
      <c r="F895" s="65" t="n"/>
      <c r="G895" s="65" t="n"/>
      <c r="H895" s="65" t="n"/>
      <c r="I895" s="65" t="n"/>
      <c r="J895" s="65" t="n"/>
      <c r="K895" s="65" t="n"/>
      <c r="L895" s="65" t="n"/>
      <c r="M895" s="65" t="n"/>
      <c r="N895" s="65" t="n"/>
      <c r="O895" s="65" t="n"/>
      <c r="P895" s="65" t="n"/>
      <c r="Q895" s="65" t="n"/>
      <c r="R895" s="65" t="n"/>
      <c r="S895" s="65" t="n"/>
      <c r="T895" s="65" t="n"/>
      <c r="U895" s="65" t="n"/>
      <c r="V895" s="65" t="n"/>
      <c r="W895" s="65" t="n"/>
      <c r="X895" s="65" t="n"/>
      <c r="Y895" s="32">
        <f>IF($C895="","",IF(COUNTA($I895:$K895)&lt;3,"— חסרים נתונים",IF(AND($I895="תקין",$J895="תקין",$K895="תקין"),"רהוטה",IF(AND($I895="תקין",$J895="תקין"),"מדויקת ורציפה","אינה מדויקת או מקוטעת"))))</f>
        <v/>
      </c>
      <c r="Z895" s="32">
        <f>IF($C895="","",IF(COUNTA($U895:$W895)&lt;3,"",IF(AND($U895="מפותח",$V895="מפותח",$W895="מפותחת"),"מפותחת",IF((--($U895="דל"))+(--($V895="אינו מפותח"))+(--($W895="דלה"))&gt;=2,"אינה מפותחת","חלקית"))))</f>
        <v/>
      </c>
      <c r="AA895" s="32">
        <f>IF($C895="","",IF(COUNTA($M895,$N895,$O895)&lt;3,"— חסרים נתונים",IF(OR($M895="נמוכה",(--($M895&lt;&gt;"תקינה"))+(--($N895&lt;&gt;"תקין"))+(--($O895&lt;&gt;"תקינה"))&gt;=2),"ניכרת","אינה ניכרת")))</f>
        <v/>
      </c>
      <c r="AB895" s="32">
        <f>IF(OR($C895="",$Y895="",$AA895="",LEFT($Y895,1)="—",LEFT($AA895,1)="—"),"",IF($Z895="","— נדרשת הערכת כתיבה",IF($L895="","— חסרה הבנת הנקרא",IF($Y895="אינה מדויקת או מקוטעת",IF($AA895="ניכרת","מיקוד בשטף הקריאה ובכישורי שפה","מיקוד בשטף קריאה"),IF($AA895="ניכרת","מיקוד בכישורי שפה",IF(AND($L895="תקינה",$Z895="מפותחת"),"קוראים וכותבים מיומנים","מיקוד בהבנה והבעה"))))))</f>
        <v/>
      </c>
      <c r="AC895" s="32">
        <f>IF(OR($AB895="",LEFT($AB895,1)="—"),"",IF(OR($AB895="מיקוד בשטף קריאה",$AB895="מיקוד בשטף הקריאה ובכישורי שפה"),"רמה א'",IF($AB895="קוראים וכותבים מיומנים","רמה ג'","רמה ב'")))</f>
        <v/>
      </c>
      <c r="AD895" s="32">
        <f>IF($AC895="","",MID(IF(AND($AC895="רמה א'",$AA895="ניכרת"),"; להוסיף עבודת אוצר מילים","")&amp;IF($Z895="אינה מפותחת","; דגש על הבעה בכתב","")&amp;IF($K895&lt;&gt;"תקין","; נדרש לעבוד על ההנגנה","")&amp;IF($AK895&lt;&gt;"","; "&amp;$AK895,""),3,400))</f>
        <v/>
      </c>
      <c r="AE895" s="32">
        <f>IF($F895="","",IF($F895="תחילת שנה",1,IF($F895="מחצית שנה",2,3)))</f>
        <v/>
      </c>
      <c r="AF895" s="32">
        <f>IF(OR($B895="",$AC895="",$A895="",$F895=""),"",$B895&amp;"|"&amp;$A895&amp;"|"&amp;$F895&amp;"|"&amp;$AC895&amp;"|"&amp;COUNTIFS($B$6:$B895,$B895,$A$6:$A895,$A895,$F$6:$F895,$F895,$AC$6:$AC895,$AC895))</f>
        <v/>
      </c>
      <c r="AG895" s="32">
        <f>IF($C895="","",$C895&amp;"|"&amp;COUNTIFS($C$6:$C895,$C895))</f>
        <v/>
      </c>
      <c r="AH895" s="32">
        <f>IF(OR($C895="",$A895="",$AE895=""),"",$C895&amp;"|"&amp;$A895&amp;"|"&amp;$AE895)</f>
        <v/>
      </c>
      <c r="AI895" s="32">
        <f>IF(OR($C895="",$AE895="",$AE895=1),"",IFERROR(INDEX($AC$6:$AC$1505,MATCH($C895&amp;"|"&amp;$A895&amp;"|"&amp;($AE895-1),$AH$6:$AH$1505,0)),""))</f>
        <v/>
      </c>
      <c r="AJ895" s="32">
        <f>IF(OR($AI895="",$AC895=""),"",IF($AI895=$AC895,"ללא שינוי","מ-"&amp;$AI895&amp;" ל-"&amp;$AC895))</f>
        <v/>
      </c>
      <c r="AK895" s="67" t="n"/>
    </row>
    <row r="896" ht="15.75" customHeight="1" s="58">
      <c r="A896" s="65" t="n"/>
      <c r="B896" s="65" t="n"/>
      <c r="C896" s="66" t="n"/>
      <c r="D896" s="66" t="n"/>
      <c r="E896" s="65" t="n"/>
      <c r="F896" s="65" t="n"/>
      <c r="G896" s="65" t="n"/>
      <c r="H896" s="65" t="n"/>
      <c r="I896" s="65" t="n"/>
      <c r="J896" s="65" t="n"/>
      <c r="K896" s="65" t="n"/>
      <c r="L896" s="65" t="n"/>
      <c r="M896" s="65" t="n"/>
      <c r="N896" s="65" t="n"/>
      <c r="O896" s="65" t="n"/>
      <c r="P896" s="65" t="n"/>
      <c r="Q896" s="65" t="n"/>
      <c r="R896" s="65" t="n"/>
      <c r="S896" s="65" t="n"/>
      <c r="T896" s="65" t="n"/>
      <c r="U896" s="65" t="n"/>
      <c r="V896" s="65" t="n"/>
      <c r="W896" s="65" t="n"/>
      <c r="X896" s="65" t="n"/>
      <c r="Y896" s="32">
        <f>IF($C896="","",IF(COUNTA($I896:$K896)&lt;3,"— חסרים נתונים",IF(AND($I896="תקין",$J896="תקין",$K896="תקין"),"רהוטה",IF(AND($I896="תקין",$J896="תקין"),"מדויקת ורציפה","אינה מדויקת או מקוטעת"))))</f>
        <v/>
      </c>
      <c r="Z896" s="32">
        <f>IF($C896="","",IF(COUNTA($U896:$W896)&lt;3,"",IF(AND($U896="מפותח",$V896="מפותח",$W896="מפותחת"),"מפותחת",IF((--($U896="דל"))+(--($V896="אינו מפותח"))+(--($W896="דלה"))&gt;=2,"אינה מפותחת","חלקית"))))</f>
        <v/>
      </c>
      <c r="AA896" s="32">
        <f>IF($C896="","",IF(COUNTA($M896,$N896,$O896)&lt;3,"— חסרים נתונים",IF(OR($M896="נמוכה",(--($M896&lt;&gt;"תקינה"))+(--($N896&lt;&gt;"תקין"))+(--($O896&lt;&gt;"תקינה"))&gt;=2),"ניכרת","אינה ניכרת")))</f>
        <v/>
      </c>
      <c r="AB896" s="32">
        <f>IF(OR($C896="",$Y896="",$AA896="",LEFT($Y896,1)="—",LEFT($AA896,1)="—"),"",IF($Z896="","— נדרשת הערכת כתיבה",IF($L896="","— חסרה הבנת הנקרא",IF($Y896="אינה מדויקת או מקוטעת",IF($AA896="ניכרת","מיקוד בשטף הקריאה ובכישורי שפה","מיקוד בשטף קריאה"),IF($AA896="ניכרת","מיקוד בכישורי שפה",IF(AND($L896="תקינה",$Z896="מפותחת"),"קוראים וכותבים מיומנים","מיקוד בהבנה והבעה"))))))</f>
        <v/>
      </c>
      <c r="AC896" s="32">
        <f>IF(OR($AB896="",LEFT($AB896,1)="—"),"",IF(OR($AB896="מיקוד בשטף קריאה",$AB896="מיקוד בשטף הקריאה ובכישורי שפה"),"רמה א'",IF($AB896="קוראים וכותבים מיומנים","רמה ג'","רמה ב'")))</f>
        <v/>
      </c>
      <c r="AD896" s="32">
        <f>IF($AC896="","",MID(IF(AND($AC896="רמה א'",$AA896="ניכרת"),"; להוסיף עבודת אוצר מילים","")&amp;IF($Z896="אינה מפותחת","; דגש על הבעה בכתב","")&amp;IF($K896&lt;&gt;"תקין","; נדרש לעבוד על ההנגנה","")&amp;IF($AK896&lt;&gt;"","; "&amp;$AK896,""),3,400))</f>
        <v/>
      </c>
      <c r="AE896" s="32">
        <f>IF($F896="","",IF($F896="תחילת שנה",1,IF($F896="מחצית שנה",2,3)))</f>
        <v/>
      </c>
      <c r="AF896" s="32">
        <f>IF(OR($B896="",$AC896="",$A896="",$F896=""),"",$B896&amp;"|"&amp;$A896&amp;"|"&amp;$F896&amp;"|"&amp;$AC896&amp;"|"&amp;COUNTIFS($B$6:$B896,$B896,$A$6:$A896,$A896,$F$6:$F896,$F896,$AC$6:$AC896,$AC896))</f>
        <v/>
      </c>
      <c r="AG896" s="32">
        <f>IF($C896="","",$C896&amp;"|"&amp;COUNTIFS($C$6:$C896,$C896))</f>
        <v/>
      </c>
      <c r="AH896" s="32">
        <f>IF(OR($C896="",$A896="",$AE896=""),"",$C896&amp;"|"&amp;$A896&amp;"|"&amp;$AE896)</f>
        <v/>
      </c>
      <c r="AI896" s="32">
        <f>IF(OR($C896="",$AE896="",$AE896=1),"",IFERROR(INDEX($AC$6:$AC$1505,MATCH($C896&amp;"|"&amp;$A896&amp;"|"&amp;($AE896-1),$AH$6:$AH$1505,0)),""))</f>
        <v/>
      </c>
      <c r="AJ896" s="32">
        <f>IF(OR($AI896="",$AC896=""),"",IF($AI896=$AC896,"ללא שינוי","מ-"&amp;$AI896&amp;" ל-"&amp;$AC896))</f>
        <v/>
      </c>
      <c r="AK896" s="67" t="n"/>
    </row>
    <row r="897" ht="15.75" customHeight="1" s="58">
      <c r="A897" s="65" t="n"/>
      <c r="B897" s="65" t="n"/>
      <c r="C897" s="66" t="n"/>
      <c r="D897" s="66" t="n"/>
      <c r="E897" s="65" t="n"/>
      <c r="F897" s="65" t="n"/>
      <c r="G897" s="65" t="n"/>
      <c r="H897" s="65" t="n"/>
      <c r="I897" s="65" t="n"/>
      <c r="J897" s="65" t="n"/>
      <c r="K897" s="65" t="n"/>
      <c r="L897" s="65" t="n"/>
      <c r="M897" s="65" t="n"/>
      <c r="N897" s="65" t="n"/>
      <c r="O897" s="65" t="n"/>
      <c r="P897" s="65" t="n"/>
      <c r="Q897" s="65" t="n"/>
      <c r="R897" s="65" t="n"/>
      <c r="S897" s="65" t="n"/>
      <c r="T897" s="65" t="n"/>
      <c r="U897" s="65" t="n"/>
      <c r="V897" s="65" t="n"/>
      <c r="W897" s="65" t="n"/>
      <c r="X897" s="65" t="n"/>
      <c r="Y897" s="32">
        <f>IF($C897="","",IF(COUNTA($I897:$K897)&lt;3,"— חסרים נתונים",IF(AND($I897="תקין",$J897="תקין",$K897="תקין"),"רהוטה",IF(AND($I897="תקין",$J897="תקין"),"מדויקת ורציפה","אינה מדויקת או מקוטעת"))))</f>
        <v/>
      </c>
      <c r="Z897" s="32">
        <f>IF($C897="","",IF(COUNTA($U897:$W897)&lt;3,"",IF(AND($U897="מפותח",$V897="מפותח",$W897="מפותחת"),"מפותחת",IF((--($U897="דל"))+(--($V897="אינו מפותח"))+(--($W897="דלה"))&gt;=2,"אינה מפותחת","חלקית"))))</f>
        <v/>
      </c>
      <c r="AA897" s="32">
        <f>IF($C897="","",IF(COUNTA($M897,$N897,$O897)&lt;3,"— חסרים נתונים",IF(OR($M897="נמוכה",(--($M897&lt;&gt;"תקינה"))+(--($N897&lt;&gt;"תקין"))+(--($O897&lt;&gt;"תקינה"))&gt;=2),"ניכרת","אינה ניכרת")))</f>
        <v/>
      </c>
      <c r="AB897" s="32">
        <f>IF(OR($C897="",$Y897="",$AA897="",LEFT($Y897,1)="—",LEFT($AA897,1)="—"),"",IF($Z897="","— נדרשת הערכת כתיבה",IF($L897="","— חסרה הבנת הנקרא",IF($Y897="אינה מדויקת או מקוטעת",IF($AA897="ניכרת","מיקוד בשטף הקריאה ובכישורי שפה","מיקוד בשטף קריאה"),IF($AA897="ניכרת","מיקוד בכישורי שפה",IF(AND($L897="תקינה",$Z897="מפותחת"),"קוראים וכותבים מיומנים","מיקוד בהבנה והבעה"))))))</f>
        <v/>
      </c>
      <c r="AC897" s="32">
        <f>IF(OR($AB897="",LEFT($AB897,1)="—"),"",IF(OR($AB897="מיקוד בשטף קריאה",$AB897="מיקוד בשטף הקריאה ובכישורי שפה"),"רמה א'",IF($AB897="קוראים וכותבים מיומנים","רמה ג'","רמה ב'")))</f>
        <v/>
      </c>
      <c r="AD897" s="32">
        <f>IF($AC897="","",MID(IF(AND($AC897="רמה א'",$AA897="ניכרת"),"; להוסיף עבודת אוצר מילים","")&amp;IF($Z897="אינה מפותחת","; דגש על הבעה בכתב","")&amp;IF($K897&lt;&gt;"תקין","; נדרש לעבוד על ההנגנה","")&amp;IF($AK897&lt;&gt;"","; "&amp;$AK897,""),3,400))</f>
        <v/>
      </c>
      <c r="AE897" s="32">
        <f>IF($F897="","",IF($F897="תחילת שנה",1,IF($F897="מחצית שנה",2,3)))</f>
        <v/>
      </c>
      <c r="AF897" s="32">
        <f>IF(OR($B897="",$AC897="",$A897="",$F897=""),"",$B897&amp;"|"&amp;$A897&amp;"|"&amp;$F897&amp;"|"&amp;$AC897&amp;"|"&amp;COUNTIFS($B$6:$B897,$B897,$A$6:$A897,$A897,$F$6:$F897,$F897,$AC$6:$AC897,$AC897))</f>
        <v/>
      </c>
      <c r="AG897" s="32">
        <f>IF($C897="","",$C897&amp;"|"&amp;COUNTIFS($C$6:$C897,$C897))</f>
        <v/>
      </c>
      <c r="AH897" s="32">
        <f>IF(OR($C897="",$A897="",$AE897=""),"",$C897&amp;"|"&amp;$A897&amp;"|"&amp;$AE897)</f>
        <v/>
      </c>
      <c r="AI897" s="32">
        <f>IF(OR($C897="",$AE897="",$AE897=1),"",IFERROR(INDEX($AC$6:$AC$1505,MATCH($C897&amp;"|"&amp;$A897&amp;"|"&amp;($AE897-1),$AH$6:$AH$1505,0)),""))</f>
        <v/>
      </c>
      <c r="AJ897" s="32">
        <f>IF(OR($AI897="",$AC897=""),"",IF($AI897=$AC897,"ללא שינוי","מ-"&amp;$AI897&amp;" ל-"&amp;$AC897))</f>
        <v/>
      </c>
      <c r="AK897" s="67" t="n"/>
    </row>
    <row r="898" ht="15.75" customHeight="1" s="58">
      <c r="A898" s="65" t="n"/>
      <c r="B898" s="65" t="n"/>
      <c r="C898" s="66" t="n"/>
      <c r="D898" s="66" t="n"/>
      <c r="E898" s="65" t="n"/>
      <c r="F898" s="65" t="n"/>
      <c r="G898" s="65" t="n"/>
      <c r="H898" s="65" t="n"/>
      <c r="I898" s="65" t="n"/>
      <c r="J898" s="65" t="n"/>
      <c r="K898" s="65" t="n"/>
      <c r="L898" s="65" t="n"/>
      <c r="M898" s="65" t="n"/>
      <c r="N898" s="65" t="n"/>
      <c r="O898" s="65" t="n"/>
      <c r="P898" s="65" t="n"/>
      <c r="Q898" s="65" t="n"/>
      <c r="R898" s="65" t="n"/>
      <c r="S898" s="65" t="n"/>
      <c r="T898" s="65" t="n"/>
      <c r="U898" s="65" t="n"/>
      <c r="V898" s="65" t="n"/>
      <c r="W898" s="65" t="n"/>
      <c r="X898" s="65" t="n"/>
      <c r="Y898" s="32">
        <f>IF($C898="","",IF(COUNTA($I898:$K898)&lt;3,"— חסרים נתונים",IF(AND($I898="תקין",$J898="תקין",$K898="תקין"),"רהוטה",IF(AND($I898="תקין",$J898="תקין"),"מדויקת ורציפה","אינה מדויקת או מקוטעת"))))</f>
        <v/>
      </c>
      <c r="Z898" s="32">
        <f>IF($C898="","",IF(COUNTA($U898:$W898)&lt;3,"",IF(AND($U898="מפותח",$V898="מפותח",$W898="מפותחת"),"מפותחת",IF((--($U898="דל"))+(--($V898="אינו מפותח"))+(--($W898="דלה"))&gt;=2,"אינה מפותחת","חלקית"))))</f>
        <v/>
      </c>
      <c r="AA898" s="32">
        <f>IF($C898="","",IF(COUNTA($M898,$N898,$O898)&lt;3,"— חסרים נתונים",IF(OR($M898="נמוכה",(--($M898&lt;&gt;"תקינה"))+(--($N898&lt;&gt;"תקין"))+(--($O898&lt;&gt;"תקינה"))&gt;=2),"ניכרת","אינה ניכרת")))</f>
        <v/>
      </c>
      <c r="AB898" s="32">
        <f>IF(OR($C898="",$Y898="",$AA898="",LEFT($Y898,1)="—",LEFT($AA898,1)="—"),"",IF($Z898="","— נדרשת הערכת כתיבה",IF($L898="","— חסרה הבנת הנקרא",IF($Y898="אינה מדויקת או מקוטעת",IF($AA898="ניכרת","מיקוד בשטף הקריאה ובכישורי שפה","מיקוד בשטף קריאה"),IF($AA898="ניכרת","מיקוד בכישורי שפה",IF(AND($L898="תקינה",$Z898="מפותחת"),"קוראים וכותבים מיומנים","מיקוד בהבנה והבעה"))))))</f>
        <v/>
      </c>
      <c r="AC898" s="32">
        <f>IF(OR($AB898="",LEFT($AB898,1)="—"),"",IF(OR($AB898="מיקוד בשטף קריאה",$AB898="מיקוד בשטף הקריאה ובכישורי שפה"),"רמה א'",IF($AB898="קוראים וכותבים מיומנים","רמה ג'","רמה ב'")))</f>
        <v/>
      </c>
      <c r="AD898" s="32">
        <f>IF($AC898="","",MID(IF(AND($AC898="רמה א'",$AA898="ניכרת"),"; להוסיף עבודת אוצר מילים","")&amp;IF($Z898="אינה מפותחת","; דגש על הבעה בכתב","")&amp;IF($K898&lt;&gt;"תקין","; נדרש לעבוד על ההנגנה","")&amp;IF($AK898&lt;&gt;"","; "&amp;$AK898,""),3,400))</f>
        <v/>
      </c>
      <c r="AE898" s="32">
        <f>IF($F898="","",IF($F898="תחילת שנה",1,IF($F898="מחצית שנה",2,3)))</f>
        <v/>
      </c>
      <c r="AF898" s="32">
        <f>IF(OR($B898="",$AC898="",$A898="",$F898=""),"",$B898&amp;"|"&amp;$A898&amp;"|"&amp;$F898&amp;"|"&amp;$AC898&amp;"|"&amp;COUNTIFS($B$6:$B898,$B898,$A$6:$A898,$A898,$F$6:$F898,$F898,$AC$6:$AC898,$AC898))</f>
        <v/>
      </c>
      <c r="AG898" s="32">
        <f>IF($C898="","",$C898&amp;"|"&amp;COUNTIFS($C$6:$C898,$C898))</f>
        <v/>
      </c>
      <c r="AH898" s="32">
        <f>IF(OR($C898="",$A898="",$AE898=""),"",$C898&amp;"|"&amp;$A898&amp;"|"&amp;$AE898)</f>
        <v/>
      </c>
      <c r="AI898" s="32">
        <f>IF(OR($C898="",$AE898="",$AE898=1),"",IFERROR(INDEX($AC$6:$AC$1505,MATCH($C898&amp;"|"&amp;$A898&amp;"|"&amp;($AE898-1),$AH$6:$AH$1505,0)),""))</f>
        <v/>
      </c>
      <c r="AJ898" s="32">
        <f>IF(OR($AI898="",$AC898=""),"",IF($AI898=$AC898,"ללא שינוי","מ-"&amp;$AI898&amp;" ל-"&amp;$AC898))</f>
        <v/>
      </c>
      <c r="AK898" s="67" t="n"/>
    </row>
    <row r="899" ht="15.75" customHeight="1" s="58">
      <c r="A899" s="65" t="n"/>
      <c r="B899" s="65" t="n"/>
      <c r="C899" s="66" t="n"/>
      <c r="D899" s="66" t="n"/>
      <c r="E899" s="65" t="n"/>
      <c r="F899" s="65" t="n"/>
      <c r="G899" s="65" t="n"/>
      <c r="H899" s="65" t="n"/>
      <c r="I899" s="65" t="n"/>
      <c r="J899" s="65" t="n"/>
      <c r="K899" s="65" t="n"/>
      <c r="L899" s="65" t="n"/>
      <c r="M899" s="65" t="n"/>
      <c r="N899" s="65" t="n"/>
      <c r="O899" s="65" t="n"/>
      <c r="P899" s="65" t="n"/>
      <c r="Q899" s="65" t="n"/>
      <c r="R899" s="65" t="n"/>
      <c r="S899" s="65" t="n"/>
      <c r="T899" s="65" t="n"/>
      <c r="U899" s="65" t="n"/>
      <c r="V899" s="65" t="n"/>
      <c r="W899" s="65" t="n"/>
      <c r="X899" s="65" t="n"/>
      <c r="Y899" s="32">
        <f>IF($C899="","",IF(COUNTA($I899:$K899)&lt;3,"— חסרים נתונים",IF(AND($I899="תקין",$J899="תקין",$K899="תקין"),"רהוטה",IF(AND($I899="תקין",$J899="תקין"),"מדויקת ורציפה","אינה מדויקת או מקוטעת"))))</f>
        <v/>
      </c>
      <c r="Z899" s="32">
        <f>IF($C899="","",IF(COUNTA($U899:$W899)&lt;3,"",IF(AND($U899="מפותח",$V899="מפותח",$W899="מפותחת"),"מפותחת",IF((--($U899="דל"))+(--($V899="אינו מפותח"))+(--($W899="דלה"))&gt;=2,"אינה מפותחת","חלקית"))))</f>
        <v/>
      </c>
      <c r="AA899" s="32">
        <f>IF($C899="","",IF(COUNTA($M899,$N899,$O899)&lt;3,"— חסרים נתונים",IF(OR($M899="נמוכה",(--($M899&lt;&gt;"תקינה"))+(--($N899&lt;&gt;"תקין"))+(--($O899&lt;&gt;"תקינה"))&gt;=2),"ניכרת","אינה ניכרת")))</f>
        <v/>
      </c>
      <c r="AB899" s="32">
        <f>IF(OR($C899="",$Y899="",$AA899="",LEFT($Y899,1)="—",LEFT($AA899,1)="—"),"",IF($Z899="","— נדרשת הערכת כתיבה",IF($L899="","— חסרה הבנת הנקרא",IF($Y899="אינה מדויקת או מקוטעת",IF($AA899="ניכרת","מיקוד בשטף הקריאה ובכישורי שפה","מיקוד בשטף קריאה"),IF($AA899="ניכרת","מיקוד בכישורי שפה",IF(AND($L899="תקינה",$Z899="מפותחת"),"קוראים וכותבים מיומנים","מיקוד בהבנה והבעה"))))))</f>
        <v/>
      </c>
      <c r="AC899" s="32">
        <f>IF(OR($AB899="",LEFT($AB899,1)="—"),"",IF(OR($AB899="מיקוד בשטף קריאה",$AB899="מיקוד בשטף הקריאה ובכישורי שפה"),"רמה א'",IF($AB899="קוראים וכותבים מיומנים","רמה ג'","רמה ב'")))</f>
        <v/>
      </c>
      <c r="AD899" s="32">
        <f>IF($AC899="","",MID(IF(AND($AC899="רמה א'",$AA899="ניכרת"),"; להוסיף עבודת אוצר מילים","")&amp;IF($Z899="אינה מפותחת","; דגש על הבעה בכתב","")&amp;IF($K899&lt;&gt;"תקין","; נדרש לעבוד על ההנגנה","")&amp;IF($AK899&lt;&gt;"","; "&amp;$AK899,""),3,400))</f>
        <v/>
      </c>
      <c r="AE899" s="32">
        <f>IF($F899="","",IF($F899="תחילת שנה",1,IF($F899="מחצית שנה",2,3)))</f>
        <v/>
      </c>
      <c r="AF899" s="32">
        <f>IF(OR($B899="",$AC899="",$A899="",$F899=""),"",$B899&amp;"|"&amp;$A899&amp;"|"&amp;$F899&amp;"|"&amp;$AC899&amp;"|"&amp;COUNTIFS($B$6:$B899,$B899,$A$6:$A899,$A899,$F$6:$F899,$F899,$AC$6:$AC899,$AC899))</f>
        <v/>
      </c>
      <c r="AG899" s="32">
        <f>IF($C899="","",$C899&amp;"|"&amp;COUNTIFS($C$6:$C899,$C899))</f>
        <v/>
      </c>
      <c r="AH899" s="32">
        <f>IF(OR($C899="",$A899="",$AE899=""),"",$C899&amp;"|"&amp;$A899&amp;"|"&amp;$AE899)</f>
        <v/>
      </c>
      <c r="AI899" s="32">
        <f>IF(OR($C899="",$AE899="",$AE899=1),"",IFERROR(INDEX($AC$6:$AC$1505,MATCH($C899&amp;"|"&amp;$A899&amp;"|"&amp;($AE899-1),$AH$6:$AH$1505,0)),""))</f>
        <v/>
      </c>
      <c r="AJ899" s="32">
        <f>IF(OR($AI899="",$AC899=""),"",IF($AI899=$AC899,"ללא שינוי","מ-"&amp;$AI899&amp;" ל-"&amp;$AC899))</f>
        <v/>
      </c>
      <c r="AK899" s="67" t="n"/>
    </row>
    <row r="900" ht="15.75" customHeight="1" s="58">
      <c r="A900" s="65" t="n"/>
      <c r="B900" s="65" t="n"/>
      <c r="C900" s="66" t="n"/>
      <c r="D900" s="66" t="n"/>
      <c r="E900" s="65" t="n"/>
      <c r="F900" s="65" t="n"/>
      <c r="G900" s="65" t="n"/>
      <c r="H900" s="65" t="n"/>
      <c r="I900" s="65" t="n"/>
      <c r="J900" s="65" t="n"/>
      <c r="K900" s="65" t="n"/>
      <c r="L900" s="65" t="n"/>
      <c r="M900" s="65" t="n"/>
      <c r="N900" s="65" t="n"/>
      <c r="O900" s="65" t="n"/>
      <c r="P900" s="65" t="n"/>
      <c r="Q900" s="65" t="n"/>
      <c r="R900" s="65" t="n"/>
      <c r="S900" s="65" t="n"/>
      <c r="T900" s="65" t="n"/>
      <c r="U900" s="65" t="n"/>
      <c r="V900" s="65" t="n"/>
      <c r="W900" s="65" t="n"/>
      <c r="X900" s="65" t="n"/>
      <c r="Y900" s="32">
        <f>IF($C900="","",IF(COUNTA($I900:$K900)&lt;3,"— חסרים נתונים",IF(AND($I900="תקין",$J900="תקין",$K900="תקין"),"רהוטה",IF(AND($I900="תקין",$J900="תקין"),"מדויקת ורציפה","אינה מדויקת או מקוטעת"))))</f>
        <v/>
      </c>
      <c r="Z900" s="32">
        <f>IF($C900="","",IF(COUNTA($U900:$W900)&lt;3,"",IF(AND($U900="מפותח",$V900="מפותח",$W900="מפותחת"),"מפותחת",IF((--($U900="דל"))+(--($V900="אינו מפותח"))+(--($W900="דלה"))&gt;=2,"אינה מפותחת","חלקית"))))</f>
        <v/>
      </c>
      <c r="AA900" s="32">
        <f>IF($C900="","",IF(COUNTA($M900,$N900,$O900)&lt;3,"— חסרים נתונים",IF(OR($M900="נמוכה",(--($M900&lt;&gt;"תקינה"))+(--($N900&lt;&gt;"תקין"))+(--($O900&lt;&gt;"תקינה"))&gt;=2),"ניכרת","אינה ניכרת")))</f>
        <v/>
      </c>
      <c r="AB900" s="32">
        <f>IF(OR($C900="",$Y900="",$AA900="",LEFT($Y900,1)="—",LEFT($AA900,1)="—"),"",IF($Z900="","— נדרשת הערכת כתיבה",IF($L900="","— חסרה הבנת הנקרא",IF($Y900="אינה מדויקת או מקוטעת",IF($AA900="ניכרת","מיקוד בשטף הקריאה ובכישורי שפה","מיקוד בשטף קריאה"),IF($AA900="ניכרת","מיקוד בכישורי שפה",IF(AND($L900="תקינה",$Z900="מפותחת"),"קוראים וכותבים מיומנים","מיקוד בהבנה והבעה"))))))</f>
        <v/>
      </c>
      <c r="AC900" s="32">
        <f>IF(OR($AB900="",LEFT($AB900,1)="—"),"",IF(OR($AB900="מיקוד בשטף קריאה",$AB900="מיקוד בשטף הקריאה ובכישורי שפה"),"רמה א'",IF($AB900="קוראים וכותבים מיומנים","רמה ג'","רמה ב'")))</f>
        <v/>
      </c>
      <c r="AD900" s="32">
        <f>IF($AC900="","",MID(IF(AND($AC900="רמה א'",$AA900="ניכרת"),"; להוסיף עבודת אוצר מילים","")&amp;IF($Z900="אינה מפותחת","; דגש על הבעה בכתב","")&amp;IF($K900&lt;&gt;"תקין","; נדרש לעבוד על ההנגנה","")&amp;IF($AK900&lt;&gt;"","; "&amp;$AK900,""),3,400))</f>
        <v/>
      </c>
      <c r="AE900" s="32">
        <f>IF($F900="","",IF($F900="תחילת שנה",1,IF($F900="מחצית שנה",2,3)))</f>
        <v/>
      </c>
      <c r="AF900" s="32">
        <f>IF(OR($B900="",$AC900="",$A900="",$F900=""),"",$B900&amp;"|"&amp;$A900&amp;"|"&amp;$F900&amp;"|"&amp;$AC900&amp;"|"&amp;COUNTIFS($B$6:$B900,$B900,$A$6:$A900,$A900,$F$6:$F900,$F900,$AC$6:$AC900,$AC900))</f>
        <v/>
      </c>
      <c r="AG900" s="32">
        <f>IF($C900="","",$C900&amp;"|"&amp;COUNTIFS($C$6:$C900,$C900))</f>
        <v/>
      </c>
      <c r="AH900" s="32">
        <f>IF(OR($C900="",$A900="",$AE900=""),"",$C900&amp;"|"&amp;$A900&amp;"|"&amp;$AE900)</f>
        <v/>
      </c>
      <c r="AI900" s="32">
        <f>IF(OR($C900="",$AE900="",$AE900=1),"",IFERROR(INDEX($AC$6:$AC$1505,MATCH($C900&amp;"|"&amp;$A900&amp;"|"&amp;($AE900-1),$AH$6:$AH$1505,0)),""))</f>
        <v/>
      </c>
      <c r="AJ900" s="32">
        <f>IF(OR($AI900="",$AC900=""),"",IF($AI900=$AC900,"ללא שינוי","מ-"&amp;$AI900&amp;" ל-"&amp;$AC900))</f>
        <v/>
      </c>
      <c r="AK900" s="67" t="n"/>
    </row>
    <row r="901" ht="15.75" customHeight="1" s="58">
      <c r="A901" s="65" t="n"/>
      <c r="B901" s="65" t="n"/>
      <c r="C901" s="66" t="n"/>
      <c r="D901" s="66" t="n"/>
      <c r="E901" s="65" t="n"/>
      <c r="F901" s="65" t="n"/>
      <c r="G901" s="65" t="n"/>
      <c r="H901" s="65" t="n"/>
      <c r="I901" s="65" t="n"/>
      <c r="J901" s="65" t="n"/>
      <c r="K901" s="65" t="n"/>
      <c r="L901" s="65" t="n"/>
      <c r="M901" s="65" t="n"/>
      <c r="N901" s="65" t="n"/>
      <c r="O901" s="65" t="n"/>
      <c r="P901" s="65" t="n"/>
      <c r="Q901" s="65" t="n"/>
      <c r="R901" s="65" t="n"/>
      <c r="S901" s="65" t="n"/>
      <c r="T901" s="65" t="n"/>
      <c r="U901" s="65" t="n"/>
      <c r="V901" s="65" t="n"/>
      <c r="W901" s="65" t="n"/>
      <c r="X901" s="65" t="n"/>
      <c r="Y901" s="32">
        <f>IF($C901="","",IF(COUNTA($I901:$K901)&lt;3,"— חסרים נתונים",IF(AND($I901="תקין",$J901="תקין",$K901="תקין"),"רהוטה",IF(AND($I901="תקין",$J901="תקין"),"מדויקת ורציפה","אינה מדויקת או מקוטעת"))))</f>
        <v/>
      </c>
      <c r="Z901" s="32">
        <f>IF($C901="","",IF(COUNTA($U901:$W901)&lt;3,"",IF(AND($U901="מפותח",$V901="מפותח",$W901="מפותחת"),"מפותחת",IF((--($U901="דל"))+(--($V901="אינו מפותח"))+(--($W901="דלה"))&gt;=2,"אינה מפותחת","חלקית"))))</f>
        <v/>
      </c>
      <c r="AA901" s="32">
        <f>IF($C901="","",IF(COUNTA($M901,$N901,$O901)&lt;3,"— חסרים נתונים",IF(OR($M901="נמוכה",(--($M901&lt;&gt;"תקינה"))+(--($N901&lt;&gt;"תקין"))+(--($O901&lt;&gt;"תקינה"))&gt;=2),"ניכרת","אינה ניכרת")))</f>
        <v/>
      </c>
      <c r="AB901" s="32">
        <f>IF(OR($C901="",$Y901="",$AA901="",LEFT($Y901,1)="—",LEFT($AA901,1)="—"),"",IF($Z901="","— נדרשת הערכת כתיבה",IF($L901="","— חסרה הבנת הנקרא",IF($Y901="אינה מדויקת או מקוטעת",IF($AA901="ניכרת","מיקוד בשטף הקריאה ובכישורי שפה","מיקוד בשטף קריאה"),IF($AA901="ניכרת","מיקוד בכישורי שפה",IF(AND($L901="תקינה",$Z901="מפותחת"),"קוראים וכותבים מיומנים","מיקוד בהבנה והבעה"))))))</f>
        <v/>
      </c>
      <c r="AC901" s="32">
        <f>IF(OR($AB901="",LEFT($AB901,1)="—"),"",IF(OR($AB901="מיקוד בשטף קריאה",$AB901="מיקוד בשטף הקריאה ובכישורי שפה"),"רמה א'",IF($AB901="קוראים וכותבים מיומנים","רמה ג'","רמה ב'")))</f>
        <v/>
      </c>
      <c r="AD901" s="32">
        <f>IF($AC901="","",MID(IF(AND($AC901="רמה א'",$AA901="ניכרת"),"; להוסיף עבודת אוצר מילים","")&amp;IF($Z901="אינה מפותחת","; דגש על הבעה בכתב","")&amp;IF($K901&lt;&gt;"תקין","; נדרש לעבוד על ההנגנה","")&amp;IF($AK901&lt;&gt;"","; "&amp;$AK901,""),3,400))</f>
        <v/>
      </c>
      <c r="AE901" s="32">
        <f>IF($F901="","",IF($F901="תחילת שנה",1,IF($F901="מחצית שנה",2,3)))</f>
        <v/>
      </c>
      <c r="AF901" s="32">
        <f>IF(OR($B901="",$AC901="",$A901="",$F901=""),"",$B901&amp;"|"&amp;$A901&amp;"|"&amp;$F901&amp;"|"&amp;$AC901&amp;"|"&amp;COUNTIFS($B$6:$B901,$B901,$A$6:$A901,$A901,$F$6:$F901,$F901,$AC$6:$AC901,$AC901))</f>
        <v/>
      </c>
      <c r="AG901" s="32">
        <f>IF($C901="","",$C901&amp;"|"&amp;COUNTIFS($C$6:$C901,$C901))</f>
        <v/>
      </c>
      <c r="AH901" s="32">
        <f>IF(OR($C901="",$A901="",$AE901=""),"",$C901&amp;"|"&amp;$A901&amp;"|"&amp;$AE901)</f>
        <v/>
      </c>
      <c r="AI901" s="32">
        <f>IF(OR($C901="",$AE901="",$AE901=1),"",IFERROR(INDEX($AC$6:$AC$1505,MATCH($C901&amp;"|"&amp;$A901&amp;"|"&amp;($AE901-1),$AH$6:$AH$1505,0)),""))</f>
        <v/>
      </c>
      <c r="AJ901" s="32">
        <f>IF(OR($AI901="",$AC901=""),"",IF($AI901=$AC901,"ללא שינוי","מ-"&amp;$AI901&amp;" ל-"&amp;$AC901))</f>
        <v/>
      </c>
      <c r="AK901" s="67" t="n"/>
    </row>
    <row r="902" ht="15.75" customHeight="1" s="58">
      <c r="A902" s="65" t="n"/>
      <c r="B902" s="65" t="n"/>
      <c r="C902" s="66" t="n"/>
      <c r="D902" s="66" t="n"/>
      <c r="E902" s="65" t="n"/>
      <c r="F902" s="65" t="n"/>
      <c r="G902" s="65" t="n"/>
      <c r="H902" s="65" t="n"/>
      <c r="I902" s="65" t="n"/>
      <c r="J902" s="65" t="n"/>
      <c r="K902" s="65" t="n"/>
      <c r="L902" s="65" t="n"/>
      <c r="M902" s="65" t="n"/>
      <c r="N902" s="65" t="n"/>
      <c r="O902" s="65" t="n"/>
      <c r="P902" s="65" t="n"/>
      <c r="Q902" s="65" t="n"/>
      <c r="R902" s="65" t="n"/>
      <c r="S902" s="65" t="n"/>
      <c r="T902" s="65" t="n"/>
      <c r="U902" s="65" t="n"/>
      <c r="V902" s="65" t="n"/>
      <c r="W902" s="65" t="n"/>
      <c r="X902" s="65" t="n"/>
      <c r="Y902" s="32">
        <f>IF($C902="","",IF(COUNTA($I902:$K902)&lt;3,"— חסרים נתונים",IF(AND($I902="תקין",$J902="תקין",$K902="תקין"),"רהוטה",IF(AND($I902="תקין",$J902="תקין"),"מדויקת ורציפה","אינה מדויקת או מקוטעת"))))</f>
        <v/>
      </c>
      <c r="Z902" s="32">
        <f>IF($C902="","",IF(COUNTA($U902:$W902)&lt;3,"",IF(AND($U902="מפותח",$V902="מפותח",$W902="מפותחת"),"מפותחת",IF((--($U902="דל"))+(--($V902="אינו מפותח"))+(--($W902="דלה"))&gt;=2,"אינה מפותחת","חלקית"))))</f>
        <v/>
      </c>
      <c r="AA902" s="32">
        <f>IF($C902="","",IF(COUNTA($M902,$N902,$O902)&lt;3,"— חסרים נתונים",IF(OR($M902="נמוכה",(--($M902&lt;&gt;"תקינה"))+(--($N902&lt;&gt;"תקין"))+(--($O902&lt;&gt;"תקינה"))&gt;=2),"ניכרת","אינה ניכרת")))</f>
        <v/>
      </c>
      <c r="AB902" s="32">
        <f>IF(OR($C902="",$Y902="",$AA902="",LEFT($Y902,1)="—",LEFT($AA902,1)="—"),"",IF($Z902="","— נדרשת הערכת כתיבה",IF($L902="","— חסרה הבנת הנקרא",IF($Y902="אינה מדויקת או מקוטעת",IF($AA902="ניכרת","מיקוד בשטף הקריאה ובכישורי שפה","מיקוד בשטף קריאה"),IF($AA902="ניכרת","מיקוד בכישורי שפה",IF(AND($L902="תקינה",$Z902="מפותחת"),"קוראים וכותבים מיומנים","מיקוד בהבנה והבעה"))))))</f>
        <v/>
      </c>
      <c r="AC902" s="32">
        <f>IF(OR($AB902="",LEFT($AB902,1)="—"),"",IF(OR($AB902="מיקוד בשטף קריאה",$AB902="מיקוד בשטף הקריאה ובכישורי שפה"),"רמה א'",IF($AB902="קוראים וכותבים מיומנים","רמה ג'","רמה ב'")))</f>
        <v/>
      </c>
      <c r="AD902" s="32">
        <f>IF($AC902="","",MID(IF(AND($AC902="רמה א'",$AA902="ניכרת"),"; להוסיף עבודת אוצר מילים","")&amp;IF($Z902="אינה מפותחת","; דגש על הבעה בכתב","")&amp;IF($K902&lt;&gt;"תקין","; נדרש לעבוד על ההנגנה","")&amp;IF($AK902&lt;&gt;"","; "&amp;$AK902,""),3,400))</f>
        <v/>
      </c>
      <c r="AE902" s="32">
        <f>IF($F902="","",IF($F902="תחילת שנה",1,IF($F902="מחצית שנה",2,3)))</f>
        <v/>
      </c>
      <c r="AF902" s="32">
        <f>IF(OR($B902="",$AC902="",$A902="",$F902=""),"",$B902&amp;"|"&amp;$A902&amp;"|"&amp;$F902&amp;"|"&amp;$AC902&amp;"|"&amp;COUNTIFS($B$6:$B902,$B902,$A$6:$A902,$A902,$F$6:$F902,$F902,$AC$6:$AC902,$AC902))</f>
        <v/>
      </c>
      <c r="AG902" s="32">
        <f>IF($C902="","",$C902&amp;"|"&amp;COUNTIFS($C$6:$C902,$C902))</f>
        <v/>
      </c>
      <c r="AH902" s="32">
        <f>IF(OR($C902="",$A902="",$AE902=""),"",$C902&amp;"|"&amp;$A902&amp;"|"&amp;$AE902)</f>
        <v/>
      </c>
      <c r="AI902" s="32">
        <f>IF(OR($C902="",$AE902="",$AE902=1),"",IFERROR(INDEX($AC$6:$AC$1505,MATCH($C902&amp;"|"&amp;$A902&amp;"|"&amp;($AE902-1),$AH$6:$AH$1505,0)),""))</f>
        <v/>
      </c>
      <c r="AJ902" s="32">
        <f>IF(OR($AI902="",$AC902=""),"",IF($AI902=$AC902,"ללא שינוי","מ-"&amp;$AI902&amp;" ל-"&amp;$AC902))</f>
        <v/>
      </c>
      <c r="AK902" s="67" t="n"/>
    </row>
    <row r="903" ht="15.75" customHeight="1" s="58">
      <c r="A903" s="65" t="n"/>
      <c r="B903" s="65" t="n"/>
      <c r="C903" s="66" t="n"/>
      <c r="D903" s="66" t="n"/>
      <c r="E903" s="65" t="n"/>
      <c r="F903" s="65" t="n"/>
      <c r="G903" s="65" t="n"/>
      <c r="H903" s="65" t="n"/>
      <c r="I903" s="65" t="n"/>
      <c r="J903" s="65" t="n"/>
      <c r="K903" s="65" t="n"/>
      <c r="L903" s="65" t="n"/>
      <c r="M903" s="65" t="n"/>
      <c r="N903" s="65" t="n"/>
      <c r="O903" s="65" t="n"/>
      <c r="P903" s="65" t="n"/>
      <c r="Q903" s="65" t="n"/>
      <c r="R903" s="65" t="n"/>
      <c r="S903" s="65" t="n"/>
      <c r="T903" s="65" t="n"/>
      <c r="U903" s="65" t="n"/>
      <c r="V903" s="65" t="n"/>
      <c r="W903" s="65" t="n"/>
      <c r="X903" s="65" t="n"/>
      <c r="Y903" s="32">
        <f>IF($C903="","",IF(COUNTA($I903:$K903)&lt;3,"— חסרים נתונים",IF(AND($I903="תקין",$J903="תקין",$K903="תקין"),"רהוטה",IF(AND($I903="תקין",$J903="תקין"),"מדויקת ורציפה","אינה מדויקת או מקוטעת"))))</f>
        <v/>
      </c>
      <c r="Z903" s="32">
        <f>IF($C903="","",IF(COUNTA($U903:$W903)&lt;3,"",IF(AND($U903="מפותח",$V903="מפותח",$W903="מפותחת"),"מפותחת",IF((--($U903="דל"))+(--($V903="אינו מפותח"))+(--($W903="דלה"))&gt;=2,"אינה מפותחת","חלקית"))))</f>
        <v/>
      </c>
      <c r="AA903" s="32">
        <f>IF($C903="","",IF(COUNTA($M903,$N903,$O903)&lt;3,"— חסרים נתונים",IF(OR($M903="נמוכה",(--($M903&lt;&gt;"תקינה"))+(--($N903&lt;&gt;"תקין"))+(--($O903&lt;&gt;"תקינה"))&gt;=2),"ניכרת","אינה ניכרת")))</f>
        <v/>
      </c>
      <c r="AB903" s="32">
        <f>IF(OR($C903="",$Y903="",$AA903="",LEFT($Y903,1)="—",LEFT($AA903,1)="—"),"",IF($Z903="","— נדרשת הערכת כתיבה",IF($L903="","— חסרה הבנת הנקרא",IF($Y903="אינה מדויקת או מקוטעת",IF($AA903="ניכרת","מיקוד בשטף הקריאה ובכישורי שפה","מיקוד בשטף קריאה"),IF($AA903="ניכרת","מיקוד בכישורי שפה",IF(AND($L903="תקינה",$Z903="מפותחת"),"קוראים וכותבים מיומנים","מיקוד בהבנה והבעה"))))))</f>
        <v/>
      </c>
      <c r="AC903" s="32">
        <f>IF(OR($AB903="",LEFT($AB903,1)="—"),"",IF(OR($AB903="מיקוד בשטף קריאה",$AB903="מיקוד בשטף הקריאה ובכישורי שפה"),"רמה א'",IF($AB903="קוראים וכותבים מיומנים","רמה ג'","רמה ב'")))</f>
        <v/>
      </c>
      <c r="AD903" s="32">
        <f>IF($AC903="","",MID(IF(AND($AC903="רמה א'",$AA903="ניכרת"),"; להוסיף עבודת אוצר מילים","")&amp;IF($Z903="אינה מפותחת","; דגש על הבעה בכתב","")&amp;IF($K903&lt;&gt;"תקין","; נדרש לעבוד על ההנגנה","")&amp;IF($AK903&lt;&gt;"","; "&amp;$AK903,""),3,400))</f>
        <v/>
      </c>
      <c r="AE903" s="32">
        <f>IF($F903="","",IF($F903="תחילת שנה",1,IF($F903="מחצית שנה",2,3)))</f>
        <v/>
      </c>
      <c r="AF903" s="32">
        <f>IF(OR($B903="",$AC903="",$A903="",$F903=""),"",$B903&amp;"|"&amp;$A903&amp;"|"&amp;$F903&amp;"|"&amp;$AC903&amp;"|"&amp;COUNTIFS($B$6:$B903,$B903,$A$6:$A903,$A903,$F$6:$F903,$F903,$AC$6:$AC903,$AC903))</f>
        <v/>
      </c>
      <c r="AG903" s="32">
        <f>IF($C903="","",$C903&amp;"|"&amp;COUNTIFS($C$6:$C903,$C903))</f>
        <v/>
      </c>
      <c r="AH903" s="32">
        <f>IF(OR($C903="",$A903="",$AE903=""),"",$C903&amp;"|"&amp;$A903&amp;"|"&amp;$AE903)</f>
        <v/>
      </c>
      <c r="AI903" s="32">
        <f>IF(OR($C903="",$AE903="",$AE903=1),"",IFERROR(INDEX($AC$6:$AC$1505,MATCH($C903&amp;"|"&amp;$A903&amp;"|"&amp;($AE903-1),$AH$6:$AH$1505,0)),""))</f>
        <v/>
      </c>
      <c r="AJ903" s="32">
        <f>IF(OR($AI903="",$AC903=""),"",IF($AI903=$AC903,"ללא שינוי","מ-"&amp;$AI903&amp;" ל-"&amp;$AC903))</f>
        <v/>
      </c>
      <c r="AK903" s="67" t="n"/>
    </row>
    <row r="904" ht="15.75" customHeight="1" s="58">
      <c r="A904" s="65" t="n"/>
      <c r="B904" s="65" t="n"/>
      <c r="C904" s="66" t="n"/>
      <c r="D904" s="66" t="n"/>
      <c r="E904" s="65" t="n"/>
      <c r="F904" s="65" t="n"/>
      <c r="G904" s="65" t="n"/>
      <c r="H904" s="65" t="n"/>
      <c r="I904" s="65" t="n"/>
      <c r="J904" s="65" t="n"/>
      <c r="K904" s="65" t="n"/>
      <c r="L904" s="65" t="n"/>
      <c r="M904" s="65" t="n"/>
      <c r="N904" s="65" t="n"/>
      <c r="O904" s="65" t="n"/>
      <c r="P904" s="65" t="n"/>
      <c r="Q904" s="65" t="n"/>
      <c r="R904" s="65" t="n"/>
      <c r="S904" s="65" t="n"/>
      <c r="T904" s="65" t="n"/>
      <c r="U904" s="65" t="n"/>
      <c r="V904" s="65" t="n"/>
      <c r="W904" s="65" t="n"/>
      <c r="X904" s="65" t="n"/>
      <c r="Y904" s="32">
        <f>IF($C904="","",IF(COUNTA($I904:$K904)&lt;3,"— חסרים נתונים",IF(AND($I904="תקין",$J904="תקין",$K904="תקין"),"רהוטה",IF(AND($I904="תקין",$J904="תקין"),"מדויקת ורציפה","אינה מדויקת או מקוטעת"))))</f>
        <v/>
      </c>
      <c r="Z904" s="32">
        <f>IF($C904="","",IF(COUNTA($U904:$W904)&lt;3,"",IF(AND($U904="מפותח",$V904="מפותח",$W904="מפותחת"),"מפותחת",IF((--($U904="דל"))+(--($V904="אינו מפותח"))+(--($W904="דלה"))&gt;=2,"אינה מפותחת","חלקית"))))</f>
        <v/>
      </c>
      <c r="AA904" s="32">
        <f>IF($C904="","",IF(COUNTA($M904,$N904,$O904)&lt;3,"— חסרים נתונים",IF(OR($M904="נמוכה",(--($M904&lt;&gt;"תקינה"))+(--($N904&lt;&gt;"תקין"))+(--($O904&lt;&gt;"תקינה"))&gt;=2),"ניכרת","אינה ניכרת")))</f>
        <v/>
      </c>
      <c r="AB904" s="32">
        <f>IF(OR($C904="",$Y904="",$AA904="",LEFT($Y904,1)="—",LEFT($AA904,1)="—"),"",IF($Z904="","— נדרשת הערכת כתיבה",IF($L904="","— חסרה הבנת הנקרא",IF($Y904="אינה מדויקת או מקוטעת",IF($AA904="ניכרת","מיקוד בשטף הקריאה ובכישורי שפה","מיקוד בשטף קריאה"),IF($AA904="ניכרת","מיקוד בכישורי שפה",IF(AND($L904="תקינה",$Z904="מפותחת"),"קוראים וכותבים מיומנים","מיקוד בהבנה והבעה"))))))</f>
        <v/>
      </c>
      <c r="AC904" s="32">
        <f>IF(OR($AB904="",LEFT($AB904,1)="—"),"",IF(OR($AB904="מיקוד בשטף קריאה",$AB904="מיקוד בשטף הקריאה ובכישורי שפה"),"רמה א'",IF($AB904="קוראים וכותבים מיומנים","רמה ג'","רמה ב'")))</f>
        <v/>
      </c>
      <c r="AD904" s="32">
        <f>IF($AC904="","",MID(IF(AND($AC904="רמה א'",$AA904="ניכרת"),"; להוסיף עבודת אוצר מילים","")&amp;IF($Z904="אינה מפותחת","; דגש על הבעה בכתב","")&amp;IF($K904&lt;&gt;"תקין","; נדרש לעבוד על ההנגנה","")&amp;IF($AK904&lt;&gt;"","; "&amp;$AK904,""),3,400))</f>
        <v/>
      </c>
      <c r="AE904" s="32">
        <f>IF($F904="","",IF($F904="תחילת שנה",1,IF($F904="מחצית שנה",2,3)))</f>
        <v/>
      </c>
      <c r="AF904" s="32">
        <f>IF(OR($B904="",$AC904="",$A904="",$F904=""),"",$B904&amp;"|"&amp;$A904&amp;"|"&amp;$F904&amp;"|"&amp;$AC904&amp;"|"&amp;COUNTIFS($B$6:$B904,$B904,$A$6:$A904,$A904,$F$6:$F904,$F904,$AC$6:$AC904,$AC904))</f>
        <v/>
      </c>
      <c r="AG904" s="32">
        <f>IF($C904="","",$C904&amp;"|"&amp;COUNTIFS($C$6:$C904,$C904))</f>
        <v/>
      </c>
      <c r="AH904" s="32">
        <f>IF(OR($C904="",$A904="",$AE904=""),"",$C904&amp;"|"&amp;$A904&amp;"|"&amp;$AE904)</f>
        <v/>
      </c>
      <c r="AI904" s="32">
        <f>IF(OR($C904="",$AE904="",$AE904=1),"",IFERROR(INDEX($AC$6:$AC$1505,MATCH($C904&amp;"|"&amp;$A904&amp;"|"&amp;($AE904-1),$AH$6:$AH$1505,0)),""))</f>
        <v/>
      </c>
      <c r="AJ904" s="32">
        <f>IF(OR($AI904="",$AC904=""),"",IF($AI904=$AC904,"ללא שינוי","מ-"&amp;$AI904&amp;" ל-"&amp;$AC904))</f>
        <v/>
      </c>
      <c r="AK904" s="67" t="n"/>
    </row>
    <row r="905" ht="15.75" customHeight="1" s="58">
      <c r="A905" s="65" t="n"/>
      <c r="B905" s="65" t="n"/>
      <c r="C905" s="66" t="n"/>
      <c r="D905" s="66" t="n"/>
      <c r="E905" s="65" t="n"/>
      <c r="F905" s="65" t="n"/>
      <c r="G905" s="65" t="n"/>
      <c r="H905" s="65" t="n"/>
      <c r="I905" s="65" t="n"/>
      <c r="J905" s="65" t="n"/>
      <c r="K905" s="65" t="n"/>
      <c r="L905" s="65" t="n"/>
      <c r="M905" s="65" t="n"/>
      <c r="N905" s="65" t="n"/>
      <c r="O905" s="65" t="n"/>
      <c r="P905" s="65" t="n"/>
      <c r="Q905" s="65" t="n"/>
      <c r="R905" s="65" t="n"/>
      <c r="S905" s="65" t="n"/>
      <c r="T905" s="65" t="n"/>
      <c r="U905" s="65" t="n"/>
      <c r="V905" s="65" t="n"/>
      <c r="W905" s="65" t="n"/>
      <c r="X905" s="65" t="n"/>
      <c r="Y905" s="32">
        <f>IF($C905="","",IF(COUNTA($I905:$K905)&lt;3,"— חסרים נתונים",IF(AND($I905="תקין",$J905="תקין",$K905="תקין"),"רהוטה",IF(AND($I905="תקין",$J905="תקין"),"מדויקת ורציפה","אינה מדויקת או מקוטעת"))))</f>
        <v/>
      </c>
      <c r="Z905" s="32">
        <f>IF($C905="","",IF(COUNTA($U905:$W905)&lt;3,"",IF(AND($U905="מפותח",$V905="מפותח",$W905="מפותחת"),"מפותחת",IF((--($U905="דל"))+(--($V905="אינו מפותח"))+(--($W905="דלה"))&gt;=2,"אינה מפותחת","חלקית"))))</f>
        <v/>
      </c>
      <c r="AA905" s="32">
        <f>IF($C905="","",IF(COUNTA($M905,$N905,$O905)&lt;3,"— חסרים נתונים",IF(OR($M905="נמוכה",(--($M905&lt;&gt;"תקינה"))+(--($N905&lt;&gt;"תקין"))+(--($O905&lt;&gt;"תקינה"))&gt;=2),"ניכרת","אינה ניכרת")))</f>
        <v/>
      </c>
      <c r="AB905" s="32">
        <f>IF(OR($C905="",$Y905="",$AA905="",LEFT($Y905,1)="—",LEFT($AA905,1)="—"),"",IF($Z905="","— נדרשת הערכת כתיבה",IF($L905="","— חסרה הבנת הנקרא",IF($Y905="אינה מדויקת או מקוטעת",IF($AA905="ניכרת","מיקוד בשטף הקריאה ובכישורי שפה","מיקוד בשטף קריאה"),IF($AA905="ניכרת","מיקוד בכישורי שפה",IF(AND($L905="תקינה",$Z905="מפותחת"),"קוראים וכותבים מיומנים","מיקוד בהבנה והבעה"))))))</f>
        <v/>
      </c>
      <c r="AC905" s="32">
        <f>IF(OR($AB905="",LEFT($AB905,1)="—"),"",IF(OR($AB905="מיקוד בשטף קריאה",$AB905="מיקוד בשטף הקריאה ובכישורי שפה"),"רמה א'",IF($AB905="קוראים וכותבים מיומנים","רמה ג'","רמה ב'")))</f>
        <v/>
      </c>
      <c r="AD905" s="32">
        <f>IF($AC905="","",MID(IF(AND($AC905="רמה א'",$AA905="ניכרת"),"; להוסיף עבודת אוצר מילים","")&amp;IF($Z905="אינה מפותחת","; דגש על הבעה בכתב","")&amp;IF($K905&lt;&gt;"תקין","; נדרש לעבוד על ההנגנה","")&amp;IF($AK905&lt;&gt;"","; "&amp;$AK905,""),3,400))</f>
        <v/>
      </c>
      <c r="AE905" s="32">
        <f>IF($F905="","",IF($F905="תחילת שנה",1,IF($F905="מחצית שנה",2,3)))</f>
        <v/>
      </c>
      <c r="AF905" s="32">
        <f>IF(OR($B905="",$AC905="",$A905="",$F905=""),"",$B905&amp;"|"&amp;$A905&amp;"|"&amp;$F905&amp;"|"&amp;$AC905&amp;"|"&amp;COUNTIFS($B$6:$B905,$B905,$A$6:$A905,$A905,$F$6:$F905,$F905,$AC$6:$AC905,$AC905))</f>
        <v/>
      </c>
      <c r="AG905" s="32">
        <f>IF($C905="","",$C905&amp;"|"&amp;COUNTIFS($C$6:$C905,$C905))</f>
        <v/>
      </c>
      <c r="AH905" s="32">
        <f>IF(OR($C905="",$A905="",$AE905=""),"",$C905&amp;"|"&amp;$A905&amp;"|"&amp;$AE905)</f>
        <v/>
      </c>
      <c r="AI905" s="32">
        <f>IF(OR($C905="",$AE905="",$AE905=1),"",IFERROR(INDEX($AC$6:$AC$1505,MATCH($C905&amp;"|"&amp;$A905&amp;"|"&amp;($AE905-1),$AH$6:$AH$1505,0)),""))</f>
        <v/>
      </c>
      <c r="AJ905" s="32">
        <f>IF(OR($AI905="",$AC905=""),"",IF($AI905=$AC905,"ללא שינוי","מ-"&amp;$AI905&amp;" ל-"&amp;$AC905))</f>
        <v/>
      </c>
      <c r="AK905" s="67" t="n"/>
    </row>
    <row r="906" ht="15.75" customHeight="1" s="58">
      <c r="A906" s="65" t="n"/>
      <c r="B906" s="65" t="n"/>
      <c r="C906" s="66" t="n"/>
      <c r="D906" s="66" t="n"/>
      <c r="E906" s="65" t="n"/>
      <c r="F906" s="65" t="n"/>
      <c r="G906" s="65" t="n"/>
      <c r="H906" s="65" t="n"/>
      <c r="I906" s="65" t="n"/>
      <c r="J906" s="65" t="n"/>
      <c r="K906" s="65" t="n"/>
      <c r="L906" s="65" t="n"/>
      <c r="M906" s="65" t="n"/>
      <c r="N906" s="65" t="n"/>
      <c r="O906" s="65" t="n"/>
      <c r="P906" s="65" t="n"/>
      <c r="Q906" s="65" t="n"/>
      <c r="R906" s="65" t="n"/>
      <c r="S906" s="65" t="n"/>
      <c r="T906" s="65" t="n"/>
      <c r="U906" s="65" t="n"/>
      <c r="V906" s="65" t="n"/>
      <c r="W906" s="65" t="n"/>
      <c r="X906" s="65" t="n"/>
      <c r="Y906" s="32">
        <f>IF($C906="","",IF(COUNTA($I906:$K906)&lt;3,"— חסרים נתונים",IF(AND($I906="תקין",$J906="תקין",$K906="תקין"),"רהוטה",IF(AND($I906="תקין",$J906="תקין"),"מדויקת ורציפה","אינה מדויקת או מקוטעת"))))</f>
        <v/>
      </c>
      <c r="Z906" s="32">
        <f>IF($C906="","",IF(COUNTA($U906:$W906)&lt;3,"",IF(AND($U906="מפותח",$V906="מפותח",$W906="מפותחת"),"מפותחת",IF((--($U906="דל"))+(--($V906="אינו מפותח"))+(--($W906="דלה"))&gt;=2,"אינה מפותחת","חלקית"))))</f>
        <v/>
      </c>
      <c r="AA906" s="32">
        <f>IF($C906="","",IF(COUNTA($M906,$N906,$O906)&lt;3,"— חסרים נתונים",IF(OR($M906="נמוכה",(--($M906&lt;&gt;"תקינה"))+(--($N906&lt;&gt;"תקין"))+(--($O906&lt;&gt;"תקינה"))&gt;=2),"ניכרת","אינה ניכרת")))</f>
        <v/>
      </c>
      <c r="AB906" s="32">
        <f>IF(OR($C906="",$Y906="",$AA906="",LEFT($Y906,1)="—",LEFT($AA906,1)="—"),"",IF($Z906="","— נדרשת הערכת כתיבה",IF($L906="","— חסרה הבנת הנקרא",IF($Y906="אינה מדויקת או מקוטעת",IF($AA906="ניכרת","מיקוד בשטף הקריאה ובכישורי שפה","מיקוד בשטף קריאה"),IF($AA906="ניכרת","מיקוד בכישורי שפה",IF(AND($L906="תקינה",$Z906="מפותחת"),"קוראים וכותבים מיומנים","מיקוד בהבנה והבעה"))))))</f>
        <v/>
      </c>
      <c r="AC906" s="32">
        <f>IF(OR($AB906="",LEFT($AB906,1)="—"),"",IF(OR($AB906="מיקוד בשטף קריאה",$AB906="מיקוד בשטף הקריאה ובכישורי שפה"),"רמה א'",IF($AB906="קוראים וכותבים מיומנים","רמה ג'","רמה ב'")))</f>
        <v/>
      </c>
      <c r="AD906" s="32">
        <f>IF($AC906="","",MID(IF(AND($AC906="רמה א'",$AA906="ניכרת"),"; להוסיף עבודת אוצר מילים","")&amp;IF($Z906="אינה מפותחת","; דגש על הבעה בכתב","")&amp;IF($K906&lt;&gt;"תקין","; נדרש לעבוד על ההנגנה","")&amp;IF($AK906&lt;&gt;"","; "&amp;$AK906,""),3,400))</f>
        <v/>
      </c>
      <c r="AE906" s="32">
        <f>IF($F906="","",IF($F906="תחילת שנה",1,IF($F906="מחצית שנה",2,3)))</f>
        <v/>
      </c>
      <c r="AF906" s="32">
        <f>IF(OR($B906="",$AC906="",$A906="",$F906=""),"",$B906&amp;"|"&amp;$A906&amp;"|"&amp;$F906&amp;"|"&amp;$AC906&amp;"|"&amp;COUNTIFS($B$6:$B906,$B906,$A$6:$A906,$A906,$F$6:$F906,$F906,$AC$6:$AC906,$AC906))</f>
        <v/>
      </c>
      <c r="AG906" s="32">
        <f>IF($C906="","",$C906&amp;"|"&amp;COUNTIFS($C$6:$C906,$C906))</f>
        <v/>
      </c>
      <c r="AH906" s="32">
        <f>IF(OR($C906="",$A906="",$AE906=""),"",$C906&amp;"|"&amp;$A906&amp;"|"&amp;$AE906)</f>
        <v/>
      </c>
      <c r="AI906" s="32">
        <f>IF(OR($C906="",$AE906="",$AE906=1),"",IFERROR(INDEX($AC$6:$AC$1505,MATCH($C906&amp;"|"&amp;$A906&amp;"|"&amp;($AE906-1),$AH$6:$AH$1505,0)),""))</f>
        <v/>
      </c>
      <c r="AJ906" s="32">
        <f>IF(OR($AI906="",$AC906=""),"",IF($AI906=$AC906,"ללא שינוי","מ-"&amp;$AI906&amp;" ל-"&amp;$AC906))</f>
        <v/>
      </c>
      <c r="AK906" s="67" t="n"/>
    </row>
    <row r="907" ht="15.75" customHeight="1" s="58">
      <c r="A907" s="65" t="n"/>
      <c r="B907" s="65" t="n"/>
      <c r="C907" s="66" t="n"/>
      <c r="D907" s="66" t="n"/>
      <c r="E907" s="65" t="n"/>
      <c r="F907" s="65" t="n"/>
      <c r="G907" s="65" t="n"/>
      <c r="H907" s="65" t="n"/>
      <c r="I907" s="65" t="n"/>
      <c r="J907" s="65" t="n"/>
      <c r="K907" s="65" t="n"/>
      <c r="L907" s="65" t="n"/>
      <c r="M907" s="65" t="n"/>
      <c r="N907" s="65" t="n"/>
      <c r="O907" s="65" t="n"/>
      <c r="P907" s="65" t="n"/>
      <c r="Q907" s="65" t="n"/>
      <c r="R907" s="65" t="n"/>
      <c r="S907" s="65" t="n"/>
      <c r="T907" s="65" t="n"/>
      <c r="U907" s="65" t="n"/>
      <c r="V907" s="65" t="n"/>
      <c r="W907" s="65" t="n"/>
      <c r="X907" s="65" t="n"/>
      <c r="Y907" s="32">
        <f>IF($C907="","",IF(COUNTA($I907:$K907)&lt;3,"— חסרים נתונים",IF(AND($I907="תקין",$J907="תקין",$K907="תקין"),"רהוטה",IF(AND($I907="תקין",$J907="תקין"),"מדויקת ורציפה","אינה מדויקת או מקוטעת"))))</f>
        <v/>
      </c>
      <c r="Z907" s="32">
        <f>IF($C907="","",IF(COUNTA($U907:$W907)&lt;3,"",IF(AND($U907="מפותח",$V907="מפותח",$W907="מפותחת"),"מפותחת",IF((--($U907="דל"))+(--($V907="אינו מפותח"))+(--($W907="דלה"))&gt;=2,"אינה מפותחת","חלקית"))))</f>
        <v/>
      </c>
      <c r="AA907" s="32">
        <f>IF($C907="","",IF(COUNTA($M907,$N907,$O907)&lt;3,"— חסרים נתונים",IF(OR($M907="נמוכה",(--($M907&lt;&gt;"תקינה"))+(--($N907&lt;&gt;"תקין"))+(--($O907&lt;&gt;"תקינה"))&gt;=2),"ניכרת","אינה ניכרת")))</f>
        <v/>
      </c>
      <c r="AB907" s="32">
        <f>IF(OR($C907="",$Y907="",$AA907="",LEFT($Y907,1)="—",LEFT($AA907,1)="—"),"",IF($Z907="","— נדרשת הערכת כתיבה",IF($L907="","— חסרה הבנת הנקרא",IF($Y907="אינה מדויקת או מקוטעת",IF($AA907="ניכרת","מיקוד בשטף הקריאה ובכישורי שפה","מיקוד בשטף קריאה"),IF($AA907="ניכרת","מיקוד בכישורי שפה",IF(AND($L907="תקינה",$Z907="מפותחת"),"קוראים וכותבים מיומנים","מיקוד בהבנה והבעה"))))))</f>
        <v/>
      </c>
      <c r="AC907" s="32">
        <f>IF(OR($AB907="",LEFT($AB907,1)="—"),"",IF(OR($AB907="מיקוד בשטף קריאה",$AB907="מיקוד בשטף הקריאה ובכישורי שפה"),"רמה א'",IF($AB907="קוראים וכותבים מיומנים","רמה ג'","רמה ב'")))</f>
        <v/>
      </c>
      <c r="AD907" s="32">
        <f>IF($AC907="","",MID(IF(AND($AC907="רמה א'",$AA907="ניכרת"),"; להוסיף עבודת אוצר מילים","")&amp;IF($Z907="אינה מפותחת","; דגש על הבעה בכתב","")&amp;IF($K907&lt;&gt;"תקין","; נדרש לעבוד על ההנגנה","")&amp;IF($AK907&lt;&gt;"","; "&amp;$AK907,""),3,400))</f>
        <v/>
      </c>
      <c r="AE907" s="32">
        <f>IF($F907="","",IF($F907="תחילת שנה",1,IF($F907="מחצית שנה",2,3)))</f>
        <v/>
      </c>
      <c r="AF907" s="32">
        <f>IF(OR($B907="",$AC907="",$A907="",$F907=""),"",$B907&amp;"|"&amp;$A907&amp;"|"&amp;$F907&amp;"|"&amp;$AC907&amp;"|"&amp;COUNTIFS($B$6:$B907,$B907,$A$6:$A907,$A907,$F$6:$F907,$F907,$AC$6:$AC907,$AC907))</f>
        <v/>
      </c>
      <c r="AG907" s="32">
        <f>IF($C907="","",$C907&amp;"|"&amp;COUNTIFS($C$6:$C907,$C907))</f>
        <v/>
      </c>
      <c r="AH907" s="32">
        <f>IF(OR($C907="",$A907="",$AE907=""),"",$C907&amp;"|"&amp;$A907&amp;"|"&amp;$AE907)</f>
        <v/>
      </c>
      <c r="AI907" s="32">
        <f>IF(OR($C907="",$AE907="",$AE907=1),"",IFERROR(INDEX($AC$6:$AC$1505,MATCH($C907&amp;"|"&amp;$A907&amp;"|"&amp;($AE907-1),$AH$6:$AH$1505,0)),""))</f>
        <v/>
      </c>
      <c r="AJ907" s="32">
        <f>IF(OR($AI907="",$AC907=""),"",IF($AI907=$AC907,"ללא שינוי","מ-"&amp;$AI907&amp;" ל-"&amp;$AC907))</f>
        <v/>
      </c>
      <c r="AK907" s="67" t="n"/>
    </row>
    <row r="908" ht="15.75" customHeight="1" s="58">
      <c r="A908" s="65" t="n"/>
      <c r="B908" s="65" t="n"/>
      <c r="C908" s="66" t="n"/>
      <c r="D908" s="66" t="n"/>
      <c r="E908" s="65" t="n"/>
      <c r="F908" s="65" t="n"/>
      <c r="G908" s="65" t="n"/>
      <c r="H908" s="65" t="n"/>
      <c r="I908" s="65" t="n"/>
      <c r="J908" s="65" t="n"/>
      <c r="K908" s="65" t="n"/>
      <c r="L908" s="65" t="n"/>
      <c r="M908" s="65" t="n"/>
      <c r="N908" s="65" t="n"/>
      <c r="O908" s="65" t="n"/>
      <c r="P908" s="65" t="n"/>
      <c r="Q908" s="65" t="n"/>
      <c r="R908" s="65" t="n"/>
      <c r="S908" s="65" t="n"/>
      <c r="T908" s="65" t="n"/>
      <c r="U908" s="65" t="n"/>
      <c r="V908" s="65" t="n"/>
      <c r="W908" s="65" t="n"/>
      <c r="X908" s="65" t="n"/>
      <c r="Y908" s="32">
        <f>IF($C908="","",IF(COUNTA($I908:$K908)&lt;3,"— חסרים נתונים",IF(AND($I908="תקין",$J908="תקין",$K908="תקין"),"רהוטה",IF(AND($I908="תקין",$J908="תקין"),"מדויקת ורציפה","אינה מדויקת או מקוטעת"))))</f>
        <v/>
      </c>
      <c r="Z908" s="32">
        <f>IF($C908="","",IF(COUNTA($U908:$W908)&lt;3,"",IF(AND($U908="מפותח",$V908="מפותח",$W908="מפותחת"),"מפותחת",IF((--($U908="דל"))+(--($V908="אינו מפותח"))+(--($W908="דלה"))&gt;=2,"אינה מפותחת","חלקית"))))</f>
        <v/>
      </c>
      <c r="AA908" s="32">
        <f>IF($C908="","",IF(COUNTA($M908,$N908,$O908)&lt;3,"— חסרים נתונים",IF(OR($M908="נמוכה",(--($M908&lt;&gt;"תקינה"))+(--($N908&lt;&gt;"תקין"))+(--($O908&lt;&gt;"תקינה"))&gt;=2),"ניכרת","אינה ניכרת")))</f>
        <v/>
      </c>
      <c r="AB908" s="32">
        <f>IF(OR($C908="",$Y908="",$AA908="",LEFT($Y908,1)="—",LEFT($AA908,1)="—"),"",IF($Z908="","— נדרשת הערכת כתיבה",IF($L908="","— חסרה הבנת הנקרא",IF($Y908="אינה מדויקת או מקוטעת",IF($AA908="ניכרת","מיקוד בשטף הקריאה ובכישורי שפה","מיקוד בשטף קריאה"),IF($AA908="ניכרת","מיקוד בכישורי שפה",IF(AND($L908="תקינה",$Z908="מפותחת"),"קוראים וכותבים מיומנים","מיקוד בהבנה והבעה"))))))</f>
        <v/>
      </c>
      <c r="AC908" s="32">
        <f>IF(OR($AB908="",LEFT($AB908,1)="—"),"",IF(OR($AB908="מיקוד בשטף קריאה",$AB908="מיקוד בשטף הקריאה ובכישורי שפה"),"רמה א'",IF($AB908="קוראים וכותבים מיומנים","רמה ג'","רמה ב'")))</f>
        <v/>
      </c>
      <c r="AD908" s="32">
        <f>IF($AC908="","",MID(IF(AND($AC908="רמה א'",$AA908="ניכרת"),"; להוסיף עבודת אוצר מילים","")&amp;IF($Z908="אינה מפותחת","; דגש על הבעה בכתב","")&amp;IF($K908&lt;&gt;"תקין","; נדרש לעבוד על ההנגנה","")&amp;IF($AK908&lt;&gt;"","; "&amp;$AK908,""),3,400))</f>
        <v/>
      </c>
      <c r="AE908" s="32">
        <f>IF($F908="","",IF($F908="תחילת שנה",1,IF($F908="מחצית שנה",2,3)))</f>
        <v/>
      </c>
      <c r="AF908" s="32">
        <f>IF(OR($B908="",$AC908="",$A908="",$F908=""),"",$B908&amp;"|"&amp;$A908&amp;"|"&amp;$F908&amp;"|"&amp;$AC908&amp;"|"&amp;COUNTIFS($B$6:$B908,$B908,$A$6:$A908,$A908,$F$6:$F908,$F908,$AC$6:$AC908,$AC908))</f>
        <v/>
      </c>
      <c r="AG908" s="32">
        <f>IF($C908="","",$C908&amp;"|"&amp;COUNTIFS($C$6:$C908,$C908))</f>
        <v/>
      </c>
      <c r="AH908" s="32">
        <f>IF(OR($C908="",$A908="",$AE908=""),"",$C908&amp;"|"&amp;$A908&amp;"|"&amp;$AE908)</f>
        <v/>
      </c>
      <c r="AI908" s="32">
        <f>IF(OR($C908="",$AE908="",$AE908=1),"",IFERROR(INDEX($AC$6:$AC$1505,MATCH($C908&amp;"|"&amp;$A908&amp;"|"&amp;($AE908-1),$AH$6:$AH$1505,0)),""))</f>
        <v/>
      </c>
      <c r="AJ908" s="32">
        <f>IF(OR($AI908="",$AC908=""),"",IF($AI908=$AC908,"ללא שינוי","מ-"&amp;$AI908&amp;" ל-"&amp;$AC908))</f>
        <v/>
      </c>
      <c r="AK908" s="67" t="n"/>
    </row>
    <row r="909" ht="15.75" customHeight="1" s="58">
      <c r="A909" s="65" t="n"/>
      <c r="B909" s="65" t="n"/>
      <c r="C909" s="66" t="n"/>
      <c r="D909" s="66" t="n"/>
      <c r="E909" s="65" t="n"/>
      <c r="F909" s="65" t="n"/>
      <c r="G909" s="65" t="n"/>
      <c r="H909" s="65" t="n"/>
      <c r="I909" s="65" t="n"/>
      <c r="J909" s="65" t="n"/>
      <c r="K909" s="65" t="n"/>
      <c r="L909" s="65" t="n"/>
      <c r="M909" s="65" t="n"/>
      <c r="N909" s="65" t="n"/>
      <c r="O909" s="65" t="n"/>
      <c r="P909" s="65" t="n"/>
      <c r="Q909" s="65" t="n"/>
      <c r="R909" s="65" t="n"/>
      <c r="S909" s="65" t="n"/>
      <c r="T909" s="65" t="n"/>
      <c r="U909" s="65" t="n"/>
      <c r="V909" s="65" t="n"/>
      <c r="W909" s="65" t="n"/>
      <c r="X909" s="65" t="n"/>
      <c r="Y909" s="32">
        <f>IF($C909="","",IF(COUNTA($I909:$K909)&lt;3,"— חסרים נתונים",IF(AND($I909="תקין",$J909="תקין",$K909="תקין"),"רהוטה",IF(AND($I909="תקין",$J909="תקין"),"מדויקת ורציפה","אינה מדויקת או מקוטעת"))))</f>
        <v/>
      </c>
      <c r="Z909" s="32">
        <f>IF($C909="","",IF(COUNTA($U909:$W909)&lt;3,"",IF(AND($U909="מפותח",$V909="מפותח",$W909="מפותחת"),"מפותחת",IF((--($U909="דל"))+(--($V909="אינו מפותח"))+(--($W909="דלה"))&gt;=2,"אינה מפותחת","חלקית"))))</f>
        <v/>
      </c>
      <c r="AA909" s="32">
        <f>IF($C909="","",IF(COUNTA($M909,$N909,$O909)&lt;3,"— חסרים נתונים",IF(OR($M909="נמוכה",(--($M909&lt;&gt;"תקינה"))+(--($N909&lt;&gt;"תקין"))+(--($O909&lt;&gt;"תקינה"))&gt;=2),"ניכרת","אינה ניכרת")))</f>
        <v/>
      </c>
      <c r="AB909" s="32">
        <f>IF(OR($C909="",$Y909="",$AA909="",LEFT($Y909,1)="—",LEFT($AA909,1)="—"),"",IF($Z909="","— נדרשת הערכת כתיבה",IF($L909="","— חסרה הבנת הנקרא",IF($Y909="אינה מדויקת או מקוטעת",IF($AA909="ניכרת","מיקוד בשטף הקריאה ובכישורי שפה","מיקוד בשטף קריאה"),IF($AA909="ניכרת","מיקוד בכישורי שפה",IF(AND($L909="תקינה",$Z909="מפותחת"),"קוראים וכותבים מיומנים","מיקוד בהבנה והבעה"))))))</f>
        <v/>
      </c>
      <c r="AC909" s="32">
        <f>IF(OR($AB909="",LEFT($AB909,1)="—"),"",IF(OR($AB909="מיקוד בשטף קריאה",$AB909="מיקוד בשטף הקריאה ובכישורי שפה"),"רמה א'",IF($AB909="קוראים וכותבים מיומנים","רמה ג'","רמה ב'")))</f>
        <v/>
      </c>
      <c r="AD909" s="32">
        <f>IF($AC909="","",MID(IF(AND($AC909="רמה א'",$AA909="ניכרת"),"; להוסיף עבודת אוצר מילים","")&amp;IF($Z909="אינה מפותחת","; דגש על הבעה בכתב","")&amp;IF($K909&lt;&gt;"תקין","; נדרש לעבוד על ההנגנה","")&amp;IF($AK909&lt;&gt;"","; "&amp;$AK909,""),3,400))</f>
        <v/>
      </c>
      <c r="AE909" s="32">
        <f>IF($F909="","",IF($F909="תחילת שנה",1,IF($F909="מחצית שנה",2,3)))</f>
        <v/>
      </c>
      <c r="AF909" s="32">
        <f>IF(OR($B909="",$AC909="",$A909="",$F909=""),"",$B909&amp;"|"&amp;$A909&amp;"|"&amp;$F909&amp;"|"&amp;$AC909&amp;"|"&amp;COUNTIFS($B$6:$B909,$B909,$A$6:$A909,$A909,$F$6:$F909,$F909,$AC$6:$AC909,$AC909))</f>
        <v/>
      </c>
      <c r="AG909" s="32">
        <f>IF($C909="","",$C909&amp;"|"&amp;COUNTIFS($C$6:$C909,$C909))</f>
        <v/>
      </c>
      <c r="AH909" s="32">
        <f>IF(OR($C909="",$A909="",$AE909=""),"",$C909&amp;"|"&amp;$A909&amp;"|"&amp;$AE909)</f>
        <v/>
      </c>
      <c r="AI909" s="32">
        <f>IF(OR($C909="",$AE909="",$AE909=1),"",IFERROR(INDEX($AC$6:$AC$1505,MATCH($C909&amp;"|"&amp;$A909&amp;"|"&amp;($AE909-1),$AH$6:$AH$1505,0)),""))</f>
        <v/>
      </c>
      <c r="AJ909" s="32">
        <f>IF(OR($AI909="",$AC909=""),"",IF($AI909=$AC909,"ללא שינוי","מ-"&amp;$AI909&amp;" ל-"&amp;$AC909))</f>
        <v/>
      </c>
      <c r="AK909" s="67" t="n"/>
    </row>
    <row r="910" ht="15.75" customHeight="1" s="58">
      <c r="A910" s="65" t="n"/>
      <c r="B910" s="65" t="n"/>
      <c r="C910" s="66" t="n"/>
      <c r="D910" s="66" t="n"/>
      <c r="E910" s="65" t="n"/>
      <c r="F910" s="65" t="n"/>
      <c r="G910" s="65" t="n"/>
      <c r="H910" s="65" t="n"/>
      <c r="I910" s="65" t="n"/>
      <c r="J910" s="65" t="n"/>
      <c r="K910" s="65" t="n"/>
      <c r="L910" s="65" t="n"/>
      <c r="M910" s="65" t="n"/>
      <c r="N910" s="65" t="n"/>
      <c r="O910" s="65" t="n"/>
      <c r="P910" s="65" t="n"/>
      <c r="Q910" s="65" t="n"/>
      <c r="R910" s="65" t="n"/>
      <c r="S910" s="65" t="n"/>
      <c r="T910" s="65" t="n"/>
      <c r="U910" s="65" t="n"/>
      <c r="V910" s="65" t="n"/>
      <c r="W910" s="65" t="n"/>
      <c r="X910" s="65" t="n"/>
      <c r="Y910" s="32">
        <f>IF($C910="","",IF(COUNTA($I910:$K910)&lt;3,"— חסרים נתונים",IF(AND($I910="תקין",$J910="תקין",$K910="תקין"),"רהוטה",IF(AND($I910="תקין",$J910="תקין"),"מדויקת ורציפה","אינה מדויקת או מקוטעת"))))</f>
        <v/>
      </c>
      <c r="Z910" s="32">
        <f>IF($C910="","",IF(COUNTA($U910:$W910)&lt;3,"",IF(AND($U910="מפותח",$V910="מפותח",$W910="מפותחת"),"מפותחת",IF((--($U910="דל"))+(--($V910="אינו מפותח"))+(--($W910="דלה"))&gt;=2,"אינה מפותחת","חלקית"))))</f>
        <v/>
      </c>
      <c r="AA910" s="32">
        <f>IF($C910="","",IF(COUNTA($M910,$N910,$O910)&lt;3,"— חסרים נתונים",IF(OR($M910="נמוכה",(--($M910&lt;&gt;"תקינה"))+(--($N910&lt;&gt;"תקין"))+(--($O910&lt;&gt;"תקינה"))&gt;=2),"ניכרת","אינה ניכרת")))</f>
        <v/>
      </c>
      <c r="AB910" s="32">
        <f>IF(OR($C910="",$Y910="",$AA910="",LEFT($Y910,1)="—",LEFT($AA910,1)="—"),"",IF($Z910="","— נדרשת הערכת כתיבה",IF($L910="","— חסרה הבנת הנקרא",IF($Y910="אינה מדויקת או מקוטעת",IF($AA910="ניכרת","מיקוד בשטף הקריאה ובכישורי שפה","מיקוד בשטף קריאה"),IF($AA910="ניכרת","מיקוד בכישורי שפה",IF(AND($L910="תקינה",$Z910="מפותחת"),"קוראים וכותבים מיומנים","מיקוד בהבנה והבעה"))))))</f>
        <v/>
      </c>
      <c r="AC910" s="32">
        <f>IF(OR($AB910="",LEFT($AB910,1)="—"),"",IF(OR($AB910="מיקוד בשטף קריאה",$AB910="מיקוד בשטף הקריאה ובכישורי שפה"),"רמה א'",IF($AB910="קוראים וכותבים מיומנים","רמה ג'","רמה ב'")))</f>
        <v/>
      </c>
      <c r="AD910" s="32">
        <f>IF($AC910="","",MID(IF(AND($AC910="רמה א'",$AA910="ניכרת"),"; להוסיף עבודת אוצר מילים","")&amp;IF($Z910="אינה מפותחת","; דגש על הבעה בכתב","")&amp;IF($K910&lt;&gt;"תקין","; נדרש לעבוד על ההנגנה","")&amp;IF($AK910&lt;&gt;"","; "&amp;$AK910,""),3,400))</f>
        <v/>
      </c>
      <c r="AE910" s="32">
        <f>IF($F910="","",IF($F910="תחילת שנה",1,IF($F910="מחצית שנה",2,3)))</f>
        <v/>
      </c>
      <c r="AF910" s="32">
        <f>IF(OR($B910="",$AC910="",$A910="",$F910=""),"",$B910&amp;"|"&amp;$A910&amp;"|"&amp;$F910&amp;"|"&amp;$AC910&amp;"|"&amp;COUNTIFS($B$6:$B910,$B910,$A$6:$A910,$A910,$F$6:$F910,$F910,$AC$6:$AC910,$AC910))</f>
        <v/>
      </c>
      <c r="AG910" s="32">
        <f>IF($C910="","",$C910&amp;"|"&amp;COUNTIFS($C$6:$C910,$C910))</f>
        <v/>
      </c>
      <c r="AH910" s="32">
        <f>IF(OR($C910="",$A910="",$AE910=""),"",$C910&amp;"|"&amp;$A910&amp;"|"&amp;$AE910)</f>
        <v/>
      </c>
      <c r="AI910" s="32">
        <f>IF(OR($C910="",$AE910="",$AE910=1),"",IFERROR(INDEX($AC$6:$AC$1505,MATCH($C910&amp;"|"&amp;$A910&amp;"|"&amp;($AE910-1),$AH$6:$AH$1505,0)),""))</f>
        <v/>
      </c>
      <c r="AJ910" s="32">
        <f>IF(OR($AI910="",$AC910=""),"",IF($AI910=$AC910,"ללא שינוי","מ-"&amp;$AI910&amp;" ל-"&amp;$AC910))</f>
        <v/>
      </c>
      <c r="AK910" s="67" t="n"/>
    </row>
    <row r="911" ht="15.75" customHeight="1" s="58">
      <c r="A911" s="65" t="n"/>
      <c r="B911" s="65" t="n"/>
      <c r="C911" s="66" t="n"/>
      <c r="D911" s="66" t="n"/>
      <c r="E911" s="65" t="n"/>
      <c r="F911" s="65" t="n"/>
      <c r="G911" s="65" t="n"/>
      <c r="H911" s="65" t="n"/>
      <c r="I911" s="65" t="n"/>
      <c r="J911" s="65" t="n"/>
      <c r="K911" s="65" t="n"/>
      <c r="L911" s="65" t="n"/>
      <c r="M911" s="65" t="n"/>
      <c r="N911" s="65" t="n"/>
      <c r="O911" s="65" t="n"/>
      <c r="P911" s="65" t="n"/>
      <c r="Q911" s="65" t="n"/>
      <c r="R911" s="65" t="n"/>
      <c r="S911" s="65" t="n"/>
      <c r="T911" s="65" t="n"/>
      <c r="U911" s="65" t="n"/>
      <c r="V911" s="65" t="n"/>
      <c r="W911" s="65" t="n"/>
      <c r="X911" s="65" t="n"/>
      <c r="Y911" s="32">
        <f>IF($C911="","",IF(COUNTA($I911:$K911)&lt;3,"— חסרים נתונים",IF(AND($I911="תקין",$J911="תקין",$K911="תקין"),"רהוטה",IF(AND($I911="תקין",$J911="תקין"),"מדויקת ורציפה","אינה מדויקת או מקוטעת"))))</f>
        <v/>
      </c>
      <c r="Z911" s="32">
        <f>IF($C911="","",IF(COUNTA($U911:$W911)&lt;3,"",IF(AND($U911="מפותח",$V911="מפותח",$W911="מפותחת"),"מפותחת",IF((--($U911="דל"))+(--($V911="אינו מפותח"))+(--($W911="דלה"))&gt;=2,"אינה מפותחת","חלקית"))))</f>
        <v/>
      </c>
      <c r="AA911" s="32">
        <f>IF($C911="","",IF(COUNTA($M911,$N911,$O911)&lt;3,"— חסרים נתונים",IF(OR($M911="נמוכה",(--($M911&lt;&gt;"תקינה"))+(--($N911&lt;&gt;"תקין"))+(--($O911&lt;&gt;"תקינה"))&gt;=2),"ניכרת","אינה ניכרת")))</f>
        <v/>
      </c>
      <c r="AB911" s="32">
        <f>IF(OR($C911="",$Y911="",$AA911="",LEFT($Y911,1)="—",LEFT($AA911,1)="—"),"",IF($Z911="","— נדרשת הערכת כתיבה",IF($L911="","— חסרה הבנת הנקרא",IF($Y911="אינה מדויקת או מקוטעת",IF($AA911="ניכרת","מיקוד בשטף הקריאה ובכישורי שפה","מיקוד בשטף קריאה"),IF($AA911="ניכרת","מיקוד בכישורי שפה",IF(AND($L911="תקינה",$Z911="מפותחת"),"קוראים וכותבים מיומנים","מיקוד בהבנה והבעה"))))))</f>
        <v/>
      </c>
      <c r="AC911" s="32">
        <f>IF(OR($AB911="",LEFT($AB911,1)="—"),"",IF(OR($AB911="מיקוד בשטף קריאה",$AB911="מיקוד בשטף הקריאה ובכישורי שפה"),"רמה א'",IF($AB911="קוראים וכותבים מיומנים","רמה ג'","רמה ב'")))</f>
        <v/>
      </c>
      <c r="AD911" s="32">
        <f>IF($AC911="","",MID(IF(AND($AC911="רמה א'",$AA911="ניכרת"),"; להוסיף עבודת אוצר מילים","")&amp;IF($Z911="אינה מפותחת","; דגש על הבעה בכתב","")&amp;IF($K911&lt;&gt;"תקין","; נדרש לעבוד על ההנגנה","")&amp;IF($AK911&lt;&gt;"","; "&amp;$AK911,""),3,400))</f>
        <v/>
      </c>
      <c r="AE911" s="32">
        <f>IF($F911="","",IF($F911="תחילת שנה",1,IF($F911="מחצית שנה",2,3)))</f>
        <v/>
      </c>
      <c r="AF911" s="32">
        <f>IF(OR($B911="",$AC911="",$A911="",$F911=""),"",$B911&amp;"|"&amp;$A911&amp;"|"&amp;$F911&amp;"|"&amp;$AC911&amp;"|"&amp;COUNTIFS($B$6:$B911,$B911,$A$6:$A911,$A911,$F$6:$F911,$F911,$AC$6:$AC911,$AC911))</f>
        <v/>
      </c>
      <c r="AG911" s="32">
        <f>IF($C911="","",$C911&amp;"|"&amp;COUNTIFS($C$6:$C911,$C911))</f>
        <v/>
      </c>
      <c r="AH911" s="32">
        <f>IF(OR($C911="",$A911="",$AE911=""),"",$C911&amp;"|"&amp;$A911&amp;"|"&amp;$AE911)</f>
        <v/>
      </c>
      <c r="AI911" s="32">
        <f>IF(OR($C911="",$AE911="",$AE911=1),"",IFERROR(INDEX($AC$6:$AC$1505,MATCH($C911&amp;"|"&amp;$A911&amp;"|"&amp;($AE911-1),$AH$6:$AH$1505,0)),""))</f>
        <v/>
      </c>
      <c r="AJ911" s="32">
        <f>IF(OR($AI911="",$AC911=""),"",IF($AI911=$AC911,"ללא שינוי","מ-"&amp;$AI911&amp;" ל-"&amp;$AC911))</f>
        <v/>
      </c>
      <c r="AK911" s="67" t="n"/>
    </row>
    <row r="912" ht="15.75" customHeight="1" s="58">
      <c r="A912" s="65" t="n"/>
      <c r="B912" s="65" t="n"/>
      <c r="C912" s="66" t="n"/>
      <c r="D912" s="66" t="n"/>
      <c r="E912" s="65" t="n"/>
      <c r="F912" s="65" t="n"/>
      <c r="G912" s="65" t="n"/>
      <c r="H912" s="65" t="n"/>
      <c r="I912" s="65" t="n"/>
      <c r="J912" s="65" t="n"/>
      <c r="K912" s="65" t="n"/>
      <c r="L912" s="65" t="n"/>
      <c r="M912" s="65" t="n"/>
      <c r="N912" s="65" t="n"/>
      <c r="O912" s="65" t="n"/>
      <c r="P912" s="65" t="n"/>
      <c r="Q912" s="65" t="n"/>
      <c r="R912" s="65" t="n"/>
      <c r="S912" s="65" t="n"/>
      <c r="T912" s="65" t="n"/>
      <c r="U912" s="65" t="n"/>
      <c r="V912" s="65" t="n"/>
      <c r="W912" s="65" t="n"/>
      <c r="X912" s="65" t="n"/>
      <c r="Y912" s="32">
        <f>IF($C912="","",IF(COUNTA($I912:$K912)&lt;3,"— חסרים נתונים",IF(AND($I912="תקין",$J912="תקין",$K912="תקין"),"רהוטה",IF(AND($I912="תקין",$J912="תקין"),"מדויקת ורציפה","אינה מדויקת או מקוטעת"))))</f>
        <v/>
      </c>
      <c r="Z912" s="32">
        <f>IF($C912="","",IF(COUNTA($U912:$W912)&lt;3,"",IF(AND($U912="מפותח",$V912="מפותח",$W912="מפותחת"),"מפותחת",IF((--($U912="דל"))+(--($V912="אינו מפותח"))+(--($W912="דלה"))&gt;=2,"אינה מפותחת","חלקית"))))</f>
        <v/>
      </c>
      <c r="AA912" s="32">
        <f>IF($C912="","",IF(COUNTA($M912,$N912,$O912)&lt;3,"— חסרים נתונים",IF(OR($M912="נמוכה",(--($M912&lt;&gt;"תקינה"))+(--($N912&lt;&gt;"תקין"))+(--($O912&lt;&gt;"תקינה"))&gt;=2),"ניכרת","אינה ניכרת")))</f>
        <v/>
      </c>
      <c r="AB912" s="32">
        <f>IF(OR($C912="",$Y912="",$AA912="",LEFT($Y912,1)="—",LEFT($AA912,1)="—"),"",IF($Z912="","— נדרשת הערכת כתיבה",IF($L912="","— חסרה הבנת הנקרא",IF($Y912="אינה מדויקת או מקוטעת",IF($AA912="ניכרת","מיקוד בשטף הקריאה ובכישורי שפה","מיקוד בשטף קריאה"),IF($AA912="ניכרת","מיקוד בכישורי שפה",IF(AND($L912="תקינה",$Z912="מפותחת"),"קוראים וכותבים מיומנים","מיקוד בהבנה והבעה"))))))</f>
        <v/>
      </c>
      <c r="AC912" s="32">
        <f>IF(OR($AB912="",LEFT($AB912,1)="—"),"",IF(OR($AB912="מיקוד בשטף קריאה",$AB912="מיקוד בשטף הקריאה ובכישורי שפה"),"רמה א'",IF($AB912="קוראים וכותבים מיומנים","רמה ג'","רמה ב'")))</f>
        <v/>
      </c>
      <c r="AD912" s="32">
        <f>IF($AC912="","",MID(IF(AND($AC912="רמה א'",$AA912="ניכרת"),"; להוסיף עבודת אוצר מילים","")&amp;IF($Z912="אינה מפותחת","; דגש על הבעה בכתב","")&amp;IF($K912&lt;&gt;"תקין","; נדרש לעבוד על ההנגנה","")&amp;IF($AK912&lt;&gt;"","; "&amp;$AK912,""),3,400))</f>
        <v/>
      </c>
      <c r="AE912" s="32">
        <f>IF($F912="","",IF($F912="תחילת שנה",1,IF($F912="מחצית שנה",2,3)))</f>
        <v/>
      </c>
      <c r="AF912" s="32">
        <f>IF(OR($B912="",$AC912="",$A912="",$F912=""),"",$B912&amp;"|"&amp;$A912&amp;"|"&amp;$F912&amp;"|"&amp;$AC912&amp;"|"&amp;COUNTIFS($B$6:$B912,$B912,$A$6:$A912,$A912,$F$6:$F912,$F912,$AC$6:$AC912,$AC912))</f>
        <v/>
      </c>
      <c r="AG912" s="32">
        <f>IF($C912="","",$C912&amp;"|"&amp;COUNTIFS($C$6:$C912,$C912))</f>
        <v/>
      </c>
      <c r="AH912" s="32">
        <f>IF(OR($C912="",$A912="",$AE912=""),"",$C912&amp;"|"&amp;$A912&amp;"|"&amp;$AE912)</f>
        <v/>
      </c>
      <c r="AI912" s="32">
        <f>IF(OR($C912="",$AE912="",$AE912=1),"",IFERROR(INDEX($AC$6:$AC$1505,MATCH($C912&amp;"|"&amp;$A912&amp;"|"&amp;($AE912-1),$AH$6:$AH$1505,0)),""))</f>
        <v/>
      </c>
      <c r="AJ912" s="32">
        <f>IF(OR($AI912="",$AC912=""),"",IF($AI912=$AC912,"ללא שינוי","מ-"&amp;$AI912&amp;" ל-"&amp;$AC912))</f>
        <v/>
      </c>
      <c r="AK912" s="67" t="n"/>
    </row>
    <row r="913" ht="15.75" customHeight="1" s="58">
      <c r="A913" s="65" t="n"/>
      <c r="B913" s="65" t="n"/>
      <c r="C913" s="66" t="n"/>
      <c r="D913" s="66" t="n"/>
      <c r="E913" s="65" t="n"/>
      <c r="F913" s="65" t="n"/>
      <c r="G913" s="65" t="n"/>
      <c r="H913" s="65" t="n"/>
      <c r="I913" s="65" t="n"/>
      <c r="J913" s="65" t="n"/>
      <c r="K913" s="65" t="n"/>
      <c r="L913" s="65" t="n"/>
      <c r="M913" s="65" t="n"/>
      <c r="N913" s="65" t="n"/>
      <c r="O913" s="65" t="n"/>
      <c r="P913" s="65" t="n"/>
      <c r="Q913" s="65" t="n"/>
      <c r="R913" s="65" t="n"/>
      <c r="S913" s="65" t="n"/>
      <c r="T913" s="65" t="n"/>
      <c r="U913" s="65" t="n"/>
      <c r="V913" s="65" t="n"/>
      <c r="W913" s="65" t="n"/>
      <c r="X913" s="65" t="n"/>
      <c r="Y913" s="32">
        <f>IF($C913="","",IF(COUNTA($I913:$K913)&lt;3,"— חסרים נתונים",IF(AND($I913="תקין",$J913="תקין",$K913="תקין"),"רהוטה",IF(AND($I913="תקין",$J913="תקין"),"מדויקת ורציפה","אינה מדויקת או מקוטעת"))))</f>
        <v/>
      </c>
      <c r="Z913" s="32">
        <f>IF($C913="","",IF(COUNTA($U913:$W913)&lt;3,"",IF(AND($U913="מפותח",$V913="מפותח",$W913="מפותחת"),"מפותחת",IF((--($U913="דל"))+(--($V913="אינו מפותח"))+(--($W913="דלה"))&gt;=2,"אינה מפותחת","חלקית"))))</f>
        <v/>
      </c>
      <c r="AA913" s="32">
        <f>IF($C913="","",IF(COUNTA($M913,$N913,$O913)&lt;3,"— חסרים נתונים",IF(OR($M913="נמוכה",(--($M913&lt;&gt;"תקינה"))+(--($N913&lt;&gt;"תקין"))+(--($O913&lt;&gt;"תקינה"))&gt;=2),"ניכרת","אינה ניכרת")))</f>
        <v/>
      </c>
      <c r="AB913" s="32">
        <f>IF(OR($C913="",$Y913="",$AA913="",LEFT($Y913,1)="—",LEFT($AA913,1)="—"),"",IF($Z913="","— נדרשת הערכת כתיבה",IF($L913="","— חסרה הבנת הנקרא",IF($Y913="אינה מדויקת או מקוטעת",IF($AA913="ניכרת","מיקוד בשטף הקריאה ובכישורי שפה","מיקוד בשטף קריאה"),IF($AA913="ניכרת","מיקוד בכישורי שפה",IF(AND($L913="תקינה",$Z913="מפותחת"),"קוראים וכותבים מיומנים","מיקוד בהבנה והבעה"))))))</f>
        <v/>
      </c>
      <c r="AC913" s="32">
        <f>IF(OR($AB913="",LEFT($AB913,1)="—"),"",IF(OR($AB913="מיקוד בשטף קריאה",$AB913="מיקוד בשטף הקריאה ובכישורי שפה"),"רמה א'",IF($AB913="קוראים וכותבים מיומנים","רמה ג'","רמה ב'")))</f>
        <v/>
      </c>
      <c r="AD913" s="32">
        <f>IF($AC913="","",MID(IF(AND($AC913="רמה א'",$AA913="ניכרת"),"; להוסיף עבודת אוצר מילים","")&amp;IF($Z913="אינה מפותחת","; דגש על הבעה בכתב","")&amp;IF($K913&lt;&gt;"תקין","; נדרש לעבוד על ההנגנה","")&amp;IF($AK913&lt;&gt;"","; "&amp;$AK913,""),3,400))</f>
        <v/>
      </c>
      <c r="AE913" s="32">
        <f>IF($F913="","",IF($F913="תחילת שנה",1,IF($F913="מחצית שנה",2,3)))</f>
        <v/>
      </c>
      <c r="AF913" s="32">
        <f>IF(OR($B913="",$AC913="",$A913="",$F913=""),"",$B913&amp;"|"&amp;$A913&amp;"|"&amp;$F913&amp;"|"&amp;$AC913&amp;"|"&amp;COUNTIFS($B$6:$B913,$B913,$A$6:$A913,$A913,$F$6:$F913,$F913,$AC$6:$AC913,$AC913))</f>
        <v/>
      </c>
      <c r="AG913" s="32">
        <f>IF($C913="","",$C913&amp;"|"&amp;COUNTIFS($C$6:$C913,$C913))</f>
        <v/>
      </c>
      <c r="AH913" s="32">
        <f>IF(OR($C913="",$A913="",$AE913=""),"",$C913&amp;"|"&amp;$A913&amp;"|"&amp;$AE913)</f>
        <v/>
      </c>
      <c r="AI913" s="32">
        <f>IF(OR($C913="",$AE913="",$AE913=1),"",IFERROR(INDEX($AC$6:$AC$1505,MATCH($C913&amp;"|"&amp;$A913&amp;"|"&amp;($AE913-1),$AH$6:$AH$1505,0)),""))</f>
        <v/>
      </c>
      <c r="AJ913" s="32">
        <f>IF(OR($AI913="",$AC913=""),"",IF($AI913=$AC913,"ללא שינוי","מ-"&amp;$AI913&amp;" ל-"&amp;$AC913))</f>
        <v/>
      </c>
      <c r="AK913" s="67" t="n"/>
    </row>
    <row r="914" ht="15.75" customHeight="1" s="58">
      <c r="A914" s="65" t="n"/>
      <c r="B914" s="65" t="n"/>
      <c r="C914" s="66" t="n"/>
      <c r="D914" s="66" t="n"/>
      <c r="E914" s="65" t="n"/>
      <c r="F914" s="65" t="n"/>
      <c r="G914" s="65" t="n"/>
      <c r="H914" s="65" t="n"/>
      <c r="I914" s="65" t="n"/>
      <c r="J914" s="65" t="n"/>
      <c r="K914" s="65" t="n"/>
      <c r="L914" s="65" t="n"/>
      <c r="M914" s="65" t="n"/>
      <c r="N914" s="65" t="n"/>
      <c r="O914" s="65" t="n"/>
      <c r="P914" s="65" t="n"/>
      <c r="Q914" s="65" t="n"/>
      <c r="R914" s="65" t="n"/>
      <c r="S914" s="65" t="n"/>
      <c r="T914" s="65" t="n"/>
      <c r="U914" s="65" t="n"/>
      <c r="V914" s="65" t="n"/>
      <c r="W914" s="65" t="n"/>
      <c r="X914" s="65" t="n"/>
      <c r="Y914" s="32">
        <f>IF($C914="","",IF(COUNTA($I914:$K914)&lt;3,"— חסרים נתונים",IF(AND($I914="תקין",$J914="תקין",$K914="תקין"),"רהוטה",IF(AND($I914="תקין",$J914="תקין"),"מדויקת ורציפה","אינה מדויקת או מקוטעת"))))</f>
        <v/>
      </c>
      <c r="Z914" s="32">
        <f>IF($C914="","",IF(COUNTA($U914:$W914)&lt;3,"",IF(AND($U914="מפותח",$V914="מפותח",$W914="מפותחת"),"מפותחת",IF((--($U914="דל"))+(--($V914="אינו מפותח"))+(--($W914="דלה"))&gt;=2,"אינה מפותחת","חלקית"))))</f>
        <v/>
      </c>
      <c r="AA914" s="32">
        <f>IF($C914="","",IF(COUNTA($M914,$N914,$O914)&lt;3,"— חסרים נתונים",IF(OR($M914="נמוכה",(--($M914&lt;&gt;"תקינה"))+(--($N914&lt;&gt;"תקין"))+(--($O914&lt;&gt;"תקינה"))&gt;=2),"ניכרת","אינה ניכרת")))</f>
        <v/>
      </c>
      <c r="AB914" s="32">
        <f>IF(OR($C914="",$Y914="",$AA914="",LEFT($Y914,1)="—",LEFT($AA914,1)="—"),"",IF($Z914="","— נדרשת הערכת כתיבה",IF($L914="","— חסרה הבנת הנקרא",IF($Y914="אינה מדויקת או מקוטעת",IF($AA914="ניכרת","מיקוד בשטף הקריאה ובכישורי שפה","מיקוד בשטף קריאה"),IF($AA914="ניכרת","מיקוד בכישורי שפה",IF(AND($L914="תקינה",$Z914="מפותחת"),"קוראים וכותבים מיומנים","מיקוד בהבנה והבעה"))))))</f>
        <v/>
      </c>
      <c r="AC914" s="32">
        <f>IF(OR($AB914="",LEFT($AB914,1)="—"),"",IF(OR($AB914="מיקוד בשטף קריאה",$AB914="מיקוד בשטף הקריאה ובכישורי שפה"),"רמה א'",IF($AB914="קוראים וכותבים מיומנים","רמה ג'","רמה ב'")))</f>
        <v/>
      </c>
      <c r="AD914" s="32">
        <f>IF($AC914="","",MID(IF(AND($AC914="רמה א'",$AA914="ניכרת"),"; להוסיף עבודת אוצר מילים","")&amp;IF($Z914="אינה מפותחת","; דגש על הבעה בכתב","")&amp;IF($K914&lt;&gt;"תקין","; נדרש לעבוד על ההנגנה","")&amp;IF($AK914&lt;&gt;"","; "&amp;$AK914,""),3,400))</f>
        <v/>
      </c>
      <c r="AE914" s="32">
        <f>IF($F914="","",IF($F914="תחילת שנה",1,IF($F914="מחצית שנה",2,3)))</f>
        <v/>
      </c>
      <c r="AF914" s="32">
        <f>IF(OR($B914="",$AC914="",$A914="",$F914=""),"",$B914&amp;"|"&amp;$A914&amp;"|"&amp;$F914&amp;"|"&amp;$AC914&amp;"|"&amp;COUNTIFS($B$6:$B914,$B914,$A$6:$A914,$A914,$F$6:$F914,$F914,$AC$6:$AC914,$AC914))</f>
        <v/>
      </c>
      <c r="AG914" s="32">
        <f>IF($C914="","",$C914&amp;"|"&amp;COUNTIFS($C$6:$C914,$C914))</f>
        <v/>
      </c>
      <c r="AH914" s="32">
        <f>IF(OR($C914="",$A914="",$AE914=""),"",$C914&amp;"|"&amp;$A914&amp;"|"&amp;$AE914)</f>
        <v/>
      </c>
      <c r="AI914" s="32">
        <f>IF(OR($C914="",$AE914="",$AE914=1),"",IFERROR(INDEX($AC$6:$AC$1505,MATCH($C914&amp;"|"&amp;$A914&amp;"|"&amp;($AE914-1),$AH$6:$AH$1505,0)),""))</f>
        <v/>
      </c>
      <c r="AJ914" s="32">
        <f>IF(OR($AI914="",$AC914=""),"",IF($AI914=$AC914,"ללא שינוי","מ-"&amp;$AI914&amp;" ל-"&amp;$AC914))</f>
        <v/>
      </c>
      <c r="AK914" s="67" t="n"/>
    </row>
    <row r="915" ht="15.75" customHeight="1" s="58">
      <c r="A915" s="65" t="n"/>
      <c r="B915" s="65" t="n"/>
      <c r="C915" s="66" t="n"/>
      <c r="D915" s="66" t="n"/>
      <c r="E915" s="65" t="n"/>
      <c r="F915" s="65" t="n"/>
      <c r="G915" s="65" t="n"/>
      <c r="H915" s="65" t="n"/>
      <c r="I915" s="65" t="n"/>
      <c r="J915" s="65" t="n"/>
      <c r="K915" s="65" t="n"/>
      <c r="L915" s="65" t="n"/>
      <c r="M915" s="65" t="n"/>
      <c r="N915" s="65" t="n"/>
      <c r="O915" s="65" t="n"/>
      <c r="P915" s="65" t="n"/>
      <c r="Q915" s="65" t="n"/>
      <c r="R915" s="65" t="n"/>
      <c r="S915" s="65" t="n"/>
      <c r="T915" s="65" t="n"/>
      <c r="U915" s="65" t="n"/>
      <c r="V915" s="65" t="n"/>
      <c r="W915" s="65" t="n"/>
      <c r="X915" s="65" t="n"/>
      <c r="Y915" s="32">
        <f>IF($C915="","",IF(COUNTA($I915:$K915)&lt;3,"— חסרים נתונים",IF(AND($I915="תקין",$J915="תקין",$K915="תקין"),"רהוטה",IF(AND($I915="תקין",$J915="תקין"),"מדויקת ורציפה","אינה מדויקת או מקוטעת"))))</f>
        <v/>
      </c>
      <c r="Z915" s="32">
        <f>IF($C915="","",IF(COUNTA($U915:$W915)&lt;3,"",IF(AND($U915="מפותח",$V915="מפותח",$W915="מפותחת"),"מפותחת",IF((--($U915="דל"))+(--($V915="אינו מפותח"))+(--($W915="דלה"))&gt;=2,"אינה מפותחת","חלקית"))))</f>
        <v/>
      </c>
      <c r="AA915" s="32">
        <f>IF($C915="","",IF(COUNTA($M915,$N915,$O915)&lt;3,"— חסרים נתונים",IF(OR($M915="נמוכה",(--($M915&lt;&gt;"תקינה"))+(--($N915&lt;&gt;"תקין"))+(--($O915&lt;&gt;"תקינה"))&gt;=2),"ניכרת","אינה ניכרת")))</f>
        <v/>
      </c>
      <c r="AB915" s="32">
        <f>IF(OR($C915="",$Y915="",$AA915="",LEFT($Y915,1)="—",LEFT($AA915,1)="—"),"",IF($Z915="","— נדרשת הערכת כתיבה",IF($L915="","— חסרה הבנת הנקרא",IF($Y915="אינה מדויקת או מקוטעת",IF($AA915="ניכרת","מיקוד בשטף הקריאה ובכישורי שפה","מיקוד בשטף קריאה"),IF($AA915="ניכרת","מיקוד בכישורי שפה",IF(AND($L915="תקינה",$Z915="מפותחת"),"קוראים וכותבים מיומנים","מיקוד בהבנה והבעה"))))))</f>
        <v/>
      </c>
      <c r="AC915" s="32">
        <f>IF(OR($AB915="",LEFT($AB915,1)="—"),"",IF(OR($AB915="מיקוד בשטף קריאה",$AB915="מיקוד בשטף הקריאה ובכישורי שפה"),"רמה א'",IF($AB915="קוראים וכותבים מיומנים","רמה ג'","רמה ב'")))</f>
        <v/>
      </c>
      <c r="AD915" s="32">
        <f>IF($AC915="","",MID(IF(AND($AC915="רמה א'",$AA915="ניכרת"),"; להוסיף עבודת אוצר מילים","")&amp;IF($Z915="אינה מפותחת","; דגש על הבעה בכתב","")&amp;IF($K915&lt;&gt;"תקין","; נדרש לעבוד על ההנגנה","")&amp;IF($AK915&lt;&gt;"","; "&amp;$AK915,""),3,400))</f>
        <v/>
      </c>
      <c r="AE915" s="32">
        <f>IF($F915="","",IF($F915="תחילת שנה",1,IF($F915="מחצית שנה",2,3)))</f>
        <v/>
      </c>
      <c r="AF915" s="32">
        <f>IF(OR($B915="",$AC915="",$A915="",$F915=""),"",$B915&amp;"|"&amp;$A915&amp;"|"&amp;$F915&amp;"|"&amp;$AC915&amp;"|"&amp;COUNTIFS($B$6:$B915,$B915,$A$6:$A915,$A915,$F$6:$F915,$F915,$AC$6:$AC915,$AC915))</f>
        <v/>
      </c>
      <c r="AG915" s="32">
        <f>IF($C915="","",$C915&amp;"|"&amp;COUNTIFS($C$6:$C915,$C915))</f>
        <v/>
      </c>
      <c r="AH915" s="32">
        <f>IF(OR($C915="",$A915="",$AE915=""),"",$C915&amp;"|"&amp;$A915&amp;"|"&amp;$AE915)</f>
        <v/>
      </c>
      <c r="AI915" s="32">
        <f>IF(OR($C915="",$AE915="",$AE915=1),"",IFERROR(INDEX($AC$6:$AC$1505,MATCH($C915&amp;"|"&amp;$A915&amp;"|"&amp;($AE915-1),$AH$6:$AH$1505,0)),""))</f>
        <v/>
      </c>
      <c r="AJ915" s="32">
        <f>IF(OR($AI915="",$AC915=""),"",IF($AI915=$AC915,"ללא שינוי","מ-"&amp;$AI915&amp;" ל-"&amp;$AC915))</f>
        <v/>
      </c>
      <c r="AK915" s="67" t="n"/>
    </row>
    <row r="916" ht="15.75" customHeight="1" s="58">
      <c r="A916" s="65" t="n"/>
      <c r="B916" s="65" t="n"/>
      <c r="C916" s="66" t="n"/>
      <c r="D916" s="66" t="n"/>
      <c r="E916" s="65" t="n"/>
      <c r="F916" s="65" t="n"/>
      <c r="G916" s="65" t="n"/>
      <c r="H916" s="65" t="n"/>
      <c r="I916" s="65" t="n"/>
      <c r="J916" s="65" t="n"/>
      <c r="K916" s="65" t="n"/>
      <c r="L916" s="65" t="n"/>
      <c r="M916" s="65" t="n"/>
      <c r="N916" s="65" t="n"/>
      <c r="O916" s="65" t="n"/>
      <c r="P916" s="65" t="n"/>
      <c r="Q916" s="65" t="n"/>
      <c r="R916" s="65" t="n"/>
      <c r="S916" s="65" t="n"/>
      <c r="T916" s="65" t="n"/>
      <c r="U916" s="65" t="n"/>
      <c r="V916" s="65" t="n"/>
      <c r="W916" s="65" t="n"/>
      <c r="X916" s="65" t="n"/>
      <c r="Y916" s="32">
        <f>IF($C916="","",IF(COUNTA($I916:$K916)&lt;3,"— חסרים נתונים",IF(AND($I916="תקין",$J916="תקין",$K916="תקין"),"רהוטה",IF(AND($I916="תקין",$J916="תקין"),"מדויקת ורציפה","אינה מדויקת או מקוטעת"))))</f>
        <v/>
      </c>
      <c r="Z916" s="32">
        <f>IF($C916="","",IF(COUNTA($U916:$W916)&lt;3,"",IF(AND($U916="מפותח",$V916="מפותח",$W916="מפותחת"),"מפותחת",IF((--($U916="דל"))+(--($V916="אינו מפותח"))+(--($W916="דלה"))&gt;=2,"אינה מפותחת","חלקית"))))</f>
        <v/>
      </c>
      <c r="AA916" s="32">
        <f>IF($C916="","",IF(COUNTA($M916,$N916,$O916)&lt;3,"— חסרים נתונים",IF(OR($M916="נמוכה",(--($M916&lt;&gt;"תקינה"))+(--($N916&lt;&gt;"תקין"))+(--($O916&lt;&gt;"תקינה"))&gt;=2),"ניכרת","אינה ניכרת")))</f>
        <v/>
      </c>
      <c r="AB916" s="32">
        <f>IF(OR($C916="",$Y916="",$AA916="",LEFT($Y916,1)="—",LEFT($AA916,1)="—"),"",IF($Z916="","— נדרשת הערכת כתיבה",IF($L916="","— חסרה הבנת הנקרא",IF($Y916="אינה מדויקת או מקוטעת",IF($AA916="ניכרת","מיקוד בשטף הקריאה ובכישורי שפה","מיקוד בשטף קריאה"),IF($AA916="ניכרת","מיקוד בכישורי שפה",IF(AND($L916="תקינה",$Z916="מפותחת"),"קוראים וכותבים מיומנים","מיקוד בהבנה והבעה"))))))</f>
        <v/>
      </c>
      <c r="AC916" s="32">
        <f>IF(OR($AB916="",LEFT($AB916,1)="—"),"",IF(OR($AB916="מיקוד בשטף קריאה",$AB916="מיקוד בשטף הקריאה ובכישורי שפה"),"רמה א'",IF($AB916="קוראים וכותבים מיומנים","רמה ג'","רמה ב'")))</f>
        <v/>
      </c>
      <c r="AD916" s="32">
        <f>IF($AC916="","",MID(IF(AND($AC916="רמה א'",$AA916="ניכרת"),"; להוסיף עבודת אוצר מילים","")&amp;IF($Z916="אינה מפותחת","; דגש על הבעה בכתב","")&amp;IF($K916&lt;&gt;"תקין","; נדרש לעבוד על ההנגנה","")&amp;IF($AK916&lt;&gt;"","; "&amp;$AK916,""),3,400))</f>
        <v/>
      </c>
      <c r="AE916" s="32">
        <f>IF($F916="","",IF($F916="תחילת שנה",1,IF($F916="מחצית שנה",2,3)))</f>
        <v/>
      </c>
      <c r="AF916" s="32">
        <f>IF(OR($B916="",$AC916="",$A916="",$F916=""),"",$B916&amp;"|"&amp;$A916&amp;"|"&amp;$F916&amp;"|"&amp;$AC916&amp;"|"&amp;COUNTIFS($B$6:$B916,$B916,$A$6:$A916,$A916,$F$6:$F916,$F916,$AC$6:$AC916,$AC916))</f>
        <v/>
      </c>
      <c r="AG916" s="32">
        <f>IF($C916="","",$C916&amp;"|"&amp;COUNTIFS($C$6:$C916,$C916))</f>
        <v/>
      </c>
      <c r="AH916" s="32">
        <f>IF(OR($C916="",$A916="",$AE916=""),"",$C916&amp;"|"&amp;$A916&amp;"|"&amp;$AE916)</f>
        <v/>
      </c>
      <c r="AI916" s="32">
        <f>IF(OR($C916="",$AE916="",$AE916=1),"",IFERROR(INDEX($AC$6:$AC$1505,MATCH($C916&amp;"|"&amp;$A916&amp;"|"&amp;($AE916-1),$AH$6:$AH$1505,0)),""))</f>
        <v/>
      </c>
      <c r="AJ916" s="32">
        <f>IF(OR($AI916="",$AC916=""),"",IF($AI916=$AC916,"ללא שינוי","מ-"&amp;$AI916&amp;" ל-"&amp;$AC916))</f>
        <v/>
      </c>
      <c r="AK916" s="67" t="n"/>
    </row>
    <row r="917" ht="15.75" customHeight="1" s="58">
      <c r="A917" s="65" t="n"/>
      <c r="B917" s="65" t="n"/>
      <c r="C917" s="66" t="n"/>
      <c r="D917" s="66" t="n"/>
      <c r="E917" s="65" t="n"/>
      <c r="F917" s="65" t="n"/>
      <c r="G917" s="65" t="n"/>
      <c r="H917" s="65" t="n"/>
      <c r="I917" s="65" t="n"/>
      <c r="J917" s="65" t="n"/>
      <c r="K917" s="65" t="n"/>
      <c r="L917" s="65" t="n"/>
      <c r="M917" s="65" t="n"/>
      <c r="N917" s="65" t="n"/>
      <c r="O917" s="65" t="n"/>
      <c r="P917" s="65" t="n"/>
      <c r="Q917" s="65" t="n"/>
      <c r="R917" s="65" t="n"/>
      <c r="S917" s="65" t="n"/>
      <c r="T917" s="65" t="n"/>
      <c r="U917" s="65" t="n"/>
      <c r="V917" s="65" t="n"/>
      <c r="W917" s="65" t="n"/>
      <c r="X917" s="65" t="n"/>
      <c r="Y917" s="32">
        <f>IF($C917="","",IF(COUNTA($I917:$K917)&lt;3,"— חסרים נתונים",IF(AND($I917="תקין",$J917="תקין",$K917="תקין"),"רהוטה",IF(AND($I917="תקין",$J917="תקין"),"מדויקת ורציפה","אינה מדויקת או מקוטעת"))))</f>
        <v/>
      </c>
      <c r="Z917" s="32">
        <f>IF($C917="","",IF(COUNTA($U917:$W917)&lt;3,"",IF(AND($U917="מפותח",$V917="מפותח",$W917="מפותחת"),"מפותחת",IF((--($U917="דל"))+(--($V917="אינו מפותח"))+(--($W917="דלה"))&gt;=2,"אינה מפותחת","חלקית"))))</f>
        <v/>
      </c>
      <c r="AA917" s="32">
        <f>IF($C917="","",IF(COUNTA($M917,$N917,$O917)&lt;3,"— חסרים נתונים",IF(OR($M917="נמוכה",(--($M917&lt;&gt;"תקינה"))+(--($N917&lt;&gt;"תקין"))+(--($O917&lt;&gt;"תקינה"))&gt;=2),"ניכרת","אינה ניכרת")))</f>
        <v/>
      </c>
      <c r="AB917" s="32">
        <f>IF(OR($C917="",$Y917="",$AA917="",LEFT($Y917,1)="—",LEFT($AA917,1)="—"),"",IF($Z917="","— נדרשת הערכת כתיבה",IF($L917="","— חסרה הבנת הנקרא",IF($Y917="אינה מדויקת או מקוטעת",IF($AA917="ניכרת","מיקוד בשטף הקריאה ובכישורי שפה","מיקוד בשטף קריאה"),IF($AA917="ניכרת","מיקוד בכישורי שפה",IF(AND($L917="תקינה",$Z917="מפותחת"),"קוראים וכותבים מיומנים","מיקוד בהבנה והבעה"))))))</f>
        <v/>
      </c>
      <c r="AC917" s="32">
        <f>IF(OR($AB917="",LEFT($AB917,1)="—"),"",IF(OR($AB917="מיקוד בשטף קריאה",$AB917="מיקוד בשטף הקריאה ובכישורי שפה"),"רמה א'",IF($AB917="קוראים וכותבים מיומנים","רמה ג'","רמה ב'")))</f>
        <v/>
      </c>
      <c r="AD917" s="32">
        <f>IF($AC917="","",MID(IF(AND($AC917="רמה א'",$AA917="ניכרת"),"; להוסיף עבודת אוצר מילים","")&amp;IF($Z917="אינה מפותחת","; דגש על הבעה בכתב","")&amp;IF($K917&lt;&gt;"תקין","; נדרש לעבוד על ההנגנה","")&amp;IF($AK917&lt;&gt;"","; "&amp;$AK917,""),3,400))</f>
        <v/>
      </c>
      <c r="AE917" s="32">
        <f>IF($F917="","",IF($F917="תחילת שנה",1,IF($F917="מחצית שנה",2,3)))</f>
        <v/>
      </c>
      <c r="AF917" s="32">
        <f>IF(OR($B917="",$AC917="",$A917="",$F917=""),"",$B917&amp;"|"&amp;$A917&amp;"|"&amp;$F917&amp;"|"&amp;$AC917&amp;"|"&amp;COUNTIFS($B$6:$B917,$B917,$A$6:$A917,$A917,$F$6:$F917,$F917,$AC$6:$AC917,$AC917))</f>
        <v/>
      </c>
      <c r="AG917" s="32">
        <f>IF($C917="","",$C917&amp;"|"&amp;COUNTIFS($C$6:$C917,$C917))</f>
        <v/>
      </c>
      <c r="AH917" s="32">
        <f>IF(OR($C917="",$A917="",$AE917=""),"",$C917&amp;"|"&amp;$A917&amp;"|"&amp;$AE917)</f>
        <v/>
      </c>
      <c r="AI917" s="32">
        <f>IF(OR($C917="",$AE917="",$AE917=1),"",IFERROR(INDEX($AC$6:$AC$1505,MATCH($C917&amp;"|"&amp;$A917&amp;"|"&amp;($AE917-1),$AH$6:$AH$1505,0)),""))</f>
        <v/>
      </c>
      <c r="AJ917" s="32">
        <f>IF(OR($AI917="",$AC917=""),"",IF($AI917=$AC917,"ללא שינוי","מ-"&amp;$AI917&amp;" ל-"&amp;$AC917))</f>
        <v/>
      </c>
      <c r="AK917" s="67" t="n"/>
    </row>
    <row r="918" ht="15.75" customHeight="1" s="58">
      <c r="A918" s="65" t="n"/>
      <c r="B918" s="65" t="n"/>
      <c r="C918" s="66" t="n"/>
      <c r="D918" s="66" t="n"/>
      <c r="E918" s="65" t="n"/>
      <c r="F918" s="65" t="n"/>
      <c r="G918" s="65" t="n"/>
      <c r="H918" s="65" t="n"/>
      <c r="I918" s="65" t="n"/>
      <c r="J918" s="65" t="n"/>
      <c r="K918" s="65" t="n"/>
      <c r="L918" s="65" t="n"/>
      <c r="M918" s="65" t="n"/>
      <c r="N918" s="65" t="n"/>
      <c r="O918" s="65" t="n"/>
      <c r="P918" s="65" t="n"/>
      <c r="Q918" s="65" t="n"/>
      <c r="R918" s="65" t="n"/>
      <c r="S918" s="65" t="n"/>
      <c r="T918" s="65" t="n"/>
      <c r="U918" s="65" t="n"/>
      <c r="V918" s="65" t="n"/>
      <c r="W918" s="65" t="n"/>
      <c r="X918" s="65" t="n"/>
      <c r="Y918" s="32">
        <f>IF($C918="","",IF(COUNTA($I918:$K918)&lt;3,"— חסרים נתונים",IF(AND($I918="תקין",$J918="תקין",$K918="תקין"),"רהוטה",IF(AND($I918="תקין",$J918="תקין"),"מדויקת ורציפה","אינה מדויקת או מקוטעת"))))</f>
        <v/>
      </c>
      <c r="Z918" s="32">
        <f>IF($C918="","",IF(COUNTA($U918:$W918)&lt;3,"",IF(AND($U918="מפותח",$V918="מפותח",$W918="מפותחת"),"מפותחת",IF((--($U918="דל"))+(--($V918="אינו מפותח"))+(--($W918="דלה"))&gt;=2,"אינה מפותחת","חלקית"))))</f>
        <v/>
      </c>
      <c r="AA918" s="32">
        <f>IF($C918="","",IF(COUNTA($M918,$N918,$O918)&lt;3,"— חסרים נתונים",IF(OR($M918="נמוכה",(--($M918&lt;&gt;"תקינה"))+(--($N918&lt;&gt;"תקין"))+(--($O918&lt;&gt;"תקינה"))&gt;=2),"ניכרת","אינה ניכרת")))</f>
        <v/>
      </c>
      <c r="AB918" s="32">
        <f>IF(OR($C918="",$Y918="",$AA918="",LEFT($Y918,1)="—",LEFT($AA918,1)="—"),"",IF($Z918="","— נדרשת הערכת כתיבה",IF($L918="","— חסרה הבנת הנקרא",IF($Y918="אינה מדויקת או מקוטעת",IF($AA918="ניכרת","מיקוד בשטף הקריאה ובכישורי שפה","מיקוד בשטף קריאה"),IF($AA918="ניכרת","מיקוד בכישורי שפה",IF(AND($L918="תקינה",$Z918="מפותחת"),"קוראים וכותבים מיומנים","מיקוד בהבנה והבעה"))))))</f>
        <v/>
      </c>
      <c r="AC918" s="32">
        <f>IF(OR($AB918="",LEFT($AB918,1)="—"),"",IF(OR($AB918="מיקוד בשטף קריאה",$AB918="מיקוד בשטף הקריאה ובכישורי שפה"),"רמה א'",IF($AB918="קוראים וכותבים מיומנים","רמה ג'","רמה ב'")))</f>
        <v/>
      </c>
      <c r="AD918" s="32">
        <f>IF($AC918="","",MID(IF(AND($AC918="רמה א'",$AA918="ניכרת"),"; להוסיף עבודת אוצר מילים","")&amp;IF($Z918="אינה מפותחת","; דגש על הבעה בכתב","")&amp;IF($K918&lt;&gt;"תקין","; נדרש לעבוד על ההנגנה","")&amp;IF($AK918&lt;&gt;"","; "&amp;$AK918,""),3,400))</f>
        <v/>
      </c>
      <c r="AE918" s="32">
        <f>IF($F918="","",IF($F918="תחילת שנה",1,IF($F918="מחצית שנה",2,3)))</f>
        <v/>
      </c>
      <c r="AF918" s="32">
        <f>IF(OR($B918="",$AC918="",$A918="",$F918=""),"",$B918&amp;"|"&amp;$A918&amp;"|"&amp;$F918&amp;"|"&amp;$AC918&amp;"|"&amp;COUNTIFS($B$6:$B918,$B918,$A$6:$A918,$A918,$F$6:$F918,$F918,$AC$6:$AC918,$AC918))</f>
        <v/>
      </c>
      <c r="AG918" s="32">
        <f>IF($C918="","",$C918&amp;"|"&amp;COUNTIFS($C$6:$C918,$C918))</f>
        <v/>
      </c>
      <c r="AH918" s="32">
        <f>IF(OR($C918="",$A918="",$AE918=""),"",$C918&amp;"|"&amp;$A918&amp;"|"&amp;$AE918)</f>
        <v/>
      </c>
      <c r="AI918" s="32">
        <f>IF(OR($C918="",$AE918="",$AE918=1),"",IFERROR(INDEX($AC$6:$AC$1505,MATCH($C918&amp;"|"&amp;$A918&amp;"|"&amp;($AE918-1),$AH$6:$AH$1505,0)),""))</f>
        <v/>
      </c>
      <c r="AJ918" s="32">
        <f>IF(OR($AI918="",$AC918=""),"",IF($AI918=$AC918,"ללא שינוי","מ-"&amp;$AI918&amp;" ל-"&amp;$AC918))</f>
        <v/>
      </c>
      <c r="AK918" s="67" t="n"/>
    </row>
    <row r="919" ht="15.75" customHeight="1" s="58">
      <c r="A919" s="65" t="n"/>
      <c r="B919" s="65" t="n"/>
      <c r="C919" s="66" t="n"/>
      <c r="D919" s="66" t="n"/>
      <c r="E919" s="65" t="n"/>
      <c r="F919" s="65" t="n"/>
      <c r="G919" s="65" t="n"/>
      <c r="H919" s="65" t="n"/>
      <c r="I919" s="65" t="n"/>
      <c r="J919" s="65" t="n"/>
      <c r="K919" s="65" t="n"/>
      <c r="L919" s="65" t="n"/>
      <c r="M919" s="65" t="n"/>
      <c r="N919" s="65" t="n"/>
      <c r="O919" s="65" t="n"/>
      <c r="P919" s="65" t="n"/>
      <c r="Q919" s="65" t="n"/>
      <c r="R919" s="65" t="n"/>
      <c r="S919" s="65" t="n"/>
      <c r="T919" s="65" t="n"/>
      <c r="U919" s="65" t="n"/>
      <c r="V919" s="65" t="n"/>
      <c r="W919" s="65" t="n"/>
      <c r="X919" s="65" t="n"/>
      <c r="Y919" s="32">
        <f>IF($C919="","",IF(COUNTA($I919:$K919)&lt;3,"— חסרים נתונים",IF(AND($I919="תקין",$J919="תקין",$K919="תקין"),"רהוטה",IF(AND($I919="תקין",$J919="תקין"),"מדויקת ורציפה","אינה מדויקת או מקוטעת"))))</f>
        <v/>
      </c>
      <c r="Z919" s="32">
        <f>IF($C919="","",IF(COUNTA($U919:$W919)&lt;3,"",IF(AND($U919="מפותח",$V919="מפותח",$W919="מפותחת"),"מפותחת",IF((--($U919="דל"))+(--($V919="אינו מפותח"))+(--($W919="דלה"))&gt;=2,"אינה מפותחת","חלקית"))))</f>
        <v/>
      </c>
      <c r="AA919" s="32">
        <f>IF($C919="","",IF(COUNTA($M919,$N919,$O919)&lt;3,"— חסרים נתונים",IF(OR($M919="נמוכה",(--($M919&lt;&gt;"תקינה"))+(--($N919&lt;&gt;"תקין"))+(--($O919&lt;&gt;"תקינה"))&gt;=2),"ניכרת","אינה ניכרת")))</f>
        <v/>
      </c>
      <c r="AB919" s="32">
        <f>IF(OR($C919="",$Y919="",$AA919="",LEFT($Y919,1)="—",LEFT($AA919,1)="—"),"",IF($Z919="","— נדרשת הערכת כתיבה",IF($L919="","— חסרה הבנת הנקרא",IF($Y919="אינה מדויקת או מקוטעת",IF($AA919="ניכרת","מיקוד בשטף הקריאה ובכישורי שפה","מיקוד בשטף קריאה"),IF($AA919="ניכרת","מיקוד בכישורי שפה",IF(AND($L919="תקינה",$Z919="מפותחת"),"קוראים וכותבים מיומנים","מיקוד בהבנה והבעה"))))))</f>
        <v/>
      </c>
      <c r="AC919" s="32">
        <f>IF(OR($AB919="",LEFT($AB919,1)="—"),"",IF(OR($AB919="מיקוד בשטף קריאה",$AB919="מיקוד בשטף הקריאה ובכישורי שפה"),"רמה א'",IF($AB919="קוראים וכותבים מיומנים","רמה ג'","רמה ב'")))</f>
        <v/>
      </c>
      <c r="AD919" s="32">
        <f>IF($AC919="","",MID(IF(AND($AC919="רמה א'",$AA919="ניכרת"),"; להוסיף עבודת אוצר מילים","")&amp;IF($Z919="אינה מפותחת","; דגש על הבעה בכתב","")&amp;IF($K919&lt;&gt;"תקין","; נדרש לעבוד על ההנגנה","")&amp;IF($AK919&lt;&gt;"","; "&amp;$AK919,""),3,400))</f>
        <v/>
      </c>
      <c r="AE919" s="32">
        <f>IF($F919="","",IF($F919="תחילת שנה",1,IF($F919="מחצית שנה",2,3)))</f>
        <v/>
      </c>
      <c r="AF919" s="32">
        <f>IF(OR($B919="",$AC919="",$A919="",$F919=""),"",$B919&amp;"|"&amp;$A919&amp;"|"&amp;$F919&amp;"|"&amp;$AC919&amp;"|"&amp;COUNTIFS($B$6:$B919,$B919,$A$6:$A919,$A919,$F$6:$F919,$F919,$AC$6:$AC919,$AC919))</f>
        <v/>
      </c>
      <c r="AG919" s="32">
        <f>IF($C919="","",$C919&amp;"|"&amp;COUNTIFS($C$6:$C919,$C919))</f>
        <v/>
      </c>
      <c r="AH919" s="32">
        <f>IF(OR($C919="",$A919="",$AE919=""),"",$C919&amp;"|"&amp;$A919&amp;"|"&amp;$AE919)</f>
        <v/>
      </c>
      <c r="AI919" s="32">
        <f>IF(OR($C919="",$AE919="",$AE919=1),"",IFERROR(INDEX($AC$6:$AC$1505,MATCH($C919&amp;"|"&amp;$A919&amp;"|"&amp;($AE919-1),$AH$6:$AH$1505,0)),""))</f>
        <v/>
      </c>
      <c r="AJ919" s="32">
        <f>IF(OR($AI919="",$AC919=""),"",IF($AI919=$AC919,"ללא שינוי","מ-"&amp;$AI919&amp;" ל-"&amp;$AC919))</f>
        <v/>
      </c>
      <c r="AK919" s="67" t="n"/>
    </row>
    <row r="920" ht="15.75" customHeight="1" s="58">
      <c r="A920" s="65" t="n"/>
      <c r="B920" s="65" t="n"/>
      <c r="C920" s="66" t="n"/>
      <c r="D920" s="66" t="n"/>
      <c r="E920" s="65" t="n"/>
      <c r="F920" s="65" t="n"/>
      <c r="G920" s="65" t="n"/>
      <c r="H920" s="65" t="n"/>
      <c r="I920" s="65" t="n"/>
      <c r="J920" s="65" t="n"/>
      <c r="K920" s="65" t="n"/>
      <c r="L920" s="65" t="n"/>
      <c r="M920" s="65" t="n"/>
      <c r="N920" s="65" t="n"/>
      <c r="O920" s="65" t="n"/>
      <c r="P920" s="65" t="n"/>
      <c r="Q920" s="65" t="n"/>
      <c r="R920" s="65" t="n"/>
      <c r="S920" s="65" t="n"/>
      <c r="T920" s="65" t="n"/>
      <c r="U920" s="65" t="n"/>
      <c r="V920" s="65" t="n"/>
      <c r="W920" s="65" t="n"/>
      <c r="X920" s="65" t="n"/>
      <c r="Y920" s="32">
        <f>IF($C920="","",IF(COUNTA($I920:$K920)&lt;3,"— חסרים נתונים",IF(AND($I920="תקין",$J920="תקין",$K920="תקין"),"רהוטה",IF(AND($I920="תקין",$J920="תקין"),"מדויקת ורציפה","אינה מדויקת או מקוטעת"))))</f>
        <v/>
      </c>
      <c r="Z920" s="32">
        <f>IF($C920="","",IF(COUNTA($U920:$W920)&lt;3,"",IF(AND($U920="מפותח",$V920="מפותח",$W920="מפותחת"),"מפותחת",IF((--($U920="דל"))+(--($V920="אינו מפותח"))+(--($W920="דלה"))&gt;=2,"אינה מפותחת","חלקית"))))</f>
        <v/>
      </c>
      <c r="AA920" s="32">
        <f>IF($C920="","",IF(COUNTA($M920,$N920,$O920)&lt;3,"— חסרים נתונים",IF(OR($M920="נמוכה",(--($M920&lt;&gt;"תקינה"))+(--($N920&lt;&gt;"תקין"))+(--($O920&lt;&gt;"תקינה"))&gt;=2),"ניכרת","אינה ניכרת")))</f>
        <v/>
      </c>
      <c r="AB920" s="32">
        <f>IF(OR($C920="",$Y920="",$AA920="",LEFT($Y920,1)="—",LEFT($AA920,1)="—"),"",IF($Z920="","— נדרשת הערכת כתיבה",IF($L920="","— חסרה הבנת הנקרא",IF($Y920="אינה מדויקת או מקוטעת",IF($AA920="ניכרת","מיקוד בשטף הקריאה ובכישורי שפה","מיקוד בשטף קריאה"),IF($AA920="ניכרת","מיקוד בכישורי שפה",IF(AND($L920="תקינה",$Z920="מפותחת"),"קוראים וכותבים מיומנים","מיקוד בהבנה והבעה"))))))</f>
        <v/>
      </c>
      <c r="AC920" s="32">
        <f>IF(OR($AB920="",LEFT($AB920,1)="—"),"",IF(OR($AB920="מיקוד בשטף קריאה",$AB920="מיקוד בשטף הקריאה ובכישורי שפה"),"רמה א'",IF($AB920="קוראים וכותבים מיומנים","רמה ג'","רמה ב'")))</f>
        <v/>
      </c>
      <c r="AD920" s="32">
        <f>IF($AC920="","",MID(IF(AND($AC920="רמה א'",$AA920="ניכרת"),"; להוסיף עבודת אוצר מילים","")&amp;IF($Z920="אינה מפותחת","; דגש על הבעה בכתב","")&amp;IF($K920&lt;&gt;"תקין","; נדרש לעבוד על ההנגנה","")&amp;IF($AK920&lt;&gt;"","; "&amp;$AK920,""),3,400))</f>
        <v/>
      </c>
      <c r="AE920" s="32">
        <f>IF($F920="","",IF($F920="תחילת שנה",1,IF($F920="מחצית שנה",2,3)))</f>
        <v/>
      </c>
      <c r="AF920" s="32">
        <f>IF(OR($B920="",$AC920="",$A920="",$F920=""),"",$B920&amp;"|"&amp;$A920&amp;"|"&amp;$F920&amp;"|"&amp;$AC920&amp;"|"&amp;COUNTIFS($B$6:$B920,$B920,$A$6:$A920,$A920,$F$6:$F920,$F920,$AC$6:$AC920,$AC920))</f>
        <v/>
      </c>
      <c r="AG920" s="32">
        <f>IF($C920="","",$C920&amp;"|"&amp;COUNTIFS($C$6:$C920,$C920))</f>
        <v/>
      </c>
      <c r="AH920" s="32">
        <f>IF(OR($C920="",$A920="",$AE920=""),"",$C920&amp;"|"&amp;$A920&amp;"|"&amp;$AE920)</f>
        <v/>
      </c>
      <c r="AI920" s="32">
        <f>IF(OR($C920="",$AE920="",$AE920=1),"",IFERROR(INDEX($AC$6:$AC$1505,MATCH($C920&amp;"|"&amp;$A920&amp;"|"&amp;($AE920-1),$AH$6:$AH$1505,0)),""))</f>
        <v/>
      </c>
      <c r="AJ920" s="32">
        <f>IF(OR($AI920="",$AC920=""),"",IF($AI920=$AC920,"ללא שינוי","מ-"&amp;$AI920&amp;" ל-"&amp;$AC920))</f>
        <v/>
      </c>
      <c r="AK920" s="67" t="n"/>
    </row>
    <row r="921" ht="15.75" customHeight="1" s="58">
      <c r="A921" s="65" t="n"/>
      <c r="B921" s="65" t="n"/>
      <c r="C921" s="66" t="n"/>
      <c r="D921" s="66" t="n"/>
      <c r="E921" s="65" t="n"/>
      <c r="F921" s="65" t="n"/>
      <c r="G921" s="65" t="n"/>
      <c r="H921" s="65" t="n"/>
      <c r="I921" s="65" t="n"/>
      <c r="J921" s="65" t="n"/>
      <c r="K921" s="65" t="n"/>
      <c r="L921" s="65" t="n"/>
      <c r="M921" s="65" t="n"/>
      <c r="N921" s="65" t="n"/>
      <c r="O921" s="65" t="n"/>
      <c r="P921" s="65" t="n"/>
      <c r="Q921" s="65" t="n"/>
      <c r="R921" s="65" t="n"/>
      <c r="S921" s="65" t="n"/>
      <c r="T921" s="65" t="n"/>
      <c r="U921" s="65" t="n"/>
      <c r="V921" s="65" t="n"/>
      <c r="W921" s="65" t="n"/>
      <c r="X921" s="65" t="n"/>
      <c r="Y921" s="32">
        <f>IF($C921="","",IF(COUNTA($I921:$K921)&lt;3,"— חסרים נתונים",IF(AND($I921="תקין",$J921="תקין",$K921="תקין"),"רהוטה",IF(AND($I921="תקין",$J921="תקין"),"מדויקת ורציפה","אינה מדויקת או מקוטעת"))))</f>
        <v/>
      </c>
      <c r="Z921" s="32">
        <f>IF($C921="","",IF(COUNTA($U921:$W921)&lt;3,"",IF(AND($U921="מפותח",$V921="מפותח",$W921="מפותחת"),"מפותחת",IF((--($U921="דל"))+(--($V921="אינו מפותח"))+(--($W921="דלה"))&gt;=2,"אינה מפותחת","חלקית"))))</f>
        <v/>
      </c>
      <c r="AA921" s="32">
        <f>IF($C921="","",IF(COUNTA($M921,$N921,$O921)&lt;3,"— חסרים נתונים",IF(OR($M921="נמוכה",(--($M921&lt;&gt;"תקינה"))+(--($N921&lt;&gt;"תקין"))+(--($O921&lt;&gt;"תקינה"))&gt;=2),"ניכרת","אינה ניכרת")))</f>
        <v/>
      </c>
      <c r="AB921" s="32">
        <f>IF(OR($C921="",$Y921="",$AA921="",LEFT($Y921,1)="—",LEFT($AA921,1)="—"),"",IF($Z921="","— נדרשת הערכת כתיבה",IF($L921="","— חסרה הבנת הנקרא",IF($Y921="אינה מדויקת או מקוטעת",IF($AA921="ניכרת","מיקוד בשטף הקריאה ובכישורי שפה","מיקוד בשטף קריאה"),IF($AA921="ניכרת","מיקוד בכישורי שפה",IF(AND($L921="תקינה",$Z921="מפותחת"),"קוראים וכותבים מיומנים","מיקוד בהבנה והבעה"))))))</f>
        <v/>
      </c>
      <c r="AC921" s="32">
        <f>IF(OR($AB921="",LEFT($AB921,1)="—"),"",IF(OR($AB921="מיקוד בשטף קריאה",$AB921="מיקוד בשטף הקריאה ובכישורי שפה"),"רמה א'",IF($AB921="קוראים וכותבים מיומנים","רמה ג'","רמה ב'")))</f>
        <v/>
      </c>
      <c r="AD921" s="32">
        <f>IF($AC921="","",MID(IF(AND($AC921="רמה א'",$AA921="ניכרת"),"; להוסיף עבודת אוצר מילים","")&amp;IF($Z921="אינה מפותחת","; דגש על הבעה בכתב","")&amp;IF($K921&lt;&gt;"תקין","; נדרש לעבוד על ההנגנה","")&amp;IF($AK921&lt;&gt;"","; "&amp;$AK921,""),3,400))</f>
        <v/>
      </c>
      <c r="AE921" s="32">
        <f>IF($F921="","",IF($F921="תחילת שנה",1,IF($F921="מחצית שנה",2,3)))</f>
        <v/>
      </c>
      <c r="AF921" s="32">
        <f>IF(OR($B921="",$AC921="",$A921="",$F921=""),"",$B921&amp;"|"&amp;$A921&amp;"|"&amp;$F921&amp;"|"&amp;$AC921&amp;"|"&amp;COUNTIFS($B$6:$B921,$B921,$A$6:$A921,$A921,$F$6:$F921,$F921,$AC$6:$AC921,$AC921))</f>
        <v/>
      </c>
      <c r="AG921" s="32">
        <f>IF($C921="","",$C921&amp;"|"&amp;COUNTIFS($C$6:$C921,$C921))</f>
        <v/>
      </c>
      <c r="AH921" s="32">
        <f>IF(OR($C921="",$A921="",$AE921=""),"",$C921&amp;"|"&amp;$A921&amp;"|"&amp;$AE921)</f>
        <v/>
      </c>
      <c r="AI921" s="32">
        <f>IF(OR($C921="",$AE921="",$AE921=1),"",IFERROR(INDEX($AC$6:$AC$1505,MATCH($C921&amp;"|"&amp;$A921&amp;"|"&amp;($AE921-1),$AH$6:$AH$1505,0)),""))</f>
        <v/>
      </c>
      <c r="AJ921" s="32">
        <f>IF(OR($AI921="",$AC921=""),"",IF($AI921=$AC921,"ללא שינוי","מ-"&amp;$AI921&amp;" ל-"&amp;$AC921))</f>
        <v/>
      </c>
      <c r="AK921" s="67" t="n"/>
    </row>
    <row r="922" ht="15.75" customHeight="1" s="58">
      <c r="A922" s="65" t="n"/>
      <c r="B922" s="65" t="n"/>
      <c r="C922" s="66" t="n"/>
      <c r="D922" s="66" t="n"/>
      <c r="E922" s="65" t="n"/>
      <c r="F922" s="65" t="n"/>
      <c r="G922" s="65" t="n"/>
      <c r="H922" s="65" t="n"/>
      <c r="I922" s="65" t="n"/>
      <c r="J922" s="65" t="n"/>
      <c r="K922" s="65" t="n"/>
      <c r="L922" s="65" t="n"/>
      <c r="M922" s="65" t="n"/>
      <c r="N922" s="65" t="n"/>
      <c r="O922" s="65" t="n"/>
      <c r="P922" s="65" t="n"/>
      <c r="Q922" s="65" t="n"/>
      <c r="R922" s="65" t="n"/>
      <c r="S922" s="65" t="n"/>
      <c r="T922" s="65" t="n"/>
      <c r="U922" s="65" t="n"/>
      <c r="V922" s="65" t="n"/>
      <c r="W922" s="65" t="n"/>
      <c r="X922" s="65" t="n"/>
      <c r="Y922" s="32">
        <f>IF($C922="","",IF(COUNTA($I922:$K922)&lt;3,"— חסרים נתונים",IF(AND($I922="תקין",$J922="תקין",$K922="תקין"),"רהוטה",IF(AND($I922="תקין",$J922="תקין"),"מדויקת ורציפה","אינה מדויקת או מקוטעת"))))</f>
        <v/>
      </c>
      <c r="Z922" s="32">
        <f>IF($C922="","",IF(COUNTA($U922:$W922)&lt;3,"",IF(AND($U922="מפותח",$V922="מפותח",$W922="מפותחת"),"מפותחת",IF((--($U922="דל"))+(--($V922="אינו מפותח"))+(--($W922="דלה"))&gt;=2,"אינה מפותחת","חלקית"))))</f>
        <v/>
      </c>
      <c r="AA922" s="32">
        <f>IF($C922="","",IF(COUNTA($M922,$N922,$O922)&lt;3,"— חסרים נתונים",IF(OR($M922="נמוכה",(--($M922&lt;&gt;"תקינה"))+(--($N922&lt;&gt;"תקין"))+(--($O922&lt;&gt;"תקינה"))&gt;=2),"ניכרת","אינה ניכרת")))</f>
        <v/>
      </c>
      <c r="AB922" s="32">
        <f>IF(OR($C922="",$Y922="",$AA922="",LEFT($Y922,1)="—",LEFT($AA922,1)="—"),"",IF($Z922="","— נדרשת הערכת כתיבה",IF($L922="","— חסרה הבנת הנקרא",IF($Y922="אינה מדויקת או מקוטעת",IF($AA922="ניכרת","מיקוד בשטף הקריאה ובכישורי שפה","מיקוד בשטף קריאה"),IF($AA922="ניכרת","מיקוד בכישורי שפה",IF(AND($L922="תקינה",$Z922="מפותחת"),"קוראים וכותבים מיומנים","מיקוד בהבנה והבעה"))))))</f>
        <v/>
      </c>
      <c r="AC922" s="32">
        <f>IF(OR($AB922="",LEFT($AB922,1)="—"),"",IF(OR($AB922="מיקוד בשטף קריאה",$AB922="מיקוד בשטף הקריאה ובכישורי שפה"),"רמה א'",IF($AB922="קוראים וכותבים מיומנים","רמה ג'","רמה ב'")))</f>
        <v/>
      </c>
      <c r="AD922" s="32">
        <f>IF($AC922="","",MID(IF(AND($AC922="רמה א'",$AA922="ניכרת"),"; להוסיף עבודת אוצר מילים","")&amp;IF($Z922="אינה מפותחת","; דגש על הבעה בכתב","")&amp;IF($K922&lt;&gt;"תקין","; נדרש לעבוד על ההנגנה","")&amp;IF($AK922&lt;&gt;"","; "&amp;$AK922,""),3,400))</f>
        <v/>
      </c>
      <c r="AE922" s="32">
        <f>IF($F922="","",IF($F922="תחילת שנה",1,IF($F922="מחצית שנה",2,3)))</f>
        <v/>
      </c>
      <c r="AF922" s="32">
        <f>IF(OR($B922="",$AC922="",$A922="",$F922=""),"",$B922&amp;"|"&amp;$A922&amp;"|"&amp;$F922&amp;"|"&amp;$AC922&amp;"|"&amp;COUNTIFS($B$6:$B922,$B922,$A$6:$A922,$A922,$F$6:$F922,$F922,$AC$6:$AC922,$AC922))</f>
        <v/>
      </c>
      <c r="AG922" s="32">
        <f>IF($C922="","",$C922&amp;"|"&amp;COUNTIFS($C$6:$C922,$C922))</f>
        <v/>
      </c>
      <c r="AH922" s="32">
        <f>IF(OR($C922="",$A922="",$AE922=""),"",$C922&amp;"|"&amp;$A922&amp;"|"&amp;$AE922)</f>
        <v/>
      </c>
      <c r="AI922" s="32">
        <f>IF(OR($C922="",$AE922="",$AE922=1),"",IFERROR(INDEX($AC$6:$AC$1505,MATCH($C922&amp;"|"&amp;$A922&amp;"|"&amp;($AE922-1),$AH$6:$AH$1505,0)),""))</f>
        <v/>
      </c>
      <c r="AJ922" s="32">
        <f>IF(OR($AI922="",$AC922=""),"",IF($AI922=$AC922,"ללא שינוי","מ-"&amp;$AI922&amp;" ל-"&amp;$AC922))</f>
        <v/>
      </c>
      <c r="AK922" s="67" t="n"/>
    </row>
    <row r="923" ht="15.75" customHeight="1" s="58">
      <c r="A923" s="65" t="n"/>
      <c r="B923" s="65" t="n"/>
      <c r="C923" s="66" t="n"/>
      <c r="D923" s="66" t="n"/>
      <c r="E923" s="65" t="n"/>
      <c r="F923" s="65" t="n"/>
      <c r="G923" s="65" t="n"/>
      <c r="H923" s="65" t="n"/>
      <c r="I923" s="65" t="n"/>
      <c r="J923" s="65" t="n"/>
      <c r="K923" s="65" t="n"/>
      <c r="L923" s="65" t="n"/>
      <c r="M923" s="65" t="n"/>
      <c r="N923" s="65" t="n"/>
      <c r="O923" s="65" t="n"/>
      <c r="P923" s="65" t="n"/>
      <c r="Q923" s="65" t="n"/>
      <c r="R923" s="65" t="n"/>
      <c r="S923" s="65" t="n"/>
      <c r="T923" s="65" t="n"/>
      <c r="U923" s="65" t="n"/>
      <c r="V923" s="65" t="n"/>
      <c r="W923" s="65" t="n"/>
      <c r="X923" s="65" t="n"/>
      <c r="Y923" s="32">
        <f>IF($C923="","",IF(COUNTA($I923:$K923)&lt;3,"— חסרים נתונים",IF(AND($I923="תקין",$J923="תקין",$K923="תקין"),"רהוטה",IF(AND($I923="תקין",$J923="תקין"),"מדויקת ורציפה","אינה מדויקת או מקוטעת"))))</f>
        <v/>
      </c>
      <c r="Z923" s="32">
        <f>IF($C923="","",IF(COUNTA($U923:$W923)&lt;3,"",IF(AND($U923="מפותח",$V923="מפותח",$W923="מפותחת"),"מפותחת",IF((--($U923="דל"))+(--($V923="אינו מפותח"))+(--($W923="דלה"))&gt;=2,"אינה מפותחת","חלקית"))))</f>
        <v/>
      </c>
      <c r="AA923" s="32">
        <f>IF($C923="","",IF(COUNTA($M923,$N923,$O923)&lt;3,"— חסרים נתונים",IF(OR($M923="נמוכה",(--($M923&lt;&gt;"תקינה"))+(--($N923&lt;&gt;"תקין"))+(--($O923&lt;&gt;"תקינה"))&gt;=2),"ניכרת","אינה ניכרת")))</f>
        <v/>
      </c>
      <c r="AB923" s="32">
        <f>IF(OR($C923="",$Y923="",$AA923="",LEFT($Y923,1)="—",LEFT($AA923,1)="—"),"",IF($Z923="","— נדרשת הערכת כתיבה",IF($L923="","— חסרה הבנת הנקרא",IF($Y923="אינה מדויקת או מקוטעת",IF($AA923="ניכרת","מיקוד בשטף הקריאה ובכישורי שפה","מיקוד בשטף קריאה"),IF($AA923="ניכרת","מיקוד בכישורי שפה",IF(AND($L923="תקינה",$Z923="מפותחת"),"קוראים וכותבים מיומנים","מיקוד בהבנה והבעה"))))))</f>
        <v/>
      </c>
      <c r="AC923" s="32">
        <f>IF(OR($AB923="",LEFT($AB923,1)="—"),"",IF(OR($AB923="מיקוד בשטף קריאה",$AB923="מיקוד בשטף הקריאה ובכישורי שפה"),"רמה א'",IF($AB923="קוראים וכותבים מיומנים","רמה ג'","רמה ב'")))</f>
        <v/>
      </c>
      <c r="AD923" s="32">
        <f>IF($AC923="","",MID(IF(AND($AC923="רמה א'",$AA923="ניכרת"),"; להוסיף עבודת אוצר מילים","")&amp;IF($Z923="אינה מפותחת","; דגש על הבעה בכתב","")&amp;IF($K923&lt;&gt;"תקין","; נדרש לעבוד על ההנגנה","")&amp;IF($AK923&lt;&gt;"","; "&amp;$AK923,""),3,400))</f>
        <v/>
      </c>
      <c r="AE923" s="32">
        <f>IF($F923="","",IF($F923="תחילת שנה",1,IF($F923="מחצית שנה",2,3)))</f>
        <v/>
      </c>
      <c r="AF923" s="32">
        <f>IF(OR($B923="",$AC923="",$A923="",$F923=""),"",$B923&amp;"|"&amp;$A923&amp;"|"&amp;$F923&amp;"|"&amp;$AC923&amp;"|"&amp;COUNTIFS($B$6:$B923,$B923,$A$6:$A923,$A923,$F$6:$F923,$F923,$AC$6:$AC923,$AC923))</f>
        <v/>
      </c>
      <c r="AG923" s="32">
        <f>IF($C923="","",$C923&amp;"|"&amp;COUNTIFS($C$6:$C923,$C923))</f>
        <v/>
      </c>
      <c r="AH923" s="32">
        <f>IF(OR($C923="",$A923="",$AE923=""),"",$C923&amp;"|"&amp;$A923&amp;"|"&amp;$AE923)</f>
        <v/>
      </c>
      <c r="AI923" s="32">
        <f>IF(OR($C923="",$AE923="",$AE923=1),"",IFERROR(INDEX($AC$6:$AC$1505,MATCH($C923&amp;"|"&amp;$A923&amp;"|"&amp;($AE923-1),$AH$6:$AH$1505,0)),""))</f>
        <v/>
      </c>
      <c r="AJ923" s="32">
        <f>IF(OR($AI923="",$AC923=""),"",IF($AI923=$AC923,"ללא שינוי","מ-"&amp;$AI923&amp;" ל-"&amp;$AC923))</f>
        <v/>
      </c>
      <c r="AK923" s="67" t="n"/>
    </row>
    <row r="924" ht="15.75" customHeight="1" s="58">
      <c r="A924" s="65" t="n"/>
      <c r="B924" s="65" t="n"/>
      <c r="C924" s="66" t="n"/>
      <c r="D924" s="66" t="n"/>
      <c r="E924" s="65" t="n"/>
      <c r="F924" s="65" t="n"/>
      <c r="G924" s="65" t="n"/>
      <c r="H924" s="65" t="n"/>
      <c r="I924" s="65" t="n"/>
      <c r="J924" s="65" t="n"/>
      <c r="K924" s="65" t="n"/>
      <c r="L924" s="65" t="n"/>
      <c r="M924" s="65" t="n"/>
      <c r="N924" s="65" t="n"/>
      <c r="O924" s="65" t="n"/>
      <c r="P924" s="65" t="n"/>
      <c r="Q924" s="65" t="n"/>
      <c r="R924" s="65" t="n"/>
      <c r="S924" s="65" t="n"/>
      <c r="T924" s="65" t="n"/>
      <c r="U924" s="65" t="n"/>
      <c r="V924" s="65" t="n"/>
      <c r="W924" s="65" t="n"/>
      <c r="X924" s="65" t="n"/>
      <c r="Y924" s="32">
        <f>IF($C924="","",IF(COUNTA($I924:$K924)&lt;3,"— חסרים נתונים",IF(AND($I924="תקין",$J924="תקין",$K924="תקין"),"רהוטה",IF(AND($I924="תקין",$J924="תקין"),"מדויקת ורציפה","אינה מדויקת או מקוטעת"))))</f>
        <v/>
      </c>
      <c r="Z924" s="32">
        <f>IF($C924="","",IF(COUNTA($U924:$W924)&lt;3,"",IF(AND($U924="מפותח",$V924="מפותח",$W924="מפותחת"),"מפותחת",IF((--($U924="דל"))+(--($V924="אינו מפותח"))+(--($W924="דלה"))&gt;=2,"אינה מפותחת","חלקית"))))</f>
        <v/>
      </c>
      <c r="AA924" s="32">
        <f>IF($C924="","",IF(COUNTA($M924,$N924,$O924)&lt;3,"— חסרים נתונים",IF(OR($M924="נמוכה",(--($M924&lt;&gt;"תקינה"))+(--($N924&lt;&gt;"תקין"))+(--($O924&lt;&gt;"תקינה"))&gt;=2),"ניכרת","אינה ניכרת")))</f>
        <v/>
      </c>
      <c r="AB924" s="32">
        <f>IF(OR($C924="",$Y924="",$AA924="",LEFT($Y924,1)="—",LEFT($AA924,1)="—"),"",IF($Z924="","— נדרשת הערכת כתיבה",IF($L924="","— חסרה הבנת הנקרא",IF($Y924="אינה מדויקת או מקוטעת",IF($AA924="ניכרת","מיקוד בשטף הקריאה ובכישורי שפה","מיקוד בשטף קריאה"),IF($AA924="ניכרת","מיקוד בכישורי שפה",IF(AND($L924="תקינה",$Z924="מפותחת"),"קוראים וכותבים מיומנים","מיקוד בהבנה והבעה"))))))</f>
        <v/>
      </c>
      <c r="AC924" s="32">
        <f>IF(OR($AB924="",LEFT($AB924,1)="—"),"",IF(OR($AB924="מיקוד בשטף קריאה",$AB924="מיקוד בשטף הקריאה ובכישורי שפה"),"רמה א'",IF($AB924="קוראים וכותבים מיומנים","רמה ג'","רמה ב'")))</f>
        <v/>
      </c>
      <c r="AD924" s="32">
        <f>IF($AC924="","",MID(IF(AND($AC924="רמה א'",$AA924="ניכרת"),"; להוסיף עבודת אוצר מילים","")&amp;IF($Z924="אינה מפותחת","; דגש על הבעה בכתב","")&amp;IF($K924&lt;&gt;"תקין","; נדרש לעבוד על ההנגנה","")&amp;IF($AK924&lt;&gt;"","; "&amp;$AK924,""),3,400))</f>
        <v/>
      </c>
      <c r="AE924" s="32">
        <f>IF($F924="","",IF($F924="תחילת שנה",1,IF($F924="מחצית שנה",2,3)))</f>
        <v/>
      </c>
      <c r="AF924" s="32">
        <f>IF(OR($B924="",$AC924="",$A924="",$F924=""),"",$B924&amp;"|"&amp;$A924&amp;"|"&amp;$F924&amp;"|"&amp;$AC924&amp;"|"&amp;COUNTIFS($B$6:$B924,$B924,$A$6:$A924,$A924,$F$6:$F924,$F924,$AC$6:$AC924,$AC924))</f>
        <v/>
      </c>
      <c r="AG924" s="32">
        <f>IF($C924="","",$C924&amp;"|"&amp;COUNTIFS($C$6:$C924,$C924))</f>
        <v/>
      </c>
      <c r="AH924" s="32">
        <f>IF(OR($C924="",$A924="",$AE924=""),"",$C924&amp;"|"&amp;$A924&amp;"|"&amp;$AE924)</f>
        <v/>
      </c>
      <c r="AI924" s="32">
        <f>IF(OR($C924="",$AE924="",$AE924=1),"",IFERROR(INDEX($AC$6:$AC$1505,MATCH($C924&amp;"|"&amp;$A924&amp;"|"&amp;($AE924-1),$AH$6:$AH$1505,0)),""))</f>
        <v/>
      </c>
      <c r="AJ924" s="32">
        <f>IF(OR($AI924="",$AC924=""),"",IF($AI924=$AC924,"ללא שינוי","מ-"&amp;$AI924&amp;" ל-"&amp;$AC924))</f>
        <v/>
      </c>
      <c r="AK924" s="67" t="n"/>
    </row>
    <row r="925" ht="15.75" customHeight="1" s="58">
      <c r="A925" s="65" t="n"/>
      <c r="B925" s="65" t="n"/>
      <c r="C925" s="66" t="n"/>
      <c r="D925" s="66" t="n"/>
      <c r="E925" s="65" t="n"/>
      <c r="F925" s="65" t="n"/>
      <c r="G925" s="65" t="n"/>
      <c r="H925" s="65" t="n"/>
      <c r="I925" s="65" t="n"/>
      <c r="J925" s="65" t="n"/>
      <c r="K925" s="65" t="n"/>
      <c r="L925" s="65" t="n"/>
      <c r="M925" s="65" t="n"/>
      <c r="N925" s="65" t="n"/>
      <c r="O925" s="65" t="n"/>
      <c r="P925" s="65" t="n"/>
      <c r="Q925" s="65" t="n"/>
      <c r="R925" s="65" t="n"/>
      <c r="S925" s="65" t="n"/>
      <c r="T925" s="65" t="n"/>
      <c r="U925" s="65" t="n"/>
      <c r="V925" s="65" t="n"/>
      <c r="W925" s="65" t="n"/>
      <c r="X925" s="65" t="n"/>
      <c r="Y925" s="32">
        <f>IF($C925="","",IF(COUNTA($I925:$K925)&lt;3,"— חסרים נתונים",IF(AND($I925="תקין",$J925="תקין",$K925="תקין"),"רהוטה",IF(AND($I925="תקין",$J925="תקין"),"מדויקת ורציפה","אינה מדויקת או מקוטעת"))))</f>
        <v/>
      </c>
      <c r="Z925" s="32">
        <f>IF($C925="","",IF(COUNTA($U925:$W925)&lt;3,"",IF(AND($U925="מפותח",$V925="מפותח",$W925="מפותחת"),"מפותחת",IF((--($U925="דל"))+(--($V925="אינו מפותח"))+(--($W925="דלה"))&gt;=2,"אינה מפותחת","חלקית"))))</f>
        <v/>
      </c>
      <c r="AA925" s="32">
        <f>IF($C925="","",IF(COUNTA($M925,$N925,$O925)&lt;3,"— חסרים נתונים",IF(OR($M925="נמוכה",(--($M925&lt;&gt;"תקינה"))+(--($N925&lt;&gt;"תקין"))+(--($O925&lt;&gt;"תקינה"))&gt;=2),"ניכרת","אינה ניכרת")))</f>
        <v/>
      </c>
      <c r="AB925" s="32">
        <f>IF(OR($C925="",$Y925="",$AA925="",LEFT($Y925,1)="—",LEFT($AA925,1)="—"),"",IF($Z925="","— נדרשת הערכת כתיבה",IF($L925="","— חסרה הבנת הנקרא",IF($Y925="אינה מדויקת או מקוטעת",IF($AA925="ניכרת","מיקוד בשטף הקריאה ובכישורי שפה","מיקוד בשטף קריאה"),IF($AA925="ניכרת","מיקוד בכישורי שפה",IF(AND($L925="תקינה",$Z925="מפותחת"),"קוראים וכותבים מיומנים","מיקוד בהבנה והבעה"))))))</f>
        <v/>
      </c>
      <c r="AC925" s="32">
        <f>IF(OR($AB925="",LEFT($AB925,1)="—"),"",IF(OR($AB925="מיקוד בשטף קריאה",$AB925="מיקוד בשטף הקריאה ובכישורי שפה"),"רמה א'",IF($AB925="קוראים וכותבים מיומנים","רמה ג'","רמה ב'")))</f>
        <v/>
      </c>
      <c r="AD925" s="32">
        <f>IF($AC925="","",MID(IF(AND($AC925="רמה א'",$AA925="ניכרת"),"; להוסיף עבודת אוצר מילים","")&amp;IF($Z925="אינה מפותחת","; דגש על הבעה בכתב","")&amp;IF($K925&lt;&gt;"תקין","; נדרש לעבוד על ההנגנה","")&amp;IF($AK925&lt;&gt;"","; "&amp;$AK925,""),3,400))</f>
        <v/>
      </c>
      <c r="AE925" s="32">
        <f>IF($F925="","",IF($F925="תחילת שנה",1,IF($F925="מחצית שנה",2,3)))</f>
        <v/>
      </c>
      <c r="AF925" s="32">
        <f>IF(OR($B925="",$AC925="",$A925="",$F925=""),"",$B925&amp;"|"&amp;$A925&amp;"|"&amp;$F925&amp;"|"&amp;$AC925&amp;"|"&amp;COUNTIFS($B$6:$B925,$B925,$A$6:$A925,$A925,$F$6:$F925,$F925,$AC$6:$AC925,$AC925))</f>
        <v/>
      </c>
      <c r="AG925" s="32">
        <f>IF($C925="","",$C925&amp;"|"&amp;COUNTIFS($C$6:$C925,$C925))</f>
        <v/>
      </c>
      <c r="AH925" s="32">
        <f>IF(OR($C925="",$A925="",$AE925=""),"",$C925&amp;"|"&amp;$A925&amp;"|"&amp;$AE925)</f>
        <v/>
      </c>
      <c r="AI925" s="32">
        <f>IF(OR($C925="",$AE925="",$AE925=1),"",IFERROR(INDEX($AC$6:$AC$1505,MATCH($C925&amp;"|"&amp;$A925&amp;"|"&amp;($AE925-1),$AH$6:$AH$1505,0)),""))</f>
        <v/>
      </c>
      <c r="AJ925" s="32">
        <f>IF(OR($AI925="",$AC925=""),"",IF($AI925=$AC925,"ללא שינוי","מ-"&amp;$AI925&amp;" ל-"&amp;$AC925))</f>
        <v/>
      </c>
      <c r="AK925" s="67" t="n"/>
    </row>
    <row r="926" ht="15.75" customHeight="1" s="58">
      <c r="A926" s="65" t="n"/>
      <c r="B926" s="65" t="n"/>
      <c r="C926" s="66" t="n"/>
      <c r="D926" s="66" t="n"/>
      <c r="E926" s="65" t="n"/>
      <c r="F926" s="65" t="n"/>
      <c r="G926" s="65" t="n"/>
      <c r="H926" s="65" t="n"/>
      <c r="I926" s="65" t="n"/>
      <c r="J926" s="65" t="n"/>
      <c r="K926" s="65" t="n"/>
      <c r="L926" s="65" t="n"/>
      <c r="M926" s="65" t="n"/>
      <c r="N926" s="65" t="n"/>
      <c r="O926" s="65" t="n"/>
      <c r="P926" s="65" t="n"/>
      <c r="Q926" s="65" t="n"/>
      <c r="R926" s="65" t="n"/>
      <c r="S926" s="65" t="n"/>
      <c r="T926" s="65" t="n"/>
      <c r="U926" s="65" t="n"/>
      <c r="V926" s="65" t="n"/>
      <c r="W926" s="65" t="n"/>
      <c r="X926" s="65" t="n"/>
      <c r="Y926" s="32">
        <f>IF($C926="","",IF(COUNTA($I926:$K926)&lt;3,"— חסרים נתונים",IF(AND($I926="תקין",$J926="תקין",$K926="תקין"),"רהוטה",IF(AND($I926="תקין",$J926="תקין"),"מדויקת ורציפה","אינה מדויקת או מקוטעת"))))</f>
        <v/>
      </c>
      <c r="Z926" s="32">
        <f>IF($C926="","",IF(COUNTA($U926:$W926)&lt;3,"",IF(AND($U926="מפותח",$V926="מפותח",$W926="מפותחת"),"מפותחת",IF((--($U926="דל"))+(--($V926="אינו מפותח"))+(--($W926="דלה"))&gt;=2,"אינה מפותחת","חלקית"))))</f>
        <v/>
      </c>
      <c r="AA926" s="32">
        <f>IF($C926="","",IF(COUNTA($M926,$N926,$O926)&lt;3,"— חסרים נתונים",IF(OR($M926="נמוכה",(--($M926&lt;&gt;"תקינה"))+(--($N926&lt;&gt;"תקין"))+(--($O926&lt;&gt;"תקינה"))&gt;=2),"ניכרת","אינה ניכרת")))</f>
        <v/>
      </c>
      <c r="AB926" s="32">
        <f>IF(OR($C926="",$Y926="",$AA926="",LEFT($Y926,1)="—",LEFT($AA926,1)="—"),"",IF($Z926="","— נדרשת הערכת כתיבה",IF($L926="","— חסרה הבנת הנקרא",IF($Y926="אינה מדויקת או מקוטעת",IF($AA926="ניכרת","מיקוד בשטף הקריאה ובכישורי שפה","מיקוד בשטף קריאה"),IF($AA926="ניכרת","מיקוד בכישורי שפה",IF(AND($L926="תקינה",$Z926="מפותחת"),"קוראים וכותבים מיומנים","מיקוד בהבנה והבעה"))))))</f>
        <v/>
      </c>
      <c r="AC926" s="32">
        <f>IF(OR($AB926="",LEFT($AB926,1)="—"),"",IF(OR($AB926="מיקוד בשטף קריאה",$AB926="מיקוד בשטף הקריאה ובכישורי שפה"),"רמה א'",IF($AB926="קוראים וכותבים מיומנים","רמה ג'","רמה ב'")))</f>
        <v/>
      </c>
      <c r="AD926" s="32">
        <f>IF($AC926="","",MID(IF(AND($AC926="רמה א'",$AA926="ניכרת"),"; להוסיף עבודת אוצר מילים","")&amp;IF($Z926="אינה מפותחת","; דגש על הבעה בכתב","")&amp;IF($K926&lt;&gt;"תקין","; נדרש לעבוד על ההנגנה","")&amp;IF($AK926&lt;&gt;"","; "&amp;$AK926,""),3,400))</f>
        <v/>
      </c>
      <c r="AE926" s="32">
        <f>IF($F926="","",IF($F926="תחילת שנה",1,IF($F926="מחצית שנה",2,3)))</f>
        <v/>
      </c>
      <c r="AF926" s="32">
        <f>IF(OR($B926="",$AC926="",$A926="",$F926=""),"",$B926&amp;"|"&amp;$A926&amp;"|"&amp;$F926&amp;"|"&amp;$AC926&amp;"|"&amp;COUNTIFS($B$6:$B926,$B926,$A$6:$A926,$A926,$F$6:$F926,$F926,$AC$6:$AC926,$AC926))</f>
        <v/>
      </c>
      <c r="AG926" s="32">
        <f>IF($C926="","",$C926&amp;"|"&amp;COUNTIFS($C$6:$C926,$C926))</f>
        <v/>
      </c>
      <c r="AH926" s="32">
        <f>IF(OR($C926="",$A926="",$AE926=""),"",$C926&amp;"|"&amp;$A926&amp;"|"&amp;$AE926)</f>
        <v/>
      </c>
      <c r="AI926" s="32">
        <f>IF(OR($C926="",$AE926="",$AE926=1),"",IFERROR(INDEX($AC$6:$AC$1505,MATCH($C926&amp;"|"&amp;$A926&amp;"|"&amp;($AE926-1),$AH$6:$AH$1505,0)),""))</f>
        <v/>
      </c>
      <c r="AJ926" s="32">
        <f>IF(OR($AI926="",$AC926=""),"",IF($AI926=$AC926,"ללא שינוי","מ-"&amp;$AI926&amp;" ל-"&amp;$AC926))</f>
        <v/>
      </c>
      <c r="AK926" s="67" t="n"/>
    </row>
    <row r="927" ht="15.75" customHeight="1" s="58">
      <c r="A927" s="65" t="n"/>
      <c r="B927" s="65" t="n"/>
      <c r="C927" s="66" t="n"/>
      <c r="D927" s="66" t="n"/>
      <c r="E927" s="65" t="n"/>
      <c r="F927" s="65" t="n"/>
      <c r="G927" s="65" t="n"/>
      <c r="H927" s="65" t="n"/>
      <c r="I927" s="65" t="n"/>
      <c r="J927" s="65" t="n"/>
      <c r="K927" s="65" t="n"/>
      <c r="L927" s="65" t="n"/>
      <c r="M927" s="65" t="n"/>
      <c r="N927" s="65" t="n"/>
      <c r="O927" s="65" t="n"/>
      <c r="P927" s="65" t="n"/>
      <c r="Q927" s="65" t="n"/>
      <c r="R927" s="65" t="n"/>
      <c r="S927" s="65" t="n"/>
      <c r="T927" s="65" t="n"/>
      <c r="U927" s="65" t="n"/>
      <c r="V927" s="65" t="n"/>
      <c r="W927" s="65" t="n"/>
      <c r="X927" s="65" t="n"/>
      <c r="Y927" s="32">
        <f>IF($C927="","",IF(COUNTA($I927:$K927)&lt;3,"— חסרים נתונים",IF(AND($I927="תקין",$J927="תקין",$K927="תקין"),"רהוטה",IF(AND($I927="תקין",$J927="תקין"),"מדויקת ורציפה","אינה מדויקת או מקוטעת"))))</f>
        <v/>
      </c>
      <c r="Z927" s="32">
        <f>IF($C927="","",IF(COUNTA($U927:$W927)&lt;3,"",IF(AND($U927="מפותח",$V927="מפותח",$W927="מפותחת"),"מפותחת",IF((--($U927="דל"))+(--($V927="אינו מפותח"))+(--($W927="דלה"))&gt;=2,"אינה מפותחת","חלקית"))))</f>
        <v/>
      </c>
      <c r="AA927" s="32">
        <f>IF($C927="","",IF(COUNTA($M927,$N927,$O927)&lt;3,"— חסרים נתונים",IF(OR($M927="נמוכה",(--($M927&lt;&gt;"תקינה"))+(--($N927&lt;&gt;"תקין"))+(--($O927&lt;&gt;"תקינה"))&gt;=2),"ניכרת","אינה ניכרת")))</f>
        <v/>
      </c>
      <c r="AB927" s="32">
        <f>IF(OR($C927="",$Y927="",$AA927="",LEFT($Y927,1)="—",LEFT($AA927,1)="—"),"",IF($Z927="","— נדרשת הערכת כתיבה",IF($L927="","— חסרה הבנת הנקרא",IF($Y927="אינה מדויקת או מקוטעת",IF($AA927="ניכרת","מיקוד בשטף הקריאה ובכישורי שפה","מיקוד בשטף קריאה"),IF($AA927="ניכרת","מיקוד בכישורי שפה",IF(AND($L927="תקינה",$Z927="מפותחת"),"קוראים וכותבים מיומנים","מיקוד בהבנה והבעה"))))))</f>
        <v/>
      </c>
      <c r="AC927" s="32">
        <f>IF(OR($AB927="",LEFT($AB927,1)="—"),"",IF(OR($AB927="מיקוד בשטף קריאה",$AB927="מיקוד בשטף הקריאה ובכישורי שפה"),"רמה א'",IF($AB927="קוראים וכותבים מיומנים","רמה ג'","רמה ב'")))</f>
        <v/>
      </c>
      <c r="AD927" s="32">
        <f>IF($AC927="","",MID(IF(AND($AC927="רמה א'",$AA927="ניכרת"),"; להוסיף עבודת אוצר מילים","")&amp;IF($Z927="אינה מפותחת","; דגש על הבעה בכתב","")&amp;IF($K927&lt;&gt;"תקין","; נדרש לעבוד על ההנגנה","")&amp;IF($AK927&lt;&gt;"","; "&amp;$AK927,""),3,400))</f>
        <v/>
      </c>
      <c r="AE927" s="32">
        <f>IF($F927="","",IF($F927="תחילת שנה",1,IF($F927="מחצית שנה",2,3)))</f>
        <v/>
      </c>
      <c r="AF927" s="32">
        <f>IF(OR($B927="",$AC927="",$A927="",$F927=""),"",$B927&amp;"|"&amp;$A927&amp;"|"&amp;$F927&amp;"|"&amp;$AC927&amp;"|"&amp;COUNTIFS($B$6:$B927,$B927,$A$6:$A927,$A927,$F$6:$F927,$F927,$AC$6:$AC927,$AC927))</f>
        <v/>
      </c>
      <c r="AG927" s="32">
        <f>IF($C927="","",$C927&amp;"|"&amp;COUNTIFS($C$6:$C927,$C927))</f>
        <v/>
      </c>
      <c r="AH927" s="32">
        <f>IF(OR($C927="",$A927="",$AE927=""),"",$C927&amp;"|"&amp;$A927&amp;"|"&amp;$AE927)</f>
        <v/>
      </c>
      <c r="AI927" s="32">
        <f>IF(OR($C927="",$AE927="",$AE927=1),"",IFERROR(INDEX($AC$6:$AC$1505,MATCH($C927&amp;"|"&amp;$A927&amp;"|"&amp;($AE927-1),$AH$6:$AH$1505,0)),""))</f>
        <v/>
      </c>
      <c r="AJ927" s="32">
        <f>IF(OR($AI927="",$AC927=""),"",IF($AI927=$AC927,"ללא שינוי","מ-"&amp;$AI927&amp;" ל-"&amp;$AC927))</f>
        <v/>
      </c>
      <c r="AK927" s="67" t="n"/>
    </row>
    <row r="928" ht="15.75" customHeight="1" s="58">
      <c r="A928" s="65" t="n"/>
      <c r="B928" s="65" t="n"/>
      <c r="C928" s="66" t="n"/>
      <c r="D928" s="66" t="n"/>
      <c r="E928" s="65" t="n"/>
      <c r="F928" s="65" t="n"/>
      <c r="G928" s="65" t="n"/>
      <c r="H928" s="65" t="n"/>
      <c r="I928" s="65" t="n"/>
      <c r="J928" s="65" t="n"/>
      <c r="K928" s="65" t="n"/>
      <c r="L928" s="65" t="n"/>
      <c r="M928" s="65" t="n"/>
      <c r="N928" s="65" t="n"/>
      <c r="O928" s="65" t="n"/>
      <c r="P928" s="65" t="n"/>
      <c r="Q928" s="65" t="n"/>
      <c r="R928" s="65" t="n"/>
      <c r="S928" s="65" t="n"/>
      <c r="T928" s="65" t="n"/>
      <c r="U928" s="65" t="n"/>
      <c r="V928" s="65" t="n"/>
      <c r="W928" s="65" t="n"/>
      <c r="X928" s="65" t="n"/>
      <c r="Y928" s="32">
        <f>IF($C928="","",IF(COUNTA($I928:$K928)&lt;3,"— חסרים נתונים",IF(AND($I928="תקין",$J928="תקין",$K928="תקין"),"רהוטה",IF(AND($I928="תקין",$J928="תקין"),"מדויקת ורציפה","אינה מדויקת או מקוטעת"))))</f>
        <v/>
      </c>
      <c r="Z928" s="32">
        <f>IF($C928="","",IF(COUNTA($U928:$W928)&lt;3,"",IF(AND($U928="מפותח",$V928="מפותח",$W928="מפותחת"),"מפותחת",IF((--($U928="דל"))+(--($V928="אינו מפותח"))+(--($W928="דלה"))&gt;=2,"אינה מפותחת","חלקית"))))</f>
        <v/>
      </c>
      <c r="AA928" s="32">
        <f>IF($C928="","",IF(COUNTA($M928,$N928,$O928)&lt;3,"— חסרים נתונים",IF(OR($M928="נמוכה",(--($M928&lt;&gt;"תקינה"))+(--($N928&lt;&gt;"תקין"))+(--($O928&lt;&gt;"תקינה"))&gt;=2),"ניכרת","אינה ניכרת")))</f>
        <v/>
      </c>
      <c r="AB928" s="32">
        <f>IF(OR($C928="",$Y928="",$AA928="",LEFT($Y928,1)="—",LEFT($AA928,1)="—"),"",IF($Z928="","— נדרשת הערכת כתיבה",IF($L928="","— חסרה הבנת הנקרא",IF($Y928="אינה מדויקת או מקוטעת",IF($AA928="ניכרת","מיקוד בשטף הקריאה ובכישורי שפה","מיקוד בשטף קריאה"),IF($AA928="ניכרת","מיקוד בכישורי שפה",IF(AND($L928="תקינה",$Z928="מפותחת"),"קוראים וכותבים מיומנים","מיקוד בהבנה והבעה"))))))</f>
        <v/>
      </c>
      <c r="AC928" s="32">
        <f>IF(OR($AB928="",LEFT($AB928,1)="—"),"",IF(OR($AB928="מיקוד בשטף קריאה",$AB928="מיקוד בשטף הקריאה ובכישורי שפה"),"רמה א'",IF($AB928="קוראים וכותבים מיומנים","רמה ג'","רמה ב'")))</f>
        <v/>
      </c>
      <c r="AD928" s="32">
        <f>IF($AC928="","",MID(IF(AND($AC928="רמה א'",$AA928="ניכרת"),"; להוסיף עבודת אוצר מילים","")&amp;IF($Z928="אינה מפותחת","; דגש על הבעה בכתב","")&amp;IF($K928&lt;&gt;"תקין","; נדרש לעבוד על ההנגנה","")&amp;IF($AK928&lt;&gt;"","; "&amp;$AK928,""),3,400))</f>
        <v/>
      </c>
      <c r="AE928" s="32">
        <f>IF($F928="","",IF($F928="תחילת שנה",1,IF($F928="מחצית שנה",2,3)))</f>
        <v/>
      </c>
      <c r="AF928" s="32">
        <f>IF(OR($B928="",$AC928="",$A928="",$F928=""),"",$B928&amp;"|"&amp;$A928&amp;"|"&amp;$F928&amp;"|"&amp;$AC928&amp;"|"&amp;COUNTIFS($B$6:$B928,$B928,$A$6:$A928,$A928,$F$6:$F928,$F928,$AC$6:$AC928,$AC928))</f>
        <v/>
      </c>
      <c r="AG928" s="32">
        <f>IF($C928="","",$C928&amp;"|"&amp;COUNTIFS($C$6:$C928,$C928))</f>
        <v/>
      </c>
      <c r="AH928" s="32">
        <f>IF(OR($C928="",$A928="",$AE928=""),"",$C928&amp;"|"&amp;$A928&amp;"|"&amp;$AE928)</f>
        <v/>
      </c>
      <c r="AI928" s="32">
        <f>IF(OR($C928="",$AE928="",$AE928=1),"",IFERROR(INDEX($AC$6:$AC$1505,MATCH($C928&amp;"|"&amp;$A928&amp;"|"&amp;($AE928-1),$AH$6:$AH$1505,0)),""))</f>
        <v/>
      </c>
      <c r="AJ928" s="32">
        <f>IF(OR($AI928="",$AC928=""),"",IF($AI928=$AC928,"ללא שינוי","מ-"&amp;$AI928&amp;" ל-"&amp;$AC928))</f>
        <v/>
      </c>
      <c r="AK928" s="67" t="n"/>
    </row>
    <row r="929" ht="15.75" customHeight="1" s="58">
      <c r="A929" s="65" t="n"/>
      <c r="B929" s="65" t="n"/>
      <c r="C929" s="66" t="n"/>
      <c r="D929" s="66" t="n"/>
      <c r="E929" s="65" t="n"/>
      <c r="F929" s="65" t="n"/>
      <c r="G929" s="65" t="n"/>
      <c r="H929" s="65" t="n"/>
      <c r="I929" s="65" t="n"/>
      <c r="J929" s="65" t="n"/>
      <c r="K929" s="65" t="n"/>
      <c r="L929" s="65" t="n"/>
      <c r="M929" s="65" t="n"/>
      <c r="N929" s="65" t="n"/>
      <c r="O929" s="65" t="n"/>
      <c r="P929" s="65" t="n"/>
      <c r="Q929" s="65" t="n"/>
      <c r="R929" s="65" t="n"/>
      <c r="S929" s="65" t="n"/>
      <c r="T929" s="65" t="n"/>
      <c r="U929" s="65" t="n"/>
      <c r="V929" s="65" t="n"/>
      <c r="W929" s="65" t="n"/>
      <c r="X929" s="65" t="n"/>
      <c r="Y929" s="32">
        <f>IF($C929="","",IF(COUNTA($I929:$K929)&lt;3,"— חסרים נתונים",IF(AND($I929="תקין",$J929="תקין",$K929="תקין"),"רהוטה",IF(AND($I929="תקין",$J929="תקין"),"מדויקת ורציפה","אינה מדויקת או מקוטעת"))))</f>
        <v/>
      </c>
      <c r="Z929" s="32">
        <f>IF($C929="","",IF(COUNTA($U929:$W929)&lt;3,"",IF(AND($U929="מפותח",$V929="מפותח",$W929="מפותחת"),"מפותחת",IF((--($U929="דל"))+(--($V929="אינו מפותח"))+(--($W929="דלה"))&gt;=2,"אינה מפותחת","חלקית"))))</f>
        <v/>
      </c>
      <c r="AA929" s="32">
        <f>IF($C929="","",IF(COUNTA($M929,$N929,$O929)&lt;3,"— חסרים נתונים",IF(OR($M929="נמוכה",(--($M929&lt;&gt;"תקינה"))+(--($N929&lt;&gt;"תקין"))+(--($O929&lt;&gt;"תקינה"))&gt;=2),"ניכרת","אינה ניכרת")))</f>
        <v/>
      </c>
      <c r="AB929" s="32">
        <f>IF(OR($C929="",$Y929="",$AA929="",LEFT($Y929,1)="—",LEFT($AA929,1)="—"),"",IF($Z929="","— נדרשת הערכת כתיבה",IF($L929="","— חסרה הבנת הנקרא",IF($Y929="אינה מדויקת או מקוטעת",IF($AA929="ניכרת","מיקוד בשטף הקריאה ובכישורי שפה","מיקוד בשטף קריאה"),IF($AA929="ניכרת","מיקוד בכישורי שפה",IF(AND($L929="תקינה",$Z929="מפותחת"),"קוראים וכותבים מיומנים","מיקוד בהבנה והבעה"))))))</f>
        <v/>
      </c>
      <c r="AC929" s="32">
        <f>IF(OR($AB929="",LEFT($AB929,1)="—"),"",IF(OR($AB929="מיקוד בשטף קריאה",$AB929="מיקוד בשטף הקריאה ובכישורי שפה"),"רמה א'",IF($AB929="קוראים וכותבים מיומנים","רמה ג'","רמה ב'")))</f>
        <v/>
      </c>
      <c r="AD929" s="32">
        <f>IF($AC929="","",MID(IF(AND($AC929="רמה א'",$AA929="ניכרת"),"; להוסיף עבודת אוצר מילים","")&amp;IF($Z929="אינה מפותחת","; דגש על הבעה בכתב","")&amp;IF($K929&lt;&gt;"תקין","; נדרש לעבוד על ההנגנה","")&amp;IF($AK929&lt;&gt;"","; "&amp;$AK929,""),3,400))</f>
        <v/>
      </c>
      <c r="AE929" s="32">
        <f>IF($F929="","",IF($F929="תחילת שנה",1,IF($F929="מחצית שנה",2,3)))</f>
        <v/>
      </c>
      <c r="AF929" s="32">
        <f>IF(OR($B929="",$AC929="",$A929="",$F929=""),"",$B929&amp;"|"&amp;$A929&amp;"|"&amp;$F929&amp;"|"&amp;$AC929&amp;"|"&amp;COUNTIFS($B$6:$B929,$B929,$A$6:$A929,$A929,$F$6:$F929,$F929,$AC$6:$AC929,$AC929))</f>
        <v/>
      </c>
      <c r="AG929" s="32">
        <f>IF($C929="","",$C929&amp;"|"&amp;COUNTIFS($C$6:$C929,$C929))</f>
        <v/>
      </c>
      <c r="AH929" s="32">
        <f>IF(OR($C929="",$A929="",$AE929=""),"",$C929&amp;"|"&amp;$A929&amp;"|"&amp;$AE929)</f>
        <v/>
      </c>
      <c r="AI929" s="32">
        <f>IF(OR($C929="",$AE929="",$AE929=1),"",IFERROR(INDEX($AC$6:$AC$1505,MATCH($C929&amp;"|"&amp;$A929&amp;"|"&amp;($AE929-1),$AH$6:$AH$1505,0)),""))</f>
        <v/>
      </c>
      <c r="AJ929" s="32">
        <f>IF(OR($AI929="",$AC929=""),"",IF($AI929=$AC929,"ללא שינוי","מ-"&amp;$AI929&amp;" ל-"&amp;$AC929))</f>
        <v/>
      </c>
      <c r="AK929" s="67" t="n"/>
    </row>
    <row r="930" ht="15.75" customHeight="1" s="58">
      <c r="A930" s="65" t="n"/>
      <c r="B930" s="65" t="n"/>
      <c r="C930" s="66" t="n"/>
      <c r="D930" s="66" t="n"/>
      <c r="E930" s="65" t="n"/>
      <c r="F930" s="65" t="n"/>
      <c r="G930" s="65" t="n"/>
      <c r="H930" s="65" t="n"/>
      <c r="I930" s="65" t="n"/>
      <c r="J930" s="65" t="n"/>
      <c r="K930" s="65" t="n"/>
      <c r="L930" s="65" t="n"/>
      <c r="M930" s="65" t="n"/>
      <c r="N930" s="65" t="n"/>
      <c r="O930" s="65" t="n"/>
      <c r="P930" s="65" t="n"/>
      <c r="Q930" s="65" t="n"/>
      <c r="R930" s="65" t="n"/>
      <c r="S930" s="65" t="n"/>
      <c r="T930" s="65" t="n"/>
      <c r="U930" s="65" t="n"/>
      <c r="V930" s="65" t="n"/>
      <c r="W930" s="65" t="n"/>
      <c r="X930" s="65" t="n"/>
      <c r="Y930" s="32">
        <f>IF($C930="","",IF(COUNTA($I930:$K930)&lt;3,"— חסרים נתונים",IF(AND($I930="תקין",$J930="תקין",$K930="תקין"),"רהוטה",IF(AND($I930="תקין",$J930="תקין"),"מדויקת ורציפה","אינה מדויקת או מקוטעת"))))</f>
        <v/>
      </c>
      <c r="Z930" s="32">
        <f>IF($C930="","",IF(COUNTA($U930:$W930)&lt;3,"",IF(AND($U930="מפותח",$V930="מפותח",$W930="מפותחת"),"מפותחת",IF((--($U930="דל"))+(--($V930="אינו מפותח"))+(--($W930="דלה"))&gt;=2,"אינה מפותחת","חלקית"))))</f>
        <v/>
      </c>
      <c r="AA930" s="32">
        <f>IF($C930="","",IF(COUNTA($M930,$N930,$O930)&lt;3,"— חסרים נתונים",IF(OR($M930="נמוכה",(--($M930&lt;&gt;"תקינה"))+(--($N930&lt;&gt;"תקין"))+(--($O930&lt;&gt;"תקינה"))&gt;=2),"ניכרת","אינה ניכרת")))</f>
        <v/>
      </c>
      <c r="AB930" s="32">
        <f>IF(OR($C930="",$Y930="",$AA930="",LEFT($Y930,1)="—",LEFT($AA930,1)="—"),"",IF($Z930="","— נדרשת הערכת כתיבה",IF($L930="","— חסרה הבנת הנקרא",IF($Y930="אינה מדויקת או מקוטעת",IF($AA930="ניכרת","מיקוד בשטף הקריאה ובכישורי שפה","מיקוד בשטף קריאה"),IF($AA930="ניכרת","מיקוד בכישורי שפה",IF(AND($L930="תקינה",$Z930="מפותחת"),"קוראים וכותבים מיומנים","מיקוד בהבנה והבעה"))))))</f>
        <v/>
      </c>
      <c r="AC930" s="32">
        <f>IF(OR($AB930="",LEFT($AB930,1)="—"),"",IF(OR($AB930="מיקוד בשטף קריאה",$AB930="מיקוד בשטף הקריאה ובכישורי שפה"),"רמה א'",IF($AB930="קוראים וכותבים מיומנים","רמה ג'","רמה ב'")))</f>
        <v/>
      </c>
      <c r="AD930" s="32">
        <f>IF($AC930="","",MID(IF(AND($AC930="רמה א'",$AA930="ניכרת"),"; להוסיף עבודת אוצר מילים","")&amp;IF($Z930="אינה מפותחת","; דגש על הבעה בכתב","")&amp;IF($K930&lt;&gt;"תקין","; נדרש לעבוד על ההנגנה","")&amp;IF($AK930&lt;&gt;"","; "&amp;$AK930,""),3,400))</f>
        <v/>
      </c>
      <c r="AE930" s="32">
        <f>IF($F930="","",IF($F930="תחילת שנה",1,IF($F930="מחצית שנה",2,3)))</f>
        <v/>
      </c>
      <c r="AF930" s="32">
        <f>IF(OR($B930="",$AC930="",$A930="",$F930=""),"",$B930&amp;"|"&amp;$A930&amp;"|"&amp;$F930&amp;"|"&amp;$AC930&amp;"|"&amp;COUNTIFS($B$6:$B930,$B930,$A$6:$A930,$A930,$F$6:$F930,$F930,$AC$6:$AC930,$AC930))</f>
        <v/>
      </c>
      <c r="AG930" s="32">
        <f>IF($C930="","",$C930&amp;"|"&amp;COUNTIFS($C$6:$C930,$C930))</f>
        <v/>
      </c>
      <c r="AH930" s="32">
        <f>IF(OR($C930="",$A930="",$AE930=""),"",$C930&amp;"|"&amp;$A930&amp;"|"&amp;$AE930)</f>
        <v/>
      </c>
      <c r="AI930" s="32">
        <f>IF(OR($C930="",$AE930="",$AE930=1),"",IFERROR(INDEX($AC$6:$AC$1505,MATCH($C930&amp;"|"&amp;$A930&amp;"|"&amp;($AE930-1),$AH$6:$AH$1505,0)),""))</f>
        <v/>
      </c>
      <c r="AJ930" s="32">
        <f>IF(OR($AI930="",$AC930=""),"",IF($AI930=$AC930,"ללא שינוי","מ-"&amp;$AI930&amp;" ל-"&amp;$AC930))</f>
        <v/>
      </c>
      <c r="AK930" s="67" t="n"/>
    </row>
    <row r="931" ht="15.75" customHeight="1" s="58">
      <c r="A931" s="65" t="n"/>
      <c r="B931" s="65" t="n"/>
      <c r="C931" s="66" t="n"/>
      <c r="D931" s="66" t="n"/>
      <c r="E931" s="65" t="n"/>
      <c r="F931" s="65" t="n"/>
      <c r="G931" s="65" t="n"/>
      <c r="H931" s="65" t="n"/>
      <c r="I931" s="65" t="n"/>
      <c r="J931" s="65" t="n"/>
      <c r="K931" s="65" t="n"/>
      <c r="L931" s="65" t="n"/>
      <c r="M931" s="65" t="n"/>
      <c r="N931" s="65" t="n"/>
      <c r="O931" s="65" t="n"/>
      <c r="P931" s="65" t="n"/>
      <c r="Q931" s="65" t="n"/>
      <c r="R931" s="65" t="n"/>
      <c r="S931" s="65" t="n"/>
      <c r="T931" s="65" t="n"/>
      <c r="U931" s="65" t="n"/>
      <c r="V931" s="65" t="n"/>
      <c r="W931" s="65" t="n"/>
      <c r="X931" s="65" t="n"/>
      <c r="Y931" s="32">
        <f>IF($C931="","",IF(COUNTA($I931:$K931)&lt;3,"— חסרים נתונים",IF(AND($I931="תקין",$J931="תקין",$K931="תקין"),"רהוטה",IF(AND($I931="תקין",$J931="תקין"),"מדויקת ורציפה","אינה מדויקת או מקוטעת"))))</f>
        <v/>
      </c>
      <c r="Z931" s="32">
        <f>IF($C931="","",IF(COUNTA($U931:$W931)&lt;3,"",IF(AND($U931="מפותח",$V931="מפותח",$W931="מפותחת"),"מפותחת",IF((--($U931="דל"))+(--($V931="אינו מפותח"))+(--($W931="דלה"))&gt;=2,"אינה מפותחת","חלקית"))))</f>
        <v/>
      </c>
      <c r="AA931" s="32">
        <f>IF($C931="","",IF(COUNTA($M931,$N931,$O931)&lt;3,"— חסרים נתונים",IF(OR($M931="נמוכה",(--($M931&lt;&gt;"תקינה"))+(--($N931&lt;&gt;"תקין"))+(--($O931&lt;&gt;"תקינה"))&gt;=2),"ניכרת","אינה ניכרת")))</f>
        <v/>
      </c>
      <c r="AB931" s="32">
        <f>IF(OR($C931="",$Y931="",$AA931="",LEFT($Y931,1)="—",LEFT($AA931,1)="—"),"",IF($Z931="","— נדרשת הערכת כתיבה",IF($L931="","— חסרה הבנת הנקרא",IF($Y931="אינה מדויקת או מקוטעת",IF($AA931="ניכרת","מיקוד בשטף הקריאה ובכישורי שפה","מיקוד בשטף קריאה"),IF($AA931="ניכרת","מיקוד בכישורי שפה",IF(AND($L931="תקינה",$Z931="מפותחת"),"קוראים וכותבים מיומנים","מיקוד בהבנה והבעה"))))))</f>
        <v/>
      </c>
      <c r="AC931" s="32">
        <f>IF(OR($AB931="",LEFT($AB931,1)="—"),"",IF(OR($AB931="מיקוד בשטף קריאה",$AB931="מיקוד בשטף הקריאה ובכישורי שפה"),"רמה א'",IF($AB931="קוראים וכותבים מיומנים","רמה ג'","רמה ב'")))</f>
        <v/>
      </c>
      <c r="AD931" s="32">
        <f>IF($AC931="","",MID(IF(AND($AC931="רמה א'",$AA931="ניכרת"),"; להוסיף עבודת אוצר מילים","")&amp;IF($Z931="אינה מפותחת","; דגש על הבעה בכתב","")&amp;IF($K931&lt;&gt;"תקין","; נדרש לעבוד על ההנגנה","")&amp;IF($AK931&lt;&gt;"","; "&amp;$AK931,""),3,400))</f>
        <v/>
      </c>
      <c r="AE931" s="32">
        <f>IF($F931="","",IF($F931="תחילת שנה",1,IF($F931="מחצית שנה",2,3)))</f>
        <v/>
      </c>
      <c r="AF931" s="32">
        <f>IF(OR($B931="",$AC931="",$A931="",$F931=""),"",$B931&amp;"|"&amp;$A931&amp;"|"&amp;$F931&amp;"|"&amp;$AC931&amp;"|"&amp;COUNTIFS($B$6:$B931,$B931,$A$6:$A931,$A931,$F$6:$F931,$F931,$AC$6:$AC931,$AC931))</f>
        <v/>
      </c>
      <c r="AG931" s="32">
        <f>IF($C931="","",$C931&amp;"|"&amp;COUNTIFS($C$6:$C931,$C931))</f>
        <v/>
      </c>
      <c r="AH931" s="32">
        <f>IF(OR($C931="",$A931="",$AE931=""),"",$C931&amp;"|"&amp;$A931&amp;"|"&amp;$AE931)</f>
        <v/>
      </c>
      <c r="AI931" s="32">
        <f>IF(OR($C931="",$AE931="",$AE931=1),"",IFERROR(INDEX($AC$6:$AC$1505,MATCH($C931&amp;"|"&amp;$A931&amp;"|"&amp;($AE931-1),$AH$6:$AH$1505,0)),""))</f>
        <v/>
      </c>
      <c r="AJ931" s="32">
        <f>IF(OR($AI931="",$AC931=""),"",IF($AI931=$AC931,"ללא שינוי","מ-"&amp;$AI931&amp;" ל-"&amp;$AC931))</f>
        <v/>
      </c>
      <c r="AK931" s="67" t="n"/>
    </row>
    <row r="932" ht="15.75" customHeight="1" s="58">
      <c r="A932" s="65" t="n"/>
      <c r="B932" s="65" t="n"/>
      <c r="C932" s="66" t="n"/>
      <c r="D932" s="66" t="n"/>
      <c r="E932" s="65" t="n"/>
      <c r="F932" s="65" t="n"/>
      <c r="G932" s="65" t="n"/>
      <c r="H932" s="65" t="n"/>
      <c r="I932" s="65" t="n"/>
      <c r="J932" s="65" t="n"/>
      <c r="K932" s="65" t="n"/>
      <c r="L932" s="65" t="n"/>
      <c r="M932" s="65" t="n"/>
      <c r="N932" s="65" t="n"/>
      <c r="O932" s="65" t="n"/>
      <c r="P932" s="65" t="n"/>
      <c r="Q932" s="65" t="n"/>
      <c r="R932" s="65" t="n"/>
      <c r="S932" s="65" t="n"/>
      <c r="T932" s="65" t="n"/>
      <c r="U932" s="65" t="n"/>
      <c r="V932" s="65" t="n"/>
      <c r="W932" s="65" t="n"/>
      <c r="X932" s="65" t="n"/>
      <c r="Y932" s="32">
        <f>IF($C932="","",IF(COUNTA($I932:$K932)&lt;3,"— חסרים נתונים",IF(AND($I932="תקין",$J932="תקין",$K932="תקין"),"רהוטה",IF(AND($I932="תקין",$J932="תקין"),"מדויקת ורציפה","אינה מדויקת או מקוטעת"))))</f>
        <v/>
      </c>
      <c r="Z932" s="32">
        <f>IF($C932="","",IF(COUNTA($U932:$W932)&lt;3,"",IF(AND($U932="מפותח",$V932="מפותח",$W932="מפותחת"),"מפותחת",IF((--($U932="דל"))+(--($V932="אינו מפותח"))+(--($W932="דלה"))&gt;=2,"אינה מפותחת","חלקית"))))</f>
        <v/>
      </c>
      <c r="AA932" s="32">
        <f>IF($C932="","",IF(COUNTA($M932,$N932,$O932)&lt;3,"— חסרים נתונים",IF(OR($M932="נמוכה",(--($M932&lt;&gt;"תקינה"))+(--($N932&lt;&gt;"תקין"))+(--($O932&lt;&gt;"תקינה"))&gt;=2),"ניכרת","אינה ניכרת")))</f>
        <v/>
      </c>
      <c r="AB932" s="32">
        <f>IF(OR($C932="",$Y932="",$AA932="",LEFT($Y932,1)="—",LEFT($AA932,1)="—"),"",IF($Z932="","— נדרשת הערכת כתיבה",IF($L932="","— חסרה הבנת הנקרא",IF($Y932="אינה מדויקת או מקוטעת",IF($AA932="ניכרת","מיקוד בשטף הקריאה ובכישורי שפה","מיקוד בשטף קריאה"),IF($AA932="ניכרת","מיקוד בכישורי שפה",IF(AND($L932="תקינה",$Z932="מפותחת"),"קוראים וכותבים מיומנים","מיקוד בהבנה והבעה"))))))</f>
        <v/>
      </c>
      <c r="AC932" s="32">
        <f>IF(OR($AB932="",LEFT($AB932,1)="—"),"",IF(OR($AB932="מיקוד בשטף קריאה",$AB932="מיקוד בשטף הקריאה ובכישורי שפה"),"רמה א'",IF($AB932="קוראים וכותבים מיומנים","רמה ג'","רמה ב'")))</f>
        <v/>
      </c>
      <c r="AD932" s="32">
        <f>IF($AC932="","",MID(IF(AND($AC932="רמה א'",$AA932="ניכרת"),"; להוסיף עבודת אוצר מילים","")&amp;IF($Z932="אינה מפותחת","; דגש על הבעה בכתב","")&amp;IF($K932&lt;&gt;"תקין","; נדרש לעבוד על ההנגנה","")&amp;IF($AK932&lt;&gt;"","; "&amp;$AK932,""),3,400))</f>
        <v/>
      </c>
      <c r="AE932" s="32">
        <f>IF($F932="","",IF($F932="תחילת שנה",1,IF($F932="מחצית שנה",2,3)))</f>
        <v/>
      </c>
      <c r="AF932" s="32">
        <f>IF(OR($B932="",$AC932="",$A932="",$F932=""),"",$B932&amp;"|"&amp;$A932&amp;"|"&amp;$F932&amp;"|"&amp;$AC932&amp;"|"&amp;COUNTIFS($B$6:$B932,$B932,$A$6:$A932,$A932,$F$6:$F932,$F932,$AC$6:$AC932,$AC932))</f>
        <v/>
      </c>
      <c r="AG932" s="32">
        <f>IF($C932="","",$C932&amp;"|"&amp;COUNTIFS($C$6:$C932,$C932))</f>
        <v/>
      </c>
      <c r="AH932" s="32">
        <f>IF(OR($C932="",$A932="",$AE932=""),"",$C932&amp;"|"&amp;$A932&amp;"|"&amp;$AE932)</f>
        <v/>
      </c>
      <c r="AI932" s="32">
        <f>IF(OR($C932="",$AE932="",$AE932=1),"",IFERROR(INDEX($AC$6:$AC$1505,MATCH($C932&amp;"|"&amp;$A932&amp;"|"&amp;($AE932-1),$AH$6:$AH$1505,0)),""))</f>
        <v/>
      </c>
      <c r="AJ932" s="32">
        <f>IF(OR($AI932="",$AC932=""),"",IF($AI932=$AC932,"ללא שינוי","מ-"&amp;$AI932&amp;" ל-"&amp;$AC932))</f>
        <v/>
      </c>
      <c r="AK932" s="67" t="n"/>
    </row>
    <row r="933" ht="15.75" customHeight="1" s="58">
      <c r="A933" s="65" t="n"/>
      <c r="B933" s="65" t="n"/>
      <c r="C933" s="66" t="n"/>
      <c r="D933" s="66" t="n"/>
      <c r="E933" s="65" t="n"/>
      <c r="F933" s="65" t="n"/>
      <c r="G933" s="65" t="n"/>
      <c r="H933" s="65" t="n"/>
      <c r="I933" s="65" t="n"/>
      <c r="J933" s="65" t="n"/>
      <c r="K933" s="65" t="n"/>
      <c r="L933" s="65" t="n"/>
      <c r="M933" s="65" t="n"/>
      <c r="N933" s="65" t="n"/>
      <c r="O933" s="65" t="n"/>
      <c r="P933" s="65" t="n"/>
      <c r="Q933" s="65" t="n"/>
      <c r="R933" s="65" t="n"/>
      <c r="S933" s="65" t="n"/>
      <c r="T933" s="65" t="n"/>
      <c r="U933" s="65" t="n"/>
      <c r="V933" s="65" t="n"/>
      <c r="W933" s="65" t="n"/>
      <c r="X933" s="65" t="n"/>
      <c r="Y933" s="32">
        <f>IF($C933="","",IF(COUNTA($I933:$K933)&lt;3,"— חסרים נתונים",IF(AND($I933="תקין",$J933="תקין",$K933="תקין"),"רהוטה",IF(AND($I933="תקין",$J933="תקין"),"מדויקת ורציפה","אינה מדויקת או מקוטעת"))))</f>
        <v/>
      </c>
      <c r="Z933" s="32">
        <f>IF($C933="","",IF(COUNTA($U933:$W933)&lt;3,"",IF(AND($U933="מפותח",$V933="מפותח",$W933="מפותחת"),"מפותחת",IF((--($U933="דל"))+(--($V933="אינו מפותח"))+(--($W933="דלה"))&gt;=2,"אינה מפותחת","חלקית"))))</f>
        <v/>
      </c>
      <c r="AA933" s="32">
        <f>IF($C933="","",IF(COUNTA($M933,$N933,$O933)&lt;3,"— חסרים נתונים",IF(OR($M933="נמוכה",(--($M933&lt;&gt;"תקינה"))+(--($N933&lt;&gt;"תקין"))+(--($O933&lt;&gt;"תקינה"))&gt;=2),"ניכרת","אינה ניכרת")))</f>
        <v/>
      </c>
      <c r="AB933" s="32">
        <f>IF(OR($C933="",$Y933="",$AA933="",LEFT($Y933,1)="—",LEFT($AA933,1)="—"),"",IF($Z933="","— נדרשת הערכת כתיבה",IF($L933="","— חסרה הבנת הנקרא",IF($Y933="אינה מדויקת או מקוטעת",IF($AA933="ניכרת","מיקוד בשטף הקריאה ובכישורי שפה","מיקוד בשטף קריאה"),IF($AA933="ניכרת","מיקוד בכישורי שפה",IF(AND($L933="תקינה",$Z933="מפותחת"),"קוראים וכותבים מיומנים","מיקוד בהבנה והבעה"))))))</f>
        <v/>
      </c>
      <c r="AC933" s="32">
        <f>IF(OR($AB933="",LEFT($AB933,1)="—"),"",IF(OR($AB933="מיקוד בשטף קריאה",$AB933="מיקוד בשטף הקריאה ובכישורי שפה"),"רמה א'",IF($AB933="קוראים וכותבים מיומנים","רמה ג'","רמה ב'")))</f>
        <v/>
      </c>
      <c r="AD933" s="32">
        <f>IF($AC933="","",MID(IF(AND($AC933="רמה א'",$AA933="ניכרת"),"; להוסיף עבודת אוצר מילים","")&amp;IF($Z933="אינה מפותחת","; דגש על הבעה בכתב","")&amp;IF($K933&lt;&gt;"תקין","; נדרש לעבוד על ההנגנה","")&amp;IF($AK933&lt;&gt;"","; "&amp;$AK933,""),3,400))</f>
        <v/>
      </c>
      <c r="AE933" s="32">
        <f>IF($F933="","",IF($F933="תחילת שנה",1,IF($F933="מחצית שנה",2,3)))</f>
        <v/>
      </c>
      <c r="AF933" s="32">
        <f>IF(OR($B933="",$AC933="",$A933="",$F933=""),"",$B933&amp;"|"&amp;$A933&amp;"|"&amp;$F933&amp;"|"&amp;$AC933&amp;"|"&amp;COUNTIFS($B$6:$B933,$B933,$A$6:$A933,$A933,$F$6:$F933,$F933,$AC$6:$AC933,$AC933))</f>
        <v/>
      </c>
      <c r="AG933" s="32">
        <f>IF($C933="","",$C933&amp;"|"&amp;COUNTIFS($C$6:$C933,$C933))</f>
        <v/>
      </c>
      <c r="AH933" s="32">
        <f>IF(OR($C933="",$A933="",$AE933=""),"",$C933&amp;"|"&amp;$A933&amp;"|"&amp;$AE933)</f>
        <v/>
      </c>
      <c r="AI933" s="32">
        <f>IF(OR($C933="",$AE933="",$AE933=1),"",IFERROR(INDEX($AC$6:$AC$1505,MATCH($C933&amp;"|"&amp;$A933&amp;"|"&amp;($AE933-1),$AH$6:$AH$1505,0)),""))</f>
        <v/>
      </c>
      <c r="AJ933" s="32">
        <f>IF(OR($AI933="",$AC933=""),"",IF($AI933=$AC933,"ללא שינוי","מ-"&amp;$AI933&amp;" ל-"&amp;$AC933))</f>
        <v/>
      </c>
      <c r="AK933" s="67" t="n"/>
    </row>
    <row r="934" ht="15.75" customHeight="1" s="58">
      <c r="A934" s="65" t="n"/>
      <c r="B934" s="65" t="n"/>
      <c r="C934" s="66" t="n"/>
      <c r="D934" s="66" t="n"/>
      <c r="E934" s="65" t="n"/>
      <c r="F934" s="65" t="n"/>
      <c r="G934" s="65" t="n"/>
      <c r="H934" s="65" t="n"/>
      <c r="I934" s="65" t="n"/>
      <c r="J934" s="65" t="n"/>
      <c r="K934" s="65" t="n"/>
      <c r="L934" s="65" t="n"/>
      <c r="M934" s="65" t="n"/>
      <c r="N934" s="65" t="n"/>
      <c r="O934" s="65" t="n"/>
      <c r="P934" s="65" t="n"/>
      <c r="Q934" s="65" t="n"/>
      <c r="R934" s="65" t="n"/>
      <c r="S934" s="65" t="n"/>
      <c r="T934" s="65" t="n"/>
      <c r="U934" s="65" t="n"/>
      <c r="V934" s="65" t="n"/>
      <c r="W934" s="65" t="n"/>
      <c r="X934" s="65" t="n"/>
      <c r="Y934" s="32">
        <f>IF($C934="","",IF(COUNTA($I934:$K934)&lt;3,"— חסרים נתונים",IF(AND($I934="תקין",$J934="תקין",$K934="תקין"),"רהוטה",IF(AND($I934="תקין",$J934="תקין"),"מדויקת ורציפה","אינה מדויקת או מקוטעת"))))</f>
        <v/>
      </c>
      <c r="Z934" s="32">
        <f>IF($C934="","",IF(COUNTA($U934:$W934)&lt;3,"",IF(AND($U934="מפותח",$V934="מפותח",$W934="מפותחת"),"מפותחת",IF((--($U934="דל"))+(--($V934="אינו מפותח"))+(--($W934="דלה"))&gt;=2,"אינה מפותחת","חלקית"))))</f>
        <v/>
      </c>
      <c r="AA934" s="32">
        <f>IF($C934="","",IF(COUNTA($M934,$N934,$O934)&lt;3,"— חסרים נתונים",IF(OR($M934="נמוכה",(--($M934&lt;&gt;"תקינה"))+(--($N934&lt;&gt;"תקין"))+(--($O934&lt;&gt;"תקינה"))&gt;=2),"ניכרת","אינה ניכרת")))</f>
        <v/>
      </c>
      <c r="AB934" s="32">
        <f>IF(OR($C934="",$Y934="",$AA934="",LEFT($Y934,1)="—",LEFT($AA934,1)="—"),"",IF($Z934="","— נדרשת הערכת כתיבה",IF($L934="","— חסרה הבנת הנקרא",IF($Y934="אינה מדויקת או מקוטעת",IF($AA934="ניכרת","מיקוד בשטף הקריאה ובכישורי שפה","מיקוד בשטף קריאה"),IF($AA934="ניכרת","מיקוד בכישורי שפה",IF(AND($L934="תקינה",$Z934="מפותחת"),"קוראים וכותבים מיומנים","מיקוד בהבנה והבעה"))))))</f>
        <v/>
      </c>
      <c r="AC934" s="32">
        <f>IF(OR($AB934="",LEFT($AB934,1)="—"),"",IF(OR($AB934="מיקוד בשטף קריאה",$AB934="מיקוד בשטף הקריאה ובכישורי שפה"),"רמה א'",IF($AB934="קוראים וכותבים מיומנים","רמה ג'","רמה ב'")))</f>
        <v/>
      </c>
      <c r="AD934" s="32">
        <f>IF($AC934="","",MID(IF(AND($AC934="רמה א'",$AA934="ניכרת"),"; להוסיף עבודת אוצר מילים","")&amp;IF($Z934="אינה מפותחת","; דגש על הבעה בכתב","")&amp;IF($K934&lt;&gt;"תקין","; נדרש לעבוד על ההנגנה","")&amp;IF($AK934&lt;&gt;"","; "&amp;$AK934,""),3,400))</f>
        <v/>
      </c>
      <c r="AE934" s="32">
        <f>IF($F934="","",IF($F934="תחילת שנה",1,IF($F934="מחצית שנה",2,3)))</f>
        <v/>
      </c>
      <c r="AF934" s="32">
        <f>IF(OR($B934="",$AC934="",$A934="",$F934=""),"",$B934&amp;"|"&amp;$A934&amp;"|"&amp;$F934&amp;"|"&amp;$AC934&amp;"|"&amp;COUNTIFS($B$6:$B934,$B934,$A$6:$A934,$A934,$F$6:$F934,$F934,$AC$6:$AC934,$AC934))</f>
        <v/>
      </c>
      <c r="AG934" s="32">
        <f>IF($C934="","",$C934&amp;"|"&amp;COUNTIFS($C$6:$C934,$C934))</f>
        <v/>
      </c>
      <c r="AH934" s="32">
        <f>IF(OR($C934="",$A934="",$AE934=""),"",$C934&amp;"|"&amp;$A934&amp;"|"&amp;$AE934)</f>
        <v/>
      </c>
      <c r="AI934" s="32">
        <f>IF(OR($C934="",$AE934="",$AE934=1),"",IFERROR(INDEX($AC$6:$AC$1505,MATCH($C934&amp;"|"&amp;$A934&amp;"|"&amp;($AE934-1),$AH$6:$AH$1505,0)),""))</f>
        <v/>
      </c>
      <c r="AJ934" s="32">
        <f>IF(OR($AI934="",$AC934=""),"",IF($AI934=$AC934,"ללא שינוי","מ-"&amp;$AI934&amp;" ל-"&amp;$AC934))</f>
        <v/>
      </c>
      <c r="AK934" s="67" t="n"/>
    </row>
    <row r="935" ht="15.75" customHeight="1" s="58">
      <c r="A935" s="65" t="n"/>
      <c r="B935" s="65" t="n"/>
      <c r="C935" s="66" t="n"/>
      <c r="D935" s="66" t="n"/>
      <c r="E935" s="65" t="n"/>
      <c r="F935" s="65" t="n"/>
      <c r="G935" s="65" t="n"/>
      <c r="H935" s="65" t="n"/>
      <c r="I935" s="65" t="n"/>
      <c r="J935" s="65" t="n"/>
      <c r="K935" s="65" t="n"/>
      <c r="L935" s="65" t="n"/>
      <c r="M935" s="65" t="n"/>
      <c r="N935" s="65" t="n"/>
      <c r="O935" s="65" t="n"/>
      <c r="P935" s="65" t="n"/>
      <c r="Q935" s="65" t="n"/>
      <c r="R935" s="65" t="n"/>
      <c r="S935" s="65" t="n"/>
      <c r="T935" s="65" t="n"/>
      <c r="U935" s="65" t="n"/>
      <c r="V935" s="65" t="n"/>
      <c r="W935" s="65" t="n"/>
      <c r="X935" s="65" t="n"/>
      <c r="Y935" s="32">
        <f>IF($C935="","",IF(COUNTA($I935:$K935)&lt;3,"— חסרים נתונים",IF(AND($I935="תקין",$J935="תקין",$K935="תקין"),"רהוטה",IF(AND($I935="תקין",$J935="תקין"),"מדויקת ורציפה","אינה מדויקת או מקוטעת"))))</f>
        <v/>
      </c>
      <c r="Z935" s="32">
        <f>IF($C935="","",IF(COUNTA($U935:$W935)&lt;3,"",IF(AND($U935="מפותח",$V935="מפותח",$W935="מפותחת"),"מפותחת",IF((--($U935="דל"))+(--($V935="אינו מפותח"))+(--($W935="דלה"))&gt;=2,"אינה מפותחת","חלקית"))))</f>
        <v/>
      </c>
      <c r="AA935" s="32">
        <f>IF($C935="","",IF(COUNTA($M935,$N935,$O935)&lt;3,"— חסרים נתונים",IF(OR($M935="נמוכה",(--($M935&lt;&gt;"תקינה"))+(--($N935&lt;&gt;"תקין"))+(--($O935&lt;&gt;"תקינה"))&gt;=2),"ניכרת","אינה ניכרת")))</f>
        <v/>
      </c>
      <c r="AB935" s="32">
        <f>IF(OR($C935="",$Y935="",$AA935="",LEFT($Y935,1)="—",LEFT($AA935,1)="—"),"",IF($Z935="","— נדרשת הערכת כתיבה",IF($L935="","— חסרה הבנת הנקרא",IF($Y935="אינה מדויקת או מקוטעת",IF($AA935="ניכרת","מיקוד בשטף הקריאה ובכישורי שפה","מיקוד בשטף קריאה"),IF($AA935="ניכרת","מיקוד בכישורי שפה",IF(AND($L935="תקינה",$Z935="מפותחת"),"קוראים וכותבים מיומנים","מיקוד בהבנה והבעה"))))))</f>
        <v/>
      </c>
      <c r="AC935" s="32">
        <f>IF(OR($AB935="",LEFT($AB935,1)="—"),"",IF(OR($AB935="מיקוד בשטף קריאה",$AB935="מיקוד בשטף הקריאה ובכישורי שפה"),"רמה א'",IF($AB935="קוראים וכותבים מיומנים","רמה ג'","רמה ב'")))</f>
        <v/>
      </c>
      <c r="AD935" s="32">
        <f>IF($AC935="","",MID(IF(AND($AC935="רמה א'",$AA935="ניכרת"),"; להוסיף עבודת אוצר מילים","")&amp;IF($Z935="אינה מפותחת","; דגש על הבעה בכתב","")&amp;IF($K935&lt;&gt;"תקין","; נדרש לעבוד על ההנגנה","")&amp;IF($AK935&lt;&gt;"","; "&amp;$AK935,""),3,400))</f>
        <v/>
      </c>
      <c r="AE935" s="32">
        <f>IF($F935="","",IF($F935="תחילת שנה",1,IF($F935="מחצית שנה",2,3)))</f>
        <v/>
      </c>
      <c r="AF935" s="32">
        <f>IF(OR($B935="",$AC935="",$A935="",$F935=""),"",$B935&amp;"|"&amp;$A935&amp;"|"&amp;$F935&amp;"|"&amp;$AC935&amp;"|"&amp;COUNTIFS($B$6:$B935,$B935,$A$6:$A935,$A935,$F$6:$F935,$F935,$AC$6:$AC935,$AC935))</f>
        <v/>
      </c>
      <c r="AG935" s="32">
        <f>IF($C935="","",$C935&amp;"|"&amp;COUNTIFS($C$6:$C935,$C935))</f>
        <v/>
      </c>
      <c r="AH935" s="32">
        <f>IF(OR($C935="",$A935="",$AE935=""),"",$C935&amp;"|"&amp;$A935&amp;"|"&amp;$AE935)</f>
        <v/>
      </c>
      <c r="AI935" s="32">
        <f>IF(OR($C935="",$AE935="",$AE935=1),"",IFERROR(INDEX($AC$6:$AC$1505,MATCH($C935&amp;"|"&amp;$A935&amp;"|"&amp;($AE935-1),$AH$6:$AH$1505,0)),""))</f>
        <v/>
      </c>
      <c r="AJ935" s="32">
        <f>IF(OR($AI935="",$AC935=""),"",IF($AI935=$AC935,"ללא שינוי","מ-"&amp;$AI935&amp;" ל-"&amp;$AC935))</f>
        <v/>
      </c>
      <c r="AK935" s="67" t="n"/>
    </row>
    <row r="936" ht="15.75" customHeight="1" s="58">
      <c r="A936" s="65" t="n"/>
      <c r="B936" s="65" t="n"/>
      <c r="C936" s="66" t="n"/>
      <c r="D936" s="66" t="n"/>
      <c r="E936" s="65" t="n"/>
      <c r="F936" s="65" t="n"/>
      <c r="G936" s="65" t="n"/>
      <c r="H936" s="65" t="n"/>
      <c r="I936" s="65" t="n"/>
      <c r="J936" s="65" t="n"/>
      <c r="K936" s="65" t="n"/>
      <c r="L936" s="65" t="n"/>
      <c r="M936" s="65" t="n"/>
      <c r="N936" s="65" t="n"/>
      <c r="O936" s="65" t="n"/>
      <c r="P936" s="65" t="n"/>
      <c r="Q936" s="65" t="n"/>
      <c r="R936" s="65" t="n"/>
      <c r="S936" s="65" t="n"/>
      <c r="T936" s="65" t="n"/>
      <c r="U936" s="65" t="n"/>
      <c r="V936" s="65" t="n"/>
      <c r="W936" s="65" t="n"/>
      <c r="X936" s="65" t="n"/>
      <c r="Y936" s="32">
        <f>IF($C936="","",IF(COUNTA($I936:$K936)&lt;3,"— חסרים נתונים",IF(AND($I936="תקין",$J936="תקין",$K936="תקין"),"רהוטה",IF(AND($I936="תקין",$J936="תקין"),"מדויקת ורציפה","אינה מדויקת או מקוטעת"))))</f>
        <v/>
      </c>
      <c r="Z936" s="32">
        <f>IF($C936="","",IF(COUNTA($U936:$W936)&lt;3,"",IF(AND($U936="מפותח",$V936="מפותח",$W936="מפותחת"),"מפותחת",IF((--($U936="דל"))+(--($V936="אינו מפותח"))+(--($W936="דלה"))&gt;=2,"אינה מפותחת","חלקית"))))</f>
        <v/>
      </c>
      <c r="AA936" s="32">
        <f>IF($C936="","",IF(COUNTA($M936,$N936,$O936)&lt;3,"— חסרים נתונים",IF(OR($M936="נמוכה",(--($M936&lt;&gt;"תקינה"))+(--($N936&lt;&gt;"תקין"))+(--($O936&lt;&gt;"תקינה"))&gt;=2),"ניכרת","אינה ניכרת")))</f>
        <v/>
      </c>
      <c r="AB936" s="32">
        <f>IF(OR($C936="",$Y936="",$AA936="",LEFT($Y936,1)="—",LEFT($AA936,1)="—"),"",IF($Z936="","— נדרשת הערכת כתיבה",IF($L936="","— חסרה הבנת הנקרא",IF($Y936="אינה מדויקת או מקוטעת",IF($AA936="ניכרת","מיקוד בשטף הקריאה ובכישורי שפה","מיקוד בשטף קריאה"),IF($AA936="ניכרת","מיקוד בכישורי שפה",IF(AND($L936="תקינה",$Z936="מפותחת"),"קוראים וכותבים מיומנים","מיקוד בהבנה והבעה"))))))</f>
        <v/>
      </c>
      <c r="AC936" s="32">
        <f>IF(OR($AB936="",LEFT($AB936,1)="—"),"",IF(OR($AB936="מיקוד בשטף קריאה",$AB936="מיקוד בשטף הקריאה ובכישורי שפה"),"רמה א'",IF($AB936="קוראים וכותבים מיומנים","רמה ג'","רמה ב'")))</f>
        <v/>
      </c>
      <c r="AD936" s="32">
        <f>IF($AC936="","",MID(IF(AND($AC936="רמה א'",$AA936="ניכרת"),"; להוסיף עבודת אוצר מילים","")&amp;IF($Z936="אינה מפותחת","; דגש על הבעה בכתב","")&amp;IF($K936&lt;&gt;"תקין","; נדרש לעבוד על ההנגנה","")&amp;IF($AK936&lt;&gt;"","; "&amp;$AK936,""),3,400))</f>
        <v/>
      </c>
      <c r="AE936" s="32">
        <f>IF($F936="","",IF($F936="תחילת שנה",1,IF($F936="מחצית שנה",2,3)))</f>
        <v/>
      </c>
      <c r="AF936" s="32">
        <f>IF(OR($B936="",$AC936="",$A936="",$F936=""),"",$B936&amp;"|"&amp;$A936&amp;"|"&amp;$F936&amp;"|"&amp;$AC936&amp;"|"&amp;COUNTIFS($B$6:$B936,$B936,$A$6:$A936,$A936,$F$6:$F936,$F936,$AC$6:$AC936,$AC936))</f>
        <v/>
      </c>
      <c r="AG936" s="32">
        <f>IF($C936="","",$C936&amp;"|"&amp;COUNTIFS($C$6:$C936,$C936))</f>
        <v/>
      </c>
      <c r="AH936" s="32">
        <f>IF(OR($C936="",$A936="",$AE936=""),"",$C936&amp;"|"&amp;$A936&amp;"|"&amp;$AE936)</f>
        <v/>
      </c>
      <c r="AI936" s="32">
        <f>IF(OR($C936="",$AE936="",$AE936=1),"",IFERROR(INDEX($AC$6:$AC$1505,MATCH($C936&amp;"|"&amp;$A936&amp;"|"&amp;($AE936-1),$AH$6:$AH$1505,0)),""))</f>
        <v/>
      </c>
      <c r="AJ936" s="32">
        <f>IF(OR($AI936="",$AC936=""),"",IF($AI936=$AC936,"ללא שינוי","מ-"&amp;$AI936&amp;" ל-"&amp;$AC936))</f>
        <v/>
      </c>
      <c r="AK936" s="67" t="n"/>
    </row>
    <row r="937" ht="15.75" customHeight="1" s="58">
      <c r="A937" s="65" t="n"/>
      <c r="B937" s="65" t="n"/>
      <c r="C937" s="66" t="n"/>
      <c r="D937" s="66" t="n"/>
      <c r="E937" s="65" t="n"/>
      <c r="F937" s="65" t="n"/>
      <c r="G937" s="65" t="n"/>
      <c r="H937" s="65" t="n"/>
      <c r="I937" s="65" t="n"/>
      <c r="J937" s="65" t="n"/>
      <c r="K937" s="65" t="n"/>
      <c r="L937" s="65" t="n"/>
      <c r="M937" s="65" t="n"/>
      <c r="N937" s="65" t="n"/>
      <c r="O937" s="65" t="n"/>
      <c r="P937" s="65" t="n"/>
      <c r="Q937" s="65" t="n"/>
      <c r="R937" s="65" t="n"/>
      <c r="S937" s="65" t="n"/>
      <c r="T937" s="65" t="n"/>
      <c r="U937" s="65" t="n"/>
      <c r="V937" s="65" t="n"/>
      <c r="W937" s="65" t="n"/>
      <c r="X937" s="65" t="n"/>
      <c r="Y937" s="32">
        <f>IF($C937="","",IF(COUNTA($I937:$K937)&lt;3,"— חסרים נתונים",IF(AND($I937="תקין",$J937="תקין",$K937="תקין"),"רהוטה",IF(AND($I937="תקין",$J937="תקין"),"מדויקת ורציפה","אינה מדויקת או מקוטעת"))))</f>
        <v/>
      </c>
      <c r="Z937" s="32">
        <f>IF($C937="","",IF(COUNTA($U937:$W937)&lt;3,"",IF(AND($U937="מפותח",$V937="מפותח",$W937="מפותחת"),"מפותחת",IF((--($U937="דל"))+(--($V937="אינו מפותח"))+(--($W937="דלה"))&gt;=2,"אינה מפותחת","חלקית"))))</f>
        <v/>
      </c>
      <c r="AA937" s="32">
        <f>IF($C937="","",IF(COUNTA($M937,$N937,$O937)&lt;3,"— חסרים נתונים",IF(OR($M937="נמוכה",(--($M937&lt;&gt;"תקינה"))+(--($N937&lt;&gt;"תקין"))+(--($O937&lt;&gt;"תקינה"))&gt;=2),"ניכרת","אינה ניכרת")))</f>
        <v/>
      </c>
      <c r="AB937" s="32">
        <f>IF(OR($C937="",$Y937="",$AA937="",LEFT($Y937,1)="—",LEFT($AA937,1)="—"),"",IF($Z937="","— נדרשת הערכת כתיבה",IF($L937="","— חסרה הבנת הנקרא",IF($Y937="אינה מדויקת או מקוטעת",IF($AA937="ניכרת","מיקוד בשטף הקריאה ובכישורי שפה","מיקוד בשטף קריאה"),IF($AA937="ניכרת","מיקוד בכישורי שפה",IF(AND($L937="תקינה",$Z937="מפותחת"),"קוראים וכותבים מיומנים","מיקוד בהבנה והבעה"))))))</f>
        <v/>
      </c>
      <c r="AC937" s="32">
        <f>IF(OR($AB937="",LEFT($AB937,1)="—"),"",IF(OR($AB937="מיקוד בשטף קריאה",$AB937="מיקוד בשטף הקריאה ובכישורי שפה"),"רמה א'",IF($AB937="קוראים וכותבים מיומנים","רמה ג'","רמה ב'")))</f>
        <v/>
      </c>
      <c r="AD937" s="32">
        <f>IF($AC937="","",MID(IF(AND($AC937="רמה א'",$AA937="ניכרת"),"; להוסיף עבודת אוצר מילים","")&amp;IF($Z937="אינה מפותחת","; דגש על הבעה בכתב","")&amp;IF($K937&lt;&gt;"תקין","; נדרש לעבוד על ההנגנה","")&amp;IF($AK937&lt;&gt;"","; "&amp;$AK937,""),3,400))</f>
        <v/>
      </c>
      <c r="AE937" s="32">
        <f>IF($F937="","",IF($F937="תחילת שנה",1,IF($F937="מחצית שנה",2,3)))</f>
        <v/>
      </c>
      <c r="AF937" s="32">
        <f>IF(OR($B937="",$AC937="",$A937="",$F937=""),"",$B937&amp;"|"&amp;$A937&amp;"|"&amp;$F937&amp;"|"&amp;$AC937&amp;"|"&amp;COUNTIFS($B$6:$B937,$B937,$A$6:$A937,$A937,$F$6:$F937,$F937,$AC$6:$AC937,$AC937))</f>
        <v/>
      </c>
      <c r="AG937" s="32">
        <f>IF($C937="","",$C937&amp;"|"&amp;COUNTIFS($C$6:$C937,$C937))</f>
        <v/>
      </c>
      <c r="AH937" s="32">
        <f>IF(OR($C937="",$A937="",$AE937=""),"",$C937&amp;"|"&amp;$A937&amp;"|"&amp;$AE937)</f>
        <v/>
      </c>
      <c r="AI937" s="32">
        <f>IF(OR($C937="",$AE937="",$AE937=1),"",IFERROR(INDEX($AC$6:$AC$1505,MATCH($C937&amp;"|"&amp;$A937&amp;"|"&amp;($AE937-1),$AH$6:$AH$1505,0)),""))</f>
        <v/>
      </c>
      <c r="AJ937" s="32">
        <f>IF(OR($AI937="",$AC937=""),"",IF($AI937=$AC937,"ללא שינוי","מ-"&amp;$AI937&amp;" ל-"&amp;$AC937))</f>
        <v/>
      </c>
      <c r="AK937" s="67" t="n"/>
    </row>
    <row r="938" ht="15.75" customHeight="1" s="58">
      <c r="A938" s="65" t="n"/>
      <c r="B938" s="65" t="n"/>
      <c r="C938" s="66" t="n"/>
      <c r="D938" s="66" t="n"/>
      <c r="E938" s="65" t="n"/>
      <c r="F938" s="65" t="n"/>
      <c r="G938" s="65" t="n"/>
      <c r="H938" s="65" t="n"/>
      <c r="I938" s="65" t="n"/>
      <c r="J938" s="65" t="n"/>
      <c r="K938" s="65" t="n"/>
      <c r="L938" s="65" t="n"/>
      <c r="M938" s="65" t="n"/>
      <c r="N938" s="65" t="n"/>
      <c r="O938" s="65" t="n"/>
      <c r="P938" s="65" t="n"/>
      <c r="Q938" s="65" t="n"/>
      <c r="R938" s="65" t="n"/>
      <c r="S938" s="65" t="n"/>
      <c r="T938" s="65" t="n"/>
      <c r="U938" s="65" t="n"/>
      <c r="V938" s="65" t="n"/>
      <c r="W938" s="65" t="n"/>
      <c r="X938" s="65" t="n"/>
      <c r="Y938" s="32">
        <f>IF($C938="","",IF(COUNTA($I938:$K938)&lt;3,"— חסרים נתונים",IF(AND($I938="תקין",$J938="תקין",$K938="תקין"),"רהוטה",IF(AND($I938="תקין",$J938="תקין"),"מדויקת ורציפה","אינה מדויקת או מקוטעת"))))</f>
        <v/>
      </c>
      <c r="Z938" s="32">
        <f>IF($C938="","",IF(COUNTA($U938:$W938)&lt;3,"",IF(AND($U938="מפותח",$V938="מפותח",$W938="מפותחת"),"מפותחת",IF((--($U938="דל"))+(--($V938="אינו מפותח"))+(--($W938="דלה"))&gt;=2,"אינה מפותחת","חלקית"))))</f>
        <v/>
      </c>
      <c r="AA938" s="32">
        <f>IF($C938="","",IF(COUNTA($M938,$N938,$O938)&lt;3,"— חסרים נתונים",IF(OR($M938="נמוכה",(--($M938&lt;&gt;"תקינה"))+(--($N938&lt;&gt;"תקין"))+(--($O938&lt;&gt;"תקינה"))&gt;=2),"ניכרת","אינה ניכרת")))</f>
        <v/>
      </c>
      <c r="AB938" s="32">
        <f>IF(OR($C938="",$Y938="",$AA938="",LEFT($Y938,1)="—",LEFT($AA938,1)="—"),"",IF($Z938="","— נדרשת הערכת כתיבה",IF($L938="","— חסרה הבנת הנקרא",IF($Y938="אינה מדויקת או מקוטעת",IF($AA938="ניכרת","מיקוד בשטף הקריאה ובכישורי שפה","מיקוד בשטף קריאה"),IF($AA938="ניכרת","מיקוד בכישורי שפה",IF(AND($L938="תקינה",$Z938="מפותחת"),"קוראים וכותבים מיומנים","מיקוד בהבנה והבעה"))))))</f>
        <v/>
      </c>
      <c r="AC938" s="32">
        <f>IF(OR($AB938="",LEFT($AB938,1)="—"),"",IF(OR($AB938="מיקוד בשטף קריאה",$AB938="מיקוד בשטף הקריאה ובכישורי שפה"),"רמה א'",IF($AB938="קוראים וכותבים מיומנים","רמה ג'","רמה ב'")))</f>
        <v/>
      </c>
      <c r="AD938" s="32">
        <f>IF($AC938="","",MID(IF(AND($AC938="רמה א'",$AA938="ניכרת"),"; להוסיף עבודת אוצר מילים","")&amp;IF($Z938="אינה מפותחת","; דגש על הבעה בכתב","")&amp;IF($K938&lt;&gt;"תקין","; נדרש לעבוד על ההנגנה","")&amp;IF($AK938&lt;&gt;"","; "&amp;$AK938,""),3,400))</f>
        <v/>
      </c>
      <c r="AE938" s="32">
        <f>IF($F938="","",IF($F938="תחילת שנה",1,IF($F938="מחצית שנה",2,3)))</f>
        <v/>
      </c>
      <c r="AF938" s="32">
        <f>IF(OR($B938="",$AC938="",$A938="",$F938=""),"",$B938&amp;"|"&amp;$A938&amp;"|"&amp;$F938&amp;"|"&amp;$AC938&amp;"|"&amp;COUNTIFS($B$6:$B938,$B938,$A$6:$A938,$A938,$F$6:$F938,$F938,$AC$6:$AC938,$AC938))</f>
        <v/>
      </c>
      <c r="AG938" s="32">
        <f>IF($C938="","",$C938&amp;"|"&amp;COUNTIFS($C$6:$C938,$C938))</f>
        <v/>
      </c>
      <c r="AH938" s="32">
        <f>IF(OR($C938="",$A938="",$AE938=""),"",$C938&amp;"|"&amp;$A938&amp;"|"&amp;$AE938)</f>
        <v/>
      </c>
      <c r="AI938" s="32">
        <f>IF(OR($C938="",$AE938="",$AE938=1),"",IFERROR(INDEX($AC$6:$AC$1505,MATCH($C938&amp;"|"&amp;$A938&amp;"|"&amp;($AE938-1),$AH$6:$AH$1505,0)),""))</f>
        <v/>
      </c>
      <c r="AJ938" s="32">
        <f>IF(OR($AI938="",$AC938=""),"",IF($AI938=$AC938,"ללא שינוי","מ-"&amp;$AI938&amp;" ל-"&amp;$AC938))</f>
        <v/>
      </c>
      <c r="AK938" s="67" t="n"/>
    </row>
    <row r="939" ht="15.75" customHeight="1" s="58">
      <c r="A939" s="65" t="n"/>
      <c r="B939" s="65" t="n"/>
      <c r="C939" s="66" t="n"/>
      <c r="D939" s="66" t="n"/>
      <c r="E939" s="65" t="n"/>
      <c r="F939" s="65" t="n"/>
      <c r="G939" s="65" t="n"/>
      <c r="H939" s="65" t="n"/>
      <c r="I939" s="65" t="n"/>
      <c r="J939" s="65" t="n"/>
      <c r="K939" s="65" t="n"/>
      <c r="L939" s="65" t="n"/>
      <c r="M939" s="65" t="n"/>
      <c r="N939" s="65" t="n"/>
      <c r="O939" s="65" t="n"/>
      <c r="P939" s="65" t="n"/>
      <c r="Q939" s="65" t="n"/>
      <c r="R939" s="65" t="n"/>
      <c r="S939" s="65" t="n"/>
      <c r="T939" s="65" t="n"/>
      <c r="U939" s="65" t="n"/>
      <c r="V939" s="65" t="n"/>
      <c r="W939" s="65" t="n"/>
      <c r="X939" s="65" t="n"/>
      <c r="Y939" s="32">
        <f>IF($C939="","",IF(COUNTA($I939:$K939)&lt;3,"— חסרים נתונים",IF(AND($I939="תקין",$J939="תקין",$K939="תקין"),"רהוטה",IF(AND($I939="תקין",$J939="תקין"),"מדויקת ורציפה","אינה מדויקת או מקוטעת"))))</f>
        <v/>
      </c>
      <c r="Z939" s="32">
        <f>IF($C939="","",IF(COUNTA($U939:$W939)&lt;3,"",IF(AND($U939="מפותח",$V939="מפותח",$W939="מפותחת"),"מפותחת",IF((--($U939="דל"))+(--($V939="אינו מפותח"))+(--($W939="דלה"))&gt;=2,"אינה מפותחת","חלקית"))))</f>
        <v/>
      </c>
      <c r="AA939" s="32">
        <f>IF($C939="","",IF(COUNTA($M939,$N939,$O939)&lt;3,"— חסרים נתונים",IF(OR($M939="נמוכה",(--($M939&lt;&gt;"תקינה"))+(--($N939&lt;&gt;"תקין"))+(--($O939&lt;&gt;"תקינה"))&gt;=2),"ניכרת","אינה ניכרת")))</f>
        <v/>
      </c>
      <c r="AB939" s="32">
        <f>IF(OR($C939="",$Y939="",$AA939="",LEFT($Y939,1)="—",LEFT($AA939,1)="—"),"",IF($Z939="","— נדרשת הערכת כתיבה",IF($L939="","— חסרה הבנת הנקרא",IF($Y939="אינה מדויקת או מקוטעת",IF($AA939="ניכרת","מיקוד בשטף הקריאה ובכישורי שפה","מיקוד בשטף קריאה"),IF($AA939="ניכרת","מיקוד בכישורי שפה",IF(AND($L939="תקינה",$Z939="מפותחת"),"קוראים וכותבים מיומנים","מיקוד בהבנה והבעה"))))))</f>
        <v/>
      </c>
      <c r="AC939" s="32">
        <f>IF(OR($AB939="",LEFT($AB939,1)="—"),"",IF(OR($AB939="מיקוד בשטף קריאה",$AB939="מיקוד בשטף הקריאה ובכישורי שפה"),"רמה א'",IF($AB939="קוראים וכותבים מיומנים","רמה ג'","רמה ב'")))</f>
        <v/>
      </c>
      <c r="AD939" s="32">
        <f>IF($AC939="","",MID(IF(AND($AC939="רמה א'",$AA939="ניכרת"),"; להוסיף עבודת אוצר מילים","")&amp;IF($Z939="אינה מפותחת","; דגש על הבעה בכתב","")&amp;IF($K939&lt;&gt;"תקין","; נדרש לעבוד על ההנגנה","")&amp;IF($AK939&lt;&gt;"","; "&amp;$AK939,""),3,400))</f>
        <v/>
      </c>
      <c r="AE939" s="32">
        <f>IF($F939="","",IF($F939="תחילת שנה",1,IF($F939="מחצית שנה",2,3)))</f>
        <v/>
      </c>
      <c r="AF939" s="32">
        <f>IF(OR($B939="",$AC939="",$A939="",$F939=""),"",$B939&amp;"|"&amp;$A939&amp;"|"&amp;$F939&amp;"|"&amp;$AC939&amp;"|"&amp;COUNTIFS($B$6:$B939,$B939,$A$6:$A939,$A939,$F$6:$F939,$F939,$AC$6:$AC939,$AC939))</f>
        <v/>
      </c>
      <c r="AG939" s="32">
        <f>IF($C939="","",$C939&amp;"|"&amp;COUNTIFS($C$6:$C939,$C939))</f>
        <v/>
      </c>
      <c r="AH939" s="32">
        <f>IF(OR($C939="",$A939="",$AE939=""),"",$C939&amp;"|"&amp;$A939&amp;"|"&amp;$AE939)</f>
        <v/>
      </c>
      <c r="AI939" s="32">
        <f>IF(OR($C939="",$AE939="",$AE939=1),"",IFERROR(INDEX($AC$6:$AC$1505,MATCH($C939&amp;"|"&amp;$A939&amp;"|"&amp;($AE939-1),$AH$6:$AH$1505,0)),""))</f>
        <v/>
      </c>
      <c r="AJ939" s="32">
        <f>IF(OR($AI939="",$AC939=""),"",IF($AI939=$AC939,"ללא שינוי","מ-"&amp;$AI939&amp;" ל-"&amp;$AC939))</f>
        <v/>
      </c>
      <c r="AK939" s="67" t="n"/>
    </row>
    <row r="940" ht="15.75" customHeight="1" s="58">
      <c r="A940" s="65" t="n"/>
      <c r="B940" s="65" t="n"/>
      <c r="C940" s="66" t="n"/>
      <c r="D940" s="66" t="n"/>
      <c r="E940" s="65" t="n"/>
      <c r="F940" s="65" t="n"/>
      <c r="G940" s="65" t="n"/>
      <c r="H940" s="65" t="n"/>
      <c r="I940" s="65" t="n"/>
      <c r="J940" s="65" t="n"/>
      <c r="K940" s="65" t="n"/>
      <c r="L940" s="65" t="n"/>
      <c r="M940" s="65" t="n"/>
      <c r="N940" s="65" t="n"/>
      <c r="O940" s="65" t="n"/>
      <c r="P940" s="65" t="n"/>
      <c r="Q940" s="65" t="n"/>
      <c r="R940" s="65" t="n"/>
      <c r="S940" s="65" t="n"/>
      <c r="T940" s="65" t="n"/>
      <c r="U940" s="65" t="n"/>
      <c r="V940" s="65" t="n"/>
      <c r="W940" s="65" t="n"/>
      <c r="X940" s="65" t="n"/>
      <c r="Y940" s="32">
        <f>IF($C940="","",IF(COUNTA($I940:$K940)&lt;3,"— חסרים נתונים",IF(AND($I940="תקין",$J940="תקין",$K940="תקין"),"רהוטה",IF(AND($I940="תקין",$J940="תקין"),"מדויקת ורציפה","אינה מדויקת או מקוטעת"))))</f>
        <v/>
      </c>
      <c r="Z940" s="32">
        <f>IF($C940="","",IF(COUNTA($U940:$W940)&lt;3,"",IF(AND($U940="מפותח",$V940="מפותח",$W940="מפותחת"),"מפותחת",IF((--($U940="דל"))+(--($V940="אינו מפותח"))+(--($W940="דלה"))&gt;=2,"אינה מפותחת","חלקית"))))</f>
        <v/>
      </c>
      <c r="AA940" s="32">
        <f>IF($C940="","",IF(COUNTA($M940,$N940,$O940)&lt;3,"— חסרים נתונים",IF(OR($M940="נמוכה",(--($M940&lt;&gt;"תקינה"))+(--($N940&lt;&gt;"תקין"))+(--($O940&lt;&gt;"תקינה"))&gt;=2),"ניכרת","אינה ניכרת")))</f>
        <v/>
      </c>
      <c r="AB940" s="32">
        <f>IF(OR($C940="",$Y940="",$AA940="",LEFT($Y940,1)="—",LEFT($AA940,1)="—"),"",IF($Z940="","— נדרשת הערכת כתיבה",IF($L940="","— חסרה הבנת הנקרא",IF($Y940="אינה מדויקת או מקוטעת",IF($AA940="ניכרת","מיקוד בשטף הקריאה ובכישורי שפה","מיקוד בשטף קריאה"),IF($AA940="ניכרת","מיקוד בכישורי שפה",IF(AND($L940="תקינה",$Z940="מפותחת"),"קוראים וכותבים מיומנים","מיקוד בהבנה והבעה"))))))</f>
        <v/>
      </c>
      <c r="AC940" s="32">
        <f>IF(OR($AB940="",LEFT($AB940,1)="—"),"",IF(OR($AB940="מיקוד בשטף קריאה",$AB940="מיקוד בשטף הקריאה ובכישורי שפה"),"רמה א'",IF($AB940="קוראים וכותבים מיומנים","רמה ג'","רמה ב'")))</f>
        <v/>
      </c>
      <c r="AD940" s="32">
        <f>IF($AC940="","",MID(IF(AND($AC940="רמה א'",$AA940="ניכרת"),"; להוסיף עבודת אוצר מילים","")&amp;IF($Z940="אינה מפותחת","; דגש על הבעה בכתב","")&amp;IF($K940&lt;&gt;"תקין","; נדרש לעבוד על ההנגנה","")&amp;IF($AK940&lt;&gt;"","; "&amp;$AK940,""),3,400))</f>
        <v/>
      </c>
      <c r="AE940" s="32">
        <f>IF($F940="","",IF($F940="תחילת שנה",1,IF($F940="מחצית שנה",2,3)))</f>
        <v/>
      </c>
      <c r="AF940" s="32">
        <f>IF(OR($B940="",$AC940="",$A940="",$F940=""),"",$B940&amp;"|"&amp;$A940&amp;"|"&amp;$F940&amp;"|"&amp;$AC940&amp;"|"&amp;COUNTIFS($B$6:$B940,$B940,$A$6:$A940,$A940,$F$6:$F940,$F940,$AC$6:$AC940,$AC940))</f>
        <v/>
      </c>
      <c r="AG940" s="32">
        <f>IF($C940="","",$C940&amp;"|"&amp;COUNTIFS($C$6:$C940,$C940))</f>
        <v/>
      </c>
      <c r="AH940" s="32">
        <f>IF(OR($C940="",$A940="",$AE940=""),"",$C940&amp;"|"&amp;$A940&amp;"|"&amp;$AE940)</f>
        <v/>
      </c>
      <c r="AI940" s="32">
        <f>IF(OR($C940="",$AE940="",$AE940=1),"",IFERROR(INDEX($AC$6:$AC$1505,MATCH($C940&amp;"|"&amp;$A940&amp;"|"&amp;($AE940-1),$AH$6:$AH$1505,0)),""))</f>
        <v/>
      </c>
      <c r="AJ940" s="32">
        <f>IF(OR($AI940="",$AC940=""),"",IF($AI940=$AC940,"ללא שינוי","מ-"&amp;$AI940&amp;" ל-"&amp;$AC940))</f>
        <v/>
      </c>
      <c r="AK940" s="67" t="n"/>
    </row>
    <row r="941" ht="15.75" customHeight="1" s="58">
      <c r="A941" s="65" t="n"/>
      <c r="B941" s="65" t="n"/>
      <c r="C941" s="66" t="n"/>
      <c r="D941" s="66" t="n"/>
      <c r="E941" s="65" t="n"/>
      <c r="F941" s="65" t="n"/>
      <c r="G941" s="65" t="n"/>
      <c r="H941" s="65" t="n"/>
      <c r="I941" s="65" t="n"/>
      <c r="J941" s="65" t="n"/>
      <c r="K941" s="65" t="n"/>
      <c r="L941" s="65" t="n"/>
      <c r="M941" s="65" t="n"/>
      <c r="N941" s="65" t="n"/>
      <c r="O941" s="65" t="n"/>
      <c r="P941" s="65" t="n"/>
      <c r="Q941" s="65" t="n"/>
      <c r="R941" s="65" t="n"/>
      <c r="S941" s="65" t="n"/>
      <c r="T941" s="65" t="n"/>
      <c r="U941" s="65" t="n"/>
      <c r="V941" s="65" t="n"/>
      <c r="W941" s="65" t="n"/>
      <c r="X941" s="65" t="n"/>
      <c r="Y941" s="32">
        <f>IF($C941="","",IF(COUNTA($I941:$K941)&lt;3,"— חסרים נתונים",IF(AND($I941="תקין",$J941="תקין",$K941="תקין"),"רהוטה",IF(AND($I941="תקין",$J941="תקין"),"מדויקת ורציפה","אינה מדויקת או מקוטעת"))))</f>
        <v/>
      </c>
      <c r="Z941" s="32">
        <f>IF($C941="","",IF(COUNTA($U941:$W941)&lt;3,"",IF(AND($U941="מפותח",$V941="מפותח",$W941="מפותחת"),"מפותחת",IF((--($U941="דל"))+(--($V941="אינו מפותח"))+(--($W941="דלה"))&gt;=2,"אינה מפותחת","חלקית"))))</f>
        <v/>
      </c>
      <c r="AA941" s="32">
        <f>IF($C941="","",IF(COUNTA($M941,$N941,$O941)&lt;3,"— חסרים נתונים",IF(OR($M941="נמוכה",(--($M941&lt;&gt;"תקינה"))+(--($N941&lt;&gt;"תקין"))+(--($O941&lt;&gt;"תקינה"))&gt;=2),"ניכרת","אינה ניכרת")))</f>
        <v/>
      </c>
      <c r="AB941" s="32">
        <f>IF(OR($C941="",$Y941="",$AA941="",LEFT($Y941,1)="—",LEFT($AA941,1)="—"),"",IF($Z941="","— נדרשת הערכת כתיבה",IF($L941="","— חסרה הבנת הנקרא",IF($Y941="אינה מדויקת או מקוטעת",IF($AA941="ניכרת","מיקוד בשטף הקריאה ובכישורי שפה","מיקוד בשטף קריאה"),IF($AA941="ניכרת","מיקוד בכישורי שפה",IF(AND($L941="תקינה",$Z941="מפותחת"),"קוראים וכותבים מיומנים","מיקוד בהבנה והבעה"))))))</f>
        <v/>
      </c>
      <c r="AC941" s="32">
        <f>IF(OR($AB941="",LEFT($AB941,1)="—"),"",IF(OR($AB941="מיקוד בשטף קריאה",$AB941="מיקוד בשטף הקריאה ובכישורי שפה"),"רמה א'",IF($AB941="קוראים וכותבים מיומנים","רמה ג'","רמה ב'")))</f>
        <v/>
      </c>
      <c r="AD941" s="32">
        <f>IF($AC941="","",MID(IF(AND($AC941="רמה א'",$AA941="ניכרת"),"; להוסיף עבודת אוצר מילים","")&amp;IF($Z941="אינה מפותחת","; דגש על הבעה בכתב","")&amp;IF($K941&lt;&gt;"תקין","; נדרש לעבוד על ההנגנה","")&amp;IF($AK941&lt;&gt;"","; "&amp;$AK941,""),3,400))</f>
        <v/>
      </c>
      <c r="AE941" s="32">
        <f>IF($F941="","",IF($F941="תחילת שנה",1,IF($F941="מחצית שנה",2,3)))</f>
        <v/>
      </c>
      <c r="AF941" s="32">
        <f>IF(OR($B941="",$AC941="",$A941="",$F941=""),"",$B941&amp;"|"&amp;$A941&amp;"|"&amp;$F941&amp;"|"&amp;$AC941&amp;"|"&amp;COUNTIFS($B$6:$B941,$B941,$A$6:$A941,$A941,$F$6:$F941,$F941,$AC$6:$AC941,$AC941))</f>
        <v/>
      </c>
      <c r="AG941" s="32">
        <f>IF($C941="","",$C941&amp;"|"&amp;COUNTIFS($C$6:$C941,$C941))</f>
        <v/>
      </c>
      <c r="AH941" s="32">
        <f>IF(OR($C941="",$A941="",$AE941=""),"",$C941&amp;"|"&amp;$A941&amp;"|"&amp;$AE941)</f>
        <v/>
      </c>
      <c r="AI941" s="32">
        <f>IF(OR($C941="",$AE941="",$AE941=1),"",IFERROR(INDEX($AC$6:$AC$1505,MATCH($C941&amp;"|"&amp;$A941&amp;"|"&amp;($AE941-1),$AH$6:$AH$1505,0)),""))</f>
        <v/>
      </c>
      <c r="AJ941" s="32">
        <f>IF(OR($AI941="",$AC941=""),"",IF($AI941=$AC941,"ללא שינוי","מ-"&amp;$AI941&amp;" ל-"&amp;$AC941))</f>
        <v/>
      </c>
      <c r="AK941" s="67" t="n"/>
    </row>
    <row r="942" ht="15.75" customHeight="1" s="58">
      <c r="A942" s="65" t="n"/>
      <c r="B942" s="65" t="n"/>
      <c r="C942" s="66" t="n"/>
      <c r="D942" s="66" t="n"/>
      <c r="E942" s="65" t="n"/>
      <c r="F942" s="65" t="n"/>
      <c r="G942" s="65" t="n"/>
      <c r="H942" s="65" t="n"/>
      <c r="I942" s="65" t="n"/>
      <c r="J942" s="65" t="n"/>
      <c r="K942" s="65" t="n"/>
      <c r="L942" s="65" t="n"/>
      <c r="M942" s="65" t="n"/>
      <c r="N942" s="65" t="n"/>
      <c r="O942" s="65" t="n"/>
      <c r="P942" s="65" t="n"/>
      <c r="Q942" s="65" t="n"/>
      <c r="R942" s="65" t="n"/>
      <c r="S942" s="65" t="n"/>
      <c r="T942" s="65" t="n"/>
      <c r="U942" s="65" t="n"/>
      <c r="V942" s="65" t="n"/>
      <c r="W942" s="65" t="n"/>
      <c r="X942" s="65" t="n"/>
      <c r="Y942" s="32">
        <f>IF($C942="","",IF(COUNTA($I942:$K942)&lt;3,"— חסרים נתונים",IF(AND($I942="תקין",$J942="תקין",$K942="תקין"),"רהוטה",IF(AND($I942="תקין",$J942="תקין"),"מדויקת ורציפה","אינה מדויקת או מקוטעת"))))</f>
        <v/>
      </c>
      <c r="Z942" s="32">
        <f>IF($C942="","",IF(COUNTA($U942:$W942)&lt;3,"",IF(AND($U942="מפותח",$V942="מפותח",$W942="מפותחת"),"מפותחת",IF((--($U942="דל"))+(--($V942="אינו מפותח"))+(--($W942="דלה"))&gt;=2,"אינה מפותחת","חלקית"))))</f>
        <v/>
      </c>
      <c r="AA942" s="32">
        <f>IF($C942="","",IF(COUNTA($M942,$N942,$O942)&lt;3,"— חסרים נתונים",IF(OR($M942="נמוכה",(--($M942&lt;&gt;"תקינה"))+(--($N942&lt;&gt;"תקין"))+(--($O942&lt;&gt;"תקינה"))&gt;=2),"ניכרת","אינה ניכרת")))</f>
        <v/>
      </c>
      <c r="AB942" s="32">
        <f>IF(OR($C942="",$Y942="",$AA942="",LEFT($Y942,1)="—",LEFT($AA942,1)="—"),"",IF($Z942="","— נדרשת הערכת כתיבה",IF($L942="","— חסרה הבנת הנקרא",IF($Y942="אינה מדויקת או מקוטעת",IF($AA942="ניכרת","מיקוד בשטף הקריאה ובכישורי שפה","מיקוד בשטף קריאה"),IF($AA942="ניכרת","מיקוד בכישורי שפה",IF(AND($L942="תקינה",$Z942="מפותחת"),"קוראים וכותבים מיומנים","מיקוד בהבנה והבעה"))))))</f>
        <v/>
      </c>
      <c r="AC942" s="32">
        <f>IF(OR($AB942="",LEFT($AB942,1)="—"),"",IF(OR($AB942="מיקוד בשטף קריאה",$AB942="מיקוד בשטף הקריאה ובכישורי שפה"),"רמה א'",IF($AB942="קוראים וכותבים מיומנים","רמה ג'","רמה ב'")))</f>
        <v/>
      </c>
      <c r="AD942" s="32">
        <f>IF($AC942="","",MID(IF(AND($AC942="רמה א'",$AA942="ניכרת"),"; להוסיף עבודת אוצר מילים","")&amp;IF($Z942="אינה מפותחת","; דגש על הבעה בכתב","")&amp;IF($K942&lt;&gt;"תקין","; נדרש לעבוד על ההנגנה","")&amp;IF($AK942&lt;&gt;"","; "&amp;$AK942,""),3,400))</f>
        <v/>
      </c>
      <c r="AE942" s="32">
        <f>IF($F942="","",IF($F942="תחילת שנה",1,IF($F942="מחצית שנה",2,3)))</f>
        <v/>
      </c>
      <c r="AF942" s="32">
        <f>IF(OR($B942="",$AC942="",$A942="",$F942=""),"",$B942&amp;"|"&amp;$A942&amp;"|"&amp;$F942&amp;"|"&amp;$AC942&amp;"|"&amp;COUNTIFS($B$6:$B942,$B942,$A$6:$A942,$A942,$F$6:$F942,$F942,$AC$6:$AC942,$AC942))</f>
        <v/>
      </c>
      <c r="AG942" s="32">
        <f>IF($C942="","",$C942&amp;"|"&amp;COUNTIFS($C$6:$C942,$C942))</f>
        <v/>
      </c>
      <c r="AH942" s="32">
        <f>IF(OR($C942="",$A942="",$AE942=""),"",$C942&amp;"|"&amp;$A942&amp;"|"&amp;$AE942)</f>
        <v/>
      </c>
      <c r="AI942" s="32">
        <f>IF(OR($C942="",$AE942="",$AE942=1),"",IFERROR(INDEX($AC$6:$AC$1505,MATCH($C942&amp;"|"&amp;$A942&amp;"|"&amp;($AE942-1),$AH$6:$AH$1505,0)),""))</f>
        <v/>
      </c>
      <c r="AJ942" s="32">
        <f>IF(OR($AI942="",$AC942=""),"",IF($AI942=$AC942,"ללא שינוי","מ-"&amp;$AI942&amp;" ל-"&amp;$AC942))</f>
        <v/>
      </c>
      <c r="AK942" s="67" t="n"/>
    </row>
    <row r="943" ht="15.75" customHeight="1" s="58">
      <c r="A943" s="65" t="n"/>
      <c r="B943" s="65" t="n"/>
      <c r="C943" s="66" t="n"/>
      <c r="D943" s="66" t="n"/>
      <c r="E943" s="65" t="n"/>
      <c r="F943" s="65" t="n"/>
      <c r="G943" s="65" t="n"/>
      <c r="H943" s="65" t="n"/>
      <c r="I943" s="65" t="n"/>
      <c r="J943" s="65" t="n"/>
      <c r="K943" s="65" t="n"/>
      <c r="L943" s="65" t="n"/>
      <c r="M943" s="65" t="n"/>
      <c r="N943" s="65" t="n"/>
      <c r="O943" s="65" t="n"/>
      <c r="P943" s="65" t="n"/>
      <c r="Q943" s="65" t="n"/>
      <c r="R943" s="65" t="n"/>
      <c r="S943" s="65" t="n"/>
      <c r="T943" s="65" t="n"/>
      <c r="U943" s="65" t="n"/>
      <c r="V943" s="65" t="n"/>
      <c r="W943" s="65" t="n"/>
      <c r="X943" s="65" t="n"/>
      <c r="Y943" s="32">
        <f>IF($C943="","",IF(COUNTA($I943:$K943)&lt;3,"— חסרים נתונים",IF(AND($I943="תקין",$J943="תקין",$K943="תקין"),"רהוטה",IF(AND($I943="תקין",$J943="תקין"),"מדויקת ורציפה","אינה מדויקת או מקוטעת"))))</f>
        <v/>
      </c>
      <c r="Z943" s="32">
        <f>IF($C943="","",IF(COUNTA($U943:$W943)&lt;3,"",IF(AND($U943="מפותח",$V943="מפותח",$W943="מפותחת"),"מפותחת",IF((--($U943="דל"))+(--($V943="אינו מפותח"))+(--($W943="דלה"))&gt;=2,"אינה מפותחת","חלקית"))))</f>
        <v/>
      </c>
      <c r="AA943" s="32">
        <f>IF($C943="","",IF(COUNTA($M943,$N943,$O943)&lt;3,"— חסרים נתונים",IF(OR($M943="נמוכה",(--($M943&lt;&gt;"תקינה"))+(--($N943&lt;&gt;"תקין"))+(--($O943&lt;&gt;"תקינה"))&gt;=2),"ניכרת","אינה ניכרת")))</f>
        <v/>
      </c>
      <c r="AB943" s="32">
        <f>IF(OR($C943="",$Y943="",$AA943="",LEFT($Y943,1)="—",LEFT($AA943,1)="—"),"",IF($Z943="","— נדרשת הערכת כתיבה",IF($L943="","— חסרה הבנת הנקרא",IF($Y943="אינה מדויקת או מקוטעת",IF($AA943="ניכרת","מיקוד בשטף הקריאה ובכישורי שפה","מיקוד בשטף קריאה"),IF($AA943="ניכרת","מיקוד בכישורי שפה",IF(AND($L943="תקינה",$Z943="מפותחת"),"קוראים וכותבים מיומנים","מיקוד בהבנה והבעה"))))))</f>
        <v/>
      </c>
      <c r="AC943" s="32">
        <f>IF(OR($AB943="",LEFT($AB943,1)="—"),"",IF(OR($AB943="מיקוד בשטף קריאה",$AB943="מיקוד בשטף הקריאה ובכישורי שפה"),"רמה א'",IF($AB943="קוראים וכותבים מיומנים","רמה ג'","רמה ב'")))</f>
        <v/>
      </c>
      <c r="AD943" s="32">
        <f>IF($AC943="","",MID(IF(AND($AC943="רמה א'",$AA943="ניכרת"),"; להוסיף עבודת אוצר מילים","")&amp;IF($Z943="אינה מפותחת","; דגש על הבעה בכתב","")&amp;IF($K943&lt;&gt;"תקין","; נדרש לעבוד על ההנגנה","")&amp;IF($AK943&lt;&gt;"","; "&amp;$AK943,""),3,400))</f>
        <v/>
      </c>
      <c r="AE943" s="32">
        <f>IF($F943="","",IF($F943="תחילת שנה",1,IF($F943="מחצית שנה",2,3)))</f>
        <v/>
      </c>
      <c r="AF943" s="32">
        <f>IF(OR($B943="",$AC943="",$A943="",$F943=""),"",$B943&amp;"|"&amp;$A943&amp;"|"&amp;$F943&amp;"|"&amp;$AC943&amp;"|"&amp;COUNTIFS($B$6:$B943,$B943,$A$6:$A943,$A943,$F$6:$F943,$F943,$AC$6:$AC943,$AC943))</f>
        <v/>
      </c>
      <c r="AG943" s="32">
        <f>IF($C943="","",$C943&amp;"|"&amp;COUNTIFS($C$6:$C943,$C943))</f>
        <v/>
      </c>
      <c r="AH943" s="32">
        <f>IF(OR($C943="",$A943="",$AE943=""),"",$C943&amp;"|"&amp;$A943&amp;"|"&amp;$AE943)</f>
        <v/>
      </c>
      <c r="AI943" s="32">
        <f>IF(OR($C943="",$AE943="",$AE943=1),"",IFERROR(INDEX($AC$6:$AC$1505,MATCH($C943&amp;"|"&amp;$A943&amp;"|"&amp;($AE943-1),$AH$6:$AH$1505,0)),""))</f>
        <v/>
      </c>
      <c r="AJ943" s="32">
        <f>IF(OR($AI943="",$AC943=""),"",IF($AI943=$AC943,"ללא שינוי","מ-"&amp;$AI943&amp;" ל-"&amp;$AC943))</f>
        <v/>
      </c>
      <c r="AK943" s="67" t="n"/>
    </row>
    <row r="944" ht="15.75" customHeight="1" s="58">
      <c r="A944" s="65" t="n"/>
      <c r="B944" s="65" t="n"/>
      <c r="C944" s="66" t="n"/>
      <c r="D944" s="66" t="n"/>
      <c r="E944" s="65" t="n"/>
      <c r="F944" s="65" t="n"/>
      <c r="G944" s="65" t="n"/>
      <c r="H944" s="65" t="n"/>
      <c r="I944" s="65" t="n"/>
      <c r="J944" s="65" t="n"/>
      <c r="K944" s="65" t="n"/>
      <c r="L944" s="65" t="n"/>
      <c r="M944" s="65" t="n"/>
      <c r="N944" s="65" t="n"/>
      <c r="O944" s="65" t="n"/>
      <c r="P944" s="65" t="n"/>
      <c r="Q944" s="65" t="n"/>
      <c r="R944" s="65" t="n"/>
      <c r="S944" s="65" t="n"/>
      <c r="T944" s="65" t="n"/>
      <c r="U944" s="65" t="n"/>
      <c r="V944" s="65" t="n"/>
      <c r="W944" s="65" t="n"/>
      <c r="X944" s="65" t="n"/>
      <c r="Y944" s="32">
        <f>IF($C944="","",IF(COUNTA($I944:$K944)&lt;3,"— חסרים נתונים",IF(AND($I944="תקין",$J944="תקין",$K944="תקין"),"רהוטה",IF(AND($I944="תקין",$J944="תקין"),"מדויקת ורציפה","אינה מדויקת או מקוטעת"))))</f>
        <v/>
      </c>
      <c r="Z944" s="32">
        <f>IF($C944="","",IF(COUNTA($U944:$W944)&lt;3,"",IF(AND($U944="מפותח",$V944="מפותח",$W944="מפותחת"),"מפותחת",IF((--($U944="דל"))+(--($V944="אינו מפותח"))+(--($W944="דלה"))&gt;=2,"אינה מפותחת","חלקית"))))</f>
        <v/>
      </c>
      <c r="AA944" s="32">
        <f>IF($C944="","",IF(COUNTA($M944,$N944,$O944)&lt;3,"— חסרים נתונים",IF(OR($M944="נמוכה",(--($M944&lt;&gt;"תקינה"))+(--($N944&lt;&gt;"תקין"))+(--($O944&lt;&gt;"תקינה"))&gt;=2),"ניכרת","אינה ניכרת")))</f>
        <v/>
      </c>
      <c r="AB944" s="32">
        <f>IF(OR($C944="",$Y944="",$AA944="",LEFT($Y944,1)="—",LEFT($AA944,1)="—"),"",IF($Z944="","— נדרשת הערכת כתיבה",IF($L944="","— חסרה הבנת הנקרא",IF($Y944="אינה מדויקת או מקוטעת",IF($AA944="ניכרת","מיקוד בשטף הקריאה ובכישורי שפה","מיקוד בשטף קריאה"),IF($AA944="ניכרת","מיקוד בכישורי שפה",IF(AND($L944="תקינה",$Z944="מפותחת"),"קוראים וכותבים מיומנים","מיקוד בהבנה והבעה"))))))</f>
        <v/>
      </c>
      <c r="AC944" s="32">
        <f>IF(OR($AB944="",LEFT($AB944,1)="—"),"",IF(OR($AB944="מיקוד בשטף קריאה",$AB944="מיקוד בשטף הקריאה ובכישורי שפה"),"רמה א'",IF($AB944="קוראים וכותבים מיומנים","רמה ג'","רמה ב'")))</f>
        <v/>
      </c>
      <c r="AD944" s="32">
        <f>IF($AC944="","",MID(IF(AND($AC944="רמה א'",$AA944="ניכרת"),"; להוסיף עבודת אוצר מילים","")&amp;IF($Z944="אינה מפותחת","; דגש על הבעה בכתב","")&amp;IF($K944&lt;&gt;"תקין","; נדרש לעבוד על ההנגנה","")&amp;IF($AK944&lt;&gt;"","; "&amp;$AK944,""),3,400))</f>
        <v/>
      </c>
      <c r="AE944" s="32">
        <f>IF($F944="","",IF($F944="תחילת שנה",1,IF($F944="מחצית שנה",2,3)))</f>
        <v/>
      </c>
      <c r="AF944" s="32">
        <f>IF(OR($B944="",$AC944="",$A944="",$F944=""),"",$B944&amp;"|"&amp;$A944&amp;"|"&amp;$F944&amp;"|"&amp;$AC944&amp;"|"&amp;COUNTIFS($B$6:$B944,$B944,$A$6:$A944,$A944,$F$6:$F944,$F944,$AC$6:$AC944,$AC944))</f>
        <v/>
      </c>
      <c r="AG944" s="32">
        <f>IF($C944="","",$C944&amp;"|"&amp;COUNTIFS($C$6:$C944,$C944))</f>
        <v/>
      </c>
      <c r="AH944" s="32">
        <f>IF(OR($C944="",$A944="",$AE944=""),"",$C944&amp;"|"&amp;$A944&amp;"|"&amp;$AE944)</f>
        <v/>
      </c>
      <c r="AI944" s="32">
        <f>IF(OR($C944="",$AE944="",$AE944=1),"",IFERROR(INDEX($AC$6:$AC$1505,MATCH($C944&amp;"|"&amp;$A944&amp;"|"&amp;($AE944-1),$AH$6:$AH$1505,0)),""))</f>
        <v/>
      </c>
      <c r="AJ944" s="32">
        <f>IF(OR($AI944="",$AC944=""),"",IF($AI944=$AC944,"ללא שינוי","מ-"&amp;$AI944&amp;" ל-"&amp;$AC944))</f>
        <v/>
      </c>
      <c r="AK944" s="67" t="n"/>
    </row>
    <row r="945" ht="15.75" customHeight="1" s="58">
      <c r="A945" s="65" t="n"/>
      <c r="B945" s="65" t="n"/>
      <c r="C945" s="66" t="n"/>
      <c r="D945" s="66" t="n"/>
      <c r="E945" s="65" t="n"/>
      <c r="F945" s="65" t="n"/>
      <c r="G945" s="65" t="n"/>
      <c r="H945" s="65" t="n"/>
      <c r="I945" s="65" t="n"/>
      <c r="J945" s="65" t="n"/>
      <c r="K945" s="65" t="n"/>
      <c r="L945" s="65" t="n"/>
      <c r="M945" s="65" t="n"/>
      <c r="N945" s="65" t="n"/>
      <c r="O945" s="65" t="n"/>
      <c r="P945" s="65" t="n"/>
      <c r="Q945" s="65" t="n"/>
      <c r="R945" s="65" t="n"/>
      <c r="S945" s="65" t="n"/>
      <c r="T945" s="65" t="n"/>
      <c r="U945" s="65" t="n"/>
      <c r="V945" s="65" t="n"/>
      <c r="W945" s="65" t="n"/>
      <c r="X945" s="65" t="n"/>
      <c r="Y945" s="32">
        <f>IF($C945="","",IF(COUNTA($I945:$K945)&lt;3,"— חסרים נתונים",IF(AND($I945="תקין",$J945="תקין",$K945="תקין"),"רהוטה",IF(AND($I945="תקין",$J945="תקין"),"מדויקת ורציפה","אינה מדויקת או מקוטעת"))))</f>
        <v/>
      </c>
      <c r="Z945" s="32">
        <f>IF($C945="","",IF(COUNTA($U945:$W945)&lt;3,"",IF(AND($U945="מפותח",$V945="מפותח",$W945="מפותחת"),"מפותחת",IF((--($U945="דל"))+(--($V945="אינו מפותח"))+(--($W945="דלה"))&gt;=2,"אינה מפותחת","חלקית"))))</f>
        <v/>
      </c>
      <c r="AA945" s="32">
        <f>IF($C945="","",IF(COUNTA($M945,$N945,$O945)&lt;3,"— חסרים נתונים",IF(OR($M945="נמוכה",(--($M945&lt;&gt;"תקינה"))+(--($N945&lt;&gt;"תקין"))+(--($O945&lt;&gt;"תקינה"))&gt;=2),"ניכרת","אינה ניכרת")))</f>
        <v/>
      </c>
      <c r="AB945" s="32">
        <f>IF(OR($C945="",$Y945="",$AA945="",LEFT($Y945,1)="—",LEFT($AA945,1)="—"),"",IF($Z945="","— נדרשת הערכת כתיבה",IF($L945="","— חסרה הבנת הנקרא",IF($Y945="אינה מדויקת או מקוטעת",IF($AA945="ניכרת","מיקוד בשטף הקריאה ובכישורי שפה","מיקוד בשטף קריאה"),IF($AA945="ניכרת","מיקוד בכישורי שפה",IF(AND($L945="תקינה",$Z945="מפותחת"),"קוראים וכותבים מיומנים","מיקוד בהבנה והבעה"))))))</f>
        <v/>
      </c>
      <c r="AC945" s="32">
        <f>IF(OR($AB945="",LEFT($AB945,1)="—"),"",IF(OR($AB945="מיקוד בשטף קריאה",$AB945="מיקוד בשטף הקריאה ובכישורי שפה"),"רמה א'",IF($AB945="קוראים וכותבים מיומנים","רמה ג'","רמה ב'")))</f>
        <v/>
      </c>
      <c r="AD945" s="32">
        <f>IF($AC945="","",MID(IF(AND($AC945="רמה א'",$AA945="ניכרת"),"; להוסיף עבודת אוצר מילים","")&amp;IF($Z945="אינה מפותחת","; דגש על הבעה בכתב","")&amp;IF($K945&lt;&gt;"תקין","; נדרש לעבוד על ההנגנה","")&amp;IF($AK945&lt;&gt;"","; "&amp;$AK945,""),3,400))</f>
        <v/>
      </c>
      <c r="AE945" s="32">
        <f>IF($F945="","",IF($F945="תחילת שנה",1,IF($F945="מחצית שנה",2,3)))</f>
        <v/>
      </c>
      <c r="AF945" s="32">
        <f>IF(OR($B945="",$AC945="",$A945="",$F945=""),"",$B945&amp;"|"&amp;$A945&amp;"|"&amp;$F945&amp;"|"&amp;$AC945&amp;"|"&amp;COUNTIFS($B$6:$B945,$B945,$A$6:$A945,$A945,$F$6:$F945,$F945,$AC$6:$AC945,$AC945))</f>
        <v/>
      </c>
      <c r="AG945" s="32">
        <f>IF($C945="","",$C945&amp;"|"&amp;COUNTIFS($C$6:$C945,$C945))</f>
        <v/>
      </c>
      <c r="AH945" s="32">
        <f>IF(OR($C945="",$A945="",$AE945=""),"",$C945&amp;"|"&amp;$A945&amp;"|"&amp;$AE945)</f>
        <v/>
      </c>
      <c r="AI945" s="32">
        <f>IF(OR($C945="",$AE945="",$AE945=1),"",IFERROR(INDEX($AC$6:$AC$1505,MATCH($C945&amp;"|"&amp;$A945&amp;"|"&amp;($AE945-1),$AH$6:$AH$1505,0)),""))</f>
        <v/>
      </c>
      <c r="AJ945" s="32">
        <f>IF(OR($AI945="",$AC945=""),"",IF($AI945=$AC945,"ללא שינוי","מ-"&amp;$AI945&amp;" ל-"&amp;$AC945))</f>
        <v/>
      </c>
      <c r="AK945" s="67" t="n"/>
    </row>
    <row r="946" ht="15.75" customHeight="1" s="58">
      <c r="A946" s="65" t="n"/>
      <c r="B946" s="65" t="n"/>
      <c r="C946" s="66" t="n"/>
      <c r="D946" s="66" t="n"/>
      <c r="E946" s="65" t="n"/>
      <c r="F946" s="65" t="n"/>
      <c r="G946" s="65" t="n"/>
      <c r="H946" s="65" t="n"/>
      <c r="I946" s="65" t="n"/>
      <c r="J946" s="65" t="n"/>
      <c r="K946" s="65" t="n"/>
      <c r="L946" s="65" t="n"/>
      <c r="M946" s="65" t="n"/>
      <c r="N946" s="65" t="n"/>
      <c r="O946" s="65" t="n"/>
      <c r="P946" s="65" t="n"/>
      <c r="Q946" s="65" t="n"/>
      <c r="R946" s="65" t="n"/>
      <c r="S946" s="65" t="n"/>
      <c r="T946" s="65" t="n"/>
      <c r="U946" s="65" t="n"/>
      <c r="V946" s="65" t="n"/>
      <c r="W946" s="65" t="n"/>
      <c r="X946" s="65" t="n"/>
      <c r="Y946" s="32">
        <f>IF($C946="","",IF(COUNTA($I946:$K946)&lt;3,"— חסרים נתונים",IF(AND($I946="תקין",$J946="תקין",$K946="תקין"),"רהוטה",IF(AND($I946="תקין",$J946="תקין"),"מדויקת ורציפה","אינה מדויקת או מקוטעת"))))</f>
        <v/>
      </c>
      <c r="Z946" s="32">
        <f>IF($C946="","",IF(COUNTA($U946:$W946)&lt;3,"",IF(AND($U946="מפותח",$V946="מפותח",$W946="מפותחת"),"מפותחת",IF((--($U946="דל"))+(--($V946="אינו מפותח"))+(--($W946="דלה"))&gt;=2,"אינה מפותחת","חלקית"))))</f>
        <v/>
      </c>
      <c r="AA946" s="32">
        <f>IF($C946="","",IF(COUNTA($M946,$N946,$O946)&lt;3,"— חסרים נתונים",IF(OR($M946="נמוכה",(--($M946&lt;&gt;"תקינה"))+(--($N946&lt;&gt;"תקין"))+(--($O946&lt;&gt;"תקינה"))&gt;=2),"ניכרת","אינה ניכרת")))</f>
        <v/>
      </c>
      <c r="AB946" s="32">
        <f>IF(OR($C946="",$Y946="",$AA946="",LEFT($Y946,1)="—",LEFT($AA946,1)="—"),"",IF($Z946="","— נדרשת הערכת כתיבה",IF($L946="","— חסרה הבנת הנקרא",IF($Y946="אינה מדויקת או מקוטעת",IF($AA946="ניכרת","מיקוד בשטף הקריאה ובכישורי שפה","מיקוד בשטף קריאה"),IF($AA946="ניכרת","מיקוד בכישורי שפה",IF(AND($L946="תקינה",$Z946="מפותחת"),"קוראים וכותבים מיומנים","מיקוד בהבנה והבעה"))))))</f>
        <v/>
      </c>
      <c r="AC946" s="32">
        <f>IF(OR($AB946="",LEFT($AB946,1)="—"),"",IF(OR($AB946="מיקוד בשטף קריאה",$AB946="מיקוד בשטף הקריאה ובכישורי שפה"),"רמה א'",IF($AB946="קוראים וכותבים מיומנים","רמה ג'","רמה ב'")))</f>
        <v/>
      </c>
      <c r="AD946" s="32">
        <f>IF($AC946="","",MID(IF(AND($AC946="רמה א'",$AA946="ניכרת"),"; להוסיף עבודת אוצר מילים","")&amp;IF($Z946="אינה מפותחת","; דגש על הבעה בכתב","")&amp;IF($K946&lt;&gt;"תקין","; נדרש לעבוד על ההנגנה","")&amp;IF($AK946&lt;&gt;"","; "&amp;$AK946,""),3,400))</f>
        <v/>
      </c>
      <c r="AE946" s="32">
        <f>IF($F946="","",IF($F946="תחילת שנה",1,IF($F946="מחצית שנה",2,3)))</f>
        <v/>
      </c>
      <c r="AF946" s="32">
        <f>IF(OR($B946="",$AC946="",$A946="",$F946=""),"",$B946&amp;"|"&amp;$A946&amp;"|"&amp;$F946&amp;"|"&amp;$AC946&amp;"|"&amp;COUNTIFS($B$6:$B946,$B946,$A$6:$A946,$A946,$F$6:$F946,$F946,$AC$6:$AC946,$AC946))</f>
        <v/>
      </c>
      <c r="AG946" s="32">
        <f>IF($C946="","",$C946&amp;"|"&amp;COUNTIFS($C$6:$C946,$C946))</f>
        <v/>
      </c>
      <c r="AH946" s="32">
        <f>IF(OR($C946="",$A946="",$AE946=""),"",$C946&amp;"|"&amp;$A946&amp;"|"&amp;$AE946)</f>
        <v/>
      </c>
      <c r="AI946" s="32">
        <f>IF(OR($C946="",$AE946="",$AE946=1),"",IFERROR(INDEX($AC$6:$AC$1505,MATCH($C946&amp;"|"&amp;$A946&amp;"|"&amp;($AE946-1),$AH$6:$AH$1505,0)),""))</f>
        <v/>
      </c>
      <c r="AJ946" s="32">
        <f>IF(OR($AI946="",$AC946=""),"",IF($AI946=$AC946,"ללא שינוי","מ-"&amp;$AI946&amp;" ל-"&amp;$AC946))</f>
        <v/>
      </c>
      <c r="AK946" s="67" t="n"/>
    </row>
    <row r="947" ht="15.75" customHeight="1" s="58">
      <c r="A947" s="65" t="n"/>
      <c r="B947" s="65" t="n"/>
      <c r="C947" s="66" t="n"/>
      <c r="D947" s="66" t="n"/>
      <c r="E947" s="65" t="n"/>
      <c r="F947" s="65" t="n"/>
      <c r="G947" s="65" t="n"/>
      <c r="H947" s="65" t="n"/>
      <c r="I947" s="65" t="n"/>
      <c r="J947" s="65" t="n"/>
      <c r="K947" s="65" t="n"/>
      <c r="L947" s="65" t="n"/>
      <c r="M947" s="65" t="n"/>
      <c r="N947" s="65" t="n"/>
      <c r="O947" s="65" t="n"/>
      <c r="P947" s="65" t="n"/>
      <c r="Q947" s="65" t="n"/>
      <c r="R947" s="65" t="n"/>
      <c r="S947" s="65" t="n"/>
      <c r="T947" s="65" t="n"/>
      <c r="U947" s="65" t="n"/>
      <c r="V947" s="65" t="n"/>
      <c r="W947" s="65" t="n"/>
      <c r="X947" s="65" t="n"/>
      <c r="Y947" s="32">
        <f>IF($C947="","",IF(COUNTA($I947:$K947)&lt;3,"— חסרים נתונים",IF(AND($I947="תקין",$J947="תקין",$K947="תקין"),"רהוטה",IF(AND($I947="תקין",$J947="תקין"),"מדויקת ורציפה","אינה מדויקת או מקוטעת"))))</f>
        <v/>
      </c>
      <c r="Z947" s="32">
        <f>IF($C947="","",IF(COUNTA($U947:$W947)&lt;3,"",IF(AND($U947="מפותח",$V947="מפותח",$W947="מפותחת"),"מפותחת",IF((--($U947="דל"))+(--($V947="אינו מפותח"))+(--($W947="דלה"))&gt;=2,"אינה מפותחת","חלקית"))))</f>
        <v/>
      </c>
      <c r="AA947" s="32">
        <f>IF($C947="","",IF(COUNTA($M947,$N947,$O947)&lt;3,"— חסרים נתונים",IF(OR($M947="נמוכה",(--($M947&lt;&gt;"תקינה"))+(--($N947&lt;&gt;"תקין"))+(--($O947&lt;&gt;"תקינה"))&gt;=2),"ניכרת","אינה ניכרת")))</f>
        <v/>
      </c>
      <c r="AB947" s="32">
        <f>IF(OR($C947="",$Y947="",$AA947="",LEFT($Y947,1)="—",LEFT($AA947,1)="—"),"",IF($Z947="","— נדרשת הערכת כתיבה",IF($L947="","— חסרה הבנת הנקרא",IF($Y947="אינה מדויקת או מקוטעת",IF($AA947="ניכרת","מיקוד בשטף הקריאה ובכישורי שפה","מיקוד בשטף קריאה"),IF($AA947="ניכרת","מיקוד בכישורי שפה",IF(AND($L947="תקינה",$Z947="מפותחת"),"קוראים וכותבים מיומנים","מיקוד בהבנה והבעה"))))))</f>
        <v/>
      </c>
      <c r="AC947" s="32">
        <f>IF(OR($AB947="",LEFT($AB947,1)="—"),"",IF(OR($AB947="מיקוד בשטף קריאה",$AB947="מיקוד בשטף הקריאה ובכישורי שפה"),"רמה א'",IF($AB947="קוראים וכותבים מיומנים","רמה ג'","רמה ב'")))</f>
        <v/>
      </c>
      <c r="AD947" s="32">
        <f>IF($AC947="","",MID(IF(AND($AC947="רמה א'",$AA947="ניכרת"),"; להוסיף עבודת אוצר מילים","")&amp;IF($Z947="אינה מפותחת","; דגש על הבעה בכתב","")&amp;IF($K947&lt;&gt;"תקין","; נדרש לעבוד על ההנגנה","")&amp;IF($AK947&lt;&gt;"","; "&amp;$AK947,""),3,400))</f>
        <v/>
      </c>
      <c r="AE947" s="32">
        <f>IF($F947="","",IF($F947="תחילת שנה",1,IF($F947="מחצית שנה",2,3)))</f>
        <v/>
      </c>
      <c r="AF947" s="32">
        <f>IF(OR($B947="",$AC947="",$A947="",$F947=""),"",$B947&amp;"|"&amp;$A947&amp;"|"&amp;$F947&amp;"|"&amp;$AC947&amp;"|"&amp;COUNTIFS($B$6:$B947,$B947,$A$6:$A947,$A947,$F$6:$F947,$F947,$AC$6:$AC947,$AC947))</f>
        <v/>
      </c>
      <c r="AG947" s="32">
        <f>IF($C947="","",$C947&amp;"|"&amp;COUNTIFS($C$6:$C947,$C947))</f>
        <v/>
      </c>
      <c r="AH947" s="32">
        <f>IF(OR($C947="",$A947="",$AE947=""),"",$C947&amp;"|"&amp;$A947&amp;"|"&amp;$AE947)</f>
        <v/>
      </c>
      <c r="AI947" s="32">
        <f>IF(OR($C947="",$AE947="",$AE947=1),"",IFERROR(INDEX($AC$6:$AC$1505,MATCH($C947&amp;"|"&amp;$A947&amp;"|"&amp;($AE947-1),$AH$6:$AH$1505,0)),""))</f>
        <v/>
      </c>
      <c r="AJ947" s="32">
        <f>IF(OR($AI947="",$AC947=""),"",IF($AI947=$AC947,"ללא שינוי","מ-"&amp;$AI947&amp;" ל-"&amp;$AC947))</f>
        <v/>
      </c>
      <c r="AK947" s="67" t="n"/>
    </row>
    <row r="948" ht="15.75" customHeight="1" s="58">
      <c r="A948" s="65" t="n"/>
      <c r="B948" s="65" t="n"/>
      <c r="C948" s="66" t="n"/>
      <c r="D948" s="66" t="n"/>
      <c r="E948" s="65" t="n"/>
      <c r="F948" s="65" t="n"/>
      <c r="G948" s="65" t="n"/>
      <c r="H948" s="65" t="n"/>
      <c r="I948" s="65" t="n"/>
      <c r="J948" s="65" t="n"/>
      <c r="K948" s="65" t="n"/>
      <c r="L948" s="65" t="n"/>
      <c r="M948" s="65" t="n"/>
      <c r="N948" s="65" t="n"/>
      <c r="O948" s="65" t="n"/>
      <c r="P948" s="65" t="n"/>
      <c r="Q948" s="65" t="n"/>
      <c r="R948" s="65" t="n"/>
      <c r="S948" s="65" t="n"/>
      <c r="T948" s="65" t="n"/>
      <c r="U948" s="65" t="n"/>
      <c r="V948" s="65" t="n"/>
      <c r="W948" s="65" t="n"/>
      <c r="X948" s="65" t="n"/>
      <c r="Y948" s="32">
        <f>IF($C948="","",IF(COUNTA($I948:$K948)&lt;3,"— חסרים נתונים",IF(AND($I948="תקין",$J948="תקין",$K948="תקין"),"רהוטה",IF(AND($I948="תקין",$J948="תקין"),"מדויקת ורציפה","אינה מדויקת או מקוטעת"))))</f>
        <v/>
      </c>
      <c r="Z948" s="32">
        <f>IF($C948="","",IF(COUNTA($U948:$W948)&lt;3,"",IF(AND($U948="מפותח",$V948="מפותח",$W948="מפותחת"),"מפותחת",IF((--($U948="דל"))+(--($V948="אינו מפותח"))+(--($W948="דלה"))&gt;=2,"אינה מפותחת","חלקית"))))</f>
        <v/>
      </c>
      <c r="AA948" s="32">
        <f>IF($C948="","",IF(COUNTA($M948,$N948,$O948)&lt;3,"— חסרים נתונים",IF(OR($M948="נמוכה",(--($M948&lt;&gt;"תקינה"))+(--($N948&lt;&gt;"תקין"))+(--($O948&lt;&gt;"תקינה"))&gt;=2),"ניכרת","אינה ניכרת")))</f>
        <v/>
      </c>
      <c r="AB948" s="32">
        <f>IF(OR($C948="",$Y948="",$AA948="",LEFT($Y948,1)="—",LEFT($AA948,1)="—"),"",IF($Z948="","— נדרשת הערכת כתיבה",IF($L948="","— חסרה הבנת הנקרא",IF($Y948="אינה מדויקת או מקוטעת",IF($AA948="ניכרת","מיקוד בשטף הקריאה ובכישורי שפה","מיקוד בשטף קריאה"),IF($AA948="ניכרת","מיקוד בכישורי שפה",IF(AND($L948="תקינה",$Z948="מפותחת"),"קוראים וכותבים מיומנים","מיקוד בהבנה והבעה"))))))</f>
        <v/>
      </c>
      <c r="AC948" s="32">
        <f>IF(OR($AB948="",LEFT($AB948,1)="—"),"",IF(OR($AB948="מיקוד בשטף קריאה",$AB948="מיקוד בשטף הקריאה ובכישורי שפה"),"רמה א'",IF($AB948="קוראים וכותבים מיומנים","רמה ג'","רמה ב'")))</f>
        <v/>
      </c>
      <c r="AD948" s="32">
        <f>IF($AC948="","",MID(IF(AND($AC948="רמה א'",$AA948="ניכרת"),"; להוסיף עבודת אוצר מילים","")&amp;IF($Z948="אינה מפותחת","; דגש על הבעה בכתב","")&amp;IF($K948&lt;&gt;"תקין","; נדרש לעבוד על ההנגנה","")&amp;IF($AK948&lt;&gt;"","; "&amp;$AK948,""),3,400))</f>
        <v/>
      </c>
      <c r="AE948" s="32">
        <f>IF($F948="","",IF($F948="תחילת שנה",1,IF($F948="מחצית שנה",2,3)))</f>
        <v/>
      </c>
      <c r="AF948" s="32">
        <f>IF(OR($B948="",$AC948="",$A948="",$F948=""),"",$B948&amp;"|"&amp;$A948&amp;"|"&amp;$F948&amp;"|"&amp;$AC948&amp;"|"&amp;COUNTIFS($B$6:$B948,$B948,$A$6:$A948,$A948,$F$6:$F948,$F948,$AC$6:$AC948,$AC948))</f>
        <v/>
      </c>
      <c r="AG948" s="32">
        <f>IF($C948="","",$C948&amp;"|"&amp;COUNTIFS($C$6:$C948,$C948))</f>
        <v/>
      </c>
      <c r="AH948" s="32">
        <f>IF(OR($C948="",$A948="",$AE948=""),"",$C948&amp;"|"&amp;$A948&amp;"|"&amp;$AE948)</f>
        <v/>
      </c>
      <c r="AI948" s="32">
        <f>IF(OR($C948="",$AE948="",$AE948=1),"",IFERROR(INDEX($AC$6:$AC$1505,MATCH($C948&amp;"|"&amp;$A948&amp;"|"&amp;($AE948-1),$AH$6:$AH$1505,0)),""))</f>
        <v/>
      </c>
      <c r="AJ948" s="32">
        <f>IF(OR($AI948="",$AC948=""),"",IF($AI948=$AC948,"ללא שינוי","מ-"&amp;$AI948&amp;" ל-"&amp;$AC948))</f>
        <v/>
      </c>
      <c r="AK948" s="67" t="n"/>
    </row>
    <row r="949" ht="15.75" customHeight="1" s="58">
      <c r="A949" s="65" t="n"/>
      <c r="B949" s="65" t="n"/>
      <c r="C949" s="66" t="n"/>
      <c r="D949" s="66" t="n"/>
      <c r="E949" s="65" t="n"/>
      <c r="F949" s="65" t="n"/>
      <c r="G949" s="65" t="n"/>
      <c r="H949" s="65" t="n"/>
      <c r="I949" s="65" t="n"/>
      <c r="J949" s="65" t="n"/>
      <c r="K949" s="65" t="n"/>
      <c r="L949" s="65" t="n"/>
      <c r="M949" s="65" t="n"/>
      <c r="N949" s="65" t="n"/>
      <c r="O949" s="65" t="n"/>
      <c r="P949" s="65" t="n"/>
      <c r="Q949" s="65" t="n"/>
      <c r="R949" s="65" t="n"/>
      <c r="S949" s="65" t="n"/>
      <c r="T949" s="65" t="n"/>
      <c r="U949" s="65" t="n"/>
      <c r="V949" s="65" t="n"/>
      <c r="W949" s="65" t="n"/>
      <c r="X949" s="65" t="n"/>
      <c r="Y949" s="32">
        <f>IF($C949="","",IF(COUNTA($I949:$K949)&lt;3,"— חסרים נתונים",IF(AND($I949="תקין",$J949="תקין",$K949="תקין"),"רהוטה",IF(AND($I949="תקין",$J949="תקין"),"מדויקת ורציפה","אינה מדויקת או מקוטעת"))))</f>
        <v/>
      </c>
      <c r="Z949" s="32">
        <f>IF($C949="","",IF(COUNTA($U949:$W949)&lt;3,"",IF(AND($U949="מפותח",$V949="מפותח",$W949="מפותחת"),"מפותחת",IF((--($U949="דל"))+(--($V949="אינו מפותח"))+(--($W949="דלה"))&gt;=2,"אינה מפותחת","חלקית"))))</f>
        <v/>
      </c>
      <c r="AA949" s="32">
        <f>IF($C949="","",IF(COUNTA($M949,$N949,$O949)&lt;3,"— חסרים נתונים",IF(OR($M949="נמוכה",(--($M949&lt;&gt;"תקינה"))+(--($N949&lt;&gt;"תקין"))+(--($O949&lt;&gt;"תקינה"))&gt;=2),"ניכרת","אינה ניכרת")))</f>
        <v/>
      </c>
      <c r="AB949" s="32">
        <f>IF(OR($C949="",$Y949="",$AA949="",LEFT($Y949,1)="—",LEFT($AA949,1)="—"),"",IF($Z949="","— נדרשת הערכת כתיבה",IF($L949="","— חסרה הבנת הנקרא",IF($Y949="אינה מדויקת או מקוטעת",IF($AA949="ניכרת","מיקוד בשטף הקריאה ובכישורי שפה","מיקוד בשטף קריאה"),IF($AA949="ניכרת","מיקוד בכישורי שפה",IF(AND($L949="תקינה",$Z949="מפותחת"),"קוראים וכותבים מיומנים","מיקוד בהבנה והבעה"))))))</f>
        <v/>
      </c>
      <c r="AC949" s="32">
        <f>IF(OR($AB949="",LEFT($AB949,1)="—"),"",IF(OR($AB949="מיקוד בשטף קריאה",$AB949="מיקוד בשטף הקריאה ובכישורי שפה"),"רמה א'",IF($AB949="קוראים וכותבים מיומנים","רמה ג'","רמה ב'")))</f>
        <v/>
      </c>
      <c r="AD949" s="32">
        <f>IF($AC949="","",MID(IF(AND($AC949="רמה א'",$AA949="ניכרת"),"; להוסיף עבודת אוצר מילים","")&amp;IF($Z949="אינה מפותחת","; דגש על הבעה בכתב","")&amp;IF($K949&lt;&gt;"תקין","; נדרש לעבוד על ההנגנה","")&amp;IF($AK949&lt;&gt;"","; "&amp;$AK949,""),3,400))</f>
        <v/>
      </c>
      <c r="AE949" s="32">
        <f>IF($F949="","",IF($F949="תחילת שנה",1,IF($F949="מחצית שנה",2,3)))</f>
        <v/>
      </c>
      <c r="AF949" s="32">
        <f>IF(OR($B949="",$AC949="",$A949="",$F949=""),"",$B949&amp;"|"&amp;$A949&amp;"|"&amp;$F949&amp;"|"&amp;$AC949&amp;"|"&amp;COUNTIFS($B$6:$B949,$B949,$A$6:$A949,$A949,$F$6:$F949,$F949,$AC$6:$AC949,$AC949))</f>
        <v/>
      </c>
      <c r="AG949" s="32">
        <f>IF($C949="","",$C949&amp;"|"&amp;COUNTIFS($C$6:$C949,$C949))</f>
        <v/>
      </c>
      <c r="AH949" s="32">
        <f>IF(OR($C949="",$A949="",$AE949=""),"",$C949&amp;"|"&amp;$A949&amp;"|"&amp;$AE949)</f>
        <v/>
      </c>
      <c r="AI949" s="32">
        <f>IF(OR($C949="",$AE949="",$AE949=1),"",IFERROR(INDEX($AC$6:$AC$1505,MATCH($C949&amp;"|"&amp;$A949&amp;"|"&amp;($AE949-1),$AH$6:$AH$1505,0)),""))</f>
        <v/>
      </c>
      <c r="AJ949" s="32">
        <f>IF(OR($AI949="",$AC949=""),"",IF($AI949=$AC949,"ללא שינוי","מ-"&amp;$AI949&amp;" ל-"&amp;$AC949))</f>
        <v/>
      </c>
      <c r="AK949" s="67" t="n"/>
    </row>
    <row r="950" ht="15.75" customHeight="1" s="58">
      <c r="A950" s="65" t="n"/>
      <c r="B950" s="65" t="n"/>
      <c r="C950" s="66" t="n"/>
      <c r="D950" s="66" t="n"/>
      <c r="E950" s="65" t="n"/>
      <c r="F950" s="65" t="n"/>
      <c r="G950" s="65" t="n"/>
      <c r="H950" s="65" t="n"/>
      <c r="I950" s="65" t="n"/>
      <c r="J950" s="65" t="n"/>
      <c r="K950" s="65" t="n"/>
      <c r="L950" s="65" t="n"/>
      <c r="M950" s="65" t="n"/>
      <c r="N950" s="65" t="n"/>
      <c r="O950" s="65" t="n"/>
      <c r="P950" s="65" t="n"/>
      <c r="Q950" s="65" t="n"/>
      <c r="R950" s="65" t="n"/>
      <c r="S950" s="65" t="n"/>
      <c r="T950" s="65" t="n"/>
      <c r="U950" s="65" t="n"/>
      <c r="V950" s="65" t="n"/>
      <c r="W950" s="65" t="n"/>
      <c r="X950" s="65" t="n"/>
      <c r="Y950" s="32">
        <f>IF($C950="","",IF(COUNTA($I950:$K950)&lt;3,"— חסרים נתונים",IF(AND($I950="תקין",$J950="תקין",$K950="תקין"),"רהוטה",IF(AND($I950="תקין",$J950="תקין"),"מדויקת ורציפה","אינה מדויקת או מקוטעת"))))</f>
        <v/>
      </c>
      <c r="Z950" s="32">
        <f>IF($C950="","",IF(COUNTA($U950:$W950)&lt;3,"",IF(AND($U950="מפותח",$V950="מפותח",$W950="מפותחת"),"מפותחת",IF((--($U950="דל"))+(--($V950="אינו מפותח"))+(--($W950="דלה"))&gt;=2,"אינה מפותחת","חלקית"))))</f>
        <v/>
      </c>
      <c r="AA950" s="32">
        <f>IF($C950="","",IF(COUNTA($M950,$N950,$O950)&lt;3,"— חסרים נתונים",IF(OR($M950="נמוכה",(--($M950&lt;&gt;"תקינה"))+(--($N950&lt;&gt;"תקין"))+(--($O950&lt;&gt;"תקינה"))&gt;=2),"ניכרת","אינה ניכרת")))</f>
        <v/>
      </c>
      <c r="AB950" s="32">
        <f>IF(OR($C950="",$Y950="",$AA950="",LEFT($Y950,1)="—",LEFT($AA950,1)="—"),"",IF($Z950="","— נדרשת הערכת כתיבה",IF($L950="","— חסרה הבנת הנקרא",IF($Y950="אינה מדויקת או מקוטעת",IF($AA950="ניכרת","מיקוד בשטף הקריאה ובכישורי שפה","מיקוד בשטף קריאה"),IF($AA950="ניכרת","מיקוד בכישורי שפה",IF(AND($L950="תקינה",$Z950="מפותחת"),"קוראים וכותבים מיומנים","מיקוד בהבנה והבעה"))))))</f>
        <v/>
      </c>
      <c r="AC950" s="32">
        <f>IF(OR($AB950="",LEFT($AB950,1)="—"),"",IF(OR($AB950="מיקוד בשטף קריאה",$AB950="מיקוד בשטף הקריאה ובכישורי שפה"),"רמה א'",IF($AB950="קוראים וכותבים מיומנים","רמה ג'","רמה ב'")))</f>
        <v/>
      </c>
      <c r="AD950" s="32">
        <f>IF($AC950="","",MID(IF(AND($AC950="רמה א'",$AA950="ניכרת"),"; להוסיף עבודת אוצר מילים","")&amp;IF($Z950="אינה מפותחת","; דגש על הבעה בכתב","")&amp;IF($K950&lt;&gt;"תקין","; נדרש לעבוד על ההנגנה","")&amp;IF($AK950&lt;&gt;"","; "&amp;$AK950,""),3,400))</f>
        <v/>
      </c>
      <c r="AE950" s="32">
        <f>IF($F950="","",IF($F950="תחילת שנה",1,IF($F950="מחצית שנה",2,3)))</f>
        <v/>
      </c>
      <c r="AF950" s="32">
        <f>IF(OR($B950="",$AC950="",$A950="",$F950=""),"",$B950&amp;"|"&amp;$A950&amp;"|"&amp;$F950&amp;"|"&amp;$AC950&amp;"|"&amp;COUNTIFS($B$6:$B950,$B950,$A$6:$A950,$A950,$F$6:$F950,$F950,$AC$6:$AC950,$AC950))</f>
        <v/>
      </c>
      <c r="AG950" s="32">
        <f>IF($C950="","",$C950&amp;"|"&amp;COUNTIFS($C$6:$C950,$C950))</f>
        <v/>
      </c>
      <c r="AH950" s="32">
        <f>IF(OR($C950="",$A950="",$AE950=""),"",$C950&amp;"|"&amp;$A950&amp;"|"&amp;$AE950)</f>
        <v/>
      </c>
      <c r="AI950" s="32">
        <f>IF(OR($C950="",$AE950="",$AE950=1),"",IFERROR(INDEX($AC$6:$AC$1505,MATCH($C950&amp;"|"&amp;$A950&amp;"|"&amp;($AE950-1),$AH$6:$AH$1505,0)),""))</f>
        <v/>
      </c>
      <c r="AJ950" s="32">
        <f>IF(OR($AI950="",$AC950=""),"",IF($AI950=$AC950,"ללא שינוי","מ-"&amp;$AI950&amp;" ל-"&amp;$AC950))</f>
        <v/>
      </c>
      <c r="AK950" s="67" t="n"/>
    </row>
    <row r="951" ht="15.75" customHeight="1" s="58">
      <c r="A951" s="65" t="n"/>
      <c r="B951" s="65" t="n"/>
      <c r="C951" s="66" t="n"/>
      <c r="D951" s="66" t="n"/>
      <c r="E951" s="65" t="n"/>
      <c r="F951" s="65" t="n"/>
      <c r="G951" s="65" t="n"/>
      <c r="H951" s="65" t="n"/>
      <c r="I951" s="65" t="n"/>
      <c r="J951" s="65" t="n"/>
      <c r="K951" s="65" t="n"/>
      <c r="L951" s="65" t="n"/>
      <c r="M951" s="65" t="n"/>
      <c r="N951" s="65" t="n"/>
      <c r="O951" s="65" t="n"/>
      <c r="P951" s="65" t="n"/>
      <c r="Q951" s="65" t="n"/>
      <c r="R951" s="65" t="n"/>
      <c r="S951" s="65" t="n"/>
      <c r="T951" s="65" t="n"/>
      <c r="U951" s="65" t="n"/>
      <c r="V951" s="65" t="n"/>
      <c r="W951" s="65" t="n"/>
      <c r="X951" s="65" t="n"/>
      <c r="Y951" s="32">
        <f>IF($C951="","",IF(COUNTA($I951:$K951)&lt;3,"— חסרים נתונים",IF(AND($I951="תקין",$J951="תקין",$K951="תקין"),"רהוטה",IF(AND($I951="תקין",$J951="תקין"),"מדויקת ורציפה","אינה מדויקת או מקוטעת"))))</f>
        <v/>
      </c>
      <c r="Z951" s="32">
        <f>IF($C951="","",IF(COUNTA($U951:$W951)&lt;3,"",IF(AND($U951="מפותח",$V951="מפותח",$W951="מפותחת"),"מפותחת",IF((--($U951="דל"))+(--($V951="אינו מפותח"))+(--($W951="דלה"))&gt;=2,"אינה מפותחת","חלקית"))))</f>
        <v/>
      </c>
      <c r="AA951" s="32">
        <f>IF($C951="","",IF(COUNTA($M951,$N951,$O951)&lt;3,"— חסרים נתונים",IF(OR($M951="נמוכה",(--($M951&lt;&gt;"תקינה"))+(--($N951&lt;&gt;"תקין"))+(--($O951&lt;&gt;"תקינה"))&gt;=2),"ניכרת","אינה ניכרת")))</f>
        <v/>
      </c>
      <c r="AB951" s="32">
        <f>IF(OR($C951="",$Y951="",$AA951="",LEFT($Y951,1)="—",LEFT($AA951,1)="—"),"",IF($Z951="","— נדרשת הערכת כתיבה",IF($L951="","— חסרה הבנת הנקרא",IF($Y951="אינה מדויקת או מקוטעת",IF($AA951="ניכרת","מיקוד בשטף הקריאה ובכישורי שפה","מיקוד בשטף קריאה"),IF($AA951="ניכרת","מיקוד בכישורי שפה",IF(AND($L951="תקינה",$Z951="מפותחת"),"קוראים וכותבים מיומנים","מיקוד בהבנה והבעה"))))))</f>
        <v/>
      </c>
      <c r="AC951" s="32">
        <f>IF(OR($AB951="",LEFT($AB951,1)="—"),"",IF(OR($AB951="מיקוד בשטף קריאה",$AB951="מיקוד בשטף הקריאה ובכישורי שפה"),"רמה א'",IF($AB951="קוראים וכותבים מיומנים","רמה ג'","רמה ב'")))</f>
        <v/>
      </c>
      <c r="AD951" s="32">
        <f>IF($AC951="","",MID(IF(AND($AC951="רמה א'",$AA951="ניכרת"),"; להוסיף עבודת אוצר מילים","")&amp;IF($Z951="אינה מפותחת","; דגש על הבעה בכתב","")&amp;IF($K951&lt;&gt;"תקין","; נדרש לעבוד על ההנגנה","")&amp;IF($AK951&lt;&gt;"","; "&amp;$AK951,""),3,400))</f>
        <v/>
      </c>
      <c r="AE951" s="32">
        <f>IF($F951="","",IF($F951="תחילת שנה",1,IF($F951="מחצית שנה",2,3)))</f>
        <v/>
      </c>
      <c r="AF951" s="32">
        <f>IF(OR($B951="",$AC951="",$A951="",$F951=""),"",$B951&amp;"|"&amp;$A951&amp;"|"&amp;$F951&amp;"|"&amp;$AC951&amp;"|"&amp;COUNTIFS($B$6:$B951,$B951,$A$6:$A951,$A951,$F$6:$F951,$F951,$AC$6:$AC951,$AC951))</f>
        <v/>
      </c>
      <c r="AG951" s="32">
        <f>IF($C951="","",$C951&amp;"|"&amp;COUNTIFS($C$6:$C951,$C951))</f>
        <v/>
      </c>
      <c r="AH951" s="32">
        <f>IF(OR($C951="",$A951="",$AE951=""),"",$C951&amp;"|"&amp;$A951&amp;"|"&amp;$AE951)</f>
        <v/>
      </c>
      <c r="AI951" s="32">
        <f>IF(OR($C951="",$AE951="",$AE951=1),"",IFERROR(INDEX($AC$6:$AC$1505,MATCH($C951&amp;"|"&amp;$A951&amp;"|"&amp;($AE951-1),$AH$6:$AH$1505,0)),""))</f>
        <v/>
      </c>
      <c r="AJ951" s="32">
        <f>IF(OR($AI951="",$AC951=""),"",IF($AI951=$AC951,"ללא שינוי","מ-"&amp;$AI951&amp;" ל-"&amp;$AC951))</f>
        <v/>
      </c>
      <c r="AK951" s="67" t="n"/>
    </row>
    <row r="952" ht="15.75" customHeight="1" s="58">
      <c r="A952" s="65" t="n"/>
      <c r="B952" s="65" t="n"/>
      <c r="C952" s="66" t="n"/>
      <c r="D952" s="66" t="n"/>
      <c r="E952" s="65" t="n"/>
      <c r="F952" s="65" t="n"/>
      <c r="G952" s="65" t="n"/>
      <c r="H952" s="65" t="n"/>
      <c r="I952" s="65" t="n"/>
      <c r="J952" s="65" t="n"/>
      <c r="K952" s="65" t="n"/>
      <c r="L952" s="65" t="n"/>
      <c r="M952" s="65" t="n"/>
      <c r="N952" s="65" t="n"/>
      <c r="O952" s="65" t="n"/>
      <c r="P952" s="65" t="n"/>
      <c r="Q952" s="65" t="n"/>
      <c r="R952" s="65" t="n"/>
      <c r="S952" s="65" t="n"/>
      <c r="T952" s="65" t="n"/>
      <c r="U952" s="65" t="n"/>
      <c r="V952" s="65" t="n"/>
      <c r="W952" s="65" t="n"/>
      <c r="X952" s="65" t="n"/>
      <c r="Y952" s="32">
        <f>IF($C952="","",IF(COUNTA($I952:$K952)&lt;3,"— חסרים נתונים",IF(AND($I952="תקין",$J952="תקין",$K952="תקין"),"רהוטה",IF(AND($I952="תקין",$J952="תקין"),"מדויקת ורציפה","אינה מדויקת או מקוטעת"))))</f>
        <v/>
      </c>
      <c r="Z952" s="32">
        <f>IF($C952="","",IF(COUNTA($U952:$W952)&lt;3,"",IF(AND($U952="מפותח",$V952="מפותח",$W952="מפותחת"),"מפותחת",IF((--($U952="דל"))+(--($V952="אינו מפותח"))+(--($W952="דלה"))&gt;=2,"אינה מפותחת","חלקית"))))</f>
        <v/>
      </c>
      <c r="AA952" s="32">
        <f>IF($C952="","",IF(COUNTA($M952,$N952,$O952)&lt;3,"— חסרים נתונים",IF(OR($M952="נמוכה",(--($M952&lt;&gt;"תקינה"))+(--($N952&lt;&gt;"תקין"))+(--($O952&lt;&gt;"תקינה"))&gt;=2),"ניכרת","אינה ניכרת")))</f>
        <v/>
      </c>
      <c r="AB952" s="32">
        <f>IF(OR($C952="",$Y952="",$AA952="",LEFT($Y952,1)="—",LEFT($AA952,1)="—"),"",IF($Z952="","— נדרשת הערכת כתיבה",IF($L952="","— חסרה הבנת הנקרא",IF($Y952="אינה מדויקת או מקוטעת",IF($AA952="ניכרת","מיקוד בשטף הקריאה ובכישורי שפה","מיקוד בשטף קריאה"),IF($AA952="ניכרת","מיקוד בכישורי שפה",IF(AND($L952="תקינה",$Z952="מפותחת"),"קוראים וכותבים מיומנים","מיקוד בהבנה והבעה"))))))</f>
        <v/>
      </c>
      <c r="AC952" s="32">
        <f>IF(OR($AB952="",LEFT($AB952,1)="—"),"",IF(OR($AB952="מיקוד בשטף קריאה",$AB952="מיקוד בשטף הקריאה ובכישורי שפה"),"רמה א'",IF($AB952="קוראים וכותבים מיומנים","רמה ג'","רמה ב'")))</f>
        <v/>
      </c>
      <c r="AD952" s="32">
        <f>IF($AC952="","",MID(IF(AND($AC952="רמה א'",$AA952="ניכרת"),"; להוסיף עבודת אוצר מילים","")&amp;IF($Z952="אינה מפותחת","; דגש על הבעה בכתב","")&amp;IF($K952&lt;&gt;"תקין","; נדרש לעבוד על ההנגנה","")&amp;IF($AK952&lt;&gt;"","; "&amp;$AK952,""),3,400))</f>
        <v/>
      </c>
      <c r="AE952" s="32">
        <f>IF($F952="","",IF($F952="תחילת שנה",1,IF($F952="מחצית שנה",2,3)))</f>
        <v/>
      </c>
      <c r="AF952" s="32">
        <f>IF(OR($B952="",$AC952="",$A952="",$F952=""),"",$B952&amp;"|"&amp;$A952&amp;"|"&amp;$F952&amp;"|"&amp;$AC952&amp;"|"&amp;COUNTIFS($B$6:$B952,$B952,$A$6:$A952,$A952,$F$6:$F952,$F952,$AC$6:$AC952,$AC952))</f>
        <v/>
      </c>
      <c r="AG952" s="32">
        <f>IF($C952="","",$C952&amp;"|"&amp;COUNTIFS($C$6:$C952,$C952))</f>
        <v/>
      </c>
      <c r="AH952" s="32">
        <f>IF(OR($C952="",$A952="",$AE952=""),"",$C952&amp;"|"&amp;$A952&amp;"|"&amp;$AE952)</f>
        <v/>
      </c>
      <c r="AI952" s="32">
        <f>IF(OR($C952="",$AE952="",$AE952=1),"",IFERROR(INDEX($AC$6:$AC$1505,MATCH($C952&amp;"|"&amp;$A952&amp;"|"&amp;($AE952-1),$AH$6:$AH$1505,0)),""))</f>
        <v/>
      </c>
      <c r="AJ952" s="32">
        <f>IF(OR($AI952="",$AC952=""),"",IF($AI952=$AC952,"ללא שינוי","מ-"&amp;$AI952&amp;" ל-"&amp;$AC952))</f>
        <v/>
      </c>
      <c r="AK952" s="67" t="n"/>
    </row>
    <row r="953" ht="15.75" customHeight="1" s="58">
      <c r="A953" s="65" t="n"/>
      <c r="B953" s="65" t="n"/>
      <c r="C953" s="66" t="n"/>
      <c r="D953" s="66" t="n"/>
      <c r="E953" s="65" t="n"/>
      <c r="F953" s="65" t="n"/>
      <c r="G953" s="65" t="n"/>
      <c r="H953" s="65" t="n"/>
      <c r="I953" s="65" t="n"/>
      <c r="J953" s="65" t="n"/>
      <c r="K953" s="65" t="n"/>
      <c r="L953" s="65" t="n"/>
      <c r="M953" s="65" t="n"/>
      <c r="N953" s="65" t="n"/>
      <c r="O953" s="65" t="n"/>
      <c r="P953" s="65" t="n"/>
      <c r="Q953" s="65" t="n"/>
      <c r="R953" s="65" t="n"/>
      <c r="S953" s="65" t="n"/>
      <c r="T953" s="65" t="n"/>
      <c r="U953" s="65" t="n"/>
      <c r="V953" s="65" t="n"/>
      <c r="W953" s="65" t="n"/>
      <c r="X953" s="65" t="n"/>
      <c r="Y953" s="32">
        <f>IF($C953="","",IF(COUNTA($I953:$K953)&lt;3,"— חסרים נתונים",IF(AND($I953="תקין",$J953="תקין",$K953="תקין"),"רהוטה",IF(AND($I953="תקין",$J953="תקין"),"מדויקת ורציפה","אינה מדויקת או מקוטעת"))))</f>
        <v/>
      </c>
      <c r="Z953" s="32">
        <f>IF($C953="","",IF(COUNTA($U953:$W953)&lt;3,"",IF(AND($U953="מפותח",$V953="מפותח",$W953="מפותחת"),"מפותחת",IF((--($U953="דל"))+(--($V953="אינו מפותח"))+(--($W953="דלה"))&gt;=2,"אינה מפותחת","חלקית"))))</f>
        <v/>
      </c>
      <c r="AA953" s="32">
        <f>IF($C953="","",IF(COUNTA($M953,$N953,$O953)&lt;3,"— חסרים נתונים",IF(OR($M953="נמוכה",(--($M953&lt;&gt;"תקינה"))+(--($N953&lt;&gt;"תקין"))+(--($O953&lt;&gt;"תקינה"))&gt;=2),"ניכרת","אינה ניכרת")))</f>
        <v/>
      </c>
      <c r="AB953" s="32">
        <f>IF(OR($C953="",$Y953="",$AA953="",LEFT($Y953,1)="—",LEFT($AA953,1)="—"),"",IF($Z953="","— נדרשת הערכת כתיבה",IF($L953="","— חסרה הבנת הנקרא",IF($Y953="אינה מדויקת או מקוטעת",IF($AA953="ניכרת","מיקוד בשטף הקריאה ובכישורי שפה","מיקוד בשטף קריאה"),IF($AA953="ניכרת","מיקוד בכישורי שפה",IF(AND($L953="תקינה",$Z953="מפותחת"),"קוראים וכותבים מיומנים","מיקוד בהבנה והבעה"))))))</f>
        <v/>
      </c>
      <c r="AC953" s="32">
        <f>IF(OR($AB953="",LEFT($AB953,1)="—"),"",IF(OR($AB953="מיקוד בשטף קריאה",$AB953="מיקוד בשטף הקריאה ובכישורי שפה"),"רמה א'",IF($AB953="קוראים וכותבים מיומנים","רמה ג'","רמה ב'")))</f>
        <v/>
      </c>
      <c r="AD953" s="32">
        <f>IF($AC953="","",MID(IF(AND($AC953="רמה א'",$AA953="ניכרת"),"; להוסיף עבודת אוצר מילים","")&amp;IF($Z953="אינה מפותחת","; דגש על הבעה בכתב","")&amp;IF($K953&lt;&gt;"תקין","; נדרש לעבוד על ההנגנה","")&amp;IF($AK953&lt;&gt;"","; "&amp;$AK953,""),3,400))</f>
        <v/>
      </c>
      <c r="AE953" s="32">
        <f>IF($F953="","",IF($F953="תחילת שנה",1,IF($F953="מחצית שנה",2,3)))</f>
        <v/>
      </c>
      <c r="AF953" s="32">
        <f>IF(OR($B953="",$AC953="",$A953="",$F953=""),"",$B953&amp;"|"&amp;$A953&amp;"|"&amp;$F953&amp;"|"&amp;$AC953&amp;"|"&amp;COUNTIFS($B$6:$B953,$B953,$A$6:$A953,$A953,$F$6:$F953,$F953,$AC$6:$AC953,$AC953))</f>
        <v/>
      </c>
      <c r="AG953" s="32">
        <f>IF($C953="","",$C953&amp;"|"&amp;COUNTIFS($C$6:$C953,$C953))</f>
        <v/>
      </c>
      <c r="AH953" s="32">
        <f>IF(OR($C953="",$A953="",$AE953=""),"",$C953&amp;"|"&amp;$A953&amp;"|"&amp;$AE953)</f>
        <v/>
      </c>
      <c r="AI953" s="32">
        <f>IF(OR($C953="",$AE953="",$AE953=1),"",IFERROR(INDEX($AC$6:$AC$1505,MATCH($C953&amp;"|"&amp;$A953&amp;"|"&amp;($AE953-1),$AH$6:$AH$1505,0)),""))</f>
        <v/>
      </c>
      <c r="AJ953" s="32">
        <f>IF(OR($AI953="",$AC953=""),"",IF($AI953=$AC953,"ללא שינוי","מ-"&amp;$AI953&amp;" ל-"&amp;$AC953))</f>
        <v/>
      </c>
      <c r="AK953" s="67" t="n"/>
    </row>
    <row r="954" ht="15.75" customHeight="1" s="58">
      <c r="A954" s="65" t="n"/>
      <c r="B954" s="65" t="n"/>
      <c r="C954" s="66" t="n"/>
      <c r="D954" s="66" t="n"/>
      <c r="E954" s="65" t="n"/>
      <c r="F954" s="65" t="n"/>
      <c r="G954" s="65" t="n"/>
      <c r="H954" s="65" t="n"/>
      <c r="I954" s="65" t="n"/>
      <c r="J954" s="65" t="n"/>
      <c r="K954" s="65" t="n"/>
      <c r="L954" s="65" t="n"/>
      <c r="M954" s="65" t="n"/>
      <c r="N954" s="65" t="n"/>
      <c r="O954" s="65" t="n"/>
      <c r="P954" s="65" t="n"/>
      <c r="Q954" s="65" t="n"/>
      <c r="R954" s="65" t="n"/>
      <c r="S954" s="65" t="n"/>
      <c r="T954" s="65" t="n"/>
      <c r="U954" s="65" t="n"/>
      <c r="V954" s="65" t="n"/>
      <c r="W954" s="65" t="n"/>
      <c r="X954" s="65" t="n"/>
      <c r="Y954" s="32">
        <f>IF($C954="","",IF(COUNTA($I954:$K954)&lt;3,"— חסרים נתונים",IF(AND($I954="תקין",$J954="תקין",$K954="תקין"),"רהוטה",IF(AND($I954="תקין",$J954="תקין"),"מדויקת ורציפה","אינה מדויקת או מקוטעת"))))</f>
        <v/>
      </c>
      <c r="Z954" s="32">
        <f>IF($C954="","",IF(COUNTA($U954:$W954)&lt;3,"",IF(AND($U954="מפותח",$V954="מפותח",$W954="מפותחת"),"מפותחת",IF((--($U954="דל"))+(--($V954="אינו מפותח"))+(--($W954="דלה"))&gt;=2,"אינה מפותחת","חלקית"))))</f>
        <v/>
      </c>
      <c r="AA954" s="32">
        <f>IF($C954="","",IF(COUNTA($M954,$N954,$O954)&lt;3,"— חסרים נתונים",IF(OR($M954="נמוכה",(--($M954&lt;&gt;"תקינה"))+(--($N954&lt;&gt;"תקין"))+(--($O954&lt;&gt;"תקינה"))&gt;=2),"ניכרת","אינה ניכרת")))</f>
        <v/>
      </c>
      <c r="AB954" s="32">
        <f>IF(OR($C954="",$Y954="",$AA954="",LEFT($Y954,1)="—",LEFT($AA954,1)="—"),"",IF($Z954="","— נדרשת הערכת כתיבה",IF($L954="","— חסרה הבנת הנקרא",IF($Y954="אינה מדויקת או מקוטעת",IF($AA954="ניכרת","מיקוד בשטף הקריאה ובכישורי שפה","מיקוד בשטף קריאה"),IF($AA954="ניכרת","מיקוד בכישורי שפה",IF(AND($L954="תקינה",$Z954="מפותחת"),"קוראים וכותבים מיומנים","מיקוד בהבנה והבעה"))))))</f>
        <v/>
      </c>
      <c r="AC954" s="32">
        <f>IF(OR($AB954="",LEFT($AB954,1)="—"),"",IF(OR($AB954="מיקוד בשטף קריאה",$AB954="מיקוד בשטף הקריאה ובכישורי שפה"),"רמה א'",IF($AB954="קוראים וכותבים מיומנים","רמה ג'","רמה ב'")))</f>
        <v/>
      </c>
      <c r="AD954" s="32">
        <f>IF($AC954="","",MID(IF(AND($AC954="רמה א'",$AA954="ניכרת"),"; להוסיף עבודת אוצר מילים","")&amp;IF($Z954="אינה מפותחת","; דגש על הבעה בכתב","")&amp;IF($K954&lt;&gt;"תקין","; נדרש לעבוד על ההנגנה","")&amp;IF($AK954&lt;&gt;"","; "&amp;$AK954,""),3,400))</f>
        <v/>
      </c>
      <c r="AE954" s="32">
        <f>IF($F954="","",IF($F954="תחילת שנה",1,IF($F954="מחצית שנה",2,3)))</f>
        <v/>
      </c>
      <c r="AF954" s="32">
        <f>IF(OR($B954="",$AC954="",$A954="",$F954=""),"",$B954&amp;"|"&amp;$A954&amp;"|"&amp;$F954&amp;"|"&amp;$AC954&amp;"|"&amp;COUNTIFS($B$6:$B954,$B954,$A$6:$A954,$A954,$F$6:$F954,$F954,$AC$6:$AC954,$AC954))</f>
        <v/>
      </c>
      <c r="AG954" s="32">
        <f>IF($C954="","",$C954&amp;"|"&amp;COUNTIFS($C$6:$C954,$C954))</f>
        <v/>
      </c>
      <c r="AH954" s="32">
        <f>IF(OR($C954="",$A954="",$AE954=""),"",$C954&amp;"|"&amp;$A954&amp;"|"&amp;$AE954)</f>
        <v/>
      </c>
      <c r="AI954" s="32">
        <f>IF(OR($C954="",$AE954="",$AE954=1),"",IFERROR(INDEX($AC$6:$AC$1505,MATCH($C954&amp;"|"&amp;$A954&amp;"|"&amp;($AE954-1),$AH$6:$AH$1505,0)),""))</f>
        <v/>
      </c>
      <c r="AJ954" s="32">
        <f>IF(OR($AI954="",$AC954=""),"",IF($AI954=$AC954,"ללא שינוי","מ-"&amp;$AI954&amp;" ל-"&amp;$AC954))</f>
        <v/>
      </c>
      <c r="AK954" s="67" t="n"/>
    </row>
    <row r="955" ht="15.75" customHeight="1" s="58">
      <c r="A955" s="65" t="n"/>
      <c r="B955" s="65" t="n"/>
      <c r="C955" s="66" t="n"/>
      <c r="D955" s="66" t="n"/>
      <c r="E955" s="65" t="n"/>
      <c r="F955" s="65" t="n"/>
      <c r="G955" s="65" t="n"/>
      <c r="H955" s="65" t="n"/>
      <c r="I955" s="65" t="n"/>
      <c r="J955" s="65" t="n"/>
      <c r="K955" s="65" t="n"/>
      <c r="L955" s="65" t="n"/>
      <c r="M955" s="65" t="n"/>
      <c r="N955" s="65" t="n"/>
      <c r="O955" s="65" t="n"/>
      <c r="P955" s="65" t="n"/>
      <c r="Q955" s="65" t="n"/>
      <c r="R955" s="65" t="n"/>
      <c r="S955" s="65" t="n"/>
      <c r="T955" s="65" t="n"/>
      <c r="U955" s="65" t="n"/>
      <c r="V955" s="65" t="n"/>
      <c r="W955" s="65" t="n"/>
      <c r="X955" s="65" t="n"/>
      <c r="Y955" s="32">
        <f>IF($C955="","",IF(COUNTA($I955:$K955)&lt;3,"— חסרים נתונים",IF(AND($I955="תקין",$J955="תקין",$K955="תקין"),"רהוטה",IF(AND($I955="תקין",$J955="תקין"),"מדויקת ורציפה","אינה מדויקת או מקוטעת"))))</f>
        <v/>
      </c>
      <c r="Z955" s="32">
        <f>IF($C955="","",IF(COUNTA($U955:$W955)&lt;3,"",IF(AND($U955="מפותח",$V955="מפותח",$W955="מפותחת"),"מפותחת",IF((--($U955="דל"))+(--($V955="אינו מפותח"))+(--($W955="דלה"))&gt;=2,"אינה מפותחת","חלקית"))))</f>
        <v/>
      </c>
      <c r="AA955" s="32">
        <f>IF($C955="","",IF(COUNTA($M955,$N955,$O955)&lt;3,"— חסרים נתונים",IF(OR($M955="נמוכה",(--($M955&lt;&gt;"תקינה"))+(--($N955&lt;&gt;"תקין"))+(--($O955&lt;&gt;"תקינה"))&gt;=2),"ניכרת","אינה ניכרת")))</f>
        <v/>
      </c>
      <c r="AB955" s="32">
        <f>IF(OR($C955="",$Y955="",$AA955="",LEFT($Y955,1)="—",LEFT($AA955,1)="—"),"",IF($Z955="","— נדרשת הערכת כתיבה",IF($L955="","— חסרה הבנת הנקרא",IF($Y955="אינה מדויקת או מקוטעת",IF($AA955="ניכרת","מיקוד בשטף הקריאה ובכישורי שפה","מיקוד בשטף קריאה"),IF($AA955="ניכרת","מיקוד בכישורי שפה",IF(AND($L955="תקינה",$Z955="מפותחת"),"קוראים וכותבים מיומנים","מיקוד בהבנה והבעה"))))))</f>
        <v/>
      </c>
      <c r="AC955" s="32">
        <f>IF(OR($AB955="",LEFT($AB955,1)="—"),"",IF(OR($AB955="מיקוד בשטף קריאה",$AB955="מיקוד בשטף הקריאה ובכישורי שפה"),"רמה א'",IF($AB955="קוראים וכותבים מיומנים","רמה ג'","רמה ב'")))</f>
        <v/>
      </c>
      <c r="AD955" s="32">
        <f>IF($AC955="","",MID(IF(AND($AC955="רמה א'",$AA955="ניכרת"),"; להוסיף עבודת אוצר מילים","")&amp;IF($Z955="אינה מפותחת","; דגש על הבעה בכתב","")&amp;IF($K955&lt;&gt;"תקין","; נדרש לעבוד על ההנגנה","")&amp;IF($AK955&lt;&gt;"","; "&amp;$AK955,""),3,400))</f>
        <v/>
      </c>
      <c r="AE955" s="32">
        <f>IF($F955="","",IF($F955="תחילת שנה",1,IF($F955="מחצית שנה",2,3)))</f>
        <v/>
      </c>
      <c r="AF955" s="32">
        <f>IF(OR($B955="",$AC955="",$A955="",$F955=""),"",$B955&amp;"|"&amp;$A955&amp;"|"&amp;$F955&amp;"|"&amp;$AC955&amp;"|"&amp;COUNTIFS($B$6:$B955,$B955,$A$6:$A955,$A955,$F$6:$F955,$F955,$AC$6:$AC955,$AC955))</f>
        <v/>
      </c>
      <c r="AG955" s="32">
        <f>IF($C955="","",$C955&amp;"|"&amp;COUNTIFS($C$6:$C955,$C955))</f>
        <v/>
      </c>
      <c r="AH955" s="32">
        <f>IF(OR($C955="",$A955="",$AE955=""),"",$C955&amp;"|"&amp;$A955&amp;"|"&amp;$AE955)</f>
        <v/>
      </c>
      <c r="AI955" s="32">
        <f>IF(OR($C955="",$AE955="",$AE955=1),"",IFERROR(INDEX($AC$6:$AC$1505,MATCH($C955&amp;"|"&amp;$A955&amp;"|"&amp;($AE955-1),$AH$6:$AH$1505,0)),""))</f>
        <v/>
      </c>
      <c r="AJ955" s="32">
        <f>IF(OR($AI955="",$AC955=""),"",IF($AI955=$AC955,"ללא שינוי","מ-"&amp;$AI955&amp;" ל-"&amp;$AC955))</f>
        <v/>
      </c>
      <c r="AK955" s="67" t="n"/>
    </row>
    <row r="956" ht="15.75" customHeight="1" s="58">
      <c r="A956" s="65" t="n"/>
      <c r="B956" s="65" t="n"/>
      <c r="C956" s="66" t="n"/>
      <c r="D956" s="66" t="n"/>
      <c r="E956" s="65" t="n"/>
      <c r="F956" s="65" t="n"/>
      <c r="G956" s="65" t="n"/>
      <c r="H956" s="65" t="n"/>
      <c r="I956" s="65" t="n"/>
      <c r="J956" s="65" t="n"/>
      <c r="K956" s="65" t="n"/>
      <c r="L956" s="65" t="n"/>
      <c r="M956" s="65" t="n"/>
      <c r="N956" s="65" t="n"/>
      <c r="O956" s="65" t="n"/>
      <c r="P956" s="65" t="n"/>
      <c r="Q956" s="65" t="n"/>
      <c r="R956" s="65" t="n"/>
      <c r="S956" s="65" t="n"/>
      <c r="T956" s="65" t="n"/>
      <c r="U956" s="65" t="n"/>
      <c r="V956" s="65" t="n"/>
      <c r="W956" s="65" t="n"/>
      <c r="X956" s="65" t="n"/>
      <c r="Y956" s="32">
        <f>IF($C956="","",IF(COUNTA($I956:$K956)&lt;3,"— חסרים נתונים",IF(AND($I956="תקין",$J956="תקין",$K956="תקין"),"רהוטה",IF(AND($I956="תקין",$J956="תקין"),"מדויקת ורציפה","אינה מדויקת או מקוטעת"))))</f>
        <v/>
      </c>
      <c r="Z956" s="32">
        <f>IF($C956="","",IF(COUNTA($U956:$W956)&lt;3,"",IF(AND($U956="מפותח",$V956="מפותח",$W956="מפותחת"),"מפותחת",IF((--($U956="דל"))+(--($V956="אינו מפותח"))+(--($W956="דלה"))&gt;=2,"אינה מפותחת","חלקית"))))</f>
        <v/>
      </c>
      <c r="AA956" s="32">
        <f>IF($C956="","",IF(COUNTA($M956,$N956,$O956)&lt;3,"— חסרים נתונים",IF(OR($M956="נמוכה",(--($M956&lt;&gt;"תקינה"))+(--($N956&lt;&gt;"תקין"))+(--($O956&lt;&gt;"תקינה"))&gt;=2),"ניכרת","אינה ניכרת")))</f>
        <v/>
      </c>
      <c r="AB956" s="32">
        <f>IF(OR($C956="",$Y956="",$AA956="",LEFT($Y956,1)="—",LEFT($AA956,1)="—"),"",IF($Z956="","— נדרשת הערכת כתיבה",IF($L956="","— חסרה הבנת הנקרא",IF($Y956="אינה מדויקת או מקוטעת",IF($AA956="ניכרת","מיקוד בשטף הקריאה ובכישורי שפה","מיקוד בשטף קריאה"),IF($AA956="ניכרת","מיקוד בכישורי שפה",IF(AND($L956="תקינה",$Z956="מפותחת"),"קוראים וכותבים מיומנים","מיקוד בהבנה והבעה"))))))</f>
        <v/>
      </c>
      <c r="AC956" s="32">
        <f>IF(OR($AB956="",LEFT($AB956,1)="—"),"",IF(OR($AB956="מיקוד בשטף קריאה",$AB956="מיקוד בשטף הקריאה ובכישורי שפה"),"רמה א'",IF($AB956="קוראים וכותבים מיומנים","רמה ג'","רמה ב'")))</f>
        <v/>
      </c>
      <c r="AD956" s="32">
        <f>IF($AC956="","",MID(IF(AND($AC956="רמה א'",$AA956="ניכרת"),"; להוסיף עבודת אוצר מילים","")&amp;IF($Z956="אינה מפותחת","; דגש על הבעה בכתב","")&amp;IF($K956&lt;&gt;"תקין","; נדרש לעבוד על ההנגנה","")&amp;IF($AK956&lt;&gt;"","; "&amp;$AK956,""),3,400))</f>
        <v/>
      </c>
      <c r="AE956" s="32">
        <f>IF($F956="","",IF($F956="תחילת שנה",1,IF($F956="מחצית שנה",2,3)))</f>
        <v/>
      </c>
      <c r="AF956" s="32">
        <f>IF(OR($B956="",$AC956="",$A956="",$F956=""),"",$B956&amp;"|"&amp;$A956&amp;"|"&amp;$F956&amp;"|"&amp;$AC956&amp;"|"&amp;COUNTIFS($B$6:$B956,$B956,$A$6:$A956,$A956,$F$6:$F956,$F956,$AC$6:$AC956,$AC956))</f>
        <v/>
      </c>
      <c r="AG956" s="32">
        <f>IF($C956="","",$C956&amp;"|"&amp;COUNTIFS($C$6:$C956,$C956))</f>
        <v/>
      </c>
      <c r="AH956" s="32">
        <f>IF(OR($C956="",$A956="",$AE956=""),"",$C956&amp;"|"&amp;$A956&amp;"|"&amp;$AE956)</f>
        <v/>
      </c>
      <c r="AI956" s="32">
        <f>IF(OR($C956="",$AE956="",$AE956=1),"",IFERROR(INDEX($AC$6:$AC$1505,MATCH($C956&amp;"|"&amp;$A956&amp;"|"&amp;($AE956-1),$AH$6:$AH$1505,0)),""))</f>
        <v/>
      </c>
      <c r="AJ956" s="32">
        <f>IF(OR($AI956="",$AC956=""),"",IF($AI956=$AC956,"ללא שינוי","מ-"&amp;$AI956&amp;" ל-"&amp;$AC956))</f>
        <v/>
      </c>
      <c r="AK956" s="67" t="n"/>
    </row>
    <row r="957" ht="15.75" customHeight="1" s="58">
      <c r="A957" s="65" t="n"/>
      <c r="B957" s="65" t="n"/>
      <c r="C957" s="66" t="n"/>
      <c r="D957" s="66" t="n"/>
      <c r="E957" s="65" t="n"/>
      <c r="F957" s="65" t="n"/>
      <c r="G957" s="65" t="n"/>
      <c r="H957" s="65" t="n"/>
      <c r="I957" s="65" t="n"/>
      <c r="J957" s="65" t="n"/>
      <c r="K957" s="65" t="n"/>
      <c r="L957" s="65" t="n"/>
      <c r="M957" s="65" t="n"/>
      <c r="N957" s="65" t="n"/>
      <c r="O957" s="65" t="n"/>
      <c r="P957" s="65" t="n"/>
      <c r="Q957" s="65" t="n"/>
      <c r="R957" s="65" t="n"/>
      <c r="S957" s="65" t="n"/>
      <c r="T957" s="65" t="n"/>
      <c r="U957" s="65" t="n"/>
      <c r="V957" s="65" t="n"/>
      <c r="W957" s="65" t="n"/>
      <c r="X957" s="65" t="n"/>
      <c r="Y957" s="32">
        <f>IF($C957="","",IF(COUNTA($I957:$K957)&lt;3,"— חסרים נתונים",IF(AND($I957="תקין",$J957="תקין",$K957="תקין"),"רהוטה",IF(AND($I957="תקין",$J957="תקין"),"מדויקת ורציפה","אינה מדויקת או מקוטעת"))))</f>
        <v/>
      </c>
      <c r="Z957" s="32">
        <f>IF($C957="","",IF(COUNTA($U957:$W957)&lt;3,"",IF(AND($U957="מפותח",$V957="מפותח",$W957="מפותחת"),"מפותחת",IF((--($U957="דל"))+(--($V957="אינו מפותח"))+(--($W957="דלה"))&gt;=2,"אינה מפותחת","חלקית"))))</f>
        <v/>
      </c>
      <c r="AA957" s="32">
        <f>IF($C957="","",IF(COUNTA($M957,$N957,$O957)&lt;3,"— חסרים נתונים",IF(OR($M957="נמוכה",(--($M957&lt;&gt;"תקינה"))+(--($N957&lt;&gt;"תקין"))+(--($O957&lt;&gt;"תקינה"))&gt;=2),"ניכרת","אינה ניכרת")))</f>
        <v/>
      </c>
      <c r="AB957" s="32">
        <f>IF(OR($C957="",$Y957="",$AA957="",LEFT($Y957,1)="—",LEFT($AA957,1)="—"),"",IF($Z957="","— נדרשת הערכת כתיבה",IF($L957="","— חסרה הבנת הנקרא",IF($Y957="אינה מדויקת או מקוטעת",IF($AA957="ניכרת","מיקוד בשטף הקריאה ובכישורי שפה","מיקוד בשטף קריאה"),IF($AA957="ניכרת","מיקוד בכישורי שפה",IF(AND($L957="תקינה",$Z957="מפותחת"),"קוראים וכותבים מיומנים","מיקוד בהבנה והבעה"))))))</f>
        <v/>
      </c>
      <c r="AC957" s="32">
        <f>IF(OR($AB957="",LEFT($AB957,1)="—"),"",IF(OR($AB957="מיקוד בשטף קריאה",$AB957="מיקוד בשטף הקריאה ובכישורי שפה"),"רמה א'",IF($AB957="קוראים וכותבים מיומנים","רמה ג'","רמה ב'")))</f>
        <v/>
      </c>
      <c r="AD957" s="32">
        <f>IF($AC957="","",MID(IF(AND($AC957="רמה א'",$AA957="ניכרת"),"; להוסיף עבודת אוצר מילים","")&amp;IF($Z957="אינה מפותחת","; דגש על הבעה בכתב","")&amp;IF($K957&lt;&gt;"תקין","; נדרש לעבוד על ההנגנה","")&amp;IF($AK957&lt;&gt;"","; "&amp;$AK957,""),3,400))</f>
        <v/>
      </c>
      <c r="AE957" s="32">
        <f>IF($F957="","",IF($F957="תחילת שנה",1,IF($F957="מחצית שנה",2,3)))</f>
        <v/>
      </c>
      <c r="AF957" s="32">
        <f>IF(OR($B957="",$AC957="",$A957="",$F957=""),"",$B957&amp;"|"&amp;$A957&amp;"|"&amp;$F957&amp;"|"&amp;$AC957&amp;"|"&amp;COUNTIFS($B$6:$B957,$B957,$A$6:$A957,$A957,$F$6:$F957,$F957,$AC$6:$AC957,$AC957))</f>
        <v/>
      </c>
      <c r="AG957" s="32">
        <f>IF($C957="","",$C957&amp;"|"&amp;COUNTIFS($C$6:$C957,$C957))</f>
        <v/>
      </c>
      <c r="AH957" s="32">
        <f>IF(OR($C957="",$A957="",$AE957=""),"",$C957&amp;"|"&amp;$A957&amp;"|"&amp;$AE957)</f>
        <v/>
      </c>
      <c r="AI957" s="32">
        <f>IF(OR($C957="",$AE957="",$AE957=1),"",IFERROR(INDEX($AC$6:$AC$1505,MATCH($C957&amp;"|"&amp;$A957&amp;"|"&amp;($AE957-1),$AH$6:$AH$1505,0)),""))</f>
        <v/>
      </c>
      <c r="AJ957" s="32">
        <f>IF(OR($AI957="",$AC957=""),"",IF($AI957=$AC957,"ללא שינוי","מ-"&amp;$AI957&amp;" ל-"&amp;$AC957))</f>
        <v/>
      </c>
      <c r="AK957" s="67" t="n"/>
    </row>
    <row r="958" ht="15.75" customHeight="1" s="58">
      <c r="A958" s="65" t="n"/>
      <c r="B958" s="65" t="n"/>
      <c r="C958" s="66" t="n"/>
      <c r="D958" s="66" t="n"/>
      <c r="E958" s="65" t="n"/>
      <c r="F958" s="65" t="n"/>
      <c r="G958" s="65" t="n"/>
      <c r="H958" s="65" t="n"/>
      <c r="I958" s="65" t="n"/>
      <c r="J958" s="65" t="n"/>
      <c r="K958" s="65" t="n"/>
      <c r="L958" s="65" t="n"/>
      <c r="M958" s="65" t="n"/>
      <c r="N958" s="65" t="n"/>
      <c r="O958" s="65" t="n"/>
      <c r="P958" s="65" t="n"/>
      <c r="Q958" s="65" t="n"/>
      <c r="R958" s="65" t="n"/>
      <c r="S958" s="65" t="n"/>
      <c r="T958" s="65" t="n"/>
      <c r="U958" s="65" t="n"/>
      <c r="V958" s="65" t="n"/>
      <c r="W958" s="65" t="n"/>
      <c r="X958" s="65" t="n"/>
      <c r="Y958" s="32">
        <f>IF($C958="","",IF(COUNTA($I958:$K958)&lt;3,"— חסרים נתונים",IF(AND($I958="תקין",$J958="תקין",$K958="תקין"),"רהוטה",IF(AND($I958="תקין",$J958="תקין"),"מדויקת ורציפה","אינה מדויקת או מקוטעת"))))</f>
        <v/>
      </c>
      <c r="Z958" s="32">
        <f>IF($C958="","",IF(COUNTA($U958:$W958)&lt;3,"",IF(AND($U958="מפותח",$V958="מפותח",$W958="מפותחת"),"מפותחת",IF((--($U958="דל"))+(--($V958="אינו מפותח"))+(--($W958="דלה"))&gt;=2,"אינה מפותחת","חלקית"))))</f>
        <v/>
      </c>
      <c r="AA958" s="32">
        <f>IF($C958="","",IF(COUNTA($M958,$N958,$O958)&lt;3,"— חסרים נתונים",IF(OR($M958="נמוכה",(--($M958&lt;&gt;"תקינה"))+(--($N958&lt;&gt;"תקין"))+(--($O958&lt;&gt;"תקינה"))&gt;=2),"ניכרת","אינה ניכרת")))</f>
        <v/>
      </c>
      <c r="AB958" s="32">
        <f>IF(OR($C958="",$Y958="",$AA958="",LEFT($Y958,1)="—",LEFT($AA958,1)="—"),"",IF($Z958="","— נדרשת הערכת כתיבה",IF($L958="","— חסרה הבנת הנקרא",IF($Y958="אינה מדויקת או מקוטעת",IF($AA958="ניכרת","מיקוד בשטף הקריאה ובכישורי שפה","מיקוד בשטף קריאה"),IF($AA958="ניכרת","מיקוד בכישורי שפה",IF(AND($L958="תקינה",$Z958="מפותחת"),"קוראים וכותבים מיומנים","מיקוד בהבנה והבעה"))))))</f>
        <v/>
      </c>
      <c r="AC958" s="32">
        <f>IF(OR($AB958="",LEFT($AB958,1)="—"),"",IF(OR($AB958="מיקוד בשטף קריאה",$AB958="מיקוד בשטף הקריאה ובכישורי שפה"),"רמה א'",IF($AB958="קוראים וכותבים מיומנים","רמה ג'","רמה ב'")))</f>
        <v/>
      </c>
      <c r="AD958" s="32">
        <f>IF($AC958="","",MID(IF(AND($AC958="רמה א'",$AA958="ניכרת"),"; להוסיף עבודת אוצר מילים","")&amp;IF($Z958="אינה מפותחת","; דגש על הבעה בכתב","")&amp;IF($K958&lt;&gt;"תקין","; נדרש לעבוד על ההנגנה","")&amp;IF($AK958&lt;&gt;"","; "&amp;$AK958,""),3,400))</f>
        <v/>
      </c>
      <c r="AE958" s="32">
        <f>IF($F958="","",IF($F958="תחילת שנה",1,IF($F958="מחצית שנה",2,3)))</f>
        <v/>
      </c>
      <c r="AF958" s="32">
        <f>IF(OR($B958="",$AC958="",$A958="",$F958=""),"",$B958&amp;"|"&amp;$A958&amp;"|"&amp;$F958&amp;"|"&amp;$AC958&amp;"|"&amp;COUNTIFS($B$6:$B958,$B958,$A$6:$A958,$A958,$F$6:$F958,$F958,$AC$6:$AC958,$AC958))</f>
        <v/>
      </c>
      <c r="AG958" s="32">
        <f>IF($C958="","",$C958&amp;"|"&amp;COUNTIFS($C$6:$C958,$C958))</f>
        <v/>
      </c>
      <c r="AH958" s="32">
        <f>IF(OR($C958="",$A958="",$AE958=""),"",$C958&amp;"|"&amp;$A958&amp;"|"&amp;$AE958)</f>
        <v/>
      </c>
      <c r="AI958" s="32">
        <f>IF(OR($C958="",$AE958="",$AE958=1),"",IFERROR(INDEX($AC$6:$AC$1505,MATCH($C958&amp;"|"&amp;$A958&amp;"|"&amp;($AE958-1),$AH$6:$AH$1505,0)),""))</f>
        <v/>
      </c>
      <c r="AJ958" s="32">
        <f>IF(OR($AI958="",$AC958=""),"",IF($AI958=$AC958,"ללא שינוי","מ-"&amp;$AI958&amp;" ל-"&amp;$AC958))</f>
        <v/>
      </c>
      <c r="AK958" s="67" t="n"/>
    </row>
    <row r="959" ht="15.75" customHeight="1" s="58">
      <c r="A959" s="65" t="n"/>
      <c r="B959" s="65" t="n"/>
      <c r="C959" s="66" t="n"/>
      <c r="D959" s="66" t="n"/>
      <c r="E959" s="65" t="n"/>
      <c r="F959" s="65" t="n"/>
      <c r="G959" s="65" t="n"/>
      <c r="H959" s="65" t="n"/>
      <c r="I959" s="65" t="n"/>
      <c r="J959" s="65" t="n"/>
      <c r="K959" s="65" t="n"/>
      <c r="L959" s="65" t="n"/>
      <c r="M959" s="65" t="n"/>
      <c r="N959" s="65" t="n"/>
      <c r="O959" s="65" t="n"/>
      <c r="P959" s="65" t="n"/>
      <c r="Q959" s="65" t="n"/>
      <c r="R959" s="65" t="n"/>
      <c r="S959" s="65" t="n"/>
      <c r="T959" s="65" t="n"/>
      <c r="U959" s="65" t="n"/>
      <c r="V959" s="65" t="n"/>
      <c r="W959" s="65" t="n"/>
      <c r="X959" s="65" t="n"/>
      <c r="Y959" s="32">
        <f>IF($C959="","",IF(COUNTA($I959:$K959)&lt;3,"— חסרים נתונים",IF(AND($I959="תקין",$J959="תקין",$K959="תקין"),"רהוטה",IF(AND($I959="תקין",$J959="תקין"),"מדויקת ורציפה","אינה מדויקת או מקוטעת"))))</f>
        <v/>
      </c>
      <c r="Z959" s="32">
        <f>IF($C959="","",IF(COUNTA($U959:$W959)&lt;3,"",IF(AND($U959="מפותח",$V959="מפותח",$W959="מפותחת"),"מפותחת",IF((--($U959="דל"))+(--($V959="אינו מפותח"))+(--($W959="דלה"))&gt;=2,"אינה מפותחת","חלקית"))))</f>
        <v/>
      </c>
      <c r="AA959" s="32">
        <f>IF($C959="","",IF(COUNTA($M959,$N959,$O959)&lt;3,"— חסרים נתונים",IF(OR($M959="נמוכה",(--($M959&lt;&gt;"תקינה"))+(--($N959&lt;&gt;"תקין"))+(--($O959&lt;&gt;"תקינה"))&gt;=2),"ניכרת","אינה ניכרת")))</f>
        <v/>
      </c>
      <c r="AB959" s="32">
        <f>IF(OR($C959="",$Y959="",$AA959="",LEFT($Y959,1)="—",LEFT($AA959,1)="—"),"",IF($Z959="","— נדרשת הערכת כתיבה",IF($L959="","— חסרה הבנת הנקרא",IF($Y959="אינה מדויקת או מקוטעת",IF($AA959="ניכרת","מיקוד בשטף הקריאה ובכישורי שפה","מיקוד בשטף קריאה"),IF($AA959="ניכרת","מיקוד בכישורי שפה",IF(AND($L959="תקינה",$Z959="מפותחת"),"קוראים וכותבים מיומנים","מיקוד בהבנה והבעה"))))))</f>
        <v/>
      </c>
      <c r="AC959" s="32">
        <f>IF(OR($AB959="",LEFT($AB959,1)="—"),"",IF(OR($AB959="מיקוד בשטף קריאה",$AB959="מיקוד בשטף הקריאה ובכישורי שפה"),"רמה א'",IF($AB959="קוראים וכותבים מיומנים","רמה ג'","רמה ב'")))</f>
        <v/>
      </c>
      <c r="AD959" s="32">
        <f>IF($AC959="","",MID(IF(AND($AC959="רמה א'",$AA959="ניכרת"),"; להוסיף עבודת אוצר מילים","")&amp;IF($Z959="אינה מפותחת","; דגש על הבעה בכתב","")&amp;IF($K959&lt;&gt;"תקין","; נדרש לעבוד על ההנגנה","")&amp;IF($AK959&lt;&gt;"","; "&amp;$AK959,""),3,400))</f>
        <v/>
      </c>
      <c r="AE959" s="32">
        <f>IF($F959="","",IF($F959="תחילת שנה",1,IF($F959="מחצית שנה",2,3)))</f>
        <v/>
      </c>
      <c r="AF959" s="32">
        <f>IF(OR($B959="",$AC959="",$A959="",$F959=""),"",$B959&amp;"|"&amp;$A959&amp;"|"&amp;$F959&amp;"|"&amp;$AC959&amp;"|"&amp;COUNTIFS($B$6:$B959,$B959,$A$6:$A959,$A959,$F$6:$F959,$F959,$AC$6:$AC959,$AC959))</f>
        <v/>
      </c>
      <c r="AG959" s="32">
        <f>IF($C959="","",$C959&amp;"|"&amp;COUNTIFS($C$6:$C959,$C959))</f>
        <v/>
      </c>
      <c r="AH959" s="32">
        <f>IF(OR($C959="",$A959="",$AE959=""),"",$C959&amp;"|"&amp;$A959&amp;"|"&amp;$AE959)</f>
        <v/>
      </c>
      <c r="AI959" s="32">
        <f>IF(OR($C959="",$AE959="",$AE959=1),"",IFERROR(INDEX($AC$6:$AC$1505,MATCH($C959&amp;"|"&amp;$A959&amp;"|"&amp;($AE959-1),$AH$6:$AH$1505,0)),""))</f>
        <v/>
      </c>
      <c r="AJ959" s="32">
        <f>IF(OR($AI959="",$AC959=""),"",IF($AI959=$AC959,"ללא שינוי","מ-"&amp;$AI959&amp;" ל-"&amp;$AC959))</f>
        <v/>
      </c>
      <c r="AK959" s="67" t="n"/>
    </row>
    <row r="960" ht="15.75" customHeight="1" s="58">
      <c r="A960" s="65" t="n"/>
      <c r="B960" s="65" t="n"/>
      <c r="C960" s="66" t="n"/>
      <c r="D960" s="66" t="n"/>
      <c r="E960" s="65" t="n"/>
      <c r="F960" s="65" t="n"/>
      <c r="G960" s="65" t="n"/>
      <c r="H960" s="65" t="n"/>
      <c r="I960" s="65" t="n"/>
      <c r="J960" s="65" t="n"/>
      <c r="K960" s="65" t="n"/>
      <c r="L960" s="65" t="n"/>
      <c r="M960" s="65" t="n"/>
      <c r="N960" s="65" t="n"/>
      <c r="O960" s="65" t="n"/>
      <c r="P960" s="65" t="n"/>
      <c r="Q960" s="65" t="n"/>
      <c r="R960" s="65" t="n"/>
      <c r="S960" s="65" t="n"/>
      <c r="T960" s="65" t="n"/>
      <c r="U960" s="65" t="n"/>
      <c r="V960" s="65" t="n"/>
      <c r="W960" s="65" t="n"/>
      <c r="X960" s="65" t="n"/>
      <c r="Y960" s="32">
        <f>IF($C960="","",IF(COUNTA($I960:$K960)&lt;3,"— חסרים נתונים",IF(AND($I960="תקין",$J960="תקין",$K960="תקין"),"רהוטה",IF(AND($I960="תקין",$J960="תקין"),"מדויקת ורציפה","אינה מדויקת או מקוטעת"))))</f>
        <v/>
      </c>
      <c r="Z960" s="32">
        <f>IF($C960="","",IF(COUNTA($U960:$W960)&lt;3,"",IF(AND($U960="מפותח",$V960="מפותח",$W960="מפותחת"),"מפותחת",IF((--($U960="דל"))+(--($V960="אינו מפותח"))+(--($W960="דלה"))&gt;=2,"אינה מפותחת","חלקית"))))</f>
        <v/>
      </c>
      <c r="AA960" s="32">
        <f>IF($C960="","",IF(COUNTA($M960,$N960,$O960)&lt;3,"— חסרים נתונים",IF(OR($M960="נמוכה",(--($M960&lt;&gt;"תקינה"))+(--($N960&lt;&gt;"תקין"))+(--($O960&lt;&gt;"תקינה"))&gt;=2),"ניכרת","אינה ניכרת")))</f>
        <v/>
      </c>
      <c r="AB960" s="32">
        <f>IF(OR($C960="",$Y960="",$AA960="",LEFT($Y960,1)="—",LEFT($AA960,1)="—"),"",IF($Z960="","— נדרשת הערכת כתיבה",IF($L960="","— חסרה הבנת הנקרא",IF($Y960="אינה מדויקת או מקוטעת",IF($AA960="ניכרת","מיקוד בשטף הקריאה ובכישורי שפה","מיקוד בשטף קריאה"),IF($AA960="ניכרת","מיקוד בכישורי שפה",IF(AND($L960="תקינה",$Z960="מפותחת"),"קוראים וכותבים מיומנים","מיקוד בהבנה והבעה"))))))</f>
        <v/>
      </c>
      <c r="AC960" s="32">
        <f>IF(OR($AB960="",LEFT($AB960,1)="—"),"",IF(OR($AB960="מיקוד בשטף קריאה",$AB960="מיקוד בשטף הקריאה ובכישורי שפה"),"רמה א'",IF($AB960="קוראים וכותבים מיומנים","רמה ג'","רמה ב'")))</f>
        <v/>
      </c>
      <c r="AD960" s="32">
        <f>IF($AC960="","",MID(IF(AND($AC960="רמה א'",$AA960="ניכרת"),"; להוסיף עבודת אוצר מילים","")&amp;IF($Z960="אינה מפותחת","; דגש על הבעה בכתב","")&amp;IF($K960&lt;&gt;"תקין","; נדרש לעבוד על ההנגנה","")&amp;IF($AK960&lt;&gt;"","; "&amp;$AK960,""),3,400))</f>
        <v/>
      </c>
      <c r="AE960" s="32">
        <f>IF($F960="","",IF($F960="תחילת שנה",1,IF($F960="מחצית שנה",2,3)))</f>
        <v/>
      </c>
      <c r="AF960" s="32">
        <f>IF(OR($B960="",$AC960="",$A960="",$F960=""),"",$B960&amp;"|"&amp;$A960&amp;"|"&amp;$F960&amp;"|"&amp;$AC960&amp;"|"&amp;COUNTIFS($B$6:$B960,$B960,$A$6:$A960,$A960,$F$6:$F960,$F960,$AC$6:$AC960,$AC960))</f>
        <v/>
      </c>
      <c r="AG960" s="32">
        <f>IF($C960="","",$C960&amp;"|"&amp;COUNTIFS($C$6:$C960,$C960))</f>
        <v/>
      </c>
      <c r="AH960" s="32">
        <f>IF(OR($C960="",$A960="",$AE960=""),"",$C960&amp;"|"&amp;$A960&amp;"|"&amp;$AE960)</f>
        <v/>
      </c>
      <c r="AI960" s="32">
        <f>IF(OR($C960="",$AE960="",$AE960=1),"",IFERROR(INDEX($AC$6:$AC$1505,MATCH($C960&amp;"|"&amp;$A960&amp;"|"&amp;($AE960-1),$AH$6:$AH$1505,0)),""))</f>
        <v/>
      </c>
      <c r="AJ960" s="32">
        <f>IF(OR($AI960="",$AC960=""),"",IF($AI960=$AC960,"ללא שינוי","מ-"&amp;$AI960&amp;" ל-"&amp;$AC960))</f>
        <v/>
      </c>
      <c r="AK960" s="67" t="n"/>
    </row>
    <row r="961" ht="15.75" customHeight="1" s="58">
      <c r="A961" s="65" t="n"/>
      <c r="B961" s="65" t="n"/>
      <c r="C961" s="66" t="n"/>
      <c r="D961" s="66" t="n"/>
      <c r="E961" s="65" t="n"/>
      <c r="F961" s="65" t="n"/>
      <c r="G961" s="65" t="n"/>
      <c r="H961" s="65" t="n"/>
      <c r="I961" s="65" t="n"/>
      <c r="J961" s="65" t="n"/>
      <c r="K961" s="65" t="n"/>
      <c r="L961" s="65" t="n"/>
      <c r="M961" s="65" t="n"/>
      <c r="N961" s="65" t="n"/>
      <c r="O961" s="65" t="n"/>
      <c r="P961" s="65" t="n"/>
      <c r="Q961" s="65" t="n"/>
      <c r="R961" s="65" t="n"/>
      <c r="S961" s="65" t="n"/>
      <c r="T961" s="65" t="n"/>
      <c r="U961" s="65" t="n"/>
      <c r="V961" s="65" t="n"/>
      <c r="W961" s="65" t="n"/>
      <c r="X961" s="65" t="n"/>
      <c r="Y961" s="32">
        <f>IF($C961="","",IF(COUNTA($I961:$K961)&lt;3,"— חסרים נתונים",IF(AND($I961="תקין",$J961="תקין",$K961="תקין"),"רהוטה",IF(AND($I961="תקין",$J961="תקין"),"מדויקת ורציפה","אינה מדויקת או מקוטעת"))))</f>
        <v/>
      </c>
      <c r="Z961" s="32">
        <f>IF($C961="","",IF(COUNTA($U961:$W961)&lt;3,"",IF(AND($U961="מפותח",$V961="מפותח",$W961="מפותחת"),"מפותחת",IF((--($U961="דל"))+(--($V961="אינו מפותח"))+(--($W961="דלה"))&gt;=2,"אינה מפותחת","חלקית"))))</f>
        <v/>
      </c>
      <c r="AA961" s="32">
        <f>IF($C961="","",IF(COUNTA($M961,$N961,$O961)&lt;3,"— חסרים נתונים",IF(OR($M961="נמוכה",(--($M961&lt;&gt;"תקינה"))+(--($N961&lt;&gt;"תקין"))+(--($O961&lt;&gt;"תקינה"))&gt;=2),"ניכרת","אינה ניכרת")))</f>
        <v/>
      </c>
      <c r="AB961" s="32">
        <f>IF(OR($C961="",$Y961="",$AA961="",LEFT($Y961,1)="—",LEFT($AA961,1)="—"),"",IF($Z961="","— נדרשת הערכת כתיבה",IF($L961="","— חסרה הבנת הנקרא",IF($Y961="אינה מדויקת או מקוטעת",IF($AA961="ניכרת","מיקוד בשטף הקריאה ובכישורי שפה","מיקוד בשטף קריאה"),IF($AA961="ניכרת","מיקוד בכישורי שפה",IF(AND($L961="תקינה",$Z961="מפותחת"),"קוראים וכותבים מיומנים","מיקוד בהבנה והבעה"))))))</f>
        <v/>
      </c>
      <c r="AC961" s="32">
        <f>IF(OR($AB961="",LEFT($AB961,1)="—"),"",IF(OR($AB961="מיקוד בשטף קריאה",$AB961="מיקוד בשטף הקריאה ובכישורי שפה"),"רמה א'",IF($AB961="קוראים וכותבים מיומנים","רמה ג'","רמה ב'")))</f>
        <v/>
      </c>
      <c r="AD961" s="32">
        <f>IF($AC961="","",MID(IF(AND($AC961="רמה א'",$AA961="ניכרת"),"; להוסיף עבודת אוצר מילים","")&amp;IF($Z961="אינה מפותחת","; דגש על הבעה בכתב","")&amp;IF($K961&lt;&gt;"תקין","; נדרש לעבוד על ההנגנה","")&amp;IF($AK961&lt;&gt;"","; "&amp;$AK961,""),3,400))</f>
        <v/>
      </c>
      <c r="AE961" s="32">
        <f>IF($F961="","",IF($F961="תחילת שנה",1,IF($F961="מחצית שנה",2,3)))</f>
        <v/>
      </c>
      <c r="AF961" s="32">
        <f>IF(OR($B961="",$AC961="",$A961="",$F961=""),"",$B961&amp;"|"&amp;$A961&amp;"|"&amp;$F961&amp;"|"&amp;$AC961&amp;"|"&amp;COUNTIFS($B$6:$B961,$B961,$A$6:$A961,$A961,$F$6:$F961,$F961,$AC$6:$AC961,$AC961))</f>
        <v/>
      </c>
      <c r="AG961" s="32">
        <f>IF($C961="","",$C961&amp;"|"&amp;COUNTIFS($C$6:$C961,$C961))</f>
        <v/>
      </c>
      <c r="AH961" s="32">
        <f>IF(OR($C961="",$A961="",$AE961=""),"",$C961&amp;"|"&amp;$A961&amp;"|"&amp;$AE961)</f>
        <v/>
      </c>
      <c r="AI961" s="32">
        <f>IF(OR($C961="",$AE961="",$AE961=1),"",IFERROR(INDEX($AC$6:$AC$1505,MATCH($C961&amp;"|"&amp;$A961&amp;"|"&amp;($AE961-1),$AH$6:$AH$1505,0)),""))</f>
        <v/>
      </c>
      <c r="AJ961" s="32">
        <f>IF(OR($AI961="",$AC961=""),"",IF($AI961=$AC961,"ללא שינוי","מ-"&amp;$AI961&amp;" ל-"&amp;$AC961))</f>
        <v/>
      </c>
      <c r="AK961" s="67" t="n"/>
    </row>
    <row r="962" ht="15.75" customHeight="1" s="58">
      <c r="A962" s="65" t="n"/>
      <c r="B962" s="65" t="n"/>
      <c r="C962" s="66" t="n"/>
      <c r="D962" s="66" t="n"/>
      <c r="E962" s="65" t="n"/>
      <c r="F962" s="65" t="n"/>
      <c r="G962" s="65" t="n"/>
      <c r="H962" s="65" t="n"/>
      <c r="I962" s="65" t="n"/>
      <c r="J962" s="65" t="n"/>
      <c r="K962" s="65" t="n"/>
      <c r="L962" s="65" t="n"/>
      <c r="M962" s="65" t="n"/>
      <c r="N962" s="65" t="n"/>
      <c r="O962" s="65" t="n"/>
      <c r="P962" s="65" t="n"/>
      <c r="Q962" s="65" t="n"/>
      <c r="R962" s="65" t="n"/>
      <c r="S962" s="65" t="n"/>
      <c r="T962" s="65" t="n"/>
      <c r="U962" s="65" t="n"/>
      <c r="V962" s="65" t="n"/>
      <c r="W962" s="65" t="n"/>
      <c r="X962" s="65" t="n"/>
      <c r="Y962" s="32">
        <f>IF($C962="","",IF(COUNTA($I962:$K962)&lt;3,"— חסרים נתונים",IF(AND($I962="תקין",$J962="תקין",$K962="תקין"),"רהוטה",IF(AND($I962="תקין",$J962="תקין"),"מדויקת ורציפה","אינה מדויקת או מקוטעת"))))</f>
        <v/>
      </c>
      <c r="Z962" s="32">
        <f>IF($C962="","",IF(COUNTA($U962:$W962)&lt;3,"",IF(AND($U962="מפותח",$V962="מפותח",$W962="מפותחת"),"מפותחת",IF((--($U962="דל"))+(--($V962="אינו מפותח"))+(--($W962="דלה"))&gt;=2,"אינה מפותחת","חלקית"))))</f>
        <v/>
      </c>
      <c r="AA962" s="32">
        <f>IF($C962="","",IF(COUNTA($M962,$N962,$O962)&lt;3,"— חסרים נתונים",IF(OR($M962="נמוכה",(--($M962&lt;&gt;"תקינה"))+(--($N962&lt;&gt;"תקין"))+(--($O962&lt;&gt;"תקינה"))&gt;=2),"ניכרת","אינה ניכרת")))</f>
        <v/>
      </c>
      <c r="AB962" s="32">
        <f>IF(OR($C962="",$Y962="",$AA962="",LEFT($Y962,1)="—",LEFT($AA962,1)="—"),"",IF($Z962="","— נדרשת הערכת כתיבה",IF($L962="","— חסרה הבנת הנקרא",IF($Y962="אינה מדויקת או מקוטעת",IF($AA962="ניכרת","מיקוד בשטף הקריאה ובכישורי שפה","מיקוד בשטף קריאה"),IF($AA962="ניכרת","מיקוד בכישורי שפה",IF(AND($L962="תקינה",$Z962="מפותחת"),"קוראים וכותבים מיומנים","מיקוד בהבנה והבעה"))))))</f>
        <v/>
      </c>
      <c r="AC962" s="32">
        <f>IF(OR($AB962="",LEFT($AB962,1)="—"),"",IF(OR($AB962="מיקוד בשטף קריאה",$AB962="מיקוד בשטף הקריאה ובכישורי שפה"),"רמה א'",IF($AB962="קוראים וכותבים מיומנים","רמה ג'","רמה ב'")))</f>
        <v/>
      </c>
      <c r="AD962" s="32">
        <f>IF($AC962="","",MID(IF(AND($AC962="רמה א'",$AA962="ניכרת"),"; להוסיף עבודת אוצר מילים","")&amp;IF($Z962="אינה מפותחת","; דגש על הבעה בכתב","")&amp;IF($K962&lt;&gt;"תקין","; נדרש לעבוד על ההנגנה","")&amp;IF($AK962&lt;&gt;"","; "&amp;$AK962,""),3,400))</f>
        <v/>
      </c>
      <c r="AE962" s="32">
        <f>IF($F962="","",IF($F962="תחילת שנה",1,IF($F962="מחצית שנה",2,3)))</f>
        <v/>
      </c>
      <c r="AF962" s="32">
        <f>IF(OR($B962="",$AC962="",$A962="",$F962=""),"",$B962&amp;"|"&amp;$A962&amp;"|"&amp;$F962&amp;"|"&amp;$AC962&amp;"|"&amp;COUNTIFS($B$6:$B962,$B962,$A$6:$A962,$A962,$F$6:$F962,$F962,$AC$6:$AC962,$AC962))</f>
        <v/>
      </c>
      <c r="AG962" s="32">
        <f>IF($C962="","",$C962&amp;"|"&amp;COUNTIFS($C$6:$C962,$C962))</f>
        <v/>
      </c>
      <c r="AH962" s="32">
        <f>IF(OR($C962="",$A962="",$AE962=""),"",$C962&amp;"|"&amp;$A962&amp;"|"&amp;$AE962)</f>
        <v/>
      </c>
      <c r="AI962" s="32">
        <f>IF(OR($C962="",$AE962="",$AE962=1),"",IFERROR(INDEX($AC$6:$AC$1505,MATCH($C962&amp;"|"&amp;$A962&amp;"|"&amp;($AE962-1),$AH$6:$AH$1505,0)),""))</f>
        <v/>
      </c>
      <c r="AJ962" s="32">
        <f>IF(OR($AI962="",$AC962=""),"",IF($AI962=$AC962,"ללא שינוי","מ-"&amp;$AI962&amp;" ל-"&amp;$AC962))</f>
        <v/>
      </c>
      <c r="AK962" s="67" t="n"/>
    </row>
    <row r="963" ht="15.75" customHeight="1" s="58">
      <c r="A963" s="65" t="n"/>
      <c r="B963" s="65" t="n"/>
      <c r="C963" s="66" t="n"/>
      <c r="D963" s="66" t="n"/>
      <c r="E963" s="65" t="n"/>
      <c r="F963" s="65" t="n"/>
      <c r="G963" s="65" t="n"/>
      <c r="H963" s="65" t="n"/>
      <c r="I963" s="65" t="n"/>
      <c r="J963" s="65" t="n"/>
      <c r="K963" s="65" t="n"/>
      <c r="L963" s="65" t="n"/>
      <c r="M963" s="65" t="n"/>
      <c r="N963" s="65" t="n"/>
      <c r="O963" s="65" t="n"/>
      <c r="P963" s="65" t="n"/>
      <c r="Q963" s="65" t="n"/>
      <c r="R963" s="65" t="n"/>
      <c r="S963" s="65" t="n"/>
      <c r="T963" s="65" t="n"/>
      <c r="U963" s="65" t="n"/>
      <c r="V963" s="65" t="n"/>
      <c r="W963" s="65" t="n"/>
      <c r="X963" s="65" t="n"/>
      <c r="Y963" s="32">
        <f>IF($C963="","",IF(COUNTA($I963:$K963)&lt;3,"— חסרים נתונים",IF(AND($I963="תקין",$J963="תקין",$K963="תקין"),"רהוטה",IF(AND($I963="תקין",$J963="תקין"),"מדויקת ורציפה","אינה מדויקת או מקוטעת"))))</f>
        <v/>
      </c>
      <c r="Z963" s="32">
        <f>IF($C963="","",IF(COUNTA($U963:$W963)&lt;3,"",IF(AND($U963="מפותח",$V963="מפותח",$W963="מפותחת"),"מפותחת",IF((--($U963="דל"))+(--($V963="אינו מפותח"))+(--($W963="דלה"))&gt;=2,"אינה מפותחת","חלקית"))))</f>
        <v/>
      </c>
      <c r="AA963" s="32">
        <f>IF($C963="","",IF(COUNTA($M963,$N963,$O963)&lt;3,"— חסרים נתונים",IF(OR($M963="נמוכה",(--($M963&lt;&gt;"תקינה"))+(--($N963&lt;&gt;"תקין"))+(--($O963&lt;&gt;"תקינה"))&gt;=2),"ניכרת","אינה ניכרת")))</f>
        <v/>
      </c>
      <c r="AB963" s="32">
        <f>IF(OR($C963="",$Y963="",$AA963="",LEFT($Y963,1)="—",LEFT($AA963,1)="—"),"",IF($Z963="","— נדרשת הערכת כתיבה",IF($L963="","— חסרה הבנת הנקרא",IF($Y963="אינה מדויקת או מקוטעת",IF($AA963="ניכרת","מיקוד בשטף הקריאה ובכישורי שפה","מיקוד בשטף קריאה"),IF($AA963="ניכרת","מיקוד בכישורי שפה",IF(AND($L963="תקינה",$Z963="מפותחת"),"קוראים וכותבים מיומנים","מיקוד בהבנה והבעה"))))))</f>
        <v/>
      </c>
      <c r="AC963" s="32">
        <f>IF(OR($AB963="",LEFT($AB963,1)="—"),"",IF(OR($AB963="מיקוד בשטף קריאה",$AB963="מיקוד בשטף הקריאה ובכישורי שפה"),"רמה א'",IF($AB963="קוראים וכותבים מיומנים","רמה ג'","רמה ב'")))</f>
        <v/>
      </c>
      <c r="AD963" s="32">
        <f>IF($AC963="","",MID(IF(AND($AC963="רמה א'",$AA963="ניכרת"),"; להוסיף עבודת אוצר מילים","")&amp;IF($Z963="אינה מפותחת","; דגש על הבעה בכתב","")&amp;IF($K963&lt;&gt;"תקין","; נדרש לעבוד על ההנגנה","")&amp;IF($AK963&lt;&gt;"","; "&amp;$AK963,""),3,400))</f>
        <v/>
      </c>
      <c r="AE963" s="32">
        <f>IF($F963="","",IF($F963="תחילת שנה",1,IF($F963="מחצית שנה",2,3)))</f>
        <v/>
      </c>
      <c r="AF963" s="32">
        <f>IF(OR($B963="",$AC963="",$A963="",$F963=""),"",$B963&amp;"|"&amp;$A963&amp;"|"&amp;$F963&amp;"|"&amp;$AC963&amp;"|"&amp;COUNTIFS($B$6:$B963,$B963,$A$6:$A963,$A963,$F$6:$F963,$F963,$AC$6:$AC963,$AC963))</f>
        <v/>
      </c>
      <c r="AG963" s="32">
        <f>IF($C963="","",$C963&amp;"|"&amp;COUNTIFS($C$6:$C963,$C963))</f>
        <v/>
      </c>
      <c r="AH963" s="32">
        <f>IF(OR($C963="",$A963="",$AE963=""),"",$C963&amp;"|"&amp;$A963&amp;"|"&amp;$AE963)</f>
        <v/>
      </c>
      <c r="AI963" s="32">
        <f>IF(OR($C963="",$AE963="",$AE963=1),"",IFERROR(INDEX($AC$6:$AC$1505,MATCH($C963&amp;"|"&amp;$A963&amp;"|"&amp;($AE963-1),$AH$6:$AH$1505,0)),""))</f>
        <v/>
      </c>
      <c r="AJ963" s="32">
        <f>IF(OR($AI963="",$AC963=""),"",IF($AI963=$AC963,"ללא שינוי","מ-"&amp;$AI963&amp;" ל-"&amp;$AC963))</f>
        <v/>
      </c>
      <c r="AK963" s="67" t="n"/>
    </row>
    <row r="964" ht="15.75" customHeight="1" s="58">
      <c r="A964" s="65" t="n"/>
      <c r="B964" s="65" t="n"/>
      <c r="C964" s="66" t="n"/>
      <c r="D964" s="66" t="n"/>
      <c r="E964" s="65" t="n"/>
      <c r="F964" s="65" t="n"/>
      <c r="G964" s="65" t="n"/>
      <c r="H964" s="65" t="n"/>
      <c r="I964" s="65" t="n"/>
      <c r="J964" s="65" t="n"/>
      <c r="K964" s="65" t="n"/>
      <c r="L964" s="65" t="n"/>
      <c r="M964" s="65" t="n"/>
      <c r="N964" s="65" t="n"/>
      <c r="O964" s="65" t="n"/>
      <c r="P964" s="65" t="n"/>
      <c r="Q964" s="65" t="n"/>
      <c r="R964" s="65" t="n"/>
      <c r="S964" s="65" t="n"/>
      <c r="T964" s="65" t="n"/>
      <c r="U964" s="65" t="n"/>
      <c r="V964" s="65" t="n"/>
      <c r="W964" s="65" t="n"/>
      <c r="X964" s="65" t="n"/>
      <c r="Y964" s="32">
        <f>IF($C964="","",IF(COUNTA($I964:$K964)&lt;3,"— חסרים נתונים",IF(AND($I964="תקין",$J964="תקין",$K964="תקין"),"רהוטה",IF(AND($I964="תקין",$J964="תקין"),"מדויקת ורציפה","אינה מדויקת או מקוטעת"))))</f>
        <v/>
      </c>
      <c r="Z964" s="32">
        <f>IF($C964="","",IF(COUNTA($U964:$W964)&lt;3,"",IF(AND($U964="מפותח",$V964="מפותח",$W964="מפותחת"),"מפותחת",IF((--($U964="דל"))+(--($V964="אינו מפותח"))+(--($W964="דלה"))&gt;=2,"אינה מפותחת","חלקית"))))</f>
        <v/>
      </c>
      <c r="AA964" s="32">
        <f>IF($C964="","",IF(COUNTA($M964,$N964,$O964)&lt;3,"— חסרים נתונים",IF(OR($M964="נמוכה",(--($M964&lt;&gt;"תקינה"))+(--($N964&lt;&gt;"תקין"))+(--($O964&lt;&gt;"תקינה"))&gt;=2),"ניכרת","אינה ניכרת")))</f>
        <v/>
      </c>
      <c r="AB964" s="32">
        <f>IF(OR($C964="",$Y964="",$AA964="",LEFT($Y964,1)="—",LEFT($AA964,1)="—"),"",IF($Z964="","— נדרשת הערכת כתיבה",IF($L964="","— חסרה הבנת הנקרא",IF($Y964="אינה מדויקת או מקוטעת",IF($AA964="ניכרת","מיקוד בשטף הקריאה ובכישורי שפה","מיקוד בשטף קריאה"),IF($AA964="ניכרת","מיקוד בכישורי שפה",IF(AND($L964="תקינה",$Z964="מפותחת"),"קוראים וכותבים מיומנים","מיקוד בהבנה והבעה"))))))</f>
        <v/>
      </c>
      <c r="AC964" s="32">
        <f>IF(OR($AB964="",LEFT($AB964,1)="—"),"",IF(OR($AB964="מיקוד בשטף קריאה",$AB964="מיקוד בשטף הקריאה ובכישורי שפה"),"רמה א'",IF($AB964="קוראים וכותבים מיומנים","רמה ג'","רמה ב'")))</f>
        <v/>
      </c>
      <c r="AD964" s="32">
        <f>IF($AC964="","",MID(IF(AND($AC964="רמה א'",$AA964="ניכרת"),"; להוסיף עבודת אוצר מילים","")&amp;IF($Z964="אינה מפותחת","; דגש על הבעה בכתב","")&amp;IF($K964&lt;&gt;"תקין","; נדרש לעבוד על ההנגנה","")&amp;IF($AK964&lt;&gt;"","; "&amp;$AK964,""),3,400))</f>
        <v/>
      </c>
      <c r="AE964" s="32">
        <f>IF($F964="","",IF($F964="תחילת שנה",1,IF($F964="מחצית שנה",2,3)))</f>
        <v/>
      </c>
      <c r="AF964" s="32">
        <f>IF(OR($B964="",$AC964="",$A964="",$F964=""),"",$B964&amp;"|"&amp;$A964&amp;"|"&amp;$F964&amp;"|"&amp;$AC964&amp;"|"&amp;COUNTIFS($B$6:$B964,$B964,$A$6:$A964,$A964,$F$6:$F964,$F964,$AC$6:$AC964,$AC964))</f>
        <v/>
      </c>
      <c r="AG964" s="32">
        <f>IF($C964="","",$C964&amp;"|"&amp;COUNTIFS($C$6:$C964,$C964))</f>
        <v/>
      </c>
      <c r="AH964" s="32">
        <f>IF(OR($C964="",$A964="",$AE964=""),"",$C964&amp;"|"&amp;$A964&amp;"|"&amp;$AE964)</f>
        <v/>
      </c>
      <c r="AI964" s="32">
        <f>IF(OR($C964="",$AE964="",$AE964=1),"",IFERROR(INDEX($AC$6:$AC$1505,MATCH($C964&amp;"|"&amp;$A964&amp;"|"&amp;($AE964-1),$AH$6:$AH$1505,0)),""))</f>
        <v/>
      </c>
      <c r="AJ964" s="32">
        <f>IF(OR($AI964="",$AC964=""),"",IF($AI964=$AC964,"ללא שינוי","מ-"&amp;$AI964&amp;" ל-"&amp;$AC964))</f>
        <v/>
      </c>
      <c r="AK964" s="67" t="n"/>
    </row>
    <row r="965" ht="15.75" customHeight="1" s="58">
      <c r="A965" s="65" t="n"/>
      <c r="B965" s="65" t="n"/>
      <c r="C965" s="66" t="n"/>
      <c r="D965" s="66" t="n"/>
      <c r="E965" s="65" t="n"/>
      <c r="F965" s="65" t="n"/>
      <c r="G965" s="65" t="n"/>
      <c r="H965" s="65" t="n"/>
      <c r="I965" s="65" t="n"/>
      <c r="J965" s="65" t="n"/>
      <c r="K965" s="65" t="n"/>
      <c r="L965" s="65" t="n"/>
      <c r="M965" s="65" t="n"/>
      <c r="N965" s="65" t="n"/>
      <c r="O965" s="65" t="n"/>
      <c r="P965" s="65" t="n"/>
      <c r="Q965" s="65" t="n"/>
      <c r="R965" s="65" t="n"/>
      <c r="S965" s="65" t="n"/>
      <c r="T965" s="65" t="n"/>
      <c r="U965" s="65" t="n"/>
      <c r="V965" s="65" t="n"/>
      <c r="W965" s="65" t="n"/>
      <c r="X965" s="65" t="n"/>
      <c r="Y965" s="32">
        <f>IF($C965="","",IF(COUNTA($I965:$K965)&lt;3,"— חסרים נתונים",IF(AND($I965="תקין",$J965="תקין",$K965="תקין"),"רהוטה",IF(AND($I965="תקין",$J965="תקין"),"מדויקת ורציפה","אינה מדויקת או מקוטעת"))))</f>
        <v/>
      </c>
      <c r="Z965" s="32">
        <f>IF($C965="","",IF(COUNTA($U965:$W965)&lt;3,"",IF(AND($U965="מפותח",$V965="מפותח",$W965="מפותחת"),"מפותחת",IF((--($U965="דל"))+(--($V965="אינו מפותח"))+(--($W965="דלה"))&gt;=2,"אינה מפותחת","חלקית"))))</f>
        <v/>
      </c>
      <c r="AA965" s="32">
        <f>IF($C965="","",IF(COUNTA($M965,$N965,$O965)&lt;3,"— חסרים נתונים",IF(OR($M965="נמוכה",(--($M965&lt;&gt;"תקינה"))+(--($N965&lt;&gt;"תקין"))+(--($O965&lt;&gt;"תקינה"))&gt;=2),"ניכרת","אינה ניכרת")))</f>
        <v/>
      </c>
      <c r="AB965" s="32">
        <f>IF(OR($C965="",$Y965="",$AA965="",LEFT($Y965,1)="—",LEFT($AA965,1)="—"),"",IF($Z965="","— נדרשת הערכת כתיבה",IF($L965="","— חסרה הבנת הנקרא",IF($Y965="אינה מדויקת או מקוטעת",IF($AA965="ניכרת","מיקוד בשטף הקריאה ובכישורי שפה","מיקוד בשטף קריאה"),IF($AA965="ניכרת","מיקוד בכישורי שפה",IF(AND($L965="תקינה",$Z965="מפותחת"),"קוראים וכותבים מיומנים","מיקוד בהבנה והבעה"))))))</f>
        <v/>
      </c>
      <c r="AC965" s="32">
        <f>IF(OR($AB965="",LEFT($AB965,1)="—"),"",IF(OR($AB965="מיקוד בשטף קריאה",$AB965="מיקוד בשטף הקריאה ובכישורי שפה"),"רמה א'",IF($AB965="קוראים וכותבים מיומנים","רמה ג'","רמה ב'")))</f>
        <v/>
      </c>
      <c r="AD965" s="32">
        <f>IF($AC965="","",MID(IF(AND($AC965="רמה א'",$AA965="ניכרת"),"; להוסיף עבודת אוצר מילים","")&amp;IF($Z965="אינה מפותחת","; דגש על הבעה בכתב","")&amp;IF($K965&lt;&gt;"תקין","; נדרש לעבוד על ההנגנה","")&amp;IF($AK965&lt;&gt;"","; "&amp;$AK965,""),3,400))</f>
        <v/>
      </c>
      <c r="AE965" s="32">
        <f>IF($F965="","",IF($F965="תחילת שנה",1,IF($F965="מחצית שנה",2,3)))</f>
        <v/>
      </c>
      <c r="AF965" s="32">
        <f>IF(OR($B965="",$AC965="",$A965="",$F965=""),"",$B965&amp;"|"&amp;$A965&amp;"|"&amp;$F965&amp;"|"&amp;$AC965&amp;"|"&amp;COUNTIFS($B$6:$B965,$B965,$A$6:$A965,$A965,$F$6:$F965,$F965,$AC$6:$AC965,$AC965))</f>
        <v/>
      </c>
      <c r="AG965" s="32">
        <f>IF($C965="","",$C965&amp;"|"&amp;COUNTIFS($C$6:$C965,$C965))</f>
        <v/>
      </c>
      <c r="AH965" s="32">
        <f>IF(OR($C965="",$A965="",$AE965=""),"",$C965&amp;"|"&amp;$A965&amp;"|"&amp;$AE965)</f>
        <v/>
      </c>
      <c r="AI965" s="32">
        <f>IF(OR($C965="",$AE965="",$AE965=1),"",IFERROR(INDEX($AC$6:$AC$1505,MATCH($C965&amp;"|"&amp;$A965&amp;"|"&amp;($AE965-1),$AH$6:$AH$1505,0)),""))</f>
        <v/>
      </c>
      <c r="AJ965" s="32">
        <f>IF(OR($AI965="",$AC965=""),"",IF($AI965=$AC965,"ללא שינוי","מ-"&amp;$AI965&amp;" ל-"&amp;$AC965))</f>
        <v/>
      </c>
      <c r="AK965" s="67" t="n"/>
    </row>
    <row r="966" ht="15.75" customHeight="1" s="58">
      <c r="A966" s="65" t="n"/>
      <c r="B966" s="65" t="n"/>
      <c r="C966" s="66" t="n"/>
      <c r="D966" s="66" t="n"/>
      <c r="E966" s="65" t="n"/>
      <c r="F966" s="65" t="n"/>
      <c r="G966" s="65" t="n"/>
      <c r="H966" s="65" t="n"/>
      <c r="I966" s="65" t="n"/>
      <c r="J966" s="65" t="n"/>
      <c r="K966" s="65" t="n"/>
      <c r="L966" s="65" t="n"/>
      <c r="M966" s="65" t="n"/>
      <c r="N966" s="65" t="n"/>
      <c r="O966" s="65" t="n"/>
      <c r="P966" s="65" t="n"/>
      <c r="Q966" s="65" t="n"/>
      <c r="R966" s="65" t="n"/>
      <c r="S966" s="65" t="n"/>
      <c r="T966" s="65" t="n"/>
      <c r="U966" s="65" t="n"/>
      <c r="V966" s="65" t="n"/>
      <c r="W966" s="65" t="n"/>
      <c r="X966" s="65" t="n"/>
      <c r="Y966" s="32">
        <f>IF($C966="","",IF(COUNTA($I966:$K966)&lt;3,"— חסרים נתונים",IF(AND($I966="תקין",$J966="תקין",$K966="תקין"),"רהוטה",IF(AND($I966="תקין",$J966="תקין"),"מדויקת ורציפה","אינה מדויקת או מקוטעת"))))</f>
        <v/>
      </c>
      <c r="Z966" s="32">
        <f>IF($C966="","",IF(COUNTA($U966:$W966)&lt;3,"",IF(AND($U966="מפותח",$V966="מפותח",$W966="מפותחת"),"מפותחת",IF((--($U966="דל"))+(--($V966="אינו מפותח"))+(--($W966="דלה"))&gt;=2,"אינה מפותחת","חלקית"))))</f>
        <v/>
      </c>
      <c r="AA966" s="32">
        <f>IF($C966="","",IF(COUNTA($M966,$N966,$O966)&lt;3,"— חסרים נתונים",IF(OR($M966="נמוכה",(--($M966&lt;&gt;"תקינה"))+(--($N966&lt;&gt;"תקין"))+(--($O966&lt;&gt;"תקינה"))&gt;=2),"ניכרת","אינה ניכרת")))</f>
        <v/>
      </c>
      <c r="AB966" s="32">
        <f>IF(OR($C966="",$Y966="",$AA966="",LEFT($Y966,1)="—",LEFT($AA966,1)="—"),"",IF($Z966="","— נדרשת הערכת כתיבה",IF($L966="","— חסרה הבנת הנקרא",IF($Y966="אינה מדויקת או מקוטעת",IF($AA966="ניכרת","מיקוד בשטף הקריאה ובכישורי שפה","מיקוד בשטף קריאה"),IF($AA966="ניכרת","מיקוד בכישורי שפה",IF(AND($L966="תקינה",$Z966="מפותחת"),"קוראים וכותבים מיומנים","מיקוד בהבנה והבעה"))))))</f>
        <v/>
      </c>
      <c r="AC966" s="32">
        <f>IF(OR($AB966="",LEFT($AB966,1)="—"),"",IF(OR($AB966="מיקוד בשטף קריאה",$AB966="מיקוד בשטף הקריאה ובכישורי שפה"),"רמה א'",IF($AB966="קוראים וכותבים מיומנים","רמה ג'","רמה ב'")))</f>
        <v/>
      </c>
      <c r="AD966" s="32">
        <f>IF($AC966="","",MID(IF(AND($AC966="רמה א'",$AA966="ניכרת"),"; להוסיף עבודת אוצר מילים","")&amp;IF($Z966="אינה מפותחת","; דגש על הבעה בכתב","")&amp;IF($K966&lt;&gt;"תקין","; נדרש לעבוד על ההנגנה","")&amp;IF($AK966&lt;&gt;"","; "&amp;$AK966,""),3,400))</f>
        <v/>
      </c>
      <c r="AE966" s="32">
        <f>IF($F966="","",IF($F966="תחילת שנה",1,IF($F966="מחצית שנה",2,3)))</f>
        <v/>
      </c>
      <c r="AF966" s="32">
        <f>IF(OR($B966="",$AC966="",$A966="",$F966=""),"",$B966&amp;"|"&amp;$A966&amp;"|"&amp;$F966&amp;"|"&amp;$AC966&amp;"|"&amp;COUNTIFS($B$6:$B966,$B966,$A$6:$A966,$A966,$F$6:$F966,$F966,$AC$6:$AC966,$AC966))</f>
        <v/>
      </c>
      <c r="AG966" s="32">
        <f>IF($C966="","",$C966&amp;"|"&amp;COUNTIFS($C$6:$C966,$C966))</f>
        <v/>
      </c>
      <c r="AH966" s="32">
        <f>IF(OR($C966="",$A966="",$AE966=""),"",$C966&amp;"|"&amp;$A966&amp;"|"&amp;$AE966)</f>
        <v/>
      </c>
      <c r="AI966" s="32">
        <f>IF(OR($C966="",$AE966="",$AE966=1),"",IFERROR(INDEX($AC$6:$AC$1505,MATCH($C966&amp;"|"&amp;$A966&amp;"|"&amp;($AE966-1),$AH$6:$AH$1505,0)),""))</f>
        <v/>
      </c>
      <c r="AJ966" s="32">
        <f>IF(OR($AI966="",$AC966=""),"",IF($AI966=$AC966,"ללא שינוי","מ-"&amp;$AI966&amp;" ל-"&amp;$AC966))</f>
        <v/>
      </c>
      <c r="AK966" s="67" t="n"/>
    </row>
    <row r="967" ht="15.75" customHeight="1" s="58">
      <c r="A967" s="65" t="n"/>
      <c r="B967" s="65" t="n"/>
      <c r="C967" s="66" t="n"/>
      <c r="D967" s="66" t="n"/>
      <c r="E967" s="65" t="n"/>
      <c r="F967" s="65" t="n"/>
      <c r="G967" s="65" t="n"/>
      <c r="H967" s="65" t="n"/>
      <c r="I967" s="65" t="n"/>
      <c r="J967" s="65" t="n"/>
      <c r="K967" s="65" t="n"/>
      <c r="L967" s="65" t="n"/>
      <c r="M967" s="65" t="n"/>
      <c r="N967" s="65" t="n"/>
      <c r="O967" s="65" t="n"/>
      <c r="P967" s="65" t="n"/>
      <c r="Q967" s="65" t="n"/>
      <c r="R967" s="65" t="n"/>
      <c r="S967" s="65" t="n"/>
      <c r="T967" s="65" t="n"/>
      <c r="U967" s="65" t="n"/>
      <c r="V967" s="65" t="n"/>
      <c r="W967" s="65" t="n"/>
      <c r="X967" s="65" t="n"/>
      <c r="Y967" s="32">
        <f>IF($C967="","",IF(COUNTA($I967:$K967)&lt;3,"— חסרים נתונים",IF(AND($I967="תקין",$J967="תקין",$K967="תקין"),"רהוטה",IF(AND($I967="תקין",$J967="תקין"),"מדויקת ורציפה","אינה מדויקת או מקוטעת"))))</f>
        <v/>
      </c>
      <c r="Z967" s="32">
        <f>IF($C967="","",IF(COUNTA($U967:$W967)&lt;3,"",IF(AND($U967="מפותח",$V967="מפותח",$W967="מפותחת"),"מפותחת",IF((--($U967="דל"))+(--($V967="אינו מפותח"))+(--($W967="דלה"))&gt;=2,"אינה מפותחת","חלקית"))))</f>
        <v/>
      </c>
      <c r="AA967" s="32">
        <f>IF($C967="","",IF(COUNTA($M967,$N967,$O967)&lt;3,"— חסרים נתונים",IF(OR($M967="נמוכה",(--($M967&lt;&gt;"תקינה"))+(--($N967&lt;&gt;"תקין"))+(--($O967&lt;&gt;"תקינה"))&gt;=2),"ניכרת","אינה ניכרת")))</f>
        <v/>
      </c>
      <c r="AB967" s="32">
        <f>IF(OR($C967="",$Y967="",$AA967="",LEFT($Y967,1)="—",LEFT($AA967,1)="—"),"",IF($Z967="","— נדרשת הערכת כתיבה",IF($L967="","— חסרה הבנת הנקרא",IF($Y967="אינה מדויקת או מקוטעת",IF($AA967="ניכרת","מיקוד בשטף הקריאה ובכישורי שפה","מיקוד בשטף קריאה"),IF($AA967="ניכרת","מיקוד בכישורי שפה",IF(AND($L967="תקינה",$Z967="מפותחת"),"קוראים וכותבים מיומנים","מיקוד בהבנה והבעה"))))))</f>
        <v/>
      </c>
      <c r="AC967" s="32">
        <f>IF(OR($AB967="",LEFT($AB967,1)="—"),"",IF(OR($AB967="מיקוד בשטף קריאה",$AB967="מיקוד בשטף הקריאה ובכישורי שפה"),"רמה א'",IF($AB967="קוראים וכותבים מיומנים","רמה ג'","רמה ב'")))</f>
        <v/>
      </c>
      <c r="AD967" s="32">
        <f>IF($AC967="","",MID(IF(AND($AC967="רמה א'",$AA967="ניכרת"),"; להוסיף עבודת אוצר מילים","")&amp;IF($Z967="אינה מפותחת","; דגש על הבעה בכתב","")&amp;IF($K967&lt;&gt;"תקין","; נדרש לעבוד על ההנגנה","")&amp;IF($AK967&lt;&gt;"","; "&amp;$AK967,""),3,400))</f>
        <v/>
      </c>
      <c r="AE967" s="32">
        <f>IF($F967="","",IF($F967="תחילת שנה",1,IF($F967="מחצית שנה",2,3)))</f>
        <v/>
      </c>
      <c r="AF967" s="32">
        <f>IF(OR($B967="",$AC967="",$A967="",$F967=""),"",$B967&amp;"|"&amp;$A967&amp;"|"&amp;$F967&amp;"|"&amp;$AC967&amp;"|"&amp;COUNTIFS($B$6:$B967,$B967,$A$6:$A967,$A967,$F$6:$F967,$F967,$AC$6:$AC967,$AC967))</f>
        <v/>
      </c>
      <c r="AG967" s="32">
        <f>IF($C967="","",$C967&amp;"|"&amp;COUNTIFS($C$6:$C967,$C967))</f>
        <v/>
      </c>
      <c r="AH967" s="32">
        <f>IF(OR($C967="",$A967="",$AE967=""),"",$C967&amp;"|"&amp;$A967&amp;"|"&amp;$AE967)</f>
        <v/>
      </c>
      <c r="AI967" s="32">
        <f>IF(OR($C967="",$AE967="",$AE967=1),"",IFERROR(INDEX($AC$6:$AC$1505,MATCH($C967&amp;"|"&amp;$A967&amp;"|"&amp;($AE967-1),$AH$6:$AH$1505,0)),""))</f>
        <v/>
      </c>
      <c r="AJ967" s="32">
        <f>IF(OR($AI967="",$AC967=""),"",IF($AI967=$AC967,"ללא שינוי","מ-"&amp;$AI967&amp;" ל-"&amp;$AC967))</f>
        <v/>
      </c>
      <c r="AK967" s="67" t="n"/>
    </row>
    <row r="968" ht="15.75" customHeight="1" s="58">
      <c r="A968" s="65" t="n"/>
      <c r="B968" s="65" t="n"/>
      <c r="C968" s="66" t="n"/>
      <c r="D968" s="66" t="n"/>
      <c r="E968" s="65" t="n"/>
      <c r="F968" s="65" t="n"/>
      <c r="G968" s="65" t="n"/>
      <c r="H968" s="65" t="n"/>
      <c r="I968" s="65" t="n"/>
      <c r="J968" s="65" t="n"/>
      <c r="K968" s="65" t="n"/>
      <c r="L968" s="65" t="n"/>
      <c r="M968" s="65" t="n"/>
      <c r="N968" s="65" t="n"/>
      <c r="O968" s="65" t="n"/>
      <c r="P968" s="65" t="n"/>
      <c r="Q968" s="65" t="n"/>
      <c r="R968" s="65" t="n"/>
      <c r="S968" s="65" t="n"/>
      <c r="T968" s="65" t="n"/>
      <c r="U968" s="65" t="n"/>
      <c r="V968" s="65" t="n"/>
      <c r="W968" s="65" t="n"/>
      <c r="X968" s="65" t="n"/>
      <c r="Y968" s="32">
        <f>IF($C968="","",IF(COUNTA($I968:$K968)&lt;3,"— חסרים נתונים",IF(AND($I968="תקין",$J968="תקין",$K968="תקין"),"רהוטה",IF(AND($I968="תקין",$J968="תקין"),"מדויקת ורציפה","אינה מדויקת או מקוטעת"))))</f>
        <v/>
      </c>
      <c r="Z968" s="32">
        <f>IF($C968="","",IF(COUNTA($U968:$W968)&lt;3,"",IF(AND($U968="מפותח",$V968="מפותח",$W968="מפותחת"),"מפותחת",IF((--($U968="דל"))+(--($V968="אינו מפותח"))+(--($W968="דלה"))&gt;=2,"אינה מפותחת","חלקית"))))</f>
        <v/>
      </c>
      <c r="AA968" s="32">
        <f>IF($C968="","",IF(COUNTA($M968,$N968,$O968)&lt;3,"— חסרים נתונים",IF(OR($M968="נמוכה",(--($M968&lt;&gt;"תקינה"))+(--($N968&lt;&gt;"תקין"))+(--($O968&lt;&gt;"תקינה"))&gt;=2),"ניכרת","אינה ניכרת")))</f>
        <v/>
      </c>
      <c r="AB968" s="32">
        <f>IF(OR($C968="",$Y968="",$AA968="",LEFT($Y968,1)="—",LEFT($AA968,1)="—"),"",IF($Z968="","— נדרשת הערכת כתיבה",IF($L968="","— חסרה הבנת הנקרא",IF($Y968="אינה מדויקת או מקוטעת",IF($AA968="ניכרת","מיקוד בשטף הקריאה ובכישורי שפה","מיקוד בשטף קריאה"),IF($AA968="ניכרת","מיקוד בכישורי שפה",IF(AND($L968="תקינה",$Z968="מפותחת"),"קוראים וכותבים מיומנים","מיקוד בהבנה והבעה"))))))</f>
        <v/>
      </c>
      <c r="AC968" s="32">
        <f>IF(OR($AB968="",LEFT($AB968,1)="—"),"",IF(OR($AB968="מיקוד בשטף קריאה",$AB968="מיקוד בשטף הקריאה ובכישורי שפה"),"רמה א'",IF($AB968="קוראים וכותבים מיומנים","רמה ג'","רמה ב'")))</f>
        <v/>
      </c>
      <c r="AD968" s="32">
        <f>IF($AC968="","",MID(IF(AND($AC968="רמה א'",$AA968="ניכרת"),"; להוסיף עבודת אוצר מילים","")&amp;IF($Z968="אינה מפותחת","; דגש על הבעה בכתב","")&amp;IF($K968&lt;&gt;"תקין","; נדרש לעבוד על ההנגנה","")&amp;IF($AK968&lt;&gt;"","; "&amp;$AK968,""),3,400))</f>
        <v/>
      </c>
      <c r="AE968" s="32">
        <f>IF($F968="","",IF($F968="תחילת שנה",1,IF($F968="מחצית שנה",2,3)))</f>
        <v/>
      </c>
      <c r="AF968" s="32">
        <f>IF(OR($B968="",$AC968="",$A968="",$F968=""),"",$B968&amp;"|"&amp;$A968&amp;"|"&amp;$F968&amp;"|"&amp;$AC968&amp;"|"&amp;COUNTIFS($B$6:$B968,$B968,$A$6:$A968,$A968,$F$6:$F968,$F968,$AC$6:$AC968,$AC968))</f>
        <v/>
      </c>
      <c r="AG968" s="32">
        <f>IF($C968="","",$C968&amp;"|"&amp;COUNTIFS($C$6:$C968,$C968))</f>
        <v/>
      </c>
      <c r="AH968" s="32">
        <f>IF(OR($C968="",$A968="",$AE968=""),"",$C968&amp;"|"&amp;$A968&amp;"|"&amp;$AE968)</f>
        <v/>
      </c>
      <c r="AI968" s="32">
        <f>IF(OR($C968="",$AE968="",$AE968=1),"",IFERROR(INDEX($AC$6:$AC$1505,MATCH($C968&amp;"|"&amp;$A968&amp;"|"&amp;($AE968-1),$AH$6:$AH$1505,0)),""))</f>
        <v/>
      </c>
      <c r="AJ968" s="32">
        <f>IF(OR($AI968="",$AC968=""),"",IF($AI968=$AC968,"ללא שינוי","מ-"&amp;$AI968&amp;" ל-"&amp;$AC968))</f>
        <v/>
      </c>
      <c r="AK968" s="67" t="n"/>
    </row>
    <row r="969" ht="15.75" customHeight="1" s="58">
      <c r="A969" s="65" t="n"/>
      <c r="B969" s="65" t="n"/>
      <c r="C969" s="66" t="n"/>
      <c r="D969" s="66" t="n"/>
      <c r="E969" s="65" t="n"/>
      <c r="F969" s="65" t="n"/>
      <c r="G969" s="65" t="n"/>
      <c r="H969" s="65" t="n"/>
      <c r="I969" s="65" t="n"/>
      <c r="J969" s="65" t="n"/>
      <c r="K969" s="65" t="n"/>
      <c r="L969" s="65" t="n"/>
      <c r="M969" s="65" t="n"/>
      <c r="N969" s="65" t="n"/>
      <c r="O969" s="65" t="n"/>
      <c r="P969" s="65" t="n"/>
      <c r="Q969" s="65" t="n"/>
      <c r="R969" s="65" t="n"/>
      <c r="S969" s="65" t="n"/>
      <c r="T969" s="65" t="n"/>
      <c r="U969" s="65" t="n"/>
      <c r="V969" s="65" t="n"/>
      <c r="W969" s="65" t="n"/>
      <c r="X969" s="65" t="n"/>
      <c r="Y969" s="32">
        <f>IF($C969="","",IF(COUNTA($I969:$K969)&lt;3,"— חסרים נתונים",IF(AND($I969="תקין",$J969="תקין",$K969="תקין"),"רהוטה",IF(AND($I969="תקין",$J969="תקין"),"מדויקת ורציפה","אינה מדויקת או מקוטעת"))))</f>
        <v/>
      </c>
      <c r="Z969" s="32">
        <f>IF($C969="","",IF(COUNTA($U969:$W969)&lt;3,"",IF(AND($U969="מפותח",$V969="מפותח",$W969="מפותחת"),"מפותחת",IF((--($U969="דל"))+(--($V969="אינו מפותח"))+(--($W969="דלה"))&gt;=2,"אינה מפותחת","חלקית"))))</f>
        <v/>
      </c>
      <c r="AA969" s="32">
        <f>IF($C969="","",IF(COUNTA($M969,$N969,$O969)&lt;3,"— חסרים נתונים",IF(OR($M969="נמוכה",(--($M969&lt;&gt;"תקינה"))+(--($N969&lt;&gt;"תקין"))+(--($O969&lt;&gt;"תקינה"))&gt;=2),"ניכרת","אינה ניכרת")))</f>
        <v/>
      </c>
      <c r="AB969" s="32">
        <f>IF(OR($C969="",$Y969="",$AA969="",LEFT($Y969,1)="—",LEFT($AA969,1)="—"),"",IF($Z969="","— נדרשת הערכת כתיבה",IF($L969="","— חסרה הבנת הנקרא",IF($Y969="אינה מדויקת או מקוטעת",IF($AA969="ניכרת","מיקוד בשטף הקריאה ובכישורי שפה","מיקוד בשטף קריאה"),IF($AA969="ניכרת","מיקוד בכישורי שפה",IF(AND($L969="תקינה",$Z969="מפותחת"),"קוראים וכותבים מיומנים","מיקוד בהבנה והבעה"))))))</f>
        <v/>
      </c>
      <c r="AC969" s="32">
        <f>IF(OR($AB969="",LEFT($AB969,1)="—"),"",IF(OR($AB969="מיקוד בשטף קריאה",$AB969="מיקוד בשטף הקריאה ובכישורי שפה"),"רמה א'",IF($AB969="קוראים וכותבים מיומנים","רמה ג'","רמה ב'")))</f>
        <v/>
      </c>
      <c r="AD969" s="32">
        <f>IF($AC969="","",MID(IF(AND($AC969="רמה א'",$AA969="ניכרת"),"; להוסיף עבודת אוצר מילים","")&amp;IF($Z969="אינה מפותחת","; דגש על הבעה בכתב","")&amp;IF($K969&lt;&gt;"תקין","; נדרש לעבוד על ההנגנה","")&amp;IF($AK969&lt;&gt;"","; "&amp;$AK969,""),3,400))</f>
        <v/>
      </c>
      <c r="AE969" s="32">
        <f>IF($F969="","",IF($F969="תחילת שנה",1,IF($F969="מחצית שנה",2,3)))</f>
        <v/>
      </c>
      <c r="AF969" s="32">
        <f>IF(OR($B969="",$AC969="",$A969="",$F969=""),"",$B969&amp;"|"&amp;$A969&amp;"|"&amp;$F969&amp;"|"&amp;$AC969&amp;"|"&amp;COUNTIFS($B$6:$B969,$B969,$A$6:$A969,$A969,$F$6:$F969,$F969,$AC$6:$AC969,$AC969))</f>
        <v/>
      </c>
      <c r="AG969" s="32">
        <f>IF($C969="","",$C969&amp;"|"&amp;COUNTIFS($C$6:$C969,$C969))</f>
        <v/>
      </c>
      <c r="AH969" s="32">
        <f>IF(OR($C969="",$A969="",$AE969=""),"",$C969&amp;"|"&amp;$A969&amp;"|"&amp;$AE969)</f>
        <v/>
      </c>
      <c r="AI969" s="32">
        <f>IF(OR($C969="",$AE969="",$AE969=1),"",IFERROR(INDEX($AC$6:$AC$1505,MATCH($C969&amp;"|"&amp;$A969&amp;"|"&amp;($AE969-1),$AH$6:$AH$1505,0)),""))</f>
        <v/>
      </c>
      <c r="AJ969" s="32">
        <f>IF(OR($AI969="",$AC969=""),"",IF($AI969=$AC969,"ללא שינוי","מ-"&amp;$AI969&amp;" ל-"&amp;$AC969))</f>
        <v/>
      </c>
      <c r="AK969" s="67" t="n"/>
    </row>
    <row r="970" ht="15.75" customHeight="1" s="58">
      <c r="A970" s="65" t="n"/>
      <c r="B970" s="65" t="n"/>
      <c r="C970" s="66" t="n"/>
      <c r="D970" s="66" t="n"/>
      <c r="E970" s="65" t="n"/>
      <c r="F970" s="65" t="n"/>
      <c r="G970" s="65" t="n"/>
      <c r="H970" s="65" t="n"/>
      <c r="I970" s="65" t="n"/>
      <c r="J970" s="65" t="n"/>
      <c r="K970" s="65" t="n"/>
      <c r="L970" s="65" t="n"/>
      <c r="M970" s="65" t="n"/>
      <c r="N970" s="65" t="n"/>
      <c r="O970" s="65" t="n"/>
      <c r="P970" s="65" t="n"/>
      <c r="Q970" s="65" t="n"/>
      <c r="R970" s="65" t="n"/>
      <c r="S970" s="65" t="n"/>
      <c r="T970" s="65" t="n"/>
      <c r="U970" s="65" t="n"/>
      <c r="V970" s="65" t="n"/>
      <c r="W970" s="65" t="n"/>
      <c r="X970" s="65" t="n"/>
      <c r="Y970" s="32">
        <f>IF($C970="","",IF(COUNTA($I970:$K970)&lt;3,"— חסרים נתונים",IF(AND($I970="תקין",$J970="תקין",$K970="תקין"),"רהוטה",IF(AND($I970="תקין",$J970="תקין"),"מדויקת ורציפה","אינה מדויקת או מקוטעת"))))</f>
        <v/>
      </c>
      <c r="Z970" s="32">
        <f>IF($C970="","",IF(COUNTA($U970:$W970)&lt;3,"",IF(AND($U970="מפותח",$V970="מפותח",$W970="מפותחת"),"מפותחת",IF((--($U970="דל"))+(--($V970="אינו מפותח"))+(--($W970="דלה"))&gt;=2,"אינה מפותחת","חלקית"))))</f>
        <v/>
      </c>
      <c r="AA970" s="32">
        <f>IF($C970="","",IF(COUNTA($M970,$N970,$O970)&lt;3,"— חסרים נתונים",IF(OR($M970="נמוכה",(--($M970&lt;&gt;"תקינה"))+(--($N970&lt;&gt;"תקין"))+(--($O970&lt;&gt;"תקינה"))&gt;=2),"ניכרת","אינה ניכרת")))</f>
        <v/>
      </c>
      <c r="AB970" s="32">
        <f>IF(OR($C970="",$Y970="",$AA970="",LEFT($Y970,1)="—",LEFT($AA970,1)="—"),"",IF($Z970="","— נדרשת הערכת כתיבה",IF($L970="","— חסרה הבנת הנקרא",IF($Y970="אינה מדויקת או מקוטעת",IF($AA970="ניכרת","מיקוד בשטף הקריאה ובכישורי שפה","מיקוד בשטף קריאה"),IF($AA970="ניכרת","מיקוד בכישורי שפה",IF(AND($L970="תקינה",$Z970="מפותחת"),"קוראים וכותבים מיומנים","מיקוד בהבנה והבעה"))))))</f>
        <v/>
      </c>
      <c r="AC970" s="32">
        <f>IF(OR($AB970="",LEFT($AB970,1)="—"),"",IF(OR($AB970="מיקוד בשטף קריאה",$AB970="מיקוד בשטף הקריאה ובכישורי שפה"),"רמה א'",IF($AB970="קוראים וכותבים מיומנים","רמה ג'","רמה ב'")))</f>
        <v/>
      </c>
      <c r="AD970" s="32">
        <f>IF($AC970="","",MID(IF(AND($AC970="רמה א'",$AA970="ניכרת"),"; להוסיף עבודת אוצר מילים","")&amp;IF($Z970="אינה מפותחת","; דגש על הבעה בכתב","")&amp;IF($K970&lt;&gt;"תקין","; נדרש לעבוד על ההנגנה","")&amp;IF($AK970&lt;&gt;"","; "&amp;$AK970,""),3,400))</f>
        <v/>
      </c>
      <c r="AE970" s="32">
        <f>IF($F970="","",IF($F970="תחילת שנה",1,IF($F970="מחצית שנה",2,3)))</f>
        <v/>
      </c>
      <c r="AF970" s="32">
        <f>IF(OR($B970="",$AC970="",$A970="",$F970=""),"",$B970&amp;"|"&amp;$A970&amp;"|"&amp;$F970&amp;"|"&amp;$AC970&amp;"|"&amp;COUNTIFS($B$6:$B970,$B970,$A$6:$A970,$A970,$F$6:$F970,$F970,$AC$6:$AC970,$AC970))</f>
        <v/>
      </c>
      <c r="AG970" s="32">
        <f>IF($C970="","",$C970&amp;"|"&amp;COUNTIFS($C$6:$C970,$C970))</f>
        <v/>
      </c>
      <c r="AH970" s="32">
        <f>IF(OR($C970="",$A970="",$AE970=""),"",$C970&amp;"|"&amp;$A970&amp;"|"&amp;$AE970)</f>
        <v/>
      </c>
      <c r="AI970" s="32">
        <f>IF(OR($C970="",$AE970="",$AE970=1),"",IFERROR(INDEX($AC$6:$AC$1505,MATCH($C970&amp;"|"&amp;$A970&amp;"|"&amp;($AE970-1),$AH$6:$AH$1505,0)),""))</f>
        <v/>
      </c>
      <c r="AJ970" s="32">
        <f>IF(OR($AI970="",$AC970=""),"",IF($AI970=$AC970,"ללא שינוי","מ-"&amp;$AI970&amp;" ל-"&amp;$AC970))</f>
        <v/>
      </c>
      <c r="AK970" s="67" t="n"/>
    </row>
    <row r="971" ht="15.75" customHeight="1" s="58">
      <c r="A971" s="65" t="n"/>
      <c r="B971" s="65" t="n"/>
      <c r="C971" s="66" t="n"/>
      <c r="D971" s="66" t="n"/>
      <c r="E971" s="65" t="n"/>
      <c r="F971" s="65" t="n"/>
      <c r="G971" s="65" t="n"/>
      <c r="H971" s="65" t="n"/>
      <c r="I971" s="65" t="n"/>
      <c r="J971" s="65" t="n"/>
      <c r="K971" s="65" t="n"/>
      <c r="L971" s="65" t="n"/>
      <c r="M971" s="65" t="n"/>
      <c r="N971" s="65" t="n"/>
      <c r="O971" s="65" t="n"/>
      <c r="P971" s="65" t="n"/>
      <c r="Q971" s="65" t="n"/>
      <c r="R971" s="65" t="n"/>
      <c r="S971" s="65" t="n"/>
      <c r="T971" s="65" t="n"/>
      <c r="U971" s="65" t="n"/>
      <c r="V971" s="65" t="n"/>
      <c r="W971" s="65" t="n"/>
      <c r="X971" s="65" t="n"/>
      <c r="Y971" s="32">
        <f>IF($C971="","",IF(COUNTA($I971:$K971)&lt;3,"— חסרים נתונים",IF(AND($I971="תקין",$J971="תקין",$K971="תקין"),"רהוטה",IF(AND($I971="תקין",$J971="תקין"),"מדויקת ורציפה","אינה מדויקת או מקוטעת"))))</f>
        <v/>
      </c>
      <c r="Z971" s="32">
        <f>IF($C971="","",IF(COUNTA($U971:$W971)&lt;3,"",IF(AND($U971="מפותח",$V971="מפותח",$W971="מפותחת"),"מפותחת",IF((--($U971="דל"))+(--($V971="אינו מפותח"))+(--($W971="דלה"))&gt;=2,"אינה מפותחת","חלקית"))))</f>
        <v/>
      </c>
      <c r="AA971" s="32">
        <f>IF($C971="","",IF(COUNTA($M971,$N971,$O971)&lt;3,"— חסרים נתונים",IF(OR($M971="נמוכה",(--($M971&lt;&gt;"תקינה"))+(--($N971&lt;&gt;"תקין"))+(--($O971&lt;&gt;"תקינה"))&gt;=2),"ניכרת","אינה ניכרת")))</f>
        <v/>
      </c>
      <c r="AB971" s="32">
        <f>IF(OR($C971="",$Y971="",$AA971="",LEFT($Y971,1)="—",LEFT($AA971,1)="—"),"",IF($Z971="","— נדרשת הערכת כתיבה",IF($L971="","— חסרה הבנת הנקרא",IF($Y971="אינה מדויקת או מקוטעת",IF($AA971="ניכרת","מיקוד בשטף הקריאה ובכישורי שפה","מיקוד בשטף קריאה"),IF($AA971="ניכרת","מיקוד בכישורי שפה",IF(AND($L971="תקינה",$Z971="מפותחת"),"קוראים וכותבים מיומנים","מיקוד בהבנה והבעה"))))))</f>
        <v/>
      </c>
      <c r="AC971" s="32">
        <f>IF(OR($AB971="",LEFT($AB971,1)="—"),"",IF(OR($AB971="מיקוד בשטף קריאה",$AB971="מיקוד בשטף הקריאה ובכישורי שפה"),"רמה א'",IF($AB971="קוראים וכותבים מיומנים","רמה ג'","רמה ב'")))</f>
        <v/>
      </c>
      <c r="AD971" s="32">
        <f>IF($AC971="","",MID(IF(AND($AC971="רמה א'",$AA971="ניכרת"),"; להוסיף עבודת אוצר מילים","")&amp;IF($Z971="אינה מפותחת","; דגש על הבעה בכתב","")&amp;IF($K971&lt;&gt;"תקין","; נדרש לעבוד על ההנגנה","")&amp;IF($AK971&lt;&gt;"","; "&amp;$AK971,""),3,400))</f>
        <v/>
      </c>
      <c r="AE971" s="32">
        <f>IF($F971="","",IF($F971="תחילת שנה",1,IF($F971="מחצית שנה",2,3)))</f>
        <v/>
      </c>
      <c r="AF971" s="32">
        <f>IF(OR($B971="",$AC971="",$A971="",$F971=""),"",$B971&amp;"|"&amp;$A971&amp;"|"&amp;$F971&amp;"|"&amp;$AC971&amp;"|"&amp;COUNTIFS($B$6:$B971,$B971,$A$6:$A971,$A971,$F$6:$F971,$F971,$AC$6:$AC971,$AC971))</f>
        <v/>
      </c>
      <c r="AG971" s="32">
        <f>IF($C971="","",$C971&amp;"|"&amp;COUNTIFS($C$6:$C971,$C971))</f>
        <v/>
      </c>
      <c r="AH971" s="32">
        <f>IF(OR($C971="",$A971="",$AE971=""),"",$C971&amp;"|"&amp;$A971&amp;"|"&amp;$AE971)</f>
        <v/>
      </c>
      <c r="AI971" s="32">
        <f>IF(OR($C971="",$AE971="",$AE971=1),"",IFERROR(INDEX($AC$6:$AC$1505,MATCH($C971&amp;"|"&amp;$A971&amp;"|"&amp;($AE971-1),$AH$6:$AH$1505,0)),""))</f>
        <v/>
      </c>
      <c r="AJ971" s="32">
        <f>IF(OR($AI971="",$AC971=""),"",IF($AI971=$AC971,"ללא שינוי","מ-"&amp;$AI971&amp;" ל-"&amp;$AC971))</f>
        <v/>
      </c>
      <c r="AK971" s="67" t="n"/>
    </row>
    <row r="972" ht="15.75" customHeight="1" s="58">
      <c r="A972" s="65" t="n"/>
      <c r="B972" s="65" t="n"/>
      <c r="C972" s="66" t="n"/>
      <c r="D972" s="66" t="n"/>
      <c r="E972" s="65" t="n"/>
      <c r="F972" s="65" t="n"/>
      <c r="G972" s="65" t="n"/>
      <c r="H972" s="65" t="n"/>
      <c r="I972" s="65" t="n"/>
      <c r="J972" s="65" t="n"/>
      <c r="K972" s="65" t="n"/>
      <c r="L972" s="65" t="n"/>
      <c r="M972" s="65" t="n"/>
      <c r="N972" s="65" t="n"/>
      <c r="O972" s="65" t="n"/>
      <c r="P972" s="65" t="n"/>
      <c r="Q972" s="65" t="n"/>
      <c r="R972" s="65" t="n"/>
      <c r="S972" s="65" t="n"/>
      <c r="T972" s="65" t="n"/>
      <c r="U972" s="65" t="n"/>
      <c r="V972" s="65" t="n"/>
      <c r="W972" s="65" t="n"/>
      <c r="X972" s="65" t="n"/>
      <c r="Y972" s="32">
        <f>IF($C972="","",IF(COUNTA($I972:$K972)&lt;3,"— חסרים נתונים",IF(AND($I972="תקין",$J972="תקין",$K972="תקין"),"רהוטה",IF(AND($I972="תקין",$J972="תקין"),"מדויקת ורציפה","אינה מדויקת או מקוטעת"))))</f>
        <v/>
      </c>
      <c r="Z972" s="32">
        <f>IF($C972="","",IF(COUNTA($U972:$W972)&lt;3,"",IF(AND($U972="מפותח",$V972="מפותח",$W972="מפותחת"),"מפותחת",IF((--($U972="דל"))+(--($V972="אינו מפותח"))+(--($W972="דלה"))&gt;=2,"אינה מפותחת","חלקית"))))</f>
        <v/>
      </c>
      <c r="AA972" s="32">
        <f>IF($C972="","",IF(COUNTA($M972,$N972,$O972)&lt;3,"— חסרים נתונים",IF(OR($M972="נמוכה",(--($M972&lt;&gt;"תקינה"))+(--($N972&lt;&gt;"תקין"))+(--($O972&lt;&gt;"תקינה"))&gt;=2),"ניכרת","אינה ניכרת")))</f>
        <v/>
      </c>
      <c r="AB972" s="32">
        <f>IF(OR($C972="",$Y972="",$AA972="",LEFT($Y972,1)="—",LEFT($AA972,1)="—"),"",IF($Z972="","— נדרשת הערכת כתיבה",IF($L972="","— חסרה הבנת הנקרא",IF($Y972="אינה מדויקת או מקוטעת",IF($AA972="ניכרת","מיקוד בשטף הקריאה ובכישורי שפה","מיקוד בשטף קריאה"),IF($AA972="ניכרת","מיקוד בכישורי שפה",IF(AND($L972="תקינה",$Z972="מפותחת"),"קוראים וכותבים מיומנים","מיקוד בהבנה והבעה"))))))</f>
        <v/>
      </c>
      <c r="AC972" s="32">
        <f>IF(OR($AB972="",LEFT($AB972,1)="—"),"",IF(OR($AB972="מיקוד בשטף קריאה",$AB972="מיקוד בשטף הקריאה ובכישורי שפה"),"רמה א'",IF($AB972="קוראים וכותבים מיומנים","רמה ג'","רמה ב'")))</f>
        <v/>
      </c>
      <c r="AD972" s="32">
        <f>IF($AC972="","",MID(IF(AND($AC972="רמה א'",$AA972="ניכרת"),"; להוסיף עבודת אוצר מילים","")&amp;IF($Z972="אינה מפותחת","; דגש על הבעה בכתב","")&amp;IF($K972&lt;&gt;"תקין","; נדרש לעבוד על ההנגנה","")&amp;IF($AK972&lt;&gt;"","; "&amp;$AK972,""),3,400))</f>
        <v/>
      </c>
      <c r="AE972" s="32">
        <f>IF($F972="","",IF($F972="תחילת שנה",1,IF($F972="מחצית שנה",2,3)))</f>
        <v/>
      </c>
      <c r="AF972" s="32">
        <f>IF(OR($B972="",$AC972="",$A972="",$F972=""),"",$B972&amp;"|"&amp;$A972&amp;"|"&amp;$F972&amp;"|"&amp;$AC972&amp;"|"&amp;COUNTIFS($B$6:$B972,$B972,$A$6:$A972,$A972,$F$6:$F972,$F972,$AC$6:$AC972,$AC972))</f>
        <v/>
      </c>
      <c r="AG972" s="32">
        <f>IF($C972="","",$C972&amp;"|"&amp;COUNTIFS($C$6:$C972,$C972))</f>
        <v/>
      </c>
      <c r="AH972" s="32">
        <f>IF(OR($C972="",$A972="",$AE972=""),"",$C972&amp;"|"&amp;$A972&amp;"|"&amp;$AE972)</f>
        <v/>
      </c>
      <c r="AI972" s="32">
        <f>IF(OR($C972="",$AE972="",$AE972=1),"",IFERROR(INDEX($AC$6:$AC$1505,MATCH($C972&amp;"|"&amp;$A972&amp;"|"&amp;($AE972-1),$AH$6:$AH$1505,0)),""))</f>
        <v/>
      </c>
      <c r="AJ972" s="32">
        <f>IF(OR($AI972="",$AC972=""),"",IF($AI972=$AC972,"ללא שינוי","מ-"&amp;$AI972&amp;" ל-"&amp;$AC972))</f>
        <v/>
      </c>
      <c r="AK972" s="67" t="n"/>
    </row>
    <row r="973" ht="15.75" customHeight="1" s="58">
      <c r="A973" s="65" t="n"/>
      <c r="B973" s="65" t="n"/>
      <c r="C973" s="66" t="n"/>
      <c r="D973" s="66" t="n"/>
      <c r="E973" s="65" t="n"/>
      <c r="F973" s="65" t="n"/>
      <c r="G973" s="65" t="n"/>
      <c r="H973" s="65" t="n"/>
      <c r="I973" s="65" t="n"/>
      <c r="J973" s="65" t="n"/>
      <c r="K973" s="65" t="n"/>
      <c r="L973" s="65" t="n"/>
      <c r="M973" s="65" t="n"/>
      <c r="N973" s="65" t="n"/>
      <c r="O973" s="65" t="n"/>
      <c r="P973" s="65" t="n"/>
      <c r="Q973" s="65" t="n"/>
      <c r="R973" s="65" t="n"/>
      <c r="S973" s="65" t="n"/>
      <c r="T973" s="65" t="n"/>
      <c r="U973" s="65" t="n"/>
      <c r="V973" s="65" t="n"/>
      <c r="W973" s="65" t="n"/>
      <c r="X973" s="65" t="n"/>
      <c r="Y973" s="32">
        <f>IF($C973="","",IF(COUNTA($I973:$K973)&lt;3,"— חסרים נתונים",IF(AND($I973="תקין",$J973="תקין",$K973="תקין"),"רהוטה",IF(AND($I973="תקין",$J973="תקין"),"מדויקת ורציפה","אינה מדויקת או מקוטעת"))))</f>
        <v/>
      </c>
      <c r="Z973" s="32">
        <f>IF($C973="","",IF(COUNTA($U973:$W973)&lt;3,"",IF(AND($U973="מפותח",$V973="מפותח",$W973="מפותחת"),"מפותחת",IF((--($U973="דל"))+(--($V973="אינו מפותח"))+(--($W973="דלה"))&gt;=2,"אינה מפותחת","חלקית"))))</f>
        <v/>
      </c>
      <c r="AA973" s="32">
        <f>IF($C973="","",IF(COUNTA($M973,$N973,$O973)&lt;3,"— חסרים נתונים",IF(OR($M973="נמוכה",(--($M973&lt;&gt;"תקינה"))+(--($N973&lt;&gt;"תקין"))+(--($O973&lt;&gt;"תקינה"))&gt;=2),"ניכרת","אינה ניכרת")))</f>
        <v/>
      </c>
      <c r="AB973" s="32">
        <f>IF(OR($C973="",$Y973="",$AA973="",LEFT($Y973,1)="—",LEFT($AA973,1)="—"),"",IF($Z973="","— נדרשת הערכת כתיבה",IF($L973="","— חסרה הבנת הנקרא",IF($Y973="אינה מדויקת או מקוטעת",IF($AA973="ניכרת","מיקוד בשטף הקריאה ובכישורי שפה","מיקוד בשטף קריאה"),IF($AA973="ניכרת","מיקוד בכישורי שפה",IF(AND($L973="תקינה",$Z973="מפותחת"),"קוראים וכותבים מיומנים","מיקוד בהבנה והבעה"))))))</f>
        <v/>
      </c>
      <c r="AC973" s="32">
        <f>IF(OR($AB973="",LEFT($AB973,1)="—"),"",IF(OR($AB973="מיקוד בשטף קריאה",$AB973="מיקוד בשטף הקריאה ובכישורי שפה"),"רמה א'",IF($AB973="קוראים וכותבים מיומנים","רמה ג'","רמה ב'")))</f>
        <v/>
      </c>
      <c r="AD973" s="32">
        <f>IF($AC973="","",MID(IF(AND($AC973="רמה א'",$AA973="ניכרת"),"; להוסיף עבודת אוצר מילים","")&amp;IF($Z973="אינה מפותחת","; דגש על הבעה בכתב","")&amp;IF($K973&lt;&gt;"תקין","; נדרש לעבוד על ההנגנה","")&amp;IF($AK973&lt;&gt;"","; "&amp;$AK973,""),3,400))</f>
        <v/>
      </c>
      <c r="AE973" s="32">
        <f>IF($F973="","",IF($F973="תחילת שנה",1,IF($F973="מחצית שנה",2,3)))</f>
        <v/>
      </c>
      <c r="AF973" s="32">
        <f>IF(OR($B973="",$AC973="",$A973="",$F973=""),"",$B973&amp;"|"&amp;$A973&amp;"|"&amp;$F973&amp;"|"&amp;$AC973&amp;"|"&amp;COUNTIFS($B$6:$B973,$B973,$A$6:$A973,$A973,$F$6:$F973,$F973,$AC$6:$AC973,$AC973))</f>
        <v/>
      </c>
      <c r="AG973" s="32">
        <f>IF($C973="","",$C973&amp;"|"&amp;COUNTIFS($C$6:$C973,$C973))</f>
        <v/>
      </c>
      <c r="AH973" s="32">
        <f>IF(OR($C973="",$A973="",$AE973=""),"",$C973&amp;"|"&amp;$A973&amp;"|"&amp;$AE973)</f>
        <v/>
      </c>
      <c r="AI973" s="32">
        <f>IF(OR($C973="",$AE973="",$AE973=1),"",IFERROR(INDEX($AC$6:$AC$1505,MATCH($C973&amp;"|"&amp;$A973&amp;"|"&amp;($AE973-1),$AH$6:$AH$1505,0)),""))</f>
        <v/>
      </c>
      <c r="AJ973" s="32">
        <f>IF(OR($AI973="",$AC973=""),"",IF($AI973=$AC973,"ללא שינוי","מ-"&amp;$AI973&amp;" ל-"&amp;$AC973))</f>
        <v/>
      </c>
      <c r="AK973" s="67" t="n"/>
    </row>
    <row r="974" ht="15.75" customHeight="1" s="58">
      <c r="A974" s="65" t="n"/>
      <c r="B974" s="65" t="n"/>
      <c r="C974" s="66" t="n"/>
      <c r="D974" s="66" t="n"/>
      <c r="E974" s="65" t="n"/>
      <c r="F974" s="65" t="n"/>
      <c r="G974" s="65" t="n"/>
      <c r="H974" s="65" t="n"/>
      <c r="I974" s="65" t="n"/>
      <c r="J974" s="65" t="n"/>
      <c r="K974" s="65" t="n"/>
      <c r="L974" s="65" t="n"/>
      <c r="M974" s="65" t="n"/>
      <c r="N974" s="65" t="n"/>
      <c r="O974" s="65" t="n"/>
      <c r="P974" s="65" t="n"/>
      <c r="Q974" s="65" t="n"/>
      <c r="R974" s="65" t="n"/>
      <c r="S974" s="65" t="n"/>
      <c r="T974" s="65" t="n"/>
      <c r="U974" s="65" t="n"/>
      <c r="V974" s="65" t="n"/>
      <c r="W974" s="65" t="n"/>
      <c r="X974" s="65" t="n"/>
      <c r="Y974" s="32">
        <f>IF($C974="","",IF(COUNTA($I974:$K974)&lt;3,"— חסרים נתונים",IF(AND($I974="תקין",$J974="תקין",$K974="תקין"),"רהוטה",IF(AND($I974="תקין",$J974="תקין"),"מדויקת ורציפה","אינה מדויקת או מקוטעת"))))</f>
        <v/>
      </c>
      <c r="Z974" s="32">
        <f>IF($C974="","",IF(COUNTA($U974:$W974)&lt;3,"",IF(AND($U974="מפותח",$V974="מפותח",$W974="מפותחת"),"מפותחת",IF((--($U974="דל"))+(--($V974="אינו מפותח"))+(--($W974="דלה"))&gt;=2,"אינה מפותחת","חלקית"))))</f>
        <v/>
      </c>
      <c r="AA974" s="32">
        <f>IF($C974="","",IF(COUNTA($M974,$N974,$O974)&lt;3,"— חסרים נתונים",IF(OR($M974="נמוכה",(--($M974&lt;&gt;"תקינה"))+(--($N974&lt;&gt;"תקין"))+(--($O974&lt;&gt;"תקינה"))&gt;=2),"ניכרת","אינה ניכרת")))</f>
        <v/>
      </c>
      <c r="AB974" s="32">
        <f>IF(OR($C974="",$Y974="",$AA974="",LEFT($Y974,1)="—",LEFT($AA974,1)="—"),"",IF($Z974="","— נדרשת הערכת כתיבה",IF($L974="","— חסרה הבנת הנקרא",IF($Y974="אינה מדויקת או מקוטעת",IF($AA974="ניכרת","מיקוד בשטף הקריאה ובכישורי שפה","מיקוד בשטף קריאה"),IF($AA974="ניכרת","מיקוד בכישורי שפה",IF(AND($L974="תקינה",$Z974="מפותחת"),"קוראים וכותבים מיומנים","מיקוד בהבנה והבעה"))))))</f>
        <v/>
      </c>
      <c r="AC974" s="32">
        <f>IF(OR($AB974="",LEFT($AB974,1)="—"),"",IF(OR($AB974="מיקוד בשטף קריאה",$AB974="מיקוד בשטף הקריאה ובכישורי שפה"),"רמה א'",IF($AB974="קוראים וכותבים מיומנים","רמה ג'","רמה ב'")))</f>
        <v/>
      </c>
      <c r="AD974" s="32">
        <f>IF($AC974="","",MID(IF(AND($AC974="רמה א'",$AA974="ניכרת"),"; להוסיף עבודת אוצר מילים","")&amp;IF($Z974="אינה מפותחת","; דגש על הבעה בכתב","")&amp;IF($K974&lt;&gt;"תקין","; נדרש לעבוד על ההנגנה","")&amp;IF($AK974&lt;&gt;"","; "&amp;$AK974,""),3,400))</f>
        <v/>
      </c>
      <c r="AE974" s="32">
        <f>IF($F974="","",IF($F974="תחילת שנה",1,IF($F974="מחצית שנה",2,3)))</f>
        <v/>
      </c>
      <c r="AF974" s="32">
        <f>IF(OR($B974="",$AC974="",$A974="",$F974=""),"",$B974&amp;"|"&amp;$A974&amp;"|"&amp;$F974&amp;"|"&amp;$AC974&amp;"|"&amp;COUNTIFS($B$6:$B974,$B974,$A$6:$A974,$A974,$F$6:$F974,$F974,$AC$6:$AC974,$AC974))</f>
        <v/>
      </c>
      <c r="AG974" s="32">
        <f>IF($C974="","",$C974&amp;"|"&amp;COUNTIFS($C$6:$C974,$C974))</f>
        <v/>
      </c>
      <c r="AH974" s="32">
        <f>IF(OR($C974="",$A974="",$AE974=""),"",$C974&amp;"|"&amp;$A974&amp;"|"&amp;$AE974)</f>
        <v/>
      </c>
      <c r="AI974" s="32">
        <f>IF(OR($C974="",$AE974="",$AE974=1),"",IFERROR(INDEX($AC$6:$AC$1505,MATCH($C974&amp;"|"&amp;$A974&amp;"|"&amp;($AE974-1),$AH$6:$AH$1505,0)),""))</f>
        <v/>
      </c>
      <c r="AJ974" s="32">
        <f>IF(OR($AI974="",$AC974=""),"",IF($AI974=$AC974,"ללא שינוי","מ-"&amp;$AI974&amp;" ל-"&amp;$AC974))</f>
        <v/>
      </c>
      <c r="AK974" s="67" t="n"/>
    </row>
    <row r="975" ht="15.75" customHeight="1" s="58">
      <c r="A975" s="65" t="n"/>
      <c r="B975" s="65" t="n"/>
      <c r="C975" s="66" t="n"/>
      <c r="D975" s="66" t="n"/>
      <c r="E975" s="65" t="n"/>
      <c r="F975" s="65" t="n"/>
      <c r="G975" s="65" t="n"/>
      <c r="H975" s="65" t="n"/>
      <c r="I975" s="65" t="n"/>
      <c r="J975" s="65" t="n"/>
      <c r="K975" s="65" t="n"/>
      <c r="L975" s="65" t="n"/>
      <c r="M975" s="65" t="n"/>
      <c r="N975" s="65" t="n"/>
      <c r="O975" s="65" t="n"/>
      <c r="P975" s="65" t="n"/>
      <c r="Q975" s="65" t="n"/>
      <c r="R975" s="65" t="n"/>
      <c r="S975" s="65" t="n"/>
      <c r="T975" s="65" t="n"/>
      <c r="U975" s="65" t="n"/>
      <c r="V975" s="65" t="n"/>
      <c r="W975" s="65" t="n"/>
      <c r="X975" s="65" t="n"/>
      <c r="Y975" s="32">
        <f>IF($C975="","",IF(COUNTA($I975:$K975)&lt;3,"— חסרים נתונים",IF(AND($I975="תקין",$J975="תקין",$K975="תקין"),"רהוטה",IF(AND($I975="תקין",$J975="תקין"),"מדויקת ורציפה","אינה מדויקת או מקוטעת"))))</f>
        <v/>
      </c>
      <c r="Z975" s="32">
        <f>IF($C975="","",IF(COUNTA($U975:$W975)&lt;3,"",IF(AND($U975="מפותח",$V975="מפותח",$W975="מפותחת"),"מפותחת",IF((--($U975="דל"))+(--($V975="אינו מפותח"))+(--($W975="דלה"))&gt;=2,"אינה מפותחת","חלקית"))))</f>
        <v/>
      </c>
      <c r="AA975" s="32">
        <f>IF($C975="","",IF(COUNTA($M975,$N975,$O975)&lt;3,"— חסרים נתונים",IF(OR($M975="נמוכה",(--($M975&lt;&gt;"תקינה"))+(--($N975&lt;&gt;"תקין"))+(--($O975&lt;&gt;"תקינה"))&gt;=2),"ניכרת","אינה ניכרת")))</f>
        <v/>
      </c>
      <c r="AB975" s="32">
        <f>IF(OR($C975="",$Y975="",$AA975="",LEFT($Y975,1)="—",LEFT($AA975,1)="—"),"",IF($Z975="","— נדרשת הערכת כתיבה",IF($L975="","— חסרה הבנת הנקרא",IF($Y975="אינה מדויקת או מקוטעת",IF($AA975="ניכרת","מיקוד בשטף הקריאה ובכישורי שפה","מיקוד בשטף קריאה"),IF($AA975="ניכרת","מיקוד בכישורי שפה",IF(AND($L975="תקינה",$Z975="מפותחת"),"קוראים וכותבים מיומנים","מיקוד בהבנה והבעה"))))))</f>
        <v/>
      </c>
      <c r="AC975" s="32">
        <f>IF(OR($AB975="",LEFT($AB975,1)="—"),"",IF(OR($AB975="מיקוד בשטף קריאה",$AB975="מיקוד בשטף הקריאה ובכישורי שפה"),"רמה א'",IF($AB975="קוראים וכותבים מיומנים","רמה ג'","רמה ב'")))</f>
        <v/>
      </c>
      <c r="AD975" s="32">
        <f>IF($AC975="","",MID(IF(AND($AC975="רמה א'",$AA975="ניכרת"),"; להוסיף עבודת אוצר מילים","")&amp;IF($Z975="אינה מפותחת","; דגש על הבעה בכתב","")&amp;IF($K975&lt;&gt;"תקין","; נדרש לעבוד על ההנגנה","")&amp;IF($AK975&lt;&gt;"","; "&amp;$AK975,""),3,400))</f>
        <v/>
      </c>
      <c r="AE975" s="32">
        <f>IF($F975="","",IF($F975="תחילת שנה",1,IF($F975="מחצית שנה",2,3)))</f>
        <v/>
      </c>
      <c r="AF975" s="32">
        <f>IF(OR($B975="",$AC975="",$A975="",$F975=""),"",$B975&amp;"|"&amp;$A975&amp;"|"&amp;$F975&amp;"|"&amp;$AC975&amp;"|"&amp;COUNTIFS($B$6:$B975,$B975,$A$6:$A975,$A975,$F$6:$F975,$F975,$AC$6:$AC975,$AC975))</f>
        <v/>
      </c>
      <c r="AG975" s="32">
        <f>IF($C975="","",$C975&amp;"|"&amp;COUNTIFS($C$6:$C975,$C975))</f>
        <v/>
      </c>
      <c r="AH975" s="32">
        <f>IF(OR($C975="",$A975="",$AE975=""),"",$C975&amp;"|"&amp;$A975&amp;"|"&amp;$AE975)</f>
        <v/>
      </c>
      <c r="AI975" s="32">
        <f>IF(OR($C975="",$AE975="",$AE975=1),"",IFERROR(INDEX($AC$6:$AC$1505,MATCH($C975&amp;"|"&amp;$A975&amp;"|"&amp;($AE975-1),$AH$6:$AH$1505,0)),""))</f>
        <v/>
      </c>
      <c r="AJ975" s="32">
        <f>IF(OR($AI975="",$AC975=""),"",IF($AI975=$AC975,"ללא שינוי","מ-"&amp;$AI975&amp;" ל-"&amp;$AC975))</f>
        <v/>
      </c>
      <c r="AK975" s="67" t="n"/>
    </row>
    <row r="976" ht="15.75" customHeight="1" s="58">
      <c r="A976" s="65" t="n"/>
      <c r="B976" s="65" t="n"/>
      <c r="C976" s="66" t="n"/>
      <c r="D976" s="66" t="n"/>
      <c r="E976" s="65" t="n"/>
      <c r="F976" s="65" t="n"/>
      <c r="G976" s="65" t="n"/>
      <c r="H976" s="65" t="n"/>
      <c r="I976" s="65" t="n"/>
      <c r="J976" s="65" t="n"/>
      <c r="K976" s="65" t="n"/>
      <c r="L976" s="65" t="n"/>
      <c r="M976" s="65" t="n"/>
      <c r="N976" s="65" t="n"/>
      <c r="O976" s="65" t="n"/>
      <c r="P976" s="65" t="n"/>
      <c r="Q976" s="65" t="n"/>
      <c r="R976" s="65" t="n"/>
      <c r="S976" s="65" t="n"/>
      <c r="T976" s="65" t="n"/>
      <c r="U976" s="65" t="n"/>
      <c r="V976" s="65" t="n"/>
      <c r="W976" s="65" t="n"/>
      <c r="X976" s="65" t="n"/>
      <c r="Y976" s="32">
        <f>IF($C976="","",IF(COUNTA($I976:$K976)&lt;3,"— חסרים נתונים",IF(AND($I976="תקין",$J976="תקין",$K976="תקין"),"רהוטה",IF(AND($I976="תקין",$J976="תקין"),"מדויקת ורציפה","אינה מדויקת או מקוטעת"))))</f>
        <v/>
      </c>
      <c r="Z976" s="32">
        <f>IF($C976="","",IF(COUNTA($U976:$W976)&lt;3,"",IF(AND($U976="מפותח",$V976="מפותח",$W976="מפותחת"),"מפותחת",IF((--($U976="דל"))+(--($V976="אינו מפותח"))+(--($W976="דלה"))&gt;=2,"אינה מפותחת","חלקית"))))</f>
        <v/>
      </c>
      <c r="AA976" s="32">
        <f>IF($C976="","",IF(COUNTA($M976,$N976,$O976)&lt;3,"— חסרים נתונים",IF(OR($M976="נמוכה",(--($M976&lt;&gt;"תקינה"))+(--($N976&lt;&gt;"תקין"))+(--($O976&lt;&gt;"תקינה"))&gt;=2),"ניכרת","אינה ניכרת")))</f>
        <v/>
      </c>
      <c r="AB976" s="32">
        <f>IF(OR($C976="",$Y976="",$AA976="",LEFT($Y976,1)="—",LEFT($AA976,1)="—"),"",IF($Z976="","— נדרשת הערכת כתיבה",IF($L976="","— חסרה הבנת הנקרא",IF($Y976="אינה מדויקת או מקוטעת",IF($AA976="ניכרת","מיקוד בשטף הקריאה ובכישורי שפה","מיקוד בשטף קריאה"),IF($AA976="ניכרת","מיקוד בכישורי שפה",IF(AND($L976="תקינה",$Z976="מפותחת"),"קוראים וכותבים מיומנים","מיקוד בהבנה והבעה"))))))</f>
        <v/>
      </c>
      <c r="AC976" s="32">
        <f>IF(OR($AB976="",LEFT($AB976,1)="—"),"",IF(OR($AB976="מיקוד בשטף קריאה",$AB976="מיקוד בשטף הקריאה ובכישורי שפה"),"רמה א'",IF($AB976="קוראים וכותבים מיומנים","רמה ג'","רמה ב'")))</f>
        <v/>
      </c>
      <c r="AD976" s="32">
        <f>IF($AC976="","",MID(IF(AND($AC976="רמה א'",$AA976="ניכרת"),"; להוסיף עבודת אוצר מילים","")&amp;IF($Z976="אינה מפותחת","; דגש על הבעה בכתב","")&amp;IF($K976&lt;&gt;"תקין","; נדרש לעבוד על ההנגנה","")&amp;IF($AK976&lt;&gt;"","; "&amp;$AK976,""),3,400))</f>
        <v/>
      </c>
      <c r="AE976" s="32">
        <f>IF($F976="","",IF($F976="תחילת שנה",1,IF($F976="מחצית שנה",2,3)))</f>
        <v/>
      </c>
      <c r="AF976" s="32">
        <f>IF(OR($B976="",$AC976="",$A976="",$F976=""),"",$B976&amp;"|"&amp;$A976&amp;"|"&amp;$F976&amp;"|"&amp;$AC976&amp;"|"&amp;COUNTIFS($B$6:$B976,$B976,$A$6:$A976,$A976,$F$6:$F976,$F976,$AC$6:$AC976,$AC976))</f>
        <v/>
      </c>
      <c r="AG976" s="32">
        <f>IF($C976="","",$C976&amp;"|"&amp;COUNTIFS($C$6:$C976,$C976))</f>
        <v/>
      </c>
      <c r="AH976" s="32">
        <f>IF(OR($C976="",$A976="",$AE976=""),"",$C976&amp;"|"&amp;$A976&amp;"|"&amp;$AE976)</f>
        <v/>
      </c>
      <c r="AI976" s="32">
        <f>IF(OR($C976="",$AE976="",$AE976=1),"",IFERROR(INDEX($AC$6:$AC$1505,MATCH($C976&amp;"|"&amp;$A976&amp;"|"&amp;($AE976-1),$AH$6:$AH$1505,0)),""))</f>
        <v/>
      </c>
      <c r="AJ976" s="32">
        <f>IF(OR($AI976="",$AC976=""),"",IF($AI976=$AC976,"ללא שינוי","מ-"&amp;$AI976&amp;" ל-"&amp;$AC976))</f>
        <v/>
      </c>
      <c r="AK976" s="67" t="n"/>
    </row>
    <row r="977" ht="15.75" customHeight="1" s="58">
      <c r="A977" s="65" t="n"/>
      <c r="B977" s="65" t="n"/>
      <c r="C977" s="66" t="n"/>
      <c r="D977" s="66" t="n"/>
      <c r="E977" s="65" t="n"/>
      <c r="F977" s="65" t="n"/>
      <c r="G977" s="65" t="n"/>
      <c r="H977" s="65" t="n"/>
      <c r="I977" s="65" t="n"/>
      <c r="J977" s="65" t="n"/>
      <c r="K977" s="65" t="n"/>
      <c r="L977" s="65" t="n"/>
      <c r="M977" s="65" t="n"/>
      <c r="N977" s="65" t="n"/>
      <c r="O977" s="65" t="n"/>
      <c r="P977" s="65" t="n"/>
      <c r="Q977" s="65" t="n"/>
      <c r="R977" s="65" t="n"/>
      <c r="S977" s="65" t="n"/>
      <c r="T977" s="65" t="n"/>
      <c r="U977" s="65" t="n"/>
      <c r="V977" s="65" t="n"/>
      <c r="W977" s="65" t="n"/>
      <c r="X977" s="65" t="n"/>
      <c r="Y977" s="32">
        <f>IF($C977="","",IF(COUNTA($I977:$K977)&lt;3,"— חסרים נתונים",IF(AND($I977="תקין",$J977="תקין",$K977="תקין"),"רהוטה",IF(AND($I977="תקין",$J977="תקין"),"מדויקת ורציפה","אינה מדויקת או מקוטעת"))))</f>
        <v/>
      </c>
      <c r="Z977" s="32">
        <f>IF($C977="","",IF(COUNTA($U977:$W977)&lt;3,"",IF(AND($U977="מפותח",$V977="מפותח",$W977="מפותחת"),"מפותחת",IF((--($U977="דל"))+(--($V977="אינו מפותח"))+(--($W977="דלה"))&gt;=2,"אינה מפותחת","חלקית"))))</f>
        <v/>
      </c>
      <c r="AA977" s="32">
        <f>IF($C977="","",IF(COUNTA($M977,$N977,$O977)&lt;3,"— חסרים נתונים",IF(OR($M977="נמוכה",(--($M977&lt;&gt;"תקינה"))+(--($N977&lt;&gt;"תקין"))+(--($O977&lt;&gt;"תקינה"))&gt;=2),"ניכרת","אינה ניכרת")))</f>
        <v/>
      </c>
      <c r="AB977" s="32">
        <f>IF(OR($C977="",$Y977="",$AA977="",LEFT($Y977,1)="—",LEFT($AA977,1)="—"),"",IF($Z977="","— נדרשת הערכת כתיבה",IF($L977="","— חסרה הבנת הנקרא",IF($Y977="אינה מדויקת או מקוטעת",IF($AA977="ניכרת","מיקוד בשטף הקריאה ובכישורי שפה","מיקוד בשטף קריאה"),IF($AA977="ניכרת","מיקוד בכישורי שפה",IF(AND($L977="תקינה",$Z977="מפותחת"),"קוראים וכותבים מיומנים","מיקוד בהבנה והבעה"))))))</f>
        <v/>
      </c>
      <c r="AC977" s="32">
        <f>IF(OR($AB977="",LEFT($AB977,1)="—"),"",IF(OR($AB977="מיקוד בשטף קריאה",$AB977="מיקוד בשטף הקריאה ובכישורי שפה"),"רמה א'",IF($AB977="קוראים וכותבים מיומנים","רמה ג'","רמה ב'")))</f>
        <v/>
      </c>
      <c r="AD977" s="32">
        <f>IF($AC977="","",MID(IF(AND($AC977="רמה א'",$AA977="ניכרת"),"; להוסיף עבודת אוצר מילים","")&amp;IF($Z977="אינה מפותחת","; דגש על הבעה בכתב","")&amp;IF($K977&lt;&gt;"תקין","; נדרש לעבוד על ההנגנה","")&amp;IF($AK977&lt;&gt;"","; "&amp;$AK977,""),3,400))</f>
        <v/>
      </c>
      <c r="AE977" s="32">
        <f>IF($F977="","",IF($F977="תחילת שנה",1,IF($F977="מחצית שנה",2,3)))</f>
        <v/>
      </c>
      <c r="AF977" s="32">
        <f>IF(OR($B977="",$AC977="",$A977="",$F977=""),"",$B977&amp;"|"&amp;$A977&amp;"|"&amp;$F977&amp;"|"&amp;$AC977&amp;"|"&amp;COUNTIFS($B$6:$B977,$B977,$A$6:$A977,$A977,$F$6:$F977,$F977,$AC$6:$AC977,$AC977))</f>
        <v/>
      </c>
      <c r="AG977" s="32">
        <f>IF($C977="","",$C977&amp;"|"&amp;COUNTIFS($C$6:$C977,$C977))</f>
        <v/>
      </c>
      <c r="AH977" s="32">
        <f>IF(OR($C977="",$A977="",$AE977=""),"",$C977&amp;"|"&amp;$A977&amp;"|"&amp;$AE977)</f>
        <v/>
      </c>
      <c r="AI977" s="32">
        <f>IF(OR($C977="",$AE977="",$AE977=1),"",IFERROR(INDEX($AC$6:$AC$1505,MATCH($C977&amp;"|"&amp;$A977&amp;"|"&amp;($AE977-1),$AH$6:$AH$1505,0)),""))</f>
        <v/>
      </c>
      <c r="AJ977" s="32">
        <f>IF(OR($AI977="",$AC977=""),"",IF($AI977=$AC977,"ללא שינוי","מ-"&amp;$AI977&amp;" ל-"&amp;$AC977))</f>
        <v/>
      </c>
      <c r="AK977" s="67" t="n"/>
    </row>
    <row r="978" ht="15.75" customHeight="1" s="58">
      <c r="A978" s="65" t="n"/>
      <c r="B978" s="65" t="n"/>
      <c r="C978" s="66" t="n"/>
      <c r="D978" s="66" t="n"/>
      <c r="E978" s="65" t="n"/>
      <c r="F978" s="65" t="n"/>
      <c r="G978" s="65" t="n"/>
      <c r="H978" s="65" t="n"/>
      <c r="I978" s="65" t="n"/>
      <c r="J978" s="65" t="n"/>
      <c r="K978" s="65" t="n"/>
      <c r="L978" s="65" t="n"/>
      <c r="M978" s="65" t="n"/>
      <c r="N978" s="65" t="n"/>
      <c r="O978" s="65" t="n"/>
      <c r="P978" s="65" t="n"/>
      <c r="Q978" s="65" t="n"/>
      <c r="R978" s="65" t="n"/>
      <c r="S978" s="65" t="n"/>
      <c r="T978" s="65" t="n"/>
      <c r="U978" s="65" t="n"/>
      <c r="V978" s="65" t="n"/>
      <c r="W978" s="65" t="n"/>
      <c r="X978" s="65" t="n"/>
      <c r="Y978" s="32">
        <f>IF($C978="","",IF(COUNTA($I978:$K978)&lt;3,"— חסרים נתונים",IF(AND($I978="תקין",$J978="תקין",$K978="תקין"),"רהוטה",IF(AND($I978="תקין",$J978="תקין"),"מדויקת ורציפה","אינה מדויקת או מקוטעת"))))</f>
        <v/>
      </c>
      <c r="Z978" s="32">
        <f>IF($C978="","",IF(COUNTA($U978:$W978)&lt;3,"",IF(AND($U978="מפותח",$V978="מפותח",$W978="מפותחת"),"מפותחת",IF((--($U978="דל"))+(--($V978="אינו מפותח"))+(--($W978="דלה"))&gt;=2,"אינה מפותחת","חלקית"))))</f>
        <v/>
      </c>
      <c r="AA978" s="32">
        <f>IF($C978="","",IF(COUNTA($M978,$N978,$O978)&lt;3,"— חסרים נתונים",IF(OR($M978="נמוכה",(--($M978&lt;&gt;"תקינה"))+(--($N978&lt;&gt;"תקין"))+(--($O978&lt;&gt;"תקינה"))&gt;=2),"ניכרת","אינה ניכרת")))</f>
        <v/>
      </c>
      <c r="AB978" s="32">
        <f>IF(OR($C978="",$Y978="",$AA978="",LEFT($Y978,1)="—",LEFT($AA978,1)="—"),"",IF($Z978="","— נדרשת הערכת כתיבה",IF($L978="","— חסרה הבנת הנקרא",IF($Y978="אינה מדויקת או מקוטעת",IF($AA978="ניכרת","מיקוד בשטף הקריאה ובכישורי שפה","מיקוד בשטף קריאה"),IF($AA978="ניכרת","מיקוד בכישורי שפה",IF(AND($L978="תקינה",$Z978="מפותחת"),"קוראים וכותבים מיומנים","מיקוד בהבנה והבעה"))))))</f>
        <v/>
      </c>
      <c r="AC978" s="32">
        <f>IF(OR($AB978="",LEFT($AB978,1)="—"),"",IF(OR($AB978="מיקוד בשטף קריאה",$AB978="מיקוד בשטף הקריאה ובכישורי שפה"),"רמה א'",IF($AB978="קוראים וכותבים מיומנים","רמה ג'","רמה ב'")))</f>
        <v/>
      </c>
      <c r="AD978" s="32">
        <f>IF($AC978="","",MID(IF(AND($AC978="רמה א'",$AA978="ניכרת"),"; להוסיף עבודת אוצר מילים","")&amp;IF($Z978="אינה מפותחת","; דגש על הבעה בכתב","")&amp;IF($K978&lt;&gt;"תקין","; נדרש לעבוד על ההנגנה","")&amp;IF($AK978&lt;&gt;"","; "&amp;$AK978,""),3,400))</f>
        <v/>
      </c>
      <c r="AE978" s="32">
        <f>IF($F978="","",IF($F978="תחילת שנה",1,IF($F978="מחצית שנה",2,3)))</f>
        <v/>
      </c>
      <c r="AF978" s="32">
        <f>IF(OR($B978="",$AC978="",$A978="",$F978=""),"",$B978&amp;"|"&amp;$A978&amp;"|"&amp;$F978&amp;"|"&amp;$AC978&amp;"|"&amp;COUNTIFS($B$6:$B978,$B978,$A$6:$A978,$A978,$F$6:$F978,$F978,$AC$6:$AC978,$AC978))</f>
        <v/>
      </c>
      <c r="AG978" s="32">
        <f>IF($C978="","",$C978&amp;"|"&amp;COUNTIFS($C$6:$C978,$C978))</f>
        <v/>
      </c>
      <c r="AH978" s="32">
        <f>IF(OR($C978="",$A978="",$AE978=""),"",$C978&amp;"|"&amp;$A978&amp;"|"&amp;$AE978)</f>
        <v/>
      </c>
      <c r="AI978" s="32">
        <f>IF(OR($C978="",$AE978="",$AE978=1),"",IFERROR(INDEX($AC$6:$AC$1505,MATCH($C978&amp;"|"&amp;$A978&amp;"|"&amp;($AE978-1),$AH$6:$AH$1505,0)),""))</f>
        <v/>
      </c>
      <c r="AJ978" s="32">
        <f>IF(OR($AI978="",$AC978=""),"",IF($AI978=$AC978,"ללא שינוי","מ-"&amp;$AI978&amp;" ל-"&amp;$AC978))</f>
        <v/>
      </c>
      <c r="AK978" s="67" t="n"/>
    </row>
    <row r="979" ht="15.75" customHeight="1" s="58">
      <c r="A979" s="65" t="n"/>
      <c r="B979" s="65" t="n"/>
      <c r="C979" s="66" t="n"/>
      <c r="D979" s="66" t="n"/>
      <c r="E979" s="65" t="n"/>
      <c r="F979" s="65" t="n"/>
      <c r="G979" s="65" t="n"/>
      <c r="H979" s="65" t="n"/>
      <c r="I979" s="65" t="n"/>
      <c r="J979" s="65" t="n"/>
      <c r="K979" s="65" t="n"/>
      <c r="L979" s="65" t="n"/>
      <c r="M979" s="65" t="n"/>
      <c r="N979" s="65" t="n"/>
      <c r="O979" s="65" t="n"/>
      <c r="P979" s="65" t="n"/>
      <c r="Q979" s="65" t="n"/>
      <c r="R979" s="65" t="n"/>
      <c r="S979" s="65" t="n"/>
      <c r="T979" s="65" t="n"/>
      <c r="U979" s="65" t="n"/>
      <c r="V979" s="65" t="n"/>
      <c r="W979" s="65" t="n"/>
      <c r="X979" s="65" t="n"/>
      <c r="Y979" s="32">
        <f>IF($C979="","",IF(COUNTA($I979:$K979)&lt;3,"— חסרים נתונים",IF(AND($I979="תקין",$J979="תקין",$K979="תקין"),"רהוטה",IF(AND($I979="תקין",$J979="תקין"),"מדויקת ורציפה","אינה מדויקת או מקוטעת"))))</f>
        <v/>
      </c>
      <c r="Z979" s="32">
        <f>IF($C979="","",IF(COUNTA($U979:$W979)&lt;3,"",IF(AND($U979="מפותח",$V979="מפותח",$W979="מפותחת"),"מפותחת",IF((--($U979="דל"))+(--($V979="אינו מפותח"))+(--($W979="דלה"))&gt;=2,"אינה מפותחת","חלקית"))))</f>
        <v/>
      </c>
      <c r="AA979" s="32">
        <f>IF($C979="","",IF(COUNTA($M979,$N979,$O979)&lt;3,"— חסרים נתונים",IF(OR($M979="נמוכה",(--($M979&lt;&gt;"תקינה"))+(--($N979&lt;&gt;"תקין"))+(--($O979&lt;&gt;"תקינה"))&gt;=2),"ניכרת","אינה ניכרת")))</f>
        <v/>
      </c>
      <c r="AB979" s="32">
        <f>IF(OR($C979="",$Y979="",$AA979="",LEFT($Y979,1)="—",LEFT($AA979,1)="—"),"",IF($Z979="","— נדרשת הערכת כתיבה",IF($L979="","— חסרה הבנת הנקרא",IF($Y979="אינה מדויקת או מקוטעת",IF($AA979="ניכרת","מיקוד בשטף הקריאה ובכישורי שפה","מיקוד בשטף קריאה"),IF($AA979="ניכרת","מיקוד בכישורי שפה",IF(AND($L979="תקינה",$Z979="מפותחת"),"קוראים וכותבים מיומנים","מיקוד בהבנה והבעה"))))))</f>
        <v/>
      </c>
      <c r="AC979" s="32">
        <f>IF(OR($AB979="",LEFT($AB979,1)="—"),"",IF(OR($AB979="מיקוד בשטף קריאה",$AB979="מיקוד בשטף הקריאה ובכישורי שפה"),"רמה א'",IF($AB979="קוראים וכותבים מיומנים","רמה ג'","רמה ב'")))</f>
        <v/>
      </c>
      <c r="AD979" s="32">
        <f>IF($AC979="","",MID(IF(AND($AC979="רמה א'",$AA979="ניכרת"),"; להוסיף עבודת אוצר מילים","")&amp;IF($Z979="אינה מפותחת","; דגש על הבעה בכתב","")&amp;IF($K979&lt;&gt;"תקין","; נדרש לעבוד על ההנגנה","")&amp;IF($AK979&lt;&gt;"","; "&amp;$AK979,""),3,400))</f>
        <v/>
      </c>
      <c r="AE979" s="32">
        <f>IF($F979="","",IF($F979="תחילת שנה",1,IF($F979="מחצית שנה",2,3)))</f>
        <v/>
      </c>
      <c r="AF979" s="32">
        <f>IF(OR($B979="",$AC979="",$A979="",$F979=""),"",$B979&amp;"|"&amp;$A979&amp;"|"&amp;$F979&amp;"|"&amp;$AC979&amp;"|"&amp;COUNTIFS($B$6:$B979,$B979,$A$6:$A979,$A979,$F$6:$F979,$F979,$AC$6:$AC979,$AC979))</f>
        <v/>
      </c>
      <c r="AG979" s="32">
        <f>IF($C979="","",$C979&amp;"|"&amp;COUNTIFS($C$6:$C979,$C979))</f>
        <v/>
      </c>
      <c r="AH979" s="32">
        <f>IF(OR($C979="",$A979="",$AE979=""),"",$C979&amp;"|"&amp;$A979&amp;"|"&amp;$AE979)</f>
        <v/>
      </c>
      <c r="AI979" s="32">
        <f>IF(OR($C979="",$AE979="",$AE979=1),"",IFERROR(INDEX($AC$6:$AC$1505,MATCH($C979&amp;"|"&amp;$A979&amp;"|"&amp;($AE979-1),$AH$6:$AH$1505,0)),""))</f>
        <v/>
      </c>
      <c r="AJ979" s="32">
        <f>IF(OR($AI979="",$AC979=""),"",IF($AI979=$AC979,"ללא שינוי","מ-"&amp;$AI979&amp;" ל-"&amp;$AC979))</f>
        <v/>
      </c>
      <c r="AK979" s="67" t="n"/>
    </row>
    <row r="980" ht="15.75" customHeight="1" s="58">
      <c r="A980" s="65" t="n"/>
      <c r="B980" s="65" t="n"/>
      <c r="C980" s="66" t="n"/>
      <c r="D980" s="66" t="n"/>
      <c r="E980" s="65" t="n"/>
      <c r="F980" s="65" t="n"/>
      <c r="G980" s="65" t="n"/>
      <c r="H980" s="65" t="n"/>
      <c r="I980" s="65" t="n"/>
      <c r="J980" s="65" t="n"/>
      <c r="K980" s="65" t="n"/>
      <c r="L980" s="65" t="n"/>
      <c r="M980" s="65" t="n"/>
      <c r="N980" s="65" t="n"/>
      <c r="O980" s="65" t="n"/>
      <c r="P980" s="65" t="n"/>
      <c r="Q980" s="65" t="n"/>
      <c r="R980" s="65" t="n"/>
      <c r="S980" s="65" t="n"/>
      <c r="T980" s="65" t="n"/>
      <c r="U980" s="65" t="n"/>
      <c r="V980" s="65" t="n"/>
      <c r="W980" s="65" t="n"/>
      <c r="X980" s="65" t="n"/>
      <c r="Y980" s="32">
        <f>IF($C980="","",IF(COUNTA($I980:$K980)&lt;3,"— חסרים נתונים",IF(AND($I980="תקין",$J980="תקין",$K980="תקין"),"רהוטה",IF(AND($I980="תקין",$J980="תקין"),"מדויקת ורציפה","אינה מדויקת או מקוטעת"))))</f>
        <v/>
      </c>
      <c r="Z980" s="32">
        <f>IF($C980="","",IF(COUNTA($U980:$W980)&lt;3,"",IF(AND($U980="מפותח",$V980="מפותח",$W980="מפותחת"),"מפותחת",IF((--($U980="דל"))+(--($V980="אינו מפותח"))+(--($W980="דלה"))&gt;=2,"אינה מפותחת","חלקית"))))</f>
        <v/>
      </c>
      <c r="AA980" s="32">
        <f>IF($C980="","",IF(COUNTA($M980,$N980,$O980)&lt;3,"— חסרים נתונים",IF(OR($M980="נמוכה",(--($M980&lt;&gt;"תקינה"))+(--($N980&lt;&gt;"תקין"))+(--($O980&lt;&gt;"תקינה"))&gt;=2),"ניכרת","אינה ניכרת")))</f>
        <v/>
      </c>
      <c r="AB980" s="32">
        <f>IF(OR($C980="",$Y980="",$AA980="",LEFT($Y980,1)="—",LEFT($AA980,1)="—"),"",IF($Z980="","— נדרשת הערכת כתיבה",IF($L980="","— חסרה הבנת הנקרא",IF($Y980="אינה מדויקת או מקוטעת",IF($AA980="ניכרת","מיקוד בשטף הקריאה ובכישורי שפה","מיקוד בשטף קריאה"),IF($AA980="ניכרת","מיקוד בכישורי שפה",IF(AND($L980="תקינה",$Z980="מפותחת"),"קוראים וכותבים מיומנים","מיקוד בהבנה והבעה"))))))</f>
        <v/>
      </c>
      <c r="AC980" s="32">
        <f>IF(OR($AB980="",LEFT($AB980,1)="—"),"",IF(OR($AB980="מיקוד בשטף קריאה",$AB980="מיקוד בשטף הקריאה ובכישורי שפה"),"רמה א'",IF($AB980="קוראים וכותבים מיומנים","רמה ג'","רמה ב'")))</f>
        <v/>
      </c>
      <c r="AD980" s="32">
        <f>IF($AC980="","",MID(IF(AND($AC980="רמה א'",$AA980="ניכרת"),"; להוסיף עבודת אוצר מילים","")&amp;IF($Z980="אינה מפותחת","; דגש על הבעה בכתב","")&amp;IF($K980&lt;&gt;"תקין","; נדרש לעבוד על ההנגנה","")&amp;IF($AK980&lt;&gt;"","; "&amp;$AK980,""),3,400))</f>
        <v/>
      </c>
      <c r="AE980" s="32">
        <f>IF($F980="","",IF($F980="תחילת שנה",1,IF($F980="מחצית שנה",2,3)))</f>
        <v/>
      </c>
      <c r="AF980" s="32">
        <f>IF(OR($B980="",$AC980="",$A980="",$F980=""),"",$B980&amp;"|"&amp;$A980&amp;"|"&amp;$F980&amp;"|"&amp;$AC980&amp;"|"&amp;COUNTIFS($B$6:$B980,$B980,$A$6:$A980,$A980,$F$6:$F980,$F980,$AC$6:$AC980,$AC980))</f>
        <v/>
      </c>
      <c r="AG980" s="32">
        <f>IF($C980="","",$C980&amp;"|"&amp;COUNTIFS($C$6:$C980,$C980))</f>
        <v/>
      </c>
      <c r="AH980" s="32">
        <f>IF(OR($C980="",$A980="",$AE980=""),"",$C980&amp;"|"&amp;$A980&amp;"|"&amp;$AE980)</f>
        <v/>
      </c>
      <c r="AI980" s="32">
        <f>IF(OR($C980="",$AE980="",$AE980=1),"",IFERROR(INDEX($AC$6:$AC$1505,MATCH($C980&amp;"|"&amp;$A980&amp;"|"&amp;($AE980-1),$AH$6:$AH$1505,0)),""))</f>
        <v/>
      </c>
      <c r="AJ980" s="32">
        <f>IF(OR($AI980="",$AC980=""),"",IF($AI980=$AC980,"ללא שינוי","מ-"&amp;$AI980&amp;" ל-"&amp;$AC980))</f>
        <v/>
      </c>
      <c r="AK980" s="67" t="n"/>
    </row>
    <row r="981" ht="15.75" customHeight="1" s="58">
      <c r="A981" s="65" t="n"/>
      <c r="B981" s="65" t="n"/>
      <c r="C981" s="66" t="n"/>
      <c r="D981" s="66" t="n"/>
      <c r="E981" s="65" t="n"/>
      <c r="F981" s="65" t="n"/>
      <c r="G981" s="65" t="n"/>
      <c r="H981" s="65" t="n"/>
      <c r="I981" s="65" t="n"/>
      <c r="J981" s="65" t="n"/>
      <c r="K981" s="65" t="n"/>
      <c r="L981" s="65" t="n"/>
      <c r="M981" s="65" t="n"/>
      <c r="N981" s="65" t="n"/>
      <c r="O981" s="65" t="n"/>
      <c r="P981" s="65" t="n"/>
      <c r="Q981" s="65" t="n"/>
      <c r="R981" s="65" t="n"/>
      <c r="S981" s="65" t="n"/>
      <c r="T981" s="65" t="n"/>
      <c r="U981" s="65" t="n"/>
      <c r="V981" s="65" t="n"/>
      <c r="W981" s="65" t="n"/>
      <c r="X981" s="65" t="n"/>
      <c r="Y981" s="32">
        <f>IF($C981="","",IF(COUNTA($I981:$K981)&lt;3,"— חסרים נתונים",IF(AND($I981="תקין",$J981="תקין",$K981="תקין"),"רהוטה",IF(AND($I981="תקין",$J981="תקין"),"מדויקת ורציפה","אינה מדויקת או מקוטעת"))))</f>
        <v/>
      </c>
      <c r="Z981" s="32">
        <f>IF($C981="","",IF(COUNTA($U981:$W981)&lt;3,"",IF(AND($U981="מפותח",$V981="מפותח",$W981="מפותחת"),"מפותחת",IF((--($U981="דל"))+(--($V981="אינו מפותח"))+(--($W981="דלה"))&gt;=2,"אינה מפותחת","חלקית"))))</f>
        <v/>
      </c>
      <c r="AA981" s="32">
        <f>IF($C981="","",IF(COUNTA($M981,$N981,$O981)&lt;3,"— חסרים נתונים",IF(OR($M981="נמוכה",(--($M981&lt;&gt;"תקינה"))+(--($N981&lt;&gt;"תקין"))+(--($O981&lt;&gt;"תקינה"))&gt;=2),"ניכרת","אינה ניכרת")))</f>
        <v/>
      </c>
      <c r="AB981" s="32">
        <f>IF(OR($C981="",$Y981="",$AA981="",LEFT($Y981,1)="—",LEFT($AA981,1)="—"),"",IF($Z981="","— נדרשת הערכת כתיבה",IF($L981="","— חסרה הבנת הנקרא",IF($Y981="אינה מדויקת או מקוטעת",IF($AA981="ניכרת","מיקוד בשטף הקריאה ובכישורי שפה","מיקוד בשטף קריאה"),IF($AA981="ניכרת","מיקוד בכישורי שפה",IF(AND($L981="תקינה",$Z981="מפותחת"),"קוראים וכותבים מיומנים","מיקוד בהבנה והבעה"))))))</f>
        <v/>
      </c>
      <c r="AC981" s="32">
        <f>IF(OR($AB981="",LEFT($AB981,1)="—"),"",IF(OR($AB981="מיקוד בשטף קריאה",$AB981="מיקוד בשטף הקריאה ובכישורי שפה"),"רמה א'",IF($AB981="קוראים וכותבים מיומנים","רמה ג'","רמה ב'")))</f>
        <v/>
      </c>
      <c r="AD981" s="32">
        <f>IF($AC981="","",MID(IF(AND($AC981="רמה א'",$AA981="ניכרת"),"; להוסיף עבודת אוצר מילים","")&amp;IF($Z981="אינה מפותחת","; דגש על הבעה בכתב","")&amp;IF($K981&lt;&gt;"תקין","; נדרש לעבוד על ההנגנה","")&amp;IF($AK981&lt;&gt;"","; "&amp;$AK981,""),3,400))</f>
        <v/>
      </c>
      <c r="AE981" s="32">
        <f>IF($F981="","",IF($F981="תחילת שנה",1,IF($F981="מחצית שנה",2,3)))</f>
        <v/>
      </c>
      <c r="AF981" s="32">
        <f>IF(OR($B981="",$AC981="",$A981="",$F981=""),"",$B981&amp;"|"&amp;$A981&amp;"|"&amp;$F981&amp;"|"&amp;$AC981&amp;"|"&amp;COUNTIFS($B$6:$B981,$B981,$A$6:$A981,$A981,$F$6:$F981,$F981,$AC$6:$AC981,$AC981))</f>
        <v/>
      </c>
      <c r="AG981" s="32">
        <f>IF($C981="","",$C981&amp;"|"&amp;COUNTIFS($C$6:$C981,$C981))</f>
        <v/>
      </c>
      <c r="AH981" s="32">
        <f>IF(OR($C981="",$A981="",$AE981=""),"",$C981&amp;"|"&amp;$A981&amp;"|"&amp;$AE981)</f>
        <v/>
      </c>
      <c r="AI981" s="32">
        <f>IF(OR($C981="",$AE981="",$AE981=1),"",IFERROR(INDEX($AC$6:$AC$1505,MATCH($C981&amp;"|"&amp;$A981&amp;"|"&amp;($AE981-1),$AH$6:$AH$1505,0)),""))</f>
        <v/>
      </c>
      <c r="AJ981" s="32">
        <f>IF(OR($AI981="",$AC981=""),"",IF($AI981=$AC981,"ללא שינוי","מ-"&amp;$AI981&amp;" ל-"&amp;$AC981))</f>
        <v/>
      </c>
      <c r="AK981" s="67" t="n"/>
    </row>
    <row r="982" ht="15.75" customHeight="1" s="58">
      <c r="A982" s="65" t="n"/>
      <c r="B982" s="65" t="n"/>
      <c r="C982" s="66" t="n"/>
      <c r="D982" s="66" t="n"/>
      <c r="E982" s="65" t="n"/>
      <c r="F982" s="65" t="n"/>
      <c r="G982" s="65" t="n"/>
      <c r="H982" s="65" t="n"/>
      <c r="I982" s="65" t="n"/>
      <c r="J982" s="65" t="n"/>
      <c r="K982" s="65" t="n"/>
      <c r="L982" s="65" t="n"/>
      <c r="M982" s="65" t="n"/>
      <c r="N982" s="65" t="n"/>
      <c r="O982" s="65" t="n"/>
      <c r="P982" s="65" t="n"/>
      <c r="Q982" s="65" t="n"/>
      <c r="R982" s="65" t="n"/>
      <c r="S982" s="65" t="n"/>
      <c r="T982" s="65" t="n"/>
      <c r="U982" s="65" t="n"/>
      <c r="V982" s="65" t="n"/>
      <c r="W982" s="65" t="n"/>
      <c r="X982" s="65" t="n"/>
      <c r="Y982" s="32">
        <f>IF($C982="","",IF(COUNTA($I982:$K982)&lt;3,"— חסרים נתונים",IF(AND($I982="תקין",$J982="תקין",$K982="תקין"),"רהוטה",IF(AND($I982="תקין",$J982="תקין"),"מדויקת ורציפה","אינה מדויקת או מקוטעת"))))</f>
        <v/>
      </c>
      <c r="Z982" s="32">
        <f>IF($C982="","",IF(COUNTA($U982:$W982)&lt;3,"",IF(AND($U982="מפותח",$V982="מפותח",$W982="מפותחת"),"מפותחת",IF((--($U982="דל"))+(--($V982="אינו מפותח"))+(--($W982="דלה"))&gt;=2,"אינה מפותחת","חלקית"))))</f>
        <v/>
      </c>
      <c r="AA982" s="32">
        <f>IF($C982="","",IF(COUNTA($M982,$N982,$O982)&lt;3,"— חסרים נתונים",IF(OR($M982="נמוכה",(--($M982&lt;&gt;"תקינה"))+(--($N982&lt;&gt;"תקין"))+(--($O982&lt;&gt;"תקינה"))&gt;=2),"ניכרת","אינה ניכרת")))</f>
        <v/>
      </c>
      <c r="AB982" s="32">
        <f>IF(OR($C982="",$Y982="",$AA982="",LEFT($Y982,1)="—",LEFT($AA982,1)="—"),"",IF($Z982="","— נדרשת הערכת כתיבה",IF($L982="","— חסרה הבנת הנקרא",IF($Y982="אינה מדויקת או מקוטעת",IF($AA982="ניכרת","מיקוד בשטף הקריאה ובכישורי שפה","מיקוד בשטף קריאה"),IF($AA982="ניכרת","מיקוד בכישורי שפה",IF(AND($L982="תקינה",$Z982="מפותחת"),"קוראים וכותבים מיומנים","מיקוד בהבנה והבעה"))))))</f>
        <v/>
      </c>
      <c r="AC982" s="32">
        <f>IF(OR($AB982="",LEFT($AB982,1)="—"),"",IF(OR($AB982="מיקוד בשטף קריאה",$AB982="מיקוד בשטף הקריאה ובכישורי שפה"),"רמה א'",IF($AB982="קוראים וכותבים מיומנים","רמה ג'","רמה ב'")))</f>
        <v/>
      </c>
      <c r="AD982" s="32">
        <f>IF($AC982="","",MID(IF(AND($AC982="רמה א'",$AA982="ניכרת"),"; להוסיף עבודת אוצר מילים","")&amp;IF($Z982="אינה מפותחת","; דגש על הבעה בכתב","")&amp;IF($K982&lt;&gt;"תקין","; נדרש לעבוד על ההנגנה","")&amp;IF($AK982&lt;&gt;"","; "&amp;$AK982,""),3,400))</f>
        <v/>
      </c>
      <c r="AE982" s="32">
        <f>IF($F982="","",IF($F982="תחילת שנה",1,IF($F982="מחצית שנה",2,3)))</f>
        <v/>
      </c>
      <c r="AF982" s="32">
        <f>IF(OR($B982="",$AC982="",$A982="",$F982=""),"",$B982&amp;"|"&amp;$A982&amp;"|"&amp;$F982&amp;"|"&amp;$AC982&amp;"|"&amp;COUNTIFS($B$6:$B982,$B982,$A$6:$A982,$A982,$F$6:$F982,$F982,$AC$6:$AC982,$AC982))</f>
        <v/>
      </c>
      <c r="AG982" s="32">
        <f>IF($C982="","",$C982&amp;"|"&amp;COUNTIFS($C$6:$C982,$C982))</f>
        <v/>
      </c>
      <c r="AH982" s="32">
        <f>IF(OR($C982="",$A982="",$AE982=""),"",$C982&amp;"|"&amp;$A982&amp;"|"&amp;$AE982)</f>
        <v/>
      </c>
      <c r="AI982" s="32">
        <f>IF(OR($C982="",$AE982="",$AE982=1),"",IFERROR(INDEX($AC$6:$AC$1505,MATCH($C982&amp;"|"&amp;$A982&amp;"|"&amp;($AE982-1),$AH$6:$AH$1505,0)),""))</f>
        <v/>
      </c>
      <c r="AJ982" s="32">
        <f>IF(OR($AI982="",$AC982=""),"",IF($AI982=$AC982,"ללא שינוי","מ-"&amp;$AI982&amp;" ל-"&amp;$AC982))</f>
        <v/>
      </c>
      <c r="AK982" s="67" t="n"/>
    </row>
    <row r="983" ht="15.75" customHeight="1" s="58">
      <c r="A983" s="65" t="n"/>
      <c r="B983" s="65" t="n"/>
      <c r="C983" s="66" t="n"/>
      <c r="D983" s="66" t="n"/>
      <c r="E983" s="65" t="n"/>
      <c r="F983" s="65" t="n"/>
      <c r="G983" s="65" t="n"/>
      <c r="H983" s="65" t="n"/>
      <c r="I983" s="65" t="n"/>
      <c r="J983" s="65" t="n"/>
      <c r="K983" s="65" t="n"/>
      <c r="L983" s="65" t="n"/>
      <c r="M983" s="65" t="n"/>
      <c r="N983" s="65" t="n"/>
      <c r="O983" s="65" t="n"/>
      <c r="P983" s="65" t="n"/>
      <c r="Q983" s="65" t="n"/>
      <c r="R983" s="65" t="n"/>
      <c r="S983" s="65" t="n"/>
      <c r="T983" s="65" t="n"/>
      <c r="U983" s="65" t="n"/>
      <c r="V983" s="65" t="n"/>
      <c r="W983" s="65" t="n"/>
      <c r="X983" s="65" t="n"/>
      <c r="Y983" s="32">
        <f>IF($C983="","",IF(COUNTA($I983:$K983)&lt;3,"— חסרים נתונים",IF(AND($I983="תקין",$J983="תקין",$K983="תקין"),"רהוטה",IF(AND($I983="תקין",$J983="תקין"),"מדויקת ורציפה","אינה מדויקת או מקוטעת"))))</f>
        <v/>
      </c>
      <c r="Z983" s="32">
        <f>IF($C983="","",IF(COUNTA($U983:$W983)&lt;3,"",IF(AND($U983="מפותח",$V983="מפותח",$W983="מפותחת"),"מפותחת",IF((--($U983="דל"))+(--($V983="אינו מפותח"))+(--($W983="דלה"))&gt;=2,"אינה מפותחת","חלקית"))))</f>
        <v/>
      </c>
      <c r="AA983" s="32">
        <f>IF($C983="","",IF(COUNTA($M983,$N983,$O983)&lt;3,"— חסרים נתונים",IF(OR($M983="נמוכה",(--($M983&lt;&gt;"תקינה"))+(--($N983&lt;&gt;"תקין"))+(--($O983&lt;&gt;"תקינה"))&gt;=2),"ניכרת","אינה ניכרת")))</f>
        <v/>
      </c>
      <c r="AB983" s="32">
        <f>IF(OR($C983="",$Y983="",$AA983="",LEFT($Y983,1)="—",LEFT($AA983,1)="—"),"",IF($Z983="","— נדרשת הערכת כתיבה",IF($L983="","— חסרה הבנת הנקרא",IF($Y983="אינה מדויקת או מקוטעת",IF($AA983="ניכרת","מיקוד בשטף הקריאה ובכישורי שפה","מיקוד בשטף קריאה"),IF($AA983="ניכרת","מיקוד בכישורי שפה",IF(AND($L983="תקינה",$Z983="מפותחת"),"קוראים וכותבים מיומנים","מיקוד בהבנה והבעה"))))))</f>
        <v/>
      </c>
      <c r="AC983" s="32">
        <f>IF(OR($AB983="",LEFT($AB983,1)="—"),"",IF(OR($AB983="מיקוד בשטף קריאה",$AB983="מיקוד בשטף הקריאה ובכישורי שפה"),"רמה א'",IF($AB983="קוראים וכותבים מיומנים","רמה ג'","רמה ב'")))</f>
        <v/>
      </c>
      <c r="AD983" s="32">
        <f>IF($AC983="","",MID(IF(AND($AC983="רמה א'",$AA983="ניכרת"),"; להוסיף עבודת אוצר מילים","")&amp;IF($Z983="אינה מפותחת","; דגש על הבעה בכתב","")&amp;IF($K983&lt;&gt;"תקין","; נדרש לעבוד על ההנגנה","")&amp;IF($AK983&lt;&gt;"","; "&amp;$AK983,""),3,400))</f>
        <v/>
      </c>
      <c r="AE983" s="32">
        <f>IF($F983="","",IF($F983="תחילת שנה",1,IF($F983="מחצית שנה",2,3)))</f>
        <v/>
      </c>
      <c r="AF983" s="32">
        <f>IF(OR($B983="",$AC983="",$A983="",$F983=""),"",$B983&amp;"|"&amp;$A983&amp;"|"&amp;$F983&amp;"|"&amp;$AC983&amp;"|"&amp;COUNTIFS($B$6:$B983,$B983,$A$6:$A983,$A983,$F$6:$F983,$F983,$AC$6:$AC983,$AC983))</f>
        <v/>
      </c>
      <c r="AG983" s="32">
        <f>IF($C983="","",$C983&amp;"|"&amp;COUNTIFS($C$6:$C983,$C983))</f>
        <v/>
      </c>
      <c r="AH983" s="32">
        <f>IF(OR($C983="",$A983="",$AE983=""),"",$C983&amp;"|"&amp;$A983&amp;"|"&amp;$AE983)</f>
        <v/>
      </c>
      <c r="AI983" s="32">
        <f>IF(OR($C983="",$AE983="",$AE983=1),"",IFERROR(INDEX($AC$6:$AC$1505,MATCH($C983&amp;"|"&amp;$A983&amp;"|"&amp;($AE983-1),$AH$6:$AH$1505,0)),""))</f>
        <v/>
      </c>
      <c r="AJ983" s="32">
        <f>IF(OR($AI983="",$AC983=""),"",IF($AI983=$AC983,"ללא שינוי","מ-"&amp;$AI983&amp;" ל-"&amp;$AC983))</f>
        <v/>
      </c>
      <c r="AK983" s="67" t="n"/>
    </row>
    <row r="984" ht="15.75" customHeight="1" s="58">
      <c r="A984" s="65" t="n"/>
      <c r="B984" s="65" t="n"/>
      <c r="C984" s="66" t="n"/>
      <c r="D984" s="66" t="n"/>
      <c r="E984" s="65" t="n"/>
      <c r="F984" s="65" t="n"/>
      <c r="G984" s="65" t="n"/>
      <c r="H984" s="65" t="n"/>
      <c r="I984" s="65" t="n"/>
      <c r="J984" s="65" t="n"/>
      <c r="K984" s="65" t="n"/>
      <c r="L984" s="65" t="n"/>
      <c r="M984" s="65" t="n"/>
      <c r="N984" s="65" t="n"/>
      <c r="O984" s="65" t="n"/>
      <c r="P984" s="65" t="n"/>
      <c r="Q984" s="65" t="n"/>
      <c r="R984" s="65" t="n"/>
      <c r="S984" s="65" t="n"/>
      <c r="T984" s="65" t="n"/>
      <c r="U984" s="65" t="n"/>
      <c r="V984" s="65" t="n"/>
      <c r="W984" s="65" t="n"/>
      <c r="X984" s="65" t="n"/>
      <c r="Y984" s="32">
        <f>IF($C984="","",IF(COUNTA($I984:$K984)&lt;3,"— חסרים נתונים",IF(AND($I984="תקין",$J984="תקין",$K984="תקין"),"רהוטה",IF(AND($I984="תקין",$J984="תקין"),"מדויקת ורציפה","אינה מדויקת או מקוטעת"))))</f>
        <v/>
      </c>
      <c r="Z984" s="32">
        <f>IF($C984="","",IF(COUNTA($U984:$W984)&lt;3,"",IF(AND($U984="מפותח",$V984="מפותח",$W984="מפותחת"),"מפותחת",IF((--($U984="דל"))+(--($V984="אינו מפותח"))+(--($W984="דלה"))&gt;=2,"אינה מפותחת","חלקית"))))</f>
        <v/>
      </c>
      <c r="AA984" s="32">
        <f>IF($C984="","",IF(COUNTA($M984,$N984,$O984)&lt;3,"— חסרים נתונים",IF(OR($M984="נמוכה",(--($M984&lt;&gt;"תקינה"))+(--($N984&lt;&gt;"תקין"))+(--($O984&lt;&gt;"תקינה"))&gt;=2),"ניכרת","אינה ניכרת")))</f>
        <v/>
      </c>
      <c r="AB984" s="32">
        <f>IF(OR($C984="",$Y984="",$AA984="",LEFT($Y984,1)="—",LEFT($AA984,1)="—"),"",IF($Z984="","— נדרשת הערכת כתיבה",IF($L984="","— חסרה הבנת הנקרא",IF($Y984="אינה מדויקת או מקוטעת",IF($AA984="ניכרת","מיקוד בשטף הקריאה ובכישורי שפה","מיקוד בשטף קריאה"),IF($AA984="ניכרת","מיקוד בכישורי שפה",IF(AND($L984="תקינה",$Z984="מפותחת"),"קוראים וכותבים מיומנים","מיקוד בהבנה והבעה"))))))</f>
        <v/>
      </c>
      <c r="AC984" s="32">
        <f>IF(OR($AB984="",LEFT($AB984,1)="—"),"",IF(OR($AB984="מיקוד בשטף קריאה",$AB984="מיקוד בשטף הקריאה ובכישורי שפה"),"רמה א'",IF($AB984="קוראים וכותבים מיומנים","רמה ג'","רמה ב'")))</f>
        <v/>
      </c>
      <c r="AD984" s="32">
        <f>IF($AC984="","",MID(IF(AND($AC984="רמה א'",$AA984="ניכרת"),"; להוסיף עבודת אוצר מילים","")&amp;IF($Z984="אינה מפותחת","; דגש על הבעה בכתב","")&amp;IF($K984&lt;&gt;"תקין","; נדרש לעבוד על ההנגנה","")&amp;IF($AK984&lt;&gt;"","; "&amp;$AK984,""),3,400))</f>
        <v/>
      </c>
      <c r="AE984" s="32">
        <f>IF($F984="","",IF($F984="תחילת שנה",1,IF($F984="מחצית שנה",2,3)))</f>
        <v/>
      </c>
      <c r="AF984" s="32">
        <f>IF(OR($B984="",$AC984="",$A984="",$F984=""),"",$B984&amp;"|"&amp;$A984&amp;"|"&amp;$F984&amp;"|"&amp;$AC984&amp;"|"&amp;COUNTIFS($B$6:$B984,$B984,$A$6:$A984,$A984,$F$6:$F984,$F984,$AC$6:$AC984,$AC984))</f>
        <v/>
      </c>
      <c r="AG984" s="32">
        <f>IF($C984="","",$C984&amp;"|"&amp;COUNTIFS($C$6:$C984,$C984))</f>
        <v/>
      </c>
      <c r="AH984" s="32">
        <f>IF(OR($C984="",$A984="",$AE984=""),"",$C984&amp;"|"&amp;$A984&amp;"|"&amp;$AE984)</f>
        <v/>
      </c>
      <c r="AI984" s="32">
        <f>IF(OR($C984="",$AE984="",$AE984=1),"",IFERROR(INDEX($AC$6:$AC$1505,MATCH($C984&amp;"|"&amp;$A984&amp;"|"&amp;($AE984-1),$AH$6:$AH$1505,0)),""))</f>
        <v/>
      </c>
      <c r="AJ984" s="32">
        <f>IF(OR($AI984="",$AC984=""),"",IF($AI984=$AC984,"ללא שינוי","מ-"&amp;$AI984&amp;" ל-"&amp;$AC984))</f>
        <v/>
      </c>
      <c r="AK984" s="67" t="n"/>
    </row>
    <row r="985" ht="15.75" customHeight="1" s="58">
      <c r="A985" s="65" t="n"/>
      <c r="B985" s="65" t="n"/>
      <c r="C985" s="66" t="n"/>
      <c r="D985" s="66" t="n"/>
      <c r="E985" s="65" t="n"/>
      <c r="F985" s="65" t="n"/>
      <c r="G985" s="65" t="n"/>
      <c r="H985" s="65" t="n"/>
      <c r="I985" s="65" t="n"/>
      <c r="J985" s="65" t="n"/>
      <c r="K985" s="65" t="n"/>
      <c r="L985" s="65" t="n"/>
      <c r="M985" s="65" t="n"/>
      <c r="N985" s="65" t="n"/>
      <c r="O985" s="65" t="n"/>
      <c r="P985" s="65" t="n"/>
      <c r="Q985" s="65" t="n"/>
      <c r="R985" s="65" t="n"/>
      <c r="S985" s="65" t="n"/>
      <c r="T985" s="65" t="n"/>
      <c r="U985" s="65" t="n"/>
      <c r="V985" s="65" t="n"/>
      <c r="W985" s="65" t="n"/>
      <c r="X985" s="65" t="n"/>
      <c r="Y985" s="32">
        <f>IF($C985="","",IF(COUNTA($I985:$K985)&lt;3,"— חסרים נתונים",IF(AND($I985="תקין",$J985="תקין",$K985="תקין"),"רהוטה",IF(AND($I985="תקין",$J985="תקין"),"מדויקת ורציפה","אינה מדויקת או מקוטעת"))))</f>
        <v/>
      </c>
      <c r="Z985" s="32">
        <f>IF($C985="","",IF(COUNTA($U985:$W985)&lt;3,"",IF(AND($U985="מפותח",$V985="מפותח",$W985="מפותחת"),"מפותחת",IF((--($U985="דל"))+(--($V985="אינו מפותח"))+(--($W985="דלה"))&gt;=2,"אינה מפותחת","חלקית"))))</f>
        <v/>
      </c>
      <c r="AA985" s="32">
        <f>IF($C985="","",IF(COUNTA($M985,$N985,$O985)&lt;3,"— חסרים נתונים",IF(OR($M985="נמוכה",(--($M985&lt;&gt;"תקינה"))+(--($N985&lt;&gt;"תקין"))+(--($O985&lt;&gt;"תקינה"))&gt;=2),"ניכרת","אינה ניכרת")))</f>
        <v/>
      </c>
      <c r="AB985" s="32">
        <f>IF(OR($C985="",$Y985="",$AA985="",LEFT($Y985,1)="—",LEFT($AA985,1)="—"),"",IF($Z985="","— נדרשת הערכת כתיבה",IF($L985="","— חסרה הבנת הנקרא",IF($Y985="אינה מדויקת או מקוטעת",IF($AA985="ניכרת","מיקוד בשטף הקריאה ובכישורי שפה","מיקוד בשטף קריאה"),IF($AA985="ניכרת","מיקוד בכישורי שפה",IF(AND($L985="תקינה",$Z985="מפותחת"),"קוראים וכותבים מיומנים","מיקוד בהבנה והבעה"))))))</f>
        <v/>
      </c>
      <c r="AC985" s="32">
        <f>IF(OR($AB985="",LEFT($AB985,1)="—"),"",IF(OR($AB985="מיקוד בשטף קריאה",$AB985="מיקוד בשטף הקריאה ובכישורי שפה"),"רמה א'",IF($AB985="קוראים וכותבים מיומנים","רמה ג'","רמה ב'")))</f>
        <v/>
      </c>
      <c r="AD985" s="32">
        <f>IF($AC985="","",MID(IF(AND($AC985="רמה א'",$AA985="ניכרת"),"; להוסיף עבודת אוצר מילים","")&amp;IF($Z985="אינה מפותחת","; דגש על הבעה בכתב","")&amp;IF($K985&lt;&gt;"תקין","; נדרש לעבוד על ההנגנה","")&amp;IF($AK985&lt;&gt;"","; "&amp;$AK985,""),3,400))</f>
        <v/>
      </c>
      <c r="AE985" s="32">
        <f>IF($F985="","",IF($F985="תחילת שנה",1,IF($F985="מחצית שנה",2,3)))</f>
        <v/>
      </c>
      <c r="AF985" s="32">
        <f>IF(OR($B985="",$AC985="",$A985="",$F985=""),"",$B985&amp;"|"&amp;$A985&amp;"|"&amp;$F985&amp;"|"&amp;$AC985&amp;"|"&amp;COUNTIFS($B$6:$B985,$B985,$A$6:$A985,$A985,$F$6:$F985,$F985,$AC$6:$AC985,$AC985))</f>
        <v/>
      </c>
      <c r="AG985" s="32">
        <f>IF($C985="","",$C985&amp;"|"&amp;COUNTIFS($C$6:$C985,$C985))</f>
        <v/>
      </c>
      <c r="AH985" s="32">
        <f>IF(OR($C985="",$A985="",$AE985=""),"",$C985&amp;"|"&amp;$A985&amp;"|"&amp;$AE985)</f>
        <v/>
      </c>
      <c r="AI985" s="32">
        <f>IF(OR($C985="",$AE985="",$AE985=1),"",IFERROR(INDEX($AC$6:$AC$1505,MATCH($C985&amp;"|"&amp;$A985&amp;"|"&amp;($AE985-1),$AH$6:$AH$1505,0)),""))</f>
        <v/>
      </c>
      <c r="AJ985" s="32">
        <f>IF(OR($AI985="",$AC985=""),"",IF($AI985=$AC985,"ללא שינוי","מ-"&amp;$AI985&amp;" ל-"&amp;$AC985))</f>
        <v/>
      </c>
      <c r="AK985" s="67" t="n"/>
    </row>
    <row r="986" ht="15.75" customHeight="1" s="58">
      <c r="A986" s="65" t="n"/>
      <c r="B986" s="65" t="n"/>
      <c r="C986" s="66" t="n"/>
      <c r="D986" s="66" t="n"/>
      <c r="E986" s="65" t="n"/>
      <c r="F986" s="65" t="n"/>
      <c r="G986" s="65" t="n"/>
      <c r="H986" s="65" t="n"/>
      <c r="I986" s="65" t="n"/>
      <c r="J986" s="65" t="n"/>
      <c r="K986" s="65" t="n"/>
      <c r="L986" s="65" t="n"/>
      <c r="M986" s="65" t="n"/>
      <c r="N986" s="65" t="n"/>
      <c r="O986" s="65" t="n"/>
      <c r="P986" s="65" t="n"/>
      <c r="Q986" s="65" t="n"/>
      <c r="R986" s="65" t="n"/>
      <c r="S986" s="65" t="n"/>
      <c r="T986" s="65" t="n"/>
      <c r="U986" s="65" t="n"/>
      <c r="V986" s="65" t="n"/>
      <c r="W986" s="65" t="n"/>
      <c r="X986" s="65" t="n"/>
      <c r="Y986" s="32">
        <f>IF($C986="","",IF(COUNTA($I986:$K986)&lt;3,"— חסרים נתונים",IF(AND($I986="תקין",$J986="תקין",$K986="תקין"),"רהוטה",IF(AND($I986="תקין",$J986="תקין"),"מדויקת ורציפה","אינה מדויקת או מקוטעת"))))</f>
        <v/>
      </c>
      <c r="Z986" s="32">
        <f>IF($C986="","",IF(COUNTA($U986:$W986)&lt;3,"",IF(AND($U986="מפותח",$V986="מפותח",$W986="מפותחת"),"מפותחת",IF((--($U986="דל"))+(--($V986="אינו מפותח"))+(--($W986="דלה"))&gt;=2,"אינה מפותחת","חלקית"))))</f>
        <v/>
      </c>
      <c r="AA986" s="32">
        <f>IF($C986="","",IF(COUNTA($M986,$N986,$O986)&lt;3,"— חסרים נתונים",IF(OR($M986="נמוכה",(--($M986&lt;&gt;"תקינה"))+(--($N986&lt;&gt;"תקין"))+(--($O986&lt;&gt;"תקינה"))&gt;=2),"ניכרת","אינה ניכרת")))</f>
        <v/>
      </c>
      <c r="AB986" s="32">
        <f>IF(OR($C986="",$Y986="",$AA986="",LEFT($Y986,1)="—",LEFT($AA986,1)="—"),"",IF($Z986="","— נדרשת הערכת כתיבה",IF($L986="","— חסרה הבנת הנקרא",IF($Y986="אינה מדויקת או מקוטעת",IF($AA986="ניכרת","מיקוד בשטף הקריאה ובכישורי שפה","מיקוד בשטף קריאה"),IF($AA986="ניכרת","מיקוד בכישורי שפה",IF(AND($L986="תקינה",$Z986="מפותחת"),"קוראים וכותבים מיומנים","מיקוד בהבנה והבעה"))))))</f>
        <v/>
      </c>
      <c r="AC986" s="32">
        <f>IF(OR($AB986="",LEFT($AB986,1)="—"),"",IF(OR($AB986="מיקוד בשטף קריאה",$AB986="מיקוד בשטף הקריאה ובכישורי שפה"),"רמה א'",IF($AB986="קוראים וכותבים מיומנים","רמה ג'","רמה ב'")))</f>
        <v/>
      </c>
      <c r="AD986" s="32">
        <f>IF($AC986="","",MID(IF(AND($AC986="רמה א'",$AA986="ניכרת"),"; להוסיף עבודת אוצר מילים","")&amp;IF($Z986="אינה מפותחת","; דגש על הבעה בכתב","")&amp;IF($K986&lt;&gt;"תקין","; נדרש לעבוד על ההנגנה","")&amp;IF($AK986&lt;&gt;"","; "&amp;$AK986,""),3,400))</f>
        <v/>
      </c>
      <c r="AE986" s="32">
        <f>IF($F986="","",IF($F986="תחילת שנה",1,IF($F986="מחצית שנה",2,3)))</f>
        <v/>
      </c>
      <c r="AF986" s="32">
        <f>IF(OR($B986="",$AC986="",$A986="",$F986=""),"",$B986&amp;"|"&amp;$A986&amp;"|"&amp;$F986&amp;"|"&amp;$AC986&amp;"|"&amp;COUNTIFS($B$6:$B986,$B986,$A$6:$A986,$A986,$F$6:$F986,$F986,$AC$6:$AC986,$AC986))</f>
        <v/>
      </c>
      <c r="AG986" s="32">
        <f>IF($C986="","",$C986&amp;"|"&amp;COUNTIFS($C$6:$C986,$C986))</f>
        <v/>
      </c>
      <c r="AH986" s="32">
        <f>IF(OR($C986="",$A986="",$AE986=""),"",$C986&amp;"|"&amp;$A986&amp;"|"&amp;$AE986)</f>
        <v/>
      </c>
      <c r="AI986" s="32">
        <f>IF(OR($C986="",$AE986="",$AE986=1),"",IFERROR(INDEX($AC$6:$AC$1505,MATCH($C986&amp;"|"&amp;$A986&amp;"|"&amp;($AE986-1),$AH$6:$AH$1505,0)),""))</f>
        <v/>
      </c>
      <c r="AJ986" s="32">
        <f>IF(OR($AI986="",$AC986=""),"",IF($AI986=$AC986,"ללא שינוי","מ-"&amp;$AI986&amp;" ל-"&amp;$AC986))</f>
        <v/>
      </c>
      <c r="AK986" s="67" t="n"/>
    </row>
    <row r="987" ht="15.75" customHeight="1" s="58">
      <c r="A987" s="65" t="n"/>
      <c r="B987" s="65" t="n"/>
      <c r="C987" s="66" t="n"/>
      <c r="D987" s="66" t="n"/>
      <c r="E987" s="65" t="n"/>
      <c r="F987" s="65" t="n"/>
      <c r="G987" s="65" t="n"/>
      <c r="H987" s="65" t="n"/>
      <c r="I987" s="65" t="n"/>
      <c r="J987" s="65" t="n"/>
      <c r="K987" s="65" t="n"/>
      <c r="L987" s="65" t="n"/>
      <c r="M987" s="65" t="n"/>
      <c r="N987" s="65" t="n"/>
      <c r="O987" s="65" t="n"/>
      <c r="P987" s="65" t="n"/>
      <c r="Q987" s="65" t="n"/>
      <c r="R987" s="65" t="n"/>
      <c r="S987" s="65" t="n"/>
      <c r="T987" s="65" t="n"/>
      <c r="U987" s="65" t="n"/>
      <c r="V987" s="65" t="n"/>
      <c r="W987" s="65" t="n"/>
      <c r="X987" s="65" t="n"/>
      <c r="Y987" s="32">
        <f>IF($C987="","",IF(COUNTA($I987:$K987)&lt;3,"— חסרים נתונים",IF(AND($I987="תקין",$J987="תקין",$K987="תקין"),"רהוטה",IF(AND($I987="תקין",$J987="תקין"),"מדויקת ורציפה","אינה מדויקת או מקוטעת"))))</f>
        <v/>
      </c>
      <c r="Z987" s="32">
        <f>IF($C987="","",IF(COUNTA($U987:$W987)&lt;3,"",IF(AND($U987="מפותח",$V987="מפותח",$W987="מפותחת"),"מפותחת",IF((--($U987="דל"))+(--($V987="אינו מפותח"))+(--($W987="דלה"))&gt;=2,"אינה מפותחת","חלקית"))))</f>
        <v/>
      </c>
      <c r="AA987" s="32">
        <f>IF($C987="","",IF(COUNTA($M987,$N987,$O987)&lt;3,"— חסרים נתונים",IF(OR($M987="נמוכה",(--($M987&lt;&gt;"תקינה"))+(--($N987&lt;&gt;"תקין"))+(--($O987&lt;&gt;"תקינה"))&gt;=2),"ניכרת","אינה ניכרת")))</f>
        <v/>
      </c>
      <c r="AB987" s="32">
        <f>IF(OR($C987="",$Y987="",$AA987="",LEFT($Y987,1)="—",LEFT($AA987,1)="—"),"",IF($Z987="","— נדרשת הערכת כתיבה",IF($L987="","— חסרה הבנת הנקרא",IF($Y987="אינה מדויקת או מקוטעת",IF($AA987="ניכרת","מיקוד בשטף הקריאה ובכישורי שפה","מיקוד בשטף קריאה"),IF($AA987="ניכרת","מיקוד בכישורי שפה",IF(AND($L987="תקינה",$Z987="מפותחת"),"קוראים וכותבים מיומנים","מיקוד בהבנה והבעה"))))))</f>
        <v/>
      </c>
      <c r="AC987" s="32">
        <f>IF(OR($AB987="",LEFT($AB987,1)="—"),"",IF(OR($AB987="מיקוד בשטף קריאה",$AB987="מיקוד בשטף הקריאה ובכישורי שפה"),"רמה א'",IF($AB987="קוראים וכותבים מיומנים","רמה ג'","רמה ב'")))</f>
        <v/>
      </c>
      <c r="AD987" s="32">
        <f>IF($AC987="","",MID(IF(AND($AC987="רמה א'",$AA987="ניכרת"),"; להוסיף עבודת אוצר מילים","")&amp;IF($Z987="אינה מפותחת","; דגש על הבעה בכתב","")&amp;IF($K987&lt;&gt;"תקין","; נדרש לעבוד על ההנגנה","")&amp;IF($AK987&lt;&gt;"","; "&amp;$AK987,""),3,400))</f>
        <v/>
      </c>
      <c r="AE987" s="32">
        <f>IF($F987="","",IF($F987="תחילת שנה",1,IF($F987="מחצית שנה",2,3)))</f>
        <v/>
      </c>
      <c r="AF987" s="32">
        <f>IF(OR($B987="",$AC987="",$A987="",$F987=""),"",$B987&amp;"|"&amp;$A987&amp;"|"&amp;$F987&amp;"|"&amp;$AC987&amp;"|"&amp;COUNTIFS($B$6:$B987,$B987,$A$6:$A987,$A987,$F$6:$F987,$F987,$AC$6:$AC987,$AC987))</f>
        <v/>
      </c>
      <c r="AG987" s="32">
        <f>IF($C987="","",$C987&amp;"|"&amp;COUNTIFS($C$6:$C987,$C987))</f>
        <v/>
      </c>
      <c r="AH987" s="32">
        <f>IF(OR($C987="",$A987="",$AE987=""),"",$C987&amp;"|"&amp;$A987&amp;"|"&amp;$AE987)</f>
        <v/>
      </c>
      <c r="AI987" s="32">
        <f>IF(OR($C987="",$AE987="",$AE987=1),"",IFERROR(INDEX($AC$6:$AC$1505,MATCH($C987&amp;"|"&amp;$A987&amp;"|"&amp;($AE987-1),$AH$6:$AH$1505,0)),""))</f>
        <v/>
      </c>
      <c r="AJ987" s="32">
        <f>IF(OR($AI987="",$AC987=""),"",IF($AI987=$AC987,"ללא שינוי","מ-"&amp;$AI987&amp;" ל-"&amp;$AC987))</f>
        <v/>
      </c>
      <c r="AK987" s="67" t="n"/>
    </row>
    <row r="988" ht="15.75" customHeight="1" s="58">
      <c r="A988" s="65" t="n"/>
      <c r="B988" s="65" t="n"/>
      <c r="C988" s="66" t="n"/>
      <c r="D988" s="66" t="n"/>
      <c r="E988" s="65" t="n"/>
      <c r="F988" s="65" t="n"/>
      <c r="G988" s="65" t="n"/>
      <c r="H988" s="65" t="n"/>
      <c r="I988" s="65" t="n"/>
      <c r="J988" s="65" t="n"/>
      <c r="K988" s="65" t="n"/>
      <c r="L988" s="65" t="n"/>
      <c r="M988" s="65" t="n"/>
      <c r="N988" s="65" t="n"/>
      <c r="O988" s="65" t="n"/>
      <c r="P988" s="65" t="n"/>
      <c r="Q988" s="65" t="n"/>
      <c r="R988" s="65" t="n"/>
      <c r="S988" s="65" t="n"/>
      <c r="T988" s="65" t="n"/>
      <c r="U988" s="65" t="n"/>
      <c r="V988" s="65" t="n"/>
      <c r="W988" s="65" t="n"/>
      <c r="X988" s="65" t="n"/>
      <c r="Y988" s="32">
        <f>IF($C988="","",IF(COUNTA($I988:$K988)&lt;3,"— חסרים נתונים",IF(AND($I988="תקין",$J988="תקין",$K988="תקין"),"רהוטה",IF(AND($I988="תקין",$J988="תקין"),"מדויקת ורציפה","אינה מדויקת או מקוטעת"))))</f>
        <v/>
      </c>
      <c r="Z988" s="32">
        <f>IF($C988="","",IF(COUNTA($U988:$W988)&lt;3,"",IF(AND($U988="מפותח",$V988="מפותח",$W988="מפותחת"),"מפותחת",IF((--($U988="דל"))+(--($V988="אינו מפותח"))+(--($W988="דלה"))&gt;=2,"אינה מפותחת","חלקית"))))</f>
        <v/>
      </c>
      <c r="AA988" s="32">
        <f>IF($C988="","",IF(COUNTA($M988,$N988,$O988)&lt;3,"— חסרים נתונים",IF(OR($M988="נמוכה",(--($M988&lt;&gt;"תקינה"))+(--($N988&lt;&gt;"תקין"))+(--($O988&lt;&gt;"תקינה"))&gt;=2),"ניכרת","אינה ניכרת")))</f>
        <v/>
      </c>
      <c r="AB988" s="32">
        <f>IF(OR($C988="",$Y988="",$AA988="",LEFT($Y988,1)="—",LEFT($AA988,1)="—"),"",IF($Z988="","— נדרשת הערכת כתיבה",IF($L988="","— חסרה הבנת הנקרא",IF($Y988="אינה מדויקת או מקוטעת",IF($AA988="ניכרת","מיקוד בשטף הקריאה ובכישורי שפה","מיקוד בשטף קריאה"),IF($AA988="ניכרת","מיקוד בכישורי שפה",IF(AND($L988="תקינה",$Z988="מפותחת"),"קוראים וכותבים מיומנים","מיקוד בהבנה והבעה"))))))</f>
        <v/>
      </c>
      <c r="AC988" s="32">
        <f>IF(OR($AB988="",LEFT($AB988,1)="—"),"",IF(OR($AB988="מיקוד בשטף קריאה",$AB988="מיקוד בשטף הקריאה ובכישורי שפה"),"רמה א'",IF($AB988="קוראים וכותבים מיומנים","רמה ג'","רמה ב'")))</f>
        <v/>
      </c>
      <c r="AD988" s="32">
        <f>IF($AC988="","",MID(IF(AND($AC988="רמה א'",$AA988="ניכרת"),"; להוסיף עבודת אוצר מילים","")&amp;IF($Z988="אינה מפותחת","; דגש על הבעה בכתב","")&amp;IF($K988&lt;&gt;"תקין","; נדרש לעבוד על ההנגנה","")&amp;IF($AK988&lt;&gt;"","; "&amp;$AK988,""),3,400))</f>
        <v/>
      </c>
      <c r="AE988" s="32">
        <f>IF($F988="","",IF($F988="תחילת שנה",1,IF($F988="מחצית שנה",2,3)))</f>
        <v/>
      </c>
      <c r="AF988" s="32">
        <f>IF(OR($B988="",$AC988="",$A988="",$F988=""),"",$B988&amp;"|"&amp;$A988&amp;"|"&amp;$F988&amp;"|"&amp;$AC988&amp;"|"&amp;COUNTIFS($B$6:$B988,$B988,$A$6:$A988,$A988,$F$6:$F988,$F988,$AC$6:$AC988,$AC988))</f>
        <v/>
      </c>
      <c r="AG988" s="32">
        <f>IF($C988="","",$C988&amp;"|"&amp;COUNTIFS($C$6:$C988,$C988))</f>
        <v/>
      </c>
      <c r="AH988" s="32">
        <f>IF(OR($C988="",$A988="",$AE988=""),"",$C988&amp;"|"&amp;$A988&amp;"|"&amp;$AE988)</f>
        <v/>
      </c>
      <c r="AI988" s="32">
        <f>IF(OR($C988="",$AE988="",$AE988=1),"",IFERROR(INDEX($AC$6:$AC$1505,MATCH($C988&amp;"|"&amp;$A988&amp;"|"&amp;($AE988-1),$AH$6:$AH$1505,0)),""))</f>
        <v/>
      </c>
      <c r="AJ988" s="32">
        <f>IF(OR($AI988="",$AC988=""),"",IF($AI988=$AC988,"ללא שינוי","מ-"&amp;$AI988&amp;" ל-"&amp;$AC988))</f>
        <v/>
      </c>
      <c r="AK988" s="67" t="n"/>
    </row>
    <row r="989" ht="15.75" customHeight="1" s="58">
      <c r="A989" s="65" t="n"/>
      <c r="B989" s="65" t="n"/>
      <c r="C989" s="66" t="n"/>
      <c r="D989" s="66" t="n"/>
      <c r="E989" s="65" t="n"/>
      <c r="F989" s="65" t="n"/>
      <c r="G989" s="65" t="n"/>
      <c r="H989" s="65" t="n"/>
      <c r="I989" s="65" t="n"/>
      <c r="J989" s="65" t="n"/>
      <c r="K989" s="65" t="n"/>
      <c r="L989" s="65" t="n"/>
      <c r="M989" s="65" t="n"/>
      <c r="N989" s="65" t="n"/>
      <c r="O989" s="65" t="n"/>
      <c r="P989" s="65" t="n"/>
      <c r="Q989" s="65" t="n"/>
      <c r="R989" s="65" t="n"/>
      <c r="S989" s="65" t="n"/>
      <c r="T989" s="65" t="n"/>
      <c r="U989" s="65" t="n"/>
      <c r="V989" s="65" t="n"/>
      <c r="W989" s="65" t="n"/>
      <c r="X989" s="65" t="n"/>
      <c r="Y989" s="32">
        <f>IF($C989="","",IF(COUNTA($I989:$K989)&lt;3,"— חסרים נתונים",IF(AND($I989="תקין",$J989="תקין",$K989="תקין"),"רהוטה",IF(AND($I989="תקין",$J989="תקין"),"מדויקת ורציפה","אינה מדויקת או מקוטעת"))))</f>
        <v/>
      </c>
      <c r="Z989" s="32">
        <f>IF($C989="","",IF(COUNTA($U989:$W989)&lt;3,"",IF(AND($U989="מפותח",$V989="מפותח",$W989="מפותחת"),"מפותחת",IF((--($U989="דל"))+(--($V989="אינו מפותח"))+(--($W989="דלה"))&gt;=2,"אינה מפותחת","חלקית"))))</f>
        <v/>
      </c>
      <c r="AA989" s="32">
        <f>IF($C989="","",IF(COUNTA($M989,$N989,$O989)&lt;3,"— חסרים נתונים",IF(OR($M989="נמוכה",(--($M989&lt;&gt;"תקינה"))+(--($N989&lt;&gt;"תקין"))+(--($O989&lt;&gt;"תקינה"))&gt;=2),"ניכרת","אינה ניכרת")))</f>
        <v/>
      </c>
      <c r="AB989" s="32">
        <f>IF(OR($C989="",$Y989="",$AA989="",LEFT($Y989,1)="—",LEFT($AA989,1)="—"),"",IF($Z989="","— נדרשת הערכת כתיבה",IF($L989="","— חסרה הבנת הנקרא",IF($Y989="אינה מדויקת או מקוטעת",IF($AA989="ניכרת","מיקוד בשטף הקריאה ובכישורי שפה","מיקוד בשטף קריאה"),IF($AA989="ניכרת","מיקוד בכישורי שפה",IF(AND($L989="תקינה",$Z989="מפותחת"),"קוראים וכותבים מיומנים","מיקוד בהבנה והבעה"))))))</f>
        <v/>
      </c>
      <c r="AC989" s="32">
        <f>IF(OR($AB989="",LEFT($AB989,1)="—"),"",IF(OR($AB989="מיקוד בשטף קריאה",$AB989="מיקוד בשטף הקריאה ובכישורי שפה"),"רמה א'",IF($AB989="קוראים וכותבים מיומנים","רמה ג'","רמה ב'")))</f>
        <v/>
      </c>
      <c r="AD989" s="32">
        <f>IF($AC989="","",MID(IF(AND($AC989="רמה א'",$AA989="ניכרת"),"; להוסיף עבודת אוצר מילים","")&amp;IF($Z989="אינה מפותחת","; דגש על הבעה בכתב","")&amp;IF($K989&lt;&gt;"תקין","; נדרש לעבוד על ההנגנה","")&amp;IF($AK989&lt;&gt;"","; "&amp;$AK989,""),3,400))</f>
        <v/>
      </c>
      <c r="AE989" s="32">
        <f>IF($F989="","",IF($F989="תחילת שנה",1,IF($F989="מחצית שנה",2,3)))</f>
        <v/>
      </c>
      <c r="AF989" s="32">
        <f>IF(OR($B989="",$AC989="",$A989="",$F989=""),"",$B989&amp;"|"&amp;$A989&amp;"|"&amp;$F989&amp;"|"&amp;$AC989&amp;"|"&amp;COUNTIFS($B$6:$B989,$B989,$A$6:$A989,$A989,$F$6:$F989,$F989,$AC$6:$AC989,$AC989))</f>
        <v/>
      </c>
      <c r="AG989" s="32">
        <f>IF($C989="","",$C989&amp;"|"&amp;COUNTIFS($C$6:$C989,$C989))</f>
        <v/>
      </c>
      <c r="AH989" s="32">
        <f>IF(OR($C989="",$A989="",$AE989=""),"",$C989&amp;"|"&amp;$A989&amp;"|"&amp;$AE989)</f>
        <v/>
      </c>
      <c r="AI989" s="32">
        <f>IF(OR($C989="",$AE989="",$AE989=1),"",IFERROR(INDEX($AC$6:$AC$1505,MATCH($C989&amp;"|"&amp;$A989&amp;"|"&amp;($AE989-1),$AH$6:$AH$1505,0)),""))</f>
        <v/>
      </c>
      <c r="AJ989" s="32">
        <f>IF(OR($AI989="",$AC989=""),"",IF($AI989=$AC989,"ללא שינוי","מ-"&amp;$AI989&amp;" ל-"&amp;$AC989))</f>
        <v/>
      </c>
      <c r="AK989" s="67" t="n"/>
    </row>
    <row r="990" ht="15.75" customHeight="1" s="58">
      <c r="A990" s="65" t="n"/>
      <c r="B990" s="65" t="n"/>
      <c r="C990" s="66" t="n"/>
      <c r="D990" s="66" t="n"/>
      <c r="E990" s="65" t="n"/>
      <c r="F990" s="65" t="n"/>
      <c r="G990" s="65" t="n"/>
      <c r="H990" s="65" t="n"/>
      <c r="I990" s="65" t="n"/>
      <c r="J990" s="65" t="n"/>
      <c r="K990" s="65" t="n"/>
      <c r="L990" s="65" t="n"/>
      <c r="M990" s="65" t="n"/>
      <c r="N990" s="65" t="n"/>
      <c r="O990" s="65" t="n"/>
      <c r="P990" s="65" t="n"/>
      <c r="Q990" s="65" t="n"/>
      <c r="R990" s="65" t="n"/>
      <c r="S990" s="65" t="n"/>
      <c r="T990" s="65" t="n"/>
      <c r="U990" s="65" t="n"/>
      <c r="V990" s="65" t="n"/>
      <c r="W990" s="65" t="n"/>
      <c r="X990" s="65" t="n"/>
      <c r="Y990" s="32">
        <f>IF($C990="","",IF(COUNTA($I990:$K990)&lt;3,"— חסרים נתונים",IF(AND($I990="תקין",$J990="תקין",$K990="תקין"),"רהוטה",IF(AND($I990="תקין",$J990="תקין"),"מדויקת ורציפה","אינה מדויקת או מקוטעת"))))</f>
        <v/>
      </c>
      <c r="Z990" s="32">
        <f>IF($C990="","",IF(COUNTA($U990:$W990)&lt;3,"",IF(AND($U990="מפותח",$V990="מפותח",$W990="מפותחת"),"מפותחת",IF((--($U990="דל"))+(--($V990="אינו מפותח"))+(--($W990="דלה"))&gt;=2,"אינה מפותחת","חלקית"))))</f>
        <v/>
      </c>
      <c r="AA990" s="32">
        <f>IF($C990="","",IF(COUNTA($M990,$N990,$O990)&lt;3,"— חסרים נתונים",IF(OR($M990="נמוכה",(--($M990&lt;&gt;"תקינה"))+(--($N990&lt;&gt;"תקין"))+(--($O990&lt;&gt;"תקינה"))&gt;=2),"ניכרת","אינה ניכרת")))</f>
        <v/>
      </c>
      <c r="AB990" s="32">
        <f>IF(OR($C990="",$Y990="",$AA990="",LEFT($Y990,1)="—",LEFT($AA990,1)="—"),"",IF($Z990="","— נדרשת הערכת כתיבה",IF($L990="","— חסרה הבנת הנקרא",IF($Y990="אינה מדויקת או מקוטעת",IF($AA990="ניכרת","מיקוד בשטף הקריאה ובכישורי שפה","מיקוד בשטף קריאה"),IF($AA990="ניכרת","מיקוד בכישורי שפה",IF(AND($L990="תקינה",$Z990="מפותחת"),"קוראים וכותבים מיומנים","מיקוד בהבנה והבעה"))))))</f>
        <v/>
      </c>
      <c r="AC990" s="32">
        <f>IF(OR($AB990="",LEFT($AB990,1)="—"),"",IF(OR($AB990="מיקוד בשטף קריאה",$AB990="מיקוד בשטף הקריאה ובכישורי שפה"),"רמה א'",IF($AB990="קוראים וכותבים מיומנים","רמה ג'","רמה ב'")))</f>
        <v/>
      </c>
      <c r="AD990" s="32">
        <f>IF($AC990="","",MID(IF(AND($AC990="רמה א'",$AA990="ניכרת"),"; להוסיף עבודת אוצר מילים","")&amp;IF($Z990="אינה מפותחת","; דגש על הבעה בכתב","")&amp;IF($K990&lt;&gt;"תקין","; נדרש לעבוד על ההנגנה","")&amp;IF($AK990&lt;&gt;"","; "&amp;$AK990,""),3,400))</f>
        <v/>
      </c>
      <c r="AE990" s="32">
        <f>IF($F990="","",IF($F990="תחילת שנה",1,IF($F990="מחצית שנה",2,3)))</f>
        <v/>
      </c>
      <c r="AF990" s="32">
        <f>IF(OR($B990="",$AC990="",$A990="",$F990=""),"",$B990&amp;"|"&amp;$A990&amp;"|"&amp;$F990&amp;"|"&amp;$AC990&amp;"|"&amp;COUNTIFS($B$6:$B990,$B990,$A$6:$A990,$A990,$F$6:$F990,$F990,$AC$6:$AC990,$AC990))</f>
        <v/>
      </c>
      <c r="AG990" s="32">
        <f>IF($C990="","",$C990&amp;"|"&amp;COUNTIFS($C$6:$C990,$C990))</f>
        <v/>
      </c>
      <c r="AH990" s="32">
        <f>IF(OR($C990="",$A990="",$AE990=""),"",$C990&amp;"|"&amp;$A990&amp;"|"&amp;$AE990)</f>
        <v/>
      </c>
      <c r="AI990" s="32">
        <f>IF(OR($C990="",$AE990="",$AE990=1),"",IFERROR(INDEX($AC$6:$AC$1505,MATCH($C990&amp;"|"&amp;$A990&amp;"|"&amp;($AE990-1),$AH$6:$AH$1505,0)),""))</f>
        <v/>
      </c>
      <c r="AJ990" s="32">
        <f>IF(OR($AI990="",$AC990=""),"",IF($AI990=$AC990,"ללא שינוי","מ-"&amp;$AI990&amp;" ל-"&amp;$AC990))</f>
        <v/>
      </c>
      <c r="AK990" s="67" t="n"/>
    </row>
    <row r="991" ht="15.75" customHeight="1" s="58">
      <c r="A991" s="65" t="n"/>
      <c r="B991" s="65" t="n"/>
      <c r="C991" s="66" t="n"/>
      <c r="D991" s="66" t="n"/>
      <c r="E991" s="65" t="n"/>
      <c r="F991" s="65" t="n"/>
      <c r="G991" s="65" t="n"/>
      <c r="H991" s="65" t="n"/>
      <c r="I991" s="65" t="n"/>
      <c r="J991" s="65" t="n"/>
      <c r="K991" s="65" t="n"/>
      <c r="L991" s="65" t="n"/>
      <c r="M991" s="65" t="n"/>
      <c r="N991" s="65" t="n"/>
      <c r="O991" s="65" t="n"/>
      <c r="P991" s="65" t="n"/>
      <c r="Q991" s="65" t="n"/>
      <c r="R991" s="65" t="n"/>
      <c r="S991" s="65" t="n"/>
      <c r="T991" s="65" t="n"/>
      <c r="U991" s="65" t="n"/>
      <c r="V991" s="65" t="n"/>
      <c r="W991" s="65" t="n"/>
      <c r="X991" s="65" t="n"/>
      <c r="Y991" s="32">
        <f>IF($C991="","",IF(COUNTA($I991:$K991)&lt;3,"— חסרים נתונים",IF(AND($I991="תקין",$J991="תקין",$K991="תקין"),"רהוטה",IF(AND($I991="תקין",$J991="תקין"),"מדויקת ורציפה","אינה מדויקת או מקוטעת"))))</f>
        <v/>
      </c>
      <c r="Z991" s="32">
        <f>IF($C991="","",IF(COUNTA($U991:$W991)&lt;3,"",IF(AND($U991="מפותח",$V991="מפותח",$W991="מפותחת"),"מפותחת",IF((--($U991="דל"))+(--($V991="אינו מפותח"))+(--($W991="דלה"))&gt;=2,"אינה מפותחת","חלקית"))))</f>
        <v/>
      </c>
      <c r="AA991" s="32">
        <f>IF($C991="","",IF(COUNTA($M991,$N991,$O991)&lt;3,"— חסרים נתונים",IF(OR($M991="נמוכה",(--($M991&lt;&gt;"תקינה"))+(--($N991&lt;&gt;"תקין"))+(--($O991&lt;&gt;"תקינה"))&gt;=2),"ניכרת","אינה ניכרת")))</f>
        <v/>
      </c>
      <c r="AB991" s="32">
        <f>IF(OR($C991="",$Y991="",$AA991="",LEFT($Y991,1)="—",LEFT($AA991,1)="—"),"",IF($Z991="","— נדרשת הערכת כתיבה",IF($L991="","— חסרה הבנת הנקרא",IF($Y991="אינה מדויקת או מקוטעת",IF($AA991="ניכרת","מיקוד בשטף הקריאה ובכישורי שפה","מיקוד בשטף קריאה"),IF($AA991="ניכרת","מיקוד בכישורי שפה",IF(AND($L991="תקינה",$Z991="מפותחת"),"קוראים וכותבים מיומנים","מיקוד בהבנה והבעה"))))))</f>
        <v/>
      </c>
      <c r="AC991" s="32">
        <f>IF(OR($AB991="",LEFT($AB991,1)="—"),"",IF(OR($AB991="מיקוד בשטף קריאה",$AB991="מיקוד בשטף הקריאה ובכישורי שפה"),"רמה א'",IF($AB991="קוראים וכותבים מיומנים","רמה ג'","רמה ב'")))</f>
        <v/>
      </c>
      <c r="AD991" s="32">
        <f>IF($AC991="","",MID(IF(AND($AC991="רמה א'",$AA991="ניכרת"),"; להוסיף עבודת אוצר מילים","")&amp;IF($Z991="אינה מפותחת","; דגש על הבעה בכתב","")&amp;IF($K991&lt;&gt;"תקין","; נדרש לעבוד על ההנגנה","")&amp;IF($AK991&lt;&gt;"","; "&amp;$AK991,""),3,400))</f>
        <v/>
      </c>
      <c r="AE991" s="32">
        <f>IF($F991="","",IF($F991="תחילת שנה",1,IF($F991="מחצית שנה",2,3)))</f>
        <v/>
      </c>
      <c r="AF991" s="32">
        <f>IF(OR($B991="",$AC991="",$A991="",$F991=""),"",$B991&amp;"|"&amp;$A991&amp;"|"&amp;$F991&amp;"|"&amp;$AC991&amp;"|"&amp;COUNTIFS($B$6:$B991,$B991,$A$6:$A991,$A991,$F$6:$F991,$F991,$AC$6:$AC991,$AC991))</f>
        <v/>
      </c>
      <c r="AG991" s="32">
        <f>IF($C991="","",$C991&amp;"|"&amp;COUNTIFS($C$6:$C991,$C991))</f>
        <v/>
      </c>
      <c r="AH991" s="32">
        <f>IF(OR($C991="",$A991="",$AE991=""),"",$C991&amp;"|"&amp;$A991&amp;"|"&amp;$AE991)</f>
        <v/>
      </c>
      <c r="AI991" s="32">
        <f>IF(OR($C991="",$AE991="",$AE991=1),"",IFERROR(INDEX($AC$6:$AC$1505,MATCH($C991&amp;"|"&amp;$A991&amp;"|"&amp;($AE991-1),$AH$6:$AH$1505,0)),""))</f>
        <v/>
      </c>
      <c r="AJ991" s="32">
        <f>IF(OR($AI991="",$AC991=""),"",IF($AI991=$AC991,"ללא שינוי","מ-"&amp;$AI991&amp;" ל-"&amp;$AC991))</f>
        <v/>
      </c>
      <c r="AK991" s="67" t="n"/>
    </row>
    <row r="992" ht="15.75" customHeight="1" s="58">
      <c r="A992" s="65" t="n"/>
      <c r="B992" s="65" t="n"/>
      <c r="C992" s="66" t="n"/>
      <c r="D992" s="66" t="n"/>
      <c r="E992" s="65" t="n"/>
      <c r="F992" s="65" t="n"/>
      <c r="G992" s="65" t="n"/>
      <c r="H992" s="65" t="n"/>
      <c r="I992" s="65" t="n"/>
      <c r="J992" s="65" t="n"/>
      <c r="K992" s="65" t="n"/>
      <c r="L992" s="65" t="n"/>
      <c r="M992" s="65" t="n"/>
      <c r="N992" s="65" t="n"/>
      <c r="O992" s="65" t="n"/>
      <c r="P992" s="65" t="n"/>
      <c r="Q992" s="65" t="n"/>
      <c r="R992" s="65" t="n"/>
      <c r="S992" s="65" t="n"/>
      <c r="T992" s="65" t="n"/>
      <c r="U992" s="65" t="n"/>
      <c r="V992" s="65" t="n"/>
      <c r="W992" s="65" t="n"/>
      <c r="X992" s="65" t="n"/>
      <c r="Y992" s="32">
        <f>IF($C992="","",IF(COUNTA($I992:$K992)&lt;3,"— חסרים נתונים",IF(AND($I992="תקין",$J992="תקין",$K992="תקין"),"רהוטה",IF(AND($I992="תקין",$J992="תקין"),"מדויקת ורציפה","אינה מדויקת או מקוטעת"))))</f>
        <v/>
      </c>
      <c r="Z992" s="32">
        <f>IF($C992="","",IF(COUNTA($U992:$W992)&lt;3,"",IF(AND($U992="מפותח",$V992="מפותח",$W992="מפותחת"),"מפותחת",IF((--($U992="דל"))+(--($V992="אינו מפותח"))+(--($W992="דלה"))&gt;=2,"אינה מפותחת","חלקית"))))</f>
        <v/>
      </c>
      <c r="AA992" s="32">
        <f>IF($C992="","",IF(COUNTA($M992,$N992,$O992)&lt;3,"— חסרים נתונים",IF(OR($M992="נמוכה",(--($M992&lt;&gt;"תקינה"))+(--($N992&lt;&gt;"תקין"))+(--($O992&lt;&gt;"תקינה"))&gt;=2),"ניכרת","אינה ניכרת")))</f>
        <v/>
      </c>
      <c r="AB992" s="32">
        <f>IF(OR($C992="",$Y992="",$AA992="",LEFT($Y992,1)="—",LEFT($AA992,1)="—"),"",IF($Z992="","— נדרשת הערכת כתיבה",IF($L992="","— חסרה הבנת הנקרא",IF($Y992="אינה מדויקת או מקוטעת",IF($AA992="ניכרת","מיקוד בשטף הקריאה ובכישורי שפה","מיקוד בשטף קריאה"),IF($AA992="ניכרת","מיקוד בכישורי שפה",IF(AND($L992="תקינה",$Z992="מפותחת"),"קוראים וכותבים מיומנים","מיקוד בהבנה והבעה"))))))</f>
        <v/>
      </c>
      <c r="AC992" s="32">
        <f>IF(OR($AB992="",LEFT($AB992,1)="—"),"",IF(OR($AB992="מיקוד בשטף קריאה",$AB992="מיקוד בשטף הקריאה ובכישורי שפה"),"רמה א'",IF($AB992="קוראים וכותבים מיומנים","רמה ג'","רמה ב'")))</f>
        <v/>
      </c>
      <c r="AD992" s="32">
        <f>IF($AC992="","",MID(IF(AND($AC992="רמה א'",$AA992="ניכרת"),"; להוסיף עבודת אוצר מילים","")&amp;IF($Z992="אינה מפותחת","; דגש על הבעה בכתב","")&amp;IF($K992&lt;&gt;"תקין","; נדרש לעבוד על ההנגנה","")&amp;IF($AK992&lt;&gt;"","; "&amp;$AK992,""),3,400))</f>
        <v/>
      </c>
      <c r="AE992" s="32">
        <f>IF($F992="","",IF($F992="תחילת שנה",1,IF($F992="מחצית שנה",2,3)))</f>
        <v/>
      </c>
      <c r="AF992" s="32">
        <f>IF(OR($B992="",$AC992="",$A992="",$F992=""),"",$B992&amp;"|"&amp;$A992&amp;"|"&amp;$F992&amp;"|"&amp;$AC992&amp;"|"&amp;COUNTIFS($B$6:$B992,$B992,$A$6:$A992,$A992,$F$6:$F992,$F992,$AC$6:$AC992,$AC992))</f>
        <v/>
      </c>
      <c r="AG992" s="32">
        <f>IF($C992="","",$C992&amp;"|"&amp;COUNTIFS($C$6:$C992,$C992))</f>
        <v/>
      </c>
      <c r="AH992" s="32">
        <f>IF(OR($C992="",$A992="",$AE992=""),"",$C992&amp;"|"&amp;$A992&amp;"|"&amp;$AE992)</f>
        <v/>
      </c>
      <c r="AI992" s="32">
        <f>IF(OR($C992="",$AE992="",$AE992=1),"",IFERROR(INDEX($AC$6:$AC$1505,MATCH($C992&amp;"|"&amp;$A992&amp;"|"&amp;($AE992-1),$AH$6:$AH$1505,0)),""))</f>
        <v/>
      </c>
      <c r="AJ992" s="32">
        <f>IF(OR($AI992="",$AC992=""),"",IF($AI992=$AC992,"ללא שינוי","מ-"&amp;$AI992&amp;" ל-"&amp;$AC992))</f>
        <v/>
      </c>
      <c r="AK992" s="67" t="n"/>
    </row>
    <row r="993" ht="15.75" customHeight="1" s="58">
      <c r="A993" s="65" t="n"/>
      <c r="B993" s="65" t="n"/>
      <c r="C993" s="66" t="n"/>
      <c r="D993" s="66" t="n"/>
      <c r="E993" s="65" t="n"/>
      <c r="F993" s="65" t="n"/>
      <c r="G993" s="65" t="n"/>
      <c r="H993" s="65" t="n"/>
      <c r="I993" s="65" t="n"/>
      <c r="J993" s="65" t="n"/>
      <c r="K993" s="65" t="n"/>
      <c r="L993" s="65" t="n"/>
      <c r="M993" s="65" t="n"/>
      <c r="N993" s="65" t="n"/>
      <c r="O993" s="65" t="n"/>
      <c r="P993" s="65" t="n"/>
      <c r="Q993" s="65" t="n"/>
      <c r="R993" s="65" t="n"/>
      <c r="S993" s="65" t="n"/>
      <c r="T993" s="65" t="n"/>
      <c r="U993" s="65" t="n"/>
      <c r="V993" s="65" t="n"/>
      <c r="W993" s="65" t="n"/>
      <c r="X993" s="65" t="n"/>
      <c r="Y993" s="32">
        <f>IF($C993="","",IF(COUNTA($I993:$K993)&lt;3,"— חסרים נתונים",IF(AND($I993="תקין",$J993="תקין",$K993="תקין"),"רהוטה",IF(AND($I993="תקין",$J993="תקין"),"מדויקת ורציפה","אינה מדויקת או מקוטעת"))))</f>
        <v/>
      </c>
      <c r="Z993" s="32">
        <f>IF($C993="","",IF(COUNTA($U993:$W993)&lt;3,"",IF(AND($U993="מפותח",$V993="מפותח",$W993="מפותחת"),"מפותחת",IF((--($U993="דל"))+(--($V993="אינו מפותח"))+(--($W993="דלה"))&gt;=2,"אינה מפותחת","חלקית"))))</f>
        <v/>
      </c>
      <c r="AA993" s="32">
        <f>IF($C993="","",IF(COUNTA($M993,$N993,$O993)&lt;3,"— חסרים נתונים",IF(OR($M993="נמוכה",(--($M993&lt;&gt;"תקינה"))+(--($N993&lt;&gt;"תקין"))+(--($O993&lt;&gt;"תקינה"))&gt;=2),"ניכרת","אינה ניכרת")))</f>
        <v/>
      </c>
      <c r="AB993" s="32">
        <f>IF(OR($C993="",$Y993="",$AA993="",LEFT($Y993,1)="—",LEFT($AA993,1)="—"),"",IF($Z993="","— נדרשת הערכת כתיבה",IF($L993="","— חסרה הבנת הנקרא",IF($Y993="אינה מדויקת או מקוטעת",IF($AA993="ניכרת","מיקוד בשטף הקריאה ובכישורי שפה","מיקוד בשטף קריאה"),IF($AA993="ניכרת","מיקוד בכישורי שפה",IF(AND($L993="תקינה",$Z993="מפותחת"),"קוראים וכותבים מיומנים","מיקוד בהבנה והבעה"))))))</f>
        <v/>
      </c>
      <c r="AC993" s="32">
        <f>IF(OR($AB993="",LEFT($AB993,1)="—"),"",IF(OR($AB993="מיקוד בשטף קריאה",$AB993="מיקוד בשטף הקריאה ובכישורי שפה"),"רמה א'",IF($AB993="קוראים וכותבים מיומנים","רמה ג'","רמה ב'")))</f>
        <v/>
      </c>
      <c r="AD993" s="32">
        <f>IF($AC993="","",MID(IF(AND($AC993="רמה א'",$AA993="ניכרת"),"; להוסיף עבודת אוצר מילים","")&amp;IF($Z993="אינה מפותחת","; דגש על הבעה בכתב","")&amp;IF($K993&lt;&gt;"תקין","; נדרש לעבוד על ההנגנה","")&amp;IF($AK993&lt;&gt;"","; "&amp;$AK993,""),3,400))</f>
        <v/>
      </c>
      <c r="AE993" s="32">
        <f>IF($F993="","",IF($F993="תחילת שנה",1,IF($F993="מחצית שנה",2,3)))</f>
        <v/>
      </c>
      <c r="AF993" s="32">
        <f>IF(OR($B993="",$AC993="",$A993="",$F993=""),"",$B993&amp;"|"&amp;$A993&amp;"|"&amp;$F993&amp;"|"&amp;$AC993&amp;"|"&amp;COUNTIFS($B$6:$B993,$B993,$A$6:$A993,$A993,$F$6:$F993,$F993,$AC$6:$AC993,$AC993))</f>
        <v/>
      </c>
      <c r="AG993" s="32">
        <f>IF($C993="","",$C993&amp;"|"&amp;COUNTIFS($C$6:$C993,$C993))</f>
        <v/>
      </c>
      <c r="AH993" s="32">
        <f>IF(OR($C993="",$A993="",$AE993=""),"",$C993&amp;"|"&amp;$A993&amp;"|"&amp;$AE993)</f>
        <v/>
      </c>
      <c r="AI993" s="32">
        <f>IF(OR($C993="",$AE993="",$AE993=1),"",IFERROR(INDEX($AC$6:$AC$1505,MATCH($C993&amp;"|"&amp;$A993&amp;"|"&amp;($AE993-1),$AH$6:$AH$1505,0)),""))</f>
        <v/>
      </c>
      <c r="AJ993" s="32">
        <f>IF(OR($AI993="",$AC993=""),"",IF($AI993=$AC993,"ללא שינוי","מ-"&amp;$AI993&amp;" ל-"&amp;$AC993))</f>
        <v/>
      </c>
      <c r="AK993" s="67" t="n"/>
    </row>
    <row r="994" ht="15.75" customHeight="1" s="58">
      <c r="A994" s="65" t="n"/>
      <c r="B994" s="65" t="n"/>
      <c r="C994" s="66" t="n"/>
      <c r="D994" s="66" t="n"/>
      <c r="E994" s="65" t="n"/>
      <c r="F994" s="65" t="n"/>
      <c r="G994" s="65" t="n"/>
      <c r="H994" s="65" t="n"/>
      <c r="I994" s="65" t="n"/>
      <c r="J994" s="65" t="n"/>
      <c r="K994" s="65" t="n"/>
      <c r="L994" s="65" t="n"/>
      <c r="M994" s="65" t="n"/>
      <c r="N994" s="65" t="n"/>
      <c r="O994" s="65" t="n"/>
      <c r="P994" s="65" t="n"/>
      <c r="Q994" s="65" t="n"/>
      <c r="R994" s="65" t="n"/>
      <c r="S994" s="65" t="n"/>
      <c r="T994" s="65" t="n"/>
      <c r="U994" s="65" t="n"/>
      <c r="V994" s="65" t="n"/>
      <c r="W994" s="65" t="n"/>
      <c r="X994" s="65" t="n"/>
      <c r="Y994" s="32">
        <f>IF($C994="","",IF(COUNTA($I994:$K994)&lt;3,"— חסרים נתונים",IF(AND($I994="תקין",$J994="תקין",$K994="תקין"),"רהוטה",IF(AND($I994="תקין",$J994="תקין"),"מדויקת ורציפה","אינה מדויקת או מקוטעת"))))</f>
        <v/>
      </c>
      <c r="Z994" s="32">
        <f>IF($C994="","",IF(COUNTA($U994:$W994)&lt;3,"",IF(AND($U994="מפותח",$V994="מפותח",$W994="מפותחת"),"מפותחת",IF((--($U994="דל"))+(--($V994="אינו מפותח"))+(--($W994="דלה"))&gt;=2,"אינה מפותחת","חלקית"))))</f>
        <v/>
      </c>
      <c r="AA994" s="32">
        <f>IF($C994="","",IF(COUNTA($M994,$N994,$O994)&lt;3,"— חסרים נתונים",IF(OR($M994="נמוכה",(--($M994&lt;&gt;"תקינה"))+(--($N994&lt;&gt;"תקין"))+(--($O994&lt;&gt;"תקינה"))&gt;=2),"ניכרת","אינה ניכרת")))</f>
        <v/>
      </c>
      <c r="AB994" s="32">
        <f>IF(OR($C994="",$Y994="",$AA994="",LEFT($Y994,1)="—",LEFT($AA994,1)="—"),"",IF($Z994="","— נדרשת הערכת כתיבה",IF($L994="","— חסרה הבנת הנקרא",IF($Y994="אינה מדויקת או מקוטעת",IF($AA994="ניכרת","מיקוד בשטף הקריאה ובכישורי שפה","מיקוד בשטף קריאה"),IF($AA994="ניכרת","מיקוד בכישורי שפה",IF(AND($L994="תקינה",$Z994="מפותחת"),"קוראים וכותבים מיומנים","מיקוד בהבנה והבעה"))))))</f>
        <v/>
      </c>
      <c r="AC994" s="32">
        <f>IF(OR($AB994="",LEFT($AB994,1)="—"),"",IF(OR($AB994="מיקוד בשטף קריאה",$AB994="מיקוד בשטף הקריאה ובכישורי שפה"),"רמה א'",IF($AB994="קוראים וכותבים מיומנים","רמה ג'","רמה ב'")))</f>
        <v/>
      </c>
      <c r="AD994" s="32">
        <f>IF($AC994="","",MID(IF(AND($AC994="רמה א'",$AA994="ניכרת"),"; להוסיף עבודת אוצר מילים","")&amp;IF($Z994="אינה מפותחת","; דגש על הבעה בכתב","")&amp;IF($K994&lt;&gt;"תקין","; נדרש לעבוד על ההנגנה","")&amp;IF($AK994&lt;&gt;"","; "&amp;$AK994,""),3,400))</f>
        <v/>
      </c>
      <c r="AE994" s="32">
        <f>IF($F994="","",IF($F994="תחילת שנה",1,IF($F994="מחצית שנה",2,3)))</f>
        <v/>
      </c>
      <c r="AF994" s="32">
        <f>IF(OR($B994="",$AC994="",$A994="",$F994=""),"",$B994&amp;"|"&amp;$A994&amp;"|"&amp;$F994&amp;"|"&amp;$AC994&amp;"|"&amp;COUNTIFS($B$6:$B994,$B994,$A$6:$A994,$A994,$F$6:$F994,$F994,$AC$6:$AC994,$AC994))</f>
        <v/>
      </c>
      <c r="AG994" s="32">
        <f>IF($C994="","",$C994&amp;"|"&amp;COUNTIFS($C$6:$C994,$C994))</f>
        <v/>
      </c>
      <c r="AH994" s="32">
        <f>IF(OR($C994="",$A994="",$AE994=""),"",$C994&amp;"|"&amp;$A994&amp;"|"&amp;$AE994)</f>
        <v/>
      </c>
      <c r="AI994" s="32">
        <f>IF(OR($C994="",$AE994="",$AE994=1),"",IFERROR(INDEX($AC$6:$AC$1505,MATCH($C994&amp;"|"&amp;$A994&amp;"|"&amp;($AE994-1),$AH$6:$AH$1505,0)),""))</f>
        <v/>
      </c>
      <c r="AJ994" s="32">
        <f>IF(OR($AI994="",$AC994=""),"",IF($AI994=$AC994,"ללא שינוי","מ-"&amp;$AI994&amp;" ל-"&amp;$AC994))</f>
        <v/>
      </c>
      <c r="AK994" s="67" t="n"/>
    </row>
    <row r="995" ht="15.75" customHeight="1" s="58">
      <c r="A995" s="65" t="n"/>
      <c r="B995" s="65" t="n"/>
      <c r="C995" s="66" t="n"/>
      <c r="D995" s="66" t="n"/>
      <c r="E995" s="65" t="n"/>
      <c r="F995" s="65" t="n"/>
      <c r="G995" s="65" t="n"/>
      <c r="H995" s="65" t="n"/>
      <c r="I995" s="65" t="n"/>
      <c r="J995" s="65" t="n"/>
      <c r="K995" s="65" t="n"/>
      <c r="L995" s="65" t="n"/>
      <c r="M995" s="65" t="n"/>
      <c r="N995" s="65" t="n"/>
      <c r="O995" s="65" t="n"/>
      <c r="P995" s="65" t="n"/>
      <c r="Q995" s="65" t="n"/>
      <c r="R995" s="65" t="n"/>
      <c r="S995" s="65" t="n"/>
      <c r="T995" s="65" t="n"/>
      <c r="U995" s="65" t="n"/>
      <c r="V995" s="65" t="n"/>
      <c r="W995" s="65" t="n"/>
      <c r="X995" s="65" t="n"/>
      <c r="Y995" s="32">
        <f>IF($C995="","",IF(COUNTA($I995:$K995)&lt;3,"— חסרים נתונים",IF(AND($I995="תקין",$J995="תקין",$K995="תקין"),"רהוטה",IF(AND($I995="תקין",$J995="תקין"),"מדויקת ורציפה","אינה מדויקת או מקוטעת"))))</f>
        <v/>
      </c>
      <c r="Z995" s="32">
        <f>IF($C995="","",IF(COUNTA($U995:$W995)&lt;3,"",IF(AND($U995="מפותח",$V995="מפותח",$W995="מפותחת"),"מפותחת",IF((--($U995="דל"))+(--($V995="אינו מפותח"))+(--($W995="דלה"))&gt;=2,"אינה מפותחת","חלקית"))))</f>
        <v/>
      </c>
      <c r="AA995" s="32">
        <f>IF($C995="","",IF(COUNTA($M995,$N995,$O995)&lt;3,"— חסרים נתונים",IF(OR($M995="נמוכה",(--($M995&lt;&gt;"תקינה"))+(--($N995&lt;&gt;"תקין"))+(--($O995&lt;&gt;"תקינה"))&gt;=2),"ניכרת","אינה ניכרת")))</f>
        <v/>
      </c>
      <c r="AB995" s="32">
        <f>IF(OR($C995="",$Y995="",$AA995="",LEFT($Y995,1)="—",LEFT($AA995,1)="—"),"",IF($Z995="","— נדרשת הערכת כתיבה",IF($L995="","— חסרה הבנת הנקרא",IF($Y995="אינה מדויקת או מקוטעת",IF($AA995="ניכרת","מיקוד בשטף הקריאה ובכישורי שפה","מיקוד בשטף קריאה"),IF($AA995="ניכרת","מיקוד בכישורי שפה",IF(AND($L995="תקינה",$Z995="מפותחת"),"קוראים וכותבים מיומנים","מיקוד בהבנה והבעה"))))))</f>
        <v/>
      </c>
      <c r="AC995" s="32">
        <f>IF(OR($AB995="",LEFT($AB995,1)="—"),"",IF(OR($AB995="מיקוד בשטף קריאה",$AB995="מיקוד בשטף הקריאה ובכישורי שפה"),"רמה א'",IF($AB995="קוראים וכותבים מיומנים","רמה ג'","רמה ב'")))</f>
        <v/>
      </c>
      <c r="AD995" s="32">
        <f>IF($AC995="","",MID(IF(AND($AC995="רמה א'",$AA995="ניכרת"),"; להוסיף עבודת אוצר מילים","")&amp;IF($Z995="אינה מפותחת","; דגש על הבעה בכתב","")&amp;IF($K995&lt;&gt;"תקין","; נדרש לעבוד על ההנגנה","")&amp;IF($AK995&lt;&gt;"","; "&amp;$AK995,""),3,400))</f>
        <v/>
      </c>
      <c r="AE995" s="32">
        <f>IF($F995="","",IF($F995="תחילת שנה",1,IF($F995="מחצית שנה",2,3)))</f>
        <v/>
      </c>
      <c r="AF995" s="32">
        <f>IF(OR($B995="",$AC995="",$A995="",$F995=""),"",$B995&amp;"|"&amp;$A995&amp;"|"&amp;$F995&amp;"|"&amp;$AC995&amp;"|"&amp;COUNTIFS($B$6:$B995,$B995,$A$6:$A995,$A995,$F$6:$F995,$F995,$AC$6:$AC995,$AC995))</f>
        <v/>
      </c>
      <c r="AG995" s="32">
        <f>IF($C995="","",$C995&amp;"|"&amp;COUNTIFS($C$6:$C995,$C995))</f>
        <v/>
      </c>
      <c r="AH995" s="32">
        <f>IF(OR($C995="",$A995="",$AE995=""),"",$C995&amp;"|"&amp;$A995&amp;"|"&amp;$AE995)</f>
        <v/>
      </c>
      <c r="AI995" s="32">
        <f>IF(OR($C995="",$AE995="",$AE995=1),"",IFERROR(INDEX($AC$6:$AC$1505,MATCH($C995&amp;"|"&amp;$A995&amp;"|"&amp;($AE995-1),$AH$6:$AH$1505,0)),""))</f>
        <v/>
      </c>
      <c r="AJ995" s="32">
        <f>IF(OR($AI995="",$AC995=""),"",IF($AI995=$AC995,"ללא שינוי","מ-"&amp;$AI995&amp;" ל-"&amp;$AC995))</f>
        <v/>
      </c>
      <c r="AK995" s="67" t="n"/>
    </row>
    <row r="996" ht="15.75" customHeight="1" s="58">
      <c r="A996" s="65" t="n"/>
      <c r="B996" s="65" t="n"/>
      <c r="C996" s="66" t="n"/>
      <c r="D996" s="66" t="n"/>
      <c r="E996" s="65" t="n"/>
      <c r="F996" s="65" t="n"/>
      <c r="G996" s="65" t="n"/>
      <c r="H996" s="65" t="n"/>
      <c r="I996" s="65" t="n"/>
      <c r="J996" s="65" t="n"/>
      <c r="K996" s="65" t="n"/>
      <c r="L996" s="65" t="n"/>
      <c r="M996" s="65" t="n"/>
      <c r="N996" s="65" t="n"/>
      <c r="O996" s="65" t="n"/>
      <c r="P996" s="65" t="n"/>
      <c r="Q996" s="65" t="n"/>
      <c r="R996" s="65" t="n"/>
      <c r="S996" s="65" t="n"/>
      <c r="T996" s="65" t="n"/>
      <c r="U996" s="65" t="n"/>
      <c r="V996" s="65" t="n"/>
      <c r="W996" s="65" t="n"/>
      <c r="X996" s="65" t="n"/>
      <c r="Y996" s="32">
        <f>IF($C996="","",IF(COUNTA($I996:$K996)&lt;3,"— חסרים נתונים",IF(AND($I996="תקין",$J996="תקין",$K996="תקין"),"רהוטה",IF(AND($I996="תקין",$J996="תקין"),"מדויקת ורציפה","אינה מדויקת או מקוטעת"))))</f>
        <v/>
      </c>
      <c r="Z996" s="32">
        <f>IF($C996="","",IF(COUNTA($U996:$W996)&lt;3,"",IF(AND($U996="מפותח",$V996="מפותח",$W996="מפותחת"),"מפותחת",IF((--($U996="דל"))+(--($V996="אינו מפותח"))+(--($W996="דלה"))&gt;=2,"אינה מפותחת","חלקית"))))</f>
        <v/>
      </c>
      <c r="AA996" s="32">
        <f>IF($C996="","",IF(COUNTA($M996,$N996,$O996)&lt;3,"— חסרים נתונים",IF(OR($M996="נמוכה",(--($M996&lt;&gt;"תקינה"))+(--($N996&lt;&gt;"תקין"))+(--($O996&lt;&gt;"תקינה"))&gt;=2),"ניכרת","אינה ניכרת")))</f>
        <v/>
      </c>
      <c r="AB996" s="32">
        <f>IF(OR($C996="",$Y996="",$AA996="",LEFT($Y996,1)="—",LEFT($AA996,1)="—"),"",IF($Z996="","— נדרשת הערכת כתיבה",IF($L996="","— חסרה הבנת הנקרא",IF($Y996="אינה מדויקת או מקוטעת",IF($AA996="ניכרת","מיקוד בשטף הקריאה ובכישורי שפה","מיקוד בשטף קריאה"),IF($AA996="ניכרת","מיקוד בכישורי שפה",IF(AND($L996="תקינה",$Z996="מפותחת"),"קוראים וכותבים מיומנים","מיקוד בהבנה והבעה"))))))</f>
        <v/>
      </c>
      <c r="AC996" s="32">
        <f>IF(OR($AB996="",LEFT($AB996,1)="—"),"",IF(OR($AB996="מיקוד בשטף קריאה",$AB996="מיקוד בשטף הקריאה ובכישורי שפה"),"רמה א'",IF($AB996="קוראים וכותבים מיומנים","רמה ג'","רמה ב'")))</f>
        <v/>
      </c>
      <c r="AD996" s="32">
        <f>IF($AC996="","",MID(IF(AND($AC996="רמה א'",$AA996="ניכרת"),"; להוסיף עבודת אוצר מילים","")&amp;IF($Z996="אינה מפותחת","; דגש על הבעה בכתב","")&amp;IF($K996&lt;&gt;"תקין","; נדרש לעבוד על ההנגנה","")&amp;IF($AK996&lt;&gt;"","; "&amp;$AK996,""),3,400))</f>
        <v/>
      </c>
      <c r="AE996" s="32">
        <f>IF($F996="","",IF($F996="תחילת שנה",1,IF($F996="מחצית שנה",2,3)))</f>
        <v/>
      </c>
      <c r="AF996" s="32">
        <f>IF(OR($B996="",$AC996="",$A996="",$F996=""),"",$B996&amp;"|"&amp;$A996&amp;"|"&amp;$F996&amp;"|"&amp;$AC996&amp;"|"&amp;COUNTIFS($B$6:$B996,$B996,$A$6:$A996,$A996,$F$6:$F996,$F996,$AC$6:$AC996,$AC996))</f>
        <v/>
      </c>
      <c r="AG996" s="32">
        <f>IF($C996="","",$C996&amp;"|"&amp;COUNTIFS($C$6:$C996,$C996))</f>
        <v/>
      </c>
      <c r="AH996" s="32">
        <f>IF(OR($C996="",$A996="",$AE996=""),"",$C996&amp;"|"&amp;$A996&amp;"|"&amp;$AE996)</f>
        <v/>
      </c>
      <c r="AI996" s="32">
        <f>IF(OR($C996="",$AE996="",$AE996=1),"",IFERROR(INDEX($AC$6:$AC$1505,MATCH($C996&amp;"|"&amp;$A996&amp;"|"&amp;($AE996-1),$AH$6:$AH$1505,0)),""))</f>
        <v/>
      </c>
      <c r="AJ996" s="32">
        <f>IF(OR($AI996="",$AC996=""),"",IF($AI996=$AC996,"ללא שינוי","מ-"&amp;$AI996&amp;" ל-"&amp;$AC996))</f>
        <v/>
      </c>
      <c r="AK996" s="67" t="n"/>
    </row>
    <row r="997" ht="15.75" customHeight="1" s="58">
      <c r="A997" s="65" t="n"/>
      <c r="B997" s="65" t="n"/>
      <c r="C997" s="66" t="n"/>
      <c r="D997" s="66" t="n"/>
      <c r="E997" s="65" t="n"/>
      <c r="F997" s="65" t="n"/>
      <c r="G997" s="65" t="n"/>
      <c r="H997" s="65" t="n"/>
      <c r="I997" s="65" t="n"/>
      <c r="J997" s="65" t="n"/>
      <c r="K997" s="65" t="n"/>
      <c r="L997" s="65" t="n"/>
      <c r="M997" s="65" t="n"/>
      <c r="N997" s="65" t="n"/>
      <c r="O997" s="65" t="n"/>
      <c r="P997" s="65" t="n"/>
      <c r="Q997" s="65" t="n"/>
      <c r="R997" s="65" t="n"/>
      <c r="S997" s="65" t="n"/>
      <c r="T997" s="65" t="n"/>
      <c r="U997" s="65" t="n"/>
      <c r="V997" s="65" t="n"/>
      <c r="W997" s="65" t="n"/>
      <c r="X997" s="65" t="n"/>
      <c r="Y997" s="32">
        <f>IF($C997="","",IF(COUNTA($I997:$K997)&lt;3,"— חסרים נתונים",IF(AND($I997="תקין",$J997="תקין",$K997="תקין"),"רהוטה",IF(AND($I997="תקין",$J997="תקין"),"מדויקת ורציפה","אינה מדויקת או מקוטעת"))))</f>
        <v/>
      </c>
      <c r="Z997" s="32">
        <f>IF($C997="","",IF(COUNTA($U997:$W997)&lt;3,"",IF(AND($U997="מפותח",$V997="מפותח",$W997="מפותחת"),"מפותחת",IF((--($U997="דל"))+(--($V997="אינו מפותח"))+(--($W997="דלה"))&gt;=2,"אינה מפותחת","חלקית"))))</f>
        <v/>
      </c>
      <c r="AA997" s="32">
        <f>IF($C997="","",IF(COUNTA($M997,$N997,$O997)&lt;3,"— חסרים נתונים",IF(OR($M997="נמוכה",(--($M997&lt;&gt;"תקינה"))+(--($N997&lt;&gt;"תקין"))+(--($O997&lt;&gt;"תקינה"))&gt;=2),"ניכרת","אינה ניכרת")))</f>
        <v/>
      </c>
      <c r="AB997" s="32">
        <f>IF(OR($C997="",$Y997="",$AA997="",LEFT($Y997,1)="—",LEFT($AA997,1)="—"),"",IF($Z997="","— נדרשת הערכת כתיבה",IF($L997="","— חסרה הבנת הנקרא",IF($Y997="אינה מדויקת או מקוטעת",IF($AA997="ניכרת","מיקוד בשטף הקריאה ובכישורי שפה","מיקוד בשטף קריאה"),IF($AA997="ניכרת","מיקוד בכישורי שפה",IF(AND($L997="תקינה",$Z997="מפותחת"),"קוראים וכותבים מיומנים","מיקוד בהבנה והבעה"))))))</f>
        <v/>
      </c>
      <c r="AC997" s="32">
        <f>IF(OR($AB997="",LEFT($AB997,1)="—"),"",IF(OR($AB997="מיקוד בשטף קריאה",$AB997="מיקוד בשטף הקריאה ובכישורי שפה"),"רמה א'",IF($AB997="קוראים וכותבים מיומנים","רמה ג'","רמה ב'")))</f>
        <v/>
      </c>
      <c r="AD997" s="32">
        <f>IF($AC997="","",MID(IF(AND($AC997="רמה א'",$AA997="ניכרת"),"; להוסיף עבודת אוצר מילים","")&amp;IF($Z997="אינה מפותחת","; דגש על הבעה בכתב","")&amp;IF($K997&lt;&gt;"תקין","; נדרש לעבוד על ההנגנה","")&amp;IF($AK997&lt;&gt;"","; "&amp;$AK997,""),3,400))</f>
        <v/>
      </c>
      <c r="AE997" s="32">
        <f>IF($F997="","",IF($F997="תחילת שנה",1,IF($F997="מחצית שנה",2,3)))</f>
        <v/>
      </c>
      <c r="AF997" s="32">
        <f>IF(OR($B997="",$AC997="",$A997="",$F997=""),"",$B997&amp;"|"&amp;$A997&amp;"|"&amp;$F997&amp;"|"&amp;$AC997&amp;"|"&amp;COUNTIFS($B$6:$B997,$B997,$A$6:$A997,$A997,$F$6:$F997,$F997,$AC$6:$AC997,$AC997))</f>
        <v/>
      </c>
      <c r="AG997" s="32">
        <f>IF($C997="","",$C997&amp;"|"&amp;COUNTIFS($C$6:$C997,$C997))</f>
        <v/>
      </c>
      <c r="AH997" s="32">
        <f>IF(OR($C997="",$A997="",$AE997=""),"",$C997&amp;"|"&amp;$A997&amp;"|"&amp;$AE997)</f>
        <v/>
      </c>
      <c r="AI997" s="32">
        <f>IF(OR($C997="",$AE997="",$AE997=1),"",IFERROR(INDEX($AC$6:$AC$1505,MATCH($C997&amp;"|"&amp;$A997&amp;"|"&amp;($AE997-1),$AH$6:$AH$1505,0)),""))</f>
        <v/>
      </c>
      <c r="AJ997" s="32">
        <f>IF(OR($AI997="",$AC997=""),"",IF($AI997=$AC997,"ללא שינוי","מ-"&amp;$AI997&amp;" ל-"&amp;$AC997))</f>
        <v/>
      </c>
      <c r="AK997" s="67" t="n"/>
    </row>
    <row r="998" ht="15.75" customHeight="1" s="58">
      <c r="A998" s="65" t="n"/>
      <c r="B998" s="65" t="n"/>
      <c r="C998" s="66" t="n"/>
      <c r="D998" s="66" t="n"/>
      <c r="E998" s="65" t="n"/>
      <c r="F998" s="65" t="n"/>
      <c r="G998" s="65" t="n"/>
      <c r="H998" s="65" t="n"/>
      <c r="I998" s="65" t="n"/>
      <c r="J998" s="65" t="n"/>
      <c r="K998" s="65" t="n"/>
      <c r="L998" s="65" t="n"/>
      <c r="M998" s="65" t="n"/>
      <c r="N998" s="65" t="n"/>
      <c r="O998" s="65" t="n"/>
      <c r="P998" s="65" t="n"/>
      <c r="Q998" s="65" t="n"/>
      <c r="R998" s="65" t="n"/>
      <c r="S998" s="65" t="n"/>
      <c r="T998" s="65" t="n"/>
      <c r="U998" s="65" t="n"/>
      <c r="V998" s="65" t="n"/>
      <c r="W998" s="65" t="n"/>
      <c r="X998" s="65" t="n"/>
      <c r="Y998" s="32">
        <f>IF($C998="","",IF(COUNTA($I998:$K998)&lt;3,"— חסרים נתונים",IF(AND($I998="תקין",$J998="תקין",$K998="תקין"),"רהוטה",IF(AND($I998="תקין",$J998="תקין"),"מדויקת ורציפה","אינה מדויקת או מקוטעת"))))</f>
        <v/>
      </c>
      <c r="Z998" s="32">
        <f>IF($C998="","",IF(COUNTA($U998:$W998)&lt;3,"",IF(AND($U998="מפותח",$V998="מפותח",$W998="מפותחת"),"מפותחת",IF((--($U998="דל"))+(--($V998="אינו מפותח"))+(--($W998="דלה"))&gt;=2,"אינה מפותחת","חלקית"))))</f>
        <v/>
      </c>
      <c r="AA998" s="32">
        <f>IF($C998="","",IF(COUNTA($M998,$N998,$O998)&lt;3,"— חסרים נתונים",IF(OR($M998="נמוכה",(--($M998&lt;&gt;"תקינה"))+(--($N998&lt;&gt;"תקין"))+(--($O998&lt;&gt;"תקינה"))&gt;=2),"ניכרת","אינה ניכרת")))</f>
        <v/>
      </c>
      <c r="AB998" s="32">
        <f>IF(OR($C998="",$Y998="",$AA998="",LEFT($Y998,1)="—",LEFT($AA998,1)="—"),"",IF($Z998="","— נדרשת הערכת כתיבה",IF($L998="","— חסרה הבנת הנקרא",IF($Y998="אינה מדויקת או מקוטעת",IF($AA998="ניכרת","מיקוד בשטף הקריאה ובכישורי שפה","מיקוד בשטף קריאה"),IF($AA998="ניכרת","מיקוד בכישורי שפה",IF(AND($L998="תקינה",$Z998="מפותחת"),"קוראים וכותבים מיומנים","מיקוד בהבנה והבעה"))))))</f>
        <v/>
      </c>
      <c r="AC998" s="32">
        <f>IF(OR($AB998="",LEFT($AB998,1)="—"),"",IF(OR($AB998="מיקוד בשטף קריאה",$AB998="מיקוד בשטף הקריאה ובכישורי שפה"),"רמה א'",IF($AB998="קוראים וכותבים מיומנים","רמה ג'","רמה ב'")))</f>
        <v/>
      </c>
      <c r="AD998" s="32">
        <f>IF($AC998="","",MID(IF(AND($AC998="רמה א'",$AA998="ניכרת"),"; להוסיף עבודת אוצר מילים","")&amp;IF($Z998="אינה מפותחת","; דגש על הבעה בכתב","")&amp;IF($K998&lt;&gt;"תקין","; נדרש לעבוד על ההנגנה","")&amp;IF($AK998&lt;&gt;"","; "&amp;$AK998,""),3,400))</f>
        <v/>
      </c>
      <c r="AE998" s="32">
        <f>IF($F998="","",IF($F998="תחילת שנה",1,IF($F998="מחצית שנה",2,3)))</f>
        <v/>
      </c>
      <c r="AF998" s="32">
        <f>IF(OR($B998="",$AC998="",$A998="",$F998=""),"",$B998&amp;"|"&amp;$A998&amp;"|"&amp;$F998&amp;"|"&amp;$AC998&amp;"|"&amp;COUNTIFS($B$6:$B998,$B998,$A$6:$A998,$A998,$F$6:$F998,$F998,$AC$6:$AC998,$AC998))</f>
        <v/>
      </c>
      <c r="AG998" s="32">
        <f>IF($C998="","",$C998&amp;"|"&amp;COUNTIFS($C$6:$C998,$C998))</f>
        <v/>
      </c>
      <c r="AH998" s="32">
        <f>IF(OR($C998="",$A998="",$AE998=""),"",$C998&amp;"|"&amp;$A998&amp;"|"&amp;$AE998)</f>
        <v/>
      </c>
      <c r="AI998" s="32">
        <f>IF(OR($C998="",$AE998="",$AE998=1),"",IFERROR(INDEX($AC$6:$AC$1505,MATCH($C998&amp;"|"&amp;$A998&amp;"|"&amp;($AE998-1),$AH$6:$AH$1505,0)),""))</f>
        <v/>
      </c>
      <c r="AJ998" s="32">
        <f>IF(OR($AI998="",$AC998=""),"",IF($AI998=$AC998,"ללא שינוי","מ-"&amp;$AI998&amp;" ל-"&amp;$AC998))</f>
        <v/>
      </c>
      <c r="AK998" s="67" t="n"/>
    </row>
    <row r="999" ht="15.75" customHeight="1" s="58">
      <c r="A999" s="65" t="n"/>
      <c r="B999" s="65" t="n"/>
      <c r="C999" s="66" t="n"/>
      <c r="D999" s="66" t="n"/>
      <c r="E999" s="65" t="n"/>
      <c r="F999" s="65" t="n"/>
      <c r="G999" s="65" t="n"/>
      <c r="H999" s="65" t="n"/>
      <c r="I999" s="65" t="n"/>
      <c r="J999" s="65" t="n"/>
      <c r="K999" s="65" t="n"/>
      <c r="L999" s="65" t="n"/>
      <c r="M999" s="65" t="n"/>
      <c r="N999" s="65" t="n"/>
      <c r="O999" s="65" t="n"/>
      <c r="P999" s="65" t="n"/>
      <c r="Q999" s="65" t="n"/>
      <c r="R999" s="65" t="n"/>
      <c r="S999" s="65" t="n"/>
      <c r="T999" s="65" t="n"/>
      <c r="U999" s="65" t="n"/>
      <c r="V999" s="65" t="n"/>
      <c r="W999" s="65" t="n"/>
      <c r="X999" s="65" t="n"/>
      <c r="Y999" s="32">
        <f>IF($C999="","",IF(COUNTA($I999:$K999)&lt;3,"— חסרים נתונים",IF(AND($I999="תקין",$J999="תקין",$K999="תקין"),"רהוטה",IF(AND($I999="תקין",$J999="תקין"),"מדויקת ורציפה","אינה מדויקת או מקוטעת"))))</f>
        <v/>
      </c>
      <c r="Z999" s="32">
        <f>IF($C999="","",IF(COUNTA($U999:$W999)&lt;3,"",IF(AND($U999="מפותח",$V999="מפותח",$W999="מפותחת"),"מפותחת",IF((--($U999="דל"))+(--($V999="אינו מפותח"))+(--($W999="דלה"))&gt;=2,"אינה מפותחת","חלקית"))))</f>
        <v/>
      </c>
      <c r="AA999" s="32">
        <f>IF($C999="","",IF(COUNTA($M999,$N999,$O999)&lt;3,"— חסרים נתונים",IF(OR($M999="נמוכה",(--($M999&lt;&gt;"תקינה"))+(--($N999&lt;&gt;"תקין"))+(--($O999&lt;&gt;"תקינה"))&gt;=2),"ניכרת","אינה ניכרת")))</f>
        <v/>
      </c>
      <c r="AB999" s="32">
        <f>IF(OR($C999="",$Y999="",$AA999="",LEFT($Y999,1)="—",LEFT($AA999,1)="—"),"",IF($Z999="","— נדרשת הערכת כתיבה",IF($L999="","— חסרה הבנת הנקרא",IF($Y999="אינה מדויקת או מקוטעת",IF($AA999="ניכרת","מיקוד בשטף הקריאה ובכישורי שפה","מיקוד בשטף קריאה"),IF($AA999="ניכרת","מיקוד בכישורי שפה",IF(AND($L999="תקינה",$Z999="מפותחת"),"קוראים וכותבים מיומנים","מיקוד בהבנה והבעה"))))))</f>
        <v/>
      </c>
      <c r="AC999" s="32">
        <f>IF(OR($AB999="",LEFT($AB999,1)="—"),"",IF(OR($AB999="מיקוד בשטף קריאה",$AB999="מיקוד בשטף הקריאה ובכישורי שפה"),"רמה א'",IF($AB999="קוראים וכותבים מיומנים","רמה ג'","רמה ב'")))</f>
        <v/>
      </c>
      <c r="AD999" s="32">
        <f>IF($AC999="","",MID(IF(AND($AC999="רמה א'",$AA999="ניכרת"),"; להוסיף עבודת אוצר מילים","")&amp;IF($Z999="אינה מפותחת","; דגש על הבעה בכתב","")&amp;IF($K999&lt;&gt;"תקין","; נדרש לעבוד על ההנגנה","")&amp;IF($AK999&lt;&gt;"","; "&amp;$AK999,""),3,400))</f>
        <v/>
      </c>
      <c r="AE999" s="32">
        <f>IF($F999="","",IF($F999="תחילת שנה",1,IF($F999="מחצית שנה",2,3)))</f>
        <v/>
      </c>
      <c r="AF999" s="32">
        <f>IF(OR($B999="",$AC999="",$A999="",$F999=""),"",$B999&amp;"|"&amp;$A999&amp;"|"&amp;$F999&amp;"|"&amp;$AC999&amp;"|"&amp;COUNTIFS($B$6:$B999,$B999,$A$6:$A999,$A999,$F$6:$F999,$F999,$AC$6:$AC999,$AC999))</f>
        <v/>
      </c>
      <c r="AG999" s="32">
        <f>IF($C999="","",$C999&amp;"|"&amp;COUNTIFS($C$6:$C999,$C999))</f>
        <v/>
      </c>
      <c r="AH999" s="32">
        <f>IF(OR($C999="",$A999="",$AE999=""),"",$C999&amp;"|"&amp;$A999&amp;"|"&amp;$AE999)</f>
        <v/>
      </c>
      <c r="AI999" s="32">
        <f>IF(OR($C999="",$AE999="",$AE999=1),"",IFERROR(INDEX($AC$6:$AC$1505,MATCH($C999&amp;"|"&amp;$A999&amp;"|"&amp;($AE999-1),$AH$6:$AH$1505,0)),""))</f>
        <v/>
      </c>
      <c r="AJ999" s="32">
        <f>IF(OR($AI999="",$AC999=""),"",IF($AI999=$AC999,"ללא שינוי","מ-"&amp;$AI999&amp;" ל-"&amp;$AC999))</f>
        <v/>
      </c>
      <c r="AK999" s="67" t="n"/>
    </row>
    <row r="1000" ht="15.75" customHeight="1" s="58">
      <c r="A1000" s="65" t="n"/>
      <c r="B1000" s="65" t="n"/>
      <c r="C1000" s="66" t="n"/>
      <c r="D1000" s="66" t="n"/>
      <c r="E1000" s="65" t="n"/>
      <c r="F1000" s="65" t="n"/>
      <c r="G1000" s="65" t="n"/>
      <c r="H1000" s="65" t="n"/>
      <c r="I1000" s="65" t="n"/>
      <c r="J1000" s="65" t="n"/>
      <c r="K1000" s="65" t="n"/>
      <c r="L1000" s="65" t="n"/>
      <c r="M1000" s="65" t="n"/>
      <c r="N1000" s="65" t="n"/>
      <c r="O1000" s="65" t="n"/>
      <c r="P1000" s="65" t="n"/>
      <c r="Q1000" s="65" t="n"/>
      <c r="R1000" s="65" t="n"/>
      <c r="S1000" s="65" t="n"/>
      <c r="T1000" s="65" t="n"/>
      <c r="U1000" s="65" t="n"/>
      <c r="V1000" s="65" t="n"/>
      <c r="W1000" s="65" t="n"/>
      <c r="X1000" s="65" t="n"/>
      <c r="Y1000" s="32">
        <f>IF($C1000="","",IF(COUNTA($I1000:$K1000)&lt;3,"— חסרים נתונים",IF(AND($I1000="תקין",$J1000="תקין",$K1000="תקין"),"רהוטה",IF(AND($I1000="תקין",$J1000="תקין"),"מדויקת ורציפה","אינה מדויקת או מקוטעת"))))</f>
        <v/>
      </c>
      <c r="Z1000" s="32">
        <f>IF($C1000="","",IF(COUNTA($U1000:$W1000)&lt;3,"",IF(AND($U1000="מפותח",$V1000="מפותח",$W1000="מפותחת"),"מפותחת",IF((--($U1000="דל"))+(--($V1000="אינו מפותח"))+(--($W1000="דלה"))&gt;=2,"אינה מפותחת","חלקית"))))</f>
        <v/>
      </c>
      <c r="AA1000" s="32">
        <f>IF($C1000="","",IF(COUNTA($M1000,$N1000,$O1000)&lt;3,"— חסרים נתונים",IF(OR($M1000="נמוכה",(--($M1000&lt;&gt;"תקינה"))+(--($N1000&lt;&gt;"תקין"))+(--($O1000&lt;&gt;"תקינה"))&gt;=2),"ניכרת","אינה ניכרת")))</f>
        <v/>
      </c>
      <c r="AB1000" s="32">
        <f>IF(OR($C1000="",$Y1000="",$AA1000="",LEFT($Y1000,1)="—",LEFT($AA1000,1)="—"),"",IF($Z1000="","— נדרשת הערכת כתיבה",IF($L1000="","— חסרה הבנת הנקרא",IF($Y1000="אינה מדויקת או מקוטעת",IF($AA1000="ניכרת","מיקוד בשטף הקריאה ובכישורי שפה","מיקוד בשטף קריאה"),IF($AA1000="ניכרת","מיקוד בכישורי שפה",IF(AND($L1000="תקינה",$Z1000="מפותחת"),"קוראים וכותבים מיומנים","מיקוד בהבנה והבעה"))))))</f>
        <v/>
      </c>
      <c r="AC1000" s="32">
        <f>IF(OR($AB1000="",LEFT($AB1000,1)="—"),"",IF(OR($AB1000="מיקוד בשטף קריאה",$AB1000="מיקוד בשטף הקריאה ובכישורי שפה"),"רמה א'",IF($AB1000="קוראים וכותבים מיומנים","רמה ג'","רמה ב'")))</f>
        <v/>
      </c>
      <c r="AD1000" s="32">
        <f>IF($AC1000="","",MID(IF(AND($AC1000="רמה א'",$AA1000="ניכרת"),"; להוסיף עבודת אוצר מילים","")&amp;IF($Z1000="אינה מפותחת","; דגש על הבעה בכתב","")&amp;IF($K1000&lt;&gt;"תקין","; נדרש לעבוד על ההנגנה","")&amp;IF($AK1000&lt;&gt;"","; "&amp;$AK1000,""),3,400))</f>
        <v/>
      </c>
      <c r="AE1000" s="32">
        <f>IF($F1000="","",IF($F1000="תחילת שנה",1,IF($F1000="מחצית שנה",2,3)))</f>
        <v/>
      </c>
      <c r="AF1000" s="32">
        <f>IF(OR($B1000="",$AC1000="",$A1000="",$F1000=""),"",$B1000&amp;"|"&amp;$A1000&amp;"|"&amp;$F1000&amp;"|"&amp;$AC1000&amp;"|"&amp;COUNTIFS($B$6:$B1000,$B1000,$A$6:$A1000,$A1000,$F$6:$F1000,$F1000,$AC$6:$AC1000,$AC1000))</f>
        <v/>
      </c>
      <c r="AG1000" s="32">
        <f>IF($C1000="","",$C1000&amp;"|"&amp;COUNTIFS($C$6:$C1000,$C1000))</f>
        <v/>
      </c>
      <c r="AH1000" s="32">
        <f>IF(OR($C1000="",$A1000="",$AE1000=""),"",$C1000&amp;"|"&amp;$A1000&amp;"|"&amp;$AE1000)</f>
        <v/>
      </c>
      <c r="AI1000" s="32">
        <f>IF(OR($C1000="",$AE1000="",$AE1000=1),"",IFERROR(INDEX($AC$6:$AC$1505,MATCH($C1000&amp;"|"&amp;$A1000&amp;"|"&amp;($AE1000-1),$AH$6:$AH$1505,0)),""))</f>
        <v/>
      </c>
      <c r="AJ1000" s="32">
        <f>IF(OR($AI1000="",$AC1000=""),"",IF($AI1000=$AC1000,"ללא שינוי","מ-"&amp;$AI1000&amp;" ל-"&amp;$AC1000))</f>
        <v/>
      </c>
      <c r="AK1000" s="67" t="n"/>
    </row>
    <row r="1001">
      <c r="A1001" s="65" t="n"/>
      <c r="B1001" s="65" t="n"/>
      <c r="C1001" s="66" t="n"/>
      <c r="D1001" s="66" t="n"/>
      <c r="E1001" s="65" t="n"/>
      <c r="F1001" s="65" t="n"/>
      <c r="G1001" s="65" t="n"/>
      <c r="H1001" s="65" t="n"/>
      <c r="I1001" s="65" t="n"/>
      <c r="J1001" s="65" t="n"/>
      <c r="K1001" s="65" t="n"/>
      <c r="L1001" s="65" t="n"/>
      <c r="M1001" s="65" t="n"/>
      <c r="N1001" s="65" t="n"/>
      <c r="O1001" s="65" t="n"/>
      <c r="P1001" s="65" t="n"/>
      <c r="Q1001" s="65" t="n"/>
      <c r="R1001" s="65" t="n"/>
      <c r="S1001" s="65" t="n"/>
      <c r="T1001" s="65" t="n"/>
      <c r="U1001" s="65" t="n"/>
      <c r="V1001" s="65" t="n"/>
      <c r="W1001" s="65" t="n"/>
      <c r="X1001" s="65" t="n"/>
      <c r="Y1001" s="32">
        <f>IF($C1001="","",IF(COUNTA($I1001:$K1001)&lt;3,"— חסרים נתונים",IF(AND($I1001="תקין",$J1001="תקין",$K1001="תקין"),"רהוטה",IF(AND($I1001="תקין",$J1001="תקין"),"מדויקת ורציפה","אינה מדויקת או מקוטעת"))))</f>
        <v/>
      </c>
      <c r="Z1001" s="32">
        <f>IF($C1001="","",IF(COUNTA($U1001:$W1001)&lt;3,"",IF(AND($U1001="מפותח",$V1001="מפותח",$W1001="מפותחת"),"מפותחת",IF((--($U1001="דל"))+(--($V1001="אינו מפותח"))+(--($W1001="דלה"))&gt;=2,"אינה מפותחת","חלקית"))))</f>
        <v/>
      </c>
      <c r="AA1001" s="32">
        <f>IF($C1001="","",IF(COUNTA($M1001,$N1001,$O1001)&lt;3,"— חסרים נתונים",IF(OR($M1001="נמוכה",(--($M1001&lt;&gt;"תקינה"))+(--($N1001&lt;&gt;"תקין"))+(--($O1001&lt;&gt;"תקינה"))&gt;=2),"ניכרת","אינה ניכרת")))</f>
        <v/>
      </c>
      <c r="AB1001" s="32">
        <f>IF(OR($C1001="",$Y1001="",$AA1001="",LEFT($Y1001,1)="—",LEFT($AA1001,1)="—"),"",IF($Z1001="","— נדרשת הערכת כתיבה",IF($L1001="","— חסרה הבנת הנקרא",IF($Y1001="אינה מדויקת או מקוטעת",IF($AA1001="ניכרת","מיקוד בשטף הקריאה ובכישורי שפה","מיקוד בשטף קריאה"),IF($AA1001="ניכרת","מיקוד בכישורי שפה",IF(AND($L1001="תקינה",$Z1001="מפותחת"),"קוראים וכותבים מיומנים","מיקוד בהבנה והבעה"))))))</f>
        <v/>
      </c>
      <c r="AC1001" s="32">
        <f>IF(OR($AB1001="",LEFT($AB1001,1)="—"),"",IF(OR($AB1001="מיקוד בשטף קריאה",$AB1001="מיקוד בשטף הקריאה ובכישורי שפה"),"רמה א'",IF($AB1001="קוראים וכותבים מיומנים","רמה ג'","רמה ב'")))</f>
        <v/>
      </c>
      <c r="AD1001" s="32">
        <f>IF($AC1001="","",MID(IF(AND($AC1001="רמה א'",$AA1001="ניכרת"),"; להוסיף עבודת אוצר מילים","")&amp;IF($Z1001="אינה מפותחת","; דגש על הבעה בכתב","")&amp;IF($K1001&lt;&gt;"תקין","; נדרש לעבוד על ההנגנה","")&amp;IF($AK1001&lt;&gt;"","; "&amp;$AK1001,""),3,400))</f>
        <v/>
      </c>
      <c r="AE1001" s="32">
        <f>IF($F1001="","",IF($F1001="תחילת שנה",1,IF($F1001="מחצית שנה",2,3)))</f>
        <v/>
      </c>
      <c r="AF1001" s="32">
        <f>IF(OR($B1001="",$AC1001="",$A1001="",$F1001=""),"",$B1001&amp;"|"&amp;$A1001&amp;"|"&amp;$F1001&amp;"|"&amp;$AC1001&amp;"|"&amp;COUNTIFS($B$6:$B1001,$B1001,$A$6:$A1001,$A1001,$F$6:$F1001,$F1001,$AC$6:$AC1001,$AC1001))</f>
        <v/>
      </c>
      <c r="AG1001" s="32">
        <f>IF($C1001="","",$C1001&amp;"|"&amp;COUNTIFS($C$6:$C1001,$C1001))</f>
        <v/>
      </c>
      <c r="AH1001" s="32">
        <f>IF(OR($C1001="",$A1001="",$AE1001=""),"",$C1001&amp;"|"&amp;$A1001&amp;"|"&amp;$AE1001)</f>
        <v/>
      </c>
      <c r="AI1001" s="32">
        <f>IF(OR($C1001="",$AE1001="",$AE1001=1),"",IFERROR(INDEX($AC$6:$AC$1505,MATCH($C1001&amp;"|"&amp;$A1001&amp;"|"&amp;($AE1001-1),$AH$6:$AH$1505,0)),""))</f>
        <v/>
      </c>
      <c r="AJ1001" s="32">
        <f>IF(OR($AI1001="",$AC1001=""),"",IF($AI1001=$AC1001,"ללא שינוי","מ-"&amp;$AI1001&amp;" ל-"&amp;$AC1001))</f>
        <v/>
      </c>
      <c r="AK1001" s="67" t="n"/>
    </row>
    <row r="1002">
      <c r="A1002" s="65" t="n"/>
      <c r="B1002" s="65" t="n"/>
      <c r="C1002" s="66" t="n"/>
      <c r="D1002" s="66" t="n"/>
      <c r="E1002" s="65" t="n"/>
      <c r="F1002" s="65" t="n"/>
      <c r="G1002" s="65" t="n"/>
      <c r="H1002" s="65" t="n"/>
      <c r="I1002" s="65" t="n"/>
      <c r="J1002" s="65" t="n"/>
      <c r="K1002" s="65" t="n"/>
      <c r="L1002" s="65" t="n"/>
      <c r="M1002" s="65" t="n"/>
      <c r="N1002" s="65" t="n"/>
      <c r="O1002" s="65" t="n"/>
      <c r="P1002" s="65" t="n"/>
      <c r="Q1002" s="65" t="n"/>
      <c r="R1002" s="65" t="n"/>
      <c r="S1002" s="65" t="n"/>
      <c r="T1002" s="65" t="n"/>
      <c r="U1002" s="65" t="n"/>
      <c r="V1002" s="65" t="n"/>
      <c r="W1002" s="65" t="n"/>
      <c r="X1002" s="65" t="n"/>
      <c r="Y1002" s="32">
        <f>IF($C1002="","",IF(COUNTA($I1002:$K1002)&lt;3,"— חסרים נתונים",IF(AND($I1002="תקין",$J1002="תקין",$K1002="תקין"),"רהוטה",IF(AND($I1002="תקין",$J1002="תקין"),"מדויקת ורציפה","אינה מדויקת או מקוטעת"))))</f>
        <v/>
      </c>
      <c r="Z1002" s="32">
        <f>IF($C1002="","",IF(COUNTA($U1002:$W1002)&lt;3,"",IF(AND($U1002="מפותח",$V1002="מפותח",$W1002="מפותחת"),"מפותחת",IF((--($U1002="דל"))+(--($V1002="אינו מפותח"))+(--($W1002="דלה"))&gt;=2,"אינה מפותחת","חלקית"))))</f>
        <v/>
      </c>
      <c r="AA1002" s="32">
        <f>IF($C1002="","",IF(COUNTA($M1002,$N1002,$O1002)&lt;3,"— חסרים נתונים",IF(OR($M1002="נמוכה",(--($M1002&lt;&gt;"תקינה"))+(--($N1002&lt;&gt;"תקין"))+(--($O1002&lt;&gt;"תקינה"))&gt;=2),"ניכרת","אינה ניכרת")))</f>
        <v/>
      </c>
      <c r="AB1002" s="32">
        <f>IF(OR($C1002="",$Y1002="",$AA1002="",LEFT($Y1002,1)="—",LEFT($AA1002,1)="—"),"",IF($Z1002="","— נדרשת הערכת כתיבה",IF($L1002="","— חסרה הבנת הנקרא",IF($Y1002="אינה מדויקת או מקוטעת",IF($AA1002="ניכרת","מיקוד בשטף הקריאה ובכישורי שפה","מיקוד בשטף קריאה"),IF($AA1002="ניכרת","מיקוד בכישורי שפה",IF(AND($L1002="תקינה",$Z1002="מפותחת"),"קוראים וכותבים מיומנים","מיקוד בהבנה והבעה"))))))</f>
        <v/>
      </c>
      <c r="AC1002" s="32">
        <f>IF(OR($AB1002="",LEFT($AB1002,1)="—"),"",IF(OR($AB1002="מיקוד בשטף קריאה",$AB1002="מיקוד בשטף הקריאה ובכישורי שפה"),"רמה א'",IF($AB1002="קוראים וכותבים מיומנים","רמה ג'","רמה ב'")))</f>
        <v/>
      </c>
      <c r="AD1002" s="32">
        <f>IF($AC1002="","",MID(IF(AND($AC1002="רמה א'",$AA1002="ניכרת"),"; להוסיף עבודת אוצר מילים","")&amp;IF($Z1002="אינה מפותחת","; דגש על הבעה בכתב","")&amp;IF($K1002&lt;&gt;"תקין","; נדרש לעבוד על ההנגנה","")&amp;IF($AK1002&lt;&gt;"","; "&amp;$AK1002,""),3,400))</f>
        <v/>
      </c>
      <c r="AE1002" s="32">
        <f>IF($F1002="","",IF($F1002="תחילת שנה",1,IF($F1002="מחצית שנה",2,3)))</f>
        <v/>
      </c>
      <c r="AF1002" s="32">
        <f>IF(OR($B1002="",$AC1002="",$A1002="",$F1002=""),"",$B1002&amp;"|"&amp;$A1002&amp;"|"&amp;$F1002&amp;"|"&amp;$AC1002&amp;"|"&amp;COUNTIFS($B$6:$B1002,$B1002,$A$6:$A1002,$A1002,$F$6:$F1002,$F1002,$AC$6:$AC1002,$AC1002))</f>
        <v/>
      </c>
      <c r="AG1002" s="32">
        <f>IF($C1002="","",$C1002&amp;"|"&amp;COUNTIFS($C$6:$C1002,$C1002))</f>
        <v/>
      </c>
      <c r="AH1002" s="32">
        <f>IF(OR($C1002="",$A1002="",$AE1002=""),"",$C1002&amp;"|"&amp;$A1002&amp;"|"&amp;$AE1002)</f>
        <v/>
      </c>
      <c r="AI1002" s="32">
        <f>IF(OR($C1002="",$AE1002="",$AE1002=1),"",IFERROR(INDEX($AC$6:$AC$1505,MATCH($C1002&amp;"|"&amp;$A1002&amp;"|"&amp;($AE1002-1),$AH$6:$AH$1505,0)),""))</f>
        <v/>
      </c>
      <c r="AJ1002" s="32">
        <f>IF(OR($AI1002="",$AC1002=""),"",IF($AI1002=$AC1002,"ללא שינוי","מ-"&amp;$AI1002&amp;" ל-"&amp;$AC1002))</f>
        <v/>
      </c>
      <c r="AK1002" s="67" t="n"/>
    </row>
    <row r="1003">
      <c r="A1003" s="65" t="n"/>
      <c r="B1003" s="65" t="n"/>
      <c r="C1003" s="66" t="n"/>
      <c r="D1003" s="66" t="n"/>
      <c r="E1003" s="65" t="n"/>
      <c r="F1003" s="65" t="n"/>
      <c r="G1003" s="65" t="n"/>
      <c r="H1003" s="65" t="n"/>
      <c r="I1003" s="65" t="n"/>
      <c r="J1003" s="65" t="n"/>
      <c r="K1003" s="65" t="n"/>
      <c r="L1003" s="65" t="n"/>
      <c r="M1003" s="65" t="n"/>
      <c r="N1003" s="65" t="n"/>
      <c r="O1003" s="65" t="n"/>
      <c r="P1003" s="65" t="n"/>
      <c r="Q1003" s="65" t="n"/>
      <c r="R1003" s="65" t="n"/>
      <c r="S1003" s="65" t="n"/>
      <c r="T1003" s="65" t="n"/>
      <c r="U1003" s="65" t="n"/>
      <c r="V1003" s="65" t="n"/>
      <c r="W1003" s="65" t="n"/>
      <c r="X1003" s="65" t="n"/>
      <c r="Y1003" s="32">
        <f>IF($C1003="","",IF(COUNTA($I1003:$K1003)&lt;3,"— חסרים נתונים",IF(AND($I1003="תקין",$J1003="תקין",$K1003="תקין"),"רהוטה",IF(AND($I1003="תקין",$J1003="תקין"),"מדויקת ורציפה","אינה מדויקת או מקוטעת"))))</f>
        <v/>
      </c>
      <c r="Z1003" s="32">
        <f>IF($C1003="","",IF(COUNTA($U1003:$W1003)&lt;3,"",IF(AND($U1003="מפותח",$V1003="מפותח",$W1003="מפותחת"),"מפותחת",IF((--($U1003="דל"))+(--($V1003="אינו מפותח"))+(--($W1003="דלה"))&gt;=2,"אינה מפותחת","חלקית"))))</f>
        <v/>
      </c>
      <c r="AA1003" s="32">
        <f>IF($C1003="","",IF(COUNTA($M1003,$N1003,$O1003)&lt;3,"— חסרים נתונים",IF(OR($M1003="נמוכה",(--($M1003&lt;&gt;"תקינה"))+(--($N1003&lt;&gt;"תקין"))+(--($O1003&lt;&gt;"תקינה"))&gt;=2),"ניכרת","אינה ניכרת")))</f>
        <v/>
      </c>
      <c r="AB1003" s="32">
        <f>IF(OR($C1003="",$Y1003="",$AA1003="",LEFT($Y1003,1)="—",LEFT($AA1003,1)="—"),"",IF($Z1003="","— נדרשת הערכת כתיבה",IF($L1003="","— חסרה הבנת הנקרא",IF($Y1003="אינה מדויקת או מקוטעת",IF($AA1003="ניכרת","מיקוד בשטף הקריאה ובכישורי שפה","מיקוד בשטף קריאה"),IF($AA1003="ניכרת","מיקוד בכישורי שפה",IF(AND($L1003="תקינה",$Z1003="מפותחת"),"קוראים וכותבים מיומנים","מיקוד בהבנה והבעה"))))))</f>
        <v/>
      </c>
      <c r="AC1003" s="32">
        <f>IF(OR($AB1003="",LEFT($AB1003,1)="—"),"",IF(OR($AB1003="מיקוד בשטף קריאה",$AB1003="מיקוד בשטף הקריאה ובכישורי שפה"),"רמה א'",IF($AB1003="קוראים וכותבים מיומנים","רמה ג'","רמה ב'")))</f>
        <v/>
      </c>
      <c r="AD1003" s="32">
        <f>IF($AC1003="","",MID(IF(AND($AC1003="רמה א'",$AA1003="ניכרת"),"; להוסיף עבודת אוצר מילים","")&amp;IF($Z1003="אינה מפותחת","; דגש על הבעה בכתב","")&amp;IF($K1003&lt;&gt;"תקין","; נדרש לעבוד על ההנגנה","")&amp;IF($AK1003&lt;&gt;"","; "&amp;$AK1003,""),3,400))</f>
        <v/>
      </c>
      <c r="AE1003" s="32">
        <f>IF($F1003="","",IF($F1003="תחילת שנה",1,IF($F1003="מחצית שנה",2,3)))</f>
        <v/>
      </c>
      <c r="AF1003" s="32">
        <f>IF(OR($B1003="",$AC1003="",$A1003="",$F1003=""),"",$B1003&amp;"|"&amp;$A1003&amp;"|"&amp;$F1003&amp;"|"&amp;$AC1003&amp;"|"&amp;COUNTIFS($B$6:$B1003,$B1003,$A$6:$A1003,$A1003,$F$6:$F1003,$F1003,$AC$6:$AC1003,$AC1003))</f>
        <v/>
      </c>
      <c r="AG1003" s="32">
        <f>IF($C1003="","",$C1003&amp;"|"&amp;COUNTIFS($C$6:$C1003,$C1003))</f>
        <v/>
      </c>
      <c r="AH1003" s="32">
        <f>IF(OR($C1003="",$A1003="",$AE1003=""),"",$C1003&amp;"|"&amp;$A1003&amp;"|"&amp;$AE1003)</f>
        <v/>
      </c>
      <c r="AI1003" s="32">
        <f>IF(OR($C1003="",$AE1003="",$AE1003=1),"",IFERROR(INDEX($AC$6:$AC$1505,MATCH($C1003&amp;"|"&amp;$A1003&amp;"|"&amp;($AE1003-1),$AH$6:$AH$1505,0)),""))</f>
        <v/>
      </c>
      <c r="AJ1003" s="32">
        <f>IF(OR($AI1003="",$AC1003=""),"",IF($AI1003=$AC1003,"ללא שינוי","מ-"&amp;$AI1003&amp;" ל-"&amp;$AC1003))</f>
        <v/>
      </c>
      <c r="AK1003" s="67" t="n"/>
    </row>
    <row r="1004">
      <c r="A1004" s="65" t="n"/>
      <c r="B1004" s="65" t="n"/>
      <c r="C1004" s="66" t="n"/>
      <c r="D1004" s="66" t="n"/>
      <c r="E1004" s="65" t="n"/>
      <c r="F1004" s="65" t="n"/>
      <c r="G1004" s="65" t="n"/>
      <c r="H1004" s="65" t="n"/>
      <c r="I1004" s="65" t="n"/>
      <c r="J1004" s="65" t="n"/>
      <c r="K1004" s="65" t="n"/>
      <c r="L1004" s="65" t="n"/>
      <c r="M1004" s="65" t="n"/>
      <c r="N1004" s="65" t="n"/>
      <c r="O1004" s="65" t="n"/>
      <c r="P1004" s="65" t="n"/>
      <c r="Q1004" s="65" t="n"/>
      <c r="R1004" s="65" t="n"/>
      <c r="S1004" s="65" t="n"/>
      <c r="T1004" s="65" t="n"/>
      <c r="U1004" s="65" t="n"/>
      <c r="V1004" s="65" t="n"/>
      <c r="W1004" s="65" t="n"/>
      <c r="X1004" s="65" t="n"/>
      <c r="Y1004" s="32">
        <f>IF($C1004="","",IF(COUNTA($I1004:$K1004)&lt;3,"— חסרים נתונים",IF(AND($I1004="תקין",$J1004="תקין",$K1004="תקין"),"רהוטה",IF(AND($I1004="תקין",$J1004="תקין"),"מדויקת ורציפה","אינה מדויקת או מקוטעת"))))</f>
        <v/>
      </c>
      <c r="Z1004" s="32">
        <f>IF($C1004="","",IF(COUNTA($U1004:$W1004)&lt;3,"",IF(AND($U1004="מפותח",$V1004="מפותח",$W1004="מפותחת"),"מפותחת",IF((--($U1004="דל"))+(--($V1004="אינו מפותח"))+(--($W1004="דלה"))&gt;=2,"אינה מפותחת","חלקית"))))</f>
        <v/>
      </c>
      <c r="AA1004" s="32">
        <f>IF($C1004="","",IF(COUNTA($M1004,$N1004,$O1004)&lt;3,"— חסרים נתונים",IF(OR($M1004="נמוכה",(--($M1004&lt;&gt;"תקינה"))+(--($N1004&lt;&gt;"תקין"))+(--($O1004&lt;&gt;"תקינה"))&gt;=2),"ניכרת","אינה ניכרת")))</f>
        <v/>
      </c>
      <c r="AB1004" s="32">
        <f>IF(OR($C1004="",$Y1004="",$AA1004="",LEFT($Y1004,1)="—",LEFT($AA1004,1)="—"),"",IF($Z1004="","— נדרשת הערכת כתיבה",IF($L1004="","— חסרה הבנת הנקרא",IF($Y1004="אינה מדויקת או מקוטעת",IF($AA1004="ניכרת","מיקוד בשטף הקריאה ובכישורי שפה","מיקוד בשטף קריאה"),IF($AA1004="ניכרת","מיקוד בכישורי שפה",IF(AND($L1004="תקינה",$Z1004="מפותחת"),"קוראים וכותבים מיומנים","מיקוד בהבנה והבעה"))))))</f>
        <v/>
      </c>
      <c r="AC1004" s="32">
        <f>IF(OR($AB1004="",LEFT($AB1004,1)="—"),"",IF(OR($AB1004="מיקוד בשטף קריאה",$AB1004="מיקוד בשטף הקריאה ובכישורי שפה"),"רמה א'",IF($AB1004="קוראים וכותבים מיומנים","רמה ג'","רמה ב'")))</f>
        <v/>
      </c>
      <c r="AD1004" s="32">
        <f>IF($AC1004="","",MID(IF(AND($AC1004="רמה א'",$AA1004="ניכרת"),"; להוסיף עבודת אוצר מילים","")&amp;IF($Z1004="אינה מפותחת","; דגש על הבעה בכתב","")&amp;IF($K1004&lt;&gt;"תקין","; נדרש לעבוד על ההנגנה","")&amp;IF($AK1004&lt;&gt;"","; "&amp;$AK1004,""),3,400))</f>
        <v/>
      </c>
      <c r="AE1004" s="32">
        <f>IF($F1004="","",IF($F1004="תחילת שנה",1,IF($F1004="מחצית שנה",2,3)))</f>
        <v/>
      </c>
      <c r="AF1004" s="32">
        <f>IF(OR($B1004="",$AC1004="",$A1004="",$F1004=""),"",$B1004&amp;"|"&amp;$A1004&amp;"|"&amp;$F1004&amp;"|"&amp;$AC1004&amp;"|"&amp;COUNTIFS($B$6:$B1004,$B1004,$A$6:$A1004,$A1004,$F$6:$F1004,$F1004,$AC$6:$AC1004,$AC1004))</f>
        <v/>
      </c>
      <c r="AG1004" s="32">
        <f>IF($C1004="","",$C1004&amp;"|"&amp;COUNTIFS($C$6:$C1004,$C1004))</f>
        <v/>
      </c>
      <c r="AH1004" s="32">
        <f>IF(OR($C1004="",$A1004="",$AE1004=""),"",$C1004&amp;"|"&amp;$A1004&amp;"|"&amp;$AE1004)</f>
        <v/>
      </c>
      <c r="AI1004" s="32">
        <f>IF(OR($C1004="",$AE1004="",$AE1004=1),"",IFERROR(INDEX($AC$6:$AC$1505,MATCH($C1004&amp;"|"&amp;$A1004&amp;"|"&amp;($AE1004-1),$AH$6:$AH$1505,0)),""))</f>
        <v/>
      </c>
      <c r="AJ1004" s="32">
        <f>IF(OR($AI1004="",$AC1004=""),"",IF($AI1004=$AC1004,"ללא שינוי","מ-"&amp;$AI1004&amp;" ל-"&amp;$AC1004))</f>
        <v/>
      </c>
      <c r="AK1004" s="67" t="n"/>
    </row>
    <row r="1005">
      <c r="A1005" s="65" t="n"/>
      <c r="B1005" s="65" t="n"/>
      <c r="C1005" s="66" t="n"/>
      <c r="D1005" s="66" t="n"/>
      <c r="E1005" s="65" t="n"/>
      <c r="F1005" s="65" t="n"/>
      <c r="G1005" s="65" t="n"/>
      <c r="H1005" s="65" t="n"/>
      <c r="I1005" s="65" t="n"/>
      <c r="J1005" s="65" t="n"/>
      <c r="K1005" s="65" t="n"/>
      <c r="L1005" s="65" t="n"/>
      <c r="M1005" s="65" t="n"/>
      <c r="N1005" s="65" t="n"/>
      <c r="O1005" s="65" t="n"/>
      <c r="P1005" s="65" t="n"/>
      <c r="Q1005" s="65" t="n"/>
      <c r="R1005" s="65" t="n"/>
      <c r="S1005" s="65" t="n"/>
      <c r="T1005" s="65" t="n"/>
      <c r="U1005" s="65" t="n"/>
      <c r="V1005" s="65" t="n"/>
      <c r="W1005" s="65" t="n"/>
      <c r="X1005" s="65" t="n"/>
      <c r="Y1005" s="32">
        <f>IF($C1005="","",IF(COUNTA($I1005:$K1005)&lt;3,"— חסרים נתונים",IF(AND($I1005="תקין",$J1005="תקין",$K1005="תקין"),"רהוטה",IF(AND($I1005="תקין",$J1005="תקין"),"מדויקת ורציפה","אינה מדויקת או מקוטעת"))))</f>
        <v/>
      </c>
      <c r="Z1005" s="32">
        <f>IF($C1005="","",IF(COUNTA($U1005:$W1005)&lt;3,"",IF(AND($U1005="מפותח",$V1005="מפותח",$W1005="מפותחת"),"מפותחת",IF((--($U1005="דל"))+(--($V1005="אינו מפותח"))+(--($W1005="דלה"))&gt;=2,"אינה מפותחת","חלקית"))))</f>
        <v/>
      </c>
      <c r="AA1005" s="32">
        <f>IF($C1005="","",IF(COUNTA($M1005,$N1005,$O1005)&lt;3,"— חסרים נתונים",IF(OR($M1005="נמוכה",(--($M1005&lt;&gt;"תקינה"))+(--($N1005&lt;&gt;"תקין"))+(--($O1005&lt;&gt;"תקינה"))&gt;=2),"ניכרת","אינה ניכרת")))</f>
        <v/>
      </c>
      <c r="AB1005" s="32">
        <f>IF(OR($C1005="",$Y1005="",$AA1005="",LEFT($Y1005,1)="—",LEFT($AA1005,1)="—"),"",IF($Z1005="","— נדרשת הערכת כתיבה",IF($L1005="","— חסרה הבנת הנקרא",IF($Y1005="אינה מדויקת או מקוטעת",IF($AA1005="ניכרת","מיקוד בשטף הקריאה ובכישורי שפה","מיקוד בשטף קריאה"),IF($AA1005="ניכרת","מיקוד בכישורי שפה",IF(AND($L1005="תקינה",$Z1005="מפותחת"),"קוראים וכותבים מיומנים","מיקוד בהבנה והבעה"))))))</f>
        <v/>
      </c>
      <c r="AC1005" s="32">
        <f>IF(OR($AB1005="",LEFT($AB1005,1)="—"),"",IF(OR($AB1005="מיקוד בשטף קריאה",$AB1005="מיקוד בשטף הקריאה ובכישורי שפה"),"רמה א'",IF($AB1005="קוראים וכותבים מיומנים","רמה ג'","רמה ב'")))</f>
        <v/>
      </c>
      <c r="AD1005" s="32">
        <f>IF($AC1005="","",MID(IF(AND($AC1005="רמה א'",$AA1005="ניכרת"),"; להוסיף עבודת אוצר מילים","")&amp;IF($Z1005="אינה מפותחת","; דגש על הבעה בכתב","")&amp;IF($K1005&lt;&gt;"תקין","; נדרש לעבוד על ההנגנה","")&amp;IF($AK1005&lt;&gt;"","; "&amp;$AK1005,""),3,400))</f>
        <v/>
      </c>
      <c r="AE1005" s="32">
        <f>IF($F1005="","",IF($F1005="תחילת שנה",1,IF($F1005="מחצית שנה",2,3)))</f>
        <v/>
      </c>
      <c r="AF1005" s="32">
        <f>IF(OR($B1005="",$AC1005="",$A1005="",$F1005=""),"",$B1005&amp;"|"&amp;$A1005&amp;"|"&amp;$F1005&amp;"|"&amp;$AC1005&amp;"|"&amp;COUNTIFS($B$6:$B1005,$B1005,$A$6:$A1005,$A1005,$F$6:$F1005,$F1005,$AC$6:$AC1005,$AC1005))</f>
        <v/>
      </c>
      <c r="AG1005" s="32">
        <f>IF($C1005="","",$C1005&amp;"|"&amp;COUNTIFS($C$6:$C1005,$C1005))</f>
        <v/>
      </c>
      <c r="AH1005" s="32">
        <f>IF(OR($C1005="",$A1005="",$AE1005=""),"",$C1005&amp;"|"&amp;$A1005&amp;"|"&amp;$AE1005)</f>
        <v/>
      </c>
      <c r="AI1005" s="32">
        <f>IF(OR($C1005="",$AE1005="",$AE1005=1),"",IFERROR(INDEX($AC$6:$AC$1505,MATCH($C1005&amp;"|"&amp;$A1005&amp;"|"&amp;($AE1005-1),$AH$6:$AH$1505,0)),""))</f>
        <v/>
      </c>
      <c r="AJ1005" s="32">
        <f>IF(OR($AI1005="",$AC1005=""),"",IF($AI1005=$AC1005,"ללא שינוי","מ-"&amp;$AI1005&amp;" ל-"&amp;$AC1005))</f>
        <v/>
      </c>
      <c r="AK1005" s="67" t="n"/>
    </row>
    <row r="1006">
      <c r="A1006" s="65" t="n"/>
      <c r="B1006" s="65" t="n"/>
      <c r="C1006" s="66" t="n"/>
      <c r="D1006" s="66" t="n"/>
      <c r="E1006" s="65" t="n"/>
      <c r="F1006" s="65" t="n"/>
      <c r="G1006" s="65" t="n"/>
      <c r="H1006" s="65" t="n"/>
      <c r="I1006" s="65" t="n"/>
      <c r="J1006" s="65" t="n"/>
      <c r="K1006" s="65" t="n"/>
      <c r="L1006" s="65" t="n"/>
      <c r="M1006" s="65" t="n"/>
      <c r="N1006" s="65" t="n"/>
      <c r="O1006" s="65" t="n"/>
      <c r="P1006" s="65" t="n"/>
      <c r="Q1006" s="65" t="n"/>
      <c r="R1006" s="65" t="n"/>
      <c r="S1006" s="65" t="n"/>
      <c r="T1006" s="65" t="n"/>
      <c r="U1006" s="65" t="n"/>
      <c r="V1006" s="65" t="n"/>
      <c r="W1006" s="65" t="n"/>
      <c r="X1006" s="65" t="n"/>
      <c r="Y1006" s="32">
        <f>IF($C1006="","",IF(COUNTA($I1006:$K1006)&lt;3,"— חסרים נתונים",IF(AND($I1006="תקין",$J1006="תקין",$K1006="תקין"),"רהוטה",IF(AND($I1006="תקין",$J1006="תקין"),"מדויקת ורציפה","אינה מדויקת או מקוטעת"))))</f>
        <v/>
      </c>
      <c r="Z1006" s="32">
        <f>IF($C1006="","",IF(COUNTA($U1006:$W1006)&lt;3,"",IF(AND($U1006="מפותח",$V1006="מפותח",$W1006="מפותחת"),"מפותחת",IF((--($U1006="דל"))+(--($V1006="אינו מפותח"))+(--($W1006="דלה"))&gt;=2,"אינה מפותחת","חלקית"))))</f>
        <v/>
      </c>
      <c r="AA1006" s="32">
        <f>IF($C1006="","",IF(COUNTA($M1006,$N1006,$O1006)&lt;3,"— חסרים נתונים",IF(OR($M1006="נמוכה",(--($M1006&lt;&gt;"תקינה"))+(--($N1006&lt;&gt;"תקין"))+(--($O1006&lt;&gt;"תקינה"))&gt;=2),"ניכרת","אינה ניכרת")))</f>
        <v/>
      </c>
      <c r="AB1006" s="32">
        <f>IF(OR($C1006="",$Y1006="",$AA1006="",LEFT($Y1006,1)="—",LEFT($AA1006,1)="—"),"",IF($Z1006="","— נדרשת הערכת כתיבה",IF($L1006="","— חסרה הבנת הנקרא",IF($Y1006="אינה מדויקת או מקוטעת",IF($AA1006="ניכרת","מיקוד בשטף הקריאה ובכישורי שפה","מיקוד בשטף קריאה"),IF($AA1006="ניכרת","מיקוד בכישורי שפה",IF(AND($L1006="תקינה",$Z1006="מפותחת"),"קוראים וכותבים מיומנים","מיקוד בהבנה והבעה"))))))</f>
        <v/>
      </c>
      <c r="AC1006" s="32">
        <f>IF(OR($AB1006="",LEFT($AB1006,1)="—"),"",IF(OR($AB1006="מיקוד בשטף קריאה",$AB1006="מיקוד בשטף הקריאה ובכישורי שפה"),"רמה א'",IF($AB1006="קוראים וכותבים מיומנים","רמה ג'","רמה ב'")))</f>
        <v/>
      </c>
      <c r="AD1006" s="32">
        <f>IF($AC1006="","",MID(IF(AND($AC1006="רמה א'",$AA1006="ניכרת"),"; להוסיף עבודת אוצר מילים","")&amp;IF($Z1006="אינה מפותחת","; דגש על הבעה בכתב","")&amp;IF($K1006&lt;&gt;"תקין","; נדרש לעבוד על ההנגנה","")&amp;IF($AK1006&lt;&gt;"","; "&amp;$AK1006,""),3,400))</f>
        <v/>
      </c>
      <c r="AE1006" s="32">
        <f>IF($F1006="","",IF($F1006="תחילת שנה",1,IF($F1006="מחצית שנה",2,3)))</f>
        <v/>
      </c>
      <c r="AF1006" s="32">
        <f>IF(OR($B1006="",$AC1006="",$A1006="",$F1006=""),"",$B1006&amp;"|"&amp;$A1006&amp;"|"&amp;$F1006&amp;"|"&amp;$AC1006&amp;"|"&amp;COUNTIFS($B$6:$B1006,$B1006,$A$6:$A1006,$A1006,$F$6:$F1006,$F1006,$AC$6:$AC1006,$AC1006))</f>
        <v/>
      </c>
      <c r="AG1006" s="32">
        <f>IF($C1006="","",$C1006&amp;"|"&amp;COUNTIFS($C$6:$C1006,$C1006))</f>
        <v/>
      </c>
      <c r="AH1006" s="32">
        <f>IF(OR($C1006="",$A1006="",$AE1006=""),"",$C1006&amp;"|"&amp;$A1006&amp;"|"&amp;$AE1006)</f>
        <v/>
      </c>
      <c r="AI1006" s="32">
        <f>IF(OR($C1006="",$AE1006="",$AE1006=1),"",IFERROR(INDEX($AC$6:$AC$1505,MATCH($C1006&amp;"|"&amp;$A1006&amp;"|"&amp;($AE1006-1),$AH$6:$AH$1505,0)),""))</f>
        <v/>
      </c>
      <c r="AJ1006" s="32">
        <f>IF(OR($AI1006="",$AC1006=""),"",IF($AI1006=$AC1006,"ללא שינוי","מ-"&amp;$AI1006&amp;" ל-"&amp;$AC1006))</f>
        <v/>
      </c>
      <c r="AK1006" s="67" t="n"/>
    </row>
    <row r="1007">
      <c r="A1007" s="65" t="n"/>
      <c r="B1007" s="65" t="n"/>
      <c r="C1007" s="66" t="n"/>
      <c r="D1007" s="66" t="n"/>
      <c r="E1007" s="65" t="n"/>
      <c r="F1007" s="65" t="n"/>
      <c r="G1007" s="65" t="n"/>
      <c r="H1007" s="65" t="n"/>
      <c r="I1007" s="65" t="n"/>
      <c r="J1007" s="65" t="n"/>
      <c r="K1007" s="65" t="n"/>
      <c r="L1007" s="65" t="n"/>
      <c r="M1007" s="65" t="n"/>
      <c r="N1007" s="65" t="n"/>
      <c r="O1007" s="65" t="n"/>
      <c r="P1007" s="65" t="n"/>
      <c r="Q1007" s="65" t="n"/>
      <c r="R1007" s="65" t="n"/>
      <c r="S1007" s="65" t="n"/>
      <c r="T1007" s="65" t="n"/>
      <c r="U1007" s="65" t="n"/>
      <c r="V1007" s="65" t="n"/>
      <c r="W1007" s="65" t="n"/>
      <c r="X1007" s="65" t="n"/>
      <c r="Y1007" s="32">
        <f>IF($C1007="","",IF(COUNTA($I1007:$K1007)&lt;3,"— חסרים נתונים",IF(AND($I1007="תקין",$J1007="תקין",$K1007="תקין"),"רהוטה",IF(AND($I1007="תקין",$J1007="תקין"),"מדויקת ורציפה","אינה מדויקת או מקוטעת"))))</f>
        <v/>
      </c>
      <c r="Z1007" s="32">
        <f>IF($C1007="","",IF(COUNTA($U1007:$W1007)&lt;3,"",IF(AND($U1007="מפותח",$V1007="מפותח",$W1007="מפותחת"),"מפותחת",IF((--($U1007="דל"))+(--($V1007="אינו מפותח"))+(--($W1007="דלה"))&gt;=2,"אינה מפותחת","חלקית"))))</f>
        <v/>
      </c>
      <c r="AA1007" s="32">
        <f>IF($C1007="","",IF(COUNTA($M1007,$N1007,$O1007)&lt;3,"— חסרים נתונים",IF(OR($M1007="נמוכה",(--($M1007&lt;&gt;"תקינה"))+(--($N1007&lt;&gt;"תקין"))+(--($O1007&lt;&gt;"תקינה"))&gt;=2),"ניכרת","אינה ניכרת")))</f>
        <v/>
      </c>
      <c r="AB1007" s="32">
        <f>IF(OR($C1007="",$Y1007="",$AA1007="",LEFT($Y1007,1)="—",LEFT($AA1007,1)="—"),"",IF($Z1007="","— נדרשת הערכת כתיבה",IF($L1007="","— חסרה הבנת הנקרא",IF($Y1007="אינה מדויקת או מקוטעת",IF($AA1007="ניכרת","מיקוד בשטף הקריאה ובכישורי שפה","מיקוד בשטף קריאה"),IF($AA1007="ניכרת","מיקוד בכישורי שפה",IF(AND($L1007="תקינה",$Z1007="מפותחת"),"קוראים וכותבים מיומנים","מיקוד בהבנה והבעה"))))))</f>
        <v/>
      </c>
      <c r="AC1007" s="32">
        <f>IF(OR($AB1007="",LEFT($AB1007,1)="—"),"",IF(OR($AB1007="מיקוד בשטף קריאה",$AB1007="מיקוד בשטף הקריאה ובכישורי שפה"),"רמה א'",IF($AB1007="קוראים וכותבים מיומנים","רמה ג'","רמה ב'")))</f>
        <v/>
      </c>
      <c r="AD1007" s="32">
        <f>IF($AC1007="","",MID(IF(AND($AC1007="רמה א'",$AA1007="ניכרת"),"; להוסיף עבודת אוצר מילים","")&amp;IF($Z1007="אינה מפותחת","; דגש על הבעה בכתב","")&amp;IF($K1007&lt;&gt;"תקין","; נדרש לעבוד על ההנגנה","")&amp;IF($AK1007&lt;&gt;"","; "&amp;$AK1007,""),3,400))</f>
        <v/>
      </c>
      <c r="AE1007" s="32">
        <f>IF($F1007="","",IF($F1007="תחילת שנה",1,IF($F1007="מחצית שנה",2,3)))</f>
        <v/>
      </c>
      <c r="AF1007" s="32">
        <f>IF(OR($B1007="",$AC1007="",$A1007="",$F1007=""),"",$B1007&amp;"|"&amp;$A1007&amp;"|"&amp;$F1007&amp;"|"&amp;$AC1007&amp;"|"&amp;COUNTIFS($B$6:$B1007,$B1007,$A$6:$A1007,$A1007,$F$6:$F1007,$F1007,$AC$6:$AC1007,$AC1007))</f>
        <v/>
      </c>
      <c r="AG1007" s="32">
        <f>IF($C1007="","",$C1007&amp;"|"&amp;COUNTIFS($C$6:$C1007,$C1007))</f>
        <v/>
      </c>
      <c r="AH1007" s="32">
        <f>IF(OR($C1007="",$A1007="",$AE1007=""),"",$C1007&amp;"|"&amp;$A1007&amp;"|"&amp;$AE1007)</f>
        <v/>
      </c>
      <c r="AI1007" s="32">
        <f>IF(OR($C1007="",$AE1007="",$AE1007=1),"",IFERROR(INDEX($AC$6:$AC$1505,MATCH($C1007&amp;"|"&amp;$A1007&amp;"|"&amp;($AE1007-1),$AH$6:$AH$1505,0)),""))</f>
        <v/>
      </c>
      <c r="AJ1007" s="32">
        <f>IF(OR($AI1007="",$AC1007=""),"",IF($AI1007=$AC1007,"ללא שינוי","מ-"&amp;$AI1007&amp;" ל-"&amp;$AC1007))</f>
        <v/>
      </c>
      <c r="AK1007" s="67" t="n"/>
    </row>
    <row r="1008">
      <c r="A1008" s="65" t="n"/>
      <c r="B1008" s="65" t="n"/>
      <c r="C1008" s="66" t="n"/>
      <c r="D1008" s="66" t="n"/>
      <c r="E1008" s="65" t="n"/>
      <c r="F1008" s="65" t="n"/>
      <c r="G1008" s="65" t="n"/>
      <c r="H1008" s="65" t="n"/>
      <c r="I1008" s="65" t="n"/>
      <c r="J1008" s="65" t="n"/>
      <c r="K1008" s="65" t="n"/>
      <c r="L1008" s="65" t="n"/>
      <c r="M1008" s="65" t="n"/>
      <c r="N1008" s="65" t="n"/>
      <c r="O1008" s="65" t="n"/>
      <c r="P1008" s="65" t="n"/>
      <c r="Q1008" s="65" t="n"/>
      <c r="R1008" s="65" t="n"/>
      <c r="S1008" s="65" t="n"/>
      <c r="T1008" s="65" t="n"/>
      <c r="U1008" s="65" t="n"/>
      <c r="V1008" s="65" t="n"/>
      <c r="W1008" s="65" t="n"/>
      <c r="X1008" s="65" t="n"/>
      <c r="Y1008" s="32">
        <f>IF($C1008="","",IF(COUNTA($I1008:$K1008)&lt;3,"— חסרים נתונים",IF(AND($I1008="תקין",$J1008="תקין",$K1008="תקין"),"רהוטה",IF(AND($I1008="תקין",$J1008="תקין"),"מדויקת ורציפה","אינה מדויקת או מקוטעת"))))</f>
        <v/>
      </c>
      <c r="Z1008" s="32">
        <f>IF($C1008="","",IF(COUNTA($U1008:$W1008)&lt;3,"",IF(AND($U1008="מפותח",$V1008="מפותח",$W1008="מפותחת"),"מפותחת",IF((--($U1008="דל"))+(--($V1008="אינו מפותח"))+(--($W1008="דלה"))&gt;=2,"אינה מפותחת","חלקית"))))</f>
        <v/>
      </c>
      <c r="AA1008" s="32">
        <f>IF($C1008="","",IF(COUNTA($M1008,$N1008,$O1008)&lt;3,"— חסרים נתונים",IF(OR($M1008="נמוכה",(--($M1008&lt;&gt;"תקינה"))+(--($N1008&lt;&gt;"תקין"))+(--($O1008&lt;&gt;"תקינה"))&gt;=2),"ניכרת","אינה ניכרת")))</f>
        <v/>
      </c>
      <c r="AB1008" s="32">
        <f>IF(OR($C1008="",$Y1008="",$AA1008="",LEFT($Y1008,1)="—",LEFT($AA1008,1)="—"),"",IF($Z1008="","— נדרשת הערכת כתיבה",IF($L1008="","— חסרה הבנת הנקרא",IF($Y1008="אינה מדויקת או מקוטעת",IF($AA1008="ניכרת","מיקוד בשטף הקריאה ובכישורי שפה","מיקוד בשטף קריאה"),IF($AA1008="ניכרת","מיקוד בכישורי שפה",IF(AND($L1008="תקינה",$Z1008="מפותחת"),"קוראים וכותבים מיומנים","מיקוד בהבנה והבעה"))))))</f>
        <v/>
      </c>
      <c r="AC1008" s="32">
        <f>IF(OR($AB1008="",LEFT($AB1008,1)="—"),"",IF(OR($AB1008="מיקוד בשטף קריאה",$AB1008="מיקוד בשטף הקריאה ובכישורי שפה"),"רמה א'",IF($AB1008="קוראים וכותבים מיומנים","רמה ג'","רמה ב'")))</f>
        <v/>
      </c>
      <c r="AD1008" s="32">
        <f>IF($AC1008="","",MID(IF(AND($AC1008="רמה א'",$AA1008="ניכרת"),"; להוסיף עבודת אוצר מילים","")&amp;IF($Z1008="אינה מפותחת","; דגש על הבעה בכתב","")&amp;IF($K1008&lt;&gt;"תקין","; נדרש לעבוד על ההנגנה","")&amp;IF($AK1008&lt;&gt;"","; "&amp;$AK1008,""),3,400))</f>
        <v/>
      </c>
      <c r="AE1008" s="32">
        <f>IF($F1008="","",IF($F1008="תחילת שנה",1,IF($F1008="מחצית שנה",2,3)))</f>
        <v/>
      </c>
      <c r="AF1008" s="32">
        <f>IF(OR($B1008="",$AC1008="",$A1008="",$F1008=""),"",$B1008&amp;"|"&amp;$A1008&amp;"|"&amp;$F1008&amp;"|"&amp;$AC1008&amp;"|"&amp;COUNTIFS($B$6:$B1008,$B1008,$A$6:$A1008,$A1008,$F$6:$F1008,$F1008,$AC$6:$AC1008,$AC1008))</f>
        <v/>
      </c>
      <c r="AG1008" s="32">
        <f>IF($C1008="","",$C1008&amp;"|"&amp;COUNTIFS($C$6:$C1008,$C1008))</f>
        <v/>
      </c>
      <c r="AH1008" s="32">
        <f>IF(OR($C1008="",$A1008="",$AE1008=""),"",$C1008&amp;"|"&amp;$A1008&amp;"|"&amp;$AE1008)</f>
        <v/>
      </c>
      <c r="AI1008" s="32">
        <f>IF(OR($C1008="",$AE1008="",$AE1008=1),"",IFERROR(INDEX($AC$6:$AC$1505,MATCH($C1008&amp;"|"&amp;$A1008&amp;"|"&amp;($AE1008-1),$AH$6:$AH$1505,0)),""))</f>
        <v/>
      </c>
      <c r="AJ1008" s="32">
        <f>IF(OR($AI1008="",$AC1008=""),"",IF($AI1008=$AC1008,"ללא שינוי","מ-"&amp;$AI1008&amp;" ל-"&amp;$AC1008))</f>
        <v/>
      </c>
      <c r="AK1008" s="67" t="n"/>
    </row>
    <row r="1009">
      <c r="A1009" s="65" t="n"/>
      <c r="B1009" s="65" t="n"/>
      <c r="C1009" s="66" t="n"/>
      <c r="D1009" s="66" t="n"/>
      <c r="E1009" s="65" t="n"/>
      <c r="F1009" s="65" t="n"/>
      <c r="G1009" s="65" t="n"/>
      <c r="H1009" s="65" t="n"/>
      <c r="I1009" s="65" t="n"/>
      <c r="J1009" s="65" t="n"/>
      <c r="K1009" s="65" t="n"/>
      <c r="L1009" s="65" t="n"/>
      <c r="M1009" s="65" t="n"/>
      <c r="N1009" s="65" t="n"/>
      <c r="O1009" s="65" t="n"/>
      <c r="P1009" s="65" t="n"/>
      <c r="Q1009" s="65" t="n"/>
      <c r="R1009" s="65" t="n"/>
      <c r="S1009" s="65" t="n"/>
      <c r="T1009" s="65" t="n"/>
      <c r="U1009" s="65" t="n"/>
      <c r="V1009" s="65" t="n"/>
      <c r="W1009" s="65" t="n"/>
      <c r="X1009" s="65" t="n"/>
      <c r="Y1009" s="32">
        <f>IF($C1009="","",IF(COUNTA($I1009:$K1009)&lt;3,"— חסרים נתונים",IF(AND($I1009="תקין",$J1009="תקין",$K1009="תקין"),"רהוטה",IF(AND($I1009="תקין",$J1009="תקין"),"מדויקת ורציפה","אינה מדויקת או מקוטעת"))))</f>
        <v/>
      </c>
      <c r="Z1009" s="32">
        <f>IF($C1009="","",IF(COUNTA($U1009:$W1009)&lt;3,"",IF(AND($U1009="מפותח",$V1009="מפותח",$W1009="מפותחת"),"מפותחת",IF((--($U1009="דל"))+(--($V1009="אינו מפותח"))+(--($W1009="דלה"))&gt;=2,"אינה מפותחת","חלקית"))))</f>
        <v/>
      </c>
      <c r="AA1009" s="32">
        <f>IF($C1009="","",IF(COUNTA($M1009,$N1009,$O1009)&lt;3,"— חסרים נתונים",IF(OR($M1009="נמוכה",(--($M1009&lt;&gt;"תקינה"))+(--($N1009&lt;&gt;"תקין"))+(--($O1009&lt;&gt;"תקינה"))&gt;=2),"ניכרת","אינה ניכרת")))</f>
        <v/>
      </c>
      <c r="AB1009" s="32">
        <f>IF(OR($C1009="",$Y1009="",$AA1009="",LEFT($Y1009,1)="—",LEFT($AA1009,1)="—"),"",IF($Z1009="","— נדרשת הערכת כתיבה",IF($L1009="","— חסרה הבנת הנקרא",IF($Y1009="אינה מדויקת או מקוטעת",IF($AA1009="ניכרת","מיקוד בשטף הקריאה ובכישורי שפה","מיקוד בשטף קריאה"),IF($AA1009="ניכרת","מיקוד בכישורי שפה",IF(AND($L1009="תקינה",$Z1009="מפותחת"),"קוראים וכותבים מיומנים","מיקוד בהבנה והבעה"))))))</f>
        <v/>
      </c>
      <c r="AC1009" s="32">
        <f>IF(OR($AB1009="",LEFT($AB1009,1)="—"),"",IF(OR($AB1009="מיקוד בשטף קריאה",$AB1009="מיקוד בשטף הקריאה ובכישורי שפה"),"רמה א'",IF($AB1009="קוראים וכותבים מיומנים","רמה ג'","רמה ב'")))</f>
        <v/>
      </c>
      <c r="AD1009" s="32">
        <f>IF($AC1009="","",MID(IF(AND($AC1009="רמה א'",$AA1009="ניכרת"),"; להוסיף עבודת אוצר מילים","")&amp;IF($Z1009="אינה מפותחת","; דגש על הבעה בכתב","")&amp;IF($K1009&lt;&gt;"תקין","; נדרש לעבוד על ההנגנה","")&amp;IF($AK1009&lt;&gt;"","; "&amp;$AK1009,""),3,400))</f>
        <v/>
      </c>
      <c r="AE1009" s="32">
        <f>IF($F1009="","",IF($F1009="תחילת שנה",1,IF($F1009="מחצית שנה",2,3)))</f>
        <v/>
      </c>
      <c r="AF1009" s="32">
        <f>IF(OR($B1009="",$AC1009="",$A1009="",$F1009=""),"",$B1009&amp;"|"&amp;$A1009&amp;"|"&amp;$F1009&amp;"|"&amp;$AC1009&amp;"|"&amp;COUNTIFS($B$6:$B1009,$B1009,$A$6:$A1009,$A1009,$F$6:$F1009,$F1009,$AC$6:$AC1009,$AC1009))</f>
        <v/>
      </c>
      <c r="AG1009" s="32">
        <f>IF($C1009="","",$C1009&amp;"|"&amp;COUNTIFS($C$6:$C1009,$C1009))</f>
        <v/>
      </c>
      <c r="AH1009" s="32">
        <f>IF(OR($C1009="",$A1009="",$AE1009=""),"",$C1009&amp;"|"&amp;$A1009&amp;"|"&amp;$AE1009)</f>
        <v/>
      </c>
      <c r="AI1009" s="32">
        <f>IF(OR($C1009="",$AE1009="",$AE1009=1),"",IFERROR(INDEX($AC$6:$AC$1505,MATCH($C1009&amp;"|"&amp;$A1009&amp;"|"&amp;($AE1009-1),$AH$6:$AH$1505,0)),""))</f>
        <v/>
      </c>
      <c r="AJ1009" s="32">
        <f>IF(OR($AI1009="",$AC1009=""),"",IF($AI1009=$AC1009,"ללא שינוי","מ-"&amp;$AI1009&amp;" ל-"&amp;$AC1009))</f>
        <v/>
      </c>
      <c r="AK1009" s="67" t="n"/>
    </row>
    <row r="1010">
      <c r="A1010" s="65" t="n"/>
      <c r="B1010" s="65" t="n"/>
      <c r="C1010" s="66" t="n"/>
      <c r="D1010" s="66" t="n"/>
      <c r="E1010" s="65" t="n"/>
      <c r="F1010" s="65" t="n"/>
      <c r="G1010" s="65" t="n"/>
      <c r="H1010" s="65" t="n"/>
      <c r="I1010" s="65" t="n"/>
      <c r="J1010" s="65" t="n"/>
      <c r="K1010" s="65" t="n"/>
      <c r="L1010" s="65" t="n"/>
      <c r="M1010" s="65" t="n"/>
      <c r="N1010" s="65" t="n"/>
      <c r="O1010" s="65" t="n"/>
      <c r="P1010" s="65" t="n"/>
      <c r="Q1010" s="65" t="n"/>
      <c r="R1010" s="65" t="n"/>
      <c r="S1010" s="65" t="n"/>
      <c r="T1010" s="65" t="n"/>
      <c r="U1010" s="65" t="n"/>
      <c r="V1010" s="65" t="n"/>
      <c r="W1010" s="65" t="n"/>
      <c r="X1010" s="65" t="n"/>
      <c r="Y1010" s="32">
        <f>IF($C1010="","",IF(COUNTA($I1010:$K1010)&lt;3,"— חסרים נתונים",IF(AND($I1010="תקין",$J1010="תקין",$K1010="תקין"),"רהוטה",IF(AND($I1010="תקין",$J1010="תקין"),"מדויקת ורציפה","אינה מדויקת או מקוטעת"))))</f>
        <v/>
      </c>
      <c r="Z1010" s="32">
        <f>IF($C1010="","",IF(COUNTA($U1010:$W1010)&lt;3,"",IF(AND($U1010="מפותח",$V1010="מפותח",$W1010="מפותחת"),"מפותחת",IF((--($U1010="דל"))+(--($V1010="אינו מפותח"))+(--($W1010="דלה"))&gt;=2,"אינה מפותחת","חלקית"))))</f>
        <v/>
      </c>
      <c r="AA1010" s="32">
        <f>IF($C1010="","",IF(COUNTA($M1010,$N1010,$O1010)&lt;3,"— חסרים נתונים",IF(OR($M1010="נמוכה",(--($M1010&lt;&gt;"תקינה"))+(--($N1010&lt;&gt;"תקין"))+(--($O1010&lt;&gt;"תקינה"))&gt;=2),"ניכרת","אינה ניכרת")))</f>
        <v/>
      </c>
      <c r="AB1010" s="32">
        <f>IF(OR($C1010="",$Y1010="",$AA1010="",LEFT($Y1010,1)="—",LEFT($AA1010,1)="—"),"",IF($Z1010="","— נדרשת הערכת כתיבה",IF($L1010="","— חסרה הבנת הנקרא",IF($Y1010="אינה מדויקת או מקוטעת",IF($AA1010="ניכרת","מיקוד בשטף הקריאה ובכישורי שפה","מיקוד בשטף קריאה"),IF($AA1010="ניכרת","מיקוד בכישורי שפה",IF(AND($L1010="תקינה",$Z1010="מפותחת"),"קוראים וכותבים מיומנים","מיקוד בהבנה והבעה"))))))</f>
        <v/>
      </c>
      <c r="AC1010" s="32">
        <f>IF(OR($AB1010="",LEFT($AB1010,1)="—"),"",IF(OR($AB1010="מיקוד בשטף קריאה",$AB1010="מיקוד בשטף הקריאה ובכישורי שפה"),"רמה א'",IF($AB1010="קוראים וכותבים מיומנים","רמה ג'","רמה ב'")))</f>
        <v/>
      </c>
      <c r="AD1010" s="32">
        <f>IF($AC1010="","",MID(IF(AND($AC1010="רמה א'",$AA1010="ניכרת"),"; להוסיף עבודת אוצר מילים","")&amp;IF($Z1010="אינה מפותחת","; דגש על הבעה בכתב","")&amp;IF($K1010&lt;&gt;"תקין","; נדרש לעבוד על ההנגנה","")&amp;IF($AK1010&lt;&gt;"","; "&amp;$AK1010,""),3,400))</f>
        <v/>
      </c>
      <c r="AE1010" s="32">
        <f>IF($F1010="","",IF($F1010="תחילת שנה",1,IF($F1010="מחצית שנה",2,3)))</f>
        <v/>
      </c>
      <c r="AF1010" s="32">
        <f>IF(OR($B1010="",$AC1010="",$A1010="",$F1010=""),"",$B1010&amp;"|"&amp;$A1010&amp;"|"&amp;$F1010&amp;"|"&amp;$AC1010&amp;"|"&amp;COUNTIFS($B$6:$B1010,$B1010,$A$6:$A1010,$A1010,$F$6:$F1010,$F1010,$AC$6:$AC1010,$AC1010))</f>
        <v/>
      </c>
      <c r="AG1010" s="32">
        <f>IF($C1010="","",$C1010&amp;"|"&amp;COUNTIFS($C$6:$C1010,$C1010))</f>
        <v/>
      </c>
      <c r="AH1010" s="32">
        <f>IF(OR($C1010="",$A1010="",$AE1010=""),"",$C1010&amp;"|"&amp;$A1010&amp;"|"&amp;$AE1010)</f>
        <v/>
      </c>
      <c r="AI1010" s="32">
        <f>IF(OR($C1010="",$AE1010="",$AE1010=1),"",IFERROR(INDEX($AC$6:$AC$1505,MATCH($C1010&amp;"|"&amp;$A1010&amp;"|"&amp;($AE1010-1),$AH$6:$AH$1505,0)),""))</f>
        <v/>
      </c>
      <c r="AJ1010" s="32">
        <f>IF(OR($AI1010="",$AC1010=""),"",IF($AI1010=$AC1010,"ללא שינוי","מ-"&amp;$AI1010&amp;" ל-"&amp;$AC1010))</f>
        <v/>
      </c>
      <c r="AK1010" s="67" t="n"/>
    </row>
    <row r="1011">
      <c r="A1011" s="65" t="n"/>
      <c r="B1011" s="65" t="n"/>
      <c r="C1011" s="66" t="n"/>
      <c r="D1011" s="66" t="n"/>
      <c r="E1011" s="65" t="n"/>
      <c r="F1011" s="65" t="n"/>
      <c r="G1011" s="65" t="n"/>
      <c r="H1011" s="65" t="n"/>
      <c r="I1011" s="65" t="n"/>
      <c r="J1011" s="65" t="n"/>
      <c r="K1011" s="65" t="n"/>
      <c r="L1011" s="65" t="n"/>
      <c r="M1011" s="65" t="n"/>
      <c r="N1011" s="65" t="n"/>
      <c r="O1011" s="65" t="n"/>
      <c r="P1011" s="65" t="n"/>
      <c r="Q1011" s="65" t="n"/>
      <c r="R1011" s="65" t="n"/>
      <c r="S1011" s="65" t="n"/>
      <c r="T1011" s="65" t="n"/>
      <c r="U1011" s="65" t="n"/>
      <c r="V1011" s="65" t="n"/>
      <c r="W1011" s="65" t="n"/>
      <c r="X1011" s="65" t="n"/>
      <c r="Y1011" s="32">
        <f>IF($C1011="","",IF(COUNTA($I1011:$K1011)&lt;3,"— חסרים נתונים",IF(AND($I1011="תקין",$J1011="תקין",$K1011="תקין"),"רהוטה",IF(AND($I1011="תקין",$J1011="תקין"),"מדויקת ורציפה","אינה מדויקת או מקוטעת"))))</f>
        <v/>
      </c>
      <c r="Z1011" s="32">
        <f>IF($C1011="","",IF(COUNTA($U1011:$W1011)&lt;3,"",IF(AND($U1011="מפותח",$V1011="מפותח",$W1011="מפותחת"),"מפותחת",IF((--($U1011="דל"))+(--($V1011="אינו מפותח"))+(--($W1011="דלה"))&gt;=2,"אינה מפותחת","חלקית"))))</f>
        <v/>
      </c>
      <c r="AA1011" s="32">
        <f>IF($C1011="","",IF(COUNTA($M1011,$N1011,$O1011)&lt;3,"— חסרים נתונים",IF(OR($M1011="נמוכה",(--($M1011&lt;&gt;"תקינה"))+(--($N1011&lt;&gt;"תקין"))+(--($O1011&lt;&gt;"תקינה"))&gt;=2),"ניכרת","אינה ניכרת")))</f>
        <v/>
      </c>
      <c r="AB1011" s="32">
        <f>IF(OR($C1011="",$Y1011="",$AA1011="",LEFT($Y1011,1)="—",LEFT($AA1011,1)="—"),"",IF($Z1011="","— נדרשת הערכת כתיבה",IF($L1011="","— חסרה הבנת הנקרא",IF($Y1011="אינה מדויקת או מקוטעת",IF($AA1011="ניכרת","מיקוד בשטף הקריאה ובכישורי שפה","מיקוד בשטף קריאה"),IF($AA1011="ניכרת","מיקוד בכישורי שפה",IF(AND($L1011="תקינה",$Z1011="מפותחת"),"קוראים וכותבים מיומנים","מיקוד בהבנה והבעה"))))))</f>
        <v/>
      </c>
      <c r="AC1011" s="32">
        <f>IF(OR($AB1011="",LEFT($AB1011,1)="—"),"",IF(OR($AB1011="מיקוד בשטף קריאה",$AB1011="מיקוד בשטף הקריאה ובכישורי שפה"),"רמה א'",IF($AB1011="קוראים וכותבים מיומנים","רמה ג'","רמה ב'")))</f>
        <v/>
      </c>
      <c r="AD1011" s="32">
        <f>IF($AC1011="","",MID(IF(AND($AC1011="רמה א'",$AA1011="ניכרת"),"; להוסיף עבודת אוצר מילים","")&amp;IF($Z1011="אינה מפותחת","; דגש על הבעה בכתב","")&amp;IF($K1011&lt;&gt;"תקין","; נדרש לעבוד על ההנגנה","")&amp;IF($AK1011&lt;&gt;"","; "&amp;$AK1011,""),3,400))</f>
        <v/>
      </c>
      <c r="AE1011" s="32">
        <f>IF($F1011="","",IF($F1011="תחילת שנה",1,IF($F1011="מחצית שנה",2,3)))</f>
        <v/>
      </c>
      <c r="AF1011" s="32">
        <f>IF(OR($B1011="",$AC1011="",$A1011="",$F1011=""),"",$B1011&amp;"|"&amp;$A1011&amp;"|"&amp;$F1011&amp;"|"&amp;$AC1011&amp;"|"&amp;COUNTIFS($B$6:$B1011,$B1011,$A$6:$A1011,$A1011,$F$6:$F1011,$F1011,$AC$6:$AC1011,$AC1011))</f>
        <v/>
      </c>
      <c r="AG1011" s="32">
        <f>IF($C1011="","",$C1011&amp;"|"&amp;COUNTIFS($C$6:$C1011,$C1011))</f>
        <v/>
      </c>
      <c r="AH1011" s="32">
        <f>IF(OR($C1011="",$A1011="",$AE1011=""),"",$C1011&amp;"|"&amp;$A1011&amp;"|"&amp;$AE1011)</f>
        <v/>
      </c>
      <c r="AI1011" s="32">
        <f>IF(OR($C1011="",$AE1011="",$AE1011=1),"",IFERROR(INDEX($AC$6:$AC$1505,MATCH($C1011&amp;"|"&amp;$A1011&amp;"|"&amp;($AE1011-1),$AH$6:$AH$1505,0)),""))</f>
        <v/>
      </c>
      <c r="AJ1011" s="32">
        <f>IF(OR($AI1011="",$AC1011=""),"",IF($AI1011=$AC1011,"ללא שינוי","מ-"&amp;$AI1011&amp;" ל-"&amp;$AC1011))</f>
        <v/>
      </c>
      <c r="AK1011" s="67" t="n"/>
    </row>
    <row r="1012">
      <c r="A1012" s="65" t="n"/>
      <c r="B1012" s="65" t="n"/>
      <c r="C1012" s="66" t="n"/>
      <c r="D1012" s="66" t="n"/>
      <c r="E1012" s="65" t="n"/>
      <c r="F1012" s="65" t="n"/>
      <c r="G1012" s="65" t="n"/>
      <c r="H1012" s="65" t="n"/>
      <c r="I1012" s="65" t="n"/>
      <c r="J1012" s="65" t="n"/>
      <c r="K1012" s="65" t="n"/>
      <c r="L1012" s="65" t="n"/>
      <c r="M1012" s="65" t="n"/>
      <c r="N1012" s="65" t="n"/>
      <c r="O1012" s="65" t="n"/>
      <c r="P1012" s="65" t="n"/>
      <c r="Q1012" s="65" t="n"/>
      <c r="R1012" s="65" t="n"/>
      <c r="S1012" s="65" t="n"/>
      <c r="T1012" s="65" t="n"/>
      <c r="U1012" s="65" t="n"/>
      <c r="V1012" s="65" t="n"/>
      <c r="W1012" s="65" t="n"/>
      <c r="X1012" s="65" t="n"/>
      <c r="Y1012" s="32">
        <f>IF($C1012="","",IF(COUNTA($I1012:$K1012)&lt;3,"— חסרים נתונים",IF(AND($I1012="תקין",$J1012="תקין",$K1012="תקין"),"רהוטה",IF(AND($I1012="תקין",$J1012="תקין"),"מדויקת ורציפה","אינה מדויקת או מקוטעת"))))</f>
        <v/>
      </c>
      <c r="Z1012" s="32">
        <f>IF($C1012="","",IF(COUNTA($U1012:$W1012)&lt;3,"",IF(AND($U1012="מפותח",$V1012="מפותח",$W1012="מפותחת"),"מפותחת",IF((--($U1012="דל"))+(--($V1012="אינו מפותח"))+(--($W1012="דלה"))&gt;=2,"אינה מפותחת","חלקית"))))</f>
        <v/>
      </c>
      <c r="AA1012" s="32">
        <f>IF($C1012="","",IF(COUNTA($M1012,$N1012,$O1012)&lt;3,"— חסרים נתונים",IF(OR($M1012="נמוכה",(--($M1012&lt;&gt;"תקינה"))+(--($N1012&lt;&gt;"תקין"))+(--($O1012&lt;&gt;"תקינה"))&gt;=2),"ניכרת","אינה ניכרת")))</f>
        <v/>
      </c>
      <c r="AB1012" s="32">
        <f>IF(OR($C1012="",$Y1012="",$AA1012="",LEFT($Y1012,1)="—",LEFT($AA1012,1)="—"),"",IF($Z1012="","— נדרשת הערכת כתיבה",IF($L1012="","— חסרה הבנת הנקרא",IF($Y1012="אינה מדויקת או מקוטעת",IF($AA1012="ניכרת","מיקוד בשטף הקריאה ובכישורי שפה","מיקוד בשטף קריאה"),IF($AA1012="ניכרת","מיקוד בכישורי שפה",IF(AND($L1012="תקינה",$Z1012="מפותחת"),"קוראים וכותבים מיומנים","מיקוד בהבנה והבעה"))))))</f>
        <v/>
      </c>
      <c r="AC1012" s="32">
        <f>IF(OR($AB1012="",LEFT($AB1012,1)="—"),"",IF(OR($AB1012="מיקוד בשטף קריאה",$AB1012="מיקוד בשטף הקריאה ובכישורי שפה"),"רמה א'",IF($AB1012="קוראים וכותבים מיומנים","רמה ג'","רמה ב'")))</f>
        <v/>
      </c>
      <c r="AD1012" s="32">
        <f>IF($AC1012="","",MID(IF(AND($AC1012="רמה א'",$AA1012="ניכרת"),"; להוסיף עבודת אוצר מילים","")&amp;IF($Z1012="אינה מפותחת","; דגש על הבעה בכתב","")&amp;IF($K1012&lt;&gt;"תקין","; נדרש לעבוד על ההנגנה","")&amp;IF($AK1012&lt;&gt;"","; "&amp;$AK1012,""),3,400))</f>
        <v/>
      </c>
      <c r="AE1012" s="32">
        <f>IF($F1012="","",IF($F1012="תחילת שנה",1,IF($F1012="מחצית שנה",2,3)))</f>
        <v/>
      </c>
      <c r="AF1012" s="32">
        <f>IF(OR($B1012="",$AC1012="",$A1012="",$F1012=""),"",$B1012&amp;"|"&amp;$A1012&amp;"|"&amp;$F1012&amp;"|"&amp;$AC1012&amp;"|"&amp;COUNTIFS($B$6:$B1012,$B1012,$A$6:$A1012,$A1012,$F$6:$F1012,$F1012,$AC$6:$AC1012,$AC1012))</f>
        <v/>
      </c>
      <c r="AG1012" s="32">
        <f>IF($C1012="","",$C1012&amp;"|"&amp;COUNTIFS($C$6:$C1012,$C1012))</f>
        <v/>
      </c>
      <c r="AH1012" s="32">
        <f>IF(OR($C1012="",$A1012="",$AE1012=""),"",$C1012&amp;"|"&amp;$A1012&amp;"|"&amp;$AE1012)</f>
        <v/>
      </c>
      <c r="AI1012" s="32">
        <f>IF(OR($C1012="",$AE1012="",$AE1012=1),"",IFERROR(INDEX($AC$6:$AC$1505,MATCH($C1012&amp;"|"&amp;$A1012&amp;"|"&amp;($AE1012-1),$AH$6:$AH$1505,0)),""))</f>
        <v/>
      </c>
      <c r="AJ1012" s="32">
        <f>IF(OR($AI1012="",$AC1012=""),"",IF($AI1012=$AC1012,"ללא שינוי","מ-"&amp;$AI1012&amp;" ל-"&amp;$AC1012))</f>
        <v/>
      </c>
      <c r="AK1012" s="67" t="n"/>
    </row>
    <row r="1013">
      <c r="A1013" s="65" t="n"/>
      <c r="B1013" s="65" t="n"/>
      <c r="C1013" s="66" t="n"/>
      <c r="D1013" s="66" t="n"/>
      <c r="E1013" s="65" t="n"/>
      <c r="F1013" s="65" t="n"/>
      <c r="G1013" s="65" t="n"/>
      <c r="H1013" s="65" t="n"/>
      <c r="I1013" s="65" t="n"/>
      <c r="J1013" s="65" t="n"/>
      <c r="K1013" s="65" t="n"/>
      <c r="L1013" s="65" t="n"/>
      <c r="M1013" s="65" t="n"/>
      <c r="N1013" s="65" t="n"/>
      <c r="O1013" s="65" t="n"/>
      <c r="P1013" s="65" t="n"/>
      <c r="Q1013" s="65" t="n"/>
      <c r="R1013" s="65" t="n"/>
      <c r="S1013" s="65" t="n"/>
      <c r="T1013" s="65" t="n"/>
      <c r="U1013" s="65" t="n"/>
      <c r="V1013" s="65" t="n"/>
      <c r="W1013" s="65" t="n"/>
      <c r="X1013" s="65" t="n"/>
      <c r="Y1013" s="32">
        <f>IF($C1013="","",IF(COUNTA($I1013:$K1013)&lt;3,"— חסרים נתונים",IF(AND($I1013="תקין",$J1013="תקין",$K1013="תקין"),"רהוטה",IF(AND($I1013="תקין",$J1013="תקין"),"מדויקת ורציפה","אינה מדויקת או מקוטעת"))))</f>
        <v/>
      </c>
      <c r="Z1013" s="32">
        <f>IF($C1013="","",IF(COUNTA($U1013:$W1013)&lt;3,"",IF(AND($U1013="מפותח",$V1013="מפותח",$W1013="מפותחת"),"מפותחת",IF((--($U1013="דל"))+(--($V1013="אינו מפותח"))+(--($W1013="דלה"))&gt;=2,"אינה מפותחת","חלקית"))))</f>
        <v/>
      </c>
      <c r="AA1013" s="32">
        <f>IF($C1013="","",IF(COUNTA($M1013,$N1013,$O1013)&lt;3,"— חסרים נתונים",IF(OR($M1013="נמוכה",(--($M1013&lt;&gt;"תקינה"))+(--($N1013&lt;&gt;"תקין"))+(--($O1013&lt;&gt;"תקינה"))&gt;=2),"ניכרת","אינה ניכרת")))</f>
        <v/>
      </c>
      <c r="AB1013" s="32">
        <f>IF(OR($C1013="",$Y1013="",$AA1013="",LEFT($Y1013,1)="—",LEFT($AA1013,1)="—"),"",IF($Z1013="","— נדרשת הערכת כתיבה",IF($L1013="","— חסרה הבנת הנקרא",IF($Y1013="אינה מדויקת או מקוטעת",IF($AA1013="ניכרת","מיקוד בשטף הקריאה ובכישורי שפה","מיקוד בשטף קריאה"),IF($AA1013="ניכרת","מיקוד בכישורי שפה",IF(AND($L1013="תקינה",$Z1013="מפותחת"),"קוראים וכותבים מיומנים","מיקוד בהבנה והבעה"))))))</f>
        <v/>
      </c>
      <c r="AC1013" s="32">
        <f>IF(OR($AB1013="",LEFT($AB1013,1)="—"),"",IF(OR($AB1013="מיקוד בשטף קריאה",$AB1013="מיקוד בשטף הקריאה ובכישורי שפה"),"רמה א'",IF($AB1013="קוראים וכותבים מיומנים","רמה ג'","רמה ב'")))</f>
        <v/>
      </c>
      <c r="AD1013" s="32">
        <f>IF($AC1013="","",MID(IF(AND($AC1013="רמה א'",$AA1013="ניכרת"),"; להוסיף עבודת אוצר מילים","")&amp;IF($Z1013="אינה מפותחת","; דגש על הבעה בכתב","")&amp;IF($K1013&lt;&gt;"תקין","; נדרש לעבוד על ההנגנה","")&amp;IF($AK1013&lt;&gt;"","; "&amp;$AK1013,""),3,400))</f>
        <v/>
      </c>
      <c r="AE1013" s="32">
        <f>IF($F1013="","",IF($F1013="תחילת שנה",1,IF($F1013="מחצית שנה",2,3)))</f>
        <v/>
      </c>
      <c r="AF1013" s="32">
        <f>IF(OR($B1013="",$AC1013="",$A1013="",$F1013=""),"",$B1013&amp;"|"&amp;$A1013&amp;"|"&amp;$F1013&amp;"|"&amp;$AC1013&amp;"|"&amp;COUNTIFS($B$6:$B1013,$B1013,$A$6:$A1013,$A1013,$F$6:$F1013,$F1013,$AC$6:$AC1013,$AC1013))</f>
        <v/>
      </c>
      <c r="AG1013" s="32">
        <f>IF($C1013="","",$C1013&amp;"|"&amp;COUNTIFS($C$6:$C1013,$C1013))</f>
        <v/>
      </c>
      <c r="AH1013" s="32">
        <f>IF(OR($C1013="",$A1013="",$AE1013=""),"",$C1013&amp;"|"&amp;$A1013&amp;"|"&amp;$AE1013)</f>
        <v/>
      </c>
      <c r="AI1013" s="32">
        <f>IF(OR($C1013="",$AE1013="",$AE1013=1),"",IFERROR(INDEX($AC$6:$AC$1505,MATCH($C1013&amp;"|"&amp;$A1013&amp;"|"&amp;($AE1013-1),$AH$6:$AH$1505,0)),""))</f>
        <v/>
      </c>
      <c r="AJ1013" s="32">
        <f>IF(OR($AI1013="",$AC1013=""),"",IF($AI1013=$AC1013,"ללא שינוי","מ-"&amp;$AI1013&amp;" ל-"&amp;$AC1013))</f>
        <v/>
      </c>
      <c r="AK1013" s="67" t="n"/>
    </row>
    <row r="1014">
      <c r="A1014" s="65" t="n"/>
      <c r="B1014" s="65" t="n"/>
      <c r="C1014" s="66" t="n"/>
      <c r="D1014" s="66" t="n"/>
      <c r="E1014" s="65" t="n"/>
      <c r="F1014" s="65" t="n"/>
      <c r="G1014" s="65" t="n"/>
      <c r="H1014" s="65" t="n"/>
      <c r="I1014" s="65" t="n"/>
      <c r="J1014" s="65" t="n"/>
      <c r="K1014" s="65" t="n"/>
      <c r="L1014" s="65" t="n"/>
      <c r="M1014" s="65" t="n"/>
      <c r="N1014" s="65" t="n"/>
      <c r="O1014" s="65" t="n"/>
      <c r="P1014" s="65" t="n"/>
      <c r="Q1014" s="65" t="n"/>
      <c r="R1014" s="65" t="n"/>
      <c r="S1014" s="65" t="n"/>
      <c r="T1014" s="65" t="n"/>
      <c r="U1014" s="65" t="n"/>
      <c r="V1014" s="65" t="n"/>
      <c r="W1014" s="65" t="n"/>
      <c r="X1014" s="65" t="n"/>
      <c r="Y1014" s="32">
        <f>IF($C1014="","",IF(COUNTA($I1014:$K1014)&lt;3,"— חסרים נתונים",IF(AND($I1014="תקין",$J1014="תקין",$K1014="תקין"),"רהוטה",IF(AND($I1014="תקין",$J1014="תקין"),"מדויקת ורציפה","אינה מדויקת או מקוטעת"))))</f>
        <v/>
      </c>
      <c r="Z1014" s="32">
        <f>IF($C1014="","",IF(COUNTA($U1014:$W1014)&lt;3,"",IF(AND($U1014="מפותח",$V1014="מפותח",$W1014="מפותחת"),"מפותחת",IF((--($U1014="דל"))+(--($V1014="אינו מפותח"))+(--($W1014="דלה"))&gt;=2,"אינה מפותחת","חלקית"))))</f>
        <v/>
      </c>
      <c r="AA1014" s="32">
        <f>IF($C1014="","",IF(COUNTA($M1014,$N1014,$O1014)&lt;3,"— חסרים נתונים",IF(OR($M1014="נמוכה",(--($M1014&lt;&gt;"תקינה"))+(--($N1014&lt;&gt;"תקין"))+(--($O1014&lt;&gt;"תקינה"))&gt;=2),"ניכרת","אינה ניכרת")))</f>
        <v/>
      </c>
      <c r="AB1014" s="32">
        <f>IF(OR($C1014="",$Y1014="",$AA1014="",LEFT($Y1014,1)="—",LEFT($AA1014,1)="—"),"",IF($Z1014="","— נדרשת הערכת כתיבה",IF($L1014="","— חסרה הבנת הנקרא",IF($Y1014="אינה מדויקת או מקוטעת",IF($AA1014="ניכרת","מיקוד בשטף הקריאה ובכישורי שפה","מיקוד בשטף קריאה"),IF($AA1014="ניכרת","מיקוד בכישורי שפה",IF(AND($L1014="תקינה",$Z1014="מפותחת"),"קוראים וכותבים מיומנים","מיקוד בהבנה והבעה"))))))</f>
        <v/>
      </c>
      <c r="AC1014" s="32">
        <f>IF(OR($AB1014="",LEFT($AB1014,1)="—"),"",IF(OR($AB1014="מיקוד בשטף קריאה",$AB1014="מיקוד בשטף הקריאה ובכישורי שפה"),"רמה א'",IF($AB1014="קוראים וכותבים מיומנים","רמה ג'","רמה ב'")))</f>
        <v/>
      </c>
      <c r="AD1014" s="32">
        <f>IF($AC1014="","",MID(IF(AND($AC1014="רמה א'",$AA1014="ניכרת"),"; להוסיף עבודת אוצר מילים","")&amp;IF($Z1014="אינה מפותחת","; דגש על הבעה בכתב","")&amp;IF($K1014&lt;&gt;"תקין","; נדרש לעבוד על ההנגנה","")&amp;IF($AK1014&lt;&gt;"","; "&amp;$AK1014,""),3,400))</f>
        <v/>
      </c>
      <c r="AE1014" s="32">
        <f>IF($F1014="","",IF($F1014="תחילת שנה",1,IF($F1014="מחצית שנה",2,3)))</f>
        <v/>
      </c>
      <c r="AF1014" s="32">
        <f>IF(OR($B1014="",$AC1014="",$A1014="",$F1014=""),"",$B1014&amp;"|"&amp;$A1014&amp;"|"&amp;$F1014&amp;"|"&amp;$AC1014&amp;"|"&amp;COUNTIFS($B$6:$B1014,$B1014,$A$6:$A1014,$A1014,$F$6:$F1014,$F1014,$AC$6:$AC1014,$AC1014))</f>
        <v/>
      </c>
      <c r="AG1014" s="32">
        <f>IF($C1014="","",$C1014&amp;"|"&amp;COUNTIFS($C$6:$C1014,$C1014))</f>
        <v/>
      </c>
      <c r="AH1014" s="32">
        <f>IF(OR($C1014="",$A1014="",$AE1014=""),"",$C1014&amp;"|"&amp;$A1014&amp;"|"&amp;$AE1014)</f>
        <v/>
      </c>
      <c r="AI1014" s="32">
        <f>IF(OR($C1014="",$AE1014="",$AE1014=1),"",IFERROR(INDEX($AC$6:$AC$1505,MATCH($C1014&amp;"|"&amp;$A1014&amp;"|"&amp;($AE1014-1),$AH$6:$AH$1505,0)),""))</f>
        <v/>
      </c>
      <c r="AJ1014" s="32">
        <f>IF(OR($AI1014="",$AC1014=""),"",IF($AI1014=$AC1014,"ללא שינוי","מ-"&amp;$AI1014&amp;" ל-"&amp;$AC1014))</f>
        <v/>
      </c>
      <c r="AK1014" s="67" t="n"/>
    </row>
    <row r="1015">
      <c r="A1015" s="65" t="n"/>
      <c r="B1015" s="65" t="n"/>
      <c r="C1015" s="66" t="n"/>
      <c r="D1015" s="66" t="n"/>
      <c r="E1015" s="65" t="n"/>
      <c r="F1015" s="65" t="n"/>
      <c r="G1015" s="65" t="n"/>
      <c r="H1015" s="65" t="n"/>
      <c r="I1015" s="65" t="n"/>
      <c r="J1015" s="65" t="n"/>
      <c r="K1015" s="65" t="n"/>
      <c r="L1015" s="65" t="n"/>
      <c r="M1015" s="65" t="n"/>
      <c r="N1015" s="65" t="n"/>
      <c r="O1015" s="65" t="n"/>
      <c r="P1015" s="65" t="n"/>
      <c r="Q1015" s="65" t="n"/>
      <c r="R1015" s="65" t="n"/>
      <c r="S1015" s="65" t="n"/>
      <c r="T1015" s="65" t="n"/>
      <c r="U1015" s="65" t="n"/>
      <c r="V1015" s="65" t="n"/>
      <c r="W1015" s="65" t="n"/>
      <c r="X1015" s="65" t="n"/>
      <c r="Y1015" s="32">
        <f>IF($C1015="","",IF(COUNTA($I1015:$K1015)&lt;3,"— חסרים נתונים",IF(AND($I1015="תקין",$J1015="תקין",$K1015="תקין"),"רהוטה",IF(AND($I1015="תקין",$J1015="תקין"),"מדויקת ורציפה","אינה מדויקת או מקוטעת"))))</f>
        <v/>
      </c>
      <c r="Z1015" s="32">
        <f>IF($C1015="","",IF(COUNTA($U1015:$W1015)&lt;3,"",IF(AND($U1015="מפותח",$V1015="מפותח",$W1015="מפותחת"),"מפותחת",IF((--($U1015="דל"))+(--($V1015="אינו מפותח"))+(--($W1015="דלה"))&gt;=2,"אינה מפותחת","חלקית"))))</f>
        <v/>
      </c>
      <c r="AA1015" s="32">
        <f>IF($C1015="","",IF(COUNTA($M1015,$N1015,$O1015)&lt;3,"— חסרים נתונים",IF(OR($M1015="נמוכה",(--($M1015&lt;&gt;"תקינה"))+(--($N1015&lt;&gt;"תקין"))+(--($O1015&lt;&gt;"תקינה"))&gt;=2),"ניכרת","אינה ניכרת")))</f>
        <v/>
      </c>
      <c r="AB1015" s="32">
        <f>IF(OR($C1015="",$Y1015="",$AA1015="",LEFT($Y1015,1)="—",LEFT($AA1015,1)="—"),"",IF($Z1015="","— נדרשת הערכת כתיבה",IF($L1015="","— חסרה הבנת הנקרא",IF($Y1015="אינה מדויקת או מקוטעת",IF($AA1015="ניכרת","מיקוד בשטף הקריאה ובכישורי שפה","מיקוד בשטף קריאה"),IF($AA1015="ניכרת","מיקוד בכישורי שפה",IF(AND($L1015="תקינה",$Z1015="מפותחת"),"קוראים וכותבים מיומנים","מיקוד בהבנה והבעה"))))))</f>
        <v/>
      </c>
      <c r="AC1015" s="32">
        <f>IF(OR($AB1015="",LEFT($AB1015,1)="—"),"",IF(OR($AB1015="מיקוד בשטף קריאה",$AB1015="מיקוד בשטף הקריאה ובכישורי שפה"),"רמה א'",IF($AB1015="קוראים וכותבים מיומנים","רמה ג'","רמה ב'")))</f>
        <v/>
      </c>
      <c r="AD1015" s="32">
        <f>IF($AC1015="","",MID(IF(AND($AC1015="רמה א'",$AA1015="ניכרת"),"; להוסיף עבודת אוצר מילים","")&amp;IF($Z1015="אינה מפותחת","; דגש על הבעה בכתב","")&amp;IF($K1015&lt;&gt;"תקין","; נדרש לעבוד על ההנגנה","")&amp;IF($AK1015&lt;&gt;"","; "&amp;$AK1015,""),3,400))</f>
        <v/>
      </c>
      <c r="AE1015" s="32">
        <f>IF($F1015="","",IF($F1015="תחילת שנה",1,IF($F1015="מחצית שנה",2,3)))</f>
        <v/>
      </c>
      <c r="AF1015" s="32">
        <f>IF(OR($B1015="",$AC1015="",$A1015="",$F1015=""),"",$B1015&amp;"|"&amp;$A1015&amp;"|"&amp;$F1015&amp;"|"&amp;$AC1015&amp;"|"&amp;COUNTIFS($B$6:$B1015,$B1015,$A$6:$A1015,$A1015,$F$6:$F1015,$F1015,$AC$6:$AC1015,$AC1015))</f>
        <v/>
      </c>
      <c r="AG1015" s="32">
        <f>IF($C1015="","",$C1015&amp;"|"&amp;COUNTIFS($C$6:$C1015,$C1015))</f>
        <v/>
      </c>
      <c r="AH1015" s="32">
        <f>IF(OR($C1015="",$A1015="",$AE1015=""),"",$C1015&amp;"|"&amp;$A1015&amp;"|"&amp;$AE1015)</f>
        <v/>
      </c>
      <c r="AI1015" s="32">
        <f>IF(OR($C1015="",$AE1015="",$AE1015=1),"",IFERROR(INDEX($AC$6:$AC$1505,MATCH($C1015&amp;"|"&amp;$A1015&amp;"|"&amp;($AE1015-1),$AH$6:$AH$1505,0)),""))</f>
        <v/>
      </c>
      <c r="AJ1015" s="32">
        <f>IF(OR($AI1015="",$AC1015=""),"",IF($AI1015=$AC1015,"ללא שינוי","מ-"&amp;$AI1015&amp;" ל-"&amp;$AC1015))</f>
        <v/>
      </c>
      <c r="AK1015" s="67" t="n"/>
    </row>
    <row r="1016">
      <c r="A1016" s="65" t="n"/>
      <c r="B1016" s="65" t="n"/>
      <c r="C1016" s="66" t="n"/>
      <c r="D1016" s="66" t="n"/>
      <c r="E1016" s="65" t="n"/>
      <c r="F1016" s="65" t="n"/>
      <c r="G1016" s="65" t="n"/>
      <c r="H1016" s="65" t="n"/>
      <c r="I1016" s="65" t="n"/>
      <c r="J1016" s="65" t="n"/>
      <c r="K1016" s="65" t="n"/>
      <c r="L1016" s="65" t="n"/>
      <c r="M1016" s="65" t="n"/>
      <c r="N1016" s="65" t="n"/>
      <c r="O1016" s="65" t="n"/>
      <c r="P1016" s="65" t="n"/>
      <c r="Q1016" s="65" t="n"/>
      <c r="R1016" s="65" t="n"/>
      <c r="S1016" s="65" t="n"/>
      <c r="T1016" s="65" t="n"/>
      <c r="U1016" s="65" t="n"/>
      <c r="V1016" s="65" t="n"/>
      <c r="W1016" s="65" t="n"/>
      <c r="X1016" s="65" t="n"/>
      <c r="Y1016" s="32">
        <f>IF($C1016="","",IF(COUNTA($I1016:$K1016)&lt;3,"— חסרים נתונים",IF(AND($I1016="תקין",$J1016="תקין",$K1016="תקין"),"רהוטה",IF(AND($I1016="תקין",$J1016="תקין"),"מדויקת ורציפה","אינה מדויקת או מקוטעת"))))</f>
        <v/>
      </c>
      <c r="Z1016" s="32">
        <f>IF($C1016="","",IF(COUNTA($U1016:$W1016)&lt;3,"",IF(AND($U1016="מפותח",$V1016="מפותח",$W1016="מפותחת"),"מפותחת",IF((--($U1016="דל"))+(--($V1016="אינו מפותח"))+(--($W1016="דלה"))&gt;=2,"אינה מפותחת","חלקית"))))</f>
        <v/>
      </c>
      <c r="AA1016" s="32">
        <f>IF($C1016="","",IF(COUNTA($M1016,$N1016,$O1016)&lt;3,"— חסרים נתונים",IF(OR($M1016="נמוכה",(--($M1016&lt;&gt;"תקינה"))+(--($N1016&lt;&gt;"תקין"))+(--($O1016&lt;&gt;"תקינה"))&gt;=2),"ניכרת","אינה ניכרת")))</f>
        <v/>
      </c>
      <c r="AB1016" s="32">
        <f>IF(OR($C1016="",$Y1016="",$AA1016="",LEFT($Y1016,1)="—",LEFT($AA1016,1)="—"),"",IF($Z1016="","— נדרשת הערכת כתיבה",IF($L1016="","— חסרה הבנת הנקרא",IF($Y1016="אינה מדויקת או מקוטעת",IF($AA1016="ניכרת","מיקוד בשטף הקריאה ובכישורי שפה","מיקוד בשטף קריאה"),IF($AA1016="ניכרת","מיקוד בכישורי שפה",IF(AND($L1016="תקינה",$Z1016="מפותחת"),"קוראים וכותבים מיומנים","מיקוד בהבנה והבעה"))))))</f>
        <v/>
      </c>
      <c r="AC1016" s="32">
        <f>IF(OR($AB1016="",LEFT($AB1016,1)="—"),"",IF(OR($AB1016="מיקוד בשטף קריאה",$AB1016="מיקוד בשטף הקריאה ובכישורי שפה"),"רמה א'",IF($AB1016="קוראים וכותבים מיומנים","רמה ג'","רמה ב'")))</f>
        <v/>
      </c>
      <c r="AD1016" s="32">
        <f>IF($AC1016="","",MID(IF(AND($AC1016="רמה א'",$AA1016="ניכרת"),"; להוסיף עבודת אוצר מילים","")&amp;IF($Z1016="אינה מפותחת","; דגש על הבעה בכתב","")&amp;IF($K1016&lt;&gt;"תקין","; נדרש לעבוד על ההנגנה","")&amp;IF($AK1016&lt;&gt;"","; "&amp;$AK1016,""),3,400))</f>
        <v/>
      </c>
      <c r="AE1016" s="32">
        <f>IF($F1016="","",IF($F1016="תחילת שנה",1,IF($F1016="מחצית שנה",2,3)))</f>
        <v/>
      </c>
      <c r="AF1016" s="32">
        <f>IF(OR($B1016="",$AC1016="",$A1016="",$F1016=""),"",$B1016&amp;"|"&amp;$A1016&amp;"|"&amp;$F1016&amp;"|"&amp;$AC1016&amp;"|"&amp;COUNTIFS($B$6:$B1016,$B1016,$A$6:$A1016,$A1016,$F$6:$F1016,$F1016,$AC$6:$AC1016,$AC1016))</f>
        <v/>
      </c>
      <c r="AG1016" s="32">
        <f>IF($C1016="","",$C1016&amp;"|"&amp;COUNTIFS($C$6:$C1016,$C1016))</f>
        <v/>
      </c>
      <c r="AH1016" s="32">
        <f>IF(OR($C1016="",$A1016="",$AE1016=""),"",$C1016&amp;"|"&amp;$A1016&amp;"|"&amp;$AE1016)</f>
        <v/>
      </c>
      <c r="AI1016" s="32">
        <f>IF(OR($C1016="",$AE1016="",$AE1016=1),"",IFERROR(INDEX($AC$6:$AC$1505,MATCH($C1016&amp;"|"&amp;$A1016&amp;"|"&amp;($AE1016-1),$AH$6:$AH$1505,0)),""))</f>
        <v/>
      </c>
      <c r="AJ1016" s="32">
        <f>IF(OR($AI1016="",$AC1016=""),"",IF($AI1016=$AC1016,"ללא שינוי","מ-"&amp;$AI1016&amp;" ל-"&amp;$AC1016))</f>
        <v/>
      </c>
      <c r="AK1016" s="67" t="n"/>
    </row>
    <row r="1017">
      <c r="A1017" s="65" t="n"/>
      <c r="B1017" s="65" t="n"/>
      <c r="C1017" s="66" t="n"/>
      <c r="D1017" s="66" t="n"/>
      <c r="E1017" s="65" t="n"/>
      <c r="F1017" s="65" t="n"/>
      <c r="G1017" s="65" t="n"/>
      <c r="H1017" s="65" t="n"/>
      <c r="I1017" s="65" t="n"/>
      <c r="J1017" s="65" t="n"/>
      <c r="K1017" s="65" t="n"/>
      <c r="L1017" s="65" t="n"/>
      <c r="M1017" s="65" t="n"/>
      <c r="N1017" s="65" t="n"/>
      <c r="O1017" s="65" t="n"/>
      <c r="P1017" s="65" t="n"/>
      <c r="Q1017" s="65" t="n"/>
      <c r="R1017" s="65" t="n"/>
      <c r="S1017" s="65" t="n"/>
      <c r="T1017" s="65" t="n"/>
      <c r="U1017" s="65" t="n"/>
      <c r="V1017" s="65" t="n"/>
      <c r="W1017" s="65" t="n"/>
      <c r="X1017" s="65" t="n"/>
      <c r="Y1017" s="32">
        <f>IF($C1017="","",IF(COUNTA($I1017:$K1017)&lt;3,"— חסרים נתונים",IF(AND($I1017="תקין",$J1017="תקין",$K1017="תקין"),"רהוטה",IF(AND($I1017="תקין",$J1017="תקין"),"מדויקת ורציפה","אינה מדויקת או מקוטעת"))))</f>
        <v/>
      </c>
      <c r="Z1017" s="32">
        <f>IF($C1017="","",IF(COUNTA($U1017:$W1017)&lt;3,"",IF(AND($U1017="מפותח",$V1017="מפותח",$W1017="מפותחת"),"מפותחת",IF((--($U1017="דל"))+(--($V1017="אינו מפותח"))+(--($W1017="דלה"))&gt;=2,"אינה מפותחת","חלקית"))))</f>
        <v/>
      </c>
      <c r="AA1017" s="32">
        <f>IF($C1017="","",IF(COUNTA($M1017,$N1017,$O1017)&lt;3,"— חסרים נתונים",IF(OR($M1017="נמוכה",(--($M1017&lt;&gt;"תקינה"))+(--($N1017&lt;&gt;"תקין"))+(--($O1017&lt;&gt;"תקינה"))&gt;=2),"ניכרת","אינה ניכרת")))</f>
        <v/>
      </c>
      <c r="AB1017" s="32">
        <f>IF(OR($C1017="",$Y1017="",$AA1017="",LEFT($Y1017,1)="—",LEFT($AA1017,1)="—"),"",IF($Z1017="","— נדרשת הערכת כתיבה",IF($L1017="","— חסרה הבנת הנקרא",IF($Y1017="אינה מדויקת או מקוטעת",IF($AA1017="ניכרת","מיקוד בשטף הקריאה ובכישורי שפה","מיקוד בשטף קריאה"),IF($AA1017="ניכרת","מיקוד בכישורי שפה",IF(AND($L1017="תקינה",$Z1017="מפותחת"),"קוראים וכותבים מיומנים","מיקוד בהבנה והבעה"))))))</f>
        <v/>
      </c>
      <c r="AC1017" s="32">
        <f>IF(OR($AB1017="",LEFT($AB1017,1)="—"),"",IF(OR($AB1017="מיקוד בשטף קריאה",$AB1017="מיקוד בשטף הקריאה ובכישורי שפה"),"רמה א'",IF($AB1017="קוראים וכותבים מיומנים","רמה ג'","רמה ב'")))</f>
        <v/>
      </c>
      <c r="AD1017" s="32">
        <f>IF($AC1017="","",MID(IF(AND($AC1017="רמה א'",$AA1017="ניכרת"),"; להוסיף עבודת אוצר מילים","")&amp;IF($Z1017="אינה מפותחת","; דגש על הבעה בכתב","")&amp;IF($K1017&lt;&gt;"תקין","; נדרש לעבוד על ההנגנה","")&amp;IF($AK1017&lt;&gt;"","; "&amp;$AK1017,""),3,400))</f>
        <v/>
      </c>
      <c r="AE1017" s="32">
        <f>IF($F1017="","",IF($F1017="תחילת שנה",1,IF($F1017="מחצית שנה",2,3)))</f>
        <v/>
      </c>
      <c r="AF1017" s="32">
        <f>IF(OR($B1017="",$AC1017="",$A1017="",$F1017=""),"",$B1017&amp;"|"&amp;$A1017&amp;"|"&amp;$F1017&amp;"|"&amp;$AC1017&amp;"|"&amp;COUNTIFS($B$6:$B1017,$B1017,$A$6:$A1017,$A1017,$F$6:$F1017,$F1017,$AC$6:$AC1017,$AC1017))</f>
        <v/>
      </c>
      <c r="AG1017" s="32">
        <f>IF($C1017="","",$C1017&amp;"|"&amp;COUNTIFS($C$6:$C1017,$C1017))</f>
        <v/>
      </c>
      <c r="AH1017" s="32">
        <f>IF(OR($C1017="",$A1017="",$AE1017=""),"",$C1017&amp;"|"&amp;$A1017&amp;"|"&amp;$AE1017)</f>
        <v/>
      </c>
      <c r="AI1017" s="32">
        <f>IF(OR($C1017="",$AE1017="",$AE1017=1),"",IFERROR(INDEX($AC$6:$AC$1505,MATCH($C1017&amp;"|"&amp;$A1017&amp;"|"&amp;($AE1017-1),$AH$6:$AH$1505,0)),""))</f>
        <v/>
      </c>
      <c r="AJ1017" s="32">
        <f>IF(OR($AI1017="",$AC1017=""),"",IF($AI1017=$AC1017,"ללא שינוי","מ-"&amp;$AI1017&amp;" ל-"&amp;$AC1017))</f>
        <v/>
      </c>
      <c r="AK1017" s="67" t="n"/>
    </row>
    <row r="1018">
      <c r="A1018" s="65" t="n"/>
      <c r="B1018" s="65" t="n"/>
      <c r="C1018" s="66" t="n"/>
      <c r="D1018" s="66" t="n"/>
      <c r="E1018" s="65" t="n"/>
      <c r="F1018" s="65" t="n"/>
      <c r="G1018" s="65" t="n"/>
      <c r="H1018" s="65" t="n"/>
      <c r="I1018" s="65" t="n"/>
      <c r="J1018" s="65" t="n"/>
      <c r="K1018" s="65" t="n"/>
      <c r="L1018" s="65" t="n"/>
      <c r="M1018" s="65" t="n"/>
      <c r="N1018" s="65" t="n"/>
      <c r="O1018" s="65" t="n"/>
      <c r="P1018" s="65" t="n"/>
      <c r="Q1018" s="65" t="n"/>
      <c r="R1018" s="65" t="n"/>
      <c r="S1018" s="65" t="n"/>
      <c r="T1018" s="65" t="n"/>
      <c r="U1018" s="65" t="n"/>
      <c r="V1018" s="65" t="n"/>
      <c r="W1018" s="65" t="n"/>
      <c r="X1018" s="65" t="n"/>
      <c r="Y1018" s="32">
        <f>IF($C1018="","",IF(COUNTA($I1018:$K1018)&lt;3,"— חסרים נתונים",IF(AND($I1018="תקין",$J1018="תקין",$K1018="תקין"),"רהוטה",IF(AND($I1018="תקין",$J1018="תקין"),"מדויקת ורציפה","אינה מדויקת או מקוטעת"))))</f>
        <v/>
      </c>
      <c r="Z1018" s="32">
        <f>IF($C1018="","",IF(COUNTA($U1018:$W1018)&lt;3,"",IF(AND($U1018="מפותח",$V1018="מפותח",$W1018="מפותחת"),"מפותחת",IF((--($U1018="דל"))+(--($V1018="אינו מפותח"))+(--($W1018="דלה"))&gt;=2,"אינה מפותחת","חלקית"))))</f>
        <v/>
      </c>
      <c r="AA1018" s="32">
        <f>IF($C1018="","",IF(COUNTA($M1018,$N1018,$O1018)&lt;3,"— חסרים נתונים",IF(OR($M1018="נמוכה",(--($M1018&lt;&gt;"תקינה"))+(--($N1018&lt;&gt;"תקין"))+(--($O1018&lt;&gt;"תקינה"))&gt;=2),"ניכרת","אינה ניכרת")))</f>
        <v/>
      </c>
      <c r="AB1018" s="32">
        <f>IF(OR($C1018="",$Y1018="",$AA1018="",LEFT($Y1018,1)="—",LEFT($AA1018,1)="—"),"",IF($Z1018="","— נדרשת הערכת כתיבה",IF($L1018="","— חסרה הבנת הנקרא",IF($Y1018="אינה מדויקת או מקוטעת",IF($AA1018="ניכרת","מיקוד בשטף הקריאה ובכישורי שפה","מיקוד בשטף קריאה"),IF($AA1018="ניכרת","מיקוד בכישורי שפה",IF(AND($L1018="תקינה",$Z1018="מפותחת"),"קוראים וכותבים מיומנים","מיקוד בהבנה והבעה"))))))</f>
        <v/>
      </c>
      <c r="AC1018" s="32">
        <f>IF(OR($AB1018="",LEFT($AB1018,1)="—"),"",IF(OR($AB1018="מיקוד בשטף קריאה",$AB1018="מיקוד בשטף הקריאה ובכישורי שפה"),"רמה א'",IF($AB1018="קוראים וכותבים מיומנים","רמה ג'","רמה ב'")))</f>
        <v/>
      </c>
      <c r="AD1018" s="32">
        <f>IF($AC1018="","",MID(IF(AND($AC1018="רמה א'",$AA1018="ניכרת"),"; להוסיף עבודת אוצר מילים","")&amp;IF($Z1018="אינה מפותחת","; דגש על הבעה בכתב","")&amp;IF($K1018&lt;&gt;"תקין","; נדרש לעבוד על ההנגנה","")&amp;IF($AK1018&lt;&gt;"","; "&amp;$AK1018,""),3,400))</f>
        <v/>
      </c>
      <c r="AE1018" s="32">
        <f>IF($F1018="","",IF($F1018="תחילת שנה",1,IF($F1018="מחצית שנה",2,3)))</f>
        <v/>
      </c>
      <c r="AF1018" s="32">
        <f>IF(OR($B1018="",$AC1018="",$A1018="",$F1018=""),"",$B1018&amp;"|"&amp;$A1018&amp;"|"&amp;$F1018&amp;"|"&amp;$AC1018&amp;"|"&amp;COUNTIFS($B$6:$B1018,$B1018,$A$6:$A1018,$A1018,$F$6:$F1018,$F1018,$AC$6:$AC1018,$AC1018))</f>
        <v/>
      </c>
      <c r="AG1018" s="32">
        <f>IF($C1018="","",$C1018&amp;"|"&amp;COUNTIFS($C$6:$C1018,$C1018))</f>
        <v/>
      </c>
      <c r="AH1018" s="32">
        <f>IF(OR($C1018="",$A1018="",$AE1018=""),"",$C1018&amp;"|"&amp;$A1018&amp;"|"&amp;$AE1018)</f>
        <v/>
      </c>
      <c r="AI1018" s="32">
        <f>IF(OR($C1018="",$AE1018="",$AE1018=1),"",IFERROR(INDEX($AC$6:$AC$1505,MATCH($C1018&amp;"|"&amp;$A1018&amp;"|"&amp;($AE1018-1),$AH$6:$AH$1505,0)),""))</f>
        <v/>
      </c>
      <c r="AJ1018" s="32">
        <f>IF(OR($AI1018="",$AC1018=""),"",IF($AI1018=$AC1018,"ללא שינוי","מ-"&amp;$AI1018&amp;" ל-"&amp;$AC1018))</f>
        <v/>
      </c>
      <c r="AK1018" s="67" t="n"/>
    </row>
    <row r="1019">
      <c r="A1019" s="65" t="n"/>
      <c r="B1019" s="65" t="n"/>
      <c r="C1019" s="66" t="n"/>
      <c r="D1019" s="66" t="n"/>
      <c r="E1019" s="65" t="n"/>
      <c r="F1019" s="65" t="n"/>
      <c r="G1019" s="65" t="n"/>
      <c r="H1019" s="65" t="n"/>
      <c r="I1019" s="65" t="n"/>
      <c r="J1019" s="65" t="n"/>
      <c r="K1019" s="65" t="n"/>
      <c r="L1019" s="65" t="n"/>
      <c r="M1019" s="65" t="n"/>
      <c r="N1019" s="65" t="n"/>
      <c r="O1019" s="65" t="n"/>
      <c r="P1019" s="65" t="n"/>
      <c r="Q1019" s="65" t="n"/>
      <c r="R1019" s="65" t="n"/>
      <c r="S1019" s="65" t="n"/>
      <c r="T1019" s="65" t="n"/>
      <c r="U1019" s="65" t="n"/>
      <c r="V1019" s="65" t="n"/>
      <c r="W1019" s="65" t="n"/>
      <c r="X1019" s="65" t="n"/>
      <c r="Y1019" s="32">
        <f>IF($C1019="","",IF(COUNTA($I1019:$K1019)&lt;3,"— חסרים נתונים",IF(AND($I1019="תקין",$J1019="תקין",$K1019="תקין"),"רהוטה",IF(AND($I1019="תקין",$J1019="תקין"),"מדויקת ורציפה","אינה מדויקת או מקוטעת"))))</f>
        <v/>
      </c>
      <c r="Z1019" s="32">
        <f>IF($C1019="","",IF(COUNTA($U1019:$W1019)&lt;3,"",IF(AND($U1019="מפותח",$V1019="מפותח",$W1019="מפותחת"),"מפותחת",IF((--($U1019="דל"))+(--($V1019="אינו מפותח"))+(--($W1019="דלה"))&gt;=2,"אינה מפותחת","חלקית"))))</f>
        <v/>
      </c>
      <c r="AA1019" s="32">
        <f>IF($C1019="","",IF(COUNTA($M1019,$N1019,$O1019)&lt;3,"— חסרים נתונים",IF(OR($M1019="נמוכה",(--($M1019&lt;&gt;"תקינה"))+(--($N1019&lt;&gt;"תקין"))+(--($O1019&lt;&gt;"תקינה"))&gt;=2),"ניכרת","אינה ניכרת")))</f>
        <v/>
      </c>
      <c r="AB1019" s="32">
        <f>IF(OR($C1019="",$Y1019="",$AA1019="",LEFT($Y1019,1)="—",LEFT($AA1019,1)="—"),"",IF($Z1019="","— נדרשת הערכת כתיבה",IF($L1019="","— חסרה הבנת הנקרא",IF($Y1019="אינה מדויקת או מקוטעת",IF($AA1019="ניכרת","מיקוד בשטף הקריאה ובכישורי שפה","מיקוד בשטף קריאה"),IF($AA1019="ניכרת","מיקוד בכישורי שפה",IF(AND($L1019="תקינה",$Z1019="מפותחת"),"קוראים וכותבים מיומנים","מיקוד בהבנה והבעה"))))))</f>
        <v/>
      </c>
      <c r="AC1019" s="32">
        <f>IF(OR($AB1019="",LEFT($AB1019,1)="—"),"",IF(OR($AB1019="מיקוד בשטף קריאה",$AB1019="מיקוד בשטף הקריאה ובכישורי שפה"),"רמה א'",IF($AB1019="קוראים וכותבים מיומנים","רמה ג'","רמה ב'")))</f>
        <v/>
      </c>
      <c r="AD1019" s="32">
        <f>IF($AC1019="","",MID(IF(AND($AC1019="רמה א'",$AA1019="ניכרת"),"; להוסיף עבודת אוצר מילים","")&amp;IF($Z1019="אינה מפותחת","; דגש על הבעה בכתב","")&amp;IF($K1019&lt;&gt;"תקין","; נדרש לעבוד על ההנגנה","")&amp;IF($AK1019&lt;&gt;"","; "&amp;$AK1019,""),3,400))</f>
        <v/>
      </c>
      <c r="AE1019" s="32">
        <f>IF($F1019="","",IF($F1019="תחילת שנה",1,IF($F1019="מחצית שנה",2,3)))</f>
        <v/>
      </c>
      <c r="AF1019" s="32">
        <f>IF(OR($B1019="",$AC1019="",$A1019="",$F1019=""),"",$B1019&amp;"|"&amp;$A1019&amp;"|"&amp;$F1019&amp;"|"&amp;$AC1019&amp;"|"&amp;COUNTIFS($B$6:$B1019,$B1019,$A$6:$A1019,$A1019,$F$6:$F1019,$F1019,$AC$6:$AC1019,$AC1019))</f>
        <v/>
      </c>
      <c r="AG1019" s="32">
        <f>IF($C1019="","",$C1019&amp;"|"&amp;COUNTIFS($C$6:$C1019,$C1019))</f>
        <v/>
      </c>
      <c r="AH1019" s="32">
        <f>IF(OR($C1019="",$A1019="",$AE1019=""),"",$C1019&amp;"|"&amp;$A1019&amp;"|"&amp;$AE1019)</f>
        <v/>
      </c>
      <c r="AI1019" s="32">
        <f>IF(OR($C1019="",$AE1019="",$AE1019=1),"",IFERROR(INDEX($AC$6:$AC$1505,MATCH($C1019&amp;"|"&amp;$A1019&amp;"|"&amp;($AE1019-1),$AH$6:$AH$1505,0)),""))</f>
        <v/>
      </c>
      <c r="AJ1019" s="32">
        <f>IF(OR($AI1019="",$AC1019=""),"",IF($AI1019=$AC1019,"ללא שינוי","מ-"&amp;$AI1019&amp;" ל-"&amp;$AC1019))</f>
        <v/>
      </c>
      <c r="AK1019" s="67" t="n"/>
    </row>
    <row r="1020">
      <c r="A1020" s="65" t="n"/>
      <c r="B1020" s="65" t="n"/>
      <c r="C1020" s="66" t="n"/>
      <c r="D1020" s="66" t="n"/>
      <c r="E1020" s="65" t="n"/>
      <c r="F1020" s="65" t="n"/>
      <c r="G1020" s="65" t="n"/>
      <c r="H1020" s="65" t="n"/>
      <c r="I1020" s="65" t="n"/>
      <c r="J1020" s="65" t="n"/>
      <c r="K1020" s="65" t="n"/>
      <c r="L1020" s="65" t="n"/>
      <c r="M1020" s="65" t="n"/>
      <c r="N1020" s="65" t="n"/>
      <c r="O1020" s="65" t="n"/>
      <c r="P1020" s="65" t="n"/>
      <c r="Q1020" s="65" t="n"/>
      <c r="R1020" s="65" t="n"/>
      <c r="S1020" s="65" t="n"/>
      <c r="T1020" s="65" t="n"/>
      <c r="U1020" s="65" t="n"/>
      <c r="V1020" s="65" t="n"/>
      <c r="W1020" s="65" t="n"/>
      <c r="X1020" s="65" t="n"/>
      <c r="Y1020" s="32">
        <f>IF($C1020="","",IF(COUNTA($I1020:$K1020)&lt;3,"— חסרים נתונים",IF(AND($I1020="תקין",$J1020="תקין",$K1020="תקין"),"רהוטה",IF(AND($I1020="תקין",$J1020="תקין"),"מדויקת ורציפה","אינה מדויקת או מקוטעת"))))</f>
        <v/>
      </c>
      <c r="Z1020" s="32">
        <f>IF($C1020="","",IF(COUNTA($U1020:$W1020)&lt;3,"",IF(AND($U1020="מפותח",$V1020="מפותח",$W1020="מפותחת"),"מפותחת",IF((--($U1020="דל"))+(--($V1020="אינו מפותח"))+(--($W1020="דלה"))&gt;=2,"אינה מפותחת","חלקית"))))</f>
        <v/>
      </c>
      <c r="AA1020" s="32">
        <f>IF($C1020="","",IF(COUNTA($M1020,$N1020,$O1020)&lt;3,"— חסרים נתונים",IF(OR($M1020="נמוכה",(--($M1020&lt;&gt;"תקינה"))+(--($N1020&lt;&gt;"תקין"))+(--($O1020&lt;&gt;"תקינה"))&gt;=2),"ניכרת","אינה ניכרת")))</f>
        <v/>
      </c>
      <c r="AB1020" s="32">
        <f>IF(OR($C1020="",$Y1020="",$AA1020="",LEFT($Y1020,1)="—",LEFT($AA1020,1)="—"),"",IF($Z1020="","— נדרשת הערכת כתיבה",IF($L1020="","— חסרה הבנת הנקרא",IF($Y1020="אינה מדויקת או מקוטעת",IF($AA1020="ניכרת","מיקוד בשטף הקריאה ובכישורי שפה","מיקוד בשטף קריאה"),IF($AA1020="ניכרת","מיקוד בכישורי שפה",IF(AND($L1020="תקינה",$Z1020="מפותחת"),"קוראים וכותבים מיומנים","מיקוד בהבנה והבעה"))))))</f>
        <v/>
      </c>
      <c r="AC1020" s="32">
        <f>IF(OR($AB1020="",LEFT($AB1020,1)="—"),"",IF(OR($AB1020="מיקוד בשטף קריאה",$AB1020="מיקוד בשטף הקריאה ובכישורי שפה"),"רמה א'",IF($AB1020="קוראים וכותבים מיומנים","רמה ג'","רמה ב'")))</f>
        <v/>
      </c>
      <c r="AD1020" s="32">
        <f>IF($AC1020="","",MID(IF(AND($AC1020="רמה א'",$AA1020="ניכרת"),"; להוסיף עבודת אוצר מילים","")&amp;IF($Z1020="אינה מפותחת","; דגש על הבעה בכתב","")&amp;IF($K1020&lt;&gt;"תקין","; נדרש לעבוד על ההנגנה","")&amp;IF($AK1020&lt;&gt;"","; "&amp;$AK1020,""),3,400))</f>
        <v/>
      </c>
      <c r="AE1020" s="32">
        <f>IF($F1020="","",IF($F1020="תחילת שנה",1,IF($F1020="מחצית שנה",2,3)))</f>
        <v/>
      </c>
      <c r="AF1020" s="32">
        <f>IF(OR($B1020="",$AC1020="",$A1020="",$F1020=""),"",$B1020&amp;"|"&amp;$A1020&amp;"|"&amp;$F1020&amp;"|"&amp;$AC1020&amp;"|"&amp;COUNTIFS($B$6:$B1020,$B1020,$A$6:$A1020,$A1020,$F$6:$F1020,$F1020,$AC$6:$AC1020,$AC1020))</f>
        <v/>
      </c>
      <c r="AG1020" s="32">
        <f>IF($C1020="","",$C1020&amp;"|"&amp;COUNTIFS($C$6:$C1020,$C1020))</f>
        <v/>
      </c>
      <c r="AH1020" s="32">
        <f>IF(OR($C1020="",$A1020="",$AE1020=""),"",$C1020&amp;"|"&amp;$A1020&amp;"|"&amp;$AE1020)</f>
        <v/>
      </c>
      <c r="AI1020" s="32">
        <f>IF(OR($C1020="",$AE1020="",$AE1020=1),"",IFERROR(INDEX($AC$6:$AC$1505,MATCH($C1020&amp;"|"&amp;$A1020&amp;"|"&amp;($AE1020-1),$AH$6:$AH$1505,0)),""))</f>
        <v/>
      </c>
      <c r="AJ1020" s="32">
        <f>IF(OR($AI1020="",$AC1020=""),"",IF($AI1020=$AC1020,"ללא שינוי","מ-"&amp;$AI1020&amp;" ל-"&amp;$AC1020))</f>
        <v/>
      </c>
      <c r="AK1020" s="67" t="n"/>
    </row>
    <row r="1021">
      <c r="A1021" s="65" t="n"/>
      <c r="B1021" s="65" t="n"/>
      <c r="C1021" s="66" t="n"/>
      <c r="D1021" s="66" t="n"/>
      <c r="E1021" s="65" t="n"/>
      <c r="F1021" s="65" t="n"/>
      <c r="G1021" s="65" t="n"/>
      <c r="H1021" s="65" t="n"/>
      <c r="I1021" s="65" t="n"/>
      <c r="J1021" s="65" t="n"/>
      <c r="K1021" s="65" t="n"/>
      <c r="L1021" s="65" t="n"/>
      <c r="M1021" s="65" t="n"/>
      <c r="N1021" s="65" t="n"/>
      <c r="O1021" s="65" t="n"/>
      <c r="P1021" s="65" t="n"/>
      <c r="Q1021" s="65" t="n"/>
      <c r="R1021" s="65" t="n"/>
      <c r="S1021" s="65" t="n"/>
      <c r="T1021" s="65" t="n"/>
      <c r="U1021" s="65" t="n"/>
      <c r="V1021" s="65" t="n"/>
      <c r="W1021" s="65" t="n"/>
      <c r="X1021" s="65" t="n"/>
      <c r="Y1021" s="32">
        <f>IF($C1021="","",IF(COUNTA($I1021:$K1021)&lt;3,"— חסרים נתונים",IF(AND($I1021="תקין",$J1021="תקין",$K1021="תקין"),"רהוטה",IF(AND($I1021="תקין",$J1021="תקין"),"מדויקת ורציפה","אינה מדויקת או מקוטעת"))))</f>
        <v/>
      </c>
      <c r="Z1021" s="32">
        <f>IF($C1021="","",IF(COUNTA($U1021:$W1021)&lt;3,"",IF(AND($U1021="מפותח",$V1021="מפותח",$W1021="מפותחת"),"מפותחת",IF((--($U1021="דל"))+(--($V1021="אינו מפותח"))+(--($W1021="דלה"))&gt;=2,"אינה מפותחת","חלקית"))))</f>
        <v/>
      </c>
      <c r="AA1021" s="32">
        <f>IF($C1021="","",IF(COUNTA($M1021,$N1021,$O1021)&lt;3,"— חסרים נתונים",IF(OR($M1021="נמוכה",(--($M1021&lt;&gt;"תקינה"))+(--($N1021&lt;&gt;"תקין"))+(--($O1021&lt;&gt;"תקינה"))&gt;=2),"ניכרת","אינה ניכרת")))</f>
        <v/>
      </c>
      <c r="AB1021" s="32">
        <f>IF(OR($C1021="",$Y1021="",$AA1021="",LEFT($Y1021,1)="—",LEFT($AA1021,1)="—"),"",IF($Z1021="","— נדרשת הערכת כתיבה",IF($L1021="","— חסרה הבנת הנקרא",IF($Y1021="אינה מדויקת או מקוטעת",IF($AA1021="ניכרת","מיקוד בשטף הקריאה ובכישורי שפה","מיקוד בשטף קריאה"),IF($AA1021="ניכרת","מיקוד בכישורי שפה",IF(AND($L1021="תקינה",$Z1021="מפותחת"),"קוראים וכותבים מיומנים","מיקוד בהבנה והבעה"))))))</f>
        <v/>
      </c>
      <c r="AC1021" s="32">
        <f>IF(OR($AB1021="",LEFT($AB1021,1)="—"),"",IF(OR($AB1021="מיקוד בשטף קריאה",$AB1021="מיקוד בשטף הקריאה ובכישורי שפה"),"רמה א'",IF($AB1021="קוראים וכותבים מיומנים","רמה ג'","רמה ב'")))</f>
        <v/>
      </c>
      <c r="AD1021" s="32">
        <f>IF($AC1021="","",MID(IF(AND($AC1021="רמה א'",$AA1021="ניכרת"),"; להוסיף עבודת אוצר מילים","")&amp;IF($Z1021="אינה מפותחת","; דגש על הבעה בכתב","")&amp;IF($K1021&lt;&gt;"תקין","; נדרש לעבוד על ההנגנה","")&amp;IF($AK1021&lt;&gt;"","; "&amp;$AK1021,""),3,400))</f>
        <v/>
      </c>
      <c r="AE1021" s="32">
        <f>IF($F1021="","",IF($F1021="תחילת שנה",1,IF($F1021="מחצית שנה",2,3)))</f>
        <v/>
      </c>
      <c r="AF1021" s="32">
        <f>IF(OR($B1021="",$AC1021="",$A1021="",$F1021=""),"",$B1021&amp;"|"&amp;$A1021&amp;"|"&amp;$F1021&amp;"|"&amp;$AC1021&amp;"|"&amp;COUNTIFS($B$6:$B1021,$B1021,$A$6:$A1021,$A1021,$F$6:$F1021,$F1021,$AC$6:$AC1021,$AC1021))</f>
        <v/>
      </c>
      <c r="AG1021" s="32">
        <f>IF($C1021="","",$C1021&amp;"|"&amp;COUNTIFS($C$6:$C1021,$C1021))</f>
        <v/>
      </c>
      <c r="AH1021" s="32">
        <f>IF(OR($C1021="",$A1021="",$AE1021=""),"",$C1021&amp;"|"&amp;$A1021&amp;"|"&amp;$AE1021)</f>
        <v/>
      </c>
      <c r="AI1021" s="32">
        <f>IF(OR($C1021="",$AE1021="",$AE1021=1),"",IFERROR(INDEX($AC$6:$AC$1505,MATCH($C1021&amp;"|"&amp;$A1021&amp;"|"&amp;($AE1021-1),$AH$6:$AH$1505,0)),""))</f>
        <v/>
      </c>
      <c r="AJ1021" s="32">
        <f>IF(OR($AI1021="",$AC1021=""),"",IF($AI1021=$AC1021,"ללא שינוי","מ-"&amp;$AI1021&amp;" ל-"&amp;$AC1021))</f>
        <v/>
      </c>
      <c r="AK1021" s="67" t="n"/>
    </row>
    <row r="1022">
      <c r="A1022" s="65" t="n"/>
      <c r="B1022" s="65" t="n"/>
      <c r="C1022" s="66" t="n"/>
      <c r="D1022" s="66" t="n"/>
      <c r="E1022" s="65" t="n"/>
      <c r="F1022" s="65" t="n"/>
      <c r="G1022" s="65" t="n"/>
      <c r="H1022" s="65" t="n"/>
      <c r="I1022" s="65" t="n"/>
      <c r="J1022" s="65" t="n"/>
      <c r="K1022" s="65" t="n"/>
      <c r="L1022" s="65" t="n"/>
      <c r="M1022" s="65" t="n"/>
      <c r="N1022" s="65" t="n"/>
      <c r="O1022" s="65" t="n"/>
      <c r="P1022" s="65" t="n"/>
      <c r="Q1022" s="65" t="n"/>
      <c r="R1022" s="65" t="n"/>
      <c r="S1022" s="65" t="n"/>
      <c r="T1022" s="65" t="n"/>
      <c r="U1022" s="65" t="n"/>
      <c r="V1022" s="65" t="n"/>
      <c r="W1022" s="65" t="n"/>
      <c r="X1022" s="65" t="n"/>
      <c r="Y1022" s="32">
        <f>IF($C1022="","",IF(COUNTA($I1022:$K1022)&lt;3,"— חסרים נתונים",IF(AND($I1022="תקין",$J1022="תקין",$K1022="תקין"),"רהוטה",IF(AND($I1022="תקין",$J1022="תקין"),"מדויקת ורציפה","אינה מדויקת או מקוטעת"))))</f>
        <v/>
      </c>
      <c r="Z1022" s="32">
        <f>IF($C1022="","",IF(COUNTA($U1022:$W1022)&lt;3,"",IF(AND($U1022="מפותח",$V1022="מפותח",$W1022="מפותחת"),"מפותחת",IF((--($U1022="דל"))+(--($V1022="אינו מפותח"))+(--($W1022="דלה"))&gt;=2,"אינה מפותחת","חלקית"))))</f>
        <v/>
      </c>
      <c r="AA1022" s="32">
        <f>IF($C1022="","",IF(COUNTA($M1022,$N1022,$O1022)&lt;3,"— חסרים נתונים",IF(OR($M1022="נמוכה",(--($M1022&lt;&gt;"תקינה"))+(--($N1022&lt;&gt;"תקין"))+(--($O1022&lt;&gt;"תקינה"))&gt;=2),"ניכרת","אינה ניכרת")))</f>
        <v/>
      </c>
      <c r="AB1022" s="32">
        <f>IF(OR($C1022="",$Y1022="",$AA1022="",LEFT($Y1022,1)="—",LEFT($AA1022,1)="—"),"",IF($Z1022="","— נדרשת הערכת כתיבה",IF($L1022="","— חסרה הבנת הנקרא",IF($Y1022="אינה מדויקת או מקוטעת",IF($AA1022="ניכרת","מיקוד בשטף הקריאה ובכישורי שפה","מיקוד בשטף קריאה"),IF($AA1022="ניכרת","מיקוד בכישורי שפה",IF(AND($L1022="תקינה",$Z1022="מפותחת"),"קוראים וכותבים מיומנים","מיקוד בהבנה והבעה"))))))</f>
        <v/>
      </c>
      <c r="AC1022" s="32">
        <f>IF(OR($AB1022="",LEFT($AB1022,1)="—"),"",IF(OR($AB1022="מיקוד בשטף קריאה",$AB1022="מיקוד בשטף הקריאה ובכישורי שפה"),"רמה א'",IF($AB1022="קוראים וכותבים מיומנים","רמה ג'","רמה ב'")))</f>
        <v/>
      </c>
      <c r="AD1022" s="32">
        <f>IF($AC1022="","",MID(IF(AND($AC1022="רמה א'",$AA1022="ניכרת"),"; להוסיף עבודת אוצר מילים","")&amp;IF($Z1022="אינה מפותחת","; דגש על הבעה בכתב","")&amp;IF($K1022&lt;&gt;"תקין","; נדרש לעבוד על ההנגנה","")&amp;IF($AK1022&lt;&gt;"","; "&amp;$AK1022,""),3,400))</f>
        <v/>
      </c>
      <c r="AE1022" s="32">
        <f>IF($F1022="","",IF($F1022="תחילת שנה",1,IF($F1022="מחצית שנה",2,3)))</f>
        <v/>
      </c>
      <c r="AF1022" s="32">
        <f>IF(OR($B1022="",$AC1022="",$A1022="",$F1022=""),"",$B1022&amp;"|"&amp;$A1022&amp;"|"&amp;$F1022&amp;"|"&amp;$AC1022&amp;"|"&amp;COUNTIFS($B$6:$B1022,$B1022,$A$6:$A1022,$A1022,$F$6:$F1022,$F1022,$AC$6:$AC1022,$AC1022))</f>
        <v/>
      </c>
      <c r="AG1022" s="32">
        <f>IF($C1022="","",$C1022&amp;"|"&amp;COUNTIFS($C$6:$C1022,$C1022))</f>
        <v/>
      </c>
      <c r="AH1022" s="32">
        <f>IF(OR($C1022="",$A1022="",$AE1022=""),"",$C1022&amp;"|"&amp;$A1022&amp;"|"&amp;$AE1022)</f>
        <v/>
      </c>
      <c r="AI1022" s="32">
        <f>IF(OR($C1022="",$AE1022="",$AE1022=1),"",IFERROR(INDEX($AC$6:$AC$1505,MATCH($C1022&amp;"|"&amp;$A1022&amp;"|"&amp;($AE1022-1),$AH$6:$AH$1505,0)),""))</f>
        <v/>
      </c>
      <c r="AJ1022" s="32">
        <f>IF(OR($AI1022="",$AC1022=""),"",IF($AI1022=$AC1022,"ללא שינוי","מ-"&amp;$AI1022&amp;" ל-"&amp;$AC1022))</f>
        <v/>
      </c>
      <c r="AK1022" s="67" t="n"/>
    </row>
    <row r="1023">
      <c r="A1023" s="65" t="n"/>
      <c r="B1023" s="65" t="n"/>
      <c r="C1023" s="66" t="n"/>
      <c r="D1023" s="66" t="n"/>
      <c r="E1023" s="65" t="n"/>
      <c r="F1023" s="65" t="n"/>
      <c r="G1023" s="65" t="n"/>
      <c r="H1023" s="65" t="n"/>
      <c r="I1023" s="65" t="n"/>
      <c r="J1023" s="65" t="n"/>
      <c r="K1023" s="65" t="n"/>
      <c r="L1023" s="65" t="n"/>
      <c r="M1023" s="65" t="n"/>
      <c r="N1023" s="65" t="n"/>
      <c r="O1023" s="65" t="n"/>
      <c r="P1023" s="65" t="n"/>
      <c r="Q1023" s="65" t="n"/>
      <c r="R1023" s="65" t="n"/>
      <c r="S1023" s="65" t="n"/>
      <c r="T1023" s="65" t="n"/>
      <c r="U1023" s="65" t="n"/>
      <c r="V1023" s="65" t="n"/>
      <c r="W1023" s="65" t="n"/>
      <c r="X1023" s="65" t="n"/>
      <c r="Y1023" s="32">
        <f>IF($C1023="","",IF(COUNTA($I1023:$K1023)&lt;3,"— חסרים נתונים",IF(AND($I1023="תקין",$J1023="תקין",$K1023="תקין"),"רהוטה",IF(AND($I1023="תקין",$J1023="תקין"),"מדויקת ורציפה","אינה מדויקת או מקוטעת"))))</f>
        <v/>
      </c>
      <c r="Z1023" s="32">
        <f>IF($C1023="","",IF(COUNTA($U1023:$W1023)&lt;3,"",IF(AND($U1023="מפותח",$V1023="מפותח",$W1023="מפותחת"),"מפותחת",IF((--($U1023="דל"))+(--($V1023="אינו מפותח"))+(--($W1023="דלה"))&gt;=2,"אינה מפותחת","חלקית"))))</f>
        <v/>
      </c>
      <c r="AA1023" s="32">
        <f>IF($C1023="","",IF(COUNTA($M1023,$N1023,$O1023)&lt;3,"— חסרים נתונים",IF(OR($M1023="נמוכה",(--($M1023&lt;&gt;"תקינה"))+(--($N1023&lt;&gt;"תקין"))+(--($O1023&lt;&gt;"תקינה"))&gt;=2),"ניכרת","אינה ניכרת")))</f>
        <v/>
      </c>
      <c r="AB1023" s="32">
        <f>IF(OR($C1023="",$Y1023="",$AA1023="",LEFT($Y1023,1)="—",LEFT($AA1023,1)="—"),"",IF($Z1023="","— נדרשת הערכת כתיבה",IF($L1023="","— חסרה הבנת הנקרא",IF($Y1023="אינה מדויקת או מקוטעת",IF($AA1023="ניכרת","מיקוד בשטף הקריאה ובכישורי שפה","מיקוד בשטף קריאה"),IF($AA1023="ניכרת","מיקוד בכישורי שפה",IF(AND($L1023="תקינה",$Z1023="מפותחת"),"קוראים וכותבים מיומנים","מיקוד בהבנה והבעה"))))))</f>
        <v/>
      </c>
      <c r="AC1023" s="32">
        <f>IF(OR($AB1023="",LEFT($AB1023,1)="—"),"",IF(OR($AB1023="מיקוד בשטף קריאה",$AB1023="מיקוד בשטף הקריאה ובכישורי שפה"),"רמה א'",IF($AB1023="קוראים וכותבים מיומנים","רמה ג'","רמה ב'")))</f>
        <v/>
      </c>
      <c r="AD1023" s="32">
        <f>IF($AC1023="","",MID(IF(AND($AC1023="רמה א'",$AA1023="ניכרת"),"; להוסיף עבודת אוצר מילים","")&amp;IF($Z1023="אינה מפותחת","; דגש על הבעה בכתב","")&amp;IF($K1023&lt;&gt;"תקין","; נדרש לעבוד על ההנגנה","")&amp;IF($AK1023&lt;&gt;"","; "&amp;$AK1023,""),3,400))</f>
        <v/>
      </c>
      <c r="AE1023" s="32">
        <f>IF($F1023="","",IF($F1023="תחילת שנה",1,IF($F1023="מחצית שנה",2,3)))</f>
        <v/>
      </c>
      <c r="AF1023" s="32">
        <f>IF(OR($B1023="",$AC1023="",$A1023="",$F1023=""),"",$B1023&amp;"|"&amp;$A1023&amp;"|"&amp;$F1023&amp;"|"&amp;$AC1023&amp;"|"&amp;COUNTIFS($B$6:$B1023,$B1023,$A$6:$A1023,$A1023,$F$6:$F1023,$F1023,$AC$6:$AC1023,$AC1023))</f>
        <v/>
      </c>
      <c r="AG1023" s="32">
        <f>IF($C1023="","",$C1023&amp;"|"&amp;COUNTIFS($C$6:$C1023,$C1023))</f>
        <v/>
      </c>
      <c r="AH1023" s="32">
        <f>IF(OR($C1023="",$A1023="",$AE1023=""),"",$C1023&amp;"|"&amp;$A1023&amp;"|"&amp;$AE1023)</f>
        <v/>
      </c>
      <c r="AI1023" s="32">
        <f>IF(OR($C1023="",$AE1023="",$AE1023=1),"",IFERROR(INDEX($AC$6:$AC$1505,MATCH($C1023&amp;"|"&amp;$A1023&amp;"|"&amp;($AE1023-1),$AH$6:$AH$1505,0)),""))</f>
        <v/>
      </c>
      <c r="AJ1023" s="32">
        <f>IF(OR($AI1023="",$AC1023=""),"",IF($AI1023=$AC1023,"ללא שינוי","מ-"&amp;$AI1023&amp;" ל-"&amp;$AC1023))</f>
        <v/>
      </c>
      <c r="AK1023" s="67" t="n"/>
    </row>
    <row r="1024">
      <c r="A1024" s="65" t="n"/>
      <c r="B1024" s="65" t="n"/>
      <c r="C1024" s="66" t="n"/>
      <c r="D1024" s="66" t="n"/>
      <c r="E1024" s="65" t="n"/>
      <c r="F1024" s="65" t="n"/>
      <c r="G1024" s="65" t="n"/>
      <c r="H1024" s="65" t="n"/>
      <c r="I1024" s="65" t="n"/>
      <c r="J1024" s="65" t="n"/>
      <c r="K1024" s="65" t="n"/>
      <c r="L1024" s="65" t="n"/>
      <c r="M1024" s="65" t="n"/>
      <c r="N1024" s="65" t="n"/>
      <c r="O1024" s="65" t="n"/>
      <c r="P1024" s="65" t="n"/>
      <c r="Q1024" s="65" t="n"/>
      <c r="R1024" s="65" t="n"/>
      <c r="S1024" s="65" t="n"/>
      <c r="T1024" s="65" t="n"/>
      <c r="U1024" s="65" t="n"/>
      <c r="V1024" s="65" t="n"/>
      <c r="W1024" s="65" t="n"/>
      <c r="X1024" s="65" t="n"/>
      <c r="Y1024" s="32">
        <f>IF($C1024="","",IF(COUNTA($I1024:$K1024)&lt;3,"— חסרים נתונים",IF(AND($I1024="תקין",$J1024="תקין",$K1024="תקין"),"רהוטה",IF(AND($I1024="תקין",$J1024="תקין"),"מדויקת ורציפה","אינה מדויקת או מקוטעת"))))</f>
        <v/>
      </c>
      <c r="Z1024" s="32">
        <f>IF($C1024="","",IF(COUNTA($U1024:$W1024)&lt;3,"",IF(AND($U1024="מפותח",$V1024="מפותח",$W1024="מפותחת"),"מפותחת",IF((--($U1024="דל"))+(--($V1024="אינו מפותח"))+(--($W1024="דלה"))&gt;=2,"אינה מפותחת","חלקית"))))</f>
        <v/>
      </c>
      <c r="AA1024" s="32">
        <f>IF($C1024="","",IF(COUNTA($M1024,$N1024,$O1024)&lt;3,"— חסרים נתונים",IF(OR($M1024="נמוכה",(--($M1024&lt;&gt;"תקינה"))+(--($N1024&lt;&gt;"תקין"))+(--($O1024&lt;&gt;"תקינה"))&gt;=2),"ניכרת","אינה ניכרת")))</f>
        <v/>
      </c>
      <c r="AB1024" s="32">
        <f>IF(OR($C1024="",$Y1024="",$AA1024="",LEFT($Y1024,1)="—",LEFT($AA1024,1)="—"),"",IF($Z1024="","— נדרשת הערכת כתיבה",IF($L1024="","— חסרה הבנת הנקרא",IF($Y1024="אינה מדויקת או מקוטעת",IF($AA1024="ניכרת","מיקוד בשטף הקריאה ובכישורי שפה","מיקוד בשטף קריאה"),IF($AA1024="ניכרת","מיקוד בכישורי שפה",IF(AND($L1024="תקינה",$Z1024="מפותחת"),"קוראים וכותבים מיומנים","מיקוד בהבנה והבעה"))))))</f>
        <v/>
      </c>
      <c r="AC1024" s="32">
        <f>IF(OR($AB1024="",LEFT($AB1024,1)="—"),"",IF(OR($AB1024="מיקוד בשטף קריאה",$AB1024="מיקוד בשטף הקריאה ובכישורי שפה"),"רמה א'",IF($AB1024="קוראים וכותבים מיומנים","רמה ג'","רמה ב'")))</f>
        <v/>
      </c>
      <c r="AD1024" s="32">
        <f>IF($AC1024="","",MID(IF(AND($AC1024="רמה א'",$AA1024="ניכרת"),"; להוסיף עבודת אוצר מילים","")&amp;IF($Z1024="אינה מפותחת","; דגש על הבעה בכתב","")&amp;IF($K1024&lt;&gt;"תקין","; נדרש לעבוד על ההנגנה","")&amp;IF($AK1024&lt;&gt;"","; "&amp;$AK1024,""),3,400))</f>
        <v/>
      </c>
      <c r="AE1024" s="32">
        <f>IF($F1024="","",IF($F1024="תחילת שנה",1,IF($F1024="מחצית שנה",2,3)))</f>
        <v/>
      </c>
      <c r="AF1024" s="32">
        <f>IF(OR($B1024="",$AC1024="",$A1024="",$F1024=""),"",$B1024&amp;"|"&amp;$A1024&amp;"|"&amp;$F1024&amp;"|"&amp;$AC1024&amp;"|"&amp;COUNTIFS($B$6:$B1024,$B1024,$A$6:$A1024,$A1024,$F$6:$F1024,$F1024,$AC$6:$AC1024,$AC1024))</f>
        <v/>
      </c>
      <c r="AG1024" s="32">
        <f>IF($C1024="","",$C1024&amp;"|"&amp;COUNTIFS($C$6:$C1024,$C1024))</f>
        <v/>
      </c>
      <c r="AH1024" s="32">
        <f>IF(OR($C1024="",$A1024="",$AE1024=""),"",$C1024&amp;"|"&amp;$A1024&amp;"|"&amp;$AE1024)</f>
        <v/>
      </c>
      <c r="AI1024" s="32">
        <f>IF(OR($C1024="",$AE1024="",$AE1024=1),"",IFERROR(INDEX($AC$6:$AC$1505,MATCH($C1024&amp;"|"&amp;$A1024&amp;"|"&amp;($AE1024-1),$AH$6:$AH$1505,0)),""))</f>
        <v/>
      </c>
      <c r="AJ1024" s="32">
        <f>IF(OR($AI1024="",$AC1024=""),"",IF($AI1024=$AC1024,"ללא שינוי","מ-"&amp;$AI1024&amp;" ל-"&amp;$AC1024))</f>
        <v/>
      </c>
      <c r="AK1024" s="67" t="n"/>
    </row>
    <row r="1025">
      <c r="A1025" s="65" t="n"/>
      <c r="B1025" s="65" t="n"/>
      <c r="C1025" s="66" t="n"/>
      <c r="D1025" s="66" t="n"/>
      <c r="E1025" s="65" t="n"/>
      <c r="F1025" s="65" t="n"/>
      <c r="G1025" s="65" t="n"/>
      <c r="H1025" s="65" t="n"/>
      <c r="I1025" s="65" t="n"/>
      <c r="J1025" s="65" t="n"/>
      <c r="K1025" s="65" t="n"/>
      <c r="L1025" s="65" t="n"/>
      <c r="M1025" s="65" t="n"/>
      <c r="N1025" s="65" t="n"/>
      <c r="O1025" s="65" t="n"/>
      <c r="P1025" s="65" t="n"/>
      <c r="Q1025" s="65" t="n"/>
      <c r="R1025" s="65" t="n"/>
      <c r="S1025" s="65" t="n"/>
      <c r="T1025" s="65" t="n"/>
      <c r="U1025" s="65" t="n"/>
      <c r="V1025" s="65" t="n"/>
      <c r="W1025" s="65" t="n"/>
      <c r="X1025" s="65" t="n"/>
      <c r="Y1025" s="32">
        <f>IF($C1025="","",IF(COUNTA($I1025:$K1025)&lt;3,"— חסרים נתונים",IF(AND($I1025="תקין",$J1025="תקין",$K1025="תקין"),"רהוטה",IF(AND($I1025="תקין",$J1025="תקין"),"מדויקת ורציפה","אינה מדויקת או מקוטעת"))))</f>
        <v/>
      </c>
      <c r="Z1025" s="32">
        <f>IF($C1025="","",IF(COUNTA($U1025:$W1025)&lt;3,"",IF(AND($U1025="מפותח",$V1025="מפותח",$W1025="מפותחת"),"מפותחת",IF((--($U1025="דל"))+(--($V1025="אינו מפותח"))+(--($W1025="דלה"))&gt;=2,"אינה מפותחת","חלקית"))))</f>
        <v/>
      </c>
      <c r="AA1025" s="32">
        <f>IF($C1025="","",IF(COUNTA($M1025,$N1025,$O1025)&lt;3,"— חסרים נתונים",IF(OR($M1025="נמוכה",(--($M1025&lt;&gt;"תקינה"))+(--($N1025&lt;&gt;"תקין"))+(--($O1025&lt;&gt;"תקינה"))&gt;=2),"ניכרת","אינה ניכרת")))</f>
        <v/>
      </c>
      <c r="AB1025" s="32">
        <f>IF(OR($C1025="",$Y1025="",$AA1025="",LEFT($Y1025,1)="—",LEFT($AA1025,1)="—"),"",IF($Z1025="","— נדרשת הערכת כתיבה",IF($L1025="","— חסרה הבנת הנקרא",IF($Y1025="אינה מדויקת או מקוטעת",IF($AA1025="ניכרת","מיקוד בשטף הקריאה ובכישורי שפה","מיקוד בשטף קריאה"),IF($AA1025="ניכרת","מיקוד בכישורי שפה",IF(AND($L1025="תקינה",$Z1025="מפותחת"),"קוראים וכותבים מיומנים","מיקוד בהבנה והבעה"))))))</f>
        <v/>
      </c>
      <c r="AC1025" s="32">
        <f>IF(OR($AB1025="",LEFT($AB1025,1)="—"),"",IF(OR($AB1025="מיקוד בשטף קריאה",$AB1025="מיקוד בשטף הקריאה ובכישורי שפה"),"רמה א'",IF($AB1025="קוראים וכותבים מיומנים","רמה ג'","רמה ב'")))</f>
        <v/>
      </c>
      <c r="AD1025" s="32">
        <f>IF($AC1025="","",MID(IF(AND($AC1025="רמה א'",$AA1025="ניכרת"),"; להוסיף עבודת אוצר מילים","")&amp;IF($Z1025="אינה מפותחת","; דגש על הבעה בכתב","")&amp;IF($K1025&lt;&gt;"תקין","; נדרש לעבוד על ההנגנה","")&amp;IF($AK1025&lt;&gt;"","; "&amp;$AK1025,""),3,400))</f>
        <v/>
      </c>
      <c r="AE1025" s="32">
        <f>IF($F1025="","",IF($F1025="תחילת שנה",1,IF($F1025="מחצית שנה",2,3)))</f>
        <v/>
      </c>
      <c r="AF1025" s="32">
        <f>IF(OR($B1025="",$AC1025="",$A1025="",$F1025=""),"",$B1025&amp;"|"&amp;$A1025&amp;"|"&amp;$F1025&amp;"|"&amp;$AC1025&amp;"|"&amp;COUNTIFS($B$6:$B1025,$B1025,$A$6:$A1025,$A1025,$F$6:$F1025,$F1025,$AC$6:$AC1025,$AC1025))</f>
        <v/>
      </c>
      <c r="AG1025" s="32">
        <f>IF($C1025="","",$C1025&amp;"|"&amp;COUNTIFS($C$6:$C1025,$C1025))</f>
        <v/>
      </c>
      <c r="AH1025" s="32">
        <f>IF(OR($C1025="",$A1025="",$AE1025=""),"",$C1025&amp;"|"&amp;$A1025&amp;"|"&amp;$AE1025)</f>
        <v/>
      </c>
      <c r="AI1025" s="32">
        <f>IF(OR($C1025="",$AE1025="",$AE1025=1),"",IFERROR(INDEX($AC$6:$AC$1505,MATCH($C1025&amp;"|"&amp;$A1025&amp;"|"&amp;($AE1025-1),$AH$6:$AH$1505,0)),""))</f>
        <v/>
      </c>
      <c r="AJ1025" s="32">
        <f>IF(OR($AI1025="",$AC1025=""),"",IF($AI1025=$AC1025,"ללא שינוי","מ-"&amp;$AI1025&amp;" ל-"&amp;$AC1025))</f>
        <v/>
      </c>
      <c r="AK1025" s="67" t="n"/>
    </row>
    <row r="1026">
      <c r="A1026" s="65" t="n"/>
      <c r="B1026" s="65" t="n"/>
      <c r="C1026" s="66" t="n"/>
      <c r="D1026" s="66" t="n"/>
      <c r="E1026" s="65" t="n"/>
      <c r="F1026" s="65" t="n"/>
      <c r="G1026" s="65" t="n"/>
      <c r="H1026" s="65" t="n"/>
      <c r="I1026" s="65" t="n"/>
      <c r="J1026" s="65" t="n"/>
      <c r="K1026" s="65" t="n"/>
      <c r="L1026" s="65" t="n"/>
      <c r="M1026" s="65" t="n"/>
      <c r="N1026" s="65" t="n"/>
      <c r="O1026" s="65" t="n"/>
      <c r="P1026" s="65" t="n"/>
      <c r="Q1026" s="65" t="n"/>
      <c r="R1026" s="65" t="n"/>
      <c r="S1026" s="65" t="n"/>
      <c r="T1026" s="65" t="n"/>
      <c r="U1026" s="65" t="n"/>
      <c r="V1026" s="65" t="n"/>
      <c r="W1026" s="65" t="n"/>
      <c r="X1026" s="65" t="n"/>
      <c r="Y1026" s="32">
        <f>IF($C1026="","",IF(COUNTA($I1026:$K1026)&lt;3,"— חסרים נתונים",IF(AND($I1026="תקין",$J1026="תקין",$K1026="תקין"),"רהוטה",IF(AND($I1026="תקין",$J1026="תקין"),"מדויקת ורציפה","אינה מדויקת או מקוטעת"))))</f>
        <v/>
      </c>
      <c r="Z1026" s="32">
        <f>IF($C1026="","",IF(COUNTA($U1026:$W1026)&lt;3,"",IF(AND($U1026="מפותח",$V1026="מפותח",$W1026="מפותחת"),"מפותחת",IF((--($U1026="דל"))+(--($V1026="אינו מפותח"))+(--($W1026="דלה"))&gt;=2,"אינה מפותחת","חלקית"))))</f>
        <v/>
      </c>
      <c r="AA1026" s="32">
        <f>IF($C1026="","",IF(COUNTA($M1026,$N1026,$O1026)&lt;3,"— חסרים נתונים",IF(OR($M1026="נמוכה",(--($M1026&lt;&gt;"תקינה"))+(--($N1026&lt;&gt;"תקין"))+(--($O1026&lt;&gt;"תקינה"))&gt;=2),"ניכרת","אינה ניכרת")))</f>
        <v/>
      </c>
      <c r="AB1026" s="32">
        <f>IF(OR($C1026="",$Y1026="",$AA1026="",LEFT($Y1026,1)="—",LEFT($AA1026,1)="—"),"",IF($Z1026="","— נדרשת הערכת כתיבה",IF($L1026="","— חסרה הבנת הנקרא",IF($Y1026="אינה מדויקת או מקוטעת",IF($AA1026="ניכרת","מיקוד בשטף הקריאה ובכישורי שפה","מיקוד בשטף קריאה"),IF($AA1026="ניכרת","מיקוד בכישורי שפה",IF(AND($L1026="תקינה",$Z1026="מפותחת"),"קוראים וכותבים מיומנים","מיקוד בהבנה והבעה"))))))</f>
        <v/>
      </c>
      <c r="AC1026" s="32">
        <f>IF(OR($AB1026="",LEFT($AB1026,1)="—"),"",IF(OR($AB1026="מיקוד בשטף קריאה",$AB1026="מיקוד בשטף הקריאה ובכישורי שפה"),"רמה א'",IF($AB1026="קוראים וכותבים מיומנים","רמה ג'","רמה ב'")))</f>
        <v/>
      </c>
      <c r="AD1026" s="32">
        <f>IF($AC1026="","",MID(IF(AND($AC1026="רמה א'",$AA1026="ניכרת"),"; להוסיף עבודת אוצר מילים","")&amp;IF($Z1026="אינה מפותחת","; דגש על הבעה בכתב","")&amp;IF($K1026&lt;&gt;"תקין","; נדרש לעבוד על ההנגנה","")&amp;IF($AK1026&lt;&gt;"","; "&amp;$AK1026,""),3,400))</f>
        <v/>
      </c>
      <c r="AE1026" s="32">
        <f>IF($F1026="","",IF($F1026="תחילת שנה",1,IF($F1026="מחצית שנה",2,3)))</f>
        <v/>
      </c>
      <c r="AF1026" s="32">
        <f>IF(OR($B1026="",$AC1026="",$A1026="",$F1026=""),"",$B1026&amp;"|"&amp;$A1026&amp;"|"&amp;$F1026&amp;"|"&amp;$AC1026&amp;"|"&amp;COUNTIFS($B$6:$B1026,$B1026,$A$6:$A1026,$A1026,$F$6:$F1026,$F1026,$AC$6:$AC1026,$AC1026))</f>
        <v/>
      </c>
      <c r="AG1026" s="32">
        <f>IF($C1026="","",$C1026&amp;"|"&amp;COUNTIFS($C$6:$C1026,$C1026))</f>
        <v/>
      </c>
      <c r="AH1026" s="32">
        <f>IF(OR($C1026="",$A1026="",$AE1026=""),"",$C1026&amp;"|"&amp;$A1026&amp;"|"&amp;$AE1026)</f>
        <v/>
      </c>
      <c r="AI1026" s="32">
        <f>IF(OR($C1026="",$AE1026="",$AE1026=1),"",IFERROR(INDEX($AC$6:$AC$1505,MATCH($C1026&amp;"|"&amp;$A1026&amp;"|"&amp;($AE1026-1),$AH$6:$AH$1505,0)),""))</f>
        <v/>
      </c>
      <c r="AJ1026" s="32">
        <f>IF(OR($AI1026="",$AC1026=""),"",IF($AI1026=$AC1026,"ללא שינוי","מ-"&amp;$AI1026&amp;" ל-"&amp;$AC1026))</f>
        <v/>
      </c>
      <c r="AK1026" s="67" t="n"/>
    </row>
    <row r="1027">
      <c r="A1027" s="65" t="n"/>
      <c r="B1027" s="65" t="n"/>
      <c r="C1027" s="66" t="n"/>
      <c r="D1027" s="66" t="n"/>
      <c r="E1027" s="65" t="n"/>
      <c r="F1027" s="65" t="n"/>
      <c r="G1027" s="65" t="n"/>
      <c r="H1027" s="65" t="n"/>
      <c r="I1027" s="65" t="n"/>
      <c r="J1027" s="65" t="n"/>
      <c r="K1027" s="65" t="n"/>
      <c r="L1027" s="65" t="n"/>
      <c r="M1027" s="65" t="n"/>
      <c r="N1027" s="65" t="n"/>
      <c r="O1027" s="65" t="n"/>
      <c r="P1027" s="65" t="n"/>
      <c r="Q1027" s="65" t="n"/>
      <c r="R1027" s="65" t="n"/>
      <c r="S1027" s="65" t="n"/>
      <c r="T1027" s="65" t="n"/>
      <c r="U1027" s="65" t="n"/>
      <c r="V1027" s="65" t="n"/>
      <c r="W1027" s="65" t="n"/>
      <c r="X1027" s="65" t="n"/>
      <c r="Y1027" s="32">
        <f>IF($C1027="","",IF(COUNTA($I1027:$K1027)&lt;3,"— חסרים נתונים",IF(AND($I1027="תקין",$J1027="תקין",$K1027="תקין"),"רהוטה",IF(AND($I1027="תקין",$J1027="תקין"),"מדויקת ורציפה","אינה מדויקת או מקוטעת"))))</f>
        <v/>
      </c>
      <c r="Z1027" s="32">
        <f>IF($C1027="","",IF(COUNTA($U1027:$W1027)&lt;3,"",IF(AND($U1027="מפותח",$V1027="מפותח",$W1027="מפותחת"),"מפותחת",IF((--($U1027="דל"))+(--($V1027="אינו מפותח"))+(--($W1027="דלה"))&gt;=2,"אינה מפותחת","חלקית"))))</f>
        <v/>
      </c>
      <c r="AA1027" s="32">
        <f>IF($C1027="","",IF(COUNTA($M1027,$N1027,$O1027)&lt;3,"— חסרים נתונים",IF(OR($M1027="נמוכה",(--($M1027&lt;&gt;"תקינה"))+(--($N1027&lt;&gt;"תקין"))+(--($O1027&lt;&gt;"תקינה"))&gt;=2),"ניכרת","אינה ניכרת")))</f>
        <v/>
      </c>
      <c r="AB1027" s="32">
        <f>IF(OR($C1027="",$Y1027="",$AA1027="",LEFT($Y1027,1)="—",LEFT($AA1027,1)="—"),"",IF($Z1027="","— נדרשת הערכת כתיבה",IF($L1027="","— חסרה הבנת הנקרא",IF($Y1027="אינה מדויקת או מקוטעת",IF($AA1027="ניכרת","מיקוד בשטף הקריאה ובכישורי שפה","מיקוד בשטף קריאה"),IF($AA1027="ניכרת","מיקוד בכישורי שפה",IF(AND($L1027="תקינה",$Z1027="מפותחת"),"קוראים וכותבים מיומנים","מיקוד בהבנה והבעה"))))))</f>
        <v/>
      </c>
      <c r="AC1027" s="32">
        <f>IF(OR($AB1027="",LEFT($AB1027,1)="—"),"",IF(OR($AB1027="מיקוד בשטף קריאה",$AB1027="מיקוד בשטף הקריאה ובכישורי שפה"),"רמה א'",IF($AB1027="קוראים וכותבים מיומנים","רמה ג'","רמה ב'")))</f>
        <v/>
      </c>
      <c r="AD1027" s="32">
        <f>IF($AC1027="","",MID(IF(AND($AC1027="רמה א'",$AA1027="ניכרת"),"; להוסיף עבודת אוצר מילים","")&amp;IF($Z1027="אינה מפותחת","; דגש על הבעה בכתב","")&amp;IF($K1027&lt;&gt;"תקין","; נדרש לעבוד על ההנגנה","")&amp;IF($AK1027&lt;&gt;"","; "&amp;$AK1027,""),3,400))</f>
        <v/>
      </c>
      <c r="AE1027" s="32">
        <f>IF($F1027="","",IF($F1027="תחילת שנה",1,IF($F1027="מחצית שנה",2,3)))</f>
        <v/>
      </c>
      <c r="AF1027" s="32">
        <f>IF(OR($B1027="",$AC1027="",$A1027="",$F1027=""),"",$B1027&amp;"|"&amp;$A1027&amp;"|"&amp;$F1027&amp;"|"&amp;$AC1027&amp;"|"&amp;COUNTIFS($B$6:$B1027,$B1027,$A$6:$A1027,$A1027,$F$6:$F1027,$F1027,$AC$6:$AC1027,$AC1027))</f>
        <v/>
      </c>
      <c r="AG1027" s="32">
        <f>IF($C1027="","",$C1027&amp;"|"&amp;COUNTIFS($C$6:$C1027,$C1027))</f>
        <v/>
      </c>
      <c r="AH1027" s="32">
        <f>IF(OR($C1027="",$A1027="",$AE1027=""),"",$C1027&amp;"|"&amp;$A1027&amp;"|"&amp;$AE1027)</f>
        <v/>
      </c>
      <c r="AI1027" s="32">
        <f>IF(OR($C1027="",$AE1027="",$AE1027=1),"",IFERROR(INDEX($AC$6:$AC$1505,MATCH($C1027&amp;"|"&amp;$A1027&amp;"|"&amp;($AE1027-1),$AH$6:$AH$1505,0)),""))</f>
        <v/>
      </c>
      <c r="AJ1027" s="32">
        <f>IF(OR($AI1027="",$AC1027=""),"",IF($AI1027=$AC1027,"ללא שינוי","מ-"&amp;$AI1027&amp;" ל-"&amp;$AC1027))</f>
        <v/>
      </c>
      <c r="AK1027" s="67" t="n"/>
    </row>
    <row r="1028">
      <c r="A1028" s="65" t="n"/>
      <c r="B1028" s="65" t="n"/>
      <c r="C1028" s="66" t="n"/>
      <c r="D1028" s="66" t="n"/>
      <c r="E1028" s="65" t="n"/>
      <c r="F1028" s="65" t="n"/>
      <c r="G1028" s="65" t="n"/>
      <c r="H1028" s="65" t="n"/>
      <c r="I1028" s="65" t="n"/>
      <c r="J1028" s="65" t="n"/>
      <c r="K1028" s="65" t="n"/>
      <c r="L1028" s="65" t="n"/>
      <c r="M1028" s="65" t="n"/>
      <c r="N1028" s="65" t="n"/>
      <c r="O1028" s="65" t="n"/>
      <c r="P1028" s="65" t="n"/>
      <c r="Q1028" s="65" t="n"/>
      <c r="R1028" s="65" t="n"/>
      <c r="S1028" s="65" t="n"/>
      <c r="T1028" s="65" t="n"/>
      <c r="U1028" s="65" t="n"/>
      <c r="V1028" s="65" t="n"/>
      <c r="W1028" s="65" t="n"/>
      <c r="X1028" s="65" t="n"/>
      <c r="Y1028" s="32">
        <f>IF($C1028="","",IF(COUNTA($I1028:$K1028)&lt;3,"— חסרים נתונים",IF(AND($I1028="תקין",$J1028="תקין",$K1028="תקין"),"רהוטה",IF(AND($I1028="תקין",$J1028="תקין"),"מדויקת ורציפה","אינה מדויקת או מקוטעת"))))</f>
        <v/>
      </c>
      <c r="Z1028" s="32">
        <f>IF($C1028="","",IF(COUNTA($U1028:$W1028)&lt;3,"",IF(AND($U1028="מפותח",$V1028="מפותח",$W1028="מפותחת"),"מפותחת",IF((--($U1028="דל"))+(--($V1028="אינו מפותח"))+(--($W1028="דלה"))&gt;=2,"אינה מפותחת","חלקית"))))</f>
        <v/>
      </c>
      <c r="AA1028" s="32">
        <f>IF($C1028="","",IF(COUNTA($M1028,$N1028,$O1028)&lt;3,"— חסרים נתונים",IF(OR($M1028="נמוכה",(--($M1028&lt;&gt;"תקינה"))+(--($N1028&lt;&gt;"תקין"))+(--($O1028&lt;&gt;"תקינה"))&gt;=2),"ניכרת","אינה ניכרת")))</f>
        <v/>
      </c>
      <c r="AB1028" s="32">
        <f>IF(OR($C1028="",$Y1028="",$AA1028="",LEFT($Y1028,1)="—",LEFT($AA1028,1)="—"),"",IF($Z1028="","— נדרשת הערכת כתיבה",IF($L1028="","— חסרה הבנת הנקרא",IF($Y1028="אינה מדויקת או מקוטעת",IF($AA1028="ניכרת","מיקוד בשטף הקריאה ובכישורי שפה","מיקוד בשטף קריאה"),IF($AA1028="ניכרת","מיקוד בכישורי שפה",IF(AND($L1028="תקינה",$Z1028="מפותחת"),"קוראים וכותבים מיומנים","מיקוד בהבנה והבעה"))))))</f>
        <v/>
      </c>
      <c r="AC1028" s="32">
        <f>IF(OR($AB1028="",LEFT($AB1028,1)="—"),"",IF(OR($AB1028="מיקוד בשטף קריאה",$AB1028="מיקוד בשטף הקריאה ובכישורי שפה"),"רמה א'",IF($AB1028="קוראים וכותבים מיומנים","רמה ג'","רמה ב'")))</f>
        <v/>
      </c>
      <c r="AD1028" s="32">
        <f>IF($AC1028="","",MID(IF(AND($AC1028="רמה א'",$AA1028="ניכרת"),"; להוסיף עבודת אוצר מילים","")&amp;IF($Z1028="אינה מפותחת","; דגש על הבעה בכתב","")&amp;IF($K1028&lt;&gt;"תקין","; נדרש לעבוד על ההנגנה","")&amp;IF($AK1028&lt;&gt;"","; "&amp;$AK1028,""),3,400))</f>
        <v/>
      </c>
      <c r="AE1028" s="32">
        <f>IF($F1028="","",IF($F1028="תחילת שנה",1,IF($F1028="מחצית שנה",2,3)))</f>
        <v/>
      </c>
      <c r="AF1028" s="32">
        <f>IF(OR($B1028="",$AC1028="",$A1028="",$F1028=""),"",$B1028&amp;"|"&amp;$A1028&amp;"|"&amp;$F1028&amp;"|"&amp;$AC1028&amp;"|"&amp;COUNTIFS($B$6:$B1028,$B1028,$A$6:$A1028,$A1028,$F$6:$F1028,$F1028,$AC$6:$AC1028,$AC1028))</f>
        <v/>
      </c>
      <c r="AG1028" s="32">
        <f>IF($C1028="","",$C1028&amp;"|"&amp;COUNTIFS($C$6:$C1028,$C1028))</f>
        <v/>
      </c>
      <c r="AH1028" s="32">
        <f>IF(OR($C1028="",$A1028="",$AE1028=""),"",$C1028&amp;"|"&amp;$A1028&amp;"|"&amp;$AE1028)</f>
        <v/>
      </c>
      <c r="AI1028" s="32">
        <f>IF(OR($C1028="",$AE1028="",$AE1028=1),"",IFERROR(INDEX($AC$6:$AC$1505,MATCH($C1028&amp;"|"&amp;$A1028&amp;"|"&amp;($AE1028-1),$AH$6:$AH$1505,0)),""))</f>
        <v/>
      </c>
      <c r="AJ1028" s="32">
        <f>IF(OR($AI1028="",$AC1028=""),"",IF($AI1028=$AC1028,"ללא שינוי","מ-"&amp;$AI1028&amp;" ל-"&amp;$AC1028))</f>
        <v/>
      </c>
      <c r="AK1028" s="67" t="n"/>
    </row>
    <row r="1029">
      <c r="A1029" s="65" t="n"/>
      <c r="B1029" s="65" t="n"/>
      <c r="C1029" s="66" t="n"/>
      <c r="D1029" s="66" t="n"/>
      <c r="E1029" s="65" t="n"/>
      <c r="F1029" s="65" t="n"/>
      <c r="G1029" s="65" t="n"/>
      <c r="H1029" s="65" t="n"/>
      <c r="I1029" s="65" t="n"/>
      <c r="J1029" s="65" t="n"/>
      <c r="K1029" s="65" t="n"/>
      <c r="L1029" s="65" t="n"/>
      <c r="M1029" s="65" t="n"/>
      <c r="N1029" s="65" t="n"/>
      <c r="O1029" s="65" t="n"/>
      <c r="P1029" s="65" t="n"/>
      <c r="Q1029" s="65" t="n"/>
      <c r="R1029" s="65" t="n"/>
      <c r="S1029" s="65" t="n"/>
      <c r="T1029" s="65" t="n"/>
      <c r="U1029" s="65" t="n"/>
      <c r="V1029" s="65" t="n"/>
      <c r="W1029" s="65" t="n"/>
      <c r="X1029" s="65" t="n"/>
      <c r="Y1029" s="32">
        <f>IF($C1029="","",IF(COUNTA($I1029:$K1029)&lt;3,"— חסרים נתונים",IF(AND($I1029="תקין",$J1029="תקין",$K1029="תקין"),"רהוטה",IF(AND($I1029="תקין",$J1029="תקין"),"מדויקת ורציפה","אינה מדויקת או מקוטעת"))))</f>
        <v/>
      </c>
      <c r="Z1029" s="32">
        <f>IF($C1029="","",IF(COUNTA($U1029:$W1029)&lt;3,"",IF(AND($U1029="מפותח",$V1029="מפותח",$W1029="מפותחת"),"מפותחת",IF((--($U1029="דל"))+(--($V1029="אינו מפותח"))+(--($W1029="דלה"))&gt;=2,"אינה מפותחת","חלקית"))))</f>
        <v/>
      </c>
      <c r="AA1029" s="32">
        <f>IF($C1029="","",IF(COUNTA($M1029,$N1029,$O1029)&lt;3,"— חסרים נתונים",IF(OR($M1029="נמוכה",(--($M1029&lt;&gt;"תקינה"))+(--($N1029&lt;&gt;"תקין"))+(--($O1029&lt;&gt;"תקינה"))&gt;=2),"ניכרת","אינה ניכרת")))</f>
        <v/>
      </c>
      <c r="AB1029" s="32">
        <f>IF(OR($C1029="",$Y1029="",$AA1029="",LEFT($Y1029,1)="—",LEFT($AA1029,1)="—"),"",IF($Z1029="","— נדרשת הערכת כתיבה",IF($L1029="","— חסרה הבנת הנקרא",IF($Y1029="אינה מדויקת או מקוטעת",IF($AA1029="ניכרת","מיקוד בשטף הקריאה ובכישורי שפה","מיקוד בשטף קריאה"),IF($AA1029="ניכרת","מיקוד בכישורי שפה",IF(AND($L1029="תקינה",$Z1029="מפותחת"),"קוראים וכותבים מיומנים","מיקוד בהבנה והבעה"))))))</f>
        <v/>
      </c>
      <c r="AC1029" s="32">
        <f>IF(OR($AB1029="",LEFT($AB1029,1)="—"),"",IF(OR($AB1029="מיקוד בשטף קריאה",$AB1029="מיקוד בשטף הקריאה ובכישורי שפה"),"רמה א'",IF($AB1029="קוראים וכותבים מיומנים","רמה ג'","רמה ב'")))</f>
        <v/>
      </c>
      <c r="AD1029" s="32">
        <f>IF($AC1029="","",MID(IF(AND($AC1029="רמה א'",$AA1029="ניכרת"),"; להוסיף עבודת אוצר מילים","")&amp;IF($Z1029="אינה מפותחת","; דגש על הבעה בכתב","")&amp;IF($K1029&lt;&gt;"תקין","; נדרש לעבוד על ההנגנה","")&amp;IF($AK1029&lt;&gt;"","; "&amp;$AK1029,""),3,400))</f>
        <v/>
      </c>
      <c r="AE1029" s="32">
        <f>IF($F1029="","",IF($F1029="תחילת שנה",1,IF($F1029="מחצית שנה",2,3)))</f>
        <v/>
      </c>
      <c r="AF1029" s="32">
        <f>IF(OR($B1029="",$AC1029="",$A1029="",$F1029=""),"",$B1029&amp;"|"&amp;$A1029&amp;"|"&amp;$F1029&amp;"|"&amp;$AC1029&amp;"|"&amp;COUNTIFS($B$6:$B1029,$B1029,$A$6:$A1029,$A1029,$F$6:$F1029,$F1029,$AC$6:$AC1029,$AC1029))</f>
        <v/>
      </c>
      <c r="AG1029" s="32">
        <f>IF($C1029="","",$C1029&amp;"|"&amp;COUNTIFS($C$6:$C1029,$C1029))</f>
        <v/>
      </c>
      <c r="AH1029" s="32">
        <f>IF(OR($C1029="",$A1029="",$AE1029=""),"",$C1029&amp;"|"&amp;$A1029&amp;"|"&amp;$AE1029)</f>
        <v/>
      </c>
      <c r="AI1029" s="32">
        <f>IF(OR($C1029="",$AE1029="",$AE1029=1),"",IFERROR(INDEX($AC$6:$AC$1505,MATCH($C1029&amp;"|"&amp;$A1029&amp;"|"&amp;($AE1029-1),$AH$6:$AH$1505,0)),""))</f>
        <v/>
      </c>
      <c r="AJ1029" s="32">
        <f>IF(OR($AI1029="",$AC1029=""),"",IF($AI1029=$AC1029,"ללא שינוי","מ-"&amp;$AI1029&amp;" ל-"&amp;$AC1029))</f>
        <v/>
      </c>
      <c r="AK1029" s="67" t="n"/>
    </row>
    <row r="1030">
      <c r="A1030" s="65" t="n"/>
      <c r="B1030" s="65" t="n"/>
      <c r="C1030" s="66" t="n"/>
      <c r="D1030" s="66" t="n"/>
      <c r="E1030" s="65" t="n"/>
      <c r="F1030" s="65" t="n"/>
      <c r="G1030" s="65" t="n"/>
      <c r="H1030" s="65" t="n"/>
      <c r="I1030" s="65" t="n"/>
      <c r="J1030" s="65" t="n"/>
      <c r="K1030" s="65" t="n"/>
      <c r="L1030" s="65" t="n"/>
      <c r="M1030" s="65" t="n"/>
      <c r="N1030" s="65" t="n"/>
      <c r="O1030" s="65" t="n"/>
      <c r="P1030" s="65" t="n"/>
      <c r="Q1030" s="65" t="n"/>
      <c r="R1030" s="65" t="n"/>
      <c r="S1030" s="65" t="n"/>
      <c r="T1030" s="65" t="n"/>
      <c r="U1030" s="65" t="n"/>
      <c r="V1030" s="65" t="n"/>
      <c r="W1030" s="65" t="n"/>
      <c r="X1030" s="65" t="n"/>
      <c r="Y1030" s="32">
        <f>IF($C1030="","",IF(COUNTA($I1030:$K1030)&lt;3,"— חסרים נתונים",IF(AND($I1030="תקין",$J1030="תקין",$K1030="תקין"),"רהוטה",IF(AND($I1030="תקין",$J1030="תקין"),"מדויקת ורציפה","אינה מדויקת או מקוטעת"))))</f>
        <v/>
      </c>
      <c r="Z1030" s="32">
        <f>IF($C1030="","",IF(COUNTA($U1030:$W1030)&lt;3,"",IF(AND($U1030="מפותח",$V1030="מפותח",$W1030="מפותחת"),"מפותחת",IF((--($U1030="דל"))+(--($V1030="אינו מפותח"))+(--($W1030="דלה"))&gt;=2,"אינה מפותחת","חלקית"))))</f>
        <v/>
      </c>
      <c r="AA1030" s="32">
        <f>IF($C1030="","",IF(COUNTA($M1030,$N1030,$O1030)&lt;3,"— חסרים נתונים",IF(OR($M1030="נמוכה",(--($M1030&lt;&gt;"תקינה"))+(--($N1030&lt;&gt;"תקין"))+(--($O1030&lt;&gt;"תקינה"))&gt;=2),"ניכרת","אינה ניכרת")))</f>
        <v/>
      </c>
      <c r="AB1030" s="32">
        <f>IF(OR($C1030="",$Y1030="",$AA1030="",LEFT($Y1030,1)="—",LEFT($AA1030,1)="—"),"",IF($Z1030="","— נדרשת הערכת כתיבה",IF($L1030="","— חסרה הבנת הנקרא",IF($Y1030="אינה מדויקת או מקוטעת",IF($AA1030="ניכרת","מיקוד בשטף הקריאה ובכישורי שפה","מיקוד בשטף קריאה"),IF($AA1030="ניכרת","מיקוד בכישורי שפה",IF(AND($L1030="תקינה",$Z1030="מפותחת"),"קוראים וכותבים מיומנים","מיקוד בהבנה והבעה"))))))</f>
        <v/>
      </c>
      <c r="AC1030" s="32">
        <f>IF(OR($AB1030="",LEFT($AB1030,1)="—"),"",IF(OR($AB1030="מיקוד בשטף קריאה",$AB1030="מיקוד בשטף הקריאה ובכישורי שפה"),"רמה א'",IF($AB1030="קוראים וכותבים מיומנים","רמה ג'","רמה ב'")))</f>
        <v/>
      </c>
      <c r="AD1030" s="32">
        <f>IF($AC1030="","",MID(IF(AND($AC1030="רמה א'",$AA1030="ניכרת"),"; להוסיף עבודת אוצר מילים","")&amp;IF($Z1030="אינה מפותחת","; דגש על הבעה בכתב","")&amp;IF($K1030&lt;&gt;"תקין","; נדרש לעבוד על ההנגנה","")&amp;IF($AK1030&lt;&gt;"","; "&amp;$AK1030,""),3,400))</f>
        <v/>
      </c>
      <c r="AE1030" s="32">
        <f>IF($F1030="","",IF($F1030="תחילת שנה",1,IF($F1030="מחצית שנה",2,3)))</f>
        <v/>
      </c>
      <c r="AF1030" s="32">
        <f>IF(OR($B1030="",$AC1030="",$A1030="",$F1030=""),"",$B1030&amp;"|"&amp;$A1030&amp;"|"&amp;$F1030&amp;"|"&amp;$AC1030&amp;"|"&amp;COUNTIFS($B$6:$B1030,$B1030,$A$6:$A1030,$A1030,$F$6:$F1030,$F1030,$AC$6:$AC1030,$AC1030))</f>
        <v/>
      </c>
      <c r="AG1030" s="32">
        <f>IF($C1030="","",$C1030&amp;"|"&amp;COUNTIFS($C$6:$C1030,$C1030))</f>
        <v/>
      </c>
      <c r="AH1030" s="32">
        <f>IF(OR($C1030="",$A1030="",$AE1030=""),"",$C1030&amp;"|"&amp;$A1030&amp;"|"&amp;$AE1030)</f>
        <v/>
      </c>
      <c r="AI1030" s="32">
        <f>IF(OR($C1030="",$AE1030="",$AE1030=1),"",IFERROR(INDEX($AC$6:$AC$1505,MATCH($C1030&amp;"|"&amp;$A1030&amp;"|"&amp;($AE1030-1),$AH$6:$AH$1505,0)),""))</f>
        <v/>
      </c>
      <c r="AJ1030" s="32">
        <f>IF(OR($AI1030="",$AC1030=""),"",IF($AI1030=$AC1030,"ללא שינוי","מ-"&amp;$AI1030&amp;" ל-"&amp;$AC1030))</f>
        <v/>
      </c>
      <c r="AK1030" s="67" t="n"/>
    </row>
    <row r="1031">
      <c r="A1031" s="65" t="n"/>
      <c r="B1031" s="65" t="n"/>
      <c r="C1031" s="66" t="n"/>
      <c r="D1031" s="66" t="n"/>
      <c r="E1031" s="65" t="n"/>
      <c r="F1031" s="65" t="n"/>
      <c r="G1031" s="65" t="n"/>
      <c r="H1031" s="65" t="n"/>
      <c r="I1031" s="65" t="n"/>
      <c r="J1031" s="65" t="n"/>
      <c r="K1031" s="65" t="n"/>
      <c r="L1031" s="65" t="n"/>
      <c r="M1031" s="65" t="n"/>
      <c r="N1031" s="65" t="n"/>
      <c r="O1031" s="65" t="n"/>
      <c r="P1031" s="65" t="n"/>
      <c r="Q1031" s="65" t="n"/>
      <c r="R1031" s="65" t="n"/>
      <c r="S1031" s="65" t="n"/>
      <c r="T1031" s="65" t="n"/>
      <c r="U1031" s="65" t="n"/>
      <c r="V1031" s="65" t="n"/>
      <c r="W1031" s="65" t="n"/>
      <c r="X1031" s="65" t="n"/>
      <c r="Y1031" s="32">
        <f>IF($C1031="","",IF(COUNTA($I1031:$K1031)&lt;3,"— חסרים נתונים",IF(AND($I1031="תקין",$J1031="תקין",$K1031="תקין"),"רהוטה",IF(AND($I1031="תקין",$J1031="תקין"),"מדויקת ורציפה","אינה מדויקת או מקוטעת"))))</f>
        <v/>
      </c>
      <c r="Z1031" s="32">
        <f>IF($C1031="","",IF(COUNTA($U1031:$W1031)&lt;3,"",IF(AND($U1031="מפותח",$V1031="מפותח",$W1031="מפותחת"),"מפותחת",IF((--($U1031="דל"))+(--($V1031="אינו מפותח"))+(--($W1031="דלה"))&gt;=2,"אינה מפותחת","חלקית"))))</f>
        <v/>
      </c>
      <c r="AA1031" s="32">
        <f>IF($C1031="","",IF(COUNTA($M1031,$N1031,$O1031)&lt;3,"— חסרים נתונים",IF(OR($M1031="נמוכה",(--($M1031&lt;&gt;"תקינה"))+(--($N1031&lt;&gt;"תקין"))+(--($O1031&lt;&gt;"תקינה"))&gt;=2),"ניכרת","אינה ניכרת")))</f>
        <v/>
      </c>
      <c r="AB1031" s="32">
        <f>IF(OR($C1031="",$Y1031="",$AA1031="",LEFT($Y1031,1)="—",LEFT($AA1031,1)="—"),"",IF($Z1031="","— נדרשת הערכת כתיבה",IF($L1031="","— חסרה הבנת הנקרא",IF($Y1031="אינה מדויקת או מקוטעת",IF($AA1031="ניכרת","מיקוד בשטף הקריאה ובכישורי שפה","מיקוד בשטף קריאה"),IF($AA1031="ניכרת","מיקוד בכישורי שפה",IF(AND($L1031="תקינה",$Z1031="מפותחת"),"קוראים וכותבים מיומנים","מיקוד בהבנה והבעה"))))))</f>
        <v/>
      </c>
      <c r="AC1031" s="32">
        <f>IF(OR($AB1031="",LEFT($AB1031,1)="—"),"",IF(OR($AB1031="מיקוד בשטף קריאה",$AB1031="מיקוד בשטף הקריאה ובכישורי שפה"),"רמה א'",IF($AB1031="קוראים וכותבים מיומנים","רמה ג'","רמה ב'")))</f>
        <v/>
      </c>
      <c r="AD1031" s="32">
        <f>IF($AC1031="","",MID(IF(AND($AC1031="רמה א'",$AA1031="ניכרת"),"; להוסיף עבודת אוצר מילים","")&amp;IF($Z1031="אינה מפותחת","; דגש על הבעה בכתב","")&amp;IF($K1031&lt;&gt;"תקין","; נדרש לעבוד על ההנגנה","")&amp;IF($AK1031&lt;&gt;"","; "&amp;$AK1031,""),3,400))</f>
        <v/>
      </c>
      <c r="AE1031" s="32">
        <f>IF($F1031="","",IF($F1031="תחילת שנה",1,IF($F1031="מחצית שנה",2,3)))</f>
        <v/>
      </c>
      <c r="AF1031" s="32">
        <f>IF(OR($B1031="",$AC1031="",$A1031="",$F1031=""),"",$B1031&amp;"|"&amp;$A1031&amp;"|"&amp;$F1031&amp;"|"&amp;$AC1031&amp;"|"&amp;COUNTIFS($B$6:$B1031,$B1031,$A$6:$A1031,$A1031,$F$6:$F1031,$F1031,$AC$6:$AC1031,$AC1031))</f>
        <v/>
      </c>
      <c r="AG1031" s="32">
        <f>IF($C1031="","",$C1031&amp;"|"&amp;COUNTIFS($C$6:$C1031,$C1031))</f>
        <v/>
      </c>
      <c r="AH1031" s="32">
        <f>IF(OR($C1031="",$A1031="",$AE1031=""),"",$C1031&amp;"|"&amp;$A1031&amp;"|"&amp;$AE1031)</f>
        <v/>
      </c>
      <c r="AI1031" s="32">
        <f>IF(OR($C1031="",$AE1031="",$AE1031=1),"",IFERROR(INDEX($AC$6:$AC$1505,MATCH($C1031&amp;"|"&amp;$A1031&amp;"|"&amp;($AE1031-1),$AH$6:$AH$1505,0)),""))</f>
        <v/>
      </c>
      <c r="AJ1031" s="32">
        <f>IF(OR($AI1031="",$AC1031=""),"",IF($AI1031=$AC1031,"ללא שינוי","מ-"&amp;$AI1031&amp;" ל-"&amp;$AC1031))</f>
        <v/>
      </c>
      <c r="AK1031" s="67" t="n"/>
    </row>
    <row r="1032">
      <c r="A1032" s="65" t="n"/>
      <c r="B1032" s="65" t="n"/>
      <c r="C1032" s="66" t="n"/>
      <c r="D1032" s="66" t="n"/>
      <c r="E1032" s="65" t="n"/>
      <c r="F1032" s="65" t="n"/>
      <c r="G1032" s="65" t="n"/>
      <c r="H1032" s="65" t="n"/>
      <c r="I1032" s="65" t="n"/>
      <c r="J1032" s="65" t="n"/>
      <c r="K1032" s="65" t="n"/>
      <c r="L1032" s="65" t="n"/>
      <c r="M1032" s="65" t="n"/>
      <c r="N1032" s="65" t="n"/>
      <c r="O1032" s="65" t="n"/>
      <c r="P1032" s="65" t="n"/>
      <c r="Q1032" s="65" t="n"/>
      <c r="R1032" s="65" t="n"/>
      <c r="S1032" s="65" t="n"/>
      <c r="T1032" s="65" t="n"/>
      <c r="U1032" s="65" t="n"/>
      <c r="V1032" s="65" t="n"/>
      <c r="W1032" s="65" t="n"/>
      <c r="X1032" s="65" t="n"/>
      <c r="Y1032" s="32">
        <f>IF($C1032="","",IF(COUNTA($I1032:$K1032)&lt;3,"— חסרים נתונים",IF(AND($I1032="תקין",$J1032="תקין",$K1032="תקין"),"רהוטה",IF(AND($I1032="תקין",$J1032="תקין"),"מדויקת ורציפה","אינה מדויקת או מקוטעת"))))</f>
        <v/>
      </c>
      <c r="Z1032" s="32">
        <f>IF($C1032="","",IF(COUNTA($U1032:$W1032)&lt;3,"",IF(AND($U1032="מפותח",$V1032="מפותח",$W1032="מפותחת"),"מפותחת",IF((--($U1032="דל"))+(--($V1032="אינו מפותח"))+(--($W1032="דלה"))&gt;=2,"אינה מפותחת","חלקית"))))</f>
        <v/>
      </c>
      <c r="AA1032" s="32">
        <f>IF($C1032="","",IF(COUNTA($M1032,$N1032,$O1032)&lt;3,"— חסרים נתונים",IF(OR($M1032="נמוכה",(--($M1032&lt;&gt;"תקינה"))+(--($N1032&lt;&gt;"תקין"))+(--($O1032&lt;&gt;"תקינה"))&gt;=2),"ניכרת","אינה ניכרת")))</f>
        <v/>
      </c>
      <c r="AB1032" s="32">
        <f>IF(OR($C1032="",$Y1032="",$AA1032="",LEFT($Y1032,1)="—",LEFT($AA1032,1)="—"),"",IF($Z1032="","— נדרשת הערכת כתיבה",IF($L1032="","— חסרה הבנת הנקרא",IF($Y1032="אינה מדויקת או מקוטעת",IF($AA1032="ניכרת","מיקוד בשטף הקריאה ובכישורי שפה","מיקוד בשטף קריאה"),IF($AA1032="ניכרת","מיקוד בכישורי שפה",IF(AND($L1032="תקינה",$Z1032="מפותחת"),"קוראים וכותבים מיומנים","מיקוד בהבנה והבעה"))))))</f>
        <v/>
      </c>
      <c r="AC1032" s="32">
        <f>IF(OR($AB1032="",LEFT($AB1032,1)="—"),"",IF(OR($AB1032="מיקוד בשטף קריאה",$AB1032="מיקוד בשטף הקריאה ובכישורי שפה"),"רמה א'",IF($AB1032="קוראים וכותבים מיומנים","רמה ג'","רמה ב'")))</f>
        <v/>
      </c>
      <c r="AD1032" s="32">
        <f>IF($AC1032="","",MID(IF(AND($AC1032="רמה א'",$AA1032="ניכרת"),"; להוסיף עבודת אוצר מילים","")&amp;IF($Z1032="אינה מפותחת","; דגש על הבעה בכתב","")&amp;IF($K1032&lt;&gt;"תקין","; נדרש לעבוד על ההנגנה","")&amp;IF($AK1032&lt;&gt;"","; "&amp;$AK1032,""),3,400))</f>
        <v/>
      </c>
      <c r="AE1032" s="32">
        <f>IF($F1032="","",IF($F1032="תחילת שנה",1,IF($F1032="מחצית שנה",2,3)))</f>
        <v/>
      </c>
      <c r="AF1032" s="32">
        <f>IF(OR($B1032="",$AC1032="",$A1032="",$F1032=""),"",$B1032&amp;"|"&amp;$A1032&amp;"|"&amp;$F1032&amp;"|"&amp;$AC1032&amp;"|"&amp;COUNTIFS($B$6:$B1032,$B1032,$A$6:$A1032,$A1032,$F$6:$F1032,$F1032,$AC$6:$AC1032,$AC1032))</f>
        <v/>
      </c>
      <c r="AG1032" s="32">
        <f>IF($C1032="","",$C1032&amp;"|"&amp;COUNTIFS($C$6:$C1032,$C1032))</f>
        <v/>
      </c>
      <c r="AH1032" s="32">
        <f>IF(OR($C1032="",$A1032="",$AE1032=""),"",$C1032&amp;"|"&amp;$A1032&amp;"|"&amp;$AE1032)</f>
        <v/>
      </c>
      <c r="AI1032" s="32">
        <f>IF(OR($C1032="",$AE1032="",$AE1032=1),"",IFERROR(INDEX($AC$6:$AC$1505,MATCH($C1032&amp;"|"&amp;$A1032&amp;"|"&amp;($AE1032-1),$AH$6:$AH$1505,0)),""))</f>
        <v/>
      </c>
      <c r="AJ1032" s="32">
        <f>IF(OR($AI1032="",$AC1032=""),"",IF($AI1032=$AC1032,"ללא שינוי","מ-"&amp;$AI1032&amp;" ל-"&amp;$AC1032))</f>
        <v/>
      </c>
      <c r="AK1032" s="67" t="n"/>
    </row>
    <row r="1033">
      <c r="A1033" s="65" t="n"/>
      <c r="B1033" s="65" t="n"/>
      <c r="C1033" s="66" t="n"/>
      <c r="D1033" s="66" t="n"/>
      <c r="E1033" s="65" t="n"/>
      <c r="F1033" s="65" t="n"/>
      <c r="G1033" s="65" t="n"/>
      <c r="H1033" s="65" t="n"/>
      <c r="I1033" s="65" t="n"/>
      <c r="J1033" s="65" t="n"/>
      <c r="K1033" s="65" t="n"/>
      <c r="L1033" s="65" t="n"/>
      <c r="M1033" s="65" t="n"/>
      <c r="N1033" s="65" t="n"/>
      <c r="O1033" s="65" t="n"/>
      <c r="P1033" s="65" t="n"/>
      <c r="Q1033" s="65" t="n"/>
      <c r="R1033" s="65" t="n"/>
      <c r="S1033" s="65" t="n"/>
      <c r="T1033" s="65" t="n"/>
      <c r="U1033" s="65" t="n"/>
      <c r="V1033" s="65" t="n"/>
      <c r="W1033" s="65" t="n"/>
      <c r="X1033" s="65" t="n"/>
      <c r="Y1033" s="32">
        <f>IF($C1033="","",IF(COUNTA($I1033:$K1033)&lt;3,"— חסרים נתונים",IF(AND($I1033="תקין",$J1033="תקין",$K1033="תקין"),"רהוטה",IF(AND($I1033="תקין",$J1033="תקין"),"מדויקת ורציפה","אינה מדויקת או מקוטעת"))))</f>
        <v/>
      </c>
      <c r="Z1033" s="32">
        <f>IF($C1033="","",IF(COUNTA($U1033:$W1033)&lt;3,"",IF(AND($U1033="מפותח",$V1033="מפותח",$W1033="מפותחת"),"מפותחת",IF((--($U1033="דל"))+(--($V1033="אינו מפותח"))+(--($W1033="דלה"))&gt;=2,"אינה מפותחת","חלקית"))))</f>
        <v/>
      </c>
      <c r="AA1033" s="32">
        <f>IF($C1033="","",IF(COUNTA($M1033,$N1033,$O1033)&lt;3,"— חסרים נתונים",IF(OR($M1033="נמוכה",(--($M1033&lt;&gt;"תקינה"))+(--($N1033&lt;&gt;"תקין"))+(--($O1033&lt;&gt;"תקינה"))&gt;=2),"ניכרת","אינה ניכרת")))</f>
        <v/>
      </c>
      <c r="AB1033" s="32">
        <f>IF(OR($C1033="",$Y1033="",$AA1033="",LEFT($Y1033,1)="—",LEFT($AA1033,1)="—"),"",IF($Z1033="","— נדרשת הערכת כתיבה",IF($L1033="","— חסרה הבנת הנקרא",IF($Y1033="אינה מדויקת או מקוטעת",IF($AA1033="ניכרת","מיקוד בשטף הקריאה ובכישורי שפה","מיקוד בשטף קריאה"),IF($AA1033="ניכרת","מיקוד בכישורי שפה",IF(AND($L1033="תקינה",$Z1033="מפותחת"),"קוראים וכותבים מיומנים","מיקוד בהבנה והבעה"))))))</f>
        <v/>
      </c>
      <c r="AC1033" s="32">
        <f>IF(OR($AB1033="",LEFT($AB1033,1)="—"),"",IF(OR($AB1033="מיקוד בשטף קריאה",$AB1033="מיקוד בשטף הקריאה ובכישורי שפה"),"רמה א'",IF($AB1033="קוראים וכותבים מיומנים","רמה ג'","רמה ב'")))</f>
        <v/>
      </c>
      <c r="AD1033" s="32">
        <f>IF($AC1033="","",MID(IF(AND($AC1033="רמה א'",$AA1033="ניכרת"),"; להוסיף עבודת אוצר מילים","")&amp;IF($Z1033="אינה מפותחת","; דגש על הבעה בכתב","")&amp;IF($K1033&lt;&gt;"תקין","; נדרש לעבוד על ההנגנה","")&amp;IF($AK1033&lt;&gt;"","; "&amp;$AK1033,""),3,400))</f>
        <v/>
      </c>
      <c r="AE1033" s="32">
        <f>IF($F1033="","",IF($F1033="תחילת שנה",1,IF($F1033="מחצית שנה",2,3)))</f>
        <v/>
      </c>
      <c r="AF1033" s="32">
        <f>IF(OR($B1033="",$AC1033="",$A1033="",$F1033=""),"",$B1033&amp;"|"&amp;$A1033&amp;"|"&amp;$F1033&amp;"|"&amp;$AC1033&amp;"|"&amp;COUNTIFS($B$6:$B1033,$B1033,$A$6:$A1033,$A1033,$F$6:$F1033,$F1033,$AC$6:$AC1033,$AC1033))</f>
        <v/>
      </c>
      <c r="AG1033" s="32">
        <f>IF($C1033="","",$C1033&amp;"|"&amp;COUNTIFS($C$6:$C1033,$C1033))</f>
        <v/>
      </c>
      <c r="AH1033" s="32">
        <f>IF(OR($C1033="",$A1033="",$AE1033=""),"",$C1033&amp;"|"&amp;$A1033&amp;"|"&amp;$AE1033)</f>
        <v/>
      </c>
      <c r="AI1033" s="32">
        <f>IF(OR($C1033="",$AE1033="",$AE1033=1),"",IFERROR(INDEX($AC$6:$AC$1505,MATCH($C1033&amp;"|"&amp;$A1033&amp;"|"&amp;($AE1033-1),$AH$6:$AH$1505,0)),""))</f>
        <v/>
      </c>
      <c r="AJ1033" s="32">
        <f>IF(OR($AI1033="",$AC1033=""),"",IF($AI1033=$AC1033,"ללא שינוי","מ-"&amp;$AI1033&amp;" ל-"&amp;$AC1033))</f>
        <v/>
      </c>
      <c r="AK1033" s="67" t="n"/>
    </row>
    <row r="1034">
      <c r="A1034" s="65" t="n"/>
      <c r="B1034" s="65" t="n"/>
      <c r="C1034" s="66" t="n"/>
      <c r="D1034" s="66" t="n"/>
      <c r="E1034" s="65" t="n"/>
      <c r="F1034" s="65" t="n"/>
      <c r="G1034" s="65" t="n"/>
      <c r="H1034" s="65" t="n"/>
      <c r="I1034" s="65" t="n"/>
      <c r="J1034" s="65" t="n"/>
      <c r="K1034" s="65" t="n"/>
      <c r="L1034" s="65" t="n"/>
      <c r="M1034" s="65" t="n"/>
      <c r="N1034" s="65" t="n"/>
      <c r="O1034" s="65" t="n"/>
      <c r="P1034" s="65" t="n"/>
      <c r="Q1034" s="65" t="n"/>
      <c r="R1034" s="65" t="n"/>
      <c r="S1034" s="65" t="n"/>
      <c r="T1034" s="65" t="n"/>
      <c r="U1034" s="65" t="n"/>
      <c r="V1034" s="65" t="n"/>
      <c r="W1034" s="65" t="n"/>
      <c r="X1034" s="65" t="n"/>
      <c r="Y1034" s="32">
        <f>IF($C1034="","",IF(COUNTA($I1034:$K1034)&lt;3,"— חסרים נתונים",IF(AND($I1034="תקין",$J1034="תקין",$K1034="תקין"),"רהוטה",IF(AND($I1034="תקין",$J1034="תקין"),"מדויקת ורציפה","אינה מדויקת או מקוטעת"))))</f>
        <v/>
      </c>
      <c r="Z1034" s="32">
        <f>IF($C1034="","",IF(COUNTA($U1034:$W1034)&lt;3,"",IF(AND($U1034="מפותח",$V1034="מפותח",$W1034="מפותחת"),"מפותחת",IF((--($U1034="דל"))+(--($V1034="אינו מפותח"))+(--($W1034="דלה"))&gt;=2,"אינה מפותחת","חלקית"))))</f>
        <v/>
      </c>
      <c r="AA1034" s="32">
        <f>IF($C1034="","",IF(COUNTA($M1034,$N1034,$O1034)&lt;3,"— חסרים נתונים",IF(OR($M1034="נמוכה",(--($M1034&lt;&gt;"תקינה"))+(--($N1034&lt;&gt;"תקין"))+(--($O1034&lt;&gt;"תקינה"))&gt;=2),"ניכרת","אינה ניכרת")))</f>
        <v/>
      </c>
      <c r="AB1034" s="32">
        <f>IF(OR($C1034="",$Y1034="",$AA1034="",LEFT($Y1034,1)="—",LEFT($AA1034,1)="—"),"",IF($Z1034="","— נדרשת הערכת כתיבה",IF($L1034="","— חסרה הבנת הנקרא",IF($Y1034="אינה מדויקת או מקוטעת",IF($AA1034="ניכרת","מיקוד בשטף הקריאה ובכישורי שפה","מיקוד בשטף קריאה"),IF($AA1034="ניכרת","מיקוד בכישורי שפה",IF(AND($L1034="תקינה",$Z1034="מפותחת"),"קוראים וכותבים מיומנים","מיקוד בהבנה והבעה"))))))</f>
        <v/>
      </c>
      <c r="AC1034" s="32">
        <f>IF(OR($AB1034="",LEFT($AB1034,1)="—"),"",IF(OR($AB1034="מיקוד בשטף קריאה",$AB1034="מיקוד בשטף הקריאה ובכישורי שפה"),"רמה א'",IF($AB1034="קוראים וכותבים מיומנים","רמה ג'","רמה ב'")))</f>
        <v/>
      </c>
      <c r="AD1034" s="32">
        <f>IF($AC1034="","",MID(IF(AND($AC1034="רמה א'",$AA1034="ניכרת"),"; להוסיף עבודת אוצר מילים","")&amp;IF($Z1034="אינה מפותחת","; דגש על הבעה בכתב","")&amp;IF($K1034&lt;&gt;"תקין","; נדרש לעבוד על ההנגנה","")&amp;IF($AK1034&lt;&gt;"","; "&amp;$AK1034,""),3,400))</f>
        <v/>
      </c>
      <c r="AE1034" s="32">
        <f>IF($F1034="","",IF($F1034="תחילת שנה",1,IF($F1034="מחצית שנה",2,3)))</f>
        <v/>
      </c>
      <c r="AF1034" s="32">
        <f>IF(OR($B1034="",$AC1034="",$A1034="",$F1034=""),"",$B1034&amp;"|"&amp;$A1034&amp;"|"&amp;$F1034&amp;"|"&amp;$AC1034&amp;"|"&amp;COUNTIFS($B$6:$B1034,$B1034,$A$6:$A1034,$A1034,$F$6:$F1034,$F1034,$AC$6:$AC1034,$AC1034))</f>
        <v/>
      </c>
      <c r="AG1034" s="32">
        <f>IF($C1034="","",$C1034&amp;"|"&amp;COUNTIFS($C$6:$C1034,$C1034))</f>
        <v/>
      </c>
      <c r="AH1034" s="32">
        <f>IF(OR($C1034="",$A1034="",$AE1034=""),"",$C1034&amp;"|"&amp;$A1034&amp;"|"&amp;$AE1034)</f>
        <v/>
      </c>
      <c r="AI1034" s="32">
        <f>IF(OR($C1034="",$AE1034="",$AE1034=1),"",IFERROR(INDEX($AC$6:$AC$1505,MATCH($C1034&amp;"|"&amp;$A1034&amp;"|"&amp;($AE1034-1),$AH$6:$AH$1505,0)),""))</f>
        <v/>
      </c>
      <c r="AJ1034" s="32">
        <f>IF(OR($AI1034="",$AC1034=""),"",IF($AI1034=$AC1034,"ללא שינוי","מ-"&amp;$AI1034&amp;" ל-"&amp;$AC1034))</f>
        <v/>
      </c>
      <c r="AK1034" s="67" t="n"/>
    </row>
    <row r="1035">
      <c r="A1035" s="65" t="n"/>
      <c r="B1035" s="65" t="n"/>
      <c r="C1035" s="66" t="n"/>
      <c r="D1035" s="66" t="n"/>
      <c r="E1035" s="65" t="n"/>
      <c r="F1035" s="65" t="n"/>
      <c r="G1035" s="65" t="n"/>
      <c r="H1035" s="65" t="n"/>
      <c r="I1035" s="65" t="n"/>
      <c r="J1035" s="65" t="n"/>
      <c r="K1035" s="65" t="n"/>
      <c r="L1035" s="65" t="n"/>
      <c r="M1035" s="65" t="n"/>
      <c r="N1035" s="65" t="n"/>
      <c r="O1035" s="65" t="n"/>
      <c r="P1035" s="65" t="n"/>
      <c r="Q1035" s="65" t="n"/>
      <c r="R1035" s="65" t="n"/>
      <c r="S1035" s="65" t="n"/>
      <c r="T1035" s="65" t="n"/>
      <c r="U1035" s="65" t="n"/>
      <c r="V1035" s="65" t="n"/>
      <c r="W1035" s="65" t="n"/>
      <c r="X1035" s="65" t="n"/>
      <c r="Y1035" s="32">
        <f>IF($C1035="","",IF(COUNTA($I1035:$K1035)&lt;3,"— חסרים נתונים",IF(AND($I1035="תקין",$J1035="תקין",$K1035="תקין"),"רהוטה",IF(AND($I1035="תקין",$J1035="תקין"),"מדויקת ורציפה","אינה מדויקת או מקוטעת"))))</f>
        <v/>
      </c>
      <c r="Z1035" s="32">
        <f>IF($C1035="","",IF(COUNTA($U1035:$W1035)&lt;3,"",IF(AND($U1035="מפותח",$V1035="מפותח",$W1035="מפותחת"),"מפותחת",IF((--($U1035="דל"))+(--($V1035="אינו מפותח"))+(--($W1035="דלה"))&gt;=2,"אינה מפותחת","חלקית"))))</f>
        <v/>
      </c>
      <c r="AA1035" s="32">
        <f>IF($C1035="","",IF(COUNTA($M1035,$N1035,$O1035)&lt;3,"— חסרים נתונים",IF(OR($M1035="נמוכה",(--($M1035&lt;&gt;"תקינה"))+(--($N1035&lt;&gt;"תקין"))+(--($O1035&lt;&gt;"תקינה"))&gt;=2),"ניכרת","אינה ניכרת")))</f>
        <v/>
      </c>
      <c r="AB1035" s="32">
        <f>IF(OR($C1035="",$Y1035="",$AA1035="",LEFT($Y1035,1)="—",LEFT($AA1035,1)="—"),"",IF($Z1035="","— נדרשת הערכת כתיבה",IF($L1035="","— חסרה הבנת הנקרא",IF($Y1035="אינה מדויקת או מקוטעת",IF($AA1035="ניכרת","מיקוד בשטף הקריאה ובכישורי שפה","מיקוד בשטף קריאה"),IF($AA1035="ניכרת","מיקוד בכישורי שפה",IF(AND($L1035="תקינה",$Z1035="מפותחת"),"קוראים וכותבים מיומנים","מיקוד בהבנה והבעה"))))))</f>
        <v/>
      </c>
      <c r="AC1035" s="32">
        <f>IF(OR($AB1035="",LEFT($AB1035,1)="—"),"",IF(OR($AB1035="מיקוד בשטף קריאה",$AB1035="מיקוד בשטף הקריאה ובכישורי שפה"),"רמה א'",IF($AB1035="קוראים וכותבים מיומנים","רמה ג'","רמה ב'")))</f>
        <v/>
      </c>
      <c r="AD1035" s="32">
        <f>IF($AC1035="","",MID(IF(AND($AC1035="רמה א'",$AA1035="ניכרת"),"; להוסיף עבודת אוצר מילים","")&amp;IF($Z1035="אינה מפותחת","; דגש על הבעה בכתב","")&amp;IF($K1035&lt;&gt;"תקין","; נדרש לעבוד על ההנגנה","")&amp;IF($AK1035&lt;&gt;"","; "&amp;$AK1035,""),3,400))</f>
        <v/>
      </c>
      <c r="AE1035" s="32">
        <f>IF($F1035="","",IF($F1035="תחילת שנה",1,IF($F1035="מחצית שנה",2,3)))</f>
        <v/>
      </c>
      <c r="AF1035" s="32">
        <f>IF(OR($B1035="",$AC1035="",$A1035="",$F1035=""),"",$B1035&amp;"|"&amp;$A1035&amp;"|"&amp;$F1035&amp;"|"&amp;$AC1035&amp;"|"&amp;COUNTIFS($B$6:$B1035,$B1035,$A$6:$A1035,$A1035,$F$6:$F1035,$F1035,$AC$6:$AC1035,$AC1035))</f>
        <v/>
      </c>
      <c r="AG1035" s="32">
        <f>IF($C1035="","",$C1035&amp;"|"&amp;COUNTIFS($C$6:$C1035,$C1035))</f>
        <v/>
      </c>
      <c r="AH1035" s="32">
        <f>IF(OR($C1035="",$A1035="",$AE1035=""),"",$C1035&amp;"|"&amp;$A1035&amp;"|"&amp;$AE1035)</f>
        <v/>
      </c>
      <c r="AI1035" s="32">
        <f>IF(OR($C1035="",$AE1035="",$AE1035=1),"",IFERROR(INDEX($AC$6:$AC$1505,MATCH($C1035&amp;"|"&amp;$A1035&amp;"|"&amp;($AE1035-1),$AH$6:$AH$1505,0)),""))</f>
        <v/>
      </c>
      <c r="AJ1035" s="32">
        <f>IF(OR($AI1035="",$AC1035=""),"",IF($AI1035=$AC1035,"ללא שינוי","מ-"&amp;$AI1035&amp;" ל-"&amp;$AC1035))</f>
        <v/>
      </c>
      <c r="AK1035" s="67" t="n"/>
    </row>
    <row r="1036">
      <c r="A1036" s="65" t="n"/>
      <c r="B1036" s="65" t="n"/>
      <c r="C1036" s="66" t="n"/>
      <c r="D1036" s="66" t="n"/>
      <c r="E1036" s="65" t="n"/>
      <c r="F1036" s="65" t="n"/>
      <c r="G1036" s="65" t="n"/>
      <c r="H1036" s="65" t="n"/>
      <c r="I1036" s="65" t="n"/>
      <c r="J1036" s="65" t="n"/>
      <c r="K1036" s="65" t="n"/>
      <c r="L1036" s="65" t="n"/>
      <c r="M1036" s="65" t="n"/>
      <c r="N1036" s="65" t="n"/>
      <c r="O1036" s="65" t="n"/>
      <c r="P1036" s="65" t="n"/>
      <c r="Q1036" s="65" t="n"/>
      <c r="R1036" s="65" t="n"/>
      <c r="S1036" s="65" t="n"/>
      <c r="T1036" s="65" t="n"/>
      <c r="U1036" s="65" t="n"/>
      <c r="V1036" s="65" t="n"/>
      <c r="W1036" s="65" t="n"/>
      <c r="X1036" s="65" t="n"/>
      <c r="Y1036" s="32">
        <f>IF($C1036="","",IF(COUNTA($I1036:$K1036)&lt;3,"— חסרים נתונים",IF(AND($I1036="תקין",$J1036="תקין",$K1036="תקין"),"רהוטה",IF(AND($I1036="תקין",$J1036="תקין"),"מדויקת ורציפה","אינה מדויקת או מקוטעת"))))</f>
        <v/>
      </c>
      <c r="Z1036" s="32">
        <f>IF($C1036="","",IF(COUNTA($U1036:$W1036)&lt;3,"",IF(AND($U1036="מפותח",$V1036="מפותח",$W1036="מפותחת"),"מפותחת",IF((--($U1036="דל"))+(--($V1036="אינו מפותח"))+(--($W1036="דלה"))&gt;=2,"אינה מפותחת","חלקית"))))</f>
        <v/>
      </c>
      <c r="AA1036" s="32">
        <f>IF($C1036="","",IF(COUNTA($M1036,$N1036,$O1036)&lt;3,"— חסרים נתונים",IF(OR($M1036="נמוכה",(--($M1036&lt;&gt;"תקינה"))+(--($N1036&lt;&gt;"תקין"))+(--($O1036&lt;&gt;"תקינה"))&gt;=2),"ניכרת","אינה ניכרת")))</f>
        <v/>
      </c>
      <c r="AB1036" s="32">
        <f>IF(OR($C1036="",$Y1036="",$AA1036="",LEFT($Y1036,1)="—",LEFT($AA1036,1)="—"),"",IF($Z1036="","— נדרשת הערכת כתיבה",IF($L1036="","— חסרה הבנת הנקרא",IF($Y1036="אינה מדויקת או מקוטעת",IF($AA1036="ניכרת","מיקוד בשטף הקריאה ובכישורי שפה","מיקוד בשטף קריאה"),IF($AA1036="ניכרת","מיקוד בכישורי שפה",IF(AND($L1036="תקינה",$Z1036="מפותחת"),"קוראים וכותבים מיומנים","מיקוד בהבנה והבעה"))))))</f>
        <v/>
      </c>
      <c r="AC1036" s="32">
        <f>IF(OR($AB1036="",LEFT($AB1036,1)="—"),"",IF(OR($AB1036="מיקוד בשטף קריאה",$AB1036="מיקוד בשטף הקריאה ובכישורי שפה"),"רמה א'",IF($AB1036="קוראים וכותבים מיומנים","רמה ג'","רמה ב'")))</f>
        <v/>
      </c>
      <c r="AD1036" s="32">
        <f>IF($AC1036="","",MID(IF(AND($AC1036="רמה א'",$AA1036="ניכרת"),"; להוסיף עבודת אוצר מילים","")&amp;IF($Z1036="אינה מפותחת","; דגש על הבעה בכתב","")&amp;IF($K1036&lt;&gt;"תקין","; נדרש לעבוד על ההנגנה","")&amp;IF($AK1036&lt;&gt;"","; "&amp;$AK1036,""),3,400))</f>
        <v/>
      </c>
      <c r="AE1036" s="32">
        <f>IF($F1036="","",IF($F1036="תחילת שנה",1,IF($F1036="מחצית שנה",2,3)))</f>
        <v/>
      </c>
      <c r="AF1036" s="32">
        <f>IF(OR($B1036="",$AC1036="",$A1036="",$F1036=""),"",$B1036&amp;"|"&amp;$A1036&amp;"|"&amp;$F1036&amp;"|"&amp;$AC1036&amp;"|"&amp;COUNTIFS($B$6:$B1036,$B1036,$A$6:$A1036,$A1036,$F$6:$F1036,$F1036,$AC$6:$AC1036,$AC1036))</f>
        <v/>
      </c>
      <c r="AG1036" s="32">
        <f>IF($C1036="","",$C1036&amp;"|"&amp;COUNTIFS($C$6:$C1036,$C1036))</f>
        <v/>
      </c>
      <c r="AH1036" s="32">
        <f>IF(OR($C1036="",$A1036="",$AE1036=""),"",$C1036&amp;"|"&amp;$A1036&amp;"|"&amp;$AE1036)</f>
        <v/>
      </c>
      <c r="AI1036" s="32">
        <f>IF(OR($C1036="",$AE1036="",$AE1036=1),"",IFERROR(INDEX($AC$6:$AC$1505,MATCH($C1036&amp;"|"&amp;$A1036&amp;"|"&amp;($AE1036-1),$AH$6:$AH$1505,0)),""))</f>
        <v/>
      </c>
      <c r="AJ1036" s="32">
        <f>IF(OR($AI1036="",$AC1036=""),"",IF($AI1036=$AC1036,"ללא שינוי","מ-"&amp;$AI1036&amp;" ל-"&amp;$AC1036))</f>
        <v/>
      </c>
      <c r="AK1036" s="67" t="n"/>
    </row>
    <row r="1037">
      <c r="A1037" s="65" t="n"/>
      <c r="B1037" s="65" t="n"/>
      <c r="C1037" s="66" t="n"/>
      <c r="D1037" s="66" t="n"/>
      <c r="E1037" s="65" t="n"/>
      <c r="F1037" s="65" t="n"/>
      <c r="G1037" s="65" t="n"/>
      <c r="H1037" s="65" t="n"/>
      <c r="I1037" s="65" t="n"/>
      <c r="J1037" s="65" t="n"/>
      <c r="K1037" s="65" t="n"/>
      <c r="L1037" s="65" t="n"/>
      <c r="M1037" s="65" t="n"/>
      <c r="N1037" s="65" t="n"/>
      <c r="O1037" s="65" t="n"/>
      <c r="P1037" s="65" t="n"/>
      <c r="Q1037" s="65" t="n"/>
      <c r="R1037" s="65" t="n"/>
      <c r="S1037" s="65" t="n"/>
      <c r="T1037" s="65" t="n"/>
      <c r="U1037" s="65" t="n"/>
      <c r="V1037" s="65" t="n"/>
      <c r="W1037" s="65" t="n"/>
      <c r="X1037" s="65" t="n"/>
      <c r="Y1037" s="32">
        <f>IF($C1037="","",IF(COUNTA($I1037:$K1037)&lt;3,"— חסרים נתונים",IF(AND($I1037="תקין",$J1037="תקין",$K1037="תקין"),"רהוטה",IF(AND($I1037="תקין",$J1037="תקין"),"מדויקת ורציפה","אינה מדויקת או מקוטעת"))))</f>
        <v/>
      </c>
      <c r="Z1037" s="32">
        <f>IF($C1037="","",IF(COUNTA($U1037:$W1037)&lt;3,"",IF(AND($U1037="מפותח",$V1037="מפותח",$W1037="מפותחת"),"מפותחת",IF((--($U1037="דל"))+(--($V1037="אינו מפותח"))+(--($W1037="דלה"))&gt;=2,"אינה מפותחת","חלקית"))))</f>
        <v/>
      </c>
      <c r="AA1037" s="32">
        <f>IF($C1037="","",IF(COUNTA($M1037,$N1037,$O1037)&lt;3,"— חסרים נתונים",IF(OR($M1037="נמוכה",(--($M1037&lt;&gt;"תקינה"))+(--($N1037&lt;&gt;"תקין"))+(--($O1037&lt;&gt;"תקינה"))&gt;=2),"ניכרת","אינה ניכרת")))</f>
        <v/>
      </c>
      <c r="AB1037" s="32">
        <f>IF(OR($C1037="",$Y1037="",$AA1037="",LEFT($Y1037,1)="—",LEFT($AA1037,1)="—"),"",IF($Z1037="","— נדרשת הערכת כתיבה",IF($L1037="","— חסרה הבנת הנקרא",IF($Y1037="אינה מדויקת או מקוטעת",IF($AA1037="ניכרת","מיקוד בשטף הקריאה ובכישורי שפה","מיקוד בשטף קריאה"),IF($AA1037="ניכרת","מיקוד בכישורי שפה",IF(AND($L1037="תקינה",$Z1037="מפותחת"),"קוראים וכותבים מיומנים","מיקוד בהבנה והבעה"))))))</f>
        <v/>
      </c>
      <c r="AC1037" s="32">
        <f>IF(OR($AB1037="",LEFT($AB1037,1)="—"),"",IF(OR($AB1037="מיקוד בשטף קריאה",$AB1037="מיקוד בשטף הקריאה ובכישורי שפה"),"רמה א'",IF($AB1037="קוראים וכותבים מיומנים","רמה ג'","רמה ב'")))</f>
        <v/>
      </c>
      <c r="AD1037" s="32">
        <f>IF($AC1037="","",MID(IF(AND($AC1037="רמה א'",$AA1037="ניכרת"),"; להוסיף עבודת אוצר מילים","")&amp;IF($Z1037="אינה מפותחת","; דגש על הבעה בכתב","")&amp;IF($K1037&lt;&gt;"תקין","; נדרש לעבוד על ההנגנה","")&amp;IF($AK1037&lt;&gt;"","; "&amp;$AK1037,""),3,400))</f>
        <v/>
      </c>
      <c r="AE1037" s="32">
        <f>IF($F1037="","",IF($F1037="תחילת שנה",1,IF($F1037="מחצית שנה",2,3)))</f>
        <v/>
      </c>
      <c r="AF1037" s="32">
        <f>IF(OR($B1037="",$AC1037="",$A1037="",$F1037=""),"",$B1037&amp;"|"&amp;$A1037&amp;"|"&amp;$F1037&amp;"|"&amp;$AC1037&amp;"|"&amp;COUNTIFS($B$6:$B1037,$B1037,$A$6:$A1037,$A1037,$F$6:$F1037,$F1037,$AC$6:$AC1037,$AC1037))</f>
        <v/>
      </c>
      <c r="AG1037" s="32">
        <f>IF($C1037="","",$C1037&amp;"|"&amp;COUNTIFS($C$6:$C1037,$C1037))</f>
        <v/>
      </c>
      <c r="AH1037" s="32">
        <f>IF(OR($C1037="",$A1037="",$AE1037=""),"",$C1037&amp;"|"&amp;$A1037&amp;"|"&amp;$AE1037)</f>
        <v/>
      </c>
      <c r="AI1037" s="32">
        <f>IF(OR($C1037="",$AE1037="",$AE1037=1),"",IFERROR(INDEX($AC$6:$AC$1505,MATCH($C1037&amp;"|"&amp;$A1037&amp;"|"&amp;($AE1037-1),$AH$6:$AH$1505,0)),""))</f>
        <v/>
      </c>
      <c r="AJ1037" s="32">
        <f>IF(OR($AI1037="",$AC1037=""),"",IF($AI1037=$AC1037,"ללא שינוי","מ-"&amp;$AI1037&amp;" ל-"&amp;$AC1037))</f>
        <v/>
      </c>
      <c r="AK1037" s="67" t="n"/>
    </row>
    <row r="1038">
      <c r="A1038" s="65" t="n"/>
      <c r="B1038" s="65" t="n"/>
      <c r="C1038" s="66" t="n"/>
      <c r="D1038" s="66" t="n"/>
      <c r="E1038" s="65" t="n"/>
      <c r="F1038" s="65" t="n"/>
      <c r="G1038" s="65" t="n"/>
      <c r="H1038" s="65" t="n"/>
      <c r="I1038" s="65" t="n"/>
      <c r="J1038" s="65" t="n"/>
      <c r="K1038" s="65" t="n"/>
      <c r="L1038" s="65" t="n"/>
      <c r="M1038" s="65" t="n"/>
      <c r="N1038" s="65" t="n"/>
      <c r="O1038" s="65" t="n"/>
      <c r="P1038" s="65" t="n"/>
      <c r="Q1038" s="65" t="n"/>
      <c r="R1038" s="65" t="n"/>
      <c r="S1038" s="65" t="n"/>
      <c r="T1038" s="65" t="n"/>
      <c r="U1038" s="65" t="n"/>
      <c r="V1038" s="65" t="n"/>
      <c r="W1038" s="65" t="n"/>
      <c r="X1038" s="65" t="n"/>
      <c r="Y1038" s="32">
        <f>IF($C1038="","",IF(COUNTA($I1038:$K1038)&lt;3,"— חסרים נתונים",IF(AND($I1038="תקין",$J1038="תקין",$K1038="תקין"),"רהוטה",IF(AND($I1038="תקין",$J1038="תקין"),"מדויקת ורציפה","אינה מדויקת או מקוטעת"))))</f>
        <v/>
      </c>
      <c r="Z1038" s="32">
        <f>IF($C1038="","",IF(COUNTA($U1038:$W1038)&lt;3,"",IF(AND($U1038="מפותח",$V1038="מפותח",$W1038="מפותחת"),"מפותחת",IF((--($U1038="דל"))+(--($V1038="אינו מפותח"))+(--($W1038="דלה"))&gt;=2,"אינה מפותחת","חלקית"))))</f>
        <v/>
      </c>
      <c r="AA1038" s="32">
        <f>IF($C1038="","",IF(COUNTA($M1038,$N1038,$O1038)&lt;3,"— חסרים נתונים",IF(OR($M1038="נמוכה",(--($M1038&lt;&gt;"תקינה"))+(--($N1038&lt;&gt;"תקין"))+(--($O1038&lt;&gt;"תקינה"))&gt;=2),"ניכרת","אינה ניכרת")))</f>
        <v/>
      </c>
      <c r="AB1038" s="32">
        <f>IF(OR($C1038="",$Y1038="",$AA1038="",LEFT($Y1038,1)="—",LEFT($AA1038,1)="—"),"",IF($Z1038="","— נדרשת הערכת כתיבה",IF($L1038="","— חסרה הבנת הנקרא",IF($Y1038="אינה מדויקת או מקוטעת",IF($AA1038="ניכרת","מיקוד בשטף הקריאה ובכישורי שפה","מיקוד בשטף קריאה"),IF($AA1038="ניכרת","מיקוד בכישורי שפה",IF(AND($L1038="תקינה",$Z1038="מפותחת"),"קוראים וכותבים מיומנים","מיקוד בהבנה והבעה"))))))</f>
        <v/>
      </c>
      <c r="AC1038" s="32">
        <f>IF(OR($AB1038="",LEFT($AB1038,1)="—"),"",IF(OR($AB1038="מיקוד בשטף קריאה",$AB1038="מיקוד בשטף הקריאה ובכישורי שפה"),"רמה א'",IF($AB1038="קוראים וכותבים מיומנים","רמה ג'","רמה ב'")))</f>
        <v/>
      </c>
      <c r="AD1038" s="32">
        <f>IF($AC1038="","",MID(IF(AND($AC1038="רמה א'",$AA1038="ניכרת"),"; להוסיף עבודת אוצר מילים","")&amp;IF($Z1038="אינה מפותחת","; דגש על הבעה בכתב","")&amp;IF($K1038&lt;&gt;"תקין","; נדרש לעבוד על ההנגנה","")&amp;IF($AK1038&lt;&gt;"","; "&amp;$AK1038,""),3,400))</f>
        <v/>
      </c>
      <c r="AE1038" s="32">
        <f>IF($F1038="","",IF($F1038="תחילת שנה",1,IF($F1038="מחצית שנה",2,3)))</f>
        <v/>
      </c>
      <c r="AF1038" s="32">
        <f>IF(OR($B1038="",$AC1038="",$A1038="",$F1038=""),"",$B1038&amp;"|"&amp;$A1038&amp;"|"&amp;$F1038&amp;"|"&amp;$AC1038&amp;"|"&amp;COUNTIFS($B$6:$B1038,$B1038,$A$6:$A1038,$A1038,$F$6:$F1038,$F1038,$AC$6:$AC1038,$AC1038))</f>
        <v/>
      </c>
      <c r="AG1038" s="32">
        <f>IF($C1038="","",$C1038&amp;"|"&amp;COUNTIFS($C$6:$C1038,$C1038))</f>
        <v/>
      </c>
      <c r="AH1038" s="32">
        <f>IF(OR($C1038="",$A1038="",$AE1038=""),"",$C1038&amp;"|"&amp;$A1038&amp;"|"&amp;$AE1038)</f>
        <v/>
      </c>
      <c r="AI1038" s="32">
        <f>IF(OR($C1038="",$AE1038="",$AE1038=1),"",IFERROR(INDEX($AC$6:$AC$1505,MATCH($C1038&amp;"|"&amp;$A1038&amp;"|"&amp;($AE1038-1),$AH$6:$AH$1505,0)),""))</f>
        <v/>
      </c>
      <c r="AJ1038" s="32">
        <f>IF(OR($AI1038="",$AC1038=""),"",IF($AI1038=$AC1038,"ללא שינוי","מ-"&amp;$AI1038&amp;" ל-"&amp;$AC1038))</f>
        <v/>
      </c>
      <c r="AK1038" s="67" t="n"/>
    </row>
    <row r="1039">
      <c r="A1039" s="65" t="n"/>
      <c r="B1039" s="65" t="n"/>
      <c r="C1039" s="66" t="n"/>
      <c r="D1039" s="66" t="n"/>
      <c r="E1039" s="65" t="n"/>
      <c r="F1039" s="65" t="n"/>
      <c r="G1039" s="65" t="n"/>
      <c r="H1039" s="65" t="n"/>
      <c r="I1039" s="65" t="n"/>
      <c r="J1039" s="65" t="n"/>
      <c r="K1039" s="65" t="n"/>
      <c r="L1039" s="65" t="n"/>
      <c r="M1039" s="65" t="n"/>
      <c r="N1039" s="65" t="n"/>
      <c r="O1039" s="65" t="n"/>
      <c r="P1039" s="65" t="n"/>
      <c r="Q1039" s="65" t="n"/>
      <c r="R1039" s="65" t="n"/>
      <c r="S1039" s="65" t="n"/>
      <c r="T1039" s="65" t="n"/>
      <c r="U1039" s="65" t="n"/>
      <c r="V1039" s="65" t="n"/>
      <c r="W1039" s="65" t="n"/>
      <c r="X1039" s="65" t="n"/>
      <c r="Y1039" s="32">
        <f>IF($C1039="","",IF(COUNTA($I1039:$K1039)&lt;3,"— חסרים נתונים",IF(AND($I1039="תקין",$J1039="תקין",$K1039="תקין"),"רהוטה",IF(AND($I1039="תקין",$J1039="תקין"),"מדויקת ורציפה","אינה מדויקת או מקוטעת"))))</f>
        <v/>
      </c>
      <c r="Z1039" s="32">
        <f>IF($C1039="","",IF(COUNTA($U1039:$W1039)&lt;3,"",IF(AND($U1039="מפותח",$V1039="מפותח",$W1039="מפותחת"),"מפותחת",IF((--($U1039="דל"))+(--($V1039="אינו מפותח"))+(--($W1039="דלה"))&gt;=2,"אינה מפותחת","חלקית"))))</f>
        <v/>
      </c>
      <c r="AA1039" s="32">
        <f>IF($C1039="","",IF(COUNTA($M1039,$N1039,$O1039)&lt;3,"— חסרים נתונים",IF(OR($M1039="נמוכה",(--($M1039&lt;&gt;"תקינה"))+(--($N1039&lt;&gt;"תקין"))+(--($O1039&lt;&gt;"תקינה"))&gt;=2),"ניכרת","אינה ניכרת")))</f>
        <v/>
      </c>
      <c r="AB1039" s="32">
        <f>IF(OR($C1039="",$Y1039="",$AA1039="",LEFT($Y1039,1)="—",LEFT($AA1039,1)="—"),"",IF($Z1039="","— נדרשת הערכת כתיבה",IF($L1039="","— חסרה הבנת הנקרא",IF($Y1039="אינה מדויקת או מקוטעת",IF($AA1039="ניכרת","מיקוד בשטף הקריאה ובכישורי שפה","מיקוד בשטף קריאה"),IF($AA1039="ניכרת","מיקוד בכישורי שפה",IF(AND($L1039="תקינה",$Z1039="מפותחת"),"קוראים וכותבים מיומנים","מיקוד בהבנה והבעה"))))))</f>
        <v/>
      </c>
      <c r="AC1039" s="32">
        <f>IF(OR($AB1039="",LEFT($AB1039,1)="—"),"",IF(OR($AB1039="מיקוד בשטף קריאה",$AB1039="מיקוד בשטף הקריאה ובכישורי שפה"),"רמה א'",IF($AB1039="קוראים וכותבים מיומנים","רמה ג'","רמה ב'")))</f>
        <v/>
      </c>
      <c r="AD1039" s="32">
        <f>IF($AC1039="","",MID(IF(AND($AC1039="רמה א'",$AA1039="ניכרת"),"; להוסיף עבודת אוצר מילים","")&amp;IF($Z1039="אינה מפותחת","; דגש על הבעה בכתב","")&amp;IF($K1039&lt;&gt;"תקין","; נדרש לעבוד על ההנגנה","")&amp;IF($AK1039&lt;&gt;"","; "&amp;$AK1039,""),3,400))</f>
        <v/>
      </c>
      <c r="AE1039" s="32">
        <f>IF($F1039="","",IF($F1039="תחילת שנה",1,IF($F1039="מחצית שנה",2,3)))</f>
        <v/>
      </c>
      <c r="AF1039" s="32">
        <f>IF(OR($B1039="",$AC1039="",$A1039="",$F1039=""),"",$B1039&amp;"|"&amp;$A1039&amp;"|"&amp;$F1039&amp;"|"&amp;$AC1039&amp;"|"&amp;COUNTIFS($B$6:$B1039,$B1039,$A$6:$A1039,$A1039,$F$6:$F1039,$F1039,$AC$6:$AC1039,$AC1039))</f>
        <v/>
      </c>
      <c r="AG1039" s="32">
        <f>IF($C1039="","",$C1039&amp;"|"&amp;COUNTIFS($C$6:$C1039,$C1039))</f>
        <v/>
      </c>
      <c r="AH1039" s="32">
        <f>IF(OR($C1039="",$A1039="",$AE1039=""),"",$C1039&amp;"|"&amp;$A1039&amp;"|"&amp;$AE1039)</f>
        <v/>
      </c>
      <c r="AI1039" s="32">
        <f>IF(OR($C1039="",$AE1039="",$AE1039=1),"",IFERROR(INDEX($AC$6:$AC$1505,MATCH($C1039&amp;"|"&amp;$A1039&amp;"|"&amp;($AE1039-1),$AH$6:$AH$1505,0)),""))</f>
        <v/>
      </c>
      <c r="AJ1039" s="32">
        <f>IF(OR($AI1039="",$AC1039=""),"",IF($AI1039=$AC1039,"ללא שינוי","מ-"&amp;$AI1039&amp;" ל-"&amp;$AC1039))</f>
        <v/>
      </c>
      <c r="AK1039" s="67" t="n"/>
    </row>
    <row r="1040">
      <c r="A1040" s="65" t="n"/>
      <c r="B1040" s="65" t="n"/>
      <c r="C1040" s="66" t="n"/>
      <c r="D1040" s="66" t="n"/>
      <c r="E1040" s="65" t="n"/>
      <c r="F1040" s="65" t="n"/>
      <c r="G1040" s="65" t="n"/>
      <c r="H1040" s="65" t="n"/>
      <c r="I1040" s="65" t="n"/>
      <c r="J1040" s="65" t="n"/>
      <c r="K1040" s="65" t="n"/>
      <c r="L1040" s="65" t="n"/>
      <c r="M1040" s="65" t="n"/>
      <c r="N1040" s="65" t="n"/>
      <c r="O1040" s="65" t="n"/>
      <c r="P1040" s="65" t="n"/>
      <c r="Q1040" s="65" t="n"/>
      <c r="R1040" s="65" t="n"/>
      <c r="S1040" s="65" t="n"/>
      <c r="T1040" s="65" t="n"/>
      <c r="U1040" s="65" t="n"/>
      <c r="V1040" s="65" t="n"/>
      <c r="W1040" s="65" t="n"/>
      <c r="X1040" s="65" t="n"/>
      <c r="Y1040" s="32">
        <f>IF($C1040="","",IF(COUNTA($I1040:$K1040)&lt;3,"— חסרים נתונים",IF(AND($I1040="תקין",$J1040="תקין",$K1040="תקין"),"רהוטה",IF(AND($I1040="תקין",$J1040="תקין"),"מדויקת ורציפה","אינה מדויקת או מקוטעת"))))</f>
        <v/>
      </c>
      <c r="Z1040" s="32">
        <f>IF($C1040="","",IF(COUNTA($U1040:$W1040)&lt;3,"",IF(AND($U1040="מפותח",$V1040="מפותח",$W1040="מפותחת"),"מפותחת",IF((--($U1040="דל"))+(--($V1040="אינו מפותח"))+(--($W1040="דלה"))&gt;=2,"אינה מפותחת","חלקית"))))</f>
        <v/>
      </c>
      <c r="AA1040" s="32">
        <f>IF($C1040="","",IF(COUNTA($M1040,$N1040,$O1040)&lt;3,"— חסרים נתונים",IF(OR($M1040="נמוכה",(--($M1040&lt;&gt;"תקינה"))+(--($N1040&lt;&gt;"תקין"))+(--($O1040&lt;&gt;"תקינה"))&gt;=2),"ניכרת","אינה ניכרת")))</f>
        <v/>
      </c>
      <c r="AB1040" s="32">
        <f>IF(OR($C1040="",$Y1040="",$AA1040="",LEFT($Y1040,1)="—",LEFT($AA1040,1)="—"),"",IF($Z1040="","— נדרשת הערכת כתיבה",IF($L1040="","— חסרה הבנת הנקרא",IF($Y1040="אינה מדויקת או מקוטעת",IF($AA1040="ניכרת","מיקוד בשטף הקריאה ובכישורי שפה","מיקוד בשטף קריאה"),IF($AA1040="ניכרת","מיקוד בכישורי שפה",IF(AND($L1040="תקינה",$Z1040="מפותחת"),"קוראים וכותבים מיומנים","מיקוד בהבנה והבעה"))))))</f>
        <v/>
      </c>
      <c r="AC1040" s="32">
        <f>IF(OR($AB1040="",LEFT($AB1040,1)="—"),"",IF(OR($AB1040="מיקוד בשטף קריאה",$AB1040="מיקוד בשטף הקריאה ובכישורי שפה"),"רמה א'",IF($AB1040="קוראים וכותבים מיומנים","רמה ג'","רמה ב'")))</f>
        <v/>
      </c>
      <c r="AD1040" s="32">
        <f>IF($AC1040="","",MID(IF(AND($AC1040="רמה א'",$AA1040="ניכרת"),"; להוסיף עבודת אוצר מילים","")&amp;IF($Z1040="אינה מפותחת","; דגש על הבעה בכתב","")&amp;IF($K1040&lt;&gt;"תקין","; נדרש לעבוד על ההנגנה","")&amp;IF($AK1040&lt;&gt;"","; "&amp;$AK1040,""),3,400))</f>
        <v/>
      </c>
      <c r="AE1040" s="32">
        <f>IF($F1040="","",IF($F1040="תחילת שנה",1,IF($F1040="מחצית שנה",2,3)))</f>
        <v/>
      </c>
      <c r="AF1040" s="32">
        <f>IF(OR($B1040="",$AC1040="",$A1040="",$F1040=""),"",$B1040&amp;"|"&amp;$A1040&amp;"|"&amp;$F1040&amp;"|"&amp;$AC1040&amp;"|"&amp;COUNTIFS($B$6:$B1040,$B1040,$A$6:$A1040,$A1040,$F$6:$F1040,$F1040,$AC$6:$AC1040,$AC1040))</f>
        <v/>
      </c>
      <c r="AG1040" s="32">
        <f>IF($C1040="","",$C1040&amp;"|"&amp;COUNTIFS($C$6:$C1040,$C1040))</f>
        <v/>
      </c>
      <c r="AH1040" s="32">
        <f>IF(OR($C1040="",$A1040="",$AE1040=""),"",$C1040&amp;"|"&amp;$A1040&amp;"|"&amp;$AE1040)</f>
        <v/>
      </c>
      <c r="AI1040" s="32">
        <f>IF(OR($C1040="",$AE1040="",$AE1040=1),"",IFERROR(INDEX($AC$6:$AC$1505,MATCH($C1040&amp;"|"&amp;$A1040&amp;"|"&amp;($AE1040-1),$AH$6:$AH$1505,0)),""))</f>
        <v/>
      </c>
      <c r="AJ1040" s="32">
        <f>IF(OR($AI1040="",$AC1040=""),"",IF($AI1040=$AC1040,"ללא שינוי","מ-"&amp;$AI1040&amp;" ל-"&amp;$AC1040))</f>
        <v/>
      </c>
      <c r="AK1040" s="67" t="n"/>
    </row>
    <row r="1041">
      <c r="A1041" s="65" t="n"/>
      <c r="B1041" s="65" t="n"/>
      <c r="C1041" s="66" t="n"/>
      <c r="D1041" s="66" t="n"/>
      <c r="E1041" s="65" t="n"/>
      <c r="F1041" s="65" t="n"/>
      <c r="G1041" s="65" t="n"/>
      <c r="H1041" s="65" t="n"/>
      <c r="I1041" s="65" t="n"/>
      <c r="J1041" s="65" t="n"/>
      <c r="K1041" s="65" t="n"/>
      <c r="L1041" s="65" t="n"/>
      <c r="M1041" s="65" t="n"/>
      <c r="N1041" s="65" t="n"/>
      <c r="O1041" s="65" t="n"/>
      <c r="P1041" s="65" t="n"/>
      <c r="Q1041" s="65" t="n"/>
      <c r="R1041" s="65" t="n"/>
      <c r="S1041" s="65" t="n"/>
      <c r="T1041" s="65" t="n"/>
      <c r="U1041" s="65" t="n"/>
      <c r="V1041" s="65" t="n"/>
      <c r="W1041" s="65" t="n"/>
      <c r="X1041" s="65" t="n"/>
      <c r="Y1041" s="32">
        <f>IF($C1041="","",IF(COUNTA($I1041:$K1041)&lt;3,"— חסרים נתונים",IF(AND($I1041="תקין",$J1041="תקין",$K1041="תקין"),"רהוטה",IF(AND($I1041="תקין",$J1041="תקין"),"מדויקת ורציפה","אינה מדויקת או מקוטעת"))))</f>
        <v/>
      </c>
      <c r="Z1041" s="32">
        <f>IF($C1041="","",IF(COUNTA($U1041:$W1041)&lt;3,"",IF(AND($U1041="מפותח",$V1041="מפותח",$W1041="מפותחת"),"מפותחת",IF((--($U1041="דל"))+(--($V1041="אינו מפותח"))+(--($W1041="דלה"))&gt;=2,"אינה מפותחת","חלקית"))))</f>
        <v/>
      </c>
      <c r="AA1041" s="32">
        <f>IF($C1041="","",IF(COUNTA($M1041,$N1041,$O1041)&lt;3,"— חסרים נתונים",IF(OR($M1041="נמוכה",(--($M1041&lt;&gt;"תקינה"))+(--($N1041&lt;&gt;"תקין"))+(--($O1041&lt;&gt;"תקינה"))&gt;=2),"ניכרת","אינה ניכרת")))</f>
        <v/>
      </c>
      <c r="AB1041" s="32">
        <f>IF(OR($C1041="",$Y1041="",$AA1041="",LEFT($Y1041,1)="—",LEFT($AA1041,1)="—"),"",IF($Z1041="","— נדרשת הערכת כתיבה",IF($L1041="","— חסרה הבנת הנקרא",IF($Y1041="אינה מדויקת או מקוטעת",IF($AA1041="ניכרת","מיקוד בשטף הקריאה ובכישורי שפה","מיקוד בשטף קריאה"),IF($AA1041="ניכרת","מיקוד בכישורי שפה",IF(AND($L1041="תקינה",$Z1041="מפותחת"),"קוראים וכותבים מיומנים","מיקוד בהבנה והבעה"))))))</f>
        <v/>
      </c>
      <c r="AC1041" s="32">
        <f>IF(OR($AB1041="",LEFT($AB1041,1)="—"),"",IF(OR($AB1041="מיקוד בשטף קריאה",$AB1041="מיקוד בשטף הקריאה ובכישורי שפה"),"רמה א'",IF($AB1041="קוראים וכותבים מיומנים","רמה ג'","רמה ב'")))</f>
        <v/>
      </c>
      <c r="AD1041" s="32">
        <f>IF($AC1041="","",MID(IF(AND($AC1041="רמה א'",$AA1041="ניכרת"),"; להוסיף עבודת אוצר מילים","")&amp;IF($Z1041="אינה מפותחת","; דגש על הבעה בכתב","")&amp;IF($K1041&lt;&gt;"תקין","; נדרש לעבוד על ההנגנה","")&amp;IF($AK1041&lt;&gt;"","; "&amp;$AK1041,""),3,400))</f>
        <v/>
      </c>
      <c r="AE1041" s="32">
        <f>IF($F1041="","",IF($F1041="תחילת שנה",1,IF($F1041="מחצית שנה",2,3)))</f>
        <v/>
      </c>
      <c r="AF1041" s="32">
        <f>IF(OR($B1041="",$AC1041="",$A1041="",$F1041=""),"",$B1041&amp;"|"&amp;$A1041&amp;"|"&amp;$F1041&amp;"|"&amp;$AC1041&amp;"|"&amp;COUNTIFS($B$6:$B1041,$B1041,$A$6:$A1041,$A1041,$F$6:$F1041,$F1041,$AC$6:$AC1041,$AC1041))</f>
        <v/>
      </c>
      <c r="AG1041" s="32">
        <f>IF($C1041="","",$C1041&amp;"|"&amp;COUNTIFS($C$6:$C1041,$C1041))</f>
        <v/>
      </c>
      <c r="AH1041" s="32">
        <f>IF(OR($C1041="",$A1041="",$AE1041=""),"",$C1041&amp;"|"&amp;$A1041&amp;"|"&amp;$AE1041)</f>
        <v/>
      </c>
      <c r="AI1041" s="32">
        <f>IF(OR($C1041="",$AE1041="",$AE1041=1),"",IFERROR(INDEX($AC$6:$AC$1505,MATCH($C1041&amp;"|"&amp;$A1041&amp;"|"&amp;($AE1041-1),$AH$6:$AH$1505,0)),""))</f>
        <v/>
      </c>
      <c r="AJ1041" s="32">
        <f>IF(OR($AI1041="",$AC1041=""),"",IF($AI1041=$AC1041,"ללא שינוי","מ-"&amp;$AI1041&amp;" ל-"&amp;$AC1041))</f>
        <v/>
      </c>
      <c r="AK1041" s="67" t="n"/>
    </row>
    <row r="1042">
      <c r="A1042" s="65" t="n"/>
      <c r="B1042" s="65" t="n"/>
      <c r="C1042" s="66" t="n"/>
      <c r="D1042" s="66" t="n"/>
      <c r="E1042" s="65" t="n"/>
      <c r="F1042" s="65" t="n"/>
      <c r="G1042" s="65" t="n"/>
      <c r="H1042" s="65" t="n"/>
      <c r="I1042" s="65" t="n"/>
      <c r="J1042" s="65" t="n"/>
      <c r="K1042" s="65" t="n"/>
      <c r="L1042" s="65" t="n"/>
      <c r="M1042" s="65" t="n"/>
      <c r="N1042" s="65" t="n"/>
      <c r="O1042" s="65" t="n"/>
      <c r="P1042" s="65" t="n"/>
      <c r="Q1042" s="65" t="n"/>
      <c r="R1042" s="65" t="n"/>
      <c r="S1042" s="65" t="n"/>
      <c r="T1042" s="65" t="n"/>
      <c r="U1042" s="65" t="n"/>
      <c r="V1042" s="65" t="n"/>
      <c r="W1042" s="65" t="n"/>
      <c r="X1042" s="65" t="n"/>
      <c r="Y1042" s="32">
        <f>IF($C1042="","",IF(COUNTA($I1042:$K1042)&lt;3,"— חסרים נתונים",IF(AND($I1042="תקין",$J1042="תקין",$K1042="תקין"),"רהוטה",IF(AND($I1042="תקין",$J1042="תקין"),"מדויקת ורציפה","אינה מדויקת או מקוטעת"))))</f>
        <v/>
      </c>
      <c r="Z1042" s="32">
        <f>IF($C1042="","",IF(COUNTA($U1042:$W1042)&lt;3,"",IF(AND($U1042="מפותח",$V1042="מפותח",$W1042="מפותחת"),"מפותחת",IF((--($U1042="דל"))+(--($V1042="אינו מפותח"))+(--($W1042="דלה"))&gt;=2,"אינה מפותחת","חלקית"))))</f>
        <v/>
      </c>
      <c r="AA1042" s="32">
        <f>IF($C1042="","",IF(COUNTA($M1042,$N1042,$O1042)&lt;3,"— חסרים נתונים",IF(OR($M1042="נמוכה",(--($M1042&lt;&gt;"תקינה"))+(--($N1042&lt;&gt;"תקין"))+(--($O1042&lt;&gt;"תקינה"))&gt;=2),"ניכרת","אינה ניכרת")))</f>
        <v/>
      </c>
      <c r="AB1042" s="32">
        <f>IF(OR($C1042="",$Y1042="",$AA1042="",LEFT($Y1042,1)="—",LEFT($AA1042,1)="—"),"",IF($Z1042="","— נדרשת הערכת כתיבה",IF($L1042="","— חסרה הבנת הנקרא",IF($Y1042="אינה מדויקת או מקוטעת",IF($AA1042="ניכרת","מיקוד בשטף הקריאה ובכישורי שפה","מיקוד בשטף קריאה"),IF($AA1042="ניכרת","מיקוד בכישורי שפה",IF(AND($L1042="תקינה",$Z1042="מפותחת"),"קוראים וכותבים מיומנים","מיקוד בהבנה והבעה"))))))</f>
        <v/>
      </c>
      <c r="AC1042" s="32">
        <f>IF(OR($AB1042="",LEFT($AB1042,1)="—"),"",IF(OR($AB1042="מיקוד בשטף קריאה",$AB1042="מיקוד בשטף הקריאה ובכישורי שפה"),"רמה א'",IF($AB1042="קוראים וכותבים מיומנים","רמה ג'","רמה ב'")))</f>
        <v/>
      </c>
      <c r="AD1042" s="32">
        <f>IF($AC1042="","",MID(IF(AND($AC1042="רמה א'",$AA1042="ניכרת"),"; להוסיף עבודת אוצר מילים","")&amp;IF($Z1042="אינה מפותחת","; דגש על הבעה בכתב","")&amp;IF($K1042&lt;&gt;"תקין","; נדרש לעבוד על ההנגנה","")&amp;IF($AK1042&lt;&gt;"","; "&amp;$AK1042,""),3,400))</f>
        <v/>
      </c>
      <c r="AE1042" s="32">
        <f>IF($F1042="","",IF($F1042="תחילת שנה",1,IF($F1042="מחצית שנה",2,3)))</f>
        <v/>
      </c>
      <c r="AF1042" s="32">
        <f>IF(OR($B1042="",$AC1042="",$A1042="",$F1042=""),"",$B1042&amp;"|"&amp;$A1042&amp;"|"&amp;$F1042&amp;"|"&amp;$AC1042&amp;"|"&amp;COUNTIFS($B$6:$B1042,$B1042,$A$6:$A1042,$A1042,$F$6:$F1042,$F1042,$AC$6:$AC1042,$AC1042))</f>
        <v/>
      </c>
      <c r="AG1042" s="32">
        <f>IF($C1042="","",$C1042&amp;"|"&amp;COUNTIFS($C$6:$C1042,$C1042))</f>
        <v/>
      </c>
      <c r="AH1042" s="32">
        <f>IF(OR($C1042="",$A1042="",$AE1042=""),"",$C1042&amp;"|"&amp;$A1042&amp;"|"&amp;$AE1042)</f>
        <v/>
      </c>
      <c r="AI1042" s="32">
        <f>IF(OR($C1042="",$AE1042="",$AE1042=1),"",IFERROR(INDEX($AC$6:$AC$1505,MATCH($C1042&amp;"|"&amp;$A1042&amp;"|"&amp;($AE1042-1),$AH$6:$AH$1505,0)),""))</f>
        <v/>
      </c>
      <c r="AJ1042" s="32">
        <f>IF(OR($AI1042="",$AC1042=""),"",IF($AI1042=$AC1042,"ללא שינוי","מ-"&amp;$AI1042&amp;" ל-"&amp;$AC1042))</f>
        <v/>
      </c>
      <c r="AK1042" s="67" t="n"/>
    </row>
    <row r="1043">
      <c r="A1043" s="65" t="n"/>
      <c r="B1043" s="65" t="n"/>
      <c r="C1043" s="66" t="n"/>
      <c r="D1043" s="66" t="n"/>
      <c r="E1043" s="65" t="n"/>
      <c r="F1043" s="65" t="n"/>
      <c r="G1043" s="65" t="n"/>
      <c r="H1043" s="65" t="n"/>
      <c r="I1043" s="65" t="n"/>
      <c r="J1043" s="65" t="n"/>
      <c r="K1043" s="65" t="n"/>
      <c r="L1043" s="65" t="n"/>
      <c r="M1043" s="65" t="n"/>
      <c r="N1043" s="65" t="n"/>
      <c r="O1043" s="65" t="n"/>
      <c r="P1043" s="65" t="n"/>
      <c r="Q1043" s="65" t="n"/>
      <c r="R1043" s="65" t="n"/>
      <c r="S1043" s="65" t="n"/>
      <c r="T1043" s="65" t="n"/>
      <c r="U1043" s="65" t="n"/>
      <c r="V1043" s="65" t="n"/>
      <c r="W1043" s="65" t="n"/>
      <c r="X1043" s="65" t="n"/>
      <c r="Y1043" s="32">
        <f>IF($C1043="","",IF(COUNTA($I1043:$K1043)&lt;3,"— חסרים נתונים",IF(AND($I1043="תקין",$J1043="תקין",$K1043="תקין"),"רהוטה",IF(AND($I1043="תקין",$J1043="תקין"),"מדויקת ורציפה","אינה מדויקת או מקוטעת"))))</f>
        <v/>
      </c>
      <c r="Z1043" s="32">
        <f>IF($C1043="","",IF(COUNTA($U1043:$W1043)&lt;3,"",IF(AND($U1043="מפותח",$V1043="מפותח",$W1043="מפותחת"),"מפותחת",IF((--($U1043="דל"))+(--($V1043="אינו מפותח"))+(--($W1043="דלה"))&gt;=2,"אינה מפותחת","חלקית"))))</f>
        <v/>
      </c>
      <c r="AA1043" s="32">
        <f>IF($C1043="","",IF(COUNTA($M1043,$N1043,$O1043)&lt;3,"— חסרים נתונים",IF(OR($M1043="נמוכה",(--($M1043&lt;&gt;"תקינה"))+(--($N1043&lt;&gt;"תקין"))+(--($O1043&lt;&gt;"תקינה"))&gt;=2),"ניכרת","אינה ניכרת")))</f>
        <v/>
      </c>
      <c r="AB1043" s="32">
        <f>IF(OR($C1043="",$Y1043="",$AA1043="",LEFT($Y1043,1)="—",LEFT($AA1043,1)="—"),"",IF($Z1043="","— נדרשת הערכת כתיבה",IF($L1043="","— חסרה הבנת הנקרא",IF($Y1043="אינה מדויקת או מקוטעת",IF($AA1043="ניכרת","מיקוד בשטף הקריאה ובכישורי שפה","מיקוד בשטף קריאה"),IF($AA1043="ניכרת","מיקוד בכישורי שפה",IF(AND($L1043="תקינה",$Z1043="מפותחת"),"קוראים וכותבים מיומנים","מיקוד בהבנה והבעה"))))))</f>
        <v/>
      </c>
      <c r="AC1043" s="32">
        <f>IF(OR($AB1043="",LEFT($AB1043,1)="—"),"",IF(OR($AB1043="מיקוד בשטף קריאה",$AB1043="מיקוד בשטף הקריאה ובכישורי שפה"),"רמה א'",IF($AB1043="קוראים וכותבים מיומנים","רמה ג'","רמה ב'")))</f>
        <v/>
      </c>
      <c r="AD1043" s="32">
        <f>IF($AC1043="","",MID(IF(AND($AC1043="רמה א'",$AA1043="ניכרת"),"; להוסיף עבודת אוצר מילים","")&amp;IF($Z1043="אינה מפותחת","; דגש על הבעה בכתב","")&amp;IF($K1043&lt;&gt;"תקין","; נדרש לעבוד על ההנגנה","")&amp;IF($AK1043&lt;&gt;"","; "&amp;$AK1043,""),3,400))</f>
        <v/>
      </c>
      <c r="AE1043" s="32">
        <f>IF($F1043="","",IF($F1043="תחילת שנה",1,IF($F1043="מחצית שנה",2,3)))</f>
        <v/>
      </c>
      <c r="AF1043" s="32">
        <f>IF(OR($B1043="",$AC1043="",$A1043="",$F1043=""),"",$B1043&amp;"|"&amp;$A1043&amp;"|"&amp;$F1043&amp;"|"&amp;$AC1043&amp;"|"&amp;COUNTIFS($B$6:$B1043,$B1043,$A$6:$A1043,$A1043,$F$6:$F1043,$F1043,$AC$6:$AC1043,$AC1043))</f>
        <v/>
      </c>
      <c r="AG1043" s="32">
        <f>IF($C1043="","",$C1043&amp;"|"&amp;COUNTIFS($C$6:$C1043,$C1043))</f>
        <v/>
      </c>
      <c r="AH1043" s="32">
        <f>IF(OR($C1043="",$A1043="",$AE1043=""),"",$C1043&amp;"|"&amp;$A1043&amp;"|"&amp;$AE1043)</f>
        <v/>
      </c>
      <c r="AI1043" s="32">
        <f>IF(OR($C1043="",$AE1043="",$AE1043=1),"",IFERROR(INDEX($AC$6:$AC$1505,MATCH($C1043&amp;"|"&amp;$A1043&amp;"|"&amp;($AE1043-1),$AH$6:$AH$1505,0)),""))</f>
        <v/>
      </c>
      <c r="AJ1043" s="32">
        <f>IF(OR($AI1043="",$AC1043=""),"",IF($AI1043=$AC1043,"ללא שינוי","מ-"&amp;$AI1043&amp;" ל-"&amp;$AC1043))</f>
        <v/>
      </c>
      <c r="AK1043" s="67" t="n"/>
    </row>
    <row r="1044">
      <c r="A1044" s="65" t="n"/>
      <c r="B1044" s="65" t="n"/>
      <c r="C1044" s="66" t="n"/>
      <c r="D1044" s="66" t="n"/>
      <c r="E1044" s="65" t="n"/>
      <c r="F1044" s="65" t="n"/>
      <c r="G1044" s="65" t="n"/>
      <c r="H1044" s="65" t="n"/>
      <c r="I1044" s="65" t="n"/>
      <c r="J1044" s="65" t="n"/>
      <c r="K1044" s="65" t="n"/>
      <c r="L1044" s="65" t="n"/>
      <c r="M1044" s="65" t="n"/>
      <c r="N1044" s="65" t="n"/>
      <c r="O1044" s="65" t="n"/>
      <c r="P1044" s="65" t="n"/>
      <c r="Q1044" s="65" t="n"/>
      <c r="R1044" s="65" t="n"/>
      <c r="S1044" s="65" t="n"/>
      <c r="T1044" s="65" t="n"/>
      <c r="U1044" s="65" t="n"/>
      <c r="V1044" s="65" t="n"/>
      <c r="W1044" s="65" t="n"/>
      <c r="X1044" s="65" t="n"/>
      <c r="Y1044" s="32">
        <f>IF($C1044="","",IF(COUNTA($I1044:$K1044)&lt;3,"— חסרים נתונים",IF(AND($I1044="תקין",$J1044="תקין",$K1044="תקין"),"רהוטה",IF(AND($I1044="תקין",$J1044="תקין"),"מדויקת ורציפה","אינה מדויקת או מקוטעת"))))</f>
        <v/>
      </c>
      <c r="Z1044" s="32">
        <f>IF($C1044="","",IF(COUNTA($U1044:$W1044)&lt;3,"",IF(AND($U1044="מפותח",$V1044="מפותח",$W1044="מפותחת"),"מפותחת",IF((--($U1044="דל"))+(--($V1044="אינו מפותח"))+(--($W1044="דלה"))&gt;=2,"אינה מפותחת","חלקית"))))</f>
        <v/>
      </c>
      <c r="AA1044" s="32">
        <f>IF($C1044="","",IF(COUNTA($M1044,$N1044,$O1044)&lt;3,"— חסרים נתונים",IF(OR($M1044="נמוכה",(--($M1044&lt;&gt;"תקינה"))+(--($N1044&lt;&gt;"תקין"))+(--($O1044&lt;&gt;"תקינה"))&gt;=2),"ניכרת","אינה ניכרת")))</f>
        <v/>
      </c>
      <c r="AB1044" s="32">
        <f>IF(OR($C1044="",$Y1044="",$AA1044="",LEFT($Y1044,1)="—",LEFT($AA1044,1)="—"),"",IF($Z1044="","— נדרשת הערכת כתיבה",IF($L1044="","— חסרה הבנת הנקרא",IF($Y1044="אינה מדויקת או מקוטעת",IF($AA1044="ניכרת","מיקוד בשטף הקריאה ובכישורי שפה","מיקוד בשטף קריאה"),IF($AA1044="ניכרת","מיקוד בכישורי שפה",IF(AND($L1044="תקינה",$Z1044="מפותחת"),"קוראים וכותבים מיומנים","מיקוד בהבנה והבעה"))))))</f>
        <v/>
      </c>
      <c r="AC1044" s="32">
        <f>IF(OR($AB1044="",LEFT($AB1044,1)="—"),"",IF(OR($AB1044="מיקוד בשטף קריאה",$AB1044="מיקוד בשטף הקריאה ובכישורי שפה"),"רמה א'",IF($AB1044="קוראים וכותבים מיומנים","רמה ג'","רמה ב'")))</f>
        <v/>
      </c>
      <c r="AD1044" s="32">
        <f>IF($AC1044="","",MID(IF(AND($AC1044="רמה א'",$AA1044="ניכרת"),"; להוסיף עבודת אוצר מילים","")&amp;IF($Z1044="אינה מפותחת","; דגש על הבעה בכתב","")&amp;IF($K1044&lt;&gt;"תקין","; נדרש לעבוד על ההנגנה","")&amp;IF($AK1044&lt;&gt;"","; "&amp;$AK1044,""),3,400))</f>
        <v/>
      </c>
      <c r="AE1044" s="32">
        <f>IF($F1044="","",IF($F1044="תחילת שנה",1,IF($F1044="מחצית שנה",2,3)))</f>
        <v/>
      </c>
      <c r="AF1044" s="32">
        <f>IF(OR($B1044="",$AC1044="",$A1044="",$F1044=""),"",$B1044&amp;"|"&amp;$A1044&amp;"|"&amp;$F1044&amp;"|"&amp;$AC1044&amp;"|"&amp;COUNTIFS($B$6:$B1044,$B1044,$A$6:$A1044,$A1044,$F$6:$F1044,$F1044,$AC$6:$AC1044,$AC1044))</f>
        <v/>
      </c>
      <c r="AG1044" s="32">
        <f>IF($C1044="","",$C1044&amp;"|"&amp;COUNTIFS($C$6:$C1044,$C1044))</f>
        <v/>
      </c>
      <c r="AH1044" s="32">
        <f>IF(OR($C1044="",$A1044="",$AE1044=""),"",$C1044&amp;"|"&amp;$A1044&amp;"|"&amp;$AE1044)</f>
        <v/>
      </c>
      <c r="AI1044" s="32">
        <f>IF(OR($C1044="",$AE1044="",$AE1044=1),"",IFERROR(INDEX($AC$6:$AC$1505,MATCH($C1044&amp;"|"&amp;$A1044&amp;"|"&amp;($AE1044-1),$AH$6:$AH$1505,0)),""))</f>
        <v/>
      </c>
      <c r="AJ1044" s="32">
        <f>IF(OR($AI1044="",$AC1044=""),"",IF($AI1044=$AC1044,"ללא שינוי","מ-"&amp;$AI1044&amp;" ל-"&amp;$AC1044))</f>
        <v/>
      </c>
      <c r="AK1044" s="67" t="n"/>
    </row>
    <row r="1045">
      <c r="A1045" s="65" t="n"/>
      <c r="B1045" s="65" t="n"/>
      <c r="C1045" s="66" t="n"/>
      <c r="D1045" s="66" t="n"/>
      <c r="E1045" s="65" t="n"/>
      <c r="F1045" s="65" t="n"/>
      <c r="G1045" s="65" t="n"/>
      <c r="H1045" s="65" t="n"/>
      <c r="I1045" s="65" t="n"/>
      <c r="J1045" s="65" t="n"/>
      <c r="K1045" s="65" t="n"/>
      <c r="L1045" s="65" t="n"/>
      <c r="M1045" s="65" t="n"/>
      <c r="N1045" s="65" t="n"/>
      <c r="O1045" s="65" t="n"/>
      <c r="P1045" s="65" t="n"/>
      <c r="Q1045" s="65" t="n"/>
      <c r="R1045" s="65" t="n"/>
      <c r="S1045" s="65" t="n"/>
      <c r="T1045" s="65" t="n"/>
      <c r="U1045" s="65" t="n"/>
      <c r="V1045" s="65" t="n"/>
      <c r="W1045" s="65" t="n"/>
      <c r="X1045" s="65" t="n"/>
      <c r="Y1045" s="32">
        <f>IF($C1045="","",IF(COUNTA($I1045:$K1045)&lt;3,"— חסרים נתונים",IF(AND($I1045="תקין",$J1045="תקין",$K1045="תקין"),"רהוטה",IF(AND($I1045="תקין",$J1045="תקין"),"מדויקת ורציפה","אינה מדויקת או מקוטעת"))))</f>
        <v/>
      </c>
      <c r="Z1045" s="32">
        <f>IF($C1045="","",IF(COUNTA($U1045:$W1045)&lt;3,"",IF(AND($U1045="מפותח",$V1045="מפותח",$W1045="מפותחת"),"מפותחת",IF((--($U1045="דל"))+(--($V1045="אינו מפותח"))+(--($W1045="דלה"))&gt;=2,"אינה מפותחת","חלקית"))))</f>
        <v/>
      </c>
      <c r="AA1045" s="32">
        <f>IF($C1045="","",IF(COUNTA($M1045,$N1045,$O1045)&lt;3,"— חסרים נתונים",IF(OR($M1045="נמוכה",(--($M1045&lt;&gt;"תקינה"))+(--($N1045&lt;&gt;"תקין"))+(--($O1045&lt;&gt;"תקינה"))&gt;=2),"ניכרת","אינה ניכרת")))</f>
        <v/>
      </c>
      <c r="AB1045" s="32">
        <f>IF(OR($C1045="",$Y1045="",$AA1045="",LEFT($Y1045,1)="—",LEFT($AA1045,1)="—"),"",IF($Z1045="","— נדרשת הערכת כתיבה",IF($L1045="","— חסרה הבנת הנקרא",IF($Y1045="אינה מדויקת או מקוטעת",IF($AA1045="ניכרת","מיקוד בשטף הקריאה ובכישורי שפה","מיקוד בשטף קריאה"),IF($AA1045="ניכרת","מיקוד בכישורי שפה",IF(AND($L1045="תקינה",$Z1045="מפותחת"),"קוראים וכותבים מיומנים","מיקוד בהבנה והבעה"))))))</f>
        <v/>
      </c>
      <c r="AC1045" s="32">
        <f>IF(OR($AB1045="",LEFT($AB1045,1)="—"),"",IF(OR($AB1045="מיקוד בשטף קריאה",$AB1045="מיקוד בשטף הקריאה ובכישורי שפה"),"רמה א'",IF($AB1045="קוראים וכותבים מיומנים","רמה ג'","רמה ב'")))</f>
        <v/>
      </c>
      <c r="AD1045" s="32">
        <f>IF($AC1045="","",MID(IF(AND($AC1045="רמה א'",$AA1045="ניכרת"),"; להוסיף עבודת אוצר מילים","")&amp;IF($Z1045="אינה מפותחת","; דגש על הבעה בכתב","")&amp;IF($K1045&lt;&gt;"תקין","; נדרש לעבוד על ההנגנה","")&amp;IF($AK1045&lt;&gt;"","; "&amp;$AK1045,""),3,400))</f>
        <v/>
      </c>
      <c r="AE1045" s="32">
        <f>IF($F1045="","",IF($F1045="תחילת שנה",1,IF($F1045="מחצית שנה",2,3)))</f>
        <v/>
      </c>
      <c r="AF1045" s="32">
        <f>IF(OR($B1045="",$AC1045="",$A1045="",$F1045=""),"",$B1045&amp;"|"&amp;$A1045&amp;"|"&amp;$F1045&amp;"|"&amp;$AC1045&amp;"|"&amp;COUNTIFS($B$6:$B1045,$B1045,$A$6:$A1045,$A1045,$F$6:$F1045,$F1045,$AC$6:$AC1045,$AC1045))</f>
        <v/>
      </c>
      <c r="AG1045" s="32">
        <f>IF($C1045="","",$C1045&amp;"|"&amp;COUNTIFS($C$6:$C1045,$C1045))</f>
        <v/>
      </c>
      <c r="AH1045" s="32">
        <f>IF(OR($C1045="",$A1045="",$AE1045=""),"",$C1045&amp;"|"&amp;$A1045&amp;"|"&amp;$AE1045)</f>
        <v/>
      </c>
      <c r="AI1045" s="32">
        <f>IF(OR($C1045="",$AE1045="",$AE1045=1),"",IFERROR(INDEX($AC$6:$AC$1505,MATCH($C1045&amp;"|"&amp;$A1045&amp;"|"&amp;($AE1045-1),$AH$6:$AH$1505,0)),""))</f>
        <v/>
      </c>
      <c r="AJ1045" s="32">
        <f>IF(OR($AI1045="",$AC1045=""),"",IF($AI1045=$AC1045,"ללא שינוי","מ-"&amp;$AI1045&amp;" ל-"&amp;$AC1045))</f>
        <v/>
      </c>
      <c r="AK1045" s="67" t="n"/>
    </row>
    <row r="1046">
      <c r="A1046" s="65" t="n"/>
      <c r="B1046" s="65" t="n"/>
      <c r="C1046" s="66" t="n"/>
      <c r="D1046" s="66" t="n"/>
      <c r="E1046" s="65" t="n"/>
      <c r="F1046" s="65" t="n"/>
      <c r="G1046" s="65" t="n"/>
      <c r="H1046" s="65" t="n"/>
      <c r="I1046" s="65" t="n"/>
      <c r="J1046" s="65" t="n"/>
      <c r="K1046" s="65" t="n"/>
      <c r="L1046" s="65" t="n"/>
      <c r="M1046" s="65" t="n"/>
      <c r="N1046" s="65" t="n"/>
      <c r="O1046" s="65" t="n"/>
      <c r="P1046" s="65" t="n"/>
      <c r="Q1046" s="65" t="n"/>
      <c r="R1046" s="65" t="n"/>
      <c r="S1046" s="65" t="n"/>
      <c r="T1046" s="65" t="n"/>
      <c r="U1046" s="65" t="n"/>
      <c r="V1046" s="65" t="n"/>
      <c r="W1046" s="65" t="n"/>
      <c r="X1046" s="65" t="n"/>
      <c r="Y1046" s="32">
        <f>IF($C1046="","",IF(COUNTA($I1046:$K1046)&lt;3,"— חסרים נתונים",IF(AND($I1046="תקין",$J1046="תקין",$K1046="תקין"),"רהוטה",IF(AND($I1046="תקין",$J1046="תקין"),"מדויקת ורציפה","אינה מדויקת או מקוטעת"))))</f>
        <v/>
      </c>
      <c r="Z1046" s="32">
        <f>IF($C1046="","",IF(COUNTA($U1046:$W1046)&lt;3,"",IF(AND($U1046="מפותח",$V1046="מפותח",$W1046="מפותחת"),"מפותחת",IF((--($U1046="דל"))+(--($V1046="אינו מפותח"))+(--($W1046="דלה"))&gt;=2,"אינה מפותחת","חלקית"))))</f>
        <v/>
      </c>
      <c r="AA1046" s="32">
        <f>IF($C1046="","",IF(COUNTA($M1046,$N1046,$O1046)&lt;3,"— חסרים נתונים",IF(OR($M1046="נמוכה",(--($M1046&lt;&gt;"תקינה"))+(--($N1046&lt;&gt;"תקין"))+(--($O1046&lt;&gt;"תקינה"))&gt;=2),"ניכרת","אינה ניכרת")))</f>
        <v/>
      </c>
      <c r="AB1046" s="32">
        <f>IF(OR($C1046="",$Y1046="",$AA1046="",LEFT($Y1046,1)="—",LEFT($AA1046,1)="—"),"",IF($Z1046="","— נדרשת הערכת כתיבה",IF($L1046="","— חסרה הבנת הנקרא",IF($Y1046="אינה מדויקת או מקוטעת",IF($AA1046="ניכרת","מיקוד בשטף הקריאה ובכישורי שפה","מיקוד בשטף קריאה"),IF($AA1046="ניכרת","מיקוד בכישורי שפה",IF(AND($L1046="תקינה",$Z1046="מפותחת"),"קוראים וכותבים מיומנים","מיקוד בהבנה והבעה"))))))</f>
        <v/>
      </c>
      <c r="AC1046" s="32">
        <f>IF(OR($AB1046="",LEFT($AB1046,1)="—"),"",IF(OR($AB1046="מיקוד בשטף קריאה",$AB1046="מיקוד בשטף הקריאה ובכישורי שפה"),"רמה א'",IF($AB1046="קוראים וכותבים מיומנים","רמה ג'","רמה ב'")))</f>
        <v/>
      </c>
      <c r="AD1046" s="32">
        <f>IF($AC1046="","",MID(IF(AND($AC1046="רמה א'",$AA1046="ניכרת"),"; להוסיף עבודת אוצר מילים","")&amp;IF($Z1046="אינה מפותחת","; דגש על הבעה בכתב","")&amp;IF($K1046&lt;&gt;"תקין","; נדרש לעבוד על ההנגנה","")&amp;IF($AK1046&lt;&gt;"","; "&amp;$AK1046,""),3,400))</f>
        <v/>
      </c>
      <c r="AE1046" s="32">
        <f>IF($F1046="","",IF($F1046="תחילת שנה",1,IF($F1046="מחצית שנה",2,3)))</f>
        <v/>
      </c>
      <c r="AF1046" s="32">
        <f>IF(OR($B1046="",$AC1046="",$A1046="",$F1046=""),"",$B1046&amp;"|"&amp;$A1046&amp;"|"&amp;$F1046&amp;"|"&amp;$AC1046&amp;"|"&amp;COUNTIFS($B$6:$B1046,$B1046,$A$6:$A1046,$A1046,$F$6:$F1046,$F1046,$AC$6:$AC1046,$AC1046))</f>
        <v/>
      </c>
      <c r="AG1046" s="32">
        <f>IF($C1046="","",$C1046&amp;"|"&amp;COUNTIFS($C$6:$C1046,$C1046))</f>
        <v/>
      </c>
      <c r="AH1046" s="32">
        <f>IF(OR($C1046="",$A1046="",$AE1046=""),"",$C1046&amp;"|"&amp;$A1046&amp;"|"&amp;$AE1046)</f>
        <v/>
      </c>
      <c r="AI1046" s="32">
        <f>IF(OR($C1046="",$AE1046="",$AE1046=1),"",IFERROR(INDEX($AC$6:$AC$1505,MATCH($C1046&amp;"|"&amp;$A1046&amp;"|"&amp;($AE1046-1),$AH$6:$AH$1505,0)),""))</f>
        <v/>
      </c>
      <c r="AJ1046" s="32">
        <f>IF(OR($AI1046="",$AC1046=""),"",IF($AI1046=$AC1046,"ללא שינוי","מ-"&amp;$AI1046&amp;" ל-"&amp;$AC1046))</f>
        <v/>
      </c>
      <c r="AK1046" s="67" t="n"/>
    </row>
    <row r="1047">
      <c r="A1047" s="65" t="n"/>
      <c r="B1047" s="65" t="n"/>
      <c r="C1047" s="66" t="n"/>
      <c r="D1047" s="66" t="n"/>
      <c r="E1047" s="65" t="n"/>
      <c r="F1047" s="65" t="n"/>
      <c r="G1047" s="65" t="n"/>
      <c r="H1047" s="65" t="n"/>
      <c r="I1047" s="65" t="n"/>
      <c r="J1047" s="65" t="n"/>
      <c r="K1047" s="65" t="n"/>
      <c r="L1047" s="65" t="n"/>
      <c r="M1047" s="65" t="n"/>
      <c r="N1047" s="65" t="n"/>
      <c r="O1047" s="65" t="n"/>
      <c r="P1047" s="65" t="n"/>
      <c r="Q1047" s="65" t="n"/>
      <c r="R1047" s="65" t="n"/>
      <c r="S1047" s="65" t="n"/>
      <c r="T1047" s="65" t="n"/>
      <c r="U1047" s="65" t="n"/>
      <c r="V1047" s="65" t="n"/>
      <c r="W1047" s="65" t="n"/>
      <c r="X1047" s="65" t="n"/>
      <c r="Y1047" s="32">
        <f>IF($C1047="","",IF(COUNTA($I1047:$K1047)&lt;3,"— חסרים נתונים",IF(AND($I1047="תקין",$J1047="תקין",$K1047="תקין"),"רהוטה",IF(AND($I1047="תקין",$J1047="תקין"),"מדויקת ורציפה","אינה מדויקת או מקוטעת"))))</f>
        <v/>
      </c>
      <c r="Z1047" s="32">
        <f>IF($C1047="","",IF(COUNTA($U1047:$W1047)&lt;3,"",IF(AND($U1047="מפותח",$V1047="מפותח",$W1047="מפותחת"),"מפותחת",IF((--($U1047="דל"))+(--($V1047="אינו מפותח"))+(--($W1047="דלה"))&gt;=2,"אינה מפותחת","חלקית"))))</f>
        <v/>
      </c>
      <c r="AA1047" s="32">
        <f>IF($C1047="","",IF(COUNTA($M1047,$N1047,$O1047)&lt;3,"— חסרים נתונים",IF(OR($M1047="נמוכה",(--($M1047&lt;&gt;"תקינה"))+(--($N1047&lt;&gt;"תקין"))+(--($O1047&lt;&gt;"תקינה"))&gt;=2),"ניכרת","אינה ניכרת")))</f>
        <v/>
      </c>
      <c r="AB1047" s="32">
        <f>IF(OR($C1047="",$Y1047="",$AA1047="",LEFT($Y1047,1)="—",LEFT($AA1047,1)="—"),"",IF($Z1047="","— נדרשת הערכת כתיבה",IF($L1047="","— חסרה הבנת הנקרא",IF($Y1047="אינה מדויקת או מקוטעת",IF($AA1047="ניכרת","מיקוד בשטף הקריאה ובכישורי שפה","מיקוד בשטף קריאה"),IF($AA1047="ניכרת","מיקוד בכישורי שפה",IF(AND($L1047="תקינה",$Z1047="מפותחת"),"קוראים וכותבים מיומנים","מיקוד בהבנה והבעה"))))))</f>
        <v/>
      </c>
      <c r="AC1047" s="32">
        <f>IF(OR($AB1047="",LEFT($AB1047,1)="—"),"",IF(OR($AB1047="מיקוד בשטף קריאה",$AB1047="מיקוד בשטף הקריאה ובכישורי שפה"),"רמה א'",IF($AB1047="קוראים וכותבים מיומנים","רמה ג'","רמה ב'")))</f>
        <v/>
      </c>
      <c r="AD1047" s="32">
        <f>IF($AC1047="","",MID(IF(AND($AC1047="רמה א'",$AA1047="ניכרת"),"; להוסיף עבודת אוצר מילים","")&amp;IF($Z1047="אינה מפותחת","; דגש על הבעה בכתב","")&amp;IF($K1047&lt;&gt;"תקין","; נדרש לעבוד על ההנגנה","")&amp;IF($AK1047&lt;&gt;"","; "&amp;$AK1047,""),3,400))</f>
        <v/>
      </c>
      <c r="AE1047" s="32">
        <f>IF($F1047="","",IF($F1047="תחילת שנה",1,IF($F1047="מחצית שנה",2,3)))</f>
        <v/>
      </c>
      <c r="AF1047" s="32">
        <f>IF(OR($B1047="",$AC1047="",$A1047="",$F1047=""),"",$B1047&amp;"|"&amp;$A1047&amp;"|"&amp;$F1047&amp;"|"&amp;$AC1047&amp;"|"&amp;COUNTIFS($B$6:$B1047,$B1047,$A$6:$A1047,$A1047,$F$6:$F1047,$F1047,$AC$6:$AC1047,$AC1047))</f>
        <v/>
      </c>
      <c r="AG1047" s="32">
        <f>IF($C1047="","",$C1047&amp;"|"&amp;COUNTIFS($C$6:$C1047,$C1047))</f>
        <v/>
      </c>
      <c r="AH1047" s="32">
        <f>IF(OR($C1047="",$A1047="",$AE1047=""),"",$C1047&amp;"|"&amp;$A1047&amp;"|"&amp;$AE1047)</f>
        <v/>
      </c>
      <c r="AI1047" s="32">
        <f>IF(OR($C1047="",$AE1047="",$AE1047=1),"",IFERROR(INDEX($AC$6:$AC$1505,MATCH($C1047&amp;"|"&amp;$A1047&amp;"|"&amp;($AE1047-1),$AH$6:$AH$1505,0)),""))</f>
        <v/>
      </c>
      <c r="AJ1047" s="32">
        <f>IF(OR($AI1047="",$AC1047=""),"",IF($AI1047=$AC1047,"ללא שינוי","מ-"&amp;$AI1047&amp;" ל-"&amp;$AC1047))</f>
        <v/>
      </c>
      <c r="AK1047" s="67" t="n"/>
    </row>
    <row r="1048">
      <c r="A1048" s="65" t="n"/>
      <c r="B1048" s="65" t="n"/>
      <c r="C1048" s="66" t="n"/>
      <c r="D1048" s="66" t="n"/>
      <c r="E1048" s="65" t="n"/>
      <c r="F1048" s="65" t="n"/>
      <c r="G1048" s="65" t="n"/>
      <c r="H1048" s="65" t="n"/>
      <c r="I1048" s="65" t="n"/>
      <c r="J1048" s="65" t="n"/>
      <c r="K1048" s="65" t="n"/>
      <c r="L1048" s="65" t="n"/>
      <c r="M1048" s="65" t="n"/>
      <c r="N1048" s="65" t="n"/>
      <c r="O1048" s="65" t="n"/>
      <c r="P1048" s="65" t="n"/>
      <c r="Q1048" s="65" t="n"/>
      <c r="R1048" s="65" t="n"/>
      <c r="S1048" s="65" t="n"/>
      <c r="T1048" s="65" t="n"/>
      <c r="U1048" s="65" t="n"/>
      <c r="V1048" s="65" t="n"/>
      <c r="W1048" s="65" t="n"/>
      <c r="X1048" s="65" t="n"/>
      <c r="Y1048" s="32">
        <f>IF($C1048="","",IF(COUNTA($I1048:$K1048)&lt;3,"— חסרים נתונים",IF(AND($I1048="תקין",$J1048="תקין",$K1048="תקין"),"רהוטה",IF(AND($I1048="תקין",$J1048="תקין"),"מדויקת ורציפה","אינה מדויקת או מקוטעת"))))</f>
        <v/>
      </c>
      <c r="Z1048" s="32">
        <f>IF($C1048="","",IF(COUNTA($U1048:$W1048)&lt;3,"",IF(AND($U1048="מפותח",$V1048="מפותח",$W1048="מפותחת"),"מפותחת",IF((--($U1048="דל"))+(--($V1048="אינו מפותח"))+(--($W1048="דלה"))&gt;=2,"אינה מפותחת","חלקית"))))</f>
        <v/>
      </c>
      <c r="AA1048" s="32">
        <f>IF($C1048="","",IF(COUNTA($M1048,$N1048,$O1048)&lt;3,"— חסרים נתונים",IF(OR($M1048="נמוכה",(--($M1048&lt;&gt;"תקינה"))+(--($N1048&lt;&gt;"תקין"))+(--($O1048&lt;&gt;"תקינה"))&gt;=2),"ניכרת","אינה ניכרת")))</f>
        <v/>
      </c>
      <c r="AB1048" s="32">
        <f>IF(OR($C1048="",$Y1048="",$AA1048="",LEFT($Y1048,1)="—",LEFT($AA1048,1)="—"),"",IF($Z1048="","— נדרשת הערכת כתיבה",IF($L1048="","— חסרה הבנת הנקרא",IF($Y1048="אינה מדויקת או מקוטעת",IF($AA1048="ניכרת","מיקוד בשטף הקריאה ובכישורי שפה","מיקוד בשטף קריאה"),IF($AA1048="ניכרת","מיקוד בכישורי שפה",IF(AND($L1048="תקינה",$Z1048="מפותחת"),"קוראים וכותבים מיומנים","מיקוד בהבנה והבעה"))))))</f>
        <v/>
      </c>
      <c r="AC1048" s="32">
        <f>IF(OR($AB1048="",LEFT($AB1048,1)="—"),"",IF(OR($AB1048="מיקוד בשטף קריאה",$AB1048="מיקוד בשטף הקריאה ובכישורי שפה"),"רמה א'",IF($AB1048="קוראים וכותבים מיומנים","רמה ג'","רמה ב'")))</f>
        <v/>
      </c>
      <c r="AD1048" s="32">
        <f>IF($AC1048="","",MID(IF(AND($AC1048="רמה א'",$AA1048="ניכרת"),"; להוסיף עבודת אוצר מילים","")&amp;IF($Z1048="אינה מפותחת","; דגש על הבעה בכתב","")&amp;IF($K1048&lt;&gt;"תקין","; נדרש לעבוד על ההנגנה","")&amp;IF($AK1048&lt;&gt;"","; "&amp;$AK1048,""),3,400))</f>
        <v/>
      </c>
      <c r="AE1048" s="32">
        <f>IF($F1048="","",IF($F1048="תחילת שנה",1,IF($F1048="מחצית שנה",2,3)))</f>
        <v/>
      </c>
      <c r="AF1048" s="32">
        <f>IF(OR($B1048="",$AC1048="",$A1048="",$F1048=""),"",$B1048&amp;"|"&amp;$A1048&amp;"|"&amp;$F1048&amp;"|"&amp;$AC1048&amp;"|"&amp;COUNTIFS($B$6:$B1048,$B1048,$A$6:$A1048,$A1048,$F$6:$F1048,$F1048,$AC$6:$AC1048,$AC1048))</f>
        <v/>
      </c>
      <c r="AG1048" s="32">
        <f>IF($C1048="","",$C1048&amp;"|"&amp;COUNTIFS($C$6:$C1048,$C1048))</f>
        <v/>
      </c>
      <c r="AH1048" s="32">
        <f>IF(OR($C1048="",$A1048="",$AE1048=""),"",$C1048&amp;"|"&amp;$A1048&amp;"|"&amp;$AE1048)</f>
        <v/>
      </c>
      <c r="AI1048" s="32">
        <f>IF(OR($C1048="",$AE1048="",$AE1048=1),"",IFERROR(INDEX($AC$6:$AC$1505,MATCH($C1048&amp;"|"&amp;$A1048&amp;"|"&amp;($AE1048-1),$AH$6:$AH$1505,0)),""))</f>
        <v/>
      </c>
      <c r="AJ1048" s="32">
        <f>IF(OR($AI1048="",$AC1048=""),"",IF($AI1048=$AC1048,"ללא שינוי","מ-"&amp;$AI1048&amp;" ל-"&amp;$AC1048))</f>
        <v/>
      </c>
      <c r="AK1048" s="67" t="n"/>
    </row>
    <row r="1049">
      <c r="A1049" s="65" t="n"/>
      <c r="B1049" s="65" t="n"/>
      <c r="C1049" s="66" t="n"/>
      <c r="D1049" s="66" t="n"/>
      <c r="E1049" s="65" t="n"/>
      <c r="F1049" s="65" t="n"/>
      <c r="G1049" s="65" t="n"/>
      <c r="H1049" s="65" t="n"/>
      <c r="I1049" s="65" t="n"/>
      <c r="J1049" s="65" t="n"/>
      <c r="K1049" s="65" t="n"/>
      <c r="L1049" s="65" t="n"/>
      <c r="M1049" s="65" t="n"/>
      <c r="N1049" s="65" t="n"/>
      <c r="O1049" s="65" t="n"/>
      <c r="P1049" s="65" t="n"/>
      <c r="Q1049" s="65" t="n"/>
      <c r="R1049" s="65" t="n"/>
      <c r="S1049" s="65" t="n"/>
      <c r="T1049" s="65" t="n"/>
      <c r="U1049" s="65" t="n"/>
      <c r="V1049" s="65" t="n"/>
      <c r="W1049" s="65" t="n"/>
      <c r="X1049" s="65" t="n"/>
      <c r="Y1049" s="32">
        <f>IF($C1049="","",IF(COUNTA($I1049:$K1049)&lt;3,"— חסרים נתונים",IF(AND($I1049="תקין",$J1049="תקין",$K1049="תקין"),"רהוטה",IF(AND($I1049="תקין",$J1049="תקין"),"מדויקת ורציפה","אינה מדויקת או מקוטעת"))))</f>
        <v/>
      </c>
      <c r="Z1049" s="32">
        <f>IF($C1049="","",IF(COUNTA($U1049:$W1049)&lt;3,"",IF(AND($U1049="מפותח",$V1049="מפותח",$W1049="מפותחת"),"מפותחת",IF((--($U1049="דל"))+(--($V1049="אינו מפותח"))+(--($W1049="דלה"))&gt;=2,"אינה מפותחת","חלקית"))))</f>
        <v/>
      </c>
      <c r="AA1049" s="32">
        <f>IF($C1049="","",IF(COUNTA($M1049,$N1049,$O1049)&lt;3,"— חסרים נתונים",IF(OR($M1049="נמוכה",(--($M1049&lt;&gt;"תקינה"))+(--($N1049&lt;&gt;"תקין"))+(--($O1049&lt;&gt;"תקינה"))&gt;=2),"ניכרת","אינה ניכרת")))</f>
        <v/>
      </c>
      <c r="AB1049" s="32">
        <f>IF(OR($C1049="",$Y1049="",$AA1049="",LEFT($Y1049,1)="—",LEFT($AA1049,1)="—"),"",IF($Z1049="","— נדרשת הערכת כתיבה",IF($L1049="","— חסרה הבנת הנקרא",IF($Y1049="אינה מדויקת או מקוטעת",IF($AA1049="ניכרת","מיקוד בשטף הקריאה ובכישורי שפה","מיקוד בשטף קריאה"),IF($AA1049="ניכרת","מיקוד בכישורי שפה",IF(AND($L1049="תקינה",$Z1049="מפותחת"),"קוראים וכותבים מיומנים","מיקוד בהבנה והבעה"))))))</f>
        <v/>
      </c>
      <c r="AC1049" s="32">
        <f>IF(OR($AB1049="",LEFT($AB1049,1)="—"),"",IF(OR($AB1049="מיקוד בשטף קריאה",$AB1049="מיקוד בשטף הקריאה ובכישורי שפה"),"רמה א'",IF($AB1049="קוראים וכותבים מיומנים","רמה ג'","רמה ב'")))</f>
        <v/>
      </c>
      <c r="AD1049" s="32">
        <f>IF($AC1049="","",MID(IF(AND($AC1049="רמה א'",$AA1049="ניכרת"),"; להוסיף עבודת אוצר מילים","")&amp;IF($Z1049="אינה מפותחת","; דגש על הבעה בכתב","")&amp;IF($K1049&lt;&gt;"תקין","; נדרש לעבוד על ההנגנה","")&amp;IF($AK1049&lt;&gt;"","; "&amp;$AK1049,""),3,400))</f>
        <v/>
      </c>
      <c r="AE1049" s="32">
        <f>IF($F1049="","",IF($F1049="תחילת שנה",1,IF($F1049="מחצית שנה",2,3)))</f>
        <v/>
      </c>
      <c r="AF1049" s="32">
        <f>IF(OR($B1049="",$AC1049="",$A1049="",$F1049=""),"",$B1049&amp;"|"&amp;$A1049&amp;"|"&amp;$F1049&amp;"|"&amp;$AC1049&amp;"|"&amp;COUNTIFS($B$6:$B1049,$B1049,$A$6:$A1049,$A1049,$F$6:$F1049,$F1049,$AC$6:$AC1049,$AC1049))</f>
        <v/>
      </c>
      <c r="AG1049" s="32">
        <f>IF($C1049="","",$C1049&amp;"|"&amp;COUNTIFS($C$6:$C1049,$C1049))</f>
        <v/>
      </c>
      <c r="AH1049" s="32">
        <f>IF(OR($C1049="",$A1049="",$AE1049=""),"",$C1049&amp;"|"&amp;$A1049&amp;"|"&amp;$AE1049)</f>
        <v/>
      </c>
      <c r="AI1049" s="32">
        <f>IF(OR($C1049="",$AE1049="",$AE1049=1),"",IFERROR(INDEX($AC$6:$AC$1505,MATCH($C1049&amp;"|"&amp;$A1049&amp;"|"&amp;($AE1049-1),$AH$6:$AH$1505,0)),""))</f>
        <v/>
      </c>
      <c r="AJ1049" s="32">
        <f>IF(OR($AI1049="",$AC1049=""),"",IF($AI1049=$AC1049,"ללא שינוי","מ-"&amp;$AI1049&amp;" ל-"&amp;$AC1049))</f>
        <v/>
      </c>
      <c r="AK1049" s="67" t="n"/>
    </row>
    <row r="1050">
      <c r="A1050" s="65" t="n"/>
      <c r="B1050" s="65" t="n"/>
      <c r="C1050" s="66" t="n"/>
      <c r="D1050" s="66" t="n"/>
      <c r="E1050" s="65" t="n"/>
      <c r="F1050" s="65" t="n"/>
      <c r="G1050" s="65" t="n"/>
      <c r="H1050" s="65" t="n"/>
      <c r="I1050" s="65" t="n"/>
      <c r="J1050" s="65" t="n"/>
      <c r="K1050" s="65" t="n"/>
      <c r="L1050" s="65" t="n"/>
      <c r="M1050" s="65" t="n"/>
      <c r="N1050" s="65" t="n"/>
      <c r="O1050" s="65" t="n"/>
      <c r="P1050" s="65" t="n"/>
      <c r="Q1050" s="65" t="n"/>
      <c r="R1050" s="65" t="n"/>
      <c r="S1050" s="65" t="n"/>
      <c r="T1050" s="65" t="n"/>
      <c r="U1050" s="65" t="n"/>
      <c r="V1050" s="65" t="n"/>
      <c r="W1050" s="65" t="n"/>
      <c r="X1050" s="65" t="n"/>
      <c r="Y1050" s="32">
        <f>IF($C1050="","",IF(COUNTA($I1050:$K1050)&lt;3,"— חסרים נתונים",IF(AND($I1050="תקין",$J1050="תקין",$K1050="תקין"),"רהוטה",IF(AND($I1050="תקין",$J1050="תקין"),"מדויקת ורציפה","אינה מדויקת או מקוטעת"))))</f>
        <v/>
      </c>
      <c r="Z1050" s="32">
        <f>IF($C1050="","",IF(COUNTA($U1050:$W1050)&lt;3,"",IF(AND($U1050="מפותח",$V1050="מפותח",$W1050="מפותחת"),"מפותחת",IF((--($U1050="דל"))+(--($V1050="אינו מפותח"))+(--($W1050="דלה"))&gt;=2,"אינה מפותחת","חלקית"))))</f>
        <v/>
      </c>
      <c r="AA1050" s="32">
        <f>IF($C1050="","",IF(COUNTA($M1050,$N1050,$O1050)&lt;3,"— חסרים נתונים",IF(OR($M1050="נמוכה",(--($M1050&lt;&gt;"תקינה"))+(--($N1050&lt;&gt;"תקין"))+(--($O1050&lt;&gt;"תקינה"))&gt;=2),"ניכרת","אינה ניכרת")))</f>
        <v/>
      </c>
      <c r="AB1050" s="32">
        <f>IF(OR($C1050="",$Y1050="",$AA1050="",LEFT($Y1050,1)="—",LEFT($AA1050,1)="—"),"",IF($Z1050="","— נדרשת הערכת כתיבה",IF($L1050="","— חסרה הבנת הנקרא",IF($Y1050="אינה מדויקת או מקוטעת",IF($AA1050="ניכרת","מיקוד בשטף הקריאה ובכישורי שפה","מיקוד בשטף קריאה"),IF($AA1050="ניכרת","מיקוד בכישורי שפה",IF(AND($L1050="תקינה",$Z1050="מפותחת"),"קוראים וכותבים מיומנים","מיקוד בהבנה והבעה"))))))</f>
        <v/>
      </c>
      <c r="AC1050" s="32">
        <f>IF(OR($AB1050="",LEFT($AB1050,1)="—"),"",IF(OR($AB1050="מיקוד בשטף קריאה",$AB1050="מיקוד בשטף הקריאה ובכישורי שפה"),"רמה א'",IF($AB1050="קוראים וכותבים מיומנים","רמה ג'","רמה ב'")))</f>
        <v/>
      </c>
      <c r="AD1050" s="32">
        <f>IF($AC1050="","",MID(IF(AND($AC1050="רמה א'",$AA1050="ניכרת"),"; להוסיף עבודת אוצר מילים","")&amp;IF($Z1050="אינה מפותחת","; דגש על הבעה בכתב","")&amp;IF($K1050&lt;&gt;"תקין","; נדרש לעבוד על ההנגנה","")&amp;IF($AK1050&lt;&gt;"","; "&amp;$AK1050,""),3,400))</f>
        <v/>
      </c>
      <c r="AE1050" s="32">
        <f>IF($F1050="","",IF($F1050="תחילת שנה",1,IF($F1050="מחצית שנה",2,3)))</f>
        <v/>
      </c>
      <c r="AF1050" s="32">
        <f>IF(OR($B1050="",$AC1050="",$A1050="",$F1050=""),"",$B1050&amp;"|"&amp;$A1050&amp;"|"&amp;$F1050&amp;"|"&amp;$AC1050&amp;"|"&amp;COUNTIFS($B$6:$B1050,$B1050,$A$6:$A1050,$A1050,$F$6:$F1050,$F1050,$AC$6:$AC1050,$AC1050))</f>
        <v/>
      </c>
      <c r="AG1050" s="32">
        <f>IF($C1050="","",$C1050&amp;"|"&amp;COUNTIFS($C$6:$C1050,$C1050))</f>
        <v/>
      </c>
      <c r="AH1050" s="32">
        <f>IF(OR($C1050="",$A1050="",$AE1050=""),"",$C1050&amp;"|"&amp;$A1050&amp;"|"&amp;$AE1050)</f>
        <v/>
      </c>
      <c r="AI1050" s="32">
        <f>IF(OR($C1050="",$AE1050="",$AE1050=1),"",IFERROR(INDEX($AC$6:$AC$1505,MATCH($C1050&amp;"|"&amp;$A1050&amp;"|"&amp;($AE1050-1),$AH$6:$AH$1505,0)),""))</f>
        <v/>
      </c>
      <c r="AJ1050" s="32">
        <f>IF(OR($AI1050="",$AC1050=""),"",IF($AI1050=$AC1050,"ללא שינוי","מ-"&amp;$AI1050&amp;" ל-"&amp;$AC1050))</f>
        <v/>
      </c>
      <c r="AK1050" s="67" t="n"/>
    </row>
    <row r="1051">
      <c r="A1051" s="65" t="n"/>
      <c r="B1051" s="65" t="n"/>
      <c r="C1051" s="66" t="n"/>
      <c r="D1051" s="66" t="n"/>
      <c r="E1051" s="65" t="n"/>
      <c r="F1051" s="65" t="n"/>
      <c r="G1051" s="65" t="n"/>
      <c r="H1051" s="65" t="n"/>
      <c r="I1051" s="65" t="n"/>
      <c r="J1051" s="65" t="n"/>
      <c r="K1051" s="65" t="n"/>
      <c r="L1051" s="65" t="n"/>
      <c r="M1051" s="65" t="n"/>
      <c r="N1051" s="65" t="n"/>
      <c r="O1051" s="65" t="n"/>
      <c r="P1051" s="65" t="n"/>
      <c r="Q1051" s="65" t="n"/>
      <c r="R1051" s="65" t="n"/>
      <c r="S1051" s="65" t="n"/>
      <c r="T1051" s="65" t="n"/>
      <c r="U1051" s="65" t="n"/>
      <c r="V1051" s="65" t="n"/>
      <c r="W1051" s="65" t="n"/>
      <c r="X1051" s="65" t="n"/>
      <c r="Y1051" s="32">
        <f>IF($C1051="","",IF(COUNTA($I1051:$K1051)&lt;3,"— חסרים נתונים",IF(AND($I1051="תקין",$J1051="תקין",$K1051="תקין"),"רהוטה",IF(AND($I1051="תקין",$J1051="תקין"),"מדויקת ורציפה","אינה מדויקת או מקוטעת"))))</f>
        <v/>
      </c>
      <c r="Z1051" s="32">
        <f>IF($C1051="","",IF(COUNTA($U1051:$W1051)&lt;3,"",IF(AND($U1051="מפותח",$V1051="מפותח",$W1051="מפותחת"),"מפותחת",IF((--($U1051="דל"))+(--($V1051="אינו מפותח"))+(--($W1051="דלה"))&gt;=2,"אינה מפותחת","חלקית"))))</f>
        <v/>
      </c>
      <c r="AA1051" s="32">
        <f>IF($C1051="","",IF(COUNTA($M1051,$N1051,$O1051)&lt;3,"— חסרים נתונים",IF(OR($M1051="נמוכה",(--($M1051&lt;&gt;"תקינה"))+(--($N1051&lt;&gt;"תקין"))+(--($O1051&lt;&gt;"תקינה"))&gt;=2),"ניכרת","אינה ניכרת")))</f>
        <v/>
      </c>
      <c r="AB1051" s="32">
        <f>IF(OR($C1051="",$Y1051="",$AA1051="",LEFT($Y1051,1)="—",LEFT($AA1051,1)="—"),"",IF($Z1051="","— נדרשת הערכת כתיבה",IF($L1051="","— חסרה הבנת הנקרא",IF($Y1051="אינה מדויקת או מקוטעת",IF($AA1051="ניכרת","מיקוד בשטף הקריאה ובכישורי שפה","מיקוד בשטף קריאה"),IF($AA1051="ניכרת","מיקוד בכישורי שפה",IF(AND($L1051="תקינה",$Z1051="מפותחת"),"קוראים וכותבים מיומנים","מיקוד בהבנה והבעה"))))))</f>
        <v/>
      </c>
      <c r="AC1051" s="32">
        <f>IF(OR($AB1051="",LEFT($AB1051,1)="—"),"",IF(OR($AB1051="מיקוד בשטף קריאה",$AB1051="מיקוד בשטף הקריאה ובכישורי שפה"),"רמה א'",IF($AB1051="קוראים וכותבים מיומנים","רמה ג'","רמה ב'")))</f>
        <v/>
      </c>
      <c r="AD1051" s="32">
        <f>IF($AC1051="","",MID(IF(AND($AC1051="רמה א'",$AA1051="ניכרת"),"; להוסיף עבודת אוצר מילים","")&amp;IF($Z1051="אינה מפותחת","; דגש על הבעה בכתב","")&amp;IF($K1051&lt;&gt;"תקין","; נדרש לעבוד על ההנגנה","")&amp;IF($AK1051&lt;&gt;"","; "&amp;$AK1051,""),3,400))</f>
        <v/>
      </c>
      <c r="AE1051" s="32">
        <f>IF($F1051="","",IF($F1051="תחילת שנה",1,IF($F1051="מחצית שנה",2,3)))</f>
        <v/>
      </c>
      <c r="AF1051" s="32">
        <f>IF(OR($B1051="",$AC1051="",$A1051="",$F1051=""),"",$B1051&amp;"|"&amp;$A1051&amp;"|"&amp;$F1051&amp;"|"&amp;$AC1051&amp;"|"&amp;COUNTIFS($B$6:$B1051,$B1051,$A$6:$A1051,$A1051,$F$6:$F1051,$F1051,$AC$6:$AC1051,$AC1051))</f>
        <v/>
      </c>
      <c r="AG1051" s="32">
        <f>IF($C1051="","",$C1051&amp;"|"&amp;COUNTIFS($C$6:$C1051,$C1051))</f>
        <v/>
      </c>
      <c r="AH1051" s="32">
        <f>IF(OR($C1051="",$A1051="",$AE1051=""),"",$C1051&amp;"|"&amp;$A1051&amp;"|"&amp;$AE1051)</f>
        <v/>
      </c>
      <c r="AI1051" s="32">
        <f>IF(OR($C1051="",$AE1051="",$AE1051=1),"",IFERROR(INDEX($AC$6:$AC$1505,MATCH($C1051&amp;"|"&amp;$A1051&amp;"|"&amp;($AE1051-1),$AH$6:$AH$1505,0)),""))</f>
        <v/>
      </c>
      <c r="AJ1051" s="32">
        <f>IF(OR($AI1051="",$AC1051=""),"",IF($AI1051=$AC1051,"ללא שינוי","מ-"&amp;$AI1051&amp;" ל-"&amp;$AC1051))</f>
        <v/>
      </c>
      <c r="AK1051" s="67" t="n"/>
    </row>
    <row r="1052">
      <c r="A1052" s="65" t="n"/>
      <c r="B1052" s="65" t="n"/>
      <c r="C1052" s="66" t="n"/>
      <c r="D1052" s="66" t="n"/>
      <c r="E1052" s="65" t="n"/>
      <c r="F1052" s="65" t="n"/>
      <c r="G1052" s="65" t="n"/>
      <c r="H1052" s="65" t="n"/>
      <c r="I1052" s="65" t="n"/>
      <c r="J1052" s="65" t="n"/>
      <c r="K1052" s="65" t="n"/>
      <c r="L1052" s="65" t="n"/>
      <c r="M1052" s="65" t="n"/>
      <c r="N1052" s="65" t="n"/>
      <c r="O1052" s="65" t="n"/>
      <c r="P1052" s="65" t="n"/>
      <c r="Q1052" s="65" t="n"/>
      <c r="R1052" s="65" t="n"/>
      <c r="S1052" s="65" t="n"/>
      <c r="T1052" s="65" t="n"/>
      <c r="U1052" s="65" t="n"/>
      <c r="V1052" s="65" t="n"/>
      <c r="W1052" s="65" t="n"/>
      <c r="X1052" s="65" t="n"/>
      <c r="Y1052" s="32">
        <f>IF($C1052="","",IF(COUNTA($I1052:$K1052)&lt;3,"— חסרים נתונים",IF(AND($I1052="תקין",$J1052="תקין",$K1052="תקין"),"רהוטה",IF(AND($I1052="תקין",$J1052="תקין"),"מדויקת ורציפה","אינה מדויקת או מקוטעת"))))</f>
        <v/>
      </c>
      <c r="Z1052" s="32">
        <f>IF($C1052="","",IF(COUNTA($U1052:$W1052)&lt;3,"",IF(AND($U1052="מפותח",$V1052="מפותח",$W1052="מפותחת"),"מפותחת",IF((--($U1052="דל"))+(--($V1052="אינו מפותח"))+(--($W1052="דלה"))&gt;=2,"אינה מפותחת","חלקית"))))</f>
        <v/>
      </c>
      <c r="AA1052" s="32">
        <f>IF($C1052="","",IF(COUNTA($M1052,$N1052,$O1052)&lt;3,"— חסרים נתונים",IF(OR($M1052="נמוכה",(--($M1052&lt;&gt;"תקינה"))+(--($N1052&lt;&gt;"תקין"))+(--($O1052&lt;&gt;"תקינה"))&gt;=2),"ניכרת","אינה ניכרת")))</f>
        <v/>
      </c>
      <c r="AB1052" s="32">
        <f>IF(OR($C1052="",$Y1052="",$AA1052="",LEFT($Y1052,1)="—",LEFT($AA1052,1)="—"),"",IF($Z1052="","— נדרשת הערכת כתיבה",IF($L1052="","— חסרה הבנת הנקרא",IF($Y1052="אינה מדויקת או מקוטעת",IF($AA1052="ניכרת","מיקוד בשטף הקריאה ובכישורי שפה","מיקוד בשטף קריאה"),IF($AA1052="ניכרת","מיקוד בכישורי שפה",IF(AND($L1052="תקינה",$Z1052="מפותחת"),"קוראים וכותבים מיומנים","מיקוד בהבנה והבעה"))))))</f>
        <v/>
      </c>
      <c r="AC1052" s="32">
        <f>IF(OR($AB1052="",LEFT($AB1052,1)="—"),"",IF(OR($AB1052="מיקוד בשטף קריאה",$AB1052="מיקוד בשטף הקריאה ובכישורי שפה"),"רמה א'",IF($AB1052="קוראים וכותבים מיומנים","רמה ג'","רמה ב'")))</f>
        <v/>
      </c>
      <c r="AD1052" s="32">
        <f>IF($AC1052="","",MID(IF(AND($AC1052="רמה א'",$AA1052="ניכרת"),"; להוסיף עבודת אוצר מילים","")&amp;IF($Z1052="אינה מפותחת","; דגש על הבעה בכתב","")&amp;IF($K1052&lt;&gt;"תקין","; נדרש לעבוד על ההנגנה","")&amp;IF($AK1052&lt;&gt;"","; "&amp;$AK1052,""),3,400))</f>
        <v/>
      </c>
      <c r="AE1052" s="32">
        <f>IF($F1052="","",IF($F1052="תחילת שנה",1,IF($F1052="מחצית שנה",2,3)))</f>
        <v/>
      </c>
      <c r="AF1052" s="32">
        <f>IF(OR($B1052="",$AC1052="",$A1052="",$F1052=""),"",$B1052&amp;"|"&amp;$A1052&amp;"|"&amp;$F1052&amp;"|"&amp;$AC1052&amp;"|"&amp;COUNTIFS($B$6:$B1052,$B1052,$A$6:$A1052,$A1052,$F$6:$F1052,$F1052,$AC$6:$AC1052,$AC1052))</f>
        <v/>
      </c>
      <c r="AG1052" s="32">
        <f>IF($C1052="","",$C1052&amp;"|"&amp;COUNTIFS($C$6:$C1052,$C1052))</f>
        <v/>
      </c>
      <c r="AH1052" s="32">
        <f>IF(OR($C1052="",$A1052="",$AE1052=""),"",$C1052&amp;"|"&amp;$A1052&amp;"|"&amp;$AE1052)</f>
        <v/>
      </c>
      <c r="AI1052" s="32">
        <f>IF(OR($C1052="",$AE1052="",$AE1052=1),"",IFERROR(INDEX($AC$6:$AC$1505,MATCH($C1052&amp;"|"&amp;$A1052&amp;"|"&amp;($AE1052-1),$AH$6:$AH$1505,0)),""))</f>
        <v/>
      </c>
      <c r="AJ1052" s="32">
        <f>IF(OR($AI1052="",$AC1052=""),"",IF($AI1052=$AC1052,"ללא שינוי","מ-"&amp;$AI1052&amp;" ל-"&amp;$AC1052))</f>
        <v/>
      </c>
      <c r="AK1052" s="67" t="n"/>
    </row>
    <row r="1053">
      <c r="A1053" s="65" t="n"/>
      <c r="B1053" s="65" t="n"/>
      <c r="C1053" s="66" t="n"/>
      <c r="D1053" s="66" t="n"/>
      <c r="E1053" s="65" t="n"/>
      <c r="F1053" s="65" t="n"/>
      <c r="G1053" s="65" t="n"/>
      <c r="H1053" s="65" t="n"/>
      <c r="I1053" s="65" t="n"/>
      <c r="J1053" s="65" t="n"/>
      <c r="K1053" s="65" t="n"/>
      <c r="L1053" s="65" t="n"/>
      <c r="M1053" s="65" t="n"/>
      <c r="N1053" s="65" t="n"/>
      <c r="O1053" s="65" t="n"/>
      <c r="P1053" s="65" t="n"/>
      <c r="Q1053" s="65" t="n"/>
      <c r="R1053" s="65" t="n"/>
      <c r="S1053" s="65" t="n"/>
      <c r="T1053" s="65" t="n"/>
      <c r="U1053" s="65" t="n"/>
      <c r="V1053" s="65" t="n"/>
      <c r="W1053" s="65" t="n"/>
      <c r="X1053" s="65" t="n"/>
      <c r="Y1053" s="32">
        <f>IF($C1053="","",IF(COUNTA($I1053:$K1053)&lt;3,"— חסרים נתונים",IF(AND($I1053="תקין",$J1053="תקין",$K1053="תקין"),"רהוטה",IF(AND($I1053="תקין",$J1053="תקין"),"מדויקת ורציפה","אינה מדויקת או מקוטעת"))))</f>
        <v/>
      </c>
      <c r="Z1053" s="32">
        <f>IF($C1053="","",IF(COUNTA($U1053:$W1053)&lt;3,"",IF(AND($U1053="מפותח",$V1053="מפותח",$W1053="מפותחת"),"מפותחת",IF((--($U1053="דל"))+(--($V1053="אינו מפותח"))+(--($W1053="דלה"))&gt;=2,"אינה מפותחת","חלקית"))))</f>
        <v/>
      </c>
      <c r="AA1053" s="32">
        <f>IF($C1053="","",IF(COUNTA($M1053,$N1053,$O1053)&lt;3,"— חסרים נתונים",IF(OR($M1053="נמוכה",(--($M1053&lt;&gt;"תקינה"))+(--($N1053&lt;&gt;"תקין"))+(--($O1053&lt;&gt;"תקינה"))&gt;=2),"ניכרת","אינה ניכרת")))</f>
        <v/>
      </c>
      <c r="AB1053" s="32">
        <f>IF(OR($C1053="",$Y1053="",$AA1053="",LEFT($Y1053,1)="—",LEFT($AA1053,1)="—"),"",IF($Z1053="","— נדרשת הערכת כתיבה",IF($L1053="","— חסרה הבנת הנקרא",IF($Y1053="אינה מדויקת או מקוטעת",IF($AA1053="ניכרת","מיקוד בשטף הקריאה ובכישורי שפה","מיקוד בשטף קריאה"),IF($AA1053="ניכרת","מיקוד בכישורי שפה",IF(AND($L1053="תקינה",$Z1053="מפותחת"),"קוראים וכותבים מיומנים","מיקוד בהבנה והבעה"))))))</f>
        <v/>
      </c>
      <c r="AC1053" s="32">
        <f>IF(OR($AB1053="",LEFT($AB1053,1)="—"),"",IF(OR($AB1053="מיקוד בשטף קריאה",$AB1053="מיקוד בשטף הקריאה ובכישורי שפה"),"רמה א'",IF($AB1053="קוראים וכותבים מיומנים","רמה ג'","רמה ב'")))</f>
        <v/>
      </c>
      <c r="AD1053" s="32">
        <f>IF($AC1053="","",MID(IF(AND($AC1053="רמה א'",$AA1053="ניכרת"),"; להוסיף עבודת אוצר מילים","")&amp;IF($Z1053="אינה מפותחת","; דגש על הבעה בכתב","")&amp;IF($K1053&lt;&gt;"תקין","; נדרש לעבוד על ההנגנה","")&amp;IF($AK1053&lt;&gt;"","; "&amp;$AK1053,""),3,400))</f>
        <v/>
      </c>
      <c r="AE1053" s="32">
        <f>IF($F1053="","",IF($F1053="תחילת שנה",1,IF($F1053="מחצית שנה",2,3)))</f>
        <v/>
      </c>
      <c r="AF1053" s="32">
        <f>IF(OR($B1053="",$AC1053="",$A1053="",$F1053=""),"",$B1053&amp;"|"&amp;$A1053&amp;"|"&amp;$F1053&amp;"|"&amp;$AC1053&amp;"|"&amp;COUNTIFS($B$6:$B1053,$B1053,$A$6:$A1053,$A1053,$F$6:$F1053,$F1053,$AC$6:$AC1053,$AC1053))</f>
        <v/>
      </c>
      <c r="AG1053" s="32">
        <f>IF($C1053="","",$C1053&amp;"|"&amp;COUNTIFS($C$6:$C1053,$C1053))</f>
        <v/>
      </c>
      <c r="AH1053" s="32">
        <f>IF(OR($C1053="",$A1053="",$AE1053=""),"",$C1053&amp;"|"&amp;$A1053&amp;"|"&amp;$AE1053)</f>
        <v/>
      </c>
      <c r="AI1053" s="32">
        <f>IF(OR($C1053="",$AE1053="",$AE1053=1),"",IFERROR(INDEX($AC$6:$AC$1505,MATCH($C1053&amp;"|"&amp;$A1053&amp;"|"&amp;($AE1053-1),$AH$6:$AH$1505,0)),""))</f>
        <v/>
      </c>
      <c r="AJ1053" s="32">
        <f>IF(OR($AI1053="",$AC1053=""),"",IF($AI1053=$AC1053,"ללא שינוי","מ-"&amp;$AI1053&amp;" ל-"&amp;$AC1053))</f>
        <v/>
      </c>
      <c r="AK1053" s="67" t="n"/>
    </row>
    <row r="1054">
      <c r="A1054" s="65" t="n"/>
      <c r="B1054" s="65" t="n"/>
      <c r="C1054" s="66" t="n"/>
      <c r="D1054" s="66" t="n"/>
      <c r="E1054" s="65" t="n"/>
      <c r="F1054" s="65" t="n"/>
      <c r="G1054" s="65" t="n"/>
      <c r="H1054" s="65" t="n"/>
      <c r="I1054" s="65" t="n"/>
      <c r="J1054" s="65" t="n"/>
      <c r="K1054" s="65" t="n"/>
      <c r="L1054" s="65" t="n"/>
      <c r="M1054" s="65" t="n"/>
      <c r="N1054" s="65" t="n"/>
      <c r="O1054" s="65" t="n"/>
      <c r="P1054" s="65" t="n"/>
      <c r="Q1054" s="65" t="n"/>
      <c r="R1054" s="65" t="n"/>
      <c r="S1054" s="65" t="n"/>
      <c r="T1054" s="65" t="n"/>
      <c r="U1054" s="65" t="n"/>
      <c r="V1054" s="65" t="n"/>
      <c r="W1054" s="65" t="n"/>
      <c r="X1054" s="65" t="n"/>
      <c r="Y1054" s="32">
        <f>IF($C1054="","",IF(COUNTA($I1054:$K1054)&lt;3,"— חסרים נתונים",IF(AND($I1054="תקין",$J1054="תקין",$K1054="תקין"),"רהוטה",IF(AND($I1054="תקין",$J1054="תקין"),"מדויקת ורציפה","אינה מדויקת או מקוטעת"))))</f>
        <v/>
      </c>
      <c r="Z1054" s="32">
        <f>IF($C1054="","",IF(COUNTA($U1054:$W1054)&lt;3,"",IF(AND($U1054="מפותח",$V1054="מפותח",$W1054="מפותחת"),"מפותחת",IF((--($U1054="דל"))+(--($V1054="אינו מפותח"))+(--($W1054="דלה"))&gt;=2,"אינה מפותחת","חלקית"))))</f>
        <v/>
      </c>
      <c r="AA1054" s="32">
        <f>IF($C1054="","",IF(COUNTA($M1054,$N1054,$O1054)&lt;3,"— חסרים נתונים",IF(OR($M1054="נמוכה",(--($M1054&lt;&gt;"תקינה"))+(--($N1054&lt;&gt;"תקין"))+(--($O1054&lt;&gt;"תקינה"))&gt;=2),"ניכרת","אינה ניכרת")))</f>
        <v/>
      </c>
      <c r="AB1054" s="32">
        <f>IF(OR($C1054="",$Y1054="",$AA1054="",LEFT($Y1054,1)="—",LEFT($AA1054,1)="—"),"",IF($Z1054="","— נדרשת הערכת כתיבה",IF($L1054="","— חסרה הבנת הנקרא",IF($Y1054="אינה מדויקת או מקוטעת",IF($AA1054="ניכרת","מיקוד בשטף הקריאה ובכישורי שפה","מיקוד בשטף קריאה"),IF($AA1054="ניכרת","מיקוד בכישורי שפה",IF(AND($L1054="תקינה",$Z1054="מפותחת"),"קוראים וכותבים מיומנים","מיקוד בהבנה והבעה"))))))</f>
        <v/>
      </c>
      <c r="AC1054" s="32">
        <f>IF(OR($AB1054="",LEFT($AB1054,1)="—"),"",IF(OR($AB1054="מיקוד בשטף קריאה",$AB1054="מיקוד בשטף הקריאה ובכישורי שפה"),"רמה א'",IF($AB1054="קוראים וכותבים מיומנים","רמה ג'","רמה ב'")))</f>
        <v/>
      </c>
      <c r="AD1054" s="32">
        <f>IF($AC1054="","",MID(IF(AND($AC1054="רמה א'",$AA1054="ניכרת"),"; להוסיף עבודת אוצר מילים","")&amp;IF($Z1054="אינה מפותחת","; דגש על הבעה בכתב","")&amp;IF($K1054&lt;&gt;"תקין","; נדרש לעבוד על ההנגנה","")&amp;IF($AK1054&lt;&gt;"","; "&amp;$AK1054,""),3,400))</f>
        <v/>
      </c>
      <c r="AE1054" s="32">
        <f>IF($F1054="","",IF($F1054="תחילת שנה",1,IF($F1054="מחצית שנה",2,3)))</f>
        <v/>
      </c>
      <c r="AF1054" s="32">
        <f>IF(OR($B1054="",$AC1054="",$A1054="",$F1054=""),"",$B1054&amp;"|"&amp;$A1054&amp;"|"&amp;$F1054&amp;"|"&amp;$AC1054&amp;"|"&amp;COUNTIFS($B$6:$B1054,$B1054,$A$6:$A1054,$A1054,$F$6:$F1054,$F1054,$AC$6:$AC1054,$AC1054))</f>
        <v/>
      </c>
      <c r="AG1054" s="32">
        <f>IF($C1054="","",$C1054&amp;"|"&amp;COUNTIFS($C$6:$C1054,$C1054))</f>
        <v/>
      </c>
      <c r="AH1054" s="32">
        <f>IF(OR($C1054="",$A1054="",$AE1054=""),"",$C1054&amp;"|"&amp;$A1054&amp;"|"&amp;$AE1054)</f>
        <v/>
      </c>
      <c r="AI1054" s="32">
        <f>IF(OR($C1054="",$AE1054="",$AE1054=1),"",IFERROR(INDEX($AC$6:$AC$1505,MATCH($C1054&amp;"|"&amp;$A1054&amp;"|"&amp;($AE1054-1),$AH$6:$AH$1505,0)),""))</f>
        <v/>
      </c>
      <c r="AJ1054" s="32">
        <f>IF(OR($AI1054="",$AC1054=""),"",IF($AI1054=$AC1054,"ללא שינוי","מ-"&amp;$AI1054&amp;" ל-"&amp;$AC1054))</f>
        <v/>
      </c>
      <c r="AK1054" s="67" t="n"/>
    </row>
    <row r="1055">
      <c r="A1055" s="65" t="n"/>
      <c r="B1055" s="65" t="n"/>
      <c r="C1055" s="66" t="n"/>
      <c r="D1055" s="66" t="n"/>
      <c r="E1055" s="65" t="n"/>
      <c r="F1055" s="65" t="n"/>
      <c r="G1055" s="65" t="n"/>
      <c r="H1055" s="65" t="n"/>
      <c r="I1055" s="65" t="n"/>
      <c r="J1055" s="65" t="n"/>
      <c r="K1055" s="65" t="n"/>
      <c r="L1055" s="65" t="n"/>
      <c r="M1055" s="65" t="n"/>
      <c r="N1055" s="65" t="n"/>
      <c r="O1055" s="65" t="n"/>
      <c r="P1055" s="65" t="n"/>
      <c r="Q1055" s="65" t="n"/>
      <c r="R1055" s="65" t="n"/>
      <c r="S1055" s="65" t="n"/>
      <c r="T1055" s="65" t="n"/>
      <c r="U1055" s="65" t="n"/>
      <c r="V1055" s="65" t="n"/>
      <c r="W1055" s="65" t="n"/>
      <c r="X1055" s="65" t="n"/>
      <c r="Y1055" s="32">
        <f>IF($C1055="","",IF(COUNTA($I1055:$K1055)&lt;3,"— חסרים נתונים",IF(AND($I1055="תקין",$J1055="תקין",$K1055="תקין"),"רהוטה",IF(AND($I1055="תקין",$J1055="תקין"),"מדויקת ורציפה","אינה מדויקת או מקוטעת"))))</f>
        <v/>
      </c>
      <c r="Z1055" s="32">
        <f>IF($C1055="","",IF(COUNTA($U1055:$W1055)&lt;3,"",IF(AND($U1055="מפותח",$V1055="מפותח",$W1055="מפותחת"),"מפותחת",IF((--($U1055="דל"))+(--($V1055="אינו מפותח"))+(--($W1055="דלה"))&gt;=2,"אינה מפותחת","חלקית"))))</f>
        <v/>
      </c>
      <c r="AA1055" s="32">
        <f>IF($C1055="","",IF(COUNTA($M1055,$N1055,$O1055)&lt;3,"— חסרים נתונים",IF(OR($M1055="נמוכה",(--($M1055&lt;&gt;"תקינה"))+(--($N1055&lt;&gt;"תקין"))+(--($O1055&lt;&gt;"תקינה"))&gt;=2),"ניכרת","אינה ניכרת")))</f>
        <v/>
      </c>
      <c r="AB1055" s="32">
        <f>IF(OR($C1055="",$Y1055="",$AA1055="",LEFT($Y1055,1)="—",LEFT($AA1055,1)="—"),"",IF($Z1055="","— נדרשת הערכת כתיבה",IF($L1055="","— חסרה הבנת הנקרא",IF($Y1055="אינה מדויקת או מקוטעת",IF($AA1055="ניכרת","מיקוד בשטף הקריאה ובכישורי שפה","מיקוד בשטף קריאה"),IF($AA1055="ניכרת","מיקוד בכישורי שפה",IF(AND($L1055="תקינה",$Z1055="מפותחת"),"קוראים וכותבים מיומנים","מיקוד בהבנה והבעה"))))))</f>
        <v/>
      </c>
      <c r="AC1055" s="32">
        <f>IF(OR($AB1055="",LEFT($AB1055,1)="—"),"",IF(OR($AB1055="מיקוד בשטף קריאה",$AB1055="מיקוד בשטף הקריאה ובכישורי שפה"),"רמה א'",IF($AB1055="קוראים וכותבים מיומנים","רמה ג'","רמה ב'")))</f>
        <v/>
      </c>
      <c r="AD1055" s="32">
        <f>IF($AC1055="","",MID(IF(AND($AC1055="רמה א'",$AA1055="ניכרת"),"; להוסיף עבודת אוצר מילים","")&amp;IF($Z1055="אינה מפותחת","; דגש על הבעה בכתב","")&amp;IF($K1055&lt;&gt;"תקין","; נדרש לעבוד על ההנגנה","")&amp;IF($AK1055&lt;&gt;"","; "&amp;$AK1055,""),3,400))</f>
        <v/>
      </c>
      <c r="AE1055" s="32">
        <f>IF($F1055="","",IF($F1055="תחילת שנה",1,IF($F1055="מחצית שנה",2,3)))</f>
        <v/>
      </c>
      <c r="AF1055" s="32">
        <f>IF(OR($B1055="",$AC1055="",$A1055="",$F1055=""),"",$B1055&amp;"|"&amp;$A1055&amp;"|"&amp;$F1055&amp;"|"&amp;$AC1055&amp;"|"&amp;COUNTIFS($B$6:$B1055,$B1055,$A$6:$A1055,$A1055,$F$6:$F1055,$F1055,$AC$6:$AC1055,$AC1055))</f>
        <v/>
      </c>
      <c r="AG1055" s="32">
        <f>IF($C1055="","",$C1055&amp;"|"&amp;COUNTIFS($C$6:$C1055,$C1055))</f>
        <v/>
      </c>
      <c r="AH1055" s="32">
        <f>IF(OR($C1055="",$A1055="",$AE1055=""),"",$C1055&amp;"|"&amp;$A1055&amp;"|"&amp;$AE1055)</f>
        <v/>
      </c>
      <c r="AI1055" s="32">
        <f>IF(OR($C1055="",$AE1055="",$AE1055=1),"",IFERROR(INDEX($AC$6:$AC$1505,MATCH($C1055&amp;"|"&amp;$A1055&amp;"|"&amp;($AE1055-1),$AH$6:$AH$1505,0)),""))</f>
        <v/>
      </c>
      <c r="AJ1055" s="32">
        <f>IF(OR($AI1055="",$AC1055=""),"",IF($AI1055=$AC1055,"ללא שינוי","מ-"&amp;$AI1055&amp;" ל-"&amp;$AC1055))</f>
        <v/>
      </c>
      <c r="AK1055" s="67" t="n"/>
    </row>
    <row r="1056">
      <c r="A1056" s="65" t="n"/>
      <c r="B1056" s="65" t="n"/>
      <c r="C1056" s="66" t="n"/>
      <c r="D1056" s="66" t="n"/>
      <c r="E1056" s="65" t="n"/>
      <c r="F1056" s="65" t="n"/>
      <c r="G1056" s="65" t="n"/>
      <c r="H1056" s="65" t="n"/>
      <c r="I1056" s="65" t="n"/>
      <c r="J1056" s="65" t="n"/>
      <c r="K1056" s="65" t="n"/>
      <c r="L1056" s="65" t="n"/>
      <c r="M1056" s="65" t="n"/>
      <c r="N1056" s="65" t="n"/>
      <c r="O1056" s="65" t="n"/>
      <c r="P1056" s="65" t="n"/>
      <c r="Q1056" s="65" t="n"/>
      <c r="R1056" s="65" t="n"/>
      <c r="S1056" s="65" t="n"/>
      <c r="T1056" s="65" t="n"/>
      <c r="U1056" s="65" t="n"/>
      <c r="V1056" s="65" t="n"/>
      <c r="W1056" s="65" t="n"/>
      <c r="X1056" s="65" t="n"/>
      <c r="Y1056" s="32">
        <f>IF($C1056="","",IF(COUNTA($I1056:$K1056)&lt;3,"— חסרים נתונים",IF(AND($I1056="תקין",$J1056="תקין",$K1056="תקין"),"רהוטה",IF(AND($I1056="תקין",$J1056="תקין"),"מדויקת ורציפה","אינה מדויקת או מקוטעת"))))</f>
        <v/>
      </c>
      <c r="Z1056" s="32">
        <f>IF($C1056="","",IF(COUNTA($U1056:$W1056)&lt;3,"",IF(AND($U1056="מפותח",$V1056="מפותח",$W1056="מפותחת"),"מפותחת",IF((--($U1056="דל"))+(--($V1056="אינו מפותח"))+(--($W1056="דלה"))&gt;=2,"אינה מפותחת","חלקית"))))</f>
        <v/>
      </c>
      <c r="AA1056" s="32">
        <f>IF($C1056="","",IF(COUNTA($M1056,$N1056,$O1056)&lt;3,"— חסרים נתונים",IF(OR($M1056="נמוכה",(--($M1056&lt;&gt;"תקינה"))+(--($N1056&lt;&gt;"תקין"))+(--($O1056&lt;&gt;"תקינה"))&gt;=2),"ניכרת","אינה ניכרת")))</f>
        <v/>
      </c>
      <c r="AB1056" s="32">
        <f>IF(OR($C1056="",$Y1056="",$AA1056="",LEFT($Y1056,1)="—",LEFT($AA1056,1)="—"),"",IF($Z1056="","— נדרשת הערכת כתיבה",IF($L1056="","— חסרה הבנת הנקרא",IF($Y1056="אינה מדויקת או מקוטעת",IF($AA1056="ניכרת","מיקוד בשטף הקריאה ובכישורי שפה","מיקוד בשטף קריאה"),IF($AA1056="ניכרת","מיקוד בכישורי שפה",IF(AND($L1056="תקינה",$Z1056="מפותחת"),"קוראים וכותבים מיומנים","מיקוד בהבנה והבעה"))))))</f>
        <v/>
      </c>
      <c r="AC1056" s="32">
        <f>IF(OR($AB1056="",LEFT($AB1056,1)="—"),"",IF(OR($AB1056="מיקוד בשטף קריאה",$AB1056="מיקוד בשטף הקריאה ובכישורי שפה"),"רמה א'",IF($AB1056="קוראים וכותבים מיומנים","רמה ג'","רמה ב'")))</f>
        <v/>
      </c>
      <c r="AD1056" s="32">
        <f>IF($AC1056="","",MID(IF(AND($AC1056="רמה א'",$AA1056="ניכרת"),"; להוסיף עבודת אוצר מילים","")&amp;IF($Z1056="אינה מפותחת","; דגש על הבעה בכתב","")&amp;IF($K1056&lt;&gt;"תקין","; נדרש לעבוד על ההנגנה","")&amp;IF($AK1056&lt;&gt;"","; "&amp;$AK1056,""),3,400))</f>
        <v/>
      </c>
      <c r="AE1056" s="32">
        <f>IF($F1056="","",IF($F1056="תחילת שנה",1,IF($F1056="מחצית שנה",2,3)))</f>
        <v/>
      </c>
      <c r="AF1056" s="32">
        <f>IF(OR($B1056="",$AC1056="",$A1056="",$F1056=""),"",$B1056&amp;"|"&amp;$A1056&amp;"|"&amp;$F1056&amp;"|"&amp;$AC1056&amp;"|"&amp;COUNTIFS($B$6:$B1056,$B1056,$A$6:$A1056,$A1056,$F$6:$F1056,$F1056,$AC$6:$AC1056,$AC1056))</f>
        <v/>
      </c>
      <c r="AG1056" s="32">
        <f>IF($C1056="","",$C1056&amp;"|"&amp;COUNTIFS($C$6:$C1056,$C1056))</f>
        <v/>
      </c>
      <c r="AH1056" s="32">
        <f>IF(OR($C1056="",$A1056="",$AE1056=""),"",$C1056&amp;"|"&amp;$A1056&amp;"|"&amp;$AE1056)</f>
        <v/>
      </c>
      <c r="AI1056" s="32">
        <f>IF(OR($C1056="",$AE1056="",$AE1056=1),"",IFERROR(INDEX($AC$6:$AC$1505,MATCH($C1056&amp;"|"&amp;$A1056&amp;"|"&amp;($AE1056-1),$AH$6:$AH$1505,0)),""))</f>
        <v/>
      </c>
      <c r="AJ1056" s="32">
        <f>IF(OR($AI1056="",$AC1056=""),"",IF($AI1056=$AC1056,"ללא שינוי","מ-"&amp;$AI1056&amp;" ל-"&amp;$AC1056))</f>
        <v/>
      </c>
      <c r="AK1056" s="67" t="n"/>
    </row>
    <row r="1057">
      <c r="A1057" s="65" t="n"/>
      <c r="B1057" s="65" t="n"/>
      <c r="C1057" s="66" t="n"/>
      <c r="D1057" s="66" t="n"/>
      <c r="E1057" s="65" t="n"/>
      <c r="F1057" s="65" t="n"/>
      <c r="G1057" s="65" t="n"/>
      <c r="H1057" s="65" t="n"/>
      <c r="I1057" s="65" t="n"/>
      <c r="J1057" s="65" t="n"/>
      <c r="K1057" s="65" t="n"/>
      <c r="L1057" s="65" t="n"/>
      <c r="M1057" s="65" t="n"/>
      <c r="N1057" s="65" t="n"/>
      <c r="O1057" s="65" t="n"/>
      <c r="P1057" s="65" t="n"/>
      <c r="Q1057" s="65" t="n"/>
      <c r="R1057" s="65" t="n"/>
      <c r="S1057" s="65" t="n"/>
      <c r="T1057" s="65" t="n"/>
      <c r="U1057" s="65" t="n"/>
      <c r="V1057" s="65" t="n"/>
      <c r="W1057" s="65" t="n"/>
      <c r="X1057" s="65" t="n"/>
      <c r="Y1057" s="32">
        <f>IF($C1057="","",IF(COUNTA($I1057:$K1057)&lt;3,"— חסרים נתונים",IF(AND($I1057="תקין",$J1057="תקין",$K1057="תקין"),"רהוטה",IF(AND($I1057="תקין",$J1057="תקין"),"מדויקת ורציפה","אינה מדויקת או מקוטעת"))))</f>
        <v/>
      </c>
      <c r="Z1057" s="32">
        <f>IF($C1057="","",IF(COUNTA($U1057:$W1057)&lt;3,"",IF(AND($U1057="מפותח",$V1057="מפותח",$W1057="מפותחת"),"מפותחת",IF((--($U1057="דל"))+(--($V1057="אינו מפותח"))+(--($W1057="דלה"))&gt;=2,"אינה מפותחת","חלקית"))))</f>
        <v/>
      </c>
      <c r="AA1057" s="32">
        <f>IF($C1057="","",IF(COUNTA($M1057,$N1057,$O1057)&lt;3,"— חסרים נתונים",IF(OR($M1057="נמוכה",(--($M1057&lt;&gt;"תקינה"))+(--($N1057&lt;&gt;"תקין"))+(--($O1057&lt;&gt;"תקינה"))&gt;=2),"ניכרת","אינה ניכרת")))</f>
        <v/>
      </c>
      <c r="AB1057" s="32">
        <f>IF(OR($C1057="",$Y1057="",$AA1057="",LEFT($Y1057,1)="—",LEFT($AA1057,1)="—"),"",IF($Z1057="","— נדרשת הערכת כתיבה",IF($L1057="","— חסרה הבנת הנקרא",IF($Y1057="אינה מדויקת או מקוטעת",IF($AA1057="ניכרת","מיקוד בשטף הקריאה ובכישורי שפה","מיקוד בשטף קריאה"),IF($AA1057="ניכרת","מיקוד בכישורי שפה",IF(AND($L1057="תקינה",$Z1057="מפותחת"),"קוראים וכותבים מיומנים","מיקוד בהבנה והבעה"))))))</f>
        <v/>
      </c>
      <c r="AC1057" s="32">
        <f>IF(OR($AB1057="",LEFT($AB1057,1)="—"),"",IF(OR($AB1057="מיקוד בשטף קריאה",$AB1057="מיקוד בשטף הקריאה ובכישורי שפה"),"רמה א'",IF($AB1057="קוראים וכותבים מיומנים","רמה ג'","רמה ב'")))</f>
        <v/>
      </c>
      <c r="AD1057" s="32">
        <f>IF($AC1057="","",MID(IF(AND($AC1057="רמה א'",$AA1057="ניכרת"),"; להוסיף עבודת אוצר מילים","")&amp;IF($Z1057="אינה מפותחת","; דגש על הבעה בכתב","")&amp;IF($K1057&lt;&gt;"תקין","; נדרש לעבוד על ההנגנה","")&amp;IF($AK1057&lt;&gt;"","; "&amp;$AK1057,""),3,400))</f>
        <v/>
      </c>
      <c r="AE1057" s="32">
        <f>IF($F1057="","",IF($F1057="תחילת שנה",1,IF($F1057="מחצית שנה",2,3)))</f>
        <v/>
      </c>
      <c r="AF1057" s="32">
        <f>IF(OR($B1057="",$AC1057="",$A1057="",$F1057=""),"",$B1057&amp;"|"&amp;$A1057&amp;"|"&amp;$F1057&amp;"|"&amp;$AC1057&amp;"|"&amp;COUNTIFS($B$6:$B1057,$B1057,$A$6:$A1057,$A1057,$F$6:$F1057,$F1057,$AC$6:$AC1057,$AC1057))</f>
        <v/>
      </c>
      <c r="AG1057" s="32">
        <f>IF($C1057="","",$C1057&amp;"|"&amp;COUNTIFS($C$6:$C1057,$C1057))</f>
        <v/>
      </c>
      <c r="AH1057" s="32">
        <f>IF(OR($C1057="",$A1057="",$AE1057=""),"",$C1057&amp;"|"&amp;$A1057&amp;"|"&amp;$AE1057)</f>
        <v/>
      </c>
      <c r="AI1057" s="32">
        <f>IF(OR($C1057="",$AE1057="",$AE1057=1),"",IFERROR(INDEX($AC$6:$AC$1505,MATCH($C1057&amp;"|"&amp;$A1057&amp;"|"&amp;($AE1057-1),$AH$6:$AH$1505,0)),""))</f>
        <v/>
      </c>
      <c r="AJ1057" s="32">
        <f>IF(OR($AI1057="",$AC1057=""),"",IF($AI1057=$AC1057,"ללא שינוי","מ-"&amp;$AI1057&amp;" ל-"&amp;$AC1057))</f>
        <v/>
      </c>
      <c r="AK1057" s="67" t="n"/>
    </row>
    <row r="1058">
      <c r="A1058" s="65" t="n"/>
      <c r="B1058" s="65" t="n"/>
      <c r="C1058" s="66" t="n"/>
      <c r="D1058" s="66" t="n"/>
      <c r="E1058" s="65" t="n"/>
      <c r="F1058" s="65" t="n"/>
      <c r="G1058" s="65" t="n"/>
      <c r="H1058" s="65" t="n"/>
      <c r="I1058" s="65" t="n"/>
      <c r="J1058" s="65" t="n"/>
      <c r="K1058" s="65" t="n"/>
      <c r="L1058" s="65" t="n"/>
      <c r="M1058" s="65" t="n"/>
      <c r="N1058" s="65" t="n"/>
      <c r="O1058" s="65" t="n"/>
      <c r="P1058" s="65" t="n"/>
      <c r="Q1058" s="65" t="n"/>
      <c r="R1058" s="65" t="n"/>
      <c r="S1058" s="65" t="n"/>
      <c r="T1058" s="65" t="n"/>
      <c r="U1058" s="65" t="n"/>
      <c r="V1058" s="65" t="n"/>
      <c r="W1058" s="65" t="n"/>
      <c r="X1058" s="65" t="n"/>
      <c r="Y1058" s="32">
        <f>IF($C1058="","",IF(COUNTA($I1058:$K1058)&lt;3,"— חסרים נתונים",IF(AND($I1058="תקין",$J1058="תקין",$K1058="תקין"),"רהוטה",IF(AND($I1058="תקין",$J1058="תקין"),"מדויקת ורציפה","אינה מדויקת או מקוטעת"))))</f>
        <v/>
      </c>
      <c r="Z1058" s="32">
        <f>IF($C1058="","",IF(COUNTA($U1058:$W1058)&lt;3,"",IF(AND($U1058="מפותח",$V1058="מפותח",$W1058="מפותחת"),"מפותחת",IF((--($U1058="דל"))+(--($V1058="אינו מפותח"))+(--($W1058="דלה"))&gt;=2,"אינה מפותחת","חלקית"))))</f>
        <v/>
      </c>
      <c r="AA1058" s="32">
        <f>IF($C1058="","",IF(COUNTA($M1058,$N1058,$O1058)&lt;3,"— חסרים נתונים",IF(OR($M1058="נמוכה",(--($M1058&lt;&gt;"תקינה"))+(--($N1058&lt;&gt;"תקין"))+(--($O1058&lt;&gt;"תקינה"))&gt;=2),"ניכרת","אינה ניכרת")))</f>
        <v/>
      </c>
      <c r="AB1058" s="32">
        <f>IF(OR($C1058="",$Y1058="",$AA1058="",LEFT($Y1058,1)="—",LEFT($AA1058,1)="—"),"",IF($Z1058="","— נדרשת הערכת כתיבה",IF($L1058="","— חסרה הבנת הנקרא",IF($Y1058="אינה מדויקת או מקוטעת",IF($AA1058="ניכרת","מיקוד בשטף הקריאה ובכישורי שפה","מיקוד בשטף קריאה"),IF($AA1058="ניכרת","מיקוד בכישורי שפה",IF(AND($L1058="תקינה",$Z1058="מפותחת"),"קוראים וכותבים מיומנים","מיקוד בהבנה והבעה"))))))</f>
        <v/>
      </c>
      <c r="AC1058" s="32">
        <f>IF(OR($AB1058="",LEFT($AB1058,1)="—"),"",IF(OR($AB1058="מיקוד בשטף קריאה",$AB1058="מיקוד בשטף הקריאה ובכישורי שפה"),"רמה א'",IF($AB1058="קוראים וכותבים מיומנים","רמה ג'","רמה ב'")))</f>
        <v/>
      </c>
      <c r="AD1058" s="32">
        <f>IF($AC1058="","",MID(IF(AND($AC1058="רמה א'",$AA1058="ניכרת"),"; להוסיף עבודת אוצר מילים","")&amp;IF($Z1058="אינה מפותחת","; דגש על הבעה בכתב","")&amp;IF($K1058&lt;&gt;"תקין","; נדרש לעבוד על ההנגנה","")&amp;IF($AK1058&lt;&gt;"","; "&amp;$AK1058,""),3,400))</f>
        <v/>
      </c>
      <c r="AE1058" s="32">
        <f>IF($F1058="","",IF($F1058="תחילת שנה",1,IF($F1058="מחצית שנה",2,3)))</f>
        <v/>
      </c>
      <c r="AF1058" s="32">
        <f>IF(OR($B1058="",$AC1058="",$A1058="",$F1058=""),"",$B1058&amp;"|"&amp;$A1058&amp;"|"&amp;$F1058&amp;"|"&amp;$AC1058&amp;"|"&amp;COUNTIFS($B$6:$B1058,$B1058,$A$6:$A1058,$A1058,$F$6:$F1058,$F1058,$AC$6:$AC1058,$AC1058))</f>
        <v/>
      </c>
      <c r="AG1058" s="32">
        <f>IF($C1058="","",$C1058&amp;"|"&amp;COUNTIFS($C$6:$C1058,$C1058))</f>
        <v/>
      </c>
      <c r="AH1058" s="32">
        <f>IF(OR($C1058="",$A1058="",$AE1058=""),"",$C1058&amp;"|"&amp;$A1058&amp;"|"&amp;$AE1058)</f>
        <v/>
      </c>
      <c r="AI1058" s="32">
        <f>IF(OR($C1058="",$AE1058="",$AE1058=1),"",IFERROR(INDEX($AC$6:$AC$1505,MATCH($C1058&amp;"|"&amp;$A1058&amp;"|"&amp;($AE1058-1),$AH$6:$AH$1505,0)),""))</f>
        <v/>
      </c>
      <c r="AJ1058" s="32">
        <f>IF(OR($AI1058="",$AC1058=""),"",IF($AI1058=$AC1058,"ללא שינוי","מ-"&amp;$AI1058&amp;" ל-"&amp;$AC1058))</f>
        <v/>
      </c>
      <c r="AK1058" s="67" t="n"/>
    </row>
    <row r="1059">
      <c r="A1059" s="65" t="n"/>
      <c r="B1059" s="65" t="n"/>
      <c r="C1059" s="66" t="n"/>
      <c r="D1059" s="66" t="n"/>
      <c r="E1059" s="65" t="n"/>
      <c r="F1059" s="65" t="n"/>
      <c r="G1059" s="65" t="n"/>
      <c r="H1059" s="65" t="n"/>
      <c r="I1059" s="65" t="n"/>
      <c r="J1059" s="65" t="n"/>
      <c r="K1059" s="65" t="n"/>
      <c r="L1059" s="65" t="n"/>
      <c r="M1059" s="65" t="n"/>
      <c r="N1059" s="65" t="n"/>
      <c r="O1059" s="65" t="n"/>
      <c r="P1059" s="65" t="n"/>
      <c r="Q1059" s="65" t="n"/>
      <c r="R1059" s="65" t="n"/>
      <c r="S1059" s="65" t="n"/>
      <c r="T1059" s="65" t="n"/>
      <c r="U1059" s="65" t="n"/>
      <c r="V1059" s="65" t="n"/>
      <c r="W1059" s="65" t="n"/>
      <c r="X1059" s="65" t="n"/>
      <c r="Y1059" s="32">
        <f>IF($C1059="","",IF(COUNTA($I1059:$K1059)&lt;3,"— חסרים נתונים",IF(AND($I1059="תקין",$J1059="תקין",$K1059="תקין"),"רהוטה",IF(AND($I1059="תקין",$J1059="תקין"),"מדויקת ורציפה","אינה מדויקת או מקוטעת"))))</f>
        <v/>
      </c>
      <c r="Z1059" s="32">
        <f>IF($C1059="","",IF(COUNTA($U1059:$W1059)&lt;3,"",IF(AND($U1059="מפותח",$V1059="מפותח",$W1059="מפותחת"),"מפותחת",IF((--($U1059="דל"))+(--($V1059="אינו מפותח"))+(--($W1059="דלה"))&gt;=2,"אינה מפותחת","חלקית"))))</f>
        <v/>
      </c>
      <c r="AA1059" s="32">
        <f>IF($C1059="","",IF(COUNTA($M1059,$N1059,$O1059)&lt;3,"— חסרים נתונים",IF(OR($M1059="נמוכה",(--($M1059&lt;&gt;"תקינה"))+(--($N1059&lt;&gt;"תקין"))+(--($O1059&lt;&gt;"תקינה"))&gt;=2),"ניכרת","אינה ניכרת")))</f>
        <v/>
      </c>
      <c r="AB1059" s="32">
        <f>IF(OR($C1059="",$Y1059="",$AA1059="",LEFT($Y1059,1)="—",LEFT($AA1059,1)="—"),"",IF($Z1059="","— נדרשת הערכת כתיבה",IF($L1059="","— חסרה הבנת הנקרא",IF($Y1059="אינה מדויקת או מקוטעת",IF($AA1059="ניכרת","מיקוד בשטף הקריאה ובכישורי שפה","מיקוד בשטף קריאה"),IF($AA1059="ניכרת","מיקוד בכישורי שפה",IF(AND($L1059="תקינה",$Z1059="מפותחת"),"קוראים וכותבים מיומנים","מיקוד בהבנה והבעה"))))))</f>
        <v/>
      </c>
      <c r="AC1059" s="32">
        <f>IF(OR($AB1059="",LEFT($AB1059,1)="—"),"",IF(OR($AB1059="מיקוד בשטף קריאה",$AB1059="מיקוד בשטף הקריאה ובכישורי שפה"),"רמה א'",IF($AB1059="קוראים וכותבים מיומנים","רמה ג'","רמה ב'")))</f>
        <v/>
      </c>
      <c r="AD1059" s="32">
        <f>IF($AC1059="","",MID(IF(AND($AC1059="רמה א'",$AA1059="ניכרת"),"; להוסיף עבודת אוצר מילים","")&amp;IF($Z1059="אינה מפותחת","; דגש על הבעה בכתב","")&amp;IF($K1059&lt;&gt;"תקין","; נדרש לעבוד על ההנגנה","")&amp;IF($AK1059&lt;&gt;"","; "&amp;$AK1059,""),3,400))</f>
        <v/>
      </c>
      <c r="AE1059" s="32">
        <f>IF($F1059="","",IF($F1059="תחילת שנה",1,IF($F1059="מחצית שנה",2,3)))</f>
        <v/>
      </c>
      <c r="AF1059" s="32">
        <f>IF(OR($B1059="",$AC1059="",$A1059="",$F1059=""),"",$B1059&amp;"|"&amp;$A1059&amp;"|"&amp;$F1059&amp;"|"&amp;$AC1059&amp;"|"&amp;COUNTIFS($B$6:$B1059,$B1059,$A$6:$A1059,$A1059,$F$6:$F1059,$F1059,$AC$6:$AC1059,$AC1059))</f>
        <v/>
      </c>
      <c r="AG1059" s="32">
        <f>IF($C1059="","",$C1059&amp;"|"&amp;COUNTIFS($C$6:$C1059,$C1059))</f>
        <v/>
      </c>
      <c r="AH1059" s="32">
        <f>IF(OR($C1059="",$A1059="",$AE1059=""),"",$C1059&amp;"|"&amp;$A1059&amp;"|"&amp;$AE1059)</f>
        <v/>
      </c>
      <c r="AI1059" s="32">
        <f>IF(OR($C1059="",$AE1059="",$AE1059=1),"",IFERROR(INDEX($AC$6:$AC$1505,MATCH($C1059&amp;"|"&amp;$A1059&amp;"|"&amp;($AE1059-1),$AH$6:$AH$1505,0)),""))</f>
        <v/>
      </c>
      <c r="AJ1059" s="32">
        <f>IF(OR($AI1059="",$AC1059=""),"",IF($AI1059=$AC1059,"ללא שינוי","מ-"&amp;$AI1059&amp;" ל-"&amp;$AC1059))</f>
        <v/>
      </c>
      <c r="AK1059" s="67" t="n"/>
    </row>
    <row r="1060">
      <c r="A1060" s="65" t="n"/>
      <c r="B1060" s="65" t="n"/>
      <c r="C1060" s="66" t="n"/>
      <c r="D1060" s="66" t="n"/>
      <c r="E1060" s="65" t="n"/>
      <c r="F1060" s="65" t="n"/>
      <c r="G1060" s="65" t="n"/>
      <c r="H1060" s="65" t="n"/>
      <c r="I1060" s="65" t="n"/>
      <c r="J1060" s="65" t="n"/>
      <c r="K1060" s="65" t="n"/>
      <c r="L1060" s="65" t="n"/>
      <c r="M1060" s="65" t="n"/>
      <c r="N1060" s="65" t="n"/>
      <c r="O1060" s="65" t="n"/>
      <c r="P1060" s="65" t="n"/>
      <c r="Q1060" s="65" t="n"/>
      <c r="R1060" s="65" t="n"/>
      <c r="S1060" s="65" t="n"/>
      <c r="T1060" s="65" t="n"/>
      <c r="U1060" s="65" t="n"/>
      <c r="V1060" s="65" t="n"/>
      <c r="W1060" s="65" t="n"/>
      <c r="X1060" s="65" t="n"/>
      <c r="Y1060" s="32">
        <f>IF($C1060="","",IF(COUNTA($I1060:$K1060)&lt;3,"— חסרים נתונים",IF(AND($I1060="תקין",$J1060="תקין",$K1060="תקין"),"רהוטה",IF(AND($I1060="תקין",$J1060="תקין"),"מדויקת ורציפה","אינה מדויקת או מקוטעת"))))</f>
        <v/>
      </c>
      <c r="Z1060" s="32">
        <f>IF($C1060="","",IF(COUNTA($U1060:$W1060)&lt;3,"",IF(AND($U1060="מפותח",$V1060="מפותח",$W1060="מפותחת"),"מפותחת",IF((--($U1060="דל"))+(--($V1060="אינו מפותח"))+(--($W1060="דלה"))&gt;=2,"אינה מפותחת","חלקית"))))</f>
        <v/>
      </c>
      <c r="AA1060" s="32">
        <f>IF($C1060="","",IF(COUNTA($M1060,$N1060,$O1060)&lt;3,"— חסרים נתונים",IF(OR($M1060="נמוכה",(--($M1060&lt;&gt;"תקינה"))+(--($N1060&lt;&gt;"תקין"))+(--($O1060&lt;&gt;"תקינה"))&gt;=2),"ניכרת","אינה ניכרת")))</f>
        <v/>
      </c>
      <c r="AB1060" s="32">
        <f>IF(OR($C1060="",$Y1060="",$AA1060="",LEFT($Y1060,1)="—",LEFT($AA1060,1)="—"),"",IF($Z1060="","— נדרשת הערכת כתיבה",IF($L1060="","— חסרה הבנת הנקרא",IF($Y1060="אינה מדויקת או מקוטעת",IF($AA1060="ניכרת","מיקוד בשטף הקריאה ובכישורי שפה","מיקוד בשטף קריאה"),IF($AA1060="ניכרת","מיקוד בכישורי שפה",IF(AND($L1060="תקינה",$Z1060="מפותחת"),"קוראים וכותבים מיומנים","מיקוד בהבנה והבעה"))))))</f>
        <v/>
      </c>
      <c r="AC1060" s="32">
        <f>IF(OR($AB1060="",LEFT($AB1060,1)="—"),"",IF(OR($AB1060="מיקוד בשטף קריאה",$AB1060="מיקוד בשטף הקריאה ובכישורי שפה"),"רמה א'",IF($AB1060="קוראים וכותבים מיומנים","רמה ג'","רמה ב'")))</f>
        <v/>
      </c>
      <c r="AD1060" s="32">
        <f>IF($AC1060="","",MID(IF(AND($AC1060="רמה א'",$AA1060="ניכרת"),"; להוסיף עבודת אוצר מילים","")&amp;IF($Z1060="אינה מפותחת","; דגש על הבעה בכתב","")&amp;IF($K1060&lt;&gt;"תקין","; נדרש לעבוד על ההנגנה","")&amp;IF($AK1060&lt;&gt;"","; "&amp;$AK1060,""),3,400))</f>
        <v/>
      </c>
      <c r="AE1060" s="32">
        <f>IF($F1060="","",IF($F1060="תחילת שנה",1,IF($F1060="מחצית שנה",2,3)))</f>
        <v/>
      </c>
      <c r="AF1060" s="32">
        <f>IF(OR($B1060="",$AC1060="",$A1060="",$F1060=""),"",$B1060&amp;"|"&amp;$A1060&amp;"|"&amp;$F1060&amp;"|"&amp;$AC1060&amp;"|"&amp;COUNTIFS($B$6:$B1060,$B1060,$A$6:$A1060,$A1060,$F$6:$F1060,$F1060,$AC$6:$AC1060,$AC1060))</f>
        <v/>
      </c>
      <c r="AG1060" s="32">
        <f>IF($C1060="","",$C1060&amp;"|"&amp;COUNTIFS($C$6:$C1060,$C1060))</f>
        <v/>
      </c>
      <c r="AH1060" s="32">
        <f>IF(OR($C1060="",$A1060="",$AE1060=""),"",$C1060&amp;"|"&amp;$A1060&amp;"|"&amp;$AE1060)</f>
        <v/>
      </c>
      <c r="AI1060" s="32">
        <f>IF(OR($C1060="",$AE1060="",$AE1060=1),"",IFERROR(INDEX($AC$6:$AC$1505,MATCH($C1060&amp;"|"&amp;$A1060&amp;"|"&amp;($AE1060-1),$AH$6:$AH$1505,0)),""))</f>
        <v/>
      </c>
      <c r="AJ1060" s="32">
        <f>IF(OR($AI1060="",$AC1060=""),"",IF($AI1060=$AC1060,"ללא שינוי","מ-"&amp;$AI1060&amp;" ל-"&amp;$AC1060))</f>
        <v/>
      </c>
      <c r="AK1060" s="67" t="n"/>
    </row>
    <row r="1061">
      <c r="A1061" s="65" t="n"/>
      <c r="B1061" s="65" t="n"/>
      <c r="C1061" s="66" t="n"/>
      <c r="D1061" s="66" t="n"/>
      <c r="E1061" s="65" t="n"/>
      <c r="F1061" s="65" t="n"/>
      <c r="G1061" s="65" t="n"/>
      <c r="H1061" s="65" t="n"/>
      <c r="I1061" s="65" t="n"/>
      <c r="J1061" s="65" t="n"/>
      <c r="K1061" s="65" t="n"/>
      <c r="L1061" s="65" t="n"/>
      <c r="M1061" s="65" t="n"/>
      <c r="N1061" s="65" t="n"/>
      <c r="O1061" s="65" t="n"/>
      <c r="P1061" s="65" t="n"/>
      <c r="Q1061" s="65" t="n"/>
      <c r="R1061" s="65" t="n"/>
      <c r="S1061" s="65" t="n"/>
      <c r="T1061" s="65" t="n"/>
      <c r="U1061" s="65" t="n"/>
      <c r="V1061" s="65" t="n"/>
      <c r="W1061" s="65" t="n"/>
      <c r="X1061" s="65" t="n"/>
      <c r="Y1061" s="32">
        <f>IF($C1061="","",IF(COUNTA($I1061:$K1061)&lt;3,"— חסרים נתונים",IF(AND($I1061="תקין",$J1061="תקין",$K1061="תקין"),"רהוטה",IF(AND($I1061="תקין",$J1061="תקין"),"מדויקת ורציפה","אינה מדויקת או מקוטעת"))))</f>
        <v/>
      </c>
      <c r="Z1061" s="32">
        <f>IF($C1061="","",IF(COUNTA($U1061:$W1061)&lt;3,"",IF(AND($U1061="מפותח",$V1061="מפותח",$W1061="מפותחת"),"מפותחת",IF((--($U1061="דל"))+(--($V1061="אינו מפותח"))+(--($W1061="דלה"))&gt;=2,"אינה מפותחת","חלקית"))))</f>
        <v/>
      </c>
      <c r="AA1061" s="32">
        <f>IF($C1061="","",IF(COUNTA($M1061,$N1061,$O1061)&lt;3,"— חסרים נתונים",IF(OR($M1061="נמוכה",(--($M1061&lt;&gt;"תקינה"))+(--($N1061&lt;&gt;"תקין"))+(--($O1061&lt;&gt;"תקינה"))&gt;=2),"ניכרת","אינה ניכרת")))</f>
        <v/>
      </c>
      <c r="AB1061" s="32">
        <f>IF(OR($C1061="",$Y1061="",$AA1061="",LEFT($Y1061,1)="—",LEFT($AA1061,1)="—"),"",IF($Z1061="","— נדרשת הערכת כתיבה",IF($L1061="","— חסרה הבנת הנקרא",IF($Y1061="אינה מדויקת או מקוטעת",IF($AA1061="ניכרת","מיקוד בשטף הקריאה ובכישורי שפה","מיקוד בשטף קריאה"),IF($AA1061="ניכרת","מיקוד בכישורי שפה",IF(AND($L1061="תקינה",$Z1061="מפותחת"),"קוראים וכותבים מיומנים","מיקוד בהבנה והבעה"))))))</f>
        <v/>
      </c>
      <c r="AC1061" s="32">
        <f>IF(OR($AB1061="",LEFT($AB1061,1)="—"),"",IF(OR($AB1061="מיקוד בשטף קריאה",$AB1061="מיקוד בשטף הקריאה ובכישורי שפה"),"רמה א'",IF($AB1061="קוראים וכותבים מיומנים","רמה ג'","רמה ב'")))</f>
        <v/>
      </c>
      <c r="AD1061" s="32">
        <f>IF($AC1061="","",MID(IF(AND($AC1061="רמה א'",$AA1061="ניכרת"),"; להוסיף עבודת אוצר מילים","")&amp;IF($Z1061="אינה מפותחת","; דגש על הבעה בכתב","")&amp;IF($K1061&lt;&gt;"תקין","; נדרש לעבוד על ההנגנה","")&amp;IF($AK1061&lt;&gt;"","; "&amp;$AK1061,""),3,400))</f>
        <v/>
      </c>
      <c r="AE1061" s="32">
        <f>IF($F1061="","",IF($F1061="תחילת שנה",1,IF($F1061="מחצית שנה",2,3)))</f>
        <v/>
      </c>
      <c r="AF1061" s="32">
        <f>IF(OR($B1061="",$AC1061="",$A1061="",$F1061=""),"",$B1061&amp;"|"&amp;$A1061&amp;"|"&amp;$F1061&amp;"|"&amp;$AC1061&amp;"|"&amp;COUNTIFS($B$6:$B1061,$B1061,$A$6:$A1061,$A1061,$F$6:$F1061,$F1061,$AC$6:$AC1061,$AC1061))</f>
        <v/>
      </c>
      <c r="AG1061" s="32">
        <f>IF($C1061="","",$C1061&amp;"|"&amp;COUNTIFS($C$6:$C1061,$C1061))</f>
        <v/>
      </c>
      <c r="AH1061" s="32">
        <f>IF(OR($C1061="",$A1061="",$AE1061=""),"",$C1061&amp;"|"&amp;$A1061&amp;"|"&amp;$AE1061)</f>
        <v/>
      </c>
      <c r="AI1061" s="32">
        <f>IF(OR($C1061="",$AE1061="",$AE1061=1),"",IFERROR(INDEX($AC$6:$AC$1505,MATCH($C1061&amp;"|"&amp;$A1061&amp;"|"&amp;($AE1061-1),$AH$6:$AH$1505,0)),""))</f>
        <v/>
      </c>
      <c r="AJ1061" s="32">
        <f>IF(OR($AI1061="",$AC1061=""),"",IF($AI1061=$AC1061,"ללא שינוי","מ-"&amp;$AI1061&amp;" ל-"&amp;$AC1061))</f>
        <v/>
      </c>
      <c r="AK1061" s="67" t="n"/>
    </row>
    <row r="1062">
      <c r="A1062" s="65" t="n"/>
      <c r="B1062" s="65" t="n"/>
      <c r="C1062" s="66" t="n"/>
      <c r="D1062" s="66" t="n"/>
      <c r="E1062" s="65" t="n"/>
      <c r="F1062" s="65" t="n"/>
      <c r="G1062" s="65" t="n"/>
      <c r="H1062" s="65" t="n"/>
      <c r="I1062" s="65" t="n"/>
      <c r="J1062" s="65" t="n"/>
      <c r="K1062" s="65" t="n"/>
      <c r="L1062" s="65" t="n"/>
      <c r="M1062" s="65" t="n"/>
      <c r="N1062" s="65" t="n"/>
      <c r="O1062" s="65" t="n"/>
      <c r="P1062" s="65" t="n"/>
      <c r="Q1062" s="65" t="n"/>
      <c r="R1062" s="65" t="n"/>
      <c r="S1062" s="65" t="n"/>
      <c r="T1062" s="65" t="n"/>
      <c r="U1062" s="65" t="n"/>
      <c r="V1062" s="65" t="n"/>
      <c r="W1062" s="65" t="n"/>
      <c r="X1062" s="65" t="n"/>
      <c r="Y1062" s="32">
        <f>IF($C1062="","",IF(COUNTA($I1062:$K1062)&lt;3,"— חסרים נתונים",IF(AND($I1062="תקין",$J1062="תקין",$K1062="תקין"),"רהוטה",IF(AND($I1062="תקין",$J1062="תקין"),"מדויקת ורציפה","אינה מדויקת או מקוטעת"))))</f>
        <v/>
      </c>
      <c r="Z1062" s="32">
        <f>IF($C1062="","",IF(COUNTA($U1062:$W1062)&lt;3,"",IF(AND($U1062="מפותח",$V1062="מפותח",$W1062="מפותחת"),"מפותחת",IF((--($U1062="דל"))+(--($V1062="אינו מפותח"))+(--($W1062="דלה"))&gt;=2,"אינה מפותחת","חלקית"))))</f>
        <v/>
      </c>
      <c r="AA1062" s="32">
        <f>IF($C1062="","",IF(COUNTA($M1062,$N1062,$O1062)&lt;3,"— חסרים נתונים",IF(OR($M1062="נמוכה",(--($M1062&lt;&gt;"תקינה"))+(--($N1062&lt;&gt;"תקין"))+(--($O1062&lt;&gt;"תקינה"))&gt;=2),"ניכרת","אינה ניכרת")))</f>
        <v/>
      </c>
      <c r="AB1062" s="32">
        <f>IF(OR($C1062="",$Y1062="",$AA1062="",LEFT($Y1062,1)="—",LEFT($AA1062,1)="—"),"",IF($Z1062="","— נדרשת הערכת כתיבה",IF($L1062="","— חסרה הבנת הנקרא",IF($Y1062="אינה מדויקת או מקוטעת",IF($AA1062="ניכרת","מיקוד בשטף הקריאה ובכישורי שפה","מיקוד בשטף קריאה"),IF($AA1062="ניכרת","מיקוד בכישורי שפה",IF(AND($L1062="תקינה",$Z1062="מפותחת"),"קוראים וכותבים מיומנים","מיקוד בהבנה והבעה"))))))</f>
        <v/>
      </c>
      <c r="AC1062" s="32">
        <f>IF(OR($AB1062="",LEFT($AB1062,1)="—"),"",IF(OR($AB1062="מיקוד בשטף קריאה",$AB1062="מיקוד בשטף הקריאה ובכישורי שפה"),"רמה א'",IF($AB1062="קוראים וכותבים מיומנים","רמה ג'","רמה ב'")))</f>
        <v/>
      </c>
      <c r="AD1062" s="32">
        <f>IF($AC1062="","",MID(IF(AND($AC1062="רמה א'",$AA1062="ניכרת"),"; להוסיף עבודת אוצר מילים","")&amp;IF($Z1062="אינה מפותחת","; דגש על הבעה בכתב","")&amp;IF($K1062&lt;&gt;"תקין","; נדרש לעבוד על ההנגנה","")&amp;IF($AK1062&lt;&gt;"","; "&amp;$AK1062,""),3,400))</f>
        <v/>
      </c>
      <c r="AE1062" s="32">
        <f>IF($F1062="","",IF($F1062="תחילת שנה",1,IF($F1062="מחצית שנה",2,3)))</f>
        <v/>
      </c>
      <c r="AF1062" s="32">
        <f>IF(OR($B1062="",$AC1062="",$A1062="",$F1062=""),"",$B1062&amp;"|"&amp;$A1062&amp;"|"&amp;$F1062&amp;"|"&amp;$AC1062&amp;"|"&amp;COUNTIFS($B$6:$B1062,$B1062,$A$6:$A1062,$A1062,$F$6:$F1062,$F1062,$AC$6:$AC1062,$AC1062))</f>
        <v/>
      </c>
      <c r="AG1062" s="32">
        <f>IF($C1062="","",$C1062&amp;"|"&amp;COUNTIFS($C$6:$C1062,$C1062))</f>
        <v/>
      </c>
      <c r="AH1062" s="32">
        <f>IF(OR($C1062="",$A1062="",$AE1062=""),"",$C1062&amp;"|"&amp;$A1062&amp;"|"&amp;$AE1062)</f>
        <v/>
      </c>
      <c r="AI1062" s="32">
        <f>IF(OR($C1062="",$AE1062="",$AE1062=1),"",IFERROR(INDEX($AC$6:$AC$1505,MATCH($C1062&amp;"|"&amp;$A1062&amp;"|"&amp;($AE1062-1),$AH$6:$AH$1505,0)),""))</f>
        <v/>
      </c>
      <c r="AJ1062" s="32">
        <f>IF(OR($AI1062="",$AC1062=""),"",IF($AI1062=$AC1062,"ללא שינוי","מ-"&amp;$AI1062&amp;" ל-"&amp;$AC1062))</f>
        <v/>
      </c>
      <c r="AK1062" s="67" t="n"/>
    </row>
    <row r="1063">
      <c r="A1063" s="65" t="n"/>
      <c r="B1063" s="65" t="n"/>
      <c r="C1063" s="66" t="n"/>
      <c r="D1063" s="66" t="n"/>
      <c r="E1063" s="65" t="n"/>
      <c r="F1063" s="65" t="n"/>
      <c r="G1063" s="65" t="n"/>
      <c r="H1063" s="65" t="n"/>
      <c r="I1063" s="65" t="n"/>
      <c r="J1063" s="65" t="n"/>
      <c r="K1063" s="65" t="n"/>
      <c r="L1063" s="65" t="n"/>
      <c r="M1063" s="65" t="n"/>
      <c r="N1063" s="65" t="n"/>
      <c r="O1063" s="65" t="n"/>
      <c r="P1063" s="65" t="n"/>
      <c r="Q1063" s="65" t="n"/>
      <c r="R1063" s="65" t="n"/>
      <c r="S1063" s="65" t="n"/>
      <c r="T1063" s="65" t="n"/>
      <c r="U1063" s="65" t="n"/>
      <c r="V1063" s="65" t="n"/>
      <c r="W1063" s="65" t="n"/>
      <c r="X1063" s="65" t="n"/>
      <c r="Y1063" s="32">
        <f>IF($C1063="","",IF(COUNTA($I1063:$K1063)&lt;3,"— חסרים נתונים",IF(AND($I1063="תקין",$J1063="תקין",$K1063="תקין"),"רהוטה",IF(AND($I1063="תקין",$J1063="תקין"),"מדויקת ורציפה","אינה מדויקת או מקוטעת"))))</f>
        <v/>
      </c>
      <c r="Z1063" s="32">
        <f>IF($C1063="","",IF(COUNTA($U1063:$W1063)&lt;3,"",IF(AND($U1063="מפותח",$V1063="מפותח",$W1063="מפותחת"),"מפותחת",IF((--($U1063="דל"))+(--($V1063="אינו מפותח"))+(--($W1063="דלה"))&gt;=2,"אינה מפותחת","חלקית"))))</f>
        <v/>
      </c>
      <c r="AA1063" s="32">
        <f>IF($C1063="","",IF(COUNTA($M1063,$N1063,$O1063)&lt;3,"— חסרים נתונים",IF(OR($M1063="נמוכה",(--($M1063&lt;&gt;"תקינה"))+(--($N1063&lt;&gt;"תקין"))+(--($O1063&lt;&gt;"תקינה"))&gt;=2),"ניכרת","אינה ניכרת")))</f>
        <v/>
      </c>
      <c r="AB1063" s="32">
        <f>IF(OR($C1063="",$Y1063="",$AA1063="",LEFT($Y1063,1)="—",LEFT($AA1063,1)="—"),"",IF($Z1063="","— נדרשת הערכת כתיבה",IF($L1063="","— חסרה הבנת הנקרא",IF($Y1063="אינה מדויקת או מקוטעת",IF($AA1063="ניכרת","מיקוד בשטף הקריאה ובכישורי שפה","מיקוד בשטף קריאה"),IF($AA1063="ניכרת","מיקוד בכישורי שפה",IF(AND($L1063="תקינה",$Z1063="מפותחת"),"קוראים וכותבים מיומנים","מיקוד בהבנה והבעה"))))))</f>
        <v/>
      </c>
      <c r="AC1063" s="32">
        <f>IF(OR($AB1063="",LEFT($AB1063,1)="—"),"",IF(OR($AB1063="מיקוד בשטף קריאה",$AB1063="מיקוד בשטף הקריאה ובכישורי שפה"),"רמה א'",IF($AB1063="קוראים וכותבים מיומנים","רמה ג'","רמה ב'")))</f>
        <v/>
      </c>
      <c r="AD1063" s="32">
        <f>IF($AC1063="","",MID(IF(AND($AC1063="רמה א'",$AA1063="ניכרת"),"; להוסיף עבודת אוצר מילים","")&amp;IF($Z1063="אינה מפותחת","; דגש על הבעה בכתב","")&amp;IF($K1063&lt;&gt;"תקין","; נדרש לעבוד על ההנגנה","")&amp;IF($AK1063&lt;&gt;"","; "&amp;$AK1063,""),3,400))</f>
        <v/>
      </c>
      <c r="AE1063" s="32">
        <f>IF($F1063="","",IF($F1063="תחילת שנה",1,IF($F1063="מחצית שנה",2,3)))</f>
        <v/>
      </c>
      <c r="AF1063" s="32">
        <f>IF(OR($B1063="",$AC1063="",$A1063="",$F1063=""),"",$B1063&amp;"|"&amp;$A1063&amp;"|"&amp;$F1063&amp;"|"&amp;$AC1063&amp;"|"&amp;COUNTIFS($B$6:$B1063,$B1063,$A$6:$A1063,$A1063,$F$6:$F1063,$F1063,$AC$6:$AC1063,$AC1063))</f>
        <v/>
      </c>
      <c r="AG1063" s="32">
        <f>IF($C1063="","",$C1063&amp;"|"&amp;COUNTIFS($C$6:$C1063,$C1063))</f>
        <v/>
      </c>
      <c r="AH1063" s="32">
        <f>IF(OR($C1063="",$A1063="",$AE1063=""),"",$C1063&amp;"|"&amp;$A1063&amp;"|"&amp;$AE1063)</f>
        <v/>
      </c>
      <c r="AI1063" s="32">
        <f>IF(OR($C1063="",$AE1063="",$AE1063=1),"",IFERROR(INDEX($AC$6:$AC$1505,MATCH($C1063&amp;"|"&amp;$A1063&amp;"|"&amp;($AE1063-1),$AH$6:$AH$1505,0)),""))</f>
        <v/>
      </c>
      <c r="AJ1063" s="32">
        <f>IF(OR($AI1063="",$AC1063=""),"",IF($AI1063=$AC1063,"ללא שינוי","מ-"&amp;$AI1063&amp;" ל-"&amp;$AC1063))</f>
        <v/>
      </c>
      <c r="AK1063" s="67" t="n"/>
    </row>
    <row r="1064">
      <c r="A1064" s="65" t="n"/>
      <c r="B1064" s="65" t="n"/>
      <c r="C1064" s="66" t="n"/>
      <c r="D1064" s="66" t="n"/>
      <c r="E1064" s="65" t="n"/>
      <c r="F1064" s="65" t="n"/>
      <c r="G1064" s="65" t="n"/>
      <c r="H1064" s="65" t="n"/>
      <c r="I1064" s="65" t="n"/>
      <c r="J1064" s="65" t="n"/>
      <c r="K1064" s="65" t="n"/>
      <c r="L1064" s="65" t="n"/>
      <c r="M1064" s="65" t="n"/>
      <c r="N1064" s="65" t="n"/>
      <c r="O1064" s="65" t="n"/>
      <c r="P1064" s="65" t="n"/>
      <c r="Q1064" s="65" t="n"/>
      <c r="R1064" s="65" t="n"/>
      <c r="S1064" s="65" t="n"/>
      <c r="T1064" s="65" t="n"/>
      <c r="U1064" s="65" t="n"/>
      <c r="V1064" s="65" t="n"/>
      <c r="W1064" s="65" t="n"/>
      <c r="X1064" s="65" t="n"/>
      <c r="Y1064" s="32">
        <f>IF($C1064="","",IF(COUNTA($I1064:$K1064)&lt;3,"— חסרים נתונים",IF(AND($I1064="תקין",$J1064="תקין",$K1064="תקין"),"רהוטה",IF(AND($I1064="תקין",$J1064="תקין"),"מדויקת ורציפה","אינה מדויקת או מקוטעת"))))</f>
        <v/>
      </c>
      <c r="Z1064" s="32">
        <f>IF($C1064="","",IF(COUNTA($U1064:$W1064)&lt;3,"",IF(AND($U1064="מפותח",$V1064="מפותח",$W1064="מפותחת"),"מפותחת",IF((--($U1064="דל"))+(--($V1064="אינו מפותח"))+(--($W1064="דלה"))&gt;=2,"אינה מפותחת","חלקית"))))</f>
        <v/>
      </c>
      <c r="AA1064" s="32">
        <f>IF($C1064="","",IF(COUNTA($M1064,$N1064,$O1064)&lt;3,"— חסרים נתונים",IF(OR($M1064="נמוכה",(--($M1064&lt;&gt;"תקינה"))+(--($N1064&lt;&gt;"תקין"))+(--($O1064&lt;&gt;"תקינה"))&gt;=2),"ניכרת","אינה ניכרת")))</f>
        <v/>
      </c>
      <c r="AB1064" s="32">
        <f>IF(OR($C1064="",$Y1064="",$AA1064="",LEFT($Y1064,1)="—",LEFT($AA1064,1)="—"),"",IF($Z1064="","— נדרשת הערכת כתיבה",IF($L1064="","— חסרה הבנת הנקרא",IF($Y1064="אינה מדויקת או מקוטעת",IF($AA1064="ניכרת","מיקוד בשטף הקריאה ובכישורי שפה","מיקוד בשטף קריאה"),IF($AA1064="ניכרת","מיקוד בכישורי שפה",IF(AND($L1064="תקינה",$Z1064="מפותחת"),"קוראים וכותבים מיומנים","מיקוד בהבנה והבעה"))))))</f>
        <v/>
      </c>
      <c r="AC1064" s="32">
        <f>IF(OR($AB1064="",LEFT($AB1064,1)="—"),"",IF(OR($AB1064="מיקוד בשטף קריאה",$AB1064="מיקוד בשטף הקריאה ובכישורי שפה"),"רמה א'",IF($AB1064="קוראים וכותבים מיומנים","רמה ג'","רמה ב'")))</f>
        <v/>
      </c>
      <c r="AD1064" s="32">
        <f>IF($AC1064="","",MID(IF(AND($AC1064="רמה א'",$AA1064="ניכרת"),"; להוסיף עבודת אוצר מילים","")&amp;IF($Z1064="אינה מפותחת","; דגש על הבעה בכתב","")&amp;IF($K1064&lt;&gt;"תקין","; נדרש לעבוד על ההנגנה","")&amp;IF($AK1064&lt;&gt;"","; "&amp;$AK1064,""),3,400))</f>
        <v/>
      </c>
      <c r="AE1064" s="32">
        <f>IF($F1064="","",IF($F1064="תחילת שנה",1,IF($F1064="מחצית שנה",2,3)))</f>
        <v/>
      </c>
      <c r="AF1064" s="32">
        <f>IF(OR($B1064="",$AC1064="",$A1064="",$F1064=""),"",$B1064&amp;"|"&amp;$A1064&amp;"|"&amp;$F1064&amp;"|"&amp;$AC1064&amp;"|"&amp;COUNTIFS($B$6:$B1064,$B1064,$A$6:$A1064,$A1064,$F$6:$F1064,$F1064,$AC$6:$AC1064,$AC1064))</f>
        <v/>
      </c>
      <c r="AG1064" s="32">
        <f>IF($C1064="","",$C1064&amp;"|"&amp;COUNTIFS($C$6:$C1064,$C1064))</f>
        <v/>
      </c>
      <c r="AH1064" s="32">
        <f>IF(OR($C1064="",$A1064="",$AE1064=""),"",$C1064&amp;"|"&amp;$A1064&amp;"|"&amp;$AE1064)</f>
        <v/>
      </c>
      <c r="AI1064" s="32">
        <f>IF(OR($C1064="",$AE1064="",$AE1064=1),"",IFERROR(INDEX($AC$6:$AC$1505,MATCH($C1064&amp;"|"&amp;$A1064&amp;"|"&amp;($AE1064-1),$AH$6:$AH$1505,0)),""))</f>
        <v/>
      </c>
      <c r="AJ1064" s="32">
        <f>IF(OR($AI1064="",$AC1064=""),"",IF($AI1064=$AC1064,"ללא שינוי","מ-"&amp;$AI1064&amp;" ל-"&amp;$AC1064))</f>
        <v/>
      </c>
      <c r="AK1064" s="67" t="n"/>
    </row>
    <row r="1065">
      <c r="A1065" s="65" t="n"/>
      <c r="B1065" s="65" t="n"/>
      <c r="C1065" s="66" t="n"/>
      <c r="D1065" s="66" t="n"/>
      <c r="E1065" s="65" t="n"/>
      <c r="F1065" s="65" t="n"/>
      <c r="G1065" s="65" t="n"/>
      <c r="H1065" s="65" t="n"/>
      <c r="I1065" s="65" t="n"/>
      <c r="J1065" s="65" t="n"/>
      <c r="K1065" s="65" t="n"/>
      <c r="L1065" s="65" t="n"/>
      <c r="M1065" s="65" t="n"/>
      <c r="N1065" s="65" t="n"/>
      <c r="O1065" s="65" t="n"/>
      <c r="P1065" s="65" t="n"/>
      <c r="Q1065" s="65" t="n"/>
      <c r="R1065" s="65" t="n"/>
      <c r="S1065" s="65" t="n"/>
      <c r="T1065" s="65" t="n"/>
      <c r="U1065" s="65" t="n"/>
      <c r="V1065" s="65" t="n"/>
      <c r="W1065" s="65" t="n"/>
      <c r="X1065" s="65" t="n"/>
      <c r="Y1065" s="32">
        <f>IF($C1065="","",IF(COUNTA($I1065:$K1065)&lt;3,"— חסרים נתונים",IF(AND($I1065="תקין",$J1065="תקין",$K1065="תקין"),"רהוטה",IF(AND($I1065="תקין",$J1065="תקין"),"מדויקת ורציפה","אינה מדויקת או מקוטעת"))))</f>
        <v/>
      </c>
      <c r="Z1065" s="32">
        <f>IF($C1065="","",IF(COUNTA($U1065:$W1065)&lt;3,"",IF(AND($U1065="מפותח",$V1065="מפותח",$W1065="מפותחת"),"מפותחת",IF((--($U1065="דל"))+(--($V1065="אינו מפותח"))+(--($W1065="דלה"))&gt;=2,"אינה מפותחת","חלקית"))))</f>
        <v/>
      </c>
      <c r="AA1065" s="32">
        <f>IF($C1065="","",IF(COUNTA($M1065,$N1065,$O1065)&lt;3,"— חסרים נתונים",IF(OR($M1065="נמוכה",(--($M1065&lt;&gt;"תקינה"))+(--($N1065&lt;&gt;"תקין"))+(--($O1065&lt;&gt;"תקינה"))&gt;=2),"ניכרת","אינה ניכרת")))</f>
        <v/>
      </c>
      <c r="AB1065" s="32">
        <f>IF(OR($C1065="",$Y1065="",$AA1065="",LEFT($Y1065,1)="—",LEFT($AA1065,1)="—"),"",IF($Z1065="","— נדרשת הערכת כתיבה",IF($L1065="","— חסרה הבנת הנקרא",IF($Y1065="אינה מדויקת או מקוטעת",IF($AA1065="ניכרת","מיקוד בשטף הקריאה ובכישורי שפה","מיקוד בשטף קריאה"),IF($AA1065="ניכרת","מיקוד בכישורי שפה",IF(AND($L1065="תקינה",$Z1065="מפותחת"),"קוראים וכותבים מיומנים","מיקוד בהבנה והבעה"))))))</f>
        <v/>
      </c>
      <c r="AC1065" s="32">
        <f>IF(OR($AB1065="",LEFT($AB1065,1)="—"),"",IF(OR($AB1065="מיקוד בשטף קריאה",$AB1065="מיקוד בשטף הקריאה ובכישורי שפה"),"רמה א'",IF($AB1065="קוראים וכותבים מיומנים","רמה ג'","רמה ב'")))</f>
        <v/>
      </c>
      <c r="AD1065" s="32">
        <f>IF($AC1065="","",MID(IF(AND($AC1065="רמה א'",$AA1065="ניכרת"),"; להוסיף עבודת אוצר מילים","")&amp;IF($Z1065="אינה מפותחת","; דגש על הבעה בכתב","")&amp;IF($K1065&lt;&gt;"תקין","; נדרש לעבוד על ההנגנה","")&amp;IF($AK1065&lt;&gt;"","; "&amp;$AK1065,""),3,400))</f>
        <v/>
      </c>
      <c r="AE1065" s="32">
        <f>IF($F1065="","",IF($F1065="תחילת שנה",1,IF($F1065="מחצית שנה",2,3)))</f>
        <v/>
      </c>
      <c r="AF1065" s="32">
        <f>IF(OR($B1065="",$AC1065="",$A1065="",$F1065=""),"",$B1065&amp;"|"&amp;$A1065&amp;"|"&amp;$F1065&amp;"|"&amp;$AC1065&amp;"|"&amp;COUNTIFS($B$6:$B1065,$B1065,$A$6:$A1065,$A1065,$F$6:$F1065,$F1065,$AC$6:$AC1065,$AC1065))</f>
        <v/>
      </c>
      <c r="AG1065" s="32">
        <f>IF($C1065="","",$C1065&amp;"|"&amp;COUNTIFS($C$6:$C1065,$C1065))</f>
        <v/>
      </c>
      <c r="AH1065" s="32">
        <f>IF(OR($C1065="",$A1065="",$AE1065=""),"",$C1065&amp;"|"&amp;$A1065&amp;"|"&amp;$AE1065)</f>
        <v/>
      </c>
      <c r="AI1065" s="32">
        <f>IF(OR($C1065="",$AE1065="",$AE1065=1),"",IFERROR(INDEX($AC$6:$AC$1505,MATCH($C1065&amp;"|"&amp;$A1065&amp;"|"&amp;($AE1065-1),$AH$6:$AH$1505,0)),""))</f>
        <v/>
      </c>
      <c r="AJ1065" s="32">
        <f>IF(OR($AI1065="",$AC1065=""),"",IF($AI1065=$AC1065,"ללא שינוי","מ-"&amp;$AI1065&amp;" ל-"&amp;$AC1065))</f>
        <v/>
      </c>
      <c r="AK1065" s="67" t="n"/>
    </row>
    <row r="1066">
      <c r="A1066" s="65" t="n"/>
      <c r="B1066" s="65" t="n"/>
      <c r="C1066" s="66" t="n"/>
      <c r="D1066" s="66" t="n"/>
      <c r="E1066" s="65" t="n"/>
      <c r="F1066" s="65" t="n"/>
      <c r="G1066" s="65" t="n"/>
      <c r="H1066" s="65" t="n"/>
      <c r="I1066" s="65" t="n"/>
      <c r="J1066" s="65" t="n"/>
      <c r="K1066" s="65" t="n"/>
      <c r="L1066" s="65" t="n"/>
      <c r="M1066" s="65" t="n"/>
      <c r="N1066" s="65" t="n"/>
      <c r="O1066" s="65" t="n"/>
      <c r="P1066" s="65" t="n"/>
      <c r="Q1066" s="65" t="n"/>
      <c r="R1066" s="65" t="n"/>
      <c r="S1066" s="65" t="n"/>
      <c r="T1066" s="65" t="n"/>
      <c r="U1066" s="65" t="n"/>
      <c r="V1066" s="65" t="n"/>
      <c r="W1066" s="65" t="n"/>
      <c r="X1066" s="65" t="n"/>
      <c r="Y1066" s="32">
        <f>IF($C1066="","",IF(COUNTA($I1066:$K1066)&lt;3,"— חסרים נתונים",IF(AND($I1066="תקין",$J1066="תקין",$K1066="תקין"),"רהוטה",IF(AND($I1066="תקין",$J1066="תקין"),"מדויקת ורציפה","אינה מדויקת או מקוטעת"))))</f>
        <v/>
      </c>
      <c r="Z1066" s="32">
        <f>IF($C1066="","",IF(COUNTA($U1066:$W1066)&lt;3,"",IF(AND($U1066="מפותח",$V1066="מפותח",$W1066="מפותחת"),"מפותחת",IF((--($U1066="דל"))+(--($V1066="אינו מפותח"))+(--($W1066="דלה"))&gt;=2,"אינה מפותחת","חלקית"))))</f>
        <v/>
      </c>
      <c r="AA1066" s="32">
        <f>IF($C1066="","",IF(COUNTA($M1066,$N1066,$O1066)&lt;3,"— חסרים נתונים",IF(OR($M1066="נמוכה",(--($M1066&lt;&gt;"תקינה"))+(--($N1066&lt;&gt;"תקין"))+(--($O1066&lt;&gt;"תקינה"))&gt;=2),"ניכרת","אינה ניכרת")))</f>
        <v/>
      </c>
      <c r="AB1066" s="32">
        <f>IF(OR($C1066="",$Y1066="",$AA1066="",LEFT($Y1066,1)="—",LEFT($AA1066,1)="—"),"",IF($Z1066="","— נדרשת הערכת כתיבה",IF($L1066="","— חסרה הבנת הנקרא",IF($Y1066="אינה מדויקת או מקוטעת",IF($AA1066="ניכרת","מיקוד בשטף הקריאה ובכישורי שפה","מיקוד בשטף קריאה"),IF($AA1066="ניכרת","מיקוד בכישורי שפה",IF(AND($L1066="תקינה",$Z1066="מפותחת"),"קוראים וכותבים מיומנים","מיקוד בהבנה והבעה"))))))</f>
        <v/>
      </c>
      <c r="AC1066" s="32">
        <f>IF(OR($AB1066="",LEFT($AB1066,1)="—"),"",IF(OR($AB1066="מיקוד בשטף קריאה",$AB1066="מיקוד בשטף הקריאה ובכישורי שפה"),"רמה א'",IF($AB1066="קוראים וכותבים מיומנים","רמה ג'","רמה ב'")))</f>
        <v/>
      </c>
      <c r="AD1066" s="32">
        <f>IF($AC1066="","",MID(IF(AND($AC1066="רמה א'",$AA1066="ניכרת"),"; להוסיף עבודת אוצר מילים","")&amp;IF($Z1066="אינה מפותחת","; דגש על הבעה בכתב","")&amp;IF($K1066&lt;&gt;"תקין","; נדרש לעבוד על ההנגנה","")&amp;IF($AK1066&lt;&gt;"","; "&amp;$AK1066,""),3,400))</f>
        <v/>
      </c>
      <c r="AE1066" s="32">
        <f>IF($F1066="","",IF($F1066="תחילת שנה",1,IF($F1066="מחצית שנה",2,3)))</f>
        <v/>
      </c>
      <c r="AF1066" s="32">
        <f>IF(OR($B1066="",$AC1066="",$A1066="",$F1066=""),"",$B1066&amp;"|"&amp;$A1066&amp;"|"&amp;$F1066&amp;"|"&amp;$AC1066&amp;"|"&amp;COUNTIFS($B$6:$B1066,$B1066,$A$6:$A1066,$A1066,$F$6:$F1066,$F1066,$AC$6:$AC1066,$AC1066))</f>
        <v/>
      </c>
      <c r="AG1066" s="32">
        <f>IF($C1066="","",$C1066&amp;"|"&amp;COUNTIFS($C$6:$C1066,$C1066))</f>
        <v/>
      </c>
      <c r="AH1066" s="32">
        <f>IF(OR($C1066="",$A1066="",$AE1066=""),"",$C1066&amp;"|"&amp;$A1066&amp;"|"&amp;$AE1066)</f>
        <v/>
      </c>
      <c r="AI1066" s="32">
        <f>IF(OR($C1066="",$AE1066="",$AE1066=1),"",IFERROR(INDEX($AC$6:$AC$1505,MATCH($C1066&amp;"|"&amp;$A1066&amp;"|"&amp;($AE1066-1),$AH$6:$AH$1505,0)),""))</f>
        <v/>
      </c>
      <c r="AJ1066" s="32">
        <f>IF(OR($AI1066="",$AC1066=""),"",IF($AI1066=$AC1066,"ללא שינוי","מ-"&amp;$AI1066&amp;" ל-"&amp;$AC1066))</f>
        <v/>
      </c>
      <c r="AK1066" s="67" t="n"/>
    </row>
    <row r="1067">
      <c r="A1067" s="65" t="n"/>
      <c r="B1067" s="65" t="n"/>
      <c r="C1067" s="66" t="n"/>
      <c r="D1067" s="66" t="n"/>
      <c r="E1067" s="65" t="n"/>
      <c r="F1067" s="65" t="n"/>
      <c r="G1067" s="65" t="n"/>
      <c r="H1067" s="65" t="n"/>
      <c r="I1067" s="65" t="n"/>
      <c r="J1067" s="65" t="n"/>
      <c r="K1067" s="65" t="n"/>
      <c r="L1067" s="65" t="n"/>
      <c r="M1067" s="65" t="n"/>
      <c r="N1067" s="65" t="n"/>
      <c r="O1067" s="65" t="n"/>
      <c r="P1067" s="65" t="n"/>
      <c r="Q1067" s="65" t="n"/>
      <c r="R1067" s="65" t="n"/>
      <c r="S1067" s="65" t="n"/>
      <c r="T1067" s="65" t="n"/>
      <c r="U1067" s="65" t="n"/>
      <c r="V1067" s="65" t="n"/>
      <c r="W1067" s="65" t="n"/>
      <c r="X1067" s="65" t="n"/>
      <c r="Y1067" s="32">
        <f>IF($C1067="","",IF(COUNTA($I1067:$K1067)&lt;3,"— חסרים נתונים",IF(AND($I1067="תקין",$J1067="תקין",$K1067="תקין"),"רהוטה",IF(AND($I1067="תקין",$J1067="תקין"),"מדויקת ורציפה","אינה מדויקת או מקוטעת"))))</f>
        <v/>
      </c>
      <c r="Z1067" s="32">
        <f>IF($C1067="","",IF(COUNTA($U1067:$W1067)&lt;3,"",IF(AND($U1067="מפותח",$V1067="מפותח",$W1067="מפותחת"),"מפותחת",IF((--($U1067="דל"))+(--($V1067="אינו מפותח"))+(--($W1067="דלה"))&gt;=2,"אינה מפותחת","חלקית"))))</f>
        <v/>
      </c>
      <c r="AA1067" s="32">
        <f>IF($C1067="","",IF(COUNTA($M1067,$N1067,$O1067)&lt;3,"— חסרים נתונים",IF(OR($M1067="נמוכה",(--($M1067&lt;&gt;"תקינה"))+(--($N1067&lt;&gt;"תקין"))+(--($O1067&lt;&gt;"תקינה"))&gt;=2),"ניכרת","אינה ניכרת")))</f>
        <v/>
      </c>
      <c r="AB1067" s="32">
        <f>IF(OR($C1067="",$Y1067="",$AA1067="",LEFT($Y1067,1)="—",LEFT($AA1067,1)="—"),"",IF($Z1067="","— נדרשת הערכת כתיבה",IF($L1067="","— חסרה הבנת הנקרא",IF($Y1067="אינה מדויקת או מקוטעת",IF($AA1067="ניכרת","מיקוד בשטף הקריאה ובכישורי שפה","מיקוד בשטף קריאה"),IF($AA1067="ניכרת","מיקוד בכישורי שפה",IF(AND($L1067="תקינה",$Z1067="מפותחת"),"קוראים וכותבים מיומנים","מיקוד בהבנה והבעה"))))))</f>
        <v/>
      </c>
      <c r="AC1067" s="32">
        <f>IF(OR($AB1067="",LEFT($AB1067,1)="—"),"",IF(OR($AB1067="מיקוד בשטף קריאה",$AB1067="מיקוד בשטף הקריאה ובכישורי שפה"),"רמה א'",IF($AB1067="קוראים וכותבים מיומנים","רמה ג'","רמה ב'")))</f>
        <v/>
      </c>
      <c r="AD1067" s="32">
        <f>IF($AC1067="","",MID(IF(AND($AC1067="רמה א'",$AA1067="ניכרת"),"; להוסיף עבודת אוצר מילים","")&amp;IF($Z1067="אינה מפותחת","; דגש על הבעה בכתב","")&amp;IF($K1067&lt;&gt;"תקין","; נדרש לעבוד על ההנגנה","")&amp;IF($AK1067&lt;&gt;"","; "&amp;$AK1067,""),3,400))</f>
        <v/>
      </c>
      <c r="AE1067" s="32">
        <f>IF($F1067="","",IF($F1067="תחילת שנה",1,IF($F1067="מחצית שנה",2,3)))</f>
        <v/>
      </c>
      <c r="AF1067" s="32">
        <f>IF(OR($B1067="",$AC1067="",$A1067="",$F1067=""),"",$B1067&amp;"|"&amp;$A1067&amp;"|"&amp;$F1067&amp;"|"&amp;$AC1067&amp;"|"&amp;COUNTIFS($B$6:$B1067,$B1067,$A$6:$A1067,$A1067,$F$6:$F1067,$F1067,$AC$6:$AC1067,$AC1067))</f>
        <v/>
      </c>
      <c r="AG1067" s="32">
        <f>IF($C1067="","",$C1067&amp;"|"&amp;COUNTIFS($C$6:$C1067,$C1067))</f>
        <v/>
      </c>
      <c r="AH1067" s="32">
        <f>IF(OR($C1067="",$A1067="",$AE1067=""),"",$C1067&amp;"|"&amp;$A1067&amp;"|"&amp;$AE1067)</f>
        <v/>
      </c>
      <c r="AI1067" s="32">
        <f>IF(OR($C1067="",$AE1067="",$AE1067=1),"",IFERROR(INDEX($AC$6:$AC$1505,MATCH($C1067&amp;"|"&amp;$A1067&amp;"|"&amp;($AE1067-1),$AH$6:$AH$1505,0)),""))</f>
        <v/>
      </c>
      <c r="AJ1067" s="32">
        <f>IF(OR($AI1067="",$AC1067=""),"",IF($AI1067=$AC1067,"ללא שינוי","מ-"&amp;$AI1067&amp;" ל-"&amp;$AC1067))</f>
        <v/>
      </c>
      <c r="AK1067" s="67" t="n"/>
    </row>
    <row r="1068">
      <c r="A1068" s="65" t="n"/>
      <c r="B1068" s="65" t="n"/>
      <c r="C1068" s="66" t="n"/>
      <c r="D1068" s="66" t="n"/>
      <c r="E1068" s="65" t="n"/>
      <c r="F1068" s="65" t="n"/>
      <c r="G1068" s="65" t="n"/>
      <c r="H1068" s="65" t="n"/>
      <c r="I1068" s="65" t="n"/>
      <c r="J1068" s="65" t="n"/>
      <c r="K1068" s="65" t="n"/>
      <c r="L1068" s="65" t="n"/>
      <c r="M1068" s="65" t="n"/>
      <c r="N1068" s="65" t="n"/>
      <c r="O1068" s="65" t="n"/>
      <c r="P1068" s="65" t="n"/>
      <c r="Q1068" s="65" t="n"/>
      <c r="R1068" s="65" t="n"/>
      <c r="S1068" s="65" t="n"/>
      <c r="T1068" s="65" t="n"/>
      <c r="U1068" s="65" t="n"/>
      <c r="V1068" s="65" t="n"/>
      <c r="W1068" s="65" t="n"/>
      <c r="X1068" s="65" t="n"/>
      <c r="Y1068" s="32">
        <f>IF($C1068="","",IF(COUNTA($I1068:$K1068)&lt;3,"— חסרים נתונים",IF(AND($I1068="תקין",$J1068="תקין",$K1068="תקין"),"רהוטה",IF(AND($I1068="תקין",$J1068="תקין"),"מדויקת ורציפה","אינה מדויקת או מקוטעת"))))</f>
        <v/>
      </c>
      <c r="Z1068" s="32">
        <f>IF($C1068="","",IF(COUNTA($U1068:$W1068)&lt;3,"",IF(AND($U1068="מפותח",$V1068="מפותח",$W1068="מפותחת"),"מפותחת",IF((--($U1068="דל"))+(--($V1068="אינו מפותח"))+(--($W1068="דלה"))&gt;=2,"אינה מפותחת","חלקית"))))</f>
        <v/>
      </c>
      <c r="AA1068" s="32">
        <f>IF($C1068="","",IF(COUNTA($M1068,$N1068,$O1068)&lt;3,"— חסרים נתונים",IF(OR($M1068="נמוכה",(--($M1068&lt;&gt;"תקינה"))+(--($N1068&lt;&gt;"תקין"))+(--($O1068&lt;&gt;"תקינה"))&gt;=2),"ניכרת","אינה ניכרת")))</f>
        <v/>
      </c>
      <c r="AB1068" s="32">
        <f>IF(OR($C1068="",$Y1068="",$AA1068="",LEFT($Y1068,1)="—",LEFT($AA1068,1)="—"),"",IF($Z1068="","— נדרשת הערכת כתיבה",IF($L1068="","— חסרה הבנת הנקרא",IF($Y1068="אינה מדויקת או מקוטעת",IF($AA1068="ניכרת","מיקוד בשטף הקריאה ובכישורי שפה","מיקוד בשטף קריאה"),IF($AA1068="ניכרת","מיקוד בכישורי שפה",IF(AND($L1068="תקינה",$Z1068="מפותחת"),"קוראים וכותבים מיומנים","מיקוד בהבנה והבעה"))))))</f>
        <v/>
      </c>
      <c r="AC1068" s="32">
        <f>IF(OR($AB1068="",LEFT($AB1068,1)="—"),"",IF(OR($AB1068="מיקוד בשטף קריאה",$AB1068="מיקוד בשטף הקריאה ובכישורי שפה"),"רמה א'",IF($AB1068="קוראים וכותבים מיומנים","רמה ג'","רמה ב'")))</f>
        <v/>
      </c>
      <c r="AD1068" s="32">
        <f>IF($AC1068="","",MID(IF(AND($AC1068="רמה א'",$AA1068="ניכרת"),"; להוסיף עבודת אוצר מילים","")&amp;IF($Z1068="אינה מפותחת","; דגש על הבעה בכתב","")&amp;IF($K1068&lt;&gt;"תקין","; נדרש לעבוד על ההנגנה","")&amp;IF($AK1068&lt;&gt;"","; "&amp;$AK1068,""),3,400))</f>
        <v/>
      </c>
      <c r="AE1068" s="32">
        <f>IF($F1068="","",IF($F1068="תחילת שנה",1,IF($F1068="מחצית שנה",2,3)))</f>
        <v/>
      </c>
      <c r="AF1068" s="32">
        <f>IF(OR($B1068="",$AC1068="",$A1068="",$F1068=""),"",$B1068&amp;"|"&amp;$A1068&amp;"|"&amp;$F1068&amp;"|"&amp;$AC1068&amp;"|"&amp;COUNTIFS($B$6:$B1068,$B1068,$A$6:$A1068,$A1068,$F$6:$F1068,$F1068,$AC$6:$AC1068,$AC1068))</f>
        <v/>
      </c>
      <c r="AG1068" s="32">
        <f>IF($C1068="","",$C1068&amp;"|"&amp;COUNTIFS($C$6:$C1068,$C1068))</f>
        <v/>
      </c>
      <c r="AH1068" s="32">
        <f>IF(OR($C1068="",$A1068="",$AE1068=""),"",$C1068&amp;"|"&amp;$A1068&amp;"|"&amp;$AE1068)</f>
        <v/>
      </c>
      <c r="AI1068" s="32">
        <f>IF(OR($C1068="",$AE1068="",$AE1068=1),"",IFERROR(INDEX($AC$6:$AC$1505,MATCH($C1068&amp;"|"&amp;$A1068&amp;"|"&amp;($AE1068-1),$AH$6:$AH$1505,0)),""))</f>
        <v/>
      </c>
      <c r="AJ1068" s="32">
        <f>IF(OR($AI1068="",$AC1068=""),"",IF($AI1068=$AC1068,"ללא שינוי","מ-"&amp;$AI1068&amp;" ל-"&amp;$AC1068))</f>
        <v/>
      </c>
      <c r="AK1068" s="67" t="n"/>
    </row>
    <row r="1069">
      <c r="A1069" s="65" t="n"/>
      <c r="B1069" s="65" t="n"/>
      <c r="C1069" s="66" t="n"/>
      <c r="D1069" s="66" t="n"/>
      <c r="E1069" s="65" t="n"/>
      <c r="F1069" s="65" t="n"/>
      <c r="G1069" s="65" t="n"/>
      <c r="H1069" s="65" t="n"/>
      <c r="I1069" s="65" t="n"/>
      <c r="J1069" s="65" t="n"/>
      <c r="K1069" s="65" t="n"/>
      <c r="L1069" s="65" t="n"/>
      <c r="M1069" s="65" t="n"/>
      <c r="N1069" s="65" t="n"/>
      <c r="O1069" s="65" t="n"/>
      <c r="P1069" s="65" t="n"/>
      <c r="Q1069" s="65" t="n"/>
      <c r="R1069" s="65" t="n"/>
      <c r="S1069" s="65" t="n"/>
      <c r="T1069" s="65" t="n"/>
      <c r="U1069" s="65" t="n"/>
      <c r="V1069" s="65" t="n"/>
      <c r="W1069" s="65" t="n"/>
      <c r="X1069" s="65" t="n"/>
      <c r="Y1069" s="32">
        <f>IF($C1069="","",IF(COUNTA($I1069:$K1069)&lt;3,"— חסרים נתונים",IF(AND($I1069="תקין",$J1069="תקין",$K1069="תקין"),"רהוטה",IF(AND($I1069="תקין",$J1069="תקין"),"מדויקת ורציפה","אינה מדויקת או מקוטעת"))))</f>
        <v/>
      </c>
      <c r="Z1069" s="32">
        <f>IF($C1069="","",IF(COUNTA($U1069:$W1069)&lt;3,"",IF(AND($U1069="מפותח",$V1069="מפותח",$W1069="מפותחת"),"מפותחת",IF((--($U1069="דל"))+(--($V1069="אינו מפותח"))+(--($W1069="דלה"))&gt;=2,"אינה מפותחת","חלקית"))))</f>
        <v/>
      </c>
      <c r="AA1069" s="32">
        <f>IF($C1069="","",IF(COUNTA($M1069,$N1069,$O1069)&lt;3,"— חסרים נתונים",IF(OR($M1069="נמוכה",(--($M1069&lt;&gt;"תקינה"))+(--($N1069&lt;&gt;"תקין"))+(--($O1069&lt;&gt;"תקינה"))&gt;=2),"ניכרת","אינה ניכרת")))</f>
        <v/>
      </c>
      <c r="AB1069" s="32">
        <f>IF(OR($C1069="",$Y1069="",$AA1069="",LEFT($Y1069,1)="—",LEFT($AA1069,1)="—"),"",IF($Z1069="","— נדרשת הערכת כתיבה",IF($L1069="","— חסרה הבנת הנקרא",IF($Y1069="אינה מדויקת או מקוטעת",IF($AA1069="ניכרת","מיקוד בשטף הקריאה ובכישורי שפה","מיקוד בשטף קריאה"),IF($AA1069="ניכרת","מיקוד בכישורי שפה",IF(AND($L1069="תקינה",$Z1069="מפותחת"),"קוראים וכותבים מיומנים","מיקוד בהבנה והבעה"))))))</f>
        <v/>
      </c>
      <c r="AC1069" s="32">
        <f>IF(OR($AB1069="",LEFT($AB1069,1)="—"),"",IF(OR($AB1069="מיקוד בשטף קריאה",$AB1069="מיקוד בשטף הקריאה ובכישורי שפה"),"רמה א'",IF($AB1069="קוראים וכותבים מיומנים","רמה ג'","רמה ב'")))</f>
        <v/>
      </c>
      <c r="AD1069" s="32">
        <f>IF($AC1069="","",MID(IF(AND($AC1069="רמה א'",$AA1069="ניכרת"),"; להוסיף עבודת אוצר מילים","")&amp;IF($Z1069="אינה מפותחת","; דגש על הבעה בכתב","")&amp;IF($K1069&lt;&gt;"תקין","; נדרש לעבוד על ההנגנה","")&amp;IF($AK1069&lt;&gt;"","; "&amp;$AK1069,""),3,400))</f>
        <v/>
      </c>
      <c r="AE1069" s="32">
        <f>IF($F1069="","",IF($F1069="תחילת שנה",1,IF($F1069="מחצית שנה",2,3)))</f>
        <v/>
      </c>
      <c r="AF1069" s="32">
        <f>IF(OR($B1069="",$AC1069="",$A1069="",$F1069=""),"",$B1069&amp;"|"&amp;$A1069&amp;"|"&amp;$F1069&amp;"|"&amp;$AC1069&amp;"|"&amp;COUNTIFS($B$6:$B1069,$B1069,$A$6:$A1069,$A1069,$F$6:$F1069,$F1069,$AC$6:$AC1069,$AC1069))</f>
        <v/>
      </c>
      <c r="AG1069" s="32">
        <f>IF($C1069="","",$C1069&amp;"|"&amp;COUNTIFS($C$6:$C1069,$C1069))</f>
        <v/>
      </c>
      <c r="AH1069" s="32">
        <f>IF(OR($C1069="",$A1069="",$AE1069=""),"",$C1069&amp;"|"&amp;$A1069&amp;"|"&amp;$AE1069)</f>
        <v/>
      </c>
      <c r="AI1069" s="32">
        <f>IF(OR($C1069="",$AE1069="",$AE1069=1),"",IFERROR(INDEX($AC$6:$AC$1505,MATCH($C1069&amp;"|"&amp;$A1069&amp;"|"&amp;($AE1069-1),$AH$6:$AH$1505,0)),""))</f>
        <v/>
      </c>
      <c r="AJ1069" s="32">
        <f>IF(OR($AI1069="",$AC1069=""),"",IF($AI1069=$AC1069,"ללא שינוי","מ-"&amp;$AI1069&amp;" ל-"&amp;$AC1069))</f>
        <v/>
      </c>
      <c r="AK1069" s="67" t="n"/>
    </row>
    <row r="1070">
      <c r="A1070" s="65" t="n"/>
      <c r="B1070" s="65" t="n"/>
      <c r="C1070" s="66" t="n"/>
      <c r="D1070" s="66" t="n"/>
      <c r="E1070" s="65" t="n"/>
      <c r="F1070" s="65" t="n"/>
      <c r="G1070" s="65" t="n"/>
      <c r="H1070" s="65" t="n"/>
      <c r="I1070" s="65" t="n"/>
      <c r="J1070" s="65" t="n"/>
      <c r="K1070" s="65" t="n"/>
      <c r="L1070" s="65" t="n"/>
      <c r="M1070" s="65" t="n"/>
      <c r="N1070" s="65" t="n"/>
      <c r="O1070" s="65" t="n"/>
      <c r="P1070" s="65" t="n"/>
      <c r="Q1070" s="65" t="n"/>
      <c r="R1070" s="65" t="n"/>
      <c r="S1070" s="65" t="n"/>
      <c r="T1070" s="65" t="n"/>
      <c r="U1070" s="65" t="n"/>
      <c r="V1070" s="65" t="n"/>
      <c r="W1070" s="65" t="n"/>
      <c r="X1070" s="65" t="n"/>
      <c r="Y1070" s="32">
        <f>IF($C1070="","",IF(COUNTA($I1070:$K1070)&lt;3,"— חסרים נתונים",IF(AND($I1070="תקין",$J1070="תקין",$K1070="תקין"),"רהוטה",IF(AND($I1070="תקין",$J1070="תקין"),"מדויקת ורציפה","אינה מדויקת או מקוטעת"))))</f>
        <v/>
      </c>
      <c r="Z1070" s="32">
        <f>IF($C1070="","",IF(COUNTA($U1070:$W1070)&lt;3,"",IF(AND($U1070="מפותח",$V1070="מפותח",$W1070="מפותחת"),"מפותחת",IF((--($U1070="דל"))+(--($V1070="אינו מפותח"))+(--($W1070="דלה"))&gt;=2,"אינה מפותחת","חלקית"))))</f>
        <v/>
      </c>
      <c r="AA1070" s="32">
        <f>IF($C1070="","",IF(COUNTA($M1070,$N1070,$O1070)&lt;3,"— חסרים נתונים",IF(OR($M1070="נמוכה",(--($M1070&lt;&gt;"תקינה"))+(--($N1070&lt;&gt;"תקין"))+(--($O1070&lt;&gt;"תקינה"))&gt;=2),"ניכרת","אינה ניכרת")))</f>
        <v/>
      </c>
      <c r="AB1070" s="32">
        <f>IF(OR($C1070="",$Y1070="",$AA1070="",LEFT($Y1070,1)="—",LEFT($AA1070,1)="—"),"",IF($Z1070="","— נדרשת הערכת כתיבה",IF($L1070="","— חסרה הבנת הנקרא",IF($Y1070="אינה מדויקת או מקוטעת",IF($AA1070="ניכרת","מיקוד בשטף הקריאה ובכישורי שפה","מיקוד בשטף קריאה"),IF($AA1070="ניכרת","מיקוד בכישורי שפה",IF(AND($L1070="תקינה",$Z1070="מפותחת"),"קוראים וכותבים מיומנים","מיקוד בהבנה והבעה"))))))</f>
        <v/>
      </c>
      <c r="AC1070" s="32">
        <f>IF(OR($AB1070="",LEFT($AB1070,1)="—"),"",IF(OR($AB1070="מיקוד בשטף קריאה",$AB1070="מיקוד בשטף הקריאה ובכישורי שפה"),"רמה א'",IF($AB1070="קוראים וכותבים מיומנים","רמה ג'","רמה ב'")))</f>
        <v/>
      </c>
      <c r="AD1070" s="32">
        <f>IF($AC1070="","",MID(IF(AND($AC1070="רמה א'",$AA1070="ניכרת"),"; להוסיף עבודת אוצר מילים","")&amp;IF($Z1070="אינה מפותחת","; דגש על הבעה בכתב","")&amp;IF($K1070&lt;&gt;"תקין","; נדרש לעבוד על ההנגנה","")&amp;IF($AK1070&lt;&gt;"","; "&amp;$AK1070,""),3,400))</f>
        <v/>
      </c>
      <c r="AE1070" s="32">
        <f>IF($F1070="","",IF($F1070="תחילת שנה",1,IF($F1070="מחצית שנה",2,3)))</f>
        <v/>
      </c>
      <c r="AF1070" s="32">
        <f>IF(OR($B1070="",$AC1070="",$A1070="",$F1070=""),"",$B1070&amp;"|"&amp;$A1070&amp;"|"&amp;$F1070&amp;"|"&amp;$AC1070&amp;"|"&amp;COUNTIFS($B$6:$B1070,$B1070,$A$6:$A1070,$A1070,$F$6:$F1070,$F1070,$AC$6:$AC1070,$AC1070))</f>
        <v/>
      </c>
      <c r="AG1070" s="32">
        <f>IF($C1070="","",$C1070&amp;"|"&amp;COUNTIFS($C$6:$C1070,$C1070))</f>
        <v/>
      </c>
      <c r="AH1070" s="32">
        <f>IF(OR($C1070="",$A1070="",$AE1070=""),"",$C1070&amp;"|"&amp;$A1070&amp;"|"&amp;$AE1070)</f>
        <v/>
      </c>
      <c r="AI1070" s="32">
        <f>IF(OR($C1070="",$AE1070="",$AE1070=1),"",IFERROR(INDEX($AC$6:$AC$1505,MATCH($C1070&amp;"|"&amp;$A1070&amp;"|"&amp;($AE1070-1),$AH$6:$AH$1505,0)),""))</f>
        <v/>
      </c>
      <c r="AJ1070" s="32">
        <f>IF(OR($AI1070="",$AC1070=""),"",IF($AI1070=$AC1070,"ללא שינוי","מ-"&amp;$AI1070&amp;" ל-"&amp;$AC1070))</f>
        <v/>
      </c>
      <c r="AK1070" s="67" t="n"/>
    </row>
    <row r="1071">
      <c r="A1071" s="65" t="n"/>
      <c r="B1071" s="65" t="n"/>
      <c r="C1071" s="66" t="n"/>
      <c r="D1071" s="66" t="n"/>
      <c r="E1071" s="65" t="n"/>
      <c r="F1071" s="65" t="n"/>
      <c r="G1071" s="65" t="n"/>
      <c r="H1071" s="65" t="n"/>
      <c r="I1071" s="65" t="n"/>
      <c r="J1071" s="65" t="n"/>
      <c r="K1071" s="65" t="n"/>
      <c r="L1071" s="65" t="n"/>
      <c r="M1071" s="65" t="n"/>
      <c r="N1071" s="65" t="n"/>
      <c r="O1071" s="65" t="n"/>
      <c r="P1071" s="65" t="n"/>
      <c r="Q1071" s="65" t="n"/>
      <c r="R1071" s="65" t="n"/>
      <c r="S1071" s="65" t="n"/>
      <c r="T1071" s="65" t="n"/>
      <c r="U1071" s="65" t="n"/>
      <c r="V1071" s="65" t="n"/>
      <c r="W1071" s="65" t="n"/>
      <c r="X1071" s="65" t="n"/>
      <c r="Y1071" s="32">
        <f>IF($C1071="","",IF(COUNTA($I1071:$K1071)&lt;3,"— חסרים נתונים",IF(AND($I1071="תקין",$J1071="תקין",$K1071="תקין"),"רהוטה",IF(AND($I1071="תקין",$J1071="תקין"),"מדויקת ורציפה","אינה מדויקת או מקוטעת"))))</f>
        <v/>
      </c>
      <c r="Z1071" s="32">
        <f>IF($C1071="","",IF(COUNTA($U1071:$W1071)&lt;3,"",IF(AND($U1071="מפותח",$V1071="מפותח",$W1071="מפותחת"),"מפותחת",IF((--($U1071="דל"))+(--($V1071="אינו מפותח"))+(--($W1071="דלה"))&gt;=2,"אינה מפותחת","חלקית"))))</f>
        <v/>
      </c>
      <c r="AA1071" s="32">
        <f>IF($C1071="","",IF(COUNTA($M1071,$N1071,$O1071)&lt;3,"— חסרים נתונים",IF(OR($M1071="נמוכה",(--($M1071&lt;&gt;"תקינה"))+(--($N1071&lt;&gt;"תקין"))+(--($O1071&lt;&gt;"תקינה"))&gt;=2),"ניכרת","אינה ניכרת")))</f>
        <v/>
      </c>
      <c r="AB1071" s="32">
        <f>IF(OR($C1071="",$Y1071="",$AA1071="",LEFT($Y1071,1)="—",LEFT($AA1071,1)="—"),"",IF($Z1071="","— נדרשת הערכת כתיבה",IF($L1071="","— חסרה הבנת הנקרא",IF($Y1071="אינה מדויקת או מקוטעת",IF($AA1071="ניכרת","מיקוד בשטף הקריאה ובכישורי שפה","מיקוד בשטף קריאה"),IF($AA1071="ניכרת","מיקוד בכישורי שפה",IF(AND($L1071="תקינה",$Z1071="מפותחת"),"קוראים וכותבים מיומנים","מיקוד בהבנה והבעה"))))))</f>
        <v/>
      </c>
      <c r="AC1071" s="32">
        <f>IF(OR($AB1071="",LEFT($AB1071,1)="—"),"",IF(OR($AB1071="מיקוד בשטף קריאה",$AB1071="מיקוד בשטף הקריאה ובכישורי שפה"),"רמה א'",IF($AB1071="קוראים וכותבים מיומנים","רמה ג'","רמה ב'")))</f>
        <v/>
      </c>
      <c r="AD1071" s="32">
        <f>IF($AC1071="","",MID(IF(AND($AC1071="רמה א'",$AA1071="ניכרת"),"; להוסיף עבודת אוצר מילים","")&amp;IF($Z1071="אינה מפותחת","; דגש על הבעה בכתב","")&amp;IF($K1071&lt;&gt;"תקין","; נדרש לעבוד על ההנגנה","")&amp;IF($AK1071&lt;&gt;"","; "&amp;$AK1071,""),3,400))</f>
        <v/>
      </c>
      <c r="AE1071" s="32">
        <f>IF($F1071="","",IF($F1071="תחילת שנה",1,IF($F1071="מחצית שנה",2,3)))</f>
        <v/>
      </c>
      <c r="AF1071" s="32">
        <f>IF(OR($B1071="",$AC1071="",$A1071="",$F1071=""),"",$B1071&amp;"|"&amp;$A1071&amp;"|"&amp;$F1071&amp;"|"&amp;$AC1071&amp;"|"&amp;COUNTIFS($B$6:$B1071,$B1071,$A$6:$A1071,$A1071,$F$6:$F1071,$F1071,$AC$6:$AC1071,$AC1071))</f>
        <v/>
      </c>
      <c r="AG1071" s="32">
        <f>IF($C1071="","",$C1071&amp;"|"&amp;COUNTIFS($C$6:$C1071,$C1071))</f>
        <v/>
      </c>
      <c r="AH1071" s="32">
        <f>IF(OR($C1071="",$A1071="",$AE1071=""),"",$C1071&amp;"|"&amp;$A1071&amp;"|"&amp;$AE1071)</f>
        <v/>
      </c>
      <c r="AI1071" s="32">
        <f>IF(OR($C1071="",$AE1071="",$AE1071=1),"",IFERROR(INDEX($AC$6:$AC$1505,MATCH($C1071&amp;"|"&amp;$A1071&amp;"|"&amp;($AE1071-1),$AH$6:$AH$1505,0)),""))</f>
        <v/>
      </c>
      <c r="AJ1071" s="32">
        <f>IF(OR($AI1071="",$AC1071=""),"",IF($AI1071=$AC1071,"ללא שינוי","מ-"&amp;$AI1071&amp;" ל-"&amp;$AC1071))</f>
        <v/>
      </c>
      <c r="AK1071" s="67" t="n"/>
    </row>
    <row r="1072">
      <c r="A1072" s="65" t="n"/>
      <c r="B1072" s="65" t="n"/>
      <c r="C1072" s="66" t="n"/>
      <c r="D1072" s="66" t="n"/>
      <c r="E1072" s="65" t="n"/>
      <c r="F1072" s="65" t="n"/>
      <c r="G1072" s="65" t="n"/>
      <c r="H1072" s="65" t="n"/>
      <c r="I1072" s="65" t="n"/>
      <c r="J1072" s="65" t="n"/>
      <c r="K1072" s="65" t="n"/>
      <c r="L1072" s="65" t="n"/>
      <c r="M1072" s="65" t="n"/>
      <c r="N1072" s="65" t="n"/>
      <c r="O1072" s="65" t="n"/>
      <c r="P1072" s="65" t="n"/>
      <c r="Q1072" s="65" t="n"/>
      <c r="R1072" s="65" t="n"/>
      <c r="S1072" s="65" t="n"/>
      <c r="T1072" s="65" t="n"/>
      <c r="U1072" s="65" t="n"/>
      <c r="V1072" s="65" t="n"/>
      <c r="W1072" s="65" t="n"/>
      <c r="X1072" s="65" t="n"/>
      <c r="Y1072" s="32">
        <f>IF($C1072="","",IF(COUNTA($I1072:$K1072)&lt;3,"— חסרים נתונים",IF(AND($I1072="תקין",$J1072="תקין",$K1072="תקין"),"רהוטה",IF(AND($I1072="תקין",$J1072="תקין"),"מדויקת ורציפה","אינה מדויקת או מקוטעת"))))</f>
        <v/>
      </c>
      <c r="Z1072" s="32">
        <f>IF($C1072="","",IF(COUNTA($U1072:$W1072)&lt;3,"",IF(AND($U1072="מפותח",$V1072="מפותח",$W1072="מפותחת"),"מפותחת",IF((--($U1072="דל"))+(--($V1072="אינו מפותח"))+(--($W1072="דלה"))&gt;=2,"אינה מפותחת","חלקית"))))</f>
        <v/>
      </c>
      <c r="AA1072" s="32">
        <f>IF($C1072="","",IF(COUNTA($M1072,$N1072,$O1072)&lt;3,"— חסרים נתונים",IF(OR($M1072="נמוכה",(--($M1072&lt;&gt;"תקינה"))+(--($N1072&lt;&gt;"תקין"))+(--($O1072&lt;&gt;"תקינה"))&gt;=2),"ניכרת","אינה ניכרת")))</f>
        <v/>
      </c>
      <c r="AB1072" s="32">
        <f>IF(OR($C1072="",$Y1072="",$AA1072="",LEFT($Y1072,1)="—",LEFT($AA1072,1)="—"),"",IF($Z1072="","— נדרשת הערכת כתיבה",IF($L1072="","— חסרה הבנת הנקרא",IF($Y1072="אינה מדויקת או מקוטעת",IF($AA1072="ניכרת","מיקוד בשטף הקריאה ובכישורי שפה","מיקוד בשטף קריאה"),IF($AA1072="ניכרת","מיקוד בכישורי שפה",IF(AND($L1072="תקינה",$Z1072="מפותחת"),"קוראים וכותבים מיומנים","מיקוד בהבנה והבעה"))))))</f>
        <v/>
      </c>
      <c r="AC1072" s="32">
        <f>IF(OR($AB1072="",LEFT($AB1072,1)="—"),"",IF(OR($AB1072="מיקוד בשטף קריאה",$AB1072="מיקוד בשטף הקריאה ובכישורי שפה"),"רמה א'",IF($AB1072="קוראים וכותבים מיומנים","רמה ג'","רמה ב'")))</f>
        <v/>
      </c>
      <c r="AD1072" s="32">
        <f>IF($AC1072="","",MID(IF(AND($AC1072="רמה א'",$AA1072="ניכרת"),"; להוסיף עבודת אוצר מילים","")&amp;IF($Z1072="אינה מפותחת","; דגש על הבעה בכתב","")&amp;IF($K1072&lt;&gt;"תקין","; נדרש לעבוד על ההנגנה","")&amp;IF($AK1072&lt;&gt;"","; "&amp;$AK1072,""),3,400))</f>
        <v/>
      </c>
      <c r="AE1072" s="32">
        <f>IF($F1072="","",IF($F1072="תחילת שנה",1,IF($F1072="מחצית שנה",2,3)))</f>
        <v/>
      </c>
      <c r="AF1072" s="32">
        <f>IF(OR($B1072="",$AC1072="",$A1072="",$F1072=""),"",$B1072&amp;"|"&amp;$A1072&amp;"|"&amp;$F1072&amp;"|"&amp;$AC1072&amp;"|"&amp;COUNTIFS($B$6:$B1072,$B1072,$A$6:$A1072,$A1072,$F$6:$F1072,$F1072,$AC$6:$AC1072,$AC1072))</f>
        <v/>
      </c>
      <c r="AG1072" s="32">
        <f>IF($C1072="","",$C1072&amp;"|"&amp;COUNTIFS($C$6:$C1072,$C1072))</f>
        <v/>
      </c>
      <c r="AH1072" s="32">
        <f>IF(OR($C1072="",$A1072="",$AE1072=""),"",$C1072&amp;"|"&amp;$A1072&amp;"|"&amp;$AE1072)</f>
        <v/>
      </c>
      <c r="AI1072" s="32">
        <f>IF(OR($C1072="",$AE1072="",$AE1072=1),"",IFERROR(INDEX($AC$6:$AC$1505,MATCH($C1072&amp;"|"&amp;$A1072&amp;"|"&amp;($AE1072-1),$AH$6:$AH$1505,0)),""))</f>
        <v/>
      </c>
      <c r="AJ1072" s="32">
        <f>IF(OR($AI1072="",$AC1072=""),"",IF($AI1072=$AC1072,"ללא שינוי","מ-"&amp;$AI1072&amp;" ל-"&amp;$AC1072))</f>
        <v/>
      </c>
      <c r="AK1072" s="67" t="n"/>
    </row>
    <row r="1073">
      <c r="A1073" s="65" t="n"/>
      <c r="B1073" s="65" t="n"/>
      <c r="C1073" s="66" t="n"/>
      <c r="D1073" s="66" t="n"/>
      <c r="E1073" s="65" t="n"/>
      <c r="F1073" s="65" t="n"/>
      <c r="G1073" s="65" t="n"/>
      <c r="H1073" s="65" t="n"/>
      <c r="I1073" s="65" t="n"/>
      <c r="J1073" s="65" t="n"/>
      <c r="K1073" s="65" t="n"/>
      <c r="L1073" s="65" t="n"/>
      <c r="M1073" s="65" t="n"/>
      <c r="N1073" s="65" t="n"/>
      <c r="O1073" s="65" t="n"/>
      <c r="P1073" s="65" t="n"/>
      <c r="Q1073" s="65" t="n"/>
      <c r="R1073" s="65" t="n"/>
      <c r="S1073" s="65" t="n"/>
      <c r="T1073" s="65" t="n"/>
      <c r="U1073" s="65" t="n"/>
      <c r="V1073" s="65" t="n"/>
      <c r="W1073" s="65" t="n"/>
      <c r="X1073" s="65" t="n"/>
      <c r="Y1073" s="32">
        <f>IF($C1073="","",IF(COUNTA($I1073:$K1073)&lt;3,"— חסרים נתונים",IF(AND($I1073="תקין",$J1073="תקין",$K1073="תקין"),"רהוטה",IF(AND($I1073="תקין",$J1073="תקין"),"מדויקת ורציפה","אינה מדויקת או מקוטעת"))))</f>
        <v/>
      </c>
      <c r="Z1073" s="32">
        <f>IF($C1073="","",IF(COUNTA($U1073:$W1073)&lt;3,"",IF(AND($U1073="מפותח",$V1073="מפותח",$W1073="מפותחת"),"מפותחת",IF((--($U1073="דל"))+(--($V1073="אינו מפותח"))+(--($W1073="דלה"))&gt;=2,"אינה מפותחת","חלקית"))))</f>
        <v/>
      </c>
      <c r="AA1073" s="32">
        <f>IF($C1073="","",IF(COUNTA($M1073,$N1073,$O1073)&lt;3,"— חסרים נתונים",IF(OR($M1073="נמוכה",(--($M1073&lt;&gt;"תקינה"))+(--($N1073&lt;&gt;"תקין"))+(--($O1073&lt;&gt;"תקינה"))&gt;=2),"ניכרת","אינה ניכרת")))</f>
        <v/>
      </c>
      <c r="AB1073" s="32">
        <f>IF(OR($C1073="",$Y1073="",$AA1073="",LEFT($Y1073,1)="—",LEFT($AA1073,1)="—"),"",IF($Z1073="","— נדרשת הערכת כתיבה",IF($L1073="","— חסרה הבנת הנקרא",IF($Y1073="אינה מדויקת או מקוטעת",IF($AA1073="ניכרת","מיקוד בשטף הקריאה ובכישורי שפה","מיקוד בשטף קריאה"),IF($AA1073="ניכרת","מיקוד בכישורי שפה",IF(AND($L1073="תקינה",$Z1073="מפותחת"),"קוראים וכותבים מיומנים","מיקוד בהבנה והבעה"))))))</f>
        <v/>
      </c>
      <c r="AC1073" s="32">
        <f>IF(OR($AB1073="",LEFT($AB1073,1)="—"),"",IF(OR($AB1073="מיקוד בשטף קריאה",$AB1073="מיקוד בשטף הקריאה ובכישורי שפה"),"רמה א'",IF($AB1073="קוראים וכותבים מיומנים","רמה ג'","רמה ב'")))</f>
        <v/>
      </c>
      <c r="AD1073" s="32">
        <f>IF($AC1073="","",MID(IF(AND($AC1073="רמה א'",$AA1073="ניכרת"),"; להוסיף עבודת אוצר מילים","")&amp;IF($Z1073="אינה מפותחת","; דגש על הבעה בכתב","")&amp;IF($K1073&lt;&gt;"תקין","; נדרש לעבוד על ההנגנה","")&amp;IF($AK1073&lt;&gt;"","; "&amp;$AK1073,""),3,400))</f>
        <v/>
      </c>
      <c r="AE1073" s="32">
        <f>IF($F1073="","",IF($F1073="תחילת שנה",1,IF($F1073="מחצית שנה",2,3)))</f>
        <v/>
      </c>
      <c r="AF1073" s="32">
        <f>IF(OR($B1073="",$AC1073="",$A1073="",$F1073=""),"",$B1073&amp;"|"&amp;$A1073&amp;"|"&amp;$F1073&amp;"|"&amp;$AC1073&amp;"|"&amp;COUNTIFS($B$6:$B1073,$B1073,$A$6:$A1073,$A1073,$F$6:$F1073,$F1073,$AC$6:$AC1073,$AC1073))</f>
        <v/>
      </c>
      <c r="AG1073" s="32">
        <f>IF($C1073="","",$C1073&amp;"|"&amp;COUNTIFS($C$6:$C1073,$C1073))</f>
        <v/>
      </c>
      <c r="AH1073" s="32">
        <f>IF(OR($C1073="",$A1073="",$AE1073=""),"",$C1073&amp;"|"&amp;$A1073&amp;"|"&amp;$AE1073)</f>
        <v/>
      </c>
      <c r="AI1073" s="32">
        <f>IF(OR($C1073="",$AE1073="",$AE1073=1),"",IFERROR(INDEX($AC$6:$AC$1505,MATCH($C1073&amp;"|"&amp;$A1073&amp;"|"&amp;($AE1073-1),$AH$6:$AH$1505,0)),""))</f>
        <v/>
      </c>
      <c r="AJ1073" s="32">
        <f>IF(OR($AI1073="",$AC1073=""),"",IF($AI1073=$AC1073,"ללא שינוי","מ-"&amp;$AI1073&amp;" ל-"&amp;$AC1073))</f>
        <v/>
      </c>
      <c r="AK1073" s="67" t="n"/>
    </row>
    <row r="1074">
      <c r="A1074" s="65" t="n"/>
      <c r="B1074" s="65" t="n"/>
      <c r="C1074" s="66" t="n"/>
      <c r="D1074" s="66" t="n"/>
      <c r="E1074" s="65" t="n"/>
      <c r="F1074" s="65" t="n"/>
      <c r="G1074" s="65" t="n"/>
      <c r="H1074" s="65" t="n"/>
      <c r="I1074" s="65" t="n"/>
      <c r="J1074" s="65" t="n"/>
      <c r="K1074" s="65" t="n"/>
      <c r="L1074" s="65" t="n"/>
      <c r="M1074" s="65" t="n"/>
      <c r="N1074" s="65" t="n"/>
      <c r="O1074" s="65" t="n"/>
      <c r="P1074" s="65" t="n"/>
      <c r="Q1074" s="65" t="n"/>
      <c r="R1074" s="65" t="n"/>
      <c r="S1074" s="65" t="n"/>
      <c r="T1074" s="65" t="n"/>
      <c r="U1074" s="65" t="n"/>
      <c r="V1074" s="65" t="n"/>
      <c r="W1074" s="65" t="n"/>
      <c r="X1074" s="65" t="n"/>
      <c r="Y1074" s="32">
        <f>IF($C1074="","",IF(COUNTA($I1074:$K1074)&lt;3,"— חסרים נתונים",IF(AND($I1074="תקין",$J1074="תקין",$K1074="תקין"),"רהוטה",IF(AND($I1074="תקין",$J1074="תקין"),"מדויקת ורציפה","אינה מדויקת או מקוטעת"))))</f>
        <v/>
      </c>
      <c r="Z1074" s="32">
        <f>IF($C1074="","",IF(COUNTA($U1074:$W1074)&lt;3,"",IF(AND($U1074="מפותח",$V1074="מפותח",$W1074="מפותחת"),"מפותחת",IF((--($U1074="דל"))+(--($V1074="אינו מפותח"))+(--($W1074="דלה"))&gt;=2,"אינה מפותחת","חלקית"))))</f>
        <v/>
      </c>
      <c r="AA1074" s="32">
        <f>IF($C1074="","",IF(COUNTA($M1074,$N1074,$O1074)&lt;3,"— חסרים נתונים",IF(OR($M1074="נמוכה",(--($M1074&lt;&gt;"תקינה"))+(--($N1074&lt;&gt;"תקין"))+(--($O1074&lt;&gt;"תקינה"))&gt;=2),"ניכרת","אינה ניכרת")))</f>
        <v/>
      </c>
      <c r="AB1074" s="32">
        <f>IF(OR($C1074="",$Y1074="",$AA1074="",LEFT($Y1074,1)="—",LEFT($AA1074,1)="—"),"",IF($Z1074="","— נדרשת הערכת כתיבה",IF($L1074="","— חסרה הבנת הנקרא",IF($Y1074="אינה מדויקת או מקוטעת",IF($AA1074="ניכרת","מיקוד בשטף הקריאה ובכישורי שפה","מיקוד בשטף קריאה"),IF($AA1074="ניכרת","מיקוד בכישורי שפה",IF(AND($L1074="תקינה",$Z1074="מפותחת"),"קוראים וכותבים מיומנים","מיקוד בהבנה והבעה"))))))</f>
        <v/>
      </c>
      <c r="AC1074" s="32">
        <f>IF(OR($AB1074="",LEFT($AB1074,1)="—"),"",IF(OR($AB1074="מיקוד בשטף קריאה",$AB1074="מיקוד בשטף הקריאה ובכישורי שפה"),"רמה א'",IF($AB1074="קוראים וכותבים מיומנים","רמה ג'","רמה ב'")))</f>
        <v/>
      </c>
      <c r="AD1074" s="32">
        <f>IF($AC1074="","",MID(IF(AND($AC1074="רמה א'",$AA1074="ניכרת"),"; להוסיף עבודת אוצר מילים","")&amp;IF($Z1074="אינה מפותחת","; דגש על הבעה בכתב","")&amp;IF($K1074&lt;&gt;"תקין","; נדרש לעבוד על ההנגנה","")&amp;IF($AK1074&lt;&gt;"","; "&amp;$AK1074,""),3,400))</f>
        <v/>
      </c>
      <c r="AE1074" s="32">
        <f>IF($F1074="","",IF($F1074="תחילת שנה",1,IF($F1074="מחצית שנה",2,3)))</f>
        <v/>
      </c>
      <c r="AF1074" s="32">
        <f>IF(OR($B1074="",$AC1074="",$A1074="",$F1074=""),"",$B1074&amp;"|"&amp;$A1074&amp;"|"&amp;$F1074&amp;"|"&amp;$AC1074&amp;"|"&amp;COUNTIFS($B$6:$B1074,$B1074,$A$6:$A1074,$A1074,$F$6:$F1074,$F1074,$AC$6:$AC1074,$AC1074))</f>
        <v/>
      </c>
      <c r="AG1074" s="32">
        <f>IF($C1074="","",$C1074&amp;"|"&amp;COUNTIFS($C$6:$C1074,$C1074))</f>
        <v/>
      </c>
      <c r="AH1074" s="32">
        <f>IF(OR($C1074="",$A1074="",$AE1074=""),"",$C1074&amp;"|"&amp;$A1074&amp;"|"&amp;$AE1074)</f>
        <v/>
      </c>
      <c r="AI1074" s="32">
        <f>IF(OR($C1074="",$AE1074="",$AE1074=1),"",IFERROR(INDEX($AC$6:$AC$1505,MATCH($C1074&amp;"|"&amp;$A1074&amp;"|"&amp;($AE1074-1),$AH$6:$AH$1505,0)),""))</f>
        <v/>
      </c>
      <c r="AJ1074" s="32">
        <f>IF(OR($AI1074="",$AC1074=""),"",IF($AI1074=$AC1074,"ללא שינוי","מ-"&amp;$AI1074&amp;" ל-"&amp;$AC1074))</f>
        <v/>
      </c>
      <c r="AK1074" s="67" t="n"/>
    </row>
    <row r="1075">
      <c r="A1075" s="65" t="n"/>
      <c r="B1075" s="65" t="n"/>
      <c r="C1075" s="66" t="n"/>
      <c r="D1075" s="66" t="n"/>
      <c r="E1075" s="65" t="n"/>
      <c r="F1075" s="65" t="n"/>
      <c r="G1075" s="65" t="n"/>
      <c r="H1075" s="65" t="n"/>
      <c r="I1075" s="65" t="n"/>
      <c r="J1075" s="65" t="n"/>
      <c r="K1075" s="65" t="n"/>
      <c r="L1075" s="65" t="n"/>
      <c r="M1075" s="65" t="n"/>
      <c r="N1075" s="65" t="n"/>
      <c r="O1075" s="65" t="n"/>
      <c r="P1075" s="65" t="n"/>
      <c r="Q1075" s="65" t="n"/>
      <c r="R1075" s="65" t="n"/>
      <c r="S1075" s="65" t="n"/>
      <c r="T1075" s="65" t="n"/>
      <c r="U1075" s="65" t="n"/>
      <c r="V1075" s="65" t="n"/>
      <c r="W1075" s="65" t="n"/>
      <c r="X1075" s="65" t="n"/>
      <c r="Y1075" s="32">
        <f>IF($C1075="","",IF(COUNTA($I1075:$K1075)&lt;3,"— חסרים נתונים",IF(AND($I1075="תקין",$J1075="תקין",$K1075="תקין"),"רהוטה",IF(AND($I1075="תקין",$J1075="תקין"),"מדויקת ורציפה","אינה מדויקת או מקוטעת"))))</f>
        <v/>
      </c>
      <c r="Z1075" s="32">
        <f>IF($C1075="","",IF(COUNTA($U1075:$W1075)&lt;3,"",IF(AND($U1075="מפותח",$V1075="מפותח",$W1075="מפותחת"),"מפותחת",IF((--($U1075="דל"))+(--($V1075="אינו מפותח"))+(--($W1075="דלה"))&gt;=2,"אינה מפותחת","חלקית"))))</f>
        <v/>
      </c>
      <c r="AA1075" s="32">
        <f>IF($C1075="","",IF(COUNTA($M1075,$N1075,$O1075)&lt;3,"— חסרים נתונים",IF(OR($M1075="נמוכה",(--($M1075&lt;&gt;"תקינה"))+(--($N1075&lt;&gt;"תקין"))+(--($O1075&lt;&gt;"תקינה"))&gt;=2),"ניכרת","אינה ניכרת")))</f>
        <v/>
      </c>
      <c r="AB1075" s="32">
        <f>IF(OR($C1075="",$Y1075="",$AA1075="",LEFT($Y1075,1)="—",LEFT($AA1075,1)="—"),"",IF($Z1075="","— נדרשת הערכת כתיבה",IF($L1075="","— חסרה הבנת הנקרא",IF($Y1075="אינה מדויקת או מקוטעת",IF($AA1075="ניכרת","מיקוד בשטף הקריאה ובכישורי שפה","מיקוד בשטף קריאה"),IF($AA1075="ניכרת","מיקוד בכישורי שפה",IF(AND($L1075="תקינה",$Z1075="מפותחת"),"קוראים וכותבים מיומנים","מיקוד בהבנה והבעה"))))))</f>
        <v/>
      </c>
      <c r="AC1075" s="32">
        <f>IF(OR($AB1075="",LEFT($AB1075,1)="—"),"",IF(OR($AB1075="מיקוד בשטף קריאה",$AB1075="מיקוד בשטף הקריאה ובכישורי שפה"),"רמה א'",IF($AB1075="קוראים וכותבים מיומנים","רמה ג'","רמה ב'")))</f>
        <v/>
      </c>
      <c r="AD1075" s="32">
        <f>IF($AC1075="","",MID(IF(AND($AC1075="רמה א'",$AA1075="ניכרת"),"; להוסיף עבודת אוצר מילים","")&amp;IF($Z1075="אינה מפותחת","; דגש על הבעה בכתב","")&amp;IF($K1075&lt;&gt;"תקין","; נדרש לעבוד על ההנגנה","")&amp;IF($AK1075&lt;&gt;"","; "&amp;$AK1075,""),3,400))</f>
        <v/>
      </c>
      <c r="AE1075" s="32">
        <f>IF($F1075="","",IF($F1075="תחילת שנה",1,IF($F1075="מחצית שנה",2,3)))</f>
        <v/>
      </c>
      <c r="AF1075" s="32">
        <f>IF(OR($B1075="",$AC1075="",$A1075="",$F1075=""),"",$B1075&amp;"|"&amp;$A1075&amp;"|"&amp;$F1075&amp;"|"&amp;$AC1075&amp;"|"&amp;COUNTIFS($B$6:$B1075,$B1075,$A$6:$A1075,$A1075,$F$6:$F1075,$F1075,$AC$6:$AC1075,$AC1075))</f>
        <v/>
      </c>
      <c r="AG1075" s="32">
        <f>IF($C1075="","",$C1075&amp;"|"&amp;COUNTIFS($C$6:$C1075,$C1075))</f>
        <v/>
      </c>
      <c r="AH1075" s="32">
        <f>IF(OR($C1075="",$A1075="",$AE1075=""),"",$C1075&amp;"|"&amp;$A1075&amp;"|"&amp;$AE1075)</f>
        <v/>
      </c>
      <c r="AI1075" s="32">
        <f>IF(OR($C1075="",$AE1075="",$AE1075=1),"",IFERROR(INDEX($AC$6:$AC$1505,MATCH($C1075&amp;"|"&amp;$A1075&amp;"|"&amp;($AE1075-1),$AH$6:$AH$1505,0)),""))</f>
        <v/>
      </c>
      <c r="AJ1075" s="32">
        <f>IF(OR($AI1075="",$AC1075=""),"",IF($AI1075=$AC1075,"ללא שינוי","מ-"&amp;$AI1075&amp;" ל-"&amp;$AC1075))</f>
        <v/>
      </c>
      <c r="AK1075" s="67" t="n"/>
    </row>
    <row r="1076">
      <c r="A1076" s="65" t="n"/>
      <c r="B1076" s="65" t="n"/>
      <c r="C1076" s="66" t="n"/>
      <c r="D1076" s="66" t="n"/>
      <c r="E1076" s="65" t="n"/>
      <c r="F1076" s="65" t="n"/>
      <c r="G1076" s="65" t="n"/>
      <c r="H1076" s="65" t="n"/>
      <c r="I1076" s="65" t="n"/>
      <c r="J1076" s="65" t="n"/>
      <c r="K1076" s="65" t="n"/>
      <c r="L1076" s="65" t="n"/>
      <c r="M1076" s="65" t="n"/>
      <c r="N1076" s="65" t="n"/>
      <c r="O1076" s="65" t="n"/>
      <c r="P1076" s="65" t="n"/>
      <c r="Q1076" s="65" t="n"/>
      <c r="R1076" s="65" t="n"/>
      <c r="S1076" s="65" t="n"/>
      <c r="T1076" s="65" t="n"/>
      <c r="U1076" s="65" t="n"/>
      <c r="V1076" s="65" t="n"/>
      <c r="W1076" s="65" t="n"/>
      <c r="X1076" s="65" t="n"/>
      <c r="Y1076" s="32">
        <f>IF($C1076="","",IF(COUNTA($I1076:$K1076)&lt;3,"— חסרים נתונים",IF(AND($I1076="תקין",$J1076="תקין",$K1076="תקין"),"רהוטה",IF(AND($I1076="תקין",$J1076="תקין"),"מדויקת ורציפה","אינה מדויקת או מקוטעת"))))</f>
        <v/>
      </c>
      <c r="Z1076" s="32">
        <f>IF($C1076="","",IF(COUNTA($U1076:$W1076)&lt;3,"",IF(AND($U1076="מפותח",$V1076="מפותח",$W1076="מפותחת"),"מפותחת",IF((--($U1076="דל"))+(--($V1076="אינו מפותח"))+(--($W1076="דלה"))&gt;=2,"אינה מפותחת","חלקית"))))</f>
        <v/>
      </c>
      <c r="AA1076" s="32">
        <f>IF($C1076="","",IF(COUNTA($M1076,$N1076,$O1076)&lt;3,"— חסרים נתונים",IF(OR($M1076="נמוכה",(--($M1076&lt;&gt;"תקינה"))+(--($N1076&lt;&gt;"תקין"))+(--($O1076&lt;&gt;"תקינה"))&gt;=2),"ניכרת","אינה ניכרת")))</f>
        <v/>
      </c>
      <c r="AB1076" s="32">
        <f>IF(OR($C1076="",$Y1076="",$AA1076="",LEFT($Y1076,1)="—",LEFT($AA1076,1)="—"),"",IF($Z1076="","— נדרשת הערכת כתיבה",IF($L1076="","— חסרה הבנת הנקרא",IF($Y1076="אינה מדויקת או מקוטעת",IF($AA1076="ניכרת","מיקוד בשטף הקריאה ובכישורי שפה","מיקוד בשטף קריאה"),IF($AA1076="ניכרת","מיקוד בכישורי שפה",IF(AND($L1076="תקינה",$Z1076="מפותחת"),"קוראים וכותבים מיומנים","מיקוד בהבנה והבעה"))))))</f>
        <v/>
      </c>
      <c r="AC1076" s="32">
        <f>IF(OR($AB1076="",LEFT($AB1076,1)="—"),"",IF(OR($AB1076="מיקוד בשטף קריאה",$AB1076="מיקוד בשטף הקריאה ובכישורי שפה"),"רמה א'",IF($AB1076="קוראים וכותבים מיומנים","רמה ג'","רמה ב'")))</f>
        <v/>
      </c>
      <c r="AD1076" s="32">
        <f>IF($AC1076="","",MID(IF(AND($AC1076="רמה א'",$AA1076="ניכרת"),"; להוסיף עבודת אוצר מילים","")&amp;IF($Z1076="אינה מפותחת","; דגש על הבעה בכתב","")&amp;IF($K1076&lt;&gt;"תקין","; נדרש לעבוד על ההנגנה","")&amp;IF($AK1076&lt;&gt;"","; "&amp;$AK1076,""),3,400))</f>
        <v/>
      </c>
      <c r="AE1076" s="32">
        <f>IF($F1076="","",IF($F1076="תחילת שנה",1,IF($F1076="מחצית שנה",2,3)))</f>
        <v/>
      </c>
      <c r="AF1076" s="32">
        <f>IF(OR($B1076="",$AC1076="",$A1076="",$F1076=""),"",$B1076&amp;"|"&amp;$A1076&amp;"|"&amp;$F1076&amp;"|"&amp;$AC1076&amp;"|"&amp;COUNTIFS($B$6:$B1076,$B1076,$A$6:$A1076,$A1076,$F$6:$F1076,$F1076,$AC$6:$AC1076,$AC1076))</f>
        <v/>
      </c>
      <c r="AG1076" s="32">
        <f>IF($C1076="","",$C1076&amp;"|"&amp;COUNTIFS($C$6:$C1076,$C1076))</f>
        <v/>
      </c>
      <c r="AH1076" s="32">
        <f>IF(OR($C1076="",$A1076="",$AE1076=""),"",$C1076&amp;"|"&amp;$A1076&amp;"|"&amp;$AE1076)</f>
        <v/>
      </c>
      <c r="AI1076" s="32">
        <f>IF(OR($C1076="",$AE1076="",$AE1076=1),"",IFERROR(INDEX($AC$6:$AC$1505,MATCH($C1076&amp;"|"&amp;$A1076&amp;"|"&amp;($AE1076-1),$AH$6:$AH$1505,0)),""))</f>
        <v/>
      </c>
      <c r="AJ1076" s="32">
        <f>IF(OR($AI1076="",$AC1076=""),"",IF($AI1076=$AC1076,"ללא שינוי","מ-"&amp;$AI1076&amp;" ל-"&amp;$AC1076))</f>
        <v/>
      </c>
      <c r="AK1076" s="67" t="n"/>
    </row>
    <row r="1077">
      <c r="A1077" s="65" t="n"/>
      <c r="B1077" s="65" t="n"/>
      <c r="C1077" s="66" t="n"/>
      <c r="D1077" s="66" t="n"/>
      <c r="E1077" s="65" t="n"/>
      <c r="F1077" s="65" t="n"/>
      <c r="G1077" s="65" t="n"/>
      <c r="H1077" s="65" t="n"/>
      <c r="I1077" s="65" t="n"/>
      <c r="J1077" s="65" t="n"/>
      <c r="K1077" s="65" t="n"/>
      <c r="L1077" s="65" t="n"/>
      <c r="M1077" s="65" t="n"/>
      <c r="N1077" s="65" t="n"/>
      <c r="O1077" s="65" t="n"/>
      <c r="P1077" s="65" t="n"/>
      <c r="Q1077" s="65" t="n"/>
      <c r="R1077" s="65" t="n"/>
      <c r="S1077" s="65" t="n"/>
      <c r="T1077" s="65" t="n"/>
      <c r="U1077" s="65" t="n"/>
      <c r="V1077" s="65" t="n"/>
      <c r="W1077" s="65" t="n"/>
      <c r="X1077" s="65" t="n"/>
      <c r="Y1077" s="32">
        <f>IF($C1077="","",IF(COUNTA($I1077:$K1077)&lt;3,"— חסרים נתונים",IF(AND($I1077="תקין",$J1077="תקין",$K1077="תקין"),"רהוטה",IF(AND($I1077="תקין",$J1077="תקין"),"מדויקת ורציפה","אינה מדויקת או מקוטעת"))))</f>
        <v/>
      </c>
      <c r="Z1077" s="32">
        <f>IF($C1077="","",IF(COUNTA($U1077:$W1077)&lt;3,"",IF(AND($U1077="מפותח",$V1077="מפותח",$W1077="מפותחת"),"מפותחת",IF((--($U1077="דל"))+(--($V1077="אינו מפותח"))+(--($W1077="דלה"))&gt;=2,"אינה מפותחת","חלקית"))))</f>
        <v/>
      </c>
      <c r="AA1077" s="32">
        <f>IF($C1077="","",IF(COUNTA($M1077,$N1077,$O1077)&lt;3,"— חסרים נתונים",IF(OR($M1077="נמוכה",(--($M1077&lt;&gt;"תקינה"))+(--($N1077&lt;&gt;"תקין"))+(--($O1077&lt;&gt;"תקינה"))&gt;=2),"ניכרת","אינה ניכרת")))</f>
        <v/>
      </c>
      <c r="AB1077" s="32">
        <f>IF(OR($C1077="",$Y1077="",$AA1077="",LEFT($Y1077,1)="—",LEFT($AA1077,1)="—"),"",IF($Z1077="","— נדרשת הערכת כתיבה",IF($L1077="","— חסרה הבנת הנקרא",IF($Y1077="אינה מדויקת או מקוטעת",IF($AA1077="ניכרת","מיקוד בשטף הקריאה ובכישורי שפה","מיקוד בשטף קריאה"),IF($AA1077="ניכרת","מיקוד בכישורי שפה",IF(AND($L1077="תקינה",$Z1077="מפותחת"),"קוראים וכותבים מיומנים","מיקוד בהבנה והבעה"))))))</f>
        <v/>
      </c>
      <c r="AC1077" s="32">
        <f>IF(OR($AB1077="",LEFT($AB1077,1)="—"),"",IF(OR($AB1077="מיקוד בשטף קריאה",$AB1077="מיקוד בשטף הקריאה ובכישורי שפה"),"רמה א'",IF($AB1077="קוראים וכותבים מיומנים","רמה ג'","רמה ב'")))</f>
        <v/>
      </c>
      <c r="AD1077" s="32">
        <f>IF($AC1077="","",MID(IF(AND($AC1077="רמה א'",$AA1077="ניכרת"),"; להוסיף עבודת אוצר מילים","")&amp;IF($Z1077="אינה מפותחת","; דגש על הבעה בכתב","")&amp;IF($K1077&lt;&gt;"תקין","; נדרש לעבוד על ההנגנה","")&amp;IF($AK1077&lt;&gt;"","; "&amp;$AK1077,""),3,400))</f>
        <v/>
      </c>
      <c r="AE1077" s="32">
        <f>IF($F1077="","",IF($F1077="תחילת שנה",1,IF($F1077="מחצית שנה",2,3)))</f>
        <v/>
      </c>
      <c r="AF1077" s="32">
        <f>IF(OR($B1077="",$AC1077="",$A1077="",$F1077=""),"",$B1077&amp;"|"&amp;$A1077&amp;"|"&amp;$F1077&amp;"|"&amp;$AC1077&amp;"|"&amp;COUNTIFS($B$6:$B1077,$B1077,$A$6:$A1077,$A1077,$F$6:$F1077,$F1077,$AC$6:$AC1077,$AC1077))</f>
        <v/>
      </c>
      <c r="AG1077" s="32">
        <f>IF($C1077="","",$C1077&amp;"|"&amp;COUNTIFS($C$6:$C1077,$C1077))</f>
        <v/>
      </c>
      <c r="AH1077" s="32">
        <f>IF(OR($C1077="",$A1077="",$AE1077=""),"",$C1077&amp;"|"&amp;$A1077&amp;"|"&amp;$AE1077)</f>
        <v/>
      </c>
      <c r="AI1077" s="32">
        <f>IF(OR($C1077="",$AE1077="",$AE1077=1),"",IFERROR(INDEX($AC$6:$AC$1505,MATCH($C1077&amp;"|"&amp;$A1077&amp;"|"&amp;($AE1077-1),$AH$6:$AH$1505,0)),""))</f>
        <v/>
      </c>
      <c r="AJ1077" s="32">
        <f>IF(OR($AI1077="",$AC1077=""),"",IF($AI1077=$AC1077,"ללא שינוי","מ-"&amp;$AI1077&amp;" ל-"&amp;$AC1077))</f>
        <v/>
      </c>
      <c r="AK1077" s="67" t="n"/>
    </row>
    <row r="1078">
      <c r="A1078" s="65" t="n"/>
      <c r="B1078" s="65" t="n"/>
      <c r="C1078" s="66" t="n"/>
      <c r="D1078" s="66" t="n"/>
      <c r="E1078" s="65" t="n"/>
      <c r="F1078" s="65" t="n"/>
      <c r="G1078" s="65" t="n"/>
      <c r="H1078" s="65" t="n"/>
      <c r="I1078" s="65" t="n"/>
      <c r="J1078" s="65" t="n"/>
      <c r="K1078" s="65" t="n"/>
      <c r="L1078" s="65" t="n"/>
      <c r="M1078" s="65" t="n"/>
      <c r="N1078" s="65" t="n"/>
      <c r="O1078" s="65" t="n"/>
      <c r="P1078" s="65" t="n"/>
      <c r="Q1078" s="65" t="n"/>
      <c r="R1078" s="65" t="n"/>
      <c r="S1078" s="65" t="n"/>
      <c r="T1078" s="65" t="n"/>
      <c r="U1078" s="65" t="n"/>
      <c r="V1078" s="65" t="n"/>
      <c r="W1078" s="65" t="n"/>
      <c r="X1078" s="65" t="n"/>
      <c r="Y1078" s="32">
        <f>IF($C1078="","",IF(COUNTA($I1078:$K1078)&lt;3,"— חסרים נתונים",IF(AND($I1078="תקין",$J1078="תקין",$K1078="תקין"),"רהוטה",IF(AND($I1078="תקין",$J1078="תקין"),"מדויקת ורציפה","אינה מדויקת או מקוטעת"))))</f>
        <v/>
      </c>
      <c r="Z1078" s="32">
        <f>IF($C1078="","",IF(COUNTA($U1078:$W1078)&lt;3,"",IF(AND($U1078="מפותח",$V1078="מפותח",$W1078="מפותחת"),"מפותחת",IF((--($U1078="דל"))+(--($V1078="אינו מפותח"))+(--($W1078="דלה"))&gt;=2,"אינה מפותחת","חלקית"))))</f>
        <v/>
      </c>
      <c r="AA1078" s="32">
        <f>IF($C1078="","",IF(COUNTA($M1078,$N1078,$O1078)&lt;3,"— חסרים נתונים",IF(OR($M1078="נמוכה",(--($M1078&lt;&gt;"תקינה"))+(--($N1078&lt;&gt;"תקין"))+(--($O1078&lt;&gt;"תקינה"))&gt;=2),"ניכרת","אינה ניכרת")))</f>
        <v/>
      </c>
      <c r="AB1078" s="32">
        <f>IF(OR($C1078="",$Y1078="",$AA1078="",LEFT($Y1078,1)="—",LEFT($AA1078,1)="—"),"",IF($Z1078="","— נדרשת הערכת כתיבה",IF($L1078="","— חסרה הבנת הנקרא",IF($Y1078="אינה מדויקת או מקוטעת",IF($AA1078="ניכרת","מיקוד בשטף הקריאה ובכישורי שפה","מיקוד בשטף קריאה"),IF($AA1078="ניכרת","מיקוד בכישורי שפה",IF(AND($L1078="תקינה",$Z1078="מפותחת"),"קוראים וכותבים מיומנים","מיקוד בהבנה והבעה"))))))</f>
        <v/>
      </c>
      <c r="AC1078" s="32">
        <f>IF(OR($AB1078="",LEFT($AB1078,1)="—"),"",IF(OR($AB1078="מיקוד בשטף קריאה",$AB1078="מיקוד בשטף הקריאה ובכישורי שפה"),"רמה א'",IF($AB1078="קוראים וכותבים מיומנים","רמה ג'","רמה ב'")))</f>
        <v/>
      </c>
      <c r="AD1078" s="32">
        <f>IF($AC1078="","",MID(IF(AND($AC1078="רמה א'",$AA1078="ניכרת"),"; להוסיף עבודת אוצר מילים","")&amp;IF($Z1078="אינה מפותחת","; דגש על הבעה בכתב","")&amp;IF($K1078&lt;&gt;"תקין","; נדרש לעבוד על ההנגנה","")&amp;IF($AK1078&lt;&gt;"","; "&amp;$AK1078,""),3,400))</f>
        <v/>
      </c>
      <c r="AE1078" s="32">
        <f>IF($F1078="","",IF($F1078="תחילת שנה",1,IF($F1078="מחצית שנה",2,3)))</f>
        <v/>
      </c>
      <c r="AF1078" s="32">
        <f>IF(OR($B1078="",$AC1078="",$A1078="",$F1078=""),"",$B1078&amp;"|"&amp;$A1078&amp;"|"&amp;$F1078&amp;"|"&amp;$AC1078&amp;"|"&amp;COUNTIFS($B$6:$B1078,$B1078,$A$6:$A1078,$A1078,$F$6:$F1078,$F1078,$AC$6:$AC1078,$AC1078))</f>
        <v/>
      </c>
      <c r="AG1078" s="32">
        <f>IF($C1078="","",$C1078&amp;"|"&amp;COUNTIFS($C$6:$C1078,$C1078))</f>
        <v/>
      </c>
      <c r="AH1078" s="32">
        <f>IF(OR($C1078="",$A1078="",$AE1078=""),"",$C1078&amp;"|"&amp;$A1078&amp;"|"&amp;$AE1078)</f>
        <v/>
      </c>
      <c r="AI1078" s="32">
        <f>IF(OR($C1078="",$AE1078="",$AE1078=1),"",IFERROR(INDEX($AC$6:$AC$1505,MATCH($C1078&amp;"|"&amp;$A1078&amp;"|"&amp;($AE1078-1),$AH$6:$AH$1505,0)),""))</f>
        <v/>
      </c>
      <c r="AJ1078" s="32">
        <f>IF(OR($AI1078="",$AC1078=""),"",IF($AI1078=$AC1078,"ללא שינוי","מ-"&amp;$AI1078&amp;" ל-"&amp;$AC1078))</f>
        <v/>
      </c>
      <c r="AK1078" s="67" t="n"/>
    </row>
    <row r="1079">
      <c r="A1079" s="65" t="n"/>
      <c r="B1079" s="65" t="n"/>
      <c r="C1079" s="66" t="n"/>
      <c r="D1079" s="66" t="n"/>
      <c r="E1079" s="65" t="n"/>
      <c r="F1079" s="65" t="n"/>
      <c r="G1079" s="65" t="n"/>
      <c r="H1079" s="65" t="n"/>
      <c r="I1079" s="65" t="n"/>
      <c r="J1079" s="65" t="n"/>
      <c r="K1079" s="65" t="n"/>
      <c r="L1079" s="65" t="n"/>
      <c r="M1079" s="65" t="n"/>
      <c r="N1079" s="65" t="n"/>
      <c r="O1079" s="65" t="n"/>
      <c r="P1079" s="65" t="n"/>
      <c r="Q1079" s="65" t="n"/>
      <c r="R1079" s="65" t="n"/>
      <c r="S1079" s="65" t="n"/>
      <c r="T1079" s="65" t="n"/>
      <c r="U1079" s="65" t="n"/>
      <c r="V1079" s="65" t="n"/>
      <c r="W1079" s="65" t="n"/>
      <c r="X1079" s="65" t="n"/>
      <c r="Y1079" s="32">
        <f>IF($C1079="","",IF(COUNTA($I1079:$K1079)&lt;3,"— חסרים נתונים",IF(AND($I1079="תקין",$J1079="תקין",$K1079="תקין"),"רהוטה",IF(AND($I1079="תקין",$J1079="תקין"),"מדויקת ורציפה","אינה מדויקת או מקוטעת"))))</f>
        <v/>
      </c>
      <c r="Z1079" s="32">
        <f>IF($C1079="","",IF(COUNTA($U1079:$W1079)&lt;3,"",IF(AND($U1079="מפותח",$V1079="מפותח",$W1079="מפותחת"),"מפותחת",IF((--($U1079="דל"))+(--($V1079="אינו מפותח"))+(--($W1079="דלה"))&gt;=2,"אינה מפותחת","חלקית"))))</f>
        <v/>
      </c>
      <c r="AA1079" s="32">
        <f>IF($C1079="","",IF(COUNTA($M1079,$N1079,$O1079)&lt;3,"— חסרים נתונים",IF(OR($M1079="נמוכה",(--($M1079&lt;&gt;"תקינה"))+(--($N1079&lt;&gt;"תקין"))+(--($O1079&lt;&gt;"תקינה"))&gt;=2),"ניכרת","אינה ניכרת")))</f>
        <v/>
      </c>
      <c r="AB1079" s="32">
        <f>IF(OR($C1079="",$Y1079="",$AA1079="",LEFT($Y1079,1)="—",LEFT($AA1079,1)="—"),"",IF($Z1079="","— נדרשת הערכת כתיבה",IF($L1079="","— חסרה הבנת הנקרא",IF($Y1079="אינה מדויקת או מקוטעת",IF($AA1079="ניכרת","מיקוד בשטף הקריאה ובכישורי שפה","מיקוד בשטף קריאה"),IF($AA1079="ניכרת","מיקוד בכישורי שפה",IF(AND($L1079="תקינה",$Z1079="מפותחת"),"קוראים וכותבים מיומנים","מיקוד בהבנה והבעה"))))))</f>
        <v/>
      </c>
      <c r="AC1079" s="32">
        <f>IF(OR($AB1079="",LEFT($AB1079,1)="—"),"",IF(OR($AB1079="מיקוד בשטף קריאה",$AB1079="מיקוד בשטף הקריאה ובכישורי שפה"),"רמה א'",IF($AB1079="קוראים וכותבים מיומנים","רמה ג'","רמה ב'")))</f>
        <v/>
      </c>
      <c r="AD1079" s="32">
        <f>IF($AC1079="","",MID(IF(AND($AC1079="רמה א'",$AA1079="ניכרת"),"; להוסיף עבודת אוצר מילים","")&amp;IF($Z1079="אינה מפותחת","; דגש על הבעה בכתב","")&amp;IF($K1079&lt;&gt;"תקין","; נדרש לעבוד על ההנגנה","")&amp;IF($AK1079&lt;&gt;"","; "&amp;$AK1079,""),3,400))</f>
        <v/>
      </c>
      <c r="AE1079" s="32">
        <f>IF($F1079="","",IF($F1079="תחילת שנה",1,IF($F1079="מחצית שנה",2,3)))</f>
        <v/>
      </c>
      <c r="AF1079" s="32">
        <f>IF(OR($B1079="",$AC1079="",$A1079="",$F1079=""),"",$B1079&amp;"|"&amp;$A1079&amp;"|"&amp;$F1079&amp;"|"&amp;$AC1079&amp;"|"&amp;COUNTIFS($B$6:$B1079,$B1079,$A$6:$A1079,$A1079,$F$6:$F1079,$F1079,$AC$6:$AC1079,$AC1079))</f>
        <v/>
      </c>
      <c r="AG1079" s="32">
        <f>IF($C1079="","",$C1079&amp;"|"&amp;COUNTIFS($C$6:$C1079,$C1079))</f>
        <v/>
      </c>
      <c r="AH1079" s="32">
        <f>IF(OR($C1079="",$A1079="",$AE1079=""),"",$C1079&amp;"|"&amp;$A1079&amp;"|"&amp;$AE1079)</f>
        <v/>
      </c>
      <c r="AI1079" s="32">
        <f>IF(OR($C1079="",$AE1079="",$AE1079=1),"",IFERROR(INDEX($AC$6:$AC$1505,MATCH($C1079&amp;"|"&amp;$A1079&amp;"|"&amp;($AE1079-1),$AH$6:$AH$1505,0)),""))</f>
        <v/>
      </c>
      <c r="AJ1079" s="32">
        <f>IF(OR($AI1079="",$AC1079=""),"",IF($AI1079=$AC1079,"ללא שינוי","מ-"&amp;$AI1079&amp;" ל-"&amp;$AC1079))</f>
        <v/>
      </c>
      <c r="AK1079" s="67" t="n"/>
    </row>
    <row r="1080">
      <c r="A1080" s="65" t="n"/>
      <c r="B1080" s="65" t="n"/>
      <c r="C1080" s="66" t="n"/>
      <c r="D1080" s="66" t="n"/>
      <c r="E1080" s="65" t="n"/>
      <c r="F1080" s="65" t="n"/>
      <c r="G1080" s="65" t="n"/>
      <c r="H1080" s="65" t="n"/>
      <c r="I1080" s="65" t="n"/>
      <c r="J1080" s="65" t="n"/>
      <c r="K1080" s="65" t="n"/>
      <c r="L1080" s="65" t="n"/>
      <c r="M1080" s="65" t="n"/>
      <c r="N1080" s="65" t="n"/>
      <c r="O1080" s="65" t="n"/>
      <c r="P1080" s="65" t="n"/>
      <c r="Q1080" s="65" t="n"/>
      <c r="R1080" s="65" t="n"/>
      <c r="S1080" s="65" t="n"/>
      <c r="T1080" s="65" t="n"/>
      <c r="U1080" s="65" t="n"/>
      <c r="V1080" s="65" t="n"/>
      <c r="W1080" s="65" t="n"/>
      <c r="X1080" s="65" t="n"/>
      <c r="Y1080" s="32">
        <f>IF($C1080="","",IF(COUNTA($I1080:$K1080)&lt;3,"— חסרים נתונים",IF(AND($I1080="תקין",$J1080="תקין",$K1080="תקין"),"רהוטה",IF(AND($I1080="תקין",$J1080="תקין"),"מדויקת ורציפה","אינה מדויקת או מקוטעת"))))</f>
        <v/>
      </c>
      <c r="Z1080" s="32">
        <f>IF($C1080="","",IF(COUNTA($U1080:$W1080)&lt;3,"",IF(AND($U1080="מפותח",$V1080="מפותח",$W1080="מפותחת"),"מפותחת",IF((--($U1080="דל"))+(--($V1080="אינו מפותח"))+(--($W1080="דלה"))&gt;=2,"אינה מפותחת","חלקית"))))</f>
        <v/>
      </c>
      <c r="AA1080" s="32">
        <f>IF($C1080="","",IF(COUNTA($M1080,$N1080,$O1080)&lt;3,"— חסרים נתונים",IF(OR($M1080="נמוכה",(--($M1080&lt;&gt;"תקינה"))+(--($N1080&lt;&gt;"תקין"))+(--($O1080&lt;&gt;"תקינה"))&gt;=2),"ניכרת","אינה ניכרת")))</f>
        <v/>
      </c>
      <c r="AB1080" s="32">
        <f>IF(OR($C1080="",$Y1080="",$AA1080="",LEFT($Y1080,1)="—",LEFT($AA1080,1)="—"),"",IF($Z1080="","— נדרשת הערכת כתיבה",IF($L1080="","— חסרה הבנת הנקרא",IF($Y1080="אינה מדויקת או מקוטעת",IF($AA1080="ניכרת","מיקוד בשטף הקריאה ובכישורי שפה","מיקוד בשטף קריאה"),IF($AA1080="ניכרת","מיקוד בכישורי שפה",IF(AND($L1080="תקינה",$Z1080="מפותחת"),"קוראים וכותבים מיומנים","מיקוד בהבנה והבעה"))))))</f>
        <v/>
      </c>
      <c r="AC1080" s="32">
        <f>IF(OR($AB1080="",LEFT($AB1080,1)="—"),"",IF(OR($AB1080="מיקוד בשטף קריאה",$AB1080="מיקוד בשטף הקריאה ובכישורי שפה"),"רמה א'",IF($AB1080="קוראים וכותבים מיומנים","רמה ג'","רמה ב'")))</f>
        <v/>
      </c>
      <c r="AD1080" s="32">
        <f>IF($AC1080="","",MID(IF(AND($AC1080="רמה א'",$AA1080="ניכרת"),"; להוסיף עבודת אוצר מילים","")&amp;IF($Z1080="אינה מפותחת","; דגש על הבעה בכתב","")&amp;IF($K1080&lt;&gt;"תקין","; נדרש לעבוד על ההנגנה","")&amp;IF($AK1080&lt;&gt;"","; "&amp;$AK1080,""),3,400))</f>
        <v/>
      </c>
      <c r="AE1080" s="32">
        <f>IF($F1080="","",IF($F1080="תחילת שנה",1,IF($F1080="מחצית שנה",2,3)))</f>
        <v/>
      </c>
      <c r="AF1080" s="32">
        <f>IF(OR($B1080="",$AC1080="",$A1080="",$F1080=""),"",$B1080&amp;"|"&amp;$A1080&amp;"|"&amp;$F1080&amp;"|"&amp;$AC1080&amp;"|"&amp;COUNTIFS($B$6:$B1080,$B1080,$A$6:$A1080,$A1080,$F$6:$F1080,$F1080,$AC$6:$AC1080,$AC1080))</f>
        <v/>
      </c>
      <c r="AG1080" s="32">
        <f>IF($C1080="","",$C1080&amp;"|"&amp;COUNTIFS($C$6:$C1080,$C1080))</f>
        <v/>
      </c>
      <c r="AH1080" s="32">
        <f>IF(OR($C1080="",$A1080="",$AE1080=""),"",$C1080&amp;"|"&amp;$A1080&amp;"|"&amp;$AE1080)</f>
        <v/>
      </c>
      <c r="AI1080" s="32">
        <f>IF(OR($C1080="",$AE1080="",$AE1080=1),"",IFERROR(INDEX($AC$6:$AC$1505,MATCH($C1080&amp;"|"&amp;$A1080&amp;"|"&amp;($AE1080-1),$AH$6:$AH$1505,0)),""))</f>
        <v/>
      </c>
      <c r="AJ1080" s="32">
        <f>IF(OR($AI1080="",$AC1080=""),"",IF($AI1080=$AC1080,"ללא שינוי","מ-"&amp;$AI1080&amp;" ל-"&amp;$AC1080))</f>
        <v/>
      </c>
      <c r="AK1080" s="67" t="n"/>
    </row>
    <row r="1081">
      <c r="A1081" s="65" t="n"/>
      <c r="B1081" s="65" t="n"/>
      <c r="C1081" s="66" t="n"/>
      <c r="D1081" s="66" t="n"/>
      <c r="E1081" s="65" t="n"/>
      <c r="F1081" s="65" t="n"/>
      <c r="G1081" s="65" t="n"/>
      <c r="H1081" s="65" t="n"/>
      <c r="I1081" s="65" t="n"/>
      <c r="J1081" s="65" t="n"/>
      <c r="K1081" s="65" t="n"/>
      <c r="L1081" s="65" t="n"/>
      <c r="M1081" s="65" t="n"/>
      <c r="N1081" s="65" t="n"/>
      <c r="O1081" s="65" t="n"/>
      <c r="P1081" s="65" t="n"/>
      <c r="Q1081" s="65" t="n"/>
      <c r="R1081" s="65" t="n"/>
      <c r="S1081" s="65" t="n"/>
      <c r="T1081" s="65" t="n"/>
      <c r="U1081" s="65" t="n"/>
      <c r="V1081" s="65" t="n"/>
      <c r="W1081" s="65" t="n"/>
      <c r="X1081" s="65" t="n"/>
      <c r="Y1081" s="32">
        <f>IF($C1081="","",IF(COUNTA($I1081:$K1081)&lt;3,"— חסרים נתונים",IF(AND($I1081="תקין",$J1081="תקין",$K1081="תקין"),"רהוטה",IF(AND($I1081="תקין",$J1081="תקין"),"מדויקת ורציפה","אינה מדויקת או מקוטעת"))))</f>
        <v/>
      </c>
      <c r="Z1081" s="32">
        <f>IF($C1081="","",IF(COUNTA($U1081:$W1081)&lt;3,"",IF(AND($U1081="מפותח",$V1081="מפותח",$W1081="מפותחת"),"מפותחת",IF((--($U1081="דל"))+(--($V1081="אינו מפותח"))+(--($W1081="דלה"))&gt;=2,"אינה מפותחת","חלקית"))))</f>
        <v/>
      </c>
      <c r="AA1081" s="32">
        <f>IF($C1081="","",IF(COUNTA($M1081,$N1081,$O1081)&lt;3,"— חסרים נתונים",IF(OR($M1081="נמוכה",(--($M1081&lt;&gt;"תקינה"))+(--($N1081&lt;&gt;"תקין"))+(--($O1081&lt;&gt;"תקינה"))&gt;=2),"ניכרת","אינה ניכרת")))</f>
        <v/>
      </c>
      <c r="AB1081" s="32">
        <f>IF(OR($C1081="",$Y1081="",$AA1081="",LEFT($Y1081,1)="—",LEFT($AA1081,1)="—"),"",IF($Z1081="","— נדרשת הערכת כתיבה",IF($L1081="","— חסרה הבנת הנקרא",IF($Y1081="אינה מדויקת או מקוטעת",IF($AA1081="ניכרת","מיקוד בשטף הקריאה ובכישורי שפה","מיקוד בשטף קריאה"),IF($AA1081="ניכרת","מיקוד בכישורי שפה",IF(AND($L1081="תקינה",$Z1081="מפותחת"),"קוראים וכותבים מיומנים","מיקוד בהבנה והבעה"))))))</f>
        <v/>
      </c>
      <c r="AC1081" s="32">
        <f>IF(OR($AB1081="",LEFT($AB1081,1)="—"),"",IF(OR($AB1081="מיקוד בשטף קריאה",$AB1081="מיקוד בשטף הקריאה ובכישורי שפה"),"רמה א'",IF($AB1081="קוראים וכותבים מיומנים","רמה ג'","רמה ב'")))</f>
        <v/>
      </c>
      <c r="AD1081" s="32">
        <f>IF($AC1081="","",MID(IF(AND($AC1081="רמה א'",$AA1081="ניכרת"),"; להוסיף עבודת אוצר מילים","")&amp;IF($Z1081="אינה מפותחת","; דגש על הבעה בכתב","")&amp;IF($K1081&lt;&gt;"תקין","; נדרש לעבוד על ההנגנה","")&amp;IF($AK1081&lt;&gt;"","; "&amp;$AK1081,""),3,400))</f>
        <v/>
      </c>
      <c r="AE1081" s="32">
        <f>IF($F1081="","",IF($F1081="תחילת שנה",1,IF($F1081="מחצית שנה",2,3)))</f>
        <v/>
      </c>
      <c r="AF1081" s="32">
        <f>IF(OR($B1081="",$AC1081="",$A1081="",$F1081=""),"",$B1081&amp;"|"&amp;$A1081&amp;"|"&amp;$F1081&amp;"|"&amp;$AC1081&amp;"|"&amp;COUNTIFS($B$6:$B1081,$B1081,$A$6:$A1081,$A1081,$F$6:$F1081,$F1081,$AC$6:$AC1081,$AC1081))</f>
        <v/>
      </c>
      <c r="AG1081" s="32">
        <f>IF($C1081="","",$C1081&amp;"|"&amp;COUNTIFS($C$6:$C1081,$C1081))</f>
        <v/>
      </c>
      <c r="AH1081" s="32">
        <f>IF(OR($C1081="",$A1081="",$AE1081=""),"",$C1081&amp;"|"&amp;$A1081&amp;"|"&amp;$AE1081)</f>
        <v/>
      </c>
      <c r="AI1081" s="32">
        <f>IF(OR($C1081="",$AE1081="",$AE1081=1),"",IFERROR(INDEX($AC$6:$AC$1505,MATCH($C1081&amp;"|"&amp;$A1081&amp;"|"&amp;($AE1081-1),$AH$6:$AH$1505,0)),""))</f>
        <v/>
      </c>
      <c r="AJ1081" s="32">
        <f>IF(OR($AI1081="",$AC1081=""),"",IF($AI1081=$AC1081,"ללא שינוי","מ-"&amp;$AI1081&amp;" ל-"&amp;$AC1081))</f>
        <v/>
      </c>
      <c r="AK1081" s="67" t="n"/>
    </row>
    <row r="1082">
      <c r="A1082" s="65" t="n"/>
      <c r="B1082" s="65" t="n"/>
      <c r="C1082" s="66" t="n"/>
      <c r="D1082" s="66" t="n"/>
      <c r="E1082" s="65" t="n"/>
      <c r="F1082" s="65" t="n"/>
      <c r="G1082" s="65" t="n"/>
      <c r="H1082" s="65" t="n"/>
      <c r="I1082" s="65" t="n"/>
      <c r="J1082" s="65" t="n"/>
      <c r="K1082" s="65" t="n"/>
      <c r="L1082" s="65" t="n"/>
      <c r="M1082" s="65" t="n"/>
      <c r="N1082" s="65" t="n"/>
      <c r="O1082" s="65" t="n"/>
      <c r="P1082" s="65" t="n"/>
      <c r="Q1082" s="65" t="n"/>
      <c r="R1082" s="65" t="n"/>
      <c r="S1082" s="65" t="n"/>
      <c r="T1082" s="65" t="n"/>
      <c r="U1082" s="65" t="n"/>
      <c r="V1082" s="65" t="n"/>
      <c r="W1082" s="65" t="n"/>
      <c r="X1082" s="65" t="n"/>
      <c r="Y1082" s="32">
        <f>IF($C1082="","",IF(COUNTA($I1082:$K1082)&lt;3,"— חסרים נתונים",IF(AND($I1082="תקין",$J1082="תקין",$K1082="תקין"),"רהוטה",IF(AND($I1082="תקין",$J1082="תקין"),"מדויקת ורציפה","אינה מדויקת או מקוטעת"))))</f>
        <v/>
      </c>
      <c r="Z1082" s="32">
        <f>IF($C1082="","",IF(COUNTA($U1082:$W1082)&lt;3,"",IF(AND($U1082="מפותח",$V1082="מפותח",$W1082="מפותחת"),"מפותחת",IF((--($U1082="דל"))+(--($V1082="אינו מפותח"))+(--($W1082="דלה"))&gt;=2,"אינה מפותחת","חלקית"))))</f>
        <v/>
      </c>
      <c r="AA1082" s="32">
        <f>IF($C1082="","",IF(COUNTA($M1082,$N1082,$O1082)&lt;3,"— חסרים נתונים",IF(OR($M1082="נמוכה",(--($M1082&lt;&gt;"תקינה"))+(--($N1082&lt;&gt;"תקין"))+(--($O1082&lt;&gt;"תקינה"))&gt;=2),"ניכרת","אינה ניכרת")))</f>
        <v/>
      </c>
      <c r="AB1082" s="32">
        <f>IF(OR($C1082="",$Y1082="",$AA1082="",LEFT($Y1082,1)="—",LEFT($AA1082,1)="—"),"",IF($Z1082="","— נדרשת הערכת כתיבה",IF($L1082="","— חסרה הבנת הנקרא",IF($Y1082="אינה מדויקת או מקוטעת",IF($AA1082="ניכרת","מיקוד בשטף הקריאה ובכישורי שפה","מיקוד בשטף קריאה"),IF($AA1082="ניכרת","מיקוד בכישורי שפה",IF(AND($L1082="תקינה",$Z1082="מפותחת"),"קוראים וכותבים מיומנים","מיקוד בהבנה והבעה"))))))</f>
        <v/>
      </c>
      <c r="AC1082" s="32">
        <f>IF(OR($AB1082="",LEFT($AB1082,1)="—"),"",IF(OR($AB1082="מיקוד בשטף קריאה",$AB1082="מיקוד בשטף הקריאה ובכישורי שפה"),"רמה א'",IF($AB1082="קוראים וכותבים מיומנים","רמה ג'","רמה ב'")))</f>
        <v/>
      </c>
      <c r="AD1082" s="32">
        <f>IF($AC1082="","",MID(IF(AND($AC1082="רמה א'",$AA1082="ניכרת"),"; להוסיף עבודת אוצר מילים","")&amp;IF($Z1082="אינה מפותחת","; דגש על הבעה בכתב","")&amp;IF($K1082&lt;&gt;"תקין","; נדרש לעבוד על ההנגנה","")&amp;IF($AK1082&lt;&gt;"","; "&amp;$AK1082,""),3,400))</f>
        <v/>
      </c>
      <c r="AE1082" s="32">
        <f>IF($F1082="","",IF($F1082="תחילת שנה",1,IF($F1082="מחצית שנה",2,3)))</f>
        <v/>
      </c>
      <c r="AF1082" s="32">
        <f>IF(OR($B1082="",$AC1082="",$A1082="",$F1082=""),"",$B1082&amp;"|"&amp;$A1082&amp;"|"&amp;$F1082&amp;"|"&amp;$AC1082&amp;"|"&amp;COUNTIFS($B$6:$B1082,$B1082,$A$6:$A1082,$A1082,$F$6:$F1082,$F1082,$AC$6:$AC1082,$AC1082))</f>
        <v/>
      </c>
      <c r="AG1082" s="32">
        <f>IF($C1082="","",$C1082&amp;"|"&amp;COUNTIFS($C$6:$C1082,$C1082))</f>
        <v/>
      </c>
      <c r="AH1082" s="32">
        <f>IF(OR($C1082="",$A1082="",$AE1082=""),"",$C1082&amp;"|"&amp;$A1082&amp;"|"&amp;$AE1082)</f>
        <v/>
      </c>
      <c r="AI1082" s="32">
        <f>IF(OR($C1082="",$AE1082="",$AE1082=1),"",IFERROR(INDEX($AC$6:$AC$1505,MATCH($C1082&amp;"|"&amp;$A1082&amp;"|"&amp;($AE1082-1),$AH$6:$AH$1505,0)),""))</f>
        <v/>
      </c>
      <c r="AJ1082" s="32">
        <f>IF(OR($AI1082="",$AC1082=""),"",IF($AI1082=$AC1082,"ללא שינוי","מ-"&amp;$AI1082&amp;" ל-"&amp;$AC1082))</f>
        <v/>
      </c>
      <c r="AK1082" s="67" t="n"/>
    </row>
    <row r="1083">
      <c r="A1083" s="65" t="n"/>
      <c r="B1083" s="65" t="n"/>
      <c r="C1083" s="66" t="n"/>
      <c r="D1083" s="66" t="n"/>
      <c r="E1083" s="65" t="n"/>
      <c r="F1083" s="65" t="n"/>
      <c r="G1083" s="65" t="n"/>
      <c r="H1083" s="65" t="n"/>
      <c r="I1083" s="65" t="n"/>
      <c r="J1083" s="65" t="n"/>
      <c r="K1083" s="65" t="n"/>
      <c r="L1083" s="65" t="n"/>
      <c r="M1083" s="65" t="n"/>
      <c r="N1083" s="65" t="n"/>
      <c r="O1083" s="65" t="n"/>
      <c r="P1083" s="65" t="n"/>
      <c r="Q1083" s="65" t="n"/>
      <c r="R1083" s="65" t="n"/>
      <c r="S1083" s="65" t="n"/>
      <c r="T1083" s="65" t="n"/>
      <c r="U1083" s="65" t="n"/>
      <c r="V1083" s="65" t="n"/>
      <c r="W1083" s="65" t="n"/>
      <c r="X1083" s="65" t="n"/>
      <c r="Y1083" s="32">
        <f>IF($C1083="","",IF(COUNTA($I1083:$K1083)&lt;3,"— חסרים נתונים",IF(AND($I1083="תקין",$J1083="תקין",$K1083="תקין"),"רהוטה",IF(AND($I1083="תקין",$J1083="תקין"),"מדויקת ורציפה","אינה מדויקת או מקוטעת"))))</f>
        <v/>
      </c>
      <c r="Z1083" s="32">
        <f>IF($C1083="","",IF(COUNTA($U1083:$W1083)&lt;3,"",IF(AND($U1083="מפותח",$V1083="מפותח",$W1083="מפותחת"),"מפותחת",IF((--($U1083="דל"))+(--($V1083="אינו מפותח"))+(--($W1083="דלה"))&gt;=2,"אינה מפותחת","חלקית"))))</f>
        <v/>
      </c>
      <c r="AA1083" s="32">
        <f>IF($C1083="","",IF(COUNTA($M1083,$N1083,$O1083)&lt;3,"— חסרים נתונים",IF(OR($M1083="נמוכה",(--($M1083&lt;&gt;"תקינה"))+(--($N1083&lt;&gt;"תקין"))+(--($O1083&lt;&gt;"תקינה"))&gt;=2),"ניכרת","אינה ניכרת")))</f>
        <v/>
      </c>
      <c r="AB1083" s="32">
        <f>IF(OR($C1083="",$Y1083="",$AA1083="",LEFT($Y1083,1)="—",LEFT($AA1083,1)="—"),"",IF($Z1083="","— נדרשת הערכת כתיבה",IF($L1083="","— חסרה הבנת הנקרא",IF($Y1083="אינה מדויקת או מקוטעת",IF($AA1083="ניכרת","מיקוד בשטף הקריאה ובכישורי שפה","מיקוד בשטף קריאה"),IF($AA1083="ניכרת","מיקוד בכישורי שפה",IF(AND($L1083="תקינה",$Z1083="מפותחת"),"קוראים וכותבים מיומנים","מיקוד בהבנה והבעה"))))))</f>
        <v/>
      </c>
      <c r="AC1083" s="32">
        <f>IF(OR($AB1083="",LEFT($AB1083,1)="—"),"",IF(OR($AB1083="מיקוד בשטף קריאה",$AB1083="מיקוד בשטף הקריאה ובכישורי שפה"),"רמה א'",IF($AB1083="קוראים וכותבים מיומנים","רמה ג'","רמה ב'")))</f>
        <v/>
      </c>
      <c r="AD1083" s="32">
        <f>IF($AC1083="","",MID(IF(AND($AC1083="רמה א'",$AA1083="ניכרת"),"; להוסיף עבודת אוצר מילים","")&amp;IF($Z1083="אינה מפותחת","; דגש על הבעה בכתב","")&amp;IF($K1083&lt;&gt;"תקין","; נדרש לעבוד על ההנגנה","")&amp;IF($AK1083&lt;&gt;"","; "&amp;$AK1083,""),3,400))</f>
        <v/>
      </c>
      <c r="AE1083" s="32">
        <f>IF($F1083="","",IF($F1083="תחילת שנה",1,IF($F1083="מחצית שנה",2,3)))</f>
        <v/>
      </c>
      <c r="AF1083" s="32">
        <f>IF(OR($B1083="",$AC1083="",$A1083="",$F1083=""),"",$B1083&amp;"|"&amp;$A1083&amp;"|"&amp;$F1083&amp;"|"&amp;$AC1083&amp;"|"&amp;COUNTIFS($B$6:$B1083,$B1083,$A$6:$A1083,$A1083,$F$6:$F1083,$F1083,$AC$6:$AC1083,$AC1083))</f>
        <v/>
      </c>
      <c r="AG1083" s="32">
        <f>IF($C1083="","",$C1083&amp;"|"&amp;COUNTIFS($C$6:$C1083,$C1083))</f>
        <v/>
      </c>
      <c r="AH1083" s="32">
        <f>IF(OR($C1083="",$A1083="",$AE1083=""),"",$C1083&amp;"|"&amp;$A1083&amp;"|"&amp;$AE1083)</f>
        <v/>
      </c>
      <c r="AI1083" s="32">
        <f>IF(OR($C1083="",$AE1083="",$AE1083=1),"",IFERROR(INDEX($AC$6:$AC$1505,MATCH($C1083&amp;"|"&amp;$A1083&amp;"|"&amp;($AE1083-1),$AH$6:$AH$1505,0)),""))</f>
        <v/>
      </c>
      <c r="AJ1083" s="32">
        <f>IF(OR($AI1083="",$AC1083=""),"",IF($AI1083=$AC1083,"ללא שינוי","מ-"&amp;$AI1083&amp;" ל-"&amp;$AC1083))</f>
        <v/>
      </c>
      <c r="AK1083" s="67" t="n"/>
    </row>
    <row r="1084">
      <c r="A1084" s="65" t="n"/>
      <c r="B1084" s="65" t="n"/>
      <c r="C1084" s="66" t="n"/>
      <c r="D1084" s="66" t="n"/>
      <c r="E1084" s="65" t="n"/>
      <c r="F1084" s="65" t="n"/>
      <c r="G1084" s="65" t="n"/>
      <c r="H1084" s="65" t="n"/>
      <c r="I1084" s="65" t="n"/>
      <c r="J1084" s="65" t="n"/>
      <c r="K1084" s="65" t="n"/>
      <c r="L1084" s="65" t="n"/>
      <c r="M1084" s="65" t="n"/>
      <c r="N1084" s="65" t="n"/>
      <c r="O1084" s="65" t="n"/>
      <c r="P1084" s="65" t="n"/>
      <c r="Q1084" s="65" t="n"/>
      <c r="R1084" s="65" t="n"/>
      <c r="S1084" s="65" t="n"/>
      <c r="T1084" s="65" t="n"/>
      <c r="U1084" s="65" t="n"/>
      <c r="V1084" s="65" t="n"/>
      <c r="W1084" s="65" t="n"/>
      <c r="X1084" s="65" t="n"/>
      <c r="Y1084" s="32">
        <f>IF($C1084="","",IF(COUNTA($I1084:$K1084)&lt;3,"— חסרים נתונים",IF(AND($I1084="תקין",$J1084="תקין",$K1084="תקין"),"רהוטה",IF(AND($I1084="תקין",$J1084="תקין"),"מדויקת ורציפה","אינה מדויקת או מקוטעת"))))</f>
        <v/>
      </c>
      <c r="Z1084" s="32">
        <f>IF($C1084="","",IF(COUNTA($U1084:$W1084)&lt;3,"",IF(AND($U1084="מפותח",$V1084="מפותח",$W1084="מפותחת"),"מפותחת",IF((--($U1084="דל"))+(--($V1084="אינו מפותח"))+(--($W1084="דלה"))&gt;=2,"אינה מפותחת","חלקית"))))</f>
        <v/>
      </c>
      <c r="AA1084" s="32">
        <f>IF($C1084="","",IF(COUNTA($M1084,$N1084,$O1084)&lt;3,"— חסרים נתונים",IF(OR($M1084="נמוכה",(--($M1084&lt;&gt;"תקינה"))+(--($N1084&lt;&gt;"תקין"))+(--($O1084&lt;&gt;"תקינה"))&gt;=2),"ניכרת","אינה ניכרת")))</f>
        <v/>
      </c>
      <c r="AB1084" s="32">
        <f>IF(OR($C1084="",$Y1084="",$AA1084="",LEFT($Y1084,1)="—",LEFT($AA1084,1)="—"),"",IF($Z1084="","— נדרשת הערכת כתיבה",IF($L1084="","— חסרה הבנת הנקרא",IF($Y1084="אינה מדויקת או מקוטעת",IF($AA1084="ניכרת","מיקוד בשטף הקריאה ובכישורי שפה","מיקוד בשטף קריאה"),IF($AA1084="ניכרת","מיקוד בכישורי שפה",IF(AND($L1084="תקינה",$Z1084="מפותחת"),"קוראים וכותבים מיומנים","מיקוד בהבנה והבעה"))))))</f>
        <v/>
      </c>
      <c r="AC1084" s="32">
        <f>IF(OR($AB1084="",LEFT($AB1084,1)="—"),"",IF(OR($AB1084="מיקוד בשטף קריאה",$AB1084="מיקוד בשטף הקריאה ובכישורי שפה"),"רמה א'",IF($AB1084="קוראים וכותבים מיומנים","רמה ג'","רמה ב'")))</f>
        <v/>
      </c>
      <c r="AD1084" s="32">
        <f>IF($AC1084="","",MID(IF(AND($AC1084="רמה א'",$AA1084="ניכרת"),"; להוסיף עבודת אוצר מילים","")&amp;IF($Z1084="אינה מפותחת","; דגש על הבעה בכתב","")&amp;IF($K1084&lt;&gt;"תקין","; נדרש לעבוד על ההנגנה","")&amp;IF($AK1084&lt;&gt;"","; "&amp;$AK1084,""),3,400))</f>
        <v/>
      </c>
      <c r="AE1084" s="32">
        <f>IF($F1084="","",IF($F1084="תחילת שנה",1,IF($F1084="מחצית שנה",2,3)))</f>
        <v/>
      </c>
      <c r="AF1084" s="32">
        <f>IF(OR($B1084="",$AC1084="",$A1084="",$F1084=""),"",$B1084&amp;"|"&amp;$A1084&amp;"|"&amp;$F1084&amp;"|"&amp;$AC1084&amp;"|"&amp;COUNTIFS($B$6:$B1084,$B1084,$A$6:$A1084,$A1084,$F$6:$F1084,$F1084,$AC$6:$AC1084,$AC1084))</f>
        <v/>
      </c>
      <c r="AG1084" s="32">
        <f>IF($C1084="","",$C1084&amp;"|"&amp;COUNTIFS($C$6:$C1084,$C1084))</f>
        <v/>
      </c>
      <c r="AH1084" s="32">
        <f>IF(OR($C1084="",$A1084="",$AE1084=""),"",$C1084&amp;"|"&amp;$A1084&amp;"|"&amp;$AE1084)</f>
        <v/>
      </c>
      <c r="AI1084" s="32">
        <f>IF(OR($C1084="",$AE1084="",$AE1084=1),"",IFERROR(INDEX($AC$6:$AC$1505,MATCH($C1084&amp;"|"&amp;$A1084&amp;"|"&amp;($AE1084-1),$AH$6:$AH$1505,0)),""))</f>
        <v/>
      </c>
      <c r="AJ1084" s="32">
        <f>IF(OR($AI1084="",$AC1084=""),"",IF($AI1084=$AC1084,"ללא שינוי","מ-"&amp;$AI1084&amp;" ל-"&amp;$AC1084))</f>
        <v/>
      </c>
      <c r="AK1084" s="67" t="n"/>
    </row>
    <row r="1085">
      <c r="A1085" s="65" t="n"/>
      <c r="B1085" s="65" t="n"/>
      <c r="C1085" s="66" t="n"/>
      <c r="D1085" s="66" t="n"/>
      <c r="E1085" s="65" t="n"/>
      <c r="F1085" s="65" t="n"/>
      <c r="G1085" s="65" t="n"/>
      <c r="H1085" s="65" t="n"/>
      <c r="I1085" s="65" t="n"/>
      <c r="J1085" s="65" t="n"/>
      <c r="K1085" s="65" t="n"/>
      <c r="L1085" s="65" t="n"/>
      <c r="M1085" s="65" t="n"/>
      <c r="N1085" s="65" t="n"/>
      <c r="O1085" s="65" t="n"/>
      <c r="P1085" s="65" t="n"/>
      <c r="Q1085" s="65" t="n"/>
      <c r="R1085" s="65" t="n"/>
      <c r="S1085" s="65" t="n"/>
      <c r="T1085" s="65" t="n"/>
      <c r="U1085" s="65" t="n"/>
      <c r="V1085" s="65" t="n"/>
      <c r="W1085" s="65" t="n"/>
      <c r="X1085" s="65" t="n"/>
      <c r="Y1085" s="32">
        <f>IF($C1085="","",IF(COUNTA($I1085:$K1085)&lt;3,"— חסרים נתונים",IF(AND($I1085="תקין",$J1085="תקין",$K1085="תקין"),"רהוטה",IF(AND($I1085="תקין",$J1085="תקין"),"מדויקת ורציפה","אינה מדויקת או מקוטעת"))))</f>
        <v/>
      </c>
      <c r="Z1085" s="32">
        <f>IF($C1085="","",IF(COUNTA($U1085:$W1085)&lt;3,"",IF(AND($U1085="מפותח",$V1085="מפותח",$W1085="מפותחת"),"מפותחת",IF((--($U1085="דל"))+(--($V1085="אינו מפותח"))+(--($W1085="דלה"))&gt;=2,"אינה מפותחת","חלקית"))))</f>
        <v/>
      </c>
      <c r="AA1085" s="32">
        <f>IF($C1085="","",IF(COUNTA($M1085,$N1085,$O1085)&lt;3,"— חסרים נתונים",IF(OR($M1085="נמוכה",(--($M1085&lt;&gt;"תקינה"))+(--($N1085&lt;&gt;"תקין"))+(--($O1085&lt;&gt;"תקינה"))&gt;=2),"ניכרת","אינה ניכרת")))</f>
        <v/>
      </c>
      <c r="AB1085" s="32">
        <f>IF(OR($C1085="",$Y1085="",$AA1085="",LEFT($Y1085,1)="—",LEFT($AA1085,1)="—"),"",IF($Z1085="","— נדרשת הערכת כתיבה",IF($L1085="","— חסרה הבנת הנקרא",IF($Y1085="אינה מדויקת או מקוטעת",IF($AA1085="ניכרת","מיקוד בשטף הקריאה ובכישורי שפה","מיקוד בשטף קריאה"),IF($AA1085="ניכרת","מיקוד בכישורי שפה",IF(AND($L1085="תקינה",$Z1085="מפותחת"),"קוראים וכותבים מיומנים","מיקוד בהבנה והבעה"))))))</f>
        <v/>
      </c>
      <c r="AC1085" s="32">
        <f>IF(OR($AB1085="",LEFT($AB1085,1)="—"),"",IF(OR($AB1085="מיקוד בשטף קריאה",$AB1085="מיקוד בשטף הקריאה ובכישורי שפה"),"רמה א'",IF($AB1085="קוראים וכותבים מיומנים","רמה ג'","רמה ב'")))</f>
        <v/>
      </c>
      <c r="AD1085" s="32">
        <f>IF($AC1085="","",MID(IF(AND($AC1085="רמה א'",$AA1085="ניכרת"),"; להוסיף עבודת אוצר מילים","")&amp;IF($Z1085="אינה מפותחת","; דגש על הבעה בכתב","")&amp;IF($K1085&lt;&gt;"תקין","; נדרש לעבוד על ההנגנה","")&amp;IF($AK1085&lt;&gt;"","; "&amp;$AK1085,""),3,400))</f>
        <v/>
      </c>
      <c r="AE1085" s="32">
        <f>IF($F1085="","",IF($F1085="תחילת שנה",1,IF($F1085="מחצית שנה",2,3)))</f>
        <v/>
      </c>
      <c r="AF1085" s="32">
        <f>IF(OR($B1085="",$AC1085="",$A1085="",$F1085=""),"",$B1085&amp;"|"&amp;$A1085&amp;"|"&amp;$F1085&amp;"|"&amp;$AC1085&amp;"|"&amp;COUNTIFS($B$6:$B1085,$B1085,$A$6:$A1085,$A1085,$F$6:$F1085,$F1085,$AC$6:$AC1085,$AC1085))</f>
        <v/>
      </c>
      <c r="AG1085" s="32">
        <f>IF($C1085="","",$C1085&amp;"|"&amp;COUNTIFS($C$6:$C1085,$C1085))</f>
        <v/>
      </c>
      <c r="AH1085" s="32">
        <f>IF(OR($C1085="",$A1085="",$AE1085=""),"",$C1085&amp;"|"&amp;$A1085&amp;"|"&amp;$AE1085)</f>
        <v/>
      </c>
      <c r="AI1085" s="32">
        <f>IF(OR($C1085="",$AE1085="",$AE1085=1),"",IFERROR(INDEX($AC$6:$AC$1505,MATCH($C1085&amp;"|"&amp;$A1085&amp;"|"&amp;($AE1085-1),$AH$6:$AH$1505,0)),""))</f>
        <v/>
      </c>
      <c r="AJ1085" s="32">
        <f>IF(OR($AI1085="",$AC1085=""),"",IF($AI1085=$AC1085,"ללא שינוי","מ-"&amp;$AI1085&amp;" ל-"&amp;$AC1085))</f>
        <v/>
      </c>
      <c r="AK1085" s="67" t="n"/>
    </row>
    <row r="1086">
      <c r="A1086" s="65" t="n"/>
      <c r="B1086" s="65" t="n"/>
      <c r="C1086" s="66" t="n"/>
      <c r="D1086" s="66" t="n"/>
      <c r="E1086" s="65" t="n"/>
      <c r="F1086" s="65" t="n"/>
      <c r="G1086" s="65" t="n"/>
      <c r="H1086" s="65" t="n"/>
      <c r="I1086" s="65" t="n"/>
      <c r="J1086" s="65" t="n"/>
      <c r="K1086" s="65" t="n"/>
      <c r="L1086" s="65" t="n"/>
      <c r="M1086" s="65" t="n"/>
      <c r="N1086" s="65" t="n"/>
      <c r="O1086" s="65" t="n"/>
      <c r="P1086" s="65" t="n"/>
      <c r="Q1086" s="65" t="n"/>
      <c r="R1086" s="65" t="n"/>
      <c r="S1086" s="65" t="n"/>
      <c r="T1086" s="65" t="n"/>
      <c r="U1086" s="65" t="n"/>
      <c r="V1086" s="65" t="n"/>
      <c r="W1086" s="65" t="n"/>
      <c r="X1086" s="65" t="n"/>
      <c r="Y1086" s="32">
        <f>IF($C1086="","",IF(COUNTA($I1086:$K1086)&lt;3,"— חסרים נתונים",IF(AND($I1086="תקין",$J1086="תקין",$K1086="תקין"),"רהוטה",IF(AND($I1086="תקין",$J1086="תקין"),"מדויקת ורציפה","אינה מדויקת או מקוטעת"))))</f>
        <v/>
      </c>
      <c r="Z1086" s="32">
        <f>IF($C1086="","",IF(COUNTA($U1086:$W1086)&lt;3,"",IF(AND($U1086="מפותח",$V1086="מפותח",$W1086="מפותחת"),"מפותחת",IF((--($U1086="דל"))+(--($V1086="אינו מפותח"))+(--($W1086="דלה"))&gt;=2,"אינה מפותחת","חלקית"))))</f>
        <v/>
      </c>
      <c r="AA1086" s="32">
        <f>IF($C1086="","",IF(COUNTA($M1086,$N1086,$O1086)&lt;3,"— חסרים נתונים",IF(OR($M1086="נמוכה",(--($M1086&lt;&gt;"תקינה"))+(--($N1086&lt;&gt;"תקין"))+(--($O1086&lt;&gt;"תקינה"))&gt;=2),"ניכרת","אינה ניכרת")))</f>
        <v/>
      </c>
      <c r="AB1086" s="32">
        <f>IF(OR($C1086="",$Y1086="",$AA1086="",LEFT($Y1086,1)="—",LEFT($AA1086,1)="—"),"",IF($Z1086="","— נדרשת הערכת כתיבה",IF($L1086="","— חסרה הבנת הנקרא",IF($Y1086="אינה מדויקת או מקוטעת",IF($AA1086="ניכרת","מיקוד בשטף הקריאה ובכישורי שפה","מיקוד בשטף קריאה"),IF($AA1086="ניכרת","מיקוד בכישורי שפה",IF(AND($L1086="תקינה",$Z1086="מפותחת"),"קוראים וכותבים מיומנים","מיקוד בהבנה והבעה"))))))</f>
        <v/>
      </c>
      <c r="AC1086" s="32">
        <f>IF(OR($AB1086="",LEFT($AB1086,1)="—"),"",IF(OR($AB1086="מיקוד בשטף קריאה",$AB1086="מיקוד בשטף הקריאה ובכישורי שפה"),"רמה א'",IF($AB1086="קוראים וכותבים מיומנים","רמה ג'","רמה ב'")))</f>
        <v/>
      </c>
      <c r="AD1086" s="32">
        <f>IF($AC1086="","",MID(IF(AND($AC1086="רמה א'",$AA1086="ניכרת"),"; להוסיף עבודת אוצר מילים","")&amp;IF($Z1086="אינה מפותחת","; דגש על הבעה בכתב","")&amp;IF($K1086&lt;&gt;"תקין","; נדרש לעבוד על ההנגנה","")&amp;IF($AK1086&lt;&gt;"","; "&amp;$AK1086,""),3,400))</f>
        <v/>
      </c>
      <c r="AE1086" s="32">
        <f>IF($F1086="","",IF($F1086="תחילת שנה",1,IF($F1086="מחצית שנה",2,3)))</f>
        <v/>
      </c>
      <c r="AF1086" s="32">
        <f>IF(OR($B1086="",$AC1086="",$A1086="",$F1086=""),"",$B1086&amp;"|"&amp;$A1086&amp;"|"&amp;$F1086&amp;"|"&amp;$AC1086&amp;"|"&amp;COUNTIFS($B$6:$B1086,$B1086,$A$6:$A1086,$A1086,$F$6:$F1086,$F1086,$AC$6:$AC1086,$AC1086))</f>
        <v/>
      </c>
      <c r="AG1086" s="32">
        <f>IF($C1086="","",$C1086&amp;"|"&amp;COUNTIFS($C$6:$C1086,$C1086))</f>
        <v/>
      </c>
      <c r="AH1086" s="32">
        <f>IF(OR($C1086="",$A1086="",$AE1086=""),"",$C1086&amp;"|"&amp;$A1086&amp;"|"&amp;$AE1086)</f>
        <v/>
      </c>
      <c r="AI1086" s="32">
        <f>IF(OR($C1086="",$AE1086="",$AE1086=1),"",IFERROR(INDEX($AC$6:$AC$1505,MATCH($C1086&amp;"|"&amp;$A1086&amp;"|"&amp;($AE1086-1),$AH$6:$AH$1505,0)),""))</f>
        <v/>
      </c>
      <c r="AJ1086" s="32">
        <f>IF(OR($AI1086="",$AC1086=""),"",IF($AI1086=$AC1086,"ללא שינוי","מ-"&amp;$AI1086&amp;" ל-"&amp;$AC1086))</f>
        <v/>
      </c>
      <c r="AK1086" s="67" t="n"/>
    </row>
    <row r="1087">
      <c r="A1087" s="65" t="n"/>
      <c r="B1087" s="65" t="n"/>
      <c r="C1087" s="66" t="n"/>
      <c r="D1087" s="66" t="n"/>
      <c r="E1087" s="65" t="n"/>
      <c r="F1087" s="65" t="n"/>
      <c r="G1087" s="65" t="n"/>
      <c r="H1087" s="65" t="n"/>
      <c r="I1087" s="65" t="n"/>
      <c r="J1087" s="65" t="n"/>
      <c r="K1087" s="65" t="n"/>
      <c r="L1087" s="65" t="n"/>
      <c r="M1087" s="65" t="n"/>
      <c r="N1087" s="65" t="n"/>
      <c r="O1087" s="65" t="n"/>
      <c r="P1087" s="65" t="n"/>
      <c r="Q1087" s="65" t="n"/>
      <c r="R1087" s="65" t="n"/>
      <c r="S1087" s="65" t="n"/>
      <c r="T1087" s="65" t="n"/>
      <c r="U1087" s="65" t="n"/>
      <c r="V1087" s="65" t="n"/>
      <c r="W1087" s="65" t="n"/>
      <c r="X1087" s="65" t="n"/>
      <c r="Y1087" s="32">
        <f>IF($C1087="","",IF(COUNTA($I1087:$K1087)&lt;3,"— חסרים נתונים",IF(AND($I1087="תקין",$J1087="תקין",$K1087="תקין"),"רהוטה",IF(AND($I1087="תקין",$J1087="תקין"),"מדויקת ורציפה","אינה מדויקת או מקוטעת"))))</f>
        <v/>
      </c>
      <c r="Z1087" s="32">
        <f>IF($C1087="","",IF(COUNTA($U1087:$W1087)&lt;3,"",IF(AND($U1087="מפותח",$V1087="מפותח",$W1087="מפותחת"),"מפותחת",IF((--($U1087="דל"))+(--($V1087="אינו מפותח"))+(--($W1087="דלה"))&gt;=2,"אינה מפותחת","חלקית"))))</f>
        <v/>
      </c>
      <c r="AA1087" s="32">
        <f>IF($C1087="","",IF(COUNTA($M1087,$N1087,$O1087)&lt;3,"— חסרים נתונים",IF(OR($M1087="נמוכה",(--($M1087&lt;&gt;"תקינה"))+(--($N1087&lt;&gt;"תקין"))+(--($O1087&lt;&gt;"תקינה"))&gt;=2),"ניכרת","אינה ניכרת")))</f>
        <v/>
      </c>
      <c r="AB1087" s="32">
        <f>IF(OR($C1087="",$Y1087="",$AA1087="",LEFT($Y1087,1)="—",LEFT($AA1087,1)="—"),"",IF($Z1087="","— נדרשת הערכת כתיבה",IF($L1087="","— חסרה הבנת הנקרא",IF($Y1087="אינה מדויקת או מקוטעת",IF($AA1087="ניכרת","מיקוד בשטף הקריאה ובכישורי שפה","מיקוד בשטף קריאה"),IF($AA1087="ניכרת","מיקוד בכישורי שפה",IF(AND($L1087="תקינה",$Z1087="מפותחת"),"קוראים וכותבים מיומנים","מיקוד בהבנה והבעה"))))))</f>
        <v/>
      </c>
      <c r="AC1087" s="32">
        <f>IF(OR($AB1087="",LEFT($AB1087,1)="—"),"",IF(OR($AB1087="מיקוד בשטף קריאה",$AB1087="מיקוד בשטף הקריאה ובכישורי שפה"),"רמה א'",IF($AB1087="קוראים וכותבים מיומנים","רמה ג'","רמה ב'")))</f>
        <v/>
      </c>
      <c r="AD1087" s="32">
        <f>IF($AC1087="","",MID(IF(AND($AC1087="רמה א'",$AA1087="ניכרת"),"; להוסיף עבודת אוצר מילים","")&amp;IF($Z1087="אינה מפותחת","; דגש על הבעה בכתב","")&amp;IF($K1087&lt;&gt;"תקין","; נדרש לעבוד על ההנגנה","")&amp;IF($AK1087&lt;&gt;"","; "&amp;$AK1087,""),3,400))</f>
        <v/>
      </c>
      <c r="AE1087" s="32">
        <f>IF($F1087="","",IF($F1087="תחילת שנה",1,IF($F1087="מחצית שנה",2,3)))</f>
        <v/>
      </c>
      <c r="AF1087" s="32">
        <f>IF(OR($B1087="",$AC1087="",$A1087="",$F1087=""),"",$B1087&amp;"|"&amp;$A1087&amp;"|"&amp;$F1087&amp;"|"&amp;$AC1087&amp;"|"&amp;COUNTIFS($B$6:$B1087,$B1087,$A$6:$A1087,$A1087,$F$6:$F1087,$F1087,$AC$6:$AC1087,$AC1087))</f>
        <v/>
      </c>
      <c r="AG1087" s="32">
        <f>IF($C1087="","",$C1087&amp;"|"&amp;COUNTIFS($C$6:$C1087,$C1087))</f>
        <v/>
      </c>
      <c r="AH1087" s="32">
        <f>IF(OR($C1087="",$A1087="",$AE1087=""),"",$C1087&amp;"|"&amp;$A1087&amp;"|"&amp;$AE1087)</f>
        <v/>
      </c>
      <c r="AI1087" s="32">
        <f>IF(OR($C1087="",$AE1087="",$AE1087=1),"",IFERROR(INDEX($AC$6:$AC$1505,MATCH($C1087&amp;"|"&amp;$A1087&amp;"|"&amp;($AE1087-1),$AH$6:$AH$1505,0)),""))</f>
        <v/>
      </c>
      <c r="AJ1087" s="32">
        <f>IF(OR($AI1087="",$AC1087=""),"",IF($AI1087=$AC1087,"ללא שינוי","מ-"&amp;$AI1087&amp;" ל-"&amp;$AC1087))</f>
        <v/>
      </c>
      <c r="AK1087" s="67" t="n"/>
    </row>
    <row r="1088">
      <c r="A1088" s="65" t="n"/>
      <c r="B1088" s="65" t="n"/>
      <c r="C1088" s="66" t="n"/>
      <c r="D1088" s="66" t="n"/>
      <c r="E1088" s="65" t="n"/>
      <c r="F1088" s="65" t="n"/>
      <c r="G1088" s="65" t="n"/>
      <c r="H1088" s="65" t="n"/>
      <c r="I1088" s="65" t="n"/>
      <c r="J1088" s="65" t="n"/>
      <c r="K1088" s="65" t="n"/>
      <c r="L1088" s="65" t="n"/>
      <c r="M1088" s="65" t="n"/>
      <c r="N1088" s="65" t="n"/>
      <c r="O1088" s="65" t="n"/>
      <c r="P1088" s="65" t="n"/>
      <c r="Q1088" s="65" t="n"/>
      <c r="R1088" s="65" t="n"/>
      <c r="S1088" s="65" t="n"/>
      <c r="T1088" s="65" t="n"/>
      <c r="U1088" s="65" t="n"/>
      <c r="V1088" s="65" t="n"/>
      <c r="W1088" s="65" t="n"/>
      <c r="X1088" s="65" t="n"/>
      <c r="Y1088" s="32">
        <f>IF($C1088="","",IF(COUNTA($I1088:$K1088)&lt;3,"— חסרים נתונים",IF(AND($I1088="תקין",$J1088="תקין",$K1088="תקין"),"רהוטה",IF(AND($I1088="תקין",$J1088="תקין"),"מדויקת ורציפה","אינה מדויקת או מקוטעת"))))</f>
        <v/>
      </c>
      <c r="Z1088" s="32">
        <f>IF($C1088="","",IF(COUNTA($U1088:$W1088)&lt;3,"",IF(AND($U1088="מפותח",$V1088="מפותח",$W1088="מפותחת"),"מפותחת",IF((--($U1088="דל"))+(--($V1088="אינו מפותח"))+(--($W1088="דלה"))&gt;=2,"אינה מפותחת","חלקית"))))</f>
        <v/>
      </c>
      <c r="AA1088" s="32">
        <f>IF($C1088="","",IF(COUNTA($M1088,$N1088,$O1088)&lt;3,"— חסרים נתונים",IF(OR($M1088="נמוכה",(--($M1088&lt;&gt;"תקינה"))+(--($N1088&lt;&gt;"תקין"))+(--($O1088&lt;&gt;"תקינה"))&gt;=2),"ניכרת","אינה ניכרת")))</f>
        <v/>
      </c>
      <c r="AB1088" s="32">
        <f>IF(OR($C1088="",$Y1088="",$AA1088="",LEFT($Y1088,1)="—",LEFT($AA1088,1)="—"),"",IF($Z1088="","— נדרשת הערכת כתיבה",IF($L1088="","— חסרה הבנת הנקרא",IF($Y1088="אינה מדויקת או מקוטעת",IF($AA1088="ניכרת","מיקוד בשטף הקריאה ובכישורי שפה","מיקוד בשטף קריאה"),IF($AA1088="ניכרת","מיקוד בכישורי שפה",IF(AND($L1088="תקינה",$Z1088="מפותחת"),"קוראים וכותבים מיומנים","מיקוד בהבנה והבעה"))))))</f>
        <v/>
      </c>
      <c r="AC1088" s="32">
        <f>IF(OR($AB1088="",LEFT($AB1088,1)="—"),"",IF(OR($AB1088="מיקוד בשטף קריאה",$AB1088="מיקוד בשטף הקריאה ובכישורי שפה"),"רמה א'",IF($AB1088="קוראים וכותבים מיומנים","רמה ג'","רמה ב'")))</f>
        <v/>
      </c>
      <c r="AD1088" s="32">
        <f>IF($AC1088="","",MID(IF(AND($AC1088="רמה א'",$AA1088="ניכרת"),"; להוסיף עבודת אוצר מילים","")&amp;IF($Z1088="אינה מפותחת","; דגש על הבעה בכתב","")&amp;IF($K1088&lt;&gt;"תקין","; נדרש לעבוד על ההנגנה","")&amp;IF($AK1088&lt;&gt;"","; "&amp;$AK1088,""),3,400))</f>
        <v/>
      </c>
      <c r="AE1088" s="32">
        <f>IF($F1088="","",IF($F1088="תחילת שנה",1,IF($F1088="מחצית שנה",2,3)))</f>
        <v/>
      </c>
      <c r="AF1088" s="32">
        <f>IF(OR($B1088="",$AC1088="",$A1088="",$F1088=""),"",$B1088&amp;"|"&amp;$A1088&amp;"|"&amp;$F1088&amp;"|"&amp;$AC1088&amp;"|"&amp;COUNTIFS($B$6:$B1088,$B1088,$A$6:$A1088,$A1088,$F$6:$F1088,$F1088,$AC$6:$AC1088,$AC1088))</f>
        <v/>
      </c>
      <c r="AG1088" s="32">
        <f>IF($C1088="","",$C1088&amp;"|"&amp;COUNTIFS($C$6:$C1088,$C1088))</f>
        <v/>
      </c>
      <c r="AH1088" s="32">
        <f>IF(OR($C1088="",$A1088="",$AE1088=""),"",$C1088&amp;"|"&amp;$A1088&amp;"|"&amp;$AE1088)</f>
        <v/>
      </c>
      <c r="AI1088" s="32">
        <f>IF(OR($C1088="",$AE1088="",$AE1088=1),"",IFERROR(INDEX($AC$6:$AC$1505,MATCH($C1088&amp;"|"&amp;$A1088&amp;"|"&amp;($AE1088-1),$AH$6:$AH$1505,0)),""))</f>
        <v/>
      </c>
      <c r="AJ1088" s="32">
        <f>IF(OR($AI1088="",$AC1088=""),"",IF($AI1088=$AC1088,"ללא שינוי","מ-"&amp;$AI1088&amp;" ל-"&amp;$AC1088))</f>
        <v/>
      </c>
      <c r="AK1088" s="67" t="n"/>
    </row>
    <row r="1089">
      <c r="A1089" s="65" t="n"/>
      <c r="B1089" s="65" t="n"/>
      <c r="C1089" s="66" t="n"/>
      <c r="D1089" s="66" t="n"/>
      <c r="E1089" s="65" t="n"/>
      <c r="F1089" s="65" t="n"/>
      <c r="G1089" s="65" t="n"/>
      <c r="H1089" s="65" t="n"/>
      <c r="I1089" s="65" t="n"/>
      <c r="J1089" s="65" t="n"/>
      <c r="K1089" s="65" t="n"/>
      <c r="L1089" s="65" t="n"/>
      <c r="M1089" s="65" t="n"/>
      <c r="N1089" s="65" t="n"/>
      <c r="O1089" s="65" t="n"/>
      <c r="P1089" s="65" t="n"/>
      <c r="Q1089" s="65" t="n"/>
      <c r="R1089" s="65" t="n"/>
      <c r="S1089" s="65" t="n"/>
      <c r="T1089" s="65" t="n"/>
      <c r="U1089" s="65" t="n"/>
      <c r="V1089" s="65" t="n"/>
      <c r="W1089" s="65" t="n"/>
      <c r="X1089" s="65" t="n"/>
      <c r="Y1089" s="32">
        <f>IF($C1089="","",IF(COUNTA($I1089:$K1089)&lt;3,"— חסרים נתונים",IF(AND($I1089="תקין",$J1089="תקין",$K1089="תקין"),"רהוטה",IF(AND($I1089="תקין",$J1089="תקין"),"מדויקת ורציפה","אינה מדויקת או מקוטעת"))))</f>
        <v/>
      </c>
      <c r="Z1089" s="32">
        <f>IF($C1089="","",IF(COUNTA($U1089:$W1089)&lt;3,"",IF(AND($U1089="מפותח",$V1089="מפותח",$W1089="מפותחת"),"מפותחת",IF((--($U1089="דל"))+(--($V1089="אינו מפותח"))+(--($W1089="דלה"))&gt;=2,"אינה מפותחת","חלקית"))))</f>
        <v/>
      </c>
      <c r="AA1089" s="32">
        <f>IF($C1089="","",IF(COUNTA($M1089,$N1089,$O1089)&lt;3,"— חסרים נתונים",IF(OR($M1089="נמוכה",(--($M1089&lt;&gt;"תקינה"))+(--($N1089&lt;&gt;"תקין"))+(--($O1089&lt;&gt;"תקינה"))&gt;=2),"ניכרת","אינה ניכרת")))</f>
        <v/>
      </c>
      <c r="AB1089" s="32">
        <f>IF(OR($C1089="",$Y1089="",$AA1089="",LEFT($Y1089,1)="—",LEFT($AA1089,1)="—"),"",IF($Z1089="","— נדרשת הערכת כתיבה",IF($L1089="","— חסרה הבנת הנקרא",IF($Y1089="אינה מדויקת או מקוטעת",IF($AA1089="ניכרת","מיקוד בשטף הקריאה ובכישורי שפה","מיקוד בשטף קריאה"),IF($AA1089="ניכרת","מיקוד בכישורי שפה",IF(AND($L1089="תקינה",$Z1089="מפותחת"),"קוראים וכותבים מיומנים","מיקוד בהבנה והבעה"))))))</f>
        <v/>
      </c>
      <c r="AC1089" s="32">
        <f>IF(OR($AB1089="",LEFT($AB1089,1)="—"),"",IF(OR($AB1089="מיקוד בשטף קריאה",$AB1089="מיקוד בשטף הקריאה ובכישורי שפה"),"רמה א'",IF($AB1089="קוראים וכותבים מיומנים","רמה ג'","רמה ב'")))</f>
        <v/>
      </c>
      <c r="AD1089" s="32">
        <f>IF($AC1089="","",MID(IF(AND($AC1089="רמה א'",$AA1089="ניכרת"),"; להוסיף עבודת אוצר מילים","")&amp;IF($Z1089="אינה מפותחת","; דגש על הבעה בכתב","")&amp;IF($K1089&lt;&gt;"תקין","; נדרש לעבוד על ההנגנה","")&amp;IF($AK1089&lt;&gt;"","; "&amp;$AK1089,""),3,400))</f>
        <v/>
      </c>
      <c r="AE1089" s="32">
        <f>IF($F1089="","",IF($F1089="תחילת שנה",1,IF($F1089="מחצית שנה",2,3)))</f>
        <v/>
      </c>
      <c r="AF1089" s="32">
        <f>IF(OR($B1089="",$AC1089="",$A1089="",$F1089=""),"",$B1089&amp;"|"&amp;$A1089&amp;"|"&amp;$F1089&amp;"|"&amp;$AC1089&amp;"|"&amp;COUNTIFS($B$6:$B1089,$B1089,$A$6:$A1089,$A1089,$F$6:$F1089,$F1089,$AC$6:$AC1089,$AC1089))</f>
        <v/>
      </c>
      <c r="AG1089" s="32">
        <f>IF($C1089="","",$C1089&amp;"|"&amp;COUNTIFS($C$6:$C1089,$C1089))</f>
        <v/>
      </c>
      <c r="AH1089" s="32">
        <f>IF(OR($C1089="",$A1089="",$AE1089=""),"",$C1089&amp;"|"&amp;$A1089&amp;"|"&amp;$AE1089)</f>
        <v/>
      </c>
      <c r="AI1089" s="32">
        <f>IF(OR($C1089="",$AE1089="",$AE1089=1),"",IFERROR(INDEX($AC$6:$AC$1505,MATCH($C1089&amp;"|"&amp;$A1089&amp;"|"&amp;($AE1089-1),$AH$6:$AH$1505,0)),""))</f>
        <v/>
      </c>
      <c r="AJ1089" s="32">
        <f>IF(OR($AI1089="",$AC1089=""),"",IF($AI1089=$AC1089,"ללא שינוי","מ-"&amp;$AI1089&amp;" ל-"&amp;$AC1089))</f>
        <v/>
      </c>
      <c r="AK1089" s="67" t="n"/>
    </row>
    <row r="1090">
      <c r="A1090" s="65" t="n"/>
      <c r="B1090" s="65" t="n"/>
      <c r="C1090" s="66" t="n"/>
      <c r="D1090" s="66" t="n"/>
      <c r="E1090" s="65" t="n"/>
      <c r="F1090" s="65" t="n"/>
      <c r="G1090" s="65" t="n"/>
      <c r="H1090" s="65" t="n"/>
      <c r="I1090" s="65" t="n"/>
      <c r="J1090" s="65" t="n"/>
      <c r="K1090" s="65" t="n"/>
      <c r="L1090" s="65" t="n"/>
      <c r="M1090" s="65" t="n"/>
      <c r="N1090" s="65" t="n"/>
      <c r="O1090" s="65" t="n"/>
      <c r="P1090" s="65" t="n"/>
      <c r="Q1090" s="65" t="n"/>
      <c r="R1090" s="65" t="n"/>
      <c r="S1090" s="65" t="n"/>
      <c r="T1090" s="65" t="n"/>
      <c r="U1090" s="65" t="n"/>
      <c r="V1090" s="65" t="n"/>
      <c r="W1090" s="65" t="n"/>
      <c r="X1090" s="65" t="n"/>
      <c r="Y1090" s="32">
        <f>IF($C1090="","",IF(COUNTA($I1090:$K1090)&lt;3,"— חסרים נתונים",IF(AND($I1090="תקין",$J1090="תקין",$K1090="תקין"),"רהוטה",IF(AND($I1090="תקין",$J1090="תקין"),"מדויקת ורציפה","אינה מדויקת או מקוטעת"))))</f>
        <v/>
      </c>
      <c r="Z1090" s="32">
        <f>IF($C1090="","",IF(COUNTA($U1090:$W1090)&lt;3,"",IF(AND($U1090="מפותח",$V1090="מפותח",$W1090="מפותחת"),"מפותחת",IF((--($U1090="דל"))+(--($V1090="אינו מפותח"))+(--($W1090="דלה"))&gt;=2,"אינה מפותחת","חלקית"))))</f>
        <v/>
      </c>
      <c r="AA1090" s="32">
        <f>IF($C1090="","",IF(COUNTA($M1090,$N1090,$O1090)&lt;3,"— חסרים נתונים",IF(OR($M1090="נמוכה",(--($M1090&lt;&gt;"תקינה"))+(--($N1090&lt;&gt;"תקין"))+(--($O1090&lt;&gt;"תקינה"))&gt;=2),"ניכרת","אינה ניכרת")))</f>
        <v/>
      </c>
      <c r="AB1090" s="32">
        <f>IF(OR($C1090="",$Y1090="",$AA1090="",LEFT($Y1090,1)="—",LEFT($AA1090,1)="—"),"",IF($Z1090="","— נדרשת הערכת כתיבה",IF($L1090="","— חסרה הבנת הנקרא",IF($Y1090="אינה מדויקת או מקוטעת",IF($AA1090="ניכרת","מיקוד בשטף הקריאה ובכישורי שפה","מיקוד בשטף קריאה"),IF($AA1090="ניכרת","מיקוד בכישורי שפה",IF(AND($L1090="תקינה",$Z1090="מפותחת"),"קוראים וכותבים מיומנים","מיקוד בהבנה והבעה"))))))</f>
        <v/>
      </c>
      <c r="AC1090" s="32">
        <f>IF(OR($AB1090="",LEFT($AB1090,1)="—"),"",IF(OR($AB1090="מיקוד בשטף קריאה",$AB1090="מיקוד בשטף הקריאה ובכישורי שפה"),"רמה א'",IF($AB1090="קוראים וכותבים מיומנים","רמה ג'","רמה ב'")))</f>
        <v/>
      </c>
      <c r="AD1090" s="32">
        <f>IF($AC1090="","",MID(IF(AND($AC1090="רמה א'",$AA1090="ניכרת"),"; להוסיף עבודת אוצר מילים","")&amp;IF($Z1090="אינה מפותחת","; דגש על הבעה בכתב","")&amp;IF($K1090&lt;&gt;"תקין","; נדרש לעבוד על ההנגנה","")&amp;IF($AK1090&lt;&gt;"","; "&amp;$AK1090,""),3,400))</f>
        <v/>
      </c>
      <c r="AE1090" s="32">
        <f>IF($F1090="","",IF($F1090="תחילת שנה",1,IF($F1090="מחצית שנה",2,3)))</f>
        <v/>
      </c>
      <c r="AF1090" s="32">
        <f>IF(OR($B1090="",$AC1090="",$A1090="",$F1090=""),"",$B1090&amp;"|"&amp;$A1090&amp;"|"&amp;$F1090&amp;"|"&amp;$AC1090&amp;"|"&amp;COUNTIFS($B$6:$B1090,$B1090,$A$6:$A1090,$A1090,$F$6:$F1090,$F1090,$AC$6:$AC1090,$AC1090))</f>
        <v/>
      </c>
      <c r="AG1090" s="32">
        <f>IF($C1090="","",$C1090&amp;"|"&amp;COUNTIFS($C$6:$C1090,$C1090))</f>
        <v/>
      </c>
      <c r="AH1090" s="32">
        <f>IF(OR($C1090="",$A1090="",$AE1090=""),"",$C1090&amp;"|"&amp;$A1090&amp;"|"&amp;$AE1090)</f>
        <v/>
      </c>
      <c r="AI1090" s="32">
        <f>IF(OR($C1090="",$AE1090="",$AE1090=1),"",IFERROR(INDEX($AC$6:$AC$1505,MATCH($C1090&amp;"|"&amp;$A1090&amp;"|"&amp;($AE1090-1),$AH$6:$AH$1505,0)),""))</f>
        <v/>
      </c>
      <c r="AJ1090" s="32">
        <f>IF(OR($AI1090="",$AC1090=""),"",IF($AI1090=$AC1090,"ללא שינוי","מ-"&amp;$AI1090&amp;" ל-"&amp;$AC1090))</f>
        <v/>
      </c>
      <c r="AK1090" s="67" t="n"/>
    </row>
    <row r="1091">
      <c r="A1091" s="65" t="n"/>
      <c r="B1091" s="65" t="n"/>
      <c r="C1091" s="66" t="n"/>
      <c r="D1091" s="66" t="n"/>
      <c r="E1091" s="65" t="n"/>
      <c r="F1091" s="65" t="n"/>
      <c r="G1091" s="65" t="n"/>
      <c r="H1091" s="65" t="n"/>
      <c r="I1091" s="65" t="n"/>
      <c r="J1091" s="65" t="n"/>
      <c r="K1091" s="65" t="n"/>
      <c r="L1091" s="65" t="n"/>
      <c r="M1091" s="65" t="n"/>
      <c r="N1091" s="65" t="n"/>
      <c r="O1091" s="65" t="n"/>
      <c r="P1091" s="65" t="n"/>
      <c r="Q1091" s="65" t="n"/>
      <c r="R1091" s="65" t="n"/>
      <c r="S1091" s="65" t="n"/>
      <c r="T1091" s="65" t="n"/>
      <c r="U1091" s="65" t="n"/>
      <c r="V1091" s="65" t="n"/>
      <c r="W1091" s="65" t="n"/>
      <c r="X1091" s="65" t="n"/>
      <c r="Y1091" s="32">
        <f>IF($C1091="","",IF(COUNTA($I1091:$K1091)&lt;3,"— חסרים נתונים",IF(AND($I1091="תקין",$J1091="תקין",$K1091="תקין"),"רהוטה",IF(AND($I1091="תקין",$J1091="תקין"),"מדויקת ורציפה","אינה מדויקת או מקוטעת"))))</f>
        <v/>
      </c>
      <c r="Z1091" s="32">
        <f>IF($C1091="","",IF(COUNTA($U1091:$W1091)&lt;3,"",IF(AND($U1091="מפותח",$V1091="מפותח",$W1091="מפותחת"),"מפותחת",IF((--($U1091="דל"))+(--($V1091="אינו מפותח"))+(--($W1091="דלה"))&gt;=2,"אינה מפותחת","חלקית"))))</f>
        <v/>
      </c>
      <c r="AA1091" s="32">
        <f>IF($C1091="","",IF(COUNTA($M1091,$N1091,$O1091)&lt;3,"— חסרים נתונים",IF(OR($M1091="נמוכה",(--($M1091&lt;&gt;"תקינה"))+(--($N1091&lt;&gt;"תקין"))+(--($O1091&lt;&gt;"תקינה"))&gt;=2),"ניכרת","אינה ניכרת")))</f>
        <v/>
      </c>
      <c r="AB1091" s="32">
        <f>IF(OR($C1091="",$Y1091="",$AA1091="",LEFT($Y1091,1)="—",LEFT($AA1091,1)="—"),"",IF($Z1091="","— נדרשת הערכת כתיבה",IF($L1091="","— חסרה הבנת הנקרא",IF($Y1091="אינה מדויקת או מקוטעת",IF($AA1091="ניכרת","מיקוד בשטף הקריאה ובכישורי שפה","מיקוד בשטף קריאה"),IF($AA1091="ניכרת","מיקוד בכישורי שפה",IF(AND($L1091="תקינה",$Z1091="מפותחת"),"קוראים וכותבים מיומנים","מיקוד בהבנה והבעה"))))))</f>
        <v/>
      </c>
      <c r="AC1091" s="32">
        <f>IF(OR($AB1091="",LEFT($AB1091,1)="—"),"",IF(OR($AB1091="מיקוד בשטף קריאה",$AB1091="מיקוד בשטף הקריאה ובכישורי שפה"),"רמה א'",IF($AB1091="קוראים וכותבים מיומנים","רמה ג'","רמה ב'")))</f>
        <v/>
      </c>
      <c r="AD1091" s="32">
        <f>IF($AC1091="","",MID(IF(AND($AC1091="רמה א'",$AA1091="ניכרת"),"; להוסיף עבודת אוצר מילים","")&amp;IF($Z1091="אינה מפותחת","; דגש על הבעה בכתב","")&amp;IF($K1091&lt;&gt;"תקין","; נדרש לעבוד על ההנגנה","")&amp;IF($AK1091&lt;&gt;"","; "&amp;$AK1091,""),3,400))</f>
        <v/>
      </c>
      <c r="AE1091" s="32">
        <f>IF($F1091="","",IF($F1091="תחילת שנה",1,IF($F1091="מחצית שנה",2,3)))</f>
        <v/>
      </c>
      <c r="AF1091" s="32">
        <f>IF(OR($B1091="",$AC1091="",$A1091="",$F1091=""),"",$B1091&amp;"|"&amp;$A1091&amp;"|"&amp;$F1091&amp;"|"&amp;$AC1091&amp;"|"&amp;COUNTIFS($B$6:$B1091,$B1091,$A$6:$A1091,$A1091,$F$6:$F1091,$F1091,$AC$6:$AC1091,$AC1091))</f>
        <v/>
      </c>
      <c r="AG1091" s="32">
        <f>IF($C1091="","",$C1091&amp;"|"&amp;COUNTIFS($C$6:$C1091,$C1091))</f>
        <v/>
      </c>
      <c r="AH1091" s="32">
        <f>IF(OR($C1091="",$A1091="",$AE1091=""),"",$C1091&amp;"|"&amp;$A1091&amp;"|"&amp;$AE1091)</f>
        <v/>
      </c>
      <c r="AI1091" s="32">
        <f>IF(OR($C1091="",$AE1091="",$AE1091=1),"",IFERROR(INDEX($AC$6:$AC$1505,MATCH($C1091&amp;"|"&amp;$A1091&amp;"|"&amp;($AE1091-1),$AH$6:$AH$1505,0)),""))</f>
        <v/>
      </c>
      <c r="AJ1091" s="32">
        <f>IF(OR($AI1091="",$AC1091=""),"",IF($AI1091=$AC1091,"ללא שינוי","מ-"&amp;$AI1091&amp;" ל-"&amp;$AC1091))</f>
        <v/>
      </c>
      <c r="AK1091" s="67" t="n"/>
    </row>
    <row r="1092">
      <c r="A1092" s="65" t="n"/>
      <c r="B1092" s="65" t="n"/>
      <c r="C1092" s="66" t="n"/>
      <c r="D1092" s="66" t="n"/>
      <c r="E1092" s="65" t="n"/>
      <c r="F1092" s="65" t="n"/>
      <c r="G1092" s="65" t="n"/>
      <c r="H1092" s="65" t="n"/>
      <c r="I1092" s="65" t="n"/>
      <c r="J1092" s="65" t="n"/>
      <c r="K1092" s="65" t="n"/>
      <c r="L1092" s="65" t="n"/>
      <c r="M1092" s="65" t="n"/>
      <c r="N1092" s="65" t="n"/>
      <c r="O1092" s="65" t="n"/>
      <c r="P1092" s="65" t="n"/>
      <c r="Q1092" s="65" t="n"/>
      <c r="R1092" s="65" t="n"/>
      <c r="S1092" s="65" t="n"/>
      <c r="T1092" s="65" t="n"/>
      <c r="U1092" s="65" t="n"/>
      <c r="V1092" s="65" t="n"/>
      <c r="W1092" s="65" t="n"/>
      <c r="X1092" s="65" t="n"/>
      <c r="Y1092" s="32">
        <f>IF($C1092="","",IF(COUNTA($I1092:$K1092)&lt;3,"— חסרים נתונים",IF(AND($I1092="תקין",$J1092="תקין",$K1092="תקין"),"רהוטה",IF(AND($I1092="תקין",$J1092="תקין"),"מדויקת ורציפה","אינה מדויקת או מקוטעת"))))</f>
        <v/>
      </c>
      <c r="Z1092" s="32">
        <f>IF($C1092="","",IF(COUNTA($U1092:$W1092)&lt;3,"",IF(AND($U1092="מפותח",$V1092="מפותח",$W1092="מפותחת"),"מפותחת",IF((--($U1092="דל"))+(--($V1092="אינו מפותח"))+(--($W1092="דלה"))&gt;=2,"אינה מפותחת","חלקית"))))</f>
        <v/>
      </c>
      <c r="AA1092" s="32">
        <f>IF($C1092="","",IF(COUNTA($M1092,$N1092,$O1092)&lt;3,"— חסרים נתונים",IF(OR($M1092="נמוכה",(--($M1092&lt;&gt;"תקינה"))+(--($N1092&lt;&gt;"תקין"))+(--($O1092&lt;&gt;"תקינה"))&gt;=2),"ניכרת","אינה ניכרת")))</f>
        <v/>
      </c>
      <c r="AB1092" s="32">
        <f>IF(OR($C1092="",$Y1092="",$AA1092="",LEFT($Y1092,1)="—",LEFT($AA1092,1)="—"),"",IF($Z1092="","— נדרשת הערכת כתיבה",IF($L1092="","— חסרה הבנת הנקרא",IF($Y1092="אינה מדויקת או מקוטעת",IF($AA1092="ניכרת","מיקוד בשטף הקריאה ובכישורי שפה","מיקוד בשטף קריאה"),IF($AA1092="ניכרת","מיקוד בכישורי שפה",IF(AND($L1092="תקינה",$Z1092="מפותחת"),"קוראים וכותבים מיומנים","מיקוד בהבנה והבעה"))))))</f>
        <v/>
      </c>
      <c r="AC1092" s="32">
        <f>IF(OR($AB1092="",LEFT($AB1092,1)="—"),"",IF(OR($AB1092="מיקוד בשטף קריאה",$AB1092="מיקוד בשטף הקריאה ובכישורי שפה"),"רמה א'",IF($AB1092="קוראים וכותבים מיומנים","רמה ג'","רמה ב'")))</f>
        <v/>
      </c>
      <c r="AD1092" s="32">
        <f>IF($AC1092="","",MID(IF(AND($AC1092="רמה א'",$AA1092="ניכרת"),"; להוסיף עבודת אוצר מילים","")&amp;IF($Z1092="אינה מפותחת","; דגש על הבעה בכתב","")&amp;IF($K1092&lt;&gt;"תקין","; נדרש לעבוד על ההנגנה","")&amp;IF($AK1092&lt;&gt;"","; "&amp;$AK1092,""),3,400))</f>
        <v/>
      </c>
      <c r="AE1092" s="32">
        <f>IF($F1092="","",IF($F1092="תחילת שנה",1,IF($F1092="מחצית שנה",2,3)))</f>
        <v/>
      </c>
      <c r="AF1092" s="32">
        <f>IF(OR($B1092="",$AC1092="",$A1092="",$F1092=""),"",$B1092&amp;"|"&amp;$A1092&amp;"|"&amp;$F1092&amp;"|"&amp;$AC1092&amp;"|"&amp;COUNTIFS($B$6:$B1092,$B1092,$A$6:$A1092,$A1092,$F$6:$F1092,$F1092,$AC$6:$AC1092,$AC1092))</f>
        <v/>
      </c>
      <c r="AG1092" s="32">
        <f>IF($C1092="","",$C1092&amp;"|"&amp;COUNTIFS($C$6:$C1092,$C1092))</f>
        <v/>
      </c>
      <c r="AH1092" s="32">
        <f>IF(OR($C1092="",$A1092="",$AE1092=""),"",$C1092&amp;"|"&amp;$A1092&amp;"|"&amp;$AE1092)</f>
        <v/>
      </c>
      <c r="AI1092" s="32">
        <f>IF(OR($C1092="",$AE1092="",$AE1092=1),"",IFERROR(INDEX($AC$6:$AC$1505,MATCH($C1092&amp;"|"&amp;$A1092&amp;"|"&amp;($AE1092-1),$AH$6:$AH$1505,0)),""))</f>
        <v/>
      </c>
      <c r="AJ1092" s="32">
        <f>IF(OR($AI1092="",$AC1092=""),"",IF($AI1092=$AC1092,"ללא שינוי","מ-"&amp;$AI1092&amp;" ל-"&amp;$AC1092))</f>
        <v/>
      </c>
      <c r="AK1092" s="67" t="n"/>
    </row>
    <row r="1093">
      <c r="A1093" s="65" t="n"/>
      <c r="B1093" s="65" t="n"/>
      <c r="C1093" s="66" t="n"/>
      <c r="D1093" s="66" t="n"/>
      <c r="E1093" s="65" t="n"/>
      <c r="F1093" s="65" t="n"/>
      <c r="G1093" s="65" t="n"/>
      <c r="H1093" s="65" t="n"/>
      <c r="I1093" s="65" t="n"/>
      <c r="J1093" s="65" t="n"/>
      <c r="K1093" s="65" t="n"/>
      <c r="L1093" s="65" t="n"/>
      <c r="M1093" s="65" t="n"/>
      <c r="N1093" s="65" t="n"/>
      <c r="O1093" s="65" t="n"/>
      <c r="P1093" s="65" t="n"/>
      <c r="Q1093" s="65" t="n"/>
      <c r="R1093" s="65" t="n"/>
      <c r="S1093" s="65" t="n"/>
      <c r="T1093" s="65" t="n"/>
      <c r="U1093" s="65" t="n"/>
      <c r="V1093" s="65" t="n"/>
      <c r="W1093" s="65" t="n"/>
      <c r="X1093" s="65" t="n"/>
      <c r="Y1093" s="32">
        <f>IF($C1093="","",IF(COUNTA($I1093:$K1093)&lt;3,"— חסרים נתונים",IF(AND($I1093="תקין",$J1093="תקין",$K1093="תקין"),"רהוטה",IF(AND($I1093="תקין",$J1093="תקין"),"מדויקת ורציפה","אינה מדויקת או מקוטעת"))))</f>
        <v/>
      </c>
      <c r="Z1093" s="32">
        <f>IF($C1093="","",IF(COUNTA($U1093:$W1093)&lt;3,"",IF(AND($U1093="מפותח",$V1093="מפותח",$W1093="מפותחת"),"מפותחת",IF((--($U1093="דל"))+(--($V1093="אינו מפותח"))+(--($W1093="דלה"))&gt;=2,"אינה מפותחת","חלקית"))))</f>
        <v/>
      </c>
      <c r="AA1093" s="32">
        <f>IF($C1093="","",IF(COUNTA($M1093,$N1093,$O1093)&lt;3,"— חסרים נתונים",IF(OR($M1093="נמוכה",(--($M1093&lt;&gt;"תקינה"))+(--($N1093&lt;&gt;"תקין"))+(--($O1093&lt;&gt;"תקינה"))&gt;=2),"ניכרת","אינה ניכרת")))</f>
        <v/>
      </c>
      <c r="AB1093" s="32">
        <f>IF(OR($C1093="",$Y1093="",$AA1093="",LEFT($Y1093,1)="—",LEFT($AA1093,1)="—"),"",IF($Z1093="","— נדרשת הערכת כתיבה",IF($L1093="","— חסרה הבנת הנקרא",IF($Y1093="אינה מדויקת או מקוטעת",IF($AA1093="ניכרת","מיקוד בשטף הקריאה ובכישורי שפה","מיקוד בשטף קריאה"),IF($AA1093="ניכרת","מיקוד בכישורי שפה",IF(AND($L1093="תקינה",$Z1093="מפותחת"),"קוראים וכותבים מיומנים","מיקוד בהבנה והבעה"))))))</f>
        <v/>
      </c>
      <c r="AC1093" s="32">
        <f>IF(OR($AB1093="",LEFT($AB1093,1)="—"),"",IF(OR($AB1093="מיקוד בשטף קריאה",$AB1093="מיקוד בשטף הקריאה ובכישורי שפה"),"רמה א'",IF($AB1093="קוראים וכותבים מיומנים","רמה ג'","רמה ב'")))</f>
        <v/>
      </c>
      <c r="AD1093" s="32">
        <f>IF($AC1093="","",MID(IF(AND($AC1093="רמה א'",$AA1093="ניכרת"),"; להוסיף עבודת אוצר מילים","")&amp;IF($Z1093="אינה מפותחת","; דגש על הבעה בכתב","")&amp;IF($K1093&lt;&gt;"תקין","; נדרש לעבוד על ההנגנה","")&amp;IF($AK1093&lt;&gt;"","; "&amp;$AK1093,""),3,400))</f>
        <v/>
      </c>
      <c r="AE1093" s="32">
        <f>IF($F1093="","",IF($F1093="תחילת שנה",1,IF($F1093="מחצית שנה",2,3)))</f>
        <v/>
      </c>
      <c r="AF1093" s="32">
        <f>IF(OR($B1093="",$AC1093="",$A1093="",$F1093=""),"",$B1093&amp;"|"&amp;$A1093&amp;"|"&amp;$F1093&amp;"|"&amp;$AC1093&amp;"|"&amp;COUNTIFS($B$6:$B1093,$B1093,$A$6:$A1093,$A1093,$F$6:$F1093,$F1093,$AC$6:$AC1093,$AC1093))</f>
        <v/>
      </c>
      <c r="AG1093" s="32">
        <f>IF($C1093="","",$C1093&amp;"|"&amp;COUNTIFS($C$6:$C1093,$C1093))</f>
        <v/>
      </c>
      <c r="AH1093" s="32">
        <f>IF(OR($C1093="",$A1093="",$AE1093=""),"",$C1093&amp;"|"&amp;$A1093&amp;"|"&amp;$AE1093)</f>
        <v/>
      </c>
      <c r="AI1093" s="32">
        <f>IF(OR($C1093="",$AE1093="",$AE1093=1),"",IFERROR(INDEX($AC$6:$AC$1505,MATCH($C1093&amp;"|"&amp;$A1093&amp;"|"&amp;($AE1093-1),$AH$6:$AH$1505,0)),""))</f>
        <v/>
      </c>
      <c r="AJ1093" s="32">
        <f>IF(OR($AI1093="",$AC1093=""),"",IF($AI1093=$AC1093,"ללא שינוי","מ-"&amp;$AI1093&amp;" ל-"&amp;$AC1093))</f>
        <v/>
      </c>
      <c r="AK1093" s="67" t="n"/>
    </row>
    <row r="1094">
      <c r="A1094" s="65" t="n"/>
      <c r="B1094" s="65" t="n"/>
      <c r="C1094" s="66" t="n"/>
      <c r="D1094" s="66" t="n"/>
      <c r="E1094" s="65" t="n"/>
      <c r="F1094" s="65" t="n"/>
      <c r="G1094" s="65" t="n"/>
      <c r="H1094" s="65" t="n"/>
      <c r="I1094" s="65" t="n"/>
      <c r="J1094" s="65" t="n"/>
      <c r="K1094" s="65" t="n"/>
      <c r="L1094" s="65" t="n"/>
      <c r="M1094" s="65" t="n"/>
      <c r="N1094" s="65" t="n"/>
      <c r="O1094" s="65" t="n"/>
      <c r="P1094" s="65" t="n"/>
      <c r="Q1094" s="65" t="n"/>
      <c r="R1094" s="65" t="n"/>
      <c r="S1094" s="65" t="n"/>
      <c r="T1094" s="65" t="n"/>
      <c r="U1094" s="65" t="n"/>
      <c r="V1094" s="65" t="n"/>
      <c r="W1094" s="65" t="n"/>
      <c r="X1094" s="65" t="n"/>
      <c r="Y1094" s="32">
        <f>IF($C1094="","",IF(COUNTA($I1094:$K1094)&lt;3,"— חסרים נתונים",IF(AND($I1094="תקין",$J1094="תקין",$K1094="תקין"),"רהוטה",IF(AND($I1094="תקין",$J1094="תקין"),"מדויקת ורציפה","אינה מדויקת או מקוטעת"))))</f>
        <v/>
      </c>
      <c r="Z1094" s="32">
        <f>IF($C1094="","",IF(COUNTA($U1094:$W1094)&lt;3,"",IF(AND($U1094="מפותח",$V1094="מפותח",$W1094="מפותחת"),"מפותחת",IF((--($U1094="דל"))+(--($V1094="אינו מפותח"))+(--($W1094="דלה"))&gt;=2,"אינה מפותחת","חלקית"))))</f>
        <v/>
      </c>
      <c r="AA1094" s="32">
        <f>IF($C1094="","",IF(COUNTA($M1094,$N1094,$O1094)&lt;3,"— חסרים נתונים",IF(OR($M1094="נמוכה",(--($M1094&lt;&gt;"תקינה"))+(--($N1094&lt;&gt;"תקין"))+(--($O1094&lt;&gt;"תקינה"))&gt;=2),"ניכרת","אינה ניכרת")))</f>
        <v/>
      </c>
      <c r="AB1094" s="32">
        <f>IF(OR($C1094="",$Y1094="",$AA1094="",LEFT($Y1094,1)="—",LEFT($AA1094,1)="—"),"",IF($Z1094="","— נדרשת הערכת כתיבה",IF($L1094="","— חסרה הבנת הנקרא",IF($Y1094="אינה מדויקת או מקוטעת",IF($AA1094="ניכרת","מיקוד בשטף הקריאה ובכישורי שפה","מיקוד בשטף קריאה"),IF($AA1094="ניכרת","מיקוד בכישורי שפה",IF(AND($L1094="תקינה",$Z1094="מפותחת"),"קוראים וכותבים מיומנים","מיקוד בהבנה והבעה"))))))</f>
        <v/>
      </c>
      <c r="AC1094" s="32">
        <f>IF(OR($AB1094="",LEFT($AB1094,1)="—"),"",IF(OR($AB1094="מיקוד בשטף קריאה",$AB1094="מיקוד בשטף הקריאה ובכישורי שפה"),"רמה א'",IF($AB1094="קוראים וכותבים מיומנים","רמה ג'","רמה ב'")))</f>
        <v/>
      </c>
      <c r="AD1094" s="32">
        <f>IF($AC1094="","",MID(IF(AND($AC1094="רמה א'",$AA1094="ניכרת"),"; להוסיף עבודת אוצר מילים","")&amp;IF($Z1094="אינה מפותחת","; דגש על הבעה בכתב","")&amp;IF($K1094&lt;&gt;"תקין","; נדרש לעבוד על ההנגנה","")&amp;IF($AK1094&lt;&gt;"","; "&amp;$AK1094,""),3,400))</f>
        <v/>
      </c>
      <c r="AE1094" s="32">
        <f>IF($F1094="","",IF($F1094="תחילת שנה",1,IF($F1094="מחצית שנה",2,3)))</f>
        <v/>
      </c>
      <c r="AF1094" s="32">
        <f>IF(OR($B1094="",$AC1094="",$A1094="",$F1094=""),"",$B1094&amp;"|"&amp;$A1094&amp;"|"&amp;$F1094&amp;"|"&amp;$AC1094&amp;"|"&amp;COUNTIFS($B$6:$B1094,$B1094,$A$6:$A1094,$A1094,$F$6:$F1094,$F1094,$AC$6:$AC1094,$AC1094))</f>
        <v/>
      </c>
      <c r="AG1094" s="32">
        <f>IF($C1094="","",$C1094&amp;"|"&amp;COUNTIFS($C$6:$C1094,$C1094))</f>
        <v/>
      </c>
      <c r="AH1094" s="32">
        <f>IF(OR($C1094="",$A1094="",$AE1094=""),"",$C1094&amp;"|"&amp;$A1094&amp;"|"&amp;$AE1094)</f>
        <v/>
      </c>
      <c r="AI1094" s="32">
        <f>IF(OR($C1094="",$AE1094="",$AE1094=1),"",IFERROR(INDEX($AC$6:$AC$1505,MATCH($C1094&amp;"|"&amp;$A1094&amp;"|"&amp;($AE1094-1),$AH$6:$AH$1505,0)),""))</f>
        <v/>
      </c>
      <c r="AJ1094" s="32">
        <f>IF(OR($AI1094="",$AC1094=""),"",IF($AI1094=$AC1094,"ללא שינוי","מ-"&amp;$AI1094&amp;" ל-"&amp;$AC1094))</f>
        <v/>
      </c>
      <c r="AK1094" s="67" t="n"/>
    </row>
    <row r="1095">
      <c r="A1095" s="65" t="n"/>
      <c r="B1095" s="65" t="n"/>
      <c r="C1095" s="66" t="n"/>
      <c r="D1095" s="66" t="n"/>
      <c r="E1095" s="65" t="n"/>
      <c r="F1095" s="65" t="n"/>
      <c r="G1095" s="65" t="n"/>
      <c r="H1095" s="65" t="n"/>
      <c r="I1095" s="65" t="n"/>
      <c r="J1095" s="65" t="n"/>
      <c r="K1095" s="65" t="n"/>
      <c r="L1095" s="65" t="n"/>
      <c r="M1095" s="65" t="n"/>
      <c r="N1095" s="65" t="n"/>
      <c r="O1095" s="65" t="n"/>
      <c r="P1095" s="65" t="n"/>
      <c r="Q1095" s="65" t="n"/>
      <c r="R1095" s="65" t="n"/>
      <c r="S1095" s="65" t="n"/>
      <c r="T1095" s="65" t="n"/>
      <c r="U1095" s="65" t="n"/>
      <c r="V1095" s="65" t="n"/>
      <c r="W1095" s="65" t="n"/>
      <c r="X1095" s="65" t="n"/>
      <c r="Y1095" s="32">
        <f>IF($C1095="","",IF(COUNTA($I1095:$K1095)&lt;3,"— חסרים נתונים",IF(AND($I1095="תקין",$J1095="תקין",$K1095="תקין"),"רהוטה",IF(AND($I1095="תקין",$J1095="תקין"),"מדויקת ורציפה","אינה מדויקת או מקוטעת"))))</f>
        <v/>
      </c>
      <c r="Z1095" s="32">
        <f>IF($C1095="","",IF(COUNTA($U1095:$W1095)&lt;3,"",IF(AND($U1095="מפותח",$V1095="מפותח",$W1095="מפותחת"),"מפותחת",IF((--($U1095="דל"))+(--($V1095="אינו מפותח"))+(--($W1095="דלה"))&gt;=2,"אינה מפותחת","חלקית"))))</f>
        <v/>
      </c>
      <c r="AA1095" s="32">
        <f>IF($C1095="","",IF(COUNTA($M1095,$N1095,$O1095)&lt;3,"— חסרים נתונים",IF(OR($M1095="נמוכה",(--($M1095&lt;&gt;"תקינה"))+(--($N1095&lt;&gt;"תקין"))+(--($O1095&lt;&gt;"תקינה"))&gt;=2),"ניכרת","אינה ניכרת")))</f>
        <v/>
      </c>
      <c r="AB1095" s="32">
        <f>IF(OR($C1095="",$Y1095="",$AA1095="",LEFT($Y1095,1)="—",LEFT($AA1095,1)="—"),"",IF($Z1095="","— נדרשת הערכת כתיבה",IF($L1095="","— חסרה הבנת הנקרא",IF($Y1095="אינה מדויקת או מקוטעת",IF($AA1095="ניכרת","מיקוד בשטף הקריאה ובכישורי שפה","מיקוד בשטף קריאה"),IF($AA1095="ניכרת","מיקוד בכישורי שפה",IF(AND($L1095="תקינה",$Z1095="מפותחת"),"קוראים וכותבים מיומנים","מיקוד בהבנה והבעה"))))))</f>
        <v/>
      </c>
      <c r="AC1095" s="32">
        <f>IF(OR($AB1095="",LEFT($AB1095,1)="—"),"",IF(OR($AB1095="מיקוד בשטף קריאה",$AB1095="מיקוד בשטף הקריאה ובכישורי שפה"),"רמה א'",IF($AB1095="קוראים וכותבים מיומנים","רמה ג'","רמה ב'")))</f>
        <v/>
      </c>
      <c r="AD1095" s="32">
        <f>IF($AC1095="","",MID(IF(AND($AC1095="רמה א'",$AA1095="ניכרת"),"; להוסיף עבודת אוצר מילים","")&amp;IF($Z1095="אינה מפותחת","; דגש על הבעה בכתב","")&amp;IF($K1095&lt;&gt;"תקין","; נדרש לעבוד על ההנגנה","")&amp;IF($AK1095&lt;&gt;"","; "&amp;$AK1095,""),3,400))</f>
        <v/>
      </c>
      <c r="AE1095" s="32">
        <f>IF($F1095="","",IF($F1095="תחילת שנה",1,IF($F1095="מחצית שנה",2,3)))</f>
        <v/>
      </c>
      <c r="AF1095" s="32">
        <f>IF(OR($B1095="",$AC1095="",$A1095="",$F1095=""),"",$B1095&amp;"|"&amp;$A1095&amp;"|"&amp;$F1095&amp;"|"&amp;$AC1095&amp;"|"&amp;COUNTIFS($B$6:$B1095,$B1095,$A$6:$A1095,$A1095,$F$6:$F1095,$F1095,$AC$6:$AC1095,$AC1095))</f>
        <v/>
      </c>
      <c r="AG1095" s="32">
        <f>IF($C1095="","",$C1095&amp;"|"&amp;COUNTIFS($C$6:$C1095,$C1095))</f>
        <v/>
      </c>
      <c r="AH1095" s="32">
        <f>IF(OR($C1095="",$A1095="",$AE1095=""),"",$C1095&amp;"|"&amp;$A1095&amp;"|"&amp;$AE1095)</f>
        <v/>
      </c>
      <c r="AI1095" s="32">
        <f>IF(OR($C1095="",$AE1095="",$AE1095=1),"",IFERROR(INDEX($AC$6:$AC$1505,MATCH($C1095&amp;"|"&amp;$A1095&amp;"|"&amp;($AE1095-1),$AH$6:$AH$1505,0)),""))</f>
        <v/>
      </c>
      <c r="AJ1095" s="32">
        <f>IF(OR($AI1095="",$AC1095=""),"",IF($AI1095=$AC1095,"ללא שינוי","מ-"&amp;$AI1095&amp;" ל-"&amp;$AC1095))</f>
        <v/>
      </c>
      <c r="AK1095" s="67" t="n"/>
    </row>
    <row r="1096">
      <c r="A1096" s="65" t="n"/>
      <c r="B1096" s="65" t="n"/>
      <c r="C1096" s="66" t="n"/>
      <c r="D1096" s="66" t="n"/>
      <c r="E1096" s="65" t="n"/>
      <c r="F1096" s="65" t="n"/>
      <c r="G1096" s="65" t="n"/>
      <c r="H1096" s="65" t="n"/>
      <c r="I1096" s="65" t="n"/>
      <c r="J1096" s="65" t="n"/>
      <c r="K1096" s="65" t="n"/>
      <c r="L1096" s="65" t="n"/>
      <c r="M1096" s="65" t="n"/>
      <c r="N1096" s="65" t="n"/>
      <c r="O1096" s="65" t="n"/>
      <c r="P1096" s="65" t="n"/>
      <c r="Q1096" s="65" t="n"/>
      <c r="R1096" s="65" t="n"/>
      <c r="S1096" s="65" t="n"/>
      <c r="T1096" s="65" t="n"/>
      <c r="U1096" s="65" t="n"/>
      <c r="V1096" s="65" t="n"/>
      <c r="W1096" s="65" t="n"/>
      <c r="X1096" s="65" t="n"/>
      <c r="Y1096" s="32">
        <f>IF($C1096="","",IF(COUNTA($I1096:$K1096)&lt;3,"— חסרים נתונים",IF(AND($I1096="תקין",$J1096="תקין",$K1096="תקין"),"רהוטה",IF(AND($I1096="תקין",$J1096="תקין"),"מדויקת ורציפה","אינה מדויקת או מקוטעת"))))</f>
        <v/>
      </c>
      <c r="Z1096" s="32">
        <f>IF($C1096="","",IF(COUNTA($U1096:$W1096)&lt;3,"",IF(AND($U1096="מפותח",$V1096="מפותח",$W1096="מפותחת"),"מפותחת",IF((--($U1096="דל"))+(--($V1096="אינו מפותח"))+(--($W1096="דלה"))&gt;=2,"אינה מפותחת","חלקית"))))</f>
        <v/>
      </c>
      <c r="AA1096" s="32">
        <f>IF($C1096="","",IF(COUNTA($M1096,$N1096,$O1096)&lt;3,"— חסרים נתונים",IF(OR($M1096="נמוכה",(--($M1096&lt;&gt;"תקינה"))+(--($N1096&lt;&gt;"תקין"))+(--($O1096&lt;&gt;"תקינה"))&gt;=2),"ניכרת","אינה ניכרת")))</f>
        <v/>
      </c>
      <c r="AB1096" s="32">
        <f>IF(OR($C1096="",$Y1096="",$AA1096="",LEFT($Y1096,1)="—",LEFT($AA1096,1)="—"),"",IF($Z1096="","— נדרשת הערכת כתיבה",IF($L1096="","— חסרה הבנת הנקרא",IF($Y1096="אינה מדויקת או מקוטעת",IF($AA1096="ניכרת","מיקוד בשטף הקריאה ובכישורי שפה","מיקוד בשטף קריאה"),IF($AA1096="ניכרת","מיקוד בכישורי שפה",IF(AND($L1096="תקינה",$Z1096="מפותחת"),"קוראים וכותבים מיומנים","מיקוד בהבנה והבעה"))))))</f>
        <v/>
      </c>
      <c r="AC1096" s="32">
        <f>IF(OR($AB1096="",LEFT($AB1096,1)="—"),"",IF(OR($AB1096="מיקוד בשטף קריאה",$AB1096="מיקוד בשטף הקריאה ובכישורי שפה"),"רמה א'",IF($AB1096="קוראים וכותבים מיומנים","רמה ג'","רמה ב'")))</f>
        <v/>
      </c>
      <c r="AD1096" s="32">
        <f>IF($AC1096="","",MID(IF(AND($AC1096="רמה א'",$AA1096="ניכרת"),"; להוסיף עבודת אוצר מילים","")&amp;IF($Z1096="אינה מפותחת","; דגש על הבעה בכתב","")&amp;IF($K1096&lt;&gt;"תקין","; נדרש לעבוד על ההנגנה","")&amp;IF($AK1096&lt;&gt;"","; "&amp;$AK1096,""),3,400))</f>
        <v/>
      </c>
      <c r="AE1096" s="32">
        <f>IF($F1096="","",IF($F1096="תחילת שנה",1,IF($F1096="מחצית שנה",2,3)))</f>
        <v/>
      </c>
      <c r="AF1096" s="32">
        <f>IF(OR($B1096="",$AC1096="",$A1096="",$F1096=""),"",$B1096&amp;"|"&amp;$A1096&amp;"|"&amp;$F1096&amp;"|"&amp;$AC1096&amp;"|"&amp;COUNTIFS($B$6:$B1096,$B1096,$A$6:$A1096,$A1096,$F$6:$F1096,$F1096,$AC$6:$AC1096,$AC1096))</f>
        <v/>
      </c>
      <c r="AG1096" s="32">
        <f>IF($C1096="","",$C1096&amp;"|"&amp;COUNTIFS($C$6:$C1096,$C1096))</f>
        <v/>
      </c>
      <c r="AH1096" s="32">
        <f>IF(OR($C1096="",$A1096="",$AE1096=""),"",$C1096&amp;"|"&amp;$A1096&amp;"|"&amp;$AE1096)</f>
        <v/>
      </c>
      <c r="AI1096" s="32">
        <f>IF(OR($C1096="",$AE1096="",$AE1096=1),"",IFERROR(INDEX($AC$6:$AC$1505,MATCH($C1096&amp;"|"&amp;$A1096&amp;"|"&amp;($AE1096-1),$AH$6:$AH$1505,0)),""))</f>
        <v/>
      </c>
      <c r="AJ1096" s="32">
        <f>IF(OR($AI1096="",$AC1096=""),"",IF($AI1096=$AC1096,"ללא שינוי","מ-"&amp;$AI1096&amp;" ל-"&amp;$AC1096))</f>
        <v/>
      </c>
      <c r="AK1096" s="67" t="n"/>
    </row>
    <row r="1097">
      <c r="A1097" s="65" t="n"/>
      <c r="B1097" s="65" t="n"/>
      <c r="C1097" s="66" t="n"/>
      <c r="D1097" s="66" t="n"/>
      <c r="E1097" s="65" t="n"/>
      <c r="F1097" s="65" t="n"/>
      <c r="G1097" s="65" t="n"/>
      <c r="H1097" s="65" t="n"/>
      <c r="I1097" s="65" t="n"/>
      <c r="J1097" s="65" t="n"/>
      <c r="K1097" s="65" t="n"/>
      <c r="L1097" s="65" t="n"/>
      <c r="M1097" s="65" t="n"/>
      <c r="N1097" s="65" t="n"/>
      <c r="O1097" s="65" t="n"/>
      <c r="P1097" s="65" t="n"/>
      <c r="Q1097" s="65" t="n"/>
      <c r="R1097" s="65" t="n"/>
      <c r="S1097" s="65" t="n"/>
      <c r="T1097" s="65" t="n"/>
      <c r="U1097" s="65" t="n"/>
      <c r="V1097" s="65" t="n"/>
      <c r="W1097" s="65" t="n"/>
      <c r="X1097" s="65" t="n"/>
      <c r="Y1097" s="32">
        <f>IF($C1097="","",IF(COUNTA($I1097:$K1097)&lt;3,"— חסרים נתונים",IF(AND($I1097="תקין",$J1097="תקין",$K1097="תקין"),"רהוטה",IF(AND($I1097="תקין",$J1097="תקין"),"מדויקת ורציפה","אינה מדויקת או מקוטעת"))))</f>
        <v/>
      </c>
      <c r="Z1097" s="32">
        <f>IF($C1097="","",IF(COUNTA($U1097:$W1097)&lt;3,"",IF(AND($U1097="מפותח",$V1097="מפותח",$W1097="מפותחת"),"מפותחת",IF((--($U1097="דל"))+(--($V1097="אינו מפותח"))+(--($W1097="דלה"))&gt;=2,"אינה מפותחת","חלקית"))))</f>
        <v/>
      </c>
      <c r="AA1097" s="32">
        <f>IF($C1097="","",IF(COUNTA($M1097,$N1097,$O1097)&lt;3,"— חסרים נתונים",IF(OR($M1097="נמוכה",(--($M1097&lt;&gt;"תקינה"))+(--($N1097&lt;&gt;"תקין"))+(--($O1097&lt;&gt;"תקינה"))&gt;=2),"ניכרת","אינה ניכרת")))</f>
        <v/>
      </c>
      <c r="AB1097" s="32">
        <f>IF(OR($C1097="",$Y1097="",$AA1097="",LEFT($Y1097,1)="—",LEFT($AA1097,1)="—"),"",IF($Z1097="","— נדרשת הערכת כתיבה",IF($L1097="","— חסרה הבנת הנקרא",IF($Y1097="אינה מדויקת או מקוטעת",IF($AA1097="ניכרת","מיקוד בשטף הקריאה ובכישורי שפה","מיקוד בשטף קריאה"),IF($AA1097="ניכרת","מיקוד בכישורי שפה",IF(AND($L1097="תקינה",$Z1097="מפותחת"),"קוראים וכותבים מיומנים","מיקוד בהבנה והבעה"))))))</f>
        <v/>
      </c>
      <c r="AC1097" s="32">
        <f>IF(OR($AB1097="",LEFT($AB1097,1)="—"),"",IF(OR($AB1097="מיקוד בשטף קריאה",$AB1097="מיקוד בשטף הקריאה ובכישורי שפה"),"רמה א'",IF($AB1097="קוראים וכותבים מיומנים","רמה ג'","רמה ב'")))</f>
        <v/>
      </c>
      <c r="AD1097" s="32">
        <f>IF($AC1097="","",MID(IF(AND($AC1097="רמה א'",$AA1097="ניכרת"),"; להוסיף עבודת אוצר מילים","")&amp;IF($Z1097="אינה מפותחת","; דגש על הבעה בכתב","")&amp;IF($K1097&lt;&gt;"תקין","; נדרש לעבוד על ההנגנה","")&amp;IF($AK1097&lt;&gt;"","; "&amp;$AK1097,""),3,400))</f>
        <v/>
      </c>
      <c r="AE1097" s="32">
        <f>IF($F1097="","",IF($F1097="תחילת שנה",1,IF($F1097="מחצית שנה",2,3)))</f>
        <v/>
      </c>
      <c r="AF1097" s="32">
        <f>IF(OR($B1097="",$AC1097="",$A1097="",$F1097=""),"",$B1097&amp;"|"&amp;$A1097&amp;"|"&amp;$F1097&amp;"|"&amp;$AC1097&amp;"|"&amp;COUNTIFS($B$6:$B1097,$B1097,$A$6:$A1097,$A1097,$F$6:$F1097,$F1097,$AC$6:$AC1097,$AC1097))</f>
        <v/>
      </c>
      <c r="AG1097" s="32">
        <f>IF($C1097="","",$C1097&amp;"|"&amp;COUNTIFS($C$6:$C1097,$C1097))</f>
        <v/>
      </c>
      <c r="AH1097" s="32">
        <f>IF(OR($C1097="",$A1097="",$AE1097=""),"",$C1097&amp;"|"&amp;$A1097&amp;"|"&amp;$AE1097)</f>
        <v/>
      </c>
      <c r="AI1097" s="32">
        <f>IF(OR($C1097="",$AE1097="",$AE1097=1),"",IFERROR(INDEX($AC$6:$AC$1505,MATCH($C1097&amp;"|"&amp;$A1097&amp;"|"&amp;($AE1097-1),$AH$6:$AH$1505,0)),""))</f>
        <v/>
      </c>
      <c r="AJ1097" s="32">
        <f>IF(OR($AI1097="",$AC1097=""),"",IF($AI1097=$AC1097,"ללא שינוי","מ-"&amp;$AI1097&amp;" ל-"&amp;$AC1097))</f>
        <v/>
      </c>
      <c r="AK1097" s="67" t="n"/>
    </row>
    <row r="1098">
      <c r="A1098" s="65" t="n"/>
      <c r="B1098" s="65" t="n"/>
      <c r="C1098" s="66" t="n"/>
      <c r="D1098" s="66" t="n"/>
      <c r="E1098" s="65" t="n"/>
      <c r="F1098" s="65" t="n"/>
      <c r="G1098" s="65" t="n"/>
      <c r="H1098" s="65" t="n"/>
      <c r="I1098" s="65" t="n"/>
      <c r="J1098" s="65" t="n"/>
      <c r="K1098" s="65" t="n"/>
      <c r="L1098" s="65" t="n"/>
      <c r="M1098" s="65" t="n"/>
      <c r="N1098" s="65" t="n"/>
      <c r="O1098" s="65" t="n"/>
      <c r="P1098" s="65" t="n"/>
      <c r="Q1098" s="65" t="n"/>
      <c r="R1098" s="65" t="n"/>
      <c r="S1098" s="65" t="n"/>
      <c r="T1098" s="65" t="n"/>
      <c r="U1098" s="65" t="n"/>
      <c r="V1098" s="65" t="n"/>
      <c r="W1098" s="65" t="n"/>
      <c r="X1098" s="65" t="n"/>
      <c r="Y1098" s="32">
        <f>IF($C1098="","",IF(COUNTA($I1098:$K1098)&lt;3,"— חסרים נתונים",IF(AND($I1098="תקין",$J1098="תקין",$K1098="תקין"),"רהוטה",IF(AND($I1098="תקין",$J1098="תקין"),"מדויקת ורציפה","אינה מדויקת או מקוטעת"))))</f>
        <v/>
      </c>
      <c r="Z1098" s="32">
        <f>IF($C1098="","",IF(COUNTA($U1098:$W1098)&lt;3,"",IF(AND($U1098="מפותח",$V1098="מפותח",$W1098="מפותחת"),"מפותחת",IF((--($U1098="דל"))+(--($V1098="אינו מפותח"))+(--($W1098="דלה"))&gt;=2,"אינה מפותחת","חלקית"))))</f>
        <v/>
      </c>
      <c r="AA1098" s="32">
        <f>IF($C1098="","",IF(COUNTA($M1098,$N1098,$O1098)&lt;3,"— חסרים נתונים",IF(OR($M1098="נמוכה",(--($M1098&lt;&gt;"תקינה"))+(--($N1098&lt;&gt;"תקין"))+(--($O1098&lt;&gt;"תקינה"))&gt;=2),"ניכרת","אינה ניכרת")))</f>
        <v/>
      </c>
      <c r="AB1098" s="32">
        <f>IF(OR($C1098="",$Y1098="",$AA1098="",LEFT($Y1098,1)="—",LEFT($AA1098,1)="—"),"",IF($Z1098="","— נדרשת הערכת כתיבה",IF($L1098="","— חסרה הבנת הנקרא",IF($Y1098="אינה מדויקת או מקוטעת",IF($AA1098="ניכרת","מיקוד בשטף הקריאה ובכישורי שפה","מיקוד בשטף קריאה"),IF($AA1098="ניכרת","מיקוד בכישורי שפה",IF(AND($L1098="תקינה",$Z1098="מפותחת"),"קוראים וכותבים מיומנים","מיקוד בהבנה והבעה"))))))</f>
        <v/>
      </c>
      <c r="AC1098" s="32">
        <f>IF(OR($AB1098="",LEFT($AB1098,1)="—"),"",IF(OR($AB1098="מיקוד בשטף קריאה",$AB1098="מיקוד בשטף הקריאה ובכישורי שפה"),"רמה א'",IF($AB1098="קוראים וכותבים מיומנים","רמה ג'","רמה ב'")))</f>
        <v/>
      </c>
      <c r="AD1098" s="32">
        <f>IF($AC1098="","",MID(IF(AND($AC1098="רמה א'",$AA1098="ניכרת"),"; להוסיף עבודת אוצר מילים","")&amp;IF($Z1098="אינה מפותחת","; דגש על הבעה בכתב","")&amp;IF($K1098&lt;&gt;"תקין","; נדרש לעבוד על ההנגנה","")&amp;IF($AK1098&lt;&gt;"","; "&amp;$AK1098,""),3,400))</f>
        <v/>
      </c>
      <c r="AE1098" s="32">
        <f>IF($F1098="","",IF($F1098="תחילת שנה",1,IF($F1098="מחצית שנה",2,3)))</f>
        <v/>
      </c>
      <c r="AF1098" s="32">
        <f>IF(OR($B1098="",$AC1098="",$A1098="",$F1098=""),"",$B1098&amp;"|"&amp;$A1098&amp;"|"&amp;$F1098&amp;"|"&amp;$AC1098&amp;"|"&amp;COUNTIFS($B$6:$B1098,$B1098,$A$6:$A1098,$A1098,$F$6:$F1098,$F1098,$AC$6:$AC1098,$AC1098))</f>
        <v/>
      </c>
      <c r="AG1098" s="32">
        <f>IF($C1098="","",$C1098&amp;"|"&amp;COUNTIFS($C$6:$C1098,$C1098))</f>
        <v/>
      </c>
      <c r="AH1098" s="32">
        <f>IF(OR($C1098="",$A1098="",$AE1098=""),"",$C1098&amp;"|"&amp;$A1098&amp;"|"&amp;$AE1098)</f>
        <v/>
      </c>
      <c r="AI1098" s="32">
        <f>IF(OR($C1098="",$AE1098="",$AE1098=1),"",IFERROR(INDEX($AC$6:$AC$1505,MATCH($C1098&amp;"|"&amp;$A1098&amp;"|"&amp;($AE1098-1),$AH$6:$AH$1505,0)),""))</f>
        <v/>
      </c>
      <c r="AJ1098" s="32">
        <f>IF(OR($AI1098="",$AC1098=""),"",IF($AI1098=$AC1098,"ללא שינוי","מ-"&amp;$AI1098&amp;" ל-"&amp;$AC1098))</f>
        <v/>
      </c>
      <c r="AK1098" s="67" t="n"/>
    </row>
    <row r="1099">
      <c r="A1099" s="65" t="n"/>
      <c r="B1099" s="65" t="n"/>
      <c r="C1099" s="66" t="n"/>
      <c r="D1099" s="66" t="n"/>
      <c r="E1099" s="65" t="n"/>
      <c r="F1099" s="65" t="n"/>
      <c r="G1099" s="65" t="n"/>
      <c r="H1099" s="65" t="n"/>
      <c r="I1099" s="65" t="n"/>
      <c r="J1099" s="65" t="n"/>
      <c r="K1099" s="65" t="n"/>
      <c r="L1099" s="65" t="n"/>
      <c r="M1099" s="65" t="n"/>
      <c r="N1099" s="65" t="n"/>
      <c r="O1099" s="65" t="n"/>
      <c r="P1099" s="65" t="n"/>
      <c r="Q1099" s="65" t="n"/>
      <c r="R1099" s="65" t="n"/>
      <c r="S1099" s="65" t="n"/>
      <c r="T1099" s="65" t="n"/>
      <c r="U1099" s="65" t="n"/>
      <c r="V1099" s="65" t="n"/>
      <c r="W1099" s="65" t="n"/>
      <c r="X1099" s="65" t="n"/>
      <c r="Y1099" s="32">
        <f>IF($C1099="","",IF(COUNTA($I1099:$K1099)&lt;3,"— חסרים נתונים",IF(AND($I1099="תקין",$J1099="תקין",$K1099="תקין"),"רהוטה",IF(AND($I1099="תקין",$J1099="תקין"),"מדויקת ורציפה","אינה מדויקת או מקוטעת"))))</f>
        <v/>
      </c>
      <c r="Z1099" s="32">
        <f>IF($C1099="","",IF(COUNTA($U1099:$W1099)&lt;3,"",IF(AND($U1099="מפותח",$V1099="מפותח",$W1099="מפותחת"),"מפותחת",IF((--($U1099="דל"))+(--($V1099="אינו מפותח"))+(--($W1099="דלה"))&gt;=2,"אינה מפותחת","חלקית"))))</f>
        <v/>
      </c>
      <c r="AA1099" s="32">
        <f>IF($C1099="","",IF(COUNTA($M1099,$N1099,$O1099)&lt;3,"— חסרים נתונים",IF(OR($M1099="נמוכה",(--($M1099&lt;&gt;"תקינה"))+(--($N1099&lt;&gt;"תקין"))+(--($O1099&lt;&gt;"תקינה"))&gt;=2),"ניכרת","אינה ניכרת")))</f>
        <v/>
      </c>
      <c r="AB1099" s="32">
        <f>IF(OR($C1099="",$Y1099="",$AA1099="",LEFT($Y1099,1)="—",LEFT($AA1099,1)="—"),"",IF($Z1099="","— נדרשת הערכת כתיבה",IF($L1099="","— חסרה הבנת הנקרא",IF($Y1099="אינה מדויקת או מקוטעת",IF($AA1099="ניכרת","מיקוד בשטף הקריאה ובכישורי שפה","מיקוד בשטף קריאה"),IF($AA1099="ניכרת","מיקוד בכישורי שפה",IF(AND($L1099="תקינה",$Z1099="מפותחת"),"קוראים וכותבים מיומנים","מיקוד בהבנה והבעה"))))))</f>
        <v/>
      </c>
      <c r="AC1099" s="32">
        <f>IF(OR($AB1099="",LEFT($AB1099,1)="—"),"",IF(OR($AB1099="מיקוד בשטף קריאה",$AB1099="מיקוד בשטף הקריאה ובכישורי שפה"),"רמה א'",IF($AB1099="קוראים וכותבים מיומנים","רמה ג'","רמה ב'")))</f>
        <v/>
      </c>
      <c r="AD1099" s="32">
        <f>IF($AC1099="","",MID(IF(AND($AC1099="רמה א'",$AA1099="ניכרת"),"; להוסיף עבודת אוצר מילים","")&amp;IF($Z1099="אינה מפותחת","; דגש על הבעה בכתב","")&amp;IF($K1099&lt;&gt;"תקין","; נדרש לעבוד על ההנגנה","")&amp;IF($AK1099&lt;&gt;"","; "&amp;$AK1099,""),3,400))</f>
        <v/>
      </c>
      <c r="AE1099" s="32">
        <f>IF($F1099="","",IF($F1099="תחילת שנה",1,IF($F1099="מחצית שנה",2,3)))</f>
        <v/>
      </c>
      <c r="AF1099" s="32">
        <f>IF(OR($B1099="",$AC1099="",$A1099="",$F1099=""),"",$B1099&amp;"|"&amp;$A1099&amp;"|"&amp;$F1099&amp;"|"&amp;$AC1099&amp;"|"&amp;COUNTIFS($B$6:$B1099,$B1099,$A$6:$A1099,$A1099,$F$6:$F1099,$F1099,$AC$6:$AC1099,$AC1099))</f>
        <v/>
      </c>
      <c r="AG1099" s="32">
        <f>IF($C1099="","",$C1099&amp;"|"&amp;COUNTIFS($C$6:$C1099,$C1099))</f>
        <v/>
      </c>
      <c r="AH1099" s="32">
        <f>IF(OR($C1099="",$A1099="",$AE1099=""),"",$C1099&amp;"|"&amp;$A1099&amp;"|"&amp;$AE1099)</f>
        <v/>
      </c>
      <c r="AI1099" s="32">
        <f>IF(OR($C1099="",$AE1099="",$AE1099=1),"",IFERROR(INDEX($AC$6:$AC$1505,MATCH($C1099&amp;"|"&amp;$A1099&amp;"|"&amp;($AE1099-1),$AH$6:$AH$1505,0)),""))</f>
        <v/>
      </c>
      <c r="AJ1099" s="32">
        <f>IF(OR($AI1099="",$AC1099=""),"",IF($AI1099=$AC1099,"ללא שינוי","מ-"&amp;$AI1099&amp;" ל-"&amp;$AC1099))</f>
        <v/>
      </c>
      <c r="AK1099" s="67" t="n"/>
    </row>
    <row r="1100">
      <c r="A1100" s="65" t="n"/>
      <c r="B1100" s="65" t="n"/>
      <c r="C1100" s="66" t="n"/>
      <c r="D1100" s="66" t="n"/>
      <c r="E1100" s="65" t="n"/>
      <c r="F1100" s="65" t="n"/>
      <c r="G1100" s="65" t="n"/>
      <c r="H1100" s="65" t="n"/>
      <c r="I1100" s="65" t="n"/>
      <c r="J1100" s="65" t="n"/>
      <c r="K1100" s="65" t="n"/>
      <c r="L1100" s="65" t="n"/>
      <c r="M1100" s="65" t="n"/>
      <c r="N1100" s="65" t="n"/>
      <c r="O1100" s="65" t="n"/>
      <c r="P1100" s="65" t="n"/>
      <c r="Q1100" s="65" t="n"/>
      <c r="R1100" s="65" t="n"/>
      <c r="S1100" s="65" t="n"/>
      <c r="T1100" s="65" t="n"/>
      <c r="U1100" s="65" t="n"/>
      <c r="V1100" s="65" t="n"/>
      <c r="W1100" s="65" t="n"/>
      <c r="X1100" s="65" t="n"/>
      <c r="Y1100" s="32">
        <f>IF($C1100="","",IF(COUNTA($I1100:$K1100)&lt;3,"— חסרים נתונים",IF(AND($I1100="תקין",$J1100="תקין",$K1100="תקין"),"רהוטה",IF(AND($I1100="תקין",$J1100="תקין"),"מדויקת ורציפה","אינה מדויקת או מקוטעת"))))</f>
        <v/>
      </c>
      <c r="Z1100" s="32">
        <f>IF($C1100="","",IF(COUNTA($U1100:$W1100)&lt;3,"",IF(AND($U1100="מפותח",$V1100="מפותח",$W1100="מפותחת"),"מפותחת",IF((--($U1100="דל"))+(--($V1100="אינו מפותח"))+(--($W1100="דלה"))&gt;=2,"אינה מפותחת","חלקית"))))</f>
        <v/>
      </c>
      <c r="AA1100" s="32">
        <f>IF($C1100="","",IF(COUNTA($M1100,$N1100,$O1100)&lt;3,"— חסרים נתונים",IF(OR($M1100="נמוכה",(--($M1100&lt;&gt;"תקינה"))+(--($N1100&lt;&gt;"תקין"))+(--($O1100&lt;&gt;"תקינה"))&gt;=2),"ניכרת","אינה ניכרת")))</f>
        <v/>
      </c>
      <c r="AB1100" s="32">
        <f>IF(OR($C1100="",$Y1100="",$AA1100="",LEFT($Y1100,1)="—",LEFT($AA1100,1)="—"),"",IF($Z1100="","— נדרשת הערכת כתיבה",IF($L1100="","— חסרה הבנת הנקרא",IF($Y1100="אינה מדויקת או מקוטעת",IF($AA1100="ניכרת","מיקוד בשטף הקריאה ובכישורי שפה","מיקוד בשטף קריאה"),IF($AA1100="ניכרת","מיקוד בכישורי שפה",IF(AND($L1100="תקינה",$Z1100="מפותחת"),"קוראים וכותבים מיומנים","מיקוד בהבנה והבעה"))))))</f>
        <v/>
      </c>
      <c r="AC1100" s="32">
        <f>IF(OR($AB1100="",LEFT($AB1100,1)="—"),"",IF(OR($AB1100="מיקוד בשטף קריאה",$AB1100="מיקוד בשטף הקריאה ובכישורי שפה"),"רמה א'",IF($AB1100="קוראים וכותבים מיומנים","רמה ג'","רמה ב'")))</f>
        <v/>
      </c>
      <c r="AD1100" s="32">
        <f>IF($AC1100="","",MID(IF(AND($AC1100="רמה א'",$AA1100="ניכרת"),"; להוסיף עבודת אוצר מילים","")&amp;IF($Z1100="אינה מפותחת","; דגש על הבעה בכתב","")&amp;IF($K1100&lt;&gt;"תקין","; נדרש לעבוד על ההנגנה","")&amp;IF($AK1100&lt;&gt;"","; "&amp;$AK1100,""),3,400))</f>
        <v/>
      </c>
      <c r="AE1100" s="32">
        <f>IF($F1100="","",IF($F1100="תחילת שנה",1,IF($F1100="מחצית שנה",2,3)))</f>
        <v/>
      </c>
      <c r="AF1100" s="32">
        <f>IF(OR($B1100="",$AC1100="",$A1100="",$F1100=""),"",$B1100&amp;"|"&amp;$A1100&amp;"|"&amp;$F1100&amp;"|"&amp;$AC1100&amp;"|"&amp;COUNTIFS($B$6:$B1100,$B1100,$A$6:$A1100,$A1100,$F$6:$F1100,$F1100,$AC$6:$AC1100,$AC1100))</f>
        <v/>
      </c>
      <c r="AG1100" s="32">
        <f>IF($C1100="","",$C1100&amp;"|"&amp;COUNTIFS($C$6:$C1100,$C1100))</f>
        <v/>
      </c>
      <c r="AH1100" s="32">
        <f>IF(OR($C1100="",$A1100="",$AE1100=""),"",$C1100&amp;"|"&amp;$A1100&amp;"|"&amp;$AE1100)</f>
        <v/>
      </c>
      <c r="AI1100" s="32">
        <f>IF(OR($C1100="",$AE1100="",$AE1100=1),"",IFERROR(INDEX($AC$6:$AC$1505,MATCH($C1100&amp;"|"&amp;$A1100&amp;"|"&amp;($AE1100-1),$AH$6:$AH$1505,0)),""))</f>
        <v/>
      </c>
      <c r="AJ1100" s="32">
        <f>IF(OR($AI1100="",$AC1100=""),"",IF($AI1100=$AC1100,"ללא שינוי","מ-"&amp;$AI1100&amp;" ל-"&amp;$AC1100))</f>
        <v/>
      </c>
      <c r="AK1100" s="67" t="n"/>
    </row>
    <row r="1101">
      <c r="A1101" s="65" t="n"/>
      <c r="B1101" s="65" t="n"/>
      <c r="C1101" s="66" t="n"/>
      <c r="D1101" s="66" t="n"/>
      <c r="E1101" s="65" t="n"/>
      <c r="F1101" s="65" t="n"/>
      <c r="G1101" s="65" t="n"/>
      <c r="H1101" s="65" t="n"/>
      <c r="I1101" s="65" t="n"/>
      <c r="J1101" s="65" t="n"/>
      <c r="K1101" s="65" t="n"/>
      <c r="L1101" s="65" t="n"/>
      <c r="M1101" s="65" t="n"/>
      <c r="N1101" s="65" t="n"/>
      <c r="O1101" s="65" t="n"/>
      <c r="P1101" s="65" t="n"/>
      <c r="Q1101" s="65" t="n"/>
      <c r="R1101" s="65" t="n"/>
      <c r="S1101" s="65" t="n"/>
      <c r="T1101" s="65" t="n"/>
      <c r="U1101" s="65" t="n"/>
      <c r="V1101" s="65" t="n"/>
      <c r="W1101" s="65" t="n"/>
      <c r="X1101" s="65" t="n"/>
      <c r="Y1101" s="32">
        <f>IF($C1101="","",IF(COUNTA($I1101:$K1101)&lt;3,"— חסרים נתונים",IF(AND($I1101="תקין",$J1101="תקין",$K1101="תקין"),"רהוטה",IF(AND($I1101="תקין",$J1101="תקין"),"מדויקת ורציפה","אינה מדויקת או מקוטעת"))))</f>
        <v/>
      </c>
      <c r="Z1101" s="32">
        <f>IF($C1101="","",IF(COUNTA($U1101:$W1101)&lt;3,"",IF(AND($U1101="מפותח",$V1101="מפותח",$W1101="מפותחת"),"מפותחת",IF((--($U1101="דל"))+(--($V1101="אינו מפותח"))+(--($W1101="דלה"))&gt;=2,"אינה מפותחת","חלקית"))))</f>
        <v/>
      </c>
      <c r="AA1101" s="32">
        <f>IF($C1101="","",IF(COUNTA($M1101,$N1101,$O1101)&lt;3,"— חסרים נתונים",IF(OR($M1101="נמוכה",(--($M1101&lt;&gt;"תקינה"))+(--($N1101&lt;&gt;"תקין"))+(--($O1101&lt;&gt;"תקינה"))&gt;=2),"ניכרת","אינה ניכרת")))</f>
        <v/>
      </c>
      <c r="AB1101" s="32">
        <f>IF(OR($C1101="",$Y1101="",$AA1101="",LEFT($Y1101,1)="—",LEFT($AA1101,1)="—"),"",IF($Z1101="","— נדרשת הערכת כתיבה",IF($L1101="","— חסרה הבנת הנקרא",IF($Y1101="אינה מדויקת או מקוטעת",IF($AA1101="ניכרת","מיקוד בשטף הקריאה ובכישורי שפה","מיקוד בשטף קריאה"),IF($AA1101="ניכרת","מיקוד בכישורי שפה",IF(AND($L1101="תקינה",$Z1101="מפותחת"),"קוראים וכותבים מיומנים","מיקוד בהבנה והבעה"))))))</f>
        <v/>
      </c>
      <c r="AC1101" s="32">
        <f>IF(OR($AB1101="",LEFT($AB1101,1)="—"),"",IF(OR($AB1101="מיקוד בשטף קריאה",$AB1101="מיקוד בשטף הקריאה ובכישורי שפה"),"רמה א'",IF($AB1101="קוראים וכותבים מיומנים","רמה ג'","רמה ב'")))</f>
        <v/>
      </c>
      <c r="AD1101" s="32">
        <f>IF($AC1101="","",MID(IF(AND($AC1101="רמה א'",$AA1101="ניכרת"),"; להוסיף עבודת אוצר מילים","")&amp;IF($Z1101="אינה מפותחת","; דגש על הבעה בכתב","")&amp;IF($K1101&lt;&gt;"תקין","; נדרש לעבוד על ההנגנה","")&amp;IF($AK1101&lt;&gt;"","; "&amp;$AK1101,""),3,400))</f>
        <v/>
      </c>
      <c r="AE1101" s="32">
        <f>IF($F1101="","",IF($F1101="תחילת שנה",1,IF($F1101="מחצית שנה",2,3)))</f>
        <v/>
      </c>
      <c r="AF1101" s="32">
        <f>IF(OR($B1101="",$AC1101="",$A1101="",$F1101=""),"",$B1101&amp;"|"&amp;$A1101&amp;"|"&amp;$F1101&amp;"|"&amp;$AC1101&amp;"|"&amp;COUNTIFS($B$6:$B1101,$B1101,$A$6:$A1101,$A1101,$F$6:$F1101,$F1101,$AC$6:$AC1101,$AC1101))</f>
        <v/>
      </c>
      <c r="AG1101" s="32">
        <f>IF($C1101="","",$C1101&amp;"|"&amp;COUNTIFS($C$6:$C1101,$C1101))</f>
        <v/>
      </c>
      <c r="AH1101" s="32">
        <f>IF(OR($C1101="",$A1101="",$AE1101=""),"",$C1101&amp;"|"&amp;$A1101&amp;"|"&amp;$AE1101)</f>
        <v/>
      </c>
      <c r="AI1101" s="32">
        <f>IF(OR($C1101="",$AE1101="",$AE1101=1),"",IFERROR(INDEX($AC$6:$AC$1505,MATCH($C1101&amp;"|"&amp;$A1101&amp;"|"&amp;($AE1101-1),$AH$6:$AH$1505,0)),""))</f>
        <v/>
      </c>
      <c r="AJ1101" s="32">
        <f>IF(OR($AI1101="",$AC1101=""),"",IF($AI1101=$AC1101,"ללא שינוי","מ-"&amp;$AI1101&amp;" ל-"&amp;$AC1101))</f>
        <v/>
      </c>
      <c r="AK1101" s="67" t="n"/>
    </row>
    <row r="1102">
      <c r="A1102" s="65" t="n"/>
      <c r="B1102" s="65" t="n"/>
      <c r="C1102" s="66" t="n"/>
      <c r="D1102" s="66" t="n"/>
      <c r="E1102" s="65" t="n"/>
      <c r="F1102" s="65" t="n"/>
      <c r="G1102" s="65" t="n"/>
      <c r="H1102" s="65" t="n"/>
      <c r="I1102" s="65" t="n"/>
      <c r="J1102" s="65" t="n"/>
      <c r="K1102" s="65" t="n"/>
      <c r="L1102" s="65" t="n"/>
      <c r="M1102" s="65" t="n"/>
      <c r="N1102" s="65" t="n"/>
      <c r="O1102" s="65" t="n"/>
      <c r="P1102" s="65" t="n"/>
      <c r="Q1102" s="65" t="n"/>
      <c r="R1102" s="65" t="n"/>
      <c r="S1102" s="65" t="n"/>
      <c r="T1102" s="65" t="n"/>
      <c r="U1102" s="65" t="n"/>
      <c r="V1102" s="65" t="n"/>
      <c r="W1102" s="65" t="n"/>
      <c r="X1102" s="65" t="n"/>
      <c r="Y1102" s="32">
        <f>IF($C1102="","",IF(COUNTA($I1102:$K1102)&lt;3,"— חסרים נתונים",IF(AND($I1102="תקין",$J1102="תקין",$K1102="תקין"),"רהוטה",IF(AND($I1102="תקין",$J1102="תקין"),"מדויקת ורציפה","אינה מדויקת או מקוטעת"))))</f>
        <v/>
      </c>
      <c r="Z1102" s="32">
        <f>IF($C1102="","",IF(COUNTA($U1102:$W1102)&lt;3,"",IF(AND($U1102="מפותח",$V1102="מפותח",$W1102="מפותחת"),"מפותחת",IF((--($U1102="דל"))+(--($V1102="אינו מפותח"))+(--($W1102="דלה"))&gt;=2,"אינה מפותחת","חלקית"))))</f>
        <v/>
      </c>
      <c r="AA1102" s="32">
        <f>IF($C1102="","",IF(COUNTA($M1102,$N1102,$O1102)&lt;3,"— חסרים נתונים",IF(OR($M1102="נמוכה",(--($M1102&lt;&gt;"תקינה"))+(--($N1102&lt;&gt;"תקין"))+(--($O1102&lt;&gt;"תקינה"))&gt;=2),"ניכרת","אינה ניכרת")))</f>
        <v/>
      </c>
      <c r="AB1102" s="32">
        <f>IF(OR($C1102="",$Y1102="",$AA1102="",LEFT($Y1102,1)="—",LEFT($AA1102,1)="—"),"",IF($Z1102="","— נדרשת הערכת כתיבה",IF($L1102="","— חסרה הבנת הנקרא",IF($Y1102="אינה מדויקת או מקוטעת",IF($AA1102="ניכרת","מיקוד בשטף הקריאה ובכישורי שפה","מיקוד בשטף קריאה"),IF($AA1102="ניכרת","מיקוד בכישורי שפה",IF(AND($L1102="תקינה",$Z1102="מפותחת"),"קוראים וכותבים מיומנים","מיקוד בהבנה והבעה"))))))</f>
        <v/>
      </c>
      <c r="AC1102" s="32">
        <f>IF(OR($AB1102="",LEFT($AB1102,1)="—"),"",IF(OR($AB1102="מיקוד בשטף קריאה",$AB1102="מיקוד בשטף הקריאה ובכישורי שפה"),"רמה א'",IF($AB1102="קוראים וכותבים מיומנים","רמה ג'","רמה ב'")))</f>
        <v/>
      </c>
      <c r="AD1102" s="32">
        <f>IF($AC1102="","",MID(IF(AND($AC1102="רמה א'",$AA1102="ניכרת"),"; להוסיף עבודת אוצר מילים","")&amp;IF($Z1102="אינה מפותחת","; דגש על הבעה בכתב","")&amp;IF($K1102&lt;&gt;"תקין","; נדרש לעבוד על ההנגנה","")&amp;IF($AK1102&lt;&gt;"","; "&amp;$AK1102,""),3,400))</f>
        <v/>
      </c>
      <c r="AE1102" s="32">
        <f>IF($F1102="","",IF($F1102="תחילת שנה",1,IF($F1102="מחצית שנה",2,3)))</f>
        <v/>
      </c>
      <c r="AF1102" s="32">
        <f>IF(OR($B1102="",$AC1102="",$A1102="",$F1102=""),"",$B1102&amp;"|"&amp;$A1102&amp;"|"&amp;$F1102&amp;"|"&amp;$AC1102&amp;"|"&amp;COUNTIFS($B$6:$B1102,$B1102,$A$6:$A1102,$A1102,$F$6:$F1102,$F1102,$AC$6:$AC1102,$AC1102))</f>
        <v/>
      </c>
      <c r="AG1102" s="32">
        <f>IF($C1102="","",$C1102&amp;"|"&amp;COUNTIFS($C$6:$C1102,$C1102))</f>
        <v/>
      </c>
      <c r="AH1102" s="32">
        <f>IF(OR($C1102="",$A1102="",$AE1102=""),"",$C1102&amp;"|"&amp;$A1102&amp;"|"&amp;$AE1102)</f>
        <v/>
      </c>
      <c r="AI1102" s="32">
        <f>IF(OR($C1102="",$AE1102="",$AE1102=1),"",IFERROR(INDEX($AC$6:$AC$1505,MATCH($C1102&amp;"|"&amp;$A1102&amp;"|"&amp;($AE1102-1),$AH$6:$AH$1505,0)),""))</f>
        <v/>
      </c>
      <c r="AJ1102" s="32">
        <f>IF(OR($AI1102="",$AC1102=""),"",IF($AI1102=$AC1102,"ללא שינוי","מ-"&amp;$AI1102&amp;" ל-"&amp;$AC1102))</f>
        <v/>
      </c>
      <c r="AK1102" s="67" t="n"/>
    </row>
    <row r="1103">
      <c r="A1103" s="65" t="n"/>
      <c r="B1103" s="65" t="n"/>
      <c r="C1103" s="66" t="n"/>
      <c r="D1103" s="66" t="n"/>
      <c r="E1103" s="65" t="n"/>
      <c r="F1103" s="65" t="n"/>
      <c r="G1103" s="65" t="n"/>
      <c r="H1103" s="65" t="n"/>
      <c r="I1103" s="65" t="n"/>
      <c r="J1103" s="65" t="n"/>
      <c r="K1103" s="65" t="n"/>
      <c r="L1103" s="65" t="n"/>
      <c r="M1103" s="65" t="n"/>
      <c r="N1103" s="65" t="n"/>
      <c r="O1103" s="65" t="n"/>
      <c r="P1103" s="65" t="n"/>
      <c r="Q1103" s="65" t="n"/>
      <c r="R1103" s="65" t="n"/>
      <c r="S1103" s="65" t="n"/>
      <c r="T1103" s="65" t="n"/>
      <c r="U1103" s="65" t="n"/>
      <c r="V1103" s="65" t="n"/>
      <c r="W1103" s="65" t="n"/>
      <c r="X1103" s="65" t="n"/>
      <c r="Y1103" s="32">
        <f>IF($C1103="","",IF(COUNTA($I1103:$K1103)&lt;3,"— חסרים נתונים",IF(AND($I1103="תקין",$J1103="תקין",$K1103="תקין"),"רהוטה",IF(AND($I1103="תקין",$J1103="תקין"),"מדויקת ורציפה","אינה מדויקת או מקוטעת"))))</f>
        <v/>
      </c>
      <c r="Z1103" s="32">
        <f>IF($C1103="","",IF(COUNTA($U1103:$W1103)&lt;3,"",IF(AND($U1103="מפותח",$V1103="מפותח",$W1103="מפותחת"),"מפותחת",IF((--($U1103="דל"))+(--($V1103="אינו מפותח"))+(--($W1103="דלה"))&gt;=2,"אינה מפותחת","חלקית"))))</f>
        <v/>
      </c>
      <c r="AA1103" s="32">
        <f>IF($C1103="","",IF(COUNTA($M1103,$N1103,$O1103)&lt;3,"— חסרים נתונים",IF(OR($M1103="נמוכה",(--($M1103&lt;&gt;"תקינה"))+(--($N1103&lt;&gt;"תקין"))+(--($O1103&lt;&gt;"תקינה"))&gt;=2),"ניכרת","אינה ניכרת")))</f>
        <v/>
      </c>
      <c r="AB1103" s="32">
        <f>IF(OR($C1103="",$Y1103="",$AA1103="",LEFT($Y1103,1)="—",LEFT($AA1103,1)="—"),"",IF($Z1103="","— נדרשת הערכת כתיבה",IF($L1103="","— חסרה הבנת הנקרא",IF($Y1103="אינה מדויקת או מקוטעת",IF($AA1103="ניכרת","מיקוד בשטף הקריאה ובכישורי שפה","מיקוד בשטף קריאה"),IF($AA1103="ניכרת","מיקוד בכישורי שפה",IF(AND($L1103="תקינה",$Z1103="מפותחת"),"קוראים וכותבים מיומנים","מיקוד בהבנה והבעה"))))))</f>
        <v/>
      </c>
      <c r="AC1103" s="32">
        <f>IF(OR($AB1103="",LEFT($AB1103,1)="—"),"",IF(OR($AB1103="מיקוד בשטף קריאה",$AB1103="מיקוד בשטף הקריאה ובכישורי שפה"),"רמה א'",IF($AB1103="קוראים וכותבים מיומנים","רמה ג'","רמה ב'")))</f>
        <v/>
      </c>
      <c r="AD1103" s="32">
        <f>IF($AC1103="","",MID(IF(AND($AC1103="רמה א'",$AA1103="ניכרת"),"; להוסיף עבודת אוצר מילים","")&amp;IF($Z1103="אינה מפותחת","; דגש על הבעה בכתב","")&amp;IF($K1103&lt;&gt;"תקין","; נדרש לעבוד על ההנגנה","")&amp;IF($AK1103&lt;&gt;"","; "&amp;$AK1103,""),3,400))</f>
        <v/>
      </c>
      <c r="AE1103" s="32">
        <f>IF($F1103="","",IF($F1103="תחילת שנה",1,IF($F1103="מחצית שנה",2,3)))</f>
        <v/>
      </c>
      <c r="AF1103" s="32">
        <f>IF(OR($B1103="",$AC1103="",$A1103="",$F1103=""),"",$B1103&amp;"|"&amp;$A1103&amp;"|"&amp;$F1103&amp;"|"&amp;$AC1103&amp;"|"&amp;COUNTIFS($B$6:$B1103,$B1103,$A$6:$A1103,$A1103,$F$6:$F1103,$F1103,$AC$6:$AC1103,$AC1103))</f>
        <v/>
      </c>
      <c r="AG1103" s="32">
        <f>IF($C1103="","",$C1103&amp;"|"&amp;COUNTIFS($C$6:$C1103,$C1103))</f>
        <v/>
      </c>
      <c r="AH1103" s="32">
        <f>IF(OR($C1103="",$A1103="",$AE1103=""),"",$C1103&amp;"|"&amp;$A1103&amp;"|"&amp;$AE1103)</f>
        <v/>
      </c>
      <c r="AI1103" s="32">
        <f>IF(OR($C1103="",$AE1103="",$AE1103=1),"",IFERROR(INDEX($AC$6:$AC$1505,MATCH($C1103&amp;"|"&amp;$A1103&amp;"|"&amp;($AE1103-1),$AH$6:$AH$1505,0)),""))</f>
        <v/>
      </c>
      <c r="AJ1103" s="32">
        <f>IF(OR($AI1103="",$AC1103=""),"",IF($AI1103=$AC1103,"ללא שינוי","מ-"&amp;$AI1103&amp;" ל-"&amp;$AC1103))</f>
        <v/>
      </c>
      <c r="AK1103" s="67" t="n"/>
    </row>
    <row r="1104">
      <c r="A1104" s="65" t="n"/>
      <c r="B1104" s="65" t="n"/>
      <c r="C1104" s="66" t="n"/>
      <c r="D1104" s="66" t="n"/>
      <c r="E1104" s="65" t="n"/>
      <c r="F1104" s="65" t="n"/>
      <c r="G1104" s="65" t="n"/>
      <c r="H1104" s="65" t="n"/>
      <c r="I1104" s="65" t="n"/>
      <c r="J1104" s="65" t="n"/>
      <c r="K1104" s="65" t="n"/>
      <c r="L1104" s="65" t="n"/>
      <c r="M1104" s="65" t="n"/>
      <c r="N1104" s="65" t="n"/>
      <c r="O1104" s="65" t="n"/>
      <c r="P1104" s="65" t="n"/>
      <c r="Q1104" s="65" t="n"/>
      <c r="R1104" s="65" t="n"/>
      <c r="S1104" s="65" t="n"/>
      <c r="T1104" s="65" t="n"/>
      <c r="U1104" s="65" t="n"/>
      <c r="V1104" s="65" t="n"/>
      <c r="W1104" s="65" t="n"/>
      <c r="X1104" s="65" t="n"/>
      <c r="Y1104" s="32">
        <f>IF($C1104="","",IF(COUNTA($I1104:$K1104)&lt;3,"— חסרים נתונים",IF(AND($I1104="תקין",$J1104="תקין",$K1104="תקין"),"רהוטה",IF(AND($I1104="תקין",$J1104="תקין"),"מדויקת ורציפה","אינה מדויקת או מקוטעת"))))</f>
        <v/>
      </c>
      <c r="Z1104" s="32">
        <f>IF($C1104="","",IF(COUNTA($U1104:$W1104)&lt;3,"",IF(AND($U1104="מפותח",$V1104="מפותח",$W1104="מפותחת"),"מפותחת",IF((--($U1104="דל"))+(--($V1104="אינו מפותח"))+(--($W1104="דלה"))&gt;=2,"אינה מפותחת","חלקית"))))</f>
        <v/>
      </c>
      <c r="AA1104" s="32">
        <f>IF($C1104="","",IF(COUNTA($M1104,$N1104,$O1104)&lt;3,"— חסרים נתונים",IF(OR($M1104="נמוכה",(--($M1104&lt;&gt;"תקינה"))+(--($N1104&lt;&gt;"תקין"))+(--($O1104&lt;&gt;"תקינה"))&gt;=2),"ניכרת","אינה ניכרת")))</f>
        <v/>
      </c>
      <c r="AB1104" s="32">
        <f>IF(OR($C1104="",$Y1104="",$AA1104="",LEFT($Y1104,1)="—",LEFT($AA1104,1)="—"),"",IF($Z1104="","— נדרשת הערכת כתיבה",IF($L1104="","— חסרה הבנת הנקרא",IF($Y1104="אינה מדויקת או מקוטעת",IF($AA1104="ניכרת","מיקוד בשטף הקריאה ובכישורי שפה","מיקוד בשטף קריאה"),IF($AA1104="ניכרת","מיקוד בכישורי שפה",IF(AND($L1104="תקינה",$Z1104="מפותחת"),"קוראים וכותבים מיומנים","מיקוד בהבנה והבעה"))))))</f>
        <v/>
      </c>
      <c r="AC1104" s="32">
        <f>IF(OR($AB1104="",LEFT($AB1104,1)="—"),"",IF(OR($AB1104="מיקוד בשטף קריאה",$AB1104="מיקוד בשטף הקריאה ובכישורי שפה"),"רמה א'",IF($AB1104="קוראים וכותבים מיומנים","רמה ג'","רמה ב'")))</f>
        <v/>
      </c>
      <c r="AD1104" s="32">
        <f>IF($AC1104="","",MID(IF(AND($AC1104="רמה א'",$AA1104="ניכרת"),"; להוסיף עבודת אוצר מילים","")&amp;IF($Z1104="אינה מפותחת","; דגש על הבעה בכתב","")&amp;IF($K1104&lt;&gt;"תקין","; נדרש לעבוד על ההנגנה","")&amp;IF($AK1104&lt;&gt;"","; "&amp;$AK1104,""),3,400))</f>
        <v/>
      </c>
      <c r="AE1104" s="32">
        <f>IF($F1104="","",IF($F1104="תחילת שנה",1,IF($F1104="מחצית שנה",2,3)))</f>
        <v/>
      </c>
      <c r="AF1104" s="32">
        <f>IF(OR($B1104="",$AC1104="",$A1104="",$F1104=""),"",$B1104&amp;"|"&amp;$A1104&amp;"|"&amp;$F1104&amp;"|"&amp;$AC1104&amp;"|"&amp;COUNTIFS($B$6:$B1104,$B1104,$A$6:$A1104,$A1104,$F$6:$F1104,$F1104,$AC$6:$AC1104,$AC1104))</f>
        <v/>
      </c>
      <c r="AG1104" s="32">
        <f>IF($C1104="","",$C1104&amp;"|"&amp;COUNTIFS($C$6:$C1104,$C1104))</f>
        <v/>
      </c>
      <c r="AH1104" s="32">
        <f>IF(OR($C1104="",$A1104="",$AE1104=""),"",$C1104&amp;"|"&amp;$A1104&amp;"|"&amp;$AE1104)</f>
        <v/>
      </c>
      <c r="AI1104" s="32">
        <f>IF(OR($C1104="",$AE1104="",$AE1104=1),"",IFERROR(INDEX($AC$6:$AC$1505,MATCH($C1104&amp;"|"&amp;$A1104&amp;"|"&amp;($AE1104-1),$AH$6:$AH$1505,0)),""))</f>
        <v/>
      </c>
      <c r="AJ1104" s="32">
        <f>IF(OR($AI1104="",$AC1104=""),"",IF($AI1104=$AC1104,"ללא שינוי","מ-"&amp;$AI1104&amp;" ל-"&amp;$AC1104))</f>
        <v/>
      </c>
      <c r="AK1104" s="67" t="n"/>
    </row>
    <row r="1105">
      <c r="A1105" s="65" t="n"/>
      <c r="B1105" s="65" t="n"/>
      <c r="C1105" s="66" t="n"/>
      <c r="D1105" s="66" t="n"/>
      <c r="E1105" s="65" t="n"/>
      <c r="F1105" s="65" t="n"/>
      <c r="G1105" s="65" t="n"/>
      <c r="H1105" s="65" t="n"/>
      <c r="I1105" s="65" t="n"/>
      <c r="J1105" s="65" t="n"/>
      <c r="K1105" s="65" t="n"/>
      <c r="L1105" s="65" t="n"/>
      <c r="M1105" s="65" t="n"/>
      <c r="N1105" s="65" t="n"/>
      <c r="O1105" s="65" t="n"/>
      <c r="P1105" s="65" t="n"/>
      <c r="Q1105" s="65" t="n"/>
      <c r="R1105" s="65" t="n"/>
      <c r="S1105" s="65" t="n"/>
      <c r="T1105" s="65" t="n"/>
      <c r="U1105" s="65" t="n"/>
      <c r="V1105" s="65" t="n"/>
      <c r="W1105" s="65" t="n"/>
      <c r="X1105" s="65" t="n"/>
      <c r="Y1105" s="32">
        <f>IF($C1105="","",IF(COUNTA($I1105:$K1105)&lt;3,"— חסרים נתונים",IF(AND($I1105="תקין",$J1105="תקין",$K1105="תקין"),"רהוטה",IF(AND($I1105="תקין",$J1105="תקין"),"מדויקת ורציפה","אינה מדויקת או מקוטעת"))))</f>
        <v/>
      </c>
      <c r="Z1105" s="32">
        <f>IF($C1105="","",IF(COUNTA($U1105:$W1105)&lt;3,"",IF(AND($U1105="מפותח",$V1105="מפותח",$W1105="מפותחת"),"מפותחת",IF((--($U1105="דל"))+(--($V1105="אינו מפותח"))+(--($W1105="דלה"))&gt;=2,"אינה מפותחת","חלקית"))))</f>
        <v/>
      </c>
      <c r="AA1105" s="32">
        <f>IF($C1105="","",IF(COUNTA($M1105,$N1105,$O1105)&lt;3,"— חסרים נתונים",IF(OR($M1105="נמוכה",(--($M1105&lt;&gt;"תקינה"))+(--($N1105&lt;&gt;"תקין"))+(--($O1105&lt;&gt;"תקינה"))&gt;=2),"ניכרת","אינה ניכרת")))</f>
        <v/>
      </c>
      <c r="AB1105" s="32">
        <f>IF(OR($C1105="",$Y1105="",$AA1105="",LEFT($Y1105,1)="—",LEFT($AA1105,1)="—"),"",IF($Z1105="","— נדרשת הערכת כתיבה",IF($L1105="","— חסרה הבנת הנקרא",IF($Y1105="אינה מדויקת או מקוטעת",IF($AA1105="ניכרת","מיקוד בשטף הקריאה ובכישורי שפה","מיקוד בשטף קריאה"),IF($AA1105="ניכרת","מיקוד בכישורי שפה",IF(AND($L1105="תקינה",$Z1105="מפותחת"),"קוראים וכותבים מיומנים","מיקוד בהבנה והבעה"))))))</f>
        <v/>
      </c>
      <c r="AC1105" s="32">
        <f>IF(OR($AB1105="",LEFT($AB1105,1)="—"),"",IF(OR($AB1105="מיקוד בשטף קריאה",$AB1105="מיקוד בשטף הקריאה ובכישורי שפה"),"רמה א'",IF($AB1105="קוראים וכותבים מיומנים","רמה ג'","רמה ב'")))</f>
        <v/>
      </c>
      <c r="AD1105" s="32">
        <f>IF($AC1105="","",MID(IF(AND($AC1105="רמה א'",$AA1105="ניכרת"),"; להוסיף עבודת אוצר מילים","")&amp;IF($Z1105="אינה מפותחת","; דגש על הבעה בכתב","")&amp;IF($K1105&lt;&gt;"תקין","; נדרש לעבוד על ההנגנה","")&amp;IF($AK1105&lt;&gt;"","; "&amp;$AK1105,""),3,400))</f>
        <v/>
      </c>
      <c r="AE1105" s="32">
        <f>IF($F1105="","",IF($F1105="תחילת שנה",1,IF($F1105="מחצית שנה",2,3)))</f>
        <v/>
      </c>
      <c r="AF1105" s="32">
        <f>IF(OR($B1105="",$AC1105="",$A1105="",$F1105=""),"",$B1105&amp;"|"&amp;$A1105&amp;"|"&amp;$F1105&amp;"|"&amp;$AC1105&amp;"|"&amp;COUNTIFS($B$6:$B1105,$B1105,$A$6:$A1105,$A1105,$F$6:$F1105,$F1105,$AC$6:$AC1105,$AC1105))</f>
        <v/>
      </c>
      <c r="AG1105" s="32">
        <f>IF($C1105="","",$C1105&amp;"|"&amp;COUNTIFS($C$6:$C1105,$C1105))</f>
        <v/>
      </c>
      <c r="AH1105" s="32">
        <f>IF(OR($C1105="",$A1105="",$AE1105=""),"",$C1105&amp;"|"&amp;$A1105&amp;"|"&amp;$AE1105)</f>
        <v/>
      </c>
      <c r="AI1105" s="32">
        <f>IF(OR($C1105="",$AE1105="",$AE1105=1),"",IFERROR(INDEX($AC$6:$AC$1505,MATCH($C1105&amp;"|"&amp;$A1105&amp;"|"&amp;($AE1105-1),$AH$6:$AH$1505,0)),""))</f>
        <v/>
      </c>
      <c r="AJ1105" s="32">
        <f>IF(OR($AI1105="",$AC1105=""),"",IF($AI1105=$AC1105,"ללא שינוי","מ-"&amp;$AI1105&amp;" ל-"&amp;$AC1105))</f>
        <v/>
      </c>
      <c r="AK1105" s="67" t="n"/>
    </row>
    <row r="1106">
      <c r="A1106" s="65" t="n"/>
      <c r="B1106" s="65" t="n"/>
      <c r="C1106" s="66" t="n"/>
      <c r="D1106" s="66" t="n"/>
      <c r="E1106" s="65" t="n"/>
      <c r="F1106" s="65" t="n"/>
      <c r="G1106" s="65" t="n"/>
      <c r="H1106" s="65" t="n"/>
      <c r="I1106" s="65" t="n"/>
      <c r="J1106" s="65" t="n"/>
      <c r="K1106" s="65" t="n"/>
      <c r="L1106" s="65" t="n"/>
      <c r="M1106" s="65" t="n"/>
      <c r="N1106" s="65" t="n"/>
      <c r="O1106" s="65" t="n"/>
      <c r="P1106" s="65" t="n"/>
      <c r="Q1106" s="65" t="n"/>
      <c r="R1106" s="65" t="n"/>
      <c r="S1106" s="65" t="n"/>
      <c r="T1106" s="65" t="n"/>
      <c r="U1106" s="65" t="n"/>
      <c r="V1106" s="65" t="n"/>
      <c r="W1106" s="65" t="n"/>
      <c r="X1106" s="65" t="n"/>
      <c r="Y1106" s="32">
        <f>IF($C1106="","",IF(COUNTA($I1106:$K1106)&lt;3,"— חסרים נתונים",IF(AND($I1106="תקין",$J1106="תקין",$K1106="תקין"),"רהוטה",IF(AND($I1106="תקין",$J1106="תקין"),"מדויקת ורציפה","אינה מדויקת או מקוטעת"))))</f>
        <v/>
      </c>
      <c r="Z1106" s="32">
        <f>IF($C1106="","",IF(COUNTA($U1106:$W1106)&lt;3,"",IF(AND($U1106="מפותח",$V1106="מפותח",$W1106="מפותחת"),"מפותחת",IF((--($U1106="דל"))+(--($V1106="אינו מפותח"))+(--($W1106="דלה"))&gt;=2,"אינה מפותחת","חלקית"))))</f>
        <v/>
      </c>
      <c r="AA1106" s="32">
        <f>IF($C1106="","",IF(COUNTA($M1106,$N1106,$O1106)&lt;3,"— חסרים נתונים",IF(OR($M1106="נמוכה",(--($M1106&lt;&gt;"תקינה"))+(--($N1106&lt;&gt;"תקין"))+(--($O1106&lt;&gt;"תקינה"))&gt;=2),"ניכרת","אינה ניכרת")))</f>
        <v/>
      </c>
      <c r="AB1106" s="32">
        <f>IF(OR($C1106="",$Y1106="",$AA1106="",LEFT($Y1106,1)="—",LEFT($AA1106,1)="—"),"",IF($Z1106="","— נדרשת הערכת כתיבה",IF($L1106="","— חסרה הבנת הנקרא",IF($Y1106="אינה מדויקת או מקוטעת",IF($AA1106="ניכרת","מיקוד בשטף הקריאה ובכישורי שפה","מיקוד בשטף קריאה"),IF($AA1106="ניכרת","מיקוד בכישורי שפה",IF(AND($L1106="תקינה",$Z1106="מפותחת"),"קוראים וכותבים מיומנים","מיקוד בהבנה והבעה"))))))</f>
        <v/>
      </c>
      <c r="AC1106" s="32">
        <f>IF(OR($AB1106="",LEFT($AB1106,1)="—"),"",IF(OR($AB1106="מיקוד בשטף קריאה",$AB1106="מיקוד בשטף הקריאה ובכישורי שפה"),"רמה א'",IF($AB1106="קוראים וכותבים מיומנים","רמה ג'","רמה ב'")))</f>
        <v/>
      </c>
      <c r="AD1106" s="32">
        <f>IF($AC1106="","",MID(IF(AND($AC1106="רמה א'",$AA1106="ניכרת"),"; להוסיף עבודת אוצר מילים","")&amp;IF($Z1106="אינה מפותחת","; דגש על הבעה בכתב","")&amp;IF($K1106&lt;&gt;"תקין","; נדרש לעבוד על ההנגנה","")&amp;IF($AK1106&lt;&gt;"","; "&amp;$AK1106,""),3,400))</f>
        <v/>
      </c>
      <c r="AE1106" s="32">
        <f>IF($F1106="","",IF($F1106="תחילת שנה",1,IF($F1106="מחצית שנה",2,3)))</f>
        <v/>
      </c>
      <c r="AF1106" s="32">
        <f>IF(OR($B1106="",$AC1106="",$A1106="",$F1106=""),"",$B1106&amp;"|"&amp;$A1106&amp;"|"&amp;$F1106&amp;"|"&amp;$AC1106&amp;"|"&amp;COUNTIFS($B$6:$B1106,$B1106,$A$6:$A1106,$A1106,$F$6:$F1106,$F1106,$AC$6:$AC1106,$AC1106))</f>
        <v/>
      </c>
      <c r="AG1106" s="32">
        <f>IF($C1106="","",$C1106&amp;"|"&amp;COUNTIFS($C$6:$C1106,$C1106))</f>
        <v/>
      </c>
      <c r="AH1106" s="32">
        <f>IF(OR($C1106="",$A1106="",$AE1106=""),"",$C1106&amp;"|"&amp;$A1106&amp;"|"&amp;$AE1106)</f>
        <v/>
      </c>
      <c r="AI1106" s="32">
        <f>IF(OR($C1106="",$AE1106="",$AE1106=1),"",IFERROR(INDEX($AC$6:$AC$1505,MATCH($C1106&amp;"|"&amp;$A1106&amp;"|"&amp;($AE1106-1),$AH$6:$AH$1505,0)),""))</f>
        <v/>
      </c>
      <c r="AJ1106" s="32">
        <f>IF(OR($AI1106="",$AC1106=""),"",IF($AI1106=$AC1106,"ללא שינוי","מ-"&amp;$AI1106&amp;" ל-"&amp;$AC1106))</f>
        <v/>
      </c>
      <c r="AK1106" s="67" t="n"/>
    </row>
    <row r="1107">
      <c r="A1107" s="65" t="n"/>
      <c r="B1107" s="65" t="n"/>
      <c r="C1107" s="66" t="n"/>
      <c r="D1107" s="66" t="n"/>
      <c r="E1107" s="65" t="n"/>
      <c r="F1107" s="65" t="n"/>
      <c r="G1107" s="65" t="n"/>
      <c r="H1107" s="65" t="n"/>
      <c r="I1107" s="65" t="n"/>
      <c r="J1107" s="65" t="n"/>
      <c r="K1107" s="65" t="n"/>
      <c r="L1107" s="65" t="n"/>
      <c r="M1107" s="65" t="n"/>
      <c r="N1107" s="65" t="n"/>
      <c r="O1107" s="65" t="n"/>
      <c r="P1107" s="65" t="n"/>
      <c r="Q1107" s="65" t="n"/>
      <c r="R1107" s="65" t="n"/>
      <c r="S1107" s="65" t="n"/>
      <c r="T1107" s="65" t="n"/>
      <c r="U1107" s="65" t="n"/>
      <c r="V1107" s="65" t="n"/>
      <c r="W1107" s="65" t="n"/>
      <c r="X1107" s="65" t="n"/>
      <c r="Y1107" s="32">
        <f>IF($C1107="","",IF(COUNTA($I1107:$K1107)&lt;3,"— חסרים נתונים",IF(AND($I1107="תקין",$J1107="תקין",$K1107="תקין"),"רהוטה",IF(AND($I1107="תקין",$J1107="תקין"),"מדויקת ורציפה","אינה מדויקת או מקוטעת"))))</f>
        <v/>
      </c>
      <c r="Z1107" s="32">
        <f>IF($C1107="","",IF(COUNTA($U1107:$W1107)&lt;3,"",IF(AND($U1107="מפותח",$V1107="מפותח",$W1107="מפותחת"),"מפותחת",IF((--($U1107="דל"))+(--($V1107="אינו מפותח"))+(--($W1107="דלה"))&gt;=2,"אינה מפותחת","חלקית"))))</f>
        <v/>
      </c>
      <c r="AA1107" s="32">
        <f>IF($C1107="","",IF(COUNTA($M1107,$N1107,$O1107)&lt;3,"— חסרים נתונים",IF(OR($M1107="נמוכה",(--($M1107&lt;&gt;"תקינה"))+(--($N1107&lt;&gt;"תקין"))+(--($O1107&lt;&gt;"תקינה"))&gt;=2),"ניכרת","אינה ניכרת")))</f>
        <v/>
      </c>
      <c r="AB1107" s="32">
        <f>IF(OR($C1107="",$Y1107="",$AA1107="",LEFT($Y1107,1)="—",LEFT($AA1107,1)="—"),"",IF($Z1107="","— נדרשת הערכת כתיבה",IF($L1107="","— חסרה הבנת הנקרא",IF($Y1107="אינה מדויקת או מקוטעת",IF($AA1107="ניכרת","מיקוד בשטף הקריאה ובכישורי שפה","מיקוד בשטף קריאה"),IF($AA1107="ניכרת","מיקוד בכישורי שפה",IF(AND($L1107="תקינה",$Z1107="מפותחת"),"קוראים וכותבים מיומנים","מיקוד בהבנה והבעה"))))))</f>
        <v/>
      </c>
      <c r="AC1107" s="32">
        <f>IF(OR($AB1107="",LEFT($AB1107,1)="—"),"",IF(OR($AB1107="מיקוד בשטף קריאה",$AB1107="מיקוד בשטף הקריאה ובכישורי שפה"),"רמה א'",IF($AB1107="קוראים וכותבים מיומנים","רמה ג'","רמה ב'")))</f>
        <v/>
      </c>
      <c r="AD1107" s="32">
        <f>IF($AC1107="","",MID(IF(AND($AC1107="רמה א'",$AA1107="ניכרת"),"; להוסיף עבודת אוצר מילים","")&amp;IF($Z1107="אינה מפותחת","; דגש על הבעה בכתב","")&amp;IF($K1107&lt;&gt;"תקין","; נדרש לעבוד על ההנגנה","")&amp;IF($AK1107&lt;&gt;"","; "&amp;$AK1107,""),3,400))</f>
        <v/>
      </c>
      <c r="AE1107" s="32">
        <f>IF($F1107="","",IF($F1107="תחילת שנה",1,IF($F1107="מחצית שנה",2,3)))</f>
        <v/>
      </c>
      <c r="AF1107" s="32">
        <f>IF(OR($B1107="",$AC1107="",$A1107="",$F1107=""),"",$B1107&amp;"|"&amp;$A1107&amp;"|"&amp;$F1107&amp;"|"&amp;$AC1107&amp;"|"&amp;COUNTIFS($B$6:$B1107,$B1107,$A$6:$A1107,$A1107,$F$6:$F1107,$F1107,$AC$6:$AC1107,$AC1107))</f>
        <v/>
      </c>
      <c r="AG1107" s="32">
        <f>IF($C1107="","",$C1107&amp;"|"&amp;COUNTIFS($C$6:$C1107,$C1107))</f>
        <v/>
      </c>
      <c r="AH1107" s="32">
        <f>IF(OR($C1107="",$A1107="",$AE1107=""),"",$C1107&amp;"|"&amp;$A1107&amp;"|"&amp;$AE1107)</f>
        <v/>
      </c>
      <c r="AI1107" s="32">
        <f>IF(OR($C1107="",$AE1107="",$AE1107=1),"",IFERROR(INDEX($AC$6:$AC$1505,MATCH($C1107&amp;"|"&amp;$A1107&amp;"|"&amp;($AE1107-1),$AH$6:$AH$1505,0)),""))</f>
        <v/>
      </c>
      <c r="AJ1107" s="32">
        <f>IF(OR($AI1107="",$AC1107=""),"",IF($AI1107=$AC1107,"ללא שינוי","מ-"&amp;$AI1107&amp;" ל-"&amp;$AC1107))</f>
        <v/>
      </c>
      <c r="AK1107" s="67" t="n"/>
    </row>
    <row r="1108">
      <c r="A1108" s="65" t="n"/>
      <c r="B1108" s="65" t="n"/>
      <c r="C1108" s="66" t="n"/>
      <c r="D1108" s="66" t="n"/>
      <c r="E1108" s="65" t="n"/>
      <c r="F1108" s="65" t="n"/>
      <c r="G1108" s="65" t="n"/>
      <c r="H1108" s="65" t="n"/>
      <c r="I1108" s="65" t="n"/>
      <c r="J1108" s="65" t="n"/>
      <c r="K1108" s="65" t="n"/>
      <c r="L1108" s="65" t="n"/>
      <c r="M1108" s="65" t="n"/>
      <c r="N1108" s="65" t="n"/>
      <c r="O1108" s="65" t="n"/>
      <c r="P1108" s="65" t="n"/>
      <c r="Q1108" s="65" t="n"/>
      <c r="R1108" s="65" t="n"/>
      <c r="S1108" s="65" t="n"/>
      <c r="T1108" s="65" t="n"/>
      <c r="U1108" s="65" t="n"/>
      <c r="V1108" s="65" t="n"/>
      <c r="W1108" s="65" t="n"/>
      <c r="X1108" s="65" t="n"/>
      <c r="Y1108" s="32">
        <f>IF($C1108="","",IF(COUNTA($I1108:$K1108)&lt;3,"— חסרים נתונים",IF(AND($I1108="תקין",$J1108="תקין",$K1108="תקין"),"רהוטה",IF(AND($I1108="תקין",$J1108="תקין"),"מדויקת ורציפה","אינה מדויקת או מקוטעת"))))</f>
        <v/>
      </c>
      <c r="Z1108" s="32">
        <f>IF($C1108="","",IF(COUNTA($U1108:$W1108)&lt;3,"",IF(AND($U1108="מפותח",$V1108="מפותח",$W1108="מפותחת"),"מפותחת",IF((--($U1108="דל"))+(--($V1108="אינו מפותח"))+(--($W1108="דלה"))&gt;=2,"אינה מפותחת","חלקית"))))</f>
        <v/>
      </c>
      <c r="AA1108" s="32">
        <f>IF($C1108="","",IF(COUNTA($M1108,$N1108,$O1108)&lt;3,"— חסרים נתונים",IF(OR($M1108="נמוכה",(--($M1108&lt;&gt;"תקינה"))+(--($N1108&lt;&gt;"תקין"))+(--($O1108&lt;&gt;"תקינה"))&gt;=2),"ניכרת","אינה ניכרת")))</f>
        <v/>
      </c>
      <c r="AB1108" s="32">
        <f>IF(OR($C1108="",$Y1108="",$AA1108="",LEFT($Y1108,1)="—",LEFT($AA1108,1)="—"),"",IF($Z1108="","— נדרשת הערכת כתיבה",IF($L1108="","— חסרה הבנת הנקרא",IF($Y1108="אינה מדויקת או מקוטעת",IF($AA1108="ניכרת","מיקוד בשטף הקריאה ובכישורי שפה","מיקוד בשטף קריאה"),IF($AA1108="ניכרת","מיקוד בכישורי שפה",IF(AND($L1108="תקינה",$Z1108="מפותחת"),"קוראים וכותבים מיומנים","מיקוד בהבנה והבעה"))))))</f>
        <v/>
      </c>
      <c r="AC1108" s="32">
        <f>IF(OR($AB1108="",LEFT($AB1108,1)="—"),"",IF(OR($AB1108="מיקוד בשטף קריאה",$AB1108="מיקוד בשטף הקריאה ובכישורי שפה"),"רמה א'",IF($AB1108="קוראים וכותבים מיומנים","רמה ג'","רמה ב'")))</f>
        <v/>
      </c>
      <c r="AD1108" s="32">
        <f>IF($AC1108="","",MID(IF(AND($AC1108="רמה א'",$AA1108="ניכרת"),"; להוסיף עבודת אוצר מילים","")&amp;IF($Z1108="אינה מפותחת","; דגש על הבעה בכתב","")&amp;IF($K1108&lt;&gt;"תקין","; נדרש לעבוד על ההנגנה","")&amp;IF($AK1108&lt;&gt;"","; "&amp;$AK1108,""),3,400))</f>
        <v/>
      </c>
      <c r="AE1108" s="32">
        <f>IF($F1108="","",IF($F1108="תחילת שנה",1,IF($F1108="מחצית שנה",2,3)))</f>
        <v/>
      </c>
      <c r="AF1108" s="32">
        <f>IF(OR($B1108="",$AC1108="",$A1108="",$F1108=""),"",$B1108&amp;"|"&amp;$A1108&amp;"|"&amp;$F1108&amp;"|"&amp;$AC1108&amp;"|"&amp;COUNTIFS($B$6:$B1108,$B1108,$A$6:$A1108,$A1108,$F$6:$F1108,$F1108,$AC$6:$AC1108,$AC1108))</f>
        <v/>
      </c>
      <c r="AG1108" s="32">
        <f>IF($C1108="","",$C1108&amp;"|"&amp;COUNTIFS($C$6:$C1108,$C1108))</f>
        <v/>
      </c>
      <c r="AH1108" s="32">
        <f>IF(OR($C1108="",$A1108="",$AE1108=""),"",$C1108&amp;"|"&amp;$A1108&amp;"|"&amp;$AE1108)</f>
        <v/>
      </c>
      <c r="AI1108" s="32">
        <f>IF(OR($C1108="",$AE1108="",$AE1108=1),"",IFERROR(INDEX($AC$6:$AC$1505,MATCH($C1108&amp;"|"&amp;$A1108&amp;"|"&amp;($AE1108-1),$AH$6:$AH$1505,0)),""))</f>
        <v/>
      </c>
      <c r="AJ1108" s="32">
        <f>IF(OR($AI1108="",$AC1108=""),"",IF($AI1108=$AC1108,"ללא שינוי","מ-"&amp;$AI1108&amp;" ל-"&amp;$AC1108))</f>
        <v/>
      </c>
      <c r="AK1108" s="67" t="n"/>
    </row>
    <row r="1109">
      <c r="A1109" s="65" t="n"/>
      <c r="B1109" s="65" t="n"/>
      <c r="C1109" s="66" t="n"/>
      <c r="D1109" s="66" t="n"/>
      <c r="E1109" s="65" t="n"/>
      <c r="F1109" s="65" t="n"/>
      <c r="G1109" s="65" t="n"/>
      <c r="H1109" s="65" t="n"/>
      <c r="I1109" s="65" t="n"/>
      <c r="J1109" s="65" t="n"/>
      <c r="K1109" s="65" t="n"/>
      <c r="L1109" s="65" t="n"/>
      <c r="M1109" s="65" t="n"/>
      <c r="N1109" s="65" t="n"/>
      <c r="O1109" s="65" t="n"/>
      <c r="P1109" s="65" t="n"/>
      <c r="Q1109" s="65" t="n"/>
      <c r="R1109" s="65" t="n"/>
      <c r="S1109" s="65" t="n"/>
      <c r="T1109" s="65" t="n"/>
      <c r="U1109" s="65" t="n"/>
      <c r="V1109" s="65" t="n"/>
      <c r="W1109" s="65" t="n"/>
      <c r="X1109" s="65" t="n"/>
      <c r="Y1109" s="32">
        <f>IF($C1109="","",IF(COUNTA($I1109:$K1109)&lt;3,"— חסרים נתונים",IF(AND($I1109="תקין",$J1109="תקין",$K1109="תקין"),"רהוטה",IF(AND($I1109="תקין",$J1109="תקין"),"מדויקת ורציפה","אינה מדויקת או מקוטעת"))))</f>
        <v/>
      </c>
      <c r="Z1109" s="32">
        <f>IF($C1109="","",IF(COUNTA($U1109:$W1109)&lt;3,"",IF(AND($U1109="מפותח",$V1109="מפותח",$W1109="מפותחת"),"מפותחת",IF((--($U1109="דל"))+(--($V1109="אינו מפותח"))+(--($W1109="דלה"))&gt;=2,"אינה מפותחת","חלקית"))))</f>
        <v/>
      </c>
      <c r="AA1109" s="32">
        <f>IF($C1109="","",IF(COUNTA($M1109,$N1109,$O1109)&lt;3,"— חסרים נתונים",IF(OR($M1109="נמוכה",(--($M1109&lt;&gt;"תקינה"))+(--($N1109&lt;&gt;"תקין"))+(--($O1109&lt;&gt;"תקינה"))&gt;=2),"ניכרת","אינה ניכרת")))</f>
        <v/>
      </c>
      <c r="AB1109" s="32">
        <f>IF(OR($C1109="",$Y1109="",$AA1109="",LEFT($Y1109,1)="—",LEFT($AA1109,1)="—"),"",IF($Z1109="","— נדרשת הערכת כתיבה",IF($L1109="","— חסרה הבנת הנקרא",IF($Y1109="אינה מדויקת או מקוטעת",IF($AA1109="ניכרת","מיקוד בשטף הקריאה ובכישורי שפה","מיקוד בשטף קריאה"),IF($AA1109="ניכרת","מיקוד בכישורי שפה",IF(AND($L1109="תקינה",$Z1109="מפותחת"),"קוראים וכותבים מיומנים","מיקוד בהבנה והבעה"))))))</f>
        <v/>
      </c>
      <c r="AC1109" s="32">
        <f>IF(OR($AB1109="",LEFT($AB1109,1)="—"),"",IF(OR($AB1109="מיקוד בשטף קריאה",$AB1109="מיקוד בשטף הקריאה ובכישורי שפה"),"רמה א'",IF($AB1109="קוראים וכותבים מיומנים","רמה ג'","רמה ב'")))</f>
        <v/>
      </c>
      <c r="AD1109" s="32">
        <f>IF($AC1109="","",MID(IF(AND($AC1109="רמה א'",$AA1109="ניכרת"),"; להוסיף עבודת אוצר מילים","")&amp;IF($Z1109="אינה מפותחת","; דגש על הבעה בכתב","")&amp;IF($K1109&lt;&gt;"תקין","; נדרש לעבוד על ההנגנה","")&amp;IF($AK1109&lt;&gt;"","; "&amp;$AK1109,""),3,400))</f>
        <v/>
      </c>
      <c r="AE1109" s="32">
        <f>IF($F1109="","",IF($F1109="תחילת שנה",1,IF($F1109="מחצית שנה",2,3)))</f>
        <v/>
      </c>
      <c r="AF1109" s="32">
        <f>IF(OR($B1109="",$AC1109="",$A1109="",$F1109=""),"",$B1109&amp;"|"&amp;$A1109&amp;"|"&amp;$F1109&amp;"|"&amp;$AC1109&amp;"|"&amp;COUNTIFS($B$6:$B1109,$B1109,$A$6:$A1109,$A1109,$F$6:$F1109,$F1109,$AC$6:$AC1109,$AC1109))</f>
        <v/>
      </c>
      <c r="AG1109" s="32">
        <f>IF($C1109="","",$C1109&amp;"|"&amp;COUNTIFS($C$6:$C1109,$C1109))</f>
        <v/>
      </c>
      <c r="AH1109" s="32">
        <f>IF(OR($C1109="",$A1109="",$AE1109=""),"",$C1109&amp;"|"&amp;$A1109&amp;"|"&amp;$AE1109)</f>
        <v/>
      </c>
      <c r="AI1109" s="32">
        <f>IF(OR($C1109="",$AE1109="",$AE1109=1),"",IFERROR(INDEX($AC$6:$AC$1505,MATCH($C1109&amp;"|"&amp;$A1109&amp;"|"&amp;($AE1109-1),$AH$6:$AH$1505,0)),""))</f>
        <v/>
      </c>
      <c r="AJ1109" s="32">
        <f>IF(OR($AI1109="",$AC1109=""),"",IF($AI1109=$AC1109,"ללא שינוי","מ-"&amp;$AI1109&amp;" ל-"&amp;$AC1109))</f>
        <v/>
      </c>
      <c r="AK1109" s="67" t="n"/>
    </row>
    <row r="1110">
      <c r="A1110" s="65" t="n"/>
      <c r="B1110" s="65" t="n"/>
      <c r="C1110" s="66" t="n"/>
      <c r="D1110" s="66" t="n"/>
      <c r="E1110" s="65" t="n"/>
      <c r="F1110" s="65" t="n"/>
      <c r="G1110" s="65" t="n"/>
      <c r="H1110" s="65" t="n"/>
      <c r="I1110" s="65" t="n"/>
      <c r="J1110" s="65" t="n"/>
      <c r="K1110" s="65" t="n"/>
      <c r="L1110" s="65" t="n"/>
      <c r="M1110" s="65" t="n"/>
      <c r="N1110" s="65" t="n"/>
      <c r="O1110" s="65" t="n"/>
      <c r="P1110" s="65" t="n"/>
      <c r="Q1110" s="65" t="n"/>
      <c r="R1110" s="65" t="n"/>
      <c r="S1110" s="65" t="n"/>
      <c r="T1110" s="65" t="n"/>
      <c r="U1110" s="65" t="n"/>
      <c r="V1110" s="65" t="n"/>
      <c r="W1110" s="65" t="n"/>
      <c r="X1110" s="65" t="n"/>
      <c r="Y1110" s="32">
        <f>IF($C1110="","",IF(COUNTA($I1110:$K1110)&lt;3,"— חסרים נתונים",IF(AND($I1110="תקין",$J1110="תקין",$K1110="תקין"),"רהוטה",IF(AND($I1110="תקין",$J1110="תקין"),"מדויקת ורציפה","אינה מדויקת או מקוטעת"))))</f>
        <v/>
      </c>
      <c r="Z1110" s="32">
        <f>IF($C1110="","",IF(COUNTA($U1110:$W1110)&lt;3,"",IF(AND($U1110="מפותח",$V1110="מפותח",$W1110="מפותחת"),"מפותחת",IF((--($U1110="דל"))+(--($V1110="אינו מפותח"))+(--($W1110="דלה"))&gt;=2,"אינה מפותחת","חלקית"))))</f>
        <v/>
      </c>
      <c r="AA1110" s="32">
        <f>IF($C1110="","",IF(COUNTA($M1110,$N1110,$O1110)&lt;3,"— חסרים נתונים",IF(OR($M1110="נמוכה",(--($M1110&lt;&gt;"תקינה"))+(--($N1110&lt;&gt;"תקין"))+(--($O1110&lt;&gt;"תקינה"))&gt;=2),"ניכרת","אינה ניכרת")))</f>
        <v/>
      </c>
      <c r="AB1110" s="32">
        <f>IF(OR($C1110="",$Y1110="",$AA1110="",LEFT($Y1110,1)="—",LEFT($AA1110,1)="—"),"",IF($Z1110="","— נדרשת הערכת כתיבה",IF($L1110="","— חסרה הבנת הנקרא",IF($Y1110="אינה מדויקת או מקוטעת",IF($AA1110="ניכרת","מיקוד בשטף הקריאה ובכישורי שפה","מיקוד בשטף קריאה"),IF($AA1110="ניכרת","מיקוד בכישורי שפה",IF(AND($L1110="תקינה",$Z1110="מפותחת"),"קוראים וכותבים מיומנים","מיקוד בהבנה והבעה"))))))</f>
        <v/>
      </c>
      <c r="AC1110" s="32">
        <f>IF(OR($AB1110="",LEFT($AB1110,1)="—"),"",IF(OR($AB1110="מיקוד בשטף קריאה",$AB1110="מיקוד בשטף הקריאה ובכישורי שפה"),"רמה א'",IF($AB1110="קוראים וכותבים מיומנים","רמה ג'","רמה ב'")))</f>
        <v/>
      </c>
      <c r="AD1110" s="32">
        <f>IF($AC1110="","",MID(IF(AND($AC1110="רמה א'",$AA1110="ניכרת"),"; להוסיף עבודת אוצר מילים","")&amp;IF($Z1110="אינה מפותחת","; דגש על הבעה בכתב","")&amp;IF($K1110&lt;&gt;"תקין","; נדרש לעבוד על ההנגנה","")&amp;IF($AK1110&lt;&gt;"","; "&amp;$AK1110,""),3,400))</f>
        <v/>
      </c>
      <c r="AE1110" s="32">
        <f>IF($F1110="","",IF($F1110="תחילת שנה",1,IF($F1110="מחצית שנה",2,3)))</f>
        <v/>
      </c>
      <c r="AF1110" s="32">
        <f>IF(OR($B1110="",$AC1110="",$A1110="",$F1110=""),"",$B1110&amp;"|"&amp;$A1110&amp;"|"&amp;$F1110&amp;"|"&amp;$AC1110&amp;"|"&amp;COUNTIFS($B$6:$B1110,$B1110,$A$6:$A1110,$A1110,$F$6:$F1110,$F1110,$AC$6:$AC1110,$AC1110))</f>
        <v/>
      </c>
      <c r="AG1110" s="32">
        <f>IF($C1110="","",$C1110&amp;"|"&amp;COUNTIFS($C$6:$C1110,$C1110))</f>
        <v/>
      </c>
      <c r="AH1110" s="32">
        <f>IF(OR($C1110="",$A1110="",$AE1110=""),"",$C1110&amp;"|"&amp;$A1110&amp;"|"&amp;$AE1110)</f>
        <v/>
      </c>
      <c r="AI1110" s="32">
        <f>IF(OR($C1110="",$AE1110="",$AE1110=1),"",IFERROR(INDEX($AC$6:$AC$1505,MATCH($C1110&amp;"|"&amp;$A1110&amp;"|"&amp;($AE1110-1),$AH$6:$AH$1505,0)),""))</f>
        <v/>
      </c>
      <c r="AJ1110" s="32">
        <f>IF(OR($AI1110="",$AC1110=""),"",IF($AI1110=$AC1110,"ללא שינוי","מ-"&amp;$AI1110&amp;" ל-"&amp;$AC1110))</f>
        <v/>
      </c>
      <c r="AK1110" s="67" t="n"/>
    </row>
    <row r="1111">
      <c r="A1111" s="65" t="n"/>
      <c r="B1111" s="65" t="n"/>
      <c r="C1111" s="66" t="n"/>
      <c r="D1111" s="66" t="n"/>
      <c r="E1111" s="65" t="n"/>
      <c r="F1111" s="65" t="n"/>
      <c r="G1111" s="65" t="n"/>
      <c r="H1111" s="65" t="n"/>
      <c r="I1111" s="65" t="n"/>
      <c r="J1111" s="65" t="n"/>
      <c r="K1111" s="65" t="n"/>
      <c r="L1111" s="65" t="n"/>
      <c r="M1111" s="65" t="n"/>
      <c r="N1111" s="65" t="n"/>
      <c r="O1111" s="65" t="n"/>
      <c r="P1111" s="65" t="n"/>
      <c r="Q1111" s="65" t="n"/>
      <c r="R1111" s="65" t="n"/>
      <c r="S1111" s="65" t="n"/>
      <c r="T1111" s="65" t="n"/>
      <c r="U1111" s="65" t="n"/>
      <c r="V1111" s="65" t="n"/>
      <c r="W1111" s="65" t="n"/>
      <c r="X1111" s="65" t="n"/>
      <c r="Y1111" s="32">
        <f>IF($C1111="","",IF(COUNTA($I1111:$K1111)&lt;3,"— חסרים נתונים",IF(AND($I1111="תקין",$J1111="תקין",$K1111="תקין"),"רהוטה",IF(AND($I1111="תקין",$J1111="תקין"),"מדויקת ורציפה","אינה מדויקת או מקוטעת"))))</f>
        <v/>
      </c>
      <c r="Z1111" s="32">
        <f>IF($C1111="","",IF(COUNTA($U1111:$W1111)&lt;3,"",IF(AND($U1111="מפותח",$V1111="מפותח",$W1111="מפותחת"),"מפותחת",IF((--($U1111="דל"))+(--($V1111="אינו מפותח"))+(--($W1111="דלה"))&gt;=2,"אינה מפותחת","חלקית"))))</f>
        <v/>
      </c>
      <c r="AA1111" s="32">
        <f>IF($C1111="","",IF(COUNTA($M1111,$N1111,$O1111)&lt;3,"— חסרים נתונים",IF(OR($M1111="נמוכה",(--($M1111&lt;&gt;"תקינה"))+(--($N1111&lt;&gt;"תקין"))+(--($O1111&lt;&gt;"תקינה"))&gt;=2),"ניכרת","אינה ניכרת")))</f>
        <v/>
      </c>
      <c r="AB1111" s="32">
        <f>IF(OR($C1111="",$Y1111="",$AA1111="",LEFT($Y1111,1)="—",LEFT($AA1111,1)="—"),"",IF($Z1111="","— נדרשת הערכת כתיבה",IF($L1111="","— חסרה הבנת הנקרא",IF($Y1111="אינה מדויקת או מקוטעת",IF($AA1111="ניכרת","מיקוד בשטף הקריאה ובכישורי שפה","מיקוד בשטף קריאה"),IF($AA1111="ניכרת","מיקוד בכישורי שפה",IF(AND($L1111="תקינה",$Z1111="מפותחת"),"קוראים וכותבים מיומנים","מיקוד בהבנה והבעה"))))))</f>
        <v/>
      </c>
      <c r="AC1111" s="32">
        <f>IF(OR($AB1111="",LEFT($AB1111,1)="—"),"",IF(OR($AB1111="מיקוד בשטף קריאה",$AB1111="מיקוד בשטף הקריאה ובכישורי שפה"),"רמה א'",IF($AB1111="קוראים וכותבים מיומנים","רמה ג'","רמה ב'")))</f>
        <v/>
      </c>
      <c r="AD1111" s="32">
        <f>IF($AC1111="","",MID(IF(AND($AC1111="רמה א'",$AA1111="ניכרת"),"; להוסיף עבודת אוצר מילים","")&amp;IF($Z1111="אינה מפותחת","; דגש על הבעה בכתב","")&amp;IF($K1111&lt;&gt;"תקין","; נדרש לעבוד על ההנגנה","")&amp;IF($AK1111&lt;&gt;"","; "&amp;$AK1111,""),3,400))</f>
        <v/>
      </c>
      <c r="AE1111" s="32">
        <f>IF($F1111="","",IF($F1111="תחילת שנה",1,IF($F1111="מחצית שנה",2,3)))</f>
        <v/>
      </c>
      <c r="AF1111" s="32">
        <f>IF(OR($B1111="",$AC1111="",$A1111="",$F1111=""),"",$B1111&amp;"|"&amp;$A1111&amp;"|"&amp;$F1111&amp;"|"&amp;$AC1111&amp;"|"&amp;COUNTIFS($B$6:$B1111,$B1111,$A$6:$A1111,$A1111,$F$6:$F1111,$F1111,$AC$6:$AC1111,$AC1111))</f>
        <v/>
      </c>
      <c r="AG1111" s="32">
        <f>IF($C1111="","",$C1111&amp;"|"&amp;COUNTIFS($C$6:$C1111,$C1111))</f>
        <v/>
      </c>
      <c r="AH1111" s="32">
        <f>IF(OR($C1111="",$A1111="",$AE1111=""),"",$C1111&amp;"|"&amp;$A1111&amp;"|"&amp;$AE1111)</f>
        <v/>
      </c>
      <c r="AI1111" s="32">
        <f>IF(OR($C1111="",$AE1111="",$AE1111=1),"",IFERROR(INDEX($AC$6:$AC$1505,MATCH($C1111&amp;"|"&amp;$A1111&amp;"|"&amp;($AE1111-1),$AH$6:$AH$1505,0)),""))</f>
        <v/>
      </c>
      <c r="AJ1111" s="32">
        <f>IF(OR($AI1111="",$AC1111=""),"",IF($AI1111=$AC1111,"ללא שינוי","מ-"&amp;$AI1111&amp;" ל-"&amp;$AC1111))</f>
        <v/>
      </c>
      <c r="AK1111" s="67" t="n"/>
    </row>
    <row r="1112">
      <c r="A1112" s="65" t="n"/>
      <c r="B1112" s="65" t="n"/>
      <c r="C1112" s="66" t="n"/>
      <c r="D1112" s="66" t="n"/>
      <c r="E1112" s="65" t="n"/>
      <c r="F1112" s="65" t="n"/>
      <c r="G1112" s="65" t="n"/>
      <c r="H1112" s="65" t="n"/>
      <c r="I1112" s="65" t="n"/>
      <c r="J1112" s="65" t="n"/>
      <c r="K1112" s="65" t="n"/>
      <c r="L1112" s="65" t="n"/>
      <c r="M1112" s="65" t="n"/>
      <c r="N1112" s="65" t="n"/>
      <c r="O1112" s="65" t="n"/>
      <c r="P1112" s="65" t="n"/>
      <c r="Q1112" s="65" t="n"/>
      <c r="R1112" s="65" t="n"/>
      <c r="S1112" s="65" t="n"/>
      <c r="T1112" s="65" t="n"/>
      <c r="U1112" s="65" t="n"/>
      <c r="V1112" s="65" t="n"/>
      <c r="W1112" s="65" t="n"/>
      <c r="X1112" s="65" t="n"/>
      <c r="Y1112" s="32">
        <f>IF($C1112="","",IF(COUNTA($I1112:$K1112)&lt;3,"— חסרים נתונים",IF(AND($I1112="תקין",$J1112="תקין",$K1112="תקין"),"רהוטה",IF(AND($I1112="תקין",$J1112="תקין"),"מדויקת ורציפה","אינה מדויקת או מקוטעת"))))</f>
        <v/>
      </c>
      <c r="Z1112" s="32">
        <f>IF($C1112="","",IF(COUNTA($U1112:$W1112)&lt;3,"",IF(AND($U1112="מפותח",$V1112="מפותח",$W1112="מפותחת"),"מפותחת",IF((--($U1112="דל"))+(--($V1112="אינו מפותח"))+(--($W1112="דלה"))&gt;=2,"אינה מפותחת","חלקית"))))</f>
        <v/>
      </c>
      <c r="AA1112" s="32">
        <f>IF($C1112="","",IF(COUNTA($M1112,$N1112,$O1112)&lt;3,"— חסרים נתונים",IF(OR($M1112="נמוכה",(--($M1112&lt;&gt;"תקינה"))+(--($N1112&lt;&gt;"תקין"))+(--($O1112&lt;&gt;"תקינה"))&gt;=2),"ניכרת","אינה ניכרת")))</f>
        <v/>
      </c>
      <c r="AB1112" s="32">
        <f>IF(OR($C1112="",$Y1112="",$AA1112="",LEFT($Y1112,1)="—",LEFT($AA1112,1)="—"),"",IF($Z1112="","— נדרשת הערכת כתיבה",IF($L1112="","— חסרה הבנת הנקרא",IF($Y1112="אינה מדויקת או מקוטעת",IF($AA1112="ניכרת","מיקוד בשטף הקריאה ובכישורי שפה","מיקוד בשטף קריאה"),IF($AA1112="ניכרת","מיקוד בכישורי שפה",IF(AND($L1112="תקינה",$Z1112="מפותחת"),"קוראים וכותבים מיומנים","מיקוד בהבנה והבעה"))))))</f>
        <v/>
      </c>
      <c r="AC1112" s="32">
        <f>IF(OR($AB1112="",LEFT($AB1112,1)="—"),"",IF(OR($AB1112="מיקוד בשטף קריאה",$AB1112="מיקוד בשטף הקריאה ובכישורי שפה"),"רמה א'",IF($AB1112="קוראים וכותבים מיומנים","רמה ג'","רמה ב'")))</f>
        <v/>
      </c>
      <c r="AD1112" s="32">
        <f>IF($AC1112="","",MID(IF(AND($AC1112="רמה א'",$AA1112="ניכרת"),"; להוסיף עבודת אוצר מילים","")&amp;IF($Z1112="אינה מפותחת","; דגש על הבעה בכתב","")&amp;IF($K1112&lt;&gt;"תקין","; נדרש לעבוד על ההנגנה","")&amp;IF($AK1112&lt;&gt;"","; "&amp;$AK1112,""),3,400))</f>
        <v/>
      </c>
      <c r="AE1112" s="32">
        <f>IF($F1112="","",IF($F1112="תחילת שנה",1,IF($F1112="מחצית שנה",2,3)))</f>
        <v/>
      </c>
      <c r="AF1112" s="32">
        <f>IF(OR($B1112="",$AC1112="",$A1112="",$F1112=""),"",$B1112&amp;"|"&amp;$A1112&amp;"|"&amp;$F1112&amp;"|"&amp;$AC1112&amp;"|"&amp;COUNTIFS($B$6:$B1112,$B1112,$A$6:$A1112,$A1112,$F$6:$F1112,$F1112,$AC$6:$AC1112,$AC1112))</f>
        <v/>
      </c>
      <c r="AG1112" s="32">
        <f>IF($C1112="","",$C1112&amp;"|"&amp;COUNTIFS($C$6:$C1112,$C1112))</f>
        <v/>
      </c>
      <c r="AH1112" s="32">
        <f>IF(OR($C1112="",$A1112="",$AE1112=""),"",$C1112&amp;"|"&amp;$A1112&amp;"|"&amp;$AE1112)</f>
        <v/>
      </c>
      <c r="AI1112" s="32">
        <f>IF(OR($C1112="",$AE1112="",$AE1112=1),"",IFERROR(INDEX($AC$6:$AC$1505,MATCH($C1112&amp;"|"&amp;$A1112&amp;"|"&amp;($AE1112-1),$AH$6:$AH$1505,0)),""))</f>
        <v/>
      </c>
      <c r="AJ1112" s="32">
        <f>IF(OR($AI1112="",$AC1112=""),"",IF($AI1112=$AC1112,"ללא שינוי","מ-"&amp;$AI1112&amp;" ל-"&amp;$AC1112))</f>
        <v/>
      </c>
      <c r="AK1112" s="67" t="n"/>
    </row>
    <row r="1113">
      <c r="A1113" s="65" t="n"/>
      <c r="B1113" s="65" t="n"/>
      <c r="C1113" s="66" t="n"/>
      <c r="D1113" s="66" t="n"/>
      <c r="E1113" s="65" t="n"/>
      <c r="F1113" s="65" t="n"/>
      <c r="G1113" s="65" t="n"/>
      <c r="H1113" s="65" t="n"/>
      <c r="I1113" s="65" t="n"/>
      <c r="J1113" s="65" t="n"/>
      <c r="K1113" s="65" t="n"/>
      <c r="L1113" s="65" t="n"/>
      <c r="M1113" s="65" t="n"/>
      <c r="N1113" s="65" t="n"/>
      <c r="O1113" s="65" t="n"/>
      <c r="P1113" s="65" t="n"/>
      <c r="Q1113" s="65" t="n"/>
      <c r="R1113" s="65" t="n"/>
      <c r="S1113" s="65" t="n"/>
      <c r="T1113" s="65" t="n"/>
      <c r="U1113" s="65" t="n"/>
      <c r="V1113" s="65" t="n"/>
      <c r="W1113" s="65" t="n"/>
      <c r="X1113" s="65" t="n"/>
      <c r="Y1113" s="32">
        <f>IF($C1113="","",IF(COUNTA($I1113:$K1113)&lt;3,"— חסרים נתונים",IF(AND($I1113="תקין",$J1113="תקין",$K1113="תקין"),"רהוטה",IF(AND($I1113="תקין",$J1113="תקין"),"מדויקת ורציפה","אינה מדויקת או מקוטעת"))))</f>
        <v/>
      </c>
      <c r="Z1113" s="32">
        <f>IF($C1113="","",IF(COUNTA($U1113:$W1113)&lt;3,"",IF(AND($U1113="מפותח",$V1113="מפותח",$W1113="מפותחת"),"מפותחת",IF((--($U1113="דל"))+(--($V1113="אינו מפותח"))+(--($W1113="דלה"))&gt;=2,"אינה מפותחת","חלקית"))))</f>
        <v/>
      </c>
      <c r="AA1113" s="32">
        <f>IF($C1113="","",IF(COUNTA($M1113,$N1113,$O1113)&lt;3,"— חסרים נתונים",IF(OR($M1113="נמוכה",(--($M1113&lt;&gt;"תקינה"))+(--($N1113&lt;&gt;"תקין"))+(--($O1113&lt;&gt;"תקינה"))&gt;=2),"ניכרת","אינה ניכרת")))</f>
        <v/>
      </c>
      <c r="AB1113" s="32">
        <f>IF(OR($C1113="",$Y1113="",$AA1113="",LEFT($Y1113,1)="—",LEFT($AA1113,1)="—"),"",IF($Z1113="","— נדרשת הערכת כתיבה",IF($L1113="","— חסרה הבנת הנקרא",IF($Y1113="אינה מדויקת או מקוטעת",IF($AA1113="ניכרת","מיקוד בשטף הקריאה ובכישורי שפה","מיקוד בשטף קריאה"),IF($AA1113="ניכרת","מיקוד בכישורי שפה",IF(AND($L1113="תקינה",$Z1113="מפותחת"),"קוראים וכותבים מיומנים","מיקוד בהבנה והבעה"))))))</f>
        <v/>
      </c>
      <c r="AC1113" s="32">
        <f>IF(OR($AB1113="",LEFT($AB1113,1)="—"),"",IF(OR($AB1113="מיקוד בשטף קריאה",$AB1113="מיקוד בשטף הקריאה ובכישורי שפה"),"רמה א'",IF($AB1113="קוראים וכותבים מיומנים","רמה ג'","רמה ב'")))</f>
        <v/>
      </c>
      <c r="AD1113" s="32">
        <f>IF($AC1113="","",MID(IF(AND($AC1113="רמה א'",$AA1113="ניכרת"),"; להוסיף עבודת אוצר מילים","")&amp;IF($Z1113="אינה מפותחת","; דגש על הבעה בכתב","")&amp;IF($K1113&lt;&gt;"תקין","; נדרש לעבוד על ההנגנה","")&amp;IF($AK1113&lt;&gt;"","; "&amp;$AK1113,""),3,400))</f>
        <v/>
      </c>
      <c r="AE1113" s="32">
        <f>IF($F1113="","",IF($F1113="תחילת שנה",1,IF($F1113="מחצית שנה",2,3)))</f>
        <v/>
      </c>
      <c r="AF1113" s="32">
        <f>IF(OR($B1113="",$AC1113="",$A1113="",$F1113=""),"",$B1113&amp;"|"&amp;$A1113&amp;"|"&amp;$F1113&amp;"|"&amp;$AC1113&amp;"|"&amp;COUNTIFS($B$6:$B1113,$B1113,$A$6:$A1113,$A1113,$F$6:$F1113,$F1113,$AC$6:$AC1113,$AC1113))</f>
        <v/>
      </c>
      <c r="AG1113" s="32">
        <f>IF($C1113="","",$C1113&amp;"|"&amp;COUNTIFS($C$6:$C1113,$C1113))</f>
        <v/>
      </c>
      <c r="AH1113" s="32">
        <f>IF(OR($C1113="",$A1113="",$AE1113=""),"",$C1113&amp;"|"&amp;$A1113&amp;"|"&amp;$AE1113)</f>
        <v/>
      </c>
      <c r="AI1113" s="32">
        <f>IF(OR($C1113="",$AE1113="",$AE1113=1),"",IFERROR(INDEX($AC$6:$AC$1505,MATCH($C1113&amp;"|"&amp;$A1113&amp;"|"&amp;($AE1113-1),$AH$6:$AH$1505,0)),""))</f>
        <v/>
      </c>
      <c r="AJ1113" s="32">
        <f>IF(OR($AI1113="",$AC1113=""),"",IF($AI1113=$AC1113,"ללא שינוי","מ-"&amp;$AI1113&amp;" ל-"&amp;$AC1113))</f>
        <v/>
      </c>
      <c r="AK1113" s="67" t="n"/>
    </row>
    <row r="1114">
      <c r="A1114" s="65" t="n"/>
      <c r="B1114" s="65" t="n"/>
      <c r="C1114" s="66" t="n"/>
      <c r="D1114" s="66" t="n"/>
      <c r="E1114" s="65" t="n"/>
      <c r="F1114" s="65" t="n"/>
      <c r="G1114" s="65" t="n"/>
      <c r="H1114" s="65" t="n"/>
      <c r="I1114" s="65" t="n"/>
      <c r="J1114" s="65" t="n"/>
      <c r="K1114" s="65" t="n"/>
      <c r="L1114" s="65" t="n"/>
      <c r="M1114" s="65" t="n"/>
      <c r="N1114" s="65" t="n"/>
      <c r="O1114" s="65" t="n"/>
      <c r="P1114" s="65" t="n"/>
      <c r="Q1114" s="65" t="n"/>
      <c r="R1114" s="65" t="n"/>
      <c r="S1114" s="65" t="n"/>
      <c r="T1114" s="65" t="n"/>
      <c r="U1114" s="65" t="n"/>
      <c r="V1114" s="65" t="n"/>
      <c r="W1114" s="65" t="n"/>
      <c r="X1114" s="65" t="n"/>
      <c r="Y1114" s="32">
        <f>IF($C1114="","",IF(COUNTA($I1114:$K1114)&lt;3,"— חסרים נתונים",IF(AND($I1114="תקין",$J1114="תקין",$K1114="תקין"),"רהוטה",IF(AND($I1114="תקין",$J1114="תקין"),"מדויקת ורציפה","אינה מדויקת או מקוטעת"))))</f>
        <v/>
      </c>
      <c r="Z1114" s="32">
        <f>IF($C1114="","",IF(COUNTA($U1114:$W1114)&lt;3,"",IF(AND($U1114="מפותח",$V1114="מפותח",$W1114="מפותחת"),"מפותחת",IF((--($U1114="דל"))+(--($V1114="אינו מפותח"))+(--($W1114="דלה"))&gt;=2,"אינה מפותחת","חלקית"))))</f>
        <v/>
      </c>
      <c r="AA1114" s="32">
        <f>IF($C1114="","",IF(COUNTA($M1114,$N1114,$O1114)&lt;3,"— חסרים נתונים",IF(OR($M1114="נמוכה",(--($M1114&lt;&gt;"תקינה"))+(--($N1114&lt;&gt;"תקין"))+(--($O1114&lt;&gt;"תקינה"))&gt;=2),"ניכרת","אינה ניכרת")))</f>
        <v/>
      </c>
      <c r="AB1114" s="32">
        <f>IF(OR($C1114="",$Y1114="",$AA1114="",LEFT($Y1114,1)="—",LEFT($AA1114,1)="—"),"",IF($Z1114="","— נדרשת הערכת כתיבה",IF($L1114="","— חסרה הבנת הנקרא",IF($Y1114="אינה מדויקת או מקוטעת",IF($AA1114="ניכרת","מיקוד בשטף הקריאה ובכישורי שפה","מיקוד בשטף קריאה"),IF($AA1114="ניכרת","מיקוד בכישורי שפה",IF(AND($L1114="תקינה",$Z1114="מפותחת"),"קוראים וכותבים מיומנים","מיקוד בהבנה והבעה"))))))</f>
        <v/>
      </c>
      <c r="AC1114" s="32">
        <f>IF(OR($AB1114="",LEFT($AB1114,1)="—"),"",IF(OR($AB1114="מיקוד בשטף קריאה",$AB1114="מיקוד בשטף הקריאה ובכישורי שפה"),"רמה א'",IF($AB1114="קוראים וכותבים מיומנים","רמה ג'","רמה ב'")))</f>
        <v/>
      </c>
      <c r="AD1114" s="32">
        <f>IF($AC1114="","",MID(IF(AND($AC1114="רמה א'",$AA1114="ניכרת"),"; להוסיף עבודת אוצר מילים","")&amp;IF($Z1114="אינה מפותחת","; דגש על הבעה בכתב","")&amp;IF($K1114&lt;&gt;"תקין","; נדרש לעבוד על ההנגנה","")&amp;IF($AK1114&lt;&gt;"","; "&amp;$AK1114,""),3,400))</f>
        <v/>
      </c>
      <c r="AE1114" s="32">
        <f>IF($F1114="","",IF($F1114="תחילת שנה",1,IF($F1114="מחצית שנה",2,3)))</f>
        <v/>
      </c>
      <c r="AF1114" s="32">
        <f>IF(OR($B1114="",$AC1114="",$A1114="",$F1114=""),"",$B1114&amp;"|"&amp;$A1114&amp;"|"&amp;$F1114&amp;"|"&amp;$AC1114&amp;"|"&amp;COUNTIFS($B$6:$B1114,$B1114,$A$6:$A1114,$A1114,$F$6:$F1114,$F1114,$AC$6:$AC1114,$AC1114))</f>
        <v/>
      </c>
      <c r="AG1114" s="32">
        <f>IF($C1114="","",$C1114&amp;"|"&amp;COUNTIFS($C$6:$C1114,$C1114))</f>
        <v/>
      </c>
      <c r="AH1114" s="32">
        <f>IF(OR($C1114="",$A1114="",$AE1114=""),"",$C1114&amp;"|"&amp;$A1114&amp;"|"&amp;$AE1114)</f>
        <v/>
      </c>
      <c r="AI1114" s="32">
        <f>IF(OR($C1114="",$AE1114="",$AE1114=1),"",IFERROR(INDEX($AC$6:$AC$1505,MATCH($C1114&amp;"|"&amp;$A1114&amp;"|"&amp;($AE1114-1),$AH$6:$AH$1505,0)),""))</f>
        <v/>
      </c>
      <c r="AJ1114" s="32">
        <f>IF(OR($AI1114="",$AC1114=""),"",IF($AI1114=$AC1114,"ללא שינוי","מ-"&amp;$AI1114&amp;" ל-"&amp;$AC1114))</f>
        <v/>
      </c>
      <c r="AK1114" s="67" t="n"/>
    </row>
    <row r="1115">
      <c r="A1115" s="65" t="n"/>
      <c r="B1115" s="65" t="n"/>
      <c r="C1115" s="66" t="n"/>
      <c r="D1115" s="66" t="n"/>
      <c r="E1115" s="65" t="n"/>
      <c r="F1115" s="65" t="n"/>
      <c r="G1115" s="65" t="n"/>
      <c r="H1115" s="65" t="n"/>
      <c r="I1115" s="65" t="n"/>
      <c r="J1115" s="65" t="n"/>
      <c r="K1115" s="65" t="n"/>
      <c r="L1115" s="65" t="n"/>
      <c r="M1115" s="65" t="n"/>
      <c r="N1115" s="65" t="n"/>
      <c r="O1115" s="65" t="n"/>
      <c r="P1115" s="65" t="n"/>
      <c r="Q1115" s="65" t="n"/>
      <c r="R1115" s="65" t="n"/>
      <c r="S1115" s="65" t="n"/>
      <c r="T1115" s="65" t="n"/>
      <c r="U1115" s="65" t="n"/>
      <c r="V1115" s="65" t="n"/>
      <c r="W1115" s="65" t="n"/>
      <c r="X1115" s="65" t="n"/>
      <c r="Y1115" s="32">
        <f>IF($C1115="","",IF(COUNTA($I1115:$K1115)&lt;3,"— חסרים נתונים",IF(AND($I1115="תקין",$J1115="תקין",$K1115="תקין"),"רהוטה",IF(AND($I1115="תקין",$J1115="תקין"),"מדויקת ורציפה","אינה מדויקת או מקוטעת"))))</f>
        <v/>
      </c>
      <c r="Z1115" s="32">
        <f>IF($C1115="","",IF(COUNTA($U1115:$W1115)&lt;3,"",IF(AND($U1115="מפותח",$V1115="מפותח",$W1115="מפותחת"),"מפותחת",IF((--($U1115="דל"))+(--($V1115="אינו מפותח"))+(--($W1115="דלה"))&gt;=2,"אינה מפותחת","חלקית"))))</f>
        <v/>
      </c>
      <c r="AA1115" s="32">
        <f>IF($C1115="","",IF(COUNTA($M1115,$N1115,$O1115)&lt;3,"— חסרים נתונים",IF(OR($M1115="נמוכה",(--($M1115&lt;&gt;"תקינה"))+(--($N1115&lt;&gt;"תקין"))+(--($O1115&lt;&gt;"תקינה"))&gt;=2),"ניכרת","אינה ניכרת")))</f>
        <v/>
      </c>
      <c r="AB1115" s="32">
        <f>IF(OR($C1115="",$Y1115="",$AA1115="",LEFT($Y1115,1)="—",LEFT($AA1115,1)="—"),"",IF($Z1115="","— נדרשת הערכת כתיבה",IF($L1115="","— חסרה הבנת הנקרא",IF($Y1115="אינה מדויקת או מקוטעת",IF($AA1115="ניכרת","מיקוד בשטף הקריאה ובכישורי שפה","מיקוד בשטף קריאה"),IF($AA1115="ניכרת","מיקוד בכישורי שפה",IF(AND($L1115="תקינה",$Z1115="מפותחת"),"קוראים וכותבים מיומנים","מיקוד בהבנה והבעה"))))))</f>
        <v/>
      </c>
      <c r="AC1115" s="32">
        <f>IF(OR($AB1115="",LEFT($AB1115,1)="—"),"",IF(OR($AB1115="מיקוד בשטף קריאה",$AB1115="מיקוד בשטף הקריאה ובכישורי שפה"),"רמה א'",IF($AB1115="קוראים וכותבים מיומנים","רמה ג'","רמה ב'")))</f>
        <v/>
      </c>
      <c r="AD1115" s="32">
        <f>IF($AC1115="","",MID(IF(AND($AC1115="רמה א'",$AA1115="ניכרת"),"; להוסיף עבודת אוצר מילים","")&amp;IF($Z1115="אינה מפותחת","; דגש על הבעה בכתב","")&amp;IF($K1115&lt;&gt;"תקין","; נדרש לעבוד על ההנגנה","")&amp;IF($AK1115&lt;&gt;"","; "&amp;$AK1115,""),3,400))</f>
        <v/>
      </c>
      <c r="AE1115" s="32">
        <f>IF($F1115="","",IF($F1115="תחילת שנה",1,IF($F1115="מחצית שנה",2,3)))</f>
        <v/>
      </c>
      <c r="AF1115" s="32">
        <f>IF(OR($B1115="",$AC1115="",$A1115="",$F1115=""),"",$B1115&amp;"|"&amp;$A1115&amp;"|"&amp;$F1115&amp;"|"&amp;$AC1115&amp;"|"&amp;COUNTIFS($B$6:$B1115,$B1115,$A$6:$A1115,$A1115,$F$6:$F1115,$F1115,$AC$6:$AC1115,$AC1115))</f>
        <v/>
      </c>
      <c r="AG1115" s="32">
        <f>IF($C1115="","",$C1115&amp;"|"&amp;COUNTIFS($C$6:$C1115,$C1115))</f>
        <v/>
      </c>
      <c r="AH1115" s="32">
        <f>IF(OR($C1115="",$A1115="",$AE1115=""),"",$C1115&amp;"|"&amp;$A1115&amp;"|"&amp;$AE1115)</f>
        <v/>
      </c>
      <c r="AI1115" s="32">
        <f>IF(OR($C1115="",$AE1115="",$AE1115=1),"",IFERROR(INDEX($AC$6:$AC$1505,MATCH($C1115&amp;"|"&amp;$A1115&amp;"|"&amp;($AE1115-1),$AH$6:$AH$1505,0)),""))</f>
        <v/>
      </c>
      <c r="AJ1115" s="32">
        <f>IF(OR($AI1115="",$AC1115=""),"",IF($AI1115=$AC1115,"ללא שינוי","מ-"&amp;$AI1115&amp;" ל-"&amp;$AC1115))</f>
        <v/>
      </c>
      <c r="AK1115" s="67" t="n"/>
    </row>
    <row r="1116">
      <c r="A1116" s="65" t="n"/>
      <c r="B1116" s="65" t="n"/>
      <c r="C1116" s="66" t="n"/>
      <c r="D1116" s="66" t="n"/>
      <c r="E1116" s="65" t="n"/>
      <c r="F1116" s="65" t="n"/>
      <c r="G1116" s="65" t="n"/>
      <c r="H1116" s="65" t="n"/>
      <c r="I1116" s="65" t="n"/>
      <c r="J1116" s="65" t="n"/>
      <c r="K1116" s="65" t="n"/>
      <c r="L1116" s="65" t="n"/>
      <c r="M1116" s="65" t="n"/>
      <c r="N1116" s="65" t="n"/>
      <c r="O1116" s="65" t="n"/>
      <c r="P1116" s="65" t="n"/>
      <c r="Q1116" s="65" t="n"/>
      <c r="R1116" s="65" t="n"/>
      <c r="S1116" s="65" t="n"/>
      <c r="T1116" s="65" t="n"/>
      <c r="U1116" s="65" t="n"/>
      <c r="V1116" s="65" t="n"/>
      <c r="W1116" s="65" t="n"/>
      <c r="X1116" s="65" t="n"/>
      <c r="Y1116" s="32">
        <f>IF($C1116="","",IF(COUNTA($I1116:$K1116)&lt;3,"— חסרים נתונים",IF(AND($I1116="תקין",$J1116="תקין",$K1116="תקין"),"רהוטה",IF(AND($I1116="תקין",$J1116="תקין"),"מדויקת ורציפה","אינה מדויקת או מקוטעת"))))</f>
        <v/>
      </c>
      <c r="Z1116" s="32">
        <f>IF($C1116="","",IF(COUNTA($U1116:$W1116)&lt;3,"",IF(AND($U1116="מפותח",$V1116="מפותח",$W1116="מפותחת"),"מפותחת",IF((--($U1116="דל"))+(--($V1116="אינו מפותח"))+(--($W1116="דלה"))&gt;=2,"אינה מפותחת","חלקית"))))</f>
        <v/>
      </c>
      <c r="AA1116" s="32">
        <f>IF($C1116="","",IF(COUNTA($M1116,$N1116,$O1116)&lt;3,"— חסרים נתונים",IF(OR($M1116="נמוכה",(--($M1116&lt;&gt;"תקינה"))+(--($N1116&lt;&gt;"תקין"))+(--($O1116&lt;&gt;"תקינה"))&gt;=2),"ניכרת","אינה ניכרת")))</f>
        <v/>
      </c>
      <c r="AB1116" s="32">
        <f>IF(OR($C1116="",$Y1116="",$AA1116="",LEFT($Y1116,1)="—",LEFT($AA1116,1)="—"),"",IF($Z1116="","— נדרשת הערכת כתיבה",IF($L1116="","— חסרה הבנת הנקרא",IF($Y1116="אינה מדויקת או מקוטעת",IF($AA1116="ניכרת","מיקוד בשטף הקריאה ובכישורי שפה","מיקוד בשטף קריאה"),IF($AA1116="ניכרת","מיקוד בכישורי שפה",IF(AND($L1116="תקינה",$Z1116="מפותחת"),"קוראים וכותבים מיומנים","מיקוד בהבנה והבעה"))))))</f>
        <v/>
      </c>
      <c r="AC1116" s="32">
        <f>IF(OR($AB1116="",LEFT($AB1116,1)="—"),"",IF(OR($AB1116="מיקוד בשטף קריאה",$AB1116="מיקוד בשטף הקריאה ובכישורי שפה"),"רמה א'",IF($AB1116="קוראים וכותבים מיומנים","רמה ג'","רמה ב'")))</f>
        <v/>
      </c>
      <c r="AD1116" s="32">
        <f>IF($AC1116="","",MID(IF(AND($AC1116="רמה א'",$AA1116="ניכרת"),"; להוסיף עבודת אוצר מילים","")&amp;IF($Z1116="אינה מפותחת","; דגש על הבעה בכתב","")&amp;IF($K1116&lt;&gt;"תקין","; נדרש לעבוד על ההנגנה","")&amp;IF($AK1116&lt;&gt;"","; "&amp;$AK1116,""),3,400))</f>
        <v/>
      </c>
      <c r="AE1116" s="32">
        <f>IF($F1116="","",IF($F1116="תחילת שנה",1,IF($F1116="מחצית שנה",2,3)))</f>
        <v/>
      </c>
      <c r="AF1116" s="32">
        <f>IF(OR($B1116="",$AC1116="",$A1116="",$F1116=""),"",$B1116&amp;"|"&amp;$A1116&amp;"|"&amp;$F1116&amp;"|"&amp;$AC1116&amp;"|"&amp;COUNTIFS($B$6:$B1116,$B1116,$A$6:$A1116,$A1116,$F$6:$F1116,$F1116,$AC$6:$AC1116,$AC1116))</f>
        <v/>
      </c>
      <c r="AG1116" s="32">
        <f>IF($C1116="","",$C1116&amp;"|"&amp;COUNTIFS($C$6:$C1116,$C1116))</f>
        <v/>
      </c>
      <c r="AH1116" s="32">
        <f>IF(OR($C1116="",$A1116="",$AE1116=""),"",$C1116&amp;"|"&amp;$A1116&amp;"|"&amp;$AE1116)</f>
        <v/>
      </c>
      <c r="AI1116" s="32">
        <f>IF(OR($C1116="",$AE1116="",$AE1116=1),"",IFERROR(INDEX($AC$6:$AC$1505,MATCH($C1116&amp;"|"&amp;$A1116&amp;"|"&amp;($AE1116-1),$AH$6:$AH$1505,0)),""))</f>
        <v/>
      </c>
      <c r="AJ1116" s="32">
        <f>IF(OR($AI1116="",$AC1116=""),"",IF($AI1116=$AC1116,"ללא שינוי","מ-"&amp;$AI1116&amp;" ל-"&amp;$AC1116))</f>
        <v/>
      </c>
      <c r="AK1116" s="67" t="n"/>
    </row>
    <row r="1117">
      <c r="A1117" s="65" t="n"/>
      <c r="B1117" s="65" t="n"/>
      <c r="C1117" s="66" t="n"/>
      <c r="D1117" s="66" t="n"/>
      <c r="E1117" s="65" t="n"/>
      <c r="F1117" s="65" t="n"/>
      <c r="G1117" s="65" t="n"/>
      <c r="H1117" s="65" t="n"/>
      <c r="I1117" s="65" t="n"/>
      <c r="J1117" s="65" t="n"/>
      <c r="K1117" s="65" t="n"/>
      <c r="L1117" s="65" t="n"/>
      <c r="M1117" s="65" t="n"/>
      <c r="N1117" s="65" t="n"/>
      <c r="O1117" s="65" t="n"/>
      <c r="P1117" s="65" t="n"/>
      <c r="Q1117" s="65" t="n"/>
      <c r="R1117" s="65" t="n"/>
      <c r="S1117" s="65" t="n"/>
      <c r="T1117" s="65" t="n"/>
      <c r="U1117" s="65" t="n"/>
      <c r="V1117" s="65" t="n"/>
      <c r="W1117" s="65" t="n"/>
      <c r="X1117" s="65" t="n"/>
      <c r="Y1117" s="32">
        <f>IF($C1117="","",IF(COUNTA($I1117:$K1117)&lt;3,"— חסרים נתונים",IF(AND($I1117="תקין",$J1117="תקין",$K1117="תקין"),"רהוטה",IF(AND($I1117="תקין",$J1117="תקין"),"מדויקת ורציפה","אינה מדויקת או מקוטעת"))))</f>
        <v/>
      </c>
      <c r="Z1117" s="32">
        <f>IF($C1117="","",IF(COUNTA($U1117:$W1117)&lt;3,"",IF(AND($U1117="מפותח",$V1117="מפותח",$W1117="מפותחת"),"מפותחת",IF((--($U1117="דל"))+(--($V1117="אינו מפותח"))+(--($W1117="דלה"))&gt;=2,"אינה מפותחת","חלקית"))))</f>
        <v/>
      </c>
      <c r="AA1117" s="32">
        <f>IF($C1117="","",IF(COUNTA($M1117,$N1117,$O1117)&lt;3,"— חסרים נתונים",IF(OR($M1117="נמוכה",(--($M1117&lt;&gt;"תקינה"))+(--($N1117&lt;&gt;"תקין"))+(--($O1117&lt;&gt;"תקינה"))&gt;=2),"ניכרת","אינה ניכרת")))</f>
        <v/>
      </c>
      <c r="AB1117" s="32">
        <f>IF(OR($C1117="",$Y1117="",$AA1117="",LEFT($Y1117,1)="—",LEFT($AA1117,1)="—"),"",IF($Z1117="","— נדרשת הערכת כתיבה",IF($L1117="","— חסרה הבנת הנקרא",IF($Y1117="אינה מדויקת או מקוטעת",IF($AA1117="ניכרת","מיקוד בשטף הקריאה ובכישורי שפה","מיקוד בשטף קריאה"),IF($AA1117="ניכרת","מיקוד בכישורי שפה",IF(AND($L1117="תקינה",$Z1117="מפותחת"),"קוראים וכותבים מיומנים","מיקוד בהבנה והבעה"))))))</f>
        <v/>
      </c>
      <c r="AC1117" s="32">
        <f>IF(OR($AB1117="",LEFT($AB1117,1)="—"),"",IF(OR($AB1117="מיקוד בשטף קריאה",$AB1117="מיקוד בשטף הקריאה ובכישורי שפה"),"רמה א'",IF($AB1117="קוראים וכותבים מיומנים","רמה ג'","רמה ב'")))</f>
        <v/>
      </c>
      <c r="AD1117" s="32">
        <f>IF($AC1117="","",MID(IF(AND($AC1117="רמה א'",$AA1117="ניכרת"),"; להוסיף עבודת אוצר מילים","")&amp;IF($Z1117="אינה מפותחת","; דגש על הבעה בכתב","")&amp;IF($K1117&lt;&gt;"תקין","; נדרש לעבוד על ההנגנה","")&amp;IF($AK1117&lt;&gt;"","; "&amp;$AK1117,""),3,400))</f>
        <v/>
      </c>
      <c r="AE1117" s="32">
        <f>IF($F1117="","",IF($F1117="תחילת שנה",1,IF($F1117="מחצית שנה",2,3)))</f>
        <v/>
      </c>
      <c r="AF1117" s="32">
        <f>IF(OR($B1117="",$AC1117="",$A1117="",$F1117=""),"",$B1117&amp;"|"&amp;$A1117&amp;"|"&amp;$F1117&amp;"|"&amp;$AC1117&amp;"|"&amp;COUNTIFS($B$6:$B1117,$B1117,$A$6:$A1117,$A1117,$F$6:$F1117,$F1117,$AC$6:$AC1117,$AC1117))</f>
        <v/>
      </c>
      <c r="AG1117" s="32">
        <f>IF($C1117="","",$C1117&amp;"|"&amp;COUNTIFS($C$6:$C1117,$C1117))</f>
        <v/>
      </c>
      <c r="AH1117" s="32">
        <f>IF(OR($C1117="",$A1117="",$AE1117=""),"",$C1117&amp;"|"&amp;$A1117&amp;"|"&amp;$AE1117)</f>
        <v/>
      </c>
      <c r="AI1117" s="32">
        <f>IF(OR($C1117="",$AE1117="",$AE1117=1),"",IFERROR(INDEX($AC$6:$AC$1505,MATCH($C1117&amp;"|"&amp;$A1117&amp;"|"&amp;($AE1117-1),$AH$6:$AH$1505,0)),""))</f>
        <v/>
      </c>
      <c r="AJ1117" s="32">
        <f>IF(OR($AI1117="",$AC1117=""),"",IF($AI1117=$AC1117,"ללא שינוי","מ-"&amp;$AI1117&amp;" ל-"&amp;$AC1117))</f>
        <v/>
      </c>
      <c r="AK1117" s="67" t="n"/>
    </row>
    <row r="1118">
      <c r="A1118" s="65" t="n"/>
      <c r="B1118" s="65" t="n"/>
      <c r="C1118" s="66" t="n"/>
      <c r="D1118" s="66" t="n"/>
      <c r="E1118" s="65" t="n"/>
      <c r="F1118" s="65" t="n"/>
      <c r="G1118" s="65" t="n"/>
      <c r="H1118" s="65" t="n"/>
      <c r="I1118" s="65" t="n"/>
      <c r="J1118" s="65" t="n"/>
      <c r="K1118" s="65" t="n"/>
      <c r="L1118" s="65" t="n"/>
      <c r="M1118" s="65" t="n"/>
      <c r="N1118" s="65" t="n"/>
      <c r="O1118" s="65" t="n"/>
      <c r="P1118" s="65" t="n"/>
      <c r="Q1118" s="65" t="n"/>
      <c r="R1118" s="65" t="n"/>
      <c r="S1118" s="65" t="n"/>
      <c r="T1118" s="65" t="n"/>
      <c r="U1118" s="65" t="n"/>
      <c r="V1118" s="65" t="n"/>
      <c r="W1118" s="65" t="n"/>
      <c r="X1118" s="65" t="n"/>
      <c r="Y1118" s="32">
        <f>IF($C1118="","",IF(COUNTA($I1118:$K1118)&lt;3,"— חסרים נתונים",IF(AND($I1118="תקין",$J1118="תקין",$K1118="תקין"),"רהוטה",IF(AND($I1118="תקין",$J1118="תקין"),"מדויקת ורציפה","אינה מדויקת או מקוטעת"))))</f>
        <v/>
      </c>
      <c r="Z1118" s="32">
        <f>IF($C1118="","",IF(COUNTA($U1118:$W1118)&lt;3,"",IF(AND($U1118="מפותח",$V1118="מפותח",$W1118="מפותחת"),"מפותחת",IF((--($U1118="דל"))+(--($V1118="אינו מפותח"))+(--($W1118="דלה"))&gt;=2,"אינה מפותחת","חלקית"))))</f>
        <v/>
      </c>
      <c r="AA1118" s="32">
        <f>IF($C1118="","",IF(COUNTA($M1118,$N1118,$O1118)&lt;3,"— חסרים נתונים",IF(OR($M1118="נמוכה",(--($M1118&lt;&gt;"תקינה"))+(--($N1118&lt;&gt;"תקין"))+(--($O1118&lt;&gt;"תקינה"))&gt;=2),"ניכרת","אינה ניכרת")))</f>
        <v/>
      </c>
      <c r="AB1118" s="32">
        <f>IF(OR($C1118="",$Y1118="",$AA1118="",LEFT($Y1118,1)="—",LEFT($AA1118,1)="—"),"",IF($Z1118="","— נדרשת הערכת כתיבה",IF($L1118="","— חסרה הבנת הנקרא",IF($Y1118="אינה מדויקת או מקוטעת",IF($AA1118="ניכרת","מיקוד בשטף הקריאה ובכישורי שפה","מיקוד בשטף קריאה"),IF($AA1118="ניכרת","מיקוד בכישורי שפה",IF(AND($L1118="תקינה",$Z1118="מפותחת"),"קוראים וכותבים מיומנים","מיקוד בהבנה והבעה"))))))</f>
        <v/>
      </c>
      <c r="AC1118" s="32">
        <f>IF(OR($AB1118="",LEFT($AB1118,1)="—"),"",IF(OR($AB1118="מיקוד בשטף קריאה",$AB1118="מיקוד בשטף הקריאה ובכישורי שפה"),"רמה א'",IF($AB1118="קוראים וכותבים מיומנים","רמה ג'","רמה ב'")))</f>
        <v/>
      </c>
      <c r="AD1118" s="32">
        <f>IF($AC1118="","",MID(IF(AND($AC1118="רמה א'",$AA1118="ניכרת"),"; להוסיף עבודת אוצר מילים","")&amp;IF($Z1118="אינה מפותחת","; דגש על הבעה בכתב","")&amp;IF($K1118&lt;&gt;"תקין","; נדרש לעבוד על ההנגנה","")&amp;IF($AK1118&lt;&gt;"","; "&amp;$AK1118,""),3,400))</f>
        <v/>
      </c>
      <c r="AE1118" s="32">
        <f>IF($F1118="","",IF($F1118="תחילת שנה",1,IF($F1118="מחצית שנה",2,3)))</f>
        <v/>
      </c>
      <c r="AF1118" s="32">
        <f>IF(OR($B1118="",$AC1118="",$A1118="",$F1118=""),"",$B1118&amp;"|"&amp;$A1118&amp;"|"&amp;$F1118&amp;"|"&amp;$AC1118&amp;"|"&amp;COUNTIFS($B$6:$B1118,$B1118,$A$6:$A1118,$A1118,$F$6:$F1118,$F1118,$AC$6:$AC1118,$AC1118))</f>
        <v/>
      </c>
      <c r="AG1118" s="32">
        <f>IF($C1118="","",$C1118&amp;"|"&amp;COUNTIFS($C$6:$C1118,$C1118))</f>
        <v/>
      </c>
      <c r="AH1118" s="32">
        <f>IF(OR($C1118="",$A1118="",$AE1118=""),"",$C1118&amp;"|"&amp;$A1118&amp;"|"&amp;$AE1118)</f>
        <v/>
      </c>
      <c r="AI1118" s="32">
        <f>IF(OR($C1118="",$AE1118="",$AE1118=1),"",IFERROR(INDEX($AC$6:$AC$1505,MATCH($C1118&amp;"|"&amp;$A1118&amp;"|"&amp;($AE1118-1),$AH$6:$AH$1505,0)),""))</f>
        <v/>
      </c>
      <c r="AJ1118" s="32">
        <f>IF(OR($AI1118="",$AC1118=""),"",IF($AI1118=$AC1118,"ללא שינוי","מ-"&amp;$AI1118&amp;" ל-"&amp;$AC1118))</f>
        <v/>
      </c>
      <c r="AK1118" s="67" t="n"/>
    </row>
    <row r="1119">
      <c r="A1119" s="65" t="n"/>
      <c r="B1119" s="65" t="n"/>
      <c r="C1119" s="66" t="n"/>
      <c r="D1119" s="66" t="n"/>
      <c r="E1119" s="65" t="n"/>
      <c r="F1119" s="65" t="n"/>
      <c r="G1119" s="65" t="n"/>
      <c r="H1119" s="65" t="n"/>
      <c r="I1119" s="65" t="n"/>
      <c r="J1119" s="65" t="n"/>
      <c r="K1119" s="65" t="n"/>
      <c r="L1119" s="65" t="n"/>
      <c r="M1119" s="65" t="n"/>
      <c r="N1119" s="65" t="n"/>
      <c r="O1119" s="65" t="n"/>
      <c r="P1119" s="65" t="n"/>
      <c r="Q1119" s="65" t="n"/>
      <c r="R1119" s="65" t="n"/>
      <c r="S1119" s="65" t="n"/>
      <c r="T1119" s="65" t="n"/>
      <c r="U1119" s="65" t="n"/>
      <c r="V1119" s="65" t="n"/>
      <c r="W1119" s="65" t="n"/>
      <c r="X1119" s="65" t="n"/>
      <c r="Y1119" s="32">
        <f>IF($C1119="","",IF(COUNTA($I1119:$K1119)&lt;3,"— חסרים נתונים",IF(AND($I1119="תקין",$J1119="תקין",$K1119="תקין"),"רהוטה",IF(AND($I1119="תקין",$J1119="תקין"),"מדויקת ורציפה","אינה מדויקת או מקוטעת"))))</f>
        <v/>
      </c>
      <c r="Z1119" s="32">
        <f>IF($C1119="","",IF(COUNTA($U1119:$W1119)&lt;3,"",IF(AND($U1119="מפותח",$V1119="מפותח",$W1119="מפותחת"),"מפותחת",IF((--($U1119="דל"))+(--($V1119="אינו מפותח"))+(--($W1119="דלה"))&gt;=2,"אינה מפותחת","חלקית"))))</f>
        <v/>
      </c>
      <c r="AA1119" s="32">
        <f>IF($C1119="","",IF(COUNTA($M1119,$N1119,$O1119)&lt;3,"— חסרים נתונים",IF(OR($M1119="נמוכה",(--($M1119&lt;&gt;"תקינה"))+(--($N1119&lt;&gt;"תקין"))+(--($O1119&lt;&gt;"תקינה"))&gt;=2),"ניכרת","אינה ניכרת")))</f>
        <v/>
      </c>
      <c r="AB1119" s="32">
        <f>IF(OR($C1119="",$Y1119="",$AA1119="",LEFT($Y1119,1)="—",LEFT($AA1119,1)="—"),"",IF($Z1119="","— נדרשת הערכת כתיבה",IF($L1119="","— חסרה הבנת הנקרא",IF($Y1119="אינה מדויקת או מקוטעת",IF($AA1119="ניכרת","מיקוד בשטף הקריאה ובכישורי שפה","מיקוד בשטף קריאה"),IF($AA1119="ניכרת","מיקוד בכישורי שפה",IF(AND($L1119="תקינה",$Z1119="מפותחת"),"קוראים וכותבים מיומנים","מיקוד בהבנה והבעה"))))))</f>
        <v/>
      </c>
      <c r="AC1119" s="32">
        <f>IF(OR($AB1119="",LEFT($AB1119,1)="—"),"",IF(OR($AB1119="מיקוד בשטף קריאה",$AB1119="מיקוד בשטף הקריאה ובכישורי שפה"),"רמה א'",IF($AB1119="קוראים וכותבים מיומנים","רמה ג'","רמה ב'")))</f>
        <v/>
      </c>
      <c r="AD1119" s="32">
        <f>IF($AC1119="","",MID(IF(AND($AC1119="רמה א'",$AA1119="ניכרת"),"; להוסיף עבודת אוצר מילים","")&amp;IF($Z1119="אינה מפותחת","; דגש על הבעה בכתב","")&amp;IF($K1119&lt;&gt;"תקין","; נדרש לעבוד על ההנגנה","")&amp;IF($AK1119&lt;&gt;"","; "&amp;$AK1119,""),3,400))</f>
        <v/>
      </c>
      <c r="AE1119" s="32">
        <f>IF($F1119="","",IF($F1119="תחילת שנה",1,IF($F1119="מחצית שנה",2,3)))</f>
        <v/>
      </c>
      <c r="AF1119" s="32">
        <f>IF(OR($B1119="",$AC1119="",$A1119="",$F1119=""),"",$B1119&amp;"|"&amp;$A1119&amp;"|"&amp;$F1119&amp;"|"&amp;$AC1119&amp;"|"&amp;COUNTIFS($B$6:$B1119,$B1119,$A$6:$A1119,$A1119,$F$6:$F1119,$F1119,$AC$6:$AC1119,$AC1119))</f>
        <v/>
      </c>
      <c r="AG1119" s="32">
        <f>IF($C1119="","",$C1119&amp;"|"&amp;COUNTIFS($C$6:$C1119,$C1119))</f>
        <v/>
      </c>
      <c r="AH1119" s="32">
        <f>IF(OR($C1119="",$A1119="",$AE1119=""),"",$C1119&amp;"|"&amp;$A1119&amp;"|"&amp;$AE1119)</f>
        <v/>
      </c>
      <c r="AI1119" s="32">
        <f>IF(OR($C1119="",$AE1119="",$AE1119=1),"",IFERROR(INDEX($AC$6:$AC$1505,MATCH($C1119&amp;"|"&amp;$A1119&amp;"|"&amp;($AE1119-1),$AH$6:$AH$1505,0)),""))</f>
        <v/>
      </c>
      <c r="AJ1119" s="32">
        <f>IF(OR($AI1119="",$AC1119=""),"",IF($AI1119=$AC1119,"ללא שינוי","מ-"&amp;$AI1119&amp;" ל-"&amp;$AC1119))</f>
        <v/>
      </c>
      <c r="AK1119" s="67" t="n"/>
    </row>
    <row r="1120">
      <c r="A1120" s="65" t="n"/>
      <c r="B1120" s="65" t="n"/>
      <c r="C1120" s="66" t="n"/>
      <c r="D1120" s="66" t="n"/>
      <c r="E1120" s="65" t="n"/>
      <c r="F1120" s="65" t="n"/>
      <c r="G1120" s="65" t="n"/>
      <c r="H1120" s="65" t="n"/>
      <c r="I1120" s="65" t="n"/>
      <c r="J1120" s="65" t="n"/>
      <c r="K1120" s="65" t="n"/>
      <c r="L1120" s="65" t="n"/>
      <c r="M1120" s="65" t="n"/>
      <c r="N1120" s="65" t="n"/>
      <c r="O1120" s="65" t="n"/>
      <c r="P1120" s="65" t="n"/>
      <c r="Q1120" s="65" t="n"/>
      <c r="R1120" s="65" t="n"/>
      <c r="S1120" s="65" t="n"/>
      <c r="T1120" s="65" t="n"/>
      <c r="U1120" s="65" t="n"/>
      <c r="V1120" s="65" t="n"/>
      <c r="W1120" s="65" t="n"/>
      <c r="X1120" s="65" t="n"/>
      <c r="Y1120" s="32">
        <f>IF($C1120="","",IF(COUNTA($I1120:$K1120)&lt;3,"— חסרים נתונים",IF(AND($I1120="תקין",$J1120="תקין",$K1120="תקין"),"רהוטה",IF(AND($I1120="תקין",$J1120="תקין"),"מדויקת ורציפה","אינה מדויקת או מקוטעת"))))</f>
        <v/>
      </c>
      <c r="Z1120" s="32">
        <f>IF($C1120="","",IF(COUNTA($U1120:$W1120)&lt;3,"",IF(AND($U1120="מפותח",$V1120="מפותח",$W1120="מפותחת"),"מפותחת",IF((--($U1120="דל"))+(--($V1120="אינו מפותח"))+(--($W1120="דלה"))&gt;=2,"אינה מפותחת","חלקית"))))</f>
        <v/>
      </c>
      <c r="AA1120" s="32">
        <f>IF($C1120="","",IF(COUNTA($M1120,$N1120,$O1120)&lt;3,"— חסרים נתונים",IF(OR($M1120="נמוכה",(--($M1120&lt;&gt;"תקינה"))+(--($N1120&lt;&gt;"תקין"))+(--($O1120&lt;&gt;"תקינה"))&gt;=2),"ניכרת","אינה ניכרת")))</f>
        <v/>
      </c>
      <c r="AB1120" s="32">
        <f>IF(OR($C1120="",$Y1120="",$AA1120="",LEFT($Y1120,1)="—",LEFT($AA1120,1)="—"),"",IF($Z1120="","— נדרשת הערכת כתיבה",IF($L1120="","— חסרה הבנת הנקרא",IF($Y1120="אינה מדויקת או מקוטעת",IF($AA1120="ניכרת","מיקוד בשטף הקריאה ובכישורי שפה","מיקוד בשטף קריאה"),IF($AA1120="ניכרת","מיקוד בכישורי שפה",IF(AND($L1120="תקינה",$Z1120="מפותחת"),"קוראים וכותבים מיומנים","מיקוד בהבנה והבעה"))))))</f>
        <v/>
      </c>
      <c r="AC1120" s="32">
        <f>IF(OR($AB1120="",LEFT($AB1120,1)="—"),"",IF(OR($AB1120="מיקוד בשטף קריאה",$AB1120="מיקוד בשטף הקריאה ובכישורי שפה"),"רמה א'",IF($AB1120="קוראים וכותבים מיומנים","רמה ג'","רמה ב'")))</f>
        <v/>
      </c>
      <c r="AD1120" s="32">
        <f>IF($AC1120="","",MID(IF(AND($AC1120="רמה א'",$AA1120="ניכרת"),"; להוסיף עבודת אוצר מילים","")&amp;IF($Z1120="אינה מפותחת","; דגש על הבעה בכתב","")&amp;IF($K1120&lt;&gt;"תקין","; נדרש לעבוד על ההנגנה","")&amp;IF($AK1120&lt;&gt;"","; "&amp;$AK1120,""),3,400))</f>
        <v/>
      </c>
      <c r="AE1120" s="32">
        <f>IF($F1120="","",IF($F1120="תחילת שנה",1,IF($F1120="מחצית שנה",2,3)))</f>
        <v/>
      </c>
      <c r="AF1120" s="32">
        <f>IF(OR($B1120="",$AC1120="",$A1120="",$F1120=""),"",$B1120&amp;"|"&amp;$A1120&amp;"|"&amp;$F1120&amp;"|"&amp;$AC1120&amp;"|"&amp;COUNTIFS($B$6:$B1120,$B1120,$A$6:$A1120,$A1120,$F$6:$F1120,$F1120,$AC$6:$AC1120,$AC1120))</f>
        <v/>
      </c>
      <c r="AG1120" s="32">
        <f>IF($C1120="","",$C1120&amp;"|"&amp;COUNTIFS($C$6:$C1120,$C1120))</f>
        <v/>
      </c>
      <c r="AH1120" s="32">
        <f>IF(OR($C1120="",$A1120="",$AE1120=""),"",$C1120&amp;"|"&amp;$A1120&amp;"|"&amp;$AE1120)</f>
        <v/>
      </c>
      <c r="AI1120" s="32">
        <f>IF(OR($C1120="",$AE1120="",$AE1120=1),"",IFERROR(INDEX($AC$6:$AC$1505,MATCH($C1120&amp;"|"&amp;$A1120&amp;"|"&amp;($AE1120-1),$AH$6:$AH$1505,0)),""))</f>
        <v/>
      </c>
      <c r="AJ1120" s="32">
        <f>IF(OR($AI1120="",$AC1120=""),"",IF($AI1120=$AC1120,"ללא שינוי","מ-"&amp;$AI1120&amp;" ל-"&amp;$AC1120))</f>
        <v/>
      </c>
      <c r="AK1120" s="67" t="n"/>
    </row>
    <row r="1121">
      <c r="A1121" s="65" t="n"/>
      <c r="B1121" s="65" t="n"/>
      <c r="C1121" s="66" t="n"/>
      <c r="D1121" s="66" t="n"/>
      <c r="E1121" s="65" t="n"/>
      <c r="F1121" s="65" t="n"/>
      <c r="G1121" s="65" t="n"/>
      <c r="H1121" s="65" t="n"/>
      <c r="I1121" s="65" t="n"/>
      <c r="J1121" s="65" t="n"/>
      <c r="K1121" s="65" t="n"/>
      <c r="L1121" s="65" t="n"/>
      <c r="M1121" s="65" t="n"/>
      <c r="N1121" s="65" t="n"/>
      <c r="O1121" s="65" t="n"/>
      <c r="P1121" s="65" t="n"/>
      <c r="Q1121" s="65" t="n"/>
      <c r="R1121" s="65" t="n"/>
      <c r="S1121" s="65" t="n"/>
      <c r="T1121" s="65" t="n"/>
      <c r="U1121" s="65" t="n"/>
      <c r="V1121" s="65" t="n"/>
      <c r="W1121" s="65" t="n"/>
      <c r="X1121" s="65" t="n"/>
      <c r="Y1121" s="32">
        <f>IF($C1121="","",IF(COUNTA($I1121:$K1121)&lt;3,"— חסרים נתונים",IF(AND($I1121="תקין",$J1121="תקין",$K1121="תקין"),"רהוטה",IF(AND($I1121="תקין",$J1121="תקין"),"מדויקת ורציפה","אינה מדויקת או מקוטעת"))))</f>
        <v/>
      </c>
      <c r="Z1121" s="32">
        <f>IF($C1121="","",IF(COUNTA($U1121:$W1121)&lt;3,"",IF(AND($U1121="מפותח",$V1121="מפותח",$W1121="מפותחת"),"מפותחת",IF((--($U1121="דל"))+(--($V1121="אינו מפותח"))+(--($W1121="דלה"))&gt;=2,"אינה מפותחת","חלקית"))))</f>
        <v/>
      </c>
      <c r="AA1121" s="32">
        <f>IF($C1121="","",IF(COUNTA($M1121,$N1121,$O1121)&lt;3,"— חסרים נתונים",IF(OR($M1121="נמוכה",(--($M1121&lt;&gt;"תקינה"))+(--($N1121&lt;&gt;"תקין"))+(--($O1121&lt;&gt;"תקינה"))&gt;=2),"ניכרת","אינה ניכרת")))</f>
        <v/>
      </c>
      <c r="AB1121" s="32">
        <f>IF(OR($C1121="",$Y1121="",$AA1121="",LEFT($Y1121,1)="—",LEFT($AA1121,1)="—"),"",IF($Z1121="","— נדרשת הערכת כתיבה",IF($L1121="","— חסרה הבנת הנקרא",IF($Y1121="אינה מדויקת או מקוטעת",IF($AA1121="ניכרת","מיקוד בשטף הקריאה ובכישורי שפה","מיקוד בשטף קריאה"),IF($AA1121="ניכרת","מיקוד בכישורי שפה",IF(AND($L1121="תקינה",$Z1121="מפותחת"),"קוראים וכותבים מיומנים","מיקוד בהבנה והבעה"))))))</f>
        <v/>
      </c>
      <c r="AC1121" s="32">
        <f>IF(OR($AB1121="",LEFT($AB1121,1)="—"),"",IF(OR($AB1121="מיקוד בשטף קריאה",$AB1121="מיקוד בשטף הקריאה ובכישורי שפה"),"רמה א'",IF($AB1121="קוראים וכותבים מיומנים","רמה ג'","רמה ב'")))</f>
        <v/>
      </c>
      <c r="AD1121" s="32">
        <f>IF($AC1121="","",MID(IF(AND($AC1121="רמה א'",$AA1121="ניכרת"),"; להוסיף עבודת אוצר מילים","")&amp;IF($Z1121="אינה מפותחת","; דגש על הבעה בכתב","")&amp;IF($K1121&lt;&gt;"תקין","; נדרש לעבוד על ההנגנה","")&amp;IF($AK1121&lt;&gt;"","; "&amp;$AK1121,""),3,400))</f>
        <v/>
      </c>
      <c r="AE1121" s="32">
        <f>IF($F1121="","",IF($F1121="תחילת שנה",1,IF($F1121="מחצית שנה",2,3)))</f>
        <v/>
      </c>
      <c r="AF1121" s="32">
        <f>IF(OR($B1121="",$AC1121="",$A1121="",$F1121=""),"",$B1121&amp;"|"&amp;$A1121&amp;"|"&amp;$F1121&amp;"|"&amp;$AC1121&amp;"|"&amp;COUNTIFS($B$6:$B1121,$B1121,$A$6:$A1121,$A1121,$F$6:$F1121,$F1121,$AC$6:$AC1121,$AC1121))</f>
        <v/>
      </c>
      <c r="AG1121" s="32">
        <f>IF($C1121="","",$C1121&amp;"|"&amp;COUNTIFS($C$6:$C1121,$C1121))</f>
        <v/>
      </c>
      <c r="AH1121" s="32">
        <f>IF(OR($C1121="",$A1121="",$AE1121=""),"",$C1121&amp;"|"&amp;$A1121&amp;"|"&amp;$AE1121)</f>
        <v/>
      </c>
      <c r="AI1121" s="32">
        <f>IF(OR($C1121="",$AE1121="",$AE1121=1),"",IFERROR(INDEX($AC$6:$AC$1505,MATCH($C1121&amp;"|"&amp;$A1121&amp;"|"&amp;($AE1121-1),$AH$6:$AH$1505,0)),""))</f>
        <v/>
      </c>
      <c r="AJ1121" s="32">
        <f>IF(OR($AI1121="",$AC1121=""),"",IF($AI1121=$AC1121,"ללא שינוי","מ-"&amp;$AI1121&amp;" ל-"&amp;$AC1121))</f>
        <v/>
      </c>
      <c r="AK1121" s="67" t="n"/>
    </row>
    <row r="1122">
      <c r="A1122" s="65" t="n"/>
      <c r="B1122" s="65" t="n"/>
      <c r="C1122" s="66" t="n"/>
      <c r="D1122" s="66" t="n"/>
      <c r="E1122" s="65" t="n"/>
      <c r="F1122" s="65" t="n"/>
      <c r="G1122" s="65" t="n"/>
      <c r="H1122" s="65" t="n"/>
      <c r="I1122" s="65" t="n"/>
      <c r="J1122" s="65" t="n"/>
      <c r="K1122" s="65" t="n"/>
      <c r="L1122" s="65" t="n"/>
      <c r="M1122" s="65" t="n"/>
      <c r="N1122" s="65" t="n"/>
      <c r="O1122" s="65" t="n"/>
      <c r="P1122" s="65" t="n"/>
      <c r="Q1122" s="65" t="n"/>
      <c r="R1122" s="65" t="n"/>
      <c r="S1122" s="65" t="n"/>
      <c r="T1122" s="65" t="n"/>
      <c r="U1122" s="65" t="n"/>
      <c r="V1122" s="65" t="n"/>
      <c r="W1122" s="65" t="n"/>
      <c r="X1122" s="65" t="n"/>
      <c r="Y1122" s="32">
        <f>IF($C1122="","",IF(COUNTA($I1122:$K1122)&lt;3,"— חסרים נתונים",IF(AND($I1122="תקין",$J1122="תקין",$K1122="תקין"),"רהוטה",IF(AND($I1122="תקין",$J1122="תקין"),"מדויקת ורציפה","אינה מדויקת או מקוטעת"))))</f>
        <v/>
      </c>
      <c r="Z1122" s="32">
        <f>IF($C1122="","",IF(COUNTA($U1122:$W1122)&lt;3,"",IF(AND($U1122="מפותח",$V1122="מפותח",$W1122="מפותחת"),"מפותחת",IF((--($U1122="דל"))+(--($V1122="אינו מפותח"))+(--($W1122="דלה"))&gt;=2,"אינה מפותחת","חלקית"))))</f>
        <v/>
      </c>
      <c r="AA1122" s="32">
        <f>IF($C1122="","",IF(COUNTA($M1122,$N1122,$O1122)&lt;3,"— חסרים נתונים",IF(OR($M1122="נמוכה",(--($M1122&lt;&gt;"תקינה"))+(--($N1122&lt;&gt;"תקין"))+(--($O1122&lt;&gt;"תקינה"))&gt;=2),"ניכרת","אינה ניכרת")))</f>
        <v/>
      </c>
      <c r="AB1122" s="32">
        <f>IF(OR($C1122="",$Y1122="",$AA1122="",LEFT($Y1122,1)="—",LEFT($AA1122,1)="—"),"",IF($Z1122="","— נדרשת הערכת כתיבה",IF($L1122="","— חסרה הבנת הנקרא",IF($Y1122="אינה מדויקת או מקוטעת",IF($AA1122="ניכרת","מיקוד בשטף הקריאה ובכישורי שפה","מיקוד בשטף קריאה"),IF($AA1122="ניכרת","מיקוד בכישורי שפה",IF(AND($L1122="תקינה",$Z1122="מפותחת"),"קוראים וכותבים מיומנים","מיקוד בהבנה והבעה"))))))</f>
        <v/>
      </c>
      <c r="AC1122" s="32">
        <f>IF(OR($AB1122="",LEFT($AB1122,1)="—"),"",IF(OR($AB1122="מיקוד בשטף קריאה",$AB1122="מיקוד בשטף הקריאה ובכישורי שפה"),"רמה א'",IF($AB1122="קוראים וכותבים מיומנים","רמה ג'","רמה ב'")))</f>
        <v/>
      </c>
      <c r="AD1122" s="32">
        <f>IF($AC1122="","",MID(IF(AND($AC1122="רמה א'",$AA1122="ניכרת"),"; להוסיף עבודת אוצר מילים","")&amp;IF($Z1122="אינה מפותחת","; דגש על הבעה בכתב","")&amp;IF($K1122&lt;&gt;"תקין","; נדרש לעבוד על ההנגנה","")&amp;IF($AK1122&lt;&gt;"","; "&amp;$AK1122,""),3,400))</f>
        <v/>
      </c>
      <c r="AE1122" s="32">
        <f>IF($F1122="","",IF($F1122="תחילת שנה",1,IF($F1122="מחצית שנה",2,3)))</f>
        <v/>
      </c>
      <c r="AF1122" s="32">
        <f>IF(OR($B1122="",$AC1122="",$A1122="",$F1122=""),"",$B1122&amp;"|"&amp;$A1122&amp;"|"&amp;$F1122&amp;"|"&amp;$AC1122&amp;"|"&amp;COUNTIFS($B$6:$B1122,$B1122,$A$6:$A1122,$A1122,$F$6:$F1122,$F1122,$AC$6:$AC1122,$AC1122))</f>
        <v/>
      </c>
      <c r="AG1122" s="32">
        <f>IF($C1122="","",$C1122&amp;"|"&amp;COUNTIFS($C$6:$C1122,$C1122))</f>
        <v/>
      </c>
      <c r="AH1122" s="32">
        <f>IF(OR($C1122="",$A1122="",$AE1122=""),"",$C1122&amp;"|"&amp;$A1122&amp;"|"&amp;$AE1122)</f>
        <v/>
      </c>
      <c r="AI1122" s="32">
        <f>IF(OR($C1122="",$AE1122="",$AE1122=1),"",IFERROR(INDEX($AC$6:$AC$1505,MATCH($C1122&amp;"|"&amp;$A1122&amp;"|"&amp;($AE1122-1),$AH$6:$AH$1505,0)),""))</f>
        <v/>
      </c>
      <c r="AJ1122" s="32">
        <f>IF(OR($AI1122="",$AC1122=""),"",IF($AI1122=$AC1122,"ללא שינוי","מ-"&amp;$AI1122&amp;" ל-"&amp;$AC1122))</f>
        <v/>
      </c>
      <c r="AK1122" s="67" t="n"/>
    </row>
    <row r="1123">
      <c r="A1123" s="65" t="n"/>
      <c r="B1123" s="65" t="n"/>
      <c r="C1123" s="66" t="n"/>
      <c r="D1123" s="66" t="n"/>
      <c r="E1123" s="65" t="n"/>
      <c r="F1123" s="65" t="n"/>
      <c r="G1123" s="65" t="n"/>
      <c r="H1123" s="65" t="n"/>
      <c r="I1123" s="65" t="n"/>
      <c r="J1123" s="65" t="n"/>
      <c r="K1123" s="65" t="n"/>
      <c r="L1123" s="65" t="n"/>
      <c r="M1123" s="65" t="n"/>
      <c r="N1123" s="65" t="n"/>
      <c r="O1123" s="65" t="n"/>
      <c r="P1123" s="65" t="n"/>
      <c r="Q1123" s="65" t="n"/>
      <c r="R1123" s="65" t="n"/>
      <c r="S1123" s="65" t="n"/>
      <c r="T1123" s="65" t="n"/>
      <c r="U1123" s="65" t="n"/>
      <c r="V1123" s="65" t="n"/>
      <c r="W1123" s="65" t="n"/>
      <c r="X1123" s="65" t="n"/>
      <c r="Y1123" s="32">
        <f>IF($C1123="","",IF(COUNTA($I1123:$K1123)&lt;3,"— חסרים נתונים",IF(AND($I1123="תקין",$J1123="תקין",$K1123="תקין"),"רהוטה",IF(AND($I1123="תקין",$J1123="תקין"),"מדויקת ורציפה","אינה מדויקת או מקוטעת"))))</f>
        <v/>
      </c>
      <c r="Z1123" s="32">
        <f>IF($C1123="","",IF(COUNTA($U1123:$W1123)&lt;3,"",IF(AND($U1123="מפותח",$V1123="מפותח",$W1123="מפותחת"),"מפותחת",IF((--($U1123="דל"))+(--($V1123="אינו מפותח"))+(--($W1123="דלה"))&gt;=2,"אינה מפותחת","חלקית"))))</f>
        <v/>
      </c>
      <c r="AA1123" s="32">
        <f>IF($C1123="","",IF(COUNTA($M1123,$N1123,$O1123)&lt;3,"— חסרים נתונים",IF(OR($M1123="נמוכה",(--($M1123&lt;&gt;"תקינה"))+(--($N1123&lt;&gt;"תקין"))+(--($O1123&lt;&gt;"תקינה"))&gt;=2),"ניכרת","אינה ניכרת")))</f>
        <v/>
      </c>
      <c r="AB1123" s="32">
        <f>IF(OR($C1123="",$Y1123="",$AA1123="",LEFT($Y1123,1)="—",LEFT($AA1123,1)="—"),"",IF($Z1123="","— נדרשת הערכת כתיבה",IF($L1123="","— חסרה הבנת הנקרא",IF($Y1123="אינה מדויקת או מקוטעת",IF($AA1123="ניכרת","מיקוד בשטף הקריאה ובכישורי שפה","מיקוד בשטף קריאה"),IF($AA1123="ניכרת","מיקוד בכישורי שפה",IF(AND($L1123="תקינה",$Z1123="מפותחת"),"קוראים וכותבים מיומנים","מיקוד בהבנה והבעה"))))))</f>
        <v/>
      </c>
      <c r="AC1123" s="32">
        <f>IF(OR($AB1123="",LEFT($AB1123,1)="—"),"",IF(OR($AB1123="מיקוד בשטף קריאה",$AB1123="מיקוד בשטף הקריאה ובכישורי שפה"),"רמה א'",IF($AB1123="קוראים וכותבים מיומנים","רמה ג'","רמה ב'")))</f>
        <v/>
      </c>
      <c r="AD1123" s="32">
        <f>IF($AC1123="","",MID(IF(AND($AC1123="רמה א'",$AA1123="ניכרת"),"; להוסיף עבודת אוצר מילים","")&amp;IF($Z1123="אינה מפותחת","; דגש על הבעה בכתב","")&amp;IF($K1123&lt;&gt;"תקין","; נדרש לעבוד על ההנגנה","")&amp;IF($AK1123&lt;&gt;"","; "&amp;$AK1123,""),3,400))</f>
        <v/>
      </c>
      <c r="AE1123" s="32">
        <f>IF($F1123="","",IF($F1123="תחילת שנה",1,IF($F1123="מחצית שנה",2,3)))</f>
        <v/>
      </c>
      <c r="AF1123" s="32">
        <f>IF(OR($B1123="",$AC1123="",$A1123="",$F1123=""),"",$B1123&amp;"|"&amp;$A1123&amp;"|"&amp;$F1123&amp;"|"&amp;$AC1123&amp;"|"&amp;COUNTIFS($B$6:$B1123,$B1123,$A$6:$A1123,$A1123,$F$6:$F1123,$F1123,$AC$6:$AC1123,$AC1123))</f>
        <v/>
      </c>
      <c r="AG1123" s="32">
        <f>IF($C1123="","",$C1123&amp;"|"&amp;COUNTIFS($C$6:$C1123,$C1123))</f>
        <v/>
      </c>
      <c r="AH1123" s="32">
        <f>IF(OR($C1123="",$A1123="",$AE1123=""),"",$C1123&amp;"|"&amp;$A1123&amp;"|"&amp;$AE1123)</f>
        <v/>
      </c>
      <c r="AI1123" s="32">
        <f>IF(OR($C1123="",$AE1123="",$AE1123=1),"",IFERROR(INDEX($AC$6:$AC$1505,MATCH($C1123&amp;"|"&amp;$A1123&amp;"|"&amp;($AE1123-1),$AH$6:$AH$1505,0)),""))</f>
        <v/>
      </c>
      <c r="AJ1123" s="32">
        <f>IF(OR($AI1123="",$AC1123=""),"",IF($AI1123=$AC1123,"ללא שינוי","מ-"&amp;$AI1123&amp;" ל-"&amp;$AC1123))</f>
        <v/>
      </c>
      <c r="AK1123" s="67" t="n"/>
    </row>
    <row r="1124">
      <c r="A1124" s="65" t="n"/>
      <c r="B1124" s="65" t="n"/>
      <c r="C1124" s="66" t="n"/>
      <c r="D1124" s="66" t="n"/>
      <c r="E1124" s="65" t="n"/>
      <c r="F1124" s="65" t="n"/>
      <c r="G1124" s="65" t="n"/>
      <c r="H1124" s="65" t="n"/>
      <c r="I1124" s="65" t="n"/>
      <c r="J1124" s="65" t="n"/>
      <c r="K1124" s="65" t="n"/>
      <c r="L1124" s="65" t="n"/>
      <c r="M1124" s="65" t="n"/>
      <c r="N1124" s="65" t="n"/>
      <c r="O1124" s="65" t="n"/>
      <c r="P1124" s="65" t="n"/>
      <c r="Q1124" s="65" t="n"/>
      <c r="R1124" s="65" t="n"/>
      <c r="S1124" s="65" t="n"/>
      <c r="T1124" s="65" t="n"/>
      <c r="U1124" s="65" t="n"/>
      <c r="V1124" s="65" t="n"/>
      <c r="W1124" s="65" t="n"/>
      <c r="X1124" s="65" t="n"/>
      <c r="Y1124" s="32">
        <f>IF($C1124="","",IF(COUNTA($I1124:$K1124)&lt;3,"— חסרים נתונים",IF(AND($I1124="תקין",$J1124="תקין",$K1124="תקין"),"רהוטה",IF(AND($I1124="תקין",$J1124="תקין"),"מדויקת ורציפה","אינה מדויקת או מקוטעת"))))</f>
        <v/>
      </c>
      <c r="Z1124" s="32">
        <f>IF($C1124="","",IF(COUNTA($U1124:$W1124)&lt;3,"",IF(AND($U1124="מפותח",$V1124="מפותח",$W1124="מפותחת"),"מפותחת",IF((--($U1124="דל"))+(--($V1124="אינו מפותח"))+(--($W1124="דלה"))&gt;=2,"אינה מפותחת","חלקית"))))</f>
        <v/>
      </c>
      <c r="AA1124" s="32">
        <f>IF($C1124="","",IF(COUNTA($M1124,$N1124,$O1124)&lt;3,"— חסרים נתונים",IF(OR($M1124="נמוכה",(--($M1124&lt;&gt;"תקינה"))+(--($N1124&lt;&gt;"תקין"))+(--($O1124&lt;&gt;"תקינה"))&gt;=2),"ניכרת","אינה ניכרת")))</f>
        <v/>
      </c>
      <c r="AB1124" s="32">
        <f>IF(OR($C1124="",$Y1124="",$AA1124="",LEFT($Y1124,1)="—",LEFT($AA1124,1)="—"),"",IF($Z1124="","— נדרשת הערכת כתיבה",IF($L1124="","— חסרה הבנת הנקרא",IF($Y1124="אינה מדויקת או מקוטעת",IF($AA1124="ניכרת","מיקוד בשטף הקריאה ובכישורי שפה","מיקוד בשטף קריאה"),IF($AA1124="ניכרת","מיקוד בכישורי שפה",IF(AND($L1124="תקינה",$Z1124="מפותחת"),"קוראים וכותבים מיומנים","מיקוד בהבנה והבעה"))))))</f>
        <v/>
      </c>
      <c r="AC1124" s="32">
        <f>IF(OR($AB1124="",LEFT($AB1124,1)="—"),"",IF(OR($AB1124="מיקוד בשטף קריאה",$AB1124="מיקוד בשטף הקריאה ובכישורי שפה"),"רמה א'",IF($AB1124="קוראים וכותבים מיומנים","רמה ג'","רמה ב'")))</f>
        <v/>
      </c>
      <c r="AD1124" s="32">
        <f>IF($AC1124="","",MID(IF(AND($AC1124="רמה א'",$AA1124="ניכרת"),"; להוסיף עבודת אוצר מילים","")&amp;IF($Z1124="אינה מפותחת","; דגש על הבעה בכתב","")&amp;IF($K1124&lt;&gt;"תקין","; נדרש לעבוד על ההנגנה","")&amp;IF($AK1124&lt;&gt;"","; "&amp;$AK1124,""),3,400))</f>
        <v/>
      </c>
      <c r="AE1124" s="32">
        <f>IF($F1124="","",IF($F1124="תחילת שנה",1,IF($F1124="מחצית שנה",2,3)))</f>
        <v/>
      </c>
      <c r="AF1124" s="32">
        <f>IF(OR($B1124="",$AC1124="",$A1124="",$F1124=""),"",$B1124&amp;"|"&amp;$A1124&amp;"|"&amp;$F1124&amp;"|"&amp;$AC1124&amp;"|"&amp;COUNTIFS($B$6:$B1124,$B1124,$A$6:$A1124,$A1124,$F$6:$F1124,$F1124,$AC$6:$AC1124,$AC1124))</f>
        <v/>
      </c>
      <c r="AG1124" s="32">
        <f>IF($C1124="","",$C1124&amp;"|"&amp;COUNTIFS($C$6:$C1124,$C1124))</f>
        <v/>
      </c>
      <c r="AH1124" s="32">
        <f>IF(OR($C1124="",$A1124="",$AE1124=""),"",$C1124&amp;"|"&amp;$A1124&amp;"|"&amp;$AE1124)</f>
        <v/>
      </c>
      <c r="AI1124" s="32">
        <f>IF(OR($C1124="",$AE1124="",$AE1124=1),"",IFERROR(INDEX($AC$6:$AC$1505,MATCH($C1124&amp;"|"&amp;$A1124&amp;"|"&amp;($AE1124-1),$AH$6:$AH$1505,0)),""))</f>
        <v/>
      </c>
      <c r="AJ1124" s="32">
        <f>IF(OR($AI1124="",$AC1124=""),"",IF($AI1124=$AC1124,"ללא שינוי","מ-"&amp;$AI1124&amp;" ל-"&amp;$AC1124))</f>
        <v/>
      </c>
      <c r="AK1124" s="67" t="n"/>
    </row>
    <row r="1125">
      <c r="A1125" s="65" t="n"/>
      <c r="B1125" s="65" t="n"/>
      <c r="C1125" s="66" t="n"/>
      <c r="D1125" s="66" t="n"/>
      <c r="E1125" s="65" t="n"/>
      <c r="F1125" s="65" t="n"/>
      <c r="G1125" s="65" t="n"/>
      <c r="H1125" s="65" t="n"/>
      <c r="I1125" s="65" t="n"/>
      <c r="J1125" s="65" t="n"/>
      <c r="K1125" s="65" t="n"/>
      <c r="L1125" s="65" t="n"/>
      <c r="M1125" s="65" t="n"/>
      <c r="N1125" s="65" t="n"/>
      <c r="O1125" s="65" t="n"/>
      <c r="P1125" s="65" t="n"/>
      <c r="Q1125" s="65" t="n"/>
      <c r="R1125" s="65" t="n"/>
      <c r="S1125" s="65" t="n"/>
      <c r="T1125" s="65" t="n"/>
      <c r="U1125" s="65" t="n"/>
      <c r="V1125" s="65" t="n"/>
      <c r="W1125" s="65" t="n"/>
      <c r="X1125" s="65" t="n"/>
      <c r="Y1125" s="32">
        <f>IF($C1125="","",IF(COUNTA($I1125:$K1125)&lt;3,"— חסרים נתונים",IF(AND($I1125="תקין",$J1125="תקין",$K1125="תקין"),"רהוטה",IF(AND($I1125="תקין",$J1125="תקין"),"מדויקת ורציפה","אינה מדויקת או מקוטעת"))))</f>
        <v/>
      </c>
      <c r="Z1125" s="32">
        <f>IF($C1125="","",IF(COUNTA($U1125:$W1125)&lt;3,"",IF(AND($U1125="מפותח",$V1125="מפותח",$W1125="מפותחת"),"מפותחת",IF((--($U1125="דל"))+(--($V1125="אינו מפותח"))+(--($W1125="דלה"))&gt;=2,"אינה מפותחת","חלקית"))))</f>
        <v/>
      </c>
      <c r="AA1125" s="32">
        <f>IF($C1125="","",IF(COUNTA($M1125,$N1125,$O1125)&lt;3,"— חסרים נתונים",IF(OR($M1125="נמוכה",(--($M1125&lt;&gt;"תקינה"))+(--($N1125&lt;&gt;"תקין"))+(--($O1125&lt;&gt;"תקינה"))&gt;=2),"ניכרת","אינה ניכרת")))</f>
        <v/>
      </c>
      <c r="AB1125" s="32">
        <f>IF(OR($C1125="",$Y1125="",$AA1125="",LEFT($Y1125,1)="—",LEFT($AA1125,1)="—"),"",IF($Z1125="","— נדרשת הערכת כתיבה",IF($L1125="","— חסרה הבנת הנקרא",IF($Y1125="אינה מדויקת או מקוטעת",IF($AA1125="ניכרת","מיקוד בשטף הקריאה ובכישורי שפה","מיקוד בשטף קריאה"),IF($AA1125="ניכרת","מיקוד בכישורי שפה",IF(AND($L1125="תקינה",$Z1125="מפותחת"),"קוראים וכותבים מיומנים","מיקוד בהבנה והבעה"))))))</f>
        <v/>
      </c>
      <c r="AC1125" s="32">
        <f>IF(OR($AB1125="",LEFT($AB1125,1)="—"),"",IF(OR($AB1125="מיקוד בשטף קריאה",$AB1125="מיקוד בשטף הקריאה ובכישורי שפה"),"רמה א'",IF($AB1125="קוראים וכותבים מיומנים","רמה ג'","רמה ב'")))</f>
        <v/>
      </c>
      <c r="AD1125" s="32">
        <f>IF($AC1125="","",MID(IF(AND($AC1125="רמה א'",$AA1125="ניכרת"),"; להוסיף עבודת אוצר מילים","")&amp;IF($Z1125="אינה מפותחת","; דגש על הבעה בכתב","")&amp;IF($K1125&lt;&gt;"תקין","; נדרש לעבוד על ההנגנה","")&amp;IF($AK1125&lt;&gt;"","; "&amp;$AK1125,""),3,400))</f>
        <v/>
      </c>
      <c r="AE1125" s="32">
        <f>IF($F1125="","",IF($F1125="תחילת שנה",1,IF($F1125="מחצית שנה",2,3)))</f>
        <v/>
      </c>
      <c r="AF1125" s="32">
        <f>IF(OR($B1125="",$AC1125="",$A1125="",$F1125=""),"",$B1125&amp;"|"&amp;$A1125&amp;"|"&amp;$F1125&amp;"|"&amp;$AC1125&amp;"|"&amp;COUNTIFS($B$6:$B1125,$B1125,$A$6:$A1125,$A1125,$F$6:$F1125,$F1125,$AC$6:$AC1125,$AC1125))</f>
        <v/>
      </c>
      <c r="AG1125" s="32">
        <f>IF($C1125="","",$C1125&amp;"|"&amp;COUNTIFS($C$6:$C1125,$C1125))</f>
        <v/>
      </c>
      <c r="AH1125" s="32">
        <f>IF(OR($C1125="",$A1125="",$AE1125=""),"",$C1125&amp;"|"&amp;$A1125&amp;"|"&amp;$AE1125)</f>
        <v/>
      </c>
      <c r="AI1125" s="32">
        <f>IF(OR($C1125="",$AE1125="",$AE1125=1),"",IFERROR(INDEX($AC$6:$AC$1505,MATCH($C1125&amp;"|"&amp;$A1125&amp;"|"&amp;($AE1125-1),$AH$6:$AH$1505,0)),""))</f>
        <v/>
      </c>
      <c r="AJ1125" s="32">
        <f>IF(OR($AI1125="",$AC1125=""),"",IF($AI1125=$AC1125,"ללא שינוי","מ-"&amp;$AI1125&amp;" ל-"&amp;$AC1125))</f>
        <v/>
      </c>
      <c r="AK1125" s="67" t="n"/>
    </row>
    <row r="1126">
      <c r="A1126" s="65" t="n"/>
      <c r="B1126" s="65" t="n"/>
      <c r="C1126" s="66" t="n"/>
      <c r="D1126" s="66" t="n"/>
      <c r="E1126" s="65" t="n"/>
      <c r="F1126" s="65" t="n"/>
      <c r="G1126" s="65" t="n"/>
      <c r="H1126" s="65" t="n"/>
      <c r="I1126" s="65" t="n"/>
      <c r="J1126" s="65" t="n"/>
      <c r="K1126" s="65" t="n"/>
      <c r="L1126" s="65" t="n"/>
      <c r="M1126" s="65" t="n"/>
      <c r="N1126" s="65" t="n"/>
      <c r="O1126" s="65" t="n"/>
      <c r="P1126" s="65" t="n"/>
      <c r="Q1126" s="65" t="n"/>
      <c r="R1126" s="65" t="n"/>
      <c r="S1126" s="65" t="n"/>
      <c r="T1126" s="65" t="n"/>
      <c r="U1126" s="65" t="n"/>
      <c r="V1126" s="65" t="n"/>
      <c r="W1126" s="65" t="n"/>
      <c r="X1126" s="65" t="n"/>
      <c r="Y1126" s="32">
        <f>IF($C1126="","",IF(COUNTA($I1126:$K1126)&lt;3,"— חסרים נתונים",IF(AND($I1126="תקין",$J1126="תקין",$K1126="תקין"),"רהוטה",IF(AND($I1126="תקין",$J1126="תקין"),"מדויקת ורציפה","אינה מדויקת או מקוטעת"))))</f>
        <v/>
      </c>
      <c r="Z1126" s="32">
        <f>IF($C1126="","",IF(COUNTA($U1126:$W1126)&lt;3,"",IF(AND($U1126="מפותח",$V1126="מפותח",$W1126="מפותחת"),"מפותחת",IF((--($U1126="דל"))+(--($V1126="אינו מפותח"))+(--($W1126="דלה"))&gt;=2,"אינה מפותחת","חלקית"))))</f>
        <v/>
      </c>
      <c r="AA1126" s="32">
        <f>IF($C1126="","",IF(COUNTA($M1126,$N1126,$O1126)&lt;3,"— חסרים נתונים",IF(OR($M1126="נמוכה",(--($M1126&lt;&gt;"תקינה"))+(--($N1126&lt;&gt;"תקין"))+(--($O1126&lt;&gt;"תקינה"))&gt;=2),"ניכרת","אינה ניכרת")))</f>
        <v/>
      </c>
      <c r="AB1126" s="32">
        <f>IF(OR($C1126="",$Y1126="",$AA1126="",LEFT($Y1126,1)="—",LEFT($AA1126,1)="—"),"",IF($Z1126="","— נדרשת הערכת כתיבה",IF($L1126="","— חסרה הבנת הנקרא",IF($Y1126="אינה מדויקת או מקוטעת",IF($AA1126="ניכרת","מיקוד בשטף הקריאה ובכישורי שפה","מיקוד בשטף קריאה"),IF($AA1126="ניכרת","מיקוד בכישורי שפה",IF(AND($L1126="תקינה",$Z1126="מפותחת"),"קוראים וכותבים מיומנים","מיקוד בהבנה והבעה"))))))</f>
        <v/>
      </c>
      <c r="AC1126" s="32">
        <f>IF(OR($AB1126="",LEFT($AB1126,1)="—"),"",IF(OR($AB1126="מיקוד בשטף קריאה",$AB1126="מיקוד בשטף הקריאה ובכישורי שפה"),"רמה א'",IF($AB1126="קוראים וכותבים מיומנים","רמה ג'","רמה ב'")))</f>
        <v/>
      </c>
      <c r="AD1126" s="32">
        <f>IF($AC1126="","",MID(IF(AND($AC1126="רמה א'",$AA1126="ניכרת"),"; להוסיף עבודת אוצר מילים","")&amp;IF($Z1126="אינה מפותחת","; דגש על הבעה בכתב","")&amp;IF($K1126&lt;&gt;"תקין","; נדרש לעבוד על ההנגנה","")&amp;IF($AK1126&lt;&gt;"","; "&amp;$AK1126,""),3,400))</f>
        <v/>
      </c>
      <c r="AE1126" s="32">
        <f>IF($F1126="","",IF($F1126="תחילת שנה",1,IF($F1126="מחצית שנה",2,3)))</f>
        <v/>
      </c>
      <c r="AF1126" s="32">
        <f>IF(OR($B1126="",$AC1126="",$A1126="",$F1126=""),"",$B1126&amp;"|"&amp;$A1126&amp;"|"&amp;$F1126&amp;"|"&amp;$AC1126&amp;"|"&amp;COUNTIFS($B$6:$B1126,$B1126,$A$6:$A1126,$A1126,$F$6:$F1126,$F1126,$AC$6:$AC1126,$AC1126))</f>
        <v/>
      </c>
      <c r="AG1126" s="32">
        <f>IF($C1126="","",$C1126&amp;"|"&amp;COUNTIFS($C$6:$C1126,$C1126))</f>
        <v/>
      </c>
      <c r="AH1126" s="32">
        <f>IF(OR($C1126="",$A1126="",$AE1126=""),"",$C1126&amp;"|"&amp;$A1126&amp;"|"&amp;$AE1126)</f>
        <v/>
      </c>
      <c r="AI1126" s="32">
        <f>IF(OR($C1126="",$AE1126="",$AE1126=1),"",IFERROR(INDEX($AC$6:$AC$1505,MATCH($C1126&amp;"|"&amp;$A1126&amp;"|"&amp;($AE1126-1),$AH$6:$AH$1505,0)),""))</f>
        <v/>
      </c>
      <c r="AJ1126" s="32">
        <f>IF(OR($AI1126="",$AC1126=""),"",IF($AI1126=$AC1126,"ללא שינוי","מ-"&amp;$AI1126&amp;" ל-"&amp;$AC1126))</f>
        <v/>
      </c>
      <c r="AK1126" s="67" t="n"/>
    </row>
    <row r="1127">
      <c r="A1127" s="65" t="n"/>
      <c r="B1127" s="65" t="n"/>
      <c r="C1127" s="66" t="n"/>
      <c r="D1127" s="66" t="n"/>
      <c r="E1127" s="65" t="n"/>
      <c r="F1127" s="65" t="n"/>
      <c r="G1127" s="65" t="n"/>
      <c r="H1127" s="65" t="n"/>
      <c r="I1127" s="65" t="n"/>
      <c r="J1127" s="65" t="n"/>
      <c r="K1127" s="65" t="n"/>
      <c r="L1127" s="65" t="n"/>
      <c r="M1127" s="65" t="n"/>
      <c r="N1127" s="65" t="n"/>
      <c r="O1127" s="65" t="n"/>
      <c r="P1127" s="65" t="n"/>
      <c r="Q1127" s="65" t="n"/>
      <c r="R1127" s="65" t="n"/>
      <c r="S1127" s="65" t="n"/>
      <c r="T1127" s="65" t="n"/>
      <c r="U1127" s="65" t="n"/>
      <c r="V1127" s="65" t="n"/>
      <c r="W1127" s="65" t="n"/>
      <c r="X1127" s="65" t="n"/>
      <c r="Y1127" s="32">
        <f>IF($C1127="","",IF(COUNTA($I1127:$K1127)&lt;3,"— חסרים נתונים",IF(AND($I1127="תקין",$J1127="תקין",$K1127="תקין"),"רהוטה",IF(AND($I1127="תקין",$J1127="תקין"),"מדויקת ורציפה","אינה מדויקת או מקוטעת"))))</f>
        <v/>
      </c>
      <c r="Z1127" s="32">
        <f>IF($C1127="","",IF(COUNTA($U1127:$W1127)&lt;3,"",IF(AND($U1127="מפותח",$V1127="מפותח",$W1127="מפותחת"),"מפותחת",IF((--($U1127="דל"))+(--($V1127="אינו מפותח"))+(--($W1127="דלה"))&gt;=2,"אינה מפותחת","חלקית"))))</f>
        <v/>
      </c>
      <c r="AA1127" s="32">
        <f>IF($C1127="","",IF(COUNTA($M1127,$N1127,$O1127)&lt;3,"— חסרים נתונים",IF(OR($M1127="נמוכה",(--($M1127&lt;&gt;"תקינה"))+(--($N1127&lt;&gt;"תקין"))+(--($O1127&lt;&gt;"תקינה"))&gt;=2),"ניכרת","אינה ניכרת")))</f>
        <v/>
      </c>
      <c r="AB1127" s="32">
        <f>IF(OR($C1127="",$Y1127="",$AA1127="",LEFT($Y1127,1)="—",LEFT($AA1127,1)="—"),"",IF($Z1127="","— נדרשת הערכת כתיבה",IF($L1127="","— חסרה הבנת הנקרא",IF($Y1127="אינה מדויקת או מקוטעת",IF($AA1127="ניכרת","מיקוד בשטף הקריאה ובכישורי שפה","מיקוד בשטף קריאה"),IF($AA1127="ניכרת","מיקוד בכישורי שפה",IF(AND($L1127="תקינה",$Z1127="מפותחת"),"קוראים וכותבים מיומנים","מיקוד בהבנה והבעה"))))))</f>
        <v/>
      </c>
      <c r="AC1127" s="32">
        <f>IF(OR($AB1127="",LEFT($AB1127,1)="—"),"",IF(OR($AB1127="מיקוד בשטף קריאה",$AB1127="מיקוד בשטף הקריאה ובכישורי שפה"),"רמה א'",IF($AB1127="קוראים וכותבים מיומנים","רמה ג'","רמה ב'")))</f>
        <v/>
      </c>
      <c r="AD1127" s="32">
        <f>IF($AC1127="","",MID(IF(AND($AC1127="רמה א'",$AA1127="ניכרת"),"; להוסיף עבודת אוצר מילים","")&amp;IF($Z1127="אינה מפותחת","; דגש על הבעה בכתב","")&amp;IF($K1127&lt;&gt;"תקין","; נדרש לעבוד על ההנגנה","")&amp;IF($AK1127&lt;&gt;"","; "&amp;$AK1127,""),3,400))</f>
        <v/>
      </c>
      <c r="AE1127" s="32">
        <f>IF($F1127="","",IF($F1127="תחילת שנה",1,IF($F1127="מחצית שנה",2,3)))</f>
        <v/>
      </c>
      <c r="AF1127" s="32">
        <f>IF(OR($B1127="",$AC1127="",$A1127="",$F1127=""),"",$B1127&amp;"|"&amp;$A1127&amp;"|"&amp;$F1127&amp;"|"&amp;$AC1127&amp;"|"&amp;COUNTIFS($B$6:$B1127,$B1127,$A$6:$A1127,$A1127,$F$6:$F1127,$F1127,$AC$6:$AC1127,$AC1127))</f>
        <v/>
      </c>
      <c r="AG1127" s="32">
        <f>IF($C1127="","",$C1127&amp;"|"&amp;COUNTIFS($C$6:$C1127,$C1127))</f>
        <v/>
      </c>
      <c r="AH1127" s="32">
        <f>IF(OR($C1127="",$A1127="",$AE1127=""),"",$C1127&amp;"|"&amp;$A1127&amp;"|"&amp;$AE1127)</f>
        <v/>
      </c>
      <c r="AI1127" s="32">
        <f>IF(OR($C1127="",$AE1127="",$AE1127=1),"",IFERROR(INDEX($AC$6:$AC$1505,MATCH($C1127&amp;"|"&amp;$A1127&amp;"|"&amp;($AE1127-1),$AH$6:$AH$1505,0)),""))</f>
        <v/>
      </c>
      <c r="AJ1127" s="32">
        <f>IF(OR($AI1127="",$AC1127=""),"",IF($AI1127=$AC1127,"ללא שינוי","מ-"&amp;$AI1127&amp;" ל-"&amp;$AC1127))</f>
        <v/>
      </c>
      <c r="AK1127" s="67" t="n"/>
    </row>
    <row r="1128">
      <c r="A1128" s="65" t="n"/>
      <c r="B1128" s="65" t="n"/>
      <c r="C1128" s="66" t="n"/>
      <c r="D1128" s="66" t="n"/>
      <c r="E1128" s="65" t="n"/>
      <c r="F1128" s="65" t="n"/>
      <c r="G1128" s="65" t="n"/>
      <c r="H1128" s="65" t="n"/>
      <c r="I1128" s="65" t="n"/>
      <c r="J1128" s="65" t="n"/>
      <c r="K1128" s="65" t="n"/>
      <c r="L1128" s="65" t="n"/>
      <c r="M1128" s="65" t="n"/>
      <c r="N1128" s="65" t="n"/>
      <c r="O1128" s="65" t="n"/>
      <c r="P1128" s="65" t="n"/>
      <c r="Q1128" s="65" t="n"/>
      <c r="R1128" s="65" t="n"/>
      <c r="S1128" s="65" t="n"/>
      <c r="T1128" s="65" t="n"/>
      <c r="U1128" s="65" t="n"/>
      <c r="V1128" s="65" t="n"/>
      <c r="W1128" s="65" t="n"/>
      <c r="X1128" s="65" t="n"/>
      <c r="Y1128" s="32">
        <f>IF($C1128="","",IF(COUNTA($I1128:$K1128)&lt;3,"— חסרים נתונים",IF(AND($I1128="תקין",$J1128="תקין",$K1128="תקין"),"רהוטה",IF(AND($I1128="תקין",$J1128="תקין"),"מדויקת ורציפה","אינה מדויקת או מקוטעת"))))</f>
        <v/>
      </c>
      <c r="Z1128" s="32">
        <f>IF($C1128="","",IF(COUNTA($U1128:$W1128)&lt;3,"",IF(AND($U1128="מפותח",$V1128="מפותח",$W1128="מפותחת"),"מפותחת",IF((--($U1128="דל"))+(--($V1128="אינו מפותח"))+(--($W1128="דלה"))&gt;=2,"אינה מפותחת","חלקית"))))</f>
        <v/>
      </c>
      <c r="AA1128" s="32">
        <f>IF($C1128="","",IF(COUNTA($M1128,$N1128,$O1128)&lt;3,"— חסרים נתונים",IF(OR($M1128="נמוכה",(--($M1128&lt;&gt;"תקינה"))+(--($N1128&lt;&gt;"תקין"))+(--($O1128&lt;&gt;"תקינה"))&gt;=2),"ניכרת","אינה ניכרת")))</f>
        <v/>
      </c>
      <c r="AB1128" s="32">
        <f>IF(OR($C1128="",$Y1128="",$AA1128="",LEFT($Y1128,1)="—",LEFT($AA1128,1)="—"),"",IF($Z1128="","— נדרשת הערכת כתיבה",IF($L1128="","— חסרה הבנת הנקרא",IF($Y1128="אינה מדויקת או מקוטעת",IF($AA1128="ניכרת","מיקוד בשטף הקריאה ובכישורי שפה","מיקוד בשטף קריאה"),IF($AA1128="ניכרת","מיקוד בכישורי שפה",IF(AND($L1128="תקינה",$Z1128="מפותחת"),"קוראים וכותבים מיומנים","מיקוד בהבנה והבעה"))))))</f>
        <v/>
      </c>
      <c r="AC1128" s="32">
        <f>IF(OR($AB1128="",LEFT($AB1128,1)="—"),"",IF(OR($AB1128="מיקוד בשטף קריאה",$AB1128="מיקוד בשטף הקריאה ובכישורי שפה"),"רמה א'",IF($AB1128="קוראים וכותבים מיומנים","רמה ג'","רמה ב'")))</f>
        <v/>
      </c>
      <c r="AD1128" s="32">
        <f>IF($AC1128="","",MID(IF(AND($AC1128="רמה א'",$AA1128="ניכרת"),"; להוסיף עבודת אוצר מילים","")&amp;IF($Z1128="אינה מפותחת","; דגש על הבעה בכתב","")&amp;IF($K1128&lt;&gt;"תקין","; נדרש לעבוד על ההנגנה","")&amp;IF($AK1128&lt;&gt;"","; "&amp;$AK1128,""),3,400))</f>
        <v/>
      </c>
      <c r="AE1128" s="32">
        <f>IF($F1128="","",IF($F1128="תחילת שנה",1,IF($F1128="מחצית שנה",2,3)))</f>
        <v/>
      </c>
      <c r="AF1128" s="32">
        <f>IF(OR($B1128="",$AC1128="",$A1128="",$F1128=""),"",$B1128&amp;"|"&amp;$A1128&amp;"|"&amp;$F1128&amp;"|"&amp;$AC1128&amp;"|"&amp;COUNTIFS($B$6:$B1128,$B1128,$A$6:$A1128,$A1128,$F$6:$F1128,$F1128,$AC$6:$AC1128,$AC1128))</f>
        <v/>
      </c>
      <c r="AG1128" s="32">
        <f>IF($C1128="","",$C1128&amp;"|"&amp;COUNTIFS($C$6:$C1128,$C1128))</f>
        <v/>
      </c>
      <c r="AH1128" s="32">
        <f>IF(OR($C1128="",$A1128="",$AE1128=""),"",$C1128&amp;"|"&amp;$A1128&amp;"|"&amp;$AE1128)</f>
        <v/>
      </c>
      <c r="AI1128" s="32">
        <f>IF(OR($C1128="",$AE1128="",$AE1128=1),"",IFERROR(INDEX($AC$6:$AC$1505,MATCH($C1128&amp;"|"&amp;$A1128&amp;"|"&amp;($AE1128-1),$AH$6:$AH$1505,0)),""))</f>
        <v/>
      </c>
      <c r="AJ1128" s="32">
        <f>IF(OR($AI1128="",$AC1128=""),"",IF($AI1128=$AC1128,"ללא שינוי","מ-"&amp;$AI1128&amp;" ל-"&amp;$AC1128))</f>
        <v/>
      </c>
      <c r="AK1128" s="67" t="n"/>
    </row>
    <row r="1129">
      <c r="A1129" s="65" t="n"/>
      <c r="B1129" s="65" t="n"/>
      <c r="C1129" s="66" t="n"/>
      <c r="D1129" s="66" t="n"/>
      <c r="E1129" s="65" t="n"/>
      <c r="F1129" s="65" t="n"/>
      <c r="G1129" s="65" t="n"/>
      <c r="H1129" s="65" t="n"/>
      <c r="I1129" s="65" t="n"/>
      <c r="J1129" s="65" t="n"/>
      <c r="K1129" s="65" t="n"/>
      <c r="L1129" s="65" t="n"/>
      <c r="M1129" s="65" t="n"/>
      <c r="N1129" s="65" t="n"/>
      <c r="O1129" s="65" t="n"/>
      <c r="P1129" s="65" t="n"/>
      <c r="Q1129" s="65" t="n"/>
      <c r="R1129" s="65" t="n"/>
      <c r="S1129" s="65" t="n"/>
      <c r="T1129" s="65" t="n"/>
      <c r="U1129" s="65" t="n"/>
      <c r="V1129" s="65" t="n"/>
      <c r="W1129" s="65" t="n"/>
      <c r="X1129" s="65" t="n"/>
      <c r="Y1129" s="32">
        <f>IF($C1129="","",IF(COUNTA($I1129:$K1129)&lt;3,"— חסרים נתונים",IF(AND($I1129="תקין",$J1129="תקין",$K1129="תקין"),"רהוטה",IF(AND($I1129="תקין",$J1129="תקין"),"מדויקת ורציפה","אינה מדויקת או מקוטעת"))))</f>
        <v/>
      </c>
      <c r="Z1129" s="32">
        <f>IF($C1129="","",IF(COUNTA($U1129:$W1129)&lt;3,"",IF(AND($U1129="מפותח",$V1129="מפותח",$W1129="מפותחת"),"מפותחת",IF((--($U1129="דל"))+(--($V1129="אינו מפותח"))+(--($W1129="דלה"))&gt;=2,"אינה מפותחת","חלקית"))))</f>
        <v/>
      </c>
      <c r="AA1129" s="32">
        <f>IF($C1129="","",IF(COUNTA($M1129,$N1129,$O1129)&lt;3,"— חסרים נתונים",IF(OR($M1129="נמוכה",(--($M1129&lt;&gt;"תקינה"))+(--($N1129&lt;&gt;"תקין"))+(--($O1129&lt;&gt;"תקינה"))&gt;=2),"ניכרת","אינה ניכרת")))</f>
        <v/>
      </c>
      <c r="AB1129" s="32">
        <f>IF(OR($C1129="",$Y1129="",$AA1129="",LEFT($Y1129,1)="—",LEFT($AA1129,1)="—"),"",IF($Z1129="","— נדרשת הערכת כתיבה",IF($L1129="","— חסרה הבנת הנקרא",IF($Y1129="אינה מדויקת או מקוטעת",IF($AA1129="ניכרת","מיקוד בשטף הקריאה ובכישורי שפה","מיקוד בשטף קריאה"),IF($AA1129="ניכרת","מיקוד בכישורי שפה",IF(AND($L1129="תקינה",$Z1129="מפותחת"),"קוראים וכותבים מיומנים","מיקוד בהבנה והבעה"))))))</f>
        <v/>
      </c>
      <c r="AC1129" s="32">
        <f>IF(OR($AB1129="",LEFT($AB1129,1)="—"),"",IF(OR($AB1129="מיקוד בשטף קריאה",$AB1129="מיקוד בשטף הקריאה ובכישורי שפה"),"רמה א'",IF($AB1129="קוראים וכותבים מיומנים","רמה ג'","רמה ב'")))</f>
        <v/>
      </c>
      <c r="AD1129" s="32">
        <f>IF($AC1129="","",MID(IF(AND($AC1129="רמה א'",$AA1129="ניכרת"),"; להוסיף עבודת אוצר מילים","")&amp;IF($Z1129="אינה מפותחת","; דגש על הבעה בכתב","")&amp;IF($K1129&lt;&gt;"תקין","; נדרש לעבוד על ההנגנה","")&amp;IF($AK1129&lt;&gt;"","; "&amp;$AK1129,""),3,400))</f>
        <v/>
      </c>
      <c r="AE1129" s="32">
        <f>IF($F1129="","",IF($F1129="תחילת שנה",1,IF($F1129="מחצית שנה",2,3)))</f>
        <v/>
      </c>
      <c r="AF1129" s="32">
        <f>IF(OR($B1129="",$AC1129="",$A1129="",$F1129=""),"",$B1129&amp;"|"&amp;$A1129&amp;"|"&amp;$F1129&amp;"|"&amp;$AC1129&amp;"|"&amp;COUNTIFS($B$6:$B1129,$B1129,$A$6:$A1129,$A1129,$F$6:$F1129,$F1129,$AC$6:$AC1129,$AC1129))</f>
        <v/>
      </c>
      <c r="AG1129" s="32">
        <f>IF($C1129="","",$C1129&amp;"|"&amp;COUNTIFS($C$6:$C1129,$C1129))</f>
        <v/>
      </c>
      <c r="AH1129" s="32">
        <f>IF(OR($C1129="",$A1129="",$AE1129=""),"",$C1129&amp;"|"&amp;$A1129&amp;"|"&amp;$AE1129)</f>
        <v/>
      </c>
      <c r="AI1129" s="32">
        <f>IF(OR($C1129="",$AE1129="",$AE1129=1),"",IFERROR(INDEX($AC$6:$AC$1505,MATCH($C1129&amp;"|"&amp;$A1129&amp;"|"&amp;($AE1129-1),$AH$6:$AH$1505,0)),""))</f>
        <v/>
      </c>
      <c r="AJ1129" s="32">
        <f>IF(OR($AI1129="",$AC1129=""),"",IF($AI1129=$AC1129,"ללא שינוי","מ-"&amp;$AI1129&amp;" ל-"&amp;$AC1129))</f>
        <v/>
      </c>
      <c r="AK1129" s="67" t="n"/>
    </row>
    <row r="1130">
      <c r="A1130" s="65" t="n"/>
      <c r="B1130" s="65" t="n"/>
      <c r="C1130" s="66" t="n"/>
      <c r="D1130" s="66" t="n"/>
      <c r="E1130" s="65" t="n"/>
      <c r="F1130" s="65" t="n"/>
      <c r="G1130" s="65" t="n"/>
      <c r="H1130" s="65" t="n"/>
      <c r="I1130" s="65" t="n"/>
      <c r="J1130" s="65" t="n"/>
      <c r="K1130" s="65" t="n"/>
      <c r="L1130" s="65" t="n"/>
      <c r="M1130" s="65" t="n"/>
      <c r="N1130" s="65" t="n"/>
      <c r="O1130" s="65" t="n"/>
      <c r="P1130" s="65" t="n"/>
      <c r="Q1130" s="65" t="n"/>
      <c r="R1130" s="65" t="n"/>
      <c r="S1130" s="65" t="n"/>
      <c r="T1130" s="65" t="n"/>
      <c r="U1130" s="65" t="n"/>
      <c r="V1130" s="65" t="n"/>
      <c r="W1130" s="65" t="n"/>
      <c r="X1130" s="65" t="n"/>
      <c r="Y1130" s="32">
        <f>IF($C1130="","",IF(COUNTA($I1130:$K1130)&lt;3,"— חסרים נתונים",IF(AND($I1130="תקין",$J1130="תקין",$K1130="תקין"),"רהוטה",IF(AND($I1130="תקין",$J1130="תקין"),"מדויקת ורציפה","אינה מדויקת או מקוטעת"))))</f>
        <v/>
      </c>
      <c r="Z1130" s="32">
        <f>IF($C1130="","",IF(COUNTA($U1130:$W1130)&lt;3,"",IF(AND($U1130="מפותח",$V1130="מפותח",$W1130="מפותחת"),"מפותחת",IF((--($U1130="דל"))+(--($V1130="אינו מפותח"))+(--($W1130="דלה"))&gt;=2,"אינה מפותחת","חלקית"))))</f>
        <v/>
      </c>
      <c r="AA1130" s="32">
        <f>IF($C1130="","",IF(COUNTA($M1130,$N1130,$O1130)&lt;3,"— חסרים נתונים",IF(OR($M1130="נמוכה",(--($M1130&lt;&gt;"תקינה"))+(--($N1130&lt;&gt;"תקין"))+(--($O1130&lt;&gt;"תקינה"))&gt;=2),"ניכרת","אינה ניכרת")))</f>
        <v/>
      </c>
      <c r="AB1130" s="32">
        <f>IF(OR($C1130="",$Y1130="",$AA1130="",LEFT($Y1130,1)="—",LEFT($AA1130,1)="—"),"",IF($Z1130="","— נדרשת הערכת כתיבה",IF($L1130="","— חסרה הבנת הנקרא",IF($Y1130="אינה מדויקת או מקוטעת",IF($AA1130="ניכרת","מיקוד בשטף הקריאה ובכישורי שפה","מיקוד בשטף קריאה"),IF($AA1130="ניכרת","מיקוד בכישורי שפה",IF(AND($L1130="תקינה",$Z1130="מפותחת"),"קוראים וכותבים מיומנים","מיקוד בהבנה והבעה"))))))</f>
        <v/>
      </c>
      <c r="AC1130" s="32">
        <f>IF(OR($AB1130="",LEFT($AB1130,1)="—"),"",IF(OR($AB1130="מיקוד בשטף קריאה",$AB1130="מיקוד בשטף הקריאה ובכישורי שפה"),"רמה א'",IF($AB1130="קוראים וכותבים מיומנים","רמה ג'","רמה ב'")))</f>
        <v/>
      </c>
      <c r="AD1130" s="32">
        <f>IF($AC1130="","",MID(IF(AND($AC1130="רמה א'",$AA1130="ניכרת"),"; להוסיף עבודת אוצר מילים","")&amp;IF($Z1130="אינה מפותחת","; דגש על הבעה בכתב","")&amp;IF($K1130&lt;&gt;"תקין","; נדרש לעבוד על ההנגנה","")&amp;IF($AK1130&lt;&gt;"","; "&amp;$AK1130,""),3,400))</f>
        <v/>
      </c>
      <c r="AE1130" s="32">
        <f>IF($F1130="","",IF($F1130="תחילת שנה",1,IF($F1130="מחצית שנה",2,3)))</f>
        <v/>
      </c>
      <c r="AF1130" s="32">
        <f>IF(OR($B1130="",$AC1130="",$A1130="",$F1130=""),"",$B1130&amp;"|"&amp;$A1130&amp;"|"&amp;$F1130&amp;"|"&amp;$AC1130&amp;"|"&amp;COUNTIFS($B$6:$B1130,$B1130,$A$6:$A1130,$A1130,$F$6:$F1130,$F1130,$AC$6:$AC1130,$AC1130))</f>
        <v/>
      </c>
      <c r="AG1130" s="32">
        <f>IF($C1130="","",$C1130&amp;"|"&amp;COUNTIFS($C$6:$C1130,$C1130))</f>
        <v/>
      </c>
      <c r="AH1130" s="32">
        <f>IF(OR($C1130="",$A1130="",$AE1130=""),"",$C1130&amp;"|"&amp;$A1130&amp;"|"&amp;$AE1130)</f>
        <v/>
      </c>
      <c r="AI1130" s="32">
        <f>IF(OR($C1130="",$AE1130="",$AE1130=1),"",IFERROR(INDEX($AC$6:$AC$1505,MATCH($C1130&amp;"|"&amp;$A1130&amp;"|"&amp;($AE1130-1),$AH$6:$AH$1505,0)),""))</f>
        <v/>
      </c>
      <c r="AJ1130" s="32">
        <f>IF(OR($AI1130="",$AC1130=""),"",IF($AI1130=$AC1130,"ללא שינוי","מ-"&amp;$AI1130&amp;" ל-"&amp;$AC1130))</f>
        <v/>
      </c>
      <c r="AK1130" s="67" t="n"/>
    </row>
    <row r="1131">
      <c r="A1131" s="65" t="n"/>
      <c r="B1131" s="65" t="n"/>
      <c r="C1131" s="66" t="n"/>
      <c r="D1131" s="66" t="n"/>
      <c r="E1131" s="65" t="n"/>
      <c r="F1131" s="65" t="n"/>
      <c r="G1131" s="65" t="n"/>
      <c r="H1131" s="65" t="n"/>
      <c r="I1131" s="65" t="n"/>
      <c r="J1131" s="65" t="n"/>
      <c r="K1131" s="65" t="n"/>
      <c r="L1131" s="65" t="n"/>
      <c r="M1131" s="65" t="n"/>
      <c r="N1131" s="65" t="n"/>
      <c r="O1131" s="65" t="n"/>
      <c r="P1131" s="65" t="n"/>
      <c r="Q1131" s="65" t="n"/>
      <c r="R1131" s="65" t="n"/>
      <c r="S1131" s="65" t="n"/>
      <c r="T1131" s="65" t="n"/>
      <c r="U1131" s="65" t="n"/>
      <c r="V1131" s="65" t="n"/>
      <c r="W1131" s="65" t="n"/>
      <c r="X1131" s="65" t="n"/>
      <c r="Y1131" s="32">
        <f>IF($C1131="","",IF(COUNTA($I1131:$K1131)&lt;3,"— חסרים נתונים",IF(AND($I1131="תקין",$J1131="תקין",$K1131="תקין"),"רהוטה",IF(AND($I1131="תקין",$J1131="תקין"),"מדויקת ורציפה","אינה מדויקת או מקוטעת"))))</f>
        <v/>
      </c>
      <c r="Z1131" s="32">
        <f>IF($C1131="","",IF(COUNTA($U1131:$W1131)&lt;3,"",IF(AND($U1131="מפותח",$V1131="מפותח",$W1131="מפותחת"),"מפותחת",IF((--($U1131="דל"))+(--($V1131="אינו מפותח"))+(--($W1131="דלה"))&gt;=2,"אינה מפותחת","חלקית"))))</f>
        <v/>
      </c>
      <c r="AA1131" s="32">
        <f>IF($C1131="","",IF(COUNTA($M1131,$N1131,$O1131)&lt;3,"— חסרים נתונים",IF(OR($M1131="נמוכה",(--($M1131&lt;&gt;"תקינה"))+(--($N1131&lt;&gt;"תקין"))+(--($O1131&lt;&gt;"תקינה"))&gt;=2),"ניכרת","אינה ניכרת")))</f>
        <v/>
      </c>
      <c r="AB1131" s="32">
        <f>IF(OR($C1131="",$Y1131="",$AA1131="",LEFT($Y1131,1)="—",LEFT($AA1131,1)="—"),"",IF($Z1131="","— נדרשת הערכת כתיבה",IF($L1131="","— חסרה הבנת הנקרא",IF($Y1131="אינה מדויקת או מקוטעת",IF($AA1131="ניכרת","מיקוד בשטף הקריאה ובכישורי שפה","מיקוד בשטף קריאה"),IF($AA1131="ניכרת","מיקוד בכישורי שפה",IF(AND($L1131="תקינה",$Z1131="מפותחת"),"קוראים וכותבים מיומנים","מיקוד בהבנה והבעה"))))))</f>
        <v/>
      </c>
      <c r="AC1131" s="32">
        <f>IF(OR($AB1131="",LEFT($AB1131,1)="—"),"",IF(OR($AB1131="מיקוד בשטף קריאה",$AB1131="מיקוד בשטף הקריאה ובכישורי שפה"),"רמה א'",IF($AB1131="קוראים וכותבים מיומנים","רמה ג'","רמה ב'")))</f>
        <v/>
      </c>
      <c r="AD1131" s="32">
        <f>IF($AC1131="","",MID(IF(AND($AC1131="רמה א'",$AA1131="ניכרת"),"; להוסיף עבודת אוצר מילים","")&amp;IF($Z1131="אינה מפותחת","; דגש על הבעה בכתב","")&amp;IF($K1131&lt;&gt;"תקין","; נדרש לעבוד על ההנגנה","")&amp;IF($AK1131&lt;&gt;"","; "&amp;$AK1131,""),3,400))</f>
        <v/>
      </c>
      <c r="AE1131" s="32">
        <f>IF($F1131="","",IF($F1131="תחילת שנה",1,IF($F1131="מחצית שנה",2,3)))</f>
        <v/>
      </c>
      <c r="AF1131" s="32">
        <f>IF(OR($B1131="",$AC1131="",$A1131="",$F1131=""),"",$B1131&amp;"|"&amp;$A1131&amp;"|"&amp;$F1131&amp;"|"&amp;$AC1131&amp;"|"&amp;COUNTIFS($B$6:$B1131,$B1131,$A$6:$A1131,$A1131,$F$6:$F1131,$F1131,$AC$6:$AC1131,$AC1131))</f>
        <v/>
      </c>
      <c r="AG1131" s="32">
        <f>IF($C1131="","",$C1131&amp;"|"&amp;COUNTIFS($C$6:$C1131,$C1131))</f>
        <v/>
      </c>
      <c r="AH1131" s="32">
        <f>IF(OR($C1131="",$A1131="",$AE1131=""),"",$C1131&amp;"|"&amp;$A1131&amp;"|"&amp;$AE1131)</f>
        <v/>
      </c>
      <c r="AI1131" s="32">
        <f>IF(OR($C1131="",$AE1131="",$AE1131=1),"",IFERROR(INDEX($AC$6:$AC$1505,MATCH($C1131&amp;"|"&amp;$A1131&amp;"|"&amp;($AE1131-1),$AH$6:$AH$1505,0)),""))</f>
        <v/>
      </c>
      <c r="AJ1131" s="32">
        <f>IF(OR($AI1131="",$AC1131=""),"",IF($AI1131=$AC1131,"ללא שינוי","מ-"&amp;$AI1131&amp;" ל-"&amp;$AC1131))</f>
        <v/>
      </c>
      <c r="AK1131" s="67" t="n"/>
    </row>
    <row r="1132">
      <c r="A1132" s="65" t="n"/>
      <c r="B1132" s="65" t="n"/>
      <c r="C1132" s="66" t="n"/>
      <c r="D1132" s="66" t="n"/>
      <c r="E1132" s="65" t="n"/>
      <c r="F1132" s="65" t="n"/>
      <c r="G1132" s="65" t="n"/>
      <c r="H1132" s="65" t="n"/>
      <c r="I1132" s="65" t="n"/>
      <c r="J1132" s="65" t="n"/>
      <c r="K1132" s="65" t="n"/>
      <c r="L1132" s="65" t="n"/>
      <c r="M1132" s="65" t="n"/>
      <c r="N1132" s="65" t="n"/>
      <c r="O1132" s="65" t="n"/>
      <c r="P1132" s="65" t="n"/>
      <c r="Q1132" s="65" t="n"/>
      <c r="R1132" s="65" t="n"/>
      <c r="S1132" s="65" t="n"/>
      <c r="T1132" s="65" t="n"/>
      <c r="U1132" s="65" t="n"/>
      <c r="V1132" s="65" t="n"/>
      <c r="W1132" s="65" t="n"/>
      <c r="X1132" s="65" t="n"/>
      <c r="Y1132" s="32">
        <f>IF($C1132="","",IF(COUNTA($I1132:$K1132)&lt;3,"— חסרים נתונים",IF(AND($I1132="תקין",$J1132="תקין",$K1132="תקין"),"רהוטה",IF(AND($I1132="תקין",$J1132="תקין"),"מדויקת ורציפה","אינה מדויקת או מקוטעת"))))</f>
        <v/>
      </c>
      <c r="Z1132" s="32">
        <f>IF($C1132="","",IF(COUNTA($U1132:$W1132)&lt;3,"",IF(AND($U1132="מפותח",$V1132="מפותח",$W1132="מפותחת"),"מפותחת",IF((--($U1132="דל"))+(--($V1132="אינו מפותח"))+(--($W1132="דלה"))&gt;=2,"אינה מפותחת","חלקית"))))</f>
        <v/>
      </c>
      <c r="AA1132" s="32">
        <f>IF($C1132="","",IF(COUNTA($M1132,$N1132,$O1132)&lt;3,"— חסרים נתונים",IF(OR($M1132="נמוכה",(--($M1132&lt;&gt;"תקינה"))+(--($N1132&lt;&gt;"תקין"))+(--($O1132&lt;&gt;"תקינה"))&gt;=2),"ניכרת","אינה ניכרת")))</f>
        <v/>
      </c>
      <c r="AB1132" s="32">
        <f>IF(OR($C1132="",$Y1132="",$AA1132="",LEFT($Y1132,1)="—",LEFT($AA1132,1)="—"),"",IF($Z1132="","— נדרשת הערכת כתיבה",IF($L1132="","— חסרה הבנת הנקרא",IF($Y1132="אינה מדויקת או מקוטעת",IF($AA1132="ניכרת","מיקוד בשטף הקריאה ובכישורי שפה","מיקוד בשטף קריאה"),IF($AA1132="ניכרת","מיקוד בכישורי שפה",IF(AND($L1132="תקינה",$Z1132="מפותחת"),"קוראים וכותבים מיומנים","מיקוד בהבנה והבעה"))))))</f>
        <v/>
      </c>
      <c r="AC1132" s="32">
        <f>IF(OR($AB1132="",LEFT($AB1132,1)="—"),"",IF(OR($AB1132="מיקוד בשטף קריאה",$AB1132="מיקוד בשטף הקריאה ובכישורי שפה"),"רמה א'",IF($AB1132="קוראים וכותבים מיומנים","רמה ג'","רמה ב'")))</f>
        <v/>
      </c>
      <c r="AD1132" s="32">
        <f>IF($AC1132="","",MID(IF(AND($AC1132="רמה א'",$AA1132="ניכרת"),"; להוסיף עבודת אוצר מילים","")&amp;IF($Z1132="אינה מפותחת","; דגש על הבעה בכתב","")&amp;IF($K1132&lt;&gt;"תקין","; נדרש לעבוד על ההנגנה","")&amp;IF($AK1132&lt;&gt;"","; "&amp;$AK1132,""),3,400))</f>
        <v/>
      </c>
      <c r="AE1132" s="32">
        <f>IF($F1132="","",IF($F1132="תחילת שנה",1,IF($F1132="מחצית שנה",2,3)))</f>
        <v/>
      </c>
      <c r="AF1132" s="32">
        <f>IF(OR($B1132="",$AC1132="",$A1132="",$F1132=""),"",$B1132&amp;"|"&amp;$A1132&amp;"|"&amp;$F1132&amp;"|"&amp;$AC1132&amp;"|"&amp;COUNTIFS($B$6:$B1132,$B1132,$A$6:$A1132,$A1132,$F$6:$F1132,$F1132,$AC$6:$AC1132,$AC1132))</f>
        <v/>
      </c>
      <c r="AG1132" s="32">
        <f>IF($C1132="","",$C1132&amp;"|"&amp;COUNTIFS($C$6:$C1132,$C1132))</f>
        <v/>
      </c>
      <c r="AH1132" s="32">
        <f>IF(OR($C1132="",$A1132="",$AE1132=""),"",$C1132&amp;"|"&amp;$A1132&amp;"|"&amp;$AE1132)</f>
        <v/>
      </c>
      <c r="AI1132" s="32">
        <f>IF(OR($C1132="",$AE1132="",$AE1132=1),"",IFERROR(INDEX($AC$6:$AC$1505,MATCH($C1132&amp;"|"&amp;$A1132&amp;"|"&amp;($AE1132-1),$AH$6:$AH$1505,0)),""))</f>
        <v/>
      </c>
      <c r="AJ1132" s="32">
        <f>IF(OR($AI1132="",$AC1132=""),"",IF($AI1132=$AC1132,"ללא שינוי","מ-"&amp;$AI1132&amp;" ל-"&amp;$AC1132))</f>
        <v/>
      </c>
      <c r="AK1132" s="67" t="n"/>
    </row>
    <row r="1133">
      <c r="A1133" s="65" t="n"/>
      <c r="B1133" s="65" t="n"/>
      <c r="C1133" s="66" t="n"/>
      <c r="D1133" s="66" t="n"/>
      <c r="E1133" s="65" t="n"/>
      <c r="F1133" s="65" t="n"/>
      <c r="G1133" s="65" t="n"/>
      <c r="H1133" s="65" t="n"/>
      <c r="I1133" s="65" t="n"/>
      <c r="J1133" s="65" t="n"/>
      <c r="K1133" s="65" t="n"/>
      <c r="L1133" s="65" t="n"/>
      <c r="M1133" s="65" t="n"/>
      <c r="N1133" s="65" t="n"/>
      <c r="O1133" s="65" t="n"/>
      <c r="P1133" s="65" t="n"/>
      <c r="Q1133" s="65" t="n"/>
      <c r="R1133" s="65" t="n"/>
      <c r="S1133" s="65" t="n"/>
      <c r="T1133" s="65" t="n"/>
      <c r="U1133" s="65" t="n"/>
      <c r="V1133" s="65" t="n"/>
      <c r="W1133" s="65" t="n"/>
      <c r="X1133" s="65" t="n"/>
      <c r="Y1133" s="32">
        <f>IF($C1133="","",IF(COUNTA($I1133:$K1133)&lt;3,"— חסרים נתונים",IF(AND($I1133="תקין",$J1133="תקין",$K1133="תקין"),"רהוטה",IF(AND($I1133="תקין",$J1133="תקין"),"מדויקת ורציפה","אינה מדויקת או מקוטעת"))))</f>
        <v/>
      </c>
      <c r="Z1133" s="32">
        <f>IF($C1133="","",IF(COUNTA($U1133:$W1133)&lt;3,"",IF(AND($U1133="מפותח",$V1133="מפותח",$W1133="מפותחת"),"מפותחת",IF((--($U1133="דל"))+(--($V1133="אינו מפותח"))+(--($W1133="דלה"))&gt;=2,"אינה מפותחת","חלקית"))))</f>
        <v/>
      </c>
      <c r="AA1133" s="32">
        <f>IF($C1133="","",IF(COUNTA($M1133,$N1133,$O1133)&lt;3,"— חסרים נתונים",IF(OR($M1133="נמוכה",(--($M1133&lt;&gt;"תקינה"))+(--($N1133&lt;&gt;"תקין"))+(--($O1133&lt;&gt;"תקינה"))&gt;=2),"ניכרת","אינה ניכרת")))</f>
        <v/>
      </c>
      <c r="AB1133" s="32">
        <f>IF(OR($C1133="",$Y1133="",$AA1133="",LEFT($Y1133,1)="—",LEFT($AA1133,1)="—"),"",IF($Z1133="","— נדרשת הערכת כתיבה",IF($L1133="","— חסרה הבנת הנקרא",IF($Y1133="אינה מדויקת או מקוטעת",IF($AA1133="ניכרת","מיקוד בשטף הקריאה ובכישורי שפה","מיקוד בשטף קריאה"),IF($AA1133="ניכרת","מיקוד בכישורי שפה",IF(AND($L1133="תקינה",$Z1133="מפותחת"),"קוראים וכותבים מיומנים","מיקוד בהבנה והבעה"))))))</f>
        <v/>
      </c>
      <c r="AC1133" s="32">
        <f>IF(OR($AB1133="",LEFT($AB1133,1)="—"),"",IF(OR($AB1133="מיקוד בשטף קריאה",$AB1133="מיקוד בשטף הקריאה ובכישורי שפה"),"רמה א'",IF($AB1133="קוראים וכותבים מיומנים","רמה ג'","רמה ב'")))</f>
        <v/>
      </c>
      <c r="AD1133" s="32">
        <f>IF($AC1133="","",MID(IF(AND($AC1133="רמה א'",$AA1133="ניכרת"),"; להוסיף עבודת אוצר מילים","")&amp;IF($Z1133="אינה מפותחת","; דגש על הבעה בכתב","")&amp;IF($K1133&lt;&gt;"תקין","; נדרש לעבוד על ההנגנה","")&amp;IF($AK1133&lt;&gt;"","; "&amp;$AK1133,""),3,400))</f>
        <v/>
      </c>
      <c r="AE1133" s="32">
        <f>IF($F1133="","",IF($F1133="תחילת שנה",1,IF($F1133="מחצית שנה",2,3)))</f>
        <v/>
      </c>
      <c r="AF1133" s="32">
        <f>IF(OR($B1133="",$AC1133="",$A1133="",$F1133=""),"",$B1133&amp;"|"&amp;$A1133&amp;"|"&amp;$F1133&amp;"|"&amp;$AC1133&amp;"|"&amp;COUNTIFS($B$6:$B1133,$B1133,$A$6:$A1133,$A1133,$F$6:$F1133,$F1133,$AC$6:$AC1133,$AC1133))</f>
        <v/>
      </c>
      <c r="AG1133" s="32">
        <f>IF($C1133="","",$C1133&amp;"|"&amp;COUNTIFS($C$6:$C1133,$C1133))</f>
        <v/>
      </c>
      <c r="AH1133" s="32">
        <f>IF(OR($C1133="",$A1133="",$AE1133=""),"",$C1133&amp;"|"&amp;$A1133&amp;"|"&amp;$AE1133)</f>
        <v/>
      </c>
      <c r="AI1133" s="32">
        <f>IF(OR($C1133="",$AE1133="",$AE1133=1),"",IFERROR(INDEX($AC$6:$AC$1505,MATCH($C1133&amp;"|"&amp;$A1133&amp;"|"&amp;($AE1133-1),$AH$6:$AH$1505,0)),""))</f>
        <v/>
      </c>
      <c r="AJ1133" s="32">
        <f>IF(OR($AI1133="",$AC1133=""),"",IF($AI1133=$AC1133,"ללא שינוי","מ-"&amp;$AI1133&amp;" ל-"&amp;$AC1133))</f>
        <v/>
      </c>
      <c r="AK1133" s="67" t="n"/>
    </row>
    <row r="1134">
      <c r="A1134" s="65" t="n"/>
      <c r="B1134" s="65" t="n"/>
      <c r="C1134" s="66" t="n"/>
      <c r="D1134" s="66" t="n"/>
      <c r="E1134" s="65" t="n"/>
      <c r="F1134" s="65" t="n"/>
      <c r="G1134" s="65" t="n"/>
      <c r="H1134" s="65" t="n"/>
      <c r="I1134" s="65" t="n"/>
      <c r="J1134" s="65" t="n"/>
      <c r="K1134" s="65" t="n"/>
      <c r="L1134" s="65" t="n"/>
      <c r="M1134" s="65" t="n"/>
      <c r="N1134" s="65" t="n"/>
      <c r="O1134" s="65" t="n"/>
      <c r="P1134" s="65" t="n"/>
      <c r="Q1134" s="65" t="n"/>
      <c r="R1134" s="65" t="n"/>
      <c r="S1134" s="65" t="n"/>
      <c r="T1134" s="65" t="n"/>
      <c r="U1134" s="65" t="n"/>
      <c r="V1134" s="65" t="n"/>
      <c r="W1134" s="65" t="n"/>
      <c r="X1134" s="65" t="n"/>
      <c r="Y1134" s="32">
        <f>IF($C1134="","",IF(COUNTA($I1134:$K1134)&lt;3,"— חסרים נתונים",IF(AND($I1134="תקין",$J1134="תקין",$K1134="תקין"),"רהוטה",IF(AND($I1134="תקין",$J1134="תקין"),"מדויקת ורציפה","אינה מדויקת או מקוטעת"))))</f>
        <v/>
      </c>
      <c r="Z1134" s="32">
        <f>IF($C1134="","",IF(COUNTA($U1134:$W1134)&lt;3,"",IF(AND($U1134="מפותח",$V1134="מפותח",$W1134="מפותחת"),"מפותחת",IF((--($U1134="דל"))+(--($V1134="אינו מפותח"))+(--($W1134="דלה"))&gt;=2,"אינה מפותחת","חלקית"))))</f>
        <v/>
      </c>
      <c r="AA1134" s="32">
        <f>IF($C1134="","",IF(COUNTA($M1134,$N1134,$O1134)&lt;3,"— חסרים נתונים",IF(OR($M1134="נמוכה",(--($M1134&lt;&gt;"תקינה"))+(--($N1134&lt;&gt;"תקין"))+(--($O1134&lt;&gt;"תקינה"))&gt;=2),"ניכרת","אינה ניכרת")))</f>
        <v/>
      </c>
      <c r="AB1134" s="32">
        <f>IF(OR($C1134="",$Y1134="",$AA1134="",LEFT($Y1134,1)="—",LEFT($AA1134,1)="—"),"",IF($Z1134="","— נדרשת הערכת כתיבה",IF($L1134="","— חסרה הבנת הנקרא",IF($Y1134="אינה מדויקת או מקוטעת",IF($AA1134="ניכרת","מיקוד בשטף הקריאה ובכישורי שפה","מיקוד בשטף קריאה"),IF($AA1134="ניכרת","מיקוד בכישורי שפה",IF(AND($L1134="תקינה",$Z1134="מפותחת"),"קוראים וכותבים מיומנים","מיקוד בהבנה והבעה"))))))</f>
        <v/>
      </c>
      <c r="AC1134" s="32">
        <f>IF(OR($AB1134="",LEFT($AB1134,1)="—"),"",IF(OR($AB1134="מיקוד בשטף קריאה",$AB1134="מיקוד בשטף הקריאה ובכישורי שפה"),"רמה א'",IF($AB1134="קוראים וכותבים מיומנים","רמה ג'","רמה ב'")))</f>
        <v/>
      </c>
      <c r="AD1134" s="32">
        <f>IF($AC1134="","",MID(IF(AND($AC1134="רמה א'",$AA1134="ניכרת"),"; להוסיף עבודת אוצר מילים","")&amp;IF($Z1134="אינה מפותחת","; דגש על הבעה בכתב","")&amp;IF($K1134&lt;&gt;"תקין","; נדרש לעבוד על ההנגנה","")&amp;IF($AK1134&lt;&gt;"","; "&amp;$AK1134,""),3,400))</f>
        <v/>
      </c>
      <c r="AE1134" s="32">
        <f>IF($F1134="","",IF($F1134="תחילת שנה",1,IF($F1134="מחצית שנה",2,3)))</f>
        <v/>
      </c>
      <c r="AF1134" s="32">
        <f>IF(OR($B1134="",$AC1134="",$A1134="",$F1134=""),"",$B1134&amp;"|"&amp;$A1134&amp;"|"&amp;$F1134&amp;"|"&amp;$AC1134&amp;"|"&amp;COUNTIFS($B$6:$B1134,$B1134,$A$6:$A1134,$A1134,$F$6:$F1134,$F1134,$AC$6:$AC1134,$AC1134))</f>
        <v/>
      </c>
      <c r="AG1134" s="32">
        <f>IF($C1134="","",$C1134&amp;"|"&amp;COUNTIFS($C$6:$C1134,$C1134))</f>
        <v/>
      </c>
      <c r="AH1134" s="32">
        <f>IF(OR($C1134="",$A1134="",$AE1134=""),"",$C1134&amp;"|"&amp;$A1134&amp;"|"&amp;$AE1134)</f>
        <v/>
      </c>
      <c r="AI1134" s="32">
        <f>IF(OR($C1134="",$AE1134="",$AE1134=1),"",IFERROR(INDEX($AC$6:$AC$1505,MATCH($C1134&amp;"|"&amp;$A1134&amp;"|"&amp;($AE1134-1),$AH$6:$AH$1505,0)),""))</f>
        <v/>
      </c>
      <c r="AJ1134" s="32">
        <f>IF(OR($AI1134="",$AC1134=""),"",IF($AI1134=$AC1134,"ללא שינוי","מ-"&amp;$AI1134&amp;" ל-"&amp;$AC1134))</f>
        <v/>
      </c>
      <c r="AK1134" s="67" t="n"/>
    </row>
    <row r="1135">
      <c r="A1135" s="65" t="n"/>
      <c r="B1135" s="65" t="n"/>
      <c r="C1135" s="66" t="n"/>
      <c r="D1135" s="66" t="n"/>
      <c r="E1135" s="65" t="n"/>
      <c r="F1135" s="65" t="n"/>
      <c r="G1135" s="65" t="n"/>
      <c r="H1135" s="65" t="n"/>
      <c r="I1135" s="65" t="n"/>
      <c r="J1135" s="65" t="n"/>
      <c r="K1135" s="65" t="n"/>
      <c r="L1135" s="65" t="n"/>
      <c r="M1135" s="65" t="n"/>
      <c r="N1135" s="65" t="n"/>
      <c r="O1135" s="65" t="n"/>
      <c r="P1135" s="65" t="n"/>
      <c r="Q1135" s="65" t="n"/>
      <c r="R1135" s="65" t="n"/>
      <c r="S1135" s="65" t="n"/>
      <c r="T1135" s="65" t="n"/>
      <c r="U1135" s="65" t="n"/>
      <c r="V1135" s="65" t="n"/>
      <c r="W1135" s="65" t="n"/>
      <c r="X1135" s="65" t="n"/>
      <c r="Y1135" s="32">
        <f>IF($C1135="","",IF(COUNTA($I1135:$K1135)&lt;3,"— חסרים נתונים",IF(AND($I1135="תקין",$J1135="תקין",$K1135="תקין"),"רהוטה",IF(AND($I1135="תקין",$J1135="תקין"),"מדויקת ורציפה","אינה מדויקת או מקוטעת"))))</f>
        <v/>
      </c>
      <c r="Z1135" s="32">
        <f>IF($C1135="","",IF(COUNTA($U1135:$W1135)&lt;3,"",IF(AND($U1135="מפותח",$V1135="מפותח",$W1135="מפותחת"),"מפותחת",IF((--($U1135="דל"))+(--($V1135="אינו מפותח"))+(--($W1135="דלה"))&gt;=2,"אינה מפותחת","חלקית"))))</f>
        <v/>
      </c>
      <c r="AA1135" s="32">
        <f>IF($C1135="","",IF(COUNTA($M1135,$N1135,$O1135)&lt;3,"— חסרים נתונים",IF(OR($M1135="נמוכה",(--($M1135&lt;&gt;"תקינה"))+(--($N1135&lt;&gt;"תקין"))+(--($O1135&lt;&gt;"תקינה"))&gt;=2),"ניכרת","אינה ניכרת")))</f>
        <v/>
      </c>
      <c r="AB1135" s="32">
        <f>IF(OR($C1135="",$Y1135="",$AA1135="",LEFT($Y1135,1)="—",LEFT($AA1135,1)="—"),"",IF($Z1135="","— נדרשת הערכת כתיבה",IF($L1135="","— חסרה הבנת הנקרא",IF($Y1135="אינה מדויקת או מקוטעת",IF($AA1135="ניכרת","מיקוד בשטף הקריאה ובכישורי שפה","מיקוד בשטף קריאה"),IF($AA1135="ניכרת","מיקוד בכישורי שפה",IF(AND($L1135="תקינה",$Z1135="מפותחת"),"קוראים וכותבים מיומנים","מיקוד בהבנה והבעה"))))))</f>
        <v/>
      </c>
      <c r="AC1135" s="32">
        <f>IF(OR($AB1135="",LEFT($AB1135,1)="—"),"",IF(OR($AB1135="מיקוד בשטף קריאה",$AB1135="מיקוד בשטף הקריאה ובכישורי שפה"),"רמה א'",IF($AB1135="קוראים וכותבים מיומנים","רמה ג'","רמה ב'")))</f>
        <v/>
      </c>
      <c r="AD1135" s="32">
        <f>IF($AC1135="","",MID(IF(AND($AC1135="רמה א'",$AA1135="ניכרת"),"; להוסיף עבודת אוצר מילים","")&amp;IF($Z1135="אינה מפותחת","; דגש על הבעה בכתב","")&amp;IF($K1135&lt;&gt;"תקין","; נדרש לעבוד על ההנגנה","")&amp;IF($AK1135&lt;&gt;"","; "&amp;$AK1135,""),3,400))</f>
        <v/>
      </c>
      <c r="AE1135" s="32">
        <f>IF($F1135="","",IF($F1135="תחילת שנה",1,IF($F1135="מחצית שנה",2,3)))</f>
        <v/>
      </c>
      <c r="AF1135" s="32">
        <f>IF(OR($B1135="",$AC1135="",$A1135="",$F1135=""),"",$B1135&amp;"|"&amp;$A1135&amp;"|"&amp;$F1135&amp;"|"&amp;$AC1135&amp;"|"&amp;COUNTIFS($B$6:$B1135,$B1135,$A$6:$A1135,$A1135,$F$6:$F1135,$F1135,$AC$6:$AC1135,$AC1135))</f>
        <v/>
      </c>
      <c r="AG1135" s="32">
        <f>IF($C1135="","",$C1135&amp;"|"&amp;COUNTIFS($C$6:$C1135,$C1135))</f>
        <v/>
      </c>
      <c r="AH1135" s="32">
        <f>IF(OR($C1135="",$A1135="",$AE1135=""),"",$C1135&amp;"|"&amp;$A1135&amp;"|"&amp;$AE1135)</f>
        <v/>
      </c>
      <c r="AI1135" s="32">
        <f>IF(OR($C1135="",$AE1135="",$AE1135=1),"",IFERROR(INDEX($AC$6:$AC$1505,MATCH($C1135&amp;"|"&amp;$A1135&amp;"|"&amp;($AE1135-1),$AH$6:$AH$1505,0)),""))</f>
        <v/>
      </c>
      <c r="AJ1135" s="32">
        <f>IF(OR($AI1135="",$AC1135=""),"",IF($AI1135=$AC1135,"ללא שינוי","מ-"&amp;$AI1135&amp;" ל-"&amp;$AC1135))</f>
        <v/>
      </c>
      <c r="AK1135" s="67" t="n"/>
    </row>
    <row r="1136">
      <c r="A1136" s="65" t="n"/>
      <c r="B1136" s="65" t="n"/>
      <c r="C1136" s="66" t="n"/>
      <c r="D1136" s="66" t="n"/>
      <c r="E1136" s="65" t="n"/>
      <c r="F1136" s="65" t="n"/>
      <c r="G1136" s="65" t="n"/>
      <c r="H1136" s="65" t="n"/>
      <c r="I1136" s="65" t="n"/>
      <c r="J1136" s="65" t="n"/>
      <c r="K1136" s="65" t="n"/>
      <c r="L1136" s="65" t="n"/>
      <c r="M1136" s="65" t="n"/>
      <c r="N1136" s="65" t="n"/>
      <c r="O1136" s="65" t="n"/>
      <c r="P1136" s="65" t="n"/>
      <c r="Q1136" s="65" t="n"/>
      <c r="R1136" s="65" t="n"/>
      <c r="S1136" s="65" t="n"/>
      <c r="T1136" s="65" t="n"/>
      <c r="U1136" s="65" t="n"/>
      <c r="V1136" s="65" t="n"/>
      <c r="W1136" s="65" t="n"/>
      <c r="X1136" s="65" t="n"/>
      <c r="Y1136" s="32">
        <f>IF($C1136="","",IF(COUNTA($I1136:$K1136)&lt;3,"— חסרים נתונים",IF(AND($I1136="תקין",$J1136="תקין",$K1136="תקין"),"רהוטה",IF(AND($I1136="תקין",$J1136="תקין"),"מדויקת ורציפה","אינה מדויקת או מקוטעת"))))</f>
        <v/>
      </c>
      <c r="Z1136" s="32">
        <f>IF($C1136="","",IF(COUNTA($U1136:$W1136)&lt;3,"",IF(AND($U1136="מפותח",$V1136="מפותח",$W1136="מפותחת"),"מפותחת",IF((--($U1136="דל"))+(--($V1136="אינו מפותח"))+(--($W1136="דלה"))&gt;=2,"אינה מפותחת","חלקית"))))</f>
        <v/>
      </c>
      <c r="AA1136" s="32">
        <f>IF($C1136="","",IF(COUNTA($M1136,$N1136,$O1136)&lt;3,"— חסרים נתונים",IF(OR($M1136="נמוכה",(--($M1136&lt;&gt;"תקינה"))+(--($N1136&lt;&gt;"תקין"))+(--($O1136&lt;&gt;"תקינה"))&gt;=2),"ניכרת","אינה ניכרת")))</f>
        <v/>
      </c>
      <c r="AB1136" s="32">
        <f>IF(OR($C1136="",$Y1136="",$AA1136="",LEFT($Y1136,1)="—",LEFT($AA1136,1)="—"),"",IF($Z1136="","— נדרשת הערכת כתיבה",IF($L1136="","— חסרה הבנת הנקרא",IF($Y1136="אינה מדויקת או מקוטעת",IF($AA1136="ניכרת","מיקוד בשטף הקריאה ובכישורי שפה","מיקוד בשטף קריאה"),IF($AA1136="ניכרת","מיקוד בכישורי שפה",IF(AND($L1136="תקינה",$Z1136="מפותחת"),"קוראים וכותבים מיומנים","מיקוד בהבנה והבעה"))))))</f>
        <v/>
      </c>
      <c r="AC1136" s="32">
        <f>IF(OR($AB1136="",LEFT($AB1136,1)="—"),"",IF(OR($AB1136="מיקוד בשטף קריאה",$AB1136="מיקוד בשטף הקריאה ובכישורי שפה"),"רמה א'",IF($AB1136="קוראים וכותבים מיומנים","רמה ג'","רמה ב'")))</f>
        <v/>
      </c>
      <c r="AD1136" s="32">
        <f>IF($AC1136="","",MID(IF(AND($AC1136="רמה א'",$AA1136="ניכרת"),"; להוסיף עבודת אוצר מילים","")&amp;IF($Z1136="אינה מפותחת","; דגש על הבעה בכתב","")&amp;IF($K1136&lt;&gt;"תקין","; נדרש לעבוד על ההנגנה","")&amp;IF($AK1136&lt;&gt;"","; "&amp;$AK1136,""),3,400))</f>
        <v/>
      </c>
      <c r="AE1136" s="32">
        <f>IF($F1136="","",IF($F1136="תחילת שנה",1,IF($F1136="מחצית שנה",2,3)))</f>
        <v/>
      </c>
      <c r="AF1136" s="32">
        <f>IF(OR($B1136="",$AC1136="",$A1136="",$F1136=""),"",$B1136&amp;"|"&amp;$A1136&amp;"|"&amp;$F1136&amp;"|"&amp;$AC1136&amp;"|"&amp;COUNTIFS($B$6:$B1136,$B1136,$A$6:$A1136,$A1136,$F$6:$F1136,$F1136,$AC$6:$AC1136,$AC1136))</f>
        <v/>
      </c>
      <c r="AG1136" s="32">
        <f>IF($C1136="","",$C1136&amp;"|"&amp;COUNTIFS($C$6:$C1136,$C1136))</f>
        <v/>
      </c>
      <c r="AH1136" s="32">
        <f>IF(OR($C1136="",$A1136="",$AE1136=""),"",$C1136&amp;"|"&amp;$A1136&amp;"|"&amp;$AE1136)</f>
        <v/>
      </c>
      <c r="AI1136" s="32">
        <f>IF(OR($C1136="",$AE1136="",$AE1136=1),"",IFERROR(INDEX($AC$6:$AC$1505,MATCH($C1136&amp;"|"&amp;$A1136&amp;"|"&amp;($AE1136-1),$AH$6:$AH$1505,0)),""))</f>
        <v/>
      </c>
      <c r="AJ1136" s="32">
        <f>IF(OR($AI1136="",$AC1136=""),"",IF($AI1136=$AC1136,"ללא שינוי","מ-"&amp;$AI1136&amp;" ל-"&amp;$AC1136))</f>
        <v/>
      </c>
      <c r="AK1136" s="67" t="n"/>
    </row>
    <row r="1137">
      <c r="A1137" s="65" t="n"/>
      <c r="B1137" s="65" t="n"/>
      <c r="C1137" s="66" t="n"/>
      <c r="D1137" s="66" t="n"/>
      <c r="E1137" s="65" t="n"/>
      <c r="F1137" s="65" t="n"/>
      <c r="G1137" s="65" t="n"/>
      <c r="H1137" s="65" t="n"/>
      <c r="I1137" s="65" t="n"/>
      <c r="J1137" s="65" t="n"/>
      <c r="K1137" s="65" t="n"/>
      <c r="L1137" s="65" t="n"/>
      <c r="M1137" s="65" t="n"/>
      <c r="N1137" s="65" t="n"/>
      <c r="O1137" s="65" t="n"/>
      <c r="P1137" s="65" t="n"/>
      <c r="Q1137" s="65" t="n"/>
      <c r="R1137" s="65" t="n"/>
      <c r="S1137" s="65" t="n"/>
      <c r="T1137" s="65" t="n"/>
      <c r="U1137" s="65" t="n"/>
      <c r="V1137" s="65" t="n"/>
      <c r="W1137" s="65" t="n"/>
      <c r="X1137" s="65" t="n"/>
      <c r="Y1137" s="32">
        <f>IF($C1137="","",IF(COUNTA($I1137:$K1137)&lt;3,"— חסרים נתונים",IF(AND($I1137="תקין",$J1137="תקין",$K1137="תקין"),"רהוטה",IF(AND($I1137="תקין",$J1137="תקין"),"מדויקת ורציפה","אינה מדויקת או מקוטעת"))))</f>
        <v/>
      </c>
      <c r="Z1137" s="32">
        <f>IF($C1137="","",IF(COUNTA($U1137:$W1137)&lt;3,"",IF(AND($U1137="מפותח",$V1137="מפותח",$W1137="מפותחת"),"מפותחת",IF((--($U1137="דל"))+(--($V1137="אינו מפותח"))+(--($W1137="דלה"))&gt;=2,"אינה מפותחת","חלקית"))))</f>
        <v/>
      </c>
      <c r="AA1137" s="32">
        <f>IF($C1137="","",IF(COUNTA($M1137,$N1137,$O1137)&lt;3,"— חסרים נתונים",IF(OR($M1137="נמוכה",(--($M1137&lt;&gt;"תקינה"))+(--($N1137&lt;&gt;"תקין"))+(--($O1137&lt;&gt;"תקינה"))&gt;=2),"ניכרת","אינה ניכרת")))</f>
        <v/>
      </c>
      <c r="AB1137" s="32">
        <f>IF(OR($C1137="",$Y1137="",$AA1137="",LEFT($Y1137,1)="—",LEFT($AA1137,1)="—"),"",IF($Z1137="","— נדרשת הערכת כתיבה",IF($L1137="","— חסרה הבנת הנקרא",IF($Y1137="אינה מדויקת או מקוטעת",IF($AA1137="ניכרת","מיקוד בשטף הקריאה ובכישורי שפה","מיקוד בשטף קריאה"),IF($AA1137="ניכרת","מיקוד בכישורי שפה",IF(AND($L1137="תקינה",$Z1137="מפותחת"),"קוראים וכותבים מיומנים","מיקוד בהבנה והבעה"))))))</f>
        <v/>
      </c>
      <c r="AC1137" s="32">
        <f>IF(OR($AB1137="",LEFT($AB1137,1)="—"),"",IF(OR($AB1137="מיקוד בשטף קריאה",$AB1137="מיקוד בשטף הקריאה ובכישורי שפה"),"רמה א'",IF($AB1137="קוראים וכותבים מיומנים","רמה ג'","רמה ב'")))</f>
        <v/>
      </c>
      <c r="AD1137" s="32">
        <f>IF($AC1137="","",MID(IF(AND($AC1137="רמה א'",$AA1137="ניכרת"),"; להוסיף עבודת אוצר מילים","")&amp;IF($Z1137="אינה מפותחת","; דגש על הבעה בכתב","")&amp;IF($K1137&lt;&gt;"תקין","; נדרש לעבוד על ההנגנה","")&amp;IF($AK1137&lt;&gt;"","; "&amp;$AK1137,""),3,400))</f>
        <v/>
      </c>
      <c r="AE1137" s="32">
        <f>IF($F1137="","",IF($F1137="תחילת שנה",1,IF($F1137="מחצית שנה",2,3)))</f>
        <v/>
      </c>
      <c r="AF1137" s="32">
        <f>IF(OR($B1137="",$AC1137="",$A1137="",$F1137=""),"",$B1137&amp;"|"&amp;$A1137&amp;"|"&amp;$F1137&amp;"|"&amp;$AC1137&amp;"|"&amp;COUNTIFS($B$6:$B1137,$B1137,$A$6:$A1137,$A1137,$F$6:$F1137,$F1137,$AC$6:$AC1137,$AC1137))</f>
        <v/>
      </c>
      <c r="AG1137" s="32">
        <f>IF($C1137="","",$C1137&amp;"|"&amp;COUNTIFS($C$6:$C1137,$C1137))</f>
        <v/>
      </c>
      <c r="AH1137" s="32">
        <f>IF(OR($C1137="",$A1137="",$AE1137=""),"",$C1137&amp;"|"&amp;$A1137&amp;"|"&amp;$AE1137)</f>
        <v/>
      </c>
      <c r="AI1137" s="32">
        <f>IF(OR($C1137="",$AE1137="",$AE1137=1),"",IFERROR(INDEX($AC$6:$AC$1505,MATCH($C1137&amp;"|"&amp;$A1137&amp;"|"&amp;($AE1137-1),$AH$6:$AH$1505,0)),""))</f>
        <v/>
      </c>
      <c r="AJ1137" s="32">
        <f>IF(OR($AI1137="",$AC1137=""),"",IF($AI1137=$AC1137,"ללא שינוי","מ-"&amp;$AI1137&amp;" ל-"&amp;$AC1137))</f>
        <v/>
      </c>
      <c r="AK1137" s="67" t="n"/>
    </row>
    <row r="1138">
      <c r="A1138" s="65" t="n"/>
      <c r="B1138" s="65" t="n"/>
      <c r="C1138" s="66" t="n"/>
      <c r="D1138" s="66" t="n"/>
      <c r="E1138" s="65" t="n"/>
      <c r="F1138" s="65" t="n"/>
      <c r="G1138" s="65" t="n"/>
      <c r="H1138" s="65" t="n"/>
      <c r="I1138" s="65" t="n"/>
      <c r="J1138" s="65" t="n"/>
      <c r="K1138" s="65" t="n"/>
      <c r="L1138" s="65" t="n"/>
      <c r="M1138" s="65" t="n"/>
      <c r="N1138" s="65" t="n"/>
      <c r="O1138" s="65" t="n"/>
      <c r="P1138" s="65" t="n"/>
      <c r="Q1138" s="65" t="n"/>
      <c r="R1138" s="65" t="n"/>
      <c r="S1138" s="65" t="n"/>
      <c r="T1138" s="65" t="n"/>
      <c r="U1138" s="65" t="n"/>
      <c r="V1138" s="65" t="n"/>
      <c r="W1138" s="65" t="n"/>
      <c r="X1138" s="65" t="n"/>
      <c r="Y1138" s="32">
        <f>IF($C1138="","",IF(COUNTA($I1138:$K1138)&lt;3,"— חסרים נתונים",IF(AND($I1138="תקין",$J1138="תקין",$K1138="תקין"),"רהוטה",IF(AND($I1138="תקין",$J1138="תקין"),"מדויקת ורציפה","אינה מדויקת או מקוטעת"))))</f>
        <v/>
      </c>
      <c r="Z1138" s="32">
        <f>IF($C1138="","",IF(COUNTA($U1138:$W1138)&lt;3,"",IF(AND($U1138="מפותח",$V1138="מפותח",$W1138="מפותחת"),"מפותחת",IF((--($U1138="דל"))+(--($V1138="אינו מפותח"))+(--($W1138="דלה"))&gt;=2,"אינה מפותחת","חלקית"))))</f>
        <v/>
      </c>
      <c r="AA1138" s="32">
        <f>IF($C1138="","",IF(COUNTA($M1138,$N1138,$O1138)&lt;3,"— חסרים נתונים",IF(OR($M1138="נמוכה",(--($M1138&lt;&gt;"תקינה"))+(--($N1138&lt;&gt;"תקין"))+(--($O1138&lt;&gt;"תקינה"))&gt;=2),"ניכרת","אינה ניכרת")))</f>
        <v/>
      </c>
      <c r="AB1138" s="32">
        <f>IF(OR($C1138="",$Y1138="",$AA1138="",LEFT($Y1138,1)="—",LEFT($AA1138,1)="—"),"",IF($Z1138="","— נדרשת הערכת כתיבה",IF($L1138="","— חסרה הבנת הנקרא",IF($Y1138="אינה מדויקת או מקוטעת",IF($AA1138="ניכרת","מיקוד בשטף הקריאה ובכישורי שפה","מיקוד בשטף קריאה"),IF($AA1138="ניכרת","מיקוד בכישורי שפה",IF(AND($L1138="תקינה",$Z1138="מפותחת"),"קוראים וכותבים מיומנים","מיקוד בהבנה והבעה"))))))</f>
        <v/>
      </c>
      <c r="AC1138" s="32">
        <f>IF(OR($AB1138="",LEFT($AB1138,1)="—"),"",IF(OR($AB1138="מיקוד בשטף קריאה",$AB1138="מיקוד בשטף הקריאה ובכישורי שפה"),"רמה א'",IF($AB1138="קוראים וכותבים מיומנים","רמה ג'","רמה ב'")))</f>
        <v/>
      </c>
      <c r="AD1138" s="32">
        <f>IF($AC1138="","",MID(IF(AND($AC1138="רמה א'",$AA1138="ניכרת"),"; להוסיף עבודת אוצר מילים","")&amp;IF($Z1138="אינה מפותחת","; דגש על הבעה בכתב","")&amp;IF($K1138&lt;&gt;"תקין","; נדרש לעבוד על ההנגנה","")&amp;IF($AK1138&lt;&gt;"","; "&amp;$AK1138,""),3,400))</f>
        <v/>
      </c>
      <c r="AE1138" s="32">
        <f>IF($F1138="","",IF($F1138="תחילת שנה",1,IF($F1138="מחצית שנה",2,3)))</f>
        <v/>
      </c>
      <c r="AF1138" s="32">
        <f>IF(OR($B1138="",$AC1138="",$A1138="",$F1138=""),"",$B1138&amp;"|"&amp;$A1138&amp;"|"&amp;$F1138&amp;"|"&amp;$AC1138&amp;"|"&amp;COUNTIFS($B$6:$B1138,$B1138,$A$6:$A1138,$A1138,$F$6:$F1138,$F1138,$AC$6:$AC1138,$AC1138))</f>
        <v/>
      </c>
      <c r="AG1138" s="32">
        <f>IF($C1138="","",$C1138&amp;"|"&amp;COUNTIFS($C$6:$C1138,$C1138))</f>
        <v/>
      </c>
      <c r="AH1138" s="32">
        <f>IF(OR($C1138="",$A1138="",$AE1138=""),"",$C1138&amp;"|"&amp;$A1138&amp;"|"&amp;$AE1138)</f>
        <v/>
      </c>
      <c r="AI1138" s="32">
        <f>IF(OR($C1138="",$AE1138="",$AE1138=1),"",IFERROR(INDEX($AC$6:$AC$1505,MATCH($C1138&amp;"|"&amp;$A1138&amp;"|"&amp;($AE1138-1),$AH$6:$AH$1505,0)),""))</f>
        <v/>
      </c>
      <c r="AJ1138" s="32">
        <f>IF(OR($AI1138="",$AC1138=""),"",IF($AI1138=$AC1138,"ללא שינוי","מ-"&amp;$AI1138&amp;" ל-"&amp;$AC1138))</f>
        <v/>
      </c>
      <c r="AK1138" s="67" t="n"/>
    </row>
    <row r="1139">
      <c r="A1139" s="65" t="n"/>
      <c r="B1139" s="65" t="n"/>
      <c r="C1139" s="66" t="n"/>
      <c r="D1139" s="66" t="n"/>
      <c r="E1139" s="65" t="n"/>
      <c r="F1139" s="65" t="n"/>
      <c r="G1139" s="65" t="n"/>
      <c r="H1139" s="65" t="n"/>
      <c r="I1139" s="65" t="n"/>
      <c r="J1139" s="65" t="n"/>
      <c r="K1139" s="65" t="n"/>
      <c r="L1139" s="65" t="n"/>
      <c r="M1139" s="65" t="n"/>
      <c r="N1139" s="65" t="n"/>
      <c r="O1139" s="65" t="n"/>
      <c r="P1139" s="65" t="n"/>
      <c r="Q1139" s="65" t="n"/>
      <c r="R1139" s="65" t="n"/>
      <c r="S1139" s="65" t="n"/>
      <c r="T1139" s="65" t="n"/>
      <c r="U1139" s="65" t="n"/>
      <c r="V1139" s="65" t="n"/>
      <c r="W1139" s="65" t="n"/>
      <c r="X1139" s="65" t="n"/>
      <c r="Y1139" s="32">
        <f>IF($C1139="","",IF(COUNTA($I1139:$K1139)&lt;3,"— חסרים נתונים",IF(AND($I1139="תקין",$J1139="תקין",$K1139="תקין"),"רהוטה",IF(AND($I1139="תקין",$J1139="תקין"),"מדויקת ורציפה","אינה מדויקת או מקוטעת"))))</f>
        <v/>
      </c>
      <c r="Z1139" s="32">
        <f>IF($C1139="","",IF(COUNTA($U1139:$W1139)&lt;3,"",IF(AND($U1139="מפותח",$V1139="מפותח",$W1139="מפותחת"),"מפותחת",IF((--($U1139="דל"))+(--($V1139="אינו מפותח"))+(--($W1139="דלה"))&gt;=2,"אינה מפותחת","חלקית"))))</f>
        <v/>
      </c>
      <c r="AA1139" s="32">
        <f>IF($C1139="","",IF(COUNTA($M1139,$N1139,$O1139)&lt;3,"— חסרים נתונים",IF(OR($M1139="נמוכה",(--($M1139&lt;&gt;"תקינה"))+(--($N1139&lt;&gt;"תקין"))+(--($O1139&lt;&gt;"תקינה"))&gt;=2),"ניכרת","אינה ניכרת")))</f>
        <v/>
      </c>
      <c r="AB1139" s="32">
        <f>IF(OR($C1139="",$Y1139="",$AA1139="",LEFT($Y1139,1)="—",LEFT($AA1139,1)="—"),"",IF($Z1139="","— נדרשת הערכת כתיבה",IF($L1139="","— חסרה הבנת הנקרא",IF($Y1139="אינה מדויקת או מקוטעת",IF($AA1139="ניכרת","מיקוד בשטף הקריאה ובכישורי שפה","מיקוד בשטף קריאה"),IF($AA1139="ניכרת","מיקוד בכישורי שפה",IF(AND($L1139="תקינה",$Z1139="מפותחת"),"קוראים וכותבים מיומנים","מיקוד בהבנה והבעה"))))))</f>
        <v/>
      </c>
      <c r="AC1139" s="32">
        <f>IF(OR($AB1139="",LEFT($AB1139,1)="—"),"",IF(OR($AB1139="מיקוד בשטף קריאה",$AB1139="מיקוד בשטף הקריאה ובכישורי שפה"),"רמה א'",IF($AB1139="קוראים וכותבים מיומנים","רמה ג'","רמה ב'")))</f>
        <v/>
      </c>
      <c r="AD1139" s="32">
        <f>IF($AC1139="","",MID(IF(AND($AC1139="רמה א'",$AA1139="ניכרת"),"; להוסיף עבודת אוצר מילים","")&amp;IF($Z1139="אינה מפותחת","; דגש על הבעה בכתב","")&amp;IF($K1139&lt;&gt;"תקין","; נדרש לעבוד על ההנגנה","")&amp;IF($AK1139&lt;&gt;"","; "&amp;$AK1139,""),3,400))</f>
        <v/>
      </c>
      <c r="AE1139" s="32">
        <f>IF($F1139="","",IF($F1139="תחילת שנה",1,IF($F1139="מחצית שנה",2,3)))</f>
        <v/>
      </c>
      <c r="AF1139" s="32">
        <f>IF(OR($B1139="",$AC1139="",$A1139="",$F1139=""),"",$B1139&amp;"|"&amp;$A1139&amp;"|"&amp;$F1139&amp;"|"&amp;$AC1139&amp;"|"&amp;COUNTIFS($B$6:$B1139,$B1139,$A$6:$A1139,$A1139,$F$6:$F1139,$F1139,$AC$6:$AC1139,$AC1139))</f>
        <v/>
      </c>
      <c r="AG1139" s="32">
        <f>IF($C1139="","",$C1139&amp;"|"&amp;COUNTIFS($C$6:$C1139,$C1139))</f>
        <v/>
      </c>
      <c r="AH1139" s="32">
        <f>IF(OR($C1139="",$A1139="",$AE1139=""),"",$C1139&amp;"|"&amp;$A1139&amp;"|"&amp;$AE1139)</f>
        <v/>
      </c>
      <c r="AI1139" s="32">
        <f>IF(OR($C1139="",$AE1139="",$AE1139=1),"",IFERROR(INDEX($AC$6:$AC$1505,MATCH($C1139&amp;"|"&amp;$A1139&amp;"|"&amp;($AE1139-1),$AH$6:$AH$1505,0)),""))</f>
        <v/>
      </c>
      <c r="AJ1139" s="32">
        <f>IF(OR($AI1139="",$AC1139=""),"",IF($AI1139=$AC1139,"ללא שינוי","מ-"&amp;$AI1139&amp;" ל-"&amp;$AC1139))</f>
        <v/>
      </c>
      <c r="AK1139" s="67" t="n"/>
    </row>
    <row r="1140">
      <c r="A1140" s="65" t="n"/>
      <c r="B1140" s="65" t="n"/>
      <c r="C1140" s="66" t="n"/>
      <c r="D1140" s="66" t="n"/>
      <c r="E1140" s="65" t="n"/>
      <c r="F1140" s="65" t="n"/>
      <c r="G1140" s="65" t="n"/>
      <c r="H1140" s="65" t="n"/>
      <c r="I1140" s="65" t="n"/>
      <c r="J1140" s="65" t="n"/>
      <c r="K1140" s="65" t="n"/>
      <c r="L1140" s="65" t="n"/>
      <c r="M1140" s="65" t="n"/>
      <c r="N1140" s="65" t="n"/>
      <c r="O1140" s="65" t="n"/>
      <c r="P1140" s="65" t="n"/>
      <c r="Q1140" s="65" t="n"/>
      <c r="R1140" s="65" t="n"/>
      <c r="S1140" s="65" t="n"/>
      <c r="T1140" s="65" t="n"/>
      <c r="U1140" s="65" t="n"/>
      <c r="V1140" s="65" t="n"/>
      <c r="W1140" s="65" t="n"/>
      <c r="X1140" s="65" t="n"/>
      <c r="Y1140" s="32">
        <f>IF($C1140="","",IF(COUNTA($I1140:$K1140)&lt;3,"— חסרים נתונים",IF(AND($I1140="תקין",$J1140="תקין",$K1140="תקין"),"רהוטה",IF(AND($I1140="תקין",$J1140="תקין"),"מדויקת ורציפה","אינה מדויקת או מקוטעת"))))</f>
        <v/>
      </c>
      <c r="Z1140" s="32">
        <f>IF($C1140="","",IF(COUNTA($U1140:$W1140)&lt;3,"",IF(AND($U1140="מפותח",$V1140="מפותח",$W1140="מפותחת"),"מפותחת",IF((--($U1140="דל"))+(--($V1140="אינו מפותח"))+(--($W1140="דלה"))&gt;=2,"אינה מפותחת","חלקית"))))</f>
        <v/>
      </c>
      <c r="AA1140" s="32">
        <f>IF($C1140="","",IF(COUNTA($M1140,$N1140,$O1140)&lt;3,"— חסרים נתונים",IF(OR($M1140="נמוכה",(--($M1140&lt;&gt;"תקינה"))+(--($N1140&lt;&gt;"תקין"))+(--($O1140&lt;&gt;"תקינה"))&gt;=2),"ניכרת","אינה ניכרת")))</f>
        <v/>
      </c>
      <c r="AB1140" s="32">
        <f>IF(OR($C1140="",$Y1140="",$AA1140="",LEFT($Y1140,1)="—",LEFT($AA1140,1)="—"),"",IF($Z1140="","— נדרשת הערכת כתיבה",IF($L1140="","— חסרה הבנת הנקרא",IF($Y1140="אינה מדויקת או מקוטעת",IF($AA1140="ניכרת","מיקוד בשטף הקריאה ובכישורי שפה","מיקוד בשטף קריאה"),IF($AA1140="ניכרת","מיקוד בכישורי שפה",IF(AND($L1140="תקינה",$Z1140="מפותחת"),"קוראים וכותבים מיומנים","מיקוד בהבנה והבעה"))))))</f>
        <v/>
      </c>
      <c r="AC1140" s="32">
        <f>IF(OR($AB1140="",LEFT($AB1140,1)="—"),"",IF(OR($AB1140="מיקוד בשטף קריאה",$AB1140="מיקוד בשטף הקריאה ובכישורי שפה"),"רמה א'",IF($AB1140="קוראים וכותבים מיומנים","רמה ג'","רמה ב'")))</f>
        <v/>
      </c>
      <c r="AD1140" s="32">
        <f>IF($AC1140="","",MID(IF(AND($AC1140="רמה א'",$AA1140="ניכרת"),"; להוסיף עבודת אוצר מילים","")&amp;IF($Z1140="אינה מפותחת","; דגש על הבעה בכתב","")&amp;IF($K1140&lt;&gt;"תקין","; נדרש לעבוד על ההנגנה","")&amp;IF($AK1140&lt;&gt;"","; "&amp;$AK1140,""),3,400))</f>
        <v/>
      </c>
      <c r="AE1140" s="32">
        <f>IF($F1140="","",IF($F1140="תחילת שנה",1,IF($F1140="מחצית שנה",2,3)))</f>
        <v/>
      </c>
      <c r="AF1140" s="32">
        <f>IF(OR($B1140="",$AC1140="",$A1140="",$F1140=""),"",$B1140&amp;"|"&amp;$A1140&amp;"|"&amp;$F1140&amp;"|"&amp;$AC1140&amp;"|"&amp;COUNTIFS($B$6:$B1140,$B1140,$A$6:$A1140,$A1140,$F$6:$F1140,$F1140,$AC$6:$AC1140,$AC1140))</f>
        <v/>
      </c>
      <c r="AG1140" s="32">
        <f>IF($C1140="","",$C1140&amp;"|"&amp;COUNTIFS($C$6:$C1140,$C1140))</f>
        <v/>
      </c>
      <c r="AH1140" s="32">
        <f>IF(OR($C1140="",$A1140="",$AE1140=""),"",$C1140&amp;"|"&amp;$A1140&amp;"|"&amp;$AE1140)</f>
        <v/>
      </c>
      <c r="AI1140" s="32">
        <f>IF(OR($C1140="",$AE1140="",$AE1140=1),"",IFERROR(INDEX($AC$6:$AC$1505,MATCH($C1140&amp;"|"&amp;$A1140&amp;"|"&amp;($AE1140-1),$AH$6:$AH$1505,0)),""))</f>
        <v/>
      </c>
      <c r="AJ1140" s="32">
        <f>IF(OR($AI1140="",$AC1140=""),"",IF($AI1140=$AC1140,"ללא שינוי","מ-"&amp;$AI1140&amp;" ל-"&amp;$AC1140))</f>
        <v/>
      </c>
      <c r="AK1140" s="67" t="n"/>
    </row>
    <row r="1141">
      <c r="A1141" s="65" t="n"/>
      <c r="B1141" s="65" t="n"/>
      <c r="C1141" s="66" t="n"/>
      <c r="D1141" s="66" t="n"/>
      <c r="E1141" s="65" t="n"/>
      <c r="F1141" s="65" t="n"/>
      <c r="G1141" s="65" t="n"/>
      <c r="H1141" s="65" t="n"/>
      <c r="I1141" s="65" t="n"/>
      <c r="J1141" s="65" t="n"/>
      <c r="K1141" s="65" t="n"/>
      <c r="L1141" s="65" t="n"/>
      <c r="M1141" s="65" t="n"/>
      <c r="N1141" s="65" t="n"/>
      <c r="O1141" s="65" t="n"/>
      <c r="P1141" s="65" t="n"/>
      <c r="Q1141" s="65" t="n"/>
      <c r="R1141" s="65" t="n"/>
      <c r="S1141" s="65" t="n"/>
      <c r="T1141" s="65" t="n"/>
      <c r="U1141" s="65" t="n"/>
      <c r="V1141" s="65" t="n"/>
      <c r="W1141" s="65" t="n"/>
      <c r="X1141" s="65" t="n"/>
      <c r="Y1141" s="32">
        <f>IF($C1141="","",IF(COUNTA($I1141:$K1141)&lt;3,"— חסרים נתונים",IF(AND($I1141="תקין",$J1141="תקין",$K1141="תקין"),"רהוטה",IF(AND($I1141="תקין",$J1141="תקין"),"מדויקת ורציפה","אינה מדויקת או מקוטעת"))))</f>
        <v/>
      </c>
      <c r="Z1141" s="32">
        <f>IF($C1141="","",IF(COUNTA($U1141:$W1141)&lt;3,"",IF(AND($U1141="מפותח",$V1141="מפותח",$W1141="מפותחת"),"מפותחת",IF((--($U1141="דל"))+(--($V1141="אינו מפותח"))+(--($W1141="דלה"))&gt;=2,"אינה מפותחת","חלקית"))))</f>
        <v/>
      </c>
      <c r="AA1141" s="32">
        <f>IF($C1141="","",IF(COUNTA($M1141,$N1141,$O1141)&lt;3,"— חסרים נתונים",IF(OR($M1141="נמוכה",(--($M1141&lt;&gt;"תקינה"))+(--($N1141&lt;&gt;"תקין"))+(--($O1141&lt;&gt;"תקינה"))&gt;=2),"ניכרת","אינה ניכרת")))</f>
        <v/>
      </c>
      <c r="AB1141" s="32">
        <f>IF(OR($C1141="",$Y1141="",$AA1141="",LEFT($Y1141,1)="—",LEFT($AA1141,1)="—"),"",IF($Z1141="","— נדרשת הערכת כתיבה",IF($L1141="","— חסרה הבנת הנקרא",IF($Y1141="אינה מדויקת או מקוטעת",IF($AA1141="ניכרת","מיקוד בשטף הקריאה ובכישורי שפה","מיקוד בשטף קריאה"),IF($AA1141="ניכרת","מיקוד בכישורי שפה",IF(AND($L1141="תקינה",$Z1141="מפותחת"),"קוראים וכותבים מיומנים","מיקוד בהבנה והבעה"))))))</f>
        <v/>
      </c>
      <c r="AC1141" s="32">
        <f>IF(OR($AB1141="",LEFT($AB1141,1)="—"),"",IF(OR($AB1141="מיקוד בשטף קריאה",$AB1141="מיקוד בשטף הקריאה ובכישורי שפה"),"רמה א'",IF($AB1141="קוראים וכותבים מיומנים","רמה ג'","רמה ב'")))</f>
        <v/>
      </c>
      <c r="AD1141" s="32">
        <f>IF($AC1141="","",MID(IF(AND($AC1141="רמה א'",$AA1141="ניכרת"),"; להוסיף עבודת אוצר מילים","")&amp;IF($Z1141="אינה מפותחת","; דגש על הבעה בכתב","")&amp;IF($K1141&lt;&gt;"תקין","; נדרש לעבוד על ההנגנה","")&amp;IF($AK1141&lt;&gt;"","; "&amp;$AK1141,""),3,400))</f>
        <v/>
      </c>
      <c r="AE1141" s="32">
        <f>IF($F1141="","",IF($F1141="תחילת שנה",1,IF($F1141="מחצית שנה",2,3)))</f>
        <v/>
      </c>
      <c r="AF1141" s="32">
        <f>IF(OR($B1141="",$AC1141="",$A1141="",$F1141=""),"",$B1141&amp;"|"&amp;$A1141&amp;"|"&amp;$F1141&amp;"|"&amp;$AC1141&amp;"|"&amp;COUNTIFS($B$6:$B1141,$B1141,$A$6:$A1141,$A1141,$F$6:$F1141,$F1141,$AC$6:$AC1141,$AC1141))</f>
        <v/>
      </c>
      <c r="AG1141" s="32">
        <f>IF($C1141="","",$C1141&amp;"|"&amp;COUNTIFS($C$6:$C1141,$C1141))</f>
        <v/>
      </c>
      <c r="AH1141" s="32">
        <f>IF(OR($C1141="",$A1141="",$AE1141=""),"",$C1141&amp;"|"&amp;$A1141&amp;"|"&amp;$AE1141)</f>
        <v/>
      </c>
      <c r="AI1141" s="32">
        <f>IF(OR($C1141="",$AE1141="",$AE1141=1),"",IFERROR(INDEX($AC$6:$AC$1505,MATCH($C1141&amp;"|"&amp;$A1141&amp;"|"&amp;($AE1141-1),$AH$6:$AH$1505,0)),""))</f>
        <v/>
      </c>
      <c r="AJ1141" s="32">
        <f>IF(OR($AI1141="",$AC1141=""),"",IF($AI1141=$AC1141,"ללא שינוי","מ-"&amp;$AI1141&amp;" ל-"&amp;$AC1141))</f>
        <v/>
      </c>
      <c r="AK1141" s="67" t="n"/>
    </row>
    <row r="1142">
      <c r="A1142" s="65" t="n"/>
      <c r="B1142" s="65" t="n"/>
      <c r="C1142" s="66" t="n"/>
      <c r="D1142" s="66" t="n"/>
      <c r="E1142" s="65" t="n"/>
      <c r="F1142" s="65" t="n"/>
      <c r="G1142" s="65" t="n"/>
      <c r="H1142" s="65" t="n"/>
      <c r="I1142" s="65" t="n"/>
      <c r="J1142" s="65" t="n"/>
      <c r="K1142" s="65" t="n"/>
      <c r="L1142" s="65" t="n"/>
      <c r="M1142" s="65" t="n"/>
      <c r="N1142" s="65" t="n"/>
      <c r="O1142" s="65" t="n"/>
      <c r="P1142" s="65" t="n"/>
      <c r="Q1142" s="65" t="n"/>
      <c r="R1142" s="65" t="n"/>
      <c r="S1142" s="65" t="n"/>
      <c r="T1142" s="65" t="n"/>
      <c r="U1142" s="65" t="n"/>
      <c r="V1142" s="65" t="n"/>
      <c r="W1142" s="65" t="n"/>
      <c r="X1142" s="65" t="n"/>
      <c r="Y1142" s="32">
        <f>IF($C1142="","",IF(COUNTA($I1142:$K1142)&lt;3,"— חסרים נתונים",IF(AND($I1142="תקין",$J1142="תקין",$K1142="תקין"),"רהוטה",IF(AND($I1142="תקין",$J1142="תקין"),"מדויקת ורציפה","אינה מדויקת או מקוטעת"))))</f>
        <v/>
      </c>
      <c r="Z1142" s="32">
        <f>IF($C1142="","",IF(COUNTA($U1142:$W1142)&lt;3,"",IF(AND($U1142="מפותח",$V1142="מפותח",$W1142="מפותחת"),"מפותחת",IF((--($U1142="דל"))+(--($V1142="אינו מפותח"))+(--($W1142="דלה"))&gt;=2,"אינה מפותחת","חלקית"))))</f>
        <v/>
      </c>
      <c r="AA1142" s="32">
        <f>IF($C1142="","",IF(COUNTA($M1142,$N1142,$O1142)&lt;3,"— חסרים נתונים",IF(OR($M1142="נמוכה",(--($M1142&lt;&gt;"תקינה"))+(--($N1142&lt;&gt;"תקין"))+(--($O1142&lt;&gt;"תקינה"))&gt;=2),"ניכרת","אינה ניכרת")))</f>
        <v/>
      </c>
      <c r="AB1142" s="32">
        <f>IF(OR($C1142="",$Y1142="",$AA1142="",LEFT($Y1142,1)="—",LEFT($AA1142,1)="—"),"",IF($Z1142="","— נדרשת הערכת כתיבה",IF($L1142="","— חסרה הבנת הנקרא",IF($Y1142="אינה מדויקת או מקוטעת",IF($AA1142="ניכרת","מיקוד בשטף הקריאה ובכישורי שפה","מיקוד בשטף קריאה"),IF($AA1142="ניכרת","מיקוד בכישורי שפה",IF(AND($L1142="תקינה",$Z1142="מפותחת"),"קוראים וכותבים מיומנים","מיקוד בהבנה והבעה"))))))</f>
        <v/>
      </c>
      <c r="AC1142" s="32">
        <f>IF(OR($AB1142="",LEFT($AB1142,1)="—"),"",IF(OR($AB1142="מיקוד בשטף קריאה",$AB1142="מיקוד בשטף הקריאה ובכישורי שפה"),"רמה א'",IF($AB1142="קוראים וכותבים מיומנים","רמה ג'","רמה ב'")))</f>
        <v/>
      </c>
      <c r="AD1142" s="32">
        <f>IF($AC1142="","",MID(IF(AND($AC1142="רמה א'",$AA1142="ניכרת"),"; להוסיף עבודת אוצר מילים","")&amp;IF($Z1142="אינה מפותחת","; דגש על הבעה בכתב","")&amp;IF($K1142&lt;&gt;"תקין","; נדרש לעבוד על ההנגנה","")&amp;IF($AK1142&lt;&gt;"","; "&amp;$AK1142,""),3,400))</f>
        <v/>
      </c>
      <c r="AE1142" s="32">
        <f>IF($F1142="","",IF($F1142="תחילת שנה",1,IF($F1142="מחצית שנה",2,3)))</f>
        <v/>
      </c>
      <c r="AF1142" s="32">
        <f>IF(OR($B1142="",$AC1142="",$A1142="",$F1142=""),"",$B1142&amp;"|"&amp;$A1142&amp;"|"&amp;$F1142&amp;"|"&amp;$AC1142&amp;"|"&amp;COUNTIFS($B$6:$B1142,$B1142,$A$6:$A1142,$A1142,$F$6:$F1142,$F1142,$AC$6:$AC1142,$AC1142))</f>
        <v/>
      </c>
      <c r="AG1142" s="32">
        <f>IF($C1142="","",$C1142&amp;"|"&amp;COUNTIFS($C$6:$C1142,$C1142))</f>
        <v/>
      </c>
      <c r="AH1142" s="32">
        <f>IF(OR($C1142="",$A1142="",$AE1142=""),"",$C1142&amp;"|"&amp;$A1142&amp;"|"&amp;$AE1142)</f>
        <v/>
      </c>
      <c r="AI1142" s="32">
        <f>IF(OR($C1142="",$AE1142="",$AE1142=1),"",IFERROR(INDEX($AC$6:$AC$1505,MATCH($C1142&amp;"|"&amp;$A1142&amp;"|"&amp;($AE1142-1),$AH$6:$AH$1505,0)),""))</f>
        <v/>
      </c>
      <c r="AJ1142" s="32">
        <f>IF(OR($AI1142="",$AC1142=""),"",IF($AI1142=$AC1142,"ללא שינוי","מ-"&amp;$AI1142&amp;" ל-"&amp;$AC1142))</f>
        <v/>
      </c>
      <c r="AK1142" s="67" t="n"/>
    </row>
    <row r="1143">
      <c r="A1143" s="65" t="n"/>
      <c r="B1143" s="65" t="n"/>
      <c r="C1143" s="66" t="n"/>
      <c r="D1143" s="66" t="n"/>
      <c r="E1143" s="65" t="n"/>
      <c r="F1143" s="65" t="n"/>
      <c r="G1143" s="65" t="n"/>
      <c r="H1143" s="65" t="n"/>
      <c r="I1143" s="65" t="n"/>
      <c r="J1143" s="65" t="n"/>
      <c r="K1143" s="65" t="n"/>
      <c r="L1143" s="65" t="n"/>
      <c r="M1143" s="65" t="n"/>
      <c r="N1143" s="65" t="n"/>
      <c r="O1143" s="65" t="n"/>
      <c r="P1143" s="65" t="n"/>
      <c r="Q1143" s="65" t="n"/>
      <c r="R1143" s="65" t="n"/>
      <c r="S1143" s="65" t="n"/>
      <c r="T1143" s="65" t="n"/>
      <c r="U1143" s="65" t="n"/>
      <c r="V1143" s="65" t="n"/>
      <c r="W1143" s="65" t="n"/>
      <c r="X1143" s="65" t="n"/>
      <c r="Y1143" s="32">
        <f>IF($C1143="","",IF(COUNTA($I1143:$K1143)&lt;3,"— חסרים נתונים",IF(AND($I1143="תקין",$J1143="תקין",$K1143="תקין"),"רהוטה",IF(AND($I1143="תקין",$J1143="תקין"),"מדויקת ורציפה","אינה מדויקת או מקוטעת"))))</f>
        <v/>
      </c>
      <c r="Z1143" s="32">
        <f>IF($C1143="","",IF(COUNTA($U1143:$W1143)&lt;3,"",IF(AND($U1143="מפותח",$V1143="מפותח",$W1143="מפותחת"),"מפותחת",IF((--($U1143="דל"))+(--($V1143="אינו מפותח"))+(--($W1143="דלה"))&gt;=2,"אינה מפותחת","חלקית"))))</f>
        <v/>
      </c>
      <c r="AA1143" s="32">
        <f>IF($C1143="","",IF(COUNTA($M1143,$N1143,$O1143)&lt;3,"— חסרים נתונים",IF(OR($M1143="נמוכה",(--($M1143&lt;&gt;"תקינה"))+(--($N1143&lt;&gt;"תקין"))+(--($O1143&lt;&gt;"תקינה"))&gt;=2),"ניכרת","אינה ניכרת")))</f>
        <v/>
      </c>
      <c r="AB1143" s="32">
        <f>IF(OR($C1143="",$Y1143="",$AA1143="",LEFT($Y1143,1)="—",LEFT($AA1143,1)="—"),"",IF($Z1143="","— נדרשת הערכת כתיבה",IF($L1143="","— חסרה הבנת הנקרא",IF($Y1143="אינה מדויקת או מקוטעת",IF($AA1143="ניכרת","מיקוד בשטף הקריאה ובכישורי שפה","מיקוד בשטף קריאה"),IF($AA1143="ניכרת","מיקוד בכישורי שפה",IF(AND($L1143="תקינה",$Z1143="מפותחת"),"קוראים וכותבים מיומנים","מיקוד בהבנה והבעה"))))))</f>
        <v/>
      </c>
      <c r="AC1143" s="32">
        <f>IF(OR($AB1143="",LEFT($AB1143,1)="—"),"",IF(OR($AB1143="מיקוד בשטף קריאה",$AB1143="מיקוד בשטף הקריאה ובכישורי שפה"),"רמה א'",IF($AB1143="קוראים וכותבים מיומנים","רמה ג'","רמה ב'")))</f>
        <v/>
      </c>
      <c r="AD1143" s="32">
        <f>IF($AC1143="","",MID(IF(AND($AC1143="רמה א'",$AA1143="ניכרת"),"; להוסיף עבודת אוצר מילים","")&amp;IF($Z1143="אינה מפותחת","; דגש על הבעה בכתב","")&amp;IF($K1143&lt;&gt;"תקין","; נדרש לעבוד על ההנגנה","")&amp;IF($AK1143&lt;&gt;"","; "&amp;$AK1143,""),3,400))</f>
        <v/>
      </c>
      <c r="AE1143" s="32">
        <f>IF($F1143="","",IF($F1143="תחילת שנה",1,IF($F1143="מחצית שנה",2,3)))</f>
        <v/>
      </c>
      <c r="AF1143" s="32">
        <f>IF(OR($B1143="",$AC1143="",$A1143="",$F1143=""),"",$B1143&amp;"|"&amp;$A1143&amp;"|"&amp;$F1143&amp;"|"&amp;$AC1143&amp;"|"&amp;COUNTIFS($B$6:$B1143,$B1143,$A$6:$A1143,$A1143,$F$6:$F1143,$F1143,$AC$6:$AC1143,$AC1143))</f>
        <v/>
      </c>
      <c r="AG1143" s="32">
        <f>IF($C1143="","",$C1143&amp;"|"&amp;COUNTIFS($C$6:$C1143,$C1143))</f>
        <v/>
      </c>
      <c r="AH1143" s="32">
        <f>IF(OR($C1143="",$A1143="",$AE1143=""),"",$C1143&amp;"|"&amp;$A1143&amp;"|"&amp;$AE1143)</f>
        <v/>
      </c>
      <c r="AI1143" s="32">
        <f>IF(OR($C1143="",$AE1143="",$AE1143=1),"",IFERROR(INDEX($AC$6:$AC$1505,MATCH($C1143&amp;"|"&amp;$A1143&amp;"|"&amp;($AE1143-1),$AH$6:$AH$1505,0)),""))</f>
        <v/>
      </c>
      <c r="AJ1143" s="32">
        <f>IF(OR($AI1143="",$AC1143=""),"",IF($AI1143=$AC1143,"ללא שינוי","מ-"&amp;$AI1143&amp;" ל-"&amp;$AC1143))</f>
        <v/>
      </c>
      <c r="AK1143" s="67" t="n"/>
    </row>
    <row r="1144">
      <c r="A1144" s="65" t="n"/>
      <c r="B1144" s="65" t="n"/>
      <c r="C1144" s="66" t="n"/>
      <c r="D1144" s="66" t="n"/>
      <c r="E1144" s="65" t="n"/>
      <c r="F1144" s="65" t="n"/>
      <c r="G1144" s="65" t="n"/>
      <c r="H1144" s="65" t="n"/>
      <c r="I1144" s="65" t="n"/>
      <c r="J1144" s="65" t="n"/>
      <c r="K1144" s="65" t="n"/>
      <c r="L1144" s="65" t="n"/>
      <c r="M1144" s="65" t="n"/>
      <c r="N1144" s="65" t="n"/>
      <c r="O1144" s="65" t="n"/>
      <c r="P1144" s="65" t="n"/>
      <c r="Q1144" s="65" t="n"/>
      <c r="R1144" s="65" t="n"/>
      <c r="S1144" s="65" t="n"/>
      <c r="T1144" s="65" t="n"/>
      <c r="U1144" s="65" t="n"/>
      <c r="V1144" s="65" t="n"/>
      <c r="W1144" s="65" t="n"/>
      <c r="X1144" s="65" t="n"/>
      <c r="Y1144" s="32">
        <f>IF($C1144="","",IF(COUNTA($I1144:$K1144)&lt;3,"— חסרים נתונים",IF(AND($I1144="תקין",$J1144="תקין",$K1144="תקין"),"רהוטה",IF(AND($I1144="תקין",$J1144="תקין"),"מדויקת ורציפה","אינה מדויקת או מקוטעת"))))</f>
        <v/>
      </c>
      <c r="Z1144" s="32">
        <f>IF($C1144="","",IF(COUNTA($U1144:$W1144)&lt;3,"",IF(AND($U1144="מפותח",$V1144="מפותח",$W1144="מפותחת"),"מפותחת",IF((--($U1144="דל"))+(--($V1144="אינו מפותח"))+(--($W1144="דלה"))&gt;=2,"אינה מפותחת","חלקית"))))</f>
        <v/>
      </c>
      <c r="AA1144" s="32">
        <f>IF($C1144="","",IF(COUNTA($M1144,$N1144,$O1144)&lt;3,"— חסרים נתונים",IF(OR($M1144="נמוכה",(--($M1144&lt;&gt;"תקינה"))+(--($N1144&lt;&gt;"תקין"))+(--($O1144&lt;&gt;"תקינה"))&gt;=2),"ניכרת","אינה ניכרת")))</f>
        <v/>
      </c>
      <c r="AB1144" s="32">
        <f>IF(OR($C1144="",$Y1144="",$AA1144="",LEFT($Y1144,1)="—",LEFT($AA1144,1)="—"),"",IF($Z1144="","— נדרשת הערכת כתיבה",IF($L1144="","— חסרה הבנת הנקרא",IF($Y1144="אינה מדויקת או מקוטעת",IF($AA1144="ניכרת","מיקוד בשטף הקריאה ובכישורי שפה","מיקוד בשטף קריאה"),IF($AA1144="ניכרת","מיקוד בכישורי שפה",IF(AND($L1144="תקינה",$Z1144="מפותחת"),"קוראים וכותבים מיומנים","מיקוד בהבנה והבעה"))))))</f>
        <v/>
      </c>
      <c r="AC1144" s="32">
        <f>IF(OR($AB1144="",LEFT($AB1144,1)="—"),"",IF(OR($AB1144="מיקוד בשטף קריאה",$AB1144="מיקוד בשטף הקריאה ובכישורי שפה"),"רמה א'",IF($AB1144="קוראים וכותבים מיומנים","רמה ג'","רמה ב'")))</f>
        <v/>
      </c>
      <c r="AD1144" s="32">
        <f>IF($AC1144="","",MID(IF(AND($AC1144="רמה א'",$AA1144="ניכרת"),"; להוסיף עבודת אוצר מילים","")&amp;IF($Z1144="אינה מפותחת","; דגש על הבעה בכתב","")&amp;IF($K1144&lt;&gt;"תקין","; נדרש לעבוד על ההנגנה","")&amp;IF($AK1144&lt;&gt;"","; "&amp;$AK1144,""),3,400))</f>
        <v/>
      </c>
      <c r="AE1144" s="32">
        <f>IF($F1144="","",IF($F1144="תחילת שנה",1,IF($F1144="מחצית שנה",2,3)))</f>
        <v/>
      </c>
      <c r="AF1144" s="32">
        <f>IF(OR($B1144="",$AC1144="",$A1144="",$F1144=""),"",$B1144&amp;"|"&amp;$A1144&amp;"|"&amp;$F1144&amp;"|"&amp;$AC1144&amp;"|"&amp;COUNTIFS($B$6:$B1144,$B1144,$A$6:$A1144,$A1144,$F$6:$F1144,$F1144,$AC$6:$AC1144,$AC1144))</f>
        <v/>
      </c>
      <c r="AG1144" s="32">
        <f>IF($C1144="","",$C1144&amp;"|"&amp;COUNTIFS($C$6:$C1144,$C1144))</f>
        <v/>
      </c>
      <c r="AH1144" s="32">
        <f>IF(OR($C1144="",$A1144="",$AE1144=""),"",$C1144&amp;"|"&amp;$A1144&amp;"|"&amp;$AE1144)</f>
        <v/>
      </c>
      <c r="AI1144" s="32">
        <f>IF(OR($C1144="",$AE1144="",$AE1144=1),"",IFERROR(INDEX($AC$6:$AC$1505,MATCH($C1144&amp;"|"&amp;$A1144&amp;"|"&amp;($AE1144-1),$AH$6:$AH$1505,0)),""))</f>
        <v/>
      </c>
      <c r="AJ1144" s="32">
        <f>IF(OR($AI1144="",$AC1144=""),"",IF($AI1144=$AC1144,"ללא שינוי","מ-"&amp;$AI1144&amp;" ל-"&amp;$AC1144))</f>
        <v/>
      </c>
      <c r="AK1144" s="67" t="n"/>
    </row>
    <row r="1145">
      <c r="A1145" s="65" t="n"/>
      <c r="B1145" s="65" t="n"/>
      <c r="C1145" s="66" t="n"/>
      <c r="D1145" s="66" t="n"/>
      <c r="E1145" s="65" t="n"/>
      <c r="F1145" s="65" t="n"/>
      <c r="G1145" s="65" t="n"/>
      <c r="H1145" s="65" t="n"/>
      <c r="I1145" s="65" t="n"/>
      <c r="J1145" s="65" t="n"/>
      <c r="K1145" s="65" t="n"/>
      <c r="L1145" s="65" t="n"/>
      <c r="M1145" s="65" t="n"/>
      <c r="N1145" s="65" t="n"/>
      <c r="O1145" s="65" t="n"/>
      <c r="P1145" s="65" t="n"/>
      <c r="Q1145" s="65" t="n"/>
      <c r="R1145" s="65" t="n"/>
      <c r="S1145" s="65" t="n"/>
      <c r="T1145" s="65" t="n"/>
      <c r="U1145" s="65" t="n"/>
      <c r="V1145" s="65" t="n"/>
      <c r="W1145" s="65" t="n"/>
      <c r="X1145" s="65" t="n"/>
      <c r="Y1145" s="32">
        <f>IF($C1145="","",IF(COUNTA($I1145:$K1145)&lt;3,"— חסרים נתונים",IF(AND($I1145="תקין",$J1145="תקין",$K1145="תקין"),"רהוטה",IF(AND($I1145="תקין",$J1145="תקין"),"מדויקת ורציפה","אינה מדויקת או מקוטעת"))))</f>
        <v/>
      </c>
      <c r="Z1145" s="32">
        <f>IF($C1145="","",IF(COUNTA($U1145:$W1145)&lt;3,"",IF(AND($U1145="מפותח",$V1145="מפותח",$W1145="מפותחת"),"מפותחת",IF((--($U1145="דל"))+(--($V1145="אינו מפותח"))+(--($W1145="דלה"))&gt;=2,"אינה מפותחת","חלקית"))))</f>
        <v/>
      </c>
      <c r="AA1145" s="32">
        <f>IF($C1145="","",IF(COUNTA($M1145,$N1145,$O1145)&lt;3,"— חסרים נתונים",IF(OR($M1145="נמוכה",(--($M1145&lt;&gt;"תקינה"))+(--($N1145&lt;&gt;"תקין"))+(--($O1145&lt;&gt;"תקינה"))&gt;=2),"ניכרת","אינה ניכרת")))</f>
        <v/>
      </c>
      <c r="AB1145" s="32">
        <f>IF(OR($C1145="",$Y1145="",$AA1145="",LEFT($Y1145,1)="—",LEFT($AA1145,1)="—"),"",IF($Z1145="","— נדרשת הערכת כתיבה",IF($L1145="","— חסרה הבנת הנקרא",IF($Y1145="אינה מדויקת או מקוטעת",IF($AA1145="ניכרת","מיקוד בשטף הקריאה ובכישורי שפה","מיקוד בשטף קריאה"),IF($AA1145="ניכרת","מיקוד בכישורי שפה",IF(AND($L1145="תקינה",$Z1145="מפותחת"),"קוראים וכותבים מיומנים","מיקוד בהבנה והבעה"))))))</f>
        <v/>
      </c>
      <c r="AC1145" s="32">
        <f>IF(OR($AB1145="",LEFT($AB1145,1)="—"),"",IF(OR($AB1145="מיקוד בשטף קריאה",$AB1145="מיקוד בשטף הקריאה ובכישורי שפה"),"רמה א'",IF($AB1145="קוראים וכותבים מיומנים","רמה ג'","רמה ב'")))</f>
        <v/>
      </c>
      <c r="AD1145" s="32">
        <f>IF($AC1145="","",MID(IF(AND($AC1145="רמה א'",$AA1145="ניכרת"),"; להוסיף עבודת אוצר מילים","")&amp;IF($Z1145="אינה מפותחת","; דגש על הבעה בכתב","")&amp;IF($K1145&lt;&gt;"תקין","; נדרש לעבוד על ההנגנה","")&amp;IF($AK1145&lt;&gt;"","; "&amp;$AK1145,""),3,400))</f>
        <v/>
      </c>
      <c r="AE1145" s="32">
        <f>IF($F1145="","",IF($F1145="תחילת שנה",1,IF($F1145="מחצית שנה",2,3)))</f>
        <v/>
      </c>
      <c r="AF1145" s="32">
        <f>IF(OR($B1145="",$AC1145="",$A1145="",$F1145=""),"",$B1145&amp;"|"&amp;$A1145&amp;"|"&amp;$F1145&amp;"|"&amp;$AC1145&amp;"|"&amp;COUNTIFS($B$6:$B1145,$B1145,$A$6:$A1145,$A1145,$F$6:$F1145,$F1145,$AC$6:$AC1145,$AC1145))</f>
        <v/>
      </c>
      <c r="AG1145" s="32">
        <f>IF($C1145="","",$C1145&amp;"|"&amp;COUNTIFS($C$6:$C1145,$C1145))</f>
        <v/>
      </c>
      <c r="AH1145" s="32">
        <f>IF(OR($C1145="",$A1145="",$AE1145=""),"",$C1145&amp;"|"&amp;$A1145&amp;"|"&amp;$AE1145)</f>
        <v/>
      </c>
      <c r="AI1145" s="32">
        <f>IF(OR($C1145="",$AE1145="",$AE1145=1),"",IFERROR(INDEX($AC$6:$AC$1505,MATCH($C1145&amp;"|"&amp;$A1145&amp;"|"&amp;($AE1145-1),$AH$6:$AH$1505,0)),""))</f>
        <v/>
      </c>
      <c r="AJ1145" s="32">
        <f>IF(OR($AI1145="",$AC1145=""),"",IF($AI1145=$AC1145,"ללא שינוי","מ-"&amp;$AI1145&amp;" ל-"&amp;$AC1145))</f>
        <v/>
      </c>
      <c r="AK1145" s="67" t="n"/>
    </row>
    <row r="1146">
      <c r="A1146" s="65" t="n"/>
      <c r="B1146" s="65" t="n"/>
      <c r="C1146" s="66" t="n"/>
      <c r="D1146" s="66" t="n"/>
      <c r="E1146" s="65" t="n"/>
      <c r="F1146" s="65" t="n"/>
      <c r="G1146" s="65" t="n"/>
      <c r="H1146" s="65" t="n"/>
      <c r="I1146" s="65" t="n"/>
      <c r="J1146" s="65" t="n"/>
      <c r="K1146" s="65" t="n"/>
      <c r="L1146" s="65" t="n"/>
      <c r="M1146" s="65" t="n"/>
      <c r="N1146" s="65" t="n"/>
      <c r="O1146" s="65" t="n"/>
      <c r="P1146" s="65" t="n"/>
      <c r="Q1146" s="65" t="n"/>
      <c r="R1146" s="65" t="n"/>
      <c r="S1146" s="65" t="n"/>
      <c r="T1146" s="65" t="n"/>
      <c r="U1146" s="65" t="n"/>
      <c r="V1146" s="65" t="n"/>
      <c r="W1146" s="65" t="n"/>
      <c r="X1146" s="65" t="n"/>
      <c r="Y1146" s="32">
        <f>IF($C1146="","",IF(COUNTA($I1146:$K1146)&lt;3,"— חסרים נתונים",IF(AND($I1146="תקין",$J1146="תקין",$K1146="תקין"),"רהוטה",IF(AND($I1146="תקין",$J1146="תקין"),"מדויקת ורציפה","אינה מדויקת או מקוטעת"))))</f>
        <v/>
      </c>
      <c r="Z1146" s="32">
        <f>IF($C1146="","",IF(COUNTA($U1146:$W1146)&lt;3,"",IF(AND($U1146="מפותח",$V1146="מפותח",$W1146="מפותחת"),"מפותחת",IF((--($U1146="דל"))+(--($V1146="אינו מפותח"))+(--($W1146="דלה"))&gt;=2,"אינה מפותחת","חלקית"))))</f>
        <v/>
      </c>
      <c r="AA1146" s="32">
        <f>IF($C1146="","",IF(COUNTA($M1146,$N1146,$O1146)&lt;3,"— חסרים נתונים",IF(OR($M1146="נמוכה",(--($M1146&lt;&gt;"תקינה"))+(--($N1146&lt;&gt;"תקין"))+(--($O1146&lt;&gt;"תקינה"))&gt;=2),"ניכרת","אינה ניכרת")))</f>
        <v/>
      </c>
      <c r="AB1146" s="32">
        <f>IF(OR($C1146="",$Y1146="",$AA1146="",LEFT($Y1146,1)="—",LEFT($AA1146,1)="—"),"",IF($Z1146="","— נדרשת הערכת כתיבה",IF($L1146="","— חסרה הבנת הנקרא",IF($Y1146="אינה מדויקת או מקוטעת",IF($AA1146="ניכרת","מיקוד בשטף הקריאה ובכישורי שפה","מיקוד בשטף קריאה"),IF($AA1146="ניכרת","מיקוד בכישורי שפה",IF(AND($L1146="תקינה",$Z1146="מפותחת"),"קוראים וכותבים מיומנים","מיקוד בהבנה והבעה"))))))</f>
        <v/>
      </c>
      <c r="AC1146" s="32">
        <f>IF(OR($AB1146="",LEFT($AB1146,1)="—"),"",IF(OR($AB1146="מיקוד בשטף קריאה",$AB1146="מיקוד בשטף הקריאה ובכישורי שפה"),"רמה א'",IF($AB1146="קוראים וכותבים מיומנים","רמה ג'","רמה ב'")))</f>
        <v/>
      </c>
      <c r="AD1146" s="32">
        <f>IF($AC1146="","",MID(IF(AND($AC1146="רמה א'",$AA1146="ניכרת"),"; להוסיף עבודת אוצר מילים","")&amp;IF($Z1146="אינה מפותחת","; דגש על הבעה בכתב","")&amp;IF($K1146&lt;&gt;"תקין","; נדרש לעבוד על ההנגנה","")&amp;IF($AK1146&lt;&gt;"","; "&amp;$AK1146,""),3,400))</f>
        <v/>
      </c>
      <c r="AE1146" s="32">
        <f>IF($F1146="","",IF($F1146="תחילת שנה",1,IF($F1146="מחצית שנה",2,3)))</f>
        <v/>
      </c>
      <c r="AF1146" s="32">
        <f>IF(OR($B1146="",$AC1146="",$A1146="",$F1146=""),"",$B1146&amp;"|"&amp;$A1146&amp;"|"&amp;$F1146&amp;"|"&amp;$AC1146&amp;"|"&amp;COUNTIFS($B$6:$B1146,$B1146,$A$6:$A1146,$A1146,$F$6:$F1146,$F1146,$AC$6:$AC1146,$AC1146))</f>
        <v/>
      </c>
      <c r="AG1146" s="32">
        <f>IF($C1146="","",$C1146&amp;"|"&amp;COUNTIFS($C$6:$C1146,$C1146))</f>
        <v/>
      </c>
      <c r="AH1146" s="32">
        <f>IF(OR($C1146="",$A1146="",$AE1146=""),"",$C1146&amp;"|"&amp;$A1146&amp;"|"&amp;$AE1146)</f>
        <v/>
      </c>
      <c r="AI1146" s="32">
        <f>IF(OR($C1146="",$AE1146="",$AE1146=1),"",IFERROR(INDEX($AC$6:$AC$1505,MATCH($C1146&amp;"|"&amp;$A1146&amp;"|"&amp;($AE1146-1),$AH$6:$AH$1505,0)),""))</f>
        <v/>
      </c>
      <c r="AJ1146" s="32">
        <f>IF(OR($AI1146="",$AC1146=""),"",IF($AI1146=$AC1146,"ללא שינוי","מ-"&amp;$AI1146&amp;" ל-"&amp;$AC1146))</f>
        <v/>
      </c>
      <c r="AK1146" s="67" t="n"/>
    </row>
    <row r="1147">
      <c r="A1147" s="65" t="n"/>
      <c r="B1147" s="65" t="n"/>
      <c r="C1147" s="66" t="n"/>
      <c r="D1147" s="66" t="n"/>
      <c r="E1147" s="65" t="n"/>
      <c r="F1147" s="65" t="n"/>
      <c r="G1147" s="65" t="n"/>
      <c r="H1147" s="65" t="n"/>
      <c r="I1147" s="65" t="n"/>
      <c r="J1147" s="65" t="n"/>
      <c r="K1147" s="65" t="n"/>
      <c r="L1147" s="65" t="n"/>
      <c r="M1147" s="65" t="n"/>
      <c r="N1147" s="65" t="n"/>
      <c r="O1147" s="65" t="n"/>
      <c r="P1147" s="65" t="n"/>
      <c r="Q1147" s="65" t="n"/>
      <c r="R1147" s="65" t="n"/>
      <c r="S1147" s="65" t="n"/>
      <c r="T1147" s="65" t="n"/>
      <c r="U1147" s="65" t="n"/>
      <c r="V1147" s="65" t="n"/>
      <c r="W1147" s="65" t="n"/>
      <c r="X1147" s="65" t="n"/>
      <c r="Y1147" s="32">
        <f>IF($C1147="","",IF(COUNTA($I1147:$K1147)&lt;3,"— חסרים נתונים",IF(AND($I1147="תקין",$J1147="תקין",$K1147="תקין"),"רהוטה",IF(AND($I1147="תקין",$J1147="תקין"),"מדויקת ורציפה","אינה מדויקת או מקוטעת"))))</f>
        <v/>
      </c>
      <c r="Z1147" s="32">
        <f>IF($C1147="","",IF(COUNTA($U1147:$W1147)&lt;3,"",IF(AND($U1147="מפותח",$V1147="מפותח",$W1147="מפותחת"),"מפותחת",IF((--($U1147="דל"))+(--($V1147="אינו מפותח"))+(--($W1147="דלה"))&gt;=2,"אינה מפותחת","חלקית"))))</f>
        <v/>
      </c>
      <c r="AA1147" s="32">
        <f>IF($C1147="","",IF(COUNTA($M1147,$N1147,$O1147)&lt;3,"— חסרים נתונים",IF(OR($M1147="נמוכה",(--($M1147&lt;&gt;"תקינה"))+(--($N1147&lt;&gt;"תקין"))+(--($O1147&lt;&gt;"תקינה"))&gt;=2),"ניכרת","אינה ניכרת")))</f>
        <v/>
      </c>
      <c r="AB1147" s="32">
        <f>IF(OR($C1147="",$Y1147="",$AA1147="",LEFT($Y1147,1)="—",LEFT($AA1147,1)="—"),"",IF($Z1147="","— נדרשת הערכת כתיבה",IF($L1147="","— חסרה הבנת הנקרא",IF($Y1147="אינה מדויקת או מקוטעת",IF($AA1147="ניכרת","מיקוד בשטף הקריאה ובכישורי שפה","מיקוד בשטף קריאה"),IF($AA1147="ניכרת","מיקוד בכישורי שפה",IF(AND($L1147="תקינה",$Z1147="מפותחת"),"קוראים וכותבים מיומנים","מיקוד בהבנה והבעה"))))))</f>
        <v/>
      </c>
      <c r="AC1147" s="32">
        <f>IF(OR($AB1147="",LEFT($AB1147,1)="—"),"",IF(OR($AB1147="מיקוד בשטף קריאה",$AB1147="מיקוד בשטף הקריאה ובכישורי שפה"),"רמה א'",IF($AB1147="קוראים וכותבים מיומנים","רמה ג'","רמה ב'")))</f>
        <v/>
      </c>
      <c r="AD1147" s="32">
        <f>IF($AC1147="","",MID(IF(AND($AC1147="רמה א'",$AA1147="ניכרת"),"; להוסיף עבודת אוצר מילים","")&amp;IF($Z1147="אינה מפותחת","; דגש על הבעה בכתב","")&amp;IF($K1147&lt;&gt;"תקין","; נדרש לעבוד על ההנגנה","")&amp;IF($AK1147&lt;&gt;"","; "&amp;$AK1147,""),3,400))</f>
        <v/>
      </c>
      <c r="AE1147" s="32">
        <f>IF($F1147="","",IF($F1147="תחילת שנה",1,IF($F1147="מחצית שנה",2,3)))</f>
        <v/>
      </c>
      <c r="AF1147" s="32">
        <f>IF(OR($B1147="",$AC1147="",$A1147="",$F1147=""),"",$B1147&amp;"|"&amp;$A1147&amp;"|"&amp;$F1147&amp;"|"&amp;$AC1147&amp;"|"&amp;COUNTIFS($B$6:$B1147,$B1147,$A$6:$A1147,$A1147,$F$6:$F1147,$F1147,$AC$6:$AC1147,$AC1147))</f>
        <v/>
      </c>
      <c r="AG1147" s="32">
        <f>IF($C1147="","",$C1147&amp;"|"&amp;COUNTIFS($C$6:$C1147,$C1147))</f>
        <v/>
      </c>
      <c r="AH1147" s="32">
        <f>IF(OR($C1147="",$A1147="",$AE1147=""),"",$C1147&amp;"|"&amp;$A1147&amp;"|"&amp;$AE1147)</f>
        <v/>
      </c>
      <c r="AI1147" s="32">
        <f>IF(OR($C1147="",$AE1147="",$AE1147=1),"",IFERROR(INDEX($AC$6:$AC$1505,MATCH($C1147&amp;"|"&amp;$A1147&amp;"|"&amp;($AE1147-1),$AH$6:$AH$1505,0)),""))</f>
        <v/>
      </c>
      <c r="AJ1147" s="32">
        <f>IF(OR($AI1147="",$AC1147=""),"",IF($AI1147=$AC1147,"ללא שינוי","מ-"&amp;$AI1147&amp;" ל-"&amp;$AC1147))</f>
        <v/>
      </c>
      <c r="AK1147" s="67" t="n"/>
    </row>
    <row r="1148">
      <c r="A1148" s="65" t="n"/>
      <c r="B1148" s="65" t="n"/>
      <c r="C1148" s="66" t="n"/>
      <c r="D1148" s="66" t="n"/>
      <c r="E1148" s="65" t="n"/>
      <c r="F1148" s="65" t="n"/>
      <c r="G1148" s="65" t="n"/>
      <c r="H1148" s="65" t="n"/>
      <c r="I1148" s="65" t="n"/>
      <c r="J1148" s="65" t="n"/>
      <c r="K1148" s="65" t="n"/>
      <c r="L1148" s="65" t="n"/>
      <c r="M1148" s="65" t="n"/>
      <c r="N1148" s="65" t="n"/>
      <c r="O1148" s="65" t="n"/>
      <c r="P1148" s="65" t="n"/>
      <c r="Q1148" s="65" t="n"/>
      <c r="R1148" s="65" t="n"/>
      <c r="S1148" s="65" t="n"/>
      <c r="T1148" s="65" t="n"/>
      <c r="U1148" s="65" t="n"/>
      <c r="V1148" s="65" t="n"/>
      <c r="W1148" s="65" t="n"/>
      <c r="X1148" s="65" t="n"/>
      <c r="Y1148" s="32">
        <f>IF($C1148="","",IF(COUNTA($I1148:$K1148)&lt;3,"— חסרים נתונים",IF(AND($I1148="תקין",$J1148="תקין",$K1148="תקין"),"רהוטה",IF(AND($I1148="תקין",$J1148="תקין"),"מדויקת ורציפה","אינה מדויקת או מקוטעת"))))</f>
        <v/>
      </c>
      <c r="Z1148" s="32">
        <f>IF($C1148="","",IF(COUNTA($U1148:$W1148)&lt;3,"",IF(AND($U1148="מפותח",$V1148="מפותח",$W1148="מפותחת"),"מפותחת",IF((--($U1148="דל"))+(--($V1148="אינו מפותח"))+(--($W1148="דלה"))&gt;=2,"אינה מפותחת","חלקית"))))</f>
        <v/>
      </c>
      <c r="AA1148" s="32">
        <f>IF($C1148="","",IF(COUNTA($M1148,$N1148,$O1148)&lt;3,"— חסרים נתונים",IF(OR($M1148="נמוכה",(--($M1148&lt;&gt;"תקינה"))+(--($N1148&lt;&gt;"תקין"))+(--($O1148&lt;&gt;"תקינה"))&gt;=2),"ניכרת","אינה ניכרת")))</f>
        <v/>
      </c>
      <c r="AB1148" s="32">
        <f>IF(OR($C1148="",$Y1148="",$AA1148="",LEFT($Y1148,1)="—",LEFT($AA1148,1)="—"),"",IF($Z1148="","— נדרשת הערכת כתיבה",IF($L1148="","— חסרה הבנת הנקרא",IF($Y1148="אינה מדויקת או מקוטעת",IF($AA1148="ניכרת","מיקוד בשטף הקריאה ובכישורי שפה","מיקוד בשטף קריאה"),IF($AA1148="ניכרת","מיקוד בכישורי שפה",IF(AND($L1148="תקינה",$Z1148="מפותחת"),"קוראים וכותבים מיומנים","מיקוד בהבנה והבעה"))))))</f>
        <v/>
      </c>
      <c r="AC1148" s="32">
        <f>IF(OR($AB1148="",LEFT($AB1148,1)="—"),"",IF(OR($AB1148="מיקוד בשטף קריאה",$AB1148="מיקוד בשטף הקריאה ובכישורי שפה"),"רמה א'",IF($AB1148="קוראים וכותבים מיומנים","רמה ג'","רמה ב'")))</f>
        <v/>
      </c>
      <c r="AD1148" s="32">
        <f>IF($AC1148="","",MID(IF(AND($AC1148="רמה א'",$AA1148="ניכרת"),"; להוסיף עבודת אוצר מילים","")&amp;IF($Z1148="אינה מפותחת","; דגש על הבעה בכתב","")&amp;IF($K1148&lt;&gt;"תקין","; נדרש לעבוד על ההנגנה","")&amp;IF($AK1148&lt;&gt;"","; "&amp;$AK1148,""),3,400))</f>
        <v/>
      </c>
      <c r="AE1148" s="32">
        <f>IF($F1148="","",IF($F1148="תחילת שנה",1,IF($F1148="מחצית שנה",2,3)))</f>
        <v/>
      </c>
      <c r="AF1148" s="32">
        <f>IF(OR($B1148="",$AC1148="",$A1148="",$F1148=""),"",$B1148&amp;"|"&amp;$A1148&amp;"|"&amp;$F1148&amp;"|"&amp;$AC1148&amp;"|"&amp;COUNTIFS($B$6:$B1148,$B1148,$A$6:$A1148,$A1148,$F$6:$F1148,$F1148,$AC$6:$AC1148,$AC1148))</f>
        <v/>
      </c>
      <c r="AG1148" s="32">
        <f>IF($C1148="","",$C1148&amp;"|"&amp;COUNTIFS($C$6:$C1148,$C1148))</f>
        <v/>
      </c>
      <c r="AH1148" s="32">
        <f>IF(OR($C1148="",$A1148="",$AE1148=""),"",$C1148&amp;"|"&amp;$A1148&amp;"|"&amp;$AE1148)</f>
        <v/>
      </c>
      <c r="AI1148" s="32">
        <f>IF(OR($C1148="",$AE1148="",$AE1148=1),"",IFERROR(INDEX($AC$6:$AC$1505,MATCH($C1148&amp;"|"&amp;$A1148&amp;"|"&amp;($AE1148-1),$AH$6:$AH$1505,0)),""))</f>
        <v/>
      </c>
      <c r="AJ1148" s="32">
        <f>IF(OR($AI1148="",$AC1148=""),"",IF($AI1148=$AC1148,"ללא שינוי","מ-"&amp;$AI1148&amp;" ל-"&amp;$AC1148))</f>
        <v/>
      </c>
      <c r="AK1148" s="67" t="n"/>
    </row>
    <row r="1149">
      <c r="A1149" s="65" t="n"/>
      <c r="B1149" s="65" t="n"/>
      <c r="C1149" s="66" t="n"/>
      <c r="D1149" s="66" t="n"/>
      <c r="E1149" s="65" t="n"/>
      <c r="F1149" s="65" t="n"/>
      <c r="G1149" s="65" t="n"/>
      <c r="H1149" s="65" t="n"/>
      <c r="I1149" s="65" t="n"/>
      <c r="J1149" s="65" t="n"/>
      <c r="K1149" s="65" t="n"/>
      <c r="L1149" s="65" t="n"/>
      <c r="M1149" s="65" t="n"/>
      <c r="N1149" s="65" t="n"/>
      <c r="O1149" s="65" t="n"/>
      <c r="P1149" s="65" t="n"/>
      <c r="Q1149" s="65" t="n"/>
      <c r="R1149" s="65" t="n"/>
      <c r="S1149" s="65" t="n"/>
      <c r="T1149" s="65" t="n"/>
      <c r="U1149" s="65" t="n"/>
      <c r="V1149" s="65" t="n"/>
      <c r="W1149" s="65" t="n"/>
      <c r="X1149" s="65" t="n"/>
      <c r="Y1149" s="32">
        <f>IF($C1149="","",IF(COUNTA($I1149:$K1149)&lt;3,"— חסרים נתונים",IF(AND($I1149="תקין",$J1149="תקין",$K1149="תקין"),"רהוטה",IF(AND($I1149="תקין",$J1149="תקין"),"מדויקת ורציפה","אינה מדויקת או מקוטעת"))))</f>
        <v/>
      </c>
      <c r="Z1149" s="32">
        <f>IF($C1149="","",IF(COUNTA($U1149:$W1149)&lt;3,"",IF(AND($U1149="מפותח",$V1149="מפותח",$W1149="מפותחת"),"מפותחת",IF((--($U1149="דל"))+(--($V1149="אינו מפותח"))+(--($W1149="דלה"))&gt;=2,"אינה מפותחת","חלקית"))))</f>
        <v/>
      </c>
      <c r="AA1149" s="32">
        <f>IF($C1149="","",IF(COUNTA($M1149,$N1149,$O1149)&lt;3,"— חסרים נתונים",IF(OR($M1149="נמוכה",(--($M1149&lt;&gt;"תקינה"))+(--($N1149&lt;&gt;"תקין"))+(--($O1149&lt;&gt;"תקינה"))&gt;=2),"ניכרת","אינה ניכרת")))</f>
        <v/>
      </c>
      <c r="AB1149" s="32">
        <f>IF(OR($C1149="",$Y1149="",$AA1149="",LEFT($Y1149,1)="—",LEFT($AA1149,1)="—"),"",IF($Z1149="","— נדרשת הערכת כתיבה",IF($L1149="","— חסרה הבנת הנקרא",IF($Y1149="אינה מדויקת או מקוטעת",IF($AA1149="ניכרת","מיקוד בשטף הקריאה ובכישורי שפה","מיקוד בשטף קריאה"),IF($AA1149="ניכרת","מיקוד בכישורי שפה",IF(AND($L1149="תקינה",$Z1149="מפותחת"),"קוראים וכותבים מיומנים","מיקוד בהבנה והבעה"))))))</f>
        <v/>
      </c>
      <c r="AC1149" s="32">
        <f>IF(OR($AB1149="",LEFT($AB1149,1)="—"),"",IF(OR($AB1149="מיקוד בשטף קריאה",$AB1149="מיקוד בשטף הקריאה ובכישורי שפה"),"רמה א'",IF($AB1149="קוראים וכותבים מיומנים","רמה ג'","רמה ב'")))</f>
        <v/>
      </c>
      <c r="AD1149" s="32">
        <f>IF($AC1149="","",MID(IF(AND($AC1149="רמה א'",$AA1149="ניכרת"),"; להוסיף עבודת אוצר מילים","")&amp;IF($Z1149="אינה מפותחת","; דגש על הבעה בכתב","")&amp;IF($K1149&lt;&gt;"תקין","; נדרש לעבוד על ההנגנה","")&amp;IF($AK1149&lt;&gt;"","; "&amp;$AK1149,""),3,400))</f>
        <v/>
      </c>
      <c r="AE1149" s="32">
        <f>IF($F1149="","",IF($F1149="תחילת שנה",1,IF($F1149="מחצית שנה",2,3)))</f>
        <v/>
      </c>
      <c r="AF1149" s="32">
        <f>IF(OR($B1149="",$AC1149="",$A1149="",$F1149=""),"",$B1149&amp;"|"&amp;$A1149&amp;"|"&amp;$F1149&amp;"|"&amp;$AC1149&amp;"|"&amp;COUNTIFS($B$6:$B1149,$B1149,$A$6:$A1149,$A1149,$F$6:$F1149,$F1149,$AC$6:$AC1149,$AC1149))</f>
        <v/>
      </c>
      <c r="AG1149" s="32">
        <f>IF($C1149="","",$C1149&amp;"|"&amp;COUNTIFS($C$6:$C1149,$C1149))</f>
        <v/>
      </c>
      <c r="AH1149" s="32">
        <f>IF(OR($C1149="",$A1149="",$AE1149=""),"",$C1149&amp;"|"&amp;$A1149&amp;"|"&amp;$AE1149)</f>
        <v/>
      </c>
      <c r="AI1149" s="32">
        <f>IF(OR($C1149="",$AE1149="",$AE1149=1),"",IFERROR(INDEX($AC$6:$AC$1505,MATCH($C1149&amp;"|"&amp;$A1149&amp;"|"&amp;($AE1149-1),$AH$6:$AH$1505,0)),""))</f>
        <v/>
      </c>
      <c r="AJ1149" s="32">
        <f>IF(OR($AI1149="",$AC1149=""),"",IF($AI1149=$AC1149,"ללא שינוי","מ-"&amp;$AI1149&amp;" ל-"&amp;$AC1149))</f>
        <v/>
      </c>
      <c r="AK1149" s="67" t="n"/>
    </row>
    <row r="1150">
      <c r="A1150" s="65" t="n"/>
      <c r="B1150" s="65" t="n"/>
      <c r="C1150" s="66" t="n"/>
      <c r="D1150" s="66" t="n"/>
      <c r="E1150" s="65" t="n"/>
      <c r="F1150" s="65" t="n"/>
      <c r="G1150" s="65" t="n"/>
      <c r="H1150" s="65" t="n"/>
      <c r="I1150" s="65" t="n"/>
      <c r="J1150" s="65" t="n"/>
      <c r="K1150" s="65" t="n"/>
      <c r="L1150" s="65" t="n"/>
      <c r="M1150" s="65" t="n"/>
      <c r="N1150" s="65" t="n"/>
      <c r="O1150" s="65" t="n"/>
      <c r="P1150" s="65" t="n"/>
      <c r="Q1150" s="65" t="n"/>
      <c r="R1150" s="65" t="n"/>
      <c r="S1150" s="65" t="n"/>
      <c r="T1150" s="65" t="n"/>
      <c r="U1150" s="65" t="n"/>
      <c r="V1150" s="65" t="n"/>
      <c r="W1150" s="65" t="n"/>
      <c r="X1150" s="65" t="n"/>
      <c r="Y1150" s="32">
        <f>IF($C1150="","",IF(COUNTA($I1150:$K1150)&lt;3,"— חסרים נתונים",IF(AND($I1150="תקין",$J1150="תקין",$K1150="תקין"),"רהוטה",IF(AND($I1150="תקין",$J1150="תקין"),"מדויקת ורציפה","אינה מדויקת או מקוטעת"))))</f>
        <v/>
      </c>
      <c r="Z1150" s="32">
        <f>IF($C1150="","",IF(COUNTA($U1150:$W1150)&lt;3,"",IF(AND($U1150="מפותח",$V1150="מפותח",$W1150="מפותחת"),"מפותחת",IF((--($U1150="דל"))+(--($V1150="אינו מפותח"))+(--($W1150="דלה"))&gt;=2,"אינה מפותחת","חלקית"))))</f>
        <v/>
      </c>
      <c r="AA1150" s="32">
        <f>IF($C1150="","",IF(COUNTA($M1150,$N1150,$O1150)&lt;3,"— חסרים נתונים",IF(OR($M1150="נמוכה",(--($M1150&lt;&gt;"תקינה"))+(--($N1150&lt;&gt;"תקין"))+(--($O1150&lt;&gt;"תקינה"))&gt;=2),"ניכרת","אינה ניכרת")))</f>
        <v/>
      </c>
      <c r="AB1150" s="32">
        <f>IF(OR($C1150="",$Y1150="",$AA1150="",LEFT($Y1150,1)="—",LEFT($AA1150,1)="—"),"",IF($Z1150="","— נדרשת הערכת כתיבה",IF($L1150="","— חסרה הבנת הנקרא",IF($Y1150="אינה מדויקת או מקוטעת",IF($AA1150="ניכרת","מיקוד בשטף הקריאה ובכישורי שפה","מיקוד בשטף קריאה"),IF($AA1150="ניכרת","מיקוד בכישורי שפה",IF(AND($L1150="תקינה",$Z1150="מפותחת"),"קוראים וכותבים מיומנים","מיקוד בהבנה והבעה"))))))</f>
        <v/>
      </c>
      <c r="AC1150" s="32">
        <f>IF(OR($AB1150="",LEFT($AB1150,1)="—"),"",IF(OR($AB1150="מיקוד בשטף קריאה",$AB1150="מיקוד בשטף הקריאה ובכישורי שפה"),"רמה א'",IF($AB1150="קוראים וכותבים מיומנים","רמה ג'","רמה ב'")))</f>
        <v/>
      </c>
      <c r="AD1150" s="32">
        <f>IF($AC1150="","",MID(IF(AND($AC1150="רמה א'",$AA1150="ניכרת"),"; להוסיף עבודת אוצר מילים","")&amp;IF($Z1150="אינה מפותחת","; דגש על הבעה בכתב","")&amp;IF($K1150&lt;&gt;"תקין","; נדרש לעבוד על ההנגנה","")&amp;IF($AK1150&lt;&gt;"","; "&amp;$AK1150,""),3,400))</f>
        <v/>
      </c>
      <c r="AE1150" s="32">
        <f>IF($F1150="","",IF($F1150="תחילת שנה",1,IF($F1150="מחצית שנה",2,3)))</f>
        <v/>
      </c>
      <c r="AF1150" s="32">
        <f>IF(OR($B1150="",$AC1150="",$A1150="",$F1150=""),"",$B1150&amp;"|"&amp;$A1150&amp;"|"&amp;$F1150&amp;"|"&amp;$AC1150&amp;"|"&amp;COUNTIFS($B$6:$B1150,$B1150,$A$6:$A1150,$A1150,$F$6:$F1150,$F1150,$AC$6:$AC1150,$AC1150))</f>
        <v/>
      </c>
      <c r="AG1150" s="32">
        <f>IF($C1150="","",$C1150&amp;"|"&amp;COUNTIFS($C$6:$C1150,$C1150))</f>
        <v/>
      </c>
      <c r="AH1150" s="32">
        <f>IF(OR($C1150="",$A1150="",$AE1150=""),"",$C1150&amp;"|"&amp;$A1150&amp;"|"&amp;$AE1150)</f>
        <v/>
      </c>
      <c r="AI1150" s="32">
        <f>IF(OR($C1150="",$AE1150="",$AE1150=1),"",IFERROR(INDEX($AC$6:$AC$1505,MATCH($C1150&amp;"|"&amp;$A1150&amp;"|"&amp;($AE1150-1),$AH$6:$AH$1505,0)),""))</f>
        <v/>
      </c>
      <c r="AJ1150" s="32">
        <f>IF(OR($AI1150="",$AC1150=""),"",IF($AI1150=$AC1150,"ללא שינוי","מ-"&amp;$AI1150&amp;" ל-"&amp;$AC1150))</f>
        <v/>
      </c>
      <c r="AK1150" s="67" t="n"/>
    </row>
    <row r="1151">
      <c r="A1151" s="65" t="n"/>
      <c r="B1151" s="65" t="n"/>
      <c r="C1151" s="66" t="n"/>
      <c r="D1151" s="66" t="n"/>
      <c r="E1151" s="65" t="n"/>
      <c r="F1151" s="65" t="n"/>
      <c r="G1151" s="65" t="n"/>
      <c r="H1151" s="65" t="n"/>
      <c r="I1151" s="65" t="n"/>
      <c r="J1151" s="65" t="n"/>
      <c r="K1151" s="65" t="n"/>
      <c r="L1151" s="65" t="n"/>
      <c r="M1151" s="65" t="n"/>
      <c r="N1151" s="65" t="n"/>
      <c r="O1151" s="65" t="n"/>
      <c r="P1151" s="65" t="n"/>
      <c r="Q1151" s="65" t="n"/>
      <c r="R1151" s="65" t="n"/>
      <c r="S1151" s="65" t="n"/>
      <c r="T1151" s="65" t="n"/>
      <c r="U1151" s="65" t="n"/>
      <c r="V1151" s="65" t="n"/>
      <c r="W1151" s="65" t="n"/>
      <c r="X1151" s="65" t="n"/>
      <c r="Y1151" s="32">
        <f>IF($C1151="","",IF(COUNTA($I1151:$K1151)&lt;3,"— חסרים נתונים",IF(AND($I1151="תקין",$J1151="תקין",$K1151="תקין"),"רהוטה",IF(AND($I1151="תקין",$J1151="תקין"),"מדויקת ורציפה","אינה מדויקת או מקוטעת"))))</f>
        <v/>
      </c>
      <c r="Z1151" s="32">
        <f>IF($C1151="","",IF(COUNTA($U1151:$W1151)&lt;3,"",IF(AND($U1151="מפותח",$V1151="מפותח",$W1151="מפותחת"),"מפותחת",IF((--($U1151="דל"))+(--($V1151="אינו מפותח"))+(--($W1151="דלה"))&gt;=2,"אינה מפותחת","חלקית"))))</f>
        <v/>
      </c>
      <c r="AA1151" s="32">
        <f>IF($C1151="","",IF(COUNTA($M1151,$N1151,$O1151)&lt;3,"— חסרים נתונים",IF(OR($M1151="נמוכה",(--($M1151&lt;&gt;"תקינה"))+(--($N1151&lt;&gt;"תקין"))+(--($O1151&lt;&gt;"תקינה"))&gt;=2),"ניכרת","אינה ניכרת")))</f>
        <v/>
      </c>
      <c r="AB1151" s="32">
        <f>IF(OR($C1151="",$Y1151="",$AA1151="",LEFT($Y1151,1)="—",LEFT($AA1151,1)="—"),"",IF($Z1151="","— נדרשת הערכת כתיבה",IF($L1151="","— חסרה הבנת הנקרא",IF($Y1151="אינה מדויקת או מקוטעת",IF($AA1151="ניכרת","מיקוד בשטף הקריאה ובכישורי שפה","מיקוד בשטף קריאה"),IF($AA1151="ניכרת","מיקוד בכישורי שפה",IF(AND($L1151="תקינה",$Z1151="מפותחת"),"קוראים וכותבים מיומנים","מיקוד בהבנה והבעה"))))))</f>
        <v/>
      </c>
      <c r="AC1151" s="32">
        <f>IF(OR($AB1151="",LEFT($AB1151,1)="—"),"",IF(OR($AB1151="מיקוד בשטף קריאה",$AB1151="מיקוד בשטף הקריאה ובכישורי שפה"),"רמה א'",IF($AB1151="קוראים וכותבים מיומנים","רמה ג'","רמה ב'")))</f>
        <v/>
      </c>
      <c r="AD1151" s="32">
        <f>IF($AC1151="","",MID(IF(AND($AC1151="רמה א'",$AA1151="ניכרת"),"; להוסיף עבודת אוצר מילים","")&amp;IF($Z1151="אינה מפותחת","; דגש על הבעה בכתב","")&amp;IF($K1151&lt;&gt;"תקין","; נדרש לעבוד על ההנגנה","")&amp;IF($AK1151&lt;&gt;"","; "&amp;$AK1151,""),3,400))</f>
        <v/>
      </c>
      <c r="AE1151" s="32">
        <f>IF($F1151="","",IF($F1151="תחילת שנה",1,IF($F1151="מחצית שנה",2,3)))</f>
        <v/>
      </c>
      <c r="AF1151" s="32">
        <f>IF(OR($B1151="",$AC1151="",$A1151="",$F1151=""),"",$B1151&amp;"|"&amp;$A1151&amp;"|"&amp;$F1151&amp;"|"&amp;$AC1151&amp;"|"&amp;COUNTIFS($B$6:$B1151,$B1151,$A$6:$A1151,$A1151,$F$6:$F1151,$F1151,$AC$6:$AC1151,$AC1151))</f>
        <v/>
      </c>
      <c r="AG1151" s="32">
        <f>IF($C1151="","",$C1151&amp;"|"&amp;COUNTIFS($C$6:$C1151,$C1151))</f>
        <v/>
      </c>
      <c r="AH1151" s="32">
        <f>IF(OR($C1151="",$A1151="",$AE1151=""),"",$C1151&amp;"|"&amp;$A1151&amp;"|"&amp;$AE1151)</f>
        <v/>
      </c>
      <c r="AI1151" s="32">
        <f>IF(OR($C1151="",$AE1151="",$AE1151=1),"",IFERROR(INDEX($AC$6:$AC$1505,MATCH($C1151&amp;"|"&amp;$A1151&amp;"|"&amp;($AE1151-1),$AH$6:$AH$1505,0)),""))</f>
        <v/>
      </c>
      <c r="AJ1151" s="32">
        <f>IF(OR($AI1151="",$AC1151=""),"",IF($AI1151=$AC1151,"ללא שינוי","מ-"&amp;$AI1151&amp;" ל-"&amp;$AC1151))</f>
        <v/>
      </c>
      <c r="AK1151" s="67" t="n"/>
    </row>
    <row r="1152">
      <c r="A1152" s="65" t="n"/>
      <c r="B1152" s="65" t="n"/>
      <c r="C1152" s="66" t="n"/>
      <c r="D1152" s="66" t="n"/>
      <c r="E1152" s="65" t="n"/>
      <c r="F1152" s="65" t="n"/>
      <c r="G1152" s="65" t="n"/>
      <c r="H1152" s="65" t="n"/>
      <c r="I1152" s="65" t="n"/>
      <c r="J1152" s="65" t="n"/>
      <c r="K1152" s="65" t="n"/>
      <c r="L1152" s="65" t="n"/>
      <c r="M1152" s="65" t="n"/>
      <c r="N1152" s="65" t="n"/>
      <c r="O1152" s="65" t="n"/>
      <c r="P1152" s="65" t="n"/>
      <c r="Q1152" s="65" t="n"/>
      <c r="R1152" s="65" t="n"/>
      <c r="S1152" s="65" t="n"/>
      <c r="T1152" s="65" t="n"/>
      <c r="U1152" s="65" t="n"/>
      <c r="V1152" s="65" t="n"/>
      <c r="W1152" s="65" t="n"/>
      <c r="X1152" s="65" t="n"/>
      <c r="Y1152" s="32">
        <f>IF($C1152="","",IF(COUNTA($I1152:$K1152)&lt;3,"— חסרים נתונים",IF(AND($I1152="תקין",$J1152="תקין",$K1152="תקין"),"רהוטה",IF(AND($I1152="תקין",$J1152="תקין"),"מדויקת ורציפה","אינה מדויקת או מקוטעת"))))</f>
        <v/>
      </c>
      <c r="Z1152" s="32">
        <f>IF($C1152="","",IF(COUNTA($U1152:$W1152)&lt;3,"",IF(AND($U1152="מפותח",$V1152="מפותח",$W1152="מפותחת"),"מפותחת",IF((--($U1152="דל"))+(--($V1152="אינו מפותח"))+(--($W1152="דלה"))&gt;=2,"אינה מפותחת","חלקית"))))</f>
        <v/>
      </c>
      <c r="AA1152" s="32">
        <f>IF($C1152="","",IF(COUNTA($M1152,$N1152,$O1152)&lt;3,"— חסרים נתונים",IF(OR($M1152="נמוכה",(--($M1152&lt;&gt;"תקינה"))+(--($N1152&lt;&gt;"תקין"))+(--($O1152&lt;&gt;"תקינה"))&gt;=2),"ניכרת","אינה ניכרת")))</f>
        <v/>
      </c>
      <c r="AB1152" s="32">
        <f>IF(OR($C1152="",$Y1152="",$AA1152="",LEFT($Y1152,1)="—",LEFT($AA1152,1)="—"),"",IF($Z1152="","— נדרשת הערכת כתיבה",IF($L1152="","— חסרה הבנת הנקרא",IF($Y1152="אינה מדויקת או מקוטעת",IF($AA1152="ניכרת","מיקוד בשטף הקריאה ובכישורי שפה","מיקוד בשטף קריאה"),IF($AA1152="ניכרת","מיקוד בכישורי שפה",IF(AND($L1152="תקינה",$Z1152="מפותחת"),"קוראים וכותבים מיומנים","מיקוד בהבנה והבעה"))))))</f>
        <v/>
      </c>
      <c r="AC1152" s="32">
        <f>IF(OR($AB1152="",LEFT($AB1152,1)="—"),"",IF(OR($AB1152="מיקוד בשטף קריאה",$AB1152="מיקוד בשטף הקריאה ובכישורי שפה"),"רמה א'",IF($AB1152="קוראים וכותבים מיומנים","רמה ג'","רמה ב'")))</f>
        <v/>
      </c>
      <c r="AD1152" s="32">
        <f>IF($AC1152="","",MID(IF(AND($AC1152="רמה א'",$AA1152="ניכרת"),"; להוסיף עבודת אוצר מילים","")&amp;IF($Z1152="אינה מפותחת","; דגש על הבעה בכתב","")&amp;IF($K1152&lt;&gt;"תקין","; נדרש לעבוד על ההנגנה","")&amp;IF($AK1152&lt;&gt;"","; "&amp;$AK1152,""),3,400))</f>
        <v/>
      </c>
      <c r="AE1152" s="32">
        <f>IF($F1152="","",IF($F1152="תחילת שנה",1,IF($F1152="מחצית שנה",2,3)))</f>
        <v/>
      </c>
      <c r="AF1152" s="32">
        <f>IF(OR($B1152="",$AC1152="",$A1152="",$F1152=""),"",$B1152&amp;"|"&amp;$A1152&amp;"|"&amp;$F1152&amp;"|"&amp;$AC1152&amp;"|"&amp;COUNTIFS($B$6:$B1152,$B1152,$A$6:$A1152,$A1152,$F$6:$F1152,$F1152,$AC$6:$AC1152,$AC1152))</f>
        <v/>
      </c>
      <c r="AG1152" s="32">
        <f>IF($C1152="","",$C1152&amp;"|"&amp;COUNTIFS($C$6:$C1152,$C1152))</f>
        <v/>
      </c>
      <c r="AH1152" s="32">
        <f>IF(OR($C1152="",$A1152="",$AE1152=""),"",$C1152&amp;"|"&amp;$A1152&amp;"|"&amp;$AE1152)</f>
        <v/>
      </c>
      <c r="AI1152" s="32">
        <f>IF(OR($C1152="",$AE1152="",$AE1152=1),"",IFERROR(INDEX($AC$6:$AC$1505,MATCH($C1152&amp;"|"&amp;$A1152&amp;"|"&amp;($AE1152-1),$AH$6:$AH$1505,0)),""))</f>
        <v/>
      </c>
      <c r="AJ1152" s="32">
        <f>IF(OR($AI1152="",$AC1152=""),"",IF($AI1152=$AC1152,"ללא שינוי","מ-"&amp;$AI1152&amp;" ל-"&amp;$AC1152))</f>
        <v/>
      </c>
      <c r="AK1152" s="67" t="n"/>
    </row>
    <row r="1153">
      <c r="A1153" s="65" t="n"/>
      <c r="B1153" s="65" t="n"/>
      <c r="C1153" s="66" t="n"/>
      <c r="D1153" s="66" t="n"/>
      <c r="E1153" s="65" t="n"/>
      <c r="F1153" s="65" t="n"/>
      <c r="G1153" s="65" t="n"/>
      <c r="H1153" s="65" t="n"/>
      <c r="I1153" s="65" t="n"/>
      <c r="J1153" s="65" t="n"/>
      <c r="K1153" s="65" t="n"/>
      <c r="L1153" s="65" t="n"/>
      <c r="M1153" s="65" t="n"/>
      <c r="N1153" s="65" t="n"/>
      <c r="O1153" s="65" t="n"/>
      <c r="P1153" s="65" t="n"/>
      <c r="Q1153" s="65" t="n"/>
      <c r="R1153" s="65" t="n"/>
      <c r="S1153" s="65" t="n"/>
      <c r="T1153" s="65" t="n"/>
      <c r="U1153" s="65" t="n"/>
      <c r="V1153" s="65" t="n"/>
      <c r="W1153" s="65" t="n"/>
      <c r="X1153" s="65" t="n"/>
      <c r="Y1153" s="32">
        <f>IF($C1153="","",IF(COUNTA($I1153:$K1153)&lt;3,"— חסרים נתונים",IF(AND($I1153="תקין",$J1153="תקין",$K1153="תקין"),"רהוטה",IF(AND($I1153="תקין",$J1153="תקין"),"מדויקת ורציפה","אינה מדויקת או מקוטעת"))))</f>
        <v/>
      </c>
      <c r="Z1153" s="32">
        <f>IF($C1153="","",IF(COUNTA($U1153:$W1153)&lt;3,"",IF(AND($U1153="מפותח",$V1153="מפותח",$W1153="מפותחת"),"מפותחת",IF((--($U1153="דל"))+(--($V1153="אינו מפותח"))+(--($W1153="דלה"))&gt;=2,"אינה מפותחת","חלקית"))))</f>
        <v/>
      </c>
      <c r="AA1153" s="32">
        <f>IF($C1153="","",IF(COUNTA($M1153,$N1153,$O1153)&lt;3,"— חסרים נתונים",IF(OR($M1153="נמוכה",(--($M1153&lt;&gt;"תקינה"))+(--($N1153&lt;&gt;"תקין"))+(--($O1153&lt;&gt;"תקינה"))&gt;=2),"ניכרת","אינה ניכרת")))</f>
        <v/>
      </c>
      <c r="AB1153" s="32">
        <f>IF(OR($C1153="",$Y1153="",$AA1153="",LEFT($Y1153,1)="—",LEFT($AA1153,1)="—"),"",IF($Z1153="","— נדרשת הערכת כתיבה",IF($L1153="","— חסרה הבנת הנקרא",IF($Y1153="אינה מדויקת או מקוטעת",IF($AA1153="ניכרת","מיקוד בשטף הקריאה ובכישורי שפה","מיקוד בשטף קריאה"),IF($AA1153="ניכרת","מיקוד בכישורי שפה",IF(AND($L1153="תקינה",$Z1153="מפותחת"),"קוראים וכותבים מיומנים","מיקוד בהבנה והבעה"))))))</f>
        <v/>
      </c>
      <c r="AC1153" s="32">
        <f>IF(OR($AB1153="",LEFT($AB1153,1)="—"),"",IF(OR($AB1153="מיקוד בשטף קריאה",$AB1153="מיקוד בשטף הקריאה ובכישורי שפה"),"רמה א'",IF($AB1153="קוראים וכותבים מיומנים","רמה ג'","רמה ב'")))</f>
        <v/>
      </c>
      <c r="AD1153" s="32">
        <f>IF($AC1153="","",MID(IF(AND($AC1153="רמה א'",$AA1153="ניכרת"),"; להוסיף עבודת אוצר מילים","")&amp;IF($Z1153="אינה מפותחת","; דגש על הבעה בכתב","")&amp;IF($K1153&lt;&gt;"תקין","; נדרש לעבוד על ההנגנה","")&amp;IF($AK1153&lt;&gt;"","; "&amp;$AK1153,""),3,400))</f>
        <v/>
      </c>
      <c r="AE1153" s="32">
        <f>IF($F1153="","",IF($F1153="תחילת שנה",1,IF($F1153="מחצית שנה",2,3)))</f>
        <v/>
      </c>
      <c r="AF1153" s="32">
        <f>IF(OR($B1153="",$AC1153="",$A1153="",$F1153=""),"",$B1153&amp;"|"&amp;$A1153&amp;"|"&amp;$F1153&amp;"|"&amp;$AC1153&amp;"|"&amp;COUNTIFS($B$6:$B1153,$B1153,$A$6:$A1153,$A1153,$F$6:$F1153,$F1153,$AC$6:$AC1153,$AC1153))</f>
        <v/>
      </c>
      <c r="AG1153" s="32">
        <f>IF($C1153="","",$C1153&amp;"|"&amp;COUNTIFS($C$6:$C1153,$C1153))</f>
        <v/>
      </c>
      <c r="AH1153" s="32">
        <f>IF(OR($C1153="",$A1153="",$AE1153=""),"",$C1153&amp;"|"&amp;$A1153&amp;"|"&amp;$AE1153)</f>
        <v/>
      </c>
      <c r="AI1153" s="32">
        <f>IF(OR($C1153="",$AE1153="",$AE1153=1),"",IFERROR(INDEX($AC$6:$AC$1505,MATCH($C1153&amp;"|"&amp;$A1153&amp;"|"&amp;($AE1153-1),$AH$6:$AH$1505,0)),""))</f>
        <v/>
      </c>
      <c r="AJ1153" s="32">
        <f>IF(OR($AI1153="",$AC1153=""),"",IF($AI1153=$AC1153,"ללא שינוי","מ-"&amp;$AI1153&amp;" ל-"&amp;$AC1153))</f>
        <v/>
      </c>
      <c r="AK1153" s="67" t="n"/>
    </row>
    <row r="1154">
      <c r="A1154" s="65" t="n"/>
      <c r="B1154" s="65" t="n"/>
      <c r="C1154" s="66" t="n"/>
      <c r="D1154" s="66" t="n"/>
      <c r="E1154" s="65" t="n"/>
      <c r="F1154" s="65" t="n"/>
      <c r="G1154" s="65" t="n"/>
      <c r="H1154" s="65" t="n"/>
      <c r="I1154" s="65" t="n"/>
      <c r="J1154" s="65" t="n"/>
      <c r="K1154" s="65" t="n"/>
      <c r="L1154" s="65" t="n"/>
      <c r="M1154" s="65" t="n"/>
      <c r="N1154" s="65" t="n"/>
      <c r="O1154" s="65" t="n"/>
      <c r="P1154" s="65" t="n"/>
      <c r="Q1154" s="65" t="n"/>
      <c r="R1154" s="65" t="n"/>
      <c r="S1154" s="65" t="n"/>
      <c r="T1154" s="65" t="n"/>
      <c r="U1154" s="65" t="n"/>
      <c r="V1154" s="65" t="n"/>
      <c r="W1154" s="65" t="n"/>
      <c r="X1154" s="65" t="n"/>
      <c r="Y1154" s="32">
        <f>IF($C1154="","",IF(COUNTA($I1154:$K1154)&lt;3,"— חסרים נתונים",IF(AND($I1154="תקין",$J1154="תקין",$K1154="תקין"),"רהוטה",IF(AND($I1154="תקין",$J1154="תקין"),"מדויקת ורציפה","אינה מדויקת או מקוטעת"))))</f>
        <v/>
      </c>
      <c r="Z1154" s="32">
        <f>IF($C1154="","",IF(COUNTA($U1154:$W1154)&lt;3,"",IF(AND($U1154="מפותח",$V1154="מפותח",$W1154="מפותחת"),"מפותחת",IF((--($U1154="דל"))+(--($V1154="אינו מפותח"))+(--($W1154="דלה"))&gt;=2,"אינה מפותחת","חלקית"))))</f>
        <v/>
      </c>
      <c r="AA1154" s="32">
        <f>IF($C1154="","",IF(COUNTA($M1154,$N1154,$O1154)&lt;3,"— חסרים נתונים",IF(OR($M1154="נמוכה",(--($M1154&lt;&gt;"תקינה"))+(--($N1154&lt;&gt;"תקין"))+(--($O1154&lt;&gt;"תקינה"))&gt;=2),"ניכרת","אינה ניכרת")))</f>
        <v/>
      </c>
      <c r="AB1154" s="32">
        <f>IF(OR($C1154="",$Y1154="",$AA1154="",LEFT($Y1154,1)="—",LEFT($AA1154,1)="—"),"",IF($Z1154="","— נדרשת הערכת כתיבה",IF($L1154="","— חסרה הבנת הנקרא",IF($Y1154="אינה מדויקת או מקוטעת",IF($AA1154="ניכרת","מיקוד בשטף הקריאה ובכישורי שפה","מיקוד בשטף קריאה"),IF($AA1154="ניכרת","מיקוד בכישורי שפה",IF(AND($L1154="תקינה",$Z1154="מפותחת"),"קוראים וכותבים מיומנים","מיקוד בהבנה והבעה"))))))</f>
        <v/>
      </c>
      <c r="AC1154" s="32">
        <f>IF(OR($AB1154="",LEFT($AB1154,1)="—"),"",IF(OR($AB1154="מיקוד בשטף קריאה",$AB1154="מיקוד בשטף הקריאה ובכישורי שפה"),"רמה א'",IF($AB1154="קוראים וכותבים מיומנים","רמה ג'","רמה ב'")))</f>
        <v/>
      </c>
      <c r="AD1154" s="32">
        <f>IF($AC1154="","",MID(IF(AND($AC1154="רמה א'",$AA1154="ניכרת"),"; להוסיף עבודת אוצר מילים","")&amp;IF($Z1154="אינה מפותחת","; דגש על הבעה בכתב","")&amp;IF($K1154&lt;&gt;"תקין","; נדרש לעבוד על ההנגנה","")&amp;IF($AK1154&lt;&gt;"","; "&amp;$AK1154,""),3,400))</f>
        <v/>
      </c>
      <c r="AE1154" s="32">
        <f>IF($F1154="","",IF($F1154="תחילת שנה",1,IF($F1154="מחצית שנה",2,3)))</f>
        <v/>
      </c>
      <c r="AF1154" s="32">
        <f>IF(OR($B1154="",$AC1154="",$A1154="",$F1154=""),"",$B1154&amp;"|"&amp;$A1154&amp;"|"&amp;$F1154&amp;"|"&amp;$AC1154&amp;"|"&amp;COUNTIFS($B$6:$B1154,$B1154,$A$6:$A1154,$A1154,$F$6:$F1154,$F1154,$AC$6:$AC1154,$AC1154))</f>
        <v/>
      </c>
      <c r="AG1154" s="32">
        <f>IF($C1154="","",$C1154&amp;"|"&amp;COUNTIFS($C$6:$C1154,$C1154))</f>
        <v/>
      </c>
      <c r="AH1154" s="32">
        <f>IF(OR($C1154="",$A1154="",$AE1154=""),"",$C1154&amp;"|"&amp;$A1154&amp;"|"&amp;$AE1154)</f>
        <v/>
      </c>
      <c r="AI1154" s="32">
        <f>IF(OR($C1154="",$AE1154="",$AE1154=1),"",IFERROR(INDEX($AC$6:$AC$1505,MATCH($C1154&amp;"|"&amp;$A1154&amp;"|"&amp;($AE1154-1),$AH$6:$AH$1505,0)),""))</f>
        <v/>
      </c>
      <c r="AJ1154" s="32">
        <f>IF(OR($AI1154="",$AC1154=""),"",IF($AI1154=$AC1154,"ללא שינוי","מ-"&amp;$AI1154&amp;" ל-"&amp;$AC1154))</f>
        <v/>
      </c>
      <c r="AK1154" s="67" t="n"/>
    </row>
    <row r="1155">
      <c r="A1155" s="65" t="n"/>
      <c r="B1155" s="65" t="n"/>
      <c r="C1155" s="66" t="n"/>
      <c r="D1155" s="66" t="n"/>
      <c r="E1155" s="65" t="n"/>
      <c r="F1155" s="65" t="n"/>
      <c r="G1155" s="65" t="n"/>
      <c r="H1155" s="65" t="n"/>
      <c r="I1155" s="65" t="n"/>
      <c r="J1155" s="65" t="n"/>
      <c r="K1155" s="65" t="n"/>
      <c r="L1155" s="65" t="n"/>
      <c r="M1155" s="65" t="n"/>
      <c r="N1155" s="65" t="n"/>
      <c r="O1155" s="65" t="n"/>
      <c r="P1155" s="65" t="n"/>
      <c r="Q1155" s="65" t="n"/>
      <c r="R1155" s="65" t="n"/>
      <c r="S1155" s="65" t="n"/>
      <c r="T1155" s="65" t="n"/>
      <c r="U1155" s="65" t="n"/>
      <c r="V1155" s="65" t="n"/>
      <c r="W1155" s="65" t="n"/>
      <c r="X1155" s="65" t="n"/>
      <c r="Y1155" s="32">
        <f>IF($C1155="","",IF(COUNTA($I1155:$K1155)&lt;3,"— חסרים נתונים",IF(AND($I1155="תקין",$J1155="תקין",$K1155="תקין"),"רהוטה",IF(AND($I1155="תקין",$J1155="תקין"),"מדויקת ורציפה","אינה מדויקת או מקוטעת"))))</f>
        <v/>
      </c>
      <c r="Z1155" s="32">
        <f>IF($C1155="","",IF(COUNTA($U1155:$W1155)&lt;3,"",IF(AND($U1155="מפותח",$V1155="מפותח",$W1155="מפותחת"),"מפותחת",IF((--($U1155="דל"))+(--($V1155="אינו מפותח"))+(--($W1155="דלה"))&gt;=2,"אינה מפותחת","חלקית"))))</f>
        <v/>
      </c>
      <c r="AA1155" s="32">
        <f>IF($C1155="","",IF(COUNTA($M1155,$N1155,$O1155)&lt;3,"— חסרים נתונים",IF(OR($M1155="נמוכה",(--($M1155&lt;&gt;"תקינה"))+(--($N1155&lt;&gt;"תקין"))+(--($O1155&lt;&gt;"תקינה"))&gt;=2),"ניכרת","אינה ניכרת")))</f>
        <v/>
      </c>
      <c r="AB1155" s="32">
        <f>IF(OR($C1155="",$Y1155="",$AA1155="",LEFT($Y1155,1)="—",LEFT($AA1155,1)="—"),"",IF($Z1155="","— נדרשת הערכת כתיבה",IF($L1155="","— חסרה הבנת הנקרא",IF($Y1155="אינה מדויקת או מקוטעת",IF($AA1155="ניכרת","מיקוד בשטף הקריאה ובכישורי שפה","מיקוד בשטף קריאה"),IF($AA1155="ניכרת","מיקוד בכישורי שפה",IF(AND($L1155="תקינה",$Z1155="מפותחת"),"קוראים וכותבים מיומנים","מיקוד בהבנה והבעה"))))))</f>
        <v/>
      </c>
      <c r="AC1155" s="32">
        <f>IF(OR($AB1155="",LEFT($AB1155,1)="—"),"",IF(OR($AB1155="מיקוד בשטף קריאה",$AB1155="מיקוד בשטף הקריאה ובכישורי שפה"),"רמה א'",IF($AB1155="קוראים וכותבים מיומנים","רמה ג'","רמה ב'")))</f>
        <v/>
      </c>
      <c r="AD1155" s="32">
        <f>IF($AC1155="","",MID(IF(AND($AC1155="רמה א'",$AA1155="ניכרת"),"; להוסיף עבודת אוצר מילים","")&amp;IF($Z1155="אינה מפותחת","; דגש על הבעה בכתב","")&amp;IF($K1155&lt;&gt;"תקין","; נדרש לעבוד על ההנגנה","")&amp;IF($AK1155&lt;&gt;"","; "&amp;$AK1155,""),3,400))</f>
        <v/>
      </c>
      <c r="AE1155" s="32">
        <f>IF($F1155="","",IF($F1155="תחילת שנה",1,IF($F1155="מחצית שנה",2,3)))</f>
        <v/>
      </c>
      <c r="AF1155" s="32">
        <f>IF(OR($B1155="",$AC1155="",$A1155="",$F1155=""),"",$B1155&amp;"|"&amp;$A1155&amp;"|"&amp;$F1155&amp;"|"&amp;$AC1155&amp;"|"&amp;COUNTIFS($B$6:$B1155,$B1155,$A$6:$A1155,$A1155,$F$6:$F1155,$F1155,$AC$6:$AC1155,$AC1155))</f>
        <v/>
      </c>
      <c r="AG1155" s="32">
        <f>IF($C1155="","",$C1155&amp;"|"&amp;COUNTIFS($C$6:$C1155,$C1155))</f>
        <v/>
      </c>
      <c r="AH1155" s="32">
        <f>IF(OR($C1155="",$A1155="",$AE1155=""),"",$C1155&amp;"|"&amp;$A1155&amp;"|"&amp;$AE1155)</f>
        <v/>
      </c>
      <c r="AI1155" s="32">
        <f>IF(OR($C1155="",$AE1155="",$AE1155=1),"",IFERROR(INDEX($AC$6:$AC$1505,MATCH($C1155&amp;"|"&amp;$A1155&amp;"|"&amp;($AE1155-1),$AH$6:$AH$1505,0)),""))</f>
        <v/>
      </c>
      <c r="AJ1155" s="32">
        <f>IF(OR($AI1155="",$AC1155=""),"",IF($AI1155=$AC1155,"ללא שינוי","מ-"&amp;$AI1155&amp;" ל-"&amp;$AC1155))</f>
        <v/>
      </c>
      <c r="AK1155" s="67" t="n"/>
    </row>
    <row r="1156">
      <c r="A1156" s="65" t="n"/>
      <c r="B1156" s="65" t="n"/>
      <c r="C1156" s="66" t="n"/>
      <c r="D1156" s="66" t="n"/>
      <c r="E1156" s="65" t="n"/>
      <c r="F1156" s="65" t="n"/>
      <c r="G1156" s="65" t="n"/>
      <c r="H1156" s="65" t="n"/>
      <c r="I1156" s="65" t="n"/>
      <c r="J1156" s="65" t="n"/>
      <c r="K1156" s="65" t="n"/>
      <c r="L1156" s="65" t="n"/>
      <c r="M1156" s="65" t="n"/>
      <c r="N1156" s="65" t="n"/>
      <c r="O1156" s="65" t="n"/>
      <c r="P1156" s="65" t="n"/>
      <c r="Q1156" s="65" t="n"/>
      <c r="R1156" s="65" t="n"/>
      <c r="S1156" s="65" t="n"/>
      <c r="T1156" s="65" t="n"/>
      <c r="U1156" s="65" t="n"/>
      <c r="V1156" s="65" t="n"/>
      <c r="W1156" s="65" t="n"/>
      <c r="X1156" s="65" t="n"/>
      <c r="Y1156" s="32">
        <f>IF($C1156="","",IF(COUNTA($I1156:$K1156)&lt;3,"— חסרים נתונים",IF(AND($I1156="תקין",$J1156="תקין",$K1156="תקין"),"רהוטה",IF(AND($I1156="תקין",$J1156="תקין"),"מדויקת ורציפה","אינה מדויקת או מקוטעת"))))</f>
        <v/>
      </c>
      <c r="Z1156" s="32">
        <f>IF($C1156="","",IF(COUNTA($U1156:$W1156)&lt;3,"",IF(AND($U1156="מפותח",$V1156="מפותח",$W1156="מפותחת"),"מפותחת",IF((--($U1156="דל"))+(--($V1156="אינו מפותח"))+(--($W1156="דלה"))&gt;=2,"אינה מפותחת","חלקית"))))</f>
        <v/>
      </c>
      <c r="AA1156" s="32">
        <f>IF($C1156="","",IF(COUNTA($M1156,$N1156,$O1156)&lt;3,"— חסרים נתונים",IF(OR($M1156="נמוכה",(--($M1156&lt;&gt;"תקינה"))+(--($N1156&lt;&gt;"תקין"))+(--($O1156&lt;&gt;"תקינה"))&gt;=2),"ניכרת","אינה ניכרת")))</f>
        <v/>
      </c>
      <c r="AB1156" s="32">
        <f>IF(OR($C1156="",$Y1156="",$AA1156="",LEFT($Y1156,1)="—",LEFT($AA1156,1)="—"),"",IF($Z1156="","— נדרשת הערכת כתיבה",IF($L1156="","— חסרה הבנת הנקרא",IF($Y1156="אינה מדויקת או מקוטעת",IF($AA1156="ניכרת","מיקוד בשטף הקריאה ובכישורי שפה","מיקוד בשטף קריאה"),IF($AA1156="ניכרת","מיקוד בכישורי שפה",IF(AND($L1156="תקינה",$Z1156="מפותחת"),"קוראים וכותבים מיומנים","מיקוד בהבנה והבעה"))))))</f>
        <v/>
      </c>
      <c r="AC1156" s="32">
        <f>IF(OR($AB1156="",LEFT($AB1156,1)="—"),"",IF(OR($AB1156="מיקוד בשטף קריאה",$AB1156="מיקוד בשטף הקריאה ובכישורי שפה"),"רמה א'",IF($AB1156="קוראים וכותבים מיומנים","רמה ג'","רמה ב'")))</f>
        <v/>
      </c>
      <c r="AD1156" s="32">
        <f>IF($AC1156="","",MID(IF(AND($AC1156="רמה א'",$AA1156="ניכרת"),"; להוסיף עבודת אוצר מילים","")&amp;IF($Z1156="אינה מפותחת","; דגש על הבעה בכתב","")&amp;IF($K1156&lt;&gt;"תקין","; נדרש לעבוד על ההנגנה","")&amp;IF($AK1156&lt;&gt;"","; "&amp;$AK1156,""),3,400))</f>
        <v/>
      </c>
      <c r="AE1156" s="32">
        <f>IF($F1156="","",IF($F1156="תחילת שנה",1,IF($F1156="מחצית שנה",2,3)))</f>
        <v/>
      </c>
      <c r="AF1156" s="32">
        <f>IF(OR($B1156="",$AC1156="",$A1156="",$F1156=""),"",$B1156&amp;"|"&amp;$A1156&amp;"|"&amp;$F1156&amp;"|"&amp;$AC1156&amp;"|"&amp;COUNTIFS($B$6:$B1156,$B1156,$A$6:$A1156,$A1156,$F$6:$F1156,$F1156,$AC$6:$AC1156,$AC1156))</f>
        <v/>
      </c>
      <c r="AG1156" s="32">
        <f>IF($C1156="","",$C1156&amp;"|"&amp;COUNTIFS($C$6:$C1156,$C1156))</f>
        <v/>
      </c>
      <c r="AH1156" s="32">
        <f>IF(OR($C1156="",$A1156="",$AE1156=""),"",$C1156&amp;"|"&amp;$A1156&amp;"|"&amp;$AE1156)</f>
        <v/>
      </c>
      <c r="AI1156" s="32">
        <f>IF(OR($C1156="",$AE1156="",$AE1156=1),"",IFERROR(INDEX($AC$6:$AC$1505,MATCH($C1156&amp;"|"&amp;$A1156&amp;"|"&amp;($AE1156-1),$AH$6:$AH$1505,0)),""))</f>
        <v/>
      </c>
      <c r="AJ1156" s="32">
        <f>IF(OR($AI1156="",$AC1156=""),"",IF($AI1156=$AC1156,"ללא שינוי","מ-"&amp;$AI1156&amp;" ל-"&amp;$AC1156))</f>
        <v/>
      </c>
      <c r="AK1156" s="67" t="n"/>
    </row>
    <row r="1157">
      <c r="A1157" s="65" t="n"/>
      <c r="B1157" s="65" t="n"/>
      <c r="C1157" s="66" t="n"/>
      <c r="D1157" s="66" t="n"/>
      <c r="E1157" s="65" t="n"/>
      <c r="F1157" s="65" t="n"/>
      <c r="G1157" s="65" t="n"/>
      <c r="H1157" s="65" t="n"/>
      <c r="I1157" s="65" t="n"/>
      <c r="J1157" s="65" t="n"/>
      <c r="K1157" s="65" t="n"/>
      <c r="L1157" s="65" t="n"/>
      <c r="M1157" s="65" t="n"/>
      <c r="N1157" s="65" t="n"/>
      <c r="O1157" s="65" t="n"/>
      <c r="P1157" s="65" t="n"/>
      <c r="Q1157" s="65" t="n"/>
      <c r="R1157" s="65" t="n"/>
      <c r="S1157" s="65" t="n"/>
      <c r="T1157" s="65" t="n"/>
      <c r="U1157" s="65" t="n"/>
      <c r="V1157" s="65" t="n"/>
      <c r="W1157" s="65" t="n"/>
      <c r="X1157" s="65" t="n"/>
      <c r="Y1157" s="32">
        <f>IF($C1157="","",IF(COUNTA($I1157:$K1157)&lt;3,"— חסרים נתונים",IF(AND($I1157="תקין",$J1157="תקין",$K1157="תקין"),"רהוטה",IF(AND($I1157="תקין",$J1157="תקין"),"מדויקת ורציפה","אינה מדויקת או מקוטעת"))))</f>
        <v/>
      </c>
      <c r="Z1157" s="32">
        <f>IF($C1157="","",IF(COUNTA($U1157:$W1157)&lt;3,"",IF(AND($U1157="מפותח",$V1157="מפותח",$W1157="מפותחת"),"מפותחת",IF((--($U1157="דל"))+(--($V1157="אינו מפותח"))+(--($W1157="דלה"))&gt;=2,"אינה מפותחת","חלקית"))))</f>
        <v/>
      </c>
      <c r="AA1157" s="32">
        <f>IF($C1157="","",IF(COUNTA($M1157,$N1157,$O1157)&lt;3,"— חסרים נתונים",IF(OR($M1157="נמוכה",(--($M1157&lt;&gt;"תקינה"))+(--($N1157&lt;&gt;"תקין"))+(--($O1157&lt;&gt;"תקינה"))&gt;=2),"ניכרת","אינה ניכרת")))</f>
        <v/>
      </c>
      <c r="AB1157" s="32">
        <f>IF(OR($C1157="",$Y1157="",$AA1157="",LEFT($Y1157,1)="—",LEFT($AA1157,1)="—"),"",IF($Z1157="","— נדרשת הערכת כתיבה",IF($L1157="","— חסרה הבנת הנקרא",IF($Y1157="אינה מדויקת או מקוטעת",IF($AA1157="ניכרת","מיקוד בשטף הקריאה ובכישורי שפה","מיקוד בשטף קריאה"),IF($AA1157="ניכרת","מיקוד בכישורי שפה",IF(AND($L1157="תקינה",$Z1157="מפותחת"),"קוראים וכותבים מיומנים","מיקוד בהבנה והבעה"))))))</f>
        <v/>
      </c>
      <c r="AC1157" s="32">
        <f>IF(OR($AB1157="",LEFT($AB1157,1)="—"),"",IF(OR($AB1157="מיקוד בשטף קריאה",$AB1157="מיקוד בשטף הקריאה ובכישורי שפה"),"רמה א'",IF($AB1157="קוראים וכותבים מיומנים","רמה ג'","רמה ב'")))</f>
        <v/>
      </c>
      <c r="AD1157" s="32">
        <f>IF($AC1157="","",MID(IF(AND($AC1157="רמה א'",$AA1157="ניכרת"),"; להוסיף עבודת אוצר מילים","")&amp;IF($Z1157="אינה מפותחת","; דגש על הבעה בכתב","")&amp;IF($K1157&lt;&gt;"תקין","; נדרש לעבוד על ההנגנה","")&amp;IF($AK1157&lt;&gt;"","; "&amp;$AK1157,""),3,400))</f>
        <v/>
      </c>
      <c r="AE1157" s="32">
        <f>IF($F1157="","",IF($F1157="תחילת שנה",1,IF($F1157="מחצית שנה",2,3)))</f>
        <v/>
      </c>
      <c r="AF1157" s="32">
        <f>IF(OR($B1157="",$AC1157="",$A1157="",$F1157=""),"",$B1157&amp;"|"&amp;$A1157&amp;"|"&amp;$F1157&amp;"|"&amp;$AC1157&amp;"|"&amp;COUNTIFS($B$6:$B1157,$B1157,$A$6:$A1157,$A1157,$F$6:$F1157,$F1157,$AC$6:$AC1157,$AC1157))</f>
        <v/>
      </c>
      <c r="AG1157" s="32">
        <f>IF($C1157="","",$C1157&amp;"|"&amp;COUNTIFS($C$6:$C1157,$C1157))</f>
        <v/>
      </c>
      <c r="AH1157" s="32">
        <f>IF(OR($C1157="",$A1157="",$AE1157=""),"",$C1157&amp;"|"&amp;$A1157&amp;"|"&amp;$AE1157)</f>
        <v/>
      </c>
      <c r="AI1157" s="32">
        <f>IF(OR($C1157="",$AE1157="",$AE1157=1),"",IFERROR(INDEX($AC$6:$AC$1505,MATCH($C1157&amp;"|"&amp;$A1157&amp;"|"&amp;($AE1157-1),$AH$6:$AH$1505,0)),""))</f>
        <v/>
      </c>
      <c r="AJ1157" s="32">
        <f>IF(OR($AI1157="",$AC1157=""),"",IF($AI1157=$AC1157,"ללא שינוי","מ-"&amp;$AI1157&amp;" ל-"&amp;$AC1157))</f>
        <v/>
      </c>
      <c r="AK1157" s="67" t="n"/>
    </row>
    <row r="1158">
      <c r="A1158" s="65" t="n"/>
      <c r="B1158" s="65" t="n"/>
      <c r="C1158" s="66" t="n"/>
      <c r="D1158" s="66" t="n"/>
      <c r="E1158" s="65" t="n"/>
      <c r="F1158" s="65" t="n"/>
      <c r="G1158" s="65" t="n"/>
      <c r="H1158" s="65" t="n"/>
      <c r="I1158" s="65" t="n"/>
      <c r="J1158" s="65" t="n"/>
      <c r="K1158" s="65" t="n"/>
      <c r="L1158" s="65" t="n"/>
      <c r="M1158" s="65" t="n"/>
      <c r="N1158" s="65" t="n"/>
      <c r="O1158" s="65" t="n"/>
      <c r="P1158" s="65" t="n"/>
      <c r="Q1158" s="65" t="n"/>
      <c r="R1158" s="65" t="n"/>
      <c r="S1158" s="65" t="n"/>
      <c r="T1158" s="65" t="n"/>
      <c r="U1158" s="65" t="n"/>
      <c r="V1158" s="65" t="n"/>
      <c r="W1158" s="65" t="n"/>
      <c r="X1158" s="65" t="n"/>
      <c r="Y1158" s="32">
        <f>IF($C1158="","",IF(COUNTA($I1158:$K1158)&lt;3,"— חסרים נתונים",IF(AND($I1158="תקין",$J1158="תקין",$K1158="תקין"),"רהוטה",IF(AND($I1158="תקין",$J1158="תקין"),"מדויקת ורציפה","אינה מדויקת או מקוטעת"))))</f>
        <v/>
      </c>
      <c r="Z1158" s="32">
        <f>IF($C1158="","",IF(COUNTA($U1158:$W1158)&lt;3,"",IF(AND($U1158="מפותח",$V1158="מפותח",$W1158="מפותחת"),"מפותחת",IF((--($U1158="דל"))+(--($V1158="אינו מפותח"))+(--($W1158="דלה"))&gt;=2,"אינה מפותחת","חלקית"))))</f>
        <v/>
      </c>
      <c r="AA1158" s="32">
        <f>IF($C1158="","",IF(COUNTA($M1158,$N1158,$O1158)&lt;3,"— חסרים נתונים",IF(OR($M1158="נמוכה",(--($M1158&lt;&gt;"תקינה"))+(--($N1158&lt;&gt;"תקין"))+(--($O1158&lt;&gt;"תקינה"))&gt;=2),"ניכרת","אינה ניכרת")))</f>
        <v/>
      </c>
      <c r="AB1158" s="32">
        <f>IF(OR($C1158="",$Y1158="",$AA1158="",LEFT($Y1158,1)="—",LEFT($AA1158,1)="—"),"",IF($Z1158="","— נדרשת הערכת כתיבה",IF($L1158="","— חסרה הבנת הנקרא",IF($Y1158="אינה מדויקת או מקוטעת",IF($AA1158="ניכרת","מיקוד בשטף הקריאה ובכישורי שפה","מיקוד בשטף קריאה"),IF($AA1158="ניכרת","מיקוד בכישורי שפה",IF(AND($L1158="תקינה",$Z1158="מפותחת"),"קוראים וכותבים מיומנים","מיקוד בהבנה והבעה"))))))</f>
        <v/>
      </c>
      <c r="AC1158" s="32">
        <f>IF(OR($AB1158="",LEFT($AB1158,1)="—"),"",IF(OR($AB1158="מיקוד בשטף קריאה",$AB1158="מיקוד בשטף הקריאה ובכישורי שפה"),"רמה א'",IF($AB1158="קוראים וכותבים מיומנים","רמה ג'","רמה ב'")))</f>
        <v/>
      </c>
      <c r="AD1158" s="32">
        <f>IF($AC1158="","",MID(IF(AND($AC1158="רמה א'",$AA1158="ניכרת"),"; להוסיף עבודת אוצר מילים","")&amp;IF($Z1158="אינה מפותחת","; דגש על הבעה בכתב","")&amp;IF($K1158&lt;&gt;"תקין","; נדרש לעבוד על ההנגנה","")&amp;IF($AK1158&lt;&gt;"","; "&amp;$AK1158,""),3,400))</f>
        <v/>
      </c>
      <c r="AE1158" s="32">
        <f>IF($F1158="","",IF($F1158="תחילת שנה",1,IF($F1158="מחצית שנה",2,3)))</f>
        <v/>
      </c>
      <c r="AF1158" s="32">
        <f>IF(OR($B1158="",$AC1158="",$A1158="",$F1158=""),"",$B1158&amp;"|"&amp;$A1158&amp;"|"&amp;$F1158&amp;"|"&amp;$AC1158&amp;"|"&amp;COUNTIFS($B$6:$B1158,$B1158,$A$6:$A1158,$A1158,$F$6:$F1158,$F1158,$AC$6:$AC1158,$AC1158))</f>
        <v/>
      </c>
      <c r="AG1158" s="32">
        <f>IF($C1158="","",$C1158&amp;"|"&amp;COUNTIFS($C$6:$C1158,$C1158))</f>
        <v/>
      </c>
      <c r="AH1158" s="32">
        <f>IF(OR($C1158="",$A1158="",$AE1158=""),"",$C1158&amp;"|"&amp;$A1158&amp;"|"&amp;$AE1158)</f>
        <v/>
      </c>
      <c r="AI1158" s="32">
        <f>IF(OR($C1158="",$AE1158="",$AE1158=1),"",IFERROR(INDEX($AC$6:$AC$1505,MATCH($C1158&amp;"|"&amp;$A1158&amp;"|"&amp;($AE1158-1),$AH$6:$AH$1505,0)),""))</f>
        <v/>
      </c>
      <c r="AJ1158" s="32">
        <f>IF(OR($AI1158="",$AC1158=""),"",IF($AI1158=$AC1158,"ללא שינוי","מ-"&amp;$AI1158&amp;" ל-"&amp;$AC1158))</f>
        <v/>
      </c>
      <c r="AK1158" s="67" t="n"/>
    </row>
    <row r="1159">
      <c r="A1159" s="65" t="n"/>
      <c r="B1159" s="65" t="n"/>
      <c r="C1159" s="66" t="n"/>
      <c r="D1159" s="66" t="n"/>
      <c r="E1159" s="65" t="n"/>
      <c r="F1159" s="65" t="n"/>
      <c r="G1159" s="65" t="n"/>
      <c r="H1159" s="65" t="n"/>
      <c r="I1159" s="65" t="n"/>
      <c r="J1159" s="65" t="n"/>
      <c r="K1159" s="65" t="n"/>
      <c r="L1159" s="65" t="n"/>
      <c r="M1159" s="65" t="n"/>
      <c r="N1159" s="65" t="n"/>
      <c r="O1159" s="65" t="n"/>
      <c r="P1159" s="65" t="n"/>
      <c r="Q1159" s="65" t="n"/>
      <c r="R1159" s="65" t="n"/>
      <c r="S1159" s="65" t="n"/>
      <c r="T1159" s="65" t="n"/>
      <c r="U1159" s="65" t="n"/>
      <c r="V1159" s="65" t="n"/>
      <c r="W1159" s="65" t="n"/>
      <c r="X1159" s="65" t="n"/>
      <c r="Y1159" s="32">
        <f>IF($C1159="","",IF(COUNTA($I1159:$K1159)&lt;3,"— חסרים נתונים",IF(AND($I1159="תקין",$J1159="תקין",$K1159="תקין"),"רהוטה",IF(AND($I1159="תקין",$J1159="תקין"),"מדויקת ורציפה","אינה מדויקת או מקוטעת"))))</f>
        <v/>
      </c>
      <c r="Z1159" s="32">
        <f>IF($C1159="","",IF(COUNTA($U1159:$W1159)&lt;3,"",IF(AND($U1159="מפותח",$V1159="מפותח",$W1159="מפותחת"),"מפותחת",IF((--($U1159="דל"))+(--($V1159="אינו מפותח"))+(--($W1159="דלה"))&gt;=2,"אינה מפותחת","חלקית"))))</f>
        <v/>
      </c>
      <c r="AA1159" s="32">
        <f>IF($C1159="","",IF(COUNTA($M1159,$N1159,$O1159)&lt;3,"— חסרים נתונים",IF(OR($M1159="נמוכה",(--($M1159&lt;&gt;"תקינה"))+(--($N1159&lt;&gt;"תקין"))+(--($O1159&lt;&gt;"תקינה"))&gt;=2),"ניכרת","אינה ניכרת")))</f>
        <v/>
      </c>
      <c r="AB1159" s="32">
        <f>IF(OR($C1159="",$Y1159="",$AA1159="",LEFT($Y1159,1)="—",LEFT($AA1159,1)="—"),"",IF($Z1159="","— נדרשת הערכת כתיבה",IF($L1159="","— חסרה הבנת הנקרא",IF($Y1159="אינה מדויקת או מקוטעת",IF($AA1159="ניכרת","מיקוד בשטף הקריאה ובכישורי שפה","מיקוד בשטף קריאה"),IF($AA1159="ניכרת","מיקוד בכישורי שפה",IF(AND($L1159="תקינה",$Z1159="מפותחת"),"קוראים וכותבים מיומנים","מיקוד בהבנה והבעה"))))))</f>
        <v/>
      </c>
      <c r="AC1159" s="32">
        <f>IF(OR($AB1159="",LEFT($AB1159,1)="—"),"",IF(OR($AB1159="מיקוד בשטף קריאה",$AB1159="מיקוד בשטף הקריאה ובכישורי שפה"),"רמה א'",IF($AB1159="קוראים וכותבים מיומנים","רמה ג'","רמה ב'")))</f>
        <v/>
      </c>
      <c r="AD1159" s="32">
        <f>IF($AC1159="","",MID(IF(AND($AC1159="רמה א'",$AA1159="ניכרת"),"; להוסיף עבודת אוצר מילים","")&amp;IF($Z1159="אינה מפותחת","; דגש על הבעה בכתב","")&amp;IF($K1159&lt;&gt;"תקין","; נדרש לעבוד על ההנגנה","")&amp;IF($AK1159&lt;&gt;"","; "&amp;$AK1159,""),3,400))</f>
        <v/>
      </c>
      <c r="AE1159" s="32">
        <f>IF($F1159="","",IF($F1159="תחילת שנה",1,IF($F1159="מחצית שנה",2,3)))</f>
        <v/>
      </c>
      <c r="AF1159" s="32">
        <f>IF(OR($B1159="",$AC1159="",$A1159="",$F1159=""),"",$B1159&amp;"|"&amp;$A1159&amp;"|"&amp;$F1159&amp;"|"&amp;$AC1159&amp;"|"&amp;COUNTIFS($B$6:$B1159,$B1159,$A$6:$A1159,$A1159,$F$6:$F1159,$F1159,$AC$6:$AC1159,$AC1159))</f>
        <v/>
      </c>
      <c r="AG1159" s="32">
        <f>IF($C1159="","",$C1159&amp;"|"&amp;COUNTIFS($C$6:$C1159,$C1159))</f>
        <v/>
      </c>
      <c r="AH1159" s="32">
        <f>IF(OR($C1159="",$A1159="",$AE1159=""),"",$C1159&amp;"|"&amp;$A1159&amp;"|"&amp;$AE1159)</f>
        <v/>
      </c>
      <c r="AI1159" s="32">
        <f>IF(OR($C1159="",$AE1159="",$AE1159=1),"",IFERROR(INDEX($AC$6:$AC$1505,MATCH($C1159&amp;"|"&amp;$A1159&amp;"|"&amp;($AE1159-1),$AH$6:$AH$1505,0)),""))</f>
        <v/>
      </c>
      <c r="AJ1159" s="32">
        <f>IF(OR($AI1159="",$AC1159=""),"",IF($AI1159=$AC1159,"ללא שינוי","מ-"&amp;$AI1159&amp;" ל-"&amp;$AC1159))</f>
        <v/>
      </c>
      <c r="AK1159" s="67" t="n"/>
    </row>
    <row r="1160">
      <c r="A1160" s="65" t="n"/>
      <c r="B1160" s="65" t="n"/>
      <c r="C1160" s="66" t="n"/>
      <c r="D1160" s="66" t="n"/>
      <c r="E1160" s="65" t="n"/>
      <c r="F1160" s="65" t="n"/>
      <c r="G1160" s="65" t="n"/>
      <c r="H1160" s="65" t="n"/>
      <c r="I1160" s="65" t="n"/>
      <c r="J1160" s="65" t="n"/>
      <c r="K1160" s="65" t="n"/>
      <c r="L1160" s="65" t="n"/>
      <c r="M1160" s="65" t="n"/>
      <c r="N1160" s="65" t="n"/>
      <c r="O1160" s="65" t="n"/>
      <c r="P1160" s="65" t="n"/>
      <c r="Q1160" s="65" t="n"/>
      <c r="R1160" s="65" t="n"/>
      <c r="S1160" s="65" t="n"/>
      <c r="T1160" s="65" t="n"/>
      <c r="U1160" s="65" t="n"/>
      <c r="V1160" s="65" t="n"/>
      <c r="W1160" s="65" t="n"/>
      <c r="X1160" s="65" t="n"/>
      <c r="Y1160" s="32">
        <f>IF($C1160="","",IF(COUNTA($I1160:$K1160)&lt;3,"— חסרים נתונים",IF(AND($I1160="תקין",$J1160="תקין",$K1160="תקין"),"רהוטה",IF(AND($I1160="תקין",$J1160="תקין"),"מדויקת ורציפה","אינה מדויקת או מקוטעת"))))</f>
        <v/>
      </c>
      <c r="Z1160" s="32">
        <f>IF($C1160="","",IF(COUNTA($U1160:$W1160)&lt;3,"",IF(AND($U1160="מפותח",$V1160="מפותח",$W1160="מפותחת"),"מפותחת",IF((--($U1160="דל"))+(--($V1160="אינו מפותח"))+(--($W1160="דלה"))&gt;=2,"אינה מפותחת","חלקית"))))</f>
        <v/>
      </c>
      <c r="AA1160" s="32">
        <f>IF($C1160="","",IF(COUNTA($M1160,$N1160,$O1160)&lt;3,"— חסרים נתונים",IF(OR($M1160="נמוכה",(--($M1160&lt;&gt;"תקינה"))+(--($N1160&lt;&gt;"תקין"))+(--($O1160&lt;&gt;"תקינה"))&gt;=2),"ניכרת","אינה ניכרת")))</f>
        <v/>
      </c>
      <c r="AB1160" s="32">
        <f>IF(OR($C1160="",$Y1160="",$AA1160="",LEFT($Y1160,1)="—",LEFT($AA1160,1)="—"),"",IF($Z1160="","— נדרשת הערכת כתיבה",IF($L1160="","— חסרה הבנת הנקרא",IF($Y1160="אינה מדויקת או מקוטעת",IF($AA1160="ניכרת","מיקוד בשטף הקריאה ובכישורי שפה","מיקוד בשטף קריאה"),IF($AA1160="ניכרת","מיקוד בכישורי שפה",IF(AND($L1160="תקינה",$Z1160="מפותחת"),"קוראים וכותבים מיומנים","מיקוד בהבנה והבעה"))))))</f>
        <v/>
      </c>
      <c r="AC1160" s="32">
        <f>IF(OR($AB1160="",LEFT($AB1160,1)="—"),"",IF(OR($AB1160="מיקוד בשטף קריאה",$AB1160="מיקוד בשטף הקריאה ובכישורי שפה"),"רמה א'",IF($AB1160="קוראים וכותבים מיומנים","רמה ג'","רמה ב'")))</f>
        <v/>
      </c>
      <c r="AD1160" s="32">
        <f>IF($AC1160="","",MID(IF(AND($AC1160="רמה א'",$AA1160="ניכרת"),"; להוסיף עבודת אוצר מילים","")&amp;IF($Z1160="אינה מפותחת","; דגש על הבעה בכתב","")&amp;IF($K1160&lt;&gt;"תקין","; נדרש לעבוד על ההנגנה","")&amp;IF($AK1160&lt;&gt;"","; "&amp;$AK1160,""),3,400))</f>
        <v/>
      </c>
      <c r="AE1160" s="32">
        <f>IF($F1160="","",IF($F1160="תחילת שנה",1,IF($F1160="מחצית שנה",2,3)))</f>
        <v/>
      </c>
      <c r="AF1160" s="32">
        <f>IF(OR($B1160="",$AC1160="",$A1160="",$F1160=""),"",$B1160&amp;"|"&amp;$A1160&amp;"|"&amp;$F1160&amp;"|"&amp;$AC1160&amp;"|"&amp;COUNTIFS($B$6:$B1160,$B1160,$A$6:$A1160,$A1160,$F$6:$F1160,$F1160,$AC$6:$AC1160,$AC1160))</f>
        <v/>
      </c>
      <c r="AG1160" s="32">
        <f>IF($C1160="","",$C1160&amp;"|"&amp;COUNTIFS($C$6:$C1160,$C1160))</f>
        <v/>
      </c>
      <c r="AH1160" s="32">
        <f>IF(OR($C1160="",$A1160="",$AE1160=""),"",$C1160&amp;"|"&amp;$A1160&amp;"|"&amp;$AE1160)</f>
        <v/>
      </c>
      <c r="AI1160" s="32">
        <f>IF(OR($C1160="",$AE1160="",$AE1160=1),"",IFERROR(INDEX($AC$6:$AC$1505,MATCH($C1160&amp;"|"&amp;$A1160&amp;"|"&amp;($AE1160-1),$AH$6:$AH$1505,0)),""))</f>
        <v/>
      </c>
      <c r="AJ1160" s="32">
        <f>IF(OR($AI1160="",$AC1160=""),"",IF($AI1160=$AC1160,"ללא שינוי","מ-"&amp;$AI1160&amp;" ל-"&amp;$AC1160))</f>
        <v/>
      </c>
      <c r="AK1160" s="67" t="n"/>
    </row>
    <row r="1161">
      <c r="A1161" s="65" t="n"/>
      <c r="B1161" s="65" t="n"/>
      <c r="C1161" s="66" t="n"/>
      <c r="D1161" s="66" t="n"/>
      <c r="E1161" s="65" t="n"/>
      <c r="F1161" s="65" t="n"/>
      <c r="G1161" s="65" t="n"/>
      <c r="H1161" s="65" t="n"/>
      <c r="I1161" s="65" t="n"/>
      <c r="J1161" s="65" t="n"/>
      <c r="K1161" s="65" t="n"/>
      <c r="L1161" s="65" t="n"/>
      <c r="M1161" s="65" t="n"/>
      <c r="N1161" s="65" t="n"/>
      <c r="O1161" s="65" t="n"/>
      <c r="P1161" s="65" t="n"/>
      <c r="Q1161" s="65" t="n"/>
      <c r="R1161" s="65" t="n"/>
      <c r="S1161" s="65" t="n"/>
      <c r="T1161" s="65" t="n"/>
      <c r="U1161" s="65" t="n"/>
      <c r="V1161" s="65" t="n"/>
      <c r="W1161" s="65" t="n"/>
      <c r="X1161" s="65" t="n"/>
      <c r="Y1161" s="32">
        <f>IF($C1161="","",IF(COUNTA($I1161:$K1161)&lt;3,"— חסרים נתונים",IF(AND($I1161="תקין",$J1161="תקין",$K1161="תקין"),"רהוטה",IF(AND($I1161="תקין",$J1161="תקין"),"מדויקת ורציפה","אינה מדויקת או מקוטעת"))))</f>
        <v/>
      </c>
      <c r="Z1161" s="32">
        <f>IF($C1161="","",IF(COUNTA($U1161:$W1161)&lt;3,"",IF(AND($U1161="מפותח",$V1161="מפותח",$W1161="מפותחת"),"מפותחת",IF((--($U1161="דל"))+(--($V1161="אינו מפותח"))+(--($W1161="דלה"))&gt;=2,"אינה מפותחת","חלקית"))))</f>
        <v/>
      </c>
      <c r="AA1161" s="32">
        <f>IF($C1161="","",IF(COUNTA($M1161,$N1161,$O1161)&lt;3,"— חסרים נתונים",IF(OR($M1161="נמוכה",(--($M1161&lt;&gt;"תקינה"))+(--($N1161&lt;&gt;"תקין"))+(--($O1161&lt;&gt;"תקינה"))&gt;=2),"ניכרת","אינה ניכרת")))</f>
        <v/>
      </c>
      <c r="AB1161" s="32">
        <f>IF(OR($C1161="",$Y1161="",$AA1161="",LEFT($Y1161,1)="—",LEFT($AA1161,1)="—"),"",IF($Z1161="","— נדרשת הערכת כתיבה",IF($L1161="","— חסרה הבנת הנקרא",IF($Y1161="אינה מדויקת או מקוטעת",IF($AA1161="ניכרת","מיקוד בשטף הקריאה ובכישורי שפה","מיקוד בשטף קריאה"),IF($AA1161="ניכרת","מיקוד בכישורי שפה",IF(AND($L1161="תקינה",$Z1161="מפותחת"),"קוראים וכותבים מיומנים","מיקוד בהבנה והבעה"))))))</f>
        <v/>
      </c>
      <c r="AC1161" s="32">
        <f>IF(OR($AB1161="",LEFT($AB1161,1)="—"),"",IF(OR($AB1161="מיקוד בשטף קריאה",$AB1161="מיקוד בשטף הקריאה ובכישורי שפה"),"רמה א'",IF($AB1161="קוראים וכותבים מיומנים","רמה ג'","רמה ב'")))</f>
        <v/>
      </c>
      <c r="AD1161" s="32">
        <f>IF($AC1161="","",MID(IF(AND($AC1161="רמה א'",$AA1161="ניכרת"),"; להוסיף עבודת אוצר מילים","")&amp;IF($Z1161="אינה מפותחת","; דגש על הבעה בכתב","")&amp;IF($K1161&lt;&gt;"תקין","; נדרש לעבוד על ההנגנה","")&amp;IF($AK1161&lt;&gt;"","; "&amp;$AK1161,""),3,400))</f>
        <v/>
      </c>
      <c r="AE1161" s="32">
        <f>IF($F1161="","",IF($F1161="תחילת שנה",1,IF($F1161="מחצית שנה",2,3)))</f>
        <v/>
      </c>
      <c r="AF1161" s="32">
        <f>IF(OR($B1161="",$AC1161="",$A1161="",$F1161=""),"",$B1161&amp;"|"&amp;$A1161&amp;"|"&amp;$F1161&amp;"|"&amp;$AC1161&amp;"|"&amp;COUNTIFS($B$6:$B1161,$B1161,$A$6:$A1161,$A1161,$F$6:$F1161,$F1161,$AC$6:$AC1161,$AC1161))</f>
        <v/>
      </c>
      <c r="AG1161" s="32">
        <f>IF($C1161="","",$C1161&amp;"|"&amp;COUNTIFS($C$6:$C1161,$C1161))</f>
        <v/>
      </c>
      <c r="AH1161" s="32">
        <f>IF(OR($C1161="",$A1161="",$AE1161=""),"",$C1161&amp;"|"&amp;$A1161&amp;"|"&amp;$AE1161)</f>
        <v/>
      </c>
      <c r="AI1161" s="32">
        <f>IF(OR($C1161="",$AE1161="",$AE1161=1),"",IFERROR(INDEX($AC$6:$AC$1505,MATCH($C1161&amp;"|"&amp;$A1161&amp;"|"&amp;($AE1161-1),$AH$6:$AH$1505,0)),""))</f>
        <v/>
      </c>
      <c r="AJ1161" s="32">
        <f>IF(OR($AI1161="",$AC1161=""),"",IF($AI1161=$AC1161,"ללא שינוי","מ-"&amp;$AI1161&amp;" ל-"&amp;$AC1161))</f>
        <v/>
      </c>
      <c r="AK1161" s="67" t="n"/>
    </row>
    <row r="1162">
      <c r="A1162" s="65" t="n"/>
      <c r="B1162" s="65" t="n"/>
      <c r="C1162" s="66" t="n"/>
      <c r="D1162" s="66" t="n"/>
      <c r="E1162" s="65" t="n"/>
      <c r="F1162" s="65" t="n"/>
      <c r="G1162" s="65" t="n"/>
      <c r="H1162" s="65" t="n"/>
      <c r="I1162" s="65" t="n"/>
      <c r="J1162" s="65" t="n"/>
      <c r="K1162" s="65" t="n"/>
      <c r="L1162" s="65" t="n"/>
      <c r="M1162" s="65" t="n"/>
      <c r="N1162" s="65" t="n"/>
      <c r="O1162" s="65" t="n"/>
      <c r="P1162" s="65" t="n"/>
      <c r="Q1162" s="65" t="n"/>
      <c r="R1162" s="65" t="n"/>
      <c r="S1162" s="65" t="n"/>
      <c r="T1162" s="65" t="n"/>
      <c r="U1162" s="65" t="n"/>
      <c r="V1162" s="65" t="n"/>
      <c r="W1162" s="65" t="n"/>
      <c r="X1162" s="65" t="n"/>
      <c r="Y1162" s="32">
        <f>IF($C1162="","",IF(COUNTA($I1162:$K1162)&lt;3,"— חסרים נתונים",IF(AND($I1162="תקין",$J1162="תקין",$K1162="תקין"),"רהוטה",IF(AND($I1162="תקין",$J1162="תקין"),"מדויקת ורציפה","אינה מדויקת או מקוטעת"))))</f>
        <v/>
      </c>
      <c r="Z1162" s="32">
        <f>IF($C1162="","",IF(COUNTA($U1162:$W1162)&lt;3,"",IF(AND($U1162="מפותח",$V1162="מפותח",$W1162="מפותחת"),"מפותחת",IF((--($U1162="דל"))+(--($V1162="אינו מפותח"))+(--($W1162="דלה"))&gt;=2,"אינה מפותחת","חלקית"))))</f>
        <v/>
      </c>
      <c r="AA1162" s="32">
        <f>IF($C1162="","",IF(COUNTA($M1162,$N1162,$O1162)&lt;3,"— חסרים נתונים",IF(OR($M1162="נמוכה",(--($M1162&lt;&gt;"תקינה"))+(--($N1162&lt;&gt;"תקין"))+(--($O1162&lt;&gt;"תקינה"))&gt;=2),"ניכרת","אינה ניכרת")))</f>
        <v/>
      </c>
      <c r="AB1162" s="32">
        <f>IF(OR($C1162="",$Y1162="",$AA1162="",LEFT($Y1162,1)="—",LEFT($AA1162,1)="—"),"",IF($Z1162="","— נדרשת הערכת כתיבה",IF($L1162="","— חסרה הבנת הנקרא",IF($Y1162="אינה מדויקת או מקוטעת",IF($AA1162="ניכרת","מיקוד בשטף הקריאה ובכישורי שפה","מיקוד בשטף קריאה"),IF($AA1162="ניכרת","מיקוד בכישורי שפה",IF(AND($L1162="תקינה",$Z1162="מפותחת"),"קוראים וכותבים מיומנים","מיקוד בהבנה והבעה"))))))</f>
        <v/>
      </c>
      <c r="AC1162" s="32">
        <f>IF(OR($AB1162="",LEFT($AB1162,1)="—"),"",IF(OR($AB1162="מיקוד בשטף קריאה",$AB1162="מיקוד בשטף הקריאה ובכישורי שפה"),"רמה א'",IF($AB1162="קוראים וכותבים מיומנים","רמה ג'","רמה ב'")))</f>
        <v/>
      </c>
      <c r="AD1162" s="32">
        <f>IF($AC1162="","",MID(IF(AND($AC1162="רמה א'",$AA1162="ניכרת"),"; להוסיף עבודת אוצר מילים","")&amp;IF($Z1162="אינה מפותחת","; דגש על הבעה בכתב","")&amp;IF($K1162&lt;&gt;"תקין","; נדרש לעבוד על ההנגנה","")&amp;IF($AK1162&lt;&gt;"","; "&amp;$AK1162,""),3,400))</f>
        <v/>
      </c>
      <c r="AE1162" s="32">
        <f>IF($F1162="","",IF($F1162="תחילת שנה",1,IF($F1162="מחצית שנה",2,3)))</f>
        <v/>
      </c>
      <c r="AF1162" s="32">
        <f>IF(OR($B1162="",$AC1162="",$A1162="",$F1162=""),"",$B1162&amp;"|"&amp;$A1162&amp;"|"&amp;$F1162&amp;"|"&amp;$AC1162&amp;"|"&amp;COUNTIFS($B$6:$B1162,$B1162,$A$6:$A1162,$A1162,$F$6:$F1162,$F1162,$AC$6:$AC1162,$AC1162))</f>
        <v/>
      </c>
      <c r="AG1162" s="32">
        <f>IF($C1162="","",$C1162&amp;"|"&amp;COUNTIFS($C$6:$C1162,$C1162))</f>
        <v/>
      </c>
      <c r="AH1162" s="32">
        <f>IF(OR($C1162="",$A1162="",$AE1162=""),"",$C1162&amp;"|"&amp;$A1162&amp;"|"&amp;$AE1162)</f>
        <v/>
      </c>
      <c r="AI1162" s="32">
        <f>IF(OR($C1162="",$AE1162="",$AE1162=1),"",IFERROR(INDEX($AC$6:$AC$1505,MATCH($C1162&amp;"|"&amp;$A1162&amp;"|"&amp;($AE1162-1),$AH$6:$AH$1505,0)),""))</f>
        <v/>
      </c>
      <c r="AJ1162" s="32">
        <f>IF(OR($AI1162="",$AC1162=""),"",IF($AI1162=$AC1162,"ללא שינוי","מ-"&amp;$AI1162&amp;" ל-"&amp;$AC1162))</f>
        <v/>
      </c>
      <c r="AK1162" s="67" t="n"/>
    </row>
    <row r="1163">
      <c r="A1163" s="65" t="n"/>
      <c r="B1163" s="65" t="n"/>
      <c r="C1163" s="66" t="n"/>
      <c r="D1163" s="66" t="n"/>
      <c r="E1163" s="65" t="n"/>
      <c r="F1163" s="65" t="n"/>
      <c r="G1163" s="65" t="n"/>
      <c r="H1163" s="65" t="n"/>
      <c r="I1163" s="65" t="n"/>
      <c r="J1163" s="65" t="n"/>
      <c r="K1163" s="65" t="n"/>
      <c r="L1163" s="65" t="n"/>
      <c r="M1163" s="65" t="n"/>
      <c r="N1163" s="65" t="n"/>
      <c r="O1163" s="65" t="n"/>
      <c r="P1163" s="65" t="n"/>
      <c r="Q1163" s="65" t="n"/>
      <c r="R1163" s="65" t="n"/>
      <c r="S1163" s="65" t="n"/>
      <c r="T1163" s="65" t="n"/>
      <c r="U1163" s="65" t="n"/>
      <c r="V1163" s="65" t="n"/>
      <c r="W1163" s="65" t="n"/>
      <c r="X1163" s="65" t="n"/>
      <c r="Y1163" s="32">
        <f>IF($C1163="","",IF(COUNTA($I1163:$K1163)&lt;3,"— חסרים נתונים",IF(AND($I1163="תקין",$J1163="תקין",$K1163="תקין"),"רהוטה",IF(AND($I1163="תקין",$J1163="תקין"),"מדויקת ורציפה","אינה מדויקת או מקוטעת"))))</f>
        <v/>
      </c>
      <c r="Z1163" s="32">
        <f>IF($C1163="","",IF(COUNTA($U1163:$W1163)&lt;3,"",IF(AND($U1163="מפותח",$V1163="מפותח",$W1163="מפותחת"),"מפותחת",IF((--($U1163="דל"))+(--($V1163="אינו מפותח"))+(--($W1163="דלה"))&gt;=2,"אינה מפותחת","חלקית"))))</f>
        <v/>
      </c>
      <c r="AA1163" s="32">
        <f>IF($C1163="","",IF(COUNTA($M1163,$N1163,$O1163)&lt;3,"— חסרים נתונים",IF(OR($M1163="נמוכה",(--($M1163&lt;&gt;"תקינה"))+(--($N1163&lt;&gt;"תקין"))+(--($O1163&lt;&gt;"תקינה"))&gt;=2),"ניכרת","אינה ניכרת")))</f>
        <v/>
      </c>
      <c r="AB1163" s="32">
        <f>IF(OR($C1163="",$Y1163="",$AA1163="",LEFT($Y1163,1)="—",LEFT($AA1163,1)="—"),"",IF($Z1163="","— נדרשת הערכת כתיבה",IF($L1163="","— חסרה הבנת הנקרא",IF($Y1163="אינה מדויקת או מקוטעת",IF($AA1163="ניכרת","מיקוד בשטף הקריאה ובכישורי שפה","מיקוד בשטף קריאה"),IF($AA1163="ניכרת","מיקוד בכישורי שפה",IF(AND($L1163="תקינה",$Z1163="מפותחת"),"קוראים וכותבים מיומנים","מיקוד בהבנה והבעה"))))))</f>
        <v/>
      </c>
      <c r="AC1163" s="32">
        <f>IF(OR($AB1163="",LEFT($AB1163,1)="—"),"",IF(OR($AB1163="מיקוד בשטף קריאה",$AB1163="מיקוד בשטף הקריאה ובכישורי שפה"),"רמה א'",IF($AB1163="קוראים וכותבים מיומנים","רמה ג'","רמה ב'")))</f>
        <v/>
      </c>
      <c r="AD1163" s="32">
        <f>IF($AC1163="","",MID(IF(AND($AC1163="רמה א'",$AA1163="ניכרת"),"; להוסיף עבודת אוצר מילים","")&amp;IF($Z1163="אינה מפותחת","; דגש על הבעה בכתב","")&amp;IF($K1163&lt;&gt;"תקין","; נדרש לעבוד על ההנגנה","")&amp;IF($AK1163&lt;&gt;"","; "&amp;$AK1163,""),3,400))</f>
        <v/>
      </c>
      <c r="AE1163" s="32">
        <f>IF($F1163="","",IF($F1163="תחילת שנה",1,IF($F1163="מחצית שנה",2,3)))</f>
        <v/>
      </c>
      <c r="AF1163" s="32">
        <f>IF(OR($B1163="",$AC1163="",$A1163="",$F1163=""),"",$B1163&amp;"|"&amp;$A1163&amp;"|"&amp;$F1163&amp;"|"&amp;$AC1163&amp;"|"&amp;COUNTIFS($B$6:$B1163,$B1163,$A$6:$A1163,$A1163,$F$6:$F1163,$F1163,$AC$6:$AC1163,$AC1163))</f>
        <v/>
      </c>
      <c r="AG1163" s="32">
        <f>IF($C1163="","",$C1163&amp;"|"&amp;COUNTIFS($C$6:$C1163,$C1163))</f>
        <v/>
      </c>
      <c r="AH1163" s="32">
        <f>IF(OR($C1163="",$A1163="",$AE1163=""),"",$C1163&amp;"|"&amp;$A1163&amp;"|"&amp;$AE1163)</f>
        <v/>
      </c>
      <c r="AI1163" s="32">
        <f>IF(OR($C1163="",$AE1163="",$AE1163=1),"",IFERROR(INDEX($AC$6:$AC$1505,MATCH($C1163&amp;"|"&amp;$A1163&amp;"|"&amp;($AE1163-1),$AH$6:$AH$1505,0)),""))</f>
        <v/>
      </c>
      <c r="AJ1163" s="32">
        <f>IF(OR($AI1163="",$AC1163=""),"",IF($AI1163=$AC1163,"ללא שינוי","מ-"&amp;$AI1163&amp;" ל-"&amp;$AC1163))</f>
        <v/>
      </c>
      <c r="AK1163" s="67" t="n"/>
    </row>
    <row r="1164">
      <c r="A1164" s="65" t="n"/>
      <c r="B1164" s="65" t="n"/>
      <c r="C1164" s="66" t="n"/>
      <c r="D1164" s="66" t="n"/>
      <c r="E1164" s="65" t="n"/>
      <c r="F1164" s="65" t="n"/>
      <c r="G1164" s="65" t="n"/>
      <c r="H1164" s="65" t="n"/>
      <c r="I1164" s="65" t="n"/>
      <c r="J1164" s="65" t="n"/>
      <c r="K1164" s="65" t="n"/>
      <c r="L1164" s="65" t="n"/>
      <c r="M1164" s="65" t="n"/>
      <c r="N1164" s="65" t="n"/>
      <c r="O1164" s="65" t="n"/>
      <c r="P1164" s="65" t="n"/>
      <c r="Q1164" s="65" t="n"/>
      <c r="R1164" s="65" t="n"/>
      <c r="S1164" s="65" t="n"/>
      <c r="T1164" s="65" t="n"/>
      <c r="U1164" s="65" t="n"/>
      <c r="V1164" s="65" t="n"/>
      <c r="W1164" s="65" t="n"/>
      <c r="X1164" s="65" t="n"/>
      <c r="Y1164" s="32">
        <f>IF($C1164="","",IF(COUNTA($I1164:$K1164)&lt;3,"— חסרים נתונים",IF(AND($I1164="תקין",$J1164="תקין",$K1164="תקין"),"רהוטה",IF(AND($I1164="תקין",$J1164="תקין"),"מדויקת ורציפה","אינה מדויקת או מקוטעת"))))</f>
        <v/>
      </c>
      <c r="Z1164" s="32">
        <f>IF($C1164="","",IF(COUNTA($U1164:$W1164)&lt;3,"",IF(AND($U1164="מפותח",$V1164="מפותח",$W1164="מפותחת"),"מפותחת",IF((--($U1164="דל"))+(--($V1164="אינו מפותח"))+(--($W1164="דלה"))&gt;=2,"אינה מפותחת","חלקית"))))</f>
        <v/>
      </c>
      <c r="AA1164" s="32">
        <f>IF($C1164="","",IF(COUNTA($M1164,$N1164,$O1164)&lt;3,"— חסרים נתונים",IF(OR($M1164="נמוכה",(--($M1164&lt;&gt;"תקינה"))+(--($N1164&lt;&gt;"תקין"))+(--($O1164&lt;&gt;"תקינה"))&gt;=2),"ניכרת","אינה ניכרת")))</f>
        <v/>
      </c>
      <c r="AB1164" s="32">
        <f>IF(OR($C1164="",$Y1164="",$AA1164="",LEFT($Y1164,1)="—",LEFT($AA1164,1)="—"),"",IF($Z1164="","— נדרשת הערכת כתיבה",IF($L1164="","— חסרה הבנת הנקרא",IF($Y1164="אינה מדויקת או מקוטעת",IF($AA1164="ניכרת","מיקוד בשטף הקריאה ובכישורי שפה","מיקוד בשטף קריאה"),IF($AA1164="ניכרת","מיקוד בכישורי שפה",IF(AND($L1164="תקינה",$Z1164="מפותחת"),"קוראים וכותבים מיומנים","מיקוד בהבנה והבעה"))))))</f>
        <v/>
      </c>
      <c r="AC1164" s="32">
        <f>IF(OR($AB1164="",LEFT($AB1164,1)="—"),"",IF(OR($AB1164="מיקוד בשטף קריאה",$AB1164="מיקוד בשטף הקריאה ובכישורי שפה"),"רמה א'",IF($AB1164="קוראים וכותבים מיומנים","רמה ג'","רמה ב'")))</f>
        <v/>
      </c>
      <c r="AD1164" s="32">
        <f>IF($AC1164="","",MID(IF(AND($AC1164="רמה א'",$AA1164="ניכרת"),"; להוסיף עבודת אוצר מילים","")&amp;IF($Z1164="אינה מפותחת","; דגש על הבעה בכתב","")&amp;IF($K1164&lt;&gt;"תקין","; נדרש לעבוד על ההנגנה","")&amp;IF($AK1164&lt;&gt;"","; "&amp;$AK1164,""),3,400))</f>
        <v/>
      </c>
      <c r="AE1164" s="32">
        <f>IF($F1164="","",IF($F1164="תחילת שנה",1,IF($F1164="מחצית שנה",2,3)))</f>
        <v/>
      </c>
      <c r="AF1164" s="32">
        <f>IF(OR($B1164="",$AC1164="",$A1164="",$F1164=""),"",$B1164&amp;"|"&amp;$A1164&amp;"|"&amp;$F1164&amp;"|"&amp;$AC1164&amp;"|"&amp;COUNTIFS($B$6:$B1164,$B1164,$A$6:$A1164,$A1164,$F$6:$F1164,$F1164,$AC$6:$AC1164,$AC1164))</f>
        <v/>
      </c>
      <c r="AG1164" s="32">
        <f>IF($C1164="","",$C1164&amp;"|"&amp;COUNTIFS($C$6:$C1164,$C1164))</f>
        <v/>
      </c>
      <c r="AH1164" s="32">
        <f>IF(OR($C1164="",$A1164="",$AE1164=""),"",$C1164&amp;"|"&amp;$A1164&amp;"|"&amp;$AE1164)</f>
        <v/>
      </c>
      <c r="AI1164" s="32">
        <f>IF(OR($C1164="",$AE1164="",$AE1164=1),"",IFERROR(INDEX($AC$6:$AC$1505,MATCH($C1164&amp;"|"&amp;$A1164&amp;"|"&amp;($AE1164-1),$AH$6:$AH$1505,0)),""))</f>
        <v/>
      </c>
      <c r="AJ1164" s="32">
        <f>IF(OR($AI1164="",$AC1164=""),"",IF($AI1164=$AC1164,"ללא שינוי","מ-"&amp;$AI1164&amp;" ל-"&amp;$AC1164))</f>
        <v/>
      </c>
      <c r="AK1164" s="67" t="n"/>
    </row>
    <row r="1165">
      <c r="A1165" s="65" t="n"/>
      <c r="B1165" s="65" t="n"/>
      <c r="C1165" s="66" t="n"/>
      <c r="D1165" s="66" t="n"/>
      <c r="E1165" s="65" t="n"/>
      <c r="F1165" s="65" t="n"/>
      <c r="G1165" s="65" t="n"/>
      <c r="H1165" s="65" t="n"/>
      <c r="I1165" s="65" t="n"/>
      <c r="J1165" s="65" t="n"/>
      <c r="K1165" s="65" t="n"/>
      <c r="L1165" s="65" t="n"/>
      <c r="M1165" s="65" t="n"/>
      <c r="N1165" s="65" t="n"/>
      <c r="O1165" s="65" t="n"/>
      <c r="P1165" s="65" t="n"/>
      <c r="Q1165" s="65" t="n"/>
      <c r="R1165" s="65" t="n"/>
      <c r="S1165" s="65" t="n"/>
      <c r="T1165" s="65" t="n"/>
      <c r="U1165" s="65" t="n"/>
      <c r="V1165" s="65" t="n"/>
      <c r="W1165" s="65" t="n"/>
      <c r="X1165" s="65" t="n"/>
      <c r="Y1165" s="32">
        <f>IF($C1165="","",IF(COUNTA($I1165:$K1165)&lt;3,"— חסרים נתונים",IF(AND($I1165="תקין",$J1165="תקין",$K1165="תקין"),"רהוטה",IF(AND($I1165="תקין",$J1165="תקין"),"מדויקת ורציפה","אינה מדויקת או מקוטעת"))))</f>
        <v/>
      </c>
      <c r="Z1165" s="32">
        <f>IF($C1165="","",IF(COUNTA($U1165:$W1165)&lt;3,"",IF(AND($U1165="מפותח",$V1165="מפותח",$W1165="מפותחת"),"מפותחת",IF((--($U1165="דל"))+(--($V1165="אינו מפותח"))+(--($W1165="דלה"))&gt;=2,"אינה מפותחת","חלקית"))))</f>
        <v/>
      </c>
      <c r="AA1165" s="32">
        <f>IF($C1165="","",IF(COUNTA($M1165,$N1165,$O1165)&lt;3,"— חסרים נתונים",IF(OR($M1165="נמוכה",(--($M1165&lt;&gt;"תקינה"))+(--($N1165&lt;&gt;"תקין"))+(--($O1165&lt;&gt;"תקינה"))&gt;=2),"ניכרת","אינה ניכרת")))</f>
        <v/>
      </c>
      <c r="AB1165" s="32">
        <f>IF(OR($C1165="",$Y1165="",$AA1165="",LEFT($Y1165,1)="—",LEFT($AA1165,1)="—"),"",IF($Z1165="","— נדרשת הערכת כתיבה",IF($L1165="","— חסרה הבנת הנקרא",IF($Y1165="אינה מדויקת או מקוטעת",IF($AA1165="ניכרת","מיקוד בשטף הקריאה ובכישורי שפה","מיקוד בשטף קריאה"),IF($AA1165="ניכרת","מיקוד בכישורי שפה",IF(AND($L1165="תקינה",$Z1165="מפותחת"),"קוראים וכותבים מיומנים","מיקוד בהבנה והבעה"))))))</f>
        <v/>
      </c>
      <c r="AC1165" s="32">
        <f>IF(OR($AB1165="",LEFT($AB1165,1)="—"),"",IF(OR($AB1165="מיקוד בשטף קריאה",$AB1165="מיקוד בשטף הקריאה ובכישורי שפה"),"רמה א'",IF($AB1165="קוראים וכותבים מיומנים","רמה ג'","רמה ב'")))</f>
        <v/>
      </c>
      <c r="AD1165" s="32">
        <f>IF($AC1165="","",MID(IF(AND($AC1165="רמה א'",$AA1165="ניכרת"),"; להוסיף עבודת אוצר מילים","")&amp;IF($Z1165="אינה מפותחת","; דגש על הבעה בכתב","")&amp;IF($K1165&lt;&gt;"תקין","; נדרש לעבוד על ההנגנה","")&amp;IF($AK1165&lt;&gt;"","; "&amp;$AK1165,""),3,400))</f>
        <v/>
      </c>
      <c r="AE1165" s="32">
        <f>IF($F1165="","",IF($F1165="תחילת שנה",1,IF($F1165="מחצית שנה",2,3)))</f>
        <v/>
      </c>
      <c r="AF1165" s="32">
        <f>IF(OR($B1165="",$AC1165="",$A1165="",$F1165=""),"",$B1165&amp;"|"&amp;$A1165&amp;"|"&amp;$F1165&amp;"|"&amp;$AC1165&amp;"|"&amp;COUNTIFS($B$6:$B1165,$B1165,$A$6:$A1165,$A1165,$F$6:$F1165,$F1165,$AC$6:$AC1165,$AC1165))</f>
        <v/>
      </c>
      <c r="AG1165" s="32">
        <f>IF($C1165="","",$C1165&amp;"|"&amp;COUNTIFS($C$6:$C1165,$C1165))</f>
        <v/>
      </c>
      <c r="AH1165" s="32">
        <f>IF(OR($C1165="",$A1165="",$AE1165=""),"",$C1165&amp;"|"&amp;$A1165&amp;"|"&amp;$AE1165)</f>
        <v/>
      </c>
      <c r="AI1165" s="32">
        <f>IF(OR($C1165="",$AE1165="",$AE1165=1),"",IFERROR(INDEX($AC$6:$AC$1505,MATCH($C1165&amp;"|"&amp;$A1165&amp;"|"&amp;($AE1165-1),$AH$6:$AH$1505,0)),""))</f>
        <v/>
      </c>
      <c r="AJ1165" s="32">
        <f>IF(OR($AI1165="",$AC1165=""),"",IF($AI1165=$AC1165,"ללא שינוי","מ-"&amp;$AI1165&amp;" ל-"&amp;$AC1165))</f>
        <v/>
      </c>
      <c r="AK1165" s="67" t="n"/>
    </row>
    <row r="1166">
      <c r="A1166" s="65" t="n"/>
      <c r="B1166" s="65" t="n"/>
      <c r="C1166" s="66" t="n"/>
      <c r="D1166" s="66" t="n"/>
      <c r="E1166" s="65" t="n"/>
      <c r="F1166" s="65" t="n"/>
      <c r="G1166" s="65" t="n"/>
      <c r="H1166" s="65" t="n"/>
      <c r="I1166" s="65" t="n"/>
      <c r="J1166" s="65" t="n"/>
      <c r="K1166" s="65" t="n"/>
      <c r="L1166" s="65" t="n"/>
      <c r="M1166" s="65" t="n"/>
      <c r="N1166" s="65" t="n"/>
      <c r="O1166" s="65" t="n"/>
      <c r="P1166" s="65" t="n"/>
      <c r="Q1166" s="65" t="n"/>
      <c r="R1166" s="65" t="n"/>
      <c r="S1166" s="65" t="n"/>
      <c r="T1166" s="65" t="n"/>
      <c r="U1166" s="65" t="n"/>
      <c r="V1166" s="65" t="n"/>
      <c r="W1166" s="65" t="n"/>
      <c r="X1166" s="65" t="n"/>
      <c r="Y1166" s="32">
        <f>IF($C1166="","",IF(COUNTA($I1166:$K1166)&lt;3,"— חסרים נתונים",IF(AND($I1166="תקין",$J1166="תקין",$K1166="תקין"),"רהוטה",IF(AND($I1166="תקין",$J1166="תקין"),"מדויקת ורציפה","אינה מדויקת או מקוטעת"))))</f>
        <v/>
      </c>
      <c r="Z1166" s="32">
        <f>IF($C1166="","",IF(COUNTA($U1166:$W1166)&lt;3,"",IF(AND($U1166="מפותח",$V1166="מפותח",$W1166="מפותחת"),"מפותחת",IF((--($U1166="דל"))+(--($V1166="אינו מפותח"))+(--($W1166="דלה"))&gt;=2,"אינה מפותחת","חלקית"))))</f>
        <v/>
      </c>
      <c r="AA1166" s="32">
        <f>IF($C1166="","",IF(COUNTA($M1166,$N1166,$O1166)&lt;3,"— חסרים נתונים",IF(OR($M1166="נמוכה",(--($M1166&lt;&gt;"תקינה"))+(--($N1166&lt;&gt;"תקין"))+(--($O1166&lt;&gt;"תקינה"))&gt;=2),"ניכרת","אינה ניכרת")))</f>
        <v/>
      </c>
      <c r="AB1166" s="32">
        <f>IF(OR($C1166="",$Y1166="",$AA1166="",LEFT($Y1166,1)="—",LEFT($AA1166,1)="—"),"",IF($Z1166="","— נדרשת הערכת כתיבה",IF($L1166="","— חסרה הבנת הנקרא",IF($Y1166="אינה מדויקת או מקוטעת",IF($AA1166="ניכרת","מיקוד בשטף הקריאה ובכישורי שפה","מיקוד בשטף קריאה"),IF($AA1166="ניכרת","מיקוד בכישורי שפה",IF(AND($L1166="תקינה",$Z1166="מפותחת"),"קוראים וכותבים מיומנים","מיקוד בהבנה והבעה"))))))</f>
        <v/>
      </c>
      <c r="AC1166" s="32">
        <f>IF(OR($AB1166="",LEFT($AB1166,1)="—"),"",IF(OR($AB1166="מיקוד בשטף קריאה",$AB1166="מיקוד בשטף הקריאה ובכישורי שפה"),"רמה א'",IF($AB1166="קוראים וכותבים מיומנים","רמה ג'","רמה ב'")))</f>
        <v/>
      </c>
      <c r="AD1166" s="32">
        <f>IF($AC1166="","",MID(IF(AND($AC1166="רמה א'",$AA1166="ניכרת"),"; להוסיף עבודת אוצר מילים","")&amp;IF($Z1166="אינה מפותחת","; דגש על הבעה בכתב","")&amp;IF($K1166&lt;&gt;"תקין","; נדרש לעבוד על ההנגנה","")&amp;IF($AK1166&lt;&gt;"","; "&amp;$AK1166,""),3,400))</f>
        <v/>
      </c>
      <c r="AE1166" s="32">
        <f>IF($F1166="","",IF($F1166="תחילת שנה",1,IF($F1166="מחצית שנה",2,3)))</f>
        <v/>
      </c>
      <c r="AF1166" s="32">
        <f>IF(OR($B1166="",$AC1166="",$A1166="",$F1166=""),"",$B1166&amp;"|"&amp;$A1166&amp;"|"&amp;$F1166&amp;"|"&amp;$AC1166&amp;"|"&amp;COUNTIFS($B$6:$B1166,$B1166,$A$6:$A1166,$A1166,$F$6:$F1166,$F1166,$AC$6:$AC1166,$AC1166))</f>
        <v/>
      </c>
      <c r="AG1166" s="32">
        <f>IF($C1166="","",$C1166&amp;"|"&amp;COUNTIFS($C$6:$C1166,$C1166))</f>
        <v/>
      </c>
      <c r="AH1166" s="32">
        <f>IF(OR($C1166="",$A1166="",$AE1166=""),"",$C1166&amp;"|"&amp;$A1166&amp;"|"&amp;$AE1166)</f>
        <v/>
      </c>
      <c r="AI1166" s="32">
        <f>IF(OR($C1166="",$AE1166="",$AE1166=1),"",IFERROR(INDEX($AC$6:$AC$1505,MATCH($C1166&amp;"|"&amp;$A1166&amp;"|"&amp;($AE1166-1),$AH$6:$AH$1505,0)),""))</f>
        <v/>
      </c>
      <c r="AJ1166" s="32">
        <f>IF(OR($AI1166="",$AC1166=""),"",IF($AI1166=$AC1166,"ללא שינוי","מ-"&amp;$AI1166&amp;" ל-"&amp;$AC1166))</f>
        <v/>
      </c>
      <c r="AK1166" s="67" t="n"/>
    </row>
    <row r="1167">
      <c r="A1167" s="65" t="n"/>
      <c r="B1167" s="65" t="n"/>
      <c r="C1167" s="66" t="n"/>
      <c r="D1167" s="66" t="n"/>
      <c r="E1167" s="65" t="n"/>
      <c r="F1167" s="65" t="n"/>
      <c r="G1167" s="65" t="n"/>
      <c r="H1167" s="65" t="n"/>
      <c r="I1167" s="65" t="n"/>
      <c r="J1167" s="65" t="n"/>
      <c r="K1167" s="65" t="n"/>
      <c r="L1167" s="65" t="n"/>
      <c r="M1167" s="65" t="n"/>
      <c r="N1167" s="65" t="n"/>
      <c r="O1167" s="65" t="n"/>
      <c r="P1167" s="65" t="n"/>
      <c r="Q1167" s="65" t="n"/>
      <c r="R1167" s="65" t="n"/>
      <c r="S1167" s="65" t="n"/>
      <c r="T1167" s="65" t="n"/>
      <c r="U1167" s="65" t="n"/>
      <c r="V1167" s="65" t="n"/>
      <c r="W1167" s="65" t="n"/>
      <c r="X1167" s="65" t="n"/>
      <c r="Y1167" s="32">
        <f>IF($C1167="","",IF(COUNTA($I1167:$K1167)&lt;3,"— חסרים נתונים",IF(AND($I1167="תקין",$J1167="תקין",$K1167="תקין"),"רהוטה",IF(AND($I1167="תקין",$J1167="תקין"),"מדויקת ורציפה","אינה מדויקת או מקוטעת"))))</f>
        <v/>
      </c>
      <c r="Z1167" s="32">
        <f>IF($C1167="","",IF(COUNTA($U1167:$W1167)&lt;3,"",IF(AND($U1167="מפותח",$V1167="מפותח",$W1167="מפותחת"),"מפותחת",IF((--($U1167="דל"))+(--($V1167="אינו מפותח"))+(--($W1167="דלה"))&gt;=2,"אינה מפותחת","חלקית"))))</f>
        <v/>
      </c>
      <c r="AA1167" s="32">
        <f>IF($C1167="","",IF(COUNTA($M1167,$N1167,$O1167)&lt;3,"— חסרים נתונים",IF(OR($M1167="נמוכה",(--($M1167&lt;&gt;"תקינה"))+(--($N1167&lt;&gt;"תקין"))+(--($O1167&lt;&gt;"תקינה"))&gt;=2),"ניכרת","אינה ניכרת")))</f>
        <v/>
      </c>
      <c r="AB1167" s="32">
        <f>IF(OR($C1167="",$Y1167="",$AA1167="",LEFT($Y1167,1)="—",LEFT($AA1167,1)="—"),"",IF($Z1167="","— נדרשת הערכת כתיבה",IF($L1167="","— חסרה הבנת הנקרא",IF($Y1167="אינה מדויקת או מקוטעת",IF($AA1167="ניכרת","מיקוד בשטף הקריאה ובכישורי שפה","מיקוד בשטף קריאה"),IF($AA1167="ניכרת","מיקוד בכישורי שפה",IF(AND($L1167="תקינה",$Z1167="מפותחת"),"קוראים וכותבים מיומנים","מיקוד בהבנה והבעה"))))))</f>
        <v/>
      </c>
      <c r="AC1167" s="32">
        <f>IF(OR($AB1167="",LEFT($AB1167,1)="—"),"",IF(OR($AB1167="מיקוד בשטף קריאה",$AB1167="מיקוד בשטף הקריאה ובכישורי שפה"),"רמה א'",IF($AB1167="קוראים וכותבים מיומנים","רמה ג'","רמה ב'")))</f>
        <v/>
      </c>
      <c r="AD1167" s="32">
        <f>IF($AC1167="","",MID(IF(AND($AC1167="רמה א'",$AA1167="ניכרת"),"; להוסיף עבודת אוצר מילים","")&amp;IF($Z1167="אינה מפותחת","; דגש על הבעה בכתב","")&amp;IF($K1167&lt;&gt;"תקין","; נדרש לעבוד על ההנגנה","")&amp;IF($AK1167&lt;&gt;"","; "&amp;$AK1167,""),3,400))</f>
        <v/>
      </c>
      <c r="AE1167" s="32">
        <f>IF($F1167="","",IF($F1167="תחילת שנה",1,IF($F1167="מחצית שנה",2,3)))</f>
        <v/>
      </c>
      <c r="AF1167" s="32">
        <f>IF(OR($B1167="",$AC1167="",$A1167="",$F1167=""),"",$B1167&amp;"|"&amp;$A1167&amp;"|"&amp;$F1167&amp;"|"&amp;$AC1167&amp;"|"&amp;COUNTIFS($B$6:$B1167,$B1167,$A$6:$A1167,$A1167,$F$6:$F1167,$F1167,$AC$6:$AC1167,$AC1167))</f>
        <v/>
      </c>
      <c r="AG1167" s="32">
        <f>IF($C1167="","",$C1167&amp;"|"&amp;COUNTIFS($C$6:$C1167,$C1167))</f>
        <v/>
      </c>
      <c r="AH1167" s="32">
        <f>IF(OR($C1167="",$A1167="",$AE1167=""),"",$C1167&amp;"|"&amp;$A1167&amp;"|"&amp;$AE1167)</f>
        <v/>
      </c>
      <c r="AI1167" s="32">
        <f>IF(OR($C1167="",$AE1167="",$AE1167=1),"",IFERROR(INDEX($AC$6:$AC$1505,MATCH($C1167&amp;"|"&amp;$A1167&amp;"|"&amp;($AE1167-1),$AH$6:$AH$1505,0)),""))</f>
        <v/>
      </c>
      <c r="AJ1167" s="32">
        <f>IF(OR($AI1167="",$AC1167=""),"",IF($AI1167=$AC1167,"ללא שינוי","מ-"&amp;$AI1167&amp;" ל-"&amp;$AC1167))</f>
        <v/>
      </c>
      <c r="AK1167" s="67" t="n"/>
    </row>
    <row r="1168">
      <c r="A1168" s="65" t="n"/>
      <c r="B1168" s="65" t="n"/>
      <c r="C1168" s="66" t="n"/>
      <c r="D1168" s="66" t="n"/>
      <c r="E1168" s="65" t="n"/>
      <c r="F1168" s="65" t="n"/>
      <c r="G1168" s="65" t="n"/>
      <c r="H1168" s="65" t="n"/>
      <c r="I1168" s="65" t="n"/>
      <c r="J1168" s="65" t="n"/>
      <c r="K1168" s="65" t="n"/>
      <c r="L1168" s="65" t="n"/>
      <c r="M1168" s="65" t="n"/>
      <c r="N1168" s="65" t="n"/>
      <c r="O1168" s="65" t="n"/>
      <c r="P1168" s="65" t="n"/>
      <c r="Q1168" s="65" t="n"/>
      <c r="R1168" s="65" t="n"/>
      <c r="S1168" s="65" t="n"/>
      <c r="T1168" s="65" t="n"/>
      <c r="U1168" s="65" t="n"/>
      <c r="V1168" s="65" t="n"/>
      <c r="W1168" s="65" t="n"/>
      <c r="X1168" s="65" t="n"/>
      <c r="Y1168" s="32">
        <f>IF($C1168="","",IF(COUNTA($I1168:$K1168)&lt;3,"— חסרים נתונים",IF(AND($I1168="תקין",$J1168="תקין",$K1168="תקין"),"רהוטה",IF(AND($I1168="תקין",$J1168="תקין"),"מדויקת ורציפה","אינה מדויקת או מקוטעת"))))</f>
        <v/>
      </c>
      <c r="Z1168" s="32">
        <f>IF($C1168="","",IF(COUNTA($U1168:$W1168)&lt;3,"",IF(AND($U1168="מפותח",$V1168="מפותח",$W1168="מפותחת"),"מפותחת",IF((--($U1168="דל"))+(--($V1168="אינו מפותח"))+(--($W1168="דלה"))&gt;=2,"אינה מפותחת","חלקית"))))</f>
        <v/>
      </c>
      <c r="AA1168" s="32">
        <f>IF($C1168="","",IF(COUNTA($M1168,$N1168,$O1168)&lt;3,"— חסרים נתונים",IF(OR($M1168="נמוכה",(--($M1168&lt;&gt;"תקינה"))+(--($N1168&lt;&gt;"תקין"))+(--($O1168&lt;&gt;"תקינה"))&gt;=2),"ניכרת","אינה ניכרת")))</f>
        <v/>
      </c>
      <c r="AB1168" s="32">
        <f>IF(OR($C1168="",$Y1168="",$AA1168="",LEFT($Y1168,1)="—",LEFT($AA1168,1)="—"),"",IF($Z1168="","— נדרשת הערכת כתיבה",IF($L1168="","— חסרה הבנת הנקרא",IF($Y1168="אינה מדויקת או מקוטעת",IF($AA1168="ניכרת","מיקוד בשטף הקריאה ובכישורי שפה","מיקוד בשטף קריאה"),IF($AA1168="ניכרת","מיקוד בכישורי שפה",IF(AND($L1168="תקינה",$Z1168="מפותחת"),"קוראים וכותבים מיומנים","מיקוד בהבנה והבעה"))))))</f>
        <v/>
      </c>
      <c r="AC1168" s="32">
        <f>IF(OR($AB1168="",LEFT($AB1168,1)="—"),"",IF(OR($AB1168="מיקוד בשטף קריאה",$AB1168="מיקוד בשטף הקריאה ובכישורי שפה"),"רמה א'",IF($AB1168="קוראים וכותבים מיומנים","רמה ג'","רמה ב'")))</f>
        <v/>
      </c>
      <c r="AD1168" s="32">
        <f>IF($AC1168="","",MID(IF(AND($AC1168="רמה א'",$AA1168="ניכרת"),"; להוסיף עבודת אוצר מילים","")&amp;IF($Z1168="אינה מפותחת","; דגש על הבעה בכתב","")&amp;IF($K1168&lt;&gt;"תקין","; נדרש לעבוד על ההנגנה","")&amp;IF($AK1168&lt;&gt;"","; "&amp;$AK1168,""),3,400))</f>
        <v/>
      </c>
      <c r="AE1168" s="32">
        <f>IF($F1168="","",IF($F1168="תחילת שנה",1,IF($F1168="מחצית שנה",2,3)))</f>
        <v/>
      </c>
      <c r="AF1168" s="32">
        <f>IF(OR($B1168="",$AC1168="",$A1168="",$F1168=""),"",$B1168&amp;"|"&amp;$A1168&amp;"|"&amp;$F1168&amp;"|"&amp;$AC1168&amp;"|"&amp;COUNTIFS($B$6:$B1168,$B1168,$A$6:$A1168,$A1168,$F$6:$F1168,$F1168,$AC$6:$AC1168,$AC1168))</f>
        <v/>
      </c>
      <c r="AG1168" s="32">
        <f>IF($C1168="","",$C1168&amp;"|"&amp;COUNTIFS($C$6:$C1168,$C1168))</f>
        <v/>
      </c>
      <c r="AH1168" s="32">
        <f>IF(OR($C1168="",$A1168="",$AE1168=""),"",$C1168&amp;"|"&amp;$A1168&amp;"|"&amp;$AE1168)</f>
        <v/>
      </c>
      <c r="AI1168" s="32">
        <f>IF(OR($C1168="",$AE1168="",$AE1168=1),"",IFERROR(INDEX($AC$6:$AC$1505,MATCH($C1168&amp;"|"&amp;$A1168&amp;"|"&amp;($AE1168-1),$AH$6:$AH$1505,0)),""))</f>
        <v/>
      </c>
      <c r="AJ1168" s="32">
        <f>IF(OR($AI1168="",$AC1168=""),"",IF($AI1168=$AC1168,"ללא שינוי","מ-"&amp;$AI1168&amp;" ל-"&amp;$AC1168))</f>
        <v/>
      </c>
      <c r="AK1168" s="67" t="n"/>
    </row>
    <row r="1169">
      <c r="A1169" s="65" t="n"/>
      <c r="B1169" s="65" t="n"/>
      <c r="C1169" s="66" t="n"/>
      <c r="D1169" s="66" t="n"/>
      <c r="E1169" s="65" t="n"/>
      <c r="F1169" s="65" t="n"/>
      <c r="G1169" s="65" t="n"/>
      <c r="H1169" s="65" t="n"/>
      <c r="I1169" s="65" t="n"/>
      <c r="J1169" s="65" t="n"/>
      <c r="K1169" s="65" t="n"/>
      <c r="L1169" s="65" t="n"/>
      <c r="M1169" s="65" t="n"/>
      <c r="N1169" s="65" t="n"/>
      <c r="O1169" s="65" t="n"/>
      <c r="P1169" s="65" t="n"/>
      <c r="Q1169" s="65" t="n"/>
      <c r="R1169" s="65" t="n"/>
      <c r="S1169" s="65" t="n"/>
      <c r="T1169" s="65" t="n"/>
      <c r="U1169" s="65" t="n"/>
      <c r="V1169" s="65" t="n"/>
      <c r="W1169" s="65" t="n"/>
      <c r="X1169" s="65" t="n"/>
      <c r="Y1169" s="32">
        <f>IF($C1169="","",IF(COUNTA($I1169:$K1169)&lt;3,"— חסרים נתונים",IF(AND($I1169="תקין",$J1169="תקין",$K1169="תקין"),"רהוטה",IF(AND($I1169="תקין",$J1169="תקין"),"מדויקת ורציפה","אינה מדויקת או מקוטעת"))))</f>
        <v/>
      </c>
      <c r="Z1169" s="32">
        <f>IF($C1169="","",IF(COUNTA($U1169:$W1169)&lt;3,"",IF(AND($U1169="מפותח",$V1169="מפותח",$W1169="מפותחת"),"מפותחת",IF((--($U1169="דל"))+(--($V1169="אינו מפותח"))+(--($W1169="דלה"))&gt;=2,"אינה מפותחת","חלקית"))))</f>
        <v/>
      </c>
      <c r="AA1169" s="32">
        <f>IF($C1169="","",IF(COUNTA($M1169,$N1169,$O1169)&lt;3,"— חסרים נתונים",IF(OR($M1169="נמוכה",(--($M1169&lt;&gt;"תקינה"))+(--($N1169&lt;&gt;"תקין"))+(--($O1169&lt;&gt;"תקינה"))&gt;=2),"ניכרת","אינה ניכרת")))</f>
        <v/>
      </c>
      <c r="AB1169" s="32">
        <f>IF(OR($C1169="",$Y1169="",$AA1169="",LEFT($Y1169,1)="—",LEFT($AA1169,1)="—"),"",IF($Z1169="","— נדרשת הערכת כתיבה",IF($L1169="","— חסרה הבנת הנקרא",IF($Y1169="אינה מדויקת או מקוטעת",IF($AA1169="ניכרת","מיקוד בשטף הקריאה ובכישורי שפה","מיקוד בשטף קריאה"),IF($AA1169="ניכרת","מיקוד בכישורי שפה",IF(AND($L1169="תקינה",$Z1169="מפותחת"),"קוראים וכותבים מיומנים","מיקוד בהבנה והבעה"))))))</f>
        <v/>
      </c>
      <c r="AC1169" s="32">
        <f>IF(OR($AB1169="",LEFT($AB1169,1)="—"),"",IF(OR($AB1169="מיקוד בשטף קריאה",$AB1169="מיקוד בשטף הקריאה ובכישורי שפה"),"רמה א'",IF($AB1169="קוראים וכותבים מיומנים","רמה ג'","רמה ב'")))</f>
        <v/>
      </c>
      <c r="AD1169" s="32">
        <f>IF($AC1169="","",MID(IF(AND($AC1169="רמה א'",$AA1169="ניכרת"),"; להוסיף עבודת אוצר מילים","")&amp;IF($Z1169="אינה מפותחת","; דגש על הבעה בכתב","")&amp;IF($K1169&lt;&gt;"תקין","; נדרש לעבוד על ההנגנה","")&amp;IF($AK1169&lt;&gt;"","; "&amp;$AK1169,""),3,400))</f>
        <v/>
      </c>
      <c r="AE1169" s="32">
        <f>IF($F1169="","",IF($F1169="תחילת שנה",1,IF($F1169="מחצית שנה",2,3)))</f>
        <v/>
      </c>
      <c r="AF1169" s="32">
        <f>IF(OR($B1169="",$AC1169="",$A1169="",$F1169=""),"",$B1169&amp;"|"&amp;$A1169&amp;"|"&amp;$F1169&amp;"|"&amp;$AC1169&amp;"|"&amp;COUNTIFS($B$6:$B1169,$B1169,$A$6:$A1169,$A1169,$F$6:$F1169,$F1169,$AC$6:$AC1169,$AC1169))</f>
        <v/>
      </c>
      <c r="AG1169" s="32">
        <f>IF($C1169="","",$C1169&amp;"|"&amp;COUNTIFS($C$6:$C1169,$C1169))</f>
        <v/>
      </c>
      <c r="AH1169" s="32">
        <f>IF(OR($C1169="",$A1169="",$AE1169=""),"",$C1169&amp;"|"&amp;$A1169&amp;"|"&amp;$AE1169)</f>
        <v/>
      </c>
      <c r="AI1169" s="32">
        <f>IF(OR($C1169="",$AE1169="",$AE1169=1),"",IFERROR(INDEX($AC$6:$AC$1505,MATCH($C1169&amp;"|"&amp;$A1169&amp;"|"&amp;($AE1169-1),$AH$6:$AH$1505,0)),""))</f>
        <v/>
      </c>
      <c r="AJ1169" s="32">
        <f>IF(OR($AI1169="",$AC1169=""),"",IF($AI1169=$AC1169,"ללא שינוי","מ-"&amp;$AI1169&amp;" ל-"&amp;$AC1169))</f>
        <v/>
      </c>
      <c r="AK1169" s="67" t="n"/>
    </row>
    <row r="1170">
      <c r="A1170" s="65" t="n"/>
      <c r="B1170" s="65" t="n"/>
      <c r="C1170" s="66" t="n"/>
      <c r="D1170" s="66" t="n"/>
      <c r="E1170" s="65" t="n"/>
      <c r="F1170" s="65" t="n"/>
      <c r="G1170" s="65" t="n"/>
      <c r="H1170" s="65" t="n"/>
      <c r="I1170" s="65" t="n"/>
      <c r="J1170" s="65" t="n"/>
      <c r="K1170" s="65" t="n"/>
      <c r="L1170" s="65" t="n"/>
      <c r="M1170" s="65" t="n"/>
      <c r="N1170" s="65" t="n"/>
      <c r="O1170" s="65" t="n"/>
      <c r="P1170" s="65" t="n"/>
      <c r="Q1170" s="65" t="n"/>
      <c r="R1170" s="65" t="n"/>
      <c r="S1170" s="65" t="n"/>
      <c r="T1170" s="65" t="n"/>
      <c r="U1170" s="65" t="n"/>
      <c r="V1170" s="65" t="n"/>
      <c r="W1170" s="65" t="n"/>
      <c r="X1170" s="65" t="n"/>
      <c r="Y1170" s="32">
        <f>IF($C1170="","",IF(COUNTA($I1170:$K1170)&lt;3,"— חסרים נתונים",IF(AND($I1170="תקין",$J1170="תקין",$K1170="תקין"),"רהוטה",IF(AND($I1170="תקין",$J1170="תקין"),"מדויקת ורציפה","אינה מדויקת או מקוטעת"))))</f>
        <v/>
      </c>
      <c r="Z1170" s="32">
        <f>IF($C1170="","",IF(COUNTA($U1170:$W1170)&lt;3,"",IF(AND($U1170="מפותח",$V1170="מפותח",$W1170="מפותחת"),"מפותחת",IF((--($U1170="דל"))+(--($V1170="אינו מפותח"))+(--($W1170="דלה"))&gt;=2,"אינה מפותחת","חלקית"))))</f>
        <v/>
      </c>
      <c r="AA1170" s="32">
        <f>IF($C1170="","",IF(COUNTA($M1170,$N1170,$O1170)&lt;3,"— חסרים נתונים",IF(OR($M1170="נמוכה",(--($M1170&lt;&gt;"תקינה"))+(--($N1170&lt;&gt;"תקין"))+(--($O1170&lt;&gt;"תקינה"))&gt;=2),"ניכרת","אינה ניכרת")))</f>
        <v/>
      </c>
      <c r="AB1170" s="32">
        <f>IF(OR($C1170="",$Y1170="",$AA1170="",LEFT($Y1170,1)="—",LEFT($AA1170,1)="—"),"",IF($Z1170="","— נדרשת הערכת כתיבה",IF($L1170="","— חסרה הבנת הנקרא",IF($Y1170="אינה מדויקת או מקוטעת",IF($AA1170="ניכרת","מיקוד בשטף הקריאה ובכישורי שפה","מיקוד בשטף קריאה"),IF($AA1170="ניכרת","מיקוד בכישורי שפה",IF(AND($L1170="תקינה",$Z1170="מפותחת"),"קוראים וכותבים מיומנים","מיקוד בהבנה והבעה"))))))</f>
        <v/>
      </c>
      <c r="AC1170" s="32">
        <f>IF(OR($AB1170="",LEFT($AB1170,1)="—"),"",IF(OR($AB1170="מיקוד בשטף קריאה",$AB1170="מיקוד בשטף הקריאה ובכישורי שפה"),"רמה א'",IF($AB1170="קוראים וכותבים מיומנים","רמה ג'","רמה ב'")))</f>
        <v/>
      </c>
      <c r="AD1170" s="32">
        <f>IF($AC1170="","",MID(IF(AND($AC1170="רמה א'",$AA1170="ניכרת"),"; להוסיף עבודת אוצר מילים","")&amp;IF($Z1170="אינה מפותחת","; דגש על הבעה בכתב","")&amp;IF($K1170&lt;&gt;"תקין","; נדרש לעבוד על ההנגנה","")&amp;IF($AK1170&lt;&gt;"","; "&amp;$AK1170,""),3,400))</f>
        <v/>
      </c>
      <c r="AE1170" s="32">
        <f>IF($F1170="","",IF($F1170="תחילת שנה",1,IF($F1170="מחצית שנה",2,3)))</f>
        <v/>
      </c>
      <c r="AF1170" s="32">
        <f>IF(OR($B1170="",$AC1170="",$A1170="",$F1170=""),"",$B1170&amp;"|"&amp;$A1170&amp;"|"&amp;$F1170&amp;"|"&amp;$AC1170&amp;"|"&amp;COUNTIFS($B$6:$B1170,$B1170,$A$6:$A1170,$A1170,$F$6:$F1170,$F1170,$AC$6:$AC1170,$AC1170))</f>
        <v/>
      </c>
      <c r="AG1170" s="32">
        <f>IF($C1170="","",$C1170&amp;"|"&amp;COUNTIFS($C$6:$C1170,$C1170))</f>
        <v/>
      </c>
      <c r="AH1170" s="32">
        <f>IF(OR($C1170="",$A1170="",$AE1170=""),"",$C1170&amp;"|"&amp;$A1170&amp;"|"&amp;$AE1170)</f>
        <v/>
      </c>
      <c r="AI1170" s="32">
        <f>IF(OR($C1170="",$AE1170="",$AE1170=1),"",IFERROR(INDEX($AC$6:$AC$1505,MATCH($C1170&amp;"|"&amp;$A1170&amp;"|"&amp;($AE1170-1),$AH$6:$AH$1505,0)),""))</f>
        <v/>
      </c>
      <c r="AJ1170" s="32">
        <f>IF(OR($AI1170="",$AC1170=""),"",IF($AI1170=$AC1170,"ללא שינוי","מ-"&amp;$AI1170&amp;" ל-"&amp;$AC1170))</f>
        <v/>
      </c>
      <c r="AK1170" s="67" t="n"/>
    </row>
    <row r="1171">
      <c r="A1171" s="65" t="n"/>
      <c r="B1171" s="65" t="n"/>
      <c r="C1171" s="66" t="n"/>
      <c r="D1171" s="66" t="n"/>
      <c r="E1171" s="65" t="n"/>
      <c r="F1171" s="65" t="n"/>
      <c r="G1171" s="65" t="n"/>
      <c r="H1171" s="65" t="n"/>
      <c r="I1171" s="65" t="n"/>
      <c r="J1171" s="65" t="n"/>
      <c r="K1171" s="65" t="n"/>
      <c r="L1171" s="65" t="n"/>
      <c r="M1171" s="65" t="n"/>
      <c r="N1171" s="65" t="n"/>
      <c r="O1171" s="65" t="n"/>
      <c r="P1171" s="65" t="n"/>
      <c r="Q1171" s="65" t="n"/>
      <c r="R1171" s="65" t="n"/>
      <c r="S1171" s="65" t="n"/>
      <c r="T1171" s="65" t="n"/>
      <c r="U1171" s="65" t="n"/>
      <c r="V1171" s="65" t="n"/>
      <c r="W1171" s="65" t="n"/>
      <c r="X1171" s="65" t="n"/>
      <c r="Y1171" s="32">
        <f>IF($C1171="","",IF(COUNTA($I1171:$K1171)&lt;3,"— חסרים נתונים",IF(AND($I1171="תקין",$J1171="תקין",$K1171="תקין"),"רהוטה",IF(AND($I1171="תקין",$J1171="תקין"),"מדויקת ורציפה","אינה מדויקת או מקוטעת"))))</f>
        <v/>
      </c>
      <c r="Z1171" s="32">
        <f>IF($C1171="","",IF(COUNTA($U1171:$W1171)&lt;3,"",IF(AND($U1171="מפותח",$V1171="מפותח",$W1171="מפותחת"),"מפותחת",IF((--($U1171="דל"))+(--($V1171="אינו מפותח"))+(--($W1171="דלה"))&gt;=2,"אינה מפותחת","חלקית"))))</f>
        <v/>
      </c>
      <c r="AA1171" s="32">
        <f>IF($C1171="","",IF(COUNTA($M1171,$N1171,$O1171)&lt;3,"— חסרים נתונים",IF(OR($M1171="נמוכה",(--($M1171&lt;&gt;"תקינה"))+(--($N1171&lt;&gt;"תקין"))+(--($O1171&lt;&gt;"תקינה"))&gt;=2),"ניכרת","אינה ניכרת")))</f>
        <v/>
      </c>
      <c r="AB1171" s="32">
        <f>IF(OR($C1171="",$Y1171="",$AA1171="",LEFT($Y1171,1)="—",LEFT($AA1171,1)="—"),"",IF($Z1171="","— נדרשת הערכת כתיבה",IF($L1171="","— חסרה הבנת הנקרא",IF($Y1171="אינה מדויקת או מקוטעת",IF($AA1171="ניכרת","מיקוד בשטף הקריאה ובכישורי שפה","מיקוד בשטף קריאה"),IF($AA1171="ניכרת","מיקוד בכישורי שפה",IF(AND($L1171="תקינה",$Z1171="מפותחת"),"קוראים וכותבים מיומנים","מיקוד בהבנה והבעה"))))))</f>
        <v/>
      </c>
      <c r="AC1171" s="32">
        <f>IF(OR($AB1171="",LEFT($AB1171,1)="—"),"",IF(OR($AB1171="מיקוד בשטף קריאה",$AB1171="מיקוד בשטף הקריאה ובכישורי שפה"),"רמה א'",IF($AB1171="קוראים וכותבים מיומנים","רמה ג'","רמה ב'")))</f>
        <v/>
      </c>
      <c r="AD1171" s="32">
        <f>IF($AC1171="","",MID(IF(AND($AC1171="רמה א'",$AA1171="ניכרת"),"; להוסיף עבודת אוצר מילים","")&amp;IF($Z1171="אינה מפותחת","; דגש על הבעה בכתב","")&amp;IF($K1171&lt;&gt;"תקין","; נדרש לעבוד על ההנגנה","")&amp;IF($AK1171&lt;&gt;"","; "&amp;$AK1171,""),3,400))</f>
        <v/>
      </c>
      <c r="AE1171" s="32">
        <f>IF($F1171="","",IF($F1171="תחילת שנה",1,IF($F1171="מחצית שנה",2,3)))</f>
        <v/>
      </c>
      <c r="AF1171" s="32">
        <f>IF(OR($B1171="",$AC1171="",$A1171="",$F1171=""),"",$B1171&amp;"|"&amp;$A1171&amp;"|"&amp;$F1171&amp;"|"&amp;$AC1171&amp;"|"&amp;COUNTIFS($B$6:$B1171,$B1171,$A$6:$A1171,$A1171,$F$6:$F1171,$F1171,$AC$6:$AC1171,$AC1171))</f>
        <v/>
      </c>
      <c r="AG1171" s="32">
        <f>IF($C1171="","",$C1171&amp;"|"&amp;COUNTIFS($C$6:$C1171,$C1171))</f>
        <v/>
      </c>
      <c r="AH1171" s="32">
        <f>IF(OR($C1171="",$A1171="",$AE1171=""),"",$C1171&amp;"|"&amp;$A1171&amp;"|"&amp;$AE1171)</f>
        <v/>
      </c>
      <c r="AI1171" s="32">
        <f>IF(OR($C1171="",$AE1171="",$AE1171=1),"",IFERROR(INDEX($AC$6:$AC$1505,MATCH($C1171&amp;"|"&amp;$A1171&amp;"|"&amp;($AE1171-1),$AH$6:$AH$1505,0)),""))</f>
        <v/>
      </c>
      <c r="AJ1171" s="32">
        <f>IF(OR($AI1171="",$AC1171=""),"",IF($AI1171=$AC1171,"ללא שינוי","מ-"&amp;$AI1171&amp;" ל-"&amp;$AC1171))</f>
        <v/>
      </c>
      <c r="AK1171" s="67" t="n"/>
    </row>
    <row r="1172">
      <c r="A1172" s="65" t="n"/>
      <c r="B1172" s="65" t="n"/>
      <c r="C1172" s="66" t="n"/>
      <c r="D1172" s="66" t="n"/>
      <c r="E1172" s="65" t="n"/>
      <c r="F1172" s="65" t="n"/>
      <c r="G1172" s="65" t="n"/>
      <c r="H1172" s="65" t="n"/>
      <c r="I1172" s="65" t="n"/>
      <c r="J1172" s="65" t="n"/>
      <c r="K1172" s="65" t="n"/>
      <c r="L1172" s="65" t="n"/>
      <c r="M1172" s="65" t="n"/>
      <c r="N1172" s="65" t="n"/>
      <c r="O1172" s="65" t="n"/>
      <c r="P1172" s="65" t="n"/>
      <c r="Q1172" s="65" t="n"/>
      <c r="R1172" s="65" t="n"/>
      <c r="S1172" s="65" t="n"/>
      <c r="T1172" s="65" t="n"/>
      <c r="U1172" s="65" t="n"/>
      <c r="V1172" s="65" t="n"/>
      <c r="W1172" s="65" t="n"/>
      <c r="X1172" s="65" t="n"/>
      <c r="Y1172" s="32">
        <f>IF($C1172="","",IF(COUNTA($I1172:$K1172)&lt;3,"— חסרים נתונים",IF(AND($I1172="תקין",$J1172="תקין",$K1172="תקין"),"רהוטה",IF(AND($I1172="תקין",$J1172="תקין"),"מדויקת ורציפה","אינה מדויקת או מקוטעת"))))</f>
        <v/>
      </c>
      <c r="Z1172" s="32">
        <f>IF($C1172="","",IF(COUNTA($U1172:$W1172)&lt;3,"",IF(AND($U1172="מפותח",$V1172="מפותח",$W1172="מפותחת"),"מפותחת",IF((--($U1172="דל"))+(--($V1172="אינו מפותח"))+(--($W1172="דלה"))&gt;=2,"אינה מפותחת","חלקית"))))</f>
        <v/>
      </c>
      <c r="AA1172" s="32">
        <f>IF($C1172="","",IF(COUNTA($M1172,$N1172,$O1172)&lt;3,"— חסרים נתונים",IF(OR($M1172="נמוכה",(--($M1172&lt;&gt;"תקינה"))+(--($N1172&lt;&gt;"תקין"))+(--($O1172&lt;&gt;"תקינה"))&gt;=2),"ניכרת","אינה ניכרת")))</f>
        <v/>
      </c>
      <c r="AB1172" s="32">
        <f>IF(OR($C1172="",$Y1172="",$AA1172="",LEFT($Y1172,1)="—",LEFT($AA1172,1)="—"),"",IF($Z1172="","— נדרשת הערכת כתיבה",IF($L1172="","— חסרה הבנת הנקרא",IF($Y1172="אינה מדויקת או מקוטעת",IF($AA1172="ניכרת","מיקוד בשטף הקריאה ובכישורי שפה","מיקוד בשטף קריאה"),IF($AA1172="ניכרת","מיקוד בכישורי שפה",IF(AND($L1172="תקינה",$Z1172="מפותחת"),"קוראים וכותבים מיומנים","מיקוד בהבנה והבעה"))))))</f>
        <v/>
      </c>
      <c r="AC1172" s="32">
        <f>IF(OR($AB1172="",LEFT($AB1172,1)="—"),"",IF(OR($AB1172="מיקוד בשטף קריאה",$AB1172="מיקוד בשטף הקריאה ובכישורי שפה"),"רמה א'",IF($AB1172="קוראים וכותבים מיומנים","רמה ג'","רמה ב'")))</f>
        <v/>
      </c>
      <c r="AD1172" s="32">
        <f>IF($AC1172="","",MID(IF(AND($AC1172="רמה א'",$AA1172="ניכרת"),"; להוסיף עבודת אוצר מילים","")&amp;IF($Z1172="אינה מפותחת","; דגש על הבעה בכתב","")&amp;IF($K1172&lt;&gt;"תקין","; נדרש לעבוד על ההנגנה","")&amp;IF($AK1172&lt;&gt;"","; "&amp;$AK1172,""),3,400))</f>
        <v/>
      </c>
      <c r="AE1172" s="32">
        <f>IF($F1172="","",IF($F1172="תחילת שנה",1,IF($F1172="מחצית שנה",2,3)))</f>
        <v/>
      </c>
      <c r="AF1172" s="32">
        <f>IF(OR($B1172="",$AC1172="",$A1172="",$F1172=""),"",$B1172&amp;"|"&amp;$A1172&amp;"|"&amp;$F1172&amp;"|"&amp;$AC1172&amp;"|"&amp;COUNTIFS($B$6:$B1172,$B1172,$A$6:$A1172,$A1172,$F$6:$F1172,$F1172,$AC$6:$AC1172,$AC1172))</f>
        <v/>
      </c>
      <c r="AG1172" s="32">
        <f>IF($C1172="","",$C1172&amp;"|"&amp;COUNTIFS($C$6:$C1172,$C1172))</f>
        <v/>
      </c>
      <c r="AH1172" s="32">
        <f>IF(OR($C1172="",$A1172="",$AE1172=""),"",$C1172&amp;"|"&amp;$A1172&amp;"|"&amp;$AE1172)</f>
        <v/>
      </c>
      <c r="AI1172" s="32">
        <f>IF(OR($C1172="",$AE1172="",$AE1172=1),"",IFERROR(INDEX($AC$6:$AC$1505,MATCH($C1172&amp;"|"&amp;$A1172&amp;"|"&amp;($AE1172-1),$AH$6:$AH$1505,0)),""))</f>
        <v/>
      </c>
      <c r="AJ1172" s="32">
        <f>IF(OR($AI1172="",$AC1172=""),"",IF($AI1172=$AC1172,"ללא שינוי","מ-"&amp;$AI1172&amp;" ל-"&amp;$AC1172))</f>
        <v/>
      </c>
      <c r="AK1172" s="67" t="n"/>
    </row>
    <row r="1173">
      <c r="A1173" s="65" t="n"/>
      <c r="B1173" s="65" t="n"/>
      <c r="C1173" s="66" t="n"/>
      <c r="D1173" s="66" t="n"/>
      <c r="E1173" s="65" t="n"/>
      <c r="F1173" s="65" t="n"/>
      <c r="G1173" s="65" t="n"/>
      <c r="H1173" s="65" t="n"/>
      <c r="I1173" s="65" t="n"/>
      <c r="J1173" s="65" t="n"/>
      <c r="K1173" s="65" t="n"/>
      <c r="L1173" s="65" t="n"/>
      <c r="M1173" s="65" t="n"/>
      <c r="N1173" s="65" t="n"/>
      <c r="O1173" s="65" t="n"/>
      <c r="P1173" s="65" t="n"/>
      <c r="Q1173" s="65" t="n"/>
      <c r="R1173" s="65" t="n"/>
      <c r="S1173" s="65" t="n"/>
      <c r="T1173" s="65" t="n"/>
      <c r="U1173" s="65" t="n"/>
      <c r="V1173" s="65" t="n"/>
      <c r="W1173" s="65" t="n"/>
      <c r="X1173" s="65" t="n"/>
      <c r="Y1173" s="32">
        <f>IF($C1173="","",IF(COUNTA($I1173:$K1173)&lt;3,"— חסרים נתונים",IF(AND($I1173="תקין",$J1173="תקין",$K1173="תקין"),"רהוטה",IF(AND($I1173="תקין",$J1173="תקין"),"מדויקת ורציפה","אינה מדויקת או מקוטעת"))))</f>
        <v/>
      </c>
      <c r="Z1173" s="32">
        <f>IF($C1173="","",IF(COUNTA($U1173:$W1173)&lt;3,"",IF(AND($U1173="מפותח",$V1173="מפותח",$W1173="מפותחת"),"מפותחת",IF((--($U1173="דל"))+(--($V1173="אינו מפותח"))+(--($W1173="דלה"))&gt;=2,"אינה מפותחת","חלקית"))))</f>
        <v/>
      </c>
      <c r="AA1173" s="32">
        <f>IF($C1173="","",IF(COUNTA($M1173,$N1173,$O1173)&lt;3,"— חסרים נתונים",IF(OR($M1173="נמוכה",(--($M1173&lt;&gt;"תקינה"))+(--($N1173&lt;&gt;"תקין"))+(--($O1173&lt;&gt;"תקינה"))&gt;=2),"ניכרת","אינה ניכרת")))</f>
        <v/>
      </c>
      <c r="AB1173" s="32">
        <f>IF(OR($C1173="",$Y1173="",$AA1173="",LEFT($Y1173,1)="—",LEFT($AA1173,1)="—"),"",IF($Z1173="","— נדרשת הערכת כתיבה",IF($L1173="","— חסרה הבנת הנקרא",IF($Y1173="אינה מדויקת או מקוטעת",IF($AA1173="ניכרת","מיקוד בשטף הקריאה ובכישורי שפה","מיקוד בשטף קריאה"),IF($AA1173="ניכרת","מיקוד בכישורי שפה",IF(AND($L1173="תקינה",$Z1173="מפותחת"),"קוראים וכותבים מיומנים","מיקוד בהבנה והבעה"))))))</f>
        <v/>
      </c>
      <c r="AC1173" s="32">
        <f>IF(OR($AB1173="",LEFT($AB1173,1)="—"),"",IF(OR($AB1173="מיקוד בשטף קריאה",$AB1173="מיקוד בשטף הקריאה ובכישורי שפה"),"רמה א'",IF($AB1173="קוראים וכותבים מיומנים","רמה ג'","רמה ב'")))</f>
        <v/>
      </c>
      <c r="AD1173" s="32">
        <f>IF($AC1173="","",MID(IF(AND($AC1173="רמה א'",$AA1173="ניכרת"),"; להוסיף עבודת אוצר מילים","")&amp;IF($Z1173="אינה מפותחת","; דגש על הבעה בכתב","")&amp;IF($K1173&lt;&gt;"תקין","; נדרש לעבוד על ההנגנה","")&amp;IF($AK1173&lt;&gt;"","; "&amp;$AK1173,""),3,400))</f>
        <v/>
      </c>
      <c r="AE1173" s="32">
        <f>IF($F1173="","",IF($F1173="תחילת שנה",1,IF($F1173="מחצית שנה",2,3)))</f>
        <v/>
      </c>
      <c r="AF1173" s="32">
        <f>IF(OR($B1173="",$AC1173="",$A1173="",$F1173=""),"",$B1173&amp;"|"&amp;$A1173&amp;"|"&amp;$F1173&amp;"|"&amp;$AC1173&amp;"|"&amp;COUNTIFS($B$6:$B1173,$B1173,$A$6:$A1173,$A1173,$F$6:$F1173,$F1173,$AC$6:$AC1173,$AC1173))</f>
        <v/>
      </c>
      <c r="AG1173" s="32">
        <f>IF($C1173="","",$C1173&amp;"|"&amp;COUNTIFS($C$6:$C1173,$C1173))</f>
        <v/>
      </c>
      <c r="AH1173" s="32">
        <f>IF(OR($C1173="",$A1173="",$AE1173=""),"",$C1173&amp;"|"&amp;$A1173&amp;"|"&amp;$AE1173)</f>
        <v/>
      </c>
      <c r="AI1173" s="32">
        <f>IF(OR($C1173="",$AE1173="",$AE1173=1),"",IFERROR(INDEX($AC$6:$AC$1505,MATCH($C1173&amp;"|"&amp;$A1173&amp;"|"&amp;($AE1173-1),$AH$6:$AH$1505,0)),""))</f>
        <v/>
      </c>
      <c r="AJ1173" s="32">
        <f>IF(OR($AI1173="",$AC1173=""),"",IF($AI1173=$AC1173,"ללא שינוי","מ-"&amp;$AI1173&amp;" ל-"&amp;$AC1173))</f>
        <v/>
      </c>
      <c r="AK1173" s="67" t="n"/>
    </row>
    <row r="1174">
      <c r="A1174" s="65" t="n"/>
      <c r="B1174" s="65" t="n"/>
      <c r="C1174" s="66" t="n"/>
      <c r="D1174" s="66" t="n"/>
      <c r="E1174" s="65" t="n"/>
      <c r="F1174" s="65" t="n"/>
      <c r="G1174" s="65" t="n"/>
      <c r="H1174" s="65" t="n"/>
      <c r="I1174" s="65" t="n"/>
      <c r="J1174" s="65" t="n"/>
      <c r="K1174" s="65" t="n"/>
      <c r="L1174" s="65" t="n"/>
      <c r="M1174" s="65" t="n"/>
      <c r="N1174" s="65" t="n"/>
      <c r="O1174" s="65" t="n"/>
      <c r="P1174" s="65" t="n"/>
      <c r="Q1174" s="65" t="n"/>
      <c r="R1174" s="65" t="n"/>
      <c r="S1174" s="65" t="n"/>
      <c r="T1174" s="65" t="n"/>
      <c r="U1174" s="65" t="n"/>
      <c r="V1174" s="65" t="n"/>
      <c r="W1174" s="65" t="n"/>
      <c r="X1174" s="65" t="n"/>
      <c r="Y1174" s="32">
        <f>IF($C1174="","",IF(COUNTA($I1174:$K1174)&lt;3,"— חסרים נתונים",IF(AND($I1174="תקין",$J1174="תקין",$K1174="תקין"),"רהוטה",IF(AND($I1174="תקין",$J1174="תקין"),"מדויקת ורציפה","אינה מדויקת או מקוטעת"))))</f>
        <v/>
      </c>
      <c r="Z1174" s="32">
        <f>IF($C1174="","",IF(COUNTA($U1174:$W1174)&lt;3,"",IF(AND($U1174="מפותח",$V1174="מפותח",$W1174="מפותחת"),"מפותחת",IF((--($U1174="דל"))+(--($V1174="אינו מפותח"))+(--($W1174="דלה"))&gt;=2,"אינה מפותחת","חלקית"))))</f>
        <v/>
      </c>
      <c r="AA1174" s="32">
        <f>IF($C1174="","",IF(COUNTA($M1174,$N1174,$O1174)&lt;3,"— חסרים נתונים",IF(OR($M1174="נמוכה",(--($M1174&lt;&gt;"תקינה"))+(--($N1174&lt;&gt;"תקין"))+(--($O1174&lt;&gt;"תקינה"))&gt;=2),"ניכרת","אינה ניכרת")))</f>
        <v/>
      </c>
      <c r="AB1174" s="32">
        <f>IF(OR($C1174="",$Y1174="",$AA1174="",LEFT($Y1174,1)="—",LEFT($AA1174,1)="—"),"",IF($Z1174="","— נדרשת הערכת כתיבה",IF($L1174="","— חסרה הבנת הנקרא",IF($Y1174="אינה מדויקת או מקוטעת",IF($AA1174="ניכרת","מיקוד בשטף הקריאה ובכישורי שפה","מיקוד בשטף קריאה"),IF($AA1174="ניכרת","מיקוד בכישורי שפה",IF(AND($L1174="תקינה",$Z1174="מפותחת"),"קוראים וכותבים מיומנים","מיקוד בהבנה והבעה"))))))</f>
        <v/>
      </c>
      <c r="AC1174" s="32">
        <f>IF(OR($AB1174="",LEFT($AB1174,1)="—"),"",IF(OR($AB1174="מיקוד בשטף קריאה",$AB1174="מיקוד בשטף הקריאה ובכישורי שפה"),"רמה א'",IF($AB1174="קוראים וכותבים מיומנים","רמה ג'","רמה ב'")))</f>
        <v/>
      </c>
      <c r="AD1174" s="32">
        <f>IF($AC1174="","",MID(IF(AND($AC1174="רמה א'",$AA1174="ניכרת"),"; להוסיף עבודת אוצר מילים","")&amp;IF($Z1174="אינה מפותחת","; דגש על הבעה בכתב","")&amp;IF($K1174&lt;&gt;"תקין","; נדרש לעבוד על ההנגנה","")&amp;IF($AK1174&lt;&gt;"","; "&amp;$AK1174,""),3,400))</f>
        <v/>
      </c>
      <c r="AE1174" s="32">
        <f>IF($F1174="","",IF($F1174="תחילת שנה",1,IF($F1174="מחצית שנה",2,3)))</f>
        <v/>
      </c>
      <c r="AF1174" s="32">
        <f>IF(OR($B1174="",$AC1174="",$A1174="",$F1174=""),"",$B1174&amp;"|"&amp;$A1174&amp;"|"&amp;$F1174&amp;"|"&amp;$AC1174&amp;"|"&amp;COUNTIFS($B$6:$B1174,$B1174,$A$6:$A1174,$A1174,$F$6:$F1174,$F1174,$AC$6:$AC1174,$AC1174))</f>
        <v/>
      </c>
      <c r="AG1174" s="32">
        <f>IF($C1174="","",$C1174&amp;"|"&amp;COUNTIFS($C$6:$C1174,$C1174))</f>
        <v/>
      </c>
      <c r="AH1174" s="32">
        <f>IF(OR($C1174="",$A1174="",$AE1174=""),"",$C1174&amp;"|"&amp;$A1174&amp;"|"&amp;$AE1174)</f>
        <v/>
      </c>
      <c r="AI1174" s="32">
        <f>IF(OR($C1174="",$AE1174="",$AE1174=1),"",IFERROR(INDEX($AC$6:$AC$1505,MATCH($C1174&amp;"|"&amp;$A1174&amp;"|"&amp;($AE1174-1),$AH$6:$AH$1505,0)),""))</f>
        <v/>
      </c>
      <c r="AJ1174" s="32">
        <f>IF(OR($AI1174="",$AC1174=""),"",IF($AI1174=$AC1174,"ללא שינוי","מ-"&amp;$AI1174&amp;" ל-"&amp;$AC1174))</f>
        <v/>
      </c>
      <c r="AK1174" s="67" t="n"/>
    </row>
    <row r="1175">
      <c r="A1175" s="65" t="n"/>
      <c r="B1175" s="65" t="n"/>
      <c r="C1175" s="66" t="n"/>
      <c r="D1175" s="66" t="n"/>
      <c r="E1175" s="65" t="n"/>
      <c r="F1175" s="65" t="n"/>
      <c r="G1175" s="65" t="n"/>
      <c r="H1175" s="65" t="n"/>
      <c r="I1175" s="65" t="n"/>
      <c r="J1175" s="65" t="n"/>
      <c r="K1175" s="65" t="n"/>
      <c r="L1175" s="65" t="n"/>
      <c r="M1175" s="65" t="n"/>
      <c r="N1175" s="65" t="n"/>
      <c r="O1175" s="65" t="n"/>
      <c r="P1175" s="65" t="n"/>
      <c r="Q1175" s="65" t="n"/>
      <c r="R1175" s="65" t="n"/>
      <c r="S1175" s="65" t="n"/>
      <c r="T1175" s="65" t="n"/>
      <c r="U1175" s="65" t="n"/>
      <c r="V1175" s="65" t="n"/>
      <c r="W1175" s="65" t="n"/>
      <c r="X1175" s="65" t="n"/>
      <c r="Y1175" s="32">
        <f>IF($C1175="","",IF(COUNTA($I1175:$K1175)&lt;3,"— חסרים נתונים",IF(AND($I1175="תקין",$J1175="תקין",$K1175="תקין"),"רהוטה",IF(AND($I1175="תקין",$J1175="תקין"),"מדויקת ורציפה","אינה מדויקת או מקוטעת"))))</f>
        <v/>
      </c>
      <c r="Z1175" s="32">
        <f>IF($C1175="","",IF(COUNTA($U1175:$W1175)&lt;3,"",IF(AND($U1175="מפותח",$V1175="מפותח",$W1175="מפותחת"),"מפותחת",IF((--($U1175="דל"))+(--($V1175="אינו מפותח"))+(--($W1175="דלה"))&gt;=2,"אינה מפותחת","חלקית"))))</f>
        <v/>
      </c>
      <c r="AA1175" s="32">
        <f>IF($C1175="","",IF(COUNTA($M1175,$N1175,$O1175)&lt;3,"— חסרים נתונים",IF(OR($M1175="נמוכה",(--($M1175&lt;&gt;"תקינה"))+(--($N1175&lt;&gt;"תקין"))+(--($O1175&lt;&gt;"תקינה"))&gt;=2),"ניכרת","אינה ניכרת")))</f>
        <v/>
      </c>
      <c r="AB1175" s="32">
        <f>IF(OR($C1175="",$Y1175="",$AA1175="",LEFT($Y1175,1)="—",LEFT($AA1175,1)="—"),"",IF($Z1175="","— נדרשת הערכת כתיבה",IF($L1175="","— חסרה הבנת הנקרא",IF($Y1175="אינה מדויקת או מקוטעת",IF($AA1175="ניכרת","מיקוד בשטף הקריאה ובכישורי שפה","מיקוד בשטף קריאה"),IF($AA1175="ניכרת","מיקוד בכישורי שפה",IF(AND($L1175="תקינה",$Z1175="מפותחת"),"קוראים וכותבים מיומנים","מיקוד בהבנה והבעה"))))))</f>
        <v/>
      </c>
      <c r="AC1175" s="32">
        <f>IF(OR($AB1175="",LEFT($AB1175,1)="—"),"",IF(OR($AB1175="מיקוד בשטף קריאה",$AB1175="מיקוד בשטף הקריאה ובכישורי שפה"),"רמה א'",IF($AB1175="קוראים וכותבים מיומנים","רמה ג'","רמה ב'")))</f>
        <v/>
      </c>
      <c r="AD1175" s="32">
        <f>IF($AC1175="","",MID(IF(AND($AC1175="רמה א'",$AA1175="ניכרת"),"; להוסיף עבודת אוצר מילים","")&amp;IF($Z1175="אינה מפותחת","; דגש על הבעה בכתב","")&amp;IF($K1175&lt;&gt;"תקין","; נדרש לעבוד על ההנגנה","")&amp;IF($AK1175&lt;&gt;"","; "&amp;$AK1175,""),3,400))</f>
        <v/>
      </c>
      <c r="AE1175" s="32">
        <f>IF($F1175="","",IF($F1175="תחילת שנה",1,IF($F1175="מחצית שנה",2,3)))</f>
        <v/>
      </c>
      <c r="AF1175" s="32">
        <f>IF(OR($B1175="",$AC1175="",$A1175="",$F1175=""),"",$B1175&amp;"|"&amp;$A1175&amp;"|"&amp;$F1175&amp;"|"&amp;$AC1175&amp;"|"&amp;COUNTIFS($B$6:$B1175,$B1175,$A$6:$A1175,$A1175,$F$6:$F1175,$F1175,$AC$6:$AC1175,$AC1175))</f>
        <v/>
      </c>
      <c r="AG1175" s="32">
        <f>IF($C1175="","",$C1175&amp;"|"&amp;COUNTIFS($C$6:$C1175,$C1175))</f>
        <v/>
      </c>
      <c r="AH1175" s="32">
        <f>IF(OR($C1175="",$A1175="",$AE1175=""),"",$C1175&amp;"|"&amp;$A1175&amp;"|"&amp;$AE1175)</f>
        <v/>
      </c>
      <c r="AI1175" s="32">
        <f>IF(OR($C1175="",$AE1175="",$AE1175=1),"",IFERROR(INDEX($AC$6:$AC$1505,MATCH($C1175&amp;"|"&amp;$A1175&amp;"|"&amp;($AE1175-1),$AH$6:$AH$1505,0)),""))</f>
        <v/>
      </c>
      <c r="AJ1175" s="32">
        <f>IF(OR($AI1175="",$AC1175=""),"",IF($AI1175=$AC1175,"ללא שינוי","מ-"&amp;$AI1175&amp;" ל-"&amp;$AC1175))</f>
        <v/>
      </c>
      <c r="AK1175" s="67" t="n"/>
    </row>
    <row r="1176">
      <c r="A1176" s="65" t="n"/>
      <c r="B1176" s="65" t="n"/>
      <c r="C1176" s="66" t="n"/>
      <c r="D1176" s="66" t="n"/>
      <c r="E1176" s="65" t="n"/>
      <c r="F1176" s="65" t="n"/>
      <c r="G1176" s="65" t="n"/>
      <c r="H1176" s="65" t="n"/>
      <c r="I1176" s="65" t="n"/>
      <c r="J1176" s="65" t="n"/>
      <c r="K1176" s="65" t="n"/>
      <c r="L1176" s="65" t="n"/>
      <c r="M1176" s="65" t="n"/>
      <c r="N1176" s="65" t="n"/>
      <c r="O1176" s="65" t="n"/>
      <c r="P1176" s="65" t="n"/>
      <c r="Q1176" s="65" t="n"/>
      <c r="R1176" s="65" t="n"/>
      <c r="S1176" s="65" t="n"/>
      <c r="T1176" s="65" t="n"/>
      <c r="U1176" s="65" t="n"/>
      <c r="V1176" s="65" t="n"/>
      <c r="W1176" s="65" t="n"/>
      <c r="X1176" s="65" t="n"/>
      <c r="Y1176" s="32">
        <f>IF($C1176="","",IF(COUNTA($I1176:$K1176)&lt;3,"— חסרים נתונים",IF(AND($I1176="תקין",$J1176="תקין",$K1176="תקין"),"רהוטה",IF(AND($I1176="תקין",$J1176="תקין"),"מדויקת ורציפה","אינה מדויקת או מקוטעת"))))</f>
        <v/>
      </c>
      <c r="Z1176" s="32">
        <f>IF($C1176="","",IF(COUNTA($U1176:$W1176)&lt;3,"",IF(AND($U1176="מפותח",$V1176="מפותח",$W1176="מפותחת"),"מפותחת",IF((--($U1176="דל"))+(--($V1176="אינו מפותח"))+(--($W1176="דלה"))&gt;=2,"אינה מפותחת","חלקית"))))</f>
        <v/>
      </c>
      <c r="AA1176" s="32">
        <f>IF($C1176="","",IF(COUNTA($M1176,$N1176,$O1176)&lt;3,"— חסרים נתונים",IF(OR($M1176="נמוכה",(--($M1176&lt;&gt;"תקינה"))+(--($N1176&lt;&gt;"תקין"))+(--($O1176&lt;&gt;"תקינה"))&gt;=2),"ניכרת","אינה ניכרת")))</f>
        <v/>
      </c>
      <c r="AB1176" s="32">
        <f>IF(OR($C1176="",$Y1176="",$AA1176="",LEFT($Y1176,1)="—",LEFT($AA1176,1)="—"),"",IF($Z1176="","— נדרשת הערכת כתיבה",IF($L1176="","— חסרה הבנת הנקרא",IF($Y1176="אינה מדויקת או מקוטעת",IF($AA1176="ניכרת","מיקוד בשטף הקריאה ובכישורי שפה","מיקוד בשטף קריאה"),IF($AA1176="ניכרת","מיקוד בכישורי שפה",IF(AND($L1176="תקינה",$Z1176="מפותחת"),"קוראים וכותבים מיומנים","מיקוד בהבנה והבעה"))))))</f>
        <v/>
      </c>
      <c r="AC1176" s="32">
        <f>IF(OR($AB1176="",LEFT($AB1176,1)="—"),"",IF(OR($AB1176="מיקוד בשטף קריאה",$AB1176="מיקוד בשטף הקריאה ובכישורי שפה"),"רמה א'",IF($AB1176="קוראים וכותבים מיומנים","רמה ג'","רמה ב'")))</f>
        <v/>
      </c>
      <c r="AD1176" s="32">
        <f>IF($AC1176="","",MID(IF(AND($AC1176="רמה א'",$AA1176="ניכרת"),"; להוסיף עבודת אוצר מילים","")&amp;IF($Z1176="אינה מפותחת","; דגש על הבעה בכתב","")&amp;IF($K1176&lt;&gt;"תקין","; נדרש לעבוד על ההנגנה","")&amp;IF($AK1176&lt;&gt;"","; "&amp;$AK1176,""),3,400))</f>
        <v/>
      </c>
      <c r="AE1176" s="32">
        <f>IF($F1176="","",IF($F1176="תחילת שנה",1,IF($F1176="מחצית שנה",2,3)))</f>
        <v/>
      </c>
      <c r="AF1176" s="32">
        <f>IF(OR($B1176="",$AC1176="",$A1176="",$F1176=""),"",$B1176&amp;"|"&amp;$A1176&amp;"|"&amp;$F1176&amp;"|"&amp;$AC1176&amp;"|"&amp;COUNTIFS($B$6:$B1176,$B1176,$A$6:$A1176,$A1176,$F$6:$F1176,$F1176,$AC$6:$AC1176,$AC1176))</f>
        <v/>
      </c>
      <c r="AG1176" s="32">
        <f>IF($C1176="","",$C1176&amp;"|"&amp;COUNTIFS($C$6:$C1176,$C1176))</f>
        <v/>
      </c>
      <c r="AH1176" s="32">
        <f>IF(OR($C1176="",$A1176="",$AE1176=""),"",$C1176&amp;"|"&amp;$A1176&amp;"|"&amp;$AE1176)</f>
        <v/>
      </c>
      <c r="AI1176" s="32">
        <f>IF(OR($C1176="",$AE1176="",$AE1176=1),"",IFERROR(INDEX($AC$6:$AC$1505,MATCH($C1176&amp;"|"&amp;$A1176&amp;"|"&amp;($AE1176-1),$AH$6:$AH$1505,0)),""))</f>
        <v/>
      </c>
      <c r="AJ1176" s="32">
        <f>IF(OR($AI1176="",$AC1176=""),"",IF($AI1176=$AC1176,"ללא שינוי","מ-"&amp;$AI1176&amp;" ל-"&amp;$AC1176))</f>
        <v/>
      </c>
      <c r="AK1176" s="67" t="n"/>
    </row>
    <row r="1177">
      <c r="A1177" s="65" t="n"/>
      <c r="B1177" s="65" t="n"/>
      <c r="C1177" s="66" t="n"/>
      <c r="D1177" s="66" t="n"/>
      <c r="E1177" s="65" t="n"/>
      <c r="F1177" s="65" t="n"/>
      <c r="G1177" s="65" t="n"/>
      <c r="H1177" s="65" t="n"/>
      <c r="I1177" s="65" t="n"/>
      <c r="J1177" s="65" t="n"/>
      <c r="K1177" s="65" t="n"/>
      <c r="L1177" s="65" t="n"/>
      <c r="M1177" s="65" t="n"/>
      <c r="N1177" s="65" t="n"/>
      <c r="O1177" s="65" t="n"/>
      <c r="P1177" s="65" t="n"/>
      <c r="Q1177" s="65" t="n"/>
      <c r="R1177" s="65" t="n"/>
      <c r="S1177" s="65" t="n"/>
      <c r="T1177" s="65" t="n"/>
      <c r="U1177" s="65" t="n"/>
      <c r="V1177" s="65" t="n"/>
      <c r="W1177" s="65" t="n"/>
      <c r="X1177" s="65" t="n"/>
      <c r="Y1177" s="32">
        <f>IF($C1177="","",IF(COUNTA($I1177:$K1177)&lt;3,"— חסרים נתונים",IF(AND($I1177="תקין",$J1177="תקין",$K1177="תקין"),"רהוטה",IF(AND($I1177="תקין",$J1177="תקין"),"מדויקת ורציפה","אינה מדויקת או מקוטעת"))))</f>
        <v/>
      </c>
      <c r="Z1177" s="32">
        <f>IF($C1177="","",IF(COUNTA($U1177:$W1177)&lt;3,"",IF(AND($U1177="מפותח",$V1177="מפותח",$W1177="מפותחת"),"מפותחת",IF((--($U1177="דל"))+(--($V1177="אינו מפותח"))+(--($W1177="דלה"))&gt;=2,"אינה מפותחת","חלקית"))))</f>
        <v/>
      </c>
      <c r="AA1177" s="32">
        <f>IF($C1177="","",IF(COUNTA($M1177,$N1177,$O1177)&lt;3,"— חסרים נתונים",IF(OR($M1177="נמוכה",(--($M1177&lt;&gt;"תקינה"))+(--($N1177&lt;&gt;"תקין"))+(--($O1177&lt;&gt;"תקינה"))&gt;=2),"ניכרת","אינה ניכרת")))</f>
        <v/>
      </c>
      <c r="AB1177" s="32">
        <f>IF(OR($C1177="",$Y1177="",$AA1177="",LEFT($Y1177,1)="—",LEFT($AA1177,1)="—"),"",IF($Z1177="","— נדרשת הערכת כתיבה",IF($L1177="","— חסרה הבנת הנקרא",IF($Y1177="אינה מדויקת או מקוטעת",IF($AA1177="ניכרת","מיקוד בשטף הקריאה ובכישורי שפה","מיקוד בשטף קריאה"),IF($AA1177="ניכרת","מיקוד בכישורי שפה",IF(AND($L1177="תקינה",$Z1177="מפותחת"),"קוראים וכותבים מיומנים","מיקוד בהבנה והבעה"))))))</f>
        <v/>
      </c>
      <c r="AC1177" s="32">
        <f>IF(OR($AB1177="",LEFT($AB1177,1)="—"),"",IF(OR($AB1177="מיקוד בשטף קריאה",$AB1177="מיקוד בשטף הקריאה ובכישורי שפה"),"רמה א'",IF($AB1177="קוראים וכותבים מיומנים","רמה ג'","רמה ב'")))</f>
        <v/>
      </c>
      <c r="AD1177" s="32">
        <f>IF($AC1177="","",MID(IF(AND($AC1177="רמה א'",$AA1177="ניכרת"),"; להוסיף עבודת אוצר מילים","")&amp;IF($Z1177="אינה מפותחת","; דגש על הבעה בכתב","")&amp;IF($K1177&lt;&gt;"תקין","; נדרש לעבוד על ההנגנה","")&amp;IF($AK1177&lt;&gt;"","; "&amp;$AK1177,""),3,400))</f>
        <v/>
      </c>
      <c r="AE1177" s="32">
        <f>IF($F1177="","",IF($F1177="תחילת שנה",1,IF($F1177="מחצית שנה",2,3)))</f>
        <v/>
      </c>
      <c r="AF1177" s="32">
        <f>IF(OR($B1177="",$AC1177="",$A1177="",$F1177=""),"",$B1177&amp;"|"&amp;$A1177&amp;"|"&amp;$F1177&amp;"|"&amp;$AC1177&amp;"|"&amp;COUNTIFS($B$6:$B1177,$B1177,$A$6:$A1177,$A1177,$F$6:$F1177,$F1177,$AC$6:$AC1177,$AC1177))</f>
        <v/>
      </c>
      <c r="AG1177" s="32">
        <f>IF($C1177="","",$C1177&amp;"|"&amp;COUNTIFS($C$6:$C1177,$C1177))</f>
        <v/>
      </c>
      <c r="AH1177" s="32">
        <f>IF(OR($C1177="",$A1177="",$AE1177=""),"",$C1177&amp;"|"&amp;$A1177&amp;"|"&amp;$AE1177)</f>
        <v/>
      </c>
      <c r="AI1177" s="32">
        <f>IF(OR($C1177="",$AE1177="",$AE1177=1),"",IFERROR(INDEX($AC$6:$AC$1505,MATCH($C1177&amp;"|"&amp;$A1177&amp;"|"&amp;($AE1177-1),$AH$6:$AH$1505,0)),""))</f>
        <v/>
      </c>
      <c r="AJ1177" s="32">
        <f>IF(OR($AI1177="",$AC1177=""),"",IF($AI1177=$AC1177,"ללא שינוי","מ-"&amp;$AI1177&amp;" ל-"&amp;$AC1177))</f>
        <v/>
      </c>
      <c r="AK1177" s="67" t="n"/>
    </row>
    <row r="1178">
      <c r="A1178" s="65" t="n"/>
      <c r="B1178" s="65" t="n"/>
      <c r="C1178" s="66" t="n"/>
      <c r="D1178" s="66" t="n"/>
      <c r="E1178" s="65" t="n"/>
      <c r="F1178" s="65" t="n"/>
      <c r="G1178" s="65" t="n"/>
      <c r="H1178" s="65" t="n"/>
      <c r="I1178" s="65" t="n"/>
      <c r="J1178" s="65" t="n"/>
      <c r="K1178" s="65" t="n"/>
      <c r="L1178" s="65" t="n"/>
      <c r="M1178" s="65" t="n"/>
      <c r="N1178" s="65" t="n"/>
      <c r="O1178" s="65" t="n"/>
      <c r="P1178" s="65" t="n"/>
      <c r="Q1178" s="65" t="n"/>
      <c r="R1178" s="65" t="n"/>
      <c r="S1178" s="65" t="n"/>
      <c r="T1178" s="65" t="n"/>
      <c r="U1178" s="65" t="n"/>
      <c r="V1178" s="65" t="n"/>
      <c r="W1178" s="65" t="n"/>
      <c r="X1178" s="65" t="n"/>
      <c r="Y1178" s="32">
        <f>IF($C1178="","",IF(COUNTA($I1178:$K1178)&lt;3,"— חסרים נתונים",IF(AND($I1178="תקין",$J1178="תקין",$K1178="תקין"),"רהוטה",IF(AND($I1178="תקין",$J1178="תקין"),"מדויקת ורציפה","אינה מדויקת או מקוטעת"))))</f>
        <v/>
      </c>
      <c r="Z1178" s="32">
        <f>IF($C1178="","",IF(COUNTA($U1178:$W1178)&lt;3,"",IF(AND($U1178="מפותח",$V1178="מפותח",$W1178="מפותחת"),"מפותחת",IF((--($U1178="דל"))+(--($V1178="אינו מפותח"))+(--($W1178="דלה"))&gt;=2,"אינה מפותחת","חלקית"))))</f>
        <v/>
      </c>
      <c r="AA1178" s="32">
        <f>IF($C1178="","",IF(COUNTA($M1178,$N1178,$O1178)&lt;3,"— חסרים נתונים",IF(OR($M1178="נמוכה",(--($M1178&lt;&gt;"תקינה"))+(--($N1178&lt;&gt;"תקין"))+(--($O1178&lt;&gt;"תקינה"))&gt;=2),"ניכרת","אינה ניכרת")))</f>
        <v/>
      </c>
      <c r="AB1178" s="32">
        <f>IF(OR($C1178="",$Y1178="",$AA1178="",LEFT($Y1178,1)="—",LEFT($AA1178,1)="—"),"",IF($Z1178="","— נדרשת הערכת כתיבה",IF($L1178="","— חסרה הבנת הנקרא",IF($Y1178="אינה מדויקת או מקוטעת",IF($AA1178="ניכרת","מיקוד בשטף הקריאה ובכישורי שפה","מיקוד בשטף קריאה"),IF($AA1178="ניכרת","מיקוד בכישורי שפה",IF(AND($L1178="תקינה",$Z1178="מפותחת"),"קוראים וכותבים מיומנים","מיקוד בהבנה והבעה"))))))</f>
        <v/>
      </c>
      <c r="AC1178" s="32">
        <f>IF(OR($AB1178="",LEFT($AB1178,1)="—"),"",IF(OR($AB1178="מיקוד בשטף קריאה",$AB1178="מיקוד בשטף הקריאה ובכישורי שפה"),"רמה א'",IF($AB1178="קוראים וכותבים מיומנים","רמה ג'","רמה ב'")))</f>
        <v/>
      </c>
      <c r="AD1178" s="32">
        <f>IF($AC1178="","",MID(IF(AND($AC1178="רמה א'",$AA1178="ניכרת"),"; להוסיף עבודת אוצר מילים","")&amp;IF($Z1178="אינה מפותחת","; דגש על הבעה בכתב","")&amp;IF($K1178&lt;&gt;"תקין","; נדרש לעבוד על ההנגנה","")&amp;IF($AK1178&lt;&gt;"","; "&amp;$AK1178,""),3,400))</f>
        <v/>
      </c>
      <c r="AE1178" s="32">
        <f>IF($F1178="","",IF($F1178="תחילת שנה",1,IF($F1178="מחצית שנה",2,3)))</f>
        <v/>
      </c>
      <c r="AF1178" s="32">
        <f>IF(OR($B1178="",$AC1178="",$A1178="",$F1178=""),"",$B1178&amp;"|"&amp;$A1178&amp;"|"&amp;$F1178&amp;"|"&amp;$AC1178&amp;"|"&amp;COUNTIFS($B$6:$B1178,$B1178,$A$6:$A1178,$A1178,$F$6:$F1178,$F1178,$AC$6:$AC1178,$AC1178))</f>
        <v/>
      </c>
      <c r="AG1178" s="32">
        <f>IF($C1178="","",$C1178&amp;"|"&amp;COUNTIFS($C$6:$C1178,$C1178))</f>
        <v/>
      </c>
      <c r="AH1178" s="32">
        <f>IF(OR($C1178="",$A1178="",$AE1178=""),"",$C1178&amp;"|"&amp;$A1178&amp;"|"&amp;$AE1178)</f>
        <v/>
      </c>
      <c r="AI1178" s="32">
        <f>IF(OR($C1178="",$AE1178="",$AE1178=1),"",IFERROR(INDEX($AC$6:$AC$1505,MATCH($C1178&amp;"|"&amp;$A1178&amp;"|"&amp;($AE1178-1),$AH$6:$AH$1505,0)),""))</f>
        <v/>
      </c>
      <c r="AJ1178" s="32">
        <f>IF(OR($AI1178="",$AC1178=""),"",IF($AI1178=$AC1178,"ללא שינוי","מ-"&amp;$AI1178&amp;" ל-"&amp;$AC1178))</f>
        <v/>
      </c>
      <c r="AK1178" s="67" t="n"/>
    </row>
    <row r="1179">
      <c r="A1179" s="65" t="n"/>
      <c r="B1179" s="65" t="n"/>
      <c r="C1179" s="66" t="n"/>
      <c r="D1179" s="66" t="n"/>
      <c r="E1179" s="65" t="n"/>
      <c r="F1179" s="65" t="n"/>
      <c r="G1179" s="65" t="n"/>
      <c r="H1179" s="65" t="n"/>
      <c r="I1179" s="65" t="n"/>
      <c r="J1179" s="65" t="n"/>
      <c r="K1179" s="65" t="n"/>
      <c r="L1179" s="65" t="n"/>
      <c r="M1179" s="65" t="n"/>
      <c r="N1179" s="65" t="n"/>
      <c r="O1179" s="65" t="n"/>
      <c r="P1179" s="65" t="n"/>
      <c r="Q1179" s="65" t="n"/>
      <c r="R1179" s="65" t="n"/>
      <c r="S1179" s="65" t="n"/>
      <c r="T1179" s="65" t="n"/>
      <c r="U1179" s="65" t="n"/>
      <c r="V1179" s="65" t="n"/>
      <c r="W1179" s="65" t="n"/>
      <c r="X1179" s="65" t="n"/>
      <c r="Y1179" s="32">
        <f>IF($C1179="","",IF(COUNTA($I1179:$K1179)&lt;3,"— חסרים נתונים",IF(AND($I1179="תקין",$J1179="תקין",$K1179="תקין"),"רהוטה",IF(AND($I1179="תקין",$J1179="תקין"),"מדויקת ורציפה","אינה מדויקת או מקוטעת"))))</f>
        <v/>
      </c>
      <c r="Z1179" s="32">
        <f>IF($C1179="","",IF(COUNTA($U1179:$W1179)&lt;3,"",IF(AND($U1179="מפותח",$V1179="מפותח",$W1179="מפותחת"),"מפותחת",IF((--($U1179="דל"))+(--($V1179="אינו מפותח"))+(--($W1179="דלה"))&gt;=2,"אינה מפותחת","חלקית"))))</f>
        <v/>
      </c>
      <c r="AA1179" s="32">
        <f>IF($C1179="","",IF(COUNTA($M1179,$N1179,$O1179)&lt;3,"— חסרים נתונים",IF(OR($M1179="נמוכה",(--($M1179&lt;&gt;"תקינה"))+(--($N1179&lt;&gt;"תקין"))+(--($O1179&lt;&gt;"תקינה"))&gt;=2),"ניכרת","אינה ניכרת")))</f>
        <v/>
      </c>
      <c r="AB1179" s="32">
        <f>IF(OR($C1179="",$Y1179="",$AA1179="",LEFT($Y1179,1)="—",LEFT($AA1179,1)="—"),"",IF($Z1179="","— נדרשת הערכת כתיבה",IF($L1179="","— חסרה הבנת הנקרא",IF($Y1179="אינה מדויקת או מקוטעת",IF($AA1179="ניכרת","מיקוד בשטף הקריאה ובכישורי שפה","מיקוד בשטף קריאה"),IF($AA1179="ניכרת","מיקוד בכישורי שפה",IF(AND($L1179="תקינה",$Z1179="מפותחת"),"קוראים וכותבים מיומנים","מיקוד בהבנה והבעה"))))))</f>
        <v/>
      </c>
      <c r="AC1179" s="32">
        <f>IF(OR($AB1179="",LEFT($AB1179,1)="—"),"",IF(OR($AB1179="מיקוד בשטף קריאה",$AB1179="מיקוד בשטף הקריאה ובכישורי שפה"),"רמה א'",IF($AB1179="קוראים וכותבים מיומנים","רמה ג'","רמה ב'")))</f>
        <v/>
      </c>
      <c r="AD1179" s="32">
        <f>IF($AC1179="","",MID(IF(AND($AC1179="רמה א'",$AA1179="ניכרת"),"; להוסיף עבודת אוצר מילים","")&amp;IF($Z1179="אינה מפותחת","; דגש על הבעה בכתב","")&amp;IF($K1179&lt;&gt;"תקין","; נדרש לעבוד על ההנגנה","")&amp;IF($AK1179&lt;&gt;"","; "&amp;$AK1179,""),3,400))</f>
        <v/>
      </c>
      <c r="AE1179" s="32">
        <f>IF($F1179="","",IF($F1179="תחילת שנה",1,IF($F1179="מחצית שנה",2,3)))</f>
        <v/>
      </c>
      <c r="AF1179" s="32">
        <f>IF(OR($B1179="",$AC1179="",$A1179="",$F1179=""),"",$B1179&amp;"|"&amp;$A1179&amp;"|"&amp;$F1179&amp;"|"&amp;$AC1179&amp;"|"&amp;COUNTIFS($B$6:$B1179,$B1179,$A$6:$A1179,$A1179,$F$6:$F1179,$F1179,$AC$6:$AC1179,$AC1179))</f>
        <v/>
      </c>
      <c r="AG1179" s="32">
        <f>IF($C1179="","",$C1179&amp;"|"&amp;COUNTIFS($C$6:$C1179,$C1179))</f>
        <v/>
      </c>
      <c r="AH1179" s="32">
        <f>IF(OR($C1179="",$A1179="",$AE1179=""),"",$C1179&amp;"|"&amp;$A1179&amp;"|"&amp;$AE1179)</f>
        <v/>
      </c>
      <c r="AI1179" s="32">
        <f>IF(OR($C1179="",$AE1179="",$AE1179=1),"",IFERROR(INDEX($AC$6:$AC$1505,MATCH($C1179&amp;"|"&amp;$A1179&amp;"|"&amp;($AE1179-1),$AH$6:$AH$1505,0)),""))</f>
        <v/>
      </c>
      <c r="AJ1179" s="32">
        <f>IF(OR($AI1179="",$AC1179=""),"",IF($AI1179=$AC1179,"ללא שינוי","מ-"&amp;$AI1179&amp;" ל-"&amp;$AC1179))</f>
        <v/>
      </c>
      <c r="AK1179" s="67" t="n"/>
    </row>
    <row r="1180">
      <c r="A1180" s="65" t="n"/>
      <c r="B1180" s="65" t="n"/>
      <c r="C1180" s="66" t="n"/>
      <c r="D1180" s="66" t="n"/>
      <c r="E1180" s="65" t="n"/>
      <c r="F1180" s="65" t="n"/>
      <c r="G1180" s="65" t="n"/>
      <c r="H1180" s="65" t="n"/>
      <c r="I1180" s="65" t="n"/>
      <c r="J1180" s="65" t="n"/>
      <c r="K1180" s="65" t="n"/>
      <c r="L1180" s="65" t="n"/>
      <c r="M1180" s="65" t="n"/>
      <c r="N1180" s="65" t="n"/>
      <c r="O1180" s="65" t="n"/>
      <c r="P1180" s="65" t="n"/>
      <c r="Q1180" s="65" t="n"/>
      <c r="R1180" s="65" t="n"/>
      <c r="S1180" s="65" t="n"/>
      <c r="T1180" s="65" t="n"/>
      <c r="U1180" s="65" t="n"/>
      <c r="V1180" s="65" t="n"/>
      <c r="W1180" s="65" t="n"/>
      <c r="X1180" s="65" t="n"/>
      <c r="Y1180" s="32">
        <f>IF($C1180="","",IF(COUNTA($I1180:$K1180)&lt;3,"— חסרים נתונים",IF(AND($I1180="תקין",$J1180="תקין",$K1180="תקין"),"רהוטה",IF(AND($I1180="תקין",$J1180="תקין"),"מדויקת ורציפה","אינה מדויקת או מקוטעת"))))</f>
        <v/>
      </c>
      <c r="Z1180" s="32">
        <f>IF($C1180="","",IF(COUNTA($U1180:$W1180)&lt;3,"",IF(AND($U1180="מפותח",$V1180="מפותח",$W1180="מפותחת"),"מפותחת",IF((--($U1180="דל"))+(--($V1180="אינו מפותח"))+(--($W1180="דלה"))&gt;=2,"אינה מפותחת","חלקית"))))</f>
        <v/>
      </c>
      <c r="AA1180" s="32">
        <f>IF($C1180="","",IF(COUNTA($M1180,$N1180,$O1180)&lt;3,"— חסרים נתונים",IF(OR($M1180="נמוכה",(--($M1180&lt;&gt;"תקינה"))+(--($N1180&lt;&gt;"תקין"))+(--($O1180&lt;&gt;"תקינה"))&gt;=2),"ניכרת","אינה ניכרת")))</f>
        <v/>
      </c>
      <c r="AB1180" s="32">
        <f>IF(OR($C1180="",$Y1180="",$AA1180="",LEFT($Y1180,1)="—",LEFT($AA1180,1)="—"),"",IF($Z1180="","— נדרשת הערכת כתיבה",IF($L1180="","— חסרה הבנת הנקרא",IF($Y1180="אינה מדויקת או מקוטעת",IF($AA1180="ניכרת","מיקוד בשטף הקריאה ובכישורי שפה","מיקוד בשטף קריאה"),IF($AA1180="ניכרת","מיקוד בכישורי שפה",IF(AND($L1180="תקינה",$Z1180="מפותחת"),"קוראים וכותבים מיומנים","מיקוד בהבנה והבעה"))))))</f>
        <v/>
      </c>
      <c r="AC1180" s="32">
        <f>IF(OR($AB1180="",LEFT($AB1180,1)="—"),"",IF(OR($AB1180="מיקוד בשטף קריאה",$AB1180="מיקוד בשטף הקריאה ובכישורי שפה"),"רמה א'",IF($AB1180="קוראים וכותבים מיומנים","רמה ג'","רמה ב'")))</f>
        <v/>
      </c>
      <c r="AD1180" s="32">
        <f>IF($AC1180="","",MID(IF(AND($AC1180="רמה א'",$AA1180="ניכרת"),"; להוסיף עבודת אוצר מילים","")&amp;IF($Z1180="אינה מפותחת","; דגש על הבעה בכתב","")&amp;IF($K1180&lt;&gt;"תקין","; נדרש לעבוד על ההנגנה","")&amp;IF($AK1180&lt;&gt;"","; "&amp;$AK1180,""),3,400))</f>
        <v/>
      </c>
      <c r="AE1180" s="32">
        <f>IF($F1180="","",IF($F1180="תחילת שנה",1,IF($F1180="מחצית שנה",2,3)))</f>
        <v/>
      </c>
      <c r="AF1180" s="32">
        <f>IF(OR($B1180="",$AC1180="",$A1180="",$F1180=""),"",$B1180&amp;"|"&amp;$A1180&amp;"|"&amp;$F1180&amp;"|"&amp;$AC1180&amp;"|"&amp;COUNTIFS($B$6:$B1180,$B1180,$A$6:$A1180,$A1180,$F$6:$F1180,$F1180,$AC$6:$AC1180,$AC1180))</f>
        <v/>
      </c>
      <c r="AG1180" s="32">
        <f>IF($C1180="","",$C1180&amp;"|"&amp;COUNTIFS($C$6:$C1180,$C1180))</f>
        <v/>
      </c>
      <c r="AH1180" s="32">
        <f>IF(OR($C1180="",$A1180="",$AE1180=""),"",$C1180&amp;"|"&amp;$A1180&amp;"|"&amp;$AE1180)</f>
        <v/>
      </c>
      <c r="AI1180" s="32">
        <f>IF(OR($C1180="",$AE1180="",$AE1180=1),"",IFERROR(INDEX($AC$6:$AC$1505,MATCH($C1180&amp;"|"&amp;$A1180&amp;"|"&amp;($AE1180-1),$AH$6:$AH$1505,0)),""))</f>
        <v/>
      </c>
      <c r="AJ1180" s="32">
        <f>IF(OR($AI1180="",$AC1180=""),"",IF($AI1180=$AC1180,"ללא שינוי","מ-"&amp;$AI1180&amp;" ל-"&amp;$AC1180))</f>
        <v/>
      </c>
      <c r="AK1180" s="67" t="n"/>
    </row>
    <row r="1181">
      <c r="A1181" s="65" t="n"/>
      <c r="B1181" s="65" t="n"/>
      <c r="C1181" s="66" t="n"/>
      <c r="D1181" s="66" t="n"/>
      <c r="E1181" s="65" t="n"/>
      <c r="F1181" s="65" t="n"/>
      <c r="G1181" s="65" t="n"/>
      <c r="H1181" s="65" t="n"/>
      <c r="I1181" s="65" t="n"/>
      <c r="J1181" s="65" t="n"/>
      <c r="K1181" s="65" t="n"/>
      <c r="L1181" s="65" t="n"/>
      <c r="M1181" s="65" t="n"/>
      <c r="N1181" s="65" t="n"/>
      <c r="O1181" s="65" t="n"/>
      <c r="P1181" s="65" t="n"/>
      <c r="Q1181" s="65" t="n"/>
      <c r="R1181" s="65" t="n"/>
      <c r="S1181" s="65" t="n"/>
      <c r="T1181" s="65" t="n"/>
      <c r="U1181" s="65" t="n"/>
      <c r="V1181" s="65" t="n"/>
      <c r="W1181" s="65" t="n"/>
      <c r="X1181" s="65" t="n"/>
      <c r="Y1181" s="32">
        <f>IF($C1181="","",IF(COUNTA($I1181:$K1181)&lt;3,"— חסרים נתונים",IF(AND($I1181="תקין",$J1181="תקין",$K1181="תקין"),"רהוטה",IF(AND($I1181="תקין",$J1181="תקין"),"מדויקת ורציפה","אינה מדויקת או מקוטעת"))))</f>
        <v/>
      </c>
      <c r="Z1181" s="32">
        <f>IF($C1181="","",IF(COUNTA($U1181:$W1181)&lt;3,"",IF(AND($U1181="מפותח",$V1181="מפותח",$W1181="מפותחת"),"מפותחת",IF((--($U1181="דל"))+(--($V1181="אינו מפותח"))+(--($W1181="דלה"))&gt;=2,"אינה מפותחת","חלקית"))))</f>
        <v/>
      </c>
      <c r="AA1181" s="32">
        <f>IF($C1181="","",IF(COUNTA($M1181,$N1181,$O1181)&lt;3,"— חסרים נתונים",IF(OR($M1181="נמוכה",(--($M1181&lt;&gt;"תקינה"))+(--($N1181&lt;&gt;"תקין"))+(--($O1181&lt;&gt;"תקינה"))&gt;=2),"ניכרת","אינה ניכרת")))</f>
        <v/>
      </c>
      <c r="AB1181" s="32">
        <f>IF(OR($C1181="",$Y1181="",$AA1181="",LEFT($Y1181,1)="—",LEFT($AA1181,1)="—"),"",IF($Z1181="","— נדרשת הערכת כתיבה",IF($L1181="","— חסרה הבנת הנקרא",IF($Y1181="אינה מדויקת או מקוטעת",IF($AA1181="ניכרת","מיקוד בשטף הקריאה ובכישורי שפה","מיקוד בשטף קריאה"),IF($AA1181="ניכרת","מיקוד בכישורי שפה",IF(AND($L1181="תקינה",$Z1181="מפותחת"),"קוראים וכותבים מיומנים","מיקוד בהבנה והבעה"))))))</f>
        <v/>
      </c>
      <c r="AC1181" s="32">
        <f>IF(OR($AB1181="",LEFT($AB1181,1)="—"),"",IF(OR($AB1181="מיקוד בשטף קריאה",$AB1181="מיקוד בשטף הקריאה ובכישורי שפה"),"רמה א'",IF($AB1181="קוראים וכותבים מיומנים","רמה ג'","רמה ב'")))</f>
        <v/>
      </c>
      <c r="AD1181" s="32">
        <f>IF($AC1181="","",MID(IF(AND($AC1181="רמה א'",$AA1181="ניכרת"),"; להוסיף עבודת אוצר מילים","")&amp;IF($Z1181="אינה מפותחת","; דגש על הבעה בכתב","")&amp;IF($K1181&lt;&gt;"תקין","; נדרש לעבוד על ההנגנה","")&amp;IF($AK1181&lt;&gt;"","; "&amp;$AK1181,""),3,400))</f>
        <v/>
      </c>
      <c r="AE1181" s="32">
        <f>IF($F1181="","",IF($F1181="תחילת שנה",1,IF($F1181="מחצית שנה",2,3)))</f>
        <v/>
      </c>
      <c r="AF1181" s="32">
        <f>IF(OR($B1181="",$AC1181="",$A1181="",$F1181=""),"",$B1181&amp;"|"&amp;$A1181&amp;"|"&amp;$F1181&amp;"|"&amp;$AC1181&amp;"|"&amp;COUNTIFS($B$6:$B1181,$B1181,$A$6:$A1181,$A1181,$F$6:$F1181,$F1181,$AC$6:$AC1181,$AC1181))</f>
        <v/>
      </c>
      <c r="AG1181" s="32">
        <f>IF($C1181="","",$C1181&amp;"|"&amp;COUNTIFS($C$6:$C1181,$C1181))</f>
        <v/>
      </c>
      <c r="AH1181" s="32">
        <f>IF(OR($C1181="",$A1181="",$AE1181=""),"",$C1181&amp;"|"&amp;$A1181&amp;"|"&amp;$AE1181)</f>
        <v/>
      </c>
      <c r="AI1181" s="32">
        <f>IF(OR($C1181="",$AE1181="",$AE1181=1),"",IFERROR(INDEX($AC$6:$AC$1505,MATCH($C1181&amp;"|"&amp;$A1181&amp;"|"&amp;($AE1181-1),$AH$6:$AH$1505,0)),""))</f>
        <v/>
      </c>
      <c r="AJ1181" s="32">
        <f>IF(OR($AI1181="",$AC1181=""),"",IF($AI1181=$AC1181,"ללא שינוי","מ-"&amp;$AI1181&amp;" ל-"&amp;$AC1181))</f>
        <v/>
      </c>
      <c r="AK1181" s="67" t="n"/>
    </row>
    <row r="1182">
      <c r="A1182" s="65" t="n"/>
      <c r="B1182" s="65" t="n"/>
      <c r="C1182" s="66" t="n"/>
      <c r="D1182" s="66" t="n"/>
      <c r="E1182" s="65" t="n"/>
      <c r="F1182" s="65" t="n"/>
      <c r="G1182" s="65" t="n"/>
      <c r="H1182" s="65" t="n"/>
      <c r="I1182" s="65" t="n"/>
      <c r="J1182" s="65" t="n"/>
      <c r="K1182" s="65" t="n"/>
      <c r="L1182" s="65" t="n"/>
      <c r="M1182" s="65" t="n"/>
      <c r="N1182" s="65" t="n"/>
      <c r="O1182" s="65" t="n"/>
      <c r="P1182" s="65" t="n"/>
      <c r="Q1182" s="65" t="n"/>
      <c r="R1182" s="65" t="n"/>
      <c r="S1182" s="65" t="n"/>
      <c r="T1182" s="65" t="n"/>
      <c r="U1182" s="65" t="n"/>
      <c r="V1182" s="65" t="n"/>
      <c r="W1182" s="65" t="n"/>
      <c r="X1182" s="65" t="n"/>
      <c r="Y1182" s="32">
        <f>IF($C1182="","",IF(COUNTA($I1182:$K1182)&lt;3,"— חסרים נתונים",IF(AND($I1182="תקין",$J1182="תקין",$K1182="תקין"),"רהוטה",IF(AND($I1182="תקין",$J1182="תקין"),"מדויקת ורציפה","אינה מדויקת או מקוטעת"))))</f>
        <v/>
      </c>
      <c r="Z1182" s="32">
        <f>IF($C1182="","",IF(COUNTA($U1182:$W1182)&lt;3,"",IF(AND($U1182="מפותח",$V1182="מפותח",$W1182="מפותחת"),"מפותחת",IF((--($U1182="דל"))+(--($V1182="אינו מפותח"))+(--($W1182="דלה"))&gt;=2,"אינה מפותחת","חלקית"))))</f>
        <v/>
      </c>
      <c r="AA1182" s="32">
        <f>IF($C1182="","",IF(COUNTA($M1182,$N1182,$O1182)&lt;3,"— חסרים נתונים",IF(OR($M1182="נמוכה",(--($M1182&lt;&gt;"תקינה"))+(--($N1182&lt;&gt;"תקין"))+(--($O1182&lt;&gt;"תקינה"))&gt;=2),"ניכרת","אינה ניכרת")))</f>
        <v/>
      </c>
      <c r="AB1182" s="32">
        <f>IF(OR($C1182="",$Y1182="",$AA1182="",LEFT($Y1182,1)="—",LEFT($AA1182,1)="—"),"",IF($Z1182="","— נדרשת הערכת כתיבה",IF($L1182="","— חסרה הבנת הנקרא",IF($Y1182="אינה מדויקת או מקוטעת",IF($AA1182="ניכרת","מיקוד בשטף הקריאה ובכישורי שפה","מיקוד בשטף קריאה"),IF($AA1182="ניכרת","מיקוד בכישורי שפה",IF(AND($L1182="תקינה",$Z1182="מפותחת"),"קוראים וכותבים מיומנים","מיקוד בהבנה והבעה"))))))</f>
        <v/>
      </c>
      <c r="AC1182" s="32">
        <f>IF(OR($AB1182="",LEFT($AB1182,1)="—"),"",IF(OR($AB1182="מיקוד בשטף קריאה",$AB1182="מיקוד בשטף הקריאה ובכישורי שפה"),"רמה א'",IF($AB1182="קוראים וכותבים מיומנים","רמה ג'","רמה ב'")))</f>
        <v/>
      </c>
      <c r="AD1182" s="32">
        <f>IF($AC1182="","",MID(IF(AND($AC1182="רמה א'",$AA1182="ניכרת"),"; להוסיף עבודת אוצר מילים","")&amp;IF($Z1182="אינה מפותחת","; דגש על הבעה בכתב","")&amp;IF($K1182&lt;&gt;"תקין","; נדרש לעבוד על ההנגנה","")&amp;IF($AK1182&lt;&gt;"","; "&amp;$AK1182,""),3,400))</f>
        <v/>
      </c>
      <c r="AE1182" s="32">
        <f>IF($F1182="","",IF($F1182="תחילת שנה",1,IF($F1182="מחצית שנה",2,3)))</f>
        <v/>
      </c>
      <c r="AF1182" s="32">
        <f>IF(OR($B1182="",$AC1182="",$A1182="",$F1182=""),"",$B1182&amp;"|"&amp;$A1182&amp;"|"&amp;$F1182&amp;"|"&amp;$AC1182&amp;"|"&amp;COUNTIFS($B$6:$B1182,$B1182,$A$6:$A1182,$A1182,$F$6:$F1182,$F1182,$AC$6:$AC1182,$AC1182))</f>
        <v/>
      </c>
      <c r="AG1182" s="32">
        <f>IF($C1182="","",$C1182&amp;"|"&amp;COUNTIFS($C$6:$C1182,$C1182))</f>
        <v/>
      </c>
      <c r="AH1182" s="32">
        <f>IF(OR($C1182="",$A1182="",$AE1182=""),"",$C1182&amp;"|"&amp;$A1182&amp;"|"&amp;$AE1182)</f>
        <v/>
      </c>
      <c r="AI1182" s="32">
        <f>IF(OR($C1182="",$AE1182="",$AE1182=1),"",IFERROR(INDEX($AC$6:$AC$1505,MATCH($C1182&amp;"|"&amp;$A1182&amp;"|"&amp;($AE1182-1),$AH$6:$AH$1505,0)),""))</f>
        <v/>
      </c>
      <c r="AJ1182" s="32">
        <f>IF(OR($AI1182="",$AC1182=""),"",IF($AI1182=$AC1182,"ללא שינוי","מ-"&amp;$AI1182&amp;" ל-"&amp;$AC1182))</f>
        <v/>
      </c>
      <c r="AK1182" s="67" t="n"/>
    </row>
    <row r="1183">
      <c r="A1183" s="65" t="n"/>
      <c r="B1183" s="65" t="n"/>
      <c r="C1183" s="66" t="n"/>
      <c r="D1183" s="66" t="n"/>
      <c r="E1183" s="65" t="n"/>
      <c r="F1183" s="65" t="n"/>
      <c r="G1183" s="65" t="n"/>
      <c r="H1183" s="65" t="n"/>
      <c r="I1183" s="65" t="n"/>
      <c r="J1183" s="65" t="n"/>
      <c r="K1183" s="65" t="n"/>
      <c r="L1183" s="65" t="n"/>
      <c r="M1183" s="65" t="n"/>
      <c r="N1183" s="65" t="n"/>
      <c r="O1183" s="65" t="n"/>
      <c r="P1183" s="65" t="n"/>
      <c r="Q1183" s="65" t="n"/>
      <c r="R1183" s="65" t="n"/>
      <c r="S1183" s="65" t="n"/>
      <c r="T1183" s="65" t="n"/>
      <c r="U1183" s="65" t="n"/>
      <c r="V1183" s="65" t="n"/>
      <c r="W1183" s="65" t="n"/>
      <c r="X1183" s="65" t="n"/>
      <c r="Y1183" s="32">
        <f>IF($C1183="","",IF(COUNTA($I1183:$K1183)&lt;3,"— חסרים נתונים",IF(AND($I1183="תקין",$J1183="תקין",$K1183="תקין"),"רהוטה",IF(AND($I1183="תקין",$J1183="תקין"),"מדויקת ורציפה","אינה מדויקת או מקוטעת"))))</f>
        <v/>
      </c>
      <c r="Z1183" s="32">
        <f>IF($C1183="","",IF(COUNTA($U1183:$W1183)&lt;3,"",IF(AND($U1183="מפותח",$V1183="מפותח",$W1183="מפותחת"),"מפותחת",IF((--($U1183="דל"))+(--($V1183="אינו מפותח"))+(--($W1183="דלה"))&gt;=2,"אינה מפותחת","חלקית"))))</f>
        <v/>
      </c>
      <c r="AA1183" s="32">
        <f>IF($C1183="","",IF(COUNTA($M1183,$N1183,$O1183)&lt;3,"— חסרים נתונים",IF(OR($M1183="נמוכה",(--($M1183&lt;&gt;"תקינה"))+(--($N1183&lt;&gt;"תקין"))+(--($O1183&lt;&gt;"תקינה"))&gt;=2),"ניכרת","אינה ניכרת")))</f>
        <v/>
      </c>
      <c r="AB1183" s="32">
        <f>IF(OR($C1183="",$Y1183="",$AA1183="",LEFT($Y1183,1)="—",LEFT($AA1183,1)="—"),"",IF($Z1183="","— נדרשת הערכת כתיבה",IF($L1183="","— חסרה הבנת הנקרא",IF($Y1183="אינה מדויקת או מקוטעת",IF($AA1183="ניכרת","מיקוד בשטף הקריאה ובכישורי שפה","מיקוד בשטף קריאה"),IF($AA1183="ניכרת","מיקוד בכישורי שפה",IF(AND($L1183="תקינה",$Z1183="מפותחת"),"קוראים וכותבים מיומנים","מיקוד בהבנה והבעה"))))))</f>
        <v/>
      </c>
      <c r="AC1183" s="32">
        <f>IF(OR($AB1183="",LEFT($AB1183,1)="—"),"",IF(OR($AB1183="מיקוד בשטף קריאה",$AB1183="מיקוד בשטף הקריאה ובכישורי שפה"),"רמה א'",IF($AB1183="קוראים וכותבים מיומנים","רמה ג'","רמה ב'")))</f>
        <v/>
      </c>
      <c r="AD1183" s="32">
        <f>IF($AC1183="","",MID(IF(AND($AC1183="רמה א'",$AA1183="ניכרת"),"; להוסיף עבודת אוצר מילים","")&amp;IF($Z1183="אינה מפותחת","; דגש על הבעה בכתב","")&amp;IF($K1183&lt;&gt;"תקין","; נדרש לעבוד על ההנגנה","")&amp;IF($AK1183&lt;&gt;"","; "&amp;$AK1183,""),3,400))</f>
        <v/>
      </c>
      <c r="AE1183" s="32">
        <f>IF($F1183="","",IF($F1183="תחילת שנה",1,IF($F1183="מחצית שנה",2,3)))</f>
        <v/>
      </c>
      <c r="AF1183" s="32">
        <f>IF(OR($B1183="",$AC1183="",$A1183="",$F1183=""),"",$B1183&amp;"|"&amp;$A1183&amp;"|"&amp;$F1183&amp;"|"&amp;$AC1183&amp;"|"&amp;COUNTIFS($B$6:$B1183,$B1183,$A$6:$A1183,$A1183,$F$6:$F1183,$F1183,$AC$6:$AC1183,$AC1183))</f>
        <v/>
      </c>
      <c r="AG1183" s="32">
        <f>IF($C1183="","",$C1183&amp;"|"&amp;COUNTIFS($C$6:$C1183,$C1183))</f>
        <v/>
      </c>
      <c r="AH1183" s="32">
        <f>IF(OR($C1183="",$A1183="",$AE1183=""),"",$C1183&amp;"|"&amp;$A1183&amp;"|"&amp;$AE1183)</f>
        <v/>
      </c>
      <c r="AI1183" s="32">
        <f>IF(OR($C1183="",$AE1183="",$AE1183=1),"",IFERROR(INDEX($AC$6:$AC$1505,MATCH($C1183&amp;"|"&amp;$A1183&amp;"|"&amp;($AE1183-1),$AH$6:$AH$1505,0)),""))</f>
        <v/>
      </c>
      <c r="AJ1183" s="32">
        <f>IF(OR($AI1183="",$AC1183=""),"",IF($AI1183=$AC1183,"ללא שינוי","מ-"&amp;$AI1183&amp;" ל-"&amp;$AC1183))</f>
        <v/>
      </c>
      <c r="AK1183" s="67" t="n"/>
    </row>
    <row r="1184">
      <c r="A1184" s="65" t="n"/>
      <c r="B1184" s="65" t="n"/>
      <c r="C1184" s="66" t="n"/>
      <c r="D1184" s="66" t="n"/>
      <c r="E1184" s="65" t="n"/>
      <c r="F1184" s="65" t="n"/>
      <c r="G1184" s="65" t="n"/>
      <c r="H1184" s="65" t="n"/>
      <c r="I1184" s="65" t="n"/>
      <c r="J1184" s="65" t="n"/>
      <c r="K1184" s="65" t="n"/>
      <c r="L1184" s="65" t="n"/>
      <c r="M1184" s="65" t="n"/>
      <c r="N1184" s="65" t="n"/>
      <c r="O1184" s="65" t="n"/>
      <c r="P1184" s="65" t="n"/>
      <c r="Q1184" s="65" t="n"/>
      <c r="R1184" s="65" t="n"/>
      <c r="S1184" s="65" t="n"/>
      <c r="T1184" s="65" t="n"/>
      <c r="U1184" s="65" t="n"/>
      <c r="V1184" s="65" t="n"/>
      <c r="W1184" s="65" t="n"/>
      <c r="X1184" s="65" t="n"/>
      <c r="Y1184" s="32">
        <f>IF($C1184="","",IF(COUNTA($I1184:$K1184)&lt;3,"— חסרים נתונים",IF(AND($I1184="תקין",$J1184="תקין",$K1184="תקין"),"רהוטה",IF(AND($I1184="תקין",$J1184="תקין"),"מדויקת ורציפה","אינה מדויקת או מקוטעת"))))</f>
        <v/>
      </c>
      <c r="Z1184" s="32">
        <f>IF($C1184="","",IF(COUNTA($U1184:$W1184)&lt;3,"",IF(AND($U1184="מפותח",$V1184="מפותח",$W1184="מפותחת"),"מפותחת",IF((--($U1184="דל"))+(--($V1184="אינו מפותח"))+(--($W1184="דלה"))&gt;=2,"אינה מפותחת","חלקית"))))</f>
        <v/>
      </c>
      <c r="AA1184" s="32">
        <f>IF($C1184="","",IF(COUNTA($M1184,$N1184,$O1184)&lt;3,"— חסרים נתונים",IF(OR($M1184="נמוכה",(--($M1184&lt;&gt;"תקינה"))+(--($N1184&lt;&gt;"תקין"))+(--($O1184&lt;&gt;"תקינה"))&gt;=2),"ניכרת","אינה ניכרת")))</f>
        <v/>
      </c>
      <c r="AB1184" s="32">
        <f>IF(OR($C1184="",$Y1184="",$AA1184="",LEFT($Y1184,1)="—",LEFT($AA1184,1)="—"),"",IF($Z1184="","— נדרשת הערכת כתיבה",IF($L1184="","— חסרה הבנת הנקרא",IF($Y1184="אינה מדויקת או מקוטעת",IF($AA1184="ניכרת","מיקוד בשטף הקריאה ובכישורי שפה","מיקוד בשטף קריאה"),IF($AA1184="ניכרת","מיקוד בכישורי שפה",IF(AND($L1184="תקינה",$Z1184="מפותחת"),"קוראים וכותבים מיומנים","מיקוד בהבנה והבעה"))))))</f>
        <v/>
      </c>
      <c r="AC1184" s="32">
        <f>IF(OR($AB1184="",LEFT($AB1184,1)="—"),"",IF(OR($AB1184="מיקוד בשטף קריאה",$AB1184="מיקוד בשטף הקריאה ובכישורי שפה"),"רמה א'",IF($AB1184="קוראים וכותבים מיומנים","רמה ג'","רמה ב'")))</f>
        <v/>
      </c>
      <c r="AD1184" s="32">
        <f>IF($AC1184="","",MID(IF(AND($AC1184="רמה א'",$AA1184="ניכרת"),"; להוסיף עבודת אוצר מילים","")&amp;IF($Z1184="אינה מפותחת","; דגש על הבעה בכתב","")&amp;IF($K1184&lt;&gt;"תקין","; נדרש לעבוד על ההנגנה","")&amp;IF($AK1184&lt;&gt;"","; "&amp;$AK1184,""),3,400))</f>
        <v/>
      </c>
      <c r="AE1184" s="32">
        <f>IF($F1184="","",IF($F1184="תחילת שנה",1,IF($F1184="מחצית שנה",2,3)))</f>
        <v/>
      </c>
      <c r="AF1184" s="32">
        <f>IF(OR($B1184="",$AC1184="",$A1184="",$F1184=""),"",$B1184&amp;"|"&amp;$A1184&amp;"|"&amp;$F1184&amp;"|"&amp;$AC1184&amp;"|"&amp;COUNTIFS($B$6:$B1184,$B1184,$A$6:$A1184,$A1184,$F$6:$F1184,$F1184,$AC$6:$AC1184,$AC1184))</f>
        <v/>
      </c>
      <c r="AG1184" s="32">
        <f>IF($C1184="","",$C1184&amp;"|"&amp;COUNTIFS($C$6:$C1184,$C1184))</f>
        <v/>
      </c>
      <c r="AH1184" s="32">
        <f>IF(OR($C1184="",$A1184="",$AE1184=""),"",$C1184&amp;"|"&amp;$A1184&amp;"|"&amp;$AE1184)</f>
        <v/>
      </c>
      <c r="AI1184" s="32">
        <f>IF(OR($C1184="",$AE1184="",$AE1184=1),"",IFERROR(INDEX($AC$6:$AC$1505,MATCH($C1184&amp;"|"&amp;$A1184&amp;"|"&amp;($AE1184-1),$AH$6:$AH$1505,0)),""))</f>
        <v/>
      </c>
      <c r="AJ1184" s="32">
        <f>IF(OR($AI1184="",$AC1184=""),"",IF($AI1184=$AC1184,"ללא שינוי","מ-"&amp;$AI1184&amp;" ל-"&amp;$AC1184))</f>
        <v/>
      </c>
      <c r="AK1184" s="67" t="n"/>
    </row>
    <row r="1185">
      <c r="A1185" s="65" t="n"/>
      <c r="B1185" s="65" t="n"/>
      <c r="C1185" s="66" t="n"/>
      <c r="D1185" s="66" t="n"/>
      <c r="E1185" s="65" t="n"/>
      <c r="F1185" s="65" t="n"/>
      <c r="G1185" s="65" t="n"/>
      <c r="H1185" s="65" t="n"/>
      <c r="I1185" s="65" t="n"/>
      <c r="J1185" s="65" t="n"/>
      <c r="K1185" s="65" t="n"/>
      <c r="L1185" s="65" t="n"/>
      <c r="M1185" s="65" t="n"/>
      <c r="N1185" s="65" t="n"/>
      <c r="O1185" s="65" t="n"/>
      <c r="P1185" s="65" t="n"/>
      <c r="Q1185" s="65" t="n"/>
      <c r="R1185" s="65" t="n"/>
      <c r="S1185" s="65" t="n"/>
      <c r="T1185" s="65" t="n"/>
      <c r="U1185" s="65" t="n"/>
      <c r="V1185" s="65" t="n"/>
      <c r="W1185" s="65" t="n"/>
      <c r="X1185" s="65" t="n"/>
      <c r="Y1185" s="32">
        <f>IF($C1185="","",IF(COUNTA($I1185:$K1185)&lt;3,"— חסרים נתונים",IF(AND($I1185="תקין",$J1185="תקין",$K1185="תקין"),"רהוטה",IF(AND($I1185="תקין",$J1185="תקין"),"מדויקת ורציפה","אינה מדויקת או מקוטעת"))))</f>
        <v/>
      </c>
      <c r="Z1185" s="32">
        <f>IF($C1185="","",IF(COUNTA($U1185:$W1185)&lt;3,"",IF(AND($U1185="מפותח",$V1185="מפותח",$W1185="מפותחת"),"מפותחת",IF((--($U1185="דל"))+(--($V1185="אינו מפותח"))+(--($W1185="דלה"))&gt;=2,"אינה מפותחת","חלקית"))))</f>
        <v/>
      </c>
      <c r="AA1185" s="32">
        <f>IF($C1185="","",IF(COUNTA($M1185,$N1185,$O1185)&lt;3,"— חסרים נתונים",IF(OR($M1185="נמוכה",(--($M1185&lt;&gt;"תקינה"))+(--($N1185&lt;&gt;"תקין"))+(--($O1185&lt;&gt;"תקינה"))&gt;=2),"ניכרת","אינה ניכרת")))</f>
        <v/>
      </c>
      <c r="AB1185" s="32">
        <f>IF(OR($C1185="",$Y1185="",$AA1185="",LEFT($Y1185,1)="—",LEFT($AA1185,1)="—"),"",IF($Z1185="","— נדרשת הערכת כתיבה",IF($L1185="","— חסרה הבנת הנקרא",IF($Y1185="אינה מדויקת או מקוטעת",IF($AA1185="ניכרת","מיקוד בשטף הקריאה ובכישורי שפה","מיקוד בשטף קריאה"),IF($AA1185="ניכרת","מיקוד בכישורי שפה",IF(AND($L1185="תקינה",$Z1185="מפותחת"),"קוראים וכותבים מיומנים","מיקוד בהבנה והבעה"))))))</f>
        <v/>
      </c>
      <c r="AC1185" s="32">
        <f>IF(OR($AB1185="",LEFT($AB1185,1)="—"),"",IF(OR($AB1185="מיקוד בשטף קריאה",$AB1185="מיקוד בשטף הקריאה ובכישורי שפה"),"רמה א'",IF($AB1185="קוראים וכותבים מיומנים","רמה ג'","רמה ב'")))</f>
        <v/>
      </c>
      <c r="AD1185" s="32">
        <f>IF($AC1185="","",MID(IF(AND($AC1185="רמה א'",$AA1185="ניכרת"),"; להוסיף עבודת אוצר מילים","")&amp;IF($Z1185="אינה מפותחת","; דגש על הבעה בכתב","")&amp;IF($K1185&lt;&gt;"תקין","; נדרש לעבוד על ההנגנה","")&amp;IF($AK1185&lt;&gt;"","; "&amp;$AK1185,""),3,400))</f>
        <v/>
      </c>
      <c r="AE1185" s="32">
        <f>IF($F1185="","",IF($F1185="תחילת שנה",1,IF($F1185="מחצית שנה",2,3)))</f>
        <v/>
      </c>
      <c r="AF1185" s="32">
        <f>IF(OR($B1185="",$AC1185="",$A1185="",$F1185=""),"",$B1185&amp;"|"&amp;$A1185&amp;"|"&amp;$F1185&amp;"|"&amp;$AC1185&amp;"|"&amp;COUNTIFS($B$6:$B1185,$B1185,$A$6:$A1185,$A1185,$F$6:$F1185,$F1185,$AC$6:$AC1185,$AC1185))</f>
        <v/>
      </c>
      <c r="AG1185" s="32">
        <f>IF($C1185="","",$C1185&amp;"|"&amp;COUNTIFS($C$6:$C1185,$C1185))</f>
        <v/>
      </c>
      <c r="AH1185" s="32">
        <f>IF(OR($C1185="",$A1185="",$AE1185=""),"",$C1185&amp;"|"&amp;$A1185&amp;"|"&amp;$AE1185)</f>
        <v/>
      </c>
      <c r="AI1185" s="32">
        <f>IF(OR($C1185="",$AE1185="",$AE1185=1),"",IFERROR(INDEX($AC$6:$AC$1505,MATCH($C1185&amp;"|"&amp;$A1185&amp;"|"&amp;($AE1185-1),$AH$6:$AH$1505,0)),""))</f>
        <v/>
      </c>
      <c r="AJ1185" s="32">
        <f>IF(OR($AI1185="",$AC1185=""),"",IF($AI1185=$AC1185,"ללא שינוי","מ-"&amp;$AI1185&amp;" ל-"&amp;$AC1185))</f>
        <v/>
      </c>
      <c r="AK1185" s="67" t="n"/>
    </row>
    <row r="1186">
      <c r="A1186" s="65" t="n"/>
      <c r="B1186" s="65" t="n"/>
      <c r="C1186" s="66" t="n"/>
      <c r="D1186" s="66" t="n"/>
      <c r="E1186" s="65" t="n"/>
      <c r="F1186" s="65" t="n"/>
      <c r="G1186" s="65" t="n"/>
      <c r="H1186" s="65" t="n"/>
      <c r="I1186" s="65" t="n"/>
      <c r="J1186" s="65" t="n"/>
      <c r="K1186" s="65" t="n"/>
      <c r="L1186" s="65" t="n"/>
      <c r="M1186" s="65" t="n"/>
      <c r="N1186" s="65" t="n"/>
      <c r="O1186" s="65" t="n"/>
      <c r="P1186" s="65" t="n"/>
      <c r="Q1186" s="65" t="n"/>
      <c r="R1186" s="65" t="n"/>
      <c r="S1186" s="65" t="n"/>
      <c r="T1186" s="65" t="n"/>
      <c r="U1186" s="65" t="n"/>
      <c r="V1186" s="65" t="n"/>
      <c r="W1186" s="65" t="n"/>
      <c r="X1186" s="65" t="n"/>
      <c r="Y1186" s="32">
        <f>IF($C1186="","",IF(COUNTA($I1186:$K1186)&lt;3,"— חסרים נתונים",IF(AND($I1186="תקין",$J1186="תקין",$K1186="תקין"),"רהוטה",IF(AND($I1186="תקין",$J1186="תקין"),"מדויקת ורציפה","אינה מדויקת או מקוטעת"))))</f>
        <v/>
      </c>
      <c r="Z1186" s="32">
        <f>IF($C1186="","",IF(COUNTA($U1186:$W1186)&lt;3,"",IF(AND($U1186="מפותח",$V1186="מפותח",$W1186="מפותחת"),"מפותחת",IF((--($U1186="דל"))+(--($V1186="אינו מפותח"))+(--($W1186="דלה"))&gt;=2,"אינה מפותחת","חלקית"))))</f>
        <v/>
      </c>
      <c r="AA1186" s="32">
        <f>IF($C1186="","",IF(COUNTA($M1186,$N1186,$O1186)&lt;3,"— חסרים נתונים",IF(OR($M1186="נמוכה",(--($M1186&lt;&gt;"תקינה"))+(--($N1186&lt;&gt;"תקין"))+(--($O1186&lt;&gt;"תקינה"))&gt;=2),"ניכרת","אינה ניכרת")))</f>
        <v/>
      </c>
      <c r="AB1186" s="32">
        <f>IF(OR($C1186="",$Y1186="",$AA1186="",LEFT($Y1186,1)="—",LEFT($AA1186,1)="—"),"",IF($Z1186="","— נדרשת הערכת כתיבה",IF($L1186="","— חסרה הבנת הנקרא",IF($Y1186="אינה מדויקת או מקוטעת",IF($AA1186="ניכרת","מיקוד בשטף הקריאה ובכישורי שפה","מיקוד בשטף קריאה"),IF($AA1186="ניכרת","מיקוד בכישורי שפה",IF(AND($L1186="תקינה",$Z1186="מפותחת"),"קוראים וכותבים מיומנים","מיקוד בהבנה והבעה"))))))</f>
        <v/>
      </c>
      <c r="AC1186" s="32">
        <f>IF(OR($AB1186="",LEFT($AB1186,1)="—"),"",IF(OR($AB1186="מיקוד בשטף קריאה",$AB1186="מיקוד בשטף הקריאה ובכישורי שפה"),"רמה א'",IF($AB1186="קוראים וכותבים מיומנים","רמה ג'","רמה ב'")))</f>
        <v/>
      </c>
      <c r="AD1186" s="32">
        <f>IF($AC1186="","",MID(IF(AND($AC1186="רמה א'",$AA1186="ניכרת"),"; להוסיף עבודת אוצר מילים","")&amp;IF($Z1186="אינה מפותחת","; דגש על הבעה בכתב","")&amp;IF($K1186&lt;&gt;"תקין","; נדרש לעבוד על ההנגנה","")&amp;IF($AK1186&lt;&gt;"","; "&amp;$AK1186,""),3,400))</f>
        <v/>
      </c>
      <c r="AE1186" s="32">
        <f>IF($F1186="","",IF($F1186="תחילת שנה",1,IF($F1186="מחצית שנה",2,3)))</f>
        <v/>
      </c>
      <c r="AF1186" s="32">
        <f>IF(OR($B1186="",$AC1186="",$A1186="",$F1186=""),"",$B1186&amp;"|"&amp;$A1186&amp;"|"&amp;$F1186&amp;"|"&amp;$AC1186&amp;"|"&amp;COUNTIFS($B$6:$B1186,$B1186,$A$6:$A1186,$A1186,$F$6:$F1186,$F1186,$AC$6:$AC1186,$AC1186))</f>
        <v/>
      </c>
      <c r="AG1186" s="32">
        <f>IF($C1186="","",$C1186&amp;"|"&amp;COUNTIFS($C$6:$C1186,$C1186))</f>
        <v/>
      </c>
      <c r="AH1186" s="32">
        <f>IF(OR($C1186="",$A1186="",$AE1186=""),"",$C1186&amp;"|"&amp;$A1186&amp;"|"&amp;$AE1186)</f>
        <v/>
      </c>
      <c r="AI1186" s="32">
        <f>IF(OR($C1186="",$AE1186="",$AE1186=1),"",IFERROR(INDEX($AC$6:$AC$1505,MATCH($C1186&amp;"|"&amp;$A1186&amp;"|"&amp;($AE1186-1),$AH$6:$AH$1505,0)),""))</f>
        <v/>
      </c>
      <c r="AJ1186" s="32">
        <f>IF(OR($AI1186="",$AC1186=""),"",IF($AI1186=$AC1186,"ללא שינוי","מ-"&amp;$AI1186&amp;" ל-"&amp;$AC1186))</f>
        <v/>
      </c>
      <c r="AK1186" s="67" t="n"/>
    </row>
    <row r="1187">
      <c r="A1187" s="65" t="n"/>
      <c r="B1187" s="65" t="n"/>
      <c r="C1187" s="66" t="n"/>
      <c r="D1187" s="66" t="n"/>
      <c r="E1187" s="65" t="n"/>
      <c r="F1187" s="65" t="n"/>
      <c r="G1187" s="65" t="n"/>
      <c r="H1187" s="65" t="n"/>
      <c r="I1187" s="65" t="n"/>
      <c r="J1187" s="65" t="n"/>
      <c r="K1187" s="65" t="n"/>
      <c r="L1187" s="65" t="n"/>
      <c r="M1187" s="65" t="n"/>
      <c r="N1187" s="65" t="n"/>
      <c r="O1187" s="65" t="n"/>
      <c r="P1187" s="65" t="n"/>
      <c r="Q1187" s="65" t="n"/>
      <c r="R1187" s="65" t="n"/>
      <c r="S1187" s="65" t="n"/>
      <c r="T1187" s="65" t="n"/>
      <c r="U1187" s="65" t="n"/>
      <c r="V1187" s="65" t="n"/>
      <c r="W1187" s="65" t="n"/>
      <c r="X1187" s="65" t="n"/>
      <c r="Y1187" s="32">
        <f>IF($C1187="","",IF(COUNTA($I1187:$K1187)&lt;3,"— חסרים נתונים",IF(AND($I1187="תקין",$J1187="תקין",$K1187="תקין"),"רהוטה",IF(AND($I1187="תקין",$J1187="תקין"),"מדויקת ורציפה","אינה מדויקת או מקוטעת"))))</f>
        <v/>
      </c>
      <c r="Z1187" s="32">
        <f>IF($C1187="","",IF(COUNTA($U1187:$W1187)&lt;3,"",IF(AND($U1187="מפותח",$V1187="מפותח",$W1187="מפותחת"),"מפותחת",IF((--($U1187="דל"))+(--($V1187="אינו מפותח"))+(--($W1187="דלה"))&gt;=2,"אינה מפותחת","חלקית"))))</f>
        <v/>
      </c>
      <c r="AA1187" s="32">
        <f>IF($C1187="","",IF(COUNTA($M1187,$N1187,$O1187)&lt;3,"— חסרים נתונים",IF(OR($M1187="נמוכה",(--($M1187&lt;&gt;"תקינה"))+(--($N1187&lt;&gt;"תקין"))+(--($O1187&lt;&gt;"תקינה"))&gt;=2),"ניכרת","אינה ניכרת")))</f>
        <v/>
      </c>
      <c r="AB1187" s="32">
        <f>IF(OR($C1187="",$Y1187="",$AA1187="",LEFT($Y1187,1)="—",LEFT($AA1187,1)="—"),"",IF($Z1187="","— נדרשת הערכת כתיבה",IF($L1187="","— חסרה הבנת הנקרא",IF($Y1187="אינה מדויקת או מקוטעת",IF($AA1187="ניכרת","מיקוד בשטף הקריאה ובכישורי שפה","מיקוד בשטף קריאה"),IF($AA1187="ניכרת","מיקוד בכישורי שפה",IF(AND($L1187="תקינה",$Z1187="מפותחת"),"קוראים וכותבים מיומנים","מיקוד בהבנה והבעה"))))))</f>
        <v/>
      </c>
      <c r="AC1187" s="32">
        <f>IF(OR($AB1187="",LEFT($AB1187,1)="—"),"",IF(OR($AB1187="מיקוד בשטף קריאה",$AB1187="מיקוד בשטף הקריאה ובכישורי שפה"),"רמה א'",IF($AB1187="קוראים וכותבים מיומנים","רמה ג'","רמה ב'")))</f>
        <v/>
      </c>
      <c r="AD1187" s="32">
        <f>IF($AC1187="","",MID(IF(AND($AC1187="רמה א'",$AA1187="ניכרת"),"; להוסיף עבודת אוצר מילים","")&amp;IF($Z1187="אינה מפותחת","; דגש על הבעה בכתב","")&amp;IF($K1187&lt;&gt;"תקין","; נדרש לעבוד על ההנגנה","")&amp;IF($AK1187&lt;&gt;"","; "&amp;$AK1187,""),3,400))</f>
        <v/>
      </c>
      <c r="AE1187" s="32">
        <f>IF($F1187="","",IF($F1187="תחילת שנה",1,IF($F1187="מחצית שנה",2,3)))</f>
        <v/>
      </c>
      <c r="AF1187" s="32">
        <f>IF(OR($B1187="",$AC1187="",$A1187="",$F1187=""),"",$B1187&amp;"|"&amp;$A1187&amp;"|"&amp;$F1187&amp;"|"&amp;$AC1187&amp;"|"&amp;COUNTIFS($B$6:$B1187,$B1187,$A$6:$A1187,$A1187,$F$6:$F1187,$F1187,$AC$6:$AC1187,$AC1187))</f>
        <v/>
      </c>
      <c r="AG1187" s="32">
        <f>IF($C1187="","",$C1187&amp;"|"&amp;COUNTIFS($C$6:$C1187,$C1187))</f>
        <v/>
      </c>
      <c r="AH1187" s="32">
        <f>IF(OR($C1187="",$A1187="",$AE1187=""),"",$C1187&amp;"|"&amp;$A1187&amp;"|"&amp;$AE1187)</f>
        <v/>
      </c>
      <c r="AI1187" s="32">
        <f>IF(OR($C1187="",$AE1187="",$AE1187=1),"",IFERROR(INDEX($AC$6:$AC$1505,MATCH($C1187&amp;"|"&amp;$A1187&amp;"|"&amp;($AE1187-1),$AH$6:$AH$1505,0)),""))</f>
        <v/>
      </c>
      <c r="AJ1187" s="32">
        <f>IF(OR($AI1187="",$AC1187=""),"",IF($AI1187=$AC1187,"ללא שינוי","מ-"&amp;$AI1187&amp;" ל-"&amp;$AC1187))</f>
        <v/>
      </c>
      <c r="AK1187" s="67" t="n"/>
    </row>
    <row r="1188">
      <c r="A1188" s="65" t="n"/>
      <c r="B1188" s="65" t="n"/>
      <c r="C1188" s="66" t="n"/>
      <c r="D1188" s="66" t="n"/>
      <c r="E1188" s="65" t="n"/>
      <c r="F1188" s="65" t="n"/>
      <c r="G1188" s="65" t="n"/>
      <c r="H1188" s="65" t="n"/>
      <c r="I1188" s="65" t="n"/>
      <c r="J1188" s="65" t="n"/>
      <c r="K1188" s="65" t="n"/>
      <c r="L1188" s="65" t="n"/>
      <c r="M1188" s="65" t="n"/>
      <c r="N1188" s="65" t="n"/>
      <c r="O1188" s="65" t="n"/>
      <c r="P1188" s="65" t="n"/>
      <c r="Q1188" s="65" t="n"/>
      <c r="R1188" s="65" t="n"/>
      <c r="S1188" s="65" t="n"/>
      <c r="T1188" s="65" t="n"/>
      <c r="U1188" s="65" t="n"/>
      <c r="V1188" s="65" t="n"/>
      <c r="W1188" s="65" t="n"/>
      <c r="X1188" s="65" t="n"/>
      <c r="Y1188" s="32">
        <f>IF($C1188="","",IF(COUNTA($I1188:$K1188)&lt;3,"— חסרים נתונים",IF(AND($I1188="תקין",$J1188="תקין",$K1188="תקין"),"רהוטה",IF(AND($I1188="תקין",$J1188="תקין"),"מדויקת ורציפה","אינה מדויקת או מקוטעת"))))</f>
        <v/>
      </c>
      <c r="Z1188" s="32">
        <f>IF($C1188="","",IF(COUNTA($U1188:$W1188)&lt;3,"",IF(AND($U1188="מפותח",$V1188="מפותח",$W1188="מפותחת"),"מפותחת",IF((--($U1188="דל"))+(--($V1188="אינו מפותח"))+(--($W1188="דלה"))&gt;=2,"אינה מפותחת","חלקית"))))</f>
        <v/>
      </c>
      <c r="AA1188" s="32">
        <f>IF($C1188="","",IF(COUNTA($M1188,$N1188,$O1188)&lt;3,"— חסרים נתונים",IF(OR($M1188="נמוכה",(--($M1188&lt;&gt;"תקינה"))+(--($N1188&lt;&gt;"תקין"))+(--($O1188&lt;&gt;"תקינה"))&gt;=2),"ניכרת","אינה ניכרת")))</f>
        <v/>
      </c>
      <c r="AB1188" s="32">
        <f>IF(OR($C1188="",$Y1188="",$AA1188="",LEFT($Y1188,1)="—",LEFT($AA1188,1)="—"),"",IF($Z1188="","— נדרשת הערכת כתיבה",IF($L1188="","— חסרה הבנת הנקרא",IF($Y1188="אינה מדויקת או מקוטעת",IF($AA1188="ניכרת","מיקוד בשטף הקריאה ובכישורי שפה","מיקוד בשטף קריאה"),IF($AA1188="ניכרת","מיקוד בכישורי שפה",IF(AND($L1188="תקינה",$Z1188="מפותחת"),"קוראים וכותבים מיומנים","מיקוד בהבנה והבעה"))))))</f>
        <v/>
      </c>
      <c r="AC1188" s="32">
        <f>IF(OR($AB1188="",LEFT($AB1188,1)="—"),"",IF(OR($AB1188="מיקוד בשטף קריאה",$AB1188="מיקוד בשטף הקריאה ובכישורי שפה"),"רמה א'",IF($AB1188="קוראים וכותבים מיומנים","רמה ג'","רמה ב'")))</f>
        <v/>
      </c>
      <c r="AD1188" s="32">
        <f>IF($AC1188="","",MID(IF(AND($AC1188="רמה א'",$AA1188="ניכרת"),"; להוסיף עבודת אוצר מילים","")&amp;IF($Z1188="אינה מפותחת","; דגש על הבעה בכתב","")&amp;IF($K1188&lt;&gt;"תקין","; נדרש לעבוד על ההנגנה","")&amp;IF($AK1188&lt;&gt;"","; "&amp;$AK1188,""),3,400))</f>
        <v/>
      </c>
      <c r="AE1188" s="32">
        <f>IF($F1188="","",IF($F1188="תחילת שנה",1,IF($F1188="מחצית שנה",2,3)))</f>
        <v/>
      </c>
      <c r="AF1188" s="32">
        <f>IF(OR($B1188="",$AC1188="",$A1188="",$F1188=""),"",$B1188&amp;"|"&amp;$A1188&amp;"|"&amp;$F1188&amp;"|"&amp;$AC1188&amp;"|"&amp;COUNTIFS($B$6:$B1188,$B1188,$A$6:$A1188,$A1188,$F$6:$F1188,$F1188,$AC$6:$AC1188,$AC1188))</f>
        <v/>
      </c>
      <c r="AG1188" s="32">
        <f>IF($C1188="","",$C1188&amp;"|"&amp;COUNTIFS($C$6:$C1188,$C1188))</f>
        <v/>
      </c>
      <c r="AH1188" s="32">
        <f>IF(OR($C1188="",$A1188="",$AE1188=""),"",$C1188&amp;"|"&amp;$A1188&amp;"|"&amp;$AE1188)</f>
        <v/>
      </c>
      <c r="AI1188" s="32">
        <f>IF(OR($C1188="",$AE1188="",$AE1188=1),"",IFERROR(INDEX($AC$6:$AC$1505,MATCH($C1188&amp;"|"&amp;$A1188&amp;"|"&amp;($AE1188-1),$AH$6:$AH$1505,0)),""))</f>
        <v/>
      </c>
      <c r="AJ1188" s="32">
        <f>IF(OR($AI1188="",$AC1188=""),"",IF($AI1188=$AC1188,"ללא שינוי","מ-"&amp;$AI1188&amp;" ל-"&amp;$AC1188))</f>
        <v/>
      </c>
      <c r="AK1188" s="67" t="n"/>
    </row>
    <row r="1189">
      <c r="A1189" s="65" t="n"/>
      <c r="B1189" s="65" t="n"/>
      <c r="C1189" s="66" t="n"/>
      <c r="D1189" s="66" t="n"/>
      <c r="E1189" s="65" t="n"/>
      <c r="F1189" s="65" t="n"/>
      <c r="G1189" s="65" t="n"/>
      <c r="H1189" s="65" t="n"/>
      <c r="I1189" s="65" t="n"/>
      <c r="J1189" s="65" t="n"/>
      <c r="K1189" s="65" t="n"/>
      <c r="L1189" s="65" t="n"/>
      <c r="M1189" s="65" t="n"/>
      <c r="N1189" s="65" t="n"/>
      <c r="O1189" s="65" t="n"/>
      <c r="P1189" s="65" t="n"/>
      <c r="Q1189" s="65" t="n"/>
      <c r="R1189" s="65" t="n"/>
      <c r="S1189" s="65" t="n"/>
      <c r="T1189" s="65" t="n"/>
      <c r="U1189" s="65" t="n"/>
      <c r="V1189" s="65" t="n"/>
      <c r="W1189" s="65" t="n"/>
      <c r="X1189" s="65" t="n"/>
      <c r="Y1189" s="32">
        <f>IF($C1189="","",IF(COUNTA($I1189:$K1189)&lt;3,"— חסרים נתונים",IF(AND($I1189="תקין",$J1189="תקין",$K1189="תקין"),"רהוטה",IF(AND($I1189="תקין",$J1189="תקין"),"מדויקת ורציפה","אינה מדויקת או מקוטעת"))))</f>
        <v/>
      </c>
      <c r="Z1189" s="32">
        <f>IF($C1189="","",IF(COUNTA($U1189:$W1189)&lt;3,"",IF(AND($U1189="מפותח",$V1189="מפותח",$W1189="מפותחת"),"מפותחת",IF((--($U1189="דל"))+(--($V1189="אינו מפותח"))+(--($W1189="דלה"))&gt;=2,"אינה מפותחת","חלקית"))))</f>
        <v/>
      </c>
      <c r="AA1189" s="32">
        <f>IF($C1189="","",IF(COUNTA($M1189,$N1189,$O1189)&lt;3,"— חסרים נתונים",IF(OR($M1189="נמוכה",(--($M1189&lt;&gt;"תקינה"))+(--($N1189&lt;&gt;"תקין"))+(--($O1189&lt;&gt;"תקינה"))&gt;=2),"ניכרת","אינה ניכרת")))</f>
        <v/>
      </c>
      <c r="AB1189" s="32">
        <f>IF(OR($C1189="",$Y1189="",$AA1189="",LEFT($Y1189,1)="—",LEFT($AA1189,1)="—"),"",IF($Z1189="","— נדרשת הערכת כתיבה",IF($L1189="","— חסרה הבנת הנקרא",IF($Y1189="אינה מדויקת או מקוטעת",IF($AA1189="ניכרת","מיקוד בשטף הקריאה ובכישורי שפה","מיקוד בשטף קריאה"),IF($AA1189="ניכרת","מיקוד בכישורי שפה",IF(AND($L1189="תקינה",$Z1189="מפותחת"),"קוראים וכותבים מיומנים","מיקוד בהבנה והבעה"))))))</f>
        <v/>
      </c>
      <c r="AC1189" s="32">
        <f>IF(OR($AB1189="",LEFT($AB1189,1)="—"),"",IF(OR($AB1189="מיקוד בשטף קריאה",$AB1189="מיקוד בשטף הקריאה ובכישורי שפה"),"רמה א'",IF($AB1189="קוראים וכותבים מיומנים","רמה ג'","רמה ב'")))</f>
        <v/>
      </c>
      <c r="AD1189" s="32">
        <f>IF($AC1189="","",MID(IF(AND($AC1189="רמה א'",$AA1189="ניכרת"),"; להוסיף עבודת אוצר מילים","")&amp;IF($Z1189="אינה מפותחת","; דגש על הבעה בכתב","")&amp;IF($K1189&lt;&gt;"תקין","; נדרש לעבוד על ההנגנה","")&amp;IF($AK1189&lt;&gt;"","; "&amp;$AK1189,""),3,400))</f>
        <v/>
      </c>
      <c r="AE1189" s="32">
        <f>IF($F1189="","",IF($F1189="תחילת שנה",1,IF($F1189="מחצית שנה",2,3)))</f>
        <v/>
      </c>
      <c r="AF1189" s="32">
        <f>IF(OR($B1189="",$AC1189="",$A1189="",$F1189=""),"",$B1189&amp;"|"&amp;$A1189&amp;"|"&amp;$F1189&amp;"|"&amp;$AC1189&amp;"|"&amp;COUNTIFS($B$6:$B1189,$B1189,$A$6:$A1189,$A1189,$F$6:$F1189,$F1189,$AC$6:$AC1189,$AC1189))</f>
        <v/>
      </c>
      <c r="AG1189" s="32">
        <f>IF($C1189="","",$C1189&amp;"|"&amp;COUNTIFS($C$6:$C1189,$C1189))</f>
        <v/>
      </c>
      <c r="AH1189" s="32">
        <f>IF(OR($C1189="",$A1189="",$AE1189=""),"",$C1189&amp;"|"&amp;$A1189&amp;"|"&amp;$AE1189)</f>
        <v/>
      </c>
      <c r="AI1189" s="32">
        <f>IF(OR($C1189="",$AE1189="",$AE1189=1),"",IFERROR(INDEX($AC$6:$AC$1505,MATCH($C1189&amp;"|"&amp;$A1189&amp;"|"&amp;($AE1189-1),$AH$6:$AH$1505,0)),""))</f>
        <v/>
      </c>
      <c r="AJ1189" s="32">
        <f>IF(OR($AI1189="",$AC1189=""),"",IF($AI1189=$AC1189,"ללא שינוי","מ-"&amp;$AI1189&amp;" ל-"&amp;$AC1189))</f>
        <v/>
      </c>
      <c r="AK1189" s="67" t="n"/>
    </row>
    <row r="1190">
      <c r="A1190" s="65" t="n"/>
      <c r="B1190" s="65" t="n"/>
      <c r="C1190" s="66" t="n"/>
      <c r="D1190" s="66" t="n"/>
      <c r="E1190" s="65" t="n"/>
      <c r="F1190" s="65" t="n"/>
      <c r="G1190" s="65" t="n"/>
      <c r="H1190" s="65" t="n"/>
      <c r="I1190" s="65" t="n"/>
      <c r="J1190" s="65" t="n"/>
      <c r="K1190" s="65" t="n"/>
      <c r="L1190" s="65" t="n"/>
      <c r="M1190" s="65" t="n"/>
      <c r="N1190" s="65" t="n"/>
      <c r="O1190" s="65" t="n"/>
      <c r="P1190" s="65" t="n"/>
      <c r="Q1190" s="65" t="n"/>
      <c r="R1190" s="65" t="n"/>
      <c r="S1190" s="65" t="n"/>
      <c r="T1190" s="65" t="n"/>
      <c r="U1190" s="65" t="n"/>
      <c r="V1190" s="65" t="n"/>
      <c r="W1190" s="65" t="n"/>
      <c r="X1190" s="65" t="n"/>
      <c r="Y1190" s="32">
        <f>IF($C1190="","",IF(COUNTA($I1190:$K1190)&lt;3,"— חסרים נתונים",IF(AND($I1190="תקין",$J1190="תקין",$K1190="תקין"),"רהוטה",IF(AND($I1190="תקין",$J1190="תקין"),"מדויקת ורציפה","אינה מדויקת או מקוטעת"))))</f>
        <v/>
      </c>
      <c r="Z1190" s="32">
        <f>IF($C1190="","",IF(COUNTA($U1190:$W1190)&lt;3,"",IF(AND($U1190="מפותח",$V1190="מפותח",$W1190="מפותחת"),"מפותחת",IF((--($U1190="דל"))+(--($V1190="אינו מפותח"))+(--($W1190="דלה"))&gt;=2,"אינה מפותחת","חלקית"))))</f>
        <v/>
      </c>
      <c r="AA1190" s="32">
        <f>IF($C1190="","",IF(COUNTA($M1190,$N1190,$O1190)&lt;3,"— חסרים נתונים",IF(OR($M1190="נמוכה",(--($M1190&lt;&gt;"תקינה"))+(--($N1190&lt;&gt;"תקין"))+(--($O1190&lt;&gt;"תקינה"))&gt;=2),"ניכרת","אינה ניכרת")))</f>
        <v/>
      </c>
      <c r="AB1190" s="32">
        <f>IF(OR($C1190="",$Y1190="",$AA1190="",LEFT($Y1190,1)="—",LEFT($AA1190,1)="—"),"",IF($Z1190="","— נדרשת הערכת כתיבה",IF($L1190="","— חסרה הבנת הנקרא",IF($Y1190="אינה מדויקת או מקוטעת",IF($AA1190="ניכרת","מיקוד בשטף הקריאה ובכישורי שפה","מיקוד בשטף קריאה"),IF($AA1190="ניכרת","מיקוד בכישורי שפה",IF(AND($L1190="תקינה",$Z1190="מפותחת"),"קוראים וכותבים מיומנים","מיקוד בהבנה והבעה"))))))</f>
        <v/>
      </c>
      <c r="AC1190" s="32">
        <f>IF(OR($AB1190="",LEFT($AB1190,1)="—"),"",IF(OR($AB1190="מיקוד בשטף קריאה",$AB1190="מיקוד בשטף הקריאה ובכישורי שפה"),"רמה א'",IF($AB1190="קוראים וכותבים מיומנים","רמה ג'","רמה ב'")))</f>
        <v/>
      </c>
      <c r="AD1190" s="32">
        <f>IF($AC1190="","",MID(IF(AND($AC1190="רמה א'",$AA1190="ניכרת"),"; להוסיף עבודת אוצר מילים","")&amp;IF($Z1190="אינה מפותחת","; דגש על הבעה בכתב","")&amp;IF($K1190&lt;&gt;"תקין","; נדרש לעבוד על ההנגנה","")&amp;IF($AK1190&lt;&gt;"","; "&amp;$AK1190,""),3,400))</f>
        <v/>
      </c>
      <c r="AE1190" s="32">
        <f>IF($F1190="","",IF($F1190="תחילת שנה",1,IF($F1190="מחצית שנה",2,3)))</f>
        <v/>
      </c>
      <c r="AF1190" s="32">
        <f>IF(OR($B1190="",$AC1190="",$A1190="",$F1190=""),"",$B1190&amp;"|"&amp;$A1190&amp;"|"&amp;$F1190&amp;"|"&amp;$AC1190&amp;"|"&amp;COUNTIFS($B$6:$B1190,$B1190,$A$6:$A1190,$A1190,$F$6:$F1190,$F1190,$AC$6:$AC1190,$AC1190))</f>
        <v/>
      </c>
      <c r="AG1190" s="32">
        <f>IF($C1190="","",$C1190&amp;"|"&amp;COUNTIFS($C$6:$C1190,$C1190))</f>
        <v/>
      </c>
      <c r="AH1190" s="32">
        <f>IF(OR($C1190="",$A1190="",$AE1190=""),"",$C1190&amp;"|"&amp;$A1190&amp;"|"&amp;$AE1190)</f>
        <v/>
      </c>
      <c r="AI1190" s="32">
        <f>IF(OR($C1190="",$AE1190="",$AE1190=1),"",IFERROR(INDEX($AC$6:$AC$1505,MATCH($C1190&amp;"|"&amp;$A1190&amp;"|"&amp;($AE1190-1),$AH$6:$AH$1505,0)),""))</f>
        <v/>
      </c>
      <c r="AJ1190" s="32">
        <f>IF(OR($AI1190="",$AC1190=""),"",IF($AI1190=$AC1190,"ללא שינוי","מ-"&amp;$AI1190&amp;" ל-"&amp;$AC1190))</f>
        <v/>
      </c>
      <c r="AK1190" s="67" t="n"/>
    </row>
    <row r="1191">
      <c r="A1191" s="65" t="n"/>
      <c r="B1191" s="65" t="n"/>
      <c r="C1191" s="66" t="n"/>
      <c r="D1191" s="66" t="n"/>
      <c r="E1191" s="65" t="n"/>
      <c r="F1191" s="65" t="n"/>
      <c r="G1191" s="65" t="n"/>
      <c r="H1191" s="65" t="n"/>
      <c r="I1191" s="65" t="n"/>
      <c r="J1191" s="65" t="n"/>
      <c r="K1191" s="65" t="n"/>
      <c r="L1191" s="65" t="n"/>
      <c r="M1191" s="65" t="n"/>
      <c r="N1191" s="65" t="n"/>
      <c r="O1191" s="65" t="n"/>
      <c r="P1191" s="65" t="n"/>
      <c r="Q1191" s="65" t="n"/>
      <c r="R1191" s="65" t="n"/>
      <c r="S1191" s="65" t="n"/>
      <c r="T1191" s="65" t="n"/>
      <c r="U1191" s="65" t="n"/>
      <c r="V1191" s="65" t="n"/>
      <c r="W1191" s="65" t="n"/>
      <c r="X1191" s="65" t="n"/>
      <c r="Y1191" s="32">
        <f>IF($C1191="","",IF(COUNTA($I1191:$K1191)&lt;3,"— חסרים נתונים",IF(AND($I1191="תקין",$J1191="תקין",$K1191="תקין"),"רהוטה",IF(AND($I1191="תקין",$J1191="תקין"),"מדויקת ורציפה","אינה מדויקת או מקוטעת"))))</f>
        <v/>
      </c>
      <c r="Z1191" s="32">
        <f>IF($C1191="","",IF(COUNTA($U1191:$W1191)&lt;3,"",IF(AND($U1191="מפותח",$V1191="מפותח",$W1191="מפותחת"),"מפותחת",IF((--($U1191="דל"))+(--($V1191="אינו מפותח"))+(--($W1191="דלה"))&gt;=2,"אינה מפותחת","חלקית"))))</f>
        <v/>
      </c>
      <c r="AA1191" s="32">
        <f>IF($C1191="","",IF(COUNTA($M1191,$N1191,$O1191)&lt;3,"— חסרים נתונים",IF(OR($M1191="נמוכה",(--($M1191&lt;&gt;"תקינה"))+(--($N1191&lt;&gt;"תקין"))+(--($O1191&lt;&gt;"תקינה"))&gt;=2),"ניכרת","אינה ניכרת")))</f>
        <v/>
      </c>
      <c r="AB1191" s="32">
        <f>IF(OR($C1191="",$Y1191="",$AA1191="",LEFT($Y1191,1)="—",LEFT($AA1191,1)="—"),"",IF($Z1191="","— נדרשת הערכת כתיבה",IF($L1191="","— חסרה הבנת הנקרא",IF($Y1191="אינה מדויקת או מקוטעת",IF($AA1191="ניכרת","מיקוד בשטף הקריאה ובכישורי שפה","מיקוד בשטף קריאה"),IF($AA1191="ניכרת","מיקוד בכישורי שפה",IF(AND($L1191="תקינה",$Z1191="מפותחת"),"קוראים וכותבים מיומנים","מיקוד בהבנה והבעה"))))))</f>
        <v/>
      </c>
      <c r="AC1191" s="32">
        <f>IF(OR($AB1191="",LEFT($AB1191,1)="—"),"",IF(OR($AB1191="מיקוד בשטף קריאה",$AB1191="מיקוד בשטף הקריאה ובכישורי שפה"),"רמה א'",IF($AB1191="קוראים וכותבים מיומנים","רמה ג'","רמה ב'")))</f>
        <v/>
      </c>
      <c r="AD1191" s="32">
        <f>IF($AC1191="","",MID(IF(AND($AC1191="רמה א'",$AA1191="ניכרת"),"; להוסיף עבודת אוצר מילים","")&amp;IF($Z1191="אינה מפותחת","; דגש על הבעה בכתב","")&amp;IF($K1191&lt;&gt;"תקין","; נדרש לעבוד על ההנגנה","")&amp;IF($AK1191&lt;&gt;"","; "&amp;$AK1191,""),3,400))</f>
        <v/>
      </c>
      <c r="AE1191" s="32">
        <f>IF($F1191="","",IF($F1191="תחילת שנה",1,IF($F1191="מחצית שנה",2,3)))</f>
        <v/>
      </c>
      <c r="AF1191" s="32">
        <f>IF(OR($B1191="",$AC1191="",$A1191="",$F1191=""),"",$B1191&amp;"|"&amp;$A1191&amp;"|"&amp;$F1191&amp;"|"&amp;$AC1191&amp;"|"&amp;COUNTIFS($B$6:$B1191,$B1191,$A$6:$A1191,$A1191,$F$6:$F1191,$F1191,$AC$6:$AC1191,$AC1191))</f>
        <v/>
      </c>
      <c r="AG1191" s="32">
        <f>IF($C1191="","",$C1191&amp;"|"&amp;COUNTIFS($C$6:$C1191,$C1191))</f>
        <v/>
      </c>
      <c r="AH1191" s="32">
        <f>IF(OR($C1191="",$A1191="",$AE1191=""),"",$C1191&amp;"|"&amp;$A1191&amp;"|"&amp;$AE1191)</f>
        <v/>
      </c>
      <c r="AI1191" s="32">
        <f>IF(OR($C1191="",$AE1191="",$AE1191=1),"",IFERROR(INDEX($AC$6:$AC$1505,MATCH($C1191&amp;"|"&amp;$A1191&amp;"|"&amp;($AE1191-1),$AH$6:$AH$1505,0)),""))</f>
        <v/>
      </c>
      <c r="AJ1191" s="32">
        <f>IF(OR($AI1191="",$AC1191=""),"",IF($AI1191=$AC1191,"ללא שינוי","מ-"&amp;$AI1191&amp;" ל-"&amp;$AC1191))</f>
        <v/>
      </c>
      <c r="AK1191" s="67" t="n"/>
    </row>
    <row r="1192">
      <c r="A1192" s="65" t="n"/>
      <c r="B1192" s="65" t="n"/>
      <c r="C1192" s="66" t="n"/>
      <c r="D1192" s="66" t="n"/>
      <c r="E1192" s="65" t="n"/>
      <c r="F1192" s="65" t="n"/>
      <c r="G1192" s="65" t="n"/>
      <c r="H1192" s="65" t="n"/>
      <c r="I1192" s="65" t="n"/>
      <c r="J1192" s="65" t="n"/>
      <c r="K1192" s="65" t="n"/>
      <c r="L1192" s="65" t="n"/>
      <c r="M1192" s="65" t="n"/>
      <c r="N1192" s="65" t="n"/>
      <c r="O1192" s="65" t="n"/>
      <c r="P1192" s="65" t="n"/>
      <c r="Q1192" s="65" t="n"/>
      <c r="R1192" s="65" t="n"/>
      <c r="S1192" s="65" t="n"/>
      <c r="T1192" s="65" t="n"/>
      <c r="U1192" s="65" t="n"/>
      <c r="V1192" s="65" t="n"/>
      <c r="W1192" s="65" t="n"/>
      <c r="X1192" s="65" t="n"/>
      <c r="Y1192" s="32">
        <f>IF($C1192="","",IF(COUNTA($I1192:$K1192)&lt;3,"— חסרים נתונים",IF(AND($I1192="תקין",$J1192="תקין",$K1192="תקין"),"רהוטה",IF(AND($I1192="תקין",$J1192="תקין"),"מדויקת ורציפה","אינה מדויקת או מקוטעת"))))</f>
        <v/>
      </c>
      <c r="Z1192" s="32">
        <f>IF($C1192="","",IF(COUNTA($U1192:$W1192)&lt;3,"",IF(AND($U1192="מפותח",$V1192="מפותח",$W1192="מפותחת"),"מפותחת",IF((--($U1192="דל"))+(--($V1192="אינו מפותח"))+(--($W1192="דלה"))&gt;=2,"אינה מפותחת","חלקית"))))</f>
        <v/>
      </c>
      <c r="AA1192" s="32">
        <f>IF($C1192="","",IF(COUNTA($M1192,$N1192,$O1192)&lt;3,"— חסרים נתונים",IF(OR($M1192="נמוכה",(--($M1192&lt;&gt;"תקינה"))+(--($N1192&lt;&gt;"תקין"))+(--($O1192&lt;&gt;"תקינה"))&gt;=2),"ניכרת","אינה ניכרת")))</f>
        <v/>
      </c>
      <c r="AB1192" s="32">
        <f>IF(OR($C1192="",$Y1192="",$AA1192="",LEFT($Y1192,1)="—",LEFT($AA1192,1)="—"),"",IF($Z1192="","— נדרשת הערכת כתיבה",IF($L1192="","— חסרה הבנת הנקרא",IF($Y1192="אינה מדויקת או מקוטעת",IF($AA1192="ניכרת","מיקוד בשטף הקריאה ובכישורי שפה","מיקוד בשטף קריאה"),IF($AA1192="ניכרת","מיקוד בכישורי שפה",IF(AND($L1192="תקינה",$Z1192="מפותחת"),"קוראים וכותבים מיומנים","מיקוד בהבנה והבעה"))))))</f>
        <v/>
      </c>
      <c r="AC1192" s="32">
        <f>IF(OR($AB1192="",LEFT($AB1192,1)="—"),"",IF(OR($AB1192="מיקוד בשטף קריאה",$AB1192="מיקוד בשטף הקריאה ובכישורי שפה"),"רמה א'",IF($AB1192="קוראים וכותבים מיומנים","רמה ג'","רמה ב'")))</f>
        <v/>
      </c>
      <c r="AD1192" s="32">
        <f>IF($AC1192="","",MID(IF(AND($AC1192="רמה א'",$AA1192="ניכרת"),"; להוסיף עבודת אוצר מילים","")&amp;IF($Z1192="אינה מפותחת","; דגש על הבעה בכתב","")&amp;IF($K1192&lt;&gt;"תקין","; נדרש לעבוד על ההנגנה","")&amp;IF($AK1192&lt;&gt;"","; "&amp;$AK1192,""),3,400))</f>
        <v/>
      </c>
      <c r="AE1192" s="32">
        <f>IF($F1192="","",IF($F1192="תחילת שנה",1,IF($F1192="מחצית שנה",2,3)))</f>
        <v/>
      </c>
      <c r="AF1192" s="32">
        <f>IF(OR($B1192="",$AC1192="",$A1192="",$F1192=""),"",$B1192&amp;"|"&amp;$A1192&amp;"|"&amp;$F1192&amp;"|"&amp;$AC1192&amp;"|"&amp;COUNTIFS($B$6:$B1192,$B1192,$A$6:$A1192,$A1192,$F$6:$F1192,$F1192,$AC$6:$AC1192,$AC1192))</f>
        <v/>
      </c>
      <c r="AG1192" s="32">
        <f>IF($C1192="","",$C1192&amp;"|"&amp;COUNTIFS($C$6:$C1192,$C1192))</f>
        <v/>
      </c>
      <c r="AH1192" s="32">
        <f>IF(OR($C1192="",$A1192="",$AE1192=""),"",$C1192&amp;"|"&amp;$A1192&amp;"|"&amp;$AE1192)</f>
        <v/>
      </c>
      <c r="AI1192" s="32">
        <f>IF(OR($C1192="",$AE1192="",$AE1192=1),"",IFERROR(INDEX($AC$6:$AC$1505,MATCH($C1192&amp;"|"&amp;$A1192&amp;"|"&amp;($AE1192-1),$AH$6:$AH$1505,0)),""))</f>
        <v/>
      </c>
      <c r="AJ1192" s="32">
        <f>IF(OR($AI1192="",$AC1192=""),"",IF($AI1192=$AC1192,"ללא שינוי","מ-"&amp;$AI1192&amp;" ל-"&amp;$AC1192))</f>
        <v/>
      </c>
      <c r="AK1192" s="67" t="n"/>
    </row>
    <row r="1193">
      <c r="A1193" s="65" t="n"/>
      <c r="B1193" s="65" t="n"/>
      <c r="C1193" s="66" t="n"/>
      <c r="D1193" s="66" t="n"/>
      <c r="E1193" s="65" t="n"/>
      <c r="F1193" s="65" t="n"/>
      <c r="G1193" s="65" t="n"/>
      <c r="H1193" s="65" t="n"/>
      <c r="I1193" s="65" t="n"/>
      <c r="J1193" s="65" t="n"/>
      <c r="K1193" s="65" t="n"/>
      <c r="L1193" s="65" t="n"/>
      <c r="M1193" s="65" t="n"/>
      <c r="N1193" s="65" t="n"/>
      <c r="O1193" s="65" t="n"/>
      <c r="P1193" s="65" t="n"/>
      <c r="Q1193" s="65" t="n"/>
      <c r="R1193" s="65" t="n"/>
      <c r="S1193" s="65" t="n"/>
      <c r="T1193" s="65" t="n"/>
      <c r="U1193" s="65" t="n"/>
      <c r="V1193" s="65" t="n"/>
      <c r="W1193" s="65" t="n"/>
      <c r="X1193" s="65" t="n"/>
      <c r="Y1193" s="32">
        <f>IF($C1193="","",IF(COUNTA($I1193:$K1193)&lt;3,"— חסרים נתונים",IF(AND($I1193="תקין",$J1193="תקין",$K1193="תקין"),"רהוטה",IF(AND($I1193="תקין",$J1193="תקין"),"מדויקת ורציפה","אינה מדויקת או מקוטעת"))))</f>
        <v/>
      </c>
      <c r="Z1193" s="32">
        <f>IF($C1193="","",IF(COUNTA($U1193:$W1193)&lt;3,"",IF(AND($U1193="מפותח",$V1193="מפותח",$W1193="מפותחת"),"מפותחת",IF((--($U1193="דל"))+(--($V1193="אינו מפותח"))+(--($W1193="דלה"))&gt;=2,"אינה מפותחת","חלקית"))))</f>
        <v/>
      </c>
      <c r="AA1193" s="32">
        <f>IF($C1193="","",IF(COUNTA($M1193,$N1193,$O1193)&lt;3,"— חסרים נתונים",IF(OR($M1193="נמוכה",(--($M1193&lt;&gt;"תקינה"))+(--($N1193&lt;&gt;"תקין"))+(--($O1193&lt;&gt;"תקינה"))&gt;=2),"ניכרת","אינה ניכרת")))</f>
        <v/>
      </c>
      <c r="AB1193" s="32">
        <f>IF(OR($C1193="",$Y1193="",$AA1193="",LEFT($Y1193,1)="—",LEFT($AA1193,1)="—"),"",IF($Z1193="","— נדרשת הערכת כתיבה",IF($L1193="","— חסרה הבנת הנקרא",IF($Y1193="אינה מדויקת או מקוטעת",IF($AA1193="ניכרת","מיקוד בשטף הקריאה ובכישורי שפה","מיקוד בשטף קריאה"),IF($AA1193="ניכרת","מיקוד בכישורי שפה",IF(AND($L1193="תקינה",$Z1193="מפותחת"),"קוראים וכותבים מיומנים","מיקוד בהבנה והבעה"))))))</f>
        <v/>
      </c>
      <c r="AC1193" s="32">
        <f>IF(OR($AB1193="",LEFT($AB1193,1)="—"),"",IF(OR($AB1193="מיקוד בשטף קריאה",$AB1193="מיקוד בשטף הקריאה ובכישורי שפה"),"רמה א'",IF($AB1193="קוראים וכותבים מיומנים","רמה ג'","רמה ב'")))</f>
        <v/>
      </c>
      <c r="AD1193" s="32">
        <f>IF($AC1193="","",MID(IF(AND($AC1193="רמה א'",$AA1193="ניכרת"),"; להוסיף עבודת אוצר מילים","")&amp;IF($Z1193="אינה מפותחת","; דגש על הבעה בכתב","")&amp;IF($K1193&lt;&gt;"תקין","; נדרש לעבוד על ההנגנה","")&amp;IF($AK1193&lt;&gt;"","; "&amp;$AK1193,""),3,400))</f>
        <v/>
      </c>
      <c r="AE1193" s="32">
        <f>IF($F1193="","",IF($F1193="תחילת שנה",1,IF($F1193="מחצית שנה",2,3)))</f>
        <v/>
      </c>
      <c r="AF1193" s="32">
        <f>IF(OR($B1193="",$AC1193="",$A1193="",$F1193=""),"",$B1193&amp;"|"&amp;$A1193&amp;"|"&amp;$F1193&amp;"|"&amp;$AC1193&amp;"|"&amp;COUNTIFS($B$6:$B1193,$B1193,$A$6:$A1193,$A1193,$F$6:$F1193,$F1193,$AC$6:$AC1193,$AC1193))</f>
        <v/>
      </c>
      <c r="AG1193" s="32">
        <f>IF($C1193="","",$C1193&amp;"|"&amp;COUNTIFS($C$6:$C1193,$C1193))</f>
        <v/>
      </c>
      <c r="AH1193" s="32">
        <f>IF(OR($C1193="",$A1193="",$AE1193=""),"",$C1193&amp;"|"&amp;$A1193&amp;"|"&amp;$AE1193)</f>
        <v/>
      </c>
      <c r="AI1193" s="32">
        <f>IF(OR($C1193="",$AE1193="",$AE1193=1),"",IFERROR(INDEX($AC$6:$AC$1505,MATCH($C1193&amp;"|"&amp;$A1193&amp;"|"&amp;($AE1193-1),$AH$6:$AH$1505,0)),""))</f>
        <v/>
      </c>
      <c r="AJ1193" s="32">
        <f>IF(OR($AI1193="",$AC1193=""),"",IF($AI1193=$AC1193,"ללא שינוי","מ-"&amp;$AI1193&amp;" ל-"&amp;$AC1193))</f>
        <v/>
      </c>
      <c r="AK1193" s="67" t="n"/>
    </row>
    <row r="1194">
      <c r="A1194" s="65" t="n"/>
      <c r="B1194" s="65" t="n"/>
      <c r="C1194" s="66" t="n"/>
      <c r="D1194" s="66" t="n"/>
      <c r="E1194" s="65" t="n"/>
      <c r="F1194" s="65" t="n"/>
      <c r="G1194" s="65" t="n"/>
      <c r="H1194" s="65" t="n"/>
      <c r="I1194" s="65" t="n"/>
      <c r="J1194" s="65" t="n"/>
      <c r="K1194" s="65" t="n"/>
      <c r="L1194" s="65" t="n"/>
      <c r="M1194" s="65" t="n"/>
      <c r="N1194" s="65" t="n"/>
      <c r="O1194" s="65" t="n"/>
      <c r="P1194" s="65" t="n"/>
      <c r="Q1194" s="65" t="n"/>
      <c r="R1194" s="65" t="n"/>
      <c r="S1194" s="65" t="n"/>
      <c r="T1194" s="65" t="n"/>
      <c r="U1194" s="65" t="n"/>
      <c r="V1194" s="65" t="n"/>
      <c r="W1194" s="65" t="n"/>
      <c r="X1194" s="65" t="n"/>
      <c r="Y1194" s="32">
        <f>IF($C1194="","",IF(COUNTA($I1194:$K1194)&lt;3,"— חסרים נתונים",IF(AND($I1194="תקין",$J1194="תקין",$K1194="תקין"),"רהוטה",IF(AND($I1194="תקין",$J1194="תקין"),"מדויקת ורציפה","אינה מדויקת או מקוטעת"))))</f>
        <v/>
      </c>
      <c r="Z1194" s="32">
        <f>IF($C1194="","",IF(COUNTA($U1194:$W1194)&lt;3,"",IF(AND($U1194="מפותח",$V1194="מפותח",$W1194="מפותחת"),"מפותחת",IF((--($U1194="דל"))+(--($V1194="אינו מפותח"))+(--($W1194="דלה"))&gt;=2,"אינה מפותחת","חלקית"))))</f>
        <v/>
      </c>
      <c r="AA1194" s="32">
        <f>IF($C1194="","",IF(COUNTA($M1194,$N1194,$O1194)&lt;3,"— חסרים נתונים",IF(OR($M1194="נמוכה",(--($M1194&lt;&gt;"תקינה"))+(--($N1194&lt;&gt;"תקין"))+(--($O1194&lt;&gt;"תקינה"))&gt;=2),"ניכרת","אינה ניכרת")))</f>
        <v/>
      </c>
      <c r="AB1194" s="32">
        <f>IF(OR($C1194="",$Y1194="",$AA1194="",LEFT($Y1194,1)="—",LEFT($AA1194,1)="—"),"",IF($Z1194="","— נדרשת הערכת כתיבה",IF($L1194="","— חסרה הבנת הנקרא",IF($Y1194="אינה מדויקת או מקוטעת",IF($AA1194="ניכרת","מיקוד בשטף הקריאה ובכישורי שפה","מיקוד בשטף קריאה"),IF($AA1194="ניכרת","מיקוד בכישורי שפה",IF(AND($L1194="תקינה",$Z1194="מפותחת"),"קוראים וכותבים מיומנים","מיקוד בהבנה והבעה"))))))</f>
        <v/>
      </c>
      <c r="AC1194" s="32">
        <f>IF(OR($AB1194="",LEFT($AB1194,1)="—"),"",IF(OR($AB1194="מיקוד בשטף קריאה",$AB1194="מיקוד בשטף הקריאה ובכישורי שפה"),"רמה א'",IF($AB1194="קוראים וכותבים מיומנים","רמה ג'","רמה ב'")))</f>
        <v/>
      </c>
      <c r="AD1194" s="32">
        <f>IF($AC1194="","",MID(IF(AND($AC1194="רמה א'",$AA1194="ניכרת"),"; להוסיף עבודת אוצר מילים","")&amp;IF($Z1194="אינה מפותחת","; דגש על הבעה בכתב","")&amp;IF($K1194&lt;&gt;"תקין","; נדרש לעבוד על ההנגנה","")&amp;IF($AK1194&lt;&gt;"","; "&amp;$AK1194,""),3,400))</f>
        <v/>
      </c>
      <c r="AE1194" s="32">
        <f>IF($F1194="","",IF($F1194="תחילת שנה",1,IF($F1194="מחצית שנה",2,3)))</f>
        <v/>
      </c>
      <c r="AF1194" s="32">
        <f>IF(OR($B1194="",$AC1194="",$A1194="",$F1194=""),"",$B1194&amp;"|"&amp;$A1194&amp;"|"&amp;$F1194&amp;"|"&amp;$AC1194&amp;"|"&amp;COUNTIFS($B$6:$B1194,$B1194,$A$6:$A1194,$A1194,$F$6:$F1194,$F1194,$AC$6:$AC1194,$AC1194))</f>
        <v/>
      </c>
      <c r="AG1194" s="32">
        <f>IF($C1194="","",$C1194&amp;"|"&amp;COUNTIFS($C$6:$C1194,$C1194))</f>
        <v/>
      </c>
      <c r="AH1194" s="32">
        <f>IF(OR($C1194="",$A1194="",$AE1194=""),"",$C1194&amp;"|"&amp;$A1194&amp;"|"&amp;$AE1194)</f>
        <v/>
      </c>
      <c r="AI1194" s="32">
        <f>IF(OR($C1194="",$AE1194="",$AE1194=1),"",IFERROR(INDEX($AC$6:$AC$1505,MATCH($C1194&amp;"|"&amp;$A1194&amp;"|"&amp;($AE1194-1),$AH$6:$AH$1505,0)),""))</f>
        <v/>
      </c>
      <c r="AJ1194" s="32">
        <f>IF(OR($AI1194="",$AC1194=""),"",IF($AI1194=$AC1194,"ללא שינוי","מ-"&amp;$AI1194&amp;" ל-"&amp;$AC1194))</f>
        <v/>
      </c>
      <c r="AK1194" s="67" t="n"/>
    </row>
    <row r="1195">
      <c r="A1195" s="65" t="n"/>
      <c r="B1195" s="65" t="n"/>
      <c r="C1195" s="66" t="n"/>
      <c r="D1195" s="66" t="n"/>
      <c r="E1195" s="65" t="n"/>
      <c r="F1195" s="65" t="n"/>
      <c r="G1195" s="65" t="n"/>
      <c r="H1195" s="65" t="n"/>
      <c r="I1195" s="65" t="n"/>
      <c r="J1195" s="65" t="n"/>
      <c r="K1195" s="65" t="n"/>
      <c r="L1195" s="65" t="n"/>
      <c r="M1195" s="65" t="n"/>
      <c r="N1195" s="65" t="n"/>
      <c r="O1195" s="65" t="n"/>
      <c r="P1195" s="65" t="n"/>
      <c r="Q1195" s="65" t="n"/>
      <c r="R1195" s="65" t="n"/>
      <c r="S1195" s="65" t="n"/>
      <c r="T1195" s="65" t="n"/>
      <c r="U1195" s="65" t="n"/>
      <c r="V1195" s="65" t="n"/>
      <c r="W1195" s="65" t="n"/>
      <c r="X1195" s="65" t="n"/>
      <c r="Y1195" s="32">
        <f>IF($C1195="","",IF(COUNTA($I1195:$K1195)&lt;3,"— חסרים נתונים",IF(AND($I1195="תקין",$J1195="תקין",$K1195="תקין"),"רהוטה",IF(AND($I1195="תקין",$J1195="תקין"),"מדויקת ורציפה","אינה מדויקת או מקוטעת"))))</f>
        <v/>
      </c>
      <c r="Z1195" s="32">
        <f>IF($C1195="","",IF(COUNTA($U1195:$W1195)&lt;3,"",IF(AND($U1195="מפותח",$V1195="מפותח",$W1195="מפותחת"),"מפותחת",IF((--($U1195="דל"))+(--($V1195="אינו מפותח"))+(--($W1195="דלה"))&gt;=2,"אינה מפותחת","חלקית"))))</f>
        <v/>
      </c>
      <c r="AA1195" s="32">
        <f>IF($C1195="","",IF(COUNTA($M1195,$N1195,$O1195)&lt;3,"— חסרים נתונים",IF(OR($M1195="נמוכה",(--($M1195&lt;&gt;"תקינה"))+(--($N1195&lt;&gt;"תקין"))+(--($O1195&lt;&gt;"תקינה"))&gt;=2),"ניכרת","אינה ניכרת")))</f>
        <v/>
      </c>
      <c r="AB1195" s="32">
        <f>IF(OR($C1195="",$Y1195="",$AA1195="",LEFT($Y1195,1)="—",LEFT($AA1195,1)="—"),"",IF($Z1195="","— נדרשת הערכת כתיבה",IF($L1195="","— חסרה הבנת הנקרא",IF($Y1195="אינה מדויקת או מקוטעת",IF($AA1195="ניכרת","מיקוד בשטף הקריאה ובכישורי שפה","מיקוד בשטף קריאה"),IF($AA1195="ניכרת","מיקוד בכישורי שפה",IF(AND($L1195="תקינה",$Z1195="מפותחת"),"קוראים וכותבים מיומנים","מיקוד בהבנה והבעה"))))))</f>
        <v/>
      </c>
      <c r="AC1195" s="32">
        <f>IF(OR($AB1195="",LEFT($AB1195,1)="—"),"",IF(OR($AB1195="מיקוד בשטף קריאה",$AB1195="מיקוד בשטף הקריאה ובכישורי שפה"),"רמה א'",IF($AB1195="קוראים וכותבים מיומנים","רמה ג'","רמה ב'")))</f>
        <v/>
      </c>
      <c r="AD1195" s="32">
        <f>IF($AC1195="","",MID(IF(AND($AC1195="רמה א'",$AA1195="ניכרת"),"; להוסיף עבודת אוצר מילים","")&amp;IF($Z1195="אינה מפותחת","; דגש על הבעה בכתב","")&amp;IF($K1195&lt;&gt;"תקין","; נדרש לעבוד על ההנגנה","")&amp;IF($AK1195&lt;&gt;"","; "&amp;$AK1195,""),3,400))</f>
        <v/>
      </c>
      <c r="AE1195" s="32">
        <f>IF($F1195="","",IF($F1195="תחילת שנה",1,IF($F1195="מחצית שנה",2,3)))</f>
        <v/>
      </c>
      <c r="AF1195" s="32">
        <f>IF(OR($B1195="",$AC1195="",$A1195="",$F1195=""),"",$B1195&amp;"|"&amp;$A1195&amp;"|"&amp;$F1195&amp;"|"&amp;$AC1195&amp;"|"&amp;COUNTIFS($B$6:$B1195,$B1195,$A$6:$A1195,$A1195,$F$6:$F1195,$F1195,$AC$6:$AC1195,$AC1195))</f>
        <v/>
      </c>
      <c r="AG1195" s="32">
        <f>IF($C1195="","",$C1195&amp;"|"&amp;COUNTIFS($C$6:$C1195,$C1195))</f>
        <v/>
      </c>
      <c r="AH1195" s="32">
        <f>IF(OR($C1195="",$A1195="",$AE1195=""),"",$C1195&amp;"|"&amp;$A1195&amp;"|"&amp;$AE1195)</f>
        <v/>
      </c>
      <c r="AI1195" s="32">
        <f>IF(OR($C1195="",$AE1195="",$AE1195=1),"",IFERROR(INDEX($AC$6:$AC$1505,MATCH($C1195&amp;"|"&amp;$A1195&amp;"|"&amp;($AE1195-1),$AH$6:$AH$1505,0)),""))</f>
        <v/>
      </c>
      <c r="AJ1195" s="32">
        <f>IF(OR($AI1195="",$AC1195=""),"",IF($AI1195=$AC1195,"ללא שינוי","מ-"&amp;$AI1195&amp;" ל-"&amp;$AC1195))</f>
        <v/>
      </c>
      <c r="AK1195" s="67" t="n"/>
    </row>
    <row r="1196">
      <c r="A1196" s="65" t="n"/>
      <c r="B1196" s="65" t="n"/>
      <c r="C1196" s="66" t="n"/>
      <c r="D1196" s="66" t="n"/>
      <c r="E1196" s="65" t="n"/>
      <c r="F1196" s="65" t="n"/>
      <c r="G1196" s="65" t="n"/>
      <c r="H1196" s="65" t="n"/>
      <c r="I1196" s="65" t="n"/>
      <c r="J1196" s="65" t="n"/>
      <c r="K1196" s="65" t="n"/>
      <c r="L1196" s="65" t="n"/>
      <c r="M1196" s="65" t="n"/>
      <c r="N1196" s="65" t="n"/>
      <c r="O1196" s="65" t="n"/>
      <c r="P1196" s="65" t="n"/>
      <c r="Q1196" s="65" t="n"/>
      <c r="R1196" s="65" t="n"/>
      <c r="S1196" s="65" t="n"/>
      <c r="T1196" s="65" t="n"/>
      <c r="U1196" s="65" t="n"/>
      <c r="V1196" s="65" t="n"/>
      <c r="W1196" s="65" t="n"/>
      <c r="X1196" s="65" t="n"/>
      <c r="Y1196" s="32">
        <f>IF($C1196="","",IF(COUNTA($I1196:$K1196)&lt;3,"— חסרים נתונים",IF(AND($I1196="תקין",$J1196="תקין",$K1196="תקין"),"רהוטה",IF(AND($I1196="תקין",$J1196="תקין"),"מדויקת ורציפה","אינה מדויקת או מקוטעת"))))</f>
        <v/>
      </c>
      <c r="Z1196" s="32">
        <f>IF($C1196="","",IF(COUNTA($U1196:$W1196)&lt;3,"",IF(AND($U1196="מפותח",$V1196="מפותח",$W1196="מפותחת"),"מפותחת",IF((--($U1196="דל"))+(--($V1196="אינו מפותח"))+(--($W1196="דלה"))&gt;=2,"אינה מפותחת","חלקית"))))</f>
        <v/>
      </c>
      <c r="AA1196" s="32">
        <f>IF($C1196="","",IF(COUNTA($M1196,$N1196,$O1196)&lt;3,"— חסרים נתונים",IF(OR($M1196="נמוכה",(--($M1196&lt;&gt;"תקינה"))+(--($N1196&lt;&gt;"תקין"))+(--($O1196&lt;&gt;"תקינה"))&gt;=2),"ניכרת","אינה ניכרת")))</f>
        <v/>
      </c>
      <c r="AB1196" s="32">
        <f>IF(OR($C1196="",$Y1196="",$AA1196="",LEFT($Y1196,1)="—",LEFT($AA1196,1)="—"),"",IF($Z1196="","— נדרשת הערכת כתיבה",IF($L1196="","— חסרה הבנת הנקרא",IF($Y1196="אינה מדויקת או מקוטעת",IF($AA1196="ניכרת","מיקוד בשטף הקריאה ובכישורי שפה","מיקוד בשטף קריאה"),IF($AA1196="ניכרת","מיקוד בכישורי שפה",IF(AND($L1196="תקינה",$Z1196="מפותחת"),"קוראים וכותבים מיומנים","מיקוד בהבנה והבעה"))))))</f>
        <v/>
      </c>
      <c r="AC1196" s="32">
        <f>IF(OR($AB1196="",LEFT($AB1196,1)="—"),"",IF(OR($AB1196="מיקוד בשטף קריאה",$AB1196="מיקוד בשטף הקריאה ובכישורי שפה"),"רמה א'",IF($AB1196="קוראים וכותבים מיומנים","רמה ג'","רמה ב'")))</f>
        <v/>
      </c>
      <c r="AD1196" s="32">
        <f>IF($AC1196="","",MID(IF(AND($AC1196="רמה א'",$AA1196="ניכרת"),"; להוסיף עבודת אוצר מילים","")&amp;IF($Z1196="אינה מפותחת","; דגש על הבעה בכתב","")&amp;IF($K1196&lt;&gt;"תקין","; נדרש לעבוד על ההנגנה","")&amp;IF($AK1196&lt;&gt;"","; "&amp;$AK1196,""),3,400))</f>
        <v/>
      </c>
      <c r="AE1196" s="32">
        <f>IF($F1196="","",IF($F1196="תחילת שנה",1,IF($F1196="מחצית שנה",2,3)))</f>
        <v/>
      </c>
      <c r="AF1196" s="32">
        <f>IF(OR($B1196="",$AC1196="",$A1196="",$F1196=""),"",$B1196&amp;"|"&amp;$A1196&amp;"|"&amp;$F1196&amp;"|"&amp;$AC1196&amp;"|"&amp;COUNTIFS($B$6:$B1196,$B1196,$A$6:$A1196,$A1196,$F$6:$F1196,$F1196,$AC$6:$AC1196,$AC1196))</f>
        <v/>
      </c>
      <c r="AG1196" s="32">
        <f>IF($C1196="","",$C1196&amp;"|"&amp;COUNTIFS($C$6:$C1196,$C1196))</f>
        <v/>
      </c>
      <c r="AH1196" s="32">
        <f>IF(OR($C1196="",$A1196="",$AE1196=""),"",$C1196&amp;"|"&amp;$A1196&amp;"|"&amp;$AE1196)</f>
        <v/>
      </c>
      <c r="AI1196" s="32">
        <f>IF(OR($C1196="",$AE1196="",$AE1196=1),"",IFERROR(INDEX($AC$6:$AC$1505,MATCH($C1196&amp;"|"&amp;$A1196&amp;"|"&amp;($AE1196-1),$AH$6:$AH$1505,0)),""))</f>
        <v/>
      </c>
      <c r="AJ1196" s="32">
        <f>IF(OR($AI1196="",$AC1196=""),"",IF($AI1196=$AC1196,"ללא שינוי","מ-"&amp;$AI1196&amp;" ל-"&amp;$AC1196))</f>
        <v/>
      </c>
      <c r="AK1196" s="67" t="n"/>
    </row>
    <row r="1197">
      <c r="A1197" s="65" t="n"/>
      <c r="B1197" s="65" t="n"/>
      <c r="C1197" s="66" t="n"/>
      <c r="D1197" s="66" t="n"/>
      <c r="E1197" s="65" t="n"/>
      <c r="F1197" s="65" t="n"/>
      <c r="G1197" s="65" t="n"/>
      <c r="H1197" s="65" t="n"/>
      <c r="I1197" s="65" t="n"/>
      <c r="J1197" s="65" t="n"/>
      <c r="K1197" s="65" t="n"/>
      <c r="L1197" s="65" t="n"/>
      <c r="M1197" s="65" t="n"/>
      <c r="N1197" s="65" t="n"/>
      <c r="O1197" s="65" t="n"/>
      <c r="P1197" s="65" t="n"/>
      <c r="Q1197" s="65" t="n"/>
      <c r="R1197" s="65" t="n"/>
      <c r="S1197" s="65" t="n"/>
      <c r="T1197" s="65" t="n"/>
      <c r="U1197" s="65" t="n"/>
      <c r="V1197" s="65" t="n"/>
      <c r="W1197" s="65" t="n"/>
      <c r="X1197" s="65" t="n"/>
      <c r="Y1197" s="32">
        <f>IF($C1197="","",IF(COUNTA($I1197:$K1197)&lt;3,"— חסרים נתונים",IF(AND($I1197="תקין",$J1197="תקין",$K1197="תקין"),"רהוטה",IF(AND($I1197="תקין",$J1197="תקין"),"מדויקת ורציפה","אינה מדויקת או מקוטעת"))))</f>
        <v/>
      </c>
      <c r="Z1197" s="32">
        <f>IF($C1197="","",IF(COUNTA($U1197:$W1197)&lt;3,"",IF(AND($U1197="מפותח",$V1197="מפותח",$W1197="מפותחת"),"מפותחת",IF((--($U1197="דל"))+(--($V1197="אינו מפותח"))+(--($W1197="דלה"))&gt;=2,"אינה מפותחת","חלקית"))))</f>
        <v/>
      </c>
      <c r="AA1197" s="32">
        <f>IF($C1197="","",IF(COUNTA($M1197,$N1197,$O1197)&lt;3,"— חסרים נתונים",IF(OR($M1197="נמוכה",(--($M1197&lt;&gt;"תקינה"))+(--($N1197&lt;&gt;"תקין"))+(--($O1197&lt;&gt;"תקינה"))&gt;=2),"ניכרת","אינה ניכרת")))</f>
        <v/>
      </c>
      <c r="AB1197" s="32">
        <f>IF(OR($C1197="",$Y1197="",$AA1197="",LEFT($Y1197,1)="—",LEFT($AA1197,1)="—"),"",IF($Z1197="","— נדרשת הערכת כתיבה",IF($L1197="","— חסרה הבנת הנקרא",IF($Y1197="אינה מדויקת או מקוטעת",IF($AA1197="ניכרת","מיקוד בשטף הקריאה ובכישורי שפה","מיקוד בשטף קריאה"),IF($AA1197="ניכרת","מיקוד בכישורי שפה",IF(AND($L1197="תקינה",$Z1197="מפותחת"),"קוראים וכותבים מיומנים","מיקוד בהבנה והבעה"))))))</f>
        <v/>
      </c>
      <c r="AC1197" s="32">
        <f>IF(OR($AB1197="",LEFT($AB1197,1)="—"),"",IF(OR($AB1197="מיקוד בשטף קריאה",$AB1197="מיקוד בשטף הקריאה ובכישורי שפה"),"רמה א'",IF($AB1197="קוראים וכותבים מיומנים","רמה ג'","רמה ב'")))</f>
        <v/>
      </c>
      <c r="AD1197" s="32">
        <f>IF($AC1197="","",MID(IF(AND($AC1197="רמה א'",$AA1197="ניכרת"),"; להוסיף עבודת אוצר מילים","")&amp;IF($Z1197="אינה מפותחת","; דגש על הבעה בכתב","")&amp;IF($K1197&lt;&gt;"תקין","; נדרש לעבוד על ההנגנה","")&amp;IF($AK1197&lt;&gt;"","; "&amp;$AK1197,""),3,400))</f>
        <v/>
      </c>
      <c r="AE1197" s="32">
        <f>IF($F1197="","",IF($F1197="תחילת שנה",1,IF($F1197="מחצית שנה",2,3)))</f>
        <v/>
      </c>
      <c r="AF1197" s="32">
        <f>IF(OR($B1197="",$AC1197="",$A1197="",$F1197=""),"",$B1197&amp;"|"&amp;$A1197&amp;"|"&amp;$F1197&amp;"|"&amp;$AC1197&amp;"|"&amp;COUNTIFS($B$6:$B1197,$B1197,$A$6:$A1197,$A1197,$F$6:$F1197,$F1197,$AC$6:$AC1197,$AC1197))</f>
        <v/>
      </c>
      <c r="AG1197" s="32">
        <f>IF($C1197="","",$C1197&amp;"|"&amp;COUNTIFS($C$6:$C1197,$C1197))</f>
        <v/>
      </c>
      <c r="AH1197" s="32">
        <f>IF(OR($C1197="",$A1197="",$AE1197=""),"",$C1197&amp;"|"&amp;$A1197&amp;"|"&amp;$AE1197)</f>
        <v/>
      </c>
      <c r="AI1197" s="32">
        <f>IF(OR($C1197="",$AE1197="",$AE1197=1),"",IFERROR(INDEX($AC$6:$AC$1505,MATCH($C1197&amp;"|"&amp;$A1197&amp;"|"&amp;($AE1197-1),$AH$6:$AH$1505,0)),""))</f>
        <v/>
      </c>
      <c r="AJ1197" s="32">
        <f>IF(OR($AI1197="",$AC1197=""),"",IF($AI1197=$AC1197,"ללא שינוי","מ-"&amp;$AI1197&amp;" ל-"&amp;$AC1197))</f>
        <v/>
      </c>
      <c r="AK1197" s="67" t="n"/>
    </row>
    <row r="1198">
      <c r="A1198" s="65" t="n"/>
      <c r="B1198" s="65" t="n"/>
      <c r="C1198" s="66" t="n"/>
      <c r="D1198" s="66" t="n"/>
      <c r="E1198" s="65" t="n"/>
      <c r="F1198" s="65" t="n"/>
      <c r="G1198" s="65" t="n"/>
      <c r="H1198" s="65" t="n"/>
      <c r="I1198" s="65" t="n"/>
      <c r="J1198" s="65" t="n"/>
      <c r="K1198" s="65" t="n"/>
      <c r="L1198" s="65" t="n"/>
      <c r="M1198" s="65" t="n"/>
      <c r="N1198" s="65" t="n"/>
      <c r="O1198" s="65" t="n"/>
      <c r="P1198" s="65" t="n"/>
      <c r="Q1198" s="65" t="n"/>
      <c r="R1198" s="65" t="n"/>
      <c r="S1198" s="65" t="n"/>
      <c r="T1198" s="65" t="n"/>
      <c r="U1198" s="65" t="n"/>
      <c r="V1198" s="65" t="n"/>
      <c r="W1198" s="65" t="n"/>
      <c r="X1198" s="65" t="n"/>
      <c r="Y1198" s="32">
        <f>IF($C1198="","",IF(COUNTA($I1198:$K1198)&lt;3,"— חסרים נתונים",IF(AND($I1198="תקין",$J1198="תקין",$K1198="תקין"),"רהוטה",IF(AND($I1198="תקין",$J1198="תקין"),"מדויקת ורציפה","אינה מדויקת או מקוטעת"))))</f>
        <v/>
      </c>
      <c r="Z1198" s="32">
        <f>IF($C1198="","",IF(COUNTA($U1198:$W1198)&lt;3,"",IF(AND($U1198="מפותח",$V1198="מפותח",$W1198="מפותחת"),"מפותחת",IF((--($U1198="דל"))+(--($V1198="אינו מפותח"))+(--($W1198="דלה"))&gt;=2,"אינה מפותחת","חלקית"))))</f>
        <v/>
      </c>
      <c r="AA1198" s="32">
        <f>IF($C1198="","",IF(COUNTA($M1198,$N1198,$O1198)&lt;3,"— חסרים נתונים",IF(OR($M1198="נמוכה",(--($M1198&lt;&gt;"תקינה"))+(--($N1198&lt;&gt;"תקין"))+(--($O1198&lt;&gt;"תקינה"))&gt;=2),"ניכרת","אינה ניכרת")))</f>
        <v/>
      </c>
      <c r="AB1198" s="32">
        <f>IF(OR($C1198="",$Y1198="",$AA1198="",LEFT($Y1198,1)="—",LEFT($AA1198,1)="—"),"",IF($Z1198="","— נדרשת הערכת כתיבה",IF($L1198="","— חסרה הבנת הנקרא",IF($Y1198="אינה מדויקת או מקוטעת",IF($AA1198="ניכרת","מיקוד בשטף הקריאה ובכישורי שפה","מיקוד בשטף קריאה"),IF($AA1198="ניכרת","מיקוד בכישורי שפה",IF(AND($L1198="תקינה",$Z1198="מפותחת"),"קוראים וכותבים מיומנים","מיקוד בהבנה והבעה"))))))</f>
        <v/>
      </c>
      <c r="AC1198" s="32">
        <f>IF(OR($AB1198="",LEFT($AB1198,1)="—"),"",IF(OR($AB1198="מיקוד בשטף קריאה",$AB1198="מיקוד בשטף הקריאה ובכישורי שפה"),"רמה א'",IF($AB1198="קוראים וכותבים מיומנים","רמה ג'","רמה ב'")))</f>
        <v/>
      </c>
      <c r="AD1198" s="32">
        <f>IF($AC1198="","",MID(IF(AND($AC1198="רמה א'",$AA1198="ניכרת"),"; להוסיף עבודת אוצר מילים","")&amp;IF($Z1198="אינה מפותחת","; דגש על הבעה בכתב","")&amp;IF($K1198&lt;&gt;"תקין","; נדרש לעבוד על ההנגנה","")&amp;IF($AK1198&lt;&gt;"","; "&amp;$AK1198,""),3,400))</f>
        <v/>
      </c>
      <c r="AE1198" s="32">
        <f>IF($F1198="","",IF($F1198="תחילת שנה",1,IF($F1198="מחצית שנה",2,3)))</f>
        <v/>
      </c>
      <c r="AF1198" s="32">
        <f>IF(OR($B1198="",$AC1198="",$A1198="",$F1198=""),"",$B1198&amp;"|"&amp;$A1198&amp;"|"&amp;$F1198&amp;"|"&amp;$AC1198&amp;"|"&amp;COUNTIFS($B$6:$B1198,$B1198,$A$6:$A1198,$A1198,$F$6:$F1198,$F1198,$AC$6:$AC1198,$AC1198))</f>
        <v/>
      </c>
      <c r="AG1198" s="32">
        <f>IF($C1198="","",$C1198&amp;"|"&amp;COUNTIFS($C$6:$C1198,$C1198))</f>
        <v/>
      </c>
      <c r="AH1198" s="32">
        <f>IF(OR($C1198="",$A1198="",$AE1198=""),"",$C1198&amp;"|"&amp;$A1198&amp;"|"&amp;$AE1198)</f>
        <v/>
      </c>
      <c r="AI1198" s="32">
        <f>IF(OR($C1198="",$AE1198="",$AE1198=1),"",IFERROR(INDEX($AC$6:$AC$1505,MATCH($C1198&amp;"|"&amp;$A1198&amp;"|"&amp;($AE1198-1),$AH$6:$AH$1505,0)),""))</f>
        <v/>
      </c>
      <c r="AJ1198" s="32">
        <f>IF(OR($AI1198="",$AC1198=""),"",IF($AI1198=$AC1198,"ללא שינוי","מ-"&amp;$AI1198&amp;" ל-"&amp;$AC1198))</f>
        <v/>
      </c>
      <c r="AK1198" s="67" t="n"/>
    </row>
    <row r="1199">
      <c r="A1199" s="65" t="n"/>
      <c r="B1199" s="65" t="n"/>
      <c r="C1199" s="66" t="n"/>
      <c r="D1199" s="66" t="n"/>
      <c r="E1199" s="65" t="n"/>
      <c r="F1199" s="65" t="n"/>
      <c r="G1199" s="65" t="n"/>
      <c r="H1199" s="65" t="n"/>
      <c r="I1199" s="65" t="n"/>
      <c r="J1199" s="65" t="n"/>
      <c r="K1199" s="65" t="n"/>
      <c r="L1199" s="65" t="n"/>
      <c r="M1199" s="65" t="n"/>
      <c r="N1199" s="65" t="n"/>
      <c r="O1199" s="65" t="n"/>
      <c r="P1199" s="65" t="n"/>
      <c r="Q1199" s="65" t="n"/>
      <c r="R1199" s="65" t="n"/>
      <c r="S1199" s="65" t="n"/>
      <c r="T1199" s="65" t="n"/>
      <c r="U1199" s="65" t="n"/>
      <c r="V1199" s="65" t="n"/>
      <c r="W1199" s="65" t="n"/>
      <c r="X1199" s="65" t="n"/>
      <c r="Y1199" s="32">
        <f>IF($C1199="","",IF(COUNTA($I1199:$K1199)&lt;3,"— חסרים נתונים",IF(AND($I1199="תקין",$J1199="תקין",$K1199="תקין"),"רהוטה",IF(AND($I1199="תקין",$J1199="תקין"),"מדויקת ורציפה","אינה מדויקת או מקוטעת"))))</f>
        <v/>
      </c>
      <c r="Z1199" s="32">
        <f>IF($C1199="","",IF(COUNTA($U1199:$W1199)&lt;3,"",IF(AND($U1199="מפותח",$V1199="מפותח",$W1199="מפותחת"),"מפותחת",IF((--($U1199="דל"))+(--($V1199="אינו מפותח"))+(--($W1199="דלה"))&gt;=2,"אינה מפותחת","חלקית"))))</f>
        <v/>
      </c>
      <c r="AA1199" s="32">
        <f>IF($C1199="","",IF(COUNTA($M1199,$N1199,$O1199)&lt;3,"— חסרים נתונים",IF(OR($M1199="נמוכה",(--($M1199&lt;&gt;"תקינה"))+(--($N1199&lt;&gt;"תקין"))+(--($O1199&lt;&gt;"תקינה"))&gt;=2),"ניכרת","אינה ניכרת")))</f>
        <v/>
      </c>
      <c r="AB1199" s="32">
        <f>IF(OR($C1199="",$Y1199="",$AA1199="",LEFT($Y1199,1)="—",LEFT($AA1199,1)="—"),"",IF($Z1199="","— נדרשת הערכת כתיבה",IF($L1199="","— חסרה הבנת הנקרא",IF($Y1199="אינה מדויקת או מקוטעת",IF($AA1199="ניכרת","מיקוד בשטף הקריאה ובכישורי שפה","מיקוד בשטף קריאה"),IF($AA1199="ניכרת","מיקוד בכישורי שפה",IF(AND($L1199="תקינה",$Z1199="מפותחת"),"קוראים וכותבים מיומנים","מיקוד בהבנה והבעה"))))))</f>
        <v/>
      </c>
      <c r="AC1199" s="32">
        <f>IF(OR($AB1199="",LEFT($AB1199,1)="—"),"",IF(OR($AB1199="מיקוד בשטף קריאה",$AB1199="מיקוד בשטף הקריאה ובכישורי שפה"),"רמה א'",IF($AB1199="קוראים וכותבים מיומנים","רמה ג'","רמה ב'")))</f>
        <v/>
      </c>
      <c r="AD1199" s="32">
        <f>IF($AC1199="","",MID(IF(AND($AC1199="רמה א'",$AA1199="ניכרת"),"; להוסיף עבודת אוצר מילים","")&amp;IF($Z1199="אינה מפותחת","; דגש על הבעה בכתב","")&amp;IF($K1199&lt;&gt;"תקין","; נדרש לעבוד על ההנגנה","")&amp;IF($AK1199&lt;&gt;"","; "&amp;$AK1199,""),3,400))</f>
        <v/>
      </c>
      <c r="AE1199" s="32">
        <f>IF($F1199="","",IF($F1199="תחילת שנה",1,IF($F1199="מחצית שנה",2,3)))</f>
        <v/>
      </c>
      <c r="AF1199" s="32">
        <f>IF(OR($B1199="",$AC1199="",$A1199="",$F1199=""),"",$B1199&amp;"|"&amp;$A1199&amp;"|"&amp;$F1199&amp;"|"&amp;$AC1199&amp;"|"&amp;COUNTIFS($B$6:$B1199,$B1199,$A$6:$A1199,$A1199,$F$6:$F1199,$F1199,$AC$6:$AC1199,$AC1199))</f>
        <v/>
      </c>
      <c r="AG1199" s="32">
        <f>IF($C1199="","",$C1199&amp;"|"&amp;COUNTIFS($C$6:$C1199,$C1199))</f>
        <v/>
      </c>
      <c r="AH1199" s="32">
        <f>IF(OR($C1199="",$A1199="",$AE1199=""),"",$C1199&amp;"|"&amp;$A1199&amp;"|"&amp;$AE1199)</f>
        <v/>
      </c>
      <c r="AI1199" s="32">
        <f>IF(OR($C1199="",$AE1199="",$AE1199=1),"",IFERROR(INDEX($AC$6:$AC$1505,MATCH($C1199&amp;"|"&amp;$A1199&amp;"|"&amp;($AE1199-1),$AH$6:$AH$1505,0)),""))</f>
        <v/>
      </c>
      <c r="AJ1199" s="32">
        <f>IF(OR($AI1199="",$AC1199=""),"",IF($AI1199=$AC1199,"ללא שינוי","מ-"&amp;$AI1199&amp;" ל-"&amp;$AC1199))</f>
        <v/>
      </c>
      <c r="AK1199" s="67" t="n"/>
    </row>
    <row r="1200">
      <c r="A1200" s="65" t="n"/>
      <c r="B1200" s="65" t="n"/>
      <c r="C1200" s="66" t="n"/>
      <c r="D1200" s="66" t="n"/>
      <c r="E1200" s="65" t="n"/>
      <c r="F1200" s="65" t="n"/>
      <c r="G1200" s="65" t="n"/>
      <c r="H1200" s="65" t="n"/>
      <c r="I1200" s="65" t="n"/>
      <c r="J1200" s="65" t="n"/>
      <c r="K1200" s="65" t="n"/>
      <c r="L1200" s="65" t="n"/>
      <c r="M1200" s="65" t="n"/>
      <c r="N1200" s="65" t="n"/>
      <c r="O1200" s="65" t="n"/>
      <c r="P1200" s="65" t="n"/>
      <c r="Q1200" s="65" t="n"/>
      <c r="R1200" s="65" t="n"/>
      <c r="S1200" s="65" t="n"/>
      <c r="T1200" s="65" t="n"/>
      <c r="U1200" s="65" t="n"/>
      <c r="V1200" s="65" t="n"/>
      <c r="W1200" s="65" t="n"/>
      <c r="X1200" s="65" t="n"/>
      <c r="Y1200" s="32">
        <f>IF($C1200="","",IF(COUNTA($I1200:$K1200)&lt;3,"— חסרים נתונים",IF(AND($I1200="תקין",$J1200="תקין",$K1200="תקין"),"רהוטה",IF(AND($I1200="תקין",$J1200="תקין"),"מדויקת ורציפה","אינה מדויקת או מקוטעת"))))</f>
        <v/>
      </c>
      <c r="Z1200" s="32">
        <f>IF($C1200="","",IF(COUNTA($U1200:$W1200)&lt;3,"",IF(AND($U1200="מפותח",$V1200="מפותח",$W1200="מפותחת"),"מפותחת",IF((--($U1200="דל"))+(--($V1200="אינו מפותח"))+(--($W1200="דלה"))&gt;=2,"אינה מפותחת","חלקית"))))</f>
        <v/>
      </c>
      <c r="AA1200" s="32">
        <f>IF($C1200="","",IF(COUNTA($M1200,$N1200,$O1200)&lt;3,"— חסרים נתונים",IF(OR($M1200="נמוכה",(--($M1200&lt;&gt;"תקינה"))+(--($N1200&lt;&gt;"תקין"))+(--($O1200&lt;&gt;"תקינה"))&gt;=2),"ניכרת","אינה ניכרת")))</f>
        <v/>
      </c>
      <c r="AB1200" s="32">
        <f>IF(OR($C1200="",$Y1200="",$AA1200="",LEFT($Y1200,1)="—",LEFT($AA1200,1)="—"),"",IF($Z1200="","— נדרשת הערכת כתיבה",IF($L1200="","— חסרה הבנת הנקרא",IF($Y1200="אינה מדויקת או מקוטעת",IF($AA1200="ניכרת","מיקוד בשטף הקריאה ובכישורי שפה","מיקוד בשטף קריאה"),IF($AA1200="ניכרת","מיקוד בכישורי שפה",IF(AND($L1200="תקינה",$Z1200="מפותחת"),"קוראים וכותבים מיומנים","מיקוד בהבנה והבעה"))))))</f>
        <v/>
      </c>
      <c r="AC1200" s="32">
        <f>IF(OR($AB1200="",LEFT($AB1200,1)="—"),"",IF(OR($AB1200="מיקוד בשטף קריאה",$AB1200="מיקוד בשטף הקריאה ובכישורי שפה"),"רמה א'",IF($AB1200="קוראים וכותבים מיומנים","רמה ג'","רמה ב'")))</f>
        <v/>
      </c>
      <c r="AD1200" s="32">
        <f>IF($AC1200="","",MID(IF(AND($AC1200="רמה א'",$AA1200="ניכרת"),"; להוסיף עבודת אוצר מילים","")&amp;IF($Z1200="אינה מפותחת","; דגש על הבעה בכתב","")&amp;IF($K1200&lt;&gt;"תקין","; נדרש לעבוד על ההנגנה","")&amp;IF($AK1200&lt;&gt;"","; "&amp;$AK1200,""),3,400))</f>
        <v/>
      </c>
      <c r="AE1200" s="32">
        <f>IF($F1200="","",IF($F1200="תחילת שנה",1,IF($F1200="מחצית שנה",2,3)))</f>
        <v/>
      </c>
      <c r="AF1200" s="32">
        <f>IF(OR($B1200="",$AC1200="",$A1200="",$F1200=""),"",$B1200&amp;"|"&amp;$A1200&amp;"|"&amp;$F1200&amp;"|"&amp;$AC1200&amp;"|"&amp;COUNTIFS($B$6:$B1200,$B1200,$A$6:$A1200,$A1200,$F$6:$F1200,$F1200,$AC$6:$AC1200,$AC1200))</f>
        <v/>
      </c>
      <c r="AG1200" s="32">
        <f>IF($C1200="","",$C1200&amp;"|"&amp;COUNTIFS($C$6:$C1200,$C1200))</f>
        <v/>
      </c>
      <c r="AH1200" s="32">
        <f>IF(OR($C1200="",$A1200="",$AE1200=""),"",$C1200&amp;"|"&amp;$A1200&amp;"|"&amp;$AE1200)</f>
        <v/>
      </c>
      <c r="AI1200" s="32">
        <f>IF(OR($C1200="",$AE1200="",$AE1200=1),"",IFERROR(INDEX($AC$6:$AC$1505,MATCH($C1200&amp;"|"&amp;$A1200&amp;"|"&amp;($AE1200-1),$AH$6:$AH$1505,0)),""))</f>
        <v/>
      </c>
      <c r="AJ1200" s="32">
        <f>IF(OR($AI1200="",$AC1200=""),"",IF($AI1200=$AC1200,"ללא שינוי","מ-"&amp;$AI1200&amp;" ל-"&amp;$AC1200))</f>
        <v/>
      </c>
      <c r="AK1200" s="67" t="n"/>
    </row>
    <row r="1201">
      <c r="A1201" s="65" t="n"/>
      <c r="B1201" s="65" t="n"/>
      <c r="C1201" s="66" t="n"/>
      <c r="D1201" s="66" t="n"/>
      <c r="E1201" s="65" t="n"/>
      <c r="F1201" s="65" t="n"/>
      <c r="G1201" s="65" t="n"/>
      <c r="H1201" s="65" t="n"/>
      <c r="I1201" s="65" t="n"/>
      <c r="J1201" s="65" t="n"/>
      <c r="K1201" s="65" t="n"/>
      <c r="L1201" s="65" t="n"/>
      <c r="M1201" s="65" t="n"/>
      <c r="N1201" s="65" t="n"/>
      <c r="O1201" s="65" t="n"/>
      <c r="P1201" s="65" t="n"/>
      <c r="Q1201" s="65" t="n"/>
      <c r="R1201" s="65" t="n"/>
      <c r="S1201" s="65" t="n"/>
      <c r="T1201" s="65" t="n"/>
      <c r="U1201" s="65" t="n"/>
      <c r="V1201" s="65" t="n"/>
      <c r="W1201" s="65" t="n"/>
      <c r="X1201" s="65" t="n"/>
      <c r="Y1201" s="32">
        <f>IF($C1201="","",IF(COUNTA($I1201:$K1201)&lt;3,"— חסרים נתונים",IF(AND($I1201="תקין",$J1201="תקין",$K1201="תקין"),"רהוטה",IF(AND($I1201="תקין",$J1201="תקין"),"מדויקת ורציפה","אינה מדויקת או מקוטעת"))))</f>
        <v/>
      </c>
      <c r="Z1201" s="32">
        <f>IF($C1201="","",IF(COUNTA($U1201:$W1201)&lt;3,"",IF(AND($U1201="מפותח",$V1201="מפותח",$W1201="מפותחת"),"מפותחת",IF((--($U1201="דל"))+(--($V1201="אינו מפותח"))+(--($W1201="דלה"))&gt;=2,"אינה מפותחת","חלקית"))))</f>
        <v/>
      </c>
      <c r="AA1201" s="32">
        <f>IF($C1201="","",IF(COUNTA($M1201,$N1201,$O1201)&lt;3,"— חסרים נתונים",IF(OR($M1201="נמוכה",(--($M1201&lt;&gt;"תקינה"))+(--($N1201&lt;&gt;"תקין"))+(--($O1201&lt;&gt;"תקינה"))&gt;=2),"ניכרת","אינה ניכרת")))</f>
        <v/>
      </c>
      <c r="AB1201" s="32">
        <f>IF(OR($C1201="",$Y1201="",$AA1201="",LEFT($Y1201,1)="—",LEFT($AA1201,1)="—"),"",IF($Z1201="","— נדרשת הערכת כתיבה",IF($L1201="","— חסרה הבנת הנקרא",IF($Y1201="אינה מדויקת או מקוטעת",IF($AA1201="ניכרת","מיקוד בשטף הקריאה ובכישורי שפה","מיקוד בשטף קריאה"),IF($AA1201="ניכרת","מיקוד בכישורי שפה",IF(AND($L1201="תקינה",$Z1201="מפותחת"),"קוראים וכותבים מיומנים","מיקוד בהבנה והבעה"))))))</f>
        <v/>
      </c>
      <c r="AC1201" s="32">
        <f>IF(OR($AB1201="",LEFT($AB1201,1)="—"),"",IF(OR($AB1201="מיקוד בשטף קריאה",$AB1201="מיקוד בשטף הקריאה ובכישורי שפה"),"רמה א'",IF($AB1201="קוראים וכותבים מיומנים","רמה ג'","רמה ב'")))</f>
        <v/>
      </c>
      <c r="AD1201" s="32">
        <f>IF($AC1201="","",MID(IF(AND($AC1201="רמה א'",$AA1201="ניכרת"),"; להוסיף עבודת אוצר מילים","")&amp;IF($Z1201="אינה מפותחת","; דגש על הבעה בכתב","")&amp;IF($K1201&lt;&gt;"תקין","; נדרש לעבוד על ההנגנה","")&amp;IF($AK1201&lt;&gt;"","; "&amp;$AK1201,""),3,400))</f>
        <v/>
      </c>
      <c r="AE1201" s="32">
        <f>IF($F1201="","",IF($F1201="תחילת שנה",1,IF($F1201="מחצית שנה",2,3)))</f>
        <v/>
      </c>
      <c r="AF1201" s="32">
        <f>IF(OR($B1201="",$AC1201="",$A1201="",$F1201=""),"",$B1201&amp;"|"&amp;$A1201&amp;"|"&amp;$F1201&amp;"|"&amp;$AC1201&amp;"|"&amp;COUNTIFS($B$6:$B1201,$B1201,$A$6:$A1201,$A1201,$F$6:$F1201,$F1201,$AC$6:$AC1201,$AC1201))</f>
        <v/>
      </c>
      <c r="AG1201" s="32">
        <f>IF($C1201="","",$C1201&amp;"|"&amp;COUNTIFS($C$6:$C1201,$C1201))</f>
        <v/>
      </c>
      <c r="AH1201" s="32">
        <f>IF(OR($C1201="",$A1201="",$AE1201=""),"",$C1201&amp;"|"&amp;$A1201&amp;"|"&amp;$AE1201)</f>
        <v/>
      </c>
      <c r="AI1201" s="32">
        <f>IF(OR($C1201="",$AE1201="",$AE1201=1),"",IFERROR(INDEX($AC$6:$AC$1505,MATCH($C1201&amp;"|"&amp;$A1201&amp;"|"&amp;($AE1201-1),$AH$6:$AH$1505,0)),""))</f>
        <v/>
      </c>
      <c r="AJ1201" s="32">
        <f>IF(OR($AI1201="",$AC1201=""),"",IF($AI1201=$AC1201,"ללא שינוי","מ-"&amp;$AI1201&amp;" ל-"&amp;$AC1201))</f>
        <v/>
      </c>
      <c r="AK1201" s="67" t="n"/>
    </row>
    <row r="1202">
      <c r="A1202" s="65" t="n"/>
      <c r="B1202" s="65" t="n"/>
      <c r="C1202" s="66" t="n"/>
      <c r="D1202" s="66" t="n"/>
      <c r="E1202" s="65" t="n"/>
      <c r="F1202" s="65" t="n"/>
      <c r="G1202" s="65" t="n"/>
      <c r="H1202" s="65" t="n"/>
      <c r="I1202" s="65" t="n"/>
      <c r="J1202" s="65" t="n"/>
      <c r="K1202" s="65" t="n"/>
      <c r="L1202" s="65" t="n"/>
      <c r="M1202" s="65" t="n"/>
      <c r="N1202" s="65" t="n"/>
      <c r="O1202" s="65" t="n"/>
      <c r="P1202" s="65" t="n"/>
      <c r="Q1202" s="65" t="n"/>
      <c r="R1202" s="65" t="n"/>
      <c r="S1202" s="65" t="n"/>
      <c r="T1202" s="65" t="n"/>
      <c r="U1202" s="65" t="n"/>
      <c r="V1202" s="65" t="n"/>
      <c r="W1202" s="65" t="n"/>
      <c r="X1202" s="65" t="n"/>
      <c r="Y1202" s="32">
        <f>IF($C1202="","",IF(COUNTA($I1202:$K1202)&lt;3,"— חסרים נתונים",IF(AND($I1202="תקין",$J1202="תקין",$K1202="תקין"),"רהוטה",IF(AND($I1202="תקין",$J1202="תקין"),"מדויקת ורציפה","אינה מדויקת או מקוטעת"))))</f>
        <v/>
      </c>
      <c r="Z1202" s="32">
        <f>IF($C1202="","",IF(COUNTA($U1202:$W1202)&lt;3,"",IF(AND($U1202="מפותח",$V1202="מפותח",$W1202="מפותחת"),"מפותחת",IF((--($U1202="דל"))+(--($V1202="אינו מפותח"))+(--($W1202="דלה"))&gt;=2,"אינה מפותחת","חלקית"))))</f>
        <v/>
      </c>
      <c r="AA1202" s="32">
        <f>IF($C1202="","",IF(COUNTA($M1202,$N1202,$O1202)&lt;3,"— חסרים נתונים",IF(OR($M1202="נמוכה",(--($M1202&lt;&gt;"תקינה"))+(--($N1202&lt;&gt;"תקין"))+(--($O1202&lt;&gt;"תקינה"))&gt;=2),"ניכרת","אינה ניכרת")))</f>
        <v/>
      </c>
      <c r="AB1202" s="32">
        <f>IF(OR($C1202="",$Y1202="",$AA1202="",LEFT($Y1202,1)="—",LEFT($AA1202,1)="—"),"",IF($Z1202="","— נדרשת הערכת כתיבה",IF($L1202="","— חסרה הבנת הנקרא",IF($Y1202="אינה מדויקת או מקוטעת",IF($AA1202="ניכרת","מיקוד בשטף הקריאה ובכישורי שפה","מיקוד בשטף קריאה"),IF($AA1202="ניכרת","מיקוד בכישורי שפה",IF(AND($L1202="תקינה",$Z1202="מפותחת"),"קוראים וכותבים מיומנים","מיקוד בהבנה והבעה"))))))</f>
        <v/>
      </c>
      <c r="AC1202" s="32">
        <f>IF(OR($AB1202="",LEFT($AB1202,1)="—"),"",IF(OR($AB1202="מיקוד בשטף קריאה",$AB1202="מיקוד בשטף הקריאה ובכישורי שפה"),"רמה א'",IF($AB1202="קוראים וכותבים מיומנים","רמה ג'","רמה ב'")))</f>
        <v/>
      </c>
      <c r="AD1202" s="32">
        <f>IF($AC1202="","",MID(IF(AND($AC1202="רמה א'",$AA1202="ניכרת"),"; להוסיף עבודת אוצר מילים","")&amp;IF($Z1202="אינה מפותחת","; דגש על הבעה בכתב","")&amp;IF($K1202&lt;&gt;"תקין","; נדרש לעבוד על ההנגנה","")&amp;IF($AK1202&lt;&gt;"","; "&amp;$AK1202,""),3,400))</f>
        <v/>
      </c>
      <c r="AE1202" s="32">
        <f>IF($F1202="","",IF($F1202="תחילת שנה",1,IF($F1202="מחצית שנה",2,3)))</f>
        <v/>
      </c>
      <c r="AF1202" s="32">
        <f>IF(OR($B1202="",$AC1202="",$A1202="",$F1202=""),"",$B1202&amp;"|"&amp;$A1202&amp;"|"&amp;$F1202&amp;"|"&amp;$AC1202&amp;"|"&amp;COUNTIFS($B$6:$B1202,$B1202,$A$6:$A1202,$A1202,$F$6:$F1202,$F1202,$AC$6:$AC1202,$AC1202))</f>
        <v/>
      </c>
      <c r="AG1202" s="32">
        <f>IF($C1202="","",$C1202&amp;"|"&amp;COUNTIFS($C$6:$C1202,$C1202))</f>
        <v/>
      </c>
      <c r="AH1202" s="32">
        <f>IF(OR($C1202="",$A1202="",$AE1202=""),"",$C1202&amp;"|"&amp;$A1202&amp;"|"&amp;$AE1202)</f>
        <v/>
      </c>
      <c r="AI1202" s="32">
        <f>IF(OR($C1202="",$AE1202="",$AE1202=1),"",IFERROR(INDEX($AC$6:$AC$1505,MATCH($C1202&amp;"|"&amp;$A1202&amp;"|"&amp;($AE1202-1),$AH$6:$AH$1505,0)),""))</f>
        <v/>
      </c>
      <c r="AJ1202" s="32">
        <f>IF(OR($AI1202="",$AC1202=""),"",IF($AI1202=$AC1202,"ללא שינוי","מ-"&amp;$AI1202&amp;" ל-"&amp;$AC1202))</f>
        <v/>
      </c>
      <c r="AK1202" s="67" t="n"/>
    </row>
    <row r="1203">
      <c r="A1203" s="65" t="n"/>
      <c r="B1203" s="65" t="n"/>
      <c r="C1203" s="66" t="n"/>
      <c r="D1203" s="66" t="n"/>
      <c r="E1203" s="65" t="n"/>
      <c r="F1203" s="65" t="n"/>
      <c r="G1203" s="65" t="n"/>
      <c r="H1203" s="65" t="n"/>
      <c r="I1203" s="65" t="n"/>
      <c r="J1203" s="65" t="n"/>
      <c r="K1203" s="65" t="n"/>
      <c r="L1203" s="65" t="n"/>
      <c r="M1203" s="65" t="n"/>
      <c r="N1203" s="65" t="n"/>
      <c r="O1203" s="65" t="n"/>
      <c r="P1203" s="65" t="n"/>
      <c r="Q1203" s="65" t="n"/>
      <c r="R1203" s="65" t="n"/>
      <c r="S1203" s="65" t="n"/>
      <c r="T1203" s="65" t="n"/>
      <c r="U1203" s="65" t="n"/>
      <c r="V1203" s="65" t="n"/>
      <c r="W1203" s="65" t="n"/>
      <c r="X1203" s="65" t="n"/>
      <c r="Y1203" s="32">
        <f>IF($C1203="","",IF(COUNTA($I1203:$K1203)&lt;3,"— חסרים נתונים",IF(AND($I1203="תקין",$J1203="תקין",$K1203="תקין"),"רהוטה",IF(AND($I1203="תקין",$J1203="תקין"),"מדויקת ורציפה","אינה מדויקת או מקוטעת"))))</f>
        <v/>
      </c>
      <c r="Z1203" s="32">
        <f>IF($C1203="","",IF(COUNTA($U1203:$W1203)&lt;3,"",IF(AND($U1203="מפותח",$V1203="מפותח",$W1203="מפותחת"),"מפותחת",IF((--($U1203="דל"))+(--($V1203="אינו מפותח"))+(--($W1203="דלה"))&gt;=2,"אינה מפותחת","חלקית"))))</f>
        <v/>
      </c>
      <c r="AA1203" s="32">
        <f>IF($C1203="","",IF(COUNTA($M1203,$N1203,$O1203)&lt;3,"— חסרים נתונים",IF(OR($M1203="נמוכה",(--($M1203&lt;&gt;"תקינה"))+(--($N1203&lt;&gt;"תקין"))+(--($O1203&lt;&gt;"תקינה"))&gt;=2),"ניכרת","אינה ניכרת")))</f>
        <v/>
      </c>
      <c r="AB1203" s="32">
        <f>IF(OR($C1203="",$Y1203="",$AA1203="",LEFT($Y1203,1)="—",LEFT($AA1203,1)="—"),"",IF($Z1203="","— נדרשת הערכת כתיבה",IF($L1203="","— חסרה הבנת הנקרא",IF($Y1203="אינה מדויקת או מקוטעת",IF($AA1203="ניכרת","מיקוד בשטף הקריאה ובכישורי שפה","מיקוד בשטף קריאה"),IF($AA1203="ניכרת","מיקוד בכישורי שפה",IF(AND($L1203="תקינה",$Z1203="מפותחת"),"קוראים וכותבים מיומנים","מיקוד בהבנה והבעה"))))))</f>
        <v/>
      </c>
      <c r="AC1203" s="32">
        <f>IF(OR($AB1203="",LEFT($AB1203,1)="—"),"",IF(OR($AB1203="מיקוד בשטף קריאה",$AB1203="מיקוד בשטף הקריאה ובכישורי שפה"),"רמה א'",IF($AB1203="קוראים וכותבים מיומנים","רמה ג'","רמה ב'")))</f>
        <v/>
      </c>
      <c r="AD1203" s="32">
        <f>IF($AC1203="","",MID(IF(AND($AC1203="רמה א'",$AA1203="ניכרת"),"; להוסיף עבודת אוצר מילים","")&amp;IF($Z1203="אינה מפותחת","; דגש על הבעה בכתב","")&amp;IF($K1203&lt;&gt;"תקין","; נדרש לעבוד על ההנגנה","")&amp;IF($AK1203&lt;&gt;"","; "&amp;$AK1203,""),3,400))</f>
        <v/>
      </c>
      <c r="AE1203" s="32">
        <f>IF($F1203="","",IF($F1203="תחילת שנה",1,IF($F1203="מחצית שנה",2,3)))</f>
        <v/>
      </c>
      <c r="AF1203" s="32">
        <f>IF(OR($B1203="",$AC1203="",$A1203="",$F1203=""),"",$B1203&amp;"|"&amp;$A1203&amp;"|"&amp;$F1203&amp;"|"&amp;$AC1203&amp;"|"&amp;COUNTIFS($B$6:$B1203,$B1203,$A$6:$A1203,$A1203,$F$6:$F1203,$F1203,$AC$6:$AC1203,$AC1203))</f>
        <v/>
      </c>
      <c r="AG1203" s="32">
        <f>IF($C1203="","",$C1203&amp;"|"&amp;COUNTIFS($C$6:$C1203,$C1203))</f>
        <v/>
      </c>
      <c r="AH1203" s="32">
        <f>IF(OR($C1203="",$A1203="",$AE1203=""),"",$C1203&amp;"|"&amp;$A1203&amp;"|"&amp;$AE1203)</f>
        <v/>
      </c>
      <c r="AI1203" s="32">
        <f>IF(OR($C1203="",$AE1203="",$AE1203=1),"",IFERROR(INDEX($AC$6:$AC$1505,MATCH($C1203&amp;"|"&amp;$A1203&amp;"|"&amp;($AE1203-1),$AH$6:$AH$1505,0)),""))</f>
        <v/>
      </c>
      <c r="AJ1203" s="32">
        <f>IF(OR($AI1203="",$AC1203=""),"",IF($AI1203=$AC1203,"ללא שינוי","מ-"&amp;$AI1203&amp;" ל-"&amp;$AC1203))</f>
        <v/>
      </c>
      <c r="AK1203" s="67" t="n"/>
    </row>
    <row r="1204">
      <c r="A1204" s="65" t="n"/>
      <c r="B1204" s="65" t="n"/>
      <c r="C1204" s="66" t="n"/>
      <c r="D1204" s="66" t="n"/>
      <c r="E1204" s="65" t="n"/>
      <c r="F1204" s="65" t="n"/>
      <c r="G1204" s="65" t="n"/>
      <c r="H1204" s="65" t="n"/>
      <c r="I1204" s="65" t="n"/>
      <c r="J1204" s="65" t="n"/>
      <c r="K1204" s="65" t="n"/>
      <c r="L1204" s="65" t="n"/>
      <c r="M1204" s="65" t="n"/>
      <c r="N1204" s="65" t="n"/>
      <c r="O1204" s="65" t="n"/>
      <c r="P1204" s="65" t="n"/>
      <c r="Q1204" s="65" t="n"/>
      <c r="R1204" s="65" t="n"/>
      <c r="S1204" s="65" t="n"/>
      <c r="T1204" s="65" t="n"/>
      <c r="U1204" s="65" t="n"/>
      <c r="V1204" s="65" t="n"/>
      <c r="W1204" s="65" t="n"/>
      <c r="X1204" s="65" t="n"/>
      <c r="Y1204" s="32">
        <f>IF($C1204="","",IF(COUNTA($I1204:$K1204)&lt;3,"— חסרים נתונים",IF(AND($I1204="תקין",$J1204="תקין",$K1204="תקין"),"רהוטה",IF(AND($I1204="תקין",$J1204="תקין"),"מדויקת ורציפה","אינה מדויקת או מקוטעת"))))</f>
        <v/>
      </c>
      <c r="Z1204" s="32">
        <f>IF($C1204="","",IF(COUNTA($U1204:$W1204)&lt;3,"",IF(AND($U1204="מפותח",$V1204="מפותח",$W1204="מפותחת"),"מפותחת",IF((--($U1204="דל"))+(--($V1204="אינו מפותח"))+(--($W1204="דלה"))&gt;=2,"אינה מפותחת","חלקית"))))</f>
        <v/>
      </c>
      <c r="AA1204" s="32">
        <f>IF($C1204="","",IF(COUNTA($M1204,$N1204,$O1204)&lt;3,"— חסרים נתונים",IF(OR($M1204="נמוכה",(--($M1204&lt;&gt;"תקינה"))+(--($N1204&lt;&gt;"תקין"))+(--($O1204&lt;&gt;"תקינה"))&gt;=2),"ניכרת","אינה ניכרת")))</f>
        <v/>
      </c>
      <c r="AB1204" s="32">
        <f>IF(OR($C1204="",$Y1204="",$AA1204="",LEFT($Y1204,1)="—",LEFT($AA1204,1)="—"),"",IF($Z1204="","— נדרשת הערכת כתיבה",IF($L1204="","— חסרה הבנת הנקרא",IF($Y1204="אינה מדויקת או מקוטעת",IF($AA1204="ניכרת","מיקוד בשטף הקריאה ובכישורי שפה","מיקוד בשטף קריאה"),IF($AA1204="ניכרת","מיקוד בכישורי שפה",IF(AND($L1204="תקינה",$Z1204="מפותחת"),"קוראים וכותבים מיומנים","מיקוד בהבנה והבעה"))))))</f>
        <v/>
      </c>
      <c r="AC1204" s="32">
        <f>IF(OR($AB1204="",LEFT($AB1204,1)="—"),"",IF(OR($AB1204="מיקוד בשטף קריאה",$AB1204="מיקוד בשטף הקריאה ובכישורי שפה"),"רמה א'",IF($AB1204="קוראים וכותבים מיומנים","רמה ג'","רמה ב'")))</f>
        <v/>
      </c>
      <c r="AD1204" s="32">
        <f>IF($AC1204="","",MID(IF(AND($AC1204="רמה א'",$AA1204="ניכרת"),"; להוסיף עבודת אוצר מילים","")&amp;IF($Z1204="אינה מפותחת","; דגש על הבעה בכתב","")&amp;IF($K1204&lt;&gt;"תקין","; נדרש לעבוד על ההנגנה","")&amp;IF($AK1204&lt;&gt;"","; "&amp;$AK1204,""),3,400))</f>
        <v/>
      </c>
      <c r="AE1204" s="32">
        <f>IF($F1204="","",IF($F1204="תחילת שנה",1,IF($F1204="מחצית שנה",2,3)))</f>
        <v/>
      </c>
      <c r="AF1204" s="32">
        <f>IF(OR($B1204="",$AC1204="",$A1204="",$F1204=""),"",$B1204&amp;"|"&amp;$A1204&amp;"|"&amp;$F1204&amp;"|"&amp;$AC1204&amp;"|"&amp;COUNTIFS($B$6:$B1204,$B1204,$A$6:$A1204,$A1204,$F$6:$F1204,$F1204,$AC$6:$AC1204,$AC1204))</f>
        <v/>
      </c>
      <c r="AG1204" s="32">
        <f>IF($C1204="","",$C1204&amp;"|"&amp;COUNTIFS($C$6:$C1204,$C1204))</f>
        <v/>
      </c>
      <c r="AH1204" s="32">
        <f>IF(OR($C1204="",$A1204="",$AE1204=""),"",$C1204&amp;"|"&amp;$A1204&amp;"|"&amp;$AE1204)</f>
        <v/>
      </c>
      <c r="AI1204" s="32">
        <f>IF(OR($C1204="",$AE1204="",$AE1204=1),"",IFERROR(INDEX($AC$6:$AC$1505,MATCH($C1204&amp;"|"&amp;$A1204&amp;"|"&amp;($AE1204-1),$AH$6:$AH$1505,0)),""))</f>
        <v/>
      </c>
      <c r="AJ1204" s="32">
        <f>IF(OR($AI1204="",$AC1204=""),"",IF($AI1204=$AC1204,"ללא שינוי","מ-"&amp;$AI1204&amp;" ל-"&amp;$AC1204))</f>
        <v/>
      </c>
      <c r="AK1204" s="67" t="n"/>
    </row>
    <row r="1205">
      <c r="A1205" s="65" t="n"/>
      <c r="B1205" s="65" t="n"/>
      <c r="C1205" s="66" t="n"/>
      <c r="D1205" s="66" t="n"/>
      <c r="E1205" s="65" t="n"/>
      <c r="F1205" s="65" t="n"/>
      <c r="G1205" s="65" t="n"/>
      <c r="H1205" s="65" t="n"/>
      <c r="I1205" s="65" t="n"/>
      <c r="J1205" s="65" t="n"/>
      <c r="K1205" s="65" t="n"/>
      <c r="L1205" s="65" t="n"/>
      <c r="M1205" s="65" t="n"/>
      <c r="N1205" s="65" t="n"/>
      <c r="O1205" s="65" t="n"/>
      <c r="P1205" s="65" t="n"/>
      <c r="Q1205" s="65" t="n"/>
      <c r="R1205" s="65" t="n"/>
      <c r="S1205" s="65" t="n"/>
      <c r="T1205" s="65" t="n"/>
      <c r="U1205" s="65" t="n"/>
      <c r="V1205" s="65" t="n"/>
      <c r="W1205" s="65" t="n"/>
      <c r="X1205" s="65" t="n"/>
      <c r="Y1205" s="32">
        <f>IF($C1205="","",IF(COUNTA($I1205:$K1205)&lt;3,"— חסרים נתונים",IF(AND($I1205="תקין",$J1205="תקין",$K1205="תקין"),"רהוטה",IF(AND($I1205="תקין",$J1205="תקין"),"מדויקת ורציפה","אינה מדויקת או מקוטעת"))))</f>
        <v/>
      </c>
      <c r="Z1205" s="32">
        <f>IF($C1205="","",IF(COUNTA($U1205:$W1205)&lt;3,"",IF(AND($U1205="מפותח",$V1205="מפותח",$W1205="מפותחת"),"מפותחת",IF((--($U1205="דל"))+(--($V1205="אינו מפותח"))+(--($W1205="דלה"))&gt;=2,"אינה מפותחת","חלקית"))))</f>
        <v/>
      </c>
      <c r="AA1205" s="32">
        <f>IF($C1205="","",IF(COUNTA($M1205,$N1205,$O1205)&lt;3,"— חסרים נתונים",IF(OR($M1205="נמוכה",(--($M1205&lt;&gt;"תקינה"))+(--($N1205&lt;&gt;"תקין"))+(--($O1205&lt;&gt;"תקינה"))&gt;=2),"ניכרת","אינה ניכרת")))</f>
        <v/>
      </c>
      <c r="AB1205" s="32">
        <f>IF(OR($C1205="",$Y1205="",$AA1205="",LEFT($Y1205,1)="—",LEFT($AA1205,1)="—"),"",IF($Z1205="","— נדרשת הערכת כתיבה",IF($L1205="","— חסרה הבנת הנקרא",IF($Y1205="אינה מדויקת או מקוטעת",IF($AA1205="ניכרת","מיקוד בשטף הקריאה ובכישורי שפה","מיקוד בשטף קריאה"),IF($AA1205="ניכרת","מיקוד בכישורי שפה",IF(AND($L1205="תקינה",$Z1205="מפותחת"),"קוראים וכותבים מיומנים","מיקוד בהבנה והבעה"))))))</f>
        <v/>
      </c>
      <c r="AC1205" s="32">
        <f>IF(OR($AB1205="",LEFT($AB1205,1)="—"),"",IF(OR($AB1205="מיקוד בשטף קריאה",$AB1205="מיקוד בשטף הקריאה ובכישורי שפה"),"רמה א'",IF($AB1205="קוראים וכותבים מיומנים","רמה ג'","רמה ב'")))</f>
        <v/>
      </c>
      <c r="AD1205" s="32">
        <f>IF($AC1205="","",MID(IF(AND($AC1205="רמה א'",$AA1205="ניכרת"),"; להוסיף עבודת אוצר מילים","")&amp;IF($Z1205="אינה מפותחת","; דגש על הבעה בכתב","")&amp;IF($K1205&lt;&gt;"תקין","; נדרש לעבוד על ההנגנה","")&amp;IF($AK1205&lt;&gt;"","; "&amp;$AK1205,""),3,400))</f>
        <v/>
      </c>
      <c r="AE1205" s="32">
        <f>IF($F1205="","",IF($F1205="תחילת שנה",1,IF($F1205="מחצית שנה",2,3)))</f>
        <v/>
      </c>
      <c r="AF1205" s="32">
        <f>IF(OR($B1205="",$AC1205="",$A1205="",$F1205=""),"",$B1205&amp;"|"&amp;$A1205&amp;"|"&amp;$F1205&amp;"|"&amp;$AC1205&amp;"|"&amp;COUNTIFS($B$6:$B1205,$B1205,$A$6:$A1205,$A1205,$F$6:$F1205,$F1205,$AC$6:$AC1205,$AC1205))</f>
        <v/>
      </c>
      <c r="AG1205" s="32">
        <f>IF($C1205="","",$C1205&amp;"|"&amp;COUNTIFS($C$6:$C1205,$C1205))</f>
        <v/>
      </c>
      <c r="AH1205" s="32">
        <f>IF(OR($C1205="",$A1205="",$AE1205=""),"",$C1205&amp;"|"&amp;$A1205&amp;"|"&amp;$AE1205)</f>
        <v/>
      </c>
      <c r="AI1205" s="32">
        <f>IF(OR($C1205="",$AE1205="",$AE1205=1),"",IFERROR(INDEX($AC$6:$AC$1505,MATCH($C1205&amp;"|"&amp;$A1205&amp;"|"&amp;($AE1205-1),$AH$6:$AH$1505,0)),""))</f>
        <v/>
      </c>
      <c r="AJ1205" s="32">
        <f>IF(OR($AI1205="",$AC1205=""),"",IF($AI1205=$AC1205,"ללא שינוי","מ-"&amp;$AI1205&amp;" ל-"&amp;$AC1205))</f>
        <v/>
      </c>
      <c r="AK1205" s="67" t="n"/>
    </row>
    <row r="1206">
      <c r="A1206" s="65" t="n"/>
      <c r="B1206" s="65" t="n"/>
      <c r="C1206" s="66" t="n"/>
      <c r="D1206" s="66" t="n"/>
      <c r="E1206" s="65" t="n"/>
      <c r="F1206" s="65" t="n"/>
      <c r="G1206" s="65" t="n"/>
      <c r="H1206" s="65" t="n"/>
      <c r="I1206" s="65" t="n"/>
      <c r="J1206" s="65" t="n"/>
      <c r="K1206" s="65" t="n"/>
      <c r="L1206" s="65" t="n"/>
      <c r="M1206" s="65" t="n"/>
      <c r="N1206" s="65" t="n"/>
      <c r="O1206" s="65" t="n"/>
      <c r="P1206" s="65" t="n"/>
      <c r="Q1206" s="65" t="n"/>
      <c r="R1206" s="65" t="n"/>
      <c r="S1206" s="65" t="n"/>
      <c r="T1206" s="65" t="n"/>
      <c r="U1206" s="65" t="n"/>
      <c r="V1206" s="65" t="n"/>
      <c r="W1206" s="65" t="n"/>
      <c r="X1206" s="65" t="n"/>
      <c r="Y1206" s="32">
        <f>IF($C1206="","",IF(COUNTA($I1206:$K1206)&lt;3,"— חסרים נתונים",IF(AND($I1206="תקין",$J1206="תקין",$K1206="תקין"),"רהוטה",IF(AND($I1206="תקין",$J1206="תקין"),"מדויקת ורציפה","אינה מדויקת או מקוטעת"))))</f>
        <v/>
      </c>
      <c r="Z1206" s="32">
        <f>IF($C1206="","",IF(COUNTA($U1206:$W1206)&lt;3,"",IF(AND($U1206="מפותח",$V1206="מפותח",$W1206="מפותחת"),"מפותחת",IF((--($U1206="דל"))+(--($V1206="אינו מפותח"))+(--($W1206="דלה"))&gt;=2,"אינה מפותחת","חלקית"))))</f>
        <v/>
      </c>
      <c r="AA1206" s="32">
        <f>IF($C1206="","",IF(COUNTA($M1206,$N1206,$O1206)&lt;3,"— חסרים נתונים",IF(OR($M1206="נמוכה",(--($M1206&lt;&gt;"תקינה"))+(--($N1206&lt;&gt;"תקין"))+(--($O1206&lt;&gt;"תקינה"))&gt;=2),"ניכרת","אינה ניכרת")))</f>
        <v/>
      </c>
      <c r="AB1206" s="32">
        <f>IF(OR($C1206="",$Y1206="",$AA1206="",LEFT($Y1206,1)="—",LEFT($AA1206,1)="—"),"",IF($Z1206="","— נדרשת הערכת כתיבה",IF($L1206="","— חסרה הבנת הנקרא",IF($Y1206="אינה מדויקת או מקוטעת",IF($AA1206="ניכרת","מיקוד בשטף הקריאה ובכישורי שפה","מיקוד בשטף קריאה"),IF($AA1206="ניכרת","מיקוד בכישורי שפה",IF(AND($L1206="תקינה",$Z1206="מפותחת"),"קוראים וכותבים מיומנים","מיקוד בהבנה והבעה"))))))</f>
        <v/>
      </c>
      <c r="AC1206" s="32">
        <f>IF(OR($AB1206="",LEFT($AB1206,1)="—"),"",IF(OR($AB1206="מיקוד בשטף קריאה",$AB1206="מיקוד בשטף הקריאה ובכישורי שפה"),"רמה א'",IF($AB1206="קוראים וכותבים מיומנים","רמה ג'","רמה ב'")))</f>
        <v/>
      </c>
      <c r="AD1206" s="32">
        <f>IF($AC1206="","",MID(IF(AND($AC1206="רמה א'",$AA1206="ניכרת"),"; להוסיף עבודת אוצר מילים","")&amp;IF($Z1206="אינה מפותחת","; דגש על הבעה בכתב","")&amp;IF($K1206&lt;&gt;"תקין","; נדרש לעבוד על ההנגנה","")&amp;IF($AK1206&lt;&gt;"","; "&amp;$AK1206,""),3,400))</f>
        <v/>
      </c>
      <c r="AE1206" s="32">
        <f>IF($F1206="","",IF($F1206="תחילת שנה",1,IF($F1206="מחצית שנה",2,3)))</f>
        <v/>
      </c>
      <c r="AF1206" s="32">
        <f>IF(OR($B1206="",$AC1206="",$A1206="",$F1206=""),"",$B1206&amp;"|"&amp;$A1206&amp;"|"&amp;$F1206&amp;"|"&amp;$AC1206&amp;"|"&amp;COUNTIFS($B$6:$B1206,$B1206,$A$6:$A1206,$A1206,$F$6:$F1206,$F1206,$AC$6:$AC1206,$AC1206))</f>
        <v/>
      </c>
      <c r="AG1206" s="32">
        <f>IF($C1206="","",$C1206&amp;"|"&amp;COUNTIFS($C$6:$C1206,$C1206))</f>
        <v/>
      </c>
      <c r="AH1206" s="32">
        <f>IF(OR($C1206="",$A1206="",$AE1206=""),"",$C1206&amp;"|"&amp;$A1206&amp;"|"&amp;$AE1206)</f>
        <v/>
      </c>
      <c r="AI1206" s="32">
        <f>IF(OR($C1206="",$AE1206="",$AE1206=1),"",IFERROR(INDEX($AC$6:$AC$1505,MATCH($C1206&amp;"|"&amp;$A1206&amp;"|"&amp;($AE1206-1),$AH$6:$AH$1505,0)),""))</f>
        <v/>
      </c>
      <c r="AJ1206" s="32">
        <f>IF(OR($AI1206="",$AC1206=""),"",IF($AI1206=$AC1206,"ללא שינוי","מ-"&amp;$AI1206&amp;" ל-"&amp;$AC1206))</f>
        <v/>
      </c>
      <c r="AK1206" s="67" t="n"/>
    </row>
    <row r="1207">
      <c r="A1207" s="65" t="n"/>
      <c r="B1207" s="65" t="n"/>
      <c r="C1207" s="66" t="n"/>
      <c r="D1207" s="66" t="n"/>
      <c r="E1207" s="65" t="n"/>
      <c r="F1207" s="65" t="n"/>
      <c r="G1207" s="65" t="n"/>
      <c r="H1207" s="65" t="n"/>
      <c r="I1207" s="65" t="n"/>
      <c r="J1207" s="65" t="n"/>
      <c r="K1207" s="65" t="n"/>
      <c r="L1207" s="65" t="n"/>
      <c r="M1207" s="65" t="n"/>
      <c r="N1207" s="65" t="n"/>
      <c r="O1207" s="65" t="n"/>
      <c r="P1207" s="65" t="n"/>
      <c r="Q1207" s="65" t="n"/>
      <c r="R1207" s="65" t="n"/>
      <c r="S1207" s="65" t="n"/>
      <c r="T1207" s="65" t="n"/>
      <c r="U1207" s="65" t="n"/>
      <c r="V1207" s="65" t="n"/>
      <c r="W1207" s="65" t="n"/>
      <c r="X1207" s="65" t="n"/>
      <c r="Y1207" s="32">
        <f>IF($C1207="","",IF(COUNTA($I1207:$K1207)&lt;3,"— חסרים נתונים",IF(AND($I1207="תקין",$J1207="תקין",$K1207="תקין"),"רהוטה",IF(AND($I1207="תקין",$J1207="תקין"),"מדויקת ורציפה","אינה מדויקת או מקוטעת"))))</f>
        <v/>
      </c>
      <c r="Z1207" s="32">
        <f>IF($C1207="","",IF(COUNTA($U1207:$W1207)&lt;3,"",IF(AND($U1207="מפותח",$V1207="מפותח",$W1207="מפותחת"),"מפותחת",IF((--($U1207="דל"))+(--($V1207="אינו מפותח"))+(--($W1207="דלה"))&gt;=2,"אינה מפותחת","חלקית"))))</f>
        <v/>
      </c>
      <c r="AA1207" s="32">
        <f>IF($C1207="","",IF(COUNTA($M1207,$N1207,$O1207)&lt;3,"— חסרים נתונים",IF(OR($M1207="נמוכה",(--($M1207&lt;&gt;"תקינה"))+(--($N1207&lt;&gt;"תקין"))+(--($O1207&lt;&gt;"תקינה"))&gt;=2),"ניכרת","אינה ניכרת")))</f>
        <v/>
      </c>
      <c r="AB1207" s="32">
        <f>IF(OR($C1207="",$Y1207="",$AA1207="",LEFT($Y1207,1)="—",LEFT($AA1207,1)="—"),"",IF($Z1207="","— נדרשת הערכת כתיבה",IF($L1207="","— חסרה הבנת הנקרא",IF($Y1207="אינה מדויקת או מקוטעת",IF($AA1207="ניכרת","מיקוד בשטף הקריאה ובכישורי שפה","מיקוד בשטף קריאה"),IF($AA1207="ניכרת","מיקוד בכישורי שפה",IF(AND($L1207="תקינה",$Z1207="מפותחת"),"קוראים וכותבים מיומנים","מיקוד בהבנה והבעה"))))))</f>
        <v/>
      </c>
      <c r="AC1207" s="32">
        <f>IF(OR($AB1207="",LEFT($AB1207,1)="—"),"",IF(OR($AB1207="מיקוד בשטף קריאה",$AB1207="מיקוד בשטף הקריאה ובכישורי שפה"),"רמה א'",IF($AB1207="קוראים וכותבים מיומנים","רמה ג'","רמה ב'")))</f>
        <v/>
      </c>
      <c r="AD1207" s="32">
        <f>IF($AC1207="","",MID(IF(AND($AC1207="רמה א'",$AA1207="ניכרת"),"; להוסיף עבודת אוצר מילים","")&amp;IF($Z1207="אינה מפותחת","; דגש על הבעה בכתב","")&amp;IF($K1207&lt;&gt;"תקין","; נדרש לעבוד על ההנגנה","")&amp;IF($AK1207&lt;&gt;"","; "&amp;$AK1207,""),3,400))</f>
        <v/>
      </c>
      <c r="AE1207" s="32">
        <f>IF($F1207="","",IF($F1207="תחילת שנה",1,IF($F1207="מחצית שנה",2,3)))</f>
        <v/>
      </c>
      <c r="AF1207" s="32">
        <f>IF(OR($B1207="",$AC1207="",$A1207="",$F1207=""),"",$B1207&amp;"|"&amp;$A1207&amp;"|"&amp;$F1207&amp;"|"&amp;$AC1207&amp;"|"&amp;COUNTIFS($B$6:$B1207,$B1207,$A$6:$A1207,$A1207,$F$6:$F1207,$F1207,$AC$6:$AC1207,$AC1207))</f>
        <v/>
      </c>
      <c r="AG1207" s="32">
        <f>IF($C1207="","",$C1207&amp;"|"&amp;COUNTIFS($C$6:$C1207,$C1207))</f>
        <v/>
      </c>
      <c r="AH1207" s="32">
        <f>IF(OR($C1207="",$A1207="",$AE1207=""),"",$C1207&amp;"|"&amp;$A1207&amp;"|"&amp;$AE1207)</f>
        <v/>
      </c>
      <c r="AI1207" s="32">
        <f>IF(OR($C1207="",$AE1207="",$AE1207=1),"",IFERROR(INDEX($AC$6:$AC$1505,MATCH($C1207&amp;"|"&amp;$A1207&amp;"|"&amp;($AE1207-1),$AH$6:$AH$1505,0)),""))</f>
        <v/>
      </c>
      <c r="AJ1207" s="32">
        <f>IF(OR($AI1207="",$AC1207=""),"",IF($AI1207=$AC1207,"ללא שינוי","מ-"&amp;$AI1207&amp;" ל-"&amp;$AC1207))</f>
        <v/>
      </c>
      <c r="AK1207" s="67" t="n"/>
    </row>
    <row r="1208">
      <c r="A1208" s="65" t="n"/>
      <c r="B1208" s="65" t="n"/>
      <c r="C1208" s="66" t="n"/>
      <c r="D1208" s="66" t="n"/>
      <c r="E1208" s="65" t="n"/>
      <c r="F1208" s="65" t="n"/>
      <c r="G1208" s="65" t="n"/>
      <c r="H1208" s="65" t="n"/>
      <c r="I1208" s="65" t="n"/>
      <c r="J1208" s="65" t="n"/>
      <c r="K1208" s="65" t="n"/>
      <c r="L1208" s="65" t="n"/>
      <c r="M1208" s="65" t="n"/>
      <c r="N1208" s="65" t="n"/>
      <c r="O1208" s="65" t="n"/>
      <c r="P1208" s="65" t="n"/>
      <c r="Q1208" s="65" t="n"/>
      <c r="R1208" s="65" t="n"/>
      <c r="S1208" s="65" t="n"/>
      <c r="T1208" s="65" t="n"/>
      <c r="U1208" s="65" t="n"/>
      <c r="V1208" s="65" t="n"/>
      <c r="W1208" s="65" t="n"/>
      <c r="X1208" s="65" t="n"/>
      <c r="Y1208" s="32">
        <f>IF($C1208="","",IF(COUNTA($I1208:$K1208)&lt;3,"— חסרים נתונים",IF(AND($I1208="תקין",$J1208="תקין",$K1208="תקין"),"רהוטה",IF(AND($I1208="תקין",$J1208="תקין"),"מדויקת ורציפה","אינה מדויקת או מקוטעת"))))</f>
        <v/>
      </c>
      <c r="Z1208" s="32">
        <f>IF($C1208="","",IF(COUNTA($U1208:$W1208)&lt;3,"",IF(AND($U1208="מפותח",$V1208="מפותח",$W1208="מפותחת"),"מפותחת",IF((--($U1208="דל"))+(--($V1208="אינו מפותח"))+(--($W1208="דלה"))&gt;=2,"אינה מפותחת","חלקית"))))</f>
        <v/>
      </c>
      <c r="AA1208" s="32">
        <f>IF($C1208="","",IF(COUNTA($M1208,$N1208,$O1208)&lt;3,"— חסרים נתונים",IF(OR($M1208="נמוכה",(--($M1208&lt;&gt;"תקינה"))+(--($N1208&lt;&gt;"תקין"))+(--($O1208&lt;&gt;"תקינה"))&gt;=2),"ניכרת","אינה ניכרת")))</f>
        <v/>
      </c>
      <c r="AB1208" s="32">
        <f>IF(OR($C1208="",$Y1208="",$AA1208="",LEFT($Y1208,1)="—",LEFT($AA1208,1)="—"),"",IF($Z1208="","— נדרשת הערכת כתיבה",IF($L1208="","— חסרה הבנת הנקרא",IF($Y1208="אינה מדויקת או מקוטעת",IF($AA1208="ניכרת","מיקוד בשטף הקריאה ובכישורי שפה","מיקוד בשטף קריאה"),IF($AA1208="ניכרת","מיקוד בכישורי שפה",IF(AND($L1208="תקינה",$Z1208="מפותחת"),"קוראים וכותבים מיומנים","מיקוד בהבנה והבעה"))))))</f>
        <v/>
      </c>
      <c r="AC1208" s="32">
        <f>IF(OR($AB1208="",LEFT($AB1208,1)="—"),"",IF(OR($AB1208="מיקוד בשטף קריאה",$AB1208="מיקוד בשטף הקריאה ובכישורי שפה"),"רמה א'",IF($AB1208="קוראים וכותבים מיומנים","רמה ג'","רמה ב'")))</f>
        <v/>
      </c>
      <c r="AD1208" s="32">
        <f>IF($AC1208="","",MID(IF(AND($AC1208="רמה א'",$AA1208="ניכרת"),"; להוסיף עבודת אוצר מילים","")&amp;IF($Z1208="אינה מפותחת","; דגש על הבעה בכתב","")&amp;IF($K1208&lt;&gt;"תקין","; נדרש לעבוד על ההנגנה","")&amp;IF($AK1208&lt;&gt;"","; "&amp;$AK1208,""),3,400))</f>
        <v/>
      </c>
      <c r="AE1208" s="32">
        <f>IF($F1208="","",IF($F1208="תחילת שנה",1,IF($F1208="מחצית שנה",2,3)))</f>
        <v/>
      </c>
      <c r="AF1208" s="32">
        <f>IF(OR($B1208="",$AC1208="",$A1208="",$F1208=""),"",$B1208&amp;"|"&amp;$A1208&amp;"|"&amp;$F1208&amp;"|"&amp;$AC1208&amp;"|"&amp;COUNTIFS($B$6:$B1208,$B1208,$A$6:$A1208,$A1208,$F$6:$F1208,$F1208,$AC$6:$AC1208,$AC1208))</f>
        <v/>
      </c>
      <c r="AG1208" s="32">
        <f>IF($C1208="","",$C1208&amp;"|"&amp;COUNTIFS($C$6:$C1208,$C1208))</f>
        <v/>
      </c>
      <c r="AH1208" s="32">
        <f>IF(OR($C1208="",$A1208="",$AE1208=""),"",$C1208&amp;"|"&amp;$A1208&amp;"|"&amp;$AE1208)</f>
        <v/>
      </c>
      <c r="AI1208" s="32">
        <f>IF(OR($C1208="",$AE1208="",$AE1208=1),"",IFERROR(INDEX($AC$6:$AC$1505,MATCH($C1208&amp;"|"&amp;$A1208&amp;"|"&amp;($AE1208-1),$AH$6:$AH$1505,0)),""))</f>
        <v/>
      </c>
      <c r="AJ1208" s="32">
        <f>IF(OR($AI1208="",$AC1208=""),"",IF($AI1208=$AC1208,"ללא שינוי","מ-"&amp;$AI1208&amp;" ל-"&amp;$AC1208))</f>
        <v/>
      </c>
      <c r="AK1208" s="67" t="n"/>
    </row>
    <row r="1209">
      <c r="A1209" s="65" t="n"/>
      <c r="B1209" s="65" t="n"/>
      <c r="C1209" s="66" t="n"/>
      <c r="D1209" s="66" t="n"/>
      <c r="E1209" s="65" t="n"/>
      <c r="F1209" s="65" t="n"/>
      <c r="G1209" s="65" t="n"/>
      <c r="H1209" s="65" t="n"/>
      <c r="I1209" s="65" t="n"/>
      <c r="J1209" s="65" t="n"/>
      <c r="K1209" s="65" t="n"/>
      <c r="L1209" s="65" t="n"/>
      <c r="M1209" s="65" t="n"/>
      <c r="N1209" s="65" t="n"/>
      <c r="O1209" s="65" t="n"/>
      <c r="P1209" s="65" t="n"/>
      <c r="Q1209" s="65" t="n"/>
      <c r="R1209" s="65" t="n"/>
      <c r="S1209" s="65" t="n"/>
      <c r="T1209" s="65" t="n"/>
      <c r="U1209" s="65" t="n"/>
      <c r="V1209" s="65" t="n"/>
      <c r="W1209" s="65" t="n"/>
      <c r="X1209" s="65" t="n"/>
      <c r="Y1209" s="32">
        <f>IF($C1209="","",IF(COUNTA($I1209:$K1209)&lt;3,"— חסרים נתונים",IF(AND($I1209="תקין",$J1209="תקין",$K1209="תקין"),"רהוטה",IF(AND($I1209="תקין",$J1209="תקין"),"מדויקת ורציפה","אינה מדויקת או מקוטעת"))))</f>
        <v/>
      </c>
      <c r="Z1209" s="32">
        <f>IF($C1209="","",IF(COUNTA($U1209:$W1209)&lt;3,"",IF(AND($U1209="מפותח",$V1209="מפותח",$W1209="מפותחת"),"מפותחת",IF((--($U1209="דל"))+(--($V1209="אינו מפותח"))+(--($W1209="דלה"))&gt;=2,"אינה מפותחת","חלקית"))))</f>
        <v/>
      </c>
      <c r="AA1209" s="32">
        <f>IF($C1209="","",IF(COUNTA($M1209,$N1209,$O1209)&lt;3,"— חסרים נתונים",IF(OR($M1209="נמוכה",(--($M1209&lt;&gt;"תקינה"))+(--($N1209&lt;&gt;"תקין"))+(--($O1209&lt;&gt;"תקינה"))&gt;=2),"ניכרת","אינה ניכרת")))</f>
        <v/>
      </c>
      <c r="AB1209" s="32">
        <f>IF(OR($C1209="",$Y1209="",$AA1209="",LEFT($Y1209,1)="—",LEFT($AA1209,1)="—"),"",IF($Z1209="","— נדרשת הערכת כתיבה",IF($L1209="","— חסרה הבנת הנקרא",IF($Y1209="אינה מדויקת או מקוטעת",IF($AA1209="ניכרת","מיקוד בשטף הקריאה ובכישורי שפה","מיקוד בשטף קריאה"),IF($AA1209="ניכרת","מיקוד בכישורי שפה",IF(AND($L1209="תקינה",$Z1209="מפותחת"),"קוראים וכותבים מיומנים","מיקוד בהבנה והבעה"))))))</f>
        <v/>
      </c>
      <c r="AC1209" s="32">
        <f>IF(OR($AB1209="",LEFT($AB1209,1)="—"),"",IF(OR($AB1209="מיקוד בשטף קריאה",$AB1209="מיקוד בשטף הקריאה ובכישורי שפה"),"רמה א'",IF($AB1209="קוראים וכותבים מיומנים","רמה ג'","רמה ב'")))</f>
        <v/>
      </c>
      <c r="AD1209" s="32">
        <f>IF($AC1209="","",MID(IF(AND($AC1209="רמה א'",$AA1209="ניכרת"),"; להוסיף עבודת אוצר מילים","")&amp;IF($Z1209="אינה מפותחת","; דגש על הבעה בכתב","")&amp;IF($K1209&lt;&gt;"תקין","; נדרש לעבוד על ההנגנה","")&amp;IF($AK1209&lt;&gt;"","; "&amp;$AK1209,""),3,400))</f>
        <v/>
      </c>
      <c r="AE1209" s="32">
        <f>IF($F1209="","",IF($F1209="תחילת שנה",1,IF($F1209="מחצית שנה",2,3)))</f>
        <v/>
      </c>
      <c r="AF1209" s="32">
        <f>IF(OR($B1209="",$AC1209="",$A1209="",$F1209=""),"",$B1209&amp;"|"&amp;$A1209&amp;"|"&amp;$F1209&amp;"|"&amp;$AC1209&amp;"|"&amp;COUNTIFS($B$6:$B1209,$B1209,$A$6:$A1209,$A1209,$F$6:$F1209,$F1209,$AC$6:$AC1209,$AC1209))</f>
        <v/>
      </c>
      <c r="AG1209" s="32">
        <f>IF($C1209="","",$C1209&amp;"|"&amp;COUNTIFS($C$6:$C1209,$C1209))</f>
        <v/>
      </c>
      <c r="AH1209" s="32">
        <f>IF(OR($C1209="",$A1209="",$AE1209=""),"",$C1209&amp;"|"&amp;$A1209&amp;"|"&amp;$AE1209)</f>
        <v/>
      </c>
      <c r="AI1209" s="32">
        <f>IF(OR($C1209="",$AE1209="",$AE1209=1),"",IFERROR(INDEX($AC$6:$AC$1505,MATCH($C1209&amp;"|"&amp;$A1209&amp;"|"&amp;($AE1209-1),$AH$6:$AH$1505,0)),""))</f>
        <v/>
      </c>
      <c r="AJ1209" s="32">
        <f>IF(OR($AI1209="",$AC1209=""),"",IF($AI1209=$AC1209,"ללא שינוי","מ-"&amp;$AI1209&amp;" ל-"&amp;$AC1209))</f>
        <v/>
      </c>
      <c r="AK1209" s="67" t="n"/>
    </row>
    <row r="1210">
      <c r="A1210" s="65" t="n"/>
      <c r="B1210" s="65" t="n"/>
      <c r="C1210" s="66" t="n"/>
      <c r="D1210" s="66" t="n"/>
      <c r="E1210" s="65" t="n"/>
      <c r="F1210" s="65" t="n"/>
      <c r="G1210" s="65" t="n"/>
      <c r="H1210" s="65" t="n"/>
      <c r="I1210" s="65" t="n"/>
      <c r="J1210" s="65" t="n"/>
      <c r="K1210" s="65" t="n"/>
      <c r="L1210" s="65" t="n"/>
      <c r="M1210" s="65" t="n"/>
      <c r="N1210" s="65" t="n"/>
      <c r="O1210" s="65" t="n"/>
      <c r="P1210" s="65" t="n"/>
      <c r="Q1210" s="65" t="n"/>
      <c r="R1210" s="65" t="n"/>
      <c r="S1210" s="65" t="n"/>
      <c r="T1210" s="65" t="n"/>
      <c r="U1210" s="65" t="n"/>
      <c r="V1210" s="65" t="n"/>
      <c r="W1210" s="65" t="n"/>
      <c r="X1210" s="65" t="n"/>
      <c r="Y1210" s="32">
        <f>IF($C1210="","",IF(COUNTA($I1210:$K1210)&lt;3,"— חסרים נתונים",IF(AND($I1210="תקין",$J1210="תקין",$K1210="תקין"),"רהוטה",IF(AND($I1210="תקין",$J1210="תקין"),"מדויקת ורציפה","אינה מדויקת או מקוטעת"))))</f>
        <v/>
      </c>
      <c r="Z1210" s="32">
        <f>IF($C1210="","",IF(COUNTA($U1210:$W1210)&lt;3,"",IF(AND($U1210="מפותח",$V1210="מפותח",$W1210="מפותחת"),"מפותחת",IF((--($U1210="דל"))+(--($V1210="אינו מפותח"))+(--($W1210="דלה"))&gt;=2,"אינה מפותחת","חלקית"))))</f>
        <v/>
      </c>
      <c r="AA1210" s="32">
        <f>IF($C1210="","",IF(COUNTA($M1210,$N1210,$O1210)&lt;3,"— חסרים נתונים",IF(OR($M1210="נמוכה",(--($M1210&lt;&gt;"תקינה"))+(--($N1210&lt;&gt;"תקין"))+(--($O1210&lt;&gt;"תקינה"))&gt;=2),"ניכרת","אינה ניכרת")))</f>
        <v/>
      </c>
      <c r="AB1210" s="32">
        <f>IF(OR($C1210="",$Y1210="",$AA1210="",LEFT($Y1210,1)="—",LEFT($AA1210,1)="—"),"",IF($Z1210="","— נדרשת הערכת כתיבה",IF($L1210="","— חסרה הבנת הנקרא",IF($Y1210="אינה מדויקת או מקוטעת",IF($AA1210="ניכרת","מיקוד בשטף הקריאה ובכישורי שפה","מיקוד בשטף קריאה"),IF($AA1210="ניכרת","מיקוד בכישורי שפה",IF(AND($L1210="תקינה",$Z1210="מפותחת"),"קוראים וכותבים מיומנים","מיקוד בהבנה והבעה"))))))</f>
        <v/>
      </c>
      <c r="AC1210" s="32">
        <f>IF(OR($AB1210="",LEFT($AB1210,1)="—"),"",IF(OR($AB1210="מיקוד בשטף קריאה",$AB1210="מיקוד בשטף הקריאה ובכישורי שפה"),"רמה א'",IF($AB1210="קוראים וכותבים מיומנים","רמה ג'","רמה ב'")))</f>
        <v/>
      </c>
      <c r="AD1210" s="32">
        <f>IF($AC1210="","",MID(IF(AND($AC1210="רמה א'",$AA1210="ניכרת"),"; להוסיף עבודת אוצר מילים","")&amp;IF($Z1210="אינה מפותחת","; דגש על הבעה בכתב","")&amp;IF($K1210&lt;&gt;"תקין","; נדרש לעבוד על ההנגנה","")&amp;IF($AK1210&lt;&gt;"","; "&amp;$AK1210,""),3,400))</f>
        <v/>
      </c>
      <c r="AE1210" s="32">
        <f>IF($F1210="","",IF($F1210="תחילת שנה",1,IF($F1210="מחצית שנה",2,3)))</f>
        <v/>
      </c>
      <c r="AF1210" s="32">
        <f>IF(OR($B1210="",$AC1210="",$A1210="",$F1210=""),"",$B1210&amp;"|"&amp;$A1210&amp;"|"&amp;$F1210&amp;"|"&amp;$AC1210&amp;"|"&amp;COUNTIFS($B$6:$B1210,$B1210,$A$6:$A1210,$A1210,$F$6:$F1210,$F1210,$AC$6:$AC1210,$AC1210))</f>
        <v/>
      </c>
      <c r="AG1210" s="32">
        <f>IF($C1210="","",$C1210&amp;"|"&amp;COUNTIFS($C$6:$C1210,$C1210))</f>
        <v/>
      </c>
      <c r="AH1210" s="32">
        <f>IF(OR($C1210="",$A1210="",$AE1210=""),"",$C1210&amp;"|"&amp;$A1210&amp;"|"&amp;$AE1210)</f>
        <v/>
      </c>
      <c r="AI1210" s="32">
        <f>IF(OR($C1210="",$AE1210="",$AE1210=1),"",IFERROR(INDEX($AC$6:$AC$1505,MATCH($C1210&amp;"|"&amp;$A1210&amp;"|"&amp;($AE1210-1),$AH$6:$AH$1505,0)),""))</f>
        <v/>
      </c>
      <c r="AJ1210" s="32">
        <f>IF(OR($AI1210="",$AC1210=""),"",IF($AI1210=$AC1210,"ללא שינוי","מ-"&amp;$AI1210&amp;" ל-"&amp;$AC1210))</f>
        <v/>
      </c>
      <c r="AK1210" s="67" t="n"/>
    </row>
    <row r="1211">
      <c r="A1211" s="65" t="n"/>
      <c r="B1211" s="65" t="n"/>
      <c r="C1211" s="66" t="n"/>
      <c r="D1211" s="66" t="n"/>
      <c r="E1211" s="65" t="n"/>
      <c r="F1211" s="65" t="n"/>
      <c r="G1211" s="65" t="n"/>
      <c r="H1211" s="65" t="n"/>
      <c r="I1211" s="65" t="n"/>
      <c r="J1211" s="65" t="n"/>
      <c r="K1211" s="65" t="n"/>
      <c r="L1211" s="65" t="n"/>
      <c r="M1211" s="65" t="n"/>
      <c r="N1211" s="65" t="n"/>
      <c r="O1211" s="65" t="n"/>
      <c r="P1211" s="65" t="n"/>
      <c r="Q1211" s="65" t="n"/>
      <c r="R1211" s="65" t="n"/>
      <c r="S1211" s="65" t="n"/>
      <c r="T1211" s="65" t="n"/>
      <c r="U1211" s="65" t="n"/>
      <c r="V1211" s="65" t="n"/>
      <c r="W1211" s="65" t="n"/>
      <c r="X1211" s="65" t="n"/>
      <c r="Y1211" s="32">
        <f>IF($C1211="","",IF(COUNTA($I1211:$K1211)&lt;3,"— חסרים נתונים",IF(AND($I1211="תקין",$J1211="תקין",$K1211="תקין"),"רהוטה",IF(AND($I1211="תקין",$J1211="תקין"),"מדויקת ורציפה","אינה מדויקת או מקוטעת"))))</f>
        <v/>
      </c>
      <c r="Z1211" s="32">
        <f>IF($C1211="","",IF(COUNTA($U1211:$W1211)&lt;3,"",IF(AND($U1211="מפותח",$V1211="מפותח",$W1211="מפותחת"),"מפותחת",IF((--($U1211="דל"))+(--($V1211="אינו מפותח"))+(--($W1211="דלה"))&gt;=2,"אינה מפותחת","חלקית"))))</f>
        <v/>
      </c>
      <c r="AA1211" s="32">
        <f>IF($C1211="","",IF(COUNTA($M1211,$N1211,$O1211)&lt;3,"— חסרים נתונים",IF(OR($M1211="נמוכה",(--($M1211&lt;&gt;"תקינה"))+(--($N1211&lt;&gt;"תקין"))+(--($O1211&lt;&gt;"תקינה"))&gt;=2),"ניכרת","אינה ניכרת")))</f>
        <v/>
      </c>
      <c r="AB1211" s="32">
        <f>IF(OR($C1211="",$Y1211="",$AA1211="",LEFT($Y1211,1)="—",LEFT($AA1211,1)="—"),"",IF($Z1211="","— נדרשת הערכת כתיבה",IF($L1211="","— חסרה הבנת הנקרא",IF($Y1211="אינה מדויקת או מקוטעת",IF($AA1211="ניכרת","מיקוד בשטף הקריאה ובכישורי שפה","מיקוד בשטף קריאה"),IF($AA1211="ניכרת","מיקוד בכישורי שפה",IF(AND($L1211="תקינה",$Z1211="מפותחת"),"קוראים וכותבים מיומנים","מיקוד בהבנה והבעה"))))))</f>
        <v/>
      </c>
      <c r="AC1211" s="32">
        <f>IF(OR($AB1211="",LEFT($AB1211,1)="—"),"",IF(OR($AB1211="מיקוד בשטף קריאה",$AB1211="מיקוד בשטף הקריאה ובכישורי שפה"),"רמה א'",IF($AB1211="קוראים וכותבים מיומנים","רמה ג'","רמה ב'")))</f>
        <v/>
      </c>
      <c r="AD1211" s="32">
        <f>IF($AC1211="","",MID(IF(AND($AC1211="רמה א'",$AA1211="ניכרת"),"; להוסיף עבודת אוצר מילים","")&amp;IF($Z1211="אינה מפותחת","; דגש על הבעה בכתב","")&amp;IF($K1211&lt;&gt;"תקין","; נדרש לעבוד על ההנגנה","")&amp;IF($AK1211&lt;&gt;"","; "&amp;$AK1211,""),3,400))</f>
        <v/>
      </c>
      <c r="AE1211" s="32">
        <f>IF($F1211="","",IF($F1211="תחילת שנה",1,IF($F1211="מחצית שנה",2,3)))</f>
        <v/>
      </c>
      <c r="AF1211" s="32">
        <f>IF(OR($B1211="",$AC1211="",$A1211="",$F1211=""),"",$B1211&amp;"|"&amp;$A1211&amp;"|"&amp;$F1211&amp;"|"&amp;$AC1211&amp;"|"&amp;COUNTIFS($B$6:$B1211,$B1211,$A$6:$A1211,$A1211,$F$6:$F1211,$F1211,$AC$6:$AC1211,$AC1211))</f>
        <v/>
      </c>
      <c r="AG1211" s="32">
        <f>IF($C1211="","",$C1211&amp;"|"&amp;COUNTIFS($C$6:$C1211,$C1211))</f>
        <v/>
      </c>
      <c r="AH1211" s="32">
        <f>IF(OR($C1211="",$A1211="",$AE1211=""),"",$C1211&amp;"|"&amp;$A1211&amp;"|"&amp;$AE1211)</f>
        <v/>
      </c>
      <c r="AI1211" s="32">
        <f>IF(OR($C1211="",$AE1211="",$AE1211=1),"",IFERROR(INDEX($AC$6:$AC$1505,MATCH($C1211&amp;"|"&amp;$A1211&amp;"|"&amp;($AE1211-1),$AH$6:$AH$1505,0)),""))</f>
        <v/>
      </c>
      <c r="AJ1211" s="32">
        <f>IF(OR($AI1211="",$AC1211=""),"",IF($AI1211=$AC1211,"ללא שינוי","מ-"&amp;$AI1211&amp;" ל-"&amp;$AC1211))</f>
        <v/>
      </c>
      <c r="AK1211" s="67" t="n"/>
    </row>
    <row r="1212">
      <c r="A1212" s="65" t="n"/>
      <c r="B1212" s="65" t="n"/>
      <c r="C1212" s="66" t="n"/>
      <c r="D1212" s="66" t="n"/>
      <c r="E1212" s="65" t="n"/>
      <c r="F1212" s="65" t="n"/>
      <c r="G1212" s="65" t="n"/>
      <c r="H1212" s="65" t="n"/>
      <c r="I1212" s="65" t="n"/>
      <c r="J1212" s="65" t="n"/>
      <c r="K1212" s="65" t="n"/>
      <c r="L1212" s="65" t="n"/>
      <c r="M1212" s="65" t="n"/>
      <c r="N1212" s="65" t="n"/>
      <c r="O1212" s="65" t="n"/>
      <c r="P1212" s="65" t="n"/>
      <c r="Q1212" s="65" t="n"/>
      <c r="R1212" s="65" t="n"/>
      <c r="S1212" s="65" t="n"/>
      <c r="T1212" s="65" t="n"/>
      <c r="U1212" s="65" t="n"/>
      <c r="V1212" s="65" t="n"/>
      <c r="W1212" s="65" t="n"/>
      <c r="X1212" s="65" t="n"/>
      <c r="Y1212" s="32">
        <f>IF($C1212="","",IF(COUNTA($I1212:$K1212)&lt;3,"— חסרים נתונים",IF(AND($I1212="תקין",$J1212="תקין",$K1212="תקין"),"רהוטה",IF(AND($I1212="תקין",$J1212="תקין"),"מדויקת ורציפה","אינה מדויקת או מקוטעת"))))</f>
        <v/>
      </c>
      <c r="Z1212" s="32">
        <f>IF($C1212="","",IF(COUNTA($U1212:$W1212)&lt;3,"",IF(AND($U1212="מפותח",$V1212="מפותח",$W1212="מפותחת"),"מפותחת",IF((--($U1212="דל"))+(--($V1212="אינו מפותח"))+(--($W1212="דלה"))&gt;=2,"אינה מפותחת","חלקית"))))</f>
        <v/>
      </c>
      <c r="AA1212" s="32">
        <f>IF($C1212="","",IF(COUNTA($M1212,$N1212,$O1212)&lt;3,"— חסרים נתונים",IF(OR($M1212="נמוכה",(--($M1212&lt;&gt;"תקינה"))+(--($N1212&lt;&gt;"תקין"))+(--($O1212&lt;&gt;"תקינה"))&gt;=2),"ניכרת","אינה ניכרת")))</f>
        <v/>
      </c>
      <c r="AB1212" s="32">
        <f>IF(OR($C1212="",$Y1212="",$AA1212="",LEFT($Y1212,1)="—",LEFT($AA1212,1)="—"),"",IF($Z1212="","— נדרשת הערכת כתיבה",IF($L1212="","— חסרה הבנת הנקרא",IF($Y1212="אינה מדויקת או מקוטעת",IF($AA1212="ניכרת","מיקוד בשטף הקריאה ובכישורי שפה","מיקוד בשטף קריאה"),IF($AA1212="ניכרת","מיקוד בכישורי שפה",IF(AND($L1212="תקינה",$Z1212="מפותחת"),"קוראים וכותבים מיומנים","מיקוד בהבנה והבעה"))))))</f>
        <v/>
      </c>
      <c r="AC1212" s="32">
        <f>IF(OR($AB1212="",LEFT($AB1212,1)="—"),"",IF(OR($AB1212="מיקוד בשטף קריאה",$AB1212="מיקוד בשטף הקריאה ובכישורי שפה"),"רמה א'",IF($AB1212="קוראים וכותבים מיומנים","רמה ג'","רמה ב'")))</f>
        <v/>
      </c>
      <c r="AD1212" s="32">
        <f>IF($AC1212="","",MID(IF(AND($AC1212="רמה א'",$AA1212="ניכרת"),"; להוסיף עבודת אוצר מילים","")&amp;IF($Z1212="אינה מפותחת","; דגש על הבעה בכתב","")&amp;IF($K1212&lt;&gt;"תקין","; נדרש לעבוד על ההנגנה","")&amp;IF($AK1212&lt;&gt;"","; "&amp;$AK1212,""),3,400))</f>
        <v/>
      </c>
      <c r="AE1212" s="32">
        <f>IF($F1212="","",IF($F1212="תחילת שנה",1,IF($F1212="מחצית שנה",2,3)))</f>
        <v/>
      </c>
      <c r="AF1212" s="32">
        <f>IF(OR($B1212="",$AC1212="",$A1212="",$F1212=""),"",$B1212&amp;"|"&amp;$A1212&amp;"|"&amp;$F1212&amp;"|"&amp;$AC1212&amp;"|"&amp;COUNTIFS($B$6:$B1212,$B1212,$A$6:$A1212,$A1212,$F$6:$F1212,$F1212,$AC$6:$AC1212,$AC1212))</f>
        <v/>
      </c>
      <c r="AG1212" s="32">
        <f>IF($C1212="","",$C1212&amp;"|"&amp;COUNTIFS($C$6:$C1212,$C1212))</f>
        <v/>
      </c>
      <c r="AH1212" s="32">
        <f>IF(OR($C1212="",$A1212="",$AE1212=""),"",$C1212&amp;"|"&amp;$A1212&amp;"|"&amp;$AE1212)</f>
        <v/>
      </c>
      <c r="AI1212" s="32">
        <f>IF(OR($C1212="",$AE1212="",$AE1212=1),"",IFERROR(INDEX($AC$6:$AC$1505,MATCH($C1212&amp;"|"&amp;$A1212&amp;"|"&amp;($AE1212-1),$AH$6:$AH$1505,0)),""))</f>
        <v/>
      </c>
      <c r="AJ1212" s="32">
        <f>IF(OR($AI1212="",$AC1212=""),"",IF($AI1212=$AC1212,"ללא שינוי","מ-"&amp;$AI1212&amp;" ל-"&amp;$AC1212))</f>
        <v/>
      </c>
      <c r="AK1212" s="67" t="n"/>
    </row>
    <row r="1213">
      <c r="A1213" s="65" t="n"/>
      <c r="B1213" s="65" t="n"/>
      <c r="C1213" s="66" t="n"/>
      <c r="D1213" s="66" t="n"/>
      <c r="E1213" s="65" t="n"/>
      <c r="F1213" s="65" t="n"/>
      <c r="G1213" s="65" t="n"/>
      <c r="H1213" s="65" t="n"/>
      <c r="I1213" s="65" t="n"/>
      <c r="J1213" s="65" t="n"/>
      <c r="K1213" s="65" t="n"/>
      <c r="L1213" s="65" t="n"/>
      <c r="M1213" s="65" t="n"/>
      <c r="N1213" s="65" t="n"/>
      <c r="O1213" s="65" t="n"/>
      <c r="P1213" s="65" t="n"/>
      <c r="Q1213" s="65" t="n"/>
      <c r="R1213" s="65" t="n"/>
      <c r="S1213" s="65" t="n"/>
      <c r="T1213" s="65" t="n"/>
      <c r="U1213" s="65" t="n"/>
      <c r="V1213" s="65" t="n"/>
      <c r="W1213" s="65" t="n"/>
      <c r="X1213" s="65" t="n"/>
      <c r="Y1213" s="32">
        <f>IF($C1213="","",IF(COUNTA($I1213:$K1213)&lt;3,"— חסרים נתונים",IF(AND($I1213="תקין",$J1213="תקין",$K1213="תקין"),"רהוטה",IF(AND($I1213="תקין",$J1213="תקין"),"מדויקת ורציפה","אינה מדויקת או מקוטעת"))))</f>
        <v/>
      </c>
      <c r="Z1213" s="32">
        <f>IF($C1213="","",IF(COUNTA($U1213:$W1213)&lt;3,"",IF(AND($U1213="מפותח",$V1213="מפותח",$W1213="מפותחת"),"מפותחת",IF((--($U1213="דל"))+(--($V1213="אינו מפותח"))+(--($W1213="דלה"))&gt;=2,"אינה מפותחת","חלקית"))))</f>
        <v/>
      </c>
      <c r="AA1213" s="32">
        <f>IF($C1213="","",IF(COUNTA($M1213,$N1213,$O1213)&lt;3,"— חסרים נתונים",IF(OR($M1213="נמוכה",(--($M1213&lt;&gt;"תקינה"))+(--($N1213&lt;&gt;"תקין"))+(--($O1213&lt;&gt;"תקינה"))&gt;=2),"ניכרת","אינה ניכרת")))</f>
        <v/>
      </c>
      <c r="AB1213" s="32">
        <f>IF(OR($C1213="",$Y1213="",$AA1213="",LEFT($Y1213,1)="—",LEFT($AA1213,1)="—"),"",IF($Z1213="","— נדרשת הערכת כתיבה",IF($L1213="","— חסרה הבנת הנקרא",IF($Y1213="אינה מדויקת או מקוטעת",IF($AA1213="ניכרת","מיקוד בשטף הקריאה ובכישורי שפה","מיקוד בשטף קריאה"),IF($AA1213="ניכרת","מיקוד בכישורי שפה",IF(AND($L1213="תקינה",$Z1213="מפותחת"),"קוראים וכותבים מיומנים","מיקוד בהבנה והבעה"))))))</f>
        <v/>
      </c>
      <c r="AC1213" s="32">
        <f>IF(OR($AB1213="",LEFT($AB1213,1)="—"),"",IF(OR($AB1213="מיקוד בשטף קריאה",$AB1213="מיקוד בשטף הקריאה ובכישורי שפה"),"רמה א'",IF($AB1213="קוראים וכותבים מיומנים","רמה ג'","רמה ב'")))</f>
        <v/>
      </c>
      <c r="AD1213" s="32">
        <f>IF($AC1213="","",MID(IF(AND($AC1213="רמה א'",$AA1213="ניכרת"),"; להוסיף עבודת אוצר מילים","")&amp;IF($Z1213="אינה מפותחת","; דגש על הבעה בכתב","")&amp;IF($K1213&lt;&gt;"תקין","; נדרש לעבוד על ההנגנה","")&amp;IF($AK1213&lt;&gt;"","; "&amp;$AK1213,""),3,400))</f>
        <v/>
      </c>
      <c r="AE1213" s="32">
        <f>IF($F1213="","",IF($F1213="תחילת שנה",1,IF($F1213="מחצית שנה",2,3)))</f>
        <v/>
      </c>
      <c r="AF1213" s="32">
        <f>IF(OR($B1213="",$AC1213="",$A1213="",$F1213=""),"",$B1213&amp;"|"&amp;$A1213&amp;"|"&amp;$F1213&amp;"|"&amp;$AC1213&amp;"|"&amp;COUNTIFS($B$6:$B1213,$B1213,$A$6:$A1213,$A1213,$F$6:$F1213,$F1213,$AC$6:$AC1213,$AC1213))</f>
        <v/>
      </c>
      <c r="AG1213" s="32">
        <f>IF($C1213="","",$C1213&amp;"|"&amp;COUNTIFS($C$6:$C1213,$C1213))</f>
        <v/>
      </c>
      <c r="AH1213" s="32">
        <f>IF(OR($C1213="",$A1213="",$AE1213=""),"",$C1213&amp;"|"&amp;$A1213&amp;"|"&amp;$AE1213)</f>
        <v/>
      </c>
      <c r="AI1213" s="32">
        <f>IF(OR($C1213="",$AE1213="",$AE1213=1),"",IFERROR(INDEX($AC$6:$AC$1505,MATCH($C1213&amp;"|"&amp;$A1213&amp;"|"&amp;($AE1213-1),$AH$6:$AH$1505,0)),""))</f>
        <v/>
      </c>
      <c r="AJ1213" s="32">
        <f>IF(OR($AI1213="",$AC1213=""),"",IF($AI1213=$AC1213,"ללא שינוי","מ-"&amp;$AI1213&amp;" ל-"&amp;$AC1213))</f>
        <v/>
      </c>
      <c r="AK1213" s="67" t="n"/>
    </row>
    <row r="1214">
      <c r="A1214" s="65" t="n"/>
      <c r="B1214" s="65" t="n"/>
      <c r="C1214" s="66" t="n"/>
      <c r="D1214" s="66" t="n"/>
      <c r="E1214" s="65" t="n"/>
      <c r="F1214" s="65" t="n"/>
      <c r="G1214" s="65" t="n"/>
      <c r="H1214" s="65" t="n"/>
      <c r="I1214" s="65" t="n"/>
      <c r="J1214" s="65" t="n"/>
      <c r="K1214" s="65" t="n"/>
      <c r="L1214" s="65" t="n"/>
      <c r="M1214" s="65" t="n"/>
      <c r="N1214" s="65" t="n"/>
      <c r="O1214" s="65" t="n"/>
      <c r="P1214" s="65" t="n"/>
      <c r="Q1214" s="65" t="n"/>
      <c r="R1214" s="65" t="n"/>
      <c r="S1214" s="65" t="n"/>
      <c r="T1214" s="65" t="n"/>
      <c r="U1214" s="65" t="n"/>
      <c r="V1214" s="65" t="n"/>
      <c r="W1214" s="65" t="n"/>
      <c r="X1214" s="65" t="n"/>
      <c r="Y1214" s="32">
        <f>IF($C1214="","",IF(COUNTA($I1214:$K1214)&lt;3,"— חסרים נתונים",IF(AND($I1214="תקין",$J1214="תקין",$K1214="תקין"),"רהוטה",IF(AND($I1214="תקין",$J1214="תקין"),"מדויקת ורציפה","אינה מדויקת או מקוטעת"))))</f>
        <v/>
      </c>
      <c r="Z1214" s="32">
        <f>IF($C1214="","",IF(COUNTA($U1214:$W1214)&lt;3,"",IF(AND($U1214="מפותח",$V1214="מפותח",$W1214="מפותחת"),"מפותחת",IF((--($U1214="דל"))+(--($V1214="אינו מפותח"))+(--($W1214="דלה"))&gt;=2,"אינה מפותחת","חלקית"))))</f>
        <v/>
      </c>
      <c r="AA1214" s="32">
        <f>IF($C1214="","",IF(COUNTA($M1214,$N1214,$O1214)&lt;3,"— חסרים נתונים",IF(OR($M1214="נמוכה",(--($M1214&lt;&gt;"תקינה"))+(--($N1214&lt;&gt;"תקין"))+(--($O1214&lt;&gt;"תקינה"))&gt;=2),"ניכרת","אינה ניכרת")))</f>
        <v/>
      </c>
      <c r="AB1214" s="32">
        <f>IF(OR($C1214="",$Y1214="",$AA1214="",LEFT($Y1214,1)="—",LEFT($AA1214,1)="—"),"",IF($Z1214="","— נדרשת הערכת כתיבה",IF($L1214="","— חסרה הבנת הנקרא",IF($Y1214="אינה מדויקת או מקוטעת",IF($AA1214="ניכרת","מיקוד בשטף הקריאה ובכישורי שפה","מיקוד בשטף קריאה"),IF($AA1214="ניכרת","מיקוד בכישורי שפה",IF(AND($L1214="תקינה",$Z1214="מפותחת"),"קוראים וכותבים מיומנים","מיקוד בהבנה והבעה"))))))</f>
        <v/>
      </c>
      <c r="AC1214" s="32">
        <f>IF(OR($AB1214="",LEFT($AB1214,1)="—"),"",IF(OR($AB1214="מיקוד בשטף קריאה",$AB1214="מיקוד בשטף הקריאה ובכישורי שפה"),"רמה א'",IF($AB1214="קוראים וכותבים מיומנים","רמה ג'","רמה ב'")))</f>
        <v/>
      </c>
      <c r="AD1214" s="32">
        <f>IF($AC1214="","",MID(IF(AND($AC1214="רמה א'",$AA1214="ניכרת"),"; להוסיף עבודת אוצר מילים","")&amp;IF($Z1214="אינה מפותחת","; דגש על הבעה בכתב","")&amp;IF($K1214&lt;&gt;"תקין","; נדרש לעבוד על ההנגנה","")&amp;IF($AK1214&lt;&gt;"","; "&amp;$AK1214,""),3,400))</f>
        <v/>
      </c>
      <c r="AE1214" s="32">
        <f>IF($F1214="","",IF($F1214="תחילת שנה",1,IF($F1214="מחצית שנה",2,3)))</f>
        <v/>
      </c>
      <c r="AF1214" s="32">
        <f>IF(OR($B1214="",$AC1214="",$A1214="",$F1214=""),"",$B1214&amp;"|"&amp;$A1214&amp;"|"&amp;$F1214&amp;"|"&amp;$AC1214&amp;"|"&amp;COUNTIFS($B$6:$B1214,$B1214,$A$6:$A1214,$A1214,$F$6:$F1214,$F1214,$AC$6:$AC1214,$AC1214))</f>
        <v/>
      </c>
      <c r="AG1214" s="32">
        <f>IF($C1214="","",$C1214&amp;"|"&amp;COUNTIFS($C$6:$C1214,$C1214))</f>
        <v/>
      </c>
      <c r="AH1214" s="32">
        <f>IF(OR($C1214="",$A1214="",$AE1214=""),"",$C1214&amp;"|"&amp;$A1214&amp;"|"&amp;$AE1214)</f>
        <v/>
      </c>
      <c r="AI1214" s="32">
        <f>IF(OR($C1214="",$AE1214="",$AE1214=1),"",IFERROR(INDEX($AC$6:$AC$1505,MATCH($C1214&amp;"|"&amp;$A1214&amp;"|"&amp;($AE1214-1),$AH$6:$AH$1505,0)),""))</f>
        <v/>
      </c>
      <c r="AJ1214" s="32">
        <f>IF(OR($AI1214="",$AC1214=""),"",IF($AI1214=$AC1214,"ללא שינוי","מ-"&amp;$AI1214&amp;" ל-"&amp;$AC1214))</f>
        <v/>
      </c>
      <c r="AK1214" s="67" t="n"/>
    </row>
    <row r="1215">
      <c r="A1215" s="65" t="n"/>
      <c r="B1215" s="65" t="n"/>
      <c r="C1215" s="66" t="n"/>
      <c r="D1215" s="66" t="n"/>
      <c r="E1215" s="65" t="n"/>
      <c r="F1215" s="65" t="n"/>
      <c r="G1215" s="65" t="n"/>
      <c r="H1215" s="65" t="n"/>
      <c r="I1215" s="65" t="n"/>
      <c r="J1215" s="65" t="n"/>
      <c r="K1215" s="65" t="n"/>
      <c r="L1215" s="65" t="n"/>
      <c r="M1215" s="65" t="n"/>
      <c r="N1215" s="65" t="n"/>
      <c r="O1215" s="65" t="n"/>
      <c r="P1215" s="65" t="n"/>
      <c r="Q1215" s="65" t="n"/>
      <c r="R1215" s="65" t="n"/>
      <c r="S1215" s="65" t="n"/>
      <c r="T1215" s="65" t="n"/>
      <c r="U1215" s="65" t="n"/>
      <c r="V1215" s="65" t="n"/>
      <c r="W1215" s="65" t="n"/>
      <c r="X1215" s="65" t="n"/>
      <c r="Y1215" s="32">
        <f>IF($C1215="","",IF(COUNTA($I1215:$K1215)&lt;3,"— חסרים נתונים",IF(AND($I1215="תקין",$J1215="תקין",$K1215="תקין"),"רהוטה",IF(AND($I1215="תקין",$J1215="תקין"),"מדויקת ורציפה","אינה מדויקת או מקוטעת"))))</f>
        <v/>
      </c>
      <c r="Z1215" s="32">
        <f>IF($C1215="","",IF(COUNTA($U1215:$W1215)&lt;3,"",IF(AND($U1215="מפותח",$V1215="מפותח",$W1215="מפותחת"),"מפותחת",IF((--($U1215="דל"))+(--($V1215="אינו מפותח"))+(--($W1215="דלה"))&gt;=2,"אינה מפותחת","חלקית"))))</f>
        <v/>
      </c>
      <c r="AA1215" s="32">
        <f>IF($C1215="","",IF(COUNTA($M1215,$N1215,$O1215)&lt;3,"— חסרים נתונים",IF(OR($M1215="נמוכה",(--($M1215&lt;&gt;"תקינה"))+(--($N1215&lt;&gt;"תקין"))+(--($O1215&lt;&gt;"תקינה"))&gt;=2),"ניכרת","אינה ניכרת")))</f>
        <v/>
      </c>
      <c r="AB1215" s="32">
        <f>IF(OR($C1215="",$Y1215="",$AA1215="",LEFT($Y1215,1)="—",LEFT($AA1215,1)="—"),"",IF($Z1215="","— נדרשת הערכת כתיבה",IF($L1215="","— חסרה הבנת הנקרא",IF($Y1215="אינה מדויקת או מקוטעת",IF($AA1215="ניכרת","מיקוד בשטף הקריאה ובכישורי שפה","מיקוד בשטף קריאה"),IF($AA1215="ניכרת","מיקוד בכישורי שפה",IF(AND($L1215="תקינה",$Z1215="מפותחת"),"קוראים וכותבים מיומנים","מיקוד בהבנה והבעה"))))))</f>
        <v/>
      </c>
      <c r="AC1215" s="32">
        <f>IF(OR($AB1215="",LEFT($AB1215,1)="—"),"",IF(OR($AB1215="מיקוד בשטף קריאה",$AB1215="מיקוד בשטף הקריאה ובכישורי שפה"),"רמה א'",IF($AB1215="קוראים וכותבים מיומנים","רמה ג'","רמה ב'")))</f>
        <v/>
      </c>
      <c r="AD1215" s="32">
        <f>IF($AC1215="","",MID(IF(AND($AC1215="רמה א'",$AA1215="ניכרת"),"; להוסיף עבודת אוצר מילים","")&amp;IF($Z1215="אינה מפותחת","; דגש על הבעה בכתב","")&amp;IF($K1215&lt;&gt;"תקין","; נדרש לעבוד על ההנגנה","")&amp;IF($AK1215&lt;&gt;"","; "&amp;$AK1215,""),3,400))</f>
        <v/>
      </c>
      <c r="AE1215" s="32">
        <f>IF($F1215="","",IF($F1215="תחילת שנה",1,IF($F1215="מחצית שנה",2,3)))</f>
        <v/>
      </c>
      <c r="AF1215" s="32">
        <f>IF(OR($B1215="",$AC1215="",$A1215="",$F1215=""),"",$B1215&amp;"|"&amp;$A1215&amp;"|"&amp;$F1215&amp;"|"&amp;$AC1215&amp;"|"&amp;COUNTIFS($B$6:$B1215,$B1215,$A$6:$A1215,$A1215,$F$6:$F1215,$F1215,$AC$6:$AC1215,$AC1215))</f>
        <v/>
      </c>
      <c r="AG1215" s="32">
        <f>IF($C1215="","",$C1215&amp;"|"&amp;COUNTIFS($C$6:$C1215,$C1215))</f>
        <v/>
      </c>
      <c r="AH1215" s="32">
        <f>IF(OR($C1215="",$A1215="",$AE1215=""),"",$C1215&amp;"|"&amp;$A1215&amp;"|"&amp;$AE1215)</f>
        <v/>
      </c>
      <c r="AI1215" s="32">
        <f>IF(OR($C1215="",$AE1215="",$AE1215=1),"",IFERROR(INDEX($AC$6:$AC$1505,MATCH($C1215&amp;"|"&amp;$A1215&amp;"|"&amp;($AE1215-1),$AH$6:$AH$1505,0)),""))</f>
        <v/>
      </c>
      <c r="AJ1215" s="32">
        <f>IF(OR($AI1215="",$AC1215=""),"",IF($AI1215=$AC1215,"ללא שינוי","מ-"&amp;$AI1215&amp;" ל-"&amp;$AC1215))</f>
        <v/>
      </c>
      <c r="AK1215" s="67" t="n"/>
    </row>
    <row r="1216">
      <c r="A1216" s="65" t="n"/>
      <c r="B1216" s="65" t="n"/>
      <c r="C1216" s="66" t="n"/>
      <c r="D1216" s="66" t="n"/>
      <c r="E1216" s="65" t="n"/>
      <c r="F1216" s="65" t="n"/>
      <c r="G1216" s="65" t="n"/>
      <c r="H1216" s="65" t="n"/>
      <c r="I1216" s="65" t="n"/>
      <c r="J1216" s="65" t="n"/>
      <c r="K1216" s="65" t="n"/>
      <c r="L1216" s="65" t="n"/>
      <c r="M1216" s="65" t="n"/>
      <c r="N1216" s="65" t="n"/>
      <c r="O1216" s="65" t="n"/>
      <c r="P1216" s="65" t="n"/>
      <c r="Q1216" s="65" t="n"/>
      <c r="R1216" s="65" t="n"/>
      <c r="S1216" s="65" t="n"/>
      <c r="T1216" s="65" t="n"/>
      <c r="U1216" s="65" t="n"/>
      <c r="V1216" s="65" t="n"/>
      <c r="W1216" s="65" t="n"/>
      <c r="X1216" s="65" t="n"/>
      <c r="Y1216" s="32">
        <f>IF($C1216="","",IF(COUNTA($I1216:$K1216)&lt;3,"— חסרים נתונים",IF(AND($I1216="תקין",$J1216="תקין",$K1216="תקין"),"רהוטה",IF(AND($I1216="תקין",$J1216="תקין"),"מדויקת ורציפה","אינה מדויקת או מקוטעת"))))</f>
        <v/>
      </c>
      <c r="Z1216" s="32">
        <f>IF($C1216="","",IF(COUNTA($U1216:$W1216)&lt;3,"",IF(AND($U1216="מפותח",$V1216="מפותח",$W1216="מפותחת"),"מפותחת",IF((--($U1216="דל"))+(--($V1216="אינו מפותח"))+(--($W1216="דלה"))&gt;=2,"אינה מפותחת","חלקית"))))</f>
        <v/>
      </c>
      <c r="AA1216" s="32">
        <f>IF($C1216="","",IF(COUNTA($M1216,$N1216,$O1216)&lt;3,"— חסרים נתונים",IF(OR($M1216="נמוכה",(--($M1216&lt;&gt;"תקינה"))+(--($N1216&lt;&gt;"תקין"))+(--($O1216&lt;&gt;"תקינה"))&gt;=2),"ניכרת","אינה ניכרת")))</f>
        <v/>
      </c>
      <c r="AB1216" s="32">
        <f>IF(OR($C1216="",$Y1216="",$AA1216="",LEFT($Y1216,1)="—",LEFT($AA1216,1)="—"),"",IF($Z1216="","— נדרשת הערכת כתיבה",IF($L1216="","— חסרה הבנת הנקרא",IF($Y1216="אינה מדויקת או מקוטעת",IF($AA1216="ניכרת","מיקוד בשטף הקריאה ובכישורי שפה","מיקוד בשטף קריאה"),IF($AA1216="ניכרת","מיקוד בכישורי שפה",IF(AND($L1216="תקינה",$Z1216="מפותחת"),"קוראים וכותבים מיומנים","מיקוד בהבנה והבעה"))))))</f>
        <v/>
      </c>
      <c r="AC1216" s="32">
        <f>IF(OR($AB1216="",LEFT($AB1216,1)="—"),"",IF(OR($AB1216="מיקוד בשטף קריאה",$AB1216="מיקוד בשטף הקריאה ובכישורי שפה"),"רמה א'",IF($AB1216="קוראים וכותבים מיומנים","רמה ג'","רמה ב'")))</f>
        <v/>
      </c>
      <c r="AD1216" s="32">
        <f>IF($AC1216="","",MID(IF(AND($AC1216="רמה א'",$AA1216="ניכרת"),"; להוסיף עבודת אוצר מילים","")&amp;IF($Z1216="אינה מפותחת","; דגש על הבעה בכתב","")&amp;IF($K1216&lt;&gt;"תקין","; נדרש לעבוד על ההנגנה","")&amp;IF($AK1216&lt;&gt;"","; "&amp;$AK1216,""),3,400))</f>
        <v/>
      </c>
      <c r="AE1216" s="32">
        <f>IF($F1216="","",IF($F1216="תחילת שנה",1,IF($F1216="מחצית שנה",2,3)))</f>
        <v/>
      </c>
      <c r="AF1216" s="32">
        <f>IF(OR($B1216="",$AC1216="",$A1216="",$F1216=""),"",$B1216&amp;"|"&amp;$A1216&amp;"|"&amp;$F1216&amp;"|"&amp;$AC1216&amp;"|"&amp;COUNTIFS($B$6:$B1216,$B1216,$A$6:$A1216,$A1216,$F$6:$F1216,$F1216,$AC$6:$AC1216,$AC1216))</f>
        <v/>
      </c>
      <c r="AG1216" s="32">
        <f>IF($C1216="","",$C1216&amp;"|"&amp;COUNTIFS($C$6:$C1216,$C1216))</f>
        <v/>
      </c>
      <c r="AH1216" s="32">
        <f>IF(OR($C1216="",$A1216="",$AE1216=""),"",$C1216&amp;"|"&amp;$A1216&amp;"|"&amp;$AE1216)</f>
        <v/>
      </c>
      <c r="AI1216" s="32">
        <f>IF(OR($C1216="",$AE1216="",$AE1216=1),"",IFERROR(INDEX($AC$6:$AC$1505,MATCH($C1216&amp;"|"&amp;$A1216&amp;"|"&amp;($AE1216-1),$AH$6:$AH$1505,0)),""))</f>
        <v/>
      </c>
      <c r="AJ1216" s="32">
        <f>IF(OR($AI1216="",$AC1216=""),"",IF($AI1216=$AC1216,"ללא שינוי","מ-"&amp;$AI1216&amp;" ל-"&amp;$AC1216))</f>
        <v/>
      </c>
      <c r="AK1216" s="67" t="n"/>
    </row>
    <row r="1217">
      <c r="A1217" s="65" t="n"/>
      <c r="B1217" s="65" t="n"/>
      <c r="C1217" s="66" t="n"/>
      <c r="D1217" s="66" t="n"/>
      <c r="E1217" s="65" t="n"/>
      <c r="F1217" s="65" t="n"/>
      <c r="G1217" s="65" t="n"/>
      <c r="H1217" s="65" t="n"/>
      <c r="I1217" s="65" t="n"/>
      <c r="J1217" s="65" t="n"/>
      <c r="K1217" s="65" t="n"/>
      <c r="L1217" s="65" t="n"/>
      <c r="M1217" s="65" t="n"/>
      <c r="N1217" s="65" t="n"/>
      <c r="O1217" s="65" t="n"/>
      <c r="P1217" s="65" t="n"/>
      <c r="Q1217" s="65" t="n"/>
      <c r="R1217" s="65" t="n"/>
      <c r="S1217" s="65" t="n"/>
      <c r="T1217" s="65" t="n"/>
      <c r="U1217" s="65" t="n"/>
      <c r="V1217" s="65" t="n"/>
      <c r="W1217" s="65" t="n"/>
      <c r="X1217" s="65" t="n"/>
      <c r="Y1217" s="32">
        <f>IF($C1217="","",IF(COUNTA($I1217:$K1217)&lt;3,"— חסרים נתונים",IF(AND($I1217="תקין",$J1217="תקין",$K1217="תקין"),"רהוטה",IF(AND($I1217="תקין",$J1217="תקין"),"מדויקת ורציפה","אינה מדויקת או מקוטעת"))))</f>
        <v/>
      </c>
      <c r="Z1217" s="32">
        <f>IF($C1217="","",IF(COUNTA($U1217:$W1217)&lt;3,"",IF(AND($U1217="מפותח",$V1217="מפותח",$W1217="מפותחת"),"מפותחת",IF((--($U1217="דל"))+(--($V1217="אינו מפותח"))+(--($W1217="דלה"))&gt;=2,"אינה מפותחת","חלקית"))))</f>
        <v/>
      </c>
      <c r="AA1217" s="32">
        <f>IF($C1217="","",IF(COUNTA($M1217,$N1217,$O1217)&lt;3,"— חסרים נתונים",IF(OR($M1217="נמוכה",(--($M1217&lt;&gt;"תקינה"))+(--($N1217&lt;&gt;"תקין"))+(--($O1217&lt;&gt;"תקינה"))&gt;=2),"ניכרת","אינה ניכרת")))</f>
        <v/>
      </c>
      <c r="AB1217" s="32">
        <f>IF(OR($C1217="",$Y1217="",$AA1217="",LEFT($Y1217,1)="—",LEFT($AA1217,1)="—"),"",IF($Z1217="","— נדרשת הערכת כתיבה",IF($L1217="","— חסרה הבנת הנקרא",IF($Y1217="אינה מדויקת או מקוטעת",IF($AA1217="ניכרת","מיקוד בשטף הקריאה ובכישורי שפה","מיקוד בשטף קריאה"),IF($AA1217="ניכרת","מיקוד בכישורי שפה",IF(AND($L1217="תקינה",$Z1217="מפותחת"),"קוראים וכותבים מיומנים","מיקוד בהבנה והבעה"))))))</f>
        <v/>
      </c>
      <c r="AC1217" s="32">
        <f>IF(OR($AB1217="",LEFT($AB1217,1)="—"),"",IF(OR($AB1217="מיקוד בשטף קריאה",$AB1217="מיקוד בשטף הקריאה ובכישורי שפה"),"רמה א'",IF($AB1217="קוראים וכותבים מיומנים","רמה ג'","רמה ב'")))</f>
        <v/>
      </c>
      <c r="AD1217" s="32">
        <f>IF($AC1217="","",MID(IF(AND($AC1217="רמה א'",$AA1217="ניכרת"),"; להוסיף עבודת אוצר מילים","")&amp;IF($Z1217="אינה מפותחת","; דגש על הבעה בכתב","")&amp;IF($K1217&lt;&gt;"תקין","; נדרש לעבוד על ההנגנה","")&amp;IF($AK1217&lt;&gt;"","; "&amp;$AK1217,""),3,400))</f>
        <v/>
      </c>
      <c r="AE1217" s="32">
        <f>IF($F1217="","",IF($F1217="תחילת שנה",1,IF($F1217="מחצית שנה",2,3)))</f>
        <v/>
      </c>
      <c r="AF1217" s="32">
        <f>IF(OR($B1217="",$AC1217="",$A1217="",$F1217=""),"",$B1217&amp;"|"&amp;$A1217&amp;"|"&amp;$F1217&amp;"|"&amp;$AC1217&amp;"|"&amp;COUNTIFS($B$6:$B1217,$B1217,$A$6:$A1217,$A1217,$F$6:$F1217,$F1217,$AC$6:$AC1217,$AC1217))</f>
        <v/>
      </c>
      <c r="AG1217" s="32">
        <f>IF($C1217="","",$C1217&amp;"|"&amp;COUNTIFS($C$6:$C1217,$C1217))</f>
        <v/>
      </c>
      <c r="AH1217" s="32">
        <f>IF(OR($C1217="",$A1217="",$AE1217=""),"",$C1217&amp;"|"&amp;$A1217&amp;"|"&amp;$AE1217)</f>
        <v/>
      </c>
      <c r="AI1217" s="32">
        <f>IF(OR($C1217="",$AE1217="",$AE1217=1),"",IFERROR(INDEX($AC$6:$AC$1505,MATCH($C1217&amp;"|"&amp;$A1217&amp;"|"&amp;($AE1217-1),$AH$6:$AH$1505,0)),""))</f>
        <v/>
      </c>
      <c r="AJ1217" s="32">
        <f>IF(OR($AI1217="",$AC1217=""),"",IF($AI1217=$AC1217,"ללא שינוי","מ-"&amp;$AI1217&amp;" ל-"&amp;$AC1217))</f>
        <v/>
      </c>
      <c r="AK1217" s="67" t="n"/>
    </row>
    <row r="1218">
      <c r="A1218" s="65" t="n"/>
      <c r="B1218" s="65" t="n"/>
      <c r="C1218" s="66" t="n"/>
      <c r="D1218" s="66" t="n"/>
      <c r="E1218" s="65" t="n"/>
      <c r="F1218" s="65" t="n"/>
      <c r="G1218" s="65" t="n"/>
      <c r="H1218" s="65" t="n"/>
      <c r="I1218" s="65" t="n"/>
      <c r="J1218" s="65" t="n"/>
      <c r="K1218" s="65" t="n"/>
      <c r="L1218" s="65" t="n"/>
      <c r="M1218" s="65" t="n"/>
      <c r="N1218" s="65" t="n"/>
      <c r="O1218" s="65" t="n"/>
      <c r="P1218" s="65" t="n"/>
      <c r="Q1218" s="65" t="n"/>
      <c r="R1218" s="65" t="n"/>
      <c r="S1218" s="65" t="n"/>
      <c r="T1218" s="65" t="n"/>
      <c r="U1218" s="65" t="n"/>
      <c r="V1218" s="65" t="n"/>
      <c r="W1218" s="65" t="n"/>
      <c r="X1218" s="65" t="n"/>
      <c r="Y1218" s="32">
        <f>IF($C1218="","",IF(COUNTA($I1218:$K1218)&lt;3,"— חסרים נתונים",IF(AND($I1218="תקין",$J1218="תקין",$K1218="תקין"),"רהוטה",IF(AND($I1218="תקין",$J1218="תקין"),"מדויקת ורציפה","אינה מדויקת או מקוטעת"))))</f>
        <v/>
      </c>
      <c r="Z1218" s="32">
        <f>IF($C1218="","",IF(COUNTA($U1218:$W1218)&lt;3,"",IF(AND($U1218="מפותח",$V1218="מפותח",$W1218="מפותחת"),"מפותחת",IF((--($U1218="דל"))+(--($V1218="אינו מפותח"))+(--($W1218="דלה"))&gt;=2,"אינה מפותחת","חלקית"))))</f>
        <v/>
      </c>
      <c r="AA1218" s="32">
        <f>IF($C1218="","",IF(COUNTA($M1218,$N1218,$O1218)&lt;3,"— חסרים נתונים",IF(OR($M1218="נמוכה",(--($M1218&lt;&gt;"תקינה"))+(--($N1218&lt;&gt;"תקין"))+(--($O1218&lt;&gt;"תקינה"))&gt;=2),"ניכרת","אינה ניכרת")))</f>
        <v/>
      </c>
      <c r="AB1218" s="32">
        <f>IF(OR($C1218="",$Y1218="",$AA1218="",LEFT($Y1218,1)="—",LEFT($AA1218,1)="—"),"",IF($Z1218="","— נדרשת הערכת כתיבה",IF($L1218="","— חסרה הבנת הנקרא",IF($Y1218="אינה מדויקת או מקוטעת",IF($AA1218="ניכרת","מיקוד בשטף הקריאה ובכישורי שפה","מיקוד בשטף קריאה"),IF($AA1218="ניכרת","מיקוד בכישורי שפה",IF(AND($L1218="תקינה",$Z1218="מפותחת"),"קוראים וכותבים מיומנים","מיקוד בהבנה והבעה"))))))</f>
        <v/>
      </c>
      <c r="AC1218" s="32">
        <f>IF(OR($AB1218="",LEFT($AB1218,1)="—"),"",IF(OR($AB1218="מיקוד בשטף קריאה",$AB1218="מיקוד בשטף הקריאה ובכישורי שפה"),"רמה א'",IF($AB1218="קוראים וכותבים מיומנים","רמה ג'","רמה ב'")))</f>
        <v/>
      </c>
      <c r="AD1218" s="32">
        <f>IF($AC1218="","",MID(IF(AND($AC1218="רמה א'",$AA1218="ניכרת"),"; להוסיף עבודת אוצר מילים","")&amp;IF($Z1218="אינה מפותחת","; דגש על הבעה בכתב","")&amp;IF($K1218&lt;&gt;"תקין","; נדרש לעבוד על ההנגנה","")&amp;IF($AK1218&lt;&gt;"","; "&amp;$AK1218,""),3,400))</f>
        <v/>
      </c>
      <c r="AE1218" s="32">
        <f>IF($F1218="","",IF($F1218="תחילת שנה",1,IF($F1218="מחצית שנה",2,3)))</f>
        <v/>
      </c>
      <c r="AF1218" s="32">
        <f>IF(OR($B1218="",$AC1218="",$A1218="",$F1218=""),"",$B1218&amp;"|"&amp;$A1218&amp;"|"&amp;$F1218&amp;"|"&amp;$AC1218&amp;"|"&amp;COUNTIFS($B$6:$B1218,$B1218,$A$6:$A1218,$A1218,$F$6:$F1218,$F1218,$AC$6:$AC1218,$AC1218))</f>
        <v/>
      </c>
      <c r="AG1218" s="32">
        <f>IF($C1218="","",$C1218&amp;"|"&amp;COUNTIFS($C$6:$C1218,$C1218))</f>
        <v/>
      </c>
      <c r="AH1218" s="32">
        <f>IF(OR($C1218="",$A1218="",$AE1218=""),"",$C1218&amp;"|"&amp;$A1218&amp;"|"&amp;$AE1218)</f>
        <v/>
      </c>
      <c r="AI1218" s="32">
        <f>IF(OR($C1218="",$AE1218="",$AE1218=1),"",IFERROR(INDEX($AC$6:$AC$1505,MATCH($C1218&amp;"|"&amp;$A1218&amp;"|"&amp;($AE1218-1),$AH$6:$AH$1505,0)),""))</f>
        <v/>
      </c>
      <c r="AJ1218" s="32">
        <f>IF(OR($AI1218="",$AC1218=""),"",IF($AI1218=$AC1218,"ללא שינוי","מ-"&amp;$AI1218&amp;" ל-"&amp;$AC1218))</f>
        <v/>
      </c>
      <c r="AK1218" s="67" t="n"/>
    </row>
    <row r="1219">
      <c r="A1219" s="65" t="n"/>
      <c r="B1219" s="65" t="n"/>
      <c r="C1219" s="66" t="n"/>
      <c r="D1219" s="66" t="n"/>
      <c r="E1219" s="65" t="n"/>
      <c r="F1219" s="65" t="n"/>
      <c r="G1219" s="65" t="n"/>
      <c r="H1219" s="65" t="n"/>
      <c r="I1219" s="65" t="n"/>
      <c r="J1219" s="65" t="n"/>
      <c r="K1219" s="65" t="n"/>
      <c r="L1219" s="65" t="n"/>
      <c r="M1219" s="65" t="n"/>
      <c r="N1219" s="65" t="n"/>
      <c r="O1219" s="65" t="n"/>
      <c r="P1219" s="65" t="n"/>
      <c r="Q1219" s="65" t="n"/>
      <c r="R1219" s="65" t="n"/>
      <c r="S1219" s="65" t="n"/>
      <c r="T1219" s="65" t="n"/>
      <c r="U1219" s="65" t="n"/>
      <c r="V1219" s="65" t="n"/>
      <c r="W1219" s="65" t="n"/>
      <c r="X1219" s="65" t="n"/>
      <c r="Y1219" s="32">
        <f>IF($C1219="","",IF(COUNTA($I1219:$K1219)&lt;3,"— חסרים נתונים",IF(AND($I1219="תקין",$J1219="תקין",$K1219="תקין"),"רהוטה",IF(AND($I1219="תקין",$J1219="תקין"),"מדויקת ורציפה","אינה מדויקת או מקוטעת"))))</f>
        <v/>
      </c>
      <c r="Z1219" s="32">
        <f>IF($C1219="","",IF(COUNTA($U1219:$W1219)&lt;3,"",IF(AND($U1219="מפותח",$V1219="מפותח",$W1219="מפותחת"),"מפותחת",IF((--($U1219="דל"))+(--($V1219="אינו מפותח"))+(--($W1219="דלה"))&gt;=2,"אינה מפותחת","חלקית"))))</f>
        <v/>
      </c>
      <c r="AA1219" s="32">
        <f>IF($C1219="","",IF(COUNTA($M1219,$N1219,$O1219)&lt;3,"— חסרים נתונים",IF(OR($M1219="נמוכה",(--($M1219&lt;&gt;"תקינה"))+(--($N1219&lt;&gt;"תקין"))+(--($O1219&lt;&gt;"תקינה"))&gt;=2),"ניכרת","אינה ניכרת")))</f>
        <v/>
      </c>
      <c r="AB1219" s="32">
        <f>IF(OR($C1219="",$Y1219="",$AA1219="",LEFT($Y1219,1)="—",LEFT($AA1219,1)="—"),"",IF($Z1219="","— נדרשת הערכת כתיבה",IF($L1219="","— חסרה הבנת הנקרא",IF($Y1219="אינה מדויקת או מקוטעת",IF($AA1219="ניכרת","מיקוד בשטף הקריאה ובכישורי שפה","מיקוד בשטף קריאה"),IF($AA1219="ניכרת","מיקוד בכישורי שפה",IF(AND($L1219="תקינה",$Z1219="מפותחת"),"קוראים וכותבים מיומנים","מיקוד בהבנה והבעה"))))))</f>
        <v/>
      </c>
      <c r="AC1219" s="32">
        <f>IF(OR($AB1219="",LEFT($AB1219,1)="—"),"",IF(OR($AB1219="מיקוד בשטף קריאה",$AB1219="מיקוד בשטף הקריאה ובכישורי שפה"),"רמה א'",IF($AB1219="קוראים וכותבים מיומנים","רמה ג'","רמה ב'")))</f>
        <v/>
      </c>
      <c r="AD1219" s="32">
        <f>IF($AC1219="","",MID(IF(AND($AC1219="רמה א'",$AA1219="ניכרת"),"; להוסיף עבודת אוצר מילים","")&amp;IF($Z1219="אינה מפותחת","; דגש על הבעה בכתב","")&amp;IF($K1219&lt;&gt;"תקין","; נדרש לעבוד על ההנגנה","")&amp;IF($AK1219&lt;&gt;"","; "&amp;$AK1219,""),3,400))</f>
        <v/>
      </c>
      <c r="AE1219" s="32">
        <f>IF($F1219="","",IF($F1219="תחילת שנה",1,IF($F1219="מחצית שנה",2,3)))</f>
        <v/>
      </c>
      <c r="AF1219" s="32">
        <f>IF(OR($B1219="",$AC1219="",$A1219="",$F1219=""),"",$B1219&amp;"|"&amp;$A1219&amp;"|"&amp;$F1219&amp;"|"&amp;$AC1219&amp;"|"&amp;COUNTIFS($B$6:$B1219,$B1219,$A$6:$A1219,$A1219,$F$6:$F1219,$F1219,$AC$6:$AC1219,$AC1219))</f>
        <v/>
      </c>
      <c r="AG1219" s="32">
        <f>IF($C1219="","",$C1219&amp;"|"&amp;COUNTIFS($C$6:$C1219,$C1219))</f>
        <v/>
      </c>
      <c r="AH1219" s="32">
        <f>IF(OR($C1219="",$A1219="",$AE1219=""),"",$C1219&amp;"|"&amp;$A1219&amp;"|"&amp;$AE1219)</f>
        <v/>
      </c>
      <c r="AI1219" s="32">
        <f>IF(OR($C1219="",$AE1219="",$AE1219=1),"",IFERROR(INDEX($AC$6:$AC$1505,MATCH($C1219&amp;"|"&amp;$A1219&amp;"|"&amp;($AE1219-1),$AH$6:$AH$1505,0)),""))</f>
        <v/>
      </c>
      <c r="AJ1219" s="32">
        <f>IF(OR($AI1219="",$AC1219=""),"",IF($AI1219=$AC1219,"ללא שינוי","מ-"&amp;$AI1219&amp;" ל-"&amp;$AC1219))</f>
        <v/>
      </c>
      <c r="AK1219" s="67" t="n"/>
    </row>
    <row r="1220">
      <c r="A1220" s="65" t="n"/>
      <c r="B1220" s="65" t="n"/>
      <c r="C1220" s="66" t="n"/>
      <c r="D1220" s="66" t="n"/>
      <c r="E1220" s="65" t="n"/>
      <c r="F1220" s="65" t="n"/>
      <c r="G1220" s="65" t="n"/>
      <c r="H1220" s="65" t="n"/>
      <c r="I1220" s="65" t="n"/>
      <c r="J1220" s="65" t="n"/>
      <c r="K1220" s="65" t="n"/>
      <c r="L1220" s="65" t="n"/>
      <c r="M1220" s="65" t="n"/>
      <c r="N1220" s="65" t="n"/>
      <c r="O1220" s="65" t="n"/>
      <c r="P1220" s="65" t="n"/>
      <c r="Q1220" s="65" t="n"/>
      <c r="R1220" s="65" t="n"/>
      <c r="S1220" s="65" t="n"/>
      <c r="T1220" s="65" t="n"/>
      <c r="U1220" s="65" t="n"/>
      <c r="V1220" s="65" t="n"/>
      <c r="W1220" s="65" t="n"/>
      <c r="X1220" s="65" t="n"/>
      <c r="Y1220" s="32">
        <f>IF($C1220="","",IF(COUNTA($I1220:$K1220)&lt;3,"— חסרים נתונים",IF(AND($I1220="תקין",$J1220="תקין",$K1220="תקין"),"רהוטה",IF(AND($I1220="תקין",$J1220="תקין"),"מדויקת ורציפה","אינה מדויקת או מקוטעת"))))</f>
        <v/>
      </c>
      <c r="Z1220" s="32">
        <f>IF($C1220="","",IF(COUNTA($U1220:$W1220)&lt;3,"",IF(AND($U1220="מפותח",$V1220="מפותח",$W1220="מפותחת"),"מפותחת",IF((--($U1220="דל"))+(--($V1220="אינו מפותח"))+(--($W1220="דלה"))&gt;=2,"אינה מפותחת","חלקית"))))</f>
        <v/>
      </c>
      <c r="AA1220" s="32">
        <f>IF($C1220="","",IF(COUNTA($M1220,$N1220,$O1220)&lt;3,"— חסרים נתונים",IF(OR($M1220="נמוכה",(--($M1220&lt;&gt;"תקינה"))+(--($N1220&lt;&gt;"תקין"))+(--($O1220&lt;&gt;"תקינה"))&gt;=2),"ניכרת","אינה ניכרת")))</f>
        <v/>
      </c>
      <c r="AB1220" s="32">
        <f>IF(OR($C1220="",$Y1220="",$AA1220="",LEFT($Y1220,1)="—",LEFT($AA1220,1)="—"),"",IF($Z1220="","— נדרשת הערכת כתיבה",IF($L1220="","— חסרה הבנת הנקרא",IF($Y1220="אינה מדויקת או מקוטעת",IF($AA1220="ניכרת","מיקוד בשטף הקריאה ובכישורי שפה","מיקוד בשטף קריאה"),IF($AA1220="ניכרת","מיקוד בכישורי שפה",IF(AND($L1220="תקינה",$Z1220="מפותחת"),"קוראים וכותבים מיומנים","מיקוד בהבנה והבעה"))))))</f>
        <v/>
      </c>
      <c r="AC1220" s="32">
        <f>IF(OR($AB1220="",LEFT($AB1220,1)="—"),"",IF(OR($AB1220="מיקוד בשטף קריאה",$AB1220="מיקוד בשטף הקריאה ובכישורי שפה"),"רמה א'",IF($AB1220="קוראים וכותבים מיומנים","רמה ג'","רמה ב'")))</f>
        <v/>
      </c>
      <c r="AD1220" s="32">
        <f>IF($AC1220="","",MID(IF(AND($AC1220="רמה א'",$AA1220="ניכרת"),"; להוסיף עבודת אוצר מילים","")&amp;IF($Z1220="אינה מפותחת","; דגש על הבעה בכתב","")&amp;IF($K1220&lt;&gt;"תקין","; נדרש לעבוד על ההנגנה","")&amp;IF($AK1220&lt;&gt;"","; "&amp;$AK1220,""),3,400))</f>
        <v/>
      </c>
      <c r="AE1220" s="32">
        <f>IF($F1220="","",IF($F1220="תחילת שנה",1,IF($F1220="מחצית שנה",2,3)))</f>
        <v/>
      </c>
      <c r="AF1220" s="32">
        <f>IF(OR($B1220="",$AC1220="",$A1220="",$F1220=""),"",$B1220&amp;"|"&amp;$A1220&amp;"|"&amp;$F1220&amp;"|"&amp;$AC1220&amp;"|"&amp;COUNTIFS($B$6:$B1220,$B1220,$A$6:$A1220,$A1220,$F$6:$F1220,$F1220,$AC$6:$AC1220,$AC1220))</f>
        <v/>
      </c>
      <c r="AG1220" s="32">
        <f>IF($C1220="","",$C1220&amp;"|"&amp;COUNTIFS($C$6:$C1220,$C1220))</f>
        <v/>
      </c>
      <c r="AH1220" s="32">
        <f>IF(OR($C1220="",$A1220="",$AE1220=""),"",$C1220&amp;"|"&amp;$A1220&amp;"|"&amp;$AE1220)</f>
        <v/>
      </c>
      <c r="AI1220" s="32">
        <f>IF(OR($C1220="",$AE1220="",$AE1220=1),"",IFERROR(INDEX($AC$6:$AC$1505,MATCH($C1220&amp;"|"&amp;$A1220&amp;"|"&amp;($AE1220-1),$AH$6:$AH$1505,0)),""))</f>
        <v/>
      </c>
      <c r="AJ1220" s="32">
        <f>IF(OR($AI1220="",$AC1220=""),"",IF($AI1220=$AC1220,"ללא שינוי","מ-"&amp;$AI1220&amp;" ל-"&amp;$AC1220))</f>
        <v/>
      </c>
      <c r="AK1220" s="67" t="n"/>
    </row>
    <row r="1221">
      <c r="A1221" s="65" t="n"/>
      <c r="B1221" s="65" t="n"/>
      <c r="C1221" s="66" t="n"/>
      <c r="D1221" s="66" t="n"/>
      <c r="E1221" s="65" t="n"/>
      <c r="F1221" s="65" t="n"/>
      <c r="G1221" s="65" t="n"/>
      <c r="H1221" s="65" t="n"/>
      <c r="I1221" s="65" t="n"/>
      <c r="J1221" s="65" t="n"/>
      <c r="K1221" s="65" t="n"/>
      <c r="L1221" s="65" t="n"/>
      <c r="M1221" s="65" t="n"/>
      <c r="N1221" s="65" t="n"/>
      <c r="O1221" s="65" t="n"/>
      <c r="P1221" s="65" t="n"/>
      <c r="Q1221" s="65" t="n"/>
      <c r="R1221" s="65" t="n"/>
      <c r="S1221" s="65" t="n"/>
      <c r="T1221" s="65" t="n"/>
      <c r="U1221" s="65" t="n"/>
      <c r="V1221" s="65" t="n"/>
      <c r="W1221" s="65" t="n"/>
      <c r="X1221" s="65" t="n"/>
      <c r="Y1221" s="32">
        <f>IF($C1221="","",IF(COUNTA($I1221:$K1221)&lt;3,"— חסרים נתונים",IF(AND($I1221="תקין",$J1221="תקין",$K1221="תקין"),"רהוטה",IF(AND($I1221="תקין",$J1221="תקין"),"מדויקת ורציפה","אינה מדויקת או מקוטעת"))))</f>
        <v/>
      </c>
      <c r="Z1221" s="32">
        <f>IF($C1221="","",IF(COUNTA($U1221:$W1221)&lt;3,"",IF(AND($U1221="מפותח",$V1221="מפותח",$W1221="מפותחת"),"מפותחת",IF((--($U1221="דל"))+(--($V1221="אינו מפותח"))+(--($W1221="דלה"))&gt;=2,"אינה מפותחת","חלקית"))))</f>
        <v/>
      </c>
      <c r="AA1221" s="32">
        <f>IF($C1221="","",IF(COUNTA($M1221,$N1221,$O1221)&lt;3,"— חסרים נתונים",IF(OR($M1221="נמוכה",(--($M1221&lt;&gt;"תקינה"))+(--($N1221&lt;&gt;"תקין"))+(--($O1221&lt;&gt;"תקינה"))&gt;=2),"ניכרת","אינה ניכרת")))</f>
        <v/>
      </c>
      <c r="AB1221" s="32">
        <f>IF(OR($C1221="",$Y1221="",$AA1221="",LEFT($Y1221,1)="—",LEFT($AA1221,1)="—"),"",IF($Z1221="","— נדרשת הערכת כתיבה",IF($L1221="","— חסרה הבנת הנקרא",IF($Y1221="אינה מדויקת או מקוטעת",IF($AA1221="ניכרת","מיקוד בשטף הקריאה ובכישורי שפה","מיקוד בשטף קריאה"),IF($AA1221="ניכרת","מיקוד בכישורי שפה",IF(AND($L1221="תקינה",$Z1221="מפותחת"),"קוראים וכותבים מיומנים","מיקוד בהבנה והבעה"))))))</f>
        <v/>
      </c>
      <c r="AC1221" s="32">
        <f>IF(OR($AB1221="",LEFT($AB1221,1)="—"),"",IF(OR($AB1221="מיקוד בשטף קריאה",$AB1221="מיקוד בשטף הקריאה ובכישורי שפה"),"רמה א'",IF($AB1221="קוראים וכותבים מיומנים","רמה ג'","רמה ב'")))</f>
        <v/>
      </c>
      <c r="AD1221" s="32">
        <f>IF($AC1221="","",MID(IF(AND($AC1221="רמה א'",$AA1221="ניכרת"),"; להוסיף עבודת אוצר מילים","")&amp;IF($Z1221="אינה מפותחת","; דגש על הבעה בכתב","")&amp;IF($K1221&lt;&gt;"תקין","; נדרש לעבוד על ההנגנה","")&amp;IF($AK1221&lt;&gt;"","; "&amp;$AK1221,""),3,400))</f>
        <v/>
      </c>
      <c r="AE1221" s="32">
        <f>IF($F1221="","",IF($F1221="תחילת שנה",1,IF($F1221="מחצית שנה",2,3)))</f>
        <v/>
      </c>
      <c r="AF1221" s="32">
        <f>IF(OR($B1221="",$AC1221="",$A1221="",$F1221=""),"",$B1221&amp;"|"&amp;$A1221&amp;"|"&amp;$F1221&amp;"|"&amp;$AC1221&amp;"|"&amp;COUNTIFS($B$6:$B1221,$B1221,$A$6:$A1221,$A1221,$F$6:$F1221,$F1221,$AC$6:$AC1221,$AC1221))</f>
        <v/>
      </c>
      <c r="AG1221" s="32">
        <f>IF($C1221="","",$C1221&amp;"|"&amp;COUNTIFS($C$6:$C1221,$C1221))</f>
        <v/>
      </c>
      <c r="AH1221" s="32">
        <f>IF(OR($C1221="",$A1221="",$AE1221=""),"",$C1221&amp;"|"&amp;$A1221&amp;"|"&amp;$AE1221)</f>
        <v/>
      </c>
      <c r="AI1221" s="32">
        <f>IF(OR($C1221="",$AE1221="",$AE1221=1),"",IFERROR(INDEX($AC$6:$AC$1505,MATCH($C1221&amp;"|"&amp;$A1221&amp;"|"&amp;($AE1221-1),$AH$6:$AH$1505,0)),""))</f>
        <v/>
      </c>
      <c r="AJ1221" s="32">
        <f>IF(OR($AI1221="",$AC1221=""),"",IF($AI1221=$AC1221,"ללא שינוי","מ-"&amp;$AI1221&amp;" ל-"&amp;$AC1221))</f>
        <v/>
      </c>
      <c r="AK1221" s="67" t="n"/>
    </row>
    <row r="1222">
      <c r="A1222" s="65" t="n"/>
      <c r="B1222" s="65" t="n"/>
      <c r="C1222" s="66" t="n"/>
      <c r="D1222" s="66" t="n"/>
      <c r="E1222" s="65" t="n"/>
      <c r="F1222" s="65" t="n"/>
      <c r="G1222" s="65" t="n"/>
      <c r="H1222" s="65" t="n"/>
      <c r="I1222" s="65" t="n"/>
      <c r="J1222" s="65" t="n"/>
      <c r="K1222" s="65" t="n"/>
      <c r="L1222" s="65" t="n"/>
      <c r="M1222" s="65" t="n"/>
      <c r="N1222" s="65" t="n"/>
      <c r="O1222" s="65" t="n"/>
      <c r="P1222" s="65" t="n"/>
      <c r="Q1222" s="65" t="n"/>
      <c r="R1222" s="65" t="n"/>
      <c r="S1222" s="65" t="n"/>
      <c r="T1222" s="65" t="n"/>
      <c r="U1222" s="65" t="n"/>
      <c r="V1222" s="65" t="n"/>
      <c r="W1222" s="65" t="n"/>
      <c r="X1222" s="65" t="n"/>
      <c r="Y1222" s="32">
        <f>IF($C1222="","",IF(COUNTA($I1222:$K1222)&lt;3,"— חסרים נתונים",IF(AND($I1222="תקין",$J1222="תקין",$K1222="תקין"),"רהוטה",IF(AND($I1222="תקין",$J1222="תקין"),"מדויקת ורציפה","אינה מדויקת או מקוטעת"))))</f>
        <v/>
      </c>
      <c r="Z1222" s="32">
        <f>IF($C1222="","",IF(COUNTA($U1222:$W1222)&lt;3,"",IF(AND($U1222="מפותח",$V1222="מפותח",$W1222="מפותחת"),"מפותחת",IF((--($U1222="דל"))+(--($V1222="אינו מפותח"))+(--($W1222="דלה"))&gt;=2,"אינה מפותחת","חלקית"))))</f>
        <v/>
      </c>
      <c r="AA1222" s="32">
        <f>IF($C1222="","",IF(COUNTA($M1222,$N1222,$O1222)&lt;3,"— חסרים נתונים",IF(OR($M1222="נמוכה",(--($M1222&lt;&gt;"תקינה"))+(--($N1222&lt;&gt;"תקין"))+(--($O1222&lt;&gt;"תקינה"))&gt;=2),"ניכרת","אינה ניכרת")))</f>
        <v/>
      </c>
      <c r="AB1222" s="32">
        <f>IF(OR($C1222="",$Y1222="",$AA1222="",LEFT($Y1222,1)="—",LEFT($AA1222,1)="—"),"",IF($Z1222="","— נדרשת הערכת כתיבה",IF($L1222="","— חסרה הבנת הנקרא",IF($Y1222="אינה מדויקת או מקוטעת",IF($AA1222="ניכרת","מיקוד בשטף הקריאה ובכישורי שפה","מיקוד בשטף קריאה"),IF($AA1222="ניכרת","מיקוד בכישורי שפה",IF(AND($L1222="תקינה",$Z1222="מפותחת"),"קוראים וכותבים מיומנים","מיקוד בהבנה והבעה"))))))</f>
        <v/>
      </c>
      <c r="AC1222" s="32">
        <f>IF(OR($AB1222="",LEFT($AB1222,1)="—"),"",IF(OR($AB1222="מיקוד בשטף קריאה",$AB1222="מיקוד בשטף הקריאה ובכישורי שפה"),"רמה א'",IF($AB1222="קוראים וכותבים מיומנים","רמה ג'","רמה ב'")))</f>
        <v/>
      </c>
      <c r="AD1222" s="32">
        <f>IF($AC1222="","",MID(IF(AND($AC1222="רמה א'",$AA1222="ניכרת"),"; להוסיף עבודת אוצר מילים","")&amp;IF($Z1222="אינה מפותחת","; דגש על הבעה בכתב","")&amp;IF($K1222&lt;&gt;"תקין","; נדרש לעבוד על ההנגנה","")&amp;IF($AK1222&lt;&gt;"","; "&amp;$AK1222,""),3,400))</f>
        <v/>
      </c>
      <c r="AE1222" s="32">
        <f>IF($F1222="","",IF($F1222="תחילת שנה",1,IF($F1222="מחצית שנה",2,3)))</f>
        <v/>
      </c>
      <c r="AF1222" s="32">
        <f>IF(OR($B1222="",$AC1222="",$A1222="",$F1222=""),"",$B1222&amp;"|"&amp;$A1222&amp;"|"&amp;$F1222&amp;"|"&amp;$AC1222&amp;"|"&amp;COUNTIFS($B$6:$B1222,$B1222,$A$6:$A1222,$A1222,$F$6:$F1222,$F1222,$AC$6:$AC1222,$AC1222))</f>
        <v/>
      </c>
      <c r="AG1222" s="32">
        <f>IF($C1222="","",$C1222&amp;"|"&amp;COUNTIFS($C$6:$C1222,$C1222))</f>
        <v/>
      </c>
      <c r="AH1222" s="32">
        <f>IF(OR($C1222="",$A1222="",$AE1222=""),"",$C1222&amp;"|"&amp;$A1222&amp;"|"&amp;$AE1222)</f>
        <v/>
      </c>
      <c r="AI1222" s="32">
        <f>IF(OR($C1222="",$AE1222="",$AE1222=1),"",IFERROR(INDEX($AC$6:$AC$1505,MATCH($C1222&amp;"|"&amp;$A1222&amp;"|"&amp;($AE1222-1),$AH$6:$AH$1505,0)),""))</f>
        <v/>
      </c>
      <c r="AJ1222" s="32">
        <f>IF(OR($AI1222="",$AC1222=""),"",IF($AI1222=$AC1222,"ללא שינוי","מ-"&amp;$AI1222&amp;" ל-"&amp;$AC1222))</f>
        <v/>
      </c>
      <c r="AK1222" s="67" t="n"/>
    </row>
    <row r="1223">
      <c r="A1223" s="65" t="n"/>
      <c r="B1223" s="65" t="n"/>
      <c r="C1223" s="66" t="n"/>
      <c r="D1223" s="66" t="n"/>
      <c r="E1223" s="65" t="n"/>
      <c r="F1223" s="65" t="n"/>
      <c r="G1223" s="65" t="n"/>
      <c r="H1223" s="65" t="n"/>
      <c r="I1223" s="65" t="n"/>
      <c r="J1223" s="65" t="n"/>
      <c r="K1223" s="65" t="n"/>
      <c r="L1223" s="65" t="n"/>
      <c r="M1223" s="65" t="n"/>
      <c r="N1223" s="65" t="n"/>
      <c r="O1223" s="65" t="n"/>
      <c r="P1223" s="65" t="n"/>
      <c r="Q1223" s="65" t="n"/>
      <c r="R1223" s="65" t="n"/>
      <c r="S1223" s="65" t="n"/>
      <c r="T1223" s="65" t="n"/>
      <c r="U1223" s="65" t="n"/>
      <c r="V1223" s="65" t="n"/>
      <c r="W1223" s="65" t="n"/>
      <c r="X1223" s="65" t="n"/>
      <c r="Y1223" s="32">
        <f>IF($C1223="","",IF(COUNTA($I1223:$K1223)&lt;3,"— חסרים נתונים",IF(AND($I1223="תקין",$J1223="תקין",$K1223="תקין"),"רהוטה",IF(AND($I1223="תקין",$J1223="תקין"),"מדויקת ורציפה","אינה מדויקת או מקוטעת"))))</f>
        <v/>
      </c>
      <c r="Z1223" s="32">
        <f>IF($C1223="","",IF(COUNTA($U1223:$W1223)&lt;3,"",IF(AND($U1223="מפותח",$V1223="מפותח",$W1223="מפותחת"),"מפותחת",IF((--($U1223="דל"))+(--($V1223="אינו מפותח"))+(--($W1223="דלה"))&gt;=2,"אינה מפותחת","חלקית"))))</f>
        <v/>
      </c>
      <c r="AA1223" s="32">
        <f>IF($C1223="","",IF(COUNTA($M1223,$N1223,$O1223)&lt;3,"— חסרים נתונים",IF(OR($M1223="נמוכה",(--($M1223&lt;&gt;"תקינה"))+(--($N1223&lt;&gt;"תקין"))+(--($O1223&lt;&gt;"תקינה"))&gt;=2),"ניכרת","אינה ניכרת")))</f>
        <v/>
      </c>
      <c r="AB1223" s="32">
        <f>IF(OR($C1223="",$Y1223="",$AA1223="",LEFT($Y1223,1)="—",LEFT($AA1223,1)="—"),"",IF($Z1223="","— נדרשת הערכת כתיבה",IF($L1223="","— חסרה הבנת הנקרא",IF($Y1223="אינה מדויקת או מקוטעת",IF($AA1223="ניכרת","מיקוד בשטף הקריאה ובכישורי שפה","מיקוד בשטף קריאה"),IF($AA1223="ניכרת","מיקוד בכישורי שפה",IF(AND($L1223="תקינה",$Z1223="מפותחת"),"קוראים וכותבים מיומנים","מיקוד בהבנה והבעה"))))))</f>
        <v/>
      </c>
      <c r="AC1223" s="32">
        <f>IF(OR($AB1223="",LEFT($AB1223,1)="—"),"",IF(OR($AB1223="מיקוד בשטף קריאה",$AB1223="מיקוד בשטף הקריאה ובכישורי שפה"),"רמה א'",IF($AB1223="קוראים וכותבים מיומנים","רמה ג'","רמה ב'")))</f>
        <v/>
      </c>
      <c r="AD1223" s="32">
        <f>IF($AC1223="","",MID(IF(AND($AC1223="רמה א'",$AA1223="ניכרת"),"; להוסיף עבודת אוצר מילים","")&amp;IF($Z1223="אינה מפותחת","; דגש על הבעה בכתב","")&amp;IF($K1223&lt;&gt;"תקין","; נדרש לעבוד על ההנגנה","")&amp;IF($AK1223&lt;&gt;"","; "&amp;$AK1223,""),3,400))</f>
        <v/>
      </c>
      <c r="AE1223" s="32">
        <f>IF($F1223="","",IF($F1223="תחילת שנה",1,IF($F1223="מחצית שנה",2,3)))</f>
        <v/>
      </c>
      <c r="AF1223" s="32">
        <f>IF(OR($B1223="",$AC1223="",$A1223="",$F1223=""),"",$B1223&amp;"|"&amp;$A1223&amp;"|"&amp;$F1223&amp;"|"&amp;$AC1223&amp;"|"&amp;COUNTIFS($B$6:$B1223,$B1223,$A$6:$A1223,$A1223,$F$6:$F1223,$F1223,$AC$6:$AC1223,$AC1223))</f>
        <v/>
      </c>
      <c r="AG1223" s="32">
        <f>IF($C1223="","",$C1223&amp;"|"&amp;COUNTIFS($C$6:$C1223,$C1223))</f>
        <v/>
      </c>
      <c r="AH1223" s="32">
        <f>IF(OR($C1223="",$A1223="",$AE1223=""),"",$C1223&amp;"|"&amp;$A1223&amp;"|"&amp;$AE1223)</f>
        <v/>
      </c>
      <c r="AI1223" s="32">
        <f>IF(OR($C1223="",$AE1223="",$AE1223=1),"",IFERROR(INDEX($AC$6:$AC$1505,MATCH($C1223&amp;"|"&amp;$A1223&amp;"|"&amp;($AE1223-1),$AH$6:$AH$1505,0)),""))</f>
        <v/>
      </c>
      <c r="AJ1223" s="32">
        <f>IF(OR($AI1223="",$AC1223=""),"",IF($AI1223=$AC1223,"ללא שינוי","מ-"&amp;$AI1223&amp;" ל-"&amp;$AC1223))</f>
        <v/>
      </c>
      <c r="AK1223" s="67" t="n"/>
    </row>
    <row r="1224">
      <c r="A1224" s="65" t="n"/>
      <c r="B1224" s="65" t="n"/>
      <c r="C1224" s="66" t="n"/>
      <c r="D1224" s="66" t="n"/>
      <c r="E1224" s="65" t="n"/>
      <c r="F1224" s="65" t="n"/>
      <c r="G1224" s="65" t="n"/>
      <c r="H1224" s="65" t="n"/>
      <c r="I1224" s="65" t="n"/>
      <c r="J1224" s="65" t="n"/>
      <c r="K1224" s="65" t="n"/>
      <c r="L1224" s="65" t="n"/>
      <c r="M1224" s="65" t="n"/>
      <c r="N1224" s="65" t="n"/>
      <c r="O1224" s="65" t="n"/>
      <c r="P1224" s="65" t="n"/>
      <c r="Q1224" s="65" t="n"/>
      <c r="R1224" s="65" t="n"/>
      <c r="S1224" s="65" t="n"/>
      <c r="T1224" s="65" t="n"/>
      <c r="U1224" s="65" t="n"/>
      <c r="V1224" s="65" t="n"/>
      <c r="W1224" s="65" t="n"/>
      <c r="X1224" s="65" t="n"/>
      <c r="Y1224" s="32">
        <f>IF($C1224="","",IF(COUNTA($I1224:$K1224)&lt;3,"— חסרים נתונים",IF(AND($I1224="תקין",$J1224="תקין",$K1224="תקין"),"רהוטה",IF(AND($I1224="תקין",$J1224="תקין"),"מדויקת ורציפה","אינה מדויקת או מקוטעת"))))</f>
        <v/>
      </c>
      <c r="Z1224" s="32">
        <f>IF($C1224="","",IF(COUNTA($U1224:$W1224)&lt;3,"",IF(AND($U1224="מפותח",$V1224="מפותח",$W1224="מפותחת"),"מפותחת",IF((--($U1224="דל"))+(--($V1224="אינו מפותח"))+(--($W1224="דלה"))&gt;=2,"אינה מפותחת","חלקית"))))</f>
        <v/>
      </c>
      <c r="AA1224" s="32">
        <f>IF($C1224="","",IF(COUNTA($M1224,$N1224,$O1224)&lt;3,"— חסרים נתונים",IF(OR($M1224="נמוכה",(--($M1224&lt;&gt;"תקינה"))+(--($N1224&lt;&gt;"תקין"))+(--($O1224&lt;&gt;"תקינה"))&gt;=2),"ניכרת","אינה ניכרת")))</f>
        <v/>
      </c>
      <c r="AB1224" s="32">
        <f>IF(OR($C1224="",$Y1224="",$AA1224="",LEFT($Y1224,1)="—",LEFT($AA1224,1)="—"),"",IF($Z1224="","— נדרשת הערכת כתיבה",IF($L1224="","— חסרה הבנת הנקרא",IF($Y1224="אינה מדויקת או מקוטעת",IF($AA1224="ניכרת","מיקוד בשטף הקריאה ובכישורי שפה","מיקוד בשטף קריאה"),IF($AA1224="ניכרת","מיקוד בכישורי שפה",IF(AND($L1224="תקינה",$Z1224="מפותחת"),"קוראים וכותבים מיומנים","מיקוד בהבנה והבעה"))))))</f>
        <v/>
      </c>
      <c r="AC1224" s="32">
        <f>IF(OR($AB1224="",LEFT($AB1224,1)="—"),"",IF(OR($AB1224="מיקוד בשטף קריאה",$AB1224="מיקוד בשטף הקריאה ובכישורי שפה"),"רמה א'",IF($AB1224="קוראים וכותבים מיומנים","רמה ג'","רמה ב'")))</f>
        <v/>
      </c>
      <c r="AD1224" s="32">
        <f>IF($AC1224="","",MID(IF(AND($AC1224="רמה א'",$AA1224="ניכרת"),"; להוסיף עבודת אוצר מילים","")&amp;IF($Z1224="אינה מפותחת","; דגש על הבעה בכתב","")&amp;IF($K1224&lt;&gt;"תקין","; נדרש לעבוד על ההנגנה","")&amp;IF($AK1224&lt;&gt;"","; "&amp;$AK1224,""),3,400))</f>
        <v/>
      </c>
      <c r="AE1224" s="32">
        <f>IF($F1224="","",IF($F1224="תחילת שנה",1,IF($F1224="מחצית שנה",2,3)))</f>
        <v/>
      </c>
      <c r="AF1224" s="32">
        <f>IF(OR($B1224="",$AC1224="",$A1224="",$F1224=""),"",$B1224&amp;"|"&amp;$A1224&amp;"|"&amp;$F1224&amp;"|"&amp;$AC1224&amp;"|"&amp;COUNTIFS($B$6:$B1224,$B1224,$A$6:$A1224,$A1224,$F$6:$F1224,$F1224,$AC$6:$AC1224,$AC1224))</f>
        <v/>
      </c>
      <c r="AG1224" s="32">
        <f>IF($C1224="","",$C1224&amp;"|"&amp;COUNTIFS($C$6:$C1224,$C1224))</f>
        <v/>
      </c>
      <c r="AH1224" s="32">
        <f>IF(OR($C1224="",$A1224="",$AE1224=""),"",$C1224&amp;"|"&amp;$A1224&amp;"|"&amp;$AE1224)</f>
        <v/>
      </c>
      <c r="AI1224" s="32">
        <f>IF(OR($C1224="",$AE1224="",$AE1224=1),"",IFERROR(INDEX($AC$6:$AC$1505,MATCH($C1224&amp;"|"&amp;$A1224&amp;"|"&amp;($AE1224-1),$AH$6:$AH$1505,0)),""))</f>
        <v/>
      </c>
      <c r="AJ1224" s="32">
        <f>IF(OR($AI1224="",$AC1224=""),"",IF($AI1224=$AC1224,"ללא שינוי","מ-"&amp;$AI1224&amp;" ל-"&amp;$AC1224))</f>
        <v/>
      </c>
      <c r="AK1224" s="67" t="n"/>
    </row>
    <row r="1225">
      <c r="A1225" s="65" t="n"/>
      <c r="B1225" s="65" t="n"/>
      <c r="C1225" s="66" t="n"/>
      <c r="D1225" s="66" t="n"/>
      <c r="E1225" s="65" t="n"/>
      <c r="F1225" s="65" t="n"/>
      <c r="G1225" s="65" t="n"/>
      <c r="H1225" s="65" t="n"/>
      <c r="I1225" s="65" t="n"/>
      <c r="J1225" s="65" t="n"/>
      <c r="K1225" s="65" t="n"/>
      <c r="L1225" s="65" t="n"/>
      <c r="M1225" s="65" t="n"/>
      <c r="N1225" s="65" t="n"/>
      <c r="O1225" s="65" t="n"/>
      <c r="P1225" s="65" t="n"/>
      <c r="Q1225" s="65" t="n"/>
      <c r="R1225" s="65" t="n"/>
      <c r="S1225" s="65" t="n"/>
      <c r="T1225" s="65" t="n"/>
      <c r="U1225" s="65" t="n"/>
      <c r="V1225" s="65" t="n"/>
      <c r="W1225" s="65" t="n"/>
      <c r="X1225" s="65" t="n"/>
      <c r="Y1225" s="32">
        <f>IF($C1225="","",IF(COUNTA($I1225:$K1225)&lt;3,"— חסרים נתונים",IF(AND($I1225="תקין",$J1225="תקין",$K1225="תקין"),"רהוטה",IF(AND($I1225="תקין",$J1225="תקין"),"מדויקת ורציפה","אינה מדויקת או מקוטעת"))))</f>
        <v/>
      </c>
      <c r="Z1225" s="32">
        <f>IF($C1225="","",IF(COUNTA($U1225:$W1225)&lt;3,"",IF(AND($U1225="מפותח",$V1225="מפותח",$W1225="מפותחת"),"מפותחת",IF((--($U1225="דל"))+(--($V1225="אינו מפותח"))+(--($W1225="דלה"))&gt;=2,"אינה מפותחת","חלקית"))))</f>
        <v/>
      </c>
      <c r="AA1225" s="32">
        <f>IF($C1225="","",IF(COUNTA($M1225,$N1225,$O1225)&lt;3,"— חסרים נתונים",IF(OR($M1225="נמוכה",(--($M1225&lt;&gt;"תקינה"))+(--($N1225&lt;&gt;"תקין"))+(--($O1225&lt;&gt;"תקינה"))&gt;=2),"ניכרת","אינה ניכרת")))</f>
        <v/>
      </c>
      <c r="AB1225" s="32">
        <f>IF(OR($C1225="",$Y1225="",$AA1225="",LEFT($Y1225,1)="—",LEFT($AA1225,1)="—"),"",IF($Z1225="","— נדרשת הערכת כתיבה",IF($L1225="","— חסרה הבנת הנקרא",IF($Y1225="אינה מדויקת או מקוטעת",IF($AA1225="ניכרת","מיקוד בשטף הקריאה ובכישורי שפה","מיקוד בשטף קריאה"),IF($AA1225="ניכרת","מיקוד בכישורי שפה",IF(AND($L1225="תקינה",$Z1225="מפותחת"),"קוראים וכותבים מיומנים","מיקוד בהבנה והבעה"))))))</f>
        <v/>
      </c>
      <c r="AC1225" s="32">
        <f>IF(OR($AB1225="",LEFT($AB1225,1)="—"),"",IF(OR($AB1225="מיקוד בשטף קריאה",$AB1225="מיקוד בשטף הקריאה ובכישורי שפה"),"רמה א'",IF($AB1225="קוראים וכותבים מיומנים","רמה ג'","רמה ב'")))</f>
        <v/>
      </c>
      <c r="AD1225" s="32">
        <f>IF($AC1225="","",MID(IF(AND($AC1225="רמה א'",$AA1225="ניכרת"),"; להוסיף עבודת אוצר מילים","")&amp;IF($Z1225="אינה מפותחת","; דגש על הבעה בכתב","")&amp;IF($K1225&lt;&gt;"תקין","; נדרש לעבוד על ההנגנה","")&amp;IF($AK1225&lt;&gt;"","; "&amp;$AK1225,""),3,400))</f>
        <v/>
      </c>
      <c r="AE1225" s="32">
        <f>IF($F1225="","",IF($F1225="תחילת שנה",1,IF($F1225="מחצית שנה",2,3)))</f>
        <v/>
      </c>
      <c r="AF1225" s="32">
        <f>IF(OR($B1225="",$AC1225="",$A1225="",$F1225=""),"",$B1225&amp;"|"&amp;$A1225&amp;"|"&amp;$F1225&amp;"|"&amp;$AC1225&amp;"|"&amp;COUNTIFS($B$6:$B1225,$B1225,$A$6:$A1225,$A1225,$F$6:$F1225,$F1225,$AC$6:$AC1225,$AC1225))</f>
        <v/>
      </c>
      <c r="AG1225" s="32">
        <f>IF($C1225="","",$C1225&amp;"|"&amp;COUNTIFS($C$6:$C1225,$C1225))</f>
        <v/>
      </c>
      <c r="AH1225" s="32">
        <f>IF(OR($C1225="",$A1225="",$AE1225=""),"",$C1225&amp;"|"&amp;$A1225&amp;"|"&amp;$AE1225)</f>
        <v/>
      </c>
      <c r="AI1225" s="32">
        <f>IF(OR($C1225="",$AE1225="",$AE1225=1),"",IFERROR(INDEX($AC$6:$AC$1505,MATCH($C1225&amp;"|"&amp;$A1225&amp;"|"&amp;($AE1225-1),$AH$6:$AH$1505,0)),""))</f>
        <v/>
      </c>
      <c r="AJ1225" s="32">
        <f>IF(OR($AI1225="",$AC1225=""),"",IF($AI1225=$AC1225,"ללא שינוי","מ-"&amp;$AI1225&amp;" ל-"&amp;$AC1225))</f>
        <v/>
      </c>
      <c r="AK1225" s="67" t="n"/>
    </row>
    <row r="1226">
      <c r="A1226" s="65" t="n"/>
      <c r="B1226" s="65" t="n"/>
      <c r="C1226" s="66" t="n"/>
      <c r="D1226" s="66" t="n"/>
      <c r="E1226" s="65" t="n"/>
      <c r="F1226" s="65" t="n"/>
      <c r="G1226" s="65" t="n"/>
      <c r="H1226" s="65" t="n"/>
      <c r="I1226" s="65" t="n"/>
      <c r="J1226" s="65" t="n"/>
      <c r="K1226" s="65" t="n"/>
      <c r="L1226" s="65" t="n"/>
      <c r="M1226" s="65" t="n"/>
      <c r="N1226" s="65" t="n"/>
      <c r="O1226" s="65" t="n"/>
      <c r="P1226" s="65" t="n"/>
      <c r="Q1226" s="65" t="n"/>
      <c r="R1226" s="65" t="n"/>
      <c r="S1226" s="65" t="n"/>
      <c r="T1226" s="65" t="n"/>
      <c r="U1226" s="65" t="n"/>
      <c r="V1226" s="65" t="n"/>
      <c r="W1226" s="65" t="n"/>
      <c r="X1226" s="65" t="n"/>
      <c r="Y1226" s="32">
        <f>IF($C1226="","",IF(COUNTA($I1226:$K1226)&lt;3,"— חסרים נתונים",IF(AND($I1226="תקין",$J1226="תקין",$K1226="תקין"),"רהוטה",IF(AND($I1226="תקין",$J1226="תקין"),"מדויקת ורציפה","אינה מדויקת או מקוטעת"))))</f>
        <v/>
      </c>
      <c r="Z1226" s="32">
        <f>IF($C1226="","",IF(COUNTA($U1226:$W1226)&lt;3,"",IF(AND($U1226="מפותח",$V1226="מפותח",$W1226="מפותחת"),"מפותחת",IF((--($U1226="דל"))+(--($V1226="אינו מפותח"))+(--($W1226="דלה"))&gt;=2,"אינה מפותחת","חלקית"))))</f>
        <v/>
      </c>
      <c r="AA1226" s="32">
        <f>IF($C1226="","",IF(COUNTA($M1226,$N1226,$O1226)&lt;3,"— חסרים נתונים",IF(OR($M1226="נמוכה",(--($M1226&lt;&gt;"תקינה"))+(--($N1226&lt;&gt;"תקין"))+(--($O1226&lt;&gt;"תקינה"))&gt;=2),"ניכרת","אינה ניכרת")))</f>
        <v/>
      </c>
      <c r="AB1226" s="32">
        <f>IF(OR($C1226="",$Y1226="",$AA1226="",LEFT($Y1226,1)="—",LEFT($AA1226,1)="—"),"",IF($Z1226="","— נדרשת הערכת כתיבה",IF($L1226="","— חסרה הבנת הנקרא",IF($Y1226="אינה מדויקת או מקוטעת",IF($AA1226="ניכרת","מיקוד בשטף הקריאה ובכישורי שפה","מיקוד בשטף קריאה"),IF($AA1226="ניכרת","מיקוד בכישורי שפה",IF(AND($L1226="תקינה",$Z1226="מפותחת"),"קוראים וכותבים מיומנים","מיקוד בהבנה והבעה"))))))</f>
        <v/>
      </c>
      <c r="AC1226" s="32">
        <f>IF(OR($AB1226="",LEFT($AB1226,1)="—"),"",IF(OR($AB1226="מיקוד בשטף קריאה",$AB1226="מיקוד בשטף הקריאה ובכישורי שפה"),"רמה א'",IF($AB1226="קוראים וכותבים מיומנים","רמה ג'","רמה ב'")))</f>
        <v/>
      </c>
      <c r="AD1226" s="32">
        <f>IF($AC1226="","",MID(IF(AND($AC1226="רמה א'",$AA1226="ניכרת"),"; להוסיף עבודת אוצר מילים","")&amp;IF($Z1226="אינה מפותחת","; דגש על הבעה בכתב","")&amp;IF($K1226&lt;&gt;"תקין","; נדרש לעבוד על ההנגנה","")&amp;IF($AK1226&lt;&gt;"","; "&amp;$AK1226,""),3,400))</f>
        <v/>
      </c>
      <c r="AE1226" s="32">
        <f>IF($F1226="","",IF($F1226="תחילת שנה",1,IF($F1226="מחצית שנה",2,3)))</f>
        <v/>
      </c>
      <c r="AF1226" s="32">
        <f>IF(OR($B1226="",$AC1226="",$A1226="",$F1226=""),"",$B1226&amp;"|"&amp;$A1226&amp;"|"&amp;$F1226&amp;"|"&amp;$AC1226&amp;"|"&amp;COUNTIFS($B$6:$B1226,$B1226,$A$6:$A1226,$A1226,$F$6:$F1226,$F1226,$AC$6:$AC1226,$AC1226))</f>
        <v/>
      </c>
      <c r="AG1226" s="32">
        <f>IF($C1226="","",$C1226&amp;"|"&amp;COUNTIFS($C$6:$C1226,$C1226))</f>
        <v/>
      </c>
      <c r="AH1226" s="32">
        <f>IF(OR($C1226="",$A1226="",$AE1226=""),"",$C1226&amp;"|"&amp;$A1226&amp;"|"&amp;$AE1226)</f>
        <v/>
      </c>
      <c r="AI1226" s="32">
        <f>IF(OR($C1226="",$AE1226="",$AE1226=1),"",IFERROR(INDEX($AC$6:$AC$1505,MATCH($C1226&amp;"|"&amp;$A1226&amp;"|"&amp;($AE1226-1),$AH$6:$AH$1505,0)),""))</f>
        <v/>
      </c>
      <c r="AJ1226" s="32">
        <f>IF(OR($AI1226="",$AC1226=""),"",IF($AI1226=$AC1226,"ללא שינוי","מ-"&amp;$AI1226&amp;" ל-"&amp;$AC1226))</f>
        <v/>
      </c>
      <c r="AK1226" s="67" t="n"/>
    </row>
    <row r="1227">
      <c r="A1227" s="65" t="n"/>
      <c r="B1227" s="65" t="n"/>
      <c r="C1227" s="66" t="n"/>
      <c r="D1227" s="66" t="n"/>
      <c r="E1227" s="65" t="n"/>
      <c r="F1227" s="65" t="n"/>
      <c r="G1227" s="65" t="n"/>
      <c r="H1227" s="65" t="n"/>
      <c r="I1227" s="65" t="n"/>
      <c r="J1227" s="65" t="n"/>
      <c r="K1227" s="65" t="n"/>
      <c r="L1227" s="65" t="n"/>
      <c r="M1227" s="65" t="n"/>
      <c r="N1227" s="65" t="n"/>
      <c r="O1227" s="65" t="n"/>
      <c r="P1227" s="65" t="n"/>
      <c r="Q1227" s="65" t="n"/>
      <c r="R1227" s="65" t="n"/>
      <c r="S1227" s="65" t="n"/>
      <c r="T1227" s="65" t="n"/>
      <c r="U1227" s="65" t="n"/>
      <c r="V1227" s="65" t="n"/>
      <c r="W1227" s="65" t="n"/>
      <c r="X1227" s="65" t="n"/>
      <c r="Y1227" s="32">
        <f>IF($C1227="","",IF(COUNTA($I1227:$K1227)&lt;3,"— חסרים נתונים",IF(AND($I1227="תקין",$J1227="תקין",$K1227="תקין"),"רהוטה",IF(AND($I1227="תקין",$J1227="תקין"),"מדויקת ורציפה","אינה מדויקת או מקוטעת"))))</f>
        <v/>
      </c>
      <c r="Z1227" s="32">
        <f>IF($C1227="","",IF(COUNTA($U1227:$W1227)&lt;3,"",IF(AND($U1227="מפותח",$V1227="מפותח",$W1227="מפותחת"),"מפותחת",IF((--($U1227="דל"))+(--($V1227="אינו מפותח"))+(--($W1227="דלה"))&gt;=2,"אינה מפותחת","חלקית"))))</f>
        <v/>
      </c>
      <c r="AA1227" s="32">
        <f>IF($C1227="","",IF(COUNTA($M1227,$N1227,$O1227)&lt;3,"— חסרים נתונים",IF(OR($M1227="נמוכה",(--($M1227&lt;&gt;"תקינה"))+(--($N1227&lt;&gt;"תקין"))+(--($O1227&lt;&gt;"תקינה"))&gt;=2),"ניכרת","אינה ניכרת")))</f>
        <v/>
      </c>
      <c r="AB1227" s="32">
        <f>IF(OR($C1227="",$Y1227="",$AA1227="",LEFT($Y1227,1)="—",LEFT($AA1227,1)="—"),"",IF($Z1227="","— נדרשת הערכת כתיבה",IF($L1227="","— חסרה הבנת הנקרא",IF($Y1227="אינה מדויקת או מקוטעת",IF($AA1227="ניכרת","מיקוד בשטף הקריאה ובכישורי שפה","מיקוד בשטף קריאה"),IF($AA1227="ניכרת","מיקוד בכישורי שפה",IF(AND($L1227="תקינה",$Z1227="מפותחת"),"קוראים וכותבים מיומנים","מיקוד בהבנה והבעה"))))))</f>
        <v/>
      </c>
      <c r="AC1227" s="32">
        <f>IF(OR($AB1227="",LEFT($AB1227,1)="—"),"",IF(OR($AB1227="מיקוד בשטף קריאה",$AB1227="מיקוד בשטף הקריאה ובכישורי שפה"),"רמה א'",IF($AB1227="קוראים וכותבים מיומנים","רמה ג'","רמה ב'")))</f>
        <v/>
      </c>
      <c r="AD1227" s="32">
        <f>IF($AC1227="","",MID(IF(AND($AC1227="רמה א'",$AA1227="ניכרת"),"; להוסיף עבודת אוצר מילים","")&amp;IF($Z1227="אינה מפותחת","; דגש על הבעה בכתב","")&amp;IF($K1227&lt;&gt;"תקין","; נדרש לעבוד על ההנגנה","")&amp;IF($AK1227&lt;&gt;"","; "&amp;$AK1227,""),3,400))</f>
        <v/>
      </c>
      <c r="AE1227" s="32">
        <f>IF($F1227="","",IF($F1227="תחילת שנה",1,IF($F1227="מחצית שנה",2,3)))</f>
        <v/>
      </c>
      <c r="AF1227" s="32">
        <f>IF(OR($B1227="",$AC1227="",$A1227="",$F1227=""),"",$B1227&amp;"|"&amp;$A1227&amp;"|"&amp;$F1227&amp;"|"&amp;$AC1227&amp;"|"&amp;COUNTIFS($B$6:$B1227,$B1227,$A$6:$A1227,$A1227,$F$6:$F1227,$F1227,$AC$6:$AC1227,$AC1227))</f>
        <v/>
      </c>
      <c r="AG1227" s="32">
        <f>IF($C1227="","",$C1227&amp;"|"&amp;COUNTIFS($C$6:$C1227,$C1227))</f>
        <v/>
      </c>
      <c r="AH1227" s="32">
        <f>IF(OR($C1227="",$A1227="",$AE1227=""),"",$C1227&amp;"|"&amp;$A1227&amp;"|"&amp;$AE1227)</f>
        <v/>
      </c>
      <c r="AI1227" s="32">
        <f>IF(OR($C1227="",$AE1227="",$AE1227=1),"",IFERROR(INDEX($AC$6:$AC$1505,MATCH($C1227&amp;"|"&amp;$A1227&amp;"|"&amp;($AE1227-1),$AH$6:$AH$1505,0)),""))</f>
        <v/>
      </c>
      <c r="AJ1227" s="32">
        <f>IF(OR($AI1227="",$AC1227=""),"",IF($AI1227=$AC1227,"ללא שינוי","מ-"&amp;$AI1227&amp;" ל-"&amp;$AC1227))</f>
        <v/>
      </c>
      <c r="AK1227" s="67" t="n"/>
    </row>
    <row r="1228">
      <c r="A1228" s="65" t="n"/>
      <c r="B1228" s="65" t="n"/>
      <c r="C1228" s="66" t="n"/>
      <c r="D1228" s="66" t="n"/>
      <c r="E1228" s="65" t="n"/>
      <c r="F1228" s="65" t="n"/>
      <c r="G1228" s="65" t="n"/>
      <c r="H1228" s="65" t="n"/>
      <c r="I1228" s="65" t="n"/>
      <c r="J1228" s="65" t="n"/>
      <c r="K1228" s="65" t="n"/>
      <c r="L1228" s="65" t="n"/>
      <c r="M1228" s="65" t="n"/>
      <c r="N1228" s="65" t="n"/>
      <c r="O1228" s="65" t="n"/>
      <c r="P1228" s="65" t="n"/>
      <c r="Q1228" s="65" t="n"/>
      <c r="R1228" s="65" t="n"/>
      <c r="S1228" s="65" t="n"/>
      <c r="T1228" s="65" t="n"/>
      <c r="U1228" s="65" t="n"/>
      <c r="V1228" s="65" t="n"/>
      <c r="W1228" s="65" t="n"/>
      <c r="X1228" s="65" t="n"/>
      <c r="Y1228" s="32">
        <f>IF($C1228="","",IF(COUNTA($I1228:$K1228)&lt;3,"— חסרים נתונים",IF(AND($I1228="תקין",$J1228="תקין",$K1228="תקין"),"רהוטה",IF(AND($I1228="תקין",$J1228="תקין"),"מדויקת ורציפה","אינה מדויקת או מקוטעת"))))</f>
        <v/>
      </c>
      <c r="Z1228" s="32">
        <f>IF($C1228="","",IF(COUNTA($U1228:$W1228)&lt;3,"",IF(AND($U1228="מפותח",$V1228="מפותח",$W1228="מפותחת"),"מפותחת",IF((--($U1228="דל"))+(--($V1228="אינו מפותח"))+(--($W1228="דלה"))&gt;=2,"אינה מפותחת","חלקית"))))</f>
        <v/>
      </c>
      <c r="AA1228" s="32">
        <f>IF($C1228="","",IF(COUNTA($M1228,$N1228,$O1228)&lt;3,"— חסרים נתונים",IF(OR($M1228="נמוכה",(--($M1228&lt;&gt;"תקינה"))+(--($N1228&lt;&gt;"תקין"))+(--($O1228&lt;&gt;"תקינה"))&gt;=2),"ניכרת","אינה ניכרת")))</f>
        <v/>
      </c>
      <c r="AB1228" s="32">
        <f>IF(OR($C1228="",$Y1228="",$AA1228="",LEFT($Y1228,1)="—",LEFT($AA1228,1)="—"),"",IF($Z1228="","— נדרשת הערכת כתיבה",IF($L1228="","— חסרה הבנת הנקרא",IF($Y1228="אינה מדויקת או מקוטעת",IF($AA1228="ניכרת","מיקוד בשטף הקריאה ובכישורי שפה","מיקוד בשטף קריאה"),IF($AA1228="ניכרת","מיקוד בכישורי שפה",IF(AND($L1228="תקינה",$Z1228="מפותחת"),"קוראים וכותבים מיומנים","מיקוד בהבנה והבעה"))))))</f>
        <v/>
      </c>
      <c r="AC1228" s="32">
        <f>IF(OR($AB1228="",LEFT($AB1228,1)="—"),"",IF(OR($AB1228="מיקוד בשטף קריאה",$AB1228="מיקוד בשטף הקריאה ובכישורי שפה"),"רמה א'",IF($AB1228="קוראים וכותבים מיומנים","רמה ג'","רמה ב'")))</f>
        <v/>
      </c>
      <c r="AD1228" s="32">
        <f>IF($AC1228="","",MID(IF(AND($AC1228="רמה א'",$AA1228="ניכרת"),"; להוסיף עבודת אוצר מילים","")&amp;IF($Z1228="אינה מפותחת","; דגש על הבעה בכתב","")&amp;IF($K1228&lt;&gt;"תקין","; נדרש לעבוד על ההנגנה","")&amp;IF($AK1228&lt;&gt;"","; "&amp;$AK1228,""),3,400))</f>
        <v/>
      </c>
      <c r="AE1228" s="32">
        <f>IF($F1228="","",IF($F1228="תחילת שנה",1,IF($F1228="מחצית שנה",2,3)))</f>
        <v/>
      </c>
      <c r="AF1228" s="32">
        <f>IF(OR($B1228="",$AC1228="",$A1228="",$F1228=""),"",$B1228&amp;"|"&amp;$A1228&amp;"|"&amp;$F1228&amp;"|"&amp;$AC1228&amp;"|"&amp;COUNTIFS($B$6:$B1228,$B1228,$A$6:$A1228,$A1228,$F$6:$F1228,$F1228,$AC$6:$AC1228,$AC1228))</f>
        <v/>
      </c>
      <c r="AG1228" s="32">
        <f>IF($C1228="","",$C1228&amp;"|"&amp;COUNTIFS($C$6:$C1228,$C1228))</f>
        <v/>
      </c>
      <c r="AH1228" s="32">
        <f>IF(OR($C1228="",$A1228="",$AE1228=""),"",$C1228&amp;"|"&amp;$A1228&amp;"|"&amp;$AE1228)</f>
        <v/>
      </c>
      <c r="AI1228" s="32">
        <f>IF(OR($C1228="",$AE1228="",$AE1228=1),"",IFERROR(INDEX($AC$6:$AC$1505,MATCH($C1228&amp;"|"&amp;$A1228&amp;"|"&amp;($AE1228-1),$AH$6:$AH$1505,0)),""))</f>
        <v/>
      </c>
      <c r="AJ1228" s="32">
        <f>IF(OR($AI1228="",$AC1228=""),"",IF($AI1228=$AC1228,"ללא שינוי","מ-"&amp;$AI1228&amp;" ל-"&amp;$AC1228))</f>
        <v/>
      </c>
      <c r="AK1228" s="67" t="n"/>
    </row>
    <row r="1229">
      <c r="A1229" s="65" t="n"/>
      <c r="B1229" s="65" t="n"/>
      <c r="C1229" s="66" t="n"/>
      <c r="D1229" s="66" t="n"/>
      <c r="E1229" s="65" t="n"/>
      <c r="F1229" s="65" t="n"/>
      <c r="G1229" s="65" t="n"/>
      <c r="H1229" s="65" t="n"/>
      <c r="I1229" s="65" t="n"/>
      <c r="J1229" s="65" t="n"/>
      <c r="K1229" s="65" t="n"/>
      <c r="L1229" s="65" t="n"/>
      <c r="M1229" s="65" t="n"/>
      <c r="N1229" s="65" t="n"/>
      <c r="O1229" s="65" t="n"/>
      <c r="P1229" s="65" t="n"/>
      <c r="Q1229" s="65" t="n"/>
      <c r="R1229" s="65" t="n"/>
      <c r="S1229" s="65" t="n"/>
      <c r="T1229" s="65" t="n"/>
      <c r="U1229" s="65" t="n"/>
      <c r="V1229" s="65" t="n"/>
      <c r="W1229" s="65" t="n"/>
      <c r="X1229" s="65" t="n"/>
      <c r="Y1229" s="32">
        <f>IF($C1229="","",IF(COUNTA($I1229:$K1229)&lt;3,"— חסרים נתונים",IF(AND($I1229="תקין",$J1229="תקין",$K1229="תקין"),"רהוטה",IF(AND($I1229="תקין",$J1229="תקין"),"מדויקת ורציפה","אינה מדויקת או מקוטעת"))))</f>
        <v/>
      </c>
      <c r="Z1229" s="32">
        <f>IF($C1229="","",IF(COUNTA($U1229:$W1229)&lt;3,"",IF(AND($U1229="מפותח",$V1229="מפותח",$W1229="מפותחת"),"מפותחת",IF((--($U1229="דל"))+(--($V1229="אינו מפותח"))+(--($W1229="דלה"))&gt;=2,"אינה מפותחת","חלקית"))))</f>
        <v/>
      </c>
      <c r="AA1229" s="32">
        <f>IF($C1229="","",IF(COUNTA($M1229,$N1229,$O1229)&lt;3,"— חסרים נתונים",IF(OR($M1229="נמוכה",(--($M1229&lt;&gt;"תקינה"))+(--($N1229&lt;&gt;"תקין"))+(--($O1229&lt;&gt;"תקינה"))&gt;=2),"ניכרת","אינה ניכרת")))</f>
        <v/>
      </c>
      <c r="AB1229" s="32">
        <f>IF(OR($C1229="",$Y1229="",$AA1229="",LEFT($Y1229,1)="—",LEFT($AA1229,1)="—"),"",IF($Z1229="","— נדרשת הערכת כתיבה",IF($L1229="","— חסרה הבנת הנקרא",IF($Y1229="אינה מדויקת או מקוטעת",IF($AA1229="ניכרת","מיקוד בשטף הקריאה ובכישורי שפה","מיקוד בשטף קריאה"),IF($AA1229="ניכרת","מיקוד בכישורי שפה",IF(AND($L1229="תקינה",$Z1229="מפותחת"),"קוראים וכותבים מיומנים","מיקוד בהבנה והבעה"))))))</f>
        <v/>
      </c>
      <c r="AC1229" s="32">
        <f>IF(OR($AB1229="",LEFT($AB1229,1)="—"),"",IF(OR($AB1229="מיקוד בשטף קריאה",$AB1229="מיקוד בשטף הקריאה ובכישורי שפה"),"רמה א'",IF($AB1229="קוראים וכותבים מיומנים","רמה ג'","רמה ב'")))</f>
        <v/>
      </c>
      <c r="AD1229" s="32">
        <f>IF($AC1229="","",MID(IF(AND($AC1229="רמה א'",$AA1229="ניכרת"),"; להוסיף עבודת אוצר מילים","")&amp;IF($Z1229="אינה מפותחת","; דגש על הבעה בכתב","")&amp;IF($K1229&lt;&gt;"תקין","; נדרש לעבוד על ההנגנה","")&amp;IF($AK1229&lt;&gt;"","; "&amp;$AK1229,""),3,400))</f>
        <v/>
      </c>
      <c r="AE1229" s="32">
        <f>IF($F1229="","",IF($F1229="תחילת שנה",1,IF($F1229="מחצית שנה",2,3)))</f>
        <v/>
      </c>
      <c r="AF1229" s="32">
        <f>IF(OR($B1229="",$AC1229="",$A1229="",$F1229=""),"",$B1229&amp;"|"&amp;$A1229&amp;"|"&amp;$F1229&amp;"|"&amp;$AC1229&amp;"|"&amp;COUNTIFS($B$6:$B1229,$B1229,$A$6:$A1229,$A1229,$F$6:$F1229,$F1229,$AC$6:$AC1229,$AC1229))</f>
        <v/>
      </c>
      <c r="AG1229" s="32">
        <f>IF($C1229="","",$C1229&amp;"|"&amp;COUNTIFS($C$6:$C1229,$C1229))</f>
        <v/>
      </c>
      <c r="AH1229" s="32">
        <f>IF(OR($C1229="",$A1229="",$AE1229=""),"",$C1229&amp;"|"&amp;$A1229&amp;"|"&amp;$AE1229)</f>
        <v/>
      </c>
      <c r="AI1229" s="32">
        <f>IF(OR($C1229="",$AE1229="",$AE1229=1),"",IFERROR(INDEX($AC$6:$AC$1505,MATCH($C1229&amp;"|"&amp;$A1229&amp;"|"&amp;($AE1229-1),$AH$6:$AH$1505,0)),""))</f>
        <v/>
      </c>
      <c r="AJ1229" s="32">
        <f>IF(OR($AI1229="",$AC1229=""),"",IF($AI1229=$AC1229,"ללא שינוי","מ-"&amp;$AI1229&amp;" ל-"&amp;$AC1229))</f>
        <v/>
      </c>
      <c r="AK1229" s="67" t="n"/>
    </row>
    <row r="1230">
      <c r="A1230" s="65" t="n"/>
      <c r="B1230" s="65" t="n"/>
      <c r="C1230" s="66" t="n"/>
      <c r="D1230" s="66" t="n"/>
      <c r="E1230" s="65" t="n"/>
      <c r="F1230" s="65" t="n"/>
      <c r="G1230" s="65" t="n"/>
      <c r="H1230" s="65" t="n"/>
      <c r="I1230" s="65" t="n"/>
      <c r="J1230" s="65" t="n"/>
      <c r="K1230" s="65" t="n"/>
      <c r="L1230" s="65" t="n"/>
      <c r="M1230" s="65" t="n"/>
      <c r="N1230" s="65" t="n"/>
      <c r="O1230" s="65" t="n"/>
      <c r="P1230" s="65" t="n"/>
      <c r="Q1230" s="65" t="n"/>
      <c r="R1230" s="65" t="n"/>
      <c r="S1230" s="65" t="n"/>
      <c r="T1230" s="65" t="n"/>
      <c r="U1230" s="65" t="n"/>
      <c r="V1230" s="65" t="n"/>
      <c r="W1230" s="65" t="n"/>
      <c r="X1230" s="65" t="n"/>
      <c r="Y1230" s="32">
        <f>IF($C1230="","",IF(COUNTA($I1230:$K1230)&lt;3,"— חסרים נתונים",IF(AND($I1230="תקין",$J1230="תקין",$K1230="תקין"),"רהוטה",IF(AND($I1230="תקין",$J1230="תקין"),"מדויקת ורציפה","אינה מדויקת או מקוטעת"))))</f>
        <v/>
      </c>
      <c r="Z1230" s="32">
        <f>IF($C1230="","",IF(COUNTA($U1230:$W1230)&lt;3,"",IF(AND($U1230="מפותח",$V1230="מפותח",$W1230="מפותחת"),"מפותחת",IF((--($U1230="דל"))+(--($V1230="אינו מפותח"))+(--($W1230="דלה"))&gt;=2,"אינה מפותחת","חלקית"))))</f>
        <v/>
      </c>
      <c r="AA1230" s="32">
        <f>IF($C1230="","",IF(COUNTA($M1230,$N1230,$O1230)&lt;3,"— חסרים נתונים",IF(OR($M1230="נמוכה",(--($M1230&lt;&gt;"תקינה"))+(--($N1230&lt;&gt;"תקין"))+(--($O1230&lt;&gt;"תקינה"))&gt;=2),"ניכרת","אינה ניכרת")))</f>
        <v/>
      </c>
      <c r="AB1230" s="32">
        <f>IF(OR($C1230="",$Y1230="",$AA1230="",LEFT($Y1230,1)="—",LEFT($AA1230,1)="—"),"",IF($Z1230="","— נדרשת הערכת כתיבה",IF($L1230="","— חסרה הבנת הנקרא",IF($Y1230="אינה מדויקת או מקוטעת",IF($AA1230="ניכרת","מיקוד בשטף הקריאה ובכישורי שפה","מיקוד בשטף קריאה"),IF($AA1230="ניכרת","מיקוד בכישורי שפה",IF(AND($L1230="תקינה",$Z1230="מפותחת"),"קוראים וכותבים מיומנים","מיקוד בהבנה והבעה"))))))</f>
        <v/>
      </c>
      <c r="AC1230" s="32">
        <f>IF(OR($AB1230="",LEFT($AB1230,1)="—"),"",IF(OR($AB1230="מיקוד בשטף קריאה",$AB1230="מיקוד בשטף הקריאה ובכישורי שפה"),"רמה א'",IF($AB1230="קוראים וכותבים מיומנים","רמה ג'","רמה ב'")))</f>
        <v/>
      </c>
      <c r="AD1230" s="32">
        <f>IF($AC1230="","",MID(IF(AND($AC1230="רמה א'",$AA1230="ניכרת"),"; להוסיף עבודת אוצר מילים","")&amp;IF($Z1230="אינה מפותחת","; דגש על הבעה בכתב","")&amp;IF($K1230&lt;&gt;"תקין","; נדרש לעבוד על ההנגנה","")&amp;IF($AK1230&lt;&gt;"","; "&amp;$AK1230,""),3,400))</f>
        <v/>
      </c>
      <c r="AE1230" s="32">
        <f>IF($F1230="","",IF($F1230="תחילת שנה",1,IF($F1230="מחצית שנה",2,3)))</f>
        <v/>
      </c>
      <c r="AF1230" s="32">
        <f>IF(OR($B1230="",$AC1230="",$A1230="",$F1230=""),"",$B1230&amp;"|"&amp;$A1230&amp;"|"&amp;$F1230&amp;"|"&amp;$AC1230&amp;"|"&amp;COUNTIFS($B$6:$B1230,$B1230,$A$6:$A1230,$A1230,$F$6:$F1230,$F1230,$AC$6:$AC1230,$AC1230))</f>
        <v/>
      </c>
      <c r="AG1230" s="32">
        <f>IF($C1230="","",$C1230&amp;"|"&amp;COUNTIFS($C$6:$C1230,$C1230))</f>
        <v/>
      </c>
      <c r="AH1230" s="32">
        <f>IF(OR($C1230="",$A1230="",$AE1230=""),"",$C1230&amp;"|"&amp;$A1230&amp;"|"&amp;$AE1230)</f>
        <v/>
      </c>
      <c r="AI1230" s="32">
        <f>IF(OR($C1230="",$AE1230="",$AE1230=1),"",IFERROR(INDEX($AC$6:$AC$1505,MATCH($C1230&amp;"|"&amp;$A1230&amp;"|"&amp;($AE1230-1),$AH$6:$AH$1505,0)),""))</f>
        <v/>
      </c>
      <c r="AJ1230" s="32">
        <f>IF(OR($AI1230="",$AC1230=""),"",IF($AI1230=$AC1230,"ללא שינוי","מ-"&amp;$AI1230&amp;" ל-"&amp;$AC1230))</f>
        <v/>
      </c>
      <c r="AK1230" s="67" t="n"/>
    </row>
    <row r="1231">
      <c r="A1231" s="65" t="n"/>
      <c r="B1231" s="65" t="n"/>
      <c r="C1231" s="66" t="n"/>
      <c r="D1231" s="66" t="n"/>
      <c r="E1231" s="65" t="n"/>
      <c r="F1231" s="65" t="n"/>
      <c r="G1231" s="65" t="n"/>
      <c r="H1231" s="65" t="n"/>
      <c r="I1231" s="65" t="n"/>
      <c r="J1231" s="65" t="n"/>
      <c r="K1231" s="65" t="n"/>
      <c r="L1231" s="65" t="n"/>
      <c r="M1231" s="65" t="n"/>
      <c r="N1231" s="65" t="n"/>
      <c r="O1231" s="65" t="n"/>
      <c r="P1231" s="65" t="n"/>
      <c r="Q1231" s="65" t="n"/>
      <c r="R1231" s="65" t="n"/>
      <c r="S1231" s="65" t="n"/>
      <c r="T1231" s="65" t="n"/>
      <c r="U1231" s="65" t="n"/>
      <c r="V1231" s="65" t="n"/>
      <c r="W1231" s="65" t="n"/>
      <c r="X1231" s="65" t="n"/>
      <c r="Y1231" s="32">
        <f>IF($C1231="","",IF(COUNTA($I1231:$K1231)&lt;3,"— חסרים נתונים",IF(AND($I1231="תקין",$J1231="תקין",$K1231="תקין"),"רהוטה",IF(AND($I1231="תקין",$J1231="תקין"),"מדויקת ורציפה","אינה מדויקת או מקוטעת"))))</f>
        <v/>
      </c>
      <c r="Z1231" s="32">
        <f>IF($C1231="","",IF(COUNTA($U1231:$W1231)&lt;3,"",IF(AND($U1231="מפותח",$V1231="מפותח",$W1231="מפותחת"),"מפותחת",IF((--($U1231="דל"))+(--($V1231="אינו מפותח"))+(--($W1231="דלה"))&gt;=2,"אינה מפותחת","חלקית"))))</f>
        <v/>
      </c>
      <c r="AA1231" s="32">
        <f>IF($C1231="","",IF(COUNTA($M1231,$N1231,$O1231)&lt;3,"— חסרים נתונים",IF(OR($M1231="נמוכה",(--($M1231&lt;&gt;"תקינה"))+(--($N1231&lt;&gt;"תקין"))+(--($O1231&lt;&gt;"תקינה"))&gt;=2),"ניכרת","אינה ניכרת")))</f>
        <v/>
      </c>
      <c r="AB1231" s="32">
        <f>IF(OR($C1231="",$Y1231="",$AA1231="",LEFT($Y1231,1)="—",LEFT($AA1231,1)="—"),"",IF($Z1231="","— נדרשת הערכת כתיבה",IF($L1231="","— חסרה הבנת הנקרא",IF($Y1231="אינה מדויקת או מקוטעת",IF($AA1231="ניכרת","מיקוד בשטף הקריאה ובכישורי שפה","מיקוד בשטף קריאה"),IF($AA1231="ניכרת","מיקוד בכישורי שפה",IF(AND($L1231="תקינה",$Z1231="מפותחת"),"קוראים וכותבים מיומנים","מיקוד בהבנה והבעה"))))))</f>
        <v/>
      </c>
      <c r="AC1231" s="32">
        <f>IF(OR($AB1231="",LEFT($AB1231,1)="—"),"",IF(OR($AB1231="מיקוד בשטף קריאה",$AB1231="מיקוד בשטף הקריאה ובכישורי שפה"),"רמה א'",IF($AB1231="קוראים וכותבים מיומנים","רמה ג'","רמה ב'")))</f>
        <v/>
      </c>
      <c r="AD1231" s="32">
        <f>IF($AC1231="","",MID(IF(AND($AC1231="רמה א'",$AA1231="ניכרת"),"; להוסיף עבודת אוצר מילים","")&amp;IF($Z1231="אינה מפותחת","; דגש על הבעה בכתב","")&amp;IF($K1231&lt;&gt;"תקין","; נדרש לעבוד על ההנגנה","")&amp;IF($AK1231&lt;&gt;"","; "&amp;$AK1231,""),3,400))</f>
        <v/>
      </c>
      <c r="AE1231" s="32">
        <f>IF($F1231="","",IF($F1231="תחילת שנה",1,IF($F1231="מחצית שנה",2,3)))</f>
        <v/>
      </c>
      <c r="AF1231" s="32">
        <f>IF(OR($B1231="",$AC1231="",$A1231="",$F1231=""),"",$B1231&amp;"|"&amp;$A1231&amp;"|"&amp;$F1231&amp;"|"&amp;$AC1231&amp;"|"&amp;COUNTIFS($B$6:$B1231,$B1231,$A$6:$A1231,$A1231,$F$6:$F1231,$F1231,$AC$6:$AC1231,$AC1231))</f>
        <v/>
      </c>
      <c r="AG1231" s="32">
        <f>IF($C1231="","",$C1231&amp;"|"&amp;COUNTIFS($C$6:$C1231,$C1231))</f>
        <v/>
      </c>
      <c r="AH1231" s="32">
        <f>IF(OR($C1231="",$A1231="",$AE1231=""),"",$C1231&amp;"|"&amp;$A1231&amp;"|"&amp;$AE1231)</f>
        <v/>
      </c>
      <c r="AI1231" s="32">
        <f>IF(OR($C1231="",$AE1231="",$AE1231=1),"",IFERROR(INDEX($AC$6:$AC$1505,MATCH($C1231&amp;"|"&amp;$A1231&amp;"|"&amp;($AE1231-1),$AH$6:$AH$1505,0)),""))</f>
        <v/>
      </c>
      <c r="AJ1231" s="32">
        <f>IF(OR($AI1231="",$AC1231=""),"",IF($AI1231=$AC1231,"ללא שינוי","מ-"&amp;$AI1231&amp;" ל-"&amp;$AC1231))</f>
        <v/>
      </c>
      <c r="AK1231" s="67" t="n"/>
    </row>
    <row r="1232">
      <c r="A1232" s="65" t="n"/>
      <c r="B1232" s="65" t="n"/>
      <c r="C1232" s="66" t="n"/>
      <c r="D1232" s="66" t="n"/>
      <c r="E1232" s="65" t="n"/>
      <c r="F1232" s="65" t="n"/>
      <c r="G1232" s="65" t="n"/>
      <c r="H1232" s="65" t="n"/>
      <c r="I1232" s="65" t="n"/>
      <c r="J1232" s="65" t="n"/>
      <c r="K1232" s="65" t="n"/>
      <c r="L1232" s="65" t="n"/>
      <c r="M1232" s="65" t="n"/>
      <c r="N1232" s="65" t="n"/>
      <c r="O1232" s="65" t="n"/>
      <c r="P1232" s="65" t="n"/>
      <c r="Q1232" s="65" t="n"/>
      <c r="R1232" s="65" t="n"/>
      <c r="S1232" s="65" t="n"/>
      <c r="T1232" s="65" t="n"/>
      <c r="U1232" s="65" t="n"/>
      <c r="V1232" s="65" t="n"/>
      <c r="W1232" s="65" t="n"/>
      <c r="X1232" s="65" t="n"/>
      <c r="Y1232" s="32">
        <f>IF($C1232="","",IF(COUNTA($I1232:$K1232)&lt;3,"— חסרים נתונים",IF(AND($I1232="תקין",$J1232="תקין",$K1232="תקין"),"רהוטה",IF(AND($I1232="תקין",$J1232="תקין"),"מדויקת ורציפה","אינה מדויקת או מקוטעת"))))</f>
        <v/>
      </c>
      <c r="Z1232" s="32">
        <f>IF($C1232="","",IF(COUNTA($U1232:$W1232)&lt;3,"",IF(AND($U1232="מפותח",$V1232="מפותח",$W1232="מפותחת"),"מפותחת",IF((--($U1232="דל"))+(--($V1232="אינו מפותח"))+(--($W1232="דלה"))&gt;=2,"אינה מפותחת","חלקית"))))</f>
        <v/>
      </c>
      <c r="AA1232" s="32">
        <f>IF($C1232="","",IF(COUNTA($M1232,$N1232,$O1232)&lt;3,"— חסרים נתונים",IF(OR($M1232="נמוכה",(--($M1232&lt;&gt;"תקינה"))+(--($N1232&lt;&gt;"תקין"))+(--($O1232&lt;&gt;"תקינה"))&gt;=2),"ניכרת","אינה ניכרת")))</f>
        <v/>
      </c>
      <c r="AB1232" s="32">
        <f>IF(OR($C1232="",$Y1232="",$AA1232="",LEFT($Y1232,1)="—",LEFT($AA1232,1)="—"),"",IF($Z1232="","— נדרשת הערכת כתיבה",IF($L1232="","— חסרה הבנת הנקרא",IF($Y1232="אינה מדויקת או מקוטעת",IF($AA1232="ניכרת","מיקוד בשטף הקריאה ובכישורי שפה","מיקוד בשטף קריאה"),IF($AA1232="ניכרת","מיקוד בכישורי שפה",IF(AND($L1232="תקינה",$Z1232="מפותחת"),"קוראים וכותבים מיומנים","מיקוד בהבנה והבעה"))))))</f>
        <v/>
      </c>
      <c r="AC1232" s="32">
        <f>IF(OR($AB1232="",LEFT($AB1232,1)="—"),"",IF(OR($AB1232="מיקוד בשטף קריאה",$AB1232="מיקוד בשטף הקריאה ובכישורי שפה"),"רמה א'",IF($AB1232="קוראים וכותבים מיומנים","רמה ג'","רמה ב'")))</f>
        <v/>
      </c>
      <c r="AD1232" s="32">
        <f>IF($AC1232="","",MID(IF(AND($AC1232="רמה א'",$AA1232="ניכרת"),"; להוסיף עבודת אוצר מילים","")&amp;IF($Z1232="אינה מפותחת","; דגש על הבעה בכתב","")&amp;IF($K1232&lt;&gt;"תקין","; נדרש לעבוד על ההנגנה","")&amp;IF($AK1232&lt;&gt;"","; "&amp;$AK1232,""),3,400))</f>
        <v/>
      </c>
      <c r="AE1232" s="32">
        <f>IF($F1232="","",IF($F1232="תחילת שנה",1,IF($F1232="מחצית שנה",2,3)))</f>
        <v/>
      </c>
      <c r="AF1232" s="32">
        <f>IF(OR($B1232="",$AC1232="",$A1232="",$F1232=""),"",$B1232&amp;"|"&amp;$A1232&amp;"|"&amp;$F1232&amp;"|"&amp;$AC1232&amp;"|"&amp;COUNTIFS($B$6:$B1232,$B1232,$A$6:$A1232,$A1232,$F$6:$F1232,$F1232,$AC$6:$AC1232,$AC1232))</f>
        <v/>
      </c>
      <c r="AG1232" s="32">
        <f>IF($C1232="","",$C1232&amp;"|"&amp;COUNTIFS($C$6:$C1232,$C1232))</f>
        <v/>
      </c>
      <c r="AH1232" s="32">
        <f>IF(OR($C1232="",$A1232="",$AE1232=""),"",$C1232&amp;"|"&amp;$A1232&amp;"|"&amp;$AE1232)</f>
        <v/>
      </c>
      <c r="AI1232" s="32">
        <f>IF(OR($C1232="",$AE1232="",$AE1232=1),"",IFERROR(INDEX($AC$6:$AC$1505,MATCH($C1232&amp;"|"&amp;$A1232&amp;"|"&amp;($AE1232-1),$AH$6:$AH$1505,0)),""))</f>
        <v/>
      </c>
      <c r="AJ1232" s="32">
        <f>IF(OR($AI1232="",$AC1232=""),"",IF($AI1232=$AC1232,"ללא שינוי","מ-"&amp;$AI1232&amp;" ל-"&amp;$AC1232))</f>
        <v/>
      </c>
      <c r="AK1232" s="67" t="n"/>
    </row>
    <row r="1233">
      <c r="A1233" s="65" t="n"/>
      <c r="B1233" s="65" t="n"/>
      <c r="C1233" s="66" t="n"/>
      <c r="D1233" s="66" t="n"/>
      <c r="E1233" s="65" t="n"/>
      <c r="F1233" s="65" t="n"/>
      <c r="G1233" s="65" t="n"/>
      <c r="H1233" s="65" t="n"/>
      <c r="I1233" s="65" t="n"/>
      <c r="J1233" s="65" t="n"/>
      <c r="K1233" s="65" t="n"/>
      <c r="L1233" s="65" t="n"/>
      <c r="M1233" s="65" t="n"/>
      <c r="N1233" s="65" t="n"/>
      <c r="O1233" s="65" t="n"/>
      <c r="P1233" s="65" t="n"/>
      <c r="Q1233" s="65" t="n"/>
      <c r="R1233" s="65" t="n"/>
      <c r="S1233" s="65" t="n"/>
      <c r="T1233" s="65" t="n"/>
      <c r="U1233" s="65" t="n"/>
      <c r="V1233" s="65" t="n"/>
      <c r="W1233" s="65" t="n"/>
      <c r="X1233" s="65" t="n"/>
      <c r="Y1233" s="32">
        <f>IF($C1233="","",IF(COUNTA($I1233:$K1233)&lt;3,"— חסרים נתונים",IF(AND($I1233="תקין",$J1233="תקין",$K1233="תקין"),"רהוטה",IF(AND($I1233="תקין",$J1233="תקין"),"מדויקת ורציפה","אינה מדויקת או מקוטעת"))))</f>
        <v/>
      </c>
      <c r="Z1233" s="32">
        <f>IF($C1233="","",IF(COUNTA($U1233:$W1233)&lt;3,"",IF(AND($U1233="מפותח",$V1233="מפותח",$W1233="מפותחת"),"מפותחת",IF((--($U1233="דל"))+(--($V1233="אינו מפותח"))+(--($W1233="דלה"))&gt;=2,"אינה מפותחת","חלקית"))))</f>
        <v/>
      </c>
      <c r="AA1233" s="32">
        <f>IF($C1233="","",IF(COUNTA($M1233,$N1233,$O1233)&lt;3,"— חסרים נתונים",IF(OR($M1233="נמוכה",(--($M1233&lt;&gt;"תקינה"))+(--($N1233&lt;&gt;"תקין"))+(--($O1233&lt;&gt;"תקינה"))&gt;=2),"ניכרת","אינה ניכרת")))</f>
        <v/>
      </c>
      <c r="AB1233" s="32">
        <f>IF(OR($C1233="",$Y1233="",$AA1233="",LEFT($Y1233,1)="—",LEFT($AA1233,1)="—"),"",IF($Z1233="","— נדרשת הערכת כתיבה",IF($L1233="","— חסרה הבנת הנקרא",IF($Y1233="אינה מדויקת או מקוטעת",IF($AA1233="ניכרת","מיקוד בשטף הקריאה ובכישורי שפה","מיקוד בשטף קריאה"),IF($AA1233="ניכרת","מיקוד בכישורי שפה",IF(AND($L1233="תקינה",$Z1233="מפותחת"),"קוראים וכותבים מיומנים","מיקוד בהבנה והבעה"))))))</f>
        <v/>
      </c>
      <c r="AC1233" s="32">
        <f>IF(OR($AB1233="",LEFT($AB1233,1)="—"),"",IF(OR($AB1233="מיקוד בשטף קריאה",$AB1233="מיקוד בשטף הקריאה ובכישורי שפה"),"רמה א'",IF($AB1233="קוראים וכותבים מיומנים","רמה ג'","רמה ב'")))</f>
        <v/>
      </c>
      <c r="AD1233" s="32">
        <f>IF($AC1233="","",MID(IF(AND($AC1233="רמה א'",$AA1233="ניכרת"),"; להוסיף עבודת אוצר מילים","")&amp;IF($Z1233="אינה מפותחת","; דגש על הבעה בכתב","")&amp;IF($K1233&lt;&gt;"תקין","; נדרש לעבוד על ההנגנה","")&amp;IF($AK1233&lt;&gt;"","; "&amp;$AK1233,""),3,400))</f>
        <v/>
      </c>
      <c r="AE1233" s="32">
        <f>IF($F1233="","",IF($F1233="תחילת שנה",1,IF($F1233="מחצית שנה",2,3)))</f>
        <v/>
      </c>
      <c r="AF1233" s="32">
        <f>IF(OR($B1233="",$AC1233="",$A1233="",$F1233=""),"",$B1233&amp;"|"&amp;$A1233&amp;"|"&amp;$F1233&amp;"|"&amp;$AC1233&amp;"|"&amp;COUNTIFS($B$6:$B1233,$B1233,$A$6:$A1233,$A1233,$F$6:$F1233,$F1233,$AC$6:$AC1233,$AC1233))</f>
        <v/>
      </c>
      <c r="AG1233" s="32">
        <f>IF($C1233="","",$C1233&amp;"|"&amp;COUNTIFS($C$6:$C1233,$C1233))</f>
        <v/>
      </c>
      <c r="AH1233" s="32">
        <f>IF(OR($C1233="",$A1233="",$AE1233=""),"",$C1233&amp;"|"&amp;$A1233&amp;"|"&amp;$AE1233)</f>
        <v/>
      </c>
      <c r="AI1233" s="32">
        <f>IF(OR($C1233="",$AE1233="",$AE1233=1),"",IFERROR(INDEX($AC$6:$AC$1505,MATCH($C1233&amp;"|"&amp;$A1233&amp;"|"&amp;($AE1233-1),$AH$6:$AH$1505,0)),""))</f>
        <v/>
      </c>
      <c r="AJ1233" s="32">
        <f>IF(OR($AI1233="",$AC1233=""),"",IF($AI1233=$AC1233,"ללא שינוי","מ-"&amp;$AI1233&amp;" ל-"&amp;$AC1233))</f>
        <v/>
      </c>
      <c r="AK1233" s="67" t="n"/>
    </row>
    <row r="1234">
      <c r="A1234" s="65" t="n"/>
      <c r="B1234" s="65" t="n"/>
      <c r="C1234" s="66" t="n"/>
      <c r="D1234" s="66" t="n"/>
      <c r="E1234" s="65" t="n"/>
      <c r="F1234" s="65" t="n"/>
      <c r="G1234" s="65" t="n"/>
      <c r="H1234" s="65" t="n"/>
      <c r="I1234" s="65" t="n"/>
      <c r="J1234" s="65" t="n"/>
      <c r="K1234" s="65" t="n"/>
      <c r="L1234" s="65" t="n"/>
      <c r="M1234" s="65" t="n"/>
      <c r="N1234" s="65" t="n"/>
      <c r="O1234" s="65" t="n"/>
      <c r="P1234" s="65" t="n"/>
      <c r="Q1234" s="65" t="n"/>
      <c r="R1234" s="65" t="n"/>
      <c r="S1234" s="65" t="n"/>
      <c r="T1234" s="65" t="n"/>
      <c r="U1234" s="65" t="n"/>
      <c r="V1234" s="65" t="n"/>
      <c r="W1234" s="65" t="n"/>
      <c r="X1234" s="65" t="n"/>
      <c r="Y1234" s="32">
        <f>IF($C1234="","",IF(COUNTA($I1234:$K1234)&lt;3,"— חסרים נתונים",IF(AND($I1234="תקין",$J1234="תקין",$K1234="תקין"),"רהוטה",IF(AND($I1234="תקין",$J1234="תקין"),"מדויקת ורציפה","אינה מדויקת או מקוטעת"))))</f>
        <v/>
      </c>
      <c r="Z1234" s="32">
        <f>IF($C1234="","",IF(COUNTA($U1234:$W1234)&lt;3,"",IF(AND($U1234="מפותח",$V1234="מפותח",$W1234="מפותחת"),"מפותחת",IF((--($U1234="דל"))+(--($V1234="אינו מפותח"))+(--($W1234="דלה"))&gt;=2,"אינה מפותחת","חלקית"))))</f>
        <v/>
      </c>
      <c r="AA1234" s="32">
        <f>IF($C1234="","",IF(COUNTA($M1234,$N1234,$O1234)&lt;3,"— חסרים נתונים",IF(OR($M1234="נמוכה",(--($M1234&lt;&gt;"תקינה"))+(--($N1234&lt;&gt;"תקין"))+(--($O1234&lt;&gt;"תקינה"))&gt;=2),"ניכרת","אינה ניכרת")))</f>
        <v/>
      </c>
      <c r="AB1234" s="32">
        <f>IF(OR($C1234="",$Y1234="",$AA1234="",LEFT($Y1234,1)="—",LEFT($AA1234,1)="—"),"",IF($Z1234="","— נדרשת הערכת כתיבה",IF($L1234="","— חסרה הבנת הנקרא",IF($Y1234="אינה מדויקת או מקוטעת",IF($AA1234="ניכרת","מיקוד בשטף הקריאה ובכישורי שפה","מיקוד בשטף קריאה"),IF($AA1234="ניכרת","מיקוד בכישורי שפה",IF(AND($L1234="תקינה",$Z1234="מפותחת"),"קוראים וכותבים מיומנים","מיקוד בהבנה והבעה"))))))</f>
        <v/>
      </c>
      <c r="AC1234" s="32">
        <f>IF(OR($AB1234="",LEFT($AB1234,1)="—"),"",IF(OR($AB1234="מיקוד בשטף קריאה",$AB1234="מיקוד בשטף הקריאה ובכישורי שפה"),"רמה א'",IF($AB1234="קוראים וכותבים מיומנים","רמה ג'","רמה ב'")))</f>
        <v/>
      </c>
      <c r="AD1234" s="32">
        <f>IF($AC1234="","",MID(IF(AND($AC1234="רמה א'",$AA1234="ניכרת"),"; להוסיף עבודת אוצר מילים","")&amp;IF($Z1234="אינה מפותחת","; דגש על הבעה בכתב","")&amp;IF($K1234&lt;&gt;"תקין","; נדרש לעבוד על ההנגנה","")&amp;IF($AK1234&lt;&gt;"","; "&amp;$AK1234,""),3,400))</f>
        <v/>
      </c>
      <c r="AE1234" s="32">
        <f>IF($F1234="","",IF($F1234="תחילת שנה",1,IF($F1234="מחצית שנה",2,3)))</f>
        <v/>
      </c>
      <c r="AF1234" s="32">
        <f>IF(OR($B1234="",$AC1234="",$A1234="",$F1234=""),"",$B1234&amp;"|"&amp;$A1234&amp;"|"&amp;$F1234&amp;"|"&amp;$AC1234&amp;"|"&amp;COUNTIFS($B$6:$B1234,$B1234,$A$6:$A1234,$A1234,$F$6:$F1234,$F1234,$AC$6:$AC1234,$AC1234))</f>
        <v/>
      </c>
      <c r="AG1234" s="32">
        <f>IF($C1234="","",$C1234&amp;"|"&amp;COUNTIFS($C$6:$C1234,$C1234))</f>
        <v/>
      </c>
      <c r="AH1234" s="32">
        <f>IF(OR($C1234="",$A1234="",$AE1234=""),"",$C1234&amp;"|"&amp;$A1234&amp;"|"&amp;$AE1234)</f>
        <v/>
      </c>
      <c r="AI1234" s="32">
        <f>IF(OR($C1234="",$AE1234="",$AE1234=1),"",IFERROR(INDEX($AC$6:$AC$1505,MATCH($C1234&amp;"|"&amp;$A1234&amp;"|"&amp;($AE1234-1),$AH$6:$AH$1505,0)),""))</f>
        <v/>
      </c>
      <c r="AJ1234" s="32">
        <f>IF(OR($AI1234="",$AC1234=""),"",IF($AI1234=$AC1234,"ללא שינוי","מ-"&amp;$AI1234&amp;" ל-"&amp;$AC1234))</f>
        <v/>
      </c>
      <c r="AK1234" s="67" t="n"/>
    </row>
    <row r="1235">
      <c r="A1235" s="65" t="n"/>
      <c r="B1235" s="65" t="n"/>
      <c r="C1235" s="66" t="n"/>
      <c r="D1235" s="66" t="n"/>
      <c r="E1235" s="65" t="n"/>
      <c r="F1235" s="65" t="n"/>
      <c r="G1235" s="65" t="n"/>
      <c r="H1235" s="65" t="n"/>
      <c r="I1235" s="65" t="n"/>
      <c r="J1235" s="65" t="n"/>
      <c r="K1235" s="65" t="n"/>
      <c r="L1235" s="65" t="n"/>
      <c r="M1235" s="65" t="n"/>
      <c r="N1235" s="65" t="n"/>
      <c r="O1235" s="65" t="n"/>
      <c r="P1235" s="65" t="n"/>
      <c r="Q1235" s="65" t="n"/>
      <c r="R1235" s="65" t="n"/>
      <c r="S1235" s="65" t="n"/>
      <c r="T1235" s="65" t="n"/>
      <c r="U1235" s="65" t="n"/>
      <c r="V1235" s="65" t="n"/>
      <c r="W1235" s="65" t="n"/>
      <c r="X1235" s="65" t="n"/>
      <c r="Y1235" s="32">
        <f>IF($C1235="","",IF(COUNTA($I1235:$K1235)&lt;3,"— חסרים נתונים",IF(AND($I1235="תקין",$J1235="תקין",$K1235="תקין"),"רהוטה",IF(AND($I1235="תקין",$J1235="תקין"),"מדויקת ורציפה","אינה מדויקת או מקוטעת"))))</f>
        <v/>
      </c>
      <c r="Z1235" s="32">
        <f>IF($C1235="","",IF(COUNTA($U1235:$W1235)&lt;3,"",IF(AND($U1235="מפותח",$V1235="מפותח",$W1235="מפותחת"),"מפותחת",IF((--($U1235="דל"))+(--($V1235="אינו מפותח"))+(--($W1235="דלה"))&gt;=2,"אינה מפותחת","חלקית"))))</f>
        <v/>
      </c>
      <c r="AA1235" s="32">
        <f>IF($C1235="","",IF(COUNTA($M1235,$N1235,$O1235)&lt;3,"— חסרים נתונים",IF(OR($M1235="נמוכה",(--($M1235&lt;&gt;"תקינה"))+(--($N1235&lt;&gt;"תקין"))+(--($O1235&lt;&gt;"תקינה"))&gt;=2),"ניכרת","אינה ניכרת")))</f>
        <v/>
      </c>
      <c r="AB1235" s="32">
        <f>IF(OR($C1235="",$Y1235="",$AA1235="",LEFT($Y1235,1)="—",LEFT($AA1235,1)="—"),"",IF($Z1235="","— נדרשת הערכת כתיבה",IF($L1235="","— חסרה הבנת הנקרא",IF($Y1235="אינה מדויקת או מקוטעת",IF($AA1235="ניכרת","מיקוד בשטף הקריאה ובכישורי שפה","מיקוד בשטף קריאה"),IF($AA1235="ניכרת","מיקוד בכישורי שפה",IF(AND($L1235="תקינה",$Z1235="מפותחת"),"קוראים וכותבים מיומנים","מיקוד בהבנה והבעה"))))))</f>
        <v/>
      </c>
      <c r="AC1235" s="32">
        <f>IF(OR($AB1235="",LEFT($AB1235,1)="—"),"",IF(OR($AB1235="מיקוד בשטף קריאה",$AB1235="מיקוד בשטף הקריאה ובכישורי שפה"),"רמה א'",IF($AB1235="קוראים וכותבים מיומנים","רמה ג'","רמה ב'")))</f>
        <v/>
      </c>
      <c r="AD1235" s="32">
        <f>IF($AC1235="","",MID(IF(AND($AC1235="רמה א'",$AA1235="ניכרת"),"; להוסיף עבודת אוצר מילים","")&amp;IF($Z1235="אינה מפותחת","; דגש על הבעה בכתב","")&amp;IF($K1235&lt;&gt;"תקין","; נדרש לעבוד על ההנגנה","")&amp;IF($AK1235&lt;&gt;"","; "&amp;$AK1235,""),3,400))</f>
        <v/>
      </c>
      <c r="AE1235" s="32">
        <f>IF($F1235="","",IF($F1235="תחילת שנה",1,IF($F1235="מחצית שנה",2,3)))</f>
        <v/>
      </c>
      <c r="AF1235" s="32">
        <f>IF(OR($B1235="",$AC1235="",$A1235="",$F1235=""),"",$B1235&amp;"|"&amp;$A1235&amp;"|"&amp;$F1235&amp;"|"&amp;$AC1235&amp;"|"&amp;COUNTIFS($B$6:$B1235,$B1235,$A$6:$A1235,$A1235,$F$6:$F1235,$F1235,$AC$6:$AC1235,$AC1235))</f>
        <v/>
      </c>
      <c r="AG1235" s="32">
        <f>IF($C1235="","",$C1235&amp;"|"&amp;COUNTIFS($C$6:$C1235,$C1235))</f>
        <v/>
      </c>
      <c r="AH1235" s="32">
        <f>IF(OR($C1235="",$A1235="",$AE1235=""),"",$C1235&amp;"|"&amp;$A1235&amp;"|"&amp;$AE1235)</f>
        <v/>
      </c>
      <c r="AI1235" s="32">
        <f>IF(OR($C1235="",$AE1235="",$AE1235=1),"",IFERROR(INDEX($AC$6:$AC$1505,MATCH($C1235&amp;"|"&amp;$A1235&amp;"|"&amp;($AE1235-1),$AH$6:$AH$1505,0)),""))</f>
        <v/>
      </c>
      <c r="AJ1235" s="32">
        <f>IF(OR($AI1235="",$AC1235=""),"",IF($AI1235=$AC1235,"ללא שינוי","מ-"&amp;$AI1235&amp;" ל-"&amp;$AC1235))</f>
        <v/>
      </c>
      <c r="AK1235" s="67" t="n"/>
    </row>
    <row r="1236">
      <c r="A1236" s="65" t="n"/>
      <c r="B1236" s="65" t="n"/>
      <c r="C1236" s="66" t="n"/>
      <c r="D1236" s="66" t="n"/>
      <c r="E1236" s="65" t="n"/>
      <c r="F1236" s="65" t="n"/>
      <c r="G1236" s="65" t="n"/>
      <c r="H1236" s="65" t="n"/>
      <c r="I1236" s="65" t="n"/>
      <c r="J1236" s="65" t="n"/>
      <c r="K1236" s="65" t="n"/>
      <c r="L1236" s="65" t="n"/>
      <c r="M1236" s="65" t="n"/>
      <c r="N1236" s="65" t="n"/>
      <c r="O1236" s="65" t="n"/>
      <c r="P1236" s="65" t="n"/>
      <c r="Q1236" s="65" t="n"/>
      <c r="R1236" s="65" t="n"/>
      <c r="S1236" s="65" t="n"/>
      <c r="T1236" s="65" t="n"/>
      <c r="U1236" s="65" t="n"/>
      <c r="V1236" s="65" t="n"/>
      <c r="W1236" s="65" t="n"/>
      <c r="X1236" s="65" t="n"/>
      <c r="Y1236" s="32">
        <f>IF($C1236="","",IF(COUNTA($I1236:$K1236)&lt;3,"— חסרים נתונים",IF(AND($I1236="תקין",$J1236="תקין",$K1236="תקין"),"רהוטה",IF(AND($I1236="תקין",$J1236="תקין"),"מדויקת ורציפה","אינה מדויקת או מקוטעת"))))</f>
        <v/>
      </c>
      <c r="Z1236" s="32">
        <f>IF($C1236="","",IF(COUNTA($U1236:$W1236)&lt;3,"",IF(AND($U1236="מפותח",$V1236="מפותח",$W1236="מפותחת"),"מפותחת",IF((--($U1236="דל"))+(--($V1236="אינו מפותח"))+(--($W1236="דלה"))&gt;=2,"אינה מפותחת","חלקית"))))</f>
        <v/>
      </c>
      <c r="AA1236" s="32">
        <f>IF($C1236="","",IF(COUNTA($M1236,$N1236,$O1236)&lt;3,"— חסרים נתונים",IF(OR($M1236="נמוכה",(--($M1236&lt;&gt;"תקינה"))+(--($N1236&lt;&gt;"תקין"))+(--($O1236&lt;&gt;"תקינה"))&gt;=2),"ניכרת","אינה ניכרת")))</f>
        <v/>
      </c>
      <c r="AB1236" s="32">
        <f>IF(OR($C1236="",$Y1236="",$AA1236="",LEFT($Y1236,1)="—",LEFT($AA1236,1)="—"),"",IF($Z1236="","— נדרשת הערכת כתיבה",IF($L1236="","— חסרה הבנת הנקרא",IF($Y1236="אינה מדויקת או מקוטעת",IF($AA1236="ניכרת","מיקוד בשטף הקריאה ובכישורי שפה","מיקוד בשטף קריאה"),IF($AA1236="ניכרת","מיקוד בכישורי שפה",IF(AND($L1236="תקינה",$Z1236="מפותחת"),"קוראים וכותבים מיומנים","מיקוד בהבנה והבעה"))))))</f>
        <v/>
      </c>
      <c r="AC1236" s="32">
        <f>IF(OR($AB1236="",LEFT($AB1236,1)="—"),"",IF(OR($AB1236="מיקוד בשטף קריאה",$AB1236="מיקוד בשטף הקריאה ובכישורי שפה"),"רמה א'",IF($AB1236="קוראים וכותבים מיומנים","רמה ג'","רמה ב'")))</f>
        <v/>
      </c>
      <c r="AD1236" s="32">
        <f>IF($AC1236="","",MID(IF(AND($AC1236="רמה א'",$AA1236="ניכרת"),"; להוסיף עבודת אוצר מילים","")&amp;IF($Z1236="אינה מפותחת","; דגש על הבעה בכתב","")&amp;IF($K1236&lt;&gt;"תקין","; נדרש לעבוד על ההנגנה","")&amp;IF($AK1236&lt;&gt;"","; "&amp;$AK1236,""),3,400))</f>
        <v/>
      </c>
      <c r="AE1236" s="32">
        <f>IF($F1236="","",IF($F1236="תחילת שנה",1,IF($F1236="מחצית שנה",2,3)))</f>
        <v/>
      </c>
      <c r="AF1236" s="32">
        <f>IF(OR($B1236="",$AC1236="",$A1236="",$F1236=""),"",$B1236&amp;"|"&amp;$A1236&amp;"|"&amp;$F1236&amp;"|"&amp;$AC1236&amp;"|"&amp;COUNTIFS($B$6:$B1236,$B1236,$A$6:$A1236,$A1236,$F$6:$F1236,$F1236,$AC$6:$AC1236,$AC1236))</f>
        <v/>
      </c>
      <c r="AG1236" s="32">
        <f>IF($C1236="","",$C1236&amp;"|"&amp;COUNTIFS($C$6:$C1236,$C1236))</f>
        <v/>
      </c>
      <c r="AH1236" s="32">
        <f>IF(OR($C1236="",$A1236="",$AE1236=""),"",$C1236&amp;"|"&amp;$A1236&amp;"|"&amp;$AE1236)</f>
        <v/>
      </c>
      <c r="AI1236" s="32">
        <f>IF(OR($C1236="",$AE1236="",$AE1236=1),"",IFERROR(INDEX($AC$6:$AC$1505,MATCH($C1236&amp;"|"&amp;$A1236&amp;"|"&amp;($AE1236-1),$AH$6:$AH$1505,0)),""))</f>
        <v/>
      </c>
      <c r="AJ1236" s="32">
        <f>IF(OR($AI1236="",$AC1236=""),"",IF($AI1236=$AC1236,"ללא שינוי","מ-"&amp;$AI1236&amp;" ל-"&amp;$AC1236))</f>
        <v/>
      </c>
      <c r="AK1236" s="67" t="n"/>
    </row>
    <row r="1237">
      <c r="A1237" s="65" t="n"/>
      <c r="B1237" s="65" t="n"/>
      <c r="C1237" s="66" t="n"/>
      <c r="D1237" s="66" t="n"/>
      <c r="E1237" s="65" t="n"/>
      <c r="F1237" s="65" t="n"/>
      <c r="G1237" s="65" t="n"/>
      <c r="H1237" s="65" t="n"/>
      <c r="I1237" s="65" t="n"/>
      <c r="J1237" s="65" t="n"/>
      <c r="K1237" s="65" t="n"/>
      <c r="L1237" s="65" t="n"/>
      <c r="M1237" s="65" t="n"/>
      <c r="N1237" s="65" t="n"/>
      <c r="O1237" s="65" t="n"/>
      <c r="P1237" s="65" t="n"/>
      <c r="Q1237" s="65" t="n"/>
      <c r="R1237" s="65" t="n"/>
      <c r="S1237" s="65" t="n"/>
      <c r="T1237" s="65" t="n"/>
      <c r="U1237" s="65" t="n"/>
      <c r="V1237" s="65" t="n"/>
      <c r="W1237" s="65" t="n"/>
      <c r="X1237" s="65" t="n"/>
      <c r="Y1237" s="32">
        <f>IF($C1237="","",IF(COUNTA($I1237:$K1237)&lt;3,"— חסרים נתונים",IF(AND($I1237="תקין",$J1237="תקין",$K1237="תקין"),"רהוטה",IF(AND($I1237="תקין",$J1237="תקין"),"מדויקת ורציפה","אינה מדויקת או מקוטעת"))))</f>
        <v/>
      </c>
      <c r="Z1237" s="32">
        <f>IF($C1237="","",IF(COUNTA($U1237:$W1237)&lt;3,"",IF(AND($U1237="מפותח",$V1237="מפותח",$W1237="מפותחת"),"מפותחת",IF((--($U1237="דל"))+(--($V1237="אינו מפותח"))+(--($W1237="דלה"))&gt;=2,"אינה מפותחת","חלקית"))))</f>
        <v/>
      </c>
      <c r="AA1237" s="32">
        <f>IF($C1237="","",IF(COUNTA($M1237,$N1237,$O1237)&lt;3,"— חסרים נתונים",IF(OR($M1237="נמוכה",(--($M1237&lt;&gt;"תקינה"))+(--($N1237&lt;&gt;"תקין"))+(--($O1237&lt;&gt;"תקינה"))&gt;=2),"ניכרת","אינה ניכרת")))</f>
        <v/>
      </c>
      <c r="AB1237" s="32">
        <f>IF(OR($C1237="",$Y1237="",$AA1237="",LEFT($Y1237,1)="—",LEFT($AA1237,1)="—"),"",IF($Z1237="","— נדרשת הערכת כתיבה",IF($L1237="","— חסרה הבנת הנקרא",IF($Y1237="אינה מדויקת או מקוטעת",IF($AA1237="ניכרת","מיקוד בשטף הקריאה ובכישורי שפה","מיקוד בשטף קריאה"),IF($AA1237="ניכרת","מיקוד בכישורי שפה",IF(AND($L1237="תקינה",$Z1237="מפותחת"),"קוראים וכותבים מיומנים","מיקוד בהבנה והבעה"))))))</f>
        <v/>
      </c>
      <c r="AC1237" s="32">
        <f>IF(OR($AB1237="",LEFT($AB1237,1)="—"),"",IF(OR($AB1237="מיקוד בשטף קריאה",$AB1237="מיקוד בשטף הקריאה ובכישורי שפה"),"רמה א'",IF($AB1237="קוראים וכותבים מיומנים","רמה ג'","רמה ב'")))</f>
        <v/>
      </c>
      <c r="AD1237" s="32">
        <f>IF($AC1237="","",MID(IF(AND($AC1237="רמה א'",$AA1237="ניכרת"),"; להוסיף עבודת אוצר מילים","")&amp;IF($Z1237="אינה מפותחת","; דגש על הבעה בכתב","")&amp;IF($K1237&lt;&gt;"תקין","; נדרש לעבוד על ההנגנה","")&amp;IF($AK1237&lt;&gt;"","; "&amp;$AK1237,""),3,400))</f>
        <v/>
      </c>
      <c r="AE1237" s="32">
        <f>IF($F1237="","",IF($F1237="תחילת שנה",1,IF($F1237="מחצית שנה",2,3)))</f>
        <v/>
      </c>
      <c r="AF1237" s="32">
        <f>IF(OR($B1237="",$AC1237="",$A1237="",$F1237=""),"",$B1237&amp;"|"&amp;$A1237&amp;"|"&amp;$F1237&amp;"|"&amp;$AC1237&amp;"|"&amp;COUNTIFS($B$6:$B1237,$B1237,$A$6:$A1237,$A1237,$F$6:$F1237,$F1237,$AC$6:$AC1237,$AC1237))</f>
        <v/>
      </c>
      <c r="AG1237" s="32">
        <f>IF($C1237="","",$C1237&amp;"|"&amp;COUNTIFS($C$6:$C1237,$C1237))</f>
        <v/>
      </c>
      <c r="AH1237" s="32">
        <f>IF(OR($C1237="",$A1237="",$AE1237=""),"",$C1237&amp;"|"&amp;$A1237&amp;"|"&amp;$AE1237)</f>
        <v/>
      </c>
      <c r="AI1237" s="32">
        <f>IF(OR($C1237="",$AE1237="",$AE1237=1),"",IFERROR(INDEX($AC$6:$AC$1505,MATCH($C1237&amp;"|"&amp;$A1237&amp;"|"&amp;($AE1237-1),$AH$6:$AH$1505,0)),""))</f>
        <v/>
      </c>
      <c r="AJ1237" s="32">
        <f>IF(OR($AI1237="",$AC1237=""),"",IF($AI1237=$AC1237,"ללא שינוי","מ-"&amp;$AI1237&amp;" ל-"&amp;$AC1237))</f>
        <v/>
      </c>
      <c r="AK1237" s="67" t="n"/>
    </row>
    <row r="1238">
      <c r="A1238" s="65" t="n"/>
      <c r="B1238" s="65" t="n"/>
      <c r="C1238" s="66" t="n"/>
      <c r="D1238" s="66" t="n"/>
      <c r="E1238" s="65" t="n"/>
      <c r="F1238" s="65" t="n"/>
      <c r="G1238" s="65" t="n"/>
      <c r="H1238" s="65" t="n"/>
      <c r="I1238" s="65" t="n"/>
      <c r="J1238" s="65" t="n"/>
      <c r="K1238" s="65" t="n"/>
      <c r="L1238" s="65" t="n"/>
      <c r="M1238" s="65" t="n"/>
      <c r="N1238" s="65" t="n"/>
      <c r="O1238" s="65" t="n"/>
      <c r="P1238" s="65" t="n"/>
      <c r="Q1238" s="65" t="n"/>
      <c r="R1238" s="65" t="n"/>
      <c r="S1238" s="65" t="n"/>
      <c r="T1238" s="65" t="n"/>
      <c r="U1238" s="65" t="n"/>
      <c r="V1238" s="65" t="n"/>
      <c r="W1238" s="65" t="n"/>
      <c r="X1238" s="65" t="n"/>
      <c r="Y1238" s="32">
        <f>IF($C1238="","",IF(COUNTA($I1238:$K1238)&lt;3,"— חסרים נתונים",IF(AND($I1238="תקין",$J1238="תקין",$K1238="תקין"),"רהוטה",IF(AND($I1238="תקין",$J1238="תקין"),"מדויקת ורציפה","אינה מדויקת או מקוטעת"))))</f>
        <v/>
      </c>
      <c r="Z1238" s="32">
        <f>IF($C1238="","",IF(COUNTA($U1238:$W1238)&lt;3,"",IF(AND($U1238="מפותח",$V1238="מפותח",$W1238="מפותחת"),"מפותחת",IF((--($U1238="דל"))+(--($V1238="אינו מפותח"))+(--($W1238="דלה"))&gt;=2,"אינה מפותחת","חלקית"))))</f>
        <v/>
      </c>
      <c r="AA1238" s="32">
        <f>IF($C1238="","",IF(COUNTA($M1238,$N1238,$O1238)&lt;3,"— חסרים נתונים",IF(OR($M1238="נמוכה",(--($M1238&lt;&gt;"תקינה"))+(--($N1238&lt;&gt;"תקין"))+(--($O1238&lt;&gt;"תקינה"))&gt;=2),"ניכרת","אינה ניכרת")))</f>
        <v/>
      </c>
      <c r="AB1238" s="32">
        <f>IF(OR($C1238="",$Y1238="",$AA1238="",LEFT($Y1238,1)="—",LEFT($AA1238,1)="—"),"",IF($Z1238="","— נדרשת הערכת כתיבה",IF($L1238="","— חסרה הבנת הנקרא",IF($Y1238="אינה מדויקת או מקוטעת",IF($AA1238="ניכרת","מיקוד בשטף הקריאה ובכישורי שפה","מיקוד בשטף קריאה"),IF($AA1238="ניכרת","מיקוד בכישורי שפה",IF(AND($L1238="תקינה",$Z1238="מפותחת"),"קוראים וכותבים מיומנים","מיקוד בהבנה והבעה"))))))</f>
        <v/>
      </c>
      <c r="AC1238" s="32">
        <f>IF(OR($AB1238="",LEFT($AB1238,1)="—"),"",IF(OR($AB1238="מיקוד בשטף קריאה",$AB1238="מיקוד בשטף הקריאה ובכישורי שפה"),"רמה א'",IF($AB1238="קוראים וכותבים מיומנים","רמה ג'","רמה ב'")))</f>
        <v/>
      </c>
      <c r="AD1238" s="32">
        <f>IF($AC1238="","",MID(IF(AND($AC1238="רמה א'",$AA1238="ניכרת"),"; להוסיף עבודת אוצר מילים","")&amp;IF($Z1238="אינה מפותחת","; דגש על הבעה בכתב","")&amp;IF($K1238&lt;&gt;"תקין","; נדרש לעבוד על ההנגנה","")&amp;IF($AK1238&lt;&gt;"","; "&amp;$AK1238,""),3,400))</f>
        <v/>
      </c>
      <c r="AE1238" s="32">
        <f>IF($F1238="","",IF($F1238="תחילת שנה",1,IF($F1238="מחצית שנה",2,3)))</f>
        <v/>
      </c>
      <c r="AF1238" s="32">
        <f>IF(OR($B1238="",$AC1238="",$A1238="",$F1238=""),"",$B1238&amp;"|"&amp;$A1238&amp;"|"&amp;$F1238&amp;"|"&amp;$AC1238&amp;"|"&amp;COUNTIFS($B$6:$B1238,$B1238,$A$6:$A1238,$A1238,$F$6:$F1238,$F1238,$AC$6:$AC1238,$AC1238))</f>
        <v/>
      </c>
      <c r="AG1238" s="32">
        <f>IF($C1238="","",$C1238&amp;"|"&amp;COUNTIFS($C$6:$C1238,$C1238))</f>
        <v/>
      </c>
      <c r="AH1238" s="32">
        <f>IF(OR($C1238="",$A1238="",$AE1238=""),"",$C1238&amp;"|"&amp;$A1238&amp;"|"&amp;$AE1238)</f>
        <v/>
      </c>
      <c r="AI1238" s="32">
        <f>IF(OR($C1238="",$AE1238="",$AE1238=1),"",IFERROR(INDEX($AC$6:$AC$1505,MATCH($C1238&amp;"|"&amp;$A1238&amp;"|"&amp;($AE1238-1),$AH$6:$AH$1505,0)),""))</f>
        <v/>
      </c>
      <c r="AJ1238" s="32">
        <f>IF(OR($AI1238="",$AC1238=""),"",IF($AI1238=$AC1238,"ללא שינוי","מ-"&amp;$AI1238&amp;" ל-"&amp;$AC1238))</f>
        <v/>
      </c>
      <c r="AK1238" s="67" t="n"/>
    </row>
    <row r="1239">
      <c r="A1239" s="65" t="n"/>
      <c r="B1239" s="65" t="n"/>
      <c r="C1239" s="66" t="n"/>
      <c r="D1239" s="66" t="n"/>
      <c r="E1239" s="65" t="n"/>
      <c r="F1239" s="65" t="n"/>
      <c r="G1239" s="65" t="n"/>
      <c r="H1239" s="65" t="n"/>
      <c r="I1239" s="65" t="n"/>
      <c r="J1239" s="65" t="n"/>
      <c r="K1239" s="65" t="n"/>
      <c r="L1239" s="65" t="n"/>
      <c r="M1239" s="65" t="n"/>
      <c r="N1239" s="65" t="n"/>
      <c r="O1239" s="65" t="n"/>
      <c r="P1239" s="65" t="n"/>
      <c r="Q1239" s="65" t="n"/>
      <c r="R1239" s="65" t="n"/>
      <c r="S1239" s="65" t="n"/>
      <c r="T1239" s="65" t="n"/>
      <c r="U1239" s="65" t="n"/>
      <c r="V1239" s="65" t="n"/>
      <c r="W1239" s="65" t="n"/>
      <c r="X1239" s="65" t="n"/>
      <c r="Y1239" s="32">
        <f>IF($C1239="","",IF(COUNTA($I1239:$K1239)&lt;3,"— חסרים נתונים",IF(AND($I1239="תקין",$J1239="תקין",$K1239="תקין"),"רהוטה",IF(AND($I1239="תקין",$J1239="תקין"),"מדויקת ורציפה","אינה מדויקת או מקוטעת"))))</f>
        <v/>
      </c>
      <c r="Z1239" s="32">
        <f>IF($C1239="","",IF(COUNTA($U1239:$W1239)&lt;3,"",IF(AND($U1239="מפותח",$V1239="מפותח",$W1239="מפותחת"),"מפותחת",IF((--($U1239="דל"))+(--($V1239="אינו מפותח"))+(--($W1239="דלה"))&gt;=2,"אינה מפותחת","חלקית"))))</f>
        <v/>
      </c>
      <c r="AA1239" s="32">
        <f>IF($C1239="","",IF(COUNTA($M1239,$N1239,$O1239)&lt;3,"— חסרים נתונים",IF(OR($M1239="נמוכה",(--($M1239&lt;&gt;"תקינה"))+(--($N1239&lt;&gt;"תקין"))+(--($O1239&lt;&gt;"תקינה"))&gt;=2),"ניכרת","אינה ניכרת")))</f>
        <v/>
      </c>
      <c r="AB1239" s="32">
        <f>IF(OR($C1239="",$Y1239="",$AA1239="",LEFT($Y1239,1)="—",LEFT($AA1239,1)="—"),"",IF($Z1239="","— נדרשת הערכת כתיבה",IF($L1239="","— חסרה הבנת הנקרא",IF($Y1239="אינה מדויקת או מקוטעת",IF($AA1239="ניכרת","מיקוד בשטף הקריאה ובכישורי שפה","מיקוד בשטף קריאה"),IF($AA1239="ניכרת","מיקוד בכישורי שפה",IF(AND($L1239="תקינה",$Z1239="מפותחת"),"קוראים וכותבים מיומנים","מיקוד בהבנה והבעה"))))))</f>
        <v/>
      </c>
      <c r="AC1239" s="32">
        <f>IF(OR($AB1239="",LEFT($AB1239,1)="—"),"",IF(OR($AB1239="מיקוד בשטף קריאה",$AB1239="מיקוד בשטף הקריאה ובכישורי שפה"),"רמה א'",IF($AB1239="קוראים וכותבים מיומנים","רמה ג'","רמה ב'")))</f>
        <v/>
      </c>
      <c r="AD1239" s="32">
        <f>IF($AC1239="","",MID(IF(AND($AC1239="רמה א'",$AA1239="ניכרת"),"; להוסיף עבודת אוצר מילים","")&amp;IF($Z1239="אינה מפותחת","; דגש על הבעה בכתב","")&amp;IF($K1239&lt;&gt;"תקין","; נדרש לעבוד על ההנגנה","")&amp;IF($AK1239&lt;&gt;"","; "&amp;$AK1239,""),3,400))</f>
        <v/>
      </c>
      <c r="AE1239" s="32">
        <f>IF($F1239="","",IF($F1239="תחילת שנה",1,IF($F1239="מחצית שנה",2,3)))</f>
        <v/>
      </c>
      <c r="AF1239" s="32">
        <f>IF(OR($B1239="",$AC1239="",$A1239="",$F1239=""),"",$B1239&amp;"|"&amp;$A1239&amp;"|"&amp;$F1239&amp;"|"&amp;$AC1239&amp;"|"&amp;COUNTIFS($B$6:$B1239,$B1239,$A$6:$A1239,$A1239,$F$6:$F1239,$F1239,$AC$6:$AC1239,$AC1239))</f>
        <v/>
      </c>
      <c r="AG1239" s="32">
        <f>IF($C1239="","",$C1239&amp;"|"&amp;COUNTIFS($C$6:$C1239,$C1239))</f>
        <v/>
      </c>
      <c r="AH1239" s="32">
        <f>IF(OR($C1239="",$A1239="",$AE1239=""),"",$C1239&amp;"|"&amp;$A1239&amp;"|"&amp;$AE1239)</f>
        <v/>
      </c>
      <c r="AI1239" s="32">
        <f>IF(OR($C1239="",$AE1239="",$AE1239=1),"",IFERROR(INDEX($AC$6:$AC$1505,MATCH($C1239&amp;"|"&amp;$A1239&amp;"|"&amp;($AE1239-1),$AH$6:$AH$1505,0)),""))</f>
        <v/>
      </c>
      <c r="AJ1239" s="32">
        <f>IF(OR($AI1239="",$AC1239=""),"",IF($AI1239=$AC1239,"ללא שינוי","מ-"&amp;$AI1239&amp;" ל-"&amp;$AC1239))</f>
        <v/>
      </c>
      <c r="AK1239" s="67" t="n"/>
    </row>
    <row r="1240">
      <c r="A1240" s="65" t="n"/>
      <c r="B1240" s="65" t="n"/>
      <c r="C1240" s="66" t="n"/>
      <c r="D1240" s="66" t="n"/>
      <c r="E1240" s="65" t="n"/>
      <c r="F1240" s="65" t="n"/>
      <c r="G1240" s="65" t="n"/>
      <c r="H1240" s="65" t="n"/>
      <c r="I1240" s="65" t="n"/>
      <c r="J1240" s="65" t="n"/>
      <c r="K1240" s="65" t="n"/>
      <c r="L1240" s="65" t="n"/>
      <c r="M1240" s="65" t="n"/>
      <c r="N1240" s="65" t="n"/>
      <c r="O1240" s="65" t="n"/>
      <c r="P1240" s="65" t="n"/>
      <c r="Q1240" s="65" t="n"/>
      <c r="R1240" s="65" t="n"/>
      <c r="S1240" s="65" t="n"/>
      <c r="T1240" s="65" t="n"/>
      <c r="U1240" s="65" t="n"/>
      <c r="V1240" s="65" t="n"/>
      <c r="W1240" s="65" t="n"/>
      <c r="X1240" s="65" t="n"/>
      <c r="Y1240" s="32">
        <f>IF($C1240="","",IF(COUNTA($I1240:$K1240)&lt;3,"— חסרים נתונים",IF(AND($I1240="תקין",$J1240="תקין",$K1240="תקין"),"רהוטה",IF(AND($I1240="תקין",$J1240="תקין"),"מדויקת ורציפה","אינה מדויקת או מקוטעת"))))</f>
        <v/>
      </c>
      <c r="Z1240" s="32">
        <f>IF($C1240="","",IF(COUNTA($U1240:$W1240)&lt;3,"",IF(AND($U1240="מפותח",$V1240="מפותח",$W1240="מפותחת"),"מפותחת",IF((--($U1240="דל"))+(--($V1240="אינו מפותח"))+(--($W1240="דלה"))&gt;=2,"אינה מפותחת","חלקית"))))</f>
        <v/>
      </c>
      <c r="AA1240" s="32">
        <f>IF($C1240="","",IF(COUNTA($M1240,$N1240,$O1240)&lt;3,"— חסרים נתונים",IF(OR($M1240="נמוכה",(--($M1240&lt;&gt;"תקינה"))+(--($N1240&lt;&gt;"תקין"))+(--($O1240&lt;&gt;"תקינה"))&gt;=2),"ניכרת","אינה ניכרת")))</f>
        <v/>
      </c>
      <c r="AB1240" s="32">
        <f>IF(OR($C1240="",$Y1240="",$AA1240="",LEFT($Y1240,1)="—",LEFT($AA1240,1)="—"),"",IF($Z1240="","— נדרשת הערכת כתיבה",IF($L1240="","— חסרה הבנת הנקרא",IF($Y1240="אינה מדויקת או מקוטעת",IF($AA1240="ניכרת","מיקוד בשטף הקריאה ובכישורי שפה","מיקוד בשטף קריאה"),IF($AA1240="ניכרת","מיקוד בכישורי שפה",IF(AND($L1240="תקינה",$Z1240="מפותחת"),"קוראים וכותבים מיומנים","מיקוד בהבנה והבעה"))))))</f>
        <v/>
      </c>
      <c r="AC1240" s="32">
        <f>IF(OR($AB1240="",LEFT($AB1240,1)="—"),"",IF(OR($AB1240="מיקוד בשטף קריאה",$AB1240="מיקוד בשטף הקריאה ובכישורי שפה"),"רמה א'",IF($AB1240="קוראים וכותבים מיומנים","רמה ג'","רמה ב'")))</f>
        <v/>
      </c>
      <c r="AD1240" s="32">
        <f>IF($AC1240="","",MID(IF(AND($AC1240="רמה א'",$AA1240="ניכרת"),"; להוסיף עבודת אוצר מילים","")&amp;IF($Z1240="אינה מפותחת","; דגש על הבעה בכתב","")&amp;IF($K1240&lt;&gt;"תקין","; נדרש לעבוד על ההנגנה","")&amp;IF($AK1240&lt;&gt;"","; "&amp;$AK1240,""),3,400))</f>
        <v/>
      </c>
      <c r="AE1240" s="32">
        <f>IF($F1240="","",IF($F1240="תחילת שנה",1,IF($F1240="מחצית שנה",2,3)))</f>
        <v/>
      </c>
      <c r="AF1240" s="32">
        <f>IF(OR($B1240="",$AC1240="",$A1240="",$F1240=""),"",$B1240&amp;"|"&amp;$A1240&amp;"|"&amp;$F1240&amp;"|"&amp;$AC1240&amp;"|"&amp;COUNTIFS($B$6:$B1240,$B1240,$A$6:$A1240,$A1240,$F$6:$F1240,$F1240,$AC$6:$AC1240,$AC1240))</f>
        <v/>
      </c>
      <c r="AG1240" s="32">
        <f>IF($C1240="","",$C1240&amp;"|"&amp;COUNTIFS($C$6:$C1240,$C1240))</f>
        <v/>
      </c>
      <c r="AH1240" s="32">
        <f>IF(OR($C1240="",$A1240="",$AE1240=""),"",$C1240&amp;"|"&amp;$A1240&amp;"|"&amp;$AE1240)</f>
        <v/>
      </c>
      <c r="AI1240" s="32">
        <f>IF(OR($C1240="",$AE1240="",$AE1240=1),"",IFERROR(INDEX($AC$6:$AC$1505,MATCH($C1240&amp;"|"&amp;$A1240&amp;"|"&amp;($AE1240-1),$AH$6:$AH$1505,0)),""))</f>
        <v/>
      </c>
      <c r="AJ1240" s="32">
        <f>IF(OR($AI1240="",$AC1240=""),"",IF($AI1240=$AC1240,"ללא שינוי","מ-"&amp;$AI1240&amp;" ל-"&amp;$AC1240))</f>
        <v/>
      </c>
      <c r="AK1240" s="67" t="n"/>
    </row>
    <row r="1241">
      <c r="A1241" s="65" t="n"/>
      <c r="B1241" s="65" t="n"/>
      <c r="C1241" s="66" t="n"/>
      <c r="D1241" s="66" t="n"/>
      <c r="E1241" s="65" t="n"/>
      <c r="F1241" s="65" t="n"/>
      <c r="G1241" s="65" t="n"/>
      <c r="H1241" s="65" t="n"/>
      <c r="I1241" s="65" t="n"/>
      <c r="J1241" s="65" t="n"/>
      <c r="K1241" s="65" t="n"/>
      <c r="L1241" s="65" t="n"/>
      <c r="M1241" s="65" t="n"/>
      <c r="N1241" s="65" t="n"/>
      <c r="O1241" s="65" t="n"/>
      <c r="P1241" s="65" t="n"/>
      <c r="Q1241" s="65" t="n"/>
      <c r="R1241" s="65" t="n"/>
      <c r="S1241" s="65" t="n"/>
      <c r="T1241" s="65" t="n"/>
      <c r="U1241" s="65" t="n"/>
      <c r="V1241" s="65" t="n"/>
      <c r="W1241" s="65" t="n"/>
      <c r="X1241" s="65" t="n"/>
      <c r="Y1241" s="32">
        <f>IF($C1241="","",IF(COUNTA($I1241:$K1241)&lt;3,"— חסרים נתונים",IF(AND($I1241="תקין",$J1241="תקין",$K1241="תקין"),"רהוטה",IF(AND($I1241="תקין",$J1241="תקין"),"מדויקת ורציפה","אינה מדויקת או מקוטעת"))))</f>
        <v/>
      </c>
      <c r="Z1241" s="32">
        <f>IF($C1241="","",IF(COUNTA($U1241:$W1241)&lt;3,"",IF(AND($U1241="מפותח",$V1241="מפותח",$W1241="מפותחת"),"מפותחת",IF((--($U1241="דל"))+(--($V1241="אינו מפותח"))+(--($W1241="דלה"))&gt;=2,"אינה מפותחת","חלקית"))))</f>
        <v/>
      </c>
      <c r="AA1241" s="32">
        <f>IF($C1241="","",IF(COUNTA($M1241,$N1241,$O1241)&lt;3,"— חסרים נתונים",IF(OR($M1241="נמוכה",(--($M1241&lt;&gt;"תקינה"))+(--($N1241&lt;&gt;"תקין"))+(--($O1241&lt;&gt;"תקינה"))&gt;=2),"ניכרת","אינה ניכרת")))</f>
        <v/>
      </c>
      <c r="AB1241" s="32">
        <f>IF(OR($C1241="",$Y1241="",$AA1241="",LEFT($Y1241,1)="—",LEFT($AA1241,1)="—"),"",IF($Z1241="","— נדרשת הערכת כתיבה",IF($L1241="","— חסרה הבנת הנקרא",IF($Y1241="אינה מדויקת או מקוטעת",IF($AA1241="ניכרת","מיקוד בשטף הקריאה ובכישורי שפה","מיקוד בשטף קריאה"),IF($AA1241="ניכרת","מיקוד בכישורי שפה",IF(AND($L1241="תקינה",$Z1241="מפותחת"),"קוראים וכותבים מיומנים","מיקוד בהבנה והבעה"))))))</f>
        <v/>
      </c>
      <c r="AC1241" s="32">
        <f>IF(OR($AB1241="",LEFT($AB1241,1)="—"),"",IF(OR($AB1241="מיקוד בשטף קריאה",$AB1241="מיקוד בשטף הקריאה ובכישורי שפה"),"רמה א'",IF($AB1241="קוראים וכותבים מיומנים","רמה ג'","רמה ב'")))</f>
        <v/>
      </c>
      <c r="AD1241" s="32">
        <f>IF($AC1241="","",MID(IF(AND($AC1241="רמה א'",$AA1241="ניכרת"),"; להוסיף עבודת אוצר מילים","")&amp;IF($Z1241="אינה מפותחת","; דגש על הבעה בכתב","")&amp;IF($K1241&lt;&gt;"תקין","; נדרש לעבוד על ההנגנה","")&amp;IF($AK1241&lt;&gt;"","; "&amp;$AK1241,""),3,400))</f>
        <v/>
      </c>
      <c r="AE1241" s="32">
        <f>IF($F1241="","",IF($F1241="תחילת שנה",1,IF($F1241="מחצית שנה",2,3)))</f>
        <v/>
      </c>
      <c r="AF1241" s="32">
        <f>IF(OR($B1241="",$AC1241="",$A1241="",$F1241=""),"",$B1241&amp;"|"&amp;$A1241&amp;"|"&amp;$F1241&amp;"|"&amp;$AC1241&amp;"|"&amp;COUNTIFS($B$6:$B1241,$B1241,$A$6:$A1241,$A1241,$F$6:$F1241,$F1241,$AC$6:$AC1241,$AC1241))</f>
        <v/>
      </c>
      <c r="AG1241" s="32">
        <f>IF($C1241="","",$C1241&amp;"|"&amp;COUNTIFS($C$6:$C1241,$C1241))</f>
        <v/>
      </c>
      <c r="AH1241" s="32">
        <f>IF(OR($C1241="",$A1241="",$AE1241=""),"",$C1241&amp;"|"&amp;$A1241&amp;"|"&amp;$AE1241)</f>
        <v/>
      </c>
      <c r="AI1241" s="32">
        <f>IF(OR($C1241="",$AE1241="",$AE1241=1),"",IFERROR(INDEX($AC$6:$AC$1505,MATCH($C1241&amp;"|"&amp;$A1241&amp;"|"&amp;($AE1241-1),$AH$6:$AH$1505,0)),""))</f>
        <v/>
      </c>
      <c r="AJ1241" s="32">
        <f>IF(OR($AI1241="",$AC1241=""),"",IF($AI1241=$AC1241,"ללא שינוי","מ-"&amp;$AI1241&amp;" ל-"&amp;$AC1241))</f>
        <v/>
      </c>
      <c r="AK1241" s="67" t="n"/>
    </row>
    <row r="1242">
      <c r="A1242" s="65" t="n"/>
      <c r="B1242" s="65" t="n"/>
      <c r="C1242" s="66" t="n"/>
      <c r="D1242" s="66" t="n"/>
      <c r="E1242" s="65" t="n"/>
      <c r="F1242" s="65" t="n"/>
      <c r="G1242" s="65" t="n"/>
      <c r="H1242" s="65" t="n"/>
      <c r="I1242" s="65" t="n"/>
      <c r="J1242" s="65" t="n"/>
      <c r="K1242" s="65" t="n"/>
      <c r="L1242" s="65" t="n"/>
      <c r="M1242" s="65" t="n"/>
      <c r="N1242" s="65" t="n"/>
      <c r="O1242" s="65" t="n"/>
      <c r="P1242" s="65" t="n"/>
      <c r="Q1242" s="65" t="n"/>
      <c r="R1242" s="65" t="n"/>
      <c r="S1242" s="65" t="n"/>
      <c r="T1242" s="65" t="n"/>
      <c r="U1242" s="65" t="n"/>
      <c r="V1242" s="65" t="n"/>
      <c r="W1242" s="65" t="n"/>
      <c r="X1242" s="65" t="n"/>
      <c r="Y1242" s="32">
        <f>IF($C1242="","",IF(COUNTA($I1242:$K1242)&lt;3,"— חסרים נתונים",IF(AND($I1242="תקין",$J1242="תקין",$K1242="תקין"),"רהוטה",IF(AND($I1242="תקין",$J1242="תקין"),"מדויקת ורציפה","אינה מדויקת או מקוטעת"))))</f>
        <v/>
      </c>
      <c r="Z1242" s="32">
        <f>IF($C1242="","",IF(COUNTA($U1242:$W1242)&lt;3,"",IF(AND($U1242="מפותח",$V1242="מפותח",$W1242="מפותחת"),"מפותחת",IF((--($U1242="דל"))+(--($V1242="אינו מפותח"))+(--($W1242="דלה"))&gt;=2,"אינה מפותחת","חלקית"))))</f>
        <v/>
      </c>
      <c r="AA1242" s="32">
        <f>IF($C1242="","",IF(COUNTA($M1242,$N1242,$O1242)&lt;3,"— חסרים נתונים",IF(OR($M1242="נמוכה",(--($M1242&lt;&gt;"תקינה"))+(--($N1242&lt;&gt;"תקין"))+(--($O1242&lt;&gt;"תקינה"))&gt;=2),"ניכרת","אינה ניכרת")))</f>
        <v/>
      </c>
      <c r="AB1242" s="32">
        <f>IF(OR($C1242="",$Y1242="",$AA1242="",LEFT($Y1242,1)="—",LEFT($AA1242,1)="—"),"",IF($Z1242="","— נדרשת הערכת כתיבה",IF($L1242="","— חסרה הבנת הנקרא",IF($Y1242="אינה מדויקת או מקוטעת",IF($AA1242="ניכרת","מיקוד בשטף הקריאה ובכישורי שפה","מיקוד בשטף קריאה"),IF($AA1242="ניכרת","מיקוד בכישורי שפה",IF(AND($L1242="תקינה",$Z1242="מפותחת"),"קוראים וכותבים מיומנים","מיקוד בהבנה והבעה"))))))</f>
        <v/>
      </c>
      <c r="AC1242" s="32">
        <f>IF(OR($AB1242="",LEFT($AB1242,1)="—"),"",IF(OR($AB1242="מיקוד בשטף קריאה",$AB1242="מיקוד בשטף הקריאה ובכישורי שפה"),"רמה א'",IF($AB1242="קוראים וכותבים מיומנים","רמה ג'","רמה ב'")))</f>
        <v/>
      </c>
      <c r="AD1242" s="32">
        <f>IF($AC1242="","",MID(IF(AND($AC1242="רמה א'",$AA1242="ניכרת"),"; להוסיף עבודת אוצר מילים","")&amp;IF($Z1242="אינה מפותחת","; דגש על הבעה בכתב","")&amp;IF($K1242&lt;&gt;"תקין","; נדרש לעבוד על ההנגנה","")&amp;IF($AK1242&lt;&gt;"","; "&amp;$AK1242,""),3,400))</f>
        <v/>
      </c>
      <c r="AE1242" s="32">
        <f>IF($F1242="","",IF($F1242="תחילת שנה",1,IF($F1242="מחצית שנה",2,3)))</f>
        <v/>
      </c>
      <c r="AF1242" s="32">
        <f>IF(OR($B1242="",$AC1242="",$A1242="",$F1242=""),"",$B1242&amp;"|"&amp;$A1242&amp;"|"&amp;$F1242&amp;"|"&amp;$AC1242&amp;"|"&amp;COUNTIFS($B$6:$B1242,$B1242,$A$6:$A1242,$A1242,$F$6:$F1242,$F1242,$AC$6:$AC1242,$AC1242))</f>
        <v/>
      </c>
      <c r="AG1242" s="32">
        <f>IF($C1242="","",$C1242&amp;"|"&amp;COUNTIFS($C$6:$C1242,$C1242))</f>
        <v/>
      </c>
      <c r="AH1242" s="32">
        <f>IF(OR($C1242="",$A1242="",$AE1242=""),"",$C1242&amp;"|"&amp;$A1242&amp;"|"&amp;$AE1242)</f>
        <v/>
      </c>
      <c r="AI1242" s="32">
        <f>IF(OR($C1242="",$AE1242="",$AE1242=1),"",IFERROR(INDEX($AC$6:$AC$1505,MATCH($C1242&amp;"|"&amp;$A1242&amp;"|"&amp;($AE1242-1),$AH$6:$AH$1505,0)),""))</f>
        <v/>
      </c>
      <c r="AJ1242" s="32">
        <f>IF(OR($AI1242="",$AC1242=""),"",IF($AI1242=$AC1242,"ללא שינוי","מ-"&amp;$AI1242&amp;" ל-"&amp;$AC1242))</f>
        <v/>
      </c>
      <c r="AK1242" s="67" t="n"/>
    </row>
    <row r="1243">
      <c r="A1243" s="65" t="n"/>
      <c r="B1243" s="65" t="n"/>
      <c r="C1243" s="66" t="n"/>
      <c r="D1243" s="66" t="n"/>
      <c r="E1243" s="65" t="n"/>
      <c r="F1243" s="65" t="n"/>
      <c r="G1243" s="65" t="n"/>
      <c r="H1243" s="65" t="n"/>
      <c r="I1243" s="65" t="n"/>
      <c r="J1243" s="65" t="n"/>
      <c r="K1243" s="65" t="n"/>
      <c r="L1243" s="65" t="n"/>
      <c r="M1243" s="65" t="n"/>
      <c r="N1243" s="65" t="n"/>
      <c r="O1243" s="65" t="n"/>
      <c r="P1243" s="65" t="n"/>
      <c r="Q1243" s="65" t="n"/>
      <c r="R1243" s="65" t="n"/>
      <c r="S1243" s="65" t="n"/>
      <c r="T1243" s="65" t="n"/>
      <c r="U1243" s="65" t="n"/>
      <c r="V1243" s="65" t="n"/>
      <c r="W1243" s="65" t="n"/>
      <c r="X1243" s="65" t="n"/>
      <c r="Y1243" s="32">
        <f>IF($C1243="","",IF(COUNTA($I1243:$K1243)&lt;3,"— חסרים נתונים",IF(AND($I1243="תקין",$J1243="תקין",$K1243="תקין"),"רהוטה",IF(AND($I1243="תקין",$J1243="תקין"),"מדויקת ורציפה","אינה מדויקת או מקוטעת"))))</f>
        <v/>
      </c>
      <c r="Z1243" s="32">
        <f>IF($C1243="","",IF(COUNTA($U1243:$W1243)&lt;3,"",IF(AND($U1243="מפותח",$V1243="מפותח",$W1243="מפותחת"),"מפותחת",IF((--($U1243="דל"))+(--($V1243="אינו מפותח"))+(--($W1243="דלה"))&gt;=2,"אינה מפותחת","חלקית"))))</f>
        <v/>
      </c>
      <c r="AA1243" s="32">
        <f>IF($C1243="","",IF(COUNTA($M1243,$N1243,$O1243)&lt;3,"— חסרים נתונים",IF(OR($M1243="נמוכה",(--($M1243&lt;&gt;"תקינה"))+(--($N1243&lt;&gt;"תקין"))+(--($O1243&lt;&gt;"תקינה"))&gt;=2),"ניכרת","אינה ניכרת")))</f>
        <v/>
      </c>
      <c r="AB1243" s="32">
        <f>IF(OR($C1243="",$Y1243="",$AA1243="",LEFT($Y1243,1)="—",LEFT($AA1243,1)="—"),"",IF($Z1243="","— נדרשת הערכת כתיבה",IF($L1243="","— חסרה הבנת הנקרא",IF($Y1243="אינה מדויקת או מקוטעת",IF($AA1243="ניכרת","מיקוד בשטף הקריאה ובכישורי שפה","מיקוד בשטף קריאה"),IF($AA1243="ניכרת","מיקוד בכישורי שפה",IF(AND($L1243="תקינה",$Z1243="מפותחת"),"קוראים וכותבים מיומנים","מיקוד בהבנה והבעה"))))))</f>
        <v/>
      </c>
      <c r="AC1243" s="32">
        <f>IF(OR($AB1243="",LEFT($AB1243,1)="—"),"",IF(OR($AB1243="מיקוד בשטף קריאה",$AB1243="מיקוד בשטף הקריאה ובכישורי שפה"),"רמה א'",IF($AB1243="קוראים וכותבים מיומנים","רמה ג'","רמה ב'")))</f>
        <v/>
      </c>
      <c r="AD1243" s="32">
        <f>IF($AC1243="","",MID(IF(AND($AC1243="רמה א'",$AA1243="ניכרת"),"; להוסיף עבודת אוצר מילים","")&amp;IF($Z1243="אינה מפותחת","; דגש על הבעה בכתב","")&amp;IF($K1243&lt;&gt;"תקין","; נדרש לעבוד על ההנגנה","")&amp;IF($AK1243&lt;&gt;"","; "&amp;$AK1243,""),3,400))</f>
        <v/>
      </c>
      <c r="AE1243" s="32">
        <f>IF($F1243="","",IF($F1243="תחילת שנה",1,IF($F1243="מחצית שנה",2,3)))</f>
        <v/>
      </c>
      <c r="AF1243" s="32">
        <f>IF(OR($B1243="",$AC1243="",$A1243="",$F1243=""),"",$B1243&amp;"|"&amp;$A1243&amp;"|"&amp;$F1243&amp;"|"&amp;$AC1243&amp;"|"&amp;COUNTIFS($B$6:$B1243,$B1243,$A$6:$A1243,$A1243,$F$6:$F1243,$F1243,$AC$6:$AC1243,$AC1243))</f>
        <v/>
      </c>
      <c r="AG1243" s="32">
        <f>IF($C1243="","",$C1243&amp;"|"&amp;COUNTIFS($C$6:$C1243,$C1243))</f>
        <v/>
      </c>
      <c r="AH1243" s="32">
        <f>IF(OR($C1243="",$A1243="",$AE1243=""),"",$C1243&amp;"|"&amp;$A1243&amp;"|"&amp;$AE1243)</f>
        <v/>
      </c>
      <c r="AI1243" s="32">
        <f>IF(OR($C1243="",$AE1243="",$AE1243=1),"",IFERROR(INDEX($AC$6:$AC$1505,MATCH($C1243&amp;"|"&amp;$A1243&amp;"|"&amp;($AE1243-1),$AH$6:$AH$1505,0)),""))</f>
        <v/>
      </c>
      <c r="AJ1243" s="32">
        <f>IF(OR($AI1243="",$AC1243=""),"",IF($AI1243=$AC1243,"ללא שינוי","מ-"&amp;$AI1243&amp;" ל-"&amp;$AC1243))</f>
        <v/>
      </c>
      <c r="AK1243" s="67" t="n"/>
    </row>
    <row r="1244">
      <c r="A1244" s="65" t="n"/>
      <c r="B1244" s="65" t="n"/>
      <c r="C1244" s="66" t="n"/>
      <c r="D1244" s="66" t="n"/>
      <c r="E1244" s="65" t="n"/>
      <c r="F1244" s="65" t="n"/>
      <c r="G1244" s="65" t="n"/>
      <c r="H1244" s="65" t="n"/>
      <c r="I1244" s="65" t="n"/>
      <c r="J1244" s="65" t="n"/>
      <c r="K1244" s="65" t="n"/>
      <c r="L1244" s="65" t="n"/>
      <c r="M1244" s="65" t="n"/>
      <c r="N1244" s="65" t="n"/>
      <c r="O1244" s="65" t="n"/>
      <c r="P1244" s="65" t="n"/>
      <c r="Q1244" s="65" t="n"/>
      <c r="R1244" s="65" t="n"/>
      <c r="S1244" s="65" t="n"/>
      <c r="T1244" s="65" t="n"/>
      <c r="U1244" s="65" t="n"/>
      <c r="V1244" s="65" t="n"/>
      <c r="W1244" s="65" t="n"/>
      <c r="X1244" s="65" t="n"/>
      <c r="Y1244" s="32">
        <f>IF($C1244="","",IF(COUNTA($I1244:$K1244)&lt;3,"— חסרים נתונים",IF(AND($I1244="תקין",$J1244="תקין",$K1244="תקין"),"רהוטה",IF(AND($I1244="תקין",$J1244="תקין"),"מדויקת ורציפה","אינה מדויקת או מקוטעת"))))</f>
        <v/>
      </c>
      <c r="Z1244" s="32">
        <f>IF($C1244="","",IF(COUNTA($U1244:$W1244)&lt;3,"",IF(AND($U1244="מפותח",$V1244="מפותח",$W1244="מפותחת"),"מפותחת",IF((--($U1244="דל"))+(--($V1244="אינו מפותח"))+(--($W1244="דלה"))&gt;=2,"אינה מפותחת","חלקית"))))</f>
        <v/>
      </c>
      <c r="AA1244" s="32">
        <f>IF($C1244="","",IF(COUNTA($M1244,$N1244,$O1244)&lt;3,"— חסרים נתונים",IF(OR($M1244="נמוכה",(--($M1244&lt;&gt;"תקינה"))+(--($N1244&lt;&gt;"תקין"))+(--($O1244&lt;&gt;"תקינה"))&gt;=2),"ניכרת","אינה ניכרת")))</f>
        <v/>
      </c>
      <c r="AB1244" s="32">
        <f>IF(OR($C1244="",$Y1244="",$AA1244="",LEFT($Y1244,1)="—",LEFT($AA1244,1)="—"),"",IF($Z1244="","— נדרשת הערכת כתיבה",IF($L1244="","— חסרה הבנת הנקרא",IF($Y1244="אינה מדויקת או מקוטעת",IF($AA1244="ניכרת","מיקוד בשטף הקריאה ובכישורי שפה","מיקוד בשטף קריאה"),IF($AA1244="ניכרת","מיקוד בכישורי שפה",IF(AND($L1244="תקינה",$Z1244="מפותחת"),"קוראים וכותבים מיומנים","מיקוד בהבנה והבעה"))))))</f>
        <v/>
      </c>
      <c r="AC1244" s="32">
        <f>IF(OR($AB1244="",LEFT($AB1244,1)="—"),"",IF(OR($AB1244="מיקוד בשטף קריאה",$AB1244="מיקוד בשטף הקריאה ובכישורי שפה"),"רמה א'",IF($AB1244="קוראים וכותבים מיומנים","רמה ג'","רמה ב'")))</f>
        <v/>
      </c>
      <c r="AD1244" s="32">
        <f>IF($AC1244="","",MID(IF(AND($AC1244="רמה א'",$AA1244="ניכרת"),"; להוסיף עבודת אוצר מילים","")&amp;IF($Z1244="אינה מפותחת","; דגש על הבעה בכתב","")&amp;IF($K1244&lt;&gt;"תקין","; נדרש לעבוד על ההנגנה","")&amp;IF($AK1244&lt;&gt;"","; "&amp;$AK1244,""),3,400))</f>
        <v/>
      </c>
      <c r="AE1244" s="32">
        <f>IF($F1244="","",IF($F1244="תחילת שנה",1,IF($F1244="מחצית שנה",2,3)))</f>
        <v/>
      </c>
      <c r="AF1244" s="32">
        <f>IF(OR($B1244="",$AC1244="",$A1244="",$F1244=""),"",$B1244&amp;"|"&amp;$A1244&amp;"|"&amp;$F1244&amp;"|"&amp;$AC1244&amp;"|"&amp;COUNTIFS($B$6:$B1244,$B1244,$A$6:$A1244,$A1244,$F$6:$F1244,$F1244,$AC$6:$AC1244,$AC1244))</f>
        <v/>
      </c>
      <c r="AG1244" s="32">
        <f>IF($C1244="","",$C1244&amp;"|"&amp;COUNTIFS($C$6:$C1244,$C1244))</f>
        <v/>
      </c>
      <c r="AH1244" s="32">
        <f>IF(OR($C1244="",$A1244="",$AE1244=""),"",$C1244&amp;"|"&amp;$A1244&amp;"|"&amp;$AE1244)</f>
        <v/>
      </c>
      <c r="AI1244" s="32">
        <f>IF(OR($C1244="",$AE1244="",$AE1244=1),"",IFERROR(INDEX($AC$6:$AC$1505,MATCH($C1244&amp;"|"&amp;$A1244&amp;"|"&amp;($AE1244-1),$AH$6:$AH$1505,0)),""))</f>
        <v/>
      </c>
      <c r="AJ1244" s="32">
        <f>IF(OR($AI1244="",$AC1244=""),"",IF($AI1244=$AC1244,"ללא שינוי","מ-"&amp;$AI1244&amp;" ל-"&amp;$AC1244))</f>
        <v/>
      </c>
      <c r="AK1244" s="67" t="n"/>
    </row>
    <row r="1245">
      <c r="A1245" s="65" t="n"/>
      <c r="B1245" s="65" t="n"/>
      <c r="C1245" s="66" t="n"/>
      <c r="D1245" s="66" t="n"/>
      <c r="E1245" s="65" t="n"/>
      <c r="F1245" s="65" t="n"/>
      <c r="G1245" s="65" t="n"/>
      <c r="H1245" s="65" t="n"/>
      <c r="I1245" s="65" t="n"/>
      <c r="J1245" s="65" t="n"/>
      <c r="K1245" s="65" t="n"/>
      <c r="L1245" s="65" t="n"/>
      <c r="M1245" s="65" t="n"/>
      <c r="N1245" s="65" t="n"/>
      <c r="O1245" s="65" t="n"/>
      <c r="P1245" s="65" t="n"/>
      <c r="Q1245" s="65" t="n"/>
      <c r="R1245" s="65" t="n"/>
      <c r="S1245" s="65" t="n"/>
      <c r="T1245" s="65" t="n"/>
      <c r="U1245" s="65" t="n"/>
      <c r="V1245" s="65" t="n"/>
      <c r="W1245" s="65" t="n"/>
      <c r="X1245" s="65" t="n"/>
      <c r="Y1245" s="32">
        <f>IF($C1245="","",IF(COUNTA($I1245:$K1245)&lt;3,"— חסרים נתונים",IF(AND($I1245="תקין",$J1245="תקין",$K1245="תקין"),"רהוטה",IF(AND($I1245="תקין",$J1245="תקין"),"מדויקת ורציפה","אינה מדויקת או מקוטעת"))))</f>
        <v/>
      </c>
      <c r="Z1245" s="32">
        <f>IF($C1245="","",IF(COUNTA($U1245:$W1245)&lt;3,"",IF(AND($U1245="מפותח",$V1245="מפותח",$W1245="מפותחת"),"מפותחת",IF((--($U1245="דל"))+(--($V1245="אינו מפותח"))+(--($W1245="דלה"))&gt;=2,"אינה מפותחת","חלקית"))))</f>
        <v/>
      </c>
      <c r="AA1245" s="32">
        <f>IF($C1245="","",IF(COUNTA($M1245,$N1245,$O1245)&lt;3,"— חסרים נתונים",IF(OR($M1245="נמוכה",(--($M1245&lt;&gt;"תקינה"))+(--($N1245&lt;&gt;"תקין"))+(--($O1245&lt;&gt;"תקינה"))&gt;=2),"ניכרת","אינה ניכרת")))</f>
        <v/>
      </c>
      <c r="AB1245" s="32">
        <f>IF(OR($C1245="",$Y1245="",$AA1245="",LEFT($Y1245,1)="—",LEFT($AA1245,1)="—"),"",IF($Z1245="","— נדרשת הערכת כתיבה",IF($L1245="","— חסרה הבנת הנקרא",IF($Y1245="אינה מדויקת או מקוטעת",IF($AA1245="ניכרת","מיקוד בשטף הקריאה ובכישורי שפה","מיקוד בשטף קריאה"),IF($AA1245="ניכרת","מיקוד בכישורי שפה",IF(AND($L1245="תקינה",$Z1245="מפותחת"),"קוראים וכותבים מיומנים","מיקוד בהבנה והבעה"))))))</f>
        <v/>
      </c>
      <c r="AC1245" s="32">
        <f>IF(OR($AB1245="",LEFT($AB1245,1)="—"),"",IF(OR($AB1245="מיקוד בשטף קריאה",$AB1245="מיקוד בשטף הקריאה ובכישורי שפה"),"רמה א'",IF($AB1245="קוראים וכותבים מיומנים","רמה ג'","רמה ב'")))</f>
        <v/>
      </c>
      <c r="AD1245" s="32">
        <f>IF($AC1245="","",MID(IF(AND($AC1245="רמה א'",$AA1245="ניכרת"),"; להוסיף עבודת אוצר מילים","")&amp;IF($Z1245="אינה מפותחת","; דגש על הבעה בכתב","")&amp;IF($K1245&lt;&gt;"תקין","; נדרש לעבוד על ההנגנה","")&amp;IF($AK1245&lt;&gt;"","; "&amp;$AK1245,""),3,400))</f>
        <v/>
      </c>
      <c r="AE1245" s="32">
        <f>IF($F1245="","",IF($F1245="תחילת שנה",1,IF($F1245="מחצית שנה",2,3)))</f>
        <v/>
      </c>
      <c r="AF1245" s="32">
        <f>IF(OR($B1245="",$AC1245="",$A1245="",$F1245=""),"",$B1245&amp;"|"&amp;$A1245&amp;"|"&amp;$F1245&amp;"|"&amp;$AC1245&amp;"|"&amp;COUNTIFS($B$6:$B1245,$B1245,$A$6:$A1245,$A1245,$F$6:$F1245,$F1245,$AC$6:$AC1245,$AC1245))</f>
        <v/>
      </c>
      <c r="AG1245" s="32">
        <f>IF($C1245="","",$C1245&amp;"|"&amp;COUNTIFS($C$6:$C1245,$C1245))</f>
        <v/>
      </c>
      <c r="AH1245" s="32">
        <f>IF(OR($C1245="",$A1245="",$AE1245=""),"",$C1245&amp;"|"&amp;$A1245&amp;"|"&amp;$AE1245)</f>
        <v/>
      </c>
      <c r="AI1245" s="32">
        <f>IF(OR($C1245="",$AE1245="",$AE1245=1),"",IFERROR(INDEX($AC$6:$AC$1505,MATCH($C1245&amp;"|"&amp;$A1245&amp;"|"&amp;($AE1245-1),$AH$6:$AH$1505,0)),""))</f>
        <v/>
      </c>
      <c r="AJ1245" s="32">
        <f>IF(OR($AI1245="",$AC1245=""),"",IF($AI1245=$AC1245,"ללא שינוי","מ-"&amp;$AI1245&amp;" ל-"&amp;$AC1245))</f>
        <v/>
      </c>
      <c r="AK1245" s="67" t="n"/>
    </row>
    <row r="1246">
      <c r="A1246" s="65" t="n"/>
      <c r="B1246" s="65" t="n"/>
      <c r="C1246" s="66" t="n"/>
      <c r="D1246" s="66" t="n"/>
      <c r="E1246" s="65" t="n"/>
      <c r="F1246" s="65" t="n"/>
      <c r="G1246" s="65" t="n"/>
      <c r="H1246" s="65" t="n"/>
      <c r="I1246" s="65" t="n"/>
      <c r="J1246" s="65" t="n"/>
      <c r="K1246" s="65" t="n"/>
      <c r="L1246" s="65" t="n"/>
      <c r="M1246" s="65" t="n"/>
      <c r="N1246" s="65" t="n"/>
      <c r="O1246" s="65" t="n"/>
      <c r="P1246" s="65" t="n"/>
      <c r="Q1246" s="65" t="n"/>
      <c r="R1246" s="65" t="n"/>
      <c r="S1246" s="65" t="n"/>
      <c r="T1246" s="65" t="n"/>
      <c r="U1246" s="65" t="n"/>
      <c r="V1246" s="65" t="n"/>
      <c r="W1246" s="65" t="n"/>
      <c r="X1246" s="65" t="n"/>
      <c r="Y1246" s="32">
        <f>IF($C1246="","",IF(COUNTA($I1246:$K1246)&lt;3,"— חסרים נתונים",IF(AND($I1246="תקין",$J1246="תקין",$K1246="תקין"),"רהוטה",IF(AND($I1246="תקין",$J1246="תקין"),"מדויקת ורציפה","אינה מדויקת או מקוטעת"))))</f>
        <v/>
      </c>
      <c r="Z1246" s="32">
        <f>IF($C1246="","",IF(COUNTA($U1246:$W1246)&lt;3,"",IF(AND($U1246="מפותח",$V1246="מפותח",$W1246="מפותחת"),"מפותחת",IF((--($U1246="דל"))+(--($V1246="אינו מפותח"))+(--($W1246="דלה"))&gt;=2,"אינה מפותחת","חלקית"))))</f>
        <v/>
      </c>
      <c r="AA1246" s="32">
        <f>IF($C1246="","",IF(COUNTA($M1246,$N1246,$O1246)&lt;3,"— חסרים נתונים",IF(OR($M1246="נמוכה",(--($M1246&lt;&gt;"תקינה"))+(--($N1246&lt;&gt;"תקין"))+(--($O1246&lt;&gt;"תקינה"))&gt;=2),"ניכרת","אינה ניכרת")))</f>
        <v/>
      </c>
      <c r="AB1246" s="32">
        <f>IF(OR($C1246="",$Y1246="",$AA1246="",LEFT($Y1246,1)="—",LEFT($AA1246,1)="—"),"",IF($Z1246="","— נדרשת הערכת כתיבה",IF($L1246="","— חסרה הבנת הנקרא",IF($Y1246="אינה מדויקת או מקוטעת",IF($AA1246="ניכרת","מיקוד בשטף הקריאה ובכישורי שפה","מיקוד בשטף קריאה"),IF($AA1246="ניכרת","מיקוד בכישורי שפה",IF(AND($L1246="תקינה",$Z1246="מפותחת"),"קוראים וכותבים מיומנים","מיקוד בהבנה והבעה"))))))</f>
        <v/>
      </c>
      <c r="AC1246" s="32">
        <f>IF(OR($AB1246="",LEFT($AB1246,1)="—"),"",IF(OR($AB1246="מיקוד בשטף קריאה",$AB1246="מיקוד בשטף הקריאה ובכישורי שפה"),"רמה א'",IF($AB1246="קוראים וכותבים מיומנים","רמה ג'","רמה ב'")))</f>
        <v/>
      </c>
      <c r="AD1246" s="32">
        <f>IF($AC1246="","",MID(IF(AND($AC1246="רמה א'",$AA1246="ניכרת"),"; להוסיף עבודת אוצר מילים","")&amp;IF($Z1246="אינה מפותחת","; דגש על הבעה בכתב","")&amp;IF($K1246&lt;&gt;"תקין","; נדרש לעבוד על ההנגנה","")&amp;IF($AK1246&lt;&gt;"","; "&amp;$AK1246,""),3,400))</f>
        <v/>
      </c>
      <c r="AE1246" s="32">
        <f>IF($F1246="","",IF($F1246="תחילת שנה",1,IF($F1246="מחצית שנה",2,3)))</f>
        <v/>
      </c>
      <c r="AF1246" s="32">
        <f>IF(OR($B1246="",$AC1246="",$A1246="",$F1246=""),"",$B1246&amp;"|"&amp;$A1246&amp;"|"&amp;$F1246&amp;"|"&amp;$AC1246&amp;"|"&amp;COUNTIFS($B$6:$B1246,$B1246,$A$6:$A1246,$A1246,$F$6:$F1246,$F1246,$AC$6:$AC1246,$AC1246))</f>
        <v/>
      </c>
      <c r="AG1246" s="32">
        <f>IF($C1246="","",$C1246&amp;"|"&amp;COUNTIFS($C$6:$C1246,$C1246))</f>
        <v/>
      </c>
      <c r="AH1246" s="32">
        <f>IF(OR($C1246="",$A1246="",$AE1246=""),"",$C1246&amp;"|"&amp;$A1246&amp;"|"&amp;$AE1246)</f>
        <v/>
      </c>
      <c r="AI1246" s="32">
        <f>IF(OR($C1246="",$AE1246="",$AE1246=1),"",IFERROR(INDEX($AC$6:$AC$1505,MATCH($C1246&amp;"|"&amp;$A1246&amp;"|"&amp;($AE1246-1),$AH$6:$AH$1505,0)),""))</f>
        <v/>
      </c>
      <c r="AJ1246" s="32">
        <f>IF(OR($AI1246="",$AC1246=""),"",IF($AI1246=$AC1246,"ללא שינוי","מ-"&amp;$AI1246&amp;" ל-"&amp;$AC1246))</f>
        <v/>
      </c>
      <c r="AK1246" s="67" t="n"/>
    </row>
    <row r="1247">
      <c r="A1247" s="65" t="n"/>
      <c r="B1247" s="65" t="n"/>
      <c r="C1247" s="66" t="n"/>
      <c r="D1247" s="66" t="n"/>
      <c r="E1247" s="65" t="n"/>
      <c r="F1247" s="65" t="n"/>
      <c r="G1247" s="65" t="n"/>
      <c r="H1247" s="65" t="n"/>
      <c r="I1247" s="65" t="n"/>
      <c r="J1247" s="65" t="n"/>
      <c r="K1247" s="65" t="n"/>
      <c r="L1247" s="65" t="n"/>
      <c r="M1247" s="65" t="n"/>
      <c r="N1247" s="65" t="n"/>
      <c r="O1247" s="65" t="n"/>
      <c r="P1247" s="65" t="n"/>
      <c r="Q1247" s="65" t="n"/>
      <c r="R1247" s="65" t="n"/>
      <c r="S1247" s="65" t="n"/>
      <c r="T1247" s="65" t="n"/>
      <c r="U1247" s="65" t="n"/>
      <c r="V1247" s="65" t="n"/>
      <c r="W1247" s="65" t="n"/>
      <c r="X1247" s="65" t="n"/>
      <c r="Y1247" s="32">
        <f>IF($C1247="","",IF(COUNTA($I1247:$K1247)&lt;3,"— חסרים נתונים",IF(AND($I1247="תקין",$J1247="תקין",$K1247="תקין"),"רהוטה",IF(AND($I1247="תקין",$J1247="תקין"),"מדויקת ורציפה","אינה מדויקת או מקוטעת"))))</f>
        <v/>
      </c>
      <c r="Z1247" s="32">
        <f>IF($C1247="","",IF(COUNTA($U1247:$W1247)&lt;3,"",IF(AND($U1247="מפותח",$V1247="מפותח",$W1247="מפותחת"),"מפותחת",IF((--($U1247="דל"))+(--($V1247="אינו מפותח"))+(--($W1247="דלה"))&gt;=2,"אינה מפותחת","חלקית"))))</f>
        <v/>
      </c>
      <c r="AA1247" s="32">
        <f>IF($C1247="","",IF(COUNTA($M1247,$N1247,$O1247)&lt;3,"— חסרים נתונים",IF(OR($M1247="נמוכה",(--($M1247&lt;&gt;"תקינה"))+(--($N1247&lt;&gt;"תקין"))+(--($O1247&lt;&gt;"תקינה"))&gt;=2),"ניכרת","אינה ניכרת")))</f>
        <v/>
      </c>
      <c r="AB1247" s="32">
        <f>IF(OR($C1247="",$Y1247="",$AA1247="",LEFT($Y1247,1)="—",LEFT($AA1247,1)="—"),"",IF($Z1247="","— נדרשת הערכת כתיבה",IF($L1247="","— חסרה הבנת הנקרא",IF($Y1247="אינה מדויקת או מקוטעת",IF($AA1247="ניכרת","מיקוד בשטף הקריאה ובכישורי שפה","מיקוד בשטף קריאה"),IF($AA1247="ניכרת","מיקוד בכישורי שפה",IF(AND($L1247="תקינה",$Z1247="מפותחת"),"קוראים וכותבים מיומנים","מיקוד בהבנה והבעה"))))))</f>
        <v/>
      </c>
      <c r="AC1247" s="32">
        <f>IF(OR($AB1247="",LEFT($AB1247,1)="—"),"",IF(OR($AB1247="מיקוד בשטף קריאה",$AB1247="מיקוד בשטף הקריאה ובכישורי שפה"),"רמה א'",IF($AB1247="קוראים וכותבים מיומנים","רמה ג'","רמה ב'")))</f>
        <v/>
      </c>
      <c r="AD1247" s="32">
        <f>IF($AC1247="","",MID(IF(AND($AC1247="רמה א'",$AA1247="ניכרת"),"; להוסיף עבודת אוצר מילים","")&amp;IF($Z1247="אינה מפותחת","; דגש על הבעה בכתב","")&amp;IF($K1247&lt;&gt;"תקין","; נדרש לעבוד על ההנגנה","")&amp;IF($AK1247&lt;&gt;"","; "&amp;$AK1247,""),3,400))</f>
        <v/>
      </c>
      <c r="AE1247" s="32">
        <f>IF($F1247="","",IF($F1247="תחילת שנה",1,IF($F1247="מחצית שנה",2,3)))</f>
        <v/>
      </c>
      <c r="AF1247" s="32">
        <f>IF(OR($B1247="",$AC1247="",$A1247="",$F1247=""),"",$B1247&amp;"|"&amp;$A1247&amp;"|"&amp;$F1247&amp;"|"&amp;$AC1247&amp;"|"&amp;COUNTIFS($B$6:$B1247,$B1247,$A$6:$A1247,$A1247,$F$6:$F1247,$F1247,$AC$6:$AC1247,$AC1247))</f>
        <v/>
      </c>
      <c r="AG1247" s="32">
        <f>IF($C1247="","",$C1247&amp;"|"&amp;COUNTIFS($C$6:$C1247,$C1247))</f>
        <v/>
      </c>
      <c r="AH1247" s="32">
        <f>IF(OR($C1247="",$A1247="",$AE1247=""),"",$C1247&amp;"|"&amp;$A1247&amp;"|"&amp;$AE1247)</f>
        <v/>
      </c>
      <c r="AI1247" s="32">
        <f>IF(OR($C1247="",$AE1247="",$AE1247=1),"",IFERROR(INDEX($AC$6:$AC$1505,MATCH($C1247&amp;"|"&amp;$A1247&amp;"|"&amp;($AE1247-1),$AH$6:$AH$1505,0)),""))</f>
        <v/>
      </c>
      <c r="AJ1247" s="32">
        <f>IF(OR($AI1247="",$AC1247=""),"",IF($AI1247=$AC1247,"ללא שינוי","מ-"&amp;$AI1247&amp;" ל-"&amp;$AC1247))</f>
        <v/>
      </c>
      <c r="AK1247" s="67" t="n"/>
    </row>
    <row r="1248">
      <c r="A1248" s="65" t="n"/>
      <c r="B1248" s="65" t="n"/>
      <c r="C1248" s="66" t="n"/>
      <c r="D1248" s="66" t="n"/>
      <c r="E1248" s="65" t="n"/>
      <c r="F1248" s="65" t="n"/>
      <c r="G1248" s="65" t="n"/>
      <c r="H1248" s="65" t="n"/>
      <c r="I1248" s="65" t="n"/>
      <c r="J1248" s="65" t="n"/>
      <c r="K1248" s="65" t="n"/>
      <c r="L1248" s="65" t="n"/>
      <c r="M1248" s="65" t="n"/>
      <c r="N1248" s="65" t="n"/>
      <c r="O1248" s="65" t="n"/>
      <c r="P1248" s="65" t="n"/>
      <c r="Q1248" s="65" t="n"/>
      <c r="R1248" s="65" t="n"/>
      <c r="S1248" s="65" t="n"/>
      <c r="T1248" s="65" t="n"/>
      <c r="U1248" s="65" t="n"/>
      <c r="V1248" s="65" t="n"/>
      <c r="W1248" s="65" t="n"/>
      <c r="X1248" s="65" t="n"/>
      <c r="Y1248" s="32">
        <f>IF($C1248="","",IF(COUNTA($I1248:$K1248)&lt;3,"— חסרים נתונים",IF(AND($I1248="תקין",$J1248="תקין",$K1248="תקין"),"רהוטה",IF(AND($I1248="תקין",$J1248="תקין"),"מדויקת ורציפה","אינה מדויקת או מקוטעת"))))</f>
        <v/>
      </c>
      <c r="Z1248" s="32">
        <f>IF($C1248="","",IF(COUNTA($U1248:$W1248)&lt;3,"",IF(AND($U1248="מפותח",$V1248="מפותח",$W1248="מפותחת"),"מפותחת",IF((--($U1248="דל"))+(--($V1248="אינו מפותח"))+(--($W1248="דלה"))&gt;=2,"אינה מפותחת","חלקית"))))</f>
        <v/>
      </c>
      <c r="AA1248" s="32">
        <f>IF($C1248="","",IF(COUNTA($M1248,$N1248,$O1248)&lt;3,"— חסרים נתונים",IF(OR($M1248="נמוכה",(--($M1248&lt;&gt;"תקינה"))+(--($N1248&lt;&gt;"תקין"))+(--($O1248&lt;&gt;"תקינה"))&gt;=2),"ניכרת","אינה ניכרת")))</f>
        <v/>
      </c>
      <c r="AB1248" s="32">
        <f>IF(OR($C1248="",$Y1248="",$AA1248="",LEFT($Y1248,1)="—",LEFT($AA1248,1)="—"),"",IF($Z1248="","— נדרשת הערכת כתיבה",IF($L1248="","— חסרה הבנת הנקרא",IF($Y1248="אינה מדויקת או מקוטעת",IF($AA1248="ניכרת","מיקוד בשטף הקריאה ובכישורי שפה","מיקוד בשטף קריאה"),IF($AA1248="ניכרת","מיקוד בכישורי שפה",IF(AND($L1248="תקינה",$Z1248="מפותחת"),"קוראים וכותבים מיומנים","מיקוד בהבנה והבעה"))))))</f>
        <v/>
      </c>
      <c r="AC1248" s="32">
        <f>IF(OR($AB1248="",LEFT($AB1248,1)="—"),"",IF(OR($AB1248="מיקוד בשטף קריאה",$AB1248="מיקוד בשטף הקריאה ובכישורי שפה"),"רמה א'",IF($AB1248="קוראים וכותבים מיומנים","רמה ג'","רמה ב'")))</f>
        <v/>
      </c>
      <c r="AD1248" s="32">
        <f>IF($AC1248="","",MID(IF(AND($AC1248="רמה א'",$AA1248="ניכרת"),"; להוסיף עבודת אוצר מילים","")&amp;IF($Z1248="אינה מפותחת","; דגש על הבעה בכתב","")&amp;IF($K1248&lt;&gt;"תקין","; נדרש לעבוד על ההנגנה","")&amp;IF($AK1248&lt;&gt;"","; "&amp;$AK1248,""),3,400))</f>
        <v/>
      </c>
      <c r="AE1248" s="32">
        <f>IF($F1248="","",IF($F1248="תחילת שנה",1,IF($F1248="מחצית שנה",2,3)))</f>
        <v/>
      </c>
      <c r="AF1248" s="32">
        <f>IF(OR($B1248="",$AC1248="",$A1248="",$F1248=""),"",$B1248&amp;"|"&amp;$A1248&amp;"|"&amp;$F1248&amp;"|"&amp;$AC1248&amp;"|"&amp;COUNTIFS($B$6:$B1248,$B1248,$A$6:$A1248,$A1248,$F$6:$F1248,$F1248,$AC$6:$AC1248,$AC1248))</f>
        <v/>
      </c>
      <c r="AG1248" s="32">
        <f>IF($C1248="","",$C1248&amp;"|"&amp;COUNTIFS($C$6:$C1248,$C1248))</f>
        <v/>
      </c>
      <c r="AH1248" s="32">
        <f>IF(OR($C1248="",$A1248="",$AE1248=""),"",$C1248&amp;"|"&amp;$A1248&amp;"|"&amp;$AE1248)</f>
        <v/>
      </c>
      <c r="AI1248" s="32">
        <f>IF(OR($C1248="",$AE1248="",$AE1248=1),"",IFERROR(INDEX($AC$6:$AC$1505,MATCH($C1248&amp;"|"&amp;$A1248&amp;"|"&amp;($AE1248-1),$AH$6:$AH$1505,0)),""))</f>
        <v/>
      </c>
      <c r="AJ1248" s="32">
        <f>IF(OR($AI1248="",$AC1248=""),"",IF($AI1248=$AC1248,"ללא שינוי","מ-"&amp;$AI1248&amp;" ל-"&amp;$AC1248))</f>
        <v/>
      </c>
      <c r="AK1248" s="67" t="n"/>
    </row>
    <row r="1249">
      <c r="A1249" s="65" t="n"/>
      <c r="B1249" s="65" t="n"/>
      <c r="C1249" s="66" t="n"/>
      <c r="D1249" s="66" t="n"/>
      <c r="E1249" s="65" t="n"/>
      <c r="F1249" s="65" t="n"/>
      <c r="G1249" s="65" t="n"/>
      <c r="H1249" s="65" t="n"/>
      <c r="I1249" s="65" t="n"/>
      <c r="J1249" s="65" t="n"/>
      <c r="K1249" s="65" t="n"/>
      <c r="L1249" s="65" t="n"/>
      <c r="M1249" s="65" t="n"/>
      <c r="N1249" s="65" t="n"/>
      <c r="O1249" s="65" t="n"/>
      <c r="P1249" s="65" t="n"/>
      <c r="Q1249" s="65" t="n"/>
      <c r="R1249" s="65" t="n"/>
      <c r="S1249" s="65" t="n"/>
      <c r="T1249" s="65" t="n"/>
      <c r="U1249" s="65" t="n"/>
      <c r="V1249" s="65" t="n"/>
      <c r="W1249" s="65" t="n"/>
      <c r="X1249" s="65" t="n"/>
      <c r="Y1249" s="32">
        <f>IF($C1249="","",IF(COUNTA($I1249:$K1249)&lt;3,"— חסרים נתונים",IF(AND($I1249="תקין",$J1249="תקין",$K1249="תקין"),"רהוטה",IF(AND($I1249="תקין",$J1249="תקין"),"מדויקת ורציפה","אינה מדויקת או מקוטעת"))))</f>
        <v/>
      </c>
      <c r="Z1249" s="32">
        <f>IF($C1249="","",IF(COUNTA($U1249:$W1249)&lt;3,"",IF(AND($U1249="מפותח",$V1249="מפותח",$W1249="מפותחת"),"מפותחת",IF((--($U1249="דל"))+(--($V1249="אינו מפותח"))+(--($W1249="דלה"))&gt;=2,"אינה מפותחת","חלקית"))))</f>
        <v/>
      </c>
      <c r="AA1249" s="32">
        <f>IF($C1249="","",IF(COUNTA($M1249,$N1249,$O1249)&lt;3,"— חסרים נתונים",IF(OR($M1249="נמוכה",(--($M1249&lt;&gt;"תקינה"))+(--($N1249&lt;&gt;"תקין"))+(--($O1249&lt;&gt;"תקינה"))&gt;=2),"ניכרת","אינה ניכרת")))</f>
        <v/>
      </c>
      <c r="AB1249" s="32">
        <f>IF(OR($C1249="",$Y1249="",$AA1249="",LEFT($Y1249,1)="—",LEFT($AA1249,1)="—"),"",IF($Z1249="","— נדרשת הערכת כתיבה",IF($L1249="","— חסרה הבנת הנקרא",IF($Y1249="אינה מדויקת או מקוטעת",IF($AA1249="ניכרת","מיקוד בשטף הקריאה ובכישורי שפה","מיקוד בשטף קריאה"),IF($AA1249="ניכרת","מיקוד בכישורי שפה",IF(AND($L1249="תקינה",$Z1249="מפותחת"),"קוראים וכותבים מיומנים","מיקוד בהבנה והבעה"))))))</f>
        <v/>
      </c>
      <c r="AC1249" s="32">
        <f>IF(OR($AB1249="",LEFT($AB1249,1)="—"),"",IF(OR($AB1249="מיקוד בשטף קריאה",$AB1249="מיקוד בשטף הקריאה ובכישורי שפה"),"רמה א'",IF($AB1249="קוראים וכותבים מיומנים","רמה ג'","רמה ב'")))</f>
        <v/>
      </c>
      <c r="AD1249" s="32">
        <f>IF($AC1249="","",MID(IF(AND($AC1249="רמה א'",$AA1249="ניכרת"),"; להוסיף עבודת אוצר מילים","")&amp;IF($Z1249="אינה מפותחת","; דגש על הבעה בכתב","")&amp;IF($K1249&lt;&gt;"תקין","; נדרש לעבוד על ההנגנה","")&amp;IF($AK1249&lt;&gt;"","; "&amp;$AK1249,""),3,400))</f>
        <v/>
      </c>
      <c r="AE1249" s="32">
        <f>IF($F1249="","",IF($F1249="תחילת שנה",1,IF($F1249="מחצית שנה",2,3)))</f>
        <v/>
      </c>
      <c r="AF1249" s="32">
        <f>IF(OR($B1249="",$AC1249="",$A1249="",$F1249=""),"",$B1249&amp;"|"&amp;$A1249&amp;"|"&amp;$F1249&amp;"|"&amp;$AC1249&amp;"|"&amp;COUNTIFS($B$6:$B1249,$B1249,$A$6:$A1249,$A1249,$F$6:$F1249,$F1249,$AC$6:$AC1249,$AC1249))</f>
        <v/>
      </c>
      <c r="AG1249" s="32">
        <f>IF($C1249="","",$C1249&amp;"|"&amp;COUNTIFS($C$6:$C1249,$C1249))</f>
        <v/>
      </c>
      <c r="AH1249" s="32">
        <f>IF(OR($C1249="",$A1249="",$AE1249=""),"",$C1249&amp;"|"&amp;$A1249&amp;"|"&amp;$AE1249)</f>
        <v/>
      </c>
      <c r="AI1249" s="32">
        <f>IF(OR($C1249="",$AE1249="",$AE1249=1),"",IFERROR(INDEX($AC$6:$AC$1505,MATCH($C1249&amp;"|"&amp;$A1249&amp;"|"&amp;($AE1249-1),$AH$6:$AH$1505,0)),""))</f>
        <v/>
      </c>
      <c r="AJ1249" s="32">
        <f>IF(OR($AI1249="",$AC1249=""),"",IF($AI1249=$AC1249,"ללא שינוי","מ-"&amp;$AI1249&amp;" ל-"&amp;$AC1249))</f>
        <v/>
      </c>
      <c r="AK1249" s="67" t="n"/>
    </row>
    <row r="1250">
      <c r="A1250" s="65" t="n"/>
      <c r="B1250" s="65" t="n"/>
      <c r="C1250" s="66" t="n"/>
      <c r="D1250" s="66" t="n"/>
      <c r="E1250" s="65" t="n"/>
      <c r="F1250" s="65" t="n"/>
      <c r="G1250" s="65" t="n"/>
      <c r="H1250" s="65" t="n"/>
      <c r="I1250" s="65" t="n"/>
      <c r="J1250" s="65" t="n"/>
      <c r="K1250" s="65" t="n"/>
      <c r="L1250" s="65" t="n"/>
      <c r="M1250" s="65" t="n"/>
      <c r="N1250" s="65" t="n"/>
      <c r="O1250" s="65" t="n"/>
      <c r="P1250" s="65" t="n"/>
      <c r="Q1250" s="65" t="n"/>
      <c r="R1250" s="65" t="n"/>
      <c r="S1250" s="65" t="n"/>
      <c r="T1250" s="65" t="n"/>
      <c r="U1250" s="65" t="n"/>
      <c r="V1250" s="65" t="n"/>
      <c r="W1250" s="65" t="n"/>
      <c r="X1250" s="65" t="n"/>
      <c r="Y1250" s="32">
        <f>IF($C1250="","",IF(COUNTA($I1250:$K1250)&lt;3,"— חסרים נתונים",IF(AND($I1250="תקין",$J1250="תקין",$K1250="תקין"),"רהוטה",IF(AND($I1250="תקין",$J1250="תקין"),"מדויקת ורציפה","אינה מדויקת או מקוטעת"))))</f>
        <v/>
      </c>
      <c r="Z1250" s="32">
        <f>IF($C1250="","",IF(COUNTA($U1250:$W1250)&lt;3,"",IF(AND($U1250="מפותח",$V1250="מפותח",$W1250="מפותחת"),"מפותחת",IF((--($U1250="דל"))+(--($V1250="אינו מפותח"))+(--($W1250="דלה"))&gt;=2,"אינה מפותחת","חלקית"))))</f>
        <v/>
      </c>
      <c r="AA1250" s="32">
        <f>IF($C1250="","",IF(COUNTA($M1250,$N1250,$O1250)&lt;3,"— חסרים נתונים",IF(OR($M1250="נמוכה",(--($M1250&lt;&gt;"תקינה"))+(--($N1250&lt;&gt;"תקין"))+(--($O1250&lt;&gt;"תקינה"))&gt;=2),"ניכרת","אינה ניכרת")))</f>
        <v/>
      </c>
      <c r="AB1250" s="32">
        <f>IF(OR($C1250="",$Y1250="",$AA1250="",LEFT($Y1250,1)="—",LEFT($AA1250,1)="—"),"",IF($Z1250="","— נדרשת הערכת כתיבה",IF($L1250="","— חסרה הבנת הנקרא",IF($Y1250="אינה מדויקת או מקוטעת",IF($AA1250="ניכרת","מיקוד בשטף הקריאה ובכישורי שפה","מיקוד בשטף קריאה"),IF($AA1250="ניכרת","מיקוד בכישורי שפה",IF(AND($L1250="תקינה",$Z1250="מפותחת"),"קוראים וכותבים מיומנים","מיקוד בהבנה והבעה"))))))</f>
        <v/>
      </c>
      <c r="AC1250" s="32">
        <f>IF(OR($AB1250="",LEFT($AB1250,1)="—"),"",IF(OR($AB1250="מיקוד בשטף קריאה",$AB1250="מיקוד בשטף הקריאה ובכישורי שפה"),"רמה א'",IF($AB1250="קוראים וכותבים מיומנים","רמה ג'","רמה ב'")))</f>
        <v/>
      </c>
      <c r="AD1250" s="32">
        <f>IF($AC1250="","",MID(IF(AND($AC1250="רמה א'",$AA1250="ניכרת"),"; להוסיף עבודת אוצר מילים","")&amp;IF($Z1250="אינה מפותחת","; דגש על הבעה בכתב","")&amp;IF($K1250&lt;&gt;"תקין","; נדרש לעבוד על ההנגנה","")&amp;IF($AK1250&lt;&gt;"","; "&amp;$AK1250,""),3,400))</f>
        <v/>
      </c>
      <c r="AE1250" s="32">
        <f>IF($F1250="","",IF($F1250="תחילת שנה",1,IF($F1250="מחצית שנה",2,3)))</f>
        <v/>
      </c>
      <c r="AF1250" s="32">
        <f>IF(OR($B1250="",$AC1250="",$A1250="",$F1250=""),"",$B1250&amp;"|"&amp;$A1250&amp;"|"&amp;$F1250&amp;"|"&amp;$AC1250&amp;"|"&amp;COUNTIFS($B$6:$B1250,$B1250,$A$6:$A1250,$A1250,$F$6:$F1250,$F1250,$AC$6:$AC1250,$AC1250))</f>
        <v/>
      </c>
      <c r="AG1250" s="32">
        <f>IF($C1250="","",$C1250&amp;"|"&amp;COUNTIFS($C$6:$C1250,$C1250))</f>
        <v/>
      </c>
      <c r="AH1250" s="32">
        <f>IF(OR($C1250="",$A1250="",$AE1250=""),"",$C1250&amp;"|"&amp;$A1250&amp;"|"&amp;$AE1250)</f>
        <v/>
      </c>
      <c r="AI1250" s="32">
        <f>IF(OR($C1250="",$AE1250="",$AE1250=1),"",IFERROR(INDEX($AC$6:$AC$1505,MATCH($C1250&amp;"|"&amp;$A1250&amp;"|"&amp;($AE1250-1),$AH$6:$AH$1505,0)),""))</f>
        <v/>
      </c>
      <c r="AJ1250" s="32">
        <f>IF(OR($AI1250="",$AC1250=""),"",IF($AI1250=$AC1250,"ללא שינוי","מ-"&amp;$AI1250&amp;" ל-"&amp;$AC1250))</f>
        <v/>
      </c>
      <c r="AK1250" s="67" t="n"/>
    </row>
    <row r="1251">
      <c r="A1251" s="65" t="n"/>
      <c r="B1251" s="65" t="n"/>
      <c r="C1251" s="66" t="n"/>
      <c r="D1251" s="66" t="n"/>
      <c r="E1251" s="65" t="n"/>
      <c r="F1251" s="65" t="n"/>
      <c r="G1251" s="65" t="n"/>
      <c r="H1251" s="65" t="n"/>
      <c r="I1251" s="65" t="n"/>
      <c r="J1251" s="65" t="n"/>
      <c r="K1251" s="65" t="n"/>
      <c r="L1251" s="65" t="n"/>
      <c r="M1251" s="65" t="n"/>
      <c r="N1251" s="65" t="n"/>
      <c r="O1251" s="65" t="n"/>
      <c r="P1251" s="65" t="n"/>
      <c r="Q1251" s="65" t="n"/>
      <c r="R1251" s="65" t="n"/>
      <c r="S1251" s="65" t="n"/>
      <c r="T1251" s="65" t="n"/>
      <c r="U1251" s="65" t="n"/>
      <c r="V1251" s="65" t="n"/>
      <c r="W1251" s="65" t="n"/>
      <c r="X1251" s="65" t="n"/>
      <c r="Y1251" s="32">
        <f>IF($C1251="","",IF(COUNTA($I1251:$K1251)&lt;3,"— חסרים נתונים",IF(AND($I1251="תקין",$J1251="תקין",$K1251="תקין"),"רהוטה",IF(AND($I1251="תקין",$J1251="תקין"),"מדויקת ורציפה","אינה מדויקת או מקוטעת"))))</f>
        <v/>
      </c>
      <c r="Z1251" s="32">
        <f>IF($C1251="","",IF(COUNTA($U1251:$W1251)&lt;3,"",IF(AND($U1251="מפותח",$V1251="מפותח",$W1251="מפותחת"),"מפותחת",IF((--($U1251="דל"))+(--($V1251="אינו מפותח"))+(--($W1251="דלה"))&gt;=2,"אינה מפותחת","חלקית"))))</f>
        <v/>
      </c>
      <c r="AA1251" s="32">
        <f>IF($C1251="","",IF(COUNTA($M1251,$N1251,$O1251)&lt;3,"— חסרים נתונים",IF(OR($M1251="נמוכה",(--($M1251&lt;&gt;"תקינה"))+(--($N1251&lt;&gt;"תקין"))+(--($O1251&lt;&gt;"תקינה"))&gt;=2),"ניכרת","אינה ניכרת")))</f>
        <v/>
      </c>
      <c r="AB1251" s="32">
        <f>IF(OR($C1251="",$Y1251="",$AA1251="",LEFT($Y1251,1)="—",LEFT($AA1251,1)="—"),"",IF($Z1251="","— נדרשת הערכת כתיבה",IF($L1251="","— חסרה הבנת הנקרא",IF($Y1251="אינה מדויקת או מקוטעת",IF($AA1251="ניכרת","מיקוד בשטף הקריאה ובכישורי שפה","מיקוד בשטף קריאה"),IF($AA1251="ניכרת","מיקוד בכישורי שפה",IF(AND($L1251="תקינה",$Z1251="מפותחת"),"קוראים וכותבים מיומנים","מיקוד בהבנה והבעה"))))))</f>
        <v/>
      </c>
      <c r="AC1251" s="32">
        <f>IF(OR($AB1251="",LEFT($AB1251,1)="—"),"",IF(OR($AB1251="מיקוד בשטף קריאה",$AB1251="מיקוד בשטף הקריאה ובכישורי שפה"),"רמה א'",IF($AB1251="קוראים וכותבים מיומנים","רמה ג'","רמה ב'")))</f>
        <v/>
      </c>
      <c r="AD1251" s="32">
        <f>IF($AC1251="","",MID(IF(AND($AC1251="רמה א'",$AA1251="ניכרת"),"; להוסיף עבודת אוצר מילים","")&amp;IF($Z1251="אינה מפותחת","; דגש על הבעה בכתב","")&amp;IF($K1251&lt;&gt;"תקין","; נדרש לעבוד על ההנגנה","")&amp;IF($AK1251&lt;&gt;"","; "&amp;$AK1251,""),3,400))</f>
        <v/>
      </c>
      <c r="AE1251" s="32">
        <f>IF($F1251="","",IF($F1251="תחילת שנה",1,IF($F1251="מחצית שנה",2,3)))</f>
        <v/>
      </c>
      <c r="AF1251" s="32">
        <f>IF(OR($B1251="",$AC1251="",$A1251="",$F1251=""),"",$B1251&amp;"|"&amp;$A1251&amp;"|"&amp;$F1251&amp;"|"&amp;$AC1251&amp;"|"&amp;COUNTIFS($B$6:$B1251,$B1251,$A$6:$A1251,$A1251,$F$6:$F1251,$F1251,$AC$6:$AC1251,$AC1251))</f>
        <v/>
      </c>
      <c r="AG1251" s="32">
        <f>IF($C1251="","",$C1251&amp;"|"&amp;COUNTIFS($C$6:$C1251,$C1251))</f>
        <v/>
      </c>
      <c r="AH1251" s="32">
        <f>IF(OR($C1251="",$A1251="",$AE1251=""),"",$C1251&amp;"|"&amp;$A1251&amp;"|"&amp;$AE1251)</f>
        <v/>
      </c>
      <c r="AI1251" s="32">
        <f>IF(OR($C1251="",$AE1251="",$AE1251=1),"",IFERROR(INDEX($AC$6:$AC$1505,MATCH($C1251&amp;"|"&amp;$A1251&amp;"|"&amp;($AE1251-1),$AH$6:$AH$1505,0)),""))</f>
        <v/>
      </c>
      <c r="AJ1251" s="32">
        <f>IF(OR($AI1251="",$AC1251=""),"",IF($AI1251=$AC1251,"ללא שינוי","מ-"&amp;$AI1251&amp;" ל-"&amp;$AC1251))</f>
        <v/>
      </c>
      <c r="AK1251" s="67" t="n"/>
    </row>
    <row r="1252">
      <c r="A1252" s="65" t="n"/>
      <c r="B1252" s="65" t="n"/>
      <c r="C1252" s="66" t="n"/>
      <c r="D1252" s="66" t="n"/>
      <c r="E1252" s="65" t="n"/>
      <c r="F1252" s="65" t="n"/>
      <c r="G1252" s="65" t="n"/>
      <c r="H1252" s="65" t="n"/>
      <c r="I1252" s="65" t="n"/>
      <c r="J1252" s="65" t="n"/>
      <c r="K1252" s="65" t="n"/>
      <c r="L1252" s="65" t="n"/>
      <c r="M1252" s="65" t="n"/>
      <c r="N1252" s="65" t="n"/>
      <c r="O1252" s="65" t="n"/>
      <c r="P1252" s="65" t="n"/>
      <c r="Q1252" s="65" t="n"/>
      <c r="R1252" s="65" t="n"/>
      <c r="S1252" s="65" t="n"/>
      <c r="T1252" s="65" t="n"/>
      <c r="U1252" s="65" t="n"/>
      <c r="V1252" s="65" t="n"/>
      <c r="W1252" s="65" t="n"/>
      <c r="X1252" s="65" t="n"/>
      <c r="Y1252" s="32">
        <f>IF($C1252="","",IF(COUNTA($I1252:$K1252)&lt;3,"— חסרים נתונים",IF(AND($I1252="תקין",$J1252="תקין",$K1252="תקין"),"רהוטה",IF(AND($I1252="תקין",$J1252="תקין"),"מדויקת ורציפה","אינה מדויקת או מקוטעת"))))</f>
        <v/>
      </c>
      <c r="Z1252" s="32">
        <f>IF($C1252="","",IF(COUNTA($U1252:$W1252)&lt;3,"",IF(AND($U1252="מפותח",$V1252="מפותח",$W1252="מפותחת"),"מפותחת",IF((--($U1252="דל"))+(--($V1252="אינו מפותח"))+(--($W1252="דלה"))&gt;=2,"אינה מפותחת","חלקית"))))</f>
        <v/>
      </c>
      <c r="AA1252" s="32">
        <f>IF($C1252="","",IF(COUNTA($M1252,$N1252,$O1252)&lt;3,"— חסרים נתונים",IF(OR($M1252="נמוכה",(--($M1252&lt;&gt;"תקינה"))+(--($N1252&lt;&gt;"תקין"))+(--($O1252&lt;&gt;"תקינה"))&gt;=2),"ניכרת","אינה ניכרת")))</f>
        <v/>
      </c>
      <c r="AB1252" s="32">
        <f>IF(OR($C1252="",$Y1252="",$AA1252="",LEFT($Y1252,1)="—",LEFT($AA1252,1)="—"),"",IF($Z1252="","— נדרשת הערכת כתיבה",IF($L1252="","— חסרה הבנת הנקרא",IF($Y1252="אינה מדויקת או מקוטעת",IF($AA1252="ניכרת","מיקוד בשטף הקריאה ובכישורי שפה","מיקוד בשטף קריאה"),IF($AA1252="ניכרת","מיקוד בכישורי שפה",IF(AND($L1252="תקינה",$Z1252="מפותחת"),"קוראים וכותבים מיומנים","מיקוד בהבנה והבעה"))))))</f>
        <v/>
      </c>
      <c r="AC1252" s="32">
        <f>IF(OR($AB1252="",LEFT($AB1252,1)="—"),"",IF(OR($AB1252="מיקוד בשטף קריאה",$AB1252="מיקוד בשטף הקריאה ובכישורי שפה"),"רמה א'",IF($AB1252="קוראים וכותבים מיומנים","רמה ג'","רמה ב'")))</f>
        <v/>
      </c>
      <c r="AD1252" s="32">
        <f>IF($AC1252="","",MID(IF(AND($AC1252="רמה א'",$AA1252="ניכרת"),"; להוסיף עבודת אוצר מילים","")&amp;IF($Z1252="אינה מפותחת","; דגש על הבעה בכתב","")&amp;IF($K1252&lt;&gt;"תקין","; נדרש לעבוד על ההנגנה","")&amp;IF($AK1252&lt;&gt;"","; "&amp;$AK1252,""),3,400))</f>
        <v/>
      </c>
      <c r="AE1252" s="32">
        <f>IF($F1252="","",IF($F1252="תחילת שנה",1,IF($F1252="מחצית שנה",2,3)))</f>
        <v/>
      </c>
      <c r="AF1252" s="32">
        <f>IF(OR($B1252="",$AC1252="",$A1252="",$F1252=""),"",$B1252&amp;"|"&amp;$A1252&amp;"|"&amp;$F1252&amp;"|"&amp;$AC1252&amp;"|"&amp;COUNTIFS($B$6:$B1252,$B1252,$A$6:$A1252,$A1252,$F$6:$F1252,$F1252,$AC$6:$AC1252,$AC1252))</f>
        <v/>
      </c>
      <c r="AG1252" s="32">
        <f>IF($C1252="","",$C1252&amp;"|"&amp;COUNTIFS($C$6:$C1252,$C1252))</f>
        <v/>
      </c>
      <c r="AH1252" s="32">
        <f>IF(OR($C1252="",$A1252="",$AE1252=""),"",$C1252&amp;"|"&amp;$A1252&amp;"|"&amp;$AE1252)</f>
        <v/>
      </c>
      <c r="AI1252" s="32">
        <f>IF(OR($C1252="",$AE1252="",$AE1252=1),"",IFERROR(INDEX($AC$6:$AC$1505,MATCH($C1252&amp;"|"&amp;$A1252&amp;"|"&amp;($AE1252-1),$AH$6:$AH$1505,0)),""))</f>
        <v/>
      </c>
      <c r="AJ1252" s="32">
        <f>IF(OR($AI1252="",$AC1252=""),"",IF($AI1252=$AC1252,"ללא שינוי","מ-"&amp;$AI1252&amp;" ל-"&amp;$AC1252))</f>
        <v/>
      </c>
      <c r="AK1252" s="67" t="n"/>
    </row>
    <row r="1253">
      <c r="A1253" s="65" t="n"/>
      <c r="B1253" s="65" t="n"/>
      <c r="C1253" s="66" t="n"/>
      <c r="D1253" s="66" t="n"/>
      <c r="E1253" s="65" t="n"/>
      <c r="F1253" s="65" t="n"/>
      <c r="G1253" s="65" t="n"/>
      <c r="H1253" s="65" t="n"/>
      <c r="I1253" s="65" t="n"/>
      <c r="J1253" s="65" t="n"/>
      <c r="K1253" s="65" t="n"/>
      <c r="L1253" s="65" t="n"/>
      <c r="M1253" s="65" t="n"/>
      <c r="N1253" s="65" t="n"/>
      <c r="O1253" s="65" t="n"/>
      <c r="P1253" s="65" t="n"/>
      <c r="Q1253" s="65" t="n"/>
      <c r="R1253" s="65" t="n"/>
      <c r="S1253" s="65" t="n"/>
      <c r="T1253" s="65" t="n"/>
      <c r="U1253" s="65" t="n"/>
      <c r="V1253" s="65" t="n"/>
      <c r="W1253" s="65" t="n"/>
      <c r="X1253" s="65" t="n"/>
      <c r="Y1253" s="32">
        <f>IF($C1253="","",IF(COUNTA($I1253:$K1253)&lt;3,"— חסרים נתונים",IF(AND($I1253="תקין",$J1253="תקין",$K1253="תקין"),"רהוטה",IF(AND($I1253="תקין",$J1253="תקין"),"מדויקת ורציפה","אינה מדויקת או מקוטעת"))))</f>
        <v/>
      </c>
      <c r="Z1253" s="32">
        <f>IF($C1253="","",IF(COUNTA($U1253:$W1253)&lt;3,"",IF(AND($U1253="מפותח",$V1253="מפותח",$W1253="מפותחת"),"מפותחת",IF((--($U1253="דל"))+(--($V1253="אינו מפותח"))+(--($W1253="דלה"))&gt;=2,"אינה מפותחת","חלקית"))))</f>
        <v/>
      </c>
      <c r="AA1253" s="32">
        <f>IF($C1253="","",IF(COUNTA($M1253,$N1253,$O1253)&lt;3,"— חסרים נתונים",IF(OR($M1253="נמוכה",(--($M1253&lt;&gt;"תקינה"))+(--($N1253&lt;&gt;"תקין"))+(--($O1253&lt;&gt;"תקינה"))&gt;=2),"ניכרת","אינה ניכרת")))</f>
        <v/>
      </c>
      <c r="AB1253" s="32">
        <f>IF(OR($C1253="",$Y1253="",$AA1253="",LEFT($Y1253,1)="—",LEFT($AA1253,1)="—"),"",IF($Z1253="","— נדרשת הערכת כתיבה",IF($L1253="","— חסרה הבנת הנקרא",IF($Y1253="אינה מדויקת או מקוטעת",IF($AA1253="ניכרת","מיקוד בשטף הקריאה ובכישורי שפה","מיקוד בשטף קריאה"),IF($AA1253="ניכרת","מיקוד בכישורי שפה",IF(AND($L1253="תקינה",$Z1253="מפותחת"),"קוראים וכותבים מיומנים","מיקוד בהבנה והבעה"))))))</f>
        <v/>
      </c>
      <c r="AC1253" s="32">
        <f>IF(OR($AB1253="",LEFT($AB1253,1)="—"),"",IF(OR($AB1253="מיקוד בשטף קריאה",$AB1253="מיקוד בשטף הקריאה ובכישורי שפה"),"רמה א'",IF($AB1253="קוראים וכותבים מיומנים","רמה ג'","רמה ב'")))</f>
        <v/>
      </c>
      <c r="AD1253" s="32">
        <f>IF($AC1253="","",MID(IF(AND($AC1253="רמה א'",$AA1253="ניכרת"),"; להוסיף עבודת אוצר מילים","")&amp;IF($Z1253="אינה מפותחת","; דגש על הבעה בכתב","")&amp;IF($K1253&lt;&gt;"תקין","; נדרש לעבוד על ההנגנה","")&amp;IF($AK1253&lt;&gt;"","; "&amp;$AK1253,""),3,400))</f>
        <v/>
      </c>
      <c r="AE1253" s="32">
        <f>IF($F1253="","",IF($F1253="תחילת שנה",1,IF($F1253="מחצית שנה",2,3)))</f>
        <v/>
      </c>
      <c r="AF1253" s="32">
        <f>IF(OR($B1253="",$AC1253="",$A1253="",$F1253=""),"",$B1253&amp;"|"&amp;$A1253&amp;"|"&amp;$F1253&amp;"|"&amp;$AC1253&amp;"|"&amp;COUNTIFS($B$6:$B1253,$B1253,$A$6:$A1253,$A1253,$F$6:$F1253,$F1253,$AC$6:$AC1253,$AC1253))</f>
        <v/>
      </c>
      <c r="AG1253" s="32">
        <f>IF($C1253="","",$C1253&amp;"|"&amp;COUNTIFS($C$6:$C1253,$C1253))</f>
        <v/>
      </c>
      <c r="AH1253" s="32">
        <f>IF(OR($C1253="",$A1253="",$AE1253=""),"",$C1253&amp;"|"&amp;$A1253&amp;"|"&amp;$AE1253)</f>
        <v/>
      </c>
      <c r="AI1253" s="32">
        <f>IF(OR($C1253="",$AE1253="",$AE1253=1),"",IFERROR(INDEX($AC$6:$AC$1505,MATCH($C1253&amp;"|"&amp;$A1253&amp;"|"&amp;($AE1253-1),$AH$6:$AH$1505,0)),""))</f>
        <v/>
      </c>
      <c r="AJ1253" s="32">
        <f>IF(OR($AI1253="",$AC1253=""),"",IF($AI1253=$AC1253,"ללא שינוי","מ-"&amp;$AI1253&amp;" ל-"&amp;$AC1253))</f>
        <v/>
      </c>
      <c r="AK1253" s="67" t="n"/>
    </row>
    <row r="1254">
      <c r="A1254" s="65" t="n"/>
      <c r="B1254" s="65" t="n"/>
      <c r="C1254" s="66" t="n"/>
      <c r="D1254" s="66" t="n"/>
      <c r="E1254" s="65" t="n"/>
      <c r="F1254" s="65" t="n"/>
      <c r="G1254" s="65" t="n"/>
      <c r="H1254" s="65" t="n"/>
      <c r="I1254" s="65" t="n"/>
      <c r="J1254" s="65" t="n"/>
      <c r="K1254" s="65" t="n"/>
      <c r="L1254" s="65" t="n"/>
      <c r="M1254" s="65" t="n"/>
      <c r="N1254" s="65" t="n"/>
      <c r="O1254" s="65" t="n"/>
      <c r="P1254" s="65" t="n"/>
      <c r="Q1254" s="65" t="n"/>
      <c r="R1254" s="65" t="n"/>
      <c r="S1254" s="65" t="n"/>
      <c r="T1254" s="65" t="n"/>
      <c r="U1254" s="65" t="n"/>
      <c r="V1254" s="65" t="n"/>
      <c r="W1254" s="65" t="n"/>
      <c r="X1254" s="65" t="n"/>
      <c r="Y1254" s="32">
        <f>IF($C1254="","",IF(COUNTA($I1254:$K1254)&lt;3,"— חסרים נתונים",IF(AND($I1254="תקין",$J1254="תקין",$K1254="תקין"),"רהוטה",IF(AND($I1254="תקין",$J1254="תקין"),"מדויקת ורציפה","אינה מדויקת או מקוטעת"))))</f>
        <v/>
      </c>
      <c r="Z1254" s="32">
        <f>IF($C1254="","",IF(COUNTA($U1254:$W1254)&lt;3,"",IF(AND($U1254="מפותח",$V1254="מפותח",$W1254="מפותחת"),"מפותחת",IF((--($U1254="דל"))+(--($V1254="אינו מפותח"))+(--($W1254="דלה"))&gt;=2,"אינה מפותחת","חלקית"))))</f>
        <v/>
      </c>
      <c r="AA1254" s="32">
        <f>IF($C1254="","",IF(COUNTA($M1254,$N1254,$O1254)&lt;3,"— חסרים נתונים",IF(OR($M1254="נמוכה",(--($M1254&lt;&gt;"תקינה"))+(--($N1254&lt;&gt;"תקין"))+(--($O1254&lt;&gt;"תקינה"))&gt;=2),"ניכרת","אינה ניכרת")))</f>
        <v/>
      </c>
      <c r="AB1254" s="32">
        <f>IF(OR($C1254="",$Y1254="",$AA1254="",LEFT($Y1254,1)="—",LEFT($AA1254,1)="—"),"",IF($Z1254="","— נדרשת הערכת כתיבה",IF($L1254="","— חסרה הבנת הנקרא",IF($Y1254="אינה מדויקת או מקוטעת",IF($AA1254="ניכרת","מיקוד בשטף הקריאה ובכישורי שפה","מיקוד בשטף קריאה"),IF($AA1254="ניכרת","מיקוד בכישורי שפה",IF(AND($L1254="תקינה",$Z1254="מפותחת"),"קוראים וכותבים מיומנים","מיקוד בהבנה והבעה"))))))</f>
        <v/>
      </c>
      <c r="AC1254" s="32">
        <f>IF(OR($AB1254="",LEFT($AB1254,1)="—"),"",IF(OR($AB1254="מיקוד בשטף קריאה",$AB1254="מיקוד בשטף הקריאה ובכישורי שפה"),"רמה א'",IF($AB1254="קוראים וכותבים מיומנים","רמה ג'","רמה ב'")))</f>
        <v/>
      </c>
      <c r="AD1254" s="32">
        <f>IF($AC1254="","",MID(IF(AND($AC1254="רמה א'",$AA1254="ניכרת"),"; להוסיף עבודת אוצר מילים","")&amp;IF($Z1254="אינה מפותחת","; דגש על הבעה בכתב","")&amp;IF($K1254&lt;&gt;"תקין","; נדרש לעבוד על ההנגנה","")&amp;IF($AK1254&lt;&gt;"","; "&amp;$AK1254,""),3,400))</f>
        <v/>
      </c>
      <c r="AE1254" s="32">
        <f>IF($F1254="","",IF($F1254="תחילת שנה",1,IF($F1254="מחצית שנה",2,3)))</f>
        <v/>
      </c>
      <c r="AF1254" s="32">
        <f>IF(OR($B1254="",$AC1254="",$A1254="",$F1254=""),"",$B1254&amp;"|"&amp;$A1254&amp;"|"&amp;$F1254&amp;"|"&amp;$AC1254&amp;"|"&amp;COUNTIFS($B$6:$B1254,$B1254,$A$6:$A1254,$A1254,$F$6:$F1254,$F1254,$AC$6:$AC1254,$AC1254))</f>
        <v/>
      </c>
      <c r="AG1254" s="32">
        <f>IF($C1254="","",$C1254&amp;"|"&amp;COUNTIFS($C$6:$C1254,$C1254))</f>
        <v/>
      </c>
      <c r="AH1254" s="32">
        <f>IF(OR($C1254="",$A1254="",$AE1254=""),"",$C1254&amp;"|"&amp;$A1254&amp;"|"&amp;$AE1254)</f>
        <v/>
      </c>
      <c r="AI1254" s="32">
        <f>IF(OR($C1254="",$AE1254="",$AE1254=1),"",IFERROR(INDEX($AC$6:$AC$1505,MATCH($C1254&amp;"|"&amp;$A1254&amp;"|"&amp;($AE1254-1),$AH$6:$AH$1505,0)),""))</f>
        <v/>
      </c>
      <c r="AJ1254" s="32">
        <f>IF(OR($AI1254="",$AC1254=""),"",IF($AI1254=$AC1254,"ללא שינוי","מ-"&amp;$AI1254&amp;" ל-"&amp;$AC1254))</f>
        <v/>
      </c>
      <c r="AK1254" s="67" t="n"/>
    </row>
    <row r="1255">
      <c r="A1255" s="65" t="n"/>
      <c r="B1255" s="65" t="n"/>
      <c r="C1255" s="66" t="n"/>
      <c r="D1255" s="66" t="n"/>
      <c r="E1255" s="65" t="n"/>
      <c r="F1255" s="65" t="n"/>
      <c r="G1255" s="65" t="n"/>
      <c r="H1255" s="65" t="n"/>
      <c r="I1255" s="65" t="n"/>
      <c r="J1255" s="65" t="n"/>
      <c r="K1255" s="65" t="n"/>
      <c r="L1255" s="65" t="n"/>
      <c r="M1255" s="65" t="n"/>
      <c r="N1255" s="65" t="n"/>
      <c r="O1255" s="65" t="n"/>
      <c r="P1255" s="65" t="n"/>
      <c r="Q1255" s="65" t="n"/>
      <c r="R1255" s="65" t="n"/>
      <c r="S1255" s="65" t="n"/>
      <c r="T1255" s="65" t="n"/>
      <c r="U1255" s="65" t="n"/>
      <c r="V1255" s="65" t="n"/>
      <c r="W1255" s="65" t="n"/>
      <c r="X1255" s="65" t="n"/>
      <c r="Y1255" s="32">
        <f>IF($C1255="","",IF(COUNTA($I1255:$K1255)&lt;3,"— חסרים נתונים",IF(AND($I1255="תקין",$J1255="תקין",$K1255="תקין"),"רהוטה",IF(AND($I1255="תקין",$J1255="תקין"),"מדויקת ורציפה","אינה מדויקת או מקוטעת"))))</f>
        <v/>
      </c>
      <c r="Z1255" s="32">
        <f>IF($C1255="","",IF(COUNTA($U1255:$W1255)&lt;3,"",IF(AND($U1255="מפותח",$V1255="מפותח",$W1255="מפותחת"),"מפותחת",IF((--($U1255="דל"))+(--($V1255="אינו מפותח"))+(--($W1255="דלה"))&gt;=2,"אינה מפותחת","חלקית"))))</f>
        <v/>
      </c>
      <c r="AA1255" s="32">
        <f>IF($C1255="","",IF(COUNTA($M1255,$N1255,$O1255)&lt;3,"— חסרים נתונים",IF(OR($M1255="נמוכה",(--($M1255&lt;&gt;"תקינה"))+(--($N1255&lt;&gt;"תקין"))+(--($O1255&lt;&gt;"תקינה"))&gt;=2),"ניכרת","אינה ניכרת")))</f>
        <v/>
      </c>
      <c r="AB1255" s="32">
        <f>IF(OR($C1255="",$Y1255="",$AA1255="",LEFT($Y1255,1)="—",LEFT($AA1255,1)="—"),"",IF($Z1255="","— נדרשת הערכת כתיבה",IF($L1255="","— חסרה הבנת הנקרא",IF($Y1255="אינה מדויקת או מקוטעת",IF($AA1255="ניכרת","מיקוד בשטף הקריאה ובכישורי שפה","מיקוד בשטף קריאה"),IF($AA1255="ניכרת","מיקוד בכישורי שפה",IF(AND($L1255="תקינה",$Z1255="מפותחת"),"קוראים וכותבים מיומנים","מיקוד בהבנה והבעה"))))))</f>
        <v/>
      </c>
      <c r="AC1255" s="32">
        <f>IF(OR($AB1255="",LEFT($AB1255,1)="—"),"",IF(OR($AB1255="מיקוד בשטף קריאה",$AB1255="מיקוד בשטף הקריאה ובכישורי שפה"),"רמה א'",IF($AB1255="קוראים וכותבים מיומנים","רמה ג'","רמה ב'")))</f>
        <v/>
      </c>
      <c r="AD1255" s="32">
        <f>IF($AC1255="","",MID(IF(AND($AC1255="רמה א'",$AA1255="ניכרת"),"; להוסיף עבודת אוצר מילים","")&amp;IF($Z1255="אינה מפותחת","; דגש על הבעה בכתב","")&amp;IF($K1255&lt;&gt;"תקין","; נדרש לעבוד על ההנגנה","")&amp;IF($AK1255&lt;&gt;"","; "&amp;$AK1255,""),3,400))</f>
        <v/>
      </c>
      <c r="AE1255" s="32">
        <f>IF($F1255="","",IF($F1255="תחילת שנה",1,IF($F1255="מחצית שנה",2,3)))</f>
        <v/>
      </c>
      <c r="AF1255" s="32">
        <f>IF(OR($B1255="",$AC1255="",$A1255="",$F1255=""),"",$B1255&amp;"|"&amp;$A1255&amp;"|"&amp;$F1255&amp;"|"&amp;$AC1255&amp;"|"&amp;COUNTIFS($B$6:$B1255,$B1255,$A$6:$A1255,$A1255,$F$6:$F1255,$F1255,$AC$6:$AC1255,$AC1255))</f>
        <v/>
      </c>
      <c r="AG1255" s="32">
        <f>IF($C1255="","",$C1255&amp;"|"&amp;COUNTIFS($C$6:$C1255,$C1255))</f>
        <v/>
      </c>
      <c r="AH1255" s="32">
        <f>IF(OR($C1255="",$A1255="",$AE1255=""),"",$C1255&amp;"|"&amp;$A1255&amp;"|"&amp;$AE1255)</f>
        <v/>
      </c>
      <c r="AI1255" s="32">
        <f>IF(OR($C1255="",$AE1255="",$AE1255=1),"",IFERROR(INDEX($AC$6:$AC$1505,MATCH($C1255&amp;"|"&amp;$A1255&amp;"|"&amp;($AE1255-1),$AH$6:$AH$1505,0)),""))</f>
        <v/>
      </c>
      <c r="AJ1255" s="32">
        <f>IF(OR($AI1255="",$AC1255=""),"",IF($AI1255=$AC1255,"ללא שינוי","מ-"&amp;$AI1255&amp;" ל-"&amp;$AC1255))</f>
        <v/>
      </c>
      <c r="AK1255" s="67" t="n"/>
    </row>
    <row r="1256">
      <c r="A1256" s="65" t="n"/>
      <c r="B1256" s="65" t="n"/>
      <c r="C1256" s="66" t="n"/>
      <c r="D1256" s="66" t="n"/>
      <c r="E1256" s="65" t="n"/>
      <c r="F1256" s="65" t="n"/>
      <c r="G1256" s="65" t="n"/>
      <c r="H1256" s="65" t="n"/>
      <c r="I1256" s="65" t="n"/>
      <c r="J1256" s="65" t="n"/>
      <c r="K1256" s="65" t="n"/>
      <c r="L1256" s="65" t="n"/>
      <c r="M1256" s="65" t="n"/>
      <c r="N1256" s="65" t="n"/>
      <c r="O1256" s="65" t="n"/>
      <c r="P1256" s="65" t="n"/>
      <c r="Q1256" s="65" t="n"/>
      <c r="R1256" s="65" t="n"/>
      <c r="S1256" s="65" t="n"/>
      <c r="T1256" s="65" t="n"/>
      <c r="U1256" s="65" t="n"/>
      <c r="V1256" s="65" t="n"/>
      <c r="W1256" s="65" t="n"/>
      <c r="X1256" s="65" t="n"/>
      <c r="Y1256" s="32">
        <f>IF($C1256="","",IF(COUNTA($I1256:$K1256)&lt;3,"— חסרים נתונים",IF(AND($I1256="תקין",$J1256="תקין",$K1256="תקין"),"רהוטה",IF(AND($I1256="תקין",$J1256="תקין"),"מדויקת ורציפה","אינה מדויקת או מקוטעת"))))</f>
        <v/>
      </c>
      <c r="Z1256" s="32">
        <f>IF($C1256="","",IF(COUNTA($U1256:$W1256)&lt;3,"",IF(AND($U1256="מפותח",$V1256="מפותח",$W1256="מפותחת"),"מפותחת",IF((--($U1256="דל"))+(--($V1256="אינו מפותח"))+(--($W1256="דלה"))&gt;=2,"אינה מפותחת","חלקית"))))</f>
        <v/>
      </c>
      <c r="AA1256" s="32">
        <f>IF($C1256="","",IF(COUNTA($M1256,$N1256,$O1256)&lt;3,"— חסרים נתונים",IF(OR($M1256="נמוכה",(--($M1256&lt;&gt;"תקינה"))+(--($N1256&lt;&gt;"תקין"))+(--($O1256&lt;&gt;"תקינה"))&gt;=2),"ניכרת","אינה ניכרת")))</f>
        <v/>
      </c>
      <c r="AB1256" s="32">
        <f>IF(OR($C1256="",$Y1256="",$AA1256="",LEFT($Y1256,1)="—",LEFT($AA1256,1)="—"),"",IF($Z1256="","— נדרשת הערכת כתיבה",IF($L1256="","— חסרה הבנת הנקרא",IF($Y1256="אינה מדויקת או מקוטעת",IF($AA1256="ניכרת","מיקוד בשטף הקריאה ובכישורי שפה","מיקוד בשטף קריאה"),IF($AA1256="ניכרת","מיקוד בכישורי שפה",IF(AND($L1256="תקינה",$Z1256="מפותחת"),"קוראים וכותבים מיומנים","מיקוד בהבנה והבעה"))))))</f>
        <v/>
      </c>
      <c r="AC1256" s="32">
        <f>IF(OR($AB1256="",LEFT($AB1256,1)="—"),"",IF(OR($AB1256="מיקוד בשטף קריאה",$AB1256="מיקוד בשטף הקריאה ובכישורי שפה"),"רמה א'",IF($AB1256="קוראים וכותבים מיומנים","רמה ג'","רמה ב'")))</f>
        <v/>
      </c>
      <c r="AD1256" s="32">
        <f>IF($AC1256="","",MID(IF(AND($AC1256="רמה א'",$AA1256="ניכרת"),"; להוסיף עבודת אוצר מילים","")&amp;IF($Z1256="אינה מפותחת","; דגש על הבעה בכתב","")&amp;IF($K1256&lt;&gt;"תקין","; נדרש לעבוד על ההנגנה","")&amp;IF($AK1256&lt;&gt;"","; "&amp;$AK1256,""),3,400))</f>
        <v/>
      </c>
      <c r="AE1256" s="32">
        <f>IF($F1256="","",IF($F1256="תחילת שנה",1,IF($F1256="מחצית שנה",2,3)))</f>
        <v/>
      </c>
      <c r="AF1256" s="32">
        <f>IF(OR($B1256="",$AC1256="",$A1256="",$F1256=""),"",$B1256&amp;"|"&amp;$A1256&amp;"|"&amp;$F1256&amp;"|"&amp;$AC1256&amp;"|"&amp;COUNTIFS($B$6:$B1256,$B1256,$A$6:$A1256,$A1256,$F$6:$F1256,$F1256,$AC$6:$AC1256,$AC1256))</f>
        <v/>
      </c>
      <c r="AG1256" s="32">
        <f>IF($C1256="","",$C1256&amp;"|"&amp;COUNTIFS($C$6:$C1256,$C1256))</f>
        <v/>
      </c>
      <c r="AH1256" s="32">
        <f>IF(OR($C1256="",$A1256="",$AE1256=""),"",$C1256&amp;"|"&amp;$A1256&amp;"|"&amp;$AE1256)</f>
        <v/>
      </c>
      <c r="AI1256" s="32">
        <f>IF(OR($C1256="",$AE1256="",$AE1256=1),"",IFERROR(INDEX($AC$6:$AC$1505,MATCH($C1256&amp;"|"&amp;$A1256&amp;"|"&amp;($AE1256-1),$AH$6:$AH$1505,0)),""))</f>
        <v/>
      </c>
      <c r="AJ1256" s="32">
        <f>IF(OR($AI1256="",$AC1256=""),"",IF($AI1256=$AC1256,"ללא שינוי","מ-"&amp;$AI1256&amp;" ל-"&amp;$AC1256))</f>
        <v/>
      </c>
      <c r="AK1256" s="67" t="n"/>
    </row>
    <row r="1257">
      <c r="A1257" s="65" t="n"/>
      <c r="B1257" s="65" t="n"/>
      <c r="C1257" s="66" t="n"/>
      <c r="D1257" s="66" t="n"/>
      <c r="E1257" s="65" t="n"/>
      <c r="F1257" s="65" t="n"/>
      <c r="G1257" s="65" t="n"/>
      <c r="H1257" s="65" t="n"/>
      <c r="I1257" s="65" t="n"/>
      <c r="J1257" s="65" t="n"/>
      <c r="K1257" s="65" t="n"/>
      <c r="L1257" s="65" t="n"/>
      <c r="M1257" s="65" t="n"/>
      <c r="N1257" s="65" t="n"/>
      <c r="O1257" s="65" t="n"/>
      <c r="P1257" s="65" t="n"/>
      <c r="Q1257" s="65" t="n"/>
      <c r="R1257" s="65" t="n"/>
      <c r="S1257" s="65" t="n"/>
      <c r="T1257" s="65" t="n"/>
      <c r="U1257" s="65" t="n"/>
      <c r="V1257" s="65" t="n"/>
      <c r="W1257" s="65" t="n"/>
      <c r="X1257" s="65" t="n"/>
      <c r="Y1257" s="32">
        <f>IF($C1257="","",IF(COUNTA($I1257:$K1257)&lt;3,"— חסרים נתונים",IF(AND($I1257="תקין",$J1257="תקין",$K1257="תקין"),"רהוטה",IF(AND($I1257="תקין",$J1257="תקין"),"מדויקת ורציפה","אינה מדויקת או מקוטעת"))))</f>
        <v/>
      </c>
      <c r="Z1257" s="32">
        <f>IF($C1257="","",IF(COUNTA($U1257:$W1257)&lt;3,"",IF(AND($U1257="מפותח",$V1257="מפותח",$W1257="מפותחת"),"מפותחת",IF((--($U1257="דל"))+(--($V1257="אינו מפותח"))+(--($W1257="דלה"))&gt;=2,"אינה מפותחת","חלקית"))))</f>
        <v/>
      </c>
      <c r="AA1257" s="32">
        <f>IF($C1257="","",IF(COUNTA($M1257,$N1257,$O1257)&lt;3,"— חסרים נתונים",IF(OR($M1257="נמוכה",(--($M1257&lt;&gt;"תקינה"))+(--($N1257&lt;&gt;"תקין"))+(--($O1257&lt;&gt;"תקינה"))&gt;=2),"ניכרת","אינה ניכרת")))</f>
        <v/>
      </c>
      <c r="AB1257" s="32">
        <f>IF(OR($C1257="",$Y1257="",$AA1257="",LEFT($Y1257,1)="—",LEFT($AA1257,1)="—"),"",IF($Z1257="","— נדרשת הערכת כתיבה",IF($L1257="","— חסרה הבנת הנקרא",IF($Y1257="אינה מדויקת או מקוטעת",IF($AA1257="ניכרת","מיקוד בשטף הקריאה ובכישורי שפה","מיקוד בשטף קריאה"),IF($AA1257="ניכרת","מיקוד בכישורי שפה",IF(AND($L1257="תקינה",$Z1257="מפותחת"),"קוראים וכותבים מיומנים","מיקוד בהבנה והבעה"))))))</f>
        <v/>
      </c>
      <c r="AC1257" s="32">
        <f>IF(OR($AB1257="",LEFT($AB1257,1)="—"),"",IF(OR($AB1257="מיקוד בשטף קריאה",$AB1257="מיקוד בשטף הקריאה ובכישורי שפה"),"רמה א'",IF($AB1257="קוראים וכותבים מיומנים","רמה ג'","רמה ב'")))</f>
        <v/>
      </c>
      <c r="AD1257" s="32">
        <f>IF($AC1257="","",MID(IF(AND($AC1257="רמה א'",$AA1257="ניכרת"),"; להוסיף עבודת אוצר מילים","")&amp;IF($Z1257="אינה מפותחת","; דגש על הבעה בכתב","")&amp;IF($K1257&lt;&gt;"תקין","; נדרש לעבוד על ההנגנה","")&amp;IF($AK1257&lt;&gt;"","; "&amp;$AK1257,""),3,400))</f>
        <v/>
      </c>
      <c r="AE1257" s="32">
        <f>IF($F1257="","",IF($F1257="תחילת שנה",1,IF($F1257="מחצית שנה",2,3)))</f>
        <v/>
      </c>
      <c r="AF1257" s="32">
        <f>IF(OR($B1257="",$AC1257="",$A1257="",$F1257=""),"",$B1257&amp;"|"&amp;$A1257&amp;"|"&amp;$F1257&amp;"|"&amp;$AC1257&amp;"|"&amp;COUNTIFS($B$6:$B1257,$B1257,$A$6:$A1257,$A1257,$F$6:$F1257,$F1257,$AC$6:$AC1257,$AC1257))</f>
        <v/>
      </c>
      <c r="AG1257" s="32">
        <f>IF($C1257="","",$C1257&amp;"|"&amp;COUNTIFS($C$6:$C1257,$C1257))</f>
        <v/>
      </c>
      <c r="AH1257" s="32">
        <f>IF(OR($C1257="",$A1257="",$AE1257=""),"",$C1257&amp;"|"&amp;$A1257&amp;"|"&amp;$AE1257)</f>
        <v/>
      </c>
      <c r="AI1257" s="32">
        <f>IF(OR($C1257="",$AE1257="",$AE1257=1),"",IFERROR(INDEX($AC$6:$AC$1505,MATCH($C1257&amp;"|"&amp;$A1257&amp;"|"&amp;($AE1257-1),$AH$6:$AH$1505,0)),""))</f>
        <v/>
      </c>
      <c r="AJ1257" s="32">
        <f>IF(OR($AI1257="",$AC1257=""),"",IF($AI1257=$AC1257,"ללא שינוי","מ-"&amp;$AI1257&amp;" ל-"&amp;$AC1257))</f>
        <v/>
      </c>
      <c r="AK1257" s="67" t="n"/>
    </row>
    <row r="1258">
      <c r="A1258" s="65" t="n"/>
      <c r="B1258" s="65" t="n"/>
      <c r="C1258" s="66" t="n"/>
      <c r="D1258" s="66" t="n"/>
      <c r="E1258" s="65" t="n"/>
      <c r="F1258" s="65" t="n"/>
      <c r="G1258" s="65" t="n"/>
      <c r="H1258" s="65" t="n"/>
      <c r="I1258" s="65" t="n"/>
      <c r="J1258" s="65" t="n"/>
      <c r="K1258" s="65" t="n"/>
      <c r="L1258" s="65" t="n"/>
      <c r="M1258" s="65" t="n"/>
      <c r="N1258" s="65" t="n"/>
      <c r="O1258" s="65" t="n"/>
      <c r="P1258" s="65" t="n"/>
      <c r="Q1258" s="65" t="n"/>
      <c r="R1258" s="65" t="n"/>
      <c r="S1258" s="65" t="n"/>
      <c r="T1258" s="65" t="n"/>
      <c r="U1258" s="65" t="n"/>
      <c r="V1258" s="65" t="n"/>
      <c r="W1258" s="65" t="n"/>
      <c r="X1258" s="65" t="n"/>
      <c r="Y1258" s="32">
        <f>IF($C1258="","",IF(COUNTA($I1258:$K1258)&lt;3,"— חסרים נתונים",IF(AND($I1258="תקין",$J1258="תקין",$K1258="תקין"),"רהוטה",IF(AND($I1258="תקין",$J1258="תקין"),"מדויקת ורציפה","אינה מדויקת או מקוטעת"))))</f>
        <v/>
      </c>
      <c r="Z1258" s="32">
        <f>IF($C1258="","",IF(COUNTA($U1258:$W1258)&lt;3,"",IF(AND($U1258="מפותח",$V1258="מפותח",$W1258="מפותחת"),"מפותחת",IF((--($U1258="דל"))+(--($V1258="אינו מפותח"))+(--($W1258="דלה"))&gt;=2,"אינה מפותחת","חלקית"))))</f>
        <v/>
      </c>
      <c r="AA1258" s="32">
        <f>IF($C1258="","",IF(COUNTA($M1258,$N1258,$O1258)&lt;3,"— חסרים נתונים",IF(OR($M1258="נמוכה",(--($M1258&lt;&gt;"תקינה"))+(--($N1258&lt;&gt;"תקין"))+(--($O1258&lt;&gt;"תקינה"))&gt;=2),"ניכרת","אינה ניכרת")))</f>
        <v/>
      </c>
      <c r="AB1258" s="32">
        <f>IF(OR($C1258="",$Y1258="",$AA1258="",LEFT($Y1258,1)="—",LEFT($AA1258,1)="—"),"",IF($Z1258="","— נדרשת הערכת כתיבה",IF($L1258="","— חסרה הבנת הנקרא",IF($Y1258="אינה מדויקת או מקוטעת",IF($AA1258="ניכרת","מיקוד בשטף הקריאה ובכישורי שפה","מיקוד בשטף קריאה"),IF($AA1258="ניכרת","מיקוד בכישורי שפה",IF(AND($L1258="תקינה",$Z1258="מפותחת"),"קוראים וכותבים מיומנים","מיקוד בהבנה והבעה"))))))</f>
        <v/>
      </c>
      <c r="AC1258" s="32">
        <f>IF(OR($AB1258="",LEFT($AB1258,1)="—"),"",IF(OR($AB1258="מיקוד בשטף קריאה",$AB1258="מיקוד בשטף הקריאה ובכישורי שפה"),"רמה א'",IF($AB1258="קוראים וכותבים מיומנים","רמה ג'","רמה ב'")))</f>
        <v/>
      </c>
      <c r="AD1258" s="32">
        <f>IF($AC1258="","",MID(IF(AND($AC1258="רמה א'",$AA1258="ניכרת"),"; להוסיף עבודת אוצר מילים","")&amp;IF($Z1258="אינה מפותחת","; דגש על הבעה בכתב","")&amp;IF($K1258&lt;&gt;"תקין","; נדרש לעבוד על ההנגנה","")&amp;IF($AK1258&lt;&gt;"","; "&amp;$AK1258,""),3,400))</f>
        <v/>
      </c>
      <c r="AE1258" s="32">
        <f>IF($F1258="","",IF($F1258="תחילת שנה",1,IF($F1258="מחצית שנה",2,3)))</f>
        <v/>
      </c>
      <c r="AF1258" s="32">
        <f>IF(OR($B1258="",$AC1258="",$A1258="",$F1258=""),"",$B1258&amp;"|"&amp;$A1258&amp;"|"&amp;$F1258&amp;"|"&amp;$AC1258&amp;"|"&amp;COUNTIFS($B$6:$B1258,$B1258,$A$6:$A1258,$A1258,$F$6:$F1258,$F1258,$AC$6:$AC1258,$AC1258))</f>
        <v/>
      </c>
      <c r="AG1258" s="32">
        <f>IF($C1258="","",$C1258&amp;"|"&amp;COUNTIFS($C$6:$C1258,$C1258))</f>
        <v/>
      </c>
      <c r="AH1258" s="32">
        <f>IF(OR($C1258="",$A1258="",$AE1258=""),"",$C1258&amp;"|"&amp;$A1258&amp;"|"&amp;$AE1258)</f>
        <v/>
      </c>
      <c r="AI1258" s="32">
        <f>IF(OR($C1258="",$AE1258="",$AE1258=1),"",IFERROR(INDEX($AC$6:$AC$1505,MATCH($C1258&amp;"|"&amp;$A1258&amp;"|"&amp;($AE1258-1),$AH$6:$AH$1505,0)),""))</f>
        <v/>
      </c>
      <c r="AJ1258" s="32">
        <f>IF(OR($AI1258="",$AC1258=""),"",IF($AI1258=$AC1258,"ללא שינוי","מ-"&amp;$AI1258&amp;" ל-"&amp;$AC1258))</f>
        <v/>
      </c>
      <c r="AK1258" s="67" t="n"/>
    </row>
    <row r="1259">
      <c r="A1259" s="65" t="n"/>
      <c r="B1259" s="65" t="n"/>
      <c r="C1259" s="66" t="n"/>
      <c r="D1259" s="66" t="n"/>
      <c r="E1259" s="65" t="n"/>
      <c r="F1259" s="65" t="n"/>
      <c r="G1259" s="65" t="n"/>
      <c r="H1259" s="65" t="n"/>
      <c r="I1259" s="65" t="n"/>
      <c r="J1259" s="65" t="n"/>
      <c r="K1259" s="65" t="n"/>
      <c r="L1259" s="65" t="n"/>
      <c r="M1259" s="65" t="n"/>
      <c r="N1259" s="65" t="n"/>
      <c r="O1259" s="65" t="n"/>
      <c r="P1259" s="65" t="n"/>
      <c r="Q1259" s="65" t="n"/>
      <c r="R1259" s="65" t="n"/>
      <c r="S1259" s="65" t="n"/>
      <c r="T1259" s="65" t="n"/>
      <c r="U1259" s="65" t="n"/>
      <c r="V1259" s="65" t="n"/>
      <c r="W1259" s="65" t="n"/>
      <c r="X1259" s="65" t="n"/>
      <c r="Y1259" s="32">
        <f>IF($C1259="","",IF(COUNTA($I1259:$K1259)&lt;3,"— חסרים נתונים",IF(AND($I1259="תקין",$J1259="תקין",$K1259="תקין"),"רהוטה",IF(AND($I1259="תקין",$J1259="תקין"),"מדויקת ורציפה","אינה מדויקת או מקוטעת"))))</f>
        <v/>
      </c>
      <c r="Z1259" s="32">
        <f>IF($C1259="","",IF(COUNTA($U1259:$W1259)&lt;3,"",IF(AND($U1259="מפותח",$V1259="מפותח",$W1259="מפותחת"),"מפותחת",IF((--($U1259="דל"))+(--($V1259="אינו מפותח"))+(--($W1259="דלה"))&gt;=2,"אינה מפותחת","חלקית"))))</f>
        <v/>
      </c>
      <c r="AA1259" s="32">
        <f>IF($C1259="","",IF(COUNTA($M1259,$N1259,$O1259)&lt;3,"— חסרים נתונים",IF(OR($M1259="נמוכה",(--($M1259&lt;&gt;"תקינה"))+(--($N1259&lt;&gt;"תקין"))+(--($O1259&lt;&gt;"תקינה"))&gt;=2),"ניכרת","אינה ניכרת")))</f>
        <v/>
      </c>
      <c r="AB1259" s="32">
        <f>IF(OR($C1259="",$Y1259="",$AA1259="",LEFT($Y1259,1)="—",LEFT($AA1259,1)="—"),"",IF($Z1259="","— נדרשת הערכת כתיבה",IF($L1259="","— חסרה הבנת הנקרא",IF($Y1259="אינה מדויקת או מקוטעת",IF($AA1259="ניכרת","מיקוד בשטף הקריאה ובכישורי שפה","מיקוד בשטף קריאה"),IF($AA1259="ניכרת","מיקוד בכישורי שפה",IF(AND($L1259="תקינה",$Z1259="מפותחת"),"קוראים וכותבים מיומנים","מיקוד בהבנה והבעה"))))))</f>
        <v/>
      </c>
      <c r="AC1259" s="32">
        <f>IF(OR($AB1259="",LEFT($AB1259,1)="—"),"",IF(OR($AB1259="מיקוד בשטף קריאה",$AB1259="מיקוד בשטף הקריאה ובכישורי שפה"),"רמה א'",IF($AB1259="קוראים וכותבים מיומנים","רמה ג'","רמה ב'")))</f>
        <v/>
      </c>
      <c r="AD1259" s="32">
        <f>IF($AC1259="","",MID(IF(AND($AC1259="רמה א'",$AA1259="ניכרת"),"; להוסיף עבודת אוצר מילים","")&amp;IF($Z1259="אינה מפותחת","; דגש על הבעה בכתב","")&amp;IF($K1259&lt;&gt;"תקין","; נדרש לעבוד על ההנגנה","")&amp;IF($AK1259&lt;&gt;"","; "&amp;$AK1259,""),3,400))</f>
        <v/>
      </c>
      <c r="AE1259" s="32">
        <f>IF($F1259="","",IF($F1259="תחילת שנה",1,IF($F1259="מחצית שנה",2,3)))</f>
        <v/>
      </c>
      <c r="AF1259" s="32">
        <f>IF(OR($B1259="",$AC1259="",$A1259="",$F1259=""),"",$B1259&amp;"|"&amp;$A1259&amp;"|"&amp;$F1259&amp;"|"&amp;$AC1259&amp;"|"&amp;COUNTIFS($B$6:$B1259,$B1259,$A$6:$A1259,$A1259,$F$6:$F1259,$F1259,$AC$6:$AC1259,$AC1259))</f>
        <v/>
      </c>
      <c r="AG1259" s="32">
        <f>IF($C1259="","",$C1259&amp;"|"&amp;COUNTIFS($C$6:$C1259,$C1259))</f>
        <v/>
      </c>
      <c r="AH1259" s="32">
        <f>IF(OR($C1259="",$A1259="",$AE1259=""),"",$C1259&amp;"|"&amp;$A1259&amp;"|"&amp;$AE1259)</f>
        <v/>
      </c>
      <c r="AI1259" s="32">
        <f>IF(OR($C1259="",$AE1259="",$AE1259=1),"",IFERROR(INDEX($AC$6:$AC$1505,MATCH($C1259&amp;"|"&amp;$A1259&amp;"|"&amp;($AE1259-1),$AH$6:$AH$1505,0)),""))</f>
        <v/>
      </c>
      <c r="AJ1259" s="32">
        <f>IF(OR($AI1259="",$AC1259=""),"",IF($AI1259=$AC1259,"ללא שינוי","מ-"&amp;$AI1259&amp;" ל-"&amp;$AC1259))</f>
        <v/>
      </c>
      <c r="AK1259" s="67" t="n"/>
    </row>
    <row r="1260">
      <c r="A1260" s="65" t="n"/>
      <c r="B1260" s="65" t="n"/>
      <c r="C1260" s="66" t="n"/>
      <c r="D1260" s="66" t="n"/>
      <c r="E1260" s="65" t="n"/>
      <c r="F1260" s="65" t="n"/>
      <c r="G1260" s="65" t="n"/>
      <c r="H1260" s="65" t="n"/>
      <c r="I1260" s="65" t="n"/>
      <c r="J1260" s="65" t="n"/>
      <c r="K1260" s="65" t="n"/>
      <c r="L1260" s="65" t="n"/>
      <c r="M1260" s="65" t="n"/>
      <c r="N1260" s="65" t="n"/>
      <c r="O1260" s="65" t="n"/>
      <c r="P1260" s="65" t="n"/>
      <c r="Q1260" s="65" t="n"/>
      <c r="R1260" s="65" t="n"/>
      <c r="S1260" s="65" t="n"/>
      <c r="T1260" s="65" t="n"/>
      <c r="U1260" s="65" t="n"/>
      <c r="V1260" s="65" t="n"/>
      <c r="W1260" s="65" t="n"/>
      <c r="X1260" s="65" t="n"/>
      <c r="Y1260" s="32">
        <f>IF($C1260="","",IF(COUNTA($I1260:$K1260)&lt;3,"— חסרים נתונים",IF(AND($I1260="תקין",$J1260="תקין",$K1260="תקין"),"רהוטה",IF(AND($I1260="תקין",$J1260="תקין"),"מדויקת ורציפה","אינה מדויקת או מקוטעת"))))</f>
        <v/>
      </c>
      <c r="Z1260" s="32">
        <f>IF($C1260="","",IF(COUNTA($U1260:$W1260)&lt;3,"",IF(AND($U1260="מפותח",$V1260="מפותח",$W1260="מפותחת"),"מפותחת",IF((--($U1260="דל"))+(--($V1260="אינו מפותח"))+(--($W1260="דלה"))&gt;=2,"אינה מפותחת","חלקית"))))</f>
        <v/>
      </c>
      <c r="AA1260" s="32">
        <f>IF($C1260="","",IF(COUNTA($M1260,$N1260,$O1260)&lt;3,"— חסרים נתונים",IF(OR($M1260="נמוכה",(--($M1260&lt;&gt;"תקינה"))+(--($N1260&lt;&gt;"תקין"))+(--($O1260&lt;&gt;"תקינה"))&gt;=2),"ניכרת","אינה ניכרת")))</f>
        <v/>
      </c>
      <c r="AB1260" s="32">
        <f>IF(OR($C1260="",$Y1260="",$AA1260="",LEFT($Y1260,1)="—",LEFT($AA1260,1)="—"),"",IF($Z1260="","— נדרשת הערכת כתיבה",IF($L1260="","— חסרה הבנת הנקרא",IF($Y1260="אינה מדויקת או מקוטעת",IF($AA1260="ניכרת","מיקוד בשטף הקריאה ובכישורי שפה","מיקוד בשטף קריאה"),IF($AA1260="ניכרת","מיקוד בכישורי שפה",IF(AND($L1260="תקינה",$Z1260="מפותחת"),"קוראים וכותבים מיומנים","מיקוד בהבנה והבעה"))))))</f>
        <v/>
      </c>
      <c r="AC1260" s="32">
        <f>IF(OR($AB1260="",LEFT($AB1260,1)="—"),"",IF(OR($AB1260="מיקוד בשטף קריאה",$AB1260="מיקוד בשטף הקריאה ובכישורי שפה"),"רמה א'",IF($AB1260="קוראים וכותבים מיומנים","רמה ג'","רמה ב'")))</f>
        <v/>
      </c>
      <c r="AD1260" s="32">
        <f>IF($AC1260="","",MID(IF(AND($AC1260="רמה א'",$AA1260="ניכרת"),"; להוסיף עבודת אוצר מילים","")&amp;IF($Z1260="אינה מפותחת","; דגש על הבעה בכתב","")&amp;IF($K1260&lt;&gt;"תקין","; נדרש לעבוד על ההנגנה","")&amp;IF($AK1260&lt;&gt;"","; "&amp;$AK1260,""),3,400))</f>
        <v/>
      </c>
      <c r="AE1260" s="32">
        <f>IF($F1260="","",IF($F1260="תחילת שנה",1,IF($F1260="מחצית שנה",2,3)))</f>
        <v/>
      </c>
      <c r="AF1260" s="32">
        <f>IF(OR($B1260="",$AC1260="",$A1260="",$F1260=""),"",$B1260&amp;"|"&amp;$A1260&amp;"|"&amp;$F1260&amp;"|"&amp;$AC1260&amp;"|"&amp;COUNTIFS($B$6:$B1260,$B1260,$A$6:$A1260,$A1260,$F$6:$F1260,$F1260,$AC$6:$AC1260,$AC1260))</f>
        <v/>
      </c>
      <c r="AG1260" s="32">
        <f>IF($C1260="","",$C1260&amp;"|"&amp;COUNTIFS($C$6:$C1260,$C1260))</f>
        <v/>
      </c>
      <c r="AH1260" s="32">
        <f>IF(OR($C1260="",$A1260="",$AE1260=""),"",$C1260&amp;"|"&amp;$A1260&amp;"|"&amp;$AE1260)</f>
        <v/>
      </c>
      <c r="AI1260" s="32">
        <f>IF(OR($C1260="",$AE1260="",$AE1260=1),"",IFERROR(INDEX($AC$6:$AC$1505,MATCH($C1260&amp;"|"&amp;$A1260&amp;"|"&amp;($AE1260-1),$AH$6:$AH$1505,0)),""))</f>
        <v/>
      </c>
      <c r="AJ1260" s="32">
        <f>IF(OR($AI1260="",$AC1260=""),"",IF($AI1260=$AC1260,"ללא שינוי","מ-"&amp;$AI1260&amp;" ל-"&amp;$AC1260))</f>
        <v/>
      </c>
      <c r="AK1260" s="67" t="n"/>
    </row>
    <row r="1261">
      <c r="A1261" s="65" t="n"/>
      <c r="B1261" s="65" t="n"/>
      <c r="C1261" s="66" t="n"/>
      <c r="D1261" s="66" t="n"/>
      <c r="E1261" s="65" t="n"/>
      <c r="F1261" s="65" t="n"/>
      <c r="G1261" s="65" t="n"/>
      <c r="H1261" s="65" t="n"/>
      <c r="I1261" s="65" t="n"/>
      <c r="J1261" s="65" t="n"/>
      <c r="K1261" s="65" t="n"/>
      <c r="L1261" s="65" t="n"/>
      <c r="M1261" s="65" t="n"/>
      <c r="N1261" s="65" t="n"/>
      <c r="O1261" s="65" t="n"/>
      <c r="P1261" s="65" t="n"/>
      <c r="Q1261" s="65" t="n"/>
      <c r="R1261" s="65" t="n"/>
      <c r="S1261" s="65" t="n"/>
      <c r="T1261" s="65" t="n"/>
      <c r="U1261" s="65" t="n"/>
      <c r="V1261" s="65" t="n"/>
      <c r="W1261" s="65" t="n"/>
      <c r="X1261" s="65" t="n"/>
      <c r="Y1261" s="32">
        <f>IF($C1261="","",IF(COUNTA($I1261:$K1261)&lt;3,"— חסרים נתונים",IF(AND($I1261="תקין",$J1261="תקין",$K1261="תקין"),"רהוטה",IF(AND($I1261="תקין",$J1261="תקין"),"מדויקת ורציפה","אינה מדויקת או מקוטעת"))))</f>
        <v/>
      </c>
      <c r="Z1261" s="32">
        <f>IF($C1261="","",IF(COUNTA($U1261:$W1261)&lt;3,"",IF(AND($U1261="מפותח",$V1261="מפותח",$W1261="מפותחת"),"מפותחת",IF((--($U1261="דל"))+(--($V1261="אינו מפותח"))+(--($W1261="דלה"))&gt;=2,"אינה מפותחת","חלקית"))))</f>
        <v/>
      </c>
      <c r="AA1261" s="32">
        <f>IF($C1261="","",IF(COUNTA($M1261,$N1261,$O1261)&lt;3,"— חסרים נתונים",IF(OR($M1261="נמוכה",(--($M1261&lt;&gt;"תקינה"))+(--($N1261&lt;&gt;"תקין"))+(--($O1261&lt;&gt;"תקינה"))&gt;=2),"ניכרת","אינה ניכרת")))</f>
        <v/>
      </c>
      <c r="AB1261" s="32">
        <f>IF(OR($C1261="",$Y1261="",$AA1261="",LEFT($Y1261,1)="—",LEFT($AA1261,1)="—"),"",IF($Z1261="","— נדרשת הערכת כתיבה",IF($L1261="","— חסרה הבנת הנקרא",IF($Y1261="אינה מדויקת או מקוטעת",IF($AA1261="ניכרת","מיקוד בשטף הקריאה ובכישורי שפה","מיקוד בשטף קריאה"),IF($AA1261="ניכרת","מיקוד בכישורי שפה",IF(AND($L1261="תקינה",$Z1261="מפותחת"),"קוראים וכותבים מיומנים","מיקוד בהבנה והבעה"))))))</f>
        <v/>
      </c>
      <c r="AC1261" s="32">
        <f>IF(OR($AB1261="",LEFT($AB1261,1)="—"),"",IF(OR($AB1261="מיקוד בשטף קריאה",$AB1261="מיקוד בשטף הקריאה ובכישורי שפה"),"רמה א'",IF($AB1261="קוראים וכותבים מיומנים","רמה ג'","רמה ב'")))</f>
        <v/>
      </c>
      <c r="AD1261" s="32">
        <f>IF($AC1261="","",MID(IF(AND($AC1261="רמה א'",$AA1261="ניכרת"),"; להוסיף עבודת אוצר מילים","")&amp;IF($Z1261="אינה מפותחת","; דגש על הבעה בכתב","")&amp;IF($K1261&lt;&gt;"תקין","; נדרש לעבוד על ההנגנה","")&amp;IF($AK1261&lt;&gt;"","; "&amp;$AK1261,""),3,400))</f>
        <v/>
      </c>
      <c r="AE1261" s="32">
        <f>IF($F1261="","",IF($F1261="תחילת שנה",1,IF($F1261="מחצית שנה",2,3)))</f>
        <v/>
      </c>
      <c r="AF1261" s="32">
        <f>IF(OR($B1261="",$AC1261="",$A1261="",$F1261=""),"",$B1261&amp;"|"&amp;$A1261&amp;"|"&amp;$F1261&amp;"|"&amp;$AC1261&amp;"|"&amp;COUNTIFS($B$6:$B1261,$B1261,$A$6:$A1261,$A1261,$F$6:$F1261,$F1261,$AC$6:$AC1261,$AC1261))</f>
        <v/>
      </c>
      <c r="AG1261" s="32">
        <f>IF($C1261="","",$C1261&amp;"|"&amp;COUNTIFS($C$6:$C1261,$C1261))</f>
        <v/>
      </c>
      <c r="AH1261" s="32">
        <f>IF(OR($C1261="",$A1261="",$AE1261=""),"",$C1261&amp;"|"&amp;$A1261&amp;"|"&amp;$AE1261)</f>
        <v/>
      </c>
      <c r="AI1261" s="32">
        <f>IF(OR($C1261="",$AE1261="",$AE1261=1),"",IFERROR(INDEX($AC$6:$AC$1505,MATCH($C1261&amp;"|"&amp;$A1261&amp;"|"&amp;($AE1261-1),$AH$6:$AH$1505,0)),""))</f>
        <v/>
      </c>
      <c r="AJ1261" s="32">
        <f>IF(OR($AI1261="",$AC1261=""),"",IF($AI1261=$AC1261,"ללא שינוי","מ-"&amp;$AI1261&amp;" ל-"&amp;$AC1261))</f>
        <v/>
      </c>
      <c r="AK1261" s="67" t="n"/>
    </row>
    <row r="1262">
      <c r="A1262" s="65" t="n"/>
      <c r="B1262" s="65" t="n"/>
      <c r="C1262" s="66" t="n"/>
      <c r="D1262" s="66" t="n"/>
      <c r="E1262" s="65" t="n"/>
      <c r="F1262" s="65" t="n"/>
      <c r="G1262" s="65" t="n"/>
      <c r="H1262" s="65" t="n"/>
      <c r="I1262" s="65" t="n"/>
      <c r="J1262" s="65" t="n"/>
      <c r="K1262" s="65" t="n"/>
      <c r="L1262" s="65" t="n"/>
      <c r="M1262" s="65" t="n"/>
      <c r="N1262" s="65" t="n"/>
      <c r="O1262" s="65" t="n"/>
      <c r="P1262" s="65" t="n"/>
      <c r="Q1262" s="65" t="n"/>
      <c r="R1262" s="65" t="n"/>
      <c r="S1262" s="65" t="n"/>
      <c r="T1262" s="65" t="n"/>
      <c r="U1262" s="65" t="n"/>
      <c r="V1262" s="65" t="n"/>
      <c r="W1262" s="65" t="n"/>
      <c r="X1262" s="65" t="n"/>
      <c r="Y1262" s="32">
        <f>IF($C1262="","",IF(COUNTA($I1262:$K1262)&lt;3,"— חסרים נתונים",IF(AND($I1262="תקין",$J1262="תקין",$K1262="תקין"),"רהוטה",IF(AND($I1262="תקין",$J1262="תקין"),"מדויקת ורציפה","אינה מדויקת או מקוטעת"))))</f>
        <v/>
      </c>
      <c r="Z1262" s="32">
        <f>IF($C1262="","",IF(COUNTA($U1262:$W1262)&lt;3,"",IF(AND($U1262="מפותח",$V1262="מפותח",$W1262="מפותחת"),"מפותחת",IF((--($U1262="דל"))+(--($V1262="אינו מפותח"))+(--($W1262="דלה"))&gt;=2,"אינה מפותחת","חלקית"))))</f>
        <v/>
      </c>
      <c r="AA1262" s="32">
        <f>IF($C1262="","",IF(COUNTA($M1262,$N1262,$O1262)&lt;3,"— חסרים נתונים",IF(OR($M1262="נמוכה",(--($M1262&lt;&gt;"תקינה"))+(--($N1262&lt;&gt;"תקין"))+(--($O1262&lt;&gt;"תקינה"))&gt;=2),"ניכרת","אינה ניכרת")))</f>
        <v/>
      </c>
      <c r="AB1262" s="32">
        <f>IF(OR($C1262="",$Y1262="",$AA1262="",LEFT($Y1262,1)="—",LEFT($AA1262,1)="—"),"",IF($Z1262="","— נדרשת הערכת כתיבה",IF($L1262="","— חסרה הבנת הנקרא",IF($Y1262="אינה מדויקת או מקוטעת",IF($AA1262="ניכרת","מיקוד בשטף הקריאה ובכישורי שפה","מיקוד בשטף קריאה"),IF($AA1262="ניכרת","מיקוד בכישורי שפה",IF(AND($L1262="תקינה",$Z1262="מפותחת"),"קוראים וכותבים מיומנים","מיקוד בהבנה והבעה"))))))</f>
        <v/>
      </c>
      <c r="AC1262" s="32">
        <f>IF(OR($AB1262="",LEFT($AB1262,1)="—"),"",IF(OR($AB1262="מיקוד בשטף קריאה",$AB1262="מיקוד בשטף הקריאה ובכישורי שפה"),"רמה א'",IF($AB1262="קוראים וכותבים מיומנים","רמה ג'","רמה ב'")))</f>
        <v/>
      </c>
      <c r="AD1262" s="32">
        <f>IF($AC1262="","",MID(IF(AND($AC1262="רמה א'",$AA1262="ניכרת"),"; להוסיף עבודת אוצר מילים","")&amp;IF($Z1262="אינה מפותחת","; דגש על הבעה בכתב","")&amp;IF($K1262&lt;&gt;"תקין","; נדרש לעבוד על ההנגנה","")&amp;IF($AK1262&lt;&gt;"","; "&amp;$AK1262,""),3,400))</f>
        <v/>
      </c>
      <c r="AE1262" s="32">
        <f>IF($F1262="","",IF($F1262="תחילת שנה",1,IF($F1262="מחצית שנה",2,3)))</f>
        <v/>
      </c>
      <c r="AF1262" s="32">
        <f>IF(OR($B1262="",$AC1262="",$A1262="",$F1262=""),"",$B1262&amp;"|"&amp;$A1262&amp;"|"&amp;$F1262&amp;"|"&amp;$AC1262&amp;"|"&amp;COUNTIFS($B$6:$B1262,$B1262,$A$6:$A1262,$A1262,$F$6:$F1262,$F1262,$AC$6:$AC1262,$AC1262))</f>
        <v/>
      </c>
      <c r="AG1262" s="32">
        <f>IF($C1262="","",$C1262&amp;"|"&amp;COUNTIFS($C$6:$C1262,$C1262))</f>
        <v/>
      </c>
      <c r="AH1262" s="32">
        <f>IF(OR($C1262="",$A1262="",$AE1262=""),"",$C1262&amp;"|"&amp;$A1262&amp;"|"&amp;$AE1262)</f>
        <v/>
      </c>
      <c r="AI1262" s="32">
        <f>IF(OR($C1262="",$AE1262="",$AE1262=1),"",IFERROR(INDEX($AC$6:$AC$1505,MATCH($C1262&amp;"|"&amp;$A1262&amp;"|"&amp;($AE1262-1),$AH$6:$AH$1505,0)),""))</f>
        <v/>
      </c>
      <c r="AJ1262" s="32">
        <f>IF(OR($AI1262="",$AC1262=""),"",IF($AI1262=$AC1262,"ללא שינוי","מ-"&amp;$AI1262&amp;" ל-"&amp;$AC1262))</f>
        <v/>
      </c>
      <c r="AK1262" s="67" t="n"/>
    </row>
    <row r="1263">
      <c r="A1263" s="65" t="n"/>
      <c r="B1263" s="65" t="n"/>
      <c r="C1263" s="66" t="n"/>
      <c r="D1263" s="66" t="n"/>
      <c r="E1263" s="65" t="n"/>
      <c r="F1263" s="65" t="n"/>
      <c r="G1263" s="65" t="n"/>
      <c r="H1263" s="65" t="n"/>
      <c r="I1263" s="65" t="n"/>
      <c r="J1263" s="65" t="n"/>
      <c r="K1263" s="65" t="n"/>
      <c r="L1263" s="65" t="n"/>
      <c r="M1263" s="65" t="n"/>
      <c r="N1263" s="65" t="n"/>
      <c r="O1263" s="65" t="n"/>
      <c r="P1263" s="65" t="n"/>
      <c r="Q1263" s="65" t="n"/>
      <c r="R1263" s="65" t="n"/>
      <c r="S1263" s="65" t="n"/>
      <c r="T1263" s="65" t="n"/>
      <c r="U1263" s="65" t="n"/>
      <c r="V1263" s="65" t="n"/>
      <c r="W1263" s="65" t="n"/>
      <c r="X1263" s="65" t="n"/>
      <c r="Y1263" s="32">
        <f>IF($C1263="","",IF(COUNTA($I1263:$K1263)&lt;3,"— חסרים נתונים",IF(AND($I1263="תקין",$J1263="תקין",$K1263="תקין"),"רהוטה",IF(AND($I1263="תקין",$J1263="תקין"),"מדויקת ורציפה","אינה מדויקת או מקוטעת"))))</f>
        <v/>
      </c>
      <c r="Z1263" s="32">
        <f>IF($C1263="","",IF(COUNTA($U1263:$W1263)&lt;3,"",IF(AND($U1263="מפותח",$V1263="מפותח",$W1263="מפותחת"),"מפותחת",IF((--($U1263="דל"))+(--($V1263="אינו מפותח"))+(--($W1263="דלה"))&gt;=2,"אינה מפותחת","חלקית"))))</f>
        <v/>
      </c>
      <c r="AA1263" s="32">
        <f>IF($C1263="","",IF(COUNTA($M1263,$N1263,$O1263)&lt;3,"— חסרים נתונים",IF(OR($M1263="נמוכה",(--($M1263&lt;&gt;"תקינה"))+(--($N1263&lt;&gt;"תקין"))+(--($O1263&lt;&gt;"תקינה"))&gt;=2),"ניכרת","אינה ניכרת")))</f>
        <v/>
      </c>
      <c r="AB1263" s="32">
        <f>IF(OR($C1263="",$Y1263="",$AA1263="",LEFT($Y1263,1)="—",LEFT($AA1263,1)="—"),"",IF($Z1263="","— נדרשת הערכת כתיבה",IF($L1263="","— חסרה הבנת הנקרא",IF($Y1263="אינה מדויקת או מקוטעת",IF($AA1263="ניכרת","מיקוד בשטף הקריאה ובכישורי שפה","מיקוד בשטף קריאה"),IF($AA1263="ניכרת","מיקוד בכישורי שפה",IF(AND($L1263="תקינה",$Z1263="מפותחת"),"קוראים וכותבים מיומנים","מיקוד בהבנה והבעה"))))))</f>
        <v/>
      </c>
      <c r="AC1263" s="32">
        <f>IF(OR($AB1263="",LEFT($AB1263,1)="—"),"",IF(OR($AB1263="מיקוד בשטף קריאה",$AB1263="מיקוד בשטף הקריאה ובכישורי שפה"),"רמה א'",IF($AB1263="קוראים וכותבים מיומנים","רמה ג'","רמה ב'")))</f>
        <v/>
      </c>
      <c r="AD1263" s="32">
        <f>IF($AC1263="","",MID(IF(AND($AC1263="רמה א'",$AA1263="ניכרת"),"; להוסיף עבודת אוצר מילים","")&amp;IF($Z1263="אינה מפותחת","; דגש על הבעה בכתב","")&amp;IF($K1263&lt;&gt;"תקין","; נדרש לעבוד על ההנגנה","")&amp;IF($AK1263&lt;&gt;"","; "&amp;$AK1263,""),3,400))</f>
        <v/>
      </c>
      <c r="AE1263" s="32">
        <f>IF($F1263="","",IF($F1263="תחילת שנה",1,IF($F1263="מחצית שנה",2,3)))</f>
        <v/>
      </c>
      <c r="AF1263" s="32">
        <f>IF(OR($B1263="",$AC1263="",$A1263="",$F1263=""),"",$B1263&amp;"|"&amp;$A1263&amp;"|"&amp;$F1263&amp;"|"&amp;$AC1263&amp;"|"&amp;COUNTIFS($B$6:$B1263,$B1263,$A$6:$A1263,$A1263,$F$6:$F1263,$F1263,$AC$6:$AC1263,$AC1263))</f>
        <v/>
      </c>
      <c r="AG1263" s="32">
        <f>IF($C1263="","",$C1263&amp;"|"&amp;COUNTIFS($C$6:$C1263,$C1263))</f>
        <v/>
      </c>
      <c r="AH1263" s="32">
        <f>IF(OR($C1263="",$A1263="",$AE1263=""),"",$C1263&amp;"|"&amp;$A1263&amp;"|"&amp;$AE1263)</f>
        <v/>
      </c>
      <c r="AI1263" s="32">
        <f>IF(OR($C1263="",$AE1263="",$AE1263=1),"",IFERROR(INDEX($AC$6:$AC$1505,MATCH($C1263&amp;"|"&amp;$A1263&amp;"|"&amp;($AE1263-1),$AH$6:$AH$1505,0)),""))</f>
        <v/>
      </c>
      <c r="AJ1263" s="32">
        <f>IF(OR($AI1263="",$AC1263=""),"",IF($AI1263=$AC1263,"ללא שינוי","מ-"&amp;$AI1263&amp;" ל-"&amp;$AC1263))</f>
        <v/>
      </c>
      <c r="AK1263" s="67" t="n"/>
    </row>
    <row r="1264">
      <c r="A1264" s="65" t="n"/>
      <c r="B1264" s="65" t="n"/>
      <c r="C1264" s="66" t="n"/>
      <c r="D1264" s="66" t="n"/>
      <c r="E1264" s="65" t="n"/>
      <c r="F1264" s="65" t="n"/>
      <c r="G1264" s="65" t="n"/>
      <c r="H1264" s="65" t="n"/>
      <c r="I1264" s="65" t="n"/>
      <c r="J1264" s="65" t="n"/>
      <c r="K1264" s="65" t="n"/>
      <c r="L1264" s="65" t="n"/>
      <c r="M1264" s="65" t="n"/>
      <c r="N1264" s="65" t="n"/>
      <c r="O1264" s="65" t="n"/>
      <c r="P1264" s="65" t="n"/>
      <c r="Q1264" s="65" t="n"/>
      <c r="R1264" s="65" t="n"/>
      <c r="S1264" s="65" t="n"/>
      <c r="T1264" s="65" t="n"/>
      <c r="U1264" s="65" t="n"/>
      <c r="V1264" s="65" t="n"/>
      <c r="W1264" s="65" t="n"/>
      <c r="X1264" s="65" t="n"/>
      <c r="Y1264" s="32">
        <f>IF($C1264="","",IF(COUNTA($I1264:$K1264)&lt;3,"— חסרים נתונים",IF(AND($I1264="תקין",$J1264="תקין",$K1264="תקין"),"רהוטה",IF(AND($I1264="תקין",$J1264="תקין"),"מדויקת ורציפה","אינה מדויקת או מקוטעת"))))</f>
        <v/>
      </c>
      <c r="Z1264" s="32">
        <f>IF($C1264="","",IF(COUNTA($U1264:$W1264)&lt;3,"",IF(AND($U1264="מפותח",$V1264="מפותח",$W1264="מפותחת"),"מפותחת",IF((--($U1264="דל"))+(--($V1264="אינו מפותח"))+(--($W1264="דלה"))&gt;=2,"אינה מפותחת","חלקית"))))</f>
        <v/>
      </c>
      <c r="AA1264" s="32">
        <f>IF($C1264="","",IF(COUNTA($M1264,$N1264,$O1264)&lt;3,"— חסרים נתונים",IF(OR($M1264="נמוכה",(--($M1264&lt;&gt;"תקינה"))+(--($N1264&lt;&gt;"תקין"))+(--($O1264&lt;&gt;"תקינה"))&gt;=2),"ניכרת","אינה ניכרת")))</f>
        <v/>
      </c>
      <c r="AB1264" s="32">
        <f>IF(OR($C1264="",$Y1264="",$AA1264="",LEFT($Y1264,1)="—",LEFT($AA1264,1)="—"),"",IF($Z1264="","— נדרשת הערכת כתיבה",IF($L1264="","— חסרה הבנת הנקרא",IF($Y1264="אינה מדויקת או מקוטעת",IF($AA1264="ניכרת","מיקוד בשטף הקריאה ובכישורי שפה","מיקוד בשטף קריאה"),IF($AA1264="ניכרת","מיקוד בכישורי שפה",IF(AND($L1264="תקינה",$Z1264="מפותחת"),"קוראים וכותבים מיומנים","מיקוד בהבנה והבעה"))))))</f>
        <v/>
      </c>
      <c r="AC1264" s="32">
        <f>IF(OR($AB1264="",LEFT($AB1264,1)="—"),"",IF(OR($AB1264="מיקוד בשטף קריאה",$AB1264="מיקוד בשטף הקריאה ובכישורי שפה"),"רמה א'",IF($AB1264="קוראים וכותבים מיומנים","רמה ג'","רמה ב'")))</f>
        <v/>
      </c>
      <c r="AD1264" s="32">
        <f>IF($AC1264="","",MID(IF(AND($AC1264="רמה א'",$AA1264="ניכרת"),"; להוסיף עבודת אוצר מילים","")&amp;IF($Z1264="אינה מפותחת","; דגש על הבעה בכתב","")&amp;IF($K1264&lt;&gt;"תקין","; נדרש לעבוד על ההנגנה","")&amp;IF($AK1264&lt;&gt;"","; "&amp;$AK1264,""),3,400))</f>
        <v/>
      </c>
      <c r="AE1264" s="32">
        <f>IF($F1264="","",IF($F1264="תחילת שנה",1,IF($F1264="מחצית שנה",2,3)))</f>
        <v/>
      </c>
      <c r="AF1264" s="32">
        <f>IF(OR($B1264="",$AC1264="",$A1264="",$F1264=""),"",$B1264&amp;"|"&amp;$A1264&amp;"|"&amp;$F1264&amp;"|"&amp;$AC1264&amp;"|"&amp;COUNTIFS($B$6:$B1264,$B1264,$A$6:$A1264,$A1264,$F$6:$F1264,$F1264,$AC$6:$AC1264,$AC1264))</f>
        <v/>
      </c>
      <c r="AG1264" s="32">
        <f>IF($C1264="","",$C1264&amp;"|"&amp;COUNTIFS($C$6:$C1264,$C1264))</f>
        <v/>
      </c>
      <c r="AH1264" s="32">
        <f>IF(OR($C1264="",$A1264="",$AE1264=""),"",$C1264&amp;"|"&amp;$A1264&amp;"|"&amp;$AE1264)</f>
        <v/>
      </c>
      <c r="AI1264" s="32">
        <f>IF(OR($C1264="",$AE1264="",$AE1264=1),"",IFERROR(INDEX($AC$6:$AC$1505,MATCH($C1264&amp;"|"&amp;$A1264&amp;"|"&amp;($AE1264-1),$AH$6:$AH$1505,0)),""))</f>
        <v/>
      </c>
      <c r="AJ1264" s="32">
        <f>IF(OR($AI1264="",$AC1264=""),"",IF($AI1264=$AC1264,"ללא שינוי","מ-"&amp;$AI1264&amp;" ל-"&amp;$AC1264))</f>
        <v/>
      </c>
      <c r="AK1264" s="67" t="n"/>
    </row>
    <row r="1265">
      <c r="A1265" s="65" t="n"/>
      <c r="B1265" s="65" t="n"/>
      <c r="C1265" s="66" t="n"/>
      <c r="D1265" s="66" t="n"/>
      <c r="E1265" s="65" t="n"/>
      <c r="F1265" s="65" t="n"/>
      <c r="G1265" s="65" t="n"/>
      <c r="H1265" s="65" t="n"/>
      <c r="I1265" s="65" t="n"/>
      <c r="J1265" s="65" t="n"/>
      <c r="K1265" s="65" t="n"/>
      <c r="L1265" s="65" t="n"/>
      <c r="M1265" s="65" t="n"/>
      <c r="N1265" s="65" t="n"/>
      <c r="O1265" s="65" t="n"/>
      <c r="P1265" s="65" t="n"/>
      <c r="Q1265" s="65" t="n"/>
      <c r="R1265" s="65" t="n"/>
      <c r="S1265" s="65" t="n"/>
      <c r="T1265" s="65" t="n"/>
      <c r="U1265" s="65" t="n"/>
      <c r="V1265" s="65" t="n"/>
      <c r="W1265" s="65" t="n"/>
      <c r="X1265" s="65" t="n"/>
      <c r="Y1265" s="32">
        <f>IF($C1265="","",IF(COUNTA($I1265:$K1265)&lt;3,"— חסרים נתונים",IF(AND($I1265="תקין",$J1265="תקין",$K1265="תקין"),"רהוטה",IF(AND($I1265="תקין",$J1265="תקין"),"מדויקת ורציפה","אינה מדויקת או מקוטעת"))))</f>
        <v/>
      </c>
      <c r="Z1265" s="32">
        <f>IF($C1265="","",IF(COUNTA($U1265:$W1265)&lt;3,"",IF(AND($U1265="מפותח",$V1265="מפותח",$W1265="מפותחת"),"מפותחת",IF((--($U1265="דל"))+(--($V1265="אינו מפותח"))+(--($W1265="דלה"))&gt;=2,"אינה מפותחת","חלקית"))))</f>
        <v/>
      </c>
      <c r="AA1265" s="32">
        <f>IF($C1265="","",IF(COUNTA($M1265,$N1265,$O1265)&lt;3,"— חסרים נתונים",IF(OR($M1265="נמוכה",(--($M1265&lt;&gt;"תקינה"))+(--($N1265&lt;&gt;"תקין"))+(--($O1265&lt;&gt;"תקינה"))&gt;=2),"ניכרת","אינה ניכרת")))</f>
        <v/>
      </c>
      <c r="AB1265" s="32">
        <f>IF(OR($C1265="",$Y1265="",$AA1265="",LEFT($Y1265,1)="—",LEFT($AA1265,1)="—"),"",IF($Z1265="","— נדרשת הערכת כתיבה",IF($L1265="","— חסרה הבנת הנקרא",IF($Y1265="אינה מדויקת או מקוטעת",IF($AA1265="ניכרת","מיקוד בשטף הקריאה ובכישורי שפה","מיקוד בשטף קריאה"),IF($AA1265="ניכרת","מיקוד בכישורי שפה",IF(AND($L1265="תקינה",$Z1265="מפותחת"),"קוראים וכותבים מיומנים","מיקוד בהבנה והבעה"))))))</f>
        <v/>
      </c>
      <c r="AC1265" s="32">
        <f>IF(OR($AB1265="",LEFT($AB1265,1)="—"),"",IF(OR($AB1265="מיקוד בשטף קריאה",$AB1265="מיקוד בשטף הקריאה ובכישורי שפה"),"רמה א'",IF($AB1265="קוראים וכותבים מיומנים","רמה ג'","רמה ב'")))</f>
        <v/>
      </c>
      <c r="AD1265" s="32">
        <f>IF($AC1265="","",MID(IF(AND($AC1265="רמה א'",$AA1265="ניכרת"),"; להוסיף עבודת אוצר מילים","")&amp;IF($Z1265="אינה מפותחת","; דגש על הבעה בכתב","")&amp;IF($K1265&lt;&gt;"תקין","; נדרש לעבוד על ההנגנה","")&amp;IF($AK1265&lt;&gt;"","; "&amp;$AK1265,""),3,400))</f>
        <v/>
      </c>
      <c r="AE1265" s="32">
        <f>IF($F1265="","",IF($F1265="תחילת שנה",1,IF($F1265="מחצית שנה",2,3)))</f>
        <v/>
      </c>
      <c r="AF1265" s="32">
        <f>IF(OR($B1265="",$AC1265="",$A1265="",$F1265=""),"",$B1265&amp;"|"&amp;$A1265&amp;"|"&amp;$F1265&amp;"|"&amp;$AC1265&amp;"|"&amp;COUNTIFS($B$6:$B1265,$B1265,$A$6:$A1265,$A1265,$F$6:$F1265,$F1265,$AC$6:$AC1265,$AC1265))</f>
        <v/>
      </c>
      <c r="AG1265" s="32">
        <f>IF($C1265="","",$C1265&amp;"|"&amp;COUNTIFS($C$6:$C1265,$C1265))</f>
        <v/>
      </c>
      <c r="AH1265" s="32">
        <f>IF(OR($C1265="",$A1265="",$AE1265=""),"",$C1265&amp;"|"&amp;$A1265&amp;"|"&amp;$AE1265)</f>
        <v/>
      </c>
      <c r="AI1265" s="32">
        <f>IF(OR($C1265="",$AE1265="",$AE1265=1),"",IFERROR(INDEX($AC$6:$AC$1505,MATCH($C1265&amp;"|"&amp;$A1265&amp;"|"&amp;($AE1265-1),$AH$6:$AH$1505,0)),""))</f>
        <v/>
      </c>
      <c r="AJ1265" s="32">
        <f>IF(OR($AI1265="",$AC1265=""),"",IF($AI1265=$AC1265,"ללא שינוי","מ-"&amp;$AI1265&amp;" ל-"&amp;$AC1265))</f>
        <v/>
      </c>
      <c r="AK1265" s="67" t="n"/>
    </row>
    <row r="1266">
      <c r="A1266" s="65" t="n"/>
      <c r="B1266" s="65" t="n"/>
      <c r="C1266" s="66" t="n"/>
      <c r="D1266" s="66" t="n"/>
      <c r="E1266" s="65" t="n"/>
      <c r="F1266" s="65" t="n"/>
      <c r="G1266" s="65" t="n"/>
      <c r="H1266" s="65" t="n"/>
      <c r="I1266" s="65" t="n"/>
      <c r="J1266" s="65" t="n"/>
      <c r="K1266" s="65" t="n"/>
      <c r="L1266" s="65" t="n"/>
      <c r="M1266" s="65" t="n"/>
      <c r="N1266" s="65" t="n"/>
      <c r="O1266" s="65" t="n"/>
      <c r="P1266" s="65" t="n"/>
      <c r="Q1266" s="65" t="n"/>
      <c r="R1266" s="65" t="n"/>
      <c r="S1266" s="65" t="n"/>
      <c r="T1266" s="65" t="n"/>
      <c r="U1266" s="65" t="n"/>
      <c r="V1266" s="65" t="n"/>
      <c r="W1266" s="65" t="n"/>
      <c r="X1266" s="65" t="n"/>
      <c r="Y1266" s="32">
        <f>IF($C1266="","",IF(COUNTA($I1266:$K1266)&lt;3,"— חסרים נתונים",IF(AND($I1266="תקין",$J1266="תקין",$K1266="תקין"),"רהוטה",IF(AND($I1266="תקין",$J1266="תקין"),"מדויקת ורציפה","אינה מדויקת או מקוטעת"))))</f>
        <v/>
      </c>
      <c r="Z1266" s="32">
        <f>IF($C1266="","",IF(COUNTA($U1266:$W1266)&lt;3,"",IF(AND($U1266="מפותח",$V1266="מפותח",$W1266="מפותחת"),"מפותחת",IF((--($U1266="דל"))+(--($V1266="אינו מפותח"))+(--($W1266="דלה"))&gt;=2,"אינה מפותחת","חלקית"))))</f>
        <v/>
      </c>
      <c r="AA1266" s="32">
        <f>IF($C1266="","",IF(COUNTA($M1266,$N1266,$O1266)&lt;3,"— חסרים נתונים",IF(OR($M1266="נמוכה",(--($M1266&lt;&gt;"תקינה"))+(--($N1266&lt;&gt;"תקין"))+(--($O1266&lt;&gt;"תקינה"))&gt;=2),"ניכרת","אינה ניכרת")))</f>
        <v/>
      </c>
      <c r="AB1266" s="32">
        <f>IF(OR($C1266="",$Y1266="",$AA1266="",LEFT($Y1266,1)="—",LEFT($AA1266,1)="—"),"",IF($Z1266="","— נדרשת הערכת כתיבה",IF($L1266="","— חסרה הבנת הנקרא",IF($Y1266="אינה מדויקת או מקוטעת",IF($AA1266="ניכרת","מיקוד בשטף הקריאה ובכישורי שפה","מיקוד בשטף קריאה"),IF($AA1266="ניכרת","מיקוד בכישורי שפה",IF(AND($L1266="תקינה",$Z1266="מפותחת"),"קוראים וכותבים מיומנים","מיקוד בהבנה והבעה"))))))</f>
        <v/>
      </c>
      <c r="AC1266" s="32">
        <f>IF(OR($AB1266="",LEFT($AB1266,1)="—"),"",IF(OR($AB1266="מיקוד בשטף קריאה",$AB1266="מיקוד בשטף הקריאה ובכישורי שפה"),"רמה א'",IF($AB1266="קוראים וכותבים מיומנים","רמה ג'","רמה ב'")))</f>
        <v/>
      </c>
      <c r="AD1266" s="32">
        <f>IF($AC1266="","",MID(IF(AND($AC1266="רמה א'",$AA1266="ניכרת"),"; להוסיף עבודת אוצר מילים","")&amp;IF($Z1266="אינה מפותחת","; דגש על הבעה בכתב","")&amp;IF($K1266&lt;&gt;"תקין","; נדרש לעבוד על ההנגנה","")&amp;IF($AK1266&lt;&gt;"","; "&amp;$AK1266,""),3,400))</f>
        <v/>
      </c>
      <c r="AE1266" s="32">
        <f>IF($F1266="","",IF($F1266="תחילת שנה",1,IF($F1266="מחצית שנה",2,3)))</f>
        <v/>
      </c>
      <c r="AF1266" s="32">
        <f>IF(OR($B1266="",$AC1266="",$A1266="",$F1266=""),"",$B1266&amp;"|"&amp;$A1266&amp;"|"&amp;$F1266&amp;"|"&amp;$AC1266&amp;"|"&amp;COUNTIFS($B$6:$B1266,$B1266,$A$6:$A1266,$A1266,$F$6:$F1266,$F1266,$AC$6:$AC1266,$AC1266))</f>
        <v/>
      </c>
      <c r="AG1266" s="32">
        <f>IF($C1266="","",$C1266&amp;"|"&amp;COUNTIFS($C$6:$C1266,$C1266))</f>
        <v/>
      </c>
      <c r="AH1266" s="32">
        <f>IF(OR($C1266="",$A1266="",$AE1266=""),"",$C1266&amp;"|"&amp;$A1266&amp;"|"&amp;$AE1266)</f>
        <v/>
      </c>
      <c r="AI1266" s="32">
        <f>IF(OR($C1266="",$AE1266="",$AE1266=1),"",IFERROR(INDEX($AC$6:$AC$1505,MATCH($C1266&amp;"|"&amp;$A1266&amp;"|"&amp;($AE1266-1),$AH$6:$AH$1505,0)),""))</f>
        <v/>
      </c>
      <c r="AJ1266" s="32">
        <f>IF(OR($AI1266="",$AC1266=""),"",IF($AI1266=$AC1266,"ללא שינוי","מ-"&amp;$AI1266&amp;" ל-"&amp;$AC1266))</f>
        <v/>
      </c>
      <c r="AK1266" s="67" t="n"/>
    </row>
    <row r="1267">
      <c r="A1267" s="65" t="n"/>
      <c r="B1267" s="65" t="n"/>
      <c r="C1267" s="66" t="n"/>
      <c r="D1267" s="66" t="n"/>
      <c r="E1267" s="65" t="n"/>
      <c r="F1267" s="65" t="n"/>
      <c r="G1267" s="65" t="n"/>
      <c r="H1267" s="65" t="n"/>
      <c r="I1267" s="65" t="n"/>
      <c r="J1267" s="65" t="n"/>
      <c r="K1267" s="65" t="n"/>
      <c r="L1267" s="65" t="n"/>
      <c r="M1267" s="65" t="n"/>
      <c r="N1267" s="65" t="n"/>
      <c r="O1267" s="65" t="n"/>
      <c r="P1267" s="65" t="n"/>
      <c r="Q1267" s="65" t="n"/>
      <c r="R1267" s="65" t="n"/>
      <c r="S1267" s="65" t="n"/>
      <c r="T1267" s="65" t="n"/>
      <c r="U1267" s="65" t="n"/>
      <c r="V1267" s="65" t="n"/>
      <c r="W1267" s="65" t="n"/>
      <c r="X1267" s="65" t="n"/>
      <c r="Y1267" s="32">
        <f>IF($C1267="","",IF(COUNTA($I1267:$K1267)&lt;3,"— חסרים נתונים",IF(AND($I1267="תקין",$J1267="תקין",$K1267="תקין"),"רהוטה",IF(AND($I1267="תקין",$J1267="תקין"),"מדויקת ורציפה","אינה מדויקת או מקוטעת"))))</f>
        <v/>
      </c>
      <c r="Z1267" s="32">
        <f>IF($C1267="","",IF(COUNTA($U1267:$W1267)&lt;3,"",IF(AND($U1267="מפותח",$V1267="מפותח",$W1267="מפותחת"),"מפותחת",IF((--($U1267="דל"))+(--($V1267="אינו מפותח"))+(--($W1267="דלה"))&gt;=2,"אינה מפותחת","חלקית"))))</f>
        <v/>
      </c>
      <c r="AA1267" s="32">
        <f>IF($C1267="","",IF(COUNTA($M1267,$N1267,$O1267)&lt;3,"— חסרים נתונים",IF(OR($M1267="נמוכה",(--($M1267&lt;&gt;"תקינה"))+(--($N1267&lt;&gt;"תקין"))+(--($O1267&lt;&gt;"תקינה"))&gt;=2),"ניכרת","אינה ניכרת")))</f>
        <v/>
      </c>
      <c r="AB1267" s="32">
        <f>IF(OR($C1267="",$Y1267="",$AA1267="",LEFT($Y1267,1)="—",LEFT($AA1267,1)="—"),"",IF($Z1267="","— נדרשת הערכת כתיבה",IF($L1267="","— חסרה הבנת הנקרא",IF($Y1267="אינה מדויקת או מקוטעת",IF($AA1267="ניכרת","מיקוד בשטף הקריאה ובכישורי שפה","מיקוד בשטף קריאה"),IF($AA1267="ניכרת","מיקוד בכישורי שפה",IF(AND($L1267="תקינה",$Z1267="מפותחת"),"קוראים וכותבים מיומנים","מיקוד בהבנה והבעה"))))))</f>
        <v/>
      </c>
      <c r="AC1267" s="32">
        <f>IF(OR($AB1267="",LEFT($AB1267,1)="—"),"",IF(OR($AB1267="מיקוד בשטף קריאה",$AB1267="מיקוד בשטף הקריאה ובכישורי שפה"),"רמה א'",IF($AB1267="קוראים וכותבים מיומנים","רמה ג'","רמה ב'")))</f>
        <v/>
      </c>
      <c r="AD1267" s="32">
        <f>IF($AC1267="","",MID(IF(AND($AC1267="רמה א'",$AA1267="ניכרת"),"; להוסיף עבודת אוצר מילים","")&amp;IF($Z1267="אינה מפותחת","; דגש על הבעה בכתב","")&amp;IF($K1267&lt;&gt;"תקין","; נדרש לעבוד על ההנגנה","")&amp;IF($AK1267&lt;&gt;"","; "&amp;$AK1267,""),3,400))</f>
        <v/>
      </c>
      <c r="AE1267" s="32">
        <f>IF($F1267="","",IF($F1267="תחילת שנה",1,IF($F1267="מחצית שנה",2,3)))</f>
        <v/>
      </c>
      <c r="AF1267" s="32">
        <f>IF(OR($B1267="",$AC1267="",$A1267="",$F1267=""),"",$B1267&amp;"|"&amp;$A1267&amp;"|"&amp;$F1267&amp;"|"&amp;$AC1267&amp;"|"&amp;COUNTIFS($B$6:$B1267,$B1267,$A$6:$A1267,$A1267,$F$6:$F1267,$F1267,$AC$6:$AC1267,$AC1267))</f>
        <v/>
      </c>
      <c r="AG1267" s="32">
        <f>IF($C1267="","",$C1267&amp;"|"&amp;COUNTIFS($C$6:$C1267,$C1267))</f>
        <v/>
      </c>
      <c r="AH1267" s="32">
        <f>IF(OR($C1267="",$A1267="",$AE1267=""),"",$C1267&amp;"|"&amp;$A1267&amp;"|"&amp;$AE1267)</f>
        <v/>
      </c>
      <c r="AI1267" s="32">
        <f>IF(OR($C1267="",$AE1267="",$AE1267=1),"",IFERROR(INDEX($AC$6:$AC$1505,MATCH($C1267&amp;"|"&amp;$A1267&amp;"|"&amp;($AE1267-1),$AH$6:$AH$1505,0)),""))</f>
        <v/>
      </c>
      <c r="AJ1267" s="32">
        <f>IF(OR($AI1267="",$AC1267=""),"",IF($AI1267=$AC1267,"ללא שינוי","מ-"&amp;$AI1267&amp;" ל-"&amp;$AC1267))</f>
        <v/>
      </c>
      <c r="AK1267" s="67" t="n"/>
    </row>
    <row r="1268">
      <c r="A1268" s="65" t="n"/>
      <c r="B1268" s="65" t="n"/>
      <c r="C1268" s="66" t="n"/>
      <c r="D1268" s="66" t="n"/>
      <c r="E1268" s="65" t="n"/>
      <c r="F1268" s="65" t="n"/>
      <c r="G1268" s="65" t="n"/>
      <c r="H1268" s="65" t="n"/>
      <c r="I1268" s="65" t="n"/>
      <c r="J1268" s="65" t="n"/>
      <c r="K1268" s="65" t="n"/>
      <c r="L1268" s="65" t="n"/>
      <c r="M1268" s="65" t="n"/>
      <c r="N1268" s="65" t="n"/>
      <c r="O1268" s="65" t="n"/>
      <c r="P1268" s="65" t="n"/>
      <c r="Q1268" s="65" t="n"/>
      <c r="R1268" s="65" t="n"/>
      <c r="S1268" s="65" t="n"/>
      <c r="T1268" s="65" t="n"/>
      <c r="U1268" s="65" t="n"/>
      <c r="V1268" s="65" t="n"/>
      <c r="W1268" s="65" t="n"/>
      <c r="X1268" s="65" t="n"/>
      <c r="Y1268" s="32">
        <f>IF($C1268="","",IF(COUNTA($I1268:$K1268)&lt;3,"— חסרים נתונים",IF(AND($I1268="תקין",$J1268="תקין",$K1268="תקין"),"רהוטה",IF(AND($I1268="תקין",$J1268="תקין"),"מדויקת ורציפה","אינה מדויקת או מקוטעת"))))</f>
        <v/>
      </c>
      <c r="Z1268" s="32">
        <f>IF($C1268="","",IF(COUNTA($U1268:$W1268)&lt;3,"",IF(AND($U1268="מפותח",$V1268="מפותח",$W1268="מפותחת"),"מפותחת",IF((--($U1268="דל"))+(--($V1268="אינו מפותח"))+(--($W1268="דלה"))&gt;=2,"אינה מפותחת","חלקית"))))</f>
        <v/>
      </c>
      <c r="AA1268" s="32">
        <f>IF($C1268="","",IF(COUNTA($M1268,$N1268,$O1268)&lt;3,"— חסרים נתונים",IF(OR($M1268="נמוכה",(--($M1268&lt;&gt;"תקינה"))+(--($N1268&lt;&gt;"תקין"))+(--($O1268&lt;&gt;"תקינה"))&gt;=2),"ניכרת","אינה ניכרת")))</f>
        <v/>
      </c>
      <c r="AB1268" s="32">
        <f>IF(OR($C1268="",$Y1268="",$AA1268="",LEFT($Y1268,1)="—",LEFT($AA1268,1)="—"),"",IF($Z1268="","— נדרשת הערכת כתיבה",IF($L1268="","— חסרה הבנת הנקרא",IF($Y1268="אינה מדויקת או מקוטעת",IF($AA1268="ניכרת","מיקוד בשטף הקריאה ובכישורי שפה","מיקוד בשטף קריאה"),IF($AA1268="ניכרת","מיקוד בכישורי שפה",IF(AND($L1268="תקינה",$Z1268="מפותחת"),"קוראים וכותבים מיומנים","מיקוד בהבנה והבעה"))))))</f>
        <v/>
      </c>
      <c r="AC1268" s="32">
        <f>IF(OR($AB1268="",LEFT($AB1268,1)="—"),"",IF(OR($AB1268="מיקוד בשטף קריאה",$AB1268="מיקוד בשטף הקריאה ובכישורי שפה"),"רמה א'",IF($AB1268="קוראים וכותבים מיומנים","רמה ג'","רמה ב'")))</f>
        <v/>
      </c>
      <c r="AD1268" s="32">
        <f>IF($AC1268="","",MID(IF(AND($AC1268="רמה א'",$AA1268="ניכרת"),"; להוסיף עבודת אוצר מילים","")&amp;IF($Z1268="אינה מפותחת","; דגש על הבעה בכתב","")&amp;IF($K1268&lt;&gt;"תקין","; נדרש לעבוד על ההנגנה","")&amp;IF($AK1268&lt;&gt;"","; "&amp;$AK1268,""),3,400))</f>
        <v/>
      </c>
      <c r="AE1268" s="32">
        <f>IF($F1268="","",IF($F1268="תחילת שנה",1,IF($F1268="מחצית שנה",2,3)))</f>
        <v/>
      </c>
      <c r="AF1268" s="32">
        <f>IF(OR($B1268="",$AC1268="",$A1268="",$F1268=""),"",$B1268&amp;"|"&amp;$A1268&amp;"|"&amp;$F1268&amp;"|"&amp;$AC1268&amp;"|"&amp;COUNTIFS($B$6:$B1268,$B1268,$A$6:$A1268,$A1268,$F$6:$F1268,$F1268,$AC$6:$AC1268,$AC1268))</f>
        <v/>
      </c>
      <c r="AG1268" s="32">
        <f>IF($C1268="","",$C1268&amp;"|"&amp;COUNTIFS($C$6:$C1268,$C1268))</f>
        <v/>
      </c>
      <c r="AH1268" s="32">
        <f>IF(OR($C1268="",$A1268="",$AE1268=""),"",$C1268&amp;"|"&amp;$A1268&amp;"|"&amp;$AE1268)</f>
        <v/>
      </c>
      <c r="AI1268" s="32">
        <f>IF(OR($C1268="",$AE1268="",$AE1268=1),"",IFERROR(INDEX($AC$6:$AC$1505,MATCH($C1268&amp;"|"&amp;$A1268&amp;"|"&amp;($AE1268-1),$AH$6:$AH$1505,0)),""))</f>
        <v/>
      </c>
      <c r="AJ1268" s="32">
        <f>IF(OR($AI1268="",$AC1268=""),"",IF($AI1268=$AC1268,"ללא שינוי","מ-"&amp;$AI1268&amp;" ל-"&amp;$AC1268))</f>
        <v/>
      </c>
      <c r="AK1268" s="67" t="n"/>
    </row>
    <row r="1269">
      <c r="A1269" s="65" t="n"/>
      <c r="B1269" s="65" t="n"/>
      <c r="C1269" s="66" t="n"/>
      <c r="D1269" s="66" t="n"/>
      <c r="E1269" s="65" t="n"/>
      <c r="F1269" s="65" t="n"/>
      <c r="G1269" s="65" t="n"/>
      <c r="H1269" s="65" t="n"/>
      <c r="I1269" s="65" t="n"/>
      <c r="J1269" s="65" t="n"/>
      <c r="K1269" s="65" t="n"/>
      <c r="L1269" s="65" t="n"/>
      <c r="M1269" s="65" t="n"/>
      <c r="N1269" s="65" t="n"/>
      <c r="O1269" s="65" t="n"/>
      <c r="P1269" s="65" t="n"/>
      <c r="Q1269" s="65" t="n"/>
      <c r="R1269" s="65" t="n"/>
      <c r="S1269" s="65" t="n"/>
      <c r="T1269" s="65" t="n"/>
      <c r="U1269" s="65" t="n"/>
      <c r="V1269" s="65" t="n"/>
      <c r="W1269" s="65" t="n"/>
      <c r="X1269" s="65" t="n"/>
      <c r="Y1269" s="32">
        <f>IF($C1269="","",IF(COUNTA($I1269:$K1269)&lt;3,"— חסרים נתונים",IF(AND($I1269="תקין",$J1269="תקין",$K1269="תקין"),"רהוטה",IF(AND($I1269="תקין",$J1269="תקין"),"מדויקת ורציפה","אינה מדויקת או מקוטעת"))))</f>
        <v/>
      </c>
      <c r="Z1269" s="32">
        <f>IF($C1269="","",IF(COUNTA($U1269:$W1269)&lt;3,"",IF(AND($U1269="מפותח",$V1269="מפותח",$W1269="מפותחת"),"מפותחת",IF((--($U1269="דל"))+(--($V1269="אינו מפותח"))+(--($W1269="דלה"))&gt;=2,"אינה מפותחת","חלקית"))))</f>
        <v/>
      </c>
      <c r="AA1269" s="32">
        <f>IF($C1269="","",IF(COUNTA($M1269,$N1269,$O1269)&lt;3,"— חסרים נתונים",IF(OR($M1269="נמוכה",(--($M1269&lt;&gt;"תקינה"))+(--($N1269&lt;&gt;"תקין"))+(--($O1269&lt;&gt;"תקינה"))&gt;=2),"ניכרת","אינה ניכרת")))</f>
        <v/>
      </c>
      <c r="AB1269" s="32">
        <f>IF(OR($C1269="",$Y1269="",$AA1269="",LEFT($Y1269,1)="—",LEFT($AA1269,1)="—"),"",IF($Z1269="","— נדרשת הערכת כתיבה",IF($L1269="","— חסרה הבנת הנקרא",IF($Y1269="אינה מדויקת או מקוטעת",IF($AA1269="ניכרת","מיקוד בשטף הקריאה ובכישורי שפה","מיקוד בשטף קריאה"),IF($AA1269="ניכרת","מיקוד בכישורי שפה",IF(AND($L1269="תקינה",$Z1269="מפותחת"),"קוראים וכותבים מיומנים","מיקוד בהבנה והבעה"))))))</f>
        <v/>
      </c>
      <c r="AC1269" s="32">
        <f>IF(OR($AB1269="",LEFT($AB1269,1)="—"),"",IF(OR($AB1269="מיקוד בשטף קריאה",$AB1269="מיקוד בשטף הקריאה ובכישורי שפה"),"רמה א'",IF($AB1269="קוראים וכותבים מיומנים","רמה ג'","רמה ב'")))</f>
        <v/>
      </c>
      <c r="AD1269" s="32">
        <f>IF($AC1269="","",MID(IF(AND($AC1269="רמה א'",$AA1269="ניכרת"),"; להוסיף עבודת אוצר מילים","")&amp;IF($Z1269="אינה מפותחת","; דגש על הבעה בכתב","")&amp;IF($K1269&lt;&gt;"תקין","; נדרש לעבוד על ההנגנה","")&amp;IF($AK1269&lt;&gt;"","; "&amp;$AK1269,""),3,400))</f>
        <v/>
      </c>
      <c r="AE1269" s="32">
        <f>IF($F1269="","",IF($F1269="תחילת שנה",1,IF($F1269="מחצית שנה",2,3)))</f>
        <v/>
      </c>
      <c r="AF1269" s="32">
        <f>IF(OR($B1269="",$AC1269="",$A1269="",$F1269=""),"",$B1269&amp;"|"&amp;$A1269&amp;"|"&amp;$F1269&amp;"|"&amp;$AC1269&amp;"|"&amp;COUNTIFS($B$6:$B1269,$B1269,$A$6:$A1269,$A1269,$F$6:$F1269,$F1269,$AC$6:$AC1269,$AC1269))</f>
        <v/>
      </c>
      <c r="AG1269" s="32">
        <f>IF($C1269="","",$C1269&amp;"|"&amp;COUNTIFS($C$6:$C1269,$C1269))</f>
        <v/>
      </c>
      <c r="AH1269" s="32">
        <f>IF(OR($C1269="",$A1269="",$AE1269=""),"",$C1269&amp;"|"&amp;$A1269&amp;"|"&amp;$AE1269)</f>
        <v/>
      </c>
      <c r="AI1269" s="32">
        <f>IF(OR($C1269="",$AE1269="",$AE1269=1),"",IFERROR(INDEX($AC$6:$AC$1505,MATCH($C1269&amp;"|"&amp;$A1269&amp;"|"&amp;($AE1269-1),$AH$6:$AH$1505,0)),""))</f>
        <v/>
      </c>
      <c r="AJ1269" s="32">
        <f>IF(OR($AI1269="",$AC1269=""),"",IF($AI1269=$AC1269,"ללא שינוי","מ-"&amp;$AI1269&amp;" ל-"&amp;$AC1269))</f>
        <v/>
      </c>
      <c r="AK1269" s="67" t="n"/>
    </row>
    <row r="1270">
      <c r="A1270" s="65" t="n"/>
      <c r="B1270" s="65" t="n"/>
      <c r="C1270" s="66" t="n"/>
      <c r="D1270" s="66" t="n"/>
      <c r="E1270" s="65" t="n"/>
      <c r="F1270" s="65" t="n"/>
      <c r="G1270" s="65" t="n"/>
      <c r="H1270" s="65" t="n"/>
      <c r="I1270" s="65" t="n"/>
      <c r="J1270" s="65" t="n"/>
      <c r="K1270" s="65" t="n"/>
      <c r="L1270" s="65" t="n"/>
      <c r="M1270" s="65" t="n"/>
      <c r="N1270" s="65" t="n"/>
      <c r="O1270" s="65" t="n"/>
      <c r="P1270" s="65" t="n"/>
      <c r="Q1270" s="65" t="n"/>
      <c r="R1270" s="65" t="n"/>
      <c r="S1270" s="65" t="n"/>
      <c r="T1270" s="65" t="n"/>
      <c r="U1270" s="65" t="n"/>
      <c r="V1270" s="65" t="n"/>
      <c r="W1270" s="65" t="n"/>
      <c r="X1270" s="65" t="n"/>
      <c r="Y1270" s="32">
        <f>IF($C1270="","",IF(COUNTA($I1270:$K1270)&lt;3,"— חסרים נתונים",IF(AND($I1270="תקין",$J1270="תקין",$K1270="תקין"),"רהוטה",IF(AND($I1270="תקין",$J1270="תקין"),"מדויקת ורציפה","אינה מדויקת או מקוטעת"))))</f>
        <v/>
      </c>
      <c r="Z1270" s="32">
        <f>IF($C1270="","",IF(COUNTA($U1270:$W1270)&lt;3,"",IF(AND($U1270="מפותח",$V1270="מפותח",$W1270="מפותחת"),"מפותחת",IF((--($U1270="דל"))+(--($V1270="אינו מפותח"))+(--($W1270="דלה"))&gt;=2,"אינה מפותחת","חלקית"))))</f>
        <v/>
      </c>
      <c r="AA1270" s="32">
        <f>IF($C1270="","",IF(COUNTA($M1270,$N1270,$O1270)&lt;3,"— חסרים נתונים",IF(OR($M1270="נמוכה",(--($M1270&lt;&gt;"תקינה"))+(--($N1270&lt;&gt;"תקין"))+(--($O1270&lt;&gt;"תקינה"))&gt;=2),"ניכרת","אינה ניכרת")))</f>
        <v/>
      </c>
      <c r="AB1270" s="32">
        <f>IF(OR($C1270="",$Y1270="",$AA1270="",LEFT($Y1270,1)="—",LEFT($AA1270,1)="—"),"",IF($Z1270="","— נדרשת הערכת כתיבה",IF($L1270="","— חסרה הבנת הנקרא",IF($Y1270="אינה מדויקת או מקוטעת",IF($AA1270="ניכרת","מיקוד בשטף הקריאה ובכישורי שפה","מיקוד בשטף קריאה"),IF($AA1270="ניכרת","מיקוד בכישורי שפה",IF(AND($L1270="תקינה",$Z1270="מפותחת"),"קוראים וכותבים מיומנים","מיקוד בהבנה והבעה"))))))</f>
        <v/>
      </c>
      <c r="AC1270" s="32">
        <f>IF(OR($AB1270="",LEFT($AB1270,1)="—"),"",IF(OR($AB1270="מיקוד בשטף קריאה",$AB1270="מיקוד בשטף הקריאה ובכישורי שפה"),"רמה א'",IF($AB1270="קוראים וכותבים מיומנים","רמה ג'","רמה ב'")))</f>
        <v/>
      </c>
      <c r="AD1270" s="32">
        <f>IF($AC1270="","",MID(IF(AND($AC1270="רמה א'",$AA1270="ניכרת"),"; להוסיף עבודת אוצר מילים","")&amp;IF($Z1270="אינה מפותחת","; דגש על הבעה בכתב","")&amp;IF($K1270&lt;&gt;"תקין","; נדרש לעבוד על ההנגנה","")&amp;IF($AK1270&lt;&gt;"","; "&amp;$AK1270,""),3,400))</f>
        <v/>
      </c>
      <c r="AE1270" s="32">
        <f>IF($F1270="","",IF($F1270="תחילת שנה",1,IF($F1270="מחצית שנה",2,3)))</f>
        <v/>
      </c>
      <c r="AF1270" s="32">
        <f>IF(OR($B1270="",$AC1270="",$A1270="",$F1270=""),"",$B1270&amp;"|"&amp;$A1270&amp;"|"&amp;$F1270&amp;"|"&amp;$AC1270&amp;"|"&amp;COUNTIFS($B$6:$B1270,$B1270,$A$6:$A1270,$A1270,$F$6:$F1270,$F1270,$AC$6:$AC1270,$AC1270))</f>
        <v/>
      </c>
      <c r="AG1270" s="32">
        <f>IF($C1270="","",$C1270&amp;"|"&amp;COUNTIFS($C$6:$C1270,$C1270))</f>
        <v/>
      </c>
      <c r="AH1270" s="32">
        <f>IF(OR($C1270="",$A1270="",$AE1270=""),"",$C1270&amp;"|"&amp;$A1270&amp;"|"&amp;$AE1270)</f>
        <v/>
      </c>
      <c r="AI1270" s="32">
        <f>IF(OR($C1270="",$AE1270="",$AE1270=1),"",IFERROR(INDEX($AC$6:$AC$1505,MATCH($C1270&amp;"|"&amp;$A1270&amp;"|"&amp;($AE1270-1),$AH$6:$AH$1505,0)),""))</f>
        <v/>
      </c>
      <c r="AJ1270" s="32">
        <f>IF(OR($AI1270="",$AC1270=""),"",IF($AI1270=$AC1270,"ללא שינוי","מ-"&amp;$AI1270&amp;" ל-"&amp;$AC1270))</f>
        <v/>
      </c>
      <c r="AK1270" s="67" t="n"/>
    </row>
    <row r="1271">
      <c r="A1271" s="65" t="n"/>
      <c r="B1271" s="65" t="n"/>
      <c r="C1271" s="66" t="n"/>
      <c r="D1271" s="66" t="n"/>
      <c r="E1271" s="65" t="n"/>
      <c r="F1271" s="65" t="n"/>
      <c r="G1271" s="65" t="n"/>
      <c r="H1271" s="65" t="n"/>
      <c r="I1271" s="65" t="n"/>
      <c r="J1271" s="65" t="n"/>
      <c r="K1271" s="65" t="n"/>
      <c r="L1271" s="65" t="n"/>
      <c r="M1271" s="65" t="n"/>
      <c r="N1271" s="65" t="n"/>
      <c r="O1271" s="65" t="n"/>
      <c r="P1271" s="65" t="n"/>
      <c r="Q1271" s="65" t="n"/>
      <c r="R1271" s="65" t="n"/>
      <c r="S1271" s="65" t="n"/>
      <c r="T1271" s="65" t="n"/>
      <c r="U1271" s="65" t="n"/>
      <c r="V1271" s="65" t="n"/>
      <c r="W1271" s="65" t="n"/>
      <c r="X1271" s="65" t="n"/>
      <c r="Y1271" s="32">
        <f>IF($C1271="","",IF(COUNTA($I1271:$K1271)&lt;3,"— חסרים נתונים",IF(AND($I1271="תקין",$J1271="תקין",$K1271="תקין"),"רהוטה",IF(AND($I1271="תקין",$J1271="תקין"),"מדויקת ורציפה","אינה מדויקת או מקוטעת"))))</f>
        <v/>
      </c>
      <c r="Z1271" s="32">
        <f>IF($C1271="","",IF(COUNTA($U1271:$W1271)&lt;3,"",IF(AND($U1271="מפותח",$V1271="מפותח",$W1271="מפותחת"),"מפותחת",IF((--($U1271="דל"))+(--($V1271="אינו מפותח"))+(--($W1271="דלה"))&gt;=2,"אינה מפותחת","חלקית"))))</f>
        <v/>
      </c>
      <c r="AA1271" s="32">
        <f>IF($C1271="","",IF(COUNTA($M1271,$N1271,$O1271)&lt;3,"— חסרים נתונים",IF(OR($M1271="נמוכה",(--($M1271&lt;&gt;"תקינה"))+(--($N1271&lt;&gt;"תקין"))+(--($O1271&lt;&gt;"תקינה"))&gt;=2),"ניכרת","אינה ניכרת")))</f>
        <v/>
      </c>
      <c r="AB1271" s="32">
        <f>IF(OR($C1271="",$Y1271="",$AA1271="",LEFT($Y1271,1)="—",LEFT($AA1271,1)="—"),"",IF($Z1271="","— נדרשת הערכת כתיבה",IF($L1271="","— חסרה הבנת הנקרא",IF($Y1271="אינה מדויקת או מקוטעת",IF($AA1271="ניכרת","מיקוד בשטף הקריאה ובכישורי שפה","מיקוד בשטף קריאה"),IF($AA1271="ניכרת","מיקוד בכישורי שפה",IF(AND($L1271="תקינה",$Z1271="מפותחת"),"קוראים וכותבים מיומנים","מיקוד בהבנה והבעה"))))))</f>
        <v/>
      </c>
      <c r="AC1271" s="32">
        <f>IF(OR($AB1271="",LEFT($AB1271,1)="—"),"",IF(OR($AB1271="מיקוד בשטף קריאה",$AB1271="מיקוד בשטף הקריאה ובכישורי שפה"),"רמה א'",IF($AB1271="קוראים וכותבים מיומנים","רמה ג'","רמה ב'")))</f>
        <v/>
      </c>
      <c r="AD1271" s="32">
        <f>IF($AC1271="","",MID(IF(AND($AC1271="רמה א'",$AA1271="ניכרת"),"; להוסיף עבודת אוצר מילים","")&amp;IF($Z1271="אינה מפותחת","; דגש על הבעה בכתב","")&amp;IF($K1271&lt;&gt;"תקין","; נדרש לעבוד על ההנגנה","")&amp;IF($AK1271&lt;&gt;"","; "&amp;$AK1271,""),3,400))</f>
        <v/>
      </c>
      <c r="AE1271" s="32">
        <f>IF($F1271="","",IF($F1271="תחילת שנה",1,IF($F1271="מחצית שנה",2,3)))</f>
        <v/>
      </c>
      <c r="AF1271" s="32">
        <f>IF(OR($B1271="",$AC1271="",$A1271="",$F1271=""),"",$B1271&amp;"|"&amp;$A1271&amp;"|"&amp;$F1271&amp;"|"&amp;$AC1271&amp;"|"&amp;COUNTIFS($B$6:$B1271,$B1271,$A$6:$A1271,$A1271,$F$6:$F1271,$F1271,$AC$6:$AC1271,$AC1271))</f>
        <v/>
      </c>
      <c r="AG1271" s="32">
        <f>IF($C1271="","",$C1271&amp;"|"&amp;COUNTIFS($C$6:$C1271,$C1271))</f>
        <v/>
      </c>
      <c r="AH1271" s="32">
        <f>IF(OR($C1271="",$A1271="",$AE1271=""),"",$C1271&amp;"|"&amp;$A1271&amp;"|"&amp;$AE1271)</f>
        <v/>
      </c>
      <c r="AI1271" s="32">
        <f>IF(OR($C1271="",$AE1271="",$AE1271=1),"",IFERROR(INDEX($AC$6:$AC$1505,MATCH($C1271&amp;"|"&amp;$A1271&amp;"|"&amp;($AE1271-1),$AH$6:$AH$1505,0)),""))</f>
        <v/>
      </c>
      <c r="AJ1271" s="32">
        <f>IF(OR($AI1271="",$AC1271=""),"",IF($AI1271=$AC1271,"ללא שינוי","מ-"&amp;$AI1271&amp;" ל-"&amp;$AC1271))</f>
        <v/>
      </c>
      <c r="AK1271" s="67" t="n"/>
    </row>
    <row r="1272">
      <c r="A1272" s="65" t="n"/>
      <c r="B1272" s="65" t="n"/>
      <c r="C1272" s="66" t="n"/>
      <c r="D1272" s="66" t="n"/>
      <c r="E1272" s="65" t="n"/>
      <c r="F1272" s="65" t="n"/>
      <c r="G1272" s="65" t="n"/>
      <c r="H1272" s="65" t="n"/>
      <c r="I1272" s="65" t="n"/>
      <c r="J1272" s="65" t="n"/>
      <c r="K1272" s="65" t="n"/>
      <c r="L1272" s="65" t="n"/>
      <c r="M1272" s="65" t="n"/>
      <c r="N1272" s="65" t="n"/>
      <c r="O1272" s="65" t="n"/>
      <c r="P1272" s="65" t="n"/>
      <c r="Q1272" s="65" t="n"/>
      <c r="R1272" s="65" t="n"/>
      <c r="S1272" s="65" t="n"/>
      <c r="T1272" s="65" t="n"/>
      <c r="U1272" s="65" t="n"/>
      <c r="V1272" s="65" t="n"/>
      <c r="W1272" s="65" t="n"/>
      <c r="X1272" s="65" t="n"/>
      <c r="Y1272" s="32">
        <f>IF($C1272="","",IF(COUNTA($I1272:$K1272)&lt;3,"— חסרים נתונים",IF(AND($I1272="תקין",$J1272="תקין",$K1272="תקין"),"רהוטה",IF(AND($I1272="תקין",$J1272="תקין"),"מדויקת ורציפה","אינה מדויקת או מקוטעת"))))</f>
        <v/>
      </c>
      <c r="Z1272" s="32">
        <f>IF($C1272="","",IF(COUNTA($U1272:$W1272)&lt;3,"",IF(AND($U1272="מפותח",$V1272="מפותח",$W1272="מפותחת"),"מפותחת",IF((--($U1272="דל"))+(--($V1272="אינו מפותח"))+(--($W1272="דלה"))&gt;=2,"אינה מפותחת","חלקית"))))</f>
        <v/>
      </c>
      <c r="AA1272" s="32">
        <f>IF($C1272="","",IF(COUNTA($M1272,$N1272,$O1272)&lt;3,"— חסרים נתונים",IF(OR($M1272="נמוכה",(--($M1272&lt;&gt;"תקינה"))+(--($N1272&lt;&gt;"תקין"))+(--($O1272&lt;&gt;"תקינה"))&gt;=2),"ניכרת","אינה ניכרת")))</f>
        <v/>
      </c>
      <c r="AB1272" s="32">
        <f>IF(OR($C1272="",$Y1272="",$AA1272="",LEFT($Y1272,1)="—",LEFT($AA1272,1)="—"),"",IF($Z1272="","— נדרשת הערכת כתיבה",IF($L1272="","— חסרה הבנת הנקרא",IF($Y1272="אינה מדויקת או מקוטעת",IF($AA1272="ניכרת","מיקוד בשטף הקריאה ובכישורי שפה","מיקוד בשטף קריאה"),IF($AA1272="ניכרת","מיקוד בכישורי שפה",IF(AND($L1272="תקינה",$Z1272="מפותחת"),"קוראים וכותבים מיומנים","מיקוד בהבנה והבעה"))))))</f>
        <v/>
      </c>
      <c r="AC1272" s="32">
        <f>IF(OR($AB1272="",LEFT($AB1272,1)="—"),"",IF(OR($AB1272="מיקוד בשטף קריאה",$AB1272="מיקוד בשטף הקריאה ובכישורי שפה"),"רמה א'",IF($AB1272="קוראים וכותבים מיומנים","רמה ג'","רמה ב'")))</f>
        <v/>
      </c>
      <c r="AD1272" s="32">
        <f>IF($AC1272="","",MID(IF(AND($AC1272="רמה א'",$AA1272="ניכרת"),"; להוסיף עבודת אוצר מילים","")&amp;IF($Z1272="אינה מפותחת","; דגש על הבעה בכתב","")&amp;IF($K1272&lt;&gt;"תקין","; נדרש לעבוד על ההנגנה","")&amp;IF($AK1272&lt;&gt;"","; "&amp;$AK1272,""),3,400))</f>
        <v/>
      </c>
      <c r="AE1272" s="32">
        <f>IF($F1272="","",IF($F1272="תחילת שנה",1,IF($F1272="מחצית שנה",2,3)))</f>
        <v/>
      </c>
      <c r="AF1272" s="32">
        <f>IF(OR($B1272="",$AC1272="",$A1272="",$F1272=""),"",$B1272&amp;"|"&amp;$A1272&amp;"|"&amp;$F1272&amp;"|"&amp;$AC1272&amp;"|"&amp;COUNTIFS($B$6:$B1272,$B1272,$A$6:$A1272,$A1272,$F$6:$F1272,$F1272,$AC$6:$AC1272,$AC1272))</f>
        <v/>
      </c>
      <c r="AG1272" s="32">
        <f>IF($C1272="","",$C1272&amp;"|"&amp;COUNTIFS($C$6:$C1272,$C1272))</f>
        <v/>
      </c>
      <c r="AH1272" s="32">
        <f>IF(OR($C1272="",$A1272="",$AE1272=""),"",$C1272&amp;"|"&amp;$A1272&amp;"|"&amp;$AE1272)</f>
        <v/>
      </c>
      <c r="AI1272" s="32">
        <f>IF(OR($C1272="",$AE1272="",$AE1272=1),"",IFERROR(INDEX($AC$6:$AC$1505,MATCH($C1272&amp;"|"&amp;$A1272&amp;"|"&amp;($AE1272-1),$AH$6:$AH$1505,0)),""))</f>
        <v/>
      </c>
      <c r="AJ1272" s="32">
        <f>IF(OR($AI1272="",$AC1272=""),"",IF($AI1272=$AC1272,"ללא שינוי","מ-"&amp;$AI1272&amp;" ל-"&amp;$AC1272))</f>
        <v/>
      </c>
      <c r="AK1272" s="67" t="n"/>
    </row>
    <row r="1273">
      <c r="A1273" s="65" t="n"/>
      <c r="B1273" s="65" t="n"/>
      <c r="C1273" s="66" t="n"/>
      <c r="D1273" s="66" t="n"/>
      <c r="E1273" s="65" t="n"/>
      <c r="F1273" s="65" t="n"/>
      <c r="G1273" s="65" t="n"/>
      <c r="H1273" s="65" t="n"/>
      <c r="I1273" s="65" t="n"/>
      <c r="J1273" s="65" t="n"/>
      <c r="K1273" s="65" t="n"/>
      <c r="L1273" s="65" t="n"/>
      <c r="M1273" s="65" t="n"/>
      <c r="N1273" s="65" t="n"/>
      <c r="O1273" s="65" t="n"/>
      <c r="P1273" s="65" t="n"/>
      <c r="Q1273" s="65" t="n"/>
      <c r="R1273" s="65" t="n"/>
      <c r="S1273" s="65" t="n"/>
      <c r="T1273" s="65" t="n"/>
      <c r="U1273" s="65" t="n"/>
      <c r="V1273" s="65" t="n"/>
      <c r="W1273" s="65" t="n"/>
      <c r="X1273" s="65" t="n"/>
      <c r="Y1273" s="32">
        <f>IF($C1273="","",IF(COUNTA($I1273:$K1273)&lt;3,"— חסרים נתונים",IF(AND($I1273="תקין",$J1273="תקין",$K1273="תקין"),"רהוטה",IF(AND($I1273="תקין",$J1273="תקין"),"מדויקת ורציפה","אינה מדויקת או מקוטעת"))))</f>
        <v/>
      </c>
      <c r="Z1273" s="32">
        <f>IF($C1273="","",IF(COUNTA($U1273:$W1273)&lt;3,"",IF(AND($U1273="מפותח",$V1273="מפותח",$W1273="מפותחת"),"מפותחת",IF((--($U1273="דל"))+(--($V1273="אינו מפותח"))+(--($W1273="דלה"))&gt;=2,"אינה מפותחת","חלקית"))))</f>
        <v/>
      </c>
      <c r="AA1273" s="32">
        <f>IF($C1273="","",IF(COUNTA($M1273,$N1273,$O1273)&lt;3,"— חסרים נתונים",IF(OR($M1273="נמוכה",(--($M1273&lt;&gt;"תקינה"))+(--($N1273&lt;&gt;"תקין"))+(--($O1273&lt;&gt;"תקינה"))&gt;=2),"ניכרת","אינה ניכרת")))</f>
        <v/>
      </c>
      <c r="AB1273" s="32">
        <f>IF(OR($C1273="",$Y1273="",$AA1273="",LEFT($Y1273,1)="—",LEFT($AA1273,1)="—"),"",IF($Z1273="","— נדרשת הערכת כתיבה",IF($L1273="","— חסרה הבנת הנקרא",IF($Y1273="אינה מדויקת או מקוטעת",IF($AA1273="ניכרת","מיקוד בשטף הקריאה ובכישורי שפה","מיקוד בשטף קריאה"),IF($AA1273="ניכרת","מיקוד בכישורי שפה",IF(AND($L1273="תקינה",$Z1273="מפותחת"),"קוראים וכותבים מיומנים","מיקוד בהבנה והבעה"))))))</f>
        <v/>
      </c>
      <c r="AC1273" s="32">
        <f>IF(OR($AB1273="",LEFT($AB1273,1)="—"),"",IF(OR($AB1273="מיקוד בשטף קריאה",$AB1273="מיקוד בשטף הקריאה ובכישורי שפה"),"רמה א'",IF($AB1273="קוראים וכותבים מיומנים","רמה ג'","רמה ב'")))</f>
        <v/>
      </c>
      <c r="AD1273" s="32">
        <f>IF($AC1273="","",MID(IF(AND($AC1273="רמה א'",$AA1273="ניכרת"),"; להוסיף עבודת אוצר מילים","")&amp;IF($Z1273="אינה מפותחת","; דגש על הבעה בכתב","")&amp;IF($K1273&lt;&gt;"תקין","; נדרש לעבוד על ההנגנה","")&amp;IF($AK1273&lt;&gt;"","; "&amp;$AK1273,""),3,400))</f>
        <v/>
      </c>
      <c r="AE1273" s="32">
        <f>IF($F1273="","",IF($F1273="תחילת שנה",1,IF($F1273="מחצית שנה",2,3)))</f>
        <v/>
      </c>
      <c r="AF1273" s="32">
        <f>IF(OR($B1273="",$AC1273="",$A1273="",$F1273=""),"",$B1273&amp;"|"&amp;$A1273&amp;"|"&amp;$F1273&amp;"|"&amp;$AC1273&amp;"|"&amp;COUNTIFS($B$6:$B1273,$B1273,$A$6:$A1273,$A1273,$F$6:$F1273,$F1273,$AC$6:$AC1273,$AC1273))</f>
        <v/>
      </c>
      <c r="AG1273" s="32">
        <f>IF($C1273="","",$C1273&amp;"|"&amp;COUNTIFS($C$6:$C1273,$C1273))</f>
        <v/>
      </c>
      <c r="AH1273" s="32">
        <f>IF(OR($C1273="",$A1273="",$AE1273=""),"",$C1273&amp;"|"&amp;$A1273&amp;"|"&amp;$AE1273)</f>
        <v/>
      </c>
      <c r="AI1273" s="32">
        <f>IF(OR($C1273="",$AE1273="",$AE1273=1),"",IFERROR(INDEX($AC$6:$AC$1505,MATCH($C1273&amp;"|"&amp;$A1273&amp;"|"&amp;($AE1273-1),$AH$6:$AH$1505,0)),""))</f>
        <v/>
      </c>
      <c r="AJ1273" s="32">
        <f>IF(OR($AI1273="",$AC1273=""),"",IF($AI1273=$AC1273,"ללא שינוי","מ-"&amp;$AI1273&amp;" ל-"&amp;$AC1273))</f>
        <v/>
      </c>
      <c r="AK1273" s="67" t="n"/>
    </row>
    <row r="1274">
      <c r="A1274" s="65" t="n"/>
      <c r="B1274" s="65" t="n"/>
      <c r="C1274" s="66" t="n"/>
      <c r="D1274" s="66" t="n"/>
      <c r="E1274" s="65" t="n"/>
      <c r="F1274" s="65" t="n"/>
      <c r="G1274" s="65" t="n"/>
      <c r="H1274" s="65" t="n"/>
      <c r="I1274" s="65" t="n"/>
      <c r="J1274" s="65" t="n"/>
      <c r="K1274" s="65" t="n"/>
      <c r="L1274" s="65" t="n"/>
      <c r="M1274" s="65" t="n"/>
      <c r="N1274" s="65" t="n"/>
      <c r="O1274" s="65" t="n"/>
      <c r="P1274" s="65" t="n"/>
      <c r="Q1274" s="65" t="n"/>
      <c r="R1274" s="65" t="n"/>
      <c r="S1274" s="65" t="n"/>
      <c r="T1274" s="65" t="n"/>
      <c r="U1274" s="65" t="n"/>
      <c r="V1274" s="65" t="n"/>
      <c r="W1274" s="65" t="n"/>
      <c r="X1274" s="65" t="n"/>
      <c r="Y1274" s="32">
        <f>IF($C1274="","",IF(COUNTA($I1274:$K1274)&lt;3,"— חסרים נתונים",IF(AND($I1274="תקין",$J1274="תקין",$K1274="תקין"),"רהוטה",IF(AND($I1274="תקין",$J1274="תקין"),"מדויקת ורציפה","אינה מדויקת או מקוטעת"))))</f>
        <v/>
      </c>
      <c r="Z1274" s="32">
        <f>IF($C1274="","",IF(COUNTA($U1274:$W1274)&lt;3,"",IF(AND($U1274="מפותח",$V1274="מפותח",$W1274="מפותחת"),"מפותחת",IF((--($U1274="דל"))+(--($V1274="אינו מפותח"))+(--($W1274="דלה"))&gt;=2,"אינה מפותחת","חלקית"))))</f>
        <v/>
      </c>
      <c r="AA1274" s="32">
        <f>IF($C1274="","",IF(COUNTA($M1274,$N1274,$O1274)&lt;3,"— חסרים נתונים",IF(OR($M1274="נמוכה",(--($M1274&lt;&gt;"תקינה"))+(--($N1274&lt;&gt;"תקין"))+(--($O1274&lt;&gt;"תקינה"))&gt;=2),"ניכרת","אינה ניכרת")))</f>
        <v/>
      </c>
      <c r="AB1274" s="32">
        <f>IF(OR($C1274="",$Y1274="",$AA1274="",LEFT($Y1274,1)="—",LEFT($AA1274,1)="—"),"",IF($Z1274="","— נדרשת הערכת כתיבה",IF($L1274="","— חסרה הבנת הנקרא",IF($Y1274="אינה מדויקת או מקוטעת",IF($AA1274="ניכרת","מיקוד בשטף הקריאה ובכישורי שפה","מיקוד בשטף קריאה"),IF($AA1274="ניכרת","מיקוד בכישורי שפה",IF(AND($L1274="תקינה",$Z1274="מפותחת"),"קוראים וכותבים מיומנים","מיקוד בהבנה והבעה"))))))</f>
        <v/>
      </c>
      <c r="AC1274" s="32">
        <f>IF(OR($AB1274="",LEFT($AB1274,1)="—"),"",IF(OR($AB1274="מיקוד בשטף קריאה",$AB1274="מיקוד בשטף הקריאה ובכישורי שפה"),"רמה א'",IF($AB1274="קוראים וכותבים מיומנים","רמה ג'","רמה ב'")))</f>
        <v/>
      </c>
      <c r="AD1274" s="32">
        <f>IF($AC1274="","",MID(IF(AND($AC1274="רמה א'",$AA1274="ניכרת"),"; להוסיף עבודת אוצר מילים","")&amp;IF($Z1274="אינה מפותחת","; דגש על הבעה בכתב","")&amp;IF($K1274&lt;&gt;"תקין","; נדרש לעבוד על ההנגנה","")&amp;IF($AK1274&lt;&gt;"","; "&amp;$AK1274,""),3,400))</f>
        <v/>
      </c>
      <c r="AE1274" s="32">
        <f>IF($F1274="","",IF($F1274="תחילת שנה",1,IF($F1274="מחצית שנה",2,3)))</f>
        <v/>
      </c>
      <c r="AF1274" s="32">
        <f>IF(OR($B1274="",$AC1274="",$A1274="",$F1274=""),"",$B1274&amp;"|"&amp;$A1274&amp;"|"&amp;$F1274&amp;"|"&amp;$AC1274&amp;"|"&amp;COUNTIFS($B$6:$B1274,$B1274,$A$6:$A1274,$A1274,$F$6:$F1274,$F1274,$AC$6:$AC1274,$AC1274))</f>
        <v/>
      </c>
      <c r="AG1274" s="32">
        <f>IF($C1274="","",$C1274&amp;"|"&amp;COUNTIFS($C$6:$C1274,$C1274))</f>
        <v/>
      </c>
      <c r="AH1274" s="32">
        <f>IF(OR($C1274="",$A1274="",$AE1274=""),"",$C1274&amp;"|"&amp;$A1274&amp;"|"&amp;$AE1274)</f>
        <v/>
      </c>
      <c r="AI1274" s="32">
        <f>IF(OR($C1274="",$AE1274="",$AE1274=1),"",IFERROR(INDEX($AC$6:$AC$1505,MATCH($C1274&amp;"|"&amp;$A1274&amp;"|"&amp;($AE1274-1),$AH$6:$AH$1505,0)),""))</f>
        <v/>
      </c>
      <c r="AJ1274" s="32">
        <f>IF(OR($AI1274="",$AC1274=""),"",IF($AI1274=$AC1274,"ללא שינוי","מ-"&amp;$AI1274&amp;" ל-"&amp;$AC1274))</f>
        <v/>
      </c>
      <c r="AK1274" s="67" t="n"/>
    </row>
    <row r="1275">
      <c r="A1275" s="65" t="n"/>
      <c r="B1275" s="65" t="n"/>
      <c r="C1275" s="66" t="n"/>
      <c r="D1275" s="66" t="n"/>
      <c r="E1275" s="65" t="n"/>
      <c r="F1275" s="65" t="n"/>
      <c r="G1275" s="65" t="n"/>
      <c r="H1275" s="65" t="n"/>
      <c r="I1275" s="65" t="n"/>
      <c r="J1275" s="65" t="n"/>
      <c r="K1275" s="65" t="n"/>
      <c r="L1275" s="65" t="n"/>
      <c r="M1275" s="65" t="n"/>
      <c r="N1275" s="65" t="n"/>
      <c r="O1275" s="65" t="n"/>
      <c r="P1275" s="65" t="n"/>
      <c r="Q1275" s="65" t="n"/>
      <c r="R1275" s="65" t="n"/>
      <c r="S1275" s="65" t="n"/>
      <c r="T1275" s="65" t="n"/>
      <c r="U1275" s="65" t="n"/>
      <c r="V1275" s="65" t="n"/>
      <c r="W1275" s="65" t="n"/>
      <c r="X1275" s="65" t="n"/>
      <c r="Y1275" s="32">
        <f>IF($C1275="","",IF(COUNTA($I1275:$K1275)&lt;3,"— חסרים נתונים",IF(AND($I1275="תקין",$J1275="תקין",$K1275="תקין"),"רהוטה",IF(AND($I1275="תקין",$J1275="תקין"),"מדויקת ורציפה","אינה מדויקת או מקוטעת"))))</f>
        <v/>
      </c>
      <c r="Z1275" s="32">
        <f>IF($C1275="","",IF(COUNTA($U1275:$W1275)&lt;3,"",IF(AND($U1275="מפותח",$V1275="מפותח",$W1275="מפותחת"),"מפותחת",IF((--($U1275="דל"))+(--($V1275="אינו מפותח"))+(--($W1275="דלה"))&gt;=2,"אינה מפותחת","חלקית"))))</f>
        <v/>
      </c>
      <c r="AA1275" s="32">
        <f>IF($C1275="","",IF(COUNTA($M1275,$N1275,$O1275)&lt;3,"— חסרים נתונים",IF(OR($M1275="נמוכה",(--($M1275&lt;&gt;"תקינה"))+(--($N1275&lt;&gt;"תקין"))+(--($O1275&lt;&gt;"תקינה"))&gt;=2),"ניכרת","אינה ניכרת")))</f>
        <v/>
      </c>
      <c r="AB1275" s="32">
        <f>IF(OR($C1275="",$Y1275="",$AA1275="",LEFT($Y1275,1)="—",LEFT($AA1275,1)="—"),"",IF($Z1275="","— נדרשת הערכת כתיבה",IF($L1275="","— חסרה הבנת הנקרא",IF($Y1275="אינה מדויקת או מקוטעת",IF($AA1275="ניכרת","מיקוד בשטף הקריאה ובכישורי שפה","מיקוד בשטף קריאה"),IF($AA1275="ניכרת","מיקוד בכישורי שפה",IF(AND($L1275="תקינה",$Z1275="מפותחת"),"קוראים וכותבים מיומנים","מיקוד בהבנה והבעה"))))))</f>
        <v/>
      </c>
      <c r="AC1275" s="32">
        <f>IF(OR($AB1275="",LEFT($AB1275,1)="—"),"",IF(OR($AB1275="מיקוד בשטף קריאה",$AB1275="מיקוד בשטף הקריאה ובכישורי שפה"),"רמה א'",IF($AB1275="קוראים וכותבים מיומנים","רמה ג'","רמה ב'")))</f>
        <v/>
      </c>
      <c r="AD1275" s="32">
        <f>IF($AC1275="","",MID(IF(AND($AC1275="רמה א'",$AA1275="ניכרת"),"; להוסיף עבודת אוצר מילים","")&amp;IF($Z1275="אינה מפותחת","; דגש על הבעה בכתב","")&amp;IF($K1275&lt;&gt;"תקין","; נדרש לעבוד על ההנגנה","")&amp;IF($AK1275&lt;&gt;"","; "&amp;$AK1275,""),3,400))</f>
        <v/>
      </c>
      <c r="AE1275" s="32">
        <f>IF($F1275="","",IF($F1275="תחילת שנה",1,IF($F1275="מחצית שנה",2,3)))</f>
        <v/>
      </c>
      <c r="AF1275" s="32">
        <f>IF(OR($B1275="",$AC1275="",$A1275="",$F1275=""),"",$B1275&amp;"|"&amp;$A1275&amp;"|"&amp;$F1275&amp;"|"&amp;$AC1275&amp;"|"&amp;COUNTIFS($B$6:$B1275,$B1275,$A$6:$A1275,$A1275,$F$6:$F1275,$F1275,$AC$6:$AC1275,$AC1275))</f>
        <v/>
      </c>
      <c r="AG1275" s="32">
        <f>IF($C1275="","",$C1275&amp;"|"&amp;COUNTIFS($C$6:$C1275,$C1275))</f>
        <v/>
      </c>
      <c r="AH1275" s="32">
        <f>IF(OR($C1275="",$A1275="",$AE1275=""),"",$C1275&amp;"|"&amp;$A1275&amp;"|"&amp;$AE1275)</f>
        <v/>
      </c>
      <c r="AI1275" s="32">
        <f>IF(OR($C1275="",$AE1275="",$AE1275=1),"",IFERROR(INDEX($AC$6:$AC$1505,MATCH($C1275&amp;"|"&amp;$A1275&amp;"|"&amp;($AE1275-1),$AH$6:$AH$1505,0)),""))</f>
        <v/>
      </c>
      <c r="AJ1275" s="32">
        <f>IF(OR($AI1275="",$AC1275=""),"",IF($AI1275=$AC1275,"ללא שינוי","מ-"&amp;$AI1275&amp;" ל-"&amp;$AC1275))</f>
        <v/>
      </c>
      <c r="AK1275" s="67" t="n"/>
    </row>
    <row r="1276">
      <c r="A1276" s="65" t="n"/>
      <c r="B1276" s="65" t="n"/>
      <c r="C1276" s="66" t="n"/>
      <c r="D1276" s="66" t="n"/>
      <c r="E1276" s="65" t="n"/>
      <c r="F1276" s="65" t="n"/>
      <c r="G1276" s="65" t="n"/>
      <c r="H1276" s="65" t="n"/>
      <c r="I1276" s="65" t="n"/>
      <c r="J1276" s="65" t="n"/>
      <c r="K1276" s="65" t="n"/>
      <c r="L1276" s="65" t="n"/>
      <c r="M1276" s="65" t="n"/>
      <c r="N1276" s="65" t="n"/>
      <c r="O1276" s="65" t="n"/>
      <c r="P1276" s="65" t="n"/>
      <c r="Q1276" s="65" t="n"/>
      <c r="R1276" s="65" t="n"/>
      <c r="S1276" s="65" t="n"/>
      <c r="T1276" s="65" t="n"/>
      <c r="U1276" s="65" t="n"/>
      <c r="V1276" s="65" t="n"/>
      <c r="W1276" s="65" t="n"/>
      <c r="X1276" s="65" t="n"/>
      <c r="Y1276" s="32">
        <f>IF($C1276="","",IF(COUNTA($I1276:$K1276)&lt;3,"— חסרים נתונים",IF(AND($I1276="תקין",$J1276="תקין",$K1276="תקין"),"רהוטה",IF(AND($I1276="תקין",$J1276="תקין"),"מדויקת ורציפה","אינה מדויקת או מקוטעת"))))</f>
        <v/>
      </c>
      <c r="Z1276" s="32">
        <f>IF($C1276="","",IF(COUNTA($U1276:$W1276)&lt;3,"",IF(AND($U1276="מפותח",$V1276="מפותח",$W1276="מפותחת"),"מפותחת",IF((--($U1276="דל"))+(--($V1276="אינו מפותח"))+(--($W1276="דלה"))&gt;=2,"אינה מפותחת","חלקית"))))</f>
        <v/>
      </c>
      <c r="AA1276" s="32">
        <f>IF($C1276="","",IF(COUNTA($M1276,$N1276,$O1276)&lt;3,"— חסרים נתונים",IF(OR($M1276="נמוכה",(--($M1276&lt;&gt;"תקינה"))+(--($N1276&lt;&gt;"תקין"))+(--($O1276&lt;&gt;"תקינה"))&gt;=2),"ניכרת","אינה ניכרת")))</f>
        <v/>
      </c>
      <c r="AB1276" s="32">
        <f>IF(OR($C1276="",$Y1276="",$AA1276="",LEFT($Y1276,1)="—",LEFT($AA1276,1)="—"),"",IF($Z1276="","— נדרשת הערכת כתיבה",IF($L1276="","— חסרה הבנת הנקרא",IF($Y1276="אינה מדויקת או מקוטעת",IF($AA1276="ניכרת","מיקוד בשטף הקריאה ובכישורי שפה","מיקוד בשטף קריאה"),IF($AA1276="ניכרת","מיקוד בכישורי שפה",IF(AND($L1276="תקינה",$Z1276="מפותחת"),"קוראים וכותבים מיומנים","מיקוד בהבנה והבעה"))))))</f>
        <v/>
      </c>
      <c r="AC1276" s="32">
        <f>IF(OR($AB1276="",LEFT($AB1276,1)="—"),"",IF(OR($AB1276="מיקוד בשטף קריאה",$AB1276="מיקוד בשטף הקריאה ובכישורי שפה"),"רמה א'",IF($AB1276="קוראים וכותבים מיומנים","רמה ג'","רמה ב'")))</f>
        <v/>
      </c>
      <c r="AD1276" s="32">
        <f>IF($AC1276="","",MID(IF(AND($AC1276="רמה א'",$AA1276="ניכרת"),"; להוסיף עבודת אוצר מילים","")&amp;IF($Z1276="אינה מפותחת","; דגש על הבעה בכתב","")&amp;IF($K1276&lt;&gt;"תקין","; נדרש לעבוד על ההנגנה","")&amp;IF($AK1276&lt;&gt;"","; "&amp;$AK1276,""),3,400))</f>
        <v/>
      </c>
      <c r="AE1276" s="32">
        <f>IF($F1276="","",IF($F1276="תחילת שנה",1,IF($F1276="מחצית שנה",2,3)))</f>
        <v/>
      </c>
      <c r="AF1276" s="32">
        <f>IF(OR($B1276="",$AC1276="",$A1276="",$F1276=""),"",$B1276&amp;"|"&amp;$A1276&amp;"|"&amp;$F1276&amp;"|"&amp;$AC1276&amp;"|"&amp;COUNTIFS($B$6:$B1276,$B1276,$A$6:$A1276,$A1276,$F$6:$F1276,$F1276,$AC$6:$AC1276,$AC1276))</f>
        <v/>
      </c>
      <c r="AG1276" s="32">
        <f>IF($C1276="","",$C1276&amp;"|"&amp;COUNTIFS($C$6:$C1276,$C1276))</f>
        <v/>
      </c>
      <c r="AH1276" s="32">
        <f>IF(OR($C1276="",$A1276="",$AE1276=""),"",$C1276&amp;"|"&amp;$A1276&amp;"|"&amp;$AE1276)</f>
        <v/>
      </c>
      <c r="AI1276" s="32">
        <f>IF(OR($C1276="",$AE1276="",$AE1276=1),"",IFERROR(INDEX($AC$6:$AC$1505,MATCH($C1276&amp;"|"&amp;$A1276&amp;"|"&amp;($AE1276-1),$AH$6:$AH$1505,0)),""))</f>
        <v/>
      </c>
      <c r="AJ1276" s="32">
        <f>IF(OR($AI1276="",$AC1276=""),"",IF($AI1276=$AC1276,"ללא שינוי","מ-"&amp;$AI1276&amp;" ל-"&amp;$AC1276))</f>
        <v/>
      </c>
      <c r="AK1276" s="67" t="n"/>
    </row>
    <row r="1277">
      <c r="A1277" s="65" t="n"/>
      <c r="B1277" s="65" t="n"/>
      <c r="C1277" s="66" t="n"/>
      <c r="D1277" s="66" t="n"/>
      <c r="E1277" s="65" t="n"/>
      <c r="F1277" s="65" t="n"/>
      <c r="G1277" s="65" t="n"/>
      <c r="H1277" s="65" t="n"/>
      <c r="I1277" s="65" t="n"/>
      <c r="J1277" s="65" t="n"/>
      <c r="K1277" s="65" t="n"/>
      <c r="L1277" s="65" t="n"/>
      <c r="M1277" s="65" t="n"/>
      <c r="N1277" s="65" t="n"/>
      <c r="O1277" s="65" t="n"/>
      <c r="P1277" s="65" t="n"/>
      <c r="Q1277" s="65" t="n"/>
      <c r="R1277" s="65" t="n"/>
      <c r="S1277" s="65" t="n"/>
      <c r="T1277" s="65" t="n"/>
      <c r="U1277" s="65" t="n"/>
      <c r="V1277" s="65" t="n"/>
      <c r="W1277" s="65" t="n"/>
      <c r="X1277" s="65" t="n"/>
      <c r="Y1277" s="32">
        <f>IF($C1277="","",IF(COUNTA($I1277:$K1277)&lt;3,"— חסרים נתונים",IF(AND($I1277="תקין",$J1277="תקין",$K1277="תקין"),"רהוטה",IF(AND($I1277="תקין",$J1277="תקין"),"מדויקת ורציפה","אינה מדויקת או מקוטעת"))))</f>
        <v/>
      </c>
      <c r="Z1277" s="32">
        <f>IF($C1277="","",IF(COUNTA($U1277:$W1277)&lt;3,"",IF(AND($U1277="מפותח",$V1277="מפותח",$W1277="מפותחת"),"מפותחת",IF((--($U1277="דל"))+(--($V1277="אינו מפותח"))+(--($W1277="דלה"))&gt;=2,"אינה מפותחת","חלקית"))))</f>
        <v/>
      </c>
      <c r="AA1277" s="32">
        <f>IF($C1277="","",IF(COUNTA($M1277,$N1277,$O1277)&lt;3,"— חסרים נתונים",IF(OR($M1277="נמוכה",(--($M1277&lt;&gt;"תקינה"))+(--($N1277&lt;&gt;"תקין"))+(--($O1277&lt;&gt;"תקינה"))&gt;=2),"ניכרת","אינה ניכרת")))</f>
        <v/>
      </c>
      <c r="AB1277" s="32">
        <f>IF(OR($C1277="",$Y1277="",$AA1277="",LEFT($Y1277,1)="—",LEFT($AA1277,1)="—"),"",IF($Z1277="","— נדרשת הערכת כתיבה",IF($L1277="","— חסרה הבנת הנקרא",IF($Y1277="אינה מדויקת או מקוטעת",IF($AA1277="ניכרת","מיקוד בשטף הקריאה ובכישורי שפה","מיקוד בשטף קריאה"),IF($AA1277="ניכרת","מיקוד בכישורי שפה",IF(AND($L1277="תקינה",$Z1277="מפותחת"),"קוראים וכותבים מיומנים","מיקוד בהבנה והבעה"))))))</f>
        <v/>
      </c>
      <c r="AC1277" s="32">
        <f>IF(OR($AB1277="",LEFT($AB1277,1)="—"),"",IF(OR($AB1277="מיקוד בשטף קריאה",$AB1277="מיקוד בשטף הקריאה ובכישורי שפה"),"רמה א'",IF($AB1277="קוראים וכותבים מיומנים","רמה ג'","רמה ב'")))</f>
        <v/>
      </c>
      <c r="AD1277" s="32">
        <f>IF($AC1277="","",MID(IF(AND($AC1277="רמה א'",$AA1277="ניכרת"),"; להוסיף עבודת אוצר מילים","")&amp;IF($Z1277="אינה מפותחת","; דגש על הבעה בכתב","")&amp;IF($K1277&lt;&gt;"תקין","; נדרש לעבוד על ההנגנה","")&amp;IF($AK1277&lt;&gt;"","; "&amp;$AK1277,""),3,400))</f>
        <v/>
      </c>
      <c r="AE1277" s="32">
        <f>IF($F1277="","",IF($F1277="תחילת שנה",1,IF($F1277="מחצית שנה",2,3)))</f>
        <v/>
      </c>
      <c r="AF1277" s="32">
        <f>IF(OR($B1277="",$AC1277="",$A1277="",$F1277=""),"",$B1277&amp;"|"&amp;$A1277&amp;"|"&amp;$F1277&amp;"|"&amp;$AC1277&amp;"|"&amp;COUNTIFS($B$6:$B1277,$B1277,$A$6:$A1277,$A1277,$F$6:$F1277,$F1277,$AC$6:$AC1277,$AC1277))</f>
        <v/>
      </c>
      <c r="AG1277" s="32">
        <f>IF($C1277="","",$C1277&amp;"|"&amp;COUNTIFS($C$6:$C1277,$C1277))</f>
        <v/>
      </c>
      <c r="AH1277" s="32">
        <f>IF(OR($C1277="",$A1277="",$AE1277=""),"",$C1277&amp;"|"&amp;$A1277&amp;"|"&amp;$AE1277)</f>
        <v/>
      </c>
      <c r="AI1277" s="32">
        <f>IF(OR($C1277="",$AE1277="",$AE1277=1),"",IFERROR(INDEX($AC$6:$AC$1505,MATCH($C1277&amp;"|"&amp;$A1277&amp;"|"&amp;($AE1277-1),$AH$6:$AH$1505,0)),""))</f>
        <v/>
      </c>
      <c r="AJ1277" s="32">
        <f>IF(OR($AI1277="",$AC1277=""),"",IF($AI1277=$AC1277,"ללא שינוי","מ-"&amp;$AI1277&amp;" ל-"&amp;$AC1277))</f>
        <v/>
      </c>
      <c r="AK1277" s="67" t="n"/>
    </row>
    <row r="1278">
      <c r="A1278" s="65" t="n"/>
      <c r="B1278" s="65" t="n"/>
      <c r="C1278" s="66" t="n"/>
      <c r="D1278" s="66" t="n"/>
      <c r="E1278" s="65" t="n"/>
      <c r="F1278" s="65" t="n"/>
      <c r="G1278" s="65" t="n"/>
      <c r="H1278" s="65" t="n"/>
      <c r="I1278" s="65" t="n"/>
      <c r="J1278" s="65" t="n"/>
      <c r="K1278" s="65" t="n"/>
      <c r="L1278" s="65" t="n"/>
      <c r="M1278" s="65" t="n"/>
      <c r="N1278" s="65" t="n"/>
      <c r="O1278" s="65" t="n"/>
      <c r="P1278" s="65" t="n"/>
      <c r="Q1278" s="65" t="n"/>
      <c r="R1278" s="65" t="n"/>
      <c r="S1278" s="65" t="n"/>
      <c r="T1278" s="65" t="n"/>
      <c r="U1278" s="65" t="n"/>
      <c r="V1278" s="65" t="n"/>
      <c r="W1278" s="65" t="n"/>
      <c r="X1278" s="65" t="n"/>
      <c r="Y1278" s="32">
        <f>IF($C1278="","",IF(COUNTA($I1278:$K1278)&lt;3,"— חסרים נתונים",IF(AND($I1278="תקין",$J1278="תקין",$K1278="תקין"),"רהוטה",IF(AND($I1278="תקין",$J1278="תקין"),"מדויקת ורציפה","אינה מדויקת או מקוטעת"))))</f>
        <v/>
      </c>
      <c r="Z1278" s="32">
        <f>IF($C1278="","",IF(COUNTA($U1278:$W1278)&lt;3,"",IF(AND($U1278="מפותח",$V1278="מפותח",$W1278="מפותחת"),"מפותחת",IF((--($U1278="דל"))+(--($V1278="אינו מפותח"))+(--($W1278="דלה"))&gt;=2,"אינה מפותחת","חלקית"))))</f>
        <v/>
      </c>
      <c r="AA1278" s="32">
        <f>IF($C1278="","",IF(COUNTA($M1278,$N1278,$O1278)&lt;3,"— חסרים נתונים",IF(OR($M1278="נמוכה",(--($M1278&lt;&gt;"תקינה"))+(--($N1278&lt;&gt;"תקין"))+(--($O1278&lt;&gt;"תקינה"))&gt;=2),"ניכרת","אינה ניכרת")))</f>
        <v/>
      </c>
      <c r="AB1278" s="32">
        <f>IF(OR($C1278="",$Y1278="",$AA1278="",LEFT($Y1278,1)="—",LEFT($AA1278,1)="—"),"",IF($Z1278="","— נדרשת הערכת כתיבה",IF($L1278="","— חסרה הבנת הנקרא",IF($Y1278="אינה מדויקת או מקוטעת",IF($AA1278="ניכרת","מיקוד בשטף הקריאה ובכישורי שפה","מיקוד בשטף קריאה"),IF($AA1278="ניכרת","מיקוד בכישורי שפה",IF(AND($L1278="תקינה",$Z1278="מפותחת"),"קוראים וכותבים מיומנים","מיקוד בהבנה והבעה"))))))</f>
        <v/>
      </c>
      <c r="AC1278" s="32">
        <f>IF(OR($AB1278="",LEFT($AB1278,1)="—"),"",IF(OR($AB1278="מיקוד בשטף קריאה",$AB1278="מיקוד בשטף הקריאה ובכישורי שפה"),"רמה א'",IF($AB1278="קוראים וכותבים מיומנים","רמה ג'","רמה ב'")))</f>
        <v/>
      </c>
      <c r="AD1278" s="32">
        <f>IF($AC1278="","",MID(IF(AND($AC1278="רמה א'",$AA1278="ניכרת"),"; להוסיף עבודת אוצר מילים","")&amp;IF($Z1278="אינה מפותחת","; דגש על הבעה בכתב","")&amp;IF($K1278&lt;&gt;"תקין","; נדרש לעבוד על ההנגנה","")&amp;IF($AK1278&lt;&gt;"","; "&amp;$AK1278,""),3,400))</f>
        <v/>
      </c>
      <c r="AE1278" s="32">
        <f>IF($F1278="","",IF($F1278="תחילת שנה",1,IF($F1278="מחצית שנה",2,3)))</f>
        <v/>
      </c>
      <c r="AF1278" s="32">
        <f>IF(OR($B1278="",$AC1278="",$A1278="",$F1278=""),"",$B1278&amp;"|"&amp;$A1278&amp;"|"&amp;$F1278&amp;"|"&amp;$AC1278&amp;"|"&amp;COUNTIFS($B$6:$B1278,$B1278,$A$6:$A1278,$A1278,$F$6:$F1278,$F1278,$AC$6:$AC1278,$AC1278))</f>
        <v/>
      </c>
      <c r="AG1278" s="32">
        <f>IF($C1278="","",$C1278&amp;"|"&amp;COUNTIFS($C$6:$C1278,$C1278))</f>
        <v/>
      </c>
      <c r="AH1278" s="32">
        <f>IF(OR($C1278="",$A1278="",$AE1278=""),"",$C1278&amp;"|"&amp;$A1278&amp;"|"&amp;$AE1278)</f>
        <v/>
      </c>
      <c r="AI1278" s="32">
        <f>IF(OR($C1278="",$AE1278="",$AE1278=1),"",IFERROR(INDEX($AC$6:$AC$1505,MATCH($C1278&amp;"|"&amp;$A1278&amp;"|"&amp;($AE1278-1),$AH$6:$AH$1505,0)),""))</f>
        <v/>
      </c>
      <c r="AJ1278" s="32">
        <f>IF(OR($AI1278="",$AC1278=""),"",IF($AI1278=$AC1278,"ללא שינוי","מ-"&amp;$AI1278&amp;" ל-"&amp;$AC1278))</f>
        <v/>
      </c>
      <c r="AK1278" s="67" t="n"/>
    </row>
    <row r="1279">
      <c r="A1279" s="65" t="n"/>
      <c r="B1279" s="65" t="n"/>
      <c r="C1279" s="66" t="n"/>
      <c r="D1279" s="66" t="n"/>
      <c r="E1279" s="65" t="n"/>
      <c r="F1279" s="65" t="n"/>
      <c r="G1279" s="65" t="n"/>
      <c r="H1279" s="65" t="n"/>
      <c r="I1279" s="65" t="n"/>
      <c r="J1279" s="65" t="n"/>
      <c r="K1279" s="65" t="n"/>
      <c r="L1279" s="65" t="n"/>
      <c r="M1279" s="65" t="n"/>
      <c r="N1279" s="65" t="n"/>
      <c r="O1279" s="65" t="n"/>
      <c r="P1279" s="65" t="n"/>
      <c r="Q1279" s="65" t="n"/>
      <c r="R1279" s="65" t="n"/>
      <c r="S1279" s="65" t="n"/>
      <c r="T1279" s="65" t="n"/>
      <c r="U1279" s="65" t="n"/>
      <c r="V1279" s="65" t="n"/>
      <c r="W1279" s="65" t="n"/>
      <c r="X1279" s="65" t="n"/>
      <c r="Y1279" s="32">
        <f>IF($C1279="","",IF(COUNTA($I1279:$K1279)&lt;3,"— חסרים נתונים",IF(AND($I1279="תקין",$J1279="תקין",$K1279="תקין"),"רהוטה",IF(AND($I1279="תקין",$J1279="תקין"),"מדויקת ורציפה","אינה מדויקת או מקוטעת"))))</f>
        <v/>
      </c>
      <c r="Z1279" s="32">
        <f>IF($C1279="","",IF(COUNTA($U1279:$W1279)&lt;3,"",IF(AND($U1279="מפותח",$V1279="מפותח",$W1279="מפותחת"),"מפותחת",IF((--($U1279="דל"))+(--($V1279="אינו מפותח"))+(--($W1279="דלה"))&gt;=2,"אינה מפותחת","חלקית"))))</f>
        <v/>
      </c>
      <c r="AA1279" s="32">
        <f>IF($C1279="","",IF(COUNTA($M1279,$N1279,$O1279)&lt;3,"— חסרים נתונים",IF(OR($M1279="נמוכה",(--($M1279&lt;&gt;"תקינה"))+(--($N1279&lt;&gt;"תקין"))+(--($O1279&lt;&gt;"תקינה"))&gt;=2),"ניכרת","אינה ניכרת")))</f>
        <v/>
      </c>
      <c r="AB1279" s="32">
        <f>IF(OR($C1279="",$Y1279="",$AA1279="",LEFT($Y1279,1)="—",LEFT($AA1279,1)="—"),"",IF($Z1279="","— נדרשת הערכת כתיבה",IF($L1279="","— חסרה הבנת הנקרא",IF($Y1279="אינה מדויקת או מקוטעת",IF($AA1279="ניכרת","מיקוד בשטף הקריאה ובכישורי שפה","מיקוד בשטף קריאה"),IF($AA1279="ניכרת","מיקוד בכישורי שפה",IF(AND($L1279="תקינה",$Z1279="מפותחת"),"קוראים וכותבים מיומנים","מיקוד בהבנה והבעה"))))))</f>
        <v/>
      </c>
      <c r="AC1279" s="32">
        <f>IF(OR($AB1279="",LEFT($AB1279,1)="—"),"",IF(OR($AB1279="מיקוד בשטף קריאה",$AB1279="מיקוד בשטף הקריאה ובכישורי שפה"),"רמה א'",IF($AB1279="קוראים וכותבים מיומנים","רמה ג'","רמה ב'")))</f>
        <v/>
      </c>
      <c r="AD1279" s="32">
        <f>IF($AC1279="","",MID(IF(AND($AC1279="רמה א'",$AA1279="ניכרת"),"; להוסיף עבודת אוצר מילים","")&amp;IF($Z1279="אינה מפותחת","; דגש על הבעה בכתב","")&amp;IF($K1279&lt;&gt;"תקין","; נדרש לעבוד על ההנגנה","")&amp;IF($AK1279&lt;&gt;"","; "&amp;$AK1279,""),3,400))</f>
        <v/>
      </c>
      <c r="AE1279" s="32">
        <f>IF($F1279="","",IF($F1279="תחילת שנה",1,IF($F1279="מחצית שנה",2,3)))</f>
        <v/>
      </c>
      <c r="AF1279" s="32">
        <f>IF(OR($B1279="",$AC1279="",$A1279="",$F1279=""),"",$B1279&amp;"|"&amp;$A1279&amp;"|"&amp;$F1279&amp;"|"&amp;$AC1279&amp;"|"&amp;COUNTIFS($B$6:$B1279,$B1279,$A$6:$A1279,$A1279,$F$6:$F1279,$F1279,$AC$6:$AC1279,$AC1279))</f>
        <v/>
      </c>
      <c r="AG1279" s="32">
        <f>IF($C1279="","",$C1279&amp;"|"&amp;COUNTIFS($C$6:$C1279,$C1279))</f>
        <v/>
      </c>
      <c r="AH1279" s="32">
        <f>IF(OR($C1279="",$A1279="",$AE1279=""),"",$C1279&amp;"|"&amp;$A1279&amp;"|"&amp;$AE1279)</f>
        <v/>
      </c>
      <c r="AI1279" s="32">
        <f>IF(OR($C1279="",$AE1279="",$AE1279=1),"",IFERROR(INDEX($AC$6:$AC$1505,MATCH($C1279&amp;"|"&amp;$A1279&amp;"|"&amp;($AE1279-1),$AH$6:$AH$1505,0)),""))</f>
        <v/>
      </c>
      <c r="AJ1279" s="32">
        <f>IF(OR($AI1279="",$AC1279=""),"",IF($AI1279=$AC1279,"ללא שינוי","מ-"&amp;$AI1279&amp;" ל-"&amp;$AC1279))</f>
        <v/>
      </c>
      <c r="AK1279" s="67" t="n"/>
    </row>
    <row r="1280">
      <c r="A1280" s="65" t="n"/>
      <c r="B1280" s="65" t="n"/>
      <c r="C1280" s="66" t="n"/>
      <c r="D1280" s="66" t="n"/>
      <c r="E1280" s="65" t="n"/>
      <c r="F1280" s="65" t="n"/>
      <c r="G1280" s="65" t="n"/>
      <c r="H1280" s="65" t="n"/>
      <c r="I1280" s="65" t="n"/>
      <c r="J1280" s="65" t="n"/>
      <c r="K1280" s="65" t="n"/>
      <c r="L1280" s="65" t="n"/>
      <c r="M1280" s="65" t="n"/>
      <c r="N1280" s="65" t="n"/>
      <c r="O1280" s="65" t="n"/>
      <c r="P1280" s="65" t="n"/>
      <c r="Q1280" s="65" t="n"/>
      <c r="R1280" s="65" t="n"/>
      <c r="S1280" s="65" t="n"/>
      <c r="T1280" s="65" t="n"/>
      <c r="U1280" s="65" t="n"/>
      <c r="V1280" s="65" t="n"/>
      <c r="W1280" s="65" t="n"/>
      <c r="X1280" s="65" t="n"/>
      <c r="Y1280" s="32">
        <f>IF($C1280="","",IF(COUNTA($I1280:$K1280)&lt;3,"— חסרים נתונים",IF(AND($I1280="תקין",$J1280="תקין",$K1280="תקין"),"רהוטה",IF(AND($I1280="תקין",$J1280="תקין"),"מדויקת ורציפה","אינה מדויקת או מקוטעת"))))</f>
        <v/>
      </c>
      <c r="Z1280" s="32">
        <f>IF($C1280="","",IF(COUNTA($U1280:$W1280)&lt;3,"",IF(AND($U1280="מפותח",$V1280="מפותח",$W1280="מפותחת"),"מפותחת",IF((--($U1280="דל"))+(--($V1280="אינו מפותח"))+(--($W1280="דלה"))&gt;=2,"אינה מפותחת","חלקית"))))</f>
        <v/>
      </c>
      <c r="AA1280" s="32">
        <f>IF($C1280="","",IF(COUNTA($M1280,$N1280,$O1280)&lt;3,"— חסרים נתונים",IF(OR($M1280="נמוכה",(--($M1280&lt;&gt;"תקינה"))+(--($N1280&lt;&gt;"תקין"))+(--($O1280&lt;&gt;"תקינה"))&gt;=2),"ניכרת","אינה ניכרת")))</f>
        <v/>
      </c>
      <c r="AB1280" s="32">
        <f>IF(OR($C1280="",$Y1280="",$AA1280="",LEFT($Y1280,1)="—",LEFT($AA1280,1)="—"),"",IF($Z1280="","— נדרשת הערכת כתיבה",IF($L1280="","— חסרה הבנת הנקרא",IF($Y1280="אינה מדויקת או מקוטעת",IF($AA1280="ניכרת","מיקוד בשטף הקריאה ובכישורי שפה","מיקוד בשטף קריאה"),IF($AA1280="ניכרת","מיקוד בכישורי שפה",IF(AND($L1280="תקינה",$Z1280="מפותחת"),"קוראים וכותבים מיומנים","מיקוד בהבנה והבעה"))))))</f>
        <v/>
      </c>
      <c r="AC1280" s="32">
        <f>IF(OR($AB1280="",LEFT($AB1280,1)="—"),"",IF(OR($AB1280="מיקוד בשטף קריאה",$AB1280="מיקוד בשטף הקריאה ובכישורי שפה"),"רמה א'",IF($AB1280="קוראים וכותבים מיומנים","רמה ג'","רמה ב'")))</f>
        <v/>
      </c>
      <c r="AD1280" s="32">
        <f>IF($AC1280="","",MID(IF(AND($AC1280="רמה א'",$AA1280="ניכרת"),"; להוסיף עבודת אוצר מילים","")&amp;IF($Z1280="אינה מפותחת","; דגש על הבעה בכתב","")&amp;IF($K1280&lt;&gt;"תקין","; נדרש לעבוד על ההנגנה","")&amp;IF($AK1280&lt;&gt;"","; "&amp;$AK1280,""),3,400))</f>
        <v/>
      </c>
      <c r="AE1280" s="32">
        <f>IF($F1280="","",IF($F1280="תחילת שנה",1,IF($F1280="מחצית שנה",2,3)))</f>
        <v/>
      </c>
      <c r="AF1280" s="32">
        <f>IF(OR($B1280="",$AC1280="",$A1280="",$F1280=""),"",$B1280&amp;"|"&amp;$A1280&amp;"|"&amp;$F1280&amp;"|"&amp;$AC1280&amp;"|"&amp;COUNTIFS($B$6:$B1280,$B1280,$A$6:$A1280,$A1280,$F$6:$F1280,$F1280,$AC$6:$AC1280,$AC1280))</f>
        <v/>
      </c>
      <c r="AG1280" s="32">
        <f>IF($C1280="","",$C1280&amp;"|"&amp;COUNTIFS($C$6:$C1280,$C1280))</f>
        <v/>
      </c>
      <c r="AH1280" s="32">
        <f>IF(OR($C1280="",$A1280="",$AE1280=""),"",$C1280&amp;"|"&amp;$A1280&amp;"|"&amp;$AE1280)</f>
        <v/>
      </c>
      <c r="AI1280" s="32">
        <f>IF(OR($C1280="",$AE1280="",$AE1280=1),"",IFERROR(INDEX($AC$6:$AC$1505,MATCH($C1280&amp;"|"&amp;$A1280&amp;"|"&amp;($AE1280-1),$AH$6:$AH$1505,0)),""))</f>
        <v/>
      </c>
      <c r="AJ1280" s="32">
        <f>IF(OR($AI1280="",$AC1280=""),"",IF($AI1280=$AC1280,"ללא שינוי","מ-"&amp;$AI1280&amp;" ל-"&amp;$AC1280))</f>
        <v/>
      </c>
      <c r="AK1280" s="67" t="n"/>
    </row>
    <row r="1281">
      <c r="A1281" s="65" t="n"/>
      <c r="B1281" s="65" t="n"/>
      <c r="C1281" s="66" t="n"/>
      <c r="D1281" s="66" t="n"/>
      <c r="E1281" s="65" t="n"/>
      <c r="F1281" s="65" t="n"/>
      <c r="G1281" s="65" t="n"/>
      <c r="H1281" s="65" t="n"/>
      <c r="I1281" s="65" t="n"/>
      <c r="J1281" s="65" t="n"/>
      <c r="K1281" s="65" t="n"/>
      <c r="L1281" s="65" t="n"/>
      <c r="M1281" s="65" t="n"/>
      <c r="N1281" s="65" t="n"/>
      <c r="O1281" s="65" t="n"/>
      <c r="P1281" s="65" t="n"/>
      <c r="Q1281" s="65" t="n"/>
      <c r="R1281" s="65" t="n"/>
      <c r="S1281" s="65" t="n"/>
      <c r="T1281" s="65" t="n"/>
      <c r="U1281" s="65" t="n"/>
      <c r="V1281" s="65" t="n"/>
      <c r="W1281" s="65" t="n"/>
      <c r="X1281" s="65" t="n"/>
      <c r="Y1281" s="32">
        <f>IF($C1281="","",IF(COUNTA($I1281:$K1281)&lt;3,"— חסרים נתונים",IF(AND($I1281="תקין",$J1281="תקין",$K1281="תקין"),"רהוטה",IF(AND($I1281="תקין",$J1281="תקין"),"מדויקת ורציפה","אינה מדויקת או מקוטעת"))))</f>
        <v/>
      </c>
      <c r="Z1281" s="32">
        <f>IF($C1281="","",IF(COUNTA($U1281:$W1281)&lt;3,"",IF(AND($U1281="מפותח",$V1281="מפותח",$W1281="מפותחת"),"מפותחת",IF((--($U1281="דל"))+(--($V1281="אינו מפותח"))+(--($W1281="דלה"))&gt;=2,"אינה מפותחת","חלקית"))))</f>
        <v/>
      </c>
      <c r="AA1281" s="32">
        <f>IF($C1281="","",IF(COUNTA($M1281,$N1281,$O1281)&lt;3,"— חסרים נתונים",IF(OR($M1281="נמוכה",(--($M1281&lt;&gt;"תקינה"))+(--($N1281&lt;&gt;"תקין"))+(--($O1281&lt;&gt;"תקינה"))&gt;=2),"ניכרת","אינה ניכרת")))</f>
        <v/>
      </c>
      <c r="AB1281" s="32">
        <f>IF(OR($C1281="",$Y1281="",$AA1281="",LEFT($Y1281,1)="—",LEFT($AA1281,1)="—"),"",IF($Z1281="","— נדרשת הערכת כתיבה",IF($L1281="","— חסרה הבנת הנקרא",IF($Y1281="אינה מדויקת או מקוטעת",IF($AA1281="ניכרת","מיקוד בשטף הקריאה ובכישורי שפה","מיקוד בשטף קריאה"),IF($AA1281="ניכרת","מיקוד בכישורי שפה",IF(AND($L1281="תקינה",$Z1281="מפותחת"),"קוראים וכותבים מיומנים","מיקוד בהבנה והבעה"))))))</f>
        <v/>
      </c>
      <c r="AC1281" s="32">
        <f>IF(OR($AB1281="",LEFT($AB1281,1)="—"),"",IF(OR($AB1281="מיקוד בשטף קריאה",$AB1281="מיקוד בשטף הקריאה ובכישורי שפה"),"רמה א'",IF($AB1281="קוראים וכותבים מיומנים","רמה ג'","רמה ב'")))</f>
        <v/>
      </c>
      <c r="AD1281" s="32">
        <f>IF($AC1281="","",MID(IF(AND($AC1281="רמה א'",$AA1281="ניכרת"),"; להוסיף עבודת אוצר מילים","")&amp;IF($Z1281="אינה מפותחת","; דגש על הבעה בכתב","")&amp;IF($K1281&lt;&gt;"תקין","; נדרש לעבוד על ההנגנה","")&amp;IF($AK1281&lt;&gt;"","; "&amp;$AK1281,""),3,400))</f>
        <v/>
      </c>
      <c r="AE1281" s="32">
        <f>IF($F1281="","",IF($F1281="תחילת שנה",1,IF($F1281="מחצית שנה",2,3)))</f>
        <v/>
      </c>
      <c r="AF1281" s="32">
        <f>IF(OR($B1281="",$AC1281="",$A1281="",$F1281=""),"",$B1281&amp;"|"&amp;$A1281&amp;"|"&amp;$F1281&amp;"|"&amp;$AC1281&amp;"|"&amp;COUNTIFS($B$6:$B1281,$B1281,$A$6:$A1281,$A1281,$F$6:$F1281,$F1281,$AC$6:$AC1281,$AC1281))</f>
        <v/>
      </c>
      <c r="AG1281" s="32">
        <f>IF($C1281="","",$C1281&amp;"|"&amp;COUNTIFS($C$6:$C1281,$C1281))</f>
        <v/>
      </c>
      <c r="AH1281" s="32">
        <f>IF(OR($C1281="",$A1281="",$AE1281=""),"",$C1281&amp;"|"&amp;$A1281&amp;"|"&amp;$AE1281)</f>
        <v/>
      </c>
      <c r="AI1281" s="32">
        <f>IF(OR($C1281="",$AE1281="",$AE1281=1),"",IFERROR(INDEX($AC$6:$AC$1505,MATCH($C1281&amp;"|"&amp;$A1281&amp;"|"&amp;($AE1281-1),$AH$6:$AH$1505,0)),""))</f>
        <v/>
      </c>
      <c r="AJ1281" s="32">
        <f>IF(OR($AI1281="",$AC1281=""),"",IF($AI1281=$AC1281,"ללא שינוי","מ-"&amp;$AI1281&amp;" ל-"&amp;$AC1281))</f>
        <v/>
      </c>
      <c r="AK1281" s="67" t="n"/>
    </row>
    <row r="1282">
      <c r="A1282" s="65" t="n"/>
      <c r="B1282" s="65" t="n"/>
      <c r="C1282" s="66" t="n"/>
      <c r="D1282" s="66" t="n"/>
      <c r="E1282" s="65" t="n"/>
      <c r="F1282" s="65" t="n"/>
      <c r="G1282" s="65" t="n"/>
      <c r="H1282" s="65" t="n"/>
      <c r="I1282" s="65" t="n"/>
      <c r="J1282" s="65" t="n"/>
      <c r="K1282" s="65" t="n"/>
      <c r="L1282" s="65" t="n"/>
      <c r="M1282" s="65" t="n"/>
      <c r="N1282" s="65" t="n"/>
      <c r="O1282" s="65" t="n"/>
      <c r="P1282" s="65" t="n"/>
      <c r="Q1282" s="65" t="n"/>
      <c r="R1282" s="65" t="n"/>
      <c r="S1282" s="65" t="n"/>
      <c r="T1282" s="65" t="n"/>
      <c r="U1282" s="65" t="n"/>
      <c r="V1282" s="65" t="n"/>
      <c r="W1282" s="65" t="n"/>
      <c r="X1282" s="65" t="n"/>
      <c r="Y1282" s="32">
        <f>IF($C1282="","",IF(COUNTA($I1282:$K1282)&lt;3,"— חסרים נתונים",IF(AND($I1282="תקין",$J1282="תקין",$K1282="תקין"),"רהוטה",IF(AND($I1282="תקין",$J1282="תקין"),"מדויקת ורציפה","אינה מדויקת או מקוטעת"))))</f>
        <v/>
      </c>
      <c r="Z1282" s="32">
        <f>IF($C1282="","",IF(COUNTA($U1282:$W1282)&lt;3,"",IF(AND($U1282="מפותח",$V1282="מפותח",$W1282="מפותחת"),"מפותחת",IF((--($U1282="דל"))+(--($V1282="אינו מפותח"))+(--($W1282="דלה"))&gt;=2,"אינה מפותחת","חלקית"))))</f>
        <v/>
      </c>
      <c r="AA1282" s="32">
        <f>IF($C1282="","",IF(COUNTA($M1282,$N1282,$O1282)&lt;3,"— חסרים נתונים",IF(OR($M1282="נמוכה",(--($M1282&lt;&gt;"תקינה"))+(--($N1282&lt;&gt;"תקין"))+(--($O1282&lt;&gt;"תקינה"))&gt;=2),"ניכרת","אינה ניכרת")))</f>
        <v/>
      </c>
      <c r="AB1282" s="32">
        <f>IF(OR($C1282="",$Y1282="",$AA1282="",LEFT($Y1282,1)="—",LEFT($AA1282,1)="—"),"",IF($Z1282="","— נדרשת הערכת כתיבה",IF($L1282="","— חסרה הבנת הנקרא",IF($Y1282="אינה מדויקת או מקוטעת",IF($AA1282="ניכרת","מיקוד בשטף הקריאה ובכישורי שפה","מיקוד בשטף קריאה"),IF($AA1282="ניכרת","מיקוד בכישורי שפה",IF(AND($L1282="תקינה",$Z1282="מפותחת"),"קוראים וכותבים מיומנים","מיקוד בהבנה והבעה"))))))</f>
        <v/>
      </c>
      <c r="AC1282" s="32">
        <f>IF(OR($AB1282="",LEFT($AB1282,1)="—"),"",IF(OR($AB1282="מיקוד בשטף קריאה",$AB1282="מיקוד בשטף הקריאה ובכישורי שפה"),"רמה א'",IF($AB1282="קוראים וכותבים מיומנים","רמה ג'","רמה ב'")))</f>
        <v/>
      </c>
      <c r="AD1282" s="32">
        <f>IF($AC1282="","",MID(IF(AND($AC1282="רמה א'",$AA1282="ניכרת"),"; להוסיף עבודת אוצר מילים","")&amp;IF($Z1282="אינה מפותחת","; דגש על הבעה בכתב","")&amp;IF($K1282&lt;&gt;"תקין","; נדרש לעבוד על ההנגנה","")&amp;IF($AK1282&lt;&gt;"","; "&amp;$AK1282,""),3,400))</f>
        <v/>
      </c>
      <c r="AE1282" s="32">
        <f>IF($F1282="","",IF($F1282="תחילת שנה",1,IF($F1282="מחצית שנה",2,3)))</f>
        <v/>
      </c>
      <c r="AF1282" s="32">
        <f>IF(OR($B1282="",$AC1282="",$A1282="",$F1282=""),"",$B1282&amp;"|"&amp;$A1282&amp;"|"&amp;$F1282&amp;"|"&amp;$AC1282&amp;"|"&amp;COUNTIFS($B$6:$B1282,$B1282,$A$6:$A1282,$A1282,$F$6:$F1282,$F1282,$AC$6:$AC1282,$AC1282))</f>
        <v/>
      </c>
      <c r="AG1282" s="32">
        <f>IF($C1282="","",$C1282&amp;"|"&amp;COUNTIFS($C$6:$C1282,$C1282))</f>
        <v/>
      </c>
      <c r="AH1282" s="32">
        <f>IF(OR($C1282="",$A1282="",$AE1282=""),"",$C1282&amp;"|"&amp;$A1282&amp;"|"&amp;$AE1282)</f>
        <v/>
      </c>
      <c r="AI1282" s="32">
        <f>IF(OR($C1282="",$AE1282="",$AE1282=1),"",IFERROR(INDEX($AC$6:$AC$1505,MATCH($C1282&amp;"|"&amp;$A1282&amp;"|"&amp;($AE1282-1),$AH$6:$AH$1505,0)),""))</f>
        <v/>
      </c>
      <c r="AJ1282" s="32">
        <f>IF(OR($AI1282="",$AC1282=""),"",IF($AI1282=$AC1282,"ללא שינוי","מ-"&amp;$AI1282&amp;" ל-"&amp;$AC1282))</f>
        <v/>
      </c>
      <c r="AK1282" s="67" t="n"/>
    </row>
    <row r="1283">
      <c r="A1283" s="65" t="n"/>
      <c r="B1283" s="65" t="n"/>
      <c r="C1283" s="66" t="n"/>
      <c r="D1283" s="66" t="n"/>
      <c r="E1283" s="65" t="n"/>
      <c r="F1283" s="65" t="n"/>
      <c r="G1283" s="65" t="n"/>
      <c r="H1283" s="65" t="n"/>
      <c r="I1283" s="65" t="n"/>
      <c r="J1283" s="65" t="n"/>
      <c r="K1283" s="65" t="n"/>
      <c r="L1283" s="65" t="n"/>
      <c r="M1283" s="65" t="n"/>
      <c r="N1283" s="65" t="n"/>
      <c r="O1283" s="65" t="n"/>
      <c r="P1283" s="65" t="n"/>
      <c r="Q1283" s="65" t="n"/>
      <c r="R1283" s="65" t="n"/>
      <c r="S1283" s="65" t="n"/>
      <c r="T1283" s="65" t="n"/>
      <c r="U1283" s="65" t="n"/>
      <c r="V1283" s="65" t="n"/>
      <c r="W1283" s="65" t="n"/>
      <c r="X1283" s="65" t="n"/>
      <c r="Y1283" s="32">
        <f>IF($C1283="","",IF(COUNTA($I1283:$K1283)&lt;3,"— חסרים נתונים",IF(AND($I1283="תקין",$J1283="תקין",$K1283="תקין"),"רהוטה",IF(AND($I1283="תקין",$J1283="תקין"),"מדויקת ורציפה","אינה מדויקת או מקוטעת"))))</f>
        <v/>
      </c>
      <c r="Z1283" s="32">
        <f>IF($C1283="","",IF(COUNTA($U1283:$W1283)&lt;3,"",IF(AND($U1283="מפותח",$V1283="מפותח",$W1283="מפותחת"),"מפותחת",IF((--($U1283="דל"))+(--($V1283="אינו מפותח"))+(--($W1283="דלה"))&gt;=2,"אינה מפותחת","חלקית"))))</f>
        <v/>
      </c>
      <c r="AA1283" s="32">
        <f>IF($C1283="","",IF(COUNTA($M1283,$N1283,$O1283)&lt;3,"— חסרים נתונים",IF(OR($M1283="נמוכה",(--($M1283&lt;&gt;"תקינה"))+(--($N1283&lt;&gt;"תקין"))+(--($O1283&lt;&gt;"תקינה"))&gt;=2),"ניכרת","אינה ניכרת")))</f>
        <v/>
      </c>
      <c r="AB1283" s="32">
        <f>IF(OR($C1283="",$Y1283="",$AA1283="",LEFT($Y1283,1)="—",LEFT($AA1283,1)="—"),"",IF($Z1283="","— נדרשת הערכת כתיבה",IF($L1283="","— חסרה הבנת הנקרא",IF($Y1283="אינה מדויקת או מקוטעת",IF($AA1283="ניכרת","מיקוד בשטף הקריאה ובכישורי שפה","מיקוד בשטף קריאה"),IF($AA1283="ניכרת","מיקוד בכישורי שפה",IF(AND($L1283="תקינה",$Z1283="מפותחת"),"קוראים וכותבים מיומנים","מיקוד בהבנה והבעה"))))))</f>
        <v/>
      </c>
      <c r="AC1283" s="32">
        <f>IF(OR($AB1283="",LEFT($AB1283,1)="—"),"",IF(OR($AB1283="מיקוד בשטף קריאה",$AB1283="מיקוד בשטף הקריאה ובכישורי שפה"),"רמה א'",IF($AB1283="קוראים וכותבים מיומנים","רמה ג'","רמה ב'")))</f>
        <v/>
      </c>
      <c r="AD1283" s="32">
        <f>IF($AC1283="","",MID(IF(AND($AC1283="רמה א'",$AA1283="ניכרת"),"; להוסיף עבודת אוצר מילים","")&amp;IF($Z1283="אינה מפותחת","; דגש על הבעה בכתב","")&amp;IF($K1283&lt;&gt;"תקין","; נדרש לעבוד על ההנגנה","")&amp;IF($AK1283&lt;&gt;"","; "&amp;$AK1283,""),3,400))</f>
        <v/>
      </c>
      <c r="AE1283" s="32">
        <f>IF($F1283="","",IF($F1283="תחילת שנה",1,IF($F1283="מחצית שנה",2,3)))</f>
        <v/>
      </c>
      <c r="AF1283" s="32">
        <f>IF(OR($B1283="",$AC1283="",$A1283="",$F1283=""),"",$B1283&amp;"|"&amp;$A1283&amp;"|"&amp;$F1283&amp;"|"&amp;$AC1283&amp;"|"&amp;COUNTIFS($B$6:$B1283,$B1283,$A$6:$A1283,$A1283,$F$6:$F1283,$F1283,$AC$6:$AC1283,$AC1283))</f>
        <v/>
      </c>
      <c r="AG1283" s="32">
        <f>IF($C1283="","",$C1283&amp;"|"&amp;COUNTIFS($C$6:$C1283,$C1283))</f>
        <v/>
      </c>
      <c r="AH1283" s="32">
        <f>IF(OR($C1283="",$A1283="",$AE1283=""),"",$C1283&amp;"|"&amp;$A1283&amp;"|"&amp;$AE1283)</f>
        <v/>
      </c>
      <c r="AI1283" s="32">
        <f>IF(OR($C1283="",$AE1283="",$AE1283=1),"",IFERROR(INDEX($AC$6:$AC$1505,MATCH($C1283&amp;"|"&amp;$A1283&amp;"|"&amp;($AE1283-1),$AH$6:$AH$1505,0)),""))</f>
        <v/>
      </c>
      <c r="AJ1283" s="32">
        <f>IF(OR($AI1283="",$AC1283=""),"",IF($AI1283=$AC1283,"ללא שינוי","מ-"&amp;$AI1283&amp;" ל-"&amp;$AC1283))</f>
        <v/>
      </c>
      <c r="AK1283" s="67" t="n"/>
    </row>
    <row r="1284">
      <c r="A1284" s="65" t="n"/>
      <c r="B1284" s="65" t="n"/>
      <c r="C1284" s="66" t="n"/>
      <c r="D1284" s="66" t="n"/>
      <c r="E1284" s="65" t="n"/>
      <c r="F1284" s="65" t="n"/>
      <c r="G1284" s="65" t="n"/>
      <c r="H1284" s="65" t="n"/>
      <c r="I1284" s="65" t="n"/>
      <c r="J1284" s="65" t="n"/>
      <c r="K1284" s="65" t="n"/>
      <c r="L1284" s="65" t="n"/>
      <c r="M1284" s="65" t="n"/>
      <c r="N1284" s="65" t="n"/>
      <c r="O1284" s="65" t="n"/>
      <c r="P1284" s="65" t="n"/>
      <c r="Q1284" s="65" t="n"/>
      <c r="R1284" s="65" t="n"/>
      <c r="S1284" s="65" t="n"/>
      <c r="T1284" s="65" t="n"/>
      <c r="U1284" s="65" t="n"/>
      <c r="V1284" s="65" t="n"/>
      <c r="W1284" s="65" t="n"/>
      <c r="X1284" s="65" t="n"/>
      <c r="Y1284" s="32">
        <f>IF($C1284="","",IF(COUNTA($I1284:$K1284)&lt;3,"— חסרים נתונים",IF(AND($I1284="תקין",$J1284="תקין",$K1284="תקין"),"רהוטה",IF(AND($I1284="תקין",$J1284="תקין"),"מדויקת ורציפה","אינה מדויקת או מקוטעת"))))</f>
        <v/>
      </c>
      <c r="Z1284" s="32">
        <f>IF($C1284="","",IF(COUNTA($U1284:$W1284)&lt;3,"",IF(AND($U1284="מפותח",$V1284="מפותח",$W1284="מפותחת"),"מפותחת",IF((--($U1284="דל"))+(--($V1284="אינו מפותח"))+(--($W1284="דלה"))&gt;=2,"אינה מפותחת","חלקית"))))</f>
        <v/>
      </c>
      <c r="AA1284" s="32">
        <f>IF($C1284="","",IF(COUNTA($M1284,$N1284,$O1284)&lt;3,"— חסרים נתונים",IF(OR($M1284="נמוכה",(--($M1284&lt;&gt;"תקינה"))+(--($N1284&lt;&gt;"תקין"))+(--($O1284&lt;&gt;"תקינה"))&gt;=2),"ניכרת","אינה ניכרת")))</f>
        <v/>
      </c>
      <c r="AB1284" s="32">
        <f>IF(OR($C1284="",$Y1284="",$AA1284="",LEFT($Y1284,1)="—",LEFT($AA1284,1)="—"),"",IF($Z1284="","— נדרשת הערכת כתיבה",IF($L1284="","— חסרה הבנת הנקרא",IF($Y1284="אינה מדויקת או מקוטעת",IF($AA1284="ניכרת","מיקוד בשטף הקריאה ובכישורי שפה","מיקוד בשטף קריאה"),IF($AA1284="ניכרת","מיקוד בכישורי שפה",IF(AND($L1284="תקינה",$Z1284="מפותחת"),"קוראים וכותבים מיומנים","מיקוד בהבנה והבעה"))))))</f>
        <v/>
      </c>
      <c r="AC1284" s="32">
        <f>IF(OR($AB1284="",LEFT($AB1284,1)="—"),"",IF(OR($AB1284="מיקוד בשטף קריאה",$AB1284="מיקוד בשטף הקריאה ובכישורי שפה"),"רמה א'",IF($AB1284="קוראים וכותבים מיומנים","רמה ג'","רמה ב'")))</f>
        <v/>
      </c>
      <c r="AD1284" s="32">
        <f>IF($AC1284="","",MID(IF(AND($AC1284="רמה א'",$AA1284="ניכרת"),"; להוסיף עבודת אוצר מילים","")&amp;IF($Z1284="אינה מפותחת","; דגש על הבעה בכתב","")&amp;IF($K1284&lt;&gt;"תקין","; נדרש לעבוד על ההנגנה","")&amp;IF($AK1284&lt;&gt;"","; "&amp;$AK1284,""),3,400))</f>
        <v/>
      </c>
      <c r="AE1284" s="32">
        <f>IF($F1284="","",IF($F1284="תחילת שנה",1,IF($F1284="מחצית שנה",2,3)))</f>
        <v/>
      </c>
      <c r="AF1284" s="32">
        <f>IF(OR($B1284="",$AC1284="",$A1284="",$F1284=""),"",$B1284&amp;"|"&amp;$A1284&amp;"|"&amp;$F1284&amp;"|"&amp;$AC1284&amp;"|"&amp;COUNTIFS($B$6:$B1284,$B1284,$A$6:$A1284,$A1284,$F$6:$F1284,$F1284,$AC$6:$AC1284,$AC1284))</f>
        <v/>
      </c>
      <c r="AG1284" s="32">
        <f>IF($C1284="","",$C1284&amp;"|"&amp;COUNTIFS($C$6:$C1284,$C1284))</f>
        <v/>
      </c>
      <c r="AH1284" s="32">
        <f>IF(OR($C1284="",$A1284="",$AE1284=""),"",$C1284&amp;"|"&amp;$A1284&amp;"|"&amp;$AE1284)</f>
        <v/>
      </c>
      <c r="AI1284" s="32">
        <f>IF(OR($C1284="",$AE1284="",$AE1284=1),"",IFERROR(INDEX($AC$6:$AC$1505,MATCH($C1284&amp;"|"&amp;$A1284&amp;"|"&amp;($AE1284-1),$AH$6:$AH$1505,0)),""))</f>
        <v/>
      </c>
      <c r="AJ1284" s="32">
        <f>IF(OR($AI1284="",$AC1284=""),"",IF($AI1284=$AC1284,"ללא שינוי","מ-"&amp;$AI1284&amp;" ל-"&amp;$AC1284))</f>
        <v/>
      </c>
      <c r="AK1284" s="67" t="n"/>
    </row>
    <row r="1285">
      <c r="A1285" s="65" t="n"/>
      <c r="B1285" s="65" t="n"/>
      <c r="C1285" s="66" t="n"/>
      <c r="D1285" s="66" t="n"/>
      <c r="E1285" s="65" t="n"/>
      <c r="F1285" s="65" t="n"/>
      <c r="G1285" s="65" t="n"/>
      <c r="H1285" s="65" t="n"/>
      <c r="I1285" s="65" t="n"/>
      <c r="J1285" s="65" t="n"/>
      <c r="K1285" s="65" t="n"/>
      <c r="L1285" s="65" t="n"/>
      <c r="M1285" s="65" t="n"/>
      <c r="N1285" s="65" t="n"/>
      <c r="O1285" s="65" t="n"/>
      <c r="P1285" s="65" t="n"/>
      <c r="Q1285" s="65" t="n"/>
      <c r="R1285" s="65" t="n"/>
      <c r="S1285" s="65" t="n"/>
      <c r="T1285" s="65" t="n"/>
      <c r="U1285" s="65" t="n"/>
      <c r="V1285" s="65" t="n"/>
      <c r="W1285" s="65" t="n"/>
      <c r="X1285" s="65" t="n"/>
      <c r="Y1285" s="32">
        <f>IF($C1285="","",IF(COUNTA($I1285:$K1285)&lt;3,"— חסרים נתונים",IF(AND($I1285="תקין",$J1285="תקין",$K1285="תקין"),"רהוטה",IF(AND($I1285="תקין",$J1285="תקין"),"מדויקת ורציפה","אינה מדויקת או מקוטעת"))))</f>
        <v/>
      </c>
      <c r="Z1285" s="32">
        <f>IF($C1285="","",IF(COUNTA($U1285:$W1285)&lt;3,"",IF(AND($U1285="מפותח",$V1285="מפותח",$W1285="מפותחת"),"מפותחת",IF((--($U1285="דל"))+(--($V1285="אינו מפותח"))+(--($W1285="דלה"))&gt;=2,"אינה מפותחת","חלקית"))))</f>
        <v/>
      </c>
      <c r="AA1285" s="32">
        <f>IF($C1285="","",IF(COUNTA($M1285,$N1285,$O1285)&lt;3,"— חסרים נתונים",IF(OR($M1285="נמוכה",(--($M1285&lt;&gt;"תקינה"))+(--($N1285&lt;&gt;"תקין"))+(--($O1285&lt;&gt;"תקינה"))&gt;=2),"ניכרת","אינה ניכרת")))</f>
        <v/>
      </c>
      <c r="AB1285" s="32">
        <f>IF(OR($C1285="",$Y1285="",$AA1285="",LEFT($Y1285,1)="—",LEFT($AA1285,1)="—"),"",IF($Z1285="","— נדרשת הערכת כתיבה",IF($L1285="","— חסרה הבנת הנקרא",IF($Y1285="אינה מדויקת או מקוטעת",IF($AA1285="ניכרת","מיקוד בשטף הקריאה ובכישורי שפה","מיקוד בשטף קריאה"),IF($AA1285="ניכרת","מיקוד בכישורי שפה",IF(AND($L1285="תקינה",$Z1285="מפותחת"),"קוראים וכותבים מיומנים","מיקוד בהבנה והבעה"))))))</f>
        <v/>
      </c>
      <c r="AC1285" s="32">
        <f>IF(OR($AB1285="",LEFT($AB1285,1)="—"),"",IF(OR($AB1285="מיקוד בשטף קריאה",$AB1285="מיקוד בשטף הקריאה ובכישורי שפה"),"רמה א'",IF($AB1285="קוראים וכותבים מיומנים","רמה ג'","רמה ב'")))</f>
        <v/>
      </c>
      <c r="AD1285" s="32">
        <f>IF($AC1285="","",MID(IF(AND($AC1285="רמה א'",$AA1285="ניכרת"),"; להוסיף עבודת אוצר מילים","")&amp;IF($Z1285="אינה מפותחת","; דגש על הבעה בכתב","")&amp;IF($K1285&lt;&gt;"תקין","; נדרש לעבוד על ההנגנה","")&amp;IF($AK1285&lt;&gt;"","; "&amp;$AK1285,""),3,400))</f>
        <v/>
      </c>
      <c r="AE1285" s="32">
        <f>IF($F1285="","",IF($F1285="תחילת שנה",1,IF($F1285="מחצית שנה",2,3)))</f>
        <v/>
      </c>
      <c r="AF1285" s="32">
        <f>IF(OR($B1285="",$AC1285="",$A1285="",$F1285=""),"",$B1285&amp;"|"&amp;$A1285&amp;"|"&amp;$F1285&amp;"|"&amp;$AC1285&amp;"|"&amp;COUNTIFS($B$6:$B1285,$B1285,$A$6:$A1285,$A1285,$F$6:$F1285,$F1285,$AC$6:$AC1285,$AC1285))</f>
        <v/>
      </c>
      <c r="AG1285" s="32">
        <f>IF($C1285="","",$C1285&amp;"|"&amp;COUNTIFS($C$6:$C1285,$C1285))</f>
        <v/>
      </c>
      <c r="AH1285" s="32">
        <f>IF(OR($C1285="",$A1285="",$AE1285=""),"",$C1285&amp;"|"&amp;$A1285&amp;"|"&amp;$AE1285)</f>
        <v/>
      </c>
      <c r="AI1285" s="32">
        <f>IF(OR($C1285="",$AE1285="",$AE1285=1),"",IFERROR(INDEX($AC$6:$AC$1505,MATCH($C1285&amp;"|"&amp;$A1285&amp;"|"&amp;($AE1285-1),$AH$6:$AH$1505,0)),""))</f>
        <v/>
      </c>
      <c r="AJ1285" s="32">
        <f>IF(OR($AI1285="",$AC1285=""),"",IF($AI1285=$AC1285,"ללא שינוי","מ-"&amp;$AI1285&amp;" ל-"&amp;$AC1285))</f>
        <v/>
      </c>
      <c r="AK1285" s="67" t="n"/>
    </row>
    <row r="1286">
      <c r="A1286" s="65" t="n"/>
      <c r="B1286" s="65" t="n"/>
      <c r="C1286" s="66" t="n"/>
      <c r="D1286" s="66" t="n"/>
      <c r="E1286" s="65" t="n"/>
      <c r="F1286" s="65" t="n"/>
      <c r="G1286" s="65" t="n"/>
      <c r="H1286" s="65" t="n"/>
      <c r="I1286" s="65" t="n"/>
      <c r="J1286" s="65" t="n"/>
      <c r="K1286" s="65" t="n"/>
      <c r="L1286" s="65" t="n"/>
      <c r="M1286" s="65" t="n"/>
      <c r="N1286" s="65" t="n"/>
      <c r="O1286" s="65" t="n"/>
      <c r="P1286" s="65" t="n"/>
      <c r="Q1286" s="65" t="n"/>
      <c r="R1286" s="65" t="n"/>
      <c r="S1286" s="65" t="n"/>
      <c r="T1286" s="65" t="n"/>
      <c r="U1286" s="65" t="n"/>
      <c r="V1286" s="65" t="n"/>
      <c r="W1286" s="65" t="n"/>
      <c r="X1286" s="65" t="n"/>
      <c r="Y1286" s="32">
        <f>IF($C1286="","",IF(COUNTA($I1286:$K1286)&lt;3,"— חסרים נתונים",IF(AND($I1286="תקין",$J1286="תקין",$K1286="תקין"),"רהוטה",IF(AND($I1286="תקין",$J1286="תקין"),"מדויקת ורציפה","אינה מדויקת או מקוטעת"))))</f>
        <v/>
      </c>
      <c r="Z1286" s="32">
        <f>IF($C1286="","",IF(COUNTA($U1286:$W1286)&lt;3,"",IF(AND($U1286="מפותח",$V1286="מפותח",$W1286="מפותחת"),"מפותחת",IF((--($U1286="דל"))+(--($V1286="אינו מפותח"))+(--($W1286="דלה"))&gt;=2,"אינה מפותחת","חלקית"))))</f>
        <v/>
      </c>
      <c r="AA1286" s="32">
        <f>IF($C1286="","",IF(COUNTA($M1286,$N1286,$O1286)&lt;3,"— חסרים נתונים",IF(OR($M1286="נמוכה",(--($M1286&lt;&gt;"תקינה"))+(--($N1286&lt;&gt;"תקין"))+(--($O1286&lt;&gt;"תקינה"))&gt;=2),"ניכרת","אינה ניכרת")))</f>
        <v/>
      </c>
      <c r="AB1286" s="32">
        <f>IF(OR($C1286="",$Y1286="",$AA1286="",LEFT($Y1286,1)="—",LEFT($AA1286,1)="—"),"",IF($Z1286="","— נדרשת הערכת כתיבה",IF($L1286="","— חסרה הבנת הנקרא",IF($Y1286="אינה מדויקת או מקוטעת",IF($AA1286="ניכרת","מיקוד בשטף הקריאה ובכישורי שפה","מיקוד בשטף קריאה"),IF($AA1286="ניכרת","מיקוד בכישורי שפה",IF(AND($L1286="תקינה",$Z1286="מפותחת"),"קוראים וכותבים מיומנים","מיקוד בהבנה והבעה"))))))</f>
        <v/>
      </c>
      <c r="AC1286" s="32">
        <f>IF(OR($AB1286="",LEFT($AB1286,1)="—"),"",IF(OR($AB1286="מיקוד בשטף קריאה",$AB1286="מיקוד בשטף הקריאה ובכישורי שפה"),"רמה א'",IF($AB1286="קוראים וכותבים מיומנים","רמה ג'","רמה ב'")))</f>
        <v/>
      </c>
      <c r="AD1286" s="32">
        <f>IF($AC1286="","",MID(IF(AND($AC1286="רמה א'",$AA1286="ניכרת"),"; להוסיף עבודת אוצר מילים","")&amp;IF($Z1286="אינה מפותחת","; דגש על הבעה בכתב","")&amp;IF($K1286&lt;&gt;"תקין","; נדרש לעבוד על ההנגנה","")&amp;IF($AK1286&lt;&gt;"","; "&amp;$AK1286,""),3,400))</f>
        <v/>
      </c>
      <c r="AE1286" s="32">
        <f>IF($F1286="","",IF($F1286="תחילת שנה",1,IF($F1286="מחצית שנה",2,3)))</f>
        <v/>
      </c>
      <c r="AF1286" s="32">
        <f>IF(OR($B1286="",$AC1286="",$A1286="",$F1286=""),"",$B1286&amp;"|"&amp;$A1286&amp;"|"&amp;$F1286&amp;"|"&amp;$AC1286&amp;"|"&amp;COUNTIFS($B$6:$B1286,$B1286,$A$6:$A1286,$A1286,$F$6:$F1286,$F1286,$AC$6:$AC1286,$AC1286))</f>
        <v/>
      </c>
      <c r="AG1286" s="32">
        <f>IF($C1286="","",$C1286&amp;"|"&amp;COUNTIFS($C$6:$C1286,$C1286))</f>
        <v/>
      </c>
      <c r="AH1286" s="32">
        <f>IF(OR($C1286="",$A1286="",$AE1286=""),"",$C1286&amp;"|"&amp;$A1286&amp;"|"&amp;$AE1286)</f>
        <v/>
      </c>
      <c r="AI1286" s="32">
        <f>IF(OR($C1286="",$AE1286="",$AE1286=1),"",IFERROR(INDEX($AC$6:$AC$1505,MATCH($C1286&amp;"|"&amp;$A1286&amp;"|"&amp;($AE1286-1),$AH$6:$AH$1505,0)),""))</f>
        <v/>
      </c>
      <c r="AJ1286" s="32">
        <f>IF(OR($AI1286="",$AC1286=""),"",IF($AI1286=$AC1286,"ללא שינוי","מ-"&amp;$AI1286&amp;" ל-"&amp;$AC1286))</f>
        <v/>
      </c>
      <c r="AK1286" s="67" t="n"/>
    </row>
    <row r="1287">
      <c r="A1287" s="65" t="n"/>
      <c r="B1287" s="65" t="n"/>
      <c r="C1287" s="66" t="n"/>
      <c r="D1287" s="66" t="n"/>
      <c r="E1287" s="65" t="n"/>
      <c r="F1287" s="65" t="n"/>
      <c r="G1287" s="65" t="n"/>
      <c r="H1287" s="65" t="n"/>
      <c r="I1287" s="65" t="n"/>
      <c r="J1287" s="65" t="n"/>
      <c r="K1287" s="65" t="n"/>
      <c r="L1287" s="65" t="n"/>
      <c r="M1287" s="65" t="n"/>
      <c r="N1287" s="65" t="n"/>
      <c r="O1287" s="65" t="n"/>
      <c r="P1287" s="65" t="n"/>
      <c r="Q1287" s="65" t="n"/>
      <c r="R1287" s="65" t="n"/>
      <c r="S1287" s="65" t="n"/>
      <c r="T1287" s="65" t="n"/>
      <c r="U1287" s="65" t="n"/>
      <c r="V1287" s="65" t="n"/>
      <c r="W1287" s="65" t="n"/>
      <c r="X1287" s="65" t="n"/>
      <c r="Y1287" s="32">
        <f>IF($C1287="","",IF(COUNTA($I1287:$K1287)&lt;3,"— חסרים נתונים",IF(AND($I1287="תקין",$J1287="תקין",$K1287="תקין"),"רהוטה",IF(AND($I1287="תקין",$J1287="תקין"),"מדויקת ורציפה","אינה מדויקת או מקוטעת"))))</f>
        <v/>
      </c>
      <c r="Z1287" s="32">
        <f>IF($C1287="","",IF(COUNTA($U1287:$W1287)&lt;3,"",IF(AND($U1287="מפותח",$V1287="מפותח",$W1287="מפותחת"),"מפותחת",IF((--($U1287="דל"))+(--($V1287="אינו מפותח"))+(--($W1287="דלה"))&gt;=2,"אינה מפותחת","חלקית"))))</f>
        <v/>
      </c>
      <c r="AA1287" s="32">
        <f>IF($C1287="","",IF(COUNTA($M1287,$N1287,$O1287)&lt;3,"— חסרים נתונים",IF(OR($M1287="נמוכה",(--($M1287&lt;&gt;"תקינה"))+(--($N1287&lt;&gt;"תקין"))+(--($O1287&lt;&gt;"תקינה"))&gt;=2),"ניכרת","אינה ניכרת")))</f>
        <v/>
      </c>
      <c r="AB1287" s="32">
        <f>IF(OR($C1287="",$Y1287="",$AA1287="",LEFT($Y1287,1)="—",LEFT($AA1287,1)="—"),"",IF($Z1287="","— נדרשת הערכת כתיבה",IF($L1287="","— חסרה הבנת הנקרא",IF($Y1287="אינה מדויקת או מקוטעת",IF($AA1287="ניכרת","מיקוד בשטף הקריאה ובכישורי שפה","מיקוד בשטף קריאה"),IF($AA1287="ניכרת","מיקוד בכישורי שפה",IF(AND($L1287="תקינה",$Z1287="מפותחת"),"קוראים וכותבים מיומנים","מיקוד בהבנה והבעה"))))))</f>
        <v/>
      </c>
      <c r="AC1287" s="32">
        <f>IF(OR($AB1287="",LEFT($AB1287,1)="—"),"",IF(OR($AB1287="מיקוד בשטף קריאה",$AB1287="מיקוד בשטף הקריאה ובכישורי שפה"),"רמה א'",IF($AB1287="קוראים וכותבים מיומנים","רמה ג'","רמה ב'")))</f>
        <v/>
      </c>
      <c r="AD1287" s="32">
        <f>IF($AC1287="","",MID(IF(AND($AC1287="רמה א'",$AA1287="ניכרת"),"; להוסיף עבודת אוצר מילים","")&amp;IF($Z1287="אינה מפותחת","; דגש על הבעה בכתב","")&amp;IF($K1287&lt;&gt;"תקין","; נדרש לעבוד על ההנגנה","")&amp;IF($AK1287&lt;&gt;"","; "&amp;$AK1287,""),3,400))</f>
        <v/>
      </c>
      <c r="AE1287" s="32">
        <f>IF($F1287="","",IF($F1287="תחילת שנה",1,IF($F1287="מחצית שנה",2,3)))</f>
        <v/>
      </c>
      <c r="AF1287" s="32">
        <f>IF(OR($B1287="",$AC1287="",$A1287="",$F1287=""),"",$B1287&amp;"|"&amp;$A1287&amp;"|"&amp;$F1287&amp;"|"&amp;$AC1287&amp;"|"&amp;COUNTIFS($B$6:$B1287,$B1287,$A$6:$A1287,$A1287,$F$6:$F1287,$F1287,$AC$6:$AC1287,$AC1287))</f>
        <v/>
      </c>
      <c r="AG1287" s="32">
        <f>IF($C1287="","",$C1287&amp;"|"&amp;COUNTIFS($C$6:$C1287,$C1287))</f>
        <v/>
      </c>
      <c r="AH1287" s="32">
        <f>IF(OR($C1287="",$A1287="",$AE1287=""),"",$C1287&amp;"|"&amp;$A1287&amp;"|"&amp;$AE1287)</f>
        <v/>
      </c>
      <c r="AI1287" s="32">
        <f>IF(OR($C1287="",$AE1287="",$AE1287=1),"",IFERROR(INDEX($AC$6:$AC$1505,MATCH($C1287&amp;"|"&amp;$A1287&amp;"|"&amp;($AE1287-1),$AH$6:$AH$1505,0)),""))</f>
        <v/>
      </c>
      <c r="AJ1287" s="32">
        <f>IF(OR($AI1287="",$AC1287=""),"",IF($AI1287=$AC1287,"ללא שינוי","מ-"&amp;$AI1287&amp;" ל-"&amp;$AC1287))</f>
        <v/>
      </c>
      <c r="AK1287" s="67" t="n"/>
    </row>
    <row r="1288">
      <c r="A1288" s="65" t="n"/>
      <c r="B1288" s="65" t="n"/>
      <c r="C1288" s="66" t="n"/>
      <c r="D1288" s="66" t="n"/>
      <c r="E1288" s="65" t="n"/>
      <c r="F1288" s="65" t="n"/>
      <c r="G1288" s="65" t="n"/>
      <c r="H1288" s="65" t="n"/>
      <c r="I1288" s="65" t="n"/>
      <c r="J1288" s="65" t="n"/>
      <c r="K1288" s="65" t="n"/>
      <c r="L1288" s="65" t="n"/>
      <c r="M1288" s="65" t="n"/>
      <c r="N1288" s="65" t="n"/>
      <c r="O1288" s="65" t="n"/>
      <c r="P1288" s="65" t="n"/>
      <c r="Q1288" s="65" t="n"/>
      <c r="R1288" s="65" t="n"/>
      <c r="S1288" s="65" t="n"/>
      <c r="T1288" s="65" t="n"/>
      <c r="U1288" s="65" t="n"/>
      <c r="V1288" s="65" t="n"/>
      <c r="W1288" s="65" t="n"/>
      <c r="X1288" s="65" t="n"/>
      <c r="Y1288" s="32">
        <f>IF($C1288="","",IF(COUNTA($I1288:$K1288)&lt;3,"— חסרים נתונים",IF(AND($I1288="תקין",$J1288="תקין",$K1288="תקין"),"רהוטה",IF(AND($I1288="תקין",$J1288="תקין"),"מדויקת ורציפה","אינה מדויקת או מקוטעת"))))</f>
        <v/>
      </c>
      <c r="Z1288" s="32">
        <f>IF($C1288="","",IF(COUNTA($U1288:$W1288)&lt;3,"",IF(AND($U1288="מפותח",$V1288="מפותח",$W1288="מפותחת"),"מפותחת",IF((--($U1288="דל"))+(--($V1288="אינו מפותח"))+(--($W1288="דלה"))&gt;=2,"אינה מפותחת","חלקית"))))</f>
        <v/>
      </c>
      <c r="AA1288" s="32">
        <f>IF($C1288="","",IF(COUNTA($M1288,$N1288,$O1288)&lt;3,"— חסרים נתונים",IF(OR($M1288="נמוכה",(--($M1288&lt;&gt;"תקינה"))+(--($N1288&lt;&gt;"תקין"))+(--($O1288&lt;&gt;"תקינה"))&gt;=2),"ניכרת","אינה ניכרת")))</f>
        <v/>
      </c>
      <c r="AB1288" s="32">
        <f>IF(OR($C1288="",$Y1288="",$AA1288="",LEFT($Y1288,1)="—",LEFT($AA1288,1)="—"),"",IF($Z1288="","— נדרשת הערכת כתיבה",IF($L1288="","— חסרה הבנת הנקרא",IF($Y1288="אינה מדויקת או מקוטעת",IF($AA1288="ניכרת","מיקוד בשטף הקריאה ובכישורי שפה","מיקוד בשטף קריאה"),IF($AA1288="ניכרת","מיקוד בכישורי שפה",IF(AND($L1288="תקינה",$Z1288="מפותחת"),"קוראים וכותבים מיומנים","מיקוד בהבנה והבעה"))))))</f>
        <v/>
      </c>
      <c r="AC1288" s="32">
        <f>IF(OR($AB1288="",LEFT($AB1288,1)="—"),"",IF(OR($AB1288="מיקוד בשטף קריאה",$AB1288="מיקוד בשטף הקריאה ובכישורי שפה"),"רמה א'",IF($AB1288="קוראים וכותבים מיומנים","רמה ג'","רמה ב'")))</f>
        <v/>
      </c>
      <c r="AD1288" s="32">
        <f>IF($AC1288="","",MID(IF(AND($AC1288="רמה א'",$AA1288="ניכרת"),"; להוסיף עבודת אוצר מילים","")&amp;IF($Z1288="אינה מפותחת","; דגש על הבעה בכתב","")&amp;IF($K1288&lt;&gt;"תקין","; נדרש לעבוד על ההנגנה","")&amp;IF($AK1288&lt;&gt;"","; "&amp;$AK1288,""),3,400))</f>
        <v/>
      </c>
      <c r="AE1288" s="32">
        <f>IF($F1288="","",IF($F1288="תחילת שנה",1,IF($F1288="מחצית שנה",2,3)))</f>
        <v/>
      </c>
      <c r="AF1288" s="32">
        <f>IF(OR($B1288="",$AC1288="",$A1288="",$F1288=""),"",$B1288&amp;"|"&amp;$A1288&amp;"|"&amp;$F1288&amp;"|"&amp;$AC1288&amp;"|"&amp;COUNTIFS($B$6:$B1288,$B1288,$A$6:$A1288,$A1288,$F$6:$F1288,$F1288,$AC$6:$AC1288,$AC1288))</f>
        <v/>
      </c>
      <c r="AG1288" s="32">
        <f>IF($C1288="","",$C1288&amp;"|"&amp;COUNTIFS($C$6:$C1288,$C1288))</f>
        <v/>
      </c>
      <c r="AH1288" s="32">
        <f>IF(OR($C1288="",$A1288="",$AE1288=""),"",$C1288&amp;"|"&amp;$A1288&amp;"|"&amp;$AE1288)</f>
        <v/>
      </c>
      <c r="AI1288" s="32">
        <f>IF(OR($C1288="",$AE1288="",$AE1288=1),"",IFERROR(INDEX($AC$6:$AC$1505,MATCH($C1288&amp;"|"&amp;$A1288&amp;"|"&amp;($AE1288-1),$AH$6:$AH$1505,0)),""))</f>
        <v/>
      </c>
      <c r="AJ1288" s="32">
        <f>IF(OR($AI1288="",$AC1288=""),"",IF($AI1288=$AC1288,"ללא שינוי","מ-"&amp;$AI1288&amp;" ל-"&amp;$AC1288))</f>
        <v/>
      </c>
      <c r="AK1288" s="67" t="n"/>
    </row>
    <row r="1289">
      <c r="A1289" s="65" t="n"/>
      <c r="B1289" s="65" t="n"/>
      <c r="C1289" s="66" t="n"/>
      <c r="D1289" s="66" t="n"/>
      <c r="E1289" s="65" t="n"/>
      <c r="F1289" s="65" t="n"/>
      <c r="G1289" s="65" t="n"/>
      <c r="H1289" s="65" t="n"/>
      <c r="I1289" s="65" t="n"/>
      <c r="J1289" s="65" t="n"/>
      <c r="K1289" s="65" t="n"/>
      <c r="L1289" s="65" t="n"/>
      <c r="M1289" s="65" t="n"/>
      <c r="N1289" s="65" t="n"/>
      <c r="O1289" s="65" t="n"/>
      <c r="P1289" s="65" t="n"/>
      <c r="Q1289" s="65" t="n"/>
      <c r="R1289" s="65" t="n"/>
      <c r="S1289" s="65" t="n"/>
      <c r="T1289" s="65" t="n"/>
      <c r="U1289" s="65" t="n"/>
      <c r="V1289" s="65" t="n"/>
      <c r="W1289" s="65" t="n"/>
      <c r="X1289" s="65" t="n"/>
      <c r="Y1289" s="32">
        <f>IF($C1289="","",IF(COUNTA($I1289:$K1289)&lt;3,"— חסרים נתונים",IF(AND($I1289="תקין",$J1289="תקין",$K1289="תקין"),"רהוטה",IF(AND($I1289="תקין",$J1289="תקין"),"מדויקת ורציפה","אינה מדויקת או מקוטעת"))))</f>
        <v/>
      </c>
      <c r="Z1289" s="32">
        <f>IF($C1289="","",IF(COUNTA($U1289:$W1289)&lt;3,"",IF(AND($U1289="מפותח",$V1289="מפותח",$W1289="מפותחת"),"מפותחת",IF((--($U1289="דל"))+(--($V1289="אינו מפותח"))+(--($W1289="דלה"))&gt;=2,"אינה מפותחת","חלקית"))))</f>
        <v/>
      </c>
      <c r="AA1289" s="32">
        <f>IF($C1289="","",IF(COUNTA($M1289,$N1289,$O1289)&lt;3,"— חסרים נתונים",IF(OR($M1289="נמוכה",(--($M1289&lt;&gt;"תקינה"))+(--($N1289&lt;&gt;"תקין"))+(--($O1289&lt;&gt;"תקינה"))&gt;=2),"ניכרת","אינה ניכרת")))</f>
        <v/>
      </c>
      <c r="AB1289" s="32">
        <f>IF(OR($C1289="",$Y1289="",$AA1289="",LEFT($Y1289,1)="—",LEFT($AA1289,1)="—"),"",IF($Z1289="","— נדרשת הערכת כתיבה",IF($L1289="","— חסרה הבנת הנקרא",IF($Y1289="אינה מדויקת או מקוטעת",IF($AA1289="ניכרת","מיקוד בשטף הקריאה ובכישורי שפה","מיקוד בשטף קריאה"),IF($AA1289="ניכרת","מיקוד בכישורי שפה",IF(AND($L1289="תקינה",$Z1289="מפותחת"),"קוראים וכותבים מיומנים","מיקוד בהבנה והבעה"))))))</f>
        <v/>
      </c>
      <c r="AC1289" s="32">
        <f>IF(OR($AB1289="",LEFT($AB1289,1)="—"),"",IF(OR($AB1289="מיקוד בשטף קריאה",$AB1289="מיקוד בשטף הקריאה ובכישורי שפה"),"רמה א'",IF($AB1289="קוראים וכותבים מיומנים","רמה ג'","רמה ב'")))</f>
        <v/>
      </c>
      <c r="AD1289" s="32">
        <f>IF($AC1289="","",MID(IF(AND($AC1289="רמה א'",$AA1289="ניכרת"),"; להוסיף עבודת אוצר מילים","")&amp;IF($Z1289="אינה מפותחת","; דגש על הבעה בכתב","")&amp;IF($K1289&lt;&gt;"תקין","; נדרש לעבוד על ההנגנה","")&amp;IF($AK1289&lt;&gt;"","; "&amp;$AK1289,""),3,400))</f>
        <v/>
      </c>
      <c r="AE1289" s="32">
        <f>IF($F1289="","",IF($F1289="תחילת שנה",1,IF($F1289="מחצית שנה",2,3)))</f>
        <v/>
      </c>
      <c r="AF1289" s="32">
        <f>IF(OR($B1289="",$AC1289="",$A1289="",$F1289=""),"",$B1289&amp;"|"&amp;$A1289&amp;"|"&amp;$F1289&amp;"|"&amp;$AC1289&amp;"|"&amp;COUNTIFS($B$6:$B1289,$B1289,$A$6:$A1289,$A1289,$F$6:$F1289,$F1289,$AC$6:$AC1289,$AC1289))</f>
        <v/>
      </c>
      <c r="AG1289" s="32">
        <f>IF($C1289="","",$C1289&amp;"|"&amp;COUNTIFS($C$6:$C1289,$C1289))</f>
        <v/>
      </c>
      <c r="AH1289" s="32">
        <f>IF(OR($C1289="",$A1289="",$AE1289=""),"",$C1289&amp;"|"&amp;$A1289&amp;"|"&amp;$AE1289)</f>
        <v/>
      </c>
      <c r="AI1289" s="32">
        <f>IF(OR($C1289="",$AE1289="",$AE1289=1),"",IFERROR(INDEX($AC$6:$AC$1505,MATCH($C1289&amp;"|"&amp;$A1289&amp;"|"&amp;($AE1289-1),$AH$6:$AH$1505,0)),""))</f>
        <v/>
      </c>
      <c r="AJ1289" s="32">
        <f>IF(OR($AI1289="",$AC1289=""),"",IF($AI1289=$AC1289,"ללא שינוי","מ-"&amp;$AI1289&amp;" ל-"&amp;$AC1289))</f>
        <v/>
      </c>
      <c r="AK1289" s="67" t="n"/>
    </row>
    <row r="1290">
      <c r="A1290" s="65" t="n"/>
      <c r="B1290" s="65" t="n"/>
      <c r="C1290" s="66" t="n"/>
      <c r="D1290" s="66" t="n"/>
      <c r="E1290" s="65" t="n"/>
      <c r="F1290" s="65" t="n"/>
      <c r="G1290" s="65" t="n"/>
      <c r="H1290" s="65" t="n"/>
      <c r="I1290" s="65" t="n"/>
      <c r="J1290" s="65" t="n"/>
      <c r="K1290" s="65" t="n"/>
      <c r="L1290" s="65" t="n"/>
      <c r="M1290" s="65" t="n"/>
      <c r="N1290" s="65" t="n"/>
      <c r="O1290" s="65" t="n"/>
      <c r="P1290" s="65" t="n"/>
      <c r="Q1290" s="65" t="n"/>
      <c r="R1290" s="65" t="n"/>
      <c r="S1290" s="65" t="n"/>
      <c r="T1290" s="65" t="n"/>
      <c r="U1290" s="65" t="n"/>
      <c r="V1290" s="65" t="n"/>
      <c r="W1290" s="65" t="n"/>
      <c r="X1290" s="65" t="n"/>
      <c r="Y1290" s="32">
        <f>IF($C1290="","",IF(COUNTA($I1290:$K1290)&lt;3,"— חסרים נתונים",IF(AND($I1290="תקין",$J1290="תקין",$K1290="תקין"),"רהוטה",IF(AND($I1290="תקין",$J1290="תקין"),"מדויקת ורציפה","אינה מדויקת או מקוטעת"))))</f>
        <v/>
      </c>
      <c r="Z1290" s="32">
        <f>IF($C1290="","",IF(COUNTA($U1290:$W1290)&lt;3,"",IF(AND($U1290="מפותח",$V1290="מפותח",$W1290="מפותחת"),"מפותחת",IF((--($U1290="דל"))+(--($V1290="אינו מפותח"))+(--($W1290="דלה"))&gt;=2,"אינה מפותחת","חלקית"))))</f>
        <v/>
      </c>
      <c r="AA1290" s="32">
        <f>IF($C1290="","",IF(COUNTA($M1290,$N1290,$O1290)&lt;3,"— חסרים נתונים",IF(OR($M1290="נמוכה",(--($M1290&lt;&gt;"תקינה"))+(--($N1290&lt;&gt;"תקין"))+(--($O1290&lt;&gt;"תקינה"))&gt;=2),"ניכרת","אינה ניכרת")))</f>
        <v/>
      </c>
      <c r="AB1290" s="32">
        <f>IF(OR($C1290="",$Y1290="",$AA1290="",LEFT($Y1290,1)="—",LEFT($AA1290,1)="—"),"",IF($Z1290="","— נדרשת הערכת כתיבה",IF($L1290="","— חסרה הבנת הנקרא",IF($Y1290="אינה מדויקת או מקוטעת",IF($AA1290="ניכרת","מיקוד בשטף הקריאה ובכישורי שפה","מיקוד בשטף קריאה"),IF($AA1290="ניכרת","מיקוד בכישורי שפה",IF(AND($L1290="תקינה",$Z1290="מפותחת"),"קוראים וכותבים מיומנים","מיקוד בהבנה והבעה"))))))</f>
        <v/>
      </c>
      <c r="AC1290" s="32">
        <f>IF(OR($AB1290="",LEFT($AB1290,1)="—"),"",IF(OR($AB1290="מיקוד בשטף קריאה",$AB1290="מיקוד בשטף הקריאה ובכישורי שפה"),"רמה א'",IF($AB1290="קוראים וכותבים מיומנים","רמה ג'","רמה ב'")))</f>
        <v/>
      </c>
      <c r="AD1290" s="32">
        <f>IF($AC1290="","",MID(IF(AND($AC1290="רמה א'",$AA1290="ניכרת"),"; להוסיף עבודת אוצר מילים","")&amp;IF($Z1290="אינה מפותחת","; דגש על הבעה בכתב","")&amp;IF($K1290&lt;&gt;"תקין","; נדרש לעבוד על ההנגנה","")&amp;IF($AK1290&lt;&gt;"","; "&amp;$AK1290,""),3,400))</f>
        <v/>
      </c>
      <c r="AE1290" s="32">
        <f>IF($F1290="","",IF($F1290="תחילת שנה",1,IF($F1290="מחצית שנה",2,3)))</f>
        <v/>
      </c>
      <c r="AF1290" s="32">
        <f>IF(OR($B1290="",$AC1290="",$A1290="",$F1290=""),"",$B1290&amp;"|"&amp;$A1290&amp;"|"&amp;$F1290&amp;"|"&amp;$AC1290&amp;"|"&amp;COUNTIFS($B$6:$B1290,$B1290,$A$6:$A1290,$A1290,$F$6:$F1290,$F1290,$AC$6:$AC1290,$AC1290))</f>
        <v/>
      </c>
      <c r="AG1290" s="32">
        <f>IF($C1290="","",$C1290&amp;"|"&amp;COUNTIFS($C$6:$C1290,$C1290))</f>
        <v/>
      </c>
      <c r="AH1290" s="32">
        <f>IF(OR($C1290="",$A1290="",$AE1290=""),"",$C1290&amp;"|"&amp;$A1290&amp;"|"&amp;$AE1290)</f>
        <v/>
      </c>
      <c r="AI1290" s="32">
        <f>IF(OR($C1290="",$AE1290="",$AE1290=1),"",IFERROR(INDEX($AC$6:$AC$1505,MATCH($C1290&amp;"|"&amp;$A1290&amp;"|"&amp;($AE1290-1),$AH$6:$AH$1505,0)),""))</f>
        <v/>
      </c>
      <c r="AJ1290" s="32">
        <f>IF(OR($AI1290="",$AC1290=""),"",IF($AI1290=$AC1290,"ללא שינוי","מ-"&amp;$AI1290&amp;" ל-"&amp;$AC1290))</f>
        <v/>
      </c>
      <c r="AK1290" s="67" t="n"/>
    </row>
    <row r="1291">
      <c r="A1291" s="65" t="n"/>
      <c r="B1291" s="65" t="n"/>
      <c r="C1291" s="66" t="n"/>
      <c r="D1291" s="66" t="n"/>
      <c r="E1291" s="65" t="n"/>
      <c r="F1291" s="65" t="n"/>
      <c r="G1291" s="65" t="n"/>
      <c r="H1291" s="65" t="n"/>
      <c r="I1291" s="65" t="n"/>
      <c r="J1291" s="65" t="n"/>
      <c r="K1291" s="65" t="n"/>
      <c r="L1291" s="65" t="n"/>
      <c r="M1291" s="65" t="n"/>
      <c r="N1291" s="65" t="n"/>
      <c r="O1291" s="65" t="n"/>
      <c r="P1291" s="65" t="n"/>
      <c r="Q1291" s="65" t="n"/>
      <c r="R1291" s="65" t="n"/>
      <c r="S1291" s="65" t="n"/>
      <c r="T1291" s="65" t="n"/>
      <c r="U1291" s="65" t="n"/>
      <c r="V1291" s="65" t="n"/>
      <c r="W1291" s="65" t="n"/>
      <c r="X1291" s="65" t="n"/>
      <c r="Y1291" s="32">
        <f>IF($C1291="","",IF(COUNTA($I1291:$K1291)&lt;3,"— חסרים נתונים",IF(AND($I1291="תקין",$J1291="תקין",$K1291="תקין"),"רהוטה",IF(AND($I1291="תקין",$J1291="תקין"),"מדויקת ורציפה","אינה מדויקת או מקוטעת"))))</f>
        <v/>
      </c>
      <c r="Z1291" s="32">
        <f>IF($C1291="","",IF(COUNTA($U1291:$W1291)&lt;3,"",IF(AND($U1291="מפותח",$V1291="מפותח",$W1291="מפותחת"),"מפותחת",IF((--($U1291="דל"))+(--($V1291="אינו מפותח"))+(--($W1291="דלה"))&gt;=2,"אינה מפותחת","חלקית"))))</f>
        <v/>
      </c>
      <c r="AA1291" s="32">
        <f>IF($C1291="","",IF(COUNTA($M1291,$N1291,$O1291)&lt;3,"— חסרים נתונים",IF(OR($M1291="נמוכה",(--($M1291&lt;&gt;"תקינה"))+(--($N1291&lt;&gt;"תקין"))+(--($O1291&lt;&gt;"תקינה"))&gt;=2),"ניכרת","אינה ניכרת")))</f>
        <v/>
      </c>
      <c r="AB1291" s="32">
        <f>IF(OR($C1291="",$Y1291="",$AA1291="",LEFT($Y1291,1)="—",LEFT($AA1291,1)="—"),"",IF($Z1291="","— נדרשת הערכת כתיבה",IF($L1291="","— חסרה הבנת הנקרא",IF($Y1291="אינה מדויקת או מקוטעת",IF($AA1291="ניכרת","מיקוד בשטף הקריאה ובכישורי שפה","מיקוד בשטף קריאה"),IF($AA1291="ניכרת","מיקוד בכישורי שפה",IF(AND($L1291="תקינה",$Z1291="מפותחת"),"קוראים וכותבים מיומנים","מיקוד בהבנה והבעה"))))))</f>
        <v/>
      </c>
      <c r="AC1291" s="32">
        <f>IF(OR($AB1291="",LEFT($AB1291,1)="—"),"",IF(OR($AB1291="מיקוד בשטף קריאה",$AB1291="מיקוד בשטף הקריאה ובכישורי שפה"),"רמה א'",IF($AB1291="קוראים וכותבים מיומנים","רמה ג'","רמה ב'")))</f>
        <v/>
      </c>
      <c r="AD1291" s="32">
        <f>IF($AC1291="","",MID(IF(AND($AC1291="רמה א'",$AA1291="ניכרת"),"; להוסיף עבודת אוצר מילים","")&amp;IF($Z1291="אינה מפותחת","; דגש על הבעה בכתב","")&amp;IF($K1291&lt;&gt;"תקין","; נדרש לעבוד על ההנגנה","")&amp;IF($AK1291&lt;&gt;"","; "&amp;$AK1291,""),3,400))</f>
        <v/>
      </c>
      <c r="AE1291" s="32">
        <f>IF($F1291="","",IF($F1291="תחילת שנה",1,IF($F1291="מחצית שנה",2,3)))</f>
        <v/>
      </c>
      <c r="AF1291" s="32">
        <f>IF(OR($B1291="",$AC1291="",$A1291="",$F1291=""),"",$B1291&amp;"|"&amp;$A1291&amp;"|"&amp;$F1291&amp;"|"&amp;$AC1291&amp;"|"&amp;COUNTIFS($B$6:$B1291,$B1291,$A$6:$A1291,$A1291,$F$6:$F1291,$F1291,$AC$6:$AC1291,$AC1291))</f>
        <v/>
      </c>
      <c r="AG1291" s="32">
        <f>IF($C1291="","",$C1291&amp;"|"&amp;COUNTIFS($C$6:$C1291,$C1291))</f>
        <v/>
      </c>
      <c r="AH1291" s="32">
        <f>IF(OR($C1291="",$A1291="",$AE1291=""),"",$C1291&amp;"|"&amp;$A1291&amp;"|"&amp;$AE1291)</f>
        <v/>
      </c>
      <c r="AI1291" s="32">
        <f>IF(OR($C1291="",$AE1291="",$AE1291=1),"",IFERROR(INDEX($AC$6:$AC$1505,MATCH($C1291&amp;"|"&amp;$A1291&amp;"|"&amp;($AE1291-1),$AH$6:$AH$1505,0)),""))</f>
        <v/>
      </c>
      <c r="AJ1291" s="32">
        <f>IF(OR($AI1291="",$AC1291=""),"",IF($AI1291=$AC1291,"ללא שינוי","מ-"&amp;$AI1291&amp;" ל-"&amp;$AC1291))</f>
        <v/>
      </c>
      <c r="AK1291" s="67" t="n"/>
    </row>
    <row r="1292">
      <c r="A1292" s="65" t="n"/>
      <c r="B1292" s="65" t="n"/>
      <c r="C1292" s="66" t="n"/>
      <c r="D1292" s="66" t="n"/>
      <c r="E1292" s="65" t="n"/>
      <c r="F1292" s="65" t="n"/>
      <c r="G1292" s="65" t="n"/>
      <c r="H1292" s="65" t="n"/>
      <c r="I1292" s="65" t="n"/>
      <c r="J1292" s="65" t="n"/>
      <c r="K1292" s="65" t="n"/>
      <c r="L1292" s="65" t="n"/>
      <c r="M1292" s="65" t="n"/>
      <c r="N1292" s="65" t="n"/>
      <c r="O1292" s="65" t="n"/>
      <c r="P1292" s="65" t="n"/>
      <c r="Q1292" s="65" t="n"/>
      <c r="R1292" s="65" t="n"/>
      <c r="S1292" s="65" t="n"/>
      <c r="T1292" s="65" t="n"/>
      <c r="U1292" s="65" t="n"/>
      <c r="V1292" s="65" t="n"/>
      <c r="W1292" s="65" t="n"/>
      <c r="X1292" s="65" t="n"/>
      <c r="Y1292" s="32">
        <f>IF($C1292="","",IF(COUNTA($I1292:$K1292)&lt;3,"— חסרים נתונים",IF(AND($I1292="תקין",$J1292="תקין",$K1292="תקין"),"רהוטה",IF(AND($I1292="תקין",$J1292="תקין"),"מדויקת ורציפה","אינה מדויקת או מקוטעת"))))</f>
        <v/>
      </c>
      <c r="Z1292" s="32">
        <f>IF($C1292="","",IF(COUNTA($U1292:$W1292)&lt;3,"",IF(AND($U1292="מפותח",$V1292="מפותח",$W1292="מפותחת"),"מפותחת",IF((--($U1292="דל"))+(--($V1292="אינו מפותח"))+(--($W1292="דלה"))&gt;=2,"אינה מפותחת","חלקית"))))</f>
        <v/>
      </c>
      <c r="AA1292" s="32">
        <f>IF($C1292="","",IF(COUNTA($M1292,$N1292,$O1292)&lt;3,"— חסרים נתונים",IF(OR($M1292="נמוכה",(--($M1292&lt;&gt;"תקינה"))+(--($N1292&lt;&gt;"תקין"))+(--($O1292&lt;&gt;"תקינה"))&gt;=2),"ניכרת","אינה ניכרת")))</f>
        <v/>
      </c>
      <c r="AB1292" s="32">
        <f>IF(OR($C1292="",$Y1292="",$AA1292="",LEFT($Y1292,1)="—",LEFT($AA1292,1)="—"),"",IF($Z1292="","— נדרשת הערכת כתיבה",IF($L1292="","— חסרה הבנת הנקרא",IF($Y1292="אינה מדויקת או מקוטעת",IF($AA1292="ניכרת","מיקוד בשטף הקריאה ובכישורי שפה","מיקוד בשטף קריאה"),IF($AA1292="ניכרת","מיקוד בכישורי שפה",IF(AND($L1292="תקינה",$Z1292="מפותחת"),"קוראים וכותבים מיומנים","מיקוד בהבנה והבעה"))))))</f>
        <v/>
      </c>
      <c r="AC1292" s="32">
        <f>IF(OR($AB1292="",LEFT($AB1292,1)="—"),"",IF(OR($AB1292="מיקוד בשטף קריאה",$AB1292="מיקוד בשטף הקריאה ובכישורי שפה"),"רמה א'",IF($AB1292="קוראים וכותבים מיומנים","רמה ג'","רמה ב'")))</f>
        <v/>
      </c>
      <c r="AD1292" s="32">
        <f>IF($AC1292="","",MID(IF(AND($AC1292="רמה א'",$AA1292="ניכרת"),"; להוסיף עבודת אוצר מילים","")&amp;IF($Z1292="אינה מפותחת","; דגש על הבעה בכתב","")&amp;IF($K1292&lt;&gt;"תקין","; נדרש לעבוד על ההנגנה","")&amp;IF($AK1292&lt;&gt;"","; "&amp;$AK1292,""),3,400))</f>
        <v/>
      </c>
      <c r="AE1292" s="32">
        <f>IF($F1292="","",IF($F1292="תחילת שנה",1,IF($F1292="מחצית שנה",2,3)))</f>
        <v/>
      </c>
      <c r="AF1292" s="32">
        <f>IF(OR($B1292="",$AC1292="",$A1292="",$F1292=""),"",$B1292&amp;"|"&amp;$A1292&amp;"|"&amp;$F1292&amp;"|"&amp;$AC1292&amp;"|"&amp;COUNTIFS($B$6:$B1292,$B1292,$A$6:$A1292,$A1292,$F$6:$F1292,$F1292,$AC$6:$AC1292,$AC1292))</f>
        <v/>
      </c>
      <c r="AG1292" s="32">
        <f>IF($C1292="","",$C1292&amp;"|"&amp;COUNTIFS($C$6:$C1292,$C1292))</f>
        <v/>
      </c>
      <c r="AH1292" s="32">
        <f>IF(OR($C1292="",$A1292="",$AE1292=""),"",$C1292&amp;"|"&amp;$A1292&amp;"|"&amp;$AE1292)</f>
        <v/>
      </c>
      <c r="AI1292" s="32">
        <f>IF(OR($C1292="",$AE1292="",$AE1292=1),"",IFERROR(INDEX($AC$6:$AC$1505,MATCH($C1292&amp;"|"&amp;$A1292&amp;"|"&amp;($AE1292-1),$AH$6:$AH$1505,0)),""))</f>
        <v/>
      </c>
      <c r="AJ1292" s="32">
        <f>IF(OR($AI1292="",$AC1292=""),"",IF($AI1292=$AC1292,"ללא שינוי","מ-"&amp;$AI1292&amp;" ל-"&amp;$AC1292))</f>
        <v/>
      </c>
      <c r="AK1292" s="67" t="n"/>
    </row>
    <row r="1293">
      <c r="A1293" s="65" t="n"/>
      <c r="B1293" s="65" t="n"/>
      <c r="C1293" s="66" t="n"/>
      <c r="D1293" s="66" t="n"/>
      <c r="E1293" s="65" t="n"/>
      <c r="F1293" s="65" t="n"/>
      <c r="G1293" s="65" t="n"/>
      <c r="H1293" s="65" t="n"/>
      <c r="I1293" s="65" t="n"/>
      <c r="J1293" s="65" t="n"/>
      <c r="K1293" s="65" t="n"/>
      <c r="L1293" s="65" t="n"/>
      <c r="M1293" s="65" t="n"/>
      <c r="N1293" s="65" t="n"/>
      <c r="O1293" s="65" t="n"/>
      <c r="P1293" s="65" t="n"/>
      <c r="Q1293" s="65" t="n"/>
      <c r="R1293" s="65" t="n"/>
      <c r="S1293" s="65" t="n"/>
      <c r="T1293" s="65" t="n"/>
      <c r="U1293" s="65" t="n"/>
      <c r="V1293" s="65" t="n"/>
      <c r="W1293" s="65" t="n"/>
      <c r="X1293" s="65" t="n"/>
      <c r="Y1293" s="32">
        <f>IF($C1293="","",IF(COUNTA($I1293:$K1293)&lt;3,"— חסרים נתונים",IF(AND($I1293="תקין",$J1293="תקין",$K1293="תקין"),"רהוטה",IF(AND($I1293="תקין",$J1293="תקין"),"מדויקת ורציפה","אינה מדויקת או מקוטעת"))))</f>
        <v/>
      </c>
      <c r="Z1293" s="32">
        <f>IF($C1293="","",IF(COUNTA($U1293:$W1293)&lt;3,"",IF(AND($U1293="מפותח",$V1293="מפותח",$W1293="מפותחת"),"מפותחת",IF((--($U1293="דל"))+(--($V1293="אינו מפותח"))+(--($W1293="דלה"))&gt;=2,"אינה מפותחת","חלקית"))))</f>
        <v/>
      </c>
      <c r="AA1293" s="32">
        <f>IF($C1293="","",IF(COUNTA($M1293,$N1293,$O1293)&lt;3,"— חסרים נתונים",IF(OR($M1293="נמוכה",(--($M1293&lt;&gt;"תקינה"))+(--($N1293&lt;&gt;"תקין"))+(--($O1293&lt;&gt;"תקינה"))&gt;=2),"ניכרת","אינה ניכרת")))</f>
        <v/>
      </c>
      <c r="AB1293" s="32">
        <f>IF(OR($C1293="",$Y1293="",$AA1293="",LEFT($Y1293,1)="—",LEFT($AA1293,1)="—"),"",IF($Z1293="","— נדרשת הערכת כתיבה",IF($L1293="","— חסרה הבנת הנקרא",IF($Y1293="אינה מדויקת או מקוטעת",IF($AA1293="ניכרת","מיקוד בשטף הקריאה ובכישורי שפה","מיקוד בשטף קריאה"),IF($AA1293="ניכרת","מיקוד בכישורי שפה",IF(AND($L1293="תקינה",$Z1293="מפותחת"),"קוראים וכותבים מיומנים","מיקוד בהבנה והבעה"))))))</f>
        <v/>
      </c>
      <c r="AC1293" s="32">
        <f>IF(OR($AB1293="",LEFT($AB1293,1)="—"),"",IF(OR($AB1293="מיקוד בשטף קריאה",$AB1293="מיקוד בשטף הקריאה ובכישורי שפה"),"רמה א'",IF($AB1293="קוראים וכותבים מיומנים","רמה ג'","רמה ב'")))</f>
        <v/>
      </c>
      <c r="AD1293" s="32">
        <f>IF($AC1293="","",MID(IF(AND($AC1293="רמה א'",$AA1293="ניכרת"),"; להוסיף עבודת אוצר מילים","")&amp;IF($Z1293="אינה מפותחת","; דגש על הבעה בכתב","")&amp;IF($K1293&lt;&gt;"תקין","; נדרש לעבוד על ההנגנה","")&amp;IF($AK1293&lt;&gt;"","; "&amp;$AK1293,""),3,400))</f>
        <v/>
      </c>
      <c r="AE1293" s="32">
        <f>IF($F1293="","",IF($F1293="תחילת שנה",1,IF($F1293="מחצית שנה",2,3)))</f>
        <v/>
      </c>
      <c r="AF1293" s="32">
        <f>IF(OR($B1293="",$AC1293="",$A1293="",$F1293=""),"",$B1293&amp;"|"&amp;$A1293&amp;"|"&amp;$F1293&amp;"|"&amp;$AC1293&amp;"|"&amp;COUNTIFS($B$6:$B1293,$B1293,$A$6:$A1293,$A1293,$F$6:$F1293,$F1293,$AC$6:$AC1293,$AC1293))</f>
        <v/>
      </c>
      <c r="AG1293" s="32">
        <f>IF($C1293="","",$C1293&amp;"|"&amp;COUNTIFS($C$6:$C1293,$C1293))</f>
        <v/>
      </c>
      <c r="AH1293" s="32">
        <f>IF(OR($C1293="",$A1293="",$AE1293=""),"",$C1293&amp;"|"&amp;$A1293&amp;"|"&amp;$AE1293)</f>
        <v/>
      </c>
      <c r="AI1293" s="32">
        <f>IF(OR($C1293="",$AE1293="",$AE1293=1),"",IFERROR(INDEX($AC$6:$AC$1505,MATCH($C1293&amp;"|"&amp;$A1293&amp;"|"&amp;($AE1293-1),$AH$6:$AH$1505,0)),""))</f>
        <v/>
      </c>
      <c r="AJ1293" s="32">
        <f>IF(OR($AI1293="",$AC1293=""),"",IF($AI1293=$AC1293,"ללא שינוי","מ-"&amp;$AI1293&amp;" ל-"&amp;$AC1293))</f>
        <v/>
      </c>
      <c r="AK1293" s="67" t="n"/>
    </row>
    <row r="1294">
      <c r="A1294" s="65" t="n"/>
      <c r="B1294" s="65" t="n"/>
      <c r="C1294" s="66" t="n"/>
      <c r="D1294" s="66" t="n"/>
      <c r="E1294" s="65" t="n"/>
      <c r="F1294" s="65" t="n"/>
      <c r="G1294" s="65" t="n"/>
      <c r="H1294" s="65" t="n"/>
      <c r="I1294" s="65" t="n"/>
      <c r="J1294" s="65" t="n"/>
      <c r="K1294" s="65" t="n"/>
      <c r="L1294" s="65" t="n"/>
      <c r="M1294" s="65" t="n"/>
      <c r="N1294" s="65" t="n"/>
      <c r="O1294" s="65" t="n"/>
      <c r="P1294" s="65" t="n"/>
      <c r="Q1294" s="65" t="n"/>
      <c r="R1294" s="65" t="n"/>
      <c r="S1294" s="65" t="n"/>
      <c r="T1294" s="65" t="n"/>
      <c r="U1294" s="65" t="n"/>
      <c r="V1294" s="65" t="n"/>
      <c r="W1294" s="65" t="n"/>
      <c r="X1294" s="65" t="n"/>
      <c r="Y1294" s="32">
        <f>IF($C1294="","",IF(COUNTA($I1294:$K1294)&lt;3,"— חסרים נתונים",IF(AND($I1294="תקין",$J1294="תקין",$K1294="תקין"),"רהוטה",IF(AND($I1294="תקין",$J1294="תקין"),"מדויקת ורציפה","אינה מדויקת או מקוטעת"))))</f>
        <v/>
      </c>
      <c r="Z1294" s="32">
        <f>IF($C1294="","",IF(COUNTA($U1294:$W1294)&lt;3,"",IF(AND($U1294="מפותח",$V1294="מפותח",$W1294="מפותחת"),"מפותחת",IF((--($U1294="דל"))+(--($V1294="אינו מפותח"))+(--($W1294="דלה"))&gt;=2,"אינה מפותחת","חלקית"))))</f>
        <v/>
      </c>
      <c r="AA1294" s="32">
        <f>IF($C1294="","",IF(COUNTA($M1294,$N1294,$O1294)&lt;3,"— חסרים נתונים",IF(OR($M1294="נמוכה",(--($M1294&lt;&gt;"תקינה"))+(--($N1294&lt;&gt;"תקין"))+(--($O1294&lt;&gt;"תקינה"))&gt;=2),"ניכרת","אינה ניכרת")))</f>
        <v/>
      </c>
      <c r="AB1294" s="32">
        <f>IF(OR($C1294="",$Y1294="",$AA1294="",LEFT($Y1294,1)="—",LEFT($AA1294,1)="—"),"",IF($Z1294="","— נדרשת הערכת כתיבה",IF($L1294="","— חסרה הבנת הנקרא",IF($Y1294="אינה מדויקת או מקוטעת",IF($AA1294="ניכרת","מיקוד בשטף הקריאה ובכישורי שפה","מיקוד בשטף קריאה"),IF($AA1294="ניכרת","מיקוד בכישורי שפה",IF(AND($L1294="תקינה",$Z1294="מפותחת"),"קוראים וכותבים מיומנים","מיקוד בהבנה והבעה"))))))</f>
        <v/>
      </c>
      <c r="AC1294" s="32">
        <f>IF(OR($AB1294="",LEFT($AB1294,1)="—"),"",IF(OR($AB1294="מיקוד בשטף קריאה",$AB1294="מיקוד בשטף הקריאה ובכישורי שפה"),"רמה א'",IF($AB1294="קוראים וכותבים מיומנים","רמה ג'","רמה ב'")))</f>
        <v/>
      </c>
      <c r="AD1294" s="32">
        <f>IF($AC1294="","",MID(IF(AND($AC1294="רמה א'",$AA1294="ניכרת"),"; להוסיף עבודת אוצר מילים","")&amp;IF($Z1294="אינה מפותחת","; דגש על הבעה בכתב","")&amp;IF($K1294&lt;&gt;"תקין","; נדרש לעבוד על ההנגנה","")&amp;IF($AK1294&lt;&gt;"","; "&amp;$AK1294,""),3,400))</f>
        <v/>
      </c>
      <c r="AE1294" s="32">
        <f>IF($F1294="","",IF($F1294="תחילת שנה",1,IF($F1294="מחצית שנה",2,3)))</f>
        <v/>
      </c>
      <c r="AF1294" s="32">
        <f>IF(OR($B1294="",$AC1294="",$A1294="",$F1294=""),"",$B1294&amp;"|"&amp;$A1294&amp;"|"&amp;$F1294&amp;"|"&amp;$AC1294&amp;"|"&amp;COUNTIFS($B$6:$B1294,$B1294,$A$6:$A1294,$A1294,$F$6:$F1294,$F1294,$AC$6:$AC1294,$AC1294))</f>
        <v/>
      </c>
      <c r="AG1294" s="32">
        <f>IF($C1294="","",$C1294&amp;"|"&amp;COUNTIFS($C$6:$C1294,$C1294))</f>
        <v/>
      </c>
      <c r="AH1294" s="32">
        <f>IF(OR($C1294="",$A1294="",$AE1294=""),"",$C1294&amp;"|"&amp;$A1294&amp;"|"&amp;$AE1294)</f>
        <v/>
      </c>
      <c r="AI1294" s="32">
        <f>IF(OR($C1294="",$AE1294="",$AE1294=1),"",IFERROR(INDEX($AC$6:$AC$1505,MATCH($C1294&amp;"|"&amp;$A1294&amp;"|"&amp;($AE1294-1),$AH$6:$AH$1505,0)),""))</f>
        <v/>
      </c>
      <c r="AJ1294" s="32">
        <f>IF(OR($AI1294="",$AC1294=""),"",IF($AI1294=$AC1294,"ללא שינוי","מ-"&amp;$AI1294&amp;" ל-"&amp;$AC1294))</f>
        <v/>
      </c>
      <c r="AK1294" s="67" t="n"/>
    </row>
    <row r="1295">
      <c r="A1295" s="65" t="n"/>
      <c r="B1295" s="65" t="n"/>
      <c r="C1295" s="66" t="n"/>
      <c r="D1295" s="66" t="n"/>
      <c r="E1295" s="65" t="n"/>
      <c r="F1295" s="65" t="n"/>
      <c r="G1295" s="65" t="n"/>
      <c r="H1295" s="65" t="n"/>
      <c r="I1295" s="65" t="n"/>
      <c r="J1295" s="65" t="n"/>
      <c r="K1295" s="65" t="n"/>
      <c r="L1295" s="65" t="n"/>
      <c r="M1295" s="65" t="n"/>
      <c r="N1295" s="65" t="n"/>
      <c r="O1295" s="65" t="n"/>
      <c r="P1295" s="65" t="n"/>
      <c r="Q1295" s="65" t="n"/>
      <c r="R1295" s="65" t="n"/>
      <c r="S1295" s="65" t="n"/>
      <c r="T1295" s="65" t="n"/>
      <c r="U1295" s="65" t="n"/>
      <c r="V1295" s="65" t="n"/>
      <c r="W1295" s="65" t="n"/>
      <c r="X1295" s="65" t="n"/>
      <c r="Y1295" s="32">
        <f>IF($C1295="","",IF(COUNTA($I1295:$K1295)&lt;3,"— חסרים נתונים",IF(AND($I1295="תקין",$J1295="תקין",$K1295="תקין"),"רהוטה",IF(AND($I1295="תקין",$J1295="תקין"),"מדויקת ורציפה","אינה מדויקת או מקוטעת"))))</f>
        <v/>
      </c>
      <c r="Z1295" s="32">
        <f>IF($C1295="","",IF(COUNTA($U1295:$W1295)&lt;3,"",IF(AND($U1295="מפותח",$V1295="מפותח",$W1295="מפותחת"),"מפותחת",IF((--($U1295="דל"))+(--($V1295="אינו מפותח"))+(--($W1295="דלה"))&gt;=2,"אינה מפותחת","חלקית"))))</f>
        <v/>
      </c>
      <c r="AA1295" s="32">
        <f>IF($C1295="","",IF(COUNTA($M1295,$N1295,$O1295)&lt;3,"— חסרים נתונים",IF(OR($M1295="נמוכה",(--($M1295&lt;&gt;"תקינה"))+(--($N1295&lt;&gt;"תקין"))+(--($O1295&lt;&gt;"תקינה"))&gt;=2),"ניכרת","אינה ניכרת")))</f>
        <v/>
      </c>
      <c r="AB1295" s="32">
        <f>IF(OR($C1295="",$Y1295="",$AA1295="",LEFT($Y1295,1)="—",LEFT($AA1295,1)="—"),"",IF($Z1295="","— נדרשת הערכת כתיבה",IF($L1295="","— חסרה הבנת הנקרא",IF($Y1295="אינה מדויקת או מקוטעת",IF($AA1295="ניכרת","מיקוד בשטף הקריאה ובכישורי שפה","מיקוד בשטף קריאה"),IF($AA1295="ניכרת","מיקוד בכישורי שפה",IF(AND($L1295="תקינה",$Z1295="מפותחת"),"קוראים וכותבים מיומנים","מיקוד בהבנה והבעה"))))))</f>
        <v/>
      </c>
      <c r="AC1295" s="32">
        <f>IF(OR($AB1295="",LEFT($AB1295,1)="—"),"",IF(OR($AB1295="מיקוד בשטף קריאה",$AB1295="מיקוד בשטף הקריאה ובכישורי שפה"),"רמה א'",IF($AB1295="קוראים וכותבים מיומנים","רמה ג'","רמה ב'")))</f>
        <v/>
      </c>
      <c r="AD1295" s="32">
        <f>IF($AC1295="","",MID(IF(AND($AC1295="רמה א'",$AA1295="ניכרת"),"; להוסיף עבודת אוצר מילים","")&amp;IF($Z1295="אינה מפותחת","; דגש על הבעה בכתב","")&amp;IF($K1295&lt;&gt;"תקין","; נדרש לעבוד על ההנגנה","")&amp;IF($AK1295&lt;&gt;"","; "&amp;$AK1295,""),3,400))</f>
        <v/>
      </c>
      <c r="AE1295" s="32">
        <f>IF($F1295="","",IF($F1295="תחילת שנה",1,IF($F1295="מחצית שנה",2,3)))</f>
        <v/>
      </c>
      <c r="AF1295" s="32">
        <f>IF(OR($B1295="",$AC1295="",$A1295="",$F1295=""),"",$B1295&amp;"|"&amp;$A1295&amp;"|"&amp;$F1295&amp;"|"&amp;$AC1295&amp;"|"&amp;COUNTIFS($B$6:$B1295,$B1295,$A$6:$A1295,$A1295,$F$6:$F1295,$F1295,$AC$6:$AC1295,$AC1295))</f>
        <v/>
      </c>
      <c r="AG1295" s="32">
        <f>IF($C1295="","",$C1295&amp;"|"&amp;COUNTIFS($C$6:$C1295,$C1295))</f>
        <v/>
      </c>
      <c r="AH1295" s="32">
        <f>IF(OR($C1295="",$A1295="",$AE1295=""),"",$C1295&amp;"|"&amp;$A1295&amp;"|"&amp;$AE1295)</f>
        <v/>
      </c>
      <c r="AI1295" s="32">
        <f>IF(OR($C1295="",$AE1295="",$AE1295=1),"",IFERROR(INDEX($AC$6:$AC$1505,MATCH($C1295&amp;"|"&amp;$A1295&amp;"|"&amp;($AE1295-1),$AH$6:$AH$1505,0)),""))</f>
        <v/>
      </c>
      <c r="AJ1295" s="32">
        <f>IF(OR($AI1295="",$AC1295=""),"",IF($AI1295=$AC1295,"ללא שינוי","מ-"&amp;$AI1295&amp;" ל-"&amp;$AC1295))</f>
        <v/>
      </c>
      <c r="AK1295" s="67" t="n"/>
    </row>
    <row r="1296">
      <c r="A1296" s="65" t="n"/>
      <c r="B1296" s="65" t="n"/>
      <c r="C1296" s="66" t="n"/>
      <c r="D1296" s="66" t="n"/>
      <c r="E1296" s="65" t="n"/>
      <c r="F1296" s="65" t="n"/>
      <c r="G1296" s="65" t="n"/>
      <c r="H1296" s="65" t="n"/>
      <c r="I1296" s="65" t="n"/>
      <c r="J1296" s="65" t="n"/>
      <c r="K1296" s="65" t="n"/>
      <c r="L1296" s="65" t="n"/>
      <c r="M1296" s="65" t="n"/>
      <c r="N1296" s="65" t="n"/>
      <c r="O1296" s="65" t="n"/>
      <c r="P1296" s="65" t="n"/>
      <c r="Q1296" s="65" t="n"/>
      <c r="R1296" s="65" t="n"/>
      <c r="S1296" s="65" t="n"/>
      <c r="T1296" s="65" t="n"/>
      <c r="U1296" s="65" t="n"/>
      <c r="V1296" s="65" t="n"/>
      <c r="W1296" s="65" t="n"/>
      <c r="X1296" s="65" t="n"/>
      <c r="Y1296" s="32">
        <f>IF($C1296="","",IF(COUNTA($I1296:$K1296)&lt;3,"— חסרים נתונים",IF(AND($I1296="תקין",$J1296="תקין",$K1296="תקין"),"רהוטה",IF(AND($I1296="תקין",$J1296="תקין"),"מדויקת ורציפה","אינה מדויקת או מקוטעת"))))</f>
        <v/>
      </c>
      <c r="Z1296" s="32">
        <f>IF($C1296="","",IF(COUNTA($U1296:$W1296)&lt;3,"",IF(AND($U1296="מפותח",$V1296="מפותח",$W1296="מפותחת"),"מפותחת",IF((--($U1296="דל"))+(--($V1296="אינו מפותח"))+(--($W1296="דלה"))&gt;=2,"אינה מפותחת","חלקית"))))</f>
        <v/>
      </c>
      <c r="AA1296" s="32">
        <f>IF($C1296="","",IF(COUNTA($M1296,$N1296,$O1296)&lt;3,"— חסרים נתונים",IF(OR($M1296="נמוכה",(--($M1296&lt;&gt;"תקינה"))+(--($N1296&lt;&gt;"תקין"))+(--($O1296&lt;&gt;"תקינה"))&gt;=2),"ניכרת","אינה ניכרת")))</f>
        <v/>
      </c>
      <c r="AB1296" s="32">
        <f>IF(OR($C1296="",$Y1296="",$AA1296="",LEFT($Y1296,1)="—",LEFT($AA1296,1)="—"),"",IF($Z1296="","— נדרשת הערכת כתיבה",IF($L1296="","— חסרה הבנת הנקרא",IF($Y1296="אינה מדויקת או מקוטעת",IF($AA1296="ניכרת","מיקוד בשטף הקריאה ובכישורי שפה","מיקוד בשטף קריאה"),IF($AA1296="ניכרת","מיקוד בכישורי שפה",IF(AND($L1296="תקינה",$Z1296="מפותחת"),"קוראים וכותבים מיומנים","מיקוד בהבנה והבעה"))))))</f>
        <v/>
      </c>
      <c r="AC1296" s="32">
        <f>IF(OR($AB1296="",LEFT($AB1296,1)="—"),"",IF(OR($AB1296="מיקוד בשטף קריאה",$AB1296="מיקוד בשטף הקריאה ובכישורי שפה"),"רמה א'",IF($AB1296="קוראים וכותבים מיומנים","רמה ג'","רמה ב'")))</f>
        <v/>
      </c>
      <c r="AD1296" s="32">
        <f>IF($AC1296="","",MID(IF(AND($AC1296="רמה א'",$AA1296="ניכרת"),"; להוסיף עבודת אוצר מילים","")&amp;IF($Z1296="אינה מפותחת","; דגש על הבעה בכתב","")&amp;IF($K1296&lt;&gt;"תקין","; נדרש לעבוד על ההנגנה","")&amp;IF($AK1296&lt;&gt;"","; "&amp;$AK1296,""),3,400))</f>
        <v/>
      </c>
      <c r="AE1296" s="32">
        <f>IF($F1296="","",IF($F1296="תחילת שנה",1,IF($F1296="מחצית שנה",2,3)))</f>
        <v/>
      </c>
      <c r="AF1296" s="32">
        <f>IF(OR($B1296="",$AC1296="",$A1296="",$F1296=""),"",$B1296&amp;"|"&amp;$A1296&amp;"|"&amp;$F1296&amp;"|"&amp;$AC1296&amp;"|"&amp;COUNTIFS($B$6:$B1296,$B1296,$A$6:$A1296,$A1296,$F$6:$F1296,$F1296,$AC$6:$AC1296,$AC1296))</f>
        <v/>
      </c>
      <c r="AG1296" s="32">
        <f>IF($C1296="","",$C1296&amp;"|"&amp;COUNTIFS($C$6:$C1296,$C1296))</f>
        <v/>
      </c>
      <c r="AH1296" s="32">
        <f>IF(OR($C1296="",$A1296="",$AE1296=""),"",$C1296&amp;"|"&amp;$A1296&amp;"|"&amp;$AE1296)</f>
        <v/>
      </c>
      <c r="AI1296" s="32">
        <f>IF(OR($C1296="",$AE1296="",$AE1296=1),"",IFERROR(INDEX($AC$6:$AC$1505,MATCH($C1296&amp;"|"&amp;$A1296&amp;"|"&amp;($AE1296-1),$AH$6:$AH$1505,0)),""))</f>
        <v/>
      </c>
      <c r="AJ1296" s="32">
        <f>IF(OR($AI1296="",$AC1296=""),"",IF($AI1296=$AC1296,"ללא שינוי","מ-"&amp;$AI1296&amp;" ל-"&amp;$AC1296))</f>
        <v/>
      </c>
      <c r="AK1296" s="67" t="n"/>
    </row>
    <row r="1297">
      <c r="A1297" s="65" t="n"/>
      <c r="B1297" s="65" t="n"/>
      <c r="C1297" s="66" t="n"/>
      <c r="D1297" s="66" t="n"/>
      <c r="E1297" s="65" t="n"/>
      <c r="F1297" s="65" t="n"/>
      <c r="G1297" s="65" t="n"/>
      <c r="H1297" s="65" t="n"/>
      <c r="I1297" s="65" t="n"/>
      <c r="J1297" s="65" t="n"/>
      <c r="K1297" s="65" t="n"/>
      <c r="L1297" s="65" t="n"/>
      <c r="M1297" s="65" t="n"/>
      <c r="N1297" s="65" t="n"/>
      <c r="O1297" s="65" t="n"/>
      <c r="P1297" s="65" t="n"/>
      <c r="Q1297" s="65" t="n"/>
      <c r="R1297" s="65" t="n"/>
      <c r="S1297" s="65" t="n"/>
      <c r="T1297" s="65" t="n"/>
      <c r="U1297" s="65" t="n"/>
      <c r="V1297" s="65" t="n"/>
      <c r="W1297" s="65" t="n"/>
      <c r="X1297" s="65" t="n"/>
      <c r="Y1297" s="32">
        <f>IF($C1297="","",IF(COUNTA($I1297:$K1297)&lt;3,"— חסרים נתונים",IF(AND($I1297="תקין",$J1297="תקין",$K1297="תקין"),"רהוטה",IF(AND($I1297="תקין",$J1297="תקין"),"מדויקת ורציפה","אינה מדויקת או מקוטעת"))))</f>
        <v/>
      </c>
      <c r="Z1297" s="32">
        <f>IF($C1297="","",IF(COUNTA($U1297:$W1297)&lt;3,"",IF(AND($U1297="מפותח",$V1297="מפותח",$W1297="מפותחת"),"מפותחת",IF((--($U1297="דל"))+(--($V1297="אינו מפותח"))+(--($W1297="דלה"))&gt;=2,"אינה מפותחת","חלקית"))))</f>
        <v/>
      </c>
      <c r="AA1297" s="32">
        <f>IF($C1297="","",IF(COUNTA($M1297,$N1297,$O1297)&lt;3,"— חסרים נתונים",IF(OR($M1297="נמוכה",(--($M1297&lt;&gt;"תקינה"))+(--($N1297&lt;&gt;"תקין"))+(--($O1297&lt;&gt;"תקינה"))&gt;=2),"ניכרת","אינה ניכרת")))</f>
        <v/>
      </c>
      <c r="AB1297" s="32">
        <f>IF(OR($C1297="",$Y1297="",$AA1297="",LEFT($Y1297,1)="—",LEFT($AA1297,1)="—"),"",IF($Z1297="","— נדרשת הערכת כתיבה",IF($L1297="","— חסרה הבנת הנקרא",IF($Y1297="אינה מדויקת או מקוטעת",IF($AA1297="ניכרת","מיקוד בשטף הקריאה ובכישורי שפה","מיקוד בשטף קריאה"),IF($AA1297="ניכרת","מיקוד בכישורי שפה",IF(AND($L1297="תקינה",$Z1297="מפותחת"),"קוראים וכותבים מיומנים","מיקוד בהבנה והבעה"))))))</f>
        <v/>
      </c>
      <c r="AC1297" s="32">
        <f>IF(OR($AB1297="",LEFT($AB1297,1)="—"),"",IF(OR($AB1297="מיקוד בשטף קריאה",$AB1297="מיקוד בשטף הקריאה ובכישורי שפה"),"רמה א'",IF($AB1297="קוראים וכותבים מיומנים","רמה ג'","רמה ב'")))</f>
        <v/>
      </c>
      <c r="AD1297" s="32">
        <f>IF($AC1297="","",MID(IF(AND($AC1297="רמה א'",$AA1297="ניכרת"),"; להוסיף עבודת אוצר מילים","")&amp;IF($Z1297="אינה מפותחת","; דגש על הבעה בכתב","")&amp;IF($K1297&lt;&gt;"תקין","; נדרש לעבוד על ההנגנה","")&amp;IF($AK1297&lt;&gt;"","; "&amp;$AK1297,""),3,400))</f>
        <v/>
      </c>
      <c r="AE1297" s="32">
        <f>IF($F1297="","",IF($F1297="תחילת שנה",1,IF($F1297="מחצית שנה",2,3)))</f>
        <v/>
      </c>
      <c r="AF1297" s="32">
        <f>IF(OR($B1297="",$AC1297="",$A1297="",$F1297=""),"",$B1297&amp;"|"&amp;$A1297&amp;"|"&amp;$F1297&amp;"|"&amp;$AC1297&amp;"|"&amp;COUNTIFS($B$6:$B1297,$B1297,$A$6:$A1297,$A1297,$F$6:$F1297,$F1297,$AC$6:$AC1297,$AC1297))</f>
        <v/>
      </c>
      <c r="AG1297" s="32">
        <f>IF($C1297="","",$C1297&amp;"|"&amp;COUNTIFS($C$6:$C1297,$C1297))</f>
        <v/>
      </c>
      <c r="AH1297" s="32">
        <f>IF(OR($C1297="",$A1297="",$AE1297=""),"",$C1297&amp;"|"&amp;$A1297&amp;"|"&amp;$AE1297)</f>
        <v/>
      </c>
      <c r="AI1297" s="32">
        <f>IF(OR($C1297="",$AE1297="",$AE1297=1),"",IFERROR(INDEX($AC$6:$AC$1505,MATCH($C1297&amp;"|"&amp;$A1297&amp;"|"&amp;($AE1297-1),$AH$6:$AH$1505,0)),""))</f>
        <v/>
      </c>
      <c r="AJ1297" s="32">
        <f>IF(OR($AI1297="",$AC1297=""),"",IF($AI1297=$AC1297,"ללא שינוי","מ-"&amp;$AI1297&amp;" ל-"&amp;$AC1297))</f>
        <v/>
      </c>
      <c r="AK1297" s="67" t="n"/>
    </row>
    <row r="1298">
      <c r="A1298" s="65" t="n"/>
      <c r="B1298" s="65" t="n"/>
      <c r="C1298" s="66" t="n"/>
      <c r="D1298" s="66" t="n"/>
      <c r="E1298" s="65" t="n"/>
      <c r="F1298" s="65" t="n"/>
      <c r="G1298" s="65" t="n"/>
      <c r="H1298" s="65" t="n"/>
      <c r="I1298" s="65" t="n"/>
      <c r="J1298" s="65" t="n"/>
      <c r="K1298" s="65" t="n"/>
      <c r="L1298" s="65" t="n"/>
      <c r="M1298" s="65" t="n"/>
      <c r="N1298" s="65" t="n"/>
      <c r="O1298" s="65" t="n"/>
      <c r="P1298" s="65" t="n"/>
      <c r="Q1298" s="65" t="n"/>
      <c r="R1298" s="65" t="n"/>
      <c r="S1298" s="65" t="n"/>
      <c r="T1298" s="65" t="n"/>
      <c r="U1298" s="65" t="n"/>
      <c r="V1298" s="65" t="n"/>
      <c r="W1298" s="65" t="n"/>
      <c r="X1298" s="65" t="n"/>
      <c r="Y1298" s="32">
        <f>IF($C1298="","",IF(COUNTA($I1298:$K1298)&lt;3,"— חסרים נתונים",IF(AND($I1298="תקין",$J1298="תקין",$K1298="תקין"),"רהוטה",IF(AND($I1298="תקין",$J1298="תקין"),"מדויקת ורציפה","אינה מדויקת או מקוטעת"))))</f>
        <v/>
      </c>
      <c r="Z1298" s="32">
        <f>IF($C1298="","",IF(COUNTA($U1298:$W1298)&lt;3,"",IF(AND($U1298="מפותח",$V1298="מפותח",$W1298="מפותחת"),"מפותחת",IF((--($U1298="דל"))+(--($V1298="אינו מפותח"))+(--($W1298="דלה"))&gt;=2,"אינה מפותחת","חלקית"))))</f>
        <v/>
      </c>
      <c r="AA1298" s="32">
        <f>IF($C1298="","",IF(COUNTA($M1298,$N1298,$O1298)&lt;3,"— חסרים נתונים",IF(OR($M1298="נמוכה",(--($M1298&lt;&gt;"תקינה"))+(--($N1298&lt;&gt;"תקין"))+(--($O1298&lt;&gt;"תקינה"))&gt;=2),"ניכרת","אינה ניכרת")))</f>
        <v/>
      </c>
      <c r="AB1298" s="32">
        <f>IF(OR($C1298="",$Y1298="",$AA1298="",LEFT($Y1298,1)="—",LEFT($AA1298,1)="—"),"",IF($Z1298="","— נדרשת הערכת כתיבה",IF($L1298="","— חסרה הבנת הנקרא",IF($Y1298="אינה מדויקת או מקוטעת",IF($AA1298="ניכרת","מיקוד בשטף הקריאה ובכישורי שפה","מיקוד בשטף קריאה"),IF($AA1298="ניכרת","מיקוד בכישורי שפה",IF(AND($L1298="תקינה",$Z1298="מפותחת"),"קוראים וכותבים מיומנים","מיקוד בהבנה והבעה"))))))</f>
        <v/>
      </c>
      <c r="AC1298" s="32">
        <f>IF(OR($AB1298="",LEFT($AB1298,1)="—"),"",IF(OR($AB1298="מיקוד בשטף קריאה",$AB1298="מיקוד בשטף הקריאה ובכישורי שפה"),"רמה א'",IF($AB1298="קוראים וכותבים מיומנים","רמה ג'","רמה ב'")))</f>
        <v/>
      </c>
      <c r="AD1298" s="32">
        <f>IF($AC1298="","",MID(IF(AND($AC1298="רמה א'",$AA1298="ניכרת"),"; להוסיף עבודת אוצר מילים","")&amp;IF($Z1298="אינה מפותחת","; דגש על הבעה בכתב","")&amp;IF($K1298&lt;&gt;"תקין","; נדרש לעבוד על ההנגנה","")&amp;IF($AK1298&lt;&gt;"","; "&amp;$AK1298,""),3,400))</f>
        <v/>
      </c>
      <c r="AE1298" s="32">
        <f>IF($F1298="","",IF($F1298="תחילת שנה",1,IF($F1298="מחצית שנה",2,3)))</f>
        <v/>
      </c>
      <c r="AF1298" s="32">
        <f>IF(OR($B1298="",$AC1298="",$A1298="",$F1298=""),"",$B1298&amp;"|"&amp;$A1298&amp;"|"&amp;$F1298&amp;"|"&amp;$AC1298&amp;"|"&amp;COUNTIFS($B$6:$B1298,$B1298,$A$6:$A1298,$A1298,$F$6:$F1298,$F1298,$AC$6:$AC1298,$AC1298))</f>
        <v/>
      </c>
      <c r="AG1298" s="32">
        <f>IF($C1298="","",$C1298&amp;"|"&amp;COUNTIFS($C$6:$C1298,$C1298))</f>
        <v/>
      </c>
      <c r="AH1298" s="32">
        <f>IF(OR($C1298="",$A1298="",$AE1298=""),"",$C1298&amp;"|"&amp;$A1298&amp;"|"&amp;$AE1298)</f>
        <v/>
      </c>
      <c r="AI1298" s="32">
        <f>IF(OR($C1298="",$AE1298="",$AE1298=1),"",IFERROR(INDEX($AC$6:$AC$1505,MATCH($C1298&amp;"|"&amp;$A1298&amp;"|"&amp;($AE1298-1),$AH$6:$AH$1505,0)),""))</f>
        <v/>
      </c>
      <c r="AJ1298" s="32">
        <f>IF(OR($AI1298="",$AC1298=""),"",IF($AI1298=$AC1298,"ללא שינוי","מ-"&amp;$AI1298&amp;" ל-"&amp;$AC1298))</f>
        <v/>
      </c>
      <c r="AK1298" s="67" t="n"/>
    </row>
    <row r="1299">
      <c r="A1299" s="65" t="n"/>
      <c r="B1299" s="65" t="n"/>
      <c r="C1299" s="66" t="n"/>
      <c r="D1299" s="66" t="n"/>
      <c r="E1299" s="65" t="n"/>
      <c r="F1299" s="65" t="n"/>
      <c r="G1299" s="65" t="n"/>
      <c r="H1299" s="65" t="n"/>
      <c r="I1299" s="65" t="n"/>
      <c r="J1299" s="65" t="n"/>
      <c r="K1299" s="65" t="n"/>
      <c r="L1299" s="65" t="n"/>
      <c r="M1299" s="65" t="n"/>
      <c r="N1299" s="65" t="n"/>
      <c r="O1299" s="65" t="n"/>
      <c r="P1299" s="65" t="n"/>
      <c r="Q1299" s="65" t="n"/>
      <c r="R1299" s="65" t="n"/>
      <c r="S1299" s="65" t="n"/>
      <c r="T1299" s="65" t="n"/>
      <c r="U1299" s="65" t="n"/>
      <c r="V1299" s="65" t="n"/>
      <c r="W1299" s="65" t="n"/>
      <c r="X1299" s="65" t="n"/>
      <c r="Y1299" s="32">
        <f>IF($C1299="","",IF(COUNTA($I1299:$K1299)&lt;3,"— חסרים נתונים",IF(AND($I1299="תקין",$J1299="תקין",$K1299="תקין"),"רהוטה",IF(AND($I1299="תקין",$J1299="תקין"),"מדויקת ורציפה","אינה מדויקת או מקוטעת"))))</f>
        <v/>
      </c>
      <c r="Z1299" s="32">
        <f>IF($C1299="","",IF(COUNTA($U1299:$W1299)&lt;3,"",IF(AND($U1299="מפותח",$V1299="מפותח",$W1299="מפותחת"),"מפותחת",IF((--($U1299="דל"))+(--($V1299="אינו מפותח"))+(--($W1299="דלה"))&gt;=2,"אינה מפותחת","חלקית"))))</f>
        <v/>
      </c>
      <c r="AA1299" s="32">
        <f>IF($C1299="","",IF(COUNTA($M1299,$N1299,$O1299)&lt;3,"— חסרים נתונים",IF(OR($M1299="נמוכה",(--($M1299&lt;&gt;"תקינה"))+(--($N1299&lt;&gt;"תקין"))+(--($O1299&lt;&gt;"תקינה"))&gt;=2),"ניכרת","אינה ניכרת")))</f>
        <v/>
      </c>
      <c r="AB1299" s="32">
        <f>IF(OR($C1299="",$Y1299="",$AA1299="",LEFT($Y1299,1)="—",LEFT($AA1299,1)="—"),"",IF($Z1299="","— נדרשת הערכת כתיבה",IF($L1299="","— חסרה הבנת הנקרא",IF($Y1299="אינה מדויקת או מקוטעת",IF($AA1299="ניכרת","מיקוד בשטף הקריאה ובכישורי שפה","מיקוד בשטף קריאה"),IF($AA1299="ניכרת","מיקוד בכישורי שפה",IF(AND($L1299="תקינה",$Z1299="מפותחת"),"קוראים וכותבים מיומנים","מיקוד בהבנה והבעה"))))))</f>
        <v/>
      </c>
      <c r="AC1299" s="32">
        <f>IF(OR($AB1299="",LEFT($AB1299,1)="—"),"",IF(OR($AB1299="מיקוד בשטף קריאה",$AB1299="מיקוד בשטף הקריאה ובכישורי שפה"),"רמה א'",IF($AB1299="קוראים וכותבים מיומנים","רמה ג'","רמה ב'")))</f>
        <v/>
      </c>
      <c r="AD1299" s="32">
        <f>IF($AC1299="","",MID(IF(AND($AC1299="רמה א'",$AA1299="ניכרת"),"; להוסיף עבודת אוצר מילים","")&amp;IF($Z1299="אינה מפותחת","; דגש על הבעה בכתב","")&amp;IF($K1299&lt;&gt;"תקין","; נדרש לעבוד על ההנגנה","")&amp;IF($AK1299&lt;&gt;"","; "&amp;$AK1299,""),3,400))</f>
        <v/>
      </c>
      <c r="AE1299" s="32">
        <f>IF($F1299="","",IF($F1299="תחילת שנה",1,IF($F1299="מחצית שנה",2,3)))</f>
        <v/>
      </c>
      <c r="AF1299" s="32">
        <f>IF(OR($B1299="",$AC1299="",$A1299="",$F1299=""),"",$B1299&amp;"|"&amp;$A1299&amp;"|"&amp;$F1299&amp;"|"&amp;$AC1299&amp;"|"&amp;COUNTIFS($B$6:$B1299,$B1299,$A$6:$A1299,$A1299,$F$6:$F1299,$F1299,$AC$6:$AC1299,$AC1299))</f>
        <v/>
      </c>
      <c r="AG1299" s="32">
        <f>IF($C1299="","",$C1299&amp;"|"&amp;COUNTIFS($C$6:$C1299,$C1299))</f>
        <v/>
      </c>
      <c r="AH1299" s="32">
        <f>IF(OR($C1299="",$A1299="",$AE1299=""),"",$C1299&amp;"|"&amp;$A1299&amp;"|"&amp;$AE1299)</f>
        <v/>
      </c>
      <c r="AI1299" s="32">
        <f>IF(OR($C1299="",$AE1299="",$AE1299=1),"",IFERROR(INDEX($AC$6:$AC$1505,MATCH($C1299&amp;"|"&amp;$A1299&amp;"|"&amp;($AE1299-1),$AH$6:$AH$1505,0)),""))</f>
        <v/>
      </c>
      <c r="AJ1299" s="32">
        <f>IF(OR($AI1299="",$AC1299=""),"",IF($AI1299=$AC1299,"ללא שינוי","מ-"&amp;$AI1299&amp;" ל-"&amp;$AC1299))</f>
        <v/>
      </c>
      <c r="AK1299" s="67" t="n"/>
    </row>
    <row r="1300">
      <c r="A1300" s="65" t="n"/>
      <c r="B1300" s="65" t="n"/>
      <c r="C1300" s="66" t="n"/>
      <c r="D1300" s="66" t="n"/>
      <c r="E1300" s="65" t="n"/>
      <c r="F1300" s="65" t="n"/>
      <c r="G1300" s="65" t="n"/>
      <c r="H1300" s="65" t="n"/>
      <c r="I1300" s="65" t="n"/>
      <c r="J1300" s="65" t="n"/>
      <c r="K1300" s="65" t="n"/>
      <c r="L1300" s="65" t="n"/>
      <c r="M1300" s="65" t="n"/>
      <c r="N1300" s="65" t="n"/>
      <c r="O1300" s="65" t="n"/>
      <c r="P1300" s="65" t="n"/>
      <c r="Q1300" s="65" t="n"/>
      <c r="R1300" s="65" t="n"/>
      <c r="S1300" s="65" t="n"/>
      <c r="T1300" s="65" t="n"/>
      <c r="U1300" s="65" t="n"/>
      <c r="V1300" s="65" t="n"/>
      <c r="W1300" s="65" t="n"/>
      <c r="X1300" s="65" t="n"/>
      <c r="Y1300" s="32">
        <f>IF($C1300="","",IF(COUNTA($I1300:$K1300)&lt;3,"— חסרים נתונים",IF(AND($I1300="תקין",$J1300="תקין",$K1300="תקין"),"רהוטה",IF(AND($I1300="תקין",$J1300="תקין"),"מדויקת ורציפה","אינה מדויקת או מקוטעת"))))</f>
        <v/>
      </c>
      <c r="Z1300" s="32">
        <f>IF($C1300="","",IF(COUNTA($U1300:$W1300)&lt;3,"",IF(AND($U1300="מפותח",$V1300="מפותח",$W1300="מפותחת"),"מפותחת",IF((--($U1300="דל"))+(--($V1300="אינו מפותח"))+(--($W1300="דלה"))&gt;=2,"אינה מפותחת","חלקית"))))</f>
        <v/>
      </c>
      <c r="AA1300" s="32">
        <f>IF($C1300="","",IF(COUNTA($M1300,$N1300,$O1300)&lt;3,"— חסרים נתונים",IF(OR($M1300="נמוכה",(--($M1300&lt;&gt;"תקינה"))+(--($N1300&lt;&gt;"תקין"))+(--($O1300&lt;&gt;"תקינה"))&gt;=2),"ניכרת","אינה ניכרת")))</f>
        <v/>
      </c>
      <c r="AB1300" s="32">
        <f>IF(OR($C1300="",$Y1300="",$AA1300="",LEFT($Y1300,1)="—",LEFT($AA1300,1)="—"),"",IF($Z1300="","— נדרשת הערכת כתיבה",IF($L1300="","— חסרה הבנת הנקרא",IF($Y1300="אינה מדויקת או מקוטעת",IF($AA1300="ניכרת","מיקוד בשטף הקריאה ובכישורי שפה","מיקוד בשטף קריאה"),IF($AA1300="ניכרת","מיקוד בכישורי שפה",IF(AND($L1300="תקינה",$Z1300="מפותחת"),"קוראים וכותבים מיומנים","מיקוד בהבנה והבעה"))))))</f>
        <v/>
      </c>
      <c r="AC1300" s="32">
        <f>IF(OR($AB1300="",LEFT($AB1300,1)="—"),"",IF(OR($AB1300="מיקוד בשטף קריאה",$AB1300="מיקוד בשטף הקריאה ובכישורי שפה"),"רמה א'",IF($AB1300="קוראים וכותבים מיומנים","רמה ג'","רמה ב'")))</f>
        <v/>
      </c>
      <c r="AD1300" s="32">
        <f>IF($AC1300="","",MID(IF(AND($AC1300="רמה א'",$AA1300="ניכרת"),"; להוסיף עבודת אוצר מילים","")&amp;IF($Z1300="אינה מפותחת","; דגש על הבעה בכתב","")&amp;IF($K1300&lt;&gt;"תקין","; נדרש לעבוד על ההנגנה","")&amp;IF($AK1300&lt;&gt;"","; "&amp;$AK1300,""),3,400))</f>
        <v/>
      </c>
      <c r="AE1300" s="32">
        <f>IF($F1300="","",IF($F1300="תחילת שנה",1,IF($F1300="מחצית שנה",2,3)))</f>
        <v/>
      </c>
      <c r="AF1300" s="32">
        <f>IF(OR($B1300="",$AC1300="",$A1300="",$F1300=""),"",$B1300&amp;"|"&amp;$A1300&amp;"|"&amp;$F1300&amp;"|"&amp;$AC1300&amp;"|"&amp;COUNTIFS($B$6:$B1300,$B1300,$A$6:$A1300,$A1300,$F$6:$F1300,$F1300,$AC$6:$AC1300,$AC1300))</f>
        <v/>
      </c>
      <c r="AG1300" s="32">
        <f>IF($C1300="","",$C1300&amp;"|"&amp;COUNTIFS($C$6:$C1300,$C1300))</f>
        <v/>
      </c>
      <c r="AH1300" s="32">
        <f>IF(OR($C1300="",$A1300="",$AE1300=""),"",$C1300&amp;"|"&amp;$A1300&amp;"|"&amp;$AE1300)</f>
        <v/>
      </c>
      <c r="AI1300" s="32">
        <f>IF(OR($C1300="",$AE1300="",$AE1300=1),"",IFERROR(INDEX($AC$6:$AC$1505,MATCH($C1300&amp;"|"&amp;$A1300&amp;"|"&amp;($AE1300-1),$AH$6:$AH$1505,0)),""))</f>
        <v/>
      </c>
      <c r="AJ1300" s="32">
        <f>IF(OR($AI1300="",$AC1300=""),"",IF($AI1300=$AC1300,"ללא שינוי","מ-"&amp;$AI1300&amp;" ל-"&amp;$AC1300))</f>
        <v/>
      </c>
      <c r="AK1300" s="67" t="n"/>
    </row>
    <row r="1301">
      <c r="A1301" s="65" t="n"/>
      <c r="B1301" s="65" t="n"/>
      <c r="C1301" s="66" t="n"/>
      <c r="D1301" s="66" t="n"/>
      <c r="E1301" s="65" t="n"/>
      <c r="F1301" s="65" t="n"/>
      <c r="G1301" s="65" t="n"/>
      <c r="H1301" s="65" t="n"/>
      <c r="I1301" s="65" t="n"/>
      <c r="J1301" s="65" t="n"/>
      <c r="K1301" s="65" t="n"/>
      <c r="L1301" s="65" t="n"/>
      <c r="M1301" s="65" t="n"/>
      <c r="N1301" s="65" t="n"/>
      <c r="O1301" s="65" t="n"/>
      <c r="P1301" s="65" t="n"/>
      <c r="Q1301" s="65" t="n"/>
      <c r="R1301" s="65" t="n"/>
      <c r="S1301" s="65" t="n"/>
      <c r="T1301" s="65" t="n"/>
      <c r="U1301" s="65" t="n"/>
      <c r="V1301" s="65" t="n"/>
      <c r="W1301" s="65" t="n"/>
      <c r="X1301" s="65" t="n"/>
      <c r="Y1301" s="32">
        <f>IF($C1301="","",IF(COUNTA($I1301:$K1301)&lt;3,"— חסרים נתונים",IF(AND($I1301="תקין",$J1301="תקין",$K1301="תקין"),"רהוטה",IF(AND($I1301="תקין",$J1301="תקין"),"מדויקת ורציפה","אינה מדויקת או מקוטעת"))))</f>
        <v/>
      </c>
      <c r="Z1301" s="32">
        <f>IF($C1301="","",IF(COUNTA($U1301:$W1301)&lt;3,"",IF(AND($U1301="מפותח",$V1301="מפותח",$W1301="מפותחת"),"מפותחת",IF((--($U1301="דל"))+(--($V1301="אינו מפותח"))+(--($W1301="דלה"))&gt;=2,"אינה מפותחת","חלקית"))))</f>
        <v/>
      </c>
      <c r="AA1301" s="32">
        <f>IF($C1301="","",IF(COUNTA($M1301,$N1301,$O1301)&lt;3,"— חסרים נתונים",IF(OR($M1301="נמוכה",(--($M1301&lt;&gt;"תקינה"))+(--($N1301&lt;&gt;"תקין"))+(--($O1301&lt;&gt;"תקינה"))&gt;=2),"ניכרת","אינה ניכרת")))</f>
        <v/>
      </c>
      <c r="AB1301" s="32">
        <f>IF(OR($C1301="",$Y1301="",$AA1301="",LEFT($Y1301,1)="—",LEFT($AA1301,1)="—"),"",IF($Z1301="","— נדרשת הערכת כתיבה",IF($L1301="","— חסרה הבנת הנקרא",IF($Y1301="אינה מדויקת או מקוטעת",IF($AA1301="ניכרת","מיקוד בשטף הקריאה ובכישורי שפה","מיקוד בשטף קריאה"),IF($AA1301="ניכרת","מיקוד בכישורי שפה",IF(AND($L1301="תקינה",$Z1301="מפותחת"),"קוראים וכותבים מיומנים","מיקוד בהבנה והבעה"))))))</f>
        <v/>
      </c>
      <c r="AC1301" s="32">
        <f>IF(OR($AB1301="",LEFT($AB1301,1)="—"),"",IF(OR($AB1301="מיקוד בשטף קריאה",$AB1301="מיקוד בשטף הקריאה ובכישורי שפה"),"רמה א'",IF($AB1301="קוראים וכותבים מיומנים","רמה ג'","רמה ב'")))</f>
        <v/>
      </c>
      <c r="AD1301" s="32">
        <f>IF($AC1301="","",MID(IF(AND($AC1301="רמה א'",$AA1301="ניכרת"),"; להוסיף עבודת אוצר מילים","")&amp;IF($Z1301="אינה מפותחת","; דגש על הבעה בכתב","")&amp;IF($K1301&lt;&gt;"תקין","; נדרש לעבוד על ההנגנה","")&amp;IF($AK1301&lt;&gt;"","; "&amp;$AK1301,""),3,400))</f>
        <v/>
      </c>
      <c r="AE1301" s="32">
        <f>IF($F1301="","",IF($F1301="תחילת שנה",1,IF($F1301="מחצית שנה",2,3)))</f>
        <v/>
      </c>
      <c r="AF1301" s="32">
        <f>IF(OR($B1301="",$AC1301="",$A1301="",$F1301=""),"",$B1301&amp;"|"&amp;$A1301&amp;"|"&amp;$F1301&amp;"|"&amp;$AC1301&amp;"|"&amp;COUNTIFS($B$6:$B1301,$B1301,$A$6:$A1301,$A1301,$F$6:$F1301,$F1301,$AC$6:$AC1301,$AC1301))</f>
        <v/>
      </c>
      <c r="AG1301" s="32">
        <f>IF($C1301="","",$C1301&amp;"|"&amp;COUNTIFS($C$6:$C1301,$C1301))</f>
        <v/>
      </c>
      <c r="AH1301" s="32">
        <f>IF(OR($C1301="",$A1301="",$AE1301=""),"",$C1301&amp;"|"&amp;$A1301&amp;"|"&amp;$AE1301)</f>
        <v/>
      </c>
      <c r="AI1301" s="32">
        <f>IF(OR($C1301="",$AE1301="",$AE1301=1),"",IFERROR(INDEX($AC$6:$AC$1505,MATCH($C1301&amp;"|"&amp;$A1301&amp;"|"&amp;($AE1301-1),$AH$6:$AH$1505,0)),""))</f>
        <v/>
      </c>
      <c r="AJ1301" s="32">
        <f>IF(OR($AI1301="",$AC1301=""),"",IF($AI1301=$AC1301,"ללא שינוי","מ-"&amp;$AI1301&amp;" ל-"&amp;$AC1301))</f>
        <v/>
      </c>
      <c r="AK1301" s="67" t="n"/>
    </row>
    <row r="1302">
      <c r="A1302" s="65" t="n"/>
      <c r="B1302" s="65" t="n"/>
      <c r="C1302" s="66" t="n"/>
      <c r="D1302" s="66" t="n"/>
      <c r="E1302" s="65" t="n"/>
      <c r="F1302" s="65" t="n"/>
      <c r="G1302" s="65" t="n"/>
      <c r="H1302" s="65" t="n"/>
      <c r="I1302" s="65" t="n"/>
      <c r="J1302" s="65" t="n"/>
      <c r="K1302" s="65" t="n"/>
      <c r="L1302" s="65" t="n"/>
      <c r="M1302" s="65" t="n"/>
      <c r="N1302" s="65" t="n"/>
      <c r="O1302" s="65" t="n"/>
      <c r="P1302" s="65" t="n"/>
      <c r="Q1302" s="65" t="n"/>
      <c r="R1302" s="65" t="n"/>
      <c r="S1302" s="65" t="n"/>
      <c r="T1302" s="65" t="n"/>
      <c r="U1302" s="65" t="n"/>
      <c r="V1302" s="65" t="n"/>
      <c r="W1302" s="65" t="n"/>
      <c r="X1302" s="65" t="n"/>
      <c r="Y1302" s="32">
        <f>IF($C1302="","",IF(COUNTA($I1302:$K1302)&lt;3,"— חסרים נתונים",IF(AND($I1302="תקין",$J1302="תקין",$K1302="תקין"),"רהוטה",IF(AND($I1302="תקין",$J1302="תקין"),"מדויקת ורציפה","אינה מדויקת או מקוטעת"))))</f>
        <v/>
      </c>
      <c r="Z1302" s="32">
        <f>IF($C1302="","",IF(COUNTA($U1302:$W1302)&lt;3,"",IF(AND($U1302="מפותח",$V1302="מפותח",$W1302="מפותחת"),"מפותחת",IF((--($U1302="דל"))+(--($V1302="אינו מפותח"))+(--($W1302="דלה"))&gt;=2,"אינה מפותחת","חלקית"))))</f>
        <v/>
      </c>
      <c r="AA1302" s="32">
        <f>IF($C1302="","",IF(COUNTA($M1302,$N1302,$O1302)&lt;3,"— חסרים נתונים",IF(OR($M1302="נמוכה",(--($M1302&lt;&gt;"תקינה"))+(--($N1302&lt;&gt;"תקין"))+(--($O1302&lt;&gt;"תקינה"))&gt;=2),"ניכרת","אינה ניכרת")))</f>
        <v/>
      </c>
      <c r="AB1302" s="32">
        <f>IF(OR($C1302="",$Y1302="",$AA1302="",LEFT($Y1302,1)="—",LEFT($AA1302,1)="—"),"",IF($Z1302="","— נדרשת הערכת כתיבה",IF($L1302="","— חסרה הבנת הנקרא",IF($Y1302="אינה מדויקת או מקוטעת",IF($AA1302="ניכרת","מיקוד בשטף הקריאה ובכישורי שפה","מיקוד בשטף קריאה"),IF($AA1302="ניכרת","מיקוד בכישורי שפה",IF(AND($L1302="תקינה",$Z1302="מפותחת"),"קוראים וכותבים מיומנים","מיקוד בהבנה והבעה"))))))</f>
        <v/>
      </c>
      <c r="AC1302" s="32">
        <f>IF(OR($AB1302="",LEFT($AB1302,1)="—"),"",IF(OR($AB1302="מיקוד בשטף קריאה",$AB1302="מיקוד בשטף הקריאה ובכישורי שפה"),"רמה א'",IF($AB1302="קוראים וכותבים מיומנים","רמה ג'","רמה ב'")))</f>
        <v/>
      </c>
      <c r="AD1302" s="32">
        <f>IF($AC1302="","",MID(IF(AND($AC1302="רמה א'",$AA1302="ניכרת"),"; להוסיף עבודת אוצר מילים","")&amp;IF($Z1302="אינה מפותחת","; דגש על הבעה בכתב","")&amp;IF($K1302&lt;&gt;"תקין","; נדרש לעבוד על ההנגנה","")&amp;IF($AK1302&lt;&gt;"","; "&amp;$AK1302,""),3,400))</f>
        <v/>
      </c>
      <c r="AE1302" s="32">
        <f>IF($F1302="","",IF($F1302="תחילת שנה",1,IF($F1302="מחצית שנה",2,3)))</f>
        <v/>
      </c>
      <c r="AF1302" s="32">
        <f>IF(OR($B1302="",$AC1302="",$A1302="",$F1302=""),"",$B1302&amp;"|"&amp;$A1302&amp;"|"&amp;$F1302&amp;"|"&amp;$AC1302&amp;"|"&amp;COUNTIFS($B$6:$B1302,$B1302,$A$6:$A1302,$A1302,$F$6:$F1302,$F1302,$AC$6:$AC1302,$AC1302))</f>
        <v/>
      </c>
      <c r="AG1302" s="32">
        <f>IF($C1302="","",$C1302&amp;"|"&amp;COUNTIFS($C$6:$C1302,$C1302))</f>
        <v/>
      </c>
      <c r="AH1302" s="32">
        <f>IF(OR($C1302="",$A1302="",$AE1302=""),"",$C1302&amp;"|"&amp;$A1302&amp;"|"&amp;$AE1302)</f>
        <v/>
      </c>
      <c r="AI1302" s="32">
        <f>IF(OR($C1302="",$AE1302="",$AE1302=1),"",IFERROR(INDEX($AC$6:$AC$1505,MATCH($C1302&amp;"|"&amp;$A1302&amp;"|"&amp;($AE1302-1),$AH$6:$AH$1505,0)),""))</f>
        <v/>
      </c>
      <c r="AJ1302" s="32">
        <f>IF(OR($AI1302="",$AC1302=""),"",IF($AI1302=$AC1302,"ללא שינוי","מ-"&amp;$AI1302&amp;" ל-"&amp;$AC1302))</f>
        <v/>
      </c>
      <c r="AK1302" s="67" t="n"/>
    </row>
    <row r="1303">
      <c r="A1303" s="65" t="n"/>
      <c r="B1303" s="65" t="n"/>
      <c r="C1303" s="66" t="n"/>
      <c r="D1303" s="66" t="n"/>
      <c r="E1303" s="65" t="n"/>
      <c r="F1303" s="65" t="n"/>
      <c r="G1303" s="65" t="n"/>
      <c r="H1303" s="65" t="n"/>
      <c r="I1303" s="65" t="n"/>
      <c r="J1303" s="65" t="n"/>
      <c r="K1303" s="65" t="n"/>
      <c r="L1303" s="65" t="n"/>
      <c r="M1303" s="65" t="n"/>
      <c r="N1303" s="65" t="n"/>
      <c r="O1303" s="65" t="n"/>
      <c r="P1303" s="65" t="n"/>
      <c r="Q1303" s="65" t="n"/>
      <c r="R1303" s="65" t="n"/>
      <c r="S1303" s="65" t="n"/>
      <c r="T1303" s="65" t="n"/>
      <c r="U1303" s="65" t="n"/>
      <c r="V1303" s="65" t="n"/>
      <c r="W1303" s="65" t="n"/>
      <c r="X1303" s="65" t="n"/>
      <c r="Y1303" s="32">
        <f>IF($C1303="","",IF(COUNTA($I1303:$K1303)&lt;3,"— חסרים נתונים",IF(AND($I1303="תקין",$J1303="תקין",$K1303="תקין"),"רהוטה",IF(AND($I1303="תקין",$J1303="תקין"),"מדויקת ורציפה","אינה מדויקת או מקוטעת"))))</f>
        <v/>
      </c>
      <c r="Z1303" s="32">
        <f>IF($C1303="","",IF(COUNTA($U1303:$W1303)&lt;3,"",IF(AND($U1303="מפותח",$V1303="מפותח",$W1303="מפותחת"),"מפותחת",IF((--($U1303="דל"))+(--($V1303="אינו מפותח"))+(--($W1303="דלה"))&gt;=2,"אינה מפותחת","חלקית"))))</f>
        <v/>
      </c>
      <c r="AA1303" s="32">
        <f>IF($C1303="","",IF(COUNTA($M1303,$N1303,$O1303)&lt;3,"— חסרים נתונים",IF(OR($M1303="נמוכה",(--($M1303&lt;&gt;"תקינה"))+(--($N1303&lt;&gt;"תקין"))+(--($O1303&lt;&gt;"תקינה"))&gt;=2),"ניכרת","אינה ניכרת")))</f>
        <v/>
      </c>
      <c r="AB1303" s="32">
        <f>IF(OR($C1303="",$Y1303="",$AA1303="",LEFT($Y1303,1)="—",LEFT($AA1303,1)="—"),"",IF($Z1303="","— נדרשת הערכת כתיבה",IF($L1303="","— חסרה הבנת הנקרא",IF($Y1303="אינה מדויקת או מקוטעת",IF($AA1303="ניכרת","מיקוד בשטף הקריאה ובכישורי שפה","מיקוד בשטף קריאה"),IF($AA1303="ניכרת","מיקוד בכישורי שפה",IF(AND($L1303="תקינה",$Z1303="מפותחת"),"קוראים וכותבים מיומנים","מיקוד בהבנה והבעה"))))))</f>
        <v/>
      </c>
      <c r="AC1303" s="32">
        <f>IF(OR($AB1303="",LEFT($AB1303,1)="—"),"",IF(OR($AB1303="מיקוד בשטף קריאה",$AB1303="מיקוד בשטף הקריאה ובכישורי שפה"),"רמה א'",IF($AB1303="קוראים וכותבים מיומנים","רמה ג'","רמה ב'")))</f>
        <v/>
      </c>
      <c r="AD1303" s="32">
        <f>IF($AC1303="","",MID(IF(AND($AC1303="רמה א'",$AA1303="ניכרת"),"; להוסיף עבודת אוצר מילים","")&amp;IF($Z1303="אינה מפותחת","; דגש על הבעה בכתב","")&amp;IF($K1303&lt;&gt;"תקין","; נדרש לעבוד על ההנגנה","")&amp;IF($AK1303&lt;&gt;"","; "&amp;$AK1303,""),3,400))</f>
        <v/>
      </c>
      <c r="AE1303" s="32">
        <f>IF($F1303="","",IF($F1303="תחילת שנה",1,IF($F1303="מחצית שנה",2,3)))</f>
        <v/>
      </c>
      <c r="AF1303" s="32">
        <f>IF(OR($B1303="",$AC1303="",$A1303="",$F1303=""),"",$B1303&amp;"|"&amp;$A1303&amp;"|"&amp;$F1303&amp;"|"&amp;$AC1303&amp;"|"&amp;COUNTIFS($B$6:$B1303,$B1303,$A$6:$A1303,$A1303,$F$6:$F1303,$F1303,$AC$6:$AC1303,$AC1303))</f>
        <v/>
      </c>
      <c r="AG1303" s="32">
        <f>IF($C1303="","",$C1303&amp;"|"&amp;COUNTIFS($C$6:$C1303,$C1303))</f>
        <v/>
      </c>
      <c r="AH1303" s="32">
        <f>IF(OR($C1303="",$A1303="",$AE1303=""),"",$C1303&amp;"|"&amp;$A1303&amp;"|"&amp;$AE1303)</f>
        <v/>
      </c>
      <c r="AI1303" s="32">
        <f>IF(OR($C1303="",$AE1303="",$AE1303=1),"",IFERROR(INDEX($AC$6:$AC$1505,MATCH($C1303&amp;"|"&amp;$A1303&amp;"|"&amp;($AE1303-1),$AH$6:$AH$1505,0)),""))</f>
        <v/>
      </c>
      <c r="AJ1303" s="32">
        <f>IF(OR($AI1303="",$AC1303=""),"",IF($AI1303=$AC1303,"ללא שינוי","מ-"&amp;$AI1303&amp;" ל-"&amp;$AC1303))</f>
        <v/>
      </c>
      <c r="AK1303" s="67" t="n"/>
    </row>
    <row r="1304">
      <c r="A1304" s="65" t="n"/>
      <c r="B1304" s="65" t="n"/>
      <c r="C1304" s="66" t="n"/>
      <c r="D1304" s="66" t="n"/>
      <c r="E1304" s="65" t="n"/>
      <c r="F1304" s="65" t="n"/>
      <c r="G1304" s="65" t="n"/>
      <c r="H1304" s="65" t="n"/>
      <c r="I1304" s="65" t="n"/>
      <c r="J1304" s="65" t="n"/>
      <c r="K1304" s="65" t="n"/>
      <c r="L1304" s="65" t="n"/>
      <c r="M1304" s="65" t="n"/>
      <c r="N1304" s="65" t="n"/>
      <c r="O1304" s="65" t="n"/>
      <c r="P1304" s="65" t="n"/>
      <c r="Q1304" s="65" t="n"/>
      <c r="R1304" s="65" t="n"/>
      <c r="S1304" s="65" t="n"/>
      <c r="T1304" s="65" t="n"/>
      <c r="U1304" s="65" t="n"/>
      <c r="V1304" s="65" t="n"/>
      <c r="W1304" s="65" t="n"/>
      <c r="X1304" s="65" t="n"/>
      <c r="Y1304" s="32">
        <f>IF($C1304="","",IF(COUNTA($I1304:$K1304)&lt;3,"— חסרים נתונים",IF(AND($I1304="תקין",$J1304="תקין",$K1304="תקין"),"רהוטה",IF(AND($I1304="תקין",$J1304="תקין"),"מדויקת ורציפה","אינה מדויקת או מקוטעת"))))</f>
        <v/>
      </c>
      <c r="Z1304" s="32">
        <f>IF($C1304="","",IF(COUNTA($U1304:$W1304)&lt;3,"",IF(AND($U1304="מפותח",$V1304="מפותח",$W1304="מפותחת"),"מפותחת",IF((--($U1304="דל"))+(--($V1304="אינו מפותח"))+(--($W1304="דלה"))&gt;=2,"אינה מפותחת","חלקית"))))</f>
        <v/>
      </c>
      <c r="AA1304" s="32">
        <f>IF($C1304="","",IF(COUNTA($M1304,$N1304,$O1304)&lt;3,"— חסרים נתונים",IF(OR($M1304="נמוכה",(--($M1304&lt;&gt;"תקינה"))+(--($N1304&lt;&gt;"תקין"))+(--($O1304&lt;&gt;"תקינה"))&gt;=2),"ניכרת","אינה ניכרת")))</f>
        <v/>
      </c>
      <c r="AB1304" s="32">
        <f>IF(OR($C1304="",$Y1304="",$AA1304="",LEFT($Y1304,1)="—",LEFT($AA1304,1)="—"),"",IF($Z1304="","— נדרשת הערכת כתיבה",IF($L1304="","— חסרה הבנת הנקרא",IF($Y1304="אינה מדויקת או מקוטעת",IF($AA1304="ניכרת","מיקוד בשטף הקריאה ובכישורי שפה","מיקוד בשטף קריאה"),IF($AA1304="ניכרת","מיקוד בכישורי שפה",IF(AND($L1304="תקינה",$Z1304="מפותחת"),"קוראים וכותבים מיומנים","מיקוד בהבנה והבעה"))))))</f>
        <v/>
      </c>
      <c r="AC1304" s="32">
        <f>IF(OR($AB1304="",LEFT($AB1304,1)="—"),"",IF(OR($AB1304="מיקוד בשטף קריאה",$AB1304="מיקוד בשטף הקריאה ובכישורי שפה"),"רמה א'",IF($AB1304="קוראים וכותבים מיומנים","רמה ג'","רמה ב'")))</f>
        <v/>
      </c>
      <c r="AD1304" s="32">
        <f>IF($AC1304="","",MID(IF(AND($AC1304="רמה א'",$AA1304="ניכרת"),"; להוסיף עבודת אוצר מילים","")&amp;IF($Z1304="אינה מפותחת","; דגש על הבעה בכתב","")&amp;IF($K1304&lt;&gt;"תקין","; נדרש לעבוד על ההנגנה","")&amp;IF($AK1304&lt;&gt;"","; "&amp;$AK1304,""),3,400))</f>
        <v/>
      </c>
      <c r="AE1304" s="32">
        <f>IF($F1304="","",IF($F1304="תחילת שנה",1,IF($F1304="מחצית שנה",2,3)))</f>
        <v/>
      </c>
      <c r="AF1304" s="32">
        <f>IF(OR($B1304="",$AC1304="",$A1304="",$F1304=""),"",$B1304&amp;"|"&amp;$A1304&amp;"|"&amp;$F1304&amp;"|"&amp;$AC1304&amp;"|"&amp;COUNTIFS($B$6:$B1304,$B1304,$A$6:$A1304,$A1304,$F$6:$F1304,$F1304,$AC$6:$AC1304,$AC1304))</f>
        <v/>
      </c>
      <c r="AG1304" s="32">
        <f>IF($C1304="","",$C1304&amp;"|"&amp;COUNTIFS($C$6:$C1304,$C1304))</f>
        <v/>
      </c>
      <c r="AH1304" s="32">
        <f>IF(OR($C1304="",$A1304="",$AE1304=""),"",$C1304&amp;"|"&amp;$A1304&amp;"|"&amp;$AE1304)</f>
        <v/>
      </c>
      <c r="AI1304" s="32">
        <f>IF(OR($C1304="",$AE1304="",$AE1304=1),"",IFERROR(INDEX($AC$6:$AC$1505,MATCH($C1304&amp;"|"&amp;$A1304&amp;"|"&amp;($AE1304-1),$AH$6:$AH$1505,0)),""))</f>
        <v/>
      </c>
      <c r="AJ1304" s="32">
        <f>IF(OR($AI1304="",$AC1304=""),"",IF($AI1304=$AC1304,"ללא שינוי","מ-"&amp;$AI1304&amp;" ל-"&amp;$AC1304))</f>
        <v/>
      </c>
      <c r="AK1304" s="67" t="n"/>
    </row>
    <row r="1305">
      <c r="A1305" s="65" t="n"/>
      <c r="B1305" s="65" t="n"/>
      <c r="C1305" s="66" t="n"/>
      <c r="D1305" s="66" t="n"/>
      <c r="E1305" s="65" t="n"/>
      <c r="F1305" s="65" t="n"/>
      <c r="G1305" s="65" t="n"/>
      <c r="H1305" s="65" t="n"/>
      <c r="I1305" s="65" t="n"/>
      <c r="J1305" s="65" t="n"/>
      <c r="K1305" s="65" t="n"/>
      <c r="L1305" s="65" t="n"/>
      <c r="M1305" s="65" t="n"/>
      <c r="N1305" s="65" t="n"/>
      <c r="O1305" s="65" t="n"/>
      <c r="P1305" s="65" t="n"/>
      <c r="Q1305" s="65" t="n"/>
      <c r="R1305" s="65" t="n"/>
      <c r="S1305" s="65" t="n"/>
      <c r="T1305" s="65" t="n"/>
      <c r="U1305" s="65" t="n"/>
      <c r="V1305" s="65" t="n"/>
      <c r="W1305" s="65" t="n"/>
      <c r="X1305" s="65" t="n"/>
      <c r="Y1305" s="32">
        <f>IF($C1305="","",IF(COUNTA($I1305:$K1305)&lt;3,"— חסרים נתונים",IF(AND($I1305="תקין",$J1305="תקין",$K1305="תקין"),"רהוטה",IF(AND($I1305="תקין",$J1305="תקין"),"מדויקת ורציפה","אינה מדויקת או מקוטעת"))))</f>
        <v/>
      </c>
      <c r="Z1305" s="32">
        <f>IF($C1305="","",IF(COUNTA($U1305:$W1305)&lt;3,"",IF(AND($U1305="מפותח",$V1305="מפותח",$W1305="מפותחת"),"מפותחת",IF((--($U1305="דל"))+(--($V1305="אינו מפותח"))+(--($W1305="דלה"))&gt;=2,"אינה מפותחת","חלקית"))))</f>
        <v/>
      </c>
      <c r="AA1305" s="32">
        <f>IF($C1305="","",IF(COUNTA($M1305,$N1305,$O1305)&lt;3,"— חסרים נתונים",IF(OR($M1305="נמוכה",(--($M1305&lt;&gt;"תקינה"))+(--($N1305&lt;&gt;"תקין"))+(--($O1305&lt;&gt;"תקינה"))&gt;=2),"ניכרת","אינה ניכרת")))</f>
        <v/>
      </c>
      <c r="AB1305" s="32">
        <f>IF(OR($C1305="",$Y1305="",$AA1305="",LEFT($Y1305,1)="—",LEFT($AA1305,1)="—"),"",IF($Z1305="","— נדרשת הערכת כתיבה",IF($L1305="","— חסרה הבנת הנקרא",IF($Y1305="אינה מדויקת או מקוטעת",IF($AA1305="ניכרת","מיקוד בשטף הקריאה ובכישורי שפה","מיקוד בשטף קריאה"),IF($AA1305="ניכרת","מיקוד בכישורי שפה",IF(AND($L1305="תקינה",$Z1305="מפותחת"),"קוראים וכותבים מיומנים","מיקוד בהבנה והבעה"))))))</f>
        <v/>
      </c>
      <c r="AC1305" s="32">
        <f>IF(OR($AB1305="",LEFT($AB1305,1)="—"),"",IF(OR($AB1305="מיקוד בשטף קריאה",$AB1305="מיקוד בשטף הקריאה ובכישורי שפה"),"רמה א'",IF($AB1305="קוראים וכותבים מיומנים","רמה ג'","רמה ב'")))</f>
        <v/>
      </c>
      <c r="AD1305" s="32">
        <f>IF($AC1305="","",MID(IF(AND($AC1305="רמה א'",$AA1305="ניכרת"),"; להוסיף עבודת אוצר מילים","")&amp;IF($Z1305="אינה מפותחת","; דגש על הבעה בכתב","")&amp;IF($K1305&lt;&gt;"תקין","; נדרש לעבוד על ההנגנה","")&amp;IF($AK1305&lt;&gt;"","; "&amp;$AK1305,""),3,400))</f>
        <v/>
      </c>
      <c r="AE1305" s="32">
        <f>IF($F1305="","",IF($F1305="תחילת שנה",1,IF($F1305="מחצית שנה",2,3)))</f>
        <v/>
      </c>
      <c r="AF1305" s="32">
        <f>IF(OR($B1305="",$AC1305="",$A1305="",$F1305=""),"",$B1305&amp;"|"&amp;$A1305&amp;"|"&amp;$F1305&amp;"|"&amp;$AC1305&amp;"|"&amp;COUNTIFS($B$6:$B1305,$B1305,$A$6:$A1305,$A1305,$F$6:$F1305,$F1305,$AC$6:$AC1305,$AC1305))</f>
        <v/>
      </c>
      <c r="AG1305" s="32">
        <f>IF($C1305="","",$C1305&amp;"|"&amp;COUNTIFS($C$6:$C1305,$C1305))</f>
        <v/>
      </c>
      <c r="AH1305" s="32">
        <f>IF(OR($C1305="",$A1305="",$AE1305=""),"",$C1305&amp;"|"&amp;$A1305&amp;"|"&amp;$AE1305)</f>
        <v/>
      </c>
      <c r="AI1305" s="32">
        <f>IF(OR($C1305="",$AE1305="",$AE1305=1),"",IFERROR(INDEX($AC$6:$AC$1505,MATCH($C1305&amp;"|"&amp;$A1305&amp;"|"&amp;($AE1305-1),$AH$6:$AH$1505,0)),""))</f>
        <v/>
      </c>
      <c r="AJ1305" s="32">
        <f>IF(OR($AI1305="",$AC1305=""),"",IF($AI1305=$AC1305,"ללא שינוי","מ-"&amp;$AI1305&amp;" ל-"&amp;$AC1305))</f>
        <v/>
      </c>
      <c r="AK1305" s="67" t="n"/>
    </row>
    <row r="1306">
      <c r="A1306" s="65" t="n"/>
      <c r="B1306" s="65" t="n"/>
      <c r="C1306" s="66" t="n"/>
      <c r="D1306" s="66" t="n"/>
      <c r="E1306" s="65" t="n"/>
      <c r="F1306" s="65" t="n"/>
      <c r="G1306" s="65" t="n"/>
      <c r="H1306" s="65" t="n"/>
      <c r="I1306" s="65" t="n"/>
      <c r="J1306" s="65" t="n"/>
      <c r="K1306" s="65" t="n"/>
      <c r="L1306" s="65" t="n"/>
      <c r="M1306" s="65" t="n"/>
      <c r="N1306" s="65" t="n"/>
      <c r="O1306" s="65" t="n"/>
      <c r="P1306" s="65" t="n"/>
      <c r="Q1306" s="65" t="n"/>
      <c r="R1306" s="65" t="n"/>
      <c r="S1306" s="65" t="n"/>
      <c r="T1306" s="65" t="n"/>
      <c r="U1306" s="65" t="n"/>
      <c r="V1306" s="65" t="n"/>
      <c r="W1306" s="65" t="n"/>
      <c r="X1306" s="65" t="n"/>
      <c r="Y1306" s="32">
        <f>IF($C1306="","",IF(COUNTA($I1306:$K1306)&lt;3,"— חסרים נתונים",IF(AND($I1306="תקין",$J1306="תקין",$K1306="תקין"),"רהוטה",IF(AND($I1306="תקין",$J1306="תקין"),"מדויקת ורציפה","אינה מדויקת או מקוטעת"))))</f>
        <v/>
      </c>
      <c r="Z1306" s="32">
        <f>IF($C1306="","",IF(COUNTA($U1306:$W1306)&lt;3,"",IF(AND($U1306="מפותח",$V1306="מפותח",$W1306="מפותחת"),"מפותחת",IF((--($U1306="דל"))+(--($V1306="אינו מפותח"))+(--($W1306="דלה"))&gt;=2,"אינה מפותחת","חלקית"))))</f>
        <v/>
      </c>
      <c r="AA1306" s="32">
        <f>IF($C1306="","",IF(COUNTA($M1306,$N1306,$O1306)&lt;3,"— חסרים נתונים",IF(OR($M1306="נמוכה",(--($M1306&lt;&gt;"תקינה"))+(--($N1306&lt;&gt;"תקין"))+(--($O1306&lt;&gt;"תקינה"))&gt;=2),"ניכרת","אינה ניכרת")))</f>
        <v/>
      </c>
      <c r="AB1306" s="32">
        <f>IF(OR($C1306="",$Y1306="",$AA1306="",LEFT($Y1306,1)="—",LEFT($AA1306,1)="—"),"",IF($Z1306="","— נדרשת הערכת כתיבה",IF($L1306="","— חסרה הבנת הנקרא",IF($Y1306="אינה מדויקת או מקוטעת",IF($AA1306="ניכרת","מיקוד בשטף הקריאה ובכישורי שפה","מיקוד בשטף קריאה"),IF($AA1306="ניכרת","מיקוד בכישורי שפה",IF(AND($L1306="תקינה",$Z1306="מפותחת"),"קוראים וכותבים מיומנים","מיקוד בהבנה והבעה"))))))</f>
        <v/>
      </c>
      <c r="AC1306" s="32">
        <f>IF(OR($AB1306="",LEFT($AB1306,1)="—"),"",IF(OR($AB1306="מיקוד בשטף קריאה",$AB1306="מיקוד בשטף הקריאה ובכישורי שפה"),"רמה א'",IF($AB1306="קוראים וכותבים מיומנים","רמה ג'","רמה ב'")))</f>
        <v/>
      </c>
      <c r="AD1306" s="32">
        <f>IF($AC1306="","",MID(IF(AND($AC1306="רמה א'",$AA1306="ניכרת"),"; להוסיף עבודת אוצר מילים","")&amp;IF($Z1306="אינה מפותחת","; דגש על הבעה בכתב","")&amp;IF($K1306&lt;&gt;"תקין","; נדרש לעבוד על ההנגנה","")&amp;IF($AK1306&lt;&gt;"","; "&amp;$AK1306,""),3,400))</f>
        <v/>
      </c>
      <c r="AE1306" s="32">
        <f>IF($F1306="","",IF($F1306="תחילת שנה",1,IF($F1306="מחצית שנה",2,3)))</f>
        <v/>
      </c>
      <c r="AF1306" s="32">
        <f>IF(OR($B1306="",$AC1306="",$A1306="",$F1306=""),"",$B1306&amp;"|"&amp;$A1306&amp;"|"&amp;$F1306&amp;"|"&amp;$AC1306&amp;"|"&amp;COUNTIFS($B$6:$B1306,$B1306,$A$6:$A1306,$A1306,$F$6:$F1306,$F1306,$AC$6:$AC1306,$AC1306))</f>
        <v/>
      </c>
      <c r="AG1306" s="32">
        <f>IF($C1306="","",$C1306&amp;"|"&amp;COUNTIFS($C$6:$C1306,$C1306))</f>
        <v/>
      </c>
      <c r="AH1306" s="32">
        <f>IF(OR($C1306="",$A1306="",$AE1306=""),"",$C1306&amp;"|"&amp;$A1306&amp;"|"&amp;$AE1306)</f>
        <v/>
      </c>
      <c r="AI1306" s="32">
        <f>IF(OR($C1306="",$AE1306="",$AE1306=1),"",IFERROR(INDEX($AC$6:$AC$1505,MATCH($C1306&amp;"|"&amp;$A1306&amp;"|"&amp;($AE1306-1),$AH$6:$AH$1505,0)),""))</f>
        <v/>
      </c>
      <c r="AJ1306" s="32">
        <f>IF(OR($AI1306="",$AC1306=""),"",IF($AI1306=$AC1306,"ללא שינוי","מ-"&amp;$AI1306&amp;" ל-"&amp;$AC1306))</f>
        <v/>
      </c>
      <c r="AK1306" s="67" t="n"/>
    </row>
    <row r="1307">
      <c r="A1307" s="65" t="n"/>
      <c r="B1307" s="65" t="n"/>
      <c r="C1307" s="66" t="n"/>
      <c r="D1307" s="66" t="n"/>
      <c r="E1307" s="65" t="n"/>
      <c r="F1307" s="65" t="n"/>
      <c r="G1307" s="65" t="n"/>
      <c r="H1307" s="65" t="n"/>
      <c r="I1307" s="65" t="n"/>
      <c r="J1307" s="65" t="n"/>
      <c r="K1307" s="65" t="n"/>
      <c r="L1307" s="65" t="n"/>
      <c r="M1307" s="65" t="n"/>
      <c r="N1307" s="65" t="n"/>
      <c r="O1307" s="65" t="n"/>
      <c r="P1307" s="65" t="n"/>
      <c r="Q1307" s="65" t="n"/>
      <c r="R1307" s="65" t="n"/>
      <c r="S1307" s="65" t="n"/>
      <c r="T1307" s="65" t="n"/>
      <c r="U1307" s="65" t="n"/>
      <c r="V1307" s="65" t="n"/>
      <c r="W1307" s="65" t="n"/>
      <c r="X1307" s="65" t="n"/>
      <c r="Y1307" s="32">
        <f>IF($C1307="","",IF(COUNTA($I1307:$K1307)&lt;3,"— חסרים נתונים",IF(AND($I1307="תקין",$J1307="תקין",$K1307="תקין"),"רהוטה",IF(AND($I1307="תקין",$J1307="תקין"),"מדויקת ורציפה","אינה מדויקת או מקוטעת"))))</f>
        <v/>
      </c>
      <c r="Z1307" s="32">
        <f>IF($C1307="","",IF(COUNTA($U1307:$W1307)&lt;3,"",IF(AND($U1307="מפותח",$V1307="מפותח",$W1307="מפותחת"),"מפותחת",IF((--($U1307="דל"))+(--($V1307="אינו מפותח"))+(--($W1307="דלה"))&gt;=2,"אינה מפותחת","חלקית"))))</f>
        <v/>
      </c>
      <c r="AA1307" s="32">
        <f>IF($C1307="","",IF(COUNTA($M1307,$N1307,$O1307)&lt;3,"— חסרים נתונים",IF(OR($M1307="נמוכה",(--($M1307&lt;&gt;"תקינה"))+(--($N1307&lt;&gt;"תקין"))+(--($O1307&lt;&gt;"תקינה"))&gt;=2),"ניכרת","אינה ניכרת")))</f>
        <v/>
      </c>
      <c r="AB1307" s="32">
        <f>IF(OR($C1307="",$Y1307="",$AA1307="",LEFT($Y1307,1)="—",LEFT($AA1307,1)="—"),"",IF($Z1307="","— נדרשת הערכת כתיבה",IF($L1307="","— חסרה הבנת הנקרא",IF($Y1307="אינה מדויקת או מקוטעת",IF($AA1307="ניכרת","מיקוד בשטף הקריאה ובכישורי שפה","מיקוד בשטף קריאה"),IF($AA1307="ניכרת","מיקוד בכישורי שפה",IF(AND($L1307="תקינה",$Z1307="מפותחת"),"קוראים וכותבים מיומנים","מיקוד בהבנה והבעה"))))))</f>
        <v/>
      </c>
      <c r="AC1307" s="32">
        <f>IF(OR($AB1307="",LEFT($AB1307,1)="—"),"",IF(OR($AB1307="מיקוד בשטף קריאה",$AB1307="מיקוד בשטף הקריאה ובכישורי שפה"),"רמה א'",IF($AB1307="קוראים וכותבים מיומנים","רמה ג'","רמה ב'")))</f>
        <v/>
      </c>
      <c r="AD1307" s="32">
        <f>IF($AC1307="","",MID(IF(AND($AC1307="רמה א'",$AA1307="ניכרת"),"; להוסיף עבודת אוצר מילים","")&amp;IF($Z1307="אינה מפותחת","; דגש על הבעה בכתב","")&amp;IF($K1307&lt;&gt;"תקין","; נדרש לעבוד על ההנגנה","")&amp;IF($AK1307&lt;&gt;"","; "&amp;$AK1307,""),3,400))</f>
        <v/>
      </c>
      <c r="AE1307" s="32">
        <f>IF($F1307="","",IF($F1307="תחילת שנה",1,IF($F1307="מחצית שנה",2,3)))</f>
        <v/>
      </c>
      <c r="AF1307" s="32">
        <f>IF(OR($B1307="",$AC1307="",$A1307="",$F1307=""),"",$B1307&amp;"|"&amp;$A1307&amp;"|"&amp;$F1307&amp;"|"&amp;$AC1307&amp;"|"&amp;COUNTIFS($B$6:$B1307,$B1307,$A$6:$A1307,$A1307,$F$6:$F1307,$F1307,$AC$6:$AC1307,$AC1307))</f>
        <v/>
      </c>
      <c r="AG1307" s="32">
        <f>IF($C1307="","",$C1307&amp;"|"&amp;COUNTIFS($C$6:$C1307,$C1307))</f>
        <v/>
      </c>
      <c r="AH1307" s="32">
        <f>IF(OR($C1307="",$A1307="",$AE1307=""),"",$C1307&amp;"|"&amp;$A1307&amp;"|"&amp;$AE1307)</f>
        <v/>
      </c>
      <c r="AI1307" s="32">
        <f>IF(OR($C1307="",$AE1307="",$AE1307=1),"",IFERROR(INDEX($AC$6:$AC$1505,MATCH($C1307&amp;"|"&amp;$A1307&amp;"|"&amp;($AE1307-1),$AH$6:$AH$1505,0)),""))</f>
        <v/>
      </c>
      <c r="AJ1307" s="32">
        <f>IF(OR($AI1307="",$AC1307=""),"",IF($AI1307=$AC1307,"ללא שינוי","מ-"&amp;$AI1307&amp;" ל-"&amp;$AC1307))</f>
        <v/>
      </c>
      <c r="AK1307" s="67" t="n"/>
    </row>
    <row r="1308">
      <c r="A1308" s="65" t="n"/>
      <c r="B1308" s="65" t="n"/>
      <c r="C1308" s="66" t="n"/>
      <c r="D1308" s="66" t="n"/>
      <c r="E1308" s="65" t="n"/>
      <c r="F1308" s="65" t="n"/>
      <c r="G1308" s="65" t="n"/>
      <c r="H1308" s="65" t="n"/>
      <c r="I1308" s="65" t="n"/>
      <c r="J1308" s="65" t="n"/>
      <c r="K1308" s="65" t="n"/>
      <c r="L1308" s="65" t="n"/>
      <c r="M1308" s="65" t="n"/>
      <c r="N1308" s="65" t="n"/>
      <c r="O1308" s="65" t="n"/>
      <c r="P1308" s="65" t="n"/>
      <c r="Q1308" s="65" t="n"/>
      <c r="R1308" s="65" t="n"/>
      <c r="S1308" s="65" t="n"/>
      <c r="T1308" s="65" t="n"/>
      <c r="U1308" s="65" t="n"/>
      <c r="V1308" s="65" t="n"/>
      <c r="W1308" s="65" t="n"/>
      <c r="X1308" s="65" t="n"/>
      <c r="Y1308" s="32">
        <f>IF($C1308="","",IF(COUNTA($I1308:$K1308)&lt;3,"— חסרים נתונים",IF(AND($I1308="תקין",$J1308="תקין",$K1308="תקין"),"רהוטה",IF(AND($I1308="תקין",$J1308="תקין"),"מדויקת ורציפה","אינה מדויקת או מקוטעת"))))</f>
        <v/>
      </c>
      <c r="Z1308" s="32">
        <f>IF($C1308="","",IF(COUNTA($U1308:$W1308)&lt;3,"",IF(AND($U1308="מפותח",$V1308="מפותח",$W1308="מפותחת"),"מפותחת",IF((--($U1308="דל"))+(--($V1308="אינו מפותח"))+(--($W1308="דלה"))&gt;=2,"אינה מפותחת","חלקית"))))</f>
        <v/>
      </c>
      <c r="AA1308" s="32">
        <f>IF($C1308="","",IF(COUNTA($M1308,$N1308,$O1308)&lt;3,"— חסרים נתונים",IF(OR($M1308="נמוכה",(--($M1308&lt;&gt;"תקינה"))+(--($N1308&lt;&gt;"תקין"))+(--($O1308&lt;&gt;"תקינה"))&gt;=2),"ניכרת","אינה ניכרת")))</f>
        <v/>
      </c>
      <c r="AB1308" s="32">
        <f>IF(OR($C1308="",$Y1308="",$AA1308="",LEFT($Y1308,1)="—",LEFT($AA1308,1)="—"),"",IF($Z1308="","— נדרשת הערכת כתיבה",IF($L1308="","— חסרה הבנת הנקרא",IF($Y1308="אינה מדויקת או מקוטעת",IF($AA1308="ניכרת","מיקוד בשטף הקריאה ובכישורי שפה","מיקוד בשטף קריאה"),IF($AA1308="ניכרת","מיקוד בכישורי שפה",IF(AND($L1308="תקינה",$Z1308="מפותחת"),"קוראים וכותבים מיומנים","מיקוד בהבנה והבעה"))))))</f>
        <v/>
      </c>
      <c r="AC1308" s="32">
        <f>IF(OR($AB1308="",LEFT($AB1308,1)="—"),"",IF(OR($AB1308="מיקוד בשטף קריאה",$AB1308="מיקוד בשטף הקריאה ובכישורי שפה"),"רמה א'",IF($AB1308="קוראים וכותבים מיומנים","רמה ג'","רמה ב'")))</f>
        <v/>
      </c>
      <c r="AD1308" s="32">
        <f>IF($AC1308="","",MID(IF(AND($AC1308="רמה א'",$AA1308="ניכרת"),"; להוסיף עבודת אוצר מילים","")&amp;IF($Z1308="אינה מפותחת","; דגש על הבעה בכתב","")&amp;IF($K1308&lt;&gt;"תקין","; נדרש לעבוד על ההנגנה","")&amp;IF($AK1308&lt;&gt;"","; "&amp;$AK1308,""),3,400))</f>
        <v/>
      </c>
      <c r="AE1308" s="32">
        <f>IF($F1308="","",IF($F1308="תחילת שנה",1,IF($F1308="מחצית שנה",2,3)))</f>
        <v/>
      </c>
      <c r="AF1308" s="32">
        <f>IF(OR($B1308="",$AC1308="",$A1308="",$F1308=""),"",$B1308&amp;"|"&amp;$A1308&amp;"|"&amp;$F1308&amp;"|"&amp;$AC1308&amp;"|"&amp;COUNTIFS($B$6:$B1308,$B1308,$A$6:$A1308,$A1308,$F$6:$F1308,$F1308,$AC$6:$AC1308,$AC1308))</f>
        <v/>
      </c>
      <c r="AG1308" s="32">
        <f>IF($C1308="","",$C1308&amp;"|"&amp;COUNTIFS($C$6:$C1308,$C1308))</f>
        <v/>
      </c>
      <c r="AH1308" s="32">
        <f>IF(OR($C1308="",$A1308="",$AE1308=""),"",$C1308&amp;"|"&amp;$A1308&amp;"|"&amp;$AE1308)</f>
        <v/>
      </c>
      <c r="AI1308" s="32">
        <f>IF(OR($C1308="",$AE1308="",$AE1308=1),"",IFERROR(INDEX($AC$6:$AC$1505,MATCH($C1308&amp;"|"&amp;$A1308&amp;"|"&amp;($AE1308-1),$AH$6:$AH$1505,0)),""))</f>
        <v/>
      </c>
      <c r="AJ1308" s="32">
        <f>IF(OR($AI1308="",$AC1308=""),"",IF($AI1308=$AC1308,"ללא שינוי","מ-"&amp;$AI1308&amp;" ל-"&amp;$AC1308))</f>
        <v/>
      </c>
      <c r="AK1308" s="67" t="n"/>
    </row>
    <row r="1309">
      <c r="A1309" s="65" t="n"/>
      <c r="B1309" s="65" t="n"/>
      <c r="C1309" s="66" t="n"/>
      <c r="D1309" s="66" t="n"/>
      <c r="E1309" s="65" t="n"/>
      <c r="F1309" s="65" t="n"/>
      <c r="G1309" s="65" t="n"/>
      <c r="H1309" s="65" t="n"/>
      <c r="I1309" s="65" t="n"/>
      <c r="J1309" s="65" t="n"/>
      <c r="K1309" s="65" t="n"/>
      <c r="L1309" s="65" t="n"/>
      <c r="M1309" s="65" t="n"/>
      <c r="N1309" s="65" t="n"/>
      <c r="O1309" s="65" t="n"/>
      <c r="P1309" s="65" t="n"/>
      <c r="Q1309" s="65" t="n"/>
      <c r="R1309" s="65" t="n"/>
      <c r="S1309" s="65" t="n"/>
      <c r="T1309" s="65" t="n"/>
      <c r="U1309" s="65" t="n"/>
      <c r="V1309" s="65" t="n"/>
      <c r="W1309" s="65" t="n"/>
      <c r="X1309" s="65" t="n"/>
      <c r="Y1309" s="32">
        <f>IF($C1309="","",IF(COUNTA($I1309:$K1309)&lt;3,"— חסרים נתונים",IF(AND($I1309="תקין",$J1309="תקין",$K1309="תקין"),"רהוטה",IF(AND($I1309="תקין",$J1309="תקין"),"מדויקת ורציפה","אינה מדויקת או מקוטעת"))))</f>
        <v/>
      </c>
      <c r="Z1309" s="32">
        <f>IF($C1309="","",IF(COUNTA($U1309:$W1309)&lt;3,"",IF(AND($U1309="מפותח",$V1309="מפותח",$W1309="מפותחת"),"מפותחת",IF((--($U1309="דל"))+(--($V1309="אינו מפותח"))+(--($W1309="דלה"))&gt;=2,"אינה מפותחת","חלקית"))))</f>
        <v/>
      </c>
      <c r="AA1309" s="32">
        <f>IF($C1309="","",IF(COUNTA($M1309,$N1309,$O1309)&lt;3,"— חסרים נתונים",IF(OR($M1309="נמוכה",(--($M1309&lt;&gt;"תקינה"))+(--($N1309&lt;&gt;"תקין"))+(--($O1309&lt;&gt;"תקינה"))&gt;=2),"ניכרת","אינה ניכרת")))</f>
        <v/>
      </c>
      <c r="AB1309" s="32">
        <f>IF(OR($C1309="",$Y1309="",$AA1309="",LEFT($Y1309,1)="—",LEFT($AA1309,1)="—"),"",IF($Z1309="","— נדרשת הערכת כתיבה",IF($L1309="","— חסרה הבנת הנקרא",IF($Y1309="אינה מדויקת או מקוטעת",IF($AA1309="ניכרת","מיקוד בשטף הקריאה ובכישורי שפה","מיקוד בשטף קריאה"),IF($AA1309="ניכרת","מיקוד בכישורי שפה",IF(AND($L1309="תקינה",$Z1309="מפותחת"),"קוראים וכותבים מיומנים","מיקוד בהבנה והבעה"))))))</f>
        <v/>
      </c>
      <c r="AC1309" s="32">
        <f>IF(OR($AB1309="",LEFT($AB1309,1)="—"),"",IF(OR($AB1309="מיקוד בשטף קריאה",$AB1309="מיקוד בשטף הקריאה ובכישורי שפה"),"רמה א'",IF($AB1309="קוראים וכותבים מיומנים","רמה ג'","רמה ב'")))</f>
        <v/>
      </c>
      <c r="AD1309" s="32">
        <f>IF($AC1309="","",MID(IF(AND($AC1309="רמה א'",$AA1309="ניכרת"),"; להוסיף עבודת אוצר מילים","")&amp;IF($Z1309="אינה מפותחת","; דגש על הבעה בכתב","")&amp;IF($K1309&lt;&gt;"תקין","; נדרש לעבוד על ההנגנה","")&amp;IF($AK1309&lt;&gt;"","; "&amp;$AK1309,""),3,400))</f>
        <v/>
      </c>
      <c r="AE1309" s="32">
        <f>IF($F1309="","",IF($F1309="תחילת שנה",1,IF($F1309="מחצית שנה",2,3)))</f>
        <v/>
      </c>
      <c r="AF1309" s="32">
        <f>IF(OR($B1309="",$AC1309="",$A1309="",$F1309=""),"",$B1309&amp;"|"&amp;$A1309&amp;"|"&amp;$F1309&amp;"|"&amp;$AC1309&amp;"|"&amp;COUNTIFS($B$6:$B1309,$B1309,$A$6:$A1309,$A1309,$F$6:$F1309,$F1309,$AC$6:$AC1309,$AC1309))</f>
        <v/>
      </c>
      <c r="AG1309" s="32">
        <f>IF($C1309="","",$C1309&amp;"|"&amp;COUNTIFS($C$6:$C1309,$C1309))</f>
        <v/>
      </c>
      <c r="AH1309" s="32">
        <f>IF(OR($C1309="",$A1309="",$AE1309=""),"",$C1309&amp;"|"&amp;$A1309&amp;"|"&amp;$AE1309)</f>
        <v/>
      </c>
      <c r="AI1309" s="32">
        <f>IF(OR($C1309="",$AE1309="",$AE1309=1),"",IFERROR(INDEX($AC$6:$AC$1505,MATCH($C1309&amp;"|"&amp;$A1309&amp;"|"&amp;($AE1309-1),$AH$6:$AH$1505,0)),""))</f>
        <v/>
      </c>
      <c r="AJ1309" s="32">
        <f>IF(OR($AI1309="",$AC1309=""),"",IF($AI1309=$AC1309,"ללא שינוי","מ-"&amp;$AI1309&amp;" ל-"&amp;$AC1309))</f>
        <v/>
      </c>
      <c r="AK1309" s="67" t="n"/>
    </row>
    <row r="1310">
      <c r="A1310" s="65" t="n"/>
      <c r="B1310" s="65" t="n"/>
      <c r="C1310" s="66" t="n"/>
      <c r="D1310" s="66" t="n"/>
      <c r="E1310" s="65" t="n"/>
      <c r="F1310" s="65" t="n"/>
      <c r="G1310" s="65" t="n"/>
      <c r="H1310" s="65" t="n"/>
      <c r="I1310" s="65" t="n"/>
      <c r="J1310" s="65" t="n"/>
      <c r="K1310" s="65" t="n"/>
      <c r="L1310" s="65" t="n"/>
      <c r="M1310" s="65" t="n"/>
      <c r="N1310" s="65" t="n"/>
      <c r="O1310" s="65" t="n"/>
      <c r="P1310" s="65" t="n"/>
      <c r="Q1310" s="65" t="n"/>
      <c r="R1310" s="65" t="n"/>
      <c r="S1310" s="65" t="n"/>
      <c r="T1310" s="65" t="n"/>
      <c r="U1310" s="65" t="n"/>
      <c r="V1310" s="65" t="n"/>
      <c r="W1310" s="65" t="n"/>
      <c r="X1310" s="65" t="n"/>
      <c r="Y1310" s="32">
        <f>IF($C1310="","",IF(COUNTA($I1310:$K1310)&lt;3,"— חסרים נתונים",IF(AND($I1310="תקין",$J1310="תקין",$K1310="תקין"),"רהוטה",IF(AND($I1310="תקין",$J1310="תקין"),"מדויקת ורציפה","אינה מדויקת או מקוטעת"))))</f>
        <v/>
      </c>
      <c r="Z1310" s="32">
        <f>IF($C1310="","",IF(COUNTA($U1310:$W1310)&lt;3,"",IF(AND($U1310="מפותח",$V1310="מפותח",$W1310="מפותחת"),"מפותחת",IF((--($U1310="דל"))+(--($V1310="אינו מפותח"))+(--($W1310="דלה"))&gt;=2,"אינה מפותחת","חלקית"))))</f>
        <v/>
      </c>
      <c r="AA1310" s="32">
        <f>IF($C1310="","",IF(COUNTA($M1310,$N1310,$O1310)&lt;3,"— חסרים נתונים",IF(OR($M1310="נמוכה",(--($M1310&lt;&gt;"תקינה"))+(--($N1310&lt;&gt;"תקין"))+(--($O1310&lt;&gt;"תקינה"))&gt;=2),"ניכרת","אינה ניכרת")))</f>
        <v/>
      </c>
      <c r="AB1310" s="32">
        <f>IF(OR($C1310="",$Y1310="",$AA1310="",LEFT($Y1310,1)="—",LEFT($AA1310,1)="—"),"",IF($Z1310="","— נדרשת הערכת כתיבה",IF($L1310="","— חסרה הבנת הנקרא",IF($Y1310="אינה מדויקת או מקוטעת",IF($AA1310="ניכרת","מיקוד בשטף הקריאה ובכישורי שפה","מיקוד בשטף קריאה"),IF($AA1310="ניכרת","מיקוד בכישורי שפה",IF(AND($L1310="תקינה",$Z1310="מפותחת"),"קוראים וכותבים מיומנים","מיקוד בהבנה והבעה"))))))</f>
        <v/>
      </c>
      <c r="AC1310" s="32">
        <f>IF(OR($AB1310="",LEFT($AB1310,1)="—"),"",IF(OR($AB1310="מיקוד בשטף קריאה",$AB1310="מיקוד בשטף הקריאה ובכישורי שפה"),"רמה א'",IF($AB1310="קוראים וכותבים מיומנים","רמה ג'","רמה ב'")))</f>
        <v/>
      </c>
      <c r="AD1310" s="32">
        <f>IF($AC1310="","",MID(IF(AND($AC1310="רמה א'",$AA1310="ניכרת"),"; להוסיף עבודת אוצר מילים","")&amp;IF($Z1310="אינה מפותחת","; דגש על הבעה בכתב","")&amp;IF($K1310&lt;&gt;"תקין","; נדרש לעבוד על ההנגנה","")&amp;IF($AK1310&lt;&gt;"","; "&amp;$AK1310,""),3,400))</f>
        <v/>
      </c>
      <c r="AE1310" s="32">
        <f>IF($F1310="","",IF($F1310="תחילת שנה",1,IF($F1310="מחצית שנה",2,3)))</f>
        <v/>
      </c>
      <c r="AF1310" s="32">
        <f>IF(OR($B1310="",$AC1310="",$A1310="",$F1310=""),"",$B1310&amp;"|"&amp;$A1310&amp;"|"&amp;$F1310&amp;"|"&amp;$AC1310&amp;"|"&amp;COUNTIFS($B$6:$B1310,$B1310,$A$6:$A1310,$A1310,$F$6:$F1310,$F1310,$AC$6:$AC1310,$AC1310))</f>
        <v/>
      </c>
      <c r="AG1310" s="32">
        <f>IF($C1310="","",$C1310&amp;"|"&amp;COUNTIFS($C$6:$C1310,$C1310))</f>
        <v/>
      </c>
      <c r="AH1310" s="32">
        <f>IF(OR($C1310="",$A1310="",$AE1310=""),"",$C1310&amp;"|"&amp;$A1310&amp;"|"&amp;$AE1310)</f>
        <v/>
      </c>
      <c r="AI1310" s="32">
        <f>IF(OR($C1310="",$AE1310="",$AE1310=1),"",IFERROR(INDEX($AC$6:$AC$1505,MATCH($C1310&amp;"|"&amp;$A1310&amp;"|"&amp;($AE1310-1),$AH$6:$AH$1505,0)),""))</f>
        <v/>
      </c>
      <c r="AJ1310" s="32">
        <f>IF(OR($AI1310="",$AC1310=""),"",IF($AI1310=$AC1310,"ללא שינוי","מ-"&amp;$AI1310&amp;" ל-"&amp;$AC1310))</f>
        <v/>
      </c>
      <c r="AK1310" s="67" t="n"/>
    </row>
    <row r="1311">
      <c r="A1311" s="65" t="n"/>
      <c r="B1311" s="65" t="n"/>
      <c r="C1311" s="66" t="n"/>
      <c r="D1311" s="66" t="n"/>
      <c r="E1311" s="65" t="n"/>
      <c r="F1311" s="65" t="n"/>
      <c r="G1311" s="65" t="n"/>
      <c r="H1311" s="65" t="n"/>
      <c r="I1311" s="65" t="n"/>
      <c r="J1311" s="65" t="n"/>
      <c r="K1311" s="65" t="n"/>
      <c r="L1311" s="65" t="n"/>
      <c r="M1311" s="65" t="n"/>
      <c r="N1311" s="65" t="n"/>
      <c r="O1311" s="65" t="n"/>
      <c r="P1311" s="65" t="n"/>
      <c r="Q1311" s="65" t="n"/>
      <c r="R1311" s="65" t="n"/>
      <c r="S1311" s="65" t="n"/>
      <c r="T1311" s="65" t="n"/>
      <c r="U1311" s="65" t="n"/>
      <c r="V1311" s="65" t="n"/>
      <c r="W1311" s="65" t="n"/>
      <c r="X1311" s="65" t="n"/>
      <c r="Y1311" s="32">
        <f>IF($C1311="","",IF(COUNTA($I1311:$K1311)&lt;3,"— חסרים נתונים",IF(AND($I1311="תקין",$J1311="תקין",$K1311="תקין"),"רהוטה",IF(AND($I1311="תקין",$J1311="תקין"),"מדויקת ורציפה","אינה מדויקת או מקוטעת"))))</f>
        <v/>
      </c>
      <c r="Z1311" s="32">
        <f>IF($C1311="","",IF(COUNTA($U1311:$W1311)&lt;3,"",IF(AND($U1311="מפותח",$V1311="מפותח",$W1311="מפותחת"),"מפותחת",IF((--($U1311="דל"))+(--($V1311="אינו מפותח"))+(--($W1311="דלה"))&gt;=2,"אינה מפותחת","חלקית"))))</f>
        <v/>
      </c>
      <c r="AA1311" s="32">
        <f>IF($C1311="","",IF(COUNTA($M1311,$N1311,$O1311)&lt;3,"— חסרים נתונים",IF(OR($M1311="נמוכה",(--($M1311&lt;&gt;"תקינה"))+(--($N1311&lt;&gt;"תקין"))+(--($O1311&lt;&gt;"תקינה"))&gt;=2),"ניכרת","אינה ניכרת")))</f>
        <v/>
      </c>
      <c r="AB1311" s="32">
        <f>IF(OR($C1311="",$Y1311="",$AA1311="",LEFT($Y1311,1)="—",LEFT($AA1311,1)="—"),"",IF($Z1311="","— נדרשת הערכת כתיבה",IF($L1311="","— חסרה הבנת הנקרא",IF($Y1311="אינה מדויקת או מקוטעת",IF($AA1311="ניכרת","מיקוד בשטף הקריאה ובכישורי שפה","מיקוד בשטף קריאה"),IF($AA1311="ניכרת","מיקוד בכישורי שפה",IF(AND($L1311="תקינה",$Z1311="מפותחת"),"קוראים וכותבים מיומנים","מיקוד בהבנה והבעה"))))))</f>
        <v/>
      </c>
      <c r="AC1311" s="32">
        <f>IF(OR($AB1311="",LEFT($AB1311,1)="—"),"",IF(OR($AB1311="מיקוד בשטף קריאה",$AB1311="מיקוד בשטף הקריאה ובכישורי שפה"),"רמה א'",IF($AB1311="קוראים וכותבים מיומנים","רמה ג'","רמה ב'")))</f>
        <v/>
      </c>
      <c r="AD1311" s="32">
        <f>IF($AC1311="","",MID(IF(AND($AC1311="רמה א'",$AA1311="ניכרת"),"; להוסיף עבודת אוצר מילים","")&amp;IF($Z1311="אינה מפותחת","; דגש על הבעה בכתב","")&amp;IF($K1311&lt;&gt;"תקין","; נדרש לעבוד על ההנגנה","")&amp;IF($AK1311&lt;&gt;"","; "&amp;$AK1311,""),3,400))</f>
        <v/>
      </c>
      <c r="AE1311" s="32">
        <f>IF($F1311="","",IF($F1311="תחילת שנה",1,IF($F1311="מחצית שנה",2,3)))</f>
        <v/>
      </c>
      <c r="AF1311" s="32">
        <f>IF(OR($B1311="",$AC1311="",$A1311="",$F1311=""),"",$B1311&amp;"|"&amp;$A1311&amp;"|"&amp;$F1311&amp;"|"&amp;$AC1311&amp;"|"&amp;COUNTIFS($B$6:$B1311,$B1311,$A$6:$A1311,$A1311,$F$6:$F1311,$F1311,$AC$6:$AC1311,$AC1311))</f>
        <v/>
      </c>
      <c r="AG1311" s="32">
        <f>IF($C1311="","",$C1311&amp;"|"&amp;COUNTIFS($C$6:$C1311,$C1311))</f>
        <v/>
      </c>
      <c r="AH1311" s="32">
        <f>IF(OR($C1311="",$A1311="",$AE1311=""),"",$C1311&amp;"|"&amp;$A1311&amp;"|"&amp;$AE1311)</f>
        <v/>
      </c>
      <c r="AI1311" s="32">
        <f>IF(OR($C1311="",$AE1311="",$AE1311=1),"",IFERROR(INDEX($AC$6:$AC$1505,MATCH($C1311&amp;"|"&amp;$A1311&amp;"|"&amp;($AE1311-1),$AH$6:$AH$1505,0)),""))</f>
        <v/>
      </c>
      <c r="AJ1311" s="32">
        <f>IF(OR($AI1311="",$AC1311=""),"",IF($AI1311=$AC1311,"ללא שינוי","מ-"&amp;$AI1311&amp;" ל-"&amp;$AC1311))</f>
        <v/>
      </c>
      <c r="AK1311" s="67" t="n"/>
    </row>
    <row r="1312">
      <c r="A1312" s="65" t="n"/>
      <c r="B1312" s="65" t="n"/>
      <c r="C1312" s="66" t="n"/>
      <c r="D1312" s="66" t="n"/>
      <c r="E1312" s="65" t="n"/>
      <c r="F1312" s="65" t="n"/>
      <c r="G1312" s="65" t="n"/>
      <c r="H1312" s="65" t="n"/>
      <c r="I1312" s="65" t="n"/>
      <c r="J1312" s="65" t="n"/>
      <c r="K1312" s="65" t="n"/>
      <c r="L1312" s="65" t="n"/>
      <c r="M1312" s="65" t="n"/>
      <c r="N1312" s="65" t="n"/>
      <c r="O1312" s="65" t="n"/>
      <c r="P1312" s="65" t="n"/>
      <c r="Q1312" s="65" t="n"/>
      <c r="R1312" s="65" t="n"/>
      <c r="S1312" s="65" t="n"/>
      <c r="T1312" s="65" t="n"/>
      <c r="U1312" s="65" t="n"/>
      <c r="V1312" s="65" t="n"/>
      <c r="W1312" s="65" t="n"/>
      <c r="X1312" s="65" t="n"/>
      <c r="Y1312" s="32">
        <f>IF($C1312="","",IF(COUNTA($I1312:$K1312)&lt;3,"— חסרים נתונים",IF(AND($I1312="תקין",$J1312="תקין",$K1312="תקין"),"רהוטה",IF(AND($I1312="תקין",$J1312="תקין"),"מדויקת ורציפה","אינה מדויקת או מקוטעת"))))</f>
        <v/>
      </c>
      <c r="Z1312" s="32">
        <f>IF($C1312="","",IF(COUNTA($U1312:$W1312)&lt;3,"",IF(AND($U1312="מפותח",$V1312="מפותח",$W1312="מפותחת"),"מפותחת",IF((--($U1312="דל"))+(--($V1312="אינו מפותח"))+(--($W1312="דלה"))&gt;=2,"אינה מפותחת","חלקית"))))</f>
        <v/>
      </c>
      <c r="AA1312" s="32">
        <f>IF($C1312="","",IF(COUNTA($M1312,$N1312,$O1312)&lt;3,"— חסרים נתונים",IF(OR($M1312="נמוכה",(--($M1312&lt;&gt;"תקינה"))+(--($N1312&lt;&gt;"תקין"))+(--($O1312&lt;&gt;"תקינה"))&gt;=2),"ניכרת","אינה ניכרת")))</f>
        <v/>
      </c>
      <c r="AB1312" s="32">
        <f>IF(OR($C1312="",$Y1312="",$AA1312="",LEFT($Y1312,1)="—",LEFT($AA1312,1)="—"),"",IF($Z1312="","— נדרשת הערכת כתיבה",IF($L1312="","— חסרה הבנת הנקרא",IF($Y1312="אינה מדויקת או מקוטעת",IF($AA1312="ניכרת","מיקוד בשטף הקריאה ובכישורי שפה","מיקוד בשטף קריאה"),IF($AA1312="ניכרת","מיקוד בכישורי שפה",IF(AND($L1312="תקינה",$Z1312="מפותחת"),"קוראים וכותבים מיומנים","מיקוד בהבנה והבעה"))))))</f>
        <v/>
      </c>
      <c r="AC1312" s="32">
        <f>IF(OR($AB1312="",LEFT($AB1312,1)="—"),"",IF(OR($AB1312="מיקוד בשטף קריאה",$AB1312="מיקוד בשטף הקריאה ובכישורי שפה"),"רמה א'",IF($AB1312="קוראים וכותבים מיומנים","רמה ג'","רמה ב'")))</f>
        <v/>
      </c>
      <c r="AD1312" s="32">
        <f>IF($AC1312="","",MID(IF(AND($AC1312="רמה א'",$AA1312="ניכרת"),"; להוסיף עבודת אוצר מילים","")&amp;IF($Z1312="אינה מפותחת","; דגש על הבעה בכתב","")&amp;IF($K1312&lt;&gt;"תקין","; נדרש לעבוד על ההנגנה","")&amp;IF($AK1312&lt;&gt;"","; "&amp;$AK1312,""),3,400))</f>
        <v/>
      </c>
      <c r="AE1312" s="32">
        <f>IF($F1312="","",IF($F1312="תחילת שנה",1,IF($F1312="מחצית שנה",2,3)))</f>
        <v/>
      </c>
      <c r="AF1312" s="32">
        <f>IF(OR($B1312="",$AC1312="",$A1312="",$F1312=""),"",$B1312&amp;"|"&amp;$A1312&amp;"|"&amp;$F1312&amp;"|"&amp;$AC1312&amp;"|"&amp;COUNTIFS($B$6:$B1312,$B1312,$A$6:$A1312,$A1312,$F$6:$F1312,$F1312,$AC$6:$AC1312,$AC1312))</f>
        <v/>
      </c>
      <c r="AG1312" s="32">
        <f>IF($C1312="","",$C1312&amp;"|"&amp;COUNTIFS($C$6:$C1312,$C1312))</f>
        <v/>
      </c>
      <c r="AH1312" s="32">
        <f>IF(OR($C1312="",$A1312="",$AE1312=""),"",$C1312&amp;"|"&amp;$A1312&amp;"|"&amp;$AE1312)</f>
        <v/>
      </c>
      <c r="AI1312" s="32">
        <f>IF(OR($C1312="",$AE1312="",$AE1312=1),"",IFERROR(INDEX($AC$6:$AC$1505,MATCH($C1312&amp;"|"&amp;$A1312&amp;"|"&amp;($AE1312-1),$AH$6:$AH$1505,0)),""))</f>
        <v/>
      </c>
      <c r="AJ1312" s="32">
        <f>IF(OR($AI1312="",$AC1312=""),"",IF($AI1312=$AC1312,"ללא שינוי","מ-"&amp;$AI1312&amp;" ל-"&amp;$AC1312))</f>
        <v/>
      </c>
      <c r="AK1312" s="67" t="n"/>
    </row>
    <row r="1313">
      <c r="A1313" s="65" t="n"/>
      <c r="B1313" s="65" t="n"/>
      <c r="C1313" s="66" t="n"/>
      <c r="D1313" s="66" t="n"/>
      <c r="E1313" s="65" t="n"/>
      <c r="F1313" s="65" t="n"/>
      <c r="G1313" s="65" t="n"/>
      <c r="H1313" s="65" t="n"/>
      <c r="I1313" s="65" t="n"/>
      <c r="J1313" s="65" t="n"/>
      <c r="K1313" s="65" t="n"/>
      <c r="L1313" s="65" t="n"/>
      <c r="M1313" s="65" t="n"/>
      <c r="N1313" s="65" t="n"/>
      <c r="O1313" s="65" t="n"/>
      <c r="P1313" s="65" t="n"/>
      <c r="Q1313" s="65" t="n"/>
      <c r="R1313" s="65" t="n"/>
      <c r="S1313" s="65" t="n"/>
      <c r="T1313" s="65" t="n"/>
      <c r="U1313" s="65" t="n"/>
      <c r="V1313" s="65" t="n"/>
      <c r="W1313" s="65" t="n"/>
      <c r="X1313" s="65" t="n"/>
      <c r="Y1313" s="32">
        <f>IF($C1313="","",IF(COUNTA($I1313:$K1313)&lt;3,"— חסרים נתונים",IF(AND($I1313="תקין",$J1313="תקין",$K1313="תקין"),"רהוטה",IF(AND($I1313="תקין",$J1313="תקין"),"מדויקת ורציפה","אינה מדויקת או מקוטעת"))))</f>
        <v/>
      </c>
      <c r="Z1313" s="32">
        <f>IF($C1313="","",IF(COUNTA($U1313:$W1313)&lt;3,"",IF(AND($U1313="מפותח",$V1313="מפותח",$W1313="מפותחת"),"מפותחת",IF((--($U1313="דל"))+(--($V1313="אינו מפותח"))+(--($W1313="דלה"))&gt;=2,"אינה מפותחת","חלקית"))))</f>
        <v/>
      </c>
      <c r="AA1313" s="32">
        <f>IF($C1313="","",IF(COUNTA($M1313,$N1313,$O1313)&lt;3,"— חסרים נתונים",IF(OR($M1313="נמוכה",(--($M1313&lt;&gt;"תקינה"))+(--($N1313&lt;&gt;"תקין"))+(--($O1313&lt;&gt;"תקינה"))&gt;=2),"ניכרת","אינה ניכרת")))</f>
        <v/>
      </c>
      <c r="AB1313" s="32">
        <f>IF(OR($C1313="",$Y1313="",$AA1313="",LEFT($Y1313,1)="—",LEFT($AA1313,1)="—"),"",IF($Z1313="","— נדרשת הערכת כתיבה",IF($L1313="","— חסרה הבנת הנקרא",IF($Y1313="אינה מדויקת או מקוטעת",IF($AA1313="ניכרת","מיקוד בשטף הקריאה ובכישורי שפה","מיקוד בשטף קריאה"),IF($AA1313="ניכרת","מיקוד בכישורי שפה",IF(AND($L1313="תקינה",$Z1313="מפותחת"),"קוראים וכותבים מיומנים","מיקוד בהבנה והבעה"))))))</f>
        <v/>
      </c>
      <c r="AC1313" s="32">
        <f>IF(OR($AB1313="",LEFT($AB1313,1)="—"),"",IF(OR($AB1313="מיקוד בשטף קריאה",$AB1313="מיקוד בשטף הקריאה ובכישורי שפה"),"רמה א'",IF($AB1313="קוראים וכותבים מיומנים","רמה ג'","רמה ב'")))</f>
        <v/>
      </c>
      <c r="AD1313" s="32">
        <f>IF($AC1313="","",MID(IF(AND($AC1313="רמה א'",$AA1313="ניכרת"),"; להוסיף עבודת אוצר מילים","")&amp;IF($Z1313="אינה מפותחת","; דגש על הבעה בכתב","")&amp;IF($K1313&lt;&gt;"תקין","; נדרש לעבוד על ההנגנה","")&amp;IF($AK1313&lt;&gt;"","; "&amp;$AK1313,""),3,400))</f>
        <v/>
      </c>
      <c r="AE1313" s="32">
        <f>IF($F1313="","",IF($F1313="תחילת שנה",1,IF($F1313="מחצית שנה",2,3)))</f>
        <v/>
      </c>
      <c r="AF1313" s="32">
        <f>IF(OR($B1313="",$AC1313="",$A1313="",$F1313=""),"",$B1313&amp;"|"&amp;$A1313&amp;"|"&amp;$F1313&amp;"|"&amp;$AC1313&amp;"|"&amp;COUNTIFS($B$6:$B1313,$B1313,$A$6:$A1313,$A1313,$F$6:$F1313,$F1313,$AC$6:$AC1313,$AC1313))</f>
        <v/>
      </c>
      <c r="AG1313" s="32">
        <f>IF($C1313="","",$C1313&amp;"|"&amp;COUNTIFS($C$6:$C1313,$C1313))</f>
        <v/>
      </c>
      <c r="AH1313" s="32">
        <f>IF(OR($C1313="",$A1313="",$AE1313=""),"",$C1313&amp;"|"&amp;$A1313&amp;"|"&amp;$AE1313)</f>
        <v/>
      </c>
      <c r="AI1313" s="32">
        <f>IF(OR($C1313="",$AE1313="",$AE1313=1),"",IFERROR(INDEX($AC$6:$AC$1505,MATCH($C1313&amp;"|"&amp;$A1313&amp;"|"&amp;($AE1313-1),$AH$6:$AH$1505,0)),""))</f>
        <v/>
      </c>
      <c r="AJ1313" s="32">
        <f>IF(OR($AI1313="",$AC1313=""),"",IF($AI1313=$AC1313,"ללא שינוי","מ-"&amp;$AI1313&amp;" ל-"&amp;$AC1313))</f>
        <v/>
      </c>
      <c r="AK1313" s="67" t="n"/>
    </row>
    <row r="1314">
      <c r="A1314" s="65" t="n"/>
      <c r="B1314" s="65" t="n"/>
      <c r="C1314" s="66" t="n"/>
      <c r="D1314" s="66" t="n"/>
      <c r="E1314" s="65" t="n"/>
      <c r="F1314" s="65" t="n"/>
      <c r="G1314" s="65" t="n"/>
      <c r="H1314" s="65" t="n"/>
      <c r="I1314" s="65" t="n"/>
      <c r="J1314" s="65" t="n"/>
      <c r="K1314" s="65" t="n"/>
      <c r="L1314" s="65" t="n"/>
      <c r="M1314" s="65" t="n"/>
      <c r="N1314" s="65" t="n"/>
      <c r="O1314" s="65" t="n"/>
      <c r="P1314" s="65" t="n"/>
      <c r="Q1314" s="65" t="n"/>
      <c r="R1314" s="65" t="n"/>
      <c r="S1314" s="65" t="n"/>
      <c r="T1314" s="65" t="n"/>
      <c r="U1314" s="65" t="n"/>
      <c r="V1314" s="65" t="n"/>
      <c r="W1314" s="65" t="n"/>
      <c r="X1314" s="65" t="n"/>
      <c r="Y1314" s="32">
        <f>IF($C1314="","",IF(COUNTA($I1314:$K1314)&lt;3,"— חסרים נתונים",IF(AND($I1314="תקין",$J1314="תקין",$K1314="תקין"),"רהוטה",IF(AND($I1314="תקין",$J1314="תקין"),"מדויקת ורציפה","אינה מדויקת או מקוטעת"))))</f>
        <v/>
      </c>
      <c r="Z1314" s="32">
        <f>IF($C1314="","",IF(COUNTA($U1314:$W1314)&lt;3,"",IF(AND($U1314="מפותח",$V1314="מפותח",$W1314="מפותחת"),"מפותחת",IF((--($U1314="דל"))+(--($V1314="אינו מפותח"))+(--($W1314="דלה"))&gt;=2,"אינה מפותחת","חלקית"))))</f>
        <v/>
      </c>
      <c r="AA1314" s="32">
        <f>IF($C1314="","",IF(COUNTA($M1314,$N1314,$O1314)&lt;3,"— חסרים נתונים",IF(OR($M1314="נמוכה",(--($M1314&lt;&gt;"תקינה"))+(--($N1314&lt;&gt;"תקין"))+(--($O1314&lt;&gt;"תקינה"))&gt;=2),"ניכרת","אינה ניכרת")))</f>
        <v/>
      </c>
      <c r="AB1314" s="32">
        <f>IF(OR($C1314="",$Y1314="",$AA1314="",LEFT($Y1314,1)="—",LEFT($AA1314,1)="—"),"",IF($Z1314="","— נדרשת הערכת כתיבה",IF($L1314="","— חסרה הבנת הנקרא",IF($Y1314="אינה מדויקת או מקוטעת",IF($AA1314="ניכרת","מיקוד בשטף הקריאה ובכישורי שפה","מיקוד בשטף קריאה"),IF($AA1314="ניכרת","מיקוד בכישורי שפה",IF(AND($L1314="תקינה",$Z1314="מפותחת"),"קוראים וכותבים מיומנים","מיקוד בהבנה והבעה"))))))</f>
        <v/>
      </c>
      <c r="AC1314" s="32">
        <f>IF(OR($AB1314="",LEFT($AB1314,1)="—"),"",IF(OR($AB1314="מיקוד בשטף קריאה",$AB1314="מיקוד בשטף הקריאה ובכישורי שפה"),"רמה א'",IF($AB1314="קוראים וכותבים מיומנים","רמה ג'","רמה ב'")))</f>
        <v/>
      </c>
      <c r="AD1314" s="32">
        <f>IF($AC1314="","",MID(IF(AND($AC1314="רמה א'",$AA1314="ניכרת"),"; להוסיף עבודת אוצר מילים","")&amp;IF($Z1314="אינה מפותחת","; דגש על הבעה בכתב","")&amp;IF($K1314&lt;&gt;"תקין","; נדרש לעבוד על ההנגנה","")&amp;IF($AK1314&lt;&gt;"","; "&amp;$AK1314,""),3,400))</f>
        <v/>
      </c>
      <c r="AE1314" s="32">
        <f>IF($F1314="","",IF($F1314="תחילת שנה",1,IF($F1314="מחצית שנה",2,3)))</f>
        <v/>
      </c>
      <c r="AF1314" s="32">
        <f>IF(OR($B1314="",$AC1314="",$A1314="",$F1314=""),"",$B1314&amp;"|"&amp;$A1314&amp;"|"&amp;$F1314&amp;"|"&amp;$AC1314&amp;"|"&amp;COUNTIFS($B$6:$B1314,$B1314,$A$6:$A1314,$A1314,$F$6:$F1314,$F1314,$AC$6:$AC1314,$AC1314))</f>
        <v/>
      </c>
      <c r="AG1314" s="32">
        <f>IF($C1314="","",$C1314&amp;"|"&amp;COUNTIFS($C$6:$C1314,$C1314))</f>
        <v/>
      </c>
      <c r="AH1314" s="32">
        <f>IF(OR($C1314="",$A1314="",$AE1314=""),"",$C1314&amp;"|"&amp;$A1314&amp;"|"&amp;$AE1314)</f>
        <v/>
      </c>
      <c r="AI1314" s="32">
        <f>IF(OR($C1314="",$AE1314="",$AE1314=1),"",IFERROR(INDEX($AC$6:$AC$1505,MATCH($C1314&amp;"|"&amp;$A1314&amp;"|"&amp;($AE1314-1),$AH$6:$AH$1505,0)),""))</f>
        <v/>
      </c>
      <c r="AJ1314" s="32">
        <f>IF(OR($AI1314="",$AC1314=""),"",IF($AI1314=$AC1314,"ללא שינוי","מ-"&amp;$AI1314&amp;" ל-"&amp;$AC1314))</f>
        <v/>
      </c>
      <c r="AK1314" s="67" t="n"/>
    </row>
    <row r="1315">
      <c r="A1315" s="65" t="n"/>
      <c r="B1315" s="65" t="n"/>
      <c r="C1315" s="66" t="n"/>
      <c r="D1315" s="66" t="n"/>
      <c r="E1315" s="65" t="n"/>
      <c r="F1315" s="65" t="n"/>
      <c r="G1315" s="65" t="n"/>
      <c r="H1315" s="65" t="n"/>
      <c r="I1315" s="65" t="n"/>
      <c r="J1315" s="65" t="n"/>
      <c r="K1315" s="65" t="n"/>
      <c r="L1315" s="65" t="n"/>
      <c r="M1315" s="65" t="n"/>
      <c r="N1315" s="65" t="n"/>
      <c r="O1315" s="65" t="n"/>
      <c r="P1315" s="65" t="n"/>
      <c r="Q1315" s="65" t="n"/>
      <c r="R1315" s="65" t="n"/>
      <c r="S1315" s="65" t="n"/>
      <c r="T1315" s="65" t="n"/>
      <c r="U1315" s="65" t="n"/>
      <c r="V1315" s="65" t="n"/>
      <c r="W1315" s="65" t="n"/>
      <c r="X1315" s="65" t="n"/>
      <c r="Y1315" s="32">
        <f>IF($C1315="","",IF(COUNTA($I1315:$K1315)&lt;3,"— חסרים נתונים",IF(AND($I1315="תקין",$J1315="תקין",$K1315="תקין"),"רהוטה",IF(AND($I1315="תקין",$J1315="תקין"),"מדויקת ורציפה","אינה מדויקת או מקוטעת"))))</f>
        <v/>
      </c>
      <c r="Z1315" s="32">
        <f>IF($C1315="","",IF(COUNTA($U1315:$W1315)&lt;3,"",IF(AND($U1315="מפותח",$V1315="מפותח",$W1315="מפותחת"),"מפותחת",IF((--($U1315="דל"))+(--($V1315="אינו מפותח"))+(--($W1315="דלה"))&gt;=2,"אינה מפותחת","חלקית"))))</f>
        <v/>
      </c>
      <c r="AA1315" s="32">
        <f>IF($C1315="","",IF(COUNTA($M1315,$N1315,$O1315)&lt;3,"— חסרים נתונים",IF(OR($M1315="נמוכה",(--($M1315&lt;&gt;"תקינה"))+(--($N1315&lt;&gt;"תקין"))+(--($O1315&lt;&gt;"תקינה"))&gt;=2),"ניכרת","אינה ניכרת")))</f>
        <v/>
      </c>
      <c r="AB1315" s="32">
        <f>IF(OR($C1315="",$Y1315="",$AA1315="",LEFT($Y1315,1)="—",LEFT($AA1315,1)="—"),"",IF($Z1315="","— נדרשת הערכת כתיבה",IF($L1315="","— חסרה הבנת הנקרא",IF($Y1315="אינה מדויקת או מקוטעת",IF($AA1315="ניכרת","מיקוד בשטף הקריאה ובכישורי שפה","מיקוד בשטף קריאה"),IF($AA1315="ניכרת","מיקוד בכישורי שפה",IF(AND($L1315="תקינה",$Z1315="מפותחת"),"קוראים וכותבים מיומנים","מיקוד בהבנה והבעה"))))))</f>
        <v/>
      </c>
      <c r="AC1315" s="32">
        <f>IF(OR($AB1315="",LEFT($AB1315,1)="—"),"",IF(OR($AB1315="מיקוד בשטף קריאה",$AB1315="מיקוד בשטף הקריאה ובכישורי שפה"),"רמה א'",IF($AB1315="קוראים וכותבים מיומנים","רמה ג'","רמה ב'")))</f>
        <v/>
      </c>
      <c r="AD1315" s="32">
        <f>IF($AC1315="","",MID(IF(AND($AC1315="רמה א'",$AA1315="ניכרת"),"; להוסיף עבודת אוצר מילים","")&amp;IF($Z1315="אינה מפותחת","; דגש על הבעה בכתב","")&amp;IF($K1315&lt;&gt;"תקין","; נדרש לעבוד על ההנגנה","")&amp;IF($AK1315&lt;&gt;"","; "&amp;$AK1315,""),3,400))</f>
        <v/>
      </c>
      <c r="AE1315" s="32">
        <f>IF($F1315="","",IF($F1315="תחילת שנה",1,IF($F1315="מחצית שנה",2,3)))</f>
        <v/>
      </c>
      <c r="AF1315" s="32">
        <f>IF(OR($B1315="",$AC1315="",$A1315="",$F1315=""),"",$B1315&amp;"|"&amp;$A1315&amp;"|"&amp;$F1315&amp;"|"&amp;$AC1315&amp;"|"&amp;COUNTIFS($B$6:$B1315,$B1315,$A$6:$A1315,$A1315,$F$6:$F1315,$F1315,$AC$6:$AC1315,$AC1315))</f>
        <v/>
      </c>
      <c r="AG1315" s="32">
        <f>IF($C1315="","",$C1315&amp;"|"&amp;COUNTIFS($C$6:$C1315,$C1315))</f>
        <v/>
      </c>
      <c r="AH1315" s="32">
        <f>IF(OR($C1315="",$A1315="",$AE1315=""),"",$C1315&amp;"|"&amp;$A1315&amp;"|"&amp;$AE1315)</f>
        <v/>
      </c>
      <c r="AI1315" s="32">
        <f>IF(OR($C1315="",$AE1315="",$AE1315=1),"",IFERROR(INDEX($AC$6:$AC$1505,MATCH($C1315&amp;"|"&amp;$A1315&amp;"|"&amp;($AE1315-1),$AH$6:$AH$1505,0)),""))</f>
        <v/>
      </c>
      <c r="AJ1315" s="32">
        <f>IF(OR($AI1315="",$AC1315=""),"",IF($AI1315=$AC1315,"ללא שינוי","מ-"&amp;$AI1315&amp;" ל-"&amp;$AC1315))</f>
        <v/>
      </c>
      <c r="AK1315" s="67" t="n"/>
    </row>
    <row r="1316">
      <c r="A1316" s="65" t="n"/>
      <c r="B1316" s="65" t="n"/>
      <c r="C1316" s="66" t="n"/>
      <c r="D1316" s="66" t="n"/>
      <c r="E1316" s="65" t="n"/>
      <c r="F1316" s="65" t="n"/>
      <c r="G1316" s="65" t="n"/>
      <c r="H1316" s="65" t="n"/>
      <c r="I1316" s="65" t="n"/>
      <c r="J1316" s="65" t="n"/>
      <c r="K1316" s="65" t="n"/>
      <c r="L1316" s="65" t="n"/>
      <c r="M1316" s="65" t="n"/>
      <c r="N1316" s="65" t="n"/>
      <c r="O1316" s="65" t="n"/>
      <c r="P1316" s="65" t="n"/>
      <c r="Q1316" s="65" t="n"/>
      <c r="R1316" s="65" t="n"/>
      <c r="S1316" s="65" t="n"/>
      <c r="T1316" s="65" t="n"/>
      <c r="U1316" s="65" t="n"/>
      <c r="V1316" s="65" t="n"/>
      <c r="W1316" s="65" t="n"/>
      <c r="X1316" s="65" t="n"/>
      <c r="Y1316" s="32">
        <f>IF($C1316="","",IF(COUNTA($I1316:$K1316)&lt;3,"— חסרים נתונים",IF(AND($I1316="תקין",$J1316="תקין",$K1316="תקין"),"רהוטה",IF(AND($I1316="תקין",$J1316="תקין"),"מדויקת ורציפה","אינה מדויקת או מקוטעת"))))</f>
        <v/>
      </c>
      <c r="Z1316" s="32">
        <f>IF($C1316="","",IF(COUNTA($U1316:$W1316)&lt;3,"",IF(AND($U1316="מפותח",$V1316="מפותח",$W1316="מפותחת"),"מפותחת",IF((--($U1316="דל"))+(--($V1316="אינו מפותח"))+(--($W1316="דלה"))&gt;=2,"אינה מפותחת","חלקית"))))</f>
        <v/>
      </c>
      <c r="AA1316" s="32">
        <f>IF($C1316="","",IF(COUNTA($M1316,$N1316,$O1316)&lt;3,"— חסרים נתונים",IF(OR($M1316="נמוכה",(--($M1316&lt;&gt;"תקינה"))+(--($N1316&lt;&gt;"תקין"))+(--($O1316&lt;&gt;"תקינה"))&gt;=2),"ניכרת","אינה ניכרת")))</f>
        <v/>
      </c>
      <c r="AB1316" s="32">
        <f>IF(OR($C1316="",$Y1316="",$AA1316="",LEFT($Y1316,1)="—",LEFT($AA1316,1)="—"),"",IF($Z1316="","— נדרשת הערכת כתיבה",IF($L1316="","— חסרה הבנת הנקרא",IF($Y1316="אינה מדויקת או מקוטעת",IF($AA1316="ניכרת","מיקוד בשטף הקריאה ובכישורי שפה","מיקוד בשטף קריאה"),IF($AA1316="ניכרת","מיקוד בכישורי שפה",IF(AND($L1316="תקינה",$Z1316="מפותחת"),"קוראים וכותבים מיומנים","מיקוד בהבנה והבעה"))))))</f>
        <v/>
      </c>
      <c r="AC1316" s="32">
        <f>IF(OR($AB1316="",LEFT($AB1316,1)="—"),"",IF(OR($AB1316="מיקוד בשטף קריאה",$AB1316="מיקוד בשטף הקריאה ובכישורי שפה"),"רמה א'",IF($AB1316="קוראים וכותבים מיומנים","רמה ג'","רמה ב'")))</f>
        <v/>
      </c>
      <c r="AD1316" s="32">
        <f>IF($AC1316="","",MID(IF(AND($AC1316="רמה א'",$AA1316="ניכרת"),"; להוסיף עבודת אוצר מילים","")&amp;IF($Z1316="אינה מפותחת","; דגש על הבעה בכתב","")&amp;IF($K1316&lt;&gt;"תקין","; נדרש לעבוד על ההנגנה","")&amp;IF($AK1316&lt;&gt;"","; "&amp;$AK1316,""),3,400))</f>
        <v/>
      </c>
      <c r="AE1316" s="32">
        <f>IF($F1316="","",IF($F1316="תחילת שנה",1,IF($F1316="מחצית שנה",2,3)))</f>
        <v/>
      </c>
      <c r="AF1316" s="32">
        <f>IF(OR($B1316="",$AC1316="",$A1316="",$F1316=""),"",$B1316&amp;"|"&amp;$A1316&amp;"|"&amp;$F1316&amp;"|"&amp;$AC1316&amp;"|"&amp;COUNTIFS($B$6:$B1316,$B1316,$A$6:$A1316,$A1316,$F$6:$F1316,$F1316,$AC$6:$AC1316,$AC1316))</f>
        <v/>
      </c>
      <c r="AG1316" s="32">
        <f>IF($C1316="","",$C1316&amp;"|"&amp;COUNTIFS($C$6:$C1316,$C1316))</f>
        <v/>
      </c>
      <c r="AH1316" s="32">
        <f>IF(OR($C1316="",$A1316="",$AE1316=""),"",$C1316&amp;"|"&amp;$A1316&amp;"|"&amp;$AE1316)</f>
        <v/>
      </c>
      <c r="AI1316" s="32">
        <f>IF(OR($C1316="",$AE1316="",$AE1316=1),"",IFERROR(INDEX($AC$6:$AC$1505,MATCH($C1316&amp;"|"&amp;$A1316&amp;"|"&amp;($AE1316-1),$AH$6:$AH$1505,0)),""))</f>
        <v/>
      </c>
      <c r="AJ1316" s="32">
        <f>IF(OR($AI1316="",$AC1316=""),"",IF($AI1316=$AC1316,"ללא שינוי","מ-"&amp;$AI1316&amp;" ל-"&amp;$AC1316))</f>
        <v/>
      </c>
      <c r="AK1316" s="67" t="n"/>
    </row>
    <row r="1317">
      <c r="A1317" s="65" t="n"/>
      <c r="B1317" s="65" t="n"/>
      <c r="C1317" s="66" t="n"/>
      <c r="D1317" s="66" t="n"/>
      <c r="E1317" s="65" t="n"/>
      <c r="F1317" s="65" t="n"/>
      <c r="G1317" s="65" t="n"/>
      <c r="H1317" s="65" t="n"/>
      <c r="I1317" s="65" t="n"/>
      <c r="J1317" s="65" t="n"/>
      <c r="K1317" s="65" t="n"/>
      <c r="L1317" s="65" t="n"/>
      <c r="M1317" s="65" t="n"/>
      <c r="N1317" s="65" t="n"/>
      <c r="O1317" s="65" t="n"/>
      <c r="P1317" s="65" t="n"/>
      <c r="Q1317" s="65" t="n"/>
      <c r="R1317" s="65" t="n"/>
      <c r="S1317" s="65" t="n"/>
      <c r="T1317" s="65" t="n"/>
      <c r="U1317" s="65" t="n"/>
      <c r="V1317" s="65" t="n"/>
      <c r="W1317" s="65" t="n"/>
      <c r="X1317" s="65" t="n"/>
      <c r="Y1317" s="32">
        <f>IF($C1317="","",IF(COUNTA($I1317:$K1317)&lt;3,"— חסרים נתונים",IF(AND($I1317="תקין",$J1317="תקין",$K1317="תקין"),"רהוטה",IF(AND($I1317="תקין",$J1317="תקין"),"מדויקת ורציפה","אינה מדויקת או מקוטעת"))))</f>
        <v/>
      </c>
      <c r="Z1317" s="32">
        <f>IF($C1317="","",IF(COUNTA($U1317:$W1317)&lt;3,"",IF(AND($U1317="מפותח",$V1317="מפותח",$W1317="מפותחת"),"מפותחת",IF((--($U1317="דל"))+(--($V1317="אינו מפותח"))+(--($W1317="דלה"))&gt;=2,"אינה מפותחת","חלקית"))))</f>
        <v/>
      </c>
      <c r="AA1317" s="32">
        <f>IF($C1317="","",IF(COUNTA($M1317,$N1317,$O1317)&lt;3,"— חסרים נתונים",IF(OR($M1317="נמוכה",(--($M1317&lt;&gt;"תקינה"))+(--($N1317&lt;&gt;"תקין"))+(--($O1317&lt;&gt;"תקינה"))&gt;=2),"ניכרת","אינה ניכרת")))</f>
        <v/>
      </c>
      <c r="AB1317" s="32">
        <f>IF(OR($C1317="",$Y1317="",$AA1317="",LEFT($Y1317,1)="—",LEFT($AA1317,1)="—"),"",IF($Z1317="","— נדרשת הערכת כתיבה",IF($L1317="","— חסרה הבנת הנקרא",IF($Y1317="אינה מדויקת או מקוטעת",IF($AA1317="ניכרת","מיקוד בשטף הקריאה ובכישורי שפה","מיקוד בשטף קריאה"),IF($AA1317="ניכרת","מיקוד בכישורי שפה",IF(AND($L1317="תקינה",$Z1317="מפותחת"),"קוראים וכותבים מיומנים","מיקוד בהבנה והבעה"))))))</f>
        <v/>
      </c>
      <c r="AC1317" s="32">
        <f>IF(OR($AB1317="",LEFT($AB1317,1)="—"),"",IF(OR($AB1317="מיקוד בשטף קריאה",$AB1317="מיקוד בשטף הקריאה ובכישורי שפה"),"רמה א'",IF($AB1317="קוראים וכותבים מיומנים","רמה ג'","רמה ב'")))</f>
        <v/>
      </c>
      <c r="AD1317" s="32">
        <f>IF($AC1317="","",MID(IF(AND($AC1317="רמה א'",$AA1317="ניכרת"),"; להוסיף עבודת אוצר מילים","")&amp;IF($Z1317="אינה מפותחת","; דגש על הבעה בכתב","")&amp;IF($K1317&lt;&gt;"תקין","; נדרש לעבוד על ההנגנה","")&amp;IF($AK1317&lt;&gt;"","; "&amp;$AK1317,""),3,400))</f>
        <v/>
      </c>
      <c r="AE1317" s="32">
        <f>IF($F1317="","",IF($F1317="תחילת שנה",1,IF($F1317="מחצית שנה",2,3)))</f>
        <v/>
      </c>
      <c r="AF1317" s="32">
        <f>IF(OR($B1317="",$AC1317="",$A1317="",$F1317=""),"",$B1317&amp;"|"&amp;$A1317&amp;"|"&amp;$F1317&amp;"|"&amp;$AC1317&amp;"|"&amp;COUNTIFS($B$6:$B1317,$B1317,$A$6:$A1317,$A1317,$F$6:$F1317,$F1317,$AC$6:$AC1317,$AC1317))</f>
        <v/>
      </c>
      <c r="AG1317" s="32">
        <f>IF($C1317="","",$C1317&amp;"|"&amp;COUNTIFS($C$6:$C1317,$C1317))</f>
        <v/>
      </c>
      <c r="AH1317" s="32">
        <f>IF(OR($C1317="",$A1317="",$AE1317=""),"",$C1317&amp;"|"&amp;$A1317&amp;"|"&amp;$AE1317)</f>
        <v/>
      </c>
      <c r="AI1317" s="32">
        <f>IF(OR($C1317="",$AE1317="",$AE1317=1),"",IFERROR(INDEX($AC$6:$AC$1505,MATCH($C1317&amp;"|"&amp;$A1317&amp;"|"&amp;($AE1317-1),$AH$6:$AH$1505,0)),""))</f>
        <v/>
      </c>
      <c r="AJ1317" s="32">
        <f>IF(OR($AI1317="",$AC1317=""),"",IF($AI1317=$AC1317,"ללא שינוי","מ-"&amp;$AI1317&amp;" ל-"&amp;$AC1317))</f>
        <v/>
      </c>
      <c r="AK1317" s="67" t="n"/>
    </row>
    <row r="1318">
      <c r="A1318" s="65" t="n"/>
      <c r="B1318" s="65" t="n"/>
      <c r="C1318" s="66" t="n"/>
      <c r="D1318" s="66" t="n"/>
      <c r="E1318" s="65" t="n"/>
      <c r="F1318" s="65" t="n"/>
      <c r="G1318" s="65" t="n"/>
      <c r="H1318" s="65" t="n"/>
      <c r="I1318" s="65" t="n"/>
      <c r="J1318" s="65" t="n"/>
      <c r="K1318" s="65" t="n"/>
      <c r="L1318" s="65" t="n"/>
      <c r="M1318" s="65" t="n"/>
      <c r="N1318" s="65" t="n"/>
      <c r="O1318" s="65" t="n"/>
      <c r="P1318" s="65" t="n"/>
      <c r="Q1318" s="65" t="n"/>
      <c r="R1318" s="65" t="n"/>
      <c r="S1318" s="65" t="n"/>
      <c r="T1318" s="65" t="n"/>
      <c r="U1318" s="65" t="n"/>
      <c r="V1318" s="65" t="n"/>
      <c r="W1318" s="65" t="n"/>
      <c r="X1318" s="65" t="n"/>
      <c r="Y1318" s="32">
        <f>IF($C1318="","",IF(COUNTA($I1318:$K1318)&lt;3,"— חסרים נתונים",IF(AND($I1318="תקין",$J1318="תקין",$K1318="תקין"),"רהוטה",IF(AND($I1318="תקין",$J1318="תקין"),"מדויקת ורציפה","אינה מדויקת או מקוטעת"))))</f>
        <v/>
      </c>
      <c r="Z1318" s="32">
        <f>IF($C1318="","",IF(COUNTA($U1318:$W1318)&lt;3,"",IF(AND($U1318="מפותח",$V1318="מפותח",$W1318="מפותחת"),"מפותחת",IF((--($U1318="דל"))+(--($V1318="אינו מפותח"))+(--($W1318="דלה"))&gt;=2,"אינה מפותחת","חלקית"))))</f>
        <v/>
      </c>
      <c r="AA1318" s="32">
        <f>IF($C1318="","",IF(COUNTA($M1318,$N1318,$O1318)&lt;3,"— חסרים נתונים",IF(OR($M1318="נמוכה",(--($M1318&lt;&gt;"תקינה"))+(--($N1318&lt;&gt;"תקין"))+(--($O1318&lt;&gt;"תקינה"))&gt;=2),"ניכרת","אינה ניכרת")))</f>
        <v/>
      </c>
      <c r="AB1318" s="32">
        <f>IF(OR($C1318="",$Y1318="",$AA1318="",LEFT($Y1318,1)="—",LEFT($AA1318,1)="—"),"",IF($Z1318="","— נדרשת הערכת כתיבה",IF($L1318="","— חסרה הבנת הנקרא",IF($Y1318="אינה מדויקת או מקוטעת",IF($AA1318="ניכרת","מיקוד בשטף הקריאה ובכישורי שפה","מיקוד בשטף קריאה"),IF($AA1318="ניכרת","מיקוד בכישורי שפה",IF(AND($L1318="תקינה",$Z1318="מפותחת"),"קוראים וכותבים מיומנים","מיקוד בהבנה והבעה"))))))</f>
        <v/>
      </c>
      <c r="AC1318" s="32">
        <f>IF(OR($AB1318="",LEFT($AB1318,1)="—"),"",IF(OR($AB1318="מיקוד בשטף קריאה",$AB1318="מיקוד בשטף הקריאה ובכישורי שפה"),"רמה א'",IF($AB1318="קוראים וכותבים מיומנים","רמה ג'","רמה ב'")))</f>
        <v/>
      </c>
      <c r="AD1318" s="32">
        <f>IF($AC1318="","",MID(IF(AND($AC1318="רמה א'",$AA1318="ניכרת"),"; להוסיף עבודת אוצר מילים","")&amp;IF($Z1318="אינה מפותחת","; דגש על הבעה בכתב","")&amp;IF($K1318&lt;&gt;"תקין","; נדרש לעבוד על ההנגנה","")&amp;IF($AK1318&lt;&gt;"","; "&amp;$AK1318,""),3,400))</f>
        <v/>
      </c>
      <c r="AE1318" s="32">
        <f>IF($F1318="","",IF($F1318="תחילת שנה",1,IF($F1318="מחצית שנה",2,3)))</f>
        <v/>
      </c>
      <c r="AF1318" s="32">
        <f>IF(OR($B1318="",$AC1318="",$A1318="",$F1318=""),"",$B1318&amp;"|"&amp;$A1318&amp;"|"&amp;$F1318&amp;"|"&amp;$AC1318&amp;"|"&amp;COUNTIFS($B$6:$B1318,$B1318,$A$6:$A1318,$A1318,$F$6:$F1318,$F1318,$AC$6:$AC1318,$AC1318))</f>
        <v/>
      </c>
      <c r="AG1318" s="32">
        <f>IF($C1318="","",$C1318&amp;"|"&amp;COUNTIFS($C$6:$C1318,$C1318))</f>
        <v/>
      </c>
      <c r="AH1318" s="32">
        <f>IF(OR($C1318="",$A1318="",$AE1318=""),"",$C1318&amp;"|"&amp;$A1318&amp;"|"&amp;$AE1318)</f>
        <v/>
      </c>
      <c r="AI1318" s="32">
        <f>IF(OR($C1318="",$AE1318="",$AE1318=1),"",IFERROR(INDEX($AC$6:$AC$1505,MATCH($C1318&amp;"|"&amp;$A1318&amp;"|"&amp;($AE1318-1),$AH$6:$AH$1505,0)),""))</f>
        <v/>
      </c>
      <c r="AJ1318" s="32">
        <f>IF(OR($AI1318="",$AC1318=""),"",IF($AI1318=$AC1318,"ללא שינוי","מ-"&amp;$AI1318&amp;" ל-"&amp;$AC1318))</f>
        <v/>
      </c>
      <c r="AK1318" s="67" t="n"/>
    </row>
    <row r="1319">
      <c r="A1319" s="65" t="n"/>
      <c r="B1319" s="65" t="n"/>
      <c r="C1319" s="66" t="n"/>
      <c r="D1319" s="66" t="n"/>
      <c r="E1319" s="65" t="n"/>
      <c r="F1319" s="65" t="n"/>
      <c r="G1319" s="65" t="n"/>
      <c r="H1319" s="65" t="n"/>
      <c r="I1319" s="65" t="n"/>
      <c r="J1319" s="65" t="n"/>
      <c r="K1319" s="65" t="n"/>
      <c r="L1319" s="65" t="n"/>
      <c r="M1319" s="65" t="n"/>
      <c r="N1319" s="65" t="n"/>
      <c r="O1319" s="65" t="n"/>
      <c r="P1319" s="65" t="n"/>
      <c r="Q1319" s="65" t="n"/>
      <c r="R1319" s="65" t="n"/>
      <c r="S1319" s="65" t="n"/>
      <c r="T1319" s="65" t="n"/>
      <c r="U1319" s="65" t="n"/>
      <c r="V1319" s="65" t="n"/>
      <c r="W1319" s="65" t="n"/>
      <c r="X1319" s="65" t="n"/>
      <c r="Y1319" s="32">
        <f>IF($C1319="","",IF(COUNTA($I1319:$K1319)&lt;3,"— חסרים נתונים",IF(AND($I1319="תקין",$J1319="תקין",$K1319="תקין"),"רהוטה",IF(AND($I1319="תקין",$J1319="תקין"),"מדויקת ורציפה","אינה מדויקת או מקוטעת"))))</f>
        <v/>
      </c>
      <c r="Z1319" s="32">
        <f>IF($C1319="","",IF(COUNTA($U1319:$W1319)&lt;3,"",IF(AND($U1319="מפותח",$V1319="מפותח",$W1319="מפותחת"),"מפותחת",IF((--($U1319="דל"))+(--($V1319="אינו מפותח"))+(--($W1319="דלה"))&gt;=2,"אינה מפותחת","חלקית"))))</f>
        <v/>
      </c>
      <c r="AA1319" s="32">
        <f>IF($C1319="","",IF(COUNTA($M1319,$N1319,$O1319)&lt;3,"— חסרים נתונים",IF(OR($M1319="נמוכה",(--($M1319&lt;&gt;"תקינה"))+(--($N1319&lt;&gt;"תקין"))+(--($O1319&lt;&gt;"תקינה"))&gt;=2),"ניכרת","אינה ניכרת")))</f>
        <v/>
      </c>
      <c r="AB1319" s="32">
        <f>IF(OR($C1319="",$Y1319="",$AA1319="",LEFT($Y1319,1)="—",LEFT($AA1319,1)="—"),"",IF($Z1319="","— נדרשת הערכת כתיבה",IF($L1319="","— חסרה הבנת הנקרא",IF($Y1319="אינה מדויקת או מקוטעת",IF($AA1319="ניכרת","מיקוד בשטף הקריאה ובכישורי שפה","מיקוד בשטף קריאה"),IF($AA1319="ניכרת","מיקוד בכישורי שפה",IF(AND($L1319="תקינה",$Z1319="מפותחת"),"קוראים וכותבים מיומנים","מיקוד בהבנה והבעה"))))))</f>
        <v/>
      </c>
      <c r="AC1319" s="32">
        <f>IF(OR($AB1319="",LEFT($AB1319,1)="—"),"",IF(OR($AB1319="מיקוד בשטף קריאה",$AB1319="מיקוד בשטף הקריאה ובכישורי שפה"),"רמה א'",IF($AB1319="קוראים וכותבים מיומנים","רמה ג'","רמה ב'")))</f>
        <v/>
      </c>
      <c r="AD1319" s="32">
        <f>IF($AC1319="","",MID(IF(AND($AC1319="רמה א'",$AA1319="ניכרת"),"; להוסיף עבודת אוצר מילים","")&amp;IF($Z1319="אינה מפותחת","; דגש על הבעה בכתב","")&amp;IF($K1319&lt;&gt;"תקין","; נדרש לעבוד על ההנגנה","")&amp;IF($AK1319&lt;&gt;"","; "&amp;$AK1319,""),3,400))</f>
        <v/>
      </c>
      <c r="AE1319" s="32">
        <f>IF($F1319="","",IF($F1319="תחילת שנה",1,IF($F1319="מחצית שנה",2,3)))</f>
        <v/>
      </c>
      <c r="AF1319" s="32">
        <f>IF(OR($B1319="",$AC1319="",$A1319="",$F1319=""),"",$B1319&amp;"|"&amp;$A1319&amp;"|"&amp;$F1319&amp;"|"&amp;$AC1319&amp;"|"&amp;COUNTIFS($B$6:$B1319,$B1319,$A$6:$A1319,$A1319,$F$6:$F1319,$F1319,$AC$6:$AC1319,$AC1319))</f>
        <v/>
      </c>
      <c r="AG1319" s="32">
        <f>IF($C1319="","",$C1319&amp;"|"&amp;COUNTIFS($C$6:$C1319,$C1319))</f>
        <v/>
      </c>
      <c r="AH1319" s="32">
        <f>IF(OR($C1319="",$A1319="",$AE1319=""),"",$C1319&amp;"|"&amp;$A1319&amp;"|"&amp;$AE1319)</f>
        <v/>
      </c>
      <c r="AI1319" s="32">
        <f>IF(OR($C1319="",$AE1319="",$AE1319=1),"",IFERROR(INDEX($AC$6:$AC$1505,MATCH($C1319&amp;"|"&amp;$A1319&amp;"|"&amp;($AE1319-1),$AH$6:$AH$1505,0)),""))</f>
        <v/>
      </c>
      <c r="AJ1319" s="32">
        <f>IF(OR($AI1319="",$AC1319=""),"",IF($AI1319=$AC1319,"ללא שינוי","מ-"&amp;$AI1319&amp;" ל-"&amp;$AC1319))</f>
        <v/>
      </c>
      <c r="AK1319" s="67" t="n"/>
    </row>
    <row r="1320">
      <c r="A1320" s="65" t="n"/>
      <c r="B1320" s="65" t="n"/>
      <c r="C1320" s="66" t="n"/>
      <c r="D1320" s="66" t="n"/>
      <c r="E1320" s="65" t="n"/>
      <c r="F1320" s="65" t="n"/>
      <c r="G1320" s="65" t="n"/>
      <c r="H1320" s="65" t="n"/>
      <c r="I1320" s="65" t="n"/>
      <c r="J1320" s="65" t="n"/>
      <c r="K1320" s="65" t="n"/>
      <c r="L1320" s="65" t="n"/>
      <c r="M1320" s="65" t="n"/>
      <c r="N1320" s="65" t="n"/>
      <c r="O1320" s="65" t="n"/>
      <c r="P1320" s="65" t="n"/>
      <c r="Q1320" s="65" t="n"/>
      <c r="R1320" s="65" t="n"/>
      <c r="S1320" s="65" t="n"/>
      <c r="T1320" s="65" t="n"/>
      <c r="U1320" s="65" t="n"/>
      <c r="V1320" s="65" t="n"/>
      <c r="W1320" s="65" t="n"/>
      <c r="X1320" s="65" t="n"/>
      <c r="Y1320" s="32">
        <f>IF($C1320="","",IF(COUNTA($I1320:$K1320)&lt;3,"— חסרים נתונים",IF(AND($I1320="תקין",$J1320="תקין",$K1320="תקין"),"רהוטה",IF(AND($I1320="תקין",$J1320="תקין"),"מדויקת ורציפה","אינה מדויקת או מקוטעת"))))</f>
        <v/>
      </c>
      <c r="Z1320" s="32">
        <f>IF($C1320="","",IF(COUNTA($U1320:$W1320)&lt;3,"",IF(AND($U1320="מפותח",$V1320="מפותח",$W1320="מפותחת"),"מפותחת",IF((--($U1320="דל"))+(--($V1320="אינו מפותח"))+(--($W1320="דלה"))&gt;=2,"אינה מפותחת","חלקית"))))</f>
        <v/>
      </c>
      <c r="AA1320" s="32">
        <f>IF($C1320="","",IF(COUNTA($M1320,$N1320,$O1320)&lt;3,"— חסרים נתונים",IF(OR($M1320="נמוכה",(--($M1320&lt;&gt;"תקינה"))+(--($N1320&lt;&gt;"תקין"))+(--($O1320&lt;&gt;"תקינה"))&gt;=2),"ניכרת","אינה ניכרת")))</f>
        <v/>
      </c>
      <c r="AB1320" s="32">
        <f>IF(OR($C1320="",$Y1320="",$AA1320="",LEFT($Y1320,1)="—",LEFT($AA1320,1)="—"),"",IF($Z1320="","— נדרשת הערכת כתיבה",IF($L1320="","— חסרה הבנת הנקרא",IF($Y1320="אינה מדויקת או מקוטעת",IF($AA1320="ניכרת","מיקוד בשטף הקריאה ובכישורי שפה","מיקוד בשטף קריאה"),IF($AA1320="ניכרת","מיקוד בכישורי שפה",IF(AND($L1320="תקינה",$Z1320="מפותחת"),"קוראים וכותבים מיומנים","מיקוד בהבנה והבעה"))))))</f>
        <v/>
      </c>
      <c r="AC1320" s="32">
        <f>IF(OR($AB1320="",LEFT($AB1320,1)="—"),"",IF(OR($AB1320="מיקוד בשטף קריאה",$AB1320="מיקוד בשטף הקריאה ובכישורי שפה"),"רמה א'",IF($AB1320="קוראים וכותבים מיומנים","רמה ג'","רמה ב'")))</f>
        <v/>
      </c>
      <c r="AD1320" s="32">
        <f>IF($AC1320="","",MID(IF(AND($AC1320="רמה א'",$AA1320="ניכרת"),"; להוסיף עבודת אוצר מילים","")&amp;IF($Z1320="אינה מפותחת","; דגש על הבעה בכתב","")&amp;IF($K1320&lt;&gt;"תקין","; נדרש לעבוד על ההנגנה","")&amp;IF($AK1320&lt;&gt;"","; "&amp;$AK1320,""),3,400))</f>
        <v/>
      </c>
      <c r="AE1320" s="32">
        <f>IF($F1320="","",IF($F1320="תחילת שנה",1,IF($F1320="מחצית שנה",2,3)))</f>
        <v/>
      </c>
      <c r="AF1320" s="32">
        <f>IF(OR($B1320="",$AC1320="",$A1320="",$F1320=""),"",$B1320&amp;"|"&amp;$A1320&amp;"|"&amp;$F1320&amp;"|"&amp;$AC1320&amp;"|"&amp;COUNTIFS($B$6:$B1320,$B1320,$A$6:$A1320,$A1320,$F$6:$F1320,$F1320,$AC$6:$AC1320,$AC1320))</f>
        <v/>
      </c>
      <c r="AG1320" s="32">
        <f>IF($C1320="","",$C1320&amp;"|"&amp;COUNTIFS($C$6:$C1320,$C1320))</f>
        <v/>
      </c>
      <c r="AH1320" s="32">
        <f>IF(OR($C1320="",$A1320="",$AE1320=""),"",$C1320&amp;"|"&amp;$A1320&amp;"|"&amp;$AE1320)</f>
        <v/>
      </c>
      <c r="AI1320" s="32">
        <f>IF(OR($C1320="",$AE1320="",$AE1320=1),"",IFERROR(INDEX($AC$6:$AC$1505,MATCH($C1320&amp;"|"&amp;$A1320&amp;"|"&amp;($AE1320-1),$AH$6:$AH$1505,0)),""))</f>
        <v/>
      </c>
      <c r="AJ1320" s="32">
        <f>IF(OR($AI1320="",$AC1320=""),"",IF($AI1320=$AC1320,"ללא שינוי","מ-"&amp;$AI1320&amp;" ל-"&amp;$AC1320))</f>
        <v/>
      </c>
      <c r="AK1320" s="67" t="n"/>
    </row>
    <row r="1321">
      <c r="A1321" s="65" t="n"/>
      <c r="B1321" s="65" t="n"/>
      <c r="C1321" s="66" t="n"/>
      <c r="D1321" s="66" t="n"/>
      <c r="E1321" s="65" t="n"/>
      <c r="F1321" s="65" t="n"/>
      <c r="G1321" s="65" t="n"/>
      <c r="H1321" s="65" t="n"/>
      <c r="I1321" s="65" t="n"/>
      <c r="J1321" s="65" t="n"/>
      <c r="K1321" s="65" t="n"/>
      <c r="L1321" s="65" t="n"/>
      <c r="M1321" s="65" t="n"/>
      <c r="N1321" s="65" t="n"/>
      <c r="O1321" s="65" t="n"/>
      <c r="P1321" s="65" t="n"/>
      <c r="Q1321" s="65" t="n"/>
      <c r="R1321" s="65" t="n"/>
      <c r="S1321" s="65" t="n"/>
      <c r="T1321" s="65" t="n"/>
      <c r="U1321" s="65" t="n"/>
      <c r="V1321" s="65" t="n"/>
      <c r="W1321" s="65" t="n"/>
      <c r="X1321" s="65" t="n"/>
      <c r="Y1321" s="32">
        <f>IF($C1321="","",IF(COUNTA($I1321:$K1321)&lt;3,"— חסרים נתונים",IF(AND($I1321="תקין",$J1321="תקין",$K1321="תקין"),"רהוטה",IF(AND($I1321="תקין",$J1321="תקין"),"מדויקת ורציפה","אינה מדויקת או מקוטעת"))))</f>
        <v/>
      </c>
      <c r="Z1321" s="32">
        <f>IF($C1321="","",IF(COUNTA($U1321:$W1321)&lt;3,"",IF(AND($U1321="מפותח",$V1321="מפותח",$W1321="מפותחת"),"מפותחת",IF((--($U1321="דל"))+(--($V1321="אינו מפותח"))+(--($W1321="דלה"))&gt;=2,"אינה מפותחת","חלקית"))))</f>
        <v/>
      </c>
      <c r="AA1321" s="32">
        <f>IF($C1321="","",IF(COUNTA($M1321,$N1321,$O1321)&lt;3,"— חסרים נתונים",IF(OR($M1321="נמוכה",(--($M1321&lt;&gt;"תקינה"))+(--($N1321&lt;&gt;"תקין"))+(--($O1321&lt;&gt;"תקינה"))&gt;=2),"ניכרת","אינה ניכרת")))</f>
        <v/>
      </c>
      <c r="AB1321" s="32">
        <f>IF(OR($C1321="",$Y1321="",$AA1321="",LEFT($Y1321,1)="—",LEFT($AA1321,1)="—"),"",IF($Z1321="","— נדרשת הערכת כתיבה",IF($L1321="","— חסרה הבנת הנקרא",IF($Y1321="אינה מדויקת או מקוטעת",IF($AA1321="ניכרת","מיקוד בשטף הקריאה ובכישורי שפה","מיקוד בשטף קריאה"),IF($AA1321="ניכרת","מיקוד בכישורי שפה",IF(AND($L1321="תקינה",$Z1321="מפותחת"),"קוראים וכותבים מיומנים","מיקוד בהבנה והבעה"))))))</f>
        <v/>
      </c>
      <c r="AC1321" s="32">
        <f>IF(OR($AB1321="",LEFT($AB1321,1)="—"),"",IF(OR($AB1321="מיקוד בשטף קריאה",$AB1321="מיקוד בשטף הקריאה ובכישורי שפה"),"רמה א'",IF($AB1321="קוראים וכותבים מיומנים","רמה ג'","רמה ב'")))</f>
        <v/>
      </c>
      <c r="AD1321" s="32">
        <f>IF($AC1321="","",MID(IF(AND($AC1321="רמה א'",$AA1321="ניכרת"),"; להוסיף עבודת אוצר מילים","")&amp;IF($Z1321="אינה מפותחת","; דגש על הבעה בכתב","")&amp;IF($K1321&lt;&gt;"תקין","; נדרש לעבוד על ההנגנה","")&amp;IF($AK1321&lt;&gt;"","; "&amp;$AK1321,""),3,400))</f>
        <v/>
      </c>
      <c r="AE1321" s="32">
        <f>IF($F1321="","",IF($F1321="תחילת שנה",1,IF($F1321="מחצית שנה",2,3)))</f>
        <v/>
      </c>
      <c r="AF1321" s="32">
        <f>IF(OR($B1321="",$AC1321="",$A1321="",$F1321=""),"",$B1321&amp;"|"&amp;$A1321&amp;"|"&amp;$F1321&amp;"|"&amp;$AC1321&amp;"|"&amp;COUNTIFS($B$6:$B1321,$B1321,$A$6:$A1321,$A1321,$F$6:$F1321,$F1321,$AC$6:$AC1321,$AC1321))</f>
        <v/>
      </c>
      <c r="AG1321" s="32">
        <f>IF($C1321="","",$C1321&amp;"|"&amp;COUNTIFS($C$6:$C1321,$C1321))</f>
        <v/>
      </c>
      <c r="AH1321" s="32">
        <f>IF(OR($C1321="",$A1321="",$AE1321=""),"",$C1321&amp;"|"&amp;$A1321&amp;"|"&amp;$AE1321)</f>
        <v/>
      </c>
      <c r="AI1321" s="32">
        <f>IF(OR($C1321="",$AE1321="",$AE1321=1),"",IFERROR(INDEX($AC$6:$AC$1505,MATCH($C1321&amp;"|"&amp;$A1321&amp;"|"&amp;($AE1321-1),$AH$6:$AH$1505,0)),""))</f>
        <v/>
      </c>
      <c r="AJ1321" s="32">
        <f>IF(OR($AI1321="",$AC1321=""),"",IF($AI1321=$AC1321,"ללא שינוי","מ-"&amp;$AI1321&amp;" ל-"&amp;$AC1321))</f>
        <v/>
      </c>
      <c r="AK1321" s="67" t="n"/>
    </row>
    <row r="1322">
      <c r="A1322" s="65" t="n"/>
      <c r="B1322" s="65" t="n"/>
      <c r="C1322" s="66" t="n"/>
      <c r="D1322" s="66" t="n"/>
      <c r="E1322" s="65" t="n"/>
      <c r="F1322" s="65" t="n"/>
      <c r="G1322" s="65" t="n"/>
      <c r="H1322" s="65" t="n"/>
      <c r="I1322" s="65" t="n"/>
      <c r="J1322" s="65" t="n"/>
      <c r="K1322" s="65" t="n"/>
      <c r="L1322" s="65" t="n"/>
      <c r="M1322" s="65" t="n"/>
      <c r="N1322" s="65" t="n"/>
      <c r="O1322" s="65" t="n"/>
      <c r="P1322" s="65" t="n"/>
      <c r="Q1322" s="65" t="n"/>
      <c r="R1322" s="65" t="n"/>
      <c r="S1322" s="65" t="n"/>
      <c r="T1322" s="65" t="n"/>
      <c r="U1322" s="65" t="n"/>
      <c r="V1322" s="65" t="n"/>
      <c r="W1322" s="65" t="n"/>
      <c r="X1322" s="65" t="n"/>
      <c r="Y1322" s="32">
        <f>IF($C1322="","",IF(COUNTA($I1322:$K1322)&lt;3,"— חסרים נתונים",IF(AND($I1322="תקין",$J1322="תקין",$K1322="תקין"),"רהוטה",IF(AND($I1322="תקין",$J1322="תקין"),"מדויקת ורציפה","אינה מדויקת או מקוטעת"))))</f>
        <v/>
      </c>
      <c r="Z1322" s="32">
        <f>IF($C1322="","",IF(COUNTA($U1322:$W1322)&lt;3,"",IF(AND($U1322="מפותח",$V1322="מפותח",$W1322="מפותחת"),"מפותחת",IF((--($U1322="דל"))+(--($V1322="אינו מפותח"))+(--($W1322="דלה"))&gt;=2,"אינה מפותחת","חלקית"))))</f>
        <v/>
      </c>
      <c r="AA1322" s="32">
        <f>IF($C1322="","",IF(COUNTA($M1322,$N1322,$O1322)&lt;3,"— חסרים נתונים",IF(OR($M1322="נמוכה",(--($M1322&lt;&gt;"תקינה"))+(--($N1322&lt;&gt;"תקין"))+(--($O1322&lt;&gt;"תקינה"))&gt;=2),"ניכרת","אינה ניכרת")))</f>
        <v/>
      </c>
      <c r="AB1322" s="32">
        <f>IF(OR($C1322="",$Y1322="",$AA1322="",LEFT($Y1322,1)="—",LEFT($AA1322,1)="—"),"",IF($Z1322="","— נדרשת הערכת כתיבה",IF($L1322="","— חסרה הבנת הנקרא",IF($Y1322="אינה מדויקת או מקוטעת",IF($AA1322="ניכרת","מיקוד בשטף הקריאה ובכישורי שפה","מיקוד בשטף קריאה"),IF($AA1322="ניכרת","מיקוד בכישורי שפה",IF(AND($L1322="תקינה",$Z1322="מפותחת"),"קוראים וכותבים מיומנים","מיקוד בהבנה והבעה"))))))</f>
        <v/>
      </c>
      <c r="AC1322" s="32">
        <f>IF(OR($AB1322="",LEFT($AB1322,1)="—"),"",IF(OR($AB1322="מיקוד בשטף קריאה",$AB1322="מיקוד בשטף הקריאה ובכישורי שפה"),"רמה א'",IF($AB1322="קוראים וכותבים מיומנים","רמה ג'","רמה ב'")))</f>
        <v/>
      </c>
      <c r="AD1322" s="32">
        <f>IF($AC1322="","",MID(IF(AND($AC1322="רמה א'",$AA1322="ניכרת"),"; להוסיף עבודת אוצר מילים","")&amp;IF($Z1322="אינה מפותחת","; דגש על הבעה בכתב","")&amp;IF($K1322&lt;&gt;"תקין","; נדרש לעבוד על ההנגנה","")&amp;IF($AK1322&lt;&gt;"","; "&amp;$AK1322,""),3,400))</f>
        <v/>
      </c>
      <c r="AE1322" s="32">
        <f>IF($F1322="","",IF($F1322="תחילת שנה",1,IF($F1322="מחצית שנה",2,3)))</f>
        <v/>
      </c>
      <c r="AF1322" s="32">
        <f>IF(OR($B1322="",$AC1322="",$A1322="",$F1322=""),"",$B1322&amp;"|"&amp;$A1322&amp;"|"&amp;$F1322&amp;"|"&amp;$AC1322&amp;"|"&amp;COUNTIFS($B$6:$B1322,$B1322,$A$6:$A1322,$A1322,$F$6:$F1322,$F1322,$AC$6:$AC1322,$AC1322))</f>
        <v/>
      </c>
      <c r="AG1322" s="32">
        <f>IF($C1322="","",$C1322&amp;"|"&amp;COUNTIFS($C$6:$C1322,$C1322))</f>
        <v/>
      </c>
      <c r="AH1322" s="32">
        <f>IF(OR($C1322="",$A1322="",$AE1322=""),"",$C1322&amp;"|"&amp;$A1322&amp;"|"&amp;$AE1322)</f>
        <v/>
      </c>
      <c r="AI1322" s="32">
        <f>IF(OR($C1322="",$AE1322="",$AE1322=1),"",IFERROR(INDEX($AC$6:$AC$1505,MATCH($C1322&amp;"|"&amp;$A1322&amp;"|"&amp;($AE1322-1),$AH$6:$AH$1505,0)),""))</f>
        <v/>
      </c>
      <c r="AJ1322" s="32">
        <f>IF(OR($AI1322="",$AC1322=""),"",IF($AI1322=$AC1322,"ללא שינוי","מ-"&amp;$AI1322&amp;" ל-"&amp;$AC1322))</f>
        <v/>
      </c>
      <c r="AK1322" s="67" t="n"/>
    </row>
    <row r="1323">
      <c r="A1323" s="65" t="n"/>
      <c r="B1323" s="65" t="n"/>
      <c r="C1323" s="66" t="n"/>
      <c r="D1323" s="66" t="n"/>
      <c r="E1323" s="65" t="n"/>
      <c r="F1323" s="65" t="n"/>
      <c r="G1323" s="65" t="n"/>
      <c r="H1323" s="65" t="n"/>
      <c r="I1323" s="65" t="n"/>
      <c r="J1323" s="65" t="n"/>
      <c r="K1323" s="65" t="n"/>
      <c r="L1323" s="65" t="n"/>
      <c r="M1323" s="65" t="n"/>
      <c r="N1323" s="65" t="n"/>
      <c r="O1323" s="65" t="n"/>
      <c r="P1323" s="65" t="n"/>
      <c r="Q1323" s="65" t="n"/>
      <c r="R1323" s="65" t="n"/>
      <c r="S1323" s="65" t="n"/>
      <c r="T1323" s="65" t="n"/>
      <c r="U1323" s="65" t="n"/>
      <c r="V1323" s="65" t="n"/>
      <c r="W1323" s="65" t="n"/>
      <c r="X1323" s="65" t="n"/>
      <c r="Y1323" s="32">
        <f>IF($C1323="","",IF(COUNTA($I1323:$K1323)&lt;3,"— חסרים נתונים",IF(AND($I1323="תקין",$J1323="תקין",$K1323="תקין"),"רהוטה",IF(AND($I1323="תקין",$J1323="תקין"),"מדויקת ורציפה","אינה מדויקת או מקוטעת"))))</f>
        <v/>
      </c>
      <c r="Z1323" s="32">
        <f>IF($C1323="","",IF(COUNTA($U1323:$W1323)&lt;3,"",IF(AND($U1323="מפותח",$V1323="מפותח",$W1323="מפותחת"),"מפותחת",IF((--($U1323="דל"))+(--($V1323="אינו מפותח"))+(--($W1323="דלה"))&gt;=2,"אינה מפותחת","חלקית"))))</f>
        <v/>
      </c>
      <c r="AA1323" s="32">
        <f>IF($C1323="","",IF(COUNTA($M1323,$N1323,$O1323)&lt;3,"— חסרים נתונים",IF(OR($M1323="נמוכה",(--($M1323&lt;&gt;"תקינה"))+(--($N1323&lt;&gt;"תקין"))+(--($O1323&lt;&gt;"תקינה"))&gt;=2),"ניכרת","אינה ניכרת")))</f>
        <v/>
      </c>
      <c r="AB1323" s="32">
        <f>IF(OR($C1323="",$Y1323="",$AA1323="",LEFT($Y1323,1)="—",LEFT($AA1323,1)="—"),"",IF($Z1323="","— נדרשת הערכת כתיבה",IF($L1323="","— חסרה הבנת הנקרא",IF($Y1323="אינה מדויקת או מקוטעת",IF($AA1323="ניכרת","מיקוד בשטף הקריאה ובכישורי שפה","מיקוד בשטף קריאה"),IF($AA1323="ניכרת","מיקוד בכישורי שפה",IF(AND($L1323="תקינה",$Z1323="מפותחת"),"קוראים וכותבים מיומנים","מיקוד בהבנה והבעה"))))))</f>
        <v/>
      </c>
      <c r="AC1323" s="32">
        <f>IF(OR($AB1323="",LEFT($AB1323,1)="—"),"",IF(OR($AB1323="מיקוד בשטף קריאה",$AB1323="מיקוד בשטף הקריאה ובכישורי שפה"),"רמה א'",IF($AB1323="קוראים וכותבים מיומנים","רמה ג'","רמה ב'")))</f>
        <v/>
      </c>
      <c r="AD1323" s="32">
        <f>IF($AC1323="","",MID(IF(AND($AC1323="רמה א'",$AA1323="ניכרת"),"; להוסיף עבודת אוצר מילים","")&amp;IF($Z1323="אינה מפותחת","; דגש על הבעה בכתב","")&amp;IF($K1323&lt;&gt;"תקין","; נדרש לעבוד על ההנגנה","")&amp;IF($AK1323&lt;&gt;"","; "&amp;$AK1323,""),3,400))</f>
        <v/>
      </c>
      <c r="AE1323" s="32">
        <f>IF($F1323="","",IF($F1323="תחילת שנה",1,IF($F1323="מחצית שנה",2,3)))</f>
        <v/>
      </c>
      <c r="AF1323" s="32">
        <f>IF(OR($B1323="",$AC1323="",$A1323="",$F1323=""),"",$B1323&amp;"|"&amp;$A1323&amp;"|"&amp;$F1323&amp;"|"&amp;$AC1323&amp;"|"&amp;COUNTIFS($B$6:$B1323,$B1323,$A$6:$A1323,$A1323,$F$6:$F1323,$F1323,$AC$6:$AC1323,$AC1323))</f>
        <v/>
      </c>
      <c r="AG1323" s="32">
        <f>IF($C1323="","",$C1323&amp;"|"&amp;COUNTIFS($C$6:$C1323,$C1323))</f>
        <v/>
      </c>
      <c r="AH1323" s="32">
        <f>IF(OR($C1323="",$A1323="",$AE1323=""),"",$C1323&amp;"|"&amp;$A1323&amp;"|"&amp;$AE1323)</f>
        <v/>
      </c>
      <c r="AI1323" s="32">
        <f>IF(OR($C1323="",$AE1323="",$AE1323=1),"",IFERROR(INDEX($AC$6:$AC$1505,MATCH($C1323&amp;"|"&amp;$A1323&amp;"|"&amp;($AE1323-1),$AH$6:$AH$1505,0)),""))</f>
        <v/>
      </c>
      <c r="AJ1323" s="32">
        <f>IF(OR($AI1323="",$AC1323=""),"",IF($AI1323=$AC1323,"ללא שינוי","מ-"&amp;$AI1323&amp;" ל-"&amp;$AC1323))</f>
        <v/>
      </c>
      <c r="AK1323" s="67" t="n"/>
    </row>
    <row r="1324">
      <c r="A1324" s="65" t="n"/>
      <c r="B1324" s="65" t="n"/>
      <c r="C1324" s="66" t="n"/>
      <c r="D1324" s="66" t="n"/>
      <c r="E1324" s="65" t="n"/>
      <c r="F1324" s="65" t="n"/>
      <c r="G1324" s="65" t="n"/>
      <c r="H1324" s="65" t="n"/>
      <c r="I1324" s="65" t="n"/>
      <c r="J1324" s="65" t="n"/>
      <c r="K1324" s="65" t="n"/>
      <c r="L1324" s="65" t="n"/>
      <c r="M1324" s="65" t="n"/>
      <c r="N1324" s="65" t="n"/>
      <c r="O1324" s="65" t="n"/>
      <c r="P1324" s="65" t="n"/>
      <c r="Q1324" s="65" t="n"/>
      <c r="R1324" s="65" t="n"/>
      <c r="S1324" s="65" t="n"/>
      <c r="T1324" s="65" t="n"/>
      <c r="U1324" s="65" t="n"/>
      <c r="V1324" s="65" t="n"/>
      <c r="W1324" s="65" t="n"/>
      <c r="X1324" s="65" t="n"/>
      <c r="Y1324" s="32">
        <f>IF($C1324="","",IF(COUNTA($I1324:$K1324)&lt;3,"— חסרים נתונים",IF(AND($I1324="תקין",$J1324="תקין",$K1324="תקין"),"רהוטה",IF(AND($I1324="תקין",$J1324="תקין"),"מדויקת ורציפה","אינה מדויקת או מקוטעת"))))</f>
        <v/>
      </c>
      <c r="Z1324" s="32">
        <f>IF($C1324="","",IF(COUNTA($U1324:$W1324)&lt;3,"",IF(AND($U1324="מפותח",$V1324="מפותח",$W1324="מפותחת"),"מפותחת",IF((--($U1324="דל"))+(--($V1324="אינו מפותח"))+(--($W1324="דלה"))&gt;=2,"אינה מפותחת","חלקית"))))</f>
        <v/>
      </c>
      <c r="AA1324" s="32">
        <f>IF($C1324="","",IF(COUNTA($M1324,$N1324,$O1324)&lt;3,"— חסרים נתונים",IF(OR($M1324="נמוכה",(--($M1324&lt;&gt;"תקינה"))+(--($N1324&lt;&gt;"תקין"))+(--($O1324&lt;&gt;"תקינה"))&gt;=2),"ניכרת","אינה ניכרת")))</f>
        <v/>
      </c>
      <c r="AB1324" s="32">
        <f>IF(OR($C1324="",$Y1324="",$AA1324="",LEFT($Y1324,1)="—",LEFT($AA1324,1)="—"),"",IF($Z1324="","— נדרשת הערכת כתיבה",IF($L1324="","— חסרה הבנת הנקרא",IF($Y1324="אינה מדויקת או מקוטעת",IF($AA1324="ניכרת","מיקוד בשטף הקריאה ובכישורי שפה","מיקוד בשטף קריאה"),IF($AA1324="ניכרת","מיקוד בכישורי שפה",IF(AND($L1324="תקינה",$Z1324="מפותחת"),"קוראים וכותבים מיומנים","מיקוד בהבנה והבעה"))))))</f>
        <v/>
      </c>
      <c r="AC1324" s="32">
        <f>IF(OR($AB1324="",LEFT($AB1324,1)="—"),"",IF(OR($AB1324="מיקוד בשטף קריאה",$AB1324="מיקוד בשטף הקריאה ובכישורי שפה"),"רמה א'",IF($AB1324="קוראים וכותבים מיומנים","רמה ג'","רמה ב'")))</f>
        <v/>
      </c>
      <c r="AD1324" s="32">
        <f>IF($AC1324="","",MID(IF(AND($AC1324="רמה א'",$AA1324="ניכרת"),"; להוסיף עבודת אוצר מילים","")&amp;IF($Z1324="אינה מפותחת","; דגש על הבעה בכתב","")&amp;IF($K1324&lt;&gt;"תקין","; נדרש לעבוד על ההנגנה","")&amp;IF($AK1324&lt;&gt;"","; "&amp;$AK1324,""),3,400))</f>
        <v/>
      </c>
      <c r="AE1324" s="32">
        <f>IF($F1324="","",IF($F1324="תחילת שנה",1,IF($F1324="מחצית שנה",2,3)))</f>
        <v/>
      </c>
      <c r="AF1324" s="32">
        <f>IF(OR($B1324="",$AC1324="",$A1324="",$F1324=""),"",$B1324&amp;"|"&amp;$A1324&amp;"|"&amp;$F1324&amp;"|"&amp;$AC1324&amp;"|"&amp;COUNTIFS($B$6:$B1324,$B1324,$A$6:$A1324,$A1324,$F$6:$F1324,$F1324,$AC$6:$AC1324,$AC1324))</f>
        <v/>
      </c>
      <c r="AG1324" s="32">
        <f>IF($C1324="","",$C1324&amp;"|"&amp;COUNTIFS($C$6:$C1324,$C1324))</f>
        <v/>
      </c>
      <c r="AH1324" s="32">
        <f>IF(OR($C1324="",$A1324="",$AE1324=""),"",$C1324&amp;"|"&amp;$A1324&amp;"|"&amp;$AE1324)</f>
        <v/>
      </c>
      <c r="AI1324" s="32">
        <f>IF(OR($C1324="",$AE1324="",$AE1324=1),"",IFERROR(INDEX($AC$6:$AC$1505,MATCH($C1324&amp;"|"&amp;$A1324&amp;"|"&amp;($AE1324-1),$AH$6:$AH$1505,0)),""))</f>
        <v/>
      </c>
      <c r="AJ1324" s="32">
        <f>IF(OR($AI1324="",$AC1324=""),"",IF($AI1324=$AC1324,"ללא שינוי","מ-"&amp;$AI1324&amp;" ל-"&amp;$AC1324))</f>
        <v/>
      </c>
      <c r="AK1324" s="67" t="n"/>
    </row>
    <row r="1325">
      <c r="A1325" s="65" t="n"/>
      <c r="B1325" s="65" t="n"/>
      <c r="C1325" s="66" t="n"/>
      <c r="D1325" s="66" t="n"/>
      <c r="E1325" s="65" t="n"/>
      <c r="F1325" s="65" t="n"/>
      <c r="G1325" s="65" t="n"/>
      <c r="H1325" s="65" t="n"/>
      <c r="I1325" s="65" t="n"/>
      <c r="J1325" s="65" t="n"/>
      <c r="K1325" s="65" t="n"/>
      <c r="L1325" s="65" t="n"/>
      <c r="M1325" s="65" t="n"/>
      <c r="N1325" s="65" t="n"/>
      <c r="O1325" s="65" t="n"/>
      <c r="P1325" s="65" t="n"/>
      <c r="Q1325" s="65" t="n"/>
      <c r="R1325" s="65" t="n"/>
      <c r="S1325" s="65" t="n"/>
      <c r="T1325" s="65" t="n"/>
      <c r="U1325" s="65" t="n"/>
      <c r="V1325" s="65" t="n"/>
      <c r="W1325" s="65" t="n"/>
      <c r="X1325" s="65" t="n"/>
      <c r="Y1325" s="32">
        <f>IF($C1325="","",IF(COUNTA($I1325:$K1325)&lt;3,"— חסרים נתונים",IF(AND($I1325="תקין",$J1325="תקין",$K1325="תקין"),"רהוטה",IF(AND($I1325="תקין",$J1325="תקין"),"מדויקת ורציפה","אינה מדויקת או מקוטעת"))))</f>
        <v/>
      </c>
      <c r="Z1325" s="32">
        <f>IF($C1325="","",IF(COUNTA($U1325:$W1325)&lt;3,"",IF(AND($U1325="מפותח",$V1325="מפותח",$W1325="מפותחת"),"מפותחת",IF((--($U1325="דל"))+(--($V1325="אינו מפותח"))+(--($W1325="דלה"))&gt;=2,"אינה מפותחת","חלקית"))))</f>
        <v/>
      </c>
      <c r="AA1325" s="32">
        <f>IF($C1325="","",IF(COUNTA($M1325,$N1325,$O1325)&lt;3,"— חסרים נתונים",IF(OR($M1325="נמוכה",(--($M1325&lt;&gt;"תקינה"))+(--($N1325&lt;&gt;"תקין"))+(--($O1325&lt;&gt;"תקינה"))&gt;=2),"ניכרת","אינה ניכרת")))</f>
        <v/>
      </c>
      <c r="AB1325" s="32">
        <f>IF(OR($C1325="",$Y1325="",$AA1325="",LEFT($Y1325,1)="—",LEFT($AA1325,1)="—"),"",IF($Z1325="","— נדרשת הערכת כתיבה",IF($L1325="","— חסרה הבנת הנקרא",IF($Y1325="אינה מדויקת או מקוטעת",IF($AA1325="ניכרת","מיקוד בשטף הקריאה ובכישורי שפה","מיקוד בשטף קריאה"),IF($AA1325="ניכרת","מיקוד בכישורי שפה",IF(AND($L1325="תקינה",$Z1325="מפותחת"),"קוראים וכותבים מיומנים","מיקוד בהבנה והבעה"))))))</f>
        <v/>
      </c>
      <c r="AC1325" s="32">
        <f>IF(OR($AB1325="",LEFT($AB1325,1)="—"),"",IF(OR($AB1325="מיקוד בשטף קריאה",$AB1325="מיקוד בשטף הקריאה ובכישורי שפה"),"רמה א'",IF($AB1325="קוראים וכותבים מיומנים","רמה ג'","רמה ב'")))</f>
        <v/>
      </c>
      <c r="AD1325" s="32">
        <f>IF($AC1325="","",MID(IF(AND($AC1325="רמה א'",$AA1325="ניכרת"),"; להוסיף עבודת אוצר מילים","")&amp;IF($Z1325="אינה מפותחת","; דגש על הבעה בכתב","")&amp;IF($K1325&lt;&gt;"תקין","; נדרש לעבוד על ההנגנה","")&amp;IF($AK1325&lt;&gt;"","; "&amp;$AK1325,""),3,400))</f>
        <v/>
      </c>
      <c r="AE1325" s="32">
        <f>IF($F1325="","",IF($F1325="תחילת שנה",1,IF($F1325="מחצית שנה",2,3)))</f>
        <v/>
      </c>
      <c r="AF1325" s="32">
        <f>IF(OR($B1325="",$AC1325="",$A1325="",$F1325=""),"",$B1325&amp;"|"&amp;$A1325&amp;"|"&amp;$F1325&amp;"|"&amp;$AC1325&amp;"|"&amp;COUNTIFS($B$6:$B1325,$B1325,$A$6:$A1325,$A1325,$F$6:$F1325,$F1325,$AC$6:$AC1325,$AC1325))</f>
        <v/>
      </c>
      <c r="AG1325" s="32">
        <f>IF($C1325="","",$C1325&amp;"|"&amp;COUNTIFS($C$6:$C1325,$C1325))</f>
        <v/>
      </c>
      <c r="AH1325" s="32">
        <f>IF(OR($C1325="",$A1325="",$AE1325=""),"",$C1325&amp;"|"&amp;$A1325&amp;"|"&amp;$AE1325)</f>
        <v/>
      </c>
      <c r="AI1325" s="32">
        <f>IF(OR($C1325="",$AE1325="",$AE1325=1),"",IFERROR(INDEX($AC$6:$AC$1505,MATCH($C1325&amp;"|"&amp;$A1325&amp;"|"&amp;($AE1325-1),$AH$6:$AH$1505,0)),""))</f>
        <v/>
      </c>
      <c r="AJ1325" s="32">
        <f>IF(OR($AI1325="",$AC1325=""),"",IF($AI1325=$AC1325,"ללא שינוי","מ-"&amp;$AI1325&amp;" ל-"&amp;$AC1325))</f>
        <v/>
      </c>
      <c r="AK1325" s="67" t="n"/>
    </row>
    <row r="1326">
      <c r="A1326" s="65" t="n"/>
      <c r="B1326" s="65" t="n"/>
      <c r="C1326" s="66" t="n"/>
      <c r="D1326" s="66" t="n"/>
      <c r="E1326" s="65" t="n"/>
      <c r="F1326" s="65" t="n"/>
      <c r="G1326" s="65" t="n"/>
      <c r="H1326" s="65" t="n"/>
      <c r="I1326" s="65" t="n"/>
      <c r="J1326" s="65" t="n"/>
      <c r="K1326" s="65" t="n"/>
      <c r="L1326" s="65" t="n"/>
      <c r="M1326" s="65" t="n"/>
      <c r="N1326" s="65" t="n"/>
      <c r="O1326" s="65" t="n"/>
      <c r="P1326" s="65" t="n"/>
      <c r="Q1326" s="65" t="n"/>
      <c r="R1326" s="65" t="n"/>
      <c r="S1326" s="65" t="n"/>
      <c r="T1326" s="65" t="n"/>
      <c r="U1326" s="65" t="n"/>
      <c r="V1326" s="65" t="n"/>
      <c r="W1326" s="65" t="n"/>
      <c r="X1326" s="65" t="n"/>
      <c r="Y1326" s="32">
        <f>IF($C1326="","",IF(COUNTA($I1326:$K1326)&lt;3,"— חסרים נתונים",IF(AND($I1326="תקין",$J1326="תקין",$K1326="תקין"),"רהוטה",IF(AND($I1326="תקין",$J1326="תקין"),"מדויקת ורציפה","אינה מדויקת או מקוטעת"))))</f>
        <v/>
      </c>
      <c r="Z1326" s="32">
        <f>IF($C1326="","",IF(COUNTA($U1326:$W1326)&lt;3,"",IF(AND($U1326="מפותח",$V1326="מפותח",$W1326="מפותחת"),"מפותחת",IF((--($U1326="דל"))+(--($V1326="אינו מפותח"))+(--($W1326="דלה"))&gt;=2,"אינה מפותחת","חלקית"))))</f>
        <v/>
      </c>
      <c r="AA1326" s="32">
        <f>IF($C1326="","",IF(COUNTA($M1326,$N1326,$O1326)&lt;3,"— חסרים נתונים",IF(OR($M1326="נמוכה",(--($M1326&lt;&gt;"תקינה"))+(--($N1326&lt;&gt;"תקין"))+(--($O1326&lt;&gt;"תקינה"))&gt;=2),"ניכרת","אינה ניכרת")))</f>
        <v/>
      </c>
      <c r="AB1326" s="32">
        <f>IF(OR($C1326="",$Y1326="",$AA1326="",LEFT($Y1326,1)="—",LEFT($AA1326,1)="—"),"",IF($Z1326="","— נדרשת הערכת כתיבה",IF($L1326="","— חסרה הבנת הנקרא",IF($Y1326="אינה מדויקת או מקוטעת",IF($AA1326="ניכרת","מיקוד בשטף הקריאה ובכישורי שפה","מיקוד בשטף קריאה"),IF($AA1326="ניכרת","מיקוד בכישורי שפה",IF(AND($L1326="תקינה",$Z1326="מפותחת"),"קוראים וכותבים מיומנים","מיקוד בהבנה והבעה"))))))</f>
        <v/>
      </c>
      <c r="AC1326" s="32">
        <f>IF(OR($AB1326="",LEFT($AB1326,1)="—"),"",IF(OR($AB1326="מיקוד בשטף קריאה",$AB1326="מיקוד בשטף הקריאה ובכישורי שפה"),"רמה א'",IF($AB1326="קוראים וכותבים מיומנים","רמה ג'","רמה ב'")))</f>
        <v/>
      </c>
      <c r="AD1326" s="32">
        <f>IF($AC1326="","",MID(IF(AND($AC1326="רמה א'",$AA1326="ניכרת"),"; להוסיף עבודת אוצר מילים","")&amp;IF($Z1326="אינה מפותחת","; דגש על הבעה בכתב","")&amp;IF($K1326&lt;&gt;"תקין","; נדרש לעבוד על ההנגנה","")&amp;IF($AK1326&lt;&gt;"","; "&amp;$AK1326,""),3,400))</f>
        <v/>
      </c>
      <c r="AE1326" s="32">
        <f>IF($F1326="","",IF($F1326="תחילת שנה",1,IF($F1326="מחצית שנה",2,3)))</f>
        <v/>
      </c>
      <c r="AF1326" s="32">
        <f>IF(OR($B1326="",$AC1326="",$A1326="",$F1326=""),"",$B1326&amp;"|"&amp;$A1326&amp;"|"&amp;$F1326&amp;"|"&amp;$AC1326&amp;"|"&amp;COUNTIFS($B$6:$B1326,$B1326,$A$6:$A1326,$A1326,$F$6:$F1326,$F1326,$AC$6:$AC1326,$AC1326))</f>
        <v/>
      </c>
      <c r="AG1326" s="32">
        <f>IF($C1326="","",$C1326&amp;"|"&amp;COUNTIFS($C$6:$C1326,$C1326))</f>
        <v/>
      </c>
      <c r="AH1326" s="32">
        <f>IF(OR($C1326="",$A1326="",$AE1326=""),"",$C1326&amp;"|"&amp;$A1326&amp;"|"&amp;$AE1326)</f>
        <v/>
      </c>
      <c r="AI1326" s="32">
        <f>IF(OR($C1326="",$AE1326="",$AE1326=1),"",IFERROR(INDEX($AC$6:$AC$1505,MATCH($C1326&amp;"|"&amp;$A1326&amp;"|"&amp;($AE1326-1),$AH$6:$AH$1505,0)),""))</f>
        <v/>
      </c>
      <c r="AJ1326" s="32">
        <f>IF(OR($AI1326="",$AC1326=""),"",IF($AI1326=$AC1326,"ללא שינוי","מ-"&amp;$AI1326&amp;" ל-"&amp;$AC1326))</f>
        <v/>
      </c>
      <c r="AK1326" s="67" t="n"/>
    </row>
    <row r="1327">
      <c r="A1327" s="65" t="n"/>
      <c r="B1327" s="65" t="n"/>
      <c r="C1327" s="66" t="n"/>
      <c r="D1327" s="66" t="n"/>
      <c r="E1327" s="65" t="n"/>
      <c r="F1327" s="65" t="n"/>
      <c r="G1327" s="65" t="n"/>
      <c r="H1327" s="65" t="n"/>
      <c r="I1327" s="65" t="n"/>
      <c r="J1327" s="65" t="n"/>
      <c r="K1327" s="65" t="n"/>
      <c r="L1327" s="65" t="n"/>
      <c r="M1327" s="65" t="n"/>
      <c r="N1327" s="65" t="n"/>
      <c r="O1327" s="65" t="n"/>
      <c r="P1327" s="65" t="n"/>
      <c r="Q1327" s="65" t="n"/>
      <c r="R1327" s="65" t="n"/>
      <c r="S1327" s="65" t="n"/>
      <c r="T1327" s="65" t="n"/>
      <c r="U1327" s="65" t="n"/>
      <c r="V1327" s="65" t="n"/>
      <c r="W1327" s="65" t="n"/>
      <c r="X1327" s="65" t="n"/>
      <c r="Y1327" s="32">
        <f>IF($C1327="","",IF(COUNTA($I1327:$K1327)&lt;3,"— חסרים נתונים",IF(AND($I1327="תקין",$J1327="תקין",$K1327="תקין"),"רהוטה",IF(AND($I1327="תקין",$J1327="תקין"),"מדויקת ורציפה","אינה מדויקת או מקוטעת"))))</f>
        <v/>
      </c>
      <c r="Z1327" s="32">
        <f>IF($C1327="","",IF(COUNTA($U1327:$W1327)&lt;3,"",IF(AND($U1327="מפותח",$V1327="מפותח",$W1327="מפותחת"),"מפותחת",IF((--($U1327="דל"))+(--($V1327="אינו מפותח"))+(--($W1327="דלה"))&gt;=2,"אינה מפותחת","חלקית"))))</f>
        <v/>
      </c>
      <c r="AA1327" s="32">
        <f>IF($C1327="","",IF(COUNTA($M1327,$N1327,$O1327)&lt;3,"— חסרים נתונים",IF(OR($M1327="נמוכה",(--($M1327&lt;&gt;"תקינה"))+(--($N1327&lt;&gt;"תקין"))+(--($O1327&lt;&gt;"תקינה"))&gt;=2),"ניכרת","אינה ניכרת")))</f>
        <v/>
      </c>
      <c r="AB1327" s="32">
        <f>IF(OR($C1327="",$Y1327="",$AA1327="",LEFT($Y1327,1)="—",LEFT($AA1327,1)="—"),"",IF($Z1327="","— נדרשת הערכת כתיבה",IF($L1327="","— חסרה הבנת הנקרא",IF($Y1327="אינה מדויקת או מקוטעת",IF($AA1327="ניכרת","מיקוד בשטף הקריאה ובכישורי שפה","מיקוד בשטף קריאה"),IF($AA1327="ניכרת","מיקוד בכישורי שפה",IF(AND($L1327="תקינה",$Z1327="מפותחת"),"קוראים וכותבים מיומנים","מיקוד בהבנה והבעה"))))))</f>
        <v/>
      </c>
      <c r="AC1327" s="32">
        <f>IF(OR($AB1327="",LEFT($AB1327,1)="—"),"",IF(OR($AB1327="מיקוד בשטף קריאה",$AB1327="מיקוד בשטף הקריאה ובכישורי שפה"),"רמה א'",IF($AB1327="קוראים וכותבים מיומנים","רמה ג'","רמה ב'")))</f>
        <v/>
      </c>
      <c r="AD1327" s="32">
        <f>IF($AC1327="","",MID(IF(AND($AC1327="רמה א'",$AA1327="ניכרת"),"; להוסיף עבודת אוצר מילים","")&amp;IF($Z1327="אינה מפותחת","; דגש על הבעה בכתב","")&amp;IF($K1327&lt;&gt;"תקין","; נדרש לעבוד על ההנגנה","")&amp;IF($AK1327&lt;&gt;"","; "&amp;$AK1327,""),3,400))</f>
        <v/>
      </c>
      <c r="AE1327" s="32">
        <f>IF($F1327="","",IF($F1327="תחילת שנה",1,IF($F1327="מחצית שנה",2,3)))</f>
        <v/>
      </c>
      <c r="AF1327" s="32">
        <f>IF(OR($B1327="",$AC1327="",$A1327="",$F1327=""),"",$B1327&amp;"|"&amp;$A1327&amp;"|"&amp;$F1327&amp;"|"&amp;$AC1327&amp;"|"&amp;COUNTIFS($B$6:$B1327,$B1327,$A$6:$A1327,$A1327,$F$6:$F1327,$F1327,$AC$6:$AC1327,$AC1327))</f>
        <v/>
      </c>
      <c r="AG1327" s="32">
        <f>IF($C1327="","",$C1327&amp;"|"&amp;COUNTIFS($C$6:$C1327,$C1327))</f>
        <v/>
      </c>
      <c r="AH1327" s="32">
        <f>IF(OR($C1327="",$A1327="",$AE1327=""),"",$C1327&amp;"|"&amp;$A1327&amp;"|"&amp;$AE1327)</f>
        <v/>
      </c>
      <c r="AI1327" s="32">
        <f>IF(OR($C1327="",$AE1327="",$AE1327=1),"",IFERROR(INDEX($AC$6:$AC$1505,MATCH($C1327&amp;"|"&amp;$A1327&amp;"|"&amp;($AE1327-1),$AH$6:$AH$1505,0)),""))</f>
        <v/>
      </c>
      <c r="AJ1327" s="32">
        <f>IF(OR($AI1327="",$AC1327=""),"",IF($AI1327=$AC1327,"ללא שינוי","מ-"&amp;$AI1327&amp;" ל-"&amp;$AC1327))</f>
        <v/>
      </c>
      <c r="AK1327" s="67" t="n"/>
    </row>
    <row r="1328">
      <c r="A1328" s="65" t="n"/>
      <c r="B1328" s="65" t="n"/>
      <c r="C1328" s="66" t="n"/>
      <c r="D1328" s="66" t="n"/>
      <c r="E1328" s="65" t="n"/>
      <c r="F1328" s="65" t="n"/>
      <c r="G1328" s="65" t="n"/>
      <c r="H1328" s="65" t="n"/>
      <c r="I1328" s="65" t="n"/>
      <c r="J1328" s="65" t="n"/>
      <c r="K1328" s="65" t="n"/>
      <c r="L1328" s="65" t="n"/>
      <c r="M1328" s="65" t="n"/>
      <c r="N1328" s="65" t="n"/>
      <c r="O1328" s="65" t="n"/>
      <c r="P1328" s="65" t="n"/>
      <c r="Q1328" s="65" t="n"/>
      <c r="R1328" s="65" t="n"/>
      <c r="S1328" s="65" t="n"/>
      <c r="T1328" s="65" t="n"/>
      <c r="U1328" s="65" t="n"/>
      <c r="V1328" s="65" t="n"/>
      <c r="W1328" s="65" t="n"/>
      <c r="X1328" s="65" t="n"/>
      <c r="Y1328" s="32">
        <f>IF($C1328="","",IF(COUNTA($I1328:$K1328)&lt;3,"— חסרים נתונים",IF(AND($I1328="תקין",$J1328="תקין",$K1328="תקין"),"רהוטה",IF(AND($I1328="תקין",$J1328="תקין"),"מדויקת ורציפה","אינה מדויקת או מקוטעת"))))</f>
        <v/>
      </c>
      <c r="Z1328" s="32">
        <f>IF($C1328="","",IF(COUNTA($U1328:$W1328)&lt;3,"",IF(AND($U1328="מפותח",$V1328="מפותח",$W1328="מפותחת"),"מפותחת",IF((--($U1328="דל"))+(--($V1328="אינו מפותח"))+(--($W1328="דלה"))&gt;=2,"אינה מפותחת","חלקית"))))</f>
        <v/>
      </c>
      <c r="AA1328" s="32">
        <f>IF($C1328="","",IF(COUNTA($M1328,$N1328,$O1328)&lt;3,"— חסרים נתונים",IF(OR($M1328="נמוכה",(--($M1328&lt;&gt;"תקינה"))+(--($N1328&lt;&gt;"תקין"))+(--($O1328&lt;&gt;"תקינה"))&gt;=2),"ניכרת","אינה ניכרת")))</f>
        <v/>
      </c>
      <c r="AB1328" s="32">
        <f>IF(OR($C1328="",$Y1328="",$AA1328="",LEFT($Y1328,1)="—",LEFT($AA1328,1)="—"),"",IF($Z1328="","— נדרשת הערכת כתיבה",IF($L1328="","— חסרה הבנת הנקרא",IF($Y1328="אינה מדויקת או מקוטעת",IF($AA1328="ניכרת","מיקוד בשטף הקריאה ובכישורי שפה","מיקוד בשטף קריאה"),IF($AA1328="ניכרת","מיקוד בכישורי שפה",IF(AND($L1328="תקינה",$Z1328="מפותחת"),"קוראים וכותבים מיומנים","מיקוד בהבנה והבעה"))))))</f>
        <v/>
      </c>
      <c r="AC1328" s="32">
        <f>IF(OR($AB1328="",LEFT($AB1328,1)="—"),"",IF(OR($AB1328="מיקוד בשטף קריאה",$AB1328="מיקוד בשטף הקריאה ובכישורי שפה"),"רמה א'",IF($AB1328="קוראים וכותבים מיומנים","רמה ג'","רמה ב'")))</f>
        <v/>
      </c>
      <c r="AD1328" s="32">
        <f>IF($AC1328="","",MID(IF(AND($AC1328="רמה א'",$AA1328="ניכרת"),"; להוסיף עבודת אוצר מילים","")&amp;IF($Z1328="אינה מפותחת","; דגש על הבעה בכתב","")&amp;IF($K1328&lt;&gt;"תקין","; נדרש לעבוד על ההנגנה","")&amp;IF($AK1328&lt;&gt;"","; "&amp;$AK1328,""),3,400))</f>
        <v/>
      </c>
      <c r="AE1328" s="32">
        <f>IF($F1328="","",IF($F1328="תחילת שנה",1,IF($F1328="מחצית שנה",2,3)))</f>
        <v/>
      </c>
      <c r="AF1328" s="32">
        <f>IF(OR($B1328="",$AC1328="",$A1328="",$F1328=""),"",$B1328&amp;"|"&amp;$A1328&amp;"|"&amp;$F1328&amp;"|"&amp;$AC1328&amp;"|"&amp;COUNTIFS($B$6:$B1328,$B1328,$A$6:$A1328,$A1328,$F$6:$F1328,$F1328,$AC$6:$AC1328,$AC1328))</f>
        <v/>
      </c>
      <c r="AG1328" s="32">
        <f>IF($C1328="","",$C1328&amp;"|"&amp;COUNTIFS($C$6:$C1328,$C1328))</f>
        <v/>
      </c>
      <c r="AH1328" s="32">
        <f>IF(OR($C1328="",$A1328="",$AE1328=""),"",$C1328&amp;"|"&amp;$A1328&amp;"|"&amp;$AE1328)</f>
        <v/>
      </c>
      <c r="AI1328" s="32">
        <f>IF(OR($C1328="",$AE1328="",$AE1328=1),"",IFERROR(INDEX($AC$6:$AC$1505,MATCH($C1328&amp;"|"&amp;$A1328&amp;"|"&amp;($AE1328-1),$AH$6:$AH$1505,0)),""))</f>
        <v/>
      </c>
      <c r="AJ1328" s="32">
        <f>IF(OR($AI1328="",$AC1328=""),"",IF($AI1328=$AC1328,"ללא שינוי","מ-"&amp;$AI1328&amp;" ל-"&amp;$AC1328))</f>
        <v/>
      </c>
      <c r="AK1328" s="67" t="n"/>
    </row>
    <row r="1329">
      <c r="A1329" s="65" t="n"/>
      <c r="B1329" s="65" t="n"/>
      <c r="C1329" s="66" t="n"/>
      <c r="D1329" s="66" t="n"/>
      <c r="E1329" s="65" t="n"/>
      <c r="F1329" s="65" t="n"/>
      <c r="G1329" s="65" t="n"/>
      <c r="H1329" s="65" t="n"/>
      <c r="I1329" s="65" t="n"/>
      <c r="J1329" s="65" t="n"/>
      <c r="K1329" s="65" t="n"/>
      <c r="L1329" s="65" t="n"/>
      <c r="M1329" s="65" t="n"/>
      <c r="N1329" s="65" t="n"/>
      <c r="O1329" s="65" t="n"/>
      <c r="P1329" s="65" t="n"/>
      <c r="Q1329" s="65" t="n"/>
      <c r="R1329" s="65" t="n"/>
      <c r="S1329" s="65" t="n"/>
      <c r="T1329" s="65" t="n"/>
      <c r="U1329" s="65" t="n"/>
      <c r="V1329" s="65" t="n"/>
      <c r="W1329" s="65" t="n"/>
      <c r="X1329" s="65" t="n"/>
      <c r="Y1329" s="32">
        <f>IF($C1329="","",IF(COUNTA($I1329:$K1329)&lt;3,"— חסרים נתונים",IF(AND($I1329="תקין",$J1329="תקין",$K1329="תקין"),"רהוטה",IF(AND($I1329="תקין",$J1329="תקין"),"מדויקת ורציפה","אינה מדויקת או מקוטעת"))))</f>
        <v/>
      </c>
      <c r="Z1329" s="32">
        <f>IF($C1329="","",IF(COUNTA($U1329:$W1329)&lt;3,"",IF(AND($U1329="מפותח",$V1329="מפותח",$W1329="מפותחת"),"מפותחת",IF((--($U1329="דל"))+(--($V1329="אינו מפותח"))+(--($W1329="דלה"))&gt;=2,"אינה מפותחת","חלקית"))))</f>
        <v/>
      </c>
      <c r="AA1329" s="32">
        <f>IF($C1329="","",IF(COUNTA($M1329,$N1329,$O1329)&lt;3,"— חסרים נתונים",IF(OR($M1329="נמוכה",(--($M1329&lt;&gt;"תקינה"))+(--($N1329&lt;&gt;"תקין"))+(--($O1329&lt;&gt;"תקינה"))&gt;=2),"ניכרת","אינה ניכרת")))</f>
        <v/>
      </c>
      <c r="AB1329" s="32">
        <f>IF(OR($C1329="",$Y1329="",$AA1329="",LEFT($Y1329,1)="—",LEFT($AA1329,1)="—"),"",IF($Z1329="","— נדרשת הערכת כתיבה",IF($L1329="","— חסרה הבנת הנקרא",IF($Y1329="אינה מדויקת או מקוטעת",IF($AA1329="ניכרת","מיקוד בשטף הקריאה ובכישורי שפה","מיקוד בשטף קריאה"),IF($AA1329="ניכרת","מיקוד בכישורי שפה",IF(AND($L1329="תקינה",$Z1329="מפותחת"),"קוראים וכותבים מיומנים","מיקוד בהבנה והבעה"))))))</f>
        <v/>
      </c>
      <c r="AC1329" s="32">
        <f>IF(OR($AB1329="",LEFT($AB1329,1)="—"),"",IF(OR($AB1329="מיקוד בשטף קריאה",$AB1329="מיקוד בשטף הקריאה ובכישורי שפה"),"רמה א'",IF($AB1329="קוראים וכותבים מיומנים","רמה ג'","רמה ב'")))</f>
        <v/>
      </c>
      <c r="AD1329" s="32">
        <f>IF($AC1329="","",MID(IF(AND($AC1329="רמה א'",$AA1329="ניכרת"),"; להוסיף עבודת אוצר מילים","")&amp;IF($Z1329="אינה מפותחת","; דגש על הבעה בכתב","")&amp;IF($K1329&lt;&gt;"תקין","; נדרש לעבוד על ההנגנה","")&amp;IF($AK1329&lt;&gt;"","; "&amp;$AK1329,""),3,400))</f>
        <v/>
      </c>
      <c r="AE1329" s="32">
        <f>IF($F1329="","",IF($F1329="תחילת שנה",1,IF($F1329="מחצית שנה",2,3)))</f>
        <v/>
      </c>
      <c r="AF1329" s="32">
        <f>IF(OR($B1329="",$AC1329="",$A1329="",$F1329=""),"",$B1329&amp;"|"&amp;$A1329&amp;"|"&amp;$F1329&amp;"|"&amp;$AC1329&amp;"|"&amp;COUNTIFS($B$6:$B1329,$B1329,$A$6:$A1329,$A1329,$F$6:$F1329,$F1329,$AC$6:$AC1329,$AC1329))</f>
        <v/>
      </c>
      <c r="AG1329" s="32">
        <f>IF($C1329="","",$C1329&amp;"|"&amp;COUNTIFS($C$6:$C1329,$C1329))</f>
        <v/>
      </c>
      <c r="AH1329" s="32">
        <f>IF(OR($C1329="",$A1329="",$AE1329=""),"",$C1329&amp;"|"&amp;$A1329&amp;"|"&amp;$AE1329)</f>
        <v/>
      </c>
      <c r="AI1329" s="32">
        <f>IF(OR($C1329="",$AE1329="",$AE1329=1),"",IFERROR(INDEX($AC$6:$AC$1505,MATCH($C1329&amp;"|"&amp;$A1329&amp;"|"&amp;($AE1329-1),$AH$6:$AH$1505,0)),""))</f>
        <v/>
      </c>
      <c r="AJ1329" s="32">
        <f>IF(OR($AI1329="",$AC1329=""),"",IF($AI1329=$AC1329,"ללא שינוי","מ-"&amp;$AI1329&amp;" ל-"&amp;$AC1329))</f>
        <v/>
      </c>
      <c r="AK1329" s="67" t="n"/>
    </row>
    <row r="1330">
      <c r="A1330" s="65" t="n"/>
      <c r="B1330" s="65" t="n"/>
      <c r="C1330" s="66" t="n"/>
      <c r="D1330" s="66" t="n"/>
      <c r="E1330" s="65" t="n"/>
      <c r="F1330" s="65" t="n"/>
      <c r="G1330" s="65" t="n"/>
      <c r="H1330" s="65" t="n"/>
      <c r="I1330" s="65" t="n"/>
      <c r="J1330" s="65" t="n"/>
      <c r="K1330" s="65" t="n"/>
      <c r="L1330" s="65" t="n"/>
      <c r="M1330" s="65" t="n"/>
      <c r="N1330" s="65" t="n"/>
      <c r="O1330" s="65" t="n"/>
      <c r="P1330" s="65" t="n"/>
      <c r="Q1330" s="65" t="n"/>
      <c r="R1330" s="65" t="n"/>
      <c r="S1330" s="65" t="n"/>
      <c r="T1330" s="65" t="n"/>
      <c r="U1330" s="65" t="n"/>
      <c r="V1330" s="65" t="n"/>
      <c r="W1330" s="65" t="n"/>
      <c r="X1330" s="65" t="n"/>
      <c r="Y1330" s="32">
        <f>IF($C1330="","",IF(COUNTA($I1330:$K1330)&lt;3,"— חסרים נתונים",IF(AND($I1330="תקין",$J1330="תקין",$K1330="תקין"),"רהוטה",IF(AND($I1330="תקין",$J1330="תקין"),"מדויקת ורציפה","אינה מדויקת או מקוטעת"))))</f>
        <v/>
      </c>
      <c r="Z1330" s="32">
        <f>IF($C1330="","",IF(COUNTA($U1330:$W1330)&lt;3,"",IF(AND($U1330="מפותח",$V1330="מפותח",$W1330="מפותחת"),"מפותחת",IF((--($U1330="דל"))+(--($V1330="אינו מפותח"))+(--($W1330="דלה"))&gt;=2,"אינה מפותחת","חלקית"))))</f>
        <v/>
      </c>
      <c r="AA1330" s="32">
        <f>IF($C1330="","",IF(COUNTA($M1330,$N1330,$O1330)&lt;3,"— חסרים נתונים",IF(OR($M1330="נמוכה",(--($M1330&lt;&gt;"תקינה"))+(--($N1330&lt;&gt;"תקין"))+(--($O1330&lt;&gt;"תקינה"))&gt;=2),"ניכרת","אינה ניכרת")))</f>
        <v/>
      </c>
      <c r="AB1330" s="32">
        <f>IF(OR($C1330="",$Y1330="",$AA1330="",LEFT($Y1330,1)="—",LEFT($AA1330,1)="—"),"",IF($Z1330="","— נדרשת הערכת כתיבה",IF($L1330="","— חסרה הבנת הנקרא",IF($Y1330="אינה מדויקת או מקוטעת",IF($AA1330="ניכרת","מיקוד בשטף הקריאה ובכישורי שפה","מיקוד בשטף קריאה"),IF($AA1330="ניכרת","מיקוד בכישורי שפה",IF(AND($L1330="תקינה",$Z1330="מפותחת"),"קוראים וכותבים מיומנים","מיקוד בהבנה והבעה"))))))</f>
        <v/>
      </c>
      <c r="AC1330" s="32">
        <f>IF(OR($AB1330="",LEFT($AB1330,1)="—"),"",IF(OR($AB1330="מיקוד בשטף קריאה",$AB1330="מיקוד בשטף הקריאה ובכישורי שפה"),"רמה א'",IF($AB1330="קוראים וכותבים מיומנים","רמה ג'","רמה ב'")))</f>
        <v/>
      </c>
      <c r="AD1330" s="32">
        <f>IF($AC1330="","",MID(IF(AND($AC1330="רמה א'",$AA1330="ניכרת"),"; להוסיף עבודת אוצר מילים","")&amp;IF($Z1330="אינה מפותחת","; דגש על הבעה בכתב","")&amp;IF($K1330&lt;&gt;"תקין","; נדרש לעבוד על ההנגנה","")&amp;IF($AK1330&lt;&gt;"","; "&amp;$AK1330,""),3,400))</f>
        <v/>
      </c>
      <c r="AE1330" s="32">
        <f>IF($F1330="","",IF($F1330="תחילת שנה",1,IF($F1330="מחצית שנה",2,3)))</f>
        <v/>
      </c>
      <c r="AF1330" s="32">
        <f>IF(OR($B1330="",$AC1330="",$A1330="",$F1330=""),"",$B1330&amp;"|"&amp;$A1330&amp;"|"&amp;$F1330&amp;"|"&amp;$AC1330&amp;"|"&amp;COUNTIFS($B$6:$B1330,$B1330,$A$6:$A1330,$A1330,$F$6:$F1330,$F1330,$AC$6:$AC1330,$AC1330))</f>
        <v/>
      </c>
      <c r="AG1330" s="32">
        <f>IF($C1330="","",$C1330&amp;"|"&amp;COUNTIFS($C$6:$C1330,$C1330))</f>
        <v/>
      </c>
      <c r="AH1330" s="32">
        <f>IF(OR($C1330="",$A1330="",$AE1330=""),"",$C1330&amp;"|"&amp;$A1330&amp;"|"&amp;$AE1330)</f>
        <v/>
      </c>
      <c r="AI1330" s="32">
        <f>IF(OR($C1330="",$AE1330="",$AE1330=1),"",IFERROR(INDEX($AC$6:$AC$1505,MATCH($C1330&amp;"|"&amp;$A1330&amp;"|"&amp;($AE1330-1),$AH$6:$AH$1505,0)),""))</f>
        <v/>
      </c>
      <c r="AJ1330" s="32">
        <f>IF(OR($AI1330="",$AC1330=""),"",IF($AI1330=$AC1330,"ללא שינוי","מ-"&amp;$AI1330&amp;" ל-"&amp;$AC1330))</f>
        <v/>
      </c>
      <c r="AK1330" s="67" t="n"/>
    </row>
    <row r="1331">
      <c r="A1331" s="65" t="n"/>
      <c r="B1331" s="65" t="n"/>
      <c r="C1331" s="66" t="n"/>
      <c r="D1331" s="66" t="n"/>
      <c r="E1331" s="65" t="n"/>
      <c r="F1331" s="65" t="n"/>
      <c r="G1331" s="65" t="n"/>
      <c r="H1331" s="65" t="n"/>
      <c r="I1331" s="65" t="n"/>
      <c r="J1331" s="65" t="n"/>
      <c r="K1331" s="65" t="n"/>
      <c r="L1331" s="65" t="n"/>
      <c r="M1331" s="65" t="n"/>
      <c r="N1331" s="65" t="n"/>
      <c r="O1331" s="65" t="n"/>
      <c r="P1331" s="65" t="n"/>
      <c r="Q1331" s="65" t="n"/>
      <c r="R1331" s="65" t="n"/>
      <c r="S1331" s="65" t="n"/>
      <c r="T1331" s="65" t="n"/>
      <c r="U1331" s="65" t="n"/>
      <c r="V1331" s="65" t="n"/>
      <c r="W1331" s="65" t="n"/>
      <c r="X1331" s="65" t="n"/>
      <c r="Y1331" s="32">
        <f>IF($C1331="","",IF(COUNTA($I1331:$K1331)&lt;3,"— חסרים נתונים",IF(AND($I1331="תקין",$J1331="תקין",$K1331="תקין"),"רהוטה",IF(AND($I1331="תקין",$J1331="תקין"),"מדויקת ורציפה","אינה מדויקת או מקוטעת"))))</f>
        <v/>
      </c>
      <c r="Z1331" s="32">
        <f>IF($C1331="","",IF(COUNTA($U1331:$W1331)&lt;3,"",IF(AND($U1331="מפותח",$V1331="מפותח",$W1331="מפותחת"),"מפותחת",IF((--($U1331="דל"))+(--($V1331="אינו מפותח"))+(--($W1331="דלה"))&gt;=2,"אינה מפותחת","חלקית"))))</f>
        <v/>
      </c>
      <c r="AA1331" s="32">
        <f>IF($C1331="","",IF(COUNTA($M1331,$N1331,$O1331)&lt;3,"— חסרים נתונים",IF(OR($M1331="נמוכה",(--($M1331&lt;&gt;"תקינה"))+(--($N1331&lt;&gt;"תקין"))+(--($O1331&lt;&gt;"תקינה"))&gt;=2),"ניכרת","אינה ניכרת")))</f>
        <v/>
      </c>
      <c r="AB1331" s="32">
        <f>IF(OR($C1331="",$Y1331="",$AA1331="",LEFT($Y1331,1)="—",LEFT($AA1331,1)="—"),"",IF($Z1331="","— נדרשת הערכת כתיבה",IF($L1331="","— חסרה הבנת הנקרא",IF($Y1331="אינה מדויקת או מקוטעת",IF($AA1331="ניכרת","מיקוד בשטף הקריאה ובכישורי שפה","מיקוד בשטף קריאה"),IF($AA1331="ניכרת","מיקוד בכישורי שפה",IF(AND($L1331="תקינה",$Z1331="מפותחת"),"קוראים וכותבים מיומנים","מיקוד בהבנה והבעה"))))))</f>
        <v/>
      </c>
      <c r="AC1331" s="32">
        <f>IF(OR($AB1331="",LEFT($AB1331,1)="—"),"",IF(OR($AB1331="מיקוד בשטף קריאה",$AB1331="מיקוד בשטף הקריאה ובכישורי שפה"),"רמה א'",IF($AB1331="קוראים וכותבים מיומנים","רמה ג'","רמה ב'")))</f>
        <v/>
      </c>
      <c r="AD1331" s="32">
        <f>IF($AC1331="","",MID(IF(AND($AC1331="רמה א'",$AA1331="ניכרת"),"; להוסיף עבודת אוצר מילים","")&amp;IF($Z1331="אינה מפותחת","; דגש על הבעה בכתב","")&amp;IF($K1331&lt;&gt;"תקין","; נדרש לעבוד על ההנגנה","")&amp;IF($AK1331&lt;&gt;"","; "&amp;$AK1331,""),3,400))</f>
        <v/>
      </c>
      <c r="AE1331" s="32">
        <f>IF($F1331="","",IF($F1331="תחילת שנה",1,IF($F1331="מחצית שנה",2,3)))</f>
        <v/>
      </c>
      <c r="AF1331" s="32">
        <f>IF(OR($B1331="",$AC1331="",$A1331="",$F1331=""),"",$B1331&amp;"|"&amp;$A1331&amp;"|"&amp;$F1331&amp;"|"&amp;$AC1331&amp;"|"&amp;COUNTIFS($B$6:$B1331,$B1331,$A$6:$A1331,$A1331,$F$6:$F1331,$F1331,$AC$6:$AC1331,$AC1331))</f>
        <v/>
      </c>
      <c r="AG1331" s="32">
        <f>IF($C1331="","",$C1331&amp;"|"&amp;COUNTIFS($C$6:$C1331,$C1331))</f>
        <v/>
      </c>
      <c r="AH1331" s="32">
        <f>IF(OR($C1331="",$A1331="",$AE1331=""),"",$C1331&amp;"|"&amp;$A1331&amp;"|"&amp;$AE1331)</f>
        <v/>
      </c>
      <c r="AI1331" s="32">
        <f>IF(OR($C1331="",$AE1331="",$AE1331=1),"",IFERROR(INDEX($AC$6:$AC$1505,MATCH($C1331&amp;"|"&amp;$A1331&amp;"|"&amp;($AE1331-1),$AH$6:$AH$1505,0)),""))</f>
        <v/>
      </c>
      <c r="AJ1331" s="32">
        <f>IF(OR($AI1331="",$AC1331=""),"",IF($AI1331=$AC1331,"ללא שינוי","מ-"&amp;$AI1331&amp;" ל-"&amp;$AC1331))</f>
        <v/>
      </c>
      <c r="AK1331" s="67" t="n"/>
    </row>
    <row r="1332">
      <c r="A1332" s="65" t="n"/>
      <c r="B1332" s="65" t="n"/>
      <c r="C1332" s="66" t="n"/>
      <c r="D1332" s="66" t="n"/>
      <c r="E1332" s="65" t="n"/>
      <c r="F1332" s="65" t="n"/>
      <c r="G1332" s="65" t="n"/>
      <c r="H1332" s="65" t="n"/>
      <c r="I1332" s="65" t="n"/>
      <c r="J1332" s="65" t="n"/>
      <c r="K1332" s="65" t="n"/>
      <c r="L1332" s="65" t="n"/>
      <c r="M1332" s="65" t="n"/>
      <c r="N1332" s="65" t="n"/>
      <c r="O1332" s="65" t="n"/>
      <c r="P1332" s="65" t="n"/>
      <c r="Q1332" s="65" t="n"/>
      <c r="R1332" s="65" t="n"/>
      <c r="S1332" s="65" t="n"/>
      <c r="T1332" s="65" t="n"/>
      <c r="U1332" s="65" t="n"/>
      <c r="V1332" s="65" t="n"/>
      <c r="W1332" s="65" t="n"/>
      <c r="X1332" s="65" t="n"/>
      <c r="Y1332" s="32">
        <f>IF($C1332="","",IF(COUNTA($I1332:$K1332)&lt;3,"— חסרים נתונים",IF(AND($I1332="תקין",$J1332="תקין",$K1332="תקין"),"רהוטה",IF(AND($I1332="תקין",$J1332="תקין"),"מדויקת ורציפה","אינה מדויקת או מקוטעת"))))</f>
        <v/>
      </c>
      <c r="Z1332" s="32">
        <f>IF($C1332="","",IF(COUNTA($U1332:$W1332)&lt;3,"",IF(AND($U1332="מפותח",$V1332="מפותח",$W1332="מפותחת"),"מפותחת",IF((--($U1332="דל"))+(--($V1332="אינו מפותח"))+(--($W1332="דלה"))&gt;=2,"אינה מפותחת","חלקית"))))</f>
        <v/>
      </c>
      <c r="AA1332" s="32">
        <f>IF($C1332="","",IF(COUNTA($M1332,$N1332,$O1332)&lt;3,"— חסרים נתונים",IF(OR($M1332="נמוכה",(--($M1332&lt;&gt;"תקינה"))+(--($N1332&lt;&gt;"תקין"))+(--($O1332&lt;&gt;"תקינה"))&gt;=2),"ניכרת","אינה ניכרת")))</f>
        <v/>
      </c>
      <c r="AB1332" s="32">
        <f>IF(OR($C1332="",$Y1332="",$AA1332="",LEFT($Y1332,1)="—",LEFT($AA1332,1)="—"),"",IF($Z1332="","— נדרשת הערכת כתיבה",IF($L1332="","— חסרה הבנת הנקרא",IF($Y1332="אינה מדויקת או מקוטעת",IF($AA1332="ניכרת","מיקוד בשטף הקריאה ובכישורי שפה","מיקוד בשטף קריאה"),IF($AA1332="ניכרת","מיקוד בכישורי שפה",IF(AND($L1332="תקינה",$Z1332="מפותחת"),"קוראים וכותבים מיומנים","מיקוד בהבנה והבעה"))))))</f>
        <v/>
      </c>
      <c r="AC1332" s="32">
        <f>IF(OR($AB1332="",LEFT($AB1332,1)="—"),"",IF(OR($AB1332="מיקוד בשטף קריאה",$AB1332="מיקוד בשטף הקריאה ובכישורי שפה"),"רמה א'",IF($AB1332="קוראים וכותבים מיומנים","רמה ג'","רמה ב'")))</f>
        <v/>
      </c>
      <c r="AD1332" s="32">
        <f>IF($AC1332="","",MID(IF(AND($AC1332="רמה א'",$AA1332="ניכרת"),"; להוסיף עבודת אוצר מילים","")&amp;IF($Z1332="אינה מפותחת","; דגש על הבעה בכתב","")&amp;IF($K1332&lt;&gt;"תקין","; נדרש לעבוד על ההנגנה","")&amp;IF($AK1332&lt;&gt;"","; "&amp;$AK1332,""),3,400))</f>
        <v/>
      </c>
      <c r="AE1332" s="32">
        <f>IF($F1332="","",IF($F1332="תחילת שנה",1,IF($F1332="מחצית שנה",2,3)))</f>
        <v/>
      </c>
      <c r="AF1332" s="32">
        <f>IF(OR($B1332="",$AC1332="",$A1332="",$F1332=""),"",$B1332&amp;"|"&amp;$A1332&amp;"|"&amp;$F1332&amp;"|"&amp;$AC1332&amp;"|"&amp;COUNTIFS($B$6:$B1332,$B1332,$A$6:$A1332,$A1332,$F$6:$F1332,$F1332,$AC$6:$AC1332,$AC1332))</f>
        <v/>
      </c>
      <c r="AG1332" s="32">
        <f>IF($C1332="","",$C1332&amp;"|"&amp;COUNTIFS($C$6:$C1332,$C1332))</f>
        <v/>
      </c>
      <c r="AH1332" s="32">
        <f>IF(OR($C1332="",$A1332="",$AE1332=""),"",$C1332&amp;"|"&amp;$A1332&amp;"|"&amp;$AE1332)</f>
        <v/>
      </c>
      <c r="AI1332" s="32">
        <f>IF(OR($C1332="",$AE1332="",$AE1332=1),"",IFERROR(INDEX($AC$6:$AC$1505,MATCH($C1332&amp;"|"&amp;$A1332&amp;"|"&amp;($AE1332-1),$AH$6:$AH$1505,0)),""))</f>
        <v/>
      </c>
      <c r="AJ1332" s="32">
        <f>IF(OR($AI1332="",$AC1332=""),"",IF($AI1332=$AC1332,"ללא שינוי","מ-"&amp;$AI1332&amp;" ל-"&amp;$AC1332))</f>
        <v/>
      </c>
      <c r="AK1332" s="67" t="n"/>
    </row>
    <row r="1333">
      <c r="A1333" s="65" t="n"/>
      <c r="B1333" s="65" t="n"/>
      <c r="C1333" s="66" t="n"/>
      <c r="D1333" s="66" t="n"/>
      <c r="E1333" s="65" t="n"/>
      <c r="F1333" s="65" t="n"/>
      <c r="G1333" s="65" t="n"/>
      <c r="H1333" s="65" t="n"/>
      <c r="I1333" s="65" t="n"/>
      <c r="J1333" s="65" t="n"/>
      <c r="K1333" s="65" t="n"/>
      <c r="L1333" s="65" t="n"/>
      <c r="M1333" s="65" t="n"/>
      <c r="N1333" s="65" t="n"/>
      <c r="O1333" s="65" t="n"/>
      <c r="P1333" s="65" t="n"/>
      <c r="Q1333" s="65" t="n"/>
      <c r="R1333" s="65" t="n"/>
      <c r="S1333" s="65" t="n"/>
      <c r="T1333" s="65" t="n"/>
      <c r="U1333" s="65" t="n"/>
      <c r="V1333" s="65" t="n"/>
      <c r="W1333" s="65" t="n"/>
      <c r="X1333" s="65" t="n"/>
      <c r="Y1333" s="32">
        <f>IF($C1333="","",IF(COUNTA($I1333:$K1333)&lt;3,"— חסרים נתונים",IF(AND($I1333="תקין",$J1333="תקין",$K1333="תקין"),"רהוטה",IF(AND($I1333="תקין",$J1333="תקין"),"מדויקת ורציפה","אינה מדויקת או מקוטעת"))))</f>
        <v/>
      </c>
      <c r="Z1333" s="32">
        <f>IF($C1333="","",IF(COUNTA($U1333:$W1333)&lt;3,"",IF(AND($U1333="מפותח",$V1333="מפותח",$W1333="מפותחת"),"מפותחת",IF((--($U1333="דל"))+(--($V1333="אינו מפותח"))+(--($W1333="דלה"))&gt;=2,"אינה מפותחת","חלקית"))))</f>
        <v/>
      </c>
      <c r="AA1333" s="32">
        <f>IF($C1333="","",IF(COUNTA($M1333,$N1333,$O1333)&lt;3,"— חסרים נתונים",IF(OR($M1333="נמוכה",(--($M1333&lt;&gt;"תקינה"))+(--($N1333&lt;&gt;"תקין"))+(--($O1333&lt;&gt;"תקינה"))&gt;=2),"ניכרת","אינה ניכרת")))</f>
        <v/>
      </c>
      <c r="AB1333" s="32">
        <f>IF(OR($C1333="",$Y1333="",$AA1333="",LEFT($Y1333,1)="—",LEFT($AA1333,1)="—"),"",IF($Z1333="","— נדרשת הערכת כתיבה",IF($L1333="","— חסרה הבנת הנקרא",IF($Y1333="אינה מדויקת או מקוטעת",IF($AA1333="ניכרת","מיקוד בשטף הקריאה ובכישורי שפה","מיקוד בשטף קריאה"),IF($AA1333="ניכרת","מיקוד בכישורי שפה",IF(AND($L1333="תקינה",$Z1333="מפותחת"),"קוראים וכותבים מיומנים","מיקוד בהבנה והבעה"))))))</f>
        <v/>
      </c>
      <c r="AC1333" s="32">
        <f>IF(OR($AB1333="",LEFT($AB1333,1)="—"),"",IF(OR($AB1333="מיקוד בשטף קריאה",$AB1333="מיקוד בשטף הקריאה ובכישורי שפה"),"רמה א'",IF($AB1333="קוראים וכותבים מיומנים","רמה ג'","רמה ב'")))</f>
        <v/>
      </c>
      <c r="AD1333" s="32">
        <f>IF($AC1333="","",MID(IF(AND($AC1333="רמה א'",$AA1333="ניכרת"),"; להוסיף עבודת אוצר מילים","")&amp;IF($Z1333="אינה מפותחת","; דגש על הבעה בכתב","")&amp;IF($K1333&lt;&gt;"תקין","; נדרש לעבוד על ההנגנה","")&amp;IF($AK1333&lt;&gt;"","; "&amp;$AK1333,""),3,400))</f>
        <v/>
      </c>
      <c r="AE1333" s="32">
        <f>IF($F1333="","",IF($F1333="תחילת שנה",1,IF($F1333="מחצית שנה",2,3)))</f>
        <v/>
      </c>
      <c r="AF1333" s="32">
        <f>IF(OR($B1333="",$AC1333="",$A1333="",$F1333=""),"",$B1333&amp;"|"&amp;$A1333&amp;"|"&amp;$F1333&amp;"|"&amp;$AC1333&amp;"|"&amp;COUNTIFS($B$6:$B1333,$B1333,$A$6:$A1333,$A1333,$F$6:$F1333,$F1333,$AC$6:$AC1333,$AC1333))</f>
        <v/>
      </c>
      <c r="AG1333" s="32">
        <f>IF($C1333="","",$C1333&amp;"|"&amp;COUNTIFS($C$6:$C1333,$C1333))</f>
        <v/>
      </c>
      <c r="AH1333" s="32">
        <f>IF(OR($C1333="",$A1333="",$AE1333=""),"",$C1333&amp;"|"&amp;$A1333&amp;"|"&amp;$AE1333)</f>
        <v/>
      </c>
      <c r="AI1333" s="32">
        <f>IF(OR($C1333="",$AE1333="",$AE1333=1),"",IFERROR(INDEX($AC$6:$AC$1505,MATCH($C1333&amp;"|"&amp;$A1333&amp;"|"&amp;($AE1333-1),$AH$6:$AH$1505,0)),""))</f>
        <v/>
      </c>
      <c r="AJ1333" s="32">
        <f>IF(OR($AI1333="",$AC1333=""),"",IF($AI1333=$AC1333,"ללא שינוי","מ-"&amp;$AI1333&amp;" ל-"&amp;$AC1333))</f>
        <v/>
      </c>
      <c r="AK1333" s="67" t="n"/>
    </row>
    <row r="1334">
      <c r="A1334" s="65" t="n"/>
      <c r="B1334" s="65" t="n"/>
      <c r="C1334" s="66" t="n"/>
      <c r="D1334" s="66" t="n"/>
      <c r="E1334" s="65" t="n"/>
      <c r="F1334" s="65" t="n"/>
      <c r="G1334" s="65" t="n"/>
      <c r="H1334" s="65" t="n"/>
      <c r="I1334" s="65" t="n"/>
      <c r="J1334" s="65" t="n"/>
      <c r="K1334" s="65" t="n"/>
      <c r="L1334" s="65" t="n"/>
      <c r="M1334" s="65" t="n"/>
      <c r="N1334" s="65" t="n"/>
      <c r="O1334" s="65" t="n"/>
      <c r="P1334" s="65" t="n"/>
      <c r="Q1334" s="65" t="n"/>
      <c r="R1334" s="65" t="n"/>
      <c r="S1334" s="65" t="n"/>
      <c r="T1334" s="65" t="n"/>
      <c r="U1334" s="65" t="n"/>
      <c r="V1334" s="65" t="n"/>
      <c r="W1334" s="65" t="n"/>
      <c r="X1334" s="65" t="n"/>
      <c r="Y1334" s="32">
        <f>IF($C1334="","",IF(COUNTA($I1334:$K1334)&lt;3,"— חסרים נתונים",IF(AND($I1334="תקין",$J1334="תקין",$K1334="תקין"),"רהוטה",IF(AND($I1334="תקין",$J1334="תקין"),"מדויקת ורציפה","אינה מדויקת או מקוטעת"))))</f>
        <v/>
      </c>
      <c r="Z1334" s="32">
        <f>IF($C1334="","",IF(COUNTA($U1334:$W1334)&lt;3,"",IF(AND($U1334="מפותח",$V1334="מפותח",$W1334="מפותחת"),"מפותחת",IF((--($U1334="דל"))+(--($V1334="אינו מפותח"))+(--($W1334="דלה"))&gt;=2,"אינה מפותחת","חלקית"))))</f>
        <v/>
      </c>
      <c r="AA1334" s="32">
        <f>IF($C1334="","",IF(COUNTA($M1334,$N1334,$O1334)&lt;3,"— חסרים נתונים",IF(OR($M1334="נמוכה",(--($M1334&lt;&gt;"תקינה"))+(--($N1334&lt;&gt;"תקין"))+(--($O1334&lt;&gt;"תקינה"))&gt;=2),"ניכרת","אינה ניכרת")))</f>
        <v/>
      </c>
      <c r="AB1334" s="32">
        <f>IF(OR($C1334="",$Y1334="",$AA1334="",LEFT($Y1334,1)="—",LEFT($AA1334,1)="—"),"",IF($Z1334="","— נדרשת הערכת כתיבה",IF($L1334="","— חסרה הבנת הנקרא",IF($Y1334="אינה מדויקת או מקוטעת",IF($AA1334="ניכרת","מיקוד בשטף הקריאה ובכישורי שפה","מיקוד בשטף קריאה"),IF($AA1334="ניכרת","מיקוד בכישורי שפה",IF(AND($L1334="תקינה",$Z1334="מפותחת"),"קוראים וכותבים מיומנים","מיקוד בהבנה והבעה"))))))</f>
        <v/>
      </c>
      <c r="AC1334" s="32">
        <f>IF(OR($AB1334="",LEFT($AB1334,1)="—"),"",IF(OR($AB1334="מיקוד בשטף קריאה",$AB1334="מיקוד בשטף הקריאה ובכישורי שפה"),"רמה א'",IF($AB1334="קוראים וכותבים מיומנים","רמה ג'","רמה ב'")))</f>
        <v/>
      </c>
      <c r="AD1334" s="32">
        <f>IF($AC1334="","",MID(IF(AND($AC1334="רמה א'",$AA1334="ניכרת"),"; להוסיף עבודת אוצר מילים","")&amp;IF($Z1334="אינה מפותחת","; דגש על הבעה בכתב","")&amp;IF($K1334&lt;&gt;"תקין","; נדרש לעבוד על ההנגנה","")&amp;IF($AK1334&lt;&gt;"","; "&amp;$AK1334,""),3,400))</f>
        <v/>
      </c>
      <c r="AE1334" s="32">
        <f>IF($F1334="","",IF($F1334="תחילת שנה",1,IF($F1334="מחצית שנה",2,3)))</f>
        <v/>
      </c>
      <c r="AF1334" s="32">
        <f>IF(OR($B1334="",$AC1334="",$A1334="",$F1334=""),"",$B1334&amp;"|"&amp;$A1334&amp;"|"&amp;$F1334&amp;"|"&amp;$AC1334&amp;"|"&amp;COUNTIFS($B$6:$B1334,$B1334,$A$6:$A1334,$A1334,$F$6:$F1334,$F1334,$AC$6:$AC1334,$AC1334))</f>
        <v/>
      </c>
      <c r="AG1334" s="32">
        <f>IF($C1334="","",$C1334&amp;"|"&amp;COUNTIFS($C$6:$C1334,$C1334))</f>
        <v/>
      </c>
      <c r="AH1334" s="32">
        <f>IF(OR($C1334="",$A1334="",$AE1334=""),"",$C1334&amp;"|"&amp;$A1334&amp;"|"&amp;$AE1334)</f>
        <v/>
      </c>
      <c r="AI1334" s="32">
        <f>IF(OR($C1334="",$AE1334="",$AE1334=1),"",IFERROR(INDEX($AC$6:$AC$1505,MATCH($C1334&amp;"|"&amp;$A1334&amp;"|"&amp;($AE1334-1),$AH$6:$AH$1505,0)),""))</f>
        <v/>
      </c>
      <c r="AJ1334" s="32">
        <f>IF(OR($AI1334="",$AC1334=""),"",IF($AI1334=$AC1334,"ללא שינוי","מ-"&amp;$AI1334&amp;" ל-"&amp;$AC1334))</f>
        <v/>
      </c>
      <c r="AK1334" s="67" t="n"/>
    </row>
    <row r="1335">
      <c r="A1335" s="65" t="n"/>
      <c r="B1335" s="65" t="n"/>
      <c r="C1335" s="66" t="n"/>
      <c r="D1335" s="66" t="n"/>
      <c r="E1335" s="65" t="n"/>
      <c r="F1335" s="65" t="n"/>
      <c r="G1335" s="65" t="n"/>
      <c r="H1335" s="65" t="n"/>
      <c r="I1335" s="65" t="n"/>
      <c r="J1335" s="65" t="n"/>
      <c r="K1335" s="65" t="n"/>
      <c r="L1335" s="65" t="n"/>
      <c r="M1335" s="65" t="n"/>
      <c r="N1335" s="65" t="n"/>
      <c r="O1335" s="65" t="n"/>
      <c r="P1335" s="65" t="n"/>
      <c r="Q1335" s="65" t="n"/>
      <c r="R1335" s="65" t="n"/>
      <c r="S1335" s="65" t="n"/>
      <c r="T1335" s="65" t="n"/>
      <c r="U1335" s="65" t="n"/>
      <c r="V1335" s="65" t="n"/>
      <c r="W1335" s="65" t="n"/>
      <c r="X1335" s="65" t="n"/>
      <c r="Y1335" s="32">
        <f>IF($C1335="","",IF(COUNTA($I1335:$K1335)&lt;3,"— חסרים נתונים",IF(AND($I1335="תקין",$J1335="תקין",$K1335="תקין"),"רהוטה",IF(AND($I1335="תקין",$J1335="תקין"),"מדויקת ורציפה","אינה מדויקת או מקוטעת"))))</f>
        <v/>
      </c>
      <c r="Z1335" s="32">
        <f>IF($C1335="","",IF(COUNTA($U1335:$W1335)&lt;3,"",IF(AND($U1335="מפותח",$V1335="מפותח",$W1335="מפותחת"),"מפותחת",IF((--($U1335="דל"))+(--($V1335="אינו מפותח"))+(--($W1335="דלה"))&gt;=2,"אינה מפותחת","חלקית"))))</f>
        <v/>
      </c>
      <c r="AA1335" s="32">
        <f>IF($C1335="","",IF(COUNTA($M1335,$N1335,$O1335)&lt;3,"— חסרים נתונים",IF(OR($M1335="נמוכה",(--($M1335&lt;&gt;"תקינה"))+(--($N1335&lt;&gt;"תקין"))+(--($O1335&lt;&gt;"תקינה"))&gt;=2),"ניכרת","אינה ניכרת")))</f>
        <v/>
      </c>
      <c r="AB1335" s="32">
        <f>IF(OR($C1335="",$Y1335="",$AA1335="",LEFT($Y1335,1)="—",LEFT($AA1335,1)="—"),"",IF($Z1335="","— נדרשת הערכת כתיבה",IF($L1335="","— חסרה הבנת הנקרא",IF($Y1335="אינה מדויקת או מקוטעת",IF($AA1335="ניכרת","מיקוד בשטף הקריאה ובכישורי שפה","מיקוד בשטף קריאה"),IF($AA1335="ניכרת","מיקוד בכישורי שפה",IF(AND($L1335="תקינה",$Z1335="מפותחת"),"קוראים וכותבים מיומנים","מיקוד בהבנה והבעה"))))))</f>
        <v/>
      </c>
      <c r="AC1335" s="32">
        <f>IF(OR($AB1335="",LEFT($AB1335,1)="—"),"",IF(OR($AB1335="מיקוד בשטף קריאה",$AB1335="מיקוד בשטף הקריאה ובכישורי שפה"),"רמה א'",IF($AB1335="קוראים וכותבים מיומנים","רמה ג'","רמה ב'")))</f>
        <v/>
      </c>
      <c r="AD1335" s="32">
        <f>IF($AC1335="","",MID(IF(AND($AC1335="רמה א'",$AA1335="ניכרת"),"; להוסיף עבודת אוצר מילים","")&amp;IF($Z1335="אינה מפותחת","; דגש על הבעה בכתב","")&amp;IF($K1335&lt;&gt;"תקין","; נדרש לעבוד על ההנגנה","")&amp;IF($AK1335&lt;&gt;"","; "&amp;$AK1335,""),3,400))</f>
        <v/>
      </c>
      <c r="AE1335" s="32">
        <f>IF($F1335="","",IF($F1335="תחילת שנה",1,IF($F1335="מחצית שנה",2,3)))</f>
        <v/>
      </c>
      <c r="AF1335" s="32">
        <f>IF(OR($B1335="",$AC1335="",$A1335="",$F1335=""),"",$B1335&amp;"|"&amp;$A1335&amp;"|"&amp;$F1335&amp;"|"&amp;$AC1335&amp;"|"&amp;COUNTIFS($B$6:$B1335,$B1335,$A$6:$A1335,$A1335,$F$6:$F1335,$F1335,$AC$6:$AC1335,$AC1335))</f>
        <v/>
      </c>
      <c r="AG1335" s="32">
        <f>IF($C1335="","",$C1335&amp;"|"&amp;COUNTIFS($C$6:$C1335,$C1335))</f>
        <v/>
      </c>
      <c r="AH1335" s="32">
        <f>IF(OR($C1335="",$A1335="",$AE1335=""),"",$C1335&amp;"|"&amp;$A1335&amp;"|"&amp;$AE1335)</f>
        <v/>
      </c>
      <c r="AI1335" s="32">
        <f>IF(OR($C1335="",$AE1335="",$AE1335=1),"",IFERROR(INDEX($AC$6:$AC$1505,MATCH($C1335&amp;"|"&amp;$A1335&amp;"|"&amp;($AE1335-1),$AH$6:$AH$1505,0)),""))</f>
        <v/>
      </c>
      <c r="AJ1335" s="32">
        <f>IF(OR($AI1335="",$AC1335=""),"",IF($AI1335=$AC1335,"ללא שינוי","מ-"&amp;$AI1335&amp;" ל-"&amp;$AC1335))</f>
        <v/>
      </c>
      <c r="AK1335" s="67" t="n"/>
    </row>
    <row r="1336">
      <c r="A1336" s="65" t="n"/>
      <c r="B1336" s="65" t="n"/>
      <c r="C1336" s="66" t="n"/>
      <c r="D1336" s="66" t="n"/>
      <c r="E1336" s="65" t="n"/>
      <c r="F1336" s="65" t="n"/>
      <c r="G1336" s="65" t="n"/>
      <c r="H1336" s="65" t="n"/>
      <c r="I1336" s="65" t="n"/>
      <c r="J1336" s="65" t="n"/>
      <c r="K1336" s="65" t="n"/>
      <c r="L1336" s="65" t="n"/>
      <c r="M1336" s="65" t="n"/>
      <c r="N1336" s="65" t="n"/>
      <c r="O1336" s="65" t="n"/>
      <c r="P1336" s="65" t="n"/>
      <c r="Q1336" s="65" t="n"/>
      <c r="R1336" s="65" t="n"/>
      <c r="S1336" s="65" t="n"/>
      <c r="T1336" s="65" t="n"/>
      <c r="U1336" s="65" t="n"/>
      <c r="V1336" s="65" t="n"/>
      <c r="W1336" s="65" t="n"/>
      <c r="X1336" s="65" t="n"/>
      <c r="Y1336" s="32">
        <f>IF($C1336="","",IF(COUNTA($I1336:$K1336)&lt;3,"— חסרים נתונים",IF(AND($I1336="תקין",$J1336="תקין",$K1336="תקין"),"רהוטה",IF(AND($I1336="תקין",$J1336="תקין"),"מדויקת ורציפה","אינה מדויקת או מקוטעת"))))</f>
        <v/>
      </c>
      <c r="Z1336" s="32">
        <f>IF($C1336="","",IF(COUNTA($U1336:$W1336)&lt;3,"",IF(AND($U1336="מפותח",$V1336="מפותח",$W1336="מפותחת"),"מפותחת",IF((--($U1336="דל"))+(--($V1336="אינו מפותח"))+(--($W1336="דלה"))&gt;=2,"אינה מפותחת","חלקית"))))</f>
        <v/>
      </c>
      <c r="AA1336" s="32">
        <f>IF($C1336="","",IF(COUNTA($M1336,$N1336,$O1336)&lt;3,"— חסרים נתונים",IF(OR($M1336="נמוכה",(--($M1336&lt;&gt;"תקינה"))+(--($N1336&lt;&gt;"תקין"))+(--($O1336&lt;&gt;"תקינה"))&gt;=2),"ניכרת","אינה ניכרת")))</f>
        <v/>
      </c>
      <c r="AB1336" s="32">
        <f>IF(OR($C1336="",$Y1336="",$AA1336="",LEFT($Y1336,1)="—",LEFT($AA1336,1)="—"),"",IF($Z1336="","— נדרשת הערכת כתיבה",IF($L1336="","— חסרה הבנת הנקרא",IF($Y1336="אינה מדויקת או מקוטעת",IF($AA1336="ניכרת","מיקוד בשטף הקריאה ובכישורי שפה","מיקוד בשטף קריאה"),IF($AA1336="ניכרת","מיקוד בכישורי שפה",IF(AND($L1336="תקינה",$Z1336="מפותחת"),"קוראים וכותבים מיומנים","מיקוד בהבנה והבעה"))))))</f>
        <v/>
      </c>
      <c r="AC1336" s="32">
        <f>IF(OR($AB1336="",LEFT($AB1336,1)="—"),"",IF(OR($AB1336="מיקוד בשטף קריאה",$AB1336="מיקוד בשטף הקריאה ובכישורי שפה"),"רמה א'",IF($AB1336="קוראים וכותבים מיומנים","רמה ג'","רמה ב'")))</f>
        <v/>
      </c>
      <c r="AD1336" s="32">
        <f>IF($AC1336="","",MID(IF(AND($AC1336="רמה א'",$AA1336="ניכרת"),"; להוסיף עבודת אוצר מילים","")&amp;IF($Z1336="אינה מפותחת","; דגש על הבעה בכתב","")&amp;IF($K1336&lt;&gt;"תקין","; נדרש לעבוד על ההנגנה","")&amp;IF($AK1336&lt;&gt;"","; "&amp;$AK1336,""),3,400))</f>
        <v/>
      </c>
      <c r="AE1336" s="32">
        <f>IF($F1336="","",IF($F1336="תחילת שנה",1,IF($F1336="מחצית שנה",2,3)))</f>
        <v/>
      </c>
      <c r="AF1336" s="32">
        <f>IF(OR($B1336="",$AC1336="",$A1336="",$F1336=""),"",$B1336&amp;"|"&amp;$A1336&amp;"|"&amp;$F1336&amp;"|"&amp;$AC1336&amp;"|"&amp;COUNTIFS($B$6:$B1336,$B1336,$A$6:$A1336,$A1336,$F$6:$F1336,$F1336,$AC$6:$AC1336,$AC1336))</f>
        <v/>
      </c>
      <c r="AG1336" s="32">
        <f>IF($C1336="","",$C1336&amp;"|"&amp;COUNTIFS($C$6:$C1336,$C1336))</f>
        <v/>
      </c>
      <c r="AH1336" s="32">
        <f>IF(OR($C1336="",$A1336="",$AE1336=""),"",$C1336&amp;"|"&amp;$A1336&amp;"|"&amp;$AE1336)</f>
        <v/>
      </c>
      <c r="AI1336" s="32">
        <f>IF(OR($C1336="",$AE1336="",$AE1336=1),"",IFERROR(INDEX($AC$6:$AC$1505,MATCH($C1336&amp;"|"&amp;$A1336&amp;"|"&amp;($AE1336-1),$AH$6:$AH$1505,0)),""))</f>
        <v/>
      </c>
      <c r="AJ1336" s="32">
        <f>IF(OR($AI1336="",$AC1336=""),"",IF($AI1336=$AC1336,"ללא שינוי","מ-"&amp;$AI1336&amp;" ל-"&amp;$AC1336))</f>
        <v/>
      </c>
      <c r="AK1336" s="67" t="n"/>
    </row>
    <row r="1337">
      <c r="A1337" s="65" t="n"/>
      <c r="B1337" s="65" t="n"/>
      <c r="C1337" s="66" t="n"/>
      <c r="D1337" s="66" t="n"/>
      <c r="E1337" s="65" t="n"/>
      <c r="F1337" s="65" t="n"/>
      <c r="G1337" s="65" t="n"/>
      <c r="H1337" s="65" t="n"/>
      <c r="I1337" s="65" t="n"/>
      <c r="J1337" s="65" t="n"/>
      <c r="K1337" s="65" t="n"/>
      <c r="L1337" s="65" t="n"/>
      <c r="M1337" s="65" t="n"/>
      <c r="N1337" s="65" t="n"/>
      <c r="O1337" s="65" t="n"/>
      <c r="P1337" s="65" t="n"/>
      <c r="Q1337" s="65" t="n"/>
      <c r="R1337" s="65" t="n"/>
      <c r="S1337" s="65" t="n"/>
      <c r="T1337" s="65" t="n"/>
      <c r="U1337" s="65" t="n"/>
      <c r="V1337" s="65" t="n"/>
      <c r="W1337" s="65" t="n"/>
      <c r="X1337" s="65" t="n"/>
      <c r="Y1337" s="32">
        <f>IF($C1337="","",IF(COUNTA($I1337:$K1337)&lt;3,"— חסרים נתונים",IF(AND($I1337="תקין",$J1337="תקין",$K1337="תקין"),"רהוטה",IF(AND($I1337="תקין",$J1337="תקין"),"מדויקת ורציפה","אינה מדויקת או מקוטעת"))))</f>
        <v/>
      </c>
      <c r="Z1337" s="32">
        <f>IF($C1337="","",IF(COUNTA($U1337:$W1337)&lt;3,"",IF(AND($U1337="מפותח",$V1337="מפותח",$W1337="מפותחת"),"מפותחת",IF((--($U1337="דל"))+(--($V1337="אינו מפותח"))+(--($W1337="דלה"))&gt;=2,"אינה מפותחת","חלקית"))))</f>
        <v/>
      </c>
      <c r="AA1337" s="32">
        <f>IF($C1337="","",IF(COUNTA($M1337,$N1337,$O1337)&lt;3,"— חסרים נתונים",IF(OR($M1337="נמוכה",(--($M1337&lt;&gt;"תקינה"))+(--($N1337&lt;&gt;"תקין"))+(--($O1337&lt;&gt;"תקינה"))&gt;=2),"ניכרת","אינה ניכרת")))</f>
        <v/>
      </c>
      <c r="AB1337" s="32">
        <f>IF(OR($C1337="",$Y1337="",$AA1337="",LEFT($Y1337,1)="—",LEFT($AA1337,1)="—"),"",IF($Z1337="","— נדרשת הערכת כתיבה",IF($L1337="","— חסרה הבנת הנקרא",IF($Y1337="אינה מדויקת או מקוטעת",IF($AA1337="ניכרת","מיקוד בשטף הקריאה ובכישורי שפה","מיקוד בשטף קריאה"),IF($AA1337="ניכרת","מיקוד בכישורי שפה",IF(AND($L1337="תקינה",$Z1337="מפותחת"),"קוראים וכותבים מיומנים","מיקוד בהבנה והבעה"))))))</f>
        <v/>
      </c>
      <c r="AC1337" s="32">
        <f>IF(OR($AB1337="",LEFT($AB1337,1)="—"),"",IF(OR($AB1337="מיקוד בשטף קריאה",$AB1337="מיקוד בשטף הקריאה ובכישורי שפה"),"רמה א'",IF($AB1337="קוראים וכותבים מיומנים","רמה ג'","רמה ב'")))</f>
        <v/>
      </c>
      <c r="AD1337" s="32">
        <f>IF($AC1337="","",MID(IF(AND($AC1337="רמה א'",$AA1337="ניכרת"),"; להוסיף עבודת אוצר מילים","")&amp;IF($Z1337="אינה מפותחת","; דגש על הבעה בכתב","")&amp;IF($K1337&lt;&gt;"תקין","; נדרש לעבוד על ההנגנה","")&amp;IF($AK1337&lt;&gt;"","; "&amp;$AK1337,""),3,400))</f>
        <v/>
      </c>
      <c r="AE1337" s="32">
        <f>IF($F1337="","",IF($F1337="תחילת שנה",1,IF($F1337="מחצית שנה",2,3)))</f>
        <v/>
      </c>
      <c r="AF1337" s="32">
        <f>IF(OR($B1337="",$AC1337="",$A1337="",$F1337=""),"",$B1337&amp;"|"&amp;$A1337&amp;"|"&amp;$F1337&amp;"|"&amp;$AC1337&amp;"|"&amp;COUNTIFS($B$6:$B1337,$B1337,$A$6:$A1337,$A1337,$F$6:$F1337,$F1337,$AC$6:$AC1337,$AC1337))</f>
        <v/>
      </c>
      <c r="AG1337" s="32">
        <f>IF($C1337="","",$C1337&amp;"|"&amp;COUNTIFS($C$6:$C1337,$C1337))</f>
        <v/>
      </c>
      <c r="AH1337" s="32">
        <f>IF(OR($C1337="",$A1337="",$AE1337=""),"",$C1337&amp;"|"&amp;$A1337&amp;"|"&amp;$AE1337)</f>
        <v/>
      </c>
      <c r="AI1337" s="32">
        <f>IF(OR($C1337="",$AE1337="",$AE1337=1),"",IFERROR(INDEX($AC$6:$AC$1505,MATCH($C1337&amp;"|"&amp;$A1337&amp;"|"&amp;($AE1337-1),$AH$6:$AH$1505,0)),""))</f>
        <v/>
      </c>
      <c r="AJ1337" s="32">
        <f>IF(OR($AI1337="",$AC1337=""),"",IF($AI1337=$AC1337,"ללא שינוי","מ-"&amp;$AI1337&amp;" ל-"&amp;$AC1337))</f>
        <v/>
      </c>
      <c r="AK1337" s="67" t="n"/>
    </row>
    <row r="1338">
      <c r="A1338" s="65" t="n"/>
      <c r="B1338" s="65" t="n"/>
      <c r="C1338" s="66" t="n"/>
      <c r="D1338" s="66" t="n"/>
      <c r="E1338" s="65" t="n"/>
      <c r="F1338" s="65" t="n"/>
      <c r="G1338" s="65" t="n"/>
      <c r="H1338" s="65" t="n"/>
      <c r="I1338" s="65" t="n"/>
      <c r="J1338" s="65" t="n"/>
      <c r="K1338" s="65" t="n"/>
      <c r="L1338" s="65" t="n"/>
      <c r="M1338" s="65" t="n"/>
      <c r="N1338" s="65" t="n"/>
      <c r="O1338" s="65" t="n"/>
      <c r="P1338" s="65" t="n"/>
      <c r="Q1338" s="65" t="n"/>
      <c r="R1338" s="65" t="n"/>
      <c r="S1338" s="65" t="n"/>
      <c r="T1338" s="65" t="n"/>
      <c r="U1338" s="65" t="n"/>
      <c r="V1338" s="65" t="n"/>
      <c r="W1338" s="65" t="n"/>
      <c r="X1338" s="65" t="n"/>
      <c r="Y1338" s="32">
        <f>IF($C1338="","",IF(COUNTA($I1338:$K1338)&lt;3,"— חסרים נתונים",IF(AND($I1338="תקין",$J1338="תקין",$K1338="תקין"),"רהוטה",IF(AND($I1338="תקין",$J1338="תקין"),"מדויקת ורציפה","אינה מדויקת או מקוטעת"))))</f>
        <v/>
      </c>
      <c r="Z1338" s="32">
        <f>IF($C1338="","",IF(COUNTA($U1338:$W1338)&lt;3,"",IF(AND($U1338="מפותח",$V1338="מפותח",$W1338="מפותחת"),"מפותחת",IF((--($U1338="דל"))+(--($V1338="אינו מפותח"))+(--($W1338="דלה"))&gt;=2,"אינה מפותחת","חלקית"))))</f>
        <v/>
      </c>
      <c r="AA1338" s="32">
        <f>IF($C1338="","",IF(COUNTA($M1338,$N1338,$O1338)&lt;3,"— חסרים נתונים",IF(OR($M1338="נמוכה",(--($M1338&lt;&gt;"תקינה"))+(--($N1338&lt;&gt;"תקין"))+(--($O1338&lt;&gt;"תקינה"))&gt;=2),"ניכרת","אינה ניכרת")))</f>
        <v/>
      </c>
      <c r="AB1338" s="32">
        <f>IF(OR($C1338="",$Y1338="",$AA1338="",LEFT($Y1338,1)="—",LEFT($AA1338,1)="—"),"",IF($Z1338="","— נדרשת הערכת כתיבה",IF($L1338="","— חסרה הבנת הנקרא",IF($Y1338="אינה מדויקת או מקוטעת",IF($AA1338="ניכרת","מיקוד בשטף הקריאה ובכישורי שפה","מיקוד בשטף קריאה"),IF($AA1338="ניכרת","מיקוד בכישורי שפה",IF(AND($L1338="תקינה",$Z1338="מפותחת"),"קוראים וכותבים מיומנים","מיקוד בהבנה והבעה"))))))</f>
        <v/>
      </c>
      <c r="AC1338" s="32">
        <f>IF(OR($AB1338="",LEFT($AB1338,1)="—"),"",IF(OR($AB1338="מיקוד בשטף קריאה",$AB1338="מיקוד בשטף הקריאה ובכישורי שפה"),"רמה א'",IF($AB1338="קוראים וכותבים מיומנים","רמה ג'","רמה ב'")))</f>
        <v/>
      </c>
      <c r="AD1338" s="32">
        <f>IF($AC1338="","",MID(IF(AND($AC1338="רמה א'",$AA1338="ניכרת"),"; להוסיף עבודת אוצר מילים","")&amp;IF($Z1338="אינה מפותחת","; דגש על הבעה בכתב","")&amp;IF($K1338&lt;&gt;"תקין","; נדרש לעבוד על ההנגנה","")&amp;IF($AK1338&lt;&gt;"","; "&amp;$AK1338,""),3,400))</f>
        <v/>
      </c>
      <c r="AE1338" s="32">
        <f>IF($F1338="","",IF($F1338="תחילת שנה",1,IF($F1338="מחצית שנה",2,3)))</f>
        <v/>
      </c>
      <c r="AF1338" s="32">
        <f>IF(OR($B1338="",$AC1338="",$A1338="",$F1338=""),"",$B1338&amp;"|"&amp;$A1338&amp;"|"&amp;$F1338&amp;"|"&amp;$AC1338&amp;"|"&amp;COUNTIFS($B$6:$B1338,$B1338,$A$6:$A1338,$A1338,$F$6:$F1338,$F1338,$AC$6:$AC1338,$AC1338))</f>
        <v/>
      </c>
      <c r="AG1338" s="32">
        <f>IF($C1338="","",$C1338&amp;"|"&amp;COUNTIFS($C$6:$C1338,$C1338))</f>
        <v/>
      </c>
      <c r="AH1338" s="32">
        <f>IF(OR($C1338="",$A1338="",$AE1338=""),"",$C1338&amp;"|"&amp;$A1338&amp;"|"&amp;$AE1338)</f>
        <v/>
      </c>
      <c r="AI1338" s="32">
        <f>IF(OR($C1338="",$AE1338="",$AE1338=1),"",IFERROR(INDEX($AC$6:$AC$1505,MATCH($C1338&amp;"|"&amp;$A1338&amp;"|"&amp;($AE1338-1),$AH$6:$AH$1505,0)),""))</f>
        <v/>
      </c>
      <c r="AJ1338" s="32">
        <f>IF(OR($AI1338="",$AC1338=""),"",IF($AI1338=$AC1338,"ללא שינוי","מ-"&amp;$AI1338&amp;" ל-"&amp;$AC1338))</f>
        <v/>
      </c>
      <c r="AK1338" s="67" t="n"/>
    </row>
    <row r="1339">
      <c r="A1339" s="65" t="n"/>
      <c r="B1339" s="65" t="n"/>
      <c r="C1339" s="66" t="n"/>
      <c r="D1339" s="66" t="n"/>
      <c r="E1339" s="65" t="n"/>
      <c r="F1339" s="65" t="n"/>
      <c r="G1339" s="65" t="n"/>
      <c r="H1339" s="65" t="n"/>
      <c r="I1339" s="65" t="n"/>
      <c r="J1339" s="65" t="n"/>
      <c r="K1339" s="65" t="n"/>
      <c r="L1339" s="65" t="n"/>
      <c r="M1339" s="65" t="n"/>
      <c r="N1339" s="65" t="n"/>
      <c r="O1339" s="65" t="n"/>
      <c r="P1339" s="65" t="n"/>
      <c r="Q1339" s="65" t="n"/>
      <c r="R1339" s="65" t="n"/>
      <c r="S1339" s="65" t="n"/>
      <c r="T1339" s="65" t="n"/>
      <c r="U1339" s="65" t="n"/>
      <c r="V1339" s="65" t="n"/>
      <c r="W1339" s="65" t="n"/>
      <c r="X1339" s="65" t="n"/>
      <c r="Y1339" s="32">
        <f>IF($C1339="","",IF(COUNTA($I1339:$K1339)&lt;3,"— חסרים נתונים",IF(AND($I1339="תקין",$J1339="תקין",$K1339="תקין"),"רהוטה",IF(AND($I1339="תקין",$J1339="תקין"),"מדויקת ורציפה","אינה מדויקת או מקוטעת"))))</f>
        <v/>
      </c>
      <c r="Z1339" s="32">
        <f>IF($C1339="","",IF(COUNTA($U1339:$W1339)&lt;3,"",IF(AND($U1339="מפותח",$V1339="מפותח",$W1339="מפותחת"),"מפותחת",IF((--($U1339="דל"))+(--($V1339="אינו מפותח"))+(--($W1339="דלה"))&gt;=2,"אינה מפותחת","חלקית"))))</f>
        <v/>
      </c>
      <c r="AA1339" s="32">
        <f>IF($C1339="","",IF(COUNTA($M1339,$N1339,$O1339)&lt;3,"— חסרים נתונים",IF(OR($M1339="נמוכה",(--($M1339&lt;&gt;"תקינה"))+(--($N1339&lt;&gt;"תקין"))+(--($O1339&lt;&gt;"תקינה"))&gt;=2),"ניכרת","אינה ניכרת")))</f>
        <v/>
      </c>
      <c r="AB1339" s="32">
        <f>IF(OR($C1339="",$Y1339="",$AA1339="",LEFT($Y1339,1)="—",LEFT($AA1339,1)="—"),"",IF($Z1339="","— נדרשת הערכת כתיבה",IF($L1339="","— חסרה הבנת הנקרא",IF($Y1339="אינה מדויקת או מקוטעת",IF($AA1339="ניכרת","מיקוד בשטף הקריאה ובכישורי שפה","מיקוד בשטף קריאה"),IF($AA1339="ניכרת","מיקוד בכישורי שפה",IF(AND($L1339="תקינה",$Z1339="מפותחת"),"קוראים וכותבים מיומנים","מיקוד בהבנה והבעה"))))))</f>
        <v/>
      </c>
      <c r="AC1339" s="32">
        <f>IF(OR($AB1339="",LEFT($AB1339,1)="—"),"",IF(OR($AB1339="מיקוד בשטף קריאה",$AB1339="מיקוד בשטף הקריאה ובכישורי שפה"),"רמה א'",IF($AB1339="קוראים וכותבים מיומנים","רמה ג'","רמה ב'")))</f>
        <v/>
      </c>
      <c r="AD1339" s="32">
        <f>IF($AC1339="","",MID(IF(AND($AC1339="רמה א'",$AA1339="ניכרת"),"; להוסיף עבודת אוצר מילים","")&amp;IF($Z1339="אינה מפותחת","; דגש על הבעה בכתב","")&amp;IF($K1339&lt;&gt;"תקין","; נדרש לעבוד על ההנגנה","")&amp;IF($AK1339&lt;&gt;"","; "&amp;$AK1339,""),3,400))</f>
        <v/>
      </c>
      <c r="AE1339" s="32">
        <f>IF($F1339="","",IF($F1339="תחילת שנה",1,IF($F1339="מחצית שנה",2,3)))</f>
        <v/>
      </c>
      <c r="AF1339" s="32">
        <f>IF(OR($B1339="",$AC1339="",$A1339="",$F1339=""),"",$B1339&amp;"|"&amp;$A1339&amp;"|"&amp;$F1339&amp;"|"&amp;$AC1339&amp;"|"&amp;COUNTIFS($B$6:$B1339,$B1339,$A$6:$A1339,$A1339,$F$6:$F1339,$F1339,$AC$6:$AC1339,$AC1339))</f>
        <v/>
      </c>
      <c r="AG1339" s="32">
        <f>IF($C1339="","",$C1339&amp;"|"&amp;COUNTIFS($C$6:$C1339,$C1339))</f>
        <v/>
      </c>
      <c r="AH1339" s="32">
        <f>IF(OR($C1339="",$A1339="",$AE1339=""),"",$C1339&amp;"|"&amp;$A1339&amp;"|"&amp;$AE1339)</f>
        <v/>
      </c>
      <c r="AI1339" s="32">
        <f>IF(OR($C1339="",$AE1339="",$AE1339=1),"",IFERROR(INDEX($AC$6:$AC$1505,MATCH($C1339&amp;"|"&amp;$A1339&amp;"|"&amp;($AE1339-1),$AH$6:$AH$1505,0)),""))</f>
        <v/>
      </c>
      <c r="AJ1339" s="32">
        <f>IF(OR($AI1339="",$AC1339=""),"",IF($AI1339=$AC1339,"ללא שינוי","מ-"&amp;$AI1339&amp;" ל-"&amp;$AC1339))</f>
        <v/>
      </c>
      <c r="AK1339" s="67" t="n"/>
    </row>
    <row r="1340">
      <c r="A1340" s="65" t="n"/>
      <c r="B1340" s="65" t="n"/>
      <c r="C1340" s="66" t="n"/>
      <c r="D1340" s="66" t="n"/>
      <c r="E1340" s="65" t="n"/>
      <c r="F1340" s="65" t="n"/>
      <c r="G1340" s="65" t="n"/>
      <c r="H1340" s="65" t="n"/>
      <c r="I1340" s="65" t="n"/>
      <c r="J1340" s="65" t="n"/>
      <c r="K1340" s="65" t="n"/>
      <c r="L1340" s="65" t="n"/>
      <c r="M1340" s="65" t="n"/>
      <c r="N1340" s="65" t="n"/>
      <c r="O1340" s="65" t="n"/>
      <c r="P1340" s="65" t="n"/>
      <c r="Q1340" s="65" t="n"/>
      <c r="R1340" s="65" t="n"/>
      <c r="S1340" s="65" t="n"/>
      <c r="T1340" s="65" t="n"/>
      <c r="U1340" s="65" t="n"/>
      <c r="V1340" s="65" t="n"/>
      <c r="W1340" s="65" t="n"/>
      <c r="X1340" s="65" t="n"/>
      <c r="Y1340" s="32">
        <f>IF($C1340="","",IF(COUNTA($I1340:$K1340)&lt;3,"— חסרים נתונים",IF(AND($I1340="תקין",$J1340="תקין",$K1340="תקין"),"רהוטה",IF(AND($I1340="תקין",$J1340="תקין"),"מדויקת ורציפה","אינה מדויקת או מקוטעת"))))</f>
        <v/>
      </c>
      <c r="Z1340" s="32">
        <f>IF($C1340="","",IF(COUNTA($U1340:$W1340)&lt;3,"",IF(AND($U1340="מפותח",$V1340="מפותח",$W1340="מפותחת"),"מפותחת",IF((--($U1340="דל"))+(--($V1340="אינו מפותח"))+(--($W1340="דלה"))&gt;=2,"אינה מפותחת","חלקית"))))</f>
        <v/>
      </c>
      <c r="AA1340" s="32">
        <f>IF($C1340="","",IF(COUNTA($M1340,$N1340,$O1340)&lt;3,"— חסרים נתונים",IF(OR($M1340="נמוכה",(--($M1340&lt;&gt;"תקינה"))+(--($N1340&lt;&gt;"תקין"))+(--($O1340&lt;&gt;"תקינה"))&gt;=2),"ניכרת","אינה ניכרת")))</f>
        <v/>
      </c>
      <c r="AB1340" s="32">
        <f>IF(OR($C1340="",$Y1340="",$AA1340="",LEFT($Y1340,1)="—",LEFT($AA1340,1)="—"),"",IF($Z1340="","— נדרשת הערכת כתיבה",IF($L1340="","— חסרה הבנת הנקרא",IF($Y1340="אינה מדויקת או מקוטעת",IF($AA1340="ניכרת","מיקוד בשטף הקריאה ובכישורי שפה","מיקוד בשטף קריאה"),IF($AA1340="ניכרת","מיקוד בכישורי שפה",IF(AND($L1340="תקינה",$Z1340="מפותחת"),"קוראים וכותבים מיומנים","מיקוד בהבנה והבעה"))))))</f>
        <v/>
      </c>
      <c r="AC1340" s="32">
        <f>IF(OR($AB1340="",LEFT($AB1340,1)="—"),"",IF(OR($AB1340="מיקוד בשטף קריאה",$AB1340="מיקוד בשטף הקריאה ובכישורי שפה"),"רמה א'",IF($AB1340="קוראים וכותבים מיומנים","רמה ג'","רמה ב'")))</f>
        <v/>
      </c>
      <c r="AD1340" s="32">
        <f>IF($AC1340="","",MID(IF(AND($AC1340="רמה א'",$AA1340="ניכרת"),"; להוסיף עבודת אוצר מילים","")&amp;IF($Z1340="אינה מפותחת","; דגש על הבעה בכתב","")&amp;IF($K1340&lt;&gt;"תקין","; נדרש לעבוד על ההנגנה","")&amp;IF($AK1340&lt;&gt;"","; "&amp;$AK1340,""),3,400))</f>
        <v/>
      </c>
      <c r="AE1340" s="32">
        <f>IF($F1340="","",IF($F1340="תחילת שנה",1,IF($F1340="מחצית שנה",2,3)))</f>
        <v/>
      </c>
      <c r="AF1340" s="32">
        <f>IF(OR($B1340="",$AC1340="",$A1340="",$F1340=""),"",$B1340&amp;"|"&amp;$A1340&amp;"|"&amp;$F1340&amp;"|"&amp;$AC1340&amp;"|"&amp;COUNTIFS($B$6:$B1340,$B1340,$A$6:$A1340,$A1340,$F$6:$F1340,$F1340,$AC$6:$AC1340,$AC1340))</f>
        <v/>
      </c>
      <c r="AG1340" s="32">
        <f>IF($C1340="","",$C1340&amp;"|"&amp;COUNTIFS($C$6:$C1340,$C1340))</f>
        <v/>
      </c>
      <c r="AH1340" s="32">
        <f>IF(OR($C1340="",$A1340="",$AE1340=""),"",$C1340&amp;"|"&amp;$A1340&amp;"|"&amp;$AE1340)</f>
        <v/>
      </c>
      <c r="AI1340" s="32">
        <f>IF(OR($C1340="",$AE1340="",$AE1340=1),"",IFERROR(INDEX($AC$6:$AC$1505,MATCH($C1340&amp;"|"&amp;$A1340&amp;"|"&amp;($AE1340-1),$AH$6:$AH$1505,0)),""))</f>
        <v/>
      </c>
      <c r="AJ1340" s="32">
        <f>IF(OR($AI1340="",$AC1340=""),"",IF($AI1340=$AC1340,"ללא שינוי","מ-"&amp;$AI1340&amp;" ל-"&amp;$AC1340))</f>
        <v/>
      </c>
      <c r="AK1340" s="67" t="n"/>
    </row>
    <row r="1341">
      <c r="A1341" s="65" t="n"/>
      <c r="B1341" s="65" t="n"/>
      <c r="C1341" s="66" t="n"/>
      <c r="D1341" s="66" t="n"/>
      <c r="E1341" s="65" t="n"/>
      <c r="F1341" s="65" t="n"/>
      <c r="G1341" s="65" t="n"/>
      <c r="H1341" s="65" t="n"/>
      <c r="I1341" s="65" t="n"/>
      <c r="J1341" s="65" t="n"/>
      <c r="K1341" s="65" t="n"/>
      <c r="L1341" s="65" t="n"/>
      <c r="M1341" s="65" t="n"/>
      <c r="N1341" s="65" t="n"/>
      <c r="O1341" s="65" t="n"/>
      <c r="P1341" s="65" t="n"/>
      <c r="Q1341" s="65" t="n"/>
      <c r="R1341" s="65" t="n"/>
      <c r="S1341" s="65" t="n"/>
      <c r="T1341" s="65" t="n"/>
      <c r="U1341" s="65" t="n"/>
      <c r="V1341" s="65" t="n"/>
      <c r="W1341" s="65" t="n"/>
      <c r="X1341" s="65" t="n"/>
      <c r="Y1341" s="32">
        <f>IF($C1341="","",IF(COUNTA($I1341:$K1341)&lt;3,"— חסרים נתונים",IF(AND($I1341="תקין",$J1341="תקין",$K1341="תקין"),"רהוטה",IF(AND($I1341="תקין",$J1341="תקין"),"מדויקת ורציפה","אינה מדויקת או מקוטעת"))))</f>
        <v/>
      </c>
      <c r="Z1341" s="32">
        <f>IF($C1341="","",IF(COUNTA($U1341:$W1341)&lt;3,"",IF(AND($U1341="מפותח",$V1341="מפותח",$W1341="מפותחת"),"מפותחת",IF((--($U1341="דל"))+(--($V1341="אינו מפותח"))+(--($W1341="דלה"))&gt;=2,"אינה מפותחת","חלקית"))))</f>
        <v/>
      </c>
      <c r="AA1341" s="32">
        <f>IF($C1341="","",IF(COUNTA($M1341,$N1341,$O1341)&lt;3,"— חסרים נתונים",IF(OR($M1341="נמוכה",(--($M1341&lt;&gt;"תקינה"))+(--($N1341&lt;&gt;"תקין"))+(--($O1341&lt;&gt;"תקינה"))&gt;=2),"ניכרת","אינה ניכרת")))</f>
        <v/>
      </c>
      <c r="AB1341" s="32">
        <f>IF(OR($C1341="",$Y1341="",$AA1341="",LEFT($Y1341,1)="—",LEFT($AA1341,1)="—"),"",IF($Z1341="","— נדרשת הערכת כתיבה",IF($L1341="","— חסרה הבנת הנקרא",IF($Y1341="אינה מדויקת או מקוטעת",IF($AA1341="ניכרת","מיקוד בשטף הקריאה ובכישורי שפה","מיקוד בשטף קריאה"),IF($AA1341="ניכרת","מיקוד בכישורי שפה",IF(AND($L1341="תקינה",$Z1341="מפותחת"),"קוראים וכותבים מיומנים","מיקוד בהבנה והבעה"))))))</f>
        <v/>
      </c>
      <c r="AC1341" s="32">
        <f>IF(OR($AB1341="",LEFT($AB1341,1)="—"),"",IF(OR($AB1341="מיקוד בשטף קריאה",$AB1341="מיקוד בשטף הקריאה ובכישורי שפה"),"רמה א'",IF($AB1341="קוראים וכותבים מיומנים","רמה ג'","רמה ב'")))</f>
        <v/>
      </c>
      <c r="AD1341" s="32">
        <f>IF($AC1341="","",MID(IF(AND($AC1341="רמה א'",$AA1341="ניכרת"),"; להוסיף עבודת אוצר מילים","")&amp;IF($Z1341="אינה מפותחת","; דגש על הבעה בכתב","")&amp;IF($K1341&lt;&gt;"תקין","; נדרש לעבוד על ההנגנה","")&amp;IF($AK1341&lt;&gt;"","; "&amp;$AK1341,""),3,400))</f>
        <v/>
      </c>
      <c r="AE1341" s="32">
        <f>IF($F1341="","",IF($F1341="תחילת שנה",1,IF($F1341="מחצית שנה",2,3)))</f>
        <v/>
      </c>
      <c r="AF1341" s="32">
        <f>IF(OR($B1341="",$AC1341="",$A1341="",$F1341=""),"",$B1341&amp;"|"&amp;$A1341&amp;"|"&amp;$F1341&amp;"|"&amp;$AC1341&amp;"|"&amp;COUNTIFS($B$6:$B1341,$B1341,$A$6:$A1341,$A1341,$F$6:$F1341,$F1341,$AC$6:$AC1341,$AC1341))</f>
        <v/>
      </c>
      <c r="AG1341" s="32">
        <f>IF($C1341="","",$C1341&amp;"|"&amp;COUNTIFS($C$6:$C1341,$C1341))</f>
        <v/>
      </c>
      <c r="AH1341" s="32">
        <f>IF(OR($C1341="",$A1341="",$AE1341=""),"",$C1341&amp;"|"&amp;$A1341&amp;"|"&amp;$AE1341)</f>
        <v/>
      </c>
      <c r="AI1341" s="32">
        <f>IF(OR($C1341="",$AE1341="",$AE1341=1),"",IFERROR(INDEX($AC$6:$AC$1505,MATCH($C1341&amp;"|"&amp;$A1341&amp;"|"&amp;($AE1341-1),$AH$6:$AH$1505,0)),""))</f>
        <v/>
      </c>
      <c r="AJ1341" s="32">
        <f>IF(OR($AI1341="",$AC1341=""),"",IF($AI1341=$AC1341,"ללא שינוי","מ-"&amp;$AI1341&amp;" ל-"&amp;$AC1341))</f>
        <v/>
      </c>
      <c r="AK1341" s="67" t="n"/>
    </row>
    <row r="1342">
      <c r="A1342" s="65" t="n"/>
      <c r="B1342" s="65" t="n"/>
      <c r="C1342" s="66" t="n"/>
      <c r="D1342" s="66" t="n"/>
      <c r="E1342" s="65" t="n"/>
      <c r="F1342" s="65" t="n"/>
      <c r="G1342" s="65" t="n"/>
      <c r="H1342" s="65" t="n"/>
      <c r="I1342" s="65" t="n"/>
      <c r="J1342" s="65" t="n"/>
      <c r="K1342" s="65" t="n"/>
      <c r="L1342" s="65" t="n"/>
      <c r="M1342" s="65" t="n"/>
      <c r="N1342" s="65" t="n"/>
      <c r="O1342" s="65" t="n"/>
      <c r="P1342" s="65" t="n"/>
      <c r="Q1342" s="65" t="n"/>
      <c r="R1342" s="65" t="n"/>
      <c r="S1342" s="65" t="n"/>
      <c r="T1342" s="65" t="n"/>
      <c r="U1342" s="65" t="n"/>
      <c r="V1342" s="65" t="n"/>
      <c r="W1342" s="65" t="n"/>
      <c r="X1342" s="65" t="n"/>
      <c r="Y1342" s="32">
        <f>IF($C1342="","",IF(COUNTA($I1342:$K1342)&lt;3,"— חסרים נתונים",IF(AND($I1342="תקין",$J1342="תקין",$K1342="תקין"),"רהוטה",IF(AND($I1342="תקין",$J1342="תקין"),"מדויקת ורציפה","אינה מדויקת או מקוטעת"))))</f>
        <v/>
      </c>
      <c r="Z1342" s="32">
        <f>IF($C1342="","",IF(COUNTA($U1342:$W1342)&lt;3,"",IF(AND($U1342="מפותח",$V1342="מפותח",$W1342="מפותחת"),"מפותחת",IF((--($U1342="דל"))+(--($V1342="אינו מפותח"))+(--($W1342="דלה"))&gt;=2,"אינה מפותחת","חלקית"))))</f>
        <v/>
      </c>
      <c r="AA1342" s="32">
        <f>IF($C1342="","",IF(COUNTA($M1342,$N1342,$O1342)&lt;3,"— חסרים נתונים",IF(OR($M1342="נמוכה",(--($M1342&lt;&gt;"תקינה"))+(--($N1342&lt;&gt;"תקין"))+(--($O1342&lt;&gt;"תקינה"))&gt;=2),"ניכרת","אינה ניכרת")))</f>
        <v/>
      </c>
      <c r="AB1342" s="32">
        <f>IF(OR($C1342="",$Y1342="",$AA1342="",LEFT($Y1342,1)="—",LEFT($AA1342,1)="—"),"",IF($Z1342="","— נדרשת הערכת כתיבה",IF($L1342="","— חסרה הבנת הנקרא",IF($Y1342="אינה מדויקת או מקוטעת",IF($AA1342="ניכרת","מיקוד בשטף הקריאה ובכישורי שפה","מיקוד בשטף קריאה"),IF($AA1342="ניכרת","מיקוד בכישורי שפה",IF(AND($L1342="תקינה",$Z1342="מפותחת"),"קוראים וכותבים מיומנים","מיקוד בהבנה והבעה"))))))</f>
        <v/>
      </c>
      <c r="AC1342" s="32">
        <f>IF(OR($AB1342="",LEFT($AB1342,1)="—"),"",IF(OR($AB1342="מיקוד בשטף קריאה",$AB1342="מיקוד בשטף הקריאה ובכישורי שפה"),"רמה א'",IF($AB1342="קוראים וכותבים מיומנים","רמה ג'","רמה ב'")))</f>
        <v/>
      </c>
      <c r="AD1342" s="32">
        <f>IF($AC1342="","",MID(IF(AND($AC1342="רמה א'",$AA1342="ניכרת"),"; להוסיף עבודת אוצר מילים","")&amp;IF($Z1342="אינה מפותחת","; דגש על הבעה בכתב","")&amp;IF($K1342&lt;&gt;"תקין","; נדרש לעבוד על ההנגנה","")&amp;IF($AK1342&lt;&gt;"","; "&amp;$AK1342,""),3,400))</f>
        <v/>
      </c>
      <c r="AE1342" s="32">
        <f>IF($F1342="","",IF($F1342="תחילת שנה",1,IF($F1342="מחצית שנה",2,3)))</f>
        <v/>
      </c>
      <c r="AF1342" s="32">
        <f>IF(OR($B1342="",$AC1342="",$A1342="",$F1342=""),"",$B1342&amp;"|"&amp;$A1342&amp;"|"&amp;$F1342&amp;"|"&amp;$AC1342&amp;"|"&amp;COUNTIFS($B$6:$B1342,$B1342,$A$6:$A1342,$A1342,$F$6:$F1342,$F1342,$AC$6:$AC1342,$AC1342))</f>
        <v/>
      </c>
      <c r="AG1342" s="32">
        <f>IF($C1342="","",$C1342&amp;"|"&amp;COUNTIFS($C$6:$C1342,$C1342))</f>
        <v/>
      </c>
      <c r="AH1342" s="32">
        <f>IF(OR($C1342="",$A1342="",$AE1342=""),"",$C1342&amp;"|"&amp;$A1342&amp;"|"&amp;$AE1342)</f>
        <v/>
      </c>
      <c r="AI1342" s="32">
        <f>IF(OR($C1342="",$AE1342="",$AE1342=1),"",IFERROR(INDEX($AC$6:$AC$1505,MATCH($C1342&amp;"|"&amp;$A1342&amp;"|"&amp;($AE1342-1),$AH$6:$AH$1505,0)),""))</f>
        <v/>
      </c>
      <c r="AJ1342" s="32">
        <f>IF(OR($AI1342="",$AC1342=""),"",IF($AI1342=$AC1342,"ללא שינוי","מ-"&amp;$AI1342&amp;" ל-"&amp;$AC1342))</f>
        <v/>
      </c>
      <c r="AK1342" s="67" t="n"/>
    </row>
    <row r="1343">
      <c r="A1343" s="65" t="n"/>
      <c r="B1343" s="65" t="n"/>
      <c r="C1343" s="66" t="n"/>
      <c r="D1343" s="66" t="n"/>
      <c r="E1343" s="65" t="n"/>
      <c r="F1343" s="65" t="n"/>
      <c r="G1343" s="65" t="n"/>
      <c r="H1343" s="65" t="n"/>
      <c r="I1343" s="65" t="n"/>
      <c r="J1343" s="65" t="n"/>
      <c r="K1343" s="65" t="n"/>
      <c r="L1343" s="65" t="n"/>
      <c r="M1343" s="65" t="n"/>
      <c r="N1343" s="65" t="n"/>
      <c r="O1343" s="65" t="n"/>
      <c r="P1343" s="65" t="n"/>
      <c r="Q1343" s="65" t="n"/>
      <c r="R1343" s="65" t="n"/>
      <c r="S1343" s="65" t="n"/>
      <c r="T1343" s="65" t="n"/>
      <c r="U1343" s="65" t="n"/>
      <c r="V1343" s="65" t="n"/>
      <c r="W1343" s="65" t="n"/>
      <c r="X1343" s="65" t="n"/>
      <c r="Y1343" s="32">
        <f>IF($C1343="","",IF(COUNTA($I1343:$K1343)&lt;3,"— חסרים נתונים",IF(AND($I1343="תקין",$J1343="תקין",$K1343="תקין"),"רהוטה",IF(AND($I1343="תקין",$J1343="תקין"),"מדויקת ורציפה","אינה מדויקת או מקוטעת"))))</f>
        <v/>
      </c>
      <c r="Z1343" s="32">
        <f>IF($C1343="","",IF(COUNTA($U1343:$W1343)&lt;3,"",IF(AND($U1343="מפותח",$V1343="מפותח",$W1343="מפותחת"),"מפותחת",IF((--($U1343="דל"))+(--($V1343="אינו מפותח"))+(--($W1343="דלה"))&gt;=2,"אינה מפותחת","חלקית"))))</f>
        <v/>
      </c>
      <c r="AA1343" s="32">
        <f>IF($C1343="","",IF(COUNTA($M1343,$N1343,$O1343)&lt;3,"— חסרים נתונים",IF(OR($M1343="נמוכה",(--($M1343&lt;&gt;"תקינה"))+(--($N1343&lt;&gt;"תקין"))+(--($O1343&lt;&gt;"תקינה"))&gt;=2),"ניכרת","אינה ניכרת")))</f>
        <v/>
      </c>
      <c r="AB1343" s="32">
        <f>IF(OR($C1343="",$Y1343="",$AA1343="",LEFT($Y1343,1)="—",LEFT($AA1343,1)="—"),"",IF($Z1343="","— נדרשת הערכת כתיבה",IF($L1343="","— חסרה הבנת הנקרא",IF($Y1343="אינה מדויקת או מקוטעת",IF($AA1343="ניכרת","מיקוד בשטף הקריאה ובכישורי שפה","מיקוד בשטף קריאה"),IF($AA1343="ניכרת","מיקוד בכישורי שפה",IF(AND($L1343="תקינה",$Z1343="מפותחת"),"קוראים וכותבים מיומנים","מיקוד בהבנה והבעה"))))))</f>
        <v/>
      </c>
      <c r="AC1343" s="32">
        <f>IF(OR($AB1343="",LEFT($AB1343,1)="—"),"",IF(OR($AB1343="מיקוד בשטף קריאה",$AB1343="מיקוד בשטף הקריאה ובכישורי שפה"),"רמה א'",IF($AB1343="קוראים וכותבים מיומנים","רמה ג'","רמה ב'")))</f>
        <v/>
      </c>
      <c r="AD1343" s="32">
        <f>IF($AC1343="","",MID(IF(AND($AC1343="רמה א'",$AA1343="ניכרת"),"; להוסיף עבודת אוצר מילים","")&amp;IF($Z1343="אינה מפותחת","; דגש על הבעה בכתב","")&amp;IF($K1343&lt;&gt;"תקין","; נדרש לעבוד על ההנגנה","")&amp;IF($AK1343&lt;&gt;"","; "&amp;$AK1343,""),3,400))</f>
        <v/>
      </c>
      <c r="AE1343" s="32">
        <f>IF($F1343="","",IF($F1343="תחילת שנה",1,IF($F1343="מחצית שנה",2,3)))</f>
        <v/>
      </c>
      <c r="AF1343" s="32">
        <f>IF(OR($B1343="",$AC1343="",$A1343="",$F1343=""),"",$B1343&amp;"|"&amp;$A1343&amp;"|"&amp;$F1343&amp;"|"&amp;$AC1343&amp;"|"&amp;COUNTIFS($B$6:$B1343,$B1343,$A$6:$A1343,$A1343,$F$6:$F1343,$F1343,$AC$6:$AC1343,$AC1343))</f>
        <v/>
      </c>
      <c r="AG1343" s="32">
        <f>IF($C1343="","",$C1343&amp;"|"&amp;COUNTIFS($C$6:$C1343,$C1343))</f>
        <v/>
      </c>
      <c r="AH1343" s="32">
        <f>IF(OR($C1343="",$A1343="",$AE1343=""),"",$C1343&amp;"|"&amp;$A1343&amp;"|"&amp;$AE1343)</f>
        <v/>
      </c>
      <c r="AI1343" s="32">
        <f>IF(OR($C1343="",$AE1343="",$AE1343=1),"",IFERROR(INDEX($AC$6:$AC$1505,MATCH($C1343&amp;"|"&amp;$A1343&amp;"|"&amp;($AE1343-1),$AH$6:$AH$1505,0)),""))</f>
        <v/>
      </c>
      <c r="AJ1343" s="32">
        <f>IF(OR($AI1343="",$AC1343=""),"",IF($AI1343=$AC1343,"ללא שינוי","מ-"&amp;$AI1343&amp;" ל-"&amp;$AC1343))</f>
        <v/>
      </c>
      <c r="AK1343" s="67" t="n"/>
    </row>
    <row r="1344">
      <c r="A1344" s="65" t="n"/>
      <c r="B1344" s="65" t="n"/>
      <c r="C1344" s="66" t="n"/>
      <c r="D1344" s="66" t="n"/>
      <c r="E1344" s="65" t="n"/>
      <c r="F1344" s="65" t="n"/>
      <c r="G1344" s="65" t="n"/>
      <c r="H1344" s="65" t="n"/>
      <c r="I1344" s="65" t="n"/>
      <c r="J1344" s="65" t="n"/>
      <c r="K1344" s="65" t="n"/>
      <c r="L1344" s="65" t="n"/>
      <c r="M1344" s="65" t="n"/>
      <c r="N1344" s="65" t="n"/>
      <c r="O1344" s="65" t="n"/>
      <c r="P1344" s="65" t="n"/>
      <c r="Q1344" s="65" t="n"/>
      <c r="R1344" s="65" t="n"/>
      <c r="S1344" s="65" t="n"/>
      <c r="T1344" s="65" t="n"/>
      <c r="U1344" s="65" t="n"/>
      <c r="V1344" s="65" t="n"/>
      <c r="W1344" s="65" t="n"/>
      <c r="X1344" s="65" t="n"/>
      <c r="Y1344" s="32">
        <f>IF($C1344="","",IF(COUNTA($I1344:$K1344)&lt;3,"— חסרים נתונים",IF(AND($I1344="תקין",$J1344="תקין",$K1344="תקין"),"רהוטה",IF(AND($I1344="תקין",$J1344="תקין"),"מדויקת ורציפה","אינה מדויקת או מקוטעת"))))</f>
        <v/>
      </c>
      <c r="Z1344" s="32">
        <f>IF($C1344="","",IF(COUNTA($U1344:$W1344)&lt;3,"",IF(AND($U1344="מפותח",$V1344="מפותח",$W1344="מפותחת"),"מפותחת",IF((--($U1344="דל"))+(--($V1344="אינו מפותח"))+(--($W1344="דלה"))&gt;=2,"אינה מפותחת","חלקית"))))</f>
        <v/>
      </c>
      <c r="AA1344" s="32">
        <f>IF($C1344="","",IF(COUNTA($M1344,$N1344,$O1344)&lt;3,"— חסרים נתונים",IF(OR($M1344="נמוכה",(--($M1344&lt;&gt;"תקינה"))+(--($N1344&lt;&gt;"תקין"))+(--($O1344&lt;&gt;"תקינה"))&gt;=2),"ניכרת","אינה ניכרת")))</f>
        <v/>
      </c>
      <c r="AB1344" s="32">
        <f>IF(OR($C1344="",$Y1344="",$AA1344="",LEFT($Y1344,1)="—",LEFT($AA1344,1)="—"),"",IF($Z1344="","— נדרשת הערכת כתיבה",IF($L1344="","— חסרה הבנת הנקרא",IF($Y1344="אינה מדויקת או מקוטעת",IF($AA1344="ניכרת","מיקוד בשטף הקריאה ובכישורי שפה","מיקוד בשטף קריאה"),IF($AA1344="ניכרת","מיקוד בכישורי שפה",IF(AND($L1344="תקינה",$Z1344="מפותחת"),"קוראים וכותבים מיומנים","מיקוד בהבנה והבעה"))))))</f>
        <v/>
      </c>
      <c r="AC1344" s="32">
        <f>IF(OR($AB1344="",LEFT($AB1344,1)="—"),"",IF(OR($AB1344="מיקוד בשטף קריאה",$AB1344="מיקוד בשטף הקריאה ובכישורי שפה"),"רמה א'",IF($AB1344="קוראים וכותבים מיומנים","רמה ג'","רמה ב'")))</f>
        <v/>
      </c>
      <c r="AD1344" s="32">
        <f>IF($AC1344="","",MID(IF(AND($AC1344="רמה א'",$AA1344="ניכרת"),"; להוסיף עבודת אוצר מילים","")&amp;IF($Z1344="אינה מפותחת","; דגש על הבעה בכתב","")&amp;IF($K1344&lt;&gt;"תקין","; נדרש לעבוד על ההנגנה","")&amp;IF($AK1344&lt;&gt;"","; "&amp;$AK1344,""),3,400))</f>
        <v/>
      </c>
      <c r="AE1344" s="32">
        <f>IF($F1344="","",IF($F1344="תחילת שנה",1,IF($F1344="מחצית שנה",2,3)))</f>
        <v/>
      </c>
      <c r="AF1344" s="32">
        <f>IF(OR($B1344="",$AC1344="",$A1344="",$F1344=""),"",$B1344&amp;"|"&amp;$A1344&amp;"|"&amp;$F1344&amp;"|"&amp;$AC1344&amp;"|"&amp;COUNTIFS($B$6:$B1344,$B1344,$A$6:$A1344,$A1344,$F$6:$F1344,$F1344,$AC$6:$AC1344,$AC1344))</f>
        <v/>
      </c>
      <c r="AG1344" s="32">
        <f>IF($C1344="","",$C1344&amp;"|"&amp;COUNTIFS($C$6:$C1344,$C1344))</f>
        <v/>
      </c>
      <c r="AH1344" s="32">
        <f>IF(OR($C1344="",$A1344="",$AE1344=""),"",$C1344&amp;"|"&amp;$A1344&amp;"|"&amp;$AE1344)</f>
        <v/>
      </c>
      <c r="AI1344" s="32">
        <f>IF(OR($C1344="",$AE1344="",$AE1344=1),"",IFERROR(INDEX($AC$6:$AC$1505,MATCH($C1344&amp;"|"&amp;$A1344&amp;"|"&amp;($AE1344-1),$AH$6:$AH$1505,0)),""))</f>
        <v/>
      </c>
      <c r="AJ1344" s="32">
        <f>IF(OR($AI1344="",$AC1344=""),"",IF($AI1344=$AC1344,"ללא שינוי","מ-"&amp;$AI1344&amp;" ל-"&amp;$AC1344))</f>
        <v/>
      </c>
      <c r="AK1344" s="67" t="n"/>
    </row>
    <row r="1345">
      <c r="A1345" s="65" t="n"/>
      <c r="B1345" s="65" t="n"/>
      <c r="C1345" s="66" t="n"/>
      <c r="D1345" s="66" t="n"/>
      <c r="E1345" s="65" t="n"/>
      <c r="F1345" s="65" t="n"/>
      <c r="G1345" s="65" t="n"/>
      <c r="H1345" s="65" t="n"/>
      <c r="I1345" s="65" t="n"/>
      <c r="J1345" s="65" t="n"/>
      <c r="K1345" s="65" t="n"/>
      <c r="L1345" s="65" t="n"/>
      <c r="M1345" s="65" t="n"/>
      <c r="N1345" s="65" t="n"/>
      <c r="O1345" s="65" t="n"/>
      <c r="P1345" s="65" t="n"/>
      <c r="Q1345" s="65" t="n"/>
      <c r="R1345" s="65" t="n"/>
      <c r="S1345" s="65" t="n"/>
      <c r="T1345" s="65" t="n"/>
      <c r="U1345" s="65" t="n"/>
      <c r="V1345" s="65" t="n"/>
      <c r="W1345" s="65" t="n"/>
      <c r="X1345" s="65" t="n"/>
      <c r="Y1345" s="32">
        <f>IF($C1345="","",IF(COUNTA($I1345:$K1345)&lt;3,"— חסרים נתונים",IF(AND($I1345="תקין",$J1345="תקין",$K1345="תקין"),"רהוטה",IF(AND($I1345="תקין",$J1345="תקין"),"מדויקת ורציפה","אינה מדויקת או מקוטעת"))))</f>
        <v/>
      </c>
      <c r="Z1345" s="32">
        <f>IF($C1345="","",IF(COUNTA($U1345:$W1345)&lt;3,"",IF(AND($U1345="מפותח",$V1345="מפותח",$W1345="מפותחת"),"מפותחת",IF((--($U1345="דל"))+(--($V1345="אינו מפותח"))+(--($W1345="דלה"))&gt;=2,"אינה מפותחת","חלקית"))))</f>
        <v/>
      </c>
      <c r="AA1345" s="32">
        <f>IF($C1345="","",IF(COUNTA($M1345,$N1345,$O1345)&lt;3,"— חסרים נתונים",IF(OR($M1345="נמוכה",(--($M1345&lt;&gt;"תקינה"))+(--($N1345&lt;&gt;"תקין"))+(--($O1345&lt;&gt;"תקינה"))&gt;=2),"ניכרת","אינה ניכרת")))</f>
        <v/>
      </c>
      <c r="AB1345" s="32">
        <f>IF(OR($C1345="",$Y1345="",$AA1345="",LEFT($Y1345,1)="—",LEFT($AA1345,1)="—"),"",IF($Z1345="","— נדרשת הערכת כתיבה",IF($L1345="","— חסרה הבנת הנקרא",IF($Y1345="אינה מדויקת או מקוטעת",IF($AA1345="ניכרת","מיקוד בשטף הקריאה ובכישורי שפה","מיקוד בשטף קריאה"),IF($AA1345="ניכרת","מיקוד בכישורי שפה",IF(AND($L1345="תקינה",$Z1345="מפותחת"),"קוראים וכותבים מיומנים","מיקוד בהבנה והבעה"))))))</f>
        <v/>
      </c>
      <c r="AC1345" s="32">
        <f>IF(OR($AB1345="",LEFT($AB1345,1)="—"),"",IF(OR($AB1345="מיקוד בשטף קריאה",$AB1345="מיקוד בשטף הקריאה ובכישורי שפה"),"רמה א'",IF($AB1345="קוראים וכותבים מיומנים","רמה ג'","רמה ב'")))</f>
        <v/>
      </c>
      <c r="AD1345" s="32">
        <f>IF($AC1345="","",MID(IF(AND($AC1345="רמה א'",$AA1345="ניכרת"),"; להוסיף עבודת אוצר מילים","")&amp;IF($Z1345="אינה מפותחת","; דגש על הבעה בכתב","")&amp;IF($K1345&lt;&gt;"תקין","; נדרש לעבוד על ההנגנה","")&amp;IF($AK1345&lt;&gt;"","; "&amp;$AK1345,""),3,400))</f>
        <v/>
      </c>
      <c r="AE1345" s="32">
        <f>IF($F1345="","",IF($F1345="תחילת שנה",1,IF($F1345="מחצית שנה",2,3)))</f>
        <v/>
      </c>
      <c r="AF1345" s="32">
        <f>IF(OR($B1345="",$AC1345="",$A1345="",$F1345=""),"",$B1345&amp;"|"&amp;$A1345&amp;"|"&amp;$F1345&amp;"|"&amp;$AC1345&amp;"|"&amp;COUNTIFS($B$6:$B1345,$B1345,$A$6:$A1345,$A1345,$F$6:$F1345,$F1345,$AC$6:$AC1345,$AC1345))</f>
        <v/>
      </c>
      <c r="AG1345" s="32">
        <f>IF($C1345="","",$C1345&amp;"|"&amp;COUNTIFS($C$6:$C1345,$C1345))</f>
        <v/>
      </c>
      <c r="AH1345" s="32">
        <f>IF(OR($C1345="",$A1345="",$AE1345=""),"",$C1345&amp;"|"&amp;$A1345&amp;"|"&amp;$AE1345)</f>
        <v/>
      </c>
      <c r="AI1345" s="32">
        <f>IF(OR($C1345="",$AE1345="",$AE1345=1),"",IFERROR(INDEX($AC$6:$AC$1505,MATCH($C1345&amp;"|"&amp;$A1345&amp;"|"&amp;($AE1345-1),$AH$6:$AH$1505,0)),""))</f>
        <v/>
      </c>
      <c r="AJ1345" s="32">
        <f>IF(OR($AI1345="",$AC1345=""),"",IF($AI1345=$AC1345,"ללא שינוי","מ-"&amp;$AI1345&amp;" ל-"&amp;$AC1345))</f>
        <v/>
      </c>
      <c r="AK1345" s="67" t="n"/>
    </row>
    <row r="1346">
      <c r="A1346" s="65" t="n"/>
      <c r="B1346" s="65" t="n"/>
      <c r="C1346" s="66" t="n"/>
      <c r="D1346" s="66" t="n"/>
      <c r="E1346" s="65" t="n"/>
      <c r="F1346" s="65" t="n"/>
      <c r="G1346" s="65" t="n"/>
      <c r="H1346" s="65" t="n"/>
      <c r="I1346" s="65" t="n"/>
      <c r="J1346" s="65" t="n"/>
      <c r="K1346" s="65" t="n"/>
      <c r="L1346" s="65" t="n"/>
      <c r="M1346" s="65" t="n"/>
      <c r="N1346" s="65" t="n"/>
      <c r="O1346" s="65" t="n"/>
      <c r="P1346" s="65" t="n"/>
      <c r="Q1346" s="65" t="n"/>
      <c r="R1346" s="65" t="n"/>
      <c r="S1346" s="65" t="n"/>
      <c r="T1346" s="65" t="n"/>
      <c r="U1346" s="65" t="n"/>
      <c r="V1346" s="65" t="n"/>
      <c r="W1346" s="65" t="n"/>
      <c r="X1346" s="65" t="n"/>
      <c r="Y1346" s="32">
        <f>IF($C1346="","",IF(COUNTA($I1346:$K1346)&lt;3,"— חסרים נתונים",IF(AND($I1346="תקין",$J1346="תקין",$K1346="תקין"),"רהוטה",IF(AND($I1346="תקין",$J1346="תקין"),"מדויקת ורציפה","אינה מדויקת או מקוטעת"))))</f>
        <v/>
      </c>
      <c r="Z1346" s="32">
        <f>IF($C1346="","",IF(COUNTA($U1346:$W1346)&lt;3,"",IF(AND($U1346="מפותח",$V1346="מפותח",$W1346="מפותחת"),"מפותחת",IF((--($U1346="דל"))+(--($V1346="אינו מפותח"))+(--($W1346="דלה"))&gt;=2,"אינה מפותחת","חלקית"))))</f>
        <v/>
      </c>
      <c r="AA1346" s="32">
        <f>IF($C1346="","",IF(COUNTA($M1346,$N1346,$O1346)&lt;3,"— חסרים נתונים",IF(OR($M1346="נמוכה",(--($M1346&lt;&gt;"תקינה"))+(--($N1346&lt;&gt;"תקין"))+(--($O1346&lt;&gt;"תקינה"))&gt;=2),"ניכרת","אינה ניכרת")))</f>
        <v/>
      </c>
      <c r="AB1346" s="32">
        <f>IF(OR($C1346="",$Y1346="",$AA1346="",LEFT($Y1346,1)="—",LEFT($AA1346,1)="—"),"",IF($Z1346="","— נדרשת הערכת כתיבה",IF($L1346="","— חסרה הבנת הנקרא",IF($Y1346="אינה מדויקת או מקוטעת",IF($AA1346="ניכרת","מיקוד בשטף הקריאה ובכישורי שפה","מיקוד בשטף קריאה"),IF($AA1346="ניכרת","מיקוד בכישורי שפה",IF(AND($L1346="תקינה",$Z1346="מפותחת"),"קוראים וכותבים מיומנים","מיקוד בהבנה והבעה"))))))</f>
        <v/>
      </c>
      <c r="AC1346" s="32">
        <f>IF(OR($AB1346="",LEFT($AB1346,1)="—"),"",IF(OR($AB1346="מיקוד בשטף קריאה",$AB1346="מיקוד בשטף הקריאה ובכישורי שפה"),"רמה א'",IF($AB1346="קוראים וכותבים מיומנים","רמה ג'","רמה ב'")))</f>
        <v/>
      </c>
      <c r="AD1346" s="32">
        <f>IF($AC1346="","",MID(IF(AND($AC1346="רמה א'",$AA1346="ניכרת"),"; להוסיף עבודת אוצר מילים","")&amp;IF($Z1346="אינה מפותחת","; דגש על הבעה בכתב","")&amp;IF($K1346&lt;&gt;"תקין","; נדרש לעבוד על ההנגנה","")&amp;IF($AK1346&lt;&gt;"","; "&amp;$AK1346,""),3,400))</f>
        <v/>
      </c>
      <c r="AE1346" s="32">
        <f>IF($F1346="","",IF($F1346="תחילת שנה",1,IF($F1346="מחצית שנה",2,3)))</f>
        <v/>
      </c>
      <c r="AF1346" s="32">
        <f>IF(OR($B1346="",$AC1346="",$A1346="",$F1346=""),"",$B1346&amp;"|"&amp;$A1346&amp;"|"&amp;$F1346&amp;"|"&amp;$AC1346&amp;"|"&amp;COUNTIFS($B$6:$B1346,$B1346,$A$6:$A1346,$A1346,$F$6:$F1346,$F1346,$AC$6:$AC1346,$AC1346))</f>
        <v/>
      </c>
      <c r="AG1346" s="32">
        <f>IF($C1346="","",$C1346&amp;"|"&amp;COUNTIFS($C$6:$C1346,$C1346))</f>
        <v/>
      </c>
      <c r="AH1346" s="32">
        <f>IF(OR($C1346="",$A1346="",$AE1346=""),"",$C1346&amp;"|"&amp;$A1346&amp;"|"&amp;$AE1346)</f>
        <v/>
      </c>
      <c r="AI1346" s="32">
        <f>IF(OR($C1346="",$AE1346="",$AE1346=1),"",IFERROR(INDEX($AC$6:$AC$1505,MATCH($C1346&amp;"|"&amp;$A1346&amp;"|"&amp;($AE1346-1),$AH$6:$AH$1505,0)),""))</f>
        <v/>
      </c>
      <c r="AJ1346" s="32">
        <f>IF(OR($AI1346="",$AC1346=""),"",IF($AI1346=$AC1346,"ללא שינוי","מ-"&amp;$AI1346&amp;" ל-"&amp;$AC1346))</f>
        <v/>
      </c>
      <c r="AK1346" s="67" t="n"/>
    </row>
    <row r="1347">
      <c r="A1347" s="65" t="n"/>
      <c r="B1347" s="65" t="n"/>
      <c r="C1347" s="66" t="n"/>
      <c r="D1347" s="66" t="n"/>
      <c r="E1347" s="65" t="n"/>
      <c r="F1347" s="65" t="n"/>
      <c r="G1347" s="65" t="n"/>
      <c r="H1347" s="65" t="n"/>
      <c r="I1347" s="65" t="n"/>
      <c r="J1347" s="65" t="n"/>
      <c r="K1347" s="65" t="n"/>
      <c r="L1347" s="65" t="n"/>
      <c r="M1347" s="65" t="n"/>
      <c r="N1347" s="65" t="n"/>
      <c r="O1347" s="65" t="n"/>
      <c r="P1347" s="65" t="n"/>
      <c r="Q1347" s="65" t="n"/>
      <c r="R1347" s="65" t="n"/>
      <c r="S1347" s="65" t="n"/>
      <c r="T1347" s="65" t="n"/>
      <c r="U1347" s="65" t="n"/>
      <c r="V1347" s="65" t="n"/>
      <c r="W1347" s="65" t="n"/>
      <c r="X1347" s="65" t="n"/>
      <c r="Y1347" s="32">
        <f>IF($C1347="","",IF(COUNTA($I1347:$K1347)&lt;3,"— חסרים נתונים",IF(AND($I1347="תקין",$J1347="תקין",$K1347="תקין"),"רהוטה",IF(AND($I1347="תקין",$J1347="תקין"),"מדויקת ורציפה","אינה מדויקת או מקוטעת"))))</f>
        <v/>
      </c>
      <c r="Z1347" s="32">
        <f>IF($C1347="","",IF(COUNTA($U1347:$W1347)&lt;3,"",IF(AND($U1347="מפותח",$V1347="מפותח",$W1347="מפותחת"),"מפותחת",IF((--($U1347="דל"))+(--($V1347="אינו מפותח"))+(--($W1347="דלה"))&gt;=2,"אינה מפותחת","חלקית"))))</f>
        <v/>
      </c>
      <c r="AA1347" s="32">
        <f>IF($C1347="","",IF(COUNTA($M1347,$N1347,$O1347)&lt;3,"— חסרים נתונים",IF(OR($M1347="נמוכה",(--($M1347&lt;&gt;"תקינה"))+(--($N1347&lt;&gt;"תקין"))+(--($O1347&lt;&gt;"תקינה"))&gt;=2),"ניכרת","אינה ניכרת")))</f>
        <v/>
      </c>
      <c r="AB1347" s="32">
        <f>IF(OR($C1347="",$Y1347="",$AA1347="",LEFT($Y1347,1)="—",LEFT($AA1347,1)="—"),"",IF($Z1347="","— נדרשת הערכת כתיבה",IF($L1347="","— חסרה הבנת הנקרא",IF($Y1347="אינה מדויקת או מקוטעת",IF($AA1347="ניכרת","מיקוד בשטף הקריאה ובכישורי שפה","מיקוד בשטף קריאה"),IF($AA1347="ניכרת","מיקוד בכישורי שפה",IF(AND($L1347="תקינה",$Z1347="מפותחת"),"קוראים וכותבים מיומנים","מיקוד בהבנה והבעה"))))))</f>
        <v/>
      </c>
      <c r="AC1347" s="32">
        <f>IF(OR($AB1347="",LEFT($AB1347,1)="—"),"",IF(OR($AB1347="מיקוד בשטף קריאה",$AB1347="מיקוד בשטף הקריאה ובכישורי שפה"),"רמה א'",IF($AB1347="קוראים וכותבים מיומנים","רמה ג'","רמה ב'")))</f>
        <v/>
      </c>
      <c r="AD1347" s="32">
        <f>IF($AC1347="","",MID(IF(AND($AC1347="רמה א'",$AA1347="ניכרת"),"; להוסיף עבודת אוצר מילים","")&amp;IF($Z1347="אינה מפותחת","; דגש על הבעה בכתב","")&amp;IF($K1347&lt;&gt;"תקין","; נדרש לעבוד על ההנגנה","")&amp;IF($AK1347&lt;&gt;"","; "&amp;$AK1347,""),3,400))</f>
        <v/>
      </c>
      <c r="AE1347" s="32">
        <f>IF($F1347="","",IF($F1347="תחילת שנה",1,IF($F1347="מחצית שנה",2,3)))</f>
        <v/>
      </c>
      <c r="AF1347" s="32">
        <f>IF(OR($B1347="",$AC1347="",$A1347="",$F1347=""),"",$B1347&amp;"|"&amp;$A1347&amp;"|"&amp;$F1347&amp;"|"&amp;$AC1347&amp;"|"&amp;COUNTIFS($B$6:$B1347,$B1347,$A$6:$A1347,$A1347,$F$6:$F1347,$F1347,$AC$6:$AC1347,$AC1347))</f>
        <v/>
      </c>
      <c r="AG1347" s="32">
        <f>IF($C1347="","",$C1347&amp;"|"&amp;COUNTIFS($C$6:$C1347,$C1347))</f>
        <v/>
      </c>
      <c r="AH1347" s="32">
        <f>IF(OR($C1347="",$A1347="",$AE1347=""),"",$C1347&amp;"|"&amp;$A1347&amp;"|"&amp;$AE1347)</f>
        <v/>
      </c>
      <c r="AI1347" s="32">
        <f>IF(OR($C1347="",$AE1347="",$AE1347=1),"",IFERROR(INDEX($AC$6:$AC$1505,MATCH($C1347&amp;"|"&amp;$A1347&amp;"|"&amp;($AE1347-1),$AH$6:$AH$1505,0)),""))</f>
        <v/>
      </c>
      <c r="AJ1347" s="32">
        <f>IF(OR($AI1347="",$AC1347=""),"",IF($AI1347=$AC1347,"ללא שינוי","מ-"&amp;$AI1347&amp;" ל-"&amp;$AC1347))</f>
        <v/>
      </c>
      <c r="AK1347" s="67" t="n"/>
    </row>
    <row r="1348">
      <c r="A1348" s="65" t="n"/>
      <c r="B1348" s="65" t="n"/>
      <c r="C1348" s="66" t="n"/>
      <c r="D1348" s="66" t="n"/>
      <c r="E1348" s="65" t="n"/>
      <c r="F1348" s="65" t="n"/>
      <c r="G1348" s="65" t="n"/>
      <c r="H1348" s="65" t="n"/>
      <c r="I1348" s="65" t="n"/>
      <c r="J1348" s="65" t="n"/>
      <c r="K1348" s="65" t="n"/>
      <c r="L1348" s="65" t="n"/>
      <c r="M1348" s="65" t="n"/>
      <c r="N1348" s="65" t="n"/>
      <c r="O1348" s="65" t="n"/>
      <c r="P1348" s="65" t="n"/>
      <c r="Q1348" s="65" t="n"/>
      <c r="R1348" s="65" t="n"/>
      <c r="S1348" s="65" t="n"/>
      <c r="T1348" s="65" t="n"/>
      <c r="U1348" s="65" t="n"/>
      <c r="V1348" s="65" t="n"/>
      <c r="W1348" s="65" t="n"/>
      <c r="X1348" s="65" t="n"/>
      <c r="Y1348" s="32">
        <f>IF($C1348="","",IF(COUNTA($I1348:$K1348)&lt;3,"— חסרים נתונים",IF(AND($I1348="תקין",$J1348="תקין",$K1348="תקין"),"רהוטה",IF(AND($I1348="תקין",$J1348="תקין"),"מדויקת ורציפה","אינה מדויקת או מקוטעת"))))</f>
        <v/>
      </c>
      <c r="Z1348" s="32">
        <f>IF($C1348="","",IF(COUNTA($U1348:$W1348)&lt;3,"",IF(AND($U1348="מפותח",$V1348="מפותח",$W1348="מפותחת"),"מפותחת",IF((--($U1348="דל"))+(--($V1348="אינו מפותח"))+(--($W1348="דלה"))&gt;=2,"אינה מפותחת","חלקית"))))</f>
        <v/>
      </c>
      <c r="AA1348" s="32">
        <f>IF($C1348="","",IF(COUNTA($M1348,$N1348,$O1348)&lt;3,"— חסרים נתונים",IF(OR($M1348="נמוכה",(--($M1348&lt;&gt;"תקינה"))+(--($N1348&lt;&gt;"תקין"))+(--($O1348&lt;&gt;"תקינה"))&gt;=2),"ניכרת","אינה ניכרת")))</f>
        <v/>
      </c>
      <c r="AB1348" s="32">
        <f>IF(OR($C1348="",$Y1348="",$AA1348="",LEFT($Y1348,1)="—",LEFT($AA1348,1)="—"),"",IF($Z1348="","— נדרשת הערכת כתיבה",IF($L1348="","— חסרה הבנת הנקרא",IF($Y1348="אינה מדויקת או מקוטעת",IF($AA1348="ניכרת","מיקוד בשטף הקריאה ובכישורי שפה","מיקוד בשטף קריאה"),IF($AA1348="ניכרת","מיקוד בכישורי שפה",IF(AND($L1348="תקינה",$Z1348="מפותחת"),"קוראים וכותבים מיומנים","מיקוד בהבנה והבעה"))))))</f>
        <v/>
      </c>
      <c r="AC1348" s="32">
        <f>IF(OR($AB1348="",LEFT($AB1348,1)="—"),"",IF(OR($AB1348="מיקוד בשטף קריאה",$AB1348="מיקוד בשטף הקריאה ובכישורי שפה"),"רמה א'",IF($AB1348="קוראים וכותבים מיומנים","רמה ג'","רמה ב'")))</f>
        <v/>
      </c>
      <c r="AD1348" s="32">
        <f>IF($AC1348="","",MID(IF(AND($AC1348="רמה א'",$AA1348="ניכרת"),"; להוסיף עבודת אוצר מילים","")&amp;IF($Z1348="אינה מפותחת","; דגש על הבעה בכתב","")&amp;IF($K1348&lt;&gt;"תקין","; נדרש לעבוד על ההנגנה","")&amp;IF($AK1348&lt;&gt;"","; "&amp;$AK1348,""),3,400))</f>
        <v/>
      </c>
      <c r="AE1348" s="32">
        <f>IF($F1348="","",IF($F1348="תחילת שנה",1,IF($F1348="מחצית שנה",2,3)))</f>
        <v/>
      </c>
      <c r="AF1348" s="32">
        <f>IF(OR($B1348="",$AC1348="",$A1348="",$F1348=""),"",$B1348&amp;"|"&amp;$A1348&amp;"|"&amp;$F1348&amp;"|"&amp;$AC1348&amp;"|"&amp;COUNTIFS($B$6:$B1348,$B1348,$A$6:$A1348,$A1348,$F$6:$F1348,$F1348,$AC$6:$AC1348,$AC1348))</f>
        <v/>
      </c>
      <c r="AG1348" s="32">
        <f>IF($C1348="","",$C1348&amp;"|"&amp;COUNTIFS($C$6:$C1348,$C1348))</f>
        <v/>
      </c>
      <c r="AH1348" s="32">
        <f>IF(OR($C1348="",$A1348="",$AE1348=""),"",$C1348&amp;"|"&amp;$A1348&amp;"|"&amp;$AE1348)</f>
        <v/>
      </c>
      <c r="AI1348" s="32">
        <f>IF(OR($C1348="",$AE1348="",$AE1348=1),"",IFERROR(INDEX($AC$6:$AC$1505,MATCH($C1348&amp;"|"&amp;$A1348&amp;"|"&amp;($AE1348-1),$AH$6:$AH$1505,0)),""))</f>
        <v/>
      </c>
      <c r="AJ1348" s="32">
        <f>IF(OR($AI1348="",$AC1348=""),"",IF($AI1348=$AC1348,"ללא שינוי","מ-"&amp;$AI1348&amp;" ל-"&amp;$AC1348))</f>
        <v/>
      </c>
      <c r="AK1348" s="67" t="n"/>
    </row>
    <row r="1349">
      <c r="A1349" s="65" t="n"/>
      <c r="B1349" s="65" t="n"/>
      <c r="C1349" s="66" t="n"/>
      <c r="D1349" s="66" t="n"/>
      <c r="E1349" s="65" t="n"/>
      <c r="F1349" s="65" t="n"/>
      <c r="G1349" s="65" t="n"/>
      <c r="H1349" s="65" t="n"/>
      <c r="I1349" s="65" t="n"/>
      <c r="J1349" s="65" t="n"/>
      <c r="K1349" s="65" t="n"/>
      <c r="L1349" s="65" t="n"/>
      <c r="M1349" s="65" t="n"/>
      <c r="N1349" s="65" t="n"/>
      <c r="O1349" s="65" t="n"/>
      <c r="P1349" s="65" t="n"/>
      <c r="Q1349" s="65" t="n"/>
      <c r="R1349" s="65" t="n"/>
      <c r="S1349" s="65" t="n"/>
      <c r="T1349" s="65" t="n"/>
      <c r="U1349" s="65" t="n"/>
      <c r="V1349" s="65" t="n"/>
      <c r="W1349" s="65" t="n"/>
      <c r="X1349" s="65" t="n"/>
      <c r="Y1349" s="32">
        <f>IF($C1349="","",IF(COUNTA($I1349:$K1349)&lt;3,"— חסרים נתונים",IF(AND($I1349="תקין",$J1349="תקין",$K1349="תקין"),"רהוטה",IF(AND($I1349="תקין",$J1349="תקין"),"מדויקת ורציפה","אינה מדויקת או מקוטעת"))))</f>
        <v/>
      </c>
      <c r="Z1349" s="32">
        <f>IF($C1349="","",IF(COUNTA($U1349:$W1349)&lt;3,"",IF(AND($U1349="מפותח",$V1349="מפותח",$W1349="מפותחת"),"מפותחת",IF((--($U1349="דל"))+(--($V1349="אינו מפותח"))+(--($W1349="דלה"))&gt;=2,"אינה מפותחת","חלקית"))))</f>
        <v/>
      </c>
      <c r="AA1349" s="32">
        <f>IF($C1349="","",IF(COUNTA($M1349,$N1349,$O1349)&lt;3,"— חסרים נתונים",IF(OR($M1349="נמוכה",(--($M1349&lt;&gt;"תקינה"))+(--($N1349&lt;&gt;"תקין"))+(--($O1349&lt;&gt;"תקינה"))&gt;=2),"ניכרת","אינה ניכרת")))</f>
        <v/>
      </c>
      <c r="AB1349" s="32">
        <f>IF(OR($C1349="",$Y1349="",$AA1349="",LEFT($Y1349,1)="—",LEFT($AA1349,1)="—"),"",IF($Z1349="","— נדרשת הערכת כתיבה",IF($L1349="","— חסרה הבנת הנקרא",IF($Y1349="אינה מדויקת או מקוטעת",IF($AA1349="ניכרת","מיקוד בשטף הקריאה ובכישורי שפה","מיקוד בשטף קריאה"),IF($AA1349="ניכרת","מיקוד בכישורי שפה",IF(AND($L1349="תקינה",$Z1349="מפותחת"),"קוראים וכותבים מיומנים","מיקוד בהבנה והבעה"))))))</f>
        <v/>
      </c>
      <c r="AC1349" s="32">
        <f>IF(OR($AB1349="",LEFT($AB1349,1)="—"),"",IF(OR($AB1349="מיקוד בשטף קריאה",$AB1349="מיקוד בשטף הקריאה ובכישורי שפה"),"רמה א'",IF($AB1349="קוראים וכותבים מיומנים","רמה ג'","רמה ב'")))</f>
        <v/>
      </c>
      <c r="AD1349" s="32">
        <f>IF($AC1349="","",MID(IF(AND($AC1349="רמה א'",$AA1349="ניכרת"),"; להוסיף עבודת אוצר מילים","")&amp;IF($Z1349="אינה מפותחת","; דגש על הבעה בכתב","")&amp;IF($K1349&lt;&gt;"תקין","; נדרש לעבוד על ההנגנה","")&amp;IF($AK1349&lt;&gt;"","; "&amp;$AK1349,""),3,400))</f>
        <v/>
      </c>
      <c r="AE1349" s="32">
        <f>IF($F1349="","",IF($F1349="תחילת שנה",1,IF($F1349="מחצית שנה",2,3)))</f>
        <v/>
      </c>
      <c r="AF1349" s="32">
        <f>IF(OR($B1349="",$AC1349="",$A1349="",$F1349=""),"",$B1349&amp;"|"&amp;$A1349&amp;"|"&amp;$F1349&amp;"|"&amp;$AC1349&amp;"|"&amp;COUNTIFS($B$6:$B1349,$B1349,$A$6:$A1349,$A1349,$F$6:$F1349,$F1349,$AC$6:$AC1349,$AC1349))</f>
        <v/>
      </c>
      <c r="AG1349" s="32">
        <f>IF($C1349="","",$C1349&amp;"|"&amp;COUNTIFS($C$6:$C1349,$C1349))</f>
        <v/>
      </c>
      <c r="AH1349" s="32">
        <f>IF(OR($C1349="",$A1349="",$AE1349=""),"",$C1349&amp;"|"&amp;$A1349&amp;"|"&amp;$AE1349)</f>
        <v/>
      </c>
      <c r="AI1349" s="32">
        <f>IF(OR($C1349="",$AE1349="",$AE1349=1),"",IFERROR(INDEX($AC$6:$AC$1505,MATCH($C1349&amp;"|"&amp;$A1349&amp;"|"&amp;($AE1349-1),$AH$6:$AH$1505,0)),""))</f>
        <v/>
      </c>
      <c r="AJ1349" s="32">
        <f>IF(OR($AI1349="",$AC1349=""),"",IF($AI1349=$AC1349,"ללא שינוי","מ-"&amp;$AI1349&amp;" ל-"&amp;$AC1349))</f>
        <v/>
      </c>
      <c r="AK1349" s="67" t="n"/>
    </row>
    <row r="1350">
      <c r="A1350" s="65" t="n"/>
      <c r="B1350" s="65" t="n"/>
      <c r="C1350" s="66" t="n"/>
      <c r="D1350" s="66" t="n"/>
      <c r="E1350" s="65" t="n"/>
      <c r="F1350" s="65" t="n"/>
      <c r="G1350" s="65" t="n"/>
      <c r="H1350" s="65" t="n"/>
      <c r="I1350" s="65" t="n"/>
      <c r="J1350" s="65" t="n"/>
      <c r="K1350" s="65" t="n"/>
      <c r="L1350" s="65" t="n"/>
      <c r="M1350" s="65" t="n"/>
      <c r="N1350" s="65" t="n"/>
      <c r="O1350" s="65" t="n"/>
      <c r="P1350" s="65" t="n"/>
      <c r="Q1350" s="65" t="n"/>
      <c r="R1350" s="65" t="n"/>
      <c r="S1350" s="65" t="n"/>
      <c r="T1350" s="65" t="n"/>
      <c r="U1350" s="65" t="n"/>
      <c r="V1350" s="65" t="n"/>
      <c r="W1350" s="65" t="n"/>
      <c r="X1350" s="65" t="n"/>
      <c r="Y1350" s="32">
        <f>IF($C1350="","",IF(COUNTA($I1350:$K1350)&lt;3,"— חסרים נתונים",IF(AND($I1350="תקין",$J1350="תקין",$K1350="תקין"),"רהוטה",IF(AND($I1350="תקין",$J1350="תקין"),"מדויקת ורציפה","אינה מדויקת או מקוטעת"))))</f>
        <v/>
      </c>
      <c r="Z1350" s="32">
        <f>IF($C1350="","",IF(COUNTA($U1350:$W1350)&lt;3,"",IF(AND($U1350="מפותח",$V1350="מפותח",$W1350="מפותחת"),"מפותחת",IF((--($U1350="דל"))+(--($V1350="אינו מפותח"))+(--($W1350="דלה"))&gt;=2,"אינה מפותחת","חלקית"))))</f>
        <v/>
      </c>
      <c r="AA1350" s="32">
        <f>IF($C1350="","",IF(COUNTA($M1350,$N1350,$O1350)&lt;3,"— חסרים נתונים",IF(OR($M1350="נמוכה",(--($M1350&lt;&gt;"תקינה"))+(--($N1350&lt;&gt;"תקין"))+(--($O1350&lt;&gt;"תקינה"))&gt;=2),"ניכרת","אינה ניכרת")))</f>
        <v/>
      </c>
      <c r="AB1350" s="32">
        <f>IF(OR($C1350="",$Y1350="",$AA1350="",LEFT($Y1350,1)="—",LEFT($AA1350,1)="—"),"",IF($Z1350="","— נדרשת הערכת כתיבה",IF($L1350="","— חסרה הבנת הנקרא",IF($Y1350="אינה מדויקת או מקוטעת",IF($AA1350="ניכרת","מיקוד בשטף הקריאה ובכישורי שפה","מיקוד בשטף קריאה"),IF($AA1350="ניכרת","מיקוד בכישורי שפה",IF(AND($L1350="תקינה",$Z1350="מפותחת"),"קוראים וכותבים מיומנים","מיקוד בהבנה והבעה"))))))</f>
        <v/>
      </c>
      <c r="AC1350" s="32">
        <f>IF(OR($AB1350="",LEFT($AB1350,1)="—"),"",IF(OR($AB1350="מיקוד בשטף קריאה",$AB1350="מיקוד בשטף הקריאה ובכישורי שפה"),"רמה א'",IF($AB1350="קוראים וכותבים מיומנים","רמה ג'","רמה ב'")))</f>
        <v/>
      </c>
      <c r="AD1350" s="32">
        <f>IF($AC1350="","",MID(IF(AND($AC1350="רמה א'",$AA1350="ניכרת"),"; להוסיף עבודת אוצר מילים","")&amp;IF($Z1350="אינה מפותחת","; דגש על הבעה בכתב","")&amp;IF($K1350&lt;&gt;"תקין","; נדרש לעבוד על ההנגנה","")&amp;IF($AK1350&lt;&gt;"","; "&amp;$AK1350,""),3,400))</f>
        <v/>
      </c>
      <c r="AE1350" s="32">
        <f>IF($F1350="","",IF($F1350="תחילת שנה",1,IF($F1350="מחצית שנה",2,3)))</f>
        <v/>
      </c>
      <c r="AF1350" s="32">
        <f>IF(OR($B1350="",$AC1350="",$A1350="",$F1350=""),"",$B1350&amp;"|"&amp;$A1350&amp;"|"&amp;$F1350&amp;"|"&amp;$AC1350&amp;"|"&amp;COUNTIFS($B$6:$B1350,$B1350,$A$6:$A1350,$A1350,$F$6:$F1350,$F1350,$AC$6:$AC1350,$AC1350))</f>
        <v/>
      </c>
      <c r="AG1350" s="32">
        <f>IF($C1350="","",$C1350&amp;"|"&amp;COUNTIFS($C$6:$C1350,$C1350))</f>
        <v/>
      </c>
      <c r="AH1350" s="32">
        <f>IF(OR($C1350="",$A1350="",$AE1350=""),"",$C1350&amp;"|"&amp;$A1350&amp;"|"&amp;$AE1350)</f>
        <v/>
      </c>
      <c r="AI1350" s="32">
        <f>IF(OR($C1350="",$AE1350="",$AE1350=1),"",IFERROR(INDEX($AC$6:$AC$1505,MATCH($C1350&amp;"|"&amp;$A1350&amp;"|"&amp;($AE1350-1),$AH$6:$AH$1505,0)),""))</f>
        <v/>
      </c>
      <c r="AJ1350" s="32">
        <f>IF(OR($AI1350="",$AC1350=""),"",IF($AI1350=$AC1350,"ללא שינוי","מ-"&amp;$AI1350&amp;" ל-"&amp;$AC1350))</f>
        <v/>
      </c>
      <c r="AK1350" s="67" t="n"/>
    </row>
    <row r="1351">
      <c r="A1351" s="65" t="n"/>
      <c r="B1351" s="65" t="n"/>
      <c r="C1351" s="66" t="n"/>
      <c r="D1351" s="66" t="n"/>
      <c r="E1351" s="65" t="n"/>
      <c r="F1351" s="65" t="n"/>
      <c r="G1351" s="65" t="n"/>
      <c r="H1351" s="65" t="n"/>
      <c r="I1351" s="65" t="n"/>
      <c r="J1351" s="65" t="n"/>
      <c r="K1351" s="65" t="n"/>
      <c r="L1351" s="65" t="n"/>
      <c r="M1351" s="65" t="n"/>
      <c r="N1351" s="65" t="n"/>
      <c r="O1351" s="65" t="n"/>
      <c r="P1351" s="65" t="n"/>
      <c r="Q1351" s="65" t="n"/>
      <c r="R1351" s="65" t="n"/>
      <c r="S1351" s="65" t="n"/>
      <c r="T1351" s="65" t="n"/>
      <c r="U1351" s="65" t="n"/>
      <c r="V1351" s="65" t="n"/>
      <c r="W1351" s="65" t="n"/>
      <c r="X1351" s="65" t="n"/>
      <c r="Y1351" s="32">
        <f>IF($C1351="","",IF(COUNTA($I1351:$K1351)&lt;3,"— חסרים נתונים",IF(AND($I1351="תקין",$J1351="תקין",$K1351="תקין"),"רהוטה",IF(AND($I1351="תקין",$J1351="תקין"),"מדויקת ורציפה","אינה מדויקת או מקוטעת"))))</f>
        <v/>
      </c>
      <c r="Z1351" s="32">
        <f>IF($C1351="","",IF(COUNTA($U1351:$W1351)&lt;3,"",IF(AND($U1351="מפותח",$V1351="מפותח",$W1351="מפותחת"),"מפותחת",IF((--($U1351="דל"))+(--($V1351="אינו מפותח"))+(--($W1351="דלה"))&gt;=2,"אינה מפותחת","חלקית"))))</f>
        <v/>
      </c>
      <c r="AA1351" s="32">
        <f>IF($C1351="","",IF(COUNTA($M1351,$N1351,$O1351)&lt;3,"— חסרים נתונים",IF(OR($M1351="נמוכה",(--($M1351&lt;&gt;"תקינה"))+(--($N1351&lt;&gt;"תקין"))+(--($O1351&lt;&gt;"תקינה"))&gt;=2),"ניכרת","אינה ניכרת")))</f>
        <v/>
      </c>
      <c r="AB1351" s="32">
        <f>IF(OR($C1351="",$Y1351="",$AA1351="",LEFT($Y1351,1)="—",LEFT($AA1351,1)="—"),"",IF($Z1351="","— נדרשת הערכת כתיבה",IF($L1351="","— חסרה הבנת הנקרא",IF($Y1351="אינה מדויקת או מקוטעת",IF($AA1351="ניכרת","מיקוד בשטף הקריאה ובכישורי שפה","מיקוד בשטף קריאה"),IF($AA1351="ניכרת","מיקוד בכישורי שפה",IF(AND($L1351="תקינה",$Z1351="מפותחת"),"קוראים וכותבים מיומנים","מיקוד בהבנה והבעה"))))))</f>
        <v/>
      </c>
      <c r="AC1351" s="32">
        <f>IF(OR($AB1351="",LEFT($AB1351,1)="—"),"",IF(OR($AB1351="מיקוד בשטף קריאה",$AB1351="מיקוד בשטף הקריאה ובכישורי שפה"),"רמה א'",IF($AB1351="קוראים וכותבים מיומנים","רמה ג'","רמה ב'")))</f>
        <v/>
      </c>
      <c r="AD1351" s="32">
        <f>IF($AC1351="","",MID(IF(AND($AC1351="רמה א'",$AA1351="ניכרת"),"; להוסיף עבודת אוצר מילים","")&amp;IF($Z1351="אינה מפותחת","; דגש על הבעה בכתב","")&amp;IF($K1351&lt;&gt;"תקין","; נדרש לעבוד על ההנגנה","")&amp;IF($AK1351&lt;&gt;"","; "&amp;$AK1351,""),3,400))</f>
        <v/>
      </c>
      <c r="AE1351" s="32">
        <f>IF($F1351="","",IF($F1351="תחילת שנה",1,IF($F1351="מחצית שנה",2,3)))</f>
        <v/>
      </c>
      <c r="AF1351" s="32">
        <f>IF(OR($B1351="",$AC1351="",$A1351="",$F1351=""),"",$B1351&amp;"|"&amp;$A1351&amp;"|"&amp;$F1351&amp;"|"&amp;$AC1351&amp;"|"&amp;COUNTIFS($B$6:$B1351,$B1351,$A$6:$A1351,$A1351,$F$6:$F1351,$F1351,$AC$6:$AC1351,$AC1351))</f>
        <v/>
      </c>
      <c r="AG1351" s="32">
        <f>IF($C1351="","",$C1351&amp;"|"&amp;COUNTIFS($C$6:$C1351,$C1351))</f>
        <v/>
      </c>
      <c r="AH1351" s="32">
        <f>IF(OR($C1351="",$A1351="",$AE1351=""),"",$C1351&amp;"|"&amp;$A1351&amp;"|"&amp;$AE1351)</f>
        <v/>
      </c>
      <c r="AI1351" s="32">
        <f>IF(OR($C1351="",$AE1351="",$AE1351=1),"",IFERROR(INDEX($AC$6:$AC$1505,MATCH($C1351&amp;"|"&amp;$A1351&amp;"|"&amp;($AE1351-1),$AH$6:$AH$1505,0)),""))</f>
        <v/>
      </c>
      <c r="AJ1351" s="32">
        <f>IF(OR($AI1351="",$AC1351=""),"",IF($AI1351=$AC1351,"ללא שינוי","מ-"&amp;$AI1351&amp;" ל-"&amp;$AC1351))</f>
        <v/>
      </c>
      <c r="AK1351" s="67" t="n"/>
    </row>
    <row r="1352">
      <c r="A1352" s="65" t="n"/>
      <c r="B1352" s="65" t="n"/>
      <c r="C1352" s="66" t="n"/>
      <c r="D1352" s="66" t="n"/>
      <c r="E1352" s="65" t="n"/>
      <c r="F1352" s="65" t="n"/>
      <c r="G1352" s="65" t="n"/>
      <c r="H1352" s="65" t="n"/>
      <c r="I1352" s="65" t="n"/>
      <c r="J1352" s="65" t="n"/>
      <c r="K1352" s="65" t="n"/>
      <c r="L1352" s="65" t="n"/>
      <c r="M1352" s="65" t="n"/>
      <c r="N1352" s="65" t="n"/>
      <c r="O1352" s="65" t="n"/>
      <c r="P1352" s="65" t="n"/>
      <c r="Q1352" s="65" t="n"/>
      <c r="R1352" s="65" t="n"/>
      <c r="S1352" s="65" t="n"/>
      <c r="T1352" s="65" t="n"/>
      <c r="U1352" s="65" t="n"/>
      <c r="V1352" s="65" t="n"/>
      <c r="W1352" s="65" t="n"/>
      <c r="X1352" s="65" t="n"/>
      <c r="Y1352" s="32">
        <f>IF($C1352="","",IF(COUNTA($I1352:$K1352)&lt;3,"— חסרים נתונים",IF(AND($I1352="תקין",$J1352="תקין",$K1352="תקין"),"רהוטה",IF(AND($I1352="תקין",$J1352="תקין"),"מדויקת ורציפה","אינה מדויקת או מקוטעת"))))</f>
        <v/>
      </c>
      <c r="Z1352" s="32">
        <f>IF($C1352="","",IF(COUNTA($U1352:$W1352)&lt;3,"",IF(AND($U1352="מפותח",$V1352="מפותח",$W1352="מפותחת"),"מפותחת",IF((--($U1352="דל"))+(--($V1352="אינו מפותח"))+(--($W1352="דלה"))&gt;=2,"אינה מפותחת","חלקית"))))</f>
        <v/>
      </c>
      <c r="AA1352" s="32">
        <f>IF($C1352="","",IF(COUNTA($M1352,$N1352,$O1352)&lt;3,"— חסרים נתונים",IF(OR($M1352="נמוכה",(--($M1352&lt;&gt;"תקינה"))+(--($N1352&lt;&gt;"תקין"))+(--($O1352&lt;&gt;"תקינה"))&gt;=2),"ניכרת","אינה ניכרת")))</f>
        <v/>
      </c>
      <c r="AB1352" s="32">
        <f>IF(OR($C1352="",$Y1352="",$AA1352="",LEFT($Y1352,1)="—",LEFT($AA1352,1)="—"),"",IF($Z1352="","— נדרשת הערכת כתיבה",IF($L1352="","— חסרה הבנת הנקרא",IF($Y1352="אינה מדויקת או מקוטעת",IF($AA1352="ניכרת","מיקוד בשטף הקריאה ובכישורי שפה","מיקוד בשטף קריאה"),IF($AA1352="ניכרת","מיקוד בכישורי שפה",IF(AND($L1352="תקינה",$Z1352="מפותחת"),"קוראים וכותבים מיומנים","מיקוד בהבנה והבעה"))))))</f>
        <v/>
      </c>
      <c r="AC1352" s="32">
        <f>IF(OR($AB1352="",LEFT($AB1352,1)="—"),"",IF(OR($AB1352="מיקוד בשטף קריאה",$AB1352="מיקוד בשטף הקריאה ובכישורי שפה"),"רמה א'",IF($AB1352="קוראים וכותבים מיומנים","רמה ג'","רמה ב'")))</f>
        <v/>
      </c>
      <c r="AD1352" s="32">
        <f>IF($AC1352="","",MID(IF(AND($AC1352="רמה א'",$AA1352="ניכרת"),"; להוסיף עבודת אוצר מילים","")&amp;IF($Z1352="אינה מפותחת","; דגש על הבעה בכתב","")&amp;IF($K1352&lt;&gt;"תקין","; נדרש לעבוד על ההנגנה","")&amp;IF($AK1352&lt;&gt;"","; "&amp;$AK1352,""),3,400))</f>
        <v/>
      </c>
      <c r="AE1352" s="32">
        <f>IF($F1352="","",IF($F1352="תחילת שנה",1,IF($F1352="מחצית שנה",2,3)))</f>
        <v/>
      </c>
      <c r="AF1352" s="32">
        <f>IF(OR($B1352="",$AC1352="",$A1352="",$F1352=""),"",$B1352&amp;"|"&amp;$A1352&amp;"|"&amp;$F1352&amp;"|"&amp;$AC1352&amp;"|"&amp;COUNTIFS($B$6:$B1352,$B1352,$A$6:$A1352,$A1352,$F$6:$F1352,$F1352,$AC$6:$AC1352,$AC1352))</f>
        <v/>
      </c>
      <c r="AG1352" s="32">
        <f>IF($C1352="","",$C1352&amp;"|"&amp;COUNTIFS($C$6:$C1352,$C1352))</f>
        <v/>
      </c>
      <c r="AH1352" s="32">
        <f>IF(OR($C1352="",$A1352="",$AE1352=""),"",$C1352&amp;"|"&amp;$A1352&amp;"|"&amp;$AE1352)</f>
        <v/>
      </c>
      <c r="AI1352" s="32">
        <f>IF(OR($C1352="",$AE1352="",$AE1352=1),"",IFERROR(INDEX($AC$6:$AC$1505,MATCH($C1352&amp;"|"&amp;$A1352&amp;"|"&amp;($AE1352-1),$AH$6:$AH$1505,0)),""))</f>
        <v/>
      </c>
      <c r="AJ1352" s="32">
        <f>IF(OR($AI1352="",$AC1352=""),"",IF($AI1352=$AC1352,"ללא שינוי","מ-"&amp;$AI1352&amp;" ל-"&amp;$AC1352))</f>
        <v/>
      </c>
      <c r="AK1352" s="67" t="n"/>
    </row>
    <row r="1353">
      <c r="A1353" s="65" t="n"/>
      <c r="B1353" s="65" t="n"/>
      <c r="C1353" s="66" t="n"/>
      <c r="D1353" s="66" t="n"/>
      <c r="E1353" s="65" t="n"/>
      <c r="F1353" s="65" t="n"/>
      <c r="G1353" s="65" t="n"/>
      <c r="H1353" s="65" t="n"/>
      <c r="I1353" s="65" t="n"/>
      <c r="J1353" s="65" t="n"/>
      <c r="K1353" s="65" t="n"/>
      <c r="L1353" s="65" t="n"/>
      <c r="M1353" s="65" t="n"/>
      <c r="N1353" s="65" t="n"/>
      <c r="O1353" s="65" t="n"/>
      <c r="P1353" s="65" t="n"/>
      <c r="Q1353" s="65" t="n"/>
      <c r="R1353" s="65" t="n"/>
      <c r="S1353" s="65" t="n"/>
      <c r="T1353" s="65" t="n"/>
      <c r="U1353" s="65" t="n"/>
      <c r="V1353" s="65" t="n"/>
      <c r="W1353" s="65" t="n"/>
      <c r="X1353" s="65" t="n"/>
      <c r="Y1353" s="32">
        <f>IF($C1353="","",IF(COUNTA($I1353:$K1353)&lt;3,"— חסרים נתונים",IF(AND($I1353="תקין",$J1353="תקין",$K1353="תקין"),"רהוטה",IF(AND($I1353="תקין",$J1353="תקין"),"מדויקת ורציפה","אינה מדויקת או מקוטעת"))))</f>
        <v/>
      </c>
      <c r="Z1353" s="32">
        <f>IF($C1353="","",IF(COUNTA($U1353:$W1353)&lt;3,"",IF(AND($U1353="מפותח",$V1353="מפותח",$W1353="מפותחת"),"מפותחת",IF((--($U1353="דל"))+(--($V1353="אינו מפותח"))+(--($W1353="דלה"))&gt;=2,"אינה מפותחת","חלקית"))))</f>
        <v/>
      </c>
      <c r="AA1353" s="32">
        <f>IF($C1353="","",IF(COUNTA($M1353,$N1353,$O1353)&lt;3,"— חסרים נתונים",IF(OR($M1353="נמוכה",(--($M1353&lt;&gt;"תקינה"))+(--($N1353&lt;&gt;"תקין"))+(--($O1353&lt;&gt;"תקינה"))&gt;=2),"ניכרת","אינה ניכרת")))</f>
        <v/>
      </c>
      <c r="AB1353" s="32">
        <f>IF(OR($C1353="",$Y1353="",$AA1353="",LEFT($Y1353,1)="—",LEFT($AA1353,1)="—"),"",IF($Z1353="","— נדרשת הערכת כתיבה",IF($L1353="","— חסרה הבנת הנקרא",IF($Y1353="אינה מדויקת או מקוטעת",IF($AA1353="ניכרת","מיקוד בשטף הקריאה ובכישורי שפה","מיקוד בשטף קריאה"),IF($AA1353="ניכרת","מיקוד בכישורי שפה",IF(AND($L1353="תקינה",$Z1353="מפותחת"),"קוראים וכותבים מיומנים","מיקוד בהבנה והבעה"))))))</f>
        <v/>
      </c>
      <c r="AC1353" s="32">
        <f>IF(OR($AB1353="",LEFT($AB1353,1)="—"),"",IF(OR($AB1353="מיקוד בשטף קריאה",$AB1353="מיקוד בשטף הקריאה ובכישורי שפה"),"רמה א'",IF($AB1353="קוראים וכותבים מיומנים","רמה ג'","רמה ב'")))</f>
        <v/>
      </c>
      <c r="AD1353" s="32">
        <f>IF($AC1353="","",MID(IF(AND($AC1353="רמה א'",$AA1353="ניכרת"),"; להוסיף עבודת אוצר מילים","")&amp;IF($Z1353="אינה מפותחת","; דגש על הבעה בכתב","")&amp;IF($K1353&lt;&gt;"תקין","; נדרש לעבוד על ההנגנה","")&amp;IF($AK1353&lt;&gt;"","; "&amp;$AK1353,""),3,400))</f>
        <v/>
      </c>
      <c r="AE1353" s="32">
        <f>IF($F1353="","",IF($F1353="תחילת שנה",1,IF($F1353="מחצית שנה",2,3)))</f>
        <v/>
      </c>
      <c r="AF1353" s="32">
        <f>IF(OR($B1353="",$AC1353="",$A1353="",$F1353=""),"",$B1353&amp;"|"&amp;$A1353&amp;"|"&amp;$F1353&amp;"|"&amp;$AC1353&amp;"|"&amp;COUNTIFS($B$6:$B1353,$B1353,$A$6:$A1353,$A1353,$F$6:$F1353,$F1353,$AC$6:$AC1353,$AC1353))</f>
        <v/>
      </c>
      <c r="AG1353" s="32">
        <f>IF($C1353="","",$C1353&amp;"|"&amp;COUNTIFS($C$6:$C1353,$C1353))</f>
        <v/>
      </c>
      <c r="AH1353" s="32">
        <f>IF(OR($C1353="",$A1353="",$AE1353=""),"",$C1353&amp;"|"&amp;$A1353&amp;"|"&amp;$AE1353)</f>
        <v/>
      </c>
      <c r="AI1353" s="32">
        <f>IF(OR($C1353="",$AE1353="",$AE1353=1),"",IFERROR(INDEX($AC$6:$AC$1505,MATCH($C1353&amp;"|"&amp;$A1353&amp;"|"&amp;($AE1353-1),$AH$6:$AH$1505,0)),""))</f>
        <v/>
      </c>
      <c r="AJ1353" s="32">
        <f>IF(OR($AI1353="",$AC1353=""),"",IF($AI1353=$AC1353,"ללא שינוי","מ-"&amp;$AI1353&amp;" ל-"&amp;$AC1353))</f>
        <v/>
      </c>
      <c r="AK1353" s="67" t="n"/>
    </row>
    <row r="1354">
      <c r="A1354" s="65" t="n"/>
      <c r="B1354" s="65" t="n"/>
      <c r="C1354" s="66" t="n"/>
      <c r="D1354" s="66" t="n"/>
      <c r="E1354" s="65" t="n"/>
      <c r="F1354" s="65" t="n"/>
      <c r="G1354" s="65" t="n"/>
      <c r="H1354" s="65" t="n"/>
      <c r="I1354" s="65" t="n"/>
      <c r="J1354" s="65" t="n"/>
      <c r="K1354" s="65" t="n"/>
      <c r="L1354" s="65" t="n"/>
      <c r="M1354" s="65" t="n"/>
      <c r="N1354" s="65" t="n"/>
      <c r="O1354" s="65" t="n"/>
      <c r="P1354" s="65" t="n"/>
      <c r="Q1354" s="65" t="n"/>
      <c r="R1354" s="65" t="n"/>
      <c r="S1354" s="65" t="n"/>
      <c r="T1354" s="65" t="n"/>
      <c r="U1354" s="65" t="n"/>
      <c r="V1354" s="65" t="n"/>
      <c r="W1354" s="65" t="n"/>
      <c r="X1354" s="65" t="n"/>
      <c r="Y1354" s="32">
        <f>IF($C1354="","",IF(COUNTA($I1354:$K1354)&lt;3,"— חסרים נתונים",IF(AND($I1354="תקין",$J1354="תקין",$K1354="תקין"),"רהוטה",IF(AND($I1354="תקין",$J1354="תקין"),"מדויקת ורציפה","אינה מדויקת או מקוטעת"))))</f>
        <v/>
      </c>
      <c r="Z1354" s="32">
        <f>IF($C1354="","",IF(COUNTA($U1354:$W1354)&lt;3,"",IF(AND($U1354="מפותח",$V1354="מפותח",$W1354="מפותחת"),"מפותחת",IF((--($U1354="דל"))+(--($V1354="אינו מפותח"))+(--($W1354="דלה"))&gt;=2,"אינה מפותחת","חלקית"))))</f>
        <v/>
      </c>
      <c r="AA1354" s="32">
        <f>IF($C1354="","",IF(COUNTA($M1354,$N1354,$O1354)&lt;3,"— חסרים נתונים",IF(OR($M1354="נמוכה",(--($M1354&lt;&gt;"תקינה"))+(--($N1354&lt;&gt;"תקין"))+(--($O1354&lt;&gt;"תקינה"))&gt;=2),"ניכרת","אינה ניכרת")))</f>
        <v/>
      </c>
      <c r="AB1354" s="32">
        <f>IF(OR($C1354="",$Y1354="",$AA1354="",LEFT($Y1354,1)="—",LEFT($AA1354,1)="—"),"",IF($Z1354="","— נדרשת הערכת כתיבה",IF($L1354="","— חסרה הבנת הנקרא",IF($Y1354="אינה מדויקת או מקוטעת",IF($AA1354="ניכרת","מיקוד בשטף הקריאה ובכישורי שפה","מיקוד בשטף קריאה"),IF($AA1354="ניכרת","מיקוד בכישורי שפה",IF(AND($L1354="תקינה",$Z1354="מפותחת"),"קוראים וכותבים מיומנים","מיקוד בהבנה והבעה"))))))</f>
        <v/>
      </c>
      <c r="AC1354" s="32">
        <f>IF(OR($AB1354="",LEFT($AB1354,1)="—"),"",IF(OR($AB1354="מיקוד בשטף קריאה",$AB1354="מיקוד בשטף הקריאה ובכישורי שפה"),"רמה א'",IF($AB1354="קוראים וכותבים מיומנים","רמה ג'","רמה ב'")))</f>
        <v/>
      </c>
      <c r="AD1354" s="32">
        <f>IF($AC1354="","",MID(IF(AND($AC1354="רמה א'",$AA1354="ניכרת"),"; להוסיף עבודת אוצר מילים","")&amp;IF($Z1354="אינה מפותחת","; דגש על הבעה בכתב","")&amp;IF($K1354&lt;&gt;"תקין","; נדרש לעבוד על ההנגנה","")&amp;IF($AK1354&lt;&gt;"","; "&amp;$AK1354,""),3,400))</f>
        <v/>
      </c>
      <c r="AE1354" s="32">
        <f>IF($F1354="","",IF($F1354="תחילת שנה",1,IF($F1354="מחצית שנה",2,3)))</f>
        <v/>
      </c>
      <c r="AF1354" s="32">
        <f>IF(OR($B1354="",$AC1354="",$A1354="",$F1354=""),"",$B1354&amp;"|"&amp;$A1354&amp;"|"&amp;$F1354&amp;"|"&amp;$AC1354&amp;"|"&amp;COUNTIFS($B$6:$B1354,$B1354,$A$6:$A1354,$A1354,$F$6:$F1354,$F1354,$AC$6:$AC1354,$AC1354))</f>
        <v/>
      </c>
      <c r="AG1354" s="32">
        <f>IF($C1354="","",$C1354&amp;"|"&amp;COUNTIFS($C$6:$C1354,$C1354))</f>
        <v/>
      </c>
      <c r="AH1354" s="32">
        <f>IF(OR($C1354="",$A1354="",$AE1354=""),"",$C1354&amp;"|"&amp;$A1354&amp;"|"&amp;$AE1354)</f>
        <v/>
      </c>
      <c r="AI1354" s="32">
        <f>IF(OR($C1354="",$AE1354="",$AE1354=1),"",IFERROR(INDEX($AC$6:$AC$1505,MATCH($C1354&amp;"|"&amp;$A1354&amp;"|"&amp;($AE1354-1),$AH$6:$AH$1505,0)),""))</f>
        <v/>
      </c>
      <c r="AJ1354" s="32">
        <f>IF(OR($AI1354="",$AC1354=""),"",IF($AI1354=$AC1354,"ללא שינוי","מ-"&amp;$AI1354&amp;" ל-"&amp;$AC1354))</f>
        <v/>
      </c>
      <c r="AK1354" s="67" t="n"/>
    </row>
    <row r="1355">
      <c r="A1355" s="65" t="n"/>
      <c r="B1355" s="65" t="n"/>
      <c r="C1355" s="66" t="n"/>
      <c r="D1355" s="66" t="n"/>
      <c r="E1355" s="65" t="n"/>
      <c r="F1355" s="65" t="n"/>
      <c r="G1355" s="65" t="n"/>
      <c r="H1355" s="65" t="n"/>
      <c r="I1355" s="65" t="n"/>
      <c r="J1355" s="65" t="n"/>
      <c r="K1355" s="65" t="n"/>
      <c r="L1355" s="65" t="n"/>
      <c r="M1355" s="65" t="n"/>
      <c r="N1355" s="65" t="n"/>
      <c r="O1355" s="65" t="n"/>
      <c r="P1355" s="65" t="n"/>
      <c r="Q1355" s="65" t="n"/>
      <c r="R1355" s="65" t="n"/>
      <c r="S1355" s="65" t="n"/>
      <c r="T1355" s="65" t="n"/>
      <c r="U1355" s="65" t="n"/>
      <c r="V1355" s="65" t="n"/>
      <c r="W1355" s="65" t="n"/>
      <c r="X1355" s="65" t="n"/>
      <c r="Y1355" s="32">
        <f>IF($C1355="","",IF(COUNTA($I1355:$K1355)&lt;3,"— חסרים נתונים",IF(AND($I1355="תקין",$J1355="תקין",$K1355="תקין"),"רהוטה",IF(AND($I1355="תקין",$J1355="תקין"),"מדויקת ורציפה","אינה מדויקת או מקוטעת"))))</f>
        <v/>
      </c>
      <c r="Z1355" s="32">
        <f>IF($C1355="","",IF(COUNTA($U1355:$W1355)&lt;3,"",IF(AND($U1355="מפותח",$V1355="מפותח",$W1355="מפותחת"),"מפותחת",IF((--($U1355="דל"))+(--($V1355="אינו מפותח"))+(--($W1355="דלה"))&gt;=2,"אינה מפותחת","חלקית"))))</f>
        <v/>
      </c>
      <c r="AA1355" s="32">
        <f>IF($C1355="","",IF(COUNTA($M1355,$N1355,$O1355)&lt;3,"— חסרים נתונים",IF(OR($M1355="נמוכה",(--($M1355&lt;&gt;"תקינה"))+(--($N1355&lt;&gt;"תקין"))+(--($O1355&lt;&gt;"תקינה"))&gt;=2),"ניכרת","אינה ניכרת")))</f>
        <v/>
      </c>
      <c r="AB1355" s="32">
        <f>IF(OR($C1355="",$Y1355="",$AA1355="",LEFT($Y1355,1)="—",LEFT($AA1355,1)="—"),"",IF($Z1355="","— נדרשת הערכת כתיבה",IF($L1355="","— חסרה הבנת הנקרא",IF($Y1355="אינה מדויקת או מקוטעת",IF($AA1355="ניכרת","מיקוד בשטף הקריאה ובכישורי שפה","מיקוד בשטף קריאה"),IF($AA1355="ניכרת","מיקוד בכישורי שפה",IF(AND($L1355="תקינה",$Z1355="מפותחת"),"קוראים וכותבים מיומנים","מיקוד בהבנה והבעה"))))))</f>
        <v/>
      </c>
      <c r="AC1355" s="32">
        <f>IF(OR($AB1355="",LEFT($AB1355,1)="—"),"",IF(OR($AB1355="מיקוד בשטף קריאה",$AB1355="מיקוד בשטף הקריאה ובכישורי שפה"),"רמה א'",IF($AB1355="קוראים וכותבים מיומנים","רמה ג'","רמה ב'")))</f>
        <v/>
      </c>
      <c r="AD1355" s="32">
        <f>IF($AC1355="","",MID(IF(AND($AC1355="רמה א'",$AA1355="ניכרת"),"; להוסיף עבודת אוצר מילים","")&amp;IF($Z1355="אינה מפותחת","; דגש על הבעה בכתב","")&amp;IF($K1355&lt;&gt;"תקין","; נדרש לעבוד על ההנגנה","")&amp;IF($AK1355&lt;&gt;"","; "&amp;$AK1355,""),3,400))</f>
        <v/>
      </c>
      <c r="AE1355" s="32">
        <f>IF($F1355="","",IF($F1355="תחילת שנה",1,IF($F1355="מחצית שנה",2,3)))</f>
        <v/>
      </c>
      <c r="AF1355" s="32">
        <f>IF(OR($B1355="",$AC1355="",$A1355="",$F1355=""),"",$B1355&amp;"|"&amp;$A1355&amp;"|"&amp;$F1355&amp;"|"&amp;$AC1355&amp;"|"&amp;COUNTIFS($B$6:$B1355,$B1355,$A$6:$A1355,$A1355,$F$6:$F1355,$F1355,$AC$6:$AC1355,$AC1355))</f>
        <v/>
      </c>
      <c r="AG1355" s="32">
        <f>IF($C1355="","",$C1355&amp;"|"&amp;COUNTIFS($C$6:$C1355,$C1355))</f>
        <v/>
      </c>
      <c r="AH1355" s="32">
        <f>IF(OR($C1355="",$A1355="",$AE1355=""),"",$C1355&amp;"|"&amp;$A1355&amp;"|"&amp;$AE1355)</f>
        <v/>
      </c>
      <c r="AI1355" s="32">
        <f>IF(OR($C1355="",$AE1355="",$AE1355=1),"",IFERROR(INDEX($AC$6:$AC$1505,MATCH($C1355&amp;"|"&amp;$A1355&amp;"|"&amp;($AE1355-1),$AH$6:$AH$1505,0)),""))</f>
        <v/>
      </c>
      <c r="AJ1355" s="32">
        <f>IF(OR($AI1355="",$AC1355=""),"",IF($AI1355=$AC1355,"ללא שינוי","מ-"&amp;$AI1355&amp;" ל-"&amp;$AC1355))</f>
        <v/>
      </c>
      <c r="AK1355" s="67" t="n"/>
    </row>
    <row r="1356">
      <c r="A1356" s="65" t="n"/>
      <c r="B1356" s="65" t="n"/>
      <c r="C1356" s="66" t="n"/>
      <c r="D1356" s="66" t="n"/>
      <c r="E1356" s="65" t="n"/>
      <c r="F1356" s="65" t="n"/>
      <c r="G1356" s="65" t="n"/>
      <c r="H1356" s="65" t="n"/>
      <c r="I1356" s="65" t="n"/>
      <c r="J1356" s="65" t="n"/>
      <c r="K1356" s="65" t="n"/>
      <c r="L1356" s="65" t="n"/>
      <c r="M1356" s="65" t="n"/>
      <c r="N1356" s="65" t="n"/>
      <c r="O1356" s="65" t="n"/>
      <c r="P1356" s="65" t="n"/>
      <c r="Q1356" s="65" t="n"/>
      <c r="R1356" s="65" t="n"/>
      <c r="S1356" s="65" t="n"/>
      <c r="T1356" s="65" t="n"/>
      <c r="U1356" s="65" t="n"/>
      <c r="V1356" s="65" t="n"/>
      <c r="W1356" s="65" t="n"/>
      <c r="X1356" s="65" t="n"/>
      <c r="Y1356" s="32">
        <f>IF($C1356="","",IF(COUNTA($I1356:$K1356)&lt;3,"— חסרים נתונים",IF(AND($I1356="תקין",$J1356="תקין",$K1356="תקין"),"רהוטה",IF(AND($I1356="תקין",$J1356="תקין"),"מדויקת ורציפה","אינה מדויקת או מקוטעת"))))</f>
        <v/>
      </c>
      <c r="Z1356" s="32">
        <f>IF($C1356="","",IF(COUNTA($U1356:$W1356)&lt;3,"",IF(AND($U1356="מפותח",$V1356="מפותח",$W1356="מפותחת"),"מפותחת",IF((--($U1356="דל"))+(--($V1356="אינו מפותח"))+(--($W1356="דלה"))&gt;=2,"אינה מפותחת","חלקית"))))</f>
        <v/>
      </c>
      <c r="AA1356" s="32">
        <f>IF($C1356="","",IF(COUNTA($M1356,$N1356,$O1356)&lt;3,"— חסרים נתונים",IF(OR($M1356="נמוכה",(--($M1356&lt;&gt;"תקינה"))+(--($N1356&lt;&gt;"תקין"))+(--($O1356&lt;&gt;"תקינה"))&gt;=2),"ניכרת","אינה ניכרת")))</f>
        <v/>
      </c>
      <c r="AB1356" s="32">
        <f>IF(OR($C1356="",$Y1356="",$AA1356="",LEFT($Y1356,1)="—",LEFT($AA1356,1)="—"),"",IF($Z1356="","— נדרשת הערכת כתיבה",IF($L1356="","— חסרה הבנת הנקרא",IF($Y1356="אינה מדויקת או מקוטעת",IF($AA1356="ניכרת","מיקוד בשטף הקריאה ובכישורי שפה","מיקוד בשטף קריאה"),IF($AA1356="ניכרת","מיקוד בכישורי שפה",IF(AND($L1356="תקינה",$Z1356="מפותחת"),"קוראים וכותבים מיומנים","מיקוד בהבנה והבעה"))))))</f>
        <v/>
      </c>
      <c r="AC1356" s="32">
        <f>IF(OR($AB1356="",LEFT($AB1356,1)="—"),"",IF(OR($AB1356="מיקוד בשטף קריאה",$AB1356="מיקוד בשטף הקריאה ובכישורי שפה"),"רמה א'",IF($AB1356="קוראים וכותבים מיומנים","רמה ג'","רמה ב'")))</f>
        <v/>
      </c>
      <c r="AD1356" s="32">
        <f>IF($AC1356="","",MID(IF(AND($AC1356="רמה א'",$AA1356="ניכרת"),"; להוסיף עבודת אוצר מילים","")&amp;IF($Z1356="אינה מפותחת","; דגש על הבעה בכתב","")&amp;IF($K1356&lt;&gt;"תקין","; נדרש לעבוד על ההנגנה","")&amp;IF($AK1356&lt;&gt;"","; "&amp;$AK1356,""),3,400))</f>
        <v/>
      </c>
      <c r="AE1356" s="32">
        <f>IF($F1356="","",IF($F1356="תחילת שנה",1,IF($F1356="מחצית שנה",2,3)))</f>
        <v/>
      </c>
      <c r="AF1356" s="32">
        <f>IF(OR($B1356="",$AC1356="",$A1356="",$F1356=""),"",$B1356&amp;"|"&amp;$A1356&amp;"|"&amp;$F1356&amp;"|"&amp;$AC1356&amp;"|"&amp;COUNTIFS($B$6:$B1356,$B1356,$A$6:$A1356,$A1356,$F$6:$F1356,$F1356,$AC$6:$AC1356,$AC1356))</f>
        <v/>
      </c>
      <c r="AG1356" s="32">
        <f>IF($C1356="","",$C1356&amp;"|"&amp;COUNTIFS($C$6:$C1356,$C1356))</f>
        <v/>
      </c>
      <c r="AH1356" s="32">
        <f>IF(OR($C1356="",$A1356="",$AE1356=""),"",$C1356&amp;"|"&amp;$A1356&amp;"|"&amp;$AE1356)</f>
        <v/>
      </c>
      <c r="AI1356" s="32">
        <f>IF(OR($C1356="",$AE1356="",$AE1356=1),"",IFERROR(INDEX($AC$6:$AC$1505,MATCH($C1356&amp;"|"&amp;$A1356&amp;"|"&amp;($AE1356-1),$AH$6:$AH$1505,0)),""))</f>
        <v/>
      </c>
      <c r="AJ1356" s="32">
        <f>IF(OR($AI1356="",$AC1356=""),"",IF($AI1356=$AC1356,"ללא שינוי","מ-"&amp;$AI1356&amp;" ל-"&amp;$AC1356))</f>
        <v/>
      </c>
      <c r="AK1356" s="67" t="n"/>
    </row>
    <row r="1357">
      <c r="A1357" s="65" t="n"/>
      <c r="B1357" s="65" t="n"/>
      <c r="C1357" s="66" t="n"/>
      <c r="D1357" s="66" t="n"/>
      <c r="E1357" s="65" t="n"/>
      <c r="F1357" s="65" t="n"/>
      <c r="G1357" s="65" t="n"/>
      <c r="H1357" s="65" t="n"/>
      <c r="I1357" s="65" t="n"/>
      <c r="J1357" s="65" t="n"/>
      <c r="K1357" s="65" t="n"/>
      <c r="L1357" s="65" t="n"/>
      <c r="M1357" s="65" t="n"/>
      <c r="N1357" s="65" t="n"/>
      <c r="O1357" s="65" t="n"/>
      <c r="P1357" s="65" t="n"/>
      <c r="Q1357" s="65" t="n"/>
      <c r="R1357" s="65" t="n"/>
      <c r="S1357" s="65" t="n"/>
      <c r="T1357" s="65" t="n"/>
      <c r="U1357" s="65" t="n"/>
      <c r="V1357" s="65" t="n"/>
      <c r="W1357" s="65" t="n"/>
      <c r="X1357" s="65" t="n"/>
      <c r="Y1357" s="32">
        <f>IF($C1357="","",IF(COUNTA($I1357:$K1357)&lt;3,"— חסרים נתונים",IF(AND($I1357="תקין",$J1357="תקין",$K1357="תקין"),"רהוטה",IF(AND($I1357="תקין",$J1357="תקין"),"מדויקת ורציפה","אינה מדויקת או מקוטעת"))))</f>
        <v/>
      </c>
      <c r="Z1357" s="32">
        <f>IF($C1357="","",IF(COUNTA($U1357:$W1357)&lt;3,"",IF(AND($U1357="מפותח",$V1357="מפותח",$W1357="מפותחת"),"מפותחת",IF((--($U1357="דל"))+(--($V1357="אינו מפותח"))+(--($W1357="דלה"))&gt;=2,"אינה מפותחת","חלקית"))))</f>
        <v/>
      </c>
      <c r="AA1357" s="32">
        <f>IF($C1357="","",IF(COUNTA($M1357,$N1357,$O1357)&lt;3,"— חסרים נתונים",IF(OR($M1357="נמוכה",(--($M1357&lt;&gt;"תקינה"))+(--($N1357&lt;&gt;"תקין"))+(--($O1357&lt;&gt;"תקינה"))&gt;=2),"ניכרת","אינה ניכרת")))</f>
        <v/>
      </c>
      <c r="AB1357" s="32">
        <f>IF(OR($C1357="",$Y1357="",$AA1357="",LEFT($Y1357,1)="—",LEFT($AA1357,1)="—"),"",IF($Z1357="","— נדרשת הערכת כתיבה",IF($L1357="","— חסרה הבנת הנקרא",IF($Y1357="אינה מדויקת או מקוטעת",IF($AA1357="ניכרת","מיקוד בשטף הקריאה ובכישורי שפה","מיקוד בשטף קריאה"),IF($AA1357="ניכרת","מיקוד בכישורי שפה",IF(AND($L1357="תקינה",$Z1357="מפותחת"),"קוראים וכותבים מיומנים","מיקוד בהבנה והבעה"))))))</f>
        <v/>
      </c>
      <c r="AC1357" s="32">
        <f>IF(OR($AB1357="",LEFT($AB1357,1)="—"),"",IF(OR($AB1357="מיקוד בשטף קריאה",$AB1357="מיקוד בשטף הקריאה ובכישורי שפה"),"רמה א'",IF($AB1357="קוראים וכותבים מיומנים","רמה ג'","רמה ב'")))</f>
        <v/>
      </c>
      <c r="AD1357" s="32">
        <f>IF($AC1357="","",MID(IF(AND($AC1357="רמה א'",$AA1357="ניכרת"),"; להוסיף עבודת אוצר מילים","")&amp;IF($Z1357="אינה מפותחת","; דגש על הבעה בכתב","")&amp;IF($K1357&lt;&gt;"תקין","; נדרש לעבוד על ההנגנה","")&amp;IF($AK1357&lt;&gt;"","; "&amp;$AK1357,""),3,400))</f>
        <v/>
      </c>
      <c r="AE1357" s="32">
        <f>IF($F1357="","",IF($F1357="תחילת שנה",1,IF($F1357="מחצית שנה",2,3)))</f>
        <v/>
      </c>
      <c r="AF1357" s="32">
        <f>IF(OR($B1357="",$AC1357="",$A1357="",$F1357=""),"",$B1357&amp;"|"&amp;$A1357&amp;"|"&amp;$F1357&amp;"|"&amp;$AC1357&amp;"|"&amp;COUNTIFS($B$6:$B1357,$B1357,$A$6:$A1357,$A1357,$F$6:$F1357,$F1357,$AC$6:$AC1357,$AC1357))</f>
        <v/>
      </c>
      <c r="AG1357" s="32">
        <f>IF($C1357="","",$C1357&amp;"|"&amp;COUNTIFS($C$6:$C1357,$C1357))</f>
        <v/>
      </c>
      <c r="AH1357" s="32">
        <f>IF(OR($C1357="",$A1357="",$AE1357=""),"",$C1357&amp;"|"&amp;$A1357&amp;"|"&amp;$AE1357)</f>
        <v/>
      </c>
      <c r="AI1357" s="32">
        <f>IF(OR($C1357="",$AE1357="",$AE1357=1),"",IFERROR(INDEX($AC$6:$AC$1505,MATCH($C1357&amp;"|"&amp;$A1357&amp;"|"&amp;($AE1357-1),$AH$6:$AH$1505,0)),""))</f>
        <v/>
      </c>
      <c r="AJ1357" s="32">
        <f>IF(OR($AI1357="",$AC1357=""),"",IF($AI1357=$AC1357,"ללא שינוי","מ-"&amp;$AI1357&amp;" ל-"&amp;$AC1357))</f>
        <v/>
      </c>
      <c r="AK1357" s="67" t="n"/>
    </row>
    <row r="1358">
      <c r="A1358" s="65" t="n"/>
      <c r="B1358" s="65" t="n"/>
      <c r="C1358" s="66" t="n"/>
      <c r="D1358" s="66" t="n"/>
      <c r="E1358" s="65" t="n"/>
      <c r="F1358" s="65" t="n"/>
      <c r="G1358" s="65" t="n"/>
      <c r="H1358" s="65" t="n"/>
      <c r="I1358" s="65" t="n"/>
      <c r="J1358" s="65" t="n"/>
      <c r="K1358" s="65" t="n"/>
      <c r="L1358" s="65" t="n"/>
      <c r="M1358" s="65" t="n"/>
      <c r="N1358" s="65" t="n"/>
      <c r="O1358" s="65" t="n"/>
      <c r="P1358" s="65" t="n"/>
      <c r="Q1358" s="65" t="n"/>
      <c r="R1358" s="65" t="n"/>
      <c r="S1358" s="65" t="n"/>
      <c r="T1358" s="65" t="n"/>
      <c r="U1358" s="65" t="n"/>
      <c r="V1358" s="65" t="n"/>
      <c r="W1358" s="65" t="n"/>
      <c r="X1358" s="65" t="n"/>
      <c r="Y1358" s="32">
        <f>IF($C1358="","",IF(COUNTA($I1358:$K1358)&lt;3,"— חסרים נתונים",IF(AND($I1358="תקין",$J1358="תקין",$K1358="תקין"),"רהוטה",IF(AND($I1358="תקין",$J1358="תקין"),"מדויקת ורציפה","אינה מדויקת או מקוטעת"))))</f>
        <v/>
      </c>
      <c r="Z1358" s="32">
        <f>IF($C1358="","",IF(COUNTA($U1358:$W1358)&lt;3,"",IF(AND($U1358="מפותח",$V1358="מפותח",$W1358="מפותחת"),"מפותחת",IF((--($U1358="דל"))+(--($V1358="אינו מפותח"))+(--($W1358="דלה"))&gt;=2,"אינה מפותחת","חלקית"))))</f>
        <v/>
      </c>
      <c r="AA1358" s="32">
        <f>IF($C1358="","",IF(COUNTA($M1358,$N1358,$O1358)&lt;3,"— חסרים נתונים",IF(OR($M1358="נמוכה",(--($M1358&lt;&gt;"תקינה"))+(--($N1358&lt;&gt;"תקין"))+(--($O1358&lt;&gt;"תקינה"))&gt;=2),"ניכרת","אינה ניכרת")))</f>
        <v/>
      </c>
      <c r="AB1358" s="32">
        <f>IF(OR($C1358="",$Y1358="",$AA1358="",LEFT($Y1358,1)="—",LEFT($AA1358,1)="—"),"",IF($Z1358="","— נדרשת הערכת כתיבה",IF($L1358="","— חסרה הבנת הנקרא",IF($Y1358="אינה מדויקת או מקוטעת",IF($AA1358="ניכרת","מיקוד בשטף הקריאה ובכישורי שפה","מיקוד בשטף קריאה"),IF($AA1358="ניכרת","מיקוד בכישורי שפה",IF(AND($L1358="תקינה",$Z1358="מפותחת"),"קוראים וכותבים מיומנים","מיקוד בהבנה והבעה"))))))</f>
        <v/>
      </c>
      <c r="AC1358" s="32">
        <f>IF(OR($AB1358="",LEFT($AB1358,1)="—"),"",IF(OR($AB1358="מיקוד בשטף קריאה",$AB1358="מיקוד בשטף הקריאה ובכישורי שפה"),"רמה א'",IF($AB1358="קוראים וכותבים מיומנים","רמה ג'","רמה ב'")))</f>
        <v/>
      </c>
      <c r="AD1358" s="32">
        <f>IF($AC1358="","",MID(IF(AND($AC1358="רמה א'",$AA1358="ניכרת"),"; להוסיף עבודת אוצר מילים","")&amp;IF($Z1358="אינה מפותחת","; דגש על הבעה בכתב","")&amp;IF($K1358&lt;&gt;"תקין","; נדרש לעבוד על ההנגנה","")&amp;IF($AK1358&lt;&gt;"","; "&amp;$AK1358,""),3,400))</f>
        <v/>
      </c>
      <c r="AE1358" s="32">
        <f>IF($F1358="","",IF($F1358="תחילת שנה",1,IF($F1358="מחצית שנה",2,3)))</f>
        <v/>
      </c>
      <c r="AF1358" s="32">
        <f>IF(OR($B1358="",$AC1358="",$A1358="",$F1358=""),"",$B1358&amp;"|"&amp;$A1358&amp;"|"&amp;$F1358&amp;"|"&amp;$AC1358&amp;"|"&amp;COUNTIFS($B$6:$B1358,$B1358,$A$6:$A1358,$A1358,$F$6:$F1358,$F1358,$AC$6:$AC1358,$AC1358))</f>
        <v/>
      </c>
      <c r="AG1358" s="32">
        <f>IF($C1358="","",$C1358&amp;"|"&amp;COUNTIFS($C$6:$C1358,$C1358))</f>
        <v/>
      </c>
      <c r="AH1358" s="32">
        <f>IF(OR($C1358="",$A1358="",$AE1358=""),"",$C1358&amp;"|"&amp;$A1358&amp;"|"&amp;$AE1358)</f>
        <v/>
      </c>
      <c r="AI1358" s="32">
        <f>IF(OR($C1358="",$AE1358="",$AE1358=1),"",IFERROR(INDEX($AC$6:$AC$1505,MATCH($C1358&amp;"|"&amp;$A1358&amp;"|"&amp;($AE1358-1),$AH$6:$AH$1505,0)),""))</f>
        <v/>
      </c>
      <c r="AJ1358" s="32">
        <f>IF(OR($AI1358="",$AC1358=""),"",IF($AI1358=$AC1358,"ללא שינוי","מ-"&amp;$AI1358&amp;" ל-"&amp;$AC1358))</f>
        <v/>
      </c>
      <c r="AK1358" s="67" t="n"/>
    </row>
    <row r="1359">
      <c r="A1359" s="65" t="n"/>
      <c r="B1359" s="65" t="n"/>
      <c r="C1359" s="66" t="n"/>
      <c r="D1359" s="66" t="n"/>
      <c r="E1359" s="65" t="n"/>
      <c r="F1359" s="65" t="n"/>
      <c r="G1359" s="65" t="n"/>
      <c r="H1359" s="65" t="n"/>
      <c r="I1359" s="65" t="n"/>
      <c r="J1359" s="65" t="n"/>
      <c r="K1359" s="65" t="n"/>
      <c r="L1359" s="65" t="n"/>
      <c r="M1359" s="65" t="n"/>
      <c r="N1359" s="65" t="n"/>
      <c r="O1359" s="65" t="n"/>
      <c r="P1359" s="65" t="n"/>
      <c r="Q1359" s="65" t="n"/>
      <c r="R1359" s="65" t="n"/>
      <c r="S1359" s="65" t="n"/>
      <c r="T1359" s="65" t="n"/>
      <c r="U1359" s="65" t="n"/>
      <c r="V1359" s="65" t="n"/>
      <c r="W1359" s="65" t="n"/>
      <c r="X1359" s="65" t="n"/>
      <c r="Y1359" s="32">
        <f>IF($C1359="","",IF(COUNTA($I1359:$K1359)&lt;3,"— חסרים נתונים",IF(AND($I1359="תקין",$J1359="תקין",$K1359="תקין"),"רהוטה",IF(AND($I1359="תקין",$J1359="תקין"),"מדויקת ורציפה","אינה מדויקת או מקוטעת"))))</f>
        <v/>
      </c>
      <c r="Z1359" s="32">
        <f>IF($C1359="","",IF(COUNTA($U1359:$W1359)&lt;3,"",IF(AND($U1359="מפותח",$V1359="מפותח",$W1359="מפותחת"),"מפותחת",IF((--($U1359="דל"))+(--($V1359="אינו מפותח"))+(--($W1359="דלה"))&gt;=2,"אינה מפותחת","חלקית"))))</f>
        <v/>
      </c>
      <c r="AA1359" s="32">
        <f>IF($C1359="","",IF(COUNTA($M1359,$N1359,$O1359)&lt;3,"— חסרים נתונים",IF(OR($M1359="נמוכה",(--($M1359&lt;&gt;"תקינה"))+(--($N1359&lt;&gt;"תקין"))+(--($O1359&lt;&gt;"תקינה"))&gt;=2),"ניכרת","אינה ניכרת")))</f>
        <v/>
      </c>
      <c r="AB1359" s="32">
        <f>IF(OR($C1359="",$Y1359="",$AA1359="",LEFT($Y1359,1)="—",LEFT($AA1359,1)="—"),"",IF($Z1359="","— נדרשת הערכת כתיבה",IF($L1359="","— חסרה הבנת הנקרא",IF($Y1359="אינה מדויקת או מקוטעת",IF($AA1359="ניכרת","מיקוד בשטף הקריאה ובכישורי שפה","מיקוד בשטף קריאה"),IF($AA1359="ניכרת","מיקוד בכישורי שפה",IF(AND($L1359="תקינה",$Z1359="מפותחת"),"קוראים וכותבים מיומנים","מיקוד בהבנה והבעה"))))))</f>
        <v/>
      </c>
      <c r="AC1359" s="32">
        <f>IF(OR($AB1359="",LEFT($AB1359,1)="—"),"",IF(OR($AB1359="מיקוד בשטף קריאה",$AB1359="מיקוד בשטף הקריאה ובכישורי שפה"),"רמה א'",IF($AB1359="קוראים וכותבים מיומנים","רמה ג'","רמה ב'")))</f>
        <v/>
      </c>
      <c r="AD1359" s="32">
        <f>IF($AC1359="","",MID(IF(AND($AC1359="רמה א'",$AA1359="ניכרת"),"; להוסיף עבודת אוצר מילים","")&amp;IF($Z1359="אינה מפותחת","; דגש על הבעה בכתב","")&amp;IF($K1359&lt;&gt;"תקין","; נדרש לעבוד על ההנגנה","")&amp;IF($AK1359&lt;&gt;"","; "&amp;$AK1359,""),3,400))</f>
        <v/>
      </c>
      <c r="AE1359" s="32">
        <f>IF($F1359="","",IF($F1359="תחילת שנה",1,IF($F1359="מחצית שנה",2,3)))</f>
        <v/>
      </c>
      <c r="AF1359" s="32">
        <f>IF(OR($B1359="",$AC1359="",$A1359="",$F1359=""),"",$B1359&amp;"|"&amp;$A1359&amp;"|"&amp;$F1359&amp;"|"&amp;$AC1359&amp;"|"&amp;COUNTIFS($B$6:$B1359,$B1359,$A$6:$A1359,$A1359,$F$6:$F1359,$F1359,$AC$6:$AC1359,$AC1359))</f>
        <v/>
      </c>
      <c r="AG1359" s="32">
        <f>IF($C1359="","",$C1359&amp;"|"&amp;COUNTIFS($C$6:$C1359,$C1359))</f>
        <v/>
      </c>
      <c r="AH1359" s="32">
        <f>IF(OR($C1359="",$A1359="",$AE1359=""),"",$C1359&amp;"|"&amp;$A1359&amp;"|"&amp;$AE1359)</f>
        <v/>
      </c>
      <c r="AI1359" s="32">
        <f>IF(OR($C1359="",$AE1359="",$AE1359=1),"",IFERROR(INDEX($AC$6:$AC$1505,MATCH($C1359&amp;"|"&amp;$A1359&amp;"|"&amp;($AE1359-1),$AH$6:$AH$1505,0)),""))</f>
        <v/>
      </c>
      <c r="AJ1359" s="32">
        <f>IF(OR($AI1359="",$AC1359=""),"",IF($AI1359=$AC1359,"ללא שינוי","מ-"&amp;$AI1359&amp;" ל-"&amp;$AC1359))</f>
        <v/>
      </c>
      <c r="AK1359" s="67" t="n"/>
    </row>
    <row r="1360">
      <c r="A1360" s="65" t="n"/>
      <c r="B1360" s="65" t="n"/>
      <c r="C1360" s="66" t="n"/>
      <c r="D1360" s="66" t="n"/>
      <c r="E1360" s="65" t="n"/>
      <c r="F1360" s="65" t="n"/>
      <c r="G1360" s="65" t="n"/>
      <c r="H1360" s="65" t="n"/>
      <c r="I1360" s="65" t="n"/>
      <c r="J1360" s="65" t="n"/>
      <c r="K1360" s="65" t="n"/>
      <c r="L1360" s="65" t="n"/>
      <c r="M1360" s="65" t="n"/>
      <c r="N1360" s="65" t="n"/>
      <c r="O1360" s="65" t="n"/>
      <c r="P1360" s="65" t="n"/>
      <c r="Q1360" s="65" t="n"/>
      <c r="R1360" s="65" t="n"/>
      <c r="S1360" s="65" t="n"/>
      <c r="T1360" s="65" t="n"/>
      <c r="U1360" s="65" t="n"/>
      <c r="V1360" s="65" t="n"/>
      <c r="W1360" s="65" t="n"/>
      <c r="X1360" s="65" t="n"/>
      <c r="Y1360" s="32">
        <f>IF($C1360="","",IF(COUNTA($I1360:$K1360)&lt;3,"— חסרים נתונים",IF(AND($I1360="תקין",$J1360="תקין",$K1360="תקין"),"רהוטה",IF(AND($I1360="תקין",$J1360="תקין"),"מדויקת ורציפה","אינה מדויקת או מקוטעת"))))</f>
        <v/>
      </c>
      <c r="Z1360" s="32">
        <f>IF($C1360="","",IF(COUNTA($U1360:$W1360)&lt;3,"",IF(AND($U1360="מפותח",$V1360="מפותח",$W1360="מפותחת"),"מפותחת",IF((--($U1360="דל"))+(--($V1360="אינו מפותח"))+(--($W1360="דלה"))&gt;=2,"אינה מפותחת","חלקית"))))</f>
        <v/>
      </c>
      <c r="AA1360" s="32">
        <f>IF($C1360="","",IF(COUNTA($M1360,$N1360,$O1360)&lt;3,"— חסרים נתונים",IF(OR($M1360="נמוכה",(--($M1360&lt;&gt;"תקינה"))+(--($N1360&lt;&gt;"תקין"))+(--($O1360&lt;&gt;"תקינה"))&gt;=2),"ניכרת","אינה ניכרת")))</f>
        <v/>
      </c>
      <c r="AB1360" s="32">
        <f>IF(OR($C1360="",$Y1360="",$AA1360="",LEFT($Y1360,1)="—",LEFT($AA1360,1)="—"),"",IF($Z1360="","— נדרשת הערכת כתיבה",IF($L1360="","— חסרה הבנת הנקרא",IF($Y1360="אינה מדויקת או מקוטעת",IF($AA1360="ניכרת","מיקוד בשטף הקריאה ובכישורי שפה","מיקוד בשטף קריאה"),IF($AA1360="ניכרת","מיקוד בכישורי שפה",IF(AND($L1360="תקינה",$Z1360="מפותחת"),"קוראים וכותבים מיומנים","מיקוד בהבנה והבעה"))))))</f>
        <v/>
      </c>
      <c r="AC1360" s="32">
        <f>IF(OR($AB1360="",LEFT($AB1360,1)="—"),"",IF(OR($AB1360="מיקוד בשטף קריאה",$AB1360="מיקוד בשטף הקריאה ובכישורי שפה"),"רמה א'",IF($AB1360="קוראים וכותבים מיומנים","רמה ג'","רמה ב'")))</f>
        <v/>
      </c>
      <c r="AD1360" s="32">
        <f>IF($AC1360="","",MID(IF(AND($AC1360="רמה א'",$AA1360="ניכרת"),"; להוסיף עבודת אוצר מילים","")&amp;IF($Z1360="אינה מפותחת","; דגש על הבעה בכתב","")&amp;IF($K1360&lt;&gt;"תקין","; נדרש לעבוד על ההנגנה","")&amp;IF($AK1360&lt;&gt;"","; "&amp;$AK1360,""),3,400))</f>
        <v/>
      </c>
      <c r="AE1360" s="32">
        <f>IF($F1360="","",IF($F1360="תחילת שנה",1,IF($F1360="מחצית שנה",2,3)))</f>
        <v/>
      </c>
      <c r="AF1360" s="32">
        <f>IF(OR($B1360="",$AC1360="",$A1360="",$F1360=""),"",$B1360&amp;"|"&amp;$A1360&amp;"|"&amp;$F1360&amp;"|"&amp;$AC1360&amp;"|"&amp;COUNTIFS($B$6:$B1360,$B1360,$A$6:$A1360,$A1360,$F$6:$F1360,$F1360,$AC$6:$AC1360,$AC1360))</f>
        <v/>
      </c>
      <c r="AG1360" s="32">
        <f>IF($C1360="","",$C1360&amp;"|"&amp;COUNTIFS($C$6:$C1360,$C1360))</f>
        <v/>
      </c>
      <c r="AH1360" s="32">
        <f>IF(OR($C1360="",$A1360="",$AE1360=""),"",$C1360&amp;"|"&amp;$A1360&amp;"|"&amp;$AE1360)</f>
        <v/>
      </c>
      <c r="AI1360" s="32">
        <f>IF(OR($C1360="",$AE1360="",$AE1360=1),"",IFERROR(INDEX($AC$6:$AC$1505,MATCH($C1360&amp;"|"&amp;$A1360&amp;"|"&amp;($AE1360-1),$AH$6:$AH$1505,0)),""))</f>
        <v/>
      </c>
      <c r="AJ1360" s="32">
        <f>IF(OR($AI1360="",$AC1360=""),"",IF($AI1360=$AC1360,"ללא שינוי","מ-"&amp;$AI1360&amp;" ל-"&amp;$AC1360))</f>
        <v/>
      </c>
      <c r="AK1360" s="67" t="n"/>
    </row>
    <row r="1361">
      <c r="A1361" s="65" t="n"/>
      <c r="B1361" s="65" t="n"/>
      <c r="C1361" s="66" t="n"/>
      <c r="D1361" s="66" t="n"/>
      <c r="E1361" s="65" t="n"/>
      <c r="F1361" s="65" t="n"/>
      <c r="G1361" s="65" t="n"/>
      <c r="H1361" s="65" t="n"/>
      <c r="I1361" s="65" t="n"/>
      <c r="J1361" s="65" t="n"/>
      <c r="K1361" s="65" t="n"/>
      <c r="L1361" s="65" t="n"/>
      <c r="M1361" s="65" t="n"/>
      <c r="N1361" s="65" t="n"/>
      <c r="O1361" s="65" t="n"/>
      <c r="P1361" s="65" t="n"/>
      <c r="Q1361" s="65" t="n"/>
      <c r="R1361" s="65" t="n"/>
      <c r="S1361" s="65" t="n"/>
      <c r="T1361" s="65" t="n"/>
      <c r="U1361" s="65" t="n"/>
      <c r="V1361" s="65" t="n"/>
      <c r="W1361" s="65" t="n"/>
      <c r="X1361" s="65" t="n"/>
      <c r="Y1361" s="32">
        <f>IF($C1361="","",IF(COUNTA($I1361:$K1361)&lt;3,"— חסרים נתונים",IF(AND($I1361="תקין",$J1361="תקין",$K1361="תקין"),"רהוטה",IF(AND($I1361="תקין",$J1361="תקין"),"מדויקת ורציפה","אינה מדויקת או מקוטעת"))))</f>
        <v/>
      </c>
      <c r="Z1361" s="32">
        <f>IF($C1361="","",IF(COUNTA($U1361:$W1361)&lt;3,"",IF(AND($U1361="מפותח",$V1361="מפותח",$W1361="מפותחת"),"מפותחת",IF((--($U1361="דל"))+(--($V1361="אינו מפותח"))+(--($W1361="דלה"))&gt;=2,"אינה מפותחת","חלקית"))))</f>
        <v/>
      </c>
      <c r="AA1361" s="32">
        <f>IF($C1361="","",IF(COUNTA($M1361,$N1361,$O1361)&lt;3,"— חסרים נתונים",IF(OR($M1361="נמוכה",(--($M1361&lt;&gt;"תקינה"))+(--($N1361&lt;&gt;"תקין"))+(--($O1361&lt;&gt;"תקינה"))&gt;=2),"ניכרת","אינה ניכרת")))</f>
        <v/>
      </c>
      <c r="AB1361" s="32">
        <f>IF(OR($C1361="",$Y1361="",$AA1361="",LEFT($Y1361,1)="—",LEFT($AA1361,1)="—"),"",IF($Z1361="","— נדרשת הערכת כתיבה",IF($L1361="","— חסרה הבנת הנקרא",IF($Y1361="אינה מדויקת או מקוטעת",IF($AA1361="ניכרת","מיקוד בשטף הקריאה ובכישורי שפה","מיקוד בשטף קריאה"),IF($AA1361="ניכרת","מיקוד בכישורי שפה",IF(AND($L1361="תקינה",$Z1361="מפותחת"),"קוראים וכותבים מיומנים","מיקוד בהבנה והבעה"))))))</f>
        <v/>
      </c>
      <c r="AC1361" s="32">
        <f>IF(OR($AB1361="",LEFT($AB1361,1)="—"),"",IF(OR($AB1361="מיקוד בשטף קריאה",$AB1361="מיקוד בשטף הקריאה ובכישורי שפה"),"רמה א'",IF($AB1361="קוראים וכותבים מיומנים","רמה ג'","רמה ב'")))</f>
        <v/>
      </c>
      <c r="AD1361" s="32">
        <f>IF($AC1361="","",MID(IF(AND($AC1361="רמה א'",$AA1361="ניכרת"),"; להוסיף עבודת אוצר מילים","")&amp;IF($Z1361="אינה מפותחת","; דגש על הבעה בכתב","")&amp;IF($K1361&lt;&gt;"תקין","; נדרש לעבוד על ההנגנה","")&amp;IF($AK1361&lt;&gt;"","; "&amp;$AK1361,""),3,400))</f>
        <v/>
      </c>
      <c r="AE1361" s="32">
        <f>IF($F1361="","",IF($F1361="תחילת שנה",1,IF($F1361="מחצית שנה",2,3)))</f>
        <v/>
      </c>
      <c r="AF1361" s="32">
        <f>IF(OR($B1361="",$AC1361="",$A1361="",$F1361=""),"",$B1361&amp;"|"&amp;$A1361&amp;"|"&amp;$F1361&amp;"|"&amp;$AC1361&amp;"|"&amp;COUNTIFS($B$6:$B1361,$B1361,$A$6:$A1361,$A1361,$F$6:$F1361,$F1361,$AC$6:$AC1361,$AC1361))</f>
        <v/>
      </c>
      <c r="AG1361" s="32">
        <f>IF($C1361="","",$C1361&amp;"|"&amp;COUNTIFS($C$6:$C1361,$C1361))</f>
        <v/>
      </c>
      <c r="AH1361" s="32">
        <f>IF(OR($C1361="",$A1361="",$AE1361=""),"",$C1361&amp;"|"&amp;$A1361&amp;"|"&amp;$AE1361)</f>
        <v/>
      </c>
      <c r="AI1361" s="32">
        <f>IF(OR($C1361="",$AE1361="",$AE1361=1),"",IFERROR(INDEX($AC$6:$AC$1505,MATCH($C1361&amp;"|"&amp;$A1361&amp;"|"&amp;($AE1361-1),$AH$6:$AH$1505,0)),""))</f>
        <v/>
      </c>
      <c r="AJ1361" s="32">
        <f>IF(OR($AI1361="",$AC1361=""),"",IF($AI1361=$AC1361,"ללא שינוי","מ-"&amp;$AI1361&amp;" ל-"&amp;$AC1361))</f>
        <v/>
      </c>
      <c r="AK1361" s="67" t="n"/>
    </row>
    <row r="1362">
      <c r="A1362" s="65" t="n"/>
      <c r="B1362" s="65" t="n"/>
      <c r="C1362" s="66" t="n"/>
      <c r="D1362" s="66" t="n"/>
      <c r="E1362" s="65" t="n"/>
      <c r="F1362" s="65" t="n"/>
      <c r="G1362" s="65" t="n"/>
      <c r="H1362" s="65" t="n"/>
      <c r="I1362" s="65" t="n"/>
      <c r="J1362" s="65" t="n"/>
      <c r="K1362" s="65" t="n"/>
      <c r="L1362" s="65" t="n"/>
      <c r="M1362" s="65" t="n"/>
      <c r="N1362" s="65" t="n"/>
      <c r="O1362" s="65" t="n"/>
      <c r="P1362" s="65" t="n"/>
      <c r="Q1362" s="65" t="n"/>
      <c r="R1362" s="65" t="n"/>
      <c r="S1362" s="65" t="n"/>
      <c r="T1362" s="65" t="n"/>
      <c r="U1362" s="65" t="n"/>
      <c r="V1362" s="65" t="n"/>
      <c r="W1362" s="65" t="n"/>
      <c r="X1362" s="65" t="n"/>
      <c r="Y1362" s="32">
        <f>IF($C1362="","",IF(COUNTA($I1362:$K1362)&lt;3,"— חסרים נתונים",IF(AND($I1362="תקין",$J1362="תקין",$K1362="תקין"),"רהוטה",IF(AND($I1362="תקין",$J1362="תקין"),"מדויקת ורציפה","אינה מדויקת או מקוטעת"))))</f>
        <v/>
      </c>
      <c r="Z1362" s="32">
        <f>IF($C1362="","",IF(COUNTA($U1362:$W1362)&lt;3,"",IF(AND($U1362="מפותח",$V1362="מפותח",$W1362="מפותחת"),"מפותחת",IF((--($U1362="דל"))+(--($V1362="אינו מפותח"))+(--($W1362="דלה"))&gt;=2,"אינה מפותחת","חלקית"))))</f>
        <v/>
      </c>
      <c r="AA1362" s="32">
        <f>IF($C1362="","",IF(COUNTA($M1362,$N1362,$O1362)&lt;3,"— חסרים נתונים",IF(OR($M1362="נמוכה",(--($M1362&lt;&gt;"תקינה"))+(--($N1362&lt;&gt;"תקין"))+(--($O1362&lt;&gt;"תקינה"))&gt;=2),"ניכרת","אינה ניכרת")))</f>
        <v/>
      </c>
      <c r="AB1362" s="32">
        <f>IF(OR($C1362="",$Y1362="",$AA1362="",LEFT($Y1362,1)="—",LEFT($AA1362,1)="—"),"",IF($Z1362="","— נדרשת הערכת כתיבה",IF($L1362="","— חסרה הבנת הנקרא",IF($Y1362="אינה מדויקת או מקוטעת",IF($AA1362="ניכרת","מיקוד בשטף הקריאה ובכישורי שפה","מיקוד בשטף קריאה"),IF($AA1362="ניכרת","מיקוד בכישורי שפה",IF(AND($L1362="תקינה",$Z1362="מפותחת"),"קוראים וכותבים מיומנים","מיקוד בהבנה והבעה"))))))</f>
        <v/>
      </c>
      <c r="AC1362" s="32">
        <f>IF(OR($AB1362="",LEFT($AB1362,1)="—"),"",IF(OR($AB1362="מיקוד בשטף קריאה",$AB1362="מיקוד בשטף הקריאה ובכישורי שפה"),"רמה א'",IF($AB1362="קוראים וכותבים מיומנים","רמה ג'","רמה ב'")))</f>
        <v/>
      </c>
      <c r="AD1362" s="32">
        <f>IF($AC1362="","",MID(IF(AND($AC1362="רמה א'",$AA1362="ניכרת"),"; להוסיף עבודת אוצר מילים","")&amp;IF($Z1362="אינה מפותחת","; דגש על הבעה בכתב","")&amp;IF($K1362&lt;&gt;"תקין","; נדרש לעבוד על ההנגנה","")&amp;IF($AK1362&lt;&gt;"","; "&amp;$AK1362,""),3,400))</f>
        <v/>
      </c>
      <c r="AE1362" s="32">
        <f>IF($F1362="","",IF($F1362="תחילת שנה",1,IF($F1362="מחצית שנה",2,3)))</f>
        <v/>
      </c>
      <c r="AF1362" s="32">
        <f>IF(OR($B1362="",$AC1362="",$A1362="",$F1362=""),"",$B1362&amp;"|"&amp;$A1362&amp;"|"&amp;$F1362&amp;"|"&amp;$AC1362&amp;"|"&amp;COUNTIFS($B$6:$B1362,$B1362,$A$6:$A1362,$A1362,$F$6:$F1362,$F1362,$AC$6:$AC1362,$AC1362))</f>
        <v/>
      </c>
      <c r="AG1362" s="32">
        <f>IF($C1362="","",$C1362&amp;"|"&amp;COUNTIFS($C$6:$C1362,$C1362))</f>
        <v/>
      </c>
      <c r="AH1362" s="32">
        <f>IF(OR($C1362="",$A1362="",$AE1362=""),"",$C1362&amp;"|"&amp;$A1362&amp;"|"&amp;$AE1362)</f>
        <v/>
      </c>
      <c r="AI1362" s="32">
        <f>IF(OR($C1362="",$AE1362="",$AE1362=1),"",IFERROR(INDEX($AC$6:$AC$1505,MATCH($C1362&amp;"|"&amp;$A1362&amp;"|"&amp;($AE1362-1),$AH$6:$AH$1505,0)),""))</f>
        <v/>
      </c>
      <c r="AJ1362" s="32">
        <f>IF(OR($AI1362="",$AC1362=""),"",IF($AI1362=$AC1362,"ללא שינוי","מ-"&amp;$AI1362&amp;" ל-"&amp;$AC1362))</f>
        <v/>
      </c>
      <c r="AK1362" s="67" t="n"/>
    </row>
    <row r="1363">
      <c r="A1363" s="65" t="n"/>
      <c r="B1363" s="65" t="n"/>
      <c r="C1363" s="66" t="n"/>
      <c r="D1363" s="66" t="n"/>
      <c r="E1363" s="65" t="n"/>
      <c r="F1363" s="65" t="n"/>
      <c r="G1363" s="65" t="n"/>
      <c r="H1363" s="65" t="n"/>
      <c r="I1363" s="65" t="n"/>
      <c r="J1363" s="65" t="n"/>
      <c r="K1363" s="65" t="n"/>
      <c r="L1363" s="65" t="n"/>
      <c r="M1363" s="65" t="n"/>
      <c r="N1363" s="65" t="n"/>
      <c r="O1363" s="65" t="n"/>
      <c r="P1363" s="65" t="n"/>
      <c r="Q1363" s="65" t="n"/>
      <c r="R1363" s="65" t="n"/>
      <c r="S1363" s="65" t="n"/>
      <c r="T1363" s="65" t="n"/>
      <c r="U1363" s="65" t="n"/>
      <c r="V1363" s="65" t="n"/>
      <c r="W1363" s="65" t="n"/>
      <c r="X1363" s="65" t="n"/>
      <c r="Y1363" s="32">
        <f>IF($C1363="","",IF(COUNTA($I1363:$K1363)&lt;3,"— חסרים נתונים",IF(AND($I1363="תקין",$J1363="תקין",$K1363="תקין"),"רהוטה",IF(AND($I1363="תקין",$J1363="תקין"),"מדויקת ורציפה","אינה מדויקת או מקוטעת"))))</f>
        <v/>
      </c>
      <c r="Z1363" s="32">
        <f>IF($C1363="","",IF(COUNTA($U1363:$W1363)&lt;3,"",IF(AND($U1363="מפותח",$V1363="מפותח",$W1363="מפותחת"),"מפותחת",IF((--($U1363="דל"))+(--($V1363="אינו מפותח"))+(--($W1363="דלה"))&gt;=2,"אינה מפותחת","חלקית"))))</f>
        <v/>
      </c>
      <c r="AA1363" s="32">
        <f>IF($C1363="","",IF(COUNTA($M1363,$N1363,$O1363)&lt;3,"— חסרים נתונים",IF(OR($M1363="נמוכה",(--($M1363&lt;&gt;"תקינה"))+(--($N1363&lt;&gt;"תקין"))+(--($O1363&lt;&gt;"תקינה"))&gt;=2),"ניכרת","אינה ניכרת")))</f>
        <v/>
      </c>
      <c r="AB1363" s="32">
        <f>IF(OR($C1363="",$Y1363="",$AA1363="",LEFT($Y1363,1)="—",LEFT($AA1363,1)="—"),"",IF($Z1363="","— נדרשת הערכת כתיבה",IF($L1363="","— חסרה הבנת הנקרא",IF($Y1363="אינה מדויקת או מקוטעת",IF($AA1363="ניכרת","מיקוד בשטף הקריאה ובכישורי שפה","מיקוד בשטף קריאה"),IF($AA1363="ניכרת","מיקוד בכישורי שפה",IF(AND($L1363="תקינה",$Z1363="מפותחת"),"קוראים וכותבים מיומנים","מיקוד בהבנה והבעה"))))))</f>
        <v/>
      </c>
      <c r="AC1363" s="32">
        <f>IF(OR($AB1363="",LEFT($AB1363,1)="—"),"",IF(OR($AB1363="מיקוד בשטף קריאה",$AB1363="מיקוד בשטף הקריאה ובכישורי שפה"),"רמה א'",IF($AB1363="קוראים וכותבים מיומנים","רמה ג'","רמה ב'")))</f>
        <v/>
      </c>
      <c r="AD1363" s="32">
        <f>IF($AC1363="","",MID(IF(AND($AC1363="רמה א'",$AA1363="ניכרת"),"; להוסיף עבודת אוצר מילים","")&amp;IF($Z1363="אינה מפותחת","; דגש על הבעה בכתב","")&amp;IF($K1363&lt;&gt;"תקין","; נדרש לעבוד על ההנגנה","")&amp;IF($AK1363&lt;&gt;"","; "&amp;$AK1363,""),3,400))</f>
        <v/>
      </c>
      <c r="AE1363" s="32">
        <f>IF($F1363="","",IF($F1363="תחילת שנה",1,IF($F1363="מחצית שנה",2,3)))</f>
        <v/>
      </c>
      <c r="AF1363" s="32">
        <f>IF(OR($B1363="",$AC1363="",$A1363="",$F1363=""),"",$B1363&amp;"|"&amp;$A1363&amp;"|"&amp;$F1363&amp;"|"&amp;$AC1363&amp;"|"&amp;COUNTIFS($B$6:$B1363,$B1363,$A$6:$A1363,$A1363,$F$6:$F1363,$F1363,$AC$6:$AC1363,$AC1363))</f>
        <v/>
      </c>
      <c r="AG1363" s="32">
        <f>IF($C1363="","",$C1363&amp;"|"&amp;COUNTIFS($C$6:$C1363,$C1363))</f>
        <v/>
      </c>
      <c r="AH1363" s="32">
        <f>IF(OR($C1363="",$A1363="",$AE1363=""),"",$C1363&amp;"|"&amp;$A1363&amp;"|"&amp;$AE1363)</f>
        <v/>
      </c>
      <c r="AI1363" s="32">
        <f>IF(OR($C1363="",$AE1363="",$AE1363=1),"",IFERROR(INDEX($AC$6:$AC$1505,MATCH($C1363&amp;"|"&amp;$A1363&amp;"|"&amp;($AE1363-1),$AH$6:$AH$1505,0)),""))</f>
        <v/>
      </c>
      <c r="AJ1363" s="32">
        <f>IF(OR($AI1363="",$AC1363=""),"",IF($AI1363=$AC1363,"ללא שינוי","מ-"&amp;$AI1363&amp;" ל-"&amp;$AC1363))</f>
        <v/>
      </c>
      <c r="AK1363" s="67" t="n"/>
    </row>
    <row r="1364">
      <c r="A1364" s="65" t="n"/>
      <c r="B1364" s="65" t="n"/>
      <c r="C1364" s="66" t="n"/>
      <c r="D1364" s="66" t="n"/>
      <c r="E1364" s="65" t="n"/>
      <c r="F1364" s="65" t="n"/>
      <c r="G1364" s="65" t="n"/>
      <c r="H1364" s="65" t="n"/>
      <c r="I1364" s="65" t="n"/>
      <c r="J1364" s="65" t="n"/>
      <c r="K1364" s="65" t="n"/>
      <c r="L1364" s="65" t="n"/>
      <c r="M1364" s="65" t="n"/>
      <c r="N1364" s="65" t="n"/>
      <c r="O1364" s="65" t="n"/>
      <c r="P1364" s="65" t="n"/>
      <c r="Q1364" s="65" t="n"/>
      <c r="R1364" s="65" t="n"/>
      <c r="S1364" s="65" t="n"/>
      <c r="T1364" s="65" t="n"/>
      <c r="U1364" s="65" t="n"/>
      <c r="V1364" s="65" t="n"/>
      <c r="W1364" s="65" t="n"/>
      <c r="X1364" s="65" t="n"/>
      <c r="Y1364" s="32">
        <f>IF($C1364="","",IF(COUNTA($I1364:$K1364)&lt;3,"— חסרים נתונים",IF(AND($I1364="תקין",$J1364="תקין",$K1364="תקין"),"רהוטה",IF(AND($I1364="תקין",$J1364="תקין"),"מדויקת ורציפה","אינה מדויקת או מקוטעת"))))</f>
        <v/>
      </c>
      <c r="Z1364" s="32">
        <f>IF($C1364="","",IF(COUNTA($U1364:$W1364)&lt;3,"",IF(AND($U1364="מפותח",$V1364="מפותח",$W1364="מפותחת"),"מפותחת",IF((--($U1364="דל"))+(--($V1364="אינו מפותח"))+(--($W1364="דלה"))&gt;=2,"אינה מפותחת","חלקית"))))</f>
        <v/>
      </c>
      <c r="AA1364" s="32">
        <f>IF($C1364="","",IF(COUNTA($M1364,$N1364,$O1364)&lt;3,"— חסרים נתונים",IF(OR($M1364="נמוכה",(--($M1364&lt;&gt;"תקינה"))+(--($N1364&lt;&gt;"תקין"))+(--($O1364&lt;&gt;"תקינה"))&gt;=2),"ניכרת","אינה ניכרת")))</f>
        <v/>
      </c>
      <c r="AB1364" s="32">
        <f>IF(OR($C1364="",$Y1364="",$AA1364="",LEFT($Y1364,1)="—",LEFT($AA1364,1)="—"),"",IF($Z1364="","— נדרשת הערכת כתיבה",IF($L1364="","— חסרה הבנת הנקרא",IF($Y1364="אינה מדויקת או מקוטעת",IF($AA1364="ניכרת","מיקוד בשטף הקריאה ובכישורי שפה","מיקוד בשטף קריאה"),IF($AA1364="ניכרת","מיקוד בכישורי שפה",IF(AND($L1364="תקינה",$Z1364="מפותחת"),"קוראים וכותבים מיומנים","מיקוד בהבנה והבעה"))))))</f>
        <v/>
      </c>
      <c r="AC1364" s="32">
        <f>IF(OR($AB1364="",LEFT($AB1364,1)="—"),"",IF(OR($AB1364="מיקוד בשטף קריאה",$AB1364="מיקוד בשטף הקריאה ובכישורי שפה"),"רמה א'",IF($AB1364="קוראים וכותבים מיומנים","רמה ג'","רמה ב'")))</f>
        <v/>
      </c>
      <c r="AD1364" s="32">
        <f>IF($AC1364="","",MID(IF(AND($AC1364="רמה א'",$AA1364="ניכרת"),"; להוסיף עבודת אוצר מילים","")&amp;IF($Z1364="אינה מפותחת","; דגש על הבעה בכתב","")&amp;IF($K1364&lt;&gt;"תקין","; נדרש לעבוד על ההנגנה","")&amp;IF($AK1364&lt;&gt;"","; "&amp;$AK1364,""),3,400))</f>
        <v/>
      </c>
      <c r="AE1364" s="32">
        <f>IF($F1364="","",IF($F1364="תחילת שנה",1,IF($F1364="מחצית שנה",2,3)))</f>
        <v/>
      </c>
      <c r="AF1364" s="32">
        <f>IF(OR($B1364="",$AC1364="",$A1364="",$F1364=""),"",$B1364&amp;"|"&amp;$A1364&amp;"|"&amp;$F1364&amp;"|"&amp;$AC1364&amp;"|"&amp;COUNTIFS($B$6:$B1364,$B1364,$A$6:$A1364,$A1364,$F$6:$F1364,$F1364,$AC$6:$AC1364,$AC1364))</f>
        <v/>
      </c>
      <c r="AG1364" s="32">
        <f>IF($C1364="","",$C1364&amp;"|"&amp;COUNTIFS($C$6:$C1364,$C1364))</f>
        <v/>
      </c>
      <c r="AH1364" s="32">
        <f>IF(OR($C1364="",$A1364="",$AE1364=""),"",$C1364&amp;"|"&amp;$A1364&amp;"|"&amp;$AE1364)</f>
        <v/>
      </c>
      <c r="AI1364" s="32">
        <f>IF(OR($C1364="",$AE1364="",$AE1364=1),"",IFERROR(INDEX($AC$6:$AC$1505,MATCH($C1364&amp;"|"&amp;$A1364&amp;"|"&amp;($AE1364-1),$AH$6:$AH$1505,0)),""))</f>
        <v/>
      </c>
      <c r="AJ1364" s="32">
        <f>IF(OR($AI1364="",$AC1364=""),"",IF($AI1364=$AC1364,"ללא שינוי","מ-"&amp;$AI1364&amp;" ל-"&amp;$AC1364))</f>
        <v/>
      </c>
      <c r="AK1364" s="67" t="n"/>
    </row>
    <row r="1365">
      <c r="A1365" s="65" t="n"/>
      <c r="B1365" s="65" t="n"/>
      <c r="C1365" s="66" t="n"/>
      <c r="D1365" s="66" t="n"/>
      <c r="E1365" s="65" t="n"/>
      <c r="F1365" s="65" t="n"/>
      <c r="G1365" s="65" t="n"/>
      <c r="H1365" s="65" t="n"/>
      <c r="I1365" s="65" t="n"/>
      <c r="J1365" s="65" t="n"/>
      <c r="K1365" s="65" t="n"/>
      <c r="L1365" s="65" t="n"/>
      <c r="M1365" s="65" t="n"/>
      <c r="N1365" s="65" t="n"/>
      <c r="O1365" s="65" t="n"/>
      <c r="P1365" s="65" t="n"/>
      <c r="Q1365" s="65" t="n"/>
      <c r="R1365" s="65" t="n"/>
      <c r="S1365" s="65" t="n"/>
      <c r="T1365" s="65" t="n"/>
      <c r="U1365" s="65" t="n"/>
      <c r="V1365" s="65" t="n"/>
      <c r="W1365" s="65" t="n"/>
      <c r="X1365" s="65" t="n"/>
      <c r="Y1365" s="32">
        <f>IF($C1365="","",IF(COUNTA($I1365:$K1365)&lt;3,"— חסרים נתונים",IF(AND($I1365="תקין",$J1365="תקין",$K1365="תקין"),"רהוטה",IF(AND($I1365="תקין",$J1365="תקין"),"מדויקת ורציפה","אינה מדויקת או מקוטעת"))))</f>
        <v/>
      </c>
      <c r="Z1365" s="32">
        <f>IF($C1365="","",IF(COUNTA($U1365:$W1365)&lt;3,"",IF(AND($U1365="מפותח",$V1365="מפותח",$W1365="מפותחת"),"מפותחת",IF((--($U1365="דל"))+(--($V1365="אינו מפותח"))+(--($W1365="דלה"))&gt;=2,"אינה מפותחת","חלקית"))))</f>
        <v/>
      </c>
      <c r="AA1365" s="32">
        <f>IF($C1365="","",IF(COUNTA($M1365,$N1365,$O1365)&lt;3,"— חסרים נתונים",IF(OR($M1365="נמוכה",(--($M1365&lt;&gt;"תקינה"))+(--($N1365&lt;&gt;"תקין"))+(--($O1365&lt;&gt;"תקינה"))&gt;=2),"ניכרת","אינה ניכרת")))</f>
        <v/>
      </c>
      <c r="AB1365" s="32">
        <f>IF(OR($C1365="",$Y1365="",$AA1365="",LEFT($Y1365,1)="—",LEFT($AA1365,1)="—"),"",IF($Z1365="","— נדרשת הערכת כתיבה",IF($L1365="","— חסרה הבנת הנקרא",IF($Y1365="אינה מדויקת או מקוטעת",IF($AA1365="ניכרת","מיקוד בשטף הקריאה ובכישורי שפה","מיקוד בשטף קריאה"),IF($AA1365="ניכרת","מיקוד בכישורי שפה",IF(AND($L1365="תקינה",$Z1365="מפותחת"),"קוראים וכותבים מיומנים","מיקוד בהבנה והבעה"))))))</f>
        <v/>
      </c>
      <c r="AC1365" s="32">
        <f>IF(OR($AB1365="",LEFT($AB1365,1)="—"),"",IF(OR($AB1365="מיקוד בשטף קריאה",$AB1365="מיקוד בשטף הקריאה ובכישורי שפה"),"רמה א'",IF($AB1365="קוראים וכותבים מיומנים","רמה ג'","רמה ב'")))</f>
        <v/>
      </c>
      <c r="AD1365" s="32">
        <f>IF($AC1365="","",MID(IF(AND($AC1365="רמה א'",$AA1365="ניכרת"),"; להוסיף עבודת אוצר מילים","")&amp;IF($Z1365="אינה מפותחת","; דגש על הבעה בכתב","")&amp;IF($K1365&lt;&gt;"תקין","; נדרש לעבוד על ההנגנה","")&amp;IF($AK1365&lt;&gt;"","; "&amp;$AK1365,""),3,400))</f>
        <v/>
      </c>
      <c r="AE1365" s="32">
        <f>IF($F1365="","",IF($F1365="תחילת שנה",1,IF($F1365="מחצית שנה",2,3)))</f>
        <v/>
      </c>
      <c r="AF1365" s="32">
        <f>IF(OR($B1365="",$AC1365="",$A1365="",$F1365=""),"",$B1365&amp;"|"&amp;$A1365&amp;"|"&amp;$F1365&amp;"|"&amp;$AC1365&amp;"|"&amp;COUNTIFS($B$6:$B1365,$B1365,$A$6:$A1365,$A1365,$F$6:$F1365,$F1365,$AC$6:$AC1365,$AC1365))</f>
        <v/>
      </c>
      <c r="AG1365" s="32">
        <f>IF($C1365="","",$C1365&amp;"|"&amp;COUNTIFS($C$6:$C1365,$C1365))</f>
        <v/>
      </c>
      <c r="AH1365" s="32">
        <f>IF(OR($C1365="",$A1365="",$AE1365=""),"",$C1365&amp;"|"&amp;$A1365&amp;"|"&amp;$AE1365)</f>
        <v/>
      </c>
      <c r="AI1365" s="32">
        <f>IF(OR($C1365="",$AE1365="",$AE1365=1),"",IFERROR(INDEX($AC$6:$AC$1505,MATCH($C1365&amp;"|"&amp;$A1365&amp;"|"&amp;($AE1365-1),$AH$6:$AH$1505,0)),""))</f>
        <v/>
      </c>
      <c r="AJ1365" s="32">
        <f>IF(OR($AI1365="",$AC1365=""),"",IF($AI1365=$AC1365,"ללא שינוי","מ-"&amp;$AI1365&amp;" ל-"&amp;$AC1365))</f>
        <v/>
      </c>
      <c r="AK1365" s="67" t="n"/>
    </row>
    <row r="1366">
      <c r="A1366" s="65" t="n"/>
      <c r="B1366" s="65" t="n"/>
      <c r="C1366" s="66" t="n"/>
      <c r="D1366" s="66" t="n"/>
      <c r="E1366" s="65" t="n"/>
      <c r="F1366" s="65" t="n"/>
      <c r="G1366" s="65" t="n"/>
      <c r="H1366" s="65" t="n"/>
      <c r="I1366" s="65" t="n"/>
      <c r="J1366" s="65" t="n"/>
      <c r="K1366" s="65" t="n"/>
      <c r="L1366" s="65" t="n"/>
      <c r="M1366" s="65" t="n"/>
      <c r="N1366" s="65" t="n"/>
      <c r="O1366" s="65" t="n"/>
      <c r="P1366" s="65" t="n"/>
      <c r="Q1366" s="65" t="n"/>
      <c r="R1366" s="65" t="n"/>
      <c r="S1366" s="65" t="n"/>
      <c r="T1366" s="65" t="n"/>
      <c r="U1366" s="65" t="n"/>
      <c r="V1366" s="65" t="n"/>
      <c r="W1366" s="65" t="n"/>
      <c r="X1366" s="65" t="n"/>
      <c r="Y1366" s="32">
        <f>IF($C1366="","",IF(COUNTA($I1366:$K1366)&lt;3,"— חסרים נתונים",IF(AND($I1366="תקין",$J1366="תקין",$K1366="תקין"),"רהוטה",IF(AND($I1366="תקין",$J1366="תקין"),"מדויקת ורציפה","אינה מדויקת או מקוטעת"))))</f>
        <v/>
      </c>
      <c r="Z1366" s="32">
        <f>IF($C1366="","",IF(COUNTA($U1366:$W1366)&lt;3,"",IF(AND($U1366="מפותח",$V1366="מפותח",$W1366="מפותחת"),"מפותחת",IF((--($U1366="דל"))+(--($V1366="אינו מפותח"))+(--($W1366="דלה"))&gt;=2,"אינה מפותחת","חלקית"))))</f>
        <v/>
      </c>
      <c r="AA1366" s="32">
        <f>IF($C1366="","",IF(COUNTA($M1366,$N1366,$O1366)&lt;3,"— חסרים נתונים",IF(OR($M1366="נמוכה",(--($M1366&lt;&gt;"תקינה"))+(--($N1366&lt;&gt;"תקין"))+(--($O1366&lt;&gt;"תקינה"))&gt;=2),"ניכרת","אינה ניכרת")))</f>
        <v/>
      </c>
      <c r="AB1366" s="32">
        <f>IF(OR($C1366="",$Y1366="",$AA1366="",LEFT($Y1366,1)="—",LEFT($AA1366,1)="—"),"",IF($Z1366="","— נדרשת הערכת כתיבה",IF($L1366="","— חסרה הבנת הנקרא",IF($Y1366="אינה מדויקת או מקוטעת",IF($AA1366="ניכרת","מיקוד בשטף הקריאה ובכישורי שפה","מיקוד בשטף קריאה"),IF($AA1366="ניכרת","מיקוד בכישורי שפה",IF(AND($L1366="תקינה",$Z1366="מפותחת"),"קוראים וכותבים מיומנים","מיקוד בהבנה והבעה"))))))</f>
        <v/>
      </c>
      <c r="AC1366" s="32">
        <f>IF(OR($AB1366="",LEFT($AB1366,1)="—"),"",IF(OR($AB1366="מיקוד בשטף קריאה",$AB1366="מיקוד בשטף הקריאה ובכישורי שפה"),"רמה א'",IF($AB1366="קוראים וכותבים מיומנים","רמה ג'","רמה ב'")))</f>
        <v/>
      </c>
      <c r="AD1366" s="32">
        <f>IF($AC1366="","",MID(IF(AND($AC1366="רמה א'",$AA1366="ניכרת"),"; להוסיף עבודת אוצר מילים","")&amp;IF($Z1366="אינה מפותחת","; דגש על הבעה בכתב","")&amp;IF($K1366&lt;&gt;"תקין","; נדרש לעבוד על ההנגנה","")&amp;IF($AK1366&lt;&gt;"","; "&amp;$AK1366,""),3,400))</f>
        <v/>
      </c>
      <c r="AE1366" s="32">
        <f>IF($F1366="","",IF($F1366="תחילת שנה",1,IF($F1366="מחצית שנה",2,3)))</f>
        <v/>
      </c>
      <c r="AF1366" s="32">
        <f>IF(OR($B1366="",$AC1366="",$A1366="",$F1366=""),"",$B1366&amp;"|"&amp;$A1366&amp;"|"&amp;$F1366&amp;"|"&amp;$AC1366&amp;"|"&amp;COUNTIFS($B$6:$B1366,$B1366,$A$6:$A1366,$A1366,$F$6:$F1366,$F1366,$AC$6:$AC1366,$AC1366))</f>
        <v/>
      </c>
      <c r="AG1366" s="32">
        <f>IF($C1366="","",$C1366&amp;"|"&amp;COUNTIFS($C$6:$C1366,$C1366))</f>
        <v/>
      </c>
      <c r="AH1366" s="32">
        <f>IF(OR($C1366="",$A1366="",$AE1366=""),"",$C1366&amp;"|"&amp;$A1366&amp;"|"&amp;$AE1366)</f>
        <v/>
      </c>
      <c r="AI1366" s="32">
        <f>IF(OR($C1366="",$AE1366="",$AE1366=1),"",IFERROR(INDEX($AC$6:$AC$1505,MATCH($C1366&amp;"|"&amp;$A1366&amp;"|"&amp;($AE1366-1),$AH$6:$AH$1505,0)),""))</f>
        <v/>
      </c>
      <c r="AJ1366" s="32">
        <f>IF(OR($AI1366="",$AC1366=""),"",IF($AI1366=$AC1366,"ללא שינוי","מ-"&amp;$AI1366&amp;" ל-"&amp;$AC1366))</f>
        <v/>
      </c>
      <c r="AK1366" s="67" t="n"/>
    </row>
    <row r="1367">
      <c r="A1367" s="65" t="n"/>
      <c r="B1367" s="65" t="n"/>
      <c r="C1367" s="66" t="n"/>
      <c r="D1367" s="66" t="n"/>
      <c r="E1367" s="65" t="n"/>
      <c r="F1367" s="65" t="n"/>
      <c r="G1367" s="65" t="n"/>
      <c r="H1367" s="65" t="n"/>
      <c r="I1367" s="65" t="n"/>
      <c r="J1367" s="65" t="n"/>
      <c r="K1367" s="65" t="n"/>
      <c r="L1367" s="65" t="n"/>
      <c r="M1367" s="65" t="n"/>
      <c r="N1367" s="65" t="n"/>
      <c r="O1367" s="65" t="n"/>
      <c r="P1367" s="65" t="n"/>
      <c r="Q1367" s="65" t="n"/>
      <c r="R1367" s="65" t="n"/>
      <c r="S1367" s="65" t="n"/>
      <c r="T1367" s="65" t="n"/>
      <c r="U1367" s="65" t="n"/>
      <c r="V1367" s="65" t="n"/>
      <c r="W1367" s="65" t="n"/>
      <c r="X1367" s="65" t="n"/>
      <c r="Y1367" s="32">
        <f>IF($C1367="","",IF(COUNTA($I1367:$K1367)&lt;3,"— חסרים נתונים",IF(AND($I1367="תקין",$J1367="תקין",$K1367="תקין"),"רהוטה",IF(AND($I1367="תקין",$J1367="תקין"),"מדויקת ורציפה","אינה מדויקת או מקוטעת"))))</f>
        <v/>
      </c>
      <c r="Z1367" s="32">
        <f>IF($C1367="","",IF(COUNTA($U1367:$W1367)&lt;3,"",IF(AND($U1367="מפותח",$V1367="מפותח",$W1367="מפותחת"),"מפותחת",IF((--($U1367="דל"))+(--($V1367="אינו מפותח"))+(--($W1367="דלה"))&gt;=2,"אינה מפותחת","חלקית"))))</f>
        <v/>
      </c>
      <c r="AA1367" s="32">
        <f>IF($C1367="","",IF(COUNTA($M1367,$N1367,$O1367)&lt;3,"— חסרים נתונים",IF(OR($M1367="נמוכה",(--($M1367&lt;&gt;"תקינה"))+(--($N1367&lt;&gt;"תקין"))+(--($O1367&lt;&gt;"תקינה"))&gt;=2),"ניכרת","אינה ניכרת")))</f>
        <v/>
      </c>
      <c r="AB1367" s="32">
        <f>IF(OR($C1367="",$Y1367="",$AA1367="",LEFT($Y1367,1)="—",LEFT($AA1367,1)="—"),"",IF($Z1367="","— נדרשת הערכת כתיבה",IF($L1367="","— חסרה הבנת הנקרא",IF($Y1367="אינה מדויקת או מקוטעת",IF($AA1367="ניכרת","מיקוד בשטף הקריאה ובכישורי שפה","מיקוד בשטף קריאה"),IF($AA1367="ניכרת","מיקוד בכישורי שפה",IF(AND($L1367="תקינה",$Z1367="מפותחת"),"קוראים וכותבים מיומנים","מיקוד בהבנה והבעה"))))))</f>
        <v/>
      </c>
      <c r="AC1367" s="32">
        <f>IF(OR($AB1367="",LEFT($AB1367,1)="—"),"",IF(OR($AB1367="מיקוד בשטף קריאה",$AB1367="מיקוד בשטף הקריאה ובכישורי שפה"),"רמה א'",IF($AB1367="קוראים וכותבים מיומנים","רמה ג'","רמה ב'")))</f>
        <v/>
      </c>
      <c r="AD1367" s="32">
        <f>IF($AC1367="","",MID(IF(AND($AC1367="רמה א'",$AA1367="ניכרת"),"; להוסיף עבודת אוצר מילים","")&amp;IF($Z1367="אינה מפותחת","; דגש על הבעה בכתב","")&amp;IF($K1367&lt;&gt;"תקין","; נדרש לעבוד על ההנגנה","")&amp;IF($AK1367&lt;&gt;"","; "&amp;$AK1367,""),3,400))</f>
        <v/>
      </c>
      <c r="AE1367" s="32">
        <f>IF($F1367="","",IF($F1367="תחילת שנה",1,IF($F1367="מחצית שנה",2,3)))</f>
        <v/>
      </c>
      <c r="AF1367" s="32">
        <f>IF(OR($B1367="",$AC1367="",$A1367="",$F1367=""),"",$B1367&amp;"|"&amp;$A1367&amp;"|"&amp;$F1367&amp;"|"&amp;$AC1367&amp;"|"&amp;COUNTIFS($B$6:$B1367,$B1367,$A$6:$A1367,$A1367,$F$6:$F1367,$F1367,$AC$6:$AC1367,$AC1367))</f>
        <v/>
      </c>
      <c r="AG1367" s="32">
        <f>IF($C1367="","",$C1367&amp;"|"&amp;COUNTIFS($C$6:$C1367,$C1367))</f>
        <v/>
      </c>
      <c r="AH1367" s="32">
        <f>IF(OR($C1367="",$A1367="",$AE1367=""),"",$C1367&amp;"|"&amp;$A1367&amp;"|"&amp;$AE1367)</f>
        <v/>
      </c>
      <c r="AI1367" s="32">
        <f>IF(OR($C1367="",$AE1367="",$AE1367=1),"",IFERROR(INDEX($AC$6:$AC$1505,MATCH($C1367&amp;"|"&amp;$A1367&amp;"|"&amp;($AE1367-1),$AH$6:$AH$1505,0)),""))</f>
        <v/>
      </c>
      <c r="AJ1367" s="32">
        <f>IF(OR($AI1367="",$AC1367=""),"",IF($AI1367=$AC1367,"ללא שינוי","מ-"&amp;$AI1367&amp;" ל-"&amp;$AC1367))</f>
        <v/>
      </c>
      <c r="AK1367" s="67" t="n"/>
    </row>
    <row r="1368">
      <c r="A1368" s="65" t="n"/>
      <c r="B1368" s="65" t="n"/>
      <c r="C1368" s="66" t="n"/>
      <c r="D1368" s="66" t="n"/>
      <c r="E1368" s="65" t="n"/>
      <c r="F1368" s="65" t="n"/>
      <c r="G1368" s="65" t="n"/>
      <c r="H1368" s="65" t="n"/>
      <c r="I1368" s="65" t="n"/>
      <c r="J1368" s="65" t="n"/>
      <c r="K1368" s="65" t="n"/>
      <c r="L1368" s="65" t="n"/>
      <c r="M1368" s="65" t="n"/>
      <c r="N1368" s="65" t="n"/>
      <c r="O1368" s="65" t="n"/>
      <c r="P1368" s="65" t="n"/>
      <c r="Q1368" s="65" t="n"/>
      <c r="R1368" s="65" t="n"/>
      <c r="S1368" s="65" t="n"/>
      <c r="T1368" s="65" t="n"/>
      <c r="U1368" s="65" t="n"/>
      <c r="V1368" s="65" t="n"/>
      <c r="W1368" s="65" t="n"/>
      <c r="X1368" s="65" t="n"/>
      <c r="Y1368" s="32">
        <f>IF($C1368="","",IF(COUNTA($I1368:$K1368)&lt;3,"— חסרים נתונים",IF(AND($I1368="תקין",$J1368="תקין",$K1368="תקין"),"רהוטה",IF(AND($I1368="תקין",$J1368="תקין"),"מדויקת ורציפה","אינה מדויקת או מקוטעת"))))</f>
        <v/>
      </c>
      <c r="Z1368" s="32">
        <f>IF($C1368="","",IF(COUNTA($U1368:$W1368)&lt;3,"",IF(AND($U1368="מפותח",$V1368="מפותח",$W1368="מפותחת"),"מפותחת",IF((--($U1368="דל"))+(--($V1368="אינו מפותח"))+(--($W1368="דלה"))&gt;=2,"אינה מפותחת","חלקית"))))</f>
        <v/>
      </c>
      <c r="AA1368" s="32">
        <f>IF($C1368="","",IF(COUNTA($M1368,$N1368,$O1368)&lt;3,"— חסרים נתונים",IF(OR($M1368="נמוכה",(--($M1368&lt;&gt;"תקינה"))+(--($N1368&lt;&gt;"תקין"))+(--($O1368&lt;&gt;"תקינה"))&gt;=2),"ניכרת","אינה ניכרת")))</f>
        <v/>
      </c>
      <c r="AB1368" s="32">
        <f>IF(OR($C1368="",$Y1368="",$AA1368="",LEFT($Y1368,1)="—",LEFT($AA1368,1)="—"),"",IF($Z1368="","— נדרשת הערכת כתיבה",IF($L1368="","— חסרה הבנת הנקרא",IF($Y1368="אינה מדויקת או מקוטעת",IF($AA1368="ניכרת","מיקוד בשטף הקריאה ובכישורי שפה","מיקוד בשטף קריאה"),IF($AA1368="ניכרת","מיקוד בכישורי שפה",IF(AND($L1368="תקינה",$Z1368="מפותחת"),"קוראים וכותבים מיומנים","מיקוד בהבנה והבעה"))))))</f>
        <v/>
      </c>
      <c r="AC1368" s="32">
        <f>IF(OR($AB1368="",LEFT($AB1368,1)="—"),"",IF(OR($AB1368="מיקוד בשטף קריאה",$AB1368="מיקוד בשטף הקריאה ובכישורי שפה"),"רמה א'",IF($AB1368="קוראים וכותבים מיומנים","רמה ג'","רמה ב'")))</f>
        <v/>
      </c>
      <c r="AD1368" s="32">
        <f>IF($AC1368="","",MID(IF(AND($AC1368="רמה א'",$AA1368="ניכרת"),"; להוסיף עבודת אוצר מילים","")&amp;IF($Z1368="אינה מפותחת","; דגש על הבעה בכתב","")&amp;IF($K1368&lt;&gt;"תקין","; נדרש לעבוד על ההנגנה","")&amp;IF($AK1368&lt;&gt;"","; "&amp;$AK1368,""),3,400))</f>
        <v/>
      </c>
      <c r="AE1368" s="32">
        <f>IF($F1368="","",IF($F1368="תחילת שנה",1,IF($F1368="מחצית שנה",2,3)))</f>
        <v/>
      </c>
      <c r="AF1368" s="32">
        <f>IF(OR($B1368="",$AC1368="",$A1368="",$F1368=""),"",$B1368&amp;"|"&amp;$A1368&amp;"|"&amp;$F1368&amp;"|"&amp;$AC1368&amp;"|"&amp;COUNTIFS($B$6:$B1368,$B1368,$A$6:$A1368,$A1368,$F$6:$F1368,$F1368,$AC$6:$AC1368,$AC1368))</f>
        <v/>
      </c>
      <c r="AG1368" s="32">
        <f>IF($C1368="","",$C1368&amp;"|"&amp;COUNTIFS($C$6:$C1368,$C1368))</f>
        <v/>
      </c>
      <c r="AH1368" s="32">
        <f>IF(OR($C1368="",$A1368="",$AE1368=""),"",$C1368&amp;"|"&amp;$A1368&amp;"|"&amp;$AE1368)</f>
        <v/>
      </c>
      <c r="AI1368" s="32">
        <f>IF(OR($C1368="",$AE1368="",$AE1368=1),"",IFERROR(INDEX($AC$6:$AC$1505,MATCH($C1368&amp;"|"&amp;$A1368&amp;"|"&amp;($AE1368-1),$AH$6:$AH$1505,0)),""))</f>
        <v/>
      </c>
      <c r="AJ1368" s="32">
        <f>IF(OR($AI1368="",$AC1368=""),"",IF($AI1368=$AC1368,"ללא שינוי","מ-"&amp;$AI1368&amp;" ל-"&amp;$AC1368))</f>
        <v/>
      </c>
      <c r="AK1368" s="67" t="n"/>
    </row>
    <row r="1369">
      <c r="A1369" s="65" t="n"/>
      <c r="B1369" s="65" t="n"/>
      <c r="C1369" s="66" t="n"/>
      <c r="D1369" s="66" t="n"/>
      <c r="E1369" s="65" t="n"/>
      <c r="F1369" s="65" t="n"/>
      <c r="G1369" s="65" t="n"/>
      <c r="H1369" s="65" t="n"/>
      <c r="I1369" s="65" t="n"/>
      <c r="J1369" s="65" t="n"/>
      <c r="K1369" s="65" t="n"/>
      <c r="L1369" s="65" t="n"/>
      <c r="M1369" s="65" t="n"/>
      <c r="N1369" s="65" t="n"/>
      <c r="O1369" s="65" t="n"/>
      <c r="P1369" s="65" t="n"/>
      <c r="Q1369" s="65" t="n"/>
      <c r="R1369" s="65" t="n"/>
      <c r="S1369" s="65" t="n"/>
      <c r="T1369" s="65" t="n"/>
      <c r="U1369" s="65" t="n"/>
      <c r="V1369" s="65" t="n"/>
      <c r="W1369" s="65" t="n"/>
      <c r="X1369" s="65" t="n"/>
      <c r="Y1369" s="32">
        <f>IF($C1369="","",IF(COUNTA($I1369:$K1369)&lt;3,"— חסרים נתונים",IF(AND($I1369="תקין",$J1369="תקין",$K1369="תקין"),"רהוטה",IF(AND($I1369="תקין",$J1369="תקין"),"מדויקת ורציפה","אינה מדויקת או מקוטעת"))))</f>
        <v/>
      </c>
      <c r="Z1369" s="32">
        <f>IF($C1369="","",IF(COUNTA($U1369:$W1369)&lt;3,"",IF(AND($U1369="מפותח",$V1369="מפותח",$W1369="מפותחת"),"מפותחת",IF((--($U1369="דל"))+(--($V1369="אינו מפותח"))+(--($W1369="דלה"))&gt;=2,"אינה מפותחת","חלקית"))))</f>
        <v/>
      </c>
      <c r="AA1369" s="32">
        <f>IF($C1369="","",IF(COUNTA($M1369,$N1369,$O1369)&lt;3,"— חסרים נתונים",IF(OR($M1369="נמוכה",(--($M1369&lt;&gt;"תקינה"))+(--($N1369&lt;&gt;"תקין"))+(--($O1369&lt;&gt;"תקינה"))&gt;=2),"ניכרת","אינה ניכרת")))</f>
        <v/>
      </c>
      <c r="AB1369" s="32">
        <f>IF(OR($C1369="",$Y1369="",$AA1369="",LEFT($Y1369,1)="—",LEFT($AA1369,1)="—"),"",IF($Z1369="","— נדרשת הערכת כתיבה",IF($L1369="","— חסרה הבנת הנקרא",IF($Y1369="אינה מדויקת או מקוטעת",IF($AA1369="ניכרת","מיקוד בשטף הקריאה ובכישורי שפה","מיקוד בשטף קריאה"),IF($AA1369="ניכרת","מיקוד בכישורי שפה",IF(AND($L1369="תקינה",$Z1369="מפותחת"),"קוראים וכותבים מיומנים","מיקוד בהבנה והבעה"))))))</f>
        <v/>
      </c>
      <c r="AC1369" s="32">
        <f>IF(OR($AB1369="",LEFT($AB1369,1)="—"),"",IF(OR($AB1369="מיקוד בשטף קריאה",$AB1369="מיקוד בשטף הקריאה ובכישורי שפה"),"רמה א'",IF($AB1369="קוראים וכותבים מיומנים","רמה ג'","רמה ב'")))</f>
        <v/>
      </c>
      <c r="AD1369" s="32">
        <f>IF($AC1369="","",MID(IF(AND($AC1369="רמה א'",$AA1369="ניכרת"),"; להוסיף עבודת אוצר מילים","")&amp;IF($Z1369="אינה מפותחת","; דגש על הבעה בכתב","")&amp;IF($K1369&lt;&gt;"תקין","; נדרש לעבוד על ההנגנה","")&amp;IF($AK1369&lt;&gt;"","; "&amp;$AK1369,""),3,400))</f>
        <v/>
      </c>
      <c r="AE1369" s="32">
        <f>IF($F1369="","",IF($F1369="תחילת שנה",1,IF($F1369="מחצית שנה",2,3)))</f>
        <v/>
      </c>
      <c r="AF1369" s="32">
        <f>IF(OR($B1369="",$AC1369="",$A1369="",$F1369=""),"",$B1369&amp;"|"&amp;$A1369&amp;"|"&amp;$F1369&amp;"|"&amp;$AC1369&amp;"|"&amp;COUNTIFS($B$6:$B1369,$B1369,$A$6:$A1369,$A1369,$F$6:$F1369,$F1369,$AC$6:$AC1369,$AC1369))</f>
        <v/>
      </c>
      <c r="AG1369" s="32">
        <f>IF($C1369="","",$C1369&amp;"|"&amp;COUNTIFS($C$6:$C1369,$C1369))</f>
        <v/>
      </c>
      <c r="AH1369" s="32">
        <f>IF(OR($C1369="",$A1369="",$AE1369=""),"",$C1369&amp;"|"&amp;$A1369&amp;"|"&amp;$AE1369)</f>
        <v/>
      </c>
      <c r="AI1369" s="32">
        <f>IF(OR($C1369="",$AE1369="",$AE1369=1),"",IFERROR(INDEX($AC$6:$AC$1505,MATCH($C1369&amp;"|"&amp;$A1369&amp;"|"&amp;($AE1369-1),$AH$6:$AH$1505,0)),""))</f>
        <v/>
      </c>
      <c r="AJ1369" s="32">
        <f>IF(OR($AI1369="",$AC1369=""),"",IF($AI1369=$AC1369,"ללא שינוי","מ-"&amp;$AI1369&amp;" ל-"&amp;$AC1369))</f>
        <v/>
      </c>
      <c r="AK1369" s="67" t="n"/>
    </row>
    <row r="1370">
      <c r="A1370" s="65" t="n"/>
      <c r="B1370" s="65" t="n"/>
      <c r="C1370" s="66" t="n"/>
      <c r="D1370" s="66" t="n"/>
      <c r="E1370" s="65" t="n"/>
      <c r="F1370" s="65" t="n"/>
      <c r="G1370" s="65" t="n"/>
      <c r="H1370" s="65" t="n"/>
      <c r="I1370" s="65" t="n"/>
      <c r="J1370" s="65" t="n"/>
      <c r="K1370" s="65" t="n"/>
      <c r="L1370" s="65" t="n"/>
      <c r="M1370" s="65" t="n"/>
      <c r="N1370" s="65" t="n"/>
      <c r="O1370" s="65" t="n"/>
      <c r="P1370" s="65" t="n"/>
      <c r="Q1370" s="65" t="n"/>
      <c r="R1370" s="65" t="n"/>
      <c r="S1370" s="65" t="n"/>
      <c r="T1370" s="65" t="n"/>
      <c r="U1370" s="65" t="n"/>
      <c r="V1370" s="65" t="n"/>
      <c r="W1370" s="65" t="n"/>
      <c r="X1370" s="65" t="n"/>
      <c r="Y1370" s="32">
        <f>IF($C1370="","",IF(COUNTA($I1370:$K1370)&lt;3,"— חסרים נתונים",IF(AND($I1370="תקין",$J1370="תקין",$K1370="תקין"),"רהוטה",IF(AND($I1370="תקין",$J1370="תקין"),"מדויקת ורציפה","אינה מדויקת או מקוטעת"))))</f>
        <v/>
      </c>
      <c r="Z1370" s="32">
        <f>IF($C1370="","",IF(COUNTA($U1370:$W1370)&lt;3,"",IF(AND($U1370="מפותח",$V1370="מפותח",$W1370="מפותחת"),"מפותחת",IF((--($U1370="דל"))+(--($V1370="אינו מפותח"))+(--($W1370="דלה"))&gt;=2,"אינה מפותחת","חלקית"))))</f>
        <v/>
      </c>
      <c r="AA1370" s="32">
        <f>IF($C1370="","",IF(COUNTA($M1370,$N1370,$O1370)&lt;3,"— חסרים נתונים",IF(OR($M1370="נמוכה",(--($M1370&lt;&gt;"תקינה"))+(--($N1370&lt;&gt;"תקין"))+(--($O1370&lt;&gt;"תקינה"))&gt;=2),"ניכרת","אינה ניכרת")))</f>
        <v/>
      </c>
      <c r="AB1370" s="32">
        <f>IF(OR($C1370="",$Y1370="",$AA1370="",LEFT($Y1370,1)="—",LEFT($AA1370,1)="—"),"",IF($Z1370="","— נדרשת הערכת כתיבה",IF($L1370="","— חסרה הבנת הנקרא",IF($Y1370="אינה מדויקת או מקוטעת",IF($AA1370="ניכרת","מיקוד בשטף הקריאה ובכישורי שפה","מיקוד בשטף קריאה"),IF($AA1370="ניכרת","מיקוד בכישורי שפה",IF(AND($L1370="תקינה",$Z1370="מפותחת"),"קוראים וכותבים מיומנים","מיקוד בהבנה והבעה"))))))</f>
        <v/>
      </c>
      <c r="AC1370" s="32">
        <f>IF(OR($AB1370="",LEFT($AB1370,1)="—"),"",IF(OR($AB1370="מיקוד בשטף קריאה",$AB1370="מיקוד בשטף הקריאה ובכישורי שפה"),"רמה א'",IF($AB1370="קוראים וכותבים מיומנים","רמה ג'","רמה ב'")))</f>
        <v/>
      </c>
      <c r="AD1370" s="32">
        <f>IF($AC1370="","",MID(IF(AND($AC1370="רמה א'",$AA1370="ניכרת"),"; להוסיף עבודת אוצר מילים","")&amp;IF($Z1370="אינה מפותחת","; דגש על הבעה בכתב","")&amp;IF($K1370&lt;&gt;"תקין","; נדרש לעבוד על ההנגנה","")&amp;IF($AK1370&lt;&gt;"","; "&amp;$AK1370,""),3,400))</f>
        <v/>
      </c>
      <c r="AE1370" s="32">
        <f>IF($F1370="","",IF($F1370="תחילת שנה",1,IF($F1370="מחצית שנה",2,3)))</f>
        <v/>
      </c>
      <c r="AF1370" s="32">
        <f>IF(OR($B1370="",$AC1370="",$A1370="",$F1370=""),"",$B1370&amp;"|"&amp;$A1370&amp;"|"&amp;$F1370&amp;"|"&amp;$AC1370&amp;"|"&amp;COUNTIFS($B$6:$B1370,$B1370,$A$6:$A1370,$A1370,$F$6:$F1370,$F1370,$AC$6:$AC1370,$AC1370))</f>
        <v/>
      </c>
      <c r="AG1370" s="32">
        <f>IF($C1370="","",$C1370&amp;"|"&amp;COUNTIFS($C$6:$C1370,$C1370))</f>
        <v/>
      </c>
      <c r="AH1370" s="32">
        <f>IF(OR($C1370="",$A1370="",$AE1370=""),"",$C1370&amp;"|"&amp;$A1370&amp;"|"&amp;$AE1370)</f>
        <v/>
      </c>
      <c r="AI1370" s="32">
        <f>IF(OR($C1370="",$AE1370="",$AE1370=1),"",IFERROR(INDEX($AC$6:$AC$1505,MATCH($C1370&amp;"|"&amp;$A1370&amp;"|"&amp;($AE1370-1),$AH$6:$AH$1505,0)),""))</f>
        <v/>
      </c>
      <c r="AJ1370" s="32">
        <f>IF(OR($AI1370="",$AC1370=""),"",IF($AI1370=$AC1370,"ללא שינוי","מ-"&amp;$AI1370&amp;" ל-"&amp;$AC1370))</f>
        <v/>
      </c>
      <c r="AK1370" s="67" t="n"/>
    </row>
    <row r="1371">
      <c r="A1371" s="65" t="n"/>
      <c r="B1371" s="65" t="n"/>
      <c r="C1371" s="66" t="n"/>
      <c r="D1371" s="66" t="n"/>
      <c r="E1371" s="65" t="n"/>
      <c r="F1371" s="65" t="n"/>
      <c r="G1371" s="65" t="n"/>
      <c r="H1371" s="65" t="n"/>
      <c r="I1371" s="65" t="n"/>
      <c r="J1371" s="65" t="n"/>
      <c r="K1371" s="65" t="n"/>
      <c r="L1371" s="65" t="n"/>
      <c r="M1371" s="65" t="n"/>
      <c r="N1371" s="65" t="n"/>
      <c r="O1371" s="65" t="n"/>
      <c r="P1371" s="65" t="n"/>
      <c r="Q1371" s="65" t="n"/>
      <c r="R1371" s="65" t="n"/>
      <c r="S1371" s="65" t="n"/>
      <c r="T1371" s="65" t="n"/>
      <c r="U1371" s="65" t="n"/>
      <c r="V1371" s="65" t="n"/>
      <c r="W1371" s="65" t="n"/>
      <c r="X1371" s="65" t="n"/>
      <c r="Y1371" s="32">
        <f>IF($C1371="","",IF(COUNTA($I1371:$K1371)&lt;3,"— חסרים נתונים",IF(AND($I1371="תקין",$J1371="תקין",$K1371="תקין"),"רהוטה",IF(AND($I1371="תקין",$J1371="תקין"),"מדויקת ורציפה","אינה מדויקת או מקוטעת"))))</f>
        <v/>
      </c>
      <c r="Z1371" s="32">
        <f>IF($C1371="","",IF(COUNTA($U1371:$W1371)&lt;3,"",IF(AND($U1371="מפותח",$V1371="מפותח",$W1371="מפותחת"),"מפותחת",IF((--($U1371="דל"))+(--($V1371="אינו מפותח"))+(--($W1371="דלה"))&gt;=2,"אינה מפותחת","חלקית"))))</f>
        <v/>
      </c>
      <c r="AA1371" s="32">
        <f>IF($C1371="","",IF(COUNTA($M1371,$N1371,$O1371)&lt;3,"— חסרים נתונים",IF(OR($M1371="נמוכה",(--($M1371&lt;&gt;"תקינה"))+(--($N1371&lt;&gt;"תקין"))+(--($O1371&lt;&gt;"תקינה"))&gt;=2),"ניכרת","אינה ניכרת")))</f>
        <v/>
      </c>
      <c r="AB1371" s="32">
        <f>IF(OR($C1371="",$Y1371="",$AA1371="",LEFT($Y1371,1)="—",LEFT($AA1371,1)="—"),"",IF($Z1371="","— נדרשת הערכת כתיבה",IF($L1371="","— חסרה הבנת הנקרא",IF($Y1371="אינה מדויקת או מקוטעת",IF($AA1371="ניכרת","מיקוד בשטף הקריאה ובכישורי שפה","מיקוד בשטף קריאה"),IF($AA1371="ניכרת","מיקוד בכישורי שפה",IF(AND($L1371="תקינה",$Z1371="מפותחת"),"קוראים וכותבים מיומנים","מיקוד בהבנה והבעה"))))))</f>
        <v/>
      </c>
      <c r="AC1371" s="32">
        <f>IF(OR($AB1371="",LEFT($AB1371,1)="—"),"",IF(OR($AB1371="מיקוד בשטף קריאה",$AB1371="מיקוד בשטף הקריאה ובכישורי שפה"),"רמה א'",IF($AB1371="קוראים וכותבים מיומנים","רמה ג'","רמה ב'")))</f>
        <v/>
      </c>
      <c r="AD1371" s="32">
        <f>IF($AC1371="","",MID(IF(AND($AC1371="רמה א'",$AA1371="ניכרת"),"; להוסיף עבודת אוצר מילים","")&amp;IF($Z1371="אינה מפותחת","; דגש על הבעה בכתב","")&amp;IF($K1371&lt;&gt;"תקין","; נדרש לעבוד על ההנגנה","")&amp;IF($AK1371&lt;&gt;"","; "&amp;$AK1371,""),3,400))</f>
        <v/>
      </c>
      <c r="AE1371" s="32">
        <f>IF($F1371="","",IF($F1371="תחילת שנה",1,IF($F1371="מחצית שנה",2,3)))</f>
        <v/>
      </c>
      <c r="AF1371" s="32">
        <f>IF(OR($B1371="",$AC1371="",$A1371="",$F1371=""),"",$B1371&amp;"|"&amp;$A1371&amp;"|"&amp;$F1371&amp;"|"&amp;$AC1371&amp;"|"&amp;COUNTIFS($B$6:$B1371,$B1371,$A$6:$A1371,$A1371,$F$6:$F1371,$F1371,$AC$6:$AC1371,$AC1371))</f>
        <v/>
      </c>
      <c r="AG1371" s="32">
        <f>IF($C1371="","",$C1371&amp;"|"&amp;COUNTIFS($C$6:$C1371,$C1371))</f>
        <v/>
      </c>
      <c r="AH1371" s="32">
        <f>IF(OR($C1371="",$A1371="",$AE1371=""),"",$C1371&amp;"|"&amp;$A1371&amp;"|"&amp;$AE1371)</f>
        <v/>
      </c>
      <c r="AI1371" s="32">
        <f>IF(OR($C1371="",$AE1371="",$AE1371=1),"",IFERROR(INDEX($AC$6:$AC$1505,MATCH($C1371&amp;"|"&amp;$A1371&amp;"|"&amp;($AE1371-1),$AH$6:$AH$1505,0)),""))</f>
        <v/>
      </c>
      <c r="AJ1371" s="32">
        <f>IF(OR($AI1371="",$AC1371=""),"",IF($AI1371=$AC1371,"ללא שינוי","מ-"&amp;$AI1371&amp;" ל-"&amp;$AC1371))</f>
        <v/>
      </c>
      <c r="AK1371" s="67" t="n"/>
    </row>
    <row r="1372">
      <c r="A1372" s="65" t="n"/>
      <c r="B1372" s="65" t="n"/>
      <c r="C1372" s="66" t="n"/>
      <c r="D1372" s="66" t="n"/>
      <c r="E1372" s="65" t="n"/>
      <c r="F1372" s="65" t="n"/>
      <c r="G1372" s="65" t="n"/>
      <c r="H1372" s="65" t="n"/>
      <c r="I1372" s="65" t="n"/>
      <c r="J1372" s="65" t="n"/>
      <c r="K1372" s="65" t="n"/>
      <c r="L1372" s="65" t="n"/>
      <c r="M1372" s="65" t="n"/>
      <c r="N1372" s="65" t="n"/>
      <c r="O1372" s="65" t="n"/>
      <c r="P1372" s="65" t="n"/>
      <c r="Q1372" s="65" t="n"/>
      <c r="R1372" s="65" t="n"/>
      <c r="S1372" s="65" t="n"/>
      <c r="T1372" s="65" t="n"/>
      <c r="U1372" s="65" t="n"/>
      <c r="V1372" s="65" t="n"/>
      <c r="W1372" s="65" t="n"/>
      <c r="X1372" s="65" t="n"/>
      <c r="Y1372" s="32">
        <f>IF($C1372="","",IF(COUNTA($I1372:$K1372)&lt;3,"— חסרים נתונים",IF(AND($I1372="תקין",$J1372="תקין",$K1372="תקין"),"רהוטה",IF(AND($I1372="תקין",$J1372="תקין"),"מדויקת ורציפה","אינה מדויקת או מקוטעת"))))</f>
        <v/>
      </c>
      <c r="Z1372" s="32">
        <f>IF($C1372="","",IF(COUNTA($U1372:$W1372)&lt;3,"",IF(AND($U1372="מפותח",$V1372="מפותח",$W1372="מפותחת"),"מפותחת",IF((--($U1372="דל"))+(--($V1372="אינו מפותח"))+(--($W1372="דלה"))&gt;=2,"אינה מפותחת","חלקית"))))</f>
        <v/>
      </c>
      <c r="AA1372" s="32">
        <f>IF($C1372="","",IF(COUNTA($M1372,$N1372,$O1372)&lt;3,"— חסרים נתונים",IF(OR($M1372="נמוכה",(--($M1372&lt;&gt;"תקינה"))+(--($N1372&lt;&gt;"תקין"))+(--($O1372&lt;&gt;"תקינה"))&gt;=2),"ניכרת","אינה ניכרת")))</f>
        <v/>
      </c>
      <c r="AB1372" s="32">
        <f>IF(OR($C1372="",$Y1372="",$AA1372="",LEFT($Y1372,1)="—",LEFT($AA1372,1)="—"),"",IF($Z1372="","— נדרשת הערכת כתיבה",IF($L1372="","— חסרה הבנת הנקרא",IF($Y1372="אינה מדויקת או מקוטעת",IF($AA1372="ניכרת","מיקוד בשטף הקריאה ובכישורי שפה","מיקוד בשטף קריאה"),IF($AA1372="ניכרת","מיקוד בכישורי שפה",IF(AND($L1372="תקינה",$Z1372="מפותחת"),"קוראים וכותבים מיומנים","מיקוד בהבנה והבעה"))))))</f>
        <v/>
      </c>
      <c r="AC1372" s="32">
        <f>IF(OR($AB1372="",LEFT($AB1372,1)="—"),"",IF(OR($AB1372="מיקוד בשטף קריאה",$AB1372="מיקוד בשטף הקריאה ובכישורי שפה"),"רמה א'",IF($AB1372="קוראים וכותבים מיומנים","רמה ג'","רמה ב'")))</f>
        <v/>
      </c>
      <c r="AD1372" s="32">
        <f>IF($AC1372="","",MID(IF(AND($AC1372="רמה א'",$AA1372="ניכרת"),"; להוסיף עבודת אוצר מילים","")&amp;IF($Z1372="אינה מפותחת","; דגש על הבעה בכתב","")&amp;IF($K1372&lt;&gt;"תקין","; נדרש לעבוד על ההנגנה","")&amp;IF($AK1372&lt;&gt;"","; "&amp;$AK1372,""),3,400))</f>
        <v/>
      </c>
      <c r="AE1372" s="32">
        <f>IF($F1372="","",IF($F1372="תחילת שנה",1,IF($F1372="מחצית שנה",2,3)))</f>
        <v/>
      </c>
      <c r="AF1372" s="32">
        <f>IF(OR($B1372="",$AC1372="",$A1372="",$F1372=""),"",$B1372&amp;"|"&amp;$A1372&amp;"|"&amp;$F1372&amp;"|"&amp;$AC1372&amp;"|"&amp;COUNTIFS($B$6:$B1372,$B1372,$A$6:$A1372,$A1372,$F$6:$F1372,$F1372,$AC$6:$AC1372,$AC1372))</f>
        <v/>
      </c>
      <c r="AG1372" s="32">
        <f>IF($C1372="","",$C1372&amp;"|"&amp;COUNTIFS($C$6:$C1372,$C1372))</f>
        <v/>
      </c>
      <c r="AH1372" s="32">
        <f>IF(OR($C1372="",$A1372="",$AE1372=""),"",$C1372&amp;"|"&amp;$A1372&amp;"|"&amp;$AE1372)</f>
        <v/>
      </c>
      <c r="AI1372" s="32">
        <f>IF(OR($C1372="",$AE1372="",$AE1372=1),"",IFERROR(INDEX($AC$6:$AC$1505,MATCH($C1372&amp;"|"&amp;$A1372&amp;"|"&amp;($AE1372-1),$AH$6:$AH$1505,0)),""))</f>
        <v/>
      </c>
      <c r="AJ1372" s="32">
        <f>IF(OR($AI1372="",$AC1372=""),"",IF($AI1372=$AC1372,"ללא שינוי","מ-"&amp;$AI1372&amp;" ל-"&amp;$AC1372))</f>
        <v/>
      </c>
      <c r="AK1372" s="67" t="n"/>
    </row>
    <row r="1373">
      <c r="A1373" s="65" t="n"/>
      <c r="B1373" s="65" t="n"/>
      <c r="C1373" s="66" t="n"/>
      <c r="D1373" s="66" t="n"/>
      <c r="E1373" s="65" t="n"/>
      <c r="F1373" s="65" t="n"/>
      <c r="G1373" s="65" t="n"/>
      <c r="H1373" s="65" t="n"/>
      <c r="I1373" s="65" t="n"/>
      <c r="J1373" s="65" t="n"/>
      <c r="K1373" s="65" t="n"/>
      <c r="L1373" s="65" t="n"/>
      <c r="M1373" s="65" t="n"/>
      <c r="N1373" s="65" t="n"/>
      <c r="O1373" s="65" t="n"/>
      <c r="P1373" s="65" t="n"/>
      <c r="Q1373" s="65" t="n"/>
      <c r="R1373" s="65" t="n"/>
      <c r="S1373" s="65" t="n"/>
      <c r="T1373" s="65" t="n"/>
      <c r="U1373" s="65" t="n"/>
      <c r="V1373" s="65" t="n"/>
      <c r="W1373" s="65" t="n"/>
      <c r="X1373" s="65" t="n"/>
      <c r="Y1373" s="32">
        <f>IF($C1373="","",IF(COUNTA($I1373:$K1373)&lt;3,"— חסרים נתונים",IF(AND($I1373="תקין",$J1373="תקין",$K1373="תקין"),"רהוטה",IF(AND($I1373="תקין",$J1373="תקין"),"מדויקת ורציפה","אינה מדויקת או מקוטעת"))))</f>
        <v/>
      </c>
      <c r="Z1373" s="32">
        <f>IF($C1373="","",IF(COUNTA($U1373:$W1373)&lt;3,"",IF(AND($U1373="מפותח",$V1373="מפותח",$W1373="מפותחת"),"מפותחת",IF((--($U1373="דל"))+(--($V1373="אינו מפותח"))+(--($W1373="דלה"))&gt;=2,"אינה מפותחת","חלקית"))))</f>
        <v/>
      </c>
      <c r="AA1373" s="32">
        <f>IF($C1373="","",IF(COUNTA($M1373,$N1373,$O1373)&lt;3,"— חסרים נתונים",IF(OR($M1373="נמוכה",(--($M1373&lt;&gt;"תקינה"))+(--($N1373&lt;&gt;"תקין"))+(--($O1373&lt;&gt;"תקינה"))&gt;=2),"ניכרת","אינה ניכרת")))</f>
        <v/>
      </c>
      <c r="AB1373" s="32">
        <f>IF(OR($C1373="",$Y1373="",$AA1373="",LEFT($Y1373,1)="—",LEFT($AA1373,1)="—"),"",IF($Z1373="","— נדרשת הערכת כתיבה",IF($L1373="","— חסרה הבנת הנקרא",IF($Y1373="אינה מדויקת או מקוטעת",IF($AA1373="ניכרת","מיקוד בשטף הקריאה ובכישורי שפה","מיקוד בשטף קריאה"),IF($AA1373="ניכרת","מיקוד בכישורי שפה",IF(AND($L1373="תקינה",$Z1373="מפותחת"),"קוראים וכותבים מיומנים","מיקוד בהבנה והבעה"))))))</f>
        <v/>
      </c>
      <c r="AC1373" s="32">
        <f>IF(OR($AB1373="",LEFT($AB1373,1)="—"),"",IF(OR($AB1373="מיקוד בשטף קריאה",$AB1373="מיקוד בשטף הקריאה ובכישורי שפה"),"רמה א'",IF($AB1373="קוראים וכותבים מיומנים","רמה ג'","רמה ב'")))</f>
        <v/>
      </c>
      <c r="AD1373" s="32">
        <f>IF($AC1373="","",MID(IF(AND($AC1373="רמה א'",$AA1373="ניכרת"),"; להוסיף עבודת אוצר מילים","")&amp;IF($Z1373="אינה מפותחת","; דגש על הבעה בכתב","")&amp;IF($K1373&lt;&gt;"תקין","; נדרש לעבוד על ההנגנה","")&amp;IF($AK1373&lt;&gt;"","; "&amp;$AK1373,""),3,400))</f>
        <v/>
      </c>
      <c r="AE1373" s="32">
        <f>IF($F1373="","",IF($F1373="תחילת שנה",1,IF($F1373="מחצית שנה",2,3)))</f>
        <v/>
      </c>
      <c r="AF1373" s="32">
        <f>IF(OR($B1373="",$AC1373="",$A1373="",$F1373=""),"",$B1373&amp;"|"&amp;$A1373&amp;"|"&amp;$F1373&amp;"|"&amp;$AC1373&amp;"|"&amp;COUNTIFS($B$6:$B1373,$B1373,$A$6:$A1373,$A1373,$F$6:$F1373,$F1373,$AC$6:$AC1373,$AC1373))</f>
        <v/>
      </c>
      <c r="AG1373" s="32">
        <f>IF($C1373="","",$C1373&amp;"|"&amp;COUNTIFS($C$6:$C1373,$C1373))</f>
        <v/>
      </c>
      <c r="AH1373" s="32">
        <f>IF(OR($C1373="",$A1373="",$AE1373=""),"",$C1373&amp;"|"&amp;$A1373&amp;"|"&amp;$AE1373)</f>
        <v/>
      </c>
      <c r="AI1373" s="32">
        <f>IF(OR($C1373="",$AE1373="",$AE1373=1),"",IFERROR(INDEX($AC$6:$AC$1505,MATCH($C1373&amp;"|"&amp;$A1373&amp;"|"&amp;($AE1373-1),$AH$6:$AH$1505,0)),""))</f>
        <v/>
      </c>
      <c r="AJ1373" s="32">
        <f>IF(OR($AI1373="",$AC1373=""),"",IF($AI1373=$AC1373,"ללא שינוי","מ-"&amp;$AI1373&amp;" ל-"&amp;$AC1373))</f>
        <v/>
      </c>
      <c r="AK1373" s="67" t="n"/>
    </row>
    <row r="1374">
      <c r="A1374" s="65" t="n"/>
      <c r="B1374" s="65" t="n"/>
      <c r="C1374" s="66" t="n"/>
      <c r="D1374" s="66" t="n"/>
      <c r="E1374" s="65" t="n"/>
      <c r="F1374" s="65" t="n"/>
      <c r="G1374" s="65" t="n"/>
      <c r="H1374" s="65" t="n"/>
      <c r="I1374" s="65" t="n"/>
      <c r="J1374" s="65" t="n"/>
      <c r="K1374" s="65" t="n"/>
      <c r="L1374" s="65" t="n"/>
      <c r="M1374" s="65" t="n"/>
      <c r="N1374" s="65" t="n"/>
      <c r="O1374" s="65" t="n"/>
      <c r="P1374" s="65" t="n"/>
      <c r="Q1374" s="65" t="n"/>
      <c r="R1374" s="65" t="n"/>
      <c r="S1374" s="65" t="n"/>
      <c r="T1374" s="65" t="n"/>
      <c r="U1374" s="65" t="n"/>
      <c r="V1374" s="65" t="n"/>
      <c r="W1374" s="65" t="n"/>
      <c r="X1374" s="65" t="n"/>
      <c r="Y1374" s="32">
        <f>IF($C1374="","",IF(COUNTA($I1374:$K1374)&lt;3,"— חסרים נתונים",IF(AND($I1374="תקין",$J1374="תקין",$K1374="תקין"),"רהוטה",IF(AND($I1374="תקין",$J1374="תקין"),"מדויקת ורציפה","אינה מדויקת או מקוטעת"))))</f>
        <v/>
      </c>
      <c r="Z1374" s="32">
        <f>IF($C1374="","",IF(COUNTA($U1374:$W1374)&lt;3,"",IF(AND($U1374="מפותח",$V1374="מפותח",$W1374="מפותחת"),"מפותחת",IF((--($U1374="דל"))+(--($V1374="אינו מפותח"))+(--($W1374="דלה"))&gt;=2,"אינה מפותחת","חלקית"))))</f>
        <v/>
      </c>
      <c r="AA1374" s="32">
        <f>IF($C1374="","",IF(COUNTA($M1374,$N1374,$O1374)&lt;3,"— חסרים נתונים",IF(OR($M1374="נמוכה",(--($M1374&lt;&gt;"תקינה"))+(--($N1374&lt;&gt;"תקין"))+(--($O1374&lt;&gt;"תקינה"))&gt;=2),"ניכרת","אינה ניכרת")))</f>
        <v/>
      </c>
      <c r="AB1374" s="32">
        <f>IF(OR($C1374="",$Y1374="",$AA1374="",LEFT($Y1374,1)="—",LEFT($AA1374,1)="—"),"",IF($Z1374="","— נדרשת הערכת כתיבה",IF($L1374="","— חסרה הבנת הנקרא",IF($Y1374="אינה מדויקת או מקוטעת",IF($AA1374="ניכרת","מיקוד בשטף הקריאה ובכישורי שפה","מיקוד בשטף קריאה"),IF($AA1374="ניכרת","מיקוד בכישורי שפה",IF(AND($L1374="תקינה",$Z1374="מפותחת"),"קוראים וכותבים מיומנים","מיקוד בהבנה והבעה"))))))</f>
        <v/>
      </c>
      <c r="AC1374" s="32">
        <f>IF(OR($AB1374="",LEFT($AB1374,1)="—"),"",IF(OR($AB1374="מיקוד בשטף קריאה",$AB1374="מיקוד בשטף הקריאה ובכישורי שפה"),"רמה א'",IF($AB1374="קוראים וכותבים מיומנים","רמה ג'","רמה ב'")))</f>
        <v/>
      </c>
      <c r="AD1374" s="32">
        <f>IF($AC1374="","",MID(IF(AND($AC1374="רמה א'",$AA1374="ניכרת"),"; להוסיף עבודת אוצר מילים","")&amp;IF($Z1374="אינה מפותחת","; דגש על הבעה בכתב","")&amp;IF($K1374&lt;&gt;"תקין","; נדרש לעבוד על ההנגנה","")&amp;IF($AK1374&lt;&gt;"","; "&amp;$AK1374,""),3,400))</f>
        <v/>
      </c>
      <c r="AE1374" s="32">
        <f>IF($F1374="","",IF($F1374="תחילת שנה",1,IF($F1374="מחצית שנה",2,3)))</f>
        <v/>
      </c>
      <c r="AF1374" s="32">
        <f>IF(OR($B1374="",$AC1374="",$A1374="",$F1374=""),"",$B1374&amp;"|"&amp;$A1374&amp;"|"&amp;$F1374&amp;"|"&amp;$AC1374&amp;"|"&amp;COUNTIFS($B$6:$B1374,$B1374,$A$6:$A1374,$A1374,$F$6:$F1374,$F1374,$AC$6:$AC1374,$AC1374))</f>
        <v/>
      </c>
      <c r="AG1374" s="32">
        <f>IF($C1374="","",$C1374&amp;"|"&amp;COUNTIFS($C$6:$C1374,$C1374))</f>
        <v/>
      </c>
      <c r="AH1374" s="32">
        <f>IF(OR($C1374="",$A1374="",$AE1374=""),"",$C1374&amp;"|"&amp;$A1374&amp;"|"&amp;$AE1374)</f>
        <v/>
      </c>
      <c r="AI1374" s="32">
        <f>IF(OR($C1374="",$AE1374="",$AE1374=1),"",IFERROR(INDEX($AC$6:$AC$1505,MATCH($C1374&amp;"|"&amp;$A1374&amp;"|"&amp;($AE1374-1),$AH$6:$AH$1505,0)),""))</f>
        <v/>
      </c>
      <c r="AJ1374" s="32">
        <f>IF(OR($AI1374="",$AC1374=""),"",IF($AI1374=$AC1374,"ללא שינוי","מ-"&amp;$AI1374&amp;" ל-"&amp;$AC1374))</f>
        <v/>
      </c>
      <c r="AK1374" s="67" t="n"/>
    </row>
    <row r="1375">
      <c r="A1375" s="65" t="n"/>
      <c r="B1375" s="65" t="n"/>
      <c r="C1375" s="66" t="n"/>
      <c r="D1375" s="66" t="n"/>
      <c r="E1375" s="65" t="n"/>
      <c r="F1375" s="65" t="n"/>
      <c r="G1375" s="65" t="n"/>
      <c r="H1375" s="65" t="n"/>
      <c r="I1375" s="65" t="n"/>
      <c r="J1375" s="65" t="n"/>
      <c r="K1375" s="65" t="n"/>
      <c r="L1375" s="65" t="n"/>
      <c r="M1375" s="65" t="n"/>
      <c r="N1375" s="65" t="n"/>
      <c r="O1375" s="65" t="n"/>
      <c r="P1375" s="65" t="n"/>
      <c r="Q1375" s="65" t="n"/>
      <c r="R1375" s="65" t="n"/>
      <c r="S1375" s="65" t="n"/>
      <c r="T1375" s="65" t="n"/>
      <c r="U1375" s="65" t="n"/>
      <c r="V1375" s="65" t="n"/>
      <c r="W1375" s="65" t="n"/>
      <c r="X1375" s="65" t="n"/>
      <c r="Y1375" s="32">
        <f>IF($C1375="","",IF(COUNTA($I1375:$K1375)&lt;3,"— חסרים נתונים",IF(AND($I1375="תקין",$J1375="תקין",$K1375="תקין"),"רהוטה",IF(AND($I1375="תקין",$J1375="תקין"),"מדויקת ורציפה","אינה מדויקת או מקוטעת"))))</f>
        <v/>
      </c>
      <c r="Z1375" s="32">
        <f>IF($C1375="","",IF(COUNTA($U1375:$W1375)&lt;3,"",IF(AND($U1375="מפותח",$V1375="מפותח",$W1375="מפותחת"),"מפותחת",IF((--($U1375="דל"))+(--($V1375="אינו מפותח"))+(--($W1375="דלה"))&gt;=2,"אינה מפותחת","חלקית"))))</f>
        <v/>
      </c>
      <c r="AA1375" s="32">
        <f>IF($C1375="","",IF(COUNTA($M1375,$N1375,$O1375)&lt;3,"— חסרים נתונים",IF(OR($M1375="נמוכה",(--($M1375&lt;&gt;"תקינה"))+(--($N1375&lt;&gt;"תקין"))+(--($O1375&lt;&gt;"תקינה"))&gt;=2),"ניכרת","אינה ניכרת")))</f>
        <v/>
      </c>
      <c r="AB1375" s="32">
        <f>IF(OR($C1375="",$Y1375="",$AA1375="",LEFT($Y1375,1)="—",LEFT($AA1375,1)="—"),"",IF($Z1375="","— נדרשת הערכת כתיבה",IF($L1375="","— חסרה הבנת הנקרא",IF($Y1375="אינה מדויקת או מקוטעת",IF($AA1375="ניכרת","מיקוד בשטף הקריאה ובכישורי שפה","מיקוד בשטף קריאה"),IF($AA1375="ניכרת","מיקוד בכישורי שפה",IF(AND($L1375="תקינה",$Z1375="מפותחת"),"קוראים וכותבים מיומנים","מיקוד בהבנה והבעה"))))))</f>
        <v/>
      </c>
      <c r="AC1375" s="32">
        <f>IF(OR($AB1375="",LEFT($AB1375,1)="—"),"",IF(OR($AB1375="מיקוד בשטף קריאה",$AB1375="מיקוד בשטף הקריאה ובכישורי שפה"),"רמה א'",IF($AB1375="קוראים וכותבים מיומנים","רמה ג'","רמה ב'")))</f>
        <v/>
      </c>
      <c r="AD1375" s="32">
        <f>IF($AC1375="","",MID(IF(AND($AC1375="רמה א'",$AA1375="ניכרת"),"; להוסיף עבודת אוצר מילים","")&amp;IF($Z1375="אינה מפותחת","; דגש על הבעה בכתב","")&amp;IF($K1375&lt;&gt;"תקין","; נדרש לעבוד על ההנגנה","")&amp;IF($AK1375&lt;&gt;"","; "&amp;$AK1375,""),3,400))</f>
        <v/>
      </c>
      <c r="AE1375" s="32">
        <f>IF($F1375="","",IF($F1375="תחילת שנה",1,IF($F1375="מחצית שנה",2,3)))</f>
        <v/>
      </c>
      <c r="AF1375" s="32">
        <f>IF(OR($B1375="",$AC1375="",$A1375="",$F1375=""),"",$B1375&amp;"|"&amp;$A1375&amp;"|"&amp;$F1375&amp;"|"&amp;$AC1375&amp;"|"&amp;COUNTIFS($B$6:$B1375,$B1375,$A$6:$A1375,$A1375,$F$6:$F1375,$F1375,$AC$6:$AC1375,$AC1375))</f>
        <v/>
      </c>
      <c r="AG1375" s="32">
        <f>IF($C1375="","",$C1375&amp;"|"&amp;COUNTIFS($C$6:$C1375,$C1375))</f>
        <v/>
      </c>
      <c r="AH1375" s="32">
        <f>IF(OR($C1375="",$A1375="",$AE1375=""),"",$C1375&amp;"|"&amp;$A1375&amp;"|"&amp;$AE1375)</f>
        <v/>
      </c>
      <c r="AI1375" s="32">
        <f>IF(OR($C1375="",$AE1375="",$AE1375=1),"",IFERROR(INDEX($AC$6:$AC$1505,MATCH($C1375&amp;"|"&amp;$A1375&amp;"|"&amp;($AE1375-1),$AH$6:$AH$1505,0)),""))</f>
        <v/>
      </c>
      <c r="AJ1375" s="32">
        <f>IF(OR($AI1375="",$AC1375=""),"",IF($AI1375=$AC1375,"ללא שינוי","מ-"&amp;$AI1375&amp;" ל-"&amp;$AC1375))</f>
        <v/>
      </c>
      <c r="AK1375" s="67" t="n"/>
    </row>
    <row r="1376">
      <c r="A1376" s="65" t="n"/>
      <c r="B1376" s="65" t="n"/>
      <c r="C1376" s="66" t="n"/>
      <c r="D1376" s="66" t="n"/>
      <c r="E1376" s="65" t="n"/>
      <c r="F1376" s="65" t="n"/>
      <c r="G1376" s="65" t="n"/>
      <c r="H1376" s="65" t="n"/>
      <c r="I1376" s="65" t="n"/>
      <c r="J1376" s="65" t="n"/>
      <c r="K1376" s="65" t="n"/>
      <c r="L1376" s="65" t="n"/>
      <c r="M1376" s="65" t="n"/>
      <c r="N1376" s="65" t="n"/>
      <c r="O1376" s="65" t="n"/>
      <c r="P1376" s="65" t="n"/>
      <c r="Q1376" s="65" t="n"/>
      <c r="R1376" s="65" t="n"/>
      <c r="S1376" s="65" t="n"/>
      <c r="T1376" s="65" t="n"/>
      <c r="U1376" s="65" t="n"/>
      <c r="V1376" s="65" t="n"/>
      <c r="W1376" s="65" t="n"/>
      <c r="X1376" s="65" t="n"/>
      <c r="Y1376" s="32">
        <f>IF($C1376="","",IF(COUNTA($I1376:$K1376)&lt;3,"— חסרים נתונים",IF(AND($I1376="תקין",$J1376="תקין",$K1376="תקין"),"רהוטה",IF(AND($I1376="תקין",$J1376="תקין"),"מדויקת ורציפה","אינה מדויקת או מקוטעת"))))</f>
        <v/>
      </c>
      <c r="Z1376" s="32">
        <f>IF($C1376="","",IF(COUNTA($U1376:$W1376)&lt;3,"",IF(AND($U1376="מפותח",$V1376="מפותח",$W1376="מפותחת"),"מפותחת",IF((--($U1376="דל"))+(--($V1376="אינו מפותח"))+(--($W1376="דלה"))&gt;=2,"אינה מפותחת","חלקית"))))</f>
        <v/>
      </c>
      <c r="AA1376" s="32">
        <f>IF($C1376="","",IF(COUNTA($M1376,$N1376,$O1376)&lt;3,"— חסרים נתונים",IF(OR($M1376="נמוכה",(--($M1376&lt;&gt;"תקינה"))+(--($N1376&lt;&gt;"תקין"))+(--($O1376&lt;&gt;"תקינה"))&gt;=2),"ניכרת","אינה ניכרת")))</f>
        <v/>
      </c>
      <c r="AB1376" s="32">
        <f>IF(OR($C1376="",$Y1376="",$AA1376="",LEFT($Y1376,1)="—",LEFT($AA1376,1)="—"),"",IF($Z1376="","— נדרשת הערכת כתיבה",IF($L1376="","— חסרה הבנת הנקרא",IF($Y1376="אינה מדויקת או מקוטעת",IF($AA1376="ניכרת","מיקוד בשטף הקריאה ובכישורי שפה","מיקוד בשטף קריאה"),IF($AA1376="ניכרת","מיקוד בכישורי שפה",IF(AND($L1376="תקינה",$Z1376="מפותחת"),"קוראים וכותבים מיומנים","מיקוד בהבנה והבעה"))))))</f>
        <v/>
      </c>
      <c r="AC1376" s="32">
        <f>IF(OR($AB1376="",LEFT($AB1376,1)="—"),"",IF(OR($AB1376="מיקוד בשטף קריאה",$AB1376="מיקוד בשטף הקריאה ובכישורי שפה"),"רמה א'",IF($AB1376="קוראים וכותבים מיומנים","רמה ג'","רמה ב'")))</f>
        <v/>
      </c>
      <c r="AD1376" s="32">
        <f>IF($AC1376="","",MID(IF(AND($AC1376="רמה א'",$AA1376="ניכרת"),"; להוסיף עבודת אוצר מילים","")&amp;IF($Z1376="אינה מפותחת","; דגש על הבעה בכתב","")&amp;IF($K1376&lt;&gt;"תקין","; נדרש לעבוד על ההנגנה","")&amp;IF($AK1376&lt;&gt;"","; "&amp;$AK1376,""),3,400))</f>
        <v/>
      </c>
      <c r="AE1376" s="32">
        <f>IF($F1376="","",IF($F1376="תחילת שנה",1,IF($F1376="מחצית שנה",2,3)))</f>
        <v/>
      </c>
      <c r="AF1376" s="32">
        <f>IF(OR($B1376="",$AC1376="",$A1376="",$F1376=""),"",$B1376&amp;"|"&amp;$A1376&amp;"|"&amp;$F1376&amp;"|"&amp;$AC1376&amp;"|"&amp;COUNTIFS($B$6:$B1376,$B1376,$A$6:$A1376,$A1376,$F$6:$F1376,$F1376,$AC$6:$AC1376,$AC1376))</f>
        <v/>
      </c>
      <c r="AG1376" s="32">
        <f>IF($C1376="","",$C1376&amp;"|"&amp;COUNTIFS($C$6:$C1376,$C1376))</f>
        <v/>
      </c>
      <c r="AH1376" s="32">
        <f>IF(OR($C1376="",$A1376="",$AE1376=""),"",$C1376&amp;"|"&amp;$A1376&amp;"|"&amp;$AE1376)</f>
        <v/>
      </c>
      <c r="AI1376" s="32">
        <f>IF(OR($C1376="",$AE1376="",$AE1376=1),"",IFERROR(INDEX($AC$6:$AC$1505,MATCH($C1376&amp;"|"&amp;$A1376&amp;"|"&amp;($AE1376-1),$AH$6:$AH$1505,0)),""))</f>
        <v/>
      </c>
      <c r="AJ1376" s="32">
        <f>IF(OR($AI1376="",$AC1376=""),"",IF($AI1376=$AC1376,"ללא שינוי","מ-"&amp;$AI1376&amp;" ל-"&amp;$AC1376))</f>
        <v/>
      </c>
      <c r="AK1376" s="67" t="n"/>
    </row>
    <row r="1377">
      <c r="A1377" s="65" t="n"/>
      <c r="B1377" s="65" t="n"/>
      <c r="C1377" s="66" t="n"/>
      <c r="D1377" s="66" t="n"/>
      <c r="E1377" s="65" t="n"/>
      <c r="F1377" s="65" t="n"/>
      <c r="G1377" s="65" t="n"/>
      <c r="H1377" s="65" t="n"/>
      <c r="I1377" s="65" t="n"/>
      <c r="J1377" s="65" t="n"/>
      <c r="K1377" s="65" t="n"/>
      <c r="L1377" s="65" t="n"/>
      <c r="M1377" s="65" t="n"/>
      <c r="N1377" s="65" t="n"/>
      <c r="O1377" s="65" t="n"/>
      <c r="P1377" s="65" t="n"/>
      <c r="Q1377" s="65" t="n"/>
      <c r="R1377" s="65" t="n"/>
      <c r="S1377" s="65" t="n"/>
      <c r="T1377" s="65" t="n"/>
      <c r="U1377" s="65" t="n"/>
      <c r="V1377" s="65" t="n"/>
      <c r="W1377" s="65" t="n"/>
      <c r="X1377" s="65" t="n"/>
      <c r="Y1377" s="32">
        <f>IF($C1377="","",IF(COUNTA($I1377:$K1377)&lt;3,"— חסרים נתונים",IF(AND($I1377="תקין",$J1377="תקין",$K1377="תקין"),"רהוטה",IF(AND($I1377="תקין",$J1377="תקין"),"מדויקת ורציפה","אינה מדויקת או מקוטעת"))))</f>
        <v/>
      </c>
      <c r="Z1377" s="32">
        <f>IF($C1377="","",IF(COUNTA($U1377:$W1377)&lt;3,"",IF(AND($U1377="מפותח",$V1377="מפותח",$W1377="מפותחת"),"מפותחת",IF((--($U1377="דל"))+(--($V1377="אינו מפותח"))+(--($W1377="דלה"))&gt;=2,"אינה מפותחת","חלקית"))))</f>
        <v/>
      </c>
      <c r="AA1377" s="32">
        <f>IF($C1377="","",IF(COUNTA($M1377,$N1377,$O1377)&lt;3,"— חסרים נתונים",IF(OR($M1377="נמוכה",(--($M1377&lt;&gt;"תקינה"))+(--($N1377&lt;&gt;"תקין"))+(--($O1377&lt;&gt;"תקינה"))&gt;=2),"ניכרת","אינה ניכרת")))</f>
        <v/>
      </c>
      <c r="AB1377" s="32">
        <f>IF(OR($C1377="",$Y1377="",$AA1377="",LEFT($Y1377,1)="—",LEFT($AA1377,1)="—"),"",IF($Z1377="","— נדרשת הערכת כתיבה",IF($L1377="","— חסרה הבנת הנקרא",IF($Y1377="אינה מדויקת או מקוטעת",IF($AA1377="ניכרת","מיקוד בשטף הקריאה ובכישורי שפה","מיקוד בשטף קריאה"),IF($AA1377="ניכרת","מיקוד בכישורי שפה",IF(AND($L1377="תקינה",$Z1377="מפותחת"),"קוראים וכותבים מיומנים","מיקוד בהבנה והבעה"))))))</f>
        <v/>
      </c>
      <c r="AC1377" s="32">
        <f>IF(OR($AB1377="",LEFT($AB1377,1)="—"),"",IF(OR($AB1377="מיקוד בשטף קריאה",$AB1377="מיקוד בשטף הקריאה ובכישורי שפה"),"רמה א'",IF($AB1377="קוראים וכותבים מיומנים","רמה ג'","רמה ב'")))</f>
        <v/>
      </c>
      <c r="AD1377" s="32">
        <f>IF($AC1377="","",MID(IF(AND($AC1377="רמה א'",$AA1377="ניכרת"),"; להוסיף עבודת אוצר מילים","")&amp;IF($Z1377="אינה מפותחת","; דגש על הבעה בכתב","")&amp;IF($K1377&lt;&gt;"תקין","; נדרש לעבוד על ההנגנה","")&amp;IF($AK1377&lt;&gt;"","; "&amp;$AK1377,""),3,400))</f>
        <v/>
      </c>
      <c r="AE1377" s="32">
        <f>IF($F1377="","",IF($F1377="תחילת שנה",1,IF($F1377="מחצית שנה",2,3)))</f>
        <v/>
      </c>
      <c r="AF1377" s="32">
        <f>IF(OR($B1377="",$AC1377="",$A1377="",$F1377=""),"",$B1377&amp;"|"&amp;$A1377&amp;"|"&amp;$F1377&amp;"|"&amp;$AC1377&amp;"|"&amp;COUNTIFS($B$6:$B1377,$B1377,$A$6:$A1377,$A1377,$F$6:$F1377,$F1377,$AC$6:$AC1377,$AC1377))</f>
        <v/>
      </c>
      <c r="AG1377" s="32">
        <f>IF($C1377="","",$C1377&amp;"|"&amp;COUNTIFS($C$6:$C1377,$C1377))</f>
        <v/>
      </c>
      <c r="AH1377" s="32">
        <f>IF(OR($C1377="",$A1377="",$AE1377=""),"",$C1377&amp;"|"&amp;$A1377&amp;"|"&amp;$AE1377)</f>
        <v/>
      </c>
      <c r="AI1377" s="32">
        <f>IF(OR($C1377="",$AE1377="",$AE1377=1),"",IFERROR(INDEX($AC$6:$AC$1505,MATCH($C1377&amp;"|"&amp;$A1377&amp;"|"&amp;($AE1377-1),$AH$6:$AH$1505,0)),""))</f>
        <v/>
      </c>
      <c r="AJ1377" s="32">
        <f>IF(OR($AI1377="",$AC1377=""),"",IF($AI1377=$AC1377,"ללא שינוי","מ-"&amp;$AI1377&amp;" ל-"&amp;$AC1377))</f>
        <v/>
      </c>
      <c r="AK1377" s="67" t="n"/>
    </row>
    <row r="1378">
      <c r="A1378" s="65" t="n"/>
      <c r="B1378" s="65" t="n"/>
      <c r="C1378" s="66" t="n"/>
      <c r="D1378" s="66" t="n"/>
      <c r="E1378" s="65" t="n"/>
      <c r="F1378" s="65" t="n"/>
      <c r="G1378" s="65" t="n"/>
      <c r="H1378" s="65" t="n"/>
      <c r="I1378" s="65" t="n"/>
      <c r="J1378" s="65" t="n"/>
      <c r="K1378" s="65" t="n"/>
      <c r="L1378" s="65" t="n"/>
      <c r="M1378" s="65" t="n"/>
      <c r="N1378" s="65" t="n"/>
      <c r="O1378" s="65" t="n"/>
      <c r="P1378" s="65" t="n"/>
      <c r="Q1378" s="65" t="n"/>
      <c r="R1378" s="65" t="n"/>
      <c r="S1378" s="65" t="n"/>
      <c r="T1378" s="65" t="n"/>
      <c r="U1378" s="65" t="n"/>
      <c r="V1378" s="65" t="n"/>
      <c r="W1378" s="65" t="n"/>
      <c r="X1378" s="65" t="n"/>
      <c r="Y1378" s="32">
        <f>IF($C1378="","",IF(COUNTA($I1378:$K1378)&lt;3,"— חסרים נתונים",IF(AND($I1378="תקין",$J1378="תקין",$K1378="תקין"),"רהוטה",IF(AND($I1378="תקין",$J1378="תקין"),"מדויקת ורציפה","אינה מדויקת או מקוטעת"))))</f>
        <v/>
      </c>
      <c r="Z1378" s="32">
        <f>IF($C1378="","",IF(COUNTA($U1378:$W1378)&lt;3,"",IF(AND($U1378="מפותח",$V1378="מפותח",$W1378="מפותחת"),"מפותחת",IF((--($U1378="דל"))+(--($V1378="אינו מפותח"))+(--($W1378="דלה"))&gt;=2,"אינה מפותחת","חלקית"))))</f>
        <v/>
      </c>
      <c r="AA1378" s="32">
        <f>IF($C1378="","",IF(COUNTA($M1378,$N1378,$O1378)&lt;3,"— חסרים נתונים",IF(OR($M1378="נמוכה",(--($M1378&lt;&gt;"תקינה"))+(--($N1378&lt;&gt;"תקין"))+(--($O1378&lt;&gt;"תקינה"))&gt;=2),"ניכרת","אינה ניכרת")))</f>
        <v/>
      </c>
      <c r="AB1378" s="32">
        <f>IF(OR($C1378="",$Y1378="",$AA1378="",LEFT($Y1378,1)="—",LEFT($AA1378,1)="—"),"",IF($Z1378="","— נדרשת הערכת כתיבה",IF($L1378="","— חסרה הבנת הנקרא",IF($Y1378="אינה מדויקת או מקוטעת",IF($AA1378="ניכרת","מיקוד בשטף הקריאה ובכישורי שפה","מיקוד בשטף קריאה"),IF($AA1378="ניכרת","מיקוד בכישורי שפה",IF(AND($L1378="תקינה",$Z1378="מפותחת"),"קוראים וכותבים מיומנים","מיקוד בהבנה והבעה"))))))</f>
        <v/>
      </c>
      <c r="AC1378" s="32">
        <f>IF(OR($AB1378="",LEFT($AB1378,1)="—"),"",IF(OR($AB1378="מיקוד בשטף קריאה",$AB1378="מיקוד בשטף הקריאה ובכישורי שפה"),"רמה א'",IF($AB1378="קוראים וכותבים מיומנים","רמה ג'","רמה ב'")))</f>
        <v/>
      </c>
      <c r="AD1378" s="32">
        <f>IF($AC1378="","",MID(IF(AND($AC1378="רמה א'",$AA1378="ניכרת"),"; להוסיף עבודת אוצר מילים","")&amp;IF($Z1378="אינה מפותחת","; דגש על הבעה בכתב","")&amp;IF($K1378&lt;&gt;"תקין","; נדרש לעבוד על ההנגנה","")&amp;IF($AK1378&lt;&gt;"","; "&amp;$AK1378,""),3,400))</f>
        <v/>
      </c>
      <c r="AE1378" s="32">
        <f>IF($F1378="","",IF($F1378="תחילת שנה",1,IF($F1378="מחצית שנה",2,3)))</f>
        <v/>
      </c>
      <c r="AF1378" s="32">
        <f>IF(OR($B1378="",$AC1378="",$A1378="",$F1378=""),"",$B1378&amp;"|"&amp;$A1378&amp;"|"&amp;$F1378&amp;"|"&amp;$AC1378&amp;"|"&amp;COUNTIFS($B$6:$B1378,$B1378,$A$6:$A1378,$A1378,$F$6:$F1378,$F1378,$AC$6:$AC1378,$AC1378))</f>
        <v/>
      </c>
      <c r="AG1378" s="32">
        <f>IF($C1378="","",$C1378&amp;"|"&amp;COUNTIFS($C$6:$C1378,$C1378))</f>
        <v/>
      </c>
      <c r="AH1378" s="32">
        <f>IF(OR($C1378="",$A1378="",$AE1378=""),"",$C1378&amp;"|"&amp;$A1378&amp;"|"&amp;$AE1378)</f>
        <v/>
      </c>
      <c r="AI1378" s="32">
        <f>IF(OR($C1378="",$AE1378="",$AE1378=1),"",IFERROR(INDEX($AC$6:$AC$1505,MATCH($C1378&amp;"|"&amp;$A1378&amp;"|"&amp;($AE1378-1),$AH$6:$AH$1505,0)),""))</f>
        <v/>
      </c>
      <c r="AJ1378" s="32">
        <f>IF(OR($AI1378="",$AC1378=""),"",IF($AI1378=$AC1378,"ללא שינוי","מ-"&amp;$AI1378&amp;" ל-"&amp;$AC1378))</f>
        <v/>
      </c>
      <c r="AK1378" s="67" t="n"/>
    </row>
    <row r="1379">
      <c r="A1379" s="65" t="n"/>
      <c r="B1379" s="65" t="n"/>
      <c r="C1379" s="66" t="n"/>
      <c r="D1379" s="66" t="n"/>
      <c r="E1379" s="65" t="n"/>
      <c r="F1379" s="65" t="n"/>
      <c r="G1379" s="65" t="n"/>
      <c r="H1379" s="65" t="n"/>
      <c r="I1379" s="65" t="n"/>
      <c r="J1379" s="65" t="n"/>
      <c r="K1379" s="65" t="n"/>
      <c r="L1379" s="65" t="n"/>
      <c r="M1379" s="65" t="n"/>
      <c r="N1379" s="65" t="n"/>
      <c r="O1379" s="65" t="n"/>
      <c r="P1379" s="65" t="n"/>
      <c r="Q1379" s="65" t="n"/>
      <c r="R1379" s="65" t="n"/>
      <c r="S1379" s="65" t="n"/>
      <c r="T1379" s="65" t="n"/>
      <c r="U1379" s="65" t="n"/>
      <c r="V1379" s="65" t="n"/>
      <c r="W1379" s="65" t="n"/>
      <c r="X1379" s="65" t="n"/>
      <c r="Y1379" s="32">
        <f>IF($C1379="","",IF(COUNTA($I1379:$K1379)&lt;3,"— חסרים נתונים",IF(AND($I1379="תקין",$J1379="תקין",$K1379="תקין"),"רהוטה",IF(AND($I1379="תקין",$J1379="תקין"),"מדויקת ורציפה","אינה מדויקת או מקוטעת"))))</f>
        <v/>
      </c>
      <c r="Z1379" s="32">
        <f>IF($C1379="","",IF(COUNTA($U1379:$W1379)&lt;3,"",IF(AND($U1379="מפותח",$V1379="מפותח",$W1379="מפותחת"),"מפותחת",IF((--($U1379="דל"))+(--($V1379="אינו מפותח"))+(--($W1379="דלה"))&gt;=2,"אינה מפותחת","חלקית"))))</f>
        <v/>
      </c>
      <c r="AA1379" s="32">
        <f>IF($C1379="","",IF(COUNTA($M1379,$N1379,$O1379)&lt;3,"— חסרים נתונים",IF(OR($M1379="נמוכה",(--($M1379&lt;&gt;"תקינה"))+(--($N1379&lt;&gt;"תקין"))+(--($O1379&lt;&gt;"תקינה"))&gt;=2),"ניכרת","אינה ניכרת")))</f>
        <v/>
      </c>
      <c r="AB1379" s="32">
        <f>IF(OR($C1379="",$Y1379="",$AA1379="",LEFT($Y1379,1)="—",LEFT($AA1379,1)="—"),"",IF($Z1379="","— נדרשת הערכת כתיבה",IF($L1379="","— חסרה הבנת הנקרא",IF($Y1379="אינה מדויקת או מקוטעת",IF($AA1379="ניכרת","מיקוד בשטף הקריאה ובכישורי שפה","מיקוד בשטף קריאה"),IF($AA1379="ניכרת","מיקוד בכישורי שפה",IF(AND($L1379="תקינה",$Z1379="מפותחת"),"קוראים וכותבים מיומנים","מיקוד בהבנה והבעה"))))))</f>
        <v/>
      </c>
      <c r="AC1379" s="32">
        <f>IF(OR($AB1379="",LEFT($AB1379,1)="—"),"",IF(OR($AB1379="מיקוד בשטף קריאה",$AB1379="מיקוד בשטף הקריאה ובכישורי שפה"),"רמה א'",IF($AB1379="קוראים וכותבים מיומנים","רמה ג'","רמה ב'")))</f>
        <v/>
      </c>
      <c r="AD1379" s="32">
        <f>IF($AC1379="","",MID(IF(AND($AC1379="רמה א'",$AA1379="ניכרת"),"; להוסיף עבודת אוצר מילים","")&amp;IF($Z1379="אינה מפותחת","; דגש על הבעה בכתב","")&amp;IF($K1379&lt;&gt;"תקין","; נדרש לעבוד על ההנגנה","")&amp;IF($AK1379&lt;&gt;"","; "&amp;$AK1379,""),3,400))</f>
        <v/>
      </c>
      <c r="AE1379" s="32">
        <f>IF($F1379="","",IF($F1379="תחילת שנה",1,IF($F1379="מחצית שנה",2,3)))</f>
        <v/>
      </c>
      <c r="AF1379" s="32">
        <f>IF(OR($B1379="",$AC1379="",$A1379="",$F1379=""),"",$B1379&amp;"|"&amp;$A1379&amp;"|"&amp;$F1379&amp;"|"&amp;$AC1379&amp;"|"&amp;COUNTIFS($B$6:$B1379,$B1379,$A$6:$A1379,$A1379,$F$6:$F1379,$F1379,$AC$6:$AC1379,$AC1379))</f>
        <v/>
      </c>
      <c r="AG1379" s="32">
        <f>IF($C1379="","",$C1379&amp;"|"&amp;COUNTIFS($C$6:$C1379,$C1379))</f>
        <v/>
      </c>
      <c r="AH1379" s="32">
        <f>IF(OR($C1379="",$A1379="",$AE1379=""),"",$C1379&amp;"|"&amp;$A1379&amp;"|"&amp;$AE1379)</f>
        <v/>
      </c>
      <c r="AI1379" s="32">
        <f>IF(OR($C1379="",$AE1379="",$AE1379=1),"",IFERROR(INDEX($AC$6:$AC$1505,MATCH($C1379&amp;"|"&amp;$A1379&amp;"|"&amp;($AE1379-1),$AH$6:$AH$1505,0)),""))</f>
        <v/>
      </c>
      <c r="AJ1379" s="32">
        <f>IF(OR($AI1379="",$AC1379=""),"",IF($AI1379=$AC1379,"ללא שינוי","מ-"&amp;$AI1379&amp;" ל-"&amp;$AC1379))</f>
        <v/>
      </c>
      <c r="AK1379" s="67" t="n"/>
    </row>
    <row r="1380">
      <c r="A1380" s="65" t="n"/>
      <c r="B1380" s="65" t="n"/>
      <c r="C1380" s="66" t="n"/>
      <c r="D1380" s="66" t="n"/>
      <c r="E1380" s="65" t="n"/>
      <c r="F1380" s="65" t="n"/>
      <c r="G1380" s="65" t="n"/>
      <c r="H1380" s="65" t="n"/>
      <c r="I1380" s="65" t="n"/>
      <c r="J1380" s="65" t="n"/>
      <c r="K1380" s="65" t="n"/>
      <c r="L1380" s="65" t="n"/>
      <c r="M1380" s="65" t="n"/>
      <c r="N1380" s="65" t="n"/>
      <c r="O1380" s="65" t="n"/>
      <c r="P1380" s="65" t="n"/>
      <c r="Q1380" s="65" t="n"/>
      <c r="R1380" s="65" t="n"/>
      <c r="S1380" s="65" t="n"/>
      <c r="T1380" s="65" t="n"/>
      <c r="U1380" s="65" t="n"/>
      <c r="V1380" s="65" t="n"/>
      <c r="W1380" s="65" t="n"/>
      <c r="X1380" s="65" t="n"/>
      <c r="Y1380" s="32">
        <f>IF($C1380="","",IF(COUNTA($I1380:$K1380)&lt;3,"— חסרים נתונים",IF(AND($I1380="תקין",$J1380="תקין",$K1380="תקין"),"רהוטה",IF(AND($I1380="תקין",$J1380="תקין"),"מדויקת ורציפה","אינה מדויקת או מקוטעת"))))</f>
        <v/>
      </c>
      <c r="Z1380" s="32">
        <f>IF($C1380="","",IF(COUNTA($U1380:$W1380)&lt;3,"",IF(AND($U1380="מפותח",$V1380="מפותח",$W1380="מפותחת"),"מפותחת",IF((--($U1380="דל"))+(--($V1380="אינו מפותח"))+(--($W1380="דלה"))&gt;=2,"אינה מפותחת","חלקית"))))</f>
        <v/>
      </c>
      <c r="AA1380" s="32">
        <f>IF($C1380="","",IF(COUNTA($M1380,$N1380,$O1380)&lt;3,"— חסרים נתונים",IF(OR($M1380="נמוכה",(--($M1380&lt;&gt;"תקינה"))+(--($N1380&lt;&gt;"תקין"))+(--($O1380&lt;&gt;"תקינה"))&gt;=2),"ניכרת","אינה ניכרת")))</f>
        <v/>
      </c>
      <c r="AB1380" s="32">
        <f>IF(OR($C1380="",$Y1380="",$AA1380="",LEFT($Y1380,1)="—",LEFT($AA1380,1)="—"),"",IF($Z1380="","— נדרשת הערכת כתיבה",IF($L1380="","— חסרה הבנת הנקרא",IF($Y1380="אינה מדויקת או מקוטעת",IF($AA1380="ניכרת","מיקוד בשטף הקריאה ובכישורי שפה","מיקוד בשטף קריאה"),IF($AA1380="ניכרת","מיקוד בכישורי שפה",IF(AND($L1380="תקינה",$Z1380="מפותחת"),"קוראים וכותבים מיומנים","מיקוד בהבנה והבעה"))))))</f>
        <v/>
      </c>
      <c r="AC1380" s="32">
        <f>IF(OR($AB1380="",LEFT($AB1380,1)="—"),"",IF(OR($AB1380="מיקוד בשטף קריאה",$AB1380="מיקוד בשטף הקריאה ובכישורי שפה"),"רמה א'",IF($AB1380="קוראים וכותבים מיומנים","רמה ג'","רמה ב'")))</f>
        <v/>
      </c>
      <c r="AD1380" s="32">
        <f>IF($AC1380="","",MID(IF(AND($AC1380="רמה א'",$AA1380="ניכרת"),"; להוסיף עבודת אוצר מילים","")&amp;IF($Z1380="אינה מפותחת","; דגש על הבעה בכתב","")&amp;IF($K1380&lt;&gt;"תקין","; נדרש לעבוד על ההנגנה","")&amp;IF($AK1380&lt;&gt;"","; "&amp;$AK1380,""),3,400))</f>
        <v/>
      </c>
      <c r="AE1380" s="32">
        <f>IF($F1380="","",IF($F1380="תחילת שנה",1,IF($F1380="מחצית שנה",2,3)))</f>
        <v/>
      </c>
      <c r="AF1380" s="32">
        <f>IF(OR($B1380="",$AC1380="",$A1380="",$F1380=""),"",$B1380&amp;"|"&amp;$A1380&amp;"|"&amp;$F1380&amp;"|"&amp;$AC1380&amp;"|"&amp;COUNTIFS($B$6:$B1380,$B1380,$A$6:$A1380,$A1380,$F$6:$F1380,$F1380,$AC$6:$AC1380,$AC1380))</f>
        <v/>
      </c>
      <c r="AG1380" s="32">
        <f>IF($C1380="","",$C1380&amp;"|"&amp;COUNTIFS($C$6:$C1380,$C1380))</f>
        <v/>
      </c>
      <c r="AH1380" s="32">
        <f>IF(OR($C1380="",$A1380="",$AE1380=""),"",$C1380&amp;"|"&amp;$A1380&amp;"|"&amp;$AE1380)</f>
        <v/>
      </c>
      <c r="AI1380" s="32">
        <f>IF(OR($C1380="",$AE1380="",$AE1380=1),"",IFERROR(INDEX($AC$6:$AC$1505,MATCH($C1380&amp;"|"&amp;$A1380&amp;"|"&amp;($AE1380-1),$AH$6:$AH$1505,0)),""))</f>
        <v/>
      </c>
      <c r="AJ1380" s="32">
        <f>IF(OR($AI1380="",$AC1380=""),"",IF($AI1380=$AC1380,"ללא שינוי","מ-"&amp;$AI1380&amp;" ל-"&amp;$AC1380))</f>
        <v/>
      </c>
      <c r="AK1380" s="67" t="n"/>
    </row>
    <row r="1381">
      <c r="A1381" s="65" t="n"/>
      <c r="B1381" s="65" t="n"/>
      <c r="C1381" s="66" t="n"/>
      <c r="D1381" s="66" t="n"/>
      <c r="E1381" s="65" t="n"/>
      <c r="F1381" s="65" t="n"/>
      <c r="G1381" s="65" t="n"/>
      <c r="H1381" s="65" t="n"/>
      <c r="I1381" s="65" t="n"/>
      <c r="J1381" s="65" t="n"/>
      <c r="K1381" s="65" t="n"/>
      <c r="L1381" s="65" t="n"/>
      <c r="M1381" s="65" t="n"/>
      <c r="N1381" s="65" t="n"/>
      <c r="O1381" s="65" t="n"/>
      <c r="P1381" s="65" t="n"/>
      <c r="Q1381" s="65" t="n"/>
      <c r="R1381" s="65" t="n"/>
      <c r="S1381" s="65" t="n"/>
      <c r="T1381" s="65" t="n"/>
      <c r="U1381" s="65" t="n"/>
      <c r="V1381" s="65" t="n"/>
      <c r="W1381" s="65" t="n"/>
      <c r="X1381" s="65" t="n"/>
      <c r="Y1381" s="32">
        <f>IF($C1381="","",IF(COUNTA($I1381:$K1381)&lt;3,"— חסרים נתונים",IF(AND($I1381="תקין",$J1381="תקין",$K1381="תקין"),"רהוטה",IF(AND($I1381="תקין",$J1381="תקין"),"מדויקת ורציפה","אינה מדויקת או מקוטעת"))))</f>
        <v/>
      </c>
      <c r="Z1381" s="32">
        <f>IF($C1381="","",IF(COUNTA($U1381:$W1381)&lt;3,"",IF(AND($U1381="מפותח",$V1381="מפותח",$W1381="מפותחת"),"מפותחת",IF((--($U1381="דל"))+(--($V1381="אינו מפותח"))+(--($W1381="דלה"))&gt;=2,"אינה מפותחת","חלקית"))))</f>
        <v/>
      </c>
      <c r="AA1381" s="32">
        <f>IF($C1381="","",IF(COUNTA($M1381,$N1381,$O1381)&lt;3,"— חסרים נתונים",IF(OR($M1381="נמוכה",(--($M1381&lt;&gt;"תקינה"))+(--($N1381&lt;&gt;"תקין"))+(--($O1381&lt;&gt;"תקינה"))&gt;=2),"ניכרת","אינה ניכרת")))</f>
        <v/>
      </c>
      <c r="AB1381" s="32">
        <f>IF(OR($C1381="",$Y1381="",$AA1381="",LEFT($Y1381,1)="—",LEFT($AA1381,1)="—"),"",IF($Z1381="","— נדרשת הערכת כתיבה",IF($L1381="","— חסרה הבנת הנקרא",IF($Y1381="אינה מדויקת או מקוטעת",IF($AA1381="ניכרת","מיקוד בשטף הקריאה ובכישורי שפה","מיקוד בשטף קריאה"),IF($AA1381="ניכרת","מיקוד בכישורי שפה",IF(AND($L1381="תקינה",$Z1381="מפותחת"),"קוראים וכותבים מיומנים","מיקוד בהבנה והבעה"))))))</f>
        <v/>
      </c>
      <c r="AC1381" s="32">
        <f>IF(OR($AB1381="",LEFT($AB1381,1)="—"),"",IF(OR($AB1381="מיקוד בשטף קריאה",$AB1381="מיקוד בשטף הקריאה ובכישורי שפה"),"רמה א'",IF($AB1381="קוראים וכותבים מיומנים","רמה ג'","רמה ב'")))</f>
        <v/>
      </c>
      <c r="AD1381" s="32">
        <f>IF($AC1381="","",MID(IF(AND($AC1381="רמה א'",$AA1381="ניכרת"),"; להוסיף עבודת אוצר מילים","")&amp;IF($Z1381="אינה מפותחת","; דגש על הבעה בכתב","")&amp;IF($K1381&lt;&gt;"תקין","; נדרש לעבוד על ההנגנה","")&amp;IF($AK1381&lt;&gt;"","; "&amp;$AK1381,""),3,400))</f>
        <v/>
      </c>
      <c r="AE1381" s="32">
        <f>IF($F1381="","",IF($F1381="תחילת שנה",1,IF($F1381="מחצית שנה",2,3)))</f>
        <v/>
      </c>
      <c r="AF1381" s="32">
        <f>IF(OR($B1381="",$AC1381="",$A1381="",$F1381=""),"",$B1381&amp;"|"&amp;$A1381&amp;"|"&amp;$F1381&amp;"|"&amp;$AC1381&amp;"|"&amp;COUNTIFS($B$6:$B1381,$B1381,$A$6:$A1381,$A1381,$F$6:$F1381,$F1381,$AC$6:$AC1381,$AC1381))</f>
        <v/>
      </c>
      <c r="AG1381" s="32">
        <f>IF($C1381="","",$C1381&amp;"|"&amp;COUNTIFS($C$6:$C1381,$C1381))</f>
        <v/>
      </c>
      <c r="AH1381" s="32">
        <f>IF(OR($C1381="",$A1381="",$AE1381=""),"",$C1381&amp;"|"&amp;$A1381&amp;"|"&amp;$AE1381)</f>
        <v/>
      </c>
      <c r="AI1381" s="32">
        <f>IF(OR($C1381="",$AE1381="",$AE1381=1),"",IFERROR(INDEX($AC$6:$AC$1505,MATCH($C1381&amp;"|"&amp;$A1381&amp;"|"&amp;($AE1381-1),$AH$6:$AH$1505,0)),""))</f>
        <v/>
      </c>
      <c r="AJ1381" s="32">
        <f>IF(OR($AI1381="",$AC1381=""),"",IF($AI1381=$AC1381,"ללא שינוי","מ-"&amp;$AI1381&amp;" ל-"&amp;$AC1381))</f>
        <v/>
      </c>
      <c r="AK1381" s="67" t="n"/>
    </row>
    <row r="1382">
      <c r="A1382" s="65" t="n"/>
      <c r="B1382" s="65" t="n"/>
      <c r="C1382" s="66" t="n"/>
      <c r="D1382" s="66" t="n"/>
      <c r="E1382" s="65" t="n"/>
      <c r="F1382" s="65" t="n"/>
      <c r="G1382" s="65" t="n"/>
      <c r="H1382" s="65" t="n"/>
      <c r="I1382" s="65" t="n"/>
      <c r="J1382" s="65" t="n"/>
      <c r="K1382" s="65" t="n"/>
      <c r="L1382" s="65" t="n"/>
      <c r="M1382" s="65" t="n"/>
      <c r="N1382" s="65" t="n"/>
      <c r="O1382" s="65" t="n"/>
      <c r="P1382" s="65" t="n"/>
      <c r="Q1382" s="65" t="n"/>
      <c r="R1382" s="65" t="n"/>
      <c r="S1382" s="65" t="n"/>
      <c r="T1382" s="65" t="n"/>
      <c r="U1382" s="65" t="n"/>
      <c r="V1382" s="65" t="n"/>
      <c r="W1382" s="65" t="n"/>
      <c r="X1382" s="65" t="n"/>
      <c r="Y1382" s="32">
        <f>IF($C1382="","",IF(COUNTA($I1382:$K1382)&lt;3,"— חסרים נתונים",IF(AND($I1382="תקין",$J1382="תקין",$K1382="תקין"),"רהוטה",IF(AND($I1382="תקין",$J1382="תקין"),"מדויקת ורציפה","אינה מדויקת או מקוטעת"))))</f>
        <v/>
      </c>
      <c r="Z1382" s="32">
        <f>IF($C1382="","",IF(COUNTA($U1382:$W1382)&lt;3,"",IF(AND($U1382="מפותח",$V1382="מפותח",$W1382="מפותחת"),"מפותחת",IF((--($U1382="דל"))+(--($V1382="אינו מפותח"))+(--($W1382="דלה"))&gt;=2,"אינה מפותחת","חלקית"))))</f>
        <v/>
      </c>
      <c r="AA1382" s="32">
        <f>IF($C1382="","",IF(COUNTA($M1382,$N1382,$O1382)&lt;3,"— חסרים נתונים",IF(OR($M1382="נמוכה",(--($M1382&lt;&gt;"תקינה"))+(--($N1382&lt;&gt;"תקין"))+(--($O1382&lt;&gt;"תקינה"))&gt;=2),"ניכרת","אינה ניכרת")))</f>
        <v/>
      </c>
      <c r="AB1382" s="32">
        <f>IF(OR($C1382="",$Y1382="",$AA1382="",LEFT($Y1382,1)="—",LEFT($AA1382,1)="—"),"",IF($Z1382="","— נדרשת הערכת כתיבה",IF($L1382="","— חסרה הבנת הנקרא",IF($Y1382="אינה מדויקת או מקוטעת",IF($AA1382="ניכרת","מיקוד בשטף הקריאה ובכישורי שפה","מיקוד בשטף קריאה"),IF($AA1382="ניכרת","מיקוד בכישורי שפה",IF(AND($L1382="תקינה",$Z1382="מפותחת"),"קוראים וכותבים מיומנים","מיקוד בהבנה והבעה"))))))</f>
        <v/>
      </c>
      <c r="AC1382" s="32">
        <f>IF(OR($AB1382="",LEFT($AB1382,1)="—"),"",IF(OR($AB1382="מיקוד בשטף קריאה",$AB1382="מיקוד בשטף הקריאה ובכישורי שפה"),"רמה א'",IF($AB1382="קוראים וכותבים מיומנים","רמה ג'","רמה ב'")))</f>
        <v/>
      </c>
      <c r="AD1382" s="32">
        <f>IF($AC1382="","",MID(IF(AND($AC1382="רמה א'",$AA1382="ניכרת"),"; להוסיף עבודת אוצר מילים","")&amp;IF($Z1382="אינה מפותחת","; דגש על הבעה בכתב","")&amp;IF($K1382&lt;&gt;"תקין","; נדרש לעבוד על ההנגנה","")&amp;IF($AK1382&lt;&gt;"","; "&amp;$AK1382,""),3,400))</f>
        <v/>
      </c>
      <c r="AE1382" s="32">
        <f>IF($F1382="","",IF($F1382="תחילת שנה",1,IF($F1382="מחצית שנה",2,3)))</f>
        <v/>
      </c>
      <c r="AF1382" s="32">
        <f>IF(OR($B1382="",$AC1382="",$A1382="",$F1382=""),"",$B1382&amp;"|"&amp;$A1382&amp;"|"&amp;$F1382&amp;"|"&amp;$AC1382&amp;"|"&amp;COUNTIFS($B$6:$B1382,$B1382,$A$6:$A1382,$A1382,$F$6:$F1382,$F1382,$AC$6:$AC1382,$AC1382))</f>
        <v/>
      </c>
      <c r="AG1382" s="32">
        <f>IF($C1382="","",$C1382&amp;"|"&amp;COUNTIFS($C$6:$C1382,$C1382))</f>
        <v/>
      </c>
      <c r="AH1382" s="32">
        <f>IF(OR($C1382="",$A1382="",$AE1382=""),"",$C1382&amp;"|"&amp;$A1382&amp;"|"&amp;$AE1382)</f>
        <v/>
      </c>
      <c r="AI1382" s="32">
        <f>IF(OR($C1382="",$AE1382="",$AE1382=1),"",IFERROR(INDEX($AC$6:$AC$1505,MATCH($C1382&amp;"|"&amp;$A1382&amp;"|"&amp;($AE1382-1),$AH$6:$AH$1505,0)),""))</f>
        <v/>
      </c>
      <c r="AJ1382" s="32">
        <f>IF(OR($AI1382="",$AC1382=""),"",IF($AI1382=$AC1382,"ללא שינוי","מ-"&amp;$AI1382&amp;" ל-"&amp;$AC1382))</f>
        <v/>
      </c>
      <c r="AK1382" s="67" t="n"/>
    </row>
    <row r="1383">
      <c r="A1383" s="65" t="n"/>
      <c r="B1383" s="65" t="n"/>
      <c r="C1383" s="66" t="n"/>
      <c r="D1383" s="66" t="n"/>
      <c r="E1383" s="65" t="n"/>
      <c r="F1383" s="65" t="n"/>
      <c r="G1383" s="65" t="n"/>
      <c r="H1383" s="65" t="n"/>
      <c r="I1383" s="65" t="n"/>
      <c r="J1383" s="65" t="n"/>
      <c r="K1383" s="65" t="n"/>
      <c r="L1383" s="65" t="n"/>
      <c r="M1383" s="65" t="n"/>
      <c r="N1383" s="65" t="n"/>
      <c r="O1383" s="65" t="n"/>
      <c r="P1383" s="65" t="n"/>
      <c r="Q1383" s="65" t="n"/>
      <c r="R1383" s="65" t="n"/>
      <c r="S1383" s="65" t="n"/>
      <c r="T1383" s="65" t="n"/>
      <c r="U1383" s="65" t="n"/>
      <c r="V1383" s="65" t="n"/>
      <c r="W1383" s="65" t="n"/>
      <c r="X1383" s="65" t="n"/>
      <c r="Y1383" s="32">
        <f>IF($C1383="","",IF(COUNTA($I1383:$K1383)&lt;3,"— חסרים נתונים",IF(AND($I1383="תקין",$J1383="תקין",$K1383="תקין"),"רהוטה",IF(AND($I1383="תקין",$J1383="תקין"),"מדויקת ורציפה","אינה מדויקת או מקוטעת"))))</f>
        <v/>
      </c>
      <c r="Z1383" s="32">
        <f>IF($C1383="","",IF(COUNTA($U1383:$W1383)&lt;3,"",IF(AND($U1383="מפותח",$V1383="מפותח",$W1383="מפותחת"),"מפותחת",IF((--($U1383="דל"))+(--($V1383="אינו מפותח"))+(--($W1383="דלה"))&gt;=2,"אינה מפותחת","חלקית"))))</f>
        <v/>
      </c>
      <c r="AA1383" s="32">
        <f>IF($C1383="","",IF(COUNTA($M1383,$N1383,$O1383)&lt;3,"— חסרים נתונים",IF(OR($M1383="נמוכה",(--($M1383&lt;&gt;"תקינה"))+(--($N1383&lt;&gt;"תקין"))+(--($O1383&lt;&gt;"תקינה"))&gt;=2),"ניכרת","אינה ניכרת")))</f>
        <v/>
      </c>
      <c r="AB1383" s="32">
        <f>IF(OR($C1383="",$Y1383="",$AA1383="",LEFT($Y1383,1)="—",LEFT($AA1383,1)="—"),"",IF($Z1383="","— נדרשת הערכת כתיבה",IF($L1383="","— חסרה הבנת הנקרא",IF($Y1383="אינה מדויקת או מקוטעת",IF($AA1383="ניכרת","מיקוד בשטף הקריאה ובכישורי שפה","מיקוד בשטף קריאה"),IF($AA1383="ניכרת","מיקוד בכישורי שפה",IF(AND($L1383="תקינה",$Z1383="מפותחת"),"קוראים וכותבים מיומנים","מיקוד בהבנה והבעה"))))))</f>
        <v/>
      </c>
      <c r="AC1383" s="32">
        <f>IF(OR($AB1383="",LEFT($AB1383,1)="—"),"",IF(OR($AB1383="מיקוד בשטף קריאה",$AB1383="מיקוד בשטף הקריאה ובכישורי שפה"),"רמה א'",IF($AB1383="קוראים וכותבים מיומנים","רמה ג'","רמה ב'")))</f>
        <v/>
      </c>
      <c r="AD1383" s="32">
        <f>IF($AC1383="","",MID(IF(AND($AC1383="רמה א'",$AA1383="ניכרת"),"; להוסיף עבודת אוצר מילים","")&amp;IF($Z1383="אינה מפותחת","; דגש על הבעה בכתב","")&amp;IF($K1383&lt;&gt;"תקין","; נדרש לעבוד על ההנגנה","")&amp;IF($AK1383&lt;&gt;"","; "&amp;$AK1383,""),3,400))</f>
        <v/>
      </c>
      <c r="AE1383" s="32">
        <f>IF($F1383="","",IF($F1383="תחילת שנה",1,IF($F1383="מחצית שנה",2,3)))</f>
        <v/>
      </c>
      <c r="AF1383" s="32">
        <f>IF(OR($B1383="",$AC1383="",$A1383="",$F1383=""),"",$B1383&amp;"|"&amp;$A1383&amp;"|"&amp;$F1383&amp;"|"&amp;$AC1383&amp;"|"&amp;COUNTIFS($B$6:$B1383,$B1383,$A$6:$A1383,$A1383,$F$6:$F1383,$F1383,$AC$6:$AC1383,$AC1383))</f>
        <v/>
      </c>
      <c r="AG1383" s="32">
        <f>IF($C1383="","",$C1383&amp;"|"&amp;COUNTIFS($C$6:$C1383,$C1383))</f>
        <v/>
      </c>
      <c r="AH1383" s="32">
        <f>IF(OR($C1383="",$A1383="",$AE1383=""),"",$C1383&amp;"|"&amp;$A1383&amp;"|"&amp;$AE1383)</f>
        <v/>
      </c>
      <c r="AI1383" s="32">
        <f>IF(OR($C1383="",$AE1383="",$AE1383=1),"",IFERROR(INDEX($AC$6:$AC$1505,MATCH($C1383&amp;"|"&amp;$A1383&amp;"|"&amp;($AE1383-1),$AH$6:$AH$1505,0)),""))</f>
        <v/>
      </c>
      <c r="AJ1383" s="32">
        <f>IF(OR($AI1383="",$AC1383=""),"",IF($AI1383=$AC1383,"ללא שינוי","מ-"&amp;$AI1383&amp;" ל-"&amp;$AC1383))</f>
        <v/>
      </c>
      <c r="AK1383" s="67" t="n"/>
    </row>
    <row r="1384">
      <c r="A1384" s="65" t="n"/>
      <c r="B1384" s="65" t="n"/>
      <c r="C1384" s="66" t="n"/>
      <c r="D1384" s="66" t="n"/>
      <c r="E1384" s="65" t="n"/>
      <c r="F1384" s="65" t="n"/>
      <c r="G1384" s="65" t="n"/>
      <c r="H1384" s="65" t="n"/>
      <c r="I1384" s="65" t="n"/>
      <c r="J1384" s="65" t="n"/>
      <c r="K1384" s="65" t="n"/>
      <c r="L1384" s="65" t="n"/>
      <c r="M1384" s="65" t="n"/>
      <c r="N1384" s="65" t="n"/>
      <c r="O1384" s="65" t="n"/>
      <c r="P1384" s="65" t="n"/>
      <c r="Q1384" s="65" t="n"/>
      <c r="R1384" s="65" t="n"/>
      <c r="S1384" s="65" t="n"/>
      <c r="T1384" s="65" t="n"/>
      <c r="U1384" s="65" t="n"/>
      <c r="V1384" s="65" t="n"/>
      <c r="W1384" s="65" t="n"/>
      <c r="X1384" s="65" t="n"/>
      <c r="Y1384" s="32">
        <f>IF($C1384="","",IF(COUNTA($I1384:$K1384)&lt;3,"— חסרים נתונים",IF(AND($I1384="תקין",$J1384="תקין",$K1384="תקין"),"רהוטה",IF(AND($I1384="תקין",$J1384="תקין"),"מדויקת ורציפה","אינה מדויקת או מקוטעת"))))</f>
        <v/>
      </c>
      <c r="Z1384" s="32">
        <f>IF($C1384="","",IF(COUNTA($U1384:$W1384)&lt;3,"",IF(AND($U1384="מפותח",$V1384="מפותח",$W1384="מפותחת"),"מפותחת",IF((--($U1384="דל"))+(--($V1384="אינו מפותח"))+(--($W1384="דלה"))&gt;=2,"אינה מפותחת","חלקית"))))</f>
        <v/>
      </c>
      <c r="AA1384" s="32">
        <f>IF($C1384="","",IF(COUNTA($M1384,$N1384,$O1384)&lt;3,"— חסרים נתונים",IF(OR($M1384="נמוכה",(--($M1384&lt;&gt;"תקינה"))+(--($N1384&lt;&gt;"תקין"))+(--($O1384&lt;&gt;"תקינה"))&gt;=2),"ניכרת","אינה ניכרת")))</f>
        <v/>
      </c>
      <c r="AB1384" s="32">
        <f>IF(OR($C1384="",$Y1384="",$AA1384="",LEFT($Y1384,1)="—",LEFT($AA1384,1)="—"),"",IF($Z1384="","— נדרשת הערכת כתיבה",IF($L1384="","— חסרה הבנת הנקרא",IF($Y1384="אינה מדויקת או מקוטעת",IF($AA1384="ניכרת","מיקוד בשטף הקריאה ובכישורי שפה","מיקוד בשטף קריאה"),IF($AA1384="ניכרת","מיקוד בכישורי שפה",IF(AND($L1384="תקינה",$Z1384="מפותחת"),"קוראים וכותבים מיומנים","מיקוד בהבנה והבעה"))))))</f>
        <v/>
      </c>
      <c r="AC1384" s="32">
        <f>IF(OR($AB1384="",LEFT($AB1384,1)="—"),"",IF(OR($AB1384="מיקוד בשטף קריאה",$AB1384="מיקוד בשטף הקריאה ובכישורי שפה"),"רמה א'",IF($AB1384="קוראים וכותבים מיומנים","רמה ג'","רמה ב'")))</f>
        <v/>
      </c>
      <c r="AD1384" s="32">
        <f>IF($AC1384="","",MID(IF(AND($AC1384="רמה א'",$AA1384="ניכרת"),"; להוסיף עבודת אוצר מילים","")&amp;IF($Z1384="אינה מפותחת","; דגש על הבעה בכתב","")&amp;IF($K1384&lt;&gt;"תקין","; נדרש לעבוד על ההנגנה","")&amp;IF($AK1384&lt;&gt;"","; "&amp;$AK1384,""),3,400))</f>
        <v/>
      </c>
      <c r="AE1384" s="32">
        <f>IF($F1384="","",IF($F1384="תחילת שנה",1,IF($F1384="מחצית שנה",2,3)))</f>
        <v/>
      </c>
      <c r="AF1384" s="32">
        <f>IF(OR($B1384="",$AC1384="",$A1384="",$F1384=""),"",$B1384&amp;"|"&amp;$A1384&amp;"|"&amp;$F1384&amp;"|"&amp;$AC1384&amp;"|"&amp;COUNTIFS($B$6:$B1384,$B1384,$A$6:$A1384,$A1384,$F$6:$F1384,$F1384,$AC$6:$AC1384,$AC1384))</f>
        <v/>
      </c>
      <c r="AG1384" s="32">
        <f>IF($C1384="","",$C1384&amp;"|"&amp;COUNTIFS($C$6:$C1384,$C1384))</f>
        <v/>
      </c>
      <c r="AH1384" s="32">
        <f>IF(OR($C1384="",$A1384="",$AE1384=""),"",$C1384&amp;"|"&amp;$A1384&amp;"|"&amp;$AE1384)</f>
        <v/>
      </c>
      <c r="AI1384" s="32">
        <f>IF(OR($C1384="",$AE1384="",$AE1384=1),"",IFERROR(INDEX($AC$6:$AC$1505,MATCH($C1384&amp;"|"&amp;$A1384&amp;"|"&amp;($AE1384-1),$AH$6:$AH$1505,0)),""))</f>
        <v/>
      </c>
      <c r="AJ1384" s="32">
        <f>IF(OR($AI1384="",$AC1384=""),"",IF($AI1384=$AC1384,"ללא שינוי","מ-"&amp;$AI1384&amp;" ל-"&amp;$AC1384))</f>
        <v/>
      </c>
      <c r="AK1384" s="67" t="n"/>
    </row>
    <row r="1385">
      <c r="A1385" s="65" t="n"/>
      <c r="B1385" s="65" t="n"/>
      <c r="C1385" s="66" t="n"/>
      <c r="D1385" s="66" t="n"/>
      <c r="E1385" s="65" t="n"/>
      <c r="F1385" s="65" t="n"/>
      <c r="G1385" s="65" t="n"/>
      <c r="H1385" s="65" t="n"/>
      <c r="I1385" s="65" t="n"/>
      <c r="J1385" s="65" t="n"/>
      <c r="K1385" s="65" t="n"/>
      <c r="L1385" s="65" t="n"/>
      <c r="M1385" s="65" t="n"/>
      <c r="N1385" s="65" t="n"/>
      <c r="O1385" s="65" t="n"/>
      <c r="P1385" s="65" t="n"/>
      <c r="Q1385" s="65" t="n"/>
      <c r="R1385" s="65" t="n"/>
      <c r="S1385" s="65" t="n"/>
      <c r="T1385" s="65" t="n"/>
      <c r="U1385" s="65" t="n"/>
      <c r="V1385" s="65" t="n"/>
      <c r="W1385" s="65" t="n"/>
      <c r="X1385" s="65" t="n"/>
      <c r="Y1385" s="32">
        <f>IF($C1385="","",IF(COUNTA($I1385:$K1385)&lt;3,"— חסרים נתונים",IF(AND($I1385="תקין",$J1385="תקין",$K1385="תקין"),"רהוטה",IF(AND($I1385="תקין",$J1385="תקין"),"מדויקת ורציפה","אינה מדויקת או מקוטעת"))))</f>
        <v/>
      </c>
      <c r="Z1385" s="32">
        <f>IF($C1385="","",IF(COUNTA($U1385:$W1385)&lt;3,"",IF(AND($U1385="מפותח",$V1385="מפותח",$W1385="מפותחת"),"מפותחת",IF((--($U1385="דל"))+(--($V1385="אינו מפותח"))+(--($W1385="דלה"))&gt;=2,"אינה מפותחת","חלקית"))))</f>
        <v/>
      </c>
      <c r="AA1385" s="32">
        <f>IF($C1385="","",IF(COUNTA($M1385,$N1385,$O1385)&lt;3,"— חסרים נתונים",IF(OR($M1385="נמוכה",(--($M1385&lt;&gt;"תקינה"))+(--($N1385&lt;&gt;"תקין"))+(--($O1385&lt;&gt;"תקינה"))&gt;=2),"ניכרת","אינה ניכרת")))</f>
        <v/>
      </c>
      <c r="AB1385" s="32">
        <f>IF(OR($C1385="",$Y1385="",$AA1385="",LEFT($Y1385,1)="—",LEFT($AA1385,1)="—"),"",IF($Z1385="","— נדרשת הערכת כתיבה",IF($L1385="","— חסרה הבנת הנקרא",IF($Y1385="אינה מדויקת או מקוטעת",IF($AA1385="ניכרת","מיקוד בשטף הקריאה ובכישורי שפה","מיקוד בשטף קריאה"),IF($AA1385="ניכרת","מיקוד בכישורי שפה",IF(AND($L1385="תקינה",$Z1385="מפותחת"),"קוראים וכותבים מיומנים","מיקוד בהבנה והבעה"))))))</f>
        <v/>
      </c>
      <c r="AC1385" s="32">
        <f>IF(OR($AB1385="",LEFT($AB1385,1)="—"),"",IF(OR($AB1385="מיקוד בשטף קריאה",$AB1385="מיקוד בשטף הקריאה ובכישורי שפה"),"רמה א'",IF($AB1385="קוראים וכותבים מיומנים","רמה ג'","רמה ב'")))</f>
        <v/>
      </c>
      <c r="AD1385" s="32">
        <f>IF($AC1385="","",MID(IF(AND($AC1385="רמה א'",$AA1385="ניכרת"),"; להוסיף עבודת אוצר מילים","")&amp;IF($Z1385="אינה מפותחת","; דגש על הבעה בכתב","")&amp;IF($K1385&lt;&gt;"תקין","; נדרש לעבוד על ההנגנה","")&amp;IF($AK1385&lt;&gt;"","; "&amp;$AK1385,""),3,400))</f>
        <v/>
      </c>
      <c r="AE1385" s="32">
        <f>IF($F1385="","",IF($F1385="תחילת שנה",1,IF($F1385="מחצית שנה",2,3)))</f>
        <v/>
      </c>
      <c r="AF1385" s="32">
        <f>IF(OR($B1385="",$AC1385="",$A1385="",$F1385=""),"",$B1385&amp;"|"&amp;$A1385&amp;"|"&amp;$F1385&amp;"|"&amp;$AC1385&amp;"|"&amp;COUNTIFS($B$6:$B1385,$B1385,$A$6:$A1385,$A1385,$F$6:$F1385,$F1385,$AC$6:$AC1385,$AC1385))</f>
        <v/>
      </c>
      <c r="AG1385" s="32">
        <f>IF($C1385="","",$C1385&amp;"|"&amp;COUNTIFS($C$6:$C1385,$C1385))</f>
        <v/>
      </c>
      <c r="AH1385" s="32">
        <f>IF(OR($C1385="",$A1385="",$AE1385=""),"",$C1385&amp;"|"&amp;$A1385&amp;"|"&amp;$AE1385)</f>
        <v/>
      </c>
      <c r="AI1385" s="32">
        <f>IF(OR($C1385="",$AE1385="",$AE1385=1),"",IFERROR(INDEX($AC$6:$AC$1505,MATCH($C1385&amp;"|"&amp;$A1385&amp;"|"&amp;($AE1385-1),$AH$6:$AH$1505,0)),""))</f>
        <v/>
      </c>
      <c r="AJ1385" s="32">
        <f>IF(OR($AI1385="",$AC1385=""),"",IF($AI1385=$AC1385,"ללא שינוי","מ-"&amp;$AI1385&amp;" ל-"&amp;$AC1385))</f>
        <v/>
      </c>
      <c r="AK1385" s="67" t="n"/>
    </row>
    <row r="1386">
      <c r="A1386" s="65" t="n"/>
      <c r="B1386" s="65" t="n"/>
      <c r="C1386" s="66" t="n"/>
      <c r="D1386" s="66" t="n"/>
      <c r="E1386" s="65" t="n"/>
      <c r="F1386" s="65" t="n"/>
      <c r="G1386" s="65" t="n"/>
      <c r="H1386" s="65" t="n"/>
      <c r="I1386" s="65" t="n"/>
      <c r="J1386" s="65" t="n"/>
      <c r="K1386" s="65" t="n"/>
      <c r="L1386" s="65" t="n"/>
      <c r="M1386" s="65" t="n"/>
      <c r="N1386" s="65" t="n"/>
      <c r="O1386" s="65" t="n"/>
      <c r="P1386" s="65" t="n"/>
      <c r="Q1386" s="65" t="n"/>
      <c r="R1386" s="65" t="n"/>
      <c r="S1386" s="65" t="n"/>
      <c r="T1386" s="65" t="n"/>
      <c r="U1386" s="65" t="n"/>
      <c r="V1386" s="65" t="n"/>
      <c r="W1386" s="65" t="n"/>
      <c r="X1386" s="65" t="n"/>
      <c r="Y1386" s="32">
        <f>IF($C1386="","",IF(COUNTA($I1386:$K1386)&lt;3,"— חסרים נתונים",IF(AND($I1386="תקין",$J1386="תקין",$K1386="תקין"),"רהוטה",IF(AND($I1386="תקין",$J1386="תקין"),"מדויקת ורציפה","אינה מדויקת או מקוטעת"))))</f>
        <v/>
      </c>
      <c r="Z1386" s="32">
        <f>IF($C1386="","",IF(COUNTA($U1386:$W1386)&lt;3,"",IF(AND($U1386="מפותח",$V1386="מפותח",$W1386="מפותחת"),"מפותחת",IF((--($U1386="דל"))+(--($V1386="אינו מפותח"))+(--($W1386="דלה"))&gt;=2,"אינה מפותחת","חלקית"))))</f>
        <v/>
      </c>
      <c r="AA1386" s="32">
        <f>IF($C1386="","",IF(COUNTA($M1386,$N1386,$O1386)&lt;3,"— חסרים נתונים",IF(OR($M1386="נמוכה",(--($M1386&lt;&gt;"תקינה"))+(--($N1386&lt;&gt;"תקין"))+(--($O1386&lt;&gt;"תקינה"))&gt;=2),"ניכרת","אינה ניכרת")))</f>
        <v/>
      </c>
      <c r="AB1386" s="32">
        <f>IF(OR($C1386="",$Y1386="",$AA1386="",LEFT($Y1386,1)="—",LEFT($AA1386,1)="—"),"",IF($Z1386="","— נדרשת הערכת כתיבה",IF($L1386="","— חסרה הבנת הנקרא",IF($Y1386="אינה מדויקת או מקוטעת",IF($AA1386="ניכרת","מיקוד בשטף הקריאה ובכישורי שפה","מיקוד בשטף קריאה"),IF($AA1386="ניכרת","מיקוד בכישורי שפה",IF(AND($L1386="תקינה",$Z1386="מפותחת"),"קוראים וכותבים מיומנים","מיקוד בהבנה והבעה"))))))</f>
        <v/>
      </c>
      <c r="AC1386" s="32">
        <f>IF(OR($AB1386="",LEFT($AB1386,1)="—"),"",IF(OR($AB1386="מיקוד בשטף קריאה",$AB1386="מיקוד בשטף הקריאה ובכישורי שפה"),"רמה א'",IF($AB1386="קוראים וכותבים מיומנים","רמה ג'","רמה ב'")))</f>
        <v/>
      </c>
      <c r="AD1386" s="32">
        <f>IF($AC1386="","",MID(IF(AND($AC1386="רמה א'",$AA1386="ניכרת"),"; להוסיף עבודת אוצר מילים","")&amp;IF($Z1386="אינה מפותחת","; דגש על הבעה בכתב","")&amp;IF($K1386&lt;&gt;"תקין","; נדרש לעבוד על ההנגנה","")&amp;IF($AK1386&lt;&gt;"","; "&amp;$AK1386,""),3,400))</f>
        <v/>
      </c>
      <c r="AE1386" s="32">
        <f>IF($F1386="","",IF($F1386="תחילת שנה",1,IF($F1386="מחצית שנה",2,3)))</f>
        <v/>
      </c>
      <c r="AF1386" s="32">
        <f>IF(OR($B1386="",$AC1386="",$A1386="",$F1386=""),"",$B1386&amp;"|"&amp;$A1386&amp;"|"&amp;$F1386&amp;"|"&amp;$AC1386&amp;"|"&amp;COUNTIFS($B$6:$B1386,$B1386,$A$6:$A1386,$A1386,$F$6:$F1386,$F1386,$AC$6:$AC1386,$AC1386))</f>
        <v/>
      </c>
      <c r="AG1386" s="32">
        <f>IF($C1386="","",$C1386&amp;"|"&amp;COUNTIFS($C$6:$C1386,$C1386))</f>
        <v/>
      </c>
      <c r="AH1386" s="32">
        <f>IF(OR($C1386="",$A1386="",$AE1386=""),"",$C1386&amp;"|"&amp;$A1386&amp;"|"&amp;$AE1386)</f>
        <v/>
      </c>
      <c r="AI1386" s="32">
        <f>IF(OR($C1386="",$AE1386="",$AE1386=1),"",IFERROR(INDEX($AC$6:$AC$1505,MATCH($C1386&amp;"|"&amp;$A1386&amp;"|"&amp;($AE1386-1),$AH$6:$AH$1505,0)),""))</f>
        <v/>
      </c>
      <c r="AJ1386" s="32">
        <f>IF(OR($AI1386="",$AC1386=""),"",IF($AI1386=$AC1386,"ללא שינוי","מ-"&amp;$AI1386&amp;" ל-"&amp;$AC1386))</f>
        <v/>
      </c>
      <c r="AK1386" s="67" t="n"/>
    </row>
    <row r="1387">
      <c r="A1387" s="65" t="n"/>
      <c r="B1387" s="65" t="n"/>
      <c r="C1387" s="66" t="n"/>
      <c r="D1387" s="66" t="n"/>
      <c r="E1387" s="65" t="n"/>
      <c r="F1387" s="65" t="n"/>
      <c r="G1387" s="65" t="n"/>
      <c r="H1387" s="65" t="n"/>
      <c r="I1387" s="65" t="n"/>
      <c r="J1387" s="65" t="n"/>
      <c r="K1387" s="65" t="n"/>
      <c r="L1387" s="65" t="n"/>
      <c r="M1387" s="65" t="n"/>
      <c r="N1387" s="65" t="n"/>
      <c r="O1387" s="65" t="n"/>
      <c r="P1387" s="65" t="n"/>
      <c r="Q1387" s="65" t="n"/>
      <c r="R1387" s="65" t="n"/>
      <c r="S1387" s="65" t="n"/>
      <c r="T1387" s="65" t="n"/>
      <c r="U1387" s="65" t="n"/>
      <c r="V1387" s="65" t="n"/>
      <c r="W1387" s="65" t="n"/>
      <c r="X1387" s="65" t="n"/>
      <c r="Y1387" s="32">
        <f>IF($C1387="","",IF(COUNTA($I1387:$K1387)&lt;3,"— חסרים נתונים",IF(AND($I1387="תקין",$J1387="תקין",$K1387="תקין"),"רהוטה",IF(AND($I1387="תקין",$J1387="תקין"),"מדויקת ורציפה","אינה מדויקת או מקוטעת"))))</f>
        <v/>
      </c>
      <c r="Z1387" s="32">
        <f>IF($C1387="","",IF(COUNTA($U1387:$W1387)&lt;3,"",IF(AND($U1387="מפותח",$V1387="מפותח",$W1387="מפותחת"),"מפותחת",IF((--($U1387="דל"))+(--($V1387="אינו מפותח"))+(--($W1387="דלה"))&gt;=2,"אינה מפותחת","חלקית"))))</f>
        <v/>
      </c>
      <c r="AA1387" s="32">
        <f>IF($C1387="","",IF(COUNTA($M1387,$N1387,$O1387)&lt;3,"— חסרים נתונים",IF(OR($M1387="נמוכה",(--($M1387&lt;&gt;"תקינה"))+(--($N1387&lt;&gt;"תקין"))+(--($O1387&lt;&gt;"תקינה"))&gt;=2),"ניכרת","אינה ניכרת")))</f>
        <v/>
      </c>
      <c r="AB1387" s="32">
        <f>IF(OR($C1387="",$Y1387="",$AA1387="",LEFT($Y1387,1)="—",LEFT($AA1387,1)="—"),"",IF($Z1387="","— נדרשת הערכת כתיבה",IF($L1387="","— חסרה הבנת הנקרא",IF($Y1387="אינה מדויקת או מקוטעת",IF($AA1387="ניכרת","מיקוד בשטף הקריאה ובכישורי שפה","מיקוד בשטף קריאה"),IF($AA1387="ניכרת","מיקוד בכישורי שפה",IF(AND($L1387="תקינה",$Z1387="מפותחת"),"קוראים וכותבים מיומנים","מיקוד בהבנה והבעה"))))))</f>
        <v/>
      </c>
      <c r="AC1387" s="32">
        <f>IF(OR($AB1387="",LEFT($AB1387,1)="—"),"",IF(OR($AB1387="מיקוד בשטף קריאה",$AB1387="מיקוד בשטף הקריאה ובכישורי שפה"),"רמה א'",IF($AB1387="קוראים וכותבים מיומנים","רמה ג'","רמה ב'")))</f>
        <v/>
      </c>
      <c r="AD1387" s="32">
        <f>IF($AC1387="","",MID(IF(AND($AC1387="רמה א'",$AA1387="ניכרת"),"; להוסיף עבודת אוצר מילים","")&amp;IF($Z1387="אינה מפותחת","; דגש על הבעה בכתב","")&amp;IF($K1387&lt;&gt;"תקין","; נדרש לעבוד על ההנגנה","")&amp;IF($AK1387&lt;&gt;"","; "&amp;$AK1387,""),3,400))</f>
        <v/>
      </c>
      <c r="AE1387" s="32">
        <f>IF($F1387="","",IF($F1387="תחילת שנה",1,IF($F1387="מחצית שנה",2,3)))</f>
        <v/>
      </c>
      <c r="AF1387" s="32">
        <f>IF(OR($B1387="",$AC1387="",$A1387="",$F1387=""),"",$B1387&amp;"|"&amp;$A1387&amp;"|"&amp;$F1387&amp;"|"&amp;$AC1387&amp;"|"&amp;COUNTIFS($B$6:$B1387,$B1387,$A$6:$A1387,$A1387,$F$6:$F1387,$F1387,$AC$6:$AC1387,$AC1387))</f>
        <v/>
      </c>
      <c r="AG1387" s="32">
        <f>IF($C1387="","",$C1387&amp;"|"&amp;COUNTIFS($C$6:$C1387,$C1387))</f>
        <v/>
      </c>
      <c r="AH1387" s="32">
        <f>IF(OR($C1387="",$A1387="",$AE1387=""),"",$C1387&amp;"|"&amp;$A1387&amp;"|"&amp;$AE1387)</f>
        <v/>
      </c>
      <c r="AI1387" s="32">
        <f>IF(OR($C1387="",$AE1387="",$AE1387=1),"",IFERROR(INDEX($AC$6:$AC$1505,MATCH($C1387&amp;"|"&amp;$A1387&amp;"|"&amp;($AE1387-1),$AH$6:$AH$1505,0)),""))</f>
        <v/>
      </c>
      <c r="AJ1387" s="32">
        <f>IF(OR($AI1387="",$AC1387=""),"",IF($AI1387=$AC1387,"ללא שינוי","מ-"&amp;$AI1387&amp;" ל-"&amp;$AC1387))</f>
        <v/>
      </c>
      <c r="AK1387" s="67" t="n"/>
    </row>
    <row r="1388">
      <c r="A1388" s="65" t="n"/>
      <c r="B1388" s="65" t="n"/>
      <c r="C1388" s="66" t="n"/>
      <c r="D1388" s="66" t="n"/>
      <c r="E1388" s="65" t="n"/>
      <c r="F1388" s="65" t="n"/>
      <c r="G1388" s="65" t="n"/>
      <c r="H1388" s="65" t="n"/>
      <c r="I1388" s="65" t="n"/>
      <c r="J1388" s="65" t="n"/>
      <c r="K1388" s="65" t="n"/>
      <c r="L1388" s="65" t="n"/>
      <c r="M1388" s="65" t="n"/>
      <c r="N1388" s="65" t="n"/>
      <c r="O1388" s="65" t="n"/>
      <c r="P1388" s="65" t="n"/>
      <c r="Q1388" s="65" t="n"/>
      <c r="R1388" s="65" t="n"/>
      <c r="S1388" s="65" t="n"/>
      <c r="T1388" s="65" t="n"/>
      <c r="U1388" s="65" t="n"/>
      <c r="V1388" s="65" t="n"/>
      <c r="W1388" s="65" t="n"/>
      <c r="X1388" s="65" t="n"/>
      <c r="Y1388" s="32">
        <f>IF($C1388="","",IF(COUNTA($I1388:$K1388)&lt;3,"— חסרים נתונים",IF(AND($I1388="תקין",$J1388="תקין",$K1388="תקין"),"רהוטה",IF(AND($I1388="תקין",$J1388="תקין"),"מדויקת ורציפה","אינה מדויקת או מקוטעת"))))</f>
        <v/>
      </c>
      <c r="Z1388" s="32">
        <f>IF($C1388="","",IF(COUNTA($U1388:$W1388)&lt;3,"",IF(AND($U1388="מפותח",$V1388="מפותח",$W1388="מפותחת"),"מפותחת",IF((--($U1388="דל"))+(--($V1388="אינו מפותח"))+(--($W1388="דלה"))&gt;=2,"אינה מפותחת","חלקית"))))</f>
        <v/>
      </c>
      <c r="AA1388" s="32">
        <f>IF($C1388="","",IF(COUNTA($M1388,$N1388,$O1388)&lt;3,"— חסרים נתונים",IF(OR($M1388="נמוכה",(--($M1388&lt;&gt;"תקינה"))+(--($N1388&lt;&gt;"תקין"))+(--($O1388&lt;&gt;"תקינה"))&gt;=2),"ניכרת","אינה ניכרת")))</f>
        <v/>
      </c>
      <c r="AB1388" s="32">
        <f>IF(OR($C1388="",$Y1388="",$AA1388="",LEFT($Y1388,1)="—",LEFT($AA1388,1)="—"),"",IF($Z1388="","— נדרשת הערכת כתיבה",IF($L1388="","— חסרה הבנת הנקרא",IF($Y1388="אינה מדויקת או מקוטעת",IF($AA1388="ניכרת","מיקוד בשטף הקריאה ובכישורי שפה","מיקוד בשטף קריאה"),IF($AA1388="ניכרת","מיקוד בכישורי שפה",IF(AND($L1388="תקינה",$Z1388="מפותחת"),"קוראים וכותבים מיומנים","מיקוד בהבנה והבעה"))))))</f>
        <v/>
      </c>
      <c r="AC1388" s="32">
        <f>IF(OR($AB1388="",LEFT($AB1388,1)="—"),"",IF(OR($AB1388="מיקוד בשטף קריאה",$AB1388="מיקוד בשטף הקריאה ובכישורי שפה"),"רמה א'",IF($AB1388="קוראים וכותבים מיומנים","רמה ג'","רמה ב'")))</f>
        <v/>
      </c>
      <c r="AD1388" s="32">
        <f>IF($AC1388="","",MID(IF(AND($AC1388="רמה א'",$AA1388="ניכרת"),"; להוסיף עבודת אוצר מילים","")&amp;IF($Z1388="אינה מפותחת","; דגש על הבעה בכתב","")&amp;IF($K1388&lt;&gt;"תקין","; נדרש לעבוד על ההנגנה","")&amp;IF($AK1388&lt;&gt;"","; "&amp;$AK1388,""),3,400))</f>
        <v/>
      </c>
      <c r="AE1388" s="32">
        <f>IF($F1388="","",IF($F1388="תחילת שנה",1,IF($F1388="מחצית שנה",2,3)))</f>
        <v/>
      </c>
      <c r="AF1388" s="32">
        <f>IF(OR($B1388="",$AC1388="",$A1388="",$F1388=""),"",$B1388&amp;"|"&amp;$A1388&amp;"|"&amp;$F1388&amp;"|"&amp;$AC1388&amp;"|"&amp;COUNTIFS($B$6:$B1388,$B1388,$A$6:$A1388,$A1388,$F$6:$F1388,$F1388,$AC$6:$AC1388,$AC1388))</f>
        <v/>
      </c>
      <c r="AG1388" s="32">
        <f>IF($C1388="","",$C1388&amp;"|"&amp;COUNTIFS($C$6:$C1388,$C1388))</f>
        <v/>
      </c>
      <c r="AH1388" s="32">
        <f>IF(OR($C1388="",$A1388="",$AE1388=""),"",$C1388&amp;"|"&amp;$A1388&amp;"|"&amp;$AE1388)</f>
        <v/>
      </c>
      <c r="AI1388" s="32">
        <f>IF(OR($C1388="",$AE1388="",$AE1388=1),"",IFERROR(INDEX($AC$6:$AC$1505,MATCH($C1388&amp;"|"&amp;$A1388&amp;"|"&amp;($AE1388-1),$AH$6:$AH$1505,0)),""))</f>
        <v/>
      </c>
      <c r="AJ1388" s="32">
        <f>IF(OR($AI1388="",$AC1388=""),"",IF($AI1388=$AC1388,"ללא שינוי","מ-"&amp;$AI1388&amp;" ל-"&amp;$AC1388))</f>
        <v/>
      </c>
      <c r="AK1388" s="67" t="n"/>
    </row>
    <row r="1389">
      <c r="A1389" s="65" t="n"/>
      <c r="B1389" s="65" t="n"/>
      <c r="C1389" s="66" t="n"/>
      <c r="D1389" s="66" t="n"/>
      <c r="E1389" s="65" t="n"/>
      <c r="F1389" s="65" t="n"/>
      <c r="G1389" s="65" t="n"/>
      <c r="H1389" s="65" t="n"/>
      <c r="I1389" s="65" t="n"/>
      <c r="J1389" s="65" t="n"/>
      <c r="K1389" s="65" t="n"/>
      <c r="L1389" s="65" t="n"/>
      <c r="M1389" s="65" t="n"/>
      <c r="N1389" s="65" t="n"/>
      <c r="O1389" s="65" t="n"/>
      <c r="P1389" s="65" t="n"/>
      <c r="Q1389" s="65" t="n"/>
      <c r="R1389" s="65" t="n"/>
      <c r="S1389" s="65" t="n"/>
      <c r="T1389" s="65" t="n"/>
      <c r="U1389" s="65" t="n"/>
      <c r="V1389" s="65" t="n"/>
      <c r="W1389" s="65" t="n"/>
      <c r="X1389" s="65" t="n"/>
      <c r="Y1389" s="32">
        <f>IF($C1389="","",IF(COUNTA($I1389:$K1389)&lt;3,"— חסרים נתונים",IF(AND($I1389="תקין",$J1389="תקין",$K1389="תקין"),"רהוטה",IF(AND($I1389="תקין",$J1389="תקין"),"מדויקת ורציפה","אינה מדויקת או מקוטעת"))))</f>
        <v/>
      </c>
      <c r="Z1389" s="32">
        <f>IF($C1389="","",IF(COUNTA($U1389:$W1389)&lt;3,"",IF(AND($U1389="מפותח",$V1389="מפותח",$W1389="מפותחת"),"מפותחת",IF((--($U1389="דל"))+(--($V1389="אינו מפותח"))+(--($W1389="דלה"))&gt;=2,"אינה מפותחת","חלקית"))))</f>
        <v/>
      </c>
      <c r="AA1389" s="32">
        <f>IF($C1389="","",IF(COUNTA($M1389,$N1389,$O1389)&lt;3,"— חסרים נתונים",IF(OR($M1389="נמוכה",(--($M1389&lt;&gt;"תקינה"))+(--($N1389&lt;&gt;"תקין"))+(--($O1389&lt;&gt;"תקינה"))&gt;=2),"ניכרת","אינה ניכרת")))</f>
        <v/>
      </c>
      <c r="AB1389" s="32">
        <f>IF(OR($C1389="",$Y1389="",$AA1389="",LEFT($Y1389,1)="—",LEFT($AA1389,1)="—"),"",IF($Z1389="","— נדרשת הערכת כתיבה",IF($L1389="","— חסרה הבנת הנקרא",IF($Y1389="אינה מדויקת או מקוטעת",IF($AA1389="ניכרת","מיקוד בשטף הקריאה ובכישורי שפה","מיקוד בשטף קריאה"),IF($AA1389="ניכרת","מיקוד בכישורי שפה",IF(AND($L1389="תקינה",$Z1389="מפותחת"),"קוראים וכותבים מיומנים","מיקוד בהבנה והבעה"))))))</f>
        <v/>
      </c>
      <c r="AC1389" s="32">
        <f>IF(OR($AB1389="",LEFT($AB1389,1)="—"),"",IF(OR($AB1389="מיקוד בשטף קריאה",$AB1389="מיקוד בשטף הקריאה ובכישורי שפה"),"רמה א'",IF($AB1389="קוראים וכותבים מיומנים","רמה ג'","רמה ב'")))</f>
        <v/>
      </c>
      <c r="AD1389" s="32">
        <f>IF($AC1389="","",MID(IF(AND($AC1389="רמה א'",$AA1389="ניכרת"),"; להוסיף עבודת אוצר מילים","")&amp;IF($Z1389="אינה מפותחת","; דגש על הבעה בכתב","")&amp;IF($K1389&lt;&gt;"תקין","; נדרש לעבוד על ההנגנה","")&amp;IF($AK1389&lt;&gt;"","; "&amp;$AK1389,""),3,400))</f>
        <v/>
      </c>
      <c r="AE1389" s="32">
        <f>IF($F1389="","",IF($F1389="תחילת שנה",1,IF($F1389="מחצית שנה",2,3)))</f>
        <v/>
      </c>
      <c r="AF1389" s="32">
        <f>IF(OR($B1389="",$AC1389="",$A1389="",$F1389=""),"",$B1389&amp;"|"&amp;$A1389&amp;"|"&amp;$F1389&amp;"|"&amp;$AC1389&amp;"|"&amp;COUNTIFS($B$6:$B1389,$B1389,$A$6:$A1389,$A1389,$F$6:$F1389,$F1389,$AC$6:$AC1389,$AC1389))</f>
        <v/>
      </c>
      <c r="AG1389" s="32">
        <f>IF($C1389="","",$C1389&amp;"|"&amp;COUNTIFS($C$6:$C1389,$C1389))</f>
        <v/>
      </c>
      <c r="AH1389" s="32">
        <f>IF(OR($C1389="",$A1389="",$AE1389=""),"",$C1389&amp;"|"&amp;$A1389&amp;"|"&amp;$AE1389)</f>
        <v/>
      </c>
      <c r="AI1389" s="32">
        <f>IF(OR($C1389="",$AE1389="",$AE1389=1),"",IFERROR(INDEX($AC$6:$AC$1505,MATCH($C1389&amp;"|"&amp;$A1389&amp;"|"&amp;($AE1389-1),$AH$6:$AH$1505,0)),""))</f>
        <v/>
      </c>
      <c r="AJ1389" s="32">
        <f>IF(OR($AI1389="",$AC1389=""),"",IF($AI1389=$AC1389,"ללא שינוי","מ-"&amp;$AI1389&amp;" ל-"&amp;$AC1389))</f>
        <v/>
      </c>
      <c r="AK1389" s="67" t="n"/>
    </row>
    <row r="1390">
      <c r="A1390" s="65" t="n"/>
      <c r="B1390" s="65" t="n"/>
      <c r="C1390" s="66" t="n"/>
      <c r="D1390" s="66" t="n"/>
      <c r="E1390" s="65" t="n"/>
      <c r="F1390" s="65" t="n"/>
      <c r="G1390" s="65" t="n"/>
      <c r="H1390" s="65" t="n"/>
      <c r="I1390" s="65" t="n"/>
      <c r="J1390" s="65" t="n"/>
      <c r="K1390" s="65" t="n"/>
      <c r="L1390" s="65" t="n"/>
      <c r="M1390" s="65" t="n"/>
      <c r="N1390" s="65" t="n"/>
      <c r="O1390" s="65" t="n"/>
      <c r="P1390" s="65" t="n"/>
      <c r="Q1390" s="65" t="n"/>
      <c r="R1390" s="65" t="n"/>
      <c r="S1390" s="65" t="n"/>
      <c r="T1390" s="65" t="n"/>
      <c r="U1390" s="65" t="n"/>
      <c r="V1390" s="65" t="n"/>
      <c r="W1390" s="65" t="n"/>
      <c r="X1390" s="65" t="n"/>
      <c r="Y1390" s="32">
        <f>IF($C1390="","",IF(COUNTA($I1390:$K1390)&lt;3,"— חסרים נתונים",IF(AND($I1390="תקין",$J1390="תקין",$K1390="תקין"),"רהוטה",IF(AND($I1390="תקין",$J1390="תקין"),"מדויקת ורציפה","אינה מדויקת או מקוטעת"))))</f>
        <v/>
      </c>
      <c r="Z1390" s="32">
        <f>IF($C1390="","",IF(COUNTA($U1390:$W1390)&lt;3,"",IF(AND($U1390="מפותח",$V1390="מפותח",$W1390="מפותחת"),"מפותחת",IF((--($U1390="דל"))+(--($V1390="אינו מפותח"))+(--($W1390="דלה"))&gt;=2,"אינה מפותחת","חלקית"))))</f>
        <v/>
      </c>
      <c r="AA1390" s="32">
        <f>IF($C1390="","",IF(COUNTA($M1390,$N1390,$O1390)&lt;3,"— חסרים נתונים",IF(OR($M1390="נמוכה",(--($M1390&lt;&gt;"תקינה"))+(--($N1390&lt;&gt;"תקין"))+(--($O1390&lt;&gt;"תקינה"))&gt;=2),"ניכרת","אינה ניכרת")))</f>
        <v/>
      </c>
      <c r="AB1390" s="32">
        <f>IF(OR($C1390="",$Y1390="",$AA1390="",LEFT($Y1390,1)="—",LEFT($AA1390,1)="—"),"",IF($Z1390="","— נדרשת הערכת כתיבה",IF($L1390="","— חסרה הבנת הנקרא",IF($Y1390="אינה מדויקת או מקוטעת",IF($AA1390="ניכרת","מיקוד בשטף הקריאה ובכישורי שפה","מיקוד בשטף קריאה"),IF($AA1390="ניכרת","מיקוד בכישורי שפה",IF(AND($L1390="תקינה",$Z1390="מפותחת"),"קוראים וכותבים מיומנים","מיקוד בהבנה והבעה"))))))</f>
        <v/>
      </c>
      <c r="AC1390" s="32">
        <f>IF(OR($AB1390="",LEFT($AB1390,1)="—"),"",IF(OR($AB1390="מיקוד בשטף קריאה",$AB1390="מיקוד בשטף הקריאה ובכישורי שפה"),"רמה א'",IF($AB1390="קוראים וכותבים מיומנים","רמה ג'","רמה ב'")))</f>
        <v/>
      </c>
      <c r="AD1390" s="32">
        <f>IF($AC1390="","",MID(IF(AND($AC1390="רמה א'",$AA1390="ניכרת"),"; להוסיף עבודת אוצר מילים","")&amp;IF($Z1390="אינה מפותחת","; דגש על הבעה בכתב","")&amp;IF($K1390&lt;&gt;"תקין","; נדרש לעבוד על ההנגנה","")&amp;IF($AK1390&lt;&gt;"","; "&amp;$AK1390,""),3,400))</f>
        <v/>
      </c>
      <c r="AE1390" s="32">
        <f>IF($F1390="","",IF($F1390="תחילת שנה",1,IF($F1390="מחצית שנה",2,3)))</f>
        <v/>
      </c>
      <c r="AF1390" s="32">
        <f>IF(OR($B1390="",$AC1390="",$A1390="",$F1390=""),"",$B1390&amp;"|"&amp;$A1390&amp;"|"&amp;$F1390&amp;"|"&amp;$AC1390&amp;"|"&amp;COUNTIFS($B$6:$B1390,$B1390,$A$6:$A1390,$A1390,$F$6:$F1390,$F1390,$AC$6:$AC1390,$AC1390))</f>
        <v/>
      </c>
      <c r="AG1390" s="32">
        <f>IF($C1390="","",$C1390&amp;"|"&amp;COUNTIFS($C$6:$C1390,$C1390))</f>
        <v/>
      </c>
      <c r="AH1390" s="32">
        <f>IF(OR($C1390="",$A1390="",$AE1390=""),"",$C1390&amp;"|"&amp;$A1390&amp;"|"&amp;$AE1390)</f>
        <v/>
      </c>
      <c r="AI1390" s="32">
        <f>IF(OR($C1390="",$AE1390="",$AE1390=1),"",IFERROR(INDEX($AC$6:$AC$1505,MATCH($C1390&amp;"|"&amp;$A1390&amp;"|"&amp;($AE1390-1),$AH$6:$AH$1505,0)),""))</f>
        <v/>
      </c>
      <c r="AJ1390" s="32">
        <f>IF(OR($AI1390="",$AC1390=""),"",IF($AI1390=$AC1390,"ללא שינוי","מ-"&amp;$AI1390&amp;" ל-"&amp;$AC1390))</f>
        <v/>
      </c>
      <c r="AK1390" s="67" t="n"/>
    </row>
    <row r="1391">
      <c r="A1391" s="65" t="n"/>
      <c r="B1391" s="65" t="n"/>
      <c r="C1391" s="66" t="n"/>
      <c r="D1391" s="66" t="n"/>
      <c r="E1391" s="65" t="n"/>
      <c r="F1391" s="65" t="n"/>
      <c r="G1391" s="65" t="n"/>
      <c r="H1391" s="65" t="n"/>
      <c r="I1391" s="65" t="n"/>
      <c r="J1391" s="65" t="n"/>
      <c r="K1391" s="65" t="n"/>
      <c r="L1391" s="65" t="n"/>
      <c r="M1391" s="65" t="n"/>
      <c r="N1391" s="65" t="n"/>
      <c r="O1391" s="65" t="n"/>
      <c r="P1391" s="65" t="n"/>
      <c r="Q1391" s="65" t="n"/>
      <c r="R1391" s="65" t="n"/>
      <c r="S1391" s="65" t="n"/>
      <c r="T1391" s="65" t="n"/>
      <c r="U1391" s="65" t="n"/>
      <c r="V1391" s="65" t="n"/>
      <c r="W1391" s="65" t="n"/>
      <c r="X1391" s="65" t="n"/>
      <c r="Y1391" s="32">
        <f>IF($C1391="","",IF(COUNTA($I1391:$K1391)&lt;3,"— חסרים נתונים",IF(AND($I1391="תקין",$J1391="תקין",$K1391="תקין"),"רהוטה",IF(AND($I1391="תקין",$J1391="תקין"),"מדויקת ורציפה","אינה מדויקת או מקוטעת"))))</f>
        <v/>
      </c>
      <c r="Z1391" s="32">
        <f>IF($C1391="","",IF(COUNTA($U1391:$W1391)&lt;3,"",IF(AND($U1391="מפותח",$V1391="מפותח",$W1391="מפותחת"),"מפותחת",IF((--($U1391="דל"))+(--($V1391="אינו מפותח"))+(--($W1391="דלה"))&gt;=2,"אינה מפותחת","חלקית"))))</f>
        <v/>
      </c>
      <c r="AA1391" s="32">
        <f>IF($C1391="","",IF(COUNTA($M1391,$N1391,$O1391)&lt;3,"— חסרים נתונים",IF(OR($M1391="נמוכה",(--($M1391&lt;&gt;"תקינה"))+(--($N1391&lt;&gt;"תקין"))+(--($O1391&lt;&gt;"תקינה"))&gt;=2),"ניכרת","אינה ניכרת")))</f>
        <v/>
      </c>
      <c r="AB1391" s="32">
        <f>IF(OR($C1391="",$Y1391="",$AA1391="",LEFT($Y1391,1)="—",LEFT($AA1391,1)="—"),"",IF($Z1391="","— נדרשת הערכת כתיבה",IF($L1391="","— חסרה הבנת הנקרא",IF($Y1391="אינה מדויקת או מקוטעת",IF($AA1391="ניכרת","מיקוד בשטף הקריאה ובכישורי שפה","מיקוד בשטף קריאה"),IF($AA1391="ניכרת","מיקוד בכישורי שפה",IF(AND($L1391="תקינה",$Z1391="מפותחת"),"קוראים וכותבים מיומנים","מיקוד בהבנה והבעה"))))))</f>
        <v/>
      </c>
      <c r="AC1391" s="32">
        <f>IF(OR($AB1391="",LEFT($AB1391,1)="—"),"",IF(OR($AB1391="מיקוד בשטף קריאה",$AB1391="מיקוד בשטף הקריאה ובכישורי שפה"),"רמה א'",IF($AB1391="קוראים וכותבים מיומנים","רמה ג'","רמה ב'")))</f>
        <v/>
      </c>
      <c r="AD1391" s="32">
        <f>IF($AC1391="","",MID(IF(AND($AC1391="רמה א'",$AA1391="ניכרת"),"; להוסיף עבודת אוצר מילים","")&amp;IF($Z1391="אינה מפותחת","; דגש על הבעה בכתב","")&amp;IF($K1391&lt;&gt;"תקין","; נדרש לעבוד על ההנגנה","")&amp;IF($AK1391&lt;&gt;"","; "&amp;$AK1391,""),3,400))</f>
        <v/>
      </c>
      <c r="AE1391" s="32">
        <f>IF($F1391="","",IF($F1391="תחילת שנה",1,IF($F1391="מחצית שנה",2,3)))</f>
        <v/>
      </c>
      <c r="AF1391" s="32">
        <f>IF(OR($B1391="",$AC1391="",$A1391="",$F1391=""),"",$B1391&amp;"|"&amp;$A1391&amp;"|"&amp;$F1391&amp;"|"&amp;$AC1391&amp;"|"&amp;COUNTIFS($B$6:$B1391,$B1391,$A$6:$A1391,$A1391,$F$6:$F1391,$F1391,$AC$6:$AC1391,$AC1391))</f>
        <v/>
      </c>
      <c r="AG1391" s="32">
        <f>IF($C1391="","",$C1391&amp;"|"&amp;COUNTIFS($C$6:$C1391,$C1391))</f>
        <v/>
      </c>
      <c r="AH1391" s="32">
        <f>IF(OR($C1391="",$A1391="",$AE1391=""),"",$C1391&amp;"|"&amp;$A1391&amp;"|"&amp;$AE1391)</f>
        <v/>
      </c>
      <c r="AI1391" s="32">
        <f>IF(OR($C1391="",$AE1391="",$AE1391=1),"",IFERROR(INDEX($AC$6:$AC$1505,MATCH($C1391&amp;"|"&amp;$A1391&amp;"|"&amp;($AE1391-1),$AH$6:$AH$1505,0)),""))</f>
        <v/>
      </c>
      <c r="AJ1391" s="32">
        <f>IF(OR($AI1391="",$AC1391=""),"",IF($AI1391=$AC1391,"ללא שינוי","מ-"&amp;$AI1391&amp;" ל-"&amp;$AC1391))</f>
        <v/>
      </c>
      <c r="AK1391" s="67" t="n"/>
    </row>
    <row r="1392">
      <c r="A1392" s="65" t="n"/>
      <c r="B1392" s="65" t="n"/>
      <c r="C1392" s="66" t="n"/>
      <c r="D1392" s="66" t="n"/>
      <c r="E1392" s="65" t="n"/>
      <c r="F1392" s="65" t="n"/>
      <c r="G1392" s="65" t="n"/>
      <c r="H1392" s="65" t="n"/>
      <c r="I1392" s="65" t="n"/>
      <c r="J1392" s="65" t="n"/>
      <c r="K1392" s="65" t="n"/>
      <c r="L1392" s="65" t="n"/>
      <c r="M1392" s="65" t="n"/>
      <c r="N1392" s="65" t="n"/>
      <c r="O1392" s="65" t="n"/>
      <c r="P1392" s="65" t="n"/>
      <c r="Q1392" s="65" t="n"/>
      <c r="R1392" s="65" t="n"/>
      <c r="S1392" s="65" t="n"/>
      <c r="T1392" s="65" t="n"/>
      <c r="U1392" s="65" t="n"/>
      <c r="V1392" s="65" t="n"/>
      <c r="W1392" s="65" t="n"/>
      <c r="X1392" s="65" t="n"/>
      <c r="Y1392" s="32">
        <f>IF($C1392="","",IF(COUNTA($I1392:$K1392)&lt;3,"— חסרים נתונים",IF(AND($I1392="תקין",$J1392="תקין",$K1392="תקין"),"רהוטה",IF(AND($I1392="תקין",$J1392="תקין"),"מדויקת ורציפה","אינה מדויקת או מקוטעת"))))</f>
        <v/>
      </c>
      <c r="Z1392" s="32">
        <f>IF($C1392="","",IF(COUNTA($U1392:$W1392)&lt;3,"",IF(AND($U1392="מפותח",$V1392="מפותח",$W1392="מפותחת"),"מפותחת",IF((--($U1392="דל"))+(--($V1392="אינו מפותח"))+(--($W1392="דלה"))&gt;=2,"אינה מפותחת","חלקית"))))</f>
        <v/>
      </c>
      <c r="AA1392" s="32">
        <f>IF($C1392="","",IF(COUNTA($M1392,$N1392,$O1392)&lt;3,"— חסרים נתונים",IF(OR($M1392="נמוכה",(--($M1392&lt;&gt;"תקינה"))+(--($N1392&lt;&gt;"תקין"))+(--($O1392&lt;&gt;"תקינה"))&gt;=2),"ניכרת","אינה ניכרת")))</f>
        <v/>
      </c>
      <c r="AB1392" s="32">
        <f>IF(OR($C1392="",$Y1392="",$AA1392="",LEFT($Y1392,1)="—",LEFT($AA1392,1)="—"),"",IF($Z1392="","— נדרשת הערכת כתיבה",IF($L1392="","— חסרה הבנת הנקרא",IF($Y1392="אינה מדויקת או מקוטעת",IF($AA1392="ניכרת","מיקוד בשטף הקריאה ובכישורי שפה","מיקוד בשטף קריאה"),IF($AA1392="ניכרת","מיקוד בכישורי שפה",IF(AND($L1392="תקינה",$Z1392="מפותחת"),"קוראים וכותבים מיומנים","מיקוד בהבנה והבעה"))))))</f>
        <v/>
      </c>
      <c r="AC1392" s="32">
        <f>IF(OR($AB1392="",LEFT($AB1392,1)="—"),"",IF(OR($AB1392="מיקוד בשטף קריאה",$AB1392="מיקוד בשטף הקריאה ובכישורי שפה"),"רמה א'",IF($AB1392="קוראים וכותבים מיומנים","רמה ג'","רמה ב'")))</f>
        <v/>
      </c>
      <c r="AD1392" s="32">
        <f>IF($AC1392="","",MID(IF(AND($AC1392="רמה א'",$AA1392="ניכרת"),"; להוסיף עבודת אוצר מילים","")&amp;IF($Z1392="אינה מפותחת","; דגש על הבעה בכתב","")&amp;IF($K1392&lt;&gt;"תקין","; נדרש לעבוד על ההנגנה","")&amp;IF($AK1392&lt;&gt;"","; "&amp;$AK1392,""),3,400))</f>
        <v/>
      </c>
      <c r="AE1392" s="32">
        <f>IF($F1392="","",IF($F1392="תחילת שנה",1,IF($F1392="מחצית שנה",2,3)))</f>
        <v/>
      </c>
      <c r="AF1392" s="32">
        <f>IF(OR($B1392="",$AC1392="",$A1392="",$F1392=""),"",$B1392&amp;"|"&amp;$A1392&amp;"|"&amp;$F1392&amp;"|"&amp;$AC1392&amp;"|"&amp;COUNTIFS($B$6:$B1392,$B1392,$A$6:$A1392,$A1392,$F$6:$F1392,$F1392,$AC$6:$AC1392,$AC1392))</f>
        <v/>
      </c>
      <c r="AG1392" s="32">
        <f>IF($C1392="","",$C1392&amp;"|"&amp;COUNTIFS($C$6:$C1392,$C1392))</f>
        <v/>
      </c>
      <c r="AH1392" s="32">
        <f>IF(OR($C1392="",$A1392="",$AE1392=""),"",$C1392&amp;"|"&amp;$A1392&amp;"|"&amp;$AE1392)</f>
        <v/>
      </c>
      <c r="AI1392" s="32">
        <f>IF(OR($C1392="",$AE1392="",$AE1392=1),"",IFERROR(INDEX($AC$6:$AC$1505,MATCH($C1392&amp;"|"&amp;$A1392&amp;"|"&amp;($AE1392-1),$AH$6:$AH$1505,0)),""))</f>
        <v/>
      </c>
      <c r="AJ1392" s="32">
        <f>IF(OR($AI1392="",$AC1392=""),"",IF($AI1392=$AC1392,"ללא שינוי","מ-"&amp;$AI1392&amp;" ל-"&amp;$AC1392))</f>
        <v/>
      </c>
      <c r="AK1392" s="67" t="n"/>
    </row>
    <row r="1393">
      <c r="A1393" s="65" t="n"/>
      <c r="B1393" s="65" t="n"/>
      <c r="C1393" s="66" t="n"/>
      <c r="D1393" s="66" t="n"/>
      <c r="E1393" s="65" t="n"/>
      <c r="F1393" s="65" t="n"/>
      <c r="G1393" s="65" t="n"/>
      <c r="H1393" s="65" t="n"/>
      <c r="I1393" s="65" t="n"/>
      <c r="J1393" s="65" t="n"/>
      <c r="K1393" s="65" t="n"/>
      <c r="L1393" s="65" t="n"/>
      <c r="M1393" s="65" t="n"/>
      <c r="N1393" s="65" t="n"/>
      <c r="O1393" s="65" t="n"/>
      <c r="P1393" s="65" t="n"/>
      <c r="Q1393" s="65" t="n"/>
      <c r="R1393" s="65" t="n"/>
      <c r="S1393" s="65" t="n"/>
      <c r="T1393" s="65" t="n"/>
      <c r="U1393" s="65" t="n"/>
      <c r="V1393" s="65" t="n"/>
      <c r="W1393" s="65" t="n"/>
      <c r="X1393" s="65" t="n"/>
      <c r="Y1393" s="32">
        <f>IF($C1393="","",IF(COUNTA($I1393:$K1393)&lt;3,"— חסרים נתונים",IF(AND($I1393="תקין",$J1393="תקין",$K1393="תקין"),"רהוטה",IF(AND($I1393="תקין",$J1393="תקין"),"מדויקת ורציפה","אינה מדויקת או מקוטעת"))))</f>
        <v/>
      </c>
      <c r="Z1393" s="32">
        <f>IF($C1393="","",IF(COUNTA($U1393:$W1393)&lt;3,"",IF(AND($U1393="מפותח",$V1393="מפותח",$W1393="מפותחת"),"מפותחת",IF((--($U1393="דל"))+(--($V1393="אינו מפותח"))+(--($W1393="דלה"))&gt;=2,"אינה מפותחת","חלקית"))))</f>
        <v/>
      </c>
      <c r="AA1393" s="32">
        <f>IF($C1393="","",IF(COUNTA($M1393,$N1393,$O1393)&lt;3,"— חסרים נתונים",IF(OR($M1393="נמוכה",(--($M1393&lt;&gt;"תקינה"))+(--($N1393&lt;&gt;"תקין"))+(--($O1393&lt;&gt;"תקינה"))&gt;=2),"ניכרת","אינה ניכרת")))</f>
        <v/>
      </c>
      <c r="AB1393" s="32">
        <f>IF(OR($C1393="",$Y1393="",$AA1393="",LEFT($Y1393,1)="—",LEFT($AA1393,1)="—"),"",IF($Z1393="","— נדרשת הערכת כתיבה",IF($L1393="","— חסרה הבנת הנקרא",IF($Y1393="אינה מדויקת או מקוטעת",IF($AA1393="ניכרת","מיקוד בשטף הקריאה ובכישורי שפה","מיקוד בשטף קריאה"),IF($AA1393="ניכרת","מיקוד בכישורי שפה",IF(AND($L1393="תקינה",$Z1393="מפותחת"),"קוראים וכותבים מיומנים","מיקוד בהבנה והבעה"))))))</f>
        <v/>
      </c>
      <c r="AC1393" s="32">
        <f>IF(OR($AB1393="",LEFT($AB1393,1)="—"),"",IF(OR($AB1393="מיקוד בשטף קריאה",$AB1393="מיקוד בשטף הקריאה ובכישורי שפה"),"רמה א'",IF($AB1393="קוראים וכותבים מיומנים","רמה ג'","רמה ב'")))</f>
        <v/>
      </c>
      <c r="AD1393" s="32">
        <f>IF($AC1393="","",MID(IF(AND($AC1393="רמה א'",$AA1393="ניכרת"),"; להוסיף עבודת אוצר מילים","")&amp;IF($Z1393="אינה מפותחת","; דגש על הבעה בכתב","")&amp;IF($K1393&lt;&gt;"תקין","; נדרש לעבוד על ההנגנה","")&amp;IF($AK1393&lt;&gt;"","; "&amp;$AK1393,""),3,400))</f>
        <v/>
      </c>
      <c r="AE1393" s="32">
        <f>IF($F1393="","",IF($F1393="תחילת שנה",1,IF($F1393="מחצית שנה",2,3)))</f>
        <v/>
      </c>
      <c r="AF1393" s="32">
        <f>IF(OR($B1393="",$AC1393="",$A1393="",$F1393=""),"",$B1393&amp;"|"&amp;$A1393&amp;"|"&amp;$F1393&amp;"|"&amp;$AC1393&amp;"|"&amp;COUNTIFS($B$6:$B1393,$B1393,$A$6:$A1393,$A1393,$F$6:$F1393,$F1393,$AC$6:$AC1393,$AC1393))</f>
        <v/>
      </c>
      <c r="AG1393" s="32">
        <f>IF($C1393="","",$C1393&amp;"|"&amp;COUNTIFS($C$6:$C1393,$C1393))</f>
        <v/>
      </c>
      <c r="AH1393" s="32">
        <f>IF(OR($C1393="",$A1393="",$AE1393=""),"",$C1393&amp;"|"&amp;$A1393&amp;"|"&amp;$AE1393)</f>
        <v/>
      </c>
      <c r="AI1393" s="32">
        <f>IF(OR($C1393="",$AE1393="",$AE1393=1),"",IFERROR(INDEX($AC$6:$AC$1505,MATCH($C1393&amp;"|"&amp;$A1393&amp;"|"&amp;($AE1393-1),$AH$6:$AH$1505,0)),""))</f>
        <v/>
      </c>
      <c r="AJ1393" s="32">
        <f>IF(OR($AI1393="",$AC1393=""),"",IF($AI1393=$AC1393,"ללא שינוי","מ-"&amp;$AI1393&amp;" ל-"&amp;$AC1393))</f>
        <v/>
      </c>
      <c r="AK1393" s="67" t="n"/>
    </row>
    <row r="1394">
      <c r="A1394" s="65" t="n"/>
      <c r="B1394" s="65" t="n"/>
      <c r="C1394" s="66" t="n"/>
      <c r="D1394" s="66" t="n"/>
      <c r="E1394" s="65" t="n"/>
      <c r="F1394" s="65" t="n"/>
      <c r="G1394" s="65" t="n"/>
      <c r="H1394" s="65" t="n"/>
      <c r="I1394" s="65" t="n"/>
      <c r="J1394" s="65" t="n"/>
      <c r="K1394" s="65" t="n"/>
      <c r="L1394" s="65" t="n"/>
      <c r="M1394" s="65" t="n"/>
      <c r="N1394" s="65" t="n"/>
      <c r="O1394" s="65" t="n"/>
      <c r="P1394" s="65" t="n"/>
      <c r="Q1394" s="65" t="n"/>
      <c r="R1394" s="65" t="n"/>
      <c r="S1394" s="65" t="n"/>
      <c r="T1394" s="65" t="n"/>
      <c r="U1394" s="65" t="n"/>
      <c r="V1394" s="65" t="n"/>
      <c r="W1394" s="65" t="n"/>
      <c r="X1394" s="65" t="n"/>
      <c r="Y1394" s="32">
        <f>IF($C1394="","",IF(COUNTA($I1394:$K1394)&lt;3,"— חסרים נתונים",IF(AND($I1394="תקין",$J1394="תקין",$K1394="תקין"),"רהוטה",IF(AND($I1394="תקין",$J1394="תקין"),"מדויקת ורציפה","אינה מדויקת או מקוטעת"))))</f>
        <v/>
      </c>
      <c r="Z1394" s="32">
        <f>IF($C1394="","",IF(COUNTA($U1394:$W1394)&lt;3,"",IF(AND($U1394="מפותח",$V1394="מפותח",$W1394="מפותחת"),"מפותחת",IF((--($U1394="דל"))+(--($V1394="אינו מפותח"))+(--($W1394="דלה"))&gt;=2,"אינה מפותחת","חלקית"))))</f>
        <v/>
      </c>
      <c r="AA1394" s="32">
        <f>IF($C1394="","",IF(COUNTA($M1394,$N1394,$O1394)&lt;3,"— חסרים נתונים",IF(OR($M1394="נמוכה",(--($M1394&lt;&gt;"תקינה"))+(--($N1394&lt;&gt;"תקין"))+(--($O1394&lt;&gt;"תקינה"))&gt;=2),"ניכרת","אינה ניכרת")))</f>
        <v/>
      </c>
      <c r="AB1394" s="32">
        <f>IF(OR($C1394="",$Y1394="",$AA1394="",LEFT($Y1394,1)="—",LEFT($AA1394,1)="—"),"",IF($Z1394="","— נדרשת הערכת כתיבה",IF($L1394="","— חסרה הבנת הנקרא",IF($Y1394="אינה מדויקת או מקוטעת",IF($AA1394="ניכרת","מיקוד בשטף הקריאה ובכישורי שפה","מיקוד בשטף קריאה"),IF($AA1394="ניכרת","מיקוד בכישורי שפה",IF(AND($L1394="תקינה",$Z1394="מפותחת"),"קוראים וכותבים מיומנים","מיקוד בהבנה והבעה"))))))</f>
        <v/>
      </c>
      <c r="AC1394" s="32">
        <f>IF(OR($AB1394="",LEFT($AB1394,1)="—"),"",IF(OR($AB1394="מיקוד בשטף קריאה",$AB1394="מיקוד בשטף הקריאה ובכישורי שפה"),"רמה א'",IF($AB1394="קוראים וכותבים מיומנים","רמה ג'","רמה ב'")))</f>
        <v/>
      </c>
      <c r="AD1394" s="32">
        <f>IF($AC1394="","",MID(IF(AND($AC1394="רמה א'",$AA1394="ניכרת"),"; להוסיף עבודת אוצר מילים","")&amp;IF($Z1394="אינה מפותחת","; דגש על הבעה בכתב","")&amp;IF($K1394&lt;&gt;"תקין","; נדרש לעבוד על ההנגנה","")&amp;IF($AK1394&lt;&gt;"","; "&amp;$AK1394,""),3,400))</f>
        <v/>
      </c>
      <c r="AE1394" s="32">
        <f>IF($F1394="","",IF($F1394="תחילת שנה",1,IF($F1394="מחצית שנה",2,3)))</f>
        <v/>
      </c>
      <c r="AF1394" s="32">
        <f>IF(OR($B1394="",$AC1394="",$A1394="",$F1394=""),"",$B1394&amp;"|"&amp;$A1394&amp;"|"&amp;$F1394&amp;"|"&amp;$AC1394&amp;"|"&amp;COUNTIFS($B$6:$B1394,$B1394,$A$6:$A1394,$A1394,$F$6:$F1394,$F1394,$AC$6:$AC1394,$AC1394))</f>
        <v/>
      </c>
      <c r="AG1394" s="32">
        <f>IF($C1394="","",$C1394&amp;"|"&amp;COUNTIFS($C$6:$C1394,$C1394))</f>
        <v/>
      </c>
      <c r="AH1394" s="32">
        <f>IF(OR($C1394="",$A1394="",$AE1394=""),"",$C1394&amp;"|"&amp;$A1394&amp;"|"&amp;$AE1394)</f>
        <v/>
      </c>
      <c r="AI1394" s="32">
        <f>IF(OR($C1394="",$AE1394="",$AE1394=1),"",IFERROR(INDEX($AC$6:$AC$1505,MATCH($C1394&amp;"|"&amp;$A1394&amp;"|"&amp;($AE1394-1),$AH$6:$AH$1505,0)),""))</f>
        <v/>
      </c>
      <c r="AJ1394" s="32">
        <f>IF(OR($AI1394="",$AC1394=""),"",IF($AI1394=$AC1394,"ללא שינוי","מ-"&amp;$AI1394&amp;" ל-"&amp;$AC1394))</f>
        <v/>
      </c>
      <c r="AK1394" s="67" t="n"/>
    </row>
    <row r="1395">
      <c r="A1395" s="65" t="n"/>
      <c r="B1395" s="65" t="n"/>
      <c r="C1395" s="66" t="n"/>
      <c r="D1395" s="66" t="n"/>
      <c r="E1395" s="65" t="n"/>
      <c r="F1395" s="65" t="n"/>
      <c r="G1395" s="65" t="n"/>
      <c r="H1395" s="65" t="n"/>
      <c r="I1395" s="65" t="n"/>
      <c r="J1395" s="65" t="n"/>
      <c r="K1395" s="65" t="n"/>
      <c r="L1395" s="65" t="n"/>
      <c r="M1395" s="65" t="n"/>
      <c r="N1395" s="65" t="n"/>
      <c r="O1395" s="65" t="n"/>
      <c r="P1395" s="65" t="n"/>
      <c r="Q1395" s="65" t="n"/>
      <c r="R1395" s="65" t="n"/>
      <c r="S1395" s="65" t="n"/>
      <c r="T1395" s="65" t="n"/>
      <c r="U1395" s="65" t="n"/>
      <c r="V1395" s="65" t="n"/>
      <c r="W1395" s="65" t="n"/>
      <c r="X1395" s="65" t="n"/>
      <c r="Y1395" s="32">
        <f>IF($C1395="","",IF(COUNTA($I1395:$K1395)&lt;3,"— חסרים נתונים",IF(AND($I1395="תקין",$J1395="תקין",$K1395="תקין"),"רהוטה",IF(AND($I1395="תקין",$J1395="תקין"),"מדויקת ורציפה","אינה מדויקת או מקוטעת"))))</f>
        <v/>
      </c>
      <c r="Z1395" s="32">
        <f>IF($C1395="","",IF(COUNTA($U1395:$W1395)&lt;3,"",IF(AND($U1395="מפותח",$V1395="מפותח",$W1395="מפותחת"),"מפותחת",IF((--($U1395="דל"))+(--($V1395="אינו מפותח"))+(--($W1395="דלה"))&gt;=2,"אינה מפותחת","חלקית"))))</f>
        <v/>
      </c>
      <c r="AA1395" s="32">
        <f>IF($C1395="","",IF(COUNTA($M1395,$N1395,$O1395)&lt;3,"— חסרים נתונים",IF(OR($M1395="נמוכה",(--($M1395&lt;&gt;"תקינה"))+(--($N1395&lt;&gt;"תקין"))+(--($O1395&lt;&gt;"תקינה"))&gt;=2),"ניכרת","אינה ניכרת")))</f>
        <v/>
      </c>
      <c r="AB1395" s="32">
        <f>IF(OR($C1395="",$Y1395="",$AA1395="",LEFT($Y1395,1)="—",LEFT($AA1395,1)="—"),"",IF($Z1395="","— נדרשת הערכת כתיבה",IF($L1395="","— חסרה הבנת הנקרא",IF($Y1395="אינה מדויקת או מקוטעת",IF($AA1395="ניכרת","מיקוד בשטף הקריאה ובכישורי שפה","מיקוד בשטף קריאה"),IF($AA1395="ניכרת","מיקוד בכישורי שפה",IF(AND($L1395="תקינה",$Z1395="מפותחת"),"קוראים וכותבים מיומנים","מיקוד בהבנה והבעה"))))))</f>
        <v/>
      </c>
      <c r="AC1395" s="32">
        <f>IF(OR($AB1395="",LEFT($AB1395,1)="—"),"",IF(OR($AB1395="מיקוד בשטף קריאה",$AB1395="מיקוד בשטף הקריאה ובכישורי שפה"),"רמה א'",IF($AB1395="קוראים וכותבים מיומנים","רמה ג'","רמה ב'")))</f>
        <v/>
      </c>
      <c r="AD1395" s="32">
        <f>IF($AC1395="","",MID(IF(AND($AC1395="רמה א'",$AA1395="ניכרת"),"; להוסיף עבודת אוצר מילים","")&amp;IF($Z1395="אינה מפותחת","; דגש על הבעה בכתב","")&amp;IF($K1395&lt;&gt;"תקין","; נדרש לעבוד על ההנגנה","")&amp;IF($AK1395&lt;&gt;"","; "&amp;$AK1395,""),3,400))</f>
        <v/>
      </c>
      <c r="AE1395" s="32">
        <f>IF($F1395="","",IF($F1395="תחילת שנה",1,IF($F1395="מחצית שנה",2,3)))</f>
        <v/>
      </c>
      <c r="AF1395" s="32">
        <f>IF(OR($B1395="",$AC1395="",$A1395="",$F1395=""),"",$B1395&amp;"|"&amp;$A1395&amp;"|"&amp;$F1395&amp;"|"&amp;$AC1395&amp;"|"&amp;COUNTIFS($B$6:$B1395,$B1395,$A$6:$A1395,$A1395,$F$6:$F1395,$F1395,$AC$6:$AC1395,$AC1395))</f>
        <v/>
      </c>
      <c r="AG1395" s="32">
        <f>IF($C1395="","",$C1395&amp;"|"&amp;COUNTIFS($C$6:$C1395,$C1395))</f>
        <v/>
      </c>
      <c r="AH1395" s="32">
        <f>IF(OR($C1395="",$A1395="",$AE1395=""),"",$C1395&amp;"|"&amp;$A1395&amp;"|"&amp;$AE1395)</f>
        <v/>
      </c>
      <c r="AI1395" s="32">
        <f>IF(OR($C1395="",$AE1395="",$AE1395=1),"",IFERROR(INDEX($AC$6:$AC$1505,MATCH($C1395&amp;"|"&amp;$A1395&amp;"|"&amp;($AE1395-1),$AH$6:$AH$1505,0)),""))</f>
        <v/>
      </c>
      <c r="AJ1395" s="32">
        <f>IF(OR($AI1395="",$AC1395=""),"",IF($AI1395=$AC1395,"ללא שינוי","מ-"&amp;$AI1395&amp;" ל-"&amp;$AC1395))</f>
        <v/>
      </c>
      <c r="AK1395" s="67" t="n"/>
    </row>
    <row r="1396">
      <c r="A1396" s="65" t="n"/>
      <c r="B1396" s="65" t="n"/>
      <c r="C1396" s="66" t="n"/>
      <c r="D1396" s="66" t="n"/>
      <c r="E1396" s="65" t="n"/>
      <c r="F1396" s="65" t="n"/>
      <c r="G1396" s="65" t="n"/>
      <c r="H1396" s="65" t="n"/>
      <c r="I1396" s="65" t="n"/>
      <c r="J1396" s="65" t="n"/>
      <c r="K1396" s="65" t="n"/>
      <c r="L1396" s="65" t="n"/>
      <c r="M1396" s="65" t="n"/>
      <c r="N1396" s="65" t="n"/>
      <c r="O1396" s="65" t="n"/>
      <c r="P1396" s="65" t="n"/>
      <c r="Q1396" s="65" t="n"/>
      <c r="R1396" s="65" t="n"/>
      <c r="S1396" s="65" t="n"/>
      <c r="T1396" s="65" t="n"/>
      <c r="U1396" s="65" t="n"/>
      <c r="V1396" s="65" t="n"/>
      <c r="W1396" s="65" t="n"/>
      <c r="X1396" s="65" t="n"/>
      <c r="Y1396" s="32">
        <f>IF($C1396="","",IF(COUNTA($I1396:$K1396)&lt;3,"— חסרים נתונים",IF(AND($I1396="תקין",$J1396="תקין",$K1396="תקין"),"רהוטה",IF(AND($I1396="תקין",$J1396="תקין"),"מדויקת ורציפה","אינה מדויקת או מקוטעת"))))</f>
        <v/>
      </c>
      <c r="Z1396" s="32">
        <f>IF($C1396="","",IF(COUNTA($U1396:$W1396)&lt;3,"",IF(AND($U1396="מפותח",$V1396="מפותח",$W1396="מפותחת"),"מפותחת",IF((--($U1396="דל"))+(--($V1396="אינו מפותח"))+(--($W1396="דלה"))&gt;=2,"אינה מפותחת","חלקית"))))</f>
        <v/>
      </c>
      <c r="AA1396" s="32">
        <f>IF($C1396="","",IF(COUNTA($M1396,$N1396,$O1396)&lt;3,"— חסרים נתונים",IF(OR($M1396="נמוכה",(--($M1396&lt;&gt;"תקינה"))+(--($N1396&lt;&gt;"תקין"))+(--($O1396&lt;&gt;"תקינה"))&gt;=2),"ניכרת","אינה ניכרת")))</f>
        <v/>
      </c>
      <c r="AB1396" s="32">
        <f>IF(OR($C1396="",$Y1396="",$AA1396="",LEFT($Y1396,1)="—",LEFT($AA1396,1)="—"),"",IF($Z1396="","— נדרשת הערכת כתיבה",IF($L1396="","— חסרה הבנת הנקרא",IF($Y1396="אינה מדויקת או מקוטעת",IF($AA1396="ניכרת","מיקוד בשטף הקריאה ובכישורי שפה","מיקוד בשטף קריאה"),IF($AA1396="ניכרת","מיקוד בכישורי שפה",IF(AND($L1396="תקינה",$Z1396="מפותחת"),"קוראים וכותבים מיומנים","מיקוד בהבנה והבעה"))))))</f>
        <v/>
      </c>
      <c r="AC1396" s="32">
        <f>IF(OR($AB1396="",LEFT($AB1396,1)="—"),"",IF(OR($AB1396="מיקוד בשטף קריאה",$AB1396="מיקוד בשטף הקריאה ובכישורי שפה"),"רמה א'",IF($AB1396="קוראים וכותבים מיומנים","רמה ג'","רמה ב'")))</f>
        <v/>
      </c>
      <c r="AD1396" s="32">
        <f>IF($AC1396="","",MID(IF(AND($AC1396="רמה א'",$AA1396="ניכרת"),"; להוסיף עבודת אוצר מילים","")&amp;IF($Z1396="אינה מפותחת","; דגש על הבעה בכתב","")&amp;IF($K1396&lt;&gt;"תקין","; נדרש לעבוד על ההנגנה","")&amp;IF($AK1396&lt;&gt;"","; "&amp;$AK1396,""),3,400))</f>
        <v/>
      </c>
      <c r="AE1396" s="32">
        <f>IF($F1396="","",IF($F1396="תחילת שנה",1,IF($F1396="מחצית שנה",2,3)))</f>
        <v/>
      </c>
      <c r="AF1396" s="32">
        <f>IF(OR($B1396="",$AC1396="",$A1396="",$F1396=""),"",$B1396&amp;"|"&amp;$A1396&amp;"|"&amp;$F1396&amp;"|"&amp;$AC1396&amp;"|"&amp;COUNTIFS($B$6:$B1396,$B1396,$A$6:$A1396,$A1396,$F$6:$F1396,$F1396,$AC$6:$AC1396,$AC1396))</f>
        <v/>
      </c>
      <c r="AG1396" s="32">
        <f>IF($C1396="","",$C1396&amp;"|"&amp;COUNTIFS($C$6:$C1396,$C1396))</f>
        <v/>
      </c>
      <c r="AH1396" s="32">
        <f>IF(OR($C1396="",$A1396="",$AE1396=""),"",$C1396&amp;"|"&amp;$A1396&amp;"|"&amp;$AE1396)</f>
        <v/>
      </c>
      <c r="AI1396" s="32">
        <f>IF(OR($C1396="",$AE1396="",$AE1396=1),"",IFERROR(INDEX($AC$6:$AC$1505,MATCH($C1396&amp;"|"&amp;$A1396&amp;"|"&amp;($AE1396-1),$AH$6:$AH$1505,0)),""))</f>
        <v/>
      </c>
      <c r="AJ1396" s="32">
        <f>IF(OR($AI1396="",$AC1396=""),"",IF($AI1396=$AC1396,"ללא שינוי","מ-"&amp;$AI1396&amp;" ל-"&amp;$AC1396))</f>
        <v/>
      </c>
      <c r="AK1396" s="67" t="n"/>
    </row>
    <row r="1397">
      <c r="A1397" s="65" t="n"/>
      <c r="B1397" s="65" t="n"/>
      <c r="C1397" s="66" t="n"/>
      <c r="D1397" s="66" t="n"/>
      <c r="E1397" s="65" t="n"/>
      <c r="F1397" s="65" t="n"/>
      <c r="G1397" s="65" t="n"/>
      <c r="H1397" s="65" t="n"/>
      <c r="I1397" s="65" t="n"/>
      <c r="J1397" s="65" t="n"/>
      <c r="K1397" s="65" t="n"/>
      <c r="L1397" s="65" t="n"/>
      <c r="M1397" s="65" t="n"/>
      <c r="N1397" s="65" t="n"/>
      <c r="O1397" s="65" t="n"/>
      <c r="P1397" s="65" t="n"/>
      <c r="Q1397" s="65" t="n"/>
      <c r="R1397" s="65" t="n"/>
      <c r="S1397" s="65" t="n"/>
      <c r="T1397" s="65" t="n"/>
      <c r="U1397" s="65" t="n"/>
      <c r="V1397" s="65" t="n"/>
      <c r="W1397" s="65" t="n"/>
      <c r="X1397" s="65" t="n"/>
      <c r="Y1397" s="32">
        <f>IF($C1397="","",IF(COUNTA($I1397:$K1397)&lt;3,"— חסרים נתונים",IF(AND($I1397="תקין",$J1397="תקין",$K1397="תקין"),"רהוטה",IF(AND($I1397="תקין",$J1397="תקין"),"מדויקת ורציפה","אינה מדויקת או מקוטעת"))))</f>
        <v/>
      </c>
      <c r="Z1397" s="32">
        <f>IF($C1397="","",IF(COUNTA($U1397:$W1397)&lt;3,"",IF(AND($U1397="מפותח",$V1397="מפותח",$W1397="מפותחת"),"מפותחת",IF((--($U1397="דל"))+(--($V1397="אינו מפותח"))+(--($W1397="דלה"))&gt;=2,"אינה מפותחת","חלקית"))))</f>
        <v/>
      </c>
      <c r="AA1397" s="32">
        <f>IF($C1397="","",IF(COUNTA($M1397,$N1397,$O1397)&lt;3,"— חסרים נתונים",IF(OR($M1397="נמוכה",(--($M1397&lt;&gt;"תקינה"))+(--($N1397&lt;&gt;"תקין"))+(--($O1397&lt;&gt;"תקינה"))&gt;=2),"ניכרת","אינה ניכרת")))</f>
        <v/>
      </c>
      <c r="AB1397" s="32">
        <f>IF(OR($C1397="",$Y1397="",$AA1397="",LEFT($Y1397,1)="—",LEFT($AA1397,1)="—"),"",IF($Z1397="","— נדרשת הערכת כתיבה",IF($L1397="","— חסרה הבנת הנקרא",IF($Y1397="אינה מדויקת או מקוטעת",IF($AA1397="ניכרת","מיקוד בשטף הקריאה ובכישורי שפה","מיקוד בשטף קריאה"),IF($AA1397="ניכרת","מיקוד בכישורי שפה",IF(AND($L1397="תקינה",$Z1397="מפותחת"),"קוראים וכותבים מיומנים","מיקוד בהבנה והבעה"))))))</f>
        <v/>
      </c>
      <c r="AC1397" s="32">
        <f>IF(OR($AB1397="",LEFT($AB1397,1)="—"),"",IF(OR($AB1397="מיקוד בשטף קריאה",$AB1397="מיקוד בשטף הקריאה ובכישורי שפה"),"רמה א'",IF($AB1397="קוראים וכותבים מיומנים","רמה ג'","רמה ב'")))</f>
        <v/>
      </c>
      <c r="AD1397" s="32">
        <f>IF($AC1397="","",MID(IF(AND($AC1397="רמה א'",$AA1397="ניכרת"),"; להוסיף עבודת אוצר מילים","")&amp;IF($Z1397="אינה מפותחת","; דגש על הבעה בכתב","")&amp;IF($K1397&lt;&gt;"תקין","; נדרש לעבוד על ההנגנה","")&amp;IF($AK1397&lt;&gt;"","; "&amp;$AK1397,""),3,400))</f>
        <v/>
      </c>
      <c r="AE1397" s="32">
        <f>IF($F1397="","",IF($F1397="תחילת שנה",1,IF($F1397="מחצית שנה",2,3)))</f>
        <v/>
      </c>
      <c r="AF1397" s="32">
        <f>IF(OR($B1397="",$AC1397="",$A1397="",$F1397=""),"",$B1397&amp;"|"&amp;$A1397&amp;"|"&amp;$F1397&amp;"|"&amp;$AC1397&amp;"|"&amp;COUNTIFS($B$6:$B1397,$B1397,$A$6:$A1397,$A1397,$F$6:$F1397,$F1397,$AC$6:$AC1397,$AC1397))</f>
        <v/>
      </c>
      <c r="AG1397" s="32">
        <f>IF($C1397="","",$C1397&amp;"|"&amp;COUNTIFS($C$6:$C1397,$C1397))</f>
        <v/>
      </c>
      <c r="AH1397" s="32">
        <f>IF(OR($C1397="",$A1397="",$AE1397=""),"",$C1397&amp;"|"&amp;$A1397&amp;"|"&amp;$AE1397)</f>
        <v/>
      </c>
      <c r="AI1397" s="32">
        <f>IF(OR($C1397="",$AE1397="",$AE1397=1),"",IFERROR(INDEX($AC$6:$AC$1505,MATCH($C1397&amp;"|"&amp;$A1397&amp;"|"&amp;($AE1397-1),$AH$6:$AH$1505,0)),""))</f>
        <v/>
      </c>
      <c r="AJ1397" s="32">
        <f>IF(OR($AI1397="",$AC1397=""),"",IF($AI1397=$AC1397,"ללא שינוי","מ-"&amp;$AI1397&amp;" ל-"&amp;$AC1397))</f>
        <v/>
      </c>
      <c r="AK1397" s="67" t="n"/>
    </row>
    <row r="1398">
      <c r="A1398" s="65" t="n"/>
      <c r="B1398" s="65" t="n"/>
      <c r="C1398" s="66" t="n"/>
      <c r="D1398" s="66" t="n"/>
      <c r="E1398" s="65" t="n"/>
      <c r="F1398" s="65" t="n"/>
      <c r="G1398" s="65" t="n"/>
      <c r="H1398" s="65" t="n"/>
      <c r="I1398" s="65" t="n"/>
      <c r="J1398" s="65" t="n"/>
      <c r="K1398" s="65" t="n"/>
      <c r="L1398" s="65" t="n"/>
      <c r="M1398" s="65" t="n"/>
      <c r="N1398" s="65" t="n"/>
      <c r="O1398" s="65" t="n"/>
      <c r="P1398" s="65" t="n"/>
      <c r="Q1398" s="65" t="n"/>
      <c r="R1398" s="65" t="n"/>
      <c r="S1398" s="65" t="n"/>
      <c r="T1398" s="65" t="n"/>
      <c r="U1398" s="65" t="n"/>
      <c r="V1398" s="65" t="n"/>
      <c r="W1398" s="65" t="n"/>
      <c r="X1398" s="65" t="n"/>
      <c r="Y1398" s="32">
        <f>IF($C1398="","",IF(COUNTA($I1398:$K1398)&lt;3,"— חסרים נתונים",IF(AND($I1398="תקין",$J1398="תקין",$K1398="תקין"),"רהוטה",IF(AND($I1398="תקין",$J1398="תקין"),"מדויקת ורציפה","אינה מדויקת או מקוטעת"))))</f>
        <v/>
      </c>
      <c r="Z1398" s="32">
        <f>IF($C1398="","",IF(COUNTA($U1398:$W1398)&lt;3,"",IF(AND($U1398="מפותח",$V1398="מפותח",$W1398="מפותחת"),"מפותחת",IF((--($U1398="דל"))+(--($V1398="אינו מפותח"))+(--($W1398="דלה"))&gt;=2,"אינה מפותחת","חלקית"))))</f>
        <v/>
      </c>
      <c r="AA1398" s="32">
        <f>IF($C1398="","",IF(COUNTA($M1398,$N1398,$O1398)&lt;3,"— חסרים נתונים",IF(OR($M1398="נמוכה",(--($M1398&lt;&gt;"תקינה"))+(--($N1398&lt;&gt;"תקין"))+(--($O1398&lt;&gt;"תקינה"))&gt;=2),"ניכרת","אינה ניכרת")))</f>
        <v/>
      </c>
      <c r="AB1398" s="32">
        <f>IF(OR($C1398="",$Y1398="",$AA1398="",LEFT($Y1398,1)="—",LEFT($AA1398,1)="—"),"",IF($Z1398="","— נדרשת הערכת כתיבה",IF($L1398="","— חסרה הבנת הנקרא",IF($Y1398="אינה מדויקת או מקוטעת",IF($AA1398="ניכרת","מיקוד בשטף הקריאה ובכישורי שפה","מיקוד בשטף קריאה"),IF($AA1398="ניכרת","מיקוד בכישורי שפה",IF(AND($L1398="תקינה",$Z1398="מפותחת"),"קוראים וכותבים מיומנים","מיקוד בהבנה והבעה"))))))</f>
        <v/>
      </c>
      <c r="AC1398" s="32">
        <f>IF(OR($AB1398="",LEFT($AB1398,1)="—"),"",IF(OR($AB1398="מיקוד בשטף קריאה",$AB1398="מיקוד בשטף הקריאה ובכישורי שפה"),"רמה א'",IF($AB1398="קוראים וכותבים מיומנים","רמה ג'","רמה ב'")))</f>
        <v/>
      </c>
      <c r="AD1398" s="32">
        <f>IF($AC1398="","",MID(IF(AND($AC1398="רמה א'",$AA1398="ניכרת"),"; להוסיף עבודת אוצר מילים","")&amp;IF($Z1398="אינה מפותחת","; דגש על הבעה בכתב","")&amp;IF($K1398&lt;&gt;"תקין","; נדרש לעבוד על ההנגנה","")&amp;IF($AK1398&lt;&gt;"","; "&amp;$AK1398,""),3,400))</f>
        <v/>
      </c>
      <c r="AE1398" s="32">
        <f>IF($F1398="","",IF($F1398="תחילת שנה",1,IF($F1398="מחצית שנה",2,3)))</f>
        <v/>
      </c>
      <c r="AF1398" s="32">
        <f>IF(OR($B1398="",$AC1398="",$A1398="",$F1398=""),"",$B1398&amp;"|"&amp;$A1398&amp;"|"&amp;$F1398&amp;"|"&amp;$AC1398&amp;"|"&amp;COUNTIFS($B$6:$B1398,$B1398,$A$6:$A1398,$A1398,$F$6:$F1398,$F1398,$AC$6:$AC1398,$AC1398))</f>
        <v/>
      </c>
      <c r="AG1398" s="32">
        <f>IF($C1398="","",$C1398&amp;"|"&amp;COUNTIFS($C$6:$C1398,$C1398))</f>
        <v/>
      </c>
      <c r="AH1398" s="32">
        <f>IF(OR($C1398="",$A1398="",$AE1398=""),"",$C1398&amp;"|"&amp;$A1398&amp;"|"&amp;$AE1398)</f>
        <v/>
      </c>
      <c r="AI1398" s="32">
        <f>IF(OR($C1398="",$AE1398="",$AE1398=1),"",IFERROR(INDEX($AC$6:$AC$1505,MATCH($C1398&amp;"|"&amp;$A1398&amp;"|"&amp;($AE1398-1),$AH$6:$AH$1505,0)),""))</f>
        <v/>
      </c>
      <c r="AJ1398" s="32">
        <f>IF(OR($AI1398="",$AC1398=""),"",IF($AI1398=$AC1398,"ללא שינוי","מ-"&amp;$AI1398&amp;" ל-"&amp;$AC1398))</f>
        <v/>
      </c>
      <c r="AK1398" s="67" t="n"/>
    </row>
    <row r="1399">
      <c r="A1399" s="65" t="n"/>
      <c r="B1399" s="65" t="n"/>
      <c r="C1399" s="66" t="n"/>
      <c r="D1399" s="66" t="n"/>
      <c r="E1399" s="65" t="n"/>
      <c r="F1399" s="65" t="n"/>
      <c r="G1399" s="65" t="n"/>
      <c r="H1399" s="65" t="n"/>
      <c r="I1399" s="65" t="n"/>
      <c r="J1399" s="65" t="n"/>
      <c r="K1399" s="65" t="n"/>
      <c r="L1399" s="65" t="n"/>
      <c r="M1399" s="65" t="n"/>
      <c r="N1399" s="65" t="n"/>
      <c r="O1399" s="65" t="n"/>
      <c r="P1399" s="65" t="n"/>
      <c r="Q1399" s="65" t="n"/>
      <c r="R1399" s="65" t="n"/>
      <c r="S1399" s="65" t="n"/>
      <c r="T1399" s="65" t="n"/>
      <c r="U1399" s="65" t="n"/>
      <c r="V1399" s="65" t="n"/>
      <c r="W1399" s="65" t="n"/>
      <c r="X1399" s="65" t="n"/>
      <c r="Y1399" s="32">
        <f>IF($C1399="","",IF(COUNTA($I1399:$K1399)&lt;3,"— חסרים נתונים",IF(AND($I1399="תקין",$J1399="תקין",$K1399="תקין"),"רהוטה",IF(AND($I1399="תקין",$J1399="תקין"),"מדויקת ורציפה","אינה מדויקת או מקוטעת"))))</f>
        <v/>
      </c>
      <c r="Z1399" s="32">
        <f>IF($C1399="","",IF(COUNTA($U1399:$W1399)&lt;3,"",IF(AND($U1399="מפותח",$V1399="מפותח",$W1399="מפותחת"),"מפותחת",IF((--($U1399="דל"))+(--($V1399="אינו מפותח"))+(--($W1399="דלה"))&gt;=2,"אינה מפותחת","חלקית"))))</f>
        <v/>
      </c>
      <c r="AA1399" s="32">
        <f>IF($C1399="","",IF(COUNTA($M1399,$N1399,$O1399)&lt;3,"— חסרים נתונים",IF(OR($M1399="נמוכה",(--($M1399&lt;&gt;"תקינה"))+(--($N1399&lt;&gt;"תקין"))+(--($O1399&lt;&gt;"תקינה"))&gt;=2),"ניכרת","אינה ניכרת")))</f>
        <v/>
      </c>
      <c r="AB1399" s="32">
        <f>IF(OR($C1399="",$Y1399="",$AA1399="",LEFT($Y1399,1)="—",LEFT($AA1399,1)="—"),"",IF($Z1399="","— נדרשת הערכת כתיבה",IF($L1399="","— חסרה הבנת הנקרא",IF($Y1399="אינה מדויקת או מקוטעת",IF($AA1399="ניכרת","מיקוד בשטף הקריאה ובכישורי שפה","מיקוד בשטף קריאה"),IF($AA1399="ניכרת","מיקוד בכישורי שפה",IF(AND($L1399="תקינה",$Z1399="מפותחת"),"קוראים וכותבים מיומנים","מיקוד בהבנה והבעה"))))))</f>
        <v/>
      </c>
      <c r="AC1399" s="32">
        <f>IF(OR($AB1399="",LEFT($AB1399,1)="—"),"",IF(OR($AB1399="מיקוד בשטף קריאה",$AB1399="מיקוד בשטף הקריאה ובכישורי שפה"),"רמה א'",IF($AB1399="קוראים וכותבים מיומנים","רמה ג'","רמה ב'")))</f>
        <v/>
      </c>
      <c r="AD1399" s="32">
        <f>IF($AC1399="","",MID(IF(AND($AC1399="רמה א'",$AA1399="ניכרת"),"; להוסיף עבודת אוצר מילים","")&amp;IF($Z1399="אינה מפותחת","; דגש על הבעה בכתב","")&amp;IF($K1399&lt;&gt;"תקין","; נדרש לעבוד על ההנגנה","")&amp;IF($AK1399&lt;&gt;"","; "&amp;$AK1399,""),3,400))</f>
        <v/>
      </c>
      <c r="AE1399" s="32">
        <f>IF($F1399="","",IF($F1399="תחילת שנה",1,IF($F1399="מחצית שנה",2,3)))</f>
        <v/>
      </c>
      <c r="AF1399" s="32">
        <f>IF(OR($B1399="",$AC1399="",$A1399="",$F1399=""),"",$B1399&amp;"|"&amp;$A1399&amp;"|"&amp;$F1399&amp;"|"&amp;$AC1399&amp;"|"&amp;COUNTIFS($B$6:$B1399,$B1399,$A$6:$A1399,$A1399,$F$6:$F1399,$F1399,$AC$6:$AC1399,$AC1399))</f>
        <v/>
      </c>
      <c r="AG1399" s="32">
        <f>IF($C1399="","",$C1399&amp;"|"&amp;COUNTIFS($C$6:$C1399,$C1399))</f>
        <v/>
      </c>
      <c r="AH1399" s="32">
        <f>IF(OR($C1399="",$A1399="",$AE1399=""),"",$C1399&amp;"|"&amp;$A1399&amp;"|"&amp;$AE1399)</f>
        <v/>
      </c>
      <c r="AI1399" s="32">
        <f>IF(OR($C1399="",$AE1399="",$AE1399=1),"",IFERROR(INDEX($AC$6:$AC$1505,MATCH($C1399&amp;"|"&amp;$A1399&amp;"|"&amp;($AE1399-1),$AH$6:$AH$1505,0)),""))</f>
        <v/>
      </c>
      <c r="AJ1399" s="32">
        <f>IF(OR($AI1399="",$AC1399=""),"",IF($AI1399=$AC1399,"ללא שינוי","מ-"&amp;$AI1399&amp;" ל-"&amp;$AC1399))</f>
        <v/>
      </c>
      <c r="AK1399" s="67" t="n"/>
    </row>
    <row r="1400">
      <c r="A1400" s="65" t="n"/>
      <c r="B1400" s="65" t="n"/>
      <c r="C1400" s="66" t="n"/>
      <c r="D1400" s="66" t="n"/>
      <c r="E1400" s="65" t="n"/>
      <c r="F1400" s="65" t="n"/>
      <c r="G1400" s="65" t="n"/>
      <c r="H1400" s="65" t="n"/>
      <c r="I1400" s="65" t="n"/>
      <c r="J1400" s="65" t="n"/>
      <c r="K1400" s="65" t="n"/>
      <c r="L1400" s="65" t="n"/>
      <c r="M1400" s="65" t="n"/>
      <c r="N1400" s="65" t="n"/>
      <c r="O1400" s="65" t="n"/>
      <c r="P1400" s="65" t="n"/>
      <c r="Q1400" s="65" t="n"/>
      <c r="R1400" s="65" t="n"/>
      <c r="S1400" s="65" t="n"/>
      <c r="T1400" s="65" t="n"/>
      <c r="U1400" s="65" t="n"/>
      <c r="V1400" s="65" t="n"/>
      <c r="W1400" s="65" t="n"/>
      <c r="X1400" s="65" t="n"/>
      <c r="Y1400" s="32">
        <f>IF($C1400="","",IF(COUNTA($I1400:$K1400)&lt;3,"— חסרים נתונים",IF(AND($I1400="תקין",$J1400="תקין",$K1400="תקין"),"רהוטה",IF(AND($I1400="תקין",$J1400="תקין"),"מדויקת ורציפה","אינה מדויקת או מקוטעת"))))</f>
        <v/>
      </c>
      <c r="Z1400" s="32">
        <f>IF($C1400="","",IF(COUNTA($U1400:$W1400)&lt;3,"",IF(AND($U1400="מפותח",$V1400="מפותח",$W1400="מפותחת"),"מפותחת",IF((--($U1400="דל"))+(--($V1400="אינו מפותח"))+(--($W1400="דלה"))&gt;=2,"אינה מפותחת","חלקית"))))</f>
        <v/>
      </c>
      <c r="AA1400" s="32">
        <f>IF($C1400="","",IF(COUNTA($M1400,$N1400,$O1400)&lt;3,"— חסרים נתונים",IF(OR($M1400="נמוכה",(--($M1400&lt;&gt;"תקינה"))+(--($N1400&lt;&gt;"תקין"))+(--($O1400&lt;&gt;"תקינה"))&gt;=2),"ניכרת","אינה ניכרת")))</f>
        <v/>
      </c>
      <c r="AB1400" s="32">
        <f>IF(OR($C1400="",$Y1400="",$AA1400="",LEFT($Y1400,1)="—",LEFT($AA1400,1)="—"),"",IF($Z1400="","— נדרשת הערכת כתיבה",IF($L1400="","— חסרה הבנת הנקרא",IF($Y1400="אינה מדויקת או מקוטעת",IF($AA1400="ניכרת","מיקוד בשטף הקריאה ובכישורי שפה","מיקוד בשטף קריאה"),IF($AA1400="ניכרת","מיקוד בכישורי שפה",IF(AND($L1400="תקינה",$Z1400="מפותחת"),"קוראים וכותבים מיומנים","מיקוד בהבנה והבעה"))))))</f>
        <v/>
      </c>
      <c r="AC1400" s="32">
        <f>IF(OR($AB1400="",LEFT($AB1400,1)="—"),"",IF(OR($AB1400="מיקוד בשטף קריאה",$AB1400="מיקוד בשטף הקריאה ובכישורי שפה"),"רמה א'",IF($AB1400="קוראים וכותבים מיומנים","רמה ג'","רמה ב'")))</f>
        <v/>
      </c>
      <c r="AD1400" s="32">
        <f>IF($AC1400="","",MID(IF(AND($AC1400="רמה א'",$AA1400="ניכרת"),"; להוסיף עבודת אוצר מילים","")&amp;IF($Z1400="אינה מפותחת","; דגש על הבעה בכתב","")&amp;IF($K1400&lt;&gt;"תקין","; נדרש לעבוד על ההנגנה","")&amp;IF($AK1400&lt;&gt;"","; "&amp;$AK1400,""),3,400))</f>
        <v/>
      </c>
      <c r="AE1400" s="32">
        <f>IF($F1400="","",IF($F1400="תחילת שנה",1,IF($F1400="מחצית שנה",2,3)))</f>
        <v/>
      </c>
      <c r="AF1400" s="32">
        <f>IF(OR($B1400="",$AC1400="",$A1400="",$F1400=""),"",$B1400&amp;"|"&amp;$A1400&amp;"|"&amp;$F1400&amp;"|"&amp;$AC1400&amp;"|"&amp;COUNTIFS($B$6:$B1400,$B1400,$A$6:$A1400,$A1400,$F$6:$F1400,$F1400,$AC$6:$AC1400,$AC1400))</f>
        <v/>
      </c>
      <c r="AG1400" s="32">
        <f>IF($C1400="","",$C1400&amp;"|"&amp;COUNTIFS($C$6:$C1400,$C1400))</f>
        <v/>
      </c>
      <c r="AH1400" s="32">
        <f>IF(OR($C1400="",$A1400="",$AE1400=""),"",$C1400&amp;"|"&amp;$A1400&amp;"|"&amp;$AE1400)</f>
        <v/>
      </c>
      <c r="AI1400" s="32">
        <f>IF(OR($C1400="",$AE1400="",$AE1400=1),"",IFERROR(INDEX($AC$6:$AC$1505,MATCH($C1400&amp;"|"&amp;$A1400&amp;"|"&amp;($AE1400-1),$AH$6:$AH$1505,0)),""))</f>
        <v/>
      </c>
      <c r="AJ1400" s="32">
        <f>IF(OR($AI1400="",$AC1400=""),"",IF($AI1400=$AC1400,"ללא שינוי","מ-"&amp;$AI1400&amp;" ל-"&amp;$AC1400))</f>
        <v/>
      </c>
      <c r="AK1400" s="67" t="n"/>
    </row>
    <row r="1401">
      <c r="A1401" s="65" t="n"/>
      <c r="B1401" s="65" t="n"/>
      <c r="C1401" s="66" t="n"/>
      <c r="D1401" s="66" t="n"/>
      <c r="E1401" s="65" t="n"/>
      <c r="F1401" s="65" t="n"/>
      <c r="G1401" s="65" t="n"/>
      <c r="H1401" s="65" t="n"/>
      <c r="I1401" s="65" t="n"/>
      <c r="J1401" s="65" t="n"/>
      <c r="K1401" s="65" t="n"/>
      <c r="L1401" s="65" t="n"/>
      <c r="M1401" s="65" t="n"/>
      <c r="N1401" s="65" t="n"/>
      <c r="O1401" s="65" t="n"/>
      <c r="P1401" s="65" t="n"/>
      <c r="Q1401" s="65" t="n"/>
      <c r="R1401" s="65" t="n"/>
      <c r="S1401" s="65" t="n"/>
      <c r="T1401" s="65" t="n"/>
      <c r="U1401" s="65" t="n"/>
      <c r="V1401" s="65" t="n"/>
      <c r="W1401" s="65" t="n"/>
      <c r="X1401" s="65" t="n"/>
      <c r="Y1401" s="32">
        <f>IF($C1401="","",IF(COUNTA($I1401:$K1401)&lt;3,"— חסרים נתונים",IF(AND($I1401="תקין",$J1401="תקין",$K1401="תקין"),"רהוטה",IF(AND($I1401="תקין",$J1401="תקין"),"מדויקת ורציפה","אינה מדויקת או מקוטעת"))))</f>
        <v/>
      </c>
      <c r="Z1401" s="32">
        <f>IF($C1401="","",IF(COUNTA($U1401:$W1401)&lt;3,"",IF(AND($U1401="מפותח",$V1401="מפותח",$W1401="מפותחת"),"מפותחת",IF((--($U1401="דל"))+(--($V1401="אינו מפותח"))+(--($W1401="דלה"))&gt;=2,"אינה מפותחת","חלקית"))))</f>
        <v/>
      </c>
      <c r="AA1401" s="32">
        <f>IF($C1401="","",IF(COUNTA($M1401,$N1401,$O1401)&lt;3,"— חסרים נתונים",IF(OR($M1401="נמוכה",(--($M1401&lt;&gt;"תקינה"))+(--($N1401&lt;&gt;"תקין"))+(--($O1401&lt;&gt;"תקינה"))&gt;=2),"ניכרת","אינה ניכרת")))</f>
        <v/>
      </c>
      <c r="AB1401" s="32">
        <f>IF(OR($C1401="",$Y1401="",$AA1401="",LEFT($Y1401,1)="—",LEFT($AA1401,1)="—"),"",IF($Z1401="","— נדרשת הערכת כתיבה",IF($L1401="","— חסרה הבנת הנקרא",IF($Y1401="אינה מדויקת או מקוטעת",IF($AA1401="ניכרת","מיקוד בשטף הקריאה ובכישורי שפה","מיקוד בשטף קריאה"),IF($AA1401="ניכרת","מיקוד בכישורי שפה",IF(AND($L1401="תקינה",$Z1401="מפותחת"),"קוראים וכותבים מיומנים","מיקוד בהבנה והבעה"))))))</f>
        <v/>
      </c>
      <c r="AC1401" s="32">
        <f>IF(OR($AB1401="",LEFT($AB1401,1)="—"),"",IF(OR($AB1401="מיקוד בשטף קריאה",$AB1401="מיקוד בשטף הקריאה ובכישורי שפה"),"רמה א'",IF($AB1401="קוראים וכותבים מיומנים","רמה ג'","רמה ב'")))</f>
        <v/>
      </c>
      <c r="AD1401" s="32">
        <f>IF($AC1401="","",MID(IF(AND($AC1401="רמה א'",$AA1401="ניכרת"),"; להוסיף עבודת אוצר מילים","")&amp;IF($Z1401="אינה מפותחת","; דגש על הבעה בכתב","")&amp;IF($K1401&lt;&gt;"תקין","; נדרש לעבוד על ההנגנה","")&amp;IF($AK1401&lt;&gt;"","; "&amp;$AK1401,""),3,400))</f>
        <v/>
      </c>
      <c r="AE1401" s="32">
        <f>IF($F1401="","",IF($F1401="תחילת שנה",1,IF($F1401="מחצית שנה",2,3)))</f>
        <v/>
      </c>
      <c r="AF1401" s="32">
        <f>IF(OR($B1401="",$AC1401="",$A1401="",$F1401=""),"",$B1401&amp;"|"&amp;$A1401&amp;"|"&amp;$F1401&amp;"|"&amp;$AC1401&amp;"|"&amp;COUNTIFS($B$6:$B1401,$B1401,$A$6:$A1401,$A1401,$F$6:$F1401,$F1401,$AC$6:$AC1401,$AC1401))</f>
        <v/>
      </c>
      <c r="AG1401" s="32">
        <f>IF($C1401="","",$C1401&amp;"|"&amp;COUNTIFS($C$6:$C1401,$C1401))</f>
        <v/>
      </c>
      <c r="AH1401" s="32">
        <f>IF(OR($C1401="",$A1401="",$AE1401=""),"",$C1401&amp;"|"&amp;$A1401&amp;"|"&amp;$AE1401)</f>
        <v/>
      </c>
      <c r="AI1401" s="32">
        <f>IF(OR($C1401="",$AE1401="",$AE1401=1),"",IFERROR(INDEX($AC$6:$AC$1505,MATCH($C1401&amp;"|"&amp;$A1401&amp;"|"&amp;($AE1401-1),$AH$6:$AH$1505,0)),""))</f>
        <v/>
      </c>
      <c r="AJ1401" s="32">
        <f>IF(OR($AI1401="",$AC1401=""),"",IF($AI1401=$AC1401,"ללא שינוי","מ-"&amp;$AI1401&amp;" ל-"&amp;$AC1401))</f>
        <v/>
      </c>
      <c r="AK1401" s="67" t="n"/>
    </row>
    <row r="1402">
      <c r="A1402" s="65" t="n"/>
      <c r="B1402" s="65" t="n"/>
      <c r="C1402" s="66" t="n"/>
      <c r="D1402" s="66" t="n"/>
      <c r="E1402" s="65" t="n"/>
      <c r="F1402" s="65" t="n"/>
      <c r="G1402" s="65" t="n"/>
      <c r="H1402" s="65" t="n"/>
      <c r="I1402" s="65" t="n"/>
      <c r="J1402" s="65" t="n"/>
      <c r="K1402" s="65" t="n"/>
      <c r="L1402" s="65" t="n"/>
      <c r="M1402" s="65" t="n"/>
      <c r="N1402" s="65" t="n"/>
      <c r="O1402" s="65" t="n"/>
      <c r="P1402" s="65" t="n"/>
      <c r="Q1402" s="65" t="n"/>
      <c r="R1402" s="65" t="n"/>
      <c r="S1402" s="65" t="n"/>
      <c r="T1402" s="65" t="n"/>
      <c r="U1402" s="65" t="n"/>
      <c r="V1402" s="65" t="n"/>
      <c r="W1402" s="65" t="n"/>
      <c r="X1402" s="65" t="n"/>
      <c r="Y1402" s="32">
        <f>IF($C1402="","",IF(COUNTA($I1402:$K1402)&lt;3,"— חסרים נתונים",IF(AND($I1402="תקין",$J1402="תקין",$K1402="תקין"),"רהוטה",IF(AND($I1402="תקין",$J1402="תקין"),"מדויקת ורציפה","אינה מדויקת או מקוטעת"))))</f>
        <v/>
      </c>
      <c r="Z1402" s="32">
        <f>IF($C1402="","",IF(COUNTA($U1402:$W1402)&lt;3,"",IF(AND($U1402="מפותח",$V1402="מפותח",$W1402="מפותחת"),"מפותחת",IF((--($U1402="דל"))+(--($V1402="אינו מפותח"))+(--($W1402="דלה"))&gt;=2,"אינה מפותחת","חלקית"))))</f>
        <v/>
      </c>
      <c r="AA1402" s="32">
        <f>IF($C1402="","",IF(COUNTA($M1402,$N1402,$O1402)&lt;3,"— חסרים נתונים",IF(OR($M1402="נמוכה",(--($M1402&lt;&gt;"תקינה"))+(--($N1402&lt;&gt;"תקין"))+(--($O1402&lt;&gt;"תקינה"))&gt;=2),"ניכרת","אינה ניכרת")))</f>
        <v/>
      </c>
      <c r="AB1402" s="32">
        <f>IF(OR($C1402="",$Y1402="",$AA1402="",LEFT($Y1402,1)="—",LEFT($AA1402,1)="—"),"",IF($Z1402="","— נדרשת הערכת כתיבה",IF($L1402="","— חסרה הבנת הנקרא",IF($Y1402="אינה מדויקת או מקוטעת",IF($AA1402="ניכרת","מיקוד בשטף הקריאה ובכישורי שפה","מיקוד בשטף קריאה"),IF($AA1402="ניכרת","מיקוד בכישורי שפה",IF(AND($L1402="תקינה",$Z1402="מפותחת"),"קוראים וכותבים מיומנים","מיקוד בהבנה והבעה"))))))</f>
        <v/>
      </c>
      <c r="AC1402" s="32">
        <f>IF(OR($AB1402="",LEFT($AB1402,1)="—"),"",IF(OR($AB1402="מיקוד בשטף קריאה",$AB1402="מיקוד בשטף הקריאה ובכישורי שפה"),"רמה א'",IF($AB1402="קוראים וכותבים מיומנים","רמה ג'","רמה ב'")))</f>
        <v/>
      </c>
      <c r="AD1402" s="32">
        <f>IF($AC1402="","",MID(IF(AND($AC1402="רמה א'",$AA1402="ניכרת"),"; להוסיף עבודת אוצר מילים","")&amp;IF($Z1402="אינה מפותחת","; דגש על הבעה בכתב","")&amp;IF($K1402&lt;&gt;"תקין","; נדרש לעבוד על ההנגנה","")&amp;IF($AK1402&lt;&gt;"","; "&amp;$AK1402,""),3,400))</f>
        <v/>
      </c>
      <c r="AE1402" s="32">
        <f>IF($F1402="","",IF($F1402="תחילת שנה",1,IF($F1402="מחצית שנה",2,3)))</f>
        <v/>
      </c>
      <c r="AF1402" s="32">
        <f>IF(OR($B1402="",$AC1402="",$A1402="",$F1402=""),"",$B1402&amp;"|"&amp;$A1402&amp;"|"&amp;$F1402&amp;"|"&amp;$AC1402&amp;"|"&amp;COUNTIFS($B$6:$B1402,$B1402,$A$6:$A1402,$A1402,$F$6:$F1402,$F1402,$AC$6:$AC1402,$AC1402))</f>
        <v/>
      </c>
      <c r="AG1402" s="32">
        <f>IF($C1402="","",$C1402&amp;"|"&amp;COUNTIFS($C$6:$C1402,$C1402))</f>
        <v/>
      </c>
      <c r="AH1402" s="32">
        <f>IF(OR($C1402="",$A1402="",$AE1402=""),"",$C1402&amp;"|"&amp;$A1402&amp;"|"&amp;$AE1402)</f>
        <v/>
      </c>
      <c r="AI1402" s="32">
        <f>IF(OR($C1402="",$AE1402="",$AE1402=1),"",IFERROR(INDEX($AC$6:$AC$1505,MATCH($C1402&amp;"|"&amp;$A1402&amp;"|"&amp;($AE1402-1),$AH$6:$AH$1505,0)),""))</f>
        <v/>
      </c>
      <c r="AJ1402" s="32">
        <f>IF(OR($AI1402="",$AC1402=""),"",IF($AI1402=$AC1402,"ללא שינוי","מ-"&amp;$AI1402&amp;" ל-"&amp;$AC1402))</f>
        <v/>
      </c>
      <c r="AK1402" s="67" t="n"/>
    </row>
    <row r="1403">
      <c r="A1403" s="65" t="n"/>
      <c r="B1403" s="65" t="n"/>
      <c r="C1403" s="66" t="n"/>
      <c r="D1403" s="66" t="n"/>
      <c r="E1403" s="65" t="n"/>
      <c r="F1403" s="65" t="n"/>
      <c r="G1403" s="65" t="n"/>
      <c r="H1403" s="65" t="n"/>
      <c r="I1403" s="65" t="n"/>
      <c r="J1403" s="65" t="n"/>
      <c r="K1403" s="65" t="n"/>
      <c r="L1403" s="65" t="n"/>
      <c r="M1403" s="65" t="n"/>
      <c r="N1403" s="65" t="n"/>
      <c r="O1403" s="65" t="n"/>
      <c r="P1403" s="65" t="n"/>
      <c r="Q1403" s="65" t="n"/>
      <c r="R1403" s="65" t="n"/>
      <c r="S1403" s="65" t="n"/>
      <c r="T1403" s="65" t="n"/>
      <c r="U1403" s="65" t="n"/>
      <c r="V1403" s="65" t="n"/>
      <c r="W1403" s="65" t="n"/>
      <c r="X1403" s="65" t="n"/>
      <c r="Y1403" s="32">
        <f>IF($C1403="","",IF(COUNTA($I1403:$K1403)&lt;3,"— חסרים נתונים",IF(AND($I1403="תקין",$J1403="תקין",$K1403="תקין"),"רהוטה",IF(AND($I1403="תקין",$J1403="תקין"),"מדויקת ורציפה","אינה מדויקת או מקוטעת"))))</f>
        <v/>
      </c>
      <c r="Z1403" s="32">
        <f>IF($C1403="","",IF(COUNTA($U1403:$W1403)&lt;3,"",IF(AND($U1403="מפותח",$V1403="מפותח",$W1403="מפותחת"),"מפותחת",IF((--($U1403="דל"))+(--($V1403="אינו מפותח"))+(--($W1403="דלה"))&gt;=2,"אינה מפותחת","חלקית"))))</f>
        <v/>
      </c>
      <c r="AA1403" s="32">
        <f>IF($C1403="","",IF(COUNTA($M1403,$N1403,$O1403)&lt;3,"— חסרים נתונים",IF(OR($M1403="נמוכה",(--($M1403&lt;&gt;"תקינה"))+(--($N1403&lt;&gt;"תקין"))+(--($O1403&lt;&gt;"תקינה"))&gt;=2),"ניכרת","אינה ניכרת")))</f>
        <v/>
      </c>
      <c r="AB1403" s="32">
        <f>IF(OR($C1403="",$Y1403="",$AA1403="",LEFT($Y1403,1)="—",LEFT($AA1403,1)="—"),"",IF($Z1403="","— נדרשת הערכת כתיבה",IF($L1403="","— חסרה הבנת הנקרא",IF($Y1403="אינה מדויקת או מקוטעת",IF($AA1403="ניכרת","מיקוד בשטף הקריאה ובכישורי שפה","מיקוד בשטף קריאה"),IF($AA1403="ניכרת","מיקוד בכישורי שפה",IF(AND($L1403="תקינה",$Z1403="מפותחת"),"קוראים וכותבים מיומנים","מיקוד בהבנה והבעה"))))))</f>
        <v/>
      </c>
      <c r="AC1403" s="32">
        <f>IF(OR($AB1403="",LEFT($AB1403,1)="—"),"",IF(OR($AB1403="מיקוד בשטף קריאה",$AB1403="מיקוד בשטף הקריאה ובכישורי שפה"),"רמה א'",IF($AB1403="קוראים וכותבים מיומנים","רמה ג'","רמה ב'")))</f>
        <v/>
      </c>
      <c r="AD1403" s="32">
        <f>IF($AC1403="","",MID(IF(AND($AC1403="רמה א'",$AA1403="ניכרת"),"; להוסיף עבודת אוצר מילים","")&amp;IF($Z1403="אינה מפותחת","; דגש על הבעה בכתב","")&amp;IF($K1403&lt;&gt;"תקין","; נדרש לעבוד על ההנגנה","")&amp;IF($AK1403&lt;&gt;"","; "&amp;$AK1403,""),3,400))</f>
        <v/>
      </c>
      <c r="AE1403" s="32">
        <f>IF($F1403="","",IF($F1403="תחילת שנה",1,IF($F1403="מחצית שנה",2,3)))</f>
        <v/>
      </c>
      <c r="AF1403" s="32">
        <f>IF(OR($B1403="",$AC1403="",$A1403="",$F1403=""),"",$B1403&amp;"|"&amp;$A1403&amp;"|"&amp;$F1403&amp;"|"&amp;$AC1403&amp;"|"&amp;COUNTIFS($B$6:$B1403,$B1403,$A$6:$A1403,$A1403,$F$6:$F1403,$F1403,$AC$6:$AC1403,$AC1403))</f>
        <v/>
      </c>
      <c r="AG1403" s="32">
        <f>IF($C1403="","",$C1403&amp;"|"&amp;COUNTIFS($C$6:$C1403,$C1403))</f>
        <v/>
      </c>
      <c r="AH1403" s="32">
        <f>IF(OR($C1403="",$A1403="",$AE1403=""),"",$C1403&amp;"|"&amp;$A1403&amp;"|"&amp;$AE1403)</f>
        <v/>
      </c>
      <c r="AI1403" s="32">
        <f>IF(OR($C1403="",$AE1403="",$AE1403=1),"",IFERROR(INDEX($AC$6:$AC$1505,MATCH($C1403&amp;"|"&amp;$A1403&amp;"|"&amp;($AE1403-1),$AH$6:$AH$1505,0)),""))</f>
        <v/>
      </c>
      <c r="AJ1403" s="32">
        <f>IF(OR($AI1403="",$AC1403=""),"",IF($AI1403=$AC1403,"ללא שינוי","מ-"&amp;$AI1403&amp;" ל-"&amp;$AC1403))</f>
        <v/>
      </c>
      <c r="AK1403" s="67" t="n"/>
    </row>
    <row r="1404">
      <c r="A1404" s="65" t="n"/>
      <c r="B1404" s="65" t="n"/>
      <c r="C1404" s="66" t="n"/>
      <c r="D1404" s="66" t="n"/>
      <c r="E1404" s="65" t="n"/>
      <c r="F1404" s="65" t="n"/>
      <c r="G1404" s="65" t="n"/>
      <c r="H1404" s="65" t="n"/>
      <c r="I1404" s="65" t="n"/>
      <c r="J1404" s="65" t="n"/>
      <c r="K1404" s="65" t="n"/>
      <c r="L1404" s="65" t="n"/>
      <c r="M1404" s="65" t="n"/>
      <c r="N1404" s="65" t="n"/>
      <c r="O1404" s="65" t="n"/>
      <c r="P1404" s="65" t="n"/>
      <c r="Q1404" s="65" t="n"/>
      <c r="R1404" s="65" t="n"/>
      <c r="S1404" s="65" t="n"/>
      <c r="T1404" s="65" t="n"/>
      <c r="U1404" s="65" t="n"/>
      <c r="V1404" s="65" t="n"/>
      <c r="W1404" s="65" t="n"/>
      <c r="X1404" s="65" t="n"/>
      <c r="Y1404" s="32">
        <f>IF($C1404="","",IF(COUNTA($I1404:$K1404)&lt;3,"— חסרים נתונים",IF(AND($I1404="תקין",$J1404="תקין",$K1404="תקין"),"רהוטה",IF(AND($I1404="תקין",$J1404="תקין"),"מדויקת ורציפה","אינה מדויקת או מקוטעת"))))</f>
        <v/>
      </c>
      <c r="Z1404" s="32">
        <f>IF($C1404="","",IF(COUNTA($U1404:$W1404)&lt;3,"",IF(AND($U1404="מפותח",$V1404="מפותח",$W1404="מפותחת"),"מפותחת",IF((--($U1404="דל"))+(--($V1404="אינו מפותח"))+(--($W1404="דלה"))&gt;=2,"אינה מפותחת","חלקית"))))</f>
        <v/>
      </c>
      <c r="AA1404" s="32">
        <f>IF($C1404="","",IF(COUNTA($M1404,$N1404,$O1404)&lt;3,"— חסרים נתונים",IF(OR($M1404="נמוכה",(--($M1404&lt;&gt;"תקינה"))+(--($N1404&lt;&gt;"תקין"))+(--($O1404&lt;&gt;"תקינה"))&gt;=2),"ניכרת","אינה ניכרת")))</f>
        <v/>
      </c>
      <c r="AB1404" s="32">
        <f>IF(OR($C1404="",$Y1404="",$AA1404="",LEFT($Y1404,1)="—",LEFT($AA1404,1)="—"),"",IF($Z1404="","— נדרשת הערכת כתיבה",IF($L1404="","— חסרה הבנת הנקרא",IF($Y1404="אינה מדויקת או מקוטעת",IF($AA1404="ניכרת","מיקוד בשטף הקריאה ובכישורי שפה","מיקוד בשטף קריאה"),IF($AA1404="ניכרת","מיקוד בכישורי שפה",IF(AND($L1404="תקינה",$Z1404="מפותחת"),"קוראים וכותבים מיומנים","מיקוד בהבנה והבעה"))))))</f>
        <v/>
      </c>
      <c r="AC1404" s="32">
        <f>IF(OR($AB1404="",LEFT($AB1404,1)="—"),"",IF(OR($AB1404="מיקוד בשטף קריאה",$AB1404="מיקוד בשטף הקריאה ובכישורי שפה"),"רמה א'",IF($AB1404="קוראים וכותבים מיומנים","רמה ג'","רמה ב'")))</f>
        <v/>
      </c>
      <c r="AD1404" s="32">
        <f>IF($AC1404="","",MID(IF(AND($AC1404="רמה א'",$AA1404="ניכרת"),"; להוסיף עבודת אוצר מילים","")&amp;IF($Z1404="אינה מפותחת","; דגש על הבעה בכתב","")&amp;IF($K1404&lt;&gt;"תקין","; נדרש לעבוד על ההנגנה","")&amp;IF($AK1404&lt;&gt;"","; "&amp;$AK1404,""),3,400))</f>
        <v/>
      </c>
      <c r="AE1404" s="32">
        <f>IF($F1404="","",IF($F1404="תחילת שנה",1,IF($F1404="מחצית שנה",2,3)))</f>
        <v/>
      </c>
      <c r="AF1404" s="32">
        <f>IF(OR($B1404="",$AC1404="",$A1404="",$F1404=""),"",$B1404&amp;"|"&amp;$A1404&amp;"|"&amp;$F1404&amp;"|"&amp;$AC1404&amp;"|"&amp;COUNTIFS($B$6:$B1404,$B1404,$A$6:$A1404,$A1404,$F$6:$F1404,$F1404,$AC$6:$AC1404,$AC1404))</f>
        <v/>
      </c>
      <c r="AG1404" s="32">
        <f>IF($C1404="","",$C1404&amp;"|"&amp;COUNTIFS($C$6:$C1404,$C1404))</f>
        <v/>
      </c>
      <c r="AH1404" s="32">
        <f>IF(OR($C1404="",$A1404="",$AE1404=""),"",$C1404&amp;"|"&amp;$A1404&amp;"|"&amp;$AE1404)</f>
        <v/>
      </c>
      <c r="AI1404" s="32">
        <f>IF(OR($C1404="",$AE1404="",$AE1404=1),"",IFERROR(INDEX($AC$6:$AC$1505,MATCH($C1404&amp;"|"&amp;$A1404&amp;"|"&amp;($AE1404-1),$AH$6:$AH$1505,0)),""))</f>
        <v/>
      </c>
      <c r="AJ1404" s="32">
        <f>IF(OR($AI1404="",$AC1404=""),"",IF($AI1404=$AC1404,"ללא שינוי","מ-"&amp;$AI1404&amp;" ל-"&amp;$AC1404))</f>
        <v/>
      </c>
      <c r="AK1404" s="67" t="n"/>
    </row>
    <row r="1405">
      <c r="A1405" s="65" t="n"/>
      <c r="B1405" s="65" t="n"/>
      <c r="C1405" s="66" t="n"/>
      <c r="D1405" s="66" t="n"/>
      <c r="E1405" s="65" t="n"/>
      <c r="F1405" s="65" t="n"/>
      <c r="G1405" s="65" t="n"/>
      <c r="H1405" s="65" t="n"/>
      <c r="I1405" s="65" t="n"/>
      <c r="J1405" s="65" t="n"/>
      <c r="K1405" s="65" t="n"/>
      <c r="L1405" s="65" t="n"/>
      <c r="M1405" s="65" t="n"/>
      <c r="N1405" s="65" t="n"/>
      <c r="O1405" s="65" t="n"/>
      <c r="P1405" s="65" t="n"/>
      <c r="Q1405" s="65" t="n"/>
      <c r="R1405" s="65" t="n"/>
      <c r="S1405" s="65" t="n"/>
      <c r="T1405" s="65" t="n"/>
      <c r="U1405" s="65" t="n"/>
      <c r="V1405" s="65" t="n"/>
      <c r="W1405" s="65" t="n"/>
      <c r="X1405" s="65" t="n"/>
      <c r="Y1405" s="32">
        <f>IF($C1405="","",IF(COUNTA($I1405:$K1405)&lt;3,"— חסרים נתונים",IF(AND($I1405="תקין",$J1405="תקין",$K1405="תקין"),"רהוטה",IF(AND($I1405="תקין",$J1405="תקין"),"מדויקת ורציפה","אינה מדויקת או מקוטעת"))))</f>
        <v/>
      </c>
      <c r="Z1405" s="32">
        <f>IF($C1405="","",IF(COUNTA($U1405:$W1405)&lt;3,"",IF(AND($U1405="מפותח",$V1405="מפותח",$W1405="מפותחת"),"מפותחת",IF((--($U1405="דל"))+(--($V1405="אינו מפותח"))+(--($W1405="דלה"))&gt;=2,"אינה מפותחת","חלקית"))))</f>
        <v/>
      </c>
      <c r="AA1405" s="32">
        <f>IF($C1405="","",IF(COUNTA($M1405,$N1405,$O1405)&lt;3,"— חסרים נתונים",IF(OR($M1405="נמוכה",(--($M1405&lt;&gt;"תקינה"))+(--($N1405&lt;&gt;"תקין"))+(--($O1405&lt;&gt;"תקינה"))&gt;=2),"ניכרת","אינה ניכרת")))</f>
        <v/>
      </c>
      <c r="AB1405" s="32">
        <f>IF(OR($C1405="",$Y1405="",$AA1405="",LEFT($Y1405,1)="—",LEFT($AA1405,1)="—"),"",IF($Z1405="","— נדרשת הערכת כתיבה",IF($L1405="","— חסרה הבנת הנקרא",IF($Y1405="אינה מדויקת או מקוטעת",IF($AA1405="ניכרת","מיקוד בשטף הקריאה ובכישורי שפה","מיקוד בשטף קריאה"),IF($AA1405="ניכרת","מיקוד בכישורי שפה",IF(AND($L1405="תקינה",$Z1405="מפותחת"),"קוראים וכותבים מיומנים","מיקוד בהבנה והבעה"))))))</f>
        <v/>
      </c>
      <c r="AC1405" s="32">
        <f>IF(OR($AB1405="",LEFT($AB1405,1)="—"),"",IF(OR($AB1405="מיקוד בשטף קריאה",$AB1405="מיקוד בשטף הקריאה ובכישורי שפה"),"רמה א'",IF($AB1405="קוראים וכותבים מיומנים","רמה ג'","רמה ב'")))</f>
        <v/>
      </c>
      <c r="AD1405" s="32">
        <f>IF($AC1405="","",MID(IF(AND($AC1405="רמה א'",$AA1405="ניכרת"),"; להוסיף עבודת אוצר מילים","")&amp;IF($Z1405="אינה מפותחת","; דגש על הבעה בכתב","")&amp;IF($K1405&lt;&gt;"תקין","; נדרש לעבוד על ההנגנה","")&amp;IF($AK1405&lt;&gt;"","; "&amp;$AK1405,""),3,400))</f>
        <v/>
      </c>
      <c r="AE1405" s="32">
        <f>IF($F1405="","",IF($F1405="תחילת שנה",1,IF($F1405="מחצית שנה",2,3)))</f>
        <v/>
      </c>
      <c r="AF1405" s="32">
        <f>IF(OR($B1405="",$AC1405="",$A1405="",$F1405=""),"",$B1405&amp;"|"&amp;$A1405&amp;"|"&amp;$F1405&amp;"|"&amp;$AC1405&amp;"|"&amp;COUNTIFS($B$6:$B1405,$B1405,$A$6:$A1405,$A1405,$F$6:$F1405,$F1405,$AC$6:$AC1405,$AC1405))</f>
        <v/>
      </c>
      <c r="AG1405" s="32">
        <f>IF($C1405="","",$C1405&amp;"|"&amp;COUNTIFS($C$6:$C1405,$C1405))</f>
        <v/>
      </c>
      <c r="AH1405" s="32">
        <f>IF(OR($C1405="",$A1405="",$AE1405=""),"",$C1405&amp;"|"&amp;$A1405&amp;"|"&amp;$AE1405)</f>
        <v/>
      </c>
      <c r="AI1405" s="32">
        <f>IF(OR($C1405="",$AE1405="",$AE1405=1),"",IFERROR(INDEX($AC$6:$AC$1505,MATCH($C1405&amp;"|"&amp;$A1405&amp;"|"&amp;($AE1405-1),$AH$6:$AH$1505,0)),""))</f>
        <v/>
      </c>
      <c r="AJ1405" s="32">
        <f>IF(OR($AI1405="",$AC1405=""),"",IF($AI1405=$AC1405,"ללא שינוי","מ-"&amp;$AI1405&amp;" ל-"&amp;$AC1405))</f>
        <v/>
      </c>
      <c r="AK1405" s="67" t="n"/>
    </row>
    <row r="1406">
      <c r="A1406" s="65" t="n"/>
      <c r="B1406" s="65" t="n"/>
      <c r="C1406" s="66" t="n"/>
      <c r="D1406" s="66" t="n"/>
      <c r="E1406" s="65" t="n"/>
      <c r="F1406" s="65" t="n"/>
      <c r="G1406" s="65" t="n"/>
      <c r="H1406" s="65" t="n"/>
      <c r="I1406" s="65" t="n"/>
      <c r="J1406" s="65" t="n"/>
      <c r="K1406" s="65" t="n"/>
      <c r="L1406" s="65" t="n"/>
      <c r="M1406" s="65" t="n"/>
      <c r="N1406" s="65" t="n"/>
      <c r="O1406" s="65" t="n"/>
      <c r="P1406" s="65" t="n"/>
      <c r="Q1406" s="65" t="n"/>
      <c r="R1406" s="65" t="n"/>
      <c r="S1406" s="65" t="n"/>
      <c r="T1406" s="65" t="n"/>
      <c r="U1406" s="65" t="n"/>
      <c r="V1406" s="65" t="n"/>
      <c r="W1406" s="65" t="n"/>
      <c r="X1406" s="65" t="n"/>
      <c r="Y1406" s="32">
        <f>IF($C1406="","",IF(COUNTA($I1406:$K1406)&lt;3,"— חסרים נתונים",IF(AND($I1406="תקין",$J1406="תקין",$K1406="תקין"),"רהוטה",IF(AND($I1406="תקין",$J1406="תקין"),"מדויקת ורציפה","אינה מדויקת או מקוטעת"))))</f>
        <v/>
      </c>
      <c r="Z1406" s="32">
        <f>IF($C1406="","",IF(COUNTA($U1406:$W1406)&lt;3,"",IF(AND($U1406="מפותח",$V1406="מפותח",$W1406="מפותחת"),"מפותחת",IF((--($U1406="דל"))+(--($V1406="אינו מפותח"))+(--($W1406="דלה"))&gt;=2,"אינה מפותחת","חלקית"))))</f>
        <v/>
      </c>
      <c r="AA1406" s="32">
        <f>IF($C1406="","",IF(COUNTA($M1406,$N1406,$O1406)&lt;3,"— חסרים נתונים",IF(OR($M1406="נמוכה",(--($M1406&lt;&gt;"תקינה"))+(--($N1406&lt;&gt;"תקין"))+(--($O1406&lt;&gt;"תקינה"))&gt;=2),"ניכרת","אינה ניכרת")))</f>
        <v/>
      </c>
      <c r="AB1406" s="32">
        <f>IF(OR($C1406="",$Y1406="",$AA1406="",LEFT($Y1406,1)="—",LEFT($AA1406,1)="—"),"",IF($Z1406="","— נדרשת הערכת כתיבה",IF($L1406="","— חסרה הבנת הנקרא",IF($Y1406="אינה מדויקת או מקוטעת",IF($AA1406="ניכרת","מיקוד בשטף הקריאה ובכישורי שפה","מיקוד בשטף קריאה"),IF($AA1406="ניכרת","מיקוד בכישורי שפה",IF(AND($L1406="תקינה",$Z1406="מפותחת"),"קוראים וכותבים מיומנים","מיקוד בהבנה והבעה"))))))</f>
        <v/>
      </c>
      <c r="AC1406" s="32">
        <f>IF(OR($AB1406="",LEFT($AB1406,1)="—"),"",IF(OR($AB1406="מיקוד בשטף קריאה",$AB1406="מיקוד בשטף הקריאה ובכישורי שפה"),"רמה א'",IF($AB1406="קוראים וכותבים מיומנים","רמה ג'","רמה ב'")))</f>
        <v/>
      </c>
      <c r="AD1406" s="32">
        <f>IF($AC1406="","",MID(IF(AND($AC1406="רמה א'",$AA1406="ניכרת"),"; להוסיף עבודת אוצר מילים","")&amp;IF($Z1406="אינה מפותחת","; דגש על הבעה בכתב","")&amp;IF($K1406&lt;&gt;"תקין","; נדרש לעבוד על ההנגנה","")&amp;IF($AK1406&lt;&gt;"","; "&amp;$AK1406,""),3,400))</f>
        <v/>
      </c>
      <c r="AE1406" s="32">
        <f>IF($F1406="","",IF($F1406="תחילת שנה",1,IF($F1406="מחצית שנה",2,3)))</f>
        <v/>
      </c>
      <c r="AF1406" s="32">
        <f>IF(OR($B1406="",$AC1406="",$A1406="",$F1406=""),"",$B1406&amp;"|"&amp;$A1406&amp;"|"&amp;$F1406&amp;"|"&amp;$AC1406&amp;"|"&amp;COUNTIFS($B$6:$B1406,$B1406,$A$6:$A1406,$A1406,$F$6:$F1406,$F1406,$AC$6:$AC1406,$AC1406))</f>
        <v/>
      </c>
      <c r="AG1406" s="32">
        <f>IF($C1406="","",$C1406&amp;"|"&amp;COUNTIFS($C$6:$C1406,$C1406))</f>
        <v/>
      </c>
      <c r="AH1406" s="32">
        <f>IF(OR($C1406="",$A1406="",$AE1406=""),"",$C1406&amp;"|"&amp;$A1406&amp;"|"&amp;$AE1406)</f>
        <v/>
      </c>
      <c r="AI1406" s="32">
        <f>IF(OR($C1406="",$AE1406="",$AE1406=1),"",IFERROR(INDEX($AC$6:$AC$1505,MATCH($C1406&amp;"|"&amp;$A1406&amp;"|"&amp;($AE1406-1),$AH$6:$AH$1505,0)),""))</f>
        <v/>
      </c>
      <c r="AJ1406" s="32">
        <f>IF(OR($AI1406="",$AC1406=""),"",IF($AI1406=$AC1406,"ללא שינוי","מ-"&amp;$AI1406&amp;" ל-"&amp;$AC1406))</f>
        <v/>
      </c>
      <c r="AK1406" s="67" t="n"/>
    </row>
    <row r="1407">
      <c r="A1407" s="65" t="n"/>
      <c r="B1407" s="65" t="n"/>
      <c r="C1407" s="66" t="n"/>
      <c r="D1407" s="66" t="n"/>
      <c r="E1407" s="65" t="n"/>
      <c r="F1407" s="65" t="n"/>
      <c r="G1407" s="65" t="n"/>
      <c r="H1407" s="65" t="n"/>
      <c r="I1407" s="65" t="n"/>
      <c r="J1407" s="65" t="n"/>
      <c r="K1407" s="65" t="n"/>
      <c r="L1407" s="65" t="n"/>
      <c r="M1407" s="65" t="n"/>
      <c r="N1407" s="65" t="n"/>
      <c r="O1407" s="65" t="n"/>
      <c r="P1407" s="65" t="n"/>
      <c r="Q1407" s="65" t="n"/>
      <c r="R1407" s="65" t="n"/>
      <c r="S1407" s="65" t="n"/>
      <c r="T1407" s="65" t="n"/>
      <c r="U1407" s="65" t="n"/>
      <c r="V1407" s="65" t="n"/>
      <c r="W1407" s="65" t="n"/>
      <c r="X1407" s="65" t="n"/>
      <c r="Y1407" s="32">
        <f>IF($C1407="","",IF(COUNTA($I1407:$K1407)&lt;3,"— חסרים נתונים",IF(AND($I1407="תקין",$J1407="תקין",$K1407="תקין"),"רהוטה",IF(AND($I1407="תקין",$J1407="תקין"),"מדויקת ורציפה","אינה מדויקת או מקוטעת"))))</f>
        <v/>
      </c>
      <c r="Z1407" s="32">
        <f>IF($C1407="","",IF(COUNTA($U1407:$W1407)&lt;3,"",IF(AND($U1407="מפותח",$V1407="מפותח",$W1407="מפותחת"),"מפותחת",IF((--($U1407="דל"))+(--($V1407="אינו מפותח"))+(--($W1407="דלה"))&gt;=2,"אינה מפותחת","חלקית"))))</f>
        <v/>
      </c>
      <c r="AA1407" s="32">
        <f>IF($C1407="","",IF(COUNTA($M1407,$N1407,$O1407)&lt;3,"— חסרים נתונים",IF(OR($M1407="נמוכה",(--($M1407&lt;&gt;"תקינה"))+(--($N1407&lt;&gt;"תקין"))+(--($O1407&lt;&gt;"תקינה"))&gt;=2),"ניכרת","אינה ניכרת")))</f>
        <v/>
      </c>
      <c r="AB1407" s="32">
        <f>IF(OR($C1407="",$Y1407="",$AA1407="",LEFT($Y1407,1)="—",LEFT($AA1407,1)="—"),"",IF($Z1407="","— נדרשת הערכת כתיבה",IF($L1407="","— חסרה הבנת הנקרא",IF($Y1407="אינה מדויקת או מקוטעת",IF($AA1407="ניכרת","מיקוד בשטף הקריאה ובכישורי שפה","מיקוד בשטף קריאה"),IF($AA1407="ניכרת","מיקוד בכישורי שפה",IF(AND($L1407="תקינה",$Z1407="מפותחת"),"קוראים וכותבים מיומנים","מיקוד בהבנה והבעה"))))))</f>
        <v/>
      </c>
      <c r="AC1407" s="32">
        <f>IF(OR($AB1407="",LEFT($AB1407,1)="—"),"",IF(OR($AB1407="מיקוד בשטף קריאה",$AB1407="מיקוד בשטף הקריאה ובכישורי שפה"),"רמה א'",IF($AB1407="קוראים וכותבים מיומנים","רמה ג'","רמה ב'")))</f>
        <v/>
      </c>
      <c r="AD1407" s="32">
        <f>IF($AC1407="","",MID(IF(AND($AC1407="רמה א'",$AA1407="ניכרת"),"; להוסיף עבודת אוצר מילים","")&amp;IF($Z1407="אינה מפותחת","; דגש על הבעה בכתב","")&amp;IF($K1407&lt;&gt;"תקין","; נדרש לעבוד על ההנגנה","")&amp;IF($AK1407&lt;&gt;"","; "&amp;$AK1407,""),3,400))</f>
        <v/>
      </c>
      <c r="AE1407" s="32">
        <f>IF($F1407="","",IF($F1407="תחילת שנה",1,IF($F1407="מחצית שנה",2,3)))</f>
        <v/>
      </c>
      <c r="AF1407" s="32">
        <f>IF(OR($B1407="",$AC1407="",$A1407="",$F1407=""),"",$B1407&amp;"|"&amp;$A1407&amp;"|"&amp;$F1407&amp;"|"&amp;$AC1407&amp;"|"&amp;COUNTIFS($B$6:$B1407,$B1407,$A$6:$A1407,$A1407,$F$6:$F1407,$F1407,$AC$6:$AC1407,$AC1407))</f>
        <v/>
      </c>
      <c r="AG1407" s="32">
        <f>IF($C1407="","",$C1407&amp;"|"&amp;COUNTIFS($C$6:$C1407,$C1407))</f>
        <v/>
      </c>
      <c r="AH1407" s="32">
        <f>IF(OR($C1407="",$A1407="",$AE1407=""),"",$C1407&amp;"|"&amp;$A1407&amp;"|"&amp;$AE1407)</f>
        <v/>
      </c>
      <c r="AI1407" s="32">
        <f>IF(OR($C1407="",$AE1407="",$AE1407=1),"",IFERROR(INDEX($AC$6:$AC$1505,MATCH($C1407&amp;"|"&amp;$A1407&amp;"|"&amp;($AE1407-1),$AH$6:$AH$1505,0)),""))</f>
        <v/>
      </c>
      <c r="AJ1407" s="32">
        <f>IF(OR($AI1407="",$AC1407=""),"",IF($AI1407=$AC1407,"ללא שינוי","מ-"&amp;$AI1407&amp;" ל-"&amp;$AC1407))</f>
        <v/>
      </c>
      <c r="AK1407" s="67" t="n"/>
    </row>
    <row r="1408">
      <c r="A1408" s="65" t="n"/>
      <c r="B1408" s="65" t="n"/>
      <c r="C1408" s="66" t="n"/>
      <c r="D1408" s="66" t="n"/>
      <c r="E1408" s="65" t="n"/>
      <c r="F1408" s="65" t="n"/>
      <c r="G1408" s="65" t="n"/>
      <c r="H1408" s="65" t="n"/>
      <c r="I1408" s="65" t="n"/>
      <c r="J1408" s="65" t="n"/>
      <c r="K1408" s="65" t="n"/>
      <c r="L1408" s="65" t="n"/>
      <c r="M1408" s="65" t="n"/>
      <c r="N1408" s="65" t="n"/>
      <c r="O1408" s="65" t="n"/>
      <c r="P1408" s="65" t="n"/>
      <c r="Q1408" s="65" t="n"/>
      <c r="R1408" s="65" t="n"/>
      <c r="S1408" s="65" t="n"/>
      <c r="T1408" s="65" t="n"/>
      <c r="U1408" s="65" t="n"/>
      <c r="V1408" s="65" t="n"/>
      <c r="W1408" s="65" t="n"/>
      <c r="X1408" s="65" t="n"/>
      <c r="Y1408" s="32">
        <f>IF($C1408="","",IF(COUNTA($I1408:$K1408)&lt;3,"— חסרים נתונים",IF(AND($I1408="תקין",$J1408="תקין",$K1408="תקין"),"רהוטה",IF(AND($I1408="תקין",$J1408="תקין"),"מדויקת ורציפה","אינה מדויקת או מקוטעת"))))</f>
        <v/>
      </c>
      <c r="Z1408" s="32">
        <f>IF($C1408="","",IF(COUNTA($U1408:$W1408)&lt;3,"",IF(AND($U1408="מפותח",$V1408="מפותח",$W1408="מפותחת"),"מפותחת",IF((--($U1408="דל"))+(--($V1408="אינו מפותח"))+(--($W1408="דלה"))&gt;=2,"אינה מפותחת","חלקית"))))</f>
        <v/>
      </c>
      <c r="AA1408" s="32">
        <f>IF($C1408="","",IF(COUNTA($M1408,$N1408,$O1408)&lt;3,"— חסרים נתונים",IF(OR($M1408="נמוכה",(--($M1408&lt;&gt;"תקינה"))+(--($N1408&lt;&gt;"תקין"))+(--($O1408&lt;&gt;"תקינה"))&gt;=2),"ניכרת","אינה ניכרת")))</f>
        <v/>
      </c>
      <c r="AB1408" s="32">
        <f>IF(OR($C1408="",$Y1408="",$AA1408="",LEFT($Y1408,1)="—",LEFT($AA1408,1)="—"),"",IF($Z1408="","— נדרשת הערכת כתיבה",IF($L1408="","— חסרה הבנת הנקרא",IF($Y1408="אינה מדויקת או מקוטעת",IF($AA1408="ניכרת","מיקוד בשטף הקריאה ובכישורי שפה","מיקוד בשטף קריאה"),IF($AA1408="ניכרת","מיקוד בכישורי שפה",IF(AND($L1408="תקינה",$Z1408="מפותחת"),"קוראים וכותבים מיומנים","מיקוד בהבנה והבעה"))))))</f>
        <v/>
      </c>
      <c r="AC1408" s="32">
        <f>IF(OR($AB1408="",LEFT($AB1408,1)="—"),"",IF(OR($AB1408="מיקוד בשטף קריאה",$AB1408="מיקוד בשטף הקריאה ובכישורי שפה"),"רמה א'",IF($AB1408="קוראים וכותבים מיומנים","רמה ג'","רמה ב'")))</f>
        <v/>
      </c>
      <c r="AD1408" s="32">
        <f>IF($AC1408="","",MID(IF(AND($AC1408="רמה א'",$AA1408="ניכרת"),"; להוסיף עבודת אוצר מילים","")&amp;IF($Z1408="אינה מפותחת","; דגש על הבעה בכתב","")&amp;IF($K1408&lt;&gt;"תקין","; נדרש לעבוד על ההנגנה","")&amp;IF($AK1408&lt;&gt;"","; "&amp;$AK1408,""),3,400))</f>
        <v/>
      </c>
      <c r="AE1408" s="32">
        <f>IF($F1408="","",IF($F1408="תחילת שנה",1,IF($F1408="מחצית שנה",2,3)))</f>
        <v/>
      </c>
      <c r="AF1408" s="32">
        <f>IF(OR($B1408="",$AC1408="",$A1408="",$F1408=""),"",$B1408&amp;"|"&amp;$A1408&amp;"|"&amp;$F1408&amp;"|"&amp;$AC1408&amp;"|"&amp;COUNTIFS($B$6:$B1408,$B1408,$A$6:$A1408,$A1408,$F$6:$F1408,$F1408,$AC$6:$AC1408,$AC1408))</f>
        <v/>
      </c>
      <c r="AG1408" s="32">
        <f>IF($C1408="","",$C1408&amp;"|"&amp;COUNTIFS($C$6:$C1408,$C1408))</f>
        <v/>
      </c>
      <c r="AH1408" s="32">
        <f>IF(OR($C1408="",$A1408="",$AE1408=""),"",$C1408&amp;"|"&amp;$A1408&amp;"|"&amp;$AE1408)</f>
        <v/>
      </c>
      <c r="AI1408" s="32">
        <f>IF(OR($C1408="",$AE1408="",$AE1408=1),"",IFERROR(INDEX($AC$6:$AC$1505,MATCH($C1408&amp;"|"&amp;$A1408&amp;"|"&amp;($AE1408-1),$AH$6:$AH$1505,0)),""))</f>
        <v/>
      </c>
      <c r="AJ1408" s="32">
        <f>IF(OR($AI1408="",$AC1408=""),"",IF($AI1408=$AC1408,"ללא שינוי","מ-"&amp;$AI1408&amp;" ל-"&amp;$AC1408))</f>
        <v/>
      </c>
      <c r="AK1408" s="67" t="n"/>
    </row>
    <row r="1409">
      <c r="A1409" s="65" t="n"/>
      <c r="B1409" s="65" t="n"/>
      <c r="C1409" s="66" t="n"/>
      <c r="D1409" s="66" t="n"/>
      <c r="E1409" s="65" t="n"/>
      <c r="F1409" s="65" t="n"/>
      <c r="G1409" s="65" t="n"/>
      <c r="H1409" s="65" t="n"/>
      <c r="I1409" s="65" t="n"/>
      <c r="J1409" s="65" t="n"/>
      <c r="K1409" s="65" t="n"/>
      <c r="L1409" s="65" t="n"/>
      <c r="M1409" s="65" t="n"/>
      <c r="N1409" s="65" t="n"/>
      <c r="O1409" s="65" t="n"/>
      <c r="P1409" s="65" t="n"/>
      <c r="Q1409" s="65" t="n"/>
      <c r="R1409" s="65" t="n"/>
      <c r="S1409" s="65" t="n"/>
      <c r="T1409" s="65" t="n"/>
      <c r="U1409" s="65" t="n"/>
      <c r="V1409" s="65" t="n"/>
      <c r="W1409" s="65" t="n"/>
      <c r="X1409" s="65" t="n"/>
      <c r="Y1409" s="32">
        <f>IF($C1409="","",IF(COUNTA($I1409:$K1409)&lt;3,"— חסרים נתונים",IF(AND($I1409="תקין",$J1409="תקין",$K1409="תקין"),"רהוטה",IF(AND($I1409="תקין",$J1409="תקין"),"מדויקת ורציפה","אינה מדויקת או מקוטעת"))))</f>
        <v/>
      </c>
      <c r="Z1409" s="32">
        <f>IF($C1409="","",IF(COUNTA($U1409:$W1409)&lt;3,"",IF(AND($U1409="מפותח",$V1409="מפותח",$W1409="מפותחת"),"מפותחת",IF((--($U1409="דל"))+(--($V1409="אינו מפותח"))+(--($W1409="דלה"))&gt;=2,"אינה מפותחת","חלקית"))))</f>
        <v/>
      </c>
      <c r="AA1409" s="32">
        <f>IF($C1409="","",IF(COUNTA($M1409,$N1409,$O1409)&lt;3,"— חסרים נתונים",IF(OR($M1409="נמוכה",(--($M1409&lt;&gt;"תקינה"))+(--($N1409&lt;&gt;"תקין"))+(--($O1409&lt;&gt;"תקינה"))&gt;=2),"ניכרת","אינה ניכרת")))</f>
        <v/>
      </c>
      <c r="AB1409" s="32">
        <f>IF(OR($C1409="",$Y1409="",$AA1409="",LEFT($Y1409,1)="—",LEFT($AA1409,1)="—"),"",IF($Z1409="","— נדרשת הערכת כתיבה",IF($L1409="","— חסרה הבנת הנקרא",IF($Y1409="אינה מדויקת או מקוטעת",IF($AA1409="ניכרת","מיקוד בשטף הקריאה ובכישורי שפה","מיקוד בשטף קריאה"),IF($AA1409="ניכרת","מיקוד בכישורי שפה",IF(AND($L1409="תקינה",$Z1409="מפותחת"),"קוראים וכותבים מיומנים","מיקוד בהבנה והבעה"))))))</f>
        <v/>
      </c>
      <c r="AC1409" s="32">
        <f>IF(OR($AB1409="",LEFT($AB1409,1)="—"),"",IF(OR($AB1409="מיקוד בשטף קריאה",$AB1409="מיקוד בשטף הקריאה ובכישורי שפה"),"רמה א'",IF($AB1409="קוראים וכותבים מיומנים","רמה ג'","רמה ב'")))</f>
        <v/>
      </c>
      <c r="AD1409" s="32">
        <f>IF($AC1409="","",MID(IF(AND($AC1409="רמה א'",$AA1409="ניכרת"),"; להוסיף עבודת אוצר מילים","")&amp;IF($Z1409="אינה מפותחת","; דגש על הבעה בכתב","")&amp;IF($K1409&lt;&gt;"תקין","; נדרש לעבוד על ההנגנה","")&amp;IF($AK1409&lt;&gt;"","; "&amp;$AK1409,""),3,400))</f>
        <v/>
      </c>
      <c r="AE1409" s="32">
        <f>IF($F1409="","",IF($F1409="תחילת שנה",1,IF($F1409="מחצית שנה",2,3)))</f>
        <v/>
      </c>
      <c r="AF1409" s="32">
        <f>IF(OR($B1409="",$AC1409="",$A1409="",$F1409=""),"",$B1409&amp;"|"&amp;$A1409&amp;"|"&amp;$F1409&amp;"|"&amp;$AC1409&amp;"|"&amp;COUNTIFS($B$6:$B1409,$B1409,$A$6:$A1409,$A1409,$F$6:$F1409,$F1409,$AC$6:$AC1409,$AC1409))</f>
        <v/>
      </c>
      <c r="AG1409" s="32">
        <f>IF($C1409="","",$C1409&amp;"|"&amp;COUNTIFS($C$6:$C1409,$C1409))</f>
        <v/>
      </c>
      <c r="AH1409" s="32">
        <f>IF(OR($C1409="",$A1409="",$AE1409=""),"",$C1409&amp;"|"&amp;$A1409&amp;"|"&amp;$AE1409)</f>
        <v/>
      </c>
      <c r="AI1409" s="32">
        <f>IF(OR($C1409="",$AE1409="",$AE1409=1),"",IFERROR(INDEX($AC$6:$AC$1505,MATCH($C1409&amp;"|"&amp;$A1409&amp;"|"&amp;($AE1409-1),$AH$6:$AH$1505,0)),""))</f>
        <v/>
      </c>
      <c r="AJ1409" s="32">
        <f>IF(OR($AI1409="",$AC1409=""),"",IF($AI1409=$AC1409,"ללא שינוי","מ-"&amp;$AI1409&amp;" ל-"&amp;$AC1409))</f>
        <v/>
      </c>
      <c r="AK1409" s="67" t="n"/>
    </row>
    <row r="1410">
      <c r="A1410" s="65" t="n"/>
      <c r="B1410" s="65" t="n"/>
      <c r="C1410" s="66" t="n"/>
      <c r="D1410" s="66" t="n"/>
      <c r="E1410" s="65" t="n"/>
      <c r="F1410" s="65" t="n"/>
      <c r="G1410" s="65" t="n"/>
      <c r="H1410" s="65" t="n"/>
      <c r="I1410" s="65" t="n"/>
      <c r="J1410" s="65" t="n"/>
      <c r="K1410" s="65" t="n"/>
      <c r="L1410" s="65" t="n"/>
      <c r="M1410" s="65" t="n"/>
      <c r="N1410" s="65" t="n"/>
      <c r="O1410" s="65" t="n"/>
      <c r="P1410" s="65" t="n"/>
      <c r="Q1410" s="65" t="n"/>
      <c r="R1410" s="65" t="n"/>
      <c r="S1410" s="65" t="n"/>
      <c r="T1410" s="65" t="n"/>
      <c r="U1410" s="65" t="n"/>
      <c r="V1410" s="65" t="n"/>
      <c r="W1410" s="65" t="n"/>
      <c r="X1410" s="65" t="n"/>
      <c r="Y1410" s="32">
        <f>IF($C1410="","",IF(COUNTA($I1410:$K1410)&lt;3,"— חסרים נתונים",IF(AND($I1410="תקין",$J1410="תקין",$K1410="תקין"),"רהוטה",IF(AND($I1410="תקין",$J1410="תקין"),"מדויקת ורציפה","אינה מדויקת או מקוטעת"))))</f>
        <v/>
      </c>
      <c r="Z1410" s="32">
        <f>IF($C1410="","",IF(COUNTA($U1410:$W1410)&lt;3,"",IF(AND($U1410="מפותח",$V1410="מפותח",$W1410="מפותחת"),"מפותחת",IF((--($U1410="דל"))+(--($V1410="אינו מפותח"))+(--($W1410="דלה"))&gt;=2,"אינה מפותחת","חלקית"))))</f>
        <v/>
      </c>
      <c r="AA1410" s="32">
        <f>IF($C1410="","",IF(COUNTA($M1410,$N1410,$O1410)&lt;3,"— חסרים נתונים",IF(OR($M1410="נמוכה",(--($M1410&lt;&gt;"תקינה"))+(--($N1410&lt;&gt;"תקין"))+(--($O1410&lt;&gt;"תקינה"))&gt;=2),"ניכרת","אינה ניכרת")))</f>
        <v/>
      </c>
      <c r="AB1410" s="32">
        <f>IF(OR($C1410="",$Y1410="",$AA1410="",LEFT($Y1410,1)="—",LEFT($AA1410,1)="—"),"",IF($Z1410="","— נדרשת הערכת כתיבה",IF($L1410="","— חסרה הבנת הנקרא",IF($Y1410="אינה מדויקת או מקוטעת",IF($AA1410="ניכרת","מיקוד בשטף הקריאה ובכישורי שפה","מיקוד בשטף קריאה"),IF($AA1410="ניכרת","מיקוד בכישורי שפה",IF(AND($L1410="תקינה",$Z1410="מפותחת"),"קוראים וכותבים מיומנים","מיקוד בהבנה והבעה"))))))</f>
        <v/>
      </c>
      <c r="AC1410" s="32">
        <f>IF(OR($AB1410="",LEFT($AB1410,1)="—"),"",IF(OR($AB1410="מיקוד בשטף קריאה",$AB1410="מיקוד בשטף הקריאה ובכישורי שפה"),"רמה א'",IF($AB1410="קוראים וכותבים מיומנים","רמה ג'","רמה ב'")))</f>
        <v/>
      </c>
      <c r="AD1410" s="32">
        <f>IF($AC1410="","",MID(IF(AND($AC1410="רמה א'",$AA1410="ניכרת"),"; להוסיף עבודת אוצר מילים","")&amp;IF($Z1410="אינה מפותחת","; דגש על הבעה בכתב","")&amp;IF($K1410&lt;&gt;"תקין","; נדרש לעבוד על ההנגנה","")&amp;IF($AK1410&lt;&gt;"","; "&amp;$AK1410,""),3,400))</f>
        <v/>
      </c>
      <c r="AE1410" s="32">
        <f>IF($F1410="","",IF($F1410="תחילת שנה",1,IF($F1410="מחצית שנה",2,3)))</f>
        <v/>
      </c>
      <c r="AF1410" s="32">
        <f>IF(OR($B1410="",$AC1410="",$A1410="",$F1410=""),"",$B1410&amp;"|"&amp;$A1410&amp;"|"&amp;$F1410&amp;"|"&amp;$AC1410&amp;"|"&amp;COUNTIFS($B$6:$B1410,$B1410,$A$6:$A1410,$A1410,$F$6:$F1410,$F1410,$AC$6:$AC1410,$AC1410))</f>
        <v/>
      </c>
      <c r="AG1410" s="32">
        <f>IF($C1410="","",$C1410&amp;"|"&amp;COUNTIFS($C$6:$C1410,$C1410))</f>
        <v/>
      </c>
      <c r="AH1410" s="32">
        <f>IF(OR($C1410="",$A1410="",$AE1410=""),"",$C1410&amp;"|"&amp;$A1410&amp;"|"&amp;$AE1410)</f>
        <v/>
      </c>
      <c r="AI1410" s="32">
        <f>IF(OR($C1410="",$AE1410="",$AE1410=1),"",IFERROR(INDEX($AC$6:$AC$1505,MATCH($C1410&amp;"|"&amp;$A1410&amp;"|"&amp;($AE1410-1),$AH$6:$AH$1505,0)),""))</f>
        <v/>
      </c>
      <c r="AJ1410" s="32">
        <f>IF(OR($AI1410="",$AC1410=""),"",IF($AI1410=$AC1410,"ללא שינוי","מ-"&amp;$AI1410&amp;" ל-"&amp;$AC1410))</f>
        <v/>
      </c>
      <c r="AK1410" s="67" t="n"/>
    </row>
    <row r="1411">
      <c r="A1411" s="65" t="n"/>
      <c r="B1411" s="65" t="n"/>
      <c r="C1411" s="66" t="n"/>
      <c r="D1411" s="66" t="n"/>
      <c r="E1411" s="65" t="n"/>
      <c r="F1411" s="65" t="n"/>
      <c r="G1411" s="65" t="n"/>
      <c r="H1411" s="65" t="n"/>
      <c r="I1411" s="65" t="n"/>
      <c r="J1411" s="65" t="n"/>
      <c r="K1411" s="65" t="n"/>
      <c r="L1411" s="65" t="n"/>
      <c r="M1411" s="65" t="n"/>
      <c r="N1411" s="65" t="n"/>
      <c r="O1411" s="65" t="n"/>
      <c r="P1411" s="65" t="n"/>
      <c r="Q1411" s="65" t="n"/>
      <c r="R1411" s="65" t="n"/>
      <c r="S1411" s="65" t="n"/>
      <c r="T1411" s="65" t="n"/>
      <c r="U1411" s="65" t="n"/>
      <c r="V1411" s="65" t="n"/>
      <c r="W1411" s="65" t="n"/>
      <c r="X1411" s="65" t="n"/>
      <c r="Y1411" s="32">
        <f>IF($C1411="","",IF(COUNTA($I1411:$K1411)&lt;3,"— חסרים נתונים",IF(AND($I1411="תקין",$J1411="תקין",$K1411="תקין"),"רהוטה",IF(AND($I1411="תקין",$J1411="תקין"),"מדויקת ורציפה","אינה מדויקת או מקוטעת"))))</f>
        <v/>
      </c>
      <c r="Z1411" s="32">
        <f>IF($C1411="","",IF(COUNTA($U1411:$W1411)&lt;3,"",IF(AND($U1411="מפותח",$V1411="מפותח",$W1411="מפותחת"),"מפותחת",IF((--($U1411="דל"))+(--($V1411="אינו מפותח"))+(--($W1411="דלה"))&gt;=2,"אינה מפותחת","חלקית"))))</f>
        <v/>
      </c>
      <c r="AA1411" s="32">
        <f>IF($C1411="","",IF(COUNTA($M1411,$N1411,$O1411)&lt;3,"— חסרים נתונים",IF(OR($M1411="נמוכה",(--($M1411&lt;&gt;"תקינה"))+(--($N1411&lt;&gt;"תקין"))+(--($O1411&lt;&gt;"תקינה"))&gt;=2),"ניכרת","אינה ניכרת")))</f>
        <v/>
      </c>
      <c r="AB1411" s="32">
        <f>IF(OR($C1411="",$Y1411="",$AA1411="",LEFT($Y1411,1)="—",LEFT($AA1411,1)="—"),"",IF($Z1411="","— נדרשת הערכת כתיבה",IF($L1411="","— חסרה הבנת הנקרא",IF($Y1411="אינה מדויקת או מקוטעת",IF($AA1411="ניכרת","מיקוד בשטף הקריאה ובכישורי שפה","מיקוד בשטף קריאה"),IF($AA1411="ניכרת","מיקוד בכישורי שפה",IF(AND($L1411="תקינה",$Z1411="מפותחת"),"קוראים וכותבים מיומנים","מיקוד בהבנה והבעה"))))))</f>
        <v/>
      </c>
      <c r="AC1411" s="32">
        <f>IF(OR($AB1411="",LEFT($AB1411,1)="—"),"",IF(OR($AB1411="מיקוד בשטף קריאה",$AB1411="מיקוד בשטף הקריאה ובכישורי שפה"),"רמה א'",IF($AB1411="קוראים וכותבים מיומנים","רמה ג'","רמה ב'")))</f>
        <v/>
      </c>
      <c r="AD1411" s="32">
        <f>IF($AC1411="","",MID(IF(AND($AC1411="רמה א'",$AA1411="ניכרת"),"; להוסיף עבודת אוצר מילים","")&amp;IF($Z1411="אינה מפותחת","; דגש על הבעה בכתב","")&amp;IF($K1411&lt;&gt;"תקין","; נדרש לעבוד על ההנגנה","")&amp;IF($AK1411&lt;&gt;"","; "&amp;$AK1411,""),3,400))</f>
        <v/>
      </c>
      <c r="AE1411" s="32">
        <f>IF($F1411="","",IF($F1411="תחילת שנה",1,IF($F1411="מחצית שנה",2,3)))</f>
        <v/>
      </c>
      <c r="AF1411" s="32">
        <f>IF(OR($B1411="",$AC1411="",$A1411="",$F1411=""),"",$B1411&amp;"|"&amp;$A1411&amp;"|"&amp;$F1411&amp;"|"&amp;$AC1411&amp;"|"&amp;COUNTIFS($B$6:$B1411,$B1411,$A$6:$A1411,$A1411,$F$6:$F1411,$F1411,$AC$6:$AC1411,$AC1411))</f>
        <v/>
      </c>
      <c r="AG1411" s="32">
        <f>IF($C1411="","",$C1411&amp;"|"&amp;COUNTIFS($C$6:$C1411,$C1411))</f>
        <v/>
      </c>
      <c r="AH1411" s="32">
        <f>IF(OR($C1411="",$A1411="",$AE1411=""),"",$C1411&amp;"|"&amp;$A1411&amp;"|"&amp;$AE1411)</f>
        <v/>
      </c>
      <c r="AI1411" s="32">
        <f>IF(OR($C1411="",$AE1411="",$AE1411=1),"",IFERROR(INDEX($AC$6:$AC$1505,MATCH($C1411&amp;"|"&amp;$A1411&amp;"|"&amp;($AE1411-1),$AH$6:$AH$1505,0)),""))</f>
        <v/>
      </c>
      <c r="AJ1411" s="32">
        <f>IF(OR($AI1411="",$AC1411=""),"",IF($AI1411=$AC1411,"ללא שינוי","מ-"&amp;$AI1411&amp;" ל-"&amp;$AC1411))</f>
        <v/>
      </c>
      <c r="AK1411" s="67" t="n"/>
    </row>
    <row r="1412">
      <c r="A1412" s="65" t="n"/>
      <c r="B1412" s="65" t="n"/>
      <c r="C1412" s="66" t="n"/>
      <c r="D1412" s="66" t="n"/>
      <c r="E1412" s="65" t="n"/>
      <c r="F1412" s="65" t="n"/>
      <c r="G1412" s="65" t="n"/>
      <c r="H1412" s="65" t="n"/>
      <c r="I1412" s="65" t="n"/>
      <c r="J1412" s="65" t="n"/>
      <c r="K1412" s="65" t="n"/>
      <c r="L1412" s="65" t="n"/>
      <c r="M1412" s="65" t="n"/>
      <c r="N1412" s="65" t="n"/>
      <c r="O1412" s="65" t="n"/>
      <c r="P1412" s="65" t="n"/>
      <c r="Q1412" s="65" t="n"/>
      <c r="R1412" s="65" t="n"/>
      <c r="S1412" s="65" t="n"/>
      <c r="T1412" s="65" t="n"/>
      <c r="U1412" s="65" t="n"/>
      <c r="V1412" s="65" t="n"/>
      <c r="W1412" s="65" t="n"/>
      <c r="X1412" s="65" t="n"/>
      <c r="Y1412" s="32">
        <f>IF($C1412="","",IF(COUNTA($I1412:$K1412)&lt;3,"— חסרים נתונים",IF(AND($I1412="תקין",$J1412="תקין",$K1412="תקין"),"רהוטה",IF(AND($I1412="תקין",$J1412="תקין"),"מדויקת ורציפה","אינה מדויקת או מקוטעת"))))</f>
        <v/>
      </c>
      <c r="Z1412" s="32">
        <f>IF($C1412="","",IF(COUNTA($U1412:$W1412)&lt;3,"",IF(AND($U1412="מפותח",$V1412="מפותח",$W1412="מפותחת"),"מפותחת",IF((--($U1412="דל"))+(--($V1412="אינו מפותח"))+(--($W1412="דלה"))&gt;=2,"אינה מפותחת","חלקית"))))</f>
        <v/>
      </c>
      <c r="AA1412" s="32">
        <f>IF($C1412="","",IF(COUNTA($M1412,$N1412,$O1412)&lt;3,"— חסרים נתונים",IF(OR($M1412="נמוכה",(--($M1412&lt;&gt;"תקינה"))+(--($N1412&lt;&gt;"תקין"))+(--($O1412&lt;&gt;"תקינה"))&gt;=2),"ניכרת","אינה ניכרת")))</f>
        <v/>
      </c>
      <c r="AB1412" s="32">
        <f>IF(OR($C1412="",$Y1412="",$AA1412="",LEFT($Y1412,1)="—",LEFT($AA1412,1)="—"),"",IF($Z1412="","— נדרשת הערכת כתיבה",IF($L1412="","— חסרה הבנת הנקרא",IF($Y1412="אינה מדויקת או מקוטעת",IF($AA1412="ניכרת","מיקוד בשטף הקריאה ובכישורי שפה","מיקוד בשטף קריאה"),IF($AA1412="ניכרת","מיקוד בכישורי שפה",IF(AND($L1412="תקינה",$Z1412="מפותחת"),"קוראים וכותבים מיומנים","מיקוד בהבנה והבעה"))))))</f>
        <v/>
      </c>
      <c r="AC1412" s="32">
        <f>IF(OR($AB1412="",LEFT($AB1412,1)="—"),"",IF(OR($AB1412="מיקוד בשטף קריאה",$AB1412="מיקוד בשטף הקריאה ובכישורי שפה"),"רמה א'",IF($AB1412="קוראים וכותבים מיומנים","רמה ג'","רמה ב'")))</f>
        <v/>
      </c>
      <c r="AD1412" s="32">
        <f>IF($AC1412="","",MID(IF(AND($AC1412="רמה א'",$AA1412="ניכרת"),"; להוסיף עבודת אוצר מילים","")&amp;IF($Z1412="אינה מפותחת","; דגש על הבעה בכתב","")&amp;IF($K1412&lt;&gt;"תקין","; נדרש לעבוד על ההנגנה","")&amp;IF($AK1412&lt;&gt;"","; "&amp;$AK1412,""),3,400))</f>
        <v/>
      </c>
      <c r="AE1412" s="32">
        <f>IF($F1412="","",IF($F1412="תחילת שנה",1,IF($F1412="מחצית שנה",2,3)))</f>
        <v/>
      </c>
      <c r="AF1412" s="32">
        <f>IF(OR($B1412="",$AC1412="",$A1412="",$F1412=""),"",$B1412&amp;"|"&amp;$A1412&amp;"|"&amp;$F1412&amp;"|"&amp;$AC1412&amp;"|"&amp;COUNTIFS($B$6:$B1412,$B1412,$A$6:$A1412,$A1412,$F$6:$F1412,$F1412,$AC$6:$AC1412,$AC1412))</f>
        <v/>
      </c>
      <c r="AG1412" s="32">
        <f>IF($C1412="","",$C1412&amp;"|"&amp;COUNTIFS($C$6:$C1412,$C1412))</f>
        <v/>
      </c>
      <c r="AH1412" s="32">
        <f>IF(OR($C1412="",$A1412="",$AE1412=""),"",$C1412&amp;"|"&amp;$A1412&amp;"|"&amp;$AE1412)</f>
        <v/>
      </c>
      <c r="AI1412" s="32">
        <f>IF(OR($C1412="",$AE1412="",$AE1412=1),"",IFERROR(INDEX($AC$6:$AC$1505,MATCH($C1412&amp;"|"&amp;$A1412&amp;"|"&amp;($AE1412-1),$AH$6:$AH$1505,0)),""))</f>
        <v/>
      </c>
      <c r="AJ1412" s="32">
        <f>IF(OR($AI1412="",$AC1412=""),"",IF($AI1412=$AC1412,"ללא שינוי","מ-"&amp;$AI1412&amp;" ל-"&amp;$AC1412))</f>
        <v/>
      </c>
      <c r="AK1412" s="67" t="n"/>
    </row>
    <row r="1413">
      <c r="A1413" s="65" t="n"/>
      <c r="B1413" s="65" t="n"/>
      <c r="C1413" s="66" t="n"/>
      <c r="D1413" s="66" t="n"/>
      <c r="E1413" s="65" t="n"/>
      <c r="F1413" s="65" t="n"/>
      <c r="G1413" s="65" t="n"/>
      <c r="H1413" s="65" t="n"/>
      <c r="I1413" s="65" t="n"/>
      <c r="J1413" s="65" t="n"/>
      <c r="K1413" s="65" t="n"/>
      <c r="L1413" s="65" t="n"/>
      <c r="M1413" s="65" t="n"/>
      <c r="N1413" s="65" t="n"/>
      <c r="O1413" s="65" t="n"/>
      <c r="P1413" s="65" t="n"/>
      <c r="Q1413" s="65" t="n"/>
      <c r="R1413" s="65" t="n"/>
      <c r="S1413" s="65" t="n"/>
      <c r="T1413" s="65" t="n"/>
      <c r="U1413" s="65" t="n"/>
      <c r="V1413" s="65" t="n"/>
      <c r="W1413" s="65" t="n"/>
      <c r="X1413" s="65" t="n"/>
      <c r="Y1413" s="32">
        <f>IF($C1413="","",IF(COUNTA($I1413:$K1413)&lt;3,"— חסרים נתונים",IF(AND($I1413="תקין",$J1413="תקין",$K1413="תקין"),"רהוטה",IF(AND($I1413="תקין",$J1413="תקין"),"מדויקת ורציפה","אינה מדויקת או מקוטעת"))))</f>
        <v/>
      </c>
      <c r="Z1413" s="32">
        <f>IF($C1413="","",IF(COUNTA($U1413:$W1413)&lt;3,"",IF(AND($U1413="מפותח",$V1413="מפותח",$W1413="מפותחת"),"מפותחת",IF((--($U1413="דל"))+(--($V1413="אינו מפותח"))+(--($W1413="דלה"))&gt;=2,"אינה מפותחת","חלקית"))))</f>
        <v/>
      </c>
      <c r="AA1413" s="32">
        <f>IF($C1413="","",IF(COUNTA($M1413,$N1413,$O1413)&lt;3,"— חסרים נתונים",IF(OR($M1413="נמוכה",(--($M1413&lt;&gt;"תקינה"))+(--($N1413&lt;&gt;"תקין"))+(--($O1413&lt;&gt;"תקינה"))&gt;=2),"ניכרת","אינה ניכרת")))</f>
        <v/>
      </c>
      <c r="AB1413" s="32">
        <f>IF(OR($C1413="",$Y1413="",$AA1413="",LEFT($Y1413,1)="—",LEFT($AA1413,1)="—"),"",IF($Z1413="","— נדרשת הערכת כתיבה",IF($L1413="","— חסרה הבנת הנקרא",IF($Y1413="אינה מדויקת או מקוטעת",IF($AA1413="ניכרת","מיקוד בשטף הקריאה ובכישורי שפה","מיקוד בשטף קריאה"),IF($AA1413="ניכרת","מיקוד בכישורי שפה",IF(AND($L1413="תקינה",$Z1413="מפותחת"),"קוראים וכותבים מיומנים","מיקוד בהבנה והבעה"))))))</f>
        <v/>
      </c>
      <c r="AC1413" s="32">
        <f>IF(OR($AB1413="",LEFT($AB1413,1)="—"),"",IF(OR($AB1413="מיקוד בשטף קריאה",$AB1413="מיקוד בשטף הקריאה ובכישורי שפה"),"רמה א'",IF($AB1413="קוראים וכותבים מיומנים","רמה ג'","רמה ב'")))</f>
        <v/>
      </c>
      <c r="AD1413" s="32">
        <f>IF($AC1413="","",MID(IF(AND($AC1413="רמה א'",$AA1413="ניכרת"),"; להוסיף עבודת אוצר מילים","")&amp;IF($Z1413="אינה מפותחת","; דגש על הבעה בכתב","")&amp;IF($K1413&lt;&gt;"תקין","; נדרש לעבוד על ההנגנה","")&amp;IF($AK1413&lt;&gt;"","; "&amp;$AK1413,""),3,400))</f>
        <v/>
      </c>
      <c r="AE1413" s="32">
        <f>IF($F1413="","",IF($F1413="תחילת שנה",1,IF($F1413="מחצית שנה",2,3)))</f>
        <v/>
      </c>
      <c r="AF1413" s="32">
        <f>IF(OR($B1413="",$AC1413="",$A1413="",$F1413=""),"",$B1413&amp;"|"&amp;$A1413&amp;"|"&amp;$F1413&amp;"|"&amp;$AC1413&amp;"|"&amp;COUNTIFS($B$6:$B1413,$B1413,$A$6:$A1413,$A1413,$F$6:$F1413,$F1413,$AC$6:$AC1413,$AC1413))</f>
        <v/>
      </c>
      <c r="AG1413" s="32">
        <f>IF($C1413="","",$C1413&amp;"|"&amp;COUNTIFS($C$6:$C1413,$C1413))</f>
        <v/>
      </c>
      <c r="AH1413" s="32">
        <f>IF(OR($C1413="",$A1413="",$AE1413=""),"",$C1413&amp;"|"&amp;$A1413&amp;"|"&amp;$AE1413)</f>
        <v/>
      </c>
      <c r="AI1413" s="32">
        <f>IF(OR($C1413="",$AE1413="",$AE1413=1),"",IFERROR(INDEX($AC$6:$AC$1505,MATCH($C1413&amp;"|"&amp;$A1413&amp;"|"&amp;($AE1413-1),$AH$6:$AH$1505,0)),""))</f>
        <v/>
      </c>
      <c r="AJ1413" s="32">
        <f>IF(OR($AI1413="",$AC1413=""),"",IF($AI1413=$AC1413,"ללא שינוי","מ-"&amp;$AI1413&amp;" ל-"&amp;$AC1413))</f>
        <v/>
      </c>
      <c r="AK1413" s="67" t="n"/>
    </row>
    <row r="1414">
      <c r="A1414" s="65" t="n"/>
      <c r="B1414" s="65" t="n"/>
      <c r="C1414" s="66" t="n"/>
      <c r="D1414" s="66" t="n"/>
      <c r="E1414" s="65" t="n"/>
      <c r="F1414" s="65" t="n"/>
      <c r="G1414" s="65" t="n"/>
      <c r="H1414" s="65" t="n"/>
      <c r="I1414" s="65" t="n"/>
      <c r="J1414" s="65" t="n"/>
      <c r="K1414" s="65" t="n"/>
      <c r="L1414" s="65" t="n"/>
      <c r="M1414" s="65" t="n"/>
      <c r="N1414" s="65" t="n"/>
      <c r="O1414" s="65" t="n"/>
      <c r="P1414" s="65" t="n"/>
      <c r="Q1414" s="65" t="n"/>
      <c r="R1414" s="65" t="n"/>
      <c r="S1414" s="65" t="n"/>
      <c r="T1414" s="65" t="n"/>
      <c r="U1414" s="65" t="n"/>
      <c r="V1414" s="65" t="n"/>
      <c r="W1414" s="65" t="n"/>
      <c r="X1414" s="65" t="n"/>
      <c r="Y1414" s="32">
        <f>IF($C1414="","",IF(COUNTA($I1414:$K1414)&lt;3,"— חסרים נתונים",IF(AND($I1414="תקין",$J1414="תקין",$K1414="תקין"),"רהוטה",IF(AND($I1414="תקין",$J1414="תקין"),"מדויקת ורציפה","אינה מדויקת או מקוטעת"))))</f>
        <v/>
      </c>
      <c r="Z1414" s="32">
        <f>IF($C1414="","",IF(COUNTA($U1414:$W1414)&lt;3,"",IF(AND($U1414="מפותח",$V1414="מפותח",$W1414="מפותחת"),"מפותחת",IF((--($U1414="דל"))+(--($V1414="אינו מפותח"))+(--($W1414="דלה"))&gt;=2,"אינה מפותחת","חלקית"))))</f>
        <v/>
      </c>
      <c r="AA1414" s="32">
        <f>IF($C1414="","",IF(COUNTA($M1414,$N1414,$O1414)&lt;3,"— חסרים נתונים",IF(OR($M1414="נמוכה",(--($M1414&lt;&gt;"תקינה"))+(--($N1414&lt;&gt;"תקין"))+(--($O1414&lt;&gt;"תקינה"))&gt;=2),"ניכרת","אינה ניכרת")))</f>
        <v/>
      </c>
      <c r="AB1414" s="32">
        <f>IF(OR($C1414="",$Y1414="",$AA1414="",LEFT($Y1414,1)="—",LEFT($AA1414,1)="—"),"",IF($Z1414="","— נדרשת הערכת כתיבה",IF($L1414="","— חסרה הבנת הנקרא",IF($Y1414="אינה מדויקת או מקוטעת",IF($AA1414="ניכרת","מיקוד בשטף הקריאה ובכישורי שפה","מיקוד בשטף קריאה"),IF($AA1414="ניכרת","מיקוד בכישורי שפה",IF(AND($L1414="תקינה",$Z1414="מפותחת"),"קוראים וכותבים מיומנים","מיקוד בהבנה והבעה"))))))</f>
        <v/>
      </c>
      <c r="AC1414" s="32">
        <f>IF(OR($AB1414="",LEFT($AB1414,1)="—"),"",IF(OR($AB1414="מיקוד בשטף קריאה",$AB1414="מיקוד בשטף הקריאה ובכישורי שפה"),"רמה א'",IF($AB1414="קוראים וכותבים מיומנים","רמה ג'","רמה ב'")))</f>
        <v/>
      </c>
      <c r="AD1414" s="32">
        <f>IF($AC1414="","",MID(IF(AND($AC1414="רמה א'",$AA1414="ניכרת"),"; להוסיף עבודת אוצר מילים","")&amp;IF($Z1414="אינה מפותחת","; דגש על הבעה בכתב","")&amp;IF($K1414&lt;&gt;"תקין","; נדרש לעבוד על ההנגנה","")&amp;IF($AK1414&lt;&gt;"","; "&amp;$AK1414,""),3,400))</f>
        <v/>
      </c>
      <c r="AE1414" s="32">
        <f>IF($F1414="","",IF($F1414="תחילת שנה",1,IF($F1414="מחצית שנה",2,3)))</f>
        <v/>
      </c>
      <c r="AF1414" s="32">
        <f>IF(OR($B1414="",$AC1414="",$A1414="",$F1414=""),"",$B1414&amp;"|"&amp;$A1414&amp;"|"&amp;$F1414&amp;"|"&amp;$AC1414&amp;"|"&amp;COUNTIFS($B$6:$B1414,$B1414,$A$6:$A1414,$A1414,$F$6:$F1414,$F1414,$AC$6:$AC1414,$AC1414))</f>
        <v/>
      </c>
      <c r="AG1414" s="32">
        <f>IF($C1414="","",$C1414&amp;"|"&amp;COUNTIFS($C$6:$C1414,$C1414))</f>
        <v/>
      </c>
      <c r="AH1414" s="32">
        <f>IF(OR($C1414="",$A1414="",$AE1414=""),"",$C1414&amp;"|"&amp;$A1414&amp;"|"&amp;$AE1414)</f>
        <v/>
      </c>
      <c r="AI1414" s="32">
        <f>IF(OR($C1414="",$AE1414="",$AE1414=1),"",IFERROR(INDEX($AC$6:$AC$1505,MATCH($C1414&amp;"|"&amp;$A1414&amp;"|"&amp;($AE1414-1),$AH$6:$AH$1505,0)),""))</f>
        <v/>
      </c>
      <c r="AJ1414" s="32">
        <f>IF(OR($AI1414="",$AC1414=""),"",IF($AI1414=$AC1414,"ללא שינוי","מ-"&amp;$AI1414&amp;" ל-"&amp;$AC1414))</f>
        <v/>
      </c>
      <c r="AK1414" s="67" t="n"/>
    </row>
    <row r="1415">
      <c r="A1415" s="65" t="n"/>
      <c r="B1415" s="65" t="n"/>
      <c r="C1415" s="66" t="n"/>
      <c r="D1415" s="66" t="n"/>
      <c r="E1415" s="65" t="n"/>
      <c r="F1415" s="65" t="n"/>
      <c r="G1415" s="65" t="n"/>
      <c r="H1415" s="65" t="n"/>
      <c r="I1415" s="65" t="n"/>
      <c r="J1415" s="65" t="n"/>
      <c r="K1415" s="65" t="n"/>
      <c r="L1415" s="65" t="n"/>
      <c r="M1415" s="65" t="n"/>
      <c r="N1415" s="65" t="n"/>
      <c r="O1415" s="65" t="n"/>
      <c r="P1415" s="65" t="n"/>
      <c r="Q1415" s="65" t="n"/>
      <c r="R1415" s="65" t="n"/>
      <c r="S1415" s="65" t="n"/>
      <c r="T1415" s="65" t="n"/>
      <c r="U1415" s="65" t="n"/>
      <c r="V1415" s="65" t="n"/>
      <c r="W1415" s="65" t="n"/>
      <c r="X1415" s="65" t="n"/>
      <c r="Y1415" s="32">
        <f>IF($C1415="","",IF(COUNTA($I1415:$K1415)&lt;3,"— חסרים נתונים",IF(AND($I1415="תקין",$J1415="תקין",$K1415="תקין"),"רהוטה",IF(AND($I1415="תקין",$J1415="תקין"),"מדויקת ורציפה","אינה מדויקת או מקוטעת"))))</f>
        <v/>
      </c>
      <c r="Z1415" s="32">
        <f>IF($C1415="","",IF(COUNTA($U1415:$W1415)&lt;3,"",IF(AND($U1415="מפותח",$V1415="מפותח",$W1415="מפותחת"),"מפותחת",IF((--($U1415="דל"))+(--($V1415="אינו מפותח"))+(--($W1415="דלה"))&gt;=2,"אינה מפותחת","חלקית"))))</f>
        <v/>
      </c>
      <c r="AA1415" s="32">
        <f>IF($C1415="","",IF(COUNTA($M1415,$N1415,$O1415)&lt;3,"— חסרים נתונים",IF(OR($M1415="נמוכה",(--($M1415&lt;&gt;"תקינה"))+(--($N1415&lt;&gt;"תקין"))+(--($O1415&lt;&gt;"תקינה"))&gt;=2),"ניכרת","אינה ניכרת")))</f>
        <v/>
      </c>
      <c r="AB1415" s="32">
        <f>IF(OR($C1415="",$Y1415="",$AA1415="",LEFT($Y1415,1)="—",LEFT($AA1415,1)="—"),"",IF($Z1415="","— נדרשת הערכת כתיבה",IF($L1415="","— חסרה הבנת הנקרא",IF($Y1415="אינה מדויקת או מקוטעת",IF($AA1415="ניכרת","מיקוד בשטף הקריאה ובכישורי שפה","מיקוד בשטף קריאה"),IF($AA1415="ניכרת","מיקוד בכישורי שפה",IF(AND($L1415="תקינה",$Z1415="מפותחת"),"קוראים וכותבים מיומנים","מיקוד בהבנה והבעה"))))))</f>
        <v/>
      </c>
      <c r="AC1415" s="32">
        <f>IF(OR($AB1415="",LEFT($AB1415,1)="—"),"",IF(OR($AB1415="מיקוד בשטף קריאה",$AB1415="מיקוד בשטף הקריאה ובכישורי שפה"),"רמה א'",IF($AB1415="קוראים וכותבים מיומנים","רמה ג'","רמה ב'")))</f>
        <v/>
      </c>
      <c r="AD1415" s="32">
        <f>IF($AC1415="","",MID(IF(AND($AC1415="רמה א'",$AA1415="ניכרת"),"; להוסיף עבודת אוצר מילים","")&amp;IF($Z1415="אינה מפותחת","; דגש על הבעה בכתב","")&amp;IF($K1415&lt;&gt;"תקין","; נדרש לעבוד על ההנגנה","")&amp;IF($AK1415&lt;&gt;"","; "&amp;$AK1415,""),3,400))</f>
        <v/>
      </c>
      <c r="AE1415" s="32">
        <f>IF($F1415="","",IF($F1415="תחילת שנה",1,IF($F1415="מחצית שנה",2,3)))</f>
        <v/>
      </c>
      <c r="AF1415" s="32">
        <f>IF(OR($B1415="",$AC1415="",$A1415="",$F1415=""),"",$B1415&amp;"|"&amp;$A1415&amp;"|"&amp;$F1415&amp;"|"&amp;$AC1415&amp;"|"&amp;COUNTIFS($B$6:$B1415,$B1415,$A$6:$A1415,$A1415,$F$6:$F1415,$F1415,$AC$6:$AC1415,$AC1415))</f>
        <v/>
      </c>
      <c r="AG1415" s="32">
        <f>IF($C1415="","",$C1415&amp;"|"&amp;COUNTIFS($C$6:$C1415,$C1415))</f>
        <v/>
      </c>
      <c r="AH1415" s="32">
        <f>IF(OR($C1415="",$A1415="",$AE1415=""),"",$C1415&amp;"|"&amp;$A1415&amp;"|"&amp;$AE1415)</f>
        <v/>
      </c>
      <c r="AI1415" s="32">
        <f>IF(OR($C1415="",$AE1415="",$AE1415=1),"",IFERROR(INDEX($AC$6:$AC$1505,MATCH($C1415&amp;"|"&amp;$A1415&amp;"|"&amp;($AE1415-1),$AH$6:$AH$1505,0)),""))</f>
        <v/>
      </c>
      <c r="AJ1415" s="32">
        <f>IF(OR($AI1415="",$AC1415=""),"",IF($AI1415=$AC1415,"ללא שינוי","מ-"&amp;$AI1415&amp;" ל-"&amp;$AC1415))</f>
        <v/>
      </c>
      <c r="AK1415" s="67" t="n"/>
    </row>
    <row r="1416">
      <c r="A1416" s="65" t="n"/>
      <c r="B1416" s="65" t="n"/>
      <c r="C1416" s="66" t="n"/>
      <c r="D1416" s="66" t="n"/>
      <c r="E1416" s="65" t="n"/>
      <c r="F1416" s="65" t="n"/>
      <c r="G1416" s="65" t="n"/>
      <c r="H1416" s="65" t="n"/>
      <c r="I1416" s="65" t="n"/>
      <c r="J1416" s="65" t="n"/>
      <c r="K1416" s="65" t="n"/>
      <c r="L1416" s="65" t="n"/>
      <c r="M1416" s="65" t="n"/>
      <c r="N1416" s="65" t="n"/>
      <c r="O1416" s="65" t="n"/>
      <c r="P1416" s="65" t="n"/>
      <c r="Q1416" s="65" t="n"/>
      <c r="R1416" s="65" t="n"/>
      <c r="S1416" s="65" t="n"/>
      <c r="T1416" s="65" t="n"/>
      <c r="U1416" s="65" t="n"/>
      <c r="V1416" s="65" t="n"/>
      <c r="W1416" s="65" t="n"/>
      <c r="X1416" s="65" t="n"/>
      <c r="Y1416" s="32">
        <f>IF($C1416="","",IF(COUNTA($I1416:$K1416)&lt;3,"— חסרים נתונים",IF(AND($I1416="תקין",$J1416="תקין",$K1416="תקין"),"רהוטה",IF(AND($I1416="תקין",$J1416="תקין"),"מדויקת ורציפה","אינה מדויקת או מקוטעת"))))</f>
        <v/>
      </c>
      <c r="Z1416" s="32">
        <f>IF($C1416="","",IF(COUNTA($U1416:$W1416)&lt;3,"",IF(AND($U1416="מפותח",$V1416="מפותח",$W1416="מפותחת"),"מפותחת",IF((--($U1416="דל"))+(--($V1416="אינו מפותח"))+(--($W1416="דלה"))&gt;=2,"אינה מפותחת","חלקית"))))</f>
        <v/>
      </c>
      <c r="AA1416" s="32">
        <f>IF($C1416="","",IF(COUNTA($M1416,$N1416,$O1416)&lt;3,"— חסרים נתונים",IF(OR($M1416="נמוכה",(--($M1416&lt;&gt;"תקינה"))+(--($N1416&lt;&gt;"תקין"))+(--($O1416&lt;&gt;"תקינה"))&gt;=2),"ניכרת","אינה ניכרת")))</f>
        <v/>
      </c>
      <c r="AB1416" s="32">
        <f>IF(OR($C1416="",$Y1416="",$AA1416="",LEFT($Y1416,1)="—",LEFT($AA1416,1)="—"),"",IF($Z1416="","— נדרשת הערכת כתיבה",IF($L1416="","— חסרה הבנת הנקרא",IF($Y1416="אינה מדויקת או מקוטעת",IF($AA1416="ניכרת","מיקוד בשטף הקריאה ובכישורי שפה","מיקוד בשטף קריאה"),IF($AA1416="ניכרת","מיקוד בכישורי שפה",IF(AND($L1416="תקינה",$Z1416="מפותחת"),"קוראים וכותבים מיומנים","מיקוד בהבנה והבעה"))))))</f>
        <v/>
      </c>
      <c r="AC1416" s="32">
        <f>IF(OR($AB1416="",LEFT($AB1416,1)="—"),"",IF(OR($AB1416="מיקוד בשטף קריאה",$AB1416="מיקוד בשטף הקריאה ובכישורי שפה"),"רמה א'",IF($AB1416="קוראים וכותבים מיומנים","רמה ג'","רמה ב'")))</f>
        <v/>
      </c>
      <c r="AD1416" s="32">
        <f>IF($AC1416="","",MID(IF(AND($AC1416="רמה א'",$AA1416="ניכרת"),"; להוסיף עבודת אוצר מילים","")&amp;IF($Z1416="אינה מפותחת","; דגש על הבעה בכתב","")&amp;IF($K1416&lt;&gt;"תקין","; נדרש לעבוד על ההנגנה","")&amp;IF($AK1416&lt;&gt;"","; "&amp;$AK1416,""),3,400))</f>
        <v/>
      </c>
      <c r="AE1416" s="32">
        <f>IF($F1416="","",IF($F1416="תחילת שנה",1,IF($F1416="מחצית שנה",2,3)))</f>
        <v/>
      </c>
      <c r="AF1416" s="32">
        <f>IF(OR($B1416="",$AC1416="",$A1416="",$F1416=""),"",$B1416&amp;"|"&amp;$A1416&amp;"|"&amp;$F1416&amp;"|"&amp;$AC1416&amp;"|"&amp;COUNTIFS($B$6:$B1416,$B1416,$A$6:$A1416,$A1416,$F$6:$F1416,$F1416,$AC$6:$AC1416,$AC1416))</f>
        <v/>
      </c>
      <c r="AG1416" s="32">
        <f>IF($C1416="","",$C1416&amp;"|"&amp;COUNTIFS($C$6:$C1416,$C1416))</f>
        <v/>
      </c>
      <c r="AH1416" s="32">
        <f>IF(OR($C1416="",$A1416="",$AE1416=""),"",$C1416&amp;"|"&amp;$A1416&amp;"|"&amp;$AE1416)</f>
        <v/>
      </c>
      <c r="AI1416" s="32">
        <f>IF(OR($C1416="",$AE1416="",$AE1416=1),"",IFERROR(INDEX($AC$6:$AC$1505,MATCH($C1416&amp;"|"&amp;$A1416&amp;"|"&amp;($AE1416-1),$AH$6:$AH$1505,0)),""))</f>
        <v/>
      </c>
      <c r="AJ1416" s="32">
        <f>IF(OR($AI1416="",$AC1416=""),"",IF($AI1416=$AC1416,"ללא שינוי","מ-"&amp;$AI1416&amp;" ל-"&amp;$AC1416))</f>
        <v/>
      </c>
      <c r="AK1416" s="67" t="n"/>
    </row>
    <row r="1417">
      <c r="A1417" s="65" t="n"/>
      <c r="B1417" s="65" t="n"/>
      <c r="C1417" s="66" t="n"/>
      <c r="D1417" s="66" t="n"/>
      <c r="E1417" s="65" t="n"/>
      <c r="F1417" s="65" t="n"/>
      <c r="G1417" s="65" t="n"/>
      <c r="H1417" s="65" t="n"/>
      <c r="I1417" s="65" t="n"/>
      <c r="J1417" s="65" t="n"/>
      <c r="K1417" s="65" t="n"/>
      <c r="L1417" s="65" t="n"/>
      <c r="M1417" s="65" t="n"/>
      <c r="N1417" s="65" t="n"/>
      <c r="O1417" s="65" t="n"/>
      <c r="P1417" s="65" t="n"/>
      <c r="Q1417" s="65" t="n"/>
      <c r="R1417" s="65" t="n"/>
      <c r="S1417" s="65" t="n"/>
      <c r="T1417" s="65" t="n"/>
      <c r="U1417" s="65" t="n"/>
      <c r="V1417" s="65" t="n"/>
      <c r="W1417" s="65" t="n"/>
      <c r="X1417" s="65" t="n"/>
      <c r="Y1417" s="32">
        <f>IF($C1417="","",IF(COUNTA($I1417:$K1417)&lt;3,"— חסרים נתונים",IF(AND($I1417="תקין",$J1417="תקין",$K1417="תקין"),"רהוטה",IF(AND($I1417="תקין",$J1417="תקין"),"מדויקת ורציפה","אינה מדויקת או מקוטעת"))))</f>
        <v/>
      </c>
      <c r="Z1417" s="32">
        <f>IF($C1417="","",IF(COUNTA($U1417:$W1417)&lt;3,"",IF(AND($U1417="מפותח",$V1417="מפותח",$W1417="מפותחת"),"מפותחת",IF((--($U1417="דל"))+(--($V1417="אינו מפותח"))+(--($W1417="דלה"))&gt;=2,"אינה מפותחת","חלקית"))))</f>
        <v/>
      </c>
      <c r="AA1417" s="32">
        <f>IF($C1417="","",IF(COUNTA($M1417,$N1417,$O1417)&lt;3,"— חסרים נתונים",IF(OR($M1417="נמוכה",(--($M1417&lt;&gt;"תקינה"))+(--($N1417&lt;&gt;"תקין"))+(--($O1417&lt;&gt;"תקינה"))&gt;=2),"ניכרת","אינה ניכרת")))</f>
        <v/>
      </c>
      <c r="AB1417" s="32">
        <f>IF(OR($C1417="",$Y1417="",$AA1417="",LEFT($Y1417,1)="—",LEFT($AA1417,1)="—"),"",IF($Z1417="","— נדרשת הערכת כתיבה",IF($L1417="","— חסרה הבנת הנקרא",IF($Y1417="אינה מדויקת או מקוטעת",IF($AA1417="ניכרת","מיקוד בשטף הקריאה ובכישורי שפה","מיקוד בשטף קריאה"),IF($AA1417="ניכרת","מיקוד בכישורי שפה",IF(AND($L1417="תקינה",$Z1417="מפותחת"),"קוראים וכותבים מיומנים","מיקוד בהבנה והבעה"))))))</f>
        <v/>
      </c>
      <c r="AC1417" s="32">
        <f>IF(OR($AB1417="",LEFT($AB1417,1)="—"),"",IF(OR($AB1417="מיקוד בשטף קריאה",$AB1417="מיקוד בשטף הקריאה ובכישורי שפה"),"רמה א'",IF($AB1417="קוראים וכותבים מיומנים","רמה ג'","רמה ב'")))</f>
        <v/>
      </c>
      <c r="AD1417" s="32">
        <f>IF($AC1417="","",MID(IF(AND($AC1417="רמה א'",$AA1417="ניכרת"),"; להוסיף עבודת אוצר מילים","")&amp;IF($Z1417="אינה מפותחת","; דגש על הבעה בכתב","")&amp;IF($K1417&lt;&gt;"תקין","; נדרש לעבוד על ההנגנה","")&amp;IF($AK1417&lt;&gt;"","; "&amp;$AK1417,""),3,400))</f>
        <v/>
      </c>
      <c r="AE1417" s="32">
        <f>IF($F1417="","",IF($F1417="תחילת שנה",1,IF($F1417="מחצית שנה",2,3)))</f>
        <v/>
      </c>
      <c r="AF1417" s="32">
        <f>IF(OR($B1417="",$AC1417="",$A1417="",$F1417=""),"",$B1417&amp;"|"&amp;$A1417&amp;"|"&amp;$F1417&amp;"|"&amp;$AC1417&amp;"|"&amp;COUNTIFS($B$6:$B1417,$B1417,$A$6:$A1417,$A1417,$F$6:$F1417,$F1417,$AC$6:$AC1417,$AC1417))</f>
        <v/>
      </c>
      <c r="AG1417" s="32">
        <f>IF($C1417="","",$C1417&amp;"|"&amp;COUNTIFS($C$6:$C1417,$C1417))</f>
        <v/>
      </c>
      <c r="AH1417" s="32">
        <f>IF(OR($C1417="",$A1417="",$AE1417=""),"",$C1417&amp;"|"&amp;$A1417&amp;"|"&amp;$AE1417)</f>
        <v/>
      </c>
      <c r="AI1417" s="32">
        <f>IF(OR($C1417="",$AE1417="",$AE1417=1),"",IFERROR(INDEX($AC$6:$AC$1505,MATCH($C1417&amp;"|"&amp;$A1417&amp;"|"&amp;($AE1417-1),$AH$6:$AH$1505,0)),""))</f>
        <v/>
      </c>
      <c r="AJ1417" s="32">
        <f>IF(OR($AI1417="",$AC1417=""),"",IF($AI1417=$AC1417,"ללא שינוי","מ-"&amp;$AI1417&amp;" ל-"&amp;$AC1417))</f>
        <v/>
      </c>
      <c r="AK1417" s="67" t="n"/>
    </row>
    <row r="1418">
      <c r="A1418" s="65" t="n"/>
      <c r="B1418" s="65" t="n"/>
      <c r="C1418" s="66" t="n"/>
      <c r="D1418" s="66" t="n"/>
      <c r="E1418" s="65" t="n"/>
      <c r="F1418" s="65" t="n"/>
      <c r="G1418" s="65" t="n"/>
      <c r="H1418" s="65" t="n"/>
      <c r="I1418" s="65" t="n"/>
      <c r="J1418" s="65" t="n"/>
      <c r="K1418" s="65" t="n"/>
      <c r="L1418" s="65" t="n"/>
      <c r="M1418" s="65" t="n"/>
      <c r="N1418" s="65" t="n"/>
      <c r="O1418" s="65" t="n"/>
      <c r="P1418" s="65" t="n"/>
      <c r="Q1418" s="65" t="n"/>
      <c r="R1418" s="65" t="n"/>
      <c r="S1418" s="65" t="n"/>
      <c r="T1418" s="65" t="n"/>
      <c r="U1418" s="65" t="n"/>
      <c r="V1418" s="65" t="n"/>
      <c r="W1418" s="65" t="n"/>
      <c r="X1418" s="65" t="n"/>
      <c r="Y1418" s="32">
        <f>IF($C1418="","",IF(COUNTA($I1418:$K1418)&lt;3,"— חסרים נתונים",IF(AND($I1418="תקין",$J1418="תקין",$K1418="תקין"),"רהוטה",IF(AND($I1418="תקין",$J1418="תקין"),"מדויקת ורציפה","אינה מדויקת או מקוטעת"))))</f>
        <v/>
      </c>
      <c r="Z1418" s="32">
        <f>IF($C1418="","",IF(COUNTA($U1418:$W1418)&lt;3,"",IF(AND($U1418="מפותח",$V1418="מפותח",$W1418="מפותחת"),"מפותחת",IF((--($U1418="דל"))+(--($V1418="אינו מפותח"))+(--($W1418="דלה"))&gt;=2,"אינה מפותחת","חלקית"))))</f>
        <v/>
      </c>
      <c r="AA1418" s="32">
        <f>IF($C1418="","",IF(COUNTA($M1418,$N1418,$O1418)&lt;3,"— חסרים נתונים",IF(OR($M1418="נמוכה",(--($M1418&lt;&gt;"תקינה"))+(--($N1418&lt;&gt;"תקין"))+(--($O1418&lt;&gt;"תקינה"))&gt;=2),"ניכרת","אינה ניכרת")))</f>
        <v/>
      </c>
      <c r="AB1418" s="32">
        <f>IF(OR($C1418="",$Y1418="",$AA1418="",LEFT($Y1418,1)="—",LEFT($AA1418,1)="—"),"",IF($Z1418="","— נדרשת הערכת כתיבה",IF($L1418="","— חסרה הבנת הנקרא",IF($Y1418="אינה מדויקת או מקוטעת",IF($AA1418="ניכרת","מיקוד בשטף הקריאה ובכישורי שפה","מיקוד בשטף קריאה"),IF($AA1418="ניכרת","מיקוד בכישורי שפה",IF(AND($L1418="תקינה",$Z1418="מפותחת"),"קוראים וכותבים מיומנים","מיקוד בהבנה והבעה"))))))</f>
        <v/>
      </c>
      <c r="AC1418" s="32">
        <f>IF(OR($AB1418="",LEFT($AB1418,1)="—"),"",IF(OR($AB1418="מיקוד בשטף קריאה",$AB1418="מיקוד בשטף הקריאה ובכישורי שפה"),"רמה א'",IF($AB1418="קוראים וכותבים מיומנים","רמה ג'","רמה ב'")))</f>
        <v/>
      </c>
      <c r="AD1418" s="32">
        <f>IF($AC1418="","",MID(IF(AND($AC1418="רמה א'",$AA1418="ניכרת"),"; להוסיף עבודת אוצר מילים","")&amp;IF($Z1418="אינה מפותחת","; דגש על הבעה בכתב","")&amp;IF($K1418&lt;&gt;"תקין","; נדרש לעבוד על ההנגנה","")&amp;IF($AK1418&lt;&gt;"","; "&amp;$AK1418,""),3,400))</f>
        <v/>
      </c>
      <c r="AE1418" s="32">
        <f>IF($F1418="","",IF($F1418="תחילת שנה",1,IF($F1418="מחצית שנה",2,3)))</f>
        <v/>
      </c>
      <c r="AF1418" s="32">
        <f>IF(OR($B1418="",$AC1418="",$A1418="",$F1418=""),"",$B1418&amp;"|"&amp;$A1418&amp;"|"&amp;$F1418&amp;"|"&amp;$AC1418&amp;"|"&amp;COUNTIFS($B$6:$B1418,$B1418,$A$6:$A1418,$A1418,$F$6:$F1418,$F1418,$AC$6:$AC1418,$AC1418))</f>
        <v/>
      </c>
      <c r="AG1418" s="32">
        <f>IF($C1418="","",$C1418&amp;"|"&amp;COUNTIFS($C$6:$C1418,$C1418))</f>
        <v/>
      </c>
      <c r="AH1418" s="32">
        <f>IF(OR($C1418="",$A1418="",$AE1418=""),"",$C1418&amp;"|"&amp;$A1418&amp;"|"&amp;$AE1418)</f>
        <v/>
      </c>
      <c r="AI1418" s="32">
        <f>IF(OR($C1418="",$AE1418="",$AE1418=1),"",IFERROR(INDEX($AC$6:$AC$1505,MATCH($C1418&amp;"|"&amp;$A1418&amp;"|"&amp;($AE1418-1),$AH$6:$AH$1505,0)),""))</f>
        <v/>
      </c>
      <c r="AJ1418" s="32">
        <f>IF(OR($AI1418="",$AC1418=""),"",IF($AI1418=$AC1418,"ללא שינוי","מ-"&amp;$AI1418&amp;" ל-"&amp;$AC1418))</f>
        <v/>
      </c>
      <c r="AK1418" s="67" t="n"/>
    </row>
    <row r="1419">
      <c r="A1419" s="65" t="n"/>
      <c r="B1419" s="65" t="n"/>
      <c r="C1419" s="66" t="n"/>
      <c r="D1419" s="66" t="n"/>
      <c r="E1419" s="65" t="n"/>
      <c r="F1419" s="65" t="n"/>
      <c r="G1419" s="65" t="n"/>
      <c r="H1419" s="65" t="n"/>
      <c r="I1419" s="65" t="n"/>
      <c r="J1419" s="65" t="n"/>
      <c r="K1419" s="65" t="n"/>
      <c r="L1419" s="65" t="n"/>
      <c r="M1419" s="65" t="n"/>
      <c r="N1419" s="65" t="n"/>
      <c r="O1419" s="65" t="n"/>
      <c r="P1419" s="65" t="n"/>
      <c r="Q1419" s="65" t="n"/>
      <c r="R1419" s="65" t="n"/>
      <c r="S1419" s="65" t="n"/>
      <c r="T1419" s="65" t="n"/>
      <c r="U1419" s="65" t="n"/>
      <c r="V1419" s="65" t="n"/>
      <c r="W1419" s="65" t="n"/>
      <c r="X1419" s="65" t="n"/>
      <c r="Y1419" s="32">
        <f>IF($C1419="","",IF(COUNTA($I1419:$K1419)&lt;3,"— חסרים נתונים",IF(AND($I1419="תקין",$J1419="תקין",$K1419="תקין"),"רהוטה",IF(AND($I1419="תקין",$J1419="תקין"),"מדויקת ורציפה","אינה מדויקת או מקוטעת"))))</f>
        <v/>
      </c>
      <c r="Z1419" s="32">
        <f>IF($C1419="","",IF(COUNTA($U1419:$W1419)&lt;3,"",IF(AND($U1419="מפותח",$V1419="מפותח",$W1419="מפותחת"),"מפותחת",IF((--($U1419="דל"))+(--($V1419="אינו מפותח"))+(--($W1419="דלה"))&gt;=2,"אינה מפותחת","חלקית"))))</f>
        <v/>
      </c>
      <c r="AA1419" s="32">
        <f>IF($C1419="","",IF(COUNTA($M1419,$N1419,$O1419)&lt;3,"— חסרים נתונים",IF(OR($M1419="נמוכה",(--($M1419&lt;&gt;"תקינה"))+(--($N1419&lt;&gt;"תקין"))+(--($O1419&lt;&gt;"תקינה"))&gt;=2),"ניכרת","אינה ניכרת")))</f>
        <v/>
      </c>
      <c r="AB1419" s="32">
        <f>IF(OR($C1419="",$Y1419="",$AA1419="",LEFT($Y1419,1)="—",LEFT($AA1419,1)="—"),"",IF($Z1419="","— נדרשת הערכת כתיבה",IF($L1419="","— חסרה הבנת הנקרא",IF($Y1419="אינה מדויקת או מקוטעת",IF($AA1419="ניכרת","מיקוד בשטף הקריאה ובכישורי שפה","מיקוד בשטף קריאה"),IF($AA1419="ניכרת","מיקוד בכישורי שפה",IF(AND($L1419="תקינה",$Z1419="מפותחת"),"קוראים וכותבים מיומנים","מיקוד בהבנה והבעה"))))))</f>
        <v/>
      </c>
      <c r="AC1419" s="32">
        <f>IF(OR($AB1419="",LEFT($AB1419,1)="—"),"",IF(OR($AB1419="מיקוד בשטף קריאה",$AB1419="מיקוד בשטף הקריאה ובכישורי שפה"),"רמה א'",IF($AB1419="קוראים וכותבים מיומנים","רמה ג'","רמה ב'")))</f>
        <v/>
      </c>
      <c r="AD1419" s="32">
        <f>IF($AC1419="","",MID(IF(AND($AC1419="רמה א'",$AA1419="ניכרת"),"; להוסיף עבודת אוצר מילים","")&amp;IF($Z1419="אינה מפותחת","; דגש על הבעה בכתב","")&amp;IF($K1419&lt;&gt;"תקין","; נדרש לעבוד על ההנגנה","")&amp;IF($AK1419&lt;&gt;"","; "&amp;$AK1419,""),3,400))</f>
        <v/>
      </c>
      <c r="AE1419" s="32">
        <f>IF($F1419="","",IF($F1419="תחילת שנה",1,IF($F1419="מחצית שנה",2,3)))</f>
        <v/>
      </c>
      <c r="AF1419" s="32">
        <f>IF(OR($B1419="",$AC1419="",$A1419="",$F1419=""),"",$B1419&amp;"|"&amp;$A1419&amp;"|"&amp;$F1419&amp;"|"&amp;$AC1419&amp;"|"&amp;COUNTIFS($B$6:$B1419,$B1419,$A$6:$A1419,$A1419,$F$6:$F1419,$F1419,$AC$6:$AC1419,$AC1419))</f>
        <v/>
      </c>
      <c r="AG1419" s="32">
        <f>IF($C1419="","",$C1419&amp;"|"&amp;COUNTIFS($C$6:$C1419,$C1419))</f>
        <v/>
      </c>
      <c r="AH1419" s="32">
        <f>IF(OR($C1419="",$A1419="",$AE1419=""),"",$C1419&amp;"|"&amp;$A1419&amp;"|"&amp;$AE1419)</f>
        <v/>
      </c>
      <c r="AI1419" s="32">
        <f>IF(OR($C1419="",$AE1419="",$AE1419=1),"",IFERROR(INDEX($AC$6:$AC$1505,MATCH($C1419&amp;"|"&amp;$A1419&amp;"|"&amp;($AE1419-1),$AH$6:$AH$1505,0)),""))</f>
        <v/>
      </c>
      <c r="AJ1419" s="32">
        <f>IF(OR($AI1419="",$AC1419=""),"",IF($AI1419=$AC1419,"ללא שינוי","מ-"&amp;$AI1419&amp;" ל-"&amp;$AC1419))</f>
        <v/>
      </c>
      <c r="AK1419" s="67" t="n"/>
    </row>
    <row r="1420">
      <c r="A1420" s="65" t="n"/>
      <c r="B1420" s="65" t="n"/>
      <c r="C1420" s="66" t="n"/>
      <c r="D1420" s="66" t="n"/>
      <c r="E1420" s="65" t="n"/>
      <c r="F1420" s="65" t="n"/>
      <c r="G1420" s="65" t="n"/>
      <c r="H1420" s="65" t="n"/>
      <c r="I1420" s="65" t="n"/>
      <c r="J1420" s="65" t="n"/>
      <c r="K1420" s="65" t="n"/>
      <c r="L1420" s="65" t="n"/>
      <c r="M1420" s="65" t="n"/>
      <c r="N1420" s="65" t="n"/>
      <c r="O1420" s="65" t="n"/>
      <c r="P1420" s="65" t="n"/>
      <c r="Q1420" s="65" t="n"/>
      <c r="R1420" s="65" t="n"/>
      <c r="S1420" s="65" t="n"/>
      <c r="T1420" s="65" t="n"/>
      <c r="U1420" s="65" t="n"/>
      <c r="V1420" s="65" t="n"/>
      <c r="W1420" s="65" t="n"/>
      <c r="X1420" s="65" t="n"/>
      <c r="Y1420" s="32">
        <f>IF($C1420="","",IF(COUNTA($I1420:$K1420)&lt;3,"— חסרים נתונים",IF(AND($I1420="תקין",$J1420="תקין",$K1420="תקין"),"רהוטה",IF(AND($I1420="תקין",$J1420="תקין"),"מדויקת ורציפה","אינה מדויקת או מקוטעת"))))</f>
        <v/>
      </c>
      <c r="Z1420" s="32">
        <f>IF($C1420="","",IF(COUNTA($U1420:$W1420)&lt;3,"",IF(AND($U1420="מפותח",$V1420="מפותח",$W1420="מפותחת"),"מפותחת",IF((--($U1420="דל"))+(--($V1420="אינו מפותח"))+(--($W1420="דלה"))&gt;=2,"אינה מפותחת","חלקית"))))</f>
        <v/>
      </c>
      <c r="AA1420" s="32">
        <f>IF($C1420="","",IF(COUNTA($M1420,$N1420,$O1420)&lt;3,"— חסרים נתונים",IF(OR($M1420="נמוכה",(--($M1420&lt;&gt;"תקינה"))+(--($N1420&lt;&gt;"תקין"))+(--($O1420&lt;&gt;"תקינה"))&gt;=2),"ניכרת","אינה ניכרת")))</f>
        <v/>
      </c>
      <c r="AB1420" s="32">
        <f>IF(OR($C1420="",$Y1420="",$AA1420="",LEFT($Y1420,1)="—",LEFT($AA1420,1)="—"),"",IF($Z1420="","— נדרשת הערכת כתיבה",IF($L1420="","— חסרה הבנת הנקרא",IF($Y1420="אינה מדויקת או מקוטעת",IF($AA1420="ניכרת","מיקוד בשטף הקריאה ובכישורי שפה","מיקוד בשטף קריאה"),IF($AA1420="ניכרת","מיקוד בכישורי שפה",IF(AND($L1420="תקינה",$Z1420="מפותחת"),"קוראים וכותבים מיומנים","מיקוד בהבנה והבעה"))))))</f>
        <v/>
      </c>
      <c r="AC1420" s="32">
        <f>IF(OR($AB1420="",LEFT($AB1420,1)="—"),"",IF(OR($AB1420="מיקוד בשטף קריאה",$AB1420="מיקוד בשטף הקריאה ובכישורי שפה"),"רמה א'",IF($AB1420="קוראים וכותבים מיומנים","רמה ג'","רמה ב'")))</f>
        <v/>
      </c>
      <c r="AD1420" s="32">
        <f>IF($AC1420="","",MID(IF(AND($AC1420="רמה א'",$AA1420="ניכרת"),"; להוסיף עבודת אוצר מילים","")&amp;IF($Z1420="אינה מפותחת","; דגש על הבעה בכתב","")&amp;IF($K1420&lt;&gt;"תקין","; נדרש לעבוד על ההנגנה","")&amp;IF($AK1420&lt;&gt;"","; "&amp;$AK1420,""),3,400))</f>
        <v/>
      </c>
      <c r="AE1420" s="32">
        <f>IF($F1420="","",IF($F1420="תחילת שנה",1,IF($F1420="מחצית שנה",2,3)))</f>
        <v/>
      </c>
      <c r="AF1420" s="32">
        <f>IF(OR($B1420="",$AC1420="",$A1420="",$F1420=""),"",$B1420&amp;"|"&amp;$A1420&amp;"|"&amp;$F1420&amp;"|"&amp;$AC1420&amp;"|"&amp;COUNTIFS($B$6:$B1420,$B1420,$A$6:$A1420,$A1420,$F$6:$F1420,$F1420,$AC$6:$AC1420,$AC1420))</f>
        <v/>
      </c>
      <c r="AG1420" s="32">
        <f>IF($C1420="","",$C1420&amp;"|"&amp;COUNTIFS($C$6:$C1420,$C1420))</f>
        <v/>
      </c>
      <c r="AH1420" s="32">
        <f>IF(OR($C1420="",$A1420="",$AE1420=""),"",$C1420&amp;"|"&amp;$A1420&amp;"|"&amp;$AE1420)</f>
        <v/>
      </c>
      <c r="AI1420" s="32">
        <f>IF(OR($C1420="",$AE1420="",$AE1420=1),"",IFERROR(INDEX($AC$6:$AC$1505,MATCH($C1420&amp;"|"&amp;$A1420&amp;"|"&amp;($AE1420-1),$AH$6:$AH$1505,0)),""))</f>
        <v/>
      </c>
      <c r="AJ1420" s="32">
        <f>IF(OR($AI1420="",$AC1420=""),"",IF($AI1420=$AC1420,"ללא שינוי","מ-"&amp;$AI1420&amp;" ל-"&amp;$AC1420))</f>
        <v/>
      </c>
      <c r="AK1420" s="67" t="n"/>
    </row>
    <row r="1421">
      <c r="A1421" s="65" t="n"/>
      <c r="B1421" s="65" t="n"/>
      <c r="C1421" s="66" t="n"/>
      <c r="D1421" s="66" t="n"/>
      <c r="E1421" s="65" t="n"/>
      <c r="F1421" s="65" t="n"/>
      <c r="G1421" s="65" t="n"/>
      <c r="H1421" s="65" t="n"/>
      <c r="I1421" s="65" t="n"/>
      <c r="J1421" s="65" t="n"/>
      <c r="K1421" s="65" t="n"/>
      <c r="L1421" s="65" t="n"/>
      <c r="M1421" s="65" t="n"/>
      <c r="N1421" s="65" t="n"/>
      <c r="O1421" s="65" t="n"/>
      <c r="P1421" s="65" t="n"/>
      <c r="Q1421" s="65" t="n"/>
      <c r="R1421" s="65" t="n"/>
      <c r="S1421" s="65" t="n"/>
      <c r="T1421" s="65" t="n"/>
      <c r="U1421" s="65" t="n"/>
      <c r="V1421" s="65" t="n"/>
      <c r="W1421" s="65" t="n"/>
      <c r="X1421" s="65" t="n"/>
      <c r="Y1421" s="32">
        <f>IF($C1421="","",IF(COUNTA($I1421:$K1421)&lt;3,"— חסרים נתונים",IF(AND($I1421="תקין",$J1421="תקין",$K1421="תקין"),"רהוטה",IF(AND($I1421="תקין",$J1421="תקין"),"מדויקת ורציפה","אינה מדויקת או מקוטעת"))))</f>
        <v/>
      </c>
      <c r="Z1421" s="32">
        <f>IF($C1421="","",IF(COUNTA($U1421:$W1421)&lt;3,"",IF(AND($U1421="מפותח",$V1421="מפותח",$W1421="מפותחת"),"מפותחת",IF((--($U1421="דל"))+(--($V1421="אינו מפותח"))+(--($W1421="דלה"))&gt;=2,"אינה מפותחת","חלקית"))))</f>
        <v/>
      </c>
      <c r="AA1421" s="32">
        <f>IF($C1421="","",IF(COUNTA($M1421,$N1421,$O1421)&lt;3,"— חסרים נתונים",IF(OR($M1421="נמוכה",(--($M1421&lt;&gt;"תקינה"))+(--($N1421&lt;&gt;"תקין"))+(--($O1421&lt;&gt;"תקינה"))&gt;=2),"ניכרת","אינה ניכרת")))</f>
        <v/>
      </c>
      <c r="AB1421" s="32">
        <f>IF(OR($C1421="",$Y1421="",$AA1421="",LEFT($Y1421,1)="—",LEFT($AA1421,1)="—"),"",IF($Z1421="","— נדרשת הערכת כתיבה",IF($L1421="","— חסרה הבנת הנקרא",IF($Y1421="אינה מדויקת או מקוטעת",IF($AA1421="ניכרת","מיקוד בשטף הקריאה ובכישורי שפה","מיקוד בשטף קריאה"),IF($AA1421="ניכרת","מיקוד בכישורי שפה",IF(AND($L1421="תקינה",$Z1421="מפותחת"),"קוראים וכותבים מיומנים","מיקוד בהבנה והבעה"))))))</f>
        <v/>
      </c>
      <c r="AC1421" s="32">
        <f>IF(OR($AB1421="",LEFT($AB1421,1)="—"),"",IF(OR($AB1421="מיקוד בשטף קריאה",$AB1421="מיקוד בשטף הקריאה ובכישורי שפה"),"רמה א'",IF($AB1421="קוראים וכותבים מיומנים","רמה ג'","רמה ב'")))</f>
        <v/>
      </c>
      <c r="AD1421" s="32">
        <f>IF($AC1421="","",MID(IF(AND($AC1421="רמה א'",$AA1421="ניכרת"),"; להוסיף עבודת אוצר מילים","")&amp;IF($Z1421="אינה מפותחת","; דגש על הבעה בכתב","")&amp;IF($K1421&lt;&gt;"תקין","; נדרש לעבוד על ההנגנה","")&amp;IF($AK1421&lt;&gt;"","; "&amp;$AK1421,""),3,400))</f>
        <v/>
      </c>
      <c r="AE1421" s="32">
        <f>IF($F1421="","",IF($F1421="תחילת שנה",1,IF($F1421="מחצית שנה",2,3)))</f>
        <v/>
      </c>
      <c r="AF1421" s="32">
        <f>IF(OR($B1421="",$AC1421="",$A1421="",$F1421=""),"",$B1421&amp;"|"&amp;$A1421&amp;"|"&amp;$F1421&amp;"|"&amp;$AC1421&amp;"|"&amp;COUNTIFS($B$6:$B1421,$B1421,$A$6:$A1421,$A1421,$F$6:$F1421,$F1421,$AC$6:$AC1421,$AC1421))</f>
        <v/>
      </c>
      <c r="AG1421" s="32">
        <f>IF($C1421="","",$C1421&amp;"|"&amp;COUNTIFS($C$6:$C1421,$C1421))</f>
        <v/>
      </c>
      <c r="AH1421" s="32">
        <f>IF(OR($C1421="",$A1421="",$AE1421=""),"",$C1421&amp;"|"&amp;$A1421&amp;"|"&amp;$AE1421)</f>
        <v/>
      </c>
      <c r="AI1421" s="32">
        <f>IF(OR($C1421="",$AE1421="",$AE1421=1),"",IFERROR(INDEX($AC$6:$AC$1505,MATCH($C1421&amp;"|"&amp;$A1421&amp;"|"&amp;($AE1421-1),$AH$6:$AH$1505,0)),""))</f>
        <v/>
      </c>
      <c r="AJ1421" s="32">
        <f>IF(OR($AI1421="",$AC1421=""),"",IF($AI1421=$AC1421,"ללא שינוי","מ-"&amp;$AI1421&amp;" ל-"&amp;$AC1421))</f>
        <v/>
      </c>
      <c r="AK1421" s="67" t="n"/>
    </row>
    <row r="1422">
      <c r="A1422" s="65" t="n"/>
      <c r="B1422" s="65" t="n"/>
      <c r="C1422" s="66" t="n"/>
      <c r="D1422" s="66" t="n"/>
      <c r="E1422" s="65" t="n"/>
      <c r="F1422" s="65" t="n"/>
      <c r="G1422" s="65" t="n"/>
      <c r="H1422" s="65" t="n"/>
      <c r="I1422" s="65" t="n"/>
      <c r="J1422" s="65" t="n"/>
      <c r="K1422" s="65" t="n"/>
      <c r="L1422" s="65" t="n"/>
      <c r="M1422" s="65" t="n"/>
      <c r="N1422" s="65" t="n"/>
      <c r="O1422" s="65" t="n"/>
      <c r="P1422" s="65" t="n"/>
      <c r="Q1422" s="65" t="n"/>
      <c r="R1422" s="65" t="n"/>
      <c r="S1422" s="65" t="n"/>
      <c r="T1422" s="65" t="n"/>
      <c r="U1422" s="65" t="n"/>
      <c r="V1422" s="65" t="n"/>
      <c r="W1422" s="65" t="n"/>
      <c r="X1422" s="65" t="n"/>
      <c r="Y1422" s="32">
        <f>IF($C1422="","",IF(COUNTA($I1422:$K1422)&lt;3,"— חסרים נתונים",IF(AND($I1422="תקין",$J1422="תקין",$K1422="תקין"),"רהוטה",IF(AND($I1422="תקין",$J1422="תקין"),"מדויקת ורציפה","אינה מדויקת או מקוטעת"))))</f>
        <v/>
      </c>
      <c r="Z1422" s="32">
        <f>IF($C1422="","",IF(COUNTA($U1422:$W1422)&lt;3,"",IF(AND($U1422="מפותח",$V1422="מפותח",$W1422="מפותחת"),"מפותחת",IF((--($U1422="דל"))+(--($V1422="אינו מפותח"))+(--($W1422="דלה"))&gt;=2,"אינה מפותחת","חלקית"))))</f>
        <v/>
      </c>
      <c r="AA1422" s="32">
        <f>IF($C1422="","",IF(COUNTA($M1422,$N1422,$O1422)&lt;3,"— חסרים נתונים",IF(OR($M1422="נמוכה",(--($M1422&lt;&gt;"תקינה"))+(--($N1422&lt;&gt;"תקין"))+(--($O1422&lt;&gt;"תקינה"))&gt;=2),"ניכרת","אינה ניכרת")))</f>
        <v/>
      </c>
      <c r="AB1422" s="32">
        <f>IF(OR($C1422="",$Y1422="",$AA1422="",LEFT($Y1422,1)="—",LEFT($AA1422,1)="—"),"",IF($Z1422="","— נדרשת הערכת כתיבה",IF($L1422="","— חסרה הבנת הנקרא",IF($Y1422="אינה מדויקת או מקוטעת",IF($AA1422="ניכרת","מיקוד בשטף הקריאה ובכישורי שפה","מיקוד בשטף קריאה"),IF($AA1422="ניכרת","מיקוד בכישורי שפה",IF(AND($L1422="תקינה",$Z1422="מפותחת"),"קוראים וכותבים מיומנים","מיקוד בהבנה והבעה"))))))</f>
        <v/>
      </c>
      <c r="AC1422" s="32">
        <f>IF(OR($AB1422="",LEFT($AB1422,1)="—"),"",IF(OR($AB1422="מיקוד בשטף קריאה",$AB1422="מיקוד בשטף הקריאה ובכישורי שפה"),"רמה א'",IF($AB1422="קוראים וכותבים מיומנים","רמה ג'","רמה ב'")))</f>
        <v/>
      </c>
      <c r="AD1422" s="32">
        <f>IF($AC1422="","",MID(IF(AND($AC1422="רמה א'",$AA1422="ניכרת"),"; להוסיף עבודת אוצר מילים","")&amp;IF($Z1422="אינה מפותחת","; דגש על הבעה בכתב","")&amp;IF($K1422&lt;&gt;"תקין","; נדרש לעבוד על ההנגנה","")&amp;IF($AK1422&lt;&gt;"","; "&amp;$AK1422,""),3,400))</f>
        <v/>
      </c>
      <c r="AE1422" s="32">
        <f>IF($F1422="","",IF($F1422="תחילת שנה",1,IF($F1422="מחצית שנה",2,3)))</f>
        <v/>
      </c>
      <c r="AF1422" s="32">
        <f>IF(OR($B1422="",$AC1422="",$A1422="",$F1422=""),"",$B1422&amp;"|"&amp;$A1422&amp;"|"&amp;$F1422&amp;"|"&amp;$AC1422&amp;"|"&amp;COUNTIFS($B$6:$B1422,$B1422,$A$6:$A1422,$A1422,$F$6:$F1422,$F1422,$AC$6:$AC1422,$AC1422))</f>
        <v/>
      </c>
      <c r="AG1422" s="32">
        <f>IF($C1422="","",$C1422&amp;"|"&amp;COUNTIFS($C$6:$C1422,$C1422))</f>
        <v/>
      </c>
      <c r="AH1422" s="32">
        <f>IF(OR($C1422="",$A1422="",$AE1422=""),"",$C1422&amp;"|"&amp;$A1422&amp;"|"&amp;$AE1422)</f>
        <v/>
      </c>
      <c r="AI1422" s="32">
        <f>IF(OR($C1422="",$AE1422="",$AE1422=1),"",IFERROR(INDEX($AC$6:$AC$1505,MATCH($C1422&amp;"|"&amp;$A1422&amp;"|"&amp;($AE1422-1),$AH$6:$AH$1505,0)),""))</f>
        <v/>
      </c>
      <c r="AJ1422" s="32">
        <f>IF(OR($AI1422="",$AC1422=""),"",IF($AI1422=$AC1422,"ללא שינוי","מ-"&amp;$AI1422&amp;" ל-"&amp;$AC1422))</f>
        <v/>
      </c>
      <c r="AK1422" s="67" t="n"/>
    </row>
    <row r="1423">
      <c r="A1423" s="65" t="n"/>
      <c r="B1423" s="65" t="n"/>
      <c r="C1423" s="66" t="n"/>
      <c r="D1423" s="66" t="n"/>
      <c r="E1423" s="65" t="n"/>
      <c r="F1423" s="65" t="n"/>
      <c r="G1423" s="65" t="n"/>
      <c r="H1423" s="65" t="n"/>
      <c r="I1423" s="65" t="n"/>
      <c r="J1423" s="65" t="n"/>
      <c r="K1423" s="65" t="n"/>
      <c r="L1423" s="65" t="n"/>
      <c r="M1423" s="65" t="n"/>
      <c r="N1423" s="65" t="n"/>
      <c r="O1423" s="65" t="n"/>
      <c r="P1423" s="65" t="n"/>
      <c r="Q1423" s="65" t="n"/>
      <c r="R1423" s="65" t="n"/>
      <c r="S1423" s="65" t="n"/>
      <c r="T1423" s="65" t="n"/>
      <c r="U1423" s="65" t="n"/>
      <c r="V1423" s="65" t="n"/>
      <c r="W1423" s="65" t="n"/>
      <c r="X1423" s="65" t="n"/>
      <c r="Y1423" s="32">
        <f>IF($C1423="","",IF(COUNTA($I1423:$K1423)&lt;3,"— חסרים נתונים",IF(AND($I1423="תקין",$J1423="תקין",$K1423="תקין"),"רהוטה",IF(AND($I1423="תקין",$J1423="תקין"),"מדויקת ורציפה","אינה מדויקת או מקוטעת"))))</f>
        <v/>
      </c>
      <c r="Z1423" s="32">
        <f>IF($C1423="","",IF(COUNTA($U1423:$W1423)&lt;3,"",IF(AND($U1423="מפותח",$V1423="מפותח",$W1423="מפותחת"),"מפותחת",IF((--($U1423="דל"))+(--($V1423="אינו מפותח"))+(--($W1423="דלה"))&gt;=2,"אינה מפותחת","חלקית"))))</f>
        <v/>
      </c>
      <c r="AA1423" s="32">
        <f>IF($C1423="","",IF(COUNTA($M1423,$N1423,$O1423)&lt;3,"— חסרים נתונים",IF(OR($M1423="נמוכה",(--($M1423&lt;&gt;"תקינה"))+(--($N1423&lt;&gt;"תקין"))+(--($O1423&lt;&gt;"תקינה"))&gt;=2),"ניכרת","אינה ניכרת")))</f>
        <v/>
      </c>
      <c r="AB1423" s="32">
        <f>IF(OR($C1423="",$Y1423="",$AA1423="",LEFT($Y1423,1)="—",LEFT($AA1423,1)="—"),"",IF($Z1423="","— נדרשת הערכת כתיבה",IF($L1423="","— חסרה הבנת הנקרא",IF($Y1423="אינה מדויקת או מקוטעת",IF($AA1423="ניכרת","מיקוד בשטף הקריאה ובכישורי שפה","מיקוד בשטף קריאה"),IF($AA1423="ניכרת","מיקוד בכישורי שפה",IF(AND($L1423="תקינה",$Z1423="מפותחת"),"קוראים וכותבים מיומנים","מיקוד בהבנה והבעה"))))))</f>
        <v/>
      </c>
      <c r="AC1423" s="32">
        <f>IF(OR($AB1423="",LEFT($AB1423,1)="—"),"",IF(OR($AB1423="מיקוד בשטף קריאה",$AB1423="מיקוד בשטף הקריאה ובכישורי שפה"),"רמה א'",IF($AB1423="קוראים וכותבים מיומנים","רמה ג'","רמה ב'")))</f>
        <v/>
      </c>
      <c r="AD1423" s="32">
        <f>IF($AC1423="","",MID(IF(AND($AC1423="רמה א'",$AA1423="ניכרת"),"; להוסיף עבודת אוצר מילים","")&amp;IF($Z1423="אינה מפותחת","; דגש על הבעה בכתב","")&amp;IF($K1423&lt;&gt;"תקין","; נדרש לעבוד על ההנגנה","")&amp;IF($AK1423&lt;&gt;"","; "&amp;$AK1423,""),3,400))</f>
        <v/>
      </c>
      <c r="AE1423" s="32">
        <f>IF($F1423="","",IF($F1423="תחילת שנה",1,IF($F1423="מחצית שנה",2,3)))</f>
        <v/>
      </c>
      <c r="AF1423" s="32">
        <f>IF(OR($B1423="",$AC1423="",$A1423="",$F1423=""),"",$B1423&amp;"|"&amp;$A1423&amp;"|"&amp;$F1423&amp;"|"&amp;$AC1423&amp;"|"&amp;COUNTIFS($B$6:$B1423,$B1423,$A$6:$A1423,$A1423,$F$6:$F1423,$F1423,$AC$6:$AC1423,$AC1423))</f>
        <v/>
      </c>
      <c r="AG1423" s="32">
        <f>IF($C1423="","",$C1423&amp;"|"&amp;COUNTIFS($C$6:$C1423,$C1423))</f>
        <v/>
      </c>
      <c r="AH1423" s="32">
        <f>IF(OR($C1423="",$A1423="",$AE1423=""),"",$C1423&amp;"|"&amp;$A1423&amp;"|"&amp;$AE1423)</f>
        <v/>
      </c>
      <c r="AI1423" s="32">
        <f>IF(OR($C1423="",$AE1423="",$AE1423=1),"",IFERROR(INDEX($AC$6:$AC$1505,MATCH($C1423&amp;"|"&amp;$A1423&amp;"|"&amp;($AE1423-1),$AH$6:$AH$1505,0)),""))</f>
        <v/>
      </c>
      <c r="AJ1423" s="32">
        <f>IF(OR($AI1423="",$AC1423=""),"",IF($AI1423=$AC1423,"ללא שינוי","מ-"&amp;$AI1423&amp;" ל-"&amp;$AC1423))</f>
        <v/>
      </c>
      <c r="AK1423" s="67" t="n"/>
    </row>
    <row r="1424">
      <c r="A1424" s="65" t="n"/>
      <c r="B1424" s="65" t="n"/>
      <c r="C1424" s="66" t="n"/>
      <c r="D1424" s="66" t="n"/>
      <c r="E1424" s="65" t="n"/>
      <c r="F1424" s="65" t="n"/>
      <c r="G1424" s="65" t="n"/>
      <c r="H1424" s="65" t="n"/>
      <c r="I1424" s="65" t="n"/>
      <c r="J1424" s="65" t="n"/>
      <c r="K1424" s="65" t="n"/>
      <c r="L1424" s="65" t="n"/>
      <c r="M1424" s="65" t="n"/>
      <c r="N1424" s="65" t="n"/>
      <c r="O1424" s="65" t="n"/>
      <c r="P1424" s="65" t="n"/>
      <c r="Q1424" s="65" t="n"/>
      <c r="R1424" s="65" t="n"/>
      <c r="S1424" s="65" t="n"/>
      <c r="T1424" s="65" t="n"/>
      <c r="U1424" s="65" t="n"/>
      <c r="V1424" s="65" t="n"/>
      <c r="W1424" s="65" t="n"/>
      <c r="X1424" s="65" t="n"/>
      <c r="Y1424" s="32">
        <f>IF($C1424="","",IF(COUNTA($I1424:$K1424)&lt;3,"— חסרים נתונים",IF(AND($I1424="תקין",$J1424="תקין",$K1424="תקין"),"רהוטה",IF(AND($I1424="תקין",$J1424="תקין"),"מדויקת ורציפה","אינה מדויקת או מקוטעת"))))</f>
        <v/>
      </c>
      <c r="Z1424" s="32">
        <f>IF($C1424="","",IF(COUNTA($U1424:$W1424)&lt;3,"",IF(AND($U1424="מפותח",$V1424="מפותח",$W1424="מפותחת"),"מפותחת",IF((--($U1424="דל"))+(--($V1424="אינו מפותח"))+(--($W1424="דלה"))&gt;=2,"אינה מפותחת","חלקית"))))</f>
        <v/>
      </c>
      <c r="AA1424" s="32">
        <f>IF($C1424="","",IF(COUNTA($M1424,$N1424,$O1424)&lt;3,"— חסרים נתונים",IF(OR($M1424="נמוכה",(--($M1424&lt;&gt;"תקינה"))+(--($N1424&lt;&gt;"תקין"))+(--($O1424&lt;&gt;"תקינה"))&gt;=2),"ניכרת","אינה ניכרת")))</f>
        <v/>
      </c>
      <c r="AB1424" s="32">
        <f>IF(OR($C1424="",$Y1424="",$AA1424="",LEFT($Y1424,1)="—",LEFT($AA1424,1)="—"),"",IF($Z1424="","— נדרשת הערכת כתיבה",IF($L1424="","— חסרה הבנת הנקרא",IF($Y1424="אינה מדויקת או מקוטעת",IF($AA1424="ניכרת","מיקוד בשטף הקריאה ובכישורי שפה","מיקוד בשטף קריאה"),IF($AA1424="ניכרת","מיקוד בכישורי שפה",IF(AND($L1424="תקינה",$Z1424="מפותחת"),"קוראים וכותבים מיומנים","מיקוד בהבנה והבעה"))))))</f>
        <v/>
      </c>
      <c r="AC1424" s="32">
        <f>IF(OR($AB1424="",LEFT($AB1424,1)="—"),"",IF(OR($AB1424="מיקוד בשטף קריאה",$AB1424="מיקוד בשטף הקריאה ובכישורי שפה"),"רמה א'",IF($AB1424="קוראים וכותבים מיומנים","רמה ג'","רמה ב'")))</f>
        <v/>
      </c>
      <c r="AD1424" s="32">
        <f>IF($AC1424="","",MID(IF(AND($AC1424="רמה א'",$AA1424="ניכרת"),"; להוסיף עבודת אוצר מילים","")&amp;IF($Z1424="אינה מפותחת","; דגש על הבעה בכתב","")&amp;IF($K1424&lt;&gt;"תקין","; נדרש לעבוד על ההנגנה","")&amp;IF($AK1424&lt;&gt;"","; "&amp;$AK1424,""),3,400))</f>
        <v/>
      </c>
      <c r="AE1424" s="32">
        <f>IF($F1424="","",IF($F1424="תחילת שנה",1,IF($F1424="מחצית שנה",2,3)))</f>
        <v/>
      </c>
      <c r="AF1424" s="32">
        <f>IF(OR($B1424="",$AC1424="",$A1424="",$F1424=""),"",$B1424&amp;"|"&amp;$A1424&amp;"|"&amp;$F1424&amp;"|"&amp;$AC1424&amp;"|"&amp;COUNTIFS($B$6:$B1424,$B1424,$A$6:$A1424,$A1424,$F$6:$F1424,$F1424,$AC$6:$AC1424,$AC1424))</f>
        <v/>
      </c>
      <c r="AG1424" s="32">
        <f>IF($C1424="","",$C1424&amp;"|"&amp;COUNTIFS($C$6:$C1424,$C1424))</f>
        <v/>
      </c>
      <c r="AH1424" s="32">
        <f>IF(OR($C1424="",$A1424="",$AE1424=""),"",$C1424&amp;"|"&amp;$A1424&amp;"|"&amp;$AE1424)</f>
        <v/>
      </c>
      <c r="AI1424" s="32">
        <f>IF(OR($C1424="",$AE1424="",$AE1424=1),"",IFERROR(INDEX($AC$6:$AC$1505,MATCH($C1424&amp;"|"&amp;$A1424&amp;"|"&amp;($AE1424-1),$AH$6:$AH$1505,0)),""))</f>
        <v/>
      </c>
      <c r="AJ1424" s="32">
        <f>IF(OR($AI1424="",$AC1424=""),"",IF($AI1424=$AC1424,"ללא שינוי","מ-"&amp;$AI1424&amp;" ל-"&amp;$AC1424))</f>
        <v/>
      </c>
      <c r="AK1424" s="67" t="n"/>
    </row>
    <row r="1425">
      <c r="A1425" s="65" t="n"/>
      <c r="B1425" s="65" t="n"/>
      <c r="C1425" s="66" t="n"/>
      <c r="D1425" s="66" t="n"/>
      <c r="E1425" s="65" t="n"/>
      <c r="F1425" s="65" t="n"/>
      <c r="G1425" s="65" t="n"/>
      <c r="H1425" s="65" t="n"/>
      <c r="I1425" s="65" t="n"/>
      <c r="J1425" s="65" t="n"/>
      <c r="K1425" s="65" t="n"/>
      <c r="L1425" s="65" t="n"/>
      <c r="M1425" s="65" t="n"/>
      <c r="N1425" s="65" t="n"/>
      <c r="O1425" s="65" t="n"/>
      <c r="P1425" s="65" t="n"/>
      <c r="Q1425" s="65" t="n"/>
      <c r="R1425" s="65" t="n"/>
      <c r="S1425" s="65" t="n"/>
      <c r="T1425" s="65" t="n"/>
      <c r="U1425" s="65" t="n"/>
      <c r="V1425" s="65" t="n"/>
      <c r="W1425" s="65" t="n"/>
      <c r="X1425" s="65" t="n"/>
      <c r="Y1425" s="32">
        <f>IF($C1425="","",IF(COUNTA($I1425:$K1425)&lt;3,"— חסרים נתונים",IF(AND($I1425="תקין",$J1425="תקין",$K1425="תקין"),"רהוטה",IF(AND($I1425="תקין",$J1425="תקין"),"מדויקת ורציפה","אינה מדויקת או מקוטעת"))))</f>
        <v/>
      </c>
      <c r="Z1425" s="32">
        <f>IF($C1425="","",IF(COUNTA($U1425:$W1425)&lt;3,"",IF(AND($U1425="מפותח",$V1425="מפותח",$W1425="מפותחת"),"מפותחת",IF((--($U1425="דל"))+(--($V1425="אינו מפותח"))+(--($W1425="דלה"))&gt;=2,"אינה מפותחת","חלקית"))))</f>
        <v/>
      </c>
      <c r="AA1425" s="32">
        <f>IF($C1425="","",IF(COUNTA($M1425,$N1425,$O1425)&lt;3,"— חסרים נתונים",IF(OR($M1425="נמוכה",(--($M1425&lt;&gt;"תקינה"))+(--($N1425&lt;&gt;"תקין"))+(--($O1425&lt;&gt;"תקינה"))&gt;=2),"ניכרת","אינה ניכרת")))</f>
        <v/>
      </c>
      <c r="AB1425" s="32">
        <f>IF(OR($C1425="",$Y1425="",$AA1425="",LEFT($Y1425,1)="—",LEFT($AA1425,1)="—"),"",IF($Z1425="","— נדרשת הערכת כתיבה",IF($L1425="","— חסרה הבנת הנקרא",IF($Y1425="אינה מדויקת או מקוטעת",IF($AA1425="ניכרת","מיקוד בשטף הקריאה ובכישורי שפה","מיקוד בשטף קריאה"),IF($AA1425="ניכרת","מיקוד בכישורי שפה",IF(AND($L1425="תקינה",$Z1425="מפותחת"),"קוראים וכותבים מיומנים","מיקוד בהבנה והבעה"))))))</f>
        <v/>
      </c>
      <c r="AC1425" s="32">
        <f>IF(OR($AB1425="",LEFT($AB1425,1)="—"),"",IF(OR($AB1425="מיקוד בשטף קריאה",$AB1425="מיקוד בשטף הקריאה ובכישורי שפה"),"רמה א'",IF($AB1425="קוראים וכותבים מיומנים","רמה ג'","רמה ב'")))</f>
        <v/>
      </c>
      <c r="AD1425" s="32">
        <f>IF($AC1425="","",MID(IF(AND($AC1425="רמה א'",$AA1425="ניכרת"),"; להוסיף עבודת אוצר מילים","")&amp;IF($Z1425="אינה מפותחת","; דגש על הבעה בכתב","")&amp;IF($K1425&lt;&gt;"תקין","; נדרש לעבוד על ההנגנה","")&amp;IF($AK1425&lt;&gt;"","; "&amp;$AK1425,""),3,400))</f>
        <v/>
      </c>
      <c r="AE1425" s="32">
        <f>IF($F1425="","",IF($F1425="תחילת שנה",1,IF($F1425="מחצית שנה",2,3)))</f>
        <v/>
      </c>
      <c r="AF1425" s="32">
        <f>IF(OR($B1425="",$AC1425="",$A1425="",$F1425=""),"",$B1425&amp;"|"&amp;$A1425&amp;"|"&amp;$F1425&amp;"|"&amp;$AC1425&amp;"|"&amp;COUNTIFS($B$6:$B1425,$B1425,$A$6:$A1425,$A1425,$F$6:$F1425,$F1425,$AC$6:$AC1425,$AC1425))</f>
        <v/>
      </c>
      <c r="AG1425" s="32">
        <f>IF($C1425="","",$C1425&amp;"|"&amp;COUNTIFS($C$6:$C1425,$C1425))</f>
        <v/>
      </c>
      <c r="AH1425" s="32">
        <f>IF(OR($C1425="",$A1425="",$AE1425=""),"",$C1425&amp;"|"&amp;$A1425&amp;"|"&amp;$AE1425)</f>
        <v/>
      </c>
      <c r="AI1425" s="32">
        <f>IF(OR($C1425="",$AE1425="",$AE1425=1),"",IFERROR(INDEX($AC$6:$AC$1505,MATCH($C1425&amp;"|"&amp;$A1425&amp;"|"&amp;($AE1425-1),$AH$6:$AH$1505,0)),""))</f>
        <v/>
      </c>
      <c r="AJ1425" s="32">
        <f>IF(OR($AI1425="",$AC1425=""),"",IF($AI1425=$AC1425,"ללא שינוי","מ-"&amp;$AI1425&amp;" ל-"&amp;$AC1425))</f>
        <v/>
      </c>
      <c r="AK1425" s="67" t="n"/>
    </row>
    <row r="1426">
      <c r="A1426" s="65" t="n"/>
      <c r="B1426" s="65" t="n"/>
      <c r="C1426" s="66" t="n"/>
      <c r="D1426" s="66" t="n"/>
      <c r="E1426" s="65" t="n"/>
      <c r="F1426" s="65" t="n"/>
      <c r="G1426" s="65" t="n"/>
      <c r="H1426" s="65" t="n"/>
      <c r="I1426" s="65" t="n"/>
      <c r="J1426" s="65" t="n"/>
      <c r="K1426" s="65" t="n"/>
      <c r="L1426" s="65" t="n"/>
      <c r="M1426" s="65" t="n"/>
      <c r="N1426" s="65" t="n"/>
      <c r="O1426" s="65" t="n"/>
      <c r="P1426" s="65" t="n"/>
      <c r="Q1426" s="65" t="n"/>
      <c r="R1426" s="65" t="n"/>
      <c r="S1426" s="65" t="n"/>
      <c r="T1426" s="65" t="n"/>
      <c r="U1426" s="65" t="n"/>
      <c r="V1426" s="65" t="n"/>
      <c r="W1426" s="65" t="n"/>
      <c r="X1426" s="65" t="n"/>
      <c r="Y1426" s="32">
        <f>IF($C1426="","",IF(COUNTA($I1426:$K1426)&lt;3,"— חסרים נתונים",IF(AND($I1426="תקין",$J1426="תקין",$K1426="תקין"),"רהוטה",IF(AND($I1426="תקין",$J1426="תקין"),"מדויקת ורציפה","אינה מדויקת או מקוטעת"))))</f>
        <v/>
      </c>
      <c r="Z1426" s="32">
        <f>IF($C1426="","",IF(COUNTA($U1426:$W1426)&lt;3,"",IF(AND($U1426="מפותח",$V1426="מפותח",$W1426="מפותחת"),"מפותחת",IF((--($U1426="דל"))+(--($V1426="אינו מפותח"))+(--($W1426="דלה"))&gt;=2,"אינה מפותחת","חלקית"))))</f>
        <v/>
      </c>
      <c r="AA1426" s="32">
        <f>IF($C1426="","",IF(COUNTA($M1426,$N1426,$O1426)&lt;3,"— חסרים נתונים",IF(OR($M1426="נמוכה",(--($M1426&lt;&gt;"תקינה"))+(--($N1426&lt;&gt;"תקין"))+(--($O1426&lt;&gt;"תקינה"))&gt;=2),"ניכרת","אינה ניכרת")))</f>
        <v/>
      </c>
      <c r="AB1426" s="32">
        <f>IF(OR($C1426="",$Y1426="",$AA1426="",LEFT($Y1426,1)="—",LEFT($AA1426,1)="—"),"",IF($Z1426="","— נדרשת הערכת כתיבה",IF($L1426="","— חסרה הבנת הנקרא",IF($Y1426="אינה מדויקת או מקוטעת",IF($AA1426="ניכרת","מיקוד בשטף הקריאה ובכישורי שפה","מיקוד בשטף קריאה"),IF($AA1426="ניכרת","מיקוד בכישורי שפה",IF(AND($L1426="תקינה",$Z1426="מפותחת"),"קוראים וכותבים מיומנים","מיקוד בהבנה והבעה"))))))</f>
        <v/>
      </c>
      <c r="AC1426" s="32">
        <f>IF(OR($AB1426="",LEFT($AB1426,1)="—"),"",IF(OR($AB1426="מיקוד בשטף קריאה",$AB1426="מיקוד בשטף הקריאה ובכישורי שפה"),"רמה א'",IF($AB1426="קוראים וכותבים מיומנים","רמה ג'","רמה ב'")))</f>
        <v/>
      </c>
      <c r="AD1426" s="32">
        <f>IF($AC1426="","",MID(IF(AND($AC1426="רמה א'",$AA1426="ניכרת"),"; להוסיף עבודת אוצר מילים","")&amp;IF($Z1426="אינה מפותחת","; דגש על הבעה בכתב","")&amp;IF($K1426&lt;&gt;"תקין","; נדרש לעבוד על ההנגנה","")&amp;IF($AK1426&lt;&gt;"","; "&amp;$AK1426,""),3,400))</f>
        <v/>
      </c>
      <c r="AE1426" s="32">
        <f>IF($F1426="","",IF($F1426="תחילת שנה",1,IF($F1426="מחצית שנה",2,3)))</f>
        <v/>
      </c>
      <c r="AF1426" s="32">
        <f>IF(OR($B1426="",$AC1426="",$A1426="",$F1426=""),"",$B1426&amp;"|"&amp;$A1426&amp;"|"&amp;$F1426&amp;"|"&amp;$AC1426&amp;"|"&amp;COUNTIFS($B$6:$B1426,$B1426,$A$6:$A1426,$A1426,$F$6:$F1426,$F1426,$AC$6:$AC1426,$AC1426))</f>
        <v/>
      </c>
      <c r="AG1426" s="32">
        <f>IF($C1426="","",$C1426&amp;"|"&amp;COUNTIFS($C$6:$C1426,$C1426))</f>
        <v/>
      </c>
      <c r="AH1426" s="32">
        <f>IF(OR($C1426="",$A1426="",$AE1426=""),"",$C1426&amp;"|"&amp;$A1426&amp;"|"&amp;$AE1426)</f>
        <v/>
      </c>
      <c r="AI1426" s="32">
        <f>IF(OR($C1426="",$AE1426="",$AE1426=1),"",IFERROR(INDEX($AC$6:$AC$1505,MATCH($C1426&amp;"|"&amp;$A1426&amp;"|"&amp;($AE1426-1),$AH$6:$AH$1505,0)),""))</f>
        <v/>
      </c>
      <c r="AJ1426" s="32">
        <f>IF(OR($AI1426="",$AC1426=""),"",IF($AI1426=$AC1426,"ללא שינוי","מ-"&amp;$AI1426&amp;" ל-"&amp;$AC1426))</f>
        <v/>
      </c>
      <c r="AK1426" s="67" t="n"/>
    </row>
    <row r="1427">
      <c r="A1427" s="65" t="n"/>
      <c r="B1427" s="65" t="n"/>
      <c r="C1427" s="66" t="n"/>
      <c r="D1427" s="66" t="n"/>
      <c r="E1427" s="65" t="n"/>
      <c r="F1427" s="65" t="n"/>
      <c r="G1427" s="65" t="n"/>
      <c r="H1427" s="65" t="n"/>
      <c r="I1427" s="65" t="n"/>
      <c r="J1427" s="65" t="n"/>
      <c r="K1427" s="65" t="n"/>
      <c r="L1427" s="65" t="n"/>
      <c r="M1427" s="65" t="n"/>
      <c r="N1427" s="65" t="n"/>
      <c r="O1427" s="65" t="n"/>
      <c r="P1427" s="65" t="n"/>
      <c r="Q1427" s="65" t="n"/>
      <c r="R1427" s="65" t="n"/>
      <c r="S1427" s="65" t="n"/>
      <c r="T1427" s="65" t="n"/>
      <c r="U1427" s="65" t="n"/>
      <c r="V1427" s="65" t="n"/>
      <c r="W1427" s="65" t="n"/>
      <c r="X1427" s="65" t="n"/>
      <c r="Y1427" s="32">
        <f>IF($C1427="","",IF(COUNTA($I1427:$K1427)&lt;3,"— חסרים נתונים",IF(AND($I1427="תקין",$J1427="תקין",$K1427="תקין"),"רהוטה",IF(AND($I1427="תקין",$J1427="תקין"),"מדויקת ורציפה","אינה מדויקת או מקוטעת"))))</f>
        <v/>
      </c>
      <c r="Z1427" s="32">
        <f>IF($C1427="","",IF(COUNTA($U1427:$W1427)&lt;3,"",IF(AND($U1427="מפותח",$V1427="מפותח",$W1427="מפותחת"),"מפותחת",IF((--($U1427="דל"))+(--($V1427="אינו מפותח"))+(--($W1427="דלה"))&gt;=2,"אינה מפותחת","חלקית"))))</f>
        <v/>
      </c>
      <c r="AA1427" s="32">
        <f>IF($C1427="","",IF(COUNTA($M1427,$N1427,$O1427)&lt;3,"— חסרים נתונים",IF(OR($M1427="נמוכה",(--($M1427&lt;&gt;"תקינה"))+(--($N1427&lt;&gt;"תקין"))+(--($O1427&lt;&gt;"תקינה"))&gt;=2),"ניכרת","אינה ניכרת")))</f>
        <v/>
      </c>
      <c r="AB1427" s="32">
        <f>IF(OR($C1427="",$Y1427="",$AA1427="",LEFT($Y1427,1)="—",LEFT($AA1427,1)="—"),"",IF($Z1427="","— נדרשת הערכת כתיבה",IF($L1427="","— חסרה הבנת הנקרא",IF($Y1427="אינה מדויקת או מקוטעת",IF($AA1427="ניכרת","מיקוד בשטף הקריאה ובכישורי שפה","מיקוד בשטף קריאה"),IF($AA1427="ניכרת","מיקוד בכישורי שפה",IF(AND($L1427="תקינה",$Z1427="מפותחת"),"קוראים וכותבים מיומנים","מיקוד בהבנה והבעה"))))))</f>
        <v/>
      </c>
      <c r="AC1427" s="32">
        <f>IF(OR($AB1427="",LEFT($AB1427,1)="—"),"",IF(OR($AB1427="מיקוד בשטף קריאה",$AB1427="מיקוד בשטף הקריאה ובכישורי שפה"),"רמה א'",IF($AB1427="קוראים וכותבים מיומנים","רמה ג'","רמה ב'")))</f>
        <v/>
      </c>
      <c r="AD1427" s="32">
        <f>IF($AC1427="","",MID(IF(AND($AC1427="רמה א'",$AA1427="ניכרת"),"; להוסיף עבודת אוצר מילים","")&amp;IF($Z1427="אינה מפותחת","; דגש על הבעה בכתב","")&amp;IF($K1427&lt;&gt;"תקין","; נדרש לעבוד על ההנגנה","")&amp;IF($AK1427&lt;&gt;"","; "&amp;$AK1427,""),3,400))</f>
        <v/>
      </c>
      <c r="AE1427" s="32">
        <f>IF($F1427="","",IF($F1427="תחילת שנה",1,IF($F1427="מחצית שנה",2,3)))</f>
        <v/>
      </c>
      <c r="AF1427" s="32">
        <f>IF(OR($B1427="",$AC1427="",$A1427="",$F1427=""),"",$B1427&amp;"|"&amp;$A1427&amp;"|"&amp;$F1427&amp;"|"&amp;$AC1427&amp;"|"&amp;COUNTIFS($B$6:$B1427,$B1427,$A$6:$A1427,$A1427,$F$6:$F1427,$F1427,$AC$6:$AC1427,$AC1427))</f>
        <v/>
      </c>
      <c r="AG1427" s="32">
        <f>IF($C1427="","",$C1427&amp;"|"&amp;COUNTIFS($C$6:$C1427,$C1427))</f>
        <v/>
      </c>
      <c r="AH1427" s="32">
        <f>IF(OR($C1427="",$A1427="",$AE1427=""),"",$C1427&amp;"|"&amp;$A1427&amp;"|"&amp;$AE1427)</f>
        <v/>
      </c>
      <c r="AI1427" s="32">
        <f>IF(OR($C1427="",$AE1427="",$AE1427=1),"",IFERROR(INDEX($AC$6:$AC$1505,MATCH($C1427&amp;"|"&amp;$A1427&amp;"|"&amp;($AE1427-1),$AH$6:$AH$1505,0)),""))</f>
        <v/>
      </c>
      <c r="AJ1427" s="32">
        <f>IF(OR($AI1427="",$AC1427=""),"",IF($AI1427=$AC1427,"ללא שינוי","מ-"&amp;$AI1427&amp;" ל-"&amp;$AC1427))</f>
        <v/>
      </c>
      <c r="AK1427" s="67" t="n"/>
    </row>
    <row r="1428">
      <c r="A1428" s="65" t="n"/>
      <c r="B1428" s="65" t="n"/>
      <c r="C1428" s="66" t="n"/>
      <c r="D1428" s="66" t="n"/>
      <c r="E1428" s="65" t="n"/>
      <c r="F1428" s="65" t="n"/>
      <c r="G1428" s="65" t="n"/>
      <c r="H1428" s="65" t="n"/>
      <c r="I1428" s="65" t="n"/>
      <c r="J1428" s="65" t="n"/>
      <c r="K1428" s="65" t="n"/>
      <c r="L1428" s="65" t="n"/>
      <c r="M1428" s="65" t="n"/>
      <c r="N1428" s="65" t="n"/>
      <c r="O1428" s="65" t="n"/>
      <c r="P1428" s="65" t="n"/>
      <c r="Q1428" s="65" t="n"/>
      <c r="R1428" s="65" t="n"/>
      <c r="S1428" s="65" t="n"/>
      <c r="T1428" s="65" t="n"/>
      <c r="U1428" s="65" t="n"/>
      <c r="V1428" s="65" t="n"/>
      <c r="W1428" s="65" t="n"/>
      <c r="X1428" s="65" t="n"/>
      <c r="Y1428" s="32">
        <f>IF($C1428="","",IF(COUNTA($I1428:$K1428)&lt;3,"— חסרים נתונים",IF(AND($I1428="תקין",$J1428="תקין",$K1428="תקין"),"רהוטה",IF(AND($I1428="תקין",$J1428="תקין"),"מדויקת ורציפה","אינה מדויקת או מקוטעת"))))</f>
        <v/>
      </c>
      <c r="Z1428" s="32">
        <f>IF($C1428="","",IF(COUNTA($U1428:$W1428)&lt;3,"",IF(AND($U1428="מפותח",$V1428="מפותח",$W1428="מפותחת"),"מפותחת",IF((--($U1428="דל"))+(--($V1428="אינו מפותח"))+(--($W1428="דלה"))&gt;=2,"אינה מפותחת","חלקית"))))</f>
        <v/>
      </c>
      <c r="AA1428" s="32">
        <f>IF($C1428="","",IF(COUNTA($M1428,$N1428,$O1428)&lt;3,"— חסרים נתונים",IF(OR($M1428="נמוכה",(--($M1428&lt;&gt;"תקינה"))+(--($N1428&lt;&gt;"תקין"))+(--($O1428&lt;&gt;"תקינה"))&gt;=2),"ניכרת","אינה ניכרת")))</f>
        <v/>
      </c>
      <c r="AB1428" s="32">
        <f>IF(OR($C1428="",$Y1428="",$AA1428="",LEFT($Y1428,1)="—",LEFT($AA1428,1)="—"),"",IF($Z1428="","— נדרשת הערכת כתיבה",IF($L1428="","— חסרה הבנת הנקרא",IF($Y1428="אינה מדויקת או מקוטעת",IF($AA1428="ניכרת","מיקוד בשטף הקריאה ובכישורי שפה","מיקוד בשטף קריאה"),IF($AA1428="ניכרת","מיקוד בכישורי שפה",IF(AND($L1428="תקינה",$Z1428="מפותחת"),"קוראים וכותבים מיומנים","מיקוד בהבנה והבעה"))))))</f>
        <v/>
      </c>
      <c r="AC1428" s="32">
        <f>IF(OR($AB1428="",LEFT($AB1428,1)="—"),"",IF(OR($AB1428="מיקוד בשטף קריאה",$AB1428="מיקוד בשטף הקריאה ובכישורי שפה"),"רמה א'",IF($AB1428="קוראים וכותבים מיומנים","רמה ג'","רמה ב'")))</f>
        <v/>
      </c>
      <c r="AD1428" s="32">
        <f>IF($AC1428="","",MID(IF(AND($AC1428="רמה א'",$AA1428="ניכרת"),"; להוסיף עבודת אוצר מילים","")&amp;IF($Z1428="אינה מפותחת","; דגש על הבעה בכתב","")&amp;IF($K1428&lt;&gt;"תקין","; נדרש לעבוד על ההנגנה","")&amp;IF($AK1428&lt;&gt;"","; "&amp;$AK1428,""),3,400))</f>
        <v/>
      </c>
      <c r="AE1428" s="32">
        <f>IF($F1428="","",IF($F1428="תחילת שנה",1,IF($F1428="מחצית שנה",2,3)))</f>
        <v/>
      </c>
      <c r="AF1428" s="32">
        <f>IF(OR($B1428="",$AC1428="",$A1428="",$F1428=""),"",$B1428&amp;"|"&amp;$A1428&amp;"|"&amp;$F1428&amp;"|"&amp;$AC1428&amp;"|"&amp;COUNTIFS($B$6:$B1428,$B1428,$A$6:$A1428,$A1428,$F$6:$F1428,$F1428,$AC$6:$AC1428,$AC1428))</f>
        <v/>
      </c>
      <c r="AG1428" s="32">
        <f>IF($C1428="","",$C1428&amp;"|"&amp;COUNTIFS($C$6:$C1428,$C1428))</f>
        <v/>
      </c>
      <c r="AH1428" s="32">
        <f>IF(OR($C1428="",$A1428="",$AE1428=""),"",$C1428&amp;"|"&amp;$A1428&amp;"|"&amp;$AE1428)</f>
        <v/>
      </c>
      <c r="AI1428" s="32">
        <f>IF(OR($C1428="",$AE1428="",$AE1428=1),"",IFERROR(INDEX($AC$6:$AC$1505,MATCH($C1428&amp;"|"&amp;$A1428&amp;"|"&amp;($AE1428-1),$AH$6:$AH$1505,0)),""))</f>
        <v/>
      </c>
      <c r="AJ1428" s="32">
        <f>IF(OR($AI1428="",$AC1428=""),"",IF($AI1428=$AC1428,"ללא שינוי","מ-"&amp;$AI1428&amp;" ל-"&amp;$AC1428))</f>
        <v/>
      </c>
      <c r="AK1428" s="67" t="n"/>
    </row>
    <row r="1429">
      <c r="A1429" s="65" t="n"/>
      <c r="B1429" s="65" t="n"/>
      <c r="C1429" s="66" t="n"/>
      <c r="D1429" s="66" t="n"/>
      <c r="E1429" s="65" t="n"/>
      <c r="F1429" s="65" t="n"/>
      <c r="G1429" s="65" t="n"/>
      <c r="H1429" s="65" t="n"/>
      <c r="I1429" s="65" t="n"/>
      <c r="J1429" s="65" t="n"/>
      <c r="K1429" s="65" t="n"/>
      <c r="L1429" s="65" t="n"/>
      <c r="M1429" s="65" t="n"/>
      <c r="N1429" s="65" t="n"/>
      <c r="O1429" s="65" t="n"/>
      <c r="P1429" s="65" t="n"/>
      <c r="Q1429" s="65" t="n"/>
      <c r="R1429" s="65" t="n"/>
      <c r="S1429" s="65" t="n"/>
      <c r="T1429" s="65" t="n"/>
      <c r="U1429" s="65" t="n"/>
      <c r="V1429" s="65" t="n"/>
      <c r="W1429" s="65" t="n"/>
      <c r="X1429" s="65" t="n"/>
      <c r="Y1429" s="32">
        <f>IF($C1429="","",IF(COUNTA($I1429:$K1429)&lt;3,"— חסרים נתונים",IF(AND($I1429="תקין",$J1429="תקין",$K1429="תקין"),"רהוטה",IF(AND($I1429="תקין",$J1429="תקין"),"מדויקת ורציפה","אינה מדויקת או מקוטעת"))))</f>
        <v/>
      </c>
      <c r="Z1429" s="32">
        <f>IF($C1429="","",IF(COUNTA($U1429:$W1429)&lt;3,"",IF(AND($U1429="מפותח",$V1429="מפותח",$W1429="מפותחת"),"מפותחת",IF((--($U1429="דל"))+(--($V1429="אינו מפותח"))+(--($W1429="דלה"))&gt;=2,"אינה מפותחת","חלקית"))))</f>
        <v/>
      </c>
      <c r="AA1429" s="32">
        <f>IF($C1429="","",IF(COUNTA($M1429,$N1429,$O1429)&lt;3,"— חסרים נתונים",IF(OR($M1429="נמוכה",(--($M1429&lt;&gt;"תקינה"))+(--($N1429&lt;&gt;"תקין"))+(--($O1429&lt;&gt;"תקינה"))&gt;=2),"ניכרת","אינה ניכרת")))</f>
        <v/>
      </c>
      <c r="AB1429" s="32">
        <f>IF(OR($C1429="",$Y1429="",$AA1429="",LEFT($Y1429,1)="—",LEFT($AA1429,1)="—"),"",IF($Z1429="","— נדרשת הערכת כתיבה",IF($L1429="","— חסרה הבנת הנקרא",IF($Y1429="אינה מדויקת או מקוטעת",IF($AA1429="ניכרת","מיקוד בשטף הקריאה ובכישורי שפה","מיקוד בשטף קריאה"),IF($AA1429="ניכרת","מיקוד בכישורי שפה",IF(AND($L1429="תקינה",$Z1429="מפותחת"),"קוראים וכותבים מיומנים","מיקוד בהבנה והבעה"))))))</f>
        <v/>
      </c>
      <c r="AC1429" s="32">
        <f>IF(OR($AB1429="",LEFT($AB1429,1)="—"),"",IF(OR($AB1429="מיקוד בשטף קריאה",$AB1429="מיקוד בשטף הקריאה ובכישורי שפה"),"רמה א'",IF($AB1429="קוראים וכותבים מיומנים","רמה ג'","רמה ב'")))</f>
        <v/>
      </c>
      <c r="AD1429" s="32">
        <f>IF($AC1429="","",MID(IF(AND($AC1429="רמה א'",$AA1429="ניכרת"),"; להוסיף עבודת אוצר מילים","")&amp;IF($Z1429="אינה מפותחת","; דגש על הבעה בכתב","")&amp;IF($K1429&lt;&gt;"תקין","; נדרש לעבוד על ההנגנה","")&amp;IF($AK1429&lt;&gt;"","; "&amp;$AK1429,""),3,400))</f>
        <v/>
      </c>
      <c r="AE1429" s="32">
        <f>IF($F1429="","",IF($F1429="תחילת שנה",1,IF($F1429="מחצית שנה",2,3)))</f>
        <v/>
      </c>
      <c r="AF1429" s="32">
        <f>IF(OR($B1429="",$AC1429="",$A1429="",$F1429=""),"",$B1429&amp;"|"&amp;$A1429&amp;"|"&amp;$F1429&amp;"|"&amp;$AC1429&amp;"|"&amp;COUNTIFS($B$6:$B1429,$B1429,$A$6:$A1429,$A1429,$F$6:$F1429,$F1429,$AC$6:$AC1429,$AC1429))</f>
        <v/>
      </c>
      <c r="AG1429" s="32">
        <f>IF($C1429="","",$C1429&amp;"|"&amp;COUNTIFS($C$6:$C1429,$C1429))</f>
        <v/>
      </c>
      <c r="AH1429" s="32">
        <f>IF(OR($C1429="",$A1429="",$AE1429=""),"",$C1429&amp;"|"&amp;$A1429&amp;"|"&amp;$AE1429)</f>
        <v/>
      </c>
      <c r="AI1429" s="32">
        <f>IF(OR($C1429="",$AE1429="",$AE1429=1),"",IFERROR(INDEX($AC$6:$AC$1505,MATCH($C1429&amp;"|"&amp;$A1429&amp;"|"&amp;($AE1429-1),$AH$6:$AH$1505,0)),""))</f>
        <v/>
      </c>
      <c r="AJ1429" s="32">
        <f>IF(OR($AI1429="",$AC1429=""),"",IF($AI1429=$AC1429,"ללא שינוי","מ-"&amp;$AI1429&amp;" ל-"&amp;$AC1429))</f>
        <v/>
      </c>
      <c r="AK1429" s="67" t="n"/>
    </row>
    <row r="1430">
      <c r="A1430" s="65" t="n"/>
      <c r="B1430" s="65" t="n"/>
      <c r="C1430" s="66" t="n"/>
      <c r="D1430" s="66" t="n"/>
      <c r="E1430" s="65" t="n"/>
      <c r="F1430" s="65" t="n"/>
      <c r="G1430" s="65" t="n"/>
      <c r="H1430" s="65" t="n"/>
      <c r="I1430" s="65" t="n"/>
      <c r="J1430" s="65" t="n"/>
      <c r="K1430" s="65" t="n"/>
      <c r="L1430" s="65" t="n"/>
      <c r="M1430" s="65" t="n"/>
      <c r="N1430" s="65" t="n"/>
      <c r="O1430" s="65" t="n"/>
      <c r="P1430" s="65" t="n"/>
      <c r="Q1430" s="65" t="n"/>
      <c r="R1430" s="65" t="n"/>
      <c r="S1430" s="65" t="n"/>
      <c r="T1430" s="65" t="n"/>
      <c r="U1430" s="65" t="n"/>
      <c r="V1430" s="65" t="n"/>
      <c r="W1430" s="65" t="n"/>
      <c r="X1430" s="65" t="n"/>
      <c r="Y1430" s="32">
        <f>IF($C1430="","",IF(COUNTA($I1430:$K1430)&lt;3,"— חסרים נתונים",IF(AND($I1430="תקין",$J1430="תקין",$K1430="תקין"),"רהוטה",IF(AND($I1430="תקין",$J1430="תקין"),"מדויקת ורציפה","אינה מדויקת או מקוטעת"))))</f>
        <v/>
      </c>
      <c r="Z1430" s="32">
        <f>IF($C1430="","",IF(COUNTA($U1430:$W1430)&lt;3,"",IF(AND($U1430="מפותח",$V1430="מפותח",$W1430="מפותחת"),"מפותחת",IF((--($U1430="דל"))+(--($V1430="אינו מפותח"))+(--($W1430="דלה"))&gt;=2,"אינה מפותחת","חלקית"))))</f>
        <v/>
      </c>
      <c r="AA1430" s="32">
        <f>IF($C1430="","",IF(COUNTA($M1430,$N1430,$O1430)&lt;3,"— חסרים נתונים",IF(OR($M1430="נמוכה",(--($M1430&lt;&gt;"תקינה"))+(--($N1430&lt;&gt;"תקין"))+(--($O1430&lt;&gt;"תקינה"))&gt;=2),"ניכרת","אינה ניכרת")))</f>
        <v/>
      </c>
      <c r="AB1430" s="32">
        <f>IF(OR($C1430="",$Y1430="",$AA1430="",LEFT($Y1430,1)="—",LEFT($AA1430,1)="—"),"",IF($Z1430="","— נדרשת הערכת כתיבה",IF($L1430="","— חסרה הבנת הנקרא",IF($Y1430="אינה מדויקת או מקוטעת",IF($AA1430="ניכרת","מיקוד בשטף הקריאה ובכישורי שפה","מיקוד בשטף קריאה"),IF($AA1430="ניכרת","מיקוד בכישורי שפה",IF(AND($L1430="תקינה",$Z1430="מפותחת"),"קוראים וכותבים מיומנים","מיקוד בהבנה והבעה"))))))</f>
        <v/>
      </c>
      <c r="AC1430" s="32">
        <f>IF(OR($AB1430="",LEFT($AB1430,1)="—"),"",IF(OR($AB1430="מיקוד בשטף קריאה",$AB1430="מיקוד בשטף הקריאה ובכישורי שפה"),"רמה א'",IF($AB1430="קוראים וכותבים מיומנים","רמה ג'","רמה ב'")))</f>
        <v/>
      </c>
      <c r="AD1430" s="32">
        <f>IF($AC1430="","",MID(IF(AND($AC1430="רמה א'",$AA1430="ניכרת"),"; להוסיף עבודת אוצר מילים","")&amp;IF($Z1430="אינה מפותחת","; דגש על הבעה בכתב","")&amp;IF($K1430&lt;&gt;"תקין","; נדרש לעבוד על ההנגנה","")&amp;IF($AK1430&lt;&gt;"","; "&amp;$AK1430,""),3,400))</f>
        <v/>
      </c>
      <c r="AE1430" s="32">
        <f>IF($F1430="","",IF($F1430="תחילת שנה",1,IF($F1430="מחצית שנה",2,3)))</f>
        <v/>
      </c>
      <c r="AF1430" s="32">
        <f>IF(OR($B1430="",$AC1430="",$A1430="",$F1430=""),"",$B1430&amp;"|"&amp;$A1430&amp;"|"&amp;$F1430&amp;"|"&amp;$AC1430&amp;"|"&amp;COUNTIFS($B$6:$B1430,$B1430,$A$6:$A1430,$A1430,$F$6:$F1430,$F1430,$AC$6:$AC1430,$AC1430))</f>
        <v/>
      </c>
      <c r="AG1430" s="32">
        <f>IF($C1430="","",$C1430&amp;"|"&amp;COUNTIFS($C$6:$C1430,$C1430))</f>
        <v/>
      </c>
      <c r="AH1430" s="32">
        <f>IF(OR($C1430="",$A1430="",$AE1430=""),"",$C1430&amp;"|"&amp;$A1430&amp;"|"&amp;$AE1430)</f>
        <v/>
      </c>
      <c r="AI1430" s="32">
        <f>IF(OR($C1430="",$AE1430="",$AE1430=1),"",IFERROR(INDEX($AC$6:$AC$1505,MATCH($C1430&amp;"|"&amp;$A1430&amp;"|"&amp;($AE1430-1),$AH$6:$AH$1505,0)),""))</f>
        <v/>
      </c>
      <c r="AJ1430" s="32">
        <f>IF(OR($AI1430="",$AC1430=""),"",IF($AI1430=$AC1430,"ללא שינוי","מ-"&amp;$AI1430&amp;" ל-"&amp;$AC1430))</f>
        <v/>
      </c>
      <c r="AK1430" s="67" t="n"/>
    </row>
    <row r="1431">
      <c r="A1431" s="65" t="n"/>
      <c r="B1431" s="65" t="n"/>
      <c r="C1431" s="66" t="n"/>
      <c r="D1431" s="66" t="n"/>
      <c r="E1431" s="65" t="n"/>
      <c r="F1431" s="65" t="n"/>
      <c r="G1431" s="65" t="n"/>
      <c r="H1431" s="65" t="n"/>
      <c r="I1431" s="65" t="n"/>
      <c r="J1431" s="65" t="n"/>
      <c r="K1431" s="65" t="n"/>
      <c r="L1431" s="65" t="n"/>
      <c r="M1431" s="65" t="n"/>
      <c r="N1431" s="65" t="n"/>
      <c r="O1431" s="65" t="n"/>
      <c r="P1431" s="65" t="n"/>
      <c r="Q1431" s="65" t="n"/>
      <c r="R1431" s="65" t="n"/>
      <c r="S1431" s="65" t="n"/>
      <c r="T1431" s="65" t="n"/>
      <c r="U1431" s="65" t="n"/>
      <c r="V1431" s="65" t="n"/>
      <c r="W1431" s="65" t="n"/>
      <c r="X1431" s="65" t="n"/>
      <c r="Y1431" s="32">
        <f>IF($C1431="","",IF(COUNTA($I1431:$K1431)&lt;3,"— חסרים נתונים",IF(AND($I1431="תקין",$J1431="תקין",$K1431="תקין"),"רהוטה",IF(AND($I1431="תקין",$J1431="תקין"),"מדויקת ורציפה","אינה מדויקת או מקוטעת"))))</f>
        <v/>
      </c>
      <c r="Z1431" s="32">
        <f>IF($C1431="","",IF(COUNTA($U1431:$W1431)&lt;3,"",IF(AND($U1431="מפותח",$V1431="מפותח",$W1431="מפותחת"),"מפותחת",IF((--($U1431="דל"))+(--($V1431="אינו מפותח"))+(--($W1431="דלה"))&gt;=2,"אינה מפותחת","חלקית"))))</f>
        <v/>
      </c>
      <c r="AA1431" s="32">
        <f>IF($C1431="","",IF(COUNTA($M1431,$N1431,$O1431)&lt;3,"— חסרים נתונים",IF(OR($M1431="נמוכה",(--($M1431&lt;&gt;"תקינה"))+(--($N1431&lt;&gt;"תקין"))+(--($O1431&lt;&gt;"תקינה"))&gt;=2),"ניכרת","אינה ניכרת")))</f>
        <v/>
      </c>
      <c r="AB1431" s="32">
        <f>IF(OR($C1431="",$Y1431="",$AA1431="",LEFT($Y1431,1)="—",LEFT($AA1431,1)="—"),"",IF($Z1431="","— נדרשת הערכת כתיבה",IF($L1431="","— חסרה הבנת הנקרא",IF($Y1431="אינה מדויקת או מקוטעת",IF($AA1431="ניכרת","מיקוד בשטף הקריאה ובכישורי שפה","מיקוד בשטף קריאה"),IF($AA1431="ניכרת","מיקוד בכישורי שפה",IF(AND($L1431="תקינה",$Z1431="מפותחת"),"קוראים וכותבים מיומנים","מיקוד בהבנה והבעה"))))))</f>
        <v/>
      </c>
      <c r="AC1431" s="32">
        <f>IF(OR($AB1431="",LEFT($AB1431,1)="—"),"",IF(OR($AB1431="מיקוד בשטף קריאה",$AB1431="מיקוד בשטף הקריאה ובכישורי שפה"),"רמה א'",IF($AB1431="קוראים וכותבים מיומנים","רמה ג'","רמה ב'")))</f>
        <v/>
      </c>
      <c r="AD1431" s="32">
        <f>IF($AC1431="","",MID(IF(AND($AC1431="רמה א'",$AA1431="ניכרת"),"; להוסיף עבודת אוצר מילים","")&amp;IF($Z1431="אינה מפותחת","; דגש על הבעה בכתב","")&amp;IF($K1431&lt;&gt;"תקין","; נדרש לעבוד על ההנגנה","")&amp;IF($AK1431&lt;&gt;"","; "&amp;$AK1431,""),3,400))</f>
        <v/>
      </c>
      <c r="AE1431" s="32">
        <f>IF($F1431="","",IF($F1431="תחילת שנה",1,IF($F1431="מחצית שנה",2,3)))</f>
        <v/>
      </c>
      <c r="AF1431" s="32">
        <f>IF(OR($B1431="",$AC1431="",$A1431="",$F1431=""),"",$B1431&amp;"|"&amp;$A1431&amp;"|"&amp;$F1431&amp;"|"&amp;$AC1431&amp;"|"&amp;COUNTIFS($B$6:$B1431,$B1431,$A$6:$A1431,$A1431,$F$6:$F1431,$F1431,$AC$6:$AC1431,$AC1431))</f>
        <v/>
      </c>
      <c r="AG1431" s="32">
        <f>IF($C1431="","",$C1431&amp;"|"&amp;COUNTIFS($C$6:$C1431,$C1431))</f>
        <v/>
      </c>
      <c r="AH1431" s="32">
        <f>IF(OR($C1431="",$A1431="",$AE1431=""),"",$C1431&amp;"|"&amp;$A1431&amp;"|"&amp;$AE1431)</f>
        <v/>
      </c>
      <c r="AI1431" s="32">
        <f>IF(OR($C1431="",$AE1431="",$AE1431=1),"",IFERROR(INDEX($AC$6:$AC$1505,MATCH($C1431&amp;"|"&amp;$A1431&amp;"|"&amp;($AE1431-1),$AH$6:$AH$1505,0)),""))</f>
        <v/>
      </c>
      <c r="AJ1431" s="32">
        <f>IF(OR($AI1431="",$AC1431=""),"",IF($AI1431=$AC1431,"ללא שינוי","מ-"&amp;$AI1431&amp;" ל-"&amp;$AC1431))</f>
        <v/>
      </c>
      <c r="AK1431" s="67" t="n"/>
    </row>
    <row r="1432">
      <c r="A1432" s="65" t="n"/>
      <c r="B1432" s="65" t="n"/>
      <c r="C1432" s="66" t="n"/>
      <c r="D1432" s="66" t="n"/>
      <c r="E1432" s="65" t="n"/>
      <c r="F1432" s="65" t="n"/>
      <c r="G1432" s="65" t="n"/>
      <c r="H1432" s="65" t="n"/>
      <c r="I1432" s="65" t="n"/>
      <c r="J1432" s="65" t="n"/>
      <c r="K1432" s="65" t="n"/>
      <c r="L1432" s="65" t="n"/>
      <c r="M1432" s="65" t="n"/>
      <c r="N1432" s="65" t="n"/>
      <c r="O1432" s="65" t="n"/>
      <c r="P1432" s="65" t="n"/>
      <c r="Q1432" s="65" t="n"/>
      <c r="R1432" s="65" t="n"/>
      <c r="S1432" s="65" t="n"/>
      <c r="T1432" s="65" t="n"/>
      <c r="U1432" s="65" t="n"/>
      <c r="V1432" s="65" t="n"/>
      <c r="W1432" s="65" t="n"/>
      <c r="X1432" s="65" t="n"/>
      <c r="Y1432" s="32">
        <f>IF($C1432="","",IF(COUNTA($I1432:$K1432)&lt;3,"— חסרים נתונים",IF(AND($I1432="תקין",$J1432="תקין",$K1432="תקין"),"רהוטה",IF(AND($I1432="תקין",$J1432="תקין"),"מדויקת ורציפה","אינה מדויקת או מקוטעת"))))</f>
        <v/>
      </c>
      <c r="Z1432" s="32">
        <f>IF($C1432="","",IF(COUNTA($U1432:$W1432)&lt;3,"",IF(AND($U1432="מפותח",$V1432="מפותח",$W1432="מפותחת"),"מפותחת",IF((--($U1432="דל"))+(--($V1432="אינו מפותח"))+(--($W1432="דלה"))&gt;=2,"אינה מפותחת","חלקית"))))</f>
        <v/>
      </c>
      <c r="AA1432" s="32">
        <f>IF($C1432="","",IF(COUNTA($M1432,$N1432,$O1432)&lt;3,"— חסרים נתונים",IF(OR($M1432="נמוכה",(--($M1432&lt;&gt;"תקינה"))+(--($N1432&lt;&gt;"תקין"))+(--($O1432&lt;&gt;"תקינה"))&gt;=2),"ניכרת","אינה ניכרת")))</f>
        <v/>
      </c>
      <c r="AB1432" s="32">
        <f>IF(OR($C1432="",$Y1432="",$AA1432="",LEFT($Y1432,1)="—",LEFT($AA1432,1)="—"),"",IF($Z1432="","— נדרשת הערכת כתיבה",IF($L1432="","— חסרה הבנת הנקרא",IF($Y1432="אינה מדויקת או מקוטעת",IF($AA1432="ניכרת","מיקוד בשטף הקריאה ובכישורי שפה","מיקוד בשטף קריאה"),IF($AA1432="ניכרת","מיקוד בכישורי שפה",IF(AND($L1432="תקינה",$Z1432="מפותחת"),"קוראים וכותבים מיומנים","מיקוד בהבנה והבעה"))))))</f>
        <v/>
      </c>
      <c r="AC1432" s="32">
        <f>IF(OR($AB1432="",LEFT($AB1432,1)="—"),"",IF(OR($AB1432="מיקוד בשטף קריאה",$AB1432="מיקוד בשטף הקריאה ובכישורי שפה"),"רמה א'",IF($AB1432="קוראים וכותבים מיומנים","רמה ג'","רמה ב'")))</f>
        <v/>
      </c>
      <c r="AD1432" s="32">
        <f>IF($AC1432="","",MID(IF(AND($AC1432="רמה א'",$AA1432="ניכרת"),"; להוסיף עבודת אוצר מילים","")&amp;IF($Z1432="אינה מפותחת","; דגש על הבעה בכתב","")&amp;IF($K1432&lt;&gt;"תקין","; נדרש לעבוד על ההנגנה","")&amp;IF($AK1432&lt;&gt;"","; "&amp;$AK1432,""),3,400))</f>
        <v/>
      </c>
      <c r="AE1432" s="32">
        <f>IF($F1432="","",IF($F1432="תחילת שנה",1,IF($F1432="מחצית שנה",2,3)))</f>
        <v/>
      </c>
      <c r="AF1432" s="32">
        <f>IF(OR($B1432="",$AC1432="",$A1432="",$F1432=""),"",$B1432&amp;"|"&amp;$A1432&amp;"|"&amp;$F1432&amp;"|"&amp;$AC1432&amp;"|"&amp;COUNTIFS($B$6:$B1432,$B1432,$A$6:$A1432,$A1432,$F$6:$F1432,$F1432,$AC$6:$AC1432,$AC1432))</f>
        <v/>
      </c>
      <c r="AG1432" s="32">
        <f>IF($C1432="","",$C1432&amp;"|"&amp;COUNTIFS($C$6:$C1432,$C1432))</f>
        <v/>
      </c>
      <c r="AH1432" s="32">
        <f>IF(OR($C1432="",$A1432="",$AE1432=""),"",$C1432&amp;"|"&amp;$A1432&amp;"|"&amp;$AE1432)</f>
        <v/>
      </c>
      <c r="AI1432" s="32">
        <f>IF(OR($C1432="",$AE1432="",$AE1432=1),"",IFERROR(INDEX($AC$6:$AC$1505,MATCH($C1432&amp;"|"&amp;$A1432&amp;"|"&amp;($AE1432-1),$AH$6:$AH$1505,0)),""))</f>
        <v/>
      </c>
      <c r="AJ1432" s="32">
        <f>IF(OR($AI1432="",$AC1432=""),"",IF($AI1432=$AC1432,"ללא שינוי","מ-"&amp;$AI1432&amp;" ל-"&amp;$AC1432))</f>
        <v/>
      </c>
      <c r="AK1432" s="67" t="n"/>
    </row>
    <row r="1433">
      <c r="A1433" s="65" t="n"/>
      <c r="B1433" s="65" t="n"/>
      <c r="C1433" s="66" t="n"/>
      <c r="D1433" s="66" t="n"/>
      <c r="E1433" s="65" t="n"/>
      <c r="F1433" s="65" t="n"/>
      <c r="G1433" s="65" t="n"/>
      <c r="H1433" s="65" t="n"/>
      <c r="I1433" s="65" t="n"/>
      <c r="J1433" s="65" t="n"/>
      <c r="K1433" s="65" t="n"/>
      <c r="L1433" s="65" t="n"/>
      <c r="M1433" s="65" t="n"/>
      <c r="N1433" s="65" t="n"/>
      <c r="O1433" s="65" t="n"/>
      <c r="P1433" s="65" t="n"/>
      <c r="Q1433" s="65" t="n"/>
      <c r="R1433" s="65" t="n"/>
      <c r="S1433" s="65" t="n"/>
      <c r="T1433" s="65" t="n"/>
      <c r="U1433" s="65" t="n"/>
      <c r="V1433" s="65" t="n"/>
      <c r="W1433" s="65" t="n"/>
      <c r="X1433" s="65" t="n"/>
      <c r="Y1433" s="32">
        <f>IF($C1433="","",IF(COUNTA($I1433:$K1433)&lt;3,"— חסרים נתונים",IF(AND($I1433="תקין",$J1433="תקין",$K1433="תקין"),"רהוטה",IF(AND($I1433="תקין",$J1433="תקין"),"מדויקת ורציפה","אינה מדויקת או מקוטעת"))))</f>
        <v/>
      </c>
      <c r="Z1433" s="32">
        <f>IF($C1433="","",IF(COUNTA($U1433:$W1433)&lt;3,"",IF(AND($U1433="מפותח",$V1433="מפותח",$W1433="מפותחת"),"מפותחת",IF((--($U1433="דל"))+(--($V1433="אינו מפותח"))+(--($W1433="דלה"))&gt;=2,"אינה מפותחת","חלקית"))))</f>
        <v/>
      </c>
      <c r="AA1433" s="32">
        <f>IF($C1433="","",IF(COUNTA($M1433,$N1433,$O1433)&lt;3,"— חסרים נתונים",IF(OR($M1433="נמוכה",(--($M1433&lt;&gt;"תקינה"))+(--($N1433&lt;&gt;"תקין"))+(--($O1433&lt;&gt;"תקינה"))&gt;=2),"ניכרת","אינה ניכרת")))</f>
        <v/>
      </c>
      <c r="AB1433" s="32">
        <f>IF(OR($C1433="",$Y1433="",$AA1433="",LEFT($Y1433,1)="—",LEFT($AA1433,1)="—"),"",IF($Z1433="","— נדרשת הערכת כתיבה",IF($L1433="","— חסרה הבנת הנקרא",IF($Y1433="אינה מדויקת או מקוטעת",IF($AA1433="ניכרת","מיקוד בשטף הקריאה ובכישורי שפה","מיקוד בשטף קריאה"),IF($AA1433="ניכרת","מיקוד בכישורי שפה",IF(AND($L1433="תקינה",$Z1433="מפותחת"),"קוראים וכותבים מיומנים","מיקוד בהבנה והבעה"))))))</f>
        <v/>
      </c>
      <c r="AC1433" s="32">
        <f>IF(OR($AB1433="",LEFT($AB1433,1)="—"),"",IF(OR($AB1433="מיקוד בשטף קריאה",$AB1433="מיקוד בשטף הקריאה ובכישורי שפה"),"רמה א'",IF($AB1433="קוראים וכותבים מיומנים","רמה ג'","רמה ב'")))</f>
        <v/>
      </c>
      <c r="AD1433" s="32">
        <f>IF($AC1433="","",MID(IF(AND($AC1433="רמה א'",$AA1433="ניכרת"),"; להוסיף עבודת אוצר מילים","")&amp;IF($Z1433="אינה מפותחת","; דגש על הבעה בכתב","")&amp;IF($K1433&lt;&gt;"תקין","; נדרש לעבוד על ההנגנה","")&amp;IF($AK1433&lt;&gt;"","; "&amp;$AK1433,""),3,400))</f>
        <v/>
      </c>
      <c r="AE1433" s="32">
        <f>IF($F1433="","",IF($F1433="תחילת שנה",1,IF($F1433="מחצית שנה",2,3)))</f>
        <v/>
      </c>
      <c r="AF1433" s="32">
        <f>IF(OR($B1433="",$AC1433="",$A1433="",$F1433=""),"",$B1433&amp;"|"&amp;$A1433&amp;"|"&amp;$F1433&amp;"|"&amp;$AC1433&amp;"|"&amp;COUNTIFS($B$6:$B1433,$B1433,$A$6:$A1433,$A1433,$F$6:$F1433,$F1433,$AC$6:$AC1433,$AC1433))</f>
        <v/>
      </c>
      <c r="AG1433" s="32">
        <f>IF($C1433="","",$C1433&amp;"|"&amp;COUNTIFS($C$6:$C1433,$C1433))</f>
        <v/>
      </c>
      <c r="AH1433" s="32">
        <f>IF(OR($C1433="",$A1433="",$AE1433=""),"",$C1433&amp;"|"&amp;$A1433&amp;"|"&amp;$AE1433)</f>
        <v/>
      </c>
      <c r="AI1433" s="32">
        <f>IF(OR($C1433="",$AE1433="",$AE1433=1),"",IFERROR(INDEX($AC$6:$AC$1505,MATCH($C1433&amp;"|"&amp;$A1433&amp;"|"&amp;($AE1433-1),$AH$6:$AH$1505,0)),""))</f>
        <v/>
      </c>
      <c r="AJ1433" s="32">
        <f>IF(OR($AI1433="",$AC1433=""),"",IF($AI1433=$AC1433,"ללא שינוי","מ-"&amp;$AI1433&amp;" ל-"&amp;$AC1433))</f>
        <v/>
      </c>
      <c r="AK1433" s="67" t="n"/>
    </row>
    <row r="1434">
      <c r="A1434" s="65" t="n"/>
      <c r="B1434" s="65" t="n"/>
      <c r="C1434" s="66" t="n"/>
      <c r="D1434" s="66" t="n"/>
      <c r="E1434" s="65" t="n"/>
      <c r="F1434" s="65" t="n"/>
      <c r="G1434" s="65" t="n"/>
      <c r="H1434" s="65" t="n"/>
      <c r="I1434" s="65" t="n"/>
      <c r="J1434" s="65" t="n"/>
      <c r="K1434" s="65" t="n"/>
      <c r="L1434" s="65" t="n"/>
      <c r="M1434" s="65" t="n"/>
      <c r="N1434" s="65" t="n"/>
      <c r="O1434" s="65" t="n"/>
      <c r="P1434" s="65" t="n"/>
      <c r="Q1434" s="65" t="n"/>
      <c r="R1434" s="65" t="n"/>
      <c r="S1434" s="65" t="n"/>
      <c r="T1434" s="65" t="n"/>
      <c r="U1434" s="65" t="n"/>
      <c r="V1434" s="65" t="n"/>
      <c r="W1434" s="65" t="n"/>
      <c r="X1434" s="65" t="n"/>
      <c r="Y1434" s="32">
        <f>IF($C1434="","",IF(COUNTA($I1434:$K1434)&lt;3,"— חסרים נתונים",IF(AND($I1434="תקין",$J1434="תקין",$K1434="תקין"),"רהוטה",IF(AND($I1434="תקין",$J1434="תקין"),"מדויקת ורציפה","אינה מדויקת או מקוטעת"))))</f>
        <v/>
      </c>
      <c r="Z1434" s="32">
        <f>IF($C1434="","",IF(COUNTA($U1434:$W1434)&lt;3,"",IF(AND($U1434="מפותח",$V1434="מפותח",$W1434="מפותחת"),"מפותחת",IF((--($U1434="דל"))+(--($V1434="אינו מפותח"))+(--($W1434="דלה"))&gt;=2,"אינה מפותחת","חלקית"))))</f>
        <v/>
      </c>
      <c r="AA1434" s="32">
        <f>IF($C1434="","",IF(COUNTA($M1434,$N1434,$O1434)&lt;3,"— חסרים נתונים",IF(OR($M1434="נמוכה",(--($M1434&lt;&gt;"תקינה"))+(--($N1434&lt;&gt;"תקין"))+(--($O1434&lt;&gt;"תקינה"))&gt;=2),"ניכרת","אינה ניכרת")))</f>
        <v/>
      </c>
      <c r="AB1434" s="32">
        <f>IF(OR($C1434="",$Y1434="",$AA1434="",LEFT($Y1434,1)="—",LEFT($AA1434,1)="—"),"",IF($Z1434="","— נדרשת הערכת כתיבה",IF($L1434="","— חסרה הבנת הנקרא",IF($Y1434="אינה מדויקת או מקוטעת",IF($AA1434="ניכרת","מיקוד בשטף הקריאה ובכישורי שפה","מיקוד בשטף קריאה"),IF($AA1434="ניכרת","מיקוד בכישורי שפה",IF(AND($L1434="תקינה",$Z1434="מפותחת"),"קוראים וכותבים מיומנים","מיקוד בהבנה והבעה"))))))</f>
        <v/>
      </c>
      <c r="AC1434" s="32">
        <f>IF(OR($AB1434="",LEFT($AB1434,1)="—"),"",IF(OR($AB1434="מיקוד בשטף קריאה",$AB1434="מיקוד בשטף הקריאה ובכישורי שפה"),"רמה א'",IF($AB1434="קוראים וכותבים מיומנים","רמה ג'","רמה ב'")))</f>
        <v/>
      </c>
      <c r="AD1434" s="32">
        <f>IF($AC1434="","",MID(IF(AND($AC1434="רמה א'",$AA1434="ניכרת"),"; להוסיף עבודת אוצר מילים","")&amp;IF($Z1434="אינה מפותחת","; דגש על הבעה בכתב","")&amp;IF($K1434&lt;&gt;"תקין","; נדרש לעבוד על ההנגנה","")&amp;IF($AK1434&lt;&gt;"","; "&amp;$AK1434,""),3,400))</f>
        <v/>
      </c>
      <c r="AE1434" s="32">
        <f>IF($F1434="","",IF($F1434="תחילת שנה",1,IF($F1434="מחצית שנה",2,3)))</f>
        <v/>
      </c>
      <c r="AF1434" s="32">
        <f>IF(OR($B1434="",$AC1434="",$A1434="",$F1434=""),"",$B1434&amp;"|"&amp;$A1434&amp;"|"&amp;$F1434&amp;"|"&amp;$AC1434&amp;"|"&amp;COUNTIFS($B$6:$B1434,$B1434,$A$6:$A1434,$A1434,$F$6:$F1434,$F1434,$AC$6:$AC1434,$AC1434))</f>
        <v/>
      </c>
      <c r="AG1434" s="32">
        <f>IF($C1434="","",$C1434&amp;"|"&amp;COUNTIFS($C$6:$C1434,$C1434))</f>
        <v/>
      </c>
      <c r="AH1434" s="32">
        <f>IF(OR($C1434="",$A1434="",$AE1434=""),"",$C1434&amp;"|"&amp;$A1434&amp;"|"&amp;$AE1434)</f>
        <v/>
      </c>
      <c r="AI1434" s="32">
        <f>IF(OR($C1434="",$AE1434="",$AE1434=1),"",IFERROR(INDEX($AC$6:$AC$1505,MATCH($C1434&amp;"|"&amp;$A1434&amp;"|"&amp;($AE1434-1),$AH$6:$AH$1505,0)),""))</f>
        <v/>
      </c>
      <c r="AJ1434" s="32">
        <f>IF(OR($AI1434="",$AC1434=""),"",IF($AI1434=$AC1434,"ללא שינוי","מ-"&amp;$AI1434&amp;" ל-"&amp;$AC1434))</f>
        <v/>
      </c>
      <c r="AK1434" s="67" t="n"/>
    </row>
    <row r="1435">
      <c r="A1435" s="65" t="n"/>
      <c r="B1435" s="65" t="n"/>
      <c r="C1435" s="66" t="n"/>
      <c r="D1435" s="66" t="n"/>
      <c r="E1435" s="65" t="n"/>
      <c r="F1435" s="65" t="n"/>
      <c r="G1435" s="65" t="n"/>
      <c r="H1435" s="65" t="n"/>
      <c r="I1435" s="65" t="n"/>
      <c r="J1435" s="65" t="n"/>
      <c r="K1435" s="65" t="n"/>
      <c r="L1435" s="65" t="n"/>
      <c r="M1435" s="65" t="n"/>
      <c r="N1435" s="65" t="n"/>
      <c r="O1435" s="65" t="n"/>
      <c r="P1435" s="65" t="n"/>
      <c r="Q1435" s="65" t="n"/>
      <c r="R1435" s="65" t="n"/>
      <c r="S1435" s="65" t="n"/>
      <c r="T1435" s="65" t="n"/>
      <c r="U1435" s="65" t="n"/>
      <c r="V1435" s="65" t="n"/>
      <c r="W1435" s="65" t="n"/>
      <c r="X1435" s="65" t="n"/>
      <c r="Y1435" s="32">
        <f>IF($C1435="","",IF(COUNTA($I1435:$K1435)&lt;3,"— חסרים נתונים",IF(AND($I1435="תקין",$J1435="תקין",$K1435="תקין"),"רהוטה",IF(AND($I1435="תקין",$J1435="תקין"),"מדויקת ורציפה","אינה מדויקת או מקוטעת"))))</f>
        <v/>
      </c>
      <c r="Z1435" s="32">
        <f>IF($C1435="","",IF(COUNTA($U1435:$W1435)&lt;3,"",IF(AND($U1435="מפותח",$V1435="מפותח",$W1435="מפותחת"),"מפותחת",IF((--($U1435="דל"))+(--($V1435="אינו מפותח"))+(--($W1435="דלה"))&gt;=2,"אינה מפותחת","חלקית"))))</f>
        <v/>
      </c>
      <c r="AA1435" s="32">
        <f>IF($C1435="","",IF(COUNTA($M1435,$N1435,$O1435)&lt;3,"— חסרים נתונים",IF(OR($M1435="נמוכה",(--($M1435&lt;&gt;"תקינה"))+(--($N1435&lt;&gt;"תקין"))+(--($O1435&lt;&gt;"תקינה"))&gt;=2),"ניכרת","אינה ניכרת")))</f>
        <v/>
      </c>
      <c r="AB1435" s="32">
        <f>IF(OR($C1435="",$Y1435="",$AA1435="",LEFT($Y1435,1)="—",LEFT($AA1435,1)="—"),"",IF($Z1435="","— נדרשת הערכת כתיבה",IF($L1435="","— חסרה הבנת הנקרא",IF($Y1435="אינה מדויקת או מקוטעת",IF($AA1435="ניכרת","מיקוד בשטף הקריאה ובכישורי שפה","מיקוד בשטף קריאה"),IF($AA1435="ניכרת","מיקוד בכישורי שפה",IF(AND($L1435="תקינה",$Z1435="מפותחת"),"קוראים וכותבים מיומנים","מיקוד בהבנה והבעה"))))))</f>
        <v/>
      </c>
      <c r="AC1435" s="32">
        <f>IF(OR($AB1435="",LEFT($AB1435,1)="—"),"",IF(OR($AB1435="מיקוד בשטף קריאה",$AB1435="מיקוד בשטף הקריאה ובכישורי שפה"),"רמה א'",IF($AB1435="קוראים וכותבים מיומנים","רמה ג'","רמה ב'")))</f>
        <v/>
      </c>
      <c r="AD1435" s="32">
        <f>IF($AC1435="","",MID(IF(AND($AC1435="רמה א'",$AA1435="ניכרת"),"; להוסיף עבודת אוצר מילים","")&amp;IF($Z1435="אינה מפותחת","; דגש על הבעה בכתב","")&amp;IF($K1435&lt;&gt;"תקין","; נדרש לעבוד על ההנגנה","")&amp;IF($AK1435&lt;&gt;"","; "&amp;$AK1435,""),3,400))</f>
        <v/>
      </c>
      <c r="AE1435" s="32">
        <f>IF($F1435="","",IF($F1435="תחילת שנה",1,IF($F1435="מחצית שנה",2,3)))</f>
        <v/>
      </c>
      <c r="AF1435" s="32">
        <f>IF(OR($B1435="",$AC1435="",$A1435="",$F1435=""),"",$B1435&amp;"|"&amp;$A1435&amp;"|"&amp;$F1435&amp;"|"&amp;$AC1435&amp;"|"&amp;COUNTIFS($B$6:$B1435,$B1435,$A$6:$A1435,$A1435,$F$6:$F1435,$F1435,$AC$6:$AC1435,$AC1435))</f>
        <v/>
      </c>
      <c r="AG1435" s="32">
        <f>IF($C1435="","",$C1435&amp;"|"&amp;COUNTIFS($C$6:$C1435,$C1435))</f>
        <v/>
      </c>
      <c r="AH1435" s="32">
        <f>IF(OR($C1435="",$A1435="",$AE1435=""),"",$C1435&amp;"|"&amp;$A1435&amp;"|"&amp;$AE1435)</f>
        <v/>
      </c>
      <c r="AI1435" s="32">
        <f>IF(OR($C1435="",$AE1435="",$AE1435=1),"",IFERROR(INDEX($AC$6:$AC$1505,MATCH($C1435&amp;"|"&amp;$A1435&amp;"|"&amp;($AE1435-1),$AH$6:$AH$1505,0)),""))</f>
        <v/>
      </c>
      <c r="AJ1435" s="32">
        <f>IF(OR($AI1435="",$AC1435=""),"",IF($AI1435=$AC1435,"ללא שינוי","מ-"&amp;$AI1435&amp;" ל-"&amp;$AC1435))</f>
        <v/>
      </c>
      <c r="AK1435" s="67" t="n"/>
    </row>
    <row r="1436">
      <c r="A1436" s="65" t="n"/>
      <c r="B1436" s="65" t="n"/>
      <c r="C1436" s="66" t="n"/>
      <c r="D1436" s="66" t="n"/>
      <c r="E1436" s="65" t="n"/>
      <c r="F1436" s="65" t="n"/>
      <c r="G1436" s="65" t="n"/>
      <c r="H1436" s="65" t="n"/>
      <c r="I1436" s="65" t="n"/>
      <c r="J1436" s="65" t="n"/>
      <c r="K1436" s="65" t="n"/>
      <c r="L1436" s="65" t="n"/>
      <c r="M1436" s="65" t="n"/>
      <c r="N1436" s="65" t="n"/>
      <c r="O1436" s="65" t="n"/>
      <c r="P1436" s="65" t="n"/>
      <c r="Q1436" s="65" t="n"/>
      <c r="R1436" s="65" t="n"/>
      <c r="S1436" s="65" t="n"/>
      <c r="T1436" s="65" t="n"/>
      <c r="U1436" s="65" t="n"/>
      <c r="V1436" s="65" t="n"/>
      <c r="W1436" s="65" t="n"/>
      <c r="X1436" s="65" t="n"/>
      <c r="Y1436" s="32">
        <f>IF($C1436="","",IF(COUNTA($I1436:$K1436)&lt;3,"— חסרים נתונים",IF(AND($I1436="תקין",$J1436="תקין",$K1436="תקין"),"רהוטה",IF(AND($I1436="תקין",$J1436="תקין"),"מדויקת ורציפה","אינה מדויקת או מקוטעת"))))</f>
        <v/>
      </c>
      <c r="Z1436" s="32">
        <f>IF($C1436="","",IF(COUNTA($U1436:$W1436)&lt;3,"",IF(AND($U1436="מפותח",$V1436="מפותח",$W1436="מפותחת"),"מפותחת",IF((--($U1436="דל"))+(--($V1436="אינו מפותח"))+(--($W1436="דלה"))&gt;=2,"אינה מפותחת","חלקית"))))</f>
        <v/>
      </c>
      <c r="AA1436" s="32">
        <f>IF($C1436="","",IF(COUNTA($M1436,$N1436,$O1436)&lt;3,"— חסרים נתונים",IF(OR($M1436="נמוכה",(--($M1436&lt;&gt;"תקינה"))+(--($N1436&lt;&gt;"תקין"))+(--($O1436&lt;&gt;"תקינה"))&gt;=2),"ניכרת","אינה ניכרת")))</f>
        <v/>
      </c>
      <c r="AB1436" s="32">
        <f>IF(OR($C1436="",$Y1436="",$AA1436="",LEFT($Y1436,1)="—",LEFT($AA1436,1)="—"),"",IF($Z1436="","— נדרשת הערכת כתיבה",IF($L1436="","— חסרה הבנת הנקרא",IF($Y1436="אינה מדויקת או מקוטעת",IF($AA1436="ניכרת","מיקוד בשטף הקריאה ובכישורי שפה","מיקוד בשטף קריאה"),IF($AA1436="ניכרת","מיקוד בכישורי שפה",IF(AND($L1436="תקינה",$Z1436="מפותחת"),"קוראים וכותבים מיומנים","מיקוד בהבנה והבעה"))))))</f>
        <v/>
      </c>
      <c r="AC1436" s="32">
        <f>IF(OR($AB1436="",LEFT($AB1436,1)="—"),"",IF(OR($AB1436="מיקוד בשטף קריאה",$AB1436="מיקוד בשטף הקריאה ובכישורי שפה"),"רמה א'",IF($AB1436="קוראים וכותבים מיומנים","רמה ג'","רמה ב'")))</f>
        <v/>
      </c>
      <c r="AD1436" s="32">
        <f>IF($AC1436="","",MID(IF(AND($AC1436="רמה א'",$AA1436="ניכרת"),"; להוסיף עבודת אוצר מילים","")&amp;IF($Z1436="אינה מפותחת","; דגש על הבעה בכתב","")&amp;IF($K1436&lt;&gt;"תקין","; נדרש לעבוד על ההנגנה","")&amp;IF($AK1436&lt;&gt;"","; "&amp;$AK1436,""),3,400))</f>
        <v/>
      </c>
      <c r="AE1436" s="32">
        <f>IF($F1436="","",IF($F1436="תחילת שנה",1,IF($F1436="מחצית שנה",2,3)))</f>
        <v/>
      </c>
      <c r="AF1436" s="32">
        <f>IF(OR($B1436="",$AC1436="",$A1436="",$F1436=""),"",$B1436&amp;"|"&amp;$A1436&amp;"|"&amp;$F1436&amp;"|"&amp;$AC1436&amp;"|"&amp;COUNTIFS($B$6:$B1436,$B1436,$A$6:$A1436,$A1436,$F$6:$F1436,$F1436,$AC$6:$AC1436,$AC1436))</f>
        <v/>
      </c>
      <c r="AG1436" s="32">
        <f>IF($C1436="","",$C1436&amp;"|"&amp;COUNTIFS($C$6:$C1436,$C1436))</f>
        <v/>
      </c>
      <c r="AH1436" s="32">
        <f>IF(OR($C1436="",$A1436="",$AE1436=""),"",$C1436&amp;"|"&amp;$A1436&amp;"|"&amp;$AE1436)</f>
        <v/>
      </c>
      <c r="AI1436" s="32">
        <f>IF(OR($C1436="",$AE1436="",$AE1436=1),"",IFERROR(INDEX($AC$6:$AC$1505,MATCH($C1436&amp;"|"&amp;$A1436&amp;"|"&amp;($AE1436-1),$AH$6:$AH$1505,0)),""))</f>
        <v/>
      </c>
      <c r="AJ1436" s="32">
        <f>IF(OR($AI1436="",$AC1436=""),"",IF($AI1436=$AC1436,"ללא שינוי","מ-"&amp;$AI1436&amp;" ל-"&amp;$AC1436))</f>
        <v/>
      </c>
      <c r="AK1436" s="67" t="n"/>
    </row>
    <row r="1437">
      <c r="A1437" s="65" t="n"/>
      <c r="B1437" s="65" t="n"/>
      <c r="C1437" s="66" t="n"/>
      <c r="D1437" s="66" t="n"/>
      <c r="E1437" s="65" t="n"/>
      <c r="F1437" s="65" t="n"/>
      <c r="G1437" s="65" t="n"/>
      <c r="H1437" s="65" t="n"/>
      <c r="I1437" s="65" t="n"/>
      <c r="J1437" s="65" t="n"/>
      <c r="K1437" s="65" t="n"/>
      <c r="L1437" s="65" t="n"/>
      <c r="M1437" s="65" t="n"/>
      <c r="N1437" s="65" t="n"/>
      <c r="O1437" s="65" t="n"/>
      <c r="P1437" s="65" t="n"/>
      <c r="Q1437" s="65" t="n"/>
      <c r="R1437" s="65" t="n"/>
      <c r="S1437" s="65" t="n"/>
      <c r="T1437" s="65" t="n"/>
      <c r="U1437" s="65" t="n"/>
      <c r="V1437" s="65" t="n"/>
      <c r="W1437" s="65" t="n"/>
      <c r="X1437" s="65" t="n"/>
      <c r="Y1437" s="32">
        <f>IF($C1437="","",IF(COUNTA($I1437:$K1437)&lt;3,"— חסרים נתונים",IF(AND($I1437="תקין",$J1437="תקין",$K1437="תקין"),"רהוטה",IF(AND($I1437="תקין",$J1437="תקין"),"מדויקת ורציפה","אינה מדויקת או מקוטעת"))))</f>
        <v/>
      </c>
      <c r="Z1437" s="32">
        <f>IF($C1437="","",IF(COUNTA($U1437:$W1437)&lt;3,"",IF(AND($U1437="מפותח",$V1437="מפותח",$W1437="מפותחת"),"מפותחת",IF((--($U1437="דל"))+(--($V1437="אינו מפותח"))+(--($W1437="דלה"))&gt;=2,"אינה מפותחת","חלקית"))))</f>
        <v/>
      </c>
      <c r="AA1437" s="32">
        <f>IF($C1437="","",IF(COUNTA($M1437,$N1437,$O1437)&lt;3,"— חסרים נתונים",IF(OR($M1437="נמוכה",(--($M1437&lt;&gt;"תקינה"))+(--($N1437&lt;&gt;"תקין"))+(--($O1437&lt;&gt;"תקינה"))&gt;=2),"ניכרת","אינה ניכרת")))</f>
        <v/>
      </c>
      <c r="AB1437" s="32">
        <f>IF(OR($C1437="",$Y1437="",$AA1437="",LEFT($Y1437,1)="—",LEFT($AA1437,1)="—"),"",IF($Z1437="","— נדרשת הערכת כתיבה",IF($L1437="","— חסרה הבנת הנקרא",IF($Y1437="אינה מדויקת או מקוטעת",IF($AA1437="ניכרת","מיקוד בשטף הקריאה ובכישורי שפה","מיקוד בשטף קריאה"),IF($AA1437="ניכרת","מיקוד בכישורי שפה",IF(AND($L1437="תקינה",$Z1437="מפותחת"),"קוראים וכותבים מיומנים","מיקוד בהבנה והבעה"))))))</f>
        <v/>
      </c>
      <c r="AC1437" s="32">
        <f>IF(OR($AB1437="",LEFT($AB1437,1)="—"),"",IF(OR($AB1437="מיקוד בשטף קריאה",$AB1437="מיקוד בשטף הקריאה ובכישורי שפה"),"רמה א'",IF($AB1437="קוראים וכותבים מיומנים","רמה ג'","רמה ב'")))</f>
        <v/>
      </c>
      <c r="AD1437" s="32">
        <f>IF($AC1437="","",MID(IF(AND($AC1437="רמה א'",$AA1437="ניכרת"),"; להוסיף עבודת אוצר מילים","")&amp;IF($Z1437="אינה מפותחת","; דגש על הבעה בכתב","")&amp;IF($K1437&lt;&gt;"תקין","; נדרש לעבוד על ההנגנה","")&amp;IF($AK1437&lt;&gt;"","; "&amp;$AK1437,""),3,400))</f>
        <v/>
      </c>
      <c r="AE1437" s="32">
        <f>IF($F1437="","",IF($F1437="תחילת שנה",1,IF($F1437="מחצית שנה",2,3)))</f>
        <v/>
      </c>
      <c r="AF1437" s="32">
        <f>IF(OR($B1437="",$AC1437="",$A1437="",$F1437=""),"",$B1437&amp;"|"&amp;$A1437&amp;"|"&amp;$F1437&amp;"|"&amp;$AC1437&amp;"|"&amp;COUNTIFS($B$6:$B1437,$B1437,$A$6:$A1437,$A1437,$F$6:$F1437,$F1437,$AC$6:$AC1437,$AC1437))</f>
        <v/>
      </c>
      <c r="AG1437" s="32">
        <f>IF($C1437="","",$C1437&amp;"|"&amp;COUNTIFS($C$6:$C1437,$C1437))</f>
        <v/>
      </c>
      <c r="AH1437" s="32">
        <f>IF(OR($C1437="",$A1437="",$AE1437=""),"",$C1437&amp;"|"&amp;$A1437&amp;"|"&amp;$AE1437)</f>
        <v/>
      </c>
      <c r="AI1437" s="32">
        <f>IF(OR($C1437="",$AE1437="",$AE1437=1),"",IFERROR(INDEX($AC$6:$AC$1505,MATCH($C1437&amp;"|"&amp;$A1437&amp;"|"&amp;($AE1437-1),$AH$6:$AH$1505,0)),""))</f>
        <v/>
      </c>
      <c r="AJ1437" s="32">
        <f>IF(OR($AI1437="",$AC1437=""),"",IF($AI1437=$AC1437,"ללא שינוי","מ-"&amp;$AI1437&amp;" ל-"&amp;$AC1437))</f>
        <v/>
      </c>
      <c r="AK1437" s="67" t="n"/>
    </row>
    <row r="1438">
      <c r="A1438" s="65" t="n"/>
      <c r="B1438" s="65" t="n"/>
      <c r="C1438" s="66" t="n"/>
      <c r="D1438" s="66" t="n"/>
      <c r="E1438" s="65" t="n"/>
      <c r="F1438" s="65" t="n"/>
      <c r="G1438" s="65" t="n"/>
      <c r="H1438" s="65" t="n"/>
      <c r="I1438" s="65" t="n"/>
      <c r="J1438" s="65" t="n"/>
      <c r="K1438" s="65" t="n"/>
      <c r="L1438" s="65" t="n"/>
      <c r="M1438" s="65" t="n"/>
      <c r="N1438" s="65" t="n"/>
      <c r="O1438" s="65" t="n"/>
      <c r="P1438" s="65" t="n"/>
      <c r="Q1438" s="65" t="n"/>
      <c r="R1438" s="65" t="n"/>
      <c r="S1438" s="65" t="n"/>
      <c r="T1438" s="65" t="n"/>
      <c r="U1438" s="65" t="n"/>
      <c r="V1438" s="65" t="n"/>
      <c r="W1438" s="65" t="n"/>
      <c r="X1438" s="65" t="n"/>
      <c r="Y1438" s="32">
        <f>IF($C1438="","",IF(COUNTA($I1438:$K1438)&lt;3,"— חסרים נתונים",IF(AND($I1438="תקין",$J1438="תקין",$K1438="תקין"),"רהוטה",IF(AND($I1438="תקין",$J1438="תקין"),"מדויקת ורציפה","אינה מדויקת או מקוטעת"))))</f>
        <v/>
      </c>
      <c r="Z1438" s="32">
        <f>IF($C1438="","",IF(COUNTA($U1438:$W1438)&lt;3,"",IF(AND($U1438="מפותח",$V1438="מפותח",$W1438="מפותחת"),"מפותחת",IF((--($U1438="דל"))+(--($V1438="אינו מפותח"))+(--($W1438="דלה"))&gt;=2,"אינה מפותחת","חלקית"))))</f>
        <v/>
      </c>
      <c r="AA1438" s="32">
        <f>IF($C1438="","",IF(COUNTA($M1438,$N1438,$O1438)&lt;3,"— חסרים נתונים",IF(OR($M1438="נמוכה",(--($M1438&lt;&gt;"תקינה"))+(--($N1438&lt;&gt;"תקין"))+(--($O1438&lt;&gt;"תקינה"))&gt;=2),"ניכרת","אינה ניכרת")))</f>
        <v/>
      </c>
      <c r="AB1438" s="32">
        <f>IF(OR($C1438="",$Y1438="",$AA1438="",LEFT($Y1438,1)="—",LEFT($AA1438,1)="—"),"",IF($Z1438="","— נדרשת הערכת כתיבה",IF($L1438="","— חסרה הבנת הנקרא",IF($Y1438="אינה מדויקת או מקוטעת",IF($AA1438="ניכרת","מיקוד בשטף הקריאה ובכישורי שפה","מיקוד בשטף קריאה"),IF($AA1438="ניכרת","מיקוד בכישורי שפה",IF(AND($L1438="תקינה",$Z1438="מפותחת"),"קוראים וכותבים מיומנים","מיקוד בהבנה והבעה"))))))</f>
        <v/>
      </c>
      <c r="AC1438" s="32">
        <f>IF(OR($AB1438="",LEFT($AB1438,1)="—"),"",IF(OR($AB1438="מיקוד בשטף קריאה",$AB1438="מיקוד בשטף הקריאה ובכישורי שפה"),"רמה א'",IF($AB1438="קוראים וכותבים מיומנים","רמה ג'","רמה ב'")))</f>
        <v/>
      </c>
      <c r="AD1438" s="32">
        <f>IF($AC1438="","",MID(IF(AND($AC1438="רמה א'",$AA1438="ניכרת"),"; להוסיף עבודת אוצר מילים","")&amp;IF($Z1438="אינה מפותחת","; דגש על הבעה בכתב","")&amp;IF($K1438&lt;&gt;"תקין","; נדרש לעבוד על ההנגנה","")&amp;IF($AK1438&lt;&gt;"","; "&amp;$AK1438,""),3,400))</f>
        <v/>
      </c>
      <c r="AE1438" s="32">
        <f>IF($F1438="","",IF($F1438="תחילת שנה",1,IF($F1438="מחצית שנה",2,3)))</f>
        <v/>
      </c>
      <c r="AF1438" s="32">
        <f>IF(OR($B1438="",$AC1438="",$A1438="",$F1438=""),"",$B1438&amp;"|"&amp;$A1438&amp;"|"&amp;$F1438&amp;"|"&amp;$AC1438&amp;"|"&amp;COUNTIFS($B$6:$B1438,$B1438,$A$6:$A1438,$A1438,$F$6:$F1438,$F1438,$AC$6:$AC1438,$AC1438))</f>
        <v/>
      </c>
      <c r="AG1438" s="32">
        <f>IF($C1438="","",$C1438&amp;"|"&amp;COUNTIFS($C$6:$C1438,$C1438))</f>
        <v/>
      </c>
      <c r="AH1438" s="32">
        <f>IF(OR($C1438="",$A1438="",$AE1438=""),"",$C1438&amp;"|"&amp;$A1438&amp;"|"&amp;$AE1438)</f>
        <v/>
      </c>
      <c r="AI1438" s="32">
        <f>IF(OR($C1438="",$AE1438="",$AE1438=1),"",IFERROR(INDEX($AC$6:$AC$1505,MATCH($C1438&amp;"|"&amp;$A1438&amp;"|"&amp;($AE1438-1),$AH$6:$AH$1505,0)),""))</f>
        <v/>
      </c>
      <c r="AJ1438" s="32">
        <f>IF(OR($AI1438="",$AC1438=""),"",IF($AI1438=$AC1438,"ללא שינוי","מ-"&amp;$AI1438&amp;" ל-"&amp;$AC1438))</f>
        <v/>
      </c>
      <c r="AK1438" s="67" t="n"/>
    </row>
    <row r="1439">
      <c r="A1439" s="65" t="n"/>
      <c r="B1439" s="65" t="n"/>
      <c r="C1439" s="66" t="n"/>
      <c r="D1439" s="66" t="n"/>
      <c r="E1439" s="65" t="n"/>
      <c r="F1439" s="65" t="n"/>
      <c r="G1439" s="65" t="n"/>
      <c r="H1439" s="65" t="n"/>
      <c r="I1439" s="65" t="n"/>
      <c r="J1439" s="65" t="n"/>
      <c r="K1439" s="65" t="n"/>
      <c r="L1439" s="65" t="n"/>
      <c r="M1439" s="65" t="n"/>
      <c r="N1439" s="65" t="n"/>
      <c r="O1439" s="65" t="n"/>
      <c r="P1439" s="65" t="n"/>
      <c r="Q1439" s="65" t="n"/>
      <c r="R1439" s="65" t="n"/>
      <c r="S1439" s="65" t="n"/>
      <c r="T1439" s="65" t="n"/>
      <c r="U1439" s="65" t="n"/>
      <c r="V1439" s="65" t="n"/>
      <c r="W1439" s="65" t="n"/>
      <c r="X1439" s="65" t="n"/>
      <c r="Y1439" s="32">
        <f>IF($C1439="","",IF(COUNTA($I1439:$K1439)&lt;3,"— חסרים נתונים",IF(AND($I1439="תקין",$J1439="תקין",$K1439="תקין"),"רהוטה",IF(AND($I1439="תקין",$J1439="תקין"),"מדויקת ורציפה","אינה מדויקת או מקוטעת"))))</f>
        <v/>
      </c>
      <c r="Z1439" s="32">
        <f>IF($C1439="","",IF(COUNTA($U1439:$W1439)&lt;3,"",IF(AND($U1439="מפותח",$V1439="מפותח",$W1439="מפותחת"),"מפותחת",IF((--($U1439="דל"))+(--($V1439="אינו מפותח"))+(--($W1439="דלה"))&gt;=2,"אינה מפותחת","חלקית"))))</f>
        <v/>
      </c>
      <c r="AA1439" s="32">
        <f>IF($C1439="","",IF(COUNTA($M1439,$N1439,$O1439)&lt;3,"— חסרים נתונים",IF(OR($M1439="נמוכה",(--($M1439&lt;&gt;"תקינה"))+(--($N1439&lt;&gt;"תקין"))+(--($O1439&lt;&gt;"תקינה"))&gt;=2),"ניכרת","אינה ניכרת")))</f>
        <v/>
      </c>
      <c r="AB1439" s="32">
        <f>IF(OR($C1439="",$Y1439="",$AA1439="",LEFT($Y1439,1)="—",LEFT($AA1439,1)="—"),"",IF($Z1439="","— נדרשת הערכת כתיבה",IF($L1439="","— חסרה הבנת הנקרא",IF($Y1439="אינה מדויקת או מקוטעת",IF($AA1439="ניכרת","מיקוד בשטף הקריאה ובכישורי שפה","מיקוד בשטף קריאה"),IF($AA1439="ניכרת","מיקוד בכישורי שפה",IF(AND($L1439="תקינה",$Z1439="מפותחת"),"קוראים וכותבים מיומנים","מיקוד בהבנה והבעה"))))))</f>
        <v/>
      </c>
      <c r="AC1439" s="32">
        <f>IF(OR($AB1439="",LEFT($AB1439,1)="—"),"",IF(OR($AB1439="מיקוד בשטף קריאה",$AB1439="מיקוד בשטף הקריאה ובכישורי שפה"),"רמה א'",IF($AB1439="קוראים וכותבים מיומנים","רמה ג'","רמה ב'")))</f>
        <v/>
      </c>
      <c r="AD1439" s="32">
        <f>IF($AC1439="","",MID(IF(AND($AC1439="רמה א'",$AA1439="ניכרת"),"; להוסיף עבודת אוצר מילים","")&amp;IF($Z1439="אינה מפותחת","; דגש על הבעה בכתב","")&amp;IF($K1439&lt;&gt;"תקין","; נדרש לעבוד על ההנגנה","")&amp;IF($AK1439&lt;&gt;"","; "&amp;$AK1439,""),3,400))</f>
        <v/>
      </c>
      <c r="AE1439" s="32">
        <f>IF($F1439="","",IF($F1439="תחילת שנה",1,IF($F1439="מחצית שנה",2,3)))</f>
        <v/>
      </c>
      <c r="AF1439" s="32">
        <f>IF(OR($B1439="",$AC1439="",$A1439="",$F1439=""),"",$B1439&amp;"|"&amp;$A1439&amp;"|"&amp;$F1439&amp;"|"&amp;$AC1439&amp;"|"&amp;COUNTIFS($B$6:$B1439,$B1439,$A$6:$A1439,$A1439,$F$6:$F1439,$F1439,$AC$6:$AC1439,$AC1439))</f>
        <v/>
      </c>
      <c r="AG1439" s="32">
        <f>IF($C1439="","",$C1439&amp;"|"&amp;COUNTIFS($C$6:$C1439,$C1439))</f>
        <v/>
      </c>
      <c r="AH1439" s="32">
        <f>IF(OR($C1439="",$A1439="",$AE1439=""),"",$C1439&amp;"|"&amp;$A1439&amp;"|"&amp;$AE1439)</f>
        <v/>
      </c>
      <c r="AI1439" s="32">
        <f>IF(OR($C1439="",$AE1439="",$AE1439=1),"",IFERROR(INDEX($AC$6:$AC$1505,MATCH($C1439&amp;"|"&amp;$A1439&amp;"|"&amp;($AE1439-1),$AH$6:$AH$1505,0)),""))</f>
        <v/>
      </c>
      <c r="AJ1439" s="32">
        <f>IF(OR($AI1439="",$AC1439=""),"",IF($AI1439=$AC1439,"ללא שינוי","מ-"&amp;$AI1439&amp;" ל-"&amp;$AC1439))</f>
        <v/>
      </c>
      <c r="AK1439" s="67" t="n"/>
    </row>
    <row r="1440">
      <c r="A1440" s="65" t="n"/>
      <c r="B1440" s="65" t="n"/>
      <c r="C1440" s="66" t="n"/>
      <c r="D1440" s="66" t="n"/>
      <c r="E1440" s="65" t="n"/>
      <c r="F1440" s="65" t="n"/>
      <c r="G1440" s="65" t="n"/>
      <c r="H1440" s="65" t="n"/>
      <c r="I1440" s="65" t="n"/>
      <c r="J1440" s="65" t="n"/>
      <c r="K1440" s="65" t="n"/>
      <c r="L1440" s="65" t="n"/>
      <c r="M1440" s="65" t="n"/>
      <c r="N1440" s="65" t="n"/>
      <c r="O1440" s="65" t="n"/>
      <c r="P1440" s="65" t="n"/>
      <c r="Q1440" s="65" t="n"/>
      <c r="R1440" s="65" t="n"/>
      <c r="S1440" s="65" t="n"/>
      <c r="T1440" s="65" t="n"/>
      <c r="U1440" s="65" t="n"/>
      <c r="V1440" s="65" t="n"/>
      <c r="W1440" s="65" t="n"/>
      <c r="X1440" s="65" t="n"/>
      <c r="Y1440" s="32">
        <f>IF($C1440="","",IF(COUNTA($I1440:$K1440)&lt;3,"— חסרים נתונים",IF(AND($I1440="תקין",$J1440="תקין",$K1440="תקין"),"רהוטה",IF(AND($I1440="תקין",$J1440="תקין"),"מדויקת ורציפה","אינה מדויקת או מקוטעת"))))</f>
        <v/>
      </c>
      <c r="Z1440" s="32">
        <f>IF($C1440="","",IF(COUNTA($U1440:$W1440)&lt;3,"",IF(AND($U1440="מפותח",$V1440="מפותח",$W1440="מפותחת"),"מפותחת",IF((--($U1440="דל"))+(--($V1440="אינו מפותח"))+(--($W1440="דלה"))&gt;=2,"אינה מפותחת","חלקית"))))</f>
        <v/>
      </c>
      <c r="AA1440" s="32">
        <f>IF($C1440="","",IF(COUNTA($M1440,$N1440,$O1440)&lt;3,"— חסרים נתונים",IF(OR($M1440="נמוכה",(--($M1440&lt;&gt;"תקינה"))+(--($N1440&lt;&gt;"תקין"))+(--($O1440&lt;&gt;"תקינה"))&gt;=2),"ניכרת","אינה ניכרת")))</f>
        <v/>
      </c>
      <c r="AB1440" s="32">
        <f>IF(OR($C1440="",$Y1440="",$AA1440="",LEFT($Y1440,1)="—",LEFT($AA1440,1)="—"),"",IF($Z1440="","— נדרשת הערכת כתיבה",IF($L1440="","— חסרה הבנת הנקרא",IF($Y1440="אינה מדויקת או מקוטעת",IF($AA1440="ניכרת","מיקוד בשטף הקריאה ובכישורי שפה","מיקוד בשטף קריאה"),IF($AA1440="ניכרת","מיקוד בכישורי שפה",IF(AND($L1440="תקינה",$Z1440="מפותחת"),"קוראים וכותבים מיומנים","מיקוד בהבנה והבעה"))))))</f>
        <v/>
      </c>
      <c r="AC1440" s="32">
        <f>IF(OR($AB1440="",LEFT($AB1440,1)="—"),"",IF(OR($AB1440="מיקוד בשטף קריאה",$AB1440="מיקוד בשטף הקריאה ובכישורי שפה"),"רמה א'",IF($AB1440="קוראים וכותבים מיומנים","רמה ג'","רמה ב'")))</f>
        <v/>
      </c>
      <c r="AD1440" s="32">
        <f>IF($AC1440="","",MID(IF(AND($AC1440="רמה א'",$AA1440="ניכרת"),"; להוסיף עבודת אוצר מילים","")&amp;IF($Z1440="אינה מפותחת","; דגש על הבעה בכתב","")&amp;IF($K1440&lt;&gt;"תקין","; נדרש לעבוד על ההנגנה","")&amp;IF($AK1440&lt;&gt;"","; "&amp;$AK1440,""),3,400))</f>
        <v/>
      </c>
      <c r="AE1440" s="32">
        <f>IF($F1440="","",IF($F1440="תחילת שנה",1,IF($F1440="מחצית שנה",2,3)))</f>
        <v/>
      </c>
      <c r="AF1440" s="32">
        <f>IF(OR($B1440="",$AC1440="",$A1440="",$F1440=""),"",$B1440&amp;"|"&amp;$A1440&amp;"|"&amp;$F1440&amp;"|"&amp;$AC1440&amp;"|"&amp;COUNTIFS($B$6:$B1440,$B1440,$A$6:$A1440,$A1440,$F$6:$F1440,$F1440,$AC$6:$AC1440,$AC1440))</f>
        <v/>
      </c>
      <c r="AG1440" s="32">
        <f>IF($C1440="","",$C1440&amp;"|"&amp;COUNTIFS($C$6:$C1440,$C1440))</f>
        <v/>
      </c>
      <c r="AH1440" s="32">
        <f>IF(OR($C1440="",$A1440="",$AE1440=""),"",$C1440&amp;"|"&amp;$A1440&amp;"|"&amp;$AE1440)</f>
        <v/>
      </c>
      <c r="AI1440" s="32">
        <f>IF(OR($C1440="",$AE1440="",$AE1440=1),"",IFERROR(INDEX($AC$6:$AC$1505,MATCH($C1440&amp;"|"&amp;$A1440&amp;"|"&amp;($AE1440-1),$AH$6:$AH$1505,0)),""))</f>
        <v/>
      </c>
      <c r="AJ1440" s="32">
        <f>IF(OR($AI1440="",$AC1440=""),"",IF($AI1440=$AC1440,"ללא שינוי","מ-"&amp;$AI1440&amp;" ל-"&amp;$AC1440))</f>
        <v/>
      </c>
      <c r="AK1440" s="67" t="n"/>
    </row>
    <row r="1441">
      <c r="A1441" s="65" t="n"/>
      <c r="B1441" s="65" t="n"/>
      <c r="C1441" s="66" t="n"/>
      <c r="D1441" s="66" t="n"/>
      <c r="E1441" s="65" t="n"/>
      <c r="F1441" s="65" t="n"/>
      <c r="G1441" s="65" t="n"/>
      <c r="H1441" s="65" t="n"/>
      <c r="I1441" s="65" t="n"/>
      <c r="J1441" s="65" t="n"/>
      <c r="K1441" s="65" t="n"/>
      <c r="L1441" s="65" t="n"/>
      <c r="M1441" s="65" t="n"/>
      <c r="N1441" s="65" t="n"/>
      <c r="O1441" s="65" t="n"/>
      <c r="P1441" s="65" t="n"/>
      <c r="Q1441" s="65" t="n"/>
      <c r="R1441" s="65" t="n"/>
      <c r="S1441" s="65" t="n"/>
      <c r="T1441" s="65" t="n"/>
      <c r="U1441" s="65" t="n"/>
      <c r="V1441" s="65" t="n"/>
      <c r="W1441" s="65" t="n"/>
      <c r="X1441" s="65" t="n"/>
      <c r="Y1441" s="32">
        <f>IF($C1441="","",IF(COUNTA($I1441:$K1441)&lt;3,"— חסרים נתונים",IF(AND($I1441="תקין",$J1441="תקין",$K1441="תקין"),"רהוטה",IF(AND($I1441="תקין",$J1441="תקין"),"מדויקת ורציפה","אינה מדויקת או מקוטעת"))))</f>
        <v/>
      </c>
      <c r="Z1441" s="32">
        <f>IF($C1441="","",IF(COUNTA($U1441:$W1441)&lt;3,"",IF(AND($U1441="מפותח",$V1441="מפותח",$W1441="מפותחת"),"מפותחת",IF((--($U1441="דל"))+(--($V1441="אינו מפותח"))+(--($W1441="דלה"))&gt;=2,"אינה מפותחת","חלקית"))))</f>
        <v/>
      </c>
      <c r="AA1441" s="32">
        <f>IF($C1441="","",IF(COUNTA($M1441,$N1441,$O1441)&lt;3,"— חסרים נתונים",IF(OR($M1441="נמוכה",(--($M1441&lt;&gt;"תקינה"))+(--($N1441&lt;&gt;"תקין"))+(--($O1441&lt;&gt;"תקינה"))&gt;=2),"ניכרת","אינה ניכרת")))</f>
        <v/>
      </c>
      <c r="AB1441" s="32">
        <f>IF(OR($C1441="",$Y1441="",$AA1441="",LEFT($Y1441,1)="—",LEFT($AA1441,1)="—"),"",IF($Z1441="","— נדרשת הערכת כתיבה",IF($L1441="","— חסרה הבנת הנקרא",IF($Y1441="אינה מדויקת או מקוטעת",IF($AA1441="ניכרת","מיקוד בשטף הקריאה ובכישורי שפה","מיקוד בשטף קריאה"),IF($AA1441="ניכרת","מיקוד בכישורי שפה",IF(AND($L1441="תקינה",$Z1441="מפותחת"),"קוראים וכותבים מיומנים","מיקוד בהבנה והבעה"))))))</f>
        <v/>
      </c>
      <c r="AC1441" s="32">
        <f>IF(OR($AB1441="",LEFT($AB1441,1)="—"),"",IF(OR($AB1441="מיקוד בשטף קריאה",$AB1441="מיקוד בשטף הקריאה ובכישורי שפה"),"רמה א'",IF($AB1441="קוראים וכותבים מיומנים","רמה ג'","רמה ב'")))</f>
        <v/>
      </c>
      <c r="AD1441" s="32">
        <f>IF($AC1441="","",MID(IF(AND($AC1441="רמה א'",$AA1441="ניכרת"),"; להוסיף עבודת אוצר מילים","")&amp;IF($Z1441="אינה מפותחת","; דגש על הבעה בכתב","")&amp;IF($K1441&lt;&gt;"תקין","; נדרש לעבוד על ההנגנה","")&amp;IF($AK1441&lt;&gt;"","; "&amp;$AK1441,""),3,400))</f>
        <v/>
      </c>
      <c r="AE1441" s="32">
        <f>IF($F1441="","",IF($F1441="תחילת שנה",1,IF($F1441="מחצית שנה",2,3)))</f>
        <v/>
      </c>
      <c r="AF1441" s="32">
        <f>IF(OR($B1441="",$AC1441="",$A1441="",$F1441=""),"",$B1441&amp;"|"&amp;$A1441&amp;"|"&amp;$F1441&amp;"|"&amp;$AC1441&amp;"|"&amp;COUNTIFS($B$6:$B1441,$B1441,$A$6:$A1441,$A1441,$F$6:$F1441,$F1441,$AC$6:$AC1441,$AC1441))</f>
        <v/>
      </c>
      <c r="AG1441" s="32">
        <f>IF($C1441="","",$C1441&amp;"|"&amp;COUNTIFS($C$6:$C1441,$C1441))</f>
        <v/>
      </c>
      <c r="AH1441" s="32">
        <f>IF(OR($C1441="",$A1441="",$AE1441=""),"",$C1441&amp;"|"&amp;$A1441&amp;"|"&amp;$AE1441)</f>
        <v/>
      </c>
      <c r="AI1441" s="32">
        <f>IF(OR($C1441="",$AE1441="",$AE1441=1),"",IFERROR(INDEX($AC$6:$AC$1505,MATCH($C1441&amp;"|"&amp;$A1441&amp;"|"&amp;($AE1441-1),$AH$6:$AH$1505,0)),""))</f>
        <v/>
      </c>
      <c r="AJ1441" s="32">
        <f>IF(OR($AI1441="",$AC1441=""),"",IF($AI1441=$AC1441,"ללא שינוי","מ-"&amp;$AI1441&amp;" ל-"&amp;$AC1441))</f>
        <v/>
      </c>
      <c r="AK1441" s="67" t="n"/>
    </row>
    <row r="1442">
      <c r="A1442" s="65" t="n"/>
      <c r="B1442" s="65" t="n"/>
      <c r="C1442" s="66" t="n"/>
      <c r="D1442" s="66" t="n"/>
      <c r="E1442" s="65" t="n"/>
      <c r="F1442" s="65" t="n"/>
      <c r="G1442" s="65" t="n"/>
      <c r="H1442" s="65" t="n"/>
      <c r="I1442" s="65" t="n"/>
      <c r="J1442" s="65" t="n"/>
      <c r="K1442" s="65" t="n"/>
      <c r="L1442" s="65" t="n"/>
      <c r="M1442" s="65" t="n"/>
      <c r="N1442" s="65" t="n"/>
      <c r="O1442" s="65" t="n"/>
      <c r="P1442" s="65" t="n"/>
      <c r="Q1442" s="65" t="n"/>
      <c r="R1442" s="65" t="n"/>
      <c r="S1442" s="65" t="n"/>
      <c r="T1442" s="65" t="n"/>
      <c r="U1442" s="65" t="n"/>
      <c r="V1442" s="65" t="n"/>
      <c r="W1442" s="65" t="n"/>
      <c r="X1442" s="65" t="n"/>
      <c r="Y1442" s="32">
        <f>IF($C1442="","",IF(COUNTA($I1442:$K1442)&lt;3,"— חסרים נתונים",IF(AND($I1442="תקין",$J1442="תקין",$K1442="תקין"),"רהוטה",IF(AND($I1442="תקין",$J1442="תקין"),"מדויקת ורציפה","אינה מדויקת או מקוטעת"))))</f>
        <v/>
      </c>
      <c r="Z1442" s="32">
        <f>IF($C1442="","",IF(COUNTA($U1442:$W1442)&lt;3,"",IF(AND($U1442="מפותח",$V1442="מפותח",$W1442="מפותחת"),"מפותחת",IF((--($U1442="דל"))+(--($V1442="אינו מפותח"))+(--($W1442="דלה"))&gt;=2,"אינה מפותחת","חלקית"))))</f>
        <v/>
      </c>
      <c r="AA1442" s="32">
        <f>IF($C1442="","",IF(COUNTA($M1442,$N1442,$O1442)&lt;3,"— חסרים נתונים",IF(OR($M1442="נמוכה",(--($M1442&lt;&gt;"תקינה"))+(--($N1442&lt;&gt;"תקין"))+(--($O1442&lt;&gt;"תקינה"))&gt;=2),"ניכרת","אינה ניכרת")))</f>
        <v/>
      </c>
      <c r="AB1442" s="32">
        <f>IF(OR($C1442="",$Y1442="",$AA1442="",LEFT($Y1442,1)="—",LEFT($AA1442,1)="—"),"",IF($Z1442="","— נדרשת הערכת כתיבה",IF($L1442="","— חסרה הבנת הנקרא",IF($Y1442="אינה מדויקת או מקוטעת",IF($AA1442="ניכרת","מיקוד בשטף הקריאה ובכישורי שפה","מיקוד בשטף קריאה"),IF($AA1442="ניכרת","מיקוד בכישורי שפה",IF(AND($L1442="תקינה",$Z1442="מפותחת"),"קוראים וכותבים מיומנים","מיקוד בהבנה והבעה"))))))</f>
        <v/>
      </c>
      <c r="AC1442" s="32">
        <f>IF(OR($AB1442="",LEFT($AB1442,1)="—"),"",IF(OR($AB1442="מיקוד בשטף קריאה",$AB1442="מיקוד בשטף הקריאה ובכישורי שפה"),"רמה א'",IF($AB1442="קוראים וכותבים מיומנים","רמה ג'","רמה ב'")))</f>
        <v/>
      </c>
      <c r="AD1442" s="32">
        <f>IF($AC1442="","",MID(IF(AND($AC1442="רמה א'",$AA1442="ניכרת"),"; להוסיף עבודת אוצר מילים","")&amp;IF($Z1442="אינה מפותחת","; דגש על הבעה בכתב","")&amp;IF($K1442&lt;&gt;"תקין","; נדרש לעבוד על ההנגנה","")&amp;IF($AK1442&lt;&gt;"","; "&amp;$AK1442,""),3,400))</f>
        <v/>
      </c>
      <c r="AE1442" s="32">
        <f>IF($F1442="","",IF($F1442="תחילת שנה",1,IF($F1442="מחצית שנה",2,3)))</f>
        <v/>
      </c>
      <c r="AF1442" s="32">
        <f>IF(OR($B1442="",$AC1442="",$A1442="",$F1442=""),"",$B1442&amp;"|"&amp;$A1442&amp;"|"&amp;$F1442&amp;"|"&amp;$AC1442&amp;"|"&amp;COUNTIFS($B$6:$B1442,$B1442,$A$6:$A1442,$A1442,$F$6:$F1442,$F1442,$AC$6:$AC1442,$AC1442))</f>
        <v/>
      </c>
      <c r="AG1442" s="32">
        <f>IF($C1442="","",$C1442&amp;"|"&amp;COUNTIFS($C$6:$C1442,$C1442))</f>
        <v/>
      </c>
      <c r="AH1442" s="32">
        <f>IF(OR($C1442="",$A1442="",$AE1442=""),"",$C1442&amp;"|"&amp;$A1442&amp;"|"&amp;$AE1442)</f>
        <v/>
      </c>
      <c r="AI1442" s="32">
        <f>IF(OR($C1442="",$AE1442="",$AE1442=1),"",IFERROR(INDEX($AC$6:$AC$1505,MATCH($C1442&amp;"|"&amp;$A1442&amp;"|"&amp;($AE1442-1),$AH$6:$AH$1505,0)),""))</f>
        <v/>
      </c>
      <c r="AJ1442" s="32">
        <f>IF(OR($AI1442="",$AC1442=""),"",IF($AI1442=$AC1442,"ללא שינוי","מ-"&amp;$AI1442&amp;" ל-"&amp;$AC1442))</f>
        <v/>
      </c>
      <c r="AK1442" s="67" t="n"/>
    </row>
    <row r="1443">
      <c r="A1443" s="65" t="n"/>
      <c r="B1443" s="65" t="n"/>
      <c r="C1443" s="66" t="n"/>
      <c r="D1443" s="66" t="n"/>
      <c r="E1443" s="65" t="n"/>
      <c r="F1443" s="65" t="n"/>
      <c r="G1443" s="65" t="n"/>
      <c r="H1443" s="65" t="n"/>
      <c r="I1443" s="65" t="n"/>
      <c r="J1443" s="65" t="n"/>
      <c r="K1443" s="65" t="n"/>
      <c r="L1443" s="65" t="n"/>
      <c r="M1443" s="65" t="n"/>
      <c r="N1443" s="65" t="n"/>
      <c r="O1443" s="65" t="n"/>
      <c r="P1443" s="65" t="n"/>
      <c r="Q1443" s="65" t="n"/>
      <c r="R1443" s="65" t="n"/>
      <c r="S1443" s="65" t="n"/>
      <c r="T1443" s="65" t="n"/>
      <c r="U1443" s="65" t="n"/>
      <c r="V1443" s="65" t="n"/>
      <c r="W1443" s="65" t="n"/>
      <c r="X1443" s="65" t="n"/>
      <c r="Y1443" s="32">
        <f>IF($C1443="","",IF(COUNTA($I1443:$K1443)&lt;3,"— חסרים נתונים",IF(AND($I1443="תקין",$J1443="תקין",$K1443="תקין"),"רהוטה",IF(AND($I1443="תקין",$J1443="תקין"),"מדויקת ורציפה","אינה מדויקת או מקוטעת"))))</f>
        <v/>
      </c>
      <c r="Z1443" s="32">
        <f>IF($C1443="","",IF(COUNTA($U1443:$W1443)&lt;3,"",IF(AND($U1443="מפותח",$V1443="מפותח",$W1443="מפותחת"),"מפותחת",IF((--($U1443="דל"))+(--($V1443="אינו מפותח"))+(--($W1443="דלה"))&gt;=2,"אינה מפותחת","חלקית"))))</f>
        <v/>
      </c>
      <c r="AA1443" s="32">
        <f>IF($C1443="","",IF(COUNTA($M1443,$N1443,$O1443)&lt;3,"— חסרים נתונים",IF(OR($M1443="נמוכה",(--($M1443&lt;&gt;"תקינה"))+(--($N1443&lt;&gt;"תקין"))+(--($O1443&lt;&gt;"תקינה"))&gt;=2),"ניכרת","אינה ניכרת")))</f>
        <v/>
      </c>
      <c r="AB1443" s="32">
        <f>IF(OR($C1443="",$Y1443="",$AA1443="",LEFT($Y1443,1)="—",LEFT($AA1443,1)="—"),"",IF($Z1443="","— נדרשת הערכת כתיבה",IF($L1443="","— חסרה הבנת הנקרא",IF($Y1443="אינה מדויקת או מקוטעת",IF($AA1443="ניכרת","מיקוד בשטף הקריאה ובכישורי שפה","מיקוד בשטף קריאה"),IF($AA1443="ניכרת","מיקוד בכישורי שפה",IF(AND($L1443="תקינה",$Z1443="מפותחת"),"קוראים וכותבים מיומנים","מיקוד בהבנה והבעה"))))))</f>
        <v/>
      </c>
      <c r="AC1443" s="32">
        <f>IF(OR($AB1443="",LEFT($AB1443,1)="—"),"",IF(OR($AB1443="מיקוד בשטף קריאה",$AB1443="מיקוד בשטף הקריאה ובכישורי שפה"),"רמה א'",IF($AB1443="קוראים וכותבים מיומנים","רמה ג'","רמה ב'")))</f>
        <v/>
      </c>
      <c r="AD1443" s="32">
        <f>IF($AC1443="","",MID(IF(AND($AC1443="רמה א'",$AA1443="ניכרת"),"; להוסיף עבודת אוצר מילים","")&amp;IF($Z1443="אינה מפותחת","; דגש על הבעה בכתב","")&amp;IF($K1443&lt;&gt;"תקין","; נדרש לעבוד על ההנגנה","")&amp;IF($AK1443&lt;&gt;"","; "&amp;$AK1443,""),3,400))</f>
        <v/>
      </c>
      <c r="AE1443" s="32">
        <f>IF($F1443="","",IF($F1443="תחילת שנה",1,IF($F1443="מחצית שנה",2,3)))</f>
        <v/>
      </c>
      <c r="AF1443" s="32">
        <f>IF(OR($B1443="",$AC1443="",$A1443="",$F1443=""),"",$B1443&amp;"|"&amp;$A1443&amp;"|"&amp;$F1443&amp;"|"&amp;$AC1443&amp;"|"&amp;COUNTIFS($B$6:$B1443,$B1443,$A$6:$A1443,$A1443,$F$6:$F1443,$F1443,$AC$6:$AC1443,$AC1443))</f>
        <v/>
      </c>
      <c r="AG1443" s="32">
        <f>IF($C1443="","",$C1443&amp;"|"&amp;COUNTIFS($C$6:$C1443,$C1443))</f>
        <v/>
      </c>
      <c r="AH1443" s="32">
        <f>IF(OR($C1443="",$A1443="",$AE1443=""),"",$C1443&amp;"|"&amp;$A1443&amp;"|"&amp;$AE1443)</f>
        <v/>
      </c>
      <c r="AI1443" s="32">
        <f>IF(OR($C1443="",$AE1443="",$AE1443=1),"",IFERROR(INDEX($AC$6:$AC$1505,MATCH($C1443&amp;"|"&amp;$A1443&amp;"|"&amp;($AE1443-1),$AH$6:$AH$1505,0)),""))</f>
        <v/>
      </c>
      <c r="AJ1443" s="32">
        <f>IF(OR($AI1443="",$AC1443=""),"",IF($AI1443=$AC1443,"ללא שינוי","מ-"&amp;$AI1443&amp;" ל-"&amp;$AC1443))</f>
        <v/>
      </c>
      <c r="AK1443" s="67" t="n"/>
    </row>
    <row r="1444">
      <c r="A1444" s="65" t="n"/>
      <c r="B1444" s="65" t="n"/>
      <c r="C1444" s="66" t="n"/>
      <c r="D1444" s="66" t="n"/>
      <c r="E1444" s="65" t="n"/>
      <c r="F1444" s="65" t="n"/>
      <c r="G1444" s="65" t="n"/>
      <c r="H1444" s="65" t="n"/>
      <c r="I1444" s="65" t="n"/>
      <c r="J1444" s="65" t="n"/>
      <c r="K1444" s="65" t="n"/>
      <c r="L1444" s="65" t="n"/>
      <c r="M1444" s="65" t="n"/>
      <c r="N1444" s="65" t="n"/>
      <c r="O1444" s="65" t="n"/>
      <c r="P1444" s="65" t="n"/>
      <c r="Q1444" s="65" t="n"/>
      <c r="R1444" s="65" t="n"/>
      <c r="S1444" s="65" t="n"/>
      <c r="T1444" s="65" t="n"/>
      <c r="U1444" s="65" t="n"/>
      <c r="V1444" s="65" t="n"/>
      <c r="W1444" s="65" t="n"/>
      <c r="X1444" s="65" t="n"/>
      <c r="Y1444" s="32">
        <f>IF($C1444="","",IF(COUNTA($I1444:$K1444)&lt;3,"— חסרים נתונים",IF(AND($I1444="תקין",$J1444="תקין",$K1444="תקין"),"רהוטה",IF(AND($I1444="תקין",$J1444="תקין"),"מדויקת ורציפה","אינה מדויקת או מקוטעת"))))</f>
        <v/>
      </c>
      <c r="Z1444" s="32">
        <f>IF($C1444="","",IF(COUNTA($U1444:$W1444)&lt;3,"",IF(AND($U1444="מפותח",$V1444="מפותח",$W1444="מפותחת"),"מפותחת",IF((--($U1444="דל"))+(--($V1444="אינו מפותח"))+(--($W1444="דלה"))&gt;=2,"אינה מפותחת","חלקית"))))</f>
        <v/>
      </c>
      <c r="AA1444" s="32">
        <f>IF($C1444="","",IF(COUNTA($M1444,$N1444,$O1444)&lt;3,"— חסרים נתונים",IF(OR($M1444="נמוכה",(--($M1444&lt;&gt;"תקינה"))+(--($N1444&lt;&gt;"תקין"))+(--($O1444&lt;&gt;"תקינה"))&gt;=2),"ניכרת","אינה ניכרת")))</f>
        <v/>
      </c>
      <c r="AB1444" s="32">
        <f>IF(OR($C1444="",$Y1444="",$AA1444="",LEFT($Y1444,1)="—",LEFT($AA1444,1)="—"),"",IF($Z1444="","— נדרשת הערכת כתיבה",IF($L1444="","— חסרה הבנת הנקרא",IF($Y1444="אינה מדויקת או מקוטעת",IF($AA1444="ניכרת","מיקוד בשטף הקריאה ובכישורי שפה","מיקוד בשטף קריאה"),IF($AA1444="ניכרת","מיקוד בכישורי שפה",IF(AND($L1444="תקינה",$Z1444="מפותחת"),"קוראים וכותבים מיומנים","מיקוד בהבנה והבעה"))))))</f>
        <v/>
      </c>
      <c r="AC1444" s="32">
        <f>IF(OR($AB1444="",LEFT($AB1444,1)="—"),"",IF(OR($AB1444="מיקוד בשטף קריאה",$AB1444="מיקוד בשטף הקריאה ובכישורי שפה"),"רמה א'",IF($AB1444="קוראים וכותבים מיומנים","רמה ג'","רמה ב'")))</f>
        <v/>
      </c>
      <c r="AD1444" s="32">
        <f>IF($AC1444="","",MID(IF(AND($AC1444="רמה א'",$AA1444="ניכרת"),"; להוסיף עבודת אוצר מילים","")&amp;IF($Z1444="אינה מפותחת","; דגש על הבעה בכתב","")&amp;IF($K1444&lt;&gt;"תקין","; נדרש לעבוד על ההנגנה","")&amp;IF($AK1444&lt;&gt;"","; "&amp;$AK1444,""),3,400))</f>
        <v/>
      </c>
      <c r="AE1444" s="32">
        <f>IF($F1444="","",IF($F1444="תחילת שנה",1,IF($F1444="מחצית שנה",2,3)))</f>
        <v/>
      </c>
      <c r="AF1444" s="32">
        <f>IF(OR($B1444="",$AC1444="",$A1444="",$F1444=""),"",$B1444&amp;"|"&amp;$A1444&amp;"|"&amp;$F1444&amp;"|"&amp;$AC1444&amp;"|"&amp;COUNTIFS($B$6:$B1444,$B1444,$A$6:$A1444,$A1444,$F$6:$F1444,$F1444,$AC$6:$AC1444,$AC1444))</f>
        <v/>
      </c>
      <c r="AG1444" s="32">
        <f>IF($C1444="","",$C1444&amp;"|"&amp;COUNTIFS($C$6:$C1444,$C1444))</f>
        <v/>
      </c>
      <c r="AH1444" s="32">
        <f>IF(OR($C1444="",$A1444="",$AE1444=""),"",$C1444&amp;"|"&amp;$A1444&amp;"|"&amp;$AE1444)</f>
        <v/>
      </c>
      <c r="AI1444" s="32">
        <f>IF(OR($C1444="",$AE1444="",$AE1444=1),"",IFERROR(INDEX($AC$6:$AC$1505,MATCH($C1444&amp;"|"&amp;$A1444&amp;"|"&amp;($AE1444-1),$AH$6:$AH$1505,0)),""))</f>
        <v/>
      </c>
      <c r="AJ1444" s="32">
        <f>IF(OR($AI1444="",$AC1444=""),"",IF($AI1444=$AC1444,"ללא שינוי","מ-"&amp;$AI1444&amp;" ל-"&amp;$AC1444))</f>
        <v/>
      </c>
      <c r="AK1444" s="67" t="n"/>
    </row>
    <row r="1445">
      <c r="A1445" s="65" t="n"/>
      <c r="B1445" s="65" t="n"/>
      <c r="C1445" s="66" t="n"/>
      <c r="D1445" s="66" t="n"/>
      <c r="E1445" s="65" t="n"/>
      <c r="F1445" s="65" t="n"/>
      <c r="G1445" s="65" t="n"/>
      <c r="H1445" s="65" t="n"/>
      <c r="I1445" s="65" t="n"/>
      <c r="J1445" s="65" t="n"/>
      <c r="K1445" s="65" t="n"/>
      <c r="L1445" s="65" t="n"/>
      <c r="M1445" s="65" t="n"/>
      <c r="N1445" s="65" t="n"/>
      <c r="O1445" s="65" t="n"/>
      <c r="P1445" s="65" t="n"/>
      <c r="Q1445" s="65" t="n"/>
      <c r="R1445" s="65" t="n"/>
      <c r="S1445" s="65" t="n"/>
      <c r="T1445" s="65" t="n"/>
      <c r="U1445" s="65" t="n"/>
      <c r="V1445" s="65" t="n"/>
      <c r="W1445" s="65" t="n"/>
      <c r="X1445" s="65" t="n"/>
      <c r="Y1445" s="32">
        <f>IF($C1445="","",IF(COUNTA($I1445:$K1445)&lt;3,"— חסרים נתונים",IF(AND($I1445="תקין",$J1445="תקין",$K1445="תקין"),"רהוטה",IF(AND($I1445="תקין",$J1445="תקין"),"מדויקת ורציפה","אינה מדויקת או מקוטעת"))))</f>
        <v/>
      </c>
      <c r="Z1445" s="32">
        <f>IF($C1445="","",IF(COUNTA($U1445:$W1445)&lt;3,"",IF(AND($U1445="מפותח",$V1445="מפותח",$W1445="מפותחת"),"מפותחת",IF((--($U1445="דל"))+(--($V1445="אינו מפותח"))+(--($W1445="דלה"))&gt;=2,"אינה מפותחת","חלקית"))))</f>
        <v/>
      </c>
      <c r="AA1445" s="32">
        <f>IF($C1445="","",IF(COUNTA($M1445,$N1445,$O1445)&lt;3,"— חסרים נתונים",IF(OR($M1445="נמוכה",(--($M1445&lt;&gt;"תקינה"))+(--($N1445&lt;&gt;"תקין"))+(--($O1445&lt;&gt;"תקינה"))&gt;=2),"ניכרת","אינה ניכרת")))</f>
        <v/>
      </c>
      <c r="AB1445" s="32">
        <f>IF(OR($C1445="",$Y1445="",$AA1445="",LEFT($Y1445,1)="—",LEFT($AA1445,1)="—"),"",IF($Z1445="","— נדרשת הערכת כתיבה",IF($L1445="","— חסרה הבנת הנקרא",IF($Y1445="אינה מדויקת או מקוטעת",IF($AA1445="ניכרת","מיקוד בשטף הקריאה ובכישורי שפה","מיקוד בשטף קריאה"),IF($AA1445="ניכרת","מיקוד בכישורי שפה",IF(AND($L1445="תקינה",$Z1445="מפותחת"),"קוראים וכותבים מיומנים","מיקוד בהבנה והבעה"))))))</f>
        <v/>
      </c>
      <c r="AC1445" s="32">
        <f>IF(OR($AB1445="",LEFT($AB1445,1)="—"),"",IF(OR($AB1445="מיקוד בשטף קריאה",$AB1445="מיקוד בשטף הקריאה ובכישורי שפה"),"רמה א'",IF($AB1445="קוראים וכותבים מיומנים","רמה ג'","רמה ב'")))</f>
        <v/>
      </c>
      <c r="AD1445" s="32">
        <f>IF($AC1445="","",MID(IF(AND($AC1445="רמה א'",$AA1445="ניכרת"),"; להוסיף עבודת אוצר מילים","")&amp;IF($Z1445="אינה מפותחת","; דגש על הבעה בכתב","")&amp;IF($K1445&lt;&gt;"תקין","; נדרש לעבוד על ההנגנה","")&amp;IF($AK1445&lt;&gt;"","; "&amp;$AK1445,""),3,400))</f>
        <v/>
      </c>
      <c r="AE1445" s="32">
        <f>IF($F1445="","",IF($F1445="תחילת שנה",1,IF($F1445="מחצית שנה",2,3)))</f>
        <v/>
      </c>
      <c r="AF1445" s="32">
        <f>IF(OR($B1445="",$AC1445="",$A1445="",$F1445=""),"",$B1445&amp;"|"&amp;$A1445&amp;"|"&amp;$F1445&amp;"|"&amp;$AC1445&amp;"|"&amp;COUNTIFS($B$6:$B1445,$B1445,$A$6:$A1445,$A1445,$F$6:$F1445,$F1445,$AC$6:$AC1445,$AC1445))</f>
        <v/>
      </c>
      <c r="AG1445" s="32">
        <f>IF($C1445="","",$C1445&amp;"|"&amp;COUNTIFS($C$6:$C1445,$C1445))</f>
        <v/>
      </c>
      <c r="AH1445" s="32">
        <f>IF(OR($C1445="",$A1445="",$AE1445=""),"",$C1445&amp;"|"&amp;$A1445&amp;"|"&amp;$AE1445)</f>
        <v/>
      </c>
      <c r="AI1445" s="32">
        <f>IF(OR($C1445="",$AE1445="",$AE1445=1),"",IFERROR(INDEX($AC$6:$AC$1505,MATCH($C1445&amp;"|"&amp;$A1445&amp;"|"&amp;($AE1445-1),$AH$6:$AH$1505,0)),""))</f>
        <v/>
      </c>
      <c r="AJ1445" s="32">
        <f>IF(OR($AI1445="",$AC1445=""),"",IF($AI1445=$AC1445,"ללא שינוי","מ-"&amp;$AI1445&amp;" ל-"&amp;$AC1445))</f>
        <v/>
      </c>
      <c r="AK1445" s="67" t="n"/>
    </row>
    <row r="1446">
      <c r="A1446" s="65" t="n"/>
      <c r="B1446" s="65" t="n"/>
      <c r="C1446" s="66" t="n"/>
      <c r="D1446" s="66" t="n"/>
      <c r="E1446" s="65" t="n"/>
      <c r="F1446" s="65" t="n"/>
      <c r="G1446" s="65" t="n"/>
      <c r="H1446" s="65" t="n"/>
      <c r="I1446" s="65" t="n"/>
      <c r="J1446" s="65" t="n"/>
      <c r="K1446" s="65" t="n"/>
      <c r="L1446" s="65" t="n"/>
      <c r="M1446" s="65" t="n"/>
      <c r="N1446" s="65" t="n"/>
      <c r="O1446" s="65" t="n"/>
      <c r="P1446" s="65" t="n"/>
      <c r="Q1446" s="65" t="n"/>
      <c r="R1446" s="65" t="n"/>
      <c r="S1446" s="65" t="n"/>
      <c r="T1446" s="65" t="n"/>
      <c r="U1446" s="65" t="n"/>
      <c r="V1446" s="65" t="n"/>
      <c r="W1446" s="65" t="n"/>
      <c r="X1446" s="65" t="n"/>
      <c r="Y1446" s="32">
        <f>IF($C1446="","",IF(COUNTA($I1446:$K1446)&lt;3,"— חסרים נתונים",IF(AND($I1446="תקין",$J1446="תקין",$K1446="תקין"),"רהוטה",IF(AND($I1446="תקין",$J1446="תקין"),"מדויקת ורציפה","אינה מדויקת או מקוטעת"))))</f>
        <v/>
      </c>
      <c r="Z1446" s="32">
        <f>IF($C1446="","",IF(COUNTA($U1446:$W1446)&lt;3,"",IF(AND($U1446="מפותח",$V1446="מפותח",$W1446="מפותחת"),"מפותחת",IF((--($U1446="דל"))+(--($V1446="אינו מפותח"))+(--($W1446="דלה"))&gt;=2,"אינה מפותחת","חלקית"))))</f>
        <v/>
      </c>
      <c r="AA1446" s="32">
        <f>IF($C1446="","",IF(COUNTA($M1446,$N1446,$O1446)&lt;3,"— חסרים נתונים",IF(OR($M1446="נמוכה",(--($M1446&lt;&gt;"תקינה"))+(--($N1446&lt;&gt;"תקין"))+(--($O1446&lt;&gt;"תקינה"))&gt;=2),"ניכרת","אינה ניכרת")))</f>
        <v/>
      </c>
      <c r="AB1446" s="32">
        <f>IF(OR($C1446="",$Y1446="",$AA1446="",LEFT($Y1446,1)="—",LEFT($AA1446,1)="—"),"",IF($Z1446="","— נדרשת הערכת כתיבה",IF($L1446="","— חסרה הבנת הנקרא",IF($Y1446="אינה מדויקת או מקוטעת",IF($AA1446="ניכרת","מיקוד בשטף הקריאה ובכישורי שפה","מיקוד בשטף קריאה"),IF($AA1446="ניכרת","מיקוד בכישורי שפה",IF(AND($L1446="תקינה",$Z1446="מפותחת"),"קוראים וכותבים מיומנים","מיקוד בהבנה והבעה"))))))</f>
        <v/>
      </c>
      <c r="AC1446" s="32">
        <f>IF(OR($AB1446="",LEFT($AB1446,1)="—"),"",IF(OR($AB1446="מיקוד בשטף קריאה",$AB1446="מיקוד בשטף הקריאה ובכישורי שפה"),"רמה א'",IF($AB1446="קוראים וכותבים מיומנים","רמה ג'","רמה ב'")))</f>
        <v/>
      </c>
      <c r="AD1446" s="32">
        <f>IF($AC1446="","",MID(IF(AND($AC1446="רמה א'",$AA1446="ניכרת"),"; להוסיף עבודת אוצר מילים","")&amp;IF($Z1446="אינה מפותחת","; דגש על הבעה בכתב","")&amp;IF($K1446&lt;&gt;"תקין","; נדרש לעבוד על ההנגנה","")&amp;IF($AK1446&lt;&gt;"","; "&amp;$AK1446,""),3,400))</f>
        <v/>
      </c>
      <c r="AE1446" s="32">
        <f>IF($F1446="","",IF($F1446="תחילת שנה",1,IF($F1446="מחצית שנה",2,3)))</f>
        <v/>
      </c>
      <c r="AF1446" s="32">
        <f>IF(OR($B1446="",$AC1446="",$A1446="",$F1446=""),"",$B1446&amp;"|"&amp;$A1446&amp;"|"&amp;$F1446&amp;"|"&amp;$AC1446&amp;"|"&amp;COUNTIFS($B$6:$B1446,$B1446,$A$6:$A1446,$A1446,$F$6:$F1446,$F1446,$AC$6:$AC1446,$AC1446))</f>
        <v/>
      </c>
      <c r="AG1446" s="32">
        <f>IF($C1446="","",$C1446&amp;"|"&amp;COUNTIFS($C$6:$C1446,$C1446))</f>
        <v/>
      </c>
      <c r="AH1446" s="32">
        <f>IF(OR($C1446="",$A1446="",$AE1446=""),"",$C1446&amp;"|"&amp;$A1446&amp;"|"&amp;$AE1446)</f>
        <v/>
      </c>
      <c r="AI1446" s="32">
        <f>IF(OR($C1446="",$AE1446="",$AE1446=1),"",IFERROR(INDEX($AC$6:$AC$1505,MATCH($C1446&amp;"|"&amp;$A1446&amp;"|"&amp;($AE1446-1),$AH$6:$AH$1505,0)),""))</f>
        <v/>
      </c>
      <c r="AJ1446" s="32">
        <f>IF(OR($AI1446="",$AC1446=""),"",IF($AI1446=$AC1446,"ללא שינוי","מ-"&amp;$AI1446&amp;" ל-"&amp;$AC1446))</f>
        <v/>
      </c>
      <c r="AK1446" s="67" t="n"/>
    </row>
    <row r="1447">
      <c r="A1447" s="65" t="n"/>
      <c r="B1447" s="65" t="n"/>
      <c r="C1447" s="66" t="n"/>
      <c r="D1447" s="66" t="n"/>
      <c r="E1447" s="65" t="n"/>
      <c r="F1447" s="65" t="n"/>
      <c r="G1447" s="65" t="n"/>
      <c r="H1447" s="65" t="n"/>
      <c r="I1447" s="65" t="n"/>
      <c r="J1447" s="65" t="n"/>
      <c r="K1447" s="65" t="n"/>
      <c r="L1447" s="65" t="n"/>
      <c r="M1447" s="65" t="n"/>
      <c r="N1447" s="65" t="n"/>
      <c r="O1447" s="65" t="n"/>
      <c r="P1447" s="65" t="n"/>
      <c r="Q1447" s="65" t="n"/>
      <c r="R1447" s="65" t="n"/>
      <c r="S1447" s="65" t="n"/>
      <c r="T1447" s="65" t="n"/>
      <c r="U1447" s="65" t="n"/>
      <c r="V1447" s="65" t="n"/>
      <c r="W1447" s="65" t="n"/>
      <c r="X1447" s="65" t="n"/>
      <c r="Y1447" s="32">
        <f>IF($C1447="","",IF(COUNTA($I1447:$K1447)&lt;3,"— חסרים נתונים",IF(AND($I1447="תקין",$J1447="תקין",$K1447="תקין"),"רהוטה",IF(AND($I1447="תקין",$J1447="תקין"),"מדויקת ורציפה","אינה מדויקת או מקוטעת"))))</f>
        <v/>
      </c>
      <c r="Z1447" s="32">
        <f>IF($C1447="","",IF(COUNTA($U1447:$W1447)&lt;3,"",IF(AND($U1447="מפותח",$V1447="מפותח",$W1447="מפותחת"),"מפותחת",IF((--($U1447="דל"))+(--($V1447="אינו מפותח"))+(--($W1447="דלה"))&gt;=2,"אינה מפותחת","חלקית"))))</f>
        <v/>
      </c>
      <c r="AA1447" s="32">
        <f>IF($C1447="","",IF(COUNTA($M1447,$N1447,$O1447)&lt;3,"— חסרים נתונים",IF(OR($M1447="נמוכה",(--($M1447&lt;&gt;"תקינה"))+(--($N1447&lt;&gt;"תקין"))+(--($O1447&lt;&gt;"תקינה"))&gt;=2),"ניכרת","אינה ניכרת")))</f>
        <v/>
      </c>
      <c r="AB1447" s="32">
        <f>IF(OR($C1447="",$Y1447="",$AA1447="",LEFT($Y1447,1)="—",LEFT($AA1447,1)="—"),"",IF($Z1447="","— נדרשת הערכת כתיבה",IF($L1447="","— חסרה הבנת הנקרא",IF($Y1447="אינה מדויקת או מקוטעת",IF($AA1447="ניכרת","מיקוד בשטף הקריאה ובכישורי שפה","מיקוד בשטף קריאה"),IF($AA1447="ניכרת","מיקוד בכישורי שפה",IF(AND($L1447="תקינה",$Z1447="מפותחת"),"קוראים וכותבים מיומנים","מיקוד בהבנה והבעה"))))))</f>
        <v/>
      </c>
      <c r="AC1447" s="32">
        <f>IF(OR($AB1447="",LEFT($AB1447,1)="—"),"",IF(OR($AB1447="מיקוד בשטף קריאה",$AB1447="מיקוד בשטף הקריאה ובכישורי שפה"),"רמה א'",IF($AB1447="קוראים וכותבים מיומנים","רמה ג'","רמה ב'")))</f>
        <v/>
      </c>
      <c r="AD1447" s="32">
        <f>IF($AC1447="","",MID(IF(AND($AC1447="רמה א'",$AA1447="ניכרת"),"; להוסיף עבודת אוצר מילים","")&amp;IF($Z1447="אינה מפותחת","; דגש על הבעה בכתב","")&amp;IF($K1447&lt;&gt;"תקין","; נדרש לעבוד על ההנגנה","")&amp;IF($AK1447&lt;&gt;"","; "&amp;$AK1447,""),3,400))</f>
        <v/>
      </c>
      <c r="AE1447" s="32">
        <f>IF($F1447="","",IF($F1447="תחילת שנה",1,IF($F1447="מחצית שנה",2,3)))</f>
        <v/>
      </c>
      <c r="AF1447" s="32">
        <f>IF(OR($B1447="",$AC1447="",$A1447="",$F1447=""),"",$B1447&amp;"|"&amp;$A1447&amp;"|"&amp;$F1447&amp;"|"&amp;$AC1447&amp;"|"&amp;COUNTIFS($B$6:$B1447,$B1447,$A$6:$A1447,$A1447,$F$6:$F1447,$F1447,$AC$6:$AC1447,$AC1447))</f>
        <v/>
      </c>
      <c r="AG1447" s="32">
        <f>IF($C1447="","",$C1447&amp;"|"&amp;COUNTIFS($C$6:$C1447,$C1447))</f>
        <v/>
      </c>
      <c r="AH1447" s="32">
        <f>IF(OR($C1447="",$A1447="",$AE1447=""),"",$C1447&amp;"|"&amp;$A1447&amp;"|"&amp;$AE1447)</f>
        <v/>
      </c>
      <c r="AI1447" s="32">
        <f>IF(OR($C1447="",$AE1447="",$AE1447=1),"",IFERROR(INDEX($AC$6:$AC$1505,MATCH($C1447&amp;"|"&amp;$A1447&amp;"|"&amp;($AE1447-1),$AH$6:$AH$1505,0)),""))</f>
        <v/>
      </c>
      <c r="AJ1447" s="32">
        <f>IF(OR($AI1447="",$AC1447=""),"",IF($AI1447=$AC1447,"ללא שינוי","מ-"&amp;$AI1447&amp;" ל-"&amp;$AC1447))</f>
        <v/>
      </c>
      <c r="AK1447" s="67" t="n"/>
    </row>
    <row r="1448">
      <c r="A1448" s="65" t="n"/>
      <c r="B1448" s="65" t="n"/>
      <c r="C1448" s="66" t="n"/>
      <c r="D1448" s="66" t="n"/>
      <c r="E1448" s="65" t="n"/>
      <c r="F1448" s="65" t="n"/>
      <c r="G1448" s="65" t="n"/>
      <c r="H1448" s="65" t="n"/>
      <c r="I1448" s="65" t="n"/>
      <c r="J1448" s="65" t="n"/>
      <c r="K1448" s="65" t="n"/>
      <c r="L1448" s="65" t="n"/>
      <c r="M1448" s="65" t="n"/>
      <c r="N1448" s="65" t="n"/>
      <c r="O1448" s="65" t="n"/>
      <c r="P1448" s="65" t="n"/>
      <c r="Q1448" s="65" t="n"/>
      <c r="R1448" s="65" t="n"/>
      <c r="S1448" s="65" t="n"/>
      <c r="T1448" s="65" t="n"/>
      <c r="U1448" s="65" t="n"/>
      <c r="V1448" s="65" t="n"/>
      <c r="W1448" s="65" t="n"/>
      <c r="X1448" s="65" t="n"/>
      <c r="Y1448" s="32">
        <f>IF($C1448="","",IF(COUNTA($I1448:$K1448)&lt;3,"— חסרים נתונים",IF(AND($I1448="תקין",$J1448="תקין",$K1448="תקין"),"רהוטה",IF(AND($I1448="תקין",$J1448="תקין"),"מדויקת ורציפה","אינה מדויקת או מקוטעת"))))</f>
        <v/>
      </c>
      <c r="Z1448" s="32">
        <f>IF($C1448="","",IF(COUNTA($U1448:$W1448)&lt;3,"",IF(AND($U1448="מפותח",$V1448="מפותח",$W1448="מפותחת"),"מפותחת",IF((--($U1448="דל"))+(--($V1448="אינו מפותח"))+(--($W1448="דלה"))&gt;=2,"אינה מפותחת","חלקית"))))</f>
        <v/>
      </c>
      <c r="AA1448" s="32">
        <f>IF($C1448="","",IF(COUNTA($M1448,$N1448,$O1448)&lt;3,"— חסרים נתונים",IF(OR($M1448="נמוכה",(--($M1448&lt;&gt;"תקינה"))+(--($N1448&lt;&gt;"תקין"))+(--($O1448&lt;&gt;"תקינה"))&gt;=2),"ניכרת","אינה ניכרת")))</f>
        <v/>
      </c>
      <c r="AB1448" s="32">
        <f>IF(OR($C1448="",$Y1448="",$AA1448="",LEFT($Y1448,1)="—",LEFT($AA1448,1)="—"),"",IF($Z1448="","— נדרשת הערכת כתיבה",IF($L1448="","— חסרה הבנת הנקרא",IF($Y1448="אינה מדויקת או מקוטעת",IF($AA1448="ניכרת","מיקוד בשטף הקריאה ובכישורי שפה","מיקוד בשטף קריאה"),IF($AA1448="ניכרת","מיקוד בכישורי שפה",IF(AND($L1448="תקינה",$Z1448="מפותחת"),"קוראים וכותבים מיומנים","מיקוד בהבנה והבעה"))))))</f>
        <v/>
      </c>
      <c r="AC1448" s="32">
        <f>IF(OR($AB1448="",LEFT($AB1448,1)="—"),"",IF(OR($AB1448="מיקוד בשטף קריאה",$AB1448="מיקוד בשטף הקריאה ובכישורי שפה"),"רמה א'",IF($AB1448="קוראים וכותבים מיומנים","רמה ג'","רמה ב'")))</f>
        <v/>
      </c>
      <c r="AD1448" s="32">
        <f>IF($AC1448="","",MID(IF(AND($AC1448="רמה א'",$AA1448="ניכרת"),"; להוסיף עבודת אוצר מילים","")&amp;IF($Z1448="אינה מפותחת","; דגש על הבעה בכתב","")&amp;IF($K1448&lt;&gt;"תקין","; נדרש לעבוד על ההנגנה","")&amp;IF($AK1448&lt;&gt;"","; "&amp;$AK1448,""),3,400))</f>
        <v/>
      </c>
      <c r="AE1448" s="32">
        <f>IF($F1448="","",IF($F1448="תחילת שנה",1,IF($F1448="מחצית שנה",2,3)))</f>
        <v/>
      </c>
      <c r="AF1448" s="32">
        <f>IF(OR($B1448="",$AC1448="",$A1448="",$F1448=""),"",$B1448&amp;"|"&amp;$A1448&amp;"|"&amp;$F1448&amp;"|"&amp;$AC1448&amp;"|"&amp;COUNTIFS($B$6:$B1448,$B1448,$A$6:$A1448,$A1448,$F$6:$F1448,$F1448,$AC$6:$AC1448,$AC1448))</f>
        <v/>
      </c>
      <c r="AG1448" s="32">
        <f>IF($C1448="","",$C1448&amp;"|"&amp;COUNTIFS($C$6:$C1448,$C1448))</f>
        <v/>
      </c>
      <c r="AH1448" s="32">
        <f>IF(OR($C1448="",$A1448="",$AE1448=""),"",$C1448&amp;"|"&amp;$A1448&amp;"|"&amp;$AE1448)</f>
        <v/>
      </c>
      <c r="AI1448" s="32">
        <f>IF(OR($C1448="",$AE1448="",$AE1448=1),"",IFERROR(INDEX($AC$6:$AC$1505,MATCH($C1448&amp;"|"&amp;$A1448&amp;"|"&amp;($AE1448-1),$AH$6:$AH$1505,0)),""))</f>
        <v/>
      </c>
      <c r="AJ1448" s="32">
        <f>IF(OR($AI1448="",$AC1448=""),"",IF($AI1448=$AC1448,"ללא שינוי","מ-"&amp;$AI1448&amp;" ל-"&amp;$AC1448))</f>
        <v/>
      </c>
      <c r="AK1448" s="67" t="n"/>
    </row>
    <row r="1449">
      <c r="A1449" s="65" t="n"/>
      <c r="B1449" s="65" t="n"/>
      <c r="C1449" s="66" t="n"/>
      <c r="D1449" s="66" t="n"/>
      <c r="E1449" s="65" t="n"/>
      <c r="F1449" s="65" t="n"/>
      <c r="G1449" s="65" t="n"/>
      <c r="H1449" s="65" t="n"/>
      <c r="I1449" s="65" t="n"/>
      <c r="J1449" s="65" t="n"/>
      <c r="K1449" s="65" t="n"/>
      <c r="L1449" s="65" t="n"/>
      <c r="M1449" s="65" t="n"/>
      <c r="N1449" s="65" t="n"/>
      <c r="O1449" s="65" t="n"/>
      <c r="P1449" s="65" t="n"/>
      <c r="Q1449" s="65" t="n"/>
      <c r="R1449" s="65" t="n"/>
      <c r="S1449" s="65" t="n"/>
      <c r="T1449" s="65" t="n"/>
      <c r="U1449" s="65" t="n"/>
      <c r="V1449" s="65" t="n"/>
      <c r="W1449" s="65" t="n"/>
      <c r="X1449" s="65" t="n"/>
      <c r="Y1449" s="32">
        <f>IF($C1449="","",IF(COUNTA($I1449:$K1449)&lt;3,"— חסרים נתונים",IF(AND($I1449="תקין",$J1449="תקין",$K1449="תקין"),"רהוטה",IF(AND($I1449="תקין",$J1449="תקין"),"מדויקת ורציפה","אינה מדויקת או מקוטעת"))))</f>
        <v/>
      </c>
      <c r="Z1449" s="32">
        <f>IF($C1449="","",IF(COUNTA($U1449:$W1449)&lt;3,"",IF(AND($U1449="מפותח",$V1449="מפותח",$W1449="מפותחת"),"מפותחת",IF((--($U1449="דל"))+(--($V1449="אינו מפותח"))+(--($W1449="דלה"))&gt;=2,"אינה מפותחת","חלקית"))))</f>
        <v/>
      </c>
      <c r="AA1449" s="32">
        <f>IF($C1449="","",IF(COUNTA($M1449,$N1449,$O1449)&lt;3,"— חסרים נתונים",IF(OR($M1449="נמוכה",(--($M1449&lt;&gt;"תקינה"))+(--($N1449&lt;&gt;"תקין"))+(--($O1449&lt;&gt;"תקינה"))&gt;=2),"ניכרת","אינה ניכרת")))</f>
        <v/>
      </c>
      <c r="AB1449" s="32">
        <f>IF(OR($C1449="",$Y1449="",$AA1449="",LEFT($Y1449,1)="—",LEFT($AA1449,1)="—"),"",IF($Z1449="","— נדרשת הערכת כתיבה",IF($L1449="","— חסרה הבנת הנקרא",IF($Y1449="אינה מדויקת או מקוטעת",IF($AA1449="ניכרת","מיקוד בשטף הקריאה ובכישורי שפה","מיקוד בשטף קריאה"),IF($AA1449="ניכרת","מיקוד בכישורי שפה",IF(AND($L1449="תקינה",$Z1449="מפותחת"),"קוראים וכותבים מיומנים","מיקוד בהבנה והבעה"))))))</f>
        <v/>
      </c>
      <c r="AC1449" s="32">
        <f>IF(OR($AB1449="",LEFT($AB1449,1)="—"),"",IF(OR($AB1449="מיקוד בשטף קריאה",$AB1449="מיקוד בשטף הקריאה ובכישורי שפה"),"רמה א'",IF($AB1449="קוראים וכותבים מיומנים","רמה ג'","רמה ב'")))</f>
        <v/>
      </c>
      <c r="AD1449" s="32">
        <f>IF($AC1449="","",MID(IF(AND($AC1449="רמה א'",$AA1449="ניכרת"),"; להוסיף עבודת אוצר מילים","")&amp;IF($Z1449="אינה מפותחת","; דגש על הבעה בכתב","")&amp;IF($K1449&lt;&gt;"תקין","; נדרש לעבוד על ההנגנה","")&amp;IF($AK1449&lt;&gt;"","; "&amp;$AK1449,""),3,400))</f>
        <v/>
      </c>
      <c r="AE1449" s="32">
        <f>IF($F1449="","",IF($F1449="תחילת שנה",1,IF($F1449="מחצית שנה",2,3)))</f>
        <v/>
      </c>
      <c r="AF1449" s="32">
        <f>IF(OR($B1449="",$AC1449="",$A1449="",$F1449=""),"",$B1449&amp;"|"&amp;$A1449&amp;"|"&amp;$F1449&amp;"|"&amp;$AC1449&amp;"|"&amp;COUNTIFS($B$6:$B1449,$B1449,$A$6:$A1449,$A1449,$F$6:$F1449,$F1449,$AC$6:$AC1449,$AC1449))</f>
        <v/>
      </c>
      <c r="AG1449" s="32">
        <f>IF($C1449="","",$C1449&amp;"|"&amp;COUNTIFS($C$6:$C1449,$C1449))</f>
        <v/>
      </c>
      <c r="AH1449" s="32">
        <f>IF(OR($C1449="",$A1449="",$AE1449=""),"",$C1449&amp;"|"&amp;$A1449&amp;"|"&amp;$AE1449)</f>
        <v/>
      </c>
      <c r="AI1449" s="32">
        <f>IF(OR($C1449="",$AE1449="",$AE1449=1),"",IFERROR(INDEX($AC$6:$AC$1505,MATCH($C1449&amp;"|"&amp;$A1449&amp;"|"&amp;($AE1449-1),$AH$6:$AH$1505,0)),""))</f>
        <v/>
      </c>
      <c r="AJ1449" s="32">
        <f>IF(OR($AI1449="",$AC1449=""),"",IF($AI1449=$AC1449,"ללא שינוי","מ-"&amp;$AI1449&amp;" ל-"&amp;$AC1449))</f>
        <v/>
      </c>
      <c r="AK1449" s="67" t="n"/>
    </row>
    <row r="1450">
      <c r="A1450" s="65" t="n"/>
      <c r="B1450" s="65" t="n"/>
      <c r="C1450" s="66" t="n"/>
      <c r="D1450" s="66" t="n"/>
      <c r="E1450" s="65" t="n"/>
      <c r="F1450" s="65" t="n"/>
      <c r="G1450" s="65" t="n"/>
      <c r="H1450" s="65" t="n"/>
      <c r="I1450" s="65" t="n"/>
      <c r="J1450" s="65" t="n"/>
      <c r="K1450" s="65" t="n"/>
      <c r="L1450" s="65" t="n"/>
      <c r="M1450" s="65" t="n"/>
      <c r="N1450" s="65" t="n"/>
      <c r="O1450" s="65" t="n"/>
      <c r="P1450" s="65" t="n"/>
      <c r="Q1450" s="65" t="n"/>
      <c r="R1450" s="65" t="n"/>
      <c r="S1450" s="65" t="n"/>
      <c r="T1450" s="65" t="n"/>
      <c r="U1450" s="65" t="n"/>
      <c r="V1450" s="65" t="n"/>
      <c r="W1450" s="65" t="n"/>
      <c r="X1450" s="65" t="n"/>
      <c r="Y1450" s="32">
        <f>IF($C1450="","",IF(COUNTA($I1450:$K1450)&lt;3,"— חסרים נתונים",IF(AND($I1450="תקין",$J1450="תקין",$K1450="תקין"),"רהוטה",IF(AND($I1450="תקין",$J1450="תקין"),"מדויקת ורציפה","אינה מדויקת או מקוטעת"))))</f>
        <v/>
      </c>
      <c r="Z1450" s="32">
        <f>IF($C1450="","",IF(COUNTA($U1450:$W1450)&lt;3,"",IF(AND($U1450="מפותח",$V1450="מפותח",$W1450="מפותחת"),"מפותחת",IF((--($U1450="דל"))+(--($V1450="אינו מפותח"))+(--($W1450="דלה"))&gt;=2,"אינה מפותחת","חלקית"))))</f>
        <v/>
      </c>
      <c r="AA1450" s="32">
        <f>IF($C1450="","",IF(COUNTA($M1450,$N1450,$O1450)&lt;3,"— חסרים נתונים",IF(OR($M1450="נמוכה",(--($M1450&lt;&gt;"תקינה"))+(--($N1450&lt;&gt;"תקין"))+(--($O1450&lt;&gt;"תקינה"))&gt;=2),"ניכרת","אינה ניכרת")))</f>
        <v/>
      </c>
      <c r="AB1450" s="32">
        <f>IF(OR($C1450="",$Y1450="",$AA1450="",LEFT($Y1450,1)="—",LEFT($AA1450,1)="—"),"",IF($Z1450="","— נדרשת הערכת כתיבה",IF($L1450="","— חסרה הבנת הנקרא",IF($Y1450="אינה מדויקת או מקוטעת",IF($AA1450="ניכרת","מיקוד בשטף הקריאה ובכישורי שפה","מיקוד בשטף קריאה"),IF($AA1450="ניכרת","מיקוד בכישורי שפה",IF(AND($L1450="תקינה",$Z1450="מפותחת"),"קוראים וכותבים מיומנים","מיקוד בהבנה והבעה"))))))</f>
        <v/>
      </c>
      <c r="AC1450" s="32">
        <f>IF(OR($AB1450="",LEFT($AB1450,1)="—"),"",IF(OR($AB1450="מיקוד בשטף קריאה",$AB1450="מיקוד בשטף הקריאה ובכישורי שפה"),"רמה א'",IF($AB1450="קוראים וכותבים מיומנים","רמה ג'","רמה ב'")))</f>
        <v/>
      </c>
      <c r="AD1450" s="32">
        <f>IF($AC1450="","",MID(IF(AND($AC1450="רמה א'",$AA1450="ניכרת"),"; להוסיף עבודת אוצר מילים","")&amp;IF($Z1450="אינה מפותחת","; דגש על הבעה בכתב","")&amp;IF($K1450&lt;&gt;"תקין","; נדרש לעבוד על ההנגנה","")&amp;IF($AK1450&lt;&gt;"","; "&amp;$AK1450,""),3,400))</f>
        <v/>
      </c>
      <c r="AE1450" s="32">
        <f>IF($F1450="","",IF($F1450="תחילת שנה",1,IF($F1450="מחצית שנה",2,3)))</f>
        <v/>
      </c>
      <c r="AF1450" s="32">
        <f>IF(OR($B1450="",$AC1450="",$A1450="",$F1450=""),"",$B1450&amp;"|"&amp;$A1450&amp;"|"&amp;$F1450&amp;"|"&amp;$AC1450&amp;"|"&amp;COUNTIFS($B$6:$B1450,$B1450,$A$6:$A1450,$A1450,$F$6:$F1450,$F1450,$AC$6:$AC1450,$AC1450))</f>
        <v/>
      </c>
      <c r="AG1450" s="32">
        <f>IF($C1450="","",$C1450&amp;"|"&amp;COUNTIFS($C$6:$C1450,$C1450))</f>
        <v/>
      </c>
      <c r="AH1450" s="32">
        <f>IF(OR($C1450="",$A1450="",$AE1450=""),"",$C1450&amp;"|"&amp;$A1450&amp;"|"&amp;$AE1450)</f>
        <v/>
      </c>
      <c r="AI1450" s="32">
        <f>IF(OR($C1450="",$AE1450="",$AE1450=1),"",IFERROR(INDEX($AC$6:$AC$1505,MATCH($C1450&amp;"|"&amp;$A1450&amp;"|"&amp;($AE1450-1),$AH$6:$AH$1505,0)),""))</f>
        <v/>
      </c>
      <c r="AJ1450" s="32">
        <f>IF(OR($AI1450="",$AC1450=""),"",IF($AI1450=$AC1450,"ללא שינוי","מ-"&amp;$AI1450&amp;" ל-"&amp;$AC1450))</f>
        <v/>
      </c>
      <c r="AK1450" s="67" t="n"/>
    </row>
    <row r="1451">
      <c r="A1451" s="65" t="n"/>
      <c r="B1451" s="65" t="n"/>
      <c r="C1451" s="66" t="n"/>
      <c r="D1451" s="66" t="n"/>
      <c r="E1451" s="65" t="n"/>
      <c r="F1451" s="65" t="n"/>
      <c r="G1451" s="65" t="n"/>
      <c r="H1451" s="65" t="n"/>
      <c r="I1451" s="65" t="n"/>
      <c r="J1451" s="65" t="n"/>
      <c r="K1451" s="65" t="n"/>
      <c r="L1451" s="65" t="n"/>
      <c r="M1451" s="65" t="n"/>
      <c r="N1451" s="65" t="n"/>
      <c r="O1451" s="65" t="n"/>
      <c r="P1451" s="65" t="n"/>
      <c r="Q1451" s="65" t="n"/>
      <c r="R1451" s="65" t="n"/>
      <c r="S1451" s="65" t="n"/>
      <c r="T1451" s="65" t="n"/>
      <c r="U1451" s="65" t="n"/>
      <c r="V1451" s="65" t="n"/>
      <c r="W1451" s="65" t="n"/>
      <c r="X1451" s="65" t="n"/>
      <c r="Y1451" s="32">
        <f>IF($C1451="","",IF(COUNTA($I1451:$K1451)&lt;3,"— חסרים נתונים",IF(AND($I1451="תקין",$J1451="תקין",$K1451="תקין"),"רהוטה",IF(AND($I1451="תקין",$J1451="תקין"),"מדויקת ורציפה","אינה מדויקת או מקוטעת"))))</f>
        <v/>
      </c>
      <c r="Z1451" s="32">
        <f>IF($C1451="","",IF(COUNTA($U1451:$W1451)&lt;3,"",IF(AND($U1451="מפותח",$V1451="מפותח",$W1451="מפותחת"),"מפותחת",IF((--($U1451="דל"))+(--($V1451="אינו מפותח"))+(--($W1451="דלה"))&gt;=2,"אינה מפותחת","חלקית"))))</f>
        <v/>
      </c>
      <c r="AA1451" s="32">
        <f>IF($C1451="","",IF(COUNTA($M1451,$N1451,$O1451)&lt;3,"— חסרים נתונים",IF(OR($M1451="נמוכה",(--($M1451&lt;&gt;"תקינה"))+(--($N1451&lt;&gt;"תקין"))+(--($O1451&lt;&gt;"תקינה"))&gt;=2),"ניכרת","אינה ניכרת")))</f>
        <v/>
      </c>
      <c r="AB1451" s="32">
        <f>IF(OR($C1451="",$Y1451="",$AA1451="",LEFT($Y1451,1)="—",LEFT($AA1451,1)="—"),"",IF($Z1451="","— נדרשת הערכת כתיבה",IF($L1451="","— חסרה הבנת הנקרא",IF($Y1451="אינה מדויקת או מקוטעת",IF($AA1451="ניכרת","מיקוד בשטף הקריאה ובכישורי שפה","מיקוד בשטף קריאה"),IF($AA1451="ניכרת","מיקוד בכישורי שפה",IF(AND($L1451="תקינה",$Z1451="מפותחת"),"קוראים וכותבים מיומנים","מיקוד בהבנה והבעה"))))))</f>
        <v/>
      </c>
      <c r="AC1451" s="32">
        <f>IF(OR($AB1451="",LEFT($AB1451,1)="—"),"",IF(OR($AB1451="מיקוד בשטף קריאה",$AB1451="מיקוד בשטף הקריאה ובכישורי שפה"),"רמה א'",IF($AB1451="קוראים וכותבים מיומנים","רמה ג'","רמה ב'")))</f>
        <v/>
      </c>
      <c r="AD1451" s="32">
        <f>IF($AC1451="","",MID(IF(AND($AC1451="רמה א'",$AA1451="ניכרת"),"; להוסיף עבודת אוצר מילים","")&amp;IF($Z1451="אינה מפותחת","; דגש על הבעה בכתב","")&amp;IF($K1451&lt;&gt;"תקין","; נדרש לעבוד על ההנגנה","")&amp;IF($AK1451&lt;&gt;"","; "&amp;$AK1451,""),3,400))</f>
        <v/>
      </c>
      <c r="AE1451" s="32">
        <f>IF($F1451="","",IF($F1451="תחילת שנה",1,IF($F1451="מחצית שנה",2,3)))</f>
        <v/>
      </c>
      <c r="AF1451" s="32">
        <f>IF(OR($B1451="",$AC1451="",$A1451="",$F1451=""),"",$B1451&amp;"|"&amp;$A1451&amp;"|"&amp;$F1451&amp;"|"&amp;$AC1451&amp;"|"&amp;COUNTIFS($B$6:$B1451,$B1451,$A$6:$A1451,$A1451,$F$6:$F1451,$F1451,$AC$6:$AC1451,$AC1451))</f>
        <v/>
      </c>
      <c r="AG1451" s="32">
        <f>IF($C1451="","",$C1451&amp;"|"&amp;COUNTIFS($C$6:$C1451,$C1451))</f>
        <v/>
      </c>
      <c r="AH1451" s="32">
        <f>IF(OR($C1451="",$A1451="",$AE1451=""),"",$C1451&amp;"|"&amp;$A1451&amp;"|"&amp;$AE1451)</f>
        <v/>
      </c>
      <c r="AI1451" s="32">
        <f>IF(OR($C1451="",$AE1451="",$AE1451=1),"",IFERROR(INDEX($AC$6:$AC$1505,MATCH($C1451&amp;"|"&amp;$A1451&amp;"|"&amp;($AE1451-1),$AH$6:$AH$1505,0)),""))</f>
        <v/>
      </c>
      <c r="AJ1451" s="32">
        <f>IF(OR($AI1451="",$AC1451=""),"",IF($AI1451=$AC1451,"ללא שינוי","מ-"&amp;$AI1451&amp;" ל-"&amp;$AC1451))</f>
        <v/>
      </c>
      <c r="AK1451" s="67" t="n"/>
    </row>
    <row r="1452">
      <c r="A1452" s="65" t="n"/>
      <c r="B1452" s="65" t="n"/>
      <c r="C1452" s="66" t="n"/>
      <c r="D1452" s="66" t="n"/>
      <c r="E1452" s="65" t="n"/>
      <c r="F1452" s="65" t="n"/>
      <c r="G1452" s="65" t="n"/>
      <c r="H1452" s="65" t="n"/>
      <c r="I1452" s="65" t="n"/>
      <c r="J1452" s="65" t="n"/>
      <c r="K1452" s="65" t="n"/>
      <c r="L1452" s="65" t="n"/>
      <c r="M1452" s="65" t="n"/>
      <c r="N1452" s="65" t="n"/>
      <c r="O1452" s="65" t="n"/>
      <c r="P1452" s="65" t="n"/>
      <c r="Q1452" s="65" t="n"/>
      <c r="R1452" s="65" t="n"/>
      <c r="S1452" s="65" t="n"/>
      <c r="T1452" s="65" t="n"/>
      <c r="U1452" s="65" t="n"/>
      <c r="V1452" s="65" t="n"/>
      <c r="W1452" s="65" t="n"/>
      <c r="X1452" s="65" t="n"/>
      <c r="Y1452" s="32">
        <f>IF($C1452="","",IF(COUNTA($I1452:$K1452)&lt;3,"— חסרים נתונים",IF(AND($I1452="תקין",$J1452="תקין",$K1452="תקין"),"רהוטה",IF(AND($I1452="תקין",$J1452="תקין"),"מדויקת ורציפה","אינה מדויקת או מקוטעת"))))</f>
        <v/>
      </c>
      <c r="Z1452" s="32">
        <f>IF($C1452="","",IF(COUNTA($U1452:$W1452)&lt;3,"",IF(AND($U1452="מפותח",$V1452="מפותח",$W1452="מפותחת"),"מפותחת",IF((--($U1452="דל"))+(--($V1452="אינו מפותח"))+(--($W1452="דלה"))&gt;=2,"אינה מפותחת","חלקית"))))</f>
        <v/>
      </c>
      <c r="AA1452" s="32">
        <f>IF($C1452="","",IF(COUNTA($M1452,$N1452,$O1452)&lt;3,"— חסרים נתונים",IF(OR($M1452="נמוכה",(--($M1452&lt;&gt;"תקינה"))+(--($N1452&lt;&gt;"תקין"))+(--($O1452&lt;&gt;"תקינה"))&gt;=2),"ניכרת","אינה ניכרת")))</f>
        <v/>
      </c>
      <c r="AB1452" s="32">
        <f>IF(OR($C1452="",$Y1452="",$AA1452="",LEFT($Y1452,1)="—",LEFT($AA1452,1)="—"),"",IF($Z1452="","— נדרשת הערכת כתיבה",IF($L1452="","— חסרה הבנת הנקרא",IF($Y1452="אינה מדויקת או מקוטעת",IF($AA1452="ניכרת","מיקוד בשטף הקריאה ובכישורי שפה","מיקוד בשטף קריאה"),IF($AA1452="ניכרת","מיקוד בכישורי שפה",IF(AND($L1452="תקינה",$Z1452="מפותחת"),"קוראים וכותבים מיומנים","מיקוד בהבנה והבעה"))))))</f>
        <v/>
      </c>
      <c r="AC1452" s="32">
        <f>IF(OR($AB1452="",LEFT($AB1452,1)="—"),"",IF(OR($AB1452="מיקוד בשטף קריאה",$AB1452="מיקוד בשטף הקריאה ובכישורי שפה"),"רמה א'",IF($AB1452="קוראים וכותבים מיומנים","רמה ג'","רמה ב'")))</f>
        <v/>
      </c>
      <c r="AD1452" s="32">
        <f>IF($AC1452="","",MID(IF(AND($AC1452="רמה א'",$AA1452="ניכרת"),"; להוסיף עבודת אוצר מילים","")&amp;IF($Z1452="אינה מפותחת","; דגש על הבעה בכתב","")&amp;IF($K1452&lt;&gt;"תקין","; נדרש לעבוד על ההנגנה","")&amp;IF($AK1452&lt;&gt;"","; "&amp;$AK1452,""),3,400))</f>
        <v/>
      </c>
      <c r="AE1452" s="32">
        <f>IF($F1452="","",IF($F1452="תחילת שנה",1,IF($F1452="מחצית שנה",2,3)))</f>
        <v/>
      </c>
      <c r="AF1452" s="32">
        <f>IF(OR($B1452="",$AC1452="",$A1452="",$F1452=""),"",$B1452&amp;"|"&amp;$A1452&amp;"|"&amp;$F1452&amp;"|"&amp;$AC1452&amp;"|"&amp;COUNTIFS($B$6:$B1452,$B1452,$A$6:$A1452,$A1452,$F$6:$F1452,$F1452,$AC$6:$AC1452,$AC1452))</f>
        <v/>
      </c>
      <c r="AG1452" s="32">
        <f>IF($C1452="","",$C1452&amp;"|"&amp;COUNTIFS($C$6:$C1452,$C1452))</f>
        <v/>
      </c>
      <c r="AH1452" s="32">
        <f>IF(OR($C1452="",$A1452="",$AE1452=""),"",$C1452&amp;"|"&amp;$A1452&amp;"|"&amp;$AE1452)</f>
        <v/>
      </c>
      <c r="AI1452" s="32">
        <f>IF(OR($C1452="",$AE1452="",$AE1452=1),"",IFERROR(INDEX($AC$6:$AC$1505,MATCH($C1452&amp;"|"&amp;$A1452&amp;"|"&amp;($AE1452-1),$AH$6:$AH$1505,0)),""))</f>
        <v/>
      </c>
      <c r="AJ1452" s="32">
        <f>IF(OR($AI1452="",$AC1452=""),"",IF($AI1452=$AC1452,"ללא שינוי","מ-"&amp;$AI1452&amp;" ל-"&amp;$AC1452))</f>
        <v/>
      </c>
      <c r="AK1452" s="67" t="n"/>
    </row>
    <row r="1453">
      <c r="A1453" s="65" t="n"/>
      <c r="B1453" s="65" t="n"/>
      <c r="C1453" s="66" t="n"/>
      <c r="D1453" s="66" t="n"/>
      <c r="E1453" s="65" t="n"/>
      <c r="F1453" s="65" t="n"/>
      <c r="G1453" s="65" t="n"/>
      <c r="H1453" s="65" t="n"/>
      <c r="I1453" s="65" t="n"/>
      <c r="J1453" s="65" t="n"/>
      <c r="K1453" s="65" t="n"/>
      <c r="L1453" s="65" t="n"/>
      <c r="M1453" s="65" t="n"/>
      <c r="N1453" s="65" t="n"/>
      <c r="O1453" s="65" t="n"/>
      <c r="P1453" s="65" t="n"/>
      <c r="Q1453" s="65" t="n"/>
      <c r="R1453" s="65" t="n"/>
      <c r="S1453" s="65" t="n"/>
      <c r="T1453" s="65" t="n"/>
      <c r="U1453" s="65" t="n"/>
      <c r="V1453" s="65" t="n"/>
      <c r="W1453" s="65" t="n"/>
      <c r="X1453" s="65" t="n"/>
      <c r="Y1453" s="32">
        <f>IF($C1453="","",IF(COUNTA($I1453:$K1453)&lt;3,"— חסרים נתונים",IF(AND($I1453="תקין",$J1453="תקין",$K1453="תקין"),"רהוטה",IF(AND($I1453="תקין",$J1453="תקין"),"מדויקת ורציפה","אינה מדויקת או מקוטעת"))))</f>
        <v/>
      </c>
      <c r="Z1453" s="32">
        <f>IF($C1453="","",IF(COUNTA($U1453:$W1453)&lt;3,"",IF(AND($U1453="מפותח",$V1453="מפותח",$W1453="מפותחת"),"מפותחת",IF((--($U1453="דל"))+(--($V1453="אינו מפותח"))+(--($W1453="דלה"))&gt;=2,"אינה מפותחת","חלקית"))))</f>
        <v/>
      </c>
      <c r="AA1453" s="32">
        <f>IF($C1453="","",IF(COUNTA($M1453,$N1453,$O1453)&lt;3,"— חסרים נתונים",IF(OR($M1453="נמוכה",(--($M1453&lt;&gt;"תקינה"))+(--($N1453&lt;&gt;"תקין"))+(--($O1453&lt;&gt;"תקינה"))&gt;=2),"ניכרת","אינה ניכרת")))</f>
        <v/>
      </c>
      <c r="AB1453" s="32">
        <f>IF(OR($C1453="",$Y1453="",$AA1453="",LEFT($Y1453,1)="—",LEFT($AA1453,1)="—"),"",IF($Z1453="","— נדרשת הערכת כתיבה",IF($L1453="","— חסרה הבנת הנקרא",IF($Y1453="אינה מדויקת או מקוטעת",IF($AA1453="ניכרת","מיקוד בשטף הקריאה ובכישורי שפה","מיקוד בשטף קריאה"),IF($AA1453="ניכרת","מיקוד בכישורי שפה",IF(AND($L1453="תקינה",$Z1453="מפותחת"),"קוראים וכותבים מיומנים","מיקוד בהבנה והבעה"))))))</f>
        <v/>
      </c>
      <c r="AC1453" s="32">
        <f>IF(OR($AB1453="",LEFT($AB1453,1)="—"),"",IF(OR($AB1453="מיקוד בשטף קריאה",$AB1453="מיקוד בשטף הקריאה ובכישורי שפה"),"רמה א'",IF($AB1453="קוראים וכותבים מיומנים","רמה ג'","רמה ב'")))</f>
        <v/>
      </c>
      <c r="AD1453" s="32">
        <f>IF($AC1453="","",MID(IF(AND($AC1453="רמה א'",$AA1453="ניכרת"),"; להוסיף עבודת אוצר מילים","")&amp;IF($Z1453="אינה מפותחת","; דגש על הבעה בכתב","")&amp;IF($K1453&lt;&gt;"תקין","; נדרש לעבוד על ההנגנה","")&amp;IF($AK1453&lt;&gt;"","; "&amp;$AK1453,""),3,400))</f>
        <v/>
      </c>
      <c r="AE1453" s="32">
        <f>IF($F1453="","",IF($F1453="תחילת שנה",1,IF($F1453="מחצית שנה",2,3)))</f>
        <v/>
      </c>
      <c r="AF1453" s="32">
        <f>IF(OR($B1453="",$AC1453="",$A1453="",$F1453=""),"",$B1453&amp;"|"&amp;$A1453&amp;"|"&amp;$F1453&amp;"|"&amp;$AC1453&amp;"|"&amp;COUNTIFS($B$6:$B1453,$B1453,$A$6:$A1453,$A1453,$F$6:$F1453,$F1453,$AC$6:$AC1453,$AC1453))</f>
        <v/>
      </c>
      <c r="AG1453" s="32">
        <f>IF($C1453="","",$C1453&amp;"|"&amp;COUNTIFS($C$6:$C1453,$C1453))</f>
        <v/>
      </c>
      <c r="AH1453" s="32">
        <f>IF(OR($C1453="",$A1453="",$AE1453=""),"",$C1453&amp;"|"&amp;$A1453&amp;"|"&amp;$AE1453)</f>
        <v/>
      </c>
      <c r="AI1453" s="32">
        <f>IF(OR($C1453="",$AE1453="",$AE1453=1),"",IFERROR(INDEX($AC$6:$AC$1505,MATCH($C1453&amp;"|"&amp;$A1453&amp;"|"&amp;($AE1453-1),$AH$6:$AH$1505,0)),""))</f>
        <v/>
      </c>
      <c r="AJ1453" s="32">
        <f>IF(OR($AI1453="",$AC1453=""),"",IF($AI1453=$AC1453,"ללא שינוי","מ-"&amp;$AI1453&amp;" ל-"&amp;$AC1453))</f>
        <v/>
      </c>
      <c r="AK1453" s="67" t="n"/>
    </row>
    <row r="1454">
      <c r="A1454" s="65" t="n"/>
      <c r="B1454" s="65" t="n"/>
      <c r="C1454" s="66" t="n"/>
      <c r="D1454" s="66" t="n"/>
      <c r="E1454" s="65" t="n"/>
      <c r="F1454" s="65" t="n"/>
      <c r="G1454" s="65" t="n"/>
      <c r="H1454" s="65" t="n"/>
      <c r="I1454" s="65" t="n"/>
      <c r="J1454" s="65" t="n"/>
      <c r="K1454" s="65" t="n"/>
      <c r="L1454" s="65" t="n"/>
      <c r="M1454" s="65" t="n"/>
      <c r="N1454" s="65" t="n"/>
      <c r="O1454" s="65" t="n"/>
      <c r="P1454" s="65" t="n"/>
      <c r="Q1454" s="65" t="n"/>
      <c r="R1454" s="65" t="n"/>
      <c r="S1454" s="65" t="n"/>
      <c r="T1454" s="65" t="n"/>
      <c r="U1454" s="65" t="n"/>
      <c r="V1454" s="65" t="n"/>
      <c r="W1454" s="65" t="n"/>
      <c r="X1454" s="65" t="n"/>
      <c r="Y1454" s="32">
        <f>IF($C1454="","",IF(COUNTA($I1454:$K1454)&lt;3,"— חסרים נתונים",IF(AND($I1454="תקין",$J1454="תקין",$K1454="תקין"),"רהוטה",IF(AND($I1454="תקין",$J1454="תקין"),"מדויקת ורציפה","אינה מדויקת או מקוטעת"))))</f>
        <v/>
      </c>
      <c r="Z1454" s="32">
        <f>IF($C1454="","",IF(COUNTA($U1454:$W1454)&lt;3,"",IF(AND($U1454="מפותח",$V1454="מפותח",$W1454="מפותחת"),"מפותחת",IF((--($U1454="דל"))+(--($V1454="אינו מפותח"))+(--($W1454="דלה"))&gt;=2,"אינה מפותחת","חלקית"))))</f>
        <v/>
      </c>
      <c r="AA1454" s="32">
        <f>IF($C1454="","",IF(COUNTA($M1454,$N1454,$O1454)&lt;3,"— חסרים נתונים",IF(OR($M1454="נמוכה",(--($M1454&lt;&gt;"תקינה"))+(--($N1454&lt;&gt;"תקין"))+(--($O1454&lt;&gt;"תקינה"))&gt;=2),"ניכרת","אינה ניכרת")))</f>
        <v/>
      </c>
      <c r="AB1454" s="32">
        <f>IF(OR($C1454="",$Y1454="",$AA1454="",LEFT($Y1454,1)="—",LEFT($AA1454,1)="—"),"",IF($Z1454="","— נדרשת הערכת כתיבה",IF($L1454="","— חסרה הבנת הנקרא",IF($Y1454="אינה מדויקת או מקוטעת",IF($AA1454="ניכרת","מיקוד בשטף הקריאה ובכישורי שפה","מיקוד בשטף קריאה"),IF($AA1454="ניכרת","מיקוד בכישורי שפה",IF(AND($L1454="תקינה",$Z1454="מפותחת"),"קוראים וכותבים מיומנים","מיקוד בהבנה והבעה"))))))</f>
        <v/>
      </c>
      <c r="AC1454" s="32">
        <f>IF(OR($AB1454="",LEFT($AB1454,1)="—"),"",IF(OR($AB1454="מיקוד בשטף קריאה",$AB1454="מיקוד בשטף הקריאה ובכישורי שפה"),"רמה א'",IF($AB1454="קוראים וכותבים מיומנים","רמה ג'","רמה ב'")))</f>
        <v/>
      </c>
      <c r="AD1454" s="32">
        <f>IF($AC1454="","",MID(IF(AND($AC1454="רמה א'",$AA1454="ניכרת"),"; להוסיף עבודת אוצר מילים","")&amp;IF($Z1454="אינה מפותחת","; דגש על הבעה בכתב","")&amp;IF($K1454&lt;&gt;"תקין","; נדרש לעבוד על ההנגנה","")&amp;IF($AK1454&lt;&gt;"","; "&amp;$AK1454,""),3,400))</f>
        <v/>
      </c>
      <c r="AE1454" s="32">
        <f>IF($F1454="","",IF($F1454="תחילת שנה",1,IF($F1454="מחצית שנה",2,3)))</f>
        <v/>
      </c>
      <c r="AF1454" s="32">
        <f>IF(OR($B1454="",$AC1454="",$A1454="",$F1454=""),"",$B1454&amp;"|"&amp;$A1454&amp;"|"&amp;$F1454&amp;"|"&amp;$AC1454&amp;"|"&amp;COUNTIFS($B$6:$B1454,$B1454,$A$6:$A1454,$A1454,$F$6:$F1454,$F1454,$AC$6:$AC1454,$AC1454))</f>
        <v/>
      </c>
      <c r="AG1454" s="32">
        <f>IF($C1454="","",$C1454&amp;"|"&amp;COUNTIFS($C$6:$C1454,$C1454))</f>
        <v/>
      </c>
      <c r="AH1454" s="32">
        <f>IF(OR($C1454="",$A1454="",$AE1454=""),"",$C1454&amp;"|"&amp;$A1454&amp;"|"&amp;$AE1454)</f>
        <v/>
      </c>
      <c r="AI1454" s="32">
        <f>IF(OR($C1454="",$AE1454="",$AE1454=1),"",IFERROR(INDEX($AC$6:$AC$1505,MATCH($C1454&amp;"|"&amp;$A1454&amp;"|"&amp;($AE1454-1),$AH$6:$AH$1505,0)),""))</f>
        <v/>
      </c>
      <c r="AJ1454" s="32">
        <f>IF(OR($AI1454="",$AC1454=""),"",IF($AI1454=$AC1454,"ללא שינוי","מ-"&amp;$AI1454&amp;" ל-"&amp;$AC1454))</f>
        <v/>
      </c>
      <c r="AK1454" s="67" t="n"/>
    </row>
    <row r="1455">
      <c r="A1455" s="65" t="n"/>
      <c r="B1455" s="65" t="n"/>
      <c r="C1455" s="66" t="n"/>
      <c r="D1455" s="66" t="n"/>
      <c r="E1455" s="65" t="n"/>
      <c r="F1455" s="65" t="n"/>
      <c r="G1455" s="65" t="n"/>
      <c r="H1455" s="65" t="n"/>
      <c r="I1455" s="65" t="n"/>
      <c r="J1455" s="65" t="n"/>
      <c r="K1455" s="65" t="n"/>
      <c r="L1455" s="65" t="n"/>
      <c r="M1455" s="65" t="n"/>
      <c r="N1455" s="65" t="n"/>
      <c r="O1455" s="65" t="n"/>
      <c r="P1455" s="65" t="n"/>
      <c r="Q1455" s="65" t="n"/>
      <c r="R1455" s="65" t="n"/>
      <c r="S1455" s="65" t="n"/>
      <c r="T1455" s="65" t="n"/>
      <c r="U1455" s="65" t="n"/>
      <c r="V1455" s="65" t="n"/>
      <c r="W1455" s="65" t="n"/>
      <c r="X1455" s="65" t="n"/>
      <c r="Y1455" s="32">
        <f>IF($C1455="","",IF(COUNTA($I1455:$K1455)&lt;3,"— חסרים נתונים",IF(AND($I1455="תקין",$J1455="תקין",$K1455="תקין"),"רהוטה",IF(AND($I1455="תקין",$J1455="תקין"),"מדויקת ורציפה","אינה מדויקת או מקוטעת"))))</f>
        <v/>
      </c>
      <c r="Z1455" s="32">
        <f>IF($C1455="","",IF(COUNTA($U1455:$W1455)&lt;3,"",IF(AND($U1455="מפותח",$V1455="מפותח",$W1455="מפותחת"),"מפותחת",IF((--($U1455="דל"))+(--($V1455="אינו מפותח"))+(--($W1455="דלה"))&gt;=2,"אינה מפותחת","חלקית"))))</f>
        <v/>
      </c>
      <c r="AA1455" s="32">
        <f>IF($C1455="","",IF(COUNTA($M1455,$N1455,$O1455)&lt;3,"— חסרים נתונים",IF(OR($M1455="נמוכה",(--($M1455&lt;&gt;"תקינה"))+(--($N1455&lt;&gt;"תקין"))+(--($O1455&lt;&gt;"תקינה"))&gt;=2),"ניכרת","אינה ניכרת")))</f>
        <v/>
      </c>
      <c r="AB1455" s="32">
        <f>IF(OR($C1455="",$Y1455="",$AA1455="",LEFT($Y1455,1)="—",LEFT($AA1455,1)="—"),"",IF($Z1455="","— נדרשת הערכת כתיבה",IF($L1455="","— חסרה הבנת הנקרא",IF($Y1455="אינה מדויקת או מקוטעת",IF($AA1455="ניכרת","מיקוד בשטף הקריאה ובכישורי שפה","מיקוד בשטף קריאה"),IF($AA1455="ניכרת","מיקוד בכישורי שפה",IF(AND($L1455="תקינה",$Z1455="מפותחת"),"קוראים וכותבים מיומנים","מיקוד בהבנה והבעה"))))))</f>
        <v/>
      </c>
      <c r="AC1455" s="32">
        <f>IF(OR($AB1455="",LEFT($AB1455,1)="—"),"",IF(OR($AB1455="מיקוד בשטף קריאה",$AB1455="מיקוד בשטף הקריאה ובכישורי שפה"),"רמה א'",IF($AB1455="קוראים וכותבים מיומנים","רמה ג'","רמה ב'")))</f>
        <v/>
      </c>
      <c r="AD1455" s="32">
        <f>IF($AC1455="","",MID(IF(AND($AC1455="רמה א'",$AA1455="ניכרת"),"; להוסיף עבודת אוצר מילים","")&amp;IF($Z1455="אינה מפותחת","; דגש על הבעה בכתב","")&amp;IF($K1455&lt;&gt;"תקין","; נדרש לעבוד על ההנגנה","")&amp;IF($AK1455&lt;&gt;"","; "&amp;$AK1455,""),3,400))</f>
        <v/>
      </c>
      <c r="AE1455" s="32">
        <f>IF($F1455="","",IF($F1455="תחילת שנה",1,IF($F1455="מחצית שנה",2,3)))</f>
        <v/>
      </c>
      <c r="AF1455" s="32">
        <f>IF(OR($B1455="",$AC1455="",$A1455="",$F1455=""),"",$B1455&amp;"|"&amp;$A1455&amp;"|"&amp;$F1455&amp;"|"&amp;$AC1455&amp;"|"&amp;COUNTIFS($B$6:$B1455,$B1455,$A$6:$A1455,$A1455,$F$6:$F1455,$F1455,$AC$6:$AC1455,$AC1455))</f>
        <v/>
      </c>
      <c r="AG1455" s="32">
        <f>IF($C1455="","",$C1455&amp;"|"&amp;COUNTIFS($C$6:$C1455,$C1455))</f>
        <v/>
      </c>
      <c r="AH1455" s="32">
        <f>IF(OR($C1455="",$A1455="",$AE1455=""),"",$C1455&amp;"|"&amp;$A1455&amp;"|"&amp;$AE1455)</f>
        <v/>
      </c>
      <c r="AI1455" s="32">
        <f>IF(OR($C1455="",$AE1455="",$AE1455=1),"",IFERROR(INDEX($AC$6:$AC$1505,MATCH($C1455&amp;"|"&amp;$A1455&amp;"|"&amp;($AE1455-1),$AH$6:$AH$1505,0)),""))</f>
        <v/>
      </c>
      <c r="AJ1455" s="32">
        <f>IF(OR($AI1455="",$AC1455=""),"",IF($AI1455=$AC1455,"ללא שינוי","מ-"&amp;$AI1455&amp;" ל-"&amp;$AC1455))</f>
        <v/>
      </c>
      <c r="AK1455" s="67" t="n"/>
    </row>
    <row r="1456">
      <c r="A1456" s="65" t="n"/>
      <c r="B1456" s="65" t="n"/>
      <c r="C1456" s="66" t="n"/>
      <c r="D1456" s="66" t="n"/>
      <c r="E1456" s="65" t="n"/>
      <c r="F1456" s="65" t="n"/>
      <c r="G1456" s="65" t="n"/>
      <c r="H1456" s="65" t="n"/>
      <c r="I1456" s="65" t="n"/>
      <c r="J1456" s="65" t="n"/>
      <c r="K1456" s="65" t="n"/>
      <c r="L1456" s="65" t="n"/>
      <c r="M1456" s="65" t="n"/>
      <c r="N1456" s="65" t="n"/>
      <c r="O1456" s="65" t="n"/>
      <c r="P1456" s="65" t="n"/>
      <c r="Q1456" s="65" t="n"/>
      <c r="R1456" s="65" t="n"/>
      <c r="S1456" s="65" t="n"/>
      <c r="T1456" s="65" t="n"/>
      <c r="U1456" s="65" t="n"/>
      <c r="V1456" s="65" t="n"/>
      <c r="W1456" s="65" t="n"/>
      <c r="X1456" s="65" t="n"/>
      <c r="Y1456" s="32">
        <f>IF($C1456="","",IF(COUNTA($I1456:$K1456)&lt;3,"— חסרים נתונים",IF(AND($I1456="תקין",$J1456="תקין",$K1456="תקין"),"רהוטה",IF(AND($I1456="תקין",$J1456="תקין"),"מדויקת ורציפה","אינה מדויקת או מקוטעת"))))</f>
        <v/>
      </c>
      <c r="Z1456" s="32">
        <f>IF($C1456="","",IF(COUNTA($U1456:$W1456)&lt;3,"",IF(AND($U1456="מפותח",$V1456="מפותח",$W1456="מפותחת"),"מפותחת",IF((--($U1456="דל"))+(--($V1456="אינו מפותח"))+(--($W1456="דלה"))&gt;=2,"אינה מפותחת","חלקית"))))</f>
        <v/>
      </c>
      <c r="AA1456" s="32">
        <f>IF($C1456="","",IF(COUNTA($M1456,$N1456,$O1456)&lt;3,"— חסרים נתונים",IF(OR($M1456="נמוכה",(--($M1456&lt;&gt;"תקינה"))+(--($N1456&lt;&gt;"תקין"))+(--($O1456&lt;&gt;"תקינה"))&gt;=2),"ניכרת","אינה ניכרת")))</f>
        <v/>
      </c>
      <c r="AB1456" s="32">
        <f>IF(OR($C1456="",$Y1456="",$AA1456="",LEFT($Y1456,1)="—",LEFT($AA1456,1)="—"),"",IF($Z1456="","— נדרשת הערכת כתיבה",IF($L1456="","— חסרה הבנת הנקרא",IF($Y1456="אינה מדויקת או מקוטעת",IF($AA1456="ניכרת","מיקוד בשטף הקריאה ובכישורי שפה","מיקוד בשטף קריאה"),IF($AA1456="ניכרת","מיקוד בכישורי שפה",IF(AND($L1456="תקינה",$Z1456="מפותחת"),"קוראים וכותבים מיומנים","מיקוד בהבנה והבעה"))))))</f>
        <v/>
      </c>
      <c r="AC1456" s="32">
        <f>IF(OR($AB1456="",LEFT($AB1456,1)="—"),"",IF(OR($AB1456="מיקוד בשטף קריאה",$AB1456="מיקוד בשטף הקריאה ובכישורי שפה"),"רמה א'",IF($AB1456="קוראים וכותבים מיומנים","רמה ג'","רמה ב'")))</f>
        <v/>
      </c>
      <c r="AD1456" s="32">
        <f>IF($AC1456="","",MID(IF(AND($AC1456="רמה א'",$AA1456="ניכרת"),"; להוסיף עבודת אוצר מילים","")&amp;IF($Z1456="אינה מפותחת","; דגש על הבעה בכתב","")&amp;IF($K1456&lt;&gt;"תקין","; נדרש לעבוד על ההנגנה","")&amp;IF($AK1456&lt;&gt;"","; "&amp;$AK1456,""),3,400))</f>
        <v/>
      </c>
      <c r="AE1456" s="32">
        <f>IF($F1456="","",IF($F1456="תחילת שנה",1,IF($F1456="מחצית שנה",2,3)))</f>
        <v/>
      </c>
      <c r="AF1456" s="32">
        <f>IF(OR($B1456="",$AC1456="",$A1456="",$F1456=""),"",$B1456&amp;"|"&amp;$A1456&amp;"|"&amp;$F1456&amp;"|"&amp;$AC1456&amp;"|"&amp;COUNTIFS($B$6:$B1456,$B1456,$A$6:$A1456,$A1456,$F$6:$F1456,$F1456,$AC$6:$AC1456,$AC1456))</f>
        <v/>
      </c>
      <c r="AG1456" s="32">
        <f>IF($C1456="","",$C1456&amp;"|"&amp;COUNTIFS($C$6:$C1456,$C1456))</f>
        <v/>
      </c>
      <c r="AH1456" s="32">
        <f>IF(OR($C1456="",$A1456="",$AE1456=""),"",$C1456&amp;"|"&amp;$A1456&amp;"|"&amp;$AE1456)</f>
        <v/>
      </c>
      <c r="AI1456" s="32">
        <f>IF(OR($C1456="",$AE1456="",$AE1456=1),"",IFERROR(INDEX($AC$6:$AC$1505,MATCH($C1456&amp;"|"&amp;$A1456&amp;"|"&amp;($AE1456-1),$AH$6:$AH$1505,0)),""))</f>
        <v/>
      </c>
      <c r="AJ1456" s="32">
        <f>IF(OR($AI1456="",$AC1456=""),"",IF($AI1456=$AC1456,"ללא שינוי","מ-"&amp;$AI1456&amp;" ל-"&amp;$AC1456))</f>
        <v/>
      </c>
      <c r="AK1456" s="67" t="n"/>
    </row>
    <row r="1457">
      <c r="A1457" s="65" t="n"/>
      <c r="B1457" s="65" t="n"/>
      <c r="C1457" s="66" t="n"/>
      <c r="D1457" s="66" t="n"/>
      <c r="E1457" s="65" t="n"/>
      <c r="F1457" s="65" t="n"/>
      <c r="G1457" s="65" t="n"/>
      <c r="H1457" s="65" t="n"/>
      <c r="I1457" s="65" t="n"/>
      <c r="J1457" s="65" t="n"/>
      <c r="K1457" s="65" t="n"/>
      <c r="L1457" s="65" t="n"/>
      <c r="M1457" s="65" t="n"/>
      <c r="N1457" s="65" t="n"/>
      <c r="O1457" s="65" t="n"/>
      <c r="P1457" s="65" t="n"/>
      <c r="Q1457" s="65" t="n"/>
      <c r="R1457" s="65" t="n"/>
      <c r="S1457" s="65" t="n"/>
      <c r="T1457" s="65" t="n"/>
      <c r="U1457" s="65" t="n"/>
      <c r="V1457" s="65" t="n"/>
      <c r="W1457" s="65" t="n"/>
      <c r="X1457" s="65" t="n"/>
      <c r="Y1457" s="32">
        <f>IF($C1457="","",IF(COUNTA($I1457:$K1457)&lt;3,"— חסרים נתונים",IF(AND($I1457="תקין",$J1457="תקין",$K1457="תקין"),"רהוטה",IF(AND($I1457="תקין",$J1457="תקין"),"מדויקת ורציפה","אינה מדויקת או מקוטעת"))))</f>
        <v/>
      </c>
      <c r="Z1457" s="32">
        <f>IF($C1457="","",IF(COUNTA($U1457:$W1457)&lt;3,"",IF(AND($U1457="מפותח",$V1457="מפותח",$W1457="מפותחת"),"מפותחת",IF((--($U1457="דל"))+(--($V1457="אינו מפותח"))+(--($W1457="דלה"))&gt;=2,"אינה מפותחת","חלקית"))))</f>
        <v/>
      </c>
      <c r="AA1457" s="32">
        <f>IF($C1457="","",IF(COUNTA($M1457,$N1457,$O1457)&lt;3,"— חסרים נתונים",IF(OR($M1457="נמוכה",(--($M1457&lt;&gt;"תקינה"))+(--($N1457&lt;&gt;"תקין"))+(--($O1457&lt;&gt;"תקינה"))&gt;=2),"ניכרת","אינה ניכרת")))</f>
        <v/>
      </c>
      <c r="AB1457" s="32">
        <f>IF(OR($C1457="",$Y1457="",$AA1457="",LEFT($Y1457,1)="—",LEFT($AA1457,1)="—"),"",IF($Z1457="","— נדרשת הערכת כתיבה",IF($L1457="","— חסרה הבנת הנקרא",IF($Y1457="אינה מדויקת או מקוטעת",IF($AA1457="ניכרת","מיקוד בשטף הקריאה ובכישורי שפה","מיקוד בשטף קריאה"),IF($AA1457="ניכרת","מיקוד בכישורי שפה",IF(AND($L1457="תקינה",$Z1457="מפותחת"),"קוראים וכותבים מיומנים","מיקוד בהבנה והבעה"))))))</f>
        <v/>
      </c>
      <c r="AC1457" s="32">
        <f>IF(OR($AB1457="",LEFT($AB1457,1)="—"),"",IF(OR($AB1457="מיקוד בשטף קריאה",$AB1457="מיקוד בשטף הקריאה ובכישורי שפה"),"רמה א'",IF($AB1457="קוראים וכותבים מיומנים","רמה ג'","רמה ב'")))</f>
        <v/>
      </c>
      <c r="AD1457" s="32">
        <f>IF($AC1457="","",MID(IF(AND($AC1457="רמה א'",$AA1457="ניכרת"),"; להוסיף עבודת אוצר מילים","")&amp;IF($Z1457="אינה מפותחת","; דגש על הבעה בכתב","")&amp;IF($K1457&lt;&gt;"תקין","; נדרש לעבוד על ההנגנה","")&amp;IF($AK1457&lt;&gt;"","; "&amp;$AK1457,""),3,400))</f>
        <v/>
      </c>
      <c r="AE1457" s="32">
        <f>IF($F1457="","",IF($F1457="תחילת שנה",1,IF($F1457="מחצית שנה",2,3)))</f>
        <v/>
      </c>
      <c r="AF1457" s="32">
        <f>IF(OR($B1457="",$AC1457="",$A1457="",$F1457=""),"",$B1457&amp;"|"&amp;$A1457&amp;"|"&amp;$F1457&amp;"|"&amp;$AC1457&amp;"|"&amp;COUNTIFS($B$6:$B1457,$B1457,$A$6:$A1457,$A1457,$F$6:$F1457,$F1457,$AC$6:$AC1457,$AC1457))</f>
        <v/>
      </c>
      <c r="AG1457" s="32">
        <f>IF($C1457="","",$C1457&amp;"|"&amp;COUNTIFS($C$6:$C1457,$C1457))</f>
        <v/>
      </c>
      <c r="AH1457" s="32">
        <f>IF(OR($C1457="",$A1457="",$AE1457=""),"",$C1457&amp;"|"&amp;$A1457&amp;"|"&amp;$AE1457)</f>
        <v/>
      </c>
      <c r="AI1457" s="32">
        <f>IF(OR($C1457="",$AE1457="",$AE1457=1),"",IFERROR(INDEX($AC$6:$AC$1505,MATCH($C1457&amp;"|"&amp;$A1457&amp;"|"&amp;($AE1457-1),$AH$6:$AH$1505,0)),""))</f>
        <v/>
      </c>
      <c r="AJ1457" s="32">
        <f>IF(OR($AI1457="",$AC1457=""),"",IF($AI1457=$AC1457,"ללא שינוי","מ-"&amp;$AI1457&amp;" ל-"&amp;$AC1457))</f>
        <v/>
      </c>
      <c r="AK1457" s="67" t="n"/>
    </row>
    <row r="1458">
      <c r="A1458" s="65" t="n"/>
      <c r="B1458" s="65" t="n"/>
      <c r="C1458" s="66" t="n"/>
      <c r="D1458" s="66" t="n"/>
      <c r="E1458" s="65" t="n"/>
      <c r="F1458" s="65" t="n"/>
      <c r="G1458" s="65" t="n"/>
      <c r="H1458" s="65" t="n"/>
      <c r="I1458" s="65" t="n"/>
      <c r="J1458" s="65" t="n"/>
      <c r="K1458" s="65" t="n"/>
      <c r="L1458" s="65" t="n"/>
      <c r="M1458" s="65" t="n"/>
      <c r="N1458" s="65" t="n"/>
      <c r="O1458" s="65" t="n"/>
      <c r="P1458" s="65" t="n"/>
      <c r="Q1458" s="65" t="n"/>
      <c r="R1458" s="65" t="n"/>
      <c r="S1458" s="65" t="n"/>
      <c r="T1458" s="65" t="n"/>
      <c r="U1458" s="65" t="n"/>
      <c r="V1458" s="65" t="n"/>
      <c r="W1458" s="65" t="n"/>
      <c r="X1458" s="65" t="n"/>
      <c r="Y1458" s="32">
        <f>IF($C1458="","",IF(COUNTA($I1458:$K1458)&lt;3,"— חסרים נתונים",IF(AND($I1458="תקין",$J1458="תקין",$K1458="תקין"),"רהוטה",IF(AND($I1458="תקין",$J1458="תקין"),"מדויקת ורציפה","אינה מדויקת או מקוטעת"))))</f>
        <v/>
      </c>
      <c r="Z1458" s="32">
        <f>IF($C1458="","",IF(COUNTA($U1458:$W1458)&lt;3,"",IF(AND($U1458="מפותח",$V1458="מפותח",$W1458="מפותחת"),"מפותחת",IF((--($U1458="דל"))+(--($V1458="אינו מפותח"))+(--($W1458="דלה"))&gt;=2,"אינה מפותחת","חלקית"))))</f>
        <v/>
      </c>
      <c r="AA1458" s="32">
        <f>IF($C1458="","",IF(COUNTA($M1458,$N1458,$O1458)&lt;3,"— חסרים נתונים",IF(OR($M1458="נמוכה",(--($M1458&lt;&gt;"תקינה"))+(--($N1458&lt;&gt;"תקין"))+(--($O1458&lt;&gt;"תקינה"))&gt;=2),"ניכרת","אינה ניכרת")))</f>
        <v/>
      </c>
      <c r="AB1458" s="32">
        <f>IF(OR($C1458="",$Y1458="",$AA1458="",LEFT($Y1458,1)="—",LEFT($AA1458,1)="—"),"",IF($Z1458="","— נדרשת הערכת כתיבה",IF($L1458="","— חסרה הבנת הנקרא",IF($Y1458="אינה מדויקת או מקוטעת",IF($AA1458="ניכרת","מיקוד בשטף הקריאה ובכישורי שפה","מיקוד בשטף קריאה"),IF($AA1458="ניכרת","מיקוד בכישורי שפה",IF(AND($L1458="תקינה",$Z1458="מפותחת"),"קוראים וכותבים מיומנים","מיקוד בהבנה והבעה"))))))</f>
        <v/>
      </c>
      <c r="AC1458" s="32">
        <f>IF(OR($AB1458="",LEFT($AB1458,1)="—"),"",IF(OR($AB1458="מיקוד בשטף קריאה",$AB1458="מיקוד בשטף הקריאה ובכישורי שפה"),"רמה א'",IF($AB1458="קוראים וכותבים מיומנים","רמה ג'","רמה ב'")))</f>
        <v/>
      </c>
      <c r="AD1458" s="32">
        <f>IF($AC1458="","",MID(IF(AND($AC1458="רמה א'",$AA1458="ניכרת"),"; להוסיף עבודת אוצר מילים","")&amp;IF($Z1458="אינה מפותחת","; דגש על הבעה בכתב","")&amp;IF($K1458&lt;&gt;"תקין","; נדרש לעבוד על ההנגנה","")&amp;IF($AK1458&lt;&gt;"","; "&amp;$AK1458,""),3,400))</f>
        <v/>
      </c>
      <c r="AE1458" s="32">
        <f>IF($F1458="","",IF($F1458="תחילת שנה",1,IF($F1458="מחצית שנה",2,3)))</f>
        <v/>
      </c>
      <c r="AF1458" s="32">
        <f>IF(OR($B1458="",$AC1458="",$A1458="",$F1458=""),"",$B1458&amp;"|"&amp;$A1458&amp;"|"&amp;$F1458&amp;"|"&amp;$AC1458&amp;"|"&amp;COUNTIFS($B$6:$B1458,$B1458,$A$6:$A1458,$A1458,$F$6:$F1458,$F1458,$AC$6:$AC1458,$AC1458))</f>
        <v/>
      </c>
      <c r="AG1458" s="32">
        <f>IF($C1458="","",$C1458&amp;"|"&amp;COUNTIFS($C$6:$C1458,$C1458))</f>
        <v/>
      </c>
      <c r="AH1458" s="32">
        <f>IF(OR($C1458="",$A1458="",$AE1458=""),"",$C1458&amp;"|"&amp;$A1458&amp;"|"&amp;$AE1458)</f>
        <v/>
      </c>
      <c r="AI1458" s="32">
        <f>IF(OR($C1458="",$AE1458="",$AE1458=1),"",IFERROR(INDEX($AC$6:$AC$1505,MATCH($C1458&amp;"|"&amp;$A1458&amp;"|"&amp;($AE1458-1),$AH$6:$AH$1505,0)),""))</f>
        <v/>
      </c>
      <c r="AJ1458" s="32">
        <f>IF(OR($AI1458="",$AC1458=""),"",IF($AI1458=$AC1458,"ללא שינוי","מ-"&amp;$AI1458&amp;" ל-"&amp;$AC1458))</f>
        <v/>
      </c>
      <c r="AK1458" s="67" t="n"/>
    </row>
    <row r="1459">
      <c r="A1459" s="65" t="n"/>
      <c r="B1459" s="65" t="n"/>
      <c r="C1459" s="66" t="n"/>
      <c r="D1459" s="66" t="n"/>
      <c r="E1459" s="65" t="n"/>
      <c r="F1459" s="65" t="n"/>
      <c r="G1459" s="65" t="n"/>
      <c r="H1459" s="65" t="n"/>
      <c r="I1459" s="65" t="n"/>
      <c r="J1459" s="65" t="n"/>
      <c r="K1459" s="65" t="n"/>
      <c r="L1459" s="65" t="n"/>
      <c r="M1459" s="65" t="n"/>
      <c r="N1459" s="65" t="n"/>
      <c r="O1459" s="65" t="n"/>
      <c r="P1459" s="65" t="n"/>
      <c r="Q1459" s="65" t="n"/>
      <c r="R1459" s="65" t="n"/>
      <c r="S1459" s="65" t="n"/>
      <c r="T1459" s="65" t="n"/>
      <c r="U1459" s="65" t="n"/>
      <c r="V1459" s="65" t="n"/>
      <c r="W1459" s="65" t="n"/>
      <c r="X1459" s="65" t="n"/>
      <c r="Y1459" s="32">
        <f>IF($C1459="","",IF(COUNTA($I1459:$K1459)&lt;3,"— חסרים נתונים",IF(AND($I1459="תקין",$J1459="תקין",$K1459="תקין"),"רהוטה",IF(AND($I1459="תקין",$J1459="תקין"),"מדויקת ורציפה","אינה מדויקת או מקוטעת"))))</f>
        <v/>
      </c>
      <c r="Z1459" s="32">
        <f>IF($C1459="","",IF(COUNTA($U1459:$W1459)&lt;3,"",IF(AND($U1459="מפותח",$V1459="מפותח",$W1459="מפותחת"),"מפותחת",IF((--($U1459="דל"))+(--($V1459="אינו מפותח"))+(--($W1459="דלה"))&gt;=2,"אינה מפותחת","חלקית"))))</f>
        <v/>
      </c>
      <c r="AA1459" s="32">
        <f>IF($C1459="","",IF(COUNTA($M1459,$N1459,$O1459)&lt;3,"— חסרים נתונים",IF(OR($M1459="נמוכה",(--($M1459&lt;&gt;"תקינה"))+(--($N1459&lt;&gt;"תקין"))+(--($O1459&lt;&gt;"תקינה"))&gt;=2),"ניכרת","אינה ניכרת")))</f>
        <v/>
      </c>
      <c r="AB1459" s="32">
        <f>IF(OR($C1459="",$Y1459="",$AA1459="",LEFT($Y1459,1)="—",LEFT($AA1459,1)="—"),"",IF($Z1459="","— נדרשת הערכת כתיבה",IF($L1459="","— חסרה הבנת הנקרא",IF($Y1459="אינה מדויקת או מקוטעת",IF($AA1459="ניכרת","מיקוד בשטף הקריאה ובכישורי שפה","מיקוד בשטף קריאה"),IF($AA1459="ניכרת","מיקוד בכישורי שפה",IF(AND($L1459="תקינה",$Z1459="מפותחת"),"קוראים וכותבים מיומנים","מיקוד בהבנה והבעה"))))))</f>
        <v/>
      </c>
      <c r="AC1459" s="32">
        <f>IF(OR($AB1459="",LEFT($AB1459,1)="—"),"",IF(OR($AB1459="מיקוד בשטף קריאה",$AB1459="מיקוד בשטף הקריאה ובכישורי שפה"),"רמה א'",IF($AB1459="קוראים וכותבים מיומנים","רמה ג'","רמה ב'")))</f>
        <v/>
      </c>
      <c r="AD1459" s="32">
        <f>IF($AC1459="","",MID(IF(AND($AC1459="רמה א'",$AA1459="ניכרת"),"; להוסיף עבודת אוצר מילים","")&amp;IF($Z1459="אינה מפותחת","; דגש על הבעה בכתב","")&amp;IF($K1459&lt;&gt;"תקין","; נדרש לעבוד על ההנגנה","")&amp;IF($AK1459&lt;&gt;"","; "&amp;$AK1459,""),3,400))</f>
        <v/>
      </c>
      <c r="AE1459" s="32">
        <f>IF($F1459="","",IF($F1459="תחילת שנה",1,IF($F1459="מחצית שנה",2,3)))</f>
        <v/>
      </c>
      <c r="AF1459" s="32">
        <f>IF(OR($B1459="",$AC1459="",$A1459="",$F1459=""),"",$B1459&amp;"|"&amp;$A1459&amp;"|"&amp;$F1459&amp;"|"&amp;$AC1459&amp;"|"&amp;COUNTIFS($B$6:$B1459,$B1459,$A$6:$A1459,$A1459,$F$6:$F1459,$F1459,$AC$6:$AC1459,$AC1459))</f>
        <v/>
      </c>
      <c r="AG1459" s="32">
        <f>IF($C1459="","",$C1459&amp;"|"&amp;COUNTIFS($C$6:$C1459,$C1459))</f>
        <v/>
      </c>
      <c r="AH1459" s="32">
        <f>IF(OR($C1459="",$A1459="",$AE1459=""),"",$C1459&amp;"|"&amp;$A1459&amp;"|"&amp;$AE1459)</f>
        <v/>
      </c>
      <c r="AI1459" s="32">
        <f>IF(OR($C1459="",$AE1459="",$AE1459=1),"",IFERROR(INDEX($AC$6:$AC$1505,MATCH($C1459&amp;"|"&amp;$A1459&amp;"|"&amp;($AE1459-1),$AH$6:$AH$1505,0)),""))</f>
        <v/>
      </c>
      <c r="AJ1459" s="32">
        <f>IF(OR($AI1459="",$AC1459=""),"",IF($AI1459=$AC1459,"ללא שינוי","מ-"&amp;$AI1459&amp;" ל-"&amp;$AC1459))</f>
        <v/>
      </c>
      <c r="AK1459" s="67" t="n"/>
    </row>
    <row r="1460">
      <c r="A1460" s="65" t="n"/>
      <c r="B1460" s="65" t="n"/>
      <c r="C1460" s="66" t="n"/>
      <c r="D1460" s="66" t="n"/>
      <c r="E1460" s="65" t="n"/>
      <c r="F1460" s="65" t="n"/>
      <c r="G1460" s="65" t="n"/>
      <c r="H1460" s="65" t="n"/>
      <c r="I1460" s="65" t="n"/>
      <c r="J1460" s="65" t="n"/>
      <c r="K1460" s="65" t="n"/>
      <c r="L1460" s="65" t="n"/>
      <c r="M1460" s="65" t="n"/>
      <c r="N1460" s="65" t="n"/>
      <c r="O1460" s="65" t="n"/>
      <c r="P1460" s="65" t="n"/>
      <c r="Q1460" s="65" t="n"/>
      <c r="R1460" s="65" t="n"/>
      <c r="S1460" s="65" t="n"/>
      <c r="T1460" s="65" t="n"/>
      <c r="U1460" s="65" t="n"/>
      <c r="V1460" s="65" t="n"/>
      <c r="W1460" s="65" t="n"/>
      <c r="X1460" s="65" t="n"/>
      <c r="Y1460" s="32">
        <f>IF($C1460="","",IF(COUNTA($I1460:$K1460)&lt;3,"— חסרים נתונים",IF(AND($I1460="תקין",$J1460="תקין",$K1460="תקין"),"רהוטה",IF(AND($I1460="תקין",$J1460="תקין"),"מדויקת ורציפה","אינה מדויקת או מקוטעת"))))</f>
        <v/>
      </c>
      <c r="Z1460" s="32">
        <f>IF($C1460="","",IF(COUNTA($U1460:$W1460)&lt;3,"",IF(AND($U1460="מפותח",$V1460="מפותח",$W1460="מפותחת"),"מפותחת",IF((--($U1460="דל"))+(--($V1460="אינו מפותח"))+(--($W1460="דלה"))&gt;=2,"אינה מפותחת","חלקית"))))</f>
        <v/>
      </c>
      <c r="AA1460" s="32">
        <f>IF($C1460="","",IF(COUNTA($M1460,$N1460,$O1460)&lt;3,"— חסרים נתונים",IF(OR($M1460="נמוכה",(--($M1460&lt;&gt;"תקינה"))+(--($N1460&lt;&gt;"תקין"))+(--($O1460&lt;&gt;"תקינה"))&gt;=2),"ניכרת","אינה ניכרת")))</f>
        <v/>
      </c>
      <c r="AB1460" s="32">
        <f>IF(OR($C1460="",$Y1460="",$AA1460="",LEFT($Y1460,1)="—",LEFT($AA1460,1)="—"),"",IF($Z1460="","— נדרשת הערכת כתיבה",IF($L1460="","— חסרה הבנת הנקרא",IF($Y1460="אינה מדויקת או מקוטעת",IF($AA1460="ניכרת","מיקוד בשטף הקריאה ובכישורי שפה","מיקוד בשטף קריאה"),IF($AA1460="ניכרת","מיקוד בכישורי שפה",IF(AND($L1460="תקינה",$Z1460="מפותחת"),"קוראים וכותבים מיומנים","מיקוד בהבנה והבעה"))))))</f>
        <v/>
      </c>
      <c r="AC1460" s="32">
        <f>IF(OR($AB1460="",LEFT($AB1460,1)="—"),"",IF(OR($AB1460="מיקוד בשטף קריאה",$AB1460="מיקוד בשטף הקריאה ובכישורי שפה"),"רמה א'",IF($AB1460="קוראים וכותבים מיומנים","רמה ג'","רמה ב'")))</f>
        <v/>
      </c>
      <c r="AD1460" s="32">
        <f>IF($AC1460="","",MID(IF(AND($AC1460="רמה א'",$AA1460="ניכרת"),"; להוסיף עבודת אוצר מילים","")&amp;IF($Z1460="אינה מפותחת","; דגש על הבעה בכתב","")&amp;IF($K1460&lt;&gt;"תקין","; נדרש לעבוד על ההנגנה","")&amp;IF($AK1460&lt;&gt;"","; "&amp;$AK1460,""),3,400))</f>
        <v/>
      </c>
      <c r="AE1460" s="32">
        <f>IF($F1460="","",IF($F1460="תחילת שנה",1,IF($F1460="מחצית שנה",2,3)))</f>
        <v/>
      </c>
      <c r="AF1460" s="32">
        <f>IF(OR($B1460="",$AC1460="",$A1460="",$F1460=""),"",$B1460&amp;"|"&amp;$A1460&amp;"|"&amp;$F1460&amp;"|"&amp;$AC1460&amp;"|"&amp;COUNTIFS($B$6:$B1460,$B1460,$A$6:$A1460,$A1460,$F$6:$F1460,$F1460,$AC$6:$AC1460,$AC1460))</f>
        <v/>
      </c>
      <c r="AG1460" s="32">
        <f>IF($C1460="","",$C1460&amp;"|"&amp;COUNTIFS($C$6:$C1460,$C1460))</f>
        <v/>
      </c>
      <c r="AH1460" s="32">
        <f>IF(OR($C1460="",$A1460="",$AE1460=""),"",$C1460&amp;"|"&amp;$A1460&amp;"|"&amp;$AE1460)</f>
        <v/>
      </c>
      <c r="AI1460" s="32">
        <f>IF(OR($C1460="",$AE1460="",$AE1460=1),"",IFERROR(INDEX($AC$6:$AC$1505,MATCH($C1460&amp;"|"&amp;$A1460&amp;"|"&amp;($AE1460-1),$AH$6:$AH$1505,0)),""))</f>
        <v/>
      </c>
      <c r="AJ1460" s="32">
        <f>IF(OR($AI1460="",$AC1460=""),"",IF($AI1460=$AC1460,"ללא שינוי","מ-"&amp;$AI1460&amp;" ל-"&amp;$AC1460))</f>
        <v/>
      </c>
      <c r="AK1460" s="67" t="n"/>
    </row>
    <row r="1461">
      <c r="A1461" s="65" t="n"/>
      <c r="B1461" s="65" t="n"/>
      <c r="C1461" s="66" t="n"/>
      <c r="D1461" s="66" t="n"/>
      <c r="E1461" s="65" t="n"/>
      <c r="F1461" s="65" t="n"/>
      <c r="G1461" s="65" t="n"/>
      <c r="H1461" s="65" t="n"/>
      <c r="I1461" s="65" t="n"/>
      <c r="J1461" s="65" t="n"/>
      <c r="K1461" s="65" t="n"/>
      <c r="L1461" s="65" t="n"/>
      <c r="M1461" s="65" t="n"/>
      <c r="N1461" s="65" t="n"/>
      <c r="O1461" s="65" t="n"/>
      <c r="P1461" s="65" t="n"/>
      <c r="Q1461" s="65" t="n"/>
      <c r="R1461" s="65" t="n"/>
      <c r="S1461" s="65" t="n"/>
      <c r="T1461" s="65" t="n"/>
      <c r="U1461" s="65" t="n"/>
      <c r="V1461" s="65" t="n"/>
      <c r="W1461" s="65" t="n"/>
      <c r="X1461" s="65" t="n"/>
      <c r="Y1461" s="32">
        <f>IF($C1461="","",IF(COUNTA($I1461:$K1461)&lt;3,"— חסרים נתונים",IF(AND($I1461="תקין",$J1461="תקין",$K1461="תקין"),"רהוטה",IF(AND($I1461="תקין",$J1461="תקין"),"מדויקת ורציפה","אינה מדויקת או מקוטעת"))))</f>
        <v/>
      </c>
      <c r="Z1461" s="32">
        <f>IF($C1461="","",IF(COUNTA($U1461:$W1461)&lt;3,"",IF(AND($U1461="מפותח",$V1461="מפותח",$W1461="מפותחת"),"מפותחת",IF((--($U1461="דל"))+(--($V1461="אינו מפותח"))+(--($W1461="דלה"))&gt;=2,"אינה מפותחת","חלקית"))))</f>
        <v/>
      </c>
      <c r="AA1461" s="32">
        <f>IF($C1461="","",IF(COUNTA($M1461,$N1461,$O1461)&lt;3,"— חסרים נתונים",IF(OR($M1461="נמוכה",(--($M1461&lt;&gt;"תקינה"))+(--($N1461&lt;&gt;"תקין"))+(--($O1461&lt;&gt;"תקינה"))&gt;=2),"ניכרת","אינה ניכרת")))</f>
        <v/>
      </c>
      <c r="AB1461" s="32">
        <f>IF(OR($C1461="",$Y1461="",$AA1461="",LEFT($Y1461,1)="—",LEFT($AA1461,1)="—"),"",IF($Z1461="","— נדרשת הערכת כתיבה",IF($L1461="","— חסרה הבנת הנקרא",IF($Y1461="אינה מדויקת או מקוטעת",IF($AA1461="ניכרת","מיקוד בשטף הקריאה ובכישורי שפה","מיקוד בשטף קריאה"),IF($AA1461="ניכרת","מיקוד בכישורי שפה",IF(AND($L1461="תקינה",$Z1461="מפותחת"),"קוראים וכותבים מיומנים","מיקוד בהבנה והבעה"))))))</f>
        <v/>
      </c>
      <c r="AC1461" s="32">
        <f>IF(OR($AB1461="",LEFT($AB1461,1)="—"),"",IF(OR($AB1461="מיקוד בשטף קריאה",$AB1461="מיקוד בשטף הקריאה ובכישורי שפה"),"רמה א'",IF($AB1461="קוראים וכותבים מיומנים","רמה ג'","רמה ב'")))</f>
        <v/>
      </c>
      <c r="AD1461" s="32">
        <f>IF($AC1461="","",MID(IF(AND($AC1461="רמה א'",$AA1461="ניכרת"),"; להוסיף עבודת אוצר מילים","")&amp;IF($Z1461="אינה מפותחת","; דגש על הבעה בכתב","")&amp;IF($K1461&lt;&gt;"תקין","; נדרש לעבוד על ההנגנה","")&amp;IF($AK1461&lt;&gt;"","; "&amp;$AK1461,""),3,400))</f>
        <v/>
      </c>
      <c r="AE1461" s="32">
        <f>IF($F1461="","",IF($F1461="תחילת שנה",1,IF($F1461="מחצית שנה",2,3)))</f>
        <v/>
      </c>
      <c r="AF1461" s="32">
        <f>IF(OR($B1461="",$AC1461="",$A1461="",$F1461=""),"",$B1461&amp;"|"&amp;$A1461&amp;"|"&amp;$F1461&amp;"|"&amp;$AC1461&amp;"|"&amp;COUNTIFS($B$6:$B1461,$B1461,$A$6:$A1461,$A1461,$F$6:$F1461,$F1461,$AC$6:$AC1461,$AC1461))</f>
        <v/>
      </c>
      <c r="AG1461" s="32">
        <f>IF($C1461="","",$C1461&amp;"|"&amp;COUNTIFS($C$6:$C1461,$C1461))</f>
        <v/>
      </c>
      <c r="AH1461" s="32">
        <f>IF(OR($C1461="",$A1461="",$AE1461=""),"",$C1461&amp;"|"&amp;$A1461&amp;"|"&amp;$AE1461)</f>
        <v/>
      </c>
      <c r="AI1461" s="32">
        <f>IF(OR($C1461="",$AE1461="",$AE1461=1),"",IFERROR(INDEX($AC$6:$AC$1505,MATCH($C1461&amp;"|"&amp;$A1461&amp;"|"&amp;($AE1461-1),$AH$6:$AH$1505,0)),""))</f>
        <v/>
      </c>
      <c r="AJ1461" s="32">
        <f>IF(OR($AI1461="",$AC1461=""),"",IF($AI1461=$AC1461,"ללא שינוי","מ-"&amp;$AI1461&amp;" ל-"&amp;$AC1461))</f>
        <v/>
      </c>
      <c r="AK1461" s="67" t="n"/>
    </row>
    <row r="1462">
      <c r="A1462" s="65" t="n"/>
      <c r="B1462" s="65" t="n"/>
      <c r="C1462" s="66" t="n"/>
      <c r="D1462" s="66" t="n"/>
      <c r="E1462" s="65" t="n"/>
      <c r="F1462" s="65" t="n"/>
      <c r="G1462" s="65" t="n"/>
      <c r="H1462" s="65" t="n"/>
      <c r="I1462" s="65" t="n"/>
      <c r="J1462" s="65" t="n"/>
      <c r="K1462" s="65" t="n"/>
      <c r="L1462" s="65" t="n"/>
      <c r="M1462" s="65" t="n"/>
      <c r="N1462" s="65" t="n"/>
      <c r="O1462" s="65" t="n"/>
      <c r="P1462" s="65" t="n"/>
      <c r="Q1462" s="65" t="n"/>
      <c r="R1462" s="65" t="n"/>
      <c r="S1462" s="65" t="n"/>
      <c r="T1462" s="65" t="n"/>
      <c r="U1462" s="65" t="n"/>
      <c r="V1462" s="65" t="n"/>
      <c r="W1462" s="65" t="n"/>
      <c r="X1462" s="65" t="n"/>
      <c r="Y1462" s="32">
        <f>IF($C1462="","",IF(COUNTA($I1462:$K1462)&lt;3,"— חסרים נתונים",IF(AND($I1462="תקין",$J1462="תקין",$K1462="תקין"),"רהוטה",IF(AND($I1462="תקין",$J1462="תקין"),"מדויקת ורציפה","אינה מדויקת או מקוטעת"))))</f>
        <v/>
      </c>
      <c r="Z1462" s="32">
        <f>IF($C1462="","",IF(COUNTA($U1462:$W1462)&lt;3,"",IF(AND($U1462="מפותח",$V1462="מפותח",$W1462="מפותחת"),"מפותחת",IF((--($U1462="דל"))+(--($V1462="אינו מפותח"))+(--($W1462="דלה"))&gt;=2,"אינה מפותחת","חלקית"))))</f>
        <v/>
      </c>
      <c r="AA1462" s="32">
        <f>IF($C1462="","",IF(COUNTA($M1462,$N1462,$O1462)&lt;3,"— חסרים נתונים",IF(OR($M1462="נמוכה",(--($M1462&lt;&gt;"תקינה"))+(--($N1462&lt;&gt;"תקין"))+(--($O1462&lt;&gt;"תקינה"))&gt;=2),"ניכרת","אינה ניכרת")))</f>
        <v/>
      </c>
      <c r="AB1462" s="32">
        <f>IF(OR($C1462="",$Y1462="",$AA1462="",LEFT($Y1462,1)="—",LEFT($AA1462,1)="—"),"",IF($Z1462="","— נדרשת הערכת כתיבה",IF($L1462="","— חסרה הבנת הנקרא",IF($Y1462="אינה מדויקת או מקוטעת",IF($AA1462="ניכרת","מיקוד בשטף הקריאה ובכישורי שפה","מיקוד בשטף קריאה"),IF($AA1462="ניכרת","מיקוד בכישורי שפה",IF(AND($L1462="תקינה",$Z1462="מפותחת"),"קוראים וכותבים מיומנים","מיקוד בהבנה והבעה"))))))</f>
        <v/>
      </c>
      <c r="AC1462" s="32">
        <f>IF(OR($AB1462="",LEFT($AB1462,1)="—"),"",IF(OR($AB1462="מיקוד בשטף קריאה",$AB1462="מיקוד בשטף הקריאה ובכישורי שפה"),"רמה א'",IF($AB1462="קוראים וכותבים מיומנים","רמה ג'","רמה ב'")))</f>
        <v/>
      </c>
      <c r="AD1462" s="32">
        <f>IF($AC1462="","",MID(IF(AND($AC1462="רמה א'",$AA1462="ניכרת"),"; להוסיף עבודת אוצר מילים","")&amp;IF($Z1462="אינה מפותחת","; דגש על הבעה בכתב","")&amp;IF($K1462&lt;&gt;"תקין","; נדרש לעבוד על ההנגנה","")&amp;IF($AK1462&lt;&gt;"","; "&amp;$AK1462,""),3,400))</f>
        <v/>
      </c>
      <c r="AE1462" s="32">
        <f>IF($F1462="","",IF($F1462="תחילת שנה",1,IF($F1462="מחצית שנה",2,3)))</f>
        <v/>
      </c>
      <c r="AF1462" s="32">
        <f>IF(OR($B1462="",$AC1462="",$A1462="",$F1462=""),"",$B1462&amp;"|"&amp;$A1462&amp;"|"&amp;$F1462&amp;"|"&amp;$AC1462&amp;"|"&amp;COUNTIFS($B$6:$B1462,$B1462,$A$6:$A1462,$A1462,$F$6:$F1462,$F1462,$AC$6:$AC1462,$AC1462))</f>
        <v/>
      </c>
      <c r="AG1462" s="32">
        <f>IF($C1462="","",$C1462&amp;"|"&amp;COUNTIFS($C$6:$C1462,$C1462))</f>
        <v/>
      </c>
      <c r="AH1462" s="32">
        <f>IF(OR($C1462="",$A1462="",$AE1462=""),"",$C1462&amp;"|"&amp;$A1462&amp;"|"&amp;$AE1462)</f>
        <v/>
      </c>
      <c r="AI1462" s="32">
        <f>IF(OR($C1462="",$AE1462="",$AE1462=1),"",IFERROR(INDEX($AC$6:$AC$1505,MATCH($C1462&amp;"|"&amp;$A1462&amp;"|"&amp;($AE1462-1),$AH$6:$AH$1505,0)),""))</f>
        <v/>
      </c>
      <c r="AJ1462" s="32">
        <f>IF(OR($AI1462="",$AC1462=""),"",IF($AI1462=$AC1462,"ללא שינוי","מ-"&amp;$AI1462&amp;" ל-"&amp;$AC1462))</f>
        <v/>
      </c>
      <c r="AK1462" s="67" t="n"/>
    </row>
    <row r="1463">
      <c r="A1463" s="65" t="n"/>
      <c r="B1463" s="65" t="n"/>
      <c r="C1463" s="66" t="n"/>
      <c r="D1463" s="66" t="n"/>
      <c r="E1463" s="65" t="n"/>
      <c r="F1463" s="65" t="n"/>
      <c r="G1463" s="65" t="n"/>
      <c r="H1463" s="65" t="n"/>
      <c r="I1463" s="65" t="n"/>
      <c r="J1463" s="65" t="n"/>
      <c r="K1463" s="65" t="n"/>
      <c r="L1463" s="65" t="n"/>
      <c r="M1463" s="65" t="n"/>
      <c r="N1463" s="65" t="n"/>
      <c r="O1463" s="65" t="n"/>
      <c r="P1463" s="65" t="n"/>
      <c r="Q1463" s="65" t="n"/>
      <c r="R1463" s="65" t="n"/>
      <c r="S1463" s="65" t="n"/>
      <c r="T1463" s="65" t="n"/>
      <c r="U1463" s="65" t="n"/>
      <c r="V1463" s="65" t="n"/>
      <c r="W1463" s="65" t="n"/>
      <c r="X1463" s="65" t="n"/>
      <c r="Y1463" s="32">
        <f>IF($C1463="","",IF(COUNTA($I1463:$K1463)&lt;3,"— חסרים נתונים",IF(AND($I1463="תקין",$J1463="תקין",$K1463="תקין"),"רהוטה",IF(AND($I1463="תקין",$J1463="תקין"),"מדויקת ורציפה","אינה מדויקת או מקוטעת"))))</f>
        <v/>
      </c>
      <c r="Z1463" s="32">
        <f>IF($C1463="","",IF(COUNTA($U1463:$W1463)&lt;3,"",IF(AND($U1463="מפותח",$V1463="מפותח",$W1463="מפותחת"),"מפותחת",IF((--($U1463="דל"))+(--($V1463="אינו מפותח"))+(--($W1463="דלה"))&gt;=2,"אינה מפותחת","חלקית"))))</f>
        <v/>
      </c>
      <c r="AA1463" s="32">
        <f>IF($C1463="","",IF(COUNTA($M1463,$N1463,$O1463)&lt;3,"— חסרים נתונים",IF(OR($M1463="נמוכה",(--($M1463&lt;&gt;"תקינה"))+(--($N1463&lt;&gt;"תקין"))+(--($O1463&lt;&gt;"תקינה"))&gt;=2),"ניכרת","אינה ניכרת")))</f>
        <v/>
      </c>
      <c r="AB1463" s="32">
        <f>IF(OR($C1463="",$Y1463="",$AA1463="",LEFT($Y1463,1)="—",LEFT($AA1463,1)="—"),"",IF($Z1463="","— נדרשת הערכת כתיבה",IF($L1463="","— חסרה הבנת הנקרא",IF($Y1463="אינה מדויקת או מקוטעת",IF($AA1463="ניכרת","מיקוד בשטף הקריאה ובכישורי שפה","מיקוד בשטף קריאה"),IF($AA1463="ניכרת","מיקוד בכישורי שפה",IF(AND($L1463="תקינה",$Z1463="מפותחת"),"קוראים וכותבים מיומנים","מיקוד בהבנה והבעה"))))))</f>
        <v/>
      </c>
      <c r="AC1463" s="32">
        <f>IF(OR($AB1463="",LEFT($AB1463,1)="—"),"",IF(OR($AB1463="מיקוד בשטף קריאה",$AB1463="מיקוד בשטף הקריאה ובכישורי שפה"),"רמה א'",IF($AB1463="קוראים וכותבים מיומנים","רמה ג'","רמה ב'")))</f>
        <v/>
      </c>
      <c r="AD1463" s="32">
        <f>IF($AC1463="","",MID(IF(AND($AC1463="רמה א'",$AA1463="ניכרת"),"; להוסיף עבודת אוצר מילים","")&amp;IF($Z1463="אינה מפותחת","; דגש על הבעה בכתב","")&amp;IF($K1463&lt;&gt;"תקין","; נדרש לעבוד על ההנגנה","")&amp;IF($AK1463&lt;&gt;"","; "&amp;$AK1463,""),3,400))</f>
        <v/>
      </c>
      <c r="AE1463" s="32">
        <f>IF($F1463="","",IF($F1463="תחילת שנה",1,IF($F1463="מחצית שנה",2,3)))</f>
        <v/>
      </c>
      <c r="AF1463" s="32">
        <f>IF(OR($B1463="",$AC1463="",$A1463="",$F1463=""),"",$B1463&amp;"|"&amp;$A1463&amp;"|"&amp;$F1463&amp;"|"&amp;$AC1463&amp;"|"&amp;COUNTIFS($B$6:$B1463,$B1463,$A$6:$A1463,$A1463,$F$6:$F1463,$F1463,$AC$6:$AC1463,$AC1463))</f>
        <v/>
      </c>
      <c r="AG1463" s="32">
        <f>IF($C1463="","",$C1463&amp;"|"&amp;COUNTIFS($C$6:$C1463,$C1463))</f>
        <v/>
      </c>
      <c r="AH1463" s="32">
        <f>IF(OR($C1463="",$A1463="",$AE1463=""),"",$C1463&amp;"|"&amp;$A1463&amp;"|"&amp;$AE1463)</f>
        <v/>
      </c>
      <c r="AI1463" s="32">
        <f>IF(OR($C1463="",$AE1463="",$AE1463=1),"",IFERROR(INDEX($AC$6:$AC$1505,MATCH($C1463&amp;"|"&amp;$A1463&amp;"|"&amp;($AE1463-1),$AH$6:$AH$1505,0)),""))</f>
        <v/>
      </c>
      <c r="AJ1463" s="32">
        <f>IF(OR($AI1463="",$AC1463=""),"",IF($AI1463=$AC1463,"ללא שינוי","מ-"&amp;$AI1463&amp;" ל-"&amp;$AC1463))</f>
        <v/>
      </c>
      <c r="AK1463" s="67" t="n"/>
    </row>
    <row r="1464">
      <c r="A1464" s="65" t="n"/>
      <c r="B1464" s="65" t="n"/>
      <c r="C1464" s="66" t="n"/>
      <c r="D1464" s="66" t="n"/>
      <c r="E1464" s="65" t="n"/>
      <c r="F1464" s="65" t="n"/>
      <c r="G1464" s="65" t="n"/>
      <c r="H1464" s="65" t="n"/>
      <c r="I1464" s="65" t="n"/>
      <c r="J1464" s="65" t="n"/>
      <c r="K1464" s="65" t="n"/>
      <c r="L1464" s="65" t="n"/>
      <c r="M1464" s="65" t="n"/>
      <c r="N1464" s="65" t="n"/>
      <c r="O1464" s="65" t="n"/>
      <c r="P1464" s="65" t="n"/>
      <c r="Q1464" s="65" t="n"/>
      <c r="R1464" s="65" t="n"/>
      <c r="S1464" s="65" t="n"/>
      <c r="T1464" s="65" t="n"/>
      <c r="U1464" s="65" t="n"/>
      <c r="V1464" s="65" t="n"/>
      <c r="W1464" s="65" t="n"/>
      <c r="X1464" s="65" t="n"/>
      <c r="Y1464" s="32">
        <f>IF($C1464="","",IF(COUNTA($I1464:$K1464)&lt;3,"— חסרים נתונים",IF(AND($I1464="תקין",$J1464="תקין",$K1464="תקין"),"רהוטה",IF(AND($I1464="תקין",$J1464="תקין"),"מדויקת ורציפה","אינה מדויקת או מקוטעת"))))</f>
        <v/>
      </c>
      <c r="Z1464" s="32">
        <f>IF($C1464="","",IF(COUNTA($U1464:$W1464)&lt;3,"",IF(AND($U1464="מפותח",$V1464="מפותח",$W1464="מפותחת"),"מפותחת",IF((--($U1464="דל"))+(--($V1464="אינו מפותח"))+(--($W1464="דלה"))&gt;=2,"אינה מפותחת","חלקית"))))</f>
        <v/>
      </c>
      <c r="AA1464" s="32">
        <f>IF($C1464="","",IF(COUNTA($M1464,$N1464,$O1464)&lt;3,"— חסרים נתונים",IF(OR($M1464="נמוכה",(--($M1464&lt;&gt;"תקינה"))+(--($N1464&lt;&gt;"תקין"))+(--($O1464&lt;&gt;"תקינה"))&gt;=2),"ניכרת","אינה ניכרת")))</f>
        <v/>
      </c>
      <c r="AB1464" s="32">
        <f>IF(OR($C1464="",$Y1464="",$AA1464="",LEFT($Y1464,1)="—",LEFT($AA1464,1)="—"),"",IF($Z1464="","— נדרשת הערכת כתיבה",IF($L1464="","— חסרה הבנת הנקרא",IF($Y1464="אינה מדויקת או מקוטעת",IF($AA1464="ניכרת","מיקוד בשטף הקריאה ובכישורי שפה","מיקוד בשטף קריאה"),IF($AA1464="ניכרת","מיקוד בכישורי שפה",IF(AND($L1464="תקינה",$Z1464="מפותחת"),"קוראים וכותבים מיומנים","מיקוד בהבנה והבעה"))))))</f>
        <v/>
      </c>
      <c r="AC1464" s="32">
        <f>IF(OR($AB1464="",LEFT($AB1464,1)="—"),"",IF(OR($AB1464="מיקוד בשטף קריאה",$AB1464="מיקוד בשטף הקריאה ובכישורי שפה"),"רמה א'",IF($AB1464="קוראים וכותבים מיומנים","רמה ג'","רמה ב'")))</f>
        <v/>
      </c>
      <c r="AD1464" s="32">
        <f>IF($AC1464="","",MID(IF(AND($AC1464="רמה א'",$AA1464="ניכרת"),"; להוסיף עבודת אוצר מילים","")&amp;IF($Z1464="אינה מפותחת","; דגש על הבעה בכתב","")&amp;IF($K1464&lt;&gt;"תקין","; נדרש לעבוד על ההנגנה","")&amp;IF($AK1464&lt;&gt;"","; "&amp;$AK1464,""),3,400))</f>
        <v/>
      </c>
      <c r="AE1464" s="32">
        <f>IF($F1464="","",IF($F1464="תחילת שנה",1,IF($F1464="מחצית שנה",2,3)))</f>
        <v/>
      </c>
      <c r="AF1464" s="32">
        <f>IF(OR($B1464="",$AC1464="",$A1464="",$F1464=""),"",$B1464&amp;"|"&amp;$A1464&amp;"|"&amp;$F1464&amp;"|"&amp;$AC1464&amp;"|"&amp;COUNTIFS($B$6:$B1464,$B1464,$A$6:$A1464,$A1464,$F$6:$F1464,$F1464,$AC$6:$AC1464,$AC1464))</f>
        <v/>
      </c>
      <c r="AG1464" s="32">
        <f>IF($C1464="","",$C1464&amp;"|"&amp;COUNTIFS($C$6:$C1464,$C1464))</f>
        <v/>
      </c>
      <c r="AH1464" s="32">
        <f>IF(OR($C1464="",$A1464="",$AE1464=""),"",$C1464&amp;"|"&amp;$A1464&amp;"|"&amp;$AE1464)</f>
        <v/>
      </c>
      <c r="AI1464" s="32">
        <f>IF(OR($C1464="",$AE1464="",$AE1464=1),"",IFERROR(INDEX($AC$6:$AC$1505,MATCH($C1464&amp;"|"&amp;$A1464&amp;"|"&amp;($AE1464-1),$AH$6:$AH$1505,0)),""))</f>
        <v/>
      </c>
      <c r="AJ1464" s="32">
        <f>IF(OR($AI1464="",$AC1464=""),"",IF($AI1464=$AC1464,"ללא שינוי","מ-"&amp;$AI1464&amp;" ל-"&amp;$AC1464))</f>
        <v/>
      </c>
      <c r="AK1464" s="67" t="n"/>
    </row>
    <row r="1465">
      <c r="A1465" s="65" t="n"/>
      <c r="B1465" s="65" t="n"/>
      <c r="C1465" s="66" t="n"/>
      <c r="D1465" s="66" t="n"/>
      <c r="E1465" s="65" t="n"/>
      <c r="F1465" s="65" t="n"/>
      <c r="G1465" s="65" t="n"/>
      <c r="H1465" s="65" t="n"/>
      <c r="I1465" s="65" t="n"/>
      <c r="J1465" s="65" t="n"/>
      <c r="K1465" s="65" t="n"/>
      <c r="L1465" s="65" t="n"/>
      <c r="M1465" s="65" t="n"/>
      <c r="N1465" s="65" t="n"/>
      <c r="O1465" s="65" t="n"/>
      <c r="P1465" s="65" t="n"/>
      <c r="Q1465" s="65" t="n"/>
      <c r="R1465" s="65" t="n"/>
      <c r="S1465" s="65" t="n"/>
      <c r="T1465" s="65" t="n"/>
      <c r="U1465" s="65" t="n"/>
      <c r="V1465" s="65" t="n"/>
      <c r="W1465" s="65" t="n"/>
      <c r="X1465" s="65" t="n"/>
      <c r="Y1465" s="32">
        <f>IF($C1465="","",IF(COUNTA($I1465:$K1465)&lt;3,"— חסרים נתונים",IF(AND($I1465="תקין",$J1465="תקין",$K1465="תקין"),"רהוטה",IF(AND($I1465="תקין",$J1465="תקין"),"מדויקת ורציפה","אינה מדויקת או מקוטעת"))))</f>
        <v/>
      </c>
      <c r="Z1465" s="32">
        <f>IF($C1465="","",IF(COUNTA($U1465:$W1465)&lt;3,"",IF(AND($U1465="מפותח",$V1465="מפותח",$W1465="מפותחת"),"מפותחת",IF((--($U1465="דל"))+(--($V1465="אינו מפותח"))+(--($W1465="דלה"))&gt;=2,"אינה מפותחת","חלקית"))))</f>
        <v/>
      </c>
      <c r="AA1465" s="32">
        <f>IF($C1465="","",IF(COUNTA($M1465,$N1465,$O1465)&lt;3,"— חסרים נתונים",IF(OR($M1465="נמוכה",(--($M1465&lt;&gt;"תקינה"))+(--($N1465&lt;&gt;"תקין"))+(--($O1465&lt;&gt;"תקינה"))&gt;=2),"ניכרת","אינה ניכרת")))</f>
        <v/>
      </c>
      <c r="AB1465" s="32">
        <f>IF(OR($C1465="",$Y1465="",$AA1465="",LEFT($Y1465,1)="—",LEFT($AA1465,1)="—"),"",IF($Z1465="","— נדרשת הערכת כתיבה",IF($L1465="","— חסרה הבנת הנקרא",IF($Y1465="אינה מדויקת או מקוטעת",IF($AA1465="ניכרת","מיקוד בשטף הקריאה ובכישורי שפה","מיקוד בשטף קריאה"),IF($AA1465="ניכרת","מיקוד בכישורי שפה",IF(AND($L1465="תקינה",$Z1465="מפותחת"),"קוראים וכותבים מיומנים","מיקוד בהבנה והבעה"))))))</f>
        <v/>
      </c>
      <c r="AC1465" s="32">
        <f>IF(OR($AB1465="",LEFT($AB1465,1)="—"),"",IF(OR($AB1465="מיקוד בשטף קריאה",$AB1465="מיקוד בשטף הקריאה ובכישורי שפה"),"רמה א'",IF($AB1465="קוראים וכותבים מיומנים","רמה ג'","רמה ב'")))</f>
        <v/>
      </c>
      <c r="AD1465" s="32">
        <f>IF($AC1465="","",MID(IF(AND($AC1465="רמה א'",$AA1465="ניכרת"),"; להוסיף עבודת אוצר מילים","")&amp;IF($Z1465="אינה מפותחת","; דגש על הבעה בכתב","")&amp;IF($K1465&lt;&gt;"תקין","; נדרש לעבוד על ההנגנה","")&amp;IF($AK1465&lt;&gt;"","; "&amp;$AK1465,""),3,400))</f>
        <v/>
      </c>
      <c r="AE1465" s="32">
        <f>IF($F1465="","",IF($F1465="תחילת שנה",1,IF($F1465="מחצית שנה",2,3)))</f>
        <v/>
      </c>
      <c r="AF1465" s="32">
        <f>IF(OR($B1465="",$AC1465="",$A1465="",$F1465=""),"",$B1465&amp;"|"&amp;$A1465&amp;"|"&amp;$F1465&amp;"|"&amp;$AC1465&amp;"|"&amp;COUNTIFS($B$6:$B1465,$B1465,$A$6:$A1465,$A1465,$F$6:$F1465,$F1465,$AC$6:$AC1465,$AC1465))</f>
        <v/>
      </c>
      <c r="AG1465" s="32">
        <f>IF($C1465="","",$C1465&amp;"|"&amp;COUNTIFS($C$6:$C1465,$C1465))</f>
        <v/>
      </c>
      <c r="AH1465" s="32">
        <f>IF(OR($C1465="",$A1465="",$AE1465=""),"",$C1465&amp;"|"&amp;$A1465&amp;"|"&amp;$AE1465)</f>
        <v/>
      </c>
      <c r="AI1465" s="32">
        <f>IF(OR($C1465="",$AE1465="",$AE1465=1),"",IFERROR(INDEX($AC$6:$AC$1505,MATCH($C1465&amp;"|"&amp;$A1465&amp;"|"&amp;($AE1465-1),$AH$6:$AH$1505,0)),""))</f>
        <v/>
      </c>
      <c r="AJ1465" s="32">
        <f>IF(OR($AI1465="",$AC1465=""),"",IF($AI1465=$AC1465,"ללא שינוי","מ-"&amp;$AI1465&amp;" ל-"&amp;$AC1465))</f>
        <v/>
      </c>
      <c r="AK1465" s="67" t="n"/>
    </row>
    <row r="1466">
      <c r="A1466" s="65" t="n"/>
      <c r="B1466" s="65" t="n"/>
      <c r="C1466" s="66" t="n"/>
      <c r="D1466" s="66" t="n"/>
      <c r="E1466" s="65" t="n"/>
      <c r="F1466" s="65" t="n"/>
      <c r="G1466" s="65" t="n"/>
      <c r="H1466" s="65" t="n"/>
      <c r="I1466" s="65" t="n"/>
      <c r="J1466" s="65" t="n"/>
      <c r="K1466" s="65" t="n"/>
      <c r="L1466" s="65" t="n"/>
      <c r="M1466" s="65" t="n"/>
      <c r="N1466" s="65" t="n"/>
      <c r="O1466" s="65" t="n"/>
      <c r="P1466" s="65" t="n"/>
      <c r="Q1466" s="65" t="n"/>
      <c r="R1466" s="65" t="n"/>
      <c r="S1466" s="65" t="n"/>
      <c r="T1466" s="65" t="n"/>
      <c r="U1466" s="65" t="n"/>
      <c r="V1466" s="65" t="n"/>
      <c r="W1466" s="65" t="n"/>
      <c r="X1466" s="65" t="n"/>
      <c r="Y1466" s="32">
        <f>IF($C1466="","",IF(COUNTA($I1466:$K1466)&lt;3,"— חסרים נתונים",IF(AND($I1466="תקין",$J1466="תקין",$K1466="תקין"),"רהוטה",IF(AND($I1466="תקין",$J1466="תקין"),"מדויקת ורציפה","אינה מדויקת או מקוטעת"))))</f>
        <v/>
      </c>
      <c r="Z1466" s="32">
        <f>IF($C1466="","",IF(COUNTA($U1466:$W1466)&lt;3,"",IF(AND($U1466="מפותח",$V1466="מפותח",$W1466="מפותחת"),"מפותחת",IF((--($U1466="דל"))+(--($V1466="אינו מפותח"))+(--($W1466="דלה"))&gt;=2,"אינה מפותחת","חלקית"))))</f>
        <v/>
      </c>
      <c r="AA1466" s="32">
        <f>IF($C1466="","",IF(COUNTA($M1466,$N1466,$O1466)&lt;3,"— חסרים נתונים",IF(OR($M1466="נמוכה",(--($M1466&lt;&gt;"תקינה"))+(--($N1466&lt;&gt;"תקין"))+(--($O1466&lt;&gt;"תקינה"))&gt;=2),"ניכרת","אינה ניכרת")))</f>
        <v/>
      </c>
      <c r="AB1466" s="32">
        <f>IF(OR($C1466="",$Y1466="",$AA1466="",LEFT($Y1466,1)="—",LEFT($AA1466,1)="—"),"",IF($Z1466="","— נדרשת הערכת כתיבה",IF($L1466="","— חסרה הבנת הנקרא",IF($Y1466="אינה מדויקת או מקוטעת",IF($AA1466="ניכרת","מיקוד בשטף הקריאה ובכישורי שפה","מיקוד בשטף קריאה"),IF($AA1466="ניכרת","מיקוד בכישורי שפה",IF(AND($L1466="תקינה",$Z1466="מפותחת"),"קוראים וכותבים מיומנים","מיקוד בהבנה והבעה"))))))</f>
        <v/>
      </c>
      <c r="AC1466" s="32">
        <f>IF(OR($AB1466="",LEFT($AB1466,1)="—"),"",IF(OR($AB1466="מיקוד בשטף קריאה",$AB1466="מיקוד בשטף הקריאה ובכישורי שפה"),"רמה א'",IF($AB1466="קוראים וכותבים מיומנים","רמה ג'","רמה ב'")))</f>
        <v/>
      </c>
      <c r="AD1466" s="32">
        <f>IF($AC1466="","",MID(IF(AND($AC1466="רמה א'",$AA1466="ניכרת"),"; להוסיף עבודת אוצר מילים","")&amp;IF($Z1466="אינה מפותחת","; דגש על הבעה בכתב","")&amp;IF($K1466&lt;&gt;"תקין","; נדרש לעבוד על ההנגנה","")&amp;IF($AK1466&lt;&gt;"","; "&amp;$AK1466,""),3,400))</f>
        <v/>
      </c>
      <c r="AE1466" s="32">
        <f>IF($F1466="","",IF($F1466="תחילת שנה",1,IF($F1466="מחצית שנה",2,3)))</f>
        <v/>
      </c>
      <c r="AF1466" s="32">
        <f>IF(OR($B1466="",$AC1466="",$A1466="",$F1466=""),"",$B1466&amp;"|"&amp;$A1466&amp;"|"&amp;$F1466&amp;"|"&amp;$AC1466&amp;"|"&amp;COUNTIFS($B$6:$B1466,$B1466,$A$6:$A1466,$A1466,$F$6:$F1466,$F1466,$AC$6:$AC1466,$AC1466))</f>
        <v/>
      </c>
      <c r="AG1466" s="32">
        <f>IF($C1466="","",$C1466&amp;"|"&amp;COUNTIFS($C$6:$C1466,$C1466))</f>
        <v/>
      </c>
      <c r="AH1466" s="32">
        <f>IF(OR($C1466="",$A1466="",$AE1466=""),"",$C1466&amp;"|"&amp;$A1466&amp;"|"&amp;$AE1466)</f>
        <v/>
      </c>
      <c r="AI1466" s="32">
        <f>IF(OR($C1466="",$AE1466="",$AE1466=1),"",IFERROR(INDEX($AC$6:$AC$1505,MATCH($C1466&amp;"|"&amp;$A1466&amp;"|"&amp;($AE1466-1),$AH$6:$AH$1505,0)),""))</f>
        <v/>
      </c>
      <c r="AJ1466" s="32">
        <f>IF(OR($AI1466="",$AC1466=""),"",IF($AI1466=$AC1466,"ללא שינוי","מ-"&amp;$AI1466&amp;" ל-"&amp;$AC1466))</f>
        <v/>
      </c>
      <c r="AK1466" s="67" t="n"/>
    </row>
    <row r="1467">
      <c r="A1467" s="65" t="n"/>
      <c r="B1467" s="65" t="n"/>
      <c r="C1467" s="66" t="n"/>
      <c r="D1467" s="66" t="n"/>
      <c r="E1467" s="65" t="n"/>
      <c r="F1467" s="65" t="n"/>
      <c r="G1467" s="65" t="n"/>
      <c r="H1467" s="65" t="n"/>
      <c r="I1467" s="65" t="n"/>
      <c r="J1467" s="65" t="n"/>
      <c r="K1467" s="65" t="n"/>
      <c r="L1467" s="65" t="n"/>
      <c r="M1467" s="65" t="n"/>
      <c r="N1467" s="65" t="n"/>
      <c r="O1467" s="65" t="n"/>
      <c r="P1467" s="65" t="n"/>
      <c r="Q1467" s="65" t="n"/>
      <c r="R1467" s="65" t="n"/>
      <c r="S1467" s="65" t="n"/>
      <c r="T1467" s="65" t="n"/>
      <c r="U1467" s="65" t="n"/>
      <c r="V1467" s="65" t="n"/>
      <c r="W1467" s="65" t="n"/>
      <c r="X1467" s="65" t="n"/>
      <c r="Y1467" s="32">
        <f>IF($C1467="","",IF(COUNTA($I1467:$K1467)&lt;3,"— חסרים נתונים",IF(AND($I1467="תקין",$J1467="תקין",$K1467="תקין"),"רהוטה",IF(AND($I1467="תקין",$J1467="תקין"),"מדויקת ורציפה","אינה מדויקת או מקוטעת"))))</f>
        <v/>
      </c>
      <c r="Z1467" s="32">
        <f>IF($C1467="","",IF(COUNTA($U1467:$W1467)&lt;3,"",IF(AND($U1467="מפותח",$V1467="מפותח",$W1467="מפותחת"),"מפותחת",IF((--($U1467="דל"))+(--($V1467="אינו מפותח"))+(--($W1467="דלה"))&gt;=2,"אינה מפותחת","חלקית"))))</f>
        <v/>
      </c>
      <c r="AA1467" s="32">
        <f>IF($C1467="","",IF(COUNTA($M1467,$N1467,$O1467)&lt;3,"— חסרים נתונים",IF(OR($M1467="נמוכה",(--($M1467&lt;&gt;"תקינה"))+(--($N1467&lt;&gt;"תקין"))+(--($O1467&lt;&gt;"תקינה"))&gt;=2),"ניכרת","אינה ניכרת")))</f>
        <v/>
      </c>
      <c r="AB1467" s="32">
        <f>IF(OR($C1467="",$Y1467="",$AA1467="",LEFT($Y1467,1)="—",LEFT($AA1467,1)="—"),"",IF($Z1467="","— נדרשת הערכת כתיבה",IF($L1467="","— חסרה הבנת הנקרא",IF($Y1467="אינה מדויקת או מקוטעת",IF($AA1467="ניכרת","מיקוד בשטף הקריאה ובכישורי שפה","מיקוד בשטף קריאה"),IF($AA1467="ניכרת","מיקוד בכישורי שפה",IF(AND($L1467="תקינה",$Z1467="מפותחת"),"קוראים וכותבים מיומנים","מיקוד בהבנה והבעה"))))))</f>
        <v/>
      </c>
      <c r="AC1467" s="32">
        <f>IF(OR($AB1467="",LEFT($AB1467,1)="—"),"",IF(OR($AB1467="מיקוד בשטף קריאה",$AB1467="מיקוד בשטף הקריאה ובכישורי שפה"),"רמה א'",IF($AB1467="קוראים וכותבים מיומנים","רמה ג'","רמה ב'")))</f>
        <v/>
      </c>
      <c r="AD1467" s="32">
        <f>IF($AC1467="","",MID(IF(AND($AC1467="רמה א'",$AA1467="ניכרת"),"; להוסיף עבודת אוצר מילים","")&amp;IF($Z1467="אינה מפותחת","; דגש על הבעה בכתב","")&amp;IF($K1467&lt;&gt;"תקין","; נדרש לעבוד על ההנגנה","")&amp;IF($AK1467&lt;&gt;"","; "&amp;$AK1467,""),3,400))</f>
        <v/>
      </c>
      <c r="AE1467" s="32">
        <f>IF($F1467="","",IF($F1467="תחילת שנה",1,IF($F1467="מחצית שנה",2,3)))</f>
        <v/>
      </c>
      <c r="AF1467" s="32">
        <f>IF(OR($B1467="",$AC1467="",$A1467="",$F1467=""),"",$B1467&amp;"|"&amp;$A1467&amp;"|"&amp;$F1467&amp;"|"&amp;$AC1467&amp;"|"&amp;COUNTIFS($B$6:$B1467,$B1467,$A$6:$A1467,$A1467,$F$6:$F1467,$F1467,$AC$6:$AC1467,$AC1467))</f>
        <v/>
      </c>
      <c r="AG1467" s="32">
        <f>IF($C1467="","",$C1467&amp;"|"&amp;COUNTIFS($C$6:$C1467,$C1467))</f>
        <v/>
      </c>
      <c r="AH1467" s="32">
        <f>IF(OR($C1467="",$A1467="",$AE1467=""),"",$C1467&amp;"|"&amp;$A1467&amp;"|"&amp;$AE1467)</f>
        <v/>
      </c>
      <c r="AI1467" s="32">
        <f>IF(OR($C1467="",$AE1467="",$AE1467=1),"",IFERROR(INDEX($AC$6:$AC$1505,MATCH($C1467&amp;"|"&amp;$A1467&amp;"|"&amp;($AE1467-1),$AH$6:$AH$1505,0)),""))</f>
        <v/>
      </c>
      <c r="AJ1467" s="32">
        <f>IF(OR($AI1467="",$AC1467=""),"",IF($AI1467=$AC1467,"ללא שינוי","מ-"&amp;$AI1467&amp;" ל-"&amp;$AC1467))</f>
        <v/>
      </c>
      <c r="AK1467" s="67" t="n"/>
    </row>
    <row r="1468">
      <c r="A1468" s="65" t="n"/>
      <c r="B1468" s="65" t="n"/>
      <c r="C1468" s="66" t="n"/>
      <c r="D1468" s="66" t="n"/>
      <c r="E1468" s="65" t="n"/>
      <c r="F1468" s="65" t="n"/>
      <c r="G1468" s="65" t="n"/>
      <c r="H1468" s="65" t="n"/>
      <c r="I1468" s="65" t="n"/>
      <c r="J1468" s="65" t="n"/>
      <c r="K1468" s="65" t="n"/>
      <c r="L1468" s="65" t="n"/>
      <c r="M1468" s="65" t="n"/>
      <c r="N1468" s="65" t="n"/>
      <c r="O1468" s="65" t="n"/>
      <c r="P1468" s="65" t="n"/>
      <c r="Q1468" s="65" t="n"/>
      <c r="R1468" s="65" t="n"/>
      <c r="S1468" s="65" t="n"/>
      <c r="T1468" s="65" t="n"/>
      <c r="U1468" s="65" t="n"/>
      <c r="V1468" s="65" t="n"/>
      <c r="W1468" s="65" t="n"/>
      <c r="X1468" s="65" t="n"/>
      <c r="Y1468" s="32">
        <f>IF($C1468="","",IF(COUNTA($I1468:$K1468)&lt;3,"— חסרים נתונים",IF(AND($I1468="תקין",$J1468="תקין",$K1468="תקין"),"רהוטה",IF(AND($I1468="תקין",$J1468="תקין"),"מדויקת ורציפה","אינה מדויקת או מקוטעת"))))</f>
        <v/>
      </c>
      <c r="Z1468" s="32">
        <f>IF($C1468="","",IF(COUNTA($U1468:$W1468)&lt;3,"",IF(AND($U1468="מפותח",$V1468="מפותח",$W1468="מפותחת"),"מפותחת",IF((--($U1468="דל"))+(--($V1468="אינו מפותח"))+(--($W1468="דלה"))&gt;=2,"אינה מפותחת","חלקית"))))</f>
        <v/>
      </c>
      <c r="AA1468" s="32">
        <f>IF($C1468="","",IF(COUNTA($M1468,$N1468,$O1468)&lt;3,"— חסרים נתונים",IF(OR($M1468="נמוכה",(--($M1468&lt;&gt;"תקינה"))+(--($N1468&lt;&gt;"תקין"))+(--($O1468&lt;&gt;"תקינה"))&gt;=2),"ניכרת","אינה ניכרת")))</f>
        <v/>
      </c>
      <c r="AB1468" s="32">
        <f>IF(OR($C1468="",$Y1468="",$AA1468="",LEFT($Y1468,1)="—",LEFT($AA1468,1)="—"),"",IF($Z1468="","— נדרשת הערכת כתיבה",IF($L1468="","— חסרה הבנת הנקרא",IF($Y1468="אינה מדויקת או מקוטעת",IF($AA1468="ניכרת","מיקוד בשטף הקריאה ובכישורי שפה","מיקוד בשטף קריאה"),IF($AA1468="ניכרת","מיקוד בכישורי שפה",IF(AND($L1468="תקינה",$Z1468="מפותחת"),"קוראים וכותבים מיומנים","מיקוד בהבנה והבעה"))))))</f>
        <v/>
      </c>
      <c r="AC1468" s="32">
        <f>IF(OR($AB1468="",LEFT($AB1468,1)="—"),"",IF(OR($AB1468="מיקוד בשטף קריאה",$AB1468="מיקוד בשטף הקריאה ובכישורי שפה"),"רמה א'",IF($AB1468="קוראים וכותבים מיומנים","רמה ג'","רמה ב'")))</f>
        <v/>
      </c>
      <c r="AD1468" s="32">
        <f>IF($AC1468="","",MID(IF(AND($AC1468="רמה א'",$AA1468="ניכרת"),"; להוסיף עבודת אוצר מילים","")&amp;IF($Z1468="אינה מפותחת","; דגש על הבעה בכתב","")&amp;IF($K1468&lt;&gt;"תקין","; נדרש לעבוד על ההנגנה","")&amp;IF($AK1468&lt;&gt;"","; "&amp;$AK1468,""),3,400))</f>
        <v/>
      </c>
      <c r="AE1468" s="32">
        <f>IF($F1468="","",IF($F1468="תחילת שנה",1,IF($F1468="מחצית שנה",2,3)))</f>
        <v/>
      </c>
      <c r="AF1468" s="32">
        <f>IF(OR($B1468="",$AC1468="",$A1468="",$F1468=""),"",$B1468&amp;"|"&amp;$A1468&amp;"|"&amp;$F1468&amp;"|"&amp;$AC1468&amp;"|"&amp;COUNTIFS($B$6:$B1468,$B1468,$A$6:$A1468,$A1468,$F$6:$F1468,$F1468,$AC$6:$AC1468,$AC1468))</f>
        <v/>
      </c>
      <c r="AG1468" s="32">
        <f>IF($C1468="","",$C1468&amp;"|"&amp;COUNTIFS($C$6:$C1468,$C1468))</f>
        <v/>
      </c>
      <c r="AH1468" s="32">
        <f>IF(OR($C1468="",$A1468="",$AE1468=""),"",$C1468&amp;"|"&amp;$A1468&amp;"|"&amp;$AE1468)</f>
        <v/>
      </c>
      <c r="AI1468" s="32">
        <f>IF(OR($C1468="",$AE1468="",$AE1468=1),"",IFERROR(INDEX($AC$6:$AC$1505,MATCH($C1468&amp;"|"&amp;$A1468&amp;"|"&amp;($AE1468-1),$AH$6:$AH$1505,0)),""))</f>
        <v/>
      </c>
      <c r="AJ1468" s="32">
        <f>IF(OR($AI1468="",$AC1468=""),"",IF($AI1468=$AC1468,"ללא שינוי","מ-"&amp;$AI1468&amp;" ל-"&amp;$AC1468))</f>
        <v/>
      </c>
      <c r="AK1468" s="67" t="n"/>
    </row>
    <row r="1469">
      <c r="A1469" s="65" t="n"/>
      <c r="B1469" s="65" t="n"/>
      <c r="C1469" s="66" t="n"/>
      <c r="D1469" s="66" t="n"/>
      <c r="E1469" s="65" t="n"/>
      <c r="F1469" s="65" t="n"/>
      <c r="G1469" s="65" t="n"/>
      <c r="H1469" s="65" t="n"/>
      <c r="I1469" s="65" t="n"/>
      <c r="J1469" s="65" t="n"/>
      <c r="K1469" s="65" t="n"/>
      <c r="L1469" s="65" t="n"/>
      <c r="M1469" s="65" t="n"/>
      <c r="N1469" s="65" t="n"/>
      <c r="O1469" s="65" t="n"/>
      <c r="P1469" s="65" t="n"/>
      <c r="Q1469" s="65" t="n"/>
      <c r="R1469" s="65" t="n"/>
      <c r="S1469" s="65" t="n"/>
      <c r="T1469" s="65" t="n"/>
      <c r="U1469" s="65" t="n"/>
      <c r="V1469" s="65" t="n"/>
      <c r="W1469" s="65" t="n"/>
      <c r="X1469" s="65" t="n"/>
      <c r="Y1469" s="32">
        <f>IF($C1469="","",IF(COUNTA($I1469:$K1469)&lt;3,"— חסרים נתונים",IF(AND($I1469="תקין",$J1469="תקין",$K1469="תקין"),"רהוטה",IF(AND($I1469="תקין",$J1469="תקין"),"מדויקת ורציפה","אינה מדויקת או מקוטעת"))))</f>
        <v/>
      </c>
      <c r="Z1469" s="32">
        <f>IF($C1469="","",IF(COUNTA($U1469:$W1469)&lt;3,"",IF(AND($U1469="מפותח",$V1469="מפותח",$W1469="מפותחת"),"מפותחת",IF((--($U1469="דל"))+(--($V1469="אינו מפותח"))+(--($W1469="דלה"))&gt;=2,"אינה מפותחת","חלקית"))))</f>
        <v/>
      </c>
      <c r="AA1469" s="32">
        <f>IF($C1469="","",IF(COUNTA($M1469,$N1469,$O1469)&lt;3,"— חסרים נתונים",IF(OR($M1469="נמוכה",(--($M1469&lt;&gt;"תקינה"))+(--($N1469&lt;&gt;"תקין"))+(--($O1469&lt;&gt;"תקינה"))&gt;=2),"ניכרת","אינה ניכרת")))</f>
        <v/>
      </c>
      <c r="AB1469" s="32">
        <f>IF(OR($C1469="",$Y1469="",$AA1469="",LEFT($Y1469,1)="—",LEFT($AA1469,1)="—"),"",IF($Z1469="","— נדרשת הערכת כתיבה",IF($L1469="","— חסרה הבנת הנקרא",IF($Y1469="אינה מדויקת או מקוטעת",IF($AA1469="ניכרת","מיקוד בשטף הקריאה ובכישורי שפה","מיקוד בשטף קריאה"),IF($AA1469="ניכרת","מיקוד בכישורי שפה",IF(AND($L1469="תקינה",$Z1469="מפותחת"),"קוראים וכותבים מיומנים","מיקוד בהבנה והבעה"))))))</f>
        <v/>
      </c>
      <c r="AC1469" s="32">
        <f>IF(OR($AB1469="",LEFT($AB1469,1)="—"),"",IF(OR($AB1469="מיקוד בשטף קריאה",$AB1469="מיקוד בשטף הקריאה ובכישורי שפה"),"רמה א'",IF($AB1469="קוראים וכותבים מיומנים","רמה ג'","רמה ב'")))</f>
        <v/>
      </c>
      <c r="AD1469" s="32">
        <f>IF($AC1469="","",MID(IF(AND($AC1469="רמה א'",$AA1469="ניכרת"),"; להוסיף עבודת אוצר מילים","")&amp;IF($Z1469="אינה מפותחת","; דגש על הבעה בכתב","")&amp;IF($K1469&lt;&gt;"תקין","; נדרש לעבוד על ההנגנה","")&amp;IF($AK1469&lt;&gt;"","; "&amp;$AK1469,""),3,400))</f>
        <v/>
      </c>
      <c r="AE1469" s="32">
        <f>IF($F1469="","",IF($F1469="תחילת שנה",1,IF($F1469="מחצית שנה",2,3)))</f>
        <v/>
      </c>
      <c r="AF1469" s="32">
        <f>IF(OR($B1469="",$AC1469="",$A1469="",$F1469=""),"",$B1469&amp;"|"&amp;$A1469&amp;"|"&amp;$F1469&amp;"|"&amp;$AC1469&amp;"|"&amp;COUNTIFS($B$6:$B1469,$B1469,$A$6:$A1469,$A1469,$F$6:$F1469,$F1469,$AC$6:$AC1469,$AC1469))</f>
        <v/>
      </c>
      <c r="AG1469" s="32">
        <f>IF($C1469="","",$C1469&amp;"|"&amp;COUNTIFS($C$6:$C1469,$C1469))</f>
        <v/>
      </c>
      <c r="AH1469" s="32">
        <f>IF(OR($C1469="",$A1469="",$AE1469=""),"",$C1469&amp;"|"&amp;$A1469&amp;"|"&amp;$AE1469)</f>
        <v/>
      </c>
      <c r="AI1469" s="32">
        <f>IF(OR($C1469="",$AE1469="",$AE1469=1),"",IFERROR(INDEX($AC$6:$AC$1505,MATCH($C1469&amp;"|"&amp;$A1469&amp;"|"&amp;($AE1469-1),$AH$6:$AH$1505,0)),""))</f>
        <v/>
      </c>
      <c r="AJ1469" s="32">
        <f>IF(OR($AI1469="",$AC1469=""),"",IF($AI1469=$AC1469,"ללא שינוי","מ-"&amp;$AI1469&amp;" ל-"&amp;$AC1469))</f>
        <v/>
      </c>
      <c r="AK1469" s="67" t="n"/>
    </row>
    <row r="1470">
      <c r="A1470" s="65" t="n"/>
      <c r="B1470" s="65" t="n"/>
      <c r="C1470" s="66" t="n"/>
      <c r="D1470" s="66" t="n"/>
      <c r="E1470" s="65" t="n"/>
      <c r="F1470" s="65" t="n"/>
      <c r="G1470" s="65" t="n"/>
      <c r="H1470" s="65" t="n"/>
      <c r="I1470" s="65" t="n"/>
      <c r="J1470" s="65" t="n"/>
      <c r="K1470" s="65" t="n"/>
      <c r="L1470" s="65" t="n"/>
      <c r="M1470" s="65" t="n"/>
      <c r="N1470" s="65" t="n"/>
      <c r="O1470" s="65" t="n"/>
      <c r="P1470" s="65" t="n"/>
      <c r="Q1470" s="65" t="n"/>
      <c r="R1470" s="65" t="n"/>
      <c r="S1470" s="65" t="n"/>
      <c r="T1470" s="65" t="n"/>
      <c r="U1470" s="65" t="n"/>
      <c r="V1470" s="65" t="n"/>
      <c r="W1470" s="65" t="n"/>
      <c r="X1470" s="65" t="n"/>
      <c r="Y1470" s="32">
        <f>IF($C1470="","",IF(COUNTA($I1470:$K1470)&lt;3,"— חסרים נתונים",IF(AND($I1470="תקין",$J1470="תקין",$K1470="תקין"),"רהוטה",IF(AND($I1470="תקין",$J1470="תקין"),"מדויקת ורציפה","אינה מדויקת או מקוטעת"))))</f>
        <v/>
      </c>
      <c r="Z1470" s="32">
        <f>IF($C1470="","",IF(COUNTA($U1470:$W1470)&lt;3,"",IF(AND($U1470="מפותח",$V1470="מפותח",$W1470="מפותחת"),"מפותחת",IF((--($U1470="דל"))+(--($V1470="אינו מפותח"))+(--($W1470="דלה"))&gt;=2,"אינה מפותחת","חלקית"))))</f>
        <v/>
      </c>
      <c r="AA1470" s="32">
        <f>IF($C1470="","",IF(COUNTA($M1470,$N1470,$O1470)&lt;3,"— חסרים נתונים",IF(OR($M1470="נמוכה",(--($M1470&lt;&gt;"תקינה"))+(--($N1470&lt;&gt;"תקין"))+(--($O1470&lt;&gt;"תקינה"))&gt;=2),"ניכרת","אינה ניכרת")))</f>
        <v/>
      </c>
      <c r="AB1470" s="32">
        <f>IF(OR($C1470="",$Y1470="",$AA1470="",LEFT($Y1470,1)="—",LEFT($AA1470,1)="—"),"",IF($Z1470="","— נדרשת הערכת כתיבה",IF($L1470="","— חסרה הבנת הנקרא",IF($Y1470="אינה מדויקת או מקוטעת",IF($AA1470="ניכרת","מיקוד בשטף הקריאה ובכישורי שפה","מיקוד בשטף קריאה"),IF($AA1470="ניכרת","מיקוד בכישורי שפה",IF(AND($L1470="תקינה",$Z1470="מפותחת"),"קוראים וכותבים מיומנים","מיקוד בהבנה והבעה"))))))</f>
        <v/>
      </c>
      <c r="AC1470" s="32">
        <f>IF(OR($AB1470="",LEFT($AB1470,1)="—"),"",IF(OR($AB1470="מיקוד בשטף קריאה",$AB1470="מיקוד בשטף הקריאה ובכישורי שפה"),"רמה א'",IF($AB1470="קוראים וכותבים מיומנים","רמה ג'","רמה ב'")))</f>
        <v/>
      </c>
      <c r="AD1470" s="32">
        <f>IF($AC1470="","",MID(IF(AND($AC1470="רמה א'",$AA1470="ניכרת"),"; להוסיף עבודת אוצר מילים","")&amp;IF($Z1470="אינה מפותחת","; דגש על הבעה בכתב","")&amp;IF($K1470&lt;&gt;"תקין","; נדרש לעבוד על ההנגנה","")&amp;IF($AK1470&lt;&gt;"","; "&amp;$AK1470,""),3,400))</f>
        <v/>
      </c>
      <c r="AE1470" s="32">
        <f>IF($F1470="","",IF($F1470="תחילת שנה",1,IF($F1470="מחצית שנה",2,3)))</f>
        <v/>
      </c>
      <c r="AF1470" s="32">
        <f>IF(OR($B1470="",$AC1470="",$A1470="",$F1470=""),"",$B1470&amp;"|"&amp;$A1470&amp;"|"&amp;$F1470&amp;"|"&amp;$AC1470&amp;"|"&amp;COUNTIFS($B$6:$B1470,$B1470,$A$6:$A1470,$A1470,$F$6:$F1470,$F1470,$AC$6:$AC1470,$AC1470))</f>
        <v/>
      </c>
      <c r="AG1470" s="32">
        <f>IF($C1470="","",$C1470&amp;"|"&amp;COUNTIFS($C$6:$C1470,$C1470))</f>
        <v/>
      </c>
      <c r="AH1470" s="32">
        <f>IF(OR($C1470="",$A1470="",$AE1470=""),"",$C1470&amp;"|"&amp;$A1470&amp;"|"&amp;$AE1470)</f>
        <v/>
      </c>
      <c r="AI1470" s="32">
        <f>IF(OR($C1470="",$AE1470="",$AE1470=1),"",IFERROR(INDEX($AC$6:$AC$1505,MATCH($C1470&amp;"|"&amp;$A1470&amp;"|"&amp;($AE1470-1),$AH$6:$AH$1505,0)),""))</f>
        <v/>
      </c>
      <c r="AJ1470" s="32">
        <f>IF(OR($AI1470="",$AC1470=""),"",IF($AI1470=$AC1470,"ללא שינוי","מ-"&amp;$AI1470&amp;" ל-"&amp;$AC1470))</f>
        <v/>
      </c>
      <c r="AK1470" s="67" t="n"/>
    </row>
    <row r="1471">
      <c r="A1471" s="65" t="n"/>
      <c r="B1471" s="65" t="n"/>
      <c r="C1471" s="66" t="n"/>
      <c r="D1471" s="66" t="n"/>
      <c r="E1471" s="65" t="n"/>
      <c r="F1471" s="65" t="n"/>
      <c r="G1471" s="65" t="n"/>
      <c r="H1471" s="65" t="n"/>
      <c r="I1471" s="65" t="n"/>
      <c r="J1471" s="65" t="n"/>
      <c r="K1471" s="65" t="n"/>
      <c r="L1471" s="65" t="n"/>
      <c r="M1471" s="65" t="n"/>
      <c r="N1471" s="65" t="n"/>
      <c r="O1471" s="65" t="n"/>
      <c r="P1471" s="65" t="n"/>
      <c r="Q1471" s="65" t="n"/>
      <c r="R1471" s="65" t="n"/>
      <c r="S1471" s="65" t="n"/>
      <c r="T1471" s="65" t="n"/>
      <c r="U1471" s="65" t="n"/>
      <c r="V1471" s="65" t="n"/>
      <c r="W1471" s="65" t="n"/>
      <c r="X1471" s="65" t="n"/>
      <c r="Y1471" s="32">
        <f>IF($C1471="","",IF(COUNTA($I1471:$K1471)&lt;3,"— חסרים נתונים",IF(AND($I1471="תקין",$J1471="תקין",$K1471="תקין"),"רהוטה",IF(AND($I1471="תקין",$J1471="תקין"),"מדויקת ורציפה","אינה מדויקת או מקוטעת"))))</f>
        <v/>
      </c>
      <c r="Z1471" s="32">
        <f>IF($C1471="","",IF(COUNTA($U1471:$W1471)&lt;3,"",IF(AND($U1471="מפותח",$V1471="מפותח",$W1471="מפותחת"),"מפותחת",IF((--($U1471="דל"))+(--($V1471="אינו מפותח"))+(--($W1471="דלה"))&gt;=2,"אינה מפותחת","חלקית"))))</f>
        <v/>
      </c>
      <c r="AA1471" s="32">
        <f>IF($C1471="","",IF(COUNTA($M1471,$N1471,$O1471)&lt;3,"— חסרים נתונים",IF(OR($M1471="נמוכה",(--($M1471&lt;&gt;"תקינה"))+(--($N1471&lt;&gt;"תקין"))+(--($O1471&lt;&gt;"תקינה"))&gt;=2),"ניכרת","אינה ניכרת")))</f>
        <v/>
      </c>
      <c r="AB1471" s="32">
        <f>IF(OR($C1471="",$Y1471="",$AA1471="",LEFT($Y1471,1)="—",LEFT($AA1471,1)="—"),"",IF($Z1471="","— נדרשת הערכת כתיבה",IF($L1471="","— חסרה הבנת הנקרא",IF($Y1471="אינה מדויקת או מקוטעת",IF($AA1471="ניכרת","מיקוד בשטף הקריאה ובכישורי שפה","מיקוד בשטף קריאה"),IF($AA1471="ניכרת","מיקוד בכישורי שפה",IF(AND($L1471="תקינה",$Z1471="מפותחת"),"קוראים וכותבים מיומנים","מיקוד בהבנה והבעה"))))))</f>
        <v/>
      </c>
      <c r="AC1471" s="32">
        <f>IF(OR($AB1471="",LEFT($AB1471,1)="—"),"",IF(OR($AB1471="מיקוד בשטף קריאה",$AB1471="מיקוד בשטף הקריאה ובכישורי שפה"),"רמה א'",IF($AB1471="קוראים וכותבים מיומנים","רמה ג'","רמה ב'")))</f>
        <v/>
      </c>
      <c r="AD1471" s="32">
        <f>IF($AC1471="","",MID(IF(AND($AC1471="רמה א'",$AA1471="ניכרת"),"; להוסיף עבודת אוצר מילים","")&amp;IF($Z1471="אינה מפותחת","; דגש על הבעה בכתב","")&amp;IF($K1471&lt;&gt;"תקין","; נדרש לעבוד על ההנגנה","")&amp;IF($AK1471&lt;&gt;"","; "&amp;$AK1471,""),3,400))</f>
        <v/>
      </c>
      <c r="AE1471" s="32">
        <f>IF($F1471="","",IF($F1471="תחילת שנה",1,IF($F1471="מחצית שנה",2,3)))</f>
        <v/>
      </c>
      <c r="AF1471" s="32">
        <f>IF(OR($B1471="",$AC1471="",$A1471="",$F1471=""),"",$B1471&amp;"|"&amp;$A1471&amp;"|"&amp;$F1471&amp;"|"&amp;$AC1471&amp;"|"&amp;COUNTIFS($B$6:$B1471,$B1471,$A$6:$A1471,$A1471,$F$6:$F1471,$F1471,$AC$6:$AC1471,$AC1471))</f>
        <v/>
      </c>
      <c r="AG1471" s="32">
        <f>IF($C1471="","",$C1471&amp;"|"&amp;COUNTIFS($C$6:$C1471,$C1471))</f>
        <v/>
      </c>
      <c r="AH1471" s="32">
        <f>IF(OR($C1471="",$A1471="",$AE1471=""),"",$C1471&amp;"|"&amp;$A1471&amp;"|"&amp;$AE1471)</f>
        <v/>
      </c>
      <c r="AI1471" s="32">
        <f>IF(OR($C1471="",$AE1471="",$AE1471=1),"",IFERROR(INDEX($AC$6:$AC$1505,MATCH($C1471&amp;"|"&amp;$A1471&amp;"|"&amp;($AE1471-1),$AH$6:$AH$1505,0)),""))</f>
        <v/>
      </c>
      <c r="AJ1471" s="32">
        <f>IF(OR($AI1471="",$AC1471=""),"",IF($AI1471=$AC1471,"ללא שינוי","מ-"&amp;$AI1471&amp;" ל-"&amp;$AC1471))</f>
        <v/>
      </c>
      <c r="AK1471" s="67" t="n"/>
    </row>
    <row r="1472">
      <c r="A1472" s="65" t="n"/>
      <c r="B1472" s="65" t="n"/>
      <c r="C1472" s="66" t="n"/>
      <c r="D1472" s="66" t="n"/>
      <c r="E1472" s="65" t="n"/>
      <c r="F1472" s="65" t="n"/>
      <c r="G1472" s="65" t="n"/>
      <c r="H1472" s="65" t="n"/>
      <c r="I1472" s="65" t="n"/>
      <c r="J1472" s="65" t="n"/>
      <c r="K1472" s="65" t="n"/>
      <c r="L1472" s="65" t="n"/>
      <c r="M1472" s="65" t="n"/>
      <c r="N1472" s="65" t="n"/>
      <c r="O1472" s="65" t="n"/>
      <c r="P1472" s="65" t="n"/>
      <c r="Q1472" s="65" t="n"/>
      <c r="R1472" s="65" t="n"/>
      <c r="S1472" s="65" t="n"/>
      <c r="T1472" s="65" t="n"/>
      <c r="U1472" s="65" t="n"/>
      <c r="V1472" s="65" t="n"/>
      <c r="W1472" s="65" t="n"/>
      <c r="X1472" s="65" t="n"/>
      <c r="Y1472" s="32">
        <f>IF($C1472="","",IF(COUNTA($I1472:$K1472)&lt;3,"— חסרים נתונים",IF(AND($I1472="תקין",$J1472="תקין",$K1472="תקין"),"רהוטה",IF(AND($I1472="תקין",$J1472="תקין"),"מדויקת ורציפה","אינה מדויקת או מקוטעת"))))</f>
        <v/>
      </c>
      <c r="Z1472" s="32">
        <f>IF($C1472="","",IF(COUNTA($U1472:$W1472)&lt;3,"",IF(AND($U1472="מפותח",$V1472="מפותח",$W1472="מפותחת"),"מפותחת",IF((--($U1472="דל"))+(--($V1472="אינו מפותח"))+(--($W1472="דלה"))&gt;=2,"אינה מפותחת","חלקית"))))</f>
        <v/>
      </c>
      <c r="AA1472" s="32">
        <f>IF($C1472="","",IF(COUNTA($M1472,$N1472,$O1472)&lt;3,"— חסרים נתונים",IF(OR($M1472="נמוכה",(--($M1472&lt;&gt;"תקינה"))+(--($N1472&lt;&gt;"תקין"))+(--($O1472&lt;&gt;"תקינה"))&gt;=2),"ניכרת","אינה ניכרת")))</f>
        <v/>
      </c>
      <c r="AB1472" s="32">
        <f>IF(OR($C1472="",$Y1472="",$AA1472="",LEFT($Y1472,1)="—",LEFT($AA1472,1)="—"),"",IF($Z1472="","— נדרשת הערכת כתיבה",IF($L1472="","— חסרה הבנת הנקרא",IF($Y1472="אינה מדויקת או מקוטעת",IF($AA1472="ניכרת","מיקוד בשטף הקריאה ובכישורי שפה","מיקוד בשטף קריאה"),IF($AA1472="ניכרת","מיקוד בכישורי שפה",IF(AND($L1472="תקינה",$Z1472="מפותחת"),"קוראים וכותבים מיומנים","מיקוד בהבנה והבעה"))))))</f>
        <v/>
      </c>
      <c r="AC1472" s="32">
        <f>IF(OR($AB1472="",LEFT($AB1472,1)="—"),"",IF(OR($AB1472="מיקוד בשטף קריאה",$AB1472="מיקוד בשטף הקריאה ובכישורי שפה"),"רמה א'",IF($AB1472="קוראים וכותבים מיומנים","רמה ג'","רמה ב'")))</f>
        <v/>
      </c>
      <c r="AD1472" s="32">
        <f>IF($AC1472="","",MID(IF(AND($AC1472="רמה א'",$AA1472="ניכרת"),"; להוסיף עבודת אוצר מילים","")&amp;IF($Z1472="אינה מפותחת","; דגש על הבעה בכתב","")&amp;IF($K1472&lt;&gt;"תקין","; נדרש לעבוד על ההנגנה","")&amp;IF($AK1472&lt;&gt;"","; "&amp;$AK1472,""),3,400))</f>
        <v/>
      </c>
      <c r="AE1472" s="32">
        <f>IF($F1472="","",IF($F1472="תחילת שנה",1,IF($F1472="מחצית שנה",2,3)))</f>
        <v/>
      </c>
      <c r="AF1472" s="32">
        <f>IF(OR($B1472="",$AC1472="",$A1472="",$F1472=""),"",$B1472&amp;"|"&amp;$A1472&amp;"|"&amp;$F1472&amp;"|"&amp;$AC1472&amp;"|"&amp;COUNTIFS($B$6:$B1472,$B1472,$A$6:$A1472,$A1472,$F$6:$F1472,$F1472,$AC$6:$AC1472,$AC1472))</f>
        <v/>
      </c>
      <c r="AG1472" s="32">
        <f>IF($C1472="","",$C1472&amp;"|"&amp;COUNTIFS($C$6:$C1472,$C1472))</f>
        <v/>
      </c>
      <c r="AH1472" s="32">
        <f>IF(OR($C1472="",$A1472="",$AE1472=""),"",$C1472&amp;"|"&amp;$A1472&amp;"|"&amp;$AE1472)</f>
        <v/>
      </c>
      <c r="AI1472" s="32">
        <f>IF(OR($C1472="",$AE1472="",$AE1472=1),"",IFERROR(INDEX($AC$6:$AC$1505,MATCH($C1472&amp;"|"&amp;$A1472&amp;"|"&amp;($AE1472-1),$AH$6:$AH$1505,0)),""))</f>
        <v/>
      </c>
      <c r="AJ1472" s="32">
        <f>IF(OR($AI1472="",$AC1472=""),"",IF($AI1472=$AC1472,"ללא שינוי","מ-"&amp;$AI1472&amp;" ל-"&amp;$AC1472))</f>
        <v/>
      </c>
      <c r="AK1472" s="67" t="n"/>
    </row>
    <row r="1473">
      <c r="A1473" s="65" t="n"/>
      <c r="B1473" s="65" t="n"/>
      <c r="C1473" s="66" t="n"/>
      <c r="D1473" s="66" t="n"/>
      <c r="E1473" s="65" t="n"/>
      <c r="F1473" s="65" t="n"/>
      <c r="G1473" s="65" t="n"/>
      <c r="H1473" s="65" t="n"/>
      <c r="I1473" s="65" t="n"/>
      <c r="J1473" s="65" t="n"/>
      <c r="K1473" s="65" t="n"/>
      <c r="L1473" s="65" t="n"/>
      <c r="M1473" s="65" t="n"/>
      <c r="N1473" s="65" t="n"/>
      <c r="O1473" s="65" t="n"/>
      <c r="P1473" s="65" t="n"/>
      <c r="Q1473" s="65" t="n"/>
      <c r="R1473" s="65" t="n"/>
      <c r="S1473" s="65" t="n"/>
      <c r="T1473" s="65" t="n"/>
      <c r="U1473" s="65" t="n"/>
      <c r="V1473" s="65" t="n"/>
      <c r="W1473" s="65" t="n"/>
      <c r="X1473" s="65" t="n"/>
      <c r="Y1473" s="32">
        <f>IF($C1473="","",IF(COUNTA($I1473:$K1473)&lt;3,"— חסרים נתונים",IF(AND($I1473="תקין",$J1473="תקין",$K1473="תקין"),"רהוטה",IF(AND($I1473="תקין",$J1473="תקין"),"מדויקת ורציפה","אינה מדויקת או מקוטעת"))))</f>
        <v/>
      </c>
      <c r="Z1473" s="32">
        <f>IF($C1473="","",IF(COUNTA($U1473:$W1473)&lt;3,"",IF(AND($U1473="מפותח",$V1473="מפותח",$W1473="מפותחת"),"מפותחת",IF((--($U1473="דל"))+(--($V1473="אינו מפותח"))+(--($W1473="דלה"))&gt;=2,"אינה מפותחת","חלקית"))))</f>
        <v/>
      </c>
      <c r="AA1473" s="32">
        <f>IF($C1473="","",IF(COUNTA($M1473,$N1473,$O1473)&lt;3,"— חסרים נתונים",IF(OR($M1473="נמוכה",(--($M1473&lt;&gt;"תקינה"))+(--($N1473&lt;&gt;"תקין"))+(--($O1473&lt;&gt;"תקינה"))&gt;=2),"ניכרת","אינה ניכרת")))</f>
        <v/>
      </c>
      <c r="AB1473" s="32">
        <f>IF(OR($C1473="",$Y1473="",$AA1473="",LEFT($Y1473,1)="—",LEFT($AA1473,1)="—"),"",IF($Z1473="","— נדרשת הערכת כתיבה",IF($L1473="","— חסרה הבנת הנקרא",IF($Y1473="אינה מדויקת או מקוטעת",IF($AA1473="ניכרת","מיקוד בשטף הקריאה ובכישורי שפה","מיקוד בשטף קריאה"),IF($AA1473="ניכרת","מיקוד בכישורי שפה",IF(AND($L1473="תקינה",$Z1473="מפותחת"),"קוראים וכותבים מיומנים","מיקוד בהבנה והבעה"))))))</f>
        <v/>
      </c>
      <c r="AC1473" s="32">
        <f>IF(OR($AB1473="",LEFT($AB1473,1)="—"),"",IF(OR($AB1473="מיקוד בשטף קריאה",$AB1473="מיקוד בשטף הקריאה ובכישורי שפה"),"רמה א'",IF($AB1473="קוראים וכותבים מיומנים","רמה ג'","רמה ב'")))</f>
        <v/>
      </c>
      <c r="AD1473" s="32">
        <f>IF($AC1473="","",MID(IF(AND($AC1473="רמה א'",$AA1473="ניכרת"),"; להוסיף עבודת אוצר מילים","")&amp;IF($Z1473="אינה מפותחת","; דגש על הבעה בכתב","")&amp;IF($K1473&lt;&gt;"תקין","; נדרש לעבוד על ההנגנה","")&amp;IF($AK1473&lt;&gt;"","; "&amp;$AK1473,""),3,400))</f>
        <v/>
      </c>
      <c r="AE1473" s="32">
        <f>IF($F1473="","",IF($F1473="תחילת שנה",1,IF($F1473="מחצית שנה",2,3)))</f>
        <v/>
      </c>
      <c r="AF1473" s="32">
        <f>IF(OR($B1473="",$AC1473="",$A1473="",$F1473=""),"",$B1473&amp;"|"&amp;$A1473&amp;"|"&amp;$F1473&amp;"|"&amp;$AC1473&amp;"|"&amp;COUNTIFS($B$6:$B1473,$B1473,$A$6:$A1473,$A1473,$F$6:$F1473,$F1473,$AC$6:$AC1473,$AC1473))</f>
        <v/>
      </c>
      <c r="AG1473" s="32">
        <f>IF($C1473="","",$C1473&amp;"|"&amp;COUNTIFS($C$6:$C1473,$C1473))</f>
        <v/>
      </c>
      <c r="AH1473" s="32">
        <f>IF(OR($C1473="",$A1473="",$AE1473=""),"",$C1473&amp;"|"&amp;$A1473&amp;"|"&amp;$AE1473)</f>
        <v/>
      </c>
      <c r="AI1473" s="32">
        <f>IF(OR($C1473="",$AE1473="",$AE1473=1),"",IFERROR(INDEX($AC$6:$AC$1505,MATCH($C1473&amp;"|"&amp;$A1473&amp;"|"&amp;($AE1473-1),$AH$6:$AH$1505,0)),""))</f>
        <v/>
      </c>
      <c r="AJ1473" s="32">
        <f>IF(OR($AI1473="",$AC1473=""),"",IF($AI1473=$AC1473,"ללא שינוי","מ-"&amp;$AI1473&amp;" ל-"&amp;$AC1473))</f>
        <v/>
      </c>
      <c r="AK1473" s="67" t="n"/>
    </row>
    <row r="1474">
      <c r="A1474" s="65" t="n"/>
      <c r="B1474" s="65" t="n"/>
      <c r="C1474" s="66" t="n"/>
      <c r="D1474" s="66" t="n"/>
      <c r="E1474" s="65" t="n"/>
      <c r="F1474" s="65" t="n"/>
      <c r="G1474" s="65" t="n"/>
      <c r="H1474" s="65" t="n"/>
      <c r="I1474" s="65" t="n"/>
      <c r="J1474" s="65" t="n"/>
      <c r="K1474" s="65" t="n"/>
      <c r="L1474" s="65" t="n"/>
      <c r="M1474" s="65" t="n"/>
      <c r="N1474" s="65" t="n"/>
      <c r="O1474" s="65" t="n"/>
      <c r="P1474" s="65" t="n"/>
      <c r="Q1474" s="65" t="n"/>
      <c r="R1474" s="65" t="n"/>
      <c r="S1474" s="65" t="n"/>
      <c r="T1474" s="65" t="n"/>
      <c r="U1474" s="65" t="n"/>
      <c r="V1474" s="65" t="n"/>
      <c r="W1474" s="65" t="n"/>
      <c r="X1474" s="65" t="n"/>
      <c r="Y1474" s="32">
        <f>IF($C1474="","",IF(COUNTA($I1474:$K1474)&lt;3,"— חסרים נתונים",IF(AND($I1474="תקין",$J1474="תקין",$K1474="תקין"),"רהוטה",IF(AND($I1474="תקין",$J1474="תקין"),"מדויקת ורציפה","אינה מדויקת או מקוטעת"))))</f>
        <v/>
      </c>
      <c r="Z1474" s="32">
        <f>IF($C1474="","",IF(COUNTA($U1474:$W1474)&lt;3,"",IF(AND($U1474="מפותח",$V1474="מפותח",$W1474="מפותחת"),"מפותחת",IF((--($U1474="דל"))+(--($V1474="אינו מפותח"))+(--($W1474="דלה"))&gt;=2,"אינה מפותחת","חלקית"))))</f>
        <v/>
      </c>
      <c r="AA1474" s="32">
        <f>IF($C1474="","",IF(COUNTA($M1474,$N1474,$O1474)&lt;3,"— חסרים נתונים",IF(OR($M1474="נמוכה",(--($M1474&lt;&gt;"תקינה"))+(--($N1474&lt;&gt;"תקין"))+(--($O1474&lt;&gt;"תקינה"))&gt;=2),"ניכרת","אינה ניכרת")))</f>
        <v/>
      </c>
      <c r="AB1474" s="32">
        <f>IF(OR($C1474="",$Y1474="",$AA1474="",LEFT($Y1474,1)="—",LEFT($AA1474,1)="—"),"",IF($Z1474="","— נדרשת הערכת כתיבה",IF($L1474="","— חסרה הבנת הנקרא",IF($Y1474="אינה מדויקת או מקוטעת",IF($AA1474="ניכרת","מיקוד בשטף הקריאה ובכישורי שפה","מיקוד בשטף קריאה"),IF($AA1474="ניכרת","מיקוד בכישורי שפה",IF(AND($L1474="תקינה",$Z1474="מפותחת"),"קוראים וכותבים מיומנים","מיקוד בהבנה והבעה"))))))</f>
        <v/>
      </c>
      <c r="AC1474" s="32">
        <f>IF(OR($AB1474="",LEFT($AB1474,1)="—"),"",IF(OR($AB1474="מיקוד בשטף קריאה",$AB1474="מיקוד בשטף הקריאה ובכישורי שפה"),"רמה א'",IF($AB1474="קוראים וכותבים מיומנים","רמה ג'","רמה ב'")))</f>
        <v/>
      </c>
      <c r="AD1474" s="32">
        <f>IF($AC1474="","",MID(IF(AND($AC1474="רמה א'",$AA1474="ניכרת"),"; להוסיף עבודת אוצר מילים","")&amp;IF($Z1474="אינה מפותחת","; דגש על הבעה בכתב","")&amp;IF($K1474&lt;&gt;"תקין","; נדרש לעבוד על ההנגנה","")&amp;IF($AK1474&lt;&gt;"","; "&amp;$AK1474,""),3,400))</f>
        <v/>
      </c>
      <c r="AE1474" s="32">
        <f>IF($F1474="","",IF($F1474="תחילת שנה",1,IF($F1474="מחצית שנה",2,3)))</f>
        <v/>
      </c>
      <c r="AF1474" s="32">
        <f>IF(OR($B1474="",$AC1474="",$A1474="",$F1474=""),"",$B1474&amp;"|"&amp;$A1474&amp;"|"&amp;$F1474&amp;"|"&amp;$AC1474&amp;"|"&amp;COUNTIFS($B$6:$B1474,$B1474,$A$6:$A1474,$A1474,$F$6:$F1474,$F1474,$AC$6:$AC1474,$AC1474))</f>
        <v/>
      </c>
      <c r="AG1474" s="32">
        <f>IF($C1474="","",$C1474&amp;"|"&amp;COUNTIFS($C$6:$C1474,$C1474))</f>
        <v/>
      </c>
      <c r="AH1474" s="32">
        <f>IF(OR($C1474="",$A1474="",$AE1474=""),"",$C1474&amp;"|"&amp;$A1474&amp;"|"&amp;$AE1474)</f>
        <v/>
      </c>
      <c r="AI1474" s="32">
        <f>IF(OR($C1474="",$AE1474="",$AE1474=1),"",IFERROR(INDEX($AC$6:$AC$1505,MATCH($C1474&amp;"|"&amp;$A1474&amp;"|"&amp;($AE1474-1),$AH$6:$AH$1505,0)),""))</f>
        <v/>
      </c>
      <c r="AJ1474" s="32">
        <f>IF(OR($AI1474="",$AC1474=""),"",IF($AI1474=$AC1474,"ללא שינוי","מ-"&amp;$AI1474&amp;" ל-"&amp;$AC1474))</f>
        <v/>
      </c>
      <c r="AK1474" s="67" t="n"/>
    </row>
    <row r="1475">
      <c r="A1475" s="65" t="n"/>
      <c r="B1475" s="65" t="n"/>
      <c r="C1475" s="66" t="n"/>
      <c r="D1475" s="66" t="n"/>
      <c r="E1475" s="65" t="n"/>
      <c r="F1475" s="65" t="n"/>
      <c r="G1475" s="65" t="n"/>
      <c r="H1475" s="65" t="n"/>
      <c r="I1475" s="65" t="n"/>
      <c r="J1475" s="65" t="n"/>
      <c r="K1475" s="65" t="n"/>
      <c r="L1475" s="65" t="n"/>
      <c r="M1475" s="65" t="n"/>
      <c r="N1475" s="65" t="n"/>
      <c r="O1475" s="65" t="n"/>
      <c r="P1475" s="65" t="n"/>
      <c r="Q1475" s="65" t="n"/>
      <c r="R1475" s="65" t="n"/>
      <c r="S1475" s="65" t="n"/>
      <c r="T1475" s="65" t="n"/>
      <c r="U1475" s="65" t="n"/>
      <c r="V1475" s="65" t="n"/>
      <c r="W1475" s="65" t="n"/>
      <c r="X1475" s="65" t="n"/>
      <c r="Y1475" s="32">
        <f>IF($C1475="","",IF(COUNTA($I1475:$K1475)&lt;3,"— חסרים נתונים",IF(AND($I1475="תקין",$J1475="תקין",$K1475="תקין"),"רהוטה",IF(AND($I1475="תקין",$J1475="תקין"),"מדויקת ורציפה","אינה מדויקת או מקוטעת"))))</f>
        <v/>
      </c>
      <c r="Z1475" s="32">
        <f>IF($C1475="","",IF(COUNTA($U1475:$W1475)&lt;3,"",IF(AND($U1475="מפותח",$V1475="מפותח",$W1475="מפותחת"),"מפותחת",IF((--($U1475="דל"))+(--($V1475="אינו מפותח"))+(--($W1475="דלה"))&gt;=2,"אינה מפותחת","חלקית"))))</f>
        <v/>
      </c>
      <c r="AA1475" s="32">
        <f>IF($C1475="","",IF(COUNTA($M1475,$N1475,$O1475)&lt;3,"— חסרים נתונים",IF(OR($M1475="נמוכה",(--($M1475&lt;&gt;"תקינה"))+(--($N1475&lt;&gt;"תקין"))+(--($O1475&lt;&gt;"תקינה"))&gt;=2),"ניכרת","אינה ניכרת")))</f>
        <v/>
      </c>
      <c r="AB1475" s="32">
        <f>IF(OR($C1475="",$Y1475="",$AA1475="",LEFT($Y1475,1)="—",LEFT($AA1475,1)="—"),"",IF($Z1475="","— נדרשת הערכת כתיבה",IF($L1475="","— חסרה הבנת הנקרא",IF($Y1475="אינה מדויקת או מקוטעת",IF($AA1475="ניכרת","מיקוד בשטף הקריאה ובכישורי שפה","מיקוד בשטף קריאה"),IF($AA1475="ניכרת","מיקוד בכישורי שפה",IF(AND($L1475="תקינה",$Z1475="מפותחת"),"קוראים וכותבים מיומנים","מיקוד בהבנה והבעה"))))))</f>
        <v/>
      </c>
      <c r="AC1475" s="32">
        <f>IF(OR($AB1475="",LEFT($AB1475,1)="—"),"",IF(OR($AB1475="מיקוד בשטף קריאה",$AB1475="מיקוד בשטף הקריאה ובכישורי שפה"),"רמה א'",IF($AB1475="קוראים וכותבים מיומנים","רמה ג'","רמה ב'")))</f>
        <v/>
      </c>
      <c r="AD1475" s="32">
        <f>IF($AC1475="","",MID(IF(AND($AC1475="רמה א'",$AA1475="ניכרת"),"; להוסיף עבודת אוצר מילים","")&amp;IF($Z1475="אינה מפותחת","; דגש על הבעה בכתב","")&amp;IF($K1475&lt;&gt;"תקין","; נדרש לעבוד על ההנגנה","")&amp;IF($AK1475&lt;&gt;"","; "&amp;$AK1475,""),3,400))</f>
        <v/>
      </c>
      <c r="AE1475" s="32">
        <f>IF($F1475="","",IF($F1475="תחילת שנה",1,IF($F1475="מחצית שנה",2,3)))</f>
        <v/>
      </c>
      <c r="AF1475" s="32">
        <f>IF(OR($B1475="",$AC1475="",$A1475="",$F1475=""),"",$B1475&amp;"|"&amp;$A1475&amp;"|"&amp;$F1475&amp;"|"&amp;$AC1475&amp;"|"&amp;COUNTIFS($B$6:$B1475,$B1475,$A$6:$A1475,$A1475,$F$6:$F1475,$F1475,$AC$6:$AC1475,$AC1475))</f>
        <v/>
      </c>
      <c r="AG1475" s="32">
        <f>IF($C1475="","",$C1475&amp;"|"&amp;COUNTIFS($C$6:$C1475,$C1475))</f>
        <v/>
      </c>
      <c r="AH1475" s="32">
        <f>IF(OR($C1475="",$A1475="",$AE1475=""),"",$C1475&amp;"|"&amp;$A1475&amp;"|"&amp;$AE1475)</f>
        <v/>
      </c>
      <c r="AI1475" s="32">
        <f>IF(OR($C1475="",$AE1475="",$AE1475=1),"",IFERROR(INDEX($AC$6:$AC$1505,MATCH($C1475&amp;"|"&amp;$A1475&amp;"|"&amp;($AE1475-1),$AH$6:$AH$1505,0)),""))</f>
        <v/>
      </c>
      <c r="AJ1475" s="32">
        <f>IF(OR($AI1475="",$AC1475=""),"",IF($AI1475=$AC1475,"ללא שינוי","מ-"&amp;$AI1475&amp;" ל-"&amp;$AC1475))</f>
        <v/>
      </c>
      <c r="AK1475" s="67" t="n"/>
    </row>
    <row r="1476">
      <c r="A1476" s="65" t="n"/>
      <c r="B1476" s="65" t="n"/>
      <c r="C1476" s="66" t="n"/>
      <c r="D1476" s="66" t="n"/>
      <c r="E1476" s="65" t="n"/>
      <c r="F1476" s="65" t="n"/>
      <c r="G1476" s="65" t="n"/>
      <c r="H1476" s="65" t="n"/>
      <c r="I1476" s="65" t="n"/>
      <c r="J1476" s="65" t="n"/>
      <c r="K1476" s="65" t="n"/>
      <c r="L1476" s="65" t="n"/>
      <c r="M1476" s="65" t="n"/>
      <c r="N1476" s="65" t="n"/>
      <c r="O1476" s="65" t="n"/>
      <c r="P1476" s="65" t="n"/>
      <c r="Q1476" s="65" t="n"/>
      <c r="R1476" s="65" t="n"/>
      <c r="S1476" s="65" t="n"/>
      <c r="T1476" s="65" t="n"/>
      <c r="U1476" s="65" t="n"/>
      <c r="V1476" s="65" t="n"/>
      <c r="W1476" s="65" t="n"/>
      <c r="X1476" s="65" t="n"/>
      <c r="Y1476" s="32">
        <f>IF($C1476="","",IF(COUNTA($I1476:$K1476)&lt;3,"— חסרים נתונים",IF(AND($I1476="תקין",$J1476="תקין",$K1476="תקין"),"רהוטה",IF(AND($I1476="תקין",$J1476="תקין"),"מדויקת ורציפה","אינה מדויקת או מקוטעת"))))</f>
        <v/>
      </c>
      <c r="Z1476" s="32">
        <f>IF($C1476="","",IF(COUNTA($U1476:$W1476)&lt;3,"",IF(AND($U1476="מפותח",$V1476="מפותח",$W1476="מפותחת"),"מפותחת",IF((--($U1476="דל"))+(--($V1476="אינו מפותח"))+(--($W1476="דלה"))&gt;=2,"אינה מפותחת","חלקית"))))</f>
        <v/>
      </c>
      <c r="AA1476" s="32">
        <f>IF($C1476="","",IF(COUNTA($M1476,$N1476,$O1476)&lt;3,"— חסרים נתונים",IF(OR($M1476="נמוכה",(--($M1476&lt;&gt;"תקינה"))+(--($N1476&lt;&gt;"תקין"))+(--($O1476&lt;&gt;"תקינה"))&gt;=2),"ניכרת","אינה ניכרת")))</f>
        <v/>
      </c>
      <c r="AB1476" s="32">
        <f>IF(OR($C1476="",$Y1476="",$AA1476="",LEFT($Y1476,1)="—",LEFT($AA1476,1)="—"),"",IF($Z1476="","— נדרשת הערכת כתיבה",IF($L1476="","— חסרה הבנת הנקרא",IF($Y1476="אינה מדויקת או מקוטעת",IF($AA1476="ניכרת","מיקוד בשטף הקריאה ובכישורי שפה","מיקוד בשטף קריאה"),IF($AA1476="ניכרת","מיקוד בכישורי שפה",IF(AND($L1476="תקינה",$Z1476="מפותחת"),"קוראים וכותבים מיומנים","מיקוד בהבנה והבעה"))))))</f>
        <v/>
      </c>
      <c r="AC1476" s="32">
        <f>IF(OR($AB1476="",LEFT($AB1476,1)="—"),"",IF(OR($AB1476="מיקוד בשטף קריאה",$AB1476="מיקוד בשטף הקריאה ובכישורי שפה"),"רמה א'",IF($AB1476="קוראים וכותבים מיומנים","רמה ג'","רמה ב'")))</f>
        <v/>
      </c>
      <c r="AD1476" s="32">
        <f>IF($AC1476="","",MID(IF(AND($AC1476="רמה א'",$AA1476="ניכרת"),"; להוסיף עבודת אוצר מילים","")&amp;IF($Z1476="אינה מפותחת","; דגש על הבעה בכתב","")&amp;IF($K1476&lt;&gt;"תקין","; נדרש לעבוד על ההנגנה","")&amp;IF($AK1476&lt;&gt;"","; "&amp;$AK1476,""),3,400))</f>
        <v/>
      </c>
      <c r="AE1476" s="32">
        <f>IF($F1476="","",IF($F1476="תחילת שנה",1,IF($F1476="מחצית שנה",2,3)))</f>
        <v/>
      </c>
      <c r="AF1476" s="32">
        <f>IF(OR($B1476="",$AC1476="",$A1476="",$F1476=""),"",$B1476&amp;"|"&amp;$A1476&amp;"|"&amp;$F1476&amp;"|"&amp;$AC1476&amp;"|"&amp;COUNTIFS($B$6:$B1476,$B1476,$A$6:$A1476,$A1476,$F$6:$F1476,$F1476,$AC$6:$AC1476,$AC1476))</f>
        <v/>
      </c>
      <c r="AG1476" s="32">
        <f>IF($C1476="","",$C1476&amp;"|"&amp;COUNTIFS($C$6:$C1476,$C1476))</f>
        <v/>
      </c>
      <c r="AH1476" s="32">
        <f>IF(OR($C1476="",$A1476="",$AE1476=""),"",$C1476&amp;"|"&amp;$A1476&amp;"|"&amp;$AE1476)</f>
        <v/>
      </c>
      <c r="AI1476" s="32">
        <f>IF(OR($C1476="",$AE1476="",$AE1476=1),"",IFERROR(INDEX($AC$6:$AC$1505,MATCH($C1476&amp;"|"&amp;$A1476&amp;"|"&amp;($AE1476-1),$AH$6:$AH$1505,0)),""))</f>
        <v/>
      </c>
      <c r="AJ1476" s="32">
        <f>IF(OR($AI1476="",$AC1476=""),"",IF($AI1476=$AC1476,"ללא שינוי","מ-"&amp;$AI1476&amp;" ל-"&amp;$AC1476))</f>
        <v/>
      </c>
      <c r="AK1476" s="67" t="n"/>
    </row>
    <row r="1477">
      <c r="A1477" s="65" t="n"/>
      <c r="B1477" s="65" t="n"/>
      <c r="C1477" s="66" t="n"/>
      <c r="D1477" s="66" t="n"/>
      <c r="E1477" s="65" t="n"/>
      <c r="F1477" s="65" t="n"/>
      <c r="G1477" s="65" t="n"/>
      <c r="H1477" s="65" t="n"/>
      <c r="I1477" s="65" t="n"/>
      <c r="J1477" s="65" t="n"/>
      <c r="K1477" s="65" t="n"/>
      <c r="L1477" s="65" t="n"/>
      <c r="M1477" s="65" t="n"/>
      <c r="N1477" s="65" t="n"/>
      <c r="O1477" s="65" t="n"/>
      <c r="P1477" s="65" t="n"/>
      <c r="Q1477" s="65" t="n"/>
      <c r="R1477" s="65" t="n"/>
      <c r="S1477" s="65" t="n"/>
      <c r="T1477" s="65" t="n"/>
      <c r="U1477" s="65" t="n"/>
      <c r="V1477" s="65" t="n"/>
      <c r="W1477" s="65" t="n"/>
      <c r="X1477" s="65" t="n"/>
      <c r="Y1477" s="32">
        <f>IF($C1477="","",IF(COUNTA($I1477:$K1477)&lt;3,"— חסרים נתונים",IF(AND($I1477="תקין",$J1477="תקין",$K1477="תקין"),"רהוטה",IF(AND($I1477="תקין",$J1477="תקין"),"מדויקת ורציפה","אינה מדויקת או מקוטעת"))))</f>
        <v/>
      </c>
      <c r="Z1477" s="32">
        <f>IF($C1477="","",IF(COUNTA($U1477:$W1477)&lt;3,"",IF(AND($U1477="מפותח",$V1477="מפותח",$W1477="מפותחת"),"מפותחת",IF((--($U1477="דל"))+(--($V1477="אינו מפותח"))+(--($W1477="דלה"))&gt;=2,"אינה מפותחת","חלקית"))))</f>
        <v/>
      </c>
      <c r="AA1477" s="32">
        <f>IF($C1477="","",IF(COUNTA($M1477,$N1477,$O1477)&lt;3,"— חסרים נתונים",IF(OR($M1477="נמוכה",(--($M1477&lt;&gt;"תקינה"))+(--($N1477&lt;&gt;"תקין"))+(--($O1477&lt;&gt;"תקינה"))&gt;=2),"ניכרת","אינה ניכרת")))</f>
        <v/>
      </c>
      <c r="AB1477" s="32">
        <f>IF(OR($C1477="",$Y1477="",$AA1477="",LEFT($Y1477,1)="—",LEFT($AA1477,1)="—"),"",IF($Z1477="","— נדרשת הערכת כתיבה",IF($L1477="","— חסרה הבנת הנקרא",IF($Y1477="אינה מדויקת או מקוטעת",IF($AA1477="ניכרת","מיקוד בשטף הקריאה ובכישורי שפה","מיקוד בשטף קריאה"),IF($AA1477="ניכרת","מיקוד בכישורי שפה",IF(AND($L1477="תקינה",$Z1477="מפותחת"),"קוראים וכותבים מיומנים","מיקוד בהבנה והבעה"))))))</f>
        <v/>
      </c>
      <c r="AC1477" s="32">
        <f>IF(OR($AB1477="",LEFT($AB1477,1)="—"),"",IF(OR($AB1477="מיקוד בשטף קריאה",$AB1477="מיקוד בשטף הקריאה ובכישורי שפה"),"רמה א'",IF($AB1477="קוראים וכותבים מיומנים","רמה ג'","רמה ב'")))</f>
        <v/>
      </c>
      <c r="AD1477" s="32">
        <f>IF($AC1477="","",MID(IF(AND($AC1477="רמה א'",$AA1477="ניכרת"),"; להוסיף עבודת אוצר מילים","")&amp;IF($Z1477="אינה מפותחת","; דגש על הבעה בכתב","")&amp;IF($K1477&lt;&gt;"תקין","; נדרש לעבוד על ההנגנה","")&amp;IF($AK1477&lt;&gt;"","; "&amp;$AK1477,""),3,400))</f>
        <v/>
      </c>
      <c r="AE1477" s="32">
        <f>IF($F1477="","",IF($F1477="תחילת שנה",1,IF($F1477="מחצית שנה",2,3)))</f>
        <v/>
      </c>
      <c r="AF1477" s="32">
        <f>IF(OR($B1477="",$AC1477="",$A1477="",$F1477=""),"",$B1477&amp;"|"&amp;$A1477&amp;"|"&amp;$F1477&amp;"|"&amp;$AC1477&amp;"|"&amp;COUNTIFS($B$6:$B1477,$B1477,$A$6:$A1477,$A1477,$F$6:$F1477,$F1477,$AC$6:$AC1477,$AC1477))</f>
        <v/>
      </c>
      <c r="AG1477" s="32">
        <f>IF($C1477="","",$C1477&amp;"|"&amp;COUNTIFS($C$6:$C1477,$C1477))</f>
        <v/>
      </c>
      <c r="AH1477" s="32">
        <f>IF(OR($C1477="",$A1477="",$AE1477=""),"",$C1477&amp;"|"&amp;$A1477&amp;"|"&amp;$AE1477)</f>
        <v/>
      </c>
      <c r="AI1477" s="32">
        <f>IF(OR($C1477="",$AE1477="",$AE1477=1),"",IFERROR(INDEX($AC$6:$AC$1505,MATCH($C1477&amp;"|"&amp;$A1477&amp;"|"&amp;($AE1477-1),$AH$6:$AH$1505,0)),""))</f>
        <v/>
      </c>
      <c r="AJ1477" s="32">
        <f>IF(OR($AI1477="",$AC1477=""),"",IF($AI1477=$AC1477,"ללא שינוי","מ-"&amp;$AI1477&amp;" ל-"&amp;$AC1477))</f>
        <v/>
      </c>
      <c r="AK1477" s="67" t="n"/>
    </row>
    <row r="1478">
      <c r="A1478" s="65" t="n"/>
      <c r="B1478" s="65" t="n"/>
      <c r="C1478" s="66" t="n"/>
      <c r="D1478" s="66" t="n"/>
      <c r="E1478" s="65" t="n"/>
      <c r="F1478" s="65" t="n"/>
      <c r="G1478" s="65" t="n"/>
      <c r="H1478" s="65" t="n"/>
      <c r="I1478" s="65" t="n"/>
      <c r="J1478" s="65" t="n"/>
      <c r="K1478" s="65" t="n"/>
      <c r="L1478" s="65" t="n"/>
      <c r="M1478" s="65" t="n"/>
      <c r="N1478" s="65" t="n"/>
      <c r="O1478" s="65" t="n"/>
      <c r="P1478" s="65" t="n"/>
      <c r="Q1478" s="65" t="n"/>
      <c r="R1478" s="65" t="n"/>
      <c r="S1478" s="65" t="n"/>
      <c r="T1478" s="65" t="n"/>
      <c r="U1478" s="65" t="n"/>
      <c r="V1478" s="65" t="n"/>
      <c r="W1478" s="65" t="n"/>
      <c r="X1478" s="65" t="n"/>
      <c r="Y1478" s="32">
        <f>IF($C1478="","",IF(COUNTA($I1478:$K1478)&lt;3,"— חסרים נתונים",IF(AND($I1478="תקין",$J1478="תקין",$K1478="תקין"),"רהוטה",IF(AND($I1478="תקין",$J1478="תקין"),"מדויקת ורציפה","אינה מדויקת או מקוטעת"))))</f>
        <v/>
      </c>
      <c r="Z1478" s="32">
        <f>IF($C1478="","",IF(COUNTA($U1478:$W1478)&lt;3,"",IF(AND($U1478="מפותח",$V1478="מפותח",$W1478="מפותחת"),"מפותחת",IF((--($U1478="דל"))+(--($V1478="אינו מפותח"))+(--($W1478="דלה"))&gt;=2,"אינה מפותחת","חלקית"))))</f>
        <v/>
      </c>
      <c r="AA1478" s="32">
        <f>IF($C1478="","",IF(COUNTA($M1478,$N1478,$O1478)&lt;3,"— חסרים נתונים",IF(OR($M1478="נמוכה",(--($M1478&lt;&gt;"תקינה"))+(--($N1478&lt;&gt;"תקין"))+(--($O1478&lt;&gt;"תקינה"))&gt;=2),"ניכרת","אינה ניכרת")))</f>
        <v/>
      </c>
      <c r="AB1478" s="32">
        <f>IF(OR($C1478="",$Y1478="",$AA1478="",LEFT($Y1478,1)="—",LEFT($AA1478,1)="—"),"",IF($Z1478="","— נדרשת הערכת כתיבה",IF($L1478="","— חסרה הבנת הנקרא",IF($Y1478="אינה מדויקת או מקוטעת",IF($AA1478="ניכרת","מיקוד בשטף הקריאה ובכישורי שפה","מיקוד בשטף קריאה"),IF($AA1478="ניכרת","מיקוד בכישורי שפה",IF(AND($L1478="תקינה",$Z1478="מפותחת"),"קוראים וכותבים מיומנים","מיקוד בהבנה והבעה"))))))</f>
        <v/>
      </c>
      <c r="AC1478" s="32">
        <f>IF(OR($AB1478="",LEFT($AB1478,1)="—"),"",IF(OR($AB1478="מיקוד בשטף קריאה",$AB1478="מיקוד בשטף הקריאה ובכישורי שפה"),"רמה א'",IF($AB1478="קוראים וכותבים מיומנים","רמה ג'","רמה ב'")))</f>
        <v/>
      </c>
      <c r="AD1478" s="32">
        <f>IF($AC1478="","",MID(IF(AND($AC1478="רמה א'",$AA1478="ניכרת"),"; להוסיף עבודת אוצר מילים","")&amp;IF($Z1478="אינה מפותחת","; דגש על הבעה בכתב","")&amp;IF($K1478&lt;&gt;"תקין","; נדרש לעבוד על ההנגנה","")&amp;IF($AK1478&lt;&gt;"","; "&amp;$AK1478,""),3,400))</f>
        <v/>
      </c>
      <c r="AE1478" s="32">
        <f>IF($F1478="","",IF($F1478="תחילת שנה",1,IF($F1478="מחצית שנה",2,3)))</f>
        <v/>
      </c>
      <c r="AF1478" s="32">
        <f>IF(OR($B1478="",$AC1478="",$A1478="",$F1478=""),"",$B1478&amp;"|"&amp;$A1478&amp;"|"&amp;$F1478&amp;"|"&amp;$AC1478&amp;"|"&amp;COUNTIFS($B$6:$B1478,$B1478,$A$6:$A1478,$A1478,$F$6:$F1478,$F1478,$AC$6:$AC1478,$AC1478))</f>
        <v/>
      </c>
      <c r="AG1478" s="32">
        <f>IF($C1478="","",$C1478&amp;"|"&amp;COUNTIFS($C$6:$C1478,$C1478))</f>
        <v/>
      </c>
      <c r="AH1478" s="32">
        <f>IF(OR($C1478="",$A1478="",$AE1478=""),"",$C1478&amp;"|"&amp;$A1478&amp;"|"&amp;$AE1478)</f>
        <v/>
      </c>
      <c r="AI1478" s="32">
        <f>IF(OR($C1478="",$AE1478="",$AE1478=1),"",IFERROR(INDEX($AC$6:$AC$1505,MATCH($C1478&amp;"|"&amp;$A1478&amp;"|"&amp;($AE1478-1),$AH$6:$AH$1505,0)),""))</f>
        <v/>
      </c>
      <c r="AJ1478" s="32">
        <f>IF(OR($AI1478="",$AC1478=""),"",IF($AI1478=$AC1478,"ללא שינוי","מ-"&amp;$AI1478&amp;" ל-"&amp;$AC1478))</f>
        <v/>
      </c>
      <c r="AK1478" s="67" t="n"/>
    </row>
    <row r="1479">
      <c r="A1479" s="65" t="n"/>
      <c r="B1479" s="65" t="n"/>
      <c r="C1479" s="66" t="n"/>
      <c r="D1479" s="66" t="n"/>
      <c r="E1479" s="65" t="n"/>
      <c r="F1479" s="65" t="n"/>
      <c r="G1479" s="65" t="n"/>
      <c r="H1479" s="65" t="n"/>
      <c r="I1479" s="65" t="n"/>
      <c r="J1479" s="65" t="n"/>
      <c r="K1479" s="65" t="n"/>
      <c r="L1479" s="65" t="n"/>
      <c r="M1479" s="65" t="n"/>
      <c r="N1479" s="65" t="n"/>
      <c r="O1479" s="65" t="n"/>
      <c r="P1479" s="65" t="n"/>
      <c r="Q1479" s="65" t="n"/>
      <c r="R1479" s="65" t="n"/>
      <c r="S1479" s="65" t="n"/>
      <c r="T1479" s="65" t="n"/>
      <c r="U1479" s="65" t="n"/>
      <c r="V1479" s="65" t="n"/>
      <c r="W1479" s="65" t="n"/>
      <c r="X1479" s="65" t="n"/>
      <c r="Y1479" s="32">
        <f>IF($C1479="","",IF(COUNTA($I1479:$K1479)&lt;3,"— חסרים נתונים",IF(AND($I1479="תקין",$J1479="תקין",$K1479="תקין"),"רהוטה",IF(AND($I1479="תקין",$J1479="תקין"),"מדויקת ורציפה","אינה מדויקת או מקוטעת"))))</f>
        <v/>
      </c>
      <c r="Z1479" s="32">
        <f>IF($C1479="","",IF(COUNTA($U1479:$W1479)&lt;3,"",IF(AND($U1479="מפותח",$V1479="מפותח",$W1479="מפותחת"),"מפותחת",IF((--($U1479="דל"))+(--($V1479="אינו מפותח"))+(--($W1479="דלה"))&gt;=2,"אינה מפותחת","חלקית"))))</f>
        <v/>
      </c>
      <c r="AA1479" s="32">
        <f>IF($C1479="","",IF(COUNTA($M1479,$N1479,$O1479)&lt;3,"— חסרים נתונים",IF(OR($M1479="נמוכה",(--($M1479&lt;&gt;"תקינה"))+(--($N1479&lt;&gt;"תקין"))+(--($O1479&lt;&gt;"תקינה"))&gt;=2),"ניכרת","אינה ניכרת")))</f>
        <v/>
      </c>
      <c r="AB1479" s="32">
        <f>IF(OR($C1479="",$Y1479="",$AA1479="",LEFT($Y1479,1)="—",LEFT($AA1479,1)="—"),"",IF($Z1479="","— נדרשת הערכת כתיבה",IF($L1479="","— חסרה הבנת הנקרא",IF($Y1479="אינה מדויקת או מקוטעת",IF($AA1479="ניכרת","מיקוד בשטף הקריאה ובכישורי שפה","מיקוד בשטף קריאה"),IF($AA1479="ניכרת","מיקוד בכישורי שפה",IF(AND($L1479="תקינה",$Z1479="מפותחת"),"קוראים וכותבים מיומנים","מיקוד בהבנה והבעה"))))))</f>
        <v/>
      </c>
      <c r="AC1479" s="32">
        <f>IF(OR($AB1479="",LEFT($AB1479,1)="—"),"",IF(OR($AB1479="מיקוד בשטף קריאה",$AB1479="מיקוד בשטף הקריאה ובכישורי שפה"),"רמה א'",IF($AB1479="קוראים וכותבים מיומנים","רמה ג'","רמה ב'")))</f>
        <v/>
      </c>
      <c r="AD1479" s="32">
        <f>IF($AC1479="","",MID(IF(AND($AC1479="רמה א'",$AA1479="ניכרת"),"; להוסיף עבודת אוצר מילים","")&amp;IF($Z1479="אינה מפותחת","; דגש על הבעה בכתב","")&amp;IF($K1479&lt;&gt;"תקין","; נדרש לעבוד על ההנגנה","")&amp;IF($AK1479&lt;&gt;"","; "&amp;$AK1479,""),3,400))</f>
        <v/>
      </c>
      <c r="AE1479" s="32">
        <f>IF($F1479="","",IF($F1479="תחילת שנה",1,IF($F1479="מחצית שנה",2,3)))</f>
        <v/>
      </c>
      <c r="AF1479" s="32">
        <f>IF(OR($B1479="",$AC1479="",$A1479="",$F1479=""),"",$B1479&amp;"|"&amp;$A1479&amp;"|"&amp;$F1479&amp;"|"&amp;$AC1479&amp;"|"&amp;COUNTIFS($B$6:$B1479,$B1479,$A$6:$A1479,$A1479,$F$6:$F1479,$F1479,$AC$6:$AC1479,$AC1479))</f>
        <v/>
      </c>
      <c r="AG1479" s="32">
        <f>IF($C1479="","",$C1479&amp;"|"&amp;COUNTIFS($C$6:$C1479,$C1479))</f>
        <v/>
      </c>
      <c r="AH1479" s="32">
        <f>IF(OR($C1479="",$A1479="",$AE1479=""),"",$C1479&amp;"|"&amp;$A1479&amp;"|"&amp;$AE1479)</f>
        <v/>
      </c>
      <c r="AI1479" s="32">
        <f>IF(OR($C1479="",$AE1479="",$AE1479=1),"",IFERROR(INDEX($AC$6:$AC$1505,MATCH($C1479&amp;"|"&amp;$A1479&amp;"|"&amp;($AE1479-1),$AH$6:$AH$1505,0)),""))</f>
        <v/>
      </c>
      <c r="AJ1479" s="32">
        <f>IF(OR($AI1479="",$AC1479=""),"",IF($AI1479=$AC1479,"ללא שינוי","מ-"&amp;$AI1479&amp;" ל-"&amp;$AC1479))</f>
        <v/>
      </c>
      <c r="AK1479" s="67" t="n"/>
    </row>
    <row r="1480">
      <c r="A1480" s="65" t="n"/>
      <c r="B1480" s="65" t="n"/>
      <c r="C1480" s="66" t="n"/>
      <c r="D1480" s="66" t="n"/>
      <c r="E1480" s="65" t="n"/>
      <c r="F1480" s="65" t="n"/>
      <c r="G1480" s="65" t="n"/>
      <c r="H1480" s="65" t="n"/>
      <c r="I1480" s="65" t="n"/>
      <c r="J1480" s="65" t="n"/>
      <c r="K1480" s="65" t="n"/>
      <c r="L1480" s="65" t="n"/>
      <c r="M1480" s="65" t="n"/>
      <c r="N1480" s="65" t="n"/>
      <c r="O1480" s="65" t="n"/>
      <c r="P1480" s="65" t="n"/>
      <c r="Q1480" s="65" t="n"/>
      <c r="R1480" s="65" t="n"/>
      <c r="S1480" s="65" t="n"/>
      <c r="T1480" s="65" t="n"/>
      <c r="U1480" s="65" t="n"/>
      <c r="V1480" s="65" t="n"/>
      <c r="W1480" s="65" t="n"/>
      <c r="X1480" s="65" t="n"/>
      <c r="Y1480" s="32">
        <f>IF($C1480="","",IF(COUNTA($I1480:$K1480)&lt;3,"— חסרים נתונים",IF(AND($I1480="תקין",$J1480="תקין",$K1480="תקין"),"רהוטה",IF(AND($I1480="תקין",$J1480="תקין"),"מדויקת ורציפה","אינה מדויקת או מקוטעת"))))</f>
        <v/>
      </c>
      <c r="Z1480" s="32">
        <f>IF($C1480="","",IF(COUNTA($U1480:$W1480)&lt;3,"",IF(AND($U1480="מפותח",$V1480="מפותח",$W1480="מפותחת"),"מפותחת",IF((--($U1480="דל"))+(--($V1480="אינו מפותח"))+(--($W1480="דלה"))&gt;=2,"אינה מפותחת","חלקית"))))</f>
        <v/>
      </c>
      <c r="AA1480" s="32">
        <f>IF($C1480="","",IF(COUNTA($M1480,$N1480,$O1480)&lt;3,"— חסרים נתונים",IF(OR($M1480="נמוכה",(--($M1480&lt;&gt;"תקינה"))+(--($N1480&lt;&gt;"תקין"))+(--($O1480&lt;&gt;"תקינה"))&gt;=2),"ניכרת","אינה ניכרת")))</f>
        <v/>
      </c>
      <c r="AB1480" s="32">
        <f>IF(OR($C1480="",$Y1480="",$AA1480="",LEFT($Y1480,1)="—",LEFT($AA1480,1)="—"),"",IF($Z1480="","— נדרשת הערכת כתיבה",IF($L1480="","— חסרה הבנת הנקרא",IF($Y1480="אינה מדויקת או מקוטעת",IF($AA1480="ניכרת","מיקוד בשטף הקריאה ובכישורי שפה","מיקוד בשטף קריאה"),IF($AA1480="ניכרת","מיקוד בכישורי שפה",IF(AND($L1480="תקינה",$Z1480="מפותחת"),"קוראים וכותבים מיומנים","מיקוד בהבנה והבעה"))))))</f>
        <v/>
      </c>
      <c r="AC1480" s="32">
        <f>IF(OR($AB1480="",LEFT($AB1480,1)="—"),"",IF(OR($AB1480="מיקוד בשטף קריאה",$AB1480="מיקוד בשטף הקריאה ובכישורי שפה"),"רמה א'",IF($AB1480="קוראים וכותבים מיומנים","רמה ג'","רמה ב'")))</f>
        <v/>
      </c>
      <c r="AD1480" s="32">
        <f>IF($AC1480="","",MID(IF(AND($AC1480="רמה א'",$AA1480="ניכרת"),"; להוסיף עבודת אוצר מילים","")&amp;IF($Z1480="אינה מפותחת","; דגש על הבעה בכתב","")&amp;IF($K1480&lt;&gt;"תקין","; נדרש לעבוד על ההנגנה","")&amp;IF($AK1480&lt;&gt;"","; "&amp;$AK1480,""),3,400))</f>
        <v/>
      </c>
      <c r="AE1480" s="32">
        <f>IF($F1480="","",IF($F1480="תחילת שנה",1,IF($F1480="מחצית שנה",2,3)))</f>
        <v/>
      </c>
      <c r="AF1480" s="32">
        <f>IF(OR($B1480="",$AC1480="",$A1480="",$F1480=""),"",$B1480&amp;"|"&amp;$A1480&amp;"|"&amp;$F1480&amp;"|"&amp;$AC1480&amp;"|"&amp;COUNTIFS($B$6:$B1480,$B1480,$A$6:$A1480,$A1480,$F$6:$F1480,$F1480,$AC$6:$AC1480,$AC1480))</f>
        <v/>
      </c>
      <c r="AG1480" s="32">
        <f>IF($C1480="","",$C1480&amp;"|"&amp;COUNTIFS($C$6:$C1480,$C1480))</f>
        <v/>
      </c>
      <c r="AH1480" s="32">
        <f>IF(OR($C1480="",$A1480="",$AE1480=""),"",$C1480&amp;"|"&amp;$A1480&amp;"|"&amp;$AE1480)</f>
        <v/>
      </c>
      <c r="AI1480" s="32">
        <f>IF(OR($C1480="",$AE1480="",$AE1480=1),"",IFERROR(INDEX($AC$6:$AC$1505,MATCH($C1480&amp;"|"&amp;$A1480&amp;"|"&amp;($AE1480-1),$AH$6:$AH$1505,0)),""))</f>
        <v/>
      </c>
      <c r="AJ1480" s="32">
        <f>IF(OR($AI1480="",$AC1480=""),"",IF($AI1480=$AC1480,"ללא שינוי","מ-"&amp;$AI1480&amp;" ל-"&amp;$AC1480))</f>
        <v/>
      </c>
      <c r="AK1480" s="67" t="n"/>
    </row>
    <row r="1481">
      <c r="A1481" s="65" t="n"/>
      <c r="B1481" s="65" t="n"/>
      <c r="C1481" s="66" t="n"/>
      <c r="D1481" s="66" t="n"/>
      <c r="E1481" s="65" t="n"/>
      <c r="F1481" s="65" t="n"/>
      <c r="G1481" s="65" t="n"/>
      <c r="H1481" s="65" t="n"/>
      <c r="I1481" s="65" t="n"/>
      <c r="J1481" s="65" t="n"/>
      <c r="K1481" s="65" t="n"/>
      <c r="L1481" s="65" t="n"/>
      <c r="M1481" s="65" t="n"/>
      <c r="N1481" s="65" t="n"/>
      <c r="O1481" s="65" t="n"/>
      <c r="P1481" s="65" t="n"/>
      <c r="Q1481" s="65" t="n"/>
      <c r="R1481" s="65" t="n"/>
      <c r="S1481" s="65" t="n"/>
      <c r="T1481" s="65" t="n"/>
      <c r="U1481" s="65" t="n"/>
      <c r="V1481" s="65" t="n"/>
      <c r="W1481" s="65" t="n"/>
      <c r="X1481" s="65" t="n"/>
      <c r="Y1481" s="32">
        <f>IF($C1481="","",IF(COUNTA($I1481:$K1481)&lt;3,"— חסרים נתונים",IF(AND($I1481="תקין",$J1481="תקין",$K1481="תקין"),"רהוטה",IF(AND($I1481="תקין",$J1481="תקין"),"מדויקת ורציפה","אינה מדויקת או מקוטעת"))))</f>
        <v/>
      </c>
      <c r="Z1481" s="32">
        <f>IF($C1481="","",IF(COUNTA($U1481:$W1481)&lt;3,"",IF(AND($U1481="מפותח",$V1481="מפותח",$W1481="מפותחת"),"מפותחת",IF((--($U1481="דל"))+(--($V1481="אינו מפותח"))+(--($W1481="דלה"))&gt;=2,"אינה מפותחת","חלקית"))))</f>
        <v/>
      </c>
      <c r="AA1481" s="32">
        <f>IF($C1481="","",IF(COUNTA($M1481,$N1481,$O1481)&lt;3,"— חסרים נתונים",IF(OR($M1481="נמוכה",(--($M1481&lt;&gt;"תקינה"))+(--($N1481&lt;&gt;"תקין"))+(--($O1481&lt;&gt;"תקינה"))&gt;=2),"ניכרת","אינה ניכרת")))</f>
        <v/>
      </c>
      <c r="AB1481" s="32">
        <f>IF(OR($C1481="",$Y1481="",$AA1481="",LEFT($Y1481,1)="—",LEFT($AA1481,1)="—"),"",IF($Z1481="","— נדרשת הערכת כתיבה",IF($L1481="","— חסרה הבנת הנקרא",IF($Y1481="אינה מדויקת או מקוטעת",IF($AA1481="ניכרת","מיקוד בשטף הקריאה ובכישורי שפה","מיקוד בשטף קריאה"),IF($AA1481="ניכרת","מיקוד בכישורי שפה",IF(AND($L1481="תקינה",$Z1481="מפותחת"),"קוראים וכותבים מיומנים","מיקוד בהבנה והבעה"))))))</f>
        <v/>
      </c>
      <c r="AC1481" s="32">
        <f>IF(OR($AB1481="",LEFT($AB1481,1)="—"),"",IF(OR($AB1481="מיקוד בשטף קריאה",$AB1481="מיקוד בשטף הקריאה ובכישורי שפה"),"רמה א'",IF($AB1481="קוראים וכותבים מיומנים","רמה ג'","רמה ב'")))</f>
        <v/>
      </c>
      <c r="AD1481" s="32">
        <f>IF($AC1481="","",MID(IF(AND($AC1481="רמה א'",$AA1481="ניכרת"),"; להוסיף עבודת אוצר מילים","")&amp;IF($Z1481="אינה מפותחת","; דגש על הבעה בכתב","")&amp;IF($K1481&lt;&gt;"תקין","; נדרש לעבוד על ההנגנה","")&amp;IF($AK1481&lt;&gt;"","; "&amp;$AK1481,""),3,400))</f>
        <v/>
      </c>
      <c r="AE1481" s="32">
        <f>IF($F1481="","",IF($F1481="תחילת שנה",1,IF($F1481="מחצית שנה",2,3)))</f>
        <v/>
      </c>
      <c r="AF1481" s="32">
        <f>IF(OR($B1481="",$AC1481="",$A1481="",$F1481=""),"",$B1481&amp;"|"&amp;$A1481&amp;"|"&amp;$F1481&amp;"|"&amp;$AC1481&amp;"|"&amp;COUNTIFS($B$6:$B1481,$B1481,$A$6:$A1481,$A1481,$F$6:$F1481,$F1481,$AC$6:$AC1481,$AC1481))</f>
        <v/>
      </c>
      <c r="AG1481" s="32">
        <f>IF($C1481="","",$C1481&amp;"|"&amp;COUNTIFS($C$6:$C1481,$C1481))</f>
        <v/>
      </c>
      <c r="AH1481" s="32">
        <f>IF(OR($C1481="",$A1481="",$AE1481=""),"",$C1481&amp;"|"&amp;$A1481&amp;"|"&amp;$AE1481)</f>
        <v/>
      </c>
      <c r="AI1481" s="32">
        <f>IF(OR($C1481="",$AE1481="",$AE1481=1),"",IFERROR(INDEX($AC$6:$AC$1505,MATCH($C1481&amp;"|"&amp;$A1481&amp;"|"&amp;($AE1481-1),$AH$6:$AH$1505,0)),""))</f>
        <v/>
      </c>
      <c r="AJ1481" s="32">
        <f>IF(OR($AI1481="",$AC1481=""),"",IF($AI1481=$AC1481,"ללא שינוי","מ-"&amp;$AI1481&amp;" ל-"&amp;$AC1481))</f>
        <v/>
      </c>
      <c r="AK1481" s="67" t="n"/>
    </row>
    <row r="1482">
      <c r="A1482" s="65" t="n"/>
      <c r="B1482" s="65" t="n"/>
      <c r="C1482" s="66" t="n"/>
      <c r="D1482" s="66" t="n"/>
      <c r="E1482" s="65" t="n"/>
      <c r="F1482" s="65" t="n"/>
      <c r="G1482" s="65" t="n"/>
      <c r="H1482" s="65" t="n"/>
      <c r="I1482" s="65" t="n"/>
      <c r="J1482" s="65" t="n"/>
      <c r="K1482" s="65" t="n"/>
      <c r="L1482" s="65" t="n"/>
      <c r="M1482" s="65" t="n"/>
      <c r="N1482" s="65" t="n"/>
      <c r="O1482" s="65" t="n"/>
      <c r="P1482" s="65" t="n"/>
      <c r="Q1482" s="65" t="n"/>
      <c r="R1482" s="65" t="n"/>
      <c r="S1482" s="65" t="n"/>
      <c r="T1482" s="65" t="n"/>
      <c r="U1482" s="65" t="n"/>
      <c r="V1482" s="65" t="n"/>
      <c r="W1482" s="65" t="n"/>
      <c r="X1482" s="65" t="n"/>
      <c r="Y1482" s="32">
        <f>IF($C1482="","",IF(COUNTA($I1482:$K1482)&lt;3,"— חסרים נתונים",IF(AND($I1482="תקין",$J1482="תקין",$K1482="תקין"),"רהוטה",IF(AND($I1482="תקין",$J1482="תקין"),"מדויקת ורציפה","אינה מדויקת או מקוטעת"))))</f>
        <v/>
      </c>
      <c r="Z1482" s="32">
        <f>IF($C1482="","",IF(COUNTA($U1482:$W1482)&lt;3,"",IF(AND($U1482="מפותח",$V1482="מפותח",$W1482="מפותחת"),"מפותחת",IF((--($U1482="דל"))+(--($V1482="אינו מפותח"))+(--($W1482="דלה"))&gt;=2,"אינה מפותחת","חלקית"))))</f>
        <v/>
      </c>
      <c r="AA1482" s="32">
        <f>IF($C1482="","",IF(COUNTA($M1482,$N1482,$O1482)&lt;3,"— חסרים נתונים",IF(OR($M1482="נמוכה",(--($M1482&lt;&gt;"תקינה"))+(--($N1482&lt;&gt;"תקין"))+(--($O1482&lt;&gt;"תקינה"))&gt;=2),"ניכרת","אינה ניכרת")))</f>
        <v/>
      </c>
      <c r="AB1482" s="32">
        <f>IF(OR($C1482="",$Y1482="",$AA1482="",LEFT($Y1482,1)="—",LEFT($AA1482,1)="—"),"",IF($Z1482="","— נדרשת הערכת כתיבה",IF($L1482="","— חסרה הבנת הנקרא",IF($Y1482="אינה מדויקת או מקוטעת",IF($AA1482="ניכרת","מיקוד בשטף הקריאה ובכישורי שפה","מיקוד בשטף קריאה"),IF($AA1482="ניכרת","מיקוד בכישורי שפה",IF(AND($L1482="תקינה",$Z1482="מפותחת"),"קוראים וכותבים מיומנים","מיקוד בהבנה והבעה"))))))</f>
        <v/>
      </c>
      <c r="AC1482" s="32">
        <f>IF(OR($AB1482="",LEFT($AB1482,1)="—"),"",IF(OR($AB1482="מיקוד בשטף קריאה",$AB1482="מיקוד בשטף הקריאה ובכישורי שפה"),"רמה א'",IF($AB1482="קוראים וכותבים מיומנים","רמה ג'","רמה ב'")))</f>
        <v/>
      </c>
      <c r="AD1482" s="32">
        <f>IF($AC1482="","",MID(IF(AND($AC1482="רמה א'",$AA1482="ניכרת"),"; להוסיף עבודת אוצר מילים","")&amp;IF($Z1482="אינה מפותחת","; דגש על הבעה בכתב","")&amp;IF($K1482&lt;&gt;"תקין","; נדרש לעבוד על ההנגנה","")&amp;IF($AK1482&lt;&gt;"","; "&amp;$AK1482,""),3,400))</f>
        <v/>
      </c>
      <c r="AE1482" s="32">
        <f>IF($F1482="","",IF($F1482="תחילת שנה",1,IF($F1482="מחצית שנה",2,3)))</f>
        <v/>
      </c>
      <c r="AF1482" s="32">
        <f>IF(OR($B1482="",$AC1482="",$A1482="",$F1482=""),"",$B1482&amp;"|"&amp;$A1482&amp;"|"&amp;$F1482&amp;"|"&amp;$AC1482&amp;"|"&amp;COUNTIFS($B$6:$B1482,$B1482,$A$6:$A1482,$A1482,$F$6:$F1482,$F1482,$AC$6:$AC1482,$AC1482))</f>
        <v/>
      </c>
      <c r="AG1482" s="32">
        <f>IF($C1482="","",$C1482&amp;"|"&amp;COUNTIFS($C$6:$C1482,$C1482))</f>
        <v/>
      </c>
      <c r="AH1482" s="32">
        <f>IF(OR($C1482="",$A1482="",$AE1482=""),"",$C1482&amp;"|"&amp;$A1482&amp;"|"&amp;$AE1482)</f>
        <v/>
      </c>
      <c r="AI1482" s="32">
        <f>IF(OR($C1482="",$AE1482="",$AE1482=1),"",IFERROR(INDEX($AC$6:$AC$1505,MATCH($C1482&amp;"|"&amp;$A1482&amp;"|"&amp;($AE1482-1),$AH$6:$AH$1505,0)),""))</f>
        <v/>
      </c>
      <c r="AJ1482" s="32">
        <f>IF(OR($AI1482="",$AC1482=""),"",IF($AI1482=$AC1482,"ללא שינוי","מ-"&amp;$AI1482&amp;" ל-"&amp;$AC1482))</f>
        <v/>
      </c>
      <c r="AK1482" s="67" t="n"/>
    </row>
    <row r="1483">
      <c r="A1483" s="65" t="n"/>
      <c r="B1483" s="65" t="n"/>
      <c r="C1483" s="66" t="n"/>
      <c r="D1483" s="66" t="n"/>
      <c r="E1483" s="65" t="n"/>
      <c r="F1483" s="65" t="n"/>
      <c r="G1483" s="65" t="n"/>
      <c r="H1483" s="65" t="n"/>
      <c r="I1483" s="65" t="n"/>
      <c r="J1483" s="65" t="n"/>
      <c r="K1483" s="65" t="n"/>
      <c r="L1483" s="65" t="n"/>
      <c r="M1483" s="65" t="n"/>
      <c r="N1483" s="65" t="n"/>
      <c r="O1483" s="65" t="n"/>
      <c r="P1483" s="65" t="n"/>
      <c r="Q1483" s="65" t="n"/>
      <c r="R1483" s="65" t="n"/>
      <c r="S1483" s="65" t="n"/>
      <c r="T1483" s="65" t="n"/>
      <c r="U1483" s="65" t="n"/>
      <c r="V1483" s="65" t="n"/>
      <c r="W1483" s="65" t="n"/>
      <c r="X1483" s="65" t="n"/>
      <c r="Y1483" s="32">
        <f>IF($C1483="","",IF(COUNTA($I1483:$K1483)&lt;3,"— חסרים נתונים",IF(AND($I1483="תקין",$J1483="תקין",$K1483="תקין"),"רהוטה",IF(AND($I1483="תקין",$J1483="תקין"),"מדויקת ורציפה","אינה מדויקת או מקוטעת"))))</f>
        <v/>
      </c>
      <c r="Z1483" s="32">
        <f>IF($C1483="","",IF(COUNTA($U1483:$W1483)&lt;3,"",IF(AND($U1483="מפותח",$V1483="מפותח",$W1483="מפותחת"),"מפותחת",IF((--($U1483="דל"))+(--($V1483="אינו מפותח"))+(--($W1483="דלה"))&gt;=2,"אינה מפותחת","חלקית"))))</f>
        <v/>
      </c>
      <c r="AA1483" s="32">
        <f>IF($C1483="","",IF(COUNTA($M1483,$N1483,$O1483)&lt;3,"— חסרים נתונים",IF(OR($M1483="נמוכה",(--($M1483&lt;&gt;"תקינה"))+(--($N1483&lt;&gt;"תקין"))+(--($O1483&lt;&gt;"תקינה"))&gt;=2),"ניכרת","אינה ניכרת")))</f>
        <v/>
      </c>
      <c r="AB1483" s="32">
        <f>IF(OR($C1483="",$Y1483="",$AA1483="",LEFT($Y1483,1)="—",LEFT($AA1483,1)="—"),"",IF($Z1483="","— נדרשת הערכת כתיבה",IF($L1483="","— חסרה הבנת הנקרא",IF($Y1483="אינה מדויקת או מקוטעת",IF($AA1483="ניכרת","מיקוד בשטף הקריאה ובכישורי שפה","מיקוד בשטף קריאה"),IF($AA1483="ניכרת","מיקוד בכישורי שפה",IF(AND($L1483="תקינה",$Z1483="מפותחת"),"קוראים וכותבים מיומנים","מיקוד בהבנה והבעה"))))))</f>
        <v/>
      </c>
      <c r="AC1483" s="32">
        <f>IF(OR($AB1483="",LEFT($AB1483,1)="—"),"",IF(OR($AB1483="מיקוד בשטף קריאה",$AB1483="מיקוד בשטף הקריאה ובכישורי שפה"),"רמה א'",IF($AB1483="קוראים וכותבים מיומנים","רמה ג'","רמה ב'")))</f>
        <v/>
      </c>
      <c r="AD1483" s="32">
        <f>IF($AC1483="","",MID(IF(AND($AC1483="רמה א'",$AA1483="ניכרת"),"; להוסיף עבודת אוצר מילים","")&amp;IF($Z1483="אינה מפותחת","; דגש על הבעה בכתב","")&amp;IF($K1483&lt;&gt;"תקין","; נדרש לעבוד על ההנגנה","")&amp;IF($AK1483&lt;&gt;"","; "&amp;$AK1483,""),3,400))</f>
        <v/>
      </c>
      <c r="AE1483" s="32">
        <f>IF($F1483="","",IF($F1483="תחילת שנה",1,IF($F1483="מחצית שנה",2,3)))</f>
        <v/>
      </c>
      <c r="AF1483" s="32">
        <f>IF(OR($B1483="",$AC1483="",$A1483="",$F1483=""),"",$B1483&amp;"|"&amp;$A1483&amp;"|"&amp;$F1483&amp;"|"&amp;$AC1483&amp;"|"&amp;COUNTIFS($B$6:$B1483,$B1483,$A$6:$A1483,$A1483,$F$6:$F1483,$F1483,$AC$6:$AC1483,$AC1483))</f>
        <v/>
      </c>
      <c r="AG1483" s="32">
        <f>IF($C1483="","",$C1483&amp;"|"&amp;COUNTIFS($C$6:$C1483,$C1483))</f>
        <v/>
      </c>
      <c r="AH1483" s="32">
        <f>IF(OR($C1483="",$A1483="",$AE1483=""),"",$C1483&amp;"|"&amp;$A1483&amp;"|"&amp;$AE1483)</f>
        <v/>
      </c>
      <c r="AI1483" s="32">
        <f>IF(OR($C1483="",$AE1483="",$AE1483=1),"",IFERROR(INDEX($AC$6:$AC$1505,MATCH($C1483&amp;"|"&amp;$A1483&amp;"|"&amp;($AE1483-1),$AH$6:$AH$1505,0)),""))</f>
        <v/>
      </c>
      <c r="AJ1483" s="32">
        <f>IF(OR($AI1483="",$AC1483=""),"",IF($AI1483=$AC1483,"ללא שינוי","מ-"&amp;$AI1483&amp;" ל-"&amp;$AC1483))</f>
        <v/>
      </c>
      <c r="AK1483" s="67" t="n"/>
    </row>
    <row r="1484">
      <c r="A1484" s="65" t="n"/>
      <c r="B1484" s="65" t="n"/>
      <c r="C1484" s="66" t="n"/>
      <c r="D1484" s="66" t="n"/>
      <c r="E1484" s="65" t="n"/>
      <c r="F1484" s="65" t="n"/>
      <c r="G1484" s="65" t="n"/>
      <c r="H1484" s="65" t="n"/>
      <c r="I1484" s="65" t="n"/>
      <c r="J1484" s="65" t="n"/>
      <c r="K1484" s="65" t="n"/>
      <c r="L1484" s="65" t="n"/>
      <c r="M1484" s="65" t="n"/>
      <c r="N1484" s="65" t="n"/>
      <c r="O1484" s="65" t="n"/>
      <c r="P1484" s="65" t="n"/>
      <c r="Q1484" s="65" t="n"/>
      <c r="R1484" s="65" t="n"/>
      <c r="S1484" s="65" t="n"/>
      <c r="T1484" s="65" t="n"/>
      <c r="U1484" s="65" t="n"/>
      <c r="V1484" s="65" t="n"/>
      <c r="W1484" s="65" t="n"/>
      <c r="X1484" s="65" t="n"/>
      <c r="Y1484" s="32">
        <f>IF($C1484="","",IF(COUNTA($I1484:$K1484)&lt;3,"— חסרים נתונים",IF(AND($I1484="תקין",$J1484="תקין",$K1484="תקין"),"רהוטה",IF(AND($I1484="תקין",$J1484="תקין"),"מדויקת ורציפה","אינה מדויקת או מקוטעת"))))</f>
        <v/>
      </c>
      <c r="Z1484" s="32">
        <f>IF($C1484="","",IF(COUNTA($U1484:$W1484)&lt;3,"",IF(AND($U1484="מפותח",$V1484="מפותח",$W1484="מפותחת"),"מפותחת",IF((--($U1484="דל"))+(--($V1484="אינו מפותח"))+(--($W1484="דלה"))&gt;=2,"אינה מפותחת","חלקית"))))</f>
        <v/>
      </c>
      <c r="AA1484" s="32">
        <f>IF($C1484="","",IF(COUNTA($M1484,$N1484,$O1484)&lt;3,"— חסרים נתונים",IF(OR($M1484="נמוכה",(--($M1484&lt;&gt;"תקינה"))+(--($N1484&lt;&gt;"תקין"))+(--($O1484&lt;&gt;"תקינה"))&gt;=2),"ניכרת","אינה ניכרת")))</f>
        <v/>
      </c>
      <c r="AB1484" s="32">
        <f>IF(OR($C1484="",$Y1484="",$AA1484="",LEFT($Y1484,1)="—",LEFT($AA1484,1)="—"),"",IF($Z1484="","— נדרשת הערכת כתיבה",IF($L1484="","— חסרה הבנת הנקרא",IF($Y1484="אינה מדויקת או מקוטעת",IF($AA1484="ניכרת","מיקוד בשטף הקריאה ובכישורי שפה","מיקוד בשטף קריאה"),IF($AA1484="ניכרת","מיקוד בכישורי שפה",IF(AND($L1484="תקינה",$Z1484="מפותחת"),"קוראים וכותבים מיומנים","מיקוד בהבנה והבעה"))))))</f>
        <v/>
      </c>
      <c r="AC1484" s="32">
        <f>IF(OR($AB1484="",LEFT($AB1484,1)="—"),"",IF(OR($AB1484="מיקוד בשטף קריאה",$AB1484="מיקוד בשטף הקריאה ובכישורי שפה"),"רמה א'",IF($AB1484="קוראים וכותבים מיומנים","רמה ג'","רמה ב'")))</f>
        <v/>
      </c>
      <c r="AD1484" s="32">
        <f>IF($AC1484="","",MID(IF(AND($AC1484="רמה א'",$AA1484="ניכרת"),"; להוסיף עבודת אוצר מילים","")&amp;IF($Z1484="אינה מפותחת","; דגש על הבעה בכתב","")&amp;IF($K1484&lt;&gt;"תקין","; נדרש לעבוד על ההנגנה","")&amp;IF($AK1484&lt;&gt;"","; "&amp;$AK1484,""),3,400))</f>
        <v/>
      </c>
      <c r="AE1484" s="32">
        <f>IF($F1484="","",IF($F1484="תחילת שנה",1,IF($F1484="מחצית שנה",2,3)))</f>
        <v/>
      </c>
      <c r="AF1484" s="32">
        <f>IF(OR($B1484="",$AC1484="",$A1484="",$F1484=""),"",$B1484&amp;"|"&amp;$A1484&amp;"|"&amp;$F1484&amp;"|"&amp;$AC1484&amp;"|"&amp;COUNTIFS($B$6:$B1484,$B1484,$A$6:$A1484,$A1484,$F$6:$F1484,$F1484,$AC$6:$AC1484,$AC1484))</f>
        <v/>
      </c>
      <c r="AG1484" s="32">
        <f>IF($C1484="","",$C1484&amp;"|"&amp;COUNTIFS($C$6:$C1484,$C1484))</f>
        <v/>
      </c>
      <c r="AH1484" s="32">
        <f>IF(OR($C1484="",$A1484="",$AE1484=""),"",$C1484&amp;"|"&amp;$A1484&amp;"|"&amp;$AE1484)</f>
        <v/>
      </c>
      <c r="AI1484" s="32">
        <f>IF(OR($C1484="",$AE1484="",$AE1484=1),"",IFERROR(INDEX($AC$6:$AC$1505,MATCH($C1484&amp;"|"&amp;$A1484&amp;"|"&amp;($AE1484-1),$AH$6:$AH$1505,0)),""))</f>
        <v/>
      </c>
      <c r="AJ1484" s="32">
        <f>IF(OR($AI1484="",$AC1484=""),"",IF($AI1484=$AC1484,"ללא שינוי","מ-"&amp;$AI1484&amp;" ל-"&amp;$AC1484))</f>
        <v/>
      </c>
      <c r="AK1484" s="67" t="n"/>
    </row>
    <row r="1485">
      <c r="A1485" s="65" t="n"/>
      <c r="B1485" s="65" t="n"/>
      <c r="C1485" s="66" t="n"/>
      <c r="D1485" s="66" t="n"/>
      <c r="E1485" s="65" t="n"/>
      <c r="F1485" s="65" t="n"/>
      <c r="G1485" s="65" t="n"/>
      <c r="H1485" s="65" t="n"/>
      <c r="I1485" s="65" t="n"/>
      <c r="J1485" s="65" t="n"/>
      <c r="K1485" s="65" t="n"/>
      <c r="L1485" s="65" t="n"/>
      <c r="M1485" s="65" t="n"/>
      <c r="N1485" s="65" t="n"/>
      <c r="O1485" s="65" t="n"/>
      <c r="P1485" s="65" t="n"/>
      <c r="Q1485" s="65" t="n"/>
      <c r="R1485" s="65" t="n"/>
      <c r="S1485" s="65" t="n"/>
      <c r="T1485" s="65" t="n"/>
      <c r="U1485" s="65" t="n"/>
      <c r="V1485" s="65" t="n"/>
      <c r="W1485" s="65" t="n"/>
      <c r="X1485" s="65" t="n"/>
      <c r="Y1485" s="32">
        <f>IF($C1485="","",IF(COUNTA($I1485:$K1485)&lt;3,"— חסרים נתונים",IF(AND($I1485="תקין",$J1485="תקין",$K1485="תקין"),"רהוטה",IF(AND($I1485="תקין",$J1485="תקין"),"מדויקת ורציפה","אינה מדויקת או מקוטעת"))))</f>
        <v/>
      </c>
      <c r="Z1485" s="32">
        <f>IF($C1485="","",IF(COUNTA($U1485:$W1485)&lt;3,"",IF(AND($U1485="מפותח",$V1485="מפותח",$W1485="מפותחת"),"מפותחת",IF((--($U1485="דל"))+(--($V1485="אינו מפותח"))+(--($W1485="דלה"))&gt;=2,"אינה מפותחת","חלקית"))))</f>
        <v/>
      </c>
      <c r="AA1485" s="32">
        <f>IF($C1485="","",IF(COUNTA($M1485,$N1485,$O1485)&lt;3,"— חסרים נתונים",IF(OR($M1485="נמוכה",(--($M1485&lt;&gt;"תקינה"))+(--($N1485&lt;&gt;"תקין"))+(--($O1485&lt;&gt;"תקינה"))&gt;=2),"ניכרת","אינה ניכרת")))</f>
        <v/>
      </c>
      <c r="AB1485" s="32">
        <f>IF(OR($C1485="",$Y1485="",$AA1485="",LEFT($Y1485,1)="—",LEFT($AA1485,1)="—"),"",IF($Z1485="","— נדרשת הערכת כתיבה",IF($L1485="","— חסרה הבנת הנקרא",IF($Y1485="אינה מדויקת או מקוטעת",IF($AA1485="ניכרת","מיקוד בשטף הקריאה ובכישורי שפה","מיקוד בשטף קריאה"),IF($AA1485="ניכרת","מיקוד בכישורי שפה",IF(AND($L1485="תקינה",$Z1485="מפותחת"),"קוראים וכותבים מיומנים","מיקוד בהבנה והבעה"))))))</f>
        <v/>
      </c>
      <c r="AC1485" s="32">
        <f>IF(OR($AB1485="",LEFT($AB1485,1)="—"),"",IF(OR($AB1485="מיקוד בשטף קריאה",$AB1485="מיקוד בשטף הקריאה ובכישורי שפה"),"רמה א'",IF($AB1485="קוראים וכותבים מיומנים","רמה ג'","רמה ב'")))</f>
        <v/>
      </c>
      <c r="AD1485" s="32">
        <f>IF($AC1485="","",MID(IF(AND($AC1485="רמה א'",$AA1485="ניכרת"),"; להוסיף עבודת אוצר מילים","")&amp;IF($Z1485="אינה מפותחת","; דגש על הבעה בכתב","")&amp;IF($K1485&lt;&gt;"תקין","; נדרש לעבוד על ההנגנה","")&amp;IF($AK1485&lt;&gt;"","; "&amp;$AK1485,""),3,400))</f>
        <v/>
      </c>
      <c r="AE1485" s="32">
        <f>IF($F1485="","",IF($F1485="תחילת שנה",1,IF($F1485="מחצית שנה",2,3)))</f>
        <v/>
      </c>
      <c r="AF1485" s="32">
        <f>IF(OR($B1485="",$AC1485="",$A1485="",$F1485=""),"",$B1485&amp;"|"&amp;$A1485&amp;"|"&amp;$F1485&amp;"|"&amp;$AC1485&amp;"|"&amp;COUNTIFS($B$6:$B1485,$B1485,$A$6:$A1485,$A1485,$F$6:$F1485,$F1485,$AC$6:$AC1485,$AC1485))</f>
        <v/>
      </c>
      <c r="AG1485" s="32">
        <f>IF($C1485="","",$C1485&amp;"|"&amp;COUNTIFS($C$6:$C1485,$C1485))</f>
        <v/>
      </c>
      <c r="AH1485" s="32">
        <f>IF(OR($C1485="",$A1485="",$AE1485=""),"",$C1485&amp;"|"&amp;$A1485&amp;"|"&amp;$AE1485)</f>
        <v/>
      </c>
      <c r="AI1485" s="32">
        <f>IF(OR($C1485="",$AE1485="",$AE1485=1),"",IFERROR(INDEX($AC$6:$AC$1505,MATCH($C1485&amp;"|"&amp;$A1485&amp;"|"&amp;($AE1485-1),$AH$6:$AH$1505,0)),""))</f>
        <v/>
      </c>
      <c r="AJ1485" s="32">
        <f>IF(OR($AI1485="",$AC1485=""),"",IF($AI1485=$AC1485,"ללא שינוי","מ-"&amp;$AI1485&amp;" ל-"&amp;$AC1485))</f>
        <v/>
      </c>
      <c r="AK1485" s="67" t="n"/>
    </row>
    <row r="1486">
      <c r="A1486" s="65" t="n"/>
      <c r="B1486" s="65" t="n"/>
      <c r="C1486" s="66" t="n"/>
      <c r="D1486" s="66" t="n"/>
      <c r="E1486" s="65" t="n"/>
      <c r="F1486" s="65" t="n"/>
      <c r="G1486" s="65" t="n"/>
      <c r="H1486" s="65" t="n"/>
      <c r="I1486" s="65" t="n"/>
      <c r="J1486" s="65" t="n"/>
      <c r="K1486" s="65" t="n"/>
      <c r="L1486" s="65" t="n"/>
      <c r="M1486" s="65" t="n"/>
      <c r="N1486" s="65" t="n"/>
      <c r="O1486" s="65" t="n"/>
      <c r="P1486" s="65" t="n"/>
      <c r="Q1486" s="65" t="n"/>
      <c r="R1486" s="65" t="n"/>
      <c r="S1486" s="65" t="n"/>
      <c r="T1486" s="65" t="n"/>
      <c r="U1486" s="65" t="n"/>
      <c r="V1486" s="65" t="n"/>
      <c r="W1486" s="65" t="n"/>
      <c r="X1486" s="65" t="n"/>
      <c r="Y1486" s="32">
        <f>IF($C1486="","",IF(COUNTA($I1486:$K1486)&lt;3,"— חסרים נתונים",IF(AND($I1486="תקין",$J1486="תקין",$K1486="תקין"),"רהוטה",IF(AND($I1486="תקין",$J1486="תקין"),"מדויקת ורציפה","אינה מדויקת או מקוטעת"))))</f>
        <v/>
      </c>
      <c r="Z1486" s="32">
        <f>IF($C1486="","",IF(COUNTA($U1486:$W1486)&lt;3,"",IF(AND($U1486="מפותח",$V1486="מפותח",$W1486="מפותחת"),"מפותחת",IF((--($U1486="דל"))+(--($V1486="אינו מפותח"))+(--($W1486="דלה"))&gt;=2,"אינה מפותחת","חלקית"))))</f>
        <v/>
      </c>
      <c r="AA1486" s="32">
        <f>IF($C1486="","",IF(COUNTA($M1486,$N1486,$O1486)&lt;3,"— חסרים נתונים",IF(OR($M1486="נמוכה",(--($M1486&lt;&gt;"תקינה"))+(--($N1486&lt;&gt;"תקין"))+(--($O1486&lt;&gt;"תקינה"))&gt;=2),"ניכרת","אינה ניכרת")))</f>
        <v/>
      </c>
      <c r="AB1486" s="32">
        <f>IF(OR($C1486="",$Y1486="",$AA1486="",LEFT($Y1486,1)="—",LEFT($AA1486,1)="—"),"",IF($Z1486="","— נדרשת הערכת כתיבה",IF($L1486="","— חסרה הבנת הנקרא",IF($Y1486="אינה מדויקת או מקוטעת",IF($AA1486="ניכרת","מיקוד בשטף הקריאה ובכישורי שפה","מיקוד בשטף קריאה"),IF($AA1486="ניכרת","מיקוד בכישורי שפה",IF(AND($L1486="תקינה",$Z1486="מפותחת"),"קוראים וכותבים מיומנים","מיקוד בהבנה והבעה"))))))</f>
        <v/>
      </c>
      <c r="AC1486" s="32">
        <f>IF(OR($AB1486="",LEFT($AB1486,1)="—"),"",IF(OR($AB1486="מיקוד בשטף קריאה",$AB1486="מיקוד בשטף הקריאה ובכישורי שפה"),"רמה א'",IF($AB1486="קוראים וכותבים מיומנים","רמה ג'","רמה ב'")))</f>
        <v/>
      </c>
      <c r="AD1486" s="32">
        <f>IF($AC1486="","",MID(IF(AND($AC1486="רמה א'",$AA1486="ניכרת"),"; להוסיף עבודת אוצר מילים","")&amp;IF($Z1486="אינה מפותחת","; דגש על הבעה בכתב","")&amp;IF($K1486&lt;&gt;"תקין","; נדרש לעבוד על ההנגנה","")&amp;IF($AK1486&lt;&gt;"","; "&amp;$AK1486,""),3,400))</f>
        <v/>
      </c>
      <c r="AE1486" s="32">
        <f>IF($F1486="","",IF($F1486="תחילת שנה",1,IF($F1486="מחצית שנה",2,3)))</f>
        <v/>
      </c>
      <c r="AF1486" s="32">
        <f>IF(OR($B1486="",$AC1486="",$A1486="",$F1486=""),"",$B1486&amp;"|"&amp;$A1486&amp;"|"&amp;$F1486&amp;"|"&amp;$AC1486&amp;"|"&amp;COUNTIFS($B$6:$B1486,$B1486,$A$6:$A1486,$A1486,$F$6:$F1486,$F1486,$AC$6:$AC1486,$AC1486))</f>
        <v/>
      </c>
      <c r="AG1486" s="32">
        <f>IF($C1486="","",$C1486&amp;"|"&amp;COUNTIFS($C$6:$C1486,$C1486))</f>
        <v/>
      </c>
      <c r="AH1486" s="32">
        <f>IF(OR($C1486="",$A1486="",$AE1486=""),"",$C1486&amp;"|"&amp;$A1486&amp;"|"&amp;$AE1486)</f>
        <v/>
      </c>
      <c r="AI1486" s="32">
        <f>IF(OR($C1486="",$AE1486="",$AE1486=1),"",IFERROR(INDEX($AC$6:$AC$1505,MATCH($C1486&amp;"|"&amp;$A1486&amp;"|"&amp;($AE1486-1),$AH$6:$AH$1505,0)),""))</f>
        <v/>
      </c>
      <c r="AJ1486" s="32">
        <f>IF(OR($AI1486="",$AC1486=""),"",IF($AI1486=$AC1486,"ללא שינוי","מ-"&amp;$AI1486&amp;" ל-"&amp;$AC1486))</f>
        <v/>
      </c>
      <c r="AK1486" s="67" t="n"/>
    </row>
    <row r="1487">
      <c r="A1487" s="65" t="n"/>
      <c r="B1487" s="65" t="n"/>
      <c r="C1487" s="66" t="n"/>
      <c r="D1487" s="66" t="n"/>
      <c r="E1487" s="65" t="n"/>
      <c r="F1487" s="65" t="n"/>
      <c r="G1487" s="65" t="n"/>
      <c r="H1487" s="65" t="n"/>
      <c r="I1487" s="65" t="n"/>
      <c r="J1487" s="65" t="n"/>
      <c r="K1487" s="65" t="n"/>
      <c r="L1487" s="65" t="n"/>
      <c r="M1487" s="65" t="n"/>
      <c r="N1487" s="65" t="n"/>
      <c r="O1487" s="65" t="n"/>
      <c r="P1487" s="65" t="n"/>
      <c r="Q1487" s="65" t="n"/>
      <c r="R1487" s="65" t="n"/>
      <c r="S1487" s="65" t="n"/>
      <c r="T1487" s="65" t="n"/>
      <c r="U1487" s="65" t="n"/>
      <c r="V1487" s="65" t="n"/>
      <c r="W1487" s="65" t="n"/>
      <c r="X1487" s="65" t="n"/>
      <c r="Y1487" s="32">
        <f>IF($C1487="","",IF(COUNTA($I1487:$K1487)&lt;3,"— חסרים נתונים",IF(AND($I1487="תקין",$J1487="תקין",$K1487="תקין"),"רהוטה",IF(AND($I1487="תקין",$J1487="תקין"),"מדויקת ורציפה","אינה מדויקת או מקוטעת"))))</f>
        <v/>
      </c>
      <c r="Z1487" s="32">
        <f>IF($C1487="","",IF(COUNTA($U1487:$W1487)&lt;3,"",IF(AND($U1487="מפותח",$V1487="מפותח",$W1487="מפותחת"),"מפותחת",IF((--($U1487="דל"))+(--($V1487="אינו מפותח"))+(--($W1487="דלה"))&gt;=2,"אינה מפותחת","חלקית"))))</f>
        <v/>
      </c>
      <c r="AA1487" s="32">
        <f>IF($C1487="","",IF(COUNTA($M1487,$N1487,$O1487)&lt;3,"— חסרים נתונים",IF(OR($M1487="נמוכה",(--($M1487&lt;&gt;"תקינה"))+(--($N1487&lt;&gt;"תקין"))+(--($O1487&lt;&gt;"תקינה"))&gt;=2),"ניכרת","אינה ניכרת")))</f>
        <v/>
      </c>
      <c r="AB1487" s="32">
        <f>IF(OR($C1487="",$Y1487="",$AA1487="",LEFT($Y1487,1)="—",LEFT($AA1487,1)="—"),"",IF($Z1487="","— נדרשת הערכת כתיבה",IF($L1487="","— חסרה הבנת הנקרא",IF($Y1487="אינה מדויקת או מקוטעת",IF($AA1487="ניכרת","מיקוד בשטף הקריאה ובכישורי שפה","מיקוד בשטף קריאה"),IF($AA1487="ניכרת","מיקוד בכישורי שפה",IF(AND($L1487="תקינה",$Z1487="מפותחת"),"קוראים וכותבים מיומנים","מיקוד בהבנה והבעה"))))))</f>
        <v/>
      </c>
      <c r="AC1487" s="32">
        <f>IF(OR($AB1487="",LEFT($AB1487,1)="—"),"",IF(OR($AB1487="מיקוד בשטף קריאה",$AB1487="מיקוד בשטף הקריאה ובכישורי שפה"),"רמה א'",IF($AB1487="קוראים וכותבים מיומנים","רמה ג'","רמה ב'")))</f>
        <v/>
      </c>
      <c r="AD1487" s="32">
        <f>IF($AC1487="","",MID(IF(AND($AC1487="רמה א'",$AA1487="ניכרת"),"; להוסיף עבודת אוצר מילים","")&amp;IF($Z1487="אינה מפותחת","; דגש על הבעה בכתב","")&amp;IF($K1487&lt;&gt;"תקין","; נדרש לעבוד על ההנגנה","")&amp;IF($AK1487&lt;&gt;"","; "&amp;$AK1487,""),3,400))</f>
        <v/>
      </c>
      <c r="AE1487" s="32">
        <f>IF($F1487="","",IF($F1487="תחילת שנה",1,IF($F1487="מחצית שנה",2,3)))</f>
        <v/>
      </c>
      <c r="AF1487" s="32">
        <f>IF(OR($B1487="",$AC1487="",$A1487="",$F1487=""),"",$B1487&amp;"|"&amp;$A1487&amp;"|"&amp;$F1487&amp;"|"&amp;$AC1487&amp;"|"&amp;COUNTIFS($B$6:$B1487,$B1487,$A$6:$A1487,$A1487,$F$6:$F1487,$F1487,$AC$6:$AC1487,$AC1487))</f>
        <v/>
      </c>
      <c r="AG1487" s="32">
        <f>IF($C1487="","",$C1487&amp;"|"&amp;COUNTIFS($C$6:$C1487,$C1487))</f>
        <v/>
      </c>
      <c r="AH1487" s="32">
        <f>IF(OR($C1487="",$A1487="",$AE1487=""),"",$C1487&amp;"|"&amp;$A1487&amp;"|"&amp;$AE1487)</f>
        <v/>
      </c>
      <c r="AI1487" s="32">
        <f>IF(OR($C1487="",$AE1487="",$AE1487=1),"",IFERROR(INDEX($AC$6:$AC$1505,MATCH($C1487&amp;"|"&amp;$A1487&amp;"|"&amp;($AE1487-1),$AH$6:$AH$1505,0)),""))</f>
        <v/>
      </c>
      <c r="AJ1487" s="32">
        <f>IF(OR($AI1487="",$AC1487=""),"",IF($AI1487=$AC1487,"ללא שינוי","מ-"&amp;$AI1487&amp;" ל-"&amp;$AC1487))</f>
        <v/>
      </c>
      <c r="AK1487" s="67" t="n"/>
    </row>
    <row r="1488">
      <c r="A1488" s="65" t="n"/>
      <c r="B1488" s="65" t="n"/>
      <c r="C1488" s="66" t="n"/>
      <c r="D1488" s="66" t="n"/>
      <c r="E1488" s="65" t="n"/>
      <c r="F1488" s="65" t="n"/>
      <c r="G1488" s="65" t="n"/>
      <c r="H1488" s="65" t="n"/>
      <c r="I1488" s="65" t="n"/>
      <c r="J1488" s="65" t="n"/>
      <c r="K1488" s="65" t="n"/>
      <c r="L1488" s="65" t="n"/>
      <c r="M1488" s="65" t="n"/>
      <c r="N1488" s="65" t="n"/>
      <c r="O1488" s="65" t="n"/>
      <c r="P1488" s="65" t="n"/>
      <c r="Q1488" s="65" t="n"/>
      <c r="R1488" s="65" t="n"/>
      <c r="S1488" s="65" t="n"/>
      <c r="T1488" s="65" t="n"/>
      <c r="U1488" s="65" t="n"/>
      <c r="V1488" s="65" t="n"/>
      <c r="W1488" s="65" t="n"/>
      <c r="X1488" s="65" t="n"/>
      <c r="Y1488" s="32">
        <f>IF($C1488="","",IF(COUNTA($I1488:$K1488)&lt;3,"— חסרים נתונים",IF(AND($I1488="תקין",$J1488="תקין",$K1488="תקין"),"רהוטה",IF(AND($I1488="תקין",$J1488="תקין"),"מדויקת ורציפה","אינה מדויקת או מקוטעת"))))</f>
        <v/>
      </c>
      <c r="Z1488" s="32">
        <f>IF($C1488="","",IF(COUNTA($U1488:$W1488)&lt;3,"",IF(AND($U1488="מפותח",$V1488="מפותח",$W1488="מפותחת"),"מפותחת",IF((--($U1488="דל"))+(--($V1488="אינו מפותח"))+(--($W1488="דלה"))&gt;=2,"אינה מפותחת","חלקית"))))</f>
        <v/>
      </c>
      <c r="AA1488" s="32">
        <f>IF($C1488="","",IF(COUNTA($M1488,$N1488,$O1488)&lt;3,"— חסרים נתונים",IF(OR($M1488="נמוכה",(--($M1488&lt;&gt;"תקינה"))+(--($N1488&lt;&gt;"תקין"))+(--($O1488&lt;&gt;"תקינה"))&gt;=2),"ניכרת","אינה ניכרת")))</f>
        <v/>
      </c>
      <c r="AB1488" s="32">
        <f>IF(OR($C1488="",$Y1488="",$AA1488="",LEFT($Y1488,1)="—",LEFT($AA1488,1)="—"),"",IF($Z1488="","— נדרשת הערכת כתיבה",IF($L1488="","— חסרה הבנת הנקרא",IF($Y1488="אינה מדויקת או מקוטעת",IF($AA1488="ניכרת","מיקוד בשטף הקריאה ובכישורי שפה","מיקוד בשטף קריאה"),IF($AA1488="ניכרת","מיקוד בכישורי שפה",IF(AND($L1488="תקינה",$Z1488="מפותחת"),"קוראים וכותבים מיומנים","מיקוד בהבנה והבעה"))))))</f>
        <v/>
      </c>
      <c r="AC1488" s="32">
        <f>IF(OR($AB1488="",LEFT($AB1488,1)="—"),"",IF(OR($AB1488="מיקוד בשטף קריאה",$AB1488="מיקוד בשטף הקריאה ובכישורי שפה"),"רמה א'",IF($AB1488="קוראים וכותבים מיומנים","רמה ג'","רמה ב'")))</f>
        <v/>
      </c>
      <c r="AD1488" s="32">
        <f>IF($AC1488="","",MID(IF(AND($AC1488="רמה א'",$AA1488="ניכרת"),"; להוסיף עבודת אוצר מילים","")&amp;IF($Z1488="אינה מפותחת","; דגש על הבעה בכתב","")&amp;IF($K1488&lt;&gt;"תקין","; נדרש לעבוד על ההנגנה","")&amp;IF($AK1488&lt;&gt;"","; "&amp;$AK1488,""),3,400))</f>
        <v/>
      </c>
      <c r="AE1488" s="32">
        <f>IF($F1488="","",IF($F1488="תחילת שנה",1,IF($F1488="מחצית שנה",2,3)))</f>
        <v/>
      </c>
      <c r="AF1488" s="32">
        <f>IF(OR($B1488="",$AC1488="",$A1488="",$F1488=""),"",$B1488&amp;"|"&amp;$A1488&amp;"|"&amp;$F1488&amp;"|"&amp;$AC1488&amp;"|"&amp;COUNTIFS($B$6:$B1488,$B1488,$A$6:$A1488,$A1488,$F$6:$F1488,$F1488,$AC$6:$AC1488,$AC1488))</f>
        <v/>
      </c>
      <c r="AG1488" s="32">
        <f>IF($C1488="","",$C1488&amp;"|"&amp;COUNTIFS($C$6:$C1488,$C1488))</f>
        <v/>
      </c>
      <c r="AH1488" s="32">
        <f>IF(OR($C1488="",$A1488="",$AE1488=""),"",$C1488&amp;"|"&amp;$A1488&amp;"|"&amp;$AE1488)</f>
        <v/>
      </c>
      <c r="AI1488" s="32">
        <f>IF(OR($C1488="",$AE1488="",$AE1488=1),"",IFERROR(INDEX($AC$6:$AC$1505,MATCH($C1488&amp;"|"&amp;$A1488&amp;"|"&amp;($AE1488-1),$AH$6:$AH$1505,0)),""))</f>
        <v/>
      </c>
      <c r="AJ1488" s="32">
        <f>IF(OR($AI1488="",$AC1488=""),"",IF($AI1488=$AC1488,"ללא שינוי","מ-"&amp;$AI1488&amp;" ל-"&amp;$AC1488))</f>
        <v/>
      </c>
      <c r="AK1488" s="67" t="n"/>
    </row>
    <row r="1489">
      <c r="A1489" s="65" t="n"/>
      <c r="B1489" s="65" t="n"/>
      <c r="C1489" s="66" t="n"/>
      <c r="D1489" s="66" t="n"/>
      <c r="E1489" s="65" t="n"/>
      <c r="F1489" s="65" t="n"/>
      <c r="G1489" s="65" t="n"/>
      <c r="H1489" s="65" t="n"/>
      <c r="I1489" s="65" t="n"/>
      <c r="J1489" s="65" t="n"/>
      <c r="K1489" s="65" t="n"/>
      <c r="L1489" s="65" t="n"/>
      <c r="M1489" s="65" t="n"/>
      <c r="N1489" s="65" t="n"/>
      <c r="O1489" s="65" t="n"/>
      <c r="P1489" s="65" t="n"/>
      <c r="Q1489" s="65" t="n"/>
      <c r="R1489" s="65" t="n"/>
      <c r="S1489" s="65" t="n"/>
      <c r="T1489" s="65" t="n"/>
      <c r="U1489" s="65" t="n"/>
      <c r="V1489" s="65" t="n"/>
      <c r="W1489" s="65" t="n"/>
      <c r="X1489" s="65" t="n"/>
      <c r="Y1489" s="32">
        <f>IF($C1489="","",IF(COUNTA($I1489:$K1489)&lt;3,"— חסרים נתונים",IF(AND($I1489="תקין",$J1489="תקין",$K1489="תקין"),"רהוטה",IF(AND($I1489="תקין",$J1489="תקין"),"מדויקת ורציפה","אינה מדויקת או מקוטעת"))))</f>
        <v/>
      </c>
      <c r="Z1489" s="32">
        <f>IF($C1489="","",IF(COUNTA($U1489:$W1489)&lt;3,"",IF(AND($U1489="מפותח",$V1489="מפותח",$W1489="מפותחת"),"מפותחת",IF((--($U1489="דל"))+(--($V1489="אינו מפותח"))+(--($W1489="דלה"))&gt;=2,"אינה מפותחת","חלקית"))))</f>
        <v/>
      </c>
      <c r="AA1489" s="32">
        <f>IF($C1489="","",IF(COUNTA($M1489,$N1489,$O1489)&lt;3,"— חסרים נתונים",IF(OR($M1489="נמוכה",(--($M1489&lt;&gt;"תקינה"))+(--($N1489&lt;&gt;"תקין"))+(--($O1489&lt;&gt;"תקינה"))&gt;=2),"ניכרת","אינה ניכרת")))</f>
        <v/>
      </c>
      <c r="AB1489" s="32">
        <f>IF(OR($C1489="",$Y1489="",$AA1489="",LEFT($Y1489,1)="—",LEFT($AA1489,1)="—"),"",IF($Z1489="","— נדרשת הערכת כתיבה",IF($L1489="","— חסרה הבנת הנקרא",IF($Y1489="אינה מדויקת או מקוטעת",IF($AA1489="ניכרת","מיקוד בשטף הקריאה ובכישורי שפה","מיקוד בשטף קריאה"),IF($AA1489="ניכרת","מיקוד בכישורי שפה",IF(AND($L1489="תקינה",$Z1489="מפותחת"),"קוראים וכותבים מיומנים","מיקוד בהבנה והבעה"))))))</f>
        <v/>
      </c>
      <c r="AC1489" s="32">
        <f>IF(OR($AB1489="",LEFT($AB1489,1)="—"),"",IF(OR($AB1489="מיקוד בשטף קריאה",$AB1489="מיקוד בשטף הקריאה ובכישורי שפה"),"רמה א'",IF($AB1489="קוראים וכותבים מיומנים","רמה ג'","רמה ב'")))</f>
        <v/>
      </c>
      <c r="AD1489" s="32">
        <f>IF($AC1489="","",MID(IF(AND($AC1489="רמה א'",$AA1489="ניכרת"),"; להוסיף עבודת אוצר מילים","")&amp;IF($Z1489="אינה מפותחת","; דגש על הבעה בכתב","")&amp;IF($K1489&lt;&gt;"תקין","; נדרש לעבוד על ההנגנה","")&amp;IF($AK1489&lt;&gt;"","; "&amp;$AK1489,""),3,400))</f>
        <v/>
      </c>
      <c r="AE1489" s="32">
        <f>IF($F1489="","",IF($F1489="תחילת שנה",1,IF($F1489="מחצית שנה",2,3)))</f>
        <v/>
      </c>
      <c r="AF1489" s="32">
        <f>IF(OR($B1489="",$AC1489="",$A1489="",$F1489=""),"",$B1489&amp;"|"&amp;$A1489&amp;"|"&amp;$F1489&amp;"|"&amp;$AC1489&amp;"|"&amp;COUNTIFS($B$6:$B1489,$B1489,$A$6:$A1489,$A1489,$F$6:$F1489,$F1489,$AC$6:$AC1489,$AC1489))</f>
        <v/>
      </c>
      <c r="AG1489" s="32">
        <f>IF($C1489="","",$C1489&amp;"|"&amp;COUNTIFS($C$6:$C1489,$C1489))</f>
        <v/>
      </c>
      <c r="AH1489" s="32">
        <f>IF(OR($C1489="",$A1489="",$AE1489=""),"",$C1489&amp;"|"&amp;$A1489&amp;"|"&amp;$AE1489)</f>
        <v/>
      </c>
      <c r="AI1489" s="32">
        <f>IF(OR($C1489="",$AE1489="",$AE1489=1),"",IFERROR(INDEX($AC$6:$AC$1505,MATCH($C1489&amp;"|"&amp;$A1489&amp;"|"&amp;($AE1489-1),$AH$6:$AH$1505,0)),""))</f>
        <v/>
      </c>
      <c r="AJ1489" s="32">
        <f>IF(OR($AI1489="",$AC1489=""),"",IF($AI1489=$AC1489,"ללא שינוי","מ-"&amp;$AI1489&amp;" ל-"&amp;$AC1489))</f>
        <v/>
      </c>
      <c r="AK1489" s="67" t="n"/>
    </row>
    <row r="1490">
      <c r="A1490" s="65" t="n"/>
      <c r="B1490" s="65" t="n"/>
      <c r="C1490" s="66" t="n"/>
      <c r="D1490" s="66" t="n"/>
      <c r="E1490" s="65" t="n"/>
      <c r="F1490" s="65" t="n"/>
      <c r="G1490" s="65" t="n"/>
      <c r="H1490" s="65" t="n"/>
      <c r="I1490" s="65" t="n"/>
      <c r="J1490" s="65" t="n"/>
      <c r="K1490" s="65" t="n"/>
      <c r="L1490" s="65" t="n"/>
      <c r="M1490" s="65" t="n"/>
      <c r="N1490" s="65" t="n"/>
      <c r="O1490" s="65" t="n"/>
      <c r="P1490" s="65" t="n"/>
      <c r="Q1490" s="65" t="n"/>
      <c r="R1490" s="65" t="n"/>
      <c r="S1490" s="65" t="n"/>
      <c r="T1490" s="65" t="n"/>
      <c r="U1490" s="65" t="n"/>
      <c r="V1490" s="65" t="n"/>
      <c r="W1490" s="65" t="n"/>
      <c r="X1490" s="65" t="n"/>
      <c r="Y1490" s="32">
        <f>IF($C1490="","",IF(COUNTA($I1490:$K1490)&lt;3,"— חסרים נתונים",IF(AND($I1490="תקין",$J1490="תקין",$K1490="תקין"),"רהוטה",IF(AND($I1490="תקין",$J1490="תקין"),"מדויקת ורציפה","אינה מדויקת או מקוטעת"))))</f>
        <v/>
      </c>
      <c r="Z1490" s="32">
        <f>IF($C1490="","",IF(COUNTA($U1490:$W1490)&lt;3,"",IF(AND($U1490="מפותח",$V1490="מפותח",$W1490="מפותחת"),"מפותחת",IF((--($U1490="דל"))+(--($V1490="אינו מפותח"))+(--($W1490="דלה"))&gt;=2,"אינה מפותחת","חלקית"))))</f>
        <v/>
      </c>
      <c r="AA1490" s="32">
        <f>IF($C1490="","",IF(COUNTA($M1490,$N1490,$O1490)&lt;3,"— חסרים נתונים",IF(OR($M1490="נמוכה",(--($M1490&lt;&gt;"תקינה"))+(--($N1490&lt;&gt;"תקין"))+(--($O1490&lt;&gt;"תקינה"))&gt;=2),"ניכרת","אינה ניכרת")))</f>
        <v/>
      </c>
      <c r="AB1490" s="32">
        <f>IF(OR($C1490="",$Y1490="",$AA1490="",LEFT($Y1490,1)="—",LEFT($AA1490,1)="—"),"",IF($Z1490="","— נדרשת הערכת כתיבה",IF($L1490="","— חסרה הבנת הנקרא",IF($Y1490="אינה מדויקת או מקוטעת",IF($AA1490="ניכרת","מיקוד בשטף הקריאה ובכישורי שפה","מיקוד בשטף קריאה"),IF($AA1490="ניכרת","מיקוד בכישורי שפה",IF(AND($L1490="תקינה",$Z1490="מפותחת"),"קוראים וכותבים מיומנים","מיקוד בהבנה והבעה"))))))</f>
        <v/>
      </c>
      <c r="AC1490" s="32">
        <f>IF(OR($AB1490="",LEFT($AB1490,1)="—"),"",IF(OR($AB1490="מיקוד בשטף קריאה",$AB1490="מיקוד בשטף הקריאה ובכישורי שפה"),"רמה א'",IF($AB1490="קוראים וכותבים מיומנים","רמה ג'","רמה ב'")))</f>
        <v/>
      </c>
      <c r="AD1490" s="32">
        <f>IF($AC1490="","",MID(IF(AND($AC1490="רמה א'",$AA1490="ניכרת"),"; להוסיף עבודת אוצר מילים","")&amp;IF($Z1490="אינה מפותחת","; דגש על הבעה בכתב","")&amp;IF($K1490&lt;&gt;"תקין","; נדרש לעבוד על ההנגנה","")&amp;IF($AK1490&lt;&gt;"","; "&amp;$AK1490,""),3,400))</f>
        <v/>
      </c>
      <c r="AE1490" s="32">
        <f>IF($F1490="","",IF($F1490="תחילת שנה",1,IF($F1490="מחצית שנה",2,3)))</f>
        <v/>
      </c>
      <c r="AF1490" s="32">
        <f>IF(OR($B1490="",$AC1490="",$A1490="",$F1490=""),"",$B1490&amp;"|"&amp;$A1490&amp;"|"&amp;$F1490&amp;"|"&amp;$AC1490&amp;"|"&amp;COUNTIFS($B$6:$B1490,$B1490,$A$6:$A1490,$A1490,$F$6:$F1490,$F1490,$AC$6:$AC1490,$AC1490))</f>
        <v/>
      </c>
      <c r="AG1490" s="32">
        <f>IF($C1490="","",$C1490&amp;"|"&amp;COUNTIFS($C$6:$C1490,$C1490))</f>
        <v/>
      </c>
      <c r="AH1490" s="32">
        <f>IF(OR($C1490="",$A1490="",$AE1490=""),"",$C1490&amp;"|"&amp;$A1490&amp;"|"&amp;$AE1490)</f>
        <v/>
      </c>
      <c r="AI1490" s="32">
        <f>IF(OR($C1490="",$AE1490="",$AE1490=1),"",IFERROR(INDEX($AC$6:$AC$1505,MATCH($C1490&amp;"|"&amp;$A1490&amp;"|"&amp;($AE1490-1),$AH$6:$AH$1505,0)),""))</f>
        <v/>
      </c>
      <c r="AJ1490" s="32">
        <f>IF(OR($AI1490="",$AC1490=""),"",IF($AI1490=$AC1490,"ללא שינוי","מ-"&amp;$AI1490&amp;" ל-"&amp;$AC1490))</f>
        <v/>
      </c>
      <c r="AK1490" s="67" t="n"/>
    </row>
    <row r="1491">
      <c r="A1491" s="65" t="n"/>
      <c r="B1491" s="65" t="n"/>
      <c r="C1491" s="66" t="n"/>
      <c r="D1491" s="66" t="n"/>
      <c r="E1491" s="65" t="n"/>
      <c r="F1491" s="65" t="n"/>
      <c r="G1491" s="65" t="n"/>
      <c r="H1491" s="65" t="n"/>
      <c r="I1491" s="65" t="n"/>
      <c r="J1491" s="65" t="n"/>
      <c r="K1491" s="65" t="n"/>
      <c r="L1491" s="65" t="n"/>
      <c r="M1491" s="65" t="n"/>
      <c r="N1491" s="65" t="n"/>
      <c r="O1491" s="65" t="n"/>
      <c r="P1491" s="65" t="n"/>
      <c r="Q1491" s="65" t="n"/>
      <c r="R1491" s="65" t="n"/>
      <c r="S1491" s="65" t="n"/>
      <c r="T1491" s="65" t="n"/>
      <c r="U1491" s="65" t="n"/>
      <c r="V1491" s="65" t="n"/>
      <c r="W1491" s="65" t="n"/>
      <c r="X1491" s="65" t="n"/>
      <c r="Y1491" s="32">
        <f>IF($C1491="","",IF(COUNTA($I1491:$K1491)&lt;3,"— חסרים נתונים",IF(AND($I1491="תקין",$J1491="תקין",$K1491="תקין"),"רהוטה",IF(AND($I1491="תקין",$J1491="תקין"),"מדויקת ורציפה","אינה מדויקת או מקוטעת"))))</f>
        <v/>
      </c>
      <c r="Z1491" s="32">
        <f>IF($C1491="","",IF(COUNTA($U1491:$W1491)&lt;3,"",IF(AND($U1491="מפותח",$V1491="מפותח",$W1491="מפותחת"),"מפותחת",IF((--($U1491="דל"))+(--($V1491="אינו מפותח"))+(--($W1491="דלה"))&gt;=2,"אינה מפותחת","חלקית"))))</f>
        <v/>
      </c>
      <c r="AA1491" s="32">
        <f>IF($C1491="","",IF(COUNTA($M1491,$N1491,$O1491)&lt;3,"— חסרים נתונים",IF(OR($M1491="נמוכה",(--($M1491&lt;&gt;"תקינה"))+(--($N1491&lt;&gt;"תקין"))+(--($O1491&lt;&gt;"תקינה"))&gt;=2),"ניכרת","אינה ניכרת")))</f>
        <v/>
      </c>
      <c r="AB1491" s="32">
        <f>IF(OR($C1491="",$Y1491="",$AA1491="",LEFT($Y1491,1)="—",LEFT($AA1491,1)="—"),"",IF($Z1491="","— נדרשת הערכת כתיבה",IF($L1491="","— חסרה הבנת הנקרא",IF($Y1491="אינה מדויקת או מקוטעת",IF($AA1491="ניכרת","מיקוד בשטף הקריאה ובכישורי שפה","מיקוד בשטף קריאה"),IF($AA1491="ניכרת","מיקוד בכישורי שפה",IF(AND($L1491="תקינה",$Z1491="מפותחת"),"קוראים וכותבים מיומנים","מיקוד בהבנה והבעה"))))))</f>
        <v/>
      </c>
      <c r="AC1491" s="32">
        <f>IF(OR($AB1491="",LEFT($AB1491,1)="—"),"",IF(OR($AB1491="מיקוד בשטף קריאה",$AB1491="מיקוד בשטף הקריאה ובכישורי שפה"),"רמה א'",IF($AB1491="קוראים וכותבים מיומנים","רמה ג'","רמה ב'")))</f>
        <v/>
      </c>
      <c r="AD1491" s="32">
        <f>IF($AC1491="","",MID(IF(AND($AC1491="רמה א'",$AA1491="ניכרת"),"; להוסיף עבודת אוצר מילים","")&amp;IF($Z1491="אינה מפותחת","; דגש על הבעה בכתב","")&amp;IF($K1491&lt;&gt;"תקין","; נדרש לעבוד על ההנגנה","")&amp;IF($AK1491&lt;&gt;"","; "&amp;$AK1491,""),3,400))</f>
        <v/>
      </c>
      <c r="AE1491" s="32">
        <f>IF($F1491="","",IF($F1491="תחילת שנה",1,IF($F1491="מחצית שנה",2,3)))</f>
        <v/>
      </c>
      <c r="AF1491" s="32">
        <f>IF(OR($B1491="",$AC1491="",$A1491="",$F1491=""),"",$B1491&amp;"|"&amp;$A1491&amp;"|"&amp;$F1491&amp;"|"&amp;$AC1491&amp;"|"&amp;COUNTIFS($B$6:$B1491,$B1491,$A$6:$A1491,$A1491,$F$6:$F1491,$F1491,$AC$6:$AC1491,$AC1491))</f>
        <v/>
      </c>
      <c r="AG1491" s="32">
        <f>IF($C1491="","",$C1491&amp;"|"&amp;COUNTIFS($C$6:$C1491,$C1491))</f>
        <v/>
      </c>
      <c r="AH1491" s="32">
        <f>IF(OR($C1491="",$A1491="",$AE1491=""),"",$C1491&amp;"|"&amp;$A1491&amp;"|"&amp;$AE1491)</f>
        <v/>
      </c>
      <c r="AI1491" s="32">
        <f>IF(OR($C1491="",$AE1491="",$AE1491=1),"",IFERROR(INDEX($AC$6:$AC$1505,MATCH($C1491&amp;"|"&amp;$A1491&amp;"|"&amp;($AE1491-1),$AH$6:$AH$1505,0)),""))</f>
        <v/>
      </c>
      <c r="AJ1491" s="32">
        <f>IF(OR($AI1491="",$AC1491=""),"",IF($AI1491=$AC1491,"ללא שינוי","מ-"&amp;$AI1491&amp;" ל-"&amp;$AC1491))</f>
        <v/>
      </c>
      <c r="AK1491" s="67" t="n"/>
    </row>
    <row r="1492">
      <c r="A1492" s="65" t="n"/>
      <c r="B1492" s="65" t="n"/>
      <c r="C1492" s="66" t="n"/>
      <c r="D1492" s="66" t="n"/>
      <c r="E1492" s="65" t="n"/>
      <c r="F1492" s="65" t="n"/>
      <c r="G1492" s="65" t="n"/>
      <c r="H1492" s="65" t="n"/>
      <c r="I1492" s="65" t="n"/>
      <c r="J1492" s="65" t="n"/>
      <c r="K1492" s="65" t="n"/>
      <c r="L1492" s="65" t="n"/>
      <c r="M1492" s="65" t="n"/>
      <c r="N1492" s="65" t="n"/>
      <c r="O1492" s="65" t="n"/>
      <c r="P1492" s="65" t="n"/>
      <c r="Q1492" s="65" t="n"/>
      <c r="R1492" s="65" t="n"/>
      <c r="S1492" s="65" t="n"/>
      <c r="T1492" s="65" t="n"/>
      <c r="U1492" s="65" t="n"/>
      <c r="V1492" s="65" t="n"/>
      <c r="W1492" s="65" t="n"/>
      <c r="X1492" s="65" t="n"/>
      <c r="Y1492" s="32">
        <f>IF($C1492="","",IF(COUNTA($I1492:$K1492)&lt;3,"— חסרים נתונים",IF(AND($I1492="תקין",$J1492="תקין",$K1492="תקין"),"רהוטה",IF(AND($I1492="תקין",$J1492="תקין"),"מדויקת ורציפה","אינה מדויקת או מקוטעת"))))</f>
        <v/>
      </c>
      <c r="Z1492" s="32">
        <f>IF($C1492="","",IF(COUNTA($U1492:$W1492)&lt;3,"",IF(AND($U1492="מפותח",$V1492="מפותח",$W1492="מפותחת"),"מפותחת",IF((--($U1492="דל"))+(--($V1492="אינו מפותח"))+(--($W1492="דלה"))&gt;=2,"אינה מפותחת","חלקית"))))</f>
        <v/>
      </c>
      <c r="AA1492" s="32">
        <f>IF($C1492="","",IF(COUNTA($M1492,$N1492,$O1492)&lt;3,"— חסרים נתונים",IF(OR($M1492="נמוכה",(--($M1492&lt;&gt;"תקינה"))+(--($N1492&lt;&gt;"תקין"))+(--($O1492&lt;&gt;"תקינה"))&gt;=2),"ניכרת","אינה ניכרת")))</f>
        <v/>
      </c>
      <c r="AB1492" s="32">
        <f>IF(OR($C1492="",$Y1492="",$AA1492="",LEFT($Y1492,1)="—",LEFT($AA1492,1)="—"),"",IF($Z1492="","— נדרשת הערכת כתיבה",IF($L1492="","— חסרה הבנת הנקרא",IF($Y1492="אינה מדויקת או מקוטעת",IF($AA1492="ניכרת","מיקוד בשטף הקריאה ובכישורי שפה","מיקוד בשטף קריאה"),IF($AA1492="ניכרת","מיקוד בכישורי שפה",IF(AND($L1492="תקינה",$Z1492="מפותחת"),"קוראים וכותבים מיומנים","מיקוד בהבנה והבעה"))))))</f>
        <v/>
      </c>
      <c r="AC1492" s="32">
        <f>IF(OR($AB1492="",LEFT($AB1492,1)="—"),"",IF(OR($AB1492="מיקוד בשטף קריאה",$AB1492="מיקוד בשטף הקריאה ובכישורי שפה"),"רמה א'",IF($AB1492="קוראים וכותבים מיומנים","רמה ג'","רמה ב'")))</f>
        <v/>
      </c>
      <c r="AD1492" s="32">
        <f>IF($AC1492="","",MID(IF(AND($AC1492="רמה א'",$AA1492="ניכרת"),"; להוסיף עבודת אוצר מילים","")&amp;IF($Z1492="אינה מפותחת","; דגש על הבעה בכתב","")&amp;IF($K1492&lt;&gt;"תקין","; נדרש לעבוד על ההנגנה","")&amp;IF($AK1492&lt;&gt;"","; "&amp;$AK1492,""),3,400))</f>
        <v/>
      </c>
      <c r="AE1492" s="32">
        <f>IF($F1492="","",IF($F1492="תחילת שנה",1,IF($F1492="מחצית שנה",2,3)))</f>
        <v/>
      </c>
      <c r="AF1492" s="32">
        <f>IF(OR($B1492="",$AC1492="",$A1492="",$F1492=""),"",$B1492&amp;"|"&amp;$A1492&amp;"|"&amp;$F1492&amp;"|"&amp;$AC1492&amp;"|"&amp;COUNTIFS($B$6:$B1492,$B1492,$A$6:$A1492,$A1492,$F$6:$F1492,$F1492,$AC$6:$AC1492,$AC1492))</f>
        <v/>
      </c>
      <c r="AG1492" s="32">
        <f>IF($C1492="","",$C1492&amp;"|"&amp;COUNTIFS($C$6:$C1492,$C1492))</f>
        <v/>
      </c>
      <c r="AH1492" s="32">
        <f>IF(OR($C1492="",$A1492="",$AE1492=""),"",$C1492&amp;"|"&amp;$A1492&amp;"|"&amp;$AE1492)</f>
        <v/>
      </c>
      <c r="AI1492" s="32">
        <f>IF(OR($C1492="",$AE1492="",$AE1492=1),"",IFERROR(INDEX($AC$6:$AC$1505,MATCH($C1492&amp;"|"&amp;$A1492&amp;"|"&amp;($AE1492-1),$AH$6:$AH$1505,0)),""))</f>
        <v/>
      </c>
      <c r="AJ1492" s="32">
        <f>IF(OR($AI1492="",$AC1492=""),"",IF($AI1492=$AC1492,"ללא שינוי","מ-"&amp;$AI1492&amp;" ל-"&amp;$AC1492))</f>
        <v/>
      </c>
      <c r="AK1492" s="67" t="n"/>
    </row>
    <row r="1493">
      <c r="A1493" s="65" t="n"/>
      <c r="B1493" s="65" t="n"/>
      <c r="C1493" s="66" t="n"/>
      <c r="D1493" s="66" t="n"/>
      <c r="E1493" s="65" t="n"/>
      <c r="F1493" s="65" t="n"/>
      <c r="G1493" s="65" t="n"/>
      <c r="H1493" s="65" t="n"/>
      <c r="I1493" s="65" t="n"/>
      <c r="J1493" s="65" t="n"/>
      <c r="K1493" s="65" t="n"/>
      <c r="L1493" s="65" t="n"/>
      <c r="M1493" s="65" t="n"/>
      <c r="N1493" s="65" t="n"/>
      <c r="O1493" s="65" t="n"/>
      <c r="P1493" s="65" t="n"/>
      <c r="Q1493" s="65" t="n"/>
      <c r="R1493" s="65" t="n"/>
      <c r="S1493" s="65" t="n"/>
      <c r="T1493" s="65" t="n"/>
      <c r="U1493" s="65" t="n"/>
      <c r="V1493" s="65" t="n"/>
      <c r="W1493" s="65" t="n"/>
      <c r="X1493" s="65" t="n"/>
      <c r="Y1493" s="32">
        <f>IF($C1493="","",IF(COUNTA($I1493:$K1493)&lt;3,"— חסרים נתונים",IF(AND($I1493="תקין",$J1493="תקין",$K1493="תקין"),"רהוטה",IF(AND($I1493="תקין",$J1493="תקין"),"מדויקת ורציפה","אינה מדויקת או מקוטעת"))))</f>
        <v/>
      </c>
      <c r="Z1493" s="32">
        <f>IF($C1493="","",IF(COUNTA($U1493:$W1493)&lt;3,"",IF(AND($U1493="מפותח",$V1493="מפותח",$W1493="מפותחת"),"מפותחת",IF((--($U1493="דל"))+(--($V1493="אינו מפותח"))+(--($W1493="דלה"))&gt;=2,"אינה מפותחת","חלקית"))))</f>
        <v/>
      </c>
      <c r="AA1493" s="32">
        <f>IF($C1493="","",IF(COUNTA($M1493,$N1493,$O1493)&lt;3,"— חסרים נתונים",IF(OR($M1493="נמוכה",(--($M1493&lt;&gt;"תקינה"))+(--($N1493&lt;&gt;"תקין"))+(--($O1493&lt;&gt;"תקינה"))&gt;=2),"ניכרת","אינה ניכרת")))</f>
        <v/>
      </c>
      <c r="AB1493" s="32">
        <f>IF(OR($C1493="",$Y1493="",$AA1493="",LEFT($Y1493,1)="—",LEFT($AA1493,1)="—"),"",IF($Z1493="","— נדרשת הערכת כתיבה",IF($L1493="","— חסרה הבנת הנקרא",IF($Y1493="אינה מדויקת או מקוטעת",IF($AA1493="ניכרת","מיקוד בשטף הקריאה ובכישורי שפה","מיקוד בשטף קריאה"),IF($AA1493="ניכרת","מיקוד בכישורי שפה",IF(AND($L1493="תקינה",$Z1493="מפותחת"),"קוראים וכותבים מיומנים","מיקוד בהבנה והבעה"))))))</f>
        <v/>
      </c>
      <c r="AC1493" s="32">
        <f>IF(OR($AB1493="",LEFT($AB1493,1)="—"),"",IF(OR($AB1493="מיקוד בשטף קריאה",$AB1493="מיקוד בשטף הקריאה ובכישורי שפה"),"רמה א'",IF($AB1493="קוראים וכותבים מיומנים","רמה ג'","רמה ב'")))</f>
        <v/>
      </c>
      <c r="AD1493" s="32">
        <f>IF($AC1493="","",MID(IF(AND($AC1493="רמה א'",$AA1493="ניכרת"),"; להוסיף עבודת אוצר מילים","")&amp;IF($Z1493="אינה מפותחת","; דגש על הבעה בכתב","")&amp;IF($K1493&lt;&gt;"תקין","; נדרש לעבוד על ההנגנה","")&amp;IF($AK1493&lt;&gt;"","; "&amp;$AK1493,""),3,400))</f>
        <v/>
      </c>
      <c r="AE1493" s="32">
        <f>IF($F1493="","",IF($F1493="תחילת שנה",1,IF($F1493="מחצית שנה",2,3)))</f>
        <v/>
      </c>
      <c r="AF1493" s="32">
        <f>IF(OR($B1493="",$AC1493="",$A1493="",$F1493=""),"",$B1493&amp;"|"&amp;$A1493&amp;"|"&amp;$F1493&amp;"|"&amp;$AC1493&amp;"|"&amp;COUNTIFS($B$6:$B1493,$B1493,$A$6:$A1493,$A1493,$F$6:$F1493,$F1493,$AC$6:$AC1493,$AC1493))</f>
        <v/>
      </c>
      <c r="AG1493" s="32">
        <f>IF($C1493="","",$C1493&amp;"|"&amp;COUNTIFS($C$6:$C1493,$C1493))</f>
        <v/>
      </c>
      <c r="AH1493" s="32">
        <f>IF(OR($C1493="",$A1493="",$AE1493=""),"",$C1493&amp;"|"&amp;$A1493&amp;"|"&amp;$AE1493)</f>
        <v/>
      </c>
      <c r="AI1493" s="32">
        <f>IF(OR($C1493="",$AE1493="",$AE1493=1),"",IFERROR(INDEX($AC$6:$AC$1505,MATCH($C1493&amp;"|"&amp;$A1493&amp;"|"&amp;($AE1493-1),$AH$6:$AH$1505,0)),""))</f>
        <v/>
      </c>
      <c r="AJ1493" s="32">
        <f>IF(OR($AI1493="",$AC1493=""),"",IF($AI1493=$AC1493,"ללא שינוי","מ-"&amp;$AI1493&amp;" ל-"&amp;$AC1493))</f>
        <v/>
      </c>
      <c r="AK1493" s="67" t="n"/>
    </row>
    <row r="1494">
      <c r="A1494" s="65" t="n"/>
      <c r="B1494" s="65" t="n"/>
      <c r="C1494" s="66" t="n"/>
      <c r="D1494" s="66" t="n"/>
      <c r="E1494" s="65" t="n"/>
      <c r="F1494" s="65" t="n"/>
      <c r="G1494" s="65" t="n"/>
      <c r="H1494" s="65" t="n"/>
      <c r="I1494" s="65" t="n"/>
      <c r="J1494" s="65" t="n"/>
      <c r="K1494" s="65" t="n"/>
      <c r="L1494" s="65" t="n"/>
      <c r="M1494" s="65" t="n"/>
      <c r="N1494" s="65" t="n"/>
      <c r="O1494" s="65" t="n"/>
      <c r="P1494" s="65" t="n"/>
      <c r="Q1494" s="65" t="n"/>
      <c r="R1494" s="65" t="n"/>
      <c r="S1494" s="65" t="n"/>
      <c r="T1494" s="65" t="n"/>
      <c r="U1494" s="65" t="n"/>
      <c r="V1494" s="65" t="n"/>
      <c r="W1494" s="65" t="n"/>
      <c r="X1494" s="65" t="n"/>
      <c r="Y1494" s="32">
        <f>IF($C1494="","",IF(COUNTA($I1494:$K1494)&lt;3,"— חסרים נתונים",IF(AND($I1494="תקין",$J1494="תקין",$K1494="תקין"),"רהוטה",IF(AND($I1494="תקין",$J1494="תקין"),"מדויקת ורציפה","אינה מדויקת או מקוטעת"))))</f>
        <v/>
      </c>
      <c r="Z1494" s="32">
        <f>IF($C1494="","",IF(COUNTA($U1494:$W1494)&lt;3,"",IF(AND($U1494="מפותח",$V1494="מפותח",$W1494="מפותחת"),"מפותחת",IF((--($U1494="דל"))+(--($V1494="אינו מפותח"))+(--($W1494="דלה"))&gt;=2,"אינה מפותחת","חלקית"))))</f>
        <v/>
      </c>
      <c r="AA1494" s="32">
        <f>IF($C1494="","",IF(COUNTA($M1494,$N1494,$O1494)&lt;3,"— חסרים נתונים",IF(OR($M1494="נמוכה",(--($M1494&lt;&gt;"תקינה"))+(--($N1494&lt;&gt;"תקין"))+(--($O1494&lt;&gt;"תקינה"))&gt;=2),"ניכרת","אינה ניכרת")))</f>
        <v/>
      </c>
      <c r="AB1494" s="32">
        <f>IF(OR($C1494="",$Y1494="",$AA1494="",LEFT($Y1494,1)="—",LEFT($AA1494,1)="—"),"",IF($Z1494="","— נדרשת הערכת כתיבה",IF($L1494="","— חסרה הבנת הנקרא",IF($Y1494="אינה מדויקת או מקוטעת",IF($AA1494="ניכרת","מיקוד בשטף הקריאה ובכישורי שפה","מיקוד בשטף קריאה"),IF($AA1494="ניכרת","מיקוד בכישורי שפה",IF(AND($L1494="תקינה",$Z1494="מפותחת"),"קוראים וכותבים מיומנים","מיקוד בהבנה והבעה"))))))</f>
        <v/>
      </c>
      <c r="AC1494" s="32">
        <f>IF(OR($AB1494="",LEFT($AB1494,1)="—"),"",IF(OR($AB1494="מיקוד בשטף קריאה",$AB1494="מיקוד בשטף הקריאה ובכישורי שפה"),"רמה א'",IF($AB1494="קוראים וכותבים מיומנים","רמה ג'","רמה ב'")))</f>
        <v/>
      </c>
      <c r="AD1494" s="32">
        <f>IF($AC1494="","",MID(IF(AND($AC1494="רמה א'",$AA1494="ניכרת"),"; להוסיף עבודת אוצר מילים","")&amp;IF($Z1494="אינה מפותחת","; דגש על הבעה בכתב","")&amp;IF($K1494&lt;&gt;"תקין","; נדרש לעבוד על ההנגנה","")&amp;IF($AK1494&lt;&gt;"","; "&amp;$AK1494,""),3,400))</f>
        <v/>
      </c>
      <c r="AE1494" s="32">
        <f>IF($F1494="","",IF($F1494="תחילת שנה",1,IF($F1494="מחצית שנה",2,3)))</f>
        <v/>
      </c>
      <c r="AF1494" s="32">
        <f>IF(OR($B1494="",$AC1494="",$A1494="",$F1494=""),"",$B1494&amp;"|"&amp;$A1494&amp;"|"&amp;$F1494&amp;"|"&amp;$AC1494&amp;"|"&amp;COUNTIFS($B$6:$B1494,$B1494,$A$6:$A1494,$A1494,$F$6:$F1494,$F1494,$AC$6:$AC1494,$AC1494))</f>
        <v/>
      </c>
      <c r="AG1494" s="32">
        <f>IF($C1494="","",$C1494&amp;"|"&amp;COUNTIFS($C$6:$C1494,$C1494))</f>
        <v/>
      </c>
      <c r="AH1494" s="32">
        <f>IF(OR($C1494="",$A1494="",$AE1494=""),"",$C1494&amp;"|"&amp;$A1494&amp;"|"&amp;$AE1494)</f>
        <v/>
      </c>
      <c r="AI1494" s="32">
        <f>IF(OR($C1494="",$AE1494="",$AE1494=1),"",IFERROR(INDEX($AC$6:$AC$1505,MATCH($C1494&amp;"|"&amp;$A1494&amp;"|"&amp;($AE1494-1),$AH$6:$AH$1505,0)),""))</f>
        <v/>
      </c>
      <c r="AJ1494" s="32">
        <f>IF(OR($AI1494="",$AC1494=""),"",IF($AI1494=$AC1494,"ללא שינוי","מ-"&amp;$AI1494&amp;" ל-"&amp;$AC1494))</f>
        <v/>
      </c>
      <c r="AK1494" s="67" t="n"/>
    </row>
    <row r="1495">
      <c r="A1495" s="65" t="n"/>
      <c r="B1495" s="65" t="n"/>
      <c r="C1495" s="66" t="n"/>
      <c r="D1495" s="66" t="n"/>
      <c r="E1495" s="65" t="n"/>
      <c r="F1495" s="65" t="n"/>
      <c r="G1495" s="65" t="n"/>
      <c r="H1495" s="65" t="n"/>
      <c r="I1495" s="65" t="n"/>
      <c r="J1495" s="65" t="n"/>
      <c r="K1495" s="65" t="n"/>
      <c r="L1495" s="65" t="n"/>
      <c r="M1495" s="65" t="n"/>
      <c r="N1495" s="65" t="n"/>
      <c r="O1495" s="65" t="n"/>
      <c r="P1495" s="65" t="n"/>
      <c r="Q1495" s="65" t="n"/>
      <c r="R1495" s="65" t="n"/>
      <c r="S1495" s="65" t="n"/>
      <c r="T1495" s="65" t="n"/>
      <c r="U1495" s="65" t="n"/>
      <c r="V1495" s="65" t="n"/>
      <c r="W1495" s="65" t="n"/>
      <c r="X1495" s="65" t="n"/>
      <c r="Y1495" s="32">
        <f>IF($C1495="","",IF(COUNTA($I1495:$K1495)&lt;3,"— חסרים נתונים",IF(AND($I1495="תקין",$J1495="תקין",$K1495="תקין"),"רהוטה",IF(AND($I1495="תקין",$J1495="תקין"),"מדויקת ורציפה","אינה מדויקת או מקוטעת"))))</f>
        <v/>
      </c>
      <c r="Z1495" s="32">
        <f>IF($C1495="","",IF(COUNTA($U1495:$W1495)&lt;3,"",IF(AND($U1495="מפותח",$V1495="מפותח",$W1495="מפותחת"),"מפותחת",IF((--($U1495="דל"))+(--($V1495="אינו מפותח"))+(--($W1495="דלה"))&gt;=2,"אינה מפותחת","חלקית"))))</f>
        <v/>
      </c>
      <c r="AA1495" s="32">
        <f>IF($C1495="","",IF(COUNTA($M1495,$N1495,$O1495)&lt;3,"— חסרים נתונים",IF(OR($M1495="נמוכה",(--($M1495&lt;&gt;"תקינה"))+(--($N1495&lt;&gt;"תקין"))+(--($O1495&lt;&gt;"תקינה"))&gt;=2),"ניכרת","אינה ניכרת")))</f>
        <v/>
      </c>
      <c r="AB1495" s="32">
        <f>IF(OR($C1495="",$Y1495="",$AA1495="",LEFT($Y1495,1)="—",LEFT($AA1495,1)="—"),"",IF($Z1495="","— נדרשת הערכת כתיבה",IF($L1495="","— חסרה הבנת הנקרא",IF($Y1495="אינה מדויקת או מקוטעת",IF($AA1495="ניכרת","מיקוד בשטף הקריאה ובכישורי שפה","מיקוד בשטף קריאה"),IF($AA1495="ניכרת","מיקוד בכישורי שפה",IF(AND($L1495="תקינה",$Z1495="מפותחת"),"קוראים וכותבים מיומנים","מיקוד בהבנה והבעה"))))))</f>
        <v/>
      </c>
      <c r="AC1495" s="32">
        <f>IF(OR($AB1495="",LEFT($AB1495,1)="—"),"",IF(OR($AB1495="מיקוד בשטף קריאה",$AB1495="מיקוד בשטף הקריאה ובכישורי שפה"),"רמה א'",IF($AB1495="קוראים וכותבים מיומנים","רמה ג'","רמה ב'")))</f>
        <v/>
      </c>
      <c r="AD1495" s="32">
        <f>IF($AC1495="","",MID(IF(AND($AC1495="רמה א'",$AA1495="ניכרת"),"; להוסיף עבודת אוצר מילים","")&amp;IF($Z1495="אינה מפותחת","; דגש על הבעה בכתב","")&amp;IF($K1495&lt;&gt;"תקין","; נדרש לעבוד על ההנגנה","")&amp;IF($AK1495&lt;&gt;"","; "&amp;$AK1495,""),3,400))</f>
        <v/>
      </c>
      <c r="AE1495" s="32">
        <f>IF($F1495="","",IF($F1495="תחילת שנה",1,IF($F1495="מחצית שנה",2,3)))</f>
        <v/>
      </c>
      <c r="AF1495" s="32">
        <f>IF(OR($B1495="",$AC1495="",$A1495="",$F1495=""),"",$B1495&amp;"|"&amp;$A1495&amp;"|"&amp;$F1495&amp;"|"&amp;$AC1495&amp;"|"&amp;COUNTIFS($B$6:$B1495,$B1495,$A$6:$A1495,$A1495,$F$6:$F1495,$F1495,$AC$6:$AC1495,$AC1495))</f>
        <v/>
      </c>
      <c r="AG1495" s="32">
        <f>IF($C1495="","",$C1495&amp;"|"&amp;COUNTIFS($C$6:$C1495,$C1495))</f>
        <v/>
      </c>
      <c r="AH1495" s="32">
        <f>IF(OR($C1495="",$A1495="",$AE1495=""),"",$C1495&amp;"|"&amp;$A1495&amp;"|"&amp;$AE1495)</f>
        <v/>
      </c>
      <c r="AI1495" s="32">
        <f>IF(OR($C1495="",$AE1495="",$AE1495=1),"",IFERROR(INDEX($AC$6:$AC$1505,MATCH($C1495&amp;"|"&amp;$A1495&amp;"|"&amp;($AE1495-1),$AH$6:$AH$1505,0)),""))</f>
        <v/>
      </c>
      <c r="AJ1495" s="32">
        <f>IF(OR($AI1495="",$AC1495=""),"",IF($AI1495=$AC1495,"ללא שינוי","מ-"&amp;$AI1495&amp;" ל-"&amp;$AC1495))</f>
        <v/>
      </c>
      <c r="AK1495" s="67" t="n"/>
    </row>
    <row r="1496">
      <c r="A1496" s="65" t="n"/>
      <c r="B1496" s="65" t="n"/>
      <c r="C1496" s="66" t="n"/>
      <c r="D1496" s="66" t="n"/>
      <c r="E1496" s="65" t="n"/>
      <c r="F1496" s="65" t="n"/>
      <c r="G1496" s="65" t="n"/>
      <c r="H1496" s="65" t="n"/>
      <c r="I1496" s="65" t="n"/>
      <c r="J1496" s="65" t="n"/>
      <c r="K1496" s="65" t="n"/>
      <c r="L1496" s="65" t="n"/>
      <c r="M1496" s="65" t="n"/>
      <c r="N1496" s="65" t="n"/>
      <c r="O1496" s="65" t="n"/>
      <c r="P1496" s="65" t="n"/>
      <c r="Q1496" s="65" t="n"/>
      <c r="R1496" s="65" t="n"/>
      <c r="S1496" s="65" t="n"/>
      <c r="T1496" s="65" t="n"/>
      <c r="U1496" s="65" t="n"/>
      <c r="V1496" s="65" t="n"/>
      <c r="W1496" s="65" t="n"/>
      <c r="X1496" s="65" t="n"/>
      <c r="Y1496" s="32">
        <f>IF($C1496="","",IF(COUNTA($I1496:$K1496)&lt;3,"— חסרים נתונים",IF(AND($I1496="תקין",$J1496="תקין",$K1496="תקין"),"רהוטה",IF(AND($I1496="תקין",$J1496="תקין"),"מדויקת ורציפה","אינה מדויקת או מקוטעת"))))</f>
        <v/>
      </c>
      <c r="Z1496" s="32">
        <f>IF($C1496="","",IF(COUNTA($U1496:$W1496)&lt;3,"",IF(AND($U1496="מפותח",$V1496="מפותח",$W1496="מפותחת"),"מפותחת",IF((--($U1496="דל"))+(--($V1496="אינו מפותח"))+(--($W1496="דלה"))&gt;=2,"אינה מפותחת","חלקית"))))</f>
        <v/>
      </c>
      <c r="AA1496" s="32">
        <f>IF($C1496="","",IF(COUNTA($M1496,$N1496,$O1496)&lt;3,"— חסרים נתונים",IF(OR($M1496="נמוכה",(--($M1496&lt;&gt;"תקינה"))+(--($N1496&lt;&gt;"תקין"))+(--($O1496&lt;&gt;"תקינה"))&gt;=2),"ניכרת","אינה ניכרת")))</f>
        <v/>
      </c>
      <c r="AB1496" s="32">
        <f>IF(OR($C1496="",$Y1496="",$AA1496="",LEFT($Y1496,1)="—",LEFT($AA1496,1)="—"),"",IF($Z1496="","— נדרשת הערכת כתיבה",IF($L1496="","— חסרה הבנת הנקרא",IF($Y1496="אינה מדויקת או מקוטעת",IF($AA1496="ניכרת","מיקוד בשטף הקריאה ובכישורי שפה","מיקוד בשטף קריאה"),IF($AA1496="ניכרת","מיקוד בכישורי שפה",IF(AND($L1496="תקינה",$Z1496="מפותחת"),"קוראים וכותבים מיומנים","מיקוד בהבנה והבעה"))))))</f>
        <v/>
      </c>
      <c r="AC1496" s="32">
        <f>IF(OR($AB1496="",LEFT($AB1496,1)="—"),"",IF(OR($AB1496="מיקוד בשטף קריאה",$AB1496="מיקוד בשטף הקריאה ובכישורי שפה"),"רמה א'",IF($AB1496="קוראים וכותבים מיומנים","רמה ג'","רמה ב'")))</f>
        <v/>
      </c>
      <c r="AD1496" s="32">
        <f>IF($AC1496="","",MID(IF(AND($AC1496="רמה א'",$AA1496="ניכרת"),"; להוסיף עבודת אוצר מילים","")&amp;IF($Z1496="אינה מפותחת","; דגש על הבעה בכתב","")&amp;IF($K1496&lt;&gt;"תקין","; נדרש לעבוד על ההנגנה","")&amp;IF($AK1496&lt;&gt;"","; "&amp;$AK1496,""),3,400))</f>
        <v/>
      </c>
      <c r="AE1496" s="32">
        <f>IF($F1496="","",IF($F1496="תחילת שנה",1,IF($F1496="מחצית שנה",2,3)))</f>
        <v/>
      </c>
      <c r="AF1496" s="32">
        <f>IF(OR($B1496="",$AC1496="",$A1496="",$F1496=""),"",$B1496&amp;"|"&amp;$A1496&amp;"|"&amp;$F1496&amp;"|"&amp;$AC1496&amp;"|"&amp;COUNTIFS($B$6:$B1496,$B1496,$A$6:$A1496,$A1496,$F$6:$F1496,$F1496,$AC$6:$AC1496,$AC1496))</f>
        <v/>
      </c>
      <c r="AG1496" s="32">
        <f>IF($C1496="","",$C1496&amp;"|"&amp;COUNTIFS($C$6:$C1496,$C1496))</f>
        <v/>
      </c>
      <c r="AH1496" s="32">
        <f>IF(OR($C1496="",$A1496="",$AE1496=""),"",$C1496&amp;"|"&amp;$A1496&amp;"|"&amp;$AE1496)</f>
        <v/>
      </c>
      <c r="AI1496" s="32">
        <f>IF(OR($C1496="",$AE1496="",$AE1496=1),"",IFERROR(INDEX($AC$6:$AC$1505,MATCH($C1496&amp;"|"&amp;$A1496&amp;"|"&amp;($AE1496-1),$AH$6:$AH$1505,0)),""))</f>
        <v/>
      </c>
      <c r="AJ1496" s="32">
        <f>IF(OR($AI1496="",$AC1496=""),"",IF($AI1496=$AC1496,"ללא שינוי","מ-"&amp;$AI1496&amp;" ל-"&amp;$AC1496))</f>
        <v/>
      </c>
      <c r="AK1496" s="67" t="n"/>
    </row>
    <row r="1497">
      <c r="A1497" s="65" t="n"/>
      <c r="B1497" s="65" t="n"/>
      <c r="C1497" s="66" t="n"/>
      <c r="D1497" s="66" t="n"/>
      <c r="E1497" s="65" t="n"/>
      <c r="F1497" s="65" t="n"/>
      <c r="G1497" s="65" t="n"/>
      <c r="H1497" s="65" t="n"/>
      <c r="I1497" s="65" t="n"/>
      <c r="J1497" s="65" t="n"/>
      <c r="K1497" s="65" t="n"/>
      <c r="L1497" s="65" t="n"/>
      <c r="M1497" s="65" t="n"/>
      <c r="N1497" s="65" t="n"/>
      <c r="O1497" s="65" t="n"/>
      <c r="P1497" s="65" t="n"/>
      <c r="Q1497" s="65" t="n"/>
      <c r="R1497" s="65" t="n"/>
      <c r="S1497" s="65" t="n"/>
      <c r="T1497" s="65" t="n"/>
      <c r="U1497" s="65" t="n"/>
      <c r="V1497" s="65" t="n"/>
      <c r="W1497" s="65" t="n"/>
      <c r="X1497" s="65" t="n"/>
      <c r="Y1497" s="32">
        <f>IF($C1497="","",IF(COUNTA($I1497:$K1497)&lt;3,"— חסרים נתונים",IF(AND($I1497="תקין",$J1497="תקין",$K1497="תקין"),"רהוטה",IF(AND($I1497="תקין",$J1497="תקין"),"מדויקת ורציפה","אינה מדויקת או מקוטעת"))))</f>
        <v/>
      </c>
      <c r="Z1497" s="32">
        <f>IF($C1497="","",IF(COUNTA($U1497:$W1497)&lt;3,"",IF(AND($U1497="מפותח",$V1497="מפותח",$W1497="מפותחת"),"מפותחת",IF((--($U1497="דל"))+(--($V1497="אינו מפותח"))+(--($W1497="דלה"))&gt;=2,"אינה מפותחת","חלקית"))))</f>
        <v/>
      </c>
      <c r="AA1497" s="32">
        <f>IF($C1497="","",IF(COUNTA($M1497,$N1497,$O1497)&lt;3,"— חסרים נתונים",IF(OR($M1497="נמוכה",(--($M1497&lt;&gt;"תקינה"))+(--($N1497&lt;&gt;"תקין"))+(--($O1497&lt;&gt;"תקינה"))&gt;=2),"ניכרת","אינה ניכרת")))</f>
        <v/>
      </c>
      <c r="AB1497" s="32">
        <f>IF(OR($C1497="",$Y1497="",$AA1497="",LEFT($Y1497,1)="—",LEFT($AA1497,1)="—"),"",IF($Z1497="","— נדרשת הערכת כתיבה",IF($L1497="","— חסרה הבנת הנקרא",IF($Y1497="אינה מדויקת או מקוטעת",IF($AA1497="ניכרת","מיקוד בשטף הקריאה ובכישורי שפה","מיקוד בשטף קריאה"),IF($AA1497="ניכרת","מיקוד בכישורי שפה",IF(AND($L1497="תקינה",$Z1497="מפותחת"),"קוראים וכותבים מיומנים","מיקוד בהבנה והבעה"))))))</f>
        <v/>
      </c>
      <c r="AC1497" s="32">
        <f>IF(OR($AB1497="",LEFT($AB1497,1)="—"),"",IF(OR($AB1497="מיקוד בשטף קריאה",$AB1497="מיקוד בשטף הקריאה ובכישורי שפה"),"רמה א'",IF($AB1497="קוראים וכותבים מיומנים","רמה ג'","רמה ב'")))</f>
        <v/>
      </c>
      <c r="AD1497" s="32">
        <f>IF($AC1497="","",MID(IF(AND($AC1497="רמה א'",$AA1497="ניכרת"),"; להוסיף עבודת אוצר מילים","")&amp;IF($Z1497="אינה מפותחת","; דגש על הבעה בכתב","")&amp;IF($K1497&lt;&gt;"תקין","; נדרש לעבוד על ההנגנה","")&amp;IF($AK1497&lt;&gt;"","; "&amp;$AK1497,""),3,400))</f>
        <v/>
      </c>
      <c r="AE1497" s="32">
        <f>IF($F1497="","",IF($F1497="תחילת שנה",1,IF($F1497="מחצית שנה",2,3)))</f>
        <v/>
      </c>
      <c r="AF1497" s="32">
        <f>IF(OR($B1497="",$AC1497="",$A1497="",$F1497=""),"",$B1497&amp;"|"&amp;$A1497&amp;"|"&amp;$F1497&amp;"|"&amp;$AC1497&amp;"|"&amp;COUNTIFS($B$6:$B1497,$B1497,$A$6:$A1497,$A1497,$F$6:$F1497,$F1497,$AC$6:$AC1497,$AC1497))</f>
        <v/>
      </c>
      <c r="AG1497" s="32">
        <f>IF($C1497="","",$C1497&amp;"|"&amp;COUNTIFS($C$6:$C1497,$C1497))</f>
        <v/>
      </c>
      <c r="AH1497" s="32">
        <f>IF(OR($C1497="",$A1497="",$AE1497=""),"",$C1497&amp;"|"&amp;$A1497&amp;"|"&amp;$AE1497)</f>
        <v/>
      </c>
      <c r="AI1497" s="32">
        <f>IF(OR($C1497="",$AE1497="",$AE1497=1),"",IFERROR(INDEX($AC$6:$AC$1505,MATCH($C1497&amp;"|"&amp;$A1497&amp;"|"&amp;($AE1497-1),$AH$6:$AH$1505,0)),""))</f>
        <v/>
      </c>
      <c r="AJ1497" s="32">
        <f>IF(OR($AI1497="",$AC1497=""),"",IF($AI1497=$AC1497,"ללא שינוי","מ-"&amp;$AI1497&amp;" ל-"&amp;$AC1497))</f>
        <v/>
      </c>
      <c r="AK1497" s="67" t="n"/>
    </row>
    <row r="1498">
      <c r="A1498" s="65" t="n"/>
      <c r="B1498" s="65" t="n"/>
      <c r="C1498" s="66" t="n"/>
      <c r="D1498" s="66" t="n"/>
      <c r="E1498" s="65" t="n"/>
      <c r="F1498" s="65" t="n"/>
      <c r="G1498" s="65" t="n"/>
      <c r="H1498" s="65" t="n"/>
      <c r="I1498" s="65" t="n"/>
      <c r="J1498" s="65" t="n"/>
      <c r="K1498" s="65" t="n"/>
      <c r="L1498" s="65" t="n"/>
      <c r="M1498" s="65" t="n"/>
      <c r="N1498" s="65" t="n"/>
      <c r="O1498" s="65" t="n"/>
      <c r="P1498" s="65" t="n"/>
      <c r="Q1498" s="65" t="n"/>
      <c r="R1498" s="65" t="n"/>
      <c r="S1498" s="65" t="n"/>
      <c r="T1498" s="65" t="n"/>
      <c r="U1498" s="65" t="n"/>
      <c r="V1498" s="65" t="n"/>
      <c r="W1498" s="65" t="n"/>
      <c r="X1498" s="65" t="n"/>
      <c r="Y1498" s="32">
        <f>IF($C1498="","",IF(COUNTA($I1498:$K1498)&lt;3,"— חסרים נתונים",IF(AND($I1498="תקין",$J1498="תקין",$K1498="תקין"),"רהוטה",IF(AND($I1498="תקין",$J1498="תקין"),"מדויקת ורציפה","אינה מדויקת או מקוטעת"))))</f>
        <v/>
      </c>
      <c r="Z1498" s="32">
        <f>IF($C1498="","",IF(COUNTA($U1498:$W1498)&lt;3,"",IF(AND($U1498="מפותח",$V1498="מפותח",$W1498="מפותחת"),"מפותחת",IF((--($U1498="דל"))+(--($V1498="אינו מפותח"))+(--($W1498="דלה"))&gt;=2,"אינה מפותחת","חלקית"))))</f>
        <v/>
      </c>
      <c r="AA1498" s="32">
        <f>IF($C1498="","",IF(COUNTA($M1498,$N1498,$O1498)&lt;3,"— חסרים נתונים",IF(OR($M1498="נמוכה",(--($M1498&lt;&gt;"תקינה"))+(--($N1498&lt;&gt;"תקין"))+(--($O1498&lt;&gt;"תקינה"))&gt;=2),"ניכרת","אינה ניכרת")))</f>
        <v/>
      </c>
      <c r="AB1498" s="32">
        <f>IF(OR($C1498="",$Y1498="",$AA1498="",LEFT($Y1498,1)="—",LEFT($AA1498,1)="—"),"",IF($Z1498="","— נדרשת הערכת כתיבה",IF($L1498="","— חסרה הבנת הנקרא",IF($Y1498="אינה מדויקת או מקוטעת",IF($AA1498="ניכרת","מיקוד בשטף הקריאה ובכישורי שפה","מיקוד בשטף קריאה"),IF($AA1498="ניכרת","מיקוד בכישורי שפה",IF(AND($L1498="תקינה",$Z1498="מפותחת"),"קוראים וכותבים מיומנים","מיקוד בהבנה והבעה"))))))</f>
        <v/>
      </c>
      <c r="AC1498" s="32">
        <f>IF(OR($AB1498="",LEFT($AB1498,1)="—"),"",IF(OR($AB1498="מיקוד בשטף קריאה",$AB1498="מיקוד בשטף הקריאה ובכישורי שפה"),"רמה א'",IF($AB1498="קוראים וכותבים מיומנים","רמה ג'","רמה ב'")))</f>
        <v/>
      </c>
      <c r="AD1498" s="32">
        <f>IF($AC1498="","",MID(IF(AND($AC1498="רמה א'",$AA1498="ניכרת"),"; להוסיף עבודת אוצר מילים","")&amp;IF($Z1498="אינה מפותחת","; דגש על הבעה בכתב","")&amp;IF($K1498&lt;&gt;"תקין","; נדרש לעבוד על ההנגנה","")&amp;IF($AK1498&lt;&gt;"","; "&amp;$AK1498,""),3,400))</f>
        <v/>
      </c>
      <c r="AE1498" s="32">
        <f>IF($F1498="","",IF($F1498="תחילת שנה",1,IF($F1498="מחצית שנה",2,3)))</f>
        <v/>
      </c>
      <c r="AF1498" s="32">
        <f>IF(OR($B1498="",$AC1498="",$A1498="",$F1498=""),"",$B1498&amp;"|"&amp;$A1498&amp;"|"&amp;$F1498&amp;"|"&amp;$AC1498&amp;"|"&amp;COUNTIFS($B$6:$B1498,$B1498,$A$6:$A1498,$A1498,$F$6:$F1498,$F1498,$AC$6:$AC1498,$AC1498))</f>
        <v/>
      </c>
      <c r="AG1498" s="32">
        <f>IF($C1498="","",$C1498&amp;"|"&amp;COUNTIFS($C$6:$C1498,$C1498))</f>
        <v/>
      </c>
      <c r="AH1498" s="32">
        <f>IF(OR($C1498="",$A1498="",$AE1498=""),"",$C1498&amp;"|"&amp;$A1498&amp;"|"&amp;$AE1498)</f>
        <v/>
      </c>
      <c r="AI1498" s="32">
        <f>IF(OR($C1498="",$AE1498="",$AE1498=1),"",IFERROR(INDEX($AC$6:$AC$1505,MATCH($C1498&amp;"|"&amp;$A1498&amp;"|"&amp;($AE1498-1),$AH$6:$AH$1505,0)),""))</f>
        <v/>
      </c>
      <c r="AJ1498" s="32">
        <f>IF(OR($AI1498="",$AC1498=""),"",IF($AI1498=$AC1498,"ללא שינוי","מ-"&amp;$AI1498&amp;" ל-"&amp;$AC1498))</f>
        <v/>
      </c>
      <c r="AK1498" s="67" t="n"/>
    </row>
    <row r="1499">
      <c r="A1499" s="65" t="n"/>
      <c r="B1499" s="65" t="n"/>
      <c r="C1499" s="66" t="n"/>
      <c r="D1499" s="66" t="n"/>
      <c r="E1499" s="65" t="n"/>
      <c r="F1499" s="65" t="n"/>
      <c r="G1499" s="65" t="n"/>
      <c r="H1499" s="65" t="n"/>
      <c r="I1499" s="65" t="n"/>
      <c r="J1499" s="65" t="n"/>
      <c r="K1499" s="65" t="n"/>
      <c r="L1499" s="65" t="n"/>
      <c r="M1499" s="65" t="n"/>
      <c r="N1499" s="65" t="n"/>
      <c r="O1499" s="65" t="n"/>
      <c r="P1499" s="65" t="n"/>
      <c r="Q1499" s="65" t="n"/>
      <c r="R1499" s="65" t="n"/>
      <c r="S1499" s="65" t="n"/>
      <c r="T1499" s="65" t="n"/>
      <c r="U1499" s="65" t="n"/>
      <c r="V1499" s="65" t="n"/>
      <c r="W1499" s="65" t="n"/>
      <c r="X1499" s="65" t="n"/>
      <c r="Y1499" s="32">
        <f>IF($C1499="","",IF(COUNTA($I1499:$K1499)&lt;3,"— חסרים נתונים",IF(AND($I1499="תקין",$J1499="תקין",$K1499="תקין"),"רהוטה",IF(AND($I1499="תקין",$J1499="תקין"),"מדויקת ורציפה","אינה מדויקת או מקוטעת"))))</f>
        <v/>
      </c>
      <c r="Z1499" s="32">
        <f>IF($C1499="","",IF(COUNTA($U1499:$W1499)&lt;3,"",IF(AND($U1499="מפותח",$V1499="מפותח",$W1499="מפותחת"),"מפותחת",IF((--($U1499="דל"))+(--($V1499="אינו מפותח"))+(--($W1499="דלה"))&gt;=2,"אינה מפותחת","חלקית"))))</f>
        <v/>
      </c>
      <c r="AA1499" s="32">
        <f>IF($C1499="","",IF(COUNTA($M1499,$N1499,$O1499)&lt;3,"— חסרים נתונים",IF(OR($M1499="נמוכה",(--($M1499&lt;&gt;"תקינה"))+(--($N1499&lt;&gt;"תקין"))+(--($O1499&lt;&gt;"תקינה"))&gt;=2),"ניכרת","אינה ניכרת")))</f>
        <v/>
      </c>
      <c r="AB1499" s="32">
        <f>IF(OR($C1499="",$Y1499="",$AA1499="",LEFT($Y1499,1)="—",LEFT($AA1499,1)="—"),"",IF($Z1499="","— נדרשת הערכת כתיבה",IF($L1499="","— חסרה הבנת הנקרא",IF($Y1499="אינה מדויקת או מקוטעת",IF($AA1499="ניכרת","מיקוד בשטף הקריאה ובכישורי שפה","מיקוד בשטף קריאה"),IF($AA1499="ניכרת","מיקוד בכישורי שפה",IF(AND($L1499="תקינה",$Z1499="מפותחת"),"קוראים וכותבים מיומנים","מיקוד בהבנה והבעה"))))))</f>
        <v/>
      </c>
      <c r="AC1499" s="32">
        <f>IF(OR($AB1499="",LEFT($AB1499,1)="—"),"",IF(OR($AB1499="מיקוד בשטף קריאה",$AB1499="מיקוד בשטף הקריאה ובכישורי שפה"),"רמה א'",IF($AB1499="קוראים וכותבים מיומנים","רמה ג'","רמה ב'")))</f>
        <v/>
      </c>
      <c r="AD1499" s="32">
        <f>IF($AC1499="","",MID(IF(AND($AC1499="רמה א'",$AA1499="ניכרת"),"; להוסיף עבודת אוצר מילים","")&amp;IF($Z1499="אינה מפותחת","; דגש על הבעה בכתב","")&amp;IF($K1499&lt;&gt;"תקין","; נדרש לעבוד על ההנגנה","")&amp;IF($AK1499&lt;&gt;"","; "&amp;$AK1499,""),3,400))</f>
        <v/>
      </c>
      <c r="AE1499" s="32">
        <f>IF($F1499="","",IF($F1499="תחילת שנה",1,IF($F1499="מחצית שנה",2,3)))</f>
        <v/>
      </c>
      <c r="AF1499" s="32">
        <f>IF(OR($B1499="",$AC1499="",$A1499="",$F1499=""),"",$B1499&amp;"|"&amp;$A1499&amp;"|"&amp;$F1499&amp;"|"&amp;$AC1499&amp;"|"&amp;COUNTIFS($B$6:$B1499,$B1499,$A$6:$A1499,$A1499,$F$6:$F1499,$F1499,$AC$6:$AC1499,$AC1499))</f>
        <v/>
      </c>
      <c r="AG1499" s="32">
        <f>IF($C1499="","",$C1499&amp;"|"&amp;COUNTIFS($C$6:$C1499,$C1499))</f>
        <v/>
      </c>
      <c r="AH1499" s="32">
        <f>IF(OR($C1499="",$A1499="",$AE1499=""),"",$C1499&amp;"|"&amp;$A1499&amp;"|"&amp;$AE1499)</f>
        <v/>
      </c>
      <c r="AI1499" s="32">
        <f>IF(OR($C1499="",$AE1499="",$AE1499=1),"",IFERROR(INDEX($AC$6:$AC$1505,MATCH($C1499&amp;"|"&amp;$A1499&amp;"|"&amp;($AE1499-1),$AH$6:$AH$1505,0)),""))</f>
        <v/>
      </c>
      <c r="AJ1499" s="32">
        <f>IF(OR($AI1499="",$AC1499=""),"",IF($AI1499=$AC1499,"ללא שינוי","מ-"&amp;$AI1499&amp;" ל-"&amp;$AC1499))</f>
        <v/>
      </c>
      <c r="AK1499" s="67" t="n"/>
    </row>
    <row r="1500">
      <c r="A1500" s="65" t="n"/>
      <c r="B1500" s="65" t="n"/>
      <c r="C1500" s="66" t="n"/>
      <c r="D1500" s="66" t="n"/>
      <c r="E1500" s="65" t="n"/>
      <c r="F1500" s="65" t="n"/>
      <c r="G1500" s="65" t="n"/>
      <c r="H1500" s="65" t="n"/>
      <c r="I1500" s="65" t="n"/>
      <c r="J1500" s="65" t="n"/>
      <c r="K1500" s="65" t="n"/>
      <c r="L1500" s="65" t="n"/>
      <c r="M1500" s="65" t="n"/>
      <c r="N1500" s="65" t="n"/>
      <c r="O1500" s="65" t="n"/>
      <c r="P1500" s="65" t="n"/>
      <c r="Q1500" s="65" t="n"/>
      <c r="R1500" s="65" t="n"/>
      <c r="S1500" s="65" t="n"/>
      <c r="T1500" s="65" t="n"/>
      <c r="U1500" s="65" t="n"/>
      <c r="V1500" s="65" t="n"/>
      <c r="W1500" s="65" t="n"/>
      <c r="X1500" s="65" t="n"/>
      <c r="Y1500" s="32">
        <f>IF($C1500="","",IF(COUNTA($I1500:$K1500)&lt;3,"— חסרים נתונים",IF(AND($I1500="תקין",$J1500="תקין",$K1500="תקין"),"רהוטה",IF(AND($I1500="תקין",$J1500="תקין"),"מדויקת ורציפה","אינה מדויקת או מקוטעת"))))</f>
        <v/>
      </c>
      <c r="Z1500" s="32">
        <f>IF($C1500="","",IF(COUNTA($U1500:$W1500)&lt;3,"",IF(AND($U1500="מפותח",$V1500="מפותח",$W1500="מפותחת"),"מפותחת",IF((--($U1500="דל"))+(--($V1500="אינו מפותח"))+(--($W1500="דלה"))&gt;=2,"אינה מפותחת","חלקית"))))</f>
        <v/>
      </c>
      <c r="AA1500" s="32">
        <f>IF($C1500="","",IF(COUNTA($M1500,$N1500,$O1500)&lt;3,"— חסרים נתונים",IF(OR($M1500="נמוכה",(--($M1500&lt;&gt;"תקינה"))+(--($N1500&lt;&gt;"תקין"))+(--($O1500&lt;&gt;"תקינה"))&gt;=2),"ניכרת","אינה ניכרת")))</f>
        <v/>
      </c>
      <c r="AB1500" s="32">
        <f>IF(OR($C1500="",$Y1500="",$AA1500="",LEFT($Y1500,1)="—",LEFT($AA1500,1)="—"),"",IF($Z1500="","— נדרשת הערכת כתיבה",IF($L1500="","— חסרה הבנת הנקרא",IF($Y1500="אינה מדויקת או מקוטעת",IF($AA1500="ניכרת","מיקוד בשטף הקריאה ובכישורי שפה","מיקוד בשטף קריאה"),IF($AA1500="ניכרת","מיקוד בכישורי שפה",IF(AND($L1500="תקינה",$Z1500="מפותחת"),"קוראים וכותבים מיומנים","מיקוד בהבנה והבעה"))))))</f>
        <v/>
      </c>
      <c r="AC1500" s="32">
        <f>IF(OR($AB1500="",LEFT($AB1500,1)="—"),"",IF(OR($AB1500="מיקוד בשטף קריאה",$AB1500="מיקוד בשטף הקריאה ובכישורי שפה"),"רמה א'",IF($AB1500="קוראים וכותבים מיומנים","רמה ג'","רמה ב'")))</f>
        <v/>
      </c>
      <c r="AD1500" s="32">
        <f>IF($AC1500="","",MID(IF(AND($AC1500="רמה א'",$AA1500="ניכרת"),"; להוסיף עבודת אוצר מילים","")&amp;IF($Z1500="אינה מפותחת","; דגש על הבעה בכתב","")&amp;IF($K1500&lt;&gt;"תקין","; נדרש לעבוד על ההנגנה","")&amp;IF($AK1500&lt;&gt;"","; "&amp;$AK1500,""),3,400))</f>
        <v/>
      </c>
      <c r="AE1500" s="32">
        <f>IF($F1500="","",IF($F1500="תחילת שנה",1,IF($F1500="מחצית שנה",2,3)))</f>
        <v/>
      </c>
      <c r="AF1500" s="32">
        <f>IF(OR($B1500="",$AC1500="",$A1500="",$F1500=""),"",$B1500&amp;"|"&amp;$A1500&amp;"|"&amp;$F1500&amp;"|"&amp;$AC1500&amp;"|"&amp;COUNTIFS($B$6:$B1500,$B1500,$A$6:$A1500,$A1500,$F$6:$F1500,$F1500,$AC$6:$AC1500,$AC1500))</f>
        <v/>
      </c>
      <c r="AG1500" s="32">
        <f>IF($C1500="","",$C1500&amp;"|"&amp;COUNTIFS($C$6:$C1500,$C1500))</f>
        <v/>
      </c>
      <c r="AH1500" s="32">
        <f>IF(OR($C1500="",$A1500="",$AE1500=""),"",$C1500&amp;"|"&amp;$A1500&amp;"|"&amp;$AE1500)</f>
        <v/>
      </c>
      <c r="AI1500" s="32">
        <f>IF(OR($C1500="",$AE1500="",$AE1500=1),"",IFERROR(INDEX($AC$6:$AC$1505,MATCH($C1500&amp;"|"&amp;$A1500&amp;"|"&amp;($AE1500-1),$AH$6:$AH$1505,0)),""))</f>
        <v/>
      </c>
      <c r="AJ1500" s="32">
        <f>IF(OR($AI1500="",$AC1500=""),"",IF($AI1500=$AC1500,"ללא שינוי","מ-"&amp;$AI1500&amp;" ל-"&amp;$AC1500))</f>
        <v/>
      </c>
      <c r="AK1500" s="67" t="n"/>
    </row>
    <row r="1501">
      <c r="A1501" s="65" t="n"/>
      <c r="B1501" s="65" t="n"/>
      <c r="C1501" s="66" t="n"/>
      <c r="D1501" s="66" t="n"/>
      <c r="E1501" s="65" t="n"/>
      <c r="F1501" s="65" t="n"/>
      <c r="G1501" s="65" t="n"/>
      <c r="H1501" s="65" t="n"/>
      <c r="I1501" s="65" t="n"/>
      <c r="J1501" s="65" t="n"/>
      <c r="K1501" s="65" t="n"/>
      <c r="L1501" s="65" t="n"/>
      <c r="M1501" s="65" t="n"/>
      <c r="N1501" s="65" t="n"/>
      <c r="O1501" s="65" t="n"/>
      <c r="P1501" s="65" t="n"/>
      <c r="Q1501" s="65" t="n"/>
      <c r="R1501" s="65" t="n"/>
      <c r="S1501" s="65" t="n"/>
      <c r="T1501" s="65" t="n"/>
      <c r="U1501" s="65" t="n"/>
      <c r="V1501" s="65" t="n"/>
      <c r="W1501" s="65" t="n"/>
      <c r="X1501" s="65" t="n"/>
      <c r="Y1501" s="32">
        <f>IF($C1501="","",IF(COUNTA($I1501:$K1501)&lt;3,"— חסרים נתונים",IF(AND($I1501="תקין",$J1501="תקין",$K1501="תקין"),"רהוטה",IF(AND($I1501="תקין",$J1501="תקין"),"מדויקת ורציפה","אינה מדויקת או מקוטעת"))))</f>
        <v/>
      </c>
      <c r="Z1501" s="32">
        <f>IF($C1501="","",IF(COUNTA($U1501:$W1501)&lt;3,"",IF(AND($U1501="מפותח",$V1501="מפותח",$W1501="מפותחת"),"מפותחת",IF((--($U1501="דל"))+(--($V1501="אינו מפותח"))+(--($W1501="דלה"))&gt;=2,"אינה מפותחת","חלקית"))))</f>
        <v/>
      </c>
      <c r="AA1501" s="32">
        <f>IF($C1501="","",IF(COUNTA($M1501,$N1501,$O1501)&lt;3,"— חסרים נתונים",IF(OR($M1501="נמוכה",(--($M1501&lt;&gt;"תקינה"))+(--($N1501&lt;&gt;"תקין"))+(--($O1501&lt;&gt;"תקינה"))&gt;=2),"ניכרת","אינה ניכרת")))</f>
        <v/>
      </c>
      <c r="AB1501" s="32">
        <f>IF(OR($C1501="",$Y1501="",$AA1501="",LEFT($Y1501,1)="—",LEFT($AA1501,1)="—"),"",IF($Z1501="","— נדרשת הערכת כתיבה",IF($L1501="","— חסרה הבנת הנקרא",IF($Y1501="אינה מדויקת או מקוטעת",IF($AA1501="ניכרת","מיקוד בשטף הקריאה ובכישורי שפה","מיקוד בשטף קריאה"),IF($AA1501="ניכרת","מיקוד בכישורי שפה",IF(AND($L1501="תקינה",$Z1501="מפותחת"),"קוראים וכותבים מיומנים","מיקוד בהבנה והבעה"))))))</f>
        <v/>
      </c>
      <c r="AC1501" s="32">
        <f>IF(OR($AB1501="",LEFT($AB1501,1)="—"),"",IF(OR($AB1501="מיקוד בשטף קריאה",$AB1501="מיקוד בשטף הקריאה ובכישורי שפה"),"רמה א'",IF($AB1501="קוראים וכותבים מיומנים","רמה ג'","רמה ב'")))</f>
        <v/>
      </c>
      <c r="AD1501" s="32">
        <f>IF($AC1501="","",MID(IF(AND($AC1501="רמה א'",$AA1501="ניכרת"),"; להוסיף עבודת אוצר מילים","")&amp;IF($Z1501="אינה מפותחת","; דגש על הבעה בכתב","")&amp;IF($K1501&lt;&gt;"תקין","; נדרש לעבוד על ההנגנה","")&amp;IF($AK1501&lt;&gt;"","; "&amp;$AK1501,""),3,400))</f>
        <v/>
      </c>
      <c r="AE1501" s="32">
        <f>IF($F1501="","",IF($F1501="תחילת שנה",1,IF($F1501="מחצית שנה",2,3)))</f>
        <v/>
      </c>
      <c r="AF1501" s="32">
        <f>IF(OR($B1501="",$AC1501="",$A1501="",$F1501=""),"",$B1501&amp;"|"&amp;$A1501&amp;"|"&amp;$F1501&amp;"|"&amp;$AC1501&amp;"|"&amp;COUNTIFS($B$6:$B1501,$B1501,$A$6:$A1501,$A1501,$F$6:$F1501,$F1501,$AC$6:$AC1501,$AC1501))</f>
        <v/>
      </c>
      <c r="AG1501" s="32">
        <f>IF($C1501="","",$C1501&amp;"|"&amp;COUNTIFS($C$6:$C1501,$C1501))</f>
        <v/>
      </c>
      <c r="AH1501" s="32">
        <f>IF(OR($C1501="",$A1501="",$AE1501=""),"",$C1501&amp;"|"&amp;$A1501&amp;"|"&amp;$AE1501)</f>
        <v/>
      </c>
      <c r="AI1501" s="32">
        <f>IF(OR($C1501="",$AE1501="",$AE1501=1),"",IFERROR(INDEX($AC$6:$AC$1505,MATCH($C1501&amp;"|"&amp;$A1501&amp;"|"&amp;($AE1501-1),$AH$6:$AH$1505,0)),""))</f>
        <v/>
      </c>
      <c r="AJ1501" s="32">
        <f>IF(OR($AI1501="",$AC1501=""),"",IF($AI1501=$AC1501,"ללא שינוי","מ-"&amp;$AI1501&amp;" ל-"&amp;$AC1501))</f>
        <v/>
      </c>
      <c r="AK1501" s="67" t="n"/>
    </row>
    <row r="1502">
      <c r="A1502" s="65" t="n"/>
      <c r="B1502" s="65" t="n"/>
      <c r="C1502" s="66" t="n"/>
      <c r="D1502" s="66" t="n"/>
      <c r="E1502" s="65" t="n"/>
      <c r="F1502" s="65" t="n"/>
      <c r="G1502" s="65" t="n"/>
      <c r="H1502" s="65" t="n"/>
      <c r="I1502" s="65" t="n"/>
      <c r="J1502" s="65" t="n"/>
      <c r="K1502" s="65" t="n"/>
      <c r="L1502" s="65" t="n"/>
      <c r="M1502" s="65" t="n"/>
      <c r="N1502" s="65" t="n"/>
      <c r="O1502" s="65" t="n"/>
      <c r="P1502" s="65" t="n"/>
      <c r="Q1502" s="65" t="n"/>
      <c r="R1502" s="65" t="n"/>
      <c r="S1502" s="65" t="n"/>
      <c r="T1502" s="65" t="n"/>
      <c r="U1502" s="65" t="n"/>
      <c r="V1502" s="65" t="n"/>
      <c r="W1502" s="65" t="n"/>
      <c r="X1502" s="65" t="n"/>
      <c r="Y1502" s="32">
        <f>IF($C1502="","",IF(COUNTA($I1502:$K1502)&lt;3,"— חסרים נתונים",IF(AND($I1502="תקין",$J1502="תקין",$K1502="תקין"),"רהוטה",IF(AND($I1502="תקין",$J1502="תקין"),"מדויקת ורציפה","אינה מדויקת או מקוטעת"))))</f>
        <v/>
      </c>
      <c r="Z1502" s="32">
        <f>IF($C1502="","",IF(COUNTA($U1502:$W1502)&lt;3,"",IF(AND($U1502="מפותח",$V1502="מפותח",$W1502="מפותחת"),"מפותחת",IF((--($U1502="דל"))+(--($V1502="אינו מפותח"))+(--($W1502="דלה"))&gt;=2,"אינה מפותחת","חלקית"))))</f>
        <v/>
      </c>
      <c r="AA1502" s="32">
        <f>IF($C1502="","",IF(COUNTA($M1502,$N1502,$O1502)&lt;3,"— חסרים נתונים",IF(OR($M1502="נמוכה",(--($M1502&lt;&gt;"תקינה"))+(--($N1502&lt;&gt;"תקין"))+(--($O1502&lt;&gt;"תקינה"))&gt;=2),"ניכרת","אינה ניכרת")))</f>
        <v/>
      </c>
      <c r="AB1502" s="32">
        <f>IF(OR($C1502="",$Y1502="",$AA1502="",LEFT($Y1502,1)="—",LEFT($AA1502,1)="—"),"",IF($Z1502="","— נדרשת הערכת כתיבה",IF($L1502="","— חסרה הבנת הנקרא",IF($Y1502="אינה מדויקת או מקוטעת",IF($AA1502="ניכרת","מיקוד בשטף הקריאה ובכישורי שפה","מיקוד בשטף קריאה"),IF($AA1502="ניכרת","מיקוד בכישורי שפה",IF(AND($L1502="תקינה",$Z1502="מפותחת"),"קוראים וכותבים מיומנים","מיקוד בהבנה והבעה"))))))</f>
        <v/>
      </c>
      <c r="AC1502" s="32">
        <f>IF(OR($AB1502="",LEFT($AB1502,1)="—"),"",IF(OR($AB1502="מיקוד בשטף קריאה",$AB1502="מיקוד בשטף הקריאה ובכישורי שפה"),"רמה א'",IF($AB1502="קוראים וכותבים מיומנים","רמה ג'","רמה ב'")))</f>
        <v/>
      </c>
      <c r="AD1502" s="32">
        <f>IF($AC1502="","",MID(IF(AND($AC1502="רמה א'",$AA1502="ניכרת"),"; להוסיף עבודת אוצר מילים","")&amp;IF($Z1502="אינה מפותחת","; דגש על הבעה בכתב","")&amp;IF($K1502&lt;&gt;"תקין","; נדרש לעבוד על ההנגנה","")&amp;IF($AK1502&lt;&gt;"","; "&amp;$AK1502,""),3,400))</f>
        <v/>
      </c>
      <c r="AE1502" s="32">
        <f>IF($F1502="","",IF($F1502="תחילת שנה",1,IF($F1502="מחצית שנה",2,3)))</f>
        <v/>
      </c>
      <c r="AF1502" s="32">
        <f>IF(OR($B1502="",$AC1502="",$A1502="",$F1502=""),"",$B1502&amp;"|"&amp;$A1502&amp;"|"&amp;$F1502&amp;"|"&amp;$AC1502&amp;"|"&amp;COUNTIFS($B$6:$B1502,$B1502,$A$6:$A1502,$A1502,$F$6:$F1502,$F1502,$AC$6:$AC1502,$AC1502))</f>
        <v/>
      </c>
      <c r="AG1502" s="32">
        <f>IF($C1502="","",$C1502&amp;"|"&amp;COUNTIFS($C$6:$C1502,$C1502))</f>
        <v/>
      </c>
      <c r="AH1502" s="32">
        <f>IF(OR($C1502="",$A1502="",$AE1502=""),"",$C1502&amp;"|"&amp;$A1502&amp;"|"&amp;$AE1502)</f>
        <v/>
      </c>
      <c r="AI1502" s="32">
        <f>IF(OR($C1502="",$AE1502="",$AE1502=1),"",IFERROR(INDEX($AC$6:$AC$1505,MATCH($C1502&amp;"|"&amp;$A1502&amp;"|"&amp;($AE1502-1),$AH$6:$AH$1505,0)),""))</f>
        <v/>
      </c>
      <c r="AJ1502" s="32">
        <f>IF(OR($AI1502="",$AC1502=""),"",IF($AI1502=$AC1502,"ללא שינוי","מ-"&amp;$AI1502&amp;" ל-"&amp;$AC1502))</f>
        <v/>
      </c>
      <c r="AK1502" s="67" t="n"/>
    </row>
    <row r="1503">
      <c r="A1503" s="65" t="n"/>
      <c r="B1503" s="65" t="n"/>
      <c r="C1503" s="66" t="n"/>
      <c r="D1503" s="66" t="n"/>
      <c r="E1503" s="65" t="n"/>
      <c r="F1503" s="65" t="n"/>
      <c r="G1503" s="65" t="n"/>
      <c r="H1503" s="65" t="n"/>
      <c r="I1503" s="65" t="n"/>
      <c r="J1503" s="65" t="n"/>
      <c r="K1503" s="65" t="n"/>
      <c r="L1503" s="65" t="n"/>
      <c r="M1503" s="65" t="n"/>
      <c r="N1503" s="65" t="n"/>
      <c r="O1503" s="65" t="n"/>
      <c r="P1503" s="65" t="n"/>
      <c r="Q1503" s="65" t="n"/>
      <c r="R1503" s="65" t="n"/>
      <c r="S1503" s="65" t="n"/>
      <c r="T1503" s="65" t="n"/>
      <c r="U1503" s="65" t="n"/>
      <c r="V1503" s="65" t="n"/>
      <c r="W1503" s="65" t="n"/>
      <c r="X1503" s="65" t="n"/>
      <c r="Y1503" s="32">
        <f>IF($C1503="","",IF(COUNTA($I1503:$K1503)&lt;3,"— חסרים נתונים",IF(AND($I1503="תקין",$J1503="תקין",$K1503="תקין"),"רהוטה",IF(AND($I1503="תקין",$J1503="תקין"),"מדויקת ורציפה","אינה מדויקת או מקוטעת"))))</f>
        <v/>
      </c>
      <c r="Z1503" s="32">
        <f>IF($C1503="","",IF(COUNTA($U1503:$W1503)&lt;3,"",IF(AND($U1503="מפותח",$V1503="מפותח",$W1503="מפותחת"),"מפותחת",IF((--($U1503="דל"))+(--($V1503="אינו מפותח"))+(--($W1503="דלה"))&gt;=2,"אינה מפותחת","חלקית"))))</f>
        <v/>
      </c>
      <c r="AA1503" s="32">
        <f>IF($C1503="","",IF(COUNTA($M1503,$N1503,$O1503)&lt;3,"— חסרים נתונים",IF(OR($M1503="נמוכה",(--($M1503&lt;&gt;"תקינה"))+(--($N1503&lt;&gt;"תקין"))+(--($O1503&lt;&gt;"תקינה"))&gt;=2),"ניכרת","אינה ניכרת")))</f>
        <v/>
      </c>
      <c r="AB1503" s="32">
        <f>IF(OR($C1503="",$Y1503="",$AA1503="",LEFT($Y1503,1)="—",LEFT($AA1503,1)="—"),"",IF($Z1503="","— נדרשת הערכת כתיבה",IF($L1503="","— חסרה הבנת הנקרא",IF($Y1503="אינה מדויקת או מקוטעת",IF($AA1503="ניכרת","מיקוד בשטף הקריאה ובכישורי שפה","מיקוד בשטף קריאה"),IF($AA1503="ניכרת","מיקוד בכישורי שפה",IF(AND($L1503="תקינה",$Z1503="מפותחת"),"קוראים וכותבים מיומנים","מיקוד בהבנה והבעה"))))))</f>
        <v/>
      </c>
      <c r="AC1503" s="32">
        <f>IF(OR($AB1503="",LEFT($AB1503,1)="—"),"",IF(OR($AB1503="מיקוד בשטף קריאה",$AB1503="מיקוד בשטף הקריאה ובכישורי שפה"),"רמה א'",IF($AB1503="קוראים וכותבים מיומנים","רמה ג'","רמה ב'")))</f>
        <v/>
      </c>
      <c r="AD1503" s="32">
        <f>IF($AC1503="","",MID(IF(AND($AC1503="רמה א'",$AA1503="ניכרת"),"; להוסיף עבודת אוצר מילים","")&amp;IF($Z1503="אינה מפותחת","; דגש על הבעה בכתב","")&amp;IF($K1503&lt;&gt;"תקין","; נדרש לעבוד על ההנגנה","")&amp;IF($AK1503&lt;&gt;"","; "&amp;$AK1503,""),3,400))</f>
        <v/>
      </c>
      <c r="AE1503" s="32">
        <f>IF($F1503="","",IF($F1503="תחילת שנה",1,IF($F1503="מחצית שנה",2,3)))</f>
        <v/>
      </c>
      <c r="AF1503" s="32">
        <f>IF(OR($B1503="",$AC1503="",$A1503="",$F1503=""),"",$B1503&amp;"|"&amp;$A1503&amp;"|"&amp;$F1503&amp;"|"&amp;$AC1503&amp;"|"&amp;COUNTIFS($B$6:$B1503,$B1503,$A$6:$A1503,$A1503,$F$6:$F1503,$F1503,$AC$6:$AC1503,$AC1503))</f>
        <v/>
      </c>
      <c r="AG1503" s="32">
        <f>IF($C1503="","",$C1503&amp;"|"&amp;COUNTIFS($C$6:$C1503,$C1503))</f>
        <v/>
      </c>
      <c r="AH1503" s="32">
        <f>IF(OR($C1503="",$A1503="",$AE1503=""),"",$C1503&amp;"|"&amp;$A1503&amp;"|"&amp;$AE1503)</f>
        <v/>
      </c>
      <c r="AI1503" s="32">
        <f>IF(OR($C1503="",$AE1503="",$AE1503=1),"",IFERROR(INDEX($AC$6:$AC$1505,MATCH($C1503&amp;"|"&amp;$A1503&amp;"|"&amp;($AE1503-1),$AH$6:$AH$1505,0)),""))</f>
        <v/>
      </c>
      <c r="AJ1503" s="32">
        <f>IF(OR($AI1503="",$AC1503=""),"",IF($AI1503=$AC1503,"ללא שינוי","מ-"&amp;$AI1503&amp;" ל-"&amp;$AC1503))</f>
        <v/>
      </c>
      <c r="AK1503" s="67" t="n"/>
    </row>
    <row r="1504">
      <c r="A1504" s="65" t="n"/>
      <c r="B1504" s="65" t="n"/>
      <c r="C1504" s="66" t="n"/>
      <c r="D1504" s="66" t="n"/>
      <c r="E1504" s="65" t="n"/>
      <c r="F1504" s="65" t="n"/>
      <c r="G1504" s="65" t="n"/>
      <c r="H1504" s="65" t="n"/>
      <c r="I1504" s="65" t="n"/>
      <c r="J1504" s="65" t="n"/>
      <c r="K1504" s="65" t="n"/>
      <c r="L1504" s="65" t="n"/>
      <c r="M1504" s="65" t="n"/>
      <c r="N1504" s="65" t="n"/>
      <c r="O1504" s="65" t="n"/>
      <c r="P1504" s="65" t="n"/>
      <c r="Q1504" s="65" t="n"/>
      <c r="R1504" s="65" t="n"/>
      <c r="S1504" s="65" t="n"/>
      <c r="T1504" s="65" t="n"/>
      <c r="U1504" s="65" t="n"/>
      <c r="V1504" s="65" t="n"/>
      <c r="W1504" s="65" t="n"/>
      <c r="X1504" s="65" t="n"/>
      <c r="Y1504" s="32">
        <f>IF($C1504="","",IF(COUNTA($I1504:$K1504)&lt;3,"— חסרים נתונים",IF(AND($I1504="תקין",$J1504="תקין",$K1504="תקין"),"רהוטה",IF(AND($I1504="תקין",$J1504="תקין"),"מדויקת ורציפה","אינה מדויקת או מקוטעת"))))</f>
        <v/>
      </c>
      <c r="Z1504" s="32">
        <f>IF($C1504="","",IF(COUNTA($U1504:$W1504)&lt;3,"",IF(AND($U1504="מפותח",$V1504="מפותח",$W1504="מפותחת"),"מפותחת",IF((--($U1504="דל"))+(--($V1504="אינו מפותח"))+(--($W1504="דלה"))&gt;=2,"אינה מפותחת","חלקית"))))</f>
        <v/>
      </c>
      <c r="AA1504" s="32">
        <f>IF($C1504="","",IF(COUNTA($M1504,$N1504,$O1504)&lt;3,"— חסרים נתונים",IF(OR($M1504="נמוכה",(--($M1504&lt;&gt;"תקינה"))+(--($N1504&lt;&gt;"תקין"))+(--($O1504&lt;&gt;"תקינה"))&gt;=2),"ניכרת","אינה ניכרת")))</f>
        <v/>
      </c>
      <c r="AB1504" s="32">
        <f>IF(OR($C1504="",$Y1504="",$AA1504="",LEFT($Y1504,1)="—",LEFT($AA1504,1)="—"),"",IF($Z1504="","— נדרשת הערכת כתיבה",IF($L1504="","— חסרה הבנת הנקרא",IF($Y1504="אינה מדויקת או מקוטעת",IF($AA1504="ניכרת","מיקוד בשטף הקריאה ובכישורי שפה","מיקוד בשטף קריאה"),IF($AA1504="ניכרת","מיקוד בכישורי שפה",IF(AND($L1504="תקינה",$Z1504="מפותחת"),"קוראים וכותבים מיומנים","מיקוד בהבנה והבעה"))))))</f>
        <v/>
      </c>
      <c r="AC1504" s="32">
        <f>IF(OR($AB1504="",LEFT($AB1504,1)="—"),"",IF(OR($AB1504="מיקוד בשטף קריאה",$AB1504="מיקוד בשטף הקריאה ובכישורי שפה"),"רמה א'",IF($AB1504="קוראים וכותבים מיומנים","רמה ג'","רמה ב'")))</f>
        <v/>
      </c>
      <c r="AD1504" s="32">
        <f>IF($AC1504="","",MID(IF(AND($AC1504="רמה א'",$AA1504="ניכרת"),"; להוסיף עבודת אוצר מילים","")&amp;IF($Z1504="אינה מפותחת","; דגש על הבעה בכתב","")&amp;IF($K1504&lt;&gt;"תקין","; נדרש לעבוד על ההנגנה","")&amp;IF($AK1504&lt;&gt;"","; "&amp;$AK1504,""),3,400))</f>
        <v/>
      </c>
      <c r="AE1504" s="32">
        <f>IF($F1504="","",IF($F1504="תחילת שנה",1,IF($F1504="מחצית שנה",2,3)))</f>
        <v/>
      </c>
      <c r="AF1504" s="32">
        <f>IF(OR($B1504="",$AC1504="",$A1504="",$F1504=""),"",$B1504&amp;"|"&amp;$A1504&amp;"|"&amp;$F1504&amp;"|"&amp;$AC1504&amp;"|"&amp;COUNTIFS($B$6:$B1504,$B1504,$A$6:$A1504,$A1504,$F$6:$F1504,$F1504,$AC$6:$AC1504,$AC1504))</f>
        <v/>
      </c>
      <c r="AG1504" s="32">
        <f>IF($C1504="","",$C1504&amp;"|"&amp;COUNTIFS($C$6:$C1504,$C1504))</f>
        <v/>
      </c>
      <c r="AH1504" s="32">
        <f>IF(OR($C1504="",$A1504="",$AE1504=""),"",$C1504&amp;"|"&amp;$A1504&amp;"|"&amp;$AE1504)</f>
        <v/>
      </c>
      <c r="AI1504" s="32">
        <f>IF(OR($C1504="",$AE1504="",$AE1504=1),"",IFERROR(INDEX($AC$6:$AC$1505,MATCH($C1504&amp;"|"&amp;$A1504&amp;"|"&amp;($AE1504-1),$AH$6:$AH$1505,0)),""))</f>
        <v/>
      </c>
      <c r="AJ1504" s="32">
        <f>IF(OR($AI1504="",$AC1504=""),"",IF($AI1504=$AC1504,"ללא שינוי","מ-"&amp;$AI1504&amp;" ל-"&amp;$AC1504))</f>
        <v/>
      </c>
      <c r="AK1504" s="67" t="n"/>
    </row>
    <row r="1505">
      <c r="A1505" s="65" t="n"/>
      <c r="B1505" s="65" t="n"/>
      <c r="C1505" s="66" t="n"/>
      <c r="D1505" s="66" t="n"/>
      <c r="E1505" s="65" t="n"/>
      <c r="F1505" s="65" t="n"/>
      <c r="G1505" s="65" t="n"/>
      <c r="H1505" s="65" t="n"/>
      <c r="I1505" s="65" t="n"/>
      <c r="J1505" s="65" t="n"/>
      <c r="K1505" s="65" t="n"/>
      <c r="L1505" s="65" t="n"/>
      <c r="M1505" s="65" t="n"/>
      <c r="N1505" s="65" t="n"/>
      <c r="O1505" s="65" t="n"/>
      <c r="P1505" s="65" t="n"/>
      <c r="Q1505" s="65" t="n"/>
      <c r="R1505" s="65" t="n"/>
      <c r="S1505" s="65" t="n"/>
      <c r="T1505" s="65" t="n"/>
      <c r="U1505" s="65" t="n"/>
      <c r="V1505" s="65" t="n"/>
      <c r="W1505" s="65" t="n"/>
      <c r="X1505" s="65" t="n"/>
      <c r="Y1505" s="32">
        <f>IF($C1505="","",IF(COUNTA($I1505:$K1505)&lt;3,"— חסרים נתונים",IF(AND($I1505="תקין",$J1505="תקין",$K1505="תקין"),"רהוטה",IF(AND($I1505="תקין",$J1505="תקין"),"מדויקת ורציפה","אינה מדויקת או מקוטעת"))))</f>
        <v/>
      </c>
      <c r="Z1505" s="32">
        <f>IF($C1505="","",IF(COUNTA($U1505:$W1505)&lt;3,"",IF(AND($U1505="מפותח",$V1505="מפותח",$W1505="מפותחת"),"מפותחת",IF((--($U1505="דל"))+(--($V1505="אינו מפותח"))+(--($W1505="דלה"))&gt;=2,"אינה מפותחת","חלקית"))))</f>
        <v/>
      </c>
      <c r="AA1505" s="32">
        <f>IF($C1505="","",IF(COUNTA($M1505,$N1505,$O1505)&lt;3,"— חסרים נתונים",IF(OR($M1505="נמוכה",(--($M1505&lt;&gt;"תקינה"))+(--($N1505&lt;&gt;"תקין"))+(--($O1505&lt;&gt;"תקינה"))&gt;=2),"ניכרת","אינה ניכרת")))</f>
        <v/>
      </c>
      <c r="AB1505" s="32">
        <f>IF(OR($C1505="",$Y1505="",$AA1505="",LEFT($Y1505,1)="—",LEFT($AA1505,1)="—"),"",IF($Z1505="","— נדרשת הערכת כתיבה",IF($L1505="","— חסרה הבנת הנקרא",IF($Y1505="אינה מדויקת או מקוטעת",IF($AA1505="ניכרת","מיקוד בשטף הקריאה ובכישורי שפה","מיקוד בשטף קריאה"),IF($AA1505="ניכרת","מיקוד בכישורי שפה",IF(AND($L1505="תקינה",$Z1505="מפותחת"),"קוראים וכותבים מיומנים","מיקוד בהבנה והבעה"))))))</f>
        <v/>
      </c>
      <c r="AC1505" s="32">
        <f>IF(OR($AB1505="",LEFT($AB1505,1)="—"),"",IF(OR($AB1505="מיקוד בשטף קריאה",$AB1505="מיקוד בשטף הקריאה ובכישורי שפה"),"רמה א'",IF($AB1505="קוראים וכותבים מיומנים","רמה ג'","רמה ב'")))</f>
        <v/>
      </c>
      <c r="AD1505" s="32">
        <f>IF($AC1505="","",MID(IF(AND($AC1505="רמה א'",$AA1505="ניכרת"),"; להוסיף עבודת אוצר מילים","")&amp;IF($Z1505="אינה מפותחת","; דגש על הבעה בכתב","")&amp;IF($K1505&lt;&gt;"תקין","; נדרש לעבוד על ההנגנה","")&amp;IF($AK1505&lt;&gt;"","; "&amp;$AK1505,""),3,400))</f>
        <v/>
      </c>
      <c r="AE1505" s="32">
        <f>IF($F1505="","",IF($F1505="תחילת שנה",1,IF($F1505="מחצית שנה",2,3)))</f>
        <v/>
      </c>
      <c r="AF1505" s="32">
        <f>IF(OR($B1505="",$AC1505="",$A1505="",$F1505=""),"",$B1505&amp;"|"&amp;$A1505&amp;"|"&amp;$F1505&amp;"|"&amp;$AC1505&amp;"|"&amp;COUNTIFS($B$6:$B1505,$B1505,$A$6:$A1505,$A1505,$F$6:$F1505,$F1505,$AC$6:$AC1505,$AC1505))</f>
        <v/>
      </c>
      <c r="AG1505" s="32">
        <f>IF($C1505="","",$C1505&amp;"|"&amp;COUNTIFS($C$6:$C1505,$C1505))</f>
        <v/>
      </c>
      <c r="AH1505" s="32">
        <f>IF(OR($C1505="",$A1505="",$AE1505=""),"",$C1505&amp;"|"&amp;$A1505&amp;"|"&amp;$AE1505)</f>
        <v/>
      </c>
      <c r="AI1505" s="32">
        <f>IF(OR($C1505="",$AE1505="",$AE1505=1),"",IFERROR(INDEX($AC$6:$AC$1505,MATCH($C1505&amp;"|"&amp;$A1505&amp;"|"&amp;($AE1505-1),$AH$6:$AH$1505,0)),""))</f>
        <v/>
      </c>
      <c r="AJ1505" s="32">
        <f>IF(OR($AI1505="",$AC1505=""),"",IF($AI1505=$AC1505,"ללא שינוי","מ-"&amp;$AI1505&amp;" ל-"&amp;$AC1505))</f>
        <v/>
      </c>
      <c r="AK1505" s="67" t="n"/>
    </row>
  </sheetData>
  <mergeCells count="5">
    <mergeCell ref="G4:M4"/>
    <mergeCell ref="A4:F4"/>
    <mergeCell ref="N4:P4"/>
    <mergeCell ref="Y4:AJ4"/>
    <mergeCell ref="Q4:X4"/>
  </mergeCells>
  <conditionalFormatting sqref="AC6:AC1505">
    <cfRule type="cellIs" priority="1" operator="equal" dxfId="3">
      <formula>"רמה א'"</formula>
    </cfRule>
    <cfRule type="cellIs" priority="2" operator="equal" dxfId="2">
      <formula>"רמה ב'"</formula>
    </cfRule>
    <cfRule type="cellIs" priority="3" operator="equal" dxfId="5">
      <formula>"רמה ג'"</formula>
    </cfRule>
  </conditionalFormatting>
  <conditionalFormatting sqref="AJ6:AJ1505">
    <cfRule type="cellIs" priority="4" operator="equal" dxfId="2">
      <formula>"ללא שינוי"</formula>
    </cfRule>
  </conditionalFormatting>
  <dataValidations count="17">
    <dataValidation sqref="F6:F1505" showDropDown="0" showInputMessage="1" showErrorMessage="1" allowBlank="1" prompt="ערך לא חוקי - יש לבחור ערך מתוך הרשימה" type="list">
      <formula1>"תחילת שנה,מחצית שנה,סוף השנה"</formula1>
    </dataValidation>
    <dataValidation sqref="P6:P1505" showDropDown="0" showInputMessage="1" showErrorMessage="1" allowBlank="1" prompt="ערך לא חוקי - יש לבחור ערך מתוך הרשימה" type="list">
      <formula1>"פעילה,חלקית,ממעט להשתתף"</formula1>
    </dataValidation>
    <dataValidation sqref="X6:X1505" showDropDown="0" showInputMessage="1" showErrorMessage="1" allowBlank="1" prompt="ערך לא חוקי - יש לבחור ערך מתוך הרשימה" type="list">
      <formula1>"כותב ברצון,כותב בהיסוס,נמנע מכתיבה"</formula1>
    </dataValidation>
    <dataValidation sqref="Q6:Q1505" showDropDown="0" showInputMessage="1" showErrorMessage="1" allowBlank="1" prompt="ערך לא חוקי - יש לבחור ערך מתוך הרשימה" type="list">
      <formula1>"פעימה ראשונה,פעימה שנייה,טרם נבדק"</formula1>
    </dataValidation>
    <dataValidation sqref="W6:W1505" showDropDown="0" showInputMessage="1" showErrorMessage="1" allowBlank="1" prompt="ערך לא חוקי - יש לבחור ערך מתוך הרשימה" type="list">
      <formula1>"מפותחת,חלקית,דלה"</formula1>
    </dataValidation>
    <dataValidation sqref="R6:R1505" showDropDown="0" showInputMessage="1" showErrorMessage="1" allowBlank="1" prompt="ערך לא חוקי - יש לבחור ערך מתוך הרשימה" type="list">
      <formula1>"מאפיינים סיפוריים,מאפיינים מידעיים,מאפיינים רפלקטיביים"</formula1>
    </dataValidation>
    <dataValidation sqref="G6:G1505" showDropDown="0" showInputMessage="1" showErrorMessage="1" allowBlank="1" prompt="ערך לא חוקי - יש לבחור ערך מתוך הרשימה" type="list">
      <formula1>"רמת כיתה ב',רמת כיתה ג',רמת כיתה ד',רמת כיתה ה',רמת כיתה ו'"</formula1>
    </dataValidation>
    <dataValidation sqref="S6:S1505" showDropDown="0" showInputMessage="1" showErrorMessage="1" allowBlank="1" prompt="ערך לא חוקי - יש לבחור ערך מתוך הרשימה" type="list">
      <formula1>"קריא ומאורגן,קריא חלקית,אינו קריא"</formula1>
    </dataValidation>
    <dataValidation sqref="H6:H1505" showDropDown="0" showInputMessage="1" showErrorMessage="1" allowBlank="1" prompt="ערך לא חוקי - יש לבחור ערך מתוך הרשימה" type="list">
      <formula1>"כתב מנוקד,כתב לא מנוקד"</formula1>
    </dataValidation>
    <dataValidation sqref="O6:O1505" showDropDown="0" showInputMessage="1" showErrorMessage="1" allowBlank="1" prompt="ערך לא חוקי - יש לבחור ערך מתוך הרשימה" type="list">
      <formula1>"תקינה,חלקית,מוגבלת"</formula1>
    </dataValidation>
    <dataValidation sqref="V6:V1505" showDropDown="0" showInputMessage="1" showErrorMessage="1" allowBlank="1" prompt="ערך לא חוקי - יש לבחור ערך מתוך הרשימה" type="list">
      <formula1>"מפותח,חלקי,אינו מפותח"</formula1>
    </dataValidation>
    <dataValidation sqref="I6:K1505 T6:T1505" showDropDown="0" showInputMessage="1" showErrorMessage="1" allowBlank="1" prompt="ערך לא חוקי - יש לבחור ערך מתוך הרשימה" type="list">
      <formula1>"תקין,חלקי,לא מבוסס"</formula1>
    </dataValidation>
    <dataValidation sqref="B6:B1505" showDropDown="0" showInputMessage="1" showErrorMessage="1" allowBlank="1" prompt="ערך לא חוקי - יש לבחור ערך מתוך הרשימה" type="list">
      <formula1>'רשימות'!$A$5:$A$34</formula1>
    </dataValidation>
    <dataValidation sqref="L6:M1505" showDropDown="0" showInputMessage="1" showErrorMessage="1" allowBlank="1" prompt="ערך לא חוקי - יש לבחור ערך מתוך הרשימה" type="list">
      <formula1>"תקינה,חלקית,נמוכה"</formula1>
    </dataValidation>
    <dataValidation sqref="U6:U1505" showDropDown="0" showInputMessage="1" showErrorMessage="1" allowBlank="1" prompt="ערך לא חוקי - יש לבחור ערך מתוך הרשימה" type="list">
      <formula1>"מפותח,חלקי,דל"</formula1>
    </dataValidation>
    <dataValidation sqref="N6:N1505" showDropDown="0" showInputMessage="1" showErrorMessage="1" allowBlank="1" prompt="ערך לא חוקי - יש לבחור ערך מתוך הרשימה" type="list">
      <formula1>"תקין,מצומצם,דל"</formula1>
    </dataValidation>
    <dataValidation sqref="A6:A1505" showDropDown="0" showInputMessage="1" showErrorMessage="1" allowBlank="1" prompt="ערך לא חוקי - יש לבחור ערך מתוך הרשימה" type="list">
      <formula1>'רשימות'!$E$5:$E$8</formula1>
    </dataValidation>
  </dataValidation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05"/>
  <sheetViews>
    <sheetView showGridLines="0" rightToLeft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13" customWidth="1" style="58" min="1" max="1"/>
    <col width="10" customWidth="1" style="58" min="2" max="2"/>
    <col width="20" customWidth="1" style="58" min="3" max="3"/>
    <col width="13" customWidth="1" style="58" min="4" max="4"/>
    <col width="10" customWidth="1" style="58" min="5" max="5"/>
    <col width="12" customWidth="1" style="58" min="6" max="6"/>
    <col width="13" customWidth="1" style="58" min="7" max="8"/>
    <col width="15" customWidth="1" style="58" min="9" max="9"/>
    <col width="21" customWidth="1" style="58" min="10" max="10"/>
    <col width="14" customWidth="1" style="58" min="11" max="11"/>
    <col width="19" customWidth="1" style="58" min="12" max="12"/>
    <col width="11" customWidth="1" style="58" min="13" max="13"/>
    <col width="13" customWidth="1" style="58" min="14" max="14"/>
    <col width="19" customWidth="1" style="58" min="15" max="15"/>
    <col width="15" customWidth="1" style="58" min="16" max="16"/>
    <col width="14" customWidth="1" style="58" min="17" max="17"/>
    <col width="15" customWidth="1" style="58" min="18" max="18"/>
    <col hidden="1" width="1" customWidth="1" style="58" min="19" max="22"/>
    <col width="13" customWidth="1" style="58" min="23" max="23"/>
    <col width="20" customWidth="1" style="58" min="24" max="24"/>
    <col width="8.710000000000001" customWidth="1" style="58" min="25" max="26"/>
  </cols>
  <sheetData>
    <row r="1">
      <c r="A1" s="3" t="inlineStr">
        <is>
          <t>גיליון הזנה — שלב רכישת הקריאה והכתיבה</t>
        </is>
      </c>
    </row>
    <row r="2">
      <c r="A2" s="7" t="inlineStr">
        <is>
          <t>שורה לכל תלמיד בכל פעימה. אין לדרוס שורות קודמות.</t>
        </is>
      </c>
    </row>
    <row r="3">
      <c r="A3" s="7" t="inlineStr">
        <is>
          <t>תלמידים שהוזנה להם רשימת מילים בלבד (קבוצה רביעית: הקניית קריאה). מתמלא אוטומטית מהמקור. אין להקליד בו.</t>
        </is>
      </c>
    </row>
    <row r="4" ht="18" customHeight="1" s="58">
      <c r="A4" s="59" t="inlineStr">
        <is>
          <t>זיהוי</t>
        </is>
      </c>
      <c r="B4" s="60" t="n"/>
      <c r="C4" s="60" t="n"/>
      <c r="D4" s="60" t="n"/>
      <c r="E4" s="60" t="n"/>
      <c r="F4" s="61" t="n"/>
      <c r="G4" s="62" t="inlineStr">
        <is>
          <t>רכישת הקריאה</t>
        </is>
      </c>
      <c r="H4" s="60" t="n"/>
      <c r="I4" s="60" t="n"/>
      <c r="J4" s="60" t="n"/>
      <c r="K4" s="60" t="n"/>
      <c r="L4" s="60" t="n"/>
      <c r="M4" s="60" t="n"/>
      <c r="N4" s="60" t="n"/>
      <c r="O4" s="60" t="n"/>
      <c r="P4" s="61" t="n"/>
      <c r="Q4" s="64" t="inlineStr">
        <is>
          <t>מחושב</t>
        </is>
      </c>
      <c r="R4" s="60" t="n"/>
      <c r="S4" s="60" t="n"/>
      <c r="T4" s="60" t="n"/>
      <c r="U4" s="60" t="n"/>
      <c r="V4" s="60" t="n"/>
      <c r="W4" s="60" t="n"/>
      <c r="X4" s="61" t="n"/>
    </row>
    <row r="5" ht="37.5" customHeight="1" s="58">
      <c r="A5" s="19" t="inlineStr">
        <is>
          <t>שנת לימודים</t>
        </is>
      </c>
      <c r="B5" s="19" t="inlineStr">
        <is>
          <t>כיתה</t>
        </is>
      </c>
      <c r="C5" s="19" t="inlineStr">
        <is>
          <t>תלמיד (כיתה/מספר)</t>
        </is>
      </c>
      <c r="D5" s="19" t="inlineStr">
        <is>
          <t>מורה</t>
        </is>
      </c>
      <c r="E5" s="19" t="inlineStr">
        <is>
          <t>תאריך</t>
        </is>
      </c>
      <c r="F5" s="19" t="inlineStr">
        <is>
          <t>פעימה</t>
        </is>
      </c>
      <c r="G5" s="19" t="inlineStr">
        <is>
          <t>ידיעת אותיות</t>
        </is>
      </c>
      <c r="H5" s="19" t="inlineStr">
        <is>
          <t>קשרי אות-צליל</t>
        </is>
      </c>
      <c r="I5" s="19" t="inlineStr">
        <is>
          <t>מודעות פונולוגית</t>
        </is>
      </c>
      <c r="J5" s="19" t="inlineStr">
        <is>
          <t>פענוח בסימני ניקוד</t>
        </is>
      </c>
      <c r="K5" s="19" t="inlineStr">
        <is>
          <t>אוטומטיות הפענוח</t>
        </is>
      </c>
      <c r="L5" s="19" t="inlineStr">
        <is>
          <t>קריאה גלובלית</t>
        </is>
      </c>
      <c r="M5" s="19" t="inlineStr">
        <is>
          <t>הבנת הנקרא</t>
        </is>
      </c>
      <c r="N5" s="19" t="inlineStr">
        <is>
          <t>כתיב פונטי</t>
        </is>
      </c>
      <c r="O5" s="19" t="inlineStr">
        <is>
          <t>הפקה בכתב</t>
        </is>
      </c>
      <c r="P5" s="19" t="inlineStr">
        <is>
          <t>ביטחון והנאה</t>
        </is>
      </c>
      <c r="Q5" s="20" t="inlineStr">
        <is>
          <t>הפרופיל (מחושב)</t>
        </is>
      </c>
      <c r="R5" s="20" t="inlineStr">
        <is>
          <t>קבוצת ההוראה</t>
        </is>
      </c>
      <c r="S5" s="20" t="inlineStr">
        <is>
          <t>סדר פעימה</t>
        </is>
      </c>
      <c r="T5" s="20" t="inlineStr">
        <is>
          <t>מפתח קבוצה</t>
        </is>
      </c>
      <c r="U5" s="20" t="inlineStr">
        <is>
          <t>מפתח תלמיד</t>
        </is>
      </c>
      <c r="V5" s="20" t="inlineStr">
        <is>
          <t>מפתח קודם</t>
        </is>
      </c>
      <c r="W5" s="20" t="inlineStr">
        <is>
          <t>הפרופיל הקודם</t>
        </is>
      </c>
      <c r="X5" s="20" t="inlineStr">
        <is>
          <t>תנועה</t>
        </is>
      </c>
    </row>
    <row r="6">
      <c r="A6" s="65" t="n"/>
      <c r="B6" s="65" t="n"/>
      <c r="C6" s="66" t="n"/>
      <c r="D6" s="66" t="n"/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32">
        <f>IF($C6="","",IF($J6="","— חסרים נתונים",IF($J6="טרם מפענח","פרופיל 5",IF($J6="קמץ/פתח/חטף-פתח ושוואים","פרופיל 4",IF($J6="2-3 סימני ניקוד","פרופיל 3",IF($J6="4-5 סימני ניקוד","פרופיל 2",IF(AND($O6="משפטים וקטעים קצרים",OR($M6="מבין",$M6="מבין לרוב")),"פרופיל 1","פרופיל 2")))))))</f>
        <v/>
      </c>
      <c r="R6" s="32">
        <f>IF($C6="","",IF(OR($Q6="",LEFT($Q6,1)="—"),"קבוצה רביעית",IF($Q6="פרופיל 5","קבוצת תשתיות",IF(OR($Q6="פרופיל 4",$Q6="פרופיל 3"),"קבוצת רכישה","קבוצת ביסוס"))))</f>
        <v/>
      </c>
      <c r="S6" s="32">
        <f>IF($F6="","",IF($F6="תחילת שנה",1,IF($F6="מחצית שנה",2,3)))</f>
        <v/>
      </c>
      <c r="T6" s="32">
        <f>IF(OR($B6="",$R6="",$A6="",$F6=""),"",$B6&amp;"|"&amp;$A6&amp;"|"&amp;$F6&amp;"|"&amp;$R6&amp;"|"&amp;COUNTIFS($B$6:$B6,$B6,$A$6:$A6,$A6,$F$6:$F6,$F6,$R$6:$R6,$R6))</f>
        <v/>
      </c>
      <c r="U6" s="32">
        <f>IF($C6="","",$C6&amp;"|"&amp;COUNTIFS($C$6:$C6,$C6))</f>
        <v/>
      </c>
      <c r="V6" s="32">
        <f>IF(OR($C6="",$A6="",$S6=""),"",$C6&amp;"|"&amp;$A6&amp;"|"&amp;$S6)</f>
        <v/>
      </c>
      <c r="W6" s="32">
        <f>IF(OR($C6="",$S6="",$S6=1),"",IFERROR(INDEX($Q$6:$Q$1505,MATCH($C6&amp;"|"&amp;$A6&amp;"|"&amp;($S6-1),$V$6:$V$1505,0)),""))</f>
        <v/>
      </c>
      <c r="X6" s="32">
        <f>IF(OR($W6="",$Q6="",LEFT($Q6,1)="—"),"",IF($W6=$Q6,"ללא שינוי","מ-"&amp;$W6&amp;" ל-"&amp;$Q6))</f>
        <v/>
      </c>
    </row>
    <row r="7">
      <c r="A7" s="65" t="n"/>
      <c r="B7" s="65" t="n"/>
      <c r="C7" s="66" t="n"/>
      <c r="D7" s="66" t="n"/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5" t="n"/>
      <c r="O7" s="65" t="n"/>
      <c r="P7" s="65" t="n"/>
      <c r="Q7" s="32">
        <f>IF($C7="","",IF($J7="","— חסרים נתונים",IF($J7="טרם מפענח","פרופיל 5",IF($J7="קמץ/פתח/חטף-פתח ושוואים","פרופיל 4",IF($J7="2-3 סימני ניקוד","פרופיל 3",IF($J7="4-5 סימני ניקוד","פרופיל 2",IF(AND($O7="משפטים וקטעים קצרים",OR($M7="מבין",$M7="מבין לרוב")),"פרופיל 1","פרופיל 2")))))))</f>
        <v/>
      </c>
      <c r="R7" s="32">
        <f>IF($C7="","",IF(OR($Q7="",LEFT($Q7,1)="—"),"קבוצה רביעית",IF($Q7="פרופיל 5","קבוצת תשתיות",IF(OR($Q7="פרופיל 4",$Q7="פרופיל 3"),"קבוצת רכישה","קבוצת ביסוס"))))</f>
        <v/>
      </c>
      <c r="S7" s="32">
        <f>IF($F7="","",IF($F7="תחילת שנה",1,IF($F7="מחצית שנה",2,3)))</f>
        <v/>
      </c>
      <c r="T7" s="32">
        <f>IF(OR($B7="",$R7="",$A7="",$F7=""),"",$B7&amp;"|"&amp;$A7&amp;"|"&amp;$F7&amp;"|"&amp;$R7&amp;"|"&amp;COUNTIFS($B$6:$B7,$B7,$A$6:$A7,$A7,$F$6:$F7,$F7,$R$6:$R7,$R7))</f>
        <v/>
      </c>
      <c r="U7" s="32">
        <f>IF($C7="","",$C7&amp;"|"&amp;COUNTIFS($C$6:$C7,$C7))</f>
        <v/>
      </c>
      <c r="V7" s="32">
        <f>IF(OR($C7="",$A7="",$S7=""),"",$C7&amp;"|"&amp;$A7&amp;"|"&amp;$S7)</f>
        <v/>
      </c>
      <c r="W7" s="32">
        <f>IF(OR($C7="",$S7="",$S7=1),"",IFERROR(INDEX($Q$6:$Q$1505,MATCH($C7&amp;"|"&amp;$A7&amp;"|"&amp;($S7-1),$V$6:$V$1505,0)),""))</f>
        <v/>
      </c>
      <c r="X7" s="32">
        <f>IF(OR($W7="",$Q7="",LEFT($Q7,1)="—"),"",IF($W7=$Q7,"ללא שינוי","מ-"&amp;$W7&amp;" ל-"&amp;$Q7))</f>
        <v/>
      </c>
    </row>
    <row r="8">
      <c r="A8" s="65" t="n"/>
      <c r="B8" s="65" t="n"/>
      <c r="C8" s="66" t="n"/>
      <c r="D8" s="66" t="n"/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5" t="n"/>
      <c r="O8" s="65" t="n"/>
      <c r="P8" s="65" t="n"/>
      <c r="Q8" s="32">
        <f>IF($C8="","",IF($J8="","— חסרים נתונים",IF($J8="טרם מפענח","פרופיל 5",IF($J8="קמץ/פתח/חטף-פתח ושוואים","פרופיל 4",IF($J8="2-3 סימני ניקוד","פרופיל 3",IF($J8="4-5 סימני ניקוד","פרופיל 2",IF(AND($O8="משפטים וקטעים קצרים",OR($M8="מבין",$M8="מבין לרוב")),"פרופיל 1","פרופיל 2")))))))</f>
        <v/>
      </c>
      <c r="R8" s="32">
        <f>IF($C8="","",IF(OR($Q8="",LEFT($Q8,1)="—"),"קבוצה רביעית",IF($Q8="פרופיל 5","קבוצת תשתיות",IF(OR($Q8="פרופיל 4",$Q8="פרופיל 3"),"קבוצת רכישה","קבוצת ביסוס"))))</f>
        <v/>
      </c>
      <c r="S8" s="32">
        <f>IF($F8="","",IF($F8="תחילת שנה",1,IF($F8="מחצית שנה",2,3)))</f>
        <v/>
      </c>
      <c r="T8" s="32">
        <f>IF(OR($B8="",$R8="",$A8="",$F8=""),"",$B8&amp;"|"&amp;$A8&amp;"|"&amp;$F8&amp;"|"&amp;$R8&amp;"|"&amp;COUNTIFS($B$6:$B8,$B8,$A$6:$A8,$A8,$F$6:$F8,$F8,$R$6:$R8,$R8))</f>
        <v/>
      </c>
      <c r="U8" s="32">
        <f>IF($C8="","",$C8&amp;"|"&amp;COUNTIFS($C$6:$C8,$C8))</f>
        <v/>
      </c>
      <c r="V8" s="32">
        <f>IF(OR($C8="",$A8="",$S8=""),"",$C8&amp;"|"&amp;$A8&amp;"|"&amp;$S8)</f>
        <v/>
      </c>
      <c r="W8" s="32">
        <f>IF(OR($C8="",$S8="",$S8=1),"",IFERROR(INDEX($Q$6:$Q$1505,MATCH($C8&amp;"|"&amp;$A8&amp;"|"&amp;($S8-1),$V$6:$V$1505,0)),""))</f>
        <v/>
      </c>
      <c r="X8" s="32">
        <f>IF(OR($W8="",$Q8="",LEFT($Q8,1)="—"),"",IF($W8=$Q8,"ללא שינוי","מ-"&amp;$W8&amp;" ל-"&amp;$Q8))</f>
        <v/>
      </c>
    </row>
    <row r="9">
      <c r="A9" s="65" t="n"/>
      <c r="B9" s="65" t="n"/>
      <c r="C9" s="66" t="n"/>
      <c r="D9" s="66" t="n"/>
      <c r="E9" s="65" t="n"/>
      <c r="F9" s="65" t="n"/>
      <c r="G9" s="65" t="n"/>
      <c r="H9" s="65" t="n"/>
      <c r="I9" s="65" t="n"/>
      <c r="J9" s="65" t="n"/>
      <c r="K9" s="65" t="n"/>
      <c r="L9" s="65" t="n"/>
      <c r="M9" s="65" t="n"/>
      <c r="N9" s="65" t="n"/>
      <c r="O9" s="65" t="n"/>
      <c r="P9" s="65" t="n"/>
      <c r="Q9" s="32">
        <f>IF($C9="","",IF($J9="","— חסרים נתונים",IF($J9="טרם מפענח","פרופיל 5",IF($J9="קמץ/פתח/חטף-פתח ושוואים","פרופיל 4",IF($J9="2-3 סימני ניקוד","פרופיל 3",IF($J9="4-5 סימני ניקוד","פרופיל 2",IF(AND($O9="משפטים וקטעים קצרים",OR($M9="מבין",$M9="מבין לרוב")),"פרופיל 1","פרופיל 2")))))))</f>
        <v/>
      </c>
      <c r="R9" s="32">
        <f>IF($C9="","",IF(OR($Q9="",LEFT($Q9,1)="—"),"קבוצה רביעית",IF($Q9="פרופיל 5","קבוצת תשתיות",IF(OR($Q9="פרופיל 4",$Q9="פרופיל 3"),"קבוצת רכישה","קבוצת ביסוס"))))</f>
        <v/>
      </c>
      <c r="S9" s="32">
        <f>IF($F9="","",IF($F9="תחילת שנה",1,IF($F9="מחצית שנה",2,3)))</f>
        <v/>
      </c>
      <c r="T9" s="32">
        <f>IF(OR($B9="",$R9="",$A9="",$F9=""),"",$B9&amp;"|"&amp;$A9&amp;"|"&amp;$F9&amp;"|"&amp;$R9&amp;"|"&amp;COUNTIFS($B$6:$B9,$B9,$A$6:$A9,$A9,$F$6:$F9,$F9,$R$6:$R9,$R9))</f>
        <v/>
      </c>
      <c r="U9" s="32">
        <f>IF($C9="","",$C9&amp;"|"&amp;COUNTIFS($C$6:$C9,$C9))</f>
        <v/>
      </c>
      <c r="V9" s="32">
        <f>IF(OR($C9="",$A9="",$S9=""),"",$C9&amp;"|"&amp;$A9&amp;"|"&amp;$S9)</f>
        <v/>
      </c>
      <c r="W9" s="32">
        <f>IF(OR($C9="",$S9="",$S9=1),"",IFERROR(INDEX($Q$6:$Q$1505,MATCH($C9&amp;"|"&amp;$A9&amp;"|"&amp;($S9-1),$V$6:$V$1505,0)),""))</f>
        <v/>
      </c>
      <c r="X9" s="32">
        <f>IF(OR($W9="",$Q9="",LEFT($Q9,1)="—"),"",IF($W9=$Q9,"ללא שינוי","מ-"&amp;$W9&amp;" ל-"&amp;$Q9))</f>
        <v/>
      </c>
    </row>
    <row r="10">
      <c r="A10" s="65" t="n"/>
      <c r="B10" s="65" t="n"/>
      <c r="C10" s="66" t="n"/>
      <c r="D10" s="66" t="n"/>
      <c r="E10" s="65" t="n"/>
      <c r="F10" s="65" t="n"/>
      <c r="G10" s="65" t="n"/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32">
        <f>IF($C10="","",IF($J10="","— חסרים נתונים",IF($J10="טרם מפענח","פרופיל 5",IF($J10="קמץ/פתח/חטף-פתח ושוואים","פרופיל 4",IF($J10="2-3 סימני ניקוד","פרופיל 3",IF($J10="4-5 סימני ניקוד","פרופיל 2",IF(AND($O10="משפטים וקטעים קצרים",OR($M10="מבין",$M10="מבין לרוב")),"פרופיל 1","פרופיל 2")))))))</f>
        <v/>
      </c>
      <c r="R10" s="32">
        <f>IF($C10="","",IF(OR($Q10="",LEFT($Q10,1)="—"),"קבוצה רביעית",IF($Q10="פרופיל 5","קבוצת תשתיות",IF(OR($Q10="פרופיל 4",$Q10="פרופיל 3"),"קבוצת רכישה","קבוצת ביסוס"))))</f>
        <v/>
      </c>
      <c r="S10" s="32">
        <f>IF($F10="","",IF($F10="תחילת שנה",1,IF($F10="מחצית שנה",2,3)))</f>
        <v/>
      </c>
      <c r="T10" s="32">
        <f>IF(OR($B10="",$R10="",$A10="",$F10=""),"",$B10&amp;"|"&amp;$A10&amp;"|"&amp;$F10&amp;"|"&amp;$R10&amp;"|"&amp;COUNTIFS($B$6:$B10,$B10,$A$6:$A10,$A10,$F$6:$F10,$F10,$R$6:$R10,$R10))</f>
        <v/>
      </c>
      <c r="U10" s="32">
        <f>IF($C10="","",$C10&amp;"|"&amp;COUNTIFS($C$6:$C10,$C10))</f>
        <v/>
      </c>
      <c r="V10" s="32">
        <f>IF(OR($C10="",$A10="",$S10=""),"",$C10&amp;"|"&amp;$A10&amp;"|"&amp;$S10)</f>
        <v/>
      </c>
      <c r="W10" s="32">
        <f>IF(OR($C10="",$S10="",$S10=1),"",IFERROR(INDEX($Q$6:$Q$1505,MATCH($C10&amp;"|"&amp;$A10&amp;"|"&amp;($S10-1),$V$6:$V$1505,0)),""))</f>
        <v/>
      </c>
      <c r="X10" s="32">
        <f>IF(OR($W10="",$Q10="",LEFT($Q10,1)="—"),"",IF($W10=$Q10,"ללא שינוי","מ-"&amp;$W10&amp;" ל-"&amp;$Q10))</f>
        <v/>
      </c>
    </row>
    <row r="11">
      <c r="A11" s="65" t="n"/>
      <c r="B11" s="65" t="n"/>
      <c r="C11" s="66" t="n"/>
      <c r="D11" s="66" t="n"/>
      <c r="E11" s="65" t="n"/>
      <c r="F11" s="65" t="n"/>
      <c r="G11" s="65" t="n"/>
      <c r="H11" s="65" t="n"/>
      <c r="I11" s="65" t="n"/>
      <c r="J11" s="65" t="n"/>
      <c r="K11" s="65" t="n"/>
      <c r="L11" s="65" t="n"/>
      <c r="M11" s="65" t="n"/>
      <c r="N11" s="65" t="n"/>
      <c r="O11" s="65" t="n"/>
      <c r="P11" s="65" t="n"/>
      <c r="Q11" s="32">
        <f>IF($C11="","",IF($J11="","— חסרים נתונים",IF($J11="טרם מפענח","פרופיל 5",IF($J11="קמץ/פתח/חטף-פתח ושוואים","פרופיל 4",IF($J11="2-3 סימני ניקוד","פרופיל 3",IF($J11="4-5 סימני ניקוד","פרופיל 2",IF(AND($O11="משפטים וקטעים קצרים",OR($M11="מבין",$M11="מבין לרוב")),"פרופיל 1","פרופיל 2")))))))</f>
        <v/>
      </c>
      <c r="R11" s="32">
        <f>IF($C11="","",IF(OR($Q11="",LEFT($Q11,1)="—"),"קבוצה רביעית",IF($Q11="פרופיל 5","קבוצת תשתיות",IF(OR($Q11="פרופיל 4",$Q11="פרופיל 3"),"קבוצת רכישה","קבוצת ביסוס"))))</f>
        <v/>
      </c>
      <c r="S11" s="32">
        <f>IF($F11="","",IF($F11="תחילת שנה",1,IF($F11="מחצית שנה",2,3)))</f>
        <v/>
      </c>
      <c r="T11" s="32">
        <f>IF(OR($B11="",$R11="",$A11="",$F11=""),"",$B11&amp;"|"&amp;$A11&amp;"|"&amp;$F11&amp;"|"&amp;$R11&amp;"|"&amp;COUNTIFS($B$6:$B11,$B11,$A$6:$A11,$A11,$F$6:$F11,$F11,$R$6:$R11,$R11))</f>
        <v/>
      </c>
      <c r="U11" s="32">
        <f>IF($C11="","",$C11&amp;"|"&amp;COUNTIFS($C$6:$C11,$C11))</f>
        <v/>
      </c>
      <c r="V11" s="32">
        <f>IF(OR($C11="",$A11="",$S11=""),"",$C11&amp;"|"&amp;$A11&amp;"|"&amp;$S11)</f>
        <v/>
      </c>
      <c r="W11" s="32">
        <f>IF(OR($C11="",$S11="",$S11=1),"",IFERROR(INDEX($Q$6:$Q$1505,MATCH($C11&amp;"|"&amp;$A11&amp;"|"&amp;($S11-1),$V$6:$V$1505,0)),""))</f>
        <v/>
      </c>
      <c r="X11" s="32">
        <f>IF(OR($W11="",$Q11="",LEFT($Q11,1)="—"),"",IF($W11=$Q11,"ללא שינוי","מ-"&amp;$W11&amp;" ל-"&amp;$Q11))</f>
        <v/>
      </c>
    </row>
    <row r="12">
      <c r="A12" s="65" t="n"/>
      <c r="B12" s="65" t="n"/>
      <c r="C12" s="66" t="n"/>
      <c r="D12" s="66" t="n"/>
      <c r="E12" s="65" t="n"/>
      <c r="F12" s="65" t="n"/>
      <c r="G12" s="65" t="n"/>
      <c r="H12" s="65" t="n"/>
      <c r="I12" s="65" t="n"/>
      <c r="J12" s="65" t="n"/>
      <c r="K12" s="65" t="n"/>
      <c r="L12" s="65" t="n"/>
      <c r="M12" s="65" t="n"/>
      <c r="N12" s="65" t="n"/>
      <c r="O12" s="65" t="n"/>
      <c r="P12" s="65" t="n"/>
      <c r="Q12" s="32">
        <f>IF($C12="","",IF($J12="","— חסרים נתונים",IF($J12="טרם מפענח","פרופיל 5",IF($J12="קמץ/פתח/חטף-פתח ושוואים","פרופיל 4",IF($J12="2-3 סימני ניקוד","פרופיל 3",IF($J12="4-5 סימני ניקוד","פרופיל 2",IF(AND($O12="משפטים וקטעים קצרים",OR($M12="מבין",$M12="מבין לרוב")),"פרופיל 1","פרופיל 2")))))))</f>
        <v/>
      </c>
      <c r="R12" s="32">
        <f>IF($C12="","",IF(OR($Q12="",LEFT($Q12,1)="—"),"קבוצה רביעית",IF($Q12="פרופיל 5","קבוצת תשתיות",IF(OR($Q12="פרופיל 4",$Q12="פרופיל 3"),"קבוצת רכישה","קבוצת ביסוס"))))</f>
        <v/>
      </c>
      <c r="S12" s="32">
        <f>IF($F12="","",IF($F12="תחילת שנה",1,IF($F12="מחצית שנה",2,3)))</f>
        <v/>
      </c>
      <c r="T12" s="32">
        <f>IF(OR($B12="",$R12="",$A12="",$F12=""),"",$B12&amp;"|"&amp;$A12&amp;"|"&amp;$F12&amp;"|"&amp;$R12&amp;"|"&amp;COUNTIFS($B$6:$B12,$B12,$A$6:$A12,$A12,$F$6:$F12,$F12,$R$6:$R12,$R12))</f>
        <v/>
      </c>
      <c r="U12" s="32">
        <f>IF($C12="","",$C12&amp;"|"&amp;COUNTIFS($C$6:$C12,$C12))</f>
        <v/>
      </c>
      <c r="V12" s="32">
        <f>IF(OR($C12="",$A12="",$S12=""),"",$C12&amp;"|"&amp;$A12&amp;"|"&amp;$S12)</f>
        <v/>
      </c>
      <c r="W12" s="32">
        <f>IF(OR($C12="",$S12="",$S12=1),"",IFERROR(INDEX($Q$6:$Q$1505,MATCH($C12&amp;"|"&amp;$A12&amp;"|"&amp;($S12-1),$V$6:$V$1505,0)),""))</f>
        <v/>
      </c>
      <c r="X12" s="32">
        <f>IF(OR($W12="",$Q12="",LEFT($Q12,1)="—"),"",IF($W12=$Q12,"ללא שינוי","מ-"&amp;$W12&amp;" ל-"&amp;$Q12))</f>
        <v/>
      </c>
    </row>
    <row r="13">
      <c r="A13" s="65" t="n"/>
      <c r="B13" s="65" t="n"/>
      <c r="C13" s="66" t="n"/>
      <c r="D13" s="66" t="n"/>
      <c r="E13" s="65" t="n"/>
      <c r="F13" s="65" t="n"/>
      <c r="G13" s="65" t="n"/>
      <c r="H13" s="65" t="n"/>
      <c r="I13" s="65" t="n"/>
      <c r="J13" s="65" t="n"/>
      <c r="K13" s="65" t="n"/>
      <c r="L13" s="65" t="n"/>
      <c r="M13" s="65" t="n"/>
      <c r="N13" s="65" t="n"/>
      <c r="O13" s="65" t="n"/>
      <c r="P13" s="65" t="n"/>
      <c r="Q13" s="32">
        <f>IF($C13="","",IF($J13="","— חסרים נתונים",IF($J13="טרם מפענח","פרופיל 5",IF($J13="קמץ/פתח/חטף-פתח ושוואים","פרופיל 4",IF($J13="2-3 סימני ניקוד","פרופיל 3",IF($J13="4-5 סימני ניקוד","פרופיל 2",IF(AND($O13="משפטים וקטעים קצרים",OR($M13="מבין",$M13="מבין לרוב")),"פרופיל 1","פרופיל 2")))))))</f>
        <v/>
      </c>
      <c r="R13" s="32">
        <f>IF($C13="","",IF(OR($Q13="",LEFT($Q13,1)="—"),"קבוצה רביעית",IF($Q13="פרופיל 5","קבוצת תשתיות",IF(OR($Q13="פרופיל 4",$Q13="פרופיל 3"),"קבוצת רכישה","קבוצת ביסוס"))))</f>
        <v/>
      </c>
      <c r="S13" s="32">
        <f>IF($F13="","",IF($F13="תחילת שנה",1,IF($F13="מחצית שנה",2,3)))</f>
        <v/>
      </c>
      <c r="T13" s="32">
        <f>IF(OR($B13="",$R13="",$A13="",$F13=""),"",$B13&amp;"|"&amp;$A13&amp;"|"&amp;$F13&amp;"|"&amp;$R13&amp;"|"&amp;COUNTIFS($B$6:$B13,$B13,$A$6:$A13,$A13,$F$6:$F13,$F13,$R$6:$R13,$R13))</f>
        <v/>
      </c>
      <c r="U13" s="32">
        <f>IF($C13="","",$C13&amp;"|"&amp;COUNTIFS($C$6:$C13,$C13))</f>
        <v/>
      </c>
      <c r="V13" s="32">
        <f>IF(OR($C13="",$A13="",$S13=""),"",$C13&amp;"|"&amp;$A13&amp;"|"&amp;$S13)</f>
        <v/>
      </c>
      <c r="W13" s="32">
        <f>IF(OR($C13="",$S13="",$S13=1),"",IFERROR(INDEX($Q$6:$Q$1505,MATCH($C13&amp;"|"&amp;$A13&amp;"|"&amp;($S13-1),$V$6:$V$1505,0)),""))</f>
        <v/>
      </c>
      <c r="X13" s="32">
        <f>IF(OR($W13="",$Q13="",LEFT($Q13,1)="—"),"",IF($W13=$Q13,"ללא שינוי","מ-"&amp;$W13&amp;" ל-"&amp;$Q13))</f>
        <v/>
      </c>
    </row>
    <row r="14">
      <c r="A14" s="65" t="n"/>
      <c r="B14" s="65" t="n"/>
      <c r="C14" s="66" t="n"/>
      <c r="D14" s="66" t="n"/>
      <c r="E14" s="65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  <c r="O14" s="65" t="n"/>
      <c r="P14" s="65" t="n"/>
      <c r="Q14" s="32">
        <f>IF($C14="","",IF($J14="","— חסרים נתונים",IF($J14="טרם מפענח","פרופיל 5",IF($J14="קמץ/פתח/חטף-פתח ושוואים","פרופיל 4",IF($J14="2-3 סימני ניקוד","פרופיל 3",IF($J14="4-5 סימני ניקוד","פרופיל 2",IF(AND($O14="משפטים וקטעים קצרים",OR($M14="מבין",$M14="מבין לרוב")),"פרופיל 1","פרופיל 2")))))))</f>
        <v/>
      </c>
      <c r="R14" s="32">
        <f>IF($C14="","",IF(OR($Q14="",LEFT($Q14,1)="—"),"קבוצה רביעית",IF($Q14="פרופיל 5","קבוצת תשתיות",IF(OR($Q14="פרופיל 4",$Q14="פרופיל 3"),"קבוצת רכישה","קבוצת ביסוס"))))</f>
        <v/>
      </c>
      <c r="S14" s="32">
        <f>IF($F14="","",IF($F14="תחילת שנה",1,IF($F14="מחצית שנה",2,3)))</f>
        <v/>
      </c>
      <c r="T14" s="32">
        <f>IF(OR($B14="",$R14="",$A14="",$F14=""),"",$B14&amp;"|"&amp;$A14&amp;"|"&amp;$F14&amp;"|"&amp;$R14&amp;"|"&amp;COUNTIFS($B$6:$B14,$B14,$A$6:$A14,$A14,$F$6:$F14,$F14,$R$6:$R14,$R14))</f>
        <v/>
      </c>
      <c r="U14" s="32">
        <f>IF($C14="","",$C14&amp;"|"&amp;COUNTIFS($C$6:$C14,$C14))</f>
        <v/>
      </c>
      <c r="V14" s="32">
        <f>IF(OR($C14="",$A14="",$S14=""),"",$C14&amp;"|"&amp;$A14&amp;"|"&amp;$S14)</f>
        <v/>
      </c>
      <c r="W14" s="32">
        <f>IF(OR($C14="",$S14="",$S14=1),"",IFERROR(INDEX($Q$6:$Q$1505,MATCH($C14&amp;"|"&amp;$A14&amp;"|"&amp;($S14-1),$V$6:$V$1505,0)),""))</f>
        <v/>
      </c>
      <c r="X14" s="32">
        <f>IF(OR($W14="",$Q14="",LEFT($Q14,1)="—"),"",IF($W14=$Q14,"ללא שינוי","מ-"&amp;$W14&amp;" ל-"&amp;$Q14))</f>
        <v/>
      </c>
    </row>
    <row r="15">
      <c r="A15" s="65" t="n"/>
      <c r="B15" s="65" t="n"/>
      <c r="C15" s="66" t="n"/>
      <c r="D15" s="66" t="n"/>
      <c r="E15" s="65" t="n"/>
      <c r="F15" s="65" t="n"/>
      <c r="G15" s="65" t="n"/>
      <c r="H15" s="65" t="n"/>
      <c r="I15" s="65" t="n"/>
      <c r="J15" s="65" t="n"/>
      <c r="K15" s="65" t="n"/>
      <c r="L15" s="65" t="n"/>
      <c r="M15" s="65" t="n"/>
      <c r="N15" s="65" t="n"/>
      <c r="O15" s="65" t="n"/>
      <c r="P15" s="65" t="n"/>
      <c r="Q15" s="32">
        <f>IF($C15="","",IF($J15="","— חסרים נתונים",IF($J15="טרם מפענח","פרופיל 5",IF($J15="קמץ/פתח/חטף-פתח ושוואים","פרופיל 4",IF($J15="2-3 סימני ניקוד","פרופיל 3",IF($J15="4-5 סימני ניקוד","פרופיל 2",IF(AND($O15="משפטים וקטעים קצרים",OR($M15="מבין",$M15="מבין לרוב")),"פרופיל 1","פרופיל 2")))))))</f>
        <v/>
      </c>
      <c r="R15" s="32">
        <f>IF($C15="","",IF(OR($Q15="",LEFT($Q15,1)="—"),"קבוצה רביעית",IF($Q15="פרופיל 5","קבוצת תשתיות",IF(OR($Q15="פרופיל 4",$Q15="פרופיל 3"),"קבוצת רכישה","קבוצת ביסוס"))))</f>
        <v/>
      </c>
      <c r="S15" s="32">
        <f>IF($F15="","",IF($F15="תחילת שנה",1,IF($F15="מחצית שנה",2,3)))</f>
        <v/>
      </c>
      <c r="T15" s="32">
        <f>IF(OR($B15="",$R15="",$A15="",$F15=""),"",$B15&amp;"|"&amp;$A15&amp;"|"&amp;$F15&amp;"|"&amp;$R15&amp;"|"&amp;COUNTIFS($B$6:$B15,$B15,$A$6:$A15,$A15,$F$6:$F15,$F15,$R$6:$R15,$R15))</f>
        <v/>
      </c>
      <c r="U15" s="32">
        <f>IF($C15="","",$C15&amp;"|"&amp;COUNTIFS($C$6:$C15,$C15))</f>
        <v/>
      </c>
      <c r="V15" s="32">
        <f>IF(OR($C15="",$A15="",$S15=""),"",$C15&amp;"|"&amp;$A15&amp;"|"&amp;$S15)</f>
        <v/>
      </c>
      <c r="W15" s="32">
        <f>IF(OR($C15="",$S15="",$S15=1),"",IFERROR(INDEX($Q$6:$Q$1505,MATCH($C15&amp;"|"&amp;$A15&amp;"|"&amp;($S15-1),$V$6:$V$1505,0)),""))</f>
        <v/>
      </c>
      <c r="X15" s="32">
        <f>IF(OR($W15="",$Q15="",LEFT($Q15,1)="—"),"",IF($W15=$Q15,"ללא שינוי","מ-"&amp;$W15&amp;" ל-"&amp;$Q15))</f>
        <v/>
      </c>
    </row>
    <row r="16">
      <c r="A16" s="65" t="n"/>
      <c r="B16" s="65" t="n"/>
      <c r="C16" s="66" t="n"/>
      <c r="D16" s="66" t="n"/>
      <c r="E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65" t="n"/>
      <c r="P16" s="65" t="n"/>
      <c r="Q16" s="32">
        <f>IF($C16="","",IF($J16="","— חסרים נתונים",IF($J16="טרם מפענח","פרופיל 5",IF($J16="קמץ/פתח/חטף-פתח ושוואים","פרופיל 4",IF($J16="2-3 סימני ניקוד","פרופיל 3",IF($J16="4-5 סימני ניקוד","פרופיל 2",IF(AND($O16="משפטים וקטעים קצרים",OR($M16="מבין",$M16="מבין לרוב")),"פרופיל 1","פרופיל 2")))))))</f>
        <v/>
      </c>
      <c r="R16" s="32">
        <f>IF($C16="","",IF(OR($Q16="",LEFT($Q16,1)="—"),"קבוצה רביעית",IF($Q16="פרופיל 5","קבוצת תשתיות",IF(OR($Q16="פרופיל 4",$Q16="פרופיל 3"),"קבוצת רכישה","קבוצת ביסוס"))))</f>
        <v/>
      </c>
      <c r="S16" s="32">
        <f>IF($F16="","",IF($F16="תחילת שנה",1,IF($F16="מחצית שנה",2,3)))</f>
        <v/>
      </c>
      <c r="T16" s="32">
        <f>IF(OR($B16="",$R16="",$A16="",$F16=""),"",$B16&amp;"|"&amp;$A16&amp;"|"&amp;$F16&amp;"|"&amp;$R16&amp;"|"&amp;COUNTIFS($B$6:$B16,$B16,$A$6:$A16,$A16,$F$6:$F16,$F16,$R$6:$R16,$R16))</f>
        <v/>
      </c>
      <c r="U16" s="32">
        <f>IF($C16="","",$C16&amp;"|"&amp;COUNTIFS($C$6:$C16,$C16))</f>
        <v/>
      </c>
      <c r="V16" s="32">
        <f>IF(OR($C16="",$A16="",$S16=""),"",$C16&amp;"|"&amp;$A16&amp;"|"&amp;$S16)</f>
        <v/>
      </c>
      <c r="W16" s="32">
        <f>IF(OR($C16="",$S16="",$S16=1),"",IFERROR(INDEX($Q$6:$Q$1505,MATCH($C16&amp;"|"&amp;$A16&amp;"|"&amp;($S16-1),$V$6:$V$1505,0)),""))</f>
        <v/>
      </c>
      <c r="X16" s="32">
        <f>IF(OR($W16="",$Q16="",LEFT($Q16,1)="—"),"",IF($W16=$Q16,"ללא שינוי","מ-"&amp;$W16&amp;" ל-"&amp;$Q16))</f>
        <v/>
      </c>
    </row>
    <row r="17">
      <c r="A17" s="65" t="n"/>
      <c r="B17" s="65" t="n"/>
      <c r="C17" s="66" t="n"/>
      <c r="D17" s="66" t="n"/>
      <c r="E17" s="65" t="n"/>
      <c r="F17" s="65" t="n"/>
      <c r="G17" s="65" t="n"/>
      <c r="H17" s="65" t="n"/>
      <c r="I17" s="65" t="n"/>
      <c r="J17" s="65" t="n"/>
      <c r="K17" s="65" t="n"/>
      <c r="L17" s="65" t="n"/>
      <c r="M17" s="65" t="n"/>
      <c r="N17" s="65" t="n"/>
      <c r="O17" s="65" t="n"/>
      <c r="P17" s="65" t="n"/>
      <c r="Q17" s="32">
        <f>IF($C17="","",IF($J17="","— חסרים נתונים",IF($J17="טרם מפענח","פרופיל 5",IF($J17="קמץ/פתח/חטף-פתח ושוואים","פרופיל 4",IF($J17="2-3 סימני ניקוד","פרופיל 3",IF($J17="4-5 סימני ניקוד","פרופיל 2",IF(AND($O17="משפטים וקטעים קצרים",OR($M17="מבין",$M17="מבין לרוב")),"פרופיל 1","פרופיל 2")))))))</f>
        <v/>
      </c>
      <c r="R17" s="32">
        <f>IF($C17="","",IF(OR($Q17="",LEFT($Q17,1)="—"),"קבוצה רביעית",IF($Q17="פרופיל 5","קבוצת תשתיות",IF(OR($Q17="פרופיל 4",$Q17="פרופיל 3"),"קבוצת רכישה","קבוצת ביסוס"))))</f>
        <v/>
      </c>
      <c r="S17" s="32">
        <f>IF($F17="","",IF($F17="תחילת שנה",1,IF($F17="מחצית שנה",2,3)))</f>
        <v/>
      </c>
      <c r="T17" s="32">
        <f>IF(OR($B17="",$R17="",$A17="",$F17=""),"",$B17&amp;"|"&amp;$A17&amp;"|"&amp;$F17&amp;"|"&amp;$R17&amp;"|"&amp;COUNTIFS($B$6:$B17,$B17,$A$6:$A17,$A17,$F$6:$F17,$F17,$R$6:$R17,$R17))</f>
        <v/>
      </c>
      <c r="U17" s="32">
        <f>IF($C17="","",$C17&amp;"|"&amp;COUNTIFS($C$6:$C17,$C17))</f>
        <v/>
      </c>
      <c r="V17" s="32">
        <f>IF(OR($C17="",$A17="",$S17=""),"",$C17&amp;"|"&amp;$A17&amp;"|"&amp;$S17)</f>
        <v/>
      </c>
      <c r="W17" s="32">
        <f>IF(OR($C17="",$S17="",$S17=1),"",IFERROR(INDEX($Q$6:$Q$1505,MATCH($C17&amp;"|"&amp;$A17&amp;"|"&amp;($S17-1),$V$6:$V$1505,0)),""))</f>
        <v/>
      </c>
      <c r="X17" s="32">
        <f>IF(OR($W17="",$Q17="",LEFT($Q17,1)="—"),"",IF($W17=$Q17,"ללא שינוי","מ-"&amp;$W17&amp;" ל-"&amp;$Q17))</f>
        <v/>
      </c>
    </row>
    <row r="18">
      <c r="A18" s="65" t="n"/>
      <c r="B18" s="65" t="n"/>
      <c r="C18" s="66" t="n"/>
      <c r="D18" s="66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  <c r="O18" s="65" t="n"/>
      <c r="P18" s="65" t="n"/>
      <c r="Q18" s="32">
        <f>IF($C18="","",IF($J18="","— חסרים נתונים",IF($J18="טרם מפענח","פרופיל 5",IF($J18="קמץ/פתח/חטף-פתח ושוואים","פרופיל 4",IF($J18="2-3 סימני ניקוד","פרופיל 3",IF($J18="4-5 סימני ניקוד","פרופיל 2",IF(AND($O18="משפטים וקטעים קצרים",OR($M18="מבין",$M18="מבין לרוב")),"פרופיל 1","פרופיל 2")))))))</f>
        <v/>
      </c>
      <c r="R18" s="32">
        <f>IF($C18="","",IF(OR($Q18="",LEFT($Q18,1)="—"),"קבוצה רביעית",IF($Q18="פרופיל 5","קבוצת תשתיות",IF(OR($Q18="פרופיל 4",$Q18="פרופיל 3"),"קבוצת רכישה","קבוצת ביסוס"))))</f>
        <v/>
      </c>
      <c r="S18" s="32">
        <f>IF($F18="","",IF($F18="תחילת שנה",1,IF($F18="מחצית שנה",2,3)))</f>
        <v/>
      </c>
      <c r="T18" s="32">
        <f>IF(OR($B18="",$R18="",$A18="",$F18=""),"",$B18&amp;"|"&amp;$A18&amp;"|"&amp;$F18&amp;"|"&amp;$R18&amp;"|"&amp;COUNTIFS($B$6:$B18,$B18,$A$6:$A18,$A18,$F$6:$F18,$F18,$R$6:$R18,$R18))</f>
        <v/>
      </c>
      <c r="U18" s="32">
        <f>IF($C18="","",$C18&amp;"|"&amp;COUNTIFS($C$6:$C18,$C18))</f>
        <v/>
      </c>
      <c r="V18" s="32">
        <f>IF(OR($C18="",$A18="",$S18=""),"",$C18&amp;"|"&amp;$A18&amp;"|"&amp;$S18)</f>
        <v/>
      </c>
      <c r="W18" s="32">
        <f>IF(OR($C18="",$S18="",$S18=1),"",IFERROR(INDEX($Q$6:$Q$1505,MATCH($C18&amp;"|"&amp;$A18&amp;"|"&amp;($S18-1),$V$6:$V$1505,0)),""))</f>
        <v/>
      </c>
      <c r="X18" s="32">
        <f>IF(OR($W18="",$Q18="",LEFT($Q18,1)="—"),"",IF($W18=$Q18,"ללא שינוי","מ-"&amp;$W18&amp;" ל-"&amp;$Q18))</f>
        <v/>
      </c>
    </row>
    <row r="19">
      <c r="A19" s="65" t="n"/>
      <c r="B19" s="65" t="n"/>
      <c r="C19" s="66" t="n"/>
      <c r="D19" s="66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32">
        <f>IF($C19="","",IF($J19="","— חסרים נתונים",IF($J19="טרם מפענח","פרופיל 5",IF($J19="קמץ/פתח/חטף-פתח ושוואים","פרופיל 4",IF($J19="2-3 סימני ניקוד","פרופיל 3",IF($J19="4-5 סימני ניקוד","פרופיל 2",IF(AND($O19="משפטים וקטעים קצרים",OR($M19="מבין",$M19="מבין לרוב")),"פרופיל 1","פרופיל 2")))))))</f>
        <v/>
      </c>
      <c r="R19" s="32">
        <f>IF($C19="","",IF(OR($Q19="",LEFT($Q19,1)="—"),"קבוצה רביעית",IF($Q19="פרופיל 5","קבוצת תשתיות",IF(OR($Q19="פרופיל 4",$Q19="פרופיל 3"),"קבוצת רכישה","קבוצת ביסוס"))))</f>
        <v/>
      </c>
      <c r="S19" s="32">
        <f>IF($F19="","",IF($F19="תחילת שנה",1,IF($F19="מחצית שנה",2,3)))</f>
        <v/>
      </c>
      <c r="T19" s="32">
        <f>IF(OR($B19="",$R19="",$A19="",$F19=""),"",$B19&amp;"|"&amp;$A19&amp;"|"&amp;$F19&amp;"|"&amp;$R19&amp;"|"&amp;COUNTIFS($B$6:$B19,$B19,$A$6:$A19,$A19,$F$6:$F19,$F19,$R$6:$R19,$R19))</f>
        <v/>
      </c>
      <c r="U19" s="32">
        <f>IF($C19="","",$C19&amp;"|"&amp;COUNTIFS($C$6:$C19,$C19))</f>
        <v/>
      </c>
      <c r="V19" s="32">
        <f>IF(OR($C19="",$A19="",$S19=""),"",$C19&amp;"|"&amp;$A19&amp;"|"&amp;$S19)</f>
        <v/>
      </c>
      <c r="W19" s="32">
        <f>IF(OR($C19="",$S19="",$S19=1),"",IFERROR(INDEX($Q$6:$Q$1505,MATCH($C19&amp;"|"&amp;$A19&amp;"|"&amp;($S19-1),$V$6:$V$1505,0)),""))</f>
        <v/>
      </c>
      <c r="X19" s="32">
        <f>IF(OR($W19="",$Q19="",LEFT($Q19,1)="—"),"",IF($W19=$Q19,"ללא שינוי","מ-"&amp;$W19&amp;" ל-"&amp;$Q19))</f>
        <v/>
      </c>
    </row>
    <row r="20">
      <c r="A20" s="65" t="n"/>
      <c r="B20" s="65" t="n"/>
      <c r="C20" s="66" t="n"/>
      <c r="D20" s="66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32">
        <f>IF($C20="","",IF($J20="","— חסרים נתונים",IF($J20="טרם מפענח","פרופיל 5",IF($J20="קמץ/פתח/חטף-פתח ושוואים","פרופיל 4",IF($J20="2-3 סימני ניקוד","פרופיל 3",IF($J20="4-5 סימני ניקוד","פרופיל 2",IF(AND($O20="משפטים וקטעים קצרים",OR($M20="מבין",$M20="מבין לרוב")),"פרופיל 1","פרופיל 2")))))))</f>
        <v/>
      </c>
      <c r="R20" s="32">
        <f>IF($C20="","",IF(OR($Q20="",LEFT($Q20,1)="—"),"קבוצה רביעית",IF($Q20="פרופיל 5","קבוצת תשתיות",IF(OR($Q20="פרופיל 4",$Q20="פרופיל 3"),"קבוצת רכישה","קבוצת ביסוס"))))</f>
        <v/>
      </c>
      <c r="S20" s="32">
        <f>IF($F20="","",IF($F20="תחילת שנה",1,IF($F20="מחצית שנה",2,3)))</f>
        <v/>
      </c>
      <c r="T20" s="32">
        <f>IF(OR($B20="",$R20="",$A20="",$F20=""),"",$B20&amp;"|"&amp;$A20&amp;"|"&amp;$F20&amp;"|"&amp;$R20&amp;"|"&amp;COUNTIFS($B$6:$B20,$B20,$A$6:$A20,$A20,$F$6:$F20,$F20,$R$6:$R20,$R20))</f>
        <v/>
      </c>
      <c r="U20" s="32">
        <f>IF($C20="","",$C20&amp;"|"&amp;COUNTIFS($C$6:$C20,$C20))</f>
        <v/>
      </c>
      <c r="V20" s="32">
        <f>IF(OR($C20="",$A20="",$S20=""),"",$C20&amp;"|"&amp;$A20&amp;"|"&amp;$S20)</f>
        <v/>
      </c>
      <c r="W20" s="32">
        <f>IF(OR($C20="",$S20="",$S20=1),"",IFERROR(INDEX($Q$6:$Q$1505,MATCH($C20&amp;"|"&amp;$A20&amp;"|"&amp;($S20-1),$V$6:$V$1505,0)),""))</f>
        <v/>
      </c>
      <c r="X20" s="32">
        <f>IF(OR($W20="",$Q20="",LEFT($Q20,1)="—"),"",IF($W20=$Q20,"ללא שינוי","מ-"&amp;$W20&amp;" ל-"&amp;$Q20))</f>
        <v/>
      </c>
    </row>
    <row r="21" ht="15.75" customHeight="1" s="58">
      <c r="A21" s="65" t="n"/>
      <c r="B21" s="65" t="n"/>
      <c r="C21" s="66" t="n"/>
      <c r="D21" s="66" t="n"/>
      <c r="E21" s="65" t="n"/>
      <c r="F21" s="65" t="n"/>
      <c r="G21" s="65" t="n"/>
      <c r="H21" s="65" t="n"/>
      <c r="I21" s="65" t="n"/>
      <c r="J21" s="65" t="n"/>
      <c r="K21" s="65" t="n"/>
      <c r="L21" s="65" t="n"/>
      <c r="M21" s="65" t="n"/>
      <c r="N21" s="65" t="n"/>
      <c r="O21" s="65" t="n"/>
      <c r="P21" s="65" t="n"/>
      <c r="Q21" s="32">
        <f>IF($C21="","",IF($J21="","— חסרים נתונים",IF($J21="טרם מפענח","פרופיל 5",IF($J21="קמץ/פתח/חטף-פתח ושוואים","פרופיל 4",IF($J21="2-3 סימני ניקוד","פרופיל 3",IF($J21="4-5 סימני ניקוד","פרופיל 2",IF(AND($O21="משפטים וקטעים קצרים",OR($M21="מבין",$M21="מבין לרוב")),"פרופיל 1","פרופיל 2")))))))</f>
        <v/>
      </c>
      <c r="R21" s="32">
        <f>IF($C21="","",IF(OR($Q21="",LEFT($Q21,1)="—"),"קבוצה רביעית",IF($Q21="פרופיל 5","קבוצת תשתיות",IF(OR($Q21="פרופיל 4",$Q21="פרופיל 3"),"קבוצת רכישה","קבוצת ביסוס"))))</f>
        <v/>
      </c>
      <c r="S21" s="32">
        <f>IF($F21="","",IF($F21="תחילת שנה",1,IF($F21="מחצית שנה",2,3)))</f>
        <v/>
      </c>
      <c r="T21" s="32">
        <f>IF(OR($B21="",$R21="",$A21="",$F21=""),"",$B21&amp;"|"&amp;$A21&amp;"|"&amp;$F21&amp;"|"&amp;$R21&amp;"|"&amp;COUNTIFS($B$6:$B21,$B21,$A$6:$A21,$A21,$F$6:$F21,$F21,$R$6:$R21,$R21))</f>
        <v/>
      </c>
      <c r="U21" s="32">
        <f>IF($C21="","",$C21&amp;"|"&amp;COUNTIFS($C$6:$C21,$C21))</f>
        <v/>
      </c>
      <c r="V21" s="32">
        <f>IF(OR($C21="",$A21="",$S21=""),"",$C21&amp;"|"&amp;$A21&amp;"|"&amp;$S21)</f>
        <v/>
      </c>
      <c r="W21" s="32">
        <f>IF(OR($C21="",$S21="",$S21=1),"",IFERROR(INDEX($Q$6:$Q$1505,MATCH($C21&amp;"|"&amp;$A21&amp;"|"&amp;($S21-1),$V$6:$V$1505,0)),""))</f>
        <v/>
      </c>
      <c r="X21" s="32">
        <f>IF(OR($W21="",$Q21="",LEFT($Q21,1)="—"),"",IF($W21=$Q21,"ללא שינוי","מ-"&amp;$W21&amp;" ל-"&amp;$Q21))</f>
        <v/>
      </c>
    </row>
    <row r="22" ht="15.75" customHeight="1" s="58">
      <c r="A22" s="65" t="n"/>
      <c r="B22" s="65" t="n"/>
      <c r="C22" s="66" t="n"/>
      <c r="D22" s="66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5" t="n"/>
      <c r="O22" s="65" t="n"/>
      <c r="P22" s="65" t="n"/>
      <c r="Q22" s="32">
        <f>IF($C22="","",IF($J22="","— חסרים נתונים",IF($J22="טרם מפענח","פרופיל 5",IF($J22="קמץ/פתח/חטף-פתח ושוואים","פרופיל 4",IF($J22="2-3 סימני ניקוד","פרופיל 3",IF($J22="4-5 סימני ניקוד","פרופיל 2",IF(AND($O22="משפטים וקטעים קצרים",OR($M22="מבין",$M22="מבין לרוב")),"פרופיל 1","פרופיל 2")))))))</f>
        <v/>
      </c>
      <c r="R22" s="32">
        <f>IF($C22="","",IF(OR($Q22="",LEFT($Q22,1)="—"),"קבוצה רביעית",IF($Q22="פרופיל 5","קבוצת תשתיות",IF(OR($Q22="פרופיל 4",$Q22="פרופיל 3"),"קבוצת רכישה","קבוצת ביסוס"))))</f>
        <v/>
      </c>
      <c r="S22" s="32">
        <f>IF($F22="","",IF($F22="תחילת שנה",1,IF($F22="מחצית שנה",2,3)))</f>
        <v/>
      </c>
      <c r="T22" s="32">
        <f>IF(OR($B22="",$R22="",$A22="",$F22=""),"",$B22&amp;"|"&amp;$A22&amp;"|"&amp;$F22&amp;"|"&amp;$R22&amp;"|"&amp;COUNTIFS($B$6:$B22,$B22,$A$6:$A22,$A22,$F$6:$F22,$F22,$R$6:$R22,$R22))</f>
        <v/>
      </c>
      <c r="U22" s="32">
        <f>IF($C22="","",$C22&amp;"|"&amp;COUNTIFS($C$6:$C22,$C22))</f>
        <v/>
      </c>
      <c r="V22" s="32">
        <f>IF(OR($C22="",$A22="",$S22=""),"",$C22&amp;"|"&amp;$A22&amp;"|"&amp;$S22)</f>
        <v/>
      </c>
      <c r="W22" s="32">
        <f>IF(OR($C22="",$S22="",$S22=1),"",IFERROR(INDEX($Q$6:$Q$1505,MATCH($C22&amp;"|"&amp;$A22&amp;"|"&amp;($S22-1),$V$6:$V$1505,0)),""))</f>
        <v/>
      </c>
      <c r="X22" s="32">
        <f>IF(OR($W22="",$Q22="",LEFT($Q22,1)="—"),"",IF($W22=$Q22,"ללא שינוי","מ-"&amp;$W22&amp;" ל-"&amp;$Q22))</f>
        <v/>
      </c>
    </row>
    <row r="23" ht="15.75" customHeight="1" s="58">
      <c r="A23" s="65" t="n"/>
      <c r="B23" s="65" t="n"/>
      <c r="C23" s="66" t="n"/>
      <c r="D23" s="66" t="n"/>
      <c r="E23" s="65" t="n"/>
      <c r="F23" s="65" t="n"/>
      <c r="G23" s="65" t="n"/>
      <c r="H23" s="65" t="n"/>
      <c r="I23" s="65" t="n"/>
      <c r="J23" s="65" t="n"/>
      <c r="K23" s="65" t="n"/>
      <c r="L23" s="65" t="n"/>
      <c r="M23" s="65" t="n"/>
      <c r="N23" s="65" t="n"/>
      <c r="O23" s="65" t="n"/>
      <c r="P23" s="65" t="n"/>
      <c r="Q23" s="32">
        <f>IF($C23="","",IF($J23="","— חסרים נתונים",IF($J23="טרם מפענח","פרופיל 5",IF($J23="קמץ/פתח/חטף-פתח ושוואים","פרופיל 4",IF($J23="2-3 סימני ניקוד","פרופיל 3",IF($J23="4-5 סימני ניקוד","פרופיל 2",IF(AND($O23="משפטים וקטעים קצרים",OR($M23="מבין",$M23="מבין לרוב")),"פרופיל 1","פרופיל 2")))))))</f>
        <v/>
      </c>
      <c r="R23" s="32">
        <f>IF($C23="","",IF(OR($Q23="",LEFT($Q23,1)="—"),"קבוצה רביעית",IF($Q23="פרופיל 5","קבוצת תשתיות",IF(OR($Q23="פרופיל 4",$Q23="פרופיל 3"),"קבוצת רכישה","קבוצת ביסוס"))))</f>
        <v/>
      </c>
      <c r="S23" s="32">
        <f>IF($F23="","",IF($F23="תחילת שנה",1,IF($F23="מחצית שנה",2,3)))</f>
        <v/>
      </c>
      <c r="T23" s="32">
        <f>IF(OR($B23="",$R23="",$A23="",$F23=""),"",$B23&amp;"|"&amp;$A23&amp;"|"&amp;$F23&amp;"|"&amp;$R23&amp;"|"&amp;COUNTIFS($B$6:$B23,$B23,$A$6:$A23,$A23,$F$6:$F23,$F23,$R$6:$R23,$R23))</f>
        <v/>
      </c>
      <c r="U23" s="32">
        <f>IF($C23="","",$C23&amp;"|"&amp;COUNTIFS($C$6:$C23,$C23))</f>
        <v/>
      </c>
      <c r="V23" s="32">
        <f>IF(OR($C23="",$A23="",$S23=""),"",$C23&amp;"|"&amp;$A23&amp;"|"&amp;$S23)</f>
        <v/>
      </c>
      <c r="W23" s="32">
        <f>IF(OR($C23="",$S23="",$S23=1),"",IFERROR(INDEX($Q$6:$Q$1505,MATCH($C23&amp;"|"&amp;$A23&amp;"|"&amp;($S23-1),$V$6:$V$1505,0)),""))</f>
        <v/>
      </c>
      <c r="X23" s="32">
        <f>IF(OR($W23="",$Q23="",LEFT($Q23,1)="—"),"",IF($W23=$Q23,"ללא שינוי","מ-"&amp;$W23&amp;" ל-"&amp;$Q23))</f>
        <v/>
      </c>
    </row>
    <row r="24" ht="15.75" customHeight="1" s="58">
      <c r="A24" s="65" t="n"/>
      <c r="B24" s="65" t="n"/>
      <c r="C24" s="66" t="n"/>
      <c r="D24" s="66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32">
        <f>IF($C24="","",IF($J24="","— חסרים נתונים",IF($J24="טרם מפענח","פרופיל 5",IF($J24="קמץ/פתח/חטף-פתח ושוואים","פרופיל 4",IF($J24="2-3 סימני ניקוד","פרופיל 3",IF($J24="4-5 סימני ניקוד","פרופיל 2",IF(AND($O24="משפטים וקטעים קצרים",OR($M24="מבין",$M24="מבין לרוב")),"פרופיל 1","פרופיל 2")))))))</f>
        <v/>
      </c>
      <c r="R24" s="32">
        <f>IF($C24="","",IF(OR($Q24="",LEFT($Q24,1)="—"),"קבוצה רביעית",IF($Q24="פרופיל 5","קבוצת תשתיות",IF(OR($Q24="פרופיל 4",$Q24="פרופיל 3"),"קבוצת רכישה","קבוצת ביסוס"))))</f>
        <v/>
      </c>
      <c r="S24" s="32">
        <f>IF($F24="","",IF($F24="תחילת שנה",1,IF($F24="מחצית שנה",2,3)))</f>
        <v/>
      </c>
      <c r="T24" s="32">
        <f>IF(OR($B24="",$R24="",$A24="",$F24=""),"",$B24&amp;"|"&amp;$A24&amp;"|"&amp;$F24&amp;"|"&amp;$R24&amp;"|"&amp;COUNTIFS($B$6:$B24,$B24,$A$6:$A24,$A24,$F$6:$F24,$F24,$R$6:$R24,$R24))</f>
        <v/>
      </c>
      <c r="U24" s="32">
        <f>IF($C24="","",$C24&amp;"|"&amp;COUNTIFS($C$6:$C24,$C24))</f>
        <v/>
      </c>
      <c r="V24" s="32">
        <f>IF(OR($C24="",$A24="",$S24=""),"",$C24&amp;"|"&amp;$A24&amp;"|"&amp;$S24)</f>
        <v/>
      </c>
      <c r="W24" s="32">
        <f>IF(OR($C24="",$S24="",$S24=1),"",IFERROR(INDEX($Q$6:$Q$1505,MATCH($C24&amp;"|"&amp;$A24&amp;"|"&amp;($S24-1),$V$6:$V$1505,0)),""))</f>
        <v/>
      </c>
      <c r="X24" s="32">
        <f>IF(OR($W24="",$Q24="",LEFT($Q24,1)="—"),"",IF($W24=$Q24,"ללא שינוי","מ-"&amp;$W24&amp;" ל-"&amp;$Q24))</f>
        <v/>
      </c>
    </row>
    <row r="25" ht="15.75" customHeight="1" s="58">
      <c r="A25" s="65" t="n"/>
      <c r="B25" s="65" t="n"/>
      <c r="C25" s="66" t="n"/>
      <c r="D25" s="66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32">
        <f>IF($C25="","",IF($J25="","— חסרים נתונים",IF($J25="טרם מפענח","פרופיל 5",IF($J25="קמץ/פתח/חטף-פתח ושוואים","פרופיל 4",IF($J25="2-3 סימני ניקוד","פרופיל 3",IF($J25="4-5 סימני ניקוד","פרופיל 2",IF(AND($O25="משפטים וקטעים קצרים",OR($M25="מבין",$M25="מבין לרוב")),"פרופיל 1","פרופיל 2")))))))</f>
        <v/>
      </c>
      <c r="R25" s="32">
        <f>IF($C25="","",IF(OR($Q25="",LEFT($Q25,1)="—"),"קבוצה רביעית",IF($Q25="פרופיל 5","קבוצת תשתיות",IF(OR($Q25="פרופיל 4",$Q25="פרופיל 3"),"קבוצת רכישה","קבוצת ביסוס"))))</f>
        <v/>
      </c>
      <c r="S25" s="32">
        <f>IF($F25="","",IF($F25="תחילת שנה",1,IF($F25="מחצית שנה",2,3)))</f>
        <v/>
      </c>
      <c r="T25" s="32">
        <f>IF(OR($B25="",$R25="",$A25="",$F25=""),"",$B25&amp;"|"&amp;$A25&amp;"|"&amp;$F25&amp;"|"&amp;$R25&amp;"|"&amp;COUNTIFS($B$6:$B25,$B25,$A$6:$A25,$A25,$F$6:$F25,$F25,$R$6:$R25,$R25))</f>
        <v/>
      </c>
      <c r="U25" s="32">
        <f>IF($C25="","",$C25&amp;"|"&amp;COUNTIFS($C$6:$C25,$C25))</f>
        <v/>
      </c>
      <c r="V25" s="32">
        <f>IF(OR($C25="",$A25="",$S25=""),"",$C25&amp;"|"&amp;$A25&amp;"|"&amp;$S25)</f>
        <v/>
      </c>
      <c r="W25" s="32">
        <f>IF(OR($C25="",$S25="",$S25=1),"",IFERROR(INDEX($Q$6:$Q$1505,MATCH($C25&amp;"|"&amp;$A25&amp;"|"&amp;($S25-1),$V$6:$V$1505,0)),""))</f>
        <v/>
      </c>
      <c r="X25" s="32">
        <f>IF(OR($W25="",$Q25="",LEFT($Q25,1)="—"),"",IF($W25=$Q25,"ללא שינוי","מ-"&amp;$W25&amp;" ל-"&amp;$Q25))</f>
        <v/>
      </c>
    </row>
    <row r="26" ht="15.75" customHeight="1" s="58">
      <c r="A26" s="65" t="n"/>
      <c r="B26" s="65" t="n"/>
      <c r="C26" s="66" t="n"/>
      <c r="D26" s="66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32">
        <f>IF($C26="","",IF($J26="","— חסרים נתונים",IF($J26="טרם מפענח","פרופיל 5",IF($J26="קמץ/פתח/חטף-פתח ושוואים","פרופיל 4",IF($J26="2-3 סימני ניקוד","פרופיל 3",IF($J26="4-5 סימני ניקוד","פרופיל 2",IF(AND($O26="משפטים וקטעים קצרים",OR($M26="מבין",$M26="מבין לרוב")),"פרופיל 1","פרופיל 2")))))))</f>
        <v/>
      </c>
      <c r="R26" s="32">
        <f>IF($C26="","",IF(OR($Q26="",LEFT($Q26,1)="—"),"קבוצה רביעית",IF($Q26="פרופיל 5","קבוצת תשתיות",IF(OR($Q26="פרופיל 4",$Q26="פרופיל 3"),"קבוצת רכישה","קבוצת ביסוס"))))</f>
        <v/>
      </c>
      <c r="S26" s="32">
        <f>IF($F26="","",IF($F26="תחילת שנה",1,IF($F26="מחצית שנה",2,3)))</f>
        <v/>
      </c>
      <c r="T26" s="32">
        <f>IF(OR($B26="",$R26="",$A26="",$F26=""),"",$B26&amp;"|"&amp;$A26&amp;"|"&amp;$F26&amp;"|"&amp;$R26&amp;"|"&amp;COUNTIFS($B$6:$B26,$B26,$A$6:$A26,$A26,$F$6:$F26,$F26,$R$6:$R26,$R26))</f>
        <v/>
      </c>
      <c r="U26" s="32">
        <f>IF($C26="","",$C26&amp;"|"&amp;COUNTIFS($C$6:$C26,$C26))</f>
        <v/>
      </c>
      <c r="V26" s="32">
        <f>IF(OR($C26="",$A26="",$S26=""),"",$C26&amp;"|"&amp;$A26&amp;"|"&amp;$S26)</f>
        <v/>
      </c>
      <c r="W26" s="32">
        <f>IF(OR($C26="",$S26="",$S26=1),"",IFERROR(INDEX($Q$6:$Q$1505,MATCH($C26&amp;"|"&amp;$A26&amp;"|"&amp;($S26-1),$V$6:$V$1505,0)),""))</f>
        <v/>
      </c>
      <c r="X26" s="32">
        <f>IF(OR($W26="",$Q26="",LEFT($Q26,1)="—"),"",IF($W26=$Q26,"ללא שינוי","מ-"&amp;$W26&amp;" ל-"&amp;$Q26))</f>
        <v/>
      </c>
    </row>
    <row r="27" ht="15.75" customHeight="1" s="58">
      <c r="A27" s="65" t="n"/>
      <c r="B27" s="65" t="n"/>
      <c r="C27" s="66" t="n"/>
      <c r="D27" s="66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32">
        <f>IF($C27="","",IF($J27="","— חסרים נתונים",IF($J27="טרם מפענח","פרופיל 5",IF($J27="קמץ/פתח/חטף-פתח ושוואים","פרופיל 4",IF($J27="2-3 סימני ניקוד","פרופיל 3",IF($J27="4-5 סימני ניקוד","פרופיל 2",IF(AND($O27="משפטים וקטעים קצרים",OR($M27="מבין",$M27="מבין לרוב")),"פרופיל 1","פרופיל 2")))))))</f>
        <v/>
      </c>
      <c r="R27" s="32">
        <f>IF($C27="","",IF(OR($Q27="",LEFT($Q27,1)="—"),"קבוצה רביעית",IF($Q27="פרופיל 5","קבוצת תשתיות",IF(OR($Q27="פרופיל 4",$Q27="פרופיל 3"),"קבוצת רכישה","קבוצת ביסוס"))))</f>
        <v/>
      </c>
      <c r="S27" s="32">
        <f>IF($F27="","",IF($F27="תחילת שנה",1,IF($F27="מחצית שנה",2,3)))</f>
        <v/>
      </c>
      <c r="T27" s="32">
        <f>IF(OR($B27="",$R27="",$A27="",$F27=""),"",$B27&amp;"|"&amp;$A27&amp;"|"&amp;$F27&amp;"|"&amp;$R27&amp;"|"&amp;COUNTIFS($B$6:$B27,$B27,$A$6:$A27,$A27,$F$6:$F27,$F27,$R$6:$R27,$R27))</f>
        <v/>
      </c>
      <c r="U27" s="32">
        <f>IF($C27="","",$C27&amp;"|"&amp;COUNTIFS($C$6:$C27,$C27))</f>
        <v/>
      </c>
      <c r="V27" s="32">
        <f>IF(OR($C27="",$A27="",$S27=""),"",$C27&amp;"|"&amp;$A27&amp;"|"&amp;$S27)</f>
        <v/>
      </c>
      <c r="W27" s="32">
        <f>IF(OR($C27="",$S27="",$S27=1),"",IFERROR(INDEX($Q$6:$Q$1505,MATCH($C27&amp;"|"&amp;$A27&amp;"|"&amp;($S27-1),$V$6:$V$1505,0)),""))</f>
        <v/>
      </c>
      <c r="X27" s="32">
        <f>IF(OR($W27="",$Q27="",LEFT($Q27,1)="—"),"",IF($W27=$Q27,"ללא שינוי","מ-"&amp;$W27&amp;" ל-"&amp;$Q27))</f>
        <v/>
      </c>
    </row>
    <row r="28" ht="15.75" customHeight="1" s="58">
      <c r="A28" s="65" t="n"/>
      <c r="B28" s="65" t="n"/>
      <c r="C28" s="66" t="n"/>
      <c r="D28" s="66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32">
        <f>IF($C28="","",IF($J28="","— חסרים נתונים",IF($J28="טרם מפענח","פרופיל 5",IF($J28="קמץ/פתח/חטף-פתח ושוואים","פרופיל 4",IF($J28="2-3 סימני ניקוד","פרופיל 3",IF($J28="4-5 סימני ניקוד","פרופיל 2",IF(AND($O28="משפטים וקטעים קצרים",OR($M28="מבין",$M28="מבין לרוב")),"פרופיל 1","פרופיל 2")))))))</f>
        <v/>
      </c>
      <c r="R28" s="32">
        <f>IF($C28="","",IF(OR($Q28="",LEFT($Q28,1)="—"),"קבוצה רביעית",IF($Q28="פרופיל 5","קבוצת תשתיות",IF(OR($Q28="פרופיל 4",$Q28="פרופיל 3"),"קבוצת רכישה","קבוצת ביסוס"))))</f>
        <v/>
      </c>
      <c r="S28" s="32">
        <f>IF($F28="","",IF($F28="תחילת שנה",1,IF($F28="מחצית שנה",2,3)))</f>
        <v/>
      </c>
      <c r="T28" s="32">
        <f>IF(OR($B28="",$R28="",$A28="",$F28=""),"",$B28&amp;"|"&amp;$A28&amp;"|"&amp;$F28&amp;"|"&amp;$R28&amp;"|"&amp;COUNTIFS($B$6:$B28,$B28,$A$6:$A28,$A28,$F$6:$F28,$F28,$R$6:$R28,$R28))</f>
        <v/>
      </c>
      <c r="U28" s="32">
        <f>IF($C28="","",$C28&amp;"|"&amp;COUNTIFS($C$6:$C28,$C28))</f>
        <v/>
      </c>
      <c r="V28" s="32">
        <f>IF(OR($C28="",$A28="",$S28=""),"",$C28&amp;"|"&amp;$A28&amp;"|"&amp;$S28)</f>
        <v/>
      </c>
      <c r="W28" s="32">
        <f>IF(OR($C28="",$S28="",$S28=1),"",IFERROR(INDEX($Q$6:$Q$1505,MATCH($C28&amp;"|"&amp;$A28&amp;"|"&amp;($S28-1),$V$6:$V$1505,0)),""))</f>
        <v/>
      </c>
      <c r="X28" s="32">
        <f>IF(OR($W28="",$Q28="",LEFT($Q28,1)="—"),"",IF($W28=$Q28,"ללא שינוי","מ-"&amp;$W28&amp;" ל-"&amp;$Q28))</f>
        <v/>
      </c>
    </row>
    <row r="29" ht="15.75" customHeight="1" s="58">
      <c r="A29" s="65" t="n"/>
      <c r="B29" s="65" t="n"/>
      <c r="C29" s="66" t="n"/>
      <c r="D29" s="66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  <c r="Q29" s="32">
        <f>IF($C29="","",IF($J29="","— חסרים נתונים",IF($J29="טרם מפענח","פרופיל 5",IF($J29="קמץ/פתח/חטף-פתח ושוואים","פרופיל 4",IF($J29="2-3 סימני ניקוד","פרופיל 3",IF($J29="4-5 סימני ניקוד","פרופיל 2",IF(AND($O29="משפטים וקטעים קצרים",OR($M29="מבין",$M29="מבין לרוב")),"פרופיל 1","פרופיל 2")))))))</f>
        <v/>
      </c>
      <c r="R29" s="32">
        <f>IF($C29="","",IF(OR($Q29="",LEFT($Q29,1)="—"),"קבוצה רביעית",IF($Q29="פרופיל 5","קבוצת תשתיות",IF(OR($Q29="פרופיל 4",$Q29="פרופיל 3"),"קבוצת רכישה","קבוצת ביסוס"))))</f>
        <v/>
      </c>
      <c r="S29" s="32">
        <f>IF($F29="","",IF($F29="תחילת שנה",1,IF($F29="מחצית שנה",2,3)))</f>
        <v/>
      </c>
      <c r="T29" s="32">
        <f>IF(OR($B29="",$R29="",$A29="",$F29=""),"",$B29&amp;"|"&amp;$A29&amp;"|"&amp;$F29&amp;"|"&amp;$R29&amp;"|"&amp;COUNTIFS($B$6:$B29,$B29,$A$6:$A29,$A29,$F$6:$F29,$F29,$R$6:$R29,$R29))</f>
        <v/>
      </c>
      <c r="U29" s="32">
        <f>IF($C29="","",$C29&amp;"|"&amp;COUNTIFS($C$6:$C29,$C29))</f>
        <v/>
      </c>
      <c r="V29" s="32">
        <f>IF(OR($C29="",$A29="",$S29=""),"",$C29&amp;"|"&amp;$A29&amp;"|"&amp;$S29)</f>
        <v/>
      </c>
      <c r="W29" s="32">
        <f>IF(OR($C29="",$S29="",$S29=1),"",IFERROR(INDEX($Q$6:$Q$1505,MATCH($C29&amp;"|"&amp;$A29&amp;"|"&amp;($S29-1),$V$6:$V$1505,0)),""))</f>
        <v/>
      </c>
      <c r="X29" s="32">
        <f>IF(OR($W29="",$Q29="",LEFT($Q29,1)="—"),"",IF($W29=$Q29,"ללא שינוי","מ-"&amp;$W29&amp;" ל-"&amp;$Q29))</f>
        <v/>
      </c>
    </row>
    <row r="30" ht="15.75" customHeight="1" s="58">
      <c r="A30" s="65" t="n"/>
      <c r="B30" s="65" t="n"/>
      <c r="C30" s="66" t="n"/>
      <c r="D30" s="66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32">
        <f>IF($C30="","",IF($J30="","— חסרים נתונים",IF($J30="טרם מפענח","פרופיל 5",IF($J30="קמץ/פתח/חטף-פתח ושוואים","פרופיל 4",IF($J30="2-3 סימני ניקוד","פרופיל 3",IF($J30="4-5 סימני ניקוד","פרופיל 2",IF(AND($O30="משפטים וקטעים קצרים",OR($M30="מבין",$M30="מבין לרוב")),"פרופיל 1","פרופיל 2")))))))</f>
        <v/>
      </c>
      <c r="R30" s="32">
        <f>IF($C30="","",IF(OR($Q30="",LEFT($Q30,1)="—"),"קבוצה רביעית",IF($Q30="פרופיל 5","קבוצת תשתיות",IF(OR($Q30="פרופיל 4",$Q30="פרופיל 3"),"קבוצת רכישה","קבוצת ביסוס"))))</f>
        <v/>
      </c>
      <c r="S30" s="32">
        <f>IF($F30="","",IF($F30="תחילת שנה",1,IF($F30="מחצית שנה",2,3)))</f>
        <v/>
      </c>
      <c r="T30" s="32">
        <f>IF(OR($B30="",$R30="",$A30="",$F30=""),"",$B30&amp;"|"&amp;$A30&amp;"|"&amp;$F30&amp;"|"&amp;$R30&amp;"|"&amp;COUNTIFS($B$6:$B30,$B30,$A$6:$A30,$A30,$F$6:$F30,$F30,$R$6:$R30,$R30))</f>
        <v/>
      </c>
      <c r="U30" s="32">
        <f>IF($C30="","",$C30&amp;"|"&amp;COUNTIFS($C$6:$C30,$C30))</f>
        <v/>
      </c>
      <c r="V30" s="32">
        <f>IF(OR($C30="",$A30="",$S30=""),"",$C30&amp;"|"&amp;$A30&amp;"|"&amp;$S30)</f>
        <v/>
      </c>
      <c r="W30" s="32">
        <f>IF(OR($C30="",$S30="",$S30=1),"",IFERROR(INDEX($Q$6:$Q$1505,MATCH($C30&amp;"|"&amp;$A30&amp;"|"&amp;($S30-1),$V$6:$V$1505,0)),""))</f>
        <v/>
      </c>
      <c r="X30" s="32">
        <f>IF(OR($W30="",$Q30="",LEFT($Q30,1)="—"),"",IF($W30=$Q30,"ללא שינוי","מ-"&amp;$W30&amp;" ל-"&amp;$Q30))</f>
        <v/>
      </c>
    </row>
    <row r="31" ht="15.75" customHeight="1" s="58">
      <c r="A31" s="65" t="n"/>
      <c r="B31" s="65" t="n"/>
      <c r="C31" s="66" t="n"/>
      <c r="D31" s="66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32">
        <f>IF($C31="","",IF($J31="","— חסרים נתונים",IF($J31="טרם מפענח","פרופיל 5",IF($J31="קמץ/פתח/חטף-פתח ושוואים","פרופיל 4",IF($J31="2-3 סימני ניקוד","פרופיל 3",IF($J31="4-5 סימני ניקוד","פרופיל 2",IF(AND($O31="משפטים וקטעים קצרים",OR($M31="מבין",$M31="מבין לרוב")),"פרופיל 1","פרופיל 2")))))))</f>
        <v/>
      </c>
      <c r="R31" s="32">
        <f>IF($C31="","",IF(OR($Q31="",LEFT($Q31,1)="—"),"קבוצה רביעית",IF($Q31="פרופיל 5","קבוצת תשתיות",IF(OR($Q31="פרופיל 4",$Q31="פרופיל 3"),"קבוצת רכישה","קבוצת ביסוס"))))</f>
        <v/>
      </c>
      <c r="S31" s="32">
        <f>IF($F31="","",IF($F31="תחילת שנה",1,IF($F31="מחצית שנה",2,3)))</f>
        <v/>
      </c>
      <c r="T31" s="32">
        <f>IF(OR($B31="",$R31="",$A31="",$F31=""),"",$B31&amp;"|"&amp;$A31&amp;"|"&amp;$F31&amp;"|"&amp;$R31&amp;"|"&amp;COUNTIFS($B$6:$B31,$B31,$A$6:$A31,$A31,$F$6:$F31,$F31,$R$6:$R31,$R31))</f>
        <v/>
      </c>
      <c r="U31" s="32">
        <f>IF($C31="","",$C31&amp;"|"&amp;COUNTIFS($C$6:$C31,$C31))</f>
        <v/>
      </c>
      <c r="V31" s="32">
        <f>IF(OR($C31="",$A31="",$S31=""),"",$C31&amp;"|"&amp;$A31&amp;"|"&amp;$S31)</f>
        <v/>
      </c>
      <c r="W31" s="32">
        <f>IF(OR($C31="",$S31="",$S31=1),"",IFERROR(INDEX($Q$6:$Q$1505,MATCH($C31&amp;"|"&amp;$A31&amp;"|"&amp;($S31-1),$V$6:$V$1505,0)),""))</f>
        <v/>
      </c>
      <c r="X31" s="32">
        <f>IF(OR($W31="",$Q31="",LEFT($Q31,1)="—"),"",IF($W31=$Q31,"ללא שינוי","מ-"&amp;$W31&amp;" ל-"&amp;$Q31))</f>
        <v/>
      </c>
    </row>
    <row r="32" ht="15.75" customHeight="1" s="58">
      <c r="A32" s="65" t="n"/>
      <c r="B32" s="65" t="n"/>
      <c r="C32" s="66" t="n"/>
      <c r="D32" s="66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32">
        <f>IF($C32="","",IF($J32="","— חסרים נתונים",IF($J32="טרם מפענח","פרופיל 5",IF($J32="קמץ/פתח/חטף-פתח ושוואים","פרופיל 4",IF($J32="2-3 סימני ניקוד","פרופיל 3",IF($J32="4-5 סימני ניקוד","פרופיל 2",IF(AND($O32="משפטים וקטעים קצרים",OR($M32="מבין",$M32="מבין לרוב")),"פרופיל 1","פרופיל 2")))))))</f>
        <v/>
      </c>
      <c r="R32" s="32">
        <f>IF($C32="","",IF(OR($Q32="",LEFT($Q32,1)="—"),"קבוצה רביעית",IF($Q32="פרופיל 5","קבוצת תשתיות",IF(OR($Q32="פרופיל 4",$Q32="פרופיל 3"),"קבוצת רכישה","קבוצת ביסוס"))))</f>
        <v/>
      </c>
      <c r="S32" s="32">
        <f>IF($F32="","",IF($F32="תחילת שנה",1,IF($F32="מחצית שנה",2,3)))</f>
        <v/>
      </c>
      <c r="T32" s="32">
        <f>IF(OR($B32="",$R32="",$A32="",$F32=""),"",$B32&amp;"|"&amp;$A32&amp;"|"&amp;$F32&amp;"|"&amp;$R32&amp;"|"&amp;COUNTIFS($B$6:$B32,$B32,$A$6:$A32,$A32,$F$6:$F32,$F32,$R$6:$R32,$R32))</f>
        <v/>
      </c>
      <c r="U32" s="32">
        <f>IF($C32="","",$C32&amp;"|"&amp;COUNTIFS($C$6:$C32,$C32))</f>
        <v/>
      </c>
      <c r="V32" s="32">
        <f>IF(OR($C32="",$A32="",$S32=""),"",$C32&amp;"|"&amp;$A32&amp;"|"&amp;$S32)</f>
        <v/>
      </c>
      <c r="W32" s="32">
        <f>IF(OR($C32="",$S32="",$S32=1),"",IFERROR(INDEX($Q$6:$Q$1505,MATCH($C32&amp;"|"&amp;$A32&amp;"|"&amp;($S32-1),$V$6:$V$1505,0)),""))</f>
        <v/>
      </c>
      <c r="X32" s="32">
        <f>IF(OR($W32="",$Q32="",LEFT($Q32,1)="—"),"",IF($W32=$Q32,"ללא שינוי","מ-"&amp;$W32&amp;" ל-"&amp;$Q32))</f>
        <v/>
      </c>
    </row>
    <row r="33" ht="15.75" customHeight="1" s="58">
      <c r="A33" s="65" t="n"/>
      <c r="B33" s="65" t="n"/>
      <c r="C33" s="66" t="n"/>
      <c r="D33" s="66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32">
        <f>IF($C33="","",IF($J33="","— חסרים נתונים",IF($J33="טרם מפענח","פרופיל 5",IF($J33="קמץ/פתח/חטף-פתח ושוואים","פרופיל 4",IF($J33="2-3 סימני ניקוד","פרופיל 3",IF($J33="4-5 סימני ניקוד","פרופיל 2",IF(AND($O33="משפטים וקטעים קצרים",OR($M33="מבין",$M33="מבין לרוב")),"פרופיל 1","פרופיל 2")))))))</f>
        <v/>
      </c>
      <c r="R33" s="32">
        <f>IF($C33="","",IF(OR($Q33="",LEFT($Q33,1)="—"),"קבוצה רביעית",IF($Q33="פרופיל 5","קבוצת תשתיות",IF(OR($Q33="פרופיל 4",$Q33="פרופיל 3"),"קבוצת רכישה","קבוצת ביסוס"))))</f>
        <v/>
      </c>
      <c r="S33" s="32">
        <f>IF($F33="","",IF($F33="תחילת שנה",1,IF($F33="מחצית שנה",2,3)))</f>
        <v/>
      </c>
      <c r="T33" s="32">
        <f>IF(OR($B33="",$R33="",$A33="",$F33=""),"",$B33&amp;"|"&amp;$A33&amp;"|"&amp;$F33&amp;"|"&amp;$R33&amp;"|"&amp;COUNTIFS($B$6:$B33,$B33,$A$6:$A33,$A33,$F$6:$F33,$F33,$R$6:$R33,$R33))</f>
        <v/>
      </c>
      <c r="U33" s="32">
        <f>IF($C33="","",$C33&amp;"|"&amp;COUNTIFS($C$6:$C33,$C33))</f>
        <v/>
      </c>
      <c r="V33" s="32">
        <f>IF(OR($C33="",$A33="",$S33=""),"",$C33&amp;"|"&amp;$A33&amp;"|"&amp;$S33)</f>
        <v/>
      </c>
      <c r="W33" s="32">
        <f>IF(OR($C33="",$S33="",$S33=1),"",IFERROR(INDEX($Q$6:$Q$1505,MATCH($C33&amp;"|"&amp;$A33&amp;"|"&amp;($S33-1),$V$6:$V$1505,0)),""))</f>
        <v/>
      </c>
      <c r="X33" s="32">
        <f>IF(OR($W33="",$Q33="",LEFT($Q33,1)="—"),"",IF($W33=$Q33,"ללא שינוי","מ-"&amp;$W33&amp;" ל-"&amp;$Q33))</f>
        <v/>
      </c>
    </row>
    <row r="34" ht="15.75" customHeight="1" s="58">
      <c r="A34" s="65" t="n"/>
      <c r="B34" s="65" t="n"/>
      <c r="C34" s="66" t="n"/>
      <c r="D34" s="66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32">
        <f>IF($C34="","",IF($J34="","— חסרים נתונים",IF($J34="טרם מפענח","פרופיל 5",IF($J34="קמץ/פתח/חטף-פתח ושוואים","פרופיל 4",IF($J34="2-3 סימני ניקוד","פרופיל 3",IF($J34="4-5 סימני ניקוד","פרופיל 2",IF(AND($O34="משפטים וקטעים קצרים",OR($M34="מבין",$M34="מבין לרוב")),"פרופיל 1","פרופיל 2")))))))</f>
        <v/>
      </c>
      <c r="R34" s="32">
        <f>IF($C34="","",IF(OR($Q34="",LEFT($Q34,1)="—"),"קבוצה רביעית",IF($Q34="פרופיל 5","קבוצת תשתיות",IF(OR($Q34="פרופיל 4",$Q34="פרופיל 3"),"קבוצת רכישה","קבוצת ביסוס"))))</f>
        <v/>
      </c>
      <c r="S34" s="32">
        <f>IF($F34="","",IF($F34="תחילת שנה",1,IF($F34="מחצית שנה",2,3)))</f>
        <v/>
      </c>
      <c r="T34" s="32">
        <f>IF(OR($B34="",$R34="",$A34="",$F34=""),"",$B34&amp;"|"&amp;$A34&amp;"|"&amp;$F34&amp;"|"&amp;$R34&amp;"|"&amp;COUNTIFS($B$6:$B34,$B34,$A$6:$A34,$A34,$F$6:$F34,$F34,$R$6:$R34,$R34))</f>
        <v/>
      </c>
      <c r="U34" s="32">
        <f>IF($C34="","",$C34&amp;"|"&amp;COUNTIFS($C$6:$C34,$C34))</f>
        <v/>
      </c>
      <c r="V34" s="32">
        <f>IF(OR($C34="",$A34="",$S34=""),"",$C34&amp;"|"&amp;$A34&amp;"|"&amp;$S34)</f>
        <v/>
      </c>
      <c r="W34" s="32">
        <f>IF(OR($C34="",$S34="",$S34=1),"",IFERROR(INDEX($Q$6:$Q$1505,MATCH($C34&amp;"|"&amp;$A34&amp;"|"&amp;($S34-1),$V$6:$V$1505,0)),""))</f>
        <v/>
      </c>
      <c r="X34" s="32">
        <f>IF(OR($W34="",$Q34="",LEFT($Q34,1)="—"),"",IF($W34=$Q34,"ללא שינוי","מ-"&amp;$W34&amp;" ל-"&amp;$Q34))</f>
        <v/>
      </c>
    </row>
    <row r="35" ht="15.75" customHeight="1" s="58">
      <c r="A35" s="65" t="n"/>
      <c r="B35" s="65" t="n"/>
      <c r="C35" s="66" t="n"/>
      <c r="D35" s="66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32">
        <f>IF($C35="","",IF($J35="","— חסרים נתונים",IF($J35="טרם מפענח","פרופיל 5",IF($J35="קמץ/פתח/חטף-פתח ושוואים","פרופיל 4",IF($J35="2-3 סימני ניקוד","פרופיל 3",IF($J35="4-5 סימני ניקוד","פרופיל 2",IF(AND($O35="משפטים וקטעים קצרים",OR($M35="מבין",$M35="מבין לרוב")),"פרופיל 1","פרופיל 2")))))))</f>
        <v/>
      </c>
      <c r="R35" s="32">
        <f>IF($C35="","",IF(OR($Q35="",LEFT($Q35,1)="—"),"קבוצה רביעית",IF($Q35="פרופיל 5","קבוצת תשתיות",IF(OR($Q35="פרופיל 4",$Q35="פרופיל 3"),"קבוצת רכישה","קבוצת ביסוס"))))</f>
        <v/>
      </c>
      <c r="S35" s="32">
        <f>IF($F35="","",IF($F35="תחילת שנה",1,IF($F35="מחצית שנה",2,3)))</f>
        <v/>
      </c>
      <c r="T35" s="32">
        <f>IF(OR($B35="",$R35="",$A35="",$F35=""),"",$B35&amp;"|"&amp;$A35&amp;"|"&amp;$F35&amp;"|"&amp;$R35&amp;"|"&amp;COUNTIFS($B$6:$B35,$B35,$A$6:$A35,$A35,$F$6:$F35,$F35,$R$6:$R35,$R35))</f>
        <v/>
      </c>
      <c r="U35" s="32">
        <f>IF($C35="","",$C35&amp;"|"&amp;COUNTIFS($C$6:$C35,$C35))</f>
        <v/>
      </c>
      <c r="V35" s="32">
        <f>IF(OR($C35="",$A35="",$S35=""),"",$C35&amp;"|"&amp;$A35&amp;"|"&amp;$S35)</f>
        <v/>
      </c>
      <c r="W35" s="32">
        <f>IF(OR($C35="",$S35="",$S35=1),"",IFERROR(INDEX($Q$6:$Q$1505,MATCH($C35&amp;"|"&amp;$A35&amp;"|"&amp;($S35-1),$V$6:$V$1505,0)),""))</f>
        <v/>
      </c>
      <c r="X35" s="32">
        <f>IF(OR($W35="",$Q35="",LEFT($Q35,1)="—"),"",IF($W35=$Q35,"ללא שינוי","מ-"&amp;$W35&amp;" ל-"&amp;$Q35))</f>
        <v/>
      </c>
    </row>
    <row r="36" ht="15.75" customHeight="1" s="58">
      <c r="A36" s="65" t="n"/>
      <c r="B36" s="65" t="n"/>
      <c r="C36" s="66" t="n"/>
      <c r="D36" s="66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  <c r="Q36" s="32">
        <f>IF($C36="","",IF($J36="","— חסרים נתונים",IF($J36="טרם מפענח","פרופיל 5",IF($J36="קמץ/פתח/חטף-פתח ושוואים","פרופיל 4",IF($J36="2-3 סימני ניקוד","פרופיל 3",IF($J36="4-5 סימני ניקוד","פרופיל 2",IF(AND($O36="משפטים וקטעים קצרים",OR($M36="מבין",$M36="מבין לרוב")),"פרופיל 1","פרופיל 2")))))))</f>
        <v/>
      </c>
      <c r="R36" s="32">
        <f>IF($C36="","",IF(OR($Q36="",LEFT($Q36,1)="—"),"קבוצה רביעית",IF($Q36="פרופיל 5","קבוצת תשתיות",IF(OR($Q36="פרופיל 4",$Q36="פרופיל 3"),"קבוצת רכישה","קבוצת ביסוס"))))</f>
        <v/>
      </c>
      <c r="S36" s="32">
        <f>IF($F36="","",IF($F36="תחילת שנה",1,IF($F36="מחצית שנה",2,3)))</f>
        <v/>
      </c>
      <c r="T36" s="32">
        <f>IF(OR($B36="",$R36="",$A36="",$F36=""),"",$B36&amp;"|"&amp;$A36&amp;"|"&amp;$F36&amp;"|"&amp;$R36&amp;"|"&amp;COUNTIFS($B$6:$B36,$B36,$A$6:$A36,$A36,$F$6:$F36,$F36,$R$6:$R36,$R36))</f>
        <v/>
      </c>
      <c r="U36" s="32">
        <f>IF($C36="","",$C36&amp;"|"&amp;COUNTIFS($C$6:$C36,$C36))</f>
        <v/>
      </c>
      <c r="V36" s="32">
        <f>IF(OR($C36="",$A36="",$S36=""),"",$C36&amp;"|"&amp;$A36&amp;"|"&amp;$S36)</f>
        <v/>
      </c>
      <c r="W36" s="32">
        <f>IF(OR($C36="",$S36="",$S36=1),"",IFERROR(INDEX($Q$6:$Q$1505,MATCH($C36&amp;"|"&amp;$A36&amp;"|"&amp;($S36-1),$V$6:$V$1505,0)),""))</f>
        <v/>
      </c>
      <c r="X36" s="32">
        <f>IF(OR($W36="",$Q36="",LEFT($Q36,1)="—"),"",IF($W36=$Q36,"ללא שינוי","מ-"&amp;$W36&amp;" ל-"&amp;$Q36))</f>
        <v/>
      </c>
    </row>
    <row r="37" ht="15.75" customHeight="1" s="58">
      <c r="A37" s="65" t="n"/>
      <c r="B37" s="65" t="n"/>
      <c r="C37" s="66" t="n"/>
      <c r="D37" s="66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  <c r="Q37" s="32">
        <f>IF($C37="","",IF($J37="","— חסרים נתונים",IF($J37="טרם מפענח","פרופיל 5",IF($J37="קמץ/פתח/חטף-פתח ושוואים","פרופיל 4",IF($J37="2-3 סימני ניקוד","פרופיל 3",IF($J37="4-5 סימני ניקוד","פרופיל 2",IF(AND($O37="משפטים וקטעים קצרים",OR($M37="מבין",$M37="מבין לרוב")),"פרופיל 1","פרופיל 2")))))))</f>
        <v/>
      </c>
      <c r="R37" s="32">
        <f>IF($C37="","",IF(OR($Q37="",LEFT($Q37,1)="—"),"קבוצה רביעית",IF($Q37="פרופיל 5","קבוצת תשתיות",IF(OR($Q37="פרופיל 4",$Q37="פרופיל 3"),"קבוצת רכישה","קבוצת ביסוס"))))</f>
        <v/>
      </c>
      <c r="S37" s="32">
        <f>IF($F37="","",IF($F37="תחילת שנה",1,IF($F37="מחצית שנה",2,3)))</f>
        <v/>
      </c>
      <c r="T37" s="32">
        <f>IF(OR($B37="",$R37="",$A37="",$F37=""),"",$B37&amp;"|"&amp;$A37&amp;"|"&amp;$F37&amp;"|"&amp;$R37&amp;"|"&amp;COUNTIFS($B$6:$B37,$B37,$A$6:$A37,$A37,$F$6:$F37,$F37,$R$6:$R37,$R37))</f>
        <v/>
      </c>
      <c r="U37" s="32">
        <f>IF($C37="","",$C37&amp;"|"&amp;COUNTIFS($C$6:$C37,$C37))</f>
        <v/>
      </c>
      <c r="V37" s="32">
        <f>IF(OR($C37="",$A37="",$S37=""),"",$C37&amp;"|"&amp;$A37&amp;"|"&amp;$S37)</f>
        <v/>
      </c>
      <c r="W37" s="32">
        <f>IF(OR($C37="",$S37="",$S37=1),"",IFERROR(INDEX($Q$6:$Q$1505,MATCH($C37&amp;"|"&amp;$A37&amp;"|"&amp;($S37-1),$V$6:$V$1505,0)),""))</f>
        <v/>
      </c>
      <c r="X37" s="32">
        <f>IF(OR($W37="",$Q37="",LEFT($Q37,1)="—"),"",IF($W37=$Q37,"ללא שינוי","מ-"&amp;$W37&amp;" ל-"&amp;$Q37))</f>
        <v/>
      </c>
    </row>
    <row r="38" ht="15.75" customHeight="1" s="58">
      <c r="A38" s="65" t="n"/>
      <c r="B38" s="65" t="n"/>
      <c r="C38" s="66" t="n"/>
      <c r="D38" s="66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  <c r="Q38" s="32">
        <f>IF($C38="","",IF($J38="","— חסרים נתונים",IF($J38="טרם מפענח","פרופיל 5",IF($J38="קמץ/פתח/חטף-פתח ושוואים","פרופיל 4",IF($J38="2-3 סימני ניקוד","פרופיל 3",IF($J38="4-5 סימני ניקוד","פרופיל 2",IF(AND($O38="משפטים וקטעים קצרים",OR($M38="מבין",$M38="מבין לרוב")),"פרופיל 1","פרופיל 2")))))))</f>
        <v/>
      </c>
      <c r="R38" s="32">
        <f>IF($C38="","",IF(OR($Q38="",LEFT($Q38,1)="—"),"קבוצה רביעית",IF($Q38="פרופיל 5","קבוצת תשתיות",IF(OR($Q38="פרופיל 4",$Q38="פרופיל 3"),"קבוצת רכישה","קבוצת ביסוס"))))</f>
        <v/>
      </c>
      <c r="S38" s="32">
        <f>IF($F38="","",IF($F38="תחילת שנה",1,IF($F38="מחצית שנה",2,3)))</f>
        <v/>
      </c>
      <c r="T38" s="32">
        <f>IF(OR($B38="",$R38="",$A38="",$F38=""),"",$B38&amp;"|"&amp;$A38&amp;"|"&amp;$F38&amp;"|"&amp;$R38&amp;"|"&amp;COUNTIFS($B$6:$B38,$B38,$A$6:$A38,$A38,$F$6:$F38,$F38,$R$6:$R38,$R38))</f>
        <v/>
      </c>
      <c r="U38" s="32">
        <f>IF($C38="","",$C38&amp;"|"&amp;COUNTIFS($C$6:$C38,$C38))</f>
        <v/>
      </c>
      <c r="V38" s="32">
        <f>IF(OR($C38="",$A38="",$S38=""),"",$C38&amp;"|"&amp;$A38&amp;"|"&amp;$S38)</f>
        <v/>
      </c>
      <c r="W38" s="32">
        <f>IF(OR($C38="",$S38="",$S38=1),"",IFERROR(INDEX($Q$6:$Q$1505,MATCH($C38&amp;"|"&amp;$A38&amp;"|"&amp;($S38-1),$V$6:$V$1505,0)),""))</f>
        <v/>
      </c>
      <c r="X38" s="32">
        <f>IF(OR($W38="",$Q38="",LEFT($Q38,1)="—"),"",IF($W38=$Q38,"ללא שינוי","מ-"&amp;$W38&amp;" ל-"&amp;$Q38))</f>
        <v/>
      </c>
    </row>
    <row r="39" ht="15.75" customHeight="1" s="58">
      <c r="A39" s="65" t="n"/>
      <c r="B39" s="65" t="n"/>
      <c r="C39" s="66" t="n"/>
      <c r="D39" s="66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  <c r="Q39" s="32">
        <f>IF($C39="","",IF($J39="","— חסרים נתונים",IF($J39="טרם מפענח","פרופיל 5",IF($J39="קמץ/פתח/חטף-פתח ושוואים","פרופיל 4",IF($J39="2-3 סימני ניקוד","פרופיל 3",IF($J39="4-5 סימני ניקוד","פרופיל 2",IF(AND($O39="משפטים וקטעים קצרים",OR($M39="מבין",$M39="מבין לרוב")),"פרופיל 1","פרופיל 2")))))))</f>
        <v/>
      </c>
      <c r="R39" s="32">
        <f>IF($C39="","",IF(OR($Q39="",LEFT($Q39,1)="—"),"קבוצה רביעית",IF($Q39="פרופיל 5","קבוצת תשתיות",IF(OR($Q39="פרופיל 4",$Q39="פרופיל 3"),"קבוצת רכישה","קבוצת ביסוס"))))</f>
        <v/>
      </c>
      <c r="S39" s="32">
        <f>IF($F39="","",IF($F39="תחילת שנה",1,IF($F39="מחצית שנה",2,3)))</f>
        <v/>
      </c>
      <c r="T39" s="32">
        <f>IF(OR($B39="",$R39="",$A39="",$F39=""),"",$B39&amp;"|"&amp;$A39&amp;"|"&amp;$F39&amp;"|"&amp;$R39&amp;"|"&amp;COUNTIFS($B$6:$B39,$B39,$A$6:$A39,$A39,$F$6:$F39,$F39,$R$6:$R39,$R39))</f>
        <v/>
      </c>
      <c r="U39" s="32">
        <f>IF($C39="","",$C39&amp;"|"&amp;COUNTIFS($C$6:$C39,$C39))</f>
        <v/>
      </c>
      <c r="V39" s="32">
        <f>IF(OR($C39="",$A39="",$S39=""),"",$C39&amp;"|"&amp;$A39&amp;"|"&amp;$S39)</f>
        <v/>
      </c>
      <c r="W39" s="32">
        <f>IF(OR($C39="",$S39="",$S39=1),"",IFERROR(INDEX($Q$6:$Q$1505,MATCH($C39&amp;"|"&amp;$A39&amp;"|"&amp;($S39-1),$V$6:$V$1505,0)),""))</f>
        <v/>
      </c>
      <c r="X39" s="32">
        <f>IF(OR($W39="",$Q39="",LEFT($Q39,1)="—"),"",IF($W39=$Q39,"ללא שינוי","מ-"&amp;$W39&amp;" ל-"&amp;$Q39))</f>
        <v/>
      </c>
    </row>
    <row r="40" ht="15.75" customHeight="1" s="58">
      <c r="A40" s="65" t="n"/>
      <c r="B40" s="65" t="n"/>
      <c r="C40" s="66" t="n"/>
      <c r="D40" s="66" t="n"/>
      <c r="E40" s="65" t="n"/>
      <c r="F40" s="65" t="n"/>
      <c r="G40" s="65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  <c r="Q40" s="32">
        <f>IF($C40="","",IF($J40="","— חסרים נתונים",IF($J40="טרם מפענח","פרופיל 5",IF($J40="קמץ/פתח/חטף-פתח ושוואים","פרופיל 4",IF($J40="2-3 סימני ניקוד","פרופיל 3",IF($J40="4-5 סימני ניקוד","פרופיל 2",IF(AND($O40="משפטים וקטעים קצרים",OR($M40="מבין",$M40="מבין לרוב")),"פרופיל 1","פרופיל 2")))))))</f>
        <v/>
      </c>
      <c r="R40" s="32">
        <f>IF($C40="","",IF(OR($Q40="",LEFT($Q40,1)="—"),"קבוצה רביעית",IF($Q40="פרופיל 5","קבוצת תשתיות",IF(OR($Q40="פרופיל 4",$Q40="פרופיל 3"),"קבוצת רכישה","קבוצת ביסוס"))))</f>
        <v/>
      </c>
      <c r="S40" s="32">
        <f>IF($F40="","",IF($F40="תחילת שנה",1,IF($F40="מחצית שנה",2,3)))</f>
        <v/>
      </c>
      <c r="T40" s="32">
        <f>IF(OR($B40="",$R40="",$A40="",$F40=""),"",$B40&amp;"|"&amp;$A40&amp;"|"&amp;$F40&amp;"|"&amp;$R40&amp;"|"&amp;COUNTIFS($B$6:$B40,$B40,$A$6:$A40,$A40,$F$6:$F40,$F40,$R$6:$R40,$R40))</f>
        <v/>
      </c>
      <c r="U40" s="32">
        <f>IF($C40="","",$C40&amp;"|"&amp;COUNTIFS($C$6:$C40,$C40))</f>
        <v/>
      </c>
      <c r="V40" s="32">
        <f>IF(OR($C40="",$A40="",$S40=""),"",$C40&amp;"|"&amp;$A40&amp;"|"&amp;$S40)</f>
        <v/>
      </c>
      <c r="W40" s="32">
        <f>IF(OR($C40="",$S40="",$S40=1),"",IFERROR(INDEX($Q$6:$Q$1505,MATCH($C40&amp;"|"&amp;$A40&amp;"|"&amp;($S40-1),$V$6:$V$1505,0)),""))</f>
        <v/>
      </c>
      <c r="X40" s="32">
        <f>IF(OR($W40="",$Q40="",LEFT($Q40,1)="—"),"",IF($W40=$Q40,"ללא שינוי","מ-"&amp;$W40&amp;" ל-"&amp;$Q40))</f>
        <v/>
      </c>
    </row>
    <row r="41" ht="15.75" customHeight="1" s="58">
      <c r="A41" s="65" t="n"/>
      <c r="B41" s="65" t="n"/>
      <c r="C41" s="66" t="n"/>
      <c r="D41" s="66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32">
        <f>IF($C41="","",IF($J41="","— חסרים נתונים",IF($J41="טרם מפענח","פרופיל 5",IF($J41="קמץ/פתח/חטף-פתח ושוואים","פרופיל 4",IF($J41="2-3 סימני ניקוד","פרופיל 3",IF($J41="4-5 סימני ניקוד","פרופיל 2",IF(AND($O41="משפטים וקטעים קצרים",OR($M41="מבין",$M41="מבין לרוב")),"פרופיל 1","פרופיל 2")))))))</f>
        <v/>
      </c>
      <c r="R41" s="32">
        <f>IF($C41="","",IF(OR($Q41="",LEFT($Q41,1)="—"),"קבוצה רביעית",IF($Q41="פרופיל 5","קבוצת תשתיות",IF(OR($Q41="פרופיל 4",$Q41="פרופיל 3"),"קבוצת רכישה","קבוצת ביסוס"))))</f>
        <v/>
      </c>
      <c r="S41" s="32">
        <f>IF($F41="","",IF($F41="תחילת שנה",1,IF($F41="מחצית שנה",2,3)))</f>
        <v/>
      </c>
      <c r="T41" s="32">
        <f>IF(OR($B41="",$R41="",$A41="",$F41=""),"",$B41&amp;"|"&amp;$A41&amp;"|"&amp;$F41&amp;"|"&amp;$R41&amp;"|"&amp;COUNTIFS($B$6:$B41,$B41,$A$6:$A41,$A41,$F$6:$F41,$F41,$R$6:$R41,$R41))</f>
        <v/>
      </c>
      <c r="U41" s="32">
        <f>IF($C41="","",$C41&amp;"|"&amp;COUNTIFS($C$6:$C41,$C41))</f>
        <v/>
      </c>
      <c r="V41" s="32">
        <f>IF(OR($C41="",$A41="",$S41=""),"",$C41&amp;"|"&amp;$A41&amp;"|"&amp;$S41)</f>
        <v/>
      </c>
      <c r="W41" s="32">
        <f>IF(OR($C41="",$S41="",$S41=1),"",IFERROR(INDEX($Q$6:$Q$1505,MATCH($C41&amp;"|"&amp;$A41&amp;"|"&amp;($S41-1),$V$6:$V$1505,0)),""))</f>
        <v/>
      </c>
      <c r="X41" s="32">
        <f>IF(OR($W41="",$Q41="",LEFT($Q41,1)="—"),"",IF($W41=$Q41,"ללא שינוי","מ-"&amp;$W41&amp;" ל-"&amp;$Q41))</f>
        <v/>
      </c>
    </row>
    <row r="42" ht="15.75" customHeight="1" s="58">
      <c r="A42" s="65" t="n"/>
      <c r="B42" s="65" t="n"/>
      <c r="C42" s="66" t="n"/>
      <c r="D42" s="66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32">
        <f>IF($C42="","",IF($J42="","— חסרים נתונים",IF($J42="טרם מפענח","פרופיל 5",IF($J42="קמץ/פתח/חטף-פתח ושוואים","פרופיל 4",IF($J42="2-3 סימני ניקוד","פרופיל 3",IF($J42="4-5 סימני ניקוד","פרופיל 2",IF(AND($O42="משפטים וקטעים קצרים",OR($M42="מבין",$M42="מבין לרוב")),"פרופיל 1","פרופיל 2")))))))</f>
        <v/>
      </c>
      <c r="R42" s="32">
        <f>IF($C42="","",IF(OR($Q42="",LEFT($Q42,1)="—"),"קבוצה רביעית",IF($Q42="פרופיל 5","קבוצת תשתיות",IF(OR($Q42="פרופיל 4",$Q42="פרופיל 3"),"קבוצת רכישה","קבוצת ביסוס"))))</f>
        <v/>
      </c>
      <c r="S42" s="32">
        <f>IF($F42="","",IF($F42="תחילת שנה",1,IF($F42="מחצית שנה",2,3)))</f>
        <v/>
      </c>
      <c r="T42" s="32">
        <f>IF(OR($B42="",$R42="",$A42="",$F42=""),"",$B42&amp;"|"&amp;$A42&amp;"|"&amp;$F42&amp;"|"&amp;$R42&amp;"|"&amp;COUNTIFS($B$6:$B42,$B42,$A$6:$A42,$A42,$F$6:$F42,$F42,$R$6:$R42,$R42))</f>
        <v/>
      </c>
      <c r="U42" s="32">
        <f>IF($C42="","",$C42&amp;"|"&amp;COUNTIFS($C$6:$C42,$C42))</f>
        <v/>
      </c>
      <c r="V42" s="32">
        <f>IF(OR($C42="",$A42="",$S42=""),"",$C42&amp;"|"&amp;$A42&amp;"|"&amp;$S42)</f>
        <v/>
      </c>
      <c r="W42" s="32">
        <f>IF(OR($C42="",$S42="",$S42=1),"",IFERROR(INDEX($Q$6:$Q$1505,MATCH($C42&amp;"|"&amp;$A42&amp;"|"&amp;($S42-1),$V$6:$V$1505,0)),""))</f>
        <v/>
      </c>
      <c r="X42" s="32">
        <f>IF(OR($W42="",$Q42="",LEFT($Q42,1)="—"),"",IF($W42=$Q42,"ללא שינוי","מ-"&amp;$W42&amp;" ל-"&amp;$Q42))</f>
        <v/>
      </c>
    </row>
    <row r="43" ht="15.75" customHeight="1" s="58">
      <c r="A43" s="65" t="n"/>
      <c r="B43" s="65" t="n"/>
      <c r="C43" s="66" t="n"/>
      <c r="D43" s="66" t="n"/>
      <c r="E43" s="65" t="n"/>
      <c r="F43" s="65" t="n"/>
      <c r="G43" s="65" t="n"/>
      <c r="H43" s="65" t="n"/>
      <c r="I43" s="65" t="n"/>
      <c r="J43" s="65" t="n"/>
      <c r="K43" s="65" t="n"/>
      <c r="L43" s="65" t="n"/>
      <c r="M43" s="65" t="n"/>
      <c r="N43" s="65" t="n"/>
      <c r="O43" s="65" t="n"/>
      <c r="P43" s="65" t="n"/>
      <c r="Q43" s="32">
        <f>IF($C43="","",IF($J43="","— חסרים נתונים",IF($J43="טרם מפענח","פרופיל 5",IF($J43="קמץ/פתח/חטף-פתח ושוואים","פרופיל 4",IF($J43="2-3 סימני ניקוד","פרופיל 3",IF($J43="4-5 סימני ניקוד","פרופיל 2",IF(AND($O43="משפטים וקטעים קצרים",OR($M43="מבין",$M43="מבין לרוב")),"פרופיל 1","פרופיל 2")))))))</f>
        <v/>
      </c>
      <c r="R43" s="32">
        <f>IF($C43="","",IF(OR($Q43="",LEFT($Q43,1)="—"),"קבוצה רביעית",IF($Q43="פרופיל 5","קבוצת תשתיות",IF(OR($Q43="פרופיל 4",$Q43="פרופיל 3"),"קבוצת רכישה","קבוצת ביסוס"))))</f>
        <v/>
      </c>
      <c r="S43" s="32">
        <f>IF($F43="","",IF($F43="תחילת שנה",1,IF($F43="מחצית שנה",2,3)))</f>
        <v/>
      </c>
      <c r="T43" s="32">
        <f>IF(OR($B43="",$R43="",$A43="",$F43=""),"",$B43&amp;"|"&amp;$A43&amp;"|"&amp;$F43&amp;"|"&amp;$R43&amp;"|"&amp;COUNTIFS($B$6:$B43,$B43,$A$6:$A43,$A43,$F$6:$F43,$F43,$R$6:$R43,$R43))</f>
        <v/>
      </c>
      <c r="U43" s="32">
        <f>IF($C43="","",$C43&amp;"|"&amp;COUNTIFS($C$6:$C43,$C43))</f>
        <v/>
      </c>
      <c r="V43" s="32">
        <f>IF(OR($C43="",$A43="",$S43=""),"",$C43&amp;"|"&amp;$A43&amp;"|"&amp;$S43)</f>
        <v/>
      </c>
      <c r="W43" s="32">
        <f>IF(OR($C43="",$S43="",$S43=1),"",IFERROR(INDEX($Q$6:$Q$1505,MATCH($C43&amp;"|"&amp;$A43&amp;"|"&amp;($S43-1),$V$6:$V$1505,0)),""))</f>
        <v/>
      </c>
      <c r="X43" s="32">
        <f>IF(OR($W43="",$Q43="",LEFT($Q43,1)="—"),"",IF($W43=$Q43,"ללא שינוי","מ-"&amp;$W43&amp;" ל-"&amp;$Q43))</f>
        <v/>
      </c>
    </row>
    <row r="44" ht="15.75" customHeight="1" s="58">
      <c r="A44" s="65" t="n"/>
      <c r="B44" s="65" t="n"/>
      <c r="C44" s="66" t="n"/>
      <c r="D44" s="66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32">
        <f>IF($C44="","",IF($J44="","— חסרים נתונים",IF($J44="טרם מפענח","פרופיל 5",IF($J44="קמץ/פתח/חטף-פתח ושוואים","פרופיל 4",IF($J44="2-3 סימני ניקוד","פרופיל 3",IF($J44="4-5 סימני ניקוד","פרופיל 2",IF(AND($O44="משפטים וקטעים קצרים",OR($M44="מבין",$M44="מבין לרוב")),"פרופיל 1","פרופיל 2")))))))</f>
        <v/>
      </c>
      <c r="R44" s="32">
        <f>IF($C44="","",IF(OR($Q44="",LEFT($Q44,1)="—"),"קבוצה רביעית",IF($Q44="פרופיל 5","קבוצת תשתיות",IF(OR($Q44="פרופיל 4",$Q44="פרופיל 3"),"קבוצת רכישה","קבוצת ביסוס"))))</f>
        <v/>
      </c>
      <c r="S44" s="32">
        <f>IF($F44="","",IF($F44="תחילת שנה",1,IF($F44="מחצית שנה",2,3)))</f>
        <v/>
      </c>
      <c r="T44" s="32">
        <f>IF(OR($B44="",$R44="",$A44="",$F44=""),"",$B44&amp;"|"&amp;$A44&amp;"|"&amp;$F44&amp;"|"&amp;$R44&amp;"|"&amp;COUNTIFS($B$6:$B44,$B44,$A$6:$A44,$A44,$F$6:$F44,$F44,$R$6:$R44,$R44))</f>
        <v/>
      </c>
      <c r="U44" s="32">
        <f>IF($C44="","",$C44&amp;"|"&amp;COUNTIFS($C$6:$C44,$C44))</f>
        <v/>
      </c>
      <c r="V44" s="32">
        <f>IF(OR($C44="",$A44="",$S44=""),"",$C44&amp;"|"&amp;$A44&amp;"|"&amp;$S44)</f>
        <v/>
      </c>
      <c r="W44" s="32">
        <f>IF(OR($C44="",$S44="",$S44=1),"",IFERROR(INDEX($Q$6:$Q$1505,MATCH($C44&amp;"|"&amp;$A44&amp;"|"&amp;($S44-1),$V$6:$V$1505,0)),""))</f>
        <v/>
      </c>
      <c r="X44" s="32">
        <f>IF(OR($W44="",$Q44="",LEFT($Q44,1)="—"),"",IF($W44=$Q44,"ללא שינוי","מ-"&amp;$W44&amp;" ל-"&amp;$Q44))</f>
        <v/>
      </c>
    </row>
    <row r="45" ht="15.75" customHeight="1" s="58">
      <c r="A45" s="65" t="n"/>
      <c r="B45" s="65" t="n"/>
      <c r="C45" s="66" t="n"/>
      <c r="D45" s="66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32">
        <f>IF($C45="","",IF($J45="","— חסרים נתונים",IF($J45="טרם מפענח","פרופיל 5",IF($J45="קמץ/פתח/חטף-פתח ושוואים","פרופיל 4",IF($J45="2-3 סימני ניקוד","פרופיל 3",IF($J45="4-5 סימני ניקוד","פרופיל 2",IF(AND($O45="משפטים וקטעים קצרים",OR($M45="מבין",$M45="מבין לרוב")),"פרופיל 1","פרופיל 2")))))))</f>
        <v/>
      </c>
      <c r="R45" s="32">
        <f>IF($C45="","",IF(OR($Q45="",LEFT($Q45,1)="—"),"קבוצה רביעית",IF($Q45="פרופיל 5","קבוצת תשתיות",IF(OR($Q45="פרופיל 4",$Q45="פרופיל 3"),"קבוצת רכישה","קבוצת ביסוס"))))</f>
        <v/>
      </c>
      <c r="S45" s="32">
        <f>IF($F45="","",IF($F45="תחילת שנה",1,IF($F45="מחצית שנה",2,3)))</f>
        <v/>
      </c>
      <c r="T45" s="32">
        <f>IF(OR($B45="",$R45="",$A45="",$F45=""),"",$B45&amp;"|"&amp;$A45&amp;"|"&amp;$F45&amp;"|"&amp;$R45&amp;"|"&amp;COUNTIFS($B$6:$B45,$B45,$A$6:$A45,$A45,$F$6:$F45,$F45,$R$6:$R45,$R45))</f>
        <v/>
      </c>
      <c r="U45" s="32">
        <f>IF($C45="","",$C45&amp;"|"&amp;COUNTIFS($C$6:$C45,$C45))</f>
        <v/>
      </c>
      <c r="V45" s="32">
        <f>IF(OR($C45="",$A45="",$S45=""),"",$C45&amp;"|"&amp;$A45&amp;"|"&amp;$S45)</f>
        <v/>
      </c>
      <c r="W45" s="32">
        <f>IF(OR($C45="",$S45="",$S45=1),"",IFERROR(INDEX($Q$6:$Q$1505,MATCH($C45&amp;"|"&amp;$A45&amp;"|"&amp;($S45-1),$V$6:$V$1505,0)),""))</f>
        <v/>
      </c>
      <c r="X45" s="32">
        <f>IF(OR($W45="",$Q45="",LEFT($Q45,1)="—"),"",IF($W45=$Q45,"ללא שינוי","מ-"&amp;$W45&amp;" ל-"&amp;$Q45))</f>
        <v/>
      </c>
    </row>
    <row r="46" ht="15.75" customHeight="1" s="58">
      <c r="A46" s="65" t="n"/>
      <c r="B46" s="65" t="n"/>
      <c r="C46" s="66" t="n"/>
      <c r="D46" s="66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32">
        <f>IF($C46="","",IF($J46="","— חסרים נתונים",IF($J46="טרם מפענח","פרופיל 5",IF($J46="קמץ/פתח/חטף-פתח ושוואים","פרופיל 4",IF($J46="2-3 סימני ניקוד","פרופיל 3",IF($J46="4-5 סימני ניקוד","פרופיל 2",IF(AND($O46="משפטים וקטעים קצרים",OR($M46="מבין",$M46="מבין לרוב")),"פרופיל 1","פרופיל 2")))))))</f>
        <v/>
      </c>
      <c r="R46" s="32">
        <f>IF($C46="","",IF(OR($Q46="",LEFT($Q46,1)="—"),"קבוצה רביעית",IF($Q46="פרופיל 5","קבוצת תשתיות",IF(OR($Q46="פרופיל 4",$Q46="פרופיל 3"),"קבוצת רכישה","קבוצת ביסוס"))))</f>
        <v/>
      </c>
      <c r="S46" s="32">
        <f>IF($F46="","",IF($F46="תחילת שנה",1,IF($F46="מחצית שנה",2,3)))</f>
        <v/>
      </c>
      <c r="T46" s="32">
        <f>IF(OR($B46="",$R46="",$A46="",$F46=""),"",$B46&amp;"|"&amp;$A46&amp;"|"&amp;$F46&amp;"|"&amp;$R46&amp;"|"&amp;COUNTIFS($B$6:$B46,$B46,$A$6:$A46,$A46,$F$6:$F46,$F46,$R$6:$R46,$R46))</f>
        <v/>
      </c>
      <c r="U46" s="32">
        <f>IF($C46="","",$C46&amp;"|"&amp;COUNTIFS($C$6:$C46,$C46))</f>
        <v/>
      </c>
      <c r="V46" s="32">
        <f>IF(OR($C46="",$A46="",$S46=""),"",$C46&amp;"|"&amp;$A46&amp;"|"&amp;$S46)</f>
        <v/>
      </c>
      <c r="W46" s="32">
        <f>IF(OR($C46="",$S46="",$S46=1),"",IFERROR(INDEX($Q$6:$Q$1505,MATCH($C46&amp;"|"&amp;$A46&amp;"|"&amp;($S46-1),$V$6:$V$1505,0)),""))</f>
        <v/>
      </c>
      <c r="X46" s="32">
        <f>IF(OR($W46="",$Q46="",LEFT($Q46,1)="—"),"",IF($W46=$Q46,"ללא שינוי","מ-"&amp;$W46&amp;" ל-"&amp;$Q46))</f>
        <v/>
      </c>
    </row>
    <row r="47" ht="15.75" customHeight="1" s="58">
      <c r="A47" s="65" t="n"/>
      <c r="B47" s="65" t="n"/>
      <c r="C47" s="66" t="n"/>
      <c r="D47" s="66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32">
        <f>IF($C47="","",IF($J47="","— חסרים נתונים",IF($J47="טרם מפענח","פרופיל 5",IF($J47="קמץ/פתח/חטף-פתח ושוואים","פרופיל 4",IF($J47="2-3 סימני ניקוד","פרופיל 3",IF($J47="4-5 סימני ניקוד","פרופיל 2",IF(AND($O47="משפטים וקטעים קצרים",OR($M47="מבין",$M47="מבין לרוב")),"פרופיל 1","פרופיל 2")))))))</f>
        <v/>
      </c>
      <c r="R47" s="32">
        <f>IF($C47="","",IF(OR($Q47="",LEFT($Q47,1)="—"),"קבוצה רביעית",IF($Q47="פרופיל 5","קבוצת תשתיות",IF(OR($Q47="פרופיל 4",$Q47="פרופיל 3"),"קבוצת רכישה","קבוצת ביסוס"))))</f>
        <v/>
      </c>
      <c r="S47" s="32">
        <f>IF($F47="","",IF($F47="תחילת שנה",1,IF($F47="מחצית שנה",2,3)))</f>
        <v/>
      </c>
      <c r="T47" s="32">
        <f>IF(OR($B47="",$R47="",$A47="",$F47=""),"",$B47&amp;"|"&amp;$A47&amp;"|"&amp;$F47&amp;"|"&amp;$R47&amp;"|"&amp;COUNTIFS($B$6:$B47,$B47,$A$6:$A47,$A47,$F$6:$F47,$F47,$R$6:$R47,$R47))</f>
        <v/>
      </c>
      <c r="U47" s="32">
        <f>IF($C47="","",$C47&amp;"|"&amp;COUNTIFS($C$6:$C47,$C47))</f>
        <v/>
      </c>
      <c r="V47" s="32">
        <f>IF(OR($C47="",$A47="",$S47=""),"",$C47&amp;"|"&amp;$A47&amp;"|"&amp;$S47)</f>
        <v/>
      </c>
      <c r="W47" s="32">
        <f>IF(OR($C47="",$S47="",$S47=1),"",IFERROR(INDEX($Q$6:$Q$1505,MATCH($C47&amp;"|"&amp;$A47&amp;"|"&amp;($S47-1),$V$6:$V$1505,0)),""))</f>
        <v/>
      </c>
      <c r="X47" s="32">
        <f>IF(OR($W47="",$Q47="",LEFT($Q47,1)="—"),"",IF($W47=$Q47,"ללא שינוי","מ-"&amp;$W47&amp;" ל-"&amp;$Q47))</f>
        <v/>
      </c>
    </row>
    <row r="48" ht="15.75" customHeight="1" s="58">
      <c r="A48" s="65" t="n"/>
      <c r="B48" s="65" t="n"/>
      <c r="C48" s="66" t="n"/>
      <c r="D48" s="66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32">
        <f>IF($C48="","",IF($J48="","— חסרים נתונים",IF($J48="טרם מפענח","פרופיל 5",IF($J48="קמץ/פתח/חטף-פתח ושוואים","פרופיל 4",IF($J48="2-3 סימני ניקוד","פרופיל 3",IF($J48="4-5 סימני ניקוד","פרופיל 2",IF(AND($O48="משפטים וקטעים קצרים",OR($M48="מבין",$M48="מבין לרוב")),"פרופיל 1","פרופיל 2")))))))</f>
        <v/>
      </c>
      <c r="R48" s="32">
        <f>IF($C48="","",IF(OR($Q48="",LEFT($Q48,1)="—"),"קבוצה רביעית",IF($Q48="פרופיל 5","קבוצת תשתיות",IF(OR($Q48="פרופיל 4",$Q48="פרופיל 3"),"קבוצת רכישה","קבוצת ביסוס"))))</f>
        <v/>
      </c>
      <c r="S48" s="32">
        <f>IF($F48="","",IF($F48="תחילת שנה",1,IF($F48="מחצית שנה",2,3)))</f>
        <v/>
      </c>
      <c r="T48" s="32">
        <f>IF(OR($B48="",$R48="",$A48="",$F48=""),"",$B48&amp;"|"&amp;$A48&amp;"|"&amp;$F48&amp;"|"&amp;$R48&amp;"|"&amp;COUNTIFS($B$6:$B48,$B48,$A$6:$A48,$A48,$F$6:$F48,$F48,$R$6:$R48,$R48))</f>
        <v/>
      </c>
      <c r="U48" s="32">
        <f>IF($C48="","",$C48&amp;"|"&amp;COUNTIFS($C$6:$C48,$C48))</f>
        <v/>
      </c>
      <c r="V48" s="32">
        <f>IF(OR($C48="",$A48="",$S48=""),"",$C48&amp;"|"&amp;$A48&amp;"|"&amp;$S48)</f>
        <v/>
      </c>
      <c r="W48" s="32">
        <f>IF(OR($C48="",$S48="",$S48=1),"",IFERROR(INDEX($Q$6:$Q$1505,MATCH($C48&amp;"|"&amp;$A48&amp;"|"&amp;($S48-1),$V$6:$V$1505,0)),""))</f>
        <v/>
      </c>
      <c r="X48" s="32">
        <f>IF(OR($W48="",$Q48="",LEFT($Q48,1)="—"),"",IF($W48=$Q48,"ללא שינוי","מ-"&amp;$W48&amp;" ל-"&amp;$Q48))</f>
        <v/>
      </c>
    </row>
    <row r="49" ht="15.75" customHeight="1" s="58">
      <c r="A49" s="65" t="n"/>
      <c r="B49" s="65" t="n"/>
      <c r="C49" s="66" t="n"/>
      <c r="D49" s="66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32">
        <f>IF($C49="","",IF($J49="","— חסרים נתונים",IF($J49="טרם מפענח","פרופיל 5",IF($J49="קמץ/פתח/חטף-פתח ושוואים","פרופיל 4",IF($J49="2-3 סימני ניקוד","פרופיל 3",IF($J49="4-5 סימני ניקוד","פרופיל 2",IF(AND($O49="משפטים וקטעים קצרים",OR($M49="מבין",$M49="מבין לרוב")),"פרופיל 1","פרופיל 2")))))))</f>
        <v/>
      </c>
      <c r="R49" s="32">
        <f>IF($C49="","",IF(OR($Q49="",LEFT($Q49,1)="—"),"קבוצה רביעית",IF($Q49="פרופיל 5","קבוצת תשתיות",IF(OR($Q49="פרופיל 4",$Q49="פרופיל 3"),"קבוצת רכישה","קבוצת ביסוס"))))</f>
        <v/>
      </c>
      <c r="S49" s="32">
        <f>IF($F49="","",IF($F49="תחילת שנה",1,IF($F49="מחצית שנה",2,3)))</f>
        <v/>
      </c>
      <c r="T49" s="32">
        <f>IF(OR($B49="",$R49="",$A49="",$F49=""),"",$B49&amp;"|"&amp;$A49&amp;"|"&amp;$F49&amp;"|"&amp;$R49&amp;"|"&amp;COUNTIFS($B$6:$B49,$B49,$A$6:$A49,$A49,$F$6:$F49,$F49,$R$6:$R49,$R49))</f>
        <v/>
      </c>
      <c r="U49" s="32">
        <f>IF($C49="","",$C49&amp;"|"&amp;COUNTIFS($C$6:$C49,$C49))</f>
        <v/>
      </c>
      <c r="V49" s="32">
        <f>IF(OR($C49="",$A49="",$S49=""),"",$C49&amp;"|"&amp;$A49&amp;"|"&amp;$S49)</f>
        <v/>
      </c>
      <c r="W49" s="32">
        <f>IF(OR($C49="",$S49="",$S49=1),"",IFERROR(INDEX($Q$6:$Q$1505,MATCH($C49&amp;"|"&amp;$A49&amp;"|"&amp;($S49-1),$V$6:$V$1505,0)),""))</f>
        <v/>
      </c>
      <c r="X49" s="32">
        <f>IF(OR($W49="",$Q49="",LEFT($Q49,1)="—"),"",IF($W49=$Q49,"ללא שינוי","מ-"&amp;$W49&amp;" ל-"&amp;$Q49))</f>
        <v/>
      </c>
    </row>
    <row r="50" ht="15.75" customHeight="1" s="58">
      <c r="A50" s="65" t="n"/>
      <c r="B50" s="65" t="n"/>
      <c r="C50" s="66" t="n"/>
      <c r="D50" s="66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32">
        <f>IF($C50="","",IF($J50="","— חסרים נתונים",IF($J50="טרם מפענח","פרופיל 5",IF($J50="קמץ/פתח/חטף-פתח ושוואים","פרופיל 4",IF($J50="2-3 סימני ניקוד","פרופיל 3",IF($J50="4-5 סימני ניקוד","פרופיל 2",IF(AND($O50="משפטים וקטעים קצרים",OR($M50="מבין",$M50="מבין לרוב")),"פרופיל 1","פרופיל 2")))))))</f>
        <v/>
      </c>
      <c r="R50" s="32">
        <f>IF($C50="","",IF(OR($Q50="",LEFT($Q50,1)="—"),"קבוצה רביעית",IF($Q50="פרופיל 5","קבוצת תשתיות",IF(OR($Q50="פרופיל 4",$Q50="פרופיל 3"),"קבוצת רכישה","קבוצת ביסוס"))))</f>
        <v/>
      </c>
      <c r="S50" s="32">
        <f>IF($F50="","",IF($F50="תחילת שנה",1,IF($F50="מחצית שנה",2,3)))</f>
        <v/>
      </c>
      <c r="T50" s="32">
        <f>IF(OR($B50="",$R50="",$A50="",$F50=""),"",$B50&amp;"|"&amp;$A50&amp;"|"&amp;$F50&amp;"|"&amp;$R50&amp;"|"&amp;COUNTIFS($B$6:$B50,$B50,$A$6:$A50,$A50,$F$6:$F50,$F50,$R$6:$R50,$R50))</f>
        <v/>
      </c>
      <c r="U50" s="32">
        <f>IF($C50="","",$C50&amp;"|"&amp;COUNTIFS($C$6:$C50,$C50))</f>
        <v/>
      </c>
      <c r="V50" s="32">
        <f>IF(OR($C50="",$A50="",$S50=""),"",$C50&amp;"|"&amp;$A50&amp;"|"&amp;$S50)</f>
        <v/>
      </c>
      <c r="W50" s="32">
        <f>IF(OR($C50="",$S50="",$S50=1),"",IFERROR(INDEX($Q$6:$Q$1505,MATCH($C50&amp;"|"&amp;$A50&amp;"|"&amp;($S50-1),$V$6:$V$1505,0)),""))</f>
        <v/>
      </c>
      <c r="X50" s="32">
        <f>IF(OR($W50="",$Q50="",LEFT($Q50,1)="—"),"",IF($W50=$Q50,"ללא שינוי","מ-"&amp;$W50&amp;" ל-"&amp;$Q50))</f>
        <v/>
      </c>
    </row>
    <row r="51" ht="15.75" customHeight="1" s="58">
      <c r="A51" s="65" t="n"/>
      <c r="B51" s="65" t="n"/>
      <c r="C51" s="66" t="n"/>
      <c r="D51" s="66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32">
        <f>IF($C51="","",IF($J51="","— חסרים נתונים",IF($J51="טרם מפענח","פרופיל 5",IF($J51="קמץ/פתח/חטף-פתח ושוואים","פרופיל 4",IF($J51="2-3 סימני ניקוד","פרופיל 3",IF($J51="4-5 סימני ניקוד","פרופיל 2",IF(AND($O51="משפטים וקטעים קצרים",OR($M51="מבין",$M51="מבין לרוב")),"פרופיל 1","פרופיל 2")))))))</f>
        <v/>
      </c>
      <c r="R51" s="32">
        <f>IF($C51="","",IF(OR($Q51="",LEFT($Q51,1)="—"),"קבוצה רביעית",IF($Q51="פרופיל 5","קבוצת תשתיות",IF(OR($Q51="פרופיל 4",$Q51="פרופיל 3"),"קבוצת רכישה","קבוצת ביסוס"))))</f>
        <v/>
      </c>
      <c r="S51" s="32">
        <f>IF($F51="","",IF($F51="תחילת שנה",1,IF($F51="מחצית שנה",2,3)))</f>
        <v/>
      </c>
      <c r="T51" s="32">
        <f>IF(OR($B51="",$R51="",$A51="",$F51=""),"",$B51&amp;"|"&amp;$A51&amp;"|"&amp;$F51&amp;"|"&amp;$R51&amp;"|"&amp;COUNTIFS($B$6:$B51,$B51,$A$6:$A51,$A51,$F$6:$F51,$F51,$R$6:$R51,$R51))</f>
        <v/>
      </c>
      <c r="U51" s="32">
        <f>IF($C51="","",$C51&amp;"|"&amp;COUNTIFS($C$6:$C51,$C51))</f>
        <v/>
      </c>
      <c r="V51" s="32">
        <f>IF(OR($C51="",$A51="",$S51=""),"",$C51&amp;"|"&amp;$A51&amp;"|"&amp;$S51)</f>
        <v/>
      </c>
      <c r="W51" s="32">
        <f>IF(OR($C51="",$S51="",$S51=1),"",IFERROR(INDEX($Q$6:$Q$1505,MATCH($C51&amp;"|"&amp;$A51&amp;"|"&amp;($S51-1),$V$6:$V$1505,0)),""))</f>
        <v/>
      </c>
      <c r="X51" s="32">
        <f>IF(OR($W51="",$Q51="",LEFT($Q51,1)="—"),"",IF($W51=$Q51,"ללא שינוי","מ-"&amp;$W51&amp;" ל-"&amp;$Q51))</f>
        <v/>
      </c>
    </row>
    <row r="52" ht="15.75" customHeight="1" s="58">
      <c r="A52" s="65" t="n"/>
      <c r="B52" s="65" t="n"/>
      <c r="C52" s="66" t="n"/>
      <c r="D52" s="66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32">
        <f>IF($C52="","",IF($J52="","— חסרים נתונים",IF($J52="טרם מפענח","פרופיל 5",IF($J52="קמץ/פתח/חטף-פתח ושוואים","פרופיל 4",IF($J52="2-3 סימני ניקוד","פרופיל 3",IF($J52="4-5 סימני ניקוד","פרופיל 2",IF(AND($O52="משפטים וקטעים קצרים",OR($M52="מבין",$M52="מבין לרוב")),"פרופיל 1","פרופיל 2")))))))</f>
        <v/>
      </c>
      <c r="R52" s="32">
        <f>IF($C52="","",IF(OR($Q52="",LEFT($Q52,1)="—"),"קבוצה רביעית",IF($Q52="פרופיל 5","קבוצת תשתיות",IF(OR($Q52="פרופיל 4",$Q52="פרופיל 3"),"קבוצת רכישה","קבוצת ביסוס"))))</f>
        <v/>
      </c>
      <c r="S52" s="32">
        <f>IF($F52="","",IF($F52="תחילת שנה",1,IF($F52="מחצית שנה",2,3)))</f>
        <v/>
      </c>
      <c r="T52" s="32">
        <f>IF(OR($B52="",$R52="",$A52="",$F52=""),"",$B52&amp;"|"&amp;$A52&amp;"|"&amp;$F52&amp;"|"&amp;$R52&amp;"|"&amp;COUNTIFS($B$6:$B52,$B52,$A$6:$A52,$A52,$F$6:$F52,$F52,$R$6:$R52,$R52))</f>
        <v/>
      </c>
      <c r="U52" s="32">
        <f>IF($C52="","",$C52&amp;"|"&amp;COUNTIFS($C$6:$C52,$C52))</f>
        <v/>
      </c>
      <c r="V52" s="32">
        <f>IF(OR($C52="",$A52="",$S52=""),"",$C52&amp;"|"&amp;$A52&amp;"|"&amp;$S52)</f>
        <v/>
      </c>
      <c r="W52" s="32">
        <f>IF(OR($C52="",$S52="",$S52=1),"",IFERROR(INDEX($Q$6:$Q$1505,MATCH($C52&amp;"|"&amp;$A52&amp;"|"&amp;($S52-1),$V$6:$V$1505,0)),""))</f>
        <v/>
      </c>
      <c r="X52" s="32">
        <f>IF(OR($W52="",$Q52="",LEFT($Q52,1)="—"),"",IF($W52=$Q52,"ללא שינוי","מ-"&amp;$W52&amp;" ל-"&amp;$Q52))</f>
        <v/>
      </c>
    </row>
    <row r="53" ht="15.75" customHeight="1" s="58">
      <c r="A53" s="65" t="n"/>
      <c r="B53" s="65" t="n"/>
      <c r="C53" s="66" t="n"/>
      <c r="D53" s="66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32">
        <f>IF($C53="","",IF($J53="","— חסרים נתונים",IF($J53="טרם מפענח","פרופיל 5",IF($J53="קמץ/פתח/חטף-פתח ושוואים","פרופיל 4",IF($J53="2-3 סימני ניקוד","פרופיל 3",IF($J53="4-5 סימני ניקוד","פרופיל 2",IF(AND($O53="משפטים וקטעים קצרים",OR($M53="מבין",$M53="מבין לרוב")),"פרופיל 1","פרופיל 2")))))))</f>
        <v/>
      </c>
      <c r="R53" s="32">
        <f>IF($C53="","",IF(OR($Q53="",LEFT($Q53,1)="—"),"קבוצה רביעית",IF($Q53="פרופיל 5","קבוצת תשתיות",IF(OR($Q53="פרופיל 4",$Q53="פרופיל 3"),"קבוצת רכישה","קבוצת ביסוס"))))</f>
        <v/>
      </c>
      <c r="S53" s="32">
        <f>IF($F53="","",IF($F53="תחילת שנה",1,IF($F53="מחצית שנה",2,3)))</f>
        <v/>
      </c>
      <c r="T53" s="32">
        <f>IF(OR($B53="",$R53="",$A53="",$F53=""),"",$B53&amp;"|"&amp;$A53&amp;"|"&amp;$F53&amp;"|"&amp;$R53&amp;"|"&amp;COUNTIFS($B$6:$B53,$B53,$A$6:$A53,$A53,$F$6:$F53,$F53,$R$6:$R53,$R53))</f>
        <v/>
      </c>
      <c r="U53" s="32">
        <f>IF($C53="","",$C53&amp;"|"&amp;COUNTIFS($C$6:$C53,$C53))</f>
        <v/>
      </c>
      <c r="V53" s="32">
        <f>IF(OR($C53="",$A53="",$S53=""),"",$C53&amp;"|"&amp;$A53&amp;"|"&amp;$S53)</f>
        <v/>
      </c>
      <c r="W53" s="32">
        <f>IF(OR($C53="",$S53="",$S53=1),"",IFERROR(INDEX($Q$6:$Q$1505,MATCH($C53&amp;"|"&amp;$A53&amp;"|"&amp;($S53-1),$V$6:$V$1505,0)),""))</f>
        <v/>
      </c>
      <c r="X53" s="32">
        <f>IF(OR($W53="",$Q53="",LEFT($Q53,1)="—"),"",IF($W53=$Q53,"ללא שינוי","מ-"&amp;$W53&amp;" ל-"&amp;$Q53))</f>
        <v/>
      </c>
    </row>
    <row r="54" ht="15.75" customHeight="1" s="58">
      <c r="A54" s="65" t="n"/>
      <c r="B54" s="65" t="n"/>
      <c r="C54" s="66" t="n"/>
      <c r="D54" s="66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32">
        <f>IF($C54="","",IF($J54="","— חסרים נתונים",IF($J54="טרם מפענח","פרופיל 5",IF($J54="קמץ/פתח/חטף-פתח ושוואים","פרופיל 4",IF($J54="2-3 סימני ניקוד","פרופיל 3",IF($J54="4-5 סימני ניקוד","פרופיל 2",IF(AND($O54="משפטים וקטעים קצרים",OR($M54="מבין",$M54="מבין לרוב")),"פרופיל 1","פרופיל 2")))))))</f>
        <v/>
      </c>
      <c r="R54" s="32">
        <f>IF($C54="","",IF(OR($Q54="",LEFT($Q54,1)="—"),"קבוצה רביעית",IF($Q54="פרופיל 5","קבוצת תשתיות",IF(OR($Q54="פרופיל 4",$Q54="פרופיל 3"),"קבוצת רכישה","קבוצת ביסוס"))))</f>
        <v/>
      </c>
      <c r="S54" s="32">
        <f>IF($F54="","",IF($F54="תחילת שנה",1,IF($F54="מחצית שנה",2,3)))</f>
        <v/>
      </c>
      <c r="T54" s="32">
        <f>IF(OR($B54="",$R54="",$A54="",$F54=""),"",$B54&amp;"|"&amp;$A54&amp;"|"&amp;$F54&amp;"|"&amp;$R54&amp;"|"&amp;COUNTIFS($B$6:$B54,$B54,$A$6:$A54,$A54,$F$6:$F54,$F54,$R$6:$R54,$R54))</f>
        <v/>
      </c>
      <c r="U54" s="32">
        <f>IF($C54="","",$C54&amp;"|"&amp;COUNTIFS($C$6:$C54,$C54))</f>
        <v/>
      </c>
      <c r="V54" s="32">
        <f>IF(OR($C54="",$A54="",$S54=""),"",$C54&amp;"|"&amp;$A54&amp;"|"&amp;$S54)</f>
        <v/>
      </c>
      <c r="W54" s="32">
        <f>IF(OR($C54="",$S54="",$S54=1),"",IFERROR(INDEX($Q$6:$Q$1505,MATCH($C54&amp;"|"&amp;$A54&amp;"|"&amp;($S54-1),$V$6:$V$1505,0)),""))</f>
        <v/>
      </c>
      <c r="X54" s="32">
        <f>IF(OR($W54="",$Q54="",LEFT($Q54,1)="—"),"",IF($W54=$Q54,"ללא שינוי","מ-"&amp;$W54&amp;" ל-"&amp;$Q54))</f>
        <v/>
      </c>
    </row>
    <row r="55" ht="15.75" customHeight="1" s="58">
      <c r="A55" s="65" t="n"/>
      <c r="B55" s="65" t="n"/>
      <c r="C55" s="66" t="n"/>
      <c r="D55" s="66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32">
        <f>IF($C55="","",IF($J55="","— חסרים נתונים",IF($J55="טרם מפענח","פרופיל 5",IF($J55="קמץ/פתח/חטף-פתח ושוואים","פרופיל 4",IF($J55="2-3 סימני ניקוד","פרופיל 3",IF($J55="4-5 סימני ניקוד","פרופיל 2",IF(AND($O55="משפטים וקטעים קצרים",OR($M55="מבין",$M55="מבין לרוב")),"פרופיל 1","פרופיל 2")))))))</f>
        <v/>
      </c>
      <c r="R55" s="32">
        <f>IF($C55="","",IF(OR($Q55="",LEFT($Q55,1)="—"),"קבוצה רביעית",IF($Q55="פרופיל 5","קבוצת תשתיות",IF(OR($Q55="פרופיל 4",$Q55="פרופיל 3"),"קבוצת רכישה","קבוצת ביסוס"))))</f>
        <v/>
      </c>
      <c r="S55" s="32">
        <f>IF($F55="","",IF($F55="תחילת שנה",1,IF($F55="מחצית שנה",2,3)))</f>
        <v/>
      </c>
      <c r="T55" s="32">
        <f>IF(OR($B55="",$R55="",$A55="",$F55=""),"",$B55&amp;"|"&amp;$A55&amp;"|"&amp;$F55&amp;"|"&amp;$R55&amp;"|"&amp;COUNTIFS($B$6:$B55,$B55,$A$6:$A55,$A55,$F$6:$F55,$F55,$R$6:$R55,$R55))</f>
        <v/>
      </c>
      <c r="U55" s="32">
        <f>IF($C55="","",$C55&amp;"|"&amp;COUNTIFS($C$6:$C55,$C55))</f>
        <v/>
      </c>
      <c r="V55" s="32">
        <f>IF(OR($C55="",$A55="",$S55=""),"",$C55&amp;"|"&amp;$A55&amp;"|"&amp;$S55)</f>
        <v/>
      </c>
      <c r="W55" s="32">
        <f>IF(OR($C55="",$S55="",$S55=1),"",IFERROR(INDEX($Q$6:$Q$1505,MATCH($C55&amp;"|"&amp;$A55&amp;"|"&amp;($S55-1),$V$6:$V$1505,0)),""))</f>
        <v/>
      </c>
      <c r="X55" s="32">
        <f>IF(OR($W55="",$Q55="",LEFT($Q55,1)="—"),"",IF($W55=$Q55,"ללא שינוי","מ-"&amp;$W55&amp;" ל-"&amp;$Q55))</f>
        <v/>
      </c>
    </row>
    <row r="56" ht="15.75" customHeight="1" s="58">
      <c r="A56" s="65" t="n"/>
      <c r="B56" s="65" t="n"/>
      <c r="C56" s="66" t="n"/>
      <c r="D56" s="66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32">
        <f>IF($C56="","",IF($J56="","— חסרים נתונים",IF($J56="טרם מפענח","פרופיל 5",IF($J56="קמץ/פתח/חטף-פתח ושוואים","פרופיל 4",IF($J56="2-3 סימני ניקוד","פרופיל 3",IF($J56="4-5 סימני ניקוד","פרופיל 2",IF(AND($O56="משפטים וקטעים קצרים",OR($M56="מבין",$M56="מבין לרוב")),"פרופיל 1","פרופיל 2")))))))</f>
        <v/>
      </c>
      <c r="R56" s="32">
        <f>IF($C56="","",IF(OR($Q56="",LEFT($Q56,1)="—"),"קבוצה רביעית",IF($Q56="פרופיל 5","קבוצת תשתיות",IF(OR($Q56="פרופיל 4",$Q56="פרופיל 3"),"קבוצת רכישה","קבוצת ביסוס"))))</f>
        <v/>
      </c>
      <c r="S56" s="32">
        <f>IF($F56="","",IF($F56="תחילת שנה",1,IF($F56="מחצית שנה",2,3)))</f>
        <v/>
      </c>
      <c r="T56" s="32">
        <f>IF(OR($B56="",$R56="",$A56="",$F56=""),"",$B56&amp;"|"&amp;$A56&amp;"|"&amp;$F56&amp;"|"&amp;$R56&amp;"|"&amp;COUNTIFS($B$6:$B56,$B56,$A$6:$A56,$A56,$F$6:$F56,$F56,$R$6:$R56,$R56))</f>
        <v/>
      </c>
      <c r="U56" s="32">
        <f>IF($C56="","",$C56&amp;"|"&amp;COUNTIFS($C$6:$C56,$C56))</f>
        <v/>
      </c>
      <c r="V56" s="32">
        <f>IF(OR($C56="",$A56="",$S56=""),"",$C56&amp;"|"&amp;$A56&amp;"|"&amp;$S56)</f>
        <v/>
      </c>
      <c r="W56" s="32">
        <f>IF(OR($C56="",$S56="",$S56=1),"",IFERROR(INDEX($Q$6:$Q$1505,MATCH($C56&amp;"|"&amp;$A56&amp;"|"&amp;($S56-1),$V$6:$V$1505,0)),""))</f>
        <v/>
      </c>
      <c r="X56" s="32">
        <f>IF(OR($W56="",$Q56="",LEFT($Q56,1)="—"),"",IF($W56=$Q56,"ללא שינוי","מ-"&amp;$W56&amp;" ל-"&amp;$Q56))</f>
        <v/>
      </c>
    </row>
    <row r="57" ht="15.75" customHeight="1" s="58">
      <c r="A57" s="65" t="n"/>
      <c r="B57" s="65" t="n"/>
      <c r="C57" s="66" t="n"/>
      <c r="D57" s="66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32">
        <f>IF($C57="","",IF($J57="","— חסרים נתונים",IF($J57="טרם מפענח","פרופיל 5",IF($J57="קמץ/פתח/חטף-פתח ושוואים","פרופיל 4",IF($J57="2-3 סימני ניקוד","פרופיל 3",IF($J57="4-5 סימני ניקוד","פרופיל 2",IF(AND($O57="משפטים וקטעים קצרים",OR($M57="מבין",$M57="מבין לרוב")),"פרופיל 1","פרופיל 2")))))))</f>
        <v/>
      </c>
      <c r="R57" s="32">
        <f>IF($C57="","",IF(OR($Q57="",LEFT($Q57,1)="—"),"קבוצה רביעית",IF($Q57="פרופיל 5","קבוצת תשתיות",IF(OR($Q57="פרופיל 4",$Q57="פרופיל 3"),"קבוצת רכישה","קבוצת ביסוס"))))</f>
        <v/>
      </c>
      <c r="S57" s="32">
        <f>IF($F57="","",IF($F57="תחילת שנה",1,IF($F57="מחצית שנה",2,3)))</f>
        <v/>
      </c>
      <c r="T57" s="32">
        <f>IF(OR($B57="",$R57="",$A57="",$F57=""),"",$B57&amp;"|"&amp;$A57&amp;"|"&amp;$F57&amp;"|"&amp;$R57&amp;"|"&amp;COUNTIFS($B$6:$B57,$B57,$A$6:$A57,$A57,$F$6:$F57,$F57,$R$6:$R57,$R57))</f>
        <v/>
      </c>
      <c r="U57" s="32">
        <f>IF($C57="","",$C57&amp;"|"&amp;COUNTIFS($C$6:$C57,$C57))</f>
        <v/>
      </c>
      <c r="V57" s="32">
        <f>IF(OR($C57="",$A57="",$S57=""),"",$C57&amp;"|"&amp;$A57&amp;"|"&amp;$S57)</f>
        <v/>
      </c>
      <c r="W57" s="32">
        <f>IF(OR($C57="",$S57="",$S57=1),"",IFERROR(INDEX($Q$6:$Q$1505,MATCH($C57&amp;"|"&amp;$A57&amp;"|"&amp;($S57-1),$V$6:$V$1505,0)),""))</f>
        <v/>
      </c>
      <c r="X57" s="32">
        <f>IF(OR($W57="",$Q57="",LEFT($Q57,1)="—"),"",IF($W57=$Q57,"ללא שינוי","מ-"&amp;$W57&amp;" ל-"&amp;$Q57))</f>
        <v/>
      </c>
    </row>
    <row r="58" ht="15.75" customHeight="1" s="58">
      <c r="A58" s="65" t="n"/>
      <c r="B58" s="65" t="n"/>
      <c r="C58" s="66" t="n"/>
      <c r="D58" s="66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32">
        <f>IF($C58="","",IF($J58="","— חסרים נתונים",IF($J58="טרם מפענח","פרופיל 5",IF($J58="קמץ/פתח/חטף-פתח ושוואים","פרופיל 4",IF($J58="2-3 סימני ניקוד","פרופיל 3",IF($J58="4-5 סימני ניקוד","פרופיל 2",IF(AND($O58="משפטים וקטעים קצרים",OR($M58="מבין",$M58="מבין לרוב")),"פרופיל 1","פרופיל 2")))))))</f>
        <v/>
      </c>
      <c r="R58" s="32">
        <f>IF($C58="","",IF(OR($Q58="",LEFT($Q58,1)="—"),"קבוצה רביעית",IF($Q58="פרופיל 5","קבוצת תשתיות",IF(OR($Q58="פרופיל 4",$Q58="פרופיל 3"),"קבוצת רכישה","קבוצת ביסוס"))))</f>
        <v/>
      </c>
      <c r="S58" s="32">
        <f>IF($F58="","",IF($F58="תחילת שנה",1,IF($F58="מחצית שנה",2,3)))</f>
        <v/>
      </c>
      <c r="T58" s="32">
        <f>IF(OR($B58="",$R58="",$A58="",$F58=""),"",$B58&amp;"|"&amp;$A58&amp;"|"&amp;$F58&amp;"|"&amp;$R58&amp;"|"&amp;COUNTIFS($B$6:$B58,$B58,$A$6:$A58,$A58,$F$6:$F58,$F58,$R$6:$R58,$R58))</f>
        <v/>
      </c>
      <c r="U58" s="32">
        <f>IF($C58="","",$C58&amp;"|"&amp;COUNTIFS($C$6:$C58,$C58))</f>
        <v/>
      </c>
      <c r="V58" s="32">
        <f>IF(OR($C58="",$A58="",$S58=""),"",$C58&amp;"|"&amp;$A58&amp;"|"&amp;$S58)</f>
        <v/>
      </c>
      <c r="W58" s="32">
        <f>IF(OR($C58="",$S58="",$S58=1),"",IFERROR(INDEX($Q$6:$Q$1505,MATCH($C58&amp;"|"&amp;$A58&amp;"|"&amp;($S58-1),$V$6:$V$1505,0)),""))</f>
        <v/>
      </c>
      <c r="X58" s="32">
        <f>IF(OR($W58="",$Q58="",LEFT($Q58,1)="—"),"",IF($W58=$Q58,"ללא שינוי","מ-"&amp;$W58&amp;" ל-"&amp;$Q58))</f>
        <v/>
      </c>
    </row>
    <row r="59" ht="15.75" customHeight="1" s="58">
      <c r="A59" s="65" t="n"/>
      <c r="B59" s="65" t="n"/>
      <c r="C59" s="66" t="n"/>
      <c r="D59" s="66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32">
        <f>IF($C59="","",IF($J59="","— חסרים נתונים",IF($J59="טרם מפענח","פרופיל 5",IF($J59="קמץ/פתח/חטף-פתח ושוואים","פרופיל 4",IF($J59="2-3 סימני ניקוד","פרופיל 3",IF($J59="4-5 סימני ניקוד","פרופיל 2",IF(AND($O59="משפטים וקטעים קצרים",OR($M59="מבין",$M59="מבין לרוב")),"פרופיל 1","פרופיל 2")))))))</f>
        <v/>
      </c>
      <c r="R59" s="32">
        <f>IF($C59="","",IF(OR($Q59="",LEFT($Q59,1)="—"),"קבוצה רביעית",IF($Q59="פרופיל 5","קבוצת תשתיות",IF(OR($Q59="פרופיל 4",$Q59="פרופיל 3"),"קבוצת רכישה","קבוצת ביסוס"))))</f>
        <v/>
      </c>
      <c r="S59" s="32">
        <f>IF($F59="","",IF($F59="תחילת שנה",1,IF($F59="מחצית שנה",2,3)))</f>
        <v/>
      </c>
      <c r="T59" s="32">
        <f>IF(OR($B59="",$R59="",$A59="",$F59=""),"",$B59&amp;"|"&amp;$A59&amp;"|"&amp;$F59&amp;"|"&amp;$R59&amp;"|"&amp;COUNTIFS($B$6:$B59,$B59,$A$6:$A59,$A59,$F$6:$F59,$F59,$R$6:$R59,$R59))</f>
        <v/>
      </c>
      <c r="U59" s="32">
        <f>IF($C59="","",$C59&amp;"|"&amp;COUNTIFS($C$6:$C59,$C59))</f>
        <v/>
      </c>
      <c r="V59" s="32">
        <f>IF(OR($C59="",$A59="",$S59=""),"",$C59&amp;"|"&amp;$A59&amp;"|"&amp;$S59)</f>
        <v/>
      </c>
      <c r="W59" s="32">
        <f>IF(OR($C59="",$S59="",$S59=1),"",IFERROR(INDEX($Q$6:$Q$1505,MATCH($C59&amp;"|"&amp;$A59&amp;"|"&amp;($S59-1),$V$6:$V$1505,0)),""))</f>
        <v/>
      </c>
      <c r="X59" s="32">
        <f>IF(OR($W59="",$Q59="",LEFT($Q59,1)="—"),"",IF($W59=$Q59,"ללא שינוי","מ-"&amp;$W59&amp;" ל-"&amp;$Q59))</f>
        <v/>
      </c>
    </row>
    <row r="60" ht="15.75" customHeight="1" s="58">
      <c r="A60" s="65" t="n"/>
      <c r="B60" s="65" t="n"/>
      <c r="C60" s="66" t="n"/>
      <c r="D60" s="66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32">
        <f>IF($C60="","",IF($J60="","— חסרים נתונים",IF($J60="טרם מפענח","פרופיל 5",IF($J60="קמץ/פתח/חטף-פתח ושוואים","פרופיל 4",IF($J60="2-3 סימני ניקוד","פרופיל 3",IF($J60="4-5 סימני ניקוד","פרופיל 2",IF(AND($O60="משפטים וקטעים קצרים",OR($M60="מבין",$M60="מבין לרוב")),"פרופיל 1","פרופיל 2")))))))</f>
        <v/>
      </c>
      <c r="R60" s="32">
        <f>IF($C60="","",IF(OR($Q60="",LEFT($Q60,1)="—"),"קבוצה רביעית",IF($Q60="פרופיל 5","קבוצת תשתיות",IF(OR($Q60="פרופיל 4",$Q60="פרופיל 3"),"קבוצת רכישה","קבוצת ביסוס"))))</f>
        <v/>
      </c>
      <c r="S60" s="32">
        <f>IF($F60="","",IF($F60="תחילת שנה",1,IF($F60="מחצית שנה",2,3)))</f>
        <v/>
      </c>
      <c r="T60" s="32">
        <f>IF(OR($B60="",$R60="",$A60="",$F60=""),"",$B60&amp;"|"&amp;$A60&amp;"|"&amp;$F60&amp;"|"&amp;$R60&amp;"|"&amp;COUNTIFS($B$6:$B60,$B60,$A$6:$A60,$A60,$F$6:$F60,$F60,$R$6:$R60,$R60))</f>
        <v/>
      </c>
      <c r="U60" s="32">
        <f>IF($C60="","",$C60&amp;"|"&amp;COUNTIFS($C$6:$C60,$C60))</f>
        <v/>
      </c>
      <c r="V60" s="32">
        <f>IF(OR($C60="",$A60="",$S60=""),"",$C60&amp;"|"&amp;$A60&amp;"|"&amp;$S60)</f>
        <v/>
      </c>
      <c r="W60" s="32">
        <f>IF(OR($C60="",$S60="",$S60=1),"",IFERROR(INDEX($Q$6:$Q$1505,MATCH($C60&amp;"|"&amp;$A60&amp;"|"&amp;($S60-1),$V$6:$V$1505,0)),""))</f>
        <v/>
      </c>
      <c r="X60" s="32">
        <f>IF(OR($W60="",$Q60="",LEFT($Q60,1)="—"),"",IF($W60=$Q60,"ללא שינוי","מ-"&amp;$W60&amp;" ל-"&amp;$Q60))</f>
        <v/>
      </c>
    </row>
    <row r="61" ht="15.75" customHeight="1" s="58">
      <c r="A61" s="65" t="n"/>
      <c r="B61" s="65" t="n"/>
      <c r="C61" s="66" t="n"/>
      <c r="D61" s="66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32">
        <f>IF($C61="","",IF($J61="","— חסרים נתונים",IF($J61="טרם מפענח","פרופיל 5",IF($J61="קמץ/פתח/חטף-פתח ושוואים","פרופיל 4",IF($J61="2-3 סימני ניקוד","פרופיל 3",IF($J61="4-5 סימני ניקוד","פרופיל 2",IF(AND($O61="משפטים וקטעים קצרים",OR($M61="מבין",$M61="מבין לרוב")),"פרופיל 1","פרופיל 2")))))))</f>
        <v/>
      </c>
      <c r="R61" s="32">
        <f>IF($C61="","",IF(OR($Q61="",LEFT($Q61,1)="—"),"קבוצה רביעית",IF($Q61="פרופיל 5","קבוצת תשתיות",IF(OR($Q61="פרופיל 4",$Q61="פרופיל 3"),"קבוצת רכישה","קבוצת ביסוס"))))</f>
        <v/>
      </c>
      <c r="S61" s="32">
        <f>IF($F61="","",IF($F61="תחילת שנה",1,IF($F61="מחצית שנה",2,3)))</f>
        <v/>
      </c>
      <c r="T61" s="32">
        <f>IF(OR($B61="",$R61="",$A61="",$F61=""),"",$B61&amp;"|"&amp;$A61&amp;"|"&amp;$F61&amp;"|"&amp;$R61&amp;"|"&amp;COUNTIFS($B$6:$B61,$B61,$A$6:$A61,$A61,$F$6:$F61,$F61,$R$6:$R61,$R61))</f>
        <v/>
      </c>
      <c r="U61" s="32">
        <f>IF($C61="","",$C61&amp;"|"&amp;COUNTIFS($C$6:$C61,$C61))</f>
        <v/>
      </c>
      <c r="V61" s="32">
        <f>IF(OR($C61="",$A61="",$S61=""),"",$C61&amp;"|"&amp;$A61&amp;"|"&amp;$S61)</f>
        <v/>
      </c>
      <c r="W61" s="32">
        <f>IF(OR($C61="",$S61="",$S61=1),"",IFERROR(INDEX($Q$6:$Q$1505,MATCH($C61&amp;"|"&amp;$A61&amp;"|"&amp;($S61-1),$V$6:$V$1505,0)),""))</f>
        <v/>
      </c>
      <c r="X61" s="32">
        <f>IF(OR($W61="",$Q61="",LEFT($Q61,1)="—"),"",IF($W61=$Q61,"ללא שינוי","מ-"&amp;$W61&amp;" ל-"&amp;$Q61))</f>
        <v/>
      </c>
    </row>
    <row r="62" ht="15.75" customHeight="1" s="58">
      <c r="A62" s="65" t="n"/>
      <c r="B62" s="65" t="n"/>
      <c r="C62" s="66" t="n"/>
      <c r="D62" s="66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32">
        <f>IF($C62="","",IF($J62="","— חסרים נתונים",IF($J62="טרם מפענח","פרופיל 5",IF($J62="קמץ/פתח/חטף-פתח ושוואים","פרופיל 4",IF($J62="2-3 סימני ניקוד","פרופיל 3",IF($J62="4-5 סימני ניקוד","פרופיל 2",IF(AND($O62="משפטים וקטעים קצרים",OR($M62="מבין",$M62="מבין לרוב")),"פרופיל 1","פרופיל 2")))))))</f>
        <v/>
      </c>
      <c r="R62" s="32">
        <f>IF($C62="","",IF(OR($Q62="",LEFT($Q62,1)="—"),"קבוצה רביעית",IF($Q62="פרופיל 5","קבוצת תשתיות",IF(OR($Q62="פרופיל 4",$Q62="פרופיל 3"),"קבוצת רכישה","קבוצת ביסוס"))))</f>
        <v/>
      </c>
      <c r="S62" s="32">
        <f>IF($F62="","",IF($F62="תחילת שנה",1,IF($F62="מחצית שנה",2,3)))</f>
        <v/>
      </c>
      <c r="T62" s="32">
        <f>IF(OR($B62="",$R62="",$A62="",$F62=""),"",$B62&amp;"|"&amp;$A62&amp;"|"&amp;$F62&amp;"|"&amp;$R62&amp;"|"&amp;COUNTIFS($B$6:$B62,$B62,$A$6:$A62,$A62,$F$6:$F62,$F62,$R$6:$R62,$R62))</f>
        <v/>
      </c>
      <c r="U62" s="32">
        <f>IF($C62="","",$C62&amp;"|"&amp;COUNTIFS($C$6:$C62,$C62))</f>
        <v/>
      </c>
      <c r="V62" s="32">
        <f>IF(OR($C62="",$A62="",$S62=""),"",$C62&amp;"|"&amp;$A62&amp;"|"&amp;$S62)</f>
        <v/>
      </c>
      <c r="W62" s="32">
        <f>IF(OR($C62="",$S62="",$S62=1),"",IFERROR(INDEX($Q$6:$Q$1505,MATCH($C62&amp;"|"&amp;$A62&amp;"|"&amp;($S62-1),$V$6:$V$1505,0)),""))</f>
        <v/>
      </c>
      <c r="X62" s="32">
        <f>IF(OR($W62="",$Q62="",LEFT($Q62,1)="—"),"",IF($W62=$Q62,"ללא שינוי","מ-"&amp;$W62&amp;" ל-"&amp;$Q62))</f>
        <v/>
      </c>
    </row>
    <row r="63" ht="15.75" customHeight="1" s="58">
      <c r="A63" s="65" t="n"/>
      <c r="B63" s="65" t="n"/>
      <c r="C63" s="66" t="n"/>
      <c r="D63" s="66" t="n"/>
      <c r="E63" s="65" t="n"/>
      <c r="F63" s="65" t="n"/>
      <c r="G63" s="65" t="n"/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32">
        <f>IF($C63="","",IF($J63="","— חסרים נתונים",IF($J63="טרם מפענח","פרופיל 5",IF($J63="קמץ/פתח/חטף-פתח ושוואים","פרופיל 4",IF($J63="2-3 סימני ניקוד","פרופיל 3",IF($J63="4-5 סימני ניקוד","פרופיל 2",IF(AND($O63="משפטים וקטעים קצרים",OR($M63="מבין",$M63="מבין לרוב")),"פרופיל 1","פרופיל 2")))))))</f>
        <v/>
      </c>
      <c r="R63" s="32">
        <f>IF($C63="","",IF(OR($Q63="",LEFT($Q63,1)="—"),"קבוצה רביעית",IF($Q63="פרופיל 5","קבוצת תשתיות",IF(OR($Q63="פרופיל 4",$Q63="פרופיל 3"),"קבוצת רכישה","קבוצת ביסוס"))))</f>
        <v/>
      </c>
      <c r="S63" s="32">
        <f>IF($F63="","",IF($F63="תחילת שנה",1,IF($F63="מחצית שנה",2,3)))</f>
        <v/>
      </c>
      <c r="T63" s="32">
        <f>IF(OR($B63="",$R63="",$A63="",$F63=""),"",$B63&amp;"|"&amp;$A63&amp;"|"&amp;$F63&amp;"|"&amp;$R63&amp;"|"&amp;COUNTIFS($B$6:$B63,$B63,$A$6:$A63,$A63,$F$6:$F63,$F63,$R$6:$R63,$R63))</f>
        <v/>
      </c>
      <c r="U63" s="32">
        <f>IF($C63="","",$C63&amp;"|"&amp;COUNTIFS($C$6:$C63,$C63))</f>
        <v/>
      </c>
      <c r="V63" s="32">
        <f>IF(OR($C63="",$A63="",$S63=""),"",$C63&amp;"|"&amp;$A63&amp;"|"&amp;$S63)</f>
        <v/>
      </c>
      <c r="W63" s="32">
        <f>IF(OR($C63="",$S63="",$S63=1),"",IFERROR(INDEX($Q$6:$Q$1505,MATCH($C63&amp;"|"&amp;$A63&amp;"|"&amp;($S63-1),$V$6:$V$1505,0)),""))</f>
        <v/>
      </c>
      <c r="X63" s="32">
        <f>IF(OR($W63="",$Q63="",LEFT($Q63,1)="—"),"",IF($W63=$Q63,"ללא שינוי","מ-"&amp;$W63&amp;" ל-"&amp;$Q63))</f>
        <v/>
      </c>
    </row>
    <row r="64" ht="15.75" customHeight="1" s="58">
      <c r="A64" s="65" t="n"/>
      <c r="B64" s="65" t="n"/>
      <c r="C64" s="66" t="n"/>
      <c r="D64" s="66" t="n"/>
      <c r="E64" s="65" t="n"/>
      <c r="F64" s="65" t="n"/>
      <c r="G64" s="65" t="n"/>
      <c r="H64" s="65" t="n"/>
      <c r="I64" s="65" t="n"/>
      <c r="J64" s="65" t="n"/>
      <c r="K64" s="65" t="n"/>
      <c r="L64" s="65" t="n"/>
      <c r="M64" s="65" t="n"/>
      <c r="N64" s="65" t="n"/>
      <c r="O64" s="65" t="n"/>
      <c r="P64" s="65" t="n"/>
      <c r="Q64" s="32">
        <f>IF($C64="","",IF($J64="","— חסרים נתונים",IF($J64="טרם מפענח","פרופיל 5",IF($J64="קמץ/פתח/חטף-פתח ושוואים","פרופיל 4",IF($J64="2-3 סימני ניקוד","פרופיל 3",IF($J64="4-5 סימני ניקוד","פרופיל 2",IF(AND($O64="משפטים וקטעים קצרים",OR($M64="מבין",$M64="מבין לרוב")),"פרופיל 1","פרופיל 2")))))))</f>
        <v/>
      </c>
      <c r="R64" s="32">
        <f>IF($C64="","",IF(OR($Q64="",LEFT($Q64,1)="—"),"קבוצה רביעית",IF($Q64="פרופיל 5","קבוצת תשתיות",IF(OR($Q64="פרופיל 4",$Q64="פרופיל 3"),"קבוצת רכישה","קבוצת ביסוס"))))</f>
        <v/>
      </c>
      <c r="S64" s="32">
        <f>IF($F64="","",IF($F64="תחילת שנה",1,IF($F64="מחצית שנה",2,3)))</f>
        <v/>
      </c>
      <c r="T64" s="32">
        <f>IF(OR($B64="",$R64="",$A64="",$F64=""),"",$B64&amp;"|"&amp;$A64&amp;"|"&amp;$F64&amp;"|"&amp;$R64&amp;"|"&amp;COUNTIFS($B$6:$B64,$B64,$A$6:$A64,$A64,$F$6:$F64,$F64,$R$6:$R64,$R64))</f>
        <v/>
      </c>
      <c r="U64" s="32">
        <f>IF($C64="","",$C64&amp;"|"&amp;COUNTIFS($C$6:$C64,$C64))</f>
        <v/>
      </c>
      <c r="V64" s="32">
        <f>IF(OR($C64="",$A64="",$S64=""),"",$C64&amp;"|"&amp;$A64&amp;"|"&amp;$S64)</f>
        <v/>
      </c>
      <c r="W64" s="32">
        <f>IF(OR($C64="",$S64="",$S64=1),"",IFERROR(INDEX($Q$6:$Q$1505,MATCH($C64&amp;"|"&amp;$A64&amp;"|"&amp;($S64-1),$V$6:$V$1505,0)),""))</f>
        <v/>
      </c>
      <c r="X64" s="32">
        <f>IF(OR($W64="",$Q64="",LEFT($Q64,1)="—"),"",IF($W64=$Q64,"ללא שינוי","מ-"&amp;$W64&amp;" ל-"&amp;$Q64))</f>
        <v/>
      </c>
    </row>
    <row r="65" ht="15.75" customHeight="1" s="58">
      <c r="A65" s="65" t="n"/>
      <c r="B65" s="65" t="n"/>
      <c r="C65" s="66" t="n"/>
      <c r="D65" s="66" t="n"/>
      <c r="E65" s="65" t="n"/>
      <c r="F65" s="65" t="n"/>
      <c r="G65" s="65" t="n"/>
      <c r="H65" s="65" t="n"/>
      <c r="I65" s="65" t="n"/>
      <c r="J65" s="65" t="n"/>
      <c r="K65" s="65" t="n"/>
      <c r="L65" s="65" t="n"/>
      <c r="M65" s="65" t="n"/>
      <c r="N65" s="65" t="n"/>
      <c r="O65" s="65" t="n"/>
      <c r="P65" s="65" t="n"/>
      <c r="Q65" s="32">
        <f>IF($C65="","",IF($J65="","— חסרים נתונים",IF($J65="טרם מפענח","פרופיל 5",IF($J65="קמץ/פתח/חטף-פתח ושוואים","פרופיל 4",IF($J65="2-3 סימני ניקוד","פרופיל 3",IF($J65="4-5 סימני ניקוד","פרופיל 2",IF(AND($O65="משפטים וקטעים קצרים",OR($M65="מבין",$M65="מבין לרוב")),"פרופיל 1","פרופיל 2")))))))</f>
        <v/>
      </c>
      <c r="R65" s="32">
        <f>IF($C65="","",IF(OR($Q65="",LEFT($Q65,1)="—"),"קבוצה רביעית",IF($Q65="פרופיל 5","קבוצת תשתיות",IF(OR($Q65="פרופיל 4",$Q65="פרופיל 3"),"קבוצת רכישה","קבוצת ביסוס"))))</f>
        <v/>
      </c>
      <c r="S65" s="32">
        <f>IF($F65="","",IF($F65="תחילת שנה",1,IF($F65="מחצית שנה",2,3)))</f>
        <v/>
      </c>
      <c r="T65" s="32">
        <f>IF(OR($B65="",$R65="",$A65="",$F65=""),"",$B65&amp;"|"&amp;$A65&amp;"|"&amp;$F65&amp;"|"&amp;$R65&amp;"|"&amp;COUNTIFS($B$6:$B65,$B65,$A$6:$A65,$A65,$F$6:$F65,$F65,$R$6:$R65,$R65))</f>
        <v/>
      </c>
      <c r="U65" s="32">
        <f>IF($C65="","",$C65&amp;"|"&amp;COUNTIFS($C$6:$C65,$C65))</f>
        <v/>
      </c>
      <c r="V65" s="32">
        <f>IF(OR($C65="",$A65="",$S65=""),"",$C65&amp;"|"&amp;$A65&amp;"|"&amp;$S65)</f>
        <v/>
      </c>
      <c r="W65" s="32">
        <f>IF(OR($C65="",$S65="",$S65=1),"",IFERROR(INDEX($Q$6:$Q$1505,MATCH($C65&amp;"|"&amp;$A65&amp;"|"&amp;($S65-1),$V$6:$V$1505,0)),""))</f>
        <v/>
      </c>
      <c r="X65" s="32">
        <f>IF(OR($W65="",$Q65="",LEFT($Q65,1)="—"),"",IF($W65=$Q65,"ללא שינוי","מ-"&amp;$W65&amp;" ל-"&amp;$Q65))</f>
        <v/>
      </c>
    </row>
    <row r="66" ht="15.75" customHeight="1" s="58">
      <c r="A66" s="65" t="n"/>
      <c r="B66" s="65" t="n"/>
      <c r="C66" s="66" t="n"/>
      <c r="D66" s="66" t="n"/>
      <c r="E66" s="65" t="n"/>
      <c r="F66" s="65" t="n"/>
      <c r="G66" s="65" t="n"/>
      <c r="H66" s="65" t="n"/>
      <c r="I66" s="65" t="n"/>
      <c r="J66" s="65" t="n"/>
      <c r="K66" s="65" t="n"/>
      <c r="L66" s="65" t="n"/>
      <c r="M66" s="65" t="n"/>
      <c r="N66" s="65" t="n"/>
      <c r="O66" s="65" t="n"/>
      <c r="P66" s="65" t="n"/>
      <c r="Q66" s="32">
        <f>IF($C66="","",IF($J66="","— חסרים נתונים",IF($J66="טרם מפענח","פרופיל 5",IF($J66="קמץ/פתח/חטף-פתח ושוואים","פרופיל 4",IF($J66="2-3 סימני ניקוד","פרופיל 3",IF($J66="4-5 סימני ניקוד","פרופיל 2",IF(AND($O66="משפטים וקטעים קצרים",OR($M66="מבין",$M66="מבין לרוב")),"פרופיל 1","פרופיל 2")))))))</f>
        <v/>
      </c>
      <c r="R66" s="32">
        <f>IF($C66="","",IF(OR($Q66="",LEFT($Q66,1)="—"),"קבוצה רביעית",IF($Q66="פרופיל 5","קבוצת תשתיות",IF(OR($Q66="פרופיל 4",$Q66="פרופיל 3"),"קבוצת רכישה","קבוצת ביסוס"))))</f>
        <v/>
      </c>
      <c r="S66" s="32">
        <f>IF($F66="","",IF($F66="תחילת שנה",1,IF($F66="מחצית שנה",2,3)))</f>
        <v/>
      </c>
      <c r="T66" s="32">
        <f>IF(OR($B66="",$R66="",$A66="",$F66=""),"",$B66&amp;"|"&amp;$A66&amp;"|"&amp;$F66&amp;"|"&amp;$R66&amp;"|"&amp;COUNTIFS($B$6:$B66,$B66,$A$6:$A66,$A66,$F$6:$F66,$F66,$R$6:$R66,$R66))</f>
        <v/>
      </c>
      <c r="U66" s="32">
        <f>IF($C66="","",$C66&amp;"|"&amp;COUNTIFS($C$6:$C66,$C66))</f>
        <v/>
      </c>
      <c r="V66" s="32">
        <f>IF(OR($C66="",$A66="",$S66=""),"",$C66&amp;"|"&amp;$A66&amp;"|"&amp;$S66)</f>
        <v/>
      </c>
      <c r="W66" s="32">
        <f>IF(OR($C66="",$S66="",$S66=1),"",IFERROR(INDEX($Q$6:$Q$1505,MATCH($C66&amp;"|"&amp;$A66&amp;"|"&amp;($S66-1),$V$6:$V$1505,0)),""))</f>
        <v/>
      </c>
      <c r="X66" s="32">
        <f>IF(OR($W66="",$Q66="",LEFT($Q66,1)="—"),"",IF($W66=$Q66,"ללא שינוי","מ-"&amp;$W66&amp;" ל-"&amp;$Q66))</f>
        <v/>
      </c>
    </row>
    <row r="67" ht="15.75" customHeight="1" s="58">
      <c r="A67" s="65" t="n"/>
      <c r="B67" s="65" t="n"/>
      <c r="C67" s="66" t="n"/>
      <c r="D67" s="66" t="n"/>
      <c r="E67" s="65" t="n"/>
      <c r="F67" s="65" t="n"/>
      <c r="G67" s="65" t="n"/>
      <c r="H67" s="65" t="n"/>
      <c r="I67" s="65" t="n"/>
      <c r="J67" s="65" t="n"/>
      <c r="K67" s="65" t="n"/>
      <c r="L67" s="65" t="n"/>
      <c r="M67" s="65" t="n"/>
      <c r="N67" s="65" t="n"/>
      <c r="O67" s="65" t="n"/>
      <c r="P67" s="65" t="n"/>
      <c r="Q67" s="32">
        <f>IF($C67="","",IF($J67="","— חסרים נתונים",IF($J67="טרם מפענח","פרופיל 5",IF($J67="קמץ/פתח/חטף-פתח ושוואים","פרופיל 4",IF($J67="2-3 סימני ניקוד","פרופיל 3",IF($J67="4-5 סימני ניקוד","פרופיל 2",IF(AND($O67="משפטים וקטעים קצרים",OR($M67="מבין",$M67="מבין לרוב")),"פרופיל 1","פרופיל 2")))))))</f>
        <v/>
      </c>
      <c r="R67" s="32">
        <f>IF($C67="","",IF(OR($Q67="",LEFT($Q67,1)="—"),"קבוצה רביעית",IF($Q67="פרופיל 5","קבוצת תשתיות",IF(OR($Q67="פרופיל 4",$Q67="פרופיל 3"),"קבוצת רכישה","קבוצת ביסוס"))))</f>
        <v/>
      </c>
      <c r="S67" s="32">
        <f>IF($F67="","",IF($F67="תחילת שנה",1,IF($F67="מחצית שנה",2,3)))</f>
        <v/>
      </c>
      <c r="T67" s="32">
        <f>IF(OR($B67="",$R67="",$A67="",$F67=""),"",$B67&amp;"|"&amp;$A67&amp;"|"&amp;$F67&amp;"|"&amp;$R67&amp;"|"&amp;COUNTIFS($B$6:$B67,$B67,$A$6:$A67,$A67,$F$6:$F67,$F67,$R$6:$R67,$R67))</f>
        <v/>
      </c>
      <c r="U67" s="32">
        <f>IF($C67="","",$C67&amp;"|"&amp;COUNTIFS($C$6:$C67,$C67))</f>
        <v/>
      </c>
      <c r="V67" s="32">
        <f>IF(OR($C67="",$A67="",$S67=""),"",$C67&amp;"|"&amp;$A67&amp;"|"&amp;$S67)</f>
        <v/>
      </c>
      <c r="W67" s="32">
        <f>IF(OR($C67="",$S67="",$S67=1),"",IFERROR(INDEX($Q$6:$Q$1505,MATCH($C67&amp;"|"&amp;$A67&amp;"|"&amp;($S67-1),$V$6:$V$1505,0)),""))</f>
        <v/>
      </c>
      <c r="X67" s="32">
        <f>IF(OR($W67="",$Q67="",LEFT($Q67,1)="—"),"",IF($W67=$Q67,"ללא שינוי","מ-"&amp;$W67&amp;" ל-"&amp;$Q67))</f>
        <v/>
      </c>
    </row>
    <row r="68" ht="15.75" customHeight="1" s="58">
      <c r="A68" s="65" t="n"/>
      <c r="B68" s="65" t="n"/>
      <c r="C68" s="66" t="n"/>
      <c r="D68" s="66" t="n"/>
      <c r="E68" s="65" t="n"/>
      <c r="F68" s="65" t="n"/>
      <c r="G68" s="65" t="n"/>
      <c r="H68" s="65" t="n"/>
      <c r="I68" s="65" t="n"/>
      <c r="J68" s="65" t="n"/>
      <c r="K68" s="65" t="n"/>
      <c r="L68" s="65" t="n"/>
      <c r="M68" s="65" t="n"/>
      <c r="N68" s="65" t="n"/>
      <c r="O68" s="65" t="n"/>
      <c r="P68" s="65" t="n"/>
      <c r="Q68" s="32">
        <f>IF($C68="","",IF($J68="","— חסרים נתונים",IF($J68="טרם מפענח","פרופיל 5",IF($J68="קמץ/פתח/חטף-פתח ושוואים","פרופיל 4",IF($J68="2-3 סימני ניקוד","פרופיל 3",IF($J68="4-5 סימני ניקוד","פרופיל 2",IF(AND($O68="משפטים וקטעים קצרים",OR($M68="מבין",$M68="מבין לרוב")),"פרופיל 1","פרופיל 2")))))))</f>
        <v/>
      </c>
      <c r="R68" s="32">
        <f>IF($C68="","",IF(OR($Q68="",LEFT($Q68,1)="—"),"קבוצה רביעית",IF($Q68="פרופיל 5","קבוצת תשתיות",IF(OR($Q68="פרופיל 4",$Q68="פרופיל 3"),"קבוצת רכישה","קבוצת ביסוס"))))</f>
        <v/>
      </c>
      <c r="S68" s="32">
        <f>IF($F68="","",IF($F68="תחילת שנה",1,IF($F68="מחצית שנה",2,3)))</f>
        <v/>
      </c>
      <c r="T68" s="32">
        <f>IF(OR($B68="",$R68="",$A68="",$F68=""),"",$B68&amp;"|"&amp;$A68&amp;"|"&amp;$F68&amp;"|"&amp;$R68&amp;"|"&amp;COUNTIFS($B$6:$B68,$B68,$A$6:$A68,$A68,$F$6:$F68,$F68,$R$6:$R68,$R68))</f>
        <v/>
      </c>
      <c r="U68" s="32">
        <f>IF($C68="","",$C68&amp;"|"&amp;COUNTIFS($C$6:$C68,$C68))</f>
        <v/>
      </c>
      <c r="V68" s="32">
        <f>IF(OR($C68="",$A68="",$S68=""),"",$C68&amp;"|"&amp;$A68&amp;"|"&amp;$S68)</f>
        <v/>
      </c>
      <c r="W68" s="32">
        <f>IF(OR($C68="",$S68="",$S68=1),"",IFERROR(INDEX($Q$6:$Q$1505,MATCH($C68&amp;"|"&amp;$A68&amp;"|"&amp;($S68-1),$V$6:$V$1505,0)),""))</f>
        <v/>
      </c>
      <c r="X68" s="32">
        <f>IF(OR($W68="",$Q68="",LEFT($Q68,1)="—"),"",IF($W68=$Q68,"ללא שינוי","מ-"&amp;$W68&amp;" ל-"&amp;$Q68))</f>
        <v/>
      </c>
    </row>
    <row r="69" ht="15.75" customHeight="1" s="58">
      <c r="A69" s="65" t="n"/>
      <c r="B69" s="65" t="n"/>
      <c r="C69" s="66" t="n"/>
      <c r="D69" s="66" t="n"/>
      <c r="E69" s="65" t="n"/>
      <c r="F69" s="65" t="n"/>
      <c r="G69" s="65" t="n"/>
      <c r="H69" s="65" t="n"/>
      <c r="I69" s="65" t="n"/>
      <c r="J69" s="65" t="n"/>
      <c r="K69" s="65" t="n"/>
      <c r="L69" s="65" t="n"/>
      <c r="M69" s="65" t="n"/>
      <c r="N69" s="65" t="n"/>
      <c r="O69" s="65" t="n"/>
      <c r="P69" s="65" t="n"/>
      <c r="Q69" s="32">
        <f>IF($C69="","",IF($J69="","— חסרים נתונים",IF($J69="טרם מפענח","פרופיל 5",IF($J69="קמץ/פתח/חטף-פתח ושוואים","פרופיל 4",IF($J69="2-3 סימני ניקוד","פרופיל 3",IF($J69="4-5 סימני ניקוד","פרופיל 2",IF(AND($O69="משפטים וקטעים קצרים",OR($M69="מבין",$M69="מבין לרוב")),"פרופיל 1","פרופיל 2")))))))</f>
        <v/>
      </c>
      <c r="R69" s="32">
        <f>IF($C69="","",IF(OR($Q69="",LEFT($Q69,1)="—"),"קבוצה רביעית",IF($Q69="פרופיל 5","קבוצת תשתיות",IF(OR($Q69="פרופיל 4",$Q69="פרופיל 3"),"קבוצת רכישה","קבוצת ביסוס"))))</f>
        <v/>
      </c>
      <c r="S69" s="32">
        <f>IF($F69="","",IF($F69="תחילת שנה",1,IF($F69="מחצית שנה",2,3)))</f>
        <v/>
      </c>
      <c r="T69" s="32">
        <f>IF(OR($B69="",$R69="",$A69="",$F69=""),"",$B69&amp;"|"&amp;$A69&amp;"|"&amp;$F69&amp;"|"&amp;$R69&amp;"|"&amp;COUNTIFS($B$6:$B69,$B69,$A$6:$A69,$A69,$F$6:$F69,$F69,$R$6:$R69,$R69))</f>
        <v/>
      </c>
      <c r="U69" s="32">
        <f>IF($C69="","",$C69&amp;"|"&amp;COUNTIFS($C$6:$C69,$C69))</f>
        <v/>
      </c>
      <c r="V69" s="32">
        <f>IF(OR($C69="",$A69="",$S69=""),"",$C69&amp;"|"&amp;$A69&amp;"|"&amp;$S69)</f>
        <v/>
      </c>
      <c r="W69" s="32">
        <f>IF(OR($C69="",$S69="",$S69=1),"",IFERROR(INDEX($Q$6:$Q$1505,MATCH($C69&amp;"|"&amp;$A69&amp;"|"&amp;($S69-1),$V$6:$V$1505,0)),""))</f>
        <v/>
      </c>
      <c r="X69" s="32">
        <f>IF(OR($W69="",$Q69="",LEFT($Q69,1)="—"),"",IF($W69=$Q69,"ללא שינוי","מ-"&amp;$W69&amp;" ל-"&amp;$Q69))</f>
        <v/>
      </c>
    </row>
    <row r="70" ht="15.75" customHeight="1" s="58">
      <c r="A70" s="65" t="n"/>
      <c r="B70" s="65" t="n"/>
      <c r="C70" s="66" t="n"/>
      <c r="D70" s="66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32">
        <f>IF($C70="","",IF($J70="","— חסרים נתונים",IF($J70="טרם מפענח","פרופיל 5",IF($J70="קמץ/פתח/חטף-פתח ושוואים","פרופיל 4",IF($J70="2-3 סימני ניקוד","פרופיל 3",IF($J70="4-5 סימני ניקוד","פרופיל 2",IF(AND($O70="משפטים וקטעים קצרים",OR($M70="מבין",$M70="מבין לרוב")),"פרופיל 1","פרופיל 2")))))))</f>
        <v/>
      </c>
      <c r="R70" s="32">
        <f>IF($C70="","",IF(OR($Q70="",LEFT($Q70,1)="—"),"קבוצה רביעית",IF($Q70="פרופיל 5","קבוצת תשתיות",IF(OR($Q70="פרופיל 4",$Q70="פרופיל 3"),"קבוצת רכישה","קבוצת ביסוס"))))</f>
        <v/>
      </c>
      <c r="S70" s="32">
        <f>IF($F70="","",IF($F70="תחילת שנה",1,IF($F70="מחצית שנה",2,3)))</f>
        <v/>
      </c>
      <c r="T70" s="32">
        <f>IF(OR($B70="",$R70="",$A70="",$F70=""),"",$B70&amp;"|"&amp;$A70&amp;"|"&amp;$F70&amp;"|"&amp;$R70&amp;"|"&amp;COUNTIFS($B$6:$B70,$B70,$A$6:$A70,$A70,$F$6:$F70,$F70,$R$6:$R70,$R70))</f>
        <v/>
      </c>
      <c r="U70" s="32">
        <f>IF($C70="","",$C70&amp;"|"&amp;COUNTIFS($C$6:$C70,$C70))</f>
        <v/>
      </c>
      <c r="V70" s="32">
        <f>IF(OR($C70="",$A70="",$S70=""),"",$C70&amp;"|"&amp;$A70&amp;"|"&amp;$S70)</f>
        <v/>
      </c>
      <c r="W70" s="32">
        <f>IF(OR($C70="",$S70="",$S70=1),"",IFERROR(INDEX($Q$6:$Q$1505,MATCH($C70&amp;"|"&amp;$A70&amp;"|"&amp;($S70-1),$V$6:$V$1505,0)),""))</f>
        <v/>
      </c>
      <c r="X70" s="32">
        <f>IF(OR($W70="",$Q70="",LEFT($Q70,1)="—"),"",IF($W70=$Q70,"ללא שינוי","מ-"&amp;$W70&amp;" ל-"&amp;$Q70))</f>
        <v/>
      </c>
    </row>
    <row r="71" ht="15.75" customHeight="1" s="58">
      <c r="A71" s="65" t="n"/>
      <c r="B71" s="65" t="n"/>
      <c r="C71" s="66" t="n"/>
      <c r="D71" s="66" t="n"/>
      <c r="E71" s="65" t="n"/>
      <c r="F71" s="65" t="n"/>
      <c r="G71" s="65" t="n"/>
      <c r="H71" s="65" t="n"/>
      <c r="I71" s="65" t="n"/>
      <c r="J71" s="65" t="n"/>
      <c r="K71" s="65" t="n"/>
      <c r="L71" s="65" t="n"/>
      <c r="M71" s="65" t="n"/>
      <c r="N71" s="65" t="n"/>
      <c r="O71" s="65" t="n"/>
      <c r="P71" s="65" t="n"/>
      <c r="Q71" s="32">
        <f>IF($C71="","",IF($J71="","— חסרים נתונים",IF($J71="טרם מפענח","פרופיל 5",IF($J71="קמץ/פתח/חטף-פתח ושוואים","פרופיל 4",IF($J71="2-3 סימני ניקוד","פרופיל 3",IF($J71="4-5 סימני ניקוד","פרופיל 2",IF(AND($O71="משפטים וקטעים קצרים",OR($M71="מבין",$M71="מבין לרוב")),"פרופיל 1","פרופיל 2")))))))</f>
        <v/>
      </c>
      <c r="R71" s="32">
        <f>IF($C71="","",IF(OR($Q71="",LEFT($Q71,1)="—"),"קבוצה רביעית",IF($Q71="פרופיל 5","קבוצת תשתיות",IF(OR($Q71="פרופיל 4",$Q71="פרופיל 3"),"קבוצת רכישה","קבוצת ביסוס"))))</f>
        <v/>
      </c>
      <c r="S71" s="32">
        <f>IF($F71="","",IF($F71="תחילת שנה",1,IF($F71="מחצית שנה",2,3)))</f>
        <v/>
      </c>
      <c r="T71" s="32">
        <f>IF(OR($B71="",$R71="",$A71="",$F71=""),"",$B71&amp;"|"&amp;$A71&amp;"|"&amp;$F71&amp;"|"&amp;$R71&amp;"|"&amp;COUNTIFS($B$6:$B71,$B71,$A$6:$A71,$A71,$F$6:$F71,$F71,$R$6:$R71,$R71))</f>
        <v/>
      </c>
      <c r="U71" s="32">
        <f>IF($C71="","",$C71&amp;"|"&amp;COUNTIFS($C$6:$C71,$C71))</f>
        <v/>
      </c>
      <c r="V71" s="32">
        <f>IF(OR($C71="",$A71="",$S71=""),"",$C71&amp;"|"&amp;$A71&amp;"|"&amp;$S71)</f>
        <v/>
      </c>
      <c r="W71" s="32">
        <f>IF(OR($C71="",$S71="",$S71=1),"",IFERROR(INDEX($Q$6:$Q$1505,MATCH($C71&amp;"|"&amp;$A71&amp;"|"&amp;($S71-1),$V$6:$V$1505,0)),""))</f>
        <v/>
      </c>
      <c r="X71" s="32">
        <f>IF(OR($W71="",$Q71="",LEFT($Q71,1)="—"),"",IF($W71=$Q71,"ללא שינוי","מ-"&amp;$W71&amp;" ל-"&amp;$Q71))</f>
        <v/>
      </c>
    </row>
    <row r="72" ht="15.75" customHeight="1" s="58">
      <c r="A72" s="65" t="n"/>
      <c r="B72" s="65" t="n"/>
      <c r="C72" s="66" t="n"/>
      <c r="D72" s="66" t="n"/>
      <c r="E72" s="65" t="n"/>
      <c r="F72" s="65" t="n"/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32">
        <f>IF($C72="","",IF($J72="","— חסרים נתונים",IF($J72="טרם מפענח","פרופיל 5",IF($J72="קמץ/פתח/חטף-פתח ושוואים","פרופיל 4",IF($J72="2-3 סימני ניקוד","פרופיל 3",IF($J72="4-5 סימני ניקוד","פרופיל 2",IF(AND($O72="משפטים וקטעים קצרים",OR($M72="מבין",$M72="מבין לרוב")),"פרופיל 1","פרופיל 2")))))))</f>
        <v/>
      </c>
      <c r="R72" s="32">
        <f>IF($C72="","",IF(OR($Q72="",LEFT($Q72,1)="—"),"קבוצה רביעית",IF($Q72="פרופיל 5","קבוצת תשתיות",IF(OR($Q72="פרופיל 4",$Q72="פרופיל 3"),"קבוצת רכישה","קבוצת ביסוס"))))</f>
        <v/>
      </c>
      <c r="S72" s="32">
        <f>IF($F72="","",IF($F72="תחילת שנה",1,IF($F72="מחצית שנה",2,3)))</f>
        <v/>
      </c>
      <c r="T72" s="32">
        <f>IF(OR($B72="",$R72="",$A72="",$F72=""),"",$B72&amp;"|"&amp;$A72&amp;"|"&amp;$F72&amp;"|"&amp;$R72&amp;"|"&amp;COUNTIFS($B$6:$B72,$B72,$A$6:$A72,$A72,$F$6:$F72,$F72,$R$6:$R72,$R72))</f>
        <v/>
      </c>
      <c r="U72" s="32">
        <f>IF($C72="","",$C72&amp;"|"&amp;COUNTIFS($C$6:$C72,$C72))</f>
        <v/>
      </c>
      <c r="V72" s="32">
        <f>IF(OR($C72="",$A72="",$S72=""),"",$C72&amp;"|"&amp;$A72&amp;"|"&amp;$S72)</f>
        <v/>
      </c>
      <c r="W72" s="32">
        <f>IF(OR($C72="",$S72="",$S72=1),"",IFERROR(INDEX($Q$6:$Q$1505,MATCH($C72&amp;"|"&amp;$A72&amp;"|"&amp;($S72-1),$V$6:$V$1505,0)),""))</f>
        <v/>
      </c>
      <c r="X72" s="32">
        <f>IF(OR($W72="",$Q72="",LEFT($Q72,1)="—"),"",IF($W72=$Q72,"ללא שינוי","מ-"&amp;$W72&amp;" ל-"&amp;$Q72))</f>
        <v/>
      </c>
    </row>
    <row r="73" ht="15.75" customHeight="1" s="58">
      <c r="A73" s="65" t="n"/>
      <c r="B73" s="65" t="n"/>
      <c r="C73" s="66" t="n"/>
      <c r="D73" s="66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32">
        <f>IF($C73="","",IF($J73="","— חסרים נתונים",IF($J73="טרם מפענח","פרופיל 5",IF($J73="קמץ/פתח/חטף-פתח ושוואים","פרופיל 4",IF($J73="2-3 סימני ניקוד","פרופיל 3",IF($J73="4-5 סימני ניקוד","פרופיל 2",IF(AND($O73="משפטים וקטעים קצרים",OR($M73="מבין",$M73="מבין לרוב")),"פרופיל 1","פרופיל 2")))))))</f>
        <v/>
      </c>
      <c r="R73" s="32">
        <f>IF($C73="","",IF(OR($Q73="",LEFT($Q73,1)="—"),"קבוצה רביעית",IF($Q73="פרופיל 5","קבוצת תשתיות",IF(OR($Q73="פרופיל 4",$Q73="פרופיל 3"),"קבוצת רכישה","קבוצת ביסוס"))))</f>
        <v/>
      </c>
      <c r="S73" s="32">
        <f>IF($F73="","",IF($F73="תחילת שנה",1,IF($F73="מחצית שנה",2,3)))</f>
        <v/>
      </c>
      <c r="T73" s="32">
        <f>IF(OR($B73="",$R73="",$A73="",$F73=""),"",$B73&amp;"|"&amp;$A73&amp;"|"&amp;$F73&amp;"|"&amp;$R73&amp;"|"&amp;COUNTIFS($B$6:$B73,$B73,$A$6:$A73,$A73,$F$6:$F73,$F73,$R$6:$R73,$R73))</f>
        <v/>
      </c>
      <c r="U73" s="32">
        <f>IF($C73="","",$C73&amp;"|"&amp;COUNTIFS($C$6:$C73,$C73))</f>
        <v/>
      </c>
      <c r="V73" s="32">
        <f>IF(OR($C73="",$A73="",$S73=""),"",$C73&amp;"|"&amp;$A73&amp;"|"&amp;$S73)</f>
        <v/>
      </c>
      <c r="W73" s="32">
        <f>IF(OR($C73="",$S73="",$S73=1),"",IFERROR(INDEX($Q$6:$Q$1505,MATCH($C73&amp;"|"&amp;$A73&amp;"|"&amp;($S73-1),$V$6:$V$1505,0)),""))</f>
        <v/>
      </c>
      <c r="X73" s="32">
        <f>IF(OR($W73="",$Q73="",LEFT($Q73,1)="—"),"",IF($W73=$Q73,"ללא שינוי","מ-"&amp;$W73&amp;" ל-"&amp;$Q73))</f>
        <v/>
      </c>
    </row>
    <row r="74" ht="15.75" customHeight="1" s="58">
      <c r="A74" s="65" t="n"/>
      <c r="B74" s="65" t="n"/>
      <c r="C74" s="66" t="n"/>
      <c r="D74" s="66" t="n"/>
      <c r="E74" s="65" t="n"/>
      <c r="F74" s="65" t="n"/>
      <c r="G74" s="65" t="n"/>
      <c r="H74" s="65" t="n"/>
      <c r="I74" s="65" t="n"/>
      <c r="J74" s="65" t="n"/>
      <c r="K74" s="65" t="n"/>
      <c r="L74" s="65" t="n"/>
      <c r="M74" s="65" t="n"/>
      <c r="N74" s="65" t="n"/>
      <c r="O74" s="65" t="n"/>
      <c r="P74" s="65" t="n"/>
      <c r="Q74" s="32">
        <f>IF($C74="","",IF($J74="","— חסרים נתונים",IF($J74="טרם מפענח","פרופיל 5",IF($J74="קמץ/פתח/חטף-פתח ושוואים","פרופיל 4",IF($J74="2-3 סימני ניקוד","פרופיל 3",IF($J74="4-5 סימני ניקוד","פרופיל 2",IF(AND($O74="משפטים וקטעים קצרים",OR($M74="מבין",$M74="מבין לרוב")),"פרופיל 1","פרופיל 2")))))))</f>
        <v/>
      </c>
      <c r="R74" s="32">
        <f>IF($C74="","",IF(OR($Q74="",LEFT($Q74,1)="—"),"קבוצה רביעית",IF($Q74="פרופיל 5","קבוצת תשתיות",IF(OR($Q74="פרופיל 4",$Q74="פרופיל 3"),"קבוצת רכישה","קבוצת ביסוס"))))</f>
        <v/>
      </c>
      <c r="S74" s="32">
        <f>IF($F74="","",IF($F74="תחילת שנה",1,IF($F74="מחצית שנה",2,3)))</f>
        <v/>
      </c>
      <c r="T74" s="32">
        <f>IF(OR($B74="",$R74="",$A74="",$F74=""),"",$B74&amp;"|"&amp;$A74&amp;"|"&amp;$F74&amp;"|"&amp;$R74&amp;"|"&amp;COUNTIFS($B$6:$B74,$B74,$A$6:$A74,$A74,$F$6:$F74,$F74,$R$6:$R74,$R74))</f>
        <v/>
      </c>
      <c r="U74" s="32">
        <f>IF($C74="","",$C74&amp;"|"&amp;COUNTIFS($C$6:$C74,$C74))</f>
        <v/>
      </c>
      <c r="V74" s="32">
        <f>IF(OR($C74="",$A74="",$S74=""),"",$C74&amp;"|"&amp;$A74&amp;"|"&amp;$S74)</f>
        <v/>
      </c>
      <c r="W74" s="32">
        <f>IF(OR($C74="",$S74="",$S74=1),"",IFERROR(INDEX($Q$6:$Q$1505,MATCH($C74&amp;"|"&amp;$A74&amp;"|"&amp;($S74-1),$V$6:$V$1505,0)),""))</f>
        <v/>
      </c>
      <c r="X74" s="32">
        <f>IF(OR($W74="",$Q74="",LEFT($Q74,1)="—"),"",IF($W74=$Q74,"ללא שינוי","מ-"&amp;$W74&amp;" ל-"&amp;$Q74))</f>
        <v/>
      </c>
    </row>
    <row r="75" ht="15.75" customHeight="1" s="58">
      <c r="A75" s="65" t="n"/>
      <c r="B75" s="65" t="n"/>
      <c r="C75" s="66" t="n"/>
      <c r="D75" s="66" t="n"/>
      <c r="E75" s="65" t="n"/>
      <c r="F75" s="65" t="n"/>
      <c r="G75" s="65" t="n"/>
      <c r="H75" s="65" t="n"/>
      <c r="I75" s="65" t="n"/>
      <c r="J75" s="65" t="n"/>
      <c r="K75" s="65" t="n"/>
      <c r="L75" s="65" t="n"/>
      <c r="M75" s="65" t="n"/>
      <c r="N75" s="65" t="n"/>
      <c r="O75" s="65" t="n"/>
      <c r="P75" s="65" t="n"/>
      <c r="Q75" s="32">
        <f>IF($C75="","",IF($J75="","— חסרים נתונים",IF($J75="טרם מפענח","פרופיל 5",IF($J75="קמץ/פתח/חטף-פתח ושוואים","פרופיל 4",IF($J75="2-3 סימני ניקוד","פרופיל 3",IF($J75="4-5 סימני ניקוד","פרופיל 2",IF(AND($O75="משפטים וקטעים קצרים",OR($M75="מבין",$M75="מבין לרוב")),"פרופיל 1","פרופיל 2")))))))</f>
        <v/>
      </c>
      <c r="R75" s="32">
        <f>IF($C75="","",IF(OR($Q75="",LEFT($Q75,1)="—"),"קבוצה רביעית",IF($Q75="פרופיל 5","קבוצת תשתיות",IF(OR($Q75="פרופיל 4",$Q75="פרופיל 3"),"קבוצת רכישה","קבוצת ביסוס"))))</f>
        <v/>
      </c>
      <c r="S75" s="32">
        <f>IF($F75="","",IF($F75="תחילת שנה",1,IF($F75="מחצית שנה",2,3)))</f>
        <v/>
      </c>
      <c r="T75" s="32">
        <f>IF(OR($B75="",$R75="",$A75="",$F75=""),"",$B75&amp;"|"&amp;$A75&amp;"|"&amp;$F75&amp;"|"&amp;$R75&amp;"|"&amp;COUNTIFS($B$6:$B75,$B75,$A$6:$A75,$A75,$F$6:$F75,$F75,$R$6:$R75,$R75))</f>
        <v/>
      </c>
      <c r="U75" s="32">
        <f>IF($C75="","",$C75&amp;"|"&amp;COUNTIFS($C$6:$C75,$C75))</f>
        <v/>
      </c>
      <c r="V75" s="32">
        <f>IF(OR($C75="",$A75="",$S75=""),"",$C75&amp;"|"&amp;$A75&amp;"|"&amp;$S75)</f>
        <v/>
      </c>
      <c r="W75" s="32">
        <f>IF(OR($C75="",$S75="",$S75=1),"",IFERROR(INDEX($Q$6:$Q$1505,MATCH($C75&amp;"|"&amp;$A75&amp;"|"&amp;($S75-1),$V$6:$V$1505,0)),""))</f>
        <v/>
      </c>
      <c r="X75" s="32">
        <f>IF(OR($W75="",$Q75="",LEFT($Q75,1)="—"),"",IF($W75=$Q75,"ללא שינוי","מ-"&amp;$W75&amp;" ל-"&amp;$Q75))</f>
        <v/>
      </c>
    </row>
    <row r="76" ht="15.75" customHeight="1" s="58">
      <c r="A76" s="65" t="n"/>
      <c r="B76" s="65" t="n"/>
      <c r="C76" s="66" t="n"/>
      <c r="D76" s="66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32">
        <f>IF($C76="","",IF($J76="","— חסרים נתונים",IF($J76="טרם מפענח","פרופיל 5",IF($J76="קמץ/פתח/חטף-פתח ושוואים","פרופיל 4",IF($J76="2-3 סימני ניקוד","פרופיל 3",IF($J76="4-5 סימני ניקוד","פרופיל 2",IF(AND($O76="משפטים וקטעים קצרים",OR($M76="מבין",$M76="מבין לרוב")),"פרופיל 1","פרופיל 2")))))))</f>
        <v/>
      </c>
      <c r="R76" s="32">
        <f>IF($C76="","",IF(OR($Q76="",LEFT($Q76,1)="—"),"קבוצה רביעית",IF($Q76="פרופיל 5","קבוצת תשתיות",IF(OR($Q76="פרופיל 4",$Q76="פרופיל 3"),"קבוצת רכישה","קבוצת ביסוס"))))</f>
        <v/>
      </c>
      <c r="S76" s="32">
        <f>IF($F76="","",IF($F76="תחילת שנה",1,IF($F76="מחצית שנה",2,3)))</f>
        <v/>
      </c>
      <c r="T76" s="32">
        <f>IF(OR($B76="",$R76="",$A76="",$F76=""),"",$B76&amp;"|"&amp;$A76&amp;"|"&amp;$F76&amp;"|"&amp;$R76&amp;"|"&amp;COUNTIFS($B$6:$B76,$B76,$A$6:$A76,$A76,$F$6:$F76,$F76,$R$6:$R76,$R76))</f>
        <v/>
      </c>
      <c r="U76" s="32">
        <f>IF($C76="","",$C76&amp;"|"&amp;COUNTIFS($C$6:$C76,$C76))</f>
        <v/>
      </c>
      <c r="V76" s="32">
        <f>IF(OR($C76="",$A76="",$S76=""),"",$C76&amp;"|"&amp;$A76&amp;"|"&amp;$S76)</f>
        <v/>
      </c>
      <c r="W76" s="32">
        <f>IF(OR($C76="",$S76="",$S76=1),"",IFERROR(INDEX($Q$6:$Q$1505,MATCH($C76&amp;"|"&amp;$A76&amp;"|"&amp;($S76-1),$V$6:$V$1505,0)),""))</f>
        <v/>
      </c>
      <c r="X76" s="32">
        <f>IF(OR($W76="",$Q76="",LEFT($Q76,1)="—"),"",IF($W76=$Q76,"ללא שינוי","מ-"&amp;$W76&amp;" ל-"&amp;$Q76))</f>
        <v/>
      </c>
    </row>
    <row r="77" ht="15.75" customHeight="1" s="58">
      <c r="A77" s="65" t="n"/>
      <c r="B77" s="65" t="n"/>
      <c r="C77" s="66" t="n"/>
      <c r="D77" s="66" t="n"/>
      <c r="E77" s="65" t="n"/>
      <c r="F77" s="65" t="n"/>
      <c r="G77" s="65" t="n"/>
      <c r="H77" s="65" t="n"/>
      <c r="I77" s="65" t="n"/>
      <c r="J77" s="65" t="n"/>
      <c r="K77" s="65" t="n"/>
      <c r="L77" s="65" t="n"/>
      <c r="M77" s="65" t="n"/>
      <c r="N77" s="65" t="n"/>
      <c r="O77" s="65" t="n"/>
      <c r="P77" s="65" t="n"/>
      <c r="Q77" s="32">
        <f>IF($C77="","",IF($J77="","— חסרים נתונים",IF($J77="טרם מפענח","פרופיל 5",IF($J77="קמץ/פתח/חטף-פתח ושוואים","פרופיל 4",IF($J77="2-3 סימני ניקוד","פרופיל 3",IF($J77="4-5 סימני ניקוד","פרופיל 2",IF(AND($O77="משפטים וקטעים קצרים",OR($M77="מבין",$M77="מבין לרוב")),"פרופיל 1","פרופיל 2")))))))</f>
        <v/>
      </c>
      <c r="R77" s="32">
        <f>IF($C77="","",IF(OR($Q77="",LEFT($Q77,1)="—"),"קבוצה רביעית",IF($Q77="פרופיל 5","קבוצת תשתיות",IF(OR($Q77="פרופיל 4",$Q77="פרופיל 3"),"קבוצת רכישה","קבוצת ביסוס"))))</f>
        <v/>
      </c>
      <c r="S77" s="32">
        <f>IF($F77="","",IF($F77="תחילת שנה",1,IF($F77="מחצית שנה",2,3)))</f>
        <v/>
      </c>
      <c r="T77" s="32">
        <f>IF(OR($B77="",$R77="",$A77="",$F77=""),"",$B77&amp;"|"&amp;$A77&amp;"|"&amp;$F77&amp;"|"&amp;$R77&amp;"|"&amp;COUNTIFS($B$6:$B77,$B77,$A$6:$A77,$A77,$F$6:$F77,$F77,$R$6:$R77,$R77))</f>
        <v/>
      </c>
      <c r="U77" s="32">
        <f>IF($C77="","",$C77&amp;"|"&amp;COUNTIFS($C$6:$C77,$C77))</f>
        <v/>
      </c>
      <c r="V77" s="32">
        <f>IF(OR($C77="",$A77="",$S77=""),"",$C77&amp;"|"&amp;$A77&amp;"|"&amp;$S77)</f>
        <v/>
      </c>
      <c r="W77" s="32">
        <f>IF(OR($C77="",$S77="",$S77=1),"",IFERROR(INDEX($Q$6:$Q$1505,MATCH($C77&amp;"|"&amp;$A77&amp;"|"&amp;($S77-1),$V$6:$V$1505,0)),""))</f>
        <v/>
      </c>
      <c r="X77" s="32">
        <f>IF(OR($W77="",$Q77="",LEFT($Q77,1)="—"),"",IF($W77=$Q77,"ללא שינוי","מ-"&amp;$W77&amp;" ל-"&amp;$Q77))</f>
        <v/>
      </c>
    </row>
    <row r="78" ht="15.75" customHeight="1" s="58">
      <c r="A78" s="65" t="n"/>
      <c r="B78" s="65" t="n"/>
      <c r="C78" s="66" t="n"/>
      <c r="D78" s="66" t="n"/>
      <c r="E78" s="65" t="n"/>
      <c r="F78" s="65" t="n"/>
      <c r="G78" s="65" t="n"/>
      <c r="H78" s="65" t="n"/>
      <c r="I78" s="65" t="n"/>
      <c r="J78" s="65" t="n"/>
      <c r="K78" s="65" t="n"/>
      <c r="L78" s="65" t="n"/>
      <c r="M78" s="65" t="n"/>
      <c r="N78" s="65" t="n"/>
      <c r="O78" s="65" t="n"/>
      <c r="P78" s="65" t="n"/>
      <c r="Q78" s="32">
        <f>IF($C78="","",IF($J78="","— חסרים נתונים",IF($J78="טרם מפענח","פרופיל 5",IF($J78="קמץ/פתח/חטף-פתח ושוואים","פרופיל 4",IF($J78="2-3 סימני ניקוד","פרופיל 3",IF($J78="4-5 סימני ניקוד","פרופיל 2",IF(AND($O78="משפטים וקטעים קצרים",OR($M78="מבין",$M78="מבין לרוב")),"פרופיל 1","פרופיל 2")))))))</f>
        <v/>
      </c>
      <c r="R78" s="32">
        <f>IF($C78="","",IF(OR($Q78="",LEFT($Q78,1)="—"),"קבוצה רביעית",IF($Q78="פרופיל 5","קבוצת תשתיות",IF(OR($Q78="פרופיל 4",$Q78="פרופיל 3"),"קבוצת רכישה","קבוצת ביסוס"))))</f>
        <v/>
      </c>
      <c r="S78" s="32">
        <f>IF($F78="","",IF($F78="תחילת שנה",1,IF($F78="מחצית שנה",2,3)))</f>
        <v/>
      </c>
      <c r="T78" s="32">
        <f>IF(OR($B78="",$R78="",$A78="",$F78=""),"",$B78&amp;"|"&amp;$A78&amp;"|"&amp;$F78&amp;"|"&amp;$R78&amp;"|"&amp;COUNTIFS($B$6:$B78,$B78,$A$6:$A78,$A78,$F$6:$F78,$F78,$R$6:$R78,$R78))</f>
        <v/>
      </c>
      <c r="U78" s="32">
        <f>IF($C78="","",$C78&amp;"|"&amp;COUNTIFS($C$6:$C78,$C78))</f>
        <v/>
      </c>
      <c r="V78" s="32">
        <f>IF(OR($C78="",$A78="",$S78=""),"",$C78&amp;"|"&amp;$A78&amp;"|"&amp;$S78)</f>
        <v/>
      </c>
      <c r="W78" s="32">
        <f>IF(OR($C78="",$S78="",$S78=1),"",IFERROR(INDEX($Q$6:$Q$1505,MATCH($C78&amp;"|"&amp;$A78&amp;"|"&amp;($S78-1),$V$6:$V$1505,0)),""))</f>
        <v/>
      </c>
      <c r="X78" s="32">
        <f>IF(OR($W78="",$Q78="",LEFT($Q78,1)="—"),"",IF($W78=$Q78,"ללא שינוי","מ-"&amp;$W78&amp;" ל-"&amp;$Q78))</f>
        <v/>
      </c>
    </row>
    <row r="79" ht="15.75" customHeight="1" s="58">
      <c r="A79" s="65" t="n"/>
      <c r="B79" s="65" t="n"/>
      <c r="C79" s="66" t="n"/>
      <c r="D79" s="66" t="n"/>
      <c r="E79" s="65" t="n"/>
      <c r="F79" s="65" t="n"/>
      <c r="G79" s="65" t="n"/>
      <c r="H79" s="65" t="n"/>
      <c r="I79" s="65" t="n"/>
      <c r="J79" s="65" t="n"/>
      <c r="K79" s="65" t="n"/>
      <c r="L79" s="65" t="n"/>
      <c r="M79" s="65" t="n"/>
      <c r="N79" s="65" t="n"/>
      <c r="O79" s="65" t="n"/>
      <c r="P79" s="65" t="n"/>
      <c r="Q79" s="32">
        <f>IF($C79="","",IF($J79="","— חסרים נתונים",IF($J79="טרם מפענח","פרופיל 5",IF($J79="קמץ/פתח/חטף-פתח ושוואים","פרופיל 4",IF($J79="2-3 סימני ניקוד","פרופיל 3",IF($J79="4-5 סימני ניקוד","פרופיל 2",IF(AND($O79="משפטים וקטעים קצרים",OR($M79="מבין",$M79="מבין לרוב")),"פרופיל 1","פרופיל 2")))))))</f>
        <v/>
      </c>
      <c r="R79" s="32">
        <f>IF($C79="","",IF(OR($Q79="",LEFT($Q79,1)="—"),"קבוצה רביעית",IF($Q79="פרופיל 5","קבוצת תשתיות",IF(OR($Q79="פרופיל 4",$Q79="פרופיל 3"),"קבוצת רכישה","קבוצת ביסוס"))))</f>
        <v/>
      </c>
      <c r="S79" s="32">
        <f>IF($F79="","",IF($F79="תחילת שנה",1,IF($F79="מחצית שנה",2,3)))</f>
        <v/>
      </c>
      <c r="T79" s="32">
        <f>IF(OR($B79="",$R79="",$A79="",$F79=""),"",$B79&amp;"|"&amp;$A79&amp;"|"&amp;$F79&amp;"|"&amp;$R79&amp;"|"&amp;COUNTIFS($B$6:$B79,$B79,$A$6:$A79,$A79,$F$6:$F79,$F79,$R$6:$R79,$R79))</f>
        <v/>
      </c>
      <c r="U79" s="32">
        <f>IF($C79="","",$C79&amp;"|"&amp;COUNTIFS($C$6:$C79,$C79))</f>
        <v/>
      </c>
      <c r="V79" s="32">
        <f>IF(OR($C79="",$A79="",$S79=""),"",$C79&amp;"|"&amp;$A79&amp;"|"&amp;$S79)</f>
        <v/>
      </c>
      <c r="W79" s="32">
        <f>IF(OR($C79="",$S79="",$S79=1),"",IFERROR(INDEX($Q$6:$Q$1505,MATCH($C79&amp;"|"&amp;$A79&amp;"|"&amp;($S79-1),$V$6:$V$1505,0)),""))</f>
        <v/>
      </c>
      <c r="X79" s="32">
        <f>IF(OR($W79="",$Q79="",LEFT($Q79,1)="—"),"",IF($W79=$Q79,"ללא שינוי","מ-"&amp;$W79&amp;" ל-"&amp;$Q79))</f>
        <v/>
      </c>
    </row>
    <row r="80" ht="15.75" customHeight="1" s="58">
      <c r="A80" s="65" t="n"/>
      <c r="B80" s="65" t="n"/>
      <c r="C80" s="66" t="n"/>
      <c r="D80" s="66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  <c r="P80" s="65" t="n"/>
      <c r="Q80" s="32">
        <f>IF($C80="","",IF($J80="","— חסרים נתונים",IF($J80="טרם מפענח","פרופיל 5",IF($J80="קמץ/פתח/חטף-פתח ושוואים","פרופיל 4",IF($J80="2-3 סימני ניקוד","פרופיל 3",IF($J80="4-5 סימני ניקוד","פרופיל 2",IF(AND($O80="משפטים וקטעים קצרים",OR($M80="מבין",$M80="מבין לרוב")),"פרופיל 1","פרופיל 2")))))))</f>
        <v/>
      </c>
      <c r="R80" s="32">
        <f>IF($C80="","",IF(OR($Q80="",LEFT($Q80,1)="—"),"קבוצה רביעית",IF($Q80="פרופיל 5","קבוצת תשתיות",IF(OR($Q80="פרופיל 4",$Q80="פרופיל 3"),"קבוצת רכישה","קבוצת ביסוס"))))</f>
        <v/>
      </c>
      <c r="S80" s="32">
        <f>IF($F80="","",IF($F80="תחילת שנה",1,IF($F80="מחצית שנה",2,3)))</f>
        <v/>
      </c>
      <c r="T80" s="32">
        <f>IF(OR($B80="",$R80="",$A80="",$F80=""),"",$B80&amp;"|"&amp;$A80&amp;"|"&amp;$F80&amp;"|"&amp;$R80&amp;"|"&amp;COUNTIFS($B$6:$B80,$B80,$A$6:$A80,$A80,$F$6:$F80,$F80,$R$6:$R80,$R80))</f>
        <v/>
      </c>
      <c r="U80" s="32">
        <f>IF($C80="","",$C80&amp;"|"&amp;COUNTIFS($C$6:$C80,$C80))</f>
        <v/>
      </c>
      <c r="V80" s="32">
        <f>IF(OR($C80="",$A80="",$S80=""),"",$C80&amp;"|"&amp;$A80&amp;"|"&amp;$S80)</f>
        <v/>
      </c>
      <c r="W80" s="32">
        <f>IF(OR($C80="",$S80="",$S80=1),"",IFERROR(INDEX($Q$6:$Q$1505,MATCH($C80&amp;"|"&amp;$A80&amp;"|"&amp;($S80-1),$V$6:$V$1505,0)),""))</f>
        <v/>
      </c>
      <c r="X80" s="32">
        <f>IF(OR($W80="",$Q80="",LEFT($Q80,1)="—"),"",IF($W80=$Q80,"ללא שינוי","מ-"&amp;$W80&amp;" ל-"&amp;$Q80))</f>
        <v/>
      </c>
    </row>
    <row r="81" ht="15.75" customHeight="1" s="58">
      <c r="A81" s="65" t="n"/>
      <c r="B81" s="65" t="n"/>
      <c r="C81" s="66" t="n"/>
      <c r="D81" s="66" t="n"/>
      <c r="E81" s="65" t="n"/>
      <c r="F81" s="65" t="n"/>
      <c r="G81" s="65" t="n"/>
      <c r="H81" s="65" t="n"/>
      <c r="I81" s="65" t="n"/>
      <c r="J81" s="65" t="n"/>
      <c r="K81" s="65" t="n"/>
      <c r="L81" s="65" t="n"/>
      <c r="M81" s="65" t="n"/>
      <c r="N81" s="65" t="n"/>
      <c r="O81" s="65" t="n"/>
      <c r="P81" s="65" t="n"/>
      <c r="Q81" s="32">
        <f>IF($C81="","",IF($J81="","— חסרים נתונים",IF($J81="טרם מפענח","פרופיל 5",IF($J81="קמץ/פתח/חטף-פתח ושוואים","פרופיל 4",IF($J81="2-3 סימני ניקוד","פרופיל 3",IF($J81="4-5 סימני ניקוד","פרופיל 2",IF(AND($O81="משפטים וקטעים קצרים",OR($M81="מבין",$M81="מבין לרוב")),"פרופיל 1","פרופיל 2")))))))</f>
        <v/>
      </c>
      <c r="R81" s="32">
        <f>IF($C81="","",IF(OR($Q81="",LEFT($Q81,1)="—"),"קבוצה רביעית",IF($Q81="פרופיל 5","קבוצת תשתיות",IF(OR($Q81="פרופיל 4",$Q81="פרופיל 3"),"קבוצת רכישה","קבוצת ביסוס"))))</f>
        <v/>
      </c>
      <c r="S81" s="32">
        <f>IF($F81="","",IF($F81="תחילת שנה",1,IF($F81="מחצית שנה",2,3)))</f>
        <v/>
      </c>
      <c r="T81" s="32">
        <f>IF(OR($B81="",$R81="",$A81="",$F81=""),"",$B81&amp;"|"&amp;$A81&amp;"|"&amp;$F81&amp;"|"&amp;$R81&amp;"|"&amp;COUNTIFS($B$6:$B81,$B81,$A$6:$A81,$A81,$F$6:$F81,$F81,$R$6:$R81,$R81))</f>
        <v/>
      </c>
      <c r="U81" s="32">
        <f>IF($C81="","",$C81&amp;"|"&amp;COUNTIFS($C$6:$C81,$C81))</f>
        <v/>
      </c>
      <c r="V81" s="32">
        <f>IF(OR($C81="",$A81="",$S81=""),"",$C81&amp;"|"&amp;$A81&amp;"|"&amp;$S81)</f>
        <v/>
      </c>
      <c r="W81" s="32">
        <f>IF(OR($C81="",$S81="",$S81=1),"",IFERROR(INDEX($Q$6:$Q$1505,MATCH($C81&amp;"|"&amp;$A81&amp;"|"&amp;($S81-1),$V$6:$V$1505,0)),""))</f>
        <v/>
      </c>
      <c r="X81" s="32">
        <f>IF(OR($W81="",$Q81="",LEFT($Q81,1)="—"),"",IF($W81=$Q81,"ללא שינוי","מ-"&amp;$W81&amp;" ל-"&amp;$Q81))</f>
        <v/>
      </c>
    </row>
    <row r="82" ht="15.75" customHeight="1" s="58">
      <c r="A82" s="65" t="n"/>
      <c r="B82" s="65" t="n"/>
      <c r="C82" s="66" t="n"/>
      <c r="D82" s="66" t="n"/>
      <c r="E82" s="65" t="n"/>
      <c r="F82" s="65" t="n"/>
      <c r="G82" s="65" t="n"/>
      <c r="H82" s="65" t="n"/>
      <c r="I82" s="65" t="n"/>
      <c r="J82" s="65" t="n"/>
      <c r="K82" s="65" t="n"/>
      <c r="L82" s="65" t="n"/>
      <c r="M82" s="65" t="n"/>
      <c r="N82" s="65" t="n"/>
      <c r="O82" s="65" t="n"/>
      <c r="P82" s="65" t="n"/>
      <c r="Q82" s="32">
        <f>IF($C82="","",IF($J82="","— חסרים נתונים",IF($J82="טרם מפענח","פרופיל 5",IF($J82="קמץ/פתח/חטף-פתח ושוואים","פרופיל 4",IF($J82="2-3 סימני ניקוד","פרופיל 3",IF($J82="4-5 סימני ניקוד","פרופיל 2",IF(AND($O82="משפטים וקטעים קצרים",OR($M82="מבין",$M82="מבין לרוב")),"פרופיל 1","פרופיל 2")))))))</f>
        <v/>
      </c>
      <c r="R82" s="32">
        <f>IF($C82="","",IF(OR($Q82="",LEFT($Q82,1)="—"),"קבוצה רביעית",IF($Q82="פרופיל 5","קבוצת תשתיות",IF(OR($Q82="פרופיל 4",$Q82="פרופיל 3"),"קבוצת רכישה","קבוצת ביסוס"))))</f>
        <v/>
      </c>
      <c r="S82" s="32">
        <f>IF($F82="","",IF($F82="תחילת שנה",1,IF($F82="מחצית שנה",2,3)))</f>
        <v/>
      </c>
      <c r="T82" s="32">
        <f>IF(OR($B82="",$R82="",$A82="",$F82=""),"",$B82&amp;"|"&amp;$A82&amp;"|"&amp;$F82&amp;"|"&amp;$R82&amp;"|"&amp;COUNTIFS($B$6:$B82,$B82,$A$6:$A82,$A82,$F$6:$F82,$F82,$R$6:$R82,$R82))</f>
        <v/>
      </c>
      <c r="U82" s="32">
        <f>IF($C82="","",$C82&amp;"|"&amp;COUNTIFS($C$6:$C82,$C82))</f>
        <v/>
      </c>
      <c r="V82" s="32">
        <f>IF(OR($C82="",$A82="",$S82=""),"",$C82&amp;"|"&amp;$A82&amp;"|"&amp;$S82)</f>
        <v/>
      </c>
      <c r="W82" s="32">
        <f>IF(OR($C82="",$S82="",$S82=1),"",IFERROR(INDEX($Q$6:$Q$1505,MATCH($C82&amp;"|"&amp;$A82&amp;"|"&amp;($S82-1),$V$6:$V$1505,0)),""))</f>
        <v/>
      </c>
      <c r="X82" s="32">
        <f>IF(OR($W82="",$Q82="",LEFT($Q82,1)="—"),"",IF($W82=$Q82,"ללא שינוי","מ-"&amp;$W82&amp;" ל-"&amp;$Q82))</f>
        <v/>
      </c>
    </row>
    <row r="83" ht="15.75" customHeight="1" s="58">
      <c r="A83" s="65" t="n"/>
      <c r="B83" s="65" t="n"/>
      <c r="C83" s="66" t="n"/>
      <c r="D83" s="66" t="n"/>
      <c r="E83" s="65" t="n"/>
      <c r="F83" s="65" t="n"/>
      <c r="G83" s="65" t="n"/>
      <c r="H83" s="65" t="n"/>
      <c r="I83" s="65" t="n"/>
      <c r="J83" s="65" t="n"/>
      <c r="K83" s="65" t="n"/>
      <c r="L83" s="65" t="n"/>
      <c r="M83" s="65" t="n"/>
      <c r="N83" s="65" t="n"/>
      <c r="O83" s="65" t="n"/>
      <c r="P83" s="65" t="n"/>
      <c r="Q83" s="32">
        <f>IF($C83="","",IF($J83="","— חסרים נתונים",IF($J83="טרם מפענח","פרופיל 5",IF($J83="קמץ/פתח/חטף-פתח ושוואים","פרופיל 4",IF($J83="2-3 סימני ניקוד","פרופיל 3",IF($J83="4-5 סימני ניקוד","פרופיל 2",IF(AND($O83="משפטים וקטעים קצרים",OR($M83="מבין",$M83="מבין לרוב")),"פרופיל 1","פרופיל 2")))))))</f>
        <v/>
      </c>
      <c r="R83" s="32">
        <f>IF($C83="","",IF(OR($Q83="",LEFT($Q83,1)="—"),"קבוצה רביעית",IF($Q83="פרופיל 5","קבוצת תשתיות",IF(OR($Q83="פרופיל 4",$Q83="פרופיל 3"),"קבוצת רכישה","קבוצת ביסוס"))))</f>
        <v/>
      </c>
      <c r="S83" s="32">
        <f>IF($F83="","",IF($F83="תחילת שנה",1,IF($F83="מחצית שנה",2,3)))</f>
        <v/>
      </c>
      <c r="T83" s="32">
        <f>IF(OR($B83="",$R83="",$A83="",$F83=""),"",$B83&amp;"|"&amp;$A83&amp;"|"&amp;$F83&amp;"|"&amp;$R83&amp;"|"&amp;COUNTIFS($B$6:$B83,$B83,$A$6:$A83,$A83,$F$6:$F83,$F83,$R$6:$R83,$R83))</f>
        <v/>
      </c>
      <c r="U83" s="32">
        <f>IF($C83="","",$C83&amp;"|"&amp;COUNTIFS($C$6:$C83,$C83))</f>
        <v/>
      </c>
      <c r="V83" s="32">
        <f>IF(OR($C83="",$A83="",$S83=""),"",$C83&amp;"|"&amp;$A83&amp;"|"&amp;$S83)</f>
        <v/>
      </c>
      <c r="W83" s="32">
        <f>IF(OR($C83="",$S83="",$S83=1),"",IFERROR(INDEX($Q$6:$Q$1505,MATCH($C83&amp;"|"&amp;$A83&amp;"|"&amp;($S83-1),$V$6:$V$1505,0)),""))</f>
        <v/>
      </c>
      <c r="X83" s="32">
        <f>IF(OR($W83="",$Q83="",LEFT($Q83,1)="—"),"",IF($W83=$Q83,"ללא שינוי","מ-"&amp;$W83&amp;" ל-"&amp;$Q83))</f>
        <v/>
      </c>
    </row>
    <row r="84" ht="15.75" customHeight="1" s="58">
      <c r="A84" s="65" t="n"/>
      <c r="B84" s="65" t="n"/>
      <c r="C84" s="66" t="n"/>
      <c r="D84" s="66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5" t="n"/>
      <c r="N84" s="65" t="n"/>
      <c r="O84" s="65" t="n"/>
      <c r="P84" s="65" t="n"/>
      <c r="Q84" s="32">
        <f>IF($C84="","",IF($J84="","— חסרים נתונים",IF($J84="טרם מפענח","פרופיל 5",IF($J84="קמץ/פתח/חטף-פתח ושוואים","פרופיל 4",IF($J84="2-3 סימני ניקוד","פרופיל 3",IF($J84="4-5 סימני ניקוד","פרופיל 2",IF(AND($O84="משפטים וקטעים קצרים",OR($M84="מבין",$M84="מבין לרוב")),"פרופיל 1","פרופיל 2")))))))</f>
        <v/>
      </c>
      <c r="R84" s="32">
        <f>IF($C84="","",IF(OR($Q84="",LEFT($Q84,1)="—"),"קבוצה רביעית",IF($Q84="פרופיל 5","קבוצת תשתיות",IF(OR($Q84="פרופיל 4",$Q84="פרופיל 3"),"קבוצת רכישה","קבוצת ביסוס"))))</f>
        <v/>
      </c>
      <c r="S84" s="32">
        <f>IF($F84="","",IF($F84="תחילת שנה",1,IF($F84="מחצית שנה",2,3)))</f>
        <v/>
      </c>
      <c r="T84" s="32">
        <f>IF(OR($B84="",$R84="",$A84="",$F84=""),"",$B84&amp;"|"&amp;$A84&amp;"|"&amp;$F84&amp;"|"&amp;$R84&amp;"|"&amp;COUNTIFS($B$6:$B84,$B84,$A$6:$A84,$A84,$F$6:$F84,$F84,$R$6:$R84,$R84))</f>
        <v/>
      </c>
      <c r="U84" s="32">
        <f>IF($C84="","",$C84&amp;"|"&amp;COUNTIFS($C$6:$C84,$C84))</f>
        <v/>
      </c>
      <c r="V84" s="32">
        <f>IF(OR($C84="",$A84="",$S84=""),"",$C84&amp;"|"&amp;$A84&amp;"|"&amp;$S84)</f>
        <v/>
      </c>
      <c r="W84" s="32">
        <f>IF(OR($C84="",$S84="",$S84=1),"",IFERROR(INDEX($Q$6:$Q$1505,MATCH($C84&amp;"|"&amp;$A84&amp;"|"&amp;($S84-1),$V$6:$V$1505,0)),""))</f>
        <v/>
      </c>
      <c r="X84" s="32">
        <f>IF(OR($W84="",$Q84="",LEFT($Q84,1)="—"),"",IF($W84=$Q84,"ללא שינוי","מ-"&amp;$W84&amp;" ל-"&amp;$Q84))</f>
        <v/>
      </c>
    </row>
    <row r="85" ht="15.75" customHeight="1" s="58">
      <c r="A85" s="65" t="n"/>
      <c r="B85" s="65" t="n"/>
      <c r="C85" s="66" t="n"/>
      <c r="D85" s="66" t="n"/>
      <c r="E85" s="65" t="n"/>
      <c r="F85" s="65" t="n"/>
      <c r="G85" s="65" t="n"/>
      <c r="H85" s="65" t="n"/>
      <c r="I85" s="65" t="n"/>
      <c r="J85" s="65" t="n"/>
      <c r="K85" s="65" t="n"/>
      <c r="L85" s="65" t="n"/>
      <c r="M85" s="65" t="n"/>
      <c r="N85" s="65" t="n"/>
      <c r="O85" s="65" t="n"/>
      <c r="P85" s="65" t="n"/>
      <c r="Q85" s="32">
        <f>IF($C85="","",IF($J85="","— חסרים נתונים",IF($J85="טרם מפענח","פרופיל 5",IF($J85="קמץ/פתח/חטף-פתח ושוואים","פרופיל 4",IF($J85="2-3 סימני ניקוד","פרופיל 3",IF($J85="4-5 סימני ניקוד","פרופיל 2",IF(AND($O85="משפטים וקטעים קצרים",OR($M85="מבין",$M85="מבין לרוב")),"פרופיל 1","פרופיל 2")))))))</f>
        <v/>
      </c>
      <c r="R85" s="32">
        <f>IF($C85="","",IF(OR($Q85="",LEFT($Q85,1)="—"),"קבוצה רביעית",IF($Q85="פרופיל 5","קבוצת תשתיות",IF(OR($Q85="פרופיל 4",$Q85="פרופיל 3"),"קבוצת רכישה","קבוצת ביסוס"))))</f>
        <v/>
      </c>
      <c r="S85" s="32">
        <f>IF($F85="","",IF($F85="תחילת שנה",1,IF($F85="מחצית שנה",2,3)))</f>
        <v/>
      </c>
      <c r="T85" s="32">
        <f>IF(OR($B85="",$R85="",$A85="",$F85=""),"",$B85&amp;"|"&amp;$A85&amp;"|"&amp;$F85&amp;"|"&amp;$R85&amp;"|"&amp;COUNTIFS($B$6:$B85,$B85,$A$6:$A85,$A85,$F$6:$F85,$F85,$R$6:$R85,$R85))</f>
        <v/>
      </c>
      <c r="U85" s="32">
        <f>IF($C85="","",$C85&amp;"|"&amp;COUNTIFS($C$6:$C85,$C85))</f>
        <v/>
      </c>
      <c r="V85" s="32">
        <f>IF(OR($C85="",$A85="",$S85=""),"",$C85&amp;"|"&amp;$A85&amp;"|"&amp;$S85)</f>
        <v/>
      </c>
      <c r="W85" s="32">
        <f>IF(OR($C85="",$S85="",$S85=1),"",IFERROR(INDEX($Q$6:$Q$1505,MATCH($C85&amp;"|"&amp;$A85&amp;"|"&amp;($S85-1),$V$6:$V$1505,0)),""))</f>
        <v/>
      </c>
      <c r="X85" s="32">
        <f>IF(OR($W85="",$Q85="",LEFT($Q85,1)="—"),"",IF($W85=$Q85,"ללא שינוי","מ-"&amp;$W85&amp;" ל-"&amp;$Q85))</f>
        <v/>
      </c>
    </row>
    <row r="86" ht="15.75" customHeight="1" s="58">
      <c r="A86" s="65" t="n"/>
      <c r="B86" s="65" t="n"/>
      <c r="C86" s="66" t="n"/>
      <c r="D86" s="66" t="n"/>
      <c r="E86" s="65" t="n"/>
      <c r="F86" s="65" t="n"/>
      <c r="G86" s="65" t="n"/>
      <c r="H86" s="65" t="n"/>
      <c r="I86" s="65" t="n"/>
      <c r="J86" s="65" t="n"/>
      <c r="K86" s="65" t="n"/>
      <c r="L86" s="65" t="n"/>
      <c r="M86" s="65" t="n"/>
      <c r="N86" s="65" t="n"/>
      <c r="O86" s="65" t="n"/>
      <c r="P86" s="65" t="n"/>
      <c r="Q86" s="32">
        <f>IF($C86="","",IF($J86="","— חסרים נתונים",IF($J86="טרם מפענח","פרופיל 5",IF($J86="קמץ/פתח/חטף-פתח ושוואים","פרופיל 4",IF($J86="2-3 סימני ניקוד","פרופיל 3",IF($J86="4-5 סימני ניקוד","פרופיל 2",IF(AND($O86="משפטים וקטעים קצרים",OR($M86="מבין",$M86="מבין לרוב")),"פרופיל 1","פרופיל 2")))))))</f>
        <v/>
      </c>
      <c r="R86" s="32">
        <f>IF($C86="","",IF(OR($Q86="",LEFT($Q86,1)="—"),"קבוצה רביעית",IF($Q86="פרופיל 5","קבוצת תשתיות",IF(OR($Q86="פרופיל 4",$Q86="פרופיל 3"),"קבוצת רכישה","קבוצת ביסוס"))))</f>
        <v/>
      </c>
      <c r="S86" s="32">
        <f>IF($F86="","",IF($F86="תחילת שנה",1,IF($F86="מחצית שנה",2,3)))</f>
        <v/>
      </c>
      <c r="T86" s="32">
        <f>IF(OR($B86="",$R86="",$A86="",$F86=""),"",$B86&amp;"|"&amp;$A86&amp;"|"&amp;$F86&amp;"|"&amp;$R86&amp;"|"&amp;COUNTIFS($B$6:$B86,$B86,$A$6:$A86,$A86,$F$6:$F86,$F86,$R$6:$R86,$R86))</f>
        <v/>
      </c>
      <c r="U86" s="32">
        <f>IF($C86="","",$C86&amp;"|"&amp;COUNTIFS($C$6:$C86,$C86))</f>
        <v/>
      </c>
      <c r="V86" s="32">
        <f>IF(OR($C86="",$A86="",$S86=""),"",$C86&amp;"|"&amp;$A86&amp;"|"&amp;$S86)</f>
        <v/>
      </c>
      <c r="W86" s="32">
        <f>IF(OR($C86="",$S86="",$S86=1),"",IFERROR(INDEX($Q$6:$Q$1505,MATCH($C86&amp;"|"&amp;$A86&amp;"|"&amp;($S86-1),$V$6:$V$1505,0)),""))</f>
        <v/>
      </c>
      <c r="X86" s="32">
        <f>IF(OR($W86="",$Q86="",LEFT($Q86,1)="—"),"",IF($W86=$Q86,"ללא שינוי","מ-"&amp;$W86&amp;" ל-"&amp;$Q86))</f>
        <v/>
      </c>
    </row>
    <row r="87" ht="15.75" customHeight="1" s="58">
      <c r="A87" s="65" t="n"/>
      <c r="B87" s="65" t="n"/>
      <c r="C87" s="66" t="n"/>
      <c r="D87" s="66" t="n"/>
      <c r="E87" s="65" t="n"/>
      <c r="F87" s="65" t="n"/>
      <c r="G87" s="65" t="n"/>
      <c r="H87" s="65" t="n"/>
      <c r="I87" s="65" t="n"/>
      <c r="J87" s="65" t="n"/>
      <c r="K87" s="65" t="n"/>
      <c r="L87" s="65" t="n"/>
      <c r="M87" s="65" t="n"/>
      <c r="N87" s="65" t="n"/>
      <c r="O87" s="65" t="n"/>
      <c r="P87" s="65" t="n"/>
      <c r="Q87" s="32">
        <f>IF($C87="","",IF($J87="","— חסרים נתונים",IF($J87="טרם מפענח","פרופיל 5",IF($J87="קמץ/פתח/חטף-פתח ושוואים","פרופיל 4",IF($J87="2-3 סימני ניקוד","פרופיל 3",IF($J87="4-5 סימני ניקוד","פרופיל 2",IF(AND($O87="משפטים וקטעים קצרים",OR($M87="מבין",$M87="מבין לרוב")),"פרופיל 1","פרופיל 2")))))))</f>
        <v/>
      </c>
      <c r="R87" s="32">
        <f>IF($C87="","",IF(OR($Q87="",LEFT($Q87,1)="—"),"קבוצה רביעית",IF($Q87="פרופיל 5","קבוצת תשתיות",IF(OR($Q87="פרופיל 4",$Q87="פרופיל 3"),"קבוצת רכישה","קבוצת ביסוס"))))</f>
        <v/>
      </c>
      <c r="S87" s="32">
        <f>IF($F87="","",IF($F87="תחילת שנה",1,IF($F87="מחצית שנה",2,3)))</f>
        <v/>
      </c>
      <c r="T87" s="32">
        <f>IF(OR($B87="",$R87="",$A87="",$F87=""),"",$B87&amp;"|"&amp;$A87&amp;"|"&amp;$F87&amp;"|"&amp;$R87&amp;"|"&amp;COUNTIFS($B$6:$B87,$B87,$A$6:$A87,$A87,$F$6:$F87,$F87,$R$6:$R87,$R87))</f>
        <v/>
      </c>
      <c r="U87" s="32">
        <f>IF($C87="","",$C87&amp;"|"&amp;COUNTIFS($C$6:$C87,$C87))</f>
        <v/>
      </c>
      <c r="V87" s="32">
        <f>IF(OR($C87="",$A87="",$S87=""),"",$C87&amp;"|"&amp;$A87&amp;"|"&amp;$S87)</f>
        <v/>
      </c>
      <c r="W87" s="32">
        <f>IF(OR($C87="",$S87="",$S87=1),"",IFERROR(INDEX($Q$6:$Q$1505,MATCH($C87&amp;"|"&amp;$A87&amp;"|"&amp;($S87-1),$V$6:$V$1505,0)),""))</f>
        <v/>
      </c>
      <c r="X87" s="32">
        <f>IF(OR($W87="",$Q87="",LEFT($Q87,1)="—"),"",IF($W87=$Q87,"ללא שינוי","מ-"&amp;$W87&amp;" ל-"&amp;$Q87))</f>
        <v/>
      </c>
    </row>
    <row r="88" ht="15.75" customHeight="1" s="58">
      <c r="A88" s="65" t="n"/>
      <c r="B88" s="65" t="n"/>
      <c r="C88" s="66" t="n"/>
      <c r="D88" s="66" t="n"/>
      <c r="E88" s="65" t="n"/>
      <c r="F88" s="65" t="n"/>
      <c r="G88" s="65" t="n"/>
      <c r="H88" s="65" t="n"/>
      <c r="I88" s="65" t="n"/>
      <c r="J88" s="65" t="n"/>
      <c r="K88" s="65" t="n"/>
      <c r="L88" s="65" t="n"/>
      <c r="M88" s="65" t="n"/>
      <c r="N88" s="65" t="n"/>
      <c r="O88" s="65" t="n"/>
      <c r="P88" s="65" t="n"/>
      <c r="Q88" s="32">
        <f>IF($C88="","",IF($J88="","— חסרים נתונים",IF($J88="טרם מפענח","פרופיל 5",IF($J88="קמץ/פתח/חטף-פתח ושוואים","פרופיל 4",IF($J88="2-3 סימני ניקוד","פרופיל 3",IF($J88="4-5 סימני ניקוד","פרופיל 2",IF(AND($O88="משפטים וקטעים קצרים",OR($M88="מבין",$M88="מבין לרוב")),"פרופיל 1","פרופיל 2")))))))</f>
        <v/>
      </c>
      <c r="R88" s="32">
        <f>IF($C88="","",IF(OR($Q88="",LEFT($Q88,1)="—"),"קבוצה רביעית",IF($Q88="פרופיל 5","קבוצת תשתיות",IF(OR($Q88="פרופיל 4",$Q88="פרופיל 3"),"קבוצת רכישה","קבוצת ביסוס"))))</f>
        <v/>
      </c>
      <c r="S88" s="32">
        <f>IF($F88="","",IF($F88="תחילת שנה",1,IF($F88="מחצית שנה",2,3)))</f>
        <v/>
      </c>
      <c r="T88" s="32">
        <f>IF(OR($B88="",$R88="",$A88="",$F88=""),"",$B88&amp;"|"&amp;$A88&amp;"|"&amp;$F88&amp;"|"&amp;$R88&amp;"|"&amp;COUNTIFS($B$6:$B88,$B88,$A$6:$A88,$A88,$F$6:$F88,$F88,$R$6:$R88,$R88))</f>
        <v/>
      </c>
      <c r="U88" s="32">
        <f>IF($C88="","",$C88&amp;"|"&amp;COUNTIFS($C$6:$C88,$C88))</f>
        <v/>
      </c>
      <c r="V88" s="32">
        <f>IF(OR($C88="",$A88="",$S88=""),"",$C88&amp;"|"&amp;$A88&amp;"|"&amp;$S88)</f>
        <v/>
      </c>
      <c r="W88" s="32">
        <f>IF(OR($C88="",$S88="",$S88=1),"",IFERROR(INDEX($Q$6:$Q$1505,MATCH($C88&amp;"|"&amp;$A88&amp;"|"&amp;($S88-1),$V$6:$V$1505,0)),""))</f>
        <v/>
      </c>
      <c r="X88" s="32">
        <f>IF(OR($W88="",$Q88="",LEFT($Q88,1)="—"),"",IF($W88=$Q88,"ללא שינוי","מ-"&amp;$W88&amp;" ל-"&amp;$Q88))</f>
        <v/>
      </c>
    </row>
    <row r="89" ht="15.75" customHeight="1" s="58">
      <c r="A89" s="65" t="n"/>
      <c r="B89" s="65" t="n"/>
      <c r="C89" s="66" t="n"/>
      <c r="D89" s="66" t="n"/>
      <c r="E89" s="65" t="n"/>
      <c r="F89" s="65" t="n"/>
      <c r="G89" s="65" t="n"/>
      <c r="H89" s="65" t="n"/>
      <c r="I89" s="65" t="n"/>
      <c r="J89" s="65" t="n"/>
      <c r="K89" s="65" t="n"/>
      <c r="L89" s="65" t="n"/>
      <c r="M89" s="65" t="n"/>
      <c r="N89" s="65" t="n"/>
      <c r="O89" s="65" t="n"/>
      <c r="P89" s="65" t="n"/>
      <c r="Q89" s="32">
        <f>IF($C89="","",IF($J89="","— חסרים נתונים",IF($J89="טרם מפענח","פרופיל 5",IF($J89="קמץ/פתח/חטף-פתח ושוואים","פרופיל 4",IF($J89="2-3 סימני ניקוד","פרופיל 3",IF($J89="4-5 סימני ניקוד","פרופיל 2",IF(AND($O89="משפטים וקטעים קצרים",OR($M89="מבין",$M89="מבין לרוב")),"פרופיל 1","פרופיל 2")))))))</f>
        <v/>
      </c>
      <c r="R89" s="32">
        <f>IF($C89="","",IF(OR($Q89="",LEFT($Q89,1)="—"),"קבוצה רביעית",IF($Q89="פרופיל 5","קבוצת תשתיות",IF(OR($Q89="פרופיל 4",$Q89="פרופיל 3"),"קבוצת רכישה","קבוצת ביסוס"))))</f>
        <v/>
      </c>
      <c r="S89" s="32">
        <f>IF($F89="","",IF($F89="תחילת שנה",1,IF($F89="מחצית שנה",2,3)))</f>
        <v/>
      </c>
      <c r="T89" s="32">
        <f>IF(OR($B89="",$R89="",$A89="",$F89=""),"",$B89&amp;"|"&amp;$A89&amp;"|"&amp;$F89&amp;"|"&amp;$R89&amp;"|"&amp;COUNTIFS($B$6:$B89,$B89,$A$6:$A89,$A89,$F$6:$F89,$F89,$R$6:$R89,$R89))</f>
        <v/>
      </c>
      <c r="U89" s="32">
        <f>IF($C89="","",$C89&amp;"|"&amp;COUNTIFS($C$6:$C89,$C89))</f>
        <v/>
      </c>
      <c r="V89" s="32">
        <f>IF(OR($C89="",$A89="",$S89=""),"",$C89&amp;"|"&amp;$A89&amp;"|"&amp;$S89)</f>
        <v/>
      </c>
      <c r="W89" s="32">
        <f>IF(OR($C89="",$S89="",$S89=1),"",IFERROR(INDEX($Q$6:$Q$1505,MATCH($C89&amp;"|"&amp;$A89&amp;"|"&amp;($S89-1),$V$6:$V$1505,0)),""))</f>
        <v/>
      </c>
      <c r="X89" s="32">
        <f>IF(OR($W89="",$Q89="",LEFT($Q89,1)="—"),"",IF($W89=$Q89,"ללא שינוי","מ-"&amp;$W89&amp;" ל-"&amp;$Q89))</f>
        <v/>
      </c>
    </row>
    <row r="90" ht="15.75" customHeight="1" s="58">
      <c r="A90" s="65" t="n"/>
      <c r="B90" s="65" t="n"/>
      <c r="C90" s="66" t="n"/>
      <c r="D90" s="66" t="n"/>
      <c r="E90" s="65" t="n"/>
      <c r="F90" s="65" t="n"/>
      <c r="G90" s="65" t="n"/>
      <c r="H90" s="65" t="n"/>
      <c r="I90" s="65" t="n"/>
      <c r="J90" s="65" t="n"/>
      <c r="K90" s="65" t="n"/>
      <c r="L90" s="65" t="n"/>
      <c r="M90" s="65" t="n"/>
      <c r="N90" s="65" t="n"/>
      <c r="O90" s="65" t="n"/>
      <c r="P90" s="65" t="n"/>
      <c r="Q90" s="32">
        <f>IF($C90="","",IF($J90="","— חסרים נתונים",IF($J90="טרם מפענח","פרופיל 5",IF($J90="קמץ/פתח/חטף-פתח ושוואים","פרופיל 4",IF($J90="2-3 סימני ניקוד","פרופיל 3",IF($J90="4-5 סימני ניקוד","פרופיל 2",IF(AND($O90="משפטים וקטעים קצרים",OR($M90="מבין",$M90="מבין לרוב")),"פרופיל 1","פרופיל 2")))))))</f>
        <v/>
      </c>
      <c r="R90" s="32">
        <f>IF($C90="","",IF(OR($Q90="",LEFT($Q90,1)="—"),"קבוצה רביעית",IF($Q90="פרופיל 5","קבוצת תשתיות",IF(OR($Q90="פרופיל 4",$Q90="פרופיל 3"),"קבוצת רכישה","קבוצת ביסוס"))))</f>
        <v/>
      </c>
      <c r="S90" s="32">
        <f>IF($F90="","",IF($F90="תחילת שנה",1,IF($F90="מחצית שנה",2,3)))</f>
        <v/>
      </c>
      <c r="T90" s="32">
        <f>IF(OR($B90="",$R90="",$A90="",$F90=""),"",$B90&amp;"|"&amp;$A90&amp;"|"&amp;$F90&amp;"|"&amp;$R90&amp;"|"&amp;COUNTIFS($B$6:$B90,$B90,$A$6:$A90,$A90,$F$6:$F90,$F90,$R$6:$R90,$R90))</f>
        <v/>
      </c>
      <c r="U90" s="32">
        <f>IF($C90="","",$C90&amp;"|"&amp;COUNTIFS($C$6:$C90,$C90))</f>
        <v/>
      </c>
      <c r="V90" s="32">
        <f>IF(OR($C90="",$A90="",$S90=""),"",$C90&amp;"|"&amp;$A90&amp;"|"&amp;$S90)</f>
        <v/>
      </c>
      <c r="W90" s="32">
        <f>IF(OR($C90="",$S90="",$S90=1),"",IFERROR(INDEX($Q$6:$Q$1505,MATCH($C90&amp;"|"&amp;$A90&amp;"|"&amp;($S90-1),$V$6:$V$1505,0)),""))</f>
        <v/>
      </c>
      <c r="X90" s="32">
        <f>IF(OR($W90="",$Q90="",LEFT($Q90,1)="—"),"",IF($W90=$Q90,"ללא שינוי","מ-"&amp;$W90&amp;" ל-"&amp;$Q90))</f>
        <v/>
      </c>
    </row>
    <row r="91" ht="15.75" customHeight="1" s="58">
      <c r="A91" s="65" t="n"/>
      <c r="B91" s="65" t="n"/>
      <c r="C91" s="66" t="n"/>
      <c r="D91" s="66" t="n"/>
      <c r="E91" s="65" t="n"/>
      <c r="F91" s="65" t="n"/>
      <c r="G91" s="65" t="n"/>
      <c r="H91" s="65" t="n"/>
      <c r="I91" s="65" t="n"/>
      <c r="J91" s="65" t="n"/>
      <c r="K91" s="65" t="n"/>
      <c r="L91" s="65" t="n"/>
      <c r="M91" s="65" t="n"/>
      <c r="N91" s="65" t="n"/>
      <c r="O91" s="65" t="n"/>
      <c r="P91" s="65" t="n"/>
      <c r="Q91" s="32">
        <f>IF($C91="","",IF($J91="","— חסרים נתונים",IF($J91="טרם מפענח","פרופיל 5",IF($J91="קמץ/פתח/חטף-פתח ושוואים","פרופיל 4",IF($J91="2-3 סימני ניקוד","פרופיל 3",IF($J91="4-5 סימני ניקוד","פרופיל 2",IF(AND($O91="משפטים וקטעים קצרים",OR($M91="מבין",$M91="מבין לרוב")),"פרופיל 1","פרופיל 2")))))))</f>
        <v/>
      </c>
      <c r="R91" s="32">
        <f>IF($C91="","",IF(OR($Q91="",LEFT($Q91,1)="—"),"קבוצה רביעית",IF($Q91="פרופיל 5","קבוצת תשתיות",IF(OR($Q91="פרופיל 4",$Q91="פרופיל 3"),"קבוצת רכישה","קבוצת ביסוס"))))</f>
        <v/>
      </c>
      <c r="S91" s="32">
        <f>IF($F91="","",IF($F91="תחילת שנה",1,IF($F91="מחצית שנה",2,3)))</f>
        <v/>
      </c>
      <c r="T91" s="32">
        <f>IF(OR($B91="",$R91="",$A91="",$F91=""),"",$B91&amp;"|"&amp;$A91&amp;"|"&amp;$F91&amp;"|"&amp;$R91&amp;"|"&amp;COUNTIFS($B$6:$B91,$B91,$A$6:$A91,$A91,$F$6:$F91,$F91,$R$6:$R91,$R91))</f>
        <v/>
      </c>
      <c r="U91" s="32">
        <f>IF($C91="","",$C91&amp;"|"&amp;COUNTIFS($C$6:$C91,$C91))</f>
        <v/>
      </c>
      <c r="V91" s="32">
        <f>IF(OR($C91="",$A91="",$S91=""),"",$C91&amp;"|"&amp;$A91&amp;"|"&amp;$S91)</f>
        <v/>
      </c>
      <c r="W91" s="32">
        <f>IF(OR($C91="",$S91="",$S91=1),"",IFERROR(INDEX($Q$6:$Q$1505,MATCH($C91&amp;"|"&amp;$A91&amp;"|"&amp;($S91-1),$V$6:$V$1505,0)),""))</f>
        <v/>
      </c>
      <c r="X91" s="32">
        <f>IF(OR($W91="",$Q91="",LEFT($Q91,1)="—"),"",IF($W91=$Q91,"ללא שינוי","מ-"&amp;$W91&amp;" ל-"&amp;$Q91))</f>
        <v/>
      </c>
    </row>
    <row r="92" ht="15.75" customHeight="1" s="58">
      <c r="A92" s="65" t="n"/>
      <c r="B92" s="65" t="n"/>
      <c r="C92" s="66" t="n"/>
      <c r="D92" s="66" t="n"/>
      <c r="E92" s="65" t="n"/>
      <c r="F92" s="65" t="n"/>
      <c r="G92" s="65" t="n"/>
      <c r="H92" s="65" t="n"/>
      <c r="I92" s="65" t="n"/>
      <c r="J92" s="65" t="n"/>
      <c r="K92" s="65" t="n"/>
      <c r="L92" s="65" t="n"/>
      <c r="M92" s="65" t="n"/>
      <c r="N92" s="65" t="n"/>
      <c r="O92" s="65" t="n"/>
      <c r="P92" s="65" t="n"/>
      <c r="Q92" s="32">
        <f>IF($C92="","",IF($J92="","— חסרים נתונים",IF($J92="טרם מפענח","פרופיל 5",IF($J92="קמץ/פתח/חטף-פתח ושוואים","פרופיל 4",IF($J92="2-3 סימני ניקוד","פרופיל 3",IF($J92="4-5 סימני ניקוד","פרופיל 2",IF(AND($O92="משפטים וקטעים קצרים",OR($M92="מבין",$M92="מבין לרוב")),"פרופיל 1","פרופיל 2")))))))</f>
        <v/>
      </c>
      <c r="R92" s="32">
        <f>IF($C92="","",IF(OR($Q92="",LEFT($Q92,1)="—"),"קבוצה רביעית",IF($Q92="פרופיל 5","קבוצת תשתיות",IF(OR($Q92="פרופיל 4",$Q92="פרופיל 3"),"קבוצת רכישה","קבוצת ביסוס"))))</f>
        <v/>
      </c>
      <c r="S92" s="32">
        <f>IF($F92="","",IF($F92="תחילת שנה",1,IF($F92="מחצית שנה",2,3)))</f>
        <v/>
      </c>
      <c r="T92" s="32">
        <f>IF(OR($B92="",$R92="",$A92="",$F92=""),"",$B92&amp;"|"&amp;$A92&amp;"|"&amp;$F92&amp;"|"&amp;$R92&amp;"|"&amp;COUNTIFS($B$6:$B92,$B92,$A$6:$A92,$A92,$F$6:$F92,$F92,$R$6:$R92,$R92))</f>
        <v/>
      </c>
      <c r="U92" s="32">
        <f>IF($C92="","",$C92&amp;"|"&amp;COUNTIFS($C$6:$C92,$C92))</f>
        <v/>
      </c>
      <c r="V92" s="32">
        <f>IF(OR($C92="",$A92="",$S92=""),"",$C92&amp;"|"&amp;$A92&amp;"|"&amp;$S92)</f>
        <v/>
      </c>
      <c r="W92" s="32">
        <f>IF(OR($C92="",$S92="",$S92=1),"",IFERROR(INDEX($Q$6:$Q$1505,MATCH($C92&amp;"|"&amp;$A92&amp;"|"&amp;($S92-1),$V$6:$V$1505,0)),""))</f>
        <v/>
      </c>
      <c r="X92" s="32">
        <f>IF(OR($W92="",$Q92="",LEFT($Q92,1)="—"),"",IF($W92=$Q92,"ללא שינוי","מ-"&amp;$W92&amp;" ל-"&amp;$Q92))</f>
        <v/>
      </c>
    </row>
    <row r="93" ht="15.75" customHeight="1" s="58">
      <c r="A93" s="65" t="n"/>
      <c r="B93" s="65" t="n"/>
      <c r="C93" s="66" t="n"/>
      <c r="D93" s="66" t="n"/>
      <c r="E93" s="65" t="n"/>
      <c r="F93" s="65" t="n"/>
      <c r="G93" s="65" t="n"/>
      <c r="H93" s="65" t="n"/>
      <c r="I93" s="65" t="n"/>
      <c r="J93" s="65" t="n"/>
      <c r="K93" s="65" t="n"/>
      <c r="L93" s="65" t="n"/>
      <c r="M93" s="65" t="n"/>
      <c r="N93" s="65" t="n"/>
      <c r="O93" s="65" t="n"/>
      <c r="P93" s="65" t="n"/>
      <c r="Q93" s="32">
        <f>IF($C93="","",IF($J93="","— חסרים נתונים",IF($J93="טרם מפענח","פרופיל 5",IF($J93="קמץ/פתח/חטף-פתח ושוואים","פרופיל 4",IF($J93="2-3 סימני ניקוד","פרופיל 3",IF($J93="4-5 סימני ניקוד","פרופיל 2",IF(AND($O93="משפטים וקטעים קצרים",OR($M93="מבין",$M93="מבין לרוב")),"פרופיל 1","פרופיל 2")))))))</f>
        <v/>
      </c>
      <c r="R93" s="32">
        <f>IF($C93="","",IF(OR($Q93="",LEFT($Q93,1)="—"),"קבוצה רביעית",IF($Q93="פרופיל 5","קבוצת תשתיות",IF(OR($Q93="פרופיל 4",$Q93="פרופיל 3"),"קבוצת רכישה","קבוצת ביסוס"))))</f>
        <v/>
      </c>
      <c r="S93" s="32">
        <f>IF($F93="","",IF($F93="תחילת שנה",1,IF($F93="מחצית שנה",2,3)))</f>
        <v/>
      </c>
      <c r="T93" s="32">
        <f>IF(OR($B93="",$R93="",$A93="",$F93=""),"",$B93&amp;"|"&amp;$A93&amp;"|"&amp;$F93&amp;"|"&amp;$R93&amp;"|"&amp;COUNTIFS($B$6:$B93,$B93,$A$6:$A93,$A93,$F$6:$F93,$F93,$R$6:$R93,$R93))</f>
        <v/>
      </c>
      <c r="U93" s="32">
        <f>IF($C93="","",$C93&amp;"|"&amp;COUNTIFS($C$6:$C93,$C93))</f>
        <v/>
      </c>
      <c r="V93" s="32">
        <f>IF(OR($C93="",$A93="",$S93=""),"",$C93&amp;"|"&amp;$A93&amp;"|"&amp;$S93)</f>
        <v/>
      </c>
      <c r="W93" s="32">
        <f>IF(OR($C93="",$S93="",$S93=1),"",IFERROR(INDEX($Q$6:$Q$1505,MATCH($C93&amp;"|"&amp;$A93&amp;"|"&amp;($S93-1),$V$6:$V$1505,0)),""))</f>
        <v/>
      </c>
      <c r="X93" s="32">
        <f>IF(OR($W93="",$Q93="",LEFT($Q93,1)="—"),"",IF($W93=$Q93,"ללא שינוי","מ-"&amp;$W93&amp;" ל-"&amp;$Q93))</f>
        <v/>
      </c>
    </row>
    <row r="94" ht="15.75" customHeight="1" s="58">
      <c r="A94" s="65" t="n"/>
      <c r="B94" s="65" t="n"/>
      <c r="C94" s="66" t="n"/>
      <c r="D94" s="66" t="n"/>
      <c r="E94" s="65" t="n"/>
      <c r="F94" s="65" t="n"/>
      <c r="G94" s="65" t="n"/>
      <c r="H94" s="65" t="n"/>
      <c r="I94" s="65" t="n"/>
      <c r="J94" s="65" t="n"/>
      <c r="K94" s="65" t="n"/>
      <c r="L94" s="65" t="n"/>
      <c r="M94" s="65" t="n"/>
      <c r="N94" s="65" t="n"/>
      <c r="O94" s="65" t="n"/>
      <c r="P94" s="65" t="n"/>
      <c r="Q94" s="32">
        <f>IF($C94="","",IF($J94="","— חסרים נתונים",IF($J94="טרם מפענח","פרופיל 5",IF($J94="קמץ/פתח/חטף-פתח ושוואים","פרופיל 4",IF($J94="2-3 סימני ניקוד","פרופיל 3",IF($J94="4-5 סימני ניקוד","פרופיל 2",IF(AND($O94="משפטים וקטעים קצרים",OR($M94="מבין",$M94="מבין לרוב")),"פרופיל 1","פרופיל 2")))))))</f>
        <v/>
      </c>
      <c r="R94" s="32">
        <f>IF($C94="","",IF(OR($Q94="",LEFT($Q94,1)="—"),"קבוצה רביעית",IF($Q94="פרופיל 5","קבוצת תשתיות",IF(OR($Q94="פרופיל 4",$Q94="פרופיל 3"),"קבוצת רכישה","קבוצת ביסוס"))))</f>
        <v/>
      </c>
      <c r="S94" s="32">
        <f>IF($F94="","",IF($F94="תחילת שנה",1,IF($F94="מחצית שנה",2,3)))</f>
        <v/>
      </c>
      <c r="T94" s="32">
        <f>IF(OR($B94="",$R94="",$A94="",$F94=""),"",$B94&amp;"|"&amp;$A94&amp;"|"&amp;$F94&amp;"|"&amp;$R94&amp;"|"&amp;COUNTIFS($B$6:$B94,$B94,$A$6:$A94,$A94,$F$6:$F94,$F94,$R$6:$R94,$R94))</f>
        <v/>
      </c>
      <c r="U94" s="32">
        <f>IF($C94="","",$C94&amp;"|"&amp;COUNTIFS($C$6:$C94,$C94))</f>
        <v/>
      </c>
      <c r="V94" s="32">
        <f>IF(OR($C94="",$A94="",$S94=""),"",$C94&amp;"|"&amp;$A94&amp;"|"&amp;$S94)</f>
        <v/>
      </c>
      <c r="W94" s="32">
        <f>IF(OR($C94="",$S94="",$S94=1),"",IFERROR(INDEX($Q$6:$Q$1505,MATCH($C94&amp;"|"&amp;$A94&amp;"|"&amp;($S94-1),$V$6:$V$1505,0)),""))</f>
        <v/>
      </c>
      <c r="X94" s="32">
        <f>IF(OR($W94="",$Q94="",LEFT($Q94,1)="—"),"",IF($W94=$Q94,"ללא שינוי","מ-"&amp;$W94&amp;" ל-"&amp;$Q94))</f>
        <v/>
      </c>
    </row>
    <row r="95" ht="15.75" customHeight="1" s="58">
      <c r="A95" s="65" t="n"/>
      <c r="B95" s="65" t="n"/>
      <c r="C95" s="66" t="n"/>
      <c r="D95" s="66" t="n"/>
      <c r="E95" s="65" t="n"/>
      <c r="F95" s="65" t="n"/>
      <c r="G95" s="65" t="n"/>
      <c r="H95" s="65" t="n"/>
      <c r="I95" s="65" t="n"/>
      <c r="J95" s="65" t="n"/>
      <c r="K95" s="65" t="n"/>
      <c r="L95" s="65" t="n"/>
      <c r="M95" s="65" t="n"/>
      <c r="N95" s="65" t="n"/>
      <c r="O95" s="65" t="n"/>
      <c r="P95" s="65" t="n"/>
      <c r="Q95" s="32">
        <f>IF($C95="","",IF($J95="","— חסרים נתונים",IF($J95="טרם מפענח","פרופיל 5",IF($J95="קמץ/פתח/חטף-פתח ושוואים","פרופיל 4",IF($J95="2-3 סימני ניקוד","פרופיל 3",IF($J95="4-5 סימני ניקוד","פרופיל 2",IF(AND($O95="משפטים וקטעים קצרים",OR($M95="מבין",$M95="מבין לרוב")),"פרופיל 1","פרופיל 2")))))))</f>
        <v/>
      </c>
      <c r="R95" s="32">
        <f>IF($C95="","",IF(OR($Q95="",LEFT($Q95,1)="—"),"קבוצה רביעית",IF($Q95="פרופיל 5","קבוצת תשתיות",IF(OR($Q95="פרופיל 4",$Q95="פרופיל 3"),"קבוצת רכישה","קבוצת ביסוס"))))</f>
        <v/>
      </c>
      <c r="S95" s="32">
        <f>IF($F95="","",IF($F95="תחילת שנה",1,IF($F95="מחצית שנה",2,3)))</f>
        <v/>
      </c>
      <c r="T95" s="32">
        <f>IF(OR($B95="",$R95="",$A95="",$F95=""),"",$B95&amp;"|"&amp;$A95&amp;"|"&amp;$F95&amp;"|"&amp;$R95&amp;"|"&amp;COUNTIFS($B$6:$B95,$B95,$A$6:$A95,$A95,$F$6:$F95,$F95,$R$6:$R95,$R95))</f>
        <v/>
      </c>
      <c r="U95" s="32">
        <f>IF($C95="","",$C95&amp;"|"&amp;COUNTIFS($C$6:$C95,$C95))</f>
        <v/>
      </c>
      <c r="V95" s="32">
        <f>IF(OR($C95="",$A95="",$S95=""),"",$C95&amp;"|"&amp;$A95&amp;"|"&amp;$S95)</f>
        <v/>
      </c>
      <c r="W95" s="32">
        <f>IF(OR($C95="",$S95="",$S95=1),"",IFERROR(INDEX($Q$6:$Q$1505,MATCH($C95&amp;"|"&amp;$A95&amp;"|"&amp;($S95-1),$V$6:$V$1505,0)),""))</f>
        <v/>
      </c>
      <c r="X95" s="32">
        <f>IF(OR($W95="",$Q95="",LEFT($Q95,1)="—"),"",IF($W95=$Q95,"ללא שינוי","מ-"&amp;$W95&amp;" ל-"&amp;$Q95))</f>
        <v/>
      </c>
    </row>
    <row r="96" ht="15.75" customHeight="1" s="58">
      <c r="A96" s="65" t="n"/>
      <c r="B96" s="65" t="n"/>
      <c r="C96" s="66" t="n"/>
      <c r="D96" s="66" t="n"/>
      <c r="E96" s="65" t="n"/>
      <c r="F96" s="65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32">
        <f>IF($C96="","",IF($J96="","— חסרים נתונים",IF($J96="טרם מפענח","פרופיל 5",IF($J96="קמץ/פתח/חטף-פתח ושוואים","פרופיל 4",IF($J96="2-3 סימני ניקוד","פרופיל 3",IF($J96="4-5 סימני ניקוד","פרופיל 2",IF(AND($O96="משפטים וקטעים קצרים",OR($M96="מבין",$M96="מבין לרוב")),"פרופיל 1","פרופיל 2")))))))</f>
        <v/>
      </c>
      <c r="R96" s="32">
        <f>IF($C96="","",IF(OR($Q96="",LEFT($Q96,1)="—"),"קבוצה רביעית",IF($Q96="פרופיל 5","קבוצת תשתיות",IF(OR($Q96="פרופיל 4",$Q96="פרופיל 3"),"קבוצת רכישה","קבוצת ביסוס"))))</f>
        <v/>
      </c>
      <c r="S96" s="32">
        <f>IF($F96="","",IF($F96="תחילת שנה",1,IF($F96="מחצית שנה",2,3)))</f>
        <v/>
      </c>
      <c r="T96" s="32">
        <f>IF(OR($B96="",$R96="",$A96="",$F96=""),"",$B96&amp;"|"&amp;$A96&amp;"|"&amp;$F96&amp;"|"&amp;$R96&amp;"|"&amp;COUNTIFS($B$6:$B96,$B96,$A$6:$A96,$A96,$F$6:$F96,$F96,$R$6:$R96,$R96))</f>
        <v/>
      </c>
      <c r="U96" s="32">
        <f>IF($C96="","",$C96&amp;"|"&amp;COUNTIFS($C$6:$C96,$C96))</f>
        <v/>
      </c>
      <c r="V96" s="32">
        <f>IF(OR($C96="",$A96="",$S96=""),"",$C96&amp;"|"&amp;$A96&amp;"|"&amp;$S96)</f>
        <v/>
      </c>
      <c r="W96" s="32">
        <f>IF(OR($C96="",$S96="",$S96=1),"",IFERROR(INDEX($Q$6:$Q$1505,MATCH($C96&amp;"|"&amp;$A96&amp;"|"&amp;($S96-1),$V$6:$V$1505,0)),""))</f>
        <v/>
      </c>
      <c r="X96" s="32">
        <f>IF(OR($W96="",$Q96="",LEFT($Q96,1)="—"),"",IF($W96=$Q96,"ללא שינוי","מ-"&amp;$W96&amp;" ל-"&amp;$Q96))</f>
        <v/>
      </c>
    </row>
    <row r="97" ht="15.75" customHeight="1" s="58">
      <c r="A97" s="65" t="n"/>
      <c r="B97" s="65" t="n"/>
      <c r="C97" s="66" t="n"/>
      <c r="D97" s="66" t="n"/>
      <c r="E97" s="65" t="n"/>
      <c r="F97" s="65" t="n"/>
      <c r="G97" s="65" t="n"/>
      <c r="H97" s="65" t="n"/>
      <c r="I97" s="65" t="n"/>
      <c r="J97" s="65" t="n"/>
      <c r="K97" s="65" t="n"/>
      <c r="L97" s="65" t="n"/>
      <c r="M97" s="65" t="n"/>
      <c r="N97" s="65" t="n"/>
      <c r="O97" s="65" t="n"/>
      <c r="P97" s="65" t="n"/>
      <c r="Q97" s="32">
        <f>IF($C97="","",IF($J97="","— חסרים נתונים",IF($J97="טרם מפענח","פרופיל 5",IF($J97="קמץ/פתח/חטף-פתח ושוואים","פרופיל 4",IF($J97="2-3 סימני ניקוד","פרופיל 3",IF($J97="4-5 סימני ניקוד","פרופיל 2",IF(AND($O97="משפטים וקטעים קצרים",OR($M97="מבין",$M97="מבין לרוב")),"פרופיל 1","פרופיל 2")))))))</f>
        <v/>
      </c>
      <c r="R97" s="32">
        <f>IF($C97="","",IF(OR($Q97="",LEFT($Q97,1)="—"),"קבוצה רביעית",IF($Q97="פרופיל 5","קבוצת תשתיות",IF(OR($Q97="פרופיל 4",$Q97="פרופיל 3"),"קבוצת רכישה","קבוצת ביסוס"))))</f>
        <v/>
      </c>
      <c r="S97" s="32">
        <f>IF($F97="","",IF($F97="תחילת שנה",1,IF($F97="מחצית שנה",2,3)))</f>
        <v/>
      </c>
      <c r="T97" s="32">
        <f>IF(OR($B97="",$R97="",$A97="",$F97=""),"",$B97&amp;"|"&amp;$A97&amp;"|"&amp;$F97&amp;"|"&amp;$R97&amp;"|"&amp;COUNTIFS($B$6:$B97,$B97,$A$6:$A97,$A97,$F$6:$F97,$F97,$R$6:$R97,$R97))</f>
        <v/>
      </c>
      <c r="U97" s="32">
        <f>IF($C97="","",$C97&amp;"|"&amp;COUNTIFS($C$6:$C97,$C97))</f>
        <v/>
      </c>
      <c r="V97" s="32">
        <f>IF(OR($C97="",$A97="",$S97=""),"",$C97&amp;"|"&amp;$A97&amp;"|"&amp;$S97)</f>
        <v/>
      </c>
      <c r="W97" s="32">
        <f>IF(OR($C97="",$S97="",$S97=1),"",IFERROR(INDEX($Q$6:$Q$1505,MATCH($C97&amp;"|"&amp;$A97&amp;"|"&amp;($S97-1),$V$6:$V$1505,0)),""))</f>
        <v/>
      </c>
      <c r="X97" s="32">
        <f>IF(OR($W97="",$Q97="",LEFT($Q97,1)="—"),"",IF($W97=$Q97,"ללא שינוי","מ-"&amp;$W97&amp;" ל-"&amp;$Q97))</f>
        <v/>
      </c>
    </row>
    <row r="98" ht="15.75" customHeight="1" s="58">
      <c r="A98" s="65" t="n"/>
      <c r="B98" s="65" t="n"/>
      <c r="C98" s="66" t="n"/>
      <c r="D98" s="66" t="n"/>
      <c r="E98" s="65" t="n"/>
      <c r="F98" s="65" t="n"/>
      <c r="G98" s="65" t="n"/>
      <c r="H98" s="65" t="n"/>
      <c r="I98" s="65" t="n"/>
      <c r="J98" s="65" t="n"/>
      <c r="K98" s="65" t="n"/>
      <c r="L98" s="65" t="n"/>
      <c r="M98" s="65" t="n"/>
      <c r="N98" s="65" t="n"/>
      <c r="O98" s="65" t="n"/>
      <c r="P98" s="65" t="n"/>
      <c r="Q98" s="32">
        <f>IF($C98="","",IF($J98="","— חסרים נתונים",IF($J98="טרם מפענח","פרופיל 5",IF($J98="קמץ/פתח/חטף-פתח ושוואים","פרופיל 4",IF($J98="2-3 סימני ניקוד","פרופיל 3",IF($J98="4-5 סימני ניקוד","פרופיל 2",IF(AND($O98="משפטים וקטעים קצרים",OR($M98="מבין",$M98="מבין לרוב")),"פרופיל 1","פרופיל 2")))))))</f>
        <v/>
      </c>
      <c r="R98" s="32">
        <f>IF($C98="","",IF(OR($Q98="",LEFT($Q98,1)="—"),"קבוצה רביעית",IF($Q98="פרופיל 5","קבוצת תשתיות",IF(OR($Q98="פרופיל 4",$Q98="פרופיל 3"),"קבוצת רכישה","קבוצת ביסוס"))))</f>
        <v/>
      </c>
      <c r="S98" s="32">
        <f>IF($F98="","",IF($F98="תחילת שנה",1,IF($F98="מחצית שנה",2,3)))</f>
        <v/>
      </c>
      <c r="T98" s="32">
        <f>IF(OR($B98="",$R98="",$A98="",$F98=""),"",$B98&amp;"|"&amp;$A98&amp;"|"&amp;$F98&amp;"|"&amp;$R98&amp;"|"&amp;COUNTIFS($B$6:$B98,$B98,$A$6:$A98,$A98,$F$6:$F98,$F98,$R$6:$R98,$R98))</f>
        <v/>
      </c>
      <c r="U98" s="32">
        <f>IF($C98="","",$C98&amp;"|"&amp;COUNTIFS($C$6:$C98,$C98))</f>
        <v/>
      </c>
      <c r="V98" s="32">
        <f>IF(OR($C98="",$A98="",$S98=""),"",$C98&amp;"|"&amp;$A98&amp;"|"&amp;$S98)</f>
        <v/>
      </c>
      <c r="W98" s="32">
        <f>IF(OR($C98="",$S98="",$S98=1),"",IFERROR(INDEX($Q$6:$Q$1505,MATCH($C98&amp;"|"&amp;$A98&amp;"|"&amp;($S98-1),$V$6:$V$1505,0)),""))</f>
        <v/>
      </c>
      <c r="X98" s="32">
        <f>IF(OR($W98="",$Q98="",LEFT($Q98,1)="—"),"",IF($W98=$Q98,"ללא שינוי","מ-"&amp;$W98&amp;" ל-"&amp;$Q98))</f>
        <v/>
      </c>
    </row>
    <row r="99" ht="15.75" customHeight="1" s="58">
      <c r="A99" s="65" t="n"/>
      <c r="B99" s="65" t="n"/>
      <c r="C99" s="66" t="n"/>
      <c r="D99" s="66" t="n"/>
      <c r="E99" s="65" t="n"/>
      <c r="F99" s="65" t="n"/>
      <c r="G99" s="65" t="n"/>
      <c r="H99" s="65" t="n"/>
      <c r="I99" s="65" t="n"/>
      <c r="J99" s="65" t="n"/>
      <c r="K99" s="65" t="n"/>
      <c r="L99" s="65" t="n"/>
      <c r="M99" s="65" t="n"/>
      <c r="N99" s="65" t="n"/>
      <c r="O99" s="65" t="n"/>
      <c r="P99" s="65" t="n"/>
      <c r="Q99" s="32">
        <f>IF($C99="","",IF($J99="","— חסרים נתונים",IF($J99="טרם מפענח","פרופיל 5",IF($J99="קמץ/פתח/חטף-פתח ושוואים","פרופיל 4",IF($J99="2-3 סימני ניקוד","פרופיל 3",IF($J99="4-5 סימני ניקוד","פרופיל 2",IF(AND($O99="משפטים וקטעים קצרים",OR($M99="מבין",$M99="מבין לרוב")),"פרופיל 1","פרופיל 2")))))))</f>
        <v/>
      </c>
      <c r="R99" s="32">
        <f>IF($C99="","",IF(OR($Q99="",LEFT($Q99,1)="—"),"קבוצה רביעית",IF($Q99="פרופיל 5","קבוצת תשתיות",IF(OR($Q99="פרופיל 4",$Q99="פרופיל 3"),"קבוצת רכישה","קבוצת ביסוס"))))</f>
        <v/>
      </c>
      <c r="S99" s="32">
        <f>IF($F99="","",IF($F99="תחילת שנה",1,IF($F99="מחצית שנה",2,3)))</f>
        <v/>
      </c>
      <c r="T99" s="32">
        <f>IF(OR($B99="",$R99="",$A99="",$F99=""),"",$B99&amp;"|"&amp;$A99&amp;"|"&amp;$F99&amp;"|"&amp;$R99&amp;"|"&amp;COUNTIFS($B$6:$B99,$B99,$A$6:$A99,$A99,$F$6:$F99,$F99,$R$6:$R99,$R99))</f>
        <v/>
      </c>
      <c r="U99" s="32">
        <f>IF($C99="","",$C99&amp;"|"&amp;COUNTIFS($C$6:$C99,$C99))</f>
        <v/>
      </c>
      <c r="V99" s="32">
        <f>IF(OR($C99="",$A99="",$S99=""),"",$C99&amp;"|"&amp;$A99&amp;"|"&amp;$S99)</f>
        <v/>
      </c>
      <c r="W99" s="32">
        <f>IF(OR($C99="",$S99="",$S99=1),"",IFERROR(INDEX($Q$6:$Q$1505,MATCH($C99&amp;"|"&amp;$A99&amp;"|"&amp;($S99-1),$V$6:$V$1505,0)),""))</f>
        <v/>
      </c>
      <c r="X99" s="32">
        <f>IF(OR($W99="",$Q99="",LEFT($Q99,1)="—"),"",IF($W99=$Q99,"ללא שינוי","מ-"&amp;$W99&amp;" ל-"&amp;$Q99))</f>
        <v/>
      </c>
    </row>
    <row r="100" ht="15.75" customHeight="1" s="58">
      <c r="A100" s="65" t="n"/>
      <c r="B100" s="65" t="n"/>
      <c r="C100" s="66" t="n"/>
      <c r="D100" s="66" t="n"/>
      <c r="E100" s="65" t="n"/>
      <c r="F100" s="65" t="n"/>
      <c r="G100" s="65" t="n"/>
      <c r="H100" s="65" t="n"/>
      <c r="I100" s="65" t="n"/>
      <c r="J100" s="65" t="n"/>
      <c r="K100" s="65" t="n"/>
      <c r="L100" s="65" t="n"/>
      <c r="M100" s="65" t="n"/>
      <c r="N100" s="65" t="n"/>
      <c r="O100" s="65" t="n"/>
      <c r="P100" s="65" t="n"/>
      <c r="Q100" s="32">
        <f>IF($C100="","",IF($J100="","— חסרים נתונים",IF($J100="טרם מפענח","פרופיל 5",IF($J100="קמץ/פתח/חטף-פתח ושוואים","פרופיל 4",IF($J100="2-3 סימני ניקוד","פרופיל 3",IF($J100="4-5 סימני ניקוד","פרופיל 2",IF(AND($O100="משפטים וקטעים קצרים",OR($M100="מבין",$M100="מבין לרוב")),"פרופיל 1","פרופיל 2")))))))</f>
        <v/>
      </c>
      <c r="R100" s="32">
        <f>IF($C100="","",IF(OR($Q100="",LEFT($Q100,1)="—"),"קבוצה רביעית",IF($Q100="פרופיל 5","קבוצת תשתיות",IF(OR($Q100="פרופיל 4",$Q100="פרופיל 3"),"קבוצת רכישה","קבוצת ביסוס"))))</f>
        <v/>
      </c>
      <c r="S100" s="32">
        <f>IF($F100="","",IF($F100="תחילת שנה",1,IF($F100="מחצית שנה",2,3)))</f>
        <v/>
      </c>
      <c r="T100" s="32">
        <f>IF(OR($B100="",$R100="",$A100="",$F100=""),"",$B100&amp;"|"&amp;$A100&amp;"|"&amp;$F100&amp;"|"&amp;$R100&amp;"|"&amp;COUNTIFS($B$6:$B100,$B100,$A$6:$A100,$A100,$F$6:$F100,$F100,$R$6:$R100,$R100))</f>
        <v/>
      </c>
      <c r="U100" s="32">
        <f>IF($C100="","",$C100&amp;"|"&amp;COUNTIFS($C$6:$C100,$C100))</f>
        <v/>
      </c>
      <c r="V100" s="32">
        <f>IF(OR($C100="",$A100="",$S100=""),"",$C100&amp;"|"&amp;$A100&amp;"|"&amp;$S100)</f>
        <v/>
      </c>
      <c r="W100" s="32">
        <f>IF(OR($C100="",$S100="",$S100=1),"",IFERROR(INDEX($Q$6:$Q$1505,MATCH($C100&amp;"|"&amp;$A100&amp;"|"&amp;($S100-1),$V$6:$V$1505,0)),""))</f>
        <v/>
      </c>
      <c r="X100" s="32">
        <f>IF(OR($W100="",$Q100="",LEFT($Q100,1)="—"),"",IF($W100=$Q100,"ללא שינוי","מ-"&amp;$W100&amp;" ל-"&amp;$Q100))</f>
        <v/>
      </c>
    </row>
    <row r="101" ht="15.75" customHeight="1" s="58">
      <c r="A101" s="65" t="n"/>
      <c r="B101" s="65" t="n"/>
      <c r="C101" s="66" t="n"/>
      <c r="D101" s="66" t="n"/>
      <c r="E101" s="65" t="n"/>
      <c r="F101" s="65" t="n"/>
      <c r="G101" s="65" t="n"/>
      <c r="H101" s="65" t="n"/>
      <c r="I101" s="65" t="n"/>
      <c r="J101" s="65" t="n"/>
      <c r="K101" s="65" t="n"/>
      <c r="L101" s="65" t="n"/>
      <c r="M101" s="65" t="n"/>
      <c r="N101" s="65" t="n"/>
      <c r="O101" s="65" t="n"/>
      <c r="P101" s="65" t="n"/>
      <c r="Q101" s="32">
        <f>IF($C101="","",IF($J101="","— חסרים נתונים",IF($J101="טרם מפענח","פרופיל 5",IF($J101="קמץ/פתח/חטף-פתח ושוואים","פרופיל 4",IF($J101="2-3 סימני ניקוד","פרופיל 3",IF($J101="4-5 סימני ניקוד","פרופיל 2",IF(AND($O101="משפטים וקטעים קצרים",OR($M101="מבין",$M101="מבין לרוב")),"פרופיל 1","פרופיל 2")))))))</f>
        <v/>
      </c>
      <c r="R101" s="32">
        <f>IF($C101="","",IF(OR($Q101="",LEFT($Q101,1)="—"),"קבוצה רביעית",IF($Q101="פרופיל 5","קבוצת תשתיות",IF(OR($Q101="פרופיל 4",$Q101="פרופיל 3"),"קבוצת רכישה","קבוצת ביסוס"))))</f>
        <v/>
      </c>
      <c r="S101" s="32">
        <f>IF($F101="","",IF($F101="תחילת שנה",1,IF($F101="מחצית שנה",2,3)))</f>
        <v/>
      </c>
      <c r="T101" s="32">
        <f>IF(OR($B101="",$R101="",$A101="",$F101=""),"",$B101&amp;"|"&amp;$A101&amp;"|"&amp;$F101&amp;"|"&amp;$R101&amp;"|"&amp;COUNTIFS($B$6:$B101,$B101,$A$6:$A101,$A101,$F$6:$F101,$F101,$R$6:$R101,$R101))</f>
        <v/>
      </c>
      <c r="U101" s="32">
        <f>IF($C101="","",$C101&amp;"|"&amp;COUNTIFS($C$6:$C101,$C101))</f>
        <v/>
      </c>
      <c r="V101" s="32">
        <f>IF(OR($C101="",$A101="",$S101=""),"",$C101&amp;"|"&amp;$A101&amp;"|"&amp;$S101)</f>
        <v/>
      </c>
      <c r="W101" s="32">
        <f>IF(OR($C101="",$S101="",$S101=1),"",IFERROR(INDEX($Q$6:$Q$1505,MATCH($C101&amp;"|"&amp;$A101&amp;"|"&amp;($S101-1),$V$6:$V$1505,0)),""))</f>
        <v/>
      </c>
      <c r="X101" s="32">
        <f>IF(OR($W101="",$Q101="",LEFT($Q101,1)="—"),"",IF($W101=$Q101,"ללא שינוי","מ-"&amp;$W101&amp;" ל-"&amp;$Q101))</f>
        <v/>
      </c>
    </row>
    <row r="102" ht="15.75" customHeight="1" s="58">
      <c r="A102" s="65" t="n"/>
      <c r="B102" s="65" t="n"/>
      <c r="C102" s="66" t="n"/>
      <c r="D102" s="66" t="n"/>
      <c r="E102" s="65" t="n"/>
      <c r="F102" s="65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32">
        <f>IF($C102="","",IF($J102="","— חסרים נתונים",IF($J102="טרם מפענח","פרופיל 5",IF($J102="קמץ/פתח/חטף-פתח ושוואים","פרופיל 4",IF($J102="2-3 סימני ניקוד","פרופיל 3",IF($J102="4-5 סימני ניקוד","פרופיל 2",IF(AND($O102="משפטים וקטעים קצרים",OR($M102="מבין",$M102="מבין לרוב")),"פרופיל 1","פרופיל 2")))))))</f>
        <v/>
      </c>
      <c r="R102" s="32">
        <f>IF($C102="","",IF(OR($Q102="",LEFT($Q102,1)="—"),"קבוצה רביעית",IF($Q102="פרופיל 5","קבוצת תשתיות",IF(OR($Q102="פרופיל 4",$Q102="פרופיל 3"),"קבוצת רכישה","קבוצת ביסוס"))))</f>
        <v/>
      </c>
      <c r="S102" s="32">
        <f>IF($F102="","",IF($F102="תחילת שנה",1,IF($F102="מחצית שנה",2,3)))</f>
        <v/>
      </c>
      <c r="T102" s="32">
        <f>IF(OR($B102="",$R102="",$A102="",$F102=""),"",$B102&amp;"|"&amp;$A102&amp;"|"&amp;$F102&amp;"|"&amp;$R102&amp;"|"&amp;COUNTIFS($B$6:$B102,$B102,$A$6:$A102,$A102,$F$6:$F102,$F102,$R$6:$R102,$R102))</f>
        <v/>
      </c>
      <c r="U102" s="32">
        <f>IF($C102="","",$C102&amp;"|"&amp;COUNTIFS($C$6:$C102,$C102))</f>
        <v/>
      </c>
      <c r="V102" s="32">
        <f>IF(OR($C102="",$A102="",$S102=""),"",$C102&amp;"|"&amp;$A102&amp;"|"&amp;$S102)</f>
        <v/>
      </c>
      <c r="W102" s="32">
        <f>IF(OR($C102="",$S102="",$S102=1),"",IFERROR(INDEX($Q$6:$Q$1505,MATCH($C102&amp;"|"&amp;$A102&amp;"|"&amp;($S102-1),$V$6:$V$1505,0)),""))</f>
        <v/>
      </c>
      <c r="X102" s="32">
        <f>IF(OR($W102="",$Q102="",LEFT($Q102,1)="—"),"",IF($W102=$Q102,"ללא שינוי","מ-"&amp;$W102&amp;" ל-"&amp;$Q102))</f>
        <v/>
      </c>
    </row>
    <row r="103" ht="15.75" customHeight="1" s="58">
      <c r="A103" s="65" t="n"/>
      <c r="B103" s="65" t="n"/>
      <c r="C103" s="66" t="n"/>
      <c r="D103" s="66" t="n"/>
      <c r="E103" s="65" t="n"/>
      <c r="F103" s="65" t="n"/>
      <c r="G103" s="65" t="n"/>
      <c r="H103" s="65" t="n"/>
      <c r="I103" s="65" t="n"/>
      <c r="J103" s="65" t="n"/>
      <c r="K103" s="65" t="n"/>
      <c r="L103" s="65" t="n"/>
      <c r="M103" s="65" t="n"/>
      <c r="N103" s="65" t="n"/>
      <c r="O103" s="65" t="n"/>
      <c r="P103" s="65" t="n"/>
      <c r="Q103" s="32">
        <f>IF($C103="","",IF($J103="","— חסרים נתונים",IF($J103="טרם מפענח","פרופיל 5",IF($J103="קמץ/פתח/חטף-פתח ושוואים","פרופיל 4",IF($J103="2-3 סימני ניקוד","פרופיל 3",IF($J103="4-5 סימני ניקוד","פרופיל 2",IF(AND($O103="משפטים וקטעים קצרים",OR($M103="מבין",$M103="מבין לרוב")),"פרופיל 1","פרופיל 2")))))))</f>
        <v/>
      </c>
      <c r="R103" s="32">
        <f>IF($C103="","",IF(OR($Q103="",LEFT($Q103,1)="—"),"קבוצה רביעית",IF($Q103="פרופיל 5","קבוצת תשתיות",IF(OR($Q103="פרופיל 4",$Q103="פרופיל 3"),"קבוצת רכישה","קבוצת ביסוס"))))</f>
        <v/>
      </c>
      <c r="S103" s="32">
        <f>IF($F103="","",IF($F103="תחילת שנה",1,IF($F103="מחצית שנה",2,3)))</f>
        <v/>
      </c>
      <c r="T103" s="32">
        <f>IF(OR($B103="",$R103="",$A103="",$F103=""),"",$B103&amp;"|"&amp;$A103&amp;"|"&amp;$F103&amp;"|"&amp;$R103&amp;"|"&amp;COUNTIFS($B$6:$B103,$B103,$A$6:$A103,$A103,$F$6:$F103,$F103,$R$6:$R103,$R103))</f>
        <v/>
      </c>
      <c r="U103" s="32">
        <f>IF($C103="","",$C103&amp;"|"&amp;COUNTIFS($C$6:$C103,$C103))</f>
        <v/>
      </c>
      <c r="V103" s="32">
        <f>IF(OR($C103="",$A103="",$S103=""),"",$C103&amp;"|"&amp;$A103&amp;"|"&amp;$S103)</f>
        <v/>
      </c>
      <c r="W103" s="32">
        <f>IF(OR($C103="",$S103="",$S103=1),"",IFERROR(INDEX($Q$6:$Q$1505,MATCH($C103&amp;"|"&amp;$A103&amp;"|"&amp;($S103-1),$V$6:$V$1505,0)),""))</f>
        <v/>
      </c>
      <c r="X103" s="32">
        <f>IF(OR($W103="",$Q103="",LEFT($Q103,1)="—"),"",IF($W103=$Q103,"ללא שינוי","מ-"&amp;$W103&amp;" ל-"&amp;$Q103))</f>
        <v/>
      </c>
    </row>
    <row r="104" ht="15.75" customHeight="1" s="58">
      <c r="A104" s="65" t="n"/>
      <c r="B104" s="65" t="n"/>
      <c r="C104" s="66" t="n"/>
      <c r="D104" s="66" t="n"/>
      <c r="E104" s="65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32">
        <f>IF($C104="","",IF($J104="","— חסרים נתונים",IF($J104="טרם מפענח","פרופיל 5",IF($J104="קמץ/פתח/חטף-פתח ושוואים","פרופיל 4",IF($J104="2-3 סימני ניקוד","פרופיל 3",IF($J104="4-5 סימני ניקוד","פרופיל 2",IF(AND($O104="משפטים וקטעים קצרים",OR($M104="מבין",$M104="מבין לרוב")),"פרופיל 1","פרופיל 2")))))))</f>
        <v/>
      </c>
      <c r="R104" s="32">
        <f>IF($C104="","",IF(OR($Q104="",LEFT($Q104,1)="—"),"קבוצה רביעית",IF($Q104="פרופיל 5","קבוצת תשתיות",IF(OR($Q104="פרופיל 4",$Q104="פרופיל 3"),"קבוצת רכישה","קבוצת ביסוס"))))</f>
        <v/>
      </c>
      <c r="S104" s="32">
        <f>IF($F104="","",IF($F104="תחילת שנה",1,IF($F104="מחצית שנה",2,3)))</f>
        <v/>
      </c>
      <c r="T104" s="32">
        <f>IF(OR($B104="",$R104="",$A104="",$F104=""),"",$B104&amp;"|"&amp;$A104&amp;"|"&amp;$F104&amp;"|"&amp;$R104&amp;"|"&amp;COUNTIFS($B$6:$B104,$B104,$A$6:$A104,$A104,$F$6:$F104,$F104,$R$6:$R104,$R104))</f>
        <v/>
      </c>
      <c r="U104" s="32">
        <f>IF($C104="","",$C104&amp;"|"&amp;COUNTIFS($C$6:$C104,$C104))</f>
        <v/>
      </c>
      <c r="V104" s="32">
        <f>IF(OR($C104="",$A104="",$S104=""),"",$C104&amp;"|"&amp;$A104&amp;"|"&amp;$S104)</f>
        <v/>
      </c>
      <c r="W104" s="32">
        <f>IF(OR($C104="",$S104="",$S104=1),"",IFERROR(INDEX($Q$6:$Q$1505,MATCH($C104&amp;"|"&amp;$A104&amp;"|"&amp;($S104-1),$V$6:$V$1505,0)),""))</f>
        <v/>
      </c>
      <c r="X104" s="32">
        <f>IF(OR($W104="",$Q104="",LEFT($Q104,1)="—"),"",IF($W104=$Q104,"ללא שינוי","מ-"&amp;$W104&amp;" ל-"&amp;$Q104))</f>
        <v/>
      </c>
    </row>
    <row r="105" ht="15.75" customHeight="1" s="58">
      <c r="A105" s="65" t="n"/>
      <c r="B105" s="65" t="n"/>
      <c r="C105" s="66" t="n"/>
      <c r="D105" s="66" t="n"/>
      <c r="E105" s="65" t="n"/>
      <c r="F105" s="65" t="n"/>
      <c r="G105" s="65" t="n"/>
      <c r="H105" s="65" t="n"/>
      <c r="I105" s="65" t="n"/>
      <c r="J105" s="65" t="n"/>
      <c r="K105" s="65" t="n"/>
      <c r="L105" s="65" t="n"/>
      <c r="M105" s="65" t="n"/>
      <c r="N105" s="65" t="n"/>
      <c r="O105" s="65" t="n"/>
      <c r="P105" s="65" t="n"/>
      <c r="Q105" s="32">
        <f>IF($C105="","",IF($J105="","— חסרים נתונים",IF($J105="טרם מפענח","פרופיל 5",IF($J105="קמץ/פתח/חטף-פתח ושוואים","פרופיל 4",IF($J105="2-3 סימני ניקוד","פרופיל 3",IF($J105="4-5 סימני ניקוד","פרופיל 2",IF(AND($O105="משפטים וקטעים קצרים",OR($M105="מבין",$M105="מבין לרוב")),"פרופיל 1","פרופיל 2")))))))</f>
        <v/>
      </c>
      <c r="R105" s="32">
        <f>IF($C105="","",IF(OR($Q105="",LEFT($Q105,1)="—"),"קבוצה רביעית",IF($Q105="פרופיל 5","קבוצת תשתיות",IF(OR($Q105="פרופיל 4",$Q105="פרופיל 3"),"קבוצת רכישה","קבוצת ביסוס"))))</f>
        <v/>
      </c>
      <c r="S105" s="32">
        <f>IF($F105="","",IF($F105="תחילת שנה",1,IF($F105="מחצית שנה",2,3)))</f>
        <v/>
      </c>
      <c r="T105" s="32">
        <f>IF(OR($B105="",$R105="",$A105="",$F105=""),"",$B105&amp;"|"&amp;$A105&amp;"|"&amp;$F105&amp;"|"&amp;$R105&amp;"|"&amp;COUNTIFS($B$6:$B105,$B105,$A$6:$A105,$A105,$F$6:$F105,$F105,$R$6:$R105,$R105))</f>
        <v/>
      </c>
      <c r="U105" s="32">
        <f>IF($C105="","",$C105&amp;"|"&amp;COUNTIFS($C$6:$C105,$C105))</f>
        <v/>
      </c>
      <c r="V105" s="32">
        <f>IF(OR($C105="",$A105="",$S105=""),"",$C105&amp;"|"&amp;$A105&amp;"|"&amp;$S105)</f>
        <v/>
      </c>
      <c r="W105" s="32">
        <f>IF(OR($C105="",$S105="",$S105=1),"",IFERROR(INDEX($Q$6:$Q$1505,MATCH($C105&amp;"|"&amp;$A105&amp;"|"&amp;($S105-1),$V$6:$V$1505,0)),""))</f>
        <v/>
      </c>
      <c r="X105" s="32">
        <f>IF(OR($W105="",$Q105="",LEFT($Q105,1)="—"),"",IF($W105=$Q105,"ללא שינוי","מ-"&amp;$W105&amp;" ל-"&amp;$Q105))</f>
        <v/>
      </c>
    </row>
    <row r="106" ht="15.75" customHeight="1" s="58">
      <c r="A106" s="65" t="n"/>
      <c r="B106" s="65" t="n"/>
      <c r="C106" s="66" t="n"/>
      <c r="D106" s="66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32">
        <f>IF($C106="","",IF($J106="","— חסרים נתונים",IF($J106="טרם מפענח","פרופיל 5",IF($J106="קמץ/פתח/חטף-פתח ושוואים","פרופיל 4",IF($J106="2-3 סימני ניקוד","פרופיל 3",IF($J106="4-5 סימני ניקוד","פרופיל 2",IF(AND($O106="משפטים וקטעים קצרים",OR($M106="מבין",$M106="מבין לרוב")),"פרופיל 1","פרופיל 2")))))))</f>
        <v/>
      </c>
      <c r="R106" s="32">
        <f>IF($C106="","",IF(OR($Q106="",LEFT($Q106,1)="—"),"קבוצה רביעית",IF($Q106="פרופיל 5","קבוצת תשתיות",IF(OR($Q106="פרופיל 4",$Q106="פרופיל 3"),"קבוצת רכישה","קבוצת ביסוס"))))</f>
        <v/>
      </c>
      <c r="S106" s="32">
        <f>IF($F106="","",IF($F106="תחילת שנה",1,IF($F106="מחצית שנה",2,3)))</f>
        <v/>
      </c>
      <c r="T106" s="32">
        <f>IF(OR($B106="",$R106="",$A106="",$F106=""),"",$B106&amp;"|"&amp;$A106&amp;"|"&amp;$F106&amp;"|"&amp;$R106&amp;"|"&amp;COUNTIFS($B$6:$B106,$B106,$A$6:$A106,$A106,$F$6:$F106,$F106,$R$6:$R106,$R106))</f>
        <v/>
      </c>
      <c r="U106" s="32">
        <f>IF($C106="","",$C106&amp;"|"&amp;COUNTIFS($C$6:$C106,$C106))</f>
        <v/>
      </c>
      <c r="V106" s="32">
        <f>IF(OR($C106="",$A106="",$S106=""),"",$C106&amp;"|"&amp;$A106&amp;"|"&amp;$S106)</f>
        <v/>
      </c>
      <c r="W106" s="32">
        <f>IF(OR($C106="",$S106="",$S106=1),"",IFERROR(INDEX($Q$6:$Q$1505,MATCH($C106&amp;"|"&amp;$A106&amp;"|"&amp;($S106-1),$V$6:$V$1505,0)),""))</f>
        <v/>
      </c>
      <c r="X106" s="32">
        <f>IF(OR($W106="",$Q106="",LEFT($Q106,1)="—"),"",IF($W106=$Q106,"ללא שינוי","מ-"&amp;$W106&amp;" ל-"&amp;$Q106))</f>
        <v/>
      </c>
    </row>
    <row r="107" ht="15.75" customHeight="1" s="58">
      <c r="A107" s="65" t="n"/>
      <c r="B107" s="65" t="n"/>
      <c r="C107" s="66" t="n"/>
      <c r="D107" s="66" t="n"/>
      <c r="E107" s="65" t="n"/>
      <c r="F107" s="65" t="n"/>
      <c r="G107" s="65" t="n"/>
      <c r="H107" s="65" t="n"/>
      <c r="I107" s="65" t="n"/>
      <c r="J107" s="65" t="n"/>
      <c r="K107" s="65" t="n"/>
      <c r="L107" s="65" t="n"/>
      <c r="M107" s="65" t="n"/>
      <c r="N107" s="65" t="n"/>
      <c r="O107" s="65" t="n"/>
      <c r="P107" s="65" t="n"/>
      <c r="Q107" s="32">
        <f>IF($C107="","",IF($J107="","— חסרים נתונים",IF($J107="טרם מפענח","פרופיל 5",IF($J107="קמץ/פתח/חטף-פתח ושוואים","פרופיל 4",IF($J107="2-3 סימני ניקוד","פרופיל 3",IF($J107="4-5 סימני ניקוד","פרופיל 2",IF(AND($O107="משפטים וקטעים קצרים",OR($M107="מבין",$M107="מבין לרוב")),"פרופיל 1","פרופיל 2")))))))</f>
        <v/>
      </c>
      <c r="R107" s="32">
        <f>IF($C107="","",IF(OR($Q107="",LEFT($Q107,1)="—"),"קבוצה רביעית",IF($Q107="פרופיל 5","קבוצת תשתיות",IF(OR($Q107="פרופיל 4",$Q107="פרופיל 3"),"קבוצת רכישה","קבוצת ביסוס"))))</f>
        <v/>
      </c>
      <c r="S107" s="32">
        <f>IF($F107="","",IF($F107="תחילת שנה",1,IF($F107="מחצית שנה",2,3)))</f>
        <v/>
      </c>
      <c r="T107" s="32">
        <f>IF(OR($B107="",$R107="",$A107="",$F107=""),"",$B107&amp;"|"&amp;$A107&amp;"|"&amp;$F107&amp;"|"&amp;$R107&amp;"|"&amp;COUNTIFS($B$6:$B107,$B107,$A$6:$A107,$A107,$F$6:$F107,$F107,$R$6:$R107,$R107))</f>
        <v/>
      </c>
      <c r="U107" s="32">
        <f>IF($C107="","",$C107&amp;"|"&amp;COUNTIFS($C$6:$C107,$C107))</f>
        <v/>
      </c>
      <c r="V107" s="32">
        <f>IF(OR($C107="",$A107="",$S107=""),"",$C107&amp;"|"&amp;$A107&amp;"|"&amp;$S107)</f>
        <v/>
      </c>
      <c r="W107" s="32">
        <f>IF(OR($C107="",$S107="",$S107=1),"",IFERROR(INDEX($Q$6:$Q$1505,MATCH($C107&amp;"|"&amp;$A107&amp;"|"&amp;($S107-1),$V$6:$V$1505,0)),""))</f>
        <v/>
      </c>
      <c r="X107" s="32">
        <f>IF(OR($W107="",$Q107="",LEFT($Q107,1)="—"),"",IF($W107=$Q107,"ללא שינוי","מ-"&amp;$W107&amp;" ל-"&amp;$Q107))</f>
        <v/>
      </c>
    </row>
    <row r="108" ht="15.75" customHeight="1" s="58">
      <c r="A108" s="65" t="n"/>
      <c r="B108" s="65" t="n"/>
      <c r="C108" s="66" t="n"/>
      <c r="D108" s="66" t="n"/>
      <c r="E108" s="65" t="n"/>
      <c r="F108" s="65" t="n"/>
      <c r="G108" s="65" t="n"/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32">
        <f>IF($C108="","",IF($J108="","— חסרים נתונים",IF($J108="טרם מפענח","פרופיל 5",IF($J108="קמץ/פתח/חטף-פתח ושוואים","פרופיל 4",IF($J108="2-3 סימני ניקוד","פרופיל 3",IF($J108="4-5 סימני ניקוד","פרופיל 2",IF(AND($O108="משפטים וקטעים קצרים",OR($M108="מבין",$M108="מבין לרוב")),"פרופיל 1","פרופיל 2")))))))</f>
        <v/>
      </c>
      <c r="R108" s="32">
        <f>IF($C108="","",IF(OR($Q108="",LEFT($Q108,1)="—"),"קבוצה רביעית",IF($Q108="פרופיל 5","קבוצת תשתיות",IF(OR($Q108="פרופיל 4",$Q108="פרופיל 3"),"קבוצת רכישה","קבוצת ביסוס"))))</f>
        <v/>
      </c>
      <c r="S108" s="32">
        <f>IF($F108="","",IF($F108="תחילת שנה",1,IF($F108="מחצית שנה",2,3)))</f>
        <v/>
      </c>
      <c r="T108" s="32">
        <f>IF(OR($B108="",$R108="",$A108="",$F108=""),"",$B108&amp;"|"&amp;$A108&amp;"|"&amp;$F108&amp;"|"&amp;$R108&amp;"|"&amp;COUNTIFS($B$6:$B108,$B108,$A$6:$A108,$A108,$F$6:$F108,$F108,$R$6:$R108,$R108))</f>
        <v/>
      </c>
      <c r="U108" s="32">
        <f>IF($C108="","",$C108&amp;"|"&amp;COUNTIFS($C$6:$C108,$C108))</f>
        <v/>
      </c>
      <c r="V108" s="32">
        <f>IF(OR($C108="",$A108="",$S108=""),"",$C108&amp;"|"&amp;$A108&amp;"|"&amp;$S108)</f>
        <v/>
      </c>
      <c r="W108" s="32">
        <f>IF(OR($C108="",$S108="",$S108=1),"",IFERROR(INDEX($Q$6:$Q$1505,MATCH($C108&amp;"|"&amp;$A108&amp;"|"&amp;($S108-1),$V$6:$V$1505,0)),""))</f>
        <v/>
      </c>
      <c r="X108" s="32">
        <f>IF(OR($W108="",$Q108="",LEFT($Q108,1)="—"),"",IF($W108=$Q108,"ללא שינוי","מ-"&amp;$W108&amp;" ל-"&amp;$Q108))</f>
        <v/>
      </c>
    </row>
    <row r="109" ht="15.75" customHeight="1" s="58">
      <c r="A109" s="65" t="n"/>
      <c r="B109" s="65" t="n"/>
      <c r="C109" s="66" t="n"/>
      <c r="D109" s="66" t="n"/>
      <c r="E109" s="65" t="n"/>
      <c r="F109" s="65" t="n"/>
      <c r="G109" s="65" t="n"/>
      <c r="H109" s="65" t="n"/>
      <c r="I109" s="65" t="n"/>
      <c r="J109" s="65" t="n"/>
      <c r="K109" s="65" t="n"/>
      <c r="L109" s="65" t="n"/>
      <c r="M109" s="65" t="n"/>
      <c r="N109" s="65" t="n"/>
      <c r="O109" s="65" t="n"/>
      <c r="P109" s="65" t="n"/>
      <c r="Q109" s="32">
        <f>IF($C109="","",IF($J109="","— חסרים נתונים",IF($J109="טרם מפענח","פרופיל 5",IF($J109="קמץ/פתח/חטף-פתח ושוואים","פרופיל 4",IF($J109="2-3 סימני ניקוד","פרופיל 3",IF($J109="4-5 סימני ניקוד","פרופיל 2",IF(AND($O109="משפטים וקטעים קצרים",OR($M109="מבין",$M109="מבין לרוב")),"פרופיל 1","פרופיל 2")))))))</f>
        <v/>
      </c>
      <c r="R109" s="32">
        <f>IF($C109="","",IF(OR($Q109="",LEFT($Q109,1)="—"),"קבוצה רביעית",IF($Q109="פרופיל 5","קבוצת תשתיות",IF(OR($Q109="פרופיל 4",$Q109="פרופיל 3"),"קבוצת רכישה","קבוצת ביסוס"))))</f>
        <v/>
      </c>
      <c r="S109" s="32">
        <f>IF($F109="","",IF($F109="תחילת שנה",1,IF($F109="מחצית שנה",2,3)))</f>
        <v/>
      </c>
      <c r="T109" s="32">
        <f>IF(OR($B109="",$R109="",$A109="",$F109=""),"",$B109&amp;"|"&amp;$A109&amp;"|"&amp;$F109&amp;"|"&amp;$R109&amp;"|"&amp;COUNTIFS($B$6:$B109,$B109,$A$6:$A109,$A109,$F$6:$F109,$F109,$R$6:$R109,$R109))</f>
        <v/>
      </c>
      <c r="U109" s="32">
        <f>IF($C109="","",$C109&amp;"|"&amp;COUNTIFS($C$6:$C109,$C109))</f>
        <v/>
      </c>
      <c r="V109" s="32">
        <f>IF(OR($C109="",$A109="",$S109=""),"",$C109&amp;"|"&amp;$A109&amp;"|"&amp;$S109)</f>
        <v/>
      </c>
      <c r="W109" s="32">
        <f>IF(OR($C109="",$S109="",$S109=1),"",IFERROR(INDEX($Q$6:$Q$1505,MATCH($C109&amp;"|"&amp;$A109&amp;"|"&amp;($S109-1),$V$6:$V$1505,0)),""))</f>
        <v/>
      </c>
      <c r="X109" s="32">
        <f>IF(OR($W109="",$Q109="",LEFT($Q109,1)="—"),"",IF($W109=$Q109,"ללא שינוי","מ-"&amp;$W109&amp;" ל-"&amp;$Q109))</f>
        <v/>
      </c>
    </row>
    <row r="110" ht="15.75" customHeight="1" s="58">
      <c r="A110" s="65" t="n"/>
      <c r="B110" s="65" t="n"/>
      <c r="C110" s="66" t="n"/>
      <c r="D110" s="66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32">
        <f>IF($C110="","",IF($J110="","— חסרים נתונים",IF($J110="טרם מפענח","פרופיל 5",IF($J110="קמץ/פתח/חטף-פתח ושוואים","פרופיל 4",IF($J110="2-3 סימני ניקוד","פרופיל 3",IF($J110="4-5 סימני ניקוד","פרופיל 2",IF(AND($O110="משפטים וקטעים קצרים",OR($M110="מבין",$M110="מבין לרוב")),"פרופיל 1","פרופיל 2")))))))</f>
        <v/>
      </c>
      <c r="R110" s="32">
        <f>IF($C110="","",IF(OR($Q110="",LEFT($Q110,1)="—"),"קבוצה רביעית",IF($Q110="פרופיל 5","קבוצת תשתיות",IF(OR($Q110="פרופיל 4",$Q110="פרופיל 3"),"קבוצת רכישה","קבוצת ביסוס"))))</f>
        <v/>
      </c>
      <c r="S110" s="32">
        <f>IF($F110="","",IF($F110="תחילת שנה",1,IF($F110="מחצית שנה",2,3)))</f>
        <v/>
      </c>
      <c r="T110" s="32">
        <f>IF(OR($B110="",$R110="",$A110="",$F110=""),"",$B110&amp;"|"&amp;$A110&amp;"|"&amp;$F110&amp;"|"&amp;$R110&amp;"|"&amp;COUNTIFS($B$6:$B110,$B110,$A$6:$A110,$A110,$F$6:$F110,$F110,$R$6:$R110,$R110))</f>
        <v/>
      </c>
      <c r="U110" s="32">
        <f>IF($C110="","",$C110&amp;"|"&amp;COUNTIFS($C$6:$C110,$C110))</f>
        <v/>
      </c>
      <c r="V110" s="32">
        <f>IF(OR($C110="",$A110="",$S110=""),"",$C110&amp;"|"&amp;$A110&amp;"|"&amp;$S110)</f>
        <v/>
      </c>
      <c r="W110" s="32">
        <f>IF(OR($C110="",$S110="",$S110=1),"",IFERROR(INDEX($Q$6:$Q$1505,MATCH($C110&amp;"|"&amp;$A110&amp;"|"&amp;($S110-1),$V$6:$V$1505,0)),""))</f>
        <v/>
      </c>
      <c r="X110" s="32">
        <f>IF(OR($W110="",$Q110="",LEFT($Q110,1)="—"),"",IF($W110=$Q110,"ללא שינוי","מ-"&amp;$W110&amp;" ל-"&amp;$Q110))</f>
        <v/>
      </c>
    </row>
    <row r="111" ht="15.75" customHeight="1" s="58">
      <c r="A111" s="65" t="n"/>
      <c r="B111" s="65" t="n"/>
      <c r="C111" s="66" t="n"/>
      <c r="D111" s="66" t="n"/>
      <c r="E111" s="65" t="n"/>
      <c r="F111" s="65" t="n"/>
      <c r="G111" s="65" t="n"/>
      <c r="H111" s="65" t="n"/>
      <c r="I111" s="65" t="n"/>
      <c r="J111" s="65" t="n"/>
      <c r="K111" s="65" t="n"/>
      <c r="L111" s="65" t="n"/>
      <c r="M111" s="65" t="n"/>
      <c r="N111" s="65" t="n"/>
      <c r="O111" s="65" t="n"/>
      <c r="P111" s="65" t="n"/>
      <c r="Q111" s="32">
        <f>IF($C111="","",IF($J111="","— חסרים נתונים",IF($J111="טרם מפענח","פרופיל 5",IF($J111="קמץ/פתח/חטף-פתח ושוואים","פרופיל 4",IF($J111="2-3 סימני ניקוד","פרופיל 3",IF($J111="4-5 סימני ניקוד","פרופיל 2",IF(AND($O111="משפטים וקטעים קצרים",OR($M111="מבין",$M111="מבין לרוב")),"פרופיל 1","פרופיל 2")))))))</f>
        <v/>
      </c>
      <c r="R111" s="32">
        <f>IF($C111="","",IF(OR($Q111="",LEFT($Q111,1)="—"),"קבוצה רביעית",IF($Q111="פרופיל 5","קבוצת תשתיות",IF(OR($Q111="פרופיל 4",$Q111="פרופיל 3"),"קבוצת רכישה","קבוצת ביסוס"))))</f>
        <v/>
      </c>
      <c r="S111" s="32">
        <f>IF($F111="","",IF($F111="תחילת שנה",1,IF($F111="מחצית שנה",2,3)))</f>
        <v/>
      </c>
      <c r="T111" s="32">
        <f>IF(OR($B111="",$R111="",$A111="",$F111=""),"",$B111&amp;"|"&amp;$A111&amp;"|"&amp;$F111&amp;"|"&amp;$R111&amp;"|"&amp;COUNTIFS($B$6:$B111,$B111,$A$6:$A111,$A111,$F$6:$F111,$F111,$R$6:$R111,$R111))</f>
        <v/>
      </c>
      <c r="U111" s="32">
        <f>IF($C111="","",$C111&amp;"|"&amp;COUNTIFS($C$6:$C111,$C111))</f>
        <v/>
      </c>
      <c r="V111" s="32">
        <f>IF(OR($C111="",$A111="",$S111=""),"",$C111&amp;"|"&amp;$A111&amp;"|"&amp;$S111)</f>
        <v/>
      </c>
      <c r="W111" s="32">
        <f>IF(OR($C111="",$S111="",$S111=1),"",IFERROR(INDEX($Q$6:$Q$1505,MATCH($C111&amp;"|"&amp;$A111&amp;"|"&amp;($S111-1),$V$6:$V$1505,0)),""))</f>
        <v/>
      </c>
      <c r="X111" s="32">
        <f>IF(OR($W111="",$Q111="",LEFT($Q111,1)="—"),"",IF($W111=$Q111,"ללא שינוי","מ-"&amp;$W111&amp;" ל-"&amp;$Q111))</f>
        <v/>
      </c>
    </row>
    <row r="112" ht="15.75" customHeight="1" s="58">
      <c r="A112" s="65" t="n"/>
      <c r="B112" s="65" t="n"/>
      <c r="C112" s="66" t="n"/>
      <c r="D112" s="66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32">
        <f>IF($C112="","",IF($J112="","— חסרים נתונים",IF($J112="טרם מפענח","פרופיל 5",IF($J112="קמץ/פתח/חטף-פתח ושוואים","פרופיל 4",IF($J112="2-3 סימני ניקוד","פרופיל 3",IF($J112="4-5 סימני ניקוד","פרופיל 2",IF(AND($O112="משפטים וקטעים קצרים",OR($M112="מבין",$M112="מבין לרוב")),"פרופיל 1","פרופיל 2")))))))</f>
        <v/>
      </c>
      <c r="R112" s="32">
        <f>IF($C112="","",IF(OR($Q112="",LEFT($Q112,1)="—"),"קבוצה רביעית",IF($Q112="פרופיל 5","קבוצת תשתיות",IF(OR($Q112="פרופיל 4",$Q112="פרופיל 3"),"קבוצת רכישה","קבוצת ביסוס"))))</f>
        <v/>
      </c>
      <c r="S112" s="32">
        <f>IF($F112="","",IF($F112="תחילת שנה",1,IF($F112="מחצית שנה",2,3)))</f>
        <v/>
      </c>
      <c r="T112" s="32">
        <f>IF(OR($B112="",$R112="",$A112="",$F112=""),"",$B112&amp;"|"&amp;$A112&amp;"|"&amp;$F112&amp;"|"&amp;$R112&amp;"|"&amp;COUNTIFS($B$6:$B112,$B112,$A$6:$A112,$A112,$F$6:$F112,$F112,$R$6:$R112,$R112))</f>
        <v/>
      </c>
      <c r="U112" s="32">
        <f>IF($C112="","",$C112&amp;"|"&amp;COUNTIFS($C$6:$C112,$C112))</f>
        <v/>
      </c>
      <c r="V112" s="32">
        <f>IF(OR($C112="",$A112="",$S112=""),"",$C112&amp;"|"&amp;$A112&amp;"|"&amp;$S112)</f>
        <v/>
      </c>
      <c r="W112" s="32">
        <f>IF(OR($C112="",$S112="",$S112=1),"",IFERROR(INDEX($Q$6:$Q$1505,MATCH($C112&amp;"|"&amp;$A112&amp;"|"&amp;($S112-1),$V$6:$V$1505,0)),""))</f>
        <v/>
      </c>
      <c r="X112" s="32">
        <f>IF(OR($W112="",$Q112="",LEFT($Q112,1)="—"),"",IF($W112=$Q112,"ללא שינוי","מ-"&amp;$W112&amp;" ל-"&amp;$Q112))</f>
        <v/>
      </c>
    </row>
    <row r="113" ht="15.75" customHeight="1" s="58">
      <c r="A113" s="65" t="n"/>
      <c r="B113" s="65" t="n"/>
      <c r="C113" s="66" t="n"/>
      <c r="D113" s="66" t="n"/>
      <c r="E113" s="65" t="n"/>
      <c r="F113" s="65" t="n"/>
      <c r="G113" s="65" t="n"/>
      <c r="H113" s="65" t="n"/>
      <c r="I113" s="65" t="n"/>
      <c r="J113" s="65" t="n"/>
      <c r="K113" s="65" t="n"/>
      <c r="L113" s="65" t="n"/>
      <c r="M113" s="65" t="n"/>
      <c r="N113" s="65" t="n"/>
      <c r="O113" s="65" t="n"/>
      <c r="P113" s="65" t="n"/>
      <c r="Q113" s="32">
        <f>IF($C113="","",IF($J113="","— חסרים נתונים",IF($J113="טרם מפענח","פרופיל 5",IF($J113="קמץ/פתח/חטף-פתח ושוואים","פרופיל 4",IF($J113="2-3 סימני ניקוד","פרופיל 3",IF($J113="4-5 סימני ניקוד","פרופיל 2",IF(AND($O113="משפטים וקטעים קצרים",OR($M113="מבין",$M113="מבין לרוב")),"פרופיל 1","פרופיל 2")))))))</f>
        <v/>
      </c>
      <c r="R113" s="32">
        <f>IF($C113="","",IF(OR($Q113="",LEFT($Q113,1)="—"),"קבוצה רביעית",IF($Q113="פרופיל 5","קבוצת תשתיות",IF(OR($Q113="פרופיל 4",$Q113="פרופיל 3"),"קבוצת רכישה","קבוצת ביסוס"))))</f>
        <v/>
      </c>
      <c r="S113" s="32">
        <f>IF($F113="","",IF($F113="תחילת שנה",1,IF($F113="מחצית שנה",2,3)))</f>
        <v/>
      </c>
      <c r="T113" s="32">
        <f>IF(OR($B113="",$R113="",$A113="",$F113=""),"",$B113&amp;"|"&amp;$A113&amp;"|"&amp;$F113&amp;"|"&amp;$R113&amp;"|"&amp;COUNTIFS($B$6:$B113,$B113,$A$6:$A113,$A113,$F$6:$F113,$F113,$R$6:$R113,$R113))</f>
        <v/>
      </c>
      <c r="U113" s="32">
        <f>IF($C113="","",$C113&amp;"|"&amp;COUNTIFS($C$6:$C113,$C113))</f>
        <v/>
      </c>
      <c r="V113" s="32">
        <f>IF(OR($C113="",$A113="",$S113=""),"",$C113&amp;"|"&amp;$A113&amp;"|"&amp;$S113)</f>
        <v/>
      </c>
      <c r="W113" s="32">
        <f>IF(OR($C113="",$S113="",$S113=1),"",IFERROR(INDEX($Q$6:$Q$1505,MATCH($C113&amp;"|"&amp;$A113&amp;"|"&amp;($S113-1),$V$6:$V$1505,0)),""))</f>
        <v/>
      </c>
      <c r="X113" s="32">
        <f>IF(OR($W113="",$Q113="",LEFT($Q113,1)="—"),"",IF($W113=$Q113,"ללא שינוי","מ-"&amp;$W113&amp;" ל-"&amp;$Q113))</f>
        <v/>
      </c>
    </row>
    <row r="114" ht="15.75" customHeight="1" s="58">
      <c r="A114" s="65" t="n"/>
      <c r="B114" s="65" t="n"/>
      <c r="C114" s="66" t="n"/>
      <c r="D114" s="66" t="n"/>
      <c r="E114" s="65" t="n"/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32">
        <f>IF($C114="","",IF($J114="","— חסרים נתונים",IF($J114="טרם מפענח","פרופיל 5",IF($J114="קמץ/פתח/חטף-פתח ושוואים","פרופיל 4",IF($J114="2-3 סימני ניקוד","פרופיל 3",IF($J114="4-5 סימני ניקוד","פרופיל 2",IF(AND($O114="משפטים וקטעים קצרים",OR($M114="מבין",$M114="מבין לרוב")),"פרופיל 1","פרופיל 2")))))))</f>
        <v/>
      </c>
      <c r="R114" s="32">
        <f>IF($C114="","",IF(OR($Q114="",LEFT($Q114,1)="—"),"קבוצה רביעית",IF($Q114="פרופיל 5","קבוצת תשתיות",IF(OR($Q114="פרופיל 4",$Q114="פרופיל 3"),"קבוצת רכישה","קבוצת ביסוס"))))</f>
        <v/>
      </c>
      <c r="S114" s="32">
        <f>IF($F114="","",IF($F114="תחילת שנה",1,IF($F114="מחצית שנה",2,3)))</f>
        <v/>
      </c>
      <c r="T114" s="32">
        <f>IF(OR($B114="",$R114="",$A114="",$F114=""),"",$B114&amp;"|"&amp;$A114&amp;"|"&amp;$F114&amp;"|"&amp;$R114&amp;"|"&amp;COUNTIFS($B$6:$B114,$B114,$A$6:$A114,$A114,$F$6:$F114,$F114,$R$6:$R114,$R114))</f>
        <v/>
      </c>
      <c r="U114" s="32">
        <f>IF($C114="","",$C114&amp;"|"&amp;COUNTIFS($C$6:$C114,$C114))</f>
        <v/>
      </c>
      <c r="V114" s="32">
        <f>IF(OR($C114="",$A114="",$S114=""),"",$C114&amp;"|"&amp;$A114&amp;"|"&amp;$S114)</f>
        <v/>
      </c>
      <c r="W114" s="32">
        <f>IF(OR($C114="",$S114="",$S114=1),"",IFERROR(INDEX($Q$6:$Q$1505,MATCH($C114&amp;"|"&amp;$A114&amp;"|"&amp;($S114-1),$V$6:$V$1505,0)),""))</f>
        <v/>
      </c>
      <c r="X114" s="32">
        <f>IF(OR($W114="",$Q114="",LEFT($Q114,1)="—"),"",IF($W114=$Q114,"ללא שינוי","מ-"&amp;$W114&amp;" ל-"&amp;$Q114))</f>
        <v/>
      </c>
    </row>
    <row r="115" ht="15.75" customHeight="1" s="58">
      <c r="A115" s="65" t="n"/>
      <c r="B115" s="65" t="n"/>
      <c r="C115" s="66" t="n"/>
      <c r="D115" s="66" t="n"/>
      <c r="E115" s="65" t="n"/>
      <c r="F115" s="65" t="n"/>
      <c r="G115" s="65" t="n"/>
      <c r="H115" s="65" t="n"/>
      <c r="I115" s="65" t="n"/>
      <c r="J115" s="65" t="n"/>
      <c r="K115" s="65" t="n"/>
      <c r="L115" s="65" t="n"/>
      <c r="M115" s="65" t="n"/>
      <c r="N115" s="65" t="n"/>
      <c r="O115" s="65" t="n"/>
      <c r="P115" s="65" t="n"/>
      <c r="Q115" s="32">
        <f>IF($C115="","",IF($J115="","— חסרים נתונים",IF($J115="טרם מפענח","פרופיל 5",IF($J115="קמץ/פתח/חטף-פתח ושוואים","פרופיל 4",IF($J115="2-3 סימני ניקוד","פרופיל 3",IF($J115="4-5 סימני ניקוד","פרופיל 2",IF(AND($O115="משפטים וקטעים קצרים",OR($M115="מבין",$M115="מבין לרוב")),"פרופיל 1","פרופיל 2")))))))</f>
        <v/>
      </c>
      <c r="R115" s="32">
        <f>IF($C115="","",IF(OR($Q115="",LEFT($Q115,1)="—"),"קבוצה רביעית",IF($Q115="פרופיל 5","קבוצת תשתיות",IF(OR($Q115="פרופיל 4",$Q115="פרופיל 3"),"קבוצת רכישה","קבוצת ביסוס"))))</f>
        <v/>
      </c>
      <c r="S115" s="32">
        <f>IF($F115="","",IF($F115="תחילת שנה",1,IF($F115="מחצית שנה",2,3)))</f>
        <v/>
      </c>
      <c r="T115" s="32">
        <f>IF(OR($B115="",$R115="",$A115="",$F115=""),"",$B115&amp;"|"&amp;$A115&amp;"|"&amp;$F115&amp;"|"&amp;$R115&amp;"|"&amp;COUNTIFS($B$6:$B115,$B115,$A$6:$A115,$A115,$F$6:$F115,$F115,$R$6:$R115,$R115))</f>
        <v/>
      </c>
      <c r="U115" s="32">
        <f>IF($C115="","",$C115&amp;"|"&amp;COUNTIFS($C$6:$C115,$C115))</f>
        <v/>
      </c>
      <c r="V115" s="32">
        <f>IF(OR($C115="",$A115="",$S115=""),"",$C115&amp;"|"&amp;$A115&amp;"|"&amp;$S115)</f>
        <v/>
      </c>
      <c r="W115" s="32">
        <f>IF(OR($C115="",$S115="",$S115=1),"",IFERROR(INDEX($Q$6:$Q$1505,MATCH($C115&amp;"|"&amp;$A115&amp;"|"&amp;($S115-1),$V$6:$V$1505,0)),""))</f>
        <v/>
      </c>
      <c r="X115" s="32">
        <f>IF(OR($W115="",$Q115="",LEFT($Q115,1)="—"),"",IF($W115=$Q115,"ללא שינוי","מ-"&amp;$W115&amp;" ל-"&amp;$Q115))</f>
        <v/>
      </c>
    </row>
    <row r="116" ht="15.75" customHeight="1" s="58">
      <c r="A116" s="65" t="n"/>
      <c r="B116" s="65" t="n"/>
      <c r="C116" s="66" t="n"/>
      <c r="D116" s="66" t="n"/>
      <c r="E116" s="65" t="n"/>
      <c r="F116" s="65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32">
        <f>IF($C116="","",IF($J116="","— חסרים נתונים",IF($J116="טרם מפענח","פרופיל 5",IF($J116="קמץ/פתח/חטף-פתח ושוואים","פרופיל 4",IF($J116="2-3 סימני ניקוד","פרופיל 3",IF($J116="4-5 סימני ניקוד","פרופיל 2",IF(AND($O116="משפטים וקטעים קצרים",OR($M116="מבין",$M116="מבין לרוב")),"פרופיל 1","פרופיל 2")))))))</f>
        <v/>
      </c>
      <c r="R116" s="32">
        <f>IF($C116="","",IF(OR($Q116="",LEFT($Q116,1)="—"),"קבוצה רביעית",IF($Q116="פרופיל 5","קבוצת תשתיות",IF(OR($Q116="פרופיל 4",$Q116="פרופיל 3"),"קבוצת רכישה","קבוצת ביסוס"))))</f>
        <v/>
      </c>
      <c r="S116" s="32">
        <f>IF($F116="","",IF($F116="תחילת שנה",1,IF($F116="מחצית שנה",2,3)))</f>
        <v/>
      </c>
      <c r="T116" s="32">
        <f>IF(OR($B116="",$R116="",$A116="",$F116=""),"",$B116&amp;"|"&amp;$A116&amp;"|"&amp;$F116&amp;"|"&amp;$R116&amp;"|"&amp;COUNTIFS($B$6:$B116,$B116,$A$6:$A116,$A116,$F$6:$F116,$F116,$R$6:$R116,$R116))</f>
        <v/>
      </c>
      <c r="U116" s="32">
        <f>IF($C116="","",$C116&amp;"|"&amp;COUNTIFS($C$6:$C116,$C116))</f>
        <v/>
      </c>
      <c r="V116" s="32">
        <f>IF(OR($C116="",$A116="",$S116=""),"",$C116&amp;"|"&amp;$A116&amp;"|"&amp;$S116)</f>
        <v/>
      </c>
      <c r="W116" s="32">
        <f>IF(OR($C116="",$S116="",$S116=1),"",IFERROR(INDEX($Q$6:$Q$1505,MATCH($C116&amp;"|"&amp;$A116&amp;"|"&amp;($S116-1),$V$6:$V$1505,0)),""))</f>
        <v/>
      </c>
      <c r="X116" s="32">
        <f>IF(OR($W116="",$Q116="",LEFT($Q116,1)="—"),"",IF($W116=$Q116,"ללא שינוי","מ-"&amp;$W116&amp;" ל-"&amp;$Q116))</f>
        <v/>
      </c>
    </row>
    <row r="117" ht="15.75" customHeight="1" s="58">
      <c r="A117" s="65" t="n"/>
      <c r="B117" s="65" t="n"/>
      <c r="C117" s="66" t="n"/>
      <c r="D117" s="66" t="n"/>
      <c r="E117" s="65" t="n"/>
      <c r="F117" s="65" t="n"/>
      <c r="G117" s="65" t="n"/>
      <c r="H117" s="65" t="n"/>
      <c r="I117" s="65" t="n"/>
      <c r="J117" s="65" t="n"/>
      <c r="K117" s="65" t="n"/>
      <c r="L117" s="65" t="n"/>
      <c r="M117" s="65" t="n"/>
      <c r="N117" s="65" t="n"/>
      <c r="O117" s="65" t="n"/>
      <c r="P117" s="65" t="n"/>
      <c r="Q117" s="32">
        <f>IF($C117="","",IF($J117="","— חסרים נתונים",IF($J117="טרם מפענח","פרופיל 5",IF($J117="קמץ/פתח/חטף-פתח ושוואים","פרופיל 4",IF($J117="2-3 סימני ניקוד","פרופיל 3",IF($J117="4-5 סימני ניקוד","פרופיל 2",IF(AND($O117="משפטים וקטעים קצרים",OR($M117="מבין",$M117="מבין לרוב")),"פרופיל 1","פרופיל 2")))))))</f>
        <v/>
      </c>
      <c r="R117" s="32">
        <f>IF($C117="","",IF(OR($Q117="",LEFT($Q117,1)="—"),"קבוצה רביעית",IF($Q117="פרופיל 5","קבוצת תשתיות",IF(OR($Q117="פרופיל 4",$Q117="פרופיל 3"),"קבוצת רכישה","קבוצת ביסוס"))))</f>
        <v/>
      </c>
      <c r="S117" s="32">
        <f>IF($F117="","",IF($F117="תחילת שנה",1,IF($F117="מחצית שנה",2,3)))</f>
        <v/>
      </c>
      <c r="T117" s="32">
        <f>IF(OR($B117="",$R117="",$A117="",$F117=""),"",$B117&amp;"|"&amp;$A117&amp;"|"&amp;$F117&amp;"|"&amp;$R117&amp;"|"&amp;COUNTIFS($B$6:$B117,$B117,$A$6:$A117,$A117,$F$6:$F117,$F117,$R$6:$R117,$R117))</f>
        <v/>
      </c>
      <c r="U117" s="32">
        <f>IF($C117="","",$C117&amp;"|"&amp;COUNTIFS($C$6:$C117,$C117))</f>
        <v/>
      </c>
      <c r="V117" s="32">
        <f>IF(OR($C117="",$A117="",$S117=""),"",$C117&amp;"|"&amp;$A117&amp;"|"&amp;$S117)</f>
        <v/>
      </c>
      <c r="W117" s="32">
        <f>IF(OR($C117="",$S117="",$S117=1),"",IFERROR(INDEX($Q$6:$Q$1505,MATCH($C117&amp;"|"&amp;$A117&amp;"|"&amp;($S117-1),$V$6:$V$1505,0)),""))</f>
        <v/>
      </c>
      <c r="X117" s="32">
        <f>IF(OR($W117="",$Q117="",LEFT($Q117,1)="—"),"",IF($W117=$Q117,"ללא שינוי","מ-"&amp;$W117&amp;" ל-"&amp;$Q117))</f>
        <v/>
      </c>
    </row>
    <row r="118" ht="15.75" customHeight="1" s="58">
      <c r="A118" s="65" t="n"/>
      <c r="B118" s="65" t="n"/>
      <c r="C118" s="66" t="n"/>
      <c r="D118" s="66" t="n"/>
      <c r="E118" s="65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32">
        <f>IF($C118="","",IF($J118="","— חסרים נתונים",IF($J118="טרם מפענח","פרופיל 5",IF($J118="קמץ/פתח/חטף-פתח ושוואים","פרופיל 4",IF($J118="2-3 סימני ניקוד","פרופיל 3",IF($J118="4-5 סימני ניקוד","פרופיל 2",IF(AND($O118="משפטים וקטעים קצרים",OR($M118="מבין",$M118="מבין לרוב")),"פרופיל 1","פרופיל 2")))))))</f>
        <v/>
      </c>
      <c r="R118" s="32">
        <f>IF($C118="","",IF(OR($Q118="",LEFT($Q118,1)="—"),"קבוצה רביעית",IF($Q118="פרופיל 5","קבוצת תשתיות",IF(OR($Q118="פרופיל 4",$Q118="פרופיל 3"),"קבוצת רכישה","קבוצת ביסוס"))))</f>
        <v/>
      </c>
      <c r="S118" s="32">
        <f>IF($F118="","",IF($F118="תחילת שנה",1,IF($F118="מחצית שנה",2,3)))</f>
        <v/>
      </c>
      <c r="T118" s="32">
        <f>IF(OR($B118="",$R118="",$A118="",$F118=""),"",$B118&amp;"|"&amp;$A118&amp;"|"&amp;$F118&amp;"|"&amp;$R118&amp;"|"&amp;COUNTIFS($B$6:$B118,$B118,$A$6:$A118,$A118,$F$6:$F118,$F118,$R$6:$R118,$R118))</f>
        <v/>
      </c>
      <c r="U118" s="32">
        <f>IF($C118="","",$C118&amp;"|"&amp;COUNTIFS($C$6:$C118,$C118))</f>
        <v/>
      </c>
      <c r="V118" s="32">
        <f>IF(OR($C118="",$A118="",$S118=""),"",$C118&amp;"|"&amp;$A118&amp;"|"&amp;$S118)</f>
        <v/>
      </c>
      <c r="W118" s="32">
        <f>IF(OR($C118="",$S118="",$S118=1),"",IFERROR(INDEX($Q$6:$Q$1505,MATCH($C118&amp;"|"&amp;$A118&amp;"|"&amp;($S118-1),$V$6:$V$1505,0)),""))</f>
        <v/>
      </c>
      <c r="X118" s="32">
        <f>IF(OR($W118="",$Q118="",LEFT($Q118,1)="—"),"",IF($W118=$Q118,"ללא שינוי","מ-"&amp;$W118&amp;" ל-"&amp;$Q118))</f>
        <v/>
      </c>
    </row>
    <row r="119" ht="15.75" customHeight="1" s="58">
      <c r="A119" s="65" t="n"/>
      <c r="B119" s="65" t="n"/>
      <c r="C119" s="66" t="n"/>
      <c r="D119" s="66" t="n"/>
      <c r="E119" s="65" t="n"/>
      <c r="F119" s="65" t="n"/>
      <c r="G119" s="65" t="n"/>
      <c r="H119" s="65" t="n"/>
      <c r="I119" s="65" t="n"/>
      <c r="J119" s="65" t="n"/>
      <c r="K119" s="65" t="n"/>
      <c r="L119" s="65" t="n"/>
      <c r="M119" s="65" t="n"/>
      <c r="N119" s="65" t="n"/>
      <c r="O119" s="65" t="n"/>
      <c r="P119" s="65" t="n"/>
      <c r="Q119" s="32">
        <f>IF($C119="","",IF($J119="","— חסרים נתונים",IF($J119="טרם מפענח","פרופיל 5",IF($J119="קמץ/פתח/חטף-פתח ושוואים","פרופיל 4",IF($J119="2-3 סימני ניקוד","פרופיל 3",IF($J119="4-5 סימני ניקוד","פרופיל 2",IF(AND($O119="משפטים וקטעים קצרים",OR($M119="מבין",$M119="מבין לרוב")),"פרופיל 1","פרופיל 2")))))))</f>
        <v/>
      </c>
      <c r="R119" s="32">
        <f>IF($C119="","",IF(OR($Q119="",LEFT($Q119,1)="—"),"קבוצה רביעית",IF($Q119="פרופיל 5","קבוצת תשתיות",IF(OR($Q119="פרופיל 4",$Q119="פרופיל 3"),"קבוצת רכישה","קבוצת ביסוס"))))</f>
        <v/>
      </c>
      <c r="S119" s="32">
        <f>IF($F119="","",IF($F119="תחילת שנה",1,IF($F119="מחצית שנה",2,3)))</f>
        <v/>
      </c>
      <c r="T119" s="32">
        <f>IF(OR($B119="",$R119="",$A119="",$F119=""),"",$B119&amp;"|"&amp;$A119&amp;"|"&amp;$F119&amp;"|"&amp;$R119&amp;"|"&amp;COUNTIFS($B$6:$B119,$B119,$A$6:$A119,$A119,$F$6:$F119,$F119,$R$6:$R119,$R119))</f>
        <v/>
      </c>
      <c r="U119" s="32">
        <f>IF($C119="","",$C119&amp;"|"&amp;COUNTIFS($C$6:$C119,$C119))</f>
        <v/>
      </c>
      <c r="V119" s="32">
        <f>IF(OR($C119="",$A119="",$S119=""),"",$C119&amp;"|"&amp;$A119&amp;"|"&amp;$S119)</f>
        <v/>
      </c>
      <c r="W119" s="32">
        <f>IF(OR($C119="",$S119="",$S119=1),"",IFERROR(INDEX($Q$6:$Q$1505,MATCH($C119&amp;"|"&amp;$A119&amp;"|"&amp;($S119-1),$V$6:$V$1505,0)),""))</f>
        <v/>
      </c>
      <c r="X119" s="32">
        <f>IF(OR($W119="",$Q119="",LEFT($Q119,1)="—"),"",IF($W119=$Q119,"ללא שינוי","מ-"&amp;$W119&amp;" ל-"&amp;$Q119))</f>
        <v/>
      </c>
    </row>
    <row r="120" ht="15.75" customHeight="1" s="58">
      <c r="A120" s="65" t="n"/>
      <c r="B120" s="65" t="n"/>
      <c r="C120" s="66" t="n"/>
      <c r="D120" s="66" t="n"/>
      <c r="E120" s="65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32">
        <f>IF($C120="","",IF($J120="","— חסרים נתונים",IF($J120="טרם מפענח","פרופיל 5",IF($J120="קמץ/פתח/חטף-פתח ושוואים","פרופיל 4",IF($J120="2-3 סימני ניקוד","פרופיל 3",IF($J120="4-5 סימני ניקוד","פרופיל 2",IF(AND($O120="משפטים וקטעים קצרים",OR($M120="מבין",$M120="מבין לרוב")),"פרופיל 1","פרופיל 2")))))))</f>
        <v/>
      </c>
      <c r="R120" s="32">
        <f>IF($C120="","",IF(OR($Q120="",LEFT($Q120,1)="—"),"קבוצה רביעית",IF($Q120="פרופיל 5","קבוצת תשתיות",IF(OR($Q120="פרופיל 4",$Q120="פרופיל 3"),"קבוצת רכישה","קבוצת ביסוס"))))</f>
        <v/>
      </c>
      <c r="S120" s="32">
        <f>IF($F120="","",IF($F120="תחילת שנה",1,IF($F120="מחצית שנה",2,3)))</f>
        <v/>
      </c>
      <c r="T120" s="32">
        <f>IF(OR($B120="",$R120="",$A120="",$F120=""),"",$B120&amp;"|"&amp;$A120&amp;"|"&amp;$F120&amp;"|"&amp;$R120&amp;"|"&amp;COUNTIFS($B$6:$B120,$B120,$A$6:$A120,$A120,$F$6:$F120,$F120,$R$6:$R120,$R120))</f>
        <v/>
      </c>
      <c r="U120" s="32">
        <f>IF($C120="","",$C120&amp;"|"&amp;COUNTIFS($C$6:$C120,$C120))</f>
        <v/>
      </c>
      <c r="V120" s="32">
        <f>IF(OR($C120="",$A120="",$S120=""),"",$C120&amp;"|"&amp;$A120&amp;"|"&amp;$S120)</f>
        <v/>
      </c>
      <c r="W120" s="32">
        <f>IF(OR($C120="",$S120="",$S120=1),"",IFERROR(INDEX($Q$6:$Q$1505,MATCH($C120&amp;"|"&amp;$A120&amp;"|"&amp;($S120-1),$V$6:$V$1505,0)),""))</f>
        <v/>
      </c>
      <c r="X120" s="32">
        <f>IF(OR($W120="",$Q120="",LEFT($Q120,1)="—"),"",IF($W120=$Q120,"ללא שינוי","מ-"&amp;$W120&amp;" ל-"&amp;$Q120))</f>
        <v/>
      </c>
    </row>
    <row r="121" ht="15.75" customHeight="1" s="58">
      <c r="A121" s="65" t="n"/>
      <c r="B121" s="65" t="n"/>
      <c r="C121" s="66" t="n"/>
      <c r="D121" s="66" t="n"/>
      <c r="E121" s="65" t="n"/>
      <c r="F121" s="65" t="n"/>
      <c r="G121" s="65" t="n"/>
      <c r="H121" s="65" t="n"/>
      <c r="I121" s="65" t="n"/>
      <c r="J121" s="65" t="n"/>
      <c r="K121" s="65" t="n"/>
      <c r="L121" s="65" t="n"/>
      <c r="M121" s="65" t="n"/>
      <c r="N121" s="65" t="n"/>
      <c r="O121" s="65" t="n"/>
      <c r="P121" s="65" t="n"/>
      <c r="Q121" s="32">
        <f>IF($C121="","",IF($J121="","— חסרים נתונים",IF($J121="טרם מפענח","פרופיל 5",IF($J121="קמץ/פתח/חטף-פתח ושוואים","פרופיל 4",IF($J121="2-3 סימני ניקוד","פרופיל 3",IF($J121="4-5 סימני ניקוד","פרופיל 2",IF(AND($O121="משפטים וקטעים קצרים",OR($M121="מבין",$M121="מבין לרוב")),"פרופיל 1","פרופיל 2")))))))</f>
        <v/>
      </c>
      <c r="R121" s="32">
        <f>IF($C121="","",IF(OR($Q121="",LEFT($Q121,1)="—"),"קבוצה רביעית",IF($Q121="פרופיל 5","קבוצת תשתיות",IF(OR($Q121="פרופיל 4",$Q121="פרופיל 3"),"קבוצת רכישה","קבוצת ביסוס"))))</f>
        <v/>
      </c>
      <c r="S121" s="32">
        <f>IF($F121="","",IF($F121="תחילת שנה",1,IF($F121="מחצית שנה",2,3)))</f>
        <v/>
      </c>
      <c r="T121" s="32">
        <f>IF(OR($B121="",$R121="",$A121="",$F121=""),"",$B121&amp;"|"&amp;$A121&amp;"|"&amp;$F121&amp;"|"&amp;$R121&amp;"|"&amp;COUNTIFS($B$6:$B121,$B121,$A$6:$A121,$A121,$F$6:$F121,$F121,$R$6:$R121,$R121))</f>
        <v/>
      </c>
      <c r="U121" s="32">
        <f>IF($C121="","",$C121&amp;"|"&amp;COUNTIFS($C$6:$C121,$C121))</f>
        <v/>
      </c>
      <c r="V121" s="32">
        <f>IF(OR($C121="",$A121="",$S121=""),"",$C121&amp;"|"&amp;$A121&amp;"|"&amp;$S121)</f>
        <v/>
      </c>
      <c r="W121" s="32">
        <f>IF(OR($C121="",$S121="",$S121=1),"",IFERROR(INDEX($Q$6:$Q$1505,MATCH($C121&amp;"|"&amp;$A121&amp;"|"&amp;($S121-1),$V$6:$V$1505,0)),""))</f>
        <v/>
      </c>
      <c r="X121" s="32">
        <f>IF(OR($W121="",$Q121="",LEFT($Q121,1)="—"),"",IF($W121=$Q121,"ללא שינוי","מ-"&amp;$W121&amp;" ל-"&amp;$Q121))</f>
        <v/>
      </c>
    </row>
    <row r="122" ht="15.75" customHeight="1" s="58">
      <c r="A122" s="65" t="n"/>
      <c r="B122" s="65" t="n"/>
      <c r="C122" s="66" t="n"/>
      <c r="D122" s="66" t="n"/>
      <c r="E122" s="65" t="n"/>
      <c r="F122" s="65" t="n"/>
      <c r="G122" s="65" t="n"/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32">
        <f>IF($C122="","",IF($J122="","— חסרים נתונים",IF($J122="טרם מפענח","פרופיל 5",IF($J122="קמץ/פתח/חטף-פתח ושוואים","פרופיל 4",IF($J122="2-3 סימני ניקוד","פרופיל 3",IF($J122="4-5 סימני ניקוד","פרופיל 2",IF(AND($O122="משפטים וקטעים קצרים",OR($M122="מבין",$M122="מבין לרוב")),"פרופיל 1","פרופיל 2")))))))</f>
        <v/>
      </c>
      <c r="R122" s="32">
        <f>IF($C122="","",IF(OR($Q122="",LEFT($Q122,1)="—"),"קבוצה רביעית",IF($Q122="פרופיל 5","קבוצת תשתיות",IF(OR($Q122="פרופיל 4",$Q122="פרופיל 3"),"קבוצת רכישה","קבוצת ביסוס"))))</f>
        <v/>
      </c>
      <c r="S122" s="32">
        <f>IF($F122="","",IF($F122="תחילת שנה",1,IF($F122="מחצית שנה",2,3)))</f>
        <v/>
      </c>
      <c r="T122" s="32">
        <f>IF(OR($B122="",$R122="",$A122="",$F122=""),"",$B122&amp;"|"&amp;$A122&amp;"|"&amp;$F122&amp;"|"&amp;$R122&amp;"|"&amp;COUNTIFS($B$6:$B122,$B122,$A$6:$A122,$A122,$F$6:$F122,$F122,$R$6:$R122,$R122))</f>
        <v/>
      </c>
      <c r="U122" s="32">
        <f>IF($C122="","",$C122&amp;"|"&amp;COUNTIFS($C$6:$C122,$C122))</f>
        <v/>
      </c>
      <c r="V122" s="32">
        <f>IF(OR($C122="",$A122="",$S122=""),"",$C122&amp;"|"&amp;$A122&amp;"|"&amp;$S122)</f>
        <v/>
      </c>
      <c r="W122" s="32">
        <f>IF(OR($C122="",$S122="",$S122=1),"",IFERROR(INDEX($Q$6:$Q$1505,MATCH($C122&amp;"|"&amp;$A122&amp;"|"&amp;($S122-1),$V$6:$V$1505,0)),""))</f>
        <v/>
      </c>
      <c r="X122" s="32">
        <f>IF(OR($W122="",$Q122="",LEFT($Q122,1)="—"),"",IF($W122=$Q122,"ללא שינוי","מ-"&amp;$W122&amp;" ל-"&amp;$Q122))</f>
        <v/>
      </c>
    </row>
    <row r="123" ht="15.75" customHeight="1" s="58">
      <c r="A123" s="65" t="n"/>
      <c r="B123" s="65" t="n"/>
      <c r="C123" s="66" t="n"/>
      <c r="D123" s="66" t="n"/>
      <c r="E123" s="65" t="n"/>
      <c r="F123" s="65" t="n"/>
      <c r="G123" s="65" t="n"/>
      <c r="H123" s="65" t="n"/>
      <c r="I123" s="65" t="n"/>
      <c r="J123" s="65" t="n"/>
      <c r="K123" s="65" t="n"/>
      <c r="L123" s="65" t="n"/>
      <c r="M123" s="65" t="n"/>
      <c r="N123" s="65" t="n"/>
      <c r="O123" s="65" t="n"/>
      <c r="P123" s="65" t="n"/>
      <c r="Q123" s="32">
        <f>IF($C123="","",IF($J123="","— חסרים נתונים",IF($J123="טרם מפענח","פרופיל 5",IF($J123="קמץ/פתח/חטף-פתח ושוואים","פרופיל 4",IF($J123="2-3 סימני ניקוד","פרופיל 3",IF($J123="4-5 סימני ניקוד","פרופיל 2",IF(AND($O123="משפטים וקטעים קצרים",OR($M123="מבין",$M123="מבין לרוב")),"פרופיל 1","פרופיל 2")))))))</f>
        <v/>
      </c>
      <c r="R123" s="32">
        <f>IF($C123="","",IF(OR($Q123="",LEFT($Q123,1)="—"),"קבוצה רביעית",IF($Q123="פרופיל 5","קבוצת תשתיות",IF(OR($Q123="פרופיל 4",$Q123="פרופיל 3"),"קבוצת רכישה","קבוצת ביסוס"))))</f>
        <v/>
      </c>
      <c r="S123" s="32">
        <f>IF($F123="","",IF($F123="תחילת שנה",1,IF($F123="מחצית שנה",2,3)))</f>
        <v/>
      </c>
      <c r="T123" s="32">
        <f>IF(OR($B123="",$R123="",$A123="",$F123=""),"",$B123&amp;"|"&amp;$A123&amp;"|"&amp;$F123&amp;"|"&amp;$R123&amp;"|"&amp;COUNTIFS($B$6:$B123,$B123,$A$6:$A123,$A123,$F$6:$F123,$F123,$R$6:$R123,$R123))</f>
        <v/>
      </c>
      <c r="U123" s="32">
        <f>IF($C123="","",$C123&amp;"|"&amp;COUNTIFS($C$6:$C123,$C123))</f>
        <v/>
      </c>
      <c r="V123" s="32">
        <f>IF(OR($C123="",$A123="",$S123=""),"",$C123&amp;"|"&amp;$A123&amp;"|"&amp;$S123)</f>
        <v/>
      </c>
      <c r="W123" s="32">
        <f>IF(OR($C123="",$S123="",$S123=1),"",IFERROR(INDEX($Q$6:$Q$1505,MATCH($C123&amp;"|"&amp;$A123&amp;"|"&amp;($S123-1),$V$6:$V$1505,0)),""))</f>
        <v/>
      </c>
      <c r="X123" s="32">
        <f>IF(OR($W123="",$Q123="",LEFT($Q123,1)="—"),"",IF($W123=$Q123,"ללא שינוי","מ-"&amp;$W123&amp;" ל-"&amp;$Q123))</f>
        <v/>
      </c>
    </row>
    <row r="124" ht="15.75" customHeight="1" s="58">
      <c r="A124" s="65" t="n"/>
      <c r="B124" s="65" t="n"/>
      <c r="C124" s="66" t="n"/>
      <c r="D124" s="66" t="n"/>
      <c r="E124" s="65" t="n"/>
      <c r="F124" s="65" t="n"/>
      <c r="G124" s="65" t="n"/>
      <c r="H124" s="65" t="n"/>
      <c r="I124" s="65" t="n"/>
      <c r="J124" s="65" t="n"/>
      <c r="K124" s="65" t="n"/>
      <c r="L124" s="65" t="n"/>
      <c r="M124" s="65" t="n"/>
      <c r="N124" s="65" t="n"/>
      <c r="O124" s="65" t="n"/>
      <c r="P124" s="65" t="n"/>
      <c r="Q124" s="32">
        <f>IF($C124="","",IF($J124="","— חסרים נתונים",IF($J124="טרם מפענח","פרופיל 5",IF($J124="קמץ/פתח/חטף-פתח ושוואים","פרופיל 4",IF($J124="2-3 סימני ניקוד","פרופיל 3",IF($J124="4-5 סימני ניקוד","פרופיל 2",IF(AND($O124="משפטים וקטעים קצרים",OR($M124="מבין",$M124="מבין לרוב")),"פרופיל 1","פרופיל 2")))))))</f>
        <v/>
      </c>
      <c r="R124" s="32">
        <f>IF($C124="","",IF(OR($Q124="",LEFT($Q124,1)="—"),"קבוצה רביעית",IF($Q124="פרופיל 5","קבוצת תשתיות",IF(OR($Q124="פרופיל 4",$Q124="פרופיל 3"),"קבוצת רכישה","קבוצת ביסוס"))))</f>
        <v/>
      </c>
      <c r="S124" s="32">
        <f>IF($F124="","",IF($F124="תחילת שנה",1,IF($F124="מחצית שנה",2,3)))</f>
        <v/>
      </c>
      <c r="T124" s="32">
        <f>IF(OR($B124="",$R124="",$A124="",$F124=""),"",$B124&amp;"|"&amp;$A124&amp;"|"&amp;$F124&amp;"|"&amp;$R124&amp;"|"&amp;COUNTIFS($B$6:$B124,$B124,$A$6:$A124,$A124,$F$6:$F124,$F124,$R$6:$R124,$R124))</f>
        <v/>
      </c>
      <c r="U124" s="32">
        <f>IF($C124="","",$C124&amp;"|"&amp;COUNTIFS($C$6:$C124,$C124))</f>
        <v/>
      </c>
      <c r="V124" s="32">
        <f>IF(OR($C124="",$A124="",$S124=""),"",$C124&amp;"|"&amp;$A124&amp;"|"&amp;$S124)</f>
        <v/>
      </c>
      <c r="W124" s="32">
        <f>IF(OR($C124="",$S124="",$S124=1),"",IFERROR(INDEX($Q$6:$Q$1505,MATCH($C124&amp;"|"&amp;$A124&amp;"|"&amp;($S124-1),$V$6:$V$1505,0)),""))</f>
        <v/>
      </c>
      <c r="X124" s="32">
        <f>IF(OR($W124="",$Q124="",LEFT($Q124,1)="—"),"",IF($W124=$Q124,"ללא שינוי","מ-"&amp;$W124&amp;" ל-"&amp;$Q124))</f>
        <v/>
      </c>
    </row>
    <row r="125" ht="15.75" customHeight="1" s="58">
      <c r="A125" s="65" t="n"/>
      <c r="B125" s="65" t="n"/>
      <c r="C125" s="66" t="n"/>
      <c r="D125" s="66" t="n"/>
      <c r="E125" s="65" t="n"/>
      <c r="F125" s="65" t="n"/>
      <c r="G125" s="65" t="n"/>
      <c r="H125" s="65" t="n"/>
      <c r="I125" s="65" t="n"/>
      <c r="J125" s="65" t="n"/>
      <c r="K125" s="65" t="n"/>
      <c r="L125" s="65" t="n"/>
      <c r="M125" s="65" t="n"/>
      <c r="N125" s="65" t="n"/>
      <c r="O125" s="65" t="n"/>
      <c r="P125" s="65" t="n"/>
      <c r="Q125" s="32">
        <f>IF($C125="","",IF($J125="","— חסרים נתונים",IF($J125="טרם מפענח","פרופיל 5",IF($J125="קמץ/פתח/חטף-פתח ושוואים","פרופיל 4",IF($J125="2-3 סימני ניקוד","פרופיל 3",IF($J125="4-5 סימני ניקוד","פרופיל 2",IF(AND($O125="משפטים וקטעים קצרים",OR($M125="מבין",$M125="מבין לרוב")),"פרופיל 1","פרופיל 2")))))))</f>
        <v/>
      </c>
      <c r="R125" s="32">
        <f>IF($C125="","",IF(OR($Q125="",LEFT($Q125,1)="—"),"קבוצה רביעית",IF($Q125="פרופיל 5","קבוצת תשתיות",IF(OR($Q125="פרופיל 4",$Q125="פרופיל 3"),"קבוצת רכישה","קבוצת ביסוס"))))</f>
        <v/>
      </c>
      <c r="S125" s="32">
        <f>IF($F125="","",IF($F125="תחילת שנה",1,IF($F125="מחצית שנה",2,3)))</f>
        <v/>
      </c>
      <c r="T125" s="32">
        <f>IF(OR($B125="",$R125="",$A125="",$F125=""),"",$B125&amp;"|"&amp;$A125&amp;"|"&amp;$F125&amp;"|"&amp;$R125&amp;"|"&amp;COUNTIFS($B$6:$B125,$B125,$A$6:$A125,$A125,$F$6:$F125,$F125,$R$6:$R125,$R125))</f>
        <v/>
      </c>
      <c r="U125" s="32">
        <f>IF($C125="","",$C125&amp;"|"&amp;COUNTIFS($C$6:$C125,$C125))</f>
        <v/>
      </c>
      <c r="V125" s="32">
        <f>IF(OR($C125="",$A125="",$S125=""),"",$C125&amp;"|"&amp;$A125&amp;"|"&amp;$S125)</f>
        <v/>
      </c>
      <c r="W125" s="32">
        <f>IF(OR($C125="",$S125="",$S125=1),"",IFERROR(INDEX($Q$6:$Q$1505,MATCH($C125&amp;"|"&amp;$A125&amp;"|"&amp;($S125-1),$V$6:$V$1505,0)),""))</f>
        <v/>
      </c>
      <c r="X125" s="32">
        <f>IF(OR($W125="",$Q125="",LEFT($Q125,1)="—"),"",IF($W125=$Q125,"ללא שינוי","מ-"&amp;$W125&amp;" ל-"&amp;$Q125))</f>
        <v/>
      </c>
    </row>
    <row r="126" ht="15.75" customHeight="1" s="58">
      <c r="A126" s="65" t="n"/>
      <c r="B126" s="65" t="n"/>
      <c r="C126" s="66" t="n"/>
      <c r="D126" s="66" t="n"/>
      <c r="E126" s="65" t="n"/>
      <c r="F126" s="65" t="n"/>
      <c r="G126" s="65" t="n"/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32">
        <f>IF($C126="","",IF($J126="","— חסרים נתונים",IF($J126="טרם מפענח","פרופיל 5",IF($J126="קמץ/פתח/חטף-פתח ושוואים","פרופיל 4",IF($J126="2-3 סימני ניקוד","פרופיל 3",IF($J126="4-5 סימני ניקוד","פרופיל 2",IF(AND($O126="משפטים וקטעים קצרים",OR($M126="מבין",$M126="מבין לרוב")),"פרופיל 1","פרופיל 2")))))))</f>
        <v/>
      </c>
      <c r="R126" s="32">
        <f>IF($C126="","",IF(OR($Q126="",LEFT($Q126,1)="—"),"קבוצה רביעית",IF($Q126="פרופיל 5","קבוצת תשתיות",IF(OR($Q126="פרופיל 4",$Q126="פרופיל 3"),"קבוצת רכישה","קבוצת ביסוס"))))</f>
        <v/>
      </c>
      <c r="S126" s="32">
        <f>IF($F126="","",IF($F126="תחילת שנה",1,IF($F126="מחצית שנה",2,3)))</f>
        <v/>
      </c>
      <c r="T126" s="32">
        <f>IF(OR($B126="",$R126="",$A126="",$F126=""),"",$B126&amp;"|"&amp;$A126&amp;"|"&amp;$F126&amp;"|"&amp;$R126&amp;"|"&amp;COUNTIFS($B$6:$B126,$B126,$A$6:$A126,$A126,$F$6:$F126,$F126,$R$6:$R126,$R126))</f>
        <v/>
      </c>
      <c r="U126" s="32">
        <f>IF($C126="","",$C126&amp;"|"&amp;COUNTIFS($C$6:$C126,$C126))</f>
        <v/>
      </c>
      <c r="V126" s="32">
        <f>IF(OR($C126="",$A126="",$S126=""),"",$C126&amp;"|"&amp;$A126&amp;"|"&amp;$S126)</f>
        <v/>
      </c>
      <c r="W126" s="32">
        <f>IF(OR($C126="",$S126="",$S126=1),"",IFERROR(INDEX($Q$6:$Q$1505,MATCH($C126&amp;"|"&amp;$A126&amp;"|"&amp;($S126-1),$V$6:$V$1505,0)),""))</f>
        <v/>
      </c>
      <c r="X126" s="32">
        <f>IF(OR($W126="",$Q126="",LEFT($Q126,1)="—"),"",IF($W126=$Q126,"ללא שינוי","מ-"&amp;$W126&amp;" ל-"&amp;$Q126))</f>
        <v/>
      </c>
    </row>
    <row r="127" ht="15.75" customHeight="1" s="58">
      <c r="A127" s="65" t="n"/>
      <c r="B127" s="65" t="n"/>
      <c r="C127" s="66" t="n"/>
      <c r="D127" s="66" t="n"/>
      <c r="E127" s="65" t="n"/>
      <c r="F127" s="65" t="n"/>
      <c r="G127" s="65" t="n"/>
      <c r="H127" s="65" t="n"/>
      <c r="I127" s="65" t="n"/>
      <c r="J127" s="65" t="n"/>
      <c r="K127" s="65" t="n"/>
      <c r="L127" s="65" t="n"/>
      <c r="M127" s="65" t="n"/>
      <c r="N127" s="65" t="n"/>
      <c r="O127" s="65" t="n"/>
      <c r="P127" s="65" t="n"/>
      <c r="Q127" s="32">
        <f>IF($C127="","",IF($J127="","— חסרים נתונים",IF($J127="טרם מפענח","פרופיל 5",IF($J127="קמץ/פתח/חטף-פתח ושוואים","פרופיל 4",IF($J127="2-3 סימני ניקוד","פרופיל 3",IF($J127="4-5 סימני ניקוד","פרופיל 2",IF(AND($O127="משפטים וקטעים קצרים",OR($M127="מבין",$M127="מבין לרוב")),"פרופיל 1","פרופיל 2")))))))</f>
        <v/>
      </c>
      <c r="R127" s="32">
        <f>IF($C127="","",IF(OR($Q127="",LEFT($Q127,1)="—"),"קבוצה רביעית",IF($Q127="פרופיל 5","קבוצת תשתיות",IF(OR($Q127="פרופיל 4",$Q127="פרופיל 3"),"קבוצת רכישה","קבוצת ביסוס"))))</f>
        <v/>
      </c>
      <c r="S127" s="32">
        <f>IF($F127="","",IF($F127="תחילת שנה",1,IF($F127="מחצית שנה",2,3)))</f>
        <v/>
      </c>
      <c r="T127" s="32">
        <f>IF(OR($B127="",$R127="",$A127="",$F127=""),"",$B127&amp;"|"&amp;$A127&amp;"|"&amp;$F127&amp;"|"&amp;$R127&amp;"|"&amp;COUNTIFS($B$6:$B127,$B127,$A$6:$A127,$A127,$F$6:$F127,$F127,$R$6:$R127,$R127))</f>
        <v/>
      </c>
      <c r="U127" s="32">
        <f>IF($C127="","",$C127&amp;"|"&amp;COUNTIFS($C$6:$C127,$C127))</f>
        <v/>
      </c>
      <c r="V127" s="32">
        <f>IF(OR($C127="",$A127="",$S127=""),"",$C127&amp;"|"&amp;$A127&amp;"|"&amp;$S127)</f>
        <v/>
      </c>
      <c r="W127" s="32">
        <f>IF(OR($C127="",$S127="",$S127=1),"",IFERROR(INDEX($Q$6:$Q$1505,MATCH($C127&amp;"|"&amp;$A127&amp;"|"&amp;($S127-1),$V$6:$V$1505,0)),""))</f>
        <v/>
      </c>
      <c r="X127" s="32">
        <f>IF(OR($W127="",$Q127="",LEFT($Q127,1)="—"),"",IF($W127=$Q127,"ללא שינוי","מ-"&amp;$W127&amp;" ל-"&amp;$Q127))</f>
        <v/>
      </c>
    </row>
    <row r="128" ht="15.75" customHeight="1" s="58">
      <c r="A128" s="65" t="n"/>
      <c r="B128" s="65" t="n"/>
      <c r="C128" s="66" t="n"/>
      <c r="D128" s="66" t="n"/>
      <c r="E128" s="65" t="n"/>
      <c r="F128" s="65" t="n"/>
      <c r="G128" s="65" t="n"/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32">
        <f>IF($C128="","",IF($J128="","— חסרים נתונים",IF($J128="טרם מפענח","פרופיל 5",IF($J128="קמץ/פתח/חטף-פתח ושוואים","פרופיל 4",IF($J128="2-3 סימני ניקוד","פרופיל 3",IF($J128="4-5 סימני ניקוד","פרופיל 2",IF(AND($O128="משפטים וקטעים קצרים",OR($M128="מבין",$M128="מבין לרוב")),"פרופיל 1","פרופיל 2")))))))</f>
        <v/>
      </c>
      <c r="R128" s="32">
        <f>IF($C128="","",IF(OR($Q128="",LEFT($Q128,1)="—"),"קבוצה רביעית",IF($Q128="פרופיל 5","קבוצת תשתיות",IF(OR($Q128="פרופיל 4",$Q128="פרופיל 3"),"קבוצת רכישה","קבוצת ביסוס"))))</f>
        <v/>
      </c>
      <c r="S128" s="32">
        <f>IF($F128="","",IF($F128="תחילת שנה",1,IF($F128="מחצית שנה",2,3)))</f>
        <v/>
      </c>
      <c r="T128" s="32">
        <f>IF(OR($B128="",$R128="",$A128="",$F128=""),"",$B128&amp;"|"&amp;$A128&amp;"|"&amp;$F128&amp;"|"&amp;$R128&amp;"|"&amp;COUNTIFS($B$6:$B128,$B128,$A$6:$A128,$A128,$F$6:$F128,$F128,$R$6:$R128,$R128))</f>
        <v/>
      </c>
      <c r="U128" s="32">
        <f>IF($C128="","",$C128&amp;"|"&amp;COUNTIFS($C$6:$C128,$C128))</f>
        <v/>
      </c>
      <c r="V128" s="32">
        <f>IF(OR($C128="",$A128="",$S128=""),"",$C128&amp;"|"&amp;$A128&amp;"|"&amp;$S128)</f>
        <v/>
      </c>
      <c r="W128" s="32">
        <f>IF(OR($C128="",$S128="",$S128=1),"",IFERROR(INDEX($Q$6:$Q$1505,MATCH($C128&amp;"|"&amp;$A128&amp;"|"&amp;($S128-1),$V$6:$V$1505,0)),""))</f>
        <v/>
      </c>
      <c r="X128" s="32">
        <f>IF(OR($W128="",$Q128="",LEFT($Q128,1)="—"),"",IF($W128=$Q128,"ללא שינוי","מ-"&amp;$W128&amp;" ל-"&amp;$Q128))</f>
        <v/>
      </c>
    </row>
    <row r="129" ht="15.75" customHeight="1" s="58">
      <c r="A129" s="65" t="n"/>
      <c r="B129" s="65" t="n"/>
      <c r="C129" s="66" t="n"/>
      <c r="D129" s="66" t="n"/>
      <c r="E129" s="65" t="n"/>
      <c r="F129" s="65" t="n"/>
      <c r="G129" s="65" t="n"/>
      <c r="H129" s="65" t="n"/>
      <c r="I129" s="65" t="n"/>
      <c r="J129" s="65" t="n"/>
      <c r="K129" s="65" t="n"/>
      <c r="L129" s="65" t="n"/>
      <c r="M129" s="65" t="n"/>
      <c r="N129" s="65" t="n"/>
      <c r="O129" s="65" t="n"/>
      <c r="P129" s="65" t="n"/>
      <c r="Q129" s="32">
        <f>IF($C129="","",IF($J129="","— חסרים נתונים",IF($J129="טרם מפענח","פרופיל 5",IF($J129="קמץ/פתח/חטף-פתח ושוואים","פרופיל 4",IF($J129="2-3 סימני ניקוד","פרופיל 3",IF($J129="4-5 סימני ניקוד","פרופיל 2",IF(AND($O129="משפטים וקטעים קצרים",OR($M129="מבין",$M129="מבין לרוב")),"פרופיל 1","פרופיל 2")))))))</f>
        <v/>
      </c>
      <c r="R129" s="32">
        <f>IF($C129="","",IF(OR($Q129="",LEFT($Q129,1)="—"),"קבוצה רביעית",IF($Q129="פרופיל 5","קבוצת תשתיות",IF(OR($Q129="פרופיל 4",$Q129="פרופיל 3"),"קבוצת רכישה","קבוצת ביסוס"))))</f>
        <v/>
      </c>
      <c r="S129" s="32">
        <f>IF($F129="","",IF($F129="תחילת שנה",1,IF($F129="מחצית שנה",2,3)))</f>
        <v/>
      </c>
      <c r="T129" s="32">
        <f>IF(OR($B129="",$R129="",$A129="",$F129=""),"",$B129&amp;"|"&amp;$A129&amp;"|"&amp;$F129&amp;"|"&amp;$R129&amp;"|"&amp;COUNTIFS($B$6:$B129,$B129,$A$6:$A129,$A129,$F$6:$F129,$F129,$R$6:$R129,$R129))</f>
        <v/>
      </c>
      <c r="U129" s="32">
        <f>IF($C129="","",$C129&amp;"|"&amp;COUNTIFS($C$6:$C129,$C129))</f>
        <v/>
      </c>
      <c r="V129" s="32">
        <f>IF(OR($C129="",$A129="",$S129=""),"",$C129&amp;"|"&amp;$A129&amp;"|"&amp;$S129)</f>
        <v/>
      </c>
      <c r="W129" s="32">
        <f>IF(OR($C129="",$S129="",$S129=1),"",IFERROR(INDEX($Q$6:$Q$1505,MATCH($C129&amp;"|"&amp;$A129&amp;"|"&amp;($S129-1),$V$6:$V$1505,0)),""))</f>
        <v/>
      </c>
      <c r="X129" s="32">
        <f>IF(OR($W129="",$Q129="",LEFT($Q129,1)="—"),"",IF($W129=$Q129,"ללא שינוי","מ-"&amp;$W129&amp;" ל-"&amp;$Q129))</f>
        <v/>
      </c>
    </row>
    <row r="130" ht="15.75" customHeight="1" s="58">
      <c r="A130" s="65" t="n"/>
      <c r="B130" s="65" t="n"/>
      <c r="C130" s="66" t="n"/>
      <c r="D130" s="66" t="n"/>
      <c r="E130" s="65" t="n"/>
      <c r="F130" s="65" t="n"/>
      <c r="G130" s="65" t="n"/>
      <c r="H130" s="65" t="n"/>
      <c r="I130" s="65" t="n"/>
      <c r="J130" s="65" t="n"/>
      <c r="K130" s="65" t="n"/>
      <c r="L130" s="65" t="n"/>
      <c r="M130" s="65" t="n"/>
      <c r="N130" s="65" t="n"/>
      <c r="O130" s="65" t="n"/>
      <c r="P130" s="65" t="n"/>
      <c r="Q130" s="32">
        <f>IF($C130="","",IF($J130="","— חסרים נתונים",IF($J130="טרם מפענח","פרופיל 5",IF($J130="קמץ/פתח/חטף-פתח ושוואים","פרופיל 4",IF($J130="2-3 סימני ניקוד","פרופיל 3",IF($J130="4-5 סימני ניקוד","פרופיל 2",IF(AND($O130="משפטים וקטעים קצרים",OR($M130="מבין",$M130="מבין לרוב")),"פרופיל 1","פרופיל 2")))))))</f>
        <v/>
      </c>
      <c r="R130" s="32">
        <f>IF($C130="","",IF(OR($Q130="",LEFT($Q130,1)="—"),"קבוצה רביעית",IF($Q130="פרופיל 5","קבוצת תשתיות",IF(OR($Q130="פרופיל 4",$Q130="פרופיל 3"),"קבוצת רכישה","קבוצת ביסוס"))))</f>
        <v/>
      </c>
      <c r="S130" s="32">
        <f>IF($F130="","",IF($F130="תחילת שנה",1,IF($F130="מחצית שנה",2,3)))</f>
        <v/>
      </c>
      <c r="T130" s="32">
        <f>IF(OR($B130="",$R130="",$A130="",$F130=""),"",$B130&amp;"|"&amp;$A130&amp;"|"&amp;$F130&amp;"|"&amp;$R130&amp;"|"&amp;COUNTIFS($B$6:$B130,$B130,$A$6:$A130,$A130,$F$6:$F130,$F130,$R$6:$R130,$R130))</f>
        <v/>
      </c>
      <c r="U130" s="32">
        <f>IF($C130="","",$C130&amp;"|"&amp;COUNTIFS($C$6:$C130,$C130))</f>
        <v/>
      </c>
      <c r="V130" s="32">
        <f>IF(OR($C130="",$A130="",$S130=""),"",$C130&amp;"|"&amp;$A130&amp;"|"&amp;$S130)</f>
        <v/>
      </c>
      <c r="W130" s="32">
        <f>IF(OR($C130="",$S130="",$S130=1),"",IFERROR(INDEX($Q$6:$Q$1505,MATCH($C130&amp;"|"&amp;$A130&amp;"|"&amp;($S130-1),$V$6:$V$1505,0)),""))</f>
        <v/>
      </c>
      <c r="X130" s="32">
        <f>IF(OR($W130="",$Q130="",LEFT($Q130,1)="—"),"",IF($W130=$Q130,"ללא שינוי","מ-"&amp;$W130&amp;" ל-"&amp;$Q130))</f>
        <v/>
      </c>
    </row>
    <row r="131" ht="15.75" customHeight="1" s="58">
      <c r="A131" s="65" t="n"/>
      <c r="B131" s="65" t="n"/>
      <c r="C131" s="66" t="n"/>
      <c r="D131" s="66" t="n"/>
      <c r="E131" s="65" t="n"/>
      <c r="F131" s="65" t="n"/>
      <c r="G131" s="65" t="n"/>
      <c r="H131" s="65" t="n"/>
      <c r="I131" s="65" t="n"/>
      <c r="J131" s="65" t="n"/>
      <c r="K131" s="65" t="n"/>
      <c r="L131" s="65" t="n"/>
      <c r="M131" s="65" t="n"/>
      <c r="N131" s="65" t="n"/>
      <c r="O131" s="65" t="n"/>
      <c r="P131" s="65" t="n"/>
      <c r="Q131" s="32">
        <f>IF($C131="","",IF($J131="","— חסרים נתונים",IF($J131="טרם מפענח","פרופיל 5",IF($J131="קמץ/פתח/חטף-פתח ושוואים","פרופיל 4",IF($J131="2-3 סימני ניקוד","פרופיל 3",IF($J131="4-5 סימני ניקוד","פרופיל 2",IF(AND($O131="משפטים וקטעים קצרים",OR($M131="מבין",$M131="מבין לרוב")),"פרופיל 1","פרופיל 2")))))))</f>
        <v/>
      </c>
      <c r="R131" s="32">
        <f>IF($C131="","",IF(OR($Q131="",LEFT($Q131,1)="—"),"קבוצה רביעית",IF($Q131="פרופיל 5","קבוצת תשתיות",IF(OR($Q131="פרופיל 4",$Q131="פרופיל 3"),"קבוצת רכישה","קבוצת ביסוס"))))</f>
        <v/>
      </c>
      <c r="S131" s="32">
        <f>IF($F131="","",IF($F131="תחילת שנה",1,IF($F131="מחצית שנה",2,3)))</f>
        <v/>
      </c>
      <c r="T131" s="32">
        <f>IF(OR($B131="",$R131="",$A131="",$F131=""),"",$B131&amp;"|"&amp;$A131&amp;"|"&amp;$F131&amp;"|"&amp;$R131&amp;"|"&amp;COUNTIFS($B$6:$B131,$B131,$A$6:$A131,$A131,$F$6:$F131,$F131,$R$6:$R131,$R131))</f>
        <v/>
      </c>
      <c r="U131" s="32">
        <f>IF($C131="","",$C131&amp;"|"&amp;COUNTIFS($C$6:$C131,$C131))</f>
        <v/>
      </c>
      <c r="V131" s="32">
        <f>IF(OR($C131="",$A131="",$S131=""),"",$C131&amp;"|"&amp;$A131&amp;"|"&amp;$S131)</f>
        <v/>
      </c>
      <c r="W131" s="32">
        <f>IF(OR($C131="",$S131="",$S131=1),"",IFERROR(INDEX($Q$6:$Q$1505,MATCH($C131&amp;"|"&amp;$A131&amp;"|"&amp;($S131-1),$V$6:$V$1505,0)),""))</f>
        <v/>
      </c>
      <c r="X131" s="32">
        <f>IF(OR($W131="",$Q131="",LEFT($Q131,1)="—"),"",IF($W131=$Q131,"ללא שינוי","מ-"&amp;$W131&amp;" ל-"&amp;$Q131))</f>
        <v/>
      </c>
    </row>
    <row r="132" ht="15.75" customHeight="1" s="58">
      <c r="A132" s="65" t="n"/>
      <c r="B132" s="65" t="n"/>
      <c r="C132" s="66" t="n"/>
      <c r="D132" s="66" t="n"/>
      <c r="E132" s="65" t="n"/>
      <c r="F132" s="65" t="n"/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32">
        <f>IF($C132="","",IF($J132="","— חסרים נתונים",IF($J132="טרם מפענח","פרופיל 5",IF($J132="קמץ/פתח/חטף-פתח ושוואים","פרופיל 4",IF($J132="2-3 סימני ניקוד","פרופיל 3",IF($J132="4-5 סימני ניקוד","פרופיל 2",IF(AND($O132="משפטים וקטעים קצרים",OR($M132="מבין",$M132="מבין לרוב")),"פרופיל 1","פרופיל 2")))))))</f>
        <v/>
      </c>
      <c r="R132" s="32">
        <f>IF($C132="","",IF(OR($Q132="",LEFT($Q132,1)="—"),"קבוצה רביעית",IF($Q132="פרופיל 5","קבוצת תשתיות",IF(OR($Q132="פרופיל 4",$Q132="פרופיל 3"),"קבוצת רכישה","קבוצת ביסוס"))))</f>
        <v/>
      </c>
      <c r="S132" s="32">
        <f>IF($F132="","",IF($F132="תחילת שנה",1,IF($F132="מחצית שנה",2,3)))</f>
        <v/>
      </c>
      <c r="T132" s="32">
        <f>IF(OR($B132="",$R132="",$A132="",$F132=""),"",$B132&amp;"|"&amp;$A132&amp;"|"&amp;$F132&amp;"|"&amp;$R132&amp;"|"&amp;COUNTIFS($B$6:$B132,$B132,$A$6:$A132,$A132,$F$6:$F132,$F132,$R$6:$R132,$R132))</f>
        <v/>
      </c>
      <c r="U132" s="32">
        <f>IF($C132="","",$C132&amp;"|"&amp;COUNTIFS($C$6:$C132,$C132))</f>
        <v/>
      </c>
      <c r="V132" s="32">
        <f>IF(OR($C132="",$A132="",$S132=""),"",$C132&amp;"|"&amp;$A132&amp;"|"&amp;$S132)</f>
        <v/>
      </c>
      <c r="W132" s="32">
        <f>IF(OR($C132="",$S132="",$S132=1),"",IFERROR(INDEX($Q$6:$Q$1505,MATCH($C132&amp;"|"&amp;$A132&amp;"|"&amp;($S132-1),$V$6:$V$1505,0)),""))</f>
        <v/>
      </c>
      <c r="X132" s="32">
        <f>IF(OR($W132="",$Q132="",LEFT($Q132,1)="—"),"",IF($W132=$Q132,"ללא שינוי","מ-"&amp;$W132&amp;" ל-"&amp;$Q132))</f>
        <v/>
      </c>
    </row>
    <row r="133" ht="15.75" customHeight="1" s="58">
      <c r="A133" s="65" t="n"/>
      <c r="B133" s="65" t="n"/>
      <c r="C133" s="66" t="n"/>
      <c r="D133" s="66" t="n"/>
      <c r="E133" s="65" t="n"/>
      <c r="F133" s="65" t="n"/>
      <c r="G133" s="65" t="n"/>
      <c r="H133" s="65" t="n"/>
      <c r="I133" s="65" t="n"/>
      <c r="J133" s="65" t="n"/>
      <c r="K133" s="65" t="n"/>
      <c r="L133" s="65" t="n"/>
      <c r="M133" s="65" t="n"/>
      <c r="N133" s="65" t="n"/>
      <c r="O133" s="65" t="n"/>
      <c r="P133" s="65" t="n"/>
      <c r="Q133" s="32">
        <f>IF($C133="","",IF($J133="","— חסרים נתונים",IF($J133="טרם מפענח","פרופיל 5",IF($J133="קמץ/פתח/חטף-פתח ושוואים","פרופיל 4",IF($J133="2-3 סימני ניקוד","פרופיל 3",IF($J133="4-5 סימני ניקוד","פרופיל 2",IF(AND($O133="משפטים וקטעים קצרים",OR($M133="מבין",$M133="מבין לרוב")),"פרופיל 1","פרופיל 2")))))))</f>
        <v/>
      </c>
      <c r="R133" s="32">
        <f>IF($C133="","",IF(OR($Q133="",LEFT($Q133,1)="—"),"קבוצה רביעית",IF($Q133="פרופיל 5","קבוצת תשתיות",IF(OR($Q133="פרופיל 4",$Q133="פרופיל 3"),"קבוצת רכישה","קבוצת ביסוס"))))</f>
        <v/>
      </c>
      <c r="S133" s="32">
        <f>IF($F133="","",IF($F133="תחילת שנה",1,IF($F133="מחצית שנה",2,3)))</f>
        <v/>
      </c>
      <c r="T133" s="32">
        <f>IF(OR($B133="",$R133="",$A133="",$F133=""),"",$B133&amp;"|"&amp;$A133&amp;"|"&amp;$F133&amp;"|"&amp;$R133&amp;"|"&amp;COUNTIFS($B$6:$B133,$B133,$A$6:$A133,$A133,$F$6:$F133,$F133,$R$6:$R133,$R133))</f>
        <v/>
      </c>
      <c r="U133" s="32">
        <f>IF($C133="","",$C133&amp;"|"&amp;COUNTIFS($C$6:$C133,$C133))</f>
        <v/>
      </c>
      <c r="V133" s="32">
        <f>IF(OR($C133="",$A133="",$S133=""),"",$C133&amp;"|"&amp;$A133&amp;"|"&amp;$S133)</f>
        <v/>
      </c>
      <c r="W133" s="32">
        <f>IF(OR($C133="",$S133="",$S133=1),"",IFERROR(INDEX($Q$6:$Q$1505,MATCH($C133&amp;"|"&amp;$A133&amp;"|"&amp;($S133-1),$V$6:$V$1505,0)),""))</f>
        <v/>
      </c>
      <c r="X133" s="32">
        <f>IF(OR($W133="",$Q133="",LEFT($Q133,1)="—"),"",IF($W133=$Q133,"ללא שינוי","מ-"&amp;$W133&amp;" ל-"&amp;$Q133))</f>
        <v/>
      </c>
    </row>
    <row r="134" ht="15.75" customHeight="1" s="58">
      <c r="A134" s="65" t="n"/>
      <c r="B134" s="65" t="n"/>
      <c r="C134" s="66" t="n"/>
      <c r="D134" s="66" t="n"/>
      <c r="E134" s="65" t="n"/>
      <c r="F134" s="65" t="n"/>
      <c r="G134" s="65" t="n"/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 t="n"/>
      <c r="Q134" s="32">
        <f>IF($C134="","",IF($J134="","— חסרים נתונים",IF($J134="טרם מפענח","פרופיל 5",IF($J134="קמץ/פתח/חטף-פתח ושוואים","פרופיל 4",IF($J134="2-3 סימני ניקוד","פרופיל 3",IF($J134="4-5 סימני ניקוד","פרופיל 2",IF(AND($O134="משפטים וקטעים קצרים",OR($M134="מבין",$M134="מבין לרוב")),"פרופיל 1","פרופיל 2")))))))</f>
        <v/>
      </c>
      <c r="R134" s="32">
        <f>IF($C134="","",IF(OR($Q134="",LEFT($Q134,1)="—"),"קבוצה רביעית",IF($Q134="פרופיל 5","קבוצת תשתיות",IF(OR($Q134="פרופיל 4",$Q134="פרופיל 3"),"קבוצת רכישה","קבוצת ביסוס"))))</f>
        <v/>
      </c>
      <c r="S134" s="32">
        <f>IF($F134="","",IF($F134="תחילת שנה",1,IF($F134="מחצית שנה",2,3)))</f>
        <v/>
      </c>
      <c r="T134" s="32">
        <f>IF(OR($B134="",$R134="",$A134="",$F134=""),"",$B134&amp;"|"&amp;$A134&amp;"|"&amp;$F134&amp;"|"&amp;$R134&amp;"|"&amp;COUNTIFS($B$6:$B134,$B134,$A$6:$A134,$A134,$F$6:$F134,$F134,$R$6:$R134,$R134))</f>
        <v/>
      </c>
      <c r="U134" s="32">
        <f>IF($C134="","",$C134&amp;"|"&amp;COUNTIFS($C$6:$C134,$C134))</f>
        <v/>
      </c>
      <c r="V134" s="32">
        <f>IF(OR($C134="",$A134="",$S134=""),"",$C134&amp;"|"&amp;$A134&amp;"|"&amp;$S134)</f>
        <v/>
      </c>
      <c r="W134" s="32">
        <f>IF(OR($C134="",$S134="",$S134=1),"",IFERROR(INDEX($Q$6:$Q$1505,MATCH($C134&amp;"|"&amp;$A134&amp;"|"&amp;($S134-1),$V$6:$V$1505,0)),""))</f>
        <v/>
      </c>
      <c r="X134" s="32">
        <f>IF(OR($W134="",$Q134="",LEFT($Q134,1)="—"),"",IF($W134=$Q134,"ללא שינוי","מ-"&amp;$W134&amp;" ל-"&amp;$Q134))</f>
        <v/>
      </c>
    </row>
    <row r="135" ht="15.75" customHeight="1" s="58">
      <c r="A135" s="65" t="n"/>
      <c r="B135" s="65" t="n"/>
      <c r="C135" s="66" t="n"/>
      <c r="D135" s="66" t="n"/>
      <c r="E135" s="65" t="n"/>
      <c r="F135" s="65" t="n"/>
      <c r="G135" s="65" t="n"/>
      <c r="H135" s="65" t="n"/>
      <c r="I135" s="65" t="n"/>
      <c r="J135" s="65" t="n"/>
      <c r="K135" s="65" t="n"/>
      <c r="L135" s="65" t="n"/>
      <c r="M135" s="65" t="n"/>
      <c r="N135" s="65" t="n"/>
      <c r="O135" s="65" t="n"/>
      <c r="P135" s="65" t="n"/>
      <c r="Q135" s="32">
        <f>IF($C135="","",IF($J135="","— חסרים נתונים",IF($J135="טרם מפענח","פרופיל 5",IF($J135="קמץ/פתח/חטף-פתח ושוואים","פרופיל 4",IF($J135="2-3 סימני ניקוד","פרופיל 3",IF($J135="4-5 סימני ניקוד","פרופיל 2",IF(AND($O135="משפטים וקטעים קצרים",OR($M135="מבין",$M135="מבין לרוב")),"פרופיל 1","פרופיל 2")))))))</f>
        <v/>
      </c>
      <c r="R135" s="32">
        <f>IF($C135="","",IF(OR($Q135="",LEFT($Q135,1)="—"),"קבוצה רביעית",IF($Q135="פרופיל 5","קבוצת תשתיות",IF(OR($Q135="פרופיל 4",$Q135="פרופיל 3"),"קבוצת רכישה","קבוצת ביסוס"))))</f>
        <v/>
      </c>
      <c r="S135" s="32">
        <f>IF($F135="","",IF($F135="תחילת שנה",1,IF($F135="מחצית שנה",2,3)))</f>
        <v/>
      </c>
      <c r="T135" s="32">
        <f>IF(OR($B135="",$R135="",$A135="",$F135=""),"",$B135&amp;"|"&amp;$A135&amp;"|"&amp;$F135&amp;"|"&amp;$R135&amp;"|"&amp;COUNTIFS($B$6:$B135,$B135,$A$6:$A135,$A135,$F$6:$F135,$F135,$R$6:$R135,$R135))</f>
        <v/>
      </c>
      <c r="U135" s="32">
        <f>IF($C135="","",$C135&amp;"|"&amp;COUNTIFS($C$6:$C135,$C135))</f>
        <v/>
      </c>
      <c r="V135" s="32">
        <f>IF(OR($C135="",$A135="",$S135=""),"",$C135&amp;"|"&amp;$A135&amp;"|"&amp;$S135)</f>
        <v/>
      </c>
      <c r="W135" s="32">
        <f>IF(OR($C135="",$S135="",$S135=1),"",IFERROR(INDEX($Q$6:$Q$1505,MATCH($C135&amp;"|"&amp;$A135&amp;"|"&amp;($S135-1),$V$6:$V$1505,0)),""))</f>
        <v/>
      </c>
      <c r="X135" s="32">
        <f>IF(OR($W135="",$Q135="",LEFT($Q135,1)="—"),"",IF($W135=$Q135,"ללא שינוי","מ-"&amp;$W135&amp;" ל-"&amp;$Q135))</f>
        <v/>
      </c>
    </row>
    <row r="136" ht="15.75" customHeight="1" s="58">
      <c r="A136" s="65" t="n"/>
      <c r="B136" s="65" t="n"/>
      <c r="C136" s="66" t="n"/>
      <c r="D136" s="66" t="n"/>
      <c r="E136" s="65" t="n"/>
      <c r="F136" s="65" t="n"/>
      <c r="G136" s="65" t="n"/>
      <c r="H136" s="65" t="n"/>
      <c r="I136" s="65" t="n"/>
      <c r="J136" s="65" t="n"/>
      <c r="K136" s="65" t="n"/>
      <c r="L136" s="65" t="n"/>
      <c r="M136" s="65" t="n"/>
      <c r="N136" s="65" t="n"/>
      <c r="O136" s="65" t="n"/>
      <c r="P136" s="65" t="n"/>
      <c r="Q136" s="32">
        <f>IF($C136="","",IF($J136="","— חסרים נתונים",IF($J136="טרם מפענח","פרופיל 5",IF($J136="קמץ/פתח/חטף-פתח ושוואים","פרופיל 4",IF($J136="2-3 סימני ניקוד","פרופיל 3",IF($J136="4-5 סימני ניקוד","פרופיל 2",IF(AND($O136="משפטים וקטעים קצרים",OR($M136="מבין",$M136="מבין לרוב")),"פרופיל 1","פרופיל 2")))))))</f>
        <v/>
      </c>
      <c r="R136" s="32">
        <f>IF($C136="","",IF(OR($Q136="",LEFT($Q136,1)="—"),"קבוצה רביעית",IF($Q136="פרופיל 5","קבוצת תשתיות",IF(OR($Q136="פרופיל 4",$Q136="פרופיל 3"),"קבוצת רכישה","קבוצת ביסוס"))))</f>
        <v/>
      </c>
      <c r="S136" s="32">
        <f>IF($F136="","",IF($F136="תחילת שנה",1,IF($F136="מחצית שנה",2,3)))</f>
        <v/>
      </c>
      <c r="T136" s="32">
        <f>IF(OR($B136="",$R136="",$A136="",$F136=""),"",$B136&amp;"|"&amp;$A136&amp;"|"&amp;$F136&amp;"|"&amp;$R136&amp;"|"&amp;COUNTIFS($B$6:$B136,$B136,$A$6:$A136,$A136,$F$6:$F136,$F136,$R$6:$R136,$R136))</f>
        <v/>
      </c>
      <c r="U136" s="32">
        <f>IF($C136="","",$C136&amp;"|"&amp;COUNTIFS($C$6:$C136,$C136))</f>
        <v/>
      </c>
      <c r="V136" s="32">
        <f>IF(OR($C136="",$A136="",$S136=""),"",$C136&amp;"|"&amp;$A136&amp;"|"&amp;$S136)</f>
        <v/>
      </c>
      <c r="W136" s="32">
        <f>IF(OR($C136="",$S136="",$S136=1),"",IFERROR(INDEX($Q$6:$Q$1505,MATCH($C136&amp;"|"&amp;$A136&amp;"|"&amp;($S136-1),$V$6:$V$1505,0)),""))</f>
        <v/>
      </c>
      <c r="X136" s="32">
        <f>IF(OR($W136="",$Q136="",LEFT($Q136,1)="—"),"",IF($W136=$Q136,"ללא שינוי","מ-"&amp;$W136&amp;" ל-"&amp;$Q136))</f>
        <v/>
      </c>
    </row>
    <row r="137" ht="15.75" customHeight="1" s="58">
      <c r="A137" s="65" t="n"/>
      <c r="B137" s="65" t="n"/>
      <c r="C137" s="66" t="n"/>
      <c r="D137" s="66" t="n"/>
      <c r="E137" s="65" t="n"/>
      <c r="F137" s="65" t="n"/>
      <c r="G137" s="65" t="n"/>
      <c r="H137" s="65" t="n"/>
      <c r="I137" s="65" t="n"/>
      <c r="J137" s="65" t="n"/>
      <c r="K137" s="65" t="n"/>
      <c r="L137" s="65" t="n"/>
      <c r="M137" s="65" t="n"/>
      <c r="N137" s="65" t="n"/>
      <c r="O137" s="65" t="n"/>
      <c r="P137" s="65" t="n"/>
      <c r="Q137" s="32">
        <f>IF($C137="","",IF($J137="","— חסרים נתונים",IF($J137="טרם מפענח","פרופיל 5",IF($J137="קמץ/פתח/חטף-פתח ושוואים","פרופיל 4",IF($J137="2-3 סימני ניקוד","פרופיל 3",IF($J137="4-5 סימני ניקוד","פרופיל 2",IF(AND($O137="משפטים וקטעים קצרים",OR($M137="מבין",$M137="מבין לרוב")),"פרופיל 1","פרופיל 2")))))))</f>
        <v/>
      </c>
      <c r="R137" s="32">
        <f>IF($C137="","",IF(OR($Q137="",LEFT($Q137,1)="—"),"קבוצה רביעית",IF($Q137="פרופיל 5","קבוצת תשתיות",IF(OR($Q137="פרופיל 4",$Q137="פרופיל 3"),"קבוצת רכישה","קבוצת ביסוס"))))</f>
        <v/>
      </c>
      <c r="S137" s="32">
        <f>IF($F137="","",IF($F137="תחילת שנה",1,IF($F137="מחצית שנה",2,3)))</f>
        <v/>
      </c>
      <c r="T137" s="32">
        <f>IF(OR($B137="",$R137="",$A137="",$F137=""),"",$B137&amp;"|"&amp;$A137&amp;"|"&amp;$F137&amp;"|"&amp;$R137&amp;"|"&amp;COUNTIFS($B$6:$B137,$B137,$A$6:$A137,$A137,$F$6:$F137,$F137,$R$6:$R137,$R137))</f>
        <v/>
      </c>
      <c r="U137" s="32">
        <f>IF($C137="","",$C137&amp;"|"&amp;COUNTIFS($C$6:$C137,$C137))</f>
        <v/>
      </c>
      <c r="V137" s="32">
        <f>IF(OR($C137="",$A137="",$S137=""),"",$C137&amp;"|"&amp;$A137&amp;"|"&amp;$S137)</f>
        <v/>
      </c>
      <c r="W137" s="32">
        <f>IF(OR($C137="",$S137="",$S137=1),"",IFERROR(INDEX($Q$6:$Q$1505,MATCH($C137&amp;"|"&amp;$A137&amp;"|"&amp;($S137-1),$V$6:$V$1505,0)),""))</f>
        <v/>
      </c>
      <c r="X137" s="32">
        <f>IF(OR($W137="",$Q137="",LEFT($Q137,1)="—"),"",IF($W137=$Q137,"ללא שינוי","מ-"&amp;$W137&amp;" ל-"&amp;$Q137))</f>
        <v/>
      </c>
    </row>
    <row r="138" ht="15.75" customHeight="1" s="58">
      <c r="A138" s="65" t="n"/>
      <c r="B138" s="65" t="n"/>
      <c r="C138" s="66" t="n"/>
      <c r="D138" s="66" t="n"/>
      <c r="E138" s="65" t="n"/>
      <c r="F138" s="65" t="n"/>
      <c r="G138" s="65" t="n"/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32">
        <f>IF($C138="","",IF($J138="","— חסרים נתונים",IF($J138="טרם מפענח","פרופיל 5",IF($J138="קמץ/פתח/חטף-פתח ושוואים","פרופיל 4",IF($J138="2-3 סימני ניקוד","פרופיל 3",IF($J138="4-5 סימני ניקוד","פרופיל 2",IF(AND($O138="משפטים וקטעים קצרים",OR($M138="מבין",$M138="מבין לרוב")),"פרופיל 1","פרופיל 2")))))))</f>
        <v/>
      </c>
      <c r="R138" s="32">
        <f>IF($C138="","",IF(OR($Q138="",LEFT($Q138,1)="—"),"קבוצה רביעית",IF($Q138="פרופיל 5","קבוצת תשתיות",IF(OR($Q138="פרופיל 4",$Q138="פרופיל 3"),"קבוצת רכישה","קבוצת ביסוס"))))</f>
        <v/>
      </c>
      <c r="S138" s="32">
        <f>IF($F138="","",IF($F138="תחילת שנה",1,IF($F138="מחצית שנה",2,3)))</f>
        <v/>
      </c>
      <c r="T138" s="32">
        <f>IF(OR($B138="",$R138="",$A138="",$F138=""),"",$B138&amp;"|"&amp;$A138&amp;"|"&amp;$F138&amp;"|"&amp;$R138&amp;"|"&amp;COUNTIFS($B$6:$B138,$B138,$A$6:$A138,$A138,$F$6:$F138,$F138,$R$6:$R138,$R138))</f>
        <v/>
      </c>
      <c r="U138" s="32">
        <f>IF($C138="","",$C138&amp;"|"&amp;COUNTIFS($C$6:$C138,$C138))</f>
        <v/>
      </c>
      <c r="V138" s="32">
        <f>IF(OR($C138="",$A138="",$S138=""),"",$C138&amp;"|"&amp;$A138&amp;"|"&amp;$S138)</f>
        <v/>
      </c>
      <c r="W138" s="32">
        <f>IF(OR($C138="",$S138="",$S138=1),"",IFERROR(INDEX($Q$6:$Q$1505,MATCH($C138&amp;"|"&amp;$A138&amp;"|"&amp;($S138-1),$V$6:$V$1505,0)),""))</f>
        <v/>
      </c>
      <c r="X138" s="32">
        <f>IF(OR($W138="",$Q138="",LEFT($Q138,1)="—"),"",IF($W138=$Q138,"ללא שינוי","מ-"&amp;$W138&amp;" ל-"&amp;$Q138))</f>
        <v/>
      </c>
    </row>
    <row r="139" ht="15.75" customHeight="1" s="58">
      <c r="A139" s="65" t="n"/>
      <c r="B139" s="65" t="n"/>
      <c r="C139" s="66" t="n"/>
      <c r="D139" s="66" t="n"/>
      <c r="E139" s="65" t="n"/>
      <c r="F139" s="65" t="n"/>
      <c r="G139" s="65" t="n"/>
      <c r="H139" s="65" t="n"/>
      <c r="I139" s="65" t="n"/>
      <c r="J139" s="65" t="n"/>
      <c r="K139" s="65" t="n"/>
      <c r="L139" s="65" t="n"/>
      <c r="M139" s="65" t="n"/>
      <c r="N139" s="65" t="n"/>
      <c r="O139" s="65" t="n"/>
      <c r="P139" s="65" t="n"/>
      <c r="Q139" s="32">
        <f>IF($C139="","",IF($J139="","— חסרים נתונים",IF($J139="טרם מפענח","פרופיל 5",IF($J139="קמץ/פתח/חטף-פתח ושוואים","פרופיל 4",IF($J139="2-3 סימני ניקוד","פרופיל 3",IF($J139="4-5 סימני ניקוד","פרופיל 2",IF(AND($O139="משפטים וקטעים קצרים",OR($M139="מבין",$M139="מבין לרוב")),"פרופיל 1","פרופיל 2")))))))</f>
        <v/>
      </c>
      <c r="R139" s="32">
        <f>IF($C139="","",IF(OR($Q139="",LEFT($Q139,1)="—"),"קבוצה רביעית",IF($Q139="פרופיל 5","קבוצת תשתיות",IF(OR($Q139="פרופיל 4",$Q139="פרופיל 3"),"קבוצת רכישה","קבוצת ביסוס"))))</f>
        <v/>
      </c>
      <c r="S139" s="32">
        <f>IF($F139="","",IF($F139="תחילת שנה",1,IF($F139="מחצית שנה",2,3)))</f>
        <v/>
      </c>
      <c r="T139" s="32">
        <f>IF(OR($B139="",$R139="",$A139="",$F139=""),"",$B139&amp;"|"&amp;$A139&amp;"|"&amp;$F139&amp;"|"&amp;$R139&amp;"|"&amp;COUNTIFS($B$6:$B139,$B139,$A$6:$A139,$A139,$F$6:$F139,$F139,$R$6:$R139,$R139))</f>
        <v/>
      </c>
      <c r="U139" s="32">
        <f>IF($C139="","",$C139&amp;"|"&amp;COUNTIFS($C$6:$C139,$C139))</f>
        <v/>
      </c>
      <c r="V139" s="32">
        <f>IF(OR($C139="",$A139="",$S139=""),"",$C139&amp;"|"&amp;$A139&amp;"|"&amp;$S139)</f>
        <v/>
      </c>
      <c r="W139" s="32">
        <f>IF(OR($C139="",$S139="",$S139=1),"",IFERROR(INDEX($Q$6:$Q$1505,MATCH($C139&amp;"|"&amp;$A139&amp;"|"&amp;($S139-1),$V$6:$V$1505,0)),""))</f>
        <v/>
      </c>
      <c r="X139" s="32">
        <f>IF(OR($W139="",$Q139="",LEFT($Q139,1)="—"),"",IF($W139=$Q139,"ללא שינוי","מ-"&amp;$W139&amp;" ל-"&amp;$Q139))</f>
        <v/>
      </c>
    </row>
    <row r="140" ht="15.75" customHeight="1" s="58">
      <c r="A140" s="65" t="n"/>
      <c r="B140" s="65" t="n"/>
      <c r="C140" s="66" t="n"/>
      <c r="D140" s="66" t="n"/>
      <c r="E140" s="65" t="n"/>
      <c r="F140" s="65" t="n"/>
      <c r="G140" s="65" t="n"/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32">
        <f>IF($C140="","",IF($J140="","— חסרים נתונים",IF($J140="טרם מפענח","פרופיל 5",IF($J140="קמץ/פתח/חטף-פתח ושוואים","פרופיל 4",IF($J140="2-3 סימני ניקוד","פרופיל 3",IF($J140="4-5 סימני ניקוד","פרופיל 2",IF(AND($O140="משפטים וקטעים קצרים",OR($M140="מבין",$M140="מבין לרוב")),"פרופיל 1","פרופיל 2")))))))</f>
        <v/>
      </c>
      <c r="R140" s="32">
        <f>IF($C140="","",IF(OR($Q140="",LEFT($Q140,1)="—"),"קבוצה רביעית",IF($Q140="פרופיל 5","קבוצת תשתיות",IF(OR($Q140="פרופיל 4",$Q140="פרופיל 3"),"קבוצת רכישה","קבוצת ביסוס"))))</f>
        <v/>
      </c>
      <c r="S140" s="32">
        <f>IF($F140="","",IF($F140="תחילת שנה",1,IF($F140="מחצית שנה",2,3)))</f>
        <v/>
      </c>
      <c r="T140" s="32">
        <f>IF(OR($B140="",$R140="",$A140="",$F140=""),"",$B140&amp;"|"&amp;$A140&amp;"|"&amp;$F140&amp;"|"&amp;$R140&amp;"|"&amp;COUNTIFS($B$6:$B140,$B140,$A$6:$A140,$A140,$F$6:$F140,$F140,$R$6:$R140,$R140))</f>
        <v/>
      </c>
      <c r="U140" s="32">
        <f>IF($C140="","",$C140&amp;"|"&amp;COUNTIFS($C$6:$C140,$C140))</f>
        <v/>
      </c>
      <c r="V140" s="32">
        <f>IF(OR($C140="",$A140="",$S140=""),"",$C140&amp;"|"&amp;$A140&amp;"|"&amp;$S140)</f>
        <v/>
      </c>
      <c r="W140" s="32">
        <f>IF(OR($C140="",$S140="",$S140=1),"",IFERROR(INDEX($Q$6:$Q$1505,MATCH($C140&amp;"|"&amp;$A140&amp;"|"&amp;($S140-1),$V$6:$V$1505,0)),""))</f>
        <v/>
      </c>
      <c r="X140" s="32">
        <f>IF(OR($W140="",$Q140="",LEFT($Q140,1)="—"),"",IF($W140=$Q140,"ללא שינוי","מ-"&amp;$W140&amp;" ל-"&amp;$Q140))</f>
        <v/>
      </c>
    </row>
    <row r="141" ht="15.75" customHeight="1" s="58">
      <c r="A141" s="65" t="n"/>
      <c r="B141" s="65" t="n"/>
      <c r="C141" s="66" t="n"/>
      <c r="D141" s="66" t="n"/>
      <c r="E141" s="65" t="n"/>
      <c r="F141" s="65" t="n"/>
      <c r="G141" s="65" t="n"/>
      <c r="H141" s="65" t="n"/>
      <c r="I141" s="65" t="n"/>
      <c r="J141" s="65" t="n"/>
      <c r="K141" s="65" t="n"/>
      <c r="L141" s="65" t="n"/>
      <c r="M141" s="65" t="n"/>
      <c r="N141" s="65" t="n"/>
      <c r="O141" s="65" t="n"/>
      <c r="P141" s="65" t="n"/>
      <c r="Q141" s="32">
        <f>IF($C141="","",IF($J141="","— חסרים נתונים",IF($J141="טרם מפענח","פרופיל 5",IF($J141="קמץ/פתח/חטף-פתח ושוואים","פרופיל 4",IF($J141="2-3 סימני ניקוד","פרופיל 3",IF($J141="4-5 סימני ניקוד","פרופיל 2",IF(AND($O141="משפטים וקטעים קצרים",OR($M141="מבין",$M141="מבין לרוב")),"פרופיל 1","פרופיל 2")))))))</f>
        <v/>
      </c>
      <c r="R141" s="32">
        <f>IF($C141="","",IF(OR($Q141="",LEFT($Q141,1)="—"),"קבוצה רביעית",IF($Q141="פרופיל 5","קבוצת תשתיות",IF(OR($Q141="פרופיל 4",$Q141="פרופיל 3"),"קבוצת רכישה","קבוצת ביסוס"))))</f>
        <v/>
      </c>
      <c r="S141" s="32">
        <f>IF($F141="","",IF($F141="תחילת שנה",1,IF($F141="מחצית שנה",2,3)))</f>
        <v/>
      </c>
      <c r="T141" s="32">
        <f>IF(OR($B141="",$R141="",$A141="",$F141=""),"",$B141&amp;"|"&amp;$A141&amp;"|"&amp;$F141&amp;"|"&amp;$R141&amp;"|"&amp;COUNTIFS($B$6:$B141,$B141,$A$6:$A141,$A141,$F$6:$F141,$F141,$R$6:$R141,$R141))</f>
        <v/>
      </c>
      <c r="U141" s="32">
        <f>IF($C141="","",$C141&amp;"|"&amp;COUNTIFS($C$6:$C141,$C141))</f>
        <v/>
      </c>
      <c r="V141" s="32">
        <f>IF(OR($C141="",$A141="",$S141=""),"",$C141&amp;"|"&amp;$A141&amp;"|"&amp;$S141)</f>
        <v/>
      </c>
      <c r="W141" s="32">
        <f>IF(OR($C141="",$S141="",$S141=1),"",IFERROR(INDEX($Q$6:$Q$1505,MATCH($C141&amp;"|"&amp;$A141&amp;"|"&amp;($S141-1),$V$6:$V$1505,0)),""))</f>
        <v/>
      </c>
      <c r="X141" s="32">
        <f>IF(OR($W141="",$Q141="",LEFT($Q141,1)="—"),"",IF($W141=$Q141,"ללא שינוי","מ-"&amp;$W141&amp;" ל-"&amp;$Q141))</f>
        <v/>
      </c>
    </row>
    <row r="142" ht="15.75" customHeight="1" s="58">
      <c r="A142" s="65" t="n"/>
      <c r="B142" s="65" t="n"/>
      <c r="C142" s="66" t="n"/>
      <c r="D142" s="66" t="n"/>
      <c r="E142" s="65" t="n"/>
      <c r="F142" s="65" t="n"/>
      <c r="G142" s="65" t="n"/>
      <c r="H142" s="65" t="n"/>
      <c r="I142" s="65" t="n"/>
      <c r="J142" s="65" t="n"/>
      <c r="K142" s="65" t="n"/>
      <c r="L142" s="65" t="n"/>
      <c r="M142" s="65" t="n"/>
      <c r="N142" s="65" t="n"/>
      <c r="O142" s="65" t="n"/>
      <c r="P142" s="65" t="n"/>
      <c r="Q142" s="32">
        <f>IF($C142="","",IF($J142="","— חסרים נתונים",IF($J142="טרם מפענח","פרופיל 5",IF($J142="קמץ/פתח/חטף-פתח ושוואים","פרופיל 4",IF($J142="2-3 סימני ניקוד","פרופיל 3",IF($J142="4-5 סימני ניקוד","פרופיל 2",IF(AND($O142="משפטים וקטעים קצרים",OR($M142="מבין",$M142="מבין לרוב")),"פרופיל 1","פרופיל 2")))))))</f>
        <v/>
      </c>
      <c r="R142" s="32">
        <f>IF($C142="","",IF(OR($Q142="",LEFT($Q142,1)="—"),"קבוצה רביעית",IF($Q142="פרופיל 5","קבוצת תשתיות",IF(OR($Q142="פרופיל 4",$Q142="פרופיל 3"),"קבוצת רכישה","קבוצת ביסוס"))))</f>
        <v/>
      </c>
      <c r="S142" s="32">
        <f>IF($F142="","",IF($F142="תחילת שנה",1,IF($F142="מחצית שנה",2,3)))</f>
        <v/>
      </c>
      <c r="T142" s="32">
        <f>IF(OR($B142="",$R142="",$A142="",$F142=""),"",$B142&amp;"|"&amp;$A142&amp;"|"&amp;$F142&amp;"|"&amp;$R142&amp;"|"&amp;COUNTIFS($B$6:$B142,$B142,$A$6:$A142,$A142,$F$6:$F142,$F142,$R$6:$R142,$R142))</f>
        <v/>
      </c>
      <c r="U142" s="32">
        <f>IF($C142="","",$C142&amp;"|"&amp;COUNTIFS($C$6:$C142,$C142))</f>
        <v/>
      </c>
      <c r="V142" s="32">
        <f>IF(OR($C142="",$A142="",$S142=""),"",$C142&amp;"|"&amp;$A142&amp;"|"&amp;$S142)</f>
        <v/>
      </c>
      <c r="W142" s="32">
        <f>IF(OR($C142="",$S142="",$S142=1),"",IFERROR(INDEX($Q$6:$Q$1505,MATCH($C142&amp;"|"&amp;$A142&amp;"|"&amp;($S142-1),$V$6:$V$1505,0)),""))</f>
        <v/>
      </c>
      <c r="X142" s="32">
        <f>IF(OR($W142="",$Q142="",LEFT($Q142,1)="—"),"",IF($W142=$Q142,"ללא שינוי","מ-"&amp;$W142&amp;" ל-"&amp;$Q142))</f>
        <v/>
      </c>
    </row>
    <row r="143" ht="15.75" customHeight="1" s="58">
      <c r="A143" s="65" t="n"/>
      <c r="B143" s="65" t="n"/>
      <c r="C143" s="66" t="n"/>
      <c r="D143" s="66" t="n"/>
      <c r="E143" s="65" t="n"/>
      <c r="F143" s="65" t="n"/>
      <c r="G143" s="65" t="n"/>
      <c r="H143" s="65" t="n"/>
      <c r="I143" s="65" t="n"/>
      <c r="J143" s="65" t="n"/>
      <c r="K143" s="65" t="n"/>
      <c r="L143" s="65" t="n"/>
      <c r="M143" s="65" t="n"/>
      <c r="N143" s="65" t="n"/>
      <c r="O143" s="65" t="n"/>
      <c r="P143" s="65" t="n"/>
      <c r="Q143" s="32">
        <f>IF($C143="","",IF($J143="","— חסרים נתונים",IF($J143="טרם מפענח","פרופיל 5",IF($J143="קמץ/פתח/חטף-פתח ושוואים","פרופיל 4",IF($J143="2-3 סימני ניקוד","פרופיל 3",IF($J143="4-5 סימני ניקוד","פרופיל 2",IF(AND($O143="משפטים וקטעים קצרים",OR($M143="מבין",$M143="מבין לרוב")),"פרופיל 1","פרופיל 2")))))))</f>
        <v/>
      </c>
      <c r="R143" s="32">
        <f>IF($C143="","",IF(OR($Q143="",LEFT($Q143,1)="—"),"קבוצה רביעית",IF($Q143="פרופיל 5","קבוצת תשתיות",IF(OR($Q143="פרופיל 4",$Q143="פרופיל 3"),"קבוצת רכישה","קבוצת ביסוס"))))</f>
        <v/>
      </c>
      <c r="S143" s="32">
        <f>IF($F143="","",IF($F143="תחילת שנה",1,IF($F143="מחצית שנה",2,3)))</f>
        <v/>
      </c>
      <c r="T143" s="32">
        <f>IF(OR($B143="",$R143="",$A143="",$F143=""),"",$B143&amp;"|"&amp;$A143&amp;"|"&amp;$F143&amp;"|"&amp;$R143&amp;"|"&amp;COUNTIFS($B$6:$B143,$B143,$A$6:$A143,$A143,$F$6:$F143,$F143,$R$6:$R143,$R143))</f>
        <v/>
      </c>
      <c r="U143" s="32">
        <f>IF($C143="","",$C143&amp;"|"&amp;COUNTIFS($C$6:$C143,$C143))</f>
        <v/>
      </c>
      <c r="V143" s="32">
        <f>IF(OR($C143="",$A143="",$S143=""),"",$C143&amp;"|"&amp;$A143&amp;"|"&amp;$S143)</f>
        <v/>
      </c>
      <c r="W143" s="32">
        <f>IF(OR($C143="",$S143="",$S143=1),"",IFERROR(INDEX($Q$6:$Q$1505,MATCH($C143&amp;"|"&amp;$A143&amp;"|"&amp;($S143-1),$V$6:$V$1505,0)),""))</f>
        <v/>
      </c>
      <c r="X143" s="32">
        <f>IF(OR($W143="",$Q143="",LEFT($Q143,1)="—"),"",IF($W143=$Q143,"ללא שינוי","מ-"&amp;$W143&amp;" ל-"&amp;$Q143))</f>
        <v/>
      </c>
    </row>
    <row r="144" ht="15.75" customHeight="1" s="58">
      <c r="A144" s="65" t="n"/>
      <c r="B144" s="65" t="n"/>
      <c r="C144" s="66" t="n"/>
      <c r="D144" s="66" t="n"/>
      <c r="E144" s="65" t="n"/>
      <c r="F144" s="65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32">
        <f>IF($C144="","",IF($J144="","— חסרים נתונים",IF($J144="טרם מפענח","פרופיל 5",IF($J144="קמץ/פתח/חטף-פתח ושוואים","פרופיל 4",IF($J144="2-3 סימני ניקוד","פרופיל 3",IF($J144="4-5 סימני ניקוד","פרופיל 2",IF(AND($O144="משפטים וקטעים קצרים",OR($M144="מבין",$M144="מבין לרוב")),"פרופיל 1","פרופיל 2")))))))</f>
        <v/>
      </c>
      <c r="R144" s="32">
        <f>IF($C144="","",IF(OR($Q144="",LEFT($Q144,1)="—"),"קבוצה רביעית",IF($Q144="פרופיל 5","קבוצת תשתיות",IF(OR($Q144="פרופיל 4",$Q144="פרופיל 3"),"קבוצת רכישה","קבוצת ביסוס"))))</f>
        <v/>
      </c>
      <c r="S144" s="32">
        <f>IF($F144="","",IF($F144="תחילת שנה",1,IF($F144="מחצית שנה",2,3)))</f>
        <v/>
      </c>
      <c r="T144" s="32">
        <f>IF(OR($B144="",$R144="",$A144="",$F144=""),"",$B144&amp;"|"&amp;$A144&amp;"|"&amp;$F144&amp;"|"&amp;$R144&amp;"|"&amp;COUNTIFS($B$6:$B144,$B144,$A$6:$A144,$A144,$F$6:$F144,$F144,$R$6:$R144,$R144))</f>
        <v/>
      </c>
      <c r="U144" s="32">
        <f>IF($C144="","",$C144&amp;"|"&amp;COUNTIFS($C$6:$C144,$C144))</f>
        <v/>
      </c>
      <c r="V144" s="32">
        <f>IF(OR($C144="",$A144="",$S144=""),"",$C144&amp;"|"&amp;$A144&amp;"|"&amp;$S144)</f>
        <v/>
      </c>
      <c r="W144" s="32">
        <f>IF(OR($C144="",$S144="",$S144=1),"",IFERROR(INDEX($Q$6:$Q$1505,MATCH($C144&amp;"|"&amp;$A144&amp;"|"&amp;($S144-1),$V$6:$V$1505,0)),""))</f>
        <v/>
      </c>
      <c r="X144" s="32">
        <f>IF(OR($W144="",$Q144="",LEFT($Q144,1)="—"),"",IF($W144=$Q144,"ללא שינוי","מ-"&amp;$W144&amp;" ל-"&amp;$Q144))</f>
        <v/>
      </c>
    </row>
    <row r="145" ht="15.75" customHeight="1" s="58">
      <c r="A145" s="65" t="n"/>
      <c r="B145" s="65" t="n"/>
      <c r="C145" s="66" t="n"/>
      <c r="D145" s="66" t="n"/>
      <c r="E145" s="65" t="n"/>
      <c r="F145" s="65" t="n"/>
      <c r="G145" s="65" t="n"/>
      <c r="H145" s="65" t="n"/>
      <c r="I145" s="65" t="n"/>
      <c r="J145" s="65" t="n"/>
      <c r="K145" s="65" t="n"/>
      <c r="L145" s="65" t="n"/>
      <c r="M145" s="65" t="n"/>
      <c r="N145" s="65" t="n"/>
      <c r="O145" s="65" t="n"/>
      <c r="P145" s="65" t="n"/>
      <c r="Q145" s="32">
        <f>IF($C145="","",IF($J145="","— חסרים נתונים",IF($J145="טרם מפענח","פרופיל 5",IF($J145="קמץ/פתח/חטף-פתח ושוואים","פרופיל 4",IF($J145="2-3 סימני ניקוד","פרופיל 3",IF($J145="4-5 סימני ניקוד","פרופיל 2",IF(AND($O145="משפטים וקטעים קצרים",OR($M145="מבין",$M145="מבין לרוב")),"פרופיל 1","פרופיל 2")))))))</f>
        <v/>
      </c>
      <c r="R145" s="32">
        <f>IF($C145="","",IF(OR($Q145="",LEFT($Q145,1)="—"),"קבוצה רביעית",IF($Q145="פרופיל 5","קבוצת תשתיות",IF(OR($Q145="פרופיל 4",$Q145="פרופיל 3"),"קבוצת רכישה","קבוצת ביסוס"))))</f>
        <v/>
      </c>
      <c r="S145" s="32">
        <f>IF($F145="","",IF($F145="תחילת שנה",1,IF($F145="מחצית שנה",2,3)))</f>
        <v/>
      </c>
      <c r="T145" s="32">
        <f>IF(OR($B145="",$R145="",$A145="",$F145=""),"",$B145&amp;"|"&amp;$A145&amp;"|"&amp;$F145&amp;"|"&amp;$R145&amp;"|"&amp;COUNTIFS($B$6:$B145,$B145,$A$6:$A145,$A145,$F$6:$F145,$F145,$R$6:$R145,$R145))</f>
        <v/>
      </c>
      <c r="U145" s="32">
        <f>IF($C145="","",$C145&amp;"|"&amp;COUNTIFS($C$6:$C145,$C145))</f>
        <v/>
      </c>
      <c r="V145" s="32">
        <f>IF(OR($C145="",$A145="",$S145=""),"",$C145&amp;"|"&amp;$A145&amp;"|"&amp;$S145)</f>
        <v/>
      </c>
      <c r="W145" s="32">
        <f>IF(OR($C145="",$S145="",$S145=1),"",IFERROR(INDEX($Q$6:$Q$1505,MATCH($C145&amp;"|"&amp;$A145&amp;"|"&amp;($S145-1),$V$6:$V$1505,0)),""))</f>
        <v/>
      </c>
      <c r="X145" s="32">
        <f>IF(OR($W145="",$Q145="",LEFT($Q145,1)="—"),"",IF($W145=$Q145,"ללא שינוי","מ-"&amp;$W145&amp;" ל-"&amp;$Q145))</f>
        <v/>
      </c>
    </row>
    <row r="146" ht="15.75" customHeight="1" s="58">
      <c r="A146" s="65" t="n"/>
      <c r="B146" s="65" t="n"/>
      <c r="C146" s="66" t="n"/>
      <c r="D146" s="66" t="n"/>
      <c r="E146" s="65" t="n"/>
      <c r="F146" s="65" t="n"/>
      <c r="G146" s="65" t="n"/>
      <c r="H146" s="65" t="n"/>
      <c r="I146" s="65" t="n"/>
      <c r="J146" s="65" t="n"/>
      <c r="K146" s="65" t="n"/>
      <c r="L146" s="65" t="n"/>
      <c r="M146" s="65" t="n"/>
      <c r="N146" s="65" t="n"/>
      <c r="O146" s="65" t="n"/>
      <c r="P146" s="65" t="n"/>
      <c r="Q146" s="32">
        <f>IF($C146="","",IF($J146="","— חסרים נתונים",IF($J146="טרם מפענח","פרופיל 5",IF($J146="קמץ/פתח/חטף-פתח ושוואים","פרופיל 4",IF($J146="2-3 סימני ניקוד","פרופיל 3",IF($J146="4-5 סימני ניקוד","פרופיל 2",IF(AND($O146="משפטים וקטעים קצרים",OR($M146="מבין",$M146="מבין לרוב")),"פרופיל 1","פרופיל 2")))))))</f>
        <v/>
      </c>
      <c r="R146" s="32">
        <f>IF($C146="","",IF(OR($Q146="",LEFT($Q146,1)="—"),"קבוצה רביעית",IF($Q146="פרופיל 5","קבוצת תשתיות",IF(OR($Q146="פרופיל 4",$Q146="פרופיל 3"),"קבוצת רכישה","קבוצת ביסוס"))))</f>
        <v/>
      </c>
      <c r="S146" s="32">
        <f>IF($F146="","",IF($F146="תחילת שנה",1,IF($F146="מחצית שנה",2,3)))</f>
        <v/>
      </c>
      <c r="T146" s="32">
        <f>IF(OR($B146="",$R146="",$A146="",$F146=""),"",$B146&amp;"|"&amp;$A146&amp;"|"&amp;$F146&amp;"|"&amp;$R146&amp;"|"&amp;COUNTIFS($B$6:$B146,$B146,$A$6:$A146,$A146,$F$6:$F146,$F146,$R$6:$R146,$R146))</f>
        <v/>
      </c>
      <c r="U146" s="32">
        <f>IF($C146="","",$C146&amp;"|"&amp;COUNTIFS($C$6:$C146,$C146))</f>
        <v/>
      </c>
      <c r="V146" s="32">
        <f>IF(OR($C146="",$A146="",$S146=""),"",$C146&amp;"|"&amp;$A146&amp;"|"&amp;$S146)</f>
        <v/>
      </c>
      <c r="W146" s="32">
        <f>IF(OR($C146="",$S146="",$S146=1),"",IFERROR(INDEX($Q$6:$Q$1505,MATCH($C146&amp;"|"&amp;$A146&amp;"|"&amp;($S146-1),$V$6:$V$1505,0)),""))</f>
        <v/>
      </c>
      <c r="X146" s="32">
        <f>IF(OR($W146="",$Q146="",LEFT($Q146,1)="—"),"",IF($W146=$Q146,"ללא שינוי","מ-"&amp;$W146&amp;" ל-"&amp;$Q146))</f>
        <v/>
      </c>
    </row>
    <row r="147" ht="15.75" customHeight="1" s="58">
      <c r="A147" s="65" t="n"/>
      <c r="B147" s="65" t="n"/>
      <c r="C147" s="66" t="n"/>
      <c r="D147" s="66" t="n"/>
      <c r="E147" s="65" t="n"/>
      <c r="F147" s="65" t="n"/>
      <c r="G147" s="65" t="n"/>
      <c r="H147" s="65" t="n"/>
      <c r="I147" s="65" t="n"/>
      <c r="J147" s="65" t="n"/>
      <c r="K147" s="65" t="n"/>
      <c r="L147" s="65" t="n"/>
      <c r="M147" s="65" t="n"/>
      <c r="N147" s="65" t="n"/>
      <c r="O147" s="65" t="n"/>
      <c r="P147" s="65" t="n"/>
      <c r="Q147" s="32">
        <f>IF($C147="","",IF($J147="","— חסרים נתונים",IF($J147="טרם מפענח","פרופיל 5",IF($J147="קמץ/פתח/חטף-פתח ושוואים","פרופיל 4",IF($J147="2-3 סימני ניקוד","פרופיל 3",IF($J147="4-5 סימני ניקוד","פרופיל 2",IF(AND($O147="משפטים וקטעים קצרים",OR($M147="מבין",$M147="מבין לרוב")),"פרופיל 1","פרופיל 2")))))))</f>
        <v/>
      </c>
      <c r="R147" s="32">
        <f>IF($C147="","",IF(OR($Q147="",LEFT($Q147,1)="—"),"קבוצה רביעית",IF($Q147="פרופיל 5","קבוצת תשתיות",IF(OR($Q147="פרופיל 4",$Q147="פרופיל 3"),"קבוצת רכישה","קבוצת ביסוס"))))</f>
        <v/>
      </c>
      <c r="S147" s="32">
        <f>IF($F147="","",IF($F147="תחילת שנה",1,IF($F147="מחצית שנה",2,3)))</f>
        <v/>
      </c>
      <c r="T147" s="32">
        <f>IF(OR($B147="",$R147="",$A147="",$F147=""),"",$B147&amp;"|"&amp;$A147&amp;"|"&amp;$F147&amp;"|"&amp;$R147&amp;"|"&amp;COUNTIFS($B$6:$B147,$B147,$A$6:$A147,$A147,$F$6:$F147,$F147,$R$6:$R147,$R147))</f>
        <v/>
      </c>
      <c r="U147" s="32">
        <f>IF($C147="","",$C147&amp;"|"&amp;COUNTIFS($C$6:$C147,$C147))</f>
        <v/>
      </c>
      <c r="V147" s="32">
        <f>IF(OR($C147="",$A147="",$S147=""),"",$C147&amp;"|"&amp;$A147&amp;"|"&amp;$S147)</f>
        <v/>
      </c>
      <c r="W147" s="32">
        <f>IF(OR($C147="",$S147="",$S147=1),"",IFERROR(INDEX($Q$6:$Q$1505,MATCH($C147&amp;"|"&amp;$A147&amp;"|"&amp;($S147-1),$V$6:$V$1505,0)),""))</f>
        <v/>
      </c>
      <c r="X147" s="32">
        <f>IF(OR($W147="",$Q147="",LEFT($Q147,1)="—"),"",IF($W147=$Q147,"ללא שינוי","מ-"&amp;$W147&amp;" ל-"&amp;$Q147))</f>
        <v/>
      </c>
    </row>
    <row r="148" ht="15.75" customHeight="1" s="58">
      <c r="A148" s="65" t="n"/>
      <c r="B148" s="65" t="n"/>
      <c r="C148" s="66" t="n"/>
      <c r="D148" s="66" t="n"/>
      <c r="E148" s="65" t="n"/>
      <c r="F148" s="65" t="n"/>
      <c r="G148" s="65" t="n"/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 t="n"/>
      <c r="Q148" s="32">
        <f>IF($C148="","",IF($J148="","— חסרים נתונים",IF($J148="טרם מפענח","פרופיל 5",IF($J148="קמץ/פתח/חטף-פתח ושוואים","פרופיל 4",IF($J148="2-3 סימני ניקוד","פרופיל 3",IF($J148="4-5 סימני ניקוד","פרופיל 2",IF(AND($O148="משפטים וקטעים קצרים",OR($M148="מבין",$M148="מבין לרוב")),"פרופיל 1","פרופיל 2")))))))</f>
        <v/>
      </c>
      <c r="R148" s="32">
        <f>IF($C148="","",IF(OR($Q148="",LEFT($Q148,1)="—"),"קבוצה רביעית",IF($Q148="פרופיל 5","קבוצת תשתיות",IF(OR($Q148="פרופיל 4",$Q148="פרופיל 3"),"קבוצת רכישה","קבוצת ביסוס"))))</f>
        <v/>
      </c>
      <c r="S148" s="32">
        <f>IF($F148="","",IF($F148="תחילת שנה",1,IF($F148="מחצית שנה",2,3)))</f>
        <v/>
      </c>
      <c r="T148" s="32">
        <f>IF(OR($B148="",$R148="",$A148="",$F148=""),"",$B148&amp;"|"&amp;$A148&amp;"|"&amp;$F148&amp;"|"&amp;$R148&amp;"|"&amp;COUNTIFS($B$6:$B148,$B148,$A$6:$A148,$A148,$F$6:$F148,$F148,$R$6:$R148,$R148))</f>
        <v/>
      </c>
      <c r="U148" s="32">
        <f>IF($C148="","",$C148&amp;"|"&amp;COUNTIFS($C$6:$C148,$C148))</f>
        <v/>
      </c>
      <c r="V148" s="32">
        <f>IF(OR($C148="",$A148="",$S148=""),"",$C148&amp;"|"&amp;$A148&amp;"|"&amp;$S148)</f>
        <v/>
      </c>
      <c r="W148" s="32">
        <f>IF(OR($C148="",$S148="",$S148=1),"",IFERROR(INDEX($Q$6:$Q$1505,MATCH($C148&amp;"|"&amp;$A148&amp;"|"&amp;($S148-1),$V$6:$V$1505,0)),""))</f>
        <v/>
      </c>
      <c r="X148" s="32">
        <f>IF(OR($W148="",$Q148="",LEFT($Q148,1)="—"),"",IF($W148=$Q148,"ללא שינוי","מ-"&amp;$W148&amp;" ל-"&amp;$Q148))</f>
        <v/>
      </c>
    </row>
    <row r="149" ht="15.75" customHeight="1" s="58">
      <c r="A149" s="65" t="n"/>
      <c r="B149" s="65" t="n"/>
      <c r="C149" s="66" t="n"/>
      <c r="D149" s="66" t="n"/>
      <c r="E149" s="65" t="n"/>
      <c r="F149" s="65" t="n"/>
      <c r="G149" s="65" t="n"/>
      <c r="H149" s="65" t="n"/>
      <c r="I149" s="65" t="n"/>
      <c r="J149" s="65" t="n"/>
      <c r="K149" s="65" t="n"/>
      <c r="L149" s="65" t="n"/>
      <c r="M149" s="65" t="n"/>
      <c r="N149" s="65" t="n"/>
      <c r="O149" s="65" t="n"/>
      <c r="P149" s="65" t="n"/>
      <c r="Q149" s="32">
        <f>IF($C149="","",IF($J149="","— חסרים נתונים",IF($J149="טרם מפענח","פרופיל 5",IF($J149="קמץ/פתח/חטף-פתח ושוואים","פרופיל 4",IF($J149="2-3 סימני ניקוד","פרופיל 3",IF($J149="4-5 סימני ניקוד","פרופיל 2",IF(AND($O149="משפטים וקטעים קצרים",OR($M149="מבין",$M149="מבין לרוב")),"פרופיל 1","פרופיל 2")))))))</f>
        <v/>
      </c>
      <c r="R149" s="32">
        <f>IF($C149="","",IF(OR($Q149="",LEFT($Q149,1)="—"),"קבוצה רביעית",IF($Q149="פרופיל 5","קבוצת תשתיות",IF(OR($Q149="פרופיל 4",$Q149="פרופיל 3"),"קבוצת רכישה","קבוצת ביסוס"))))</f>
        <v/>
      </c>
      <c r="S149" s="32">
        <f>IF($F149="","",IF($F149="תחילת שנה",1,IF($F149="מחצית שנה",2,3)))</f>
        <v/>
      </c>
      <c r="T149" s="32">
        <f>IF(OR($B149="",$R149="",$A149="",$F149=""),"",$B149&amp;"|"&amp;$A149&amp;"|"&amp;$F149&amp;"|"&amp;$R149&amp;"|"&amp;COUNTIFS($B$6:$B149,$B149,$A$6:$A149,$A149,$F$6:$F149,$F149,$R$6:$R149,$R149))</f>
        <v/>
      </c>
      <c r="U149" s="32">
        <f>IF($C149="","",$C149&amp;"|"&amp;COUNTIFS($C$6:$C149,$C149))</f>
        <v/>
      </c>
      <c r="V149" s="32">
        <f>IF(OR($C149="",$A149="",$S149=""),"",$C149&amp;"|"&amp;$A149&amp;"|"&amp;$S149)</f>
        <v/>
      </c>
      <c r="W149" s="32">
        <f>IF(OR($C149="",$S149="",$S149=1),"",IFERROR(INDEX($Q$6:$Q$1505,MATCH($C149&amp;"|"&amp;$A149&amp;"|"&amp;($S149-1),$V$6:$V$1505,0)),""))</f>
        <v/>
      </c>
      <c r="X149" s="32">
        <f>IF(OR($W149="",$Q149="",LEFT($Q149,1)="—"),"",IF($W149=$Q149,"ללא שינוי","מ-"&amp;$W149&amp;" ל-"&amp;$Q149))</f>
        <v/>
      </c>
    </row>
    <row r="150" ht="15.75" customHeight="1" s="58">
      <c r="A150" s="65" t="n"/>
      <c r="B150" s="65" t="n"/>
      <c r="C150" s="66" t="n"/>
      <c r="D150" s="66" t="n"/>
      <c r="E150" s="65" t="n"/>
      <c r="F150" s="65" t="n"/>
      <c r="G150" s="65" t="n"/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32">
        <f>IF($C150="","",IF($J150="","— חסרים נתונים",IF($J150="טרם מפענח","פרופיל 5",IF($J150="קמץ/פתח/חטף-פתח ושוואים","פרופיל 4",IF($J150="2-3 סימני ניקוד","פרופיל 3",IF($J150="4-5 סימני ניקוד","פרופיל 2",IF(AND($O150="משפטים וקטעים קצרים",OR($M150="מבין",$M150="מבין לרוב")),"פרופיל 1","פרופיל 2")))))))</f>
        <v/>
      </c>
      <c r="R150" s="32">
        <f>IF($C150="","",IF(OR($Q150="",LEFT($Q150,1)="—"),"קבוצה רביעית",IF($Q150="פרופיל 5","קבוצת תשתיות",IF(OR($Q150="פרופיל 4",$Q150="פרופיל 3"),"קבוצת רכישה","קבוצת ביסוס"))))</f>
        <v/>
      </c>
      <c r="S150" s="32">
        <f>IF($F150="","",IF($F150="תחילת שנה",1,IF($F150="מחצית שנה",2,3)))</f>
        <v/>
      </c>
      <c r="T150" s="32">
        <f>IF(OR($B150="",$R150="",$A150="",$F150=""),"",$B150&amp;"|"&amp;$A150&amp;"|"&amp;$F150&amp;"|"&amp;$R150&amp;"|"&amp;COUNTIFS($B$6:$B150,$B150,$A$6:$A150,$A150,$F$6:$F150,$F150,$R$6:$R150,$R150))</f>
        <v/>
      </c>
      <c r="U150" s="32">
        <f>IF($C150="","",$C150&amp;"|"&amp;COUNTIFS($C$6:$C150,$C150))</f>
        <v/>
      </c>
      <c r="V150" s="32">
        <f>IF(OR($C150="",$A150="",$S150=""),"",$C150&amp;"|"&amp;$A150&amp;"|"&amp;$S150)</f>
        <v/>
      </c>
      <c r="W150" s="32">
        <f>IF(OR($C150="",$S150="",$S150=1),"",IFERROR(INDEX($Q$6:$Q$1505,MATCH($C150&amp;"|"&amp;$A150&amp;"|"&amp;($S150-1),$V$6:$V$1505,0)),""))</f>
        <v/>
      </c>
      <c r="X150" s="32">
        <f>IF(OR($W150="",$Q150="",LEFT($Q150,1)="—"),"",IF($W150=$Q150,"ללא שינוי","מ-"&amp;$W150&amp;" ל-"&amp;$Q150))</f>
        <v/>
      </c>
    </row>
    <row r="151" ht="15.75" customHeight="1" s="58">
      <c r="A151" s="65" t="n"/>
      <c r="B151" s="65" t="n"/>
      <c r="C151" s="66" t="n"/>
      <c r="D151" s="66" t="n"/>
      <c r="E151" s="65" t="n"/>
      <c r="F151" s="65" t="n"/>
      <c r="G151" s="65" t="n"/>
      <c r="H151" s="65" t="n"/>
      <c r="I151" s="65" t="n"/>
      <c r="J151" s="65" t="n"/>
      <c r="K151" s="65" t="n"/>
      <c r="L151" s="65" t="n"/>
      <c r="M151" s="65" t="n"/>
      <c r="N151" s="65" t="n"/>
      <c r="O151" s="65" t="n"/>
      <c r="P151" s="65" t="n"/>
      <c r="Q151" s="32">
        <f>IF($C151="","",IF($J151="","— חסרים נתונים",IF($J151="טרם מפענח","פרופיל 5",IF($J151="קמץ/פתח/חטף-פתח ושוואים","פרופיל 4",IF($J151="2-3 סימני ניקוד","פרופיל 3",IF($J151="4-5 סימני ניקוד","פרופיל 2",IF(AND($O151="משפטים וקטעים קצרים",OR($M151="מבין",$M151="מבין לרוב")),"פרופיל 1","פרופיל 2")))))))</f>
        <v/>
      </c>
      <c r="R151" s="32">
        <f>IF($C151="","",IF(OR($Q151="",LEFT($Q151,1)="—"),"קבוצה רביעית",IF($Q151="פרופיל 5","קבוצת תשתיות",IF(OR($Q151="פרופיל 4",$Q151="פרופיל 3"),"קבוצת רכישה","קבוצת ביסוס"))))</f>
        <v/>
      </c>
      <c r="S151" s="32">
        <f>IF($F151="","",IF($F151="תחילת שנה",1,IF($F151="מחצית שנה",2,3)))</f>
        <v/>
      </c>
      <c r="T151" s="32">
        <f>IF(OR($B151="",$R151="",$A151="",$F151=""),"",$B151&amp;"|"&amp;$A151&amp;"|"&amp;$F151&amp;"|"&amp;$R151&amp;"|"&amp;COUNTIFS($B$6:$B151,$B151,$A$6:$A151,$A151,$F$6:$F151,$F151,$R$6:$R151,$R151))</f>
        <v/>
      </c>
      <c r="U151" s="32">
        <f>IF($C151="","",$C151&amp;"|"&amp;COUNTIFS($C$6:$C151,$C151))</f>
        <v/>
      </c>
      <c r="V151" s="32">
        <f>IF(OR($C151="",$A151="",$S151=""),"",$C151&amp;"|"&amp;$A151&amp;"|"&amp;$S151)</f>
        <v/>
      </c>
      <c r="W151" s="32">
        <f>IF(OR($C151="",$S151="",$S151=1),"",IFERROR(INDEX($Q$6:$Q$1505,MATCH($C151&amp;"|"&amp;$A151&amp;"|"&amp;($S151-1),$V$6:$V$1505,0)),""))</f>
        <v/>
      </c>
      <c r="X151" s="32">
        <f>IF(OR($W151="",$Q151="",LEFT($Q151,1)="—"),"",IF($W151=$Q151,"ללא שינוי","מ-"&amp;$W151&amp;" ל-"&amp;$Q151))</f>
        <v/>
      </c>
    </row>
    <row r="152" ht="15.75" customHeight="1" s="58">
      <c r="A152" s="65" t="n"/>
      <c r="B152" s="65" t="n"/>
      <c r="C152" s="66" t="n"/>
      <c r="D152" s="66" t="n"/>
      <c r="E152" s="65" t="n"/>
      <c r="F152" s="65" t="n"/>
      <c r="G152" s="65" t="n"/>
      <c r="H152" s="65" t="n"/>
      <c r="I152" s="65" t="n"/>
      <c r="J152" s="65" t="n"/>
      <c r="K152" s="65" t="n"/>
      <c r="L152" s="65" t="n"/>
      <c r="M152" s="65" t="n"/>
      <c r="N152" s="65" t="n"/>
      <c r="O152" s="65" t="n"/>
      <c r="P152" s="65" t="n"/>
      <c r="Q152" s="32">
        <f>IF($C152="","",IF($J152="","— חסרים נתונים",IF($J152="טרם מפענח","פרופיל 5",IF($J152="קמץ/פתח/חטף-פתח ושוואים","פרופיל 4",IF($J152="2-3 סימני ניקוד","פרופיל 3",IF($J152="4-5 סימני ניקוד","פרופיל 2",IF(AND($O152="משפטים וקטעים קצרים",OR($M152="מבין",$M152="מבין לרוב")),"פרופיל 1","פרופיל 2")))))))</f>
        <v/>
      </c>
      <c r="R152" s="32">
        <f>IF($C152="","",IF(OR($Q152="",LEFT($Q152,1)="—"),"קבוצה רביעית",IF($Q152="פרופיל 5","קבוצת תשתיות",IF(OR($Q152="פרופיל 4",$Q152="פרופיל 3"),"קבוצת רכישה","קבוצת ביסוס"))))</f>
        <v/>
      </c>
      <c r="S152" s="32">
        <f>IF($F152="","",IF($F152="תחילת שנה",1,IF($F152="מחצית שנה",2,3)))</f>
        <v/>
      </c>
      <c r="T152" s="32">
        <f>IF(OR($B152="",$R152="",$A152="",$F152=""),"",$B152&amp;"|"&amp;$A152&amp;"|"&amp;$F152&amp;"|"&amp;$R152&amp;"|"&amp;COUNTIFS($B$6:$B152,$B152,$A$6:$A152,$A152,$F$6:$F152,$F152,$R$6:$R152,$R152))</f>
        <v/>
      </c>
      <c r="U152" s="32">
        <f>IF($C152="","",$C152&amp;"|"&amp;COUNTIFS($C$6:$C152,$C152))</f>
        <v/>
      </c>
      <c r="V152" s="32">
        <f>IF(OR($C152="",$A152="",$S152=""),"",$C152&amp;"|"&amp;$A152&amp;"|"&amp;$S152)</f>
        <v/>
      </c>
      <c r="W152" s="32">
        <f>IF(OR($C152="",$S152="",$S152=1),"",IFERROR(INDEX($Q$6:$Q$1505,MATCH($C152&amp;"|"&amp;$A152&amp;"|"&amp;($S152-1),$V$6:$V$1505,0)),""))</f>
        <v/>
      </c>
      <c r="X152" s="32">
        <f>IF(OR($W152="",$Q152="",LEFT($Q152,1)="—"),"",IF($W152=$Q152,"ללא שינוי","מ-"&amp;$W152&amp;" ל-"&amp;$Q152))</f>
        <v/>
      </c>
    </row>
    <row r="153" ht="15.75" customHeight="1" s="58">
      <c r="A153" s="65" t="n"/>
      <c r="B153" s="65" t="n"/>
      <c r="C153" s="66" t="n"/>
      <c r="D153" s="66" t="n"/>
      <c r="E153" s="65" t="n"/>
      <c r="F153" s="65" t="n"/>
      <c r="G153" s="65" t="n"/>
      <c r="H153" s="65" t="n"/>
      <c r="I153" s="65" t="n"/>
      <c r="J153" s="65" t="n"/>
      <c r="K153" s="65" t="n"/>
      <c r="L153" s="65" t="n"/>
      <c r="M153" s="65" t="n"/>
      <c r="N153" s="65" t="n"/>
      <c r="O153" s="65" t="n"/>
      <c r="P153" s="65" t="n"/>
      <c r="Q153" s="32">
        <f>IF($C153="","",IF($J153="","— חסרים נתונים",IF($J153="טרם מפענח","פרופיל 5",IF($J153="קמץ/פתח/חטף-פתח ושוואים","פרופיל 4",IF($J153="2-3 סימני ניקוד","פרופיל 3",IF($J153="4-5 סימני ניקוד","פרופיל 2",IF(AND($O153="משפטים וקטעים קצרים",OR($M153="מבין",$M153="מבין לרוב")),"פרופיל 1","פרופיל 2")))))))</f>
        <v/>
      </c>
      <c r="R153" s="32">
        <f>IF($C153="","",IF(OR($Q153="",LEFT($Q153,1)="—"),"קבוצה רביעית",IF($Q153="פרופיל 5","קבוצת תשתיות",IF(OR($Q153="פרופיל 4",$Q153="פרופיל 3"),"קבוצת רכישה","קבוצת ביסוס"))))</f>
        <v/>
      </c>
      <c r="S153" s="32">
        <f>IF($F153="","",IF($F153="תחילת שנה",1,IF($F153="מחצית שנה",2,3)))</f>
        <v/>
      </c>
      <c r="T153" s="32">
        <f>IF(OR($B153="",$R153="",$A153="",$F153=""),"",$B153&amp;"|"&amp;$A153&amp;"|"&amp;$F153&amp;"|"&amp;$R153&amp;"|"&amp;COUNTIFS($B$6:$B153,$B153,$A$6:$A153,$A153,$F$6:$F153,$F153,$R$6:$R153,$R153))</f>
        <v/>
      </c>
      <c r="U153" s="32">
        <f>IF($C153="","",$C153&amp;"|"&amp;COUNTIFS($C$6:$C153,$C153))</f>
        <v/>
      </c>
      <c r="V153" s="32">
        <f>IF(OR($C153="",$A153="",$S153=""),"",$C153&amp;"|"&amp;$A153&amp;"|"&amp;$S153)</f>
        <v/>
      </c>
      <c r="W153" s="32">
        <f>IF(OR($C153="",$S153="",$S153=1),"",IFERROR(INDEX($Q$6:$Q$1505,MATCH($C153&amp;"|"&amp;$A153&amp;"|"&amp;($S153-1),$V$6:$V$1505,0)),""))</f>
        <v/>
      </c>
      <c r="X153" s="32">
        <f>IF(OR($W153="",$Q153="",LEFT($Q153,1)="—"),"",IF($W153=$Q153,"ללא שינוי","מ-"&amp;$W153&amp;" ל-"&amp;$Q153))</f>
        <v/>
      </c>
    </row>
    <row r="154" ht="15.75" customHeight="1" s="58">
      <c r="A154" s="65" t="n"/>
      <c r="B154" s="65" t="n"/>
      <c r="C154" s="66" t="n"/>
      <c r="D154" s="66" t="n"/>
      <c r="E154" s="65" t="n"/>
      <c r="F154" s="65" t="n"/>
      <c r="G154" s="65" t="n"/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32">
        <f>IF($C154="","",IF($J154="","— חסרים נתונים",IF($J154="טרם מפענח","פרופיל 5",IF($J154="קמץ/פתח/חטף-פתח ושוואים","פרופיל 4",IF($J154="2-3 סימני ניקוד","פרופיל 3",IF($J154="4-5 סימני ניקוד","פרופיל 2",IF(AND($O154="משפטים וקטעים קצרים",OR($M154="מבין",$M154="מבין לרוב")),"פרופיל 1","פרופיל 2")))))))</f>
        <v/>
      </c>
      <c r="R154" s="32">
        <f>IF($C154="","",IF(OR($Q154="",LEFT($Q154,1)="—"),"קבוצה רביעית",IF($Q154="פרופיל 5","קבוצת תשתיות",IF(OR($Q154="פרופיל 4",$Q154="פרופיל 3"),"קבוצת רכישה","קבוצת ביסוס"))))</f>
        <v/>
      </c>
      <c r="S154" s="32">
        <f>IF($F154="","",IF($F154="תחילת שנה",1,IF($F154="מחצית שנה",2,3)))</f>
        <v/>
      </c>
      <c r="T154" s="32">
        <f>IF(OR($B154="",$R154="",$A154="",$F154=""),"",$B154&amp;"|"&amp;$A154&amp;"|"&amp;$F154&amp;"|"&amp;$R154&amp;"|"&amp;COUNTIFS($B$6:$B154,$B154,$A$6:$A154,$A154,$F$6:$F154,$F154,$R$6:$R154,$R154))</f>
        <v/>
      </c>
      <c r="U154" s="32">
        <f>IF($C154="","",$C154&amp;"|"&amp;COUNTIFS($C$6:$C154,$C154))</f>
        <v/>
      </c>
      <c r="V154" s="32">
        <f>IF(OR($C154="",$A154="",$S154=""),"",$C154&amp;"|"&amp;$A154&amp;"|"&amp;$S154)</f>
        <v/>
      </c>
      <c r="W154" s="32">
        <f>IF(OR($C154="",$S154="",$S154=1),"",IFERROR(INDEX($Q$6:$Q$1505,MATCH($C154&amp;"|"&amp;$A154&amp;"|"&amp;($S154-1),$V$6:$V$1505,0)),""))</f>
        <v/>
      </c>
      <c r="X154" s="32">
        <f>IF(OR($W154="",$Q154="",LEFT($Q154,1)="—"),"",IF($W154=$Q154,"ללא שינוי","מ-"&amp;$W154&amp;" ל-"&amp;$Q154))</f>
        <v/>
      </c>
    </row>
    <row r="155" ht="15.75" customHeight="1" s="58">
      <c r="A155" s="65" t="n"/>
      <c r="B155" s="65" t="n"/>
      <c r="C155" s="66" t="n"/>
      <c r="D155" s="66" t="n"/>
      <c r="E155" s="65" t="n"/>
      <c r="F155" s="65" t="n"/>
      <c r="G155" s="65" t="n"/>
      <c r="H155" s="65" t="n"/>
      <c r="I155" s="65" t="n"/>
      <c r="J155" s="65" t="n"/>
      <c r="K155" s="65" t="n"/>
      <c r="L155" s="65" t="n"/>
      <c r="M155" s="65" t="n"/>
      <c r="N155" s="65" t="n"/>
      <c r="O155" s="65" t="n"/>
      <c r="P155" s="65" t="n"/>
      <c r="Q155" s="32">
        <f>IF($C155="","",IF($J155="","— חסרים נתונים",IF($J155="טרם מפענח","פרופיל 5",IF($J155="קמץ/פתח/חטף-פתח ושוואים","פרופיל 4",IF($J155="2-3 סימני ניקוד","פרופיל 3",IF($J155="4-5 סימני ניקוד","פרופיל 2",IF(AND($O155="משפטים וקטעים קצרים",OR($M155="מבין",$M155="מבין לרוב")),"פרופיל 1","פרופיל 2")))))))</f>
        <v/>
      </c>
      <c r="R155" s="32">
        <f>IF($C155="","",IF(OR($Q155="",LEFT($Q155,1)="—"),"קבוצה רביעית",IF($Q155="פרופיל 5","קבוצת תשתיות",IF(OR($Q155="פרופיל 4",$Q155="פרופיל 3"),"קבוצת רכישה","קבוצת ביסוס"))))</f>
        <v/>
      </c>
      <c r="S155" s="32">
        <f>IF($F155="","",IF($F155="תחילת שנה",1,IF($F155="מחצית שנה",2,3)))</f>
        <v/>
      </c>
      <c r="T155" s="32">
        <f>IF(OR($B155="",$R155="",$A155="",$F155=""),"",$B155&amp;"|"&amp;$A155&amp;"|"&amp;$F155&amp;"|"&amp;$R155&amp;"|"&amp;COUNTIFS($B$6:$B155,$B155,$A$6:$A155,$A155,$F$6:$F155,$F155,$R$6:$R155,$R155))</f>
        <v/>
      </c>
      <c r="U155" s="32">
        <f>IF($C155="","",$C155&amp;"|"&amp;COUNTIFS($C$6:$C155,$C155))</f>
        <v/>
      </c>
      <c r="V155" s="32">
        <f>IF(OR($C155="",$A155="",$S155=""),"",$C155&amp;"|"&amp;$A155&amp;"|"&amp;$S155)</f>
        <v/>
      </c>
      <c r="W155" s="32">
        <f>IF(OR($C155="",$S155="",$S155=1),"",IFERROR(INDEX($Q$6:$Q$1505,MATCH($C155&amp;"|"&amp;$A155&amp;"|"&amp;($S155-1),$V$6:$V$1505,0)),""))</f>
        <v/>
      </c>
      <c r="X155" s="32">
        <f>IF(OR($W155="",$Q155="",LEFT($Q155,1)="—"),"",IF($W155=$Q155,"ללא שינוי","מ-"&amp;$W155&amp;" ל-"&amp;$Q155))</f>
        <v/>
      </c>
    </row>
    <row r="156" ht="15.75" customHeight="1" s="58">
      <c r="A156" s="65" t="n"/>
      <c r="B156" s="65" t="n"/>
      <c r="C156" s="66" t="n"/>
      <c r="D156" s="66" t="n"/>
      <c r="E156" s="65" t="n"/>
      <c r="F156" s="65" t="n"/>
      <c r="G156" s="65" t="n"/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32">
        <f>IF($C156="","",IF($J156="","— חסרים נתונים",IF($J156="טרם מפענח","פרופיל 5",IF($J156="קמץ/פתח/חטף-פתח ושוואים","פרופיל 4",IF($J156="2-3 סימני ניקוד","פרופיל 3",IF($J156="4-5 סימני ניקוד","פרופיל 2",IF(AND($O156="משפטים וקטעים קצרים",OR($M156="מבין",$M156="מבין לרוב")),"פרופיל 1","פרופיל 2")))))))</f>
        <v/>
      </c>
      <c r="R156" s="32">
        <f>IF($C156="","",IF(OR($Q156="",LEFT($Q156,1)="—"),"קבוצה רביעית",IF($Q156="פרופיל 5","קבוצת תשתיות",IF(OR($Q156="פרופיל 4",$Q156="פרופיל 3"),"קבוצת רכישה","קבוצת ביסוס"))))</f>
        <v/>
      </c>
      <c r="S156" s="32">
        <f>IF($F156="","",IF($F156="תחילת שנה",1,IF($F156="מחצית שנה",2,3)))</f>
        <v/>
      </c>
      <c r="T156" s="32">
        <f>IF(OR($B156="",$R156="",$A156="",$F156=""),"",$B156&amp;"|"&amp;$A156&amp;"|"&amp;$F156&amp;"|"&amp;$R156&amp;"|"&amp;COUNTIFS($B$6:$B156,$B156,$A$6:$A156,$A156,$F$6:$F156,$F156,$R$6:$R156,$R156))</f>
        <v/>
      </c>
      <c r="U156" s="32">
        <f>IF($C156="","",$C156&amp;"|"&amp;COUNTIFS($C$6:$C156,$C156))</f>
        <v/>
      </c>
      <c r="V156" s="32">
        <f>IF(OR($C156="",$A156="",$S156=""),"",$C156&amp;"|"&amp;$A156&amp;"|"&amp;$S156)</f>
        <v/>
      </c>
      <c r="W156" s="32">
        <f>IF(OR($C156="",$S156="",$S156=1),"",IFERROR(INDEX($Q$6:$Q$1505,MATCH($C156&amp;"|"&amp;$A156&amp;"|"&amp;($S156-1),$V$6:$V$1505,0)),""))</f>
        <v/>
      </c>
      <c r="X156" s="32">
        <f>IF(OR($W156="",$Q156="",LEFT($Q156,1)="—"),"",IF($W156=$Q156,"ללא שינוי","מ-"&amp;$W156&amp;" ל-"&amp;$Q156))</f>
        <v/>
      </c>
    </row>
    <row r="157" ht="15.75" customHeight="1" s="58">
      <c r="A157" s="65" t="n"/>
      <c r="B157" s="65" t="n"/>
      <c r="C157" s="66" t="n"/>
      <c r="D157" s="66" t="n"/>
      <c r="E157" s="65" t="n"/>
      <c r="F157" s="65" t="n"/>
      <c r="G157" s="65" t="n"/>
      <c r="H157" s="65" t="n"/>
      <c r="I157" s="65" t="n"/>
      <c r="J157" s="65" t="n"/>
      <c r="K157" s="65" t="n"/>
      <c r="L157" s="65" t="n"/>
      <c r="M157" s="65" t="n"/>
      <c r="N157" s="65" t="n"/>
      <c r="O157" s="65" t="n"/>
      <c r="P157" s="65" t="n"/>
      <c r="Q157" s="32">
        <f>IF($C157="","",IF($J157="","— חסרים נתונים",IF($J157="טרם מפענח","פרופיל 5",IF($J157="קמץ/פתח/חטף-פתח ושוואים","פרופיל 4",IF($J157="2-3 סימני ניקוד","פרופיל 3",IF($J157="4-5 סימני ניקוד","פרופיל 2",IF(AND($O157="משפטים וקטעים קצרים",OR($M157="מבין",$M157="מבין לרוב")),"פרופיל 1","פרופיל 2")))))))</f>
        <v/>
      </c>
      <c r="R157" s="32">
        <f>IF($C157="","",IF(OR($Q157="",LEFT($Q157,1)="—"),"קבוצה רביעית",IF($Q157="פרופיל 5","קבוצת תשתיות",IF(OR($Q157="פרופיל 4",$Q157="פרופיל 3"),"קבוצת רכישה","קבוצת ביסוס"))))</f>
        <v/>
      </c>
      <c r="S157" s="32">
        <f>IF($F157="","",IF($F157="תחילת שנה",1,IF($F157="מחצית שנה",2,3)))</f>
        <v/>
      </c>
      <c r="T157" s="32">
        <f>IF(OR($B157="",$R157="",$A157="",$F157=""),"",$B157&amp;"|"&amp;$A157&amp;"|"&amp;$F157&amp;"|"&amp;$R157&amp;"|"&amp;COUNTIFS($B$6:$B157,$B157,$A$6:$A157,$A157,$F$6:$F157,$F157,$R$6:$R157,$R157))</f>
        <v/>
      </c>
      <c r="U157" s="32">
        <f>IF($C157="","",$C157&amp;"|"&amp;COUNTIFS($C$6:$C157,$C157))</f>
        <v/>
      </c>
      <c r="V157" s="32">
        <f>IF(OR($C157="",$A157="",$S157=""),"",$C157&amp;"|"&amp;$A157&amp;"|"&amp;$S157)</f>
        <v/>
      </c>
      <c r="W157" s="32">
        <f>IF(OR($C157="",$S157="",$S157=1),"",IFERROR(INDEX($Q$6:$Q$1505,MATCH($C157&amp;"|"&amp;$A157&amp;"|"&amp;($S157-1),$V$6:$V$1505,0)),""))</f>
        <v/>
      </c>
      <c r="X157" s="32">
        <f>IF(OR($W157="",$Q157="",LEFT($Q157,1)="—"),"",IF($W157=$Q157,"ללא שינוי","מ-"&amp;$W157&amp;" ל-"&amp;$Q157))</f>
        <v/>
      </c>
    </row>
    <row r="158" ht="15.75" customHeight="1" s="58">
      <c r="A158" s="65" t="n"/>
      <c r="B158" s="65" t="n"/>
      <c r="C158" s="66" t="n"/>
      <c r="D158" s="66" t="n"/>
      <c r="E158" s="65" t="n"/>
      <c r="F158" s="65" t="n"/>
      <c r="G158" s="65" t="n"/>
      <c r="H158" s="65" t="n"/>
      <c r="I158" s="65" t="n"/>
      <c r="J158" s="65" t="n"/>
      <c r="K158" s="65" t="n"/>
      <c r="L158" s="65" t="n"/>
      <c r="M158" s="65" t="n"/>
      <c r="N158" s="65" t="n"/>
      <c r="O158" s="65" t="n"/>
      <c r="P158" s="65" t="n"/>
      <c r="Q158" s="32">
        <f>IF($C158="","",IF($J158="","— חסרים נתונים",IF($J158="טרם מפענח","פרופיל 5",IF($J158="קמץ/פתח/חטף-פתח ושוואים","פרופיל 4",IF($J158="2-3 סימני ניקוד","פרופיל 3",IF($J158="4-5 סימני ניקוד","פרופיל 2",IF(AND($O158="משפטים וקטעים קצרים",OR($M158="מבין",$M158="מבין לרוב")),"פרופיל 1","פרופיל 2")))))))</f>
        <v/>
      </c>
      <c r="R158" s="32">
        <f>IF($C158="","",IF(OR($Q158="",LEFT($Q158,1)="—"),"קבוצה רביעית",IF($Q158="פרופיל 5","קבוצת תשתיות",IF(OR($Q158="פרופיל 4",$Q158="פרופיל 3"),"קבוצת רכישה","קבוצת ביסוס"))))</f>
        <v/>
      </c>
      <c r="S158" s="32">
        <f>IF($F158="","",IF($F158="תחילת שנה",1,IF($F158="מחצית שנה",2,3)))</f>
        <v/>
      </c>
      <c r="T158" s="32">
        <f>IF(OR($B158="",$R158="",$A158="",$F158=""),"",$B158&amp;"|"&amp;$A158&amp;"|"&amp;$F158&amp;"|"&amp;$R158&amp;"|"&amp;COUNTIFS($B$6:$B158,$B158,$A$6:$A158,$A158,$F$6:$F158,$F158,$R$6:$R158,$R158))</f>
        <v/>
      </c>
      <c r="U158" s="32">
        <f>IF($C158="","",$C158&amp;"|"&amp;COUNTIFS($C$6:$C158,$C158))</f>
        <v/>
      </c>
      <c r="V158" s="32">
        <f>IF(OR($C158="",$A158="",$S158=""),"",$C158&amp;"|"&amp;$A158&amp;"|"&amp;$S158)</f>
        <v/>
      </c>
      <c r="W158" s="32">
        <f>IF(OR($C158="",$S158="",$S158=1),"",IFERROR(INDEX($Q$6:$Q$1505,MATCH($C158&amp;"|"&amp;$A158&amp;"|"&amp;($S158-1),$V$6:$V$1505,0)),""))</f>
        <v/>
      </c>
      <c r="X158" s="32">
        <f>IF(OR($W158="",$Q158="",LEFT($Q158,1)="—"),"",IF($W158=$Q158,"ללא שינוי","מ-"&amp;$W158&amp;" ל-"&amp;$Q158))</f>
        <v/>
      </c>
    </row>
    <row r="159" ht="15.75" customHeight="1" s="58">
      <c r="A159" s="65" t="n"/>
      <c r="B159" s="65" t="n"/>
      <c r="C159" s="66" t="n"/>
      <c r="D159" s="66" t="n"/>
      <c r="E159" s="65" t="n"/>
      <c r="F159" s="65" t="n"/>
      <c r="G159" s="65" t="n"/>
      <c r="H159" s="65" t="n"/>
      <c r="I159" s="65" t="n"/>
      <c r="J159" s="65" t="n"/>
      <c r="K159" s="65" t="n"/>
      <c r="L159" s="65" t="n"/>
      <c r="M159" s="65" t="n"/>
      <c r="N159" s="65" t="n"/>
      <c r="O159" s="65" t="n"/>
      <c r="P159" s="65" t="n"/>
      <c r="Q159" s="32">
        <f>IF($C159="","",IF($J159="","— חסרים נתונים",IF($J159="טרם מפענח","פרופיל 5",IF($J159="קמץ/פתח/חטף-פתח ושוואים","פרופיל 4",IF($J159="2-3 סימני ניקוד","פרופיל 3",IF($J159="4-5 סימני ניקוד","פרופיל 2",IF(AND($O159="משפטים וקטעים קצרים",OR($M159="מבין",$M159="מבין לרוב")),"פרופיל 1","פרופיל 2")))))))</f>
        <v/>
      </c>
      <c r="R159" s="32">
        <f>IF($C159="","",IF(OR($Q159="",LEFT($Q159,1)="—"),"קבוצה רביעית",IF($Q159="פרופיל 5","קבוצת תשתיות",IF(OR($Q159="פרופיל 4",$Q159="פרופיל 3"),"קבוצת רכישה","קבוצת ביסוס"))))</f>
        <v/>
      </c>
      <c r="S159" s="32">
        <f>IF($F159="","",IF($F159="תחילת שנה",1,IF($F159="מחצית שנה",2,3)))</f>
        <v/>
      </c>
      <c r="T159" s="32">
        <f>IF(OR($B159="",$R159="",$A159="",$F159=""),"",$B159&amp;"|"&amp;$A159&amp;"|"&amp;$F159&amp;"|"&amp;$R159&amp;"|"&amp;COUNTIFS($B$6:$B159,$B159,$A$6:$A159,$A159,$F$6:$F159,$F159,$R$6:$R159,$R159))</f>
        <v/>
      </c>
      <c r="U159" s="32">
        <f>IF($C159="","",$C159&amp;"|"&amp;COUNTIFS($C$6:$C159,$C159))</f>
        <v/>
      </c>
      <c r="V159" s="32">
        <f>IF(OR($C159="",$A159="",$S159=""),"",$C159&amp;"|"&amp;$A159&amp;"|"&amp;$S159)</f>
        <v/>
      </c>
      <c r="W159" s="32">
        <f>IF(OR($C159="",$S159="",$S159=1),"",IFERROR(INDEX($Q$6:$Q$1505,MATCH($C159&amp;"|"&amp;$A159&amp;"|"&amp;($S159-1),$V$6:$V$1505,0)),""))</f>
        <v/>
      </c>
      <c r="X159" s="32">
        <f>IF(OR($W159="",$Q159="",LEFT($Q159,1)="—"),"",IF($W159=$Q159,"ללא שינוי","מ-"&amp;$W159&amp;" ל-"&amp;$Q159))</f>
        <v/>
      </c>
    </row>
    <row r="160" ht="15.75" customHeight="1" s="58">
      <c r="A160" s="65" t="n"/>
      <c r="B160" s="65" t="n"/>
      <c r="C160" s="66" t="n"/>
      <c r="D160" s="66" t="n"/>
      <c r="E160" s="65" t="n"/>
      <c r="F160" s="65" t="n"/>
      <c r="G160" s="65" t="n"/>
      <c r="H160" s="65" t="n"/>
      <c r="I160" s="65" t="n"/>
      <c r="J160" s="65" t="n"/>
      <c r="K160" s="65" t="n"/>
      <c r="L160" s="65" t="n"/>
      <c r="M160" s="65" t="n"/>
      <c r="N160" s="65" t="n"/>
      <c r="O160" s="65" t="n"/>
      <c r="P160" s="65" t="n"/>
      <c r="Q160" s="32">
        <f>IF($C160="","",IF($J160="","— חסרים נתונים",IF($J160="טרם מפענח","פרופיל 5",IF($J160="קמץ/פתח/חטף-פתח ושוואים","פרופיל 4",IF($J160="2-3 סימני ניקוד","פרופיל 3",IF($J160="4-5 סימני ניקוד","פרופיל 2",IF(AND($O160="משפטים וקטעים קצרים",OR($M160="מבין",$M160="מבין לרוב")),"פרופיל 1","פרופיל 2")))))))</f>
        <v/>
      </c>
      <c r="R160" s="32">
        <f>IF($C160="","",IF(OR($Q160="",LEFT($Q160,1)="—"),"קבוצה רביעית",IF($Q160="פרופיל 5","קבוצת תשתיות",IF(OR($Q160="פרופיל 4",$Q160="פרופיל 3"),"קבוצת רכישה","קבוצת ביסוס"))))</f>
        <v/>
      </c>
      <c r="S160" s="32">
        <f>IF($F160="","",IF($F160="תחילת שנה",1,IF($F160="מחצית שנה",2,3)))</f>
        <v/>
      </c>
      <c r="T160" s="32">
        <f>IF(OR($B160="",$R160="",$A160="",$F160=""),"",$B160&amp;"|"&amp;$A160&amp;"|"&amp;$F160&amp;"|"&amp;$R160&amp;"|"&amp;COUNTIFS($B$6:$B160,$B160,$A$6:$A160,$A160,$F$6:$F160,$F160,$R$6:$R160,$R160))</f>
        <v/>
      </c>
      <c r="U160" s="32">
        <f>IF($C160="","",$C160&amp;"|"&amp;COUNTIFS($C$6:$C160,$C160))</f>
        <v/>
      </c>
      <c r="V160" s="32">
        <f>IF(OR($C160="",$A160="",$S160=""),"",$C160&amp;"|"&amp;$A160&amp;"|"&amp;$S160)</f>
        <v/>
      </c>
      <c r="W160" s="32">
        <f>IF(OR($C160="",$S160="",$S160=1),"",IFERROR(INDEX($Q$6:$Q$1505,MATCH($C160&amp;"|"&amp;$A160&amp;"|"&amp;($S160-1),$V$6:$V$1505,0)),""))</f>
        <v/>
      </c>
      <c r="X160" s="32">
        <f>IF(OR($W160="",$Q160="",LEFT($Q160,1)="—"),"",IF($W160=$Q160,"ללא שינוי","מ-"&amp;$W160&amp;" ל-"&amp;$Q160))</f>
        <v/>
      </c>
    </row>
    <row r="161" ht="15.75" customHeight="1" s="58">
      <c r="A161" s="65" t="n"/>
      <c r="B161" s="65" t="n"/>
      <c r="C161" s="66" t="n"/>
      <c r="D161" s="66" t="n"/>
      <c r="E161" s="65" t="n"/>
      <c r="F161" s="65" t="n"/>
      <c r="G161" s="65" t="n"/>
      <c r="H161" s="65" t="n"/>
      <c r="I161" s="65" t="n"/>
      <c r="J161" s="65" t="n"/>
      <c r="K161" s="65" t="n"/>
      <c r="L161" s="65" t="n"/>
      <c r="M161" s="65" t="n"/>
      <c r="N161" s="65" t="n"/>
      <c r="O161" s="65" t="n"/>
      <c r="P161" s="65" t="n"/>
      <c r="Q161" s="32">
        <f>IF($C161="","",IF($J161="","— חסרים נתונים",IF($J161="טרם מפענח","פרופיל 5",IF($J161="קמץ/פתח/חטף-פתח ושוואים","פרופיל 4",IF($J161="2-3 סימני ניקוד","פרופיל 3",IF($J161="4-5 סימני ניקוד","פרופיל 2",IF(AND($O161="משפטים וקטעים קצרים",OR($M161="מבין",$M161="מבין לרוב")),"פרופיל 1","פרופיל 2")))))))</f>
        <v/>
      </c>
      <c r="R161" s="32">
        <f>IF($C161="","",IF(OR($Q161="",LEFT($Q161,1)="—"),"קבוצה רביעית",IF($Q161="פרופיל 5","קבוצת תשתיות",IF(OR($Q161="פרופיל 4",$Q161="פרופיל 3"),"קבוצת רכישה","קבוצת ביסוס"))))</f>
        <v/>
      </c>
      <c r="S161" s="32">
        <f>IF($F161="","",IF($F161="תחילת שנה",1,IF($F161="מחצית שנה",2,3)))</f>
        <v/>
      </c>
      <c r="T161" s="32">
        <f>IF(OR($B161="",$R161="",$A161="",$F161=""),"",$B161&amp;"|"&amp;$A161&amp;"|"&amp;$F161&amp;"|"&amp;$R161&amp;"|"&amp;COUNTIFS($B$6:$B161,$B161,$A$6:$A161,$A161,$F$6:$F161,$F161,$R$6:$R161,$R161))</f>
        <v/>
      </c>
      <c r="U161" s="32">
        <f>IF($C161="","",$C161&amp;"|"&amp;COUNTIFS($C$6:$C161,$C161))</f>
        <v/>
      </c>
      <c r="V161" s="32">
        <f>IF(OR($C161="",$A161="",$S161=""),"",$C161&amp;"|"&amp;$A161&amp;"|"&amp;$S161)</f>
        <v/>
      </c>
      <c r="W161" s="32">
        <f>IF(OR($C161="",$S161="",$S161=1),"",IFERROR(INDEX($Q$6:$Q$1505,MATCH($C161&amp;"|"&amp;$A161&amp;"|"&amp;($S161-1),$V$6:$V$1505,0)),""))</f>
        <v/>
      </c>
      <c r="X161" s="32">
        <f>IF(OR($W161="",$Q161="",LEFT($Q161,1)="—"),"",IF($W161=$Q161,"ללא שינוי","מ-"&amp;$W161&amp;" ל-"&amp;$Q161))</f>
        <v/>
      </c>
    </row>
    <row r="162" ht="15.75" customHeight="1" s="58">
      <c r="A162" s="65" t="n"/>
      <c r="B162" s="65" t="n"/>
      <c r="C162" s="66" t="n"/>
      <c r="D162" s="66" t="n"/>
      <c r="E162" s="65" t="n"/>
      <c r="F162" s="65" t="n"/>
      <c r="G162" s="65" t="n"/>
      <c r="H162" s="65" t="n"/>
      <c r="I162" s="65" t="n"/>
      <c r="J162" s="65" t="n"/>
      <c r="K162" s="65" t="n"/>
      <c r="L162" s="65" t="n"/>
      <c r="M162" s="65" t="n"/>
      <c r="N162" s="65" t="n"/>
      <c r="O162" s="65" t="n"/>
      <c r="P162" s="65" t="n"/>
      <c r="Q162" s="32">
        <f>IF($C162="","",IF($J162="","— חסרים נתונים",IF($J162="טרם מפענח","פרופיל 5",IF($J162="קמץ/פתח/חטף-פתח ושוואים","פרופיל 4",IF($J162="2-3 סימני ניקוד","פרופיל 3",IF($J162="4-5 סימני ניקוד","פרופיל 2",IF(AND($O162="משפטים וקטעים קצרים",OR($M162="מבין",$M162="מבין לרוב")),"פרופיל 1","פרופיל 2")))))))</f>
        <v/>
      </c>
      <c r="R162" s="32">
        <f>IF($C162="","",IF(OR($Q162="",LEFT($Q162,1)="—"),"קבוצה רביעית",IF($Q162="פרופיל 5","קבוצת תשתיות",IF(OR($Q162="פרופיל 4",$Q162="פרופיל 3"),"קבוצת רכישה","קבוצת ביסוס"))))</f>
        <v/>
      </c>
      <c r="S162" s="32">
        <f>IF($F162="","",IF($F162="תחילת שנה",1,IF($F162="מחצית שנה",2,3)))</f>
        <v/>
      </c>
      <c r="T162" s="32">
        <f>IF(OR($B162="",$R162="",$A162="",$F162=""),"",$B162&amp;"|"&amp;$A162&amp;"|"&amp;$F162&amp;"|"&amp;$R162&amp;"|"&amp;COUNTIFS($B$6:$B162,$B162,$A$6:$A162,$A162,$F$6:$F162,$F162,$R$6:$R162,$R162))</f>
        <v/>
      </c>
      <c r="U162" s="32">
        <f>IF($C162="","",$C162&amp;"|"&amp;COUNTIFS($C$6:$C162,$C162))</f>
        <v/>
      </c>
      <c r="V162" s="32">
        <f>IF(OR($C162="",$A162="",$S162=""),"",$C162&amp;"|"&amp;$A162&amp;"|"&amp;$S162)</f>
        <v/>
      </c>
      <c r="W162" s="32">
        <f>IF(OR($C162="",$S162="",$S162=1),"",IFERROR(INDEX($Q$6:$Q$1505,MATCH($C162&amp;"|"&amp;$A162&amp;"|"&amp;($S162-1),$V$6:$V$1505,0)),""))</f>
        <v/>
      </c>
      <c r="X162" s="32">
        <f>IF(OR($W162="",$Q162="",LEFT($Q162,1)="—"),"",IF($W162=$Q162,"ללא שינוי","מ-"&amp;$W162&amp;" ל-"&amp;$Q162))</f>
        <v/>
      </c>
    </row>
    <row r="163" ht="15.75" customHeight="1" s="58">
      <c r="A163" s="65" t="n"/>
      <c r="B163" s="65" t="n"/>
      <c r="C163" s="66" t="n"/>
      <c r="D163" s="66" t="n"/>
      <c r="E163" s="65" t="n"/>
      <c r="F163" s="65" t="n"/>
      <c r="G163" s="65" t="n"/>
      <c r="H163" s="65" t="n"/>
      <c r="I163" s="65" t="n"/>
      <c r="J163" s="65" t="n"/>
      <c r="K163" s="65" t="n"/>
      <c r="L163" s="65" t="n"/>
      <c r="M163" s="65" t="n"/>
      <c r="N163" s="65" t="n"/>
      <c r="O163" s="65" t="n"/>
      <c r="P163" s="65" t="n"/>
      <c r="Q163" s="32">
        <f>IF($C163="","",IF($J163="","— חסרים נתונים",IF($J163="טרם מפענח","פרופיל 5",IF($J163="קמץ/פתח/חטף-פתח ושוואים","פרופיל 4",IF($J163="2-3 סימני ניקוד","פרופיל 3",IF($J163="4-5 סימני ניקוד","פרופיל 2",IF(AND($O163="משפטים וקטעים קצרים",OR($M163="מבין",$M163="מבין לרוב")),"פרופיל 1","פרופיל 2")))))))</f>
        <v/>
      </c>
      <c r="R163" s="32">
        <f>IF($C163="","",IF(OR($Q163="",LEFT($Q163,1)="—"),"קבוצה רביעית",IF($Q163="פרופיל 5","קבוצת תשתיות",IF(OR($Q163="פרופיל 4",$Q163="פרופיל 3"),"קבוצת רכישה","קבוצת ביסוס"))))</f>
        <v/>
      </c>
      <c r="S163" s="32">
        <f>IF($F163="","",IF($F163="תחילת שנה",1,IF($F163="מחצית שנה",2,3)))</f>
        <v/>
      </c>
      <c r="T163" s="32">
        <f>IF(OR($B163="",$R163="",$A163="",$F163=""),"",$B163&amp;"|"&amp;$A163&amp;"|"&amp;$F163&amp;"|"&amp;$R163&amp;"|"&amp;COUNTIFS($B$6:$B163,$B163,$A$6:$A163,$A163,$F$6:$F163,$F163,$R$6:$R163,$R163))</f>
        <v/>
      </c>
      <c r="U163" s="32">
        <f>IF($C163="","",$C163&amp;"|"&amp;COUNTIFS($C$6:$C163,$C163))</f>
        <v/>
      </c>
      <c r="V163" s="32">
        <f>IF(OR($C163="",$A163="",$S163=""),"",$C163&amp;"|"&amp;$A163&amp;"|"&amp;$S163)</f>
        <v/>
      </c>
      <c r="W163" s="32">
        <f>IF(OR($C163="",$S163="",$S163=1),"",IFERROR(INDEX($Q$6:$Q$1505,MATCH($C163&amp;"|"&amp;$A163&amp;"|"&amp;($S163-1),$V$6:$V$1505,0)),""))</f>
        <v/>
      </c>
      <c r="X163" s="32">
        <f>IF(OR($W163="",$Q163="",LEFT($Q163,1)="—"),"",IF($W163=$Q163,"ללא שינוי","מ-"&amp;$W163&amp;" ל-"&amp;$Q163))</f>
        <v/>
      </c>
    </row>
    <row r="164" ht="15.75" customHeight="1" s="58">
      <c r="A164" s="65" t="n"/>
      <c r="B164" s="65" t="n"/>
      <c r="C164" s="66" t="n"/>
      <c r="D164" s="66" t="n"/>
      <c r="E164" s="65" t="n"/>
      <c r="F164" s="65" t="n"/>
      <c r="G164" s="65" t="n"/>
      <c r="H164" s="65" t="n"/>
      <c r="I164" s="65" t="n"/>
      <c r="J164" s="65" t="n"/>
      <c r="K164" s="65" t="n"/>
      <c r="L164" s="65" t="n"/>
      <c r="M164" s="65" t="n"/>
      <c r="N164" s="65" t="n"/>
      <c r="O164" s="65" t="n"/>
      <c r="P164" s="65" t="n"/>
      <c r="Q164" s="32">
        <f>IF($C164="","",IF($J164="","— חסרים נתונים",IF($J164="טרם מפענח","פרופיל 5",IF($J164="קמץ/פתח/חטף-פתח ושוואים","פרופיל 4",IF($J164="2-3 סימני ניקוד","פרופיל 3",IF($J164="4-5 סימני ניקוד","פרופיל 2",IF(AND($O164="משפטים וקטעים קצרים",OR($M164="מבין",$M164="מבין לרוב")),"פרופיל 1","פרופיל 2")))))))</f>
        <v/>
      </c>
      <c r="R164" s="32">
        <f>IF($C164="","",IF(OR($Q164="",LEFT($Q164,1)="—"),"קבוצה רביעית",IF($Q164="פרופיל 5","קבוצת תשתיות",IF(OR($Q164="פרופיל 4",$Q164="פרופיל 3"),"קבוצת רכישה","קבוצת ביסוס"))))</f>
        <v/>
      </c>
      <c r="S164" s="32">
        <f>IF($F164="","",IF($F164="תחילת שנה",1,IF($F164="מחצית שנה",2,3)))</f>
        <v/>
      </c>
      <c r="T164" s="32">
        <f>IF(OR($B164="",$R164="",$A164="",$F164=""),"",$B164&amp;"|"&amp;$A164&amp;"|"&amp;$F164&amp;"|"&amp;$R164&amp;"|"&amp;COUNTIFS($B$6:$B164,$B164,$A$6:$A164,$A164,$F$6:$F164,$F164,$R$6:$R164,$R164))</f>
        <v/>
      </c>
      <c r="U164" s="32">
        <f>IF($C164="","",$C164&amp;"|"&amp;COUNTIFS($C$6:$C164,$C164))</f>
        <v/>
      </c>
      <c r="V164" s="32">
        <f>IF(OR($C164="",$A164="",$S164=""),"",$C164&amp;"|"&amp;$A164&amp;"|"&amp;$S164)</f>
        <v/>
      </c>
      <c r="W164" s="32">
        <f>IF(OR($C164="",$S164="",$S164=1),"",IFERROR(INDEX($Q$6:$Q$1505,MATCH($C164&amp;"|"&amp;$A164&amp;"|"&amp;($S164-1),$V$6:$V$1505,0)),""))</f>
        <v/>
      </c>
      <c r="X164" s="32">
        <f>IF(OR($W164="",$Q164="",LEFT($Q164,1)="—"),"",IF($W164=$Q164,"ללא שינוי","מ-"&amp;$W164&amp;" ל-"&amp;$Q164))</f>
        <v/>
      </c>
    </row>
    <row r="165" ht="15.75" customHeight="1" s="58">
      <c r="A165" s="65" t="n"/>
      <c r="B165" s="65" t="n"/>
      <c r="C165" s="66" t="n"/>
      <c r="D165" s="66" t="n"/>
      <c r="E165" s="65" t="n"/>
      <c r="F165" s="65" t="n"/>
      <c r="G165" s="65" t="n"/>
      <c r="H165" s="65" t="n"/>
      <c r="I165" s="65" t="n"/>
      <c r="J165" s="65" t="n"/>
      <c r="K165" s="65" t="n"/>
      <c r="L165" s="65" t="n"/>
      <c r="M165" s="65" t="n"/>
      <c r="N165" s="65" t="n"/>
      <c r="O165" s="65" t="n"/>
      <c r="P165" s="65" t="n"/>
      <c r="Q165" s="32">
        <f>IF($C165="","",IF($J165="","— חסרים נתונים",IF($J165="טרם מפענח","פרופיל 5",IF($J165="קמץ/פתח/חטף-פתח ושוואים","פרופיל 4",IF($J165="2-3 סימני ניקוד","פרופיל 3",IF($J165="4-5 סימני ניקוד","פרופיל 2",IF(AND($O165="משפטים וקטעים קצרים",OR($M165="מבין",$M165="מבין לרוב")),"פרופיל 1","פרופיל 2")))))))</f>
        <v/>
      </c>
      <c r="R165" s="32">
        <f>IF($C165="","",IF(OR($Q165="",LEFT($Q165,1)="—"),"קבוצה רביעית",IF($Q165="פרופיל 5","קבוצת תשתיות",IF(OR($Q165="פרופיל 4",$Q165="פרופיל 3"),"קבוצת רכישה","קבוצת ביסוס"))))</f>
        <v/>
      </c>
      <c r="S165" s="32">
        <f>IF($F165="","",IF($F165="תחילת שנה",1,IF($F165="מחצית שנה",2,3)))</f>
        <v/>
      </c>
      <c r="T165" s="32">
        <f>IF(OR($B165="",$R165="",$A165="",$F165=""),"",$B165&amp;"|"&amp;$A165&amp;"|"&amp;$F165&amp;"|"&amp;$R165&amp;"|"&amp;COUNTIFS($B$6:$B165,$B165,$A$6:$A165,$A165,$F$6:$F165,$F165,$R$6:$R165,$R165))</f>
        <v/>
      </c>
      <c r="U165" s="32">
        <f>IF($C165="","",$C165&amp;"|"&amp;COUNTIFS($C$6:$C165,$C165))</f>
        <v/>
      </c>
      <c r="V165" s="32">
        <f>IF(OR($C165="",$A165="",$S165=""),"",$C165&amp;"|"&amp;$A165&amp;"|"&amp;$S165)</f>
        <v/>
      </c>
      <c r="W165" s="32">
        <f>IF(OR($C165="",$S165="",$S165=1),"",IFERROR(INDEX($Q$6:$Q$1505,MATCH($C165&amp;"|"&amp;$A165&amp;"|"&amp;($S165-1),$V$6:$V$1505,0)),""))</f>
        <v/>
      </c>
      <c r="X165" s="32">
        <f>IF(OR($W165="",$Q165="",LEFT($Q165,1)="—"),"",IF($W165=$Q165,"ללא שינוי","מ-"&amp;$W165&amp;" ל-"&amp;$Q165))</f>
        <v/>
      </c>
    </row>
    <row r="166" ht="15.75" customHeight="1" s="58">
      <c r="A166" s="65" t="n"/>
      <c r="B166" s="65" t="n"/>
      <c r="C166" s="66" t="n"/>
      <c r="D166" s="66" t="n"/>
      <c r="E166" s="65" t="n"/>
      <c r="F166" s="65" t="n"/>
      <c r="G166" s="65" t="n"/>
      <c r="H166" s="65" t="n"/>
      <c r="I166" s="65" t="n"/>
      <c r="J166" s="65" t="n"/>
      <c r="K166" s="65" t="n"/>
      <c r="L166" s="65" t="n"/>
      <c r="M166" s="65" t="n"/>
      <c r="N166" s="65" t="n"/>
      <c r="O166" s="65" t="n"/>
      <c r="P166" s="65" t="n"/>
      <c r="Q166" s="32">
        <f>IF($C166="","",IF($J166="","— חסרים נתונים",IF($J166="טרם מפענח","פרופיל 5",IF($J166="קמץ/פתח/חטף-פתח ושוואים","פרופיל 4",IF($J166="2-3 סימני ניקוד","פרופיל 3",IF($J166="4-5 סימני ניקוד","פרופיל 2",IF(AND($O166="משפטים וקטעים קצרים",OR($M166="מבין",$M166="מבין לרוב")),"פרופיל 1","פרופיל 2")))))))</f>
        <v/>
      </c>
      <c r="R166" s="32">
        <f>IF($C166="","",IF(OR($Q166="",LEFT($Q166,1)="—"),"קבוצה רביעית",IF($Q166="פרופיל 5","קבוצת תשתיות",IF(OR($Q166="פרופיל 4",$Q166="פרופיל 3"),"קבוצת רכישה","קבוצת ביסוס"))))</f>
        <v/>
      </c>
      <c r="S166" s="32">
        <f>IF($F166="","",IF($F166="תחילת שנה",1,IF($F166="מחצית שנה",2,3)))</f>
        <v/>
      </c>
      <c r="T166" s="32">
        <f>IF(OR($B166="",$R166="",$A166="",$F166=""),"",$B166&amp;"|"&amp;$A166&amp;"|"&amp;$F166&amp;"|"&amp;$R166&amp;"|"&amp;COUNTIFS($B$6:$B166,$B166,$A$6:$A166,$A166,$F$6:$F166,$F166,$R$6:$R166,$R166))</f>
        <v/>
      </c>
      <c r="U166" s="32">
        <f>IF($C166="","",$C166&amp;"|"&amp;COUNTIFS($C$6:$C166,$C166))</f>
        <v/>
      </c>
      <c r="V166" s="32">
        <f>IF(OR($C166="",$A166="",$S166=""),"",$C166&amp;"|"&amp;$A166&amp;"|"&amp;$S166)</f>
        <v/>
      </c>
      <c r="W166" s="32">
        <f>IF(OR($C166="",$S166="",$S166=1),"",IFERROR(INDEX($Q$6:$Q$1505,MATCH($C166&amp;"|"&amp;$A166&amp;"|"&amp;($S166-1),$V$6:$V$1505,0)),""))</f>
        <v/>
      </c>
      <c r="X166" s="32">
        <f>IF(OR($W166="",$Q166="",LEFT($Q166,1)="—"),"",IF($W166=$Q166,"ללא שינוי","מ-"&amp;$W166&amp;" ל-"&amp;$Q166))</f>
        <v/>
      </c>
    </row>
    <row r="167" ht="15.75" customHeight="1" s="58">
      <c r="A167" s="65" t="n"/>
      <c r="B167" s="65" t="n"/>
      <c r="C167" s="66" t="n"/>
      <c r="D167" s="66" t="n"/>
      <c r="E167" s="65" t="n"/>
      <c r="F167" s="65" t="n"/>
      <c r="G167" s="65" t="n"/>
      <c r="H167" s="65" t="n"/>
      <c r="I167" s="65" t="n"/>
      <c r="J167" s="65" t="n"/>
      <c r="K167" s="65" t="n"/>
      <c r="L167" s="65" t="n"/>
      <c r="M167" s="65" t="n"/>
      <c r="N167" s="65" t="n"/>
      <c r="O167" s="65" t="n"/>
      <c r="P167" s="65" t="n"/>
      <c r="Q167" s="32">
        <f>IF($C167="","",IF($J167="","— חסרים נתונים",IF($J167="טרם מפענח","פרופיל 5",IF($J167="קמץ/פתח/חטף-פתח ושוואים","פרופיל 4",IF($J167="2-3 סימני ניקוד","פרופיל 3",IF($J167="4-5 סימני ניקוד","פרופיל 2",IF(AND($O167="משפטים וקטעים קצרים",OR($M167="מבין",$M167="מבין לרוב")),"פרופיל 1","פרופיל 2")))))))</f>
        <v/>
      </c>
      <c r="R167" s="32">
        <f>IF($C167="","",IF(OR($Q167="",LEFT($Q167,1)="—"),"קבוצה רביעית",IF($Q167="פרופיל 5","קבוצת תשתיות",IF(OR($Q167="פרופיל 4",$Q167="פרופיל 3"),"קבוצת רכישה","קבוצת ביסוס"))))</f>
        <v/>
      </c>
      <c r="S167" s="32">
        <f>IF($F167="","",IF($F167="תחילת שנה",1,IF($F167="מחצית שנה",2,3)))</f>
        <v/>
      </c>
      <c r="T167" s="32">
        <f>IF(OR($B167="",$R167="",$A167="",$F167=""),"",$B167&amp;"|"&amp;$A167&amp;"|"&amp;$F167&amp;"|"&amp;$R167&amp;"|"&amp;COUNTIFS($B$6:$B167,$B167,$A$6:$A167,$A167,$F$6:$F167,$F167,$R$6:$R167,$R167))</f>
        <v/>
      </c>
      <c r="U167" s="32">
        <f>IF($C167="","",$C167&amp;"|"&amp;COUNTIFS($C$6:$C167,$C167))</f>
        <v/>
      </c>
      <c r="V167" s="32">
        <f>IF(OR($C167="",$A167="",$S167=""),"",$C167&amp;"|"&amp;$A167&amp;"|"&amp;$S167)</f>
        <v/>
      </c>
      <c r="W167" s="32">
        <f>IF(OR($C167="",$S167="",$S167=1),"",IFERROR(INDEX($Q$6:$Q$1505,MATCH($C167&amp;"|"&amp;$A167&amp;"|"&amp;($S167-1),$V$6:$V$1505,0)),""))</f>
        <v/>
      </c>
      <c r="X167" s="32">
        <f>IF(OR($W167="",$Q167="",LEFT($Q167,1)="—"),"",IF($W167=$Q167,"ללא שינוי","מ-"&amp;$W167&amp;" ל-"&amp;$Q167))</f>
        <v/>
      </c>
    </row>
    <row r="168" ht="15.75" customHeight="1" s="58">
      <c r="A168" s="65" t="n"/>
      <c r="B168" s="65" t="n"/>
      <c r="C168" s="66" t="n"/>
      <c r="D168" s="66" t="n"/>
      <c r="E168" s="65" t="n"/>
      <c r="F168" s="65" t="n"/>
      <c r="G168" s="65" t="n"/>
      <c r="H168" s="65" t="n"/>
      <c r="I168" s="65" t="n"/>
      <c r="J168" s="65" t="n"/>
      <c r="K168" s="65" t="n"/>
      <c r="L168" s="65" t="n"/>
      <c r="M168" s="65" t="n"/>
      <c r="N168" s="65" t="n"/>
      <c r="O168" s="65" t="n"/>
      <c r="P168" s="65" t="n"/>
      <c r="Q168" s="32">
        <f>IF($C168="","",IF($J168="","— חסרים נתונים",IF($J168="טרם מפענח","פרופיל 5",IF($J168="קמץ/פתח/חטף-פתח ושוואים","פרופיל 4",IF($J168="2-3 סימני ניקוד","פרופיל 3",IF($J168="4-5 סימני ניקוד","פרופיל 2",IF(AND($O168="משפטים וקטעים קצרים",OR($M168="מבין",$M168="מבין לרוב")),"פרופיל 1","פרופיל 2")))))))</f>
        <v/>
      </c>
      <c r="R168" s="32">
        <f>IF($C168="","",IF(OR($Q168="",LEFT($Q168,1)="—"),"קבוצה רביעית",IF($Q168="פרופיל 5","קבוצת תשתיות",IF(OR($Q168="פרופיל 4",$Q168="פרופיל 3"),"קבוצת רכישה","קבוצת ביסוס"))))</f>
        <v/>
      </c>
      <c r="S168" s="32">
        <f>IF($F168="","",IF($F168="תחילת שנה",1,IF($F168="מחצית שנה",2,3)))</f>
        <v/>
      </c>
      <c r="T168" s="32">
        <f>IF(OR($B168="",$R168="",$A168="",$F168=""),"",$B168&amp;"|"&amp;$A168&amp;"|"&amp;$F168&amp;"|"&amp;$R168&amp;"|"&amp;COUNTIFS($B$6:$B168,$B168,$A$6:$A168,$A168,$F$6:$F168,$F168,$R$6:$R168,$R168))</f>
        <v/>
      </c>
      <c r="U168" s="32">
        <f>IF($C168="","",$C168&amp;"|"&amp;COUNTIFS($C$6:$C168,$C168))</f>
        <v/>
      </c>
      <c r="V168" s="32">
        <f>IF(OR($C168="",$A168="",$S168=""),"",$C168&amp;"|"&amp;$A168&amp;"|"&amp;$S168)</f>
        <v/>
      </c>
      <c r="W168" s="32">
        <f>IF(OR($C168="",$S168="",$S168=1),"",IFERROR(INDEX($Q$6:$Q$1505,MATCH($C168&amp;"|"&amp;$A168&amp;"|"&amp;($S168-1),$V$6:$V$1505,0)),""))</f>
        <v/>
      </c>
      <c r="X168" s="32">
        <f>IF(OR($W168="",$Q168="",LEFT($Q168,1)="—"),"",IF($W168=$Q168,"ללא שינוי","מ-"&amp;$W168&amp;" ל-"&amp;$Q168))</f>
        <v/>
      </c>
    </row>
    <row r="169" ht="15.75" customHeight="1" s="58">
      <c r="A169" s="65" t="n"/>
      <c r="B169" s="65" t="n"/>
      <c r="C169" s="66" t="n"/>
      <c r="D169" s="66" t="n"/>
      <c r="E169" s="65" t="n"/>
      <c r="F169" s="65" t="n"/>
      <c r="G169" s="65" t="n"/>
      <c r="H169" s="65" t="n"/>
      <c r="I169" s="65" t="n"/>
      <c r="J169" s="65" t="n"/>
      <c r="K169" s="65" t="n"/>
      <c r="L169" s="65" t="n"/>
      <c r="M169" s="65" t="n"/>
      <c r="N169" s="65" t="n"/>
      <c r="O169" s="65" t="n"/>
      <c r="P169" s="65" t="n"/>
      <c r="Q169" s="32">
        <f>IF($C169="","",IF($J169="","— חסרים נתונים",IF($J169="טרם מפענח","פרופיל 5",IF($J169="קמץ/פתח/חטף-פתח ושוואים","פרופיל 4",IF($J169="2-3 סימני ניקוד","פרופיל 3",IF($J169="4-5 סימני ניקוד","פרופיל 2",IF(AND($O169="משפטים וקטעים קצרים",OR($M169="מבין",$M169="מבין לרוב")),"פרופיל 1","פרופיל 2")))))))</f>
        <v/>
      </c>
      <c r="R169" s="32">
        <f>IF($C169="","",IF(OR($Q169="",LEFT($Q169,1)="—"),"קבוצה רביעית",IF($Q169="פרופיל 5","קבוצת תשתיות",IF(OR($Q169="פרופיל 4",$Q169="פרופיל 3"),"קבוצת רכישה","קבוצת ביסוס"))))</f>
        <v/>
      </c>
      <c r="S169" s="32">
        <f>IF($F169="","",IF($F169="תחילת שנה",1,IF($F169="מחצית שנה",2,3)))</f>
        <v/>
      </c>
      <c r="T169" s="32">
        <f>IF(OR($B169="",$R169="",$A169="",$F169=""),"",$B169&amp;"|"&amp;$A169&amp;"|"&amp;$F169&amp;"|"&amp;$R169&amp;"|"&amp;COUNTIFS($B$6:$B169,$B169,$A$6:$A169,$A169,$F$6:$F169,$F169,$R$6:$R169,$R169))</f>
        <v/>
      </c>
      <c r="U169" s="32">
        <f>IF($C169="","",$C169&amp;"|"&amp;COUNTIFS($C$6:$C169,$C169))</f>
        <v/>
      </c>
      <c r="V169" s="32">
        <f>IF(OR($C169="",$A169="",$S169=""),"",$C169&amp;"|"&amp;$A169&amp;"|"&amp;$S169)</f>
        <v/>
      </c>
      <c r="W169" s="32">
        <f>IF(OR($C169="",$S169="",$S169=1),"",IFERROR(INDEX($Q$6:$Q$1505,MATCH($C169&amp;"|"&amp;$A169&amp;"|"&amp;($S169-1),$V$6:$V$1505,0)),""))</f>
        <v/>
      </c>
      <c r="X169" s="32">
        <f>IF(OR($W169="",$Q169="",LEFT($Q169,1)="—"),"",IF($W169=$Q169,"ללא שינוי","מ-"&amp;$W169&amp;" ל-"&amp;$Q169))</f>
        <v/>
      </c>
    </row>
    <row r="170" ht="15.75" customHeight="1" s="58">
      <c r="A170" s="65" t="n"/>
      <c r="B170" s="65" t="n"/>
      <c r="C170" s="66" t="n"/>
      <c r="D170" s="66" t="n"/>
      <c r="E170" s="65" t="n"/>
      <c r="F170" s="65" t="n"/>
      <c r="G170" s="65" t="n"/>
      <c r="H170" s="65" t="n"/>
      <c r="I170" s="65" t="n"/>
      <c r="J170" s="65" t="n"/>
      <c r="K170" s="65" t="n"/>
      <c r="L170" s="65" t="n"/>
      <c r="M170" s="65" t="n"/>
      <c r="N170" s="65" t="n"/>
      <c r="O170" s="65" t="n"/>
      <c r="P170" s="65" t="n"/>
      <c r="Q170" s="32">
        <f>IF($C170="","",IF($J170="","— חסרים נתונים",IF($J170="טרם מפענח","פרופיל 5",IF($J170="קמץ/פתח/חטף-פתח ושוואים","פרופיל 4",IF($J170="2-3 סימני ניקוד","פרופיל 3",IF($J170="4-5 סימני ניקוד","פרופיל 2",IF(AND($O170="משפטים וקטעים קצרים",OR($M170="מבין",$M170="מבין לרוב")),"פרופיל 1","פרופיל 2")))))))</f>
        <v/>
      </c>
      <c r="R170" s="32">
        <f>IF($C170="","",IF(OR($Q170="",LEFT($Q170,1)="—"),"קבוצה רביעית",IF($Q170="פרופיל 5","קבוצת תשתיות",IF(OR($Q170="פרופיל 4",$Q170="פרופיל 3"),"קבוצת רכישה","קבוצת ביסוס"))))</f>
        <v/>
      </c>
      <c r="S170" s="32">
        <f>IF($F170="","",IF($F170="תחילת שנה",1,IF($F170="מחצית שנה",2,3)))</f>
        <v/>
      </c>
      <c r="T170" s="32">
        <f>IF(OR($B170="",$R170="",$A170="",$F170=""),"",$B170&amp;"|"&amp;$A170&amp;"|"&amp;$F170&amp;"|"&amp;$R170&amp;"|"&amp;COUNTIFS($B$6:$B170,$B170,$A$6:$A170,$A170,$F$6:$F170,$F170,$R$6:$R170,$R170))</f>
        <v/>
      </c>
      <c r="U170" s="32">
        <f>IF($C170="","",$C170&amp;"|"&amp;COUNTIFS($C$6:$C170,$C170))</f>
        <v/>
      </c>
      <c r="V170" s="32">
        <f>IF(OR($C170="",$A170="",$S170=""),"",$C170&amp;"|"&amp;$A170&amp;"|"&amp;$S170)</f>
        <v/>
      </c>
      <c r="W170" s="32">
        <f>IF(OR($C170="",$S170="",$S170=1),"",IFERROR(INDEX($Q$6:$Q$1505,MATCH($C170&amp;"|"&amp;$A170&amp;"|"&amp;($S170-1),$V$6:$V$1505,0)),""))</f>
        <v/>
      </c>
      <c r="X170" s="32">
        <f>IF(OR($W170="",$Q170="",LEFT($Q170,1)="—"),"",IF($W170=$Q170,"ללא שינוי","מ-"&amp;$W170&amp;" ל-"&amp;$Q170))</f>
        <v/>
      </c>
    </row>
    <row r="171" ht="15.75" customHeight="1" s="58">
      <c r="A171" s="65" t="n"/>
      <c r="B171" s="65" t="n"/>
      <c r="C171" s="66" t="n"/>
      <c r="D171" s="66" t="n"/>
      <c r="E171" s="65" t="n"/>
      <c r="F171" s="65" t="n"/>
      <c r="G171" s="65" t="n"/>
      <c r="H171" s="65" t="n"/>
      <c r="I171" s="65" t="n"/>
      <c r="J171" s="65" t="n"/>
      <c r="K171" s="65" t="n"/>
      <c r="L171" s="65" t="n"/>
      <c r="M171" s="65" t="n"/>
      <c r="N171" s="65" t="n"/>
      <c r="O171" s="65" t="n"/>
      <c r="P171" s="65" t="n"/>
      <c r="Q171" s="32">
        <f>IF($C171="","",IF($J171="","— חסרים נתונים",IF($J171="טרם מפענח","פרופיל 5",IF($J171="קמץ/פתח/חטף-פתח ושוואים","פרופיל 4",IF($J171="2-3 סימני ניקוד","פרופיל 3",IF($J171="4-5 סימני ניקוד","פרופיל 2",IF(AND($O171="משפטים וקטעים קצרים",OR($M171="מבין",$M171="מבין לרוב")),"פרופיל 1","פרופיל 2")))))))</f>
        <v/>
      </c>
      <c r="R171" s="32">
        <f>IF($C171="","",IF(OR($Q171="",LEFT($Q171,1)="—"),"קבוצה רביעית",IF($Q171="פרופיל 5","קבוצת תשתיות",IF(OR($Q171="פרופיל 4",$Q171="פרופיל 3"),"קבוצת רכישה","קבוצת ביסוס"))))</f>
        <v/>
      </c>
      <c r="S171" s="32">
        <f>IF($F171="","",IF($F171="תחילת שנה",1,IF($F171="מחצית שנה",2,3)))</f>
        <v/>
      </c>
      <c r="T171" s="32">
        <f>IF(OR($B171="",$R171="",$A171="",$F171=""),"",$B171&amp;"|"&amp;$A171&amp;"|"&amp;$F171&amp;"|"&amp;$R171&amp;"|"&amp;COUNTIFS($B$6:$B171,$B171,$A$6:$A171,$A171,$F$6:$F171,$F171,$R$6:$R171,$R171))</f>
        <v/>
      </c>
      <c r="U171" s="32">
        <f>IF($C171="","",$C171&amp;"|"&amp;COUNTIFS($C$6:$C171,$C171))</f>
        <v/>
      </c>
      <c r="V171" s="32">
        <f>IF(OR($C171="",$A171="",$S171=""),"",$C171&amp;"|"&amp;$A171&amp;"|"&amp;$S171)</f>
        <v/>
      </c>
      <c r="W171" s="32">
        <f>IF(OR($C171="",$S171="",$S171=1),"",IFERROR(INDEX($Q$6:$Q$1505,MATCH($C171&amp;"|"&amp;$A171&amp;"|"&amp;($S171-1),$V$6:$V$1505,0)),""))</f>
        <v/>
      </c>
      <c r="X171" s="32">
        <f>IF(OR($W171="",$Q171="",LEFT($Q171,1)="—"),"",IF($W171=$Q171,"ללא שינוי","מ-"&amp;$W171&amp;" ל-"&amp;$Q171))</f>
        <v/>
      </c>
    </row>
    <row r="172" ht="15.75" customHeight="1" s="58">
      <c r="A172" s="65" t="n"/>
      <c r="B172" s="65" t="n"/>
      <c r="C172" s="66" t="n"/>
      <c r="D172" s="66" t="n"/>
      <c r="E172" s="65" t="n"/>
      <c r="F172" s="65" t="n"/>
      <c r="G172" s="65" t="n"/>
      <c r="H172" s="65" t="n"/>
      <c r="I172" s="65" t="n"/>
      <c r="J172" s="65" t="n"/>
      <c r="K172" s="65" t="n"/>
      <c r="L172" s="65" t="n"/>
      <c r="M172" s="65" t="n"/>
      <c r="N172" s="65" t="n"/>
      <c r="O172" s="65" t="n"/>
      <c r="P172" s="65" t="n"/>
      <c r="Q172" s="32">
        <f>IF($C172="","",IF($J172="","— חסרים נתונים",IF($J172="טרם מפענח","פרופיל 5",IF($J172="קמץ/פתח/חטף-פתח ושוואים","פרופיל 4",IF($J172="2-3 סימני ניקוד","פרופיל 3",IF($J172="4-5 סימני ניקוד","פרופיל 2",IF(AND($O172="משפטים וקטעים קצרים",OR($M172="מבין",$M172="מבין לרוב")),"פרופיל 1","פרופיל 2")))))))</f>
        <v/>
      </c>
      <c r="R172" s="32">
        <f>IF($C172="","",IF(OR($Q172="",LEFT($Q172,1)="—"),"קבוצה רביעית",IF($Q172="פרופיל 5","קבוצת תשתיות",IF(OR($Q172="פרופיל 4",$Q172="פרופיל 3"),"קבוצת רכישה","קבוצת ביסוס"))))</f>
        <v/>
      </c>
      <c r="S172" s="32">
        <f>IF($F172="","",IF($F172="תחילת שנה",1,IF($F172="מחצית שנה",2,3)))</f>
        <v/>
      </c>
      <c r="T172" s="32">
        <f>IF(OR($B172="",$R172="",$A172="",$F172=""),"",$B172&amp;"|"&amp;$A172&amp;"|"&amp;$F172&amp;"|"&amp;$R172&amp;"|"&amp;COUNTIFS($B$6:$B172,$B172,$A$6:$A172,$A172,$F$6:$F172,$F172,$R$6:$R172,$R172))</f>
        <v/>
      </c>
      <c r="U172" s="32">
        <f>IF($C172="","",$C172&amp;"|"&amp;COUNTIFS($C$6:$C172,$C172))</f>
        <v/>
      </c>
      <c r="V172" s="32">
        <f>IF(OR($C172="",$A172="",$S172=""),"",$C172&amp;"|"&amp;$A172&amp;"|"&amp;$S172)</f>
        <v/>
      </c>
      <c r="W172" s="32">
        <f>IF(OR($C172="",$S172="",$S172=1),"",IFERROR(INDEX($Q$6:$Q$1505,MATCH($C172&amp;"|"&amp;$A172&amp;"|"&amp;($S172-1),$V$6:$V$1505,0)),""))</f>
        <v/>
      </c>
      <c r="X172" s="32">
        <f>IF(OR($W172="",$Q172="",LEFT($Q172,1)="—"),"",IF($W172=$Q172,"ללא שינוי","מ-"&amp;$W172&amp;" ל-"&amp;$Q172))</f>
        <v/>
      </c>
    </row>
    <row r="173" ht="15.75" customHeight="1" s="58">
      <c r="A173" s="65" t="n"/>
      <c r="B173" s="65" t="n"/>
      <c r="C173" s="66" t="n"/>
      <c r="D173" s="66" t="n"/>
      <c r="E173" s="65" t="n"/>
      <c r="F173" s="65" t="n"/>
      <c r="G173" s="65" t="n"/>
      <c r="H173" s="65" t="n"/>
      <c r="I173" s="65" t="n"/>
      <c r="J173" s="65" t="n"/>
      <c r="K173" s="65" t="n"/>
      <c r="L173" s="65" t="n"/>
      <c r="M173" s="65" t="n"/>
      <c r="N173" s="65" t="n"/>
      <c r="O173" s="65" t="n"/>
      <c r="P173" s="65" t="n"/>
      <c r="Q173" s="32">
        <f>IF($C173="","",IF($J173="","— חסרים נתונים",IF($J173="טרם מפענח","פרופיל 5",IF($J173="קמץ/פתח/חטף-פתח ושוואים","פרופיל 4",IF($J173="2-3 סימני ניקוד","פרופיל 3",IF($J173="4-5 סימני ניקוד","פרופיל 2",IF(AND($O173="משפטים וקטעים קצרים",OR($M173="מבין",$M173="מבין לרוב")),"פרופיל 1","פרופיל 2")))))))</f>
        <v/>
      </c>
      <c r="R173" s="32">
        <f>IF($C173="","",IF(OR($Q173="",LEFT($Q173,1)="—"),"קבוצה רביעית",IF($Q173="פרופיל 5","קבוצת תשתיות",IF(OR($Q173="פרופיל 4",$Q173="פרופיל 3"),"קבוצת רכישה","קבוצת ביסוס"))))</f>
        <v/>
      </c>
      <c r="S173" s="32">
        <f>IF($F173="","",IF($F173="תחילת שנה",1,IF($F173="מחצית שנה",2,3)))</f>
        <v/>
      </c>
      <c r="T173" s="32">
        <f>IF(OR($B173="",$R173="",$A173="",$F173=""),"",$B173&amp;"|"&amp;$A173&amp;"|"&amp;$F173&amp;"|"&amp;$R173&amp;"|"&amp;COUNTIFS($B$6:$B173,$B173,$A$6:$A173,$A173,$F$6:$F173,$F173,$R$6:$R173,$R173))</f>
        <v/>
      </c>
      <c r="U173" s="32">
        <f>IF($C173="","",$C173&amp;"|"&amp;COUNTIFS($C$6:$C173,$C173))</f>
        <v/>
      </c>
      <c r="V173" s="32">
        <f>IF(OR($C173="",$A173="",$S173=""),"",$C173&amp;"|"&amp;$A173&amp;"|"&amp;$S173)</f>
        <v/>
      </c>
      <c r="W173" s="32">
        <f>IF(OR($C173="",$S173="",$S173=1),"",IFERROR(INDEX($Q$6:$Q$1505,MATCH($C173&amp;"|"&amp;$A173&amp;"|"&amp;($S173-1),$V$6:$V$1505,0)),""))</f>
        <v/>
      </c>
      <c r="X173" s="32">
        <f>IF(OR($W173="",$Q173="",LEFT($Q173,1)="—"),"",IF($W173=$Q173,"ללא שינוי","מ-"&amp;$W173&amp;" ל-"&amp;$Q173))</f>
        <v/>
      </c>
    </row>
    <row r="174" ht="15.75" customHeight="1" s="58">
      <c r="A174" s="65" t="n"/>
      <c r="B174" s="65" t="n"/>
      <c r="C174" s="66" t="n"/>
      <c r="D174" s="66" t="n"/>
      <c r="E174" s="65" t="n"/>
      <c r="F174" s="65" t="n"/>
      <c r="G174" s="65" t="n"/>
      <c r="H174" s="65" t="n"/>
      <c r="I174" s="65" t="n"/>
      <c r="J174" s="65" t="n"/>
      <c r="K174" s="65" t="n"/>
      <c r="L174" s="65" t="n"/>
      <c r="M174" s="65" t="n"/>
      <c r="N174" s="65" t="n"/>
      <c r="O174" s="65" t="n"/>
      <c r="P174" s="65" t="n"/>
      <c r="Q174" s="32">
        <f>IF($C174="","",IF($J174="","— חסרים נתונים",IF($J174="טרם מפענח","פרופיל 5",IF($J174="קמץ/פתח/חטף-פתח ושוואים","פרופיל 4",IF($J174="2-3 סימני ניקוד","פרופיל 3",IF($J174="4-5 סימני ניקוד","פרופיל 2",IF(AND($O174="משפטים וקטעים קצרים",OR($M174="מבין",$M174="מבין לרוב")),"פרופיל 1","פרופיל 2")))))))</f>
        <v/>
      </c>
      <c r="R174" s="32">
        <f>IF($C174="","",IF(OR($Q174="",LEFT($Q174,1)="—"),"קבוצה רביעית",IF($Q174="פרופיל 5","קבוצת תשתיות",IF(OR($Q174="פרופיל 4",$Q174="פרופיל 3"),"קבוצת רכישה","קבוצת ביסוס"))))</f>
        <v/>
      </c>
      <c r="S174" s="32">
        <f>IF($F174="","",IF($F174="תחילת שנה",1,IF($F174="מחצית שנה",2,3)))</f>
        <v/>
      </c>
      <c r="T174" s="32">
        <f>IF(OR($B174="",$R174="",$A174="",$F174=""),"",$B174&amp;"|"&amp;$A174&amp;"|"&amp;$F174&amp;"|"&amp;$R174&amp;"|"&amp;COUNTIFS($B$6:$B174,$B174,$A$6:$A174,$A174,$F$6:$F174,$F174,$R$6:$R174,$R174))</f>
        <v/>
      </c>
      <c r="U174" s="32">
        <f>IF($C174="","",$C174&amp;"|"&amp;COUNTIFS($C$6:$C174,$C174))</f>
        <v/>
      </c>
      <c r="V174" s="32">
        <f>IF(OR($C174="",$A174="",$S174=""),"",$C174&amp;"|"&amp;$A174&amp;"|"&amp;$S174)</f>
        <v/>
      </c>
      <c r="W174" s="32">
        <f>IF(OR($C174="",$S174="",$S174=1),"",IFERROR(INDEX($Q$6:$Q$1505,MATCH($C174&amp;"|"&amp;$A174&amp;"|"&amp;($S174-1),$V$6:$V$1505,0)),""))</f>
        <v/>
      </c>
      <c r="X174" s="32">
        <f>IF(OR($W174="",$Q174="",LEFT($Q174,1)="—"),"",IF($W174=$Q174,"ללא שינוי","מ-"&amp;$W174&amp;" ל-"&amp;$Q174))</f>
        <v/>
      </c>
    </row>
    <row r="175" ht="15.75" customHeight="1" s="58">
      <c r="A175" s="65" t="n"/>
      <c r="B175" s="65" t="n"/>
      <c r="C175" s="66" t="n"/>
      <c r="D175" s="66" t="n"/>
      <c r="E175" s="65" t="n"/>
      <c r="F175" s="65" t="n"/>
      <c r="G175" s="65" t="n"/>
      <c r="H175" s="65" t="n"/>
      <c r="I175" s="65" t="n"/>
      <c r="J175" s="65" t="n"/>
      <c r="K175" s="65" t="n"/>
      <c r="L175" s="65" t="n"/>
      <c r="M175" s="65" t="n"/>
      <c r="N175" s="65" t="n"/>
      <c r="O175" s="65" t="n"/>
      <c r="P175" s="65" t="n"/>
      <c r="Q175" s="32">
        <f>IF($C175="","",IF($J175="","— חסרים נתונים",IF($J175="טרם מפענח","פרופיל 5",IF($J175="קמץ/פתח/חטף-פתח ושוואים","פרופיל 4",IF($J175="2-3 סימני ניקוד","פרופיל 3",IF($J175="4-5 סימני ניקוד","פרופיל 2",IF(AND($O175="משפטים וקטעים קצרים",OR($M175="מבין",$M175="מבין לרוב")),"פרופיל 1","פרופיל 2")))))))</f>
        <v/>
      </c>
      <c r="R175" s="32">
        <f>IF($C175="","",IF(OR($Q175="",LEFT($Q175,1)="—"),"קבוצה רביעית",IF($Q175="פרופיל 5","קבוצת תשתיות",IF(OR($Q175="פרופיל 4",$Q175="פרופיל 3"),"קבוצת רכישה","קבוצת ביסוס"))))</f>
        <v/>
      </c>
      <c r="S175" s="32">
        <f>IF($F175="","",IF($F175="תחילת שנה",1,IF($F175="מחצית שנה",2,3)))</f>
        <v/>
      </c>
      <c r="T175" s="32">
        <f>IF(OR($B175="",$R175="",$A175="",$F175=""),"",$B175&amp;"|"&amp;$A175&amp;"|"&amp;$F175&amp;"|"&amp;$R175&amp;"|"&amp;COUNTIFS($B$6:$B175,$B175,$A$6:$A175,$A175,$F$6:$F175,$F175,$R$6:$R175,$R175))</f>
        <v/>
      </c>
      <c r="U175" s="32">
        <f>IF($C175="","",$C175&amp;"|"&amp;COUNTIFS($C$6:$C175,$C175))</f>
        <v/>
      </c>
      <c r="V175" s="32">
        <f>IF(OR($C175="",$A175="",$S175=""),"",$C175&amp;"|"&amp;$A175&amp;"|"&amp;$S175)</f>
        <v/>
      </c>
      <c r="W175" s="32">
        <f>IF(OR($C175="",$S175="",$S175=1),"",IFERROR(INDEX($Q$6:$Q$1505,MATCH($C175&amp;"|"&amp;$A175&amp;"|"&amp;($S175-1),$V$6:$V$1505,0)),""))</f>
        <v/>
      </c>
      <c r="X175" s="32">
        <f>IF(OR($W175="",$Q175="",LEFT($Q175,1)="—"),"",IF($W175=$Q175,"ללא שינוי","מ-"&amp;$W175&amp;" ל-"&amp;$Q175))</f>
        <v/>
      </c>
    </row>
    <row r="176" ht="15.75" customHeight="1" s="58">
      <c r="A176" s="65" t="n"/>
      <c r="B176" s="65" t="n"/>
      <c r="C176" s="66" t="n"/>
      <c r="D176" s="66" t="n"/>
      <c r="E176" s="65" t="n"/>
      <c r="F176" s="65" t="n"/>
      <c r="G176" s="65" t="n"/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 t="n"/>
      <c r="Q176" s="32">
        <f>IF($C176="","",IF($J176="","— חסרים נתונים",IF($J176="טרם מפענח","פרופיל 5",IF($J176="קמץ/פתח/חטף-פתח ושוואים","פרופיל 4",IF($J176="2-3 סימני ניקוד","פרופיל 3",IF($J176="4-5 סימני ניקוד","פרופיל 2",IF(AND($O176="משפטים וקטעים קצרים",OR($M176="מבין",$M176="מבין לרוב")),"פרופיל 1","פרופיל 2")))))))</f>
        <v/>
      </c>
      <c r="R176" s="32">
        <f>IF($C176="","",IF(OR($Q176="",LEFT($Q176,1)="—"),"קבוצה רביעית",IF($Q176="פרופיל 5","קבוצת תשתיות",IF(OR($Q176="פרופיל 4",$Q176="פרופיל 3"),"קבוצת רכישה","קבוצת ביסוס"))))</f>
        <v/>
      </c>
      <c r="S176" s="32">
        <f>IF($F176="","",IF($F176="תחילת שנה",1,IF($F176="מחצית שנה",2,3)))</f>
        <v/>
      </c>
      <c r="T176" s="32">
        <f>IF(OR($B176="",$R176="",$A176="",$F176=""),"",$B176&amp;"|"&amp;$A176&amp;"|"&amp;$F176&amp;"|"&amp;$R176&amp;"|"&amp;COUNTIFS($B$6:$B176,$B176,$A$6:$A176,$A176,$F$6:$F176,$F176,$R$6:$R176,$R176))</f>
        <v/>
      </c>
      <c r="U176" s="32">
        <f>IF($C176="","",$C176&amp;"|"&amp;COUNTIFS($C$6:$C176,$C176))</f>
        <v/>
      </c>
      <c r="V176" s="32">
        <f>IF(OR($C176="",$A176="",$S176=""),"",$C176&amp;"|"&amp;$A176&amp;"|"&amp;$S176)</f>
        <v/>
      </c>
      <c r="W176" s="32">
        <f>IF(OR($C176="",$S176="",$S176=1),"",IFERROR(INDEX($Q$6:$Q$1505,MATCH($C176&amp;"|"&amp;$A176&amp;"|"&amp;($S176-1),$V$6:$V$1505,0)),""))</f>
        <v/>
      </c>
      <c r="X176" s="32">
        <f>IF(OR($W176="",$Q176="",LEFT($Q176,1)="—"),"",IF($W176=$Q176,"ללא שינוי","מ-"&amp;$W176&amp;" ל-"&amp;$Q176))</f>
        <v/>
      </c>
    </row>
    <row r="177" ht="15.75" customHeight="1" s="58">
      <c r="A177" s="65" t="n"/>
      <c r="B177" s="65" t="n"/>
      <c r="C177" s="66" t="n"/>
      <c r="D177" s="66" t="n"/>
      <c r="E177" s="65" t="n"/>
      <c r="F177" s="65" t="n"/>
      <c r="G177" s="65" t="n"/>
      <c r="H177" s="65" t="n"/>
      <c r="I177" s="65" t="n"/>
      <c r="J177" s="65" t="n"/>
      <c r="K177" s="65" t="n"/>
      <c r="L177" s="65" t="n"/>
      <c r="M177" s="65" t="n"/>
      <c r="N177" s="65" t="n"/>
      <c r="O177" s="65" t="n"/>
      <c r="P177" s="65" t="n"/>
      <c r="Q177" s="32">
        <f>IF($C177="","",IF($J177="","— חסרים נתונים",IF($J177="טרם מפענח","פרופיל 5",IF($J177="קמץ/פתח/חטף-פתח ושוואים","פרופיל 4",IF($J177="2-3 סימני ניקוד","פרופיל 3",IF($J177="4-5 סימני ניקוד","פרופיל 2",IF(AND($O177="משפטים וקטעים קצרים",OR($M177="מבין",$M177="מבין לרוב")),"פרופיל 1","פרופיל 2")))))))</f>
        <v/>
      </c>
      <c r="R177" s="32">
        <f>IF($C177="","",IF(OR($Q177="",LEFT($Q177,1)="—"),"קבוצה רביעית",IF($Q177="פרופיל 5","קבוצת תשתיות",IF(OR($Q177="פרופיל 4",$Q177="פרופיל 3"),"קבוצת רכישה","קבוצת ביסוס"))))</f>
        <v/>
      </c>
      <c r="S177" s="32">
        <f>IF($F177="","",IF($F177="תחילת שנה",1,IF($F177="מחצית שנה",2,3)))</f>
        <v/>
      </c>
      <c r="T177" s="32">
        <f>IF(OR($B177="",$R177="",$A177="",$F177=""),"",$B177&amp;"|"&amp;$A177&amp;"|"&amp;$F177&amp;"|"&amp;$R177&amp;"|"&amp;COUNTIFS($B$6:$B177,$B177,$A$6:$A177,$A177,$F$6:$F177,$F177,$R$6:$R177,$R177))</f>
        <v/>
      </c>
      <c r="U177" s="32">
        <f>IF($C177="","",$C177&amp;"|"&amp;COUNTIFS($C$6:$C177,$C177))</f>
        <v/>
      </c>
      <c r="V177" s="32">
        <f>IF(OR($C177="",$A177="",$S177=""),"",$C177&amp;"|"&amp;$A177&amp;"|"&amp;$S177)</f>
        <v/>
      </c>
      <c r="W177" s="32">
        <f>IF(OR($C177="",$S177="",$S177=1),"",IFERROR(INDEX($Q$6:$Q$1505,MATCH($C177&amp;"|"&amp;$A177&amp;"|"&amp;($S177-1),$V$6:$V$1505,0)),""))</f>
        <v/>
      </c>
      <c r="X177" s="32">
        <f>IF(OR($W177="",$Q177="",LEFT($Q177,1)="—"),"",IF($W177=$Q177,"ללא שינוי","מ-"&amp;$W177&amp;" ל-"&amp;$Q177))</f>
        <v/>
      </c>
    </row>
    <row r="178" ht="15.75" customHeight="1" s="58">
      <c r="A178" s="65" t="n"/>
      <c r="B178" s="65" t="n"/>
      <c r="C178" s="66" t="n"/>
      <c r="D178" s="66" t="n"/>
      <c r="E178" s="65" t="n"/>
      <c r="F178" s="65" t="n"/>
      <c r="G178" s="65" t="n"/>
      <c r="H178" s="65" t="n"/>
      <c r="I178" s="65" t="n"/>
      <c r="J178" s="65" t="n"/>
      <c r="K178" s="65" t="n"/>
      <c r="L178" s="65" t="n"/>
      <c r="M178" s="65" t="n"/>
      <c r="N178" s="65" t="n"/>
      <c r="O178" s="65" t="n"/>
      <c r="P178" s="65" t="n"/>
      <c r="Q178" s="32">
        <f>IF($C178="","",IF($J178="","— חסרים נתונים",IF($J178="טרם מפענח","פרופיל 5",IF($J178="קמץ/פתח/חטף-פתח ושוואים","פרופיל 4",IF($J178="2-3 סימני ניקוד","פרופיל 3",IF($J178="4-5 סימני ניקוד","פרופיל 2",IF(AND($O178="משפטים וקטעים קצרים",OR($M178="מבין",$M178="מבין לרוב")),"פרופיל 1","פרופיל 2")))))))</f>
        <v/>
      </c>
      <c r="R178" s="32">
        <f>IF($C178="","",IF(OR($Q178="",LEFT($Q178,1)="—"),"קבוצה רביעית",IF($Q178="פרופיל 5","קבוצת תשתיות",IF(OR($Q178="פרופיל 4",$Q178="פרופיל 3"),"קבוצת רכישה","קבוצת ביסוס"))))</f>
        <v/>
      </c>
      <c r="S178" s="32">
        <f>IF($F178="","",IF($F178="תחילת שנה",1,IF($F178="מחצית שנה",2,3)))</f>
        <v/>
      </c>
      <c r="T178" s="32">
        <f>IF(OR($B178="",$R178="",$A178="",$F178=""),"",$B178&amp;"|"&amp;$A178&amp;"|"&amp;$F178&amp;"|"&amp;$R178&amp;"|"&amp;COUNTIFS($B$6:$B178,$B178,$A$6:$A178,$A178,$F$6:$F178,$F178,$R$6:$R178,$R178))</f>
        <v/>
      </c>
      <c r="U178" s="32">
        <f>IF($C178="","",$C178&amp;"|"&amp;COUNTIFS($C$6:$C178,$C178))</f>
        <v/>
      </c>
      <c r="V178" s="32">
        <f>IF(OR($C178="",$A178="",$S178=""),"",$C178&amp;"|"&amp;$A178&amp;"|"&amp;$S178)</f>
        <v/>
      </c>
      <c r="W178" s="32">
        <f>IF(OR($C178="",$S178="",$S178=1),"",IFERROR(INDEX($Q$6:$Q$1505,MATCH($C178&amp;"|"&amp;$A178&amp;"|"&amp;($S178-1),$V$6:$V$1505,0)),""))</f>
        <v/>
      </c>
      <c r="X178" s="32">
        <f>IF(OR($W178="",$Q178="",LEFT($Q178,1)="—"),"",IF($W178=$Q178,"ללא שינוי","מ-"&amp;$W178&amp;" ל-"&amp;$Q178))</f>
        <v/>
      </c>
    </row>
    <row r="179" ht="15.75" customHeight="1" s="58">
      <c r="A179" s="65" t="n"/>
      <c r="B179" s="65" t="n"/>
      <c r="C179" s="66" t="n"/>
      <c r="D179" s="66" t="n"/>
      <c r="E179" s="65" t="n"/>
      <c r="F179" s="65" t="n"/>
      <c r="G179" s="65" t="n"/>
      <c r="H179" s="65" t="n"/>
      <c r="I179" s="65" t="n"/>
      <c r="J179" s="65" t="n"/>
      <c r="K179" s="65" t="n"/>
      <c r="L179" s="65" t="n"/>
      <c r="M179" s="65" t="n"/>
      <c r="N179" s="65" t="n"/>
      <c r="O179" s="65" t="n"/>
      <c r="P179" s="65" t="n"/>
      <c r="Q179" s="32">
        <f>IF($C179="","",IF($J179="","— חסרים נתונים",IF($J179="טרם מפענח","פרופיל 5",IF($J179="קמץ/פתח/חטף-פתח ושוואים","פרופיל 4",IF($J179="2-3 סימני ניקוד","פרופיל 3",IF($J179="4-5 סימני ניקוד","פרופיל 2",IF(AND($O179="משפטים וקטעים קצרים",OR($M179="מבין",$M179="מבין לרוב")),"פרופיל 1","פרופיל 2")))))))</f>
        <v/>
      </c>
      <c r="R179" s="32">
        <f>IF($C179="","",IF(OR($Q179="",LEFT($Q179,1)="—"),"קבוצה רביעית",IF($Q179="פרופיל 5","קבוצת תשתיות",IF(OR($Q179="פרופיל 4",$Q179="פרופיל 3"),"קבוצת רכישה","קבוצת ביסוס"))))</f>
        <v/>
      </c>
      <c r="S179" s="32">
        <f>IF($F179="","",IF($F179="תחילת שנה",1,IF($F179="מחצית שנה",2,3)))</f>
        <v/>
      </c>
      <c r="T179" s="32">
        <f>IF(OR($B179="",$R179="",$A179="",$F179=""),"",$B179&amp;"|"&amp;$A179&amp;"|"&amp;$F179&amp;"|"&amp;$R179&amp;"|"&amp;COUNTIFS($B$6:$B179,$B179,$A$6:$A179,$A179,$F$6:$F179,$F179,$R$6:$R179,$R179))</f>
        <v/>
      </c>
      <c r="U179" s="32">
        <f>IF($C179="","",$C179&amp;"|"&amp;COUNTIFS($C$6:$C179,$C179))</f>
        <v/>
      </c>
      <c r="V179" s="32">
        <f>IF(OR($C179="",$A179="",$S179=""),"",$C179&amp;"|"&amp;$A179&amp;"|"&amp;$S179)</f>
        <v/>
      </c>
      <c r="W179" s="32">
        <f>IF(OR($C179="",$S179="",$S179=1),"",IFERROR(INDEX($Q$6:$Q$1505,MATCH($C179&amp;"|"&amp;$A179&amp;"|"&amp;($S179-1),$V$6:$V$1505,0)),""))</f>
        <v/>
      </c>
      <c r="X179" s="32">
        <f>IF(OR($W179="",$Q179="",LEFT($Q179,1)="—"),"",IF($W179=$Q179,"ללא שינוי","מ-"&amp;$W179&amp;" ל-"&amp;$Q179))</f>
        <v/>
      </c>
    </row>
    <row r="180" ht="15.75" customHeight="1" s="58">
      <c r="A180" s="65" t="n"/>
      <c r="B180" s="65" t="n"/>
      <c r="C180" s="66" t="n"/>
      <c r="D180" s="66" t="n"/>
      <c r="E180" s="65" t="n"/>
      <c r="F180" s="65" t="n"/>
      <c r="G180" s="65" t="n"/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32">
        <f>IF($C180="","",IF($J180="","— חסרים נתונים",IF($J180="טרם מפענח","פרופיל 5",IF($J180="קמץ/פתח/חטף-פתח ושוואים","פרופיל 4",IF($J180="2-3 סימני ניקוד","פרופיל 3",IF($J180="4-5 סימני ניקוד","פרופיל 2",IF(AND($O180="משפטים וקטעים קצרים",OR($M180="מבין",$M180="מבין לרוב")),"פרופיל 1","פרופיל 2")))))))</f>
        <v/>
      </c>
      <c r="R180" s="32">
        <f>IF($C180="","",IF(OR($Q180="",LEFT($Q180,1)="—"),"קבוצה רביעית",IF($Q180="פרופיל 5","קבוצת תשתיות",IF(OR($Q180="פרופיל 4",$Q180="פרופיל 3"),"קבוצת רכישה","קבוצת ביסוס"))))</f>
        <v/>
      </c>
      <c r="S180" s="32">
        <f>IF($F180="","",IF($F180="תחילת שנה",1,IF($F180="מחצית שנה",2,3)))</f>
        <v/>
      </c>
      <c r="T180" s="32">
        <f>IF(OR($B180="",$R180="",$A180="",$F180=""),"",$B180&amp;"|"&amp;$A180&amp;"|"&amp;$F180&amp;"|"&amp;$R180&amp;"|"&amp;COUNTIFS($B$6:$B180,$B180,$A$6:$A180,$A180,$F$6:$F180,$F180,$R$6:$R180,$R180))</f>
        <v/>
      </c>
      <c r="U180" s="32">
        <f>IF($C180="","",$C180&amp;"|"&amp;COUNTIFS($C$6:$C180,$C180))</f>
        <v/>
      </c>
      <c r="V180" s="32">
        <f>IF(OR($C180="",$A180="",$S180=""),"",$C180&amp;"|"&amp;$A180&amp;"|"&amp;$S180)</f>
        <v/>
      </c>
      <c r="W180" s="32">
        <f>IF(OR($C180="",$S180="",$S180=1),"",IFERROR(INDEX($Q$6:$Q$1505,MATCH($C180&amp;"|"&amp;$A180&amp;"|"&amp;($S180-1),$V$6:$V$1505,0)),""))</f>
        <v/>
      </c>
      <c r="X180" s="32">
        <f>IF(OR($W180="",$Q180="",LEFT($Q180,1)="—"),"",IF($W180=$Q180,"ללא שינוי","מ-"&amp;$W180&amp;" ל-"&amp;$Q180))</f>
        <v/>
      </c>
    </row>
    <row r="181" ht="15.75" customHeight="1" s="58">
      <c r="A181" s="65" t="n"/>
      <c r="B181" s="65" t="n"/>
      <c r="C181" s="66" t="n"/>
      <c r="D181" s="66" t="n"/>
      <c r="E181" s="65" t="n"/>
      <c r="F181" s="65" t="n"/>
      <c r="G181" s="65" t="n"/>
      <c r="H181" s="65" t="n"/>
      <c r="I181" s="65" t="n"/>
      <c r="J181" s="65" t="n"/>
      <c r="K181" s="65" t="n"/>
      <c r="L181" s="65" t="n"/>
      <c r="M181" s="65" t="n"/>
      <c r="N181" s="65" t="n"/>
      <c r="O181" s="65" t="n"/>
      <c r="P181" s="65" t="n"/>
      <c r="Q181" s="32">
        <f>IF($C181="","",IF($J181="","— חסרים נתונים",IF($J181="טרם מפענח","פרופיל 5",IF($J181="קמץ/פתח/חטף-פתח ושוואים","פרופיל 4",IF($J181="2-3 סימני ניקוד","פרופיל 3",IF($J181="4-5 סימני ניקוד","פרופיל 2",IF(AND($O181="משפטים וקטעים קצרים",OR($M181="מבין",$M181="מבין לרוב")),"פרופיל 1","פרופיל 2")))))))</f>
        <v/>
      </c>
      <c r="R181" s="32">
        <f>IF($C181="","",IF(OR($Q181="",LEFT($Q181,1)="—"),"קבוצה רביעית",IF($Q181="פרופיל 5","קבוצת תשתיות",IF(OR($Q181="פרופיל 4",$Q181="פרופיל 3"),"קבוצת רכישה","קבוצת ביסוס"))))</f>
        <v/>
      </c>
      <c r="S181" s="32">
        <f>IF($F181="","",IF($F181="תחילת שנה",1,IF($F181="מחצית שנה",2,3)))</f>
        <v/>
      </c>
      <c r="T181" s="32">
        <f>IF(OR($B181="",$R181="",$A181="",$F181=""),"",$B181&amp;"|"&amp;$A181&amp;"|"&amp;$F181&amp;"|"&amp;$R181&amp;"|"&amp;COUNTIFS($B$6:$B181,$B181,$A$6:$A181,$A181,$F$6:$F181,$F181,$R$6:$R181,$R181))</f>
        <v/>
      </c>
      <c r="U181" s="32">
        <f>IF($C181="","",$C181&amp;"|"&amp;COUNTIFS($C$6:$C181,$C181))</f>
        <v/>
      </c>
      <c r="V181" s="32">
        <f>IF(OR($C181="",$A181="",$S181=""),"",$C181&amp;"|"&amp;$A181&amp;"|"&amp;$S181)</f>
        <v/>
      </c>
      <c r="W181" s="32">
        <f>IF(OR($C181="",$S181="",$S181=1),"",IFERROR(INDEX($Q$6:$Q$1505,MATCH($C181&amp;"|"&amp;$A181&amp;"|"&amp;($S181-1),$V$6:$V$1505,0)),""))</f>
        <v/>
      </c>
      <c r="X181" s="32">
        <f>IF(OR($W181="",$Q181="",LEFT($Q181,1)="—"),"",IF($W181=$Q181,"ללא שינוי","מ-"&amp;$W181&amp;" ל-"&amp;$Q181))</f>
        <v/>
      </c>
    </row>
    <row r="182" ht="15.75" customHeight="1" s="58">
      <c r="A182" s="65" t="n"/>
      <c r="B182" s="65" t="n"/>
      <c r="C182" s="66" t="n"/>
      <c r="D182" s="66" t="n"/>
      <c r="E182" s="65" t="n"/>
      <c r="F182" s="65" t="n"/>
      <c r="G182" s="65" t="n"/>
      <c r="H182" s="65" t="n"/>
      <c r="I182" s="65" t="n"/>
      <c r="J182" s="65" t="n"/>
      <c r="K182" s="65" t="n"/>
      <c r="L182" s="65" t="n"/>
      <c r="M182" s="65" t="n"/>
      <c r="N182" s="65" t="n"/>
      <c r="O182" s="65" t="n"/>
      <c r="P182" s="65" t="n"/>
      <c r="Q182" s="32">
        <f>IF($C182="","",IF($J182="","— חסרים נתונים",IF($J182="טרם מפענח","פרופיל 5",IF($J182="קמץ/פתח/חטף-פתח ושוואים","פרופיל 4",IF($J182="2-3 סימני ניקוד","פרופיל 3",IF($J182="4-5 סימני ניקוד","פרופיל 2",IF(AND($O182="משפטים וקטעים קצרים",OR($M182="מבין",$M182="מבין לרוב")),"פרופיל 1","פרופיל 2")))))))</f>
        <v/>
      </c>
      <c r="R182" s="32">
        <f>IF($C182="","",IF(OR($Q182="",LEFT($Q182,1)="—"),"קבוצה רביעית",IF($Q182="פרופיל 5","קבוצת תשתיות",IF(OR($Q182="פרופיל 4",$Q182="פרופיל 3"),"קבוצת רכישה","קבוצת ביסוס"))))</f>
        <v/>
      </c>
      <c r="S182" s="32">
        <f>IF($F182="","",IF($F182="תחילת שנה",1,IF($F182="מחצית שנה",2,3)))</f>
        <v/>
      </c>
      <c r="T182" s="32">
        <f>IF(OR($B182="",$R182="",$A182="",$F182=""),"",$B182&amp;"|"&amp;$A182&amp;"|"&amp;$F182&amp;"|"&amp;$R182&amp;"|"&amp;COUNTIFS($B$6:$B182,$B182,$A$6:$A182,$A182,$F$6:$F182,$F182,$R$6:$R182,$R182))</f>
        <v/>
      </c>
      <c r="U182" s="32">
        <f>IF($C182="","",$C182&amp;"|"&amp;COUNTIFS($C$6:$C182,$C182))</f>
        <v/>
      </c>
      <c r="V182" s="32">
        <f>IF(OR($C182="",$A182="",$S182=""),"",$C182&amp;"|"&amp;$A182&amp;"|"&amp;$S182)</f>
        <v/>
      </c>
      <c r="W182" s="32">
        <f>IF(OR($C182="",$S182="",$S182=1),"",IFERROR(INDEX($Q$6:$Q$1505,MATCH($C182&amp;"|"&amp;$A182&amp;"|"&amp;($S182-1),$V$6:$V$1505,0)),""))</f>
        <v/>
      </c>
      <c r="X182" s="32">
        <f>IF(OR($W182="",$Q182="",LEFT($Q182,1)="—"),"",IF($W182=$Q182,"ללא שינוי","מ-"&amp;$W182&amp;" ל-"&amp;$Q182))</f>
        <v/>
      </c>
    </row>
    <row r="183" ht="15.75" customHeight="1" s="58">
      <c r="A183" s="65" t="n"/>
      <c r="B183" s="65" t="n"/>
      <c r="C183" s="66" t="n"/>
      <c r="D183" s="66" t="n"/>
      <c r="E183" s="65" t="n"/>
      <c r="F183" s="65" t="n"/>
      <c r="G183" s="65" t="n"/>
      <c r="H183" s="65" t="n"/>
      <c r="I183" s="65" t="n"/>
      <c r="J183" s="65" t="n"/>
      <c r="K183" s="65" t="n"/>
      <c r="L183" s="65" t="n"/>
      <c r="M183" s="65" t="n"/>
      <c r="N183" s="65" t="n"/>
      <c r="O183" s="65" t="n"/>
      <c r="P183" s="65" t="n"/>
      <c r="Q183" s="32">
        <f>IF($C183="","",IF($J183="","— חסרים נתונים",IF($J183="טרם מפענח","פרופיל 5",IF($J183="קמץ/פתח/חטף-פתח ושוואים","פרופיל 4",IF($J183="2-3 סימני ניקוד","פרופיל 3",IF($J183="4-5 סימני ניקוד","פרופיל 2",IF(AND($O183="משפטים וקטעים קצרים",OR($M183="מבין",$M183="מבין לרוב")),"פרופיל 1","פרופיל 2")))))))</f>
        <v/>
      </c>
      <c r="R183" s="32">
        <f>IF($C183="","",IF(OR($Q183="",LEFT($Q183,1)="—"),"קבוצה רביעית",IF($Q183="פרופיל 5","קבוצת תשתיות",IF(OR($Q183="פרופיל 4",$Q183="פרופיל 3"),"קבוצת רכישה","קבוצת ביסוס"))))</f>
        <v/>
      </c>
      <c r="S183" s="32">
        <f>IF($F183="","",IF($F183="תחילת שנה",1,IF($F183="מחצית שנה",2,3)))</f>
        <v/>
      </c>
      <c r="T183" s="32">
        <f>IF(OR($B183="",$R183="",$A183="",$F183=""),"",$B183&amp;"|"&amp;$A183&amp;"|"&amp;$F183&amp;"|"&amp;$R183&amp;"|"&amp;COUNTIFS($B$6:$B183,$B183,$A$6:$A183,$A183,$F$6:$F183,$F183,$R$6:$R183,$R183))</f>
        <v/>
      </c>
      <c r="U183" s="32">
        <f>IF($C183="","",$C183&amp;"|"&amp;COUNTIFS($C$6:$C183,$C183))</f>
        <v/>
      </c>
      <c r="V183" s="32">
        <f>IF(OR($C183="",$A183="",$S183=""),"",$C183&amp;"|"&amp;$A183&amp;"|"&amp;$S183)</f>
        <v/>
      </c>
      <c r="W183" s="32">
        <f>IF(OR($C183="",$S183="",$S183=1),"",IFERROR(INDEX($Q$6:$Q$1505,MATCH($C183&amp;"|"&amp;$A183&amp;"|"&amp;($S183-1),$V$6:$V$1505,0)),""))</f>
        <v/>
      </c>
      <c r="X183" s="32">
        <f>IF(OR($W183="",$Q183="",LEFT($Q183,1)="—"),"",IF($W183=$Q183,"ללא שינוי","מ-"&amp;$W183&amp;" ל-"&amp;$Q183))</f>
        <v/>
      </c>
    </row>
    <row r="184" ht="15.75" customHeight="1" s="58">
      <c r="A184" s="65" t="n"/>
      <c r="B184" s="65" t="n"/>
      <c r="C184" s="66" t="n"/>
      <c r="D184" s="66" t="n"/>
      <c r="E184" s="65" t="n"/>
      <c r="F184" s="65" t="n"/>
      <c r="G184" s="65" t="n"/>
      <c r="H184" s="65" t="n"/>
      <c r="I184" s="65" t="n"/>
      <c r="J184" s="65" t="n"/>
      <c r="K184" s="65" t="n"/>
      <c r="L184" s="65" t="n"/>
      <c r="M184" s="65" t="n"/>
      <c r="N184" s="65" t="n"/>
      <c r="O184" s="65" t="n"/>
      <c r="P184" s="65" t="n"/>
      <c r="Q184" s="32">
        <f>IF($C184="","",IF($J184="","— חסרים נתונים",IF($J184="טרם מפענח","פרופיל 5",IF($J184="קמץ/פתח/חטף-פתח ושוואים","פרופיל 4",IF($J184="2-3 סימני ניקוד","פרופיל 3",IF($J184="4-5 סימני ניקוד","פרופיל 2",IF(AND($O184="משפטים וקטעים קצרים",OR($M184="מבין",$M184="מבין לרוב")),"פרופיל 1","פרופיל 2")))))))</f>
        <v/>
      </c>
      <c r="R184" s="32">
        <f>IF($C184="","",IF(OR($Q184="",LEFT($Q184,1)="—"),"קבוצה רביעית",IF($Q184="פרופיל 5","קבוצת תשתיות",IF(OR($Q184="פרופיל 4",$Q184="פרופיל 3"),"קבוצת רכישה","קבוצת ביסוס"))))</f>
        <v/>
      </c>
      <c r="S184" s="32">
        <f>IF($F184="","",IF($F184="תחילת שנה",1,IF($F184="מחצית שנה",2,3)))</f>
        <v/>
      </c>
      <c r="T184" s="32">
        <f>IF(OR($B184="",$R184="",$A184="",$F184=""),"",$B184&amp;"|"&amp;$A184&amp;"|"&amp;$F184&amp;"|"&amp;$R184&amp;"|"&amp;COUNTIFS($B$6:$B184,$B184,$A$6:$A184,$A184,$F$6:$F184,$F184,$R$6:$R184,$R184))</f>
        <v/>
      </c>
      <c r="U184" s="32">
        <f>IF($C184="","",$C184&amp;"|"&amp;COUNTIFS($C$6:$C184,$C184))</f>
        <v/>
      </c>
      <c r="V184" s="32">
        <f>IF(OR($C184="",$A184="",$S184=""),"",$C184&amp;"|"&amp;$A184&amp;"|"&amp;$S184)</f>
        <v/>
      </c>
      <c r="W184" s="32">
        <f>IF(OR($C184="",$S184="",$S184=1),"",IFERROR(INDEX($Q$6:$Q$1505,MATCH($C184&amp;"|"&amp;$A184&amp;"|"&amp;($S184-1),$V$6:$V$1505,0)),""))</f>
        <v/>
      </c>
      <c r="X184" s="32">
        <f>IF(OR($W184="",$Q184="",LEFT($Q184,1)="—"),"",IF($W184=$Q184,"ללא שינוי","מ-"&amp;$W184&amp;" ל-"&amp;$Q184))</f>
        <v/>
      </c>
    </row>
    <row r="185" ht="15.75" customHeight="1" s="58">
      <c r="A185" s="65" t="n"/>
      <c r="B185" s="65" t="n"/>
      <c r="C185" s="66" t="n"/>
      <c r="D185" s="66" t="n"/>
      <c r="E185" s="65" t="n"/>
      <c r="F185" s="65" t="n"/>
      <c r="G185" s="65" t="n"/>
      <c r="H185" s="65" t="n"/>
      <c r="I185" s="65" t="n"/>
      <c r="J185" s="65" t="n"/>
      <c r="K185" s="65" t="n"/>
      <c r="L185" s="65" t="n"/>
      <c r="M185" s="65" t="n"/>
      <c r="N185" s="65" t="n"/>
      <c r="O185" s="65" t="n"/>
      <c r="P185" s="65" t="n"/>
      <c r="Q185" s="32">
        <f>IF($C185="","",IF($J185="","— חסרים נתונים",IF($J185="טרם מפענח","פרופיל 5",IF($J185="קמץ/פתח/חטף-פתח ושוואים","פרופיל 4",IF($J185="2-3 סימני ניקוד","פרופיל 3",IF($J185="4-5 סימני ניקוד","פרופיל 2",IF(AND($O185="משפטים וקטעים קצרים",OR($M185="מבין",$M185="מבין לרוב")),"פרופיל 1","פרופיל 2")))))))</f>
        <v/>
      </c>
      <c r="R185" s="32">
        <f>IF($C185="","",IF(OR($Q185="",LEFT($Q185,1)="—"),"קבוצה רביעית",IF($Q185="פרופיל 5","קבוצת תשתיות",IF(OR($Q185="פרופיל 4",$Q185="פרופיל 3"),"קבוצת רכישה","קבוצת ביסוס"))))</f>
        <v/>
      </c>
      <c r="S185" s="32">
        <f>IF($F185="","",IF($F185="תחילת שנה",1,IF($F185="מחצית שנה",2,3)))</f>
        <v/>
      </c>
      <c r="T185" s="32">
        <f>IF(OR($B185="",$R185="",$A185="",$F185=""),"",$B185&amp;"|"&amp;$A185&amp;"|"&amp;$F185&amp;"|"&amp;$R185&amp;"|"&amp;COUNTIFS($B$6:$B185,$B185,$A$6:$A185,$A185,$F$6:$F185,$F185,$R$6:$R185,$R185))</f>
        <v/>
      </c>
      <c r="U185" s="32">
        <f>IF($C185="","",$C185&amp;"|"&amp;COUNTIFS($C$6:$C185,$C185))</f>
        <v/>
      </c>
      <c r="V185" s="32">
        <f>IF(OR($C185="",$A185="",$S185=""),"",$C185&amp;"|"&amp;$A185&amp;"|"&amp;$S185)</f>
        <v/>
      </c>
      <c r="W185" s="32">
        <f>IF(OR($C185="",$S185="",$S185=1),"",IFERROR(INDEX($Q$6:$Q$1505,MATCH($C185&amp;"|"&amp;$A185&amp;"|"&amp;($S185-1),$V$6:$V$1505,0)),""))</f>
        <v/>
      </c>
      <c r="X185" s="32">
        <f>IF(OR($W185="",$Q185="",LEFT($Q185,1)="—"),"",IF($W185=$Q185,"ללא שינוי","מ-"&amp;$W185&amp;" ל-"&amp;$Q185))</f>
        <v/>
      </c>
    </row>
    <row r="186" ht="15.75" customHeight="1" s="58">
      <c r="A186" s="65" t="n"/>
      <c r="B186" s="65" t="n"/>
      <c r="C186" s="66" t="n"/>
      <c r="D186" s="66" t="n"/>
      <c r="E186" s="65" t="n"/>
      <c r="F186" s="65" t="n"/>
      <c r="G186" s="65" t="n"/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32">
        <f>IF($C186="","",IF($J186="","— חסרים נתונים",IF($J186="טרם מפענח","פרופיל 5",IF($J186="קמץ/פתח/חטף-פתח ושוואים","פרופיל 4",IF($J186="2-3 סימני ניקוד","פרופיל 3",IF($J186="4-5 סימני ניקוד","פרופיל 2",IF(AND($O186="משפטים וקטעים קצרים",OR($M186="מבין",$M186="מבין לרוב")),"פרופיל 1","פרופיל 2")))))))</f>
        <v/>
      </c>
      <c r="R186" s="32">
        <f>IF($C186="","",IF(OR($Q186="",LEFT($Q186,1)="—"),"קבוצה רביעית",IF($Q186="פרופיל 5","קבוצת תשתיות",IF(OR($Q186="פרופיל 4",$Q186="פרופיל 3"),"קבוצת רכישה","קבוצת ביסוס"))))</f>
        <v/>
      </c>
      <c r="S186" s="32">
        <f>IF($F186="","",IF($F186="תחילת שנה",1,IF($F186="מחצית שנה",2,3)))</f>
        <v/>
      </c>
      <c r="T186" s="32">
        <f>IF(OR($B186="",$R186="",$A186="",$F186=""),"",$B186&amp;"|"&amp;$A186&amp;"|"&amp;$F186&amp;"|"&amp;$R186&amp;"|"&amp;COUNTIFS($B$6:$B186,$B186,$A$6:$A186,$A186,$F$6:$F186,$F186,$R$6:$R186,$R186))</f>
        <v/>
      </c>
      <c r="U186" s="32">
        <f>IF($C186="","",$C186&amp;"|"&amp;COUNTIFS($C$6:$C186,$C186))</f>
        <v/>
      </c>
      <c r="V186" s="32">
        <f>IF(OR($C186="",$A186="",$S186=""),"",$C186&amp;"|"&amp;$A186&amp;"|"&amp;$S186)</f>
        <v/>
      </c>
      <c r="W186" s="32">
        <f>IF(OR($C186="",$S186="",$S186=1),"",IFERROR(INDEX($Q$6:$Q$1505,MATCH($C186&amp;"|"&amp;$A186&amp;"|"&amp;($S186-1),$V$6:$V$1505,0)),""))</f>
        <v/>
      </c>
      <c r="X186" s="32">
        <f>IF(OR($W186="",$Q186="",LEFT($Q186,1)="—"),"",IF($W186=$Q186,"ללא שינוי","מ-"&amp;$W186&amp;" ל-"&amp;$Q186))</f>
        <v/>
      </c>
    </row>
    <row r="187" ht="15.75" customHeight="1" s="58">
      <c r="A187" s="65" t="n"/>
      <c r="B187" s="65" t="n"/>
      <c r="C187" s="66" t="n"/>
      <c r="D187" s="66" t="n"/>
      <c r="E187" s="65" t="n"/>
      <c r="F187" s="65" t="n"/>
      <c r="G187" s="65" t="n"/>
      <c r="H187" s="65" t="n"/>
      <c r="I187" s="65" t="n"/>
      <c r="J187" s="65" t="n"/>
      <c r="K187" s="65" t="n"/>
      <c r="L187" s="65" t="n"/>
      <c r="M187" s="65" t="n"/>
      <c r="N187" s="65" t="n"/>
      <c r="O187" s="65" t="n"/>
      <c r="P187" s="65" t="n"/>
      <c r="Q187" s="32">
        <f>IF($C187="","",IF($J187="","— חסרים נתונים",IF($J187="טרם מפענח","פרופיל 5",IF($J187="קמץ/פתח/חטף-פתח ושוואים","פרופיל 4",IF($J187="2-3 סימני ניקוד","פרופיל 3",IF($J187="4-5 סימני ניקוד","פרופיל 2",IF(AND($O187="משפטים וקטעים קצרים",OR($M187="מבין",$M187="מבין לרוב")),"פרופיל 1","פרופיל 2")))))))</f>
        <v/>
      </c>
      <c r="R187" s="32">
        <f>IF($C187="","",IF(OR($Q187="",LEFT($Q187,1)="—"),"קבוצה רביעית",IF($Q187="פרופיל 5","קבוצת תשתיות",IF(OR($Q187="פרופיל 4",$Q187="פרופיל 3"),"קבוצת רכישה","קבוצת ביסוס"))))</f>
        <v/>
      </c>
      <c r="S187" s="32">
        <f>IF($F187="","",IF($F187="תחילת שנה",1,IF($F187="מחצית שנה",2,3)))</f>
        <v/>
      </c>
      <c r="T187" s="32">
        <f>IF(OR($B187="",$R187="",$A187="",$F187=""),"",$B187&amp;"|"&amp;$A187&amp;"|"&amp;$F187&amp;"|"&amp;$R187&amp;"|"&amp;COUNTIFS($B$6:$B187,$B187,$A$6:$A187,$A187,$F$6:$F187,$F187,$R$6:$R187,$R187))</f>
        <v/>
      </c>
      <c r="U187" s="32">
        <f>IF($C187="","",$C187&amp;"|"&amp;COUNTIFS($C$6:$C187,$C187))</f>
        <v/>
      </c>
      <c r="V187" s="32">
        <f>IF(OR($C187="",$A187="",$S187=""),"",$C187&amp;"|"&amp;$A187&amp;"|"&amp;$S187)</f>
        <v/>
      </c>
      <c r="W187" s="32">
        <f>IF(OR($C187="",$S187="",$S187=1),"",IFERROR(INDEX($Q$6:$Q$1505,MATCH($C187&amp;"|"&amp;$A187&amp;"|"&amp;($S187-1),$V$6:$V$1505,0)),""))</f>
        <v/>
      </c>
      <c r="X187" s="32">
        <f>IF(OR($W187="",$Q187="",LEFT($Q187,1)="—"),"",IF($W187=$Q187,"ללא שינוי","מ-"&amp;$W187&amp;" ל-"&amp;$Q187))</f>
        <v/>
      </c>
    </row>
    <row r="188" ht="15.75" customHeight="1" s="58">
      <c r="A188" s="65" t="n"/>
      <c r="B188" s="65" t="n"/>
      <c r="C188" s="66" t="n"/>
      <c r="D188" s="66" t="n"/>
      <c r="E188" s="65" t="n"/>
      <c r="F188" s="65" t="n"/>
      <c r="G188" s="65" t="n"/>
      <c r="H188" s="65" t="n"/>
      <c r="I188" s="65" t="n"/>
      <c r="J188" s="65" t="n"/>
      <c r="K188" s="65" t="n"/>
      <c r="L188" s="65" t="n"/>
      <c r="M188" s="65" t="n"/>
      <c r="N188" s="65" t="n"/>
      <c r="O188" s="65" t="n"/>
      <c r="P188" s="65" t="n"/>
      <c r="Q188" s="32">
        <f>IF($C188="","",IF($J188="","— חסרים נתונים",IF($J188="טרם מפענח","פרופיל 5",IF($J188="קמץ/פתח/חטף-פתח ושוואים","פרופיל 4",IF($J188="2-3 סימני ניקוד","פרופיל 3",IF($J188="4-5 סימני ניקוד","פרופיל 2",IF(AND($O188="משפטים וקטעים קצרים",OR($M188="מבין",$M188="מבין לרוב")),"פרופיל 1","פרופיל 2")))))))</f>
        <v/>
      </c>
      <c r="R188" s="32">
        <f>IF($C188="","",IF(OR($Q188="",LEFT($Q188,1)="—"),"קבוצה רביעית",IF($Q188="פרופיל 5","קבוצת תשתיות",IF(OR($Q188="פרופיל 4",$Q188="פרופיל 3"),"קבוצת רכישה","קבוצת ביסוס"))))</f>
        <v/>
      </c>
      <c r="S188" s="32">
        <f>IF($F188="","",IF($F188="תחילת שנה",1,IF($F188="מחצית שנה",2,3)))</f>
        <v/>
      </c>
      <c r="T188" s="32">
        <f>IF(OR($B188="",$R188="",$A188="",$F188=""),"",$B188&amp;"|"&amp;$A188&amp;"|"&amp;$F188&amp;"|"&amp;$R188&amp;"|"&amp;COUNTIFS($B$6:$B188,$B188,$A$6:$A188,$A188,$F$6:$F188,$F188,$R$6:$R188,$R188))</f>
        <v/>
      </c>
      <c r="U188" s="32">
        <f>IF($C188="","",$C188&amp;"|"&amp;COUNTIFS($C$6:$C188,$C188))</f>
        <v/>
      </c>
      <c r="V188" s="32">
        <f>IF(OR($C188="",$A188="",$S188=""),"",$C188&amp;"|"&amp;$A188&amp;"|"&amp;$S188)</f>
        <v/>
      </c>
      <c r="W188" s="32">
        <f>IF(OR($C188="",$S188="",$S188=1),"",IFERROR(INDEX($Q$6:$Q$1505,MATCH($C188&amp;"|"&amp;$A188&amp;"|"&amp;($S188-1),$V$6:$V$1505,0)),""))</f>
        <v/>
      </c>
      <c r="X188" s="32">
        <f>IF(OR($W188="",$Q188="",LEFT($Q188,1)="—"),"",IF($W188=$Q188,"ללא שינוי","מ-"&amp;$W188&amp;" ל-"&amp;$Q188))</f>
        <v/>
      </c>
    </row>
    <row r="189" ht="15.75" customHeight="1" s="58">
      <c r="A189" s="65" t="n"/>
      <c r="B189" s="65" t="n"/>
      <c r="C189" s="66" t="n"/>
      <c r="D189" s="66" t="n"/>
      <c r="E189" s="65" t="n"/>
      <c r="F189" s="65" t="n"/>
      <c r="G189" s="65" t="n"/>
      <c r="H189" s="65" t="n"/>
      <c r="I189" s="65" t="n"/>
      <c r="J189" s="65" t="n"/>
      <c r="K189" s="65" t="n"/>
      <c r="L189" s="65" t="n"/>
      <c r="M189" s="65" t="n"/>
      <c r="N189" s="65" t="n"/>
      <c r="O189" s="65" t="n"/>
      <c r="P189" s="65" t="n"/>
      <c r="Q189" s="32">
        <f>IF($C189="","",IF($J189="","— חסרים נתונים",IF($J189="טרם מפענח","פרופיל 5",IF($J189="קמץ/פתח/חטף-פתח ושוואים","פרופיל 4",IF($J189="2-3 סימני ניקוד","פרופיל 3",IF($J189="4-5 סימני ניקוד","פרופיל 2",IF(AND($O189="משפטים וקטעים קצרים",OR($M189="מבין",$M189="מבין לרוב")),"פרופיל 1","פרופיל 2")))))))</f>
        <v/>
      </c>
      <c r="R189" s="32">
        <f>IF($C189="","",IF(OR($Q189="",LEFT($Q189,1)="—"),"קבוצה רביעית",IF($Q189="פרופיל 5","קבוצת תשתיות",IF(OR($Q189="פרופיל 4",$Q189="פרופיל 3"),"קבוצת רכישה","קבוצת ביסוס"))))</f>
        <v/>
      </c>
      <c r="S189" s="32">
        <f>IF($F189="","",IF($F189="תחילת שנה",1,IF($F189="מחצית שנה",2,3)))</f>
        <v/>
      </c>
      <c r="T189" s="32">
        <f>IF(OR($B189="",$R189="",$A189="",$F189=""),"",$B189&amp;"|"&amp;$A189&amp;"|"&amp;$F189&amp;"|"&amp;$R189&amp;"|"&amp;COUNTIFS($B$6:$B189,$B189,$A$6:$A189,$A189,$F$6:$F189,$F189,$R$6:$R189,$R189))</f>
        <v/>
      </c>
      <c r="U189" s="32">
        <f>IF($C189="","",$C189&amp;"|"&amp;COUNTIFS($C$6:$C189,$C189))</f>
        <v/>
      </c>
      <c r="V189" s="32">
        <f>IF(OR($C189="",$A189="",$S189=""),"",$C189&amp;"|"&amp;$A189&amp;"|"&amp;$S189)</f>
        <v/>
      </c>
      <c r="W189" s="32">
        <f>IF(OR($C189="",$S189="",$S189=1),"",IFERROR(INDEX($Q$6:$Q$1505,MATCH($C189&amp;"|"&amp;$A189&amp;"|"&amp;($S189-1),$V$6:$V$1505,0)),""))</f>
        <v/>
      </c>
      <c r="X189" s="32">
        <f>IF(OR($W189="",$Q189="",LEFT($Q189,1)="—"),"",IF($W189=$Q189,"ללא שינוי","מ-"&amp;$W189&amp;" ל-"&amp;$Q189))</f>
        <v/>
      </c>
    </row>
    <row r="190" ht="15.75" customHeight="1" s="58">
      <c r="A190" s="65" t="n"/>
      <c r="B190" s="65" t="n"/>
      <c r="C190" s="66" t="n"/>
      <c r="D190" s="66" t="n"/>
      <c r="E190" s="65" t="n"/>
      <c r="F190" s="65" t="n"/>
      <c r="G190" s="65" t="n"/>
      <c r="H190" s="65" t="n"/>
      <c r="I190" s="65" t="n"/>
      <c r="J190" s="65" t="n"/>
      <c r="K190" s="65" t="n"/>
      <c r="L190" s="65" t="n"/>
      <c r="M190" s="65" t="n"/>
      <c r="N190" s="65" t="n"/>
      <c r="O190" s="65" t="n"/>
      <c r="P190" s="65" t="n"/>
      <c r="Q190" s="32">
        <f>IF($C190="","",IF($J190="","— חסרים נתונים",IF($J190="טרם מפענח","פרופיל 5",IF($J190="קמץ/פתח/חטף-פתח ושוואים","פרופיל 4",IF($J190="2-3 סימני ניקוד","פרופיל 3",IF($J190="4-5 סימני ניקוד","פרופיל 2",IF(AND($O190="משפטים וקטעים קצרים",OR($M190="מבין",$M190="מבין לרוב")),"פרופיל 1","פרופיל 2")))))))</f>
        <v/>
      </c>
      <c r="R190" s="32">
        <f>IF($C190="","",IF(OR($Q190="",LEFT($Q190,1)="—"),"קבוצה רביעית",IF($Q190="פרופיל 5","קבוצת תשתיות",IF(OR($Q190="פרופיל 4",$Q190="פרופיל 3"),"קבוצת רכישה","קבוצת ביסוס"))))</f>
        <v/>
      </c>
      <c r="S190" s="32">
        <f>IF($F190="","",IF($F190="תחילת שנה",1,IF($F190="מחצית שנה",2,3)))</f>
        <v/>
      </c>
      <c r="T190" s="32">
        <f>IF(OR($B190="",$R190="",$A190="",$F190=""),"",$B190&amp;"|"&amp;$A190&amp;"|"&amp;$F190&amp;"|"&amp;$R190&amp;"|"&amp;COUNTIFS($B$6:$B190,$B190,$A$6:$A190,$A190,$F$6:$F190,$F190,$R$6:$R190,$R190))</f>
        <v/>
      </c>
      <c r="U190" s="32">
        <f>IF($C190="","",$C190&amp;"|"&amp;COUNTIFS($C$6:$C190,$C190))</f>
        <v/>
      </c>
      <c r="V190" s="32">
        <f>IF(OR($C190="",$A190="",$S190=""),"",$C190&amp;"|"&amp;$A190&amp;"|"&amp;$S190)</f>
        <v/>
      </c>
      <c r="W190" s="32">
        <f>IF(OR($C190="",$S190="",$S190=1),"",IFERROR(INDEX($Q$6:$Q$1505,MATCH($C190&amp;"|"&amp;$A190&amp;"|"&amp;($S190-1),$V$6:$V$1505,0)),""))</f>
        <v/>
      </c>
      <c r="X190" s="32">
        <f>IF(OR($W190="",$Q190="",LEFT($Q190,1)="—"),"",IF($W190=$Q190,"ללא שינוי","מ-"&amp;$W190&amp;" ל-"&amp;$Q190))</f>
        <v/>
      </c>
    </row>
    <row r="191" ht="15.75" customHeight="1" s="58">
      <c r="A191" s="65" t="n"/>
      <c r="B191" s="65" t="n"/>
      <c r="C191" s="66" t="n"/>
      <c r="D191" s="66" t="n"/>
      <c r="E191" s="65" t="n"/>
      <c r="F191" s="65" t="n"/>
      <c r="G191" s="65" t="n"/>
      <c r="H191" s="65" t="n"/>
      <c r="I191" s="65" t="n"/>
      <c r="J191" s="65" t="n"/>
      <c r="K191" s="65" t="n"/>
      <c r="L191" s="65" t="n"/>
      <c r="M191" s="65" t="n"/>
      <c r="N191" s="65" t="n"/>
      <c r="O191" s="65" t="n"/>
      <c r="P191" s="65" t="n"/>
      <c r="Q191" s="32">
        <f>IF($C191="","",IF($J191="","— חסרים נתונים",IF($J191="טרם מפענח","פרופיל 5",IF($J191="קמץ/פתח/חטף-פתח ושוואים","פרופיל 4",IF($J191="2-3 סימני ניקוד","פרופיל 3",IF($J191="4-5 סימני ניקוד","פרופיל 2",IF(AND($O191="משפטים וקטעים קצרים",OR($M191="מבין",$M191="מבין לרוב")),"פרופיל 1","פרופיל 2")))))))</f>
        <v/>
      </c>
      <c r="R191" s="32">
        <f>IF($C191="","",IF(OR($Q191="",LEFT($Q191,1)="—"),"קבוצה רביעית",IF($Q191="פרופיל 5","קבוצת תשתיות",IF(OR($Q191="פרופיל 4",$Q191="פרופיל 3"),"קבוצת רכישה","קבוצת ביסוס"))))</f>
        <v/>
      </c>
      <c r="S191" s="32">
        <f>IF($F191="","",IF($F191="תחילת שנה",1,IF($F191="מחצית שנה",2,3)))</f>
        <v/>
      </c>
      <c r="T191" s="32">
        <f>IF(OR($B191="",$R191="",$A191="",$F191=""),"",$B191&amp;"|"&amp;$A191&amp;"|"&amp;$F191&amp;"|"&amp;$R191&amp;"|"&amp;COUNTIFS($B$6:$B191,$B191,$A$6:$A191,$A191,$F$6:$F191,$F191,$R$6:$R191,$R191))</f>
        <v/>
      </c>
      <c r="U191" s="32">
        <f>IF($C191="","",$C191&amp;"|"&amp;COUNTIFS($C$6:$C191,$C191))</f>
        <v/>
      </c>
      <c r="V191" s="32">
        <f>IF(OR($C191="",$A191="",$S191=""),"",$C191&amp;"|"&amp;$A191&amp;"|"&amp;$S191)</f>
        <v/>
      </c>
      <c r="W191" s="32">
        <f>IF(OR($C191="",$S191="",$S191=1),"",IFERROR(INDEX($Q$6:$Q$1505,MATCH($C191&amp;"|"&amp;$A191&amp;"|"&amp;($S191-1),$V$6:$V$1505,0)),""))</f>
        <v/>
      </c>
      <c r="X191" s="32">
        <f>IF(OR($W191="",$Q191="",LEFT($Q191,1)="—"),"",IF($W191=$Q191,"ללא שינוי","מ-"&amp;$W191&amp;" ל-"&amp;$Q191))</f>
        <v/>
      </c>
    </row>
    <row r="192" ht="15.75" customHeight="1" s="58">
      <c r="A192" s="65" t="n"/>
      <c r="B192" s="65" t="n"/>
      <c r="C192" s="66" t="n"/>
      <c r="D192" s="66" t="n"/>
      <c r="E192" s="65" t="n"/>
      <c r="F192" s="65" t="n"/>
      <c r="G192" s="65" t="n"/>
      <c r="H192" s="65" t="n"/>
      <c r="I192" s="65" t="n"/>
      <c r="J192" s="65" t="n"/>
      <c r="K192" s="65" t="n"/>
      <c r="L192" s="65" t="n"/>
      <c r="M192" s="65" t="n"/>
      <c r="N192" s="65" t="n"/>
      <c r="O192" s="65" t="n"/>
      <c r="P192" s="65" t="n"/>
      <c r="Q192" s="32">
        <f>IF($C192="","",IF($J192="","— חסרים נתונים",IF($J192="טרם מפענח","פרופיל 5",IF($J192="קמץ/פתח/חטף-פתח ושוואים","פרופיל 4",IF($J192="2-3 סימני ניקוד","פרופיל 3",IF($J192="4-5 סימני ניקוד","פרופיל 2",IF(AND($O192="משפטים וקטעים קצרים",OR($M192="מבין",$M192="מבין לרוב")),"פרופיל 1","פרופיל 2")))))))</f>
        <v/>
      </c>
      <c r="R192" s="32">
        <f>IF($C192="","",IF(OR($Q192="",LEFT($Q192,1)="—"),"קבוצה רביעית",IF($Q192="פרופיל 5","קבוצת תשתיות",IF(OR($Q192="פרופיל 4",$Q192="פרופיל 3"),"קבוצת רכישה","קבוצת ביסוס"))))</f>
        <v/>
      </c>
      <c r="S192" s="32">
        <f>IF($F192="","",IF($F192="תחילת שנה",1,IF($F192="מחצית שנה",2,3)))</f>
        <v/>
      </c>
      <c r="T192" s="32">
        <f>IF(OR($B192="",$R192="",$A192="",$F192=""),"",$B192&amp;"|"&amp;$A192&amp;"|"&amp;$F192&amp;"|"&amp;$R192&amp;"|"&amp;COUNTIFS($B$6:$B192,$B192,$A$6:$A192,$A192,$F$6:$F192,$F192,$R$6:$R192,$R192))</f>
        <v/>
      </c>
      <c r="U192" s="32">
        <f>IF($C192="","",$C192&amp;"|"&amp;COUNTIFS($C$6:$C192,$C192))</f>
        <v/>
      </c>
      <c r="V192" s="32">
        <f>IF(OR($C192="",$A192="",$S192=""),"",$C192&amp;"|"&amp;$A192&amp;"|"&amp;$S192)</f>
        <v/>
      </c>
      <c r="W192" s="32">
        <f>IF(OR($C192="",$S192="",$S192=1),"",IFERROR(INDEX($Q$6:$Q$1505,MATCH($C192&amp;"|"&amp;$A192&amp;"|"&amp;($S192-1),$V$6:$V$1505,0)),""))</f>
        <v/>
      </c>
      <c r="X192" s="32">
        <f>IF(OR($W192="",$Q192="",LEFT($Q192,1)="—"),"",IF($W192=$Q192,"ללא שינוי","מ-"&amp;$W192&amp;" ל-"&amp;$Q192))</f>
        <v/>
      </c>
    </row>
    <row r="193" ht="15.75" customHeight="1" s="58">
      <c r="A193" s="65" t="n"/>
      <c r="B193" s="65" t="n"/>
      <c r="C193" s="66" t="n"/>
      <c r="D193" s="66" t="n"/>
      <c r="E193" s="65" t="n"/>
      <c r="F193" s="65" t="n"/>
      <c r="G193" s="65" t="n"/>
      <c r="H193" s="65" t="n"/>
      <c r="I193" s="65" t="n"/>
      <c r="J193" s="65" t="n"/>
      <c r="K193" s="65" t="n"/>
      <c r="L193" s="65" t="n"/>
      <c r="M193" s="65" t="n"/>
      <c r="N193" s="65" t="n"/>
      <c r="O193" s="65" t="n"/>
      <c r="P193" s="65" t="n"/>
      <c r="Q193" s="32">
        <f>IF($C193="","",IF($J193="","— חסרים נתונים",IF($J193="טרם מפענח","פרופיל 5",IF($J193="קמץ/פתח/חטף-פתח ושוואים","פרופיל 4",IF($J193="2-3 סימני ניקוד","פרופיל 3",IF($J193="4-5 סימני ניקוד","פרופיל 2",IF(AND($O193="משפטים וקטעים קצרים",OR($M193="מבין",$M193="מבין לרוב")),"פרופיל 1","פרופיל 2")))))))</f>
        <v/>
      </c>
      <c r="R193" s="32">
        <f>IF($C193="","",IF(OR($Q193="",LEFT($Q193,1)="—"),"קבוצה רביעית",IF($Q193="פרופיל 5","קבוצת תשתיות",IF(OR($Q193="פרופיל 4",$Q193="פרופיל 3"),"קבוצת רכישה","קבוצת ביסוס"))))</f>
        <v/>
      </c>
      <c r="S193" s="32">
        <f>IF($F193="","",IF($F193="תחילת שנה",1,IF($F193="מחצית שנה",2,3)))</f>
        <v/>
      </c>
      <c r="T193" s="32">
        <f>IF(OR($B193="",$R193="",$A193="",$F193=""),"",$B193&amp;"|"&amp;$A193&amp;"|"&amp;$F193&amp;"|"&amp;$R193&amp;"|"&amp;COUNTIFS($B$6:$B193,$B193,$A$6:$A193,$A193,$F$6:$F193,$F193,$R$6:$R193,$R193))</f>
        <v/>
      </c>
      <c r="U193" s="32">
        <f>IF($C193="","",$C193&amp;"|"&amp;COUNTIFS($C$6:$C193,$C193))</f>
        <v/>
      </c>
      <c r="V193" s="32">
        <f>IF(OR($C193="",$A193="",$S193=""),"",$C193&amp;"|"&amp;$A193&amp;"|"&amp;$S193)</f>
        <v/>
      </c>
      <c r="W193" s="32">
        <f>IF(OR($C193="",$S193="",$S193=1),"",IFERROR(INDEX($Q$6:$Q$1505,MATCH($C193&amp;"|"&amp;$A193&amp;"|"&amp;($S193-1),$V$6:$V$1505,0)),""))</f>
        <v/>
      </c>
      <c r="X193" s="32">
        <f>IF(OR($W193="",$Q193="",LEFT($Q193,1)="—"),"",IF($W193=$Q193,"ללא שינוי","מ-"&amp;$W193&amp;" ל-"&amp;$Q193))</f>
        <v/>
      </c>
    </row>
    <row r="194" ht="15.75" customHeight="1" s="58">
      <c r="A194" s="65" t="n"/>
      <c r="B194" s="65" t="n"/>
      <c r="C194" s="66" t="n"/>
      <c r="D194" s="66" t="n"/>
      <c r="E194" s="65" t="n"/>
      <c r="F194" s="65" t="n"/>
      <c r="G194" s="65" t="n"/>
      <c r="H194" s="65" t="n"/>
      <c r="I194" s="65" t="n"/>
      <c r="J194" s="65" t="n"/>
      <c r="K194" s="65" t="n"/>
      <c r="L194" s="65" t="n"/>
      <c r="M194" s="65" t="n"/>
      <c r="N194" s="65" t="n"/>
      <c r="O194" s="65" t="n"/>
      <c r="P194" s="65" t="n"/>
      <c r="Q194" s="32">
        <f>IF($C194="","",IF($J194="","— חסרים נתונים",IF($J194="טרם מפענח","פרופיל 5",IF($J194="קמץ/פתח/חטף-פתח ושוואים","פרופיל 4",IF($J194="2-3 סימני ניקוד","פרופיל 3",IF($J194="4-5 סימני ניקוד","פרופיל 2",IF(AND($O194="משפטים וקטעים קצרים",OR($M194="מבין",$M194="מבין לרוב")),"פרופיל 1","פרופיל 2")))))))</f>
        <v/>
      </c>
      <c r="R194" s="32">
        <f>IF($C194="","",IF(OR($Q194="",LEFT($Q194,1)="—"),"קבוצה רביעית",IF($Q194="פרופיל 5","קבוצת תשתיות",IF(OR($Q194="פרופיל 4",$Q194="פרופיל 3"),"קבוצת רכישה","קבוצת ביסוס"))))</f>
        <v/>
      </c>
      <c r="S194" s="32">
        <f>IF($F194="","",IF($F194="תחילת שנה",1,IF($F194="מחצית שנה",2,3)))</f>
        <v/>
      </c>
      <c r="T194" s="32">
        <f>IF(OR($B194="",$R194="",$A194="",$F194=""),"",$B194&amp;"|"&amp;$A194&amp;"|"&amp;$F194&amp;"|"&amp;$R194&amp;"|"&amp;COUNTIFS($B$6:$B194,$B194,$A$6:$A194,$A194,$F$6:$F194,$F194,$R$6:$R194,$R194))</f>
        <v/>
      </c>
      <c r="U194" s="32">
        <f>IF($C194="","",$C194&amp;"|"&amp;COUNTIFS($C$6:$C194,$C194))</f>
        <v/>
      </c>
      <c r="V194" s="32">
        <f>IF(OR($C194="",$A194="",$S194=""),"",$C194&amp;"|"&amp;$A194&amp;"|"&amp;$S194)</f>
        <v/>
      </c>
      <c r="W194" s="32">
        <f>IF(OR($C194="",$S194="",$S194=1),"",IFERROR(INDEX($Q$6:$Q$1505,MATCH($C194&amp;"|"&amp;$A194&amp;"|"&amp;($S194-1),$V$6:$V$1505,0)),""))</f>
        <v/>
      </c>
      <c r="X194" s="32">
        <f>IF(OR($W194="",$Q194="",LEFT($Q194,1)="—"),"",IF($W194=$Q194,"ללא שינוי","מ-"&amp;$W194&amp;" ל-"&amp;$Q194))</f>
        <v/>
      </c>
    </row>
    <row r="195" ht="15.75" customHeight="1" s="58">
      <c r="A195" s="65" t="n"/>
      <c r="B195" s="65" t="n"/>
      <c r="C195" s="66" t="n"/>
      <c r="D195" s="66" t="n"/>
      <c r="E195" s="65" t="n"/>
      <c r="F195" s="65" t="n"/>
      <c r="G195" s="65" t="n"/>
      <c r="H195" s="65" t="n"/>
      <c r="I195" s="65" t="n"/>
      <c r="J195" s="65" t="n"/>
      <c r="K195" s="65" t="n"/>
      <c r="L195" s="65" t="n"/>
      <c r="M195" s="65" t="n"/>
      <c r="N195" s="65" t="n"/>
      <c r="O195" s="65" t="n"/>
      <c r="P195" s="65" t="n"/>
      <c r="Q195" s="32">
        <f>IF($C195="","",IF($J195="","— חסרים נתונים",IF($J195="טרם מפענח","פרופיל 5",IF($J195="קמץ/פתח/חטף-פתח ושוואים","פרופיל 4",IF($J195="2-3 סימני ניקוד","פרופיל 3",IF($J195="4-5 סימני ניקוד","פרופיל 2",IF(AND($O195="משפטים וקטעים קצרים",OR($M195="מבין",$M195="מבין לרוב")),"פרופיל 1","פרופיל 2")))))))</f>
        <v/>
      </c>
      <c r="R195" s="32">
        <f>IF($C195="","",IF(OR($Q195="",LEFT($Q195,1)="—"),"קבוצה רביעית",IF($Q195="פרופיל 5","קבוצת תשתיות",IF(OR($Q195="פרופיל 4",$Q195="פרופיל 3"),"קבוצת רכישה","קבוצת ביסוס"))))</f>
        <v/>
      </c>
      <c r="S195" s="32">
        <f>IF($F195="","",IF($F195="תחילת שנה",1,IF($F195="מחצית שנה",2,3)))</f>
        <v/>
      </c>
      <c r="T195" s="32">
        <f>IF(OR($B195="",$R195="",$A195="",$F195=""),"",$B195&amp;"|"&amp;$A195&amp;"|"&amp;$F195&amp;"|"&amp;$R195&amp;"|"&amp;COUNTIFS($B$6:$B195,$B195,$A$6:$A195,$A195,$F$6:$F195,$F195,$R$6:$R195,$R195))</f>
        <v/>
      </c>
      <c r="U195" s="32">
        <f>IF($C195="","",$C195&amp;"|"&amp;COUNTIFS($C$6:$C195,$C195))</f>
        <v/>
      </c>
      <c r="V195" s="32">
        <f>IF(OR($C195="",$A195="",$S195=""),"",$C195&amp;"|"&amp;$A195&amp;"|"&amp;$S195)</f>
        <v/>
      </c>
      <c r="W195" s="32">
        <f>IF(OR($C195="",$S195="",$S195=1),"",IFERROR(INDEX($Q$6:$Q$1505,MATCH($C195&amp;"|"&amp;$A195&amp;"|"&amp;($S195-1),$V$6:$V$1505,0)),""))</f>
        <v/>
      </c>
      <c r="X195" s="32">
        <f>IF(OR($W195="",$Q195="",LEFT($Q195,1)="—"),"",IF($W195=$Q195,"ללא שינוי","מ-"&amp;$W195&amp;" ל-"&amp;$Q195))</f>
        <v/>
      </c>
    </row>
    <row r="196" ht="15.75" customHeight="1" s="58">
      <c r="A196" s="65" t="n"/>
      <c r="B196" s="65" t="n"/>
      <c r="C196" s="66" t="n"/>
      <c r="D196" s="66" t="n"/>
      <c r="E196" s="65" t="n"/>
      <c r="F196" s="65" t="n"/>
      <c r="G196" s="65" t="n"/>
      <c r="H196" s="65" t="n"/>
      <c r="I196" s="65" t="n"/>
      <c r="J196" s="65" t="n"/>
      <c r="K196" s="65" t="n"/>
      <c r="L196" s="65" t="n"/>
      <c r="M196" s="65" t="n"/>
      <c r="N196" s="65" t="n"/>
      <c r="O196" s="65" t="n"/>
      <c r="P196" s="65" t="n"/>
      <c r="Q196" s="32">
        <f>IF($C196="","",IF($J196="","— חסרים נתונים",IF($J196="טרם מפענח","פרופיל 5",IF($J196="קמץ/פתח/חטף-פתח ושוואים","פרופיל 4",IF($J196="2-3 סימני ניקוד","פרופיל 3",IF($J196="4-5 סימני ניקוד","פרופיל 2",IF(AND($O196="משפטים וקטעים קצרים",OR($M196="מבין",$M196="מבין לרוב")),"פרופיל 1","פרופיל 2")))))))</f>
        <v/>
      </c>
      <c r="R196" s="32">
        <f>IF($C196="","",IF(OR($Q196="",LEFT($Q196,1)="—"),"קבוצה רביעית",IF($Q196="פרופיל 5","קבוצת תשתיות",IF(OR($Q196="פרופיל 4",$Q196="פרופיל 3"),"קבוצת רכישה","קבוצת ביסוס"))))</f>
        <v/>
      </c>
      <c r="S196" s="32">
        <f>IF($F196="","",IF($F196="תחילת שנה",1,IF($F196="מחצית שנה",2,3)))</f>
        <v/>
      </c>
      <c r="T196" s="32">
        <f>IF(OR($B196="",$R196="",$A196="",$F196=""),"",$B196&amp;"|"&amp;$A196&amp;"|"&amp;$F196&amp;"|"&amp;$R196&amp;"|"&amp;COUNTIFS($B$6:$B196,$B196,$A$6:$A196,$A196,$F$6:$F196,$F196,$R$6:$R196,$R196))</f>
        <v/>
      </c>
      <c r="U196" s="32">
        <f>IF($C196="","",$C196&amp;"|"&amp;COUNTIFS($C$6:$C196,$C196))</f>
        <v/>
      </c>
      <c r="V196" s="32">
        <f>IF(OR($C196="",$A196="",$S196=""),"",$C196&amp;"|"&amp;$A196&amp;"|"&amp;$S196)</f>
        <v/>
      </c>
      <c r="W196" s="32">
        <f>IF(OR($C196="",$S196="",$S196=1),"",IFERROR(INDEX($Q$6:$Q$1505,MATCH($C196&amp;"|"&amp;$A196&amp;"|"&amp;($S196-1),$V$6:$V$1505,0)),""))</f>
        <v/>
      </c>
      <c r="X196" s="32">
        <f>IF(OR($W196="",$Q196="",LEFT($Q196,1)="—"),"",IF($W196=$Q196,"ללא שינוי","מ-"&amp;$W196&amp;" ל-"&amp;$Q196))</f>
        <v/>
      </c>
    </row>
    <row r="197" ht="15.75" customHeight="1" s="58">
      <c r="A197" s="65" t="n"/>
      <c r="B197" s="65" t="n"/>
      <c r="C197" s="66" t="n"/>
      <c r="D197" s="66" t="n"/>
      <c r="E197" s="65" t="n"/>
      <c r="F197" s="65" t="n"/>
      <c r="G197" s="65" t="n"/>
      <c r="H197" s="65" t="n"/>
      <c r="I197" s="65" t="n"/>
      <c r="J197" s="65" t="n"/>
      <c r="K197" s="65" t="n"/>
      <c r="L197" s="65" t="n"/>
      <c r="M197" s="65" t="n"/>
      <c r="N197" s="65" t="n"/>
      <c r="O197" s="65" t="n"/>
      <c r="P197" s="65" t="n"/>
      <c r="Q197" s="32">
        <f>IF($C197="","",IF($J197="","— חסרים נתונים",IF($J197="טרם מפענח","פרופיל 5",IF($J197="קמץ/פתח/חטף-פתח ושוואים","פרופיל 4",IF($J197="2-3 סימני ניקוד","פרופיל 3",IF($J197="4-5 סימני ניקוד","פרופיל 2",IF(AND($O197="משפטים וקטעים קצרים",OR($M197="מבין",$M197="מבין לרוב")),"פרופיל 1","פרופיל 2")))))))</f>
        <v/>
      </c>
      <c r="R197" s="32">
        <f>IF($C197="","",IF(OR($Q197="",LEFT($Q197,1)="—"),"קבוצה רביעית",IF($Q197="פרופיל 5","קבוצת תשתיות",IF(OR($Q197="פרופיל 4",$Q197="פרופיל 3"),"קבוצת רכישה","קבוצת ביסוס"))))</f>
        <v/>
      </c>
      <c r="S197" s="32">
        <f>IF($F197="","",IF($F197="תחילת שנה",1,IF($F197="מחצית שנה",2,3)))</f>
        <v/>
      </c>
      <c r="T197" s="32">
        <f>IF(OR($B197="",$R197="",$A197="",$F197=""),"",$B197&amp;"|"&amp;$A197&amp;"|"&amp;$F197&amp;"|"&amp;$R197&amp;"|"&amp;COUNTIFS($B$6:$B197,$B197,$A$6:$A197,$A197,$F$6:$F197,$F197,$R$6:$R197,$R197))</f>
        <v/>
      </c>
      <c r="U197" s="32">
        <f>IF($C197="","",$C197&amp;"|"&amp;COUNTIFS($C$6:$C197,$C197))</f>
        <v/>
      </c>
      <c r="V197" s="32">
        <f>IF(OR($C197="",$A197="",$S197=""),"",$C197&amp;"|"&amp;$A197&amp;"|"&amp;$S197)</f>
        <v/>
      </c>
      <c r="W197" s="32">
        <f>IF(OR($C197="",$S197="",$S197=1),"",IFERROR(INDEX($Q$6:$Q$1505,MATCH($C197&amp;"|"&amp;$A197&amp;"|"&amp;($S197-1),$V$6:$V$1505,0)),""))</f>
        <v/>
      </c>
      <c r="X197" s="32">
        <f>IF(OR($W197="",$Q197="",LEFT($Q197,1)="—"),"",IF($W197=$Q197,"ללא שינוי","מ-"&amp;$W197&amp;" ל-"&amp;$Q197))</f>
        <v/>
      </c>
    </row>
    <row r="198" ht="15.75" customHeight="1" s="58">
      <c r="A198" s="65" t="n"/>
      <c r="B198" s="65" t="n"/>
      <c r="C198" s="66" t="n"/>
      <c r="D198" s="66" t="n"/>
      <c r="E198" s="65" t="n"/>
      <c r="F198" s="65" t="n"/>
      <c r="G198" s="65" t="n"/>
      <c r="H198" s="65" t="n"/>
      <c r="I198" s="65" t="n"/>
      <c r="J198" s="65" t="n"/>
      <c r="K198" s="65" t="n"/>
      <c r="L198" s="65" t="n"/>
      <c r="M198" s="65" t="n"/>
      <c r="N198" s="65" t="n"/>
      <c r="O198" s="65" t="n"/>
      <c r="P198" s="65" t="n"/>
      <c r="Q198" s="32">
        <f>IF($C198="","",IF($J198="","— חסרים נתונים",IF($J198="טרם מפענח","פרופיל 5",IF($J198="קמץ/פתח/חטף-פתח ושוואים","פרופיל 4",IF($J198="2-3 סימני ניקוד","פרופיל 3",IF($J198="4-5 סימני ניקוד","פרופיל 2",IF(AND($O198="משפטים וקטעים קצרים",OR($M198="מבין",$M198="מבין לרוב")),"פרופיל 1","פרופיל 2")))))))</f>
        <v/>
      </c>
      <c r="R198" s="32">
        <f>IF($C198="","",IF(OR($Q198="",LEFT($Q198,1)="—"),"קבוצה רביעית",IF($Q198="פרופיל 5","קבוצת תשתיות",IF(OR($Q198="פרופיל 4",$Q198="פרופיל 3"),"קבוצת רכישה","קבוצת ביסוס"))))</f>
        <v/>
      </c>
      <c r="S198" s="32">
        <f>IF($F198="","",IF($F198="תחילת שנה",1,IF($F198="מחצית שנה",2,3)))</f>
        <v/>
      </c>
      <c r="T198" s="32">
        <f>IF(OR($B198="",$R198="",$A198="",$F198=""),"",$B198&amp;"|"&amp;$A198&amp;"|"&amp;$F198&amp;"|"&amp;$R198&amp;"|"&amp;COUNTIFS($B$6:$B198,$B198,$A$6:$A198,$A198,$F$6:$F198,$F198,$R$6:$R198,$R198))</f>
        <v/>
      </c>
      <c r="U198" s="32">
        <f>IF($C198="","",$C198&amp;"|"&amp;COUNTIFS($C$6:$C198,$C198))</f>
        <v/>
      </c>
      <c r="V198" s="32">
        <f>IF(OR($C198="",$A198="",$S198=""),"",$C198&amp;"|"&amp;$A198&amp;"|"&amp;$S198)</f>
        <v/>
      </c>
      <c r="W198" s="32">
        <f>IF(OR($C198="",$S198="",$S198=1),"",IFERROR(INDEX($Q$6:$Q$1505,MATCH($C198&amp;"|"&amp;$A198&amp;"|"&amp;($S198-1),$V$6:$V$1505,0)),""))</f>
        <v/>
      </c>
      <c r="X198" s="32">
        <f>IF(OR($W198="",$Q198="",LEFT($Q198,1)="—"),"",IF($W198=$Q198,"ללא שינוי","מ-"&amp;$W198&amp;" ל-"&amp;$Q198))</f>
        <v/>
      </c>
    </row>
    <row r="199" ht="15.75" customHeight="1" s="58">
      <c r="A199" s="65" t="n"/>
      <c r="B199" s="65" t="n"/>
      <c r="C199" s="66" t="n"/>
      <c r="D199" s="66" t="n"/>
      <c r="E199" s="65" t="n"/>
      <c r="F199" s="65" t="n"/>
      <c r="G199" s="65" t="n"/>
      <c r="H199" s="65" t="n"/>
      <c r="I199" s="65" t="n"/>
      <c r="J199" s="65" t="n"/>
      <c r="K199" s="65" t="n"/>
      <c r="L199" s="65" t="n"/>
      <c r="M199" s="65" t="n"/>
      <c r="N199" s="65" t="n"/>
      <c r="O199" s="65" t="n"/>
      <c r="P199" s="65" t="n"/>
      <c r="Q199" s="32">
        <f>IF($C199="","",IF($J199="","— חסרים נתונים",IF($J199="טרם מפענח","פרופיל 5",IF($J199="קמץ/פתח/חטף-פתח ושוואים","פרופיל 4",IF($J199="2-3 סימני ניקוד","פרופיל 3",IF($J199="4-5 סימני ניקוד","פרופיל 2",IF(AND($O199="משפטים וקטעים קצרים",OR($M199="מבין",$M199="מבין לרוב")),"פרופיל 1","פרופיל 2")))))))</f>
        <v/>
      </c>
      <c r="R199" s="32">
        <f>IF($C199="","",IF(OR($Q199="",LEFT($Q199,1)="—"),"קבוצה רביעית",IF($Q199="פרופיל 5","קבוצת תשתיות",IF(OR($Q199="פרופיל 4",$Q199="פרופיל 3"),"קבוצת רכישה","קבוצת ביסוס"))))</f>
        <v/>
      </c>
      <c r="S199" s="32">
        <f>IF($F199="","",IF($F199="תחילת שנה",1,IF($F199="מחצית שנה",2,3)))</f>
        <v/>
      </c>
      <c r="T199" s="32">
        <f>IF(OR($B199="",$R199="",$A199="",$F199=""),"",$B199&amp;"|"&amp;$A199&amp;"|"&amp;$F199&amp;"|"&amp;$R199&amp;"|"&amp;COUNTIFS($B$6:$B199,$B199,$A$6:$A199,$A199,$F$6:$F199,$F199,$R$6:$R199,$R199))</f>
        <v/>
      </c>
      <c r="U199" s="32">
        <f>IF($C199="","",$C199&amp;"|"&amp;COUNTIFS($C$6:$C199,$C199))</f>
        <v/>
      </c>
      <c r="V199" s="32">
        <f>IF(OR($C199="",$A199="",$S199=""),"",$C199&amp;"|"&amp;$A199&amp;"|"&amp;$S199)</f>
        <v/>
      </c>
      <c r="W199" s="32">
        <f>IF(OR($C199="",$S199="",$S199=1),"",IFERROR(INDEX($Q$6:$Q$1505,MATCH($C199&amp;"|"&amp;$A199&amp;"|"&amp;($S199-1),$V$6:$V$1505,0)),""))</f>
        <v/>
      </c>
      <c r="X199" s="32">
        <f>IF(OR($W199="",$Q199="",LEFT($Q199,1)="—"),"",IF($W199=$Q199,"ללא שינוי","מ-"&amp;$W199&amp;" ל-"&amp;$Q199))</f>
        <v/>
      </c>
    </row>
    <row r="200" ht="15.75" customHeight="1" s="58">
      <c r="A200" s="65" t="n"/>
      <c r="B200" s="65" t="n"/>
      <c r="C200" s="66" t="n"/>
      <c r="D200" s="66" t="n"/>
      <c r="E200" s="65" t="n"/>
      <c r="F200" s="65" t="n"/>
      <c r="G200" s="65" t="n"/>
      <c r="H200" s="65" t="n"/>
      <c r="I200" s="65" t="n"/>
      <c r="J200" s="65" t="n"/>
      <c r="K200" s="65" t="n"/>
      <c r="L200" s="65" t="n"/>
      <c r="M200" s="65" t="n"/>
      <c r="N200" s="65" t="n"/>
      <c r="O200" s="65" t="n"/>
      <c r="P200" s="65" t="n"/>
      <c r="Q200" s="32">
        <f>IF($C200="","",IF($J200="","— חסרים נתונים",IF($J200="טרם מפענח","פרופיל 5",IF($J200="קמץ/פתח/חטף-פתח ושוואים","פרופיל 4",IF($J200="2-3 סימני ניקוד","פרופיל 3",IF($J200="4-5 סימני ניקוד","פרופיל 2",IF(AND($O200="משפטים וקטעים קצרים",OR($M200="מבין",$M200="מבין לרוב")),"פרופיל 1","פרופיל 2")))))))</f>
        <v/>
      </c>
      <c r="R200" s="32">
        <f>IF($C200="","",IF(OR($Q200="",LEFT($Q200,1)="—"),"קבוצה רביעית",IF($Q200="פרופיל 5","קבוצת תשתיות",IF(OR($Q200="פרופיל 4",$Q200="פרופיל 3"),"קבוצת רכישה","קבוצת ביסוס"))))</f>
        <v/>
      </c>
      <c r="S200" s="32">
        <f>IF($F200="","",IF($F200="תחילת שנה",1,IF($F200="מחצית שנה",2,3)))</f>
        <v/>
      </c>
      <c r="T200" s="32">
        <f>IF(OR($B200="",$R200="",$A200="",$F200=""),"",$B200&amp;"|"&amp;$A200&amp;"|"&amp;$F200&amp;"|"&amp;$R200&amp;"|"&amp;COUNTIFS($B$6:$B200,$B200,$A$6:$A200,$A200,$F$6:$F200,$F200,$R$6:$R200,$R200))</f>
        <v/>
      </c>
      <c r="U200" s="32">
        <f>IF($C200="","",$C200&amp;"|"&amp;COUNTIFS($C$6:$C200,$C200))</f>
        <v/>
      </c>
      <c r="V200" s="32">
        <f>IF(OR($C200="",$A200="",$S200=""),"",$C200&amp;"|"&amp;$A200&amp;"|"&amp;$S200)</f>
        <v/>
      </c>
      <c r="W200" s="32">
        <f>IF(OR($C200="",$S200="",$S200=1),"",IFERROR(INDEX($Q$6:$Q$1505,MATCH($C200&amp;"|"&amp;$A200&amp;"|"&amp;($S200-1),$V$6:$V$1505,0)),""))</f>
        <v/>
      </c>
      <c r="X200" s="32">
        <f>IF(OR($W200="",$Q200="",LEFT($Q200,1)="—"),"",IF($W200=$Q200,"ללא שינוי","מ-"&amp;$W200&amp;" ל-"&amp;$Q200))</f>
        <v/>
      </c>
    </row>
    <row r="201" ht="15.75" customHeight="1" s="58">
      <c r="A201" s="65" t="n"/>
      <c r="B201" s="65" t="n"/>
      <c r="C201" s="66" t="n"/>
      <c r="D201" s="66" t="n"/>
      <c r="E201" s="65" t="n"/>
      <c r="F201" s="65" t="n"/>
      <c r="G201" s="65" t="n"/>
      <c r="H201" s="65" t="n"/>
      <c r="I201" s="65" t="n"/>
      <c r="J201" s="65" t="n"/>
      <c r="K201" s="65" t="n"/>
      <c r="L201" s="65" t="n"/>
      <c r="M201" s="65" t="n"/>
      <c r="N201" s="65" t="n"/>
      <c r="O201" s="65" t="n"/>
      <c r="P201" s="65" t="n"/>
      <c r="Q201" s="32">
        <f>IF($C201="","",IF($J201="","— חסרים נתונים",IF($J201="טרם מפענח","פרופיל 5",IF($J201="קמץ/פתח/חטף-פתח ושוואים","פרופיל 4",IF($J201="2-3 סימני ניקוד","פרופיל 3",IF($J201="4-5 סימני ניקוד","פרופיל 2",IF(AND($O201="משפטים וקטעים קצרים",OR($M201="מבין",$M201="מבין לרוב")),"פרופיל 1","פרופיל 2")))))))</f>
        <v/>
      </c>
      <c r="R201" s="32">
        <f>IF($C201="","",IF(OR($Q201="",LEFT($Q201,1)="—"),"קבוצה רביעית",IF($Q201="פרופיל 5","קבוצת תשתיות",IF(OR($Q201="פרופיל 4",$Q201="פרופיל 3"),"קבוצת רכישה","קבוצת ביסוס"))))</f>
        <v/>
      </c>
      <c r="S201" s="32">
        <f>IF($F201="","",IF($F201="תחילת שנה",1,IF($F201="מחצית שנה",2,3)))</f>
        <v/>
      </c>
      <c r="T201" s="32">
        <f>IF(OR($B201="",$R201="",$A201="",$F201=""),"",$B201&amp;"|"&amp;$A201&amp;"|"&amp;$F201&amp;"|"&amp;$R201&amp;"|"&amp;COUNTIFS($B$6:$B201,$B201,$A$6:$A201,$A201,$F$6:$F201,$F201,$R$6:$R201,$R201))</f>
        <v/>
      </c>
      <c r="U201" s="32">
        <f>IF($C201="","",$C201&amp;"|"&amp;COUNTIFS($C$6:$C201,$C201))</f>
        <v/>
      </c>
      <c r="V201" s="32">
        <f>IF(OR($C201="",$A201="",$S201=""),"",$C201&amp;"|"&amp;$A201&amp;"|"&amp;$S201)</f>
        <v/>
      </c>
      <c r="W201" s="32">
        <f>IF(OR($C201="",$S201="",$S201=1),"",IFERROR(INDEX($Q$6:$Q$1505,MATCH($C201&amp;"|"&amp;$A201&amp;"|"&amp;($S201-1),$V$6:$V$1505,0)),""))</f>
        <v/>
      </c>
      <c r="X201" s="32">
        <f>IF(OR($W201="",$Q201="",LEFT($Q201,1)="—"),"",IF($W201=$Q201,"ללא שינוי","מ-"&amp;$W201&amp;" ל-"&amp;$Q201))</f>
        <v/>
      </c>
    </row>
    <row r="202" ht="15.75" customHeight="1" s="58">
      <c r="A202" s="65" t="n"/>
      <c r="B202" s="65" t="n"/>
      <c r="C202" s="66" t="n"/>
      <c r="D202" s="66" t="n"/>
      <c r="E202" s="65" t="n"/>
      <c r="F202" s="65" t="n"/>
      <c r="G202" s="65" t="n"/>
      <c r="H202" s="65" t="n"/>
      <c r="I202" s="65" t="n"/>
      <c r="J202" s="65" t="n"/>
      <c r="K202" s="65" t="n"/>
      <c r="L202" s="65" t="n"/>
      <c r="M202" s="65" t="n"/>
      <c r="N202" s="65" t="n"/>
      <c r="O202" s="65" t="n"/>
      <c r="P202" s="65" t="n"/>
      <c r="Q202" s="32">
        <f>IF($C202="","",IF($J202="","— חסרים נתונים",IF($J202="טרם מפענח","פרופיל 5",IF($J202="קמץ/פתח/חטף-פתח ושוואים","פרופיל 4",IF($J202="2-3 סימני ניקוד","פרופיל 3",IF($J202="4-5 סימני ניקוד","פרופיל 2",IF(AND($O202="משפטים וקטעים קצרים",OR($M202="מבין",$M202="מבין לרוב")),"פרופיל 1","פרופיל 2")))))))</f>
        <v/>
      </c>
      <c r="R202" s="32">
        <f>IF($C202="","",IF(OR($Q202="",LEFT($Q202,1)="—"),"קבוצה רביעית",IF($Q202="פרופיל 5","קבוצת תשתיות",IF(OR($Q202="פרופיל 4",$Q202="פרופיל 3"),"קבוצת רכישה","קבוצת ביסוס"))))</f>
        <v/>
      </c>
      <c r="S202" s="32">
        <f>IF($F202="","",IF($F202="תחילת שנה",1,IF($F202="מחצית שנה",2,3)))</f>
        <v/>
      </c>
      <c r="T202" s="32">
        <f>IF(OR($B202="",$R202="",$A202="",$F202=""),"",$B202&amp;"|"&amp;$A202&amp;"|"&amp;$F202&amp;"|"&amp;$R202&amp;"|"&amp;COUNTIFS($B$6:$B202,$B202,$A$6:$A202,$A202,$F$6:$F202,$F202,$R$6:$R202,$R202))</f>
        <v/>
      </c>
      <c r="U202" s="32">
        <f>IF($C202="","",$C202&amp;"|"&amp;COUNTIFS($C$6:$C202,$C202))</f>
        <v/>
      </c>
      <c r="V202" s="32">
        <f>IF(OR($C202="",$A202="",$S202=""),"",$C202&amp;"|"&amp;$A202&amp;"|"&amp;$S202)</f>
        <v/>
      </c>
      <c r="W202" s="32">
        <f>IF(OR($C202="",$S202="",$S202=1),"",IFERROR(INDEX($Q$6:$Q$1505,MATCH($C202&amp;"|"&amp;$A202&amp;"|"&amp;($S202-1),$V$6:$V$1505,0)),""))</f>
        <v/>
      </c>
      <c r="X202" s="32">
        <f>IF(OR($W202="",$Q202="",LEFT($Q202,1)="—"),"",IF($W202=$Q202,"ללא שינוי","מ-"&amp;$W202&amp;" ל-"&amp;$Q202))</f>
        <v/>
      </c>
    </row>
    <row r="203" ht="15.75" customHeight="1" s="58">
      <c r="A203" s="65" t="n"/>
      <c r="B203" s="65" t="n"/>
      <c r="C203" s="66" t="n"/>
      <c r="D203" s="66" t="n"/>
      <c r="E203" s="65" t="n"/>
      <c r="F203" s="65" t="n"/>
      <c r="G203" s="65" t="n"/>
      <c r="H203" s="65" t="n"/>
      <c r="I203" s="65" t="n"/>
      <c r="J203" s="65" t="n"/>
      <c r="K203" s="65" t="n"/>
      <c r="L203" s="65" t="n"/>
      <c r="M203" s="65" t="n"/>
      <c r="N203" s="65" t="n"/>
      <c r="O203" s="65" t="n"/>
      <c r="P203" s="65" t="n"/>
      <c r="Q203" s="32">
        <f>IF($C203="","",IF($J203="","— חסרים נתונים",IF($J203="טרם מפענח","פרופיל 5",IF($J203="קמץ/פתח/חטף-פתח ושוואים","פרופיל 4",IF($J203="2-3 סימני ניקוד","פרופיל 3",IF($J203="4-5 סימני ניקוד","פרופיל 2",IF(AND($O203="משפטים וקטעים קצרים",OR($M203="מבין",$M203="מבין לרוב")),"פרופיל 1","פרופיל 2")))))))</f>
        <v/>
      </c>
      <c r="R203" s="32">
        <f>IF($C203="","",IF(OR($Q203="",LEFT($Q203,1)="—"),"קבוצה רביעית",IF($Q203="פרופיל 5","קבוצת תשתיות",IF(OR($Q203="פרופיל 4",$Q203="פרופיל 3"),"קבוצת רכישה","קבוצת ביסוס"))))</f>
        <v/>
      </c>
      <c r="S203" s="32">
        <f>IF($F203="","",IF($F203="תחילת שנה",1,IF($F203="מחצית שנה",2,3)))</f>
        <v/>
      </c>
      <c r="T203" s="32">
        <f>IF(OR($B203="",$R203="",$A203="",$F203=""),"",$B203&amp;"|"&amp;$A203&amp;"|"&amp;$F203&amp;"|"&amp;$R203&amp;"|"&amp;COUNTIFS($B$6:$B203,$B203,$A$6:$A203,$A203,$F$6:$F203,$F203,$R$6:$R203,$R203))</f>
        <v/>
      </c>
      <c r="U203" s="32">
        <f>IF($C203="","",$C203&amp;"|"&amp;COUNTIFS($C$6:$C203,$C203))</f>
        <v/>
      </c>
      <c r="V203" s="32">
        <f>IF(OR($C203="",$A203="",$S203=""),"",$C203&amp;"|"&amp;$A203&amp;"|"&amp;$S203)</f>
        <v/>
      </c>
      <c r="W203" s="32">
        <f>IF(OR($C203="",$S203="",$S203=1),"",IFERROR(INDEX($Q$6:$Q$1505,MATCH($C203&amp;"|"&amp;$A203&amp;"|"&amp;($S203-1),$V$6:$V$1505,0)),""))</f>
        <v/>
      </c>
      <c r="X203" s="32">
        <f>IF(OR($W203="",$Q203="",LEFT($Q203,1)="—"),"",IF($W203=$Q203,"ללא שינוי","מ-"&amp;$W203&amp;" ל-"&amp;$Q203))</f>
        <v/>
      </c>
    </row>
    <row r="204" ht="15.75" customHeight="1" s="58">
      <c r="A204" s="65" t="n"/>
      <c r="B204" s="65" t="n"/>
      <c r="C204" s="66" t="n"/>
      <c r="D204" s="66" t="n"/>
      <c r="E204" s="65" t="n"/>
      <c r="F204" s="65" t="n"/>
      <c r="G204" s="65" t="n"/>
      <c r="H204" s="65" t="n"/>
      <c r="I204" s="65" t="n"/>
      <c r="J204" s="65" t="n"/>
      <c r="K204" s="65" t="n"/>
      <c r="L204" s="65" t="n"/>
      <c r="M204" s="65" t="n"/>
      <c r="N204" s="65" t="n"/>
      <c r="O204" s="65" t="n"/>
      <c r="P204" s="65" t="n"/>
      <c r="Q204" s="32">
        <f>IF($C204="","",IF($J204="","— חסרים נתונים",IF($J204="טרם מפענח","פרופיל 5",IF($J204="קמץ/פתח/חטף-פתח ושוואים","פרופיל 4",IF($J204="2-3 סימני ניקוד","פרופיל 3",IF($J204="4-5 סימני ניקוד","פרופיל 2",IF(AND($O204="משפטים וקטעים קצרים",OR($M204="מבין",$M204="מבין לרוב")),"פרופיל 1","פרופיל 2")))))))</f>
        <v/>
      </c>
      <c r="R204" s="32">
        <f>IF($C204="","",IF(OR($Q204="",LEFT($Q204,1)="—"),"קבוצה רביעית",IF($Q204="פרופיל 5","קבוצת תשתיות",IF(OR($Q204="פרופיל 4",$Q204="פרופיל 3"),"קבוצת רכישה","קבוצת ביסוס"))))</f>
        <v/>
      </c>
      <c r="S204" s="32">
        <f>IF($F204="","",IF($F204="תחילת שנה",1,IF($F204="מחצית שנה",2,3)))</f>
        <v/>
      </c>
      <c r="T204" s="32">
        <f>IF(OR($B204="",$R204="",$A204="",$F204=""),"",$B204&amp;"|"&amp;$A204&amp;"|"&amp;$F204&amp;"|"&amp;$R204&amp;"|"&amp;COUNTIFS($B$6:$B204,$B204,$A$6:$A204,$A204,$F$6:$F204,$F204,$R$6:$R204,$R204))</f>
        <v/>
      </c>
      <c r="U204" s="32">
        <f>IF($C204="","",$C204&amp;"|"&amp;COUNTIFS($C$6:$C204,$C204))</f>
        <v/>
      </c>
      <c r="V204" s="32">
        <f>IF(OR($C204="",$A204="",$S204=""),"",$C204&amp;"|"&amp;$A204&amp;"|"&amp;$S204)</f>
        <v/>
      </c>
      <c r="W204" s="32">
        <f>IF(OR($C204="",$S204="",$S204=1),"",IFERROR(INDEX($Q$6:$Q$1505,MATCH($C204&amp;"|"&amp;$A204&amp;"|"&amp;($S204-1),$V$6:$V$1505,0)),""))</f>
        <v/>
      </c>
      <c r="X204" s="32">
        <f>IF(OR($W204="",$Q204="",LEFT($Q204,1)="—"),"",IF($W204=$Q204,"ללא שינוי","מ-"&amp;$W204&amp;" ל-"&amp;$Q204))</f>
        <v/>
      </c>
    </row>
    <row r="205" ht="15.75" customHeight="1" s="58">
      <c r="A205" s="65" t="n"/>
      <c r="B205" s="65" t="n"/>
      <c r="C205" s="66" t="n"/>
      <c r="D205" s="66" t="n"/>
      <c r="E205" s="65" t="n"/>
      <c r="F205" s="65" t="n"/>
      <c r="G205" s="65" t="n"/>
      <c r="H205" s="65" t="n"/>
      <c r="I205" s="65" t="n"/>
      <c r="J205" s="65" t="n"/>
      <c r="K205" s="65" t="n"/>
      <c r="L205" s="65" t="n"/>
      <c r="M205" s="65" t="n"/>
      <c r="N205" s="65" t="n"/>
      <c r="O205" s="65" t="n"/>
      <c r="P205" s="65" t="n"/>
      <c r="Q205" s="32">
        <f>IF($C205="","",IF($J205="","— חסרים נתונים",IF($J205="טרם מפענח","פרופיל 5",IF($J205="קמץ/פתח/חטף-פתח ושוואים","פרופיל 4",IF($J205="2-3 סימני ניקוד","פרופיל 3",IF($J205="4-5 סימני ניקוד","פרופיל 2",IF(AND($O205="משפטים וקטעים קצרים",OR($M205="מבין",$M205="מבין לרוב")),"פרופיל 1","פרופיל 2")))))))</f>
        <v/>
      </c>
      <c r="R205" s="32">
        <f>IF($C205="","",IF(OR($Q205="",LEFT($Q205,1)="—"),"קבוצה רביעית",IF($Q205="פרופיל 5","קבוצת תשתיות",IF(OR($Q205="פרופיל 4",$Q205="פרופיל 3"),"קבוצת רכישה","קבוצת ביסוס"))))</f>
        <v/>
      </c>
      <c r="S205" s="32">
        <f>IF($F205="","",IF($F205="תחילת שנה",1,IF($F205="מחצית שנה",2,3)))</f>
        <v/>
      </c>
      <c r="T205" s="32">
        <f>IF(OR($B205="",$R205="",$A205="",$F205=""),"",$B205&amp;"|"&amp;$A205&amp;"|"&amp;$F205&amp;"|"&amp;$R205&amp;"|"&amp;COUNTIFS($B$6:$B205,$B205,$A$6:$A205,$A205,$F$6:$F205,$F205,$R$6:$R205,$R205))</f>
        <v/>
      </c>
      <c r="U205" s="32">
        <f>IF($C205="","",$C205&amp;"|"&amp;COUNTIFS($C$6:$C205,$C205))</f>
        <v/>
      </c>
      <c r="V205" s="32">
        <f>IF(OR($C205="",$A205="",$S205=""),"",$C205&amp;"|"&amp;$A205&amp;"|"&amp;$S205)</f>
        <v/>
      </c>
      <c r="W205" s="32">
        <f>IF(OR($C205="",$S205="",$S205=1),"",IFERROR(INDEX($Q$6:$Q$1505,MATCH($C205&amp;"|"&amp;$A205&amp;"|"&amp;($S205-1),$V$6:$V$1505,0)),""))</f>
        <v/>
      </c>
      <c r="X205" s="32">
        <f>IF(OR($W205="",$Q205="",LEFT($Q205,1)="—"),"",IF($W205=$Q205,"ללא שינוי","מ-"&amp;$W205&amp;" ל-"&amp;$Q205))</f>
        <v/>
      </c>
    </row>
    <row r="206" ht="15.75" customHeight="1" s="58">
      <c r="A206" s="65" t="n"/>
      <c r="B206" s="65" t="n"/>
      <c r="C206" s="66" t="n"/>
      <c r="D206" s="66" t="n"/>
      <c r="E206" s="65" t="n"/>
      <c r="F206" s="65" t="n"/>
      <c r="G206" s="65" t="n"/>
      <c r="H206" s="65" t="n"/>
      <c r="I206" s="65" t="n"/>
      <c r="J206" s="65" t="n"/>
      <c r="K206" s="65" t="n"/>
      <c r="L206" s="65" t="n"/>
      <c r="M206" s="65" t="n"/>
      <c r="N206" s="65" t="n"/>
      <c r="O206" s="65" t="n"/>
      <c r="P206" s="65" t="n"/>
      <c r="Q206" s="32">
        <f>IF($C206="","",IF($J206="","— חסרים נתונים",IF($J206="טרם מפענח","פרופיל 5",IF($J206="קמץ/פתח/חטף-פתח ושוואים","פרופיל 4",IF($J206="2-3 סימני ניקוד","פרופיל 3",IF($J206="4-5 סימני ניקוד","פרופיל 2",IF(AND($O206="משפטים וקטעים קצרים",OR($M206="מבין",$M206="מבין לרוב")),"פרופיל 1","פרופיל 2")))))))</f>
        <v/>
      </c>
      <c r="R206" s="32">
        <f>IF($C206="","",IF(OR($Q206="",LEFT($Q206,1)="—"),"קבוצה רביעית",IF($Q206="פרופיל 5","קבוצת תשתיות",IF(OR($Q206="פרופיל 4",$Q206="פרופיל 3"),"קבוצת רכישה","קבוצת ביסוס"))))</f>
        <v/>
      </c>
      <c r="S206" s="32">
        <f>IF($F206="","",IF($F206="תחילת שנה",1,IF($F206="מחצית שנה",2,3)))</f>
        <v/>
      </c>
      <c r="T206" s="32">
        <f>IF(OR($B206="",$R206="",$A206="",$F206=""),"",$B206&amp;"|"&amp;$A206&amp;"|"&amp;$F206&amp;"|"&amp;$R206&amp;"|"&amp;COUNTIFS($B$6:$B206,$B206,$A$6:$A206,$A206,$F$6:$F206,$F206,$R$6:$R206,$R206))</f>
        <v/>
      </c>
      <c r="U206" s="32">
        <f>IF($C206="","",$C206&amp;"|"&amp;COUNTIFS($C$6:$C206,$C206))</f>
        <v/>
      </c>
      <c r="V206" s="32">
        <f>IF(OR($C206="",$A206="",$S206=""),"",$C206&amp;"|"&amp;$A206&amp;"|"&amp;$S206)</f>
        <v/>
      </c>
      <c r="W206" s="32">
        <f>IF(OR($C206="",$S206="",$S206=1),"",IFERROR(INDEX($Q$6:$Q$1505,MATCH($C206&amp;"|"&amp;$A206&amp;"|"&amp;($S206-1),$V$6:$V$1505,0)),""))</f>
        <v/>
      </c>
      <c r="X206" s="32">
        <f>IF(OR($W206="",$Q206="",LEFT($Q206,1)="—"),"",IF($W206=$Q206,"ללא שינוי","מ-"&amp;$W206&amp;" ל-"&amp;$Q206))</f>
        <v/>
      </c>
    </row>
    <row r="207" ht="15.75" customHeight="1" s="58">
      <c r="A207" s="65" t="n"/>
      <c r="B207" s="65" t="n"/>
      <c r="C207" s="66" t="n"/>
      <c r="D207" s="66" t="n"/>
      <c r="E207" s="65" t="n"/>
      <c r="F207" s="65" t="n"/>
      <c r="G207" s="65" t="n"/>
      <c r="H207" s="65" t="n"/>
      <c r="I207" s="65" t="n"/>
      <c r="J207" s="65" t="n"/>
      <c r="K207" s="65" t="n"/>
      <c r="L207" s="65" t="n"/>
      <c r="M207" s="65" t="n"/>
      <c r="N207" s="65" t="n"/>
      <c r="O207" s="65" t="n"/>
      <c r="P207" s="65" t="n"/>
      <c r="Q207" s="32">
        <f>IF($C207="","",IF($J207="","— חסרים נתונים",IF($J207="טרם מפענח","פרופיל 5",IF($J207="קמץ/פתח/חטף-פתח ושוואים","פרופיל 4",IF($J207="2-3 סימני ניקוד","פרופיל 3",IF($J207="4-5 סימני ניקוד","פרופיל 2",IF(AND($O207="משפטים וקטעים קצרים",OR($M207="מבין",$M207="מבין לרוב")),"פרופיל 1","פרופיל 2")))))))</f>
        <v/>
      </c>
      <c r="R207" s="32">
        <f>IF($C207="","",IF(OR($Q207="",LEFT($Q207,1)="—"),"קבוצה רביעית",IF($Q207="פרופיל 5","קבוצת תשתיות",IF(OR($Q207="פרופיל 4",$Q207="פרופיל 3"),"קבוצת רכישה","קבוצת ביסוס"))))</f>
        <v/>
      </c>
      <c r="S207" s="32">
        <f>IF($F207="","",IF($F207="תחילת שנה",1,IF($F207="מחצית שנה",2,3)))</f>
        <v/>
      </c>
      <c r="T207" s="32">
        <f>IF(OR($B207="",$R207="",$A207="",$F207=""),"",$B207&amp;"|"&amp;$A207&amp;"|"&amp;$F207&amp;"|"&amp;$R207&amp;"|"&amp;COUNTIFS($B$6:$B207,$B207,$A$6:$A207,$A207,$F$6:$F207,$F207,$R$6:$R207,$R207))</f>
        <v/>
      </c>
      <c r="U207" s="32">
        <f>IF($C207="","",$C207&amp;"|"&amp;COUNTIFS($C$6:$C207,$C207))</f>
        <v/>
      </c>
      <c r="V207" s="32">
        <f>IF(OR($C207="",$A207="",$S207=""),"",$C207&amp;"|"&amp;$A207&amp;"|"&amp;$S207)</f>
        <v/>
      </c>
      <c r="W207" s="32">
        <f>IF(OR($C207="",$S207="",$S207=1),"",IFERROR(INDEX($Q$6:$Q$1505,MATCH($C207&amp;"|"&amp;$A207&amp;"|"&amp;($S207-1),$V$6:$V$1505,0)),""))</f>
        <v/>
      </c>
      <c r="X207" s="32">
        <f>IF(OR($W207="",$Q207="",LEFT($Q207,1)="—"),"",IF($W207=$Q207,"ללא שינוי","מ-"&amp;$W207&amp;" ל-"&amp;$Q207))</f>
        <v/>
      </c>
    </row>
    <row r="208" ht="15.75" customHeight="1" s="58">
      <c r="A208" s="65" t="n"/>
      <c r="B208" s="65" t="n"/>
      <c r="C208" s="66" t="n"/>
      <c r="D208" s="66" t="n"/>
      <c r="E208" s="65" t="n"/>
      <c r="F208" s="65" t="n"/>
      <c r="G208" s="65" t="n"/>
      <c r="H208" s="65" t="n"/>
      <c r="I208" s="65" t="n"/>
      <c r="J208" s="65" t="n"/>
      <c r="K208" s="65" t="n"/>
      <c r="L208" s="65" t="n"/>
      <c r="M208" s="65" t="n"/>
      <c r="N208" s="65" t="n"/>
      <c r="O208" s="65" t="n"/>
      <c r="P208" s="65" t="n"/>
      <c r="Q208" s="32">
        <f>IF($C208="","",IF($J208="","— חסרים נתונים",IF($J208="טרם מפענח","פרופיל 5",IF($J208="קמץ/פתח/חטף-פתח ושוואים","פרופיל 4",IF($J208="2-3 סימני ניקוד","פרופיל 3",IF($J208="4-5 סימני ניקוד","פרופיל 2",IF(AND($O208="משפטים וקטעים קצרים",OR($M208="מבין",$M208="מבין לרוב")),"פרופיל 1","פרופיל 2")))))))</f>
        <v/>
      </c>
      <c r="R208" s="32">
        <f>IF($C208="","",IF(OR($Q208="",LEFT($Q208,1)="—"),"קבוצה רביעית",IF($Q208="פרופיל 5","קבוצת תשתיות",IF(OR($Q208="פרופיל 4",$Q208="פרופיל 3"),"קבוצת רכישה","קבוצת ביסוס"))))</f>
        <v/>
      </c>
      <c r="S208" s="32">
        <f>IF($F208="","",IF($F208="תחילת שנה",1,IF($F208="מחצית שנה",2,3)))</f>
        <v/>
      </c>
      <c r="T208" s="32">
        <f>IF(OR($B208="",$R208="",$A208="",$F208=""),"",$B208&amp;"|"&amp;$A208&amp;"|"&amp;$F208&amp;"|"&amp;$R208&amp;"|"&amp;COUNTIFS($B$6:$B208,$B208,$A$6:$A208,$A208,$F$6:$F208,$F208,$R$6:$R208,$R208))</f>
        <v/>
      </c>
      <c r="U208" s="32">
        <f>IF($C208="","",$C208&amp;"|"&amp;COUNTIFS($C$6:$C208,$C208))</f>
        <v/>
      </c>
      <c r="V208" s="32">
        <f>IF(OR($C208="",$A208="",$S208=""),"",$C208&amp;"|"&amp;$A208&amp;"|"&amp;$S208)</f>
        <v/>
      </c>
      <c r="W208" s="32">
        <f>IF(OR($C208="",$S208="",$S208=1),"",IFERROR(INDEX($Q$6:$Q$1505,MATCH($C208&amp;"|"&amp;$A208&amp;"|"&amp;($S208-1),$V$6:$V$1505,0)),""))</f>
        <v/>
      </c>
      <c r="X208" s="32">
        <f>IF(OR($W208="",$Q208="",LEFT($Q208,1)="—"),"",IF($W208=$Q208,"ללא שינוי","מ-"&amp;$W208&amp;" ל-"&amp;$Q208))</f>
        <v/>
      </c>
    </row>
    <row r="209" ht="15.75" customHeight="1" s="58">
      <c r="A209" s="65" t="n"/>
      <c r="B209" s="65" t="n"/>
      <c r="C209" s="66" t="n"/>
      <c r="D209" s="66" t="n"/>
      <c r="E209" s="65" t="n"/>
      <c r="F209" s="65" t="n"/>
      <c r="G209" s="65" t="n"/>
      <c r="H209" s="65" t="n"/>
      <c r="I209" s="65" t="n"/>
      <c r="J209" s="65" t="n"/>
      <c r="K209" s="65" t="n"/>
      <c r="L209" s="65" t="n"/>
      <c r="M209" s="65" t="n"/>
      <c r="N209" s="65" t="n"/>
      <c r="O209" s="65" t="n"/>
      <c r="P209" s="65" t="n"/>
      <c r="Q209" s="32">
        <f>IF($C209="","",IF($J209="","— חסרים נתונים",IF($J209="טרם מפענח","פרופיל 5",IF($J209="קמץ/פתח/חטף-פתח ושוואים","פרופיל 4",IF($J209="2-3 סימני ניקוד","פרופיל 3",IF($J209="4-5 סימני ניקוד","פרופיל 2",IF(AND($O209="משפטים וקטעים קצרים",OR($M209="מבין",$M209="מבין לרוב")),"פרופיל 1","פרופיל 2")))))))</f>
        <v/>
      </c>
      <c r="R209" s="32">
        <f>IF($C209="","",IF(OR($Q209="",LEFT($Q209,1)="—"),"קבוצה רביעית",IF($Q209="פרופיל 5","קבוצת תשתיות",IF(OR($Q209="פרופיל 4",$Q209="פרופיל 3"),"קבוצת רכישה","קבוצת ביסוס"))))</f>
        <v/>
      </c>
      <c r="S209" s="32">
        <f>IF($F209="","",IF($F209="תחילת שנה",1,IF($F209="מחצית שנה",2,3)))</f>
        <v/>
      </c>
      <c r="T209" s="32">
        <f>IF(OR($B209="",$R209="",$A209="",$F209=""),"",$B209&amp;"|"&amp;$A209&amp;"|"&amp;$F209&amp;"|"&amp;$R209&amp;"|"&amp;COUNTIFS($B$6:$B209,$B209,$A$6:$A209,$A209,$F$6:$F209,$F209,$R$6:$R209,$R209))</f>
        <v/>
      </c>
      <c r="U209" s="32">
        <f>IF($C209="","",$C209&amp;"|"&amp;COUNTIFS($C$6:$C209,$C209))</f>
        <v/>
      </c>
      <c r="V209" s="32">
        <f>IF(OR($C209="",$A209="",$S209=""),"",$C209&amp;"|"&amp;$A209&amp;"|"&amp;$S209)</f>
        <v/>
      </c>
      <c r="W209" s="32">
        <f>IF(OR($C209="",$S209="",$S209=1),"",IFERROR(INDEX($Q$6:$Q$1505,MATCH($C209&amp;"|"&amp;$A209&amp;"|"&amp;($S209-1),$V$6:$V$1505,0)),""))</f>
        <v/>
      </c>
      <c r="X209" s="32">
        <f>IF(OR($W209="",$Q209="",LEFT($Q209,1)="—"),"",IF($W209=$Q209,"ללא שינוי","מ-"&amp;$W209&amp;" ל-"&amp;$Q209))</f>
        <v/>
      </c>
    </row>
    <row r="210" ht="15.75" customHeight="1" s="58">
      <c r="A210" s="65" t="n"/>
      <c r="B210" s="65" t="n"/>
      <c r="C210" s="66" t="n"/>
      <c r="D210" s="66" t="n"/>
      <c r="E210" s="65" t="n"/>
      <c r="F210" s="65" t="n"/>
      <c r="G210" s="65" t="n"/>
      <c r="H210" s="65" t="n"/>
      <c r="I210" s="65" t="n"/>
      <c r="J210" s="65" t="n"/>
      <c r="K210" s="65" t="n"/>
      <c r="L210" s="65" t="n"/>
      <c r="M210" s="65" t="n"/>
      <c r="N210" s="65" t="n"/>
      <c r="O210" s="65" t="n"/>
      <c r="P210" s="65" t="n"/>
      <c r="Q210" s="32">
        <f>IF($C210="","",IF($J210="","— חסרים נתונים",IF($J210="טרם מפענח","פרופיל 5",IF($J210="קמץ/פתח/חטף-פתח ושוואים","פרופיל 4",IF($J210="2-3 סימני ניקוד","פרופיל 3",IF($J210="4-5 סימני ניקוד","פרופיל 2",IF(AND($O210="משפטים וקטעים קצרים",OR($M210="מבין",$M210="מבין לרוב")),"פרופיל 1","פרופיל 2")))))))</f>
        <v/>
      </c>
      <c r="R210" s="32">
        <f>IF($C210="","",IF(OR($Q210="",LEFT($Q210,1)="—"),"קבוצה רביעית",IF($Q210="פרופיל 5","קבוצת תשתיות",IF(OR($Q210="פרופיל 4",$Q210="פרופיל 3"),"קבוצת רכישה","קבוצת ביסוס"))))</f>
        <v/>
      </c>
      <c r="S210" s="32">
        <f>IF($F210="","",IF($F210="תחילת שנה",1,IF($F210="מחצית שנה",2,3)))</f>
        <v/>
      </c>
      <c r="T210" s="32">
        <f>IF(OR($B210="",$R210="",$A210="",$F210=""),"",$B210&amp;"|"&amp;$A210&amp;"|"&amp;$F210&amp;"|"&amp;$R210&amp;"|"&amp;COUNTIFS($B$6:$B210,$B210,$A$6:$A210,$A210,$F$6:$F210,$F210,$R$6:$R210,$R210))</f>
        <v/>
      </c>
      <c r="U210" s="32">
        <f>IF($C210="","",$C210&amp;"|"&amp;COUNTIFS($C$6:$C210,$C210))</f>
        <v/>
      </c>
      <c r="V210" s="32">
        <f>IF(OR($C210="",$A210="",$S210=""),"",$C210&amp;"|"&amp;$A210&amp;"|"&amp;$S210)</f>
        <v/>
      </c>
      <c r="W210" s="32">
        <f>IF(OR($C210="",$S210="",$S210=1),"",IFERROR(INDEX($Q$6:$Q$1505,MATCH($C210&amp;"|"&amp;$A210&amp;"|"&amp;($S210-1),$V$6:$V$1505,0)),""))</f>
        <v/>
      </c>
      <c r="X210" s="32">
        <f>IF(OR($W210="",$Q210="",LEFT($Q210,1)="—"),"",IF($W210=$Q210,"ללא שינוי","מ-"&amp;$W210&amp;" ל-"&amp;$Q210))</f>
        <v/>
      </c>
    </row>
    <row r="211" ht="15.75" customHeight="1" s="58">
      <c r="A211" s="65" t="n"/>
      <c r="B211" s="65" t="n"/>
      <c r="C211" s="66" t="n"/>
      <c r="D211" s="66" t="n"/>
      <c r="E211" s="65" t="n"/>
      <c r="F211" s="65" t="n"/>
      <c r="G211" s="65" t="n"/>
      <c r="H211" s="65" t="n"/>
      <c r="I211" s="65" t="n"/>
      <c r="J211" s="65" t="n"/>
      <c r="K211" s="65" t="n"/>
      <c r="L211" s="65" t="n"/>
      <c r="M211" s="65" t="n"/>
      <c r="N211" s="65" t="n"/>
      <c r="O211" s="65" t="n"/>
      <c r="P211" s="65" t="n"/>
      <c r="Q211" s="32">
        <f>IF($C211="","",IF($J211="","— חסרים נתונים",IF($J211="טרם מפענח","פרופיל 5",IF($J211="קמץ/פתח/חטף-פתח ושוואים","פרופיל 4",IF($J211="2-3 סימני ניקוד","פרופיל 3",IF($J211="4-5 סימני ניקוד","פרופיל 2",IF(AND($O211="משפטים וקטעים קצרים",OR($M211="מבין",$M211="מבין לרוב")),"פרופיל 1","פרופיל 2")))))))</f>
        <v/>
      </c>
      <c r="R211" s="32">
        <f>IF($C211="","",IF(OR($Q211="",LEFT($Q211,1)="—"),"קבוצה רביעית",IF($Q211="פרופיל 5","קבוצת תשתיות",IF(OR($Q211="פרופיל 4",$Q211="פרופיל 3"),"קבוצת רכישה","קבוצת ביסוס"))))</f>
        <v/>
      </c>
      <c r="S211" s="32">
        <f>IF($F211="","",IF($F211="תחילת שנה",1,IF($F211="מחצית שנה",2,3)))</f>
        <v/>
      </c>
      <c r="T211" s="32">
        <f>IF(OR($B211="",$R211="",$A211="",$F211=""),"",$B211&amp;"|"&amp;$A211&amp;"|"&amp;$F211&amp;"|"&amp;$R211&amp;"|"&amp;COUNTIFS($B$6:$B211,$B211,$A$6:$A211,$A211,$F$6:$F211,$F211,$R$6:$R211,$R211))</f>
        <v/>
      </c>
      <c r="U211" s="32">
        <f>IF($C211="","",$C211&amp;"|"&amp;COUNTIFS($C$6:$C211,$C211))</f>
        <v/>
      </c>
      <c r="V211" s="32">
        <f>IF(OR($C211="",$A211="",$S211=""),"",$C211&amp;"|"&amp;$A211&amp;"|"&amp;$S211)</f>
        <v/>
      </c>
      <c r="W211" s="32">
        <f>IF(OR($C211="",$S211="",$S211=1),"",IFERROR(INDEX($Q$6:$Q$1505,MATCH($C211&amp;"|"&amp;$A211&amp;"|"&amp;($S211-1),$V$6:$V$1505,0)),""))</f>
        <v/>
      </c>
      <c r="X211" s="32">
        <f>IF(OR($W211="",$Q211="",LEFT($Q211,1)="—"),"",IF($W211=$Q211,"ללא שינוי","מ-"&amp;$W211&amp;" ל-"&amp;$Q211))</f>
        <v/>
      </c>
    </row>
    <row r="212" ht="15.75" customHeight="1" s="58">
      <c r="A212" s="65" t="n"/>
      <c r="B212" s="65" t="n"/>
      <c r="C212" s="66" t="n"/>
      <c r="D212" s="66" t="n"/>
      <c r="E212" s="65" t="n"/>
      <c r="F212" s="65" t="n"/>
      <c r="G212" s="65" t="n"/>
      <c r="H212" s="65" t="n"/>
      <c r="I212" s="65" t="n"/>
      <c r="J212" s="65" t="n"/>
      <c r="K212" s="65" t="n"/>
      <c r="L212" s="65" t="n"/>
      <c r="M212" s="65" t="n"/>
      <c r="N212" s="65" t="n"/>
      <c r="O212" s="65" t="n"/>
      <c r="P212" s="65" t="n"/>
      <c r="Q212" s="32">
        <f>IF($C212="","",IF($J212="","— חסרים נתונים",IF($J212="טרם מפענח","פרופיל 5",IF($J212="קמץ/פתח/חטף-פתח ושוואים","פרופיל 4",IF($J212="2-3 סימני ניקוד","פרופיל 3",IF($J212="4-5 סימני ניקוד","פרופיל 2",IF(AND($O212="משפטים וקטעים קצרים",OR($M212="מבין",$M212="מבין לרוב")),"פרופיל 1","פרופיל 2")))))))</f>
        <v/>
      </c>
      <c r="R212" s="32">
        <f>IF($C212="","",IF(OR($Q212="",LEFT($Q212,1)="—"),"קבוצה רביעית",IF($Q212="פרופיל 5","קבוצת תשתיות",IF(OR($Q212="פרופיל 4",$Q212="פרופיל 3"),"קבוצת רכישה","קבוצת ביסוס"))))</f>
        <v/>
      </c>
      <c r="S212" s="32">
        <f>IF($F212="","",IF($F212="תחילת שנה",1,IF($F212="מחצית שנה",2,3)))</f>
        <v/>
      </c>
      <c r="T212" s="32">
        <f>IF(OR($B212="",$R212="",$A212="",$F212=""),"",$B212&amp;"|"&amp;$A212&amp;"|"&amp;$F212&amp;"|"&amp;$R212&amp;"|"&amp;COUNTIFS($B$6:$B212,$B212,$A$6:$A212,$A212,$F$6:$F212,$F212,$R$6:$R212,$R212))</f>
        <v/>
      </c>
      <c r="U212" s="32">
        <f>IF($C212="","",$C212&amp;"|"&amp;COUNTIFS($C$6:$C212,$C212))</f>
        <v/>
      </c>
      <c r="V212" s="32">
        <f>IF(OR($C212="",$A212="",$S212=""),"",$C212&amp;"|"&amp;$A212&amp;"|"&amp;$S212)</f>
        <v/>
      </c>
      <c r="W212" s="32">
        <f>IF(OR($C212="",$S212="",$S212=1),"",IFERROR(INDEX($Q$6:$Q$1505,MATCH($C212&amp;"|"&amp;$A212&amp;"|"&amp;($S212-1),$V$6:$V$1505,0)),""))</f>
        <v/>
      </c>
      <c r="X212" s="32">
        <f>IF(OR($W212="",$Q212="",LEFT($Q212,1)="—"),"",IF($W212=$Q212,"ללא שינוי","מ-"&amp;$W212&amp;" ל-"&amp;$Q212))</f>
        <v/>
      </c>
    </row>
    <row r="213" ht="15.75" customHeight="1" s="58">
      <c r="A213" s="65" t="n"/>
      <c r="B213" s="65" t="n"/>
      <c r="C213" s="66" t="n"/>
      <c r="D213" s="66" t="n"/>
      <c r="E213" s="65" t="n"/>
      <c r="F213" s="65" t="n"/>
      <c r="G213" s="65" t="n"/>
      <c r="H213" s="65" t="n"/>
      <c r="I213" s="65" t="n"/>
      <c r="J213" s="65" t="n"/>
      <c r="K213" s="65" t="n"/>
      <c r="L213" s="65" t="n"/>
      <c r="M213" s="65" t="n"/>
      <c r="N213" s="65" t="n"/>
      <c r="O213" s="65" t="n"/>
      <c r="P213" s="65" t="n"/>
      <c r="Q213" s="32">
        <f>IF($C213="","",IF($J213="","— חסרים נתונים",IF($J213="טרם מפענח","פרופיל 5",IF($J213="קמץ/פתח/חטף-פתח ושוואים","פרופיל 4",IF($J213="2-3 סימני ניקוד","פרופיל 3",IF($J213="4-5 סימני ניקוד","פרופיל 2",IF(AND($O213="משפטים וקטעים קצרים",OR($M213="מבין",$M213="מבין לרוב")),"פרופיל 1","פרופיל 2")))))))</f>
        <v/>
      </c>
      <c r="R213" s="32">
        <f>IF($C213="","",IF(OR($Q213="",LEFT($Q213,1)="—"),"קבוצה רביעית",IF($Q213="פרופיל 5","קבוצת תשתיות",IF(OR($Q213="פרופיל 4",$Q213="פרופיל 3"),"קבוצת רכישה","קבוצת ביסוס"))))</f>
        <v/>
      </c>
      <c r="S213" s="32">
        <f>IF($F213="","",IF($F213="תחילת שנה",1,IF($F213="מחצית שנה",2,3)))</f>
        <v/>
      </c>
      <c r="T213" s="32">
        <f>IF(OR($B213="",$R213="",$A213="",$F213=""),"",$B213&amp;"|"&amp;$A213&amp;"|"&amp;$F213&amp;"|"&amp;$R213&amp;"|"&amp;COUNTIFS($B$6:$B213,$B213,$A$6:$A213,$A213,$F$6:$F213,$F213,$R$6:$R213,$R213))</f>
        <v/>
      </c>
      <c r="U213" s="32">
        <f>IF($C213="","",$C213&amp;"|"&amp;COUNTIFS($C$6:$C213,$C213))</f>
        <v/>
      </c>
      <c r="V213" s="32">
        <f>IF(OR($C213="",$A213="",$S213=""),"",$C213&amp;"|"&amp;$A213&amp;"|"&amp;$S213)</f>
        <v/>
      </c>
      <c r="W213" s="32">
        <f>IF(OR($C213="",$S213="",$S213=1),"",IFERROR(INDEX($Q$6:$Q$1505,MATCH($C213&amp;"|"&amp;$A213&amp;"|"&amp;($S213-1),$V$6:$V$1505,0)),""))</f>
        <v/>
      </c>
      <c r="X213" s="32">
        <f>IF(OR($W213="",$Q213="",LEFT($Q213,1)="—"),"",IF($W213=$Q213,"ללא שינוי","מ-"&amp;$W213&amp;" ל-"&amp;$Q213))</f>
        <v/>
      </c>
    </row>
    <row r="214" ht="15.75" customHeight="1" s="58">
      <c r="A214" s="65" t="n"/>
      <c r="B214" s="65" t="n"/>
      <c r="C214" s="66" t="n"/>
      <c r="D214" s="66" t="n"/>
      <c r="E214" s="65" t="n"/>
      <c r="F214" s="65" t="n"/>
      <c r="G214" s="65" t="n"/>
      <c r="H214" s="65" t="n"/>
      <c r="I214" s="65" t="n"/>
      <c r="J214" s="65" t="n"/>
      <c r="K214" s="65" t="n"/>
      <c r="L214" s="65" t="n"/>
      <c r="M214" s="65" t="n"/>
      <c r="N214" s="65" t="n"/>
      <c r="O214" s="65" t="n"/>
      <c r="P214" s="65" t="n"/>
      <c r="Q214" s="32">
        <f>IF($C214="","",IF($J214="","— חסרים נתונים",IF($J214="טרם מפענח","פרופיל 5",IF($J214="קמץ/פתח/חטף-פתח ושוואים","פרופיל 4",IF($J214="2-3 סימני ניקוד","פרופיל 3",IF($J214="4-5 סימני ניקוד","פרופיל 2",IF(AND($O214="משפטים וקטעים קצרים",OR($M214="מבין",$M214="מבין לרוב")),"פרופיל 1","פרופיל 2")))))))</f>
        <v/>
      </c>
      <c r="R214" s="32">
        <f>IF($C214="","",IF(OR($Q214="",LEFT($Q214,1)="—"),"קבוצה רביעית",IF($Q214="פרופיל 5","קבוצת תשתיות",IF(OR($Q214="פרופיל 4",$Q214="פרופיל 3"),"קבוצת רכישה","קבוצת ביסוס"))))</f>
        <v/>
      </c>
      <c r="S214" s="32">
        <f>IF($F214="","",IF($F214="תחילת שנה",1,IF($F214="מחצית שנה",2,3)))</f>
        <v/>
      </c>
      <c r="T214" s="32">
        <f>IF(OR($B214="",$R214="",$A214="",$F214=""),"",$B214&amp;"|"&amp;$A214&amp;"|"&amp;$F214&amp;"|"&amp;$R214&amp;"|"&amp;COUNTIFS($B$6:$B214,$B214,$A$6:$A214,$A214,$F$6:$F214,$F214,$R$6:$R214,$R214))</f>
        <v/>
      </c>
      <c r="U214" s="32">
        <f>IF($C214="","",$C214&amp;"|"&amp;COUNTIFS($C$6:$C214,$C214))</f>
        <v/>
      </c>
      <c r="V214" s="32">
        <f>IF(OR($C214="",$A214="",$S214=""),"",$C214&amp;"|"&amp;$A214&amp;"|"&amp;$S214)</f>
        <v/>
      </c>
      <c r="W214" s="32">
        <f>IF(OR($C214="",$S214="",$S214=1),"",IFERROR(INDEX($Q$6:$Q$1505,MATCH($C214&amp;"|"&amp;$A214&amp;"|"&amp;($S214-1),$V$6:$V$1505,0)),""))</f>
        <v/>
      </c>
      <c r="X214" s="32">
        <f>IF(OR($W214="",$Q214="",LEFT($Q214,1)="—"),"",IF($W214=$Q214,"ללא שינוי","מ-"&amp;$W214&amp;" ל-"&amp;$Q214))</f>
        <v/>
      </c>
    </row>
    <row r="215" ht="15.75" customHeight="1" s="58">
      <c r="A215" s="65" t="n"/>
      <c r="B215" s="65" t="n"/>
      <c r="C215" s="66" t="n"/>
      <c r="D215" s="66" t="n"/>
      <c r="E215" s="65" t="n"/>
      <c r="F215" s="65" t="n"/>
      <c r="G215" s="65" t="n"/>
      <c r="H215" s="65" t="n"/>
      <c r="I215" s="65" t="n"/>
      <c r="J215" s="65" t="n"/>
      <c r="K215" s="65" t="n"/>
      <c r="L215" s="65" t="n"/>
      <c r="M215" s="65" t="n"/>
      <c r="N215" s="65" t="n"/>
      <c r="O215" s="65" t="n"/>
      <c r="P215" s="65" t="n"/>
      <c r="Q215" s="32">
        <f>IF($C215="","",IF($J215="","— חסרים נתונים",IF($J215="טרם מפענח","פרופיל 5",IF($J215="קמץ/פתח/חטף-פתח ושוואים","פרופיל 4",IF($J215="2-3 סימני ניקוד","פרופיל 3",IF($J215="4-5 סימני ניקוד","פרופיל 2",IF(AND($O215="משפטים וקטעים קצרים",OR($M215="מבין",$M215="מבין לרוב")),"פרופיל 1","פרופיל 2")))))))</f>
        <v/>
      </c>
      <c r="R215" s="32">
        <f>IF($C215="","",IF(OR($Q215="",LEFT($Q215,1)="—"),"קבוצה רביעית",IF($Q215="פרופיל 5","קבוצת תשתיות",IF(OR($Q215="פרופיל 4",$Q215="פרופיל 3"),"קבוצת רכישה","קבוצת ביסוס"))))</f>
        <v/>
      </c>
      <c r="S215" s="32">
        <f>IF($F215="","",IF($F215="תחילת שנה",1,IF($F215="מחצית שנה",2,3)))</f>
        <v/>
      </c>
      <c r="T215" s="32">
        <f>IF(OR($B215="",$R215="",$A215="",$F215=""),"",$B215&amp;"|"&amp;$A215&amp;"|"&amp;$F215&amp;"|"&amp;$R215&amp;"|"&amp;COUNTIFS($B$6:$B215,$B215,$A$6:$A215,$A215,$F$6:$F215,$F215,$R$6:$R215,$R215))</f>
        <v/>
      </c>
      <c r="U215" s="32">
        <f>IF($C215="","",$C215&amp;"|"&amp;COUNTIFS($C$6:$C215,$C215))</f>
        <v/>
      </c>
      <c r="V215" s="32">
        <f>IF(OR($C215="",$A215="",$S215=""),"",$C215&amp;"|"&amp;$A215&amp;"|"&amp;$S215)</f>
        <v/>
      </c>
      <c r="W215" s="32">
        <f>IF(OR($C215="",$S215="",$S215=1),"",IFERROR(INDEX($Q$6:$Q$1505,MATCH($C215&amp;"|"&amp;$A215&amp;"|"&amp;($S215-1),$V$6:$V$1505,0)),""))</f>
        <v/>
      </c>
      <c r="X215" s="32">
        <f>IF(OR($W215="",$Q215="",LEFT($Q215,1)="—"),"",IF($W215=$Q215,"ללא שינוי","מ-"&amp;$W215&amp;" ל-"&amp;$Q215))</f>
        <v/>
      </c>
    </row>
    <row r="216" ht="15.75" customHeight="1" s="58">
      <c r="A216" s="65" t="n"/>
      <c r="B216" s="65" t="n"/>
      <c r="C216" s="66" t="n"/>
      <c r="D216" s="66" t="n"/>
      <c r="E216" s="65" t="n"/>
      <c r="F216" s="65" t="n"/>
      <c r="G216" s="65" t="n"/>
      <c r="H216" s="65" t="n"/>
      <c r="I216" s="65" t="n"/>
      <c r="J216" s="65" t="n"/>
      <c r="K216" s="65" t="n"/>
      <c r="L216" s="65" t="n"/>
      <c r="M216" s="65" t="n"/>
      <c r="N216" s="65" t="n"/>
      <c r="O216" s="65" t="n"/>
      <c r="P216" s="65" t="n"/>
      <c r="Q216" s="32">
        <f>IF($C216="","",IF($J216="","— חסרים נתונים",IF($J216="טרם מפענח","פרופיל 5",IF($J216="קמץ/פתח/חטף-פתח ושוואים","פרופיל 4",IF($J216="2-3 סימני ניקוד","פרופיל 3",IF($J216="4-5 סימני ניקוד","פרופיל 2",IF(AND($O216="משפטים וקטעים קצרים",OR($M216="מבין",$M216="מבין לרוב")),"פרופיל 1","פרופיל 2")))))))</f>
        <v/>
      </c>
      <c r="R216" s="32">
        <f>IF($C216="","",IF(OR($Q216="",LEFT($Q216,1)="—"),"קבוצה רביעית",IF($Q216="פרופיל 5","קבוצת תשתיות",IF(OR($Q216="פרופיל 4",$Q216="פרופיל 3"),"קבוצת רכישה","קבוצת ביסוס"))))</f>
        <v/>
      </c>
      <c r="S216" s="32">
        <f>IF($F216="","",IF($F216="תחילת שנה",1,IF($F216="מחצית שנה",2,3)))</f>
        <v/>
      </c>
      <c r="T216" s="32">
        <f>IF(OR($B216="",$R216="",$A216="",$F216=""),"",$B216&amp;"|"&amp;$A216&amp;"|"&amp;$F216&amp;"|"&amp;$R216&amp;"|"&amp;COUNTIFS($B$6:$B216,$B216,$A$6:$A216,$A216,$F$6:$F216,$F216,$R$6:$R216,$R216))</f>
        <v/>
      </c>
      <c r="U216" s="32">
        <f>IF($C216="","",$C216&amp;"|"&amp;COUNTIFS($C$6:$C216,$C216))</f>
        <v/>
      </c>
      <c r="V216" s="32">
        <f>IF(OR($C216="",$A216="",$S216=""),"",$C216&amp;"|"&amp;$A216&amp;"|"&amp;$S216)</f>
        <v/>
      </c>
      <c r="W216" s="32">
        <f>IF(OR($C216="",$S216="",$S216=1),"",IFERROR(INDEX($Q$6:$Q$1505,MATCH($C216&amp;"|"&amp;$A216&amp;"|"&amp;($S216-1),$V$6:$V$1505,0)),""))</f>
        <v/>
      </c>
      <c r="X216" s="32">
        <f>IF(OR($W216="",$Q216="",LEFT($Q216,1)="—"),"",IF($W216=$Q216,"ללא שינוי","מ-"&amp;$W216&amp;" ל-"&amp;$Q216))</f>
        <v/>
      </c>
    </row>
    <row r="217" ht="15.75" customHeight="1" s="58">
      <c r="A217" s="65" t="n"/>
      <c r="B217" s="65" t="n"/>
      <c r="C217" s="66" t="n"/>
      <c r="D217" s="66" t="n"/>
      <c r="E217" s="65" t="n"/>
      <c r="F217" s="65" t="n"/>
      <c r="G217" s="65" t="n"/>
      <c r="H217" s="65" t="n"/>
      <c r="I217" s="65" t="n"/>
      <c r="J217" s="65" t="n"/>
      <c r="K217" s="65" t="n"/>
      <c r="L217" s="65" t="n"/>
      <c r="M217" s="65" t="n"/>
      <c r="N217" s="65" t="n"/>
      <c r="O217" s="65" t="n"/>
      <c r="P217" s="65" t="n"/>
      <c r="Q217" s="32">
        <f>IF($C217="","",IF($J217="","— חסרים נתונים",IF($J217="טרם מפענח","פרופיל 5",IF($J217="קמץ/פתח/חטף-פתח ושוואים","פרופיל 4",IF($J217="2-3 סימני ניקוד","פרופיל 3",IF($J217="4-5 סימני ניקוד","פרופיל 2",IF(AND($O217="משפטים וקטעים קצרים",OR($M217="מבין",$M217="מבין לרוב")),"פרופיל 1","פרופיל 2")))))))</f>
        <v/>
      </c>
      <c r="R217" s="32">
        <f>IF($C217="","",IF(OR($Q217="",LEFT($Q217,1)="—"),"קבוצה רביעית",IF($Q217="פרופיל 5","קבוצת תשתיות",IF(OR($Q217="פרופיל 4",$Q217="פרופיל 3"),"קבוצת רכישה","קבוצת ביסוס"))))</f>
        <v/>
      </c>
      <c r="S217" s="32">
        <f>IF($F217="","",IF($F217="תחילת שנה",1,IF($F217="מחצית שנה",2,3)))</f>
        <v/>
      </c>
      <c r="T217" s="32">
        <f>IF(OR($B217="",$R217="",$A217="",$F217=""),"",$B217&amp;"|"&amp;$A217&amp;"|"&amp;$F217&amp;"|"&amp;$R217&amp;"|"&amp;COUNTIFS($B$6:$B217,$B217,$A$6:$A217,$A217,$F$6:$F217,$F217,$R$6:$R217,$R217))</f>
        <v/>
      </c>
      <c r="U217" s="32">
        <f>IF($C217="","",$C217&amp;"|"&amp;COUNTIFS($C$6:$C217,$C217))</f>
        <v/>
      </c>
      <c r="V217" s="32">
        <f>IF(OR($C217="",$A217="",$S217=""),"",$C217&amp;"|"&amp;$A217&amp;"|"&amp;$S217)</f>
        <v/>
      </c>
      <c r="W217" s="32">
        <f>IF(OR($C217="",$S217="",$S217=1),"",IFERROR(INDEX($Q$6:$Q$1505,MATCH($C217&amp;"|"&amp;$A217&amp;"|"&amp;($S217-1),$V$6:$V$1505,0)),""))</f>
        <v/>
      </c>
      <c r="X217" s="32">
        <f>IF(OR($W217="",$Q217="",LEFT($Q217,1)="—"),"",IF($W217=$Q217,"ללא שינוי","מ-"&amp;$W217&amp;" ל-"&amp;$Q217))</f>
        <v/>
      </c>
    </row>
    <row r="218" ht="15.75" customHeight="1" s="58">
      <c r="A218" s="65" t="n"/>
      <c r="B218" s="65" t="n"/>
      <c r="C218" s="66" t="n"/>
      <c r="D218" s="66" t="n"/>
      <c r="E218" s="65" t="n"/>
      <c r="F218" s="65" t="n"/>
      <c r="G218" s="65" t="n"/>
      <c r="H218" s="65" t="n"/>
      <c r="I218" s="65" t="n"/>
      <c r="J218" s="65" t="n"/>
      <c r="K218" s="65" t="n"/>
      <c r="L218" s="65" t="n"/>
      <c r="M218" s="65" t="n"/>
      <c r="N218" s="65" t="n"/>
      <c r="O218" s="65" t="n"/>
      <c r="P218" s="65" t="n"/>
      <c r="Q218" s="32">
        <f>IF($C218="","",IF($J218="","— חסרים נתונים",IF($J218="טרם מפענח","פרופיל 5",IF($J218="קמץ/פתח/חטף-פתח ושוואים","פרופיל 4",IF($J218="2-3 סימני ניקוד","פרופיל 3",IF($J218="4-5 סימני ניקוד","פרופיל 2",IF(AND($O218="משפטים וקטעים קצרים",OR($M218="מבין",$M218="מבין לרוב")),"פרופיל 1","פרופיל 2")))))))</f>
        <v/>
      </c>
      <c r="R218" s="32">
        <f>IF($C218="","",IF(OR($Q218="",LEFT($Q218,1)="—"),"קבוצה רביעית",IF($Q218="פרופיל 5","קבוצת תשתיות",IF(OR($Q218="פרופיל 4",$Q218="פרופיל 3"),"קבוצת רכישה","קבוצת ביסוס"))))</f>
        <v/>
      </c>
      <c r="S218" s="32">
        <f>IF($F218="","",IF($F218="תחילת שנה",1,IF($F218="מחצית שנה",2,3)))</f>
        <v/>
      </c>
      <c r="T218" s="32">
        <f>IF(OR($B218="",$R218="",$A218="",$F218=""),"",$B218&amp;"|"&amp;$A218&amp;"|"&amp;$F218&amp;"|"&amp;$R218&amp;"|"&amp;COUNTIFS($B$6:$B218,$B218,$A$6:$A218,$A218,$F$6:$F218,$F218,$R$6:$R218,$R218))</f>
        <v/>
      </c>
      <c r="U218" s="32">
        <f>IF($C218="","",$C218&amp;"|"&amp;COUNTIFS($C$6:$C218,$C218))</f>
        <v/>
      </c>
      <c r="V218" s="32">
        <f>IF(OR($C218="",$A218="",$S218=""),"",$C218&amp;"|"&amp;$A218&amp;"|"&amp;$S218)</f>
        <v/>
      </c>
      <c r="W218" s="32">
        <f>IF(OR($C218="",$S218="",$S218=1),"",IFERROR(INDEX($Q$6:$Q$1505,MATCH($C218&amp;"|"&amp;$A218&amp;"|"&amp;($S218-1),$V$6:$V$1505,0)),""))</f>
        <v/>
      </c>
      <c r="X218" s="32">
        <f>IF(OR($W218="",$Q218="",LEFT($Q218,1)="—"),"",IF($W218=$Q218,"ללא שינוי","מ-"&amp;$W218&amp;" ל-"&amp;$Q218))</f>
        <v/>
      </c>
    </row>
    <row r="219" ht="15.75" customHeight="1" s="58">
      <c r="A219" s="65" t="n"/>
      <c r="B219" s="65" t="n"/>
      <c r="C219" s="66" t="n"/>
      <c r="D219" s="66" t="n"/>
      <c r="E219" s="65" t="n"/>
      <c r="F219" s="65" t="n"/>
      <c r="G219" s="65" t="n"/>
      <c r="H219" s="65" t="n"/>
      <c r="I219" s="65" t="n"/>
      <c r="J219" s="65" t="n"/>
      <c r="K219" s="65" t="n"/>
      <c r="L219" s="65" t="n"/>
      <c r="M219" s="65" t="n"/>
      <c r="N219" s="65" t="n"/>
      <c r="O219" s="65" t="n"/>
      <c r="P219" s="65" t="n"/>
      <c r="Q219" s="32">
        <f>IF($C219="","",IF($J219="","— חסרים נתונים",IF($J219="טרם מפענח","פרופיל 5",IF($J219="קמץ/פתח/חטף-פתח ושוואים","פרופיל 4",IF($J219="2-3 סימני ניקוד","פרופיל 3",IF($J219="4-5 סימני ניקוד","פרופיל 2",IF(AND($O219="משפטים וקטעים קצרים",OR($M219="מבין",$M219="מבין לרוב")),"פרופיל 1","פרופיל 2")))))))</f>
        <v/>
      </c>
      <c r="R219" s="32">
        <f>IF($C219="","",IF(OR($Q219="",LEFT($Q219,1)="—"),"קבוצה רביעית",IF($Q219="פרופיל 5","קבוצת תשתיות",IF(OR($Q219="פרופיל 4",$Q219="פרופיל 3"),"קבוצת רכישה","קבוצת ביסוס"))))</f>
        <v/>
      </c>
      <c r="S219" s="32">
        <f>IF($F219="","",IF($F219="תחילת שנה",1,IF($F219="מחצית שנה",2,3)))</f>
        <v/>
      </c>
      <c r="T219" s="32">
        <f>IF(OR($B219="",$R219="",$A219="",$F219=""),"",$B219&amp;"|"&amp;$A219&amp;"|"&amp;$F219&amp;"|"&amp;$R219&amp;"|"&amp;COUNTIFS($B$6:$B219,$B219,$A$6:$A219,$A219,$F$6:$F219,$F219,$R$6:$R219,$R219))</f>
        <v/>
      </c>
      <c r="U219" s="32">
        <f>IF($C219="","",$C219&amp;"|"&amp;COUNTIFS($C$6:$C219,$C219))</f>
        <v/>
      </c>
      <c r="V219" s="32">
        <f>IF(OR($C219="",$A219="",$S219=""),"",$C219&amp;"|"&amp;$A219&amp;"|"&amp;$S219)</f>
        <v/>
      </c>
      <c r="W219" s="32">
        <f>IF(OR($C219="",$S219="",$S219=1),"",IFERROR(INDEX($Q$6:$Q$1505,MATCH($C219&amp;"|"&amp;$A219&amp;"|"&amp;($S219-1),$V$6:$V$1505,0)),""))</f>
        <v/>
      </c>
      <c r="X219" s="32">
        <f>IF(OR($W219="",$Q219="",LEFT($Q219,1)="—"),"",IF($W219=$Q219,"ללא שינוי","מ-"&amp;$W219&amp;" ל-"&amp;$Q219))</f>
        <v/>
      </c>
    </row>
    <row r="220" ht="15.75" customHeight="1" s="58">
      <c r="A220" s="65" t="n"/>
      <c r="B220" s="65" t="n"/>
      <c r="C220" s="66" t="n"/>
      <c r="D220" s="66" t="n"/>
      <c r="E220" s="65" t="n"/>
      <c r="F220" s="65" t="n"/>
      <c r="G220" s="65" t="n"/>
      <c r="H220" s="65" t="n"/>
      <c r="I220" s="65" t="n"/>
      <c r="J220" s="65" t="n"/>
      <c r="K220" s="65" t="n"/>
      <c r="L220" s="65" t="n"/>
      <c r="M220" s="65" t="n"/>
      <c r="N220" s="65" t="n"/>
      <c r="O220" s="65" t="n"/>
      <c r="P220" s="65" t="n"/>
      <c r="Q220" s="32">
        <f>IF($C220="","",IF($J220="","— חסרים נתונים",IF($J220="טרם מפענח","פרופיל 5",IF($J220="קמץ/פתח/חטף-פתח ושוואים","פרופיל 4",IF($J220="2-3 סימני ניקוד","פרופיל 3",IF($J220="4-5 סימני ניקוד","פרופיל 2",IF(AND($O220="משפטים וקטעים קצרים",OR($M220="מבין",$M220="מבין לרוב")),"פרופיל 1","פרופיל 2")))))))</f>
        <v/>
      </c>
      <c r="R220" s="32">
        <f>IF($C220="","",IF(OR($Q220="",LEFT($Q220,1)="—"),"קבוצה רביעית",IF($Q220="פרופיל 5","קבוצת תשתיות",IF(OR($Q220="פרופיל 4",$Q220="פרופיל 3"),"קבוצת רכישה","קבוצת ביסוס"))))</f>
        <v/>
      </c>
      <c r="S220" s="32">
        <f>IF($F220="","",IF($F220="תחילת שנה",1,IF($F220="מחצית שנה",2,3)))</f>
        <v/>
      </c>
      <c r="T220" s="32">
        <f>IF(OR($B220="",$R220="",$A220="",$F220=""),"",$B220&amp;"|"&amp;$A220&amp;"|"&amp;$F220&amp;"|"&amp;$R220&amp;"|"&amp;COUNTIFS($B$6:$B220,$B220,$A$6:$A220,$A220,$F$6:$F220,$F220,$R$6:$R220,$R220))</f>
        <v/>
      </c>
      <c r="U220" s="32">
        <f>IF($C220="","",$C220&amp;"|"&amp;COUNTIFS($C$6:$C220,$C220))</f>
        <v/>
      </c>
      <c r="V220" s="32">
        <f>IF(OR($C220="",$A220="",$S220=""),"",$C220&amp;"|"&amp;$A220&amp;"|"&amp;$S220)</f>
        <v/>
      </c>
      <c r="W220" s="32">
        <f>IF(OR($C220="",$S220="",$S220=1),"",IFERROR(INDEX($Q$6:$Q$1505,MATCH($C220&amp;"|"&amp;$A220&amp;"|"&amp;($S220-1),$V$6:$V$1505,0)),""))</f>
        <v/>
      </c>
      <c r="X220" s="32">
        <f>IF(OR($W220="",$Q220="",LEFT($Q220,1)="—"),"",IF($W220=$Q220,"ללא שינוי","מ-"&amp;$W220&amp;" ל-"&amp;$Q220))</f>
        <v/>
      </c>
    </row>
    <row r="221" ht="15.75" customHeight="1" s="58">
      <c r="A221" s="65" t="n"/>
      <c r="B221" s="65" t="n"/>
      <c r="C221" s="66" t="n"/>
      <c r="D221" s="66" t="n"/>
      <c r="E221" s="65" t="n"/>
      <c r="F221" s="65" t="n"/>
      <c r="G221" s="65" t="n"/>
      <c r="H221" s="65" t="n"/>
      <c r="I221" s="65" t="n"/>
      <c r="J221" s="65" t="n"/>
      <c r="K221" s="65" t="n"/>
      <c r="L221" s="65" t="n"/>
      <c r="M221" s="65" t="n"/>
      <c r="N221" s="65" t="n"/>
      <c r="O221" s="65" t="n"/>
      <c r="P221" s="65" t="n"/>
      <c r="Q221" s="32">
        <f>IF($C221="","",IF($J221="","— חסרים נתונים",IF($J221="טרם מפענח","פרופיל 5",IF($J221="קמץ/פתח/חטף-פתח ושוואים","פרופיל 4",IF($J221="2-3 סימני ניקוד","פרופיל 3",IF($J221="4-5 סימני ניקוד","פרופיל 2",IF(AND($O221="משפטים וקטעים קצרים",OR($M221="מבין",$M221="מבין לרוב")),"פרופיל 1","פרופיל 2")))))))</f>
        <v/>
      </c>
      <c r="R221" s="32">
        <f>IF($C221="","",IF(OR($Q221="",LEFT($Q221,1)="—"),"קבוצה רביעית",IF($Q221="פרופיל 5","קבוצת תשתיות",IF(OR($Q221="פרופיל 4",$Q221="פרופיל 3"),"קבוצת רכישה","קבוצת ביסוס"))))</f>
        <v/>
      </c>
      <c r="S221" s="32">
        <f>IF($F221="","",IF($F221="תחילת שנה",1,IF($F221="מחצית שנה",2,3)))</f>
        <v/>
      </c>
      <c r="T221" s="32">
        <f>IF(OR($B221="",$R221="",$A221="",$F221=""),"",$B221&amp;"|"&amp;$A221&amp;"|"&amp;$F221&amp;"|"&amp;$R221&amp;"|"&amp;COUNTIFS($B$6:$B221,$B221,$A$6:$A221,$A221,$F$6:$F221,$F221,$R$6:$R221,$R221))</f>
        <v/>
      </c>
      <c r="U221" s="32">
        <f>IF($C221="","",$C221&amp;"|"&amp;COUNTIFS($C$6:$C221,$C221))</f>
        <v/>
      </c>
      <c r="V221" s="32">
        <f>IF(OR($C221="",$A221="",$S221=""),"",$C221&amp;"|"&amp;$A221&amp;"|"&amp;$S221)</f>
        <v/>
      </c>
      <c r="W221" s="32">
        <f>IF(OR($C221="",$S221="",$S221=1),"",IFERROR(INDEX($Q$6:$Q$1505,MATCH($C221&amp;"|"&amp;$A221&amp;"|"&amp;($S221-1),$V$6:$V$1505,0)),""))</f>
        <v/>
      </c>
      <c r="X221" s="32">
        <f>IF(OR($W221="",$Q221="",LEFT($Q221,1)="—"),"",IF($W221=$Q221,"ללא שינוי","מ-"&amp;$W221&amp;" ל-"&amp;$Q221))</f>
        <v/>
      </c>
    </row>
    <row r="222" ht="15.75" customHeight="1" s="58">
      <c r="A222" s="65" t="n"/>
      <c r="B222" s="65" t="n"/>
      <c r="C222" s="66" t="n"/>
      <c r="D222" s="66" t="n"/>
      <c r="E222" s="65" t="n"/>
      <c r="F222" s="65" t="n"/>
      <c r="G222" s="65" t="n"/>
      <c r="H222" s="65" t="n"/>
      <c r="I222" s="65" t="n"/>
      <c r="J222" s="65" t="n"/>
      <c r="K222" s="65" t="n"/>
      <c r="L222" s="65" t="n"/>
      <c r="M222" s="65" t="n"/>
      <c r="N222" s="65" t="n"/>
      <c r="O222" s="65" t="n"/>
      <c r="P222" s="65" t="n"/>
      <c r="Q222" s="32">
        <f>IF($C222="","",IF($J222="","— חסרים נתונים",IF($J222="טרם מפענח","פרופיל 5",IF($J222="קמץ/פתח/חטף-פתח ושוואים","פרופיל 4",IF($J222="2-3 סימני ניקוד","פרופיל 3",IF($J222="4-5 סימני ניקוד","פרופיל 2",IF(AND($O222="משפטים וקטעים קצרים",OR($M222="מבין",$M222="מבין לרוב")),"פרופיל 1","פרופיל 2")))))))</f>
        <v/>
      </c>
      <c r="R222" s="32">
        <f>IF($C222="","",IF(OR($Q222="",LEFT($Q222,1)="—"),"קבוצה רביעית",IF($Q222="פרופיל 5","קבוצת תשתיות",IF(OR($Q222="פרופיל 4",$Q222="פרופיל 3"),"קבוצת רכישה","קבוצת ביסוס"))))</f>
        <v/>
      </c>
      <c r="S222" s="32">
        <f>IF($F222="","",IF($F222="תחילת שנה",1,IF($F222="מחצית שנה",2,3)))</f>
        <v/>
      </c>
      <c r="T222" s="32">
        <f>IF(OR($B222="",$R222="",$A222="",$F222=""),"",$B222&amp;"|"&amp;$A222&amp;"|"&amp;$F222&amp;"|"&amp;$R222&amp;"|"&amp;COUNTIFS($B$6:$B222,$B222,$A$6:$A222,$A222,$F$6:$F222,$F222,$R$6:$R222,$R222))</f>
        <v/>
      </c>
      <c r="U222" s="32">
        <f>IF($C222="","",$C222&amp;"|"&amp;COUNTIFS($C$6:$C222,$C222))</f>
        <v/>
      </c>
      <c r="V222" s="32">
        <f>IF(OR($C222="",$A222="",$S222=""),"",$C222&amp;"|"&amp;$A222&amp;"|"&amp;$S222)</f>
        <v/>
      </c>
      <c r="W222" s="32">
        <f>IF(OR($C222="",$S222="",$S222=1),"",IFERROR(INDEX($Q$6:$Q$1505,MATCH($C222&amp;"|"&amp;$A222&amp;"|"&amp;($S222-1),$V$6:$V$1505,0)),""))</f>
        <v/>
      </c>
      <c r="X222" s="32">
        <f>IF(OR($W222="",$Q222="",LEFT($Q222,1)="—"),"",IF($W222=$Q222,"ללא שינוי","מ-"&amp;$W222&amp;" ל-"&amp;$Q222))</f>
        <v/>
      </c>
    </row>
    <row r="223" ht="15.75" customHeight="1" s="58">
      <c r="A223" s="65" t="n"/>
      <c r="B223" s="65" t="n"/>
      <c r="C223" s="66" t="n"/>
      <c r="D223" s="66" t="n"/>
      <c r="E223" s="65" t="n"/>
      <c r="F223" s="65" t="n"/>
      <c r="G223" s="65" t="n"/>
      <c r="H223" s="65" t="n"/>
      <c r="I223" s="65" t="n"/>
      <c r="J223" s="65" t="n"/>
      <c r="K223" s="65" t="n"/>
      <c r="L223" s="65" t="n"/>
      <c r="M223" s="65" t="n"/>
      <c r="N223" s="65" t="n"/>
      <c r="O223" s="65" t="n"/>
      <c r="P223" s="65" t="n"/>
      <c r="Q223" s="32">
        <f>IF($C223="","",IF($J223="","— חסרים נתונים",IF($J223="טרם מפענח","פרופיל 5",IF($J223="קמץ/פתח/חטף-פתח ושוואים","פרופיל 4",IF($J223="2-3 סימני ניקוד","פרופיל 3",IF($J223="4-5 סימני ניקוד","פרופיל 2",IF(AND($O223="משפטים וקטעים קצרים",OR($M223="מבין",$M223="מבין לרוב")),"פרופיל 1","פרופיל 2")))))))</f>
        <v/>
      </c>
      <c r="R223" s="32">
        <f>IF($C223="","",IF(OR($Q223="",LEFT($Q223,1)="—"),"קבוצה רביעית",IF($Q223="פרופיל 5","קבוצת תשתיות",IF(OR($Q223="פרופיל 4",$Q223="פרופיל 3"),"קבוצת רכישה","קבוצת ביסוס"))))</f>
        <v/>
      </c>
      <c r="S223" s="32">
        <f>IF($F223="","",IF($F223="תחילת שנה",1,IF($F223="מחצית שנה",2,3)))</f>
        <v/>
      </c>
      <c r="T223" s="32">
        <f>IF(OR($B223="",$R223="",$A223="",$F223=""),"",$B223&amp;"|"&amp;$A223&amp;"|"&amp;$F223&amp;"|"&amp;$R223&amp;"|"&amp;COUNTIFS($B$6:$B223,$B223,$A$6:$A223,$A223,$F$6:$F223,$F223,$R$6:$R223,$R223))</f>
        <v/>
      </c>
      <c r="U223" s="32">
        <f>IF($C223="","",$C223&amp;"|"&amp;COUNTIFS($C$6:$C223,$C223))</f>
        <v/>
      </c>
      <c r="V223" s="32">
        <f>IF(OR($C223="",$A223="",$S223=""),"",$C223&amp;"|"&amp;$A223&amp;"|"&amp;$S223)</f>
        <v/>
      </c>
      <c r="W223" s="32">
        <f>IF(OR($C223="",$S223="",$S223=1),"",IFERROR(INDEX($Q$6:$Q$1505,MATCH($C223&amp;"|"&amp;$A223&amp;"|"&amp;($S223-1),$V$6:$V$1505,0)),""))</f>
        <v/>
      </c>
      <c r="X223" s="32">
        <f>IF(OR($W223="",$Q223="",LEFT($Q223,1)="—"),"",IF($W223=$Q223,"ללא שינוי","מ-"&amp;$W223&amp;" ל-"&amp;$Q223))</f>
        <v/>
      </c>
    </row>
    <row r="224" ht="15.75" customHeight="1" s="58">
      <c r="A224" s="65" t="n"/>
      <c r="B224" s="65" t="n"/>
      <c r="C224" s="66" t="n"/>
      <c r="D224" s="66" t="n"/>
      <c r="E224" s="65" t="n"/>
      <c r="F224" s="65" t="n"/>
      <c r="G224" s="65" t="n"/>
      <c r="H224" s="65" t="n"/>
      <c r="I224" s="65" t="n"/>
      <c r="J224" s="65" t="n"/>
      <c r="K224" s="65" t="n"/>
      <c r="L224" s="65" t="n"/>
      <c r="M224" s="65" t="n"/>
      <c r="N224" s="65" t="n"/>
      <c r="O224" s="65" t="n"/>
      <c r="P224" s="65" t="n"/>
      <c r="Q224" s="32">
        <f>IF($C224="","",IF($J224="","— חסרים נתונים",IF($J224="טרם מפענח","פרופיל 5",IF($J224="קמץ/פתח/חטף-פתח ושוואים","פרופיל 4",IF($J224="2-3 סימני ניקוד","פרופיל 3",IF($J224="4-5 סימני ניקוד","פרופיל 2",IF(AND($O224="משפטים וקטעים קצרים",OR($M224="מבין",$M224="מבין לרוב")),"פרופיל 1","פרופיל 2")))))))</f>
        <v/>
      </c>
      <c r="R224" s="32">
        <f>IF($C224="","",IF(OR($Q224="",LEFT($Q224,1)="—"),"קבוצה רביעית",IF($Q224="פרופיל 5","קבוצת תשתיות",IF(OR($Q224="פרופיל 4",$Q224="פרופיל 3"),"קבוצת רכישה","קבוצת ביסוס"))))</f>
        <v/>
      </c>
      <c r="S224" s="32">
        <f>IF($F224="","",IF($F224="תחילת שנה",1,IF($F224="מחצית שנה",2,3)))</f>
        <v/>
      </c>
      <c r="T224" s="32">
        <f>IF(OR($B224="",$R224="",$A224="",$F224=""),"",$B224&amp;"|"&amp;$A224&amp;"|"&amp;$F224&amp;"|"&amp;$R224&amp;"|"&amp;COUNTIFS($B$6:$B224,$B224,$A$6:$A224,$A224,$F$6:$F224,$F224,$R$6:$R224,$R224))</f>
        <v/>
      </c>
      <c r="U224" s="32">
        <f>IF($C224="","",$C224&amp;"|"&amp;COUNTIFS($C$6:$C224,$C224))</f>
        <v/>
      </c>
      <c r="V224" s="32">
        <f>IF(OR($C224="",$A224="",$S224=""),"",$C224&amp;"|"&amp;$A224&amp;"|"&amp;$S224)</f>
        <v/>
      </c>
      <c r="W224" s="32">
        <f>IF(OR($C224="",$S224="",$S224=1),"",IFERROR(INDEX($Q$6:$Q$1505,MATCH($C224&amp;"|"&amp;$A224&amp;"|"&amp;($S224-1),$V$6:$V$1505,0)),""))</f>
        <v/>
      </c>
      <c r="X224" s="32">
        <f>IF(OR($W224="",$Q224="",LEFT($Q224,1)="—"),"",IF($W224=$Q224,"ללא שינוי","מ-"&amp;$W224&amp;" ל-"&amp;$Q224))</f>
        <v/>
      </c>
    </row>
    <row r="225" ht="15.75" customHeight="1" s="58">
      <c r="A225" s="65" t="n"/>
      <c r="B225" s="65" t="n"/>
      <c r="C225" s="66" t="n"/>
      <c r="D225" s="66" t="n"/>
      <c r="E225" s="65" t="n"/>
      <c r="F225" s="65" t="n"/>
      <c r="G225" s="65" t="n"/>
      <c r="H225" s="65" t="n"/>
      <c r="I225" s="65" t="n"/>
      <c r="J225" s="65" t="n"/>
      <c r="K225" s="65" t="n"/>
      <c r="L225" s="65" t="n"/>
      <c r="M225" s="65" t="n"/>
      <c r="N225" s="65" t="n"/>
      <c r="O225" s="65" t="n"/>
      <c r="P225" s="65" t="n"/>
      <c r="Q225" s="32">
        <f>IF($C225="","",IF($J225="","— חסרים נתונים",IF($J225="טרם מפענח","פרופיל 5",IF($J225="קמץ/פתח/חטף-פתח ושוואים","פרופיל 4",IF($J225="2-3 סימני ניקוד","פרופיל 3",IF($J225="4-5 סימני ניקוד","פרופיל 2",IF(AND($O225="משפטים וקטעים קצרים",OR($M225="מבין",$M225="מבין לרוב")),"פרופיל 1","פרופיל 2")))))))</f>
        <v/>
      </c>
      <c r="R225" s="32">
        <f>IF($C225="","",IF(OR($Q225="",LEFT($Q225,1)="—"),"קבוצה רביעית",IF($Q225="פרופיל 5","קבוצת תשתיות",IF(OR($Q225="פרופיל 4",$Q225="פרופיל 3"),"קבוצת רכישה","קבוצת ביסוס"))))</f>
        <v/>
      </c>
      <c r="S225" s="32">
        <f>IF($F225="","",IF($F225="תחילת שנה",1,IF($F225="מחצית שנה",2,3)))</f>
        <v/>
      </c>
      <c r="T225" s="32">
        <f>IF(OR($B225="",$R225="",$A225="",$F225=""),"",$B225&amp;"|"&amp;$A225&amp;"|"&amp;$F225&amp;"|"&amp;$R225&amp;"|"&amp;COUNTIFS($B$6:$B225,$B225,$A$6:$A225,$A225,$F$6:$F225,$F225,$R$6:$R225,$R225))</f>
        <v/>
      </c>
      <c r="U225" s="32">
        <f>IF($C225="","",$C225&amp;"|"&amp;COUNTIFS($C$6:$C225,$C225))</f>
        <v/>
      </c>
      <c r="V225" s="32">
        <f>IF(OR($C225="",$A225="",$S225=""),"",$C225&amp;"|"&amp;$A225&amp;"|"&amp;$S225)</f>
        <v/>
      </c>
      <c r="W225" s="32">
        <f>IF(OR($C225="",$S225="",$S225=1),"",IFERROR(INDEX($Q$6:$Q$1505,MATCH($C225&amp;"|"&amp;$A225&amp;"|"&amp;($S225-1),$V$6:$V$1505,0)),""))</f>
        <v/>
      </c>
      <c r="X225" s="32">
        <f>IF(OR($W225="",$Q225="",LEFT($Q225,1)="—"),"",IF($W225=$Q225,"ללא שינוי","מ-"&amp;$W225&amp;" ל-"&amp;$Q225))</f>
        <v/>
      </c>
    </row>
    <row r="226" ht="15.75" customHeight="1" s="58">
      <c r="A226" s="65" t="n"/>
      <c r="B226" s="65" t="n"/>
      <c r="C226" s="66" t="n"/>
      <c r="D226" s="66" t="n"/>
      <c r="E226" s="65" t="n"/>
      <c r="F226" s="65" t="n"/>
      <c r="G226" s="65" t="n"/>
      <c r="H226" s="65" t="n"/>
      <c r="I226" s="65" t="n"/>
      <c r="J226" s="65" t="n"/>
      <c r="K226" s="65" t="n"/>
      <c r="L226" s="65" t="n"/>
      <c r="M226" s="65" t="n"/>
      <c r="N226" s="65" t="n"/>
      <c r="O226" s="65" t="n"/>
      <c r="P226" s="65" t="n"/>
      <c r="Q226" s="32">
        <f>IF($C226="","",IF($J226="","— חסרים נתונים",IF($J226="טרם מפענח","פרופיל 5",IF($J226="קמץ/פתח/חטף-פתח ושוואים","פרופיל 4",IF($J226="2-3 סימני ניקוד","פרופיל 3",IF($J226="4-5 סימני ניקוד","פרופיל 2",IF(AND($O226="משפטים וקטעים קצרים",OR($M226="מבין",$M226="מבין לרוב")),"פרופיל 1","פרופיל 2")))))))</f>
        <v/>
      </c>
      <c r="R226" s="32">
        <f>IF($C226="","",IF(OR($Q226="",LEFT($Q226,1)="—"),"קבוצה רביעית",IF($Q226="פרופיל 5","קבוצת תשתיות",IF(OR($Q226="פרופיל 4",$Q226="פרופיל 3"),"קבוצת רכישה","קבוצת ביסוס"))))</f>
        <v/>
      </c>
      <c r="S226" s="32">
        <f>IF($F226="","",IF($F226="תחילת שנה",1,IF($F226="מחצית שנה",2,3)))</f>
        <v/>
      </c>
      <c r="T226" s="32">
        <f>IF(OR($B226="",$R226="",$A226="",$F226=""),"",$B226&amp;"|"&amp;$A226&amp;"|"&amp;$F226&amp;"|"&amp;$R226&amp;"|"&amp;COUNTIFS($B$6:$B226,$B226,$A$6:$A226,$A226,$F$6:$F226,$F226,$R$6:$R226,$R226))</f>
        <v/>
      </c>
      <c r="U226" s="32">
        <f>IF($C226="","",$C226&amp;"|"&amp;COUNTIFS($C$6:$C226,$C226))</f>
        <v/>
      </c>
      <c r="V226" s="32">
        <f>IF(OR($C226="",$A226="",$S226=""),"",$C226&amp;"|"&amp;$A226&amp;"|"&amp;$S226)</f>
        <v/>
      </c>
      <c r="W226" s="32">
        <f>IF(OR($C226="",$S226="",$S226=1),"",IFERROR(INDEX($Q$6:$Q$1505,MATCH($C226&amp;"|"&amp;$A226&amp;"|"&amp;($S226-1),$V$6:$V$1505,0)),""))</f>
        <v/>
      </c>
      <c r="X226" s="32">
        <f>IF(OR($W226="",$Q226="",LEFT($Q226,1)="—"),"",IF($W226=$Q226,"ללא שינוי","מ-"&amp;$W226&amp;" ל-"&amp;$Q226))</f>
        <v/>
      </c>
    </row>
    <row r="227" ht="15.75" customHeight="1" s="58">
      <c r="A227" s="65" t="n"/>
      <c r="B227" s="65" t="n"/>
      <c r="C227" s="66" t="n"/>
      <c r="D227" s="66" t="n"/>
      <c r="E227" s="65" t="n"/>
      <c r="F227" s="65" t="n"/>
      <c r="G227" s="65" t="n"/>
      <c r="H227" s="65" t="n"/>
      <c r="I227" s="65" t="n"/>
      <c r="J227" s="65" t="n"/>
      <c r="K227" s="65" t="n"/>
      <c r="L227" s="65" t="n"/>
      <c r="M227" s="65" t="n"/>
      <c r="N227" s="65" t="n"/>
      <c r="O227" s="65" t="n"/>
      <c r="P227" s="65" t="n"/>
      <c r="Q227" s="32">
        <f>IF($C227="","",IF($J227="","— חסרים נתונים",IF($J227="טרם מפענח","פרופיל 5",IF($J227="קמץ/פתח/חטף-פתח ושוואים","פרופיל 4",IF($J227="2-3 סימני ניקוד","פרופיל 3",IF($J227="4-5 סימני ניקוד","פרופיל 2",IF(AND($O227="משפטים וקטעים קצרים",OR($M227="מבין",$M227="מבין לרוב")),"פרופיל 1","פרופיל 2")))))))</f>
        <v/>
      </c>
      <c r="R227" s="32">
        <f>IF($C227="","",IF(OR($Q227="",LEFT($Q227,1)="—"),"קבוצה רביעית",IF($Q227="פרופיל 5","קבוצת תשתיות",IF(OR($Q227="פרופיל 4",$Q227="פרופיל 3"),"קבוצת רכישה","קבוצת ביסוס"))))</f>
        <v/>
      </c>
      <c r="S227" s="32">
        <f>IF($F227="","",IF($F227="תחילת שנה",1,IF($F227="מחצית שנה",2,3)))</f>
        <v/>
      </c>
      <c r="T227" s="32">
        <f>IF(OR($B227="",$R227="",$A227="",$F227=""),"",$B227&amp;"|"&amp;$A227&amp;"|"&amp;$F227&amp;"|"&amp;$R227&amp;"|"&amp;COUNTIFS($B$6:$B227,$B227,$A$6:$A227,$A227,$F$6:$F227,$F227,$R$6:$R227,$R227))</f>
        <v/>
      </c>
      <c r="U227" s="32">
        <f>IF($C227="","",$C227&amp;"|"&amp;COUNTIFS($C$6:$C227,$C227))</f>
        <v/>
      </c>
      <c r="V227" s="32">
        <f>IF(OR($C227="",$A227="",$S227=""),"",$C227&amp;"|"&amp;$A227&amp;"|"&amp;$S227)</f>
        <v/>
      </c>
      <c r="W227" s="32">
        <f>IF(OR($C227="",$S227="",$S227=1),"",IFERROR(INDEX($Q$6:$Q$1505,MATCH($C227&amp;"|"&amp;$A227&amp;"|"&amp;($S227-1),$V$6:$V$1505,0)),""))</f>
        <v/>
      </c>
      <c r="X227" s="32">
        <f>IF(OR($W227="",$Q227="",LEFT($Q227,1)="—"),"",IF($W227=$Q227,"ללא שינוי","מ-"&amp;$W227&amp;" ל-"&amp;$Q227))</f>
        <v/>
      </c>
    </row>
    <row r="228" ht="15.75" customHeight="1" s="58">
      <c r="A228" s="65" t="n"/>
      <c r="B228" s="65" t="n"/>
      <c r="C228" s="66" t="n"/>
      <c r="D228" s="66" t="n"/>
      <c r="E228" s="65" t="n"/>
      <c r="F228" s="65" t="n"/>
      <c r="G228" s="65" t="n"/>
      <c r="H228" s="65" t="n"/>
      <c r="I228" s="65" t="n"/>
      <c r="J228" s="65" t="n"/>
      <c r="K228" s="65" t="n"/>
      <c r="L228" s="65" t="n"/>
      <c r="M228" s="65" t="n"/>
      <c r="N228" s="65" t="n"/>
      <c r="O228" s="65" t="n"/>
      <c r="P228" s="65" t="n"/>
      <c r="Q228" s="32">
        <f>IF($C228="","",IF($J228="","— חסרים נתונים",IF($J228="טרם מפענח","פרופיל 5",IF($J228="קמץ/פתח/חטף-פתח ושוואים","פרופיל 4",IF($J228="2-3 סימני ניקוד","פרופיל 3",IF($J228="4-5 סימני ניקוד","פרופיל 2",IF(AND($O228="משפטים וקטעים קצרים",OR($M228="מבין",$M228="מבין לרוב")),"פרופיל 1","פרופיל 2")))))))</f>
        <v/>
      </c>
      <c r="R228" s="32">
        <f>IF($C228="","",IF(OR($Q228="",LEFT($Q228,1)="—"),"קבוצה רביעית",IF($Q228="פרופיל 5","קבוצת תשתיות",IF(OR($Q228="פרופיל 4",$Q228="פרופיל 3"),"קבוצת רכישה","קבוצת ביסוס"))))</f>
        <v/>
      </c>
      <c r="S228" s="32">
        <f>IF($F228="","",IF($F228="תחילת שנה",1,IF($F228="מחצית שנה",2,3)))</f>
        <v/>
      </c>
      <c r="T228" s="32">
        <f>IF(OR($B228="",$R228="",$A228="",$F228=""),"",$B228&amp;"|"&amp;$A228&amp;"|"&amp;$F228&amp;"|"&amp;$R228&amp;"|"&amp;COUNTIFS($B$6:$B228,$B228,$A$6:$A228,$A228,$F$6:$F228,$F228,$R$6:$R228,$R228))</f>
        <v/>
      </c>
      <c r="U228" s="32">
        <f>IF($C228="","",$C228&amp;"|"&amp;COUNTIFS($C$6:$C228,$C228))</f>
        <v/>
      </c>
      <c r="V228" s="32">
        <f>IF(OR($C228="",$A228="",$S228=""),"",$C228&amp;"|"&amp;$A228&amp;"|"&amp;$S228)</f>
        <v/>
      </c>
      <c r="W228" s="32">
        <f>IF(OR($C228="",$S228="",$S228=1),"",IFERROR(INDEX($Q$6:$Q$1505,MATCH($C228&amp;"|"&amp;$A228&amp;"|"&amp;($S228-1),$V$6:$V$1505,0)),""))</f>
        <v/>
      </c>
      <c r="X228" s="32">
        <f>IF(OR($W228="",$Q228="",LEFT($Q228,1)="—"),"",IF($W228=$Q228,"ללא שינוי","מ-"&amp;$W228&amp;" ל-"&amp;$Q228))</f>
        <v/>
      </c>
    </row>
    <row r="229" ht="15.75" customHeight="1" s="58">
      <c r="A229" s="65" t="n"/>
      <c r="B229" s="65" t="n"/>
      <c r="C229" s="66" t="n"/>
      <c r="D229" s="66" t="n"/>
      <c r="E229" s="65" t="n"/>
      <c r="F229" s="65" t="n"/>
      <c r="G229" s="65" t="n"/>
      <c r="H229" s="65" t="n"/>
      <c r="I229" s="65" t="n"/>
      <c r="J229" s="65" t="n"/>
      <c r="K229" s="65" t="n"/>
      <c r="L229" s="65" t="n"/>
      <c r="M229" s="65" t="n"/>
      <c r="N229" s="65" t="n"/>
      <c r="O229" s="65" t="n"/>
      <c r="P229" s="65" t="n"/>
      <c r="Q229" s="32">
        <f>IF($C229="","",IF($J229="","— חסרים נתונים",IF($J229="טרם מפענח","פרופיל 5",IF($J229="קמץ/פתח/חטף-פתח ושוואים","פרופיל 4",IF($J229="2-3 סימני ניקוד","פרופיל 3",IF($J229="4-5 סימני ניקוד","פרופיל 2",IF(AND($O229="משפטים וקטעים קצרים",OR($M229="מבין",$M229="מבין לרוב")),"פרופיל 1","פרופיל 2")))))))</f>
        <v/>
      </c>
      <c r="R229" s="32">
        <f>IF($C229="","",IF(OR($Q229="",LEFT($Q229,1)="—"),"קבוצה רביעית",IF($Q229="פרופיל 5","קבוצת תשתיות",IF(OR($Q229="פרופיל 4",$Q229="פרופיל 3"),"קבוצת רכישה","קבוצת ביסוס"))))</f>
        <v/>
      </c>
      <c r="S229" s="32">
        <f>IF($F229="","",IF($F229="תחילת שנה",1,IF($F229="מחצית שנה",2,3)))</f>
        <v/>
      </c>
      <c r="T229" s="32">
        <f>IF(OR($B229="",$R229="",$A229="",$F229=""),"",$B229&amp;"|"&amp;$A229&amp;"|"&amp;$F229&amp;"|"&amp;$R229&amp;"|"&amp;COUNTIFS($B$6:$B229,$B229,$A$6:$A229,$A229,$F$6:$F229,$F229,$R$6:$R229,$R229))</f>
        <v/>
      </c>
      <c r="U229" s="32">
        <f>IF($C229="","",$C229&amp;"|"&amp;COUNTIFS($C$6:$C229,$C229))</f>
        <v/>
      </c>
      <c r="V229" s="32">
        <f>IF(OR($C229="",$A229="",$S229=""),"",$C229&amp;"|"&amp;$A229&amp;"|"&amp;$S229)</f>
        <v/>
      </c>
      <c r="W229" s="32">
        <f>IF(OR($C229="",$S229="",$S229=1),"",IFERROR(INDEX($Q$6:$Q$1505,MATCH($C229&amp;"|"&amp;$A229&amp;"|"&amp;($S229-1),$V$6:$V$1505,0)),""))</f>
        <v/>
      </c>
      <c r="X229" s="32">
        <f>IF(OR($W229="",$Q229="",LEFT($Q229,1)="—"),"",IF($W229=$Q229,"ללא שינוי","מ-"&amp;$W229&amp;" ל-"&amp;$Q229))</f>
        <v/>
      </c>
    </row>
    <row r="230" ht="15.75" customHeight="1" s="58">
      <c r="A230" s="65" t="n"/>
      <c r="B230" s="65" t="n"/>
      <c r="C230" s="66" t="n"/>
      <c r="D230" s="66" t="n"/>
      <c r="E230" s="65" t="n"/>
      <c r="F230" s="65" t="n"/>
      <c r="G230" s="65" t="n"/>
      <c r="H230" s="65" t="n"/>
      <c r="I230" s="65" t="n"/>
      <c r="J230" s="65" t="n"/>
      <c r="K230" s="65" t="n"/>
      <c r="L230" s="65" t="n"/>
      <c r="M230" s="65" t="n"/>
      <c r="N230" s="65" t="n"/>
      <c r="O230" s="65" t="n"/>
      <c r="P230" s="65" t="n"/>
      <c r="Q230" s="32">
        <f>IF($C230="","",IF($J230="","— חסרים נתונים",IF($J230="טרם מפענח","פרופיל 5",IF($J230="קמץ/פתח/חטף-פתח ושוואים","פרופיל 4",IF($J230="2-3 סימני ניקוד","פרופיל 3",IF($J230="4-5 סימני ניקוד","פרופיל 2",IF(AND($O230="משפטים וקטעים קצרים",OR($M230="מבין",$M230="מבין לרוב")),"פרופיל 1","פרופיל 2")))))))</f>
        <v/>
      </c>
      <c r="R230" s="32">
        <f>IF($C230="","",IF(OR($Q230="",LEFT($Q230,1)="—"),"קבוצה רביעית",IF($Q230="פרופיל 5","קבוצת תשתיות",IF(OR($Q230="פרופיל 4",$Q230="פרופיל 3"),"קבוצת רכישה","קבוצת ביסוס"))))</f>
        <v/>
      </c>
      <c r="S230" s="32">
        <f>IF($F230="","",IF($F230="תחילת שנה",1,IF($F230="מחצית שנה",2,3)))</f>
        <v/>
      </c>
      <c r="T230" s="32">
        <f>IF(OR($B230="",$R230="",$A230="",$F230=""),"",$B230&amp;"|"&amp;$A230&amp;"|"&amp;$F230&amp;"|"&amp;$R230&amp;"|"&amp;COUNTIFS($B$6:$B230,$B230,$A$6:$A230,$A230,$F$6:$F230,$F230,$R$6:$R230,$R230))</f>
        <v/>
      </c>
      <c r="U230" s="32">
        <f>IF($C230="","",$C230&amp;"|"&amp;COUNTIFS($C$6:$C230,$C230))</f>
        <v/>
      </c>
      <c r="V230" s="32">
        <f>IF(OR($C230="",$A230="",$S230=""),"",$C230&amp;"|"&amp;$A230&amp;"|"&amp;$S230)</f>
        <v/>
      </c>
      <c r="W230" s="32">
        <f>IF(OR($C230="",$S230="",$S230=1),"",IFERROR(INDEX($Q$6:$Q$1505,MATCH($C230&amp;"|"&amp;$A230&amp;"|"&amp;($S230-1),$V$6:$V$1505,0)),""))</f>
        <v/>
      </c>
      <c r="X230" s="32">
        <f>IF(OR($W230="",$Q230="",LEFT($Q230,1)="—"),"",IF($W230=$Q230,"ללא שינוי","מ-"&amp;$W230&amp;" ל-"&amp;$Q230))</f>
        <v/>
      </c>
    </row>
    <row r="231" ht="15.75" customHeight="1" s="58">
      <c r="A231" s="65" t="n"/>
      <c r="B231" s="65" t="n"/>
      <c r="C231" s="66" t="n"/>
      <c r="D231" s="66" t="n"/>
      <c r="E231" s="65" t="n"/>
      <c r="F231" s="65" t="n"/>
      <c r="G231" s="65" t="n"/>
      <c r="H231" s="65" t="n"/>
      <c r="I231" s="65" t="n"/>
      <c r="J231" s="65" t="n"/>
      <c r="K231" s="65" t="n"/>
      <c r="L231" s="65" t="n"/>
      <c r="M231" s="65" t="n"/>
      <c r="N231" s="65" t="n"/>
      <c r="O231" s="65" t="n"/>
      <c r="P231" s="65" t="n"/>
      <c r="Q231" s="32">
        <f>IF($C231="","",IF($J231="","— חסרים נתונים",IF($J231="טרם מפענח","פרופיל 5",IF($J231="קמץ/פתח/חטף-פתח ושוואים","פרופיל 4",IF($J231="2-3 סימני ניקוד","פרופיל 3",IF($J231="4-5 סימני ניקוד","פרופיל 2",IF(AND($O231="משפטים וקטעים קצרים",OR($M231="מבין",$M231="מבין לרוב")),"פרופיל 1","פרופיל 2")))))))</f>
        <v/>
      </c>
      <c r="R231" s="32">
        <f>IF($C231="","",IF(OR($Q231="",LEFT($Q231,1)="—"),"קבוצה רביעית",IF($Q231="פרופיל 5","קבוצת תשתיות",IF(OR($Q231="פרופיל 4",$Q231="פרופיל 3"),"קבוצת רכישה","קבוצת ביסוס"))))</f>
        <v/>
      </c>
      <c r="S231" s="32">
        <f>IF($F231="","",IF($F231="תחילת שנה",1,IF($F231="מחצית שנה",2,3)))</f>
        <v/>
      </c>
      <c r="T231" s="32">
        <f>IF(OR($B231="",$R231="",$A231="",$F231=""),"",$B231&amp;"|"&amp;$A231&amp;"|"&amp;$F231&amp;"|"&amp;$R231&amp;"|"&amp;COUNTIFS($B$6:$B231,$B231,$A$6:$A231,$A231,$F$6:$F231,$F231,$R$6:$R231,$R231))</f>
        <v/>
      </c>
      <c r="U231" s="32">
        <f>IF($C231="","",$C231&amp;"|"&amp;COUNTIFS($C$6:$C231,$C231))</f>
        <v/>
      </c>
      <c r="V231" s="32">
        <f>IF(OR($C231="",$A231="",$S231=""),"",$C231&amp;"|"&amp;$A231&amp;"|"&amp;$S231)</f>
        <v/>
      </c>
      <c r="W231" s="32">
        <f>IF(OR($C231="",$S231="",$S231=1),"",IFERROR(INDEX($Q$6:$Q$1505,MATCH($C231&amp;"|"&amp;$A231&amp;"|"&amp;($S231-1),$V$6:$V$1505,0)),""))</f>
        <v/>
      </c>
      <c r="X231" s="32">
        <f>IF(OR($W231="",$Q231="",LEFT($Q231,1)="—"),"",IF($W231=$Q231,"ללא שינוי","מ-"&amp;$W231&amp;" ל-"&amp;$Q231))</f>
        <v/>
      </c>
    </row>
    <row r="232" ht="15.75" customHeight="1" s="58">
      <c r="A232" s="65" t="n"/>
      <c r="B232" s="65" t="n"/>
      <c r="C232" s="66" t="n"/>
      <c r="D232" s="66" t="n"/>
      <c r="E232" s="65" t="n"/>
      <c r="F232" s="65" t="n"/>
      <c r="G232" s="65" t="n"/>
      <c r="H232" s="65" t="n"/>
      <c r="I232" s="65" t="n"/>
      <c r="J232" s="65" t="n"/>
      <c r="K232" s="65" t="n"/>
      <c r="L232" s="65" t="n"/>
      <c r="M232" s="65" t="n"/>
      <c r="N232" s="65" t="n"/>
      <c r="O232" s="65" t="n"/>
      <c r="P232" s="65" t="n"/>
      <c r="Q232" s="32">
        <f>IF($C232="","",IF($J232="","— חסרים נתונים",IF($J232="טרם מפענח","פרופיל 5",IF($J232="קמץ/פתח/חטף-פתח ושוואים","פרופיל 4",IF($J232="2-3 סימני ניקוד","פרופיל 3",IF($J232="4-5 סימני ניקוד","פרופיל 2",IF(AND($O232="משפטים וקטעים קצרים",OR($M232="מבין",$M232="מבין לרוב")),"פרופיל 1","פרופיל 2")))))))</f>
        <v/>
      </c>
      <c r="R232" s="32">
        <f>IF($C232="","",IF(OR($Q232="",LEFT($Q232,1)="—"),"קבוצה רביעית",IF($Q232="פרופיל 5","קבוצת תשתיות",IF(OR($Q232="פרופיל 4",$Q232="פרופיל 3"),"קבוצת רכישה","קבוצת ביסוס"))))</f>
        <v/>
      </c>
      <c r="S232" s="32">
        <f>IF($F232="","",IF($F232="תחילת שנה",1,IF($F232="מחצית שנה",2,3)))</f>
        <v/>
      </c>
      <c r="T232" s="32">
        <f>IF(OR($B232="",$R232="",$A232="",$F232=""),"",$B232&amp;"|"&amp;$A232&amp;"|"&amp;$F232&amp;"|"&amp;$R232&amp;"|"&amp;COUNTIFS($B$6:$B232,$B232,$A$6:$A232,$A232,$F$6:$F232,$F232,$R$6:$R232,$R232))</f>
        <v/>
      </c>
      <c r="U232" s="32">
        <f>IF($C232="","",$C232&amp;"|"&amp;COUNTIFS($C$6:$C232,$C232))</f>
        <v/>
      </c>
      <c r="V232" s="32">
        <f>IF(OR($C232="",$A232="",$S232=""),"",$C232&amp;"|"&amp;$A232&amp;"|"&amp;$S232)</f>
        <v/>
      </c>
      <c r="W232" s="32">
        <f>IF(OR($C232="",$S232="",$S232=1),"",IFERROR(INDEX($Q$6:$Q$1505,MATCH($C232&amp;"|"&amp;$A232&amp;"|"&amp;($S232-1),$V$6:$V$1505,0)),""))</f>
        <v/>
      </c>
      <c r="X232" s="32">
        <f>IF(OR($W232="",$Q232="",LEFT($Q232,1)="—"),"",IF($W232=$Q232,"ללא שינוי","מ-"&amp;$W232&amp;" ל-"&amp;$Q232))</f>
        <v/>
      </c>
    </row>
    <row r="233" ht="15.75" customHeight="1" s="58">
      <c r="A233" s="65" t="n"/>
      <c r="B233" s="65" t="n"/>
      <c r="C233" s="66" t="n"/>
      <c r="D233" s="66" t="n"/>
      <c r="E233" s="65" t="n"/>
      <c r="F233" s="65" t="n"/>
      <c r="G233" s="65" t="n"/>
      <c r="H233" s="65" t="n"/>
      <c r="I233" s="65" t="n"/>
      <c r="J233" s="65" t="n"/>
      <c r="K233" s="65" t="n"/>
      <c r="L233" s="65" t="n"/>
      <c r="M233" s="65" t="n"/>
      <c r="N233" s="65" t="n"/>
      <c r="O233" s="65" t="n"/>
      <c r="P233" s="65" t="n"/>
      <c r="Q233" s="32">
        <f>IF($C233="","",IF($J233="","— חסרים נתונים",IF($J233="טרם מפענח","פרופיל 5",IF($J233="קמץ/פתח/חטף-פתח ושוואים","פרופיל 4",IF($J233="2-3 סימני ניקוד","פרופיל 3",IF($J233="4-5 סימני ניקוד","פרופיל 2",IF(AND($O233="משפטים וקטעים קצרים",OR($M233="מבין",$M233="מבין לרוב")),"פרופיל 1","פרופיל 2")))))))</f>
        <v/>
      </c>
      <c r="R233" s="32">
        <f>IF($C233="","",IF(OR($Q233="",LEFT($Q233,1)="—"),"קבוצה רביעית",IF($Q233="פרופיל 5","קבוצת תשתיות",IF(OR($Q233="פרופיל 4",$Q233="פרופיל 3"),"קבוצת רכישה","קבוצת ביסוס"))))</f>
        <v/>
      </c>
      <c r="S233" s="32">
        <f>IF($F233="","",IF($F233="תחילת שנה",1,IF($F233="מחצית שנה",2,3)))</f>
        <v/>
      </c>
      <c r="T233" s="32">
        <f>IF(OR($B233="",$R233="",$A233="",$F233=""),"",$B233&amp;"|"&amp;$A233&amp;"|"&amp;$F233&amp;"|"&amp;$R233&amp;"|"&amp;COUNTIFS($B$6:$B233,$B233,$A$6:$A233,$A233,$F$6:$F233,$F233,$R$6:$R233,$R233))</f>
        <v/>
      </c>
      <c r="U233" s="32">
        <f>IF($C233="","",$C233&amp;"|"&amp;COUNTIFS($C$6:$C233,$C233))</f>
        <v/>
      </c>
      <c r="V233" s="32">
        <f>IF(OR($C233="",$A233="",$S233=""),"",$C233&amp;"|"&amp;$A233&amp;"|"&amp;$S233)</f>
        <v/>
      </c>
      <c r="W233" s="32">
        <f>IF(OR($C233="",$S233="",$S233=1),"",IFERROR(INDEX($Q$6:$Q$1505,MATCH($C233&amp;"|"&amp;$A233&amp;"|"&amp;($S233-1),$V$6:$V$1505,0)),""))</f>
        <v/>
      </c>
      <c r="X233" s="32">
        <f>IF(OR($W233="",$Q233="",LEFT($Q233,1)="—"),"",IF($W233=$Q233,"ללא שינוי","מ-"&amp;$W233&amp;" ל-"&amp;$Q233))</f>
        <v/>
      </c>
    </row>
    <row r="234" ht="15.75" customHeight="1" s="58">
      <c r="A234" s="65" t="n"/>
      <c r="B234" s="65" t="n"/>
      <c r="C234" s="66" t="n"/>
      <c r="D234" s="66" t="n"/>
      <c r="E234" s="65" t="n"/>
      <c r="F234" s="65" t="n"/>
      <c r="G234" s="65" t="n"/>
      <c r="H234" s="65" t="n"/>
      <c r="I234" s="65" t="n"/>
      <c r="J234" s="65" t="n"/>
      <c r="K234" s="65" t="n"/>
      <c r="L234" s="65" t="n"/>
      <c r="M234" s="65" t="n"/>
      <c r="N234" s="65" t="n"/>
      <c r="O234" s="65" t="n"/>
      <c r="P234" s="65" t="n"/>
      <c r="Q234" s="32">
        <f>IF($C234="","",IF($J234="","— חסרים נתונים",IF($J234="טרם מפענח","פרופיל 5",IF($J234="קמץ/פתח/חטף-פתח ושוואים","פרופיל 4",IF($J234="2-3 סימני ניקוד","פרופיל 3",IF($J234="4-5 סימני ניקוד","פרופיל 2",IF(AND($O234="משפטים וקטעים קצרים",OR($M234="מבין",$M234="מבין לרוב")),"פרופיל 1","פרופיל 2")))))))</f>
        <v/>
      </c>
      <c r="R234" s="32">
        <f>IF($C234="","",IF(OR($Q234="",LEFT($Q234,1)="—"),"קבוצה רביעית",IF($Q234="פרופיל 5","קבוצת תשתיות",IF(OR($Q234="פרופיל 4",$Q234="פרופיל 3"),"קבוצת רכישה","קבוצת ביסוס"))))</f>
        <v/>
      </c>
      <c r="S234" s="32">
        <f>IF($F234="","",IF($F234="תחילת שנה",1,IF($F234="מחצית שנה",2,3)))</f>
        <v/>
      </c>
      <c r="T234" s="32">
        <f>IF(OR($B234="",$R234="",$A234="",$F234=""),"",$B234&amp;"|"&amp;$A234&amp;"|"&amp;$F234&amp;"|"&amp;$R234&amp;"|"&amp;COUNTIFS($B$6:$B234,$B234,$A$6:$A234,$A234,$F$6:$F234,$F234,$R$6:$R234,$R234))</f>
        <v/>
      </c>
      <c r="U234" s="32">
        <f>IF($C234="","",$C234&amp;"|"&amp;COUNTIFS($C$6:$C234,$C234))</f>
        <v/>
      </c>
      <c r="V234" s="32">
        <f>IF(OR($C234="",$A234="",$S234=""),"",$C234&amp;"|"&amp;$A234&amp;"|"&amp;$S234)</f>
        <v/>
      </c>
      <c r="W234" s="32">
        <f>IF(OR($C234="",$S234="",$S234=1),"",IFERROR(INDEX($Q$6:$Q$1505,MATCH($C234&amp;"|"&amp;$A234&amp;"|"&amp;($S234-1),$V$6:$V$1505,0)),""))</f>
        <v/>
      </c>
      <c r="X234" s="32">
        <f>IF(OR($W234="",$Q234="",LEFT($Q234,1)="—"),"",IF($W234=$Q234,"ללא שינוי","מ-"&amp;$W234&amp;" ל-"&amp;$Q234))</f>
        <v/>
      </c>
    </row>
    <row r="235" ht="15.75" customHeight="1" s="58">
      <c r="A235" s="65" t="n"/>
      <c r="B235" s="65" t="n"/>
      <c r="C235" s="66" t="n"/>
      <c r="D235" s="66" t="n"/>
      <c r="E235" s="65" t="n"/>
      <c r="F235" s="65" t="n"/>
      <c r="G235" s="65" t="n"/>
      <c r="H235" s="65" t="n"/>
      <c r="I235" s="65" t="n"/>
      <c r="J235" s="65" t="n"/>
      <c r="K235" s="65" t="n"/>
      <c r="L235" s="65" t="n"/>
      <c r="M235" s="65" t="n"/>
      <c r="N235" s="65" t="n"/>
      <c r="O235" s="65" t="n"/>
      <c r="P235" s="65" t="n"/>
      <c r="Q235" s="32">
        <f>IF($C235="","",IF($J235="","— חסרים נתונים",IF($J235="טרם מפענח","פרופיל 5",IF($J235="קמץ/פתח/חטף-פתח ושוואים","פרופיל 4",IF($J235="2-3 סימני ניקוד","פרופיל 3",IF($J235="4-5 סימני ניקוד","פרופיל 2",IF(AND($O235="משפטים וקטעים קצרים",OR($M235="מבין",$M235="מבין לרוב")),"פרופיל 1","פרופיל 2")))))))</f>
        <v/>
      </c>
      <c r="R235" s="32">
        <f>IF($C235="","",IF(OR($Q235="",LEFT($Q235,1)="—"),"קבוצה רביעית",IF($Q235="פרופיל 5","קבוצת תשתיות",IF(OR($Q235="פרופיל 4",$Q235="פרופיל 3"),"קבוצת רכישה","קבוצת ביסוס"))))</f>
        <v/>
      </c>
      <c r="S235" s="32">
        <f>IF($F235="","",IF($F235="תחילת שנה",1,IF($F235="מחצית שנה",2,3)))</f>
        <v/>
      </c>
      <c r="T235" s="32">
        <f>IF(OR($B235="",$R235="",$A235="",$F235=""),"",$B235&amp;"|"&amp;$A235&amp;"|"&amp;$F235&amp;"|"&amp;$R235&amp;"|"&amp;COUNTIFS($B$6:$B235,$B235,$A$6:$A235,$A235,$F$6:$F235,$F235,$R$6:$R235,$R235))</f>
        <v/>
      </c>
      <c r="U235" s="32">
        <f>IF($C235="","",$C235&amp;"|"&amp;COUNTIFS($C$6:$C235,$C235))</f>
        <v/>
      </c>
      <c r="V235" s="32">
        <f>IF(OR($C235="",$A235="",$S235=""),"",$C235&amp;"|"&amp;$A235&amp;"|"&amp;$S235)</f>
        <v/>
      </c>
      <c r="W235" s="32">
        <f>IF(OR($C235="",$S235="",$S235=1),"",IFERROR(INDEX($Q$6:$Q$1505,MATCH($C235&amp;"|"&amp;$A235&amp;"|"&amp;($S235-1),$V$6:$V$1505,0)),""))</f>
        <v/>
      </c>
      <c r="X235" s="32">
        <f>IF(OR($W235="",$Q235="",LEFT($Q235,1)="—"),"",IF($W235=$Q235,"ללא שינוי","מ-"&amp;$W235&amp;" ל-"&amp;$Q235))</f>
        <v/>
      </c>
    </row>
    <row r="236" ht="15.75" customHeight="1" s="58">
      <c r="A236" s="65" t="n"/>
      <c r="B236" s="65" t="n"/>
      <c r="C236" s="66" t="n"/>
      <c r="D236" s="66" t="n"/>
      <c r="E236" s="65" t="n"/>
      <c r="F236" s="65" t="n"/>
      <c r="G236" s="65" t="n"/>
      <c r="H236" s="65" t="n"/>
      <c r="I236" s="65" t="n"/>
      <c r="J236" s="65" t="n"/>
      <c r="K236" s="65" t="n"/>
      <c r="L236" s="65" t="n"/>
      <c r="M236" s="65" t="n"/>
      <c r="N236" s="65" t="n"/>
      <c r="O236" s="65" t="n"/>
      <c r="P236" s="65" t="n"/>
      <c r="Q236" s="32">
        <f>IF($C236="","",IF($J236="","— חסרים נתונים",IF($J236="טרם מפענח","פרופיל 5",IF($J236="קמץ/פתח/חטף-פתח ושוואים","פרופיל 4",IF($J236="2-3 סימני ניקוד","פרופיל 3",IF($J236="4-5 סימני ניקוד","פרופיל 2",IF(AND($O236="משפטים וקטעים קצרים",OR($M236="מבין",$M236="מבין לרוב")),"פרופיל 1","פרופיל 2")))))))</f>
        <v/>
      </c>
      <c r="R236" s="32">
        <f>IF($C236="","",IF(OR($Q236="",LEFT($Q236,1)="—"),"קבוצה רביעית",IF($Q236="פרופיל 5","קבוצת תשתיות",IF(OR($Q236="פרופיל 4",$Q236="פרופיל 3"),"קבוצת רכישה","קבוצת ביסוס"))))</f>
        <v/>
      </c>
      <c r="S236" s="32">
        <f>IF($F236="","",IF($F236="תחילת שנה",1,IF($F236="מחצית שנה",2,3)))</f>
        <v/>
      </c>
      <c r="T236" s="32">
        <f>IF(OR($B236="",$R236="",$A236="",$F236=""),"",$B236&amp;"|"&amp;$A236&amp;"|"&amp;$F236&amp;"|"&amp;$R236&amp;"|"&amp;COUNTIFS($B$6:$B236,$B236,$A$6:$A236,$A236,$F$6:$F236,$F236,$R$6:$R236,$R236))</f>
        <v/>
      </c>
      <c r="U236" s="32">
        <f>IF($C236="","",$C236&amp;"|"&amp;COUNTIFS($C$6:$C236,$C236))</f>
        <v/>
      </c>
      <c r="V236" s="32">
        <f>IF(OR($C236="",$A236="",$S236=""),"",$C236&amp;"|"&amp;$A236&amp;"|"&amp;$S236)</f>
        <v/>
      </c>
      <c r="W236" s="32">
        <f>IF(OR($C236="",$S236="",$S236=1),"",IFERROR(INDEX($Q$6:$Q$1505,MATCH($C236&amp;"|"&amp;$A236&amp;"|"&amp;($S236-1),$V$6:$V$1505,0)),""))</f>
        <v/>
      </c>
      <c r="X236" s="32">
        <f>IF(OR($W236="",$Q236="",LEFT($Q236,1)="—"),"",IF($W236=$Q236,"ללא שינוי","מ-"&amp;$W236&amp;" ל-"&amp;$Q236))</f>
        <v/>
      </c>
    </row>
    <row r="237" ht="15.75" customHeight="1" s="58">
      <c r="A237" s="65" t="n"/>
      <c r="B237" s="65" t="n"/>
      <c r="C237" s="66" t="n"/>
      <c r="D237" s="66" t="n"/>
      <c r="E237" s="65" t="n"/>
      <c r="F237" s="65" t="n"/>
      <c r="G237" s="65" t="n"/>
      <c r="H237" s="65" t="n"/>
      <c r="I237" s="65" t="n"/>
      <c r="J237" s="65" t="n"/>
      <c r="K237" s="65" t="n"/>
      <c r="L237" s="65" t="n"/>
      <c r="M237" s="65" t="n"/>
      <c r="N237" s="65" t="n"/>
      <c r="O237" s="65" t="n"/>
      <c r="P237" s="65" t="n"/>
      <c r="Q237" s="32">
        <f>IF($C237="","",IF($J237="","— חסרים נתונים",IF($J237="טרם מפענח","פרופיל 5",IF($J237="קמץ/פתח/חטף-פתח ושוואים","פרופיל 4",IF($J237="2-3 סימני ניקוד","פרופיל 3",IF($J237="4-5 סימני ניקוד","פרופיל 2",IF(AND($O237="משפטים וקטעים קצרים",OR($M237="מבין",$M237="מבין לרוב")),"פרופיל 1","פרופיל 2")))))))</f>
        <v/>
      </c>
      <c r="R237" s="32">
        <f>IF($C237="","",IF(OR($Q237="",LEFT($Q237,1)="—"),"קבוצה רביעית",IF($Q237="פרופיל 5","קבוצת תשתיות",IF(OR($Q237="פרופיל 4",$Q237="פרופיל 3"),"קבוצת רכישה","קבוצת ביסוס"))))</f>
        <v/>
      </c>
      <c r="S237" s="32">
        <f>IF($F237="","",IF($F237="תחילת שנה",1,IF($F237="מחצית שנה",2,3)))</f>
        <v/>
      </c>
      <c r="T237" s="32">
        <f>IF(OR($B237="",$R237="",$A237="",$F237=""),"",$B237&amp;"|"&amp;$A237&amp;"|"&amp;$F237&amp;"|"&amp;$R237&amp;"|"&amp;COUNTIFS($B$6:$B237,$B237,$A$6:$A237,$A237,$F$6:$F237,$F237,$R$6:$R237,$R237))</f>
        <v/>
      </c>
      <c r="U237" s="32">
        <f>IF($C237="","",$C237&amp;"|"&amp;COUNTIFS($C$6:$C237,$C237))</f>
        <v/>
      </c>
      <c r="V237" s="32">
        <f>IF(OR($C237="",$A237="",$S237=""),"",$C237&amp;"|"&amp;$A237&amp;"|"&amp;$S237)</f>
        <v/>
      </c>
      <c r="W237" s="32">
        <f>IF(OR($C237="",$S237="",$S237=1),"",IFERROR(INDEX($Q$6:$Q$1505,MATCH($C237&amp;"|"&amp;$A237&amp;"|"&amp;($S237-1),$V$6:$V$1505,0)),""))</f>
        <v/>
      </c>
      <c r="X237" s="32">
        <f>IF(OR($W237="",$Q237="",LEFT($Q237,1)="—"),"",IF($W237=$Q237,"ללא שינוי","מ-"&amp;$W237&amp;" ל-"&amp;$Q237))</f>
        <v/>
      </c>
    </row>
    <row r="238" ht="15.75" customHeight="1" s="58">
      <c r="A238" s="65" t="n"/>
      <c r="B238" s="65" t="n"/>
      <c r="C238" s="66" t="n"/>
      <c r="D238" s="66" t="n"/>
      <c r="E238" s="65" t="n"/>
      <c r="F238" s="65" t="n"/>
      <c r="G238" s="65" t="n"/>
      <c r="H238" s="65" t="n"/>
      <c r="I238" s="65" t="n"/>
      <c r="J238" s="65" t="n"/>
      <c r="K238" s="65" t="n"/>
      <c r="L238" s="65" t="n"/>
      <c r="M238" s="65" t="n"/>
      <c r="N238" s="65" t="n"/>
      <c r="O238" s="65" t="n"/>
      <c r="P238" s="65" t="n"/>
      <c r="Q238" s="32">
        <f>IF($C238="","",IF($J238="","— חסרים נתונים",IF($J238="טרם מפענח","פרופיל 5",IF($J238="קמץ/פתח/חטף-פתח ושוואים","פרופיל 4",IF($J238="2-3 סימני ניקוד","פרופיל 3",IF($J238="4-5 סימני ניקוד","פרופיל 2",IF(AND($O238="משפטים וקטעים קצרים",OR($M238="מבין",$M238="מבין לרוב")),"פרופיל 1","פרופיל 2")))))))</f>
        <v/>
      </c>
      <c r="R238" s="32">
        <f>IF($C238="","",IF(OR($Q238="",LEFT($Q238,1)="—"),"קבוצה רביעית",IF($Q238="פרופיל 5","קבוצת תשתיות",IF(OR($Q238="פרופיל 4",$Q238="פרופיל 3"),"קבוצת רכישה","קבוצת ביסוס"))))</f>
        <v/>
      </c>
      <c r="S238" s="32">
        <f>IF($F238="","",IF($F238="תחילת שנה",1,IF($F238="מחצית שנה",2,3)))</f>
        <v/>
      </c>
      <c r="T238" s="32">
        <f>IF(OR($B238="",$R238="",$A238="",$F238=""),"",$B238&amp;"|"&amp;$A238&amp;"|"&amp;$F238&amp;"|"&amp;$R238&amp;"|"&amp;COUNTIFS($B$6:$B238,$B238,$A$6:$A238,$A238,$F$6:$F238,$F238,$R$6:$R238,$R238))</f>
        <v/>
      </c>
      <c r="U238" s="32">
        <f>IF($C238="","",$C238&amp;"|"&amp;COUNTIFS($C$6:$C238,$C238))</f>
        <v/>
      </c>
      <c r="V238" s="32">
        <f>IF(OR($C238="",$A238="",$S238=""),"",$C238&amp;"|"&amp;$A238&amp;"|"&amp;$S238)</f>
        <v/>
      </c>
      <c r="W238" s="32">
        <f>IF(OR($C238="",$S238="",$S238=1),"",IFERROR(INDEX($Q$6:$Q$1505,MATCH($C238&amp;"|"&amp;$A238&amp;"|"&amp;($S238-1),$V$6:$V$1505,0)),""))</f>
        <v/>
      </c>
      <c r="X238" s="32">
        <f>IF(OR($W238="",$Q238="",LEFT($Q238,1)="—"),"",IF($W238=$Q238,"ללא שינוי","מ-"&amp;$W238&amp;" ל-"&amp;$Q238))</f>
        <v/>
      </c>
    </row>
    <row r="239" ht="15.75" customHeight="1" s="58">
      <c r="A239" s="65" t="n"/>
      <c r="B239" s="65" t="n"/>
      <c r="C239" s="66" t="n"/>
      <c r="D239" s="66" t="n"/>
      <c r="E239" s="65" t="n"/>
      <c r="F239" s="65" t="n"/>
      <c r="G239" s="65" t="n"/>
      <c r="H239" s="65" t="n"/>
      <c r="I239" s="65" t="n"/>
      <c r="J239" s="65" t="n"/>
      <c r="K239" s="65" t="n"/>
      <c r="L239" s="65" t="n"/>
      <c r="M239" s="65" t="n"/>
      <c r="N239" s="65" t="n"/>
      <c r="O239" s="65" t="n"/>
      <c r="P239" s="65" t="n"/>
      <c r="Q239" s="32">
        <f>IF($C239="","",IF($J239="","— חסרים נתונים",IF($J239="טרם מפענח","פרופיל 5",IF($J239="קמץ/פתח/חטף-פתח ושוואים","פרופיל 4",IF($J239="2-3 סימני ניקוד","פרופיל 3",IF($J239="4-5 סימני ניקוד","פרופיל 2",IF(AND($O239="משפטים וקטעים קצרים",OR($M239="מבין",$M239="מבין לרוב")),"פרופיל 1","פרופיל 2")))))))</f>
        <v/>
      </c>
      <c r="R239" s="32">
        <f>IF($C239="","",IF(OR($Q239="",LEFT($Q239,1)="—"),"קבוצה רביעית",IF($Q239="פרופיל 5","קבוצת תשתיות",IF(OR($Q239="פרופיל 4",$Q239="פרופיל 3"),"קבוצת רכישה","קבוצת ביסוס"))))</f>
        <v/>
      </c>
      <c r="S239" s="32">
        <f>IF($F239="","",IF($F239="תחילת שנה",1,IF($F239="מחצית שנה",2,3)))</f>
        <v/>
      </c>
      <c r="T239" s="32">
        <f>IF(OR($B239="",$R239="",$A239="",$F239=""),"",$B239&amp;"|"&amp;$A239&amp;"|"&amp;$F239&amp;"|"&amp;$R239&amp;"|"&amp;COUNTIFS($B$6:$B239,$B239,$A$6:$A239,$A239,$F$6:$F239,$F239,$R$6:$R239,$R239))</f>
        <v/>
      </c>
      <c r="U239" s="32">
        <f>IF($C239="","",$C239&amp;"|"&amp;COUNTIFS($C$6:$C239,$C239))</f>
        <v/>
      </c>
      <c r="V239" s="32">
        <f>IF(OR($C239="",$A239="",$S239=""),"",$C239&amp;"|"&amp;$A239&amp;"|"&amp;$S239)</f>
        <v/>
      </c>
      <c r="W239" s="32">
        <f>IF(OR($C239="",$S239="",$S239=1),"",IFERROR(INDEX($Q$6:$Q$1505,MATCH($C239&amp;"|"&amp;$A239&amp;"|"&amp;($S239-1),$V$6:$V$1505,0)),""))</f>
        <v/>
      </c>
      <c r="X239" s="32">
        <f>IF(OR($W239="",$Q239="",LEFT($Q239,1)="—"),"",IF($W239=$Q239,"ללא שינוי","מ-"&amp;$W239&amp;" ל-"&amp;$Q239))</f>
        <v/>
      </c>
    </row>
    <row r="240" ht="15.75" customHeight="1" s="58">
      <c r="A240" s="65" t="n"/>
      <c r="B240" s="65" t="n"/>
      <c r="C240" s="66" t="n"/>
      <c r="D240" s="66" t="n"/>
      <c r="E240" s="65" t="n"/>
      <c r="F240" s="65" t="n"/>
      <c r="G240" s="65" t="n"/>
      <c r="H240" s="65" t="n"/>
      <c r="I240" s="65" t="n"/>
      <c r="J240" s="65" t="n"/>
      <c r="K240" s="65" t="n"/>
      <c r="L240" s="65" t="n"/>
      <c r="M240" s="65" t="n"/>
      <c r="N240" s="65" t="n"/>
      <c r="O240" s="65" t="n"/>
      <c r="P240" s="65" t="n"/>
      <c r="Q240" s="32">
        <f>IF($C240="","",IF($J240="","— חסרים נתונים",IF($J240="טרם מפענח","פרופיל 5",IF($J240="קמץ/פתח/חטף-פתח ושוואים","פרופיל 4",IF($J240="2-3 סימני ניקוד","פרופיל 3",IF($J240="4-5 סימני ניקוד","פרופיל 2",IF(AND($O240="משפטים וקטעים קצרים",OR($M240="מבין",$M240="מבין לרוב")),"פרופיל 1","פרופיל 2")))))))</f>
        <v/>
      </c>
      <c r="R240" s="32">
        <f>IF($C240="","",IF(OR($Q240="",LEFT($Q240,1)="—"),"קבוצה רביעית",IF($Q240="פרופיל 5","קבוצת תשתיות",IF(OR($Q240="פרופיל 4",$Q240="פרופיל 3"),"קבוצת רכישה","קבוצת ביסוס"))))</f>
        <v/>
      </c>
      <c r="S240" s="32">
        <f>IF($F240="","",IF($F240="תחילת שנה",1,IF($F240="מחצית שנה",2,3)))</f>
        <v/>
      </c>
      <c r="T240" s="32">
        <f>IF(OR($B240="",$R240="",$A240="",$F240=""),"",$B240&amp;"|"&amp;$A240&amp;"|"&amp;$F240&amp;"|"&amp;$R240&amp;"|"&amp;COUNTIFS($B$6:$B240,$B240,$A$6:$A240,$A240,$F$6:$F240,$F240,$R$6:$R240,$R240))</f>
        <v/>
      </c>
      <c r="U240" s="32">
        <f>IF($C240="","",$C240&amp;"|"&amp;COUNTIFS($C$6:$C240,$C240))</f>
        <v/>
      </c>
      <c r="V240" s="32">
        <f>IF(OR($C240="",$A240="",$S240=""),"",$C240&amp;"|"&amp;$A240&amp;"|"&amp;$S240)</f>
        <v/>
      </c>
      <c r="W240" s="32">
        <f>IF(OR($C240="",$S240="",$S240=1),"",IFERROR(INDEX($Q$6:$Q$1505,MATCH($C240&amp;"|"&amp;$A240&amp;"|"&amp;($S240-1),$V$6:$V$1505,0)),""))</f>
        <v/>
      </c>
      <c r="X240" s="32">
        <f>IF(OR($W240="",$Q240="",LEFT($Q240,1)="—"),"",IF($W240=$Q240,"ללא שינוי","מ-"&amp;$W240&amp;" ל-"&amp;$Q240))</f>
        <v/>
      </c>
    </row>
    <row r="241" ht="15.75" customHeight="1" s="58">
      <c r="A241" s="65" t="n"/>
      <c r="B241" s="65" t="n"/>
      <c r="C241" s="66" t="n"/>
      <c r="D241" s="66" t="n"/>
      <c r="E241" s="65" t="n"/>
      <c r="F241" s="65" t="n"/>
      <c r="G241" s="65" t="n"/>
      <c r="H241" s="65" t="n"/>
      <c r="I241" s="65" t="n"/>
      <c r="J241" s="65" t="n"/>
      <c r="K241" s="65" t="n"/>
      <c r="L241" s="65" t="n"/>
      <c r="M241" s="65" t="n"/>
      <c r="N241" s="65" t="n"/>
      <c r="O241" s="65" t="n"/>
      <c r="P241" s="65" t="n"/>
      <c r="Q241" s="32">
        <f>IF($C241="","",IF($J241="","— חסרים נתונים",IF($J241="טרם מפענח","פרופיל 5",IF($J241="קמץ/פתח/חטף-פתח ושוואים","פרופיל 4",IF($J241="2-3 סימני ניקוד","פרופיל 3",IF($J241="4-5 סימני ניקוד","פרופיל 2",IF(AND($O241="משפטים וקטעים קצרים",OR($M241="מבין",$M241="מבין לרוב")),"פרופיל 1","פרופיל 2")))))))</f>
        <v/>
      </c>
      <c r="R241" s="32">
        <f>IF($C241="","",IF(OR($Q241="",LEFT($Q241,1)="—"),"קבוצה רביעית",IF($Q241="פרופיל 5","קבוצת תשתיות",IF(OR($Q241="פרופיל 4",$Q241="פרופיל 3"),"קבוצת רכישה","קבוצת ביסוס"))))</f>
        <v/>
      </c>
      <c r="S241" s="32">
        <f>IF($F241="","",IF($F241="תחילת שנה",1,IF($F241="מחצית שנה",2,3)))</f>
        <v/>
      </c>
      <c r="T241" s="32">
        <f>IF(OR($B241="",$R241="",$A241="",$F241=""),"",$B241&amp;"|"&amp;$A241&amp;"|"&amp;$F241&amp;"|"&amp;$R241&amp;"|"&amp;COUNTIFS($B$6:$B241,$B241,$A$6:$A241,$A241,$F$6:$F241,$F241,$R$6:$R241,$R241))</f>
        <v/>
      </c>
      <c r="U241" s="32">
        <f>IF($C241="","",$C241&amp;"|"&amp;COUNTIFS($C$6:$C241,$C241))</f>
        <v/>
      </c>
      <c r="V241" s="32">
        <f>IF(OR($C241="",$A241="",$S241=""),"",$C241&amp;"|"&amp;$A241&amp;"|"&amp;$S241)</f>
        <v/>
      </c>
      <c r="W241" s="32">
        <f>IF(OR($C241="",$S241="",$S241=1),"",IFERROR(INDEX($Q$6:$Q$1505,MATCH($C241&amp;"|"&amp;$A241&amp;"|"&amp;($S241-1),$V$6:$V$1505,0)),""))</f>
        <v/>
      </c>
      <c r="X241" s="32">
        <f>IF(OR($W241="",$Q241="",LEFT($Q241,1)="—"),"",IF($W241=$Q241,"ללא שינוי","מ-"&amp;$W241&amp;" ל-"&amp;$Q241))</f>
        <v/>
      </c>
    </row>
    <row r="242" ht="15.75" customHeight="1" s="58">
      <c r="A242" s="65" t="n"/>
      <c r="B242" s="65" t="n"/>
      <c r="C242" s="66" t="n"/>
      <c r="D242" s="66" t="n"/>
      <c r="E242" s="65" t="n"/>
      <c r="F242" s="65" t="n"/>
      <c r="G242" s="65" t="n"/>
      <c r="H242" s="65" t="n"/>
      <c r="I242" s="65" t="n"/>
      <c r="J242" s="65" t="n"/>
      <c r="K242" s="65" t="n"/>
      <c r="L242" s="65" t="n"/>
      <c r="M242" s="65" t="n"/>
      <c r="N242" s="65" t="n"/>
      <c r="O242" s="65" t="n"/>
      <c r="P242" s="65" t="n"/>
      <c r="Q242" s="32">
        <f>IF($C242="","",IF($J242="","— חסרים נתונים",IF($J242="טרם מפענח","פרופיל 5",IF($J242="קמץ/פתח/חטף-פתח ושוואים","פרופיל 4",IF($J242="2-3 סימני ניקוד","פרופיל 3",IF($J242="4-5 סימני ניקוד","פרופיל 2",IF(AND($O242="משפטים וקטעים קצרים",OR($M242="מבין",$M242="מבין לרוב")),"פרופיל 1","פרופיל 2")))))))</f>
        <v/>
      </c>
      <c r="R242" s="32">
        <f>IF($C242="","",IF(OR($Q242="",LEFT($Q242,1)="—"),"קבוצה רביעית",IF($Q242="פרופיל 5","קבוצת תשתיות",IF(OR($Q242="פרופיל 4",$Q242="פרופיל 3"),"קבוצת רכישה","קבוצת ביסוס"))))</f>
        <v/>
      </c>
      <c r="S242" s="32">
        <f>IF($F242="","",IF($F242="תחילת שנה",1,IF($F242="מחצית שנה",2,3)))</f>
        <v/>
      </c>
      <c r="T242" s="32">
        <f>IF(OR($B242="",$R242="",$A242="",$F242=""),"",$B242&amp;"|"&amp;$A242&amp;"|"&amp;$F242&amp;"|"&amp;$R242&amp;"|"&amp;COUNTIFS($B$6:$B242,$B242,$A$6:$A242,$A242,$F$6:$F242,$F242,$R$6:$R242,$R242))</f>
        <v/>
      </c>
      <c r="U242" s="32">
        <f>IF($C242="","",$C242&amp;"|"&amp;COUNTIFS($C$6:$C242,$C242))</f>
        <v/>
      </c>
      <c r="V242" s="32">
        <f>IF(OR($C242="",$A242="",$S242=""),"",$C242&amp;"|"&amp;$A242&amp;"|"&amp;$S242)</f>
        <v/>
      </c>
      <c r="W242" s="32">
        <f>IF(OR($C242="",$S242="",$S242=1),"",IFERROR(INDEX($Q$6:$Q$1505,MATCH($C242&amp;"|"&amp;$A242&amp;"|"&amp;($S242-1),$V$6:$V$1505,0)),""))</f>
        <v/>
      </c>
      <c r="X242" s="32">
        <f>IF(OR($W242="",$Q242="",LEFT($Q242,1)="—"),"",IF($W242=$Q242,"ללא שינוי","מ-"&amp;$W242&amp;" ל-"&amp;$Q242))</f>
        <v/>
      </c>
    </row>
    <row r="243" ht="15.75" customHeight="1" s="58">
      <c r="A243" s="65" t="n"/>
      <c r="B243" s="65" t="n"/>
      <c r="C243" s="66" t="n"/>
      <c r="D243" s="66" t="n"/>
      <c r="E243" s="65" t="n"/>
      <c r="F243" s="65" t="n"/>
      <c r="G243" s="65" t="n"/>
      <c r="H243" s="65" t="n"/>
      <c r="I243" s="65" t="n"/>
      <c r="J243" s="65" t="n"/>
      <c r="K243" s="65" t="n"/>
      <c r="L243" s="65" t="n"/>
      <c r="M243" s="65" t="n"/>
      <c r="N243" s="65" t="n"/>
      <c r="O243" s="65" t="n"/>
      <c r="P243" s="65" t="n"/>
      <c r="Q243" s="32">
        <f>IF($C243="","",IF($J243="","— חסרים נתונים",IF($J243="טרם מפענח","פרופיל 5",IF($J243="קמץ/פתח/חטף-פתח ושוואים","פרופיל 4",IF($J243="2-3 סימני ניקוד","פרופיל 3",IF($J243="4-5 סימני ניקוד","פרופיל 2",IF(AND($O243="משפטים וקטעים קצרים",OR($M243="מבין",$M243="מבין לרוב")),"פרופיל 1","פרופיל 2")))))))</f>
        <v/>
      </c>
      <c r="R243" s="32">
        <f>IF($C243="","",IF(OR($Q243="",LEFT($Q243,1)="—"),"קבוצה רביעית",IF($Q243="פרופיל 5","קבוצת תשתיות",IF(OR($Q243="פרופיל 4",$Q243="פרופיל 3"),"קבוצת רכישה","קבוצת ביסוס"))))</f>
        <v/>
      </c>
      <c r="S243" s="32">
        <f>IF($F243="","",IF($F243="תחילת שנה",1,IF($F243="מחצית שנה",2,3)))</f>
        <v/>
      </c>
      <c r="T243" s="32">
        <f>IF(OR($B243="",$R243="",$A243="",$F243=""),"",$B243&amp;"|"&amp;$A243&amp;"|"&amp;$F243&amp;"|"&amp;$R243&amp;"|"&amp;COUNTIFS($B$6:$B243,$B243,$A$6:$A243,$A243,$F$6:$F243,$F243,$R$6:$R243,$R243))</f>
        <v/>
      </c>
      <c r="U243" s="32">
        <f>IF($C243="","",$C243&amp;"|"&amp;COUNTIFS($C$6:$C243,$C243))</f>
        <v/>
      </c>
      <c r="V243" s="32">
        <f>IF(OR($C243="",$A243="",$S243=""),"",$C243&amp;"|"&amp;$A243&amp;"|"&amp;$S243)</f>
        <v/>
      </c>
      <c r="W243" s="32">
        <f>IF(OR($C243="",$S243="",$S243=1),"",IFERROR(INDEX($Q$6:$Q$1505,MATCH($C243&amp;"|"&amp;$A243&amp;"|"&amp;($S243-1),$V$6:$V$1505,0)),""))</f>
        <v/>
      </c>
      <c r="X243" s="32">
        <f>IF(OR($W243="",$Q243="",LEFT($Q243,1)="—"),"",IF($W243=$Q243,"ללא שינוי","מ-"&amp;$W243&amp;" ל-"&amp;$Q243))</f>
        <v/>
      </c>
    </row>
    <row r="244" ht="15.75" customHeight="1" s="58">
      <c r="A244" s="65" t="n"/>
      <c r="B244" s="65" t="n"/>
      <c r="C244" s="66" t="n"/>
      <c r="D244" s="66" t="n"/>
      <c r="E244" s="65" t="n"/>
      <c r="F244" s="65" t="n"/>
      <c r="G244" s="65" t="n"/>
      <c r="H244" s="65" t="n"/>
      <c r="I244" s="65" t="n"/>
      <c r="J244" s="65" t="n"/>
      <c r="K244" s="65" t="n"/>
      <c r="L244" s="65" t="n"/>
      <c r="M244" s="65" t="n"/>
      <c r="N244" s="65" t="n"/>
      <c r="O244" s="65" t="n"/>
      <c r="P244" s="65" t="n"/>
      <c r="Q244" s="32">
        <f>IF($C244="","",IF($J244="","— חסרים נתונים",IF($J244="טרם מפענח","פרופיל 5",IF($J244="קמץ/פתח/חטף-פתח ושוואים","פרופיל 4",IF($J244="2-3 סימני ניקוד","פרופיל 3",IF($J244="4-5 סימני ניקוד","פרופיל 2",IF(AND($O244="משפטים וקטעים קצרים",OR($M244="מבין",$M244="מבין לרוב")),"פרופיל 1","פרופיל 2")))))))</f>
        <v/>
      </c>
      <c r="R244" s="32">
        <f>IF($C244="","",IF(OR($Q244="",LEFT($Q244,1)="—"),"קבוצה רביעית",IF($Q244="פרופיל 5","קבוצת תשתיות",IF(OR($Q244="פרופיל 4",$Q244="פרופיל 3"),"קבוצת רכישה","קבוצת ביסוס"))))</f>
        <v/>
      </c>
      <c r="S244" s="32">
        <f>IF($F244="","",IF($F244="תחילת שנה",1,IF($F244="מחצית שנה",2,3)))</f>
        <v/>
      </c>
      <c r="T244" s="32">
        <f>IF(OR($B244="",$R244="",$A244="",$F244=""),"",$B244&amp;"|"&amp;$A244&amp;"|"&amp;$F244&amp;"|"&amp;$R244&amp;"|"&amp;COUNTIFS($B$6:$B244,$B244,$A$6:$A244,$A244,$F$6:$F244,$F244,$R$6:$R244,$R244))</f>
        <v/>
      </c>
      <c r="U244" s="32">
        <f>IF($C244="","",$C244&amp;"|"&amp;COUNTIFS($C$6:$C244,$C244))</f>
        <v/>
      </c>
      <c r="V244" s="32">
        <f>IF(OR($C244="",$A244="",$S244=""),"",$C244&amp;"|"&amp;$A244&amp;"|"&amp;$S244)</f>
        <v/>
      </c>
      <c r="W244" s="32">
        <f>IF(OR($C244="",$S244="",$S244=1),"",IFERROR(INDEX($Q$6:$Q$1505,MATCH($C244&amp;"|"&amp;$A244&amp;"|"&amp;($S244-1),$V$6:$V$1505,0)),""))</f>
        <v/>
      </c>
      <c r="X244" s="32">
        <f>IF(OR($W244="",$Q244="",LEFT($Q244,1)="—"),"",IF($W244=$Q244,"ללא שינוי","מ-"&amp;$W244&amp;" ל-"&amp;$Q244))</f>
        <v/>
      </c>
    </row>
    <row r="245" ht="15.75" customHeight="1" s="58">
      <c r="A245" s="65" t="n"/>
      <c r="B245" s="65" t="n"/>
      <c r="C245" s="66" t="n"/>
      <c r="D245" s="66" t="n"/>
      <c r="E245" s="65" t="n"/>
      <c r="F245" s="65" t="n"/>
      <c r="G245" s="65" t="n"/>
      <c r="H245" s="65" t="n"/>
      <c r="I245" s="65" t="n"/>
      <c r="J245" s="65" t="n"/>
      <c r="K245" s="65" t="n"/>
      <c r="L245" s="65" t="n"/>
      <c r="M245" s="65" t="n"/>
      <c r="N245" s="65" t="n"/>
      <c r="O245" s="65" t="n"/>
      <c r="P245" s="65" t="n"/>
      <c r="Q245" s="32">
        <f>IF($C245="","",IF($J245="","— חסרים נתונים",IF($J245="טרם מפענח","פרופיל 5",IF($J245="קמץ/פתח/חטף-פתח ושוואים","פרופיל 4",IF($J245="2-3 סימני ניקוד","פרופיל 3",IF($J245="4-5 סימני ניקוד","פרופיל 2",IF(AND($O245="משפטים וקטעים קצרים",OR($M245="מבין",$M245="מבין לרוב")),"פרופיל 1","פרופיל 2")))))))</f>
        <v/>
      </c>
      <c r="R245" s="32">
        <f>IF($C245="","",IF(OR($Q245="",LEFT($Q245,1)="—"),"קבוצה רביעית",IF($Q245="פרופיל 5","קבוצת תשתיות",IF(OR($Q245="פרופיל 4",$Q245="פרופיל 3"),"קבוצת רכישה","קבוצת ביסוס"))))</f>
        <v/>
      </c>
      <c r="S245" s="32">
        <f>IF($F245="","",IF($F245="תחילת שנה",1,IF($F245="מחצית שנה",2,3)))</f>
        <v/>
      </c>
      <c r="T245" s="32">
        <f>IF(OR($B245="",$R245="",$A245="",$F245=""),"",$B245&amp;"|"&amp;$A245&amp;"|"&amp;$F245&amp;"|"&amp;$R245&amp;"|"&amp;COUNTIFS($B$6:$B245,$B245,$A$6:$A245,$A245,$F$6:$F245,$F245,$R$6:$R245,$R245))</f>
        <v/>
      </c>
      <c r="U245" s="32">
        <f>IF($C245="","",$C245&amp;"|"&amp;COUNTIFS($C$6:$C245,$C245))</f>
        <v/>
      </c>
      <c r="V245" s="32">
        <f>IF(OR($C245="",$A245="",$S245=""),"",$C245&amp;"|"&amp;$A245&amp;"|"&amp;$S245)</f>
        <v/>
      </c>
      <c r="W245" s="32">
        <f>IF(OR($C245="",$S245="",$S245=1),"",IFERROR(INDEX($Q$6:$Q$1505,MATCH($C245&amp;"|"&amp;$A245&amp;"|"&amp;($S245-1),$V$6:$V$1505,0)),""))</f>
        <v/>
      </c>
      <c r="X245" s="32">
        <f>IF(OR($W245="",$Q245="",LEFT($Q245,1)="—"),"",IF($W245=$Q245,"ללא שינוי","מ-"&amp;$W245&amp;" ל-"&amp;$Q245))</f>
        <v/>
      </c>
    </row>
    <row r="246" ht="15.75" customHeight="1" s="58">
      <c r="A246" s="65" t="n"/>
      <c r="B246" s="65" t="n"/>
      <c r="C246" s="66" t="n"/>
      <c r="D246" s="66" t="n"/>
      <c r="E246" s="65" t="n"/>
      <c r="F246" s="65" t="n"/>
      <c r="G246" s="65" t="n"/>
      <c r="H246" s="65" t="n"/>
      <c r="I246" s="65" t="n"/>
      <c r="J246" s="65" t="n"/>
      <c r="K246" s="65" t="n"/>
      <c r="L246" s="65" t="n"/>
      <c r="M246" s="65" t="n"/>
      <c r="N246" s="65" t="n"/>
      <c r="O246" s="65" t="n"/>
      <c r="P246" s="65" t="n"/>
      <c r="Q246" s="32">
        <f>IF($C246="","",IF($J246="","— חסרים נתונים",IF($J246="טרם מפענח","פרופיל 5",IF($J246="קמץ/פתח/חטף-פתח ושוואים","פרופיל 4",IF($J246="2-3 סימני ניקוד","פרופיל 3",IF($J246="4-5 סימני ניקוד","פרופיל 2",IF(AND($O246="משפטים וקטעים קצרים",OR($M246="מבין",$M246="מבין לרוב")),"פרופיל 1","פרופיל 2")))))))</f>
        <v/>
      </c>
      <c r="R246" s="32">
        <f>IF($C246="","",IF(OR($Q246="",LEFT($Q246,1)="—"),"קבוצה רביעית",IF($Q246="פרופיל 5","קבוצת תשתיות",IF(OR($Q246="פרופיל 4",$Q246="פרופיל 3"),"קבוצת רכישה","קבוצת ביסוס"))))</f>
        <v/>
      </c>
      <c r="S246" s="32">
        <f>IF($F246="","",IF($F246="תחילת שנה",1,IF($F246="מחצית שנה",2,3)))</f>
        <v/>
      </c>
      <c r="T246" s="32">
        <f>IF(OR($B246="",$R246="",$A246="",$F246=""),"",$B246&amp;"|"&amp;$A246&amp;"|"&amp;$F246&amp;"|"&amp;$R246&amp;"|"&amp;COUNTIFS($B$6:$B246,$B246,$A$6:$A246,$A246,$F$6:$F246,$F246,$R$6:$R246,$R246))</f>
        <v/>
      </c>
      <c r="U246" s="32">
        <f>IF($C246="","",$C246&amp;"|"&amp;COUNTIFS($C$6:$C246,$C246))</f>
        <v/>
      </c>
      <c r="V246" s="32">
        <f>IF(OR($C246="",$A246="",$S246=""),"",$C246&amp;"|"&amp;$A246&amp;"|"&amp;$S246)</f>
        <v/>
      </c>
      <c r="W246" s="32">
        <f>IF(OR($C246="",$S246="",$S246=1),"",IFERROR(INDEX($Q$6:$Q$1505,MATCH($C246&amp;"|"&amp;$A246&amp;"|"&amp;($S246-1),$V$6:$V$1505,0)),""))</f>
        <v/>
      </c>
      <c r="X246" s="32">
        <f>IF(OR($W246="",$Q246="",LEFT($Q246,1)="—"),"",IF($W246=$Q246,"ללא שינוי","מ-"&amp;$W246&amp;" ל-"&amp;$Q246))</f>
        <v/>
      </c>
    </row>
    <row r="247" ht="15.75" customHeight="1" s="58">
      <c r="A247" s="65" t="n"/>
      <c r="B247" s="65" t="n"/>
      <c r="C247" s="66" t="n"/>
      <c r="D247" s="66" t="n"/>
      <c r="E247" s="65" t="n"/>
      <c r="F247" s="65" t="n"/>
      <c r="G247" s="65" t="n"/>
      <c r="H247" s="65" t="n"/>
      <c r="I247" s="65" t="n"/>
      <c r="J247" s="65" t="n"/>
      <c r="K247" s="65" t="n"/>
      <c r="L247" s="65" t="n"/>
      <c r="M247" s="65" t="n"/>
      <c r="N247" s="65" t="n"/>
      <c r="O247" s="65" t="n"/>
      <c r="P247" s="65" t="n"/>
      <c r="Q247" s="32">
        <f>IF($C247="","",IF($J247="","— חסרים נתונים",IF($J247="טרם מפענח","פרופיל 5",IF($J247="קמץ/פתח/חטף-פתח ושוואים","פרופיל 4",IF($J247="2-3 סימני ניקוד","פרופיל 3",IF($J247="4-5 סימני ניקוד","פרופיל 2",IF(AND($O247="משפטים וקטעים קצרים",OR($M247="מבין",$M247="מבין לרוב")),"פרופיל 1","פרופיל 2")))))))</f>
        <v/>
      </c>
      <c r="R247" s="32">
        <f>IF($C247="","",IF(OR($Q247="",LEFT($Q247,1)="—"),"קבוצה רביעית",IF($Q247="פרופיל 5","קבוצת תשתיות",IF(OR($Q247="פרופיל 4",$Q247="פרופיל 3"),"קבוצת רכישה","קבוצת ביסוס"))))</f>
        <v/>
      </c>
      <c r="S247" s="32">
        <f>IF($F247="","",IF($F247="תחילת שנה",1,IF($F247="מחצית שנה",2,3)))</f>
        <v/>
      </c>
      <c r="T247" s="32">
        <f>IF(OR($B247="",$R247="",$A247="",$F247=""),"",$B247&amp;"|"&amp;$A247&amp;"|"&amp;$F247&amp;"|"&amp;$R247&amp;"|"&amp;COUNTIFS($B$6:$B247,$B247,$A$6:$A247,$A247,$F$6:$F247,$F247,$R$6:$R247,$R247))</f>
        <v/>
      </c>
      <c r="U247" s="32">
        <f>IF($C247="","",$C247&amp;"|"&amp;COUNTIFS($C$6:$C247,$C247))</f>
        <v/>
      </c>
      <c r="V247" s="32">
        <f>IF(OR($C247="",$A247="",$S247=""),"",$C247&amp;"|"&amp;$A247&amp;"|"&amp;$S247)</f>
        <v/>
      </c>
      <c r="W247" s="32">
        <f>IF(OR($C247="",$S247="",$S247=1),"",IFERROR(INDEX($Q$6:$Q$1505,MATCH($C247&amp;"|"&amp;$A247&amp;"|"&amp;($S247-1),$V$6:$V$1505,0)),""))</f>
        <v/>
      </c>
      <c r="X247" s="32">
        <f>IF(OR($W247="",$Q247="",LEFT($Q247,1)="—"),"",IF($W247=$Q247,"ללא שינוי","מ-"&amp;$W247&amp;" ל-"&amp;$Q247))</f>
        <v/>
      </c>
    </row>
    <row r="248" ht="15.75" customHeight="1" s="58">
      <c r="A248" s="65" t="n"/>
      <c r="B248" s="65" t="n"/>
      <c r="C248" s="66" t="n"/>
      <c r="D248" s="66" t="n"/>
      <c r="E248" s="65" t="n"/>
      <c r="F248" s="65" t="n"/>
      <c r="G248" s="65" t="n"/>
      <c r="H248" s="65" t="n"/>
      <c r="I248" s="65" t="n"/>
      <c r="J248" s="65" t="n"/>
      <c r="K248" s="65" t="n"/>
      <c r="L248" s="65" t="n"/>
      <c r="M248" s="65" t="n"/>
      <c r="N248" s="65" t="n"/>
      <c r="O248" s="65" t="n"/>
      <c r="P248" s="65" t="n"/>
      <c r="Q248" s="32">
        <f>IF($C248="","",IF($J248="","— חסרים נתונים",IF($J248="טרם מפענח","פרופיל 5",IF($J248="קמץ/פתח/חטף-פתח ושוואים","פרופיל 4",IF($J248="2-3 סימני ניקוד","פרופיל 3",IF($J248="4-5 סימני ניקוד","פרופיל 2",IF(AND($O248="משפטים וקטעים קצרים",OR($M248="מבין",$M248="מבין לרוב")),"פרופיל 1","פרופיל 2")))))))</f>
        <v/>
      </c>
      <c r="R248" s="32">
        <f>IF($C248="","",IF(OR($Q248="",LEFT($Q248,1)="—"),"קבוצה רביעית",IF($Q248="פרופיל 5","קבוצת תשתיות",IF(OR($Q248="פרופיל 4",$Q248="פרופיל 3"),"קבוצת רכישה","קבוצת ביסוס"))))</f>
        <v/>
      </c>
      <c r="S248" s="32">
        <f>IF($F248="","",IF($F248="תחילת שנה",1,IF($F248="מחצית שנה",2,3)))</f>
        <v/>
      </c>
      <c r="T248" s="32">
        <f>IF(OR($B248="",$R248="",$A248="",$F248=""),"",$B248&amp;"|"&amp;$A248&amp;"|"&amp;$F248&amp;"|"&amp;$R248&amp;"|"&amp;COUNTIFS($B$6:$B248,$B248,$A$6:$A248,$A248,$F$6:$F248,$F248,$R$6:$R248,$R248))</f>
        <v/>
      </c>
      <c r="U248" s="32">
        <f>IF($C248="","",$C248&amp;"|"&amp;COUNTIFS($C$6:$C248,$C248))</f>
        <v/>
      </c>
      <c r="V248" s="32">
        <f>IF(OR($C248="",$A248="",$S248=""),"",$C248&amp;"|"&amp;$A248&amp;"|"&amp;$S248)</f>
        <v/>
      </c>
      <c r="W248" s="32">
        <f>IF(OR($C248="",$S248="",$S248=1),"",IFERROR(INDEX($Q$6:$Q$1505,MATCH($C248&amp;"|"&amp;$A248&amp;"|"&amp;($S248-1),$V$6:$V$1505,0)),""))</f>
        <v/>
      </c>
      <c r="X248" s="32">
        <f>IF(OR($W248="",$Q248="",LEFT($Q248,1)="—"),"",IF($W248=$Q248,"ללא שינוי","מ-"&amp;$W248&amp;" ל-"&amp;$Q248))</f>
        <v/>
      </c>
    </row>
    <row r="249" ht="15.75" customHeight="1" s="58">
      <c r="A249" s="65" t="n"/>
      <c r="B249" s="65" t="n"/>
      <c r="C249" s="66" t="n"/>
      <c r="D249" s="66" t="n"/>
      <c r="E249" s="65" t="n"/>
      <c r="F249" s="65" t="n"/>
      <c r="G249" s="65" t="n"/>
      <c r="H249" s="65" t="n"/>
      <c r="I249" s="65" t="n"/>
      <c r="J249" s="65" t="n"/>
      <c r="K249" s="65" t="n"/>
      <c r="L249" s="65" t="n"/>
      <c r="M249" s="65" t="n"/>
      <c r="N249" s="65" t="n"/>
      <c r="O249" s="65" t="n"/>
      <c r="P249" s="65" t="n"/>
      <c r="Q249" s="32">
        <f>IF($C249="","",IF($J249="","— חסרים נתונים",IF($J249="טרם מפענח","פרופיל 5",IF($J249="קמץ/פתח/חטף-פתח ושוואים","פרופיל 4",IF($J249="2-3 סימני ניקוד","פרופיל 3",IF($J249="4-5 סימני ניקוד","פרופיל 2",IF(AND($O249="משפטים וקטעים קצרים",OR($M249="מבין",$M249="מבין לרוב")),"פרופיל 1","פרופיל 2")))))))</f>
        <v/>
      </c>
      <c r="R249" s="32">
        <f>IF($C249="","",IF(OR($Q249="",LEFT($Q249,1)="—"),"קבוצה רביעית",IF($Q249="פרופיל 5","קבוצת תשתיות",IF(OR($Q249="פרופיל 4",$Q249="פרופיל 3"),"קבוצת רכישה","קבוצת ביסוס"))))</f>
        <v/>
      </c>
      <c r="S249" s="32">
        <f>IF($F249="","",IF($F249="תחילת שנה",1,IF($F249="מחצית שנה",2,3)))</f>
        <v/>
      </c>
      <c r="T249" s="32">
        <f>IF(OR($B249="",$R249="",$A249="",$F249=""),"",$B249&amp;"|"&amp;$A249&amp;"|"&amp;$F249&amp;"|"&amp;$R249&amp;"|"&amp;COUNTIFS($B$6:$B249,$B249,$A$6:$A249,$A249,$F$6:$F249,$F249,$R$6:$R249,$R249))</f>
        <v/>
      </c>
      <c r="U249" s="32">
        <f>IF($C249="","",$C249&amp;"|"&amp;COUNTIFS($C$6:$C249,$C249))</f>
        <v/>
      </c>
      <c r="V249" s="32">
        <f>IF(OR($C249="",$A249="",$S249=""),"",$C249&amp;"|"&amp;$A249&amp;"|"&amp;$S249)</f>
        <v/>
      </c>
      <c r="W249" s="32">
        <f>IF(OR($C249="",$S249="",$S249=1),"",IFERROR(INDEX($Q$6:$Q$1505,MATCH($C249&amp;"|"&amp;$A249&amp;"|"&amp;($S249-1),$V$6:$V$1505,0)),""))</f>
        <v/>
      </c>
      <c r="X249" s="32">
        <f>IF(OR($W249="",$Q249="",LEFT($Q249,1)="—"),"",IF($W249=$Q249,"ללא שינוי","מ-"&amp;$W249&amp;" ל-"&amp;$Q249))</f>
        <v/>
      </c>
    </row>
    <row r="250" ht="15.75" customHeight="1" s="58">
      <c r="A250" s="65" t="n"/>
      <c r="B250" s="65" t="n"/>
      <c r="C250" s="66" t="n"/>
      <c r="D250" s="66" t="n"/>
      <c r="E250" s="65" t="n"/>
      <c r="F250" s="65" t="n"/>
      <c r="G250" s="65" t="n"/>
      <c r="H250" s="65" t="n"/>
      <c r="I250" s="65" t="n"/>
      <c r="J250" s="65" t="n"/>
      <c r="K250" s="65" t="n"/>
      <c r="L250" s="65" t="n"/>
      <c r="M250" s="65" t="n"/>
      <c r="N250" s="65" t="n"/>
      <c r="O250" s="65" t="n"/>
      <c r="P250" s="65" t="n"/>
      <c r="Q250" s="32">
        <f>IF($C250="","",IF($J250="","— חסרים נתונים",IF($J250="טרם מפענח","פרופיל 5",IF($J250="קמץ/פתח/חטף-פתח ושוואים","פרופיל 4",IF($J250="2-3 סימני ניקוד","פרופיל 3",IF($J250="4-5 סימני ניקוד","פרופיל 2",IF(AND($O250="משפטים וקטעים קצרים",OR($M250="מבין",$M250="מבין לרוב")),"פרופיל 1","פרופיל 2")))))))</f>
        <v/>
      </c>
      <c r="R250" s="32">
        <f>IF($C250="","",IF(OR($Q250="",LEFT($Q250,1)="—"),"קבוצה רביעית",IF($Q250="פרופיל 5","קבוצת תשתיות",IF(OR($Q250="פרופיל 4",$Q250="פרופיל 3"),"קבוצת רכישה","קבוצת ביסוס"))))</f>
        <v/>
      </c>
      <c r="S250" s="32">
        <f>IF($F250="","",IF($F250="תחילת שנה",1,IF($F250="מחצית שנה",2,3)))</f>
        <v/>
      </c>
      <c r="T250" s="32">
        <f>IF(OR($B250="",$R250="",$A250="",$F250=""),"",$B250&amp;"|"&amp;$A250&amp;"|"&amp;$F250&amp;"|"&amp;$R250&amp;"|"&amp;COUNTIFS($B$6:$B250,$B250,$A$6:$A250,$A250,$F$6:$F250,$F250,$R$6:$R250,$R250))</f>
        <v/>
      </c>
      <c r="U250" s="32">
        <f>IF($C250="","",$C250&amp;"|"&amp;COUNTIFS($C$6:$C250,$C250))</f>
        <v/>
      </c>
      <c r="V250" s="32">
        <f>IF(OR($C250="",$A250="",$S250=""),"",$C250&amp;"|"&amp;$A250&amp;"|"&amp;$S250)</f>
        <v/>
      </c>
      <c r="W250" s="32">
        <f>IF(OR($C250="",$S250="",$S250=1),"",IFERROR(INDEX($Q$6:$Q$1505,MATCH($C250&amp;"|"&amp;$A250&amp;"|"&amp;($S250-1),$V$6:$V$1505,0)),""))</f>
        <v/>
      </c>
      <c r="X250" s="32">
        <f>IF(OR($W250="",$Q250="",LEFT($Q250,1)="—"),"",IF($W250=$Q250,"ללא שינוי","מ-"&amp;$W250&amp;" ל-"&amp;$Q250))</f>
        <v/>
      </c>
    </row>
    <row r="251" ht="15.75" customHeight="1" s="58">
      <c r="A251" s="65" t="n"/>
      <c r="B251" s="65" t="n"/>
      <c r="C251" s="66" t="n"/>
      <c r="D251" s="66" t="n"/>
      <c r="E251" s="65" t="n"/>
      <c r="F251" s="65" t="n"/>
      <c r="G251" s="65" t="n"/>
      <c r="H251" s="65" t="n"/>
      <c r="I251" s="65" t="n"/>
      <c r="J251" s="65" t="n"/>
      <c r="K251" s="65" t="n"/>
      <c r="L251" s="65" t="n"/>
      <c r="M251" s="65" t="n"/>
      <c r="N251" s="65" t="n"/>
      <c r="O251" s="65" t="n"/>
      <c r="P251" s="65" t="n"/>
      <c r="Q251" s="32">
        <f>IF($C251="","",IF($J251="","— חסרים נתונים",IF($J251="טרם מפענח","פרופיל 5",IF($J251="קמץ/פתח/חטף-פתח ושוואים","פרופיל 4",IF($J251="2-3 סימני ניקוד","פרופיל 3",IF($J251="4-5 סימני ניקוד","פרופיל 2",IF(AND($O251="משפטים וקטעים קצרים",OR($M251="מבין",$M251="מבין לרוב")),"פרופיל 1","פרופיל 2")))))))</f>
        <v/>
      </c>
      <c r="R251" s="32">
        <f>IF($C251="","",IF(OR($Q251="",LEFT($Q251,1)="—"),"קבוצה רביעית",IF($Q251="פרופיל 5","קבוצת תשתיות",IF(OR($Q251="פרופיל 4",$Q251="פרופיל 3"),"קבוצת רכישה","קבוצת ביסוס"))))</f>
        <v/>
      </c>
      <c r="S251" s="32">
        <f>IF($F251="","",IF($F251="תחילת שנה",1,IF($F251="מחצית שנה",2,3)))</f>
        <v/>
      </c>
      <c r="T251" s="32">
        <f>IF(OR($B251="",$R251="",$A251="",$F251=""),"",$B251&amp;"|"&amp;$A251&amp;"|"&amp;$F251&amp;"|"&amp;$R251&amp;"|"&amp;COUNTIFS($B$6:$B251,$B251,$A$6:$A251,$A251,$F$6:$F251,$F251,$R$6:$R251,$R251))</f>
        <v/>
      </c>
      <c r="U251" s="32">
        <f>IF($C251="","",$C251&amp;"|"&amp;COUNTIFS($C$6:$C251,$C251))</f>
        <v/>
      </c>
      <c r="V251" s="32">
        <f>IF(OR($C251="",$A251="",$S251=""),"",$C251&amp;"|"&amp;$A251&amp;"|"&amp;$S251)</f>
        <v/>
      </c>
      <c r="W251" s="32">
        <f>IF(OR($C251="",$S251="",$S251=1),"",IFERROR(INDEX($Q$6:$Q$1505,MATCH($C251&amp;"|"&amp;$A251&amp;"|"&amp;($S251-1),$V$6:$V$1505,0)),""))</f>
        <v/>
      </c>
      <c r="X251" s="32">
        <f>IF(OR($W251="",$Q251="",LEFT($Q251,1)="—"),"",IF($W251=$Q251,"ללא שינוי","מ-"&amp;$W251&amp;" ל-"&amp;$Q251))</f>
        <v/>
      </c>
    </row>
    <row r="252" ht="15.75" customHeight="1" s="58">
      <c r="A252" s="65" t="n"/>
      <c r="B252" s="65" t="n"/>
      <c r="C252" s="66" t="n"/>
      <c r="D252" s="66" t="n"/>
      <c r="E252" s="65" t="n"/>
      <c r="F252" s="65" t="n"/>
      <c r="G252" s="65" t="n"/>
      <c r="H252" s="65" t="n"/>
      <c r="I252" s="65" t="n"/>
      <c r="J252" s="65" t="n"/>
      <c r="K252" s="65" t="n"/>
      <c r="L252" s="65" t="n"/>
      <c r="M252" s="65" t="n"/>
      <c r="N252" s="65" t="n"/>
      <c r="O252" s="65" t="n"/>
      <c r="P252" s="65" t="n"/>
      <c r="Q252" s="32">
        <f>IF($C252="","",IF($J252="","— חסרים נתונים",IF($J252="טרם מפענח","פרופיל 5",IF($J252="קמץ/פתח/חטף-פתח ושוואים","פרופיל 4",IF($J252="2-3 סימני ניקוד","פרופיל 3",IF($J252="4-5 סימני ניקוד","פרופיל 2",IF(AND($O252="משפטים וקטעים קצרים",OR($M252="מבין",$M252="מבין לרוב")),"פרופיל 1","פרופיל 2")))))))</f>
        <v/>
      </c>
      <c r="R252" s="32">
        <f>IF($C252="","",IF(OR($Q252="",LEFT($Q252,1)="—"),"קבוצה רביעית",IF($Q252="פרופיל 5","קבוצת תשתיות",IF(OR($Q252="פרופיל 4",$Q252="פרופיל 3"),"קבוצת רכישה","קבוצת ביסוס"))))</f>
        <v/>
      </c>
      <c r="S252" s="32">
        <f>IF($F252="","",IF($F252="תחילת שנה",1,IF($F252="מחצית שנה",2,3)))</f>
        <v/>
      </c>
      <c r="T252" s="32">
        <f>IF(OR($B252="",$R252="",$A252="",$F252=""),"",$B252&amp;"|"&amp;$A252&amp;"|"&amp;$F252&amp;"|"&amp;$R252&amp;"|"&amp;COUNTIFS($B$6:$B252,$B252,$A$6:$A252,$A252,$F$6:$F252,$F252,$R$6:$R252,$R252))</f>
        <v/>
      </c>
      <c r="U252" s="32">
        <f>IF($C252="","",$C252&amp;"|"&amp;COUNTIFS($C$6:$C252,$C252))</f>
        <v/>
      </c>
      <c r="V252" s="32">
        <f>IF(OR($C252="",$A252="",$S252=""),"",$C252&amp;"|"&amp;$A252&amp;"|"&amp;$S252)</f>
        <v/>
      </c>
      <c r="W252" s="32">
        <f>IF(OR($C252="",$S252="",$S252=1),"",IFERROR(INDEX($Q$6:$Q$1505,MATCH($C252&amp;"|"&amp;$A252&amp;"|"&amp;($S252-1),$V$6:$V$1505,0)),""))</f>
        <v/>
      </c>
      <c r="X252" s="32">
        <f>IF(OR($W252="",$Q252="",LEFT($Q252,1)="—"),"",IF($W252=$Q252,"ללא שינוי","מ-"&amp;$W252&amp;" ל-"&amp;$Q252))</f>
        <v/>
      </c>
    </row>
    <row r="253" ht="15.75" customHeight="1" s="58">
      <c r="A253" s="65" t="n"/>
      <c r="B253" s="65" t="n"/>
      <c r="C253" s="66" t="n"/>
      <c r="D253" s="66" t="n"/>
      <c r="E253" s="65" t="n"/>
      <c r="F253" s="65" t="n"/>
      <c r="G253" s="65" t="n"/>
      <c r="H253" s="65" t="n"/>
      <c r="I253" s="65" t="n"/>
      <c r="J253" s="65" t="n"/>
      <c r="K253" s="65" t="n"/>
      <c r="L253" s="65" t="n"/>
      <c r="M253" s="65" t="n"/>
      <c r="N253" s="65" t="n"/>
      <c r="O253" s="65" t="n"/>
      <c r="P253" s="65" t="n"/>
      <c r="Q253" s="32">
        <f>IF($C253="","",IF($J253="","— חסרים נתונים",IF($J253="טרם מפענח","פרופיל 5",IF($J253="קמץ/פתח/חטף-פתח ושוואים","פרופיל 4",IF($J253="2-3 סימני ניקוד","פרופיל 3",IF($J253="4-5 סימני ניקוד","פרופיל 2",IF(AND($O253="משפטים וקטעים קצרים",OR($M253="מבין",$M253="מבין לרוב")),"פרופיל 1","פרופיל 2")))))))</f>
        <v/>
      </c>
      <c r="R253" s="32">
        <f>IF($C253="","",IF(OR($Q253="",LEFT($Q253,1)="—"),"קבוצה רביעית",IF($Q253="פרופיל 5","קבוצת תשתיות",IF(OR($Q253="פרופיל 4",$Q253="פרופיל 3"),"קבוצת רכישה","קבוצת ביסוס"))))</f>
        <v/>
      </c>
      <c r="S253" s="32">
        <f>IF($F253="","",IF($F253="תחילת שנה",1,IF($F253="מחצית שנה",2,3)))</f>
        <v/>
      </c>
      <c r="T253" s="32">
        <f>IF(OR($B253="",$R253="",$A253="",$F253=""),"",$B253&amp;"|"&amp;$A253&amp;"|"&amp;$F253&amp;"|"&amp;$R253&amp;"|"&amp;COUNTIFS($B$6:$B253,$B253,$A$6:$A253,$A253,$F$6:$F253,$F253,$R$6:$R253,$R253))</f>
        <v/>
      </c>
      <c r="U253" s="32">
        <f>IF($C253="","",$C253&amp;"|"&amp;COUNTIFS($C$6:$C253,$C253))</f>
        <v/>
      </c>
      <c r="V253" s="32">
        <f>IF(OR($C253="",$A253="",$S253=""),"",$C253&amp;"|"&amp;$A253&amp;"|"&amp;$S253)</f>
        <v/>
      </c>
      <c r="W253" s="32">
        <f>IF(OR($C253="",$S253="",$S253=1),"",IFERROR(INDEX($Q$6:$Q$1505,MATCH($C253&amp;"|"&amp;$A253&amp;"|"&amp;($S253-1),$V$6:$V$1505,0)),""))</f>
        <v/>
      </c>
      <c r="X253" s="32">
        <f>IF(OR($W253="",$Q253="",LEFT($Q253,1)="—"),"",IF($W253=$Q253,"ללא שינוי","מ-"&amp;$W253&amp;" ל-"&amp;$Q253))</f>
        <v/>
      </c>
    </row>
    <row r="254" ht="15.75" customHeight="1" s="58">
      <c r="A254" s="65" t="n"/>
      <c r="B254" s="65" t="n"/>
      <c r="C254" s="66" t="n"/>
      <c r="D254" s="66" t="n"/>
      <c r="E254" s="65" t="n"/>
      <c r="F254" s="65" t="n"/>
      <c r="G254" s="65" t="n"/>
      <c r="H254" s="65" t="n"/>
      <c r="I254" s="65" t="n"/>
      <c r="J254" s="65" t="n"/>
      <c r="K254" s="65" t="n"/>
      <c r="L254" s="65" t="n"/>
      <c r="M254" s="65" t="n"/>
      <c r="N254" s="65" t="n"/>
      <c r="O254" s="65" t="n"/>
      <c r="P254" s="65" t="n"/>
      <c r="Q254" s="32">
        <f>IF($C254="","",IF($J254="","— חסרים נתונים",IF($J254="טרם מפענח","פרופיל 5",IF($J254="קמץ/פתח/חטף-פתח ושוואים","פרופיל 4",IF($J254="2-3 סימני ניקוד","פרופיל 3",IF($J254="4-5 סימני ניקוד","פרופיל 2",IF(AND($O254="משפטים וקטעים קצרים",OR($M254="מבין",$M254="מבין לרוב")),"פרופיל 1","פרופיל 2")))))))</f>
        <v/>
      </c>
      <c r="R254" s="32">
        <f>IF($C254="","",IF(OR($Q254="",LEFT($Q254,1)="—"),"קבוצה רביעית",IF($Q254="פרופיל 5","קבוצת תשתיות",IF(OR($Q254="פרופיל 4",$Q254="פרופיל 3"),"קבוצת רכישה","קבוצת ביסוס"))))</f>
        <v/>
      </c>
      <c r="S254" s="32">
        <f>IF($F254="","",IF($F254="תחילת שנה",1,IF($F254="מחצית שנה",2,3)))</f>
        <v/>
      </c>
      <c r="T254" s="32">
        <f>IF(OR($B254="",$R254="",$A254="",$F254=""),"",$B254&amp;"|"&amp;$A254&amp;"|"&amp;$F254&amp;"|"&amp;$R254&amp;"|"&amp;COUNTIFS($B$6:$B254,$B254,$A$6:$A254,$A254,$F$6:$F254,$F254,$R$6:$R254,$R254))</f>
        <v/>
      </c>
      <c r="U254" s="32">
        <f>IF($C254="","",$C254&amp;"|"&amp;COUNTIFS($C$6:$C254,$C254))</f>
        <v/>
      </c>
      <c r="V254" s="32">
        <f>IF(OR($C254="",$A254="",$S254=""),"",$C254&amp;"|"&amp;$A254&amp;"|"&amp;$S254)</f>
        <v/>
      </c>
      <c r="W254" s="32">
        <f>IF(OR($C254="",$S254="",$S254=1),"",IFERROR(INDEX($Q$6:$Q$1505,MATCH($C254&amp;"|"&amp;$A254&amp;"|"&amp;($S254-1),$V$6:$V$1505,0)),""))</f>
        <v/>
      </c>
      <c r="X254" s="32">
        <f>IF(OR($W254="",$Q254="",LEFT($Q254,1)="—"),"",IF($W254=$Q254,"ללא שינוי","מ-"&amp;$W254&amp;" ל-"&amp;$Q254))</f>
        <v/>
      </c>
    </row>
    <row r="255" ht="15.75" customHeight="1" s="58">
      <c r="A255" s="65" t="n"/>
      <c r="B255" s="65" t="n"/>
      <c r="C255" s="66" t="n"/>
      <c r="D255" s="66" t="n"/>
      <c r="E255" s="65" t="n"/>
      <c r="F255" s="65" t="n"/>
      <c r="G255" s="65" t="n"/>
      <c r="H255" s="65" t="n"/>
      <c r="I255" s="65" t="n"/>
      <c r="J255" s="65" t="n"/>
      <c r="K255" s="65" t="n"/>
      <c r="L255" s="65" t="n"/>
      <c r="M255" s="65" t="n"/>
      <c r="N255" s="65" t="n"/>
      <c r="O255" s="65" t="n"/>
      <c r="P255" s="65" t="n"/>
      <c r="Q255" s="32">
        <f>IF($C255="","",IF($J255="","— חסרים נתונים",IF($J255="טרם מפענח","פרופיל 5",IF($J255="קמץ/פתח/חטף-פתח ושוואים","פרופיל 4",IF($J255="2-3 סימני ניקוד","פרופיל 3",IF($J255="4-5 סימני ניקוד","פרופיל 2",IF(AND($O255="משפטים וקטעים קצרים",OR($M255="מבין",$M255="מבין לרוב")),"פרופיל 1","פרופיל 2")))))))</f>
        <v/>
      </c>
      <c r="R255" s="32">
        <f>IF($C255="","",IF(OR($Q255="",LEFT($Q255,1)="—"),"קבוצה רביעית",IF($Q255="פרופיל 5","קבוצת תשתיות",IF(OR($Q255="פרופיל 4",$Q255="פרופיל 3"),"קבוצת רכישה","קבוצת ביסוס"))))</f>
        <v/>
      </c>
      <c r="S255" s="32">
        <f>IF($F255="","",IF($F255="תחילת שנה",1,IF($F255="מחצית שנה",2,3)))</f>
        <v/>
      </c>
      <c r="T255" s="32">
        <f>IF(OR($B255="",$R255="",$A255="",$F255=""),"",$B255&amp;"|"&amp;$A255&amp;"|"&amp;$F255&amp;"|"&amp;$R255&amp;"|"&amp;COUNTIFS($B$6:$B255,$B255,$A$6:$A255,$A255,$F$6:$F255,$F255,$R$6:$R255,$R255))</f>
        <v/>
      </c>
      <c r="U255" s="32">
        <f>IF($C255="","",$C255&amp;"|"&amp;COUNTIFS($C$6:$C255,$C255))</f>
        <v/>
      </c>
      <c r="V255" s="32">
        <f>IF(OR($C255="",$A255="",$S255=""),"",$C255&amp;"|"&amp;$A255&amp;"|"&amp;$S255)</f>
        <v/>
      </c>
      <c r="W255" s="32">
        <f>IF(OR($C255="",$S255="",$S255=1),"",IFERROR(INDEX($Q$6:$Q$1505,MATCH($C255&amp;"|"&amp;$A255&amp;"|"&amp;($S255-1),$V$6:$V$1505,0)),""))</f>
        <v/>
      </c>
      <c r="X255" s="32">
        <f>IF(OR($W255="",$Q255="",LEFT($Q255,1)="—"),"",IF($W255=$Q255,"ללא שינוי","מ-"&amp;$W255&amp;" ל-"&amp;$Q255))</f>
        <v/>
      </c>
    </row>
    <row r="256" ht="15.75" customHeight="1" s="58">
      <c r="A256" s="65" t="n"/>
      <c r="B256" s="65" t="n"/>
      <c r="C256" s="66" t="n"/>
      <c r="D256" s="66" t="n"/>
      <c r="E256" s="65" t="n"/>
      <c r="F256" s="65" t="n"/>
      <c r="G256" s="65" t="n"/>
      <c r="H256" s="65" t="n"/>
      <c r="I256" s="65" t="n"/>
      <c r="J256" s="65" t="n"/>
      <c r="K256" s="65" t="n"/>
      <c r="L256" s="65" t="n"/>
      <c r="M256" s="65" t="n"/>
      <c r="N256" s="65" t="n"/>
      <c r="O256" s="65" t="n"/>
      <c r="P256" s="65" t="n"/>
      <c r="Q256" s="32">
        <f>IF($C256="","",IF($J256="","— חסרים נתונים",IF($J256="טרם מפענח","פרופיל 5",IF($J256="קמץ/פתח/חטף-פתח ושוואים","פרופיל 4",IF($J256="2-3 סימני ניקוד","פרופיל 3",IF($J256="4-5 סימני ניקוד","פרופיל 2",IF(AND($O256="משפטים וקטעים קצרים",OR($M256="מבין",$M256="מבין לרוב")),"פרופיל 1","פרופיל 2")))))))</f>
        <v/>
      </c>
      <c r="R256" s="32">
        <f>IF($C256="","",IF(OR($Q256="",LEFT($Q256,1)="—"),"קבוצה רביעית",IF($Q256="פרופיל 5","קבוצת תשתיות",IF(OR($Q256="פרופיל 4",$Q256="פרופיל 3"),"קבוצת רכישה","קבוצת ביסוס"))))</f>
        <v/>
      </c>
      <c r="S256" s="32">
        <f>IF($F256="","",IF($F256="תחילת שנה",1,IF($F256="מחצית שנה",2,3)))</f>
        <v/>
      </c>
      <c r="T256" s="32">
        <f>IF(OR($B256="",$R256="",$A256="",$F256=""),"",$B256&amp;"|"&amp;$A256&amp;"|"&amp;$F256&amp;"|"&amp;$R256&amp;"|"&amp;COUNTIFS($B$6:$B256,$B256,$A$6:$A256,$A256,$F$6:$F256,$F256,$R$6:$R256,$R256))</f>
        <v/>
      </c>
      <c r="U256" s="32">
        <f>IF($C256="","",$C256&amp;"|"&amp;COUNTIFS($C$6:$C256,$C256))</f>
        <v/>
      </c>
      <c r="V256" s="32">
        <f>IF(OR($C256="",$A256="",$S256=""),"",$C256&amp;"|"&amp;$A256&amp;"|"&amp;$S256)</f>
        <v/>
      </c>
      <c r="W256" s="32">
        <f>IF(OR($C256="",$S256="",$S256=1),"",IFERROR(INDEX($Q$6:$Q$1505,MATCH($C256&amp;"|"&amp;$A256&amp;"|"&amp;($S256-1),$V$6:$V$1505,0)),""))</f>
        <v/>
      </c>
      <c r="X256" s="32">
        <f>IF(OR($W256="",$Q256="",LEFT($Q256,1)="—"),"",IF($W256=$Q256,"ללא שינוי","מ-"&amp;$W256&amp;" ל-"&amp;$Q256))</f>
        <v/>
      </c>
    </row>
    <row r="257" ht="15.75" customHeight="1" s="58">
      <c r="A257" s="65" t="n"/>
      <c r="B257" s="65" t="n"/>
      <c r="C257" s="66" t="n"/>
      <c r="D257" s="66" t="n"/>
      <c r="E257" s="65" t="n"/>
      <c r="F257" s="65" t="n"/>
      <c r="G257" s="65" t="n"/>
      <c r="H257" s="65" t="n"/>
      <c r="I257" s="65" t="n"/>
      <c r="J257" s="65" t="n"/>
      <c r="K257" s="65" t="n"/>
      <c r="L257" s="65" t="n"/>
      <c r="M257" s="65" t="n"/>
      <c r="N257" s="65" t="n"/>
      <c r="O257" s="65" t="n"/>
      <c r="P257" s="65" t="n"/>
      <c r="Q257" s="32">
        <f>IF($C257="","",IF($J257="","— חסרים נתונים",IF($J257="טרם מפענח","פרופיל 5",IF($J257="קמץ/פתח/חטף-פתח ושוואים","פרופיל 4",IF($J257="2-3 סימני ניקוד","פרופיל 3",IF($J257="4-5 סימני ניקוד","פרופיל 2",IF(AND($O257="משפטים וקטעים קצרים",OR($M257="מבין",$M257="מבין לרוב")),"פרופיל 1","פרופיל 2")))))))</f>
        <v/>
      </c>
      <c r="R257" s="32">
        <f>IF($C257="","",IF(OR($Q257="",LEFT($Q257,1)="—"),"קבוצה רביעית",IF($Q257="פרופיל 5","קבוצת תשתיות",IF(OR($Q257="פרופיל 4",$Q257="פרופיל 3"),"קבוצת רכישה","קבוצת ביסוס"))))</f>
        <v/>
      </c>
      <c r="S257" s="32">
        <f>IF($F257="","",IF($F257="תחילת שנה",1,IF($F257="מחצית שנה",2,3)))</f>
        <v/>
      </c>
      <c r="T257" s="32">
        <f>IF(OR($B257="",$R257="",$A257="",$F257=""),"",$B257&amp;"|"&amp;$A257&amp;"|"&amp;$F257&amp;"|"&amp;$R257&amp;"|"&amp;COUNTIFS($B$6:$B257,$B257,$A$6:$A257,$A257,$F$6:$F257,$F257,$R$6:$R257,$R257))</f>
        <v/>
      </c>
      <c r="U257" s="32">
        <f>IF($C257="","",$C257&amp;"|"&amp;COUNTIFS($C$6:$C257,$C257))</f>
        <v/>
      </c>
      <c r="V257" s="32">
        <f>IF(OR($C257="",$A257="",$S257=""),"",$C257&amp;"|"&amp;$A257&amp;"|"&amp;$S257)</f>
        <v/>
      </c>
      <c r="W257" s="32">
        <f>IF(OR($C257="",$S257="",$S257=1),"",IFERROR(INDEX($Q$6:$Q$1505,MATCH($C257&amp;"|"&amp;$A257&amp;"|"&amp;($S257-1),$V$6:$V$1505,0)),""))</f>
        <v/>
      </c>
      <c r="X257" s="32">
        <f>IF(OR($W257="",$Q257="",LEFT($Q257,1)="—"),"",IF($W257=$Q257,"ללא שינוי","מ-"&amp;$W257&amp;" ל-"&amp;$Q257))</f>
        <v/>
      </c>
    </row>
    <row r="258" ht="15.75" customHeight="1" s="58">
      <c r="A258" s="65" t="n"/>
      <c r="B258" s="65" t="n"/>
      <c r="C258" s="66" t="n"/>
      <c r="D258" s="66" t="n"/>
      <c r="E258" s="65" t="n"/>
      <c r="F258" s="65" t="n"/>
      <c r="G258" s="65" t="n"/>
      <c r="H258" s="65" t="n"/>
      <c r="I258" s="65" t="n"/>
      <c r="J258" s="65" t="n"/>
      <c r="K258" s="65" t="n"/>
      <c r="L258" s="65" t="n"/>
      <c r="M258" s="65" t="n"/>
      <c r="N258" s="65" t="n"/>
      <c r="O258" s="65" t="n"/>
      <c r="P258" s="65" t="n"/>
      <c r="Q258" s="32">
        <f>IF($C258="","",IF($J258="","— חסרים נתונים",IF($J258="טרם מפענח","פרופיל 5",IF($J258="קמץ/פתח/חטף-פתח ושוואים","פרופיל 4",IF($J258="2-3 סימני ניקוד","פרופיל 3",IF($J258="4-5 סימני ניקוד","פרופיל 2",IF(AND($O258="משפטים וקטעים קצרים",OR($M258="מבין",$M258="מבין לרוב")),"פרופיל 1","פרופיל 2")))))))</f>
        <v/>
      </c>
      <c r="R258" s="32">
        <f>IF($C258="","",IF(OR($Q258="",LEFT($Q258,1)="—"),"קבוצה רביעית",IF($Q258="פרופיל 5","קבוצת תשתיות",IF(OR($Q258="פרופיל 4",$Q258="פרופיל 3"),"קבוצת רכישה","קבוצת ביסוס"))))</f>
        <v/>
      </c>
      <c r="S258" s="32">
        <f>IF($F258="","",IF($F258="תחילת שנה",1,IF($F258="מחצית שנה",2,3)))</f>
        <v/>
      </c>
      <c r="T258" s="32">
        <f>IF(OR($B258="",$R258="",$A258="",$F258=""),"",$B258&amp;"|"&amp;$A258&amp;"|"&amp;$F258&amp;"|"&amp;$R258&amp;"|"&amp;COUNTIFS($B$6:$B258,$B258,$A$6:$A258,$A258,$F$6:$F258,$F258,$R$6:$R258,$R258))</f>
        <v/>
      </c>
      <c r="U258" s="32">
        <f>IF($C258="","",$C258&amp;"|"&amp;COUNTIFS($C$6:$C258,$C258))</f>
        <v/>
      </c>
      <c r="V258" s="32">
        <f>IF(OR($C258="",$A258="",$S258=""),"",$C258&amp;"|"&amp;$A258&amp;"|"&amp;$S258)</f>
        <v/>
      </c>
      <c r="W258" s="32">
        <f>IF(OR($C258="",$S258="",$S258=1),"",IFERROR(INDEX($Q$6:$Q$1505,MATCH($C258&amp;"|"&amp;$A258&amp;"|"&amp;($S258-1),$V$6:$V$1505,0)),""))</f>
        <v/>
      </c>
      <c r="X258" s="32">
        <f>IF(OR($W258="",$Q258="",LEFT($Q258,1)="—"),"",IF($W258=$Q258,"ללא שינוי","מ-"&amp;$W258&amp;" ל-"&amp;$Q258))</f>
        <v/>
      </c>
    </row>
    <row r="259" ht="15.75" customHeight="1" s="58">
      <c r="A259" s="65" t="n"/>
      <c r="B259" s="65" t="n"/>
      <c r="C259" s="66" t="n"/>
      <c r="D259" s="66" t="n"/>
      <c r="E259" s="65" t="n"/>
      <c r="F259" s="65" t="n"/>
      <c r="G259" s="65" t="n"/>
      <c r="H259" s="65" t="n"/>
      <c r="I259" s="65" t="n"/>
      <c r="J259" s="65" t="n"/>
      <c r="K259" s="65" t="n"/>
      <c r="L259" s="65" t="n"/>
      <c r="M259" s="65" t="n"/>
      <c r="N259" s="65" t="n"/>
      <c r="O259" s="65" t="n"/>
      <c r="P259" s="65" t="n"/>
      <c r="Q259" s="32">
        <f>IF($C259="","",IF($J259="","— חסרים נתונים",IF($J259="טרם מפענח","פרופיל 5",IF($J259="קמץ/פתח/חטף-פתח ושוואים","פרופיל 4",IF($J259="2-3 סימני ניקוד","פרופיל 3",IF($J259="4-5 סימני ניקוד","פרופיל 2",IF(AND($O259="משפטים וקטעים קצרים",OR($M259="מבין",$M259="מבין לרוב")),"פרופיל 1","פרופיל 2")))))))</f>
        <v/>
      </c>
      <c r="R259" s="32">
        <f>IF($C259="","",IF(OR($Q259="",LEFT($Q259,1)="—"),"קבוצה רביעית",IF($Q259="פרופיל 5","קבוצת תשתיות",IF(OR($Q259="פרופיל 4",$Q259="פרופיל 3"),"קבוצת רכישה","קבוצת ביסוס"))))</f>
        <v/>
      </c>
      <c r="S259" s="32">
        <f>IF($F259="","",IF($F259="תחילת שנה",1,IF($F259="מחצית שנה",2,3)))</f>
        <v/>
      </c>
      <c r="T259" s="32">
        <f>IF(OR($B259="",$R259="",$A259="",$F259=""),"",$B259&amp;"|"&amp;$A259&amp;"|"&amp;$F259&amp;"|"&amp;$R259&amp;"|"&amp;COUNTIFS($B$6:$B259,$B259,$A$6:$A259,$A259,$F$6:$F259,$F259,$R$6:$R259,$R259))</f>
        <v/>
      </c>
      <c r="U259" s="32">
        <f>IF($C259="","",$C259&amp;"|"&amp;COUNTIFS($C$6:$C259,$C259))</f>
        <v/>
      </c>
      <c r="V259" s="32">
        <f>IF(OR($C259="",$A259="",$S259=""),"",$C259&amp;"|"&amp;$A259&amp;"|"&amp;$S259)</f>
        <v/>
      </c>
      <c r="W259" s="32">
        <f>IF(OR($C259="",$S259="",$S259=1),"",IFERROR(INDEX($Q$6:$Q$1505,MATCH($C259&amp;"|"&amp;$A259&amp;"|"&amp;($S259-1),$V$6:$V$1505,0)),""))</f>
        <v/>
      </c>
      <c r="X259" s="32">
        <f>IF(OR($W259="",$Q259="",LEFT($Q259,1)="—"),"",IF($W259=$Q259,"ללא שינוי","מ-"&amp;$W259&amp;" ל-"&amp;$Q259))</f>
        <v/>
      </c>
    </row>
    <row r="260" ht="15.75" customHeight="1" s="58">
      <c r="A260" s="65" t="n"/>
      <c r="B260" s="65" t="n"/>
      <c r="C260" s="66" t="n"/>
      <c r="D260" s="66" t="n"/>
      <c r="E260" s="65" t="n"/>
      <c r="F260" s="65" t="n"/>
      <c r="G260" s="65" t="n"/>
      <c r="H260" s="65" t="n"/>
      <c r="I260" s="65" t="n"/>
      <c r="J260" s="65" t="n"/>
      <c r="K260" s="65" t="n"/>
      <c r="L260" s="65" t="n"/>
      <c r="M260" s="65" t="n"/>
      <c r="N260" s="65" t="n"/>
      <c r="O260" s="65" t="n"/>
      <c r="P260" s="65" t="n"/>
      <c r="Q260" s="32">
        <f>IF($C260="","",IF($J260="","— חסרים נתונים",IF($J260="טרם מפענח","פרופיל 5",IF($J260="קמץ/פתח/חטף-פתח ושוואים","פרופיל 4",IF($J260="2-3 סימני ניקוד","פרופיל 3",IF($J260="4-5 סימני ניקוד","פרופיל 2",IF(AND($O260="משפטים וקטעים קצרים",OR($M260="מבין",$M260="מבין לרוב")),"פרופיל 1","פרופיל 2")))))))</f>
        <v/>
      </c>
      <c r="R260" s="32">
        <f>IF($C260="","",IF(OR($Q260="",LEFT($Q260,1)="—"),"קבוצה רביעית",IF($Q260="פרופיל 5","קבוצת תשתיות",IF(OR($Q260="פרופיל 4",$Q260="פרופיל 3"),"קבוצת רכישה","קבוצת ביסוס"))))</f>
        <v/>
      </c>
      <c r="S260" s="32">
        <f>IF($F260="","",IF($F260="תחילת שנה",1,IF($F260="מחצית שנה",2,3)))</f>
        <v/>
      </c>
      <c r="T260" s="32">
        <f>IF(OR($B260="",$R260="",$A260="",$F260=""),"",$B260&amp;"|"&amp;$A260&amp;"|"&amp;$F260&amp;"|"&amp;$R260&amp;"|"&amp;COUNTIFS($B$6:$B260,$B260,$A$6:$A260,$A260,$F$6:$F260,$F260,$R$6:$R260,$R260))</f>
        <v/>
      </c>
      <c r="U260" s="32">
        <f>IF($C260="","",$C260&amp;"|"&amp;COUNTIFS($C$6:$C260,$C260))</f>
        <v/>
      </c>
      <c r="V260" s="32">
        <f>IF(OR($C260="",$A260="",$S260=""),"",$C260&amp;"|"&amp;$A260&amp;"|"&amp;$S260)</f>
        <v/>
      </c>
      <c r="W260" s="32">
        <f>IF(OR($C260="",$S260="",$S260=1),"",IFERROR(INDEX($Q$6:$Q$1505,MATCH($C260&amp;"|"&amp;$A260&amp;"|"&amp;($S260-1),$V$6:$V$1505,0)),""))</f>
        <v/>
      </c>
      <c r="X260" s="32">
        <f>IF(OR($W260="",$Q260="",LEFT($Q260,1)="—"),"",IF($W260=$Q260,"ללא שינוי","מ-"&amp;$W260&amp;" ל-"&amp;$Q260))</f>
        <v/>
      </c>
    </row>
    <row r="261" ht="15.75" customHeight="1" s="58">
      <c r="A261" s="65" t="n"/>
      <c r="B261" s="65" t="n"/>
      <c r="C261" s="66" t="n"/>
      <c r="D261" s="66" t="n"/>
      <c r="E261" s="65" t="n"/>
      <c r="F261" s="65" t="n"/>
      <c r="G261" s="65" t="n"/>
      <c r="H261" s="65" t="n"/>
      <c r="I261" s="65" t="n"/>
      <c r="J261" s="65" t="n"/>
      <c r="K261" s="65" t="n"/>
      <c r="L261" s="65" t="n"/>
      <c r="M261" s="65" t="n"/>
      <c r="N261" s="65" t="n"/>
      <c r="O261" s="65" t="n"/>
      <c r="P261" s="65" t="n"/>
      <c r="Q261" s="32">
        <f>IF($C261="","",IF($J261="","— חסרים נתונים",IF($J261="טרם מפענח","פרופיל 5",IF($J261="קמץ/פתח/חטף-פתח ושוואים","פרופיל 4",IF($J261="2-3 סימני ניקוד","פרופיל 3",IF($J261="4-5 סימני ניקוד","פרופיל 2",IF(AND($O261="משפטים וקטעים קצרים",OR($M261="מבין",$M261="מבין לרוב")),"פרופיל 1","פרופיל 2")))))))</f>
        <v/>
      </c>
      <c r="R261" s="32">
        <f>IF($C261="","",IF(OR($Q261="",LEFT($Q261,1)="—"),"קבוצה רביעית",IF($Q261="פרופיל 5","קבוצת תשתיות",IF(OR($Q261="פרופיל 4",$Q261="פרופיל 3"),"קבוצת רכישה","קבוצת ביסוס"))))</f>
        <v/>
      </c>
      <c r="S261" s="32">
        <f>IF($F261="","",IF($F261="תחילת שנה",1,IF($F261="מחצית שנה",2,3)))</f>
        <v/>
      </c>
      <c r="T261" s="32">
        <f>IF(OR($B261="",$R261="",$A261="",$F261=""),"",$B261&amp;"|"&amp;$A261&amp;"|"&amp;$F261&amp;"|"&amp;$R261&amp;"|"&amp;COUNTIFS($B$6:$B261,$B261,$A$6:$A261,$A261,$F$6:$F261,$F261,$R$6:$R261,$R261))</f>
        <v/>
      </c>
      <c r="U261" s="32">
        <f>IF($C261="","",$C261&amp;"|"&amp;COUNTIFS($C$6:$C261,$C261))</f>
        <v/>
      </c>
      <c r="V261" s="32">
        <f>IF(OR($C261="",$A261="",$S261=""),"",$C261&amp;"|"&amp;$A261&amp;"|"&amp;$S261)</f>
        <v/>
      </c>
      <c r="W261" s="32">
        <f>IF(OR($C261="",$S261="",$S261=1),"",IFERROR(INDEX($Q$6:$Q$1505,MATCH($C261&amp;"|"&amp;$A261&amp;"|"&amp;($S261-1),$V$6:$V$1505,0)),""))</f>
        <v/>
      </c>
      <c r="X261" s="32">
        <f>IF(OR($W261="",$Q261="",LEFT($Q261,1)="—"),"",IF($W261=$Q261,"ללא שינוי","מ-"&amp;$W261&amp;" ל-"&amp;$Q261))</f>
        <v/>
      </c>
    </row>
    <row r="262" ht="15.75" customHeight="1" s="58">
      <c r="A262" s="65" t="n"/>
      <c r="B262" s="65" t="n"/>
      <c r="C262" s="66" t="n"/>
      <c r="D262" s="66" t="n"/>
      <c r="E262" s="65" t="n"/>
      <c r="F262" s="65" t="n"/>
      <c r="G262" s="65" t="n"/>
      <c r="H262" s="65" t="n"/>
      <c r="I262" s="65" t="n"/>
      <c r="J262" s="65" t="n"/>
      <c r="K262" s="65" t="n"/>
      <c r="L262" s="65" t="n"/>
      <c r="M262" s="65" t="n"/>
      <c r="N262" s="65" t="n"/>
      <c r="O262" s="65" t="n"/>
      <c r="P262" s="65" t="n"/>
      <c r="Q262" s="32">
        <f>IF($C262="","",IF($J262="","— חסרים נתונים",IF($J262="טרם מפענח","פרופיל 5",IF($J262="קמץ/פתח/חטף-פתח ושוואים","פרופיל 4",IF($J262="2-3 סימני ניקוד","פרופיל 3",IF($J262="4-5 סימני ניקוד","פרופיל 2",IF(AND($O262="משפטים וקטעים קצרים",OR($M262="מבין",$M262="מבין לרוב")),"פרופיל 1","פרופיל 2")))))))</f>
        <v/>
      </c>
      <c r="R262" s="32">
        <f>IF($C262="","",IF(OR($Q262="",LEFT($Q262,1)="—"),"קבוצה רביעית",IF($Q262="פרופיל 5","קבוצת תשתיות",IF(OR($Q262="פרופיל 4",$Q262="פרופיל 3"),"קבוצת רכישה","קבוצת ביסוס"))))</f>
        <v/>
      </c>
      <c r="S262" s="32">
        <f>IF($F262="","",IF($F262="תחילת שנה",1,IF($F262="מחצית שנה",2,3)))</f>
        <v/>
      </c>
      <c r="T262" s="32">
        <f>IF(OR($B262="",$R262="",$A262="",$F262=""),"",$B262&amp;"|"&amp;$A262&amp;"|"&amp;$F262&amp;"|"&amp;$R262&amp;"|"&amp;COUNTIFS($B$6:$B262,$B262,$A$6:$A262,$A262,$F$6:$F262,$F262,$R$6:$R262,$R262))</f>
        <v/>
      </c>
      <c r="U262" s="32">
        <f>IF($C262="","",$C262&amp;"|"&amp;COUNTIFS($C$6:$C262,$C262))</f>
        <v/>
      </c>
      <c r="V262" s="32">
        <f>IF(OR($C262="",$A262="",$S262=""),"",$C262&amp;"|"&amp;$A262&amp;"|"&amp;$S262)</f>
        <v/>
      </c>
      <c r="W262" s="32">
        <f>IF(OR($C262="",$S262="",$S262=1),"",IFERROR(INDEX($Q$6:$Q$1505,MATCH($C262&amp;"|"&amp;$A262&amp;"|"&amp;($S262-1),$V$6:$V$1505,0)),""))</f>
        <v/>
      </c>
      <c r="X262" s="32">
        <f>IF(OR($W262="",$Q262="",LEFT($Q262,1)="—"),"",IF($W262=$Q262,"ללא שינוי","מ-"&amp;$W262&amp;" ל-"&amp;$Q262))</f>
        <v/>
      </c>
    </row>
    <row r="263" ht="15.75" customHeight="1" s="58">
      <c r="A263" s="65" t="n"/>
      <c r="B263" s="65" t="n"/>
      <c r="C263" s="66" t="n"/>
      <c r="D263" s="66" t="n"/>
      <c r="E263" s="65" t="n"/>
      <c r="F263" s="65" t="n"/>
      <c r="G263" s="65" t="n"/>
      <c r="H263" s="65" t="n"/>
      <c r="I263" s="65" t="n"/>
      <c r="J263" s="65" t="n"/>
      <c r="K263" s="65" t="n"/>
      <c r="L263" s="65" t="n"/>
      <c r="M263" s="65" t="n"/>
      <c r="N263" s="65" t="n"/>
      <c r="O263" s="65" t="n"/>
      <c r="P263" s="65" t="n"/>
      <c r="Q263" s="32">
        <f>IF($C263="","",IF($J263="","— חסרים נתונים",IF($J263="טרם מפענח","פרופיל 5",IF($J263="קמץ/פתח/חטף-פתח ושוואים","פרופיל 4",IF($J263="2-3 סימני ניקוד","פרופיל 3",IF($J263="4-5 סימני ניקוד","פרופיל 2",IF(AND($O263="משפטים וקטעים קצרים",OR($M263="מבין",$M263="מבין לרוב")),"פרופיל 1","פרופיל 2")))))))</f>
        <v/>
      </c>
      <c r="R263" s="32">
        <f>IF($C263="","",IF(OR($Q263="",LEFT($Q263,1)="—"),"קבוצה רביעית",IF($Q263="פרופיל 5","קבוצת תשתיות",IF(OR($Q263="פרופיל 4",$Q263="פרופיל 3"),"קבוצת רכישה","קבוצת ביסוס"))))</f>
        <v/>
      </c>
      <c r="S263" s="32">
        <f>IF($F263="","",IF($F263="תחילת שנה",1,IF($F263="מחצית שנה",2,3)))</f>
        <v/>
      </c>
      <c r="T263" s="32">
        <f>IF(OR($B263="",$R263="",$A263="",$F263=""),"",$B263&amp;"|"&amp;$A263&amp;"|"&amp;$F263&amp;"|"&amp;$R263&amp;"|"&amp;COUNTIFS($B$6:$B263,$B263,$A$6:$A263,$A263,$F$6:$F263,$F263,$R$6:$R263,$R263))</f>
        <v/>
      </c>
      <c r="U263" s="32">
        <f>IF($C263="","",$C263&amp;"|"&amp;COUNTIFS($C$6:$C263,$C263))</f>
        <v/>
      </c>
      <c r="V263" s="32">
        <f>IF(OR($C263="",$A263="",$S263=""),"",$C263&amp;"|"&amp;$A263&amp;"|"&amp;$S263)</f>
        <v/>
      </c>
      <c r="W263" s="32">
        <f>IF(OR($C263="",$S263="",$S263=1),"",IFERROR(INDEX($Q$6:$Q$1505,MATCH($C263&amp;"|"&amp;$A263&amp;"|"&amp;($S263-1),$V$6:$V$1505,0)),""))</f>
        <v/>
      </c>
      <c r="X263" s="32">
        <f>IF(OR($W263="",$Q263="",LEFT($Q263,1)="—"),"",IF($W263=$Q263,"ללא שינוי","מ-"&amp;$W263&amp;" ל-"&amp;$Q263))</f>
        <v/>
      </c>
    </row>
    <row r="264" ht="15.75" customHeight="1" s="58">
      <c r="A264" s="65" t="n"/>
      <c r="B264" s="65" t="n"/>
      <c r="C264" s="66" t="n"/>
      <c r="D264" s="66" t="n"/>
      <c r="E264" s="65" t="n"/>
      <c r="F264" s="65" t="n"/>
      <c r="G264" s="65" t="n"/>
      <c r="H264" s="65" t="n"/>
      <c r="I264" s="65" t="n"/>
      <c r="J264" s="65" t="n"/>
      <c r="K264" s="65" t="n"/>
      <c r="L264" s="65" t="n"/>
      <c r="M264" s="65" t="n"/>
      <c r="N264" s="65" t="n"/>
      <c r="O264" s="65" t="n"/>
      <c r="P264" s="65" t="n"/>
      <c r="Q264" s="32">
        <f>IF($C264="","",IF($J264="","— חסרים נתונים",IF($J264="טרם מפענח","פרופיל 5",IF($J264="קמץ/פתח/חטף-פתח ושוואים","פרופיל 4",IF($J264="2-3 סימני ניקוד","פרופיל 3",IF($J264="4-5 סימני ניקוד","פרופיל 2",IF(AND($O264="משפטים וקטעים קצרים",OR($M264="מבין",$M264="מבין לרוב")),"פרופיל 1","פרופיל 2")))))))</f>
        <v/>
      </c>
      <c r="R264" s="32">
        <f>IF($C264="","",IF(OR($Q264="",LEFT($Q264,1)="—"),"קבוצה רביעית",IF($Q264="פרופיל 5","קבוצת תשתיות",IF(OR($Q264="פרופיל 4",$Q264="פרופיל 3"),"קבוצת רכישה","קבוצת ביסוס"))))</f>
        <v/>
      </c>
      <c r="S264" s="32">
        <f>IF($F264="","",IF($F264="תחילת שנה",1,IF($F264="מחצית שנה",2,3)))</f>
        <v/>
      </c>
      <c r="T264" s="32">
        <f>IF(OR($B264="",$R264="",$A264="",$F264=""),"",$B264&amp;"|"&amp;$A264&amp;"|"&amp;$F264&amp;"|"&amp;$R264&amp;"|"&amp;COUNTIFS($B$6:$B264,$B264,$A$6:$A264,$A264,$F$6:$F264,$F264,$R$6:$R264,$R264))</f>
        <v/>
      </c>
      <c r="U264" s="32">
        <f>IF($C264="","",$C264&amp;"|"&amp;COUNTIFS($C$6:$C264,$C264))</f>
        <v/>
      </c>
      <c r="V264" s="32">
        <f>IF(OR($C264="",$A264="",$S264=""),"",$C264&amp;"|"&amp;$A264&amp;"|"&amp;$S264)</f>
        <v/>
      </c>
      <c r="W264" s="32">
        <f>IF(OR($C264="",$S264="",$S264=1),"",IFERROR(INDEX($Q$6:$Q$1505,MATCH($C264&amp;"|"&amp;$A264&amp;"|"&amp;($S264-1),$V$6:$V$1505,0)),""))</f>
        <v/>
      </c>
      <c r="X264" s="32">
        <f>IF(OR($W264="",$Q264="",LEFT($Q264,1)="—"),"",IF($W264=$Q264,"ללא שינוי","מ-"&amp;$W264&amp;" ל-"&amp;$Q264))</f>
        <v/>
      </c>
    </row>
    <row r="265" ht="15.75" customHeight="1" s="58">
      <c r="A265" s="65" t="n"/>
      <c r="B265" s="65" t="n"/>
      <c r="C265" s="66" t="n"/>
      <c r="D265" s="66" t="n"/>
      <c r="E265" s="65" t="n"/>
      <c r="F265" s="65" t="n"/>
      <c r="G265" s="65" t="n"/>
      <c r="H265" s="65" t="n"/>
      <c r="I265" s="65" t="n"/>
      <c r="J265" s="65" t="n"/>
      <c r="K265" s="65" t="n"/>
      <c r="L265" s="65" t="n"/>
      <c r="M265" s="65" t="n"/>
      <c r="N265" s="65" t="n"/>
      <c r="O265" s="65" t="n"/>
      <c r="P265" s="65" t="n"/>
      <c r="Q265" s="32">
        <f>IF($C265="","",IF($J265="","— חסרים נתונים",IF($J265="טרם מפענח","פרופיל 5",IF($J265="קמץ/פתח/חטף-פתח ושוואים","פרופיל 4",IF($J265="2-3 סימני ניקוד","פרופיל 3",IF($J265="4-5 סימני ניקוד","פרופיל 2",IF(AND($O265="משפטים וקטעים קצרים",OR($M265="מבין",$M265="מבין לרוב")),"פרופיל 1","פרופיל 2")))))))</f>
        <v/>
      </c>
      <c r="R265" s="32">
        <f>IF($C265="","",IF(OR($Q265="",LEFT($Q265,1)="—"),"קבוצה רביעית",IF($Q265="פרופיל 5","קבוצת תשתיות",IF(OR($Q265="פרופיל 4",$Q265="פרופיל 3"),"קבוצת רכישה","קבוצת ביסוס"))))</f>
        <v/>
      </c>
      <c r="S265" s="32">
        <f>IF($F265="","",IF($F265="תחילת שנה",1,IF($F265="מחצית שנה",2,3)))</f>
        <v/>
      </c>
      <c r="T265" s="32">
        <f>IF(OR($B265="",$R265="",$A265="",$F265=""),"",$B265&amp;"|"&amp;$A265&amp;"|"&amp;$F265&amp;"|"&amp;$R265&amp;"|"&amp;COUNTIFS($B$6:$B265,$B265,$A$6:$A265,$A265,$F$6:$F265,$F265,$R$6:$R265,$R265))</f>
        <v/>
      </c>
      <c r="U265" s="32">
        <f>IF($C265="","",$C265&amp;"|"&amp;COUNTIFS($C$6:$C265,$C265))</f>
        <v/>
      </c>
      <c r="V265" s="32">
        <f>IF(OR($C265="",$A265="",$S265=""),"",$C265&amp;"|"&amp;$A265&amp;"|"&amp;$S265)</f>
        <v/>
      </c>
      <c r="W265" s="32">
        <f>IF(OR($C265="",$S265="",$S265=1),"",IFERROR(INDEX($Q$6:$Q$1505,MATCH($C265&amp;"|"&amp;$A265&amp;"|"&amp;($S265-1),$V$6:$V$1505,0)),""))</f>
        <v/>
      </c>
      <c r="X265" s="32">
        <f>IF(OR($W265="",$Q265="",LEFT($Q265,1)="—"),"",IF($W265=$Q265,"ללא שינוי","מ-"&amp;$W265&amp;" ל-"&amp;$Q265))</f>
        <v/>
      </c>
    </row>
    <row r="266" ht="15.75" customHeight="1" s="58">
      <c r="A266" s="65" t="n"/>
      <c r="B266" s="65" t="n"/>
      <c r="C266" s="66" t="n"/>
      <c r="D266" s="66" t="n"/>
      <c r="E266" s="65" t="n"/>
      <c r="F266" s="65" t="n"/>
      <c r="G266" s="65" t="n"/>
      <c r="H266" s="65" t="n"/>
      <c r="I266" s="65" t="n"/>
      <c r="J266" s="65" t="n"/>
      <c r="K266" s="65" t="n"/>
      <c r="L266" s="65" t="n"/>
      <c r="M266" s="65" t="n"/>
      <c r="N266" s="65" t="n"/>
      <c r="O266" s="65" t="n"/>
      <c r="P266" s="65" t="n"/>
      <c r="Q266" s="32">
        <f>IF($C266="","",IF($J266="","— חסרים נתונים",IF($J266="טרם מפענח","פרופיל 5",IF($J266="קמץ/פתח/חטף-פתח ושוואים","פרופיל 4",IF($J266="2-3 סימני ניקוד","פרופיל 3",IF($J266="4-5 סימני ניקוד","פרופיל 2",IF(AND($O266="משפטים וקטעים קצרים",OR($M266="מבין",$M266="מבין לרוב")),"פרופיל 1","פרופיל 2")))))))</f>
        <v/>
      </c>
      <c r="R266" s="32">
        <f>IF($C266="","",IF(OR($Q266="",LEFT($Q266,1)="—"),"קבוצה רביעית",IF($Q266="פרופיל 5","קבוצת תשתיות",IF(OR($Q266="פרופיל 4",$Q266="פרופיל 3"),"קבוצת רכישה","קבוצת ביסוס"))))</f>
        <v/>
      </c>
      <c r="S266" s="32">
        <f>IF($F266="","",IF($F266="תחילת שנה",1,IF($F266="מחצית שנה",2,3)))</f>
        <v/>
      </c>
      <c r="T266" s="32">
        <f>IF(OR($B266="",$R266="",$A266="",$F266=""),"",$B266&amp;"|"&amp;$A266&amp;"|"&amp;$F266&amp;"|"&amp;$R266&amp;"|"&amp;COUNTIFS($B$6:$B266,$B266,$A$6:$A266,$A266,$F$6:$F266,$F266,$R$6:$R266,$R266))</f>
        <v/>
      </c>
      <c r="U266" s="32">
        <f>IF($C266="","",$C266&amp;"|"&amp;COUNTIFS($C$6:$C266,$C266))</f>
        <v/>
      </c>
      <c r="V266" s="32">
        <f>IF(OR($C266="",$A266="",$S266=""),"",$C266&amp;"|"&amp;$A266&amp;"|"&amp;$S266)</f>
        <v/>
      </c>
      <c r="W266" s="32">
        <f>IF(OR($C266="",$S266="",$S266=1),"",IFERROR(INDEX($Q$6:$Q$1505,MATCH($C266&amp;"|"&amp;$A266&amp;"|"&amp;($S266-1),$V$6:$V$1505,0)),""))</f>
        <v/>
      </c>
      <c r="X266" s="32">
        <f>IF(OR($W266="",$Q266="",LEFT($Q266,1)="—"),"",IF($W266=$Q266,"ללא שינוי","מ-"&amp;$W266&amp;" ל-"&amp;$Q266))</f>
        <v/>
      </c>
    </row>
    <row r="267" ht="15.75" customHeight="1" s="58">
      <c r="A267" s="65" t="n"/>
      <c r="B267" s="65" t="n"/>
      <c r="C267" s="66" t="n"/>
      <c r="D267" s="66" t="n"/>
      <c r="E267" s="65" t="n"/>
      <c r="F267" s="65" t="n"/>
      <c r="G267" s="65" t="n"/>
      <c r="H267" s="65" t="n"/>
      <c r="I267" s="65" t="n"/>
      <c r="J267" s="65" t="n"/>
      <c r="K267" s="65" t="n"/>
      <c r="L267" s="65" t="n"/>
      <c r="M267" s="65" t="n"/>
      <c r="N267" s="65" t="n"/>
      <c r="O267" s="65" t="n"/>
      <c r="P267" s="65" t="n"/>
      <c r="Q267" s="32">
        <f>IF($C267="","",IF($J267="","— חסרים נתונים",IF($J267="טרם מפענח","פרופיל 5",IF($J267="קמץ/פתח/חטף-פתח ושוואים","פרופיל 4",IF($J267="2-3 סימני ניקוד","פרופיל 3",IF($J267="4-5 סימני ניקוד","פרופיל 2",IF(AND($O267="משפטים וקטעים קצרים",OR($M267="מבין",$M267="מבין לרוב")),"פרופיל 1","פרופיל 2")))))))</f>
        <v/>
      </c>
      <c r="R267" s="32">
        <f>IF($C267="","",IF(OR($Q267="",LEFT($Q267,1)="—"),"קבוצה רביעית",IF($Q267="פרופיל 5","קבוצת תשתיות",IF(OR($Q267="פרופיל 4",$Q267="פרופיל 3"),"קבוצת רכישה","קבוצת ביסוס"))))</f>
        <v/>
      </c>
      <c r="S267" s="32">
        <f>IF($F267="","",IF($F267="תחילת שנה",1,IF($F267="מחצית שנה",2,3)))</f>
        <v/>
      </c>
      <c r="T267" s="32">
        <f>IF(OR($B267="",$R267="",$A267="",$F267=""),"",$B267&amp;"|"&amp;$A267&amp;"|"&amp;$F267&amp;"|"&amp;$R267&amp;"|"&amp;COUNTIFS($B$6:$B267,$B267,$A$6:$A267,$A267,$F$6:$F267,$F267,$R$6:$R267,$R267))</f>
        <v/>
      </c>
      <c r="U267" s="32">
        <f>IF($C267="","",$C267&amp;"|"&amp;COUNTIFS($C$6:$C267,$C267))</f>
        <v/>
      </c>
      <c r="V267" s="32">
        <f>IF(OR($C267="",$A267="",$S267=""),"",$C267&amp;"|"&amp;$A267&amp;"|"&amp;$S267)</f>
        <v/>
      </c>
      <c r="W267" s="32">
        <f>IF(OR($C267="",$S267="",$S267=1),"",IFERROR(INDEX($Q$6:$Q$1505,MATCH($C267&amp;"|"&amp;$A267&amp;"|"&amp;($S267-1),$V$6:$V$1505,0)),""))</f>
        <v/>
      </c>
      <c r="X267" s="32">
        <f>IF(OR($W267="",$Q267="",LEFT($Q267,1)="—"),"",IF($W267=$Q267,"ללא שינוי","מ-"&amp;$W267&amp;" ל-"&amp;$Q267))</f>
        <v/>
      </c>
    </row>
    <row r="268" ht="15.75" customHeight="1" s="58">
      <c r="A268" s="65" t="n"/>
      <c r="B268" s="65" t="n"/>
      <c r="C268" s="66" t="n"/>
      <c r="D268" s="66" t="n"/>
      <c r="E268" s="65" t="n"/>
      <c r="F268" s="65" t="n"/>
      <c r="G268" s="65" t="n"/>
      <c r="H268" s="65" t="n"/>
      <c r="I268" s="65" t="n"/>
      <c r="J268" s="65" t="n"/>
      <c r="K268" s="65" t="n"/>
      <c r="L268" s="65" t="n"/>
      <c r="M268" s="65" t="n"/>
      <c r="N268" s="65" t="n"/>
      <c r="O268" s="65" t="n"/>
      <c r="P268" s="65" t="n"/>
      <c r="Q268" s="32">
        <f>IF($C268="","",IF($J268="","— חסרים נתונים",IF($J268="טרם מפענח","פרופיל 5",IF($J268="קמץ/פתח/חטף-פתח ושוואים","פרופיל 4",IF($J268="2-3 סימני ניקוד","פרופיל 3",IF($J268="4-5 סימני ניקוד","פרופיל 2",IF(AND($O268="משפטים וקטעים קצרים",OR($M268="מבין",$M268="מבין לרוב")),"פרופיל 1","פרופיל 2")))))))</f>
        <v/>
      </c>
      <c r="R268" s="32">
        <f>IF($C268="","",IF(OR($Q268="",LEFT($Q268,1)="—"),"קבוצה רביעית",IF($Q268="פרופיל 5","קבוצת תשתיות",IF(OR($Q268="פרופיל 4",$Q268="פרופיל 3"),"קבוצת רכישה","קבוצת ביסוס"))))</f>
        <v/>
      </c>
      <c r="S268" s="32">
        <f>IF($F268="","",IF($F268="תחילת שנה",1,IF($F268="מחצית שנה",2,3)))</f>
        <v/>
      </c>
      <c r="T268" s="32">
        <f>IF(OR($B268="",$R268="",$A268="",$F268=""),"",$B268&amp;"|"&amp;$A268&amp;"|"&amp;$F268&amp;"|"&amp;$R268&amp;"|"&amp;COUNTIFS($B$6:$B268,$B268,$A$6:$A268,$A268,$F$6:$F268,$F268,$R$6:$R268,$R268))</f>
        <v/>
      </c>
      <c r="U268" s="32">
        <f>IF($C268="","",$C268&amp;"|"&amp;COUNTIFS($C$6:$C268,$C268))</f>
        <v/>
      </c>
      <c r="V268" s="32">
        <f>IF(OR($C268="",$A268="",$S268=""),"",$C268&amp;"|"&amp;$A268&amp;"|"&amp;$S268)</f>
        <v/>
      </c>
      <c r="W268" s="32">
        <f>IF(OR($C268="",$S268="",$S268=1),"",IFERROR(INDEX($Q$6:$Q$1505,MATCH($C268&amp;"|"&amp;$A268&amp;"|"&amp;($S268-1),$V$6:$V$1505,0)),""))</f>
        <v/>
      </c>
      <c r="X268" s="32">
        <f>IF(OR($W268="",$Q268="",LEFT($Q268,1)="—"),"",IF($W268=$Q268,"ללא שינוי","מ-"&amp;$W268&amp;" ל-"&amp;$Q268))</f>
        <v/>
      </c>
    </row>
    <row r="269" ht="15.75" customHeight="1" s="58">
      <c r="A269" s="65" t="n"/>
      <c r="B269" s="65" t="n"/>
      <c r="C269" s="66" t="n"/>
      <c r="D269" s="66" t="n"/>
      <c r="E269" s="65" t="n"/>
      <c r="F269" s="65" t="n"/>
      <c r="G269" s="65" t="n"/>
      <c r="H269" s="65" t="n"/>
      <c r="I269" s="65" t="n"/>
      <c r="J269" s="65" t="n"/>
      <c r="K269" s="65" t="n"/>
      <c r="L269" s="65" t="n"/>
      <c r="M269" s="65" t="n"/>
      <c r="N269" s="65" t="n"/>
      <c r="O269" s="65" t="n"/>
      <c r="P269" s="65" t="n"/>
      <c r="Q269" s="32">
        <f>IF($C269="","",IF($J269="","— חסרים נתונים",IF($J269="טרם מפענח","פרופיל 5",IF($J269="קמץ/פתח/חטף-פתח ושוואים","פרופיל 4",IF($J269="2-3 סימני ניקוד","פרופיל 3",IF($J269="4-5 סימני ניקוד","פרופיל 2",IF(AND($O269="משפטים וקטעים קצרים",OR($M269="מבין",$M269="מבין לרוב")),"פרופיל 1","פרופיל 2")))))))</f>
        <v/>
      </c>
      <c r="R269" s="32">
        <f>IF($C269="","",IF(OR($Q269="",LEFT($Q269,1)="—"),"קבוצה רביעית",IF($Q269="פרופיל 5","קבוצת תשתיות",IF(OR($Q269="פרופיל 4",$Q269="פרופיל 3"),"קבוצת רכישה","קבוצת ביסוס"))))</f>
        <v/>
      </c>
      <c r="S269" s="32">
        <f>IF($F269="","",IF($F269="תחילת שנה",1,IF($F269="מחצית שנה",2,3)))</f>
        <v/>
      </c>
      <c r="T269" s="32">
        <f>IF(OR($B269="",$R269="",$A269="",$F269=""),"",$B269&amp;"|"&amp;$A269&amp;"|"&amp;$F269&amp;"|"&amp;$R269&amp;"|"&amp;COUNTIFS($B$6:$B269,$B269,$A$6:$A269,$A269,$F$6:$F269,$F269,$R$6:$R269,$R269))</f>
        <v/>
      </c>
      <c r="U269" s="32">
        <f>IF($C269="","",$C269&amp;"|"&amp;COUNTIFS($C$6:$C269,$C269))</f>
        <v/>
      </c>
      <c r="V269" s="32">
        <f>IF(OR($C269="",$A269="",$S269=""),"",$C269&amp;"|"&amp;$A269&amp;"|"&amp;$S269)</f>
        <v/>
      </c>
      <c r="W269" s="32">
        <f>IF(OR($C269="",$S269="",$S269=1),"",IFERROR(INDEX($Q$6:$Q$1505,MATCH($C269&amp;"|"&amp;$A269&amp;"|"&amp;($S269-1),$V$6:$V$1505,0)),""))</f>
        <v/>
      </c>
      <c r="X269" s="32">
        <f>IF(OR($W269="",$Q269="",LEFT($Q269,1)="—"),"",IF($W269=$Q269,"ללא שינוי","מ-"&amp;$W269&amp;" ל-"&amp;$Q269))</f>
        <v/>
      </c>
    </row>
    <row r="270" ht="15.75" customHeight="1" s="58">
      <c r="A270" s="65" t="n"/>
      <c r="B270" s="65" t="n"/>
      <c r="C270" s="66" t="n"/>
      <c r="D270" s="66" t="n"/>
      <c r="E270" s="65" t="n"/>
      <c r="F270" s="65" t="n"/>
      <c r="G270" s="65" t="n"/>
      <c r="H270" s="65" t="n"/>
      <c r="I270" s="65" t="n"/>
      <c r="J270" s="65" t="n"/>
      <c r="K270" s="65" t="n"/>
      <c r="L270" s="65" t="n"/>
      <c r="M270" s="65" t="n"/>
      <c r="N270" s="65" t="n"/>
      <c r="O270" s="65" t="n"/>
      <c r="P270" s="65" t="n"/>
      <c r="Q270" s="32">
        <f>IF($C270="","",IF($J270="","— חסרים נתונים",IF($J270="טרם מפענח","פרופיל 5",IF($J270="קמץ/פתח/חטף-פתח ושוואים","פרופיל 4",IF($J270="2-3 סימני ניקוד","פרופיל 3",IF($J270="4-5 סימני ניקוד","פרופיל 2",IF(AND($O270="משפטים וקטעים קצרים",OR($M270="מבין",$M270="מבין לרוב")),"פרופיל 1","פרופיל 2")))))))</f>
        <v/>
      </c>
      <c r="R270" s="32">
        <f>IF($C270="","",IF(OR($Q270="",LEFT($Q270,1)="—"),"קבוצה רביעית",IF($Q270="פרופיל 5","קבוצת תשתיות",IF(OR($Q270="פרופיל 4",$Q270="פרופיל 3"),"קבוצת רכישה","קבוצת ביסוס"))))</f>
        <v/>
      </c>
      <c r="S270" s="32">
        <f>IF($F270="","",IF($F270="תחילת שנה",1,IF($F270="מחצית שנה",2,3)))</f>
        <v/>
      </c>
      <c r="T270" s="32">
        <f>IF(OR($B270="",$R270="",$A270="",$F270=""),"",$B270&amp;"|"&amp;$A270&amp;"|"&amp;$F270&amp;"|"&amp;$R270&amp;"|"&amp;COUNTIFS($B$6:$B270,$B270,$A$6:$A270,$A270,$F$6:$F270,$F270,$R$6:$R270,$R270))</f>
        <v/>
      </c>
      <c r="U270" s="32">
        <f>IF($C270="","",$C270&amp;"|"&amp;COUNTIFS($C$6:$C270,$C270))</f>
        <v/>
      </c>
      <c r="V270" s="32">
        <f>IF(OR($C270="",$A270="",$S270=""),"",$C270&amp;"|"&amp;$A270&amp;"|"&amp;$S270)</f>
        <v/>
      </c>
      <c r="W270" s="32">
        <f>IF(OR($C270="",$S270="",$S270=1),"",IFERROR(INDEX($Q$6:$Q$1505,MATCH($C270&amp;"|"&amp;$A270&amp;"|"&amp;($S270-1),$V$6:$V$1505,0)),""))</f>
        <v/>
      </c>
      <c r="X270" s="32">
        <f>IF(OR($W270="",$Q270="",LEFT($Q270,1)="—"),"",IF($W270=$Q270,"ללא שינוי","מ-"&amp;$W270&amp;" ל-"&amp;$Q270))</f>
        <v/>
      </c>
    </row>
    <row r="271" ht="15.75" customHeight="1" s="58">
      <c r="A271" s="65" t="n"/>
      <c r="B271" s="65" t="n"/>
      <c r="C271" s="66" t="n"/>
      <c r="D271" s="66" t="n"/>
      <c r="E271" s="65" t="n"/>
      <c r="F271" s="65" t="n"/>
      <c r="G271" s="65" t="n"/>
      <c r="H271" s="65" t="n"/>
      <c r="I271" s="65" t="n"/>
      <c r="J271" s="65" t="n"/>
      <c r="K271" s="65" t="n"/>
      <c r="L271" s="65" t="n"/>
      <c r="M271" s="65" t="n"/>
      <c r="N271" s="65" t="n"/>
      <c r="O271" s="65" t="n"/>
      <c r="P271" s="65" t="n"/>
      <c r="Q271" s="32">
        <f>IF($C271="","",IF($J271="","— חסרים נתונים",IF($J271="טרם מפענח","פרופיל 5",IF($J271="קמץ/פתח/חטף-פתח ושוואים","פרופיל 4",IF($J271="2-3 סימני ניקוד","פרופיל 3",IF($J271="4-5 סימני ניקוד","פרופיל 2",IF(AND($O271="משפטים וקטעים קצרים",OR($M271="מבין",$M271="מבין לרוב")),"פרופיל 1","פרופיל 2")))))))</f>
        <v/>
      </c>
      <c r="R271" s="32">
        <f>IF($C271="","",IF(OR($Q271="",LEFT($Q271,1)="—"),"קבוצה רביעית",IF($Q271="פרופיל 5","קבוצת תשתיות",IF(OR($Q271="פרופיל 4",$Q271="פרופיל 3"),"קבוצת רכישה","קבוצת ביסוס"))))</f>
        <v/>
      </c>
      <c r="S271" s="32">
        <f>IF($F271="","",IF($F271="תחילת שנה",1,IF($F271="מחצית שנה",2,3)))</f>
        <v/>
      </c>
      <c r="T271" s="32">
        <f>IF(OR($B271="",$R271="",$A271="",$F271=""),"",$B271&amp;"|"&amp;$A271&amp;"|"&amp;$F271&amp;"|"&amp;$R271&amp;"|"&amp;COUNTIFS($B$6:$B271,$B271,$A$6:$A271,$A271,$F$6:$F271,$F271,$R$6:$R271,$R271))</f>
        <v/>
      </c>
      <c r="U271" s="32">
        <f>IF($C271="","",$C271&amp;"|"&amp;COUNTIFS($C$6:$C271,$C271))</f>
        <v/>
      </c>
      <c r="V271" s="32">
        <f>IF(OR($C271="",$A271="",$S271=""),"",$C271&amp;"|"&amp;$A271&amp;"|"&amp;$S271)</f>
        <v/>
      </c>
      <c r="W271" s="32">
        <f>IF(OR($C271="",$S271="",$S271=1),"",IFERROR(INDEX($Q$6:$Q$1505,MATCH($C271&amp;"|"&amp;$A271&amp;"|"&amp;($S271-1),$V$6:$V$1505,0)),""))</f>
        <v/>
      </c>
      <c r="X271" s="32">
        <f>IF(OR($W271="",$Q271="",LEFT($Q271,1)="—"),"",IF($W271=$Q271,"ללא שינוי","מ-"&amp;$W271&amp;" ל-"&amp;$Q271))</f>
        <v/>
      </c>
    </row>
    <row r="272" ht="15.75" customHeight="1" s="58">
      <c r="A272" s="65" t="n"/>
      <c r="B272" s="65" t="n"/>
      <c r="C272" s="66" t="n"/>
      <c r="D272" s="66" t="n"/>
      <c r="E272" s="65" t="n"/>
      <c r="F272" s="65" t="n"/>
      <c r="G272" s="65" t="n"/>
      <c r="H272" s="65" t="n"/>
      <c r="I272" s="65" t="n"/>
      <c r="J272" s="65" t="n"/>
      <c r="K272" s="65" t="n"/>
      <c r="L272" s="65" t="n"/>
      <c r="M272" s="65" t="n"/>
      <c r="N272" s="65" t="n"/>
      <c r="O272" s="65" t="n"/>
      <c r="P272" s="65" t="n"/>
      <c r="Q272" s="32">
        <f>IF($C272="","",IF($J272="","— חסרים נתונים",IF($J272="טרם מפענח","פרופיל 5",IF($J272="קמץ/פתח/חטף-פתח ושוואים","פרופיל 4",IF($J272="2-3 סימני ניקוד","פרופיל 3",IF($J272="4-5 סימני ניקוד","פרופיל 2",IF(AND($O272="משפטים וקטעים קצרים",OR($M272="מבין",$M272="מבין לרוב")),"פרופיל 1","פרופיל 2")))))))</f>
        <v/>
      </c>
      <c r="R272" s="32">
        <f>IF($C272="","",IF(OR($Q272="",LEFT($Q272,1)="—"),"קבוצה רביעית",IF($Q272="פרופיל 5","קבוצת תשתיות",IF(OR($Q272="פרופיל 4",$Q272="פרופיל 3"),"קבוצת רכישה","קבוצת ביסוס"))))</f>
        <v/>
      </c>
      <c r="S272" s="32">
        <f>IF($F272="","",IF($F272="תחילת שנה",1,IF($F272="מחצית שנה",2,3)))</f>
        <v/>
      </c>
      <c r="T272" s="32">
        <f>IF(OR($B272="",$R272="",$A272="",$F272=""),"",$B272&amp;"|"&amp;$A272&amp;"|"&amp;$F272&amp;"|"&amp;$R272&amp;"|"&amp;COUNTIFS($B$6:$B272,$B272,$A$6:$A272,$A272,$F$6:$F272,$F272,$R$6:$R272,$R272))</f>
        <v/>
      </c>
      <c r="U272" s="32">
        <f>IF($C272="","",$C272&amp;"|"&amp;COUNTIFS($C$6:$C272,$C272))</f>
        <v/>
      </c>
      <c r="V272" s="32">
        <f>IF(OR($C272="",$A272="",$S272=""),"",$C272&amp;"|"&amp;$A272&amp;"|"&amp;$S272)</f>
        <v/>
      </c>
      <c r="W272" s="32">
        <f>IF(OR($C272="",$S272="",$S272=1),"",IFERROR(INDEX($Q$6:$Q$1505,MATCH($C272&amp;"|"&amp;$A272&amp;"|"&amp;($S272-1),$V$6:$V$1505,0)),""))</f>
        <v/>
      </c>
      <c r="X272" s="32">
        <f>IF(OR($W272="",$Q272="",LEFT($Q272,1)="—"),"",IF($W272=$Q272,"ללא שינוי","מ-"&amp;$W272&amp;" ל-"&amp;$Q272))</f>
        <v/>
      </c>
    </row>
    <row r="273" ht="15.75" customHeight="1" s="58">
      <c r="A273" s="65" t="n"/>
      <c r="B273" s="65" t="n"/>
      <c r="C273" s="66" t="n"/>
      <c r="D273" s="66" t="n"/>
      <c r="E273" s="65" t="n"/>
      <c r="F273" s="65" t="n"/>
      <c r="G273" s="65" t="n"/>
      <c r="H273" s="65" t="n"/>
      <c r="I273" s="65" t="n"/>
      <c r="J273" s="65" t="n"/>
      <c r="K273" s="65" t="n"/>
      <c r="L273" s="65" t="n"/>
      <c r="M273" s="65" t="n"/>
      <c r="N273" s="65" t="n"/>
      <c r="O273" s="65" t="n"/>
      <c r="P273" s="65" t="n"/>
      <c r="Q273" s="32">
        <f>IF($C273="","",IF($J273="","— חסרים נתונים",IF($J273="טרם מפענח","פרופיל 5",IF($J273="קמץ/פתח/חטף-פתח ושוואים","פרופיל 4",IF($J273="2-3 סימני ניקוד","פרופיל 3",IF($J273="4-5 סימני ניקוד","פרופיל 2",IF(AND($O273="משפטים וקטעים קצרים",OR($M273="מבין",$M273="מבין לרוב")),"פרופיל 1","פרופיל 2")))))))</f>
        <v/>
      </c>
      <c r="R273" s="32">
        <f>IF($C273="","",IF(OR($Q273="",LEFT($Q273,1)="—"),"קבוצה רביעית",IF($Q273="פרופיל 5","קבוצת תשתיות",IF(OR($Q273="פרופיל 4",$Q273="פרופיל 3"),"קבוצת רכישה","קבוצת ביסוס"))))</f>
        <v/>
      </c>
      <c r="S273" s="32">
        <f>IF($F273="","",IF($F273="תחילת שנה",1,IF($F273="מחצית שנה",2,3)))</f>
        <v/>
      </c>
      <c r="T273" s="32">
        <f>IF(OR($B273="",$R273="",$A273="",$F273=""),"",$B273&amp;"|"&amp;$A273&amp;"|"&amp;$F273&amp;"|"&amp;$R273&amp;"|"&amp;COUNTIFS($B$6:$B273,$B273,$A$6:$A273,$A273,$F$6:$F273,$F273,$R$6:$R273,$R273))</f>
        <v/>
      </c>
      <c r="U273" s="32">
        <f>IF($C273="","",$C273&amp;"|"&amp;COUNTIFS($C$6:$C273,$C273))</f>
        <v/>
      </c>
      <c r="V273" s="32">
        <f>IF(OR($C273="",$A273="",$S273=""),"",$C273&amp;"|"&amp;$A273&amp;"|"&amp;$S273)</f>
        <v/>
      </c>
      <c r="W273" s="32">
        <f>IF(OR($C273="",$S273="",$S273=1),"",IFERROR(INDEX($Q$6:$Q$1505,MATCH($C273&amp;"|"&amp;$A273&amp;"|"&amp;($S273-1),$V$6:$V$1505,0)),""))</f>
        <v/>
      </c>
      <c r="X273" s="32">
        <f>IF(OR($W273="",$Q273="",LEFT($Q273,1)="—"),"",IF($W273=$Q273,"ללא שינוי","מ-"&amp;$W273&amp;" ל-"&amp;$Q273))</f>
        <v/>
      </c>
    </row>
    <row r="274" ht="15.75" customHeight="1" s="58">
      <c r="A274" s="65" t="n"/>
      <c r="B274" s="65" t="n"/>
      <c r="C274" s="66" t="n"/>
      <c r="D274" s="66" t="n"/>
      <c r="E274" s="65" t="n"/>
      <c r="F274" s="65" t="n"/>
      <c r="G274" s="65" t="n"/>
      <c r="H274" s="65" t="n"/>
      <c r="I274" s="65" t="n"/>
      <c r="J274" s="65" t="n"/>
      <c r="K274" s="65" t="n"/>
      <c r="L274" s="65" t="n"/>
      <c r="M274" s="65" t="n"/>
      <c r="N274" s="65" t="n"/>
      <c r="O274" s="65" t="n"/>
      <c r="P274" s="65" t="n"/>
      <c r="Q274" s="32">
        <f>IF($C274="","",IF($J274="","— חסרים נתונים",IF($J274="טרם מפענח","פרופיל 5",IF($J274="קמץ/פתח/חטף-פתח ושוואים","פרופיל 4",IF($J274="2-3 סימני ניקוד","פרופיל 3",IF($J274="4-5 סימני ניקוד","פרופיל 2",IF(AND($O274="משפטים וקטעים קצרים",OR($M274="מבין",$M274="מבין לרוב")),"פרופיל 1","פרופיל 2")))))))</f>
        <v/>
      </c>
      <c r="R274" s="32">
        <f>IF($C274="","",IF(OR($Q274="",LEFT($Q274,1)="—"),"קבוצה רביעית",IF($Q274="פרופיל 5","קבוצת תשתיות",IF(OR($Q274="פרופיל 4",$Q274="פרופיל 3"),"קבוצת רכישה","קבוצת ביסוס"))))</f>
        <v/>
      </c>
      <c r="S274" s="32">
        <f>IF($F274="","",IF($F274="תחילת שנה",1,IF($F274="מחצית שנה",2,3)))</f>
        <v/>
      </c>
      <c r="T274" s="32">
        <f>IF(OR($B274="",$R274="",$A274="",$F274=""),"",$B274&amp;"|"&amp;$A274&amp;"|"&amp;$F274&amp;"|"&amp;$R274&amp;"|"&amp;COUNTIFS($B$6:$B274,$B274,$A$6:$A274,$A274,$F$6:$F274,$F274,$R$6:$R274,$R274))</f>
        <v/>
      </c>
      <c r="U274" s="32">
        <f>IF($C274="","",$C274&amp;"|"&amp;COUNTIFS($C$6:$C274,$C274))</f>
        <v/>
      </c>
      <c r="V274" s="32">
        <f>IF(OR($C274="",$A274="",$S274=""),"",$C274&amp;"|"&amp;$A274&amp;"|"&amp;$S274)</f>
        <v/>
      </c>
      <c r="W274" s="32">
        <f>IF(OR($C274="",$S274="",$S274=1),"",IFERROR(INDEX($Q$6:$Q$1505,MATCH($C274&amp;"|"&amp;$A274&amp;"|"&amp;($S274-1),$V$6:$V$1505,0)),""))</f>
        <v/>
      </c>
      <c r="X274" s="32">
        <f>IF(OR($W274="",$Q274="",LEFT($Q274,1)="—"),"",IF($W274=$Q274,"ללא שינוי","מ-"&amp;$W274&amp;" ל-"&amp;$Q274))</f>
        <v/>
      </c>
    </row>
    <row r="275" ht="15.75" customHeight="1" s="58">
      <c r="A275" s="65" t="n"/>
      <c r="B275" s="65" t="n"/>
      <c r="C275" s="66" t="n"/>
      <c r="D275" s="66" t="n"/>
      <c r="E275" s="65" t="n"/>
      <c r="F275" s="65" t="n"/>
      <c r="G275" s="65" t="n"/>
      <c r="H275" s="65" t="n"/>
      <c r="I275" s="65" t="n"/>
      <c r="J275" s="65" t="n"/>
      <c r="K275" s="65" t="n"/>
      <c r="L275" s="65" t="n"/>
      <c r="M275" s="65" t="n"/>
      <c r="N275" s="65" t="n"/>
      <c r="O275" s="65" t="n"/>
      <c r="P275" s="65" t="n"/>
      <c r="Q275" s="32">
        <f>IF($C275="","",IF($J275="","— חסרים נתונים",IF($J275="טרם מפענח","פרופיל 5",IF($J275="קמץ/פתח/חטף-פתח ושוואים","פרופיל 4",IF($J275="2-3 סימני ניקוד","פרופיל 3",IF($J275="4-5 סימני ניקוד","פרופיל 2",IF(AND($O275="משפטים וקטעים קצרים",OR($M275="מבין",$M275="מבין לרוב")),"פרופיל 1","פרופיל 2")))))))</f>
        <v/>
      </c>
      <c r="R275" s="32">
        <f>IF($C275="","",IF(OR($Q275="",LEFT($Q275,1)="—"),"קבוצה רביעית",IF($Q275="פרופיל 5","קבוצת תשתיות",IF(OR($Q275="פרופיל 4",$Q275="פרופיל 3"),"קבוצת רכישה","קבוצת ביסוס"))))</f>
        <v/>
      </c>
      <c r="S275" s="32">
        <f>IF($F275="","",IF($F275="תחילת שנה",1,IF($F275="מחצית שנה",2,3)))</f>
        <v/>
      </c>
      <c r="T275" s="32">
        <f>IF(OR($B275="",$R275="",$A275="",$F275=""),"",$B275&amp;"|"&amp;$A275&amp;"|"&amp;$F275&amp;"|"&amp;$R275&amp;"|"&amp;COUNTIFS($B$6:$B275,$B275,$A$6:$A275,$A275,$F$6:$F275,$F275,$R$6:$R275,$R275))</f>
        <v/>
      </c>
      <c r="U275" s="32">
        <f>IF($C275="","",$C275&amp;"|"&amp;COUNTIFS($C$6:$C275,$C275))</f>
        <v/>
      </c>
      <c r="V275" s="32">
        <f>IF(OR($C275="",$A275="",$S275=""),"",$C275&amp;"|"&amp;$A275&amp;"|"&amp;$S275)</f>
        <v/>
      </c>
      <c r="W275" s="32">
        <f>IF(OR($C275="",$S275="",$S275=1),"",IFERROR(INDEX($Q$6:$Q$1505,MATCH($C275&amp;"|"&amp;$A275&amp;"|"&amp;($S275-1),$V$6:$V$1505,0)),""))</f>
        <v/>
      </c>
      <c r="X275" s="32">
        <f>IF(OR($W275="",$Q275="",LEFT($Q275,1)="—"),"",IF($W275=$Q275,"ללא שינוי","מ-"&amp;$W275&amp;" ל-"&amp;$Q275))</f>
        <v/>
      </c>
    </row>
    <row r="276" ht="15.75" customHeight="1" s="58">
      <c r="A276" s="65" t="n"/>
      <c r="B276" s="65" t="n"/>
      <c r="C276" s="66" t="n"/>
      <c r="D276" s="66" t="n"/>
      <c r="E276" s="65" t="n"/>
      <c r="F276" s="65" t="n"/>
      <c r="G276" s="65" t="n"/>
      <c r="H276" s="65" t="n"/>
      <c r="I276" s="65" t="n"/>
      <c r="J276" s="65" t="n"/>
      <c r="K276" s="65" t="n"/>
      <c r="L276" s="65" t="n"/>
      <c r="M276" s="65" t="n"/>
      <c r="N276" s="65" t="n"/>
      <c r="O276" s="65" t="n"/>
      <c r="P276" s="65" t="n"/>
      <c r="Q276" s="32">
        <f>IF($C276="","",IF($J276="","— חסרים נתונים",IF($J276="טרם מפענח","פרופיל 5",IF($J276="קמץ/פתח/חטף-פתח ושוואים","פרופיל 4",IF($J276="2-3 סימני ניקוד","פרופיל 3",IF($J276="4-5 סימני ניקוד","פרופיל 2",IF(AND($O276="משפטים וקטעים קצרים",OR($M276="מבין",$M276="מבין לרוב")),"פרופיל 1","פרופיל 2")))))))</f>
        <v/>
      </c>
      <c r="R276" s="32">
        <f>IF($C276="","",IF(OR($Q276="",LEFT($Q276,1)="—"),"קבוצה רביעית",IF($Q276="פרופיל 5","קבוצת תשתיות",IF(OR($Q276="פרופיל 4",$Q276="פרופיל 3"),"קבוצת רכישה","קבוצת ביסוס"))))</f>
        <v/>
      </c>
      <c r="S276" s="32">
        <f>IF($F276="","",IF($F276="תחילת שנה",1,IF($F276="מחצית שנה",2,3)))</f>
        <v/>
      </c>
      <c r="T276" s="32">
        <f>IF(OR($B276="",$R276="",$A276="",$F276=""),"",$B276&amp;"|"&amp;$A276&amp;"|"&amp;$F276&amp;"|"&amp;$R276&amp;"|"&amp;COUNTIFS($B$6:$B276,$B276,$A$6:$A276,$A276,$F$6:$F276,$F276,$R$6:$R276,$R276))</f>
        <v/>
      </c>
      <c r="U276" s="32">
        <f>IF($C276="","",$C276&amp;"|"&amp;COUNTIFS($C$6:$C276,$C276))</f>
        <v/>
      </c>
      <c r="V276" s="32">
        <f>IF(OR($C276="",$A276="",$S276=""),"",$C276&amp;"|"&amp;$A276&amp;"|"&amp;$S276)</f>
        <v/>
      </c>
      <c r="W276" s="32">
        <f>IF(OR($C276="",$S276="",$S276=1),"",IFERROR(INDEX($Q$6:$Q$1505,MATCH($C276&amp;"|"&amp;$A276&amp;"|"&amp;($S276-1),$V$6:$V$1505,0)),""))</f>
        <v/>
      </c>
      <c r="X276" s="32">
        <f>IF(OR($W276="",$Q276="",LEFT($Q276,1)="—"),"",IF($W276=$Q276,"ללא שינוי","מ-"&amp;$W276&amp;" ל-"&amp;$Q276))</f>
        <v/>
      </c>
    </row>
    <row r="277" ht="15.75" customHeight="1" s="58">
      <c r="A277" s="65" t="n"/>
      <c r="B277" s="65" t="n"/>
      <c r="C277" s="66" t="n"/>
      <c r="D277" s="66" t="n"/>
      <c r="E277" s="65" t="n"/>
      <c r="F277" s="65" t="n"/>
      <c r="G277" s="65" t="n"/>
      <c r="H277" s="65" t="n"/>
      <c r="I277" s="65" t="n"/>
      <c r="J277" s="65" t="n"/>
      <c r="K277" s="65" t="n"/>
      <c r="L277" s="65" t="n"/>
      <c r="M277" s="65" t="n"/>
      <c r="N277" s="65" t="n"/>
      <c r="O277" s="65" t="n"/>
      <c r="P277" s="65" t="n"/>
      <c r="Q277" s="32">
        <f>IF($C277="","",IF($J277="","— חסרים נתונים",IF($J277="טרם מפענח","פרופיל 5",IF($J277="קמץ/פתח/חטף-פתח ושוואים","פרופיל 4",IF($J277="2-3 סימני ניקוד","פרופיל 3",IF($J277="4-5 סימני ניקוד","פרופיל 2",IF(AND($O277="משפטים וקטעים קצרים",OR($M277="מבין",$M277="מבין לרוב")),"פרופיל 1","פרופיל 2")))))))</f>
        <v/>
      </c>
      <c r="R277" s="32">
        <f>IF($C277="","",IF(OR($Q277="",LEFT($Q277,1)="—"),"קבוצה רביעית",IF($Q277="פרופיל 5","קבוצת תשתיות",IF(OR($Q277="פרופיל 4",$Q277="פרופיל 3"),"קבוצת רכישה","קבוצת ביסוס"))))</f>
        <v/>
      </c>
      <c r="S277" s="32">
        <f>IF($F277="","",IF($F277="תחילת שנה",1,IF($F277="מחצית שנה",2,3)))</f>
        <v/>
      </c>
      <c r="T277" s="32">
        <f>IF(OR($B277="",$R277="",$A277="",$F277=""),"",$B277&amp;"|"&amp;$A277&amp;"|"&amp;$F277&amp;"|"&amp;$R277&amp;"|"&amp;COUNTIFS($B$6:$B277,$B277,$A$6:$A277,$A277,$F$6:$F277,$F277,$R$6:$R277,$R277))</f>
        <v/>
      </c>
      <c r="U277" s="32">
        <f>IF($C277="","",$C277&amp;"|"&amp;COUNTIFS($C$6:$C277,$C277))</f>
        <v/>
      </c>
      <c r="V277" s="32">
        <f>IF(OR($C277="",$A277="",$S277=""),"",$C277&amp;"|"&amp;$A277&amp;"|"&amp;$S277)</f>
        <v/>
      </c>
      <c r="W277" s="32">
        <f>IF(OR($C277="",$S277="",$S277=1),"",IFERROR(INDEX($Q$6:$Q$1505,MATCH($C277&amp;"|"&amp;$A277&amp;"|"&amp;($S277-1),$V$6:$V$1505,0)),""))</f>
        <v/>
      </c>
      <c r="X277" s="32">
        <f>IF(OR($W277="",$Q277="",LEFT($Q277,1)="—"),"",IF($W277=$Q277,"ללא שינוי","מ-"&amp;$W277&amp;" ל-"&amp;$Q277))</f>
        <v/>
      </c>
    </row>
    <row r="278" ht="15.75" customHeight="1" s="58">
      <c r="A278" s="65" t="n"/>
      <c r="B278" s="65" t="n"/>
      <c r="C278" s="66" t="n"/>
      <c r="D278" s="66" t="n"/>
      <c r="E278" s="65" t="n"/>
      <c r="F278" s="65" t="n"/>
      <c r="G278" s="65" t="n"/>
      <c r="H278" s="65" t="n"/>
      <c r="I278" s="65" t="n"/>
      <c r="J278" s="65" t="n"/>
      <c r="K278" s="65" t="n"/>
      <c r="L278" s="65" t="n"/>
      <c r="M278" s="65" t="n"/>
      <c r="N278" s="65" t="n"/>
      <c r="O278" s="65" t="n"/>
      <c r="P278" s="65" t="n"/>
      <c r="Q278" s="32">
        <f>IF($C278="","",IF($J278="","— חסרים נתונים",IF($J278="טרם מפענח","פרופיל 5",IF($J278="קמץ/פתח/חטף-פתח ושוואים","פרופיל 4",IF($J278="2-3 סימני ניקוד","פרופיל 3",IF($J278="4-5 סימני ניקוד","פרופיל 2",IF(AND($O278="משפטים וקטעים קצרים",OR($M278="מבין",$M278="מבין לרוב")),"פרופיל 1","פרופיל 2")))))))</f>
        <v/>
      </c>
      <c r="R278" s="32">
        <f>IF($C278="","",IF(OR($Q278="",LEFT($Q278,1)="—"),"קבוצה רביעית",IF($Q278="פרופיל 5","קבוצת תשתיות",IF(OR($Q278="פרופיל 4",$Q278="פרופיל 3"),"קבוצת רכישה","קבוצת ביסוס"))))</f>
        <v/>
      </c>
      <c r="S278" s="32">
        <f>IF($F278="","",IF($F278="תחילת שנה",1,IF($F278="מחצית שנה",2,3)))</f>
        <v/>
      </c>
      <c r="T278" s="32">
        <f>IF(OR($B278="",$R278="",$A278="",$F278=""),"",$B278&amp;"|"&amp;$A278&amp;"|"&amp;$F278&amp;"|"&amp;$R278&amp;"|"&amp;COUNTIFS($B$6:$B278,$B278,$A$6:$A278,$A278,$F$6:$F278,$F278,$R$6:$R278,$R278))</f>
        <v/>
      </c>
      <c r="U278" s="32">
        <f>IF($C278="","",$C278&amp;"|"&amp;COUNTIFS($C$6:$C278,$C278))</f>
        <v/>
      </c>
      <c r="V278" s="32">
        <f>IF(OR($C278="",$A278="",$S278=""),"",$C278&amp;"|"&amp;$A278&amp;"|"&amp;$S278)</f>
        <v/>
      </c>
      <c r="W278" s="32">
        <f>IF(OR($C278="",$S278="",$S278=1),"",IFERROR(INDEX($Q$6:$Q$1505,MATCH($C278&amp;"|"&amp;$A278&amp;"|"&amp;($S278-1),$V$6:$V$1505,0)),""))</f>
        <v/>
      </c>
      <c r="X278" s="32">
        <f>IF(OR($W278="",$Q278="",LEFT($Q278,1)="—"),"",IF($W278=$Q278,"ללא שינוי","מ-"&amp;$W278&amp;" ל-"&amp;$Q278))</f>
        <v/>
      </c>
    </row>
    <row r="279" ht="15.75" customHeight="1" s="58">
      <c r="A279" s="65" t="n"/>
      <c r="B279" s="65" t="n"/>
      <c r="C279" s="66" t="n"/>
      <c r="D279" s="66" t="n"/>
      <c r="E279" s="65" t="n"/>
      <c r="F279" s="65" t="n"/>
      <c r="G279" s="65" t="n"/>
      <c r="H279" s="65" t="n"/>
      <c r="I279" s="65" t="n"/>
      <c r="J279" s="65" t="n"/>
      <c r="K279" s="65" t="n"/>
      <c r="L279" s="65" t="n"/>
      <c r="M279" s="65" t="n"/>
      <c r="N279" s="65" t="n"/>
      <c r="O279" s="65" t="n"/>
      <c r="P279" s="65" t="n"/>
      <c r="Q279" s="32">
        <f>IF($C279="","",IF($J279="","— חסרים נתונים",IF($J279="טרם מפענח","פרופיל 5",IF($J279="קמץ/פתח/חטף-פתח ושוואים","פרופיל 4",IF($J279="2-3 סימני ניקוד","פרופיל 3",IF($J279="4-5 סימני ניקוד","פרופיל 2",IF(AND($O279="משפטים וקטעים קצרים",OR($M279="מבין",$M279="מבין לרוב")),"פרופיל 1","פרופיל 2")))))))</f>
        <v/>
      </c>
      <c r="R279" s="32">
        <f>IF($C279="","",IF(OR($Q279="",LEFT($Q279,1)="—"),"קבוצה רביעית",IF($Q279="פרופיל 5","קבוצת תשתיות",IF(OR($Q279="פרופיל 4",$Q279="פרופיל 3"),"קבוצת רכישה","קבוצת ביסוס"))))</f>
        <v/>
      </c>
      <c r="S279" s="32">
        <f>IF($F279="","",IF($F279="תחילת שנה",1,IF($F279="מחצית שנה",2,3)))</f>
        <v/>
      </c>
      <c r="T279" s="32">
        <f>IF(OR($B279="",$R279="",$A279="",$F279=""),"",$B279&amp;"|"&amp;$A279&amp;"|"&amp;$F279&amp;"|"&amp;$R279&amp;"|"&amp;COUNTIFS($B$6:$B279,$B279,$A$6:$A279,$A279,$F$6:$F279,$F279,$R$6:$R279,$R279))</f>
        <v/>
      </c>
      <c r="U279" s="32">
        <f>IF($C279="","",$C279&amp;"|"&amp;COUNTIFS($C$6:$C279,$C279))</f>
        <v/>
      </c>
      <c r="V279" s="32">
        <f>IF(OR($C279="",$A279="",$S279=""),"",$C279&amp;"|"&amp;$A279&amp;"|"&amp;$S279)</f>
        <v/>
      </c>
      <c r="W279" s="32">
        <f>IF(OR($C279="",$S279="",$S279=1),"",IFERROR(INDEX($Q$6:$Q$1505,MATCH($C279&amp;"|"&amp;$A279&amp;"|"&amp;($S279-1),$V$6:$V$1505,0)),""))</f>
        <v/>
      </c>
      <c r="X279" s="32">
        <f>IF(OR($W279="",$Q279="",LEFT($Q279,1)="—"),"",IF($W279=$Q279,"ללא שינוי","מ-"&amp;$W279&amp;" ל-"&amp;$Q279))</f>
        <v/>
      </c>
    </row>
    <row r="280" ht="15.75" customHeight="1" s="58">
      <c r="A280" s="65" t="n"/>
      <c r="B280" s="65" t="n"/>
      <c r="C280" s="66" t="n"/>
      <c r="D280" s="66" t="n"/>
      <c r="E280" s="65" t="n"/>
      <c r="F280" s="65" t="n"/>
      <c r="G280" s="65" t="n"/>
      <c r="H280" s="65" t="n"/>
      <c r="I280" s="65" t="n"/>
      <c r="J280" s="65" t="n"/>
      <c r="K280" s="65" t="n"/>
      <c r="L280" s="65" t="n"/>
      <c r="M280" s="65" t="n"/>
      <c r="N280" s="65" t="n"/>
      <c r="O280" s="65" t="n"/>
      <c r="P280" s="65" t="n"/>
      <c r="Q280" s="32">
        <f>IF($C280="","",IF($J280="","— חסרים נתונים",IF($J280="טרם מפענח","פרופיל 5",IF($J280="קמץ/פתח/חטף-פתח ושוואים","פרופיל 4",IF($J280="2-3 סימני ניקוד","פרופיל 3",IF($J280="4-5 סימני ניקוד","פרופיל 2",IF(AND($O280="משפטים וקטעים קצרים",OR($M280="מבין",$M280="מבין לרוב")),"פרופיל 1","פרופיל 2")))))))</f>
        <v/>
      </c>
      <c r="R280" s="32">
        <f>IF($C280="","",IF(OR($Q280="",LEFT($Q280,1)="—"),"קבוצה רביעית",IF($Q280="פרופיל 5","קבוצת תשתיות",IF(OR($Q280="פרופיל 4",$Q280="פרופיל 3"),"קבוצת רכישה","קבוצת ביסוס"))))</f>
        <v/>
      </c>
      <c r="S280" s="32">
        <f>IF($F280="","",IF($F280="תחילת שנה",1,IF($F280="מחצית שנה",2,3)))</f>
        <v/>
      </c>
      <c r="T280" s="32">
        <f>IF(OR($B280="",$R280="",$A280="",$F280=""),"",$B280&amp;"|"&amp;$A280&amp;"|"&amp;$F280&amp;"|"&amp;$R280&amp;"|"&amp;COUNTIFS($B$6:$B280,$B280,$A$6:$A280,$A280,$F$6:$F280,$F280,$R$6:$R280,$R280))</f>
        <v/>
      </c>
      <c r="U280" s="32">
        <f>IF($C280="","",$C280&amp;"|"&amp;COUNTIFS($C$6:$C280,$C280))</f>
        <v/>
      </c>
      <c r="V280" s="32">
        <f>IF(OR($C280="",$A280="",$S280=""),"",$C280&amp;"|"&amp;$A280&amp;"|"&amp;$S280)</f>
        <v/>
      </c>
      <c r="W280" s="32">
        <f>IF(OR($C280="",$S280="",$S280=1),"",IFERROR(INDEX($Q$6:$Q$1505,MATCH($C280&amp;"|"&amp;$A280&amp;"|"&amp;($S280-1),$V$6:$V$1505,0)),""))</f>
        <v/>
      </c>
      <c r="X280" s="32">
        <f>IF(OR($W280="",$Q280="",LEFT($Q280,1)="—"),"",IF($W280=$Q280,"ללא שינוי","מ-"&amp;$W280&amp;" ל-"&amp;$Q280))</f>
        <v/>
      </c>
    </row>
    <row r="281" ht="15.75" customHeight="1" s="58">
      <c r="A281" s="65" t="n"/>
      <c r="B281" s="65" t="n"/>
      <c r="C281" s="66" t="n"/>
      <c r="D281" s="66" t="n"/>
      <c r="E281" s="65" t="n"/>
      <c r="F281" s="65" t="n"/>
      <c r="G281" s="65" t="n"/>
      <c r="H281" s="65" t="n"/>
      <c r="I281" s="65" t="n"/>
      <c r="J281" s="65" t="n"/>
      <c r="K281" s="65" t="n"/>
      <c r="L281" s="65" t="n"/>
      <c r="M281" s="65" t="n"/>
      <c r="N281" s="65" t="n"/>
      <c r="O281" s="65" t="n"/>
      <c r="P281" s="65" t="n"/>
      <c r="Q281" s="32">
        <f>IF($C281="","",IF($J281="","— חסרים נתונים",IF($J281="טרם מפענח","פרופיל 5",IF($J281="קמץ/פתח/חטף-פתח ושוואים","פרופיל 4",IF($J281="2-3 סימני ניקוד","פרופיל 3",IF($J281="4-5 סימני ניקוד","פרופיל 2",IF(AND($O281="משפטים וקטעים קצרים",OR($M281="מבין",$M281="מבין לרוב")),"פרופיל 1","פרופיל 2")))))))</f>
        <v/>
      </c>
      <c r="R281" s="32">
        <f>IF($C281="","",IF(OR($Q281="",LEFT($Q281,1)="—"),"קבוצה רביעית",IF($Q281="פרופיל 5","קבוצת תשתיות",IF(OR($Q281="פרופיל 4",$Q281="פרופיל 3"),"קבוצת רכישה","קבוצת ביסוס"))))</f>
        <v/>
      </c>
      <c r="S281" s="32">
        <f>IF($F281="","",IF($F281="תחילת שנה",1,IF($F281="מחצית שנה",2,3)))</f>
        <v/>
      </c>
      <c r="T281" s="32">
        <f>IF(OR($B281="",$R281="",$A281="",$F281=""),"",$B281&amp;"|"&amp;$A281&amp;"|"&amp;$F281&amp;"|"&amp;$R281&amp;"|"&amp;COUNTIFS($B$6:$B281,$B281,$A$6:$A281,$A281,$F$6:$F281,$F281,$R$6:$R281,$R281))</f>
        <v/>
      </c>
      <c r="U281" s="32">
        <f>IF($C281="","",$C281&amp;"|"&amp;COUNTIFS($C$6:$C281,$C281))</f>
        <v/>
      </c>
      <c r="V281" s="32">
        <f>IF(OR($C281="",$A281="",$S281=""),"",$C281&amp;"|"&amp;$A281&amp;"|"&amp;$S281)</f>
        <v/>
      </c>
      <c r="W281" s="32">
        <f>IF(OR($C281="",$S281="",$S281=1),"",IFERROR(INDEX($Q$6:$Q$1505,MATCH($C281&amp;"|"&amp;$A281&amp;"|"&amp;($S281-1),$V$6:$V$1505,0)),""))</f>
        <v/>
      </c>
      <c r="X281" s="32">
        <f>IF(OR($W281="",$Q281="",LEFT($Q281,1)="—"),"",IF($W281=$Q281,"ללא שינוי","מ-"&amp;$W281&amp;" ל-"&amp;$Q281))</f>
        <v/>
      </c>
    </row>
    <row r="282" ht="15.75" customHeight="1" s="58">
      <c r="A282" s="65" t="n"/>
      <c r="B282" s="65" t="n"/>
      <c r="C282" s="66" t="n"/>
      <c r="D282" s="66" t="n"/>
      <c r="E282" s="65" t="n"/>
      <c r="F282" s="65" t="n"/>
      <c r="G282" s="65" t="n"/>
      <c r="H282" s="65" t="n"/>
      <c r="I282" s="65" t="n"/>
      <c r="J282" s="65" t="n"/>
      <c r="K282" s="65" t="n"/>
      <c r="L282" s="65" t="n"/>
      <c r="M282" s="65" t="n"/>
      <c r="N282" s="65" t="n"/>
      <c r="O282" s="65" t="n"/>
      <c r="P282" s="65" t="n"/>
      <c r="Q282" s="32">
        <f>IF($C282="","",IF($J282="","— חסרים נתונים",IF($J282="טרם מפענח","פרופיל 5",IF($J282="קמץ/פתח/חטף-פתח ושוואים","פרופיל 4",IF($J282="2-3 סימני ניקוד","פרופיל 3",IF($J282="4-5 סימני ניקוד","פרופיל 2",IF(AND($O282="משפטים וקטעים קצרים",OR($M282="מבין",$M282="מבין לרוב")),"פרופיל 1","פרופיל 2")))))))</f>
        <v/>
      </c>
      <c r="R282" s="32">
        <f>IF($C282="","",IF(OR($Q282="",LEFT($Q282,1)="—"),"קבוצה רביעית",IF($Q282="פרופיל 5","קבוצת תשתיות",IF(OR($Q282="פרופיל 4",$Q282="פרופיל 3"),"קבוצת רכישה","קבוצת ביסוס"))))</f>
        <v/>
      </c>
      <c r="S282" s="32">
        <f>IF($F282="","",IF($F282="תחילת שנה",1,IF($F282="מחצית שנה",2,3)))</f>
        <v/>
      </c>
      <c r="T282" s="32">
        <f>IF(OR($B282="",$R282="",$A282="",$F282=""),"",$B282&amp;"|"&amp;$A282&amp;"|"&amp;$F282&amp;"|"&amp;$R282&amp;"|"&amp;COUNTIFS($B$6:$B282,$B282,$A$6:$A282,$A282,$F$6:$F282,$F282,$R$6:$R282,$R282))</f>
        <v/>
      </c>
      <c r="U282" s="32">
        <f>IF($C282="","",$C282&amp;"|"&amp;COUNTIFS($C$6:$C282,$C282))</f>
        <v/>
      </c>
      <c r="V282" s="32">
        <f>IF(OR($C282="",$A282="",$S282=""),"",$C282&amp;"|"&amp;$A282&amp;"|"&amp;$S282)</f>
        <v/>
      </c>
      <c r="W282" s="32">
        <f>IF(OR($C282="",$S282="",$S282=1),"",IFERROR(INDEX($Q$6:$Q$1505,MATCH($C282&amp;"|"&amp;$A282&amp;"|"&amp;($S282-1),$V$6:$V$1505,0)),""))</f>
        <v/>
      </c>
      <c r="X282" s="32">
        <f>IF(OR($W282="",$Q282="",LEFT($Q282,1)="—"),"",IF($W282=$Q282,"ללא שינוי","מ-"&amp;$W282&amp;" ל-"&amp;$Q282))</f>
        <v/>
      </c>
    </row>
    <row r="283" ht="15.75" customHeight="1" s="58">
      <c r="A283" s="65" t="n"/>
      <c r="B283" s="65" t="n"/>
      <c r="C283" s="66" t="n"/>
      <c r="D283" s="66" t="n"/>
      <c r="E283" s="65" t="n"/>
      <c r="F283" s="65" t="n"/>
      <c r="G283" s="65" t="n"/>
      <c r="H283" s="65" t="n"/>
      <c r="I283" s="65" t="n"/>
      <c r="J283" s="65" t="n"/>
      <c r="K283" s="65" t="n"/>
      <c r="L283" s="65" t="n"/>
      <c r="M283" s="65" t="n"/>
      <c r="N283" s="65" t="n"/>
      <c r="O283" s="65" t="n"/>
      <c r="P283" s="65" t="n"/>
      <c r="Q283" s="32">
        <f>IF($C283="","",IF($J283="","— חסרים נתונים",IF($J283="טרם מפענח","פרופיל 5",IF($J283="קמץ/פתח/חטף-פתח ושוואים","פרופיל 4",IF($J283="2-3 סימני ניקוד","פרופיל 3",IF($J283="4-5 סימני ניקוד","פרופיל 2",IF(AND($O283="משפטים וקטעים קצרים",OR($M283="מבין",$M283="מבין לרוב")),"פרופיל 1","פרופיל 2")))))))</f>
        <v/>
      </c>
      <c r="R283" s="32">
        <f>IF($C283="","",IF(OR($Q283="",LEFT($Q283,1)="—"),"קבוצה רביעית",IF($Q283="פרופיל 5","קבוצת תשתיות",IF(OR($Q283="פרופיל 4",$Q283="פרופיל 3"),"קבוצת רכישה","קבוצת ביסוס"))))</f>
        <v/>
      </c>
      <c r="S283" s="32">
        <f>IF($F283="","",IF($F283="תחילת שנה",1,IF($F283="מחצית שנה",2,3)))</f>
        <v/>
      </c>
      <c r="T283" s="32">
        <f>IF(OR($B283="",$R283="",$A283="",$F283=""),"",$B283&amp;"|"&amp;$A283&amp;"|"&amp;$F283&amp;"|"&amp;$R283&amp;"|"&amp;COUNTIFS($B$6:$B283,$B283,$A$6:$A283,$A283,$F$6:$F283,$F283,$R$6:$R283,$R283))</f>
        <v/>
      </c>
      <c r="U283" s="32">
        <f>IF($C283="","",$C283&amp;"|"&amp;COUNTIFS($C$6:$C283,$C283))</f>
        <v/>
      </c>
      <c r="V283" s="32">
        <f>IF(OR($C283="",$A283="",$S283=""),"",$C283&amp;"|"&amp;$A283&amp;"|"&amp;$S283)</f>
        <v/>
      </c>
      <c r="W283" s="32">
        <f>IF(OR($C283="",$S283="",$S283=1),"",IFERROR(INDEX($Q$6:$Q$1505,MATCH($C283&amp;"|"&amp;$A283&amp;"|"&amp;($S283-1),$V$6:$V$1505,0)),""))</f>
        <v/>
      </c>
      <c r="X283" s="32">
        <f>IF(OR($W283="",$Q283="",LEFT($Q283,1)="—"),"",IF($W283=$Q283,"ללא שינוי","מ-"&amp;$W283&amp;" ל-"&amp;$Q283))</f>
        <v/>
      </c>
    </row>
    <row r="284" ht="15.75" customHeight="1" s="58">
      <c r="A284" s="65" t="n"/>
      <c r="B284" s="65" t="n"/>
      <c r="C284" s="66" t="n"/>
      <c r="D284" s="66" t="n"/>
      <c r="E284" s="65" t="n"/>
      <c r="F284" s="65" t="n"/>
      <c r="G284" s="65" t="n"/>
      <c r="H284" s="65" t="n"/>
      <c r="I284" s="65" t="n"/>
      <c r="J284" s="65" t="n"/>
      <c r="K284" s="65" t="n"/>
      <c r="L284" s="65" t="n"/>
      <c r="M284" s="65" t="n"/>
      <c r="N284" s="65" t="n"/>
      <c r="O284" s="65" t="n"/>
      <c r="P284" s="65" t="n"/>
      <c r="Q284" s="32">
        <f>IF($C284="","",IF($J284="","— חסרים נתונים",IF($J284="טרם מפענח","פרופיל 5",IF($J284="קמץ/פתח/חטף-פתח ושוואים","פרופיל 4",IF($J284="2-3 סימני ניקוד","פרופיל 3",IF($J284="4-5 סימני ניקוד","פרופיל 2",IF(AND($O284="משפטים וקטעים קצרים",OR($M284="מבין",$M284="מבין לרוב")),"פרופיל 1","פרופיל 2")))))))</f>
        <v/>
      </c>
      <c r="R284" s="32">
        <f>IF($C284="","",IF(OR($Q284="",LEFT($Q284,1)="—"),"קבוצה רביעית",IF($Q284="פרופיל 5","קבוצת תשתיות",IF(OR($Q284="פרופיל 4",$Q284="פרופיל 3"),"קבוצת רכישה","קבוצת ביסוס"))))</f>
        <v/>
      </c>
      <c r="S284" s="32">
        <f>IF($F284="","",IF($F284="תחילת שנה",1,IF($F284="מחצית שנה",2,3)))</f>
        <v/>
      </c>
      <c r="T284" s="32">
        <f>IF(OR($B284="",$R284="",$A284="",$F284=""),"",$B284&amp;"|"&amp;$A284&amp;"|"&amp;$F284&amp;"|"&amp;$R284&amp;"|"&amp;COUNTIFS($B$6:$B284,$B284,$A$6:$A284,$A284,$F$6:$F284,$F284,$R$6:$R284,$R284))</f>
        <v/>
      </c>
      <c r="U284" s="32">
        <f>IF($C284="","",$C284&amp;"|"&amp;COUNTIFS($C$6:$C284,$C284))</f>
        <v/>
      </c>
      <c r="V284" s="32">
        <f>IF(OR($C284="",$A284="",$S284=""),"",$C284&amp;"|"&amp;$A284&amp;"|"&amp;$S284)</f>
        <v/>
      </c>
      <c r="W284" s="32">
        <f>IF(OR($C284="",$S284="",$S284=1),"",IFERROR(INDEX($Q$6:$Q$1505,MATCH($C284&amp;"|"&amp;$A284&amp;"|"&amp;($S284-1),$V$6:$V$1505,0)),""))</f>
        <v/>
      </c>
      <c r="X284" s="32">
        <f>IF(OR($W284="",$Q284="",LEFT($Q284,1)="—"),"",IF($W284=$Q284,"ללא שינוי","מ-"&amp;$W284&amp;" ל-"&amp;$Q284))</f>
        <v/>
      </c>
    </row>
    <row r="285" ht="15.75" customHeight="1" s="58">
      <c r="A285" s="65" t="n"/>
      <c r="B285" s="65" t="n"/>
      <c r="C285" s="66" t="n"/>
      <c r="D285" s="66" t="n"/>
      <c r="E285" s="65" t="n"/>
      <c r="F285" s="65" t="n"/>
      <c r="G285" s="65" t="n"/>
      <c r="H285" s="65" t="n"/>
      <c r="I285" s="65" t="n"/>
      <c r="J285" s="65" t="n"/>
      <c r="K285" s="65" t="n"/>
      <c r="L285" s="65" t="n"/>
      <c r="M285" s="65" t="n"/>
      <c r="N285" s="65" t="n"/>
      <c r="O285" s="65" t="n"/>
      <c r="P285" s="65" t="n"/>
      <c r="Q285" s="32">
        <f>IF($C285="","",IF($J285="","— חסרים נתונים",IF($J285="טרם מפענח","פרופיל 5",IF($J285="קמץ/פתח/חטף-פתח ושוואים","פרופיל 4",IF($J285="2-3 סימני ניקוד","פרופיל 3",IF($J285="4-5 סימני ניקוד","פרופיל 2",IF(AND($O285="משפטים וקטעים קצרים",OR($M285="מבין",$M285="מבין לרוב")),"פרופיל 1","פרופיל 2")))))))</f>
        <v/>
      </c>
      <c r="R285" s="32">
        <f>IF($C285="","",IF(OR($Q285="",LEFT($Q285,1)="—"),"קבוצה רביעית",IF($Q285="פרופיל 5","קבוצת תשתיות",IF(OR($Q285="פרופיל 4",$Q285="פרופיל 3"),"קבוצת רכישה","קבוצת ביסוס"))))</f>
        <v/>
      </c>
      <c r="S285" s="32">
        <f>IF($F285="","",IF($F285="תחילת שנה",1,IF($F285="מחצית שנה",2,3)))</f>
        <v/>
      </c>
      <c r="T285" s="32">
        <f>IF(OR($B285="",$R285="",$A285="",$F285=""),"",$B285&amp;"|"&amp;$A285&amp;"|"&amp;$F285&amp;"|"&amp;$R285&amp;"|"&amp;COUNTIFS($B$6:$B285,$B285,$A$6:$A285,$A285,$F$6:$F285,$F285,$R$6:$R285,$R285))</f>
        <v/>
      </c>
      <c r="U285" s="32">
        <f>IF($C285="","",$C285&amp;"|"&amp;COUNTIFS($C$6:$C285,$C285))</f>
        <v/>
      </c>
      <c r="V285" s="32">
        <f>IF(OR($C285="",$A285="",$S285=""),"",$C285&amp;"|"&amp;$A285&amp;"|"&amp;$S285)</f>
        <v/>
      </c>
      <c r="W285" s="32">
        <f>IF(OR($C285="",$S285="",$S285=1),"",IFERROR(INDEX($Q$6:$Q$1505,MATCH($C285&amp;"|"&amp;$A285&amp;"|"&amp;($S285-1),$V$6:$V$1505,0)),""))</f>
        <v/>
      </c>
      <c r="X285" s="32">
        <f>IF(OR($W285="",$Q285="",LEFT($Q285,1)="—"),"",IF($W285=$Q285,"ללא שינוי","מ-"&amp;$W285&amp;" ל-"&amp;$Q285))</f>
        <v/>
      </c>
    </row>
    <row r="286" ht="15.75" customHeight="1" s="58">
      <c r="A286" s="65" t="n"/>
      <c r="B286" s="65" t="n"/>
      <c r="C286" s="66" t="n"/>
      <c r="D286" s="66" t="n"/>
      <c r="E286" s="65" t="n"/>
      <c r="F286" s="65" t="n"/>
      <c r="G286" s="65" t="n"/>
      <c r="H286" s="65" t="n"/>
      <c r="I286" s="65" t="n"/>
      <c r="J286" s="65" t="n"/>
      <c r="K286" s="65" t="n"/>
      <c r="L286" s="65" t="n"/>
      <c r="M286" s="65" t="n"/>
      <c r="N286" s="65" t="n"/>
      <c r="O286" s="65" t="n"/>
      <c r="P286" s="65" t="n"/>
      <c r="Q286" s="32">
        <f>IF($C286="","",IF($J286="","— חסרים נתונים",IF($J286="טרם מפענח","פרופיל 5",IF($J286="קמץ/פתח/חטף-פתח ושוואים","פרופיל 4",IF($J286="2-3 סימני ניקוד","פרופיל 3",IF($J286="4-5 סימני ניקוד","פרופיל 2",IF(AND($O286="משפטים וקטעים קצרים",OR($M286="מבין",$M286="מבין לרוב")),"פרופיל 1","פרופיל 2")))))))</f>
        <v/>
      </c>
      <c r="R286" s="32">
        <f>IF($C286="","",IF(OR($Q286="",LEFT($Q286,1)="—"),"קבוצה רביעית",IF($Q286="פרופיל 5","קבוצת תשתיות",IF(OR($Q286="פרופיל 4",$Q286="פרופיל 3"),"קבוצת רכישה","קבוצת ביסוס"))))</f>
        <v/>
      </c>
      <c r="S286" s="32">
        <f>IF($F286="","",IF($F286="תחילת שנה",1,IF($F286="מחצית שנה",2,3)))</f>
        <v/>
      </c>
      <c r="T286" s="32">
        <f>IF(OR($B286="",$R286="",$A286="",$F286=""),"",$B286&amp;"|"&amp;$A286&amp;"|"&amp;$F286&amp;"|"&amp;$R286&amp;"|"&amp;COUNTIFS($B$6:$B286,$B286,$A$6:$A286,$A286,$F$6:$F286,$F286,$R$6:$R286,$R286))</f>
        <v/>
      </c>
      <c r="U286" s="32">
        <f>IF($C286="","",$C286&amp;"|"&amp;COUNTIFS($C$6:$C286,$C286))</f>
        <v/>
      </c>
      <c r="V286" s="32">
        <f>IF(OR($C286="",$A286="",$S286=""),"",$C286&amp;"|"&amp;$A286&amp;"|"&amp;$S286)</f>
        <v/>
      </c>
      <c r="W286" s="32">
        <f>IF(OR($C286="",$S286="",$S286=1),"",IFERROR(INDEX($Q$6:$Q$1505,MATCH($C286&amp;"|"&amp;$A286&amp;"|"&amp;($S286-1),$V$6:$V$1505,0)),""))</f>
        <v/>
      </c>
      <c r="X286" s="32">
        <f>IF(OR($W286="",$Q286="",LEFT($Q286,1)="—"),"",IF($W286=$Q286,"ללא שינוי","מ-"&amp;$W286&amp;" ל-"&amp;$Q286))</f>
        <v/>
      </c>
    </row>
    <row r="287" ht="15.75" customHeight="1" s="58">
      <c r="A287" s="65" t="n"/>
      <c r="B287" s="65" t="n"/>
      <c r="C287" s="66" t="n"/>
      <c r="D287" s="66" t="n"/>
      <c r="E287" s="65" t="n"/>
      <c r="F287" s="65" t="n"/>
      <c r="G287" s="65" t="n"/>
      <c r="H287" s="65" t="n"/>
      <c r="I287" s="65" t="n"/>
      <c r="J287" s="65" t="n"/>
      <c r="K287" s="65" t="n"/>
      <c r="L287" s="65" t="n"/>
      <c r="M287" s="65" t="n"/>
      <c r="N287" s="65" t="n"/>
      <c r="O287" s="65" t="n"/>
      <c r="P287" s="65" t="n"/>
      <c r="Q287" s="32">
        <f>IF($C287="","",IF($J287="","— חסרים נתונים",IF($J287="טרם מפענח","פרופיל 5",IF($J287="קמץ/פתח/חטף-פתח ושוואים","פרופיל 4",IF($J287="2-3 סימני ניקוד","פרופיל 3",IF($J287="4-5 סימני ניקוד","פרופיל 2",IF(AND($O287="משפטים וקטעים קצרים",OR($M287="מבין",$M287="מבין לרוב")),"פרופיל 1","פרופיל 2")))))))</f>
        <v/>
      </c>
      <c r="R287" s="32">
        <f>IF($C287="","",IF(OR($Q287="",LEFT($Q287,1)="—"),"קבוצה רביעית",IF($Q287="פרופיל 5","קבוצת תשתיות",IF(OR($Q287="פרופיל 4",$Q287="פרופיל 3"),"קבוצת רכישה","קבוצת ביסוס"))))</f>
        <v/>
      </c>
      <c r="S287" s="32">
        <f>IF($F287="","",IF($F287="תחילת שנה",1,IF($F287="מחצית שנה",2,3)))</f>
        <v/>
      </c>
      <c r="T287" s="32">
        <f>IF(OR($B287="",$R287="",$A287="",$F287=""),"",$B287&amp;"|"&amp;$A287&amp;"|"&amp;$F287&amp;"|"&amp;$R287&amp;"|"&amp;COUNTIFS($B$6:$B287,$B287,$A$6:$A287,$A287,$F$6:$F287,$F287,$R$6:$R287,$R287))</f>
        <v/>
      </c>
      <c r="U287" s="32">
        <f>IF($C287="","",$C287&amp;"|"&amp;COUNTIFS($C$6:$C287,$C287))</f>
        <v/>
      </c>
      <c r="V287" s="32">
        <f>IF(OR($C287="",$A287="",$S287=""),"",$C287&amp;"|"&amp;$A287&amp;"|"&amp;$S287)</f>
        <v/>
      </c>
      <c r="W287" s="32">
        <f>IF(OR($C287="",$S287="",$S287=1),"",IFERROR(INDEX($Q$6:$Q$1505,MATCH($C287&amp;"|"&amp;$A287&amp;"|"&amp;($S287-1),$V$6:$V$1505,0)),""))</f>
        <v/>
      </c>
      <c r="X287" s="32">
        <f>IF(OR($W287="",$Q287="",LEFT($Q287,1)="—"),"",IF($W287=$Q287,"ללא שינוי","מ-"&amp;$W287&amp;" ל-"&amp;$Q287))</f>
        <v/>
      </c>
    </row>
    <row r="288" ht="15.75" customHeight="1" s="58">
      <c r="A288" s="65" t="n"/>
      <c r="B288" s="65" t="n"/>
      <c r="C288" s="66" t="n"/>
      <c r="D288" s="66" t="n"/>
      <c r="E288" s="65" t="n"/>
      <c r="F288" s="65" t="n"/>
      <c r="G288" s="65" t="n"/>
      <c r="H288" s="65" t="n"/>
      <c r="I288" s="65" t="n"/>
      <c r="J288" s="65" t="n"/>
      <c r="K288" s="65" t="n"/>
      <c r="L288" s="65" t="n"/>
      <c r="M288" s="65" t="n"/>
      <c r="N288" s="65" t="n"/>
      <c r="O288" s="65" t="n"/>
      <c r="P288" s="65" t="n"/>
      <c r="Q288" s="32">
        <f>IF($C288="","",IF($J288="","— חסרים נתונים",IF($J288="טרם מפענח","פרופיל 5",IF($J288="קמץ/פתח/חטף-פתח ושוואים","פרופיל 4",IF($J288="2-3 סימני ניקוד","פרופיל 3",IF($J288="4-5 סימני ניקוד","פרופיל 2",IF(AND($O288="משפטים וקטעים קצרים",OR($M288="מבין",$M288="מבין לרוב")),"פרופיל 1","פרופיל 2")))))))</f>
        <v/>
      </c>
      <c r="R288" s="32">
        <f>IF($C288="","",IF(OR($Q288="",LEFT($Q288,1)="—"),"קבוצה רביעית",IF($Q288="פרופיל 5","קבוצת תשתיות",IF(OR($Q288="פרופיל 4",$Q288="פרופיל 3"),"קבוצת רכישה","קבוצת ביסוס"))))</f>
        <v/>
      </c>
      <c r="S288" s="32">
        <f>IF($F288="","",IF($F288="תחילת שנה",1,IF($F288="מחצית שנה",2,3)))</f>
        <v/>
      </c>
      <c r="T288" s="32">
        <f>IF(OR($B288="",$R288="",$A288="",$F288=""),"",$B288&amp;"|"&amp;$A288&amp;"|"&amp;$F288&amp;"|"&amp;$R288&amp;"|"&amp;COUNTIFS($B$6:$B288,$B288,$A$6:$A288,$A288,$F$6:$F288,$F288,$R$6:$R288,$R288))</f>
        <v/>
      </c>
      <c r="U288" s="32">
        <f>IF($C288="","",$C288&amp;"|"&amp;COUNTIFS($C$6:$C288,$C288))</f>
        <v/>
      </c>
      <c r="V288" s="32">
        <f>IF(OR($C288="",$A288="",$S288=""),"",$C288&amp;"|"&amp;$A288&amp;"|"&amp;$S288)</f>
        <v/>
      </c>
      <c r="W288" s="32">
        <f>IF(OR($C288="",$S288="",$S288=1),"",IFERROR(INDEX($Q$6:$Q$1505,MATCH($C288&amp;"|"&amp;$A288&amp;"|"&amp;($S288-1),$V$6:$V$1505,0)),""))</f>
        <v/>
      </c>
      <c r="X288" s="32">
        <f>IF(OR($W288="",$Q288="",LEFT($Q288,1)="—"),"",IF($W288=$Q288,"ללא שינוי","מ-"&amp;$W288&amp;" ל-"&amp;$Q288))</f>
        <v/>
      </c>
    </row>
    <row r="289" ht="15.75" customHeight="1" s="58">
      <c r="A289" s="65" t="n"/>
      <c r="B289" s="65" t="n"/>
      <c r="C289" s="66" t="n"/>
      <c r="D289" s="66" t="n"/>
      <c r="E289" s="65" t="n"/>
      <c r="F289" s="65" t="n"/>
      <c r="G289" s="65" t="n"/>
      <c r="H289" s="65" t="n"/>
      <c r="I289" s="65" t="n"/>
      <c r="J289" s="65" t="n"/>
      <c r="K289" s="65" t="n"/>
      <c r="L289" s="65" t="n"/>
      <c r="M289" s="65" t="n"/>
      <c r="N289" s="65" t="n"/>
      <c r="O289" s="65" t="n"/>
      <c r="P289" s="65" t="n"/>
      <c r="Q289" s="32">
        <f>IF($C289="","",IF($J289="","— חסרים נתונים",IF($J289="טרם מפענח","פרופיל 5",IF($J289="קמץ/פתח/חטף-פתח ושוואים","פרופיל 4",IF($J289="2-3 סימני ניקוד","פרופיל 3",IF($J289="4-5 סימני ניקוד","פרופיל 2",IF(AND($O289="משפטים וקטעים קצרים",OR($M289="מבין",$M289="מבין לרוב")),"פרופיל 1","פרופיל 2")))))))</f>
        <v/>
      </c>
      <c r="R289" s="32">
        <f>IF($C289="","",IF(OR($Q289="",LEFT($Q289,1)="—"),"קבוצה רביעית",IF($Q289="פרופיל 5","קבוצת תשתיות",IF(OR($Q289="פרופיל 4",$Q289="פרופיל 3"),"קבוצת רכישה","קבוצת ביסוס"))))</f>
        <v/>
      </c>
      <c r="S289" s="32">
        <f>IF($F289="","",IF($F289="תחילת שנה",1,IF($F289="מחצית שנה",2,3)))</f>
        <v/>
      </c>
      <c r="T289" s="32">
        <f>IF(OR($B289="",$R289="",$A289="",$F289=""),"",$B289&amp;"|"&amp;$A289&amp;"|"&amp;$F289&amp;"|"&amp;$R289&amp;"|"&amp;COUNTIFS($B$6:$B289,$B289,$A$6:$A289,$A289,$F$6:$F289,$F289,$R$6:$R289,$R289))</f>
        <v/>
      </c>
      <c r="U289" s="32">
        <f>IF($C289="","",$C289&amp;"|"&amp;COUNTIFS($C$6:$C289,$C289))</f>
        <v/>
      </c>
      <c r="V289" s="32">
        <f>IF(OR($C289="",$A289="",$S289=""),"",$C289&amp;"|"&amp;$A289&amp;"|"&amp;$S289)</f>
        <v/>
      </c>
      <c r="W289" s="32">
        <f>IF(OR($C289="",$S289="",$S289=1),"",IFERROR(INDEX($Q$6:$Q$1505,MATCH($C289&amp;"|"&amp;$A289&amp;"|"&amp;($S289-1),$V$6:$V$1505,0)),""))</f>
        <v/>
      </c>
      <c r="X289" s="32">
        <f>IF(OR($W289="",$Q289="",LEFT($Q289,1)="—"),"",IF($W289=$Q289,"ללא שינוי","מ-"&amp;$W289&amp;" ל-"&amp;$Q289))</f>
        <v/>
      </c>
    </row>
    <row r="290" ht="15.75" customHeight="1" s="58">
      <c r="A290" s="65" t="n"/>
      <c r="B290" s="65" t="n"/>
      <c r="C290" s="66" t="n"/>
      <c r="D290" s="66" t="n"/>
      <c r="E290" s="65" t="n"/>
      <c r="F290" s="65" t="n"/>
      <c r="G290" s="65" t="n"/>
      <c r="H290" s="65" t="n"/>
      <c r="I290" s="65" t="n"/>
      <c r="J290" s="65" t="n"/>
      <c r="K290" s="65" t="n"/>
      <c r="L290" s="65" t="n"/>
      <c r="M290" s="65" t="n"/>
      <c r="N290" s="65" t="n"/>
      <c r="O290" s="65" t="n"/>
      <c r="P290" s="65" t="n"/>
      <c r="Q290" s="32">
        <f>IF($C290="","",IF($J290="","— חסרים נתונים",IF($J290="טרם מפענח","פרופיל 5",IF($J290="קמץ/פתח/חטף-פתח ושוואים","פרופיל 4",IF($J290="2-3 סימני ניקוד","פרופיל 3",IF($J290="4-5 סימני ניקוד","פרופיל 2",IF(AND($O290="משפטים וקטעים קצרים",OR($M290="מבין",$M290="מבין לרוב")),"פרופיל 1","פרופיל 2")))))))</f>
        <v/>
      </c>
      <c r="R290" s="32">
        <f>IF($C290="","",IF(OR($Q290="",LEFT($Q290,1)="—"),"קבוצה רביעית",IF($Q290="פרופיל 5","קבוצת תשתיות",IF(OR($Q290="פרופיל 4",$Q290="פרופיל 3"),"קבוצת רכישה","קבוצת ביסוס"))))</f>
        <v/>
      </c>
      <c r="S290" s="32">
        <f>IF($F290="","",IF($F290="תחילת שנה",1,IF($F290="מחצית שנה",2,3)))</f>
        <v/>
      </c>
      <c r="T290" s="32">
        <f>IF(OR($B290="",$R290="",$A290="",$F290=""),"",$B290&amp;"|"&amp;$A290&amp;"|"&amp;$F290&amp;"|"&amp;$R290&amp;"|"&amp;COUNTIFS($B$6:$B290,$B290,$A$6:$A290,$A290,$F$6:$F290,$F290,$R$6:$R290,$R290))</f>
        <v/>
      </c>
      <c r="U290" s="32">
        <f>IF($C290="","",$C290&amp;"|"&amp;COUNTIFS($C$6:$C290,$C290))</f>
        <v/>
      </c>
      <c r="V290" s="32">
        <f>IF(OR($C290="",$A290="",$S290=""),"",$C290&amp;"|"&amp;$A290&amp;"|"&amp;$S290)</f>
        <v/>
      </c>
      <c r="W290" s="32">
        <f>IF(OR($C290="",$S290="",$S290=1),"",IFERROR(INDEX($Q$6:$Q$1505,MATCH($C290&amp;"|"&amp;$A290&amp;"|"&amp;($S290-1),$V$6:$V$1505,0)),""))</f>
        <v/>
      </c>
      <c r="X290" s="32">
        <f>IF(OR($W290="",$Q290="",LEFT($Q290,1)="—"),"",IF($W290=$Q290,"ללא שינוי","מ-"&amp;$W290&amp;" ל-"&amp;$Q290))</f>
        <v/>
      </c>
    </row>
    <row r="291" ht="15.75" customHeight="1" s="58">
      <c r="A291" s="65" t="n"/>
      <c r="B291" s="65" t="n"/>
      <c r="C291" s="66" t="n"/>
      <c r="D291" s="66" t="n"/>
      <c r="E291" s="65" t="n"/>
      <c r="F291" s="65" t="n"/>
      <c r="G291" s="65" t="n"/>
      <c r="H291" s="65" t="n"/>
      <c r="I291" s="65" t="n"/>
      <c r="J291" s="65" t="n"/>
      <c r="K291" s="65" t="n"/>
      <c r="L291" s="65" t="n"/>
      <c r="M291" s="65" t="n"/>
      <c r="N291" s="65" t="n"/>
      <c r="O291" s="65" t="n"/>
      <c r="P291" s="65" t="n"/>
      <c r="Q291" s="32">
        <f>IF($C291="","",IF($J291="","— חסרים נתונים",IF($J291="טרם מפענח","פרופיל 5",IF($J291="קמץ/פתח/חטף-פתח ושוואים","פרופיל 4",IF($J291="2-3 סימני ניקוד","פרופיל 3",IF($J291="4-5 סימני ניקוד","פרופיל 2",IF(AND($O291="משפטים וקטעים קצרים",OR($M291="מבין",$M291="מבין לרוב")),"פרופיל 1","פרופיל 2")))))))</f>
        <v/>
      </c>
      <c r="R291" s="32">
        <f>IF($C291="","",IF(OR($Q291="",LEFT($Q291,1)="—"),"קבוצה רביעית",IF($Q291="פרופיל 5","קבוצת תשתיות",IF(OR($Q291="פרופיל 4",$Q291="פרופיל 3"),"קבוצת רכישה","קבוצת ביסוס"))))</f>
        <v/>
      </c>
      <c r="S291" s="32">
        <f>IF($F291="","",IF($F291="תחילת שנה",1,IF($F291="מחצית שנה",2,3)))</f>
        <v/>
      </c>
      <c r="T291" s="32">
        <f>IF(OR($B291="",$R291="",$A291="",$F291=""),"",$B291&amp;"|"&amp;$A291&amp;"|"&amp;$F291&amp;"|"&amp;$R291&amp;"|"&amp;COUNTIFS($B$6:$B291,$B291,$A$6:$A291,$A291,$F$6:$F291,$F291,$R$6:$R291,$R291))</f>
        <v/>
      </c>
      <c r="U291" s="32">
        <f>IF($C291="","",$C291&amp;"|"&amp;COUNTIFS($C$6:$C291,$C291))</f>
        <v/>
      </c>
      <c r="V291" s="32">
        <f>IF(OR($C291="",$A291="",$S291=""),"",$C291&amp;"|"&amp;$A291&amp;"|"&amp;$S291)</f>
        <v/>
      </c>
      <c r="W291" s="32">
        <f>IF(OR($C291="",$S291="",$S291=1),"",IFERROR(INDEX($Q$6:$Q$1505,MATCH($C291&amp;"|"&amp;$A291&amp;"|"&amp;($S291-1),$V$6:$V$1505,0)),""))</f>
        <v/>
      </c>
      <c r="X291" s="32">
        <f>IF(OR($W291="",$Q291="",LEFT($Q291,1)="—"),"",IF($W291=$Q291,"ללא שינוי","מ-"&amp;$W291&amp;" ל-"&amp;$Q291))</f>
        <v/>
      </c>
    </row>
    <row r="292" ht="15.75" customHeight="1" s="58">
      <c r="A292" s="65" t="n"/>
      <c r="B292" s="65" t="n"/>
      <c r="C292" s="66" t="n"/>
      <c r="D292" s="66" t="n"/>
      <c r="E292" s="65" t="n"/>
      <c r="F292" s="65" t="n"/>
      <c r="G292" s="65" t="n"/>
      <c r="H292" s="65" t="n"/>
      <c r="I292" s="65" t="n"/>
      <c r="J292" s="65" t="n"/>
      <c r="K292" s="65" t="n"/>
      <c r="L292" s="65" t="n"/>
      <c r="M292" s="65" t="n"/>
      <c r="N292" s="65" t="n"/>
      <c r="O292" s="65" t="n"/>
      <c r="P292" s="65" t="n"/>
      <c r="Q292" s="32">
        <f>IF($C292="","",IF($J292="","— חסרים נתונים",IF($J292="טרם מפענח","פרופיל 5",IF($J292="קמץ/פתח/חטף-פתח ושוואים","פרופיל 4",IF($J292="2-3 סימני ניקוד","פרופיל 3",IF($J292="4-5 סימני ניקוד","פרופיל 2",IF(AND($O292="משפטים וקטעים קצרים",OR($M292="מבין",$M292="מבין לרוב")),"פרופיל 1","פרופיל 2")))))))</f>
        <v/>
      </c>
      <c r="R292" s="32">
        <f>IF($C292="","",IF(OR($Q292="",LEFT($Q292,1)="—"),"קבוצה רביעית",IF($Q292="פרופיל 5","קבוצת תשתיות",IF(OR($Q292="פרופיל 4",$Q292="פרופיל 3"),"קבוצת רכישה","קבוצת ביסוס"))))</f>
        <v/>
      </c>
      <c r="S292" s="32">
        <f>IF($F292="","",IF($F292="תחילת שנה",1,IF($F292="מחצית שנה",2,3)))</f>
        <v/>
      </c>
      <c r="T292" s="32">
        <f>IF(OR($B292="",$R292="",$A292="",$F292=""),"",$B292&amp;"|"&amp;$A292&amp;"|"&amp;$F292&amp;"|"&amp;$R292&amp;"|"&amp;COUNTIFS($B$6:$B292,$B292,$A$6:$A292,$A292,$F$6:$F292,$F292,$R$6:$R292,$R292))</f>
        <v/>
      </c>
      <c r="U292" s="32">
        <f>IF($C292="","",$C292&amp;"|"&amp;COUNTIFS($C$6:$C292,$C292))</f>
        <v/>
      </c>
      <c r="V292" s="32">
        <f>IF(OR($C292="",$A292="",$S292=""),"",$C292&amp;"|"&amp;$A292&amp;"|"&amp;$S292)</f>
        <v/>
      </c>
      <c r="W292" s="32">
        <f>IF(OR($C292="",$S292="",$S292=1),"",IFERROR(INDEX($Q$6:$Q$1505,MATCH($C292&amp;"|"&amp;$A292&amp;"|"&amp;($S292-1),$V$6:$V$1505,0)),""))</f>
        <v/>
      </c>
      <c r="X292" s="32">
        <f>IF(OR($W292="",$Q292="",LEFT($Q292,1)="—"),"",IF($W292=$Q292,"ללא שינוי","מ-"&amp;$W292&amp;" ל-"&amp;$Q292))</f>
        <v/>
      </c>
    </row>
    <row r="293" ht="15.75" customHeight="1" s="58">
      <c r="A293" s="65" t="n"/>
      <c r="B293" s="65" t="n"/>
      <c r="C293" s="66" t="n"/>
      <c r="D293" s="66" t="n"/>
      <c r="E293" s="65" t="n"/>
      <c r="F293" s="65" t="n"/>
      <c r="G293" s="65" t="n"/>
      <c r="H293" s="65" t="n"/>
      <c r="I293" s="65" t="n"/>
      <c r="J293" s="65" t="n"/>
      <c r="K293" s="65" t="n"/>
      <c r="L293" s="65" t="n"/>
      <c r="M293" s="65" t="n"/>
      <c r="N293" s="65" t="n"/>
      <c r="O293" s="65" t="n"/>
      <c r="P293" s="65" t="n"/>
      <c r="Q293" s="32">
        <f>IF($C293="","",IF($J293="","— חסרים נתונים",IF($J293="טרם מפענח","פרופיל 5",IF($J293="קמץ/פתח/חטף-פתח ושוואים","פרופיל 4",IF($J293="2-3 סימני ניקוד","פרופיל 3",IF($J293="4-5 סימני ניקוד","פרופיל 2",IF(AND($O293="משפטים וקטעים קצרים",OR($M293="מבין",$M293="מבין לרוב")),"פרופיל 1","פרופיל 2")))))))</f>
        <v/>
      </c>
      <c r="R293" s="32">
        <f>IF($C293="","",IF(OR($Q293="",LEFT($Q293,1)="—"),"קבוצה רביעית",IF($Q293="פרופיל 5","קבוצת תשתיות",IF(OR($Q293="פרופיל 4",$Q293="פרופיל 3"),"קבוצת רכישה","קבוצת ביסוס"))))</f>
        <v/>
      </c>
      <c r="S293" s="32">
        <f>IF($F293="","",IF($F293="תחילת שנה",1,IF($F293="מחצית שנה",2,3)))</f>
        <v/>
      </c>
      <c r="T293" s="32">
        <f>IF(OR($B293="",$R293="",$A293="",$F293=""),"",$B293&amp;"|"&amp;$A293&amp;"|"&amp;$F293&amp;"|"&amp;$R293&amp;"|"&amp;COUNTIFS($B$6:$B293,$B293,$A$6:$A293,$A293,$F$6:$F293,$F293,$R$6:$R293,$R293))</f>
        <v/>
      </c>
      <c r="U293" s="32">
        <f>IF($C293="","",$C293&amp;"|"&amp;COUNTIFS($C$6:$C293,$C293))</f>
        <v/>
      </c>
      <c r="V293" s="32">
        <f>IF(OR($C293="",$A293="",$S293=""),"",$C293&amp;"|"&amp;$A293&amp;"|"&amp;$S293)</f>
        <v/>
      </c>
      <c r="W293" s="32">
        <f>IF(OR($C293="",$S293="",$S293=1),"",IFERROR(INDEX($Q$6:$Q$1505,MATCH($C293&amp;"|"&amp;$A293&amp;"|"&amp;($S293-1),$V$6:$V$1505,0)),""))</f>
        <v/>
      </c>
      <c r="X293" s="32">
        <f>IF(OR($W293="",$Q293="",LEFT($Q293,1)="—"),"",IF($W293=$Q293,"ללא שינוי","מ-"&amp;$W293&amp;" ל-"&amp;$Q293))</f>
        <v/>
      </c>
    </row>
    <row r="294" ht="15.75" customHeight="1" s="58">
      <c r="A294" s="65" t="n"/>
      <c r="B294" s="65" t="n"/>
      <c r="C294" s="66" t="n"/>
      <c r="D294" s="66" t="n"/>
      <c r="E294" s="65" t="n"/>
      <c r="F294" s="65" t="n"/>
      <c r="G294" s="65" t="n"/>
      <c r="H294" s="65" t="n"/>
      <c r="I294" s="65" t="n"/>
      <c r="J294" s="65" t="n"/>
      <c r="K294" s="65" t="n"/>
      <c r="L294" s="65" t="n"/>
      <c r="M294" s="65" t="n"/>
      <c r="N294" s="65" t="n"/>
      <c r="O294" s="65" t="n"/>
      <c r="P294" s="65" t="n"/>
      <c r="Q294" s="32">
        <f>IF($C294="","",IF($J294="","— חסרים נתונים",IF($J294="טרם מפענח","פרופיל 5",IF($J294="קמץ/פתח/חטף-פתח ושוואים","פרופיל 4",IF($J294="2-3 סימני ניקוד","פרופיל 3",IF($J294="4-5 סימני ניקוד","פרופיל 2",IF(AND($O294="משפטים וקטעים קצרים",OR($M294="מבין",$M294="מבין לרוב")),"פרופיל 1","פרופיל 2")))))))</f>
        <v/>
      </c>
      <c r="R294" s="32">
        <f>IF($C294="","",IF(OR($Q294="",LEFT($Q294,1)="—"),"קבוצה רביעית",IF($Q294="פרופיל 5","קבוצת תשתיות",IF(OR($Q294="פרופיל 4",$Q294="פרופיל 3"),"קבוצת רכישה","קבוצת ביסוס"))))</f>
        <v/>
      </c>
      <c r="S294" s="32">
        <f>IF($F294="","",IF($F294="תחילת שנה",1,IF($F294="מחצית שנה",2,3)))</f>
        <v/>
      </c>
      <c r="T294" s="32">
        <f>IF(OR($B294="",$R294="",$A294="",$F294=""),"",$B294&amp;"|"&amp;$A294&amp;"|"&amp;$F294&amp;"|"&amp;$R294&amp;"|"&amp;COUNTIFS($B$6:$B294,$B294,$A$6:$A294,$A294,$F$6:$F294,$F294,$R$6:$R294,$R294))</f>
        <v/>
      </c>
      <c r="U294" s="32">
        <f>IF($C294="","",$C294&amp;"|"&amp;COUNTIFS($C$6:$C294,$C294))</f>
        <v/>
      </c>
      <c r="V294" s="32">
        <f>IF(OR($C294="",$A294="",$S294=""),"",$C294&amp;"|"&amp;$A294&amp;"|"&amp;$S294)</f>
        <v/>
      </c>
      <c r="W294" s="32">
        <f>IF(OR($C294="",$S294="",$S294=1),"",IFERROR(INDEX($Q$6:$Q$1505,MATCH($C294&amp;"|"&amp;$A294&amp;"|"&amp;($S294-1),$V$6:$V$1505,0)),""))</f>
        <v/>
      </c>
      <c r="X294" s="32">
        <f>IF(OR($W294="",$Q294="",LEFT($Q294,1)="—"),"",IF($W294=$Q294,"ללא שינוי","מ-"&amp;$W294&amp;" ל-"&amp;$Q294))</f>
        <v/>
      </c>
    </row>
    <row r="295" ht="15.75" customHeight="1" s="58">
      <c r="A295" s="65" t="n"/>
      <c r="B295" s="65" t="n"/>
      <c r="C295" s="66" t="n"/>
      <c r="D295" s="66" t="n"/>
      <c r="E295" s="65" t="n"/>
      <c r="F295" s="65" t="n"/>
      <c r="G295" s="65" t="n"/>
      <c r="H295" s="65" t="n"/>
      <c r="I295" s="65" t="n"/>
      <c r="J295" s="65" t="n"/>
      <c r="K295" s="65" t="n"/>
      <c r="L295" s="65" t="n"/>
      <c r="M295" s="65" t="n"/>
      <c r="N295" s="65" t="n"/>
      <c r="O295" s="65" t="n"/>
      <c r="P295" s="65" t="n"/>
      <c r="Q295" s="32">
        <f>IF($C295="","",IF($J295="","— חסרים נתונים",IF($J295="טרם מפענח","פרופיל 5",IF($J295="קמץ/פתח/חטף-פתח ושוואים","פרופיל 4",IF($J295="2-3 סימני ניקוד","פרופיל 3",IF($J295="4-5 סימני ניקוד","פרופיל 2",IF(AND($O295="משפטים וקטעים קצרים",OR($M295="מבין",$M295="מבין לרוב")),"פרופיל 1","פרופיל 2")))))))</f>
        <v/>
      </c>
      <c r="R295" s="32">
        <f>IF($C295="","",IF(OR($Q295="",LEFT($Q295,1)="—"),"קבוצה רביעית",IF($Q295="פרופיל 5","קבוצת תשתיות",IF(OR($Q295="פרופיל 4",$Q295="פרופיל 3"),"קבוצת רכישה","קבוצת ביסוס"))))</f>
        <v/>
      </c>
      <c r="S295" s="32">
        <f>IF($F295="","",IF($F295="תחילת שנה",1,IF($F295="מחצית שנה",2,3)))</f>
        <v/>
      </c>
      <c r="T295" s="32">
        <f>IF(OR($B295="",$R295="",$A295="",$F295=""),"",$B295&amp;"|"&amp;$A295&amp;"|"&amp;$F295&amp;"|"&amp;$R295&amp;"|"&amp;COUNTIFS($B$6:$B295,$B295,$A$6:$A295,$A295,$F$6:$F295,$F295,$R$6:$R295,$R295))</f>
        <v/>
      </c>
      <c r="U295" s="32">
        <f>IF($C295="","",$C295&amp;"|"&amp;COUNTIFS($C$6:$C295,$C295))</f>
        <v/>
      </c>
      <c r="V295" s="32">
        <f>IF(OR($C295="",$A295="",$S295=""),"",$C295&amp;"|"&amp;$A295&amp;"|"&amp;$S295)</f>
        <v/>
      </c>
      <c r="W295" s="32">
        <f>IF(OR($C295="",$S295="",$S295=1),"",IFERROR(INDEX($Q$6:$Q$1505,MATCH($C295&amp;"|"&amp;$A295&amp;"|"&amp;($S295-1),$V$6:$V$1505,0)),""))</f>
        <v/>
      </c>
      <c r="X295" s="32">
        <f>IF(OR($W295="",$Q295="",LEFT($Q295,1)="—"),"",IF($W295=$Q295,"ללא שינוי","מ-"&amp;$W295&amp;" ל-"&amp;$Q295))</f>
        <v/>
      </c>
    </row>
    <row r="296" ht="15.75" customHeight="1" s="58">
      <c r="A296" s="65" t="n"/>
      <c r="B296" s="65" t="n"/>
      <c r="C296" s="66" t="n"/>
      <c r="D296" s="66" t="n"/>
      <c r="E296" s="65" t="n"/>
      <c r="F296" s="65" t="n"/>
      <c r="G296" s="65" t="n"/>
      <c r="H296" s="65" t="n"/>
      <c r="I296" s="65" t="n"/>
      <c r="J296" s="65" t="n"/>
      <c r="K296" s="65" t="n"/>
      <c r="L296" s="65" t="n"/>
      <c r="M296" s="65" t="n"/>
      <c r="N296" s="65" t="n"/>
      <c r="O296" s="65" t="n"/>
      <c r="P296" s="65" t="n"/>
      <c r="Q296" s="32">
        <f>IF($C296="","",IF($J296="","— חסרים נתונים",IF($J296="טרם מפענח","פרופיל 5",IF($J296="קמץ/פתח/חטף-פתח ושוואים","פרופיל 4",IF($J296="2-3 סימני ניקוד","פרופיל 3",IF($J296="4-5 סימני ניקוד","פרופיל 2",IF(AND($O296="משפטים וקטעים קצרים",OR($M296="מבין",$M296="מבין לרוב")),"פרופיל 1","פרופיל 2")))))))</f>
        <v/>
      </c>
      <c r="R296" s="32">
        <f>IF($C296="","",IF(OR($Q296="",LEFT($Q296,1)="—"),"קבוצה רביעית",IF($Q296="פרופיל 5","קבוצת תשתיות",IF(OR($Q296="פרופיל 4",$Q296="פרופיל 3"),"קבוצת רכישה","קבוצת ביסוס"))))</f>
        <v/>
      </c>
      <c r="S296" s="32">
        <f>IF($F296="","",IF($F296="תחילת שנה",1,IF($F296="מחצית שנה",2,3)))</f>
        <v/>
      </c>
      <c r="T296" s="32">
        <f>IF(OR($B296="",$R296="",$A296="",$F296=""),"",$B296&amp;"|"&amp;$A296&amp;"|"&amp;$F296&amp;"|"&amp;$R296&amp;"|"&amp;COUNTIFS($B$6:$B296,$B296,$A$6:$A296,$A296,$F$6:$F296,$F296,$R$6:$R296,$R296))</f>
        <v/>
      </c>
      <c r="U296" s="32">
        <f>IF($C296="","",$C296&amp;"|"&amp;COUNTIFS($C$6:$C296,$C296))</f>
        <v/>
      </c>
      <c r="V296" s="32">
        <f>IF(OR($C296="",$A296="",$S296=""),"",$C296&amp;"|"&amp;$A296&amp;"|"&amp;$S296)</f>
        <v/>
      </c>
      <c r="W296" s="32">
        <f>IF(OR($C296="",$S296="",$S296=1),"",IFERROR(INDEX($Q$6:$Q$1505,MATCH($C296&amp;"|"&amp;$A296&amp;"|"&amp;($S296-1),$V$6:$V$1505,0)),""))</f>
        <v/>
      </c>
      <c r="X296" s="32">
        <f>IF(OR($W296="",$Q296="",LEFT($Q296,1)="—"),"",IF($W296=$Q296,"ללא שינוי","מ-"&amp;$W296&amp;" ל-"&amp;$Q296))</f>
        <v/>
      </c>
    </row>
    <row r="297" ht="15.75" customHeight="1" s="58">
      <c r="A297" s="65" t="n"/>
      <c r="B297" s="65" t="n"/>
      <c r="C297" s="66" t="n"/>
      <c r="D297" s="66" t="n"/>
      <c r="E297" s="65" t="n"/>
      <c r="F297" s="65" t="n"/>
      <c r="G297" s="65" t="n"/>
      <c r="H297" s="65" t="n"/>
      <c r="I297" s="65" t="n"/>
      <c r="J297" s="65" t="n"/>
      <c r="K297" s="65" t="n"/>
      <c r="L297" s="65" t="n"/>
      <c r="M297" s="65" t="n"/>
      <c r="N297" s="65" t="n"/>
      <c r="O297" s="65" t="n"/>
      <c r="P297" s="65" t="n"/>
      <c r="Q297" s="32">
        <f>IF($C297="","",IF($J297="","— חסרים נתונים",IF($J297="טרם מפענח","פרופיל 5",IF($J297="קמץ/פתח/חטף-פתח ושוואים","פרופיל 4",IF($J297="2-3 סימני ניקוד","פרופיל 3",IF($J297="4-5 סימני ניקוד","פרופיל 2",IF(AND($O297="משפטים וקטעים קצרים",OR($M297="מבין",$M297="מבין לרוב")),"פרופיל 1","פרופיל 2")))))))</f>
        <v/>
      </c>
      <c r="R297" s="32">
        <f>IF($C297="","",IF(OR($Q297="",LEFT($Q297,1)="—"),"קבוצה רביעית",IF($Q297="פרופיל 5","קבוצת תשתיות",IF(OR($Q297="פרופיל 4",$Q297="פרופיל 3"),"קבוצת רכישה","קבוצת ביסוס"))))</f>
        <v/>
      </c>
      <c r="S297" s="32">
        <f>IF($F297="","",IF($F297="תחילת שנה",1,IF($F297="מחצית שנה",2,3)))</f>
        <v/>
      </c>
      <c r="T297" s="32">
        <f>IF(OR($B297="",$R297="",$A297="",$F297=""),"",$B297&amp;"|"&amp;$A297&amp;"|"&amp;$F297&amp;"|"&amp;$R297&amp;"|"&amp;COUNTIFS($B$6:$B297,$B297,$A$6:$A297,$A297,$F$6:$F297,$F297,$R$6:$R297,$R297))</f>
        <v/>
      </c>
      <c r="U297" s="32">
        <f>IF($C297="","",$C297&amp;"|"&amp;COUNTIFS($C$6:$C297,$C297))</f>
        <v/>
      </c>
      <c r="V297" s="32">
        <f>IF(OR($C297="",$A297="",$S297=""),"",$C297&amp;"|"&amp;$A297&amp;"|"&amp;$S297)</f>
        <v/>
      </c>
      <c r="W297" s="32">
        <f>IF(OR($C297="",$S297="",$S297=1),"",IFERROR(INDEX($Q$6:$Q$1505,MATCH($C297&amp;"|"&amp;$A297&amp;"|"&amp;($S297-1),$V$6:$V$1505,0)),""))</f>
        <v/>
      </c>
      <c r="X297" s="32">
        <f>IF(OR($W297="",$Q297="",LEFT($Q297,1)="—"),"",IF($W297=$Q297,"ללא שינוי","מ-"&amp;$W297&amp;" ל-"&amp;$Q297))</f>
        <v/>
      </c>
    </row>
    <row r="298" ht="15.75" customHeight="1" s="58">
      <c r="A298" s="65" t="n"/>
      <c r="B298" s="65" t="n"/>
      <c r="C298" s="66" t="n"/>
      <c r="D298" s="66" t="n"/>
      <c r="E298" s="65" t="n"/>
      <c r="F298" s="65" t="n"/>
      <c r="G298" s="65" t="n"/>
      <c r="H298" s="65" t="n"/>
      <c r="I298" s="65" t="n"/>
      <c r="J298" s="65" t="n"/>
      <c r="K298" s="65" t="n"/>
      <c r="L298" s="65" t="n"/>
      <c r="M298" s="65" t="n"/>
      <c r="N298" s="65" t="n"/>
      <c r="O298" s="65" t="n"/>
      <c r="P298" s="65" t="n"/>
      <c r="Q298" s="32">
        <f>IF($C298="","",IF($J298="","— חסרים נתונים",IF($J298="טרם מפענח","פרופיל 5",IF($J298="קמץ/פתח/חטף-פתח ושוואים","פרופיל 4",IF($J298="2-3 סימני ניקוד","פרופיל 3",IF($J298="4-5 סימני ניקוד","פרופיל 2",IF(AND($O298="משפטים וקטעים קצרים",OR($M298="מבין",$M298="מבין לרוב")),"פרופיל 1","פרופיל 2")))))))</f>
        <v/>
      </c>
      <c r="R298" s="32">
        <f>IF($C298="","",IF(OR($Q298="",LEFT($Q298,1)="—"),"קבוצה רביעית",IF($Q298="פרופיל 5","קבוצת תשתיות",IF(OR($Q298="פרופיל 4",$Q298="פרופיל 3"),"קבוצת רכישה","קבוצת ביסוס"))))</f>
        <v/>
      </c>
      <c r="S298" s="32">
        <f>IF($F298="","",IF($F298="תחילת שנה",1,IF($F298="מחצית שנה",2,3)))</f>
        <v/>
      </c>
      <c r="T298" s="32">
        <f>IF(OR($B298="",$R298="",$A298="",$F298=""),"",$B298&amp;"|"&amp;$A298&amp;"|"&amp;$F298&amp;"|"&amp;$R298&amp;"|"&amp;COUNTIFS($B$6:$B298,$B298,$A$6:$A298,$A298,$F$6:$F298,$F298,$R$6:$R298,$R298))</f>
        <v/>
      </c>
      <c r="U298" s="32">
        <f>IF($C298="","",$C298&amp;"|"&amp;COUNTIFS($C$6:$C298,$C298))</f>
        <v/>
      </c>
      <c r="V298" s="32">
        <f>IF(OR($C298="",$A298="",$S298=""),"",$C298&amp;"|"&amp;$A298&amp;"|"&amp;$S298)</f>
        <v/>
      </c>
      <c r="W298" s="32">
        <f>IF(OR($C298="",$S298="",$S298=1),"",IFERROR(INDEX($Q$6:$Q$1505,MATCH($C298&amp;"|"&amp;$A298&amp;"|"&amp;($S298-1),$V$6:$V$1505,0)),""))</f>
        <v/>
      </c>
      <c r="X298" s="32">
        <f>IF(OR($W298="",$Q298="",LEFT($Q298,1)="—"),"",IF($W298=$Q298,"ללא שינוי","מ-"&amp;$W298&amp;" ל-"&amp;$Q298))</f>
        <v/>
      </c>
    </row>
    <row r="299" ht="15.75" customHeight="1" s="58">
      <c r="A299" s="65" t="n"/>
      <c r="B299" s="65" t="n"/>
      <c r="C299" s="66" t="n"/>
      <c r="D299" s="66" t="n"/>
      <c r="E299" s="65" t="n"/>
      <c r="F299" s="65" t="n"/>
      <c r="G299" s="65" t="n"/>
      <c r="H299" s="65" t="n"/>
      <c r="I299" s="65" t="n"/>
      <c r="J299" s="65" t="n"/>
      <c r="K299" s="65" t="n"/>
      <c r="L299" s="65" t="n"/>
      <c r="M299" s="65" t="n"/>
      <c r="N299" s="65" t="n"/>
      <c r="O299" s="65" t="n"/>
      <c r="P299" s="65" t="n"/>
      <c r="Q299" s="32">
        <f>IF($C299="","",IF($J299="","— חסרים נתונים",IF($J299="טרם מפענח","פרופיל 5",IF($J299="קמץ/פתח/חטף-פתח ושוואים","פרופיל 4",IF($J299="2-3 סימני ניקוד","פרופיל 3",IF($J299="4-5 סימני ניקוד","פרופיל 2",IF(AND($O299="משפטים וקטעים קצרים",OR($M299="מבין",$M299="מבין לרוב")),"פרופיל 1","פרופיל 2")))))))</f>
        <v/>
      </c>
      <c r="R299" s="32">
        <f>IF($C299="","",IF(OR($Q299="",LEFT($Q299,1)="—"),"קבוצה רביעית",IF($Q299="פרופיל 5","קבוצת תשתיות",IF(OR($Q299="פרופיל 4",$Q299="פרופיל 3"),"קבוצת רכישה","קבוצת ביסוס"))))</f>
        <v/>
      </c>
      <c r="S299" s="32">
        <f>IF($F299="","",IF($F299="תחילת שנה",1,IF($F299="מחצית שנה",2,3)))</f>
        <v/>
      </c>
      <c r="T299" s="32">
        <f>IF(OR($B299="",$R299="",$A299="",$F299=""),"",$B299&amp;"|"&amp;$A299&amp;"|"&amp;$F299&amp;"|"&amp;$R299&amp;"|"&amp;COUNTIFS($B$6:$B299,$B299,$A$6:$A299,$A299,$F$6:$F299,$F299,$R$6:$R299,$R299))</f>
        <v/>
      </c>
      <c r="U299" s="32">
        <f>IF($C299="","",$C299&amp;"|"&amp;COUNTIFS($C$6:$C299,$C299))</f>
        <v/>
      </c>
      <c r="V299" s="32">
        <f>IF(OR($C299="",$A299="",$S299=""),"",$C299&amp;"|"&amp;$A299&amp;"|"&amp;$S299)</f>
        <v/>
      </c>
      <c r="W299" s="32">
        <f>IF(OR($C299="",$S299="",$S299=1),"",IFERROR(INDEX($Q$6:$Q$1505,MATCH($C299&amp;"|"&amp;$A299&amp;"|"&amp;($S299-1),$V$6:$V$1505,0)),""))</f>
        <v/>
      </c>
      <c r="X299" s="32">
        <f>IF(OR($W299="",$Q299="",LEFT($Q299,1)="—"),"",IF($W299=$Q299,"ללא שינוי","מ-"&amp;$W299&amp;" ל-"&amp;$Q299))</f>
        <v/>
      </c>
    </row>
    <row r="300" ht="15.75" customHeight="1" s="58">
      <c r="A300" s="65" t="n"/>
      <c r="B300" s="65" t="n"/>
      <c r="C300" s="66" t="n"/>
      <c r="D300" s="66" t="n"/>
      <c r="E300" s="65" t="n"/>
      <c r="F300" s="65" t="n"/>
      <c r="G300" s="65" t="n"/>
      <c r="H300" s="65" t="n"/>
      <c r="I300" s="65" t="n"/>
      <c r="J300" s="65" t="n"/>
      <c r="K300" s="65" t="n"/>
      <c r="L300" s="65" t="n"/>
      <c r="M300" s="65" t="n"/>
      <c r="N300" s="65" t="n"/>
      <c r="O300" s="65" t="n"/>
      <c r="P300" s="65" t="n"/>
      <c r="Q300" s="32">
        <f>IF($C300="","",IF($J300="","— חסרים נתונים",IF($J300="טרם מפענח","פרופיל 5",IF($J300="קמץ/פתח/חטף-פתח ושוואים","פרופיל 4",IF($J300="2-3 סימני ניקוד","פרופיל 3",IF($J300="4-5 סימני ניקוד","פרופיל 2",IF(AND($O300="משפטים וקטעים קצרים",OR($M300="מבין",$M300="מבין לרוב")),"פרופיל 1","פרופיל 2")))))))</f>
        <v/>
      </c>
      <c r="R300" s="32">
        <f>IF($C300="","",IF(OR($Q300="",LEFT($Q300,1)="—"),"קבוצה רביעית",IF($Q300="פרופיל 5","קבוצת תשתיות",IF(OR($Q300="פרופיל 4",$Q300="פרופיל 3"),"קבוצת רכישה","קבוצת ביסוס"))))</f>
        <v/>
      </c>
      <c r="S300" s="32">
        <f>IF($F300="","",IF($F300="תחילת שנה",1,IF($F300="מחצית שנה",2,3)))</f>
        <v/>
      </c>
      <c r="T300" s="32">
        <f>IF(OR($B300="",$R300="",$A300="",$F300=""),"",$B300&amp;"|"&amp;$A300&amp;"|"&amp;$F300&amp;"|"&amp;$R300&amp;"|"&amp;COUNTIFS($B$6:$B300,$B300,$A$6:$A300,$A300,$F$6:$F300,$F300,$R$6:$R300,$R300))</f>
        <v/>
      </c>
      <c r="U300" s="32">
        <f>IF($C300="","",$C300&amp;"|"&amp;COUNTIFS($C$6:$C300,$C300))</f>
        <v/>
      </c>
      <c r="V300" s="32">
        <f>IF(OR($C300="",$A300="",$S300=""),"",$C300&amp;"|"&amp;$A300&amp;"|"&amp;$S300)</f>
        <v/>
      </c>
      <c r="W300" s="32">
        <f>IF(OR($C300="",$S300="",$S300=1),"",IFERROR(INDEX($Q$6:$Q$1505,MATCH($C300&amp;"|"&amp;$A300&amp;"|"&amp;($S300-1),$V$6:$V$1505,0)),""))</f>
        <v/>
      </c>
      <c r="X300" s="32">
        <f>IF(OR($W300="",$Q300="",LEFT($Q300,1)="—"),"",IF($W300=$Q300,"ללא שינוי","מ-"&amp;$W300&amp;" ל-"&amp;$Q300))</f>
        <v/>
      </c>
    </row>
    <row r="301" ht="15.75" customHeight="1" s="58">
      <c r="A301" s="65" t="n"/>
      <c r="B301" s="65" t="n"/>
      <c r="C301" s="66" t="n"/>
      <c r="D301" s="66" t="n"/>
      <c r="E301" s="65" t="n"/>
      <c r="F301" s="65" t="n"/>
      <c r="G301" s="65" t="n"/>
      <c r="H301" s="65" t="n"/>
      <c r="I301" s="65" t="n"/>
      <c r="J301" s="65" t="n"/>
      <c r="K301" s="65" t="n"/>
      <c r="L301" s="65" t="n"/>
      <c r="M301" s="65" t="n"/>
      <c r="N301" s="65" t="n"/>
      <c r="O301" s="65" t="n"/>
      <c r="P301" s="65" t="n"/>
      <c r="Q301" s="32">
        <f>IF($C301="","",IF($J301="","— חסרים נתונים",IF($J301="טרם מפענח","פרופיל 5",IF($J301="קמץ/פתח/חטף-פתח ושוואים","פרופיל 4",IF($J301="2-3 סימני ניקוד","פרופיל 3",IF($J301="4-5 סימני ניקוד","פרופיל 2",IF(AND($O301="משפטים וקטעים קצרים",OR($M301="מבין",$M301="מבין לרוב")),"פרופיל 1","פרופיל 2")))))))</f>
        <v/>
      </c>
      <c r="R301" s="32">
        <f>IF($C301="","",IF(OR($Q301="",LEFT($Q301,1)="—"),"קבוצה רביעית",IF($Q301="פרופיל 5","קבוצת תשתיות",IF(OR($Q301="פרופיל 4",$Q301="פרופיל 3"),"קבוצת רכישה","קבוצת ביסוס"))))</f>
        <v/>
      </c>
      <c r="S301" s="32">
        <f>IF($F301="","",IF($F301="תחילת שנה",1,IF($F301="מחצית שנה",2,3)))</f>
        <v/>
      </c>
      <c r="T301" s="32">
        <f>IF(OR($B301="",$R301="",$A301="",$F301=""),"",$B301&amp;"|"&amp;$A301&amp;"|"&amp;$F301&amp;"|"&amp;$R301&amp;"|"&amp;COUNTIFS($B$6:$B301,$B301,$A$6:$A301,$A301,$F$6:$F301,$F301,$R$6:$R301,$R301))</f>
        <v/>
      </c>
      <c r="U301" s="32">
        <f>IF($C301="","",$C301&amp;"|"&amp;COUNTIFS($C$6:$C301,$C301))</f>
        <v/>
      </c>
      <c r="V301" s="32">
        <f>IF(OR($C301="",$A301="",$S301=""),"",$C301&amp;"|"&amp;$A301&amp;"|"&amp;$S301)</f>
        <v/>
      </c>
      <c r="W301" s="32">
        <f>IF(OR($C301="",$S301="",$S301=1),"",IFERROR(INDEX($Q$6:$Q$1505,MATCH($C301&amp;"|"&amp;$A301&amp;"|"&amp;($S301-1),$V$6:$V$1505,0)),""))</f>
        <v/>
      </c>
      <c r="X301" s="32">
        <f>IF(OR($W301="",$Q301="",LEFT($Q301,1)="—"),"",IF($W301=$Q301,"ללא שינוי","מ-"&amp;$W301&amp;" ל-"&amp;$Q301))</f>
        <v/>
      </c>
    </row>
    <row r="302" ht="15.75" customHeight="1" s="58">
      <c r="A302" s="65" t="n"/>
      <c r="B302" s="65" t="n"/>
      <c r="C302" s="66" t="n"/>
      <c r="D302" s="66" t="n"/>
      <c r="E302" s="65" t="n"/>
      <c r="F302" s="65" t="n"/>
      <c r="G302" s="65" t="n"/>
      <c r="H302" s="65" t="n"/>
      <c r="I302" s="65" t="n"/>
      <c r="J302" s="65" t="n"/>
      <c r="K302" s="65" t="n"/>
      <c r="L302" s="65" t="n"/>
      <c r="M302" s="65" t="n"/>
      <c r="N302" s="65" t="n"/>
      <c r="O302" s="65" t="n"/>
      <c r="P302" s="65" t="n"/>
      <c r="Q302" s="32">
        <f>IF($C302="","",IF($J302="","— חסרים נתונים",IF($J302="טרם מפענח","פרופיל 5",IF($J302="קמץ/פתח/חטף-פתח ושוואים","פרופיל 4",IF($J302="2-3 סימני ניקוד","פרופיל 3",IF($J302="4-5 סימני ניקוד","פרופיל 2",IF(AND($O302="משפטים וקטעים קצרים",OR($M302="מבין",$M302="מבין לרוב")),"פרופיל 1","פרופיל 2")))))))</f>
        <v/>
      </c>
      <c r="R302" s="32">
        <f>IF($C302="","",IF(OR($Q302="",LEFT($Q302,1)="—"),"קבוצה רביעית",IF($Q302="פרופיל 5","קבוצת תשתיות",IF(OR($Q302="פרופיל 4",$Q302="פרופיל 3"),"קבוצת רכישה","קבוצת ביסוס"))))</f>
        <v/>
      </c>
      <c r="S302" s="32">
        <f>IF($F302="","",IF($F302="תחילת שנה",1,IF($F302="מחצית שנה",2,3)))</f>
        <v/>
      </c>
      <c r="T302" s="32">
        <f>IF(OR($B302="",$R302="",$A302="",$F302=""),"",$B302&amp;"|"&amp;$A302&amp;"|"&amp;$F302&amp;"|"&amp;$R302&amp;"|"&amp;COUNTIFS($B$6:$B302,$B302,$A$6:$A302,$A302,$F$6:$F302,$F302,$R$6:$R302,$R302))</f>
        <v/>
      </c>
      <c r="U302" s="32">
        <f>IF($C302="","",$C302&amp;"|"&amp;COUNTIFS($C$6:$C302,$C302))</f>
        <v/>
      </c>
      <c r="V302" s="32">
        <f>IF(OR($C302="",$A302="",$S302=""),"",$C302&amp;"|"&amp;$A302&amp;"|"&amp;$S302)</f>
        <v/>
      </c>
      <c r="W302" s="32">
        <f>IF(OR($C302="",$S302="",$S302=1),"",IFERROR(INDEX($Q$6:$Q$1505,MATCH($C302&amp;"|"&amp;$A302&amp;"|"&amp;($S302-1),$V$6:$V$1505,0)),""))</f>
        <v/>
      </c>
      <c r="X302" s="32">
        <f>IF(OR($W302="",$Q302="",LEFT($Q302,1)="—"),"",IF($W302=$Q302,"ללא שינוי","מ-"&amp;$W302&amp;" ל-"&amp;$Q302))</f>
        <v/>
      </c>
    </row>
    <row r="303" ht="15.75" customHeight="1" s="58">
      <c r="A303" s="65" t="n"/>
      <c r="B303" s="65" t="n"/>
      <c r="C303" s="66" t="n"/>
      <c r="D303" s="66" t="n"/>
      <c r="E303" s="65" t="n"/>
      <c r="F303" s="65" t="n"/>
      <c r="G303" s="65" t="n"/>
      <c r="H303" s="65" t="n"/>
      <c r="I303" s="65" t="n"/>
      <c r="J303" s="65" t="n"/>
      <c r="K303" s="65" t="n"/>
      <c r="L303" s="65" t="n"/>
      <c r="M303" s="65" t="n"/>
      <c r="N303" s="65" t="n"/>
      <c r="O303" s="65" t="n"/>
      <c r="P303" s="65" t="n"/>
      <c r="Q303" s="32">
        <f>IF($C303="","",IF($J303="","— חסרים נתונים",IF($J303="טרם מפענח","פרופיל 5",IF($J303="קמץ/פתח/חטף-פתח ושוואים","פרופיל 4",IF($J303="2-3 סימני ניקוד","פרופיל 3",IF($J303="4-5 סימני ניקוד","פרופיל 2",IF(AND($O303="משפטים וקטעים קצרים",OR($M303="מבין",$M303="מבין לרוב")),"פרופיל 1","פרופיל 2")))))))</f>
        <v/>
      </c>
      <c r="R303" s="32">
        <f>IF($C303="","",IF(OR($Q303="",LEFT($Q303,1)="—"),"קבוצה רביעית",IF($Q303="פרופיל 5","קבוצת תשתיות",IF(OR($Q303="פרופיל 4",$Q303="פרופיל 3"),"קבוצת רכישה","קבוצת ביסוס"))))</f>
        <v/>
      </c>
      <c r="S303" s="32">
        <f>IF($F303="","",IF($F303="תחילת שנה",1,IF($F303="מחצית שנה",2,3)))</f>
        <v/>
      </c>
      <c r="T303" s="32">
        <f>IF(OR($B303="",$R303="",$A303="",$F303=""),"",$B303&amp;"|"&amp;$A303&amp;"|"&amp;$F303&amp;"|"&amp;$R303&amp;"|"&amp;COUNTIFS($B$6:$B303,$B303,$A$6:$A303,$A303,$F$6:$F303,$F303,$R$6:$R303,$R303))</f>
        <v/>
      </c>
      <c r="U303" s="32">
        <f>IF($C303="","",$C303&amp;"|"&amp;COUNTIFS($C$6:$C303,$C303))</f>
        <v/>
      </c>
      <c r="V303" s="32">
        <f>IF(OR($C303="",$A303="",$S303=""),"",$C303&amp;"|"&amp;$A303&amp;"|"&amp;$S303)</f>
        <v/>
      </c>
      <c r="W303" s="32">
        <f>IF(OR($C303="",$S303="",$S303=1),"",IFERROR(INDEX($Q$6:$Q$1505,MATCH($C303&amp;"|"&amp;$A303&amp;"|"&amp;($S303-1),$V$6:$V$1505,0)),""))</f>
        <v/>
      </c>
      <c r="X303" s="32">
        <f>IF(OR($W303="",$Q303="",LEFT($Q303,1)="—"),"",IF($W303=$Q303,"ללא שינוי","מ-"&amp;$W303&amp;" ל-"&amp;$Q303))</f>
        <v/>
      </c>
    </row>
    <row r="304" ht="15.75" customHeight="1" s="58">
      <c r="A304" s="65" t="n"/>
      <c r="B304" s="65" t="n"/>
      <c r="C304" s="66" t="n"/>
      <c r="D304" s="66" t="n"/>
      <c r="E304" s="65" t="n"/>
      <c r="F304" s="65" t="n"/>
      <c r="G304" s="65" t="n"/>
      <c r="H304" s="65" t="n"/>
      <c r="I304" s="65" t="n"/>
      <c r="J304" s="65" t="n"/>
      <c r="K304" s="65" t="n"/>
      <c r="L304" s="65" t="n"/>
      <c r="M304" s="65" t="n"/>
      <c r="N304" s="65" t="n"/>
      <c r="O304" s="65" t="n"/>
      <c r="P304" s="65" t="n"/>
      <c r="Q304" s="32">
        <f>IF($C304="","",IF($J304="","— חסרים נתונים",IF($J304="טרם מפענח","פרופיל 5",IF($J304="קמץ/פתח/חטף-פתח ושוואים","פרופיל 4",IF($J304="2-3 סימני ניקוד","פרופיל 3",IF($J304="4-5 סימני ניקוד","פרופיל 2",IF(AND($O304="משפטים וקטעים קצרים",OR($M304="מבין",$M304="מבין לרוב")),"פרופיל 1","פרופיל 2")))))))</f>
        <v/>
      </c>
      <c r="R304" s="32">
        <f>IF($C304="","",IF(OR($Q304="",LEFT($Q304,1)="—"),"קבוצה רביעית",IF($Q304="פרופיל 5","קבוצת תשתיות",IF(OR($Q304="פרופיל 4",$Q304="פרופיל 3"),"קבוצת רכישה","קבוצת ביסוס"))))</f>
        <v/>
      </c>
      <c r="S304" s="32">
        <f>IF($F304="","",IF($F304="תחילת שנה",1,IF($F304="מחצית שנה",2,3)))</f>
        <v/>
      </c>
      <c r="T304" s="32">
        <f>IF(OR($B304="",$R304="",$A304="",$F304=""),"",$B304&amp;"|"&amp;$A304&amp;"|"&amp;$F304&amp;"|"&amp;$R304&amp;"|"&amp;COUNTIFS($B$6:$B304,$B304,$A$6:$A304,$A304,$F$6:$F304,$F304,$R$6:$R304,$R304))</f>
        <v/>
      </c>
      <c r="U304" s="32">
        <f>IF($C304="","",$C304&amp;"|"&amp;COUNTIFS($C$6:$C304,$C304))</f>
        <v/>
      </c>
      <c r="V304" s="32">
        <f>IF(OR($C304="",$A304="",$S304=""),"",$C304&amp;"|"&amp;$A304&amp;"|"&amp;$S304)</f>
        <v/>
      </c>
      <c r="W304" s="32">
        <f>IF(OR($C304="",$S304="",$S304=1),"",IFERROR(INDEX($Q$6:$Q$1505,MATCH($C304&amp;"|"&amp;$A304&amp;"|"&amp;($S304-1),$V$6:$V$1505,0)),""))</f>
        <v/>
      </c>
      <c r="X304" s="32">
        <f>IF(OR($W304="",$Q304="",LEFT($Q304,1)="—"),"",IF($W304=$Q304,"ללא שינוי","מ-"&amp;$W304&amp;" ל-"&amp;$Q304))</f>
        <v/>
      </c>
    </row>
    <row r="305" ht="15.75" customHeight="1" s="58">
      <c r="A305" s="65" t="n"/>
      <c r="B305" s="65" t="n"/>
      <c r="C305" s="66" t="n"/>
      <c r="D305" s="66" t="n"/>
      <c r="E305" s="65" t="n"/>
      <c r="F305" s="65" t="n"/>
      <c r="G305" s="65" t="n"/>
      <c r="H305" s="65" t="n"/>
      <c r="I305" s="65" t="n"/>
      <c r="J305" s="65" t="n"/>
      <c r="K305" s="65" t="n"/>
      <c r="L305" s="65" t="n"/>
      <c r="M305" s="65" t="n"/>
      <c r="N305" s="65" t="n"/>
      <c r="O305" s="65" t="n"/>
      <c r="P305" s="65" t="n"/>
      <c r="Q305" s="32">
        <f>IF($C305="","",IF($J305="","— חסרים נתונים",IF($J305="טרם מפענח","פרופיל 5",IF($J305="קמץ/פתח/חטף-פתח ושוואים","פרופיל 4",IF($J305="2-3 סימני ניקוד","פרופיל 3",IF($J305="4-5 סימני ניקוד","פרופיל 2",IF(AND($O305="משפטים וקטעים קצרים",OR($M305="מבין",$M305="מבין לרוב")),"פרופיל 1","פרופיל 2")))))))</f>
        <v/>
      </c>
      <c r="R305" s="32">
        <f>IF($C305="","",IF(OR($Q305="",LEFT($Q305,1)="—"),"קבוצה רביעית",IF($Q305="פרופיל 5","קבוצת תשתיות",IF(OR($Q305="פרופיל 4",$Q305="פרופיל 3"),"קבוצת רכישה","קבוצת ביסוס"))))</f>
        <v/>
      </c>
      <c r="S305" s="32">
        <f>IF($F305="","",IF($F305="תחילת שנה",1,IF($F305="מחצית שנה",2,3)))</f>
        <v/>
      </c>
      <c r="T305" s="32">
        <f>IF(OR($B305="",$R305="",$A305="",$F305=""),"",$B305&amp;"|"&amp;$A305&amp;"|"&amp;$F305&amp;"|"&amp;$R305&amp;"|"&amp;COUNTIFS($B$6:$B305,$B305,$A$6:$A305,$A305,$F$6:$F305,$F305,$R$6:$R305,$R305))</f>
        <v/>
      </c>
      <c r="U305" s="32">
        <f>IF($C305="","",$C305&amp;"|"&amp;COUNTIFS($C$6:$C305,$C305))</f>
        <v/>
      </c>
      <c r="V305" s="32">
        <f>IF(OR($C305="",$A305="",$S305=""),"",$C305&amp;"|"&amp;$A305&amp;"|"&amp;$S305)</f>
        <v/>
      </c>
      <c r="W305" s="32">
        <f>IF(OR($C305="",$S305="",$S305=1),"",IFERROR(INDEX($Q$6:$Q$1505,MATCH($C305&amp;"|"&amp;$A305&amp;"|"&amp;($S305-1),$V$6:$V$1505,0)),""))</f>
        <v/>
      </c>
      <c r="X305" s="32">
        <f>IF(OR($W305="",$Q305="",LEFT($Q305,1)="—"),"",IF($W305=$Q305,"ללא שינוי","מ-"&amp;$W305&amp;" ל-"&amp;$Q305))</f>
        <v/>
      </c>
    </row>
    <row r="306" ht="15.75" customHeight="1" s="58">
      <c r="A306" s="65" t="n"/>
      <c r="B306" s="65" t="n"/>
      <c r="C306" s="66" t="n"/>
      <c r="D306" s="66" t="n"/>
      <c r="E306" s="65" t="n"/>
      <c r="F306" s="65" t="n"/>
      <c r="G306" s="65" t="n"/>
      <c r="H306" s="65" t="n"/>
      <c r="I306" s="65" t="n"/>
      <c r="J306" s="65" t="n"/>
      <c r="K306" s="65" t="n"/>
      <c r="L306" s="65" t="n"/>
      <c r="M306" s="65" t="n"/>
      <c r="N306" s="65" t="n"/>
      <c r="O306" s="65" t="n"/>
      <c r="P306" s="65" t="n"/>
      <c r="Q306" s="32">
        <f>IF($C306="","",IF($J306="","— חסרים נתונים",IF($J306="טרם מפענח","פרופיל 5",IF($J306="קמץ/פתח/חטף-פתח ושוואים","פרופיל 4",IF($J306="2-3 סימני ניקוד","פרופיל 3",IF($J306="4-5 סימני ניקוד","פרופיל 2",IF(AND($O306="משפטים וקטעים קצרים",OR($M306="מבין",$M306="מבין לרוב")),"פרופיל 1","פרופיל 2")))))))</f>
        <v/>
      </c>
      <c r="R306" s="32">
        <f>IF($C306="","",IF(OR($Q306="",LEFT($Q306,1)="—"),"קבוצה רביעית",IF($Q306="פרופיל 5","קבוצת תשתיות",IF(OR($Q306="פרופיל 4",$Q306="פרופיל 3"),"קבוצת רכישה","קבוצת ביסוס"))))</f>
        <v/>
      </c>
      <c r="S306" s="32">
        <f>IF($F306="","",IF($F306="תחילת שנה",1,IF($F306="מחצית שנה",2,3)))</f>
        <v/>
      </c>
      <c r="T306" s="32">
        <f>IF(OR($B306="",$R306="",$A306="",$F306=""),"",$B306&amp;"|"&amp;$A306&amp;"|"&amp;$F306&amp;"|"&amp;$R306&amp;"|"&amp;COUNTIFS($B$6:$B306,$B306,$A$6:$A306,$A306,$F$6:$F306,$F306,$R$6:$R306,$R306))</f>
        <v/>
      </c>
      <c r="U306" s="32">
        <f>IF($C306="","",$C306&amp;"|"&amp;COUNTIFS($C$6:$C306,$C306))</f>
        <v/>
      </c>
      <c r="V306" s="32">
        <f>IF(OR($C306="",$A306="",$S306=""),"",$C306&amp;"|"&amp;$A306&amp;"|"&amp;$S306)</f>
        <v/>
      </c>
      <c r="W306" s="32">
        <f>IF(OR($C306="",$S306="",$S306=1),"",IFERROR(INDEX($Q$6:$Q$1505,MATCH($C306&amp;"|"&amp;$A306&amp;"|"&amp;($S306-1),$V$6:$V$1505,0)),""))</f>
        <v/>
      </c>
      <c r="X306" s="32">
        <f>IF(OR($W306="",$Q306="",LEFT($Q306,1)="—"),"",IF($W306=$Q306,"ללא שינוי","מ-"&amp;$W306&amp;" ל-"&amp;$Q306))</f>
        <v/>
      </c>
    </row>
    <row r="307" ht="15.75" customHeight="1" s="58">
      <c r="A307" s="65" t="n"/>
      <c r="B307" s="65" t="n"/>
      <c r="C307" s="66" t="n"/>
      <c r="D307" s="66" t="n"/>
      <c r="E307" s="65" t="n"/>
      <c r="F307" s="65" t="n"/>
      <c r="G307" s="65" t="n"/>
      <c r="H307" s="65" t="n"/>
      <c r="I307" s="65" t="n"/>
      <c r="J307" s="65" t="n"/>
      <c r="K307" s="65" t="n"/>
      <c r="L307" s="65" t="n"/>
      <c r="M307" s="65" t="n"/>
      <c r="N307" s="65" t="n"/>
      <c r="O307" s="65" t="n"/>
      <c r="P307" s="65" t="n"/>
      <c r="Q307" s="32">
        <f>IF($C307="","",IF($J307="","— חסרים נתונים",IF($J307="טרם מפענח","פרופיל 5",IF($J307="קמץ/פתח/חטף-פתח ושוואים","פרופיל 4",IF($J307="2-3 סימני ניקוד","פרופיל 3",IF($J307="4-5 סימני ניקוד","פרופיל 2",IF(AND($O307="משפטים וקטעים קצרים",OR($M307="מבין",$M307="מבין לרוב")),"פרופיל 1","פרופיל 2")))))))</f>
        <v/>
      </c>
      <c r="R307" s="32">
        <f>IF($C307="","",IF(OR($Q307="",LEFT($Q307,1)="—"),"קבוצה רביעית",IF($Q307="פרופיל 5","קבוצת תשתיות",IF(OR($Q307="פרופיל 4",$Q307="פרופיל 3"),"קבוצת רכישה","קבוצת ביסוס"))))</f>
        <v/>
      </c>
      <c r="S307" s="32">
        <f>IF($F307="","",IF($F307="תחילת שנה",1,IF($F307="מחצית שנה",2,3)))</f>
        <v/>
      </c>
      <c r="T307" s="32">
        <f>IF(OR($B307="",$R307="",$A307="",$F307=""),"",$B307&amp;"|"&amp;$A307&amp;"|"&amp;$F307&amp;"|"&amp;$R307&amp;"|"&amp;COUNTIFS($B$6:$B307,$B307,$A$6:$A307,$A307,$F$6:$F307,$F307,$R$6:$R307,$R307))</f>
        <v/>
      </c>
      <c r="U307" s="32">
        <f>IF($C307="","",$C307&amp;"|"&amp;COUNTIFS($C$6:$C307,$C307))</f>
        <v/>
      </c>
      <c r="V307" s="32">
        <f>IF(OR($C307="",$A307="",$S307=""),"",$C307&amp;"|"&amp;$A307&amp;"|"&amp;$S307)</f>
        <v/>
      </c>
      <c r="W307" s="32">
        <f>IF(OR($C307="",$S307="",$S307=1),"",IFERROR(INDEX($Q$6:$Q$1505,MATCH($C307&amp;"|"&amp;$A307&amp;"|"&amp;($S307-1),$V$6:$V$1505,0)),""))</f>
        <v/>
      </c>
      <c r="X307" s="32">
        <f>IF(OR($W307="",$Q307="",LEFT($Q307,1)="—"),"",IF($W307=$Q307,"ללא שינוי","מ-"&amp;$W307&amp;" ל-"&amp;$Q307))</f>
        <v/>
      </c>
    </row>
    <row r="308" ht="15.75" customHeight="1" s="58">
      <c r="A308" s="65" t="n"/>
      <c r="B308" s="65" t="n"/>
      <c r="C308" s="66" t="n"/>
      <c r="D308" s="66" t="n"/>
      <c r="E308" s="65" t="n"/>
      <c r="F308" s="65" t="n"/>
      <c r="G308" s="65" t="n"/>
      <c r="H308" s="65" t="n"/>
      <c r="I308" s="65" t="n"/>
      <c r="J308" s="65" t="n"/>
      <c r="K308" s="65" t="n"/>
      <c r="L308" s="65" t="n"/>
      <c r="M308" s="65" t="n"/>
      <c r="N308" s="65" t="n"/>
      <c r="O308" s="65" t="n"/>
      <c r="P308" s="65" t="n"/>
      <c r="Q308" s="32">
        <f>IF($C308="","",IF($J308="","— חסרים נתונים",IF($J308="טרם מפענח","פרופיל 5",IF($J308="קמץ/פתח/חטף-פתח ושוואים","פרופיל 4",IF($J308="2-3 סימני ניקוד","פרופיל 3",IF($J308="4-5 סימני ניקוד","פרופיל 2",IF(AND($O308="משפטים וקטעים קצרים",OR($M308="מבין",$M308="מבין לרוב")),"פרופיל 1","פרופיל 2")))))))</f>
        <v/>
      </c>
      <c r="R308" s="32">
        <f>IF($C308="","",IF(OR($Q308="",LEFT($Q308,1)="—"),"קבוצה רביעית",IF($Q308="פרופיל 5","קבוצת תשתיות",IF(OR($Q308="פרופיל 4",$Q308="פרופיל 3"),"קבוצת רכישה","קבוצת ביסוס"))))</f>
        <v/>
      </c>
      <c r="S308" s="32">
        <f>IF($F308="","",IF($F308="תחילת שנה",1,IF($F308="מחצית שנה",2,3)))</f>
        <v/>
      </c>
      <c r="T308" s="32">
        <f>IF(OR($B308="",$R308="",$A308="",$F308=""),"",$B308&amp;"|"&amp;$A308&amp;"|"&amp;$F308&amp;"|"&amp;$R308&amp;"|"&amp;COUNTIFS($B$6:$B308,$B308,$A$6:$A308,$A308,$F$6:$F308,$F308,$R$6:$R308,$R308))</f>
        <v/>
      </c>
      <c r="U308" s="32">
        <f>IF($C308="","",$C308&amp;"|"&amp;COUNTIFS($C$6:$C308,$C308))</f>
        <v/>
      </c>
      <c r="V308" s="32">
        <f>IF(OR($C308="",$A308="",$S308=""),"",$C308&amp;"|"&amp;$A308&amp;"|"&amp;$S308)</f>
        <v/>
      </c>
      <c r="W308" s="32">
        <f>IF(OR($C308="",$S308="",$S308=1),"",IFERROR(INDEX($Q$6:$Q$1505,MATCH($C308&amp;"|"&amp;$A308&amp;"|"&amp;($S308-1),$V$6:$V$1505,0)),""))</f>
        <v/>
      </c>
      <c r="X308" s="32">
        <f>IF(OR($W308="",$Q308="",LEFT($Q308,1)="—"),"",IF($W308=$Q308,"ללא שינוי","מ-"&amp;$W308&amp;" ל-"&amp;$Q308))</f>
        <v/>
      </c>
    </row>
    <row r="309" ht="15.75" customHeight="1" s="58">
      <c r="A309" s="65" t="n"/>
      <c r="B309" s="65" t="n"/>
      <c r="C309" s="66" t="n"/>
      <c r="D309" s="66" t="n"/>
      <c r="E309" s="65" t="n"/>
      <c r="F309" s="65" t="n"/>
      <c r="G309" s="65" t="n"/>
      <c r="H309" s="65" t="n"/>
      <c r="I309" s="65" t="n"/>
      <c r="J309" s="65" t="n"/>
      <c r="K309" s="65" t="n"/>
      <c r="L309" s="65" t="n"/>
      <c r="M309" s="65" t="n"/>
      <c r="N309" s="65" t="n"/>
      <c r="O309" s="65" t="n"/>
      <c r="P309" s="65" t="n"/>
      <c r="Q309" s="32">
        <f>IF($C309="","",IF($J309="","— חסרים נתונים",IF($J309="טרם מפענח","פרופיל 5",IF($J309="קמץ/פתח/חטף-פתח ושוואים","פרופיל 4",IF($J309="2-3 סימני ניקוד","פרופיל 3",IF($J309="4-5 סימני ניקוד","פרופיל 2",IF(AND($O309="משפטים וקטעים קצרים",OR($M309="מבין",$M309="מבין לרוב")),"פרופיל 1","פרופיל 2")))))))</f>
        <v/>
      </c>
      <c r="R309" s="32">
        <f>IF($C309="","",IF(OR($Q309="",LEFT($Q309,1)="—"),"קבוצה רביעית",IF($Q309="פרופיל 5","קבוצת תשתיות",IF(OR($Q309="פרופיל 4",$Q309="פרופיל 3"),"קבוצת רכישה","קבוצת ביסוס"))))</f>
        <v/>
      </c>
      <c r="S309" s="32">
        <f>IF($F309="","",IF($F309="תחילת שנה",1,IF($F309="מחצית שנה",2,3)))</f>
        <v/>
      </c>
      <c r="T309" s="32">
        <f>IF(OR($B309="",$R309="",$A309="",$F309=""),"",$B309&amp;"|"&amp;$A309&amp;"|"&amp;$F309&amp;"|"&amp;$R309&amp;"|"&amp;COUNTIFS($B$6:$B309,$B309,$A$6:$A309,$A309,$F$6:$F309,$F309,$R$6:$R309,$R309))</f>
        <v/>
      </c>
      <c r="U309" s="32">
        <f>IF($C309="","",$C309&amp;"|"&amp;COUNTIFS($C$6:$C309,$C309))</f>
        <v/>
      </c>
      <c r="V309" s="32">
        <f>IF(OR($C309="",$A309="",$S309=""),"",$C309&amp;"|"&amp;$A309&amp;"|"&amp;$S309)</f>
        <v/>
      </c>
      <c r="W309" s="32">
        <f>IF(OR($C309="",$S309="",$S309=1),"",IFERROR(INDEX($Q$6:$Q$1505,MATCH($C309&amp;"|"&amp;$A309&amp;"|"&amp;($S309-1),$V$6:$V$1505,0)),""))</f>
        <v/>
      </c>
      <c r="X309" s="32">
        <f>IF(OR($W309="",$Q309="",LEFT($Q309,1)="—"),"",IF($W309=$Q309,"ללא שינוי","מ-"&amp;$W309&amp;" ל-"&amp;$Q309))</f>
        <v/>
      </c>
    </row>
    <row r="310" ht="15.75" customHeight="1" s="58">
      <c r="A310" s="65" t="n"/>
      <c r="B310" s="65" t="n"/>
      <c r="C310" s="66" t="n"/>
      <c r="D310" s="66" t="n"/>
      <c r="E310" s="65" t="n"/>
      <c r="F310" s="65" t="n"/>
      <c r="G310" s="65" t="n"/>
      <c r="H310" s="65" t="n"/>
      <c r="I310" s="65" t="n"/>
      <c r="J310" s="65" t="n"/>
      <c r="K310" s="65" t="n"/>
      <c r="L310" s="65" t="n"/>
      <c r="M310" s="65" t="n"/>
      <c r="N310" s="65" t="n"/>
      <c r="O310" s="65" t="n"/>
      <c r="P310" s="65" t="n"/>
      <c r="Q310" s="32">
        <f>IF($C310="","",IF($J310="","— חסרים נתונים",IF($J310="טרם מפענח","פרופיל 5",IF($J310="קמץ/פתח/חטף-פתח ושוואים","פרופיל 4",IF($J310="2-3 סימני ניקוד","פרופיל 3",IF($J310="4-5 סימני ניקוד","פרופיל 2",IF(AND($O310="משפטים וקטעים קצרים",OR($M310="מבין",$M310="מבין לרוב")),"פרופיל 1","פרופיל 2")))))))</f>
        <v/>
      </c>
      <c r="R310" s="32">
        <f>IF($C310="","",IF(OR($Q310="",LEFT($Q310,1)="—"),"קבוצה רביעית",IF($Q310="פרופיל 5","קבוצת תשתיות",IF(OR($Q310="פרופיל 4",$Q310="פרופיל 3"),"קבוצת רכישה","קבוצת ביסוס"))))</f>
        <v/>
      </c>
      <c r="S310" s="32">
        <f>IF($F310="","",IF($F310="תחילת שנה",1,IF($F310="מחצית שנה",2,3)))</f>
        <v/>
      </c>
      <c r="T310" s="32">
        <f>IF(OR($B310="",$R310="",$A310="",$F310=""),"",$B310&amp;"|"&amp;$A310&amp;"|"&amp;$F310&amp;"|"&amp;$R310&amp;"|"&amp;COUNTIFS($B$6:$B310,$B310,$A$6:$A310,$A310,$F$6:$F310,$F310,$R$6:$R310,$R310))</f>
        <v/>
      </c>
      <c r="U310" s="32">
        <f>IF($C310="","",$C310&amp;"|"&amp;COUNTIFS($C$6:$C310,$C310))</f>
        <v/>
      </c>
      <c r="V310" s="32">
        <f>IF(OR($C310="",$A310="",$S310=""),"",$C310&amp;"|"&amp;$A310&amp;"|"&amp;$S310)</f>
        <v/>
      </c>
      <c r="W310" s="32">
        <f>IF(OR($C310="",$S310="",$S310=1),"",IFERROR(INDEX($Q$6:$Q$1505,MATCH($C310&amp;"|"&amp;$A310&amp;"|"&amp;($S310-1),$V$6:$V$1505,0)),""))</f>
        <v/>
      </c>
      <c r="X310" s="32">
        <f>IF(OR($W310="",$Q310="",LEFT($Q310,1)="—"),"",IF($W310=$Q310,"ללא שינוי","מ-"&amp;$W310&amp;" ל-"&amp;$Q310))</f>
        <v/>
      </c>
    </row>
    <row r="311" ht="15.75" customHeight="1" s="58">
      <c r="A311" s="65" t="n"/>
      <c r="B311" s="65" t="n"/>
      <c r="C311" s="66" t="n"/>
      <c r="D311" s="66" t="n"/>
      <c r="E311" s="65" t="n"/>
      <c r="F311" s="65" t="n"/>
      <c r="G311" s="65" t="n"/>
      <c r="H311" s="65" t="n"/>
      <c r="I311" s="65" t="n"/>
      <c r="J311" s="65" t="n"/>
      <c r="K311" s="65" t="n"/>
      <c r="L311" s="65" t="n"/>
      <c r="M311" s="65" t="n"/>
      <c r="N311" s="65" t="n"/>
      <c r="O311" s="65" t="n"/>
      <c r="P311" s="65" t="n"/>
      <c r="Q311" s="32">
        <f>IF($C311="","",IF($J311="","— חסרים נתונים",IF($J311="טרם מפענח","פרופיל 5",IF($J311="קמץ/פתח/חטף-פתח ושוואים","פרופיל 4",IF($J311="2-3 סימני ניקוד","פרופיל 3",IF($J311="4-5 סימני ניקוד","פרופיל 2",IF(AND($O311="משפטים וקטעים קצרים",OR($M311="מבין",$M311="מבין לרוב")),"פרופיל 1","פרופיל 2")))))))</f>
        <v/>
      </c>
      <c r="R311" s="32">
        <f>IF($C311="","",IF(OR($Q311="",LEFT($Q311,1)="—"),"קבוצה רביעית",IF($Q311="פרופיל 5","קבוצת תשתיות",IF(OR($Q311="פרופיל 4",$Q311="פרופיל 3"),"קבוצת רכישה","קבוצת ביסוס"))))</f>
        <v/>
      </c>
      <c r="S311" s="32">
        <f>IF($F311="","",IF($F311="תחילת שנה",1,IF($F311="מחצית שנה",2,3)))</f>
        <v/>
      </c>
      <c r="T311" s="32">
        <f>IF(OR($B311="",$R311="",$A311="",$F311=""),"",$B311&amp;"|"&amp;$A311&amp;"|"&amp;$F311&amp;"|"&amp;$R311&amp;"|"&amp;COUNTIFS($B$6:$B311,$B311,$A$6:$A311,$A311,$F$6:$F311,$F311,$R$6:$R311,$R311))</f>
        <v/>
      </c>
      <c r="U311" s="32">
        <f>IF($C311="","",$C311&amp;"|"&amp;COUNTIFS($C$6:$C311,$C311))</f>
        <v/>
      </c>
      <c r="V311" s="32">
        <f>IF(OR($C311="",$A311="",$S311=""),"",$C311&amp;"|"&amp;$A311&amp;"|"&amp;$S311)</f>
        <v/>
      </c>
      <c r="W311" s="32">
        <f>IF(OR($C311="",$S311="",$S311=1),"",IFERROR(INDEX($Q$6:$Q$1505,MATCH($C311&amp;"|"&amp;$A311&amp;"|"&amp;($S311-1),$V$6:$V$1505,0)),""))</f>
        <v/>
      </c>
      <c r="X311" s="32">
        <f>IF(OR($W311="",$Q311="",LEFT($Q311,1)="—"),"",IF($W311=$Q311,"ללא שינוי","מ-"&amp;$W311&amp;" ל-"&amp;$Q311))</f>
        <v/>
      </c>
    </row>
    <row r="312" ht="15.75" customHeight="1" s="58">
      <c r="A312" s="65" t="n"/>
      <c r="B312" s="65" t="n"/>
      <c r="C312" s="66" t="n"/>
      <c r="D312" s="66" t="n"/>
      <c r="E312" s="65" t="n"/>
      <c r="F312" s="65" t="n"/>
      <c r="G312" s="65" t="n"/>
      <c r="H312" s="65" t="n"/>
      <c r="I312" s="65" t="n"/>
      <c r="J312" s="65" t="n"/>
      <c r="K312" s="65" t="n"/>
      <c r="L312" s="65" t="n"/>
      <c r="M312" s="65" t="n"/>
      <c r="N312" s="65" t="n"/>
      <c r="O312" s="65" t="n"/>
      <c r="P312" s="65" t="n"/>
      <c r="Q312" s="32">
        <f>IF($C312="","",IF($J312="","— חסרים נתונים",IF($J312="טרם מפענח","פרופיל 5",IF($J312="קמץ/פתח/חטף-פתח ושוואים","פרופיל 4",IF($J312="2-3 סימני ניקוד","פרופיל 3",IF($J312="4-5 סימני ניקוד","פרופיל 2",IF(AND($O312="משפטים וקטעים קצרים",OR($M312="מבין",$M312="מבין לרוב")),"פרופיל 1","פרופיל 2")))))))</f>
        <v/>
      </c>
      <c r="R312" s="32">
        <f>IF($C312="","",IF(OR($Q312="",LEFT($Q312,1)="—"),"קבוצה רביעית",IF($Q312="פרופיל 5","קבוצת תשתיות",IF(OR($Q312="פרופיל 4",$Q312="פרופיל 3"),"קבוצת רכישה","קבוצת ביסוס"))))</f>
        <v/>
      </c>
      <c r="S312" s="32">
        <f>IF($F312="","",IF($F312="תחילת שנה",1,IF($F312="מחצית שנה",2,3)))</f>
        <v/>
      </c>
      <c r="T312" s="32">
        <f>IF(OR($B312="",$R312="",$A312="",$F312=""),"",$B312&amp;"|"&amp;$A312&amp;"|"&amp;$F312&amp;"|"&amp;$R312&amp;"|"&amp;COUNTIFS($B$6:$B312,$B312,$A$6:$A312,$A312,$F$6:$F312,$F312,$R$6:$R312,$R312))</f>
        <v/>
      </c>
      <c r="U312" s="32">
        <f>IF($C312="","",$C312&amp;"|"&amp;COUNTIFS($C$6:$C312,$C312))</f>
        <v/>
      </c>
      <c r="V312" s="32">
        <f>IF(OR($C312="",$A312="",$S312=""),"",$C312&amp;"|"&amp;$A312&amp;"|"&amp;$S312)</f>
        <v/>
      </c>
      <c r="W312" s="32">
        <f>IF(OR($C312="",$S312="",$S312=1),"",IFERROR(INDEX($Q$6:$Q$1505,MATCH($C312&amp;"|"&amp;$A312&amp;"|"&amp;($S312-1),$V$6:$V$1505,0)),""))</f>
        <v/>
      </c>
      <c r="X312" s="32">
        <f>IF(OR($W312="",$Q312="",LEFT($Q312,1)="—"),"",IF($W312=$Q312,"ללא שינוי","מ-"&amp;$W312&amp;" ל-"&amp;$Q312))</f>
        <v/>
      </c>
    </row>
    <row r="313" ht="15.75" customHeight="1" s="58">
      <c r="A313" s="65" t="n"/>
      <c r="B313" s="65" t="n"/>
      <c r="C313" s="66" t="n"/>
      <c r="D313" s="66" t="n"/>
      <c r="E313" s="65" t="n"/>
      <c r="F313" s="65" t="n"/>
      <c r="G313" s="65" t="n"/>
      <c r="H313" s="65" t="n"/>
      <c r="I313" s="65" t="n"/>
      <c r="J313" s="65" t="n"/>
      <c r="K313" s="65" t="n"/>
      <c r="L313" s="65" t="n"/>
      <c r="M313" s="65" t="n"/>
      <c r="N313" s="65" t="n"/>
      <c r="O313" s="65" t="n"/>
      <c r="P313" s="65" t="n"/>
      <c r="Q313" s="32">
        <f>IF($C313="","",IF($J313="","— חסרים נתונים",IF($J313="טרם מפענח","פרופיל 5",IF($J313="קמץ/פתח/חטף-פתח ושוואים","פרופיל 4",IF($J313="2-3 סימני ניקוד","פרופיל 3",IF($J313="4-5 סימני ניקוד","פרופיל 2",IF(AND($O313="משפטים וקטעים קצרים",OR($M313="מבין",$M313="מבין לרוב")),"פרופיל 1","פרופיל 2")))))))</f>
        <v/>
      </c>
      <c r="R313" s="32">
        <f>IF($C313="","",IF(OR($Q313="",LEFT($Q313,1)="—"),"קבוצה רביעית",IF($Q313="פרופיל 5","קבוצת תשתיות",IF(OR($Q313="פרופיל 4",$Q313="פרופיל 3"),"קבוצת רכישה","קבוצת ביסוס"))))</f>
        <v/>
      </c>
      <c r="S313" s="32">
        <f>IF($F313="","",IF($F313="תחילת שנה",1,IF($F313="מחצית שנה",2,3)))</f>
        <v/>
      </c>
      <c r="T313" s="32">
        <f>IF(OR($B313="",$R313="",$A313="",$F313=""),"",$B313&amp;"|"&amp;$A313&amp;"|"&amp;$F313&amp;"|"&amp;$R313&amp;"|"&amp;COUNTIFS($B$6:$B313,$B313,$A$6:$A313,$A313,$F$6:$F313,$F313,$R$6:$R313,$R313))</f>
        <v/>
      </c>
      <c r="U313" s="32">
        <f>IF($C313="","",$C313&amp;"|"&amp;COUNTIFS($C$6:$C313,$C313))</f>
        <v/>
      </c>
      <c r="V313" s="32">
        <f>IF(OR($C313="",$A313="",$S313=""),"",$C313&amp;"|"&amp;$A313&amp;"|"&amp;$S313)</f>
        <v/>
      </c>
      <c r="W313" s="32">
        <f>IF(OR($C313="",$S313="",$S313=1),"",IFERROR(INDEX($Q$6:$Q$1505,MATCH($C313&amp;"|"&amp;$A313&amp;"|"&amp;($S313-1),$V$6:$V$1505,0)),""))</f>
        <v/>
      </c>
      <c r="X313" s="32">
        <f>IF(OR($W313="",$Q313="",LEFT($Q313,1)="—"),"",IF($W313=$Q313,"ללא שינוי","מ-"&amp;$W313&amp;" ל-"&amp;$Q313))</f>
        <v/>
      </c>
    </row>
    <row r="314" ht="15.75" customHeight="1" s="58">
      <c r="A314" s="65" t="n"/>
      <c r="B314" s="65" t="n"/>
      <c r="C314" s="66" t="n"/>
      <c r="D314" s="66" t="n"/>
      <c r="E314" s="65" t="n"/>
      <c r="F314" s="65" t="n"/>
      <c r="G314" s="65" t="n"/>
      <c r="H314" s="65" t="n"/>
      <c r="I314" s="65" t="n"/>
      <c r="J314" s="65" t="n"/>
      <c r="K314" s="65" t="n"/>
      <c r="L314" s="65" t="n"/>
      <c r="M314" s="65" t="n"/>
      <c r="N314" s="65" t="n"/>
      <c r="O314" s="65" t="n"/>
      <c r="P314" s="65" t="n"/>
      <c r="Q314" s="32">
        <f>IF($C314="","",IF($J314="","— חסרים נתונים",IF($J314="טרם מפענח","פרופיל 5",IF($J314="קמץ/פתח/חטף-פתח ושוואים","פרופיל 4",IF($J314="2-3 סימני ניקוד","פרופיל 3",IF($J314="4-5 סימני ניקוד","פרופיל 2",IF(AND($O314="משפטים וקטעים קצרים",OR($M314="מבין",$M314="מבין לרוב")),"פרופיל 1","פרופיל 2")))))))</f>
        <v/>
      </c>
      <c r="R314" s="32">
        <f>IF($C314="","",IF(OR($Q314="",LEFT($Q314,1)="—"),"קבוצה רביעית",IF($Q314="פרופיל 5","קבוצת תשתיות",IF(OR($Q314="פרופיל 4",$Q314="פרופיל 3"),"קבוצת רכישה","קבוצת ביסוס"))))</f>
        <v/>
      </c>
      <c r="S314" s="32">
        <f>IF($F314="","",IF($F314="תחילת שנה",1,IF($F314="מחצית שנה",2,3)))</f>
        <v/>
      </c>
      <c r="T314" s="32">
        <f>IF(OR($B314="",$R314="",$A314="",$F314=""),"",$B314&amp;"|"&amp;$A314&amp;"|"&amp;$F314&amp;"|"&amp;$R314&amp;"|"&amp;COUNTIFS($B$6:$B314,$B314,$A$6:$A314,$A314,$F$6:$F314,$F314,$R$6:$R314,$R314))</f>
        <v/>
      </c>
      <c r="U314" s="32">
        <f>IF($C314="","",$C314&amp;"|"&amp;COUNTIFS($C$6:$C314,$C314))</f>
        <v/>
      </c>
      <c r="V314" s="32">
        <f>IF(OR($C314="",$A314="",$S314=""),"",$C314&amp;"|"&amp;$A314&amp;"|"&amp;$S314)</f>
        <v/>
      </c>
      <c r="W314" s="32">
        <f>IF(OR($C314="",$S314="",$S314=1),"",IFERROR(INDEX($Q$6:$Q$1505,MATCH($C314&amp;"|"&amp;$A314&amp;"|"&amp;($S314-1),$V$6:$V$1505,0)),""))</f>
        <v/>
      </c>
      <c r="X314" s="32">
        <f>IF(OR($W314="",$Q314="",LEFT($Q314,1)="—"),"",IF($W314=$Q314,"ללא שינוי","מ-"&amp;$W314&amp;" ל-"&amp;$Q314))</f>
        <v/>
      </c>
    </row>
    <row r="315" ht="15.75" customHeight="1" s="58">
      <c r="A315" s="65" t="n"/>
      <c r="B315" s="65" t="n"/>
      <c r="C315" s="66" t="n"/>
      <c r="D315" s="66" t="n"/>
      <c r="E315" s="65" t="n"/>
      <c r="F315" s="65" t="n"/>
      <c r="G315" s="65" t="n"/>
      <c r="H315" s="65" t="n"/>
      <c r="I315" s="65" t="n"/>
      <c r="J315" s="65" t="n"/>
      <c r="K315" s="65" t="n"/>
      <c r="L315" s="65" t="n"/>
      <c r="M315" s="65" t="n"/>
      <c r="N315" s="65" t="n"/>
      <c r="O315" s="65" t="n"/>
      <c r="P315" s="65" t="n"/>
      <c r="Q315" s="32">
        <f>IF($C315="","",IF($J315="","— חסרים נתונים",IF($J315="טרם מפענח","פרופיל 5",IF($J315="קמץ/פתח/חטף-פתח ושוואים","פרופיל 4",IF($J315="2-3 סימני ניקוד","פרופיל 3",IF($J315="4-5 סימני ניקוד","פרופיל 2",IF(AND($O315="משפטים וקטעים קצרים",OR($M315="מבין",$M315="מבין לרוב")),"פרופיל 1","פרופיל 2")))))))</f>
        <v/>
      </c>
      <c r="R315" s="32">
        <f>IF($C315="","",IF(OR($Q315="",LEFT($Q315,1)="—"),"קבוצה רביעית",IF($Q315="פרופיל 5","קבוצת תשתיות",IF(OR($Q315="פרופיל 4",$Q315="פרופיל 3"),"קבוצת רכישה","קבוצת ביסוס"))))</f>
        <v/>
      </c>
      <c r="S315" s="32">
        <f>IF($F315="","",IF($F315="תחילת שנה",1,IF($F315="מחצית שנה",2,3)))</f>
        <v/>
      </c>
      <c r="T315" s="32">
        <f>IF(OR($B315="",$R315="",$A315="",$F315=""),"",$B315&amp;"|"&amp;$A315&amp;"|"&amp;$F315&amp;"|"&amp;$R315&amp;"|"&amp;COUNTIFS($B$6:$B315,$B315,$A$6:$A315,$A315,$F$6:$F315,$F315,$R$6:$R315,$R315))</f>
        <v/>
      </c>
      <c r="U315" s="32">
        <f>IF($C315="","",$C315&amp;"|"&amp;COUNTIFS($C$6:$C315,$C315))</f>
        <v/>
      </c>
      <c r="V315" s="32">
        <f>IF(OR($C315="",$A315="",$S315=""),"",$C315&amp;"|"&amp;$A315&amp;"|"&amp;$S315)</f>
        <v/>
      </c>
      <c r="W315" s="32">
        <f>IF(OR($C315="",$S315="",$S315=1),"",IFERROR(INDEX($Q$6:$Q$1505,MATCH($C315&amp;"|"&amp;$A315&amp;"|"&amp;($S315-1),$V$6:$V$1505,0)),""))</f>
        <v/>
      </c>
      <c r="X315" s="32">
        <f>IF(OR($W315="",$Q315="",LEFT($Q315,1)="—"),"",IF($W315=$Q315,"ללא שינוי","מ-"&amp;$W315&amp;" ל-"&amp;$Q315))</f>
        <v/>
      </c>
    </row>
    <row r="316" ht="15.75" customHeight="1" s="58">
      <c r="A316" s="65" t="n"/>
      <c r="B316" s="65" t="n"/>
      <c r="C316" s="66" t="n"/>
      <c r="D316" s="66" t="n"/>
      <c r="E316" s="65" t="n"/>
      <c r="F316" s="65" t="n"/>
      <c r="G316" s="65" t="n"/>
      <c r="H316" s="65" t="n"/>
      <c r="I316" s="65" t="n"/>
      <c r="J316" s="65" t="n"/>
      <c r="K316" s="65" t="n"/>
      <c r="L316" s="65" t="n"/>
      <c r="M316" s="65" t="n"/>
      <c r="N316" s="65" t="n"/>
      <c r="O316" s="65" t="n"/>
      <c r="P316" s="65" t="n"/>
      <c r="Q316" s="32">
        <f>IF($C316="","",IF($J316="","— חסרים נתונים",IF($J316="טרם מפענח","פרופיל 5",IF($J316="קמץ/פתח/חטף-פתח ושוואים","פרופיל 4",IF($J316="2-3 סימני ניקוד","פרופיל 3",IF($J316="4-5 סימני ניקוד","פרופיל 2",IF(AND($O316="משפטים וקטעים קצרים",OR($M316="מבין",$M316="מבין לרוב")),"פרופיל 1","פרופיל 2")))))))</f>
        <v/>
      </c>
      <c r="R316" s="32">
        <f>IF($C316="","",IF(OR($Q316="",LEFT($Q316,1)="—"),"קבוצה רביעית",IF($Q316="פרופיל 5","קבוצת תשתיות",IF(OR($Q316="פרופיל 4",$Q316="פרופיל 3"),"קבוצת רכישה","קבוצת ביסוס"))))</f>
        <v/>
      </c>
      <c r="S316" s="32">
        <f>IF($F316="","",IF($F316="תחילת שנה",1,IF($F316="מחצית שנה",2,3)))</f>
        <v/>
      </c>
      <c r="T316" s="32">
        <f>IF(OR($B316="",$R316="",$A316="",$F316=""),"",$B316&amp;"|"&amp;$A316&amp;"|"&amp;$F316&amp;"|"&amp;$R316&amp;"|"&amp;COUNTIFS($B$6:$B316,$B316,$A$6:$A316,$A316,$F$6:$F316,$F316,$R$6:$R316,$R316))</f>
        <v/>
      </c>
      <c r="U316" s="32">
        <f>IF($C316="","",$C316&amp;"|"&amp;COUNTIFS($C$6:$C316,$C316))</f>
        <v/>
      </c>
      <c r="V316" s="32">
        <f>IF(OR($C316="",$A316="",$S316=""),"",$C316&amp;"|"&amp;$A316&amp;"|"&amp;$S316)</f>
        <v/>
      </c>
      <c r="W316" s="32">
        <f>IF(OR($C316="",$S316="",$S316=1),"",IFERROR(INDEX($Q$6:$Q$1505,MATCH($C316&amp;"|"&amp;$A316&amp;"|"&amp;($S316-1),$V$6:$V$1505,0)),""))</f>
        <v/>
      </c>
      <c r="X316" s="32">
        <f>IF(OR($W316="",$Q316="",LEFT($Q316,1)="—"),"",IF($W316=$Q316,"ללא שינוי","מ-"&amp;$W316&amp;" ל-"&amp;$Q316))</f>
        <v/>
      </c>
    </row>
    <row r="317" ht="15.75" customHeight="1" s="58">
      <c r="A317" s="65" t="n"/>
      <c r="B317" s="65" t="n"/>
      <c r="C317" s="66" t="n"/>
      <c r="D317" s="66" t="n"/>
      <c r="E317" s="65" t="n"/>
      <c r="F317" s="65" t="n"/>
      <c r="G317" s="65" t="n"/>
      <c r="H317" s="65" t="n"/>
      <c r="I317" s="65" t="n"/>
      <c r="J317" s="65" t="n"/>
      <c r="K317" s="65" t="n"/>
      <c r="L317" s="65" t="n"/>
      <c r="M317" s="65" t="n"/>
      <c r="N317" s="65" t="n"/>
      <c r="O317" s="65" t="n"/>
      <c r="P317" s="65" t="n"/>
      <c r="Q317" s="32">
        <f>IF($C317="","",IF($J317="","— חסרים נתונים",IF($J317="טרם מפענח","פרופיל 5",IF($J317="קמץ/פתח/חטף-פתח ושוואים","פרופיל 4",IF($J317="2-3 סימני ניקוד","פרופיל 3",IF($J317="4-5 סימני ניקוד","פרופיל 2",IF(AND($O317="משפטים וקטעים קצרים",OR($M317="מבין",$M317="מבין לרוב")),"פרופיל 1","פרופיל 2")))))))</f>
        <v/>
      </c>
      <c r="R317" s="32">
        <f>IF($C317="","",IF(OR($Q317="",LEFT($Q317,1)="—"),"קבוצה רביעית",IF($Q317="פרופיל 5","קבוצת תשתיות",IF(OR($Q317="פרופיל 4",$Q317="פרופיל 3"),"קבוצת רכישה","קבוצת ביסוס"))))</f>
        <v/>
      </c>
      <c r="S317" s="32">
        <f>IF($F317="","",IF($F317="תחילת שנה",1,IF($F317="מחצית שנה",2,3)))</f>
        <v/>
      </c>
      <c r="T317" s="32">
        <f>IF(OR($B317="",$R317="",$A317="",$F317=""),"",$B317&amp;"|"&amp;$A317&amp;"|"&amp;$F317&amp;"|"&amp;$R317&amp;"|"&amp;COUNTIFS($B$6:$B317,$B317,$A$6:$A317,$A317,$F$6:$F317,$F317,$R$6:$R317,$R317))</f>
        <v/>
      </c>
      <c r="U317" s="32">
        <f>IF($C317="","",$C317&amp;"|"&amp;COUNTIFS($C$6:$C317,$C317))</f>
        <v/>
      </c>
      <c r="V317" s="32">
        <f>IF(OR($C317="",$A317="",$S317=""),"",$C317&amp;"|"&amp;$A317&amp;"|"&amp;$S317)</f>
        <v/>
      </c>
      <c r="W317" s="32">
        <f>IF(OR($C317="",$S317="",$S317=1),"",IFERROR(INDEX($Q$6:$Q$1505,MATCH($C317&amp;"|"&amp;$A317&amp;"|"&amp;($S317-1),$V$6:$V$1505,0)),""))</f>
        <v/>
      </c>
      <c r="X317" s="32">
        <f>IF(OR($W317="",$Q317="",LEFT($Q317,1)="—"),"",IF($W317=$Q317,"ללא שינוי","מ-"&amp;$W317&amp;" ל-"&amp;$Q317))</f>
        <v/>
      </c>
    </row>
    <row r="318" ht="15.75" customHeight="1" s="58">
      <c r="A318" s="65" t="n"/>
      <c r="B318" s="65" t="n"/>
      <c r="C318" s="66" t="n"/>
      <c r="D318" s="66" t="n"/>
      <c r="E318" s="65" t="n"/>
      <c r="F318" s="65" t="n"/>
      <c r="G318" s="65" t="n"/>
      <c r="H318" s="65" t="n"/>
      <c r="I318" s="65" t="n"/>
      <c r="J318" s="65" t="n"/>
      <c r="K318" s="65" t="n"/>
      <c r="L318" s="65" t="n"/>
      <c r="M318" s="65" t="n"/>
      <c r="N318" s="65" t="n"/>
      <c r="O318" s="65" t="n"/>
      <c r="P318" s="65" t="n"/>
      <c r="Q318" s="32">
        <f>IF($C318="","",IF($J318="","— חסרים נתונים",IF($J318="טרם מפענח","פרופיל 5",IF($J318="קמץ/פתח/חטף-פתח ושוואים","פרופיל 4",IF($J318="2-3 סימני ניקוד","פרופיל 3",IF($J318="4-5 סימני ניקוד","פרופיל 2",IF(AND($O318="משפטים וקטעים קצרים",OR($M318="מבין",$M318="מבין לרוב")),"פרופיל 1","פרופיל 2")))))))</f>
        <v/>
      </c>
      <c r="R318" s="32">
        <f>IF($C318="","",IF(OR($Q318="",LEFT($Q318,1)="—"),"קבוצה רביעית",IF($Q318="פרופיל 5","קבוצת תשתיות",IF(OR($Q318="פרופיל 4",$Q318="פרופיל 3"),"קבוצת רכישה","קבוצת ביסוס"))))</f>
        <v/>
      </c>
      <c r="S318" s="32">
        <f>IF($F318="","",IF($F318="תחילת שנה",1,IF($F318="מחצית שנה",2,3)))</f>
        <v/>
      </c>
      <c r="T318" s="32">
        <f>IF(OR($B318="",$R318="",$A318="",$F318=""),"",$B318&amp;"|"&amp;$A318&amp;"|"&amp;$F318&amp;"|"&amp;$R318&amp;"|"&amp;COUNTIFS($B$6:$B318,$B318,$A$6:$A318,$A318,$F$6:$F318,$F318,$R$6:$R318,$R318))</f>
        <v/>
      </c>
      <c r="U318" s="32">
        <f>IF($C318="","",$C318&amp;"|"&amp;COUNTIFS($C$6:$C318,$C318))</f>
        <v/>
      </c>
      <c r="V318" s="32">
        <f>IF(OR($C318="",$A318="",$S318=""),"",$C318&amp;"|"&amp;$A318&amp;"|"&amp;$S318)</f>
        <v/>
      </c>
      <c r="W318" s="32">
        <f>IF(OR($C318="",$S318="",$S318=1),"",IFERROR(INDEX($Q$6:$Q$1505,MATCH($C318&amp;"|"&amp;$A318&amp;"|"&amp;($S318-1),$V$6:$V$1505,0)),""))</f>
        <v/>
      </c>
      <c r="X318" s="32">
        <f>IF(OR($W318="",$Q318="",LEFT($Q318,1)="—"),"",IF($W318=$Q318,"ללא שינוי","מ-"&amp;$W318&amp;" ל-"&amp;$Q318))</f>
        <v/>
      </c>
    </row>
    <row r="319" ht="15.75" customHeight="1" s="58">
      <c r="A319" s="65" t="n"/>
      <c r="B319" s="65" t="n"/>
      <c r="C319" s="66" t="n"/>
      <c r="D319" s="66" t="n"/>
      <c r="E319" s="65" t="n"/>
      <c r="F319" s="65" t="n"/>
      <c r="G319" s="65" t="n"/>
      <c r="H319" s="65" t="n"/>
      <c r="I319" s="65" t="n"/>
      <c r="J319" s="65" t="n"/>
      <c r="K319" s="65" t="n"/>
      <c r="L319" s="65" t="n"/>
      <c r="M319" s="65" t="n"/>
      <c r="N319" s="65" t="n"/>
      <c r="O319" s="65" t="n"/>
      <c r="P319" s="65" t="n"/>
      <c r="Q319" s="32">
        <f>IF($C319="","",IF($J319="","— חסרים נתונים",IF($J319="טרם מפענח","פרופיל 5",IF($J319="קמץ/פתח/חטף-פתח ושוואים","פרופיל 4",IF($J319="2-3 סימני ניקוד","פרופיל 3",IF($J319="4-5 סימני ניקוד","פרופיל 2",IF(AND($O319="משפטים וקטעים קצרים",OR($M319="מבין",$M319="מבין לרוב")),"פרופיל 1","פרופיל 2")))))))</f>
        <v/>
      </c>
      <c r="R319" s="32">
        <f>IF($C319="","",IF(OR($Q319="",LEFT($Q319,1)="—"),"קבוצה רביעית",IF($Q319="פרופיל 5","קבוצת תשתיות",IF(OR($Q319="פרופיל 4",$Q319="פרופיל 3"),"קבוצת רכישה","קבוצת ביסוס"))))</f>
        <v/>
      </c>
      <c r="S319" s="32">
        <f>IF($F319="","",IF($F319="תחילת שנה",1,IF($F319="מחצית שנה",2,3)))</f>
        <v/>
      </c>
      <c r="T319" s="32">
        <f>IF(OR($B319="",$R319="",$A319="",$F319=""),"",$B319&amp;"|"&amp;$A319&amp;"|"&amp;$F319&amp;"|"&amp;$R319&amp;"|"&amp;COUNTIFS($B$6:$B319,$B319,$A$6:$A319,$A319,$F$6:$F319,$F319,$R$6:$R319,$R319))</f>
        <v/>
      </c>
      <c r="U319" s="32">
        <f>IF($C319="","",$C319&amp;"|"&amp;COUNTIFS($C$6:$C319,$C319))</f>
        <v/>
      </c>
      <c r="V319" s="32">
        <f>IF(OR($C319="",$A319="",$S319=""),"",$C319&amp;"|"&amp;$A319&amp;"|"&amp;$S319)</f>
        <v/>
      </c>
      <c r="W319" s="32">
        <f>IF(OR($C319="",$S319="",$S319=1),"",IFERROR(INDEX($Q$6:$Q$1505,MATCH($C319&amp;"|"&amp;$A319&amp;"|"&amp;($S319-1),$V$6:$V$1505,0)),""))</f>
        <v/>
      </c>
      <c r="X319" s="32">
        <f>IF(OR($W319="",$Q319="",LEFT($Q319,1)="—"),"",IF($W319=$Q319,"ללא שינוי","מ-"&amp;$W319&amp;" ל-"&amp;$Q319))</f>
        <v/>
      </c>
    </row>
    <row r="320" ht="15.75" customHeight="1" s="58">
      <c r="A320" s="65" t="n"/>
      <c r="B320" s="65" t="n"/>
      <c r="C320" s="66" t="n"/>
      <c r="D320" s="66" t="n"/>
      <c r="E320" s="65" t="n"/>
      <c r="F320" s="65" t="n"/>
      <c r="G320" s="65" t="n"/>
      <c r="H320" s="65" t="n"/>
      <c r="I320" s="65" t="n"/>
      <c r="J320" s="65" t="n"/>
      <c r="K320" s="65" t="n"/>
      <c r="L320" s="65" t="n"/>
      <c r="M320" s="65" t="n"/>
      <c r="N320" s="65" t="n"/>
      <c r="O320" s="65" t="n"/>
      <c r="P320" s="65" t="n"/>
      <c r="Q320" s="32">
        <f>IF($C320="","",IF($J320="","— חסרים נתונים",IF($J320="טרם מפענח","פרופיל 5",IF($J320="קמץ/פתח/חטף-פתח ושוואים","פרופיל 4",IF($J320="2-3 סימני ניקוד","פרופיל 3",IF($J320="4-5 סימני ניקוד","פרופיל 2",IF(AND($O320="משפטים וקטעים קצרים",OR($M320="מבין",$M320="מבין לרוב")),"פרופיל 1","פרופיל 2")))))))</f>
        <v/>
      </c>
      <c r="R320" s="32">
        <f>IF($C320="","",IF(OR($Q320="",LEFT($Q320,1)="—"),"קבוצה רביעית",IF($Q320="פרופיל 5","קבוצת תשתיות",IF(OR($Q320="פרופיל 4",$Q320="פרופיל 3"),"קבוצת רכישה","קבוצת ביסוס"))))</f>
        <v/>
      </c>
      <c r="S320" s="32">
        <f>IF($F320="","",IF($F320="תחילת שנה",1,IF($F320="מחצית שנה",2,3)))</f>
        <v/>
      </c>
      <c r="T320" s="32">
        <f>IF(OR($B320="",$R320="",$A320="",$F320=""),"",$B320&amp;"|"&amp;$A320&amp;"|"&amp;$F320&amp;"|"&amp;$R320&amp;"|"&amp;COUNTIFS($B$6:$B320,$B320,$A$6:$A320,$A320,$F$6:$F320,$F320,$R$6:$R320,$R320))</f>
        <v/>
      </c>
      <c r="U320" s="32">
        <f>IF($C320="","",$C320&amp;"|"&amp;COUNTIFS($C$6:$C320,$C320))</f>
        <v/>
      </c>
      <c r="V320" s="32">
        <f>IF(OR($C320="",$A320="",$S320=""),"",$C320&amp;"|"&amp;$A320&amp;"|"&amp;$S320)</f>
        <v/>
      </c>
      <c r="W320" s="32">
        <f>IF(OR($C320="",$S320="",$S320=1),"",IFERROR(INDEX($Q$6:$Q$1505,MATCH($C320&amp;"|"&amp;$A320&amp;"|"&amp;($S320-1),$V$6:$V$1505,0)),""))</f>
        <v/>
      </c>
      <c r="X320" s="32">
        <f>IF(OR($W320="",$Q320="",LEFT($Q320,1)="—"),"",IF($W320=$Q320,"ללא שינוי","מ-"&amp;$W320&amp;" ל-"&amp;$Q320))</f>
        <v/>
      </c>
    </row>
    <row r="321" ht="15.75" customHeight="1" s="58">
      <c r="A321" s="65" t="n"/>
      <c r="B321" s="65" t="n"/>
      <c r="C321" s="66" t="n"/>
      <c r="D321" s="66" t="n"/>
      <c r="E321" s="65" t="n"/>
      <c r="F321" s="65" t="n"/>
      <c r="G321" s="65" t="n"/>
      <c r="H321" s="65" t="n"/>
      <c r="I321" s="65" t="n"/>
      <c r="J321" s="65" t="n"/>
      <c r="K321" s="65" t="n"/>
      <c r="L321" s="65" t="n"/>
      <c r="M321" s="65" t="n"/>
      <c r="N321" s="65" t="n"/>
      <c r="O321" s="65" t="n"/>
      <c r="P321" s="65" t="n"/>
      <c r="Q321" s="32">
        <f>IF($C321="","",IF($J321="","— חסרים נתונים",IF($J321="טרם מפענח","פרופיל 5",IF($J321="קמץ/פתח/חטף-פתח ושוואים","פרופיל 4",IF($J321="2-3 סימני ניקוד","פרופיל 3",IF($J321="4-5 סימני ניקוד","פרופיל 2",IF(AND($O321="משפטים וקטעים קצרים",OR($M321="מבין",$M321="מבין לרוב")),"פרופיל 1","פרופיל 2")))))))</f>
        <v/>
      </c>
      <c r="R321" s="32">
        <f>IF($C321="","",IF(OR($Q321="",LEFT($Q321,1)="—"),"קבוצה רביעית",IF($Q321="פרופיל 5","קבוצת תשתיות",IF(OR($Q321="פרופיל 4",$Q321="פרופיל 3"),"קבוצת רכישה","קבוצת ביסוס"))))</f>
        <v/>
      </c>
      <c r="S321" s="32">
        <f>IF($F321="","",IF($F321="תחילת שנה",1,IF($F321="מחצית שנה",2,3)))</f>
        <v/>
      </c>
      <c r="T321" s="32">
        <f>IF(OR($B321="",$R321="",$A321="",$F321=""),"",$B321&amp;"|"&amp;$A321&amp;"|"&amp;$F321&amp;"|"&amp;$R321&amp;"|"&amp;COUNTIFS($B$6:$B321,$B321,$A$6:$A321,$A321,$F$6:$F321,$F321,$R$6:$R321,$R321))</f>
        <v/>
      </c>
      <c r="U321" s="32">
        <f>IF($C321="","",$C321&amp;"|"&amp;COUNTIFS($C$6:$C321,$C321))</f>
        <v/>
      </c>
      <c r="V321" s="32">
        <f>IF(OR($C321="",$A321="",$S321=""),"",$C321&amp;"|"&amp;$A321&amp;"|"&amp;$S321)</f>
        <v/>
      </c>
      <c r="W321" s="32">
        <f>IF(OR($C321="",$S321="",$S321=1),"",IFERROR(INDEX($Q$6:$Q$1505,MATCH($C321&amp;"|"&amp;$A321&amp;"|"&amp;($S321-1),$V$6:$V$1505,0)),""))</f>
        <v/>
      </c>
      <c r="X321" s="32">
        <f>IF(OR($W321="",$Q321="",LEFT($Q321,1)="—"),"",IF($W321=$Q321,"ללא שינוי","מ-"&amp;$W321&amp;" ל-"&amp;$Q321))</f>
        <v/>
      </c>
    </row>
    <row r="322" ht="15.75" customHeight="1" s="58">
      <c r="A322" s="65" t="n"/>
      <c r="B322" s="65" t="n"/>
      <c r="C322" s="66" t="n"/>
      <c r="D322" s="66" t="n"/>
      <c r="E322" s="65" t="n"/>
      <c r="F322" s="65" t="n"/>
      <c r="G322" s="65" t="n"/>
      <c r="H322" s="65" t="n"/>
      <c r="I322" s="65" t="n"/>
      <c r="J322" s="65" t="n"/>
      <c r="K322" s="65" t="n"/>
      <c r="L322" s="65" t="n"/>
      <c r="M322" s="65" t="n"/>
      <c r="N322" s="65" t="n"/>
      <c r="O322" s="65" t="n"/>
      <c r="P322" s="65" t="n"/>
      <c r="Q322" s="32">
        <f>IF($C322="","",IF($J322="","— חסרים נתונים",IF($J322="טרם מפענח","פרופיל 5",IF($J322="קמץ/פתח/חטף-פתח ושוואים","פרופיל 4",IF($J322="2-3 סימני ניקוד","פרופיל 3",IF($J322="4-5 סימני ניקוד","פרופיל 2",IF(AND($O322="משפטים וקטעים קצרים",OR($M322="מבין",$M322="מבין לרוב")),"פרופיל 1","פרופיל 2")))))))</f>
        <v/>
      </c>
      <c r="R322" s="32">
        <f>IF($C322="","",IF(OR($Q322="",LEFT($Q322,1)="—"),"קבוצה רביעית",IF($Q322="פרופיל 5","קבוצת תשתיות",IF(OR($Q322="פרופיל 4",$Q322="פרופיל 3"),"קבוצת רכישה","קבוצת ביסוס"))))</f>
        <v/>
      </c>
      <c r="S322" s="32">
        <f>IF($F322="","",IF($F322="תחילת שנה",1,IF($F322="מחצית שנה",2,3)))</f>
        <v/>
      </c>
      <c r="T322" s="32">
        <f>IF(OR($B322="",$R322="",$A322="",$F322=""),"",$B322&amp;"|"&amp;$A322&amp;"|"&amp;$F322&amp;"|"&amp;$R322&amp;"|"&amp;COUNTIFS($B$6:$B322,$B322,$A$6:$A322,$A322,$F$6:$F322,$F322,$R$6:$R322,$R322))</f>
        <v/>
      </c>
      <c r="U322" s="32">
        <f>IF($C322="","",$C322&amp;"|"&amp;COUNTIFS($C$6:$C322,$C322))</f>
        <v/>
      </c>
      <c r="V322" s="32">
        <f>IF(OR($C322="",$A322="",$S322=""),"",$C322&amp;"|"&amp;$A322&amp;"|"&amp;$S322)</f>
        <v/>
      </c>
      <c r="W322" s="32">
        <f>IF(OR($C322="",$S322="",$S322=1),"",IFERROR(INDEX($Q$6:$Q$1505,MATCH($C322&amp;"|"&amp;$A322&amp;"|"&amp;($S322-1),$V$6:$V$1505,0)),""))</f>
        <v/>
      </c>
      <c r="X322" s="32">
        <f>IF(OR($W322="",$Q322="",LEFT($Q322,1)="—"),"",IF($W322=$Q322,"ללא שינוי","מ-"&amp;$W322&amp;" ל-"&amp;$Q322))</f>
        <v/>
      </c>
    </row>
    <row r="323" ht="15.75" customHeight="1" s="58">
      <c r="A323" s="65" t="n"/>
      <c r="B323" s="65" t="n"/>
      <c r="C323" s="66" t="n"/>
      <c r="D323" s="66" t="n"/>
      <c r="E323" s="65" t="n"/>
      <c r="F323" s="65" t="n"/>
      <c r="G323" s="65" t="n"/>
      <c r="H323" s="65" t="n"/>
      <c r="I323" s="65" t="n"/>
      <c r="J323" s="65" t="n"/>
      <c r="K323" s="65" t="n"/>
      <c r="L323" s="65" t="n"/>
      <c r="M323" s="65" t="n"/>
      <c r="N323" s="65" t="n"/>
      <c r="O323" s="65" t="n"/>
      <c r="P323" s="65" t="n"/>
      <c r="Q323" s="32">
        <f>IF($C323="","",IF($J323="","— חסרים נתונים",IF($J323="טרם מפענח","פרופיל 5",IF($J323="קמץ/פתח/חטף-פתח ושוואים","פרופיל 4",IF($J323="2-3 סימני ניקוד","פרופיל 3",IF($J323="4-5 סימני ניקוד","פרופיל 2",IF(AND($O323="משפטים וקטעים קצרים",OR($M323="מבין",$M323="מבין לרוב")),"פרופיל 1","פרופיל 2")))))))</f>
        <v/>
      </c>
      <c r="R323" s="32">
        <f>IF($C323="","",IF(OR($Q323="",LEFT($Q323,1)="—"),"קבוצה רביעית",IF($Q323="פרופיל 5","קבוצת תשתיות",IF(OR($Q323="פרופיל 4",$Q323="פרופיל 3"),"קבוצת רכישה","קבוצת ביסוס"))))</f>
        <v/>
      </c>
      <c r="S323" s="32">
        <f>IF($F323="","",IF($F323="תחילת שנה",1,IF($F323="מחצית שנה",2,3)))</f>
        <v/>
      </c>
      <c r="T323" s="32">
        <f>IF(OR($B323="",$R323="",$A323="",$F323=""),"",$B323&amp;"|"&amp;$A323&amp;"|"&amp;$F323&amp;"|"&amp;$R323&amp;"|"&amp;COUNTIFS($B$6:$B323,$B323,$A$6:$A323,$A323,$F$6:$F323,$F323,$R$6:$R323,$R323))</f>
        <v/>
      </c>
      <c r="U323" s="32">
        <f>IF($C323="","",$C323&amp;"|"&amp;COUNTIFS($C$6:$C323,$C323))</f>
        <v/>
      </c>
      <c r="V323" s="32">
        <f>IF(OR($C323="",$A323="",$S323=""),"",$C323&amp;"|"&amp;$A323&amp;"|"&amp;$S323)</f>
        <v/>
      </c>
      <c r="W323" s="32">
        <f>IF(OR($C323="",$S323="",$S323=1),"",IFERROR(INDEX($Q$6:$Q$1505,MATCH($C323&amp;"|"&amp;$A323&amp;"|"&amp;($S323-1),$V$6:$V$1505,0)),""))</f>
        <v/>
      </c>
      <c r="X323" s="32">
        <f>IF(OR($W323="",$Q323="",LEFT($Q323,1)="—"),"",IF($W323=$Q323,"ללא שינוי","מ-"&amp;$W323&amp;" ל-"&amp;$Q323))</f>
        <v/>
      </c>
    </row>
    <row r="324" ht="15.75" customHeight="1" s="58">
      <c r="A324" s="65" t="n"/>
      <c r="B324" s="65" t="n"/>
      <c r="C324" s="66" t="n"/>
      <c r="D324" s="66" t="n"/>
      <c r="E324" s="65" t="n"/>
      <c r="F324" s="65" t="n"/>
      <c r="G324" s="65" t="n"/>
      <c r="H324" s="65" t="n"/>
      <c r="I324" s="65" t="n"/>
      <c r="J324" s="65" t="n"/>
      <c r="K324" s="65" t="n"/>
      <c r="L324" s="65" t="n"/>
      <c r="M324" s="65" t="n"/>
      <c r="N324" s="65" t="n"/>
      <c r="O324" s="65" t="n"/>
      <c r="P324" s="65" t="n"/>
      <c r="Q324" s="32">
        <f>IF($C324="","",IF($J324="","— חסרים נתונים",IF($J324="טרם מפענח","פרופיל 5",IF($J324="קמץ/פתח/חטף-פתח ושוואים","פרופיל 4",IF($J324="2-3 סימני ניקוד","פרופיל 3",IF($J324="4-5 סימני ניקוד","פרופיל 2",IF(AND($O324="משפטים וקטעים קצרים",OR($M324="מבין",$M324="מבין לרוב")),"פרופיל 1","פרופיל 2")))))))</f>
        <v/>
      </c>
      <c r="R324" s="32">
        <f>IF($C324="","",IF(OR($Q324="",LEFT($Q324,1)="—"),"קבוצה רביעית",IF($Q324="פרופיל 5","קבוצת תשתיות",IF(OR($Q324="פרופיל 4",$Q324="פרופיל 3"),"קבוצת רכישה","קבוצת ביסוס"))))</f>
        <v/>
      </c>
      <c r="S324" s="32">
        <f>IF($F324="","",IF($F324="תחילת שנה",1,IF($F324="מחצית שנה",2,3)))</f>
        <v/>
      </c>
      <c r="T324" s="32">
        <f>IF(OR($B324="",$R324="",$A324="",$F324=""),"",$B324&amp;"|"&amp;$A324&amp;"|"&amp;$F324&amp;"|"&amp;$R324&amp;"|"&amp;COUNTIFS($B$6:$B324,$B324,$A$6:$A324,$A324,$F$6:$F324,$F324,$R$6:$R324,$R324))</f>
        <v/>
      </c>
      <c r="U324" s="32">
        <f>IF($C324="","",$C324&amp;"|"&amp;COUNTIFS($C$6:$C324,$C324))</f>
        <v/>
      </c>
      <c r="V324" s="32">
        <f>IF(OR($C324="",$A324="",$S324=""),"",$C324&amp;"|"&amp;$A324&amp;"|"&amp;$S324)</f>
        <v/>
      </c>
      <c r="W324" s="32">
        <f>IF(OR($C324="",$S324="",$S324=1),"",IFERROR(INDEX($Q$6:$Q$1505,MATCH($C324&amp;"|"&amp;$A324&amp;"|"&amp;($S324-1),$V$6:$V$1505,0)),""))</f>
        <v/>
      </c>
      <c r="X324" s="32">
        <f>IF(OR($W324="",$Q324="",LEFT($Q324,1)="—"),"",IF($W324=$Q324,"ללא שינוי","מ-"&amp;$W324&amp;" ל-"&amp;$Q324))</f>
        <v/>
      </c>
    </row>
    <row r="325" ht="15.75" customHeight="1" s="58">
      <c r="A325" s="65" t="n"/>
      <c r="B325" s="65" t="n"/>
      <c r="C325" s="66" t="n"/>
      <c r="D325" s="66" t="n"/>
      <c r="E325" s="65" t="n"/>
      <c r="F325" s="65" t="n"/>
      <c r="G325" s="65" t="n"/>
      <c r="H325" s="65" t="n"/>
      <c r="I325" s="65" t="n"/>
      <c r="J325" s="65" t="n"/>
      <c r="K325" s="65" t="n"/>
      <c r="L325" s="65" t="n"/>
      <c r="M325" s="65" t="n"/>
      <c r="N325" s="65" t="n"/>
      <c r="O325" s="65" t="n"/>
      <c r="P325" s="65" t="n"/>
      <c r="Q325" s="32">
        <f>IF($C325="","",IF($J325="","— חסרים נתונים",IF($J325="טרם מפענח","פרופיל 5",IF($J325="קמץ/פתח/חטף-פתח ושוואים","פרופיל 4",IF($J325="2-3 סימני ניקוד","פרופיל 3",IF($J325="4-5 סימני ניקוד","פרופיל 2",IF(AND($O325="משפטים וקטעים קצרים",OR($M325="מבין",$M325="מבין לרוב")),"פרופיל 1","פרופיל 2")))))))</f>
        <v/>
      </c>
      <c r="R325" s="32">
        <f>IF($C325="","",IF(OR($Q325="",LEFT($Q325,1)="—"),"קבוצה רביעית",IF($Q325="פרופיל 5","קבוצת תשתיות",IF(OR($Q325="פרופיל 4",$Q325="פרופיל 3"),"קבוצת רכישה","קבוצת ביסוס"))))</f>
        <v/>
      </c>
      <c r="S325" s="32">
        <f>IF($F325="","",IF($F325="תחילת שנה",1,IF($F325="מחצית שנה",2,3)))</f>
        <v/>
      </c>
      <c r="T325" s="32">
        <f>IF(OR($B325="",$R325="",$A325="",$F325=""),"",$B325&amp;"|"&amp;$A325&amp;"|"&amp;$F325&amp;"|"&amp;$R325&amp;"|"&amp;COUNTIFS($B$6:$B325,$B325,$A$6:$A325,$A325,$F$6:$F325,$F325,$R$6:$R325,$R325))</f>
        <v/>
      </c>
      <c r="U325" s="32">
        <f>IF($C325="","",$C325&amp;"|"&amp;COUNTIFS($C$6:$C325,$C325))</f>
        <v/>
      </c>
      <c r="V325" s="32">
        <f>IF(OR($C325="",$A325="",$S325=""),"",$C325&amp;"|"&amp;$A325&amp;"|"&amp;$S325)</f>
        <v/>
      </c>
      <c r="W325" s="32">
        <f>IF(OR($C325="",$S325="",$S325=1),"",IFERROR(INDEX($Q$6:$Q$1505,MATCH($C325&amp;"|"&amp;$A325&amp;"|"&amp;($S325-1),$V$6:$V$1505,0)),""))</f>
        <v/>
      </c>
      <c r="X325" s="32">
        <f>IF(OR($W325="",$Q325="",LEFT($Q325,1)="—"),"",IF($W325=$Q325,"ללא שינוי","מ-"&amp;$W325&amp;" ל-"&amp;$Q325))</f>
        <v/>
      </c>
    </row>
    <row r="326" ht="15.75" customHeight="1" s="58">
      <c r="A326" s="65" t="n"/>
      <c r="B326" s="65" t="n"/>
      <c r="C326" s="66" t="n"/>
      <c r="D326" s="66" t="n"/>
      <c r="E326" s="65" t="n"/>
      <c r="F326" s="65" t="n"/>
      <c r="G326" s="65" t="n"/>
      <c r="H326" s="65" t="n"/>
      <c r="I326" s="65" t="n"/>
      <c r="J326" s="65" t="n"/>
      <c r="K326" s="65" t="n"/>
      <c r="L326" s="65" t="n"/>
      <c r="M326" s="65" t="n"/>
      <c r="N326" s="65" t="n"/>
      <c r="O326" s="65" t="n"/>
      <c r="P326" s="65" t="n"/>
      <c r="Q326" s="32">
        <f>IF($C326="","",IF($J326="","— חסרים נתונים",IF($J326="טרם מפענח","פרופיל 5",IF($J326="קמץ/פתח/חטף-פתח ושוואים","פרופיל 4",IF($J326="2-3 סימני ניקוד","פרופיל 3",IF($J326="4-5 סימני ניקוד","פרופיל 2",IF(AND($O326="משפטים וקטעים קצרים",OR($M326="מבין",$M326="מבין לרוב")),"פרופיל 1","פרופיל 2")))))))</f>
        <v/>
      </c>
      <c r="R326" s="32">
        <f>IF($C326="","",IF(OR($Q326="",LEFT($Q326,1)="—"),"קבוצה רביעית",IF($Q326="פרופיל 5","קבוצת תשתיות",IF(OR($Q326="פרופיל 4",$Q326="פרופיל 3"),"קבוצת רכישה","קבוצת ביסוס"))))</f>
        <v/>
      </c>
      <c r="S326" s="32">
        <f>IF($F326="","",IF($F326="תחילת שנה",1,IF($F326="מחצית שנה",2,3)))</f>
        <v/>
      </c>
      <c r="T326" s="32">
        <f>IF(OR($B326="",$R326="",$A326="",$F326=""),"",$B326&amp;"|"&amp;$A326&amp;"|"&amp;$F326&amp;"|"&amp;$R326&amp;"|"&amp;COUNTIFS($B$6:$B326,$B326,$A$6:$A326,$A326,$F$6:$F326,$F326,$R$6:$R326,$R326))</f>
        <v/>
      </c>
      <c r="U326" s="32">
        <f>IF($C326="","",$C326&amp;"|"&amp;COUNTIFS($C$6:$C326,$C326))</f>
        <v/>
      </c>
      <c r="V326" s="32">
        <f>IF(OR($C326="",$A326="",$S326=""),"",$C326&amp;"|"&amp;$A326&amp;"|"&amp;$S326)</f>
        <v/>
      </c>
      <c r="W326" s="32">
        <f>IF(OR($C326="",$S326="",$S326=1),"",IFERROR(INDEX($Q$6:$Q$1505,MATCH($C326&amp;"|"&amp;$A326&amp;"|"&amp;($S326-1),$V$6:$V$1505,0)),""))</f>
        <v/>
      </c>
      <c r="X326" s="32">
        <f>IF(OR($W326="",$Q326="",LEFT($Q326,1)="—"),"",IF($W326=$Q326,"ללא שינוי","מ-"&amp;$W326&amp;" ל-"&amp;$Q326))</f>
        <v/>
      </c>
    </row>
    <row r="327" ht="15.75" customHeight="1" s="58">
      <c r="A327" s="65" t="n"/>
      <c r="B327" s="65" t="n"/>
      <c r="C327" s="66" t="n"/>
      <c r="D327" s="66" t="n"/>
      <c r="E327" s="65" t="n"/>
      <c r="F327" s="65" t="n"/>
      <c r="G327" s="65" t="n"/>
      <c r="H327" s="65" t="n"/>
      <c r="I327" s="65" t="n"/>
      <c r="J327" s="65" t="n"/>
      <c r="K327" s="65" t="n"/>
      <c r="L327" s="65" t="n"/>
      <c r="M327" s="65" t="n"/>
      <c r="N327" s="65" t="n"/>
      <c r="O327" s="65" t="n"/>
      <c r="P327" s="65" t="n"/>
      <c r="Q327" s="32">
        <f>IF($C327="","",IF($J327="","— חסרים נתונים",IF($J327="טרם מפענח","פרופיל 5",IF($J327="קמץ/פתח/חטף-פתח ושוואים","פרופיל 4",IF($J327="2-3 סימני ניקוד","פרופיל 3",IF($J327="4-5 סימני ניקוד","פרופיל 2",IF(AND($O327="משפטים וקטעים קצרים",OR($M327="מבין",$M327="מבין לרוב")),"פרופיל 1","פרופיל 2")))))))</f>
        <v/>
      </c>
      <c r="R327" s="32">
        <f>IF($C327="","",IF(OR($Q327="",LEFT($Q327,1)="—"),"קבוצה רביעית",IF($Q327="פרופיל 5","קבוצת תשתיות",IF(OR($Q327="פרופיל 4",$Q327="פרופיל 3"),"קבוצת רכישה","קבוצת ביסוס"))))</f>
        <v/>
      </c>
      <c r="S327" s="32">
        <f>IF($F327="","",IF($F327="תחילת שנה",1,IF($F327="מחצית שנה",2,3)))</f>
        <v/>
      </c>
      <c r="T327" s="32">
        <f>IF(OR($B327="",$R327="",$A327="",$F327=""),"",$B327&amp;"|"&amp;$A327&amp;"|"&amp;$F327&amp;"|"&amp;$R327&amp;"|"&amp;COUNTIFS($B$6:$B327,$B327,$A$6:$A327,$A327,$F$6:$F327,$F327,$R$6:$R327,$R327))</f>
        <v/>
      </c>
      <c r="U327" s="32">
        <f>IF($C327="","",$C327&amp;"|"&amp;COUNTIFS($C$6:$C327,$C327))</f>
        <v/>
      </c>
      <c r="V327" s="32">
        <f>IF(OR($C327="",$A327="",$S327=""),"",$C327&amp;"|"&amp;$A327&amp;"|"&amp;$S327)</f>
        <v/>
      </c>
      <c r="W327" s="32">
        <f>IF(OR($C327="",$S327="",$S327=1),"",IFERROR(INDEX($Q$6:$Q$1505,MATCH($C327&amp;"|"&amp;$A327&amp;"|"&amp;($S327-1),$V$6:$V$1505,0)),""))</f>
        <v/>
      </c>
      <c r="X327" s="32">
        <f>IF(OR($W327="",$Q327="",LEFT($Q327,1)="—"),"",IF($W327=$Q327,"ללא שינוי","מ-"&amp;$W327&amp;" ל-"&amp;$Q327))</f>
        <v/>
      </c>
    </row>
    <row r="328" ht="15.75" customHeight="1" s="58">
      <c r="A328" s="65" t="n"/>
      <c r="B328" s="65" t="n"/>
      <c r="C328" s="66" t="n"/>
      <c r="D328" s="66" t="n"/>
      <c r="E328" s="65" t="n"/>
      <c r="F328" s="65" t="n"/>
      <c r="G328" s="65" t="n"/>
      <c r="H328" s="65" t="n"/>
      <c r="I328" s="65" t="n"/>
      <c r="J328" s="65" t="n"/>
      <c r="K328" s="65" t="n"/>
      <c r="L328" s="65" t="n"/>
      <c r="M328" s="65" t="n"/>
      <c r="N328" s="65" t="n"/>
      <c r="O328" s="65" t="n"/>
      <c r="P328" s="65" t="n"/>
      <c r="Q328" s="32">
        <f>IF($C328="","",IF($J328="","— חסרים נתונים",IF($J328="טרם מפענח","פרופיל 5",IF($J328="קמץ/פתח/חטף-פתח ושוואים","פרופיל 4",IF($J328="2-3 סימני ניקוד","פרופיל 3",IF($J328="4-5 סימני ניקוד","פרופיל 2",IF(AND($O328="משפטים וקטעים קצרים",OR($M328="מבין",$M328="מבין לרוב")),"פרופיל 1","פרופיל 2")))))))</f>
        <v/>
      </c>
      <c r="R328" s="32">
        <f>IF($C328="","",IF(OR($Q328="",LEFT($Q328,1)="—"),"קבוצה רביעית",IF($Q328="פרופיל 5","קבוצת תשתיות",IF(OR($Q328="פרופיל 4",$Q328="פרופיל 3"),"קבוצת רכישה","קבוצת ביסוס"))))</f>
        <v/>
      </c>
      <c r="S328" s="32">
        <f>IF($F328="","",IF($F328="תחילת שנה",1,IF($F328="מחצית שנה",2,3)))</f>
        <v/>
      </c>
      <c r="T328" s="32">
        <f>IF(OR($B328="",$R328="",$A328="",$F328=""),"",$B328&amp;"|"&amp;$A328&amp;"|"&amp;$F328&amp;"|"&amp;$R328&amp;"|"&amp;COUNTIFS($B$6:$B328,$B328,$A$6:$A328,$A328,$F$6:$F328,$F328,$R$6:$R328,$R328))</f>
        <v/>
      </c>
      <c r="U328" s="32">
        <f>IF($C328="","",$C328&amp;"|"&amp;COUNTIFS($C$6:$C328,$C328))</f>
        <v/>
      </c>
      <c r="V328" s="32">
        <f>IF(OR($C328="",$A328="",$S328=""),"",$C328&amp;"|"&amp;$A328&amp;"|"&amp;$S328)</f>
        <v/>
      </c>
      <c r="W328" s="32">
        <f>IF(OR($C328="",$S328="",$S328=1),"",IFERROR(INDEX($Q$6:$Q$1505,MATCH($C328&amp;"|"&amp;$A328&amp;"|"&amp;($S328-1),$V$6:$V$1505,0)),""))</f>
        <v/>
      </c>
      <c r="X328" s="32">
        <f>IF(OR($W328="",$Q328="",LEFT($Q328,1)="—"),"",IF($W328=$Q328,"ללא שינוי","מ-"&amp;$W328&amp;" ל-"&amp;$Q328))</f>
        <v/>
      </c>
    </row>
    <row r="329" ht="15.75" customHeight="1" s="58">
      <c r="A329" s="65" t="n"/>
      <c r="B329" s="65" t="n"/>
      <c r="C329" s="66" t="n"/>
      <c r="D329" s="66" t="n"/>
      <c r="E329" s="65" t="n"/>
      <c r="F329" s="65" t="n"/>
      <c r="G329" s="65" t="n"/>
      <c r="H329" s="65" t="n"/>
      <c r="I329" s="65" t="n"/>
      <c r="J329" s="65" t="n"/>
      <c r="K329" s="65" t="n"/>
      <c r="L329" s="65" t="n"/>
      <c r="M329" s="65" t="n"/>
      <c r="N329" s="65" t="n"/>
      <c r="O329" s="65" t="n"/>
      <c r="P329" s="65" t="n"/>
      <c r="Q329" s="32">
        <f>IF($C329="","",IF($J329="","— חסרים נתונים",IF($J329="טרם מפענח","פרופיל 5",IF($J329="קמץ/פתח/חטף-פתח ושוואים","פרופיל 4",IF($J329="2-3 סימני ניקוד","פרופיל 3",IF($J329="4-5 סימני ניקוד","פרופיל 2",IF(AND($O329="משפטים וקטעים קצרים",OR($M329="מבין",$M329="מבין לרוב")),"פרופיל 1","פרופיל 2")))))))</f>
        <v/>
      </c>
      <c r="R329" s="32">
        <f>IF($C329="","",IF(OR($Q329="",LEFT($Q329,1)="—"),"קבוצה רביעית",IF($Q329="פרופיל 5","קבוצת תשתיות",IF(OR($Q329="פרופיל 4",$Q329="פרופיל 3"),"קבוצת רכישה","קבוצת ביסוס"))))</f>
        <v/>
      </c>
      <c r="S329" s="32">
        <f>IF($F329="","",IF($F329="תחילת שנה",1,IF($F329="מחצית שנה",2,3)))</f>
        <v/>
      </c>
      <c r="T329" s="32">
        <f>IF(OR($B329="",$R329="",$A329="",$F329=""),"",$B329&amp;"|"&amp;$A329&amp;"|"&amp;$F329&amp;"|"&amp;$R329&amp;"|"&amp;COUNTIFS($B$6:$B329,$B329,$A$6:$A329,$A329,$F$6:$F329,$F329,$R$6:$R329,$R329))</f>
        <v/>
      </c>
      <c r="U329" s="32">
        <f>IF($C329="","",$C329&amp;"|"&amp;COUNTIFS($C$6:$C329,$C329))</f>
        <v/>
      </c>
      <c r="V329" s="32">
        <f>IF(OR($C329="",$A329="",$S329=""),"",$C329&amp;"|"&amp;$A329&amp;"|"&amp;$S329)</f>
        <v/>
      </c>
      <c r="W329" s="32">
        <f>IF(OR($C329="",$S329="",$S329=1),"",IFERROR(INDEX($Q$6:$Q$1505,MATCH($C329&amp;"|"&amp;$A329&amp;"|"&amp;($S329-1),$V$6:$V$1505,0)),""))</f>
        <v/>
      </c>
      <c r="X329" s="32">
        <f>IF(OR($W329="",$Q329="",LEFT($Q329,1)="—"),"",IF($W329=$Q329,"ללא שינוי","מ-"&amp;$W329&amp;" ל-"&amp;$Q329))</f>
        <v/>
      </c>
    </row>
    <row r="330" ht="15.75" customHeight="1" s="58">
      <c r="A330" s="65" t="n"/>
      <c r="B330" s="65" t="n"/>
      <c r="C330" s="66" t="n"/>
      <c r="D330" s="66" t="n"/>
      <c r="E330" s="65" t="n"/>
      <c r="F330" s="65" t="n"/>
      <c r="G330" s="65" t="n"/>
      <c r="H330" s="65" t="n"/>
      <c r="I330" s="65" t="n"/>
      <c r="J330" s="65" t="n"/>
      <c r="K330" s="65" t="n"/>
      <c r="L330" s="65" t="n"/>
      <c r="M330" s="65" t="n"/>
      <c r="N330" s="65" t="n"/>
      <c r="O330" s="65" t="n"/>
      <c r="P330" s="65" t="n"/>
      <c r="Q330" s="32">
        <f>IF($C330="","",IF($J330="","— חסרים נתונים",IF($J330="טרם מפענח","פרופיל 5",IF($J330="קמץ/פתח/חטף-פתח ושוואים","פרופיל 4",IF($J330="2-3 סימני ניקוד","פרופיל 3",IF($J330="4-5 סימני ניקוד","פרופיל 2",IF(AND($O330="משפטים וקטעים קצרים",OR($M330="מבין",$M330="מבין לרוב")),"פרופיל 1","פרופיל 2")))))))</f>
        <v/>
      </c>
      <c r="R330" s="32">
        <f>IF($C330="","",IF(OR($Q330="",LEFT($Q330,1)="—"),"קבוצה רביעית",IF($Q330="פרופיל 5","קבוצת תשתיות",IF(OR($Q330="פרופיל 4",$Q330="פרופיל 3"),"קבוצת רכישה","קבוצת ביסוס"))))</f>
        <v/>
      </c>
      <c r="S330" s="32">
        <f>IF($F330="","",IF($F330="תחילת שנה",1,IF($F330="מחצית שנה",2,3)))</f>
        <v/>
      </c>
      <c r="T330" s="32">
        <f>IF(OR($B330="",$R330="",$A330="",$F330=""),"",$B330&amp;"|"&amp;$A330&amp;"|"&amp;$F330&amp;"|"&amp;$R330&amp;"|"&amp;COUNTIFS($B$6:$B330,$B330,$A$6:$A330,$A330,$F$6:$F330,$F330,$R$6:$R330,$R330))</f>
        <v/>
      </c>
      <c r="U330" s="32">
        <f>IF($C330="","",$C330&amp;"|"&amp;COUNTIFS($C$6:$C330,$C330))</f>
        <v/>
      </c>
      <c r="V330" s="32">
        <f>IF(OR($C330="",$A330="",$S330=""),"",$C330&amp;"|"&amp;$A330&amp;"|"&amp;$S330)</f>
        <v/>
      </c>
      <c r="W330" s="32">
        <f>IF(OR($C330="",$S330="",$S330=1),"",IFERROR(INDEX($Q$6:$Q$1505,MATCH($C330&amp;"|"&amp;$A330&amp;"|"&amp;($S330-1),$V$6:$V$1505,0)),""))</f>
        <v/>
      </c>
      <c r="X330" s="32">
        <f>IF(OR($W330="",$Q330="",LEFT($Q330,1)="—"),"",IF($W330=$Q330,"ללא שינוי","מ-"&amp;$W330&amp;" ל-"&amp;$Q330))</f>
        <v/>
      </c>
    </row>
    <row r="331" ht="15.75" customHeight="1" s="58">
      <c r="A331" s="65" t="n"/>
      <c r="B331" s="65" t="n"/>
      <c r="C331" s="66" t="n"/>
      <c r="D331" s="66" t="n"/>
      <c r="E331" s="65" t="n"/>
      <c r="F331" s="65" t="n"/>
      <c r="G331" s="65" t="n"/>
      <c r="H331" s="65" t="n"/>
      <c r="I331" s="65" t="n"/>
      <c r="J331" s="65" t="n"/>
      <c r="K331" s="65" t="n"/>
      <c r="L331" s="65" t="n"/>
      <c r="M331" s="65" t="n"/>
      <c r="N331" s="65" t="n"/>
      <c r="O331" s="65" t="n"/>
      <c r="P331" s="65" t="n"/>
      <c r="Q331" s="32">
        <f>IF($C331="","",IF($J331="","— חסרים נתונים",IF($J331="טרם מפענח","פרופיל 5",IF($J331="קמץ/פתח/חטף-פתח ושוואים","פרופיל 4",IF($J331="2-3 סימני ניקוד","פרופיל 3",IF($J331="4-5 סימני ניקוד","פרופיל 2",IF(AND($O331="משפטים וקטעים קצרים",OR($M331="מבין",$M331="מבין לרוב")),"פרופיל 1","פרופיל 2")))))))</f>
        <v/>
      </c>
      <c r="R331" s="32">
        <f>IF($C331="","",IF(OR($Q331="",LEFT($Q331,1)="—"),"קבוצה רביעית",IF($Q331="פרופיל 5","קבוצת תשתיות",IF(OR($Q331="פרופיל 4",$Q331="פרופיל 3"),"קבוצת רכישה","קבוצת ביסוס"))))</f>
        <v/>
      </c>
      <c r="S331" s="32">
        <f>IF($F331="","",IF($F331="תחילת שנה",1,IF($F331="מחצית שנה",2,3)))</f>
        <v/>
      </c>
      <c r="T331" s="32">
        <f>IF(OR($B331="",$R331="",$A331="",$F331=""),"",$B331&amp;"|"&amp;$A331&amp;"|"&amp;$F331&amp;"|"&amp;$R331&amp;"|"&amp;COUNTIFS($B$6:$B331,$B331,$A$6:$A331,$A331,$F$6:$F331,$F331,$R$6:$R331,$R331))</f>
        <v/>
      </c>
      <c r="U331" s="32">
        <f>IF($C331="","",$C331&amp;"|"&amp;COUNTIFS($C$6:$C331,$C331))</f>
        <v/>
      </c>
      <c r="V331" s="32">
        <f>IF(OR($C331="",$A331="",$S331=""),"",$C331&amp;"|"&amp;$A331&amp;"|"&amp;$S331)</f>
        <v/>
      </c>
      <c r="W331" s="32">
        <f>IF(OR($C331="",$S331="",$S331=1),"",IFERROR(INDEX($Q$6:$Q$1505,MATCH($C331&amp;"|"&amp;$A331&amp;"|"&amp;($S331-1),$V$6:$V$1505,0)),""))</f>
        <v/>
      </c>
      <c r="X331" s="32">
        <f>IF(OR($W331="",$Q331="",LEFT($Q331,1)="—"),"",IF($W331=$Q331,"ללא שינוי","מ-"&amp;$W331&amp;" ל-"&amp;$Q331))</f>
        <v/>
      </c>
    </row>
    <row r="332" ht="15.75" customHeight="1" s="58">
      <c r="A332" s="65" t="n"/>
      <c r="B332" s="65" t="n"/>
      <c r="C332" s="66" t="n"/>
      <c r="D332" s="66" t="n"/>
      <c r="E332" s="65" t="n"/>
      <c r="F332" s="65" t="n"/>
      <c r="G332" s="65" t="n"/>
      <c r="H332" s="65" t="n"/>
      <c r="I332" s="65" t="n"/>
      <c r="J332" s="65" t="n"/>
      <c r="K332" s="65" t="n"/>
      <c r="L332" s="65" t="n"/>
      <c r="M332" s="65" t="n"/>
      <c r="N332" s="65" t="n"/>
      <c r="O332" s="65" t="n"/>
      <c r="P332" s="65" t="n"/>
      <c r="Q332" s="32">
        <f>IF($C332="","",IF($J332="","— חסרים נתונים",IF($J332="טרם מפענח","פרופיל 5",IF($J332="קמץ/פתח/חטף-פתח ושוואים","פרופיל 4",IF($J332="2-3 סימני ניקוד","פרופיל 3",IF($J332="4-5 סימני ניקוד","פרופיל 2",IF(AND($O332="משפטים וקטעים קצרים",OR($M332="מבין",$M332="מבין לרוב")),"פרופיל 1","פרופיל 2")))))))</f>
        <v/>
      </c>
      <c r="R332" s="32">
        <f>IF($C332="","",IF(OR($Q332="",LEFT($Q332,1)="—"),"קבוצה רביעית",IF($Q332="פרופיל 5","קבוצת תשתיות",IF(OR($Q332="פרופיל 4",$Q332="פרופיל 3"),"קבוצת רכישה","קבוצת ביסוס"))))</f>
        <v/>
      </c>
      <c r="S332" s="32">
        <f>IF($F332="","",IF($F332="תחילת שנה",1,IF($F332="מחצית שנה",2,3)))</f>
        <v/>
      </c>
      <c r="T332" s="32">
        <f>IF(OR($B332="",$R332="",$A332="",$F332=""),"",$B332&amp;"|"&amp;$A332&amp;"|"&amp;$F332&amp;"|"&amp;$R332&amp;"|"&amp;COUNTIFS($B$6:$B332,$B332,$A$6:$A332,$A332,$F$6:$F332,$F332,$R$6:$R332,$R332))</f>
        <v/>
      </c>
      <c r="U332" s="32">
        <f>IF($C332="","",$C332&amp;"|"&amp;COUNTIFS($C$6:$C332,$C332))</f>
        <v/>
      </c>
      <c r="V332" s="32">
        <f>IF(OR($C332="",$A332="",$S332=""),"",$C332&amp;"|"&amp;$A332&amp;"|"&amp;$S332)</f>
        <v/>
      </c>
      <c r="W332" s="32">
        <f>IF(OR($C332="",$S332="",$S332=1),"",IFERROR(INDEX($Q$6:$Q$1505,MATCH($C332&amp;"|"&amp;$A332&amp;"|"&amp;($S332-1),$V$6:$V$1505,0)),""))</f>
        <v/>
      </c>
      <c r="X332" s="32">
        <f>IF(OR($W332="",$Q332="",LEFT($Q332,1)="—"),"",IF($W332=$Q332,"ללא שינוי","מ-"&amp;$W332&amp;" ל-"&amp;$Q332))</f>
        <v/>
      </c>
    </row>
    <row r="333" ht="15.75" customHeight="1" s="58">
      <c r="A333" s="65" t="n"/>
      <c r="B333" s="65" t="n"/>
      <c r="C333" s="66" t="n"/>
      <c r="D333" s="66" t="n"/>
      <c r="E333" s="65" t="n"/>
      <c r="F333" s="65" t="n"/>
      <c r="G333" s="65" t="n"/>
      <c r="H333" s="65" t="n"/>
      <c r="I333" s="65" t="n"/>
      <c r="J333" s="65" t="n"/>
      <c r="K333" s="65" t="n"/>
      <c r="L333" s="65" t="n"/>
      <c r="M333" s="65" t="n"/>
      <c r="N333" s="65" t="n"/>
      <c r="O333" s="65" t="n"/>
      <c r="P333" s="65" t="n"/>
      <c r="Q333" s="32">
        <f>IF($C333="","",IF($J333="","— חסרים נתונים",IF($J333="טרם מפענח","פרופיל 5",IF($J333="קמץ/פתח/חטף-פתח ושוואים","פרופיל 4",IF($J333="2-3 סימני ניקוד","פרופיל 3",IF($J333="4-5 סימני ניקוד","פרופיל 2",IF(AND($O333="משפטים וקטעים קצרים",OR($M333="מבין",$M333="מבין לרוב")),"פרופיל 1","פרופיל 2")))))))</f>
        <v/>
      </c>
      <c r="R333" s="32">
        <f>IF($C333="","",IF(OR($Q333="",LEFT($Q333,1)="—"),"קבוצה רביעית",IF($Q333="פרופיל 5","קבוצת תשתיות",IF(OR($Q333="פרופיל 4",$Q333="פרופיל 3"),"קבוצת רכישה","קבוצת ביסוס"))))</f>
        <v/>
      </c>
      <c r="S333" s="32">
        <f>IF($F333="","",IF($F333="תחילת שנה",1,IF($F333="מחצית שנה",2,3)))</f>
        <v/>
      </c>
      <c r="T333" s="32">
        <f>IF(OR($B333="",$R333="",$A333="",$F333=""),"",$B333&amp;"|"&amp;$A333&amp;"|"&amp;$F333&amp;"|"&amp;$R333&amp;"|"&amp;COUNTIFS($B$6:$B333,$B333,$A$6:$A333,$A333,$F$6:$F333,$F333,$R$6:$R333,$R333))</f>
        <v/>
      </c>
      <c r="U333" s="32">
        <f>IF($C333="","",$C333&amp;"|"&amp;COUNTIFS($C$6:$C333,$C333))</f>
        <v/>
      </c>
      <c r="V333" s="32">
        <f>IF(OR($C333="",$A333="",$S333=""),"",$C333&amp;"|"&amp;$A333&amp;"|"&amp;$S333)</f>
        <v/>
      </c>
      <c r="W333" s="32">
        <f>IF(OR($C333="",$S333="",$S333=1),"",IFERROR(INDEX($Q$6:$Q$1505,MATCH($C333&amp;"|"&amp;$A333&amp;"|"&amp;($S333-1),$V$6:$V$1505,0)),""))</f>
        <v/>
      </c>
      <c r="X333" s="32">
        <f>IF(OR($W333="",$Q333="",LEFT($Q333,1)="—"),"",IF($W333=$Q333,"ללא שינוי","מ-"&amp;$W333&amp;" ל-"&amp;$Q333))</f>
        <v/>
      </c>
    </row>
    <row r="334" ht="15.75" customHeight="1" s="58">
      <c r="A334" s="65" t="n"/>
      <c r="B334" s="65" t="n"/>
      <c r="C334" s="66" t="n"/>
      <c r="D334" s="66" t="n"/>
      <c r="E334" s="65" t="n"/>
      <c r="F334" s="65" t="n"/>
      <c r="G334" s="65" t="n"/>
      <c r="H334" s="65" t="n"/>
      <c r="I334" s="65" t="n"/>
      <c r="J334" s="65" t="n"/>
      <c r="K334" s="65" t="n"/>
      <c r="L334" s="65" t="n"/>
      <c r="M334" s="65" t="n"/>
      <c r="N334" s="65" t="n"/>
      <c r="O334" s="65" t="n"/>
      <c r="P334" s="65" t="n"/>
      <c r="Q334" s="32">
        <f>IF($C334="","",IF($J334="","— חסרים נתונים",IF($J334="טרם מפענח","פרופיל 5",IF($J334="קמץ/פתח/חטף-פתח ושוואים","פרופיל 4",IF($J334="2-3 סימני ניקוד","פרופיל 3",IF($J334="4-5 סימני ניקוד","פרופיל 2",IF(AND($O334="משפטים וקטעים קצרים",OR($M334="מבין",$M334="מבין לרוב")),"פרופיל 1","פרופיל 2")))))))</f>
        <v/>
      </c>
      <c r="R334" s="32">
        <f>IF($C334="","",IF(OR($Q334="",LEFT($Q334,1)="—"),"קבוצה רביעית",IF($Q334="פרופיל 5","קבוצת תשתיות",IF(OR($Q334="פרופיל 4",$Q334="פרופיל 3"),"קבוצת רכישה","קבוצת ביסוס"))))</f>
        <v/>
      </c>
      <c r="S334" s="32">
        <f>IF($F334="","",IF($F334="תחילת שנה",1,IF($F334="מחצית שנה",2,3)))</f>
        <v/>
      </c>
      <c r="T334" s="32">
        <f>IF(OR($B334="",$R334="",$A334="",$F334=""),"",$B334&amp;"|"&amp;$A334&amp;"|"&amp;$F334&amp;"|"&amp;$R334&amp;"|"&amp;COUNTIFS($B$6:$B334,$B334,$A$6:$A334,$A334,$F$6:$F334,$F334,$R$6:$R334,$R334))</f>
        <v/>
      </c>
      <c r="U334" s="32">
        <f>IF($C334="","",$C334&amp;"|"&amp;COUNTIFS($C$6:$C334,$C334))</f>
        <v/>
      </c>
      <c r="V334" s="32">
        <f>IF(OR($C334="",$A334="",$S334=""),"",$C334&amp;"|"&amp;$A334&amp;"|"&amp;$S334)</f>
        <v/>
      </c>
      <c r="W334" s="32">
        <f>IF(OR($C334="",$S334="",$S334=1),"",IFERROR(INDEX($Q$6:$Q$1505,MATCH($C334&amp;"|"&amp;$A334&amp;"|"&amp;($S334-1),$V$6:$V$1505,0)),""))</f>
        <v/>
      </c>
      <c r="X334" s="32">
        <f>IF(OR($W334="",$Q334="",LEFT($Q334,1)="—"),"",IF($W334=$Q334,"ללא שינוי","מ-"&amp;$W334&amp;" ל-"&amp;$Q334))</f>
        <v/>
      </c>
    </row>
    <row r="335" ht="15.75" customHeight="1" s="58">
      <c r="A335" s="65" t="n"/>
      <c r="B335" s="65" t="n"/>
      <c r="C335" s="66" t="n"/>
      <c r="D335" s="66" t="n"/>
      <c r="E335" s="65" t="n"/>
      <c r="F335" s="65" t="n"/>
      <c r="G335" s="65" t="n"/>
      <c r="H335" s="65" t="n"/>
      <c r="I335" s="65" t="n"/>
      <c r="J335" s="65" t="n"/>
      <c r="K335" s="65" t="n"/>
      <c r="L335" s="65" t="n"/>
      <c r="M335" s="65" t="n"/>
      <c r="N335" s="65" t="n"/>
      <c r="O335" s="65" t="n"/>
      <c r="P335" s="65" t="n"/>
      <c r="Q335" s="32">
        <f>IF($C335="","",IF($J335="","— חסרים נתונים",IF($J335="טרם מפענח","פרופיל 5",IF($J335="קמץ/פתח/חטף-פתח ושוואים","פרופיל 4",IF($J335="2-3 סימני ניקוד","פרופיל 3",IF($J335="4-5 סימני ניקוד","פרופיל 2",IF(AND($O335="משפטים וקטעים קצרים",OR($M335="מבין",$M335="מבין לרוב")),"פרופיל 1","פרופיל 2")))))))</f>
        <v/>
      </c>
      <c r="R335" s="32">
        <f>IF($C335="","",IF(OR($Q335="",LEFT($Q335,1)="—"),"קבוצה רביעית",IF($Q335="פרופיל 5","קבוצת תשתיות",IF(OR($Q335="פרופיל 4",$Q335="פרופיל 3"),"קבוצת רכישה","קבוצת ביסוס"))))</f>
        <v/>
      </c>
      <c r="S335" s="32">
        <f>IF($F335="","",IF($F335="תחילת שנה",1,IF($F335="מחצית שנה",2,3)))</f>
        <v/>
      </c>
      <c r="T335" s="32">
        <f>IF(OR($B335="",$R335="",$A335="",$F335=""),"",$B335&amp;"|"&amp;$A335&amp;"|"&amp;$F335&amp;"|"&amp;$R335&amp;"|"&amp;COUNTIFS($B$6:$B335,$B335,$A$6:$A335,$A335,$F$6:$F335,$F335,$R$6:$R335,$R335))</f>
        <v/>
      </c>
      <c r="U335" s="32">
        <f>IF($C335="","",$C335&amp;"|"&amp;COUNTIFS($C$6:$C335,$C335))</f>
        <v/>
      </c>
      <c r="V335" s="32">
        <f>IF(OR($C335="",$A335="",$S335=""),"",$C335&amp;"|"&amp;$A335&amp;"|"&amp;$S335)</f>
        <v/>
      </c>
      <c r="W335" s="32">
        <f>IF(OR($C335="",$S335="",$S335=1),"",IFERROR(INDEX($Q$6:$Q$1505,MATCH($C335&amp;"|"&amp;$A335&amp;"|"&amp;($S335-1),$V$6:$V$1505,0)),""))</f>
        <v/>
      </c>
      <c r="X335" s="32">
        <f>IF(OR($W335="",$Q335="",LEFT($Q335,1)="—"),"",IF($W335=$Q335,"ללא שינוי","מ-"&amp;$W335&amp;" ל-"&amp;$Q335))</f>
        <v/>
      </c>
    </row>
    <row r="336" ht="15.75" customHeight="1" s="58">
      <c r="A336" s="65" t="n"/>
      <c r="B336" s="65" t="n"/>
      <c r="C336" s="66" t="n"/>
      <c r="D336" s="66" t="n"/>
      <c r="E336" s="65" t="n"/>
      <c r="F336" s="65" t="n"/>
      <c r="G336" s="65" t="n"/>
      <c r="H336" s="65" t="n"/>
      <c r="I336" s="65" t="n"/>
      <c r="J336" s="65" t="n"/>
      <c r="K336" s="65" t="n"/>
      <c r="L336" s="65" t="n"/>
      <c r="M336" s="65" t="n"/>
      <c r="N336" s="65" t="n"/>
      <c r="O336" s="65" t="n"/>
      <c r="P336" s="65" t="n"/>
      <c r="Q336" s="32">
        <f>IF($C336="","",IF($J336="","— חסרים נתונים",IF($J336="טרם מפענח","פרופיל 5",IF($J336="קמץ/פתח/חטף-פתח ושוואים","פרופיל 4",IF($J336="2-3 סימני ניקוד","פרופיל 3",IF($J336="4-5 סימני ניקוד","פרופיל 2",IF(AND($O336="משפטים וקטעים קצרים",OR($M336="מבין",$M336="מבין לרוב")),"פרופיל 1","פרופיל 2")))))))</f>
        <v/>
      </c>
      <c r="R336" s="32">
        <f>IF($C336="","",IF(OR($Q336="",LEFT($Q336,1)="—"),"קבוצה רביעית",IF($Q336="פרופיל 5","קבוצת תשתיות",IF(OR($Q336="פרופיל 4",$Q336="פרופיל 3"),"קבוצת רכישה","קבוצת ביסוס"))))</f>
        <v/>
      </c>
      <c r="S336" s="32">
        <f>IF($F336="","",IF($F336="תחילת שנה",1,IF($F336="מחצית שנה",2,3)))</f>
        <v/>
      </c>
      <c r="T336" s="32">
        <f>IF(OR($B336="",$R336="",$A336="",$F336=""),"",$B336&amp;"|"&amp;$A336&amp;"|"&amp;$F336&amp;"|"&amp;$R336&amp;"|"&amp;COUNTIFS($B$6:$B336,$B336,$A$6:$A336,$A336,$F$6:$F336,$F336,$R$6:$R336,$R336))</f>
        <v/>
      </c>
      <c r="U336" s="32">
        <f>IF($C336="","",$C336&amp;"|"&amp;COUNTIFS($C$6:$C336,$C336))</f>
        <v/>
      </c>
      <c r="V336" s="32">
        <f>IF(OR($C336="",$A336="",$S336=""),"",$C336&amp;"|"&amp;$A336&amp;"|"&amp;$S336)</f>
        <v/>
      </c>
      <c r="W336" s="32">
        <f>IF(OR($C336="",$S336="",$S336=1),"",IFERROR(INDEX($Q$6:$Q$1505,MATCH($C336&amp;"|"&amp;$A336&amp;"|"&amp;($S336-1),$V$6:$V$1505,0)),""))</f>
        <v/>
      </c>
      <c r="X336" s="32">
        <f>IF(OR($W336="",$Q336="",LEFT($Q336,1)="—"),"",IF($W336=$Q336,"ללא שינוי","מ-"&amp;$W336&amp;" ל-"&amp;$Q336))</f>
        <v/>
      </c>
    </row>
    <row r="337" ht="15.75" customHeight="1" s="58">
      <c r="A337" s="65" t="n"/>
      <c r="B337" s="65" t="n"/>
      <c r="C337" s="66" t="n"/>
      <c r="D337" s="66" t="n"/>
      <c r="E337" s="65" t="n"/>
      <c r="F337" s="65" t="n"/>
      <c r="G337" s="65" t="n"/>
      <c r="H337" s="65" t="n"/>
      <c r="I337" s="65" t="n"/>
      <c r="J337" s="65" t="n"/>
      <c r="K337" s="65" t="n"/>
      <c r="L337" s="65" t="n"/>
      <c r="M337" s="65" t="n"/>
      <c r="N337" s="65" t="n"/>
      <c r="O337" s="65" t="n"/>
      <c r="P337" s="65" t="n"/>
      <c r="Q337" s="32">
        <f>IF($C337="","",IF($J337="","— חסרים נתונים",IF($J337="טרם מפענח","פרופיל 5",IF($J337="קמץ/פתח/חטף-פתח ושוואים","פרופיל 4",IF($J337="2-3 סימני ניקוד","פרופיל 3",IF($J337="4-5 סימני ניקוד","פרופיל 2",IF(AND($O337="משפטים וקטעים קצרים",OR($M337="מבין",$M337="מבין לרוב")),"פרופיל 1","פרופיל 2")))))))</f>
        <v/>
      </c>
      <c r="R337" s="32">
        <f>IF($C337="","",IF(OR($Q337="",LEFT($Q337,1)="—"),"קבוצה רביעית",IF($Q337="פרופיל 5","קבוצת תשתיות",IF(OR($Q337="פרופיל 4",$Q337="פרופיל 3"),"קבוצת רכישה","קבוצת ביסוס"))))</f>
        <v/>
      </c>
      <c r="S337" s="32">
        <f>IF($F337="","",IF($F337="תחילת שנה",1,IF($F337="מחצית שנה",2,3)))</f>
        <v/>
      </c>
      <c r="T337" s="32">
        <f>IF(OR($B337="",$R337="",$A337="",$F337=""),"",$B337&amp;"|"&amp;$A337&amp;"|"&amp;$F337&amp;"|"&amp;$R337&amp;"|"&amp;COUNTIFS($B$6:$B337,$B337,$A$6:$A337,$A337,$F$6:$F337,$F337,$R$6:$R337,$R337))</f>
        <v/>
      </c>
      <c r="U337" s="32">
        <f>IF($C337="","",$C337&amp;"|"&amp;COUNTIFS($C$6:$C337,$C337))</f>
        <v/>
      </c>
      <c r="V337" s="32">
        <f>IF(OR($C337="",$A337="",$S337=""),"",$C337&amp;"|"&amp;$A337&amp;"|"&amp;$S337)</f>
        <v/>
      </c>
      <c r="W337" s="32">
        <f>IF(OR($C337="",$S337="",$S337=1),"",IFERROR(INDEX($Q$6:$Q$1505,MATCH($C337&amp;"|"&amp;$A337&amp;"|"&amp;($S337-1),$V$6:$V$1505,0)),""))</f>
        <v/>
      </c>
      <c r="X337" s="32">
        <f>IF(OR($W337="",$Q337="",LEFT($Q337,1)="—"),"",IF($W337=$Q337,"ללא שינוי","מ-"&amp;$W337&amp;" ל-"&amp;$Q337))</f>
        <v/>
      </c>
    </row>
    <row r="338" ht="15.75" customHeight="1" s="58">
      <c r="A338" s="65" t="n"/>
      <c r="B338" s="65" t="n"/>
      <c r="C338" s="66" t="n"/>
      <c r="D338" s="66" t="n"/>
      <c r="E338" s="65" t="n"/>
      <c r="F338" s="65" t="n"/>
      <c r="G338" s="65" t="n"/>
      <c r="H338" s="65" t="n"/>
      <c r="I338" s="65" t="n"/>
      <c r="J338" s="65" t="n"/>
      <c r="K338" s="65" t="n"/>
      <c r="L338" s="65" t="n"/>
      <c r="M338" s="65" t="n"/>
      <c r="N338" s="65" t="n"/>
      <c r="O338" s="65" t="n"/>
      <c r="P338" s="65" t="n"/>
      <c r="Q338" s="32">
        <f>IF($C338="","",IF($J338="","— חסרים נתונים",IF($J338="טרם מפענח","פרופיל 5",IF($J338="קמץ/פתח/חטף-פתח ושוואים","פרופיל 4",IF($J338="2-3 סימני ניקוד","פרופיל 3",IF($J338="4-5 סימני ניקוד","פרופיל 2",IF(AND($O338="משפטים וקטעים קצרים",OR($M338="מבין",$M338="מבין לרוב")),"פרופיל 1","פרופיל 2")))))))</f>
        <v/>
      </c>
      <c r="R338" s="32">
        <f>IF($C338="","",IF(OR($Q338="",LEFT($Q338,1)="—"),"קבוצה רביעית",IF($Q338="פרופיל 5","קבוצת תשתיות",IF(OR($Q338="פרופיל 4",$Q338="פרופיל 3"),"קבוצת רכישה","קבוצת ביסוס"))))</f>
        <v/>
      </c>
      <c r="S338" s="32">
        <f>IF($F338="","",IF($F338="תחילת שנה",1,IF($F338="מחצית שנה",2,3)))</f>
        <v/>
      </c>
      <c r="T338" s="32">
        <f>IF(OR($B338="",$R338="",$A338="",$F338=""),"",$B338&amp;"|"&amp;$A338&amp;"|"&amp;$F338&amp;"|"&amp;$R338&amp;"|"&amp;COUNTIFS($B$6:$B338,$B338,$A$6:$A338,$A338,$F$6:$F338,$F338,$R$6:$R338,$R338))</f>
        <v/>
      </c>
      <c r="U338" s="32">
        <f>IF($C338="","",$C338&amp;"|"&amp;COUNTIFS($C$6:$C338,$C338))</f>
        <v/>
      </c>
      <c r="V338" s="32">
        <f>IF(OR($C338="",$A338="",$S338=""),"",$C338&amp;"|"&amp;$A338&amp;"|"&amp;$S338)</f>
        <v/>
      </c>
      <c r="W338" s="32">
        <f>IF(OR($C338="",$S338="",$S338=1),"",IFERROR(INDEX($Q$6:$Q$1505,MATCH($C338&amp;"|"&amp;$A338&amp;"|"&amp;($S338-1),$V$6:$V$1505,0)),""))</f>
        <v/>
      </c>
      <c r="X338" s="32">
        <f>IF(OR($W338="",$Q338="",LEFT($Q338,1)="—"),"",IF($W338=$Q338,"ללא שינוי","מ-"&amp;$W338&amp;" ל-"&amp;$Q338))</f>
        <v/>
      </c>
    </row>
    <row r="339" ht="15.75" customHeight="1" s="58">
      <c r="A339" s="65" t="n"/>
      <c r="B339" s="65" t="n"/>
      <c r="C339" s="66" t="n"/>
      <c r="D339" s="66" t="n"/>
      <c r="E339" s="65" t="n"/>
      <c r="F339" s="65" t="n"/>
      <c r="G339" s="65" t="n"/>
      <c r="H339" s="65" t="n"/>
      <c r="I339" s="65" t="n"/>
      <c r="J339" s="65" t="n"/>
      <c r="K339" s="65" t="n"/>
      <c r="L339" s="65" t="n"/>
      <c r="M339" s="65" t="n"/>
      <c r="N339" s="65" t="n"/>
      <c r="O339" s="65" t="n"/>
      <c r="P339" s="65" t="n"/>
      <c r="Q339" s="32">
        <f>IF($C339="","",IF($J339="","— חסרים נתונים",IF($J339="טרם מפענח","פרופיל 5",IF($J339="קמץ/פתח/חטף-פתח ושוואים","פרופיל 4",IF($J339="2-3 סימני ניקוד","פרופיל 3",IF($J339="4-5 סימני ניקוד","פרופיל 2",IF(AND($O339="משפטים וקטעים קצרים",OR($M339="מבין",$M339="מבין לרוב")),"פרופיל 1","פרופיל 2")))))))</f>
        <v/>
      </c>
      <c r="R339" s="32">
        <f>IF($C339="","",IF(OR($Q339="",LEFT($Q339,1)="—"),"קבוצה רביעית",IF($Q339="פרופיל 5","קבוצת תשתיות",IF(OR($Q339="פרופיל 4",$Q339="פרופיל 3"),"קבוצת רכישה","קבוצת ביסוס"))))</f>
        <v/>
      </c>
      <c r="S339" s="32">
        <f>IF($F339="","",IF($F339="תחילת שנה",1,IF($F339="מחצית שנה",2,3)))</f>
        <v/>
      </c>
      <c r="T339" s="32">
        <f>IF(OR($B339="",$R339="",$A339="",$F339=""),"",$B339&amp;"|"&amp;$A339&amp;"|"&amp;$F339&amp;"|"&amp;$R339&amp;"|"&amp;COUNTIFS($B$6:$B339,$B339,$A$6:$A339,$A339,$F$6:$F339,$F339,$R$6:$R339,$R339))</f>
        <v/>
      </c>
      <c r="U339" s="32">
        <f>IF($C339="","",$C339&amp;"|"&amp;COUNTIFS($C$6:$C339,$C339))</f>
        <v/>
      </c>
      <c r="V339" s="32">
        <f>IF(OR($C339="",$A339="",$S339=""),"",$C339&amp;"|"&amp;$A339&amp;"|"&amp;$S339)</f>
        <v/>
      </c>
      <c r="W339" s="32">
        <f>IF(OR($C339="",$S339="",$S339=1),"",IFERROR(INDEX($Q$6:$Q$1505,MATCH($C339&amp;"|"&amp;$A339&amp;"|"&amp;($S339-1),$V$6:$V$1505,0)),""))</f>
        <v/>
      </c>
      <c r="X339" s="32">
        <f>IF(OR($W339="",$Q339="",LEFT($Q339,1)="—"),"",IF($W339=$Q339,"ללא שינוי","מ-"&amp;$W339&amp;" ל-"&amp;$Q339))</f>
        <v/>
      </c>
    </row>
    <row r="340" ht="15.75" customHeight="1" s="58">
      <c r="A340" s="65" t="n"/>
      <c r="B340" s="65" t="n"/>
      <c r="C340" s="66" t="n"/>
      <c r="D340" s="66" t="n"/>
      <c r="E340" s="65" t="n"/>
      <c r="F340" s="65" t="n"/>
      <c r="G340" s="65" t="n"/>
      <c r="H340" s="65" t="n"/>
      <c r="I340" s="65" t="n"/>
      <c r="J340" s="65" t="n"/>
      <c r="K340" s="65" t="n"/>
      <c r="L340" s="65" t="n"/>
      <c r="M340" s="65" t="n"/>
      <c r="N340" s="65" t="n"/>
      <c r="O340" s="65" t="n"/>
      <c r="P340" s="65" t="n"/>
      <c r="Q340" s="32">
        <f>IF($C340="","",IF($J340="","— חסרים נתונים",IF($J340="טרם מפענח","פרופיל 5",IF($J340="קמץ/פתח/חטף-פתח ושוואים","פרופיל 4",IF($J340="2-3 סימני ניקוד","פרופיל 3",IF($J340="4-5 סימני ניקוד","פרופיל 2",IF(AND($O340="משפטים וקטעים קצרים",OR($M340="מבין",$M340="מבין לרוב")),"פרופיל 1","פרופיל 2")))))))</f>
        <v/>
      </c>
      <c r="R340" s="32">
        <f>IF($C340="","",IF(OR($Q340="",LEFT($Q340,1)="—"),"קבוצה רביעית",IF($Q340="פרופיל 5","קבוצת תשתיות",IF(OR($Q340="פרופיל 4",$Q340="פרופיל 3"),"קבוצת רכישה","קבוצת ביסוס"))))</f>
        <v/>
      </c>
      <c r="S340" s="32">
        <f>IF($F340="","",IF($F340="תחילת שנה",1,IF($F340="מחצית שנה",2,3)))</f>
        <v/>
      </c>
      <c r="T340" s="32">
        <f>IF(OR($B340="",$R340="",$A340="",$F340=""),"",$B340&amp;"|"&amp;$A340&amp;"|"&amp;$F340&amp;"|"&amp;$R340&amp;"|"&amp;COUNTIFS($B$6:$B340,$B340,$A$6:$A340,$A340,$F$6:$F340,$F340,$R$6:$R340,$R340))</f>
        <v/>
      </c>
      <c r="U340" s="32">
        <f>IF($C340="","",$C340&amp;"|"&amp;COUNTIFS($C$6:$C340,$C340))</f>
        <v/>
      </c>
      <c r="V340" s="32">
        <f>IF(OR($C340="",$A340="",$S340=""),"",$C340&amp;"|"&amp;$A340&amp;"|"&amp;$S340)</f>
        <v/>
      </c>
      <c r="W340" s="32">
        <f>IF(OR($C340="",$S340="",$S340=1),"",IFERROR(INDEX($Q$6:$Q$1505,MATCH($C340&amp;"|"&amp;$A340&amp;"|"&amp;($S340-1),$V$6:$V$1505,0)),""))</f>
        <v/>
      </c>
      <c r="X340" s="32">
        <f>IF(OR($W340="",$Q340="",LEFT($Q340,1)="—"),"",IF($W340=$Q340,"ללא שינוי","מ-"&amp;$W340&amp;" ל-"&amp;$Q340))</f>
        <v/>
      </c>
    </row>
    <row r="341" ht="15.75" customHeight="1" s="58">
      <c r="A341" s="65" t="n"/>
      <c r="B341" s="65" t="n"/>
      <c r="C341" s="66" t="n"/>
      <c r="D341" s="66" t="n"/>
      <c r="E341" s="65" t="n"/>
      <c r="F341" s="65" t="n"/>
      <c r="G341" s="65" t="n"/>
      <c r="H341" s="65" t="n"/>
      <c r="I341" s="65" t="n"/>
      <c r="J341" s="65" t="n"/>
      <c r="K341" s="65" t="n"/>
      <c r="L341" s="65" t="n"/>
      <c r="M341" s="65" t="n"/>
      <c r="N341" s="65" t="n"/>
      <c r="O341" s="65" t="n"/>
      <c r="P341" s="65" t="n"/>
      <c r="Q341" s="32">
        <f>IF($C341="","",IF($J341="","— חסרים נתונים",IF($J341="טרם מפענח","פרופיל 5",IF($J341="קמץ/פתח/חטף-פתח ושוואים","פרופיל 4",IF($J341="2-3 סימני ניקוד","פרופיל 3",IF($J341="4-5 סימני ניקוד","פרופיל 2",IF(AND($O341="משפטים וקטעים קצרים",OR($M341="מבין",$M341="מבין לרוב")),"פרופיל 1","פרופיל 2")))))))</f>
        <v/>
      </c>
      <c r="R341" s="32">
        <f>IF($C341="","",IF(OR($Q341="",LEFT($Q341,1)="—"),"קבוצה רביעית",IF($Q341="פרופיל 5","קבוצת תשתיות",IF(OR($Q341="פרופיל 4",$Q341="פרופיל 3"),"קבוצת רכישה","קבוצת ביסוס"))))</f>
        <v/>
      </c>
      <c r="S341" s="32">
        <f>IF($F341="","",IF($F341="תחילת שנה",1,IF($F341="מחצית שנה",2,3)))</f>
        <v/>
      </c>
      <c r="T341" s="32">
        <f>IF(OR($B341="",$R341="",$A341="",$F341=""),"",$B341&amp;"|"&amp;$A341&amp;"|"&amp;$F341&amp;"|"&amp;$R341&amp;"|"&amp;COUNTIFS($B$6:$B341,$B341,$A$6:$A341,$A341,$F$6:$F341,$F341,$R$6:$R341,$R341))</f>
        <v/>
      </c>
      <c r="U341" s="32">
        <f>IF($C341="","",$C341&amp;"|"&amp;COUNTIFS($C$6:$C341,$C341))</f>
        <v/>
      </c>
      <c r="V341" s="32">
        <f>IF(OR($C341="",$A341="",$S341=""),"",$C341&amp;"|"&amp;$A341&amp;"|"&amp;$S341)</f>
        <v/>
      </c>
      <c r="W341" s="32">
        <f>IF(OR($C341="",$S341="",$S341=1),"",IFERROR(INDEX($Q$6:$Q$1505,MATCH($C341&amp;"|"&amp;$A341&amp;"|"&amp;($S341-1),$V$6:$V$1505,0)),""))</f>
        <v/>
      </c>
      <c r="X341" s="32">
        <f>IF(OR($W341="",$Q341="",LEFT($Q341,1)="—"),"",IF($W341=$Q341,"ללא שינוי","מ-"&amp;$W341&amp;" ל-"&amp;$Q341))</f>
        <v/>
      </c>
    </row>
    <row r="342" ht="15.75" customHeight="1" s="58">
      <c r="A342" s="65" t="n"/>
      <c r="B342" s="65" t="n"/>
      <c r="C342" s="66" t="n"/>
      <c r="D342" s="66" t="n"/>
      <c r="E342" s="65" t="n"/>
      <c r="F342" s="65" t="n"/>
      <c r="G342" s="65" t="n"/>
      <c r="H342" s="65" t="n"/>
      <c r="I342" s="65" t="n"/>
      <c r="J342" s="65" t="n"/>
      <c r="K342" s="65" t="n"/>
      <c r="L342" s="65" t="n"/>
      <c r="M342" s="65" t="n"/>
      <c r="N342" s="65" t="n"/>
      <c r="O342" s="65" t="n"/>
      <c r="P342" s="65" t="n"/>
      <c r="Q342" s="32">
        <f>IF($C342="","",IF($J342="","— חסרים נתונים",IF($J342="טרם מפענח","פרופיל 5",IF($J342="קמץ/פתח/חטף-פתח ושוואים","פרופיל 4",IF($J342="2-3 סימני ניקוד","פרופיל 3",IF($J342="4-5 סימני ניקוד","פרופיל 2",IF(AND($O342="משפטים וקטעים קצרים",OR($M342="מבין",$M342="מבין לרוב")),"פרופיל 1","פרופיל 2")))))))</f>
        <v/>
      </c>
      <c r="R342" s="32">
        <f>IF($C342="","",IF(OR($Q342="",LEFT($Q342,1)="—"),"קבוצה רביעית",IF($Q342="פרופיל 5","קבוצת תשתיות",IF(OR($Q342="פרופיל 4",$Q342="פרופיל 3"),"קבוצת רכישה","קבוצת ביסוס"))))</f>
        <v/>
      </c>
      <c r="S342" s="32">
        <f>IF($F342="","",IF($F342="תחילת שנה",1,IF($F342="מחצית שנה",2,3)))</f>
        <v/>
      </c>
      <c r="T342" s="32">
        <f>IF(OR($B342="",$R342="",$A342="",$F342=""),"",$B342&amp;"|"&amp;$A342&amp;"|"&amp;$F342&amp;"|"&amp;$R342&amp;"|"&amp;COUNTIFS($B$6:$B342,$B342,$A$6:$A342,$A342,$F$6:$F342,$F342,$R$6:$R342,$R342))</f>
        <v/>
      </c>
      <c r="U342" s="32">
        <f>IF($C342="","",$C342&amp;"|"&amp;COUNTIFS($C$6:$C342,$C342))</f>
        <v/>
      </c>
      <c r="V342" s="32">
        <f>IF(OR($C342="",$A342="",$S342=""),"",$C342&amp;"|"&amp;$A342&amp;"|"&amp;$S342)</f>
        <v/>
      </c>
      <c r="W342" s="32">
        <f>IF(OR($C342="",$S342="",$S342=1),"",IFERROR(INDEX($Q$6:$Q$1505,MATCH($C342&amp;"|"&amp;$A342&amp;"|"&amp;($S342-1),$V$6:$V$1505,0)),""))</f>
        <v/>
      </c>
      <c r="X342" s="32">
        <f>IF(OR($W342="",$Q342="",LEFT($Q342,1)="—"),"",IF($W342=$Q342,"ללא שינוי","מ-"&amp;$W342&amp;" ל-"&amp;$Q342))</f>
        <v/>
      </c>
    </row>
    <row r="343" ht="15.75" customHeight="1" s="58">
      <c r="A343" s="65" t="n"/>
      <c r="B343" s="65" t="n"/>
      <c r="C343" s="66" t="n"/>
      <c r="D343" s="66" t="n"/>
      <c r="E343" s="65" t="n"/>
      <c r="F343" s="65" t="n"/>
      <c r="G343" s="65" t="n"/>
      <c r="H343" s="65" t="n"/>
      <c r="I343" s="65" t="n"/>
      <c r="J343" s="65" t="n"/>
      <c r="K343" s="65" t="n"/>
      <c r="L343" s="65" t="n"/>
      <c r="M343" s="65" t="n"/>
      <c r="N343" s="65" t="n"/>
      <c r="O343" s="65" t="n"/>
      <c r="P343" s="65" t="n"/>
      <c r="Q343" s="32">
        <f>IF($C343="","",IF($J343="","— חסרים נתונים",IF($J343="טרם מפענח","פרופיל 5",IF($J343="קמץ/פתח/חטף-פתח ושוואים","פרופיל 4",IF($J343="2-3 סימני ניקוד","פרופיל 3",IF($J343="4-5 סימני ניקוד","פרופיל 2",IF(AND($O343="משפטים וקטעים קצרים",OR($M343="מבין",$M343="מבין לרוב")),"פרופיל 1","פרופיל 2")))))))</f>
        <v/>
      </c>
      <c r="R343" s="32">
        <f>IF($C343="","",IF(OR($Q343="",LEFT($Q343,1)="—"),"קבוצה רביעית",IF($Q343="פרופיל 5","קבוצת תשתיות",IF(OR($Q343="פרופיל 4",$Q343="פרופיל 3"),"קבוצת רכישה","קבוצת ביסוס"))))</f>
        <v/>
      </c>
      <c r="S343" s="32">
        <f>IF($F343="","",IF($F343="תחילת שנה",1,IF($F343="מחצית שנה",2,3)))</f>
        <v/>
      </c>
      <c r="T343" s="32">
        <f>IF(OR($B343="",$R343="",$A343="",$F343=""),"",$B343&amp;"|"&amp;$A343&amp;"|"&amp;$F343&amp;"|"&amp;$R343&amp;"|"&amp;COUNTIFS($B$6:$B343,$B343,$A$6:$A343,$A343,$F$6:$F343,$F343,$R$6:$R343,$R343))</f>
        <v/>
      </c>
      <c r="U343" s="32">
        <f>IF($C343="","",$C343&amp;"|"&amp;COUNTIFS($C$6:$C343,$C343))</f>
        <v/>
      </c>
      <c r="V343" s="32">
        <f>IF(OR($C343="",$A343="",$S343=""),"",$C343&amp;"|"&amp;$A343&amp;"|"&amp;$S343)</f>
        <v/>
      </c>
      <c r="W343" s="32">
        <f>IF(OR($C343="",$S343="",$S343=1),"",IFERROR(INDEX($Q$6:$Q$1505,MATCH($C343&amp;"|"&amp;$A343&amp;"|"&amp;($S343-1),$V$6:$V$1505,0)),""))</f>
        <v/>
      </c>
      <c r="X343" s="32">
        <f>IF(OR($W343="",$Q343="",LEFT($Q343,1)="—"),"",IF($W343=$Q343,"ללא שינוי","מ-"&amp;$W343&amp;" ל-"&amp;$Q343))</f>
        <v/>
      </c>
    </row>
    <row r="344" ht="15.75" customHeight="1" s="58">
      <c r="A344" s="65" t="n"/>
      <c r="B344" s="65" t="n"/>
      <c r="C344" s="66" t="n"/>
      <c r="D344" s="66" t="n"/>
      <c r="E344" s="65" t="n"/>
      <c r="F344" s="65" t="n"/>
      <c r="G344" s="65" t="n"/>
      <c r="H344" s="65" t="n"/>
      <c r="I344" s="65" t="n"/>
      <c r="J344" s="65" t="n"/>
      <c r="K344" s="65" t="n"/>
      <c r="L344" s="65" t="n"/>
      <c r="M344" s="65" t="n"/>
      <c r="N344" s="65" t="n"/>
      <c r="O344" s="65" t="n"/>
      <c r="P344" s="65" t="n"/>
      <c r="Q344" s="32">
        <f>IF($C344="","",IF($J344="","— חסרים נתונים",IF($J344="טרם מפענח","פרופיל 5",IF($J344="קמץ/פתח/חטף-פתח ושוואים","פרופיל 4",IF($J344="2-3 סימני ניקוד","פרופיל 3",IF($J344="4-5 סימני ניקוד","פרופיל 2",IF(AND($O344="משפטים וקטעים קצרים",OR($M344="מבין",$M344="מבין לרוב")),"פרופיל 1","פרופיל 2")))))))</f>
        <v/>
      </c>
      <c r="R344" s="32">
        <f>IF($C344="","",IF(OR($Q344="",LEFT($Q344,1)="—"),"קבוצה רביעית",IF($Q344="פרופיל 5","קבוצת תשתיות",IF(OR($Q344="פרופיל 4",$Q344="פרופיל 3"),"קבוצת רכישה","קבוצת ביסוס"))))</f>
        <v/>
      </c>
      <c r="S344" s="32">
        <f>IF($F344="","",IF($F344="תחילת שנה",1,IF($F344="מחצית שנה",2,3)))</f>
        <v/>
      </c>
      <c r="T344" s="32">
        <f>IF(OR($B344="",$R344="",$A344="",$F344=""),"",$B344&amp;"|"&amp;$A344&amp;"|"&amp;$F344&amp;"|"&amp;$R344&amp;"|"&amp;COUNTIFS($B$6:$B344,$B344,$A$6:$A344,$A344,$F$6:$F344,$F344,$R$6:$R344,$R344))</f>
        <v/>
      </c>
      <c r="U344" s="32">
        <f>IF($C344="","",$C344&amp;"|"&amp;COUNTIFS($C$6:$C344,$C344))</f>
        <v/>
      </c>
      <c r="V344" s="32">
        <f>IF(OR($C344="",$A344="",$S344=""),"",$C344&amp;"|"&amp;$A344&amp;"|"&amp;$S344)</f>
        <v/>
      </c>
      <c r="W344" s="32">
        <f>IF(OR($C344="",$S344="",$S344=1),"",IFERROR(INDEX($Q$6:$Q$1505,MATCH($C344&amp;"|"&amp;$A344&amp;"|"&amp;($S344-1),$V$6:$V$1505,0)),""))</f>
        <v/>
      </c>
      <c r="X344" s="32">
        <f>IF(OR($W344="",$Q344="",LEFT($Q344,1)="—"),"",IF($W344=$Q344,"ללא שינוי","מ-"&amp;$W344&amp;" ל-"&amp;$Q344))</f>
        <v/>
      </c>
    </row>
    <row r="345" ht="15.75" customHeight="1" s="58">
      <c r="A345" s="65" t="n"/>
      <c r="B345" s="65" t="n"/>
      <c r="C345" s="66" t="n"/>
      <c r="D345" s="66" t="n"/>
      <c r="E345" s="65" t="n"/>
      <c r="F345" s="65" t="n"/>
      <c r="G345" s="65" t="n"/>
      <c r="H345" s="65" t="n"/>
      <c r="I345" s="65" t="n"/>
      <c r="J345" s="65" t="n"/>
      <c r="K345" s="65" t="n"/>
      <c r="L345" s="65" t="n"/>
      <c r="M345" s="65" t="n"/>
      <c r="N345" s="65" t="n"/>
      <c r="O345" s="65" t="n"/>
      <c r="P345" s="65" t="n"/>
      <c r="Q345" s="32">
        <f>IF($C345="","",IF($J345="","— חסרים נתונים",IF($J345="טרם מפענח","פרופיל 5",IF($J345="קמץ/פתח/חטף-פתח ושוואים","פרופיל 4",IF($J345="2-3 סימני ניקוד","פרופיל 3",IF($J345="4-5 סימני ניקוד","פרופיל 2",IF(AND($O345="משפטים וקטעים קצרים",OR($M345="מבין",$M345="מבין לרוב")),"פרופיל 1","פרופיל 2")))))))</f>
        <v/>
      </c>
      <c r="R345" s="32">
        <f>IF($C345="","",IF(OR($Q345="",LEFT($Q345,1)="—"),"קבוצה רביעית",IF($Q345="פרופיל 5","קבוצת תשתיות",IF(OR($Q345="פרופיל 4",$Q345="פרופיל 3"),"קבוצת רכישה","קבוצת ביסוס"))))</f>
        <v/>
      </c>
      <c r="S345" s="32">
        <f>IF($F345="","",IF($F345="תחילת שנה",1,IF($F345="מחצית שנה",2,3)))</f>
        <v/>
      </c>
      <c r="T345" s="32">
        <f>IF(OR($B345="",$R345="",$A345="",$F345=""),"",$B345&amp;"|"&amp;$A345&amp;"|"&amp;$F345&amp;"|"&amp;$R345&amp;"|"&amp;COUNTIFS($B$6:$B345,$B345,$A$6:$A345,$A345,$F$6:$F345,$F345,$R$6:$R345,$R345))</f>
        <v/>
      </c>
      <c r="U345" s="32">
        <f>IF($C345="","",$C345&amp;"|"&amp;COUNTIFS($C$6:$C345,$C345))</f>
        <v/>
      </c>
      <c r="V345" s="32">
        <f>IF(OR($C345="",$A345="",$S345=""),"",$C345&amp;"|"&amp;$A345&amp;"|"&amp;$S345)</f>
        <v/>
      </c>
      <c r="W345" s="32">
        <f>IF(OR($C345="",$S345="",$S345=1),"",IFERROR(INDEX($Q$6:$Q$1505,MATCH($C345&amp;"|"&amp;$A345&amp;"|"&amp;($S345-1),$V$6:$V$1505,0)),""))</f>
        <v/>
      </c>
      <c r="X345" s="32">
        <f>IF(OR($W345="",$Q345="",LEFT($Q345,1)="—"),"",IF($W345=$Q345,"ללא שינוי","מ-"&amp;$W345&amp;" ל-"&amp;$Q345))</f>
        <v/>
      </c>
    </row>
    <row r="346" ht="15.75" customHeight="1" s="58">
      <c r="A346" s="65" t="n"/>
      <c r="B346" s="65" t="n"/>
      <c r="C346" s="66" t="n"/>
      <c r="D346" s="66" t="n"/>
      <c r="E346" s="65" t="n"/>
      <c r="F346" s="65" t="n"/>
      <c r="G346" s="65" t="n"/>
      <c r="H346" s="65" t="n"/>
      <c r="I346" s="65" t="n"/>
      <c r="J346" s="65" t="n"/>
      <c r="K346" s="65" t="n"/>
      <c r="L346" s="65" t="n"/>
      <c r="M346" s="65" t="n"/>
      <c r="N346" s="65" t="n"/>
      <c r="O346" s="65" t="n"/>
      <c r="P346" s="65" t="n"/>
      <c r="Q346" s="32">
        <f>IF($C346="","",IF($J346="","— חסרים נתונים",IF($J346="טרם מפענח","פרופיל 5",IF($J346="קמץ/פתח/חטף-פתח ושוואים","פרופיל 4",IF($J346="2-3 סימני ניקוד","פרופיל 3",IF($J346="4-5 סימני ניקוד","פרופיל 2",IF(AND($O346="משפטים וקטעים קצרים",OR($M346="מבין",$M346="מבין לרוב")),"פרופיל 1","פרופיל 2")))))))</f>
        <v/>
      </c>
      <c r="R346" s="32">
        <f>IF($C346="","",IF(OR($Q346="",LEFT($Q346,1)="—"),"קבוצה רביעית",IF($Q346="פרופיל 5","קבוצת תשתיות",IF(OR($Q346="פרופיל 4",$Q346="פרופיל 3"),"קבוצת רכישה","קבוצת ביסוס"))))</f>
        <v/>
      </c>
      <c r="S346" s="32">
        <f>IF($F346="","",IF($F346="תחילת שנה",1,IF($F346="מחצית שנה",2,3)))</f>
        <v/>
      </c>
      <c r="T346" s="32">
        <f>IF(OR($B346="",$R346="",$A346="",$F346=""),"",$B346&amp;"|"&amp;$A346&amp;"|"&amp;$F346&amp;"|"&amp;$R346&amp;"|"&amp;COUNTIFS($B$6:$B346,$B346,$A$6:$A346,$A346,$F$6:$F346,$F346,$R$6:$R346,$R346))</f>
        <v/>
      </c>
      <c r="U346" s="32">
        <f>IF($C346="","",$C346&amp;"|"&amp;COUNTIFS($C$6:$C346,$C346))</f>
        <v/>
      </c>
      <c r="V346" s="32">
        <f>IF(OR($C346="",$A346="",$S346=""),"",$C346&amp;"|"&amp;$A346&amp;"|"&amp;$S346)</f>
        <v/>
      </c>
      <c r="W346" s="32">
        <f>IF(OR($C346="",$S346="",$S346=1),"",IFERROR(INDEX($Q$6:$Q$1505,MATCH($C346&amp;"|"&amp;$A346&amp;"|"&amp;($S346-1),$V$6:$V$1505,0)),""))</f>
        <v/>
      </c>
      <c r="X346" s="32">
        <f>IF(OR($W346="",$Q346="",LEFT($Q346,1)="—"),"",IF($W346=$Q346,"ללא שינוי","מ-"&amp;$W346&amp;" ל-"&amp;$Q346))</f>
        <v/>
      </c>
    </row>
    <row r="347" ht="15.75" customHeight="1" s="58">
      <c r="A347" s="65" t="n"/>
      <c r="B347" s="65" t="n"/>
      <c r="C347" s="66" t="n"/>
      <c r="D347" s="66" t="n"/>
      <c r="E347" s="65" t="n"/>
      <c r="F347" s="65" t="n"/>
      <c r="G347" s="65" t="n"/>
      <c r="H347" s="65" t="n"/>
      <c r="I347" s="65" t="n"/>
      <c r="J347" s="65" t="n"/>
      <c r="K347" s="65" t="n"/>
      <c r="L347" s="65" t="n"/>
      <c r="M347" s="65" t="n"/>
      <c r="N347" s="65" t="n"/>
      <c r="O347" s="65" t="n"/>
      <c r="P347" s="65" t="n"/>
      <c r="Q347" s="32">
        <f>IF($C347="","",IF($J347="","— חסרים נתונים",IF($J347="טרם מפענח","פרופיל 5",IF($J347="קמץ/פתח/חטף-פתח ושוואים","פרופיל 4",IF($J347="2-3 סימני ניקוד","פרופיל 3",IF($J347="4-5 סימני ניקוד","פרופיל 2",IF(AND($O347="משפטים וקטעים קצרים",OR($M347="מבין",$M347="מבין לרוב")),"פרופיל 1","פרופיל 2")))))))</f>
        <v/>
      </c>
      <c r="R347" s="32">
        <f>IF($C347="","",IF(OR($Q347="",LEFT($Q347,1)="—"),"קבוצה רביעית",IF($Q347="פרופיל 5","קבוצת תשתיות",IF(OR($Q347="פרופיל 4",$Q347="פרופיל 3"),"קבוצת רכישה","קבוצת ביסוס"))))</f>
        <v/>
      </c>
      <c r="S347" s="32">
        <f>IF($F347="","",IF($F347="תחילת שנה",1,IF($F347="מחצית שנה",2,3)))</f>
        <v/>
      </c>
      <c r="T347" s="32">
        <f>IF(OR($B347="",$R347="",$A347="",$F347=""),"",$B347&amp;"|"&amp;$A347&amp;"|"&amp;$F347&amp;"|"&amp;$R347&amp;"|"&amp;COUNTIFS($B$6:$B347,$B347,$A$6:$A347,$A347,$F$6:$F347,$F347,$R$6:$R347,$R347))</f>
        <v/>
      </c>
      <c r="U347" s="32">
        <f>IF($C347="","",$C347&amp;"|"&amp;COUNTIFS($C$6:$C347,$C347))</f>
        <v/>
      </c>
      <c r="V347" s="32">
        <f>IF(OR($C347="",$A347="",$S347=""),"",$C347&amp;"|"&amp;$A347&amp;"|"&amp;$S347)</f>
        <v/>
      </c>
      <c r="W347" s="32">
        <f>IF(OR($C347="",$S347="",$S347=1),"",IFERROR(INDEX($Q$6:$Q$1505,MATCH($C347&amp;"|"&amp;$A347&amp;"|"&amp;($S347-1),$V$6:$V$1505,0)),""))</f>
        <v/>
      </c>
      <c r="X347" s="32">
        <f>IF(OR($W347="",$Q347="",LEFT($Q347,1)="—"),"",IF($W347=$Q347,"ללא שינוי","מ-"&amp;$W347&amp;" ל-"&amp;$Q347))</f>
        <v/>
      </c>
    </row>
    <row r="348" ht="15.75" customHeight="1" s="58">
      <c r="A348" s="65" t="n"/>
      <c r="B348" s="65" t="n"/>
      <c r="C348" s="66" t="n"/>
      <c r="D348" s="66" t="n"/>
      <c r="E348" s="65" t="n"/>
      <c r="F348" s="65" t="n"/>
      <c r="G348" s="65" t="n"/>
      <c r="H348" s="65" t="n"/>
      <c r="I348" s="65" t="n"/>
      <c r="J348" s="65" t="n"/>
      <c r="K348" s="65" t="n"/>
      <c r="L348" s="65" t="n"/>
      <c r="M348" s="65" t="n"/>
      <c r="N348" s="65" t="n"/>
      <c r="O348" s="65" t="n"/>
      <c r="P348" s="65" t="n"/>
      <c r="Q348" s="32">
        <f>IF($C348="","",IF($J348="","— חסרים נתונים",IF($J348="טרם מפענח","פרופיל 5",IF($J348="קמץ/פתח/חטף-פתח ושוואים","פרופיל 4",IF($J348="2-3 סימני ניקוד","פרופיל 3",IF($J348="4-5 סימני ניקוד","פרופיל 2",IF(AND($O348="משפטים וקטעים קצרים",OR($M348="מבין",$M348="מבין לרוב")),"פרופיל 1","פרופיל 2")))))))</f>
        <v/>
      </c>
      <c r="R348" s="32">
        <f>IF($C348="","",IF(OR($Q348="",LEFT($Q348,1)="—"),"קבוצה רביעית",IF($Q348="פרופיל 5","קבוצת תשתיות",IF(OR($Q348="פרופיל 4",$Q348="פרופיל 3"),"קבוצת רכישה","קבוצת ביסוס"))))</f>
        <v/>
      </c>
      <c r="S348" s="32">
        <f>IF($F348="","",IF($F348="תחילת שנה",1,IF($F348="מחצית שנה",2,3)))</f>
        <v/>
      </c>
      <c r="T348" s="32">
        <f>IF(OR($B348="",$R348="",$A348="",$F348=""),"",$B348&amp;"|"&amp;$A348&amp;"|"&amp;$F348&amp;"|"&amp;$R348&amp;"|"&amp;COUNTIFS($B$6:$B348,$B348,$A$6:$A348,$A348,$F$6:$F348,$F348,$R$6:$R348,$R348))</f>
        <v/>
      </c>
      <c r="U348" s="32">
        <f>IF($C348="","",$C348&amp;"|"&amp;COUNTIFS($C$6:$C348,$C348))</f>
        <v/>
      </c>
      <c r="V348" s="32">
        <f>IF(OR($C348="",$A348="",$S348=""),"",$C348&amp;"|"&amp;$A348&amp;"|"&amp;$S348)</f>
        <v/>
      </c>
      <c r="W348" s="32">
        <f>IF(OR($C348="",$S348="",$S348=1),"",IFERROR(INDEX($Q$6:$Q$1505,MATCH($C348&amp;"|"&amp;$A348&amp;"|"&amp;($S348-1),$V$6:$V$1505,0)),""))</f>
        <v/>
      </c>
      <c r="X348" s="32">
        <f>IF(OR($W348="",$Q348="",LEFT($Q348,1)="—"),"",IF($W348=$Q348,"ללא שינוי","מ-"&amp;$W348&amp;" ל-"&amp;$Q348))</f>
        <v/>
      </c>
    </row>
    <row r="349" ht="15.75" customHeight="1" s="58">
      <c r="A349" s="65" t="n"/>
      <c r="B349" s="65" t="n"/>
      <c r="C349" s="66" t="n"/>
      <c r="D349" s="66" t="n"/>
      <c r="E349" s="65" t="n"/>
      <c r="F349" s="65" t="n"/>
      <c r="G349" s="65" t="n"/>
      <c r="H349" s="65" t="n"/>
      <c r="I349" s="65" t="n"/>
      <c r="J349" s="65" t="n"/>
      <c r="K349" s="65" t="n"/>
      <c r="L349" s="65" t="n"/>
      <c r="M349" s="65" t="n"/>
      <c r="N349" s="65" t="n"/>
      <c r="O349" s="65" t="n"/>
      <c r="P349" s="65" t="n"/>
      <c r="Q349" s="32">
        <f>IF($C349="","",IF($J349="","— חסרים נתונים",IF($J349="טרם מפענח","פרופיל 5",IF($J349="קמץ/פתח/חטף-פתח ושוואים","פרופיל 4",IF($J349="2-3 סימני ניקוד","פרופיל 3",IF($J349="4-5 סימני ניקוד","פרופיל 2",IF(AND($O349="משפטים וקטעים קצרים",OR($M349="מבין",$M349="מבין לרוב")),"פרופיל 1","פרופיל 2")))))))</f>
        <v/>
      </c>
      <c r="R349" s="32">
        <f>IF($C349="","",IF(OR($Q349="",LEFT($Q349,1)="—"),"קבוצה רביעית",IF($Q349="פרופיל 5","קבוצת תשתיות",IF(OR($Q349="פרופיל 4",$Q349="פרופיל 3"),"קבוצת רכישה","קבוצת ביסוס"))))</f>
        <v/>
      </c>
      <c r="S349" s="32">
        <f>IF($F349="","",IF($F349="תחילת שנה",1,IF($F349="מחצית שנה",2,3)))</f>
        <v/>
      </c>
      <c r="T349" s="32">
        <f>IF(OR($B349="",$R349="",$A349="",$F349=""),"",$B349&amp;"|"&amp;$A349&amp;"|"&amp;$F349&amp;"|"&amp;$R349&amp;"|"&amp;COUNTIFS($B$6:$B349,$B349,$A$6:$A349,$A349,$F$6:$F349,$F349,$R$6:$R349,$R349))</f>
        <v/>
      </c>
      <c r="U349" s="32">
        <f>IF($C349="","",$C349&amp;"|"&amp;COUNTIFS($C$6:$C349,$C349))</f>
        <v/>
      </c>
      <c r="V349" s="32">
        <f>IF(OR($C349="",$A349="",$S349=""),"",$C349&amp;"|"&amp;$A349&amp;"|"&amp;$S349)</f>
        <v/>
      </c>
      <c r="W349" s="32">
        <f>IF(OR($C349="",$S349="",$S349=1),"",IFERROR(INDEX($Q$6:$Q$1505,MATCH($C349&amp;"|"&amp;$A349&amp;"|"&amp;($S349-1),$V$6:$V$1505,0)),""))</f>
        <v/>
      </c>
      <c r="X349" s="32">
        <f>IF(OR($W349="",$Q349="",LEFT($Q349,1)="—"),"",IF($W349=$Q349,"ללא שינוי","מ-"&amp;$W349&amp;" ל-"&amp;$Q349))</f>
        <v/>
      </c>
    </row>
    <row r="350" ht="15.75" customHeight="1" s="58">
      <c r="A350" s="65" t="n"/>
      <c r="B350" s="65" t="n"/>
      <c r="C350" s="66" t="n"/>
      <c r="D350" s="66" t="n"/>
      <c r="E350" s="65" t="n"/>
      <c r="F350" s="65" t="n"/>
      <c r="G350" s="65" t="n"/>
      <c r="H350" s="65" t="n"/>
      <c r="I350" s="65" t="n"/>
      <c r="J350" s="65" t="n"/>
      <c r="K350" s="65" t="n"/>
      <c r="L350" s="65" t="n"/>
      <c r="M350" s="65" t="n"/>
      <c r="N350" s="65" t="n"/>
      <c r="O350" s="65" t="n"/>
      <c r="P350" s="65" t="n"/>
      <c r="Q350" s="32">
        <f>IF($C350="","",IF($J350="","— חסרים נתונים",IF($J350="טרם מפענח","פרופיל 5",IF($J350="קמץ/פתח/חטף-פתח ושוואים","פרופיל 4",IF($J350="2-3 סימני ניקוד","פרופיל 3",IF($J350="4-5 סימני ניקוד","פרופיל 2",IF(AND($O350="משפטים וקטעים קצרים",OR($M350="מבין",$M350="מבין לרוב")),"פרופיל 1","פרופיל 2")))))))</f>
        <v/>
      </c>
      <c r="R350" s="32">
        <f>IF($C350="","",IF(OR($Q350="",LEFT($Q350,1)="—"),"קבוצה רביעית",IF($Q350="פרופיל 5","קבוצת תשתיות",IF(OR($Q350="פרופיל 4",$Q350="פרופיל 3"),"קבוצת רכישה","קבוצת ביסוס"))))</f>
        <v/>
      </c>
      <c r="S350" s="32">
        <f>IF($F350="","",IF($F350="תחילת שנה",1,IF($F350="מחצית שנה",2,3)))</f>
        <v/>
      </c>
      <c r="T350" s="32">
        <f>IF(OR($B350="",$R350="",$A350="",$F350=""),"",$B350&amp;"|"&amp;$A350&amp;"|"&amp;$F350&amp;"|"&amp;$R350&amp;"|"&amp;COUNTIFS($B$6:$B350,$B350,$A$6:$A350,$A350,$F$6:$F350,$F350,$R$6:$R350,$R350))</f>
        <v/>
      </c>
      <c r="U350" s="32">
        <f>IF($C350="","",$C350&amp;"|"&amp;COUNTIFS($C$6:$C350,$C350))</f>
        <v/>
      </c>
      <c r="V350" s="32">
        <f>IF(OR($C350="",$A350="",$S350=""),"",$C350&amp;"|"&amp;$A350&amp;"|"&amp;$S350)</f>
        <v/>
      </c>
      <c r="W350" s="32">
        <f>IF(OR($C350="",$S350="",$S350=1),"",IFERROR(INDEX($Q$6:$Q$1505,MATCH($C350&amp;"|"&amp;$A350&amp;"|"&amp;($S350-1),$V$6:$V$1505,0)),""))</f>
        <v/>
      </c>
      <c r="X350" s="32">
        <f>IF(OR($W350="",$Q350="",LEFT($Q350,1)="—"),"",IF($W350=$Q350,"ללא שינוי","מ-"&amp;$W350&amp;" ל-"&amp;$Q350))</f>
        <v/>
      </c>
    </row>
    <row r="351" ht="15.75" customHeight="1" s="58">
      <c r="A351" s="65" t="n"/>
      <c r="B351" s="65" t="n"/>
      <c r="C351" s="66" t="n"/>
      <c r="D351" s="66" t="n"/>
      <c r="E351" s="65" t="n"/>
      <c r="F351" s="65" t="n"/>
      <c r="G351" s="65" t="n"/>
      <c r="H351" s="65" t="n"/>
      <c r="I351" s="65" t="n"/>
      <c r="J351" s="65" t="n"/>
      <c r="K351" s="65" t="n"/>
      <c r="L351" s="65" t="n"/>
      <c r="M351" s="65" t="n"/>
      <c r="N351" s="65" t="n"/>
      <c r="O351" s="65" t="n"/>
      <c r="P351" s="65" t="n"/>
      <c r="Q351" s="32">
        <f>IF($C351="","",IF($J351="","— חסרים נתונים",IF($J351="טרם מפענח","פרופיל 5",IF($J351="קמץ/פתח/חטף-פתח ושוואים","פרופיל 4",IF($J351="2-3 סימני ניקוד","פרופיל 3",IF($J351="4-5 סימני ניקוד","פרופיל 2",IF(AND($O351="משפטים וקטעים קצרים",OR($M351="מבין",$M351="מבין לרוב")),"פרופיל 1","פרופיל 2")))))))</f>
        <v/>
      </c>
      <c r="R351" s="32">
        <f>IF($C351="","",IF(OR($Q351="",LEFT($Q351,1)="—"),"קבוצה רביעית",IF($Q351="פרופיל 5","קבוצת תשתיות",IF(OR($Q351="פרופיל 4",$Q351="פרופיל 3"),"קבוצת רכישה","קבוצת ביסוס"))))</f>
        <v/>
      </c>
      <c r="S351" s="32">
        <f>IF($F351="","",IF($F351="תחילת שנה",1,IF($F351="מחצית שנה",2,3)))</f>
        <v/>
      </c>
      <c r="T351" s="32">
        <f>IF(OR($B351="",$R351="",$A351="",$F351=""),"",$B351&amp;"|"&amp;$A351&amp;"|"&amp;$F351&amp;"|"&amp;$R351&amp;"|"&amp;COUNTIFS($B$6:$B351,$B351,$A$6:$A351,$A351,$F$6:$F351,$F351,$R$6:$R351,$R351))</f>
        <v/>
      </c>
      <c r="U351" s="32">
        <f>IF($C351="","",$C351&amp;"|"&amp;COUNTIFS($C$6:$C351,$C351))</f>
        <v/>
      </c>
      <c r="V351" s="32">
        <f>IF(OR($C351="",$A351="",$S351=""),"",$C351&amp;"|"&amp;$A351&amp;"|"&amp;$S351)</f>
        <v/>
      </c>
      <c r="W351" s="32">
        <f>IF(OR($C351="",$S351="",$S351=1),"",IFERROR(INDEX($Q$6:$Q$1505,MATCH($C351&amp;"|"&amp;$A351&amp;"|"&amp;($S351-1),$V$6:$V$1505,0)),""))</f>
        <v/>
      </c>
      <c r="X351" s="32">
        <f>IF(OR($W351="",$Q351="",LEFT($Q351,1)="—"),"",IF($W351=$Q351,"ללא שינוי","מ-"&amp;$W351&amp;" ל-"&amp;$Q351))</f>
        <v/>
      </c>
    </row>
    <row r="352" ht="15.75" customHeight="1" s="58">
      <c r="A352" s="65" t="n"/>
      <c r="B352" s="65" t="n"/>
      <c r="C352" s="66" t="n"/>
      <c r="D352" s="66" t="n"/>
      <c r="E352" s="65" t="n"/>
      <c r="F352" s="65" t="n"/>
      <c r="G352" s="65" t="n"/>
      <c r="H352" s="65" t="n"/>
      <c r="I352" s="65" t="n"/>
      <c r="J352" s="65" t="n"/>
      <c r="K352" s="65" t="n"/>
      <c r="L352" s="65" t="n"/>
      <c r="M352" s="65" t="n"/>
      <c r="N352" s="65" t="n"/>
      <c r="O352" s="65" t="n"/>
      <c r="P352" s="65" t="n"/>
      <c r="Q352" s="32">
        <f>IF($C352="","",IF($J352="","— חסרים נתונים",IF($J352="טרם מפענח","פרופיל 5",IF($J352="קמץ/פתח/חטף-פתח ושוואים","פרופיל 4",IF($J352="2-3 סימני ניקוד","פרופיל 3",IF($J352="4-5 סימני ניקוד","פרופיל 2",IF(AND($O352="משפטים וקטעים קצרים",OR($M352="מבין",$M352="מבין לרוב")),"פרופיל 1","פרופיל 2")))))))</f>
        <v/>
      </c>
      <c r="R352" s="32">
        <f>IF($C352="","",IF(OR($Q352="",LEFT($Q352,1)="—"),"קבוצה רביעית",IF($Q352="פרופיל 5","קבוצת תשתיות",IF(OR($Q352="פרופיל 4",$Q352="פרופיל 3"),"קבוצת רכישה","קבוצת ביסוס"))))</f>
        <v/>
      </c>
      <c r="S352" s="32">
        <f>IF($F352="","",IF($F352="תחילת שנה",1,IF($F352="מחצית שנה",2,3)))</f>
        <v/>
      </c>
      <c r="T352" s="32">
        <f>IF(OR($B352="",$R352="",$A352="",$F352=""),"",$B352&amp;"|"&amp;$A352&amp;"|"&amp;$F352&amp;"|"&amp;$R352&amp;"|"&amp;COUNTIFS($B$6:$B352,$B352,$A$6:$A352,$A352,$F$6:$F352,$F352,$R$6:$R352,$R352))</f>
        <v/>
      </c>
      <c r="U352" s="32">
        <f>IF($C352="","",$C352&amp;"|"&amp;COUNTIFS($C$6:$C352,$C352))</f>
        <v/>
      </c>
      <c r="V352" s="32">
        <f>IF(OR($C352="",$A352="",$S352=""),"",$C352&amp;"|"&amp;$A352&amp;"|"&amp;$S352)</f>
        <v/>
      </c>
      <c r="W352" s="32">
        <f>IF(OR($C352="",$S352="",$S352=1),"",IFERROR(INDEX($Q$6:$Q$1505,MATCH($C352&amp;"|"&amp;$A352&amp;"|"&amp;($S352-1),$V$6:$V$1505,0)),""))</f>
        <v/>
      </c>
      <c r="X352" s="32">
        <f>IF(OR($W352="",$Q352="",LEFT($Q352,1)="—"),"",IF($W352=$Q352,"ללא שינוי","מ-"&amp;$W352&amp;" ל-"&amp;$Q352))</f>
        <v/>
      </c>
    </row>
    <row r="353" ht="15.75" customHeight="1" s="58">
      <c r="A353" s="65" t="n"/>
      <c r="B353" s="65" t="n"/>
      <c r="C353" s="66" t="n"/>
      <c r="D353" s="66" t="n"/>
      <c r="E353" s="65" t="n"/>
      <c r="F353" s="65" t="n"/>
      <c r="G353" s="65" t="n"/>
      <c r="H353" s="65" t="n"/>
      <c r="I353" s="65" t="n"/>
      <c r="J353" s="65" t="n"/>
      <c r="K353" s="65" t="n"/>
      <c r="L353" s="65" t="n"/>
      <c r="M353" s="65" t="n"/>
      <c r="N353" s="65" t="n"/>
      <c r="O353" s="65" t="n"/>
      <c r="P353" s="65" t="n"/>
      <c r="Q353" s="32">
        <f>IF($C353="","",IF($J353="","— חסרים נתונים",IF($J353="טרם מפענח","פרופיל 5",IF($J353="קמץ/פתח/חטף-פתח ושוואים","פרופיל 4",IF($J353="2-3 סימני ניקוד","פרופיל 3",IF($J353="4-5 סימני ניקוד","פרופיל 2",IF(AND($O353="משפטים וקטעים קצרים",OR($M353="מבין",$M353="מבין לרוב")),"פרופיל 1","פרופיל 2")))))))</f>
        <v/>
      </c>
      <c r="R353" s="32">
        <f>IF($C353="","",IF(OR($Q353="",LEFT($Q353,1)="—"),"קבוצה רביעית",IF($Q353="פרופיל 5","קבוצת תשתיות",IF(OR($Q353="פרופיל 4",$Q353="פרופיל 3"),"קבוצת רכישה","קבוצת ביסוס"))))</f>
        <v/>
      </c>
      <c r="S353" s="32">
        <f>IF($F353="","",IF($F353="תחילת שנה",1,IF($F353="מחצית שנה",2,3)))</f>
        <v/>
      </c>
      <c r="T353" s="32">
        <f>IF(OR($B353="",$R353="",$A353="",$F353=""),"",$B353&amp;"|"&amp;$A353&amp;"|"&amp;$F353&amp;"|"&amp;$R353&amp;"|"&amp;COUNTIFS($B$6:$B353,$B353,$A$6:$A353,$A353,$F$6:$F353,$F353,$R$6:$R353,$R353))</f>
        <v/>
      </c>
      <c r="U353" s="32">
        <f>IF($C353="","",$C353&amp;"|"&amp;COUNTIFS($C$6:$C353,$C353))</f>
        <v/>
      </c>
      <c r="V353" s="32">
        <f>IF(OR($C353="",$A353="",$S353=""),"",$C353&amp;"|"&amp;$A353&amp;"|"&amp;$S353)</f>
        <v/>
      </c>
      <c r="W353" s="32">
        <f>IF(OR($C353="",$S353="",$S353=1),"",IFERROR(INDEX($Q$6:$Q$1505,MATCH($C353&amp;"|"&amp;$A353&amp;"|"&amp;($S353-1),$V$6:$V$1505,0)),""))</f>
        <v/>
      </c>
      <c r="X353" s="32">
        <f>IF(OR($W353="",$Q353="",LEFT($Q353,1)="—"),"",IF($W353=$Q353,"ללא שינוי","מ-"&amp;$W353&amp;" ל-"&amp;$Q353))</f>
        <v/>
      </c>
    </row>
    <row r="354" ht="15.75" customHeight="1" s="58">
      <c r="A354" s="65" t="n"/>
      <c r="B354" s="65" t="n"/>
      <c r="C354" s="66" t="n"/>
      <c r="D354" s="66" t="n"/>
      <c r="E354" s="65" t="n"/>
      <c r="F354" s="65" t="n"/>
      <c r="G354" s="65" t="n"/>
      <c r="H354" s="65" t="n"/>
      <c r="I354" s="65" t="n"/>
      <c r="J354" s="65" t="n"/>
      <c r="K354" s="65" t="n"/>
      <c r="L354" s="65" t="n"/>
      <c r="M354" s="65" t="n"/>
      <c r="N354" s="65" t="n"/>
      <c r="O354" s="65" t="n"/>
      <c r="P354" s="65" t="n"/>
      <c r="Q354" s="32">
        <f>IF($C354="","",IF($J354="","— חסרים נתונים",IF($J354="טרם מפענח","פרופיל 5",IF($J354="קמץ/פתח/חטף-פתח ושוואים","פרופיל 4",IF($J354="2-3 סימני ניקוד","פרופיל 3",IF($J354="4-5 סימני ניקוד","פרופיל 2",IF(AND($O354="משפטים וקטעים קצרים",OR($M354="מבין",$M354="מבין לרוב")),"פרופיל 1","פרופיל 2")))))))</f>
        <v/>
      </c>
      <c r="R354" s="32">
        <f>IF($C354="","",IF(OR($Q354="",LEFT($Q354,1)="—"),"קבוצה רביעית",IF($Q354="פרופיל 5","קבוצת תשתיות",IF(OR($Q354="פרופיל 4",$Q354="פרופיל 3"),"קבוצת רכישה","קבוצת ביסוס"))))</f>
        <v/>
      </c>
      <c r="S354" s="32">
        <f>IF($F354="","",IF($F354="תחילת שנה",1,IF($F354="מחצית שנה",2,3)))</f>
        <v/>
      </c>
      <c r="T354" s="32">
        <f>IF(OR($B354="",$R354="",$A354="",$F354=""),"",$B354&amp;"|"&amp;$A354&amp;"|"&amp;$F354&amp;"|"&amp;$R354&amp;"|"&amp;COUNTIFS($B$6:$B354,$B354,$A$6:$A354,$A354,$F$6:$F354,$F354,$R$6:$R354,$R354))</f>
        <v/>
      </c>
      <c r="U354" s="32">
        <f>IF($C354="","",$C354&amp;"|"&amp;COUNTIFS($C$6:$C354,$C354))</f>
        <v/>
      </c>
      <c r="V354" s="32">
        <f>IF(OR($C354="",$A354="",$S354=""),"",$C354&amp;"|"&amp;$A354&amp;"|"&amp;$S354)</f>
        <v/>
      </c>
      <c r="W354" s="32">
        <f>IF(OR($C354="",$S354="",$S354=1),"",IFERROR(INDEX($Q$6:$Q$1505,MATCH($C354&amp;"|"&amp;$A354&amp;"|"&amp;($S354-1),$V$6:$V$1505,0)),""))</f>
        <v/>
      </c>
      <c r="X354" s="32">
        <f>IF(OR($W354="",$Q354="",LEFT($Q354,1)="—"),"",IF($W354=$Q354,"ללא שינוי","מ-"&amp;$W354&amp;" ל-"&amp;$Q354))</f>
        <v/>
      </c>
    </row>
    <row r="355" ht="15.75" customHeight="1" s="58">
      <c r="A355" s="65" t="n"/>
      <c r="B355" s="65" t="n"/>
      <c r="C355" s="66" t="n"/>
      <c r="D355" s="66" t="n"/>
      <c r="E355" s="65" t="n"/>
      <c r="F355" s="65" t="n"/>
      <c r="G355" s="65" t="n"/>
      <c r="H355" s="65" t="n"/>
      <c r="I355" s="65" t="n"/>
      <c r="J355" s="65" t="n"/>
      <c r="K355" s="65" t="n"/>
      <c r="L355" s="65" t="n"/>
      <c r="M355" s="65" t="n"/>
      <c r="N355" s="65" t="n"/>
      <c r="O355" s="65" t="n"/>
      <c r="P355" s="65" t="n"/>
      <c r="Q355" s="32">
        <f>IF($C355="","",IF($J355="","— חסרים נתונים",IF($J355="טרם מפענח","פרופיל 5",IF($J355="קמץ/פתח/חטף-פתח ושוואים","פרופיל 4",IF($J355="2-3 סימני ניקוד","פרופיל 3",IF($J355="4-5 סימני ניקוד","פרופיל 2",IF(AND($O355="משפטים וקטעים קצרים",OR($M355="מבין",$M355="מבין לרוב")),"פרופיל 1","פרופיל 2")))))))</f>
        <v/>
      </c>
      <c r="R355" s="32">
        <f>IF($C355="","",IF(OR($Q355="",LEFT($Q355,1)="—"),"קבוצה רביעית",IF($Q355="פרופיל 5","קבוצת תשתיות",IF(OR($Q355="פרופיל 4",$Q355="פרופיל 3"),"קבוצת רכישה","קבוצת ביסוס"))))</f>
        <v/>
      </c>
      <c r="S355" s="32">
        <f>IF($F355="","",IF($F355="תחילת שנה",1,IF($F355="מחצית שנה",2,3)))</f>
        <v/>
      </c>
      <c r="T355" s="32">
        <f>IF(OR($B355="",$R355="",$A355="",$F355=""),"",$B355&amp;"|"&amp;$A355&amp;"|"&amp;$F355&amp;"|"&amp;$R355&amp;"|"&amp;COUNTIFS($B$6:$B355,$B355,$A$6:$A355,$A355,$F$6:$F355,$F355,$R$6:$R355,$R355))</f>
        <v/>
      </c>
      <c r="U355" s="32">
        <f>IF($C355="","",$C355&amp;"|"&amp;COUNTIFS($C$6:$C355,$C355))</f>
        <v/>
      </c>
      <c r="V355" s="32">
        <f>IF(OR($C355="",$A355="",$S355=""),"",$C355&amp;"|"&amp;$A355&amp;"|"&amp;$S355)</f>
        <v/>
      </c>
      <c r="W355" s="32">
        <f>IF(OR($C355="",$S355="",$S355=1),"",IFERROR(INDEX($Q$6:$Q$1505,MATCH($C355&amp;"|"&amp;$A355&amp;"|"&amp;($S355-1),$V$6:$V$1505,0)),""))</f>
        <v/>
      </c>
      <c r="X355" s="32">
        <f>IF(OR($W355="",$Q355="",LEFT($Q355,1)="—"),"",IF($W355=$Q355,"ללא שינוי","מ-"&amp;$W355&amp;" ל-"&amp;$Q355))</f>
        <v/>
      </c>
    </row>
    <row r="356" ht="15.75" customHeight="1" s="58">
      <c r="A356" s="65" t="n"/>
      <c r="B356" s="65" t="n"/>
      <c r="C356" s="66" t="n"/>
      <c r="D356" s="66" t="n"/>
      <c r="E356" s="65" t="n"/>
      <c r="F356" s="65" t="n"/>
      <c r="G356" s="65" t="n"/>
      <c r="H356" s="65" t="n"/>
      <c r="I356" s="65" t="n"/>
      <c r="J356" s="65" t="n"/>
      <c r="K356" s="65" t="n"/>
      <c r="L356" s="65" t="n"/>
      <c r="M356" s="65" t="n"/>
      <c r="N356" s="65" t="n"/>
      <c r="O356" s="65" t="n"/>
      <c r="P356" s="65" t="n"/>
      <c r="Q356" s="32">
        <f>IF($C356="","",IF($J356="","— חסרים נתונים",IF($J356="טרם מפענח","פרופיל 5",IF($J356="קמץ/פתח/חטף-פתח ושוואים","פרופיל 4",IF($J356="2-3 סימני ניקוד","פרופיל 3",IF($J356="4-5 סימני ניקוד","פרופיל 2",IF(AND($O356="משפטים וקטעים קצרים",OR($M356="מבין",$M356="מבין לרוב")),"פרופיל 1","פרופיל 2")))))))</f>
        <v/>
      </c>
      <c r="R356" s="32">
        <f>IF($C356="","",IF(OR($Q356="",LEFT($Q356,1)="—"),"קבוצה רביעית",IF($Q356="פרופיל 5","קבוצת תשתיות",IF(OR($Q356="פרופיל 4",$Q356="פרופיל 3"),"קבוצת רכישה","קבוצת ביסוס"))))</f>
        <v/>
      </c>
      <c r="S356" s="32">
        <f>IF($F356="","",IF($F356="תחילת שנה",1,IF($F356="מחצית שנה",2,3)))</f>
        <v/>
      </c>
      <c r="T356" s="32">
        <f>IF(OR($B356="",$R356="",$A356="",$F356=""),"",$B356&amp;"|"&amp;$A356&amp;"|"&amp;$F356&amp;"|"&amp;$R356&amp;"|"&amp;COUNTIFS($B$6:$B356,$B356,$A$6:$A356,$A356,$F$6:$F356,$F356,$R$6:$R356,$R356))</f>
        <v/>
      </c>
      <c r="U356" s="32">
        <f>IF($C356="","",$C356&amp;"|"&amp;COUNTIFS($C$6:$C356,$C356))</f>
        <v/>
      </c>
      <c r="V356" s="32">
        <f>IF(OR($C356="",$A356="",$S356=""),"",$C356&amp;"|"&amp;$A356&amp;"|"&amp;$S356)</f>
        <v/>
      </c>
      <c r="W356" s="32">
        <f>IF(OR($C356="",$S356="",$S356=1),"",IFERROR(INDEX($Q$6:$Q$1505,MATCH($C356&amp;"|"&amp;$A356&amp;"|"&amp;($S356-1),$V$6:$V$1505,0)),""))</f>
        <v/>
      </c>
      <c r="X356" s="32">
        <f>IF(OR($W356="",$Q356="",LEFT($Q356,1)="—"),"",IF($W356=$Q356,"ללא שינוי","מ-"&amp;$W356&amp;" ל-"&amp;$Q356))</f>
        <v/>
      </c>
    </row>
    <row r="357" ht="15.75" customHeight="1" s="58">
      <c r="A357" s="65" t="n"/>
      <c r="B357" s="65" t="n"/>
      <c r="C357" s="66" t="n"/>
      <c r="D357" s="66" t="n"/>
      <c r="E357" s="65" t="n"/>
      <c r="F357" s="65" t="n"/>
      <c r="G357" s="65" t="n"/>
      <c r="H357" s="65" t="n"/>
      <c r="I357" s="65" t="n"/>
      <c r="J357" s="65" t="n"/>
      <c r="K357" s="65" t="n"/>
      <c r="L357" s="65" t="n"/>
      <c r="M357" s="65" t="n"/>
      <c r="N357" s="65" t="n"/>
      <c r="O357" s="65" t="n"/>
      <c r="P357" s="65" t="n"/>
      <c r="Q357" s="32">
        <f>IF($C357="","",IF($J357="","— חסרים נתונים",IF($J357="טרם מפענח","פרופיל 5",IF($J357="קמץ/פתח/חטף-פתח ושוואים","פרופיל 4",IF($J357="2-3 סימני ניקוד","פרופיל 3",IF($J357="4-5 סימני ניקוד","פרופיל 2",IF(AND($O357="משפטים וקטעים קצרים",OR($M357="מבין",$M357="מבין לרוב")),"פרופיל 1","פרופיל 2")))))))</f>
        <v/>
      </c>
      <c r="R357" s="32">
        <f>IF($C357="","",IF(OR($Q357="",LEFT($Q357,1)="—"),"קבוצה רביעית",IF($Q357="פרופיל 5","קבוצת תשתיות",IF(OR($Q357="פרופיל 4",$Q357="פרופיל 3"),"קבוצת רכישה","קבוצת ביסוס"))))</f>
        <v/>
      </c>
      <c r="S357" s="32">
        <f>IF($F357="","",IF($F357="תחילת שנה",1,IF($F357="מחצית שנה",2,3)))</f>
        <v/>
      </c>
      <c r="T357" s="32">
        <f>IF(OR($B357="",$R357="",$A357="",$F357=""),"",$B357&amp;"|"&amp;$A357&amp;"|"&amp;$F357&amp;"|"&amp;$R357&amp;"|"&amp;COUNTIFS($B$6:$B357,$B357,$A$6:$A357,$A357,$F$6:$F357,$F357,$R$6:$R357,$R357))</f>
        <v/>
      </c>
      <c r="U357" s="32">
        <f>IF($C357="","",$C357&amp;"|"&amp;COUNTIFS($C$6:$C357,$C357))</f>
        <v/>
      </c>
      <c r="V357" s="32">
        <f>IF(OR($C357="",$A357="",$S357=""),"",$C357&amp;"|"&amp;$A357&amp;"|"&amp;$S357)</f>
        <v/>
      </c>
      <c r="W357" s="32">
        <f>IF(OR($C357="",$S357="",$S357=1),"",IFERROR(INDEX($Q$6:$Q$1505,MATCH($C357&amp;"|"&amp;$A357&amp;"|"&amp;($S357-1),$V$6:$V$1505,0)),""))</f>
        <v/>
      </c>
      <c r="X357" s="32">
        <f>IF(OR($W357="",$Q357="",LEFT($Q357,1)="—"),"",IF($W357=$Q357,"ללא שינוי","מ-"&amp;$W357&amp;" ל-"&amp;$Q357))</f>
        <v/>
      </c>
    </row>
    <row r="358" ht="15.75" customHeight="1" s="58">
      <c r="A358" s="65" t="n"/>
      <c r="B358" s="65" t="n"/>
      <c r="C358" s="66" t="n"/>
      <c r="D358" s="66" t="n"/>
      <c r="E358" s="65" t="n"/>
      <c r="F358" s="65" t="n"/>
      <c r="G358" s="65" t="n"/>
      <c r="H358" s="65" t="n"/>
      <c r="I358" s="65" t="n"/>
      <c r="J358" s="65" t="n"/>
      <c r="K358" s="65" t="n"/>
      <c r="L358" s="65" t="n"/>
      <c r="M358" s="65" t="n"/>
      <c r="N358" s="65" t="n"/>
      <c r="O358" s="65" t="n"/>
      <c r="P358" s="65" t="n"/>
      <c r="Q358" s="32">
        <f>IF($C358="","",IF($J358="","— חסרים נתונים",IF($J358="טרם מפענח","פרופיל 5",IF($J358="קמץ/פתח/חטף-פתח ושוואים","פרופיל 4",IF($J358="2-3 סימני ניקוד","פרופיל 3",IF($J358="4-5 סימני ניקוד","פרופיל 2",IF(AND($O358="משפטים וקטעים קצרים",OR($M358="מבין",$M358="מבין לרוב")),"פרופיל 1","פרופיל 2")))))))</f>
        <v/>
      </c>
      <c r="R358" s="32">
        <f>IF($C358="","",IF(OR($Q358="",LEFT($Q358,1)="—"),"קבוצה רביעית",IF($Q358="פרופיל 5","קבוצת תשתיות",IF(OR($Q358="פרופיל 4",$Q358="פרופיל 3"),"קבוצת רכישה","קבוצת ביסוס"))))</f>
        <v/>
      </c>
      <c r="S358" s="32">
        <f>IF($F358="","",IF($F358="תחילת שנה",1,IF($F358="מחצית שנה",2,3)))</f>
        <v/>
      </c>
      <c r="T358" s="32">
        <f>IF(OR($B358="",$R358="",$A358="",$F358=""),"",$B358&amp;"|"&amp;$A358&amp;"|"&amp;$F358&amp;"|"&amp;$R358&amp;"|"&amp;COUNTIFS($B$6:$B358,$B358,$A$6:$A358,$A358,$F$6:$F358,$F358,$R$6:$R358,$R358))</f>
        <v/>
      </c>
      <c r="U358" s="32">
        <f>IF($C358="","",$C358&amp;"|"&amp;COUNTIFS($C$6:$C358,$C358))</f>
        <v/>
      </c>
      <c r="V358" s="32">
        <f>IF(OR($C358="",$A358="",$S358=""),"",$C358&amp;"|"&amp;$A358&amp;"|"&amp;$S358)</f>
        <v/>
      </c>
      <c r="W358" s="32">
        <f>IF(OR($C358="",$S358="",$S358=1),"",IFERROR(INDEX($Q$6:$Q$1505,MATCH($C358&amp;"|"&amp;$A358&amp;"|"&amp;($S358-1),$V$6:$V$1505,0)),""))</f>
        <v/>
      </c>
      <c r="X358" s="32">
        <f>IF(OR($W358="",$Q358="",LEFT($Q358,1)="—"),"",IF($W358=$Q358,"ללא שינוי","מ-"&amp;$W358&amp;" ל-"&amp;$Q358))</f>
        <v/>
      </c>
    </row>
    <row r="359" ht="15.75" customHeight="1" s="58">
      <c r="A359" s="65" t="n"/>
      <c r="B359" s="65" t="n"/>
      <c r="C359" s="66" t="n"/>
      <c r="D359" s="66" t="n"/>
      <c r="E359" s="65" t="n"/>
      <c r="F359" s="65" t="n"/>
      <c r="G359" s="65" t="n"/>
      <c r="H359" s="65" t="n"/>
      <c r="I359" s="65" t="n"/>
      <c r="J359" s="65" t="n"/>
      <c r="K359" s="65" t="n"/>
      <c r="L359" s="65" t="n"/>
      <c r="M359" s="65" t="n"/>
      <c r="N359" s="65" t="n"/>
      <c r="O359" s="65" t="n"/>
      <c r="P359" s="65" t="n"/>
      <c r="Q359" s="32">
        <f>IF($C359="","",IF($J359="","— חסרים נתונים",IF($J359="טרם מפענח","פרופיל 5",IF($J359="קמץ/פתח/חטף-פתח ושוואים","פרופיל 4",IF($J359="2-3 סימני ניקוד","פרופיל 3",IF($J359="4-5 סימני ניקוד","פרופיל 2",IF(AND($O359="משפטים וקטעים קצרים",OR($M359="מבין",$M359="מבין לרוב")),"פרופיל 1","פרופיל 2")))))))</f>
        <v/>
      </c>
      <c r="R359" s="32">
        <f>IF($C359="","",IF(OR($Q359="",LEFT($Q359,1)="—"),"קבוצה רביעית",IF($Q359="פרופיל 5","קבוצת תשתיות",IF(OR($Q359="פרופיל 4",$Q359="פרופיל 3"),"קבוצת רכישה","קבוצת ביסוס"))))</f>
        <v/>
      </c>
      <c r="S359" s="32">
        <f>IF($F359="","",IF($F359="תחילת שנה",1,IF($F359="מחצית שנה",2,3)))</f>
        <v/>
      </c>
      <c r="T359" s="32">
        <f>IF(OR($B359="",$R359="",$A359="",$F359=""),"",$B359&amp;"|"&amp;$A359&amp;"|"&amp;$F359&amp;"|"&amp;$R359&amp;"|"&amp;COUNTIFS($B$6:$B359,$B359,$A$6:$A359,$A359,$F$6:$F359,$F359,$R$6:$R359,$R359))</f>
        <v/>
      </c>
      <c r="U359" s="32">
        <f>IF($C359="","",$C359&amp;"|"&amp;COUNTIFS($C$6:$C359,$C359))</f>
        <v/>
      </c>
      <c r="V359" s="32">
        <f>IF(OR($C359="",$A359="",$S359=""),"",$C359&amp;"|"&amp;$A359&amp;"|"&amp;$S359)</f>
        <v/>
      </c>
      <c r="W359" s="32">
        <f>IF(OR($C359="",$S359="",$S359=1),"",IFERROR(INDEX($Q$6:$Q$1505,MATCH($C359&amp;"|"&amp;$A359&amp;"|"&amp;($S359-1),$V$6:$V$1505,0)),""))</f>
        <v/>
      </c>
      <c r="X359" s="32">
        <f>IF(OR($W359="",$Q359="",LEFT($Q359,1)="—"),"",IF($W359=$Q359,"ללא שינוי","מ-"&amp;$W359&amp;" ל-"&amp;$Q359))</f>
        <v/>
      </c>
    </row>
    <row r="360" ht="15.75" customHeight="1" s="58">
      <c r="A360" s="65" t="n"/>
      <c r="B360" s="65" t="n"/>
      <c r="C360" s="66" t="n"/>
      <c r="D360" s="66" t="n"/>
      <c r="E360" s="65" t="n"/>
      <c r="F360" s="65" t="n"/>
      <c r="G360" s="65" t="n"/>
      <c r="H360" s="65" t="n"/>
      <c r="I360" s="65" t="n"/>
      <c r="J360" s="65" t="n"/>
      <c r="K360" s="65" t="n"/>
      <c r="L360" s="65" t="n"/>
      <c r="M360" s="65" t="n"/>
      <c r="N360" s="65" t="n"/>
      <c r="O360" s="65" t="n"/>
      <c r="P360" s="65" t="n"/>
      <c r="Q360" s="32">
        <f>IF($C360="","",IF($J360="","— חסרים נתונים",IF($J360="טרם מפענח","פרופיל 5",IF($J360="קמץ/פתח/חטף-פתח ושוואים","פרופיל 4",IF($J360="2-3 סימני ניקוד","פרופיל 3",IF($J360="4-5 סימני ניקוד","פרופיל 2",IF(AND($O360="משפטים וקטעים קצרים",OR($M360="מבין",$M360="מבין לרוב")),"פרופיל 1","פרופיל 2")))))))</f>
        <v/>
      </c>
      <c r="R360" s="32">
        <f>IF($C360="","",IF(OR($Q360="",LEFT($Q360,1)="—"),"קבוצה רביעית",IF($Q360="פרופיל 5","קבוצת תשתיות",IF(OR($Q360="פרופיל 4",$Q360="פרופיל 3"),"קבוצת רכישה","קבוצת ביסוס"))))</f>
        <v/>
      </c>
      <c r="S360" s="32">
        <f>IF($F360="","",IF($F360="תחילת שנה",1,IF($F360="מחצית שנה",2,3)))</f>
        <v/>
      </c>
      <c r="T360" s="32">
        <f>IF(OR($B360="",$R360="",$A360="",$F360=""),"",$B360&amp;"|"&amp;$A360&amp;"|"&amp;$F360&amp;"|"&amp;$R360&amp;"|"&amp;COUNTIFS($B$6:$B360,$B360,$A$6:$A360,$A360,$F$6:$F360,$F360,$R$6:$R360,$R360))</f>
        <v/>
      </c>
      <c r="U360" s="32">
        <f>IF($C360="","",$C360&amp;"|"&amp;COUNTIFS($C$6:$C360,$C360))</f>
        <v/>
      </c>
      <c r="V360" s="32">
        <f>IF(OR($C360="",$A360="",$S360=""),"",$C360&amp;"|"&amp;$A360&amp;"|"&amp;$S360)</f>
        <v/>
      </c>
      <c r="W360" s="32">
        <f>IF(OR($C360="",$S360="",$S360=1),"",IFERROR(INDEX($Q$6:$Q$1505,MATCH($C360&amp;"|"&amp;$A360&amp;"|"&amp;($S360-1),$V$6:$V$1505,0)),""))</f>
        <v/>
      </c>
      <c r="X360" s="32">
        <f>IF(OR($W360="",$Q360="",LEFT($Q360,1)="—"),"",IF($W360=$Q360,"ללא שינוי","מ-"&amp;$W360&amp;" ל-"&amp;$Q360))</f>
        <v/>
      </c>
    </row>
    <row r="361" ht="15.75" customHeight="1" s="58">
      <c r="A361" s="65" t="n"/>
      <c r="B361" s="65" t="n"/>
      <c r="C361" s="66" t="n"/>
      <c r="D361" s="66" t="n"/>
      <c r="E361" s="65" t="n"/>
      <c r="F361" s="65" t="n"/>
      <c r="G361" s="65" t="n"/>
      <c r="H361" s="65" t="n"/>
      <c r="I361" s="65" t="n"/>
      <c r="J361" s="65" t="n"/>
      <c r="K361" s="65" t="n"/>
      <c r="L361" s="65" t="n"/>
      <c r="M361" s="65" t="n"/>
      <c r="N361" s="65" t="n"/>
      <c r="O361" s="65" t="n"/>
      <c r="P361" s="65" t="n"/>
      <c r="Q361" s="32">
        <f>IF($C361="","",IF($J361="","— חסרים נתונים",IF($J361="טרם מפענח","פרופיל 5",IF($J361="קמץ/פתח/חטף-פתח ושוואים","פרופיל 4",IF($J361="2-3 סימני ניקוד","פרופיל 3",IF($J361="4-5 סימני ניקוד","פרופיל 2",IF(AND($O361="משפטים וקטעים קצרים",OR($M361="מבין",$M361="מבין לרוב")),"פרופיל 1","פרופיל 2")))))))</f>
        <v/>
      </c>
      <c r="R361" s="32">
        <f>IF($C361="","",IF(OR($Q361="",LEFT($Q361,1)="—"),"קבוצה רביעית",IF($Q361="פרופיל 5","קבוצת תשתיות",IF(OR($Q361="פרופיל 4",$Q361="פרופיל 3"),"קבוצת רכישה","קבוצת ביסוס"))))</f>
        <v/>
      </c>
      <c r="S361" s="32">
        <f>IF($F361="","",IF($F361="תחילת שנה",1,IF($F361="מחצית שנה",2,3)))</f>
        <v/>
      </c>
      <c r="T361" s="32">
        <f>IF(OR($B361="",$R361="",$A361="",$F361=""),"",$B361&amp;"|"&amp;$A361&amp;"|"&amp;$F361&amp;"|"&amp;$R361&amp;"|"&amp;COUNTIFS($B$6:$B361,$B361,$A$6:$A361,$A361,$F$6:$F361,$F361,$R$6:$R361,$R361))</f>
        <v/>
      </c>
      <c r="U361" s="32">
        <f>IF($C361="","",$C361&amp;"|"&amp;COUNTIFS($C$6:$C361,$C361))</f>
        <v/>
      </c>
      <c r="V361" s="32">
        <f>IF(OR($C361="",$A361="",$S361=""),"",$C361&amp;"|"&amp;$A361&amp;"|"&amp;$S361)</f>
        <v/>
      </c>
      <c r="W361" s="32">
        <f>IF(OR($C361="",$S361="",$S361=1),"",IFERROR(INDEX($Q$6:$Q$1505,MATCH($C361&amp;"|"&amp;$A361&amp;"|"&amp;($S361-1),$V$6:$V$1505,0)),""))</f>
        <v/>
      </c>
      <c r="X361" s="32">
        <f>IF(OR($W361="",$Q361="",LEFT($Q361,1)="—"),"",IF($W361=$Q361,"ללא שינוי","מ-"&amp;$W361&amp;" ל-"&amp;$Q361))</f>
        <v/>
      </c>
    </row>
    <row r="362" ht="15.75" customHeight="1" s="58">
      <c r="A362" s="65" t="n"/>
      <c r="B362" s="65" t="n"/>
      <c r="C362" s="66" t="n"/>
      <c r="D362" s="66" t="n"/>
      <c r="E362" s="65" t="n"/>
      <c r="F362" s="65" t="n"/>
      <c r="G362" s="65" t="n"/>
      <c r="H362" s="65" t="n"/>
      <c r="I362" s="65" t="n"/>
      <c r="J362" s="65" t="n"/>
      <c r="K362" s="65" t="n"/>
      <c r="L362" s="65" t="n"/>
      <c r="M362" s="65" t="n"/>
      <c r="N362" s="65" t="n"/>
      <c r="O362" s="65" t="n"/>
      <c r="P362" s="65" t="n"/>
      <c r="Q362" s="32">
        <f>IF($C362="","",IF($J362="","— חסרים נתונים",IF($J362="טרם מפענח","פרופיל 5",IF($J362="קמץ/פתח/חטף-פתח ושוואים","פרופיל 4",IF($J362="2-3 סימני ניקוד","פרופיל 3",IF($J362="4-5 סימני ניקוד","פרופיל 2",IF(AND($O362="משפטים וקטעים קצרים",OR($M362="מבין",$M362="מבין לרוב")),"פרופיל 1","פרופיל 2")))))))</f>
        <v/>
      </c>
      <c r="R362" s="32">
        <f>IF($C362="","",IF(OR($Q362="",LEFT($Q362,1)="—"),"קבוצה רביעית",IF($Q362="פרופיל 5","קבוצת תשתיות",IF(OR($Q362="פרופיל 4",$Q362="פרופיל 3"),"קבוצת רכישה","קבוצת ביסוס"))))</f>
        <v/>
      </c>
      <c r="S362" s="32">
        <f>IF($F362="","",IF($F362="תחילת שנה",1,IF($F362="מחצית שנה",2,3)))</f>
        <v/>
      </c>
      <c r="T362" s="32">
        <f>IF(OR($B362="",$R362="",$A362="",$F362=""),"",$B362&amp;"|"&amp;$A362&amp;"|"&amp;$F362&amp;"|"&amp;$R362&amp;"|"&amp;COUNTIFS($B$6:$B362,$B362,$A$6:$A362,$A362,$F$6:$F362,$F362,$R$6:$R362,$R362))</f>
        <v/>
      </c>
      <c r="U362" s="32">
        <f>IF($C362="","",$C362&amp;"|"&amp;COUNTIFS($C$6:$C362,$C362))</f>
        <v/>
      </c>
      <c r="V362" s="32">
        <f>IF(OR($C362="",$A362="",$S362=""),"",$C362&amp;"|"&amp;$A362&amp;"|"&amp;$S362)</f>
        <v/>
      </c>
      <c r="W362" s="32">
        <f>IF(OR($C362="",$S362="",$S362=1),"",IFERROR(INDEX($Q$6:$Q$1505,MATCH($C362&amp;"|"&amp;$A362&amp;"|"&amp;($S362-1),$V$6:$V$1505,0)),""))</f>
        <v/>
      </c>
      <c r="X362" s="32">
        <f>IF(OR($W362="",$Q362="",LEFT($Q362,1)="—"),"",IF($W362=$Q362,"ללא שינוי","מ-"&amp;$W362&amp;" ל-"&amp;$Q362))</f>
        <v/>
      </c>
    </row>
    <row r="363" ht="15.75" customHeight="1" s="58">
      <c r="A363" s="65" t="n"/>
      <c r="B363" s="65" t="n"/>
      <c r="C363" s="66" t="n"/>
      <c r="D363" s="66" t="n"/>
      <c r="E363" s="65" t="n"/>
      <c r="F363" s="65" t="n"/>
      <c r="G363" s="65" t="n"/>
      <c r="H363" s="65" t="n"/>
      <c r="I363" s="65" t="n"/>
      <c r="J363" s="65" t="n"/>
      <c r="K363" s="65" t="n"/>
      <c r="L363" s="65" t="n"/>
      <c r="M363" s="65" t="n"/>
      <c r="N363" s="65" t="n"/>
      <c r="O363" s="65" t="n"/>
      <c r="P363" s="65" t="n"/>
      <c r="Q363" s="32">
        <f>IF($C363="","",IF($J363="","— חסרים נתונים",IF($J363="טרם מפענח","פרופיל 5",IF($J363="קמץ/פתח/חטף-פתח ושוואים","פרופיל 4",IF($J363="2-3 סימני ניקוד","פרופיל 3",IF($J363="4-5 סימני ניקוד","פרופיל 2",IF(AND($O363="משפטים וקטעים קצרים",OR($M363="מבין",$M363="מבין לרוב")),"פרופיל 1","פרופיל 2")))))))</f>
        <v/>
      </c>
      <c r="R363" s="32">
        <f>IF($C363="","",IF(OR($Q363="",LEFT($Q363,1)="—"),"קבוצה רביעית",IF($Q363="פרופיל 5","קבוצת תשתיות",IF(OR($Q363="פרופיל 4",$Q363="פרופיל 3"),"קבוצת רכישה","קבוצת ביסוס"))))</f>
        <v/>
      </c>
      <c r="S363" s="32">
        <f>IF($F363="","",IF($F363="תחילת שנה",1,IF($F363="מחצית שנה",2,3)))</f>
        <v/>
      </c>
      <c r="T363" s="32">
        <f>IF(OR($B363="",$R363="",$A363="",$F363=""),"",$B363&amp;"|"&amp;$A363&amp;"|"&amp;$F363&amp;"|"&amp;$R363&amp;"|"&amp;COUNTIFS($B$6:$B363,$B363,$A$6:$A363,$A363,$F$6:$F363,$F363,$R$6:$R363,$R363))</f>
        <v/>
      </c>
      <c r="U363" s="32">
        <f>IF($C363="","",$C363&amp;"|"&amp;COUNTIFS($C$6:$C363,$C363))</f>
        <v/>
      </c>
      <c r="V363" s="32">
        <f>IF(OR($C363="",$A363="",$S363=""),"",$C363&amp;"|"&amp;$A363&amp;"|"&amp;$S363)</f>
        <v/>
      </c>
      <c r="W363" s="32">
        <f>IF(OR($C363="",$S363="",$S363=1),"",IFERROR(INDEX($Q$6:$Q$1505,MATCH($C363&amp;"|"&amp;$A363&amp;"|"&amp;($S363-1),$V$6:$V$1505,0)),""))</f>
        <v/>
      </c>
      <c r="X363" s="32">
        <f>IF(OR($W363="",$Q363="",LEFT($Q363,1)="—"),"",IF($W363=$Q363,"ללא שינוי","מ-"&amp;$W363&amp;" ל-"&amp;$Q363))</f>
        <v/>
      </c>
    </row>
    <row r="364" ht="15.75" customHeight="1" s="58">
      <c r="A364" s="65" t="n"/>
      <c r="B364" s="65" t="n"/>
      <c r="C364" s="66" t="n"/>
      <c r="D364" s="66" t="n"/>
      <c r="E364" s="65" t="n"/>
      <c r="F364" s="65" t="n"/>
      <c r="G364" s="65" t="n"/>
      <c r="H364" s="65" t="n"/>
      <c r="I364" s="65" t="n"/>
      <c r="J364" s="65" t="n"/>
      <c r="K364" s="65" t="n"/>
      <c r="L364" s="65" t="n"/>
      <c r="M364" s="65" t="n"/>
      <c r="N364" s="65" t="n"/>
      <c r="O364" s="65" t="n"/>
      <c r="P364" s="65" t="n"/>
      <c r="Q364" s="32">
        <f>IF($C364="","",IF($J364="","— חסרים נתונים",IF($J364="טרם מפענח","פרופיל 5",IF($J364="קמץ/פתח/חטף-פתח ושוואים","פרופיל 4",IF($J364="2-3 סימני ניקוד","פרופיל 3",IF($J364="4-5 סימני ניקוד","פרופיל 2",IF(AND($O364="משפטים וקטעים קצרים",OR($M364="מבין",$M364="מבין לרוב")),"פרופיל 1","פרופיל 2")))))))</f>
        <v/>
      </c>
      <c r="R364" s="32">
        <f>IF($C364="","",IF(OR($Q364="",LEFT($Q364,1)="—"),"קבוצה רביעית",IF($Q364="פרופיל 5","קבוצת תשתיות",IF(OR($Q364="פרופיל 4",$Q364="פרופיל 3"),"קבוצת רכישה","קבוצת ביסוס"))))</f>
        <v/>
      </c>
      <c r="S364" s="32">
        <f>IF($F364="","",IF($F364="תחילת שנה",1,IF($F364="מחצית שנה",2,3)))</f>
        <v/>
      </c>
      <c r="T364" s="32">
        <f>IF(OR($B364="",$R364="",$A364="",$F364=""),"",$B364&amp;"|"&amp;$A364&amp;"|"&amp;$F364&amp;"|"&amp;$R364&amp;"|"&amp;COUNTIFS($B$6:$B364,$B364,$A$6:$A364,$A364,$F$6:$F364,$F364,$R$6:$R364,$R364))</f>
        <v/>
      </c>
      <c r="U364" s="32">
        <f>IF($C364="","",$C364&amp;"|"&amp;COUNTIFS($C$6:$C364,$C364))</f>
        <v/>
      </c>
      <c r="V364" s="32">
        <f>IF(OR($C364="",$A364="",$S364=""),"",$C364&amp;"|"&amp;$A364&amp;"|"&amp;$S364)</f>
        <v/>
      </c>
      <c r="W364" s="32">
        <f>IF(OR($C364="",$S364="",$S364=1),"",IFERROR(INDEX($Q$6:$Q$1505,MATCH($C364&amp;"|"&amp;$A364&amp;"|"&amp;($S364-1),$V$6:$V$1505,0)),""))</f>
        <v/>
      </c>
      <c r="X364" s="32">
        <f>IF(OR($W364="",$Q364="",LEFT($Q364,1)="—"),"",IF($W364=$Q364,"ללא שינוי","מ-"&amp;$W364&amp;" ל-"&amp;$Q364))</f>
        <v/>
      </c>
    </row>
    <row r="365" ht="15.75" customHeight="1" s="58">
      <c r="A365" s="65" t="n"/>
      <c r="B365" s="65" t="n"/>
      <c r="C365" s="66" t="n"/>
      <c r="D365" s="66" t="n"/>
      <c r="E365" s="65" t="n"/>
      <c r="F365" s="65" t="n"/>
      <c r="G365" s="65" t="n"/>
      <c r="H365" s="65" t="n"/>
      <c r="I365" s="65" t="n"/>
      <c r="J365" s="65" t="n"/>
      <c r="K365" s="65" t="n"/>
      <c r="L365" s="65" t="n"/>
      <c r="M365" s="65" t="n"/>
      <c r="N365" s="65" t="n"/>
      <c r="O365" s="65" t="n"/>
      <c r="P365" s="65" t="n"/>
      <c r="Q365" s="32">
        <f>IF($C365="","",IF($J365="","— חסרים נתונים",IF($J365="טרם מפענח","פרופיל 5",IF($J365="קמץ/פתח/חטף-פתח ושוואים","פרופיל 4",IF($J365="2-3 סימני ניקוד","פרופיל 3",IF($J365="4-5 סימני ניקוד","פרופיל 2",IF(AND($O365="משפטים וקטעים קצרים",OR($M365="מבין",$M365="מבין לרוב")),"פרופיל 1","פרופיל 2")))))))</f>
        <v/>
      </c>
      <c r="R365" s="32">
        <f>IF($C365="","",IF(OR($Q365="",LEFT($Q365,1)="—"),"קבוצה רביעית",IF($Q365="פרופיל 5","קבוצת תשתיות",IF(OR($Q365="פרופיל 4",$Q365="פרופיל 3"),"קבוצת רכישה","קבוצת ביסוס"))))</f>
        <v/>
      </c>
      <c r="S365" s="32">
        <f>IF($F365="","",IF($F365="תחילת שנה",1,IF($F365="מחצית שנה",2,3)))</f>
        <v/>
      </c>
      <c r="T365" s="32">
        <f>IF(OR($B365="",$R365="",$A365="",$F365=""),"",$B365&amp;"|"&amp;$A365&amp;"|"&amp;$F365&amp;"|"&amp;$R365&amp;"|"&amp;COUNTIFS($B$6:$B365,$B365,$A$6:$A365,$A365,$F$6:$F365,$F365,$R$6:$R365,$R365))</f>
        <v/>
      </c>
      <c r="U365" s="32">
        <f>IF($C365="","",$C365&amp;"|"&amp;COUNTIFS($C$6:$C365,$C365))</f>
        <v/>
      </c>
      <c r="V365" s="32">
        <f>IF(OR($C365="",$A365="",$S365=""),"",$C365&amp;"|"&amp;$A365&amp;"|"&amp;$S365)</f>
        <v/>
      </c>
      <c r="W365" s="32">
        <f>IF(OR($C365="",$S365="",$S365=1),"",IFERROR(INDEX($Q$6:$Q$1505,MATCH($C365&amp;"|"&amp;$A365&amp;"|"&amp;($S365-1),$V$6:$V$1505,0)),""))</f>
        <v/>
      </c>
      <c r="X365" s="32">
        <f>IF(OR($W365="",$Q365="",LEFT($Q365,1)="—"),"",IF($W365=$Q365,"ללא שינוי","מ-"&amp;$W365&amp;" ל-"&amp;$Q365))</f>
        <v/>
      </c>
    </row>
    <row r="366" ht="15.75" customHeight="1" s="58">
      <c r="A366" s="65" t="n"/>
      <c r="B366" s="65" t="n"/>
      <c r="C366" s="66" t="n"/>
      <c r="D366" s="66" t="n"/>
      <c r="E366" s="65" t="n"/>
      <c r="F366" s="65" t="n"/>
      <c r="G366" s="65" t="n"/>
      <c r="H366" s="65" t="n"/>
      <c r="I366" s="65" t="n"/>
      <c r="J366" s="65" t="n"/>
      <c r="K366" s="65" t="n"/>
      <c r="L366" s="65" t="n"/>
      <c r="M366" s="65" t="n"/>
      <c r="N366" s="65" t="n"/>
      <c r="O366" s="65" t="n"/>
      <c r="P366" s="65" t="n"/>
      <c r="Q366" s="32">
        <f>IF($C366="","",IF($J366="","— חסרים נתונים",IF($J366="טרם מפענח","פרופיל 5",IF($J366="קמץ/פתח/חטף-פתח ושוואים","פרופיל 4",IF($J366="2-3 סימני ניקוד","פרופיל 3",IF($J366="4-5 סימני ניקוד","פרופיל 2",IF(AND($O366="משפטים וקטעים קצרים",OR($M366="מבין",$M366="מבין לרוב")),"פרופיל 1","פרופיל 2")))))))</f>
        <v/>
      </c>
      <c r="R366" s="32">
        <f>IF($C366="","",IF(OR($Q366="",LEFT($Q366,1)="—"),"קבוצה רביעית",IF($Q366="פרופיל 5","קבוצת תשתיות",IF(OR($Q366="פרופיל 4",$Q366="פרופיל 3"),"קבוצת רכישה","קבוצת ביסוס"))))</f>
        <v/>
      </c>
      <c r="S366" s="32">
        <f>IF($F366="","",IF($F366="תחילת שנה",1,IF($F366="מחצית שנה",2,3)))</f>
        <v/>
      </c>
      <c r="T366" s="32">
        <f>IF(OR($B366="",$R366="",$A366="",$F366=""),"",$B366&amp;"|"&amp;$A366&amp;"|"&amp;$F366&amp;"|"&amp;$R366&amp;"|"&amp;COUNTIFS($B$6:$B366,$B366,$A$6:$A366,$A366,$F$6:$F366,$F366,$R$6:$R366,$R366))</f>
        <v/>
      </c>
      <c r="U366" s="32">
        <f>IF($C366="","",$C366&amp;"|"&amp;COUNTIFS($C$6:$C366,$C366))</f>
        <v/>
      </c>
      <c r="V366" s="32">
        <f>IF(OR($C366="",$A366="",$S366=""),"",$C366&amp;"|"&amp;$A366&amp;"|"&amp;$S366)</f>
        <v/>
      </c>
      <c r="W366" s="32">
        <f>IF(OR($C366="",$S366="",$S366=1),"",IFERROR(INDEX($Q$6:$Q$1505,MATCH($C366&amp;"|"&amp;$A366&amp;"|"&amp;($S366-1),$V$6:$V$1505,0)),""))</f>
        <v/>
      </c>
      <c r="X366" s="32">
        <f>IF(OR($W366="",$Q366="",LEFT($Q366,1)="—"),"",IF($W366=$Q366,"ללא שינוי","מ-"&amp;$W366&amp;" ל-"&amp;$Q366))</f>
        <v/>
      </c>
    </row>
    <row r="367" ht="15.75" customHeight="1" s="58">
      <c r="A367" s="65" t="n"/>
      <c r="B367" s="65" t="n"/>
      <c r="C367" s="66" t="n"/>
      <c r="D367" s="66" t="n"/>
      <c r="E367" s="65" t="n"/>
      <c r="F367" s="65" t="n"/>
      <c r="G367" s="65" t="n"/>
      <c r="H367" s="65" t="n"/>
      <c r="I367" s="65" t="n"/>
      <c r="J367" s="65" t="n"/>
      <c r="K367" s="65" t="n"/>
      <c r="L367" s="65" t="n"/>
      <c r="M367" s="65" t="n"/>
      <c r="N367" s="65" t="n"/>
      <c r="O367" s="65" t="n"/>
      <c r="P367" s="65" t="n"/>
      <c r="Q367" s="32">
        <f>IF($C367="","",IF($J367="","— חסרים נתונים",IF($J367="טרם מפענח","פרופיל 5",IF($J367="קמץ/פתח/חטף-פתח ושוואים","פרופיל 4",IF($J367="2-3 סימני ניקוד","פרופיל 3",IF($J367="4-5 סימני ניקוד","פרופיל 2",IF(AND($O367="משפטים וקטעים קצרים",OR($M367="מבין",$M367="מבין לרוב")),"פרופיל 1","פרופיל 2")))))))</f>
        <v/>
      </c>
      <c r="R367" s="32">
        <f>IF($C367="","",IF(OR($Q367="",LEFT($Q367,1)="—"),"קבוצה רביעית",IF($Q367="פרופיל 5","קבוצת תשתיות",IF(OR($Q367="פרופיל 4",$Q367="פרופיל 3"),"קבוצת רכישה","קבוצת ביסוס"))))</f>
        <v/>
      </c>
      <c r="S367" s="32">
        <f>IF($F367="","",IF($F367="תחילת שנה",1,IF($F367="מחצית שנה",2,3)))</f>
        <v/>
      </c>
      <c r="T367" s="32">
        <f>IF(OR($B367="",$R367="",$A367="",$F367=""),"",$B367&amp;"|"&amp;$A367&amp;"|"&amp;$F367&amp;"|"&amp;$R367&amp;"|"&amp;COUNTIFS($B$6:$B367,$B367,$A$6:$A367,$A367,$F$6:$F367,$F367,$R$6:$R367,$R367))</f>
        <v/>
      </c>
      <c r="U367" s="32">
        <f>IF($C367="","",$C367&amp;"|"&amp;COUNTIFS($C$6:$C367,$C367))</f>
        <v/>
      </c>
      <c r="V367" s="32">
        <f>IF(OR($C367="",$A367="",$S367=""),"",$C367&amp;"|"&amp;$A367&amp;"|"&amp;$S367)</f>
        <v/>
      </c>
      <c r="W367" s="32">
        <f>IF(OR($C367="",$S367="",$S367=1),"",IFERROR(INDEX($Q$6:$Q$1505,MATCH($C367&amp;"|"&amp;$A367&amp;"|"&amp;($S367-1),$V$6:$V$1505,0)),""))</f>
        <v/>
      </c>
      <c r="X367" s="32">
        <f>IF(OR($W367="",$Q367="",LEFT($Q367,1)="—"),"",IF($W367=$Q367,"ללא שינוי","מ-"&amp;$W367&amp;" ל-"&amp;$Q367))</f>
        <v/>
      </c>
    </row>
    <row r="368" ht="15.75" customHeight="1" s="58">
      <c r="A368" s="65" t="n"/>
      <c r="B368" s="65" t="n"/>
      <c r="C368" s="66" t="n"/>
      <c r="D368" s="66" t="n"/>
      <c r="E368" s="65" t="n"/>
      <c r="F368" s="65" t="n"/>
      <c r="G368" s="65" t="n"/>
      <c r="H368" s="65" t="n"/>
      <c r="I368" s="65" t="n"/>
      <c r="J368" s="65" t="n"/>
      <c r="K368" s="65" t="n"/>
      <c r="L368" s="65" t="n"/>
      <c r="M368" s="65" t="n"/>
      <c r="N368" s="65" t="n"/>
      <c r="O368" s="65" t="n"/>
      <c r="P368" s="65" t="n"/>
      <c r="Q368" s="32">
        <f>IF($C368="","",IF($J368="","— חסרים נתונים",IF($J368="טרם מפענח","פרופיל 5",IF($J368="קמץ/פתח/חטף-פתח ושוואים","פרופיל 4",IF($J368="2-3 סימני ניקוד","פרופיל 3",IF($J368="4-5 סימני ניקוד","פרופיל 2",IF(AND($O368="משפטים וקטעים קצרים",OR($M368="מבין",$M368="מבין לרוב")),"פרופיל 1","פרופיל 2")))))))</f>
        <v/>
      </c>
      <c r="R368" s="32">
        <f>IF($C368="","",IF(OR($Q368="",LEFT($Q368,1)="—"),"קבוצה רביעית",IF($Q368="פרופיל 5","קבוצת תשתיות",IF(OR($Q368="פרופיל 4",$Q368="פרופיל 3"),"קבוצת רכישה","קבוצת ביסוס"))))</f>
        <v/>
      </c>
      <c r="S368" s="32">
        <f>IF($F368="","",IF($F368="תחילת שנה",1,IF($F368="מחצית שנה",2,3)))</f>
        <v/>
      </c>
      <c r="T368" s="32">
        <f>IF(OR($B368="",$R368="",$A368="",$F368=""),"",$B368&amp;"|"&amp;$A368&amp;"|"&amp;$F368&amp;"|"&amp;$R368&amp;"|"&amp;COUNTIFS($B$6:$B368,$B368,$A$6:$A368,$A368,$F$6:$F368,$F368,$R$6:$R368,$R368))</f>
        <v/>
      </c>
      <c r="U368" s="32">
        <f>IF($C368="","",$C368&amp;"|"&amp;COUNTIFS($C$6:$C368,$C368))</f>
        <v/>
      </c>
      <c r="V368" s="32">
        <f>IF(OR($C368="",$A368="",$S368=""),"",$C368&amp;"|"&amp;$A368&amp;"|"&amp;$S368)</f>
        <v/>
      </c>
      <c r="W368" s="32">
        <f>IF(OR($C368="",$S368="",$S368=1),"",IFERROR(INDEX($Q$6:$Q$1505,MATCH($C368&amp;"|"&amp;$A368&amp;"|"&amp;($S368-1),$V$6:$V$1505,0)),""))</f>
        <v/>
      </c>
      <c r="X368" s="32">
        <f>IF(OR($W368="",$Q368="",LEFT($Q368,1)="—"),"",IF($W368=$Q368,"ללא שינוי","מ-"&amp;$W368&amp;" ל-"&amp;$Q368))</f>
        <v/>
      </c>
    </row>
    <row r="369" ht="15.75" customHeight="1" s="58">
      <c r="A369" s="65" t="n"/>
      <c r="B369" s="65" t="n"/>
      <c r="C369" s="66" t="n"/>
      <c r="D369" s="66" t="n"/>
      <c r="E369" s="65" t="n"/>
      <c r="F369" s="65" t="n"/>
      <c r="G369" s="65" t="n"/>
      <c r="H369" s="65" t="n"/>
      <c r="I369" s="65" t="n"/>
      <c r="J369" s="65" t="n"/>
      <c r="K369" s="65" t="n"/>
      <c r="L369" s="65" t="n"/>
      <c r="M369" s="65" t="n"/>
      <c r="N369" s="65" t="n"/>
      <c r="O369" s="65" t="n"/>
      <c r="P369" s="65" t="n"/>
      <c r="Q369" s="32">
        <f>IF($C369="","",IF($J369="","— חסרים נתונים",IF($J369="טרם מפענח","פרופיל 5",IF($J369="קמץ/פתח/חטף-פתח ושוואים","פרופיל 4",IF($J369="2-3 סימני ניקוד","פרופיל 3",IF($J369="4-5 סימני ניקוד","פרופיל 2",IF(AND($O369="משפטים וקטעים קצרים",OR($M369="מבין",$M369="מבין לרוב")),"פרופיל 1","פרופיל 2")))))))</f>
        <v/>
      </c>
      <c r="R369" s="32">
        <f>IF($C369="","",IF(OR($Q369="",LEFT($Q369,1)="—"),"קבוצה רביעית",IF($Q369="פרופיל 5","קבוצת תשתיות",IF(OR($Q369="פרופיל 4",$Q369="פרופיל 3"),"קבוצת רכישה","קבוצת ביסוס"))))</f>
        <v/>
      </c>
      <c r="S369" s="32">
        <f>IF($F369="","",IF($F369="תחילת שנה",1,IF($F369="מחצית שנה",2,3)))</f>
        <v/>
      </c>
      <c r="T369" s="32">
        <f>IF(OR($B369="",$R369="",$A369="",$F369=""),"",$B369&amp;"|"&amp;$A369&amp;"|"&amp;$F369&amp;"|"&amp;$R369&amp;"|"&amp;COUNTIFS($B$6:$B369,$B369,$A$6:$A369,$A369,$F$6:$F369,$F369,$R$6:$R369,$R369))</f>
        <v/>
      </c>
      <c r="U369" s="32">
        <f>IF($C369="","",$C369&amp;"|"&amp;COUNTIFS($C$6:$C369,$C369))</f>
        <v/>
      </c>
      <c r="V369" s="32">
        <f>IF(OR($C369="",$A369="",$S369=""),"",$C369&amp;"|"&amp;$A369&amp;"|"&amp;$S369)</f>
        <v/>
      </c>
      <c r="W369" s="32">
        <f>IF(OR($C369="",$S369="",$S369=1),"",IFERROR(INDEX($Q$6:$Q$1505,MATCH($C369&amp;"|"&amp;$A369&amp;"|"&amp;($S369-1),$V$6:$V$1505,0)),""))</f>
        <v/>
      </c>
      <c r="X369" s="32">
        <f>IF(OR($W369="",$Q369="",LEFT($Q369,1)="—"),"",IF($W369=$Q369,"ללא שינוי","מ-"&amp;$W369&amp;" ל-"&amp;$Q369))</f>
        <v/>
      </c>
    </row>
    <row r="370" ht="15.75" customHeight="1" s="58">
      <c r="A370" s="65" t="n"/>
      <c r="B370" s="65" t="n"/>
      <c r="C370" s="66" t="n"/>
      <c r="D370" s="66" t="n"/>
      <c r="E370" s="65" t="n"/>
      <c r="F370" s="65" t="n"/>
      <c r="G370" s="65" t="n"/>
      <c r="H370" s="65" t="n"/>
      <c r="I370" s="65" t="n"/>
      <c r="J370" s="65" t="n"/>
      <c r="K370" s="65" t="n"/>
      <c r="L370" s="65" t="n"/>
      <c r="M370" s="65" t="n"/>
      <c r="N370" s="65" t="n"/>
      <c r="O370" s="65" t="n"/>
      <c r="P370" s="65" t="n"/>
      <c r="Q370" s="32">
        <f>IF($C370="","",IF($J370="","— חסרים נתונים",IF($J370="טרם מפענח","פרופיל 5",IF($J370="קמץ/פתח/חטף-פתח ושוואים","פרופיל 4",IF($J370="2-3 סימני ניקוד","פרופיל 3",IF($J370="4-5 סימני ניקוד","פרופיל 2",IF(AND($O370="משפטים וקטעים קצרים",OR($M370="מבין",$M370="מבין לרוב")),"פרופיל 1","פרופיל 2")))))))</f>
        <v/>
      </c>
      <c r="R370" s="32">
        <f>IF($C370="","",IF(OR($Q370="",LEFT($Q370,1)="—"),"קבוצה רביעית",IF($Q370="פרופיל 5","קבוצת תשתיות",IF(OR($Q370="פרופיל 4",$Q370="פרופיל 3"),"קבוצת רכישה","קבוצת ביסוס"))))</f>
        <v/>
      </c>
      <c r="S370" s="32">
        <f>IF($F370="","",IF($F370="תחילת שנה",1,IF($F370="מחצית שנה",2,3)))</f>
        <v/>
      </c>
      <c r="T370" s="32">
        <f>IF(OR($B370="",$R370="",$A370="",$F370=""),"",$B370&amp;"|"&amp;$A370&amp;"|"&amp;$F370&amp;"|"&amp;$R370&amp;"|"&amp;COUNTIFS($B$6:$B370,$B370,$A$6:$A370,$A370,$F$6:$F370,$F370,$R$6:$R370,$R370))</f>
        <v/>
      </c>
      <c r="U370" s="32">
        <f>IF($C370="","",$C370&amp;"|"&amp;COUNTIFS($C$6:$C370,$C370))</f>
        <v/>
      </c>
      <c r="V370" s="32">
        <f>IF(OR($C370="",$A370="",$S370=""),"",$C370&amp;"|"&amp;$A370&amp;"|"&amp;$S370)</f>
        <v/>
      </c>
      <c r="W370" s="32">
        <f>IF(OR($C370="",$S370="",$S370=1),"",IFERROR(INDEX($Q$6:$Q$1505,MATCH($C370&amp;"|"&amp;$A370&amp;"|"&amp;($S370-1),$V$6:$V$1505,0)),""))</f>
        <v/>
      </c>
      <c r="X370" s="32">
        <f>IF(OR($W370="",$Q370="",LEFT($Q370,1)="—"),"",IF($W370=$Q370,"ללא שינוי","מ-"&amp;$W370&amp;" ל-"&amp;$Q370))</f>
        <v/>
      </c>
    </row>
    <row r="371" ht="15.75" customHeight="1" s="58">
      <c r="A371" s="65" t="n"/>
      <c r="B371" s="65" t="n"/>
      <c r="C371" s="66" t="n"/>
      <c r="D371" s="66" t="n"/>
      <c r="E371" s="65" t="n"/>
      <c r="F371" s="65" t="n"/>
      <c r="G371" s="65" t="n"/>
      <c r="H371" s="65" t="n"/>
      <c r="I371" s="65" t="n"/>
      <c r="J371" s="65" t="n"/>
      <c r="K371" s="65" t="n"/>
      <c r="L371" s="65" t="n"/>
      <c r="M371" s="65" t="n"/>
      <c r="N371" s="65" t="n"/>
      <c r="O371" s="65" t="n"/>
      <c r="P371" s="65" t="n"/>
      <c r="Q371" s="32">
        <f>IF($C371="","",IF($J371="","— חסרים נתונים",IF($J371="טרם מפענח","פרופיל 5",IF($J371="קמץ/פתח/חטף-פתח ושוואים","פרופיל 4",IF($J371="2-3 סימני ניקוד","פרופיל 3",IF($J371="4-5 סימני ניקוד","פרופיל 2",IF(AND($O371="משפטים וקטעים קצרים",OR($M371="מבין",$M371="מבין לרוב")),"פרופיל 1","פרופיל 2")))))))</f>
        <v/>
      </c>
      <c r="R371" s="32">
        <f>IF($C371="","",IF(OR($Q371="",LEFT($Q371,1)="—"),"קבוצה רביעית",IF($Q371="פרופיל 5","קבוצת תשתיות",IF(OR($Q371="פרופיל 4",$Q371="פרופיל 3"),"קבוצת רכישה","קבוצת ביסוס"))))</f>
        <v/>
      </c>
      <c r="S371" s="32">
        <f>IF($F371="","",IF($F371="תחילת שנה",1,IF($F371="מחצית שנה",2,3)))</f>
        <v/>
      </c>
      <c r="T371" s="32">
        <f>IF(OR($B371="",$R371="",$A371="",$F371=""),"",$B371&amp;"|"&amp;$A371&amp;"|"&amp;$F371&amp;"|"&amp;$R371&amp;"|"&amp;COUNTIFS($B$6:$B371,$B371,$A$6:$A371,$A371,$F$6:$F371,$F371,$R$6:$R371,$R371))</f>
        <v/>
      </c>
      <c r="U371" s="32">
        <f>IF($C371="","",$C371&amp;"|"&amp;COUNTIFS($C$6:$C371,$C371))</f>
        <v/>
      </c>
      <c r="V371" s="32">
        <f>IF(OR($C371="",$A371="",$S371=""),"",$C371&amp;"|"&amp;$A371&amp;"|"&amp;$S371)</f>
        <v/>
      </c>
      <c r="W371" s="32">
        <f>IF(OR($C371="",$S371="",$S371=1),"",IFERROR(INDEX($Q$6:$Q$1505,MATCH($C371&amp;"|"&amp;$A371&amp;"|"&amp;($S371-1),$V$6:$V$1505,0)),""))</f>
        <v/>
      </c>
      <c r="X371" s="32">
        <f>IF(OR($W371="",$Q371="",LEFT($Q371,1)="—"),"",IF($W371=$Q371,"ללא שינוי","מ-"&amp;$W371&amp;" ל-"&amp;$Q371))</f>
        <v/>
      </c>
    </row>
    <row r="372" ht="15.75" customHeight="1" s="58">
      <c r="A372" s="65" t="n"/>
      <c r="B372" s="65" t="n"/>
      <c r="C372" s="66" t="n"/>
      <c r="D372" s="66" t="n"/>
      <c r="E372" s="65" t="n"/>
      <c r="F372" s="65" t="n"/>
      <c r="G372" s="65" t="n"/>
      <c r="H372" s="65" t="n"/>
      <c r="I372" s="65" t="n"/>
      <c r="J372" s="65" t="n"/>
      <c r="K372" s="65" t="n"/>
      <c r="L372" s="65" t="n"/>
      <c r="M372" s="65" t="n"/>
      <c r="N372" s="65" t="n"/>
      <c r="O372" s="65" t="n"/>
      <c r="P372" s="65" t="n"/>
      <c r="Q372" s="32">
        <f>IF($C372="","",IF($J372="","— חסרים נתונים",IF($J372="טרם מפענח","פרופיל 5",IF($J372="קמץ/פתח/חטף-פתח ושוואים","פרופיל 4",IF($J372="2-3 סימני ניקוד","פרופיל 3",IF($J372="4-5 סימני ניקוד","פרופיל 2",IF(AND($O372="משפטים וקטעים קצרים",OR($M372="מבין",$M372="מבין לרוב")),"פרופיל 1","פרופיל 2")))))))</f>
        <v/>
      </c>
      <c r="R372" s="32">
        <f>IF($C372="","",IF(OR($Q372="",LEFT($Q372,1)="—"),"קבוצה רביעית",IF($Q372="פרופיל 5","קבוצת תשתיות",IF(OR($Q372="פרופיל 4",$Q372="פרופיל 3"),"קבוצת רכישה","קבוצת ביסוס"))))</f>
        <v/>
      </c>
      <c r="S372" s="32">
        <f>IF($F372="","",IF($F372="תחילת שנה",1,IF($F372="מחצית שנה",2,3)))</f>
        <v/>
      </c>
      <c r="T372" s="32">
        <f>IF(OR($B372="",$R372="",$A372="",$F372=""),"",$B372&amp;"|"&amp;$A372&amp;"|"&amp;$F372&amp;"|"&amp;$R372&amp;"|"&amp;COUNTIFS($B$6:$B372,$B372,$A$6:$A372,$A372,$F$6:$F372,$F372,$R$6:$R372,$R372))</f>
        <v/>
      </c>
      <c r="U372" s="32">
        <f>IF($C372="","",$C372&amp;"|"&amp;COUNTIFS($C$6:$C372,$C372))</f>
        <v/>
      </c>
      <c r="V372" s="32">
        <f>IF(OR($C372="",$A372="",$S372=""),"",$C372&amp;"|"&amp;$A372&amp;"|"&amp;$S372)</f>
        <v/>
      </c>
      <c r="W372" s="32">
        <f>IF(OR($C372="",$S372="",$S372=1),"",IFERROR(INDEX($Q$6:$Q$1505,MATCH($C372&amp;"|"&amp;$A372&amp;"|"&amp;($S372-1),$V$6:$V$1505,0)),""))</f>
        <v/>
      </c>
      <c r="X372" s="32">
        <f>IF(OR($W372="",$Q372="",LEFT($Q372,1)="—"),"",IF($W372=$Q372,"ללא שינוי","מ-"&amp;$W372&amp;" ל-"&amp;$Q372))</f>
        <v/>
      </c>
    </row>
    <row r="373" ht="15.75" customHeight="1" s="58">
      <c r="A373" s="65" t="n"/>
      <c r="B373" s="65" t="n"/>
      <c r="C373" s="66" t="n"/>
      <c r="D373" s="66" t="n"/>
      <c r="E373" s="65" t="n"/>
      <c r="F373" s="65" t="n"/>
      <c r="G373" s="65" t="n"/>
      <c r="H373" s="65" t="n"/>
      <c r="I373" s="65" t="n"/>
      <c r="J373" s="65" t="n"/>
      <c r="K373" s="65" t="n"/>
      <c r="L373" s="65" t="n"/>
      <c r="M373" s="65" t="n"/>
      <c r="N373" s="65" t="n"/>
      <c r="O373" s="65" t="n"/>
      <c r="P373" s="65" t="n"/>
      <c r="Q373" s="32">
        <f>IF($C373="","",IF($J373="","— חסרים נתונים",IF($J373="טרם מפענח","פרופיל 5",IF($J373="קמץ/פתח/חטף-פתח ושוואים","פרופיל 4",IF($J373="2-3 סימני ניקוד","פרופיל 3",IF($J373="4-5 סימני ניקוד","פרופיל 2",IF(AND($O373="משפטים וקטעים קצרים",OR($M373="מבין",$M373="מבין לרוב")),"פרופיל 1","פרופיל 2")))))))</f>
        <v/>
      </c>
      <c r="R373" s="32">
        <f>IF($C373="","",IF(OR($Q373="",LEFT($Q373,1)="—"),"קבוצה רביעית",IF($Q373="פרופיל 5","קבוצת תשתיות",IF(OR($Q373="פרופיל 4",$Q373="פרופיל 3"),"קבוצת רכישה","קבוצת ביסוס"))))</f>
        <v/>
      </c>
      <c r="S373" s="32">
        <f>IF($F373="","",IF($F373="תחילת שנה",1,IF($F373="מחצית שנה",2,3)))</f>
        <v/>
      </c>
      <c r="T373" s="32">
        <f>IF(OR($B373="",$R373="",$A373="",$F373=""),"",$B373&amp;"|"&amp;$A373&amp;"|"&amp;$F373&amp;"|"&amp;$R373&amp;"|"&amp;COUNTIFS($B$6:$B373,$B373,$A$6:$A373,$A373,$F$6:$F373,$F373,$R$6:$R373,$R373))</f>
        <v/>
      </c>
      <c r="U373" s="32">
        <f>IF($C373="","",$C373&amp;"|"&amp;COUNTIFS($C$6:$C373,$C373))</f>
        <v/>
      </c>
      <c r="V373" s="32">
        <f>IF(OR($C373="",$A373="",$S373=""),"",$C373&amp;"|"&amp;$A373&amp;"|"&amp;$S373)</f>
        <v/>
      </c>
      <c r="W373" s="32">
        <f>IF(OR($C373="",$S373="",$S373=1),"",IFERROR(INDEX($Q$6:$Q$1505,MATCH($C373&amp;"|"&amp;$A373&amp;"|"&amp;($S373-1),$V$6:$V$1505,0)),""))</f>
        <v/>
      </c>
      <c r="X373" s="32">
        <f>IF(OR($W373="",$Q373="",LEFT($Q373,1)="—"),"",IF($W373=$Q373,"ללא שינוי","מ-"&amp;$W373&amp;" ל-"&amp;$Q373))</f>
        <v/>
      </c>
    </row>
    <row r="374" ht="15.75" customHeight="1" s="58">
      <c r="A374" s="65" t="n"/>
      <c r="B374" s="65" t="n"/>
      <c r="C374" s="66" t="n"/>
      <c r="D374" s="66" t="n"/>
      <c r="E374" s="65" t="n"/>
      <c r="F374" s="65" t="n"/>
      <c r="G374" s="65" t="n"/>
      <c r="H374" s="65" t="n"/>
      <c r="I374" s="65" t="n"/>
      <c r="J374" s="65" t="n"/>
      <c r="K374" s="65" t="n"/>
      <c r="L374" s="65" t="n"/>
      <c r="M374" s="65" t="n"/>
      <c r="N374" s="65" t="n"/>
      <c r="O374" s="65" t="n"/>
      <c r="P374" s="65" t="n"/>
      <c r="Q374" s="32">
        <f>IF($C374="","",IF($J374="","— חסרים נתונים",IF($J374="טרם מפענח","פרופיל 5",IF($J374="קמץ/פתח/חטף-פתח ושוואים","פרופיל 4",IF($J374="2-3 סימני ניקוד","פרופיל 3",IF($J374="4-5 סימני ניקוד","פרופיל 2",IF(AND($O374="משפטים וקטעים קצרים",OR($M374="מבין",$M374="מבין לרוב")),"פרופיל 1","פרופיל 2")))))))</f>
        <v/>
      </c>
      <c r="R374" s="32">
        <f>IF($C374="","",IF(OR($Q374="",LEFT($Q374,1)="—"),"קבוצה רביעית",IF($Q374="פרופיל 5","קבוצת תשתיות",IF(OR($Q374="פרופיל 4",$Q374="פרופיל 3"),"קבוצת רכישה","קבוצת ביסוס"))))</f>
        <v/>
      </c>
      <c r="S374" s="32">
        <f>IF($F374="","",IF($F374="תחילת שנה",1,IF($F374="מחצית שנה",2,3)))</f>
        <v/>
      </c>
      <c r="T374" s="32">
        <f>IF(OR($B374="",$R374="",$A374="",$F374=""),"",$B374&amp;"|"&amp;$A374&amp;"|"&amp;$F374&amp;"|"&amp;$R374&amp;"|"&amp;COUNTIFS($B$6:$B374,$B374,$A$6:$A374,$A374,$F$6:$F374,$F374,$R$6:$R374,$R374))</f>
        <v/>
      </c>
      <c r="U374" s="32">
        <f>IF($C374="","",$C374&amp;"|"&amp;COUNTIFS($C$6:$C374,$C374))</f>
        <v/>
      </c>
      <c r="V374" s="32">
        <f>IF(OR($C374="",$A374="",$S374=""),"",$C374&amp;"|"&amp;$A374&amp;"|"&amp;$S374)</f>
        <v/>
      </c>
      <c r="W374" s="32">
        <f>IF(OR($C374="",$S374="",$S374=1),"",IFERROR(INDEX($Q$6:$Q$1505,MATCH($C374&amp;"|"&amp;$A374&amp;"|"&amp;($S374-1),$V$6:$V$1505,0)),""))</f>
        <v/>
      </c>
      <c r="X374" s="32">
        <f>IF(OR($W374="",$Q374="",LEFT($Q374,1)="—"),"",IF($W374=$Q374,"ללא שינוי","מ-"&amp;$W374&amp;" ל-"&amp;$Q374))</f>
        <v/>
      </c>
    </row>
    <row r="375" ht="15.75" customHeight="1" s="58">
      <c r="A375" s="65" t="n"/>
      <c r="B375" s="65" t="n"/>
      <c r="C375" s="66" t="n"/>
      <c r="D375" s="66" t="n"/>
      <c r="E375" s="65" t="n"/>
      <c r="F375" s="65" t="n"/>
      <c r="G375" s="65" t="n"/>
      <c r="H375" s="65" t="n"/>
      <c r="I375" s="65" t="n"/>
      <c r="J375" s="65" t="n"/>
      <c r="K375" s="65" t="n"/>
      <c r="L375" s="65" t="n"/>
      <c r="M375" s="65" t="n"/>
      <c r="N375" s="65" t="n"/>
      <c r="O375" s="65" t="n"/>
      <c r="P375" s="65" t="n"/>
      <c r="Q375" s="32">
        <f>IF($C375="","",IF($J375="","— חסרים נתונים",IF($J375="טרם מפענח","פרופיל 5",IF($J375="קמץ/פתח/חטף-פתח ושוואים","פרופיל 4",IF($J375="2-3 סימני ניקוד","פרופיל 3",IF($J375="4-5 סימני ניקוד","פרופיל 2",IF(AND($O375="משפטים וקטעים קצרים",OR($M375="מבין",$M375="מבין לרוב")),"פרופיל 1","פרופיל 2")))))))</f>
        <v/>
      </c>
      <c r="R375" s="32">
        <f>IF($C375="","",IF(OR($Q375="",LEFT($Q375,1)="—"),"קבוצה רביעית",IF($Q375="פרופיל 5","קבוצת תשתיות",IF(OR($Q375="פרופיל 4",$Q375="פרופיל 3"),"קבוצת רכישה","קבוצת ביסוס"))))</f>
        <v/>
      </c>
      <c r="S375" s="32">
        <f>IF($F375="","",IF($F375="תחילת שנה",1,IF($F375="מחצית שנה",2,3)))</f>
        <v/>
      </c>
      <c r="T375" s="32">
        <f>IF(OR($B375="",$R375="",$A375="",$F375=""),"",$B375&amp;"|"&amp;$A375&amp;"|"&amp;$F375&amp;"|"&amp;$R375&amp;"|"&amp;COUNTIFS($B$6:$B375,$B375,$A$6:$A375,$A375,$F$6:$F375,$F375,$R$6:$R375,$R375))</f>
        <v/>
      </c>
      <c r="U375" s="32">
        <f>IF($C375="","",$C375&amp;"|"&amp;COUNTIFS($C$6:$C375,$C375))</f>
        <v/>
      </c>
      <c r="V375" s="32">
        <f>IF(OR($C375="",$A375="",$S375=""),"",$C375&amp;"|"&amp;$A375&amp;"|"&amp;$S375)</f>
        <v/>
      </c>
      <c r="W375" s="32">
        <f>IF(OR($C375="",$S375="",$S375=1),"",IFERROR(INDEX($Q$6:$Q$1505,MATCH($C375&amp;"|"&amp;$A375&amp;"|"&amp;($S375-1),$V$6:$V$1505,0)),""))</f>
        <v/>
      </c>
      <c r="X375" s="32">
        <f>IF(OR($W375="",$Q375="",LEFT($Q375,1)="—"),"",IF($W375=$Q375,"ללא שינוי","מ-"&amp;$W375&amp;" ל-"&amp;$Q375))</f>
        <v/>
      </c>
    </row>
    <row r="376" ht="15.75" customHeight="1" s="58">
      <c r="A376" s="65" t="n"/>
      <c r="B376" s="65" t="n"/>
      <c r="C376" s="66" t="n"/>
      <c r="D376" s="66" t="n"/>
      <c r="E376" s="65" t="n"/>
      <c r="F376" s="65" t="n"/>
      <c r="G376" s="65" t="n"/>
      <c r="H376" s="65" t="n"/>
      <c r="I376" s="65" t="n"/>
      <c r="J376" s="65" t="n"/>
      <c r="K376" s="65" t="n"/>
      <c r="L376" s="65" t="n"/>
      <c r="M376" s="65" t="n"/>
      <c r="N376" s="65" t="n"/>
      <c r="O376" s="65" t="n"/>
      <c r="P376" s="65" t="n"/>
      <c r="Q376" s="32">
        <f>IF($C376="","",IF($J376="","— חסרים נתונים",IF($J376="טרם מפענח","פרופיל 5",IF($J376="קמץ/פתח/חטף-פתח ושוואים","פרופיל 4",IF($J376="2-3 סימני ניקוד","פרופיל 3",IF($J376="4-5 סימני ניקוד","פרופיל 2",IF(AND($O376="משפטים וקטעים קצרים",OR($M376="מבין",$M376="מבין לרוב")),"פרופיל 1","פרופיל 2")))))))</f>
        <v/>
      </c>
      <c r="R376" s="32">
        <f>IF($C376="","",IF(OR($Q376="",LEFT($Q376,1)="—"),"קבוצה רביעית",IF($Q376="פרופיל 5","קבוצת תשתיות",IF(OR($Q376="פרופיל 4",$Q376="פרופיל 3"),"קבוצת רכישה","קבוצת ביסוס"))))</f>
        <v/>
      </c>
      <c r="S376" s="32">
        <f>IF($F376="","",IF($F376="תחילת שנה",1,IF($F376="מחצית שנה",2,3)))</f>
        <v/>
      </c>
      <c r="T376" s="32">
        <f>IF(OR($B376="",$R376="",$A376="",$F376=""),"",$B376&amp;"|"&amp;$A376&amp;"|"&amp;$F376&amp;"|"&amp;$R376&amp;"|"&amp;COUNTIFS($B$6:$B376,$B376,$A$6:$A376,$A376,$F$6:$F376,$F376,$R$6:$R376,$R376))</f>
        <v/>
      </c>
      <c r="U376" s="32">
        <f>IF($C376="","",$C376&amp;"|"&amp;COUNTIFS($C$6:$C376,$C376))</f>
        <v/>
      </c>
      <c r="V376" s="32">
        <f>IF(OR($C376="",$A376="",$S376=""),"",$C376&amp;"|"&amp;$A376&amp;"|"&amp;$S376)</f>
        <v/>
      </c>
      <c r="W376" s="32">
        <f>IF(OR($C376="",$S376="",$S376=1),"",IFERROR(INDEX($Q$6:$Q$1505,MATCH($C376&amp;"|"&amp;$A376&amp;"|"&amp;($S376-1),$V$6:$V$1505,0)),""))</f>
        <v/>
      </c>
      <c r="X376" s="32">
        <f>IF(OR($W376="",$Q376="",LEFT($Q376,1)="—"),"",IF($W376=$Q376,"ללא שינוי","מ-"&amp;$W376&amp;" ל-"&amp;$Q376))</f>
        <v/>
      </c>
    </row>
    <row r="377" ht="15.75" customHeight="1" s="58">
      <c r="A377" s="65" t="n"/>
      <c r="B377" s="65" t="n"/>
      <c r="C377" s="66" t="n"/>
      <c r="D377" s="66" t="n"/>
      <c r="E377" s="65" t="n"/>
      <c r="F377" s="65" t="n"/>
      <c r="G377" s="65" t="n"/>
      <c r="H377" s="65" t="n"/>
      <c r="I377" s="65" t="n"/>
      <c r="J377" s="65" t="n"/>
      <c r="K377" s="65" t="n"/>
      <c r="L377" s="65" t="n"/>
      <c r="M377" s="65" t="n"/>
      <c r="N377" s="65" t="n"/>
      <c r="O377" s="65" t="n"/>
      <c r="P377" s="65" t="n"/>
      <c r="Q377" s="32">
        <f>IF($C377="","",IF($J377="","— חסרים נתונים",IF($J377="טרם מפענח","פרופיל 5",IF($J377="קמץ/פתח/חטף-פתח ושוואים","פרופיל 4",IF($J377="2-3 סימני ניקוד","פרופיל 3",IF($J377="4-5 סימני ניקוד","פרופיל 2",IF(AND($O377="משפטים וקטעים קצרים",OR($M377="מבין",$M377="מבין לרוב")),"פרופיל 1","פרופיל 2")))))))</f>
        <v/>
      </c>
      <c r="R377" s="32">
        <f>IF($C377="","",IF(OR($Q377="",LEFT($Q377,1)="—"),"קבוצה רביעית",IF($Q377="פרופיל 5","קבוצת תשתיות",IF(OR($Q377="פרופיל 4",$Q377="פרופיל 3"),"קבוצת רכישה","קבוצת ביסוס"))))</f>
        <v/>
      </c>
      <c r="S377" s="32">
        <f>IF($F377="","",IF($F377="תחילת שנה",1,IF($F377="מחצית שנה",2,3)))</f>
        <v/>
      </c>
      <c r="T377" s="32">
        <f>IF(OR($B377="",$R377="",$A377="",$F377=""),"",$B377&amp;"|"&amp;$A377&amp;"|"&amp;$F377&amp;"|"&amp;$R377&amp;"|"&amp;COUNTIFS($B$6:$B377,$B377,$A$6:$A377,$A377,$F$6:$F377,$F377,$R$6:$R377,$R377))</f>
        <v/>
      </c>
      <c r="U377" s="32">
        <f>IF($C377="","",$C377&amp;"|"&amp;COUNTIFS($C$6:$C377,$C377))</f>
        <v/>
      </c>
      <c r="V377" s="32">
        <f>IF(OR($C377="",$A377="",$S377=""),"",$C377&amp;"|"&amp;$A377&amp;"|"&amp;$S377)</f>
        <v/>
      </c>
      <c r="W377" s="32">
        <f>IF(OR($C377="",$S377="",$S377=1),"",IFERROR(INDEX($Q$6:$Q$1505,MATCH($C377&amp;"|"&amp;$A377&amp;"|"&amp;($S377-1),$V$6:$V$1505,0)),""))</f>
        <v/>
      </c>
      <c r="X377" s="32">
        <f>IF(OR($W377="",$Q377="",LEFT($Q377,1)="—"),"",IF($W377=$Q377,"ללא שינוי","מ-"&amp;$W377&amp;" ל-"&amp;$Q377))</f>
        <v/>
      </c>
    </row>
    <row r="378" ht="15.75" customHeight="1" s="58">
      <c r="A378" s="65" t="n"/>
      <c r="B378" s="65" t="n"/>
      <c r="C378" s="66" t="n"/>
      <c r="D378" s="66" t="n"/>
      <c r="E378" s="65" t="n"/>
      <c r="F378" s="65" t="n"/>
      <c r="G378" s="65" t="n"/>
      <c r="H378" s="65" t="n"/>
      <c r="I378" s="65" t="n"/>
      <c r="J378" s="65" t="n"/>
      <c r="K378" s="65" t="n"/>
      <c r="L378" s="65" t="n"/>
      <c r="M378" s="65" t="n"/>
      <c r="N378" s="65" t="n"/>
      <c r="O378" s="65" t="n"/>
      <c r="P378" s="65" t="n"/>
      <c r="Q378" s="32">
        <f>IF($C378="","",IF($J378="","— חסרים נתונים",IF($J378="טרם מפענח","פרופיל 5",IF($J378="קמץ/פתח/חטף-פתח ושוואים","פרופיל 4",IF($J378="2-3 סימני ניקוד","פרופיל 3",IF($J378="4-5 סימני ניקוד","פרופיל 2",IF(AND($O378="משפטים וקטעים קצרים",OR($M378="מבין",$M378="מבין לרוב")),"פרופיל 1","פרופיל 2")))))))</f>
        <v/>
      </c>
      <c r="R378" s="32">
        <f>IF($C378="","",IF(OR($Q378="",LEFT($Q378,1)="—"),"קבוצה רביעית",IF($Q378="פרופיל 5","קבוצת תשתיות",IF(OR($Q378="פרופיל 4",$Q378="פרופיל 3"),"קבוצת רכישה","קבוצת ביסוס"))))</f>
        <v/>
      </c>
      <c r="S378" s="32">
        <f>IF($F378="","",IF($F378="תחילת שנה",1,IF($F378="מחצית שנה",2,3)))</f>
        <v/>
      </c>
      <c r="T378" s="32">
        <f>IF(OR($B378="",$R378="",$A378="",$F378=""),"",$B378&amp;"|"&amp;$A378&amp;"|"&amp;$F378&amp;"|"&amp;$R378&amp;"|"&amp;COUNTIFS($B$6:$B378,$B378,$A$6:$A378,$A378,$F$6:$F378,$F378,$R$6:$R378,$R378))</f>
        <v/>
      </c>
      <c r="U378" s="32">
        <f>IF($C378="","",$C378&amp;"|"&amp;COUNTIFS($C$6:$C378,$C378))</f>
        <v/>
      </c>
      <c r="V378" s="32">
        <f>IF(OR($C378="",$A378="",$S378=""),"",$C378&amp;"|"&amp;$A378&amp;"|"&amp;$S378)</f>
        <v/>
      </c>
      <c r="W378" s="32">
        <f>IF(OR($C378="",$S378="",$S378=1),"",IFERROR(INDEX($Q$6:$Q$1505,MATCH($C378&amp;"|"&amp;$A378&amp;"|"&amp;($S378-1),$V$6:$V$1505,0)),""))</f>
        <v/>
      </c>
      <c r="X378" s="32">
        <f>IF(OR($W378="",$Q378="",LEFT($Q378,1)="—"),"",IF($W378=$Q378,"ללא שינוי","מ-"&amp;$W378&amp;" ל-"&amp;$Q378))</f>
        <v/>
      </c>
    </row>
    <row r="379" ht="15.75" customHeight="1" s="58">
      <c r="A379" s="65" t="n"/>
      <c r="B379" s="65" t="n"/>
      <c r="C379" s="66" t="n"/>
      <c r="D379" s="66" t="n"/>
      <c r="E379" s="65" t="n"/>
      <c r="F379" s="65" t="n"/>
      <c r="G379" s="65" t="n"/>
      <c r="H379" s="65" t="n"/>
      <c r="I379" s="65" t="n"/>
      <c r="J379" s="65" t="n"/>
      <c r="K379" s="65" t="n"/>
      <c r="L379" s="65" t="n"/>
      <c r="M379" s="65" t="n"/>
      <c r="N379" s="65" t="n"/>
      <c r="O379" s="65" t="n"/>
      <c r="P379" s="65" t="n"/>
      <c r="Q379" s="32">
        <f>IF($C379="","",IF($J379="","— חסרים נתונים",IF($J379="טרם מפענח","פרופיל 5",IF($J379="קמץ/פתח/חטף-פתח ושוואים","פרופיל 4",IF($J379="2-3 סימני ניקוד","פרופיל 3",IF($J379="4-5 סימני ניקוד","פרופיל 2",IF(AND($O379="משפטים וקטעים קצרים",OR($M379="מבין",$M379="מבין לרוב")),"פרופיל 1","פרופיל 2")))))))</f>
        <v/>
      </c>
      <c r="R379" s="32">
        <f>IF($C379="","",IF(OR($Q379="",LEFT($Q379,1)="—"),"קבוצה רביעית",IF($Q379="פרופיל 5","קבוצת תשתיות",IF(OR($Q379="פרופיל 4",$Q379="פרופיל 3"),"קבוצת רכישה","קבוצת ביסוס"))))</f>
        <v/>
      </c>
      <c r="S379" s="32">
        <f>IF($F379="","",IF($F379="תחילת שנה",1,IF($F379="מחצית שנה",2,3)))</f>
        <v/>
      </c>
      <c r="T379" s="32">
        <f>IF(OR($B379="",$R379="",$A379="",$F379=""),"",$B379&amp;"|"&amp;$A379&amp;"|"&amp;$F379&amp;"|"&amp;$R379&amp;"|"&amp;COUNTIFS($B$6:$B379,$B379,$A$6:$A379,$A379,$F$6:$F379,$F379,$R$6:$R379,$R379))</f>
        <v/>
      </c>
      <c r="U379" s="32">
        <f>IF($C379="","",$C379&amp;"|"&amp;COUNTIFS($C$6:$C379,$C379))</f>
        <v/>
      </c>
      <c r="V379" s="32">
        <f>IF(OR($C379="",$A379="",$S379=""),"",$C379&amp;"|"&amp;$A379&amp;"|"&amp;$S379)</f>
        <v/>
      </c>
      <c r="W379" s="32">
        <f>IF(OR($C379="",$S379="",$S379=1),"",IFERROR(INDEX($Q$6:$Q$1505,MATCH($C379&amp;"|"&amp;$A379&amp;"|"&amp;($S379-1),$V$6:$V$1505,0)),""))</f>
        <v/>
      </c>
      <c r="X379" s="32">
        <f>IF(OR($W379="",$Q379="",LEFT($Q379,1)="—"),"",IF($W379=$Q379,"ללא שינוי","מ-"&amp;$W379&amp;" ל-"&amp;$Q379))</f>
        <v/>
      </c>
    </row>
    <row r="380" ht="15.75" customHeight="1" s="58">
      <c r="A380" s="65" t="n"/>
      <c r="B380" s="65" t="n"/>
      <c r="C380" s="66" t="n"/>
      <c r="D380" s="66" t="n"/>
      <c r="E380" s="65" t="n"/>
      <c r="F380" s="65" t="n"/>
      <c r="G380" s="65" t="n"/>
      <c r="H380" s="65" t="n"/>
      <c r="I380" s="65" t="n"/>
      <c r="J380" s="65" t="n"/>
      <c r="K380" s="65" t="n"/>
      <c r="L380" s="65" t="n"/>
      <c r="M380" s="65" t="n"/>
      <c r="N380" s="65" t="n"/>
      <c r="O380" s="65" t="n"/>
      <c r="P380" s="65" t="n"/>
      <c r="Q380" s="32">
        <f>IF($C380="","",IF($J380="","— חסרים נתונים",IF($J380="טרם מפענח","פרופיל 5",IF($J380="קמץ/פתח/חטף-פתח ושוואים","פרופיל 4",IF($J380="2-3 סימני ניקוד","פרופיל 3",IF($J380="4-5 סימני ניקוד","פרופיל 2",IF(AND($O380="משפטים וקטעים קצרים",OR($M380="מבין",$M380="מבין לרוב")),"פרופיל 1","פרופיל 2")))))))</f>
        <v/>
      </c>
      <c r="R380" s="32">
        <f>IF($C380="","",IF(OR($Q380="",LEFT($Q380,1)="—"),"קבוצה רביעית",IF($Q380="פרופיל 5","קבוצת תשתיות",IF(OR($Q380="פרופיל 4",$Q380="פרופיל 3"),"קבוצת רכישה","קבוצת ביסוס"))))</f>
        <v/>
      </c>
      <c r="S380" s="32">
        <f>IF($F380="","",IF($F380="תחילת שנה",1,IF($F380="מחצית שנה",2,3)))</f>
        <v/>
      </c>
      <c r="T380" s="32">
        <f>IF(OR($B380="",$R380="",$A380="",$F380=""),"",$B380&amp;"|"&amp;$A380&amp;"|"&amp;$F380&amp;"|"&amp;$R380&amp;"|"&amp;COUNTIFS($B$6:$B380,$B380,$A$6:$A380,$A380,$F$6:$F380,$F380,$R$6:$R380,$R380))</f>
        <v/>
      </c>
      <c r="U380" s="32">
        <f>IF($C380="","",$C380&amp;"|"&amp;COUNTIFS($C$6:$C380,$C380))</f>
        <v/>
      </c>
      <c r="V380" s="32">
        <f>IF(OR($C380="",$A380="",$S380=""),"",$C380&amp;"|"&amp;$A380&amp;"|"&amp;$S380)</f>
        <v/>
      </c>
      <c r="W380" s="32">
        <f>IF(OR($C380="",$S380="",$S380=1),"",IFERROR(INDEX($Q$6:$Q$1505,MATCH($C380&amp;"|"&amp;$A380&amp;"|"&amp;($S380-1),$V$6:$V$1505,0)),""))</f>
        <v/>
      </c>
      <c r="X380" s="32">
        <f>IF(OR($W380="",$Q380="",LEFT($Q380,1)="—"),"",IF($W380=$Q380,"ללא שינוי","מ-"&amp;$W380&amp;" ל-"&amp;$Q380))</f>
        <v/>
      </c>
    </row>
    <row r="381" ht="15.75" customHeight="1" s="58">
      <c r="A381" s="65" t="n"/>
      <c r="B381" s="65" t="n"/>
      <c r="C381" s="66" t="n"/>
      <c r="D381" s="66" t="n"/>
      <c r="E381" s="65" t="n"/>
      <c r="F381" s="65" t="n"/>
      <c r="G381" s="65" t="n"/>
      <c r="H381" s="65" t="n"/>
      <c r="I381" s="65" t="n"/>
      <c r="J381" s="65" t="n"/>
      <c r="K381" s="65" t="n"/>
      <c r="L381" s="65" t="n"/>
      <c r="M381" s="65" t="n"/>
      <c r="N381" s="65" t="n"/>
      <c r="O381" s="65" t="n"/>
      <c r="P381" s="65" t="n"/>
      <c r="Q381" s="32">
        <f>IF($C381="","",IF($J381="","— חסרים נתונים",IF($J381="טרם מפענח","פרופיל 5",IF($J381="קמץ/פתח/חטף-פתח ושוואים","פרופיל 4",IF($J381="2-3 סימני ניקוד","פרופיל 3",IF($J381="4-5 סימני ניקוד","פרופיל 2",IF(AND($O381="משפטים וקטעים קצרים",OR($M381="מבין",$M381="מבין לרוב")),"פרופיל 1","פרופיל 2")))))))</f>
        <v/>
      </c>
      <c r="R381" s="32">
        <f>IF($C381="","",IF(OR($Q381="",LEFT($Q381,1)="—"),"קבוצה רביעית",IF($Q381="פרופיל 5","קבוצת תשתיות",IF(OR($Q381="פרופיל 4",$Q381="פרופיל 3"),"קבוצת רכישה","קבוצת ביסוס"))))</f>
        <v/>
      </c>
      <c r="S381" s="32">
        <f>IF($F381="","",IF($F381="תחילת שנה",1,IF($F381="מחצית שנה",2,3)))</f>
        <v/>
      </c>
      <c r="T381" s="32">
        <f>IF(OR($B381="",$R381="",$A381="",$F381=""),"",$B381&amp;"|"&amp;$A381&amp;"|"&amp;$F381&amp;"|"&amp;$R381&amp;"|"&amp;COUNTIFS($B$6:$B381,$B381,$A$6:$A381,$A381,$F$6:$F381,$F381,$R$6:$R381,$R381))</f>
        <v/>
      </c>
      <c r="U381" s="32">
        <f>IF($C381="","",$C381&amp;"|"&amp;COUNTIFS($C$6:$C381,$C381))</f>
        <v/>
      </c>
      <c r="V381" s="32">
        <f>IF(OR($C381="",$A381="",$S381=""),"",$C381&amp;"|"&amp;$A381&amp;"|"&amp;$S381)</f>
        <v/>
      </c>
      <c r="W381" s="32">
        <f>IF(OR($C381="",$S381="",$S381=1),"",IFERROR(INDEX($Q$6:$Q$1505,MATCH($C381&amp;"|"&amp;$A381&amp;"|"&amp;($S381-1),$V$6:$V$1505,0)),""))</f>
        <v/>
      </c>
      <c r="X381" s="32">
        <f>IF(OR($W381="",$Q381="",LEFT($Q381,1)="—"),"",IF($W381=$Q381,"ללא שינוי","מ-"&amp;$W381&amp;" ל-"&amp;$Q381))</f>
        <v/>
      </c>
    </row>
    <row r="382" ht="15.75" customHeight="1" s="58">
      <c r="A382" s="65" t="n"/>
      <c r="B382" s="65" t="n"/>
      <c r="C382" s="66" t="n"/>
      <c r="D382" s="66" t="n"/>
      <c r="E382" s="65" t="n"/>
      <c r="F382" s="65" t="n"/>
      <c r="G382" s="65" t="n"/>
      <c r="H382" s="65" t="n"/>
      <c r="I382" s="65" t="n"/>
      <c r="J382" s="65" t="n"/>
      <c r="K382" s="65" t="n"/>
      <c r="L382" s="65" t="n"/>
      <c r="M382" s="65" t="n"/>
      <c r="N382" s="65" t="n"/>
      <c r="O382" s="65" t="n"/>
      <c r="P382" s="65" t="n"/>
      <c r="Q382" s="32">
        <f>IF($C382="","",IF($J382="","— חסרים נתונים",IF($J382="טרם מפענח","פרופיל 5",IF($J382="קמץ/פתח/חטף-פתח ושוואים","פרופיל 4",IF($J382="2-3 סימני ניקוד","פרופיל 3",IF($J382="4-5 סימני ניקוד","פרופיל 2",IF(AND($O382="משפטים וקטעים קצרים",OR($M382="מבין",$M382="מבין לרוב")),"פרופיל 1","פרופיל 2")))))))</f>
        <v/>
      </c>
      <c r="R382" s="32">
        <f>IF($C382="","",IF(OR($Q382="",LEFT($Q382,1)="—"),"קבוצה רביעית",IF($Q382="פרופיל 5","קבוצת תשתיות",IF(OR($Q382="פרופיל 4",$Q382="פרופיל 3"),"קבוצת רכישה","קבוצת ביסוס"))))</f>
        <v/>
      </c>
      <c r="S382" s="32">
        <f>IF($F382="","",IF($F382="תחילת שנה",1,IF($F382="מחצית שנה",2,3)))</f>
        <v/>
      </c>
      <c r="T382" s="32">
        <f>IF(OR($B382="",$R382="",$A382="",$F382=""),"",$B382&amp;"|"&amp;$A382&amp;"|"&amp;$F382&amp;"|"&amp;$R382&amp;"|"&amp;COUNTIFS($B$6:$B382,$B382,$A$6:$A382,$A382,$F$6:$F382,$F382,$R$6:$R382,$R382))</f>
        <v/>
      </c>
      <c r="U382" s="32">
        <f>IF($C382="","",$C382&amp;"|"&amp;COUNTIFS($C$6:$C382,$C382))</f>
        <v/>
      </c>
      <c r="V382" s="32">
        <f>IF(OR($C382="",$A382="",$S382=""),"",$C382&amp;"|"&amp;$A382&amp;"|"&amp;$S382)</f>
        <v/>
      </c>
      <c r="W382" s="32">
        <f>IF(OR($C382="",$S382="",$S382=1),"",IFERROR(INDEX($Q$6:$Q$1505,MATCH($C382&amp;"|"&amp;$A382&amp;"|"&amp;($S382-1),$V$6:$V$1505,0)),""))</f>
        <v/>
      </c>
      <c r="X382" s="32">
        <f>IF(OR($W382="",$Q382="",LEFT($Q382,1)="—"),"",IF($W382=$Q382,"ללא שינוי","מ-"&amp;$W382&amp;" ל-"&amp;$Q382))</f>
        <v/>
      </c>
    </row>
    <row r="383" ht="15.75" customHeight="1" s="58">
      <c r="A383" s="65" t="n"/>
      <c r="B383" s="65" t="n"/>
      <c r="C383" s="66" t="n"/>
      <c r="D383" s="66" t="n"/>
      <c r="E383" s="65" t="n"/>
      <c r="F383" s="65" t="n"/>
      <c r="G383" s="65" t="n"/>
      <c r="H383" s="65" t="n"/>
      <c r="I383" s="65" t="n"/>
      <c r="J383" s="65" t="n"/>
      <c r="K383" s="65" t="n"/>
      <c r="L383" s="65" t="n"/>
      <c r="M383" s="65" t="n"/>
      <c r="N383" s="65" t="n"/>
      <c r="O383" s="65" t="n"/>
      <c r="P383" s="65" t="n"/>
      <c r="Q383" s="32">
        <f>IF($C383="","",IF($J383="","— חסרים נתונים",IF($J383="טרם מפענח","פרופיל 5",IF($J383="קמץ/פתח/חטף-פתח ושוואים","פרופיל 4",IF($J383="2-3 סימני ניקוד","פרופיל 3",IF($J383="4-5 סימני ניקוד","פרופיל 2",IF(AND($O383="משפטים וקטעים קצרים",OR($M383="מבין",$M383="מבין לרוב")),"פרופיל 1","פרופיל 2")))))))</f>
        <v/>
      </c>
      <c r="R383" s="32">
        <f>IF($C383="","",IF(OR($Q383="",LEFT($Q383,1)="—"),"קבוצה רביעית",IF($Q383="פרופיל 5","קבוצת תשתיות",IF(OR($Q383="פרופיל 4",$Q383="פרופיל 3"),"קבוצת רכישה","קבוצת ביסוס"))))</f>
        <v/>
      </c>
      <c r="S383" s="32">
        <f>IF($F383="","",IF($F383="תחילת שנה",1,IF($F383="מחצית שנה",2,3)))</f>
        <v/>
      </c>
      <c r="T383" s="32">
        <f>IF(OR($B383="",$R383="",$A383="",$F383=""),"",$B383&amp;"|"&amp;$A383&amp;"|"&amp;$F383&amp;"|"&amp;$R383&amp;"|"&amp;COUNTIFS($B$6:$B383,$B383,$A$6:$A383,$A383,$F$6:$F383,$F383,$R$6:$R383,$R383))</f>
        <v/>
      </c>
      <c r="U383" s="32">
        <f>IF($C383="","",$C383&amp;"|"&amp;COUNTIFS($C$6:$C383,$C383))</f>
        <v/>
      </c>
      <c r="V383" s="32">
        <f>IF(OR($C383="",$A383="",$S383=""),"",$C383&amp;"|"&amp;$A383&amp;"|"&amp;$S383)</f>
        <v/>
      </c>
      <c r="W383" s="32">
        <f>IF(OR($C383="",$S383="",$S383=1),"",IFERROR(INDEX($Q$6:$Q$1505,MATCH($C383&amp;"|"&amp;$A383&amp;"|"&amp;($S383-1),$V$6:$V$1505,0)),""))</f>
        <v/>
      </c>
      <c r="X383" s="32">
        <f>IF(OR($W383="",$Q383="",LEFT($Q383,1)="—"),"",IF($W383=$Q383,"ללא שינוי","מ-"&amp;$W383&amp;" ל-"&amp;$Q383))</f>
        <v/>
      </c>
    </row>
    <row r="384" ht="15.75" customHeight="1" s="58">
      <c r="A384" s="65" t="n"/>
      <c r="B384" s="65" t="n"/>
      <c r="C384" s="66" t="n"/>
      <c r="D384" s="66" t="n"/>
      <c r="E384" s="65" t="n"/>
      <c r="F384" s="65" t="n"/>
      <c r="G384" s="65" t="n"/>
      <c r="H384" s="65" t="n"/>
      <c r="I384" s="65" t="n"/>
      <c r="J384" s="65" t="n"/>
      <c r="K384" s="65" t="n"/>
      <c r="L384" s="65" t="n"/>
      <c r="M384" s="65" t="n"/>
      <c r="N384" s="65" t="n"/>
      <c r="O384" s="65" t="n"/>
      <c r="P384" s="65" t="n"/>
      <c r="Q384" s="32">
        <f>IF($C384="","",IF($J384="","— חסרים נתונים",IF($J384="טרם מפענח","פרופיל 5",IF($J384="קמץ/פתח/חטף-פתח ושוואים","פרופיל 4",IF($J384="2-3 סימני ניקוד","פרופיל 3",IF($J384="4-5 סימני ניקוד","פרופיל 2",IF(AND($O384="משפטים וקטעים קצרים",OR($M384="מבין",$M384="מבין לרוב")),"פרופיל 1","פרופיל 2")))))))</f>
        <v/>
      </c>
      <c r="R384" s="32">
        <f>IF($C384="","",IF(OR($Q384="",LEFT($Q384,1)="—"),"קבוצה רביעית",IF($Q384="פרופיל 5","קבוצת תשתיות",IF(OR($Q384="פרופיל 4",$Q384="פרופיל 3"),"קבוצת רכישה","קבוצת ביסוס"))))</f>
        <v/>
      </c>
      <c r="S384" s="32">
        <f>IF($F384="","",IF($F384="תחילת שנה",1,IF($F384="מחצית שנה",2,3)))</f>
        <v/>
      </c>
      <c r="T384" s="32">
        <f>IF(OR($B384="",$R384="",$A384="",$F384=""),"",$B384&amp;"|"&amp;$A384&amp;"|"&amp;$F384&amp;"|"&amp;$R384&amp;"|"&amp;COUNTIFS($B$6:$B384,$B384,$A$6:$A384,$A384,$F$6:$F384,$F384,$R$6:$R384,$R384))</f>
        <v/>
      </c>
      <c r="U384" s="32">
        <f>IF($C384="","",$C384&amp;"|"&amp;COUNTIFS($C$6:$C384,$C384))</f>
        <v/>
      </c>
      <c r="V384" s="32">
        <f>IF(OR($C384="",$A384="",$S384=""),"",$C384&amp;"|"&amp;$A384&amp;"|"&amp;$S384)</f>
        <v/>
      </c>
      <c r="W384" s="32">
        <f>IF(OR($C384="",$S384="",$S384=1),"",IFERROR(INDEX($Q$6:$Q$1505,MATCH($C384&amp;"|"&amp;$A384&amp;"|"&amp;($S384-1),$V$6:$V$1505,0)),""))</f>
        <v/>
      </c>
      <c r="X384" s="32">
        <f>IF(OR($W384="",$Q384="",LEFT($Q384,1)="—"),"",IF($W384=$Q384,"ללא שינוי","מ-"&amp;$W384&amp;" ל-"&amp;$Q384))</f>
        <v/>
      </c>
    </row>
    <row r="385" ht="15.75" customHeight="1" s="58">
      <c r="A385" s="65" t="n"/>
      <c r="B385" s="65" t="n"/>
      <c r="C385" s="66" t="n"/>
      <c r="D385" s="66" t="n"/>
      <c r="E385" s="65" t="n"/>
      <c r="F385" s="65" t="n"/>
      <c r="G385" s="65" t="n"/>
      <c r="H385" s="65" t="n"/>
      <c r="I385" s="65" t="n"/>
      <c r="J385" s="65" t="n"/>
      <c r="K385" s="65" t="n"/>
      <c r="L385" s="65" t="n"/>
      <c r="M385" s="65" t="n"/>
      <c r="N385" s="65" t="n"/>
      <c r="O385" s="65" t="n"/>
      <c r="P385" s="65" t="n"/>
      <c r="Q385" s="32">
        <f>IF($C385="","",IF($J385="","— חסרים נתונים",IF($J385="טרם מפענח","פרופיל 5",IF($J385="קמץ/פתח/חטף-פתח ושוואים","פרופיל 4",IF($J385="2-3 סימני ניקוד","פרופיל 3",IF($J385="4-5 סימני ניקוד","פרופיל 2",IF(AND($O385="משפטים וקטעים קצרים",OR($M385="מבין",$M385="מבין לרוב")),"פרופיל 1","פרופיל 2")))))))</f>
        <v/>
      </c>
      <c r="R385" s="32">
        <f>IF($C385="","",IF(OR($Q385="",LEFT($Q385,1)="—"),"קבוצה רביעית",IF($Q385="פרופיל 5","קבוצת תשתיות",IF(OR($Q385="פרופיל 4",$Q385="פרופיל 3"),"קבוצת רכישה","קבוצת ביסוס"))))</f>
        <v/>
      </c>
      <c r="S385" s="32">
        <f>IF($F385="","",IF($F385="תחילת שנה",1,IF($F385="מחצית שנה",2,3)))</f>
        <v/>
      </c>
      <c r="T385" s="32">
        <f>IF(OR($B385="",$R385="",$A385="",$F385=""),"",$B385&amp;"|"&amp;$A385&amp;"|"&amp;$F385&amp;"|"&amp;$R385&amp;"|"&amp;COUNTIFS($B$6:$B385,$B385,$A$6:$A385,$A385,$F$6:$F385,$F385,$R$6:$R385,$R385))</f>
        <v/>
      </c>
      <c r="U385" s="32">
        <f>IF($C385="","",$C385&amp;"|"&amp;COUNTIFS($C$6:$C385,$C385))</f>
        <v/>
      </c>
      <c r="V385" s="32">
        <f>IF(OR($C385="",$A385="",$S385=""),"",$C385&amp;"|"&amp;$A385&amp;"|"&amp;$S385)</f>
        <v/>
      </c>
      <c r="W385" s="32">
        <f>IF(OR($C385="",$S385="",$S385=1),"",IFERROR(INDEX($Q$6:$Q$1505,MATCH($C385&amp;"|"&amp;$A385&amp;"|"&amp;($S385-1),$V$6:$V$1505,0)),""))</f>
        <v/>
      </c>
      <c r="X385" s="32">
        <f>IF(OR($W385="",$Q385="",LEFT($Q385,1)="—"),"",IF($W385=$Q385,"ללא שינוי","מ-"&amp;$W385&amp;" ל-"&amp;$Q385))</f>
        <v/>
      </c>
    </row>
    <row r="386" ht="15.75" customHeight="1" s="58">
      <c r="A386" s="65" t="n"/>
      <c r="B386" s="65" t="n"/>
      <c r="C386" s="66" t="n"/>
      <c r="D386" s="66" t="n"/>
      <c r="E386" s="65" t="n"/>
      <c r="F386" s="65" t="n"/>
      <c r="G386" s="65" t="n"/>
      <c r="H386" s="65" t="n"/>
      <c r="I386" s="65" t="n"/>
      <c r="J386" s="65" t="n"/>
      <c r="K386" s="65" t="n"/>
      <c r="L386" s="65" t="n"/>
      <c r="M386" s="65" t="n"/>
      <c r="N386" s="65" t="n"/>
      <c r="O386" s="65" t="n"/>
      <c r="P386" s="65" t="n"/>
      <c r="Q386" s="32">
        <f>IF($C386="","",IF($J386="","— חסרים נתונים",IF($J386="טרם מפענח","פרופיל 5",IF($J386="קמץ/פתח/חטף-פתח ושוואים","פרופיל 4",IF($J386="2-3 סימני ניקוד","פרופיל 3",IF($J386="4-5 סימני ניקוד","פרופיל 2",IF(AND($O386="משפטים וקטעים קצרים",OR($M386="מבין",$M386="מבין לרוב")),"פרופיל 1","פרופיל 2")))))))</f>
        <v/>
      </c>
      <c r="R386" s="32">
        <f>IF($C386="","",IF(OR($Q386="",LEFT($Q386,1)="—"),"קבוצה רביעית",IF($Q386="פרופיל 5","קבוצת תשתיות",IF(OR($Q386="פרופיל 4",$Q386="פרופיל 3"),"קבוצת רכישה","קבוצת ביסוס"))))</f>
        <v/>
      </c>
      <c r="S386" s="32">
        <f>IF($F386="","",IF($F386="תחילת שנה",1,IF($F386="מחצית שנה",2,3)))</f>
        <v/>
      </c>
      <c r="T386" s="32">
        <f>IF(OR($B386="",$R386="",$A386="",$F386=""),"",$B386&amp;"|"&amp;$A386&amp;"|"&amp;$F386&amp;"|"&amp;$R386&amp;"|"&amp;COUNTIFS($B$6:$B386,$B386,$A$6:$A386,$A386,$F$6:$F386,$F386,$R$6:$R386,$R386))</f>
        <v/>
      </c>
      <c r="U386" s="32">
        <f>IF($C386="","",$C386&amp;"|"&amp;COUNTIFS($C$6:$C386,$C386))</f>
        <v/>
      </c>
      <c r="V386" s="32">
        <f>IF(OR($C386="",$A386="",$S386=""),"",$C386&amp;"|"&amp;$A386&amp;"|"&amp;$S386)</f>
        <v/>
      </c>
      <c r="W386" s="32">
        <f>IF(OR($C386="",$S386="",$S386=1),"",IFERROR(INDEX($Q$6:$Q$1505,MATCH($C386&amp;"|"&amp;$A386&amp;"|"&amp;($S386-1),$V$6:$V$1505,0)),""))</f>
        <v/>
      </c>
      <c r="X386" s="32">
        <f>IF(OR($W386="",$Q386="",LEFT($Q386,1)="—"),"",IF($W386=$Q386,"ללא שינוי","מ-"&amp;$W386&amp;" ל-"&amp;$Q386))</f>
        <v/>
      </c>
    </row>
    <row r="387" ht="15.75" customHeight="1" s="58">
      <c r="A387" s="65" t="n"/>
      <c r="B387" s="65" t="n"/>
      <c r="C387" s="66" t="n"/>
      <c r="D387" s="66" t="n"/>
      <c r="E387" s="65" t="n"/>
      <c r="F387" s="65" t="n"/>
      <c r="G387" s="65" t="n"/>
      <c r="H387" s="65" t="n"/>
      <c r="I387" s="65" t="n"/>
      <c r="J387" s="65" t="n"/>
      <c r="K387" s="65" t="n"/>
      <c r="L387" s="65" t="n"/>
      <c r="M387" s="65" t="n"/>
      <c r="N387" s="65" t="n"/>
      <c r="O387" s="65" t="n"/>
      <c r="P387" s="65" t="n"/>
      <c r="Q387" s="32">
        <f>IF($C387="","",IF($J387="","— חסרים נתונים",IF($J387="טרם מפענח","פרופיל 5",IF($J387="קמץ/פתח/חטף-פתח ושוואים","פרופיל 4",IF($J387="2-3 סימני ניקוד","פרופיל 3",IF($J387="4-5 סימני ניקוד","פרופיל 2",IF(AND($O387="משפטים וקטעים קצרים",OR($M387="מבין",$M387="מבין לרוב")),"פרופיל 1","פרופיל 2")))))))</f>
        <v/>
      </c>
      <c r="R387" s="32">
        <f>IF($C387="","",IF(OR($Q387="",LEFT($Q387,1)="—"),"קבוצה רביעית",IF($Q387="פרופיל 5","קבוצת תשתיות",IF(OR($Q387="פרופיל 4",$Q387="פרופיל 3"),"קבוצת רכישה","קבוצת ביסוס"))))</f>
        <v/>
      </c>
      <c r="S387" s="32">
        <f>IF($F387="","",IF($F387="תחילת שנה",1,IF($F387="מחצית שנה",2,3)))</f>
        <v/>
      </c>
      <c r="T387" s="32">
        <f>IF(OR($B387="",$R387="",$A387="",$F387=""),"",$B387&amp;"|"&amp;$A387&amp;"|"&amp;$F387&amp;"|"&amp;$R387&amp;"|"&amp;COUNTIFS($B$6:$B387,$B387,$A$6:$A387,$A387,$F$6:$F387,$F387,$R$6:$R387,$R387))</f>
        <v/>
      </c>
      <c r="U387" s="32">
        <f>IF($C387="","",$C387&amp;"|"&amp;COUNTIFS($C$6:$C387,$C387))</f>
        <v/>
      </c>
      <c r="V387" s="32">
        <f>IF(OR($C387="",$A387="",$S387=""),"",$C387&amp;"|"&amp;$A387&amp;"|"&amp;$S387)</f>
        <v/>
      </c>
      <c r="W387" s="32">
        <f>IF(OR($C387="",$S387="",$S387=1),"",IFERROR(INDEX($Q$6:$Q$1505,MATCH($C387&amp;"|"&amp;$A387&amp;"|"&amp;($S387-1),$V$6:$V$1505,0)),""))</f>
        <v/>
      </c>
      <c r="X387" s="32">
        <f>IF(OR($W387="",$Q387="",LEFT($Q387,1)="—"),"",IF($W387=$Q387,"ללא שינוי","מ-"&amp;$W387&amp;" ל-"&amp;$Q387))</f>
        <v/>
      </c>
    </row>
    <row r="388" ht="15.75" customHeight="1" s="58">
      <c r="A388" s="65" t="n"/>
      <c r="B388" s="65" t="n"/>
      <c r="C388" s="66" t="n"/>
      <c r="D388" s="66" t="n"/>
      <c r="E388" s="65" t="n"/>
      <c r="F388" s="65" t="n"/>
      <c r="G388" s="65" t="n"/>
      <c r="H388" s="65" t="n"/>
      <c r="I388" s="65" t="n"/>
      <c r="J388" s="65" t="n"/>
      <c r="K388" s="65" t="n"/>
      <c r="L388" s="65" t="n"/>
      <c r="M388" s="65" t="n"/>
      <c r="N388" s="65" t="n"/>
      <c r="O388" s="65" t="n"/>
      <c r="P388" s="65" t="n"/>
      <c r="Q388" s="32">
        <f>IF($C388="","",IF($J388="","— חסרים נתונים",IF($J388="טרם מפענח","פרופיל 5",IF($J388="קמץ/פתח/חטף-פתח ושוואים","פרופיל 4",IF($J388="2-3 סימני ניקוד","פרופיל 3",IF($J388="4-5 סימני ניקוד","פרופיל 2",IF(AND($O388="משפטים וקטעים קצרים",OR($M388="מבין",$M388="מבין לרוב")),"פרופיל 1","פרופיל 2")))))))</f>
        <v/>
      </c>
      <c r="R388" s="32">
        <f>IF($C388="","",IF(OR($Q388="",LEFT($Q388,1)="—"),"קבוצה רביעית",IF($Q388="פרופיל 5","קבוצת תשתיות",IF(OR($Q388="פרופיל 4",$Q388="פרופיל 3"),"קבוצת רכישה","קבוצת ביסוס"))))</f>
        <v/>
      </c>
      <c r="S388" s="32">
        <f>IF($F388="","",IF($F388="תחילת שנה",1,IF($F388="מחצית שנה",2,3)))</f>
        <v/>
      </c>
      <c r="T388" s="32">
        <f>IF(OR($B388="",$R388="",$A388="",$F388=""),"",$B388&amp;"|"&amp;$A388&amp;"|"&amp;$F388&amp;"|"&amp;$R388&amp;"|"&amp;COUNTIFS($B$6:$B388,$B388,$A$6:$A388,$A388,$F$6:$F388,$F388,$R$6:$R388,$R388))</f>
        <v/>
      </c>
      <c r="U388" s="32">
        <f>IF($C388="","",$C388&amp;"|"&amp;COUNTIFS($C$6:$C388,$C388))</f>
        <v/>
      </c>
      <c r="V388" s="32">
        <f>IF(OR($C388="",$A388="",$S388=""),"",$C388&amp;"|"&amp;$A388&amp;"|"&amp;$S388)</f>
        <v/>
      </c>
      <c r="W388" s="32">
        <f>IF(OR($C388="",$S388="",$S388=1),"",IFERROR(INDEX($Q$6:$Q$1505,MATCH($C388&amp;"|"&amp;$A388&amp;"|"&amp;($S388-1),$V$6:$V$1505,0)),""))</f>
        <v/>
      </c>
      <c r="X388" s="32">
        <f>IF(OR($W388="",$Q388="",LEFT($Q388,1)="—"),"",IF($W388=$Q388,"ללא שינוי","מ-"&amp;$W388&amp;" ל-"&amp;$Q388))</f>
        <v/>
      </c>
    </row>
    <row r="389" ht="15.75" customHeight="1" s="58">
      <c r="A389" s="65" t="n"/>
      <c r="B389" s="65" t="n"/>
      <c r="C389" s="66" t="n"/>
      <c r="D389" s="66" t="n"/>
      <c r="E389" s="65" t="n"/>
      <c r="F389" s="65" t="n"/>
      <c r="G389" s="65" t="n"/>
      <c r="H389" s="65" t="n"/>
      <c r="I389" s="65" t="n"/>
      <c r="J389" s="65" t="n"/>
      <c r="K389" s="65" t="n"/>
      <c r="L389" s="65" t="n"/>
      <c r="M389" s="65" t="n"/>
      <c r="N389" s="65" t="n"/>
      <c r="O389" s="65" t="n"/>
      <c r="P389" s="65" t="n"/>
      <c r="Q389" s="32">
        <f>IF($C389="","",IF($J389="","— חסרים נתונים",IF($J389="טרם מפענח","פרופיל 5",IF($J389="קמץ/פתח/חטף-פתח ושוואים","פרופיל 4",IF($J389="2-3 סימני ניקוד","פרופיל 3",IF($J389="4-5 סימני ניקוד","פרופיל 2",IF(AND($O389="משפטים וקטעים קצרים",OR($M389="מבין",$M389="מבין לרוב")),"פרופיל 1","פרופיל 2")))))))</f>
        <v/>
      </c>
      <c r="R389" s="32">
        <f>IF($C389="","",IF(OR($Q389="",LEFT($Q389,1)="—"),"קבוצה רביעית",IF($Q389="פרופיל 5","קבוצת תשתיות",IF(OR($Q389="פרופיל 4",$Q389="פרופיל 3"),"קבוצת רכישה","קבוצת ביסוס"))))</f>
        <v/>
      </c>
      <c r="S389" s="32">
        <f>IF($F389="","",IF($F389="תחילת שנה",1,IF($F389="מחצית שנה",2,3)))</f>
        <v/>
      </c>
      <c r="T389" s="32">
        <f>IF(OR($B389="",$R389="",$A389="",$F389=""),"",$B389&amp;"|"&amp;$A389&amp;"|"&amp;$F389&amp;"|"&amp;$R389&amp;"|"&amp;COUNTIFS($B$6:$B389,$B389,$A$6:$A389,$A389,$F$6:$F389,$F389,$R$6:$R389,$R389))</f>
        <v/>
      </c>
      <c r="U389" s="32">
        <f>IF($C389="","",$C389&amp;"|"&amp;COUNTIFS($C$6:$C389,$C389))</f>
        <v/>
      </c>
      <c r="V389" s="32">
        <f>IF(OR($C389="",$A389="",$S389=""),"",$C389&amp;"|"&amp;$A389&amp;"|"&amp;$S389)</f>
        <v/>
      </c>
      <c r="W389" s="32">
        <f>IF(OR($C389="",$S389="",$S389=1),"",IFERROR(INDEX($Q$6:$Q$1505,MATCH($C389&amp;"|"&amp;$A389&amp;"|"&amp;($S389-1),$V$6:$V$1505,0)),""))</f>
        <v/>
      </c>
      <c r="X389" s="32">
        <f>IF(OR($W389="",$Q389="",LEFT($Q389,1)="—"),"",IF($W389=$Q389,"ללא שינוי","מ-"&amp;$W389&amp;" ל-"&amp;$Q389))</f>
        <v/>
      </c>
    </row>
    <row r="390" ht="15.75" customHeight="1" s="58">
      <c r="A390" s="65" t="n"/>
      <c r="B390" s="65" t="n"/>
      <c r="C390" s="66" t="n"/>
      <c r="D390" s="66" t="n"/>
      <c r="E390" s="65" t="n"/>
      <c r="F390" s="65" t="n"/>
      <c r="G390" s="65" t="n"/>
      <c r="H390" s="65" t="n"/>
      <c r="I390" s="65" t="n"/>
      <c r="J390" s="65" t="n"/>
      <c r="K390" s="65" t="n"/>
      <c r="L390" s="65" t="n"/>
      <c r="M390" s="65" t="n"/>
      <c r="N390" s="65" t="n"/>
      <c r="O390" s="65" t="n"/>
      <c r="P390" s="65" t="n"/>
      <c r="Q390" s="32">
        <f>IF($C390="","",IF($J390="","— חסרים נתונים",IF($J390="טרם מפענח","פרופיל 5",IF($J390="קמץ/פתח/חטף-פתח ושוואים","פרופיל 4",IF($J390="2-3 סימני ניקוד","פרופיל 3",IF($J390="4-5 סימני ניקוד","פרופיל 2",IF(AND($O390="משפטים וקטעים קצרים",OR($M390="מבין",$M390="מבין לרוב")),"פרופיל 1","פרופיל 2")))))))</f>
        <v/>
      </c>
      <c r="R390" s="32">
        <f>IF($C390="","",IF(OR($Q390="",LEFT($Q390,1)="—"),"קבוצה רביעית",IF($Q390="פרופיל 5","קבוצת תשתיות",IF(OR($Q390="פרופיל 4",$Q390="פרופיל 3"),"קבוצת רכישה","קבוצת ביסוס"))))</f>
        <v/>
      </c>
      <c r="S390" s="32">
        <f>IF($F390="","",IF($F390="תחילת שנה",1,IF($F390="מחצית שנה",2,3)))</f>
        <v/>
      </c>
      <c r="T390" s="32">
        <f>IF(OR($B390="",$R390="",$A390="",$F390=""),"",$B390&amp;"|"&amp;$A390&amp;"|"&amp;$F390&amp;"|"&amp;$R390&amp;"|"&amp;COUNTIFS($B$6:$B390,$B390,$A$6:$A390,$A390,$F$6:$F390,$F390,$R$6:$R390,$R390))</f>
        <v/>
      </c>
      <c r="U390" s="32">
        <f>IF($C390="","",$C390&amp;"|"&amp;COUNTIFS($C$6:$C390,$C390))</f>
        <v/>
      </c>
      <c r="V390" s="32">
        <f>IF(OR($C390="",$A390="",$S390=""),"",$C390&amp;"|"&amp;$A390&amp;"|"&amp;$S390)</f>
        <v/>
      </c>
      <c r="W390" s="32">
        <f>IF(OR($C390="",$S390="",$S390=1),"",IFERROR(INDEX($Q$6:$Q$1505,MATCH($C390&amp;"|"&amp;$A390&amp;"|"&amp;($S390-1),$V$6:$V$1505,0)),""))</f>
        <v/>
      </c>
      <c r="X390" s="32">
        <f>IF(OR($W390="",$Q390="",LEFT($Q390,1)="—"),"",IF($W390=$Q390,"ללא שינוי","מ-"&amp;$W390&amp;" ל-"&amp;$Q390))</f>
        <v/>
      </c>
    </row>
    <row r="391" ht="15.75" customHeight="1" s="58">
      <c r="A391" s="65" t="n"/>
      <c r="B391" s="65" t="n"/>
      <c r="C391" s="66" t="n"/>
      <c r="D391" s="66" t="n"/>
      <c r="E391" s="65" t="n"/>
      <c r="F391" s="65" t="n"/>
      <c r="G391" s="65" t="n"/>
      <c r="H391" s="65" t="n"/>
      <c r="I391" s="65" t="n"/>
      <c r="J391" s="65" t="n"/>
      <c r="K391" s="65" t="n"/>
      <c r="L391" s="65" t="n"/>
      <c r="M391" s="65" t="n"/>
      <c r="N391" s="65" t="n"/>
      <c r="O391" s="65" t="n"/>
      <c r="P391" s="65" t="n"/>
      <c r="Q391" s="32">
        <f>IF($C391="","",IF($J391="","— חסרים נתונים",IF($J391="טרם מפענח","פרופיל 5",IF($J391="קמץ/פתח/חטף-פתח ושוואים","פרופיל 4",IF($J391="2-3 סימני ניקוד","פרופיל 3",IF($J391="4-5 סימני ניקוד","פרופיל 2",IF(AND($O391="משפטים וקטעים קצרים",OR($M391="מבין",$M391="מבין לרוב")),"פרופיל 1","פרופיל 2")))))))</f>
        <v/>
      </c>
      <c r="R391" s="32">
        <f>IF($C391="","",IF(OR($Q391="",LEFT($Q391,1)="—"),"קבוצה רביעית",IF($Q391="פרופיל 5","קבוצת תשתיות",IF(OR($Q391="פרופיל 4",$Q391="פרופיל 3"),"קבוצת רכישה","קבוצת ביסוס"))))</f>
        <v/>
      </c>
      <c r="S391" s="32">
        <f>IF($F391="","",IF($F391="תחילת שנה",1,IF($F391="מחצית שנה",2,3)))</f>
        <v/>
      </c>
      <c r="T391" s="32">
        <f>IF(OR($B391="",$R391="",$A391="",$F391=""),"",$B391&amp;"|"&amp;$A391&amp;"|"&amp;$F391&amp;"|"&amp;$R391&amp;"|"&amp;COUNTIFS($B$6:$B391,$B391,$A$6:$A391,$A391,$F$6:$F391,$F391,$R$6:$R391,$R391))</f>
        <v/>
      </c>
      <c r="U391" s="32">
        <f>IF($C391="","",$C391&amp;"|"&amp;COUNTIFS($C$6:$C391,$C391))</f>
        <v/>
      </c>
      <c r="V391" s="32">
        <f>IF(OR($C391="",$A391="",$S391=""),"",$C391&amp;"|"&amp;$A391&amp;"|"&amp;$S391)</f>
        <v/>
      </c>
      <c r="W391" s="32">
        <f>IF(OR($C391="",$S391="",$S391=1),"",IFERROR(INDEX($Q$6:$Q$1505,MATCH($C391&amp;"|"&amp;$A391&amp;"|"&amp;($S391-1),$V$6:$V$1505,0)),""))</f>
        <v/>
      </c>
      <c r="X391" s="32">
        <f>IF(OR($W391="",$Q391="",LEFT($Q391,1)="—"),"",IF($W391=$Q391,"ללא שינוי","מ-"&amp;$W391&amp;" ל-"&amp;$Q391))</f>
        <v/>
      </c>
    </row>
    <row r="392" ht="15.75" customHeight="1" s="58">
      <c r="A392" s="65" t="n"/>
      <c r="B392" s="65" t="n"/>
      <c r="C392" s="66" t="n"/>
      <c r="D392" s="66" t="n"/>
      <c r="E392" s="65" t="n"/>
      <c r="F392" s="65" t="n"/>
      <c r="G392" s="65" t="n"/>
      <c r="H392" s="65" t="n"/>
      <c r="I392" s="65" t="n"/>
      <c r="J392" s="65" t="n"/>
      <c r="K392" s="65" t="n"/>
      <c r="L392" s="65" t="n"/>
      <c r="M392" s="65" t="n"/>
      <c r="N392" s="65" t="n"/>
      <c r="O392" s="65" t="n"/>
      <c r="P392" s="65" t="n"/>
      <c r="Q392" s="32">
        <f>IF($C392="","",IF($J392="","— חסרים נתונים",IF($J392="טרם מפענח","פרופיל 5",IF($J392="קמץ/פתח/חטף-פתח ושוואים","פרופיל 4",IF($J392="2-3 סימני ניקוד","פרופיל 3",IF($J392="4-5 סימני ניקוד","פרופיל 2",IF(AND($O392="משפטים וקטעים קצרים",OR($M392="מבין",$M392="מבין לרוב")),"פרופיל 1","פרופיל 2")))))))</f>
        <v/>
      </c>
      <c r="R392" s="32">
        <f>IF($C392="","",IF(OR($Q392="",LEFT($Q392,1)="—"),"קבוצה רביעית",IF($Q392="פרופיל 5","קבוצת תשתיות",IF(OR($Q392="פרופיל 4",$Q392="פרופיל 3"),"קבוצת רכישה","קבוצת ביסוס"))))</f>
        <v/>
      </c>
      <c r="S392" s="32">
        <f>IF($F392="","",IF($F392="תחילת שנה",1,IF($F392="מחצית שנה",2,3)))</f>
        <v/>
      </c>
      <c r="T392" s="32">
        <f>IF(OR($B392="",$R392="",$A392="",$F392=""),"",$B392&amp;"|"&amp;$A392&amp;"|"&amp;$F392&amp;"|"&amp;$R392&amp;"|"&amp;COUNTIFS($B$6:$B392,$B392,$A$6:$A392,$A392,$F$6:$F392,$F392,$R$6:$R392,$R392))</f>
        <v/>
      </c>
      <c r="U392" s="32">
        <f>IF($C392="","",$C392&amp;"|"&amp;COUNTIFS($C$6:$C392,$C392))</f>
        <v/>
      </c>
      <c r="V392" s="32">
        <f>IF(OR($C392="",$A392="",$S392=""),"",$C392&amp;"|"&amp;$A392&amp;"|"&amp;$S392)</f>
        <v/>
      </c>
      <c r="W392" s="32">
        <f>IF(OR($C392="",$S392="",$S392=1),"",IFERROR(INDEX($Q$6:$Q$1505,MATCH($C392&amp;"|"&amp;$A392&amp;"|"&amp;($S392-1),$V$6:$V$1505,0)),""))</f>
        <v/>
      </c>
      <c r="X392" s="32">
        <f>IF(OR($W392="",$Q392="",LEFT($Q392,1)="—"),"",IF($W392=$Q392,"ללא שינוי","מ-"&amp;$W392&amp;" ל-"&amp;$Q392))</f>
        <v/>
      </c>
    </row>
    <row r="393" ht="15.75" customHeight="1" s="58">
      <c r="A393" s="65" t="n"/>
      <c r="B393" s="65" t="n"/>
      <c r="C393" s="66" t="n"/>
      <c r="D393" s="66" t="n"/>
      <c r="E393" s="65" t="n"/>
      <c r="F393" s="65" t="n"/>
      <c r="G393" s="65" t="n"/>
      <c r="H393" s="65" t="n"/>
      <c r="I393" s="65" t="n"/>
      <c r="J393" s="65" t="n"/>
      <c r="K393" s="65" t="n"/>
      <c r="L393" s="65" t="n"/>
      <c r="M393" s="65" t="n"/>
      <c r="N393" s="65" t="n"/>
      <c r="O393" s="65" t="n"/>
      <c r="P393" s="65" t="n"/>
      <c r="Q393" s="32">
        <f>IF($C393="","",IF($J393="","— חסרים נתונים",IF($J393="טרם מפענח","פרופיל 5",IF($J393="קמץ/פתח/חטף-פתח ושוואים","פרופיל 4",IF($J393="2-3 סימני ניקוד","פרופיל 3",IF($J393="4-5 סימני ניקוד","פרופיל 2",IF(AND($O393="משפטים וקטעים קצרים",OR($M393="מבין",$M393="מבין לרוב")),"פרופיל 1","פרופיל 2")))))))</f>
        <v/>
      </c>
      <c r="R393" s="32">
        <f>IF($C393="","",IF(OR($Q393="",LEFT($Q393,1)="—"),"קבוצה רביעית",IF($Q393="פרופיל 5","קבוצת תשתיות",IF(OR($Q393="פרופיל 4",$Q393="פרופיל 3"),"קבוצת רכישה","קבוצת ביסוס"))))</f>
        <v/>
      </c>
      <c r="S393" s="32">
        <f>IF($F393="","",IF($F393="תחילת שנה",1,IF($F393="מחצית שנה",2,3)))</f>
        <v/>
      </c>
      <c r="T393" s="32">
        <f>IF(OR($B393="",$R393="",$A393="",$F393=""),"",$B393&amp;"|"&amp;$A393&amp;"|"&amp;$F393&amp;"|"&amp;$R393&amp;"|"&amp;COUNTIFS($B$6:$B393,$B393,$A$6:$A393,$A393,$F$6:$F393,$F393,$R$6:$R393,$R393))</f>
        <v/>
      </c>
      <c r="U393" s="32">
        <f>IF($C393="","",$C393&amp;"|"&amp;COUNTIFS($C$6:$C393,$C393))</f>
        <v/>
      </c>
      <c r="V393" s="32">
        <f>IF(OR($C393="",$A393="",$S393=""),"",$C393&amp;"|"&amp;$A393&amp;"|"&amp;$S393)</f>
        <v/>
      </c>
      <c r="W393" s="32">
        <f>IF(OR($C393="",$S393="",$S393=1),"",IFERROR(INDEX($Q$6:$Q$1505,MATCH($C393&amp;"|"&amp;$A393&amp;"|"&amp;($S393-1),$V$6:$V$1505,0)),""))</f>
        <v/>
      </c>
      <c r="X393" s="32">
        <f>IF(OR($W393="",$Q393="",LEFT($Q393,1)="—"),"",IF($W393=$Q393,"ללא שינוי","מ-"&amp;$W393&amp;" ל-"&amp;$Q393))</f>
        <v/>
      </c>
    </row>
    <row r="394" ht="15.75" customHeight="1" s="58">
      <c r="A394" s="65" t="n"/>
      <c r="B394" s="65" t="n"/>
      <c r="C394" s="66" t="n"/>
      <c r="D394" s="66" t="n"/>
      <c r="E394" s="65" t="n"/>
      <c r="F394" s="65" t="n"/>
      <c r="G394" s="65" t="n"/>
      <c r="H394" s="65" t="n"/>
      <c r="I394" s="65" t="n"/>
      <c r="J394" s="65" t="n"/>
      <c r="K394" s="65" t="n"/>
      <c r="L394" s="65" t="n"/>
      <c r="M394" s="65" t="n"/>
      <c r="N394" s="65" t="n"/>
      <c r="O394" s="65" t="n"/>
      <c r="P394" s="65" t="n"/>
      <c r="Q394" s="32">
        <f>IF($C394="","",IF($J394="","— חסרים נתונים",IF($J394="טרם מפענח","פרופיל 5",IF($J394="קמץ/פתח/חטף-פתח ושוואים","פרופיל 4",IF($J394="2-3 סימני ניקוד","פרופיל 3",IF($J394="4-5 סימני ניקוד","פרופיל 2",IF(AND($O394="משפטים וקטעים קצרים",OR($M394="מבין",$M394="מבין לרוב")),"פרופיל 1","פרופיל 2")))))))</f>
        <v/>
      </c>
      <c r="R394" s="32">
        <f>IF($C394="","",IF(OR($Q394="",LEFT($Q394,1)="—"),"קבוצה רביעית",IF($Q394="פרופיל 5","קבוצת תשתיות",IF(OR($Q394="פרופיל 4",$Q394="פרופיל 3"),"קבוצת רכישה","קבוצת ביסוס"))))</f>
        <v/>
      </c>
      <c r="S394" s="32">
        <f>IF($F394="","",IF($F394="תחילת שנה",1,IF($F394="מחצית שנה",2,3)))</f>
        <v/>
      </c>
      <c r="T394" s="32">
        <f>IF(OR($B394="",$R394="",$A394="",$F394=""),"",$B394&amp;"|"&amp;$A394&amp;"|"&amp;$F394&amp;"|"&amp;$R394&amp;"|"&amp;COUNTIFS($B$6:$B394,$B394,$A$6:$A394,$A394,$F$6:$F394,$F394,$R$6:$R394,$R394))</f>
        <v/>
      </c>
      <c r="U394" s="32">
        <f>IF($C394="","",$C394&amp;"|"&amp;COUNTIFS($C$6:$C394,$C394))</f>
        <v/>
      </c>
      <c r="V394" s="32">
        <f>IF(OR($C394="",$A394="",$S394=""),"",$C394&amp;"|"&amp;$A394&amp;"|"&amp;$S394)</f>
        <v/>
      </c>
      <c r="W394" s="32">
        <f>IF(OR($C394="",$S394="",$S394=1),"",IFERROR(INDEX($Q$6:$Q$1505,MATCH($C394&amp;"|"&amp;$A394&amp;"|"&amp;($S394-1),$V$6:$V$1505,0)),""))</f>
        <v/>
      </c>
      <c r="X394" s="32">
        <f>IF(OR($W394="",$Q394="",LEFT($Q394,1)="—"),"",IF($W394=$Q394,"ללא שינוי","מ-"&amp;$W394&amp;" ל-"&amp;$Q394))</f>
        <v/>
      </c>
    </row>
    <row r="395" ht="15.75" customHeight="1" s="58">
      <c r="A395" s="65" t="n"/>
      <c r="B395" s="65" t="n"/>
      <c r="C395" s="66" t="n"/>
      <c r="D395" s="66" t="n"/>
      <c r="E395" s="65" t="n"/>
      <c r="F395" s="65" t="n"/>
      <c r="G395" s="65" t="n"/>
      <c r="H395" s="65" t="n"/>
      <c r="I395" s="65" t="n"/>
      <c r="J395" s="65" t="n"/>
      <c r="K395" s="65" t="n"/>
      <c r="L395" s="65" t="n"/>
      <c r="M395" s="65" t="n"/>
      <c r="N395" s="65" t="n"/>
      <c r="O395" s="65" t="n"/>
      <c r="P395" s="65" t="n"/>
      <c r="Q395" s="32">
        <f>IF($C395="","",IF($J395="","— חסרים נתונים",IF($J395="טרם מפענח","פרופיל 5",IF($J395="קמץ/פתח/חטף-פתח ושוואים","פרופיל 4",IF($J395="2-3 סימני ניקוד","פרופיל 3",IF($J395="4-5 סימני ניקוד","פרופיל 2",IF(AND($O395="משפטים וקטעים קצרים",OR($M395="מבין",$M395="מבין לרוב")),"פרופיל 1","פרופיל 2")))))))</f>
        <v/>
      </c>
      <c r="R395" s="32">
        <f>IF($C395="","",IF(OR($Q395="",LEFT($Q395,1)="—"),"קבוצה רביעית",IF($Q395="פרופיל 5","קבוצת תשתיות",IF(OR($Q395="פרופיל 4",$Q395="פרופיל 3"),"קבוצת רכישה","קבוצת ביסוס"))))</f>
        <v/>
      </c>
      <c r="S395" s="32">
        <f>IF($F395="","",IF($F395="תחילת שנה",1,IF($F395="מחצית שנה",2,3)))</f>
        <v/>
      </c>
      <c r="T395" s="32">
        <f>IF(OR($B395="",$R395="",$A395="",$F395=""),"",$B395&amp;"|"&amp;$A395&amp;"|"&amp;$F395&amp;"|"&amp;$R395&amp;"|"&amp;COUNTIFS($B$6:$B395,$B395,$A$6:$A395,$A395,$F$6:$F395,$F395,$R$6:$R395,$R395))</f>
        <v/>
      </c>
      <c r="U395" s="32">
        <f>IF($C395="","",$C395&amp;"|"&amp;COUNTIFS($C$6:$C395,$C395))</f>
        <v/>
      </c>
      <c r="V395" s="32">
        <f>IF(OR($C395="",$A395="",$S395=""),"",$C395&amp;"|"&amp;$A395&amp;"|"&amp;$S395)</f>
        <v/>
      </c>
      <c r="W395" s="32">
        <f>IF(OR($C395="",$S395="",$S395=1),"",IFERROR(INDEX($Q$6:$Q$1505,MATCH($C395&amp;"|"&amp;$A395&amp;"|"&amp;($S395-1),$V$6:$V$1505,0)),""))</f>
        <v/>
      </c>
      <c r="X395" s="32">
        <f>IF(OR($W395="",$Q395="",LEFT($Q395,1)="—"),"",IF($W395=$Q395,"ללא שינוי","מ-"&amp;$W395&amp;" ל-"&amp;$Q395))</f>
        <v/>
      </c>
    </row>
    <row r="396" ht="15.75" customHeight="1" s="58">
      <c r="A396" s="65" t="n"/>
      <c r="B396" s="65" t="n"/>
      <c r="C396" s="66" t="n"/>
      <c r="D396" s="66" t="n"/>
      <c r="E396" s="65" t="n"/>
      <c r="F396" s="65" t="n"/>
      <c r="G396" s="65" t="n"/>
      <c r="H396" s="65" t="n"/>
      <c r="I396" s="65" t="n"/>
      <c r="J396" s="65" t="n"/>
      <c r="K396" s="65" t="n"/>
      <c r="L396" s="65" t="n"/>
      <c r="M396" s="65" t="n"/>
      <c r="N396" s="65" t="n"/>
      <c r="O396" s="65" t="n"/>
      <c r="P396" s="65" t="n"/>
      <c r="Q396" s="32">
        <f>IF($C396="","",IF($J396="","— חסרים נתונים",IF($J396="טרם מפענח","פרופיל 5",IF($J396="קמץ/פתח/חטף-פתח ושוואים","פרופיל 4",IF($J396="2-3 סימני ניקוד","פרופיל 3",IF($J396="4-5 סימני ניקוד","פרופיל 2",IF(AND($O396="משפטים וקטעים קצרים",OR($M396="מבין",$M396="מבין לרוב")),"פרופיל 1","פרופיל 2")))))))</f>
        <v/>
      </c>
      <c r="R396" s="32">
        <f>IF($C396="","",IF(OR($Q396="",LEFT($Q396,1)="—"),"קבוצה רביעית",IF($Q396="פרופיל 5","קבוצת תשתיות",IF(OR($Q396="פרופיל 4",$Q396="פרופיל 3"),"קבוצת רכישה","קבוצת ביסוס"))))</f>
        <v/>
      </c>
      <c r="S396" s="32">
        <f>IF($F396="","",IF($F396="תחילת שנה",1,IF($F396="מחצית שנה",2,3)))</f>
        <v/>
      </c>
      <c r="T396" s="32">
        <f>IF(OR($B396="",$R396="",$A396="",$F396=""),"",$B396&amp;"|"&amp;$A396&amp;"|"&amp;$F396&amp;"|"&amp;$R396&amp;"|"&amp;COUNTIFS($B$6:$B396,$B396,$A$6:$A396,$A396,$F$6:$F396,$F396,$R$6:$R396,$R396))</f>
        <v/>
      </c>
      <c r="U396" s="32">
        <f>IF($C396="","",$C396&amp;"|"&amp;COUNTIFS($C$6:$C396,$C396))</f>
        <v/>
      </c>
      <c r="V396" s="32">
        <f>IF(OR($C396="",$A396="",$S396=""),"",$C396&amp;"|"&amp;$A396&amp;"|"&amp;$S396)</f>
        <v/>
      </c>
      <c r="W396" s="32">
        <f>IF(OR($C396="",$S396="",$S396=1),"",IFERROR(INDEX($Q$6:$Q$1505,MATCH($C396&amp;"|"&amp;$A396&amp;"|"&amp;($S396-1),$V$6:$V$1505,0)),""))</f>
        <v/>
      </c>
      <c r="X396" s="32">
        <f>IF(OR($W396="",$Q396="",LEFT($Q396,1)="—"),"",IF($W396=$Q396,"ללא שינוי","מ-"&amp;$W396&amp;" ל-"&amp;$Q396))</f>
        <v/>
      </c>
    </row>
    <row r="397" ht="15.75" customHeight="1" s="58">
      <c r="A397" s="65" t="n"/>
      <c r="B397" s="65" t="n"/>
      <c r="C397" s="66" t="n"/>
      <c r="D397" s="66" t="n"/>
      <c r="E397" s="65" t="n"/>
      <c r="F397" s="65" t="n"/>
      <c r="G397" s="65" t="n"/>
      <c r="H397" s="65" t="n"/>
      <c r="I397" s="65" t="n"/>
      <c r="J397" s="65" t="n"/>
      <c r="K397" s="65" t="n"/>
      <c r="L397" s="65" t="n"/>
      <c r="M397" s="65" t="n"/>
      <c r="N397" s="65" t="n"/>
      <c r="O397" s="65" t="n"/>
      <c r="P397" s="65" t="n"/>
      <c r="Q397" s="32">
        <f>IF($C397="","",IF($J397="","— חסרים נתונים",IF($J397="טרם מפענח","פרופיל 5",IF($J397="קמץ/פתח/חטף-פתח ושוואים","פרופיל 4",IF($J397="2-3 סימני ניקוד","פרופיל 3",IF($J397="4-5 סימני ניקוד","פרופיל 2",IF(AND($O397="משפטים וקטעים קצרים",OR($M397="מבין",$M397="מבין לרוב")),"פרופיל 1","פרופיל 2")))))))</f>
        <v/>
      </c>
      <c r="R397" s="32">
        <f>IF($C397="","",IF(OR($Q397="",LEFT($Q397,1)="—"),"קבוצה רביעית",IF($Q397="פרופיל 5","קבוצת תשתיות",IF(OR($Q397="פרופיל 4",$Q397="פרופיל 3"),"קבוצת רכישה","קבוצת ביסוס"))))</f>
        <v/>
      </c>
      <c r="S397" s="32">
        <f>IF($F397="","",IF($F397="תחילת שנה",1,IF($F397="מחצית שנה",2,3)))</f>
        <v/>
      </c>
      <c r="T397" s="32">
        <f>IF(OR($B397="",$R397="",$A397="",$F397=""),"",$B397&amp;"|"&amp;$A397&amp;"|"&amp;$F397&amp;"|"&amp;$R397&amp;"|"&amp;COUNTIFS($B$6:$B397,$B397,$A$6:$A397,$A397,$F$6:$F397,$F397,$R$6:$R397,$R397))</f>
        <v/>
      </c>
      <c r="U397" s="32">
        <f>IF($C397="","",$C397&amp;"|"&amp;COUNTIFS($C$6:$C397,$C397))</f>
        <v/>
      </c>
      <c r="V397" s="32">
        <f>IF(OR($C397="",$A397="",$S397=""),"",$C397&amp;"|"&amp;$A397&amp;"|"&amp;$S397)</f>
        <v/>
      </c>
      <c r="W397" s="32">
        <f>IF(OR($C397="",$S397="",$S397=1),"",IFERROR(INDEX($Q$6:$Q$1505,MATCH($C397&amp;"|"&amp;$A397&amp;"|"&amp;($S397-1),$V$6:$V$1505,0)),""))</f>
        <v/>
      </c>
      <c r="X397" s="32">
        <f>IF(OR($W397="",$Q397="",LEFT($Q397,1)="—"),"",IF($W397=$Q397,"ללא שינוי","מ-"&amp;$W397&amp;" ל-"&amp;$Q397))</f>
        <v/>
      </c>
    </row>
    <row r="398" ht="15.75" customHeight="1" s="58">
      <c r="A398" s="65" t="n"/>
      <c r="B398" s="65" t="n"/>
      <c r="C398" s="66" t="n"/>
      <c r="D398" s="66" t="n"/>
      <c r="E398" s="65" t="n"/>
      <c r="F398" s="65" t="n"/>
      <c r="G398" s="65" t="n"/>
      <c r="H398" s="65" t="n"/>
      <c r="I398" s="65" t="n"/>
      <c r="J398" s="65" t="n"/>
      <c r="K398" s="65" t="n"/>
      <c r="L398" s="65" t="n"/>
      <c r="M398" s="65" t="n"/>
      <c r="N398" s="65" t="n"/>
      <c r="O398" s="65" t="n"/>
      <c r="P398" s="65" t="n"/>
      <c r="Q398" s="32">
        <f>IF($C398="","",IF($J398="","— חסרים נתונים",IF($J398="טרם מפענח","פרופיל 5",IF($J398="קמץ/פתח/חטף-פתח ושוואים","פרופיל 4",IF($J398="2-3 סימני ניקוד","פרופיל 3",IF($J398="4-5 סימני ניקוד","פרופיל 2",IF(AND($O398="משפטים וקטעים קצרים",OR($M398="מבין",$M398="מבין לרוב")),"פרופיל 1","פרופיל 2")))))))</f>
        <v/>
      </c>
      <c r="R398" s="32">
        <f>IF($C398="","",IF(OR($Q398="",LEFT($Q398,1)="—"),"קבוצה רביעית",IF($Q398="פרופיל 5","קבוצת תשתיות",IF(OR($Q398="פרופיל 4",$Q398="פרופיל 3"),"קבוצת רכישה","קבוצת ביסוס"))))</f>
        <v/>
      </c>
      <c r="S398" s="32">
        <f>IF($F398="","",IF($F398="תחילת שנה",1,IF($F398="מחצית שנה",2,3)))</f>
        <v/>
      </c>
      <c r="T398" s="32">
        <f>IF(OR($B398="",$R398="",$A398="",$F398=""),"",$B398&amp;"|"&amp;$A398&amp;"|"&amp;$F398&amp;"|"&amp;$R398&amp;"|"&amp;COUNTIFS($B$6:$B398,$B398,$A$6:$A398,$A398,$F$6:$F398,$F398,$R$6:$R398,$R398))</f>
        <v/>
      </c>
      <c r="U398" s="32">
        <f>IF($C398="","",$C398&amp;"|"&amp;COUNTIFS($C$6:$C398,$C398))</f>
        <v/>
      </c>
      <c r="V398" s="32">
        <f>IF(OR($C398="",$A398="",$S398=""),"",$C398&amp;"|"&amp;$A398&amp;"|"&amp;$S398)</f>
        <v/>
      </c>
      <c r="W398" s="32">
        <f>IF(OR($C398="",$S398="",$S398=1),"",IFERROR(INDEX($Q$6:$Q$1505,MATCH($C398&amp;"|"&amp;$A398&amp;"|"&amp;($S398-1),$V$6:$V$1505,0)),""))</f>
        <v/>
      </c>
      <c r="X398" s="32">
        <f>IF(OR($W398="",$Q398="",LEFT($Q398,1)="—"),"",IF($W398=$Q398,"ללא שינוי","מ-"&amp;$W398&amp;" ל-"&amp;$Q398))</f>
        <v/>
      </c>
    </row>
    <row r="399" ht="15.75" customHeight="1" s="58">
      <c r="A399" s="65" t="n"/>
      <c r="B399" s="65" t="n"/>
      <c r="C399" s="66" t="n"/>
      <c r="D399" s="66" t="n"/>
      <c r="E399" s="65" t="n"/>
      <c r="F399" s="65" t="n"/>
      <c r="G399" s="65" t="n"/>
      <c r="H399" s="65" t="n"/>
      <c r="I399" s="65" t="n"/>
      <c r="J399" s="65" t="n"/>
      <c r="K399" s="65" t="n"/>
      <c r="L399" s="65" t="n"/>
      <c r="M399" s="65" t="n"/>
      <c r="N399" s="65" t="n"/>
      <c r="O399" s="65" t="n"/>
      <c r="P399" s="65" t="n"/>
      <c r="Q399" s="32">
        <f>IF($C399="","",IF($J399="","— חסרים נתונים",IF($J399="טרם מפענח","פרופיל 5",IF($J399="קמץ/פתח/חטף-פתח ושוואים","פרופיל 4",IF($J399="2-3 סימני ניקוד","פרופיל 3",IF($J399="4-5 סימני ניקוד","פרופיל 2",IF(AND($O399="משפטים וקטעים קצרים",OR($M399="מבין",$M399="מבין לרוב")),"פרופיל 1","פרופיל 2")))))))</f>
        <v/>
      </c>
      <c r="R399" s="32">
        <f>IF($C399="","",IF(OR($Q399="",LEFT($Q399,1)="—"),"קבוצה רביעית",IF($Q399="פרופיל 5","קבוצת תשתיות",IF(OR($Q399="פרופיל 4",$Q399="פרופיל 3"),"קבוצת רכישה","קבוצת ביסוס"))))</f>
        <v/>
      </c>
      <c r="S399" s="32">
        <f>IF($F399="","",IF($F399="תחילת שנה",1,IF($F399="מחצית שנה",2,3)))</f>
        <v/>
      </c>
      <c r="T399" s="32">
        <f>IF(OR($B399="",$R399="",$A399="",$F399=""),"",$B399&amp;"|"&amp;$A399&amp;"|"&amp;$F399&amp;"|"&amp;$R399&amp;"|"&amp;COUNTIFS($B$6:$B399,$B399,$A$6:$A399,$A399,$F$6:$F399,$F399,$R$6:$R399,$R399))</f>
        <v/>
      </c>
      <c r="U399" s="32">
        <f>IF($C399="","",$C399&amp;"|"&amp;COUNTIFS($C$6:$C399,$C399))</f>
        <v/>
      </c>
      <c r="V399" s="32">
        <f>IF(OR($C399="",$A399="",$S399=""),"",$C399&amp;"|"&amp;$A399&amp;"|"&amp;$S399)</f>
        <v/>
      </c>
      <c r="W399" s="32">
        <f>IF(OR($C399="",$S399="",$S399=1),"",IFERROR(INDEX($Q$6:$Q$1505,MATCH($C399&amp;"|"&amp;$A399&amp;"|"&amp;($S399-1),$V$6:$V$1505,0)),""))</f>
        <v/>
      </c>
      <c r="X399" s="32">
        <f>IF(OR($W399="",$Q399="",LEFT($Q399,1)="—"),"",IF($W399=$Q399,"ללא שינוי","מ-"&amp;$W399&amp;" ל-"&amp;$Q399))</f>
        <v/>
      </c>
    </row>
    <row r="400" ht="15.75" customHeight="1" s="58">
      <c r="A400" s="65" t="n"/>
      <c r="B400" s="65" t="n"/>
      <c r="C400" s="66" t="n"/>
      <c r="D400" s="66" t="n"/>
      <c r="E400" s="65" t="n"/>
      <c r="F400" s="65" t="n"/>
      <c r="G400" s="65" t="n"/>
      <c r="H400" s="65" t="n"/>
      <c r="I400" s="65" t="n"/>
      <c r="J400" s="65" t="n"/>
      <c r="K400" s="65" t="n"/>
      <c r="L400" s="65" t="n"/>
      <c r="M400" s="65" t="n"/>
      <c r="N400" s="65" t="n"/>
      <c r="O400" s="65" t="n"/>
      <c r="P400" s="65" t="n"/>
      <c r="Q400" s="32">
        <f>IF($C400="","",IF($J400="","— חסרים נתונים",IF($J400="טרם מפענח","פרופיל 5",IF($J400="קמץ/פתח/חטף-פתח ושוואים","פרופיל 4",IF($J400="2-3 סימני ניקוד","פרופיל 3",IF($J400="4-5 סימני ניקוד","פרופיל 2",IF(AND($O400="משפטים וקטעים קצרים",OR($M400="מבין",$M400="מבין לרוב")),"פרופיל 1","פרופיל 2")))))))</f>
        <v/>
      </c>
      <c r="R400" s="32">
        <f>IF($C400="","",IF(OR($Q400="",LEFT($Q400,1)="—"),"קבוצה רביעית",IF($Q400="פרופיל 5","קבוצת תשתיות",IF(OR($Q400="פרופיל 4",$Q400="פרופיל 3"),"קבוצת רכישה","קבוצת ביסוס"))))</f>
        <v/>
      </c>
      <c r="S400" s="32">
        <f>IF($F400="","",IF($F400="תחילת שנה",1,IF($F400="מחצית שנה",2,3)))</f>
        <v/>
      </c>
      <c r="T400" s="32">
        <f>IF(OR($B400="",$R400="",$A400="",$F400=""),"",$B400&amp;"|"&amp;$A400&amp;"|"&amp;$F400&amp;"|"&amp;$R400&amp;"|"&amp;COUNTIFS($B$6:$B400,$B400,$A$6:$A400,$A400,$F$6:$F400,$F400,$R$6:$R400,$R400))</f>
        <v/>
      </c>
      <c r="U400" s="32">
        <f>IF($C400="","",$C400&amp;"|"&amp;COUNTIFS($C$6:$C400,$C400))</f>
        <v/>
      </c>
      <c r="V400" s="32">
        <f>IF(OR($C400="",$A400="",$S400=""),"",$C400&amp;"|"&amp;$A400&amp;"|"&amp;$S400)</f>
        <v/>
      </c>
      <c r="W400" s="32">
        <f>IF(OR($C400="",$S400="",$S400=1),"",IFERROR(INDEX($Q$6:$Q$1505,MATCH($C400&amp;"|"&amp;$A400&amp;"|"&amp;($S400-1),$V$6:$V$1505,0)),""))</f>
        <v/>
      </c>
      <c r="X400" s="32">
        <f>IF(OR($W400="",$Q400="",LEFT($Q400,1)="—"),"",IF($W400=$Q400,"ללא שינוי","מ-"&amp;$W400&amp;" ל-"&amp;$Q400))</f>
        <v/>
      </c>
    </row>
    <row r="401" ht="15.75" customHeight="1" s="58">
      <c r="A401" s="65" t="n"/>
      <c r="B401" s="65" t="n"/>
      <c r="C401" s="66" t="n"/>
      <c r="D401" s="66" t="n"/>
      <c r="E401" s="65" t="n"/>
      <c r="F401" s="65" t="n"/>
      <c r="G401" s="65" t="n"/>
      <c r="H401" s="65" t="n"/>
      <c r="I401" s="65" t="n"/>
      <c r="J401" s="65" t="n"/>
      <c r="K401" s="65" t="n"/>
      <c r="L401" s="65" t="n"/>
      <c r="M401" s="65" t="n"/>
      <c r="N401" s="65" t="n"/>
      <c r="O401" s="65" t="n"/>
      <c r="P401" s="65" t="n"/>
      <c r="Q401" s="32">
        <f>IF($C401="","",IF($J401="","— חסרים נתונים",IF($J401="טרם מפענח","פרופיל 5",IF($J401="קמץ/פתח/חטף-פתח ושוואים","פרופיל 4",IF($J401="2-3 סימני ניקוד","פרופיל 3",IF($J401="4-5 סימני ניקוד","פרופיל 2",IF(AND($O401="משפטים וקטעים קצרים",OR($M401="מבין",$M401="מבין לרוב")),"פרופיל 1","פרופיל 2")))))))</f>
        <v/>
      </c>
      <c r="R401" s="32">
        <f>IF($C401="","",IF(OR($Q401="",LEFT($Q401,1)="—"),"קבוצה רביעית",IF($Q401="פרופיל 5","קבוצת תשתיות",IF(OR($Q401="פרופיל 4",$Q401="פרופיל 3"),"קבוצת רכישה","קבוצת ביסוס"))))</f>
        <v/>
      </c>
      <c r="S401" s="32">
        <f>IF($F401="","",IF($F401="תחילת שנה",1,IF($F401="מחצית שנה",2,3)))</f>
        <v/>
      </c>
      <c r="T401" s="32">
        <f>IF(OR($B401="",$R401="",$A401="",$F401=""),"",$B401&amp;"|"&amp;$A401&amp;"|"&amp;$F401&amp;"|"&amp;$R401&amp;"|"&amp;COUNTIFS($B$6:$B401,$B401,$A$6:$A401,$A401,$F$6:$F401,$F401,$R$6:$R401,$R401))</f>
        <v/>
      </c>
      <c r="U401" s="32">
        <f>IF($C401="","",$C401&amp;"|"&amp;COUNTIFS($C$6:$C401,$C401))</f>
        <v/>
      </c>
      <c r="V401" s="32">
        <f>IF(OR($C401="",$A401="",$S401=""),"",$C401&amp;"|"&amp;$A401&amp;"|"&amp;$S401)</f>
        <v/>
      </c>
      <c r="W401" s="32">
        <f>IF(OR($C401="",$S401="",$S401=1),"",IFERROR(INDEX($Q$6:$Q$1505,MATCH($C401&amp;"|"&amp;$A401&amp;"|"&amp;($S401-1),$V$6:$V$1505,0)),""))</f>
        <v/>
      </c>
      <c r="X401" s="32">
        <f>IF(OR($W401="",$Q401="",LEFT($Q401,1)="—"),"",IF($W401=$Q401,"ללא שינוי","מ-"&amp;$W401&amp;" ל-"&amp;$Q401))</f>
        <v/>
      </c>
    </row>
    <row r="402" ht="15.75" customHeight="1" s="58">
      <c r="A402" s="65" t="n"/>
      <c r="B402" s="65" t="n"/>
      <c r="C402" s="66" t="n"/>
      <c r="D402" s="66" t="n"/>
      <c r="E402" s="65" t="n"/>
      <c r="F402" s="65" t="n"/>
      <c r="G402" s="65" t="n"/>
      <c r="H402" s="65" t="n"/>
      <c r="I402" s="65" t="n"/>
      <c r="J402" s="65" t="n"/>
      <c r="K402" s="65" t="n"/>
      <c r="L402" s="65" t="n"/>
      <c r="M402" s="65" t="n"/>
      <c r="N402" s="65" t="n"/>
      <c r="O402" s="65" t="n"/>
      <c r="P402" s="65" t="n"/>
      <c r="Q402" s="32">
        <f>IF($C402="","",IF($J402="","— חסרים נתונים",IF($J402="טרם מפענח","פרופיל 5",IF($J402="קמץ/פתח/חטף-פתח ושוואים","פרופיל 4",IF($J402="2-3 סימני ניקוד","פרופיל 3",IF($J402="4-5 סימני ניקוד","פרופיל 2",IF(AND($O402="משפטים וקטעים קצרים",OR($M402="מבין",$M402="מבין לרוב")),"פרופיל 1","פרופיל 2")))))))</f>
        <v/>
      </c>
      <c r="R402" s="32">
        <f>IF($C402="","",IF(OR($Q402="",LEFT($Q402,1)="—"),"קבוצה רביעית",IF($Q402="פרופיל 5","קבוצת תשתיות",IF(OR($Q402="פרופיל 4",$Q402="פרופיל 3"),"קבוצת רכישה","קבוצת ביסוס"))))</f>
        <v/>
      </c>
      <c r="S402" s="32">
        <f>IF($F402="","",IF($F402="תחילת שנה",1,IF($F402="מחצית שנה",2,3)))</f>
        <v/>
      </c>
      <c r="T402" s="32">
        <f>IF(OR($B402="",$R402="",$A402="",$F402=""),"",$B402&amp;"|"&amp;$A402&amp;"|"&amp;$F402&amp;"|"&amp;$R402&amp;"|"&amp;COUNTIFS($B$6:$B402,$B402,$A$6:$A402,$A402,$F$6:$F402,$F402,$R$6:$R402,$R402))</f>
        <v/>
      </c>
      <c r="U402" s="32">
        <f>IF($C402="","",$C402&amp;"|"&amp;COUNTIFS($C$6:$C402,$C402))</f>
        <v/>
      </c>
      <c r="V402" s="32">
        <f>IF(OR($C402="",$A402="",$S402=""),"",$C402&amp;"|"&amp;$A402&amp;"|"&amp;$S402)</f>
        <v/>
      </c>
      <c r="W402" s="32">
        <f>IF(OR($C402="",$S402="",$S402=1),"",IFERROR(INDEX($Q$6:$Q$1505,MATCH($C402&amp;"|"&amp;$A402&amp;"|"&amp;($S402-1),$V$6:$V$1505,0)),""))</f>
        <v/>
      </c>
      <c r="X402" s="32">
        <f>IF(OR($W402="",$Q402="",LEFT($Q402,1)="—"),"",IF($W402=$Q402,"ללא שינוי","מ-"&amp;$W402&amp;" ל-"&amp;$Q402))</f>
        <v/>
      </c>
    </row>
    <row r="403" ht="15.75" customHeight="1" s="58">
      <c r="A403" s="65" t="n"/>
      <c r="B403" s="65" t="n"/>
      <c r="C403" s="66" t="n"/>
      <c r="D403" s="66" t="n"/>
      <c r="E403" s="65" t="n"/>
      <c r="F403" s="65" t="n"/>
      <c r="G403" s="65" t="n"/>
      <c r="H403" s="65" t="n"/>
      <c r="I403" s="65" t="n"/>
      <c r="J403" s="65" t="n"/>
      <c r="K403" s="65" t="n"/>
      <c r="L403" s="65" t="n"/>
      <c r="M403" s="65" t="n"/>
      <c r="N403" s="65" t="n"/>
      <c r="O403" s="65" t="n"/>
      <c r="P403" s="65" t="n"/>
      <c r="Q403" s="32">
        <f>IF($C403="","",IF($J403="","— חסרים נתונים",IF($J403="טרם מפענח","פרופיל 5",IF($J403="קמץ/פתח/חטף-פתח ושוואים","פרופיל 4",IF($J403="2-3 סימני ניקוד","פרופיל 3",IF($J403="4-5 סימני ניקוד","פרופיל 2",IF(AND($O403="משפטים וקטעים קצרים",OR($M403="מבין",$M403="מבין לרוב")),"פרופיל 1","פרופיל 2")))))))</f>
        <v/>
      </c>
      <c r="R403" s="32">
        <f>IF($C403="","",IF(OR($Q403="",LEFT($Q403,1)="—"),"קבוצה רביעית",IF($Q403="פרופיל 5","קבוצת תשתיות",IF(OR($Q403="פרופיל 4",$Q403="פרופיל 3"),"קבוצת רכישה","קבוצת ביסוס"))))</f>
        <v/>
      </c>
      <c r="S403" s="32">
        <f>IF($F403="","",IF($F403="תחילת שנה",1,IF($F403="מחצית שנה",2,3)))</f>
        <v/>
      </c>
      <c r="T403" s="32">
        <f>IF(OR($B403="",$R403="",$A403="",$F403=""),"",$B403&amp;"|"&amp;$A403&amp;"|"&amp;$F403&amp;"|"&amp;$R403&amp;"|"&amp;COUNTIFS($B$6:$B403,$B403,$A$6:$A403,$A403,$F$6:$F403,$F403,$R$6:$R403,$R403))</f>
        <v/>
      </c>
      <c r="U403" s="32">
        <f>IF($C403="","",$C403&amp;"|"&amp;COUNTIFS($C$6:$C403,$C403))</f>
        <v/>
      </c>
      <c r="V403" s="32">
        <f>IF(OR($C403="",$A403="",$S403=""),"",$C403&amp;"|"&amp;$A403&amp;"|"&amp;$S403)</f>
        <v/>
      </c>
      <c r="W403" s="32">
        <f>IF(OR($C403="",$S403="",$S403=1),"",IFERROR(INDEX($Q$6:$Q$1505,MATCH($C403&amp;"|"&amp;$A403&amp;"|"&amp;($S403-1),$V$6:$V$1505,0)),""))</f>
        <v/>
      </c>
      <c r="X403" s="32">
        <f>IF(OR($W403="",$Q403="",LEFT($Q403,1)="—"),"",IF($W403=$Q403,"ללא שינוי","מ-"&amp;$W403&amp;" ל-"&amp;$Q403))</f>
        <v/>
      </c>
    </row>
    <row r="404" ht="15.75" customHeight="1" s="58">
      <c r="A404" s="65" t="n"/>
      <c r="B404" s="65" t="n"/>
      <c r="C404" s="66" t="n"/>
      <c r="D404" s="66" t="n"/>
      <c r="E404" s="65" t="n"/>
      <c r="F404" s="65" t="n"/>
      <c r="G404" s="65" t="n"/>
      <c r="H404" s="65" t="n"/>
      <c r="I404" s="65" t="n"/>
      <c r="J404" s="65" t="n"/>
      <c r="K404" s="65" t="n"/>
      <c r="L404" s="65" t="n"/>
      <c r="M404" s="65" t="n"/>
      <c r="N404" s="65" t="n"/>
      <c r="O404" s="65" t="n"/>
      <c r="P404" s="65" t="n"/>
      <c r="Q404" s="32">
        <f>IF($C404="","",IF($J404="","— חסרים נתונים",IF($J404="טרם מפענח","פרופיל 5",IF($J404="קמץ/פתח/חטף-פתח ושוואים","פרופיל 4",IF($J404="2-3 סימני ניקוד","פרופיל 3",IF($J404="4-5 סימני ניקוד","פרופיל 2",IF(AND($O404="משפטים וקטעים קצרים",OR($M404="מבין",$M404="מבין לרוב")),"פרופיל 1","פרופיל 2")))))))</f>
        <v/>
      </c>
      <c r="R404" s="32">
        <f>IF($C404="","",IF(OR($Q404="",LEFT($Q404,1)="—"),"קבוצה רביעית",IF($Q404="פרופיל 5","קבוצת תשתיות",IF(OR($Q404="פרופיל 4",$Q404="פרופיל 3"),"קבוצת רכישה","קבוצת ביסוס"))))</f>
        <v/>
      </c>
      <c r="S404" s="32">
        <f>IF($F404="","",IF($F404="תחילת שנה",1,IF($F404="מחצית שנה",2,3)))</f>
        <v/>
      </c>
      <c r="T404" s="32">
        <f>IF(OR($B404="",$R404="",$A404="",$F404=""),"",$B404&amp;"|"&amp;$A404&amp;"|"&amp;$F404&amp;"|"&amp;$R404&amp;"|"&amp;COUNTIFS($B$6:$B404,$B404,$A$6:$A404,$A404,$F$6:$F404,$F404,$R$6:$R404,$R404))</f>
        <v/>
      </c>
      <c r="U404" s="32">
        <f>IF($C404="","",$C404&amp;"|"&amp;COUNTIFS($C$6:$C404,$C404))</f>
        <v/>
      </c>
      <c r="V404" s="32">
        <f>IF(OR($C404="",$A404="",$S404=""),"",$C404&amp;"|"&amp;$A404&amp;"|"&amp;$S404)</f>
        <v/>
      </c>
      <c r="W404" s="32">
        <f>IF(OR($C404="",$S404="",$S404=1),"",IFERROR(INDEX($Q$6:$Q$1505,MATCH($C404&amp;"|"&amp;$A404&amp;"|"&amp;($S404-1),$V$6:$V$1505,0)),""))</f>
        <v/>
      </c>
      <c r="X404" s="32">
        <f>IF(OR($W404="",$Q404="",LEFT($Q404,1)="—"),"",IF($W404=$Q404,"ללא שינוי","מ-"&amp;$W404&amp;" ל-"&amp;$Q404))</f>
        <v/>
      </c>
    </row>
    <row r="405" ht="15.75" customHeight="1" s="58">
      <c r="A405" s="65" t="n"/>
      <c r="B405" s="65" t="n"/>
      <c r="C405" s="66" t="n"/>
      <c r="D405" s="66" t="n"/>
      <c r="E405" s="65" t="n"/>
      <c r="F405" s="65" t="n"/>
      <c r="G405" s="65" t="n"/>
      <c r="H405" s="65" t="n"/>
      <c r="I405" s="65" t="n"/>
      <c r="J405" s="65" t="n"/>
      <c r="K405" s="65" t="n"/>
      <c r="L405" s="65" t="n"/>
      <c r="M405" s="65" t="n"/>
      <c r="N405" s="65" t="n"/>
      <c r="O405" s="65" t="n"/>
      <c r="P405" s="65" t="n"/>
      <c r="Q405" s="32">
        <f>IF($C405="","",IF($J405="","— חסרים נתונים",IF($J405="טרם מפענח","פרופיל 5",IF($J405="קמץ/פתח/חטף-פתח ושוואים","פרופיל 4",IF($J405="2-3 סימני ניקוד","פרופיל 3",IF($J405="4-5 סימני ניקוד","פרופיל 2",IF(AND($O405="משפטים וקטעים קצרים",OR($M405="מבין",$M405="מבין לרוב")),"פרופיל 1","פרופיל 2")))))))</f>
        <v/>
      </c>
      <c r="R405" s="32">
        <f>IF($C405="","",IF(OR($Q405="",LEFT($Q405,1)="—"),"קבוצה רביעית",IF($Q405="פרופיל 5","קבוצת תשתיות",IF(OR($Q405="פרופיל 4",$Q405="פרופיל 3"),"קבוצת רכישה","קבוצת ביסוס"))))</f>
        <v/>
      </c>
      <c r="S405" s="32">
        <f>IF($F405="","",IF($F405="תחילת שנה",1,IF($F405="מחצית שנה",2,3)))</f>
        <v/>
      </c>
      <c r="T405" s="32">
        <f>IF(OR($B405="",$R405="",$A405="",$F405=""),"",$B405&amp;"|"&amp;$A405&amp;"|"&amp;$F405&amp;"|"&amp;$R405&amp;"|"&amp;COUNTIFS($B$6:$B405,$B405,$A$6:$A405,$A405,$F$6:$F405,$F405,$R$6:$R405,$R405))</f>
        <v/>
      </c>
      <c r="U405" s="32">
        <f>IF($C405="","",$C405&amp;"|"&amp;COUNTIFS($C$6:$C405,$C405))</f>
        <v/>
      </c>
      <c r="V405" s="32">
        <f>IF(OR($C405="",$A405="",$S405=""),"",$C405&amp;"|"&amp;$A405&amp;"|"&amp;$S405)</f>
        <v/>
      </c>
      <c r="W405" s="32">
        <f>IF(OR($C405="",$S405="",$S405=1),"",IFERROR(INDEX($Q$6:$Q$1505,MATCH($C405&amp;"|"&amp;$A405&amp;"|"&amp;($S405-1),$V$6:$V$1505,0)),""))</f>
        <v/>
      </c>
      <c r="X405" s="32">
        <f>IF(OR($W405="",$Q405="",LEFT($Q405,1)="—"),"",IF($W405=$Q405,"ללא שינוי","מ-"&amp;$W405&amp;" ל-"&amp;$Q405))</f>
        <v/>
      </c>
    </row>
    <row r="406" ht="15.75" customHeight="1" s="58">
      <c r="A406" s="65" t="n"/>
      <c r="B406" s="65" t="n"/>
      <c r="C406" s="66" t="n"/>
      <c r="D406" s="66" t="n"/>
      <c r="E406" s="65" t="n"/>
      <c r="F406" s="65" t="n"/>
      <c r="G406" s="65" t="n"/>
      <c r="H406" s="65" t="n"/>
      <c r="I406" s="65" t="n"/>
      <c r="J406" s="65" t="n"/>
      <c r="K406" s="65" t="n"/>
      <c r="L406" s="65" t="n"/>
      <c r="M406" s="65" t="n"/>
      <c r="N406" s="65" t="n"/>
      <c r="O406" s="65" t="n"/>
      <c r="P406" s="65" t="n"/>
      <c r="Q406" s="32">
        <f>IF($C406="","",IF($J406="","— חסרים נתונים",IF($J406="טרם מפענח","פרופיל 5",IF($J406="קמץ/פתח/חטף-פתח ושוואים","פרופיל 4",IF($J406="2-3 סימני ניקוד","פרופיל 3",IF($J406="4-5 סימני ניקוד","פרופיל 2",IF(AND($O406="משפטים וקטעים קצרים",OR($M406="מבין",$M406="מבין לרוב")),"פרופיל 1","פרופיל 2")))))))</f>
        <v/>
      </c>
      <c r="R406" s="32">
        <f>IF($C406="","",IF(OR($Q406="",LEFT($Q406,1)="—"),"קבוצה רביעית",IF($Q406="פרופיל 5","קבוצת תשתיות",IF(OR($Q406="פרופיל 4",$Q406="פרופיל 3"),"קבוצת רכישה","קבוצת ביסוס"))))</f>
        <v/>
      </c>
      <c r="S406" s="32">
        <f>IF($F406="","",IF($F406="תחילת שנה",1,IF($F406="מחצית שנה",2,3)))</f>
        <v/>
      </c>
      <c r="T406" s="32">
        <f>IF(OR($B406="",$R406="",$A406="",$F406=""),"",$B406&amp;"|"&amp;$A406&amp;"|"&amp;$F406&amp;"|"&amp;$R406&amp;"|"&amp;COUNTIFS($B$6:$B406,$B406,$A$6:$A406,$A406,$F$6:$F406,$F406,$R$6:$R406,$R406))</f>
        <v/>
      </c>
      <c r="U406" s="32">
        <f>IF($C406="","",$C406&amp;"|"&amp;COUNTIFS($C$6:$C406,$C406))</f>
        <v/>
      </c>
      <c r="V406" s="32">
        <f>IF(OR($C406="",$A406="",$S406=""),"",$C406&amp;"|"&amp;$A406&amp;"|"&amp;$S406)</f>
        <v/>
      </c>
      <c r="W406" s="32">
        <f>IF(OR($C406="",$S406="",$S406=1),"",IFERROR(INDEX($Q$6:$Q$1505,MATCH($C406&amp;"|"&amp;$A406&amp;"|"&amp;($S406-1),$V$6:$V$1505,0)),""))</f>
        <v/>
      </c>
      <c r="X406" s="32">
        <f>IF(OR($W406="",$Q406="",LEFT($Q406,1)="—"),"",IF($W406=$Q406,"ללא שינוי","מ-"&amp;$W406&amp;" ל-"&amp;$Q406))</f>
        <v/>
      </c>
    </row>
    <row r="407" ht="15.75" customHeight="1" s="58">
      <c r="A407" s="65" t="n"/>
      <c r="B407" s="65" t="n"/>
      <c r="C407" s="66" t="n"/>
      <c r="D407" s="66" t="n"/>
      <c r="E407" s="65" t="n"/>
      <c r="F407" s="65" t="n"/>
      <c r="G407" s="65" t="n"/>
      <c r="H407" s="65" t="n"/>
      <c r="I407" s="65" t="n"/>
      <c r="J407" s="65" t="n"/>
      <c r="K407" s="65" t="n"/>
      <c r="L407" s="65" t="n"/>
      <c r="M407" s="65" t="n"/>
      <c r="N407" s="65" t="n"/>
      <c r="O407" s="65" t="n"/>
      <c r="P407" s="65" t="n"/>
      <c r="Q407" s="32">
        <f>IF($C407="","",IF($J407="","— חסרים נתונים",IF($J407="טרם מפענח","פרופיל 5",IF($J407="קמץ/פתח/חטף-פתח ושוואים","פרופיל 4",IF($J407="2-3 סימני ניקוד","פרופיל 3",IF($J407="4-5 סימני ניקוד","פרופיל 2",IF(AND($O407="משפטים וקטעים קצרים",OR($M407="מבין",$M407="מבין לרוב")),"פרופיל 1","פרופיל 2")))))))</f>
        <v/>
      </c>
      <c r="R407" s="32">
        <f>IF($C407="","",IF(OR($Q407="",LEFT($Q407,1)="—"),"קבוצה רביעית",IF($Q407="פרופיל 5","קבוצת תשתיות",IF(OR($Q407="פרופיל 4",$Q407="פרופיל 3"),"קבוצת רכישה","קבוצת ביסוס"))))</f>
        <v/>
      </c>
      <c r="S407" s="32">
        <f>IF($F407="","",IF($F407="תחילת שנה",1,IF($F407="מחצית שנה",2,3)))</f>
        <v/>
      </c>
      <c r="T407" s="32">
        <f>IF(OR($B407="",$R407="",$A407="",$F407=""),"",$B407&amp;"|"&amp;$A407&amp;"|"&amp;$F407&amp;"|"&amp;$R407&amp;"|"&amp;COUNTIFS($B$6:$B407,$B407,$A$6:$A407,$A407,$F$6:$F407,$F407,$R$6:$R407,$R407))</f>
        <v/>
      </c>
      <c r="U407" s="32">
        <f>IF($C407="","",$C407&amp;"|"&amp;COUNTIFS($C$6:$C407,$C407))</f>
        <v/>
      </c>
      <c r="V407" s="32">
        <f>IF(OR($C407="",$A407="",$S407=""),"",$C407&amp;"|"&amp;$A407&amp;"|"&amp;$S407)</f>
        <v/>
      </c>
      <c r="W407" s="32">
        <f>IF(OR($C407="",$S407="",$S407=1),"",IFERROR(INDEX($Q$6:$Q$1505,MATCH($C407&amp;"|"&amp;$A407&amp;"|"&amp;($S407-1),$V$6:$V$1505,0)),""))</f>
        <v/>
      </c>
      <c r="X407" s="32">
        <f>IF(OR($W407="",$Q407="",LEFT($Q407,1)="—"),"",IF($W407=$Q407,"ללא שינוי","מ-"&amp;$W407&amp;" ל-"&amp;$Q407))</f>
        <v/>
      </c>
    </row>
    <row r="408" ht="15.75" customHeight="1" s="58">
      <c r="A408" s="65" t="n"/>
      <c r="B408" s="65" t="n"/>
      <c r="C408" s="66" t="n"/>
      <c r="D408" s="66" t="n"/>
      <c r="E408" s="65" t="n"/>
      <c r="F408" s="65" t="n"/>
      <c r="G408" s="65" t="n"/>
      <c r="H408" s="65" t="n"/>
      <c r="I408" s="65" t="n"/>
      <c r="J408" s="65" t="n"/>
      <c r="K408" s="65" t="n"/>
      <c r="L408" s="65" t="n"/>
      <c r="M408" s="65" t="n"/>
      <c r="N408" s="65" t="n"/>
      <c r="O408" s="65" t="n"/>
      <c r="P408" s="65" t="n"/>
      <c r="Q408" s="32">
        <f>IF($C408="","",IF($J408="","— חסרים נתונים",IF($J408="טרם מפענח","פרופיל 5",IF($J408="קמץ/פתח/חטף-פתח ושוואים","פרופיל 4",IF($J408="2-3 סימני ניקוד","פרופיל 3",IF($J408="4-5 סימני ניקוד","פרופיל 2",IF(AND($O408="משפטים וקטעים קצרים",OR($M408="מבין",$M408="מבין לרוב")),"פרופיל 1","פרופיל 2")))))))</f>
        <v/>
      </c>
      <c r="R408" s="32">
        <f>IF($C408="","",IF(OR($Q408="",LEFT($Q408,1)="—"),"קבוצה רביעית",IF($Q408="פרופיל 5","קבוצת תשתיות",IF(OR($Q408="פרופיל 4",$Q408="פרופיל 3"),"קבוצת רכישה","קבוצת ביסוס"))))</f>
        <v/>
      </c>
      <c r="S408" s="32">
        <f>IF($F408="","",IF($F408="תחילת שנה",1,IF($F408="מחצית שנה",2,3)))</f>
        <v/>
      </c>
      <c r="T408" s="32">
        <f>IF(OR($B408="",$R408="",$A408="",$F408=""),"",$B408&amp;"|"&amp;$A408&amp;"|"&amp;$F408&amp;"|"&amp;$R408&amp;"|"&amp;COUNTIFS($B$6:$B408,$B408,$A$6:$A408,$A408,$F$6:$F408,$F408,$R$6:$R408,$R408))</f>
        <v/>
      </c>
      <c r="U408" s="32">
        <f>IF($C408="","",$C408&amp;"|"&amp;COUNTIFS($C$6:$C408,$C408))</f>
        <v/>
      </c>
      <c r="V408" s="32">
        <f>IF(OR($C408="",$A408="",$S408=""),"",$C408&amp;"|"&amp;$A408&amp;"|"&amp;$S408)</f>
        <v/>
      </c>
      <c r="W408" s="32">
        <f>IF(OR($C408="",$S408="",$S408=1),"",IFERROR(INDEX($Q$6:$Q$1505,MATCH($C408&amp;"|"&amp;$A408&amp;"|"&amp;($S408-1),$V$6:$V$1505,0)),""))</f>
        <v/>
      </c>
      <c r="X408" s="32">
        <f>IF(OR($W408="",$Q408="",LEFT($Q408,1)="—"),"",IF($W408=$Q408,"ללא שינוי","מ-"&amp;$W408&amp;" ל-"&amp;$Q408))</f>
        <v/>
      </c>
    </row>
    <row r="409" ht="15.75" customHeight="1" s="58">
      <c r="A409" s="65" t="n"/>
      <c r="B409" s="65" t="n"/>
      <c r="C409" s="66" t="n"/>
      <c r="D409" s="66" t="n"/>
      <c r="E409" s="65" t="n"/>
      <c r="F409" s="65" t="n"/>
      <c r="G409" s="65" t="n"/>
      <c r="H409" s="65" t="n"/>
      <c r="I409" s="65" t="n"/>
      <c r="J409" s="65" t="n"/>
      <c r="K409" s="65" t="n"/>
      <c r="L409" s="65" t="n"/>
      <c r="M409" s="65" t="n"/>
      <c r="N409" s="65" t="n"/>
      <c r="O409" s="65" t="n"/>
      <c r="P409" s="65" t="n"/>
      <c r="Q409" s="32">
        <f>IF($C409="","",IF($J409="","— חסרים נתונים",IF($J409="טרם מפענח","פרופיל 5",IF($J409="קמץ/פתח/חטף-פתח ושוואים","פרופיל 4",IF($J409="2-3 סימני ניקוד","פרופיל 3",IF($J409="4-5 סימני ניקוד","פרופיל 2",IF(AND($O409="משפטים וקטעים קצרים",OR($M409="מבין",$M409="מבין לרוב")),"פרופיל 1","פרופיל 2")))))))</f>
        <v/>
      </c>
      <c r="R409" s="32">
        <f>IF($C409="","",IF(OR($Q409="",LEFT($Q409,1)="—"),"קבוצה רביעית",IF($Q409="פרופיל 5","קבוצת תשתיות",IF(OR($Q409="פרופיל 4",$Q409="פרופיל 3"),"קבוצת רכישה","קבוצת ביסוס"))))</f>
        <v/>
      </c>
      <c r="S409" s="32">
        <f>IF($F409="","",IF($F409="תחילת שנה",1,IF($F409="מחצית שנה",2,3)))</f>
        <v/>
      </c>
      <c r="T409" s="32">
        <f>IF(OR($B409="",$R409="",$A409="",$F409=""),"",$B409&amp;"|"&amp;$A409&amp;"|"&amp;$F409&amp;"|"&amp;$R409&amp;"|"&amp;COUNTIFS($B$6:$B409,$B409,$A$6:$A409,$A409,$F$6:$F409,$F409,$R$6:$R409,$R409))</f>
        <v/>
      </c>
      <c r="U409" s="32">
        <f>IF($C409="","",$C409&amp;"|"&amp;COUNTIFS($C$6:$C409,$C409))</f>
        <v/>
      </c>
      <c r="V409" s="32">
        <f>IF(OR($C409="",$A409="",$S409=""),"",$C409&amp;"|"&amp;$A409&amp;"|"&amp;$S409)</f>
        <v/>
      </c>
      <c r="W409" s="32">
        <f>IF(OR($C409="",$S409="",$S409=1),"",IFERROR(INDEX($Q$6:$Q$1505,MATCH($C409&amp;"|"&amp;$A409&amp;"|"&amp;($S409-1),$V$6:$V$1505,0)),""))</f>
        <v/>
      </c>
      <c r="X409" s="32">
        <f>IF(OR($W409="",$Q409="",LEFT($Q409,1)="—"),"",IF($W409=$Q409,"ללא שינוי","מ-"&amp;$W409&amp;" ל-"&amp;$Q409))</f>
        <v/>
      </c>
    </row>
    <row r="410" ht="15.75" customHeight="1" s="58">
      <c r="A410" s="65" t="n"/>
      <c r="B410" s="65" t="n"/>
      <c r="C410" s="66" t="n"/>
      <c r="D410" s="66" t="n"/>
      <c r="E410" s="65" t="n"/>
      <c r="F410" s="65" t="n"/>
      <c r="G410" s="65" t="n"/>
      <c r="H410" s="65" t="n"/>
      <c r="I410" s="65" t="n"/>
      <c r="J410" s="65" t="n"/>
      <c r="K410" s="65" t="n"/>
      <c r="L410" s="65" t="n"/>
      <c r="M410" s="65" t="n"/>
      <c r="N410" s="65" t="n"/>
      <c r="O410" s="65" t="n"/>
      <c r="P410" s="65" t="n"/>
      <c r="Q410" s="32">
        <f>IF($C410="","",IF($J410="","— חסרים נתונים",IF($J410="טרם מפענח","פרופיל 5",IF($J410="קמץ/פתח/חטף-פתח ושוואים","פרופיל 4",IF($J410="2-3 סימני ניקוד","פרופיל 3",IF($J410="4-5 סימני ניקוד","פרופיל 2",IF(AND($O410="משפטים וקטעים קצרים",OR($M410="מבין",$M410="מבין לרוב")),"פרופיל 1","פרופיל 2")))))))</f>
        <v/>
      </c>
      <c r="R410" s="32">
        <f>IF($C410="","",IF(OR($Q410="",LEFT($Q410,1)="—"),"קבוצה רביעית",IF($Q410="פרופיל 5","קבוצת תשתיות",IF(OR($Q410="פרופיל 4",$Q410="פרופיל 3"),"קבוצת רכישה","קבוצת ביסוס"))))</f>
        <v/>
      </c>
      <c r="S410" s="32">
        <f>IF($F410="","",IF($F410="תחילת שנה",1,IF($F410="מחצית שנה",2,3)))</f>
        <v/>
      </c>
      <c r="T410" s="32">
        <f>IF(OR($B410="",$R410="",$A410="",$F410=""),"",$B410&amp;"|"&amp;$A410&amp;"|"&amp;$F410&amp;"|"&amp;$R410&amp;"|"&amp;COUNTIFS($B$6:$B410,$B410,$A$6:$A410,$A410,$F$6:$F410,$F410,$R$6:$R410,$R410))</f>
        <v/>
      </c>
      <c r="U410" s="32">
        <f>IF($C410="","",$C410&amp;"|"&amp;COUNTIFS($C$6:$C410,$C410))</f>
        <v/>
      </c>
      <c r="V410" s="32">
        <f>IF(OR($C410="",$A410="",$S410=""),"",$C410&amp;"|"&amp;$A410&amp;"|"&amp;$S410)</f>
        <v/>
      </c>
      <c r="W410" s="32">
        <f>IF(OR($C410="",$S410="",$S410=1),"",IFERROR(INDEX($Q$6:$Q$1505,MATCH($C410&amp;"|"&amp;$A410&amp;"|"&amp;($S410-1),$V$6:$V$1505,0)),""))</f>
        <v/>
      </c>
      <c r="X410" s="32">
        <f>IF(OR($W410="",$Q410="",LEFT($Q410,1)="—"),"",IF($W410=$Q410,"ללא שינוי","מ-"&amp;$W410&amp;" ל-"&amp;$Q410))</f>
        <v/>
      </c>
    </row>
    <row r="411" ht="15.75" customHeight="1" s="58">
      <c r="A411" s="65" t="n"/>
      <c r="B411" s="65" t="n"/>
      <c r="C411" s="66" t="n"/>
      <c r="D411" s="66" t="n"/>
      <c r="E411" s="65" t="n"/>
      <c r="F411" s="65" t="n"/>
      <c r="G411" s="65" t="n"/>
      <c r="H411" s="65" t="n"/>
      <c r="I411" s="65" t="n"/>
      <c r="J411" s="65" t="n"/>
      <c r="K411" s="65" t="n"/>
      <c r="L411" s="65" t="n"/>
      <c r="M411" s="65" t="n"/>
      <c r="N411" s="65" t="n"/>
      <c r="O411" s="65" t="n"/>
      <c r="P411" s="65" t="n"/>
      <c r="Q411" s="32">
        <f>IF($C411="","",IF($J411="","— חסרים נתונים",IF($J411="טרם מפענח","פרופיל 5",IF($J411="קמץ/פתח/חטף-פתח ושוואים","פרופיל 4",IF($J411="2-3 סימני ניקוד","פרופיל 3",IF($J411="4-5 סימני ניקוד","פרופיל 2",IF(AND($O411="משפטים וקטעים קצרים",OR($M411="מבין",$M411="מבין לרוב")),"פרופיל 1","פרופיל 2")))))))</f>
        <v/>
      </c>
      <c r="R411" s="32">
        <f>IF($C411="","",IF(OR($Q411="",LEFT($Q411,1)="—"),"קבוצה רביעית",IF($Q411="פרופיל 5","קבוצת תשתיות",IF(OR($Q411="פרופיל 4",$Q411="פרופיל 3"),"קבוצת רכישה","קבוצת ביסוס"))))</f>
        <v/>
      </c>
      <c r="S411" s="32">
        <f>IF($F411="","",IF($F411="תחילת שנה",1,IF($F411="מחצית שנה",2,3)))</f>
        <v/>
      </c>
      <c r="T411" s="32">
        <f>IF(OR($B411="",$R411="",$A411="",$F411=""),"",$B411&amp;"|"&amp;$A411&amp;"|"&amp;$F411&amp;"|"&amp;$R411&amp;"|"&amp;COUNTIFS($B$6:$B411,$B411,$A$6:$A411,$A411,$F$6:$F411,$F411,$R$6:$R411,$R411))</f>
        <v/>
      </c>
      <c r="U411" s="32">
        <f>IF($C411="","",$C411&amp;"|"&amp;COUNTIFS($C$6:$C411,$C411))</f>
        <v/>
      </c>
      <c r="V411" s="32">
        <f>IF(OR($C411="",$A411="",$S411=""),"",$C411&amp;"|"&amp;$A411&amp;"|"&amp;$S411)</f>
        <v/>
      </c>
      <c r="W411" s="32">
        <f>IF(OR($C411="",$S411="",$S411=1),"",IFERROR(INDEX($Q$6:$Q$1505,MATCH($C411&amp;"|"&amp;$A411&amp;"|"&amp;($S411-1),$V$6:$V$1505,0)),""))</f>
        <v/>
      </c>
      <c r="X411" s="32">
        <f>IF(OR($W411="",$Q411="",LEFT($Q411,1)="—"),"",IF($W411=$Q411,"ללא שינוי","מ-"&amp;$W411&amp;" ל-"&amp;$Q411))</f>
        <v/>
      </c>
    </row>
    <row r="412" ht="15.75" customHeight="1" s="58">
      <c r="A412" s="65" t="n"/>
      <c r="B412" s="65" t="n"/>
      <c r="C412" s="66" t="n"/>
      <c r="D412" s="66" t="n"/>
      <c r="E412" s="65" t="n"/>
      <c r="F412" s="65" t="n"/>
      <c r="G412" s="65" t="n"/>
      <c r="H412" s="65" t="n"/>
      <c r="I412" s="65" t="n"/>
      <c r="J412" s="65" t="n"/>
      <c r="K412" s="65" t="n"/>
      <c r="L412" s="65" t="n"/>
      <c r="M412" s="65" t="n"/>
      <c r="N412" s="65" t="n"/>
      <c r="O412" s="65" t="n"/>
      <c r="P412" s="65" t="n"/>
      <c r="Q412" s="32">
        <f>IF($C412="","",IF($J412="","— חסרים נתונים",IF($J412="טרם מפענח","פרופיל 5",IF($J412="קמץ/פתח/חטף-פתח ושוואים","פרופיל 4",IF($J412="2-3 סימני ניקוד","פרופיל 3",IF($J412="4-5 סימני ניקוד","פרופיל 2",IF(AND($O412="משפטים וקטעים קצרים",OR($M412="מבין",$M412="מבין לרוב")),"פרופיל 1","פרופיל 2")))))))</f>
        <v/>
      </c>
      <c r="R412" s="32">
        <f>IF($C412="","",IF(OR($Q412="",LEFT($Q412,1)="—"),"קבוצה רביעית",IF($Q412="פרופיל 5","קבוצת תשתיות",IF(OR($Q412="פרופיל 4",$Q412="פרופיל 3"),"קבוצת רכישה","קבוצת ביסוס"))))</f>
        <v/>
      </c>
      <c r="S412" s="32">
        <f>IF($F412="","",IF($F412="תחילת שנה",1,IF($F412="מחצית שנה",2,3)))</f>
        <v/>
      </c>
      <c r="T412" s="32">
        <f>IF(OR($B412="",$R412="",$A412="",$F412=""),"",$B412&amp;"|"&amp;$A412&amp;"|"&amp;$F412&amp;"|"&amp;$R412&amp;"|"&amp;COUNTIFS($B$6:$B412,$B412,$A$6:$A412,$A412,$F$6:$F412,$F412,$R$6:$R412,$R412))</f>
        <v/>
      </c>
      <c r="U412" s="32">
        <f>IF($C412="","",$C412&amp;"|"&amp;COUNTIFS($C$6:$C412,$C412))</f>
        <v/>
      </c>
      <c r="V412" s="32">
        <f>IF(OR($C412="",$A412="",$S412=""),"",$C412&amp;"|"&amp;$A412&amp;"|"&amp;$S412)</f>
        <v/>
      </c>
      <c r="W412" s="32">
        <f>IF(OR($C412="",$S412="",$S412=1),"",IFERROR(INDEX($Q$6:$Q$1505,MATCH($C412&amp;"|"&amp;$A412&amp;"|"&amp;($S412-1),$V$6:$V$1505,0)),""))</f>
        <v/>
      </c>
      <c r="X412" s="32">
        <f>IF(OR($W412="",$Q412="",LEFT($Q412,1)="—"),"",IF($W412=$Q412,"ללא שינוי","מ-"&amp;$W412&amp;" ל-"&amp;$Q412))</f>
        <v/>
      </c>
    </row>
    <row r="413" ht="15.75" customHeight="1" s="58">
      <c r="A413" s="65" t="n"/>
      <c r="B413" s="65" t="n"/>
      <c r="C413" s="66" t="n"/>
      <c r="D413" s="66" t="n"/>
      <c r="E413" s="65" t="n"/>
      <c r="F413" s="65" t="n"/>
      <c r="G413" s="65" t="n"/>
      <c r="H413" s="65" t="n"/>
      <c r="I413" s="65" t="n"/>
      <c r="J413" s="65" t="n"/>
      <c r="K413" s="65" t="n"/>
      <c r="L413" s="65" t="n"/>
      <c r="M413" s="65" t="n"/>
      <c r="N413" s="65" t="n"/>
      <c r="O413" s="65" t="n"/>
      <c r="P413" s="65" t="n"/>
      <c r="Q413" s="32">
        <f>IF($C413="","",IF($J413="","— חסרים נתונים",IF($J413="טרם מפענח","פרופיל 5",IF($J413="קמץ/פתח/חטף-פתח ושוואים","פרופיל 4",IF($J413="2-3 סימני ניקוד","פרופיל 3",IF($J413="4-5 סימני ניקוד","פרופיל 2",IF(AND($O413="משפטים וקטעים קצרים",OR($M413="מבין",$M413="מבין לרוב")),"פרופיל 1","פרופיל 2")))))))</f>
        <v/>
      </c>
      <c r="R413" s="32">
        <f>IF($C413="","",IF(OR($Q413="",LEFT($Q413,1)="—"),"קבוצה רביעית",IF($Q413="פרופיל 5","קבוצת תשתיות",IF(OR($Q413="פרופיל 4",$Q413="פרופיל 3"),"קבוצת רכישה","קבוצת ביסוס"))))</f>
        <v/>
      </c>
      <c r="S413" s="32">
        <f>IF($F413="","",IF($F413="תחילת שנה",1,IF($F413="מחצית שנה",2,3)))</f>
        <v/>
      </c>
      <c r="T413" s="32">
        <f>IF(OR($B413="",$R413="",$A413="",$F413=""),"",$B413&amp;"|"&amp;$A413&amp;"|"&amp;$F413&amp;"|"&amp;$R413&amp;"|"&amp;COUNTIFS($B$6:$B413,$B413,$A$6:$A413,$A413,$F$6:$F413,$F413,$R$6:$R413,$R413))</f>
        <v/>
      </c>
      <c r="U413" s="32">
        <f>IF($C413="","",$C413&amp;"|"&amp;COUNTIFS($C$6:$C413,$C413))</f>
        <v/>
      </c>
      <c r="V413" s="32">
        <f>IF(OR($C413="",$A413="",$S413=""),"",$C413&amp;"|"&amp;$A413&amp;"|"&amp;$S413)</f>
        <v/>
      </c>
      <c r="W413" s="32">
        <f>IF(OR($C413="",$S413="",$S413=1),"",IFERROR(INDEX($Q$6:$Q$1505,MATCH($C413&amp;"|"&amp;$A413&amp;"|"&amp;($S413-1),$V$6:$V$1505,0)),""))</f>
        <v/>
      </c>
      <c r="X413" s="32">
        <f>IF(OR($W413="",$Q413="",LEFT($Q413,1)="—"),"",IF($W413=$Q413,"ללא שינוי","מ-"&amp;$W413&amp;" ל-"&amp;$Q413))</f>
        <v/>
      </c>
    </row>
    <row r="414" ht="15.75" customHeight="1" s="58">
      <c r="A414" s="65" t="n"/>
      <c r="B414" s="65" t="n"/>
      <c r="C414" s="66" t="n"/>
      <c r="D414" s="66" t="n"/>
      <c r="E414" s="65" t="n"/>
      <c r="F414" s="65" t="n"/>
      <c r="G414" s="65" t="n"/>
      <c r="H414" s="65" t="n"/>
      <c r="I414" s="65" t="n"/>
      <c r="J414" s="65" t="n"/>
      <c r="K414" s="65" t="n"/>
      <c r="L414" s="65" t="n"/>
      <c r="M414" s="65" t="n"/>
      <c r="N414" s="65" t="n"/>
      <c r="O414" s="65" t="n"/>
      <c r="P414" s="65" t="n"/>
      <c r="Q414" s="32">
        <f>IF($C414="","",IF($J414="","— חסרים נתונים",IF($J414="טרם מפענח","פרופיל 5",IF($J414="קמץ/פתח/חטף-פתח ושוואים","פרופיל 4",IF($J414="2-3 סימני ניקוד","פרופיל 3",IF($J414="4-5 סימני ניקוד","פרופיל 2",IF(AND($O414="משפטים וקטעים קצרים",OR($M414="מבין",$M414="מבין לרוב")),"פרופיל 1","פרופיל 2")))))))</f>
        <v/>
      </c>
      <c r="R414" s="32">
        <f>IF($C414="","",IF(OR($Q414="",LEFT($Q414,1)="—"),"קבוצה רביעית",IF($Q414="פרופיל 5","קבוצת תשתיות",IF(OR($Q414="פרופיל 4",$Q414="פרופיל 3"),"קבוצת רכישה","קבוצת ביסוס"))))</f>
        <v/>
      </c>
      <c r="S414" s="32">
        <f>IF($F414="","",IF($F414="תחילת שנה",1,IF($F414="מחצית שנה",2,3)))</f>
        <v/>
      </c>
      <c r="T414" s="32">
        <f>IF(OR($B414="",$R414="",$A414="",$F414=""),"",$B414&amp;"|"&amp;$A414&amp;"|"&amp;$F414&amp;"|"&amp;$R414&amp;"|"&amp;COUNTIFS($B$6:$B414,$B414,$A$6:$A414,$A414,$F$6:$F414,$F414,$R$6:$R414,$R414))</f>
        <v/>
      </c>
      <c r="U414" s="32">
        <f>IF($C414="","",$C414&amp;"|"&amp;COUNTIFS($C$6:$C414,$C414))</f>
        <v/>
      </c>
      <c r="V414" s="32">
        <f>IF(OR($C414="",$A414="",$S414=""),"",$C414&amp;"|"&amp;$A414&amp;"|"&amp;$S414)</f>
        <v/>
      </c>
      <c r="W414" s="32">
        <f>IF(OR($C414="",$S414="",$S414=1),"",IFERROR(INDEX($Q$6:$Q$1505,MATCH($C414&amp;"|"&amp;$A414&amp;"|"&amp;($S414-1),$V$6:$V$1505,0)),""))</f>
        <v/>
      </c>
      <c r="X414" s="32">
        <f>IF(OR($W414="",$Q414="",LEFT($Q414,1)="—"),"",IF($W414=$Q414,"ללא שינוי","מ-"&amp;$W414&amp;" ל-"&amp;$Q414))</f>
        <v/>
      </c>
    </row>
    <row r="415" ht="15.75" customHeight="1" s="58">
      <c r="A415" s="65" t="n"/>
      <c r="B415" s="65" t="n"/>
      <c r="C415" s="66" t="n"/>
      <c r="D415" s="66" t="n"/>
      <c r="E415" s="65" t="n"/>
      <c r="F415" s="65" t="n"/>
      <c r="G415" s="65" t="n"/>
      <c r="H415" s="65" t="n"/>
      <c r="I415" s="65" t="n"/>
      <c r="J415" s="65" t="n"/>
      <c r="K415" s="65" t="n"/>
      <c r="L415" s="65" t="n"/>
      <c r="M415" s="65" t="n"/>
      <c r="N415" s="65" t="n"/>
      <c r="O415" s="65" t="n"/>
      <c r="P415" s="65" t="n"/>
      <c r="Q415" s="32">
        <f>IF($C415="","",IF($J415="","— חסרים נתונים",IF($J415="טרם מפענח","פרופיל 5",IF($J415="קמץ/פתח/חטף-פתח ושוואים","פרופיל 4",IF($J415="2-3 סימני ניקוד","פרופיל 3",IF($J415="4-5 סימני ניקוד","פרופיל 2",IF(AND($O415="משפטים וקטעים קצרים",OR($M415="מבין",$M415="מבין לרוב")),"פרופיל 1","פרופיל 2")))))))</f>
        <v/>
      </c>
      <c r="R415" s="32">
        <f>IF($C415="","",IF(OR($Q415="",LEFT($Q415,1)="—"),"קבוצה רביעית",IF($Q415="פרופיל 5","קבוצת תשתיות",IF(OR($Q415="פרופיל 4",$Q415="פרופיל 3"),"קבוצת רכישה","קבוצת ביסוס"))))</f>
        <v/>
      </c>
      <c r="S415" s="32">
        <f>IF($F415="","",IF($F415="תחילת שנה",1,IF($F415="מחצית שנה",2,3)))</f>
        <v/>
      </c>
      <c r="T415" s="32">
        <f>IF(OR($B415="",$R415="",$A415="",$F415=""),"",$B415&amp;"|"&amp;$A415&amp;"|"&amp;$F415&amp;"|"&amp;$R415&amp;"|"&amp;COUNTIFS($B$6:$B415,$B415,$A$6:$A415,$A415,$F$6:$F415,$F415,$R$6:$R415,$R415))</f>
        <v/>
      </c>
      <c r="U415" s="32">
        <f>IF($C415="","",$C415&amp;"|"&amp;COUNTIFS($C$6:$C415,$C415))</f>
        <v/>
      </c>
      <c r="V415" s="32">
        <f>IF(OR($C415="",$A415="",$S415=""),"",$C415&amp;"|"&amp;$A415&amp;"|"&amp;$S415)</f>
        <v/>
      </c>
      <c r="W415" s="32">
        <f>IF(OR($C415="",$S415="",$S415=1),"",IFERROR(INDEX($Q$6:$Q$1505,MATCH($C415&amp;"|"&amp;$A415&amp;"|"&amp;($S415-1),$V$6:$V$1505,0)),""))</f>
        <v/>
      </c>
      <c r="X415" s="32">
        <f>IF(OR($W415="",$Q415="",LEFT($Q415,1)="—"),"",IF($W415=$Q415,"ללא שינוי","מ-"&amp;$W415&amp;" ל-"&amp;$Q415))</f>
        <v/>
      </c>
    </row>
    <row r="416" ht="15.75" customHeight="1" s="58">
      <c r="A416" s="65" t="n"/>
      <c r="B416" s="65" t="n"/>
      <c r="C416" s="66" t="n"/>
      <c r="D416" s="66" t="n"/>
      <c r="E416" s="65" t="n"/>
      <c r="F416" s="65" t="n"/>
      <c r="G416" s="65" t="n"/>
      <c r="H416" s="65" t="n"/>
      <c r="I416" s="65" t="n"/>
      <c r="J416" s="65" t="n"/>
      <c r="K416" s="65" t="n"/>
      <c r="L416" s="65" t="n"/>
      <c r="M416" s="65" t="n"/>
      <c r="N416" s="65" t="n"/>
      <c r="O416" s="65" t="n"/>
      <c r="P416" s="65" t="n"/>
      <c r="Q416" s="32">
        <f>IF($C416="","",IF($J416="","— חסרים נתונים",IF($J416="טרם מפענח","פרופיל 5",IF($J416="קמץ/פתח/חטף-פתח ושוואים","פרופיל 4",IF($J416="2-3 סימני ניקוד","פרופיל 3",IF($J416="4-5 סימני ניקוד","פרופיל 2",IF(AND($O416="משפטים וקטעים קצרים",OR($M416="מבין",$M416="מבין לרוב")),"פרופיל 1","פרופיל 2")))))))</f>
        <v/>
      </c>
      <c r="R416" s="32">
        <f>IF($C416="","",IF(OR($Q416="",LEFT($Q416,1)="—"),"קבוצה רביעית",IF($Q416="פרופיל 5","קבוצת תשתיות",IF(OR($Q416="פרופיל 4",$Q416="פרופיל 3"),"קבוצת רכישה","קבוצת ביסוס"))))</f>
        <v/>
      </c>
      <c r="S416" s="32">
        <f>IF($F416="","",IF($F416="תחילת שנה",1,IF($F416="מחצית שנה",2,3)))</f>
        <v/>
      </c>
      <c r="T416" s="32">
        <f>IF(OR($B416="",$R416="",$A416="",$F416=""),"",$B416&amp;"|"&amp;$A416&amp;"|"&amp;$F416&amp;"|"&amp;$R416&amp;"|"&amp;COUNTIFS($B$6:$B416,$B416,$A$6:$A416,$A416,$F$6:$F416,$F416,$R$6:$R416,$R416))</f>
        <v/>
      </c>
      <c r="U416" s="32">
        <f>IF($C416="","",$C416&amp;"|"&amp;COUNTIFS($C$6:$C416,$C416))</f>
        <v/>
      </c>
      <c r="V416" s="32">
        <f>IF(OR($C416="",$A416="",$S416=""),"",$C416&amp;"|"&amp;$A416&amp;"|"&amp;$S416)</f>
        <v/>
      </c>
      <c r="W416" s="32">
        <f>IF(OR($C416="",$S416="",$S416=1),"",IFERROR(INDEX($Q$6:$Q$1505,MATCH($C416&amp;"|"&amp;$A416&amp;"|"&amp;($S416-1),$V$6:$V$1505,0)),""))</f>
        <v/>
      </c>
      <c r="X416" s="32">
        <f>IF(OR($W416="",$Q416="",LEFT($Q416,1)="—"),"",IF($W416=$Q416,"ללא שינוי","מ-"&amp;$W416&amp;" ל-"&amp;$Q416))</f>
        <v/>
      </c>
    </row>
    <row r="417" ht="15.75" customHeight="1" s="58">
      <c r="A417" s="65" t="n"/>
      <c r="B417" s="65" t="n"/>
      <c r="C417" s="66" t="n"/>
      <c r="D417" s="66" t="n"/>
      <c r="E417" s="65" t="n"/>
      <c r="F417" s="65" t="n"/>
      <c r="G417" s="65" t="n"/>
      <c r="H417" s="65" t="n"/>
      <c r="I417" s="65" t="n"/>
      <c r="J417" s="65" t="n"/>
      <c r="K417" s="65" t="n"/>
      <c r="L417" s="65" t="n"/>
      <c r="M417" s="65" t="n"/>
      <c r="N417" s="65" t="n"/>
      <c r="O417" s="65" t="n"/>
      <c r="P417" s="65" t="n"/>
      <c r="Q417" s="32">
        <f>IF($C417="","",IF($J417="","— חסרים נתונים",IF($J417="טרם מפענח","פרופיל 5",IF($J417="קמץ/פתח/חטף-פתח ושוואים","פרופיל 4",IF($J417="2-3 סימני ניקוד","פרופיל 3",IF($J417="4-5 סימני ניקוד","פרופיל 2",IF(AND($O417="משפטים וקטעים קצרים",OR($M417="מבין",$M417="מבין לרוב")),"פרופיל 1","פרופיל 2")))))))</f>
        <v/>
      </c>
      <c r="R417" s="32">
        <f>IF($C417="","",IF(OR($Q417="",LEFT($Q417,1)="—"),"קבוצה רביעית",IF($Q417="פרופיל 5","קבוצת תשתיות",IF(OR($Q417="פרופיל 4",$Q417="פרופיל 3"),"קבוצת רכישה","קבוצת ביסוס"))))</f>
        <v/>
      </c>
      <c r="S417" s="32">
        <f>IF($F417="","",IF($F417="תחילת שנה",1,IF($F417="מחצית שנה",2,3)))</f>
        <v/>
      </c>
      <c r="T417" s="32">
        <f>IF(OR($B417="",$R417="",$A417="",$F417=""),"",$B417&amp;"|"&amp;$A417&amp;"|"&amp;$F417&amp;"|"&amp;$R417&amp;"|"&amp;COUNTIFS($B$6:$B417,$B417,$A$6:$A417,$A417,$F$6:$F417,$F417,$R$6:$R417,$R417))</f>
        <v/>
      </c>
      <c r="U417" s="32">
        <f>IF($C417="","",$C417&amp;"|"&amp;COUNTIFS($C$6:$C417,$C417))</f>
        <v/>
      </c>
      <c r="V417" s="32">
        <f>IF(OR($C417="",$A417="",$S417=""),"",$C417&amp;"|"&amp;$A417&amp;"|"&amp;$S417)</f>
        <v/>
      </c>
      <c r="W417" s="32">
        <f>IF(OR($C417="",$S417="",$S417=1),"",IFERROR(INDEX($Q$6:$Q$1505,MATCH($C417&amp;"|"&amp;$A417&amp;"|"&amp;($S417-1),$V$6:$V$1505,0)),""))</f>
        <v/>
      </c>
      <c r="X417" s="32">
        <f>IF(OR($W417="",$Q417="",LEFT($Q417,1)="—"),"",IF($W417=$Q417,"ללא שינוי","מ-"&amp;$W417&amp;" ל-"&amp;$Q417))</f>
        <v/>
      </c>
    </row>
    <row r="418" ht="15.75" customHeight="1" s="58">
      <c r="A418" s="65" t="n"/>
      <c r="B418" s="65" t="n"/>
      <c r="C418" s="66" t="n"/>
      <c r="D418" s="66" t="n"/>
      <c r="E418" s="65" t="n"/>
      <c r="F418" s="65" t="n"/>
      <c r="G418" s="65" t="n"/>
      <c r="H418" s="65" t="n"/>
      <c r="I418" s="65" t="n"/>
      <c r="J418" s="65" t="n"/>
      <c r="K418" s="65" t="n"/>
      <c r="L418" s="65" t="n"/>
      <c r="M418" s="65" t="n"/>
      <c r="N418" s="65" t="n"/>
      <c r="O418" s="65" t="n"/>
      <c r="P418" s="65" t="n"/>
      <c r="Q418" s="32">
        <f>IF($C418="","",IF($J418="","— חסרים נתונים",IF($J418="טרם מפענח","פרופיל 5",IF($J418="קמץ/פתח/חטף-פתח ושוואים","פרופיל 4",IF($J418="2-3 סימני ניקוד","פרופיל 3",IF($J418="4-5 סימני ניקוד","פרופיל 2",IF(AND($O418="משפטים וקטעים קצרים",OR($M418="מבין",$M418="מבין לרוב")),"פרופיל 1","פרופיל 2")))))))</f>
        <v/>
      </c>
      <c r="R418" s="32">
        <f>IF($C418="","",IF(OR($Q418="",LEFT($Q418,1)="—"),"קבוצה רביעית",IF($Q418="פרופיל 5","קבוצת תשתיות",IF(OR($Q418="פרופיל 4",$Q418="פרופיל 3"),"קבוצת רכישה","קבוצת ביסוס"))))</f>
        <v/>
      </c>
      <c r="S418" s="32">
        <f>IF($F418="","",IF($F418="תחילת שנה",1,IF($F418="מחצית שנה",2,3)))</f>
        <v/>
      </c>
      <c r="T418" s="32">
        <f>IF(OR($B418="",$R418="",$A418="",$F418=""),"",$B418&amp;"|"&amp;$A418&amp;"|"&amp;$F418&amp;"|"&amp;$R418&amp;"|"&amp;COUNTIFS($B$6:$B418,$B418,$A$6:$A418,$A418,$F$6:$F418,$F418,$R$6:$R418,$R418))</f>
        <v/>
      </c>
      <c r="U418" s="32">
        <f>IF($C418="","",$C418&amp;"|"&amp;COUNTIFS($C$6:$C418,$C418))</f>
        <v/>
      </c>
      <c r="V418" s="32">
        <f>IF(OR($C418="",$A418="",$S418=""),"",$C418&amp;"|"&amp;$A418&amp;"|"&amp;$S418)</f>
        <v/>
      </c>
      <c r="W418" s="32">
        <f>IF(OR($C418="",$S418="",$S418=1),"",IFERROR(INDEX($Q$6:$Q$1505,MATCH($C418&amp;"|"&amp;$A418&amp;"|"&amp;($S418-1),$V$6:$V$1505,0)),""))</f>
        <v/>
      </c>
      <c r="X418" s="32">
        <f>IF(OR($W418="",$Q418="",LEFT($Q418,1)="—"),"",IF($W418=$Q418,"ללא שינוי","מ-"&amp;$W418&amp;" ל-"&amp;$Q418))</f>
        <v/>
      </c>
    </row>
    <row r="419" ht="15.75" customHeight="1" s="58">
      <c r="A419" s="65" t="n"/>
      <c r="B419" s="65" t="n"/>
      <c r="C419" s="66" t="n"/>
      <c r="D419" s="66" t="n"/>
      <c r="E419" s="65" t="n"/>
      <c r="F419" s="65" t="n"/>
      <c r="G419" s="65" t="n"/>
      <c r="H419" s="65" t="n"/>
      <c r="I419" s="65" t="n"/>
      <c r="J419" s="65" t="n"/>
      <c r="K419" s="65" t="n"/>
      <c r="L419" s="65" t="n"/>
      <c r="M419" s="65" t="n"/>
      <c r="N419" s="65" t="n"/>
      <c r="O419" s="65" t="n"/>
      <c r="P419" s="65" t="n"/>
      <c r="Q419" s="32">
        <f>IF($C419="","",IF($J419="","— חסרים נתונים",IF($J419="טרם מפענח","פרופיל 5",IF($J419="קמץ/פתח/חטף-פתח ושוואים","פרופיל 4",IF($J419="2-3 סימני ניקוד","פרופיל 3",IF($J419="4-5 סימני ניקוד","פרופיל 2",IF(AND($O419="משפטים וקטעים קצרים",OR($M419="מבין",$M419="מבין לרוב")),"פרופיל 1","פרופיל 2")))))))</f>
        <v/>
      </c>
      <c r="R419" s="32">
        <f>IF($C419="","",IF(OR($Q419="",LEFT($Q419,1)="—"),"קבוצה רביעית",IF($Q419="פרופיל 5","קבוצת תשתיות",IF(OR($Q419="פרופיל 4",$Q419="פרופיל 3"),"קבוצת רכישה","קבוצת ביסוס"))))</f>
        <v/>
      </c>
      <c r="S419" s="32">
        <f>IF($F419="","",IF($F419="תחילת שנה",1,IF($F419="מחצית שנה",2,3)))</f>
        <v/>
      </c>
      <c r="T419" s="32">
        <f>IF(OR($B419="",$R419="",$A419="",$F419=""),"",$B419&amp;"|"&amp;$A419&amp;"|"&amp;$F419&amp;"|"&amp;$R419&amp;"|"&amp;COUNTIFS($B$6:$B419,$B419,$A$6:$A419,$A419,$F$6:$F419,$F419,$R$6:$R419,$R419))</f>
        <v/>
      </c>
      <c r="U419" s="32">
        <f>IF($C419="","",$C419&amp;"|"&amp;COUNTIFS($C$6:$C419,$C419))</f>
        <v/>
      </c>
      <c r="V419" s="32">
        <f>IF(OR($C419="",$A419="",$S419=""),"",$C419&amp;"|"&amp;$A419&amp;"|"&amp;$S419)</f>
        <v/>
      </c>
      <c r="W419" s="32">
        <f>IF(OR($C419="",$S419="",$S419=1),"",IFERROR(INDEX($Q$6:$Q$1505,MATCH($C419&amp;"|"&amp;$A419&amp;"|"&amp;($S419-1),$V$6:$V$1505,0)),""))</f>
        <v/>
      </c>
      <c r="X419" s="32">
        <f>IF(OR($W419="",$Q419="",LEFT($Q419,1)="—"),"",IF($W419=$Q419,"ללא שינוי","מ-"&amp;$W419&amp;" ל-"&amp;$Q419))</f>
        <v/>
      </c>
    </row>
    <row r="420" ht="15.75" customHeight="1" s="58">
      <c r="A420" s="65" t="n"/>
      <c r="B420" s="65" t="n"/>
      <c r="C420" s="66" t="n"/>
      <c r="D420" s="66" t="n"/>
      <c r="E420" s="65" t="n"/>
      <c r="F420" s="65" t="n"/>
      <c r="G420" s="65" t="n"/>
      <c r="H420" s="65" t="n"/>
      <c r="I420" s="65" t="n"/>
      <c r="J420" s="65" t="n"/>
      <c r="K420" s="65" t="n"/>
      <c r="L420" s="65" t="n"/>
      <c r="M420" s="65" t="n"/>
      <c r="N420" s="65" t="n"/>
      <c r="O420" s="65" t="n"/>
      <c r="P420" s="65" t="n"/>
      <c r="Q420" s="32">
        <f>IF($C420="","",IF($J420="","— חסרים נתונים",IF($J420="טרם מפענח","פרופיל 5",IF($J420="קמץ/פתח/חטף-פתח ושוואים","פרופיל 4",IF($J420="2-3 סימני ניקוד","פרופיל 3",IF($J420="4-5 סימני ניקוד","פרופיל 2",IF(AND($O420="משפטים וקטעים קצרים",OR($M420="מבין",$M420="מבין לרוב")),"פרופיל 1","פרופיל 2")))))))</f>
        <v/>
      </c>
      <c r="R420" s="32">
        <f>IF($C420="","",IF(OR($Q420="",LEFT($Q420,1)="—"),"קבוצה רביעית",IF($Q420="פרופיל 5","קבוצת תשתיות",IF(OR($Q420="פרופיל 4",$Q420="פרופיל 3"),"קבוצת רכישה","קבוצת ביסוס"))))</f>
        <v/>
      </c>
      <c r="S420" s="32">
        <f>IF($F420="","",IF($F420="תחילת שנה",1,IF($F420="מחצית שנה",2,3)))</f>
        <v/>
      </c>
      <c r="T420" s="32">
        <f>IF(OR($B420="",$R420="",$A420="",$F420=""),"",$B420&amp;"|"&amp;$A420&amp;"|"&amp;$F420&amp;"|"&amp;$R420&amp;"|"&amp;COUNTIFS($B$6:$B420,$B420,$A$6:$A420,$A420,$F$6:$F420,$F420,$R$6:$R420,$R420))</f>
        <v/>
      </c>
      <c r="U420" s="32">
        <f>IF($C420="","",$C420&amp;"|"&amp;COUNTIFS($C$6:$C420,$C420))</f>
        <v/>
      </c>
      <c r="V420" s="32">
        <f>IF(OR($C420="",$A420="",$S420=""),"",$C420&amp;"|"&amp;$A420&amp;"|"&amp;$S420)</f>
        <v/>
      </c>
      <c r="W420" s="32">
        <f>IF(OR($C420="",$S420="",$S420=1),"",IFERROR(INDEX($Q$6:$Q$1505,MATCH($C420&amp;"|"&amp;$A420&amp;"|"&amp;($S420-1),$V$6:$V$1505,0)),""))</f>
        <v/>
      </c>
      <c r="X420" s="32">
        <f>IF(OR($W420="",$Q420="",LEFT($Q420,1)="—"),"",IF($W420=$Q420,"ללא שינוי","מ-"&amp;$W420&amp;" ל-"&amp;$Q420))</f>
        <v/>
      </c>
    </row>
    <row r="421" ht="15.75" customHeight="1" s="58">
      <c r="A421" s="65" t="n"/>
      <c r="B421" s="65" t="n"/>
      <c r="C421" s="66" t="n"/>
      <c r="D421" s="66" t="n"/>
      <c r="E421" s="65" t="n"/>
      <c r="F421" s="65" t="n"/>
      <c r="G421" s="65" t="n"/>
      <c r="H421" s="65" t="n"/>
      <c r="I421" s="65" t="n"/>
      <c r="J421" s="65" t="n"/>
      <c r="K421" s="65" t="n"/>
      <c r="L421" s="65" t="n"/>
      <c r="M421" s="65" t="n"/>
      <c r="N421" s="65" t="n"/>
      <c r="O421" s="65" t="n"/>
      <c r="P421" s="65" t="n"/>
      <c r="Q421" s="32">
        <f>IF($C421="","",IF($J421="","— חסרים נתונים",IF($J421="טרם מפענח","פרופיל 5",IF($J421="קמץ/פתח/חטף-פתח ושוואים","פרופיל 4",IF($J421="2-3 סימני ניקוד","פרופיל 3",IF($J421="4-5 סימני ניקוד","פרופיל 2",IF(AND($O421="משפטים וקטעים קצרים",OR($M421="מבין",$M421="מבין לרוב")),"פרופיל 1","פרופיל 2")))))))</f>
        <v/>
      </c>
      <c r="R421" s="32">
        <f>IF($C421="","",IF(OR($Q421="",LEFT($Q421,1)="—"),"קבוצה רביעית",IF($Q421="פרופיל 5","קבוצת תשתיות",IF(OR($Q421="פרופיל 4",$Q421="פרופיל 3"),"קבוצת רכישה","קבוצת ביסוס"))))</f>
        <v/>
      </c>
      <c r="S421" s="32">
        <f>IF($F421="","",IF($F421="תחילת שנה",1,IF($F421="מחצית שנה",2,3)))</f>
        <v/>
      </c>
      <c r="T421" s="32">
        <f>IF(OR($B421="",$R421="",$A421="",$F421=""),"",$B421&amp;"|"&amp;$A421&amp;"|"&amp;$F421&amp;"|"&amp;$R421&amp;"|"&amp;COUNTIFS($B$6:$B421,$B421,$A$6:$A421,$A421,$F$6:$F421,$F421,$R$6:$R421,$R421))</f>
        <v/>
      </c>
      <c r="U421" s="32">
        <f>IF($C421="","",$C421&amp;"|"&amp;COUNTIFS($C$6:$C421,$C421))</f>
        <v/>
      </c>
      <c r="V421" s="32">
        <f>IF(OR($C421="",$A421="",$S421=""),"",$C421&amp;"|"&amp;$A421&amp;"|"&amp;$S421)</f>
        <v/>
      </c>
      <c r="W421" s="32">
        <f>IF(OR($C421="",$S421="",$S421=1),"",IFERROR(INDEX($Q$6:$Q$1505,MATCH($C421&amp;"|"&amp;$A421&amp;"|"&amp;($S421-1),$V$6:$V$1505,0)),""))</f>
        <v/>
      </c>
      <c r="X421" s="32">
        <f>IF(OR($W421="",$Q421="",LEFT($Q421,1)="—"),"",IF($W421=$Q421,"ללא שינוי","מ-"&amp;$W421&amp;" ל-"&amp;$Q421))</f>
        <v/>
      </c>
    </row>
    <row r="422" ht="15.75" customHeight="1" s="58">
      <c r="A422" s="65" t="n"/>
      <c r="B422" s="65" t="n"/>
      <c r="C422" s="66" t="n"/>
      <c r="D422" s="66" t="n"/>
      <c r="E422" s="65" t="n"/>
      <c r="F422" s="65" t="n"/>
      <c r="G422" s="65" t="n"/>
      <c r="H422" s="65" t="n"/>
      <c r="I422" s="65" t="n"/>
      <c r="J422" s="65" t="n"/>
      <c r="K422" s="65" t="n"/>
      <c r="L422" s="65" t="n"/>
      <c r="M422" s="65" t="n"/>
      <c r="N422" s="65" t="n"/>
      <c r="O422" s="65" t="n"/>
      <c r="P422" s="65" t="n"/>
      <c r="Q422" s="32">
        <f>IF($C422="","",IF($J422="","— חסרים נתונים",IF($J422="טרם מפענח","פרופיל 5",IF($J422="קמץ/פתח/חטף-פתח ושוואים","פרופיל 4",IF($J422="2-3 סימני ניקוד","פרופיל 3",IF($J422="4-5 סימני ניקוד","פרופיל 2",IF(AND($O422="משפטים וקטעים קצרים",OR($M422="מבין",$M422="מבין לרוב")),"פרופיל 1","פרופיל 2")))))))</f>
        <v/>
      </c>
      <c r="R422" s="32">
        <f>IF($C422="","",IF(OR($Q422="",LEFT($Q422,1)="—"),"קבוצה רביעית",IF($Q422="פרופיל 5","קבוצת תשתיות",IF(OR($Q422="פרופיל 4",$Q422="פרופיל 3"),"קבוצת רכישה","קבוצת ביסוס"))))</f>
        <v/>
      </c>
      <c r="S422" s="32">
        <f>IF($F422="","",IF($F422="תחילת שנה",1,IF($F422="מחצית שנה",2,3)))</f>
        <v/>
      </c>
      <c r="T422" s="32">
        <f>IF(OR($B422="",$R422="",$A422="",$F422=""),"",$B422&amp;"|"&amp;$A422&amp;"|"&amp;$F422&amp;"|"&amp;$R422&amp;"|"&amp;COUNTIFS($B$6:$B422,$B422,$A$6:$A422,$A422,$F$6:$F422,$F422,$R$6:$R422,$R422))</f>
        <v/>
      </c>
      <c r="U422" s="32">
        <f>IF($C422="","",$C422&amp;"|"&amp;COUNTIFS($C$6:$C422,$C422))</f>
        <v/>
      </c>
      <c r="V422" s="32">
        <f>IF(OR($C422="",$A422="",$S422=""),"",$C422&amp;"|"&amp;$A422&amp;"|"&amp;$S422)</f>
        <v/>
      </c>
      <c r="W422" s="32">
        <f>IF(OR($C422="",$S422="",$S422=1),"",IFERROR(INDEX($Q$6:$Q$1505,MATCH($C422&amp;"|"&amp;$A422&amp;"|"&amp;($S422-1),$V$6:$V$1505,0)),""))</f>
        <v/>
      </c>
      <c r="X422" s="32">
        <f>IF(OR($W422="",$Q422="",LEFT($Q422,1)="—"),"",IF($W422=$Q422,"ללא שינוי","מ-"&amp;$W422&amp;" ל-"&amp;$Q422))</f>
        <v/>
      </c>
    </row>
    <row r="423" ht="15.75" customHeight="1" s="58">
      <c r="A423" s="65" t="n"/>
      <c r="B423" s="65" t="n"/>
      <c r="C423" s="66" t="n"/>
      <c r="D423" s="66" t="n"/>
      <c r="E423" s="65" t="n"/>
      <c r="F423" s="65" t="n"/>
      <c r="G423" s="65" t="n"/>
      <c r="H423" s="65" t="n"/>
      <c r="I423" s="65" t="n"/>
      <c r="J423" s="65" t="n"/>
      <c r="K423" s="65" t="n"/>
      <c r="L423" s="65" t="n"/>
      <c r="M423" s="65" t="n"/>
      <c r="N423" s="65" t="n"/>
      <c r="O423" s="65" t="n"/>
      <c r="P423" s="65" t="n"/>
      <c r="Q423" s="32">
        <f>IF($C423="","",IF($J423="","— חסרים נתונים",IF($J423="טרם מפענח","פרופיל 5",IF($J423="קמץ/פתח/חטף-פתח ושוואים","פרופיל 4",IF($J423="2-3 סימני ניקוד","פרופיל 3",IF($J423="4-5 סימני ניקוד","פרופיל 2",IF(AND($O423="משפטים וקטעים קצרים",OR($M423="מבין",$M423="מבין לרוב")),"פרופיל 1","פרופיל 2")))))))</f>
        <v/>
      </c>
      <c r="R423" s="32">
        <f>IF($C423="","",IF(OR($Q423="",LEFT($Q423,1)="—"),"קבוצה רביעית",IF($Q423="פרופיל 5","קבוצת תשתיות",IF(OR($Q423="פרופיל 4",$Q423="פרופיל 3"),"קבוצת רכישה","קבוצת ביסוס"))))</f>
        <v/>
      </c>
      <c r="S423" s="32">
        <f>IF($F423="","",IF($F423="תחילת שנה",1,IF($F423="מחצית שנה",2,3)))</f>
        <v/>
      </c>
      <c r="T423" s="32">
        <f>IF(OR($B423="",$R423="",$A423="",$F423=""),"",$B423&amp;"|"&amp;$A423&amp;"|"&amp;$F423&amp;"|"&amp;$R423&amp;"|"&amp;COUNTIFS($B$6:$B423,$B423,$A$6:$A423,$A423,$F$6:$F423,$F423,$R$6:$R423,$R423))</f>
        <v/>
      </c>
      <c r="U423" s="32">
        <f>IF($C423="","",$C423&amp;"|"&amp;COUNTIFS($C$6:$C423,$C423))</f>
        <v/>
      </c>
      <c r="V423" s="32">
        <f>IF(OR($C423="",$A423="",$S423=""),"",$C423&amp;"|"&amp;$A423&amp;"|"&amp;$S423)</f>
        <v/>
      </c>
      <c r="W423" s="32">
        <f>IF(OR($C423="",$S423="",$S423=1),"",IFERROR(INDEX($Q$6:$Q$1505,MATCH($C423&amp;"|"&amp;$A423&amp;"|"&amp;($S423-1),$V$6:$V$1505,0)),""))</f>
        <v/>
      </c>
      <c r="X423" s="32">
        <f>IF(OR($W423="",$Q423="",LEFT($Q423,1)="—"),"",IF($W423=$Q423,"ללא שינוי","מ-"&amp;$W423&amp;" ל-"&amp;$Q423))</f>
        <v/>
      </c>
    </row>
    <row r="424" ht="15.75" customHeight="1" s="58">
      <c r="A424" s="65" t="n"/>
      <c r="B424" s="65" t="n"/>
      <c r="C424" s="66" t="n"/>
      <c r="D424" s="66" t="n"/>
      <c r="E424" s="65" t="n"/>
      <c r="F424" s="65" t="n"/>
      <c r="G424" s="65" t="n"/>
      <c r="H424" s="65" t="n"/>
      <c r="I424" s="65" t="n"/>
      <c r="J424" s="65" t="n"/>
      <c r="K424" s="65" t="n"/>
      <c r="L424" s="65" t="n"/>
      <c r="M424" s="65" t="n"/>
      <c r="N424" s="65" t="n"/>
      <c r="O424" s="65" t="n"/>
      <c r="P424" s="65" t="n"/>
      <c r="Q424" s="32">
        <f>IF($C424="","",IF($J424="","— חסרים נתונים",IF($J424="טרם מפענח","פרופיל 5",IF($J424="קמץ/פתח/חטף-פתח ושוואים","פרופיל 4",IF($J424="2-3 סימני ניקוד","פרופיל 3",IF($J424="4-5 סימני ניקוד","פרופיל 2",IF(AND($O424="משפטים וקטעים קצרים",OR($M424="מבין",$M424="מבין לרוב")),"פרופיל 1","פרופיל 2")))))))</f>
        <v/>
      </c>
      <c r="R424" s="32">
        <f>IF($C424="","",IF(OR($Q424="",LEFT($Q424,1)="—"),"קבוצה רביעית",IF($Q424="פרופיל 5","קבוצת תשתיות",IF(OR($Q424="פרופיל 4",$Q424="פרופיל 3"),"קבוצת רכישה","קבוצת ביסוס"))))</f>
        <v/>
      </c>
      <c r="S424" s="32">
        <f>IF($F424="","",IF($F424="תחילת שנה",1,IF($F424="מחצית שנה",2,3)))</f>
        <v/>
      </c>
      <c r="T424" s="32">
        <f>IF(OR($B424="",$R424="",$A424="",$F424=""),"",$B424&amp;"|"&amp;$A424&amp;"|"&amp;$F424&amp;"|"&amp;$R424&amp;"|"&amp;COUNTIFS($B$6:$B424,$B424,$A$6:$A424,$A424,$F$6:$F424,$F424,$R$6:$R424,$R424))</f>
        <v/>
      </c>
      <c r="U424" s="32">
        <f>IF($C424="","",$C424&amp;"|"&amp;COUNTIFS($C$6:$C424,$C424))</f>
        <v/>
      </c>
      <c r="V424" s="32">
        <f>IF(OR($C424="",$A424="",$S424=""),"",$C424&amp;"|"&amp;$A424&amp;"|"&amp;$S424)</f>
        <v/>
      </c>
      <c r="W424" s="32">
        <f>IF(OR($C424="",$S424="",$S424=1),"",IFERROR(INDEX($Q$6:$Q$1505,MATCH($C424&amp;"|"&amp;$A424&amp;"|"&amp;($S424-1),$V$6:$V$1505,0)),""))</f>
        <v/>
      </c>
      <c r="X424" s="32">
        <f>IF(OR($W424="",$Q424="",LEFT($Q424,1)="—"),"",IF($W424=$Q424,"ללא שינוי","מ-"&amp;$W424&amp;" ל-"&amp;$Q424))</f>
        <v/>
      </c>
    </row>
    <row r="425" ht="15.75" customHeight="1" s="58">
      <c r="A425" s="65" t="n"/>
      <c r="B425" s="65" t="n"/>
      <c r="C425" s="66" t="n"/>
      <c r="D425" s="66" t="n"/>
      <c r="E425" s="65" t="n"/>
      <c r="F425" s="65" t="n"/>
      <c r="G425" s="65" t="n"/>
      <c r="H425" s="65" t="n"/>
      <c r="I425" s="65" t="n"/>
      <c r="J425" s="65" t="n"/>
      <c r="K425" s="65" t="n"/>
      <c r="L425" s="65" t="n"/>
      <c r="M425" s="65" t="n"/>
      <c r="N425" s="65" t="n"/>
      <c r="O425" s="65" t="n"/>
      <c r="P425" s="65" t="n"/>
      <c r="Q425" s="32">
        <f>IF($C425="","",IF($J425="","— חסרים נתונים",IF($J425="טרם מפענח","פרופיל 5",IF($J425="קמץ/פתח/חטף-פתח ושוואים","פרופיל 4",IF($J425="2-3 סימני ניקוד","פרופיל 3",IF($J425="4-5 סימני ניקוד","פרופיל 2",IF(AND($O425="משפטים וקטעים קצרים",OR($M425="מבין",$M425="מבין לרוב")),"פרופיל 1","פרופיל 2")))))))</f>
        <v/>
      </c>
      <c r="R425" s="32">
        <f>IF($C425="","",IF(OR($Q425="",LEFT($Q425,1)="—"),"קבוצה רביעית",IF($Q425="פרופיל 5","קבוצת תשתיות",IF(OR($Q425="פרופיל 4",$Q425="פרופיל 3"),"קבוצת רכישה","קבוצת ביסוס"))))</f>
        <v/>
      </c>
      <c r="S425" s="32">
        <f>IF($F425="","",IF($F425="תחילת שנה",1,IF($F425="מחצית שנה",2,3)))</f>
        <v/>
      </c>
      <c r="T425" s="32">
        <f>IF(OR($B425="",$R425="",$A425="",$F425=""),"",$B425&amp;"|"&amp;$A425&amp;"|"&amp;$F425&amp;"|"&amp;$R425&amp;"|"&amp;COUNTIFS($B$6:$B425,$B425,$A$6:$A425,$A425,$F$6:$F425,$F425,$R$6:$R425,$R425))</f>
        <v/>
      </c>
      <c r="U425" s="32">
        <f>IF($C425="","",$C425&amp;"|"&amp;COUNTIFS($C$6:$C425,$C425))</f>
        <v/>
      </c>
      <c r="V425" s="32">
        <f>IF(OR($C425="",$A425="",$S425=""),"",$C425&amp;"|"&amp;$A425&amp;"|"&amp;$S425)</f>
        <v/>
      </c>
      <c r="W425" s="32">
        <f>IF(OR($C425="",$S425="",$S425=1),"",IFERROR(INDEX($Q$6:$Q$1505,MATCH($C425&amp;"|"&amp;$A425&amp;"|"&amp;($S425-1),$V$6:$V$1505,0)),""))</f>
        <v/>
      </c>
      <c r="X425" s="32">
        <f>IF(OR($W425="",$Q425="",LEFT($Q425,1)="—"),"",IF($W425=$Q425,"ללא שינוי","מ-"&amp;$W425&amp;" ל-"&amp;$Q425))</f>
        <v/>
      </c>
    </row>
    <row r="426" ht="15.75" customHeight="1" s="58">
      <c r="A426" s="65" t="n"/>
      <c r="B426" s="65" t="n"/>
      <c r="C426" s="66" t="n"/>
      <c r="D426" s="66" t="n"/>
      <c r="E426" s="65" t="n"/>
      <c r="F426" s="65" t="n"/>
      <c r="G426" s="65" t="n"/>
      <c r="H426" s="65" t="n"/>
      <c r="I426" s="65" t="n"/>
      <c r="J426" s="65" t="n"/>
      <c r="K426" s="65" t="n"/>
      <c r="L426" s="65" t="n"/>
      <c r="M426" s="65" t="n"/>
      <c r="N426" s="65" t="n"/>
      <c r="O426" s="65" t="n"/>
      <c r="P426" s="65" t="n"/>
      <c r="Q426" s="32">
        <f>IF($C426="","",IF($J426="","— חסרים נתונים",IF($J426="טרם מפענח","פרופיל 5",IF($J426="קמץ/פתח/חטף-פתח ושוואים","פרופיל 4",IF($J426="2-3 סימני ניקוד","פרופיל 3",IF($J426="4-5 סימני ניקוד","פרופיל 2",IF(AND($O426="משפטים וקטעים קצרים",OR($M426="מבין",$M426="מבין לרוב")),"פרופיל 1","פרופיל 2")))))))</f>
        <v/>
      </c>
      <c r="R426" s="32">
        <f>IF($C426="","",IF(OR($Q426="",LEFT($Q426,1)="—"),"קבוצה רביעית",IF($Q426="פרופיל 5","קבוצת תשתיות",IF(OR($Q426="פרופיל 4",$Q426="פרופיל 3"),"קבוצת רכישה","קבוצת ביסוס"))))</f>
        <v/>
      </c>
      <c r="S426" s="32">
        <f>IF($F426="","",IF($F426="תחילת שנה",1,IF($F426="מחצית שנה",2,3)))</f>
        <v/>
      </c>
      <c r="T426" s="32">
        <f>IF(OR($B426="",$R426="",$A426="",$F426=""),"",$B426&amp;"|"&amp;$A426&amp;"|"&amp;$F426&amp;"|"&amp;$R426&amp;"|"&amp;COUNTIFS($B$6:$B426,$B426,$A$6:$A426,$A426,$F$6:$F426,$F426,$R$6:$R426,$R426))</f>
        <v/>
      </c>
      <c r="U426" s="32">
        <f>IF($C426="","",$C426&amp;"|"&amp;COUNTIFS($C$6:$C426,$C426))</f>
        <v/>
      </c>
      <c r="V426" s="32">
        <f>IF(OR($C426="",$A426="",$S426=""),"",$C426&amp;"|"&amp;$A426&amp;"|"&amp;$S426)</f>
        <v/>
      </c>
      <c r="W426" s="32">
        <f>IF(OR($C426="",$S426="",$S426=1),"",IFERROR(INDEX($Q$6:$Q$1505,MATCH($C426&amp;"|"&amp;$A426&amp;"|"&amp;($S426-1),$V$6:$V$1505,0)),""))</f>
        <v/>
      </c>
      <c r="X426" s="32">
        <f>IF(OR($W426="",$Q426="",LEFT($Q426,1)="—"),"",IF($W426=$Q426,"ללא שינוי","מ-"&amp;$W426&amp;" ל-"&amp;$Q426))</f>
        <v/>
      </c>
    </row>
    <row r="427" ht="15.75" customHeight="1" s="58">
      <c r="A427" s="65" t="n"/>
      <c r="B427" s="65" t="n"/>
      <c r="C427" s="66" t="n"/>
      <c r="D427" s="66" t="n"/>
      <c r="E427" s="65" t="n"/>
      <c r="F427" s="65" t="n"/>
      <c r="G427" s="65" t="n"/>
      <c r="H427" s="65" t="n"/>
      <c r="I427" s="65" t="n"/>
      <c r="J427" s="65" t="n"/>
      <c r="K427" s="65" t="n"/>
      <c r="L427" s="65" t="n"/>
      <c r="M427" s="65" t="n"/>
      <c r="N427" s="65" t="n"/>
      <c r="O427" s="65" t="n"/>
      <c r="P427" s="65" t="n"/>
      <c r="Q427" s="32">
        <f>IF($C427="","",IF($J427="","— חסרים נתונים",IF($J427="טרם מפענח","פרופיל 5",IF($J427="קמץ/פתח/חטף-פתח ושוואים","פרופיל 4",IF($J427="2-3 סימני ניקוד","פרופיל 3",IF($J427="4-5 סימני ניקוד","פרופיל 2",IF(AND($O427="משפטים וקטעים קצרים",OR($M427="מבין",$M427="מבין לרוב")),"פרופיל 1","פרופיל 2")))))))</f>
        <v/>
      </c>
      <c r="R427" s="32">
        <f>IF($C427="","",IF(OR($Q427="",LEFT($Q427,1)="—"),"קבוצה רביעית",IF($Q427="פרופיל 5","קבוצת תשתיות",IF(OR($Q427="פרופיל 4",$Q427="פרופיל 3"),"קבוצת רכישה","קבוצת ביסוס"))))</f>
        <v/>
      </c>
      <c r="S427" s="32">
        <f>IF($F427="","",IF($F427="תחילת שנה",1,IF($F427="מחצית שנה",2,3)))</f>
        <v/>
      </c>
      <c r="T427" s="32">
        <f>IF(OR($B427="",$R427="",$A427="",$F427=""),"",$B427&amp;"|"&amp;$A427&amp;"|"&amp;$F427&amp;"|"&amp;$R427&amp;"|"&amp;COUNTIFS($B$6:$B427,$B427,$A$6:$A427,$A427,$F$6:$F427,$F427,$R$6:$R427,$R427))</f>
        <v/>
      </c>
      <c r="U427" s="32">
        <f>IF($C427="","",$C427&amp;"|"&amp;COUNTIFS($C$6:$C427,$C427))</f>
        <v/>
      </c>
      <c r="V427" s="32">
        <f>IF(OR($C427="",$A427="",$S427=""),"",$C427&amp;"|"&amp;$A427&amp;"|"&amp;$S427)</f>
        <v/>
      </c>
      <c r="W427" s="32">
        <f>IF(OR($C427="",$S427="",$S427=1),"",IFERROR(INDEX($Q$6:$Q$1505,MATCH($C427&amp;"|"&amp;$A427&amp;"|"&amp;($S427-1),$V$6:$V$1505,0)),""))</f>
        <v/>
      </c>
      <c r="X427" s="32">
        <f>IF(OR($W427="",$Q427="",LEFT($Q427,1)="—"),"",IF($W427=$Q427,"ללא שינוי","מ-"&amp;$W427&amp;" ל-"&amp;$Q427))</f>
        <v/>
      </c>
    </row>
    <row r="428" ht="15.75" customHeight="1" s="58">
      <c r="A428" s="65" t="n"/>
      <c r="B428" s="65" t="n"/>
      <c r="C428" s="66" t="n"/>
      <c r="D428" s="66" t="n"/>
      <c r="E428" s="65" t="n"/>
      <c r="F428" s="65" t="n"/>
      <c r="G428" s="65" t="n"/>
      <c r="H428" s="65" t="n"/>
      <c r="I428" s="65" t="n"/>
      <c r="J428" s="65" t="n"/>
      <c r="K428" s="65" t="n"/>
      <c r="L428" s="65" t="n"/>
      <c r="M428" s="65" t="n"/>
      <c r="N428" s="65" t="n"/>
      <c r="O428" s="65" t="n"/>
      <c r="P428" s="65" t="n"/>
      <c r="Q428" s="32">
        <f>IF($C428="","",IF($J428="","— חסרים נתונים",IF($J428="טרם מפענח","פרופיל 5",IF($J428="קמץ/פתח/חטף-פתח ושוואים","פרופיל 4",IF($J428="2-3 סימני ניקוד","פרופיל 3",IF($J428="4-5 סימני ניקוד","פרופיל 2",IF(AND($O428="משפטים וקטעים קצרים",OR($M428="מבין",$M428="מבין לרוב")),"פרופיל 1","פרופיל 2")))))))</f>
        <v/>
      </c>
      <c r="R428" s="32">
        <f>IF($C428="","",IF(OR($Q428="",LEFT($Q428,1)="—"),"קבוצה רביעית",IF($Q428="פרופיל 5","קבוצת תשתיות",IF(OR($Q428="פרופיל 4",$Q428="פרופיל 3"),"קבוצת רכישה","קבוצת ביסוס"))))</f>
        <v/>
      </c>
      <c r="S428" s="32">
        <f>IF($F428="","",IF($F428="תחילת שנה",1,IF($F428="מחצית שנה",2,3)))</f>
        <v/>
      </c>
      <c r="T428" s="32">
        <f>IF(OR($B428="",$R428="",$A428="",$F428=""),"",$B428&amp;"|"&amp;$A428&amp;"|"&amp;$F428&amp;"|"&amp;$R428&amp;"|"&amp;COUNTIFS($B$6:$B428,$B428,$A$6:$A428,$A428,$F$6:$F428,$F428,$R$6:$R428,$R428))</f>
        <v/>
      </c>
      <c r="U428" s="32">
        <f>IF($C428="","",$C428&amp;"|"&amp;COUNTIFS($C$6:$C428,$C428))</f>
        <v/>
      </c>
      <c r="V428" s="32">
        <f>IF(OR($C428="",$A428="",$S428=""),"",$C428&amp;"|"&amp;$A428&amp;"|"&amp;$S428)</f>
        <v/>
      </c>
      <c r="W428" s="32">
        <f>IF(OR($C428="",$S428="",$S428=1),"",IFERROR(INDEX($Q$6:$Q$1505,MATCH($C428&amp;"|"&amp;$A428&amp;"|"&amp;($S428-1),$V$6:$V$1505,0)),""))</f>
        <v/>
      </c>
      <c r="X428" s="32">
        <f>IF(OR($W428="",$Q428="",LEFT($Q428,1)="—"),"",IF($W428=$Q428,"ללא שינוי","מ-"&amp;$W428&amp;" ל-"&amp;$Q428))</f>
        <v/>
      </c>
    </row>
    <row r="429" ht="15.75" customHeight="1" s="58">
      <c r="A429" s="65" t="n"/>
      <c r="B429" s="65" t="n"/>
      <c r="C429" s="66" t="n"/>
      <c r="D429" s="66" t="n"/>
      <c r="E429" s="65" t="n"/>
      <c r="F429" s="65" t="n"/>
      <c r="G429" s="65" t="n"/>
      <c r="H429" s="65" t="n"/>
      <c r="I429" s="65" t="n"/>
      <c r="J429" s="65" t="n"/>
      <c r="K429" s="65" t="n"/>
      <c r="L429" s="65" t="n"/>
      <c r="M429" s="65" t="n"/>
      <c r="N429" s="65" t="n"/>
      <c r="O429" s="65" t="n"/>
      <c r="P429" s="65" t="n"/>
      <c r="Q429" s="32">
        <f>IF($C429="","",IF($J429="","— חסרים נתונים",IF($J429="טרם מפענח","פרופיל 5",IF($J429="קמץ/פתח/חטף-פתח ושוואים","פרופיל 4",IF($J429="2-3 סימני ניקוד","פרופיל 3",IF($J429="4-5 סימני ניקוד","פרופיל 2",IF(AND($O429="משפטים וקטעים קצרים",OR($M429="מבין",$M429="מבין לרוב")),"פרופיל 1","פרופיל 2")))))))</f>
        <v/>
      </c>
      <c r="R429" s="32">
        <f>IF($C429="","",IF(OR($Q429="",LEFT($Q429,1)="—"),"קבוצה רביעית",IF($Q429="פרופיל 5","קבוצת תשתיות",IF(OR($Q429="פרופיל 4",$Q429="פרופיל 3"),"קבוצת רכישה","קבוצת ביסוס"))))</f>
        <v/>
      </c>
      <c r="S429" s="32">
        <f>IF($F429="","",IF($F429="תחילת שנה",1,IF($F429="מחצית שנה",2,3)))</f>
        <v/>
      </c>
      <c r="T429" s="32">
        <f>IF(OR($B429="",$R429="",$A429="",$F429=""),"",$B429&amp;"|"&amp;$A429&amp;"|"&amp;$F429&amp;"|"&amp;$R429&amp;"|"&amp;COUNTIFS($B$6:$B429,$B429,$A$6:$A429,$A429,$F$6:$F429,$F429,$R$6:$R429,$R429))</f>
        <v/>
      </c>
      <c r="U429" s="32">
        <f>IF($C429="","",$C429&amp;"|"&amp;COUNTIFS($C$6:$C429,$C429))</f>
        <v/>
      </c>
      <c r="V429" s="32">
        <f>IF(OR($C429="",$A429="",$S429=""),"",$C429&amp;"|"&amp;$A429&amp;"|"&amp;$S429)</f>
        <v/>
      </c>
      <c r="W429" s="32">
        <f>IF(OR($C429="",$S429="",$S429=1),"",IFERROR(INDEX($Q$6:$Q$1505,MATCH($C429&amp;"|"&amp;$A429&amp;"|"&amp;($S429-1),$V$6:$V$1505,0)),""))</f>
        <v/>
      </c>
      <c r="X429" s="32">
        <f>IF(OR($W429="",$Q429="",LEFT($Q429,1)="—"),"",IF($W429=$Q429,"ללא שינוי","מ-"&amp;$W429&amp;" ל-"&amp;$Q429))</f>
        <v/>
      </c>
    </row>
    <row r="430" ht="15.75" customHeight="1" s="58">
      <c r="A430" s="65" t="n"/>
      <c r="B430" s="65" t="n"/>
      <c r="C430" s="66" t="n"/>
      <c r="D430" s="66" t="n"/>
      <c r="E430" s="65" t="n"/>
      <c r="F430" s="65" t="n"/>
      <c r="G430" s="65" t="n"/>
      <c r="H430" s="65" t="n"/>
      <c r="I430" s="65" t="n"/>
      <c r="J430" s="65" t="n"/>
      <c r="K430" s="65" t="n"/>
      <c r="L430" s="65" t="n"/>
      <c r="M430" s="65" t="n"/>
      <c r="N430" s="65" t="n"/>
      <c r="O430" s="65" t="n"/>
      <c r="P430" s="65" t="n"/>
      <c r="Q430" s="32">
        <f>IF($C430="","",IF($J430="","— חסרים נתונים",IF($J430="טרם מפענח","פרופיל 5",IF($J430="קמץ/פתח/חטף-פתח ושוואים","פרופיל 4",IF($J430="2-3 סימני ניקוד","פרופיל 3",IF($J430="4-5 סימני ניקוד","פרופיל 2",IF(AND($O430="משפטים וקטעים קצרים",OR($M430="מבין",$M430="מבין לרוב")),"פרופיל 1","פרופיל 2")))))))</f>
        <v/>
      </c>
      <c r="R430" s="32">
        <f>IF($C430="","",IF(OR($Q430="",LEFT($Q430,1)="—"),"קבוצה רביעית",IF($Q430="פרופיל 5","קבוצת תשתיות",IF(OR($Q430="פרופיל 4",$Q430="פרופיל 3"),"קבוצת רכישה","קבוצת ביסוס"))))</f>
        <v/>
      </c>
      <c r="S430" s="32">
        <f>IF($F430="","",IF($F430="תחילת שנה",1,IF($F430="מחצית שנה",2,3)))</f>
        <v/>
      </c>
      <c r="T430" s="32">
        <f>IF(OR($B430="",$R430="",$A430="",$F430=""),"",$B430&amp;"|"&amp;$A430&amp;"|"&amp;$F430&amp;"|"&amp;$R430&amp;"|"&amp;COUNTIFS($B$6:$B430,$B430,$A$6:$A430,$A430,$F$6:$F430,$F430,$R$6:$R430,$R430))</f>
        <v/>
      </c>
      <c r="U430" s="32">
        <f>IF($C430="","",$C430&amp;"|"&amp;COUNTIFS($C$6:$C430,$C430))</f>
        <v/>
      </c>
      <c r="V430" s="32">
        <f>IF(OR($C430="",$A430="",$S430=""),"",$C430&amp;"|"&amp;$A430&amp;"|"&amp;$S430)</f>
        <v/>
      </c>
      <c r="W430" s="32">
        <f>IF(OR($C430="",$S430="",$S430=1),"",IFERROR(INDEX($Q$6:$Q$1505,MATCH($C430&amp;"|"&amp;$A430&amp;"|"&amp;($S430-1),$V$6:$V$1505,0)),""))</f>
        <v/>
      </c>
      <c r="X430" s="32">
        <f>IF(OR($W430="",$Q430="",LEFT($Q430,1)="—"),"",IF($W430=$Q430,"ללא שינוי","מ-"&amp;$W430&amp;" ל-"&amp;$Q430))</f>
        <v/>
      </c>
    </row>
    <row r="431" ht="15.75" customHeight="1" s="58">
      <c r="A431" s="65" t="n"/>
      <c r="B431" s="65" t="n"/>
      <c r="C431" s="66" t="n"/>
      <c r="D431" s="66" t="n"/>
      <c r="E431" s="65" t="n"/>
      <c r="F431" s="65" t="n"/>
      <c r="G431" s="65" t="n"/>
      <c r="H431" s="65" t="n"/>
      <c r="I431" s="65" t="n"/>
      <c r="J431" s="65" t="n"/>
      <c r="K431" s="65" t="n"/>
      <c r="L431" s="65" t="n"/>
      <c r="M431" s="65" t="n"/>
      <c r="N431" s="65" t="n"/>
      <c r="O431" s="65" t="n"/>
      <c r="P431" s="65" t="n"/>
      <c r="Q431" s="32">
        <f>IF($C431="","",IF($J431="","— חסרים נתונים",IF($J431="טרם מפענח","פרופיל 5",IF($J431="קמץ/פתח/חטף-פתח ושוואים","פרופיל 4",IF($J431="2-3 סימני ניקוד","פרופיל 3",IF($J431="4-5 סימני ניקוד","פרופיל 2",IF(AND($O431="משפטים וקטעים קצרים",OR($M431="מבין",$M431="מבין לרוב")),"פרופיל 1","פרופיל 2")))))))</f>
        <v/>
      </c>
      <c r="R431" s="32">
        <f>IF($C431="","",IF(OR($Q431="",LEFT($Q431,1)="—"),"קבוצה רביעית",IF($Q431="פרופיל 5","קבוצת תשתיות",IF(OR($Q431="פרופיל 4",$Q431="פרופיל 3"),"קבוצת רכישה","קבוצת ביסוס"))))</f>
        <v/>
      </c>
      <c r="S431" s="32">
        <f>IF($F431="","",IF($F431="תחילת שנה",1,IF($F431="מחצית שנה",2,3)))</f>
        <v/>
      </c>
      <c r="T431" s="32">
        <f>IF(OR($B431="",$R431="",$A431="",$F431=""),"",$B431&amp;"|"&amp;$A431&amp;"|"&amp;$F431&amp;"|"&amp;$R431&amp;"|"&amp;COUNTIFS($B$6:$B431,$B431,$A$6:$A431,$A431,$F$6:$F431,$F431,$R$6:$R431,$R431))</f>
        <v/>
      </c>
      <c r="U431" s="32">
        <f>IF($C431="","",$C431&amp;"|"&amp;COUNTIFS($C$6:$C431,$C431))</f>
        <v/>
      </c>
      <c r="V431" s="32">
        <f>IF(OR($C431="",$A431="",$S431=""),"",$C431&amp;"|"&amp;$A431&amp;"|"&amp;$S431)</f>
        <v/>
      </c>
      <c r="W431" s="32">
        <f>IF(OR($C431="",$S431="",$S431=1),"",IFERROR(INDEX($Q$6:$Q$1505,MATCH($C431&amp;"|"&amp;$A431&amp;"|"&amp;($S431-1),$V$6:$V$1505,0)),""))</f>
        <v/>
      </c>
      <c r="X431" s="32">
        <f>IF(OR($W431="",$Q431="",LEFT($Q431,1)="—"),"",IF($W431=$Q431,"ללא שינוי","מ-"&amp;$W431&amp;" ל-"&amp;$Q431))</f>
        <v/>
      </c>
    </row>
    <row r="432" ht="15.75" customHeight="1" s="58">
      <c r="A432" s="65" t="n"/>
      <c r="B432" s="65" t="n"/>
      <c r="C432" s="66" t="n"/>
      <c r="D432" s="66" t="n"/>
      <c r="E432" s="65" t="n"/>
      <c r="F432" s="65" t="n"/>
      <c r="G432" s="65" t="n"/>
      <c r="H432" s="65" t="n"/>
      <c r="I432" s="65" t="n"/>
      <c r="J432" s="65" t="n"/>
      <c r="K432" s="65" t="n"/>
      <c r="L432" s="65" t="n"/>
      <c r="M432" s="65" t="n"/>
      <c r="N432" s="65" t="n"/>
      <c r="O432" s="65" t="n"/>
      <c r="P432" s="65" t="n"/>
      <c r="Q432" s="32">
        <f>IF($C432="","",IF($J432="","— חסרים נתונים",IF($J432="טרם מפענח","פרופיל 5",IF($J432="קמץ/פתח/חטף-פתח ושוואים","פרופיל 4",IF($J432="2-3 סימני ניקוד","פרופיל 3",IF($J432="4-5 סימני ניקוד","פרופיל 2",IF(AND($O432="משפטים וקטעים קצרים",OR($M432="מבין",$M432="מבין לרוב")),"פרופיל 1","פרופיל 2")))))))</f>
        <v/>
      </c>
      <c r="R432" s="32">
        <f>IF($C432="","",IF(OR($Q432="",LEFT($Q432,1)="—"),"קבוצה רביעית",IF($Q432="פרופיל 5","קבוצת תשתיות",IF(OR($Q432="פרופיל 4",$Q432="פרופיל 3"),"קבוצת רכישה","קבוצת ביסוס"))))</f>
        <v/>
      </c>
      <c r="S432" s="32">
        <f>IF($F432="","",IF($F432="תחילת שנה",1,IF($F432="מחצית שנה",2,3)))</f>
        <v/>
      </c>
      <c r="T432" s="32">
        <f>IF(OR($B432="",$R432="",$A432="",$F432=""),"",$B432&amp;"|"&amp;$A432&amp;"|"&amp;$F432&amp;"|"&amp;$R432&amp;"|"&amp;COUNTIFS($B$6:$B432,$B432,$A$6:$A432,$A432,$F$6:$F432,$F432,$R$6:$R432,$R432))</f>
        <v/>
      </c>
      <c r="U432" s="32">
        <f>IF($C432="","",$C432&amp;"|"&amp;COUNTIFS($C$6:$C432,$C432))</f>
        <v/>
      </c>
      <c r="V432" s="32">
        <f>IF(OR($C432="",$A432="",$S432=""),"",$C432&amp;"|"&amp;$A432&amp;"|"&amp;$S432)</f>
        <v/>
      </c>
      <c r="W432" s="32">
        <f>IF(OR($C432="",$S432="",$S432=1),"",IFERROR(INDEX($Q$6:$Q$1505,MATCH($C432&amp;"|"&amp;$A432&amp;"|"&amp;($S432-1),$V$6:$V$1505,0)),""))</f>
        <v/>
      </c>
      <c r="X432" s="32">
        <f>IF(OR($W432="",$Q432="",LEFT($Q432,1)="—"),"",IF($W432=$Q432,"ללא שינוי","מ-"&amp;$W432&amp;" ל-"&amp;$Q432))</f>
        <v/>
      </c>
    </row>
    <row r="433" ht="15.75" customHeight="1" s="58">
      <c r="A433" s="65" t="n"/>
      <c r="B433" s="65" t="n"/>
      <c r="C433" s="66" t="n"/>
      <c r="D433" s="66" t="n"/>
      <c r="E433" s="65" t="n"/>
      <c r="F433" s="65" t="n"/>
      <c r="G433" s="65" t="n"/>
      <c r="H433" s="65" t="n"/>
      <c r="I433" s="65" t="n"/>
      <c r="J433" s="65" t="n"/>
      <c r="K433" s="65" t="n"/>
      <c r="L433" s="65" t="n"/>
      <c r="M433" s="65" t="n"/>
      <c r="N433" s="65" t="n"/>
      <c r="O433" s="65" t="n"/>
      <c r="P433" s="65" t="n"/>
      <c r="Q433" s="32">
        <f>IF($C433="","",IF($J433="","— חסרים נתונים",IF($J433="טרם מפענח","פרופיל 5",IF($J433="קמץ/פתח/חטף-פתח ושוואים","פרופיל 4",IF($J433="2-3 סימני ניקוד","פרופיל 3",IF($J433="4-5 סימני ניקוד","פרופיל 2",IF(AND($O433="משפטים וקטעים קצרים",OR($M433="מבין",$M433="מבין לרוב")),"פרופיל 1","פרופיל 2")))))))</f>
        <v/>
      </c>
      <c r="R433" s="32">
        <f>IF($C433="","",IF(OR($Q433="",LEFT($Q433,1)="—"),"קבוצה רביעית",IF($Q433="פרופיל 5","קבוצת תשתיות",IF(OR($Q433="פרופיל 4",$Q433="פרופיל 3"),"קבוצת רכישה","קבוצת ביסוס"))))</f>
        <v/>
      </c>
      <c r="S433" s="32">
        <f>IF($F433="","",IF($F433="תחילת שנה",1,IF($F433="מחצית שנה",2,3)))</f>
        <v/>
      </c>
      <c r="T433" s="32">
        <f>IF(OR($B433="",$R433="",$A433="",$F433=""),"",$B433&amp;"|"&amp;$A433&amp;"|"&amp;$F433&amp;"|"&amp;$R433&amp;"|"&amp;COUNTIFS($B$6:$B433,$B433,$A$6:$A433,$A433,$F$6:$F433,$F433,$R$6:$R433,$R433))</f>
        <v/>
      </c>
      <c r="U433" s="32">
        <f>IF($C433="","",$C433&amp;"|"&amp;COUNTIFS($C$6:$C433,$C433))</f>
        <v/>
      </c>
      <c r="V433" s="32">
        <f>IF(OR($C433="",$A433="",$S433=""),"",$C433&amp;"|"&amp;$A433&amp;"|"&amp;$S433)</f>
        <v/>
      </c>
      <c r="W433" s="32">
        <f>IF(OR($C433="",$S433="",$S433=1),"",IFERROR(INDEX($Q$6:$Q$1505,MATCH($C433&amp;"|"&amp;$A433&amp;"|"&amp;($S433-1),$V$6:$V$1505,0)),""))</f>
        <v/>
      </c>
      <c r="X433" s="32">
        <f>IF(OR($W433="",$Q433="",LEFT($Q433,1)="—"),"",IF($W433=$Q433,"ללא שינוי","מ-"&amp;$W433&amp;" ל-"&amp;$Q433))</f>
        <v/>
      </c>
    </row>
    <row r="434" ht="15.75" customHeight="1" s="58">
      <c r="A434" s="65" t="n"/>
      <c r="B434" s="65" t="n"/>
      <c r="C434" s="66" t="n"/>
      <c r="D434" s="66" t="n"/>
      <c r="E434" s="65" t="n"/>
      <c r="F434" s="65" t="n"/>
      <c r="G434" s="65" t="n"/>
      <c r="H434" s="65" t="n"/>
      <c r="I434" s="65" t="n"/>
      <c r="J434" s="65" t="n"/>
      <c r="K434" s="65" t="n"/>
      <c r="L434" s="65" t="n"/>
      <c r="M434" s="65" t="n"/>
      <c r="N434" s="65" t="n"/>
      <c r="O434" s="65" t="n"/>
      <c r="P434" s="65" t="n"/>
      <c r="Q434" s="32">
        <f>IF($C434="","",IF($J434="","— חסרים נתונים",IF($J434="טרם מפענח","פרופיל 5",IF($J434="קמץ/פתח/חטף-פתח ושוואים","פרופיל 4",IF($J434="2-3 סימני ניקוד","פרופיל 3",IF($J434="4-5 סימני ניקוד","פרופיל 2",IF(AND($O434="משפטים וקטעים קצרים",OR($M434="מבין",$M434="מבין לרוב")),"פרופיל 1","פרופיל 2")))))))</f>
        <v/>
      </c>
      <c r="R434" s="32">
        <f>IF($C434="","",IF(OR($Q434="",LEFT($Q434,1)="—"),"קבוצה רביעית",IF($Q434="פרופיל 5","קבוצת תשתיות",IF(OR($Q434="פרופיל 4",$Q434="פרופיל 3"),"קבוצת רכישה","קבוצת ביסוס"))))</f>
        <v/>
      </c>
      <c r="S434" s="32">
        <f>IF($F434="","",IF($F434="תחילת שנה",1,IF($F434="מחצית שנה",2,3)))</f>
        <v/>
      </c>
      <c r="T434" s="32">
        <f>IF(OR($B434="",$R434="",$A434="",$F434=""),"",$B434&amp;"|"&amp;$A434&amp;"|"&amp;$F434&amp;"|"&amp;$R434&amp;"|"&amp;COUNTIFS($B$6:$B434,$B434,$A$6:$A434,$A434,$F$6:$F434,$F434,$R$6:$R434,$R434))</f>
        <v/>
      </c>
      <c r="U434" s="32">
        <f>IF($C434="","",$C434&amp;"|"&amp;COUNTIFS($C$6:$C434,$C434))</f>
        <v/>
      </c>
      <c r="V434" s="32">
        <f>IF(OR($C434="",$A434="",$S434=""),"",$C434&amp;"|"&amp;$A434&amp;"|"&amp;$S434)</f>
        <v/>
      </c>
      <c r="W434" s="32">
        <f>IF(OR($C434="",$S434="",$S434=1),"",IFERROR(INDEX($Q$6:$Q$1505,MATCH($C434&amp;"|"&amp;$A434&amp;"|"&amp;($S434-1),$V$6:$V$1505,0)),""))</f>
        <v/>
      </c>
      <c r="X434" s="32">
        <f>IF(OR($W434="",$Q434="",LEFT($Q434,1)="—"),"",IF($W434=$Q434,"ללא שינוי","מ-"&amp;$W434&amp;" ל-"&amp;$Q434))</f>
        <v/>
      </c>
    </row>
    <row r="435" ht="15.75" customHeight="1" s="58">
      <c r="A435" s="65" t="n"/>
      <c r="B435" s="65" t="n"/>
      <c r="C435" s="66" t="n"/>
      <c r="D435" s="66" t="n"/>
      <c r="E435" s="65" t="n"/>
      <c r="F435" s="65" t="n"/>
      <c r="G435" s="65" t="n"/>
      <c r="H435" s="65" t="n"/>
      <c r="I435" s="65" t="n"/>
      <c r="J435" s="65" t="n"/>
      <c r="K435" s="65" t="n"/>
      <c r="L435" s="65" t="n"/>
      <c r="M435" s="65" t="n"/>
      <c r="N435" s="65" t="n"/>
      <c r="O435" s="65" t="n"/>
      <c r="P435" s="65" t="n"/>
      <c r="Q435" s="32">
        <f>IF($C435="","",IF($J435="","— חסרים נתונים",IF($J435="טרם מפענח","פרופיל 5",IF($J435="קמץ/פתח/חטף-פתח ושוואים","פרופיל 4",IF($J435="2-3 סימני ניקוד","פרופיל 3",IF($J435="4-5 סימני ניקוד","פרופיל 2",IF(AND($O435="משפטים וקטעים קצרים",OR($M435="מבין",$M435="מבין לרוב")),"פרופיל 1","פרופיל 2")))))))</f>
        <v/>
      </c>
      <c r="R435" s="32">
        <f>IF($C435="","",IF(OR($Q435="",LEFT($Q435,1)="—"),"קבוצה רביעית",IF($Q435="פרופיל 5","קבוצת תשתיות",IF(OR($Q435="פרופיל 4",$Q435="פרופיל 3"),"קבוצת רכישה","קבוצת ביסוס"))))</f>
        <v/>
      </c>
      <c r="S435" s="32">
        <f>IF($F435="","",IF($F435="תחילת שנה",1,IF($F435="מחצית שנה",2,3)))</f>
        <v/>
      </c>
      <c r="T435" s="32">
        <f>IF(OR($B435="",$R435="",$A435="",$F435=""),"",$B435&amp;"|"&amp;$A435&amp;"|"&amp;$F435&amp;"|"&amp;$R435&amp;"|"&amp;COUNTIFS($B$6:$B435,$B435,$A$6:$A435,$A435,$F$6:$F435,$F435,$R$6:$R435,$R435))</f>
        <v/>
      </c>
      <c r="U435" s="32">
        <f>IF($C435="","",$C435&amp;"|"&amp;COUNTIFS($C$6:$C435,$C435))</f>
        <v/>
      </c>
      <c r="V435" s="32">
        <f>IF(OR($C435="",$A435="",$S435=""),"",$C435&amp;"|"&amp;$A435&amp;"|"&amp;$S435)</f>
        <v/>
      </c>
      <c r="W435" s="32">
        <f>IF(OR($C435="",$S435="",$S435=1),"",IFERROR(INDEX($Q$6:$Q$1505,MATCH($C435&amp;"|"&amp;$A435&amp;"|"&amp;($S435-1),$V$6:$V$1505,0)),""))</f>
        <v/>
      </c>
      <c r="X435" s="32">
        <f>IF(OR($W435="",$Q435="",LEFT($Q435,1)="—"),"",IF($W435=$Q435,"ללא שינוי","מ-"&amp;$W435&amp;" ל-"&amp;$Q435))</f>
        <v/>
      </c>
    </row>
    <row r="436" ht="15.75" customHeight="1" s="58">
      <c r="A436" s="65" t="n"/>
      <c r="B436" s="65" t="n"/>
      <c r="C436" s="66" t="n"/>
      <c r="D436" s="66" t="n"/>
      <c r="E436" s="65" t="n"/>
      <c r="F436" s="65" t="n"/>
      <c r="G436" s="65" t="n"/>
      <c r="H436" s="65" t="n"/>
      <c r="I436" s="65" t="n"/>
      <c r="J436" s="65" t="n"/>
      <c r="K436" s="65" t="n"/>
      <c r="L436" s="65" t="n"/>
      <c r="M436" s="65" t="n"/>
      <c r="N436" s="65" t="n"/>
      <c r="O436" s="65" t="n"/>
      <c r="P436" s="65" t="n"/>
      <c r="Q436" s="32">
        <f>IF($C436="","",IF($J436="","— חסרים נתונים",IF($J436="טרם מפענח","פרופיל 5",IF($J436="קמץ/פתח/חטף-פתח ושוואים","פרופיל 4",IF($J436="2-3 סימני ניקוד","פרופיל 3",IF($J436="4-5 סימני ניקוד","פרופיל 2",IF(AND($O436="משפטים וקטעים קצרים",OR($M436="מבין",$M436="מבין לרוב")),"פרופיל 1","פרופיל 2")))))))</f>
        <v/>
      </c>
      <c r="R436" s="32">
        <f>IF($C436="","",IF(OR($Q436="",LEFT($Q436,1)="—"),"קבוצה רביעית",IF($Q436="פרופיל 5","קבוצת תשתיות",IF(OR($Q436="פרופיל 4",$Q436="פרופיל 3"),"קבוצת רכישה","קבוצת ביסוס"))))</f>
        <v/>
      </c>
      <c r="S436" s="32">
        <f>IF($F436="","",IF($F436="תחילת שנה",1,IF($F436="מחצית שנה",2,3)))</f>
        <v/>
      </c>
      <c r="T436" s="32">
        <f>IF(OR($B436="",$R436="",$A436="",$F436=""),"",$B436&amp;"|"&amp;$A436&amp;"|"&amp;$F436&amp;"|"&amp;$R436&amp;"|"&amp;COUNTIFS($B$6:$B436,$B436,$A$6:$A436,$A436,$F$6:$F436,$F436,$R$6:$R436,$R436))</f>
        <v/>
      </c>
      <c r="U436" s="32">
        <f>IF($C436="","",$C436&amp;"|"&amp;COUNTIFS($C$6:$C436,$C436))</f>
        <v/>
      </c>
      <c r="V436" s="32">
        <f>IF(OR($C436="",$A436="",$S436=""),"",$C436&amp;"|"&amp;$A436&amp;"|"&amp;$S436)</f>
        <v/>
      </c>
      <c r="W436" s="32">
        <f>IF(OR($C436="",$S436="",$S436=1),"",IFERROR(INDEX($Q$6:$Q$1505,MATCH($C436&amp;"|"&amp;$A436&amp;"|"&amp;($S436-1),$V$6:$V$1505,0)),""))</f>
        <v/>
      </c>
      <c r="X436" s="32">
        <f>IF(OR($W436="",$Q436="",LEFT($Q436,1)="—"),"",IF($W436=$Q436,"ללא שינוי","מ-"&amp;$W436&amp;" ל-"&amp;$Q436))</f>
        <v/>
      </c>
    </row>
    <row r="437" ht="15.75" customHeight="1" s="58">
      <c r="A437" s="65" t="n"/>
      <c r="B437" s="65" t="n"/>
      <c r="C437" s="66" t="n"/>
      <c r="D437" s="66" t="n"/>
      <c r="E437" s="65" t="n"/>
      <c r="F437" s="65" t="n"/>
      <c r="G437" s="65" t="n"/>
      <c r="H437" s="65" t="n"/>
      <c r="I437" s="65" t="n"/>
      <c r="J437" s="65" t="n"/>
      <c r="K437" s="65" t="n"/>
      <c r="L437" s="65" t="n"/>
      <c r="M437" s="65" t="n"/>
      <c r="N437" s="65" t="n"/>
      <c r="O437" s="65" t="n"/>
      <c r="P437" s="65" t="n"/>
      <c r="Q437" s="32">
        <f>IF($C437="","",IF($J437="","— חסרים נתונים",IF($J437="טרם מפענח","פרופיל 5",IF($J437="קמץ/פתח/חטף-פתח ושוואים","פרופיל 4",IF($J437="2-3 סימני ניקוד","פרופיל 3",IF($J437="4-5 סימני ניקוד","פרופיל 2",IF(AND($O437="משפטים וקטעים קצרים",OR($M437="מבין",$M437="מבין לרוב")),"פרופיל 1","פרופיל 2")))))))</f>
        <v/>
      </c>
      <c r="R437" s="32">
        <f>IF($C437="","",IF(OR($Q437="",LEFT($Q437,1)="—"),"קבוצה רביעית",IF($Q437="פרופיל 5","קבוצת תשתיות",IF(OR($Q437="פרופיל 4",$Q437="פרופיל 3"),"קבוצת רכישה","קבוצת ביסוס"))))</f>
        <v/>
      </c>
      <c r="S437" s="32">
        <f>IF($F437="","",IF($F437="תחילת שנה",1,IF($F437="מחצית שנה",2,3)))</f>
        <v/>
      </c>
      <c r="T437" s="32">
        <f>IF(OR($B437="",$R437="",$A437="",$F437=""),"",$B437&amp;"|"&amp;$A437&amp;"|"&amp;$F437&amp;"|"&amp;$R437&amp;"|"&amp;COUNTIFS($B$6:$B437,$B437,$A$6:$A437,$A437,$F$6:$F437,$F437,$R$6:$R437,$R437))</f>
        <v/>
      </c>
      <c r="U437" s="32">
        <f>IF($C437="","",$C437&amp;"|"&amp;COUNTIFS($C$6:$C437,$C437))</f>
        <v/>
      </c>
      <c r="V437" s="32">
        <f>IF(OR($C437="",$A437="",$S437=""),"",$C437&amp;"|"&amp;$A437&amp;"|"&amp;$S437)</f>
        <v/>
      </c>
      <c r="W437" s="32">
        <f>IF(OR($C437="",$S437="",$S437=1),"",IFERROR(INDEX($Q$6:$Q$1505,MATCH($C437&amp;"|"&amp;$A437&amp;"|"&amp;($S437-1),$V$6:$V$1505,0)),""))</f>
        <v/>
      </c>
      <c r="X437" s="32">
        <f>IF(OR($W437="",$Q437="",LEFT($Q437,1)="—"),"",IF($W437=$Q437,"ללא שינוי","מ-"&amp;$W437&amp;" ל-"&amp;$Q437))</f>
        <v/>
      </c>
    </row>
    <row r="438" ht="15.75" customHeight="1" s="58">
      <c r="A438" s="65" t="n"/>
      <c r="B438" s="65" t="n"/>
      <c r="C438" s="66" t="n"/>
      <c r="D438" s="66" t="n"/>
      <c r="E438" s="65" t="n"/>
      <c r="F438" s="65" t="n"/>
      <c r="G438" s="65" t="n"/>
      <c r="H438" s="65" t="n"/>
      <c r="I438" s="65" t="n"/>
      <c r="J438" s="65" t="n"/>
      <c r="K438" s="65" t="n"/>
      <c r="L438" s="65" t="n"/>
      <c r="M438" s="65" t="n"/>
      <c r="N438" s="65" t="n"/>
      <c r="O438" s="65" t="n"/>
      <c r="P438" s="65" t="n"/>
      <c r="Q438" s="32">
        <f>IF($C438="","",IF($J438="","— חסרים נתונים",IF($J438="טרם מפענח","פרופיל 5",IF($J438="קמץ/פתח/חטף-פתח ושוואים","פרופיל 4",IF($J438="2-3 סימני ניקוד","פרופיל 3",IF($J438="4-5 סימני ניקוד","פרופיל 2",IF(AND($O438="משפטים וקטעים קצרים",OR($M438="מבין",$M438="מבין לרוב")),"פרופיל 1","פרופיל 2")))))))</f>
        <v/>
      </c>
      <c r="R438" s="32">
        <f>IF($C438="","",IF(OR($Q438="",LEFT($Q438,1)="—"),"קבוצה רביעית",IF($Q438="פרופיל 5","קבוצת תשתיות",IF(OR($Q438="פרופיל 4",$Q438="פרופיל 3"),"קבוצת רכישה","קבוצת ביסוס"))))</f>
        <v/>
      </c>
      <c r="S438" s="32">
        <f>IF($F438="","",IF($F438="תחילת שנה",1,IF($F438="מחצית שנה",2,3)))</f>
        <v/>
      </c>
      <c r="T438" s="32">
        <f>IF(OR($B438="",$R438="",$A438="",$F438=""),"",$B438&amp;"|"&amp;$A438&amp;"|"&amp;$F438&amp;"|"&amp;$R438&amp;"|"&amp;COUNTIFS($B$6:$B438,$B438,$A$6:$A438,$A438,$F$6:$F438,$F438,$R$6:$R438,$R438))</f>
        <v/>
      </c>
      <c r="U438" s="32">
        <f>IF($C438="","",$C438&amp;"|"&amp;COUNTIFS($C$6:$C438,$C438))</f>
        <v/>
      </c>
      <c r="V438" s="32">
        <f>IF(OR($C438="",$A438="",$S438=""),"",$C438&amp;"|"&amp;$A438&amp;"|"&amp;$S438)</f>
        <v/>
      </c>
      <c r="W438" s="32">
        <f>IF(OR($C438="",$S438="",$S438=1),"",IFERROR(INDEX($Q$6:$Q$1505,MATCH($C438&amp;"|"&amp;$A438&amp;"|"&amp;($S438-1),$V$6:$V$1505,0)),""))</f>
        <v/>
      </c>
      <c r="X438" s="32">
        <f>IF(OR($W438="",$Q438="",LEFT($Q438,1)="—"),"",IF($W438=$Q438,"ללא שינוי","מ-"&amp;$W438&amp;" ל-"&amp;$Q438))</f>
        <v/>
      </c>
    </row>
    <row r="439" ht="15.75" customHeight="1" s="58">
      <c r="A439" s="65" t="n"/>
      <c r="B439" s="65" t="n"/>
      <c r="C439" s="66" t="n"/>
      <c r="D439" s="66" t="n"/>
      <c r="E439" s="65" t="n"/>
      <c r="F439" s="65" t="n"/>
      <c r="G439" s="65" t="n"/>
      <c r="H439" s="65" t="n"/>
      <c r="I439" s="65" t="n"/>
      <c r="J439" s="65" t="n"/>
      <c r="K439" s="65" t="n"/>
      <c r="L439" s="65" t="n"/>
      <c r="M439" s="65" t="n"/>
      <c r="N439" s="65" t="n"/>
      <c r="O439" s="65" t="n"/>
      <c r="P439" s="65" t="n"/>
      <c r="Q439" s="32">
        <f>IF($C439="","",IF($J439="","— חסרים נתונים",IF($J439="טרם מפענח","פרופיל 5",IF($J439="קמץ/פתח/חטף-פתח ושוואים","פרופיל 4",IF($J439="2-3 סימני ניקוד","פרופיל 3",IF($J439="4-5 סימני ניקוד","פרופיל 2",IF(AND($O439="משפטים וקטעים קצרים",OR($M439="מבין",$M439="מבין לרוב")),"פרופיל 1","פרופיל 2")))))))</f>
        <v/>
      </c>
      <c r="R439" s="32">
        <f>IF($C439="","",IF(OR($Q439="",LEFT($Q439,1)="—"),"קבוצה רביעית",IF($Q439="פרופיל 5","קבוצת תשתיות",IF(OR($Q439="פרופיל 4",$Q439="פרופיל 3"),"קבוצת רכישה","קבוצת ביסוס"))))</f>
        <v/>
      </c>
      <c r="S439" s="32">
        <f>IF($F439="","",IF($F439="תחילת שנה",1,IF($F439="מחצית שנה",2,3)))</f>
        <v/>
      </c>
      <c r="T439" s="32">
        <f>IF(OR($B439="",$R439="",$A439="",$F439=""),"",$B439&amp;"|"&amp;$A439&amp;"|"&amp;$F439&amp;"|"&amp;$R439&amp;"|"&amp;COUNTIFS($B$6:$B439,$B439,$A$6:$A439,$A439,$F$6:$F439,$F439,$R$6:$R439,$R439))</f>
        <v/>
      </c>
      <c r="U439" s="32">
        <f>IF($C439="","",$C439&amp;"|"&amp;COUNTIFS($C$6:$C439,$C439))</f>
        <v/>
      </c>
      <c r="V439" s="32">
        <f>IF(OR($C439="",$A439="",$S439=""),"",$C439&amp;"|"&amp;$A439&amp;"|"&amp;$S439)</f>
        <v/>
      </c>
      <c r="W439" s="32">
        <f>IF(OR($C439="",$S439="",$S439=1),"",IFERROR(INDEX($Q$6:$Q$1505,MATCH($C439&amp;"|"&amp;$A439&amp;"|"&amp;($S439-1),$V$6:$V$1505,0)),""))</f>
        <v/>
      </c>
      <c r="X439" s="32">
        <f>IF(OR($W439="",$Q439="",LEFT($Q439,1)="—"),"",IF($W439=$Q439,"ללא שינוי","מ-"&amp;$W439&amp;" ל-"&amp;$Q439))</f>
        <v/>
      </c>
    </row>
    <row r="440" ht="15.75" customHeight="1" s="58">
      <c r="A440" s="65" t="n"/>
      <c r="B440" s="65" t="n"/>
      <c r="C440" s="66" t="n"/>
      <c r="D440" s="66" t="n"/>
      <c r="E440" s="65" t="n"/>
      <c r="F440" s="65" t="n"/>
      <c r="G440" s="65" t="n"/>
      <c r="H440" s="65" t="n"/>
      <c r="I440" s="65" t="n"/>
      <c r="J440" s="65" t="n"/>
      <c r="K440" s="65" t="n"/>
      <c r="L440" s="65" t="n"/>
      <c r="M440" s="65" t="n"/>
      <c r="N440" s="65" t="n"/>
      <c r="O440" s="65" t="n"/>
      <c r="P440" s="65" t="n"/>
      <c r="Q440" s="32">
        <f>IF($C440="","",IF($J440="","— חסרים נתונים",IF($J440="טרם מפענח","פרופיל 5",IF($J440="קמץ/פתח/חטף-פתח ושוואים","פרופיל 4",IF($J440="2-3 סימני ניקוד","פרופיל 3",IF($J440="4-5 סימני ניקוד","פרופיל 2",IF(AND($O440="משפטים וקטעים קצרים",OR($M440="מבין",$M440="מבין לרוב")),"פרופיל 1","פרופיל 2")))))))</f>
        <v/>
      </c>
      <c r="R440" s="32">
        <f>IF($C440="","",IF(OR($Q440="",LEFT($Q440,1)="—"),"קבוצה רביעית",IF($Q440="פרופיל 5","קבוצת תשתיות",IF(OR($Q440="פרופיל 4",$Q440="פרופיל 3"),"קבוצת רכישה","קבוצת ביסוס"))))</f>
        <v/>
      </c>
      <c r="S440" s="32">
        <f>IF($F440="","",IF($F440="תחילת שנה",1,IF($F440="מחצית שנה",2,3)))</f>
        <v/>
      </c>
      <c r="T440" s="32">
        <f>IF(OR($B440="",$R440="",$A440="",$F440=""),"",$B440&amp;"|"&amp;$A440&amp;"|"&amp;$F440&amp;"|"&amp;$R440&amp;"|"&amp;COUNTIFS($B$6:$B440,$B440,$A$6:$A440,$A440,$F$6:$F440,$F440,$R$6:$R440,$R440))</f>
        <v/>
      </c>
      <c r="U440" s="32">
        <f>IF($C440="","",$C440&amp;"|"&amp;COUNTIFS($C$6:$C440,$C440))</f>
        <v/>
      </c>
      <c r="V440" s="32">
        <f>IF(OR($C440="",$A440="",$S440=""),"",$C440&amp;"|"&amp;$A440&amp;"|"&amp;$S440)</f>
        <v/>
      </c>
      <c r="W440" s="32">
        <f>IF(OR($C440="",$S440="",$S440=1),"",IFERROR(INDEX($Q$6:$Q$1505,MATCH($C440&amp;"|"&amp;$A440&amp;"|"&amp;($S440-1),$V$6:$V$1505,0)),""))</f>
        <v/>
      </c>
      <c r="X440" s="32">
        <f>IF(OR($W440="",$Q440="",LEFT($Q440,1)="—"),"",IF($W440=$Q440,"ללא שינוי","מ-"&amp;$W440&amp;" ל-"&amp;$Q440))</f>
        <v/>
      </c>
    </row>
    <row r="441" ht="15.75" customHeight="1" s="58">
      <c r="A441" s="65" t="n"/>
      <c r="B441" s="65" t="n"/>
      <c r="C441" s="66" t="n"/>
      <c r="D441" s="66" t="n"/>
      <c r="E441" s="65" t="n"/>
      <c r="F441" s="65" t="n"/>
      <c r="G441" s="65" t="n"/>
      <c r="H441" s="65" t="n"/>
      <c r="I441" s="65" t="n"/>
      <c r="J441" s="65" t="n"/>
      <c r="K441" s="65" t="n"/>
      <c r="L441" s="65" t="n"/>
      <c r="M441" s="65" t="n"/>
      <c r="N441" s="65" t="n"/>
      <c r="O441" s="65" t="n"/>
      <c r="P441" s="65" t="n"/>
      <c r="Q441" s="32">
        <f>IF($C441="","",IF($J441="","— חסרים נתונים",IF($J441="טרם מפענח","פרופיל 5",IF($J441="קמץ/פתח/חטף-פתח ושוואים","פרופיל 4",IF($J441="2-3 סימני ניקוד","פרופיל 3",IF($J441="4-5 סימני ניקוד","פרופיל 2",IF(AND($O441="משפטים וקטעים קצרים",OR($M441="מבין",$M441="מבין לרוב")),"פרופיל 1","פרופיל 2")))))))</f>
        <v/>
      </c>
      <c r="R441" s="32">
        <f>IF($C441="","",IF(OR($Q441="",LEFT($Q441,1)="—"),"קבוצה רביעית",IF($Q441="פרופיל 5","קבוצת תשתיות",IF(OR($Q441="פרופיל 4",$Q441="פרופיל 3"),"קבוצת רכישה","קבוצת ביסוס"))))</f>
        <v/>
      </c>
      <c r="S441" s="32">
        <f>IF($F441="","",IF($F441="תחילת שנה",1,IF($F441="מחצית שנה",2,3)))</f>
        <v/>
      </c>
      <c r="T441" s="32">
        <f>IF(OR($B441="",$R441="",$A441="",$F441=""),"",$B441&amp;"|"&amp;$A441&amp;"|"&amp;$F441&amp;"|"&amp;$R441&amp;"|"&amp;COUNTIFS($B$6:$B441,$B441,$A$6:$A441,$A441,$F$6:$F441,$F441,$R$6:$R441,$R441))</f>
        <v/>
      </c>
      <c r="U441" s="32">
        <f>IF($C441="","",$C441&amp;"|"&amp;COUNTIFS($C$6:$C441,$C441))</f>
        <v/>
      </c>
      <c r="V441" s="32">
        <f>IF(OR($C441="",$A441="",$S441=""),"",$C441&amp;"|"&amp;$A441&amp;"|"&amp;$S441)</f>
        <v/>
      </c>
      <c r="W441" s="32">
        <f>IF(OR($C441="",$S441="",$S441=1),"",IFERROR(INDEX($Q$6:$Q$1505,MATCH($C441&amp;"|"&amp;$A441&amp;"|"&amp;($S441-1),$V$6:$V$1505,0)),""))</f>
        <v/>
      </c>
      <c r="X441" s="32">
        <f>IF(OR($W441="",$Q441="",LEFT($Q441,1)="—"),"",IF($W441=$Q441,"ללא שינוי","מ-"&amp;$W441&amp;" ל-"&amp;$Q441))</f>
        <v/>
      </c>
    </row>
    <row r="442" ht="15.75" customHeight="1" s="58">
      <c r="A442" s="65" t="n"/>
      <c r="B442" s="65" t="n"/>
      <c r="C442" s="66" t="n"/>
      <c r="D442" s="66" t="n"/>
      <c r="E442" s="65" t="n"/>
      <c r="F442" s="65" t="n"/>
      <c r="G442" s="65" t="n"/>
      <c r="H442" s="65" t="n"/>
      <c r="I442" s="65" t="n"/>
      <c r="J442" s="65" t="n"/>
      <c r="K442" s="65" t="n"/>
      <c r="L442" s="65" t="n"/>
      <c r="M442" s="65" t="n"/>
      <c r="N442" s="65" t="n"/>
      <c r="O442" s="65" t="n"/>
      <c r="P442" s="65" t="n"/>
      <c r="Q442" s="32">
        <f>IF($C442="","",IF($J442="","— חסרים נתונים",IF($J442="טרם מפענח","פרופיל 5",IF($J442="קמץ/פתח/חטף-פתח ושוואים","פרופיל 4",IF($J442="2-3 סימני ניקוד","פרופיל 3",IF($J442="4-5 סימני ניקוד","פרופיל 2",IF(AND($O442="משפטים וקטעים קצרים",OR($M442="מבין",$M442="מבין לרוב")),"פרופיל 1","פרופיל 2")))))))</f>
        <v/>
      </c>
      <c r="R442" s="32">
        <f>IF($C442="","",IF(OR($Q442="",LEFT($Q442,1)="—"),"קבוצה רביעית",IF($Q442="פרופיל 5","קבוצת תשתיות",IF(OR($Q442="פרופיל 4",$Q442="פרופיל 3"),"קבוצת רכישה","קבוצת ביסוס"))))</f>
        <v/>
      </c>
      <c r="S442" s="32">
        <f>IF($F442="","",IF($F442="תחילת שנה",1,IF($F442="מחצית שנה",2,3)))</f>
        <v/>
      </c>
      <c r="T442" s="32">
        <f>IF(OR($B442="",$R442="",$A442="",$F442=""),"",$B442&amp;"|"&amp;$A442&amp;"|"&amp;$F442&amp;"|"&amp;$R442&amp;"|"&amp;COUNTIFS($B$6:$B442,$B442,$A$6:$A442,$A442,$F$6:$F442,$F442,$R$6:$R442,$R442))</f>
        <v/>
      </c>
      <c r="U442" s="32">
        <f>IF($C442="","",$C442&amp;"|"&amp;COUNTIFS($C$6:$C442,$C442))</f>
        <v/>
      </c>
      <c r="V442" s="32">
        <f>IF(OR($C442="",$A442="",$S442=""),"",$C442&amp;"|"&amp;$A442&amp;"|"&amp;$S442)</f>
        <v/>
      </c>
      <c r="W442" s="32">
        <f>IF(OR($C442="",$S442="",$S442=1),"",IFERROR(INDEX($Q$6:$Q$1505,MATCH($C442&amp;"|"&amp;$A442&amp;"|"&amp;($S442-1),$V$6:$V$1505,0)),""))</f>
        <v/>
      </c>
      <c r="X442" s="32">
        <f>IF(OR($W442="",$Q442="",LEFT($Q442,1)="—"),"",IF($W442=$Q442,"ללא שינוי","מ-"&amp;$W442&amp;" ל-"&amp;$Q442))</f>
        <v/>
      </c>
    </row>
    <row r="443" ht="15.75" customHeight="1" s="58">
      <c r="A443" s="65" t="n"/>
      <c r="B443" s="65" t="n"/>
      <c r="C443" s="66" t="n"/>
      <c r="D443" s="66" t="n"/>
      <c r="E443" s="65" t="n"/>
      <c r="F443" s="65" t="n"/>
      <c r="G443" s="65" t="n"/>
      <c r="H443" s="65" t="n"/>
      <c r="I443" s="65" t="n"/>
      <c r="J443" s="65" t="n"/>
      <c r="K443" s="65" t="n"/>
      <c r="L443" s="65" t="n"/>
      <c r="M443" s="65" t="n"/>
      <c r="N443" s="65" t="n"/>
      <c r="O443" s="65" t="n"/>
      <c r="P443" s="65" t="n"/>
      <c r="Q443" s="32">
        <f>IF($C443="","",IF($J443="","— חסרים נתונים",IF($J443="טרם מפענח","פרופיל 5",IF($J443="קמץ/פתח/חטף-פתח ושוואים","פרופיל 4",IF($J443="2-3 סימני ניקוד","פרופיל 3",IF($J443="4-5 סימני ניקוד","פרופיל 2",IF(AND($O443="משפטים וקטעים קצרים",OR($M443="מבין",$M443="מבין לרוב")),"פרופיל 1","פרופיל 2")))))))</f>
        <v/>
      </c>
      <c r="R443" s="32">
        <f>IF($C443="","",IF(OR($Q443="",LEFT($Q443,1)="—"),"קבוצה רביעית",IF($Q443="פרופיל 5","קבוצת תשתיות",IF(OR($Q443="פרופיל 4",$Q443="פרופיל 3"),"קבוצת רכישה","קבוצת ביסוס"))))</f>
        <v/>
      </c>
      <c r="S443" s="32">
        <f>IF($F443="","",IF($F443="תחילת שנה",1,IF($F443="מחצית שנה",2,3)))</f>
        <v/>
      </c>
      <c r="T443" s="32">
        <f>IF(OR($B443="",$R443="",$A443="",$F443=""),"",$B443&amp;"|"&amp;$A443&amp;"|"&amp;$F443&amp;"|"&amp;$R443&amp;"|"&amp;COUNTIFS($B$6:$B443,$B443,$A$6:$A443,$A443,$F$6:$F443,$F443,$R$6:$R443,$R443))</f>
        <v/>
      </c>
      <c r="U443" s="32">
        <f>IF($C443="","",$C443&amp;"|"&amp;COUNTIFS($C$6:$C443,$C443))</f>
        <v/>
      </c>
      <c r="V443" s="32">
        <f>IF(OR($C443="",$A443="",$S443=""),"",$C443&amp;"|"&amp;$A443&amp;"|"&amp;$S443)</f>
        <v/>
      </c>
      <c r="W443" s="32">
        <f>IF(OR($C443="",$S443="",$S443=1),"",IFERROR(INDEX($Q$6:$Q$1505,MATCH($C443&amp;"|"&amp;$A443&amp;"|"&amp;($S443-1),$V$6:$V$1505,0)),""))</f>
        <v/>
      </c>
      <c r="X443" s="32">
        <f>IF(OR($W443="",$Q443="",LEFT($Q443,1)="—"),"",IF($W443=$Q443,"ללא שינוי","מ-"&amp;$W443&amp;" ל-"&amp;$Q443))</f>
        <v/>
      </c>
    </row>
    <row r="444" ht="15.75" customHeight="1" s="58">
      <c r="A444" s="65" t="n"/>
      <c r="B444" s="65" t="n"/>
      <c r="C444" s="66" t="n"/>
      <c r="D444" s="66" t="n"/>
      <c r="E444" s="65" t="n"/>
      <c r="F444" s="65" t="n"/>
      <c r="G444" s="65" t="n"/>
      <c r="H444" s="65" t="n"/>
      <c r="I444" s="65" t="n"/>
      <c r="J444" s="65" t="n"/>
      <c r="K444" s="65" t="n"/>
      <c r="L444" s="65" t="n"/>
      <c r="M444" s="65" t="n"/>
      <c r="N444" s="65" t="n"/>
      <c r="O444" s="65" t="n"/>
      <c r="P444" s="65" t="n"/>
      <c r="Q444" s="32">
        <f>IF($C444="","",IF($J444="","— חסרים נתונים",IF($J444="טרם מפענח","פרופיל 5",IF($J444="קמץ/פתח/חטף-פתח ושוואים","פרופיל 4",IF($J444="2-3 סימני ניקוד","פרופיל 3",IF($J444="4-5 סימני ניקוד","פרופיל 2",IF(AND($O444="משפטים וקטעים קצרים",OR($M444="מבין",$M444="מבין לרוב")),"פרופיל 1","פרופיל 2")))))))</f>
        <v/>
      </c>
      <c r="R444" s="32">
        <f>IF($C444="","",IF(OR($Q444="",LEFT($Q444,1)="—"),"קבוצה רביעית",IF($Q444="פרופיל 5","קבוצת תשתיות",IF(OR($Q444="פרופיל 4",$Q444="פרופיל 3"),"קבוצת רכישה","קבוצת ביסוס"))))</f>
        <v/>
      </c>
      <c r="S444" s="32">
        <f>IF($F444="","",IF($F444="תחילת שנה",1,IF($F444="מחצית שנה",2,3)))</f>
        <v/>
      </c>
      <c r="T444" s="32">
        <f>IF(OR($B444="",$R444="",$A444="",$F444=""),"",$B444&amp;"|"&amp;$A444&amp;"|"&amp;$F444&amp;"|"&amp;$R444&amp;"|"&amp;COUNTIFS($B$6:$B444,$B444,$A$6:$A444,$A444,$F$6:$F444,$F444,$R$6:$R444,$R444))</f>
        <v/>
      </c>
      <c r="U444" s="32">
        <f>IF($C444="","",$C444&amp;"|"&amp;COUNTIFS($C$6:$C444,$C444))</f>
        <v/>
      </c>
      <c r="V444" s="32">
        <f>IF(OR($C444="",$A444="",$S444=""),"",$C444&amp;"|"&amp;$A444&amp;"|"&amp;$S444)</f>
        <v/>
      </c>
      <c r="W444" s="32">
        <f>IF(OR($C444="",$S444="",$S444=1),"",IFERROR(INDEX($Q$6:$Q$1505,MATCH($C444&amp;"|"&amp;$A444&amp;"|"&amp;($S444-1),$V$6:$V$1505,0)),""))</f>
        <v/>
      </c>
      <c r="X444" s="32">
        <f>IF(OR($W444="",$Q444="",LEFT($Q444,1)="—"),"",IF($W444=$Q444,"ללא שינוי","מ-"&amp;$W444&amp;" ל-"&amp;$Q444))</f>
        <v/>
      </c>
    </row>
    <row r="445" ht="15.75" customHeight="1" s="58">
      <c r="A445" s="65" t="n"/>
      <c r="B445" s="65" t="n"/>
      <c r="C445" s="66" t="n"/>
      <c r="D445" s="66" t="n"/>
      <c r="E445" s="65" t="n"/>
      <c r="F445" s="65" t="n"/>
      <c r="G445" s="65" t="n"/>
      <c r="H445" s="65" t="n"/>
      <c r="I445" s="65" t="n"/>
      <c r="J445" s="65" t="n"/>
      <c r="K445" s="65" t="n"/>
      <c r="L445" s="65" t="n"/>
      <c r="M445" s="65" t="n"/>
      <c r="N445" s="65" t="n"/>
      <c r="O445" s="65" t="n"/>
      <c r="P445" s="65" t="n"/>
      <c r="Q445" s="32">
        <f>IF($C445="","",IF($J445="","— חסרים נתונים",IF($J445="טרם מפענח","פרופיל 5",IF($J445="קמץ/פתח/חטף-פתח ושוואים","פרופיל 4",IF($J445="2-3 סימני ניקוד","פרופיל 3",IF($J445="4-5 סימני ניקוד","פרופיל 2",IF(AND($O445="משפטים וקטעים קצרים",OR($M445="מבין",$M445="מבין לרוב")),"פרופיל 1","פרופיל 2")))))))</f>
        <v/>
      </c>
      <c r="R445" s="32">
        <f>IF($C445="","",IF(OR($Q445="",LEFT($Q445,1)="—"),"קבוצה רביעית",IF($Q445="פרופיל 5","קבוצת תשתיות",IF(OR($Q445="פרופיל 4",$Q445="פרופיל 3"),"קבוצת רכישה","קבוצת ביסוס"))))</f>
        <v/>
      </c>
      <c r="S445" s="32">
        <f>IF($F445="","",IF($F445="תחילת שנה",1,IF($F445="מחצית שנה",2,3)))</f>
        <v/>
      </c>
      <c r="T445" s="32">
        <f>IF(OR($B445="",$R445="",$A445="",$F445=""),"",$B445&amp;"|"&amp;$A445&amp;"|"&amp;$F445&amp;"|"&amp;$R445&amp;"|"&amp;COUNTIFS($B$6:$B445,$B445,$A$6:$A445,$A445,$F$6:$F445,$F445,$R$6:$R445,$R445))</f>
        <v/>
      </c>
      <c r="U445" s="32">
        <f>IF($C445="","",$C445&amp;"|"&amp;COUNTIFS($C$6:$C445,$C445))</f>
        <v/>
      </c>
      <c r="V445" s="32">
        <f>IF(OR($C445="",$A445="",$S445=""),"",$C445&amp;"|"&amp;$A445&amp;"|"&amp;$S445)</f>
        <v/>
      </c>
      <c r="W445" s="32">
        <f>IF(OR($C445="",$S445="",$S445=1),"",IFERROR(INDEX($Q$6:$Q$1505,MATCH($C445&amp;"|"&amp;$A445&amp;"|"&amp;($S445-1),$V$6:$V$1505,0)),""))</f>
        <v/>
      </c>
      <c r="X445" s="32">
        <f>IF(OR($W445="",$Q445="",LEFT($Q445,1)="—"),"",IF($W445=$Q445,"ללא שינוי","מ-"&amp;$W445&amp;" ל-"&amp;$Q445))</f>
        <v/>
      </c>
    </row>
    <row r="446" ht="15.75" customHeight="1" s="58">
      <c r="A446" s="65" t="n"/>
      <c r="B446" s="65" t="n"/>
      <c r="C446" s="66" t="n"/>
      <c r="D446" s="66" t="n"/>
      <c r="E446" s="65" t="n"/>
      <c r="F446" s="65" t="n"/>
      <c r="G446" s="65" t="n"/>
      <c r="H446" s="65" t="n"/>
      <c r="I446" s="65" t="n"/>
      <c r="J446" s="65" t="n"/>
      <c r="K446" s="65" t="n"/>
      <c r="L446" s="65" t="n"/>
      <c r="M446" s="65" t="n"/>
      <c r="N446" s="65" t="n"/>
      <c r="O446" s="65" t="n"/>
      <c r="P446" s="65" t="n"/>
      <c r="Q446" s="32">
        <f>IF($C446="","",IF($J446="","— חסרים נתונים",IF($J446="טרם מפענח","פרופיל 5",IF($J446="קמץ/פתח/חטף-פתח ושוואים","פרופיל 4",IF($J446="2-3 סימני ניקוד","פרופיל 3",IF($J446="4-5 סימני ניקוד","פרופיל 2",IF(AND($O446="משפטים וקטעים קצרים",OR($M446="מבין",$M446="מבין לרוב")),"פרופיל 1","פרופיל 2")))))))</f>
        <v/>
      </c>
      <c r="R446" s="32">
        <f>IF($C446="","",IF(OR($Q446="",LEFT($Q446,1)="—"),"קבוצה רביעית",IF($Q446="פרופיל 5","קבוצת תשתיות",IF(OR($Q446="פרופיל 4",$Q446="פרופיל 3"),"קבוצת רכישה","קבוצת ביסוס"))))</f>
        <v/>
      </c>
      <c r="S446" s="32">
        <f>IF($F446="","",IF($F446="תחילת שנה",1,IF($F446="מחצית שנה",2,3)))</f>
        <v/>
      </c>
      <c r="T446" s="32">
        <f>IF(OR($B446="",$R446="",$A446="",$F446=""),"",$B446&amp;"|"&amp;$A446&amp;"|"&amp;$F446&amp;"|"&amp;$R446&amp;"|"&amp;COUNTIFS($B$6:$B446,$B446,$A$6:$A446,$A446,$F$6:$F446,$F446,$R$6:$R446,$R446))</f>
        <v/>
      </c>
      <c r="U446" s="32">
        <f>IF($C446="","",$C446&amp;"|"&amp;COUNTIFS($C$6:$C446,$C446))</f>
        <v/>
      </c>
      <c r="V446" s="32">
        <f>IF(OR($C446="",$A446="",$S446=""),"",$C446&amp;"|"&amp;$A446&amp;"|"&amp;$S446)</f>
        <v/>
      </c>
      <c r="W446" s="32">
        <f>IF(OR($C446="",$S446="",$S446=1),"",IFERROR(INDEX($Q$6:$Q$1505,MATCH($C446&amp;"|"&amp;$A446&amp;"|"&amp;($S446-1),$V$6:$V$1505,0)),""))</f>
        <v/>
      </c>
      <c r="X446" s="32">
        <f>IF(OR($W446="",$Q446="",LEFT($Q446,1)="—"),"",IF($W446=$Q446,"ללא שינוי","מ-"&amp;$W446&amp;" ל-"&amp;$Q446))</f>
        <v/>
      </c>
    </row>
    <row r="447" ht="15.75" customHeight="1" s="58">
      <c r="A447" s="65" t="n"/>
      <c r="B447" s="65" t="n"/>
      <c r="C447" s="66" t="n"/>
      <c r="D447" s="66" t="n"/>
      <c r="E447" s="65" t="n"/>
      <c r="F447" s="65" t="n"/>
      <c r="G447" s="65" t="n"/>
      <c r="H447" s="65" t="n"/>
      <c r="I447" s="65" t="n"/>
      <c r="J447" s="65" t="n"/>
      <c r="K447" s="65" t="n"/>
      <c r="L447" s="65" t="n"/>
      <c r="M447" s="65" t="n"/>
      <c r="N447" s="65" t="n"/>
      <c r="O447" s="65" t="n"/>
      <c r="P447" s="65" t="n"/>
      <c r="Q447" s="32">
        <f>IF($C447="","",IF($J447="","— חסרים נתונים",IF($J447="טרם מפענח","פרופיל 5",IF($J447="קמץ/פתח/חטף-פתח ושוואים","פרופיל 4",IF($J447="2-3 סימני ניקוד","פרופיל 3",IF($J447="4-5 סימני ניקוד","פרופיל 2",IF(AND($O447="משפטים וקטעים קצרים",OR($M447="מבין",$M447="מבין לרוב")),"פרופיל 1","פרופיל 2")))))))</f>
        <v/>
      </c>
      <c r="R447" s="32">
        <f>IF($C447="","",IF(OR($Q447="",LEFT($Q447,1)="—"),"קבוצה רביעית",IF($Q447="פרופיל 5","קבוצת תשתיות",IF(OR($Q447="פרופיל 4",$Q447="פרופיל 3"),"קבוצת רכישה","קבוצת ביסוס"))))</f>
        <v/>
      </c>
      <c r="S447" s="32">
        <f>IF($F447="","",IF($F447="תחילת שנה",1,IF($F447="מחצית שנה",2,3)))</f>
        <v/>
      </c>
      <c r="T447" s="32">
        <f>IF(OR($B447="",$R447="",$A447="",$F447=""),"",$B447&amp;"|"&amp;$A447&amp;"|"&amp;$F447&amp;"|"&amp;$R447&amp;"|"&amp;COUNTIFS($B$6:$B447,$B447,$A$6:$A447,$A447,$F$6:$F447,$F447,$R$6:$R447,$R447))</f>
        <v/>
      </c>
      <c r="U447" s="32">
        <f>IF($C447="","",$C447&amp;"|"&amp;COUNTIFS($C$6:$C447,$C447))</f>
        <v/>
      </c>
      <c r="V447" s="32">
        <f>IF(OR($C447="",$A447="",$S447=""),"",$C447&amp;"|"&amp;$A447&amp;"|"&amp;$S447)</f>
        <v/>
      </c>
      <c r="W447" s="32">
        <f>IF(OR($C447="",$S447="",$S447=1),"",IFERROR(INDEX($Q$6:$Q$1505,MATCH($C447&amp;"|"&amp;$A447&amp;"|"&amp;($S447-1),$V$6:$V$1505,0)),""))</f>
        <v/>
      </c>
      <c r="X447" s="32">
        <f>IF(OR($W447="",$Q447="",LEFT($Q447,1)="—"),"",IF($W447=$Q447,"ללא שינוי","מ-"&amp;$W447&amp;" ל-"&amp;$Q447))</f>
        <v/>
      </c>
    </row>
    <row r="448" ht="15.75" customHeight="1" s="58">
      <c r="A448" s="65" t="n"/>
      <c r="B448" s="65" t="n"/>
      <c r="C448" s="66" t="n"/>
      <c r="D448" s="66" t="n"/>
      <c r="E448" s="65" t="n"/>
      <c r="F448" s="65" t="n"/>
      <c r="G448" s="65" t="n"/>
      <c r="H448" s="65" t="n"/>
      <c r="I448" s="65" t="n"/>
      <c r="J448" s="65" t="n"/>
      <c r="K448" s="65" t="n"/>
      <c r="L448" s="65" t="n"/>
      <c r="M448" s="65" t="n"/>
      <c r="N448" s="65" t="n"/>
      <c r="O448" s="65" t="n"/>
      <c r="P448" s="65" t="n"/>
      <c r="Q448" s="32">
        <f>IF($C448="","",IF($J448="","— חסרים נתונים",IF($J448="טרם מפענח","פרופיל 5",IF($J448="קמץ/פתח/חטף-פתח ושוואים","פרופיל 4",IF($J448="2-3 סימני ניקוד","פרופיל 3",IF($J448="4-5 סימני ניקוד","פרופיל 2",IF(AND($O448="משפטים וקטעים קצרים",OR($M448="מבין",$M448="מבין לרוב")),"פרופיל 1","פרופיל 2")))))))</f>
        <v/>
      </c>
      <c r="R448" s="32">
        <f>IF($C448="","",IF(OR($Q448="",LEFT($Q448,1)="—"),"קבוצה רביעית",IF($Q448="פרופיל 5","קבוצת תשתיות",IF(OR($Q448="פרופיל 4",$Q448="פרופיל 3"),"קבוצת רכישה","קבוצת ביסוס"))))</f>
        <v/>
      </c>
      <c r="S448" s="32">
        <f>IF($F448="","",IF($F448="תחילת שנה",1,IF($F448="מחצית שנה",2,3)))</f>
        <v/>
      </c>
      <c r="T448" s="32">
        <f>IF(OR($B448="",$R448="",$A448="",$F448=""),"",$B448&amp;"|"&amp;$A448&amp;"|"&amp;$F448&amp;"|"&amp;$R448&amp;"|"&amp;COUNTIFS($B$6:$B448,$B448,$A$6:$A448,$A448,$F$6:$F448,$F448,$R$6:$R448,$R448))</f>
        <v/>
      </c>
      <c r="U448" s="32">
        <f>IF($C448="","",$C448&amp;"|"&amp;COUNTIFS($C$6:$C448,$C448))</f>
        <v/>
      </c>
      <c r="V448" s="32">
        <f>IF(OR($C448="",$A448="",$S448=""),"",$C448&amp;"|"&amp;$A448&amp;"|"&amp;$S448)</f>
        <v/>
      </c>
      <c r="W448" s="32">
        <f>IF(OR($C448="",$S448="",$S448=1),"",IFERROR(INDEX($Q$6:$Q$1505,MATCH($C448&amp;"|"&amp;$A448&amp;"|"&amp;($S448-1),$V$6:$V$1505,0)),""))</f>
        <v/>
      </c>
      <c r="X448" s="32">
        <f>IF(OR($W448="",$Q448="",LEFT($Q448,1)="—"),"",IF($W448=$Q448,"ללא שינוי","מ-"&amp;$W448&amp;" ל-"&amp;$Q448))</f>
        <v/>
      </c>
    </row>
    <row r="449" ht="15.75" customHeight="1" s="58">
      <c r="A449" s="65" t="n"/>
      <c r="B449" s="65" t="n"/>
      <c r="C449" s="66" t="n"/>
      <c r="D449" s="66" t="n"/>
      <c r="E449" s="65" t="n"/>
      <c r="F449" s="65" t="n"/>
      <c r="G449" s="65" t="n"/>
      <c r="H449" s="65" t="n"/>
      <c r="I449" s="65" t="n"/>
      <c r="J449" s="65" t="n"/>
      <c r="K449" s="65" t="n"/>
      <c r="L449" s="65" t="n"/>
      <c r="M449" s="65" t="n"/>
      <c r="N449" s="65" t="n"/>
      <c r="O449" s="65" t="n"/>
      <c r="P449" s="65" t="n"/>
      <c r="Q449" s="32">
        <f>IF($C449="","",IF($J449="","— חסרים נתונים",IF($J449="טרם מפענח","פרופיל 5",IF($J449="קמץ/פתח/חטף-פתח ושוואים","פרופיל 4",IF($J449="2-3 סימני ניקוד","פרופיל 3",IF($J449="4-5 סימני ניקוד","פרופיל 2",IF(AND($O449="משפטים וקטעים קצרים",OR($M449="מבין",$M449="מבין לרוב")),"פרופיל 1","פרופיל 2")))))))</f>
        <v/>
      </c>
      <c r="R449" s="32">
        <f>IF($C449="","",IF(OR($Q449="",LEFT($Q449,1)="—"),"קבוצה רביעית",IF($Q449="פרופיל 5","קבוצת תשתיות",IF(OR($Q449="פרופיל 4",$Q449="פרופיל 3"),"קבוצת רכישה","קבוצת ביסוס"))))</f>
        <v/>
      </c>
      <c r="S449" s="32">
        <f>IF($F449="","",IF($F449="תחילת שנה",1,IF($F449="מחצית שנה",2,3)))</f>
        <v/>
      </c>
      <c r="T449" s="32">
        <f>IF(OR($B449="",$R449="",$A449="",$F449=""),"",$B449&amp;"|"&amp;$A449&amp;"|"&amp;$F449&amp;"|"&amp;$R449&amp;"|"&amp;COUNTIFS($B$6:$B449,$B449,$A$6:$A449,$A449,$F$6:$F449,$F449,$R$6:$R449,$R449))</f>
        <v/>
      </c>
      <c r="U449" s="32">
        <f>IF($C449="","",$C449&amp;"|"&amp;COUNTIFS($C$6:$C449,$C449))</f>
        <v/>
      </c>
      <c r="V449" s="32">
        <f>IF(OR($C449="",$A449="",$S449=""),"",$C449&amp;"|"&amp;$A449&amp;"|"&amp;$S449)</f>
        <v/>
      </c>
      <c r="W449" s="32">
        <f>IF(OR($C449="",$S449="",$S449=1),"",IFERROR(INDEX($Q$6:$Q$1505,MATCH($C449&amp;"|"&amp;$A449&amp;"|"&amp;($S449-1),$V$6:$V$1505,0)),""))</f>
        <v/>
      </c>
      <c r="X449" s="32">
        <f>IF(OR($W449="",$Q449="",LEFT($Q449,1)="—"),"",IF($W449=$Q449,"ללא שינוי","מ-"&amp;$W449&amp;" ל-"&amp;$Q449))</f>
        <v/>
      </c>
    </row>
    <row r="450" ht="15.75" customHeight="1" s="58">
      <c r="A450" s="65" t="n"/>
      <c r="B450" s="65" t="n"/>
      <c r="C450" s="66" t="n"/>
      <c r="D450" s="66" t="n"/>
      <c r="E450" s="65" t="n"/>
      <c r="F450" s="65" t="n"/>
      <c r="G450" s="65" t="n"/>
      <c r="H450" s="65" t="n"/>
      <c r="I450" s="65" t="n"/>
      <c r="J450" s="65" t="n"/>
      <c r="K450" s="65" t="n"/>
      <c r="L450" s="65" t="n"/>
      <c r="M450" s="65" t="n"/>
      <c r="N450" s="65" t="n"/>
      <c r="O450" s="65" t="n"/>
      <c r="P450" s="65" t="n"/>
      <c r="Q450" s="32">
        <f>IF($C450="","",IF($J450="","— חסרים נתונים",IF($J450="טרם מפענח","פרופיל 5",IF($J450="קמץ/פתח/חטף-פתח ושוואים","פרופיל 4",IF($J450="2-3 סימני ניקוד","פרופיל 3",IF($J450="4-5 סימני ניקוד","פרופיל 2",IF(AND($O450="משפטים וקטעים קצרים",OR($M450="מבין",$M450="מבין לרוב")),"פרופיל 1","פרופיל 2")))))))</f>
        <v/>
      </c>
      <c r="R450" s="32">
        <f>IF($C450="","",IF(OR($Q450="",LEFT($Q450,1)="—"),"קבוצה רביעית",IF($Q450="פרופיל 5","קבוצת תשתיות",IF(OR($Q450="פרופיל 4",$Q450="פרופיל 3"),"קבוצת רכישה","קבוצת ביסוס"))))</f>
        <v/>
      </c>
      <c r="S450" s="32">
        <f>IF($F450="","",IF($F450="תחילת שנה",1,IF($F450="מחצית שנה",2,3)))</f>
        <v/>
      </c>
      <c r="T450" s="32">
        <f>IF(OR($B450="",$R450="",$A450="",$F450=""),"",$B450&amp;"|"&amp;$A450&amp;"|"&amp;$F450&amp;"|"&amp;$R450&amp;"|"&amp;COUNTIFS($B$6:$B450,$B450,$A$6:$A450,$A450,$F$6:$F450,$F450,$R$6:$R450,$R450))</f>
        <v/>
      </c>
      <c r="U450" s="32">
        <f>IF($C450="","",$C450&amp;"|"&amp;COUNTIFS($C$6:$C450,$C450))</f>
        <v/>
      </c>
      <c r="V450" s="32">
        <f>IF(OR($C450="",$A450="",$S450=""),"",$C450&amp;"|"&amp;$A450&amp;"|"&amp;$S450)</f>
        <v/>
      </c>
      <c r="W450" s="32">
        <f>IF(OR($C450="",$S450="",$S450=1),"",IFERROR(INDEX($Q$6:$Q$1505,MATCH($C450&amp;"|"&amp;$A450&amp;"|"&amp;($S450-1),$V$6:$V$1505,0)),""))</f>
        <v/>
      </c>
      <c r="X450" s="32">
        <f>IF(OR($W450="",$Q450="",LEFT($Q450,1)="—"),"",IF($W450=$Q450,"ללא שינוי","מ-"&amp;$W450&amp;" ל-"&amp;$Q450))</f>
        <v/>
      </c>
    </row>
    <row r="451" ht="15.75" customHeight="1" s="58">
      <c r="A451" s="65" t="n"/>
      <c r="B451" s="65" t="n"/>
      <c r="C451" s="66" t="n"/>
      <c r="D451" s="66" t="n"/>
      <c r="E451" s="65" t="n"/>
      <c r="F451" s="65" t="n"/>
      <c r="G451" s="65" t="n"/>
      <c r="H451" s="65" t="n"/>
      <c r="I451" s="65" t="n"/>
      <c r="J451" s="65" t="n"/>
      <c r="K451" s="65" t="n"/>
      <c r="L451" s="65" t="n"/>
      <c r="M451" s="65" t="n"/>
      <c r="N451" s="65" t="n"/>
      <c r="O451" s="65" t="n"/>
      <c r="P451" s="65" t="n"/>
      <c r="Q451" s="32">
        <f>IF($C451="","",IF($J451="","— חסרים נתונים",IF($J451="טרם מפענח","פרופיל 5",IF($J451="קמץ/פתח/חטף-פתח ושוואים","פרופיל 4",IF($J451="2-3 סימני ניקוד","פרופיל 3",IF($J451="4-5 סימני ניקוד","פרופיל 2",IF(AND($O451="משפטים וקטעים קצרים",OR($M451="מבין",$M451="מבין לרוב")),"פרופיל 1","פרופיל 2")))))))</f>
        <v/>
      </c>
      <c r="R451" s="32">
        <f>IF($C451="","",IF(OR($Q451="",LEFT($Q451,1)="—"),"קבוצה רביעית",IF($Q451="פרופיל 5","קבוצת תשתיות",IF(OR($Q451="פרופיל 4",$Q451="פרופיל 3"),"קבוצת רכישה","קבוצת ביסוס"))))</f>
        <v/>
      </c>
      <c r="S451" s="32">
        <f>IF($F451="","",IF($F451="תחילת שנה",1,IF($F451="מחצית שנה",2,3)))</f>
        <v/>
      </c>
      <c r="T451" s="32">
        <f>IF(OR($B451="",$R451="",$A451="",$F451=""),"",$B451&amp;"|"&amp;$A451&amp;"|"&amp;$F451&amp;"|"&amp;$R451&amp;"|"&amp;COUNTIFS($B$6:$B451,$B451,$A$6:$A451,$A451,$F$6:$F451,$F451,$R$6:$R451,$R451))</f>
        <v/>
      </c>
      <c r="U451" s="32">
        <f>IF($C451="","",$C451&amp;"|"&amp;COUNTIFS($C$6:$C451,$C451))</f>
        <v/>
      </c>
      <c r="V451" s="32">
        <f>IF(OR($C451="",$A451="",$S451=""),"",$C451&amp;"|"&amp;$A451&amp;"|"&amp;$S451)</f>
        <v/>
      </c>
      <c r="W451" s="32">
        <f>IF(OR($C451="",$S451="",$S451=1),"",IFERROR(INDEX($Q$6:$Q$1505,MATCH($C451&amp;"|"&amp;$A451&amp;"|"&amp;($S451-1),$V$6:$V$1505,0)),""))</f>
        <v/>
      </c>
      <c r="X451" s="32">
        <f>IF(OR($W451="",$Q451="",LEFT($Q451,1)="—"),"",IF($W451=$Q451,"ללא שינוי","מ-"&amp;$W451&amp;" ל-"&amp;$Q451))</f>
        <v/>
      </c>
    </row>
    <row r="452" ht="15.75" customHeight="1" s="58">
      <c r="A452" s="65" t="n"/>
      <c r="B452" s="65" t="n"/>
      <c r="C452" s="66" t="n"/>
      <c r="D452" s="66" t="n"/>
      <c r="E452" s="65" t="n"/>
      <c r="F452" s="65" t="n"/>
      <c r="G452" s="65" t="n"/>
      <c r="H452" s="65" t="n"/>
      <c r="I452" s="65" t="n"/>
      <c r="J452" s="65" t="n"/>
      <c r="K452" s="65" t="n"/>
      <c r="L452" s="65" t="n"/>
      <c r="M452" s="65" t="n"/>
      <c r="N452" s="65" t="n"/>
      <c r="O452" s="65" t="n"/>
      <c r="P452" s="65" t="n"/>
      <c r="Q452" s="32">
        <f>IF($C452="","",IF($J452="","— חסרים נתונים",IF($J452="טרם מפענח","פרופיל 5",IF($J452="קמץ/פתח/חטף-פתח ושוואים","פרופיל 4",IF($J452="2-3 סימני ניקוד","פרופיל 3",IF($J452="4-5 סימני ניקוד","פרופיל 2",IF(AND($O452="משפטים וקטעים קצרים",OR($M452="מבין",$M452="מבין לרוב")),"פרופיל 1","פרופיל 2")))))))</f>
        <v/>
      </c>
      <c r="R452" s="32">
        <f>IF($C452="","",IF(OR($Q452="",LEFT($Q452,1)="—"),"קבוצה רביעית",IF($Q452="פרופיל 5","קבוצת תשתיות",IF(OR($Q452="פרופיל 4",$Q452="פרופיל 3"),"קבוצת רכישה","קבוצת ביסוס"))))</f>
        <v/>
      </c>
      <c r="S452" s="32">
        <f>IF($F452="","",IF($F452="תחילת שנה",1,IF($F452="מחצית שנה",2,3)))</f>
        <v/>
      </c>
      <c r="T452" s="32">
        <f>IF(OR($B452="",$R452="",$A452="",$F452=""),"",$B452&amp;"|"&amp;$A452&amp;"|"&amp;$F452&amp;"|"&amp;$R452&amp;"|"&amp;COUNTIFS($B$6:$B452,$B452,$A$6:$A452,$A452,$F$6:$F452,$F452,$R$6:$R452,$R452))</f>
        <v/>
      </c>
      <c r="U452" s="32">
        <f>IF($C452="","",$C452&amp;"|"&amp;COUNTIFS($C$6:$C452,$C452))</f>
        <v/>
      </c>
      <c r="V452" s="32">
        <f>IF(OR($C452="",$A452="",$S452=""),"",$C452&amp;"|"&amp;$A452&amp;"|"&amp;$S452)</f>
        <v/>
      </c>
      <c r="W452" s="32">
        <f>IF(OR($C452="",$S452="",$S452=1),"",IFERROR(INDEX($Q$6:$Q$1505,MATCH($C452&amp;"|"&amp;$A452&amp;"|"&amp;($S452-1),$V$6:$V$1505,0)),""))</f>
        <v/>
      </c>
      <c r="X452" s="32">
        <f>IF(OR($W452="",$Q452="",LEFT($Q452,1)="—"),"",IF($W452=$Q452,"ללא שינוי","מ-"&amp;$W452&amp;" ל-"&amp;$Q452))</f>
        <v/>
      </c>
    </row>
    <row r="453" ht="15.75" customHeight="1" s="58">
      <c r="A453" s="65" t="n"/>
      <c r="B453" s="65" t="n"/>
      <c r="C453" s="66" t="n"/>
      <c r="D453" s="66" t="n"/>
      <c r="E453" s="65" t="n"/>
      <c r="F453" s="65" t="n"/>
      <c r="G453" s="65" t="n"/>
      <c r="H453" s="65" t="n"/>
      <c r="I453" s="65" t="n"/>
      <c r="J453" s="65" t="n"/>
      <c r="K453" s="65" t="n"/>
      <c r="L453" s="65" t="n"/>
      <c r="M453" s="65" t="n"/>
      <c r="N453" s="65" t="n"/>
      <c r="O453" s="65" t="n"/>
      <c r="P453" s="65" t="n"/>
      <c r="Q453" s="32">
        <f>IF($C453="","",IF($J453="","— חסרים נתונים",IF($J453="טרם מפענח","פרופיל 5",IF($J453="קמץ/פתח/חטף-פתח ושוואים","פרופיל 4",IF($J453="2-3 סימני ניקוד","פרופיל 3",IF($J453="4-5 סימני ניקוד","פרופיל 2",IF(AND($O453="משפטים וקטעים קצרים",OR($M453="מבין",$M453="מבין לרוב")),"פרופיל 1","פרופיל 2")))))))</f>
        <v/>
      </c>
      <c r="R453" s="32">
        <f>IF($C453="","",IF(OR($Q453="",LEFT($Q453,1)="—"),"קבוצה רביעית",IF($Q453="פרופיל 5","קבוצת תשתיות",IF(OR($Q453="פרופיל 4",$Q453="פרופיל 3"),"קבוצת רכישה","קבוצת ביסוס"))))</f>
        <v/>
      </c>
      <c r="S453" s="32">
        <f>IF($F453="","",IF($F453="תחילת שנה",1,IF($F453="מחצית שנה",2,3)))</f>
        <v/>
      </c>
      <c r="T453" s="32">
        <f>IF(OR($B453="",$R453="",$A453="",$F453=""),"",$B453&amp;"|"&amp;$A453&amp;"|"&amp;$F453&amp;"|"&amp;$R453&amp;"|"&amp;COUNTIFS($B$6:$B453,$B453,$A$6:$A453,$A453,$F$6:$F453,$F453,$R$6:$R453,$R453))</f>
        <v/>
      </c>
      <c r="U453" s="32">
        <f>IF($C453="","",$C453&amp;"|"&amp;COUNTIFS($C$6:$C453,$C453))</f>
        <v/>
      </c>
      <c r="V453" s="32">
        <f>IF(OR($C453="",$A453="",$S453=""),"",$C453&amp;"|"&amp;$A453&amp;"|"&amp;$S453)</f>
        <v/>
      </c>
      <c r="W453" s="32">
        <f>IF(OR($C453="",$S453="",$S453=1),"",IFERROR(INDEX($Q$6:$Q$1505,MATCH($C453&amp;"|"&amp;$A453&amp;"|"&amp;($S453-1),$V$6:$V$1505,0)),""))</f>
        <v/>
      </c>
      <c r="X453" s="32">
        <f>IF(OR($W453="",$Q453="",LEFT($Q453,1)="—"),"",IF($W453=$Q453,"ללא שינוי","מ-"&amp;$W453&amp;" ל-"&amp;$Q453))</f>
        <v/>
      </c>
    </row>
    <row r="454" ht="15.75" customHeight="1" s="58">
      <c r="A454" s="65" t="n"/>
      <c r="B454" s="65" t="n"/>
      <c r="C454" s="66" t="n"/>
      <c r="D454" s="66" t="n"/>
      <c r="E454" s="65" t="n"/>
      <c r="F454" s="65" t="n"/>
      <c r="G454" s="65" t="n"/>
      <c r="H454" s="65" t="n"/>
      <c r="I454" s="65" t="n"/>
      <c r="J454" s="65" t="n"/>
      <c r="K454" s="65" t="n"/>
      <c r="L454" s="65" t="n"/>
      <c r="M454" s="65" t="n"/>
      <c r="N454" s="65" t="n"/>
      <c r="O454" s="65" t="n"/>
      <c r="P454" s="65" t="n"/>
      <c r="Q454" s="32">
        <f>IF($C454="","",IF($J454="","— חסרים נתונים",IF($J454="טרם מפענח","פרופיל 5",IF($J454="קמץ/פתח/חטף-פתח ושוואים","פרופיל 4",IF($J454="2-3 סימני ניקוד","פרופיל 3",IF($J454="4-5 סימני ניקוד","פרופיל 2",IF(AND($O454="משפטים וקטעים קצרים",OR($M454="מבין",$M454="מבין לרוב")),"פרופיל 1","פרופיל 2")))))))</f>
        <v/>
      </c>
      <c r="R454" s="32">
        <f>IF($C454="","",IF(OR($Q454="",LEFT($Q454,1)="—"),"קבוצה רביעית",IF($Q454="פרופיל 5","קבוצת תשתיות",IF(OR($Q454="פרופיל 4",$Q454="פרופיל 3"),"קבוצת רכישה","קבוצת ביסוס"))))</f>
        <v/>
      </c>
      <c r="S454" s="32">
        <f>IF($F454="","",IF($F454="תחילת שנה",1,IF($F454="מחצית שנה",2,3)))</f>
        <v/>
      </c>
      <c r="T454" s="32">
        <f>IF(OR($B454="",$R454="",$A454="",$F454=""),"",$B454&amp;"|"&amp;$A454&amp;"|"&amp;$F454&amp;"|"&amp;$R454&amp;"|"&amp;COUNTIFS($B$6:$B454,$B454,$A$6:$A454,$A454,$F$6:$F454,$F454,$R$6:$R454,$R454))</f>
        <v/>
      </c>
      <c r="U454" s="32">
        <f>IF($C454="","",$C454&amp;"|"&amp;COUNTIFS($C$6:$C454,$C454))</f>
        <v/>
      </c>
      <c r="V454" s="32">
        <f>IF(OR($C454="",$A454="",$S454=""),"",$C454&amp;"|"&amp;$A454&amp;"|"&amp;$S454)</f>
        <v/>
      </c>
      <c r="W454" s="32">
        <f>IF(OR($C454="",$S454="",$S454=1),"",IFERROR(INDEX($Q$6:$Q$1505,MATCH($C454&amp;"|"&amp;$A454&amp;"|"&amp;($S454-1),$V$6:$V$1505,0)),""))</f>
        <v/>
      </c>
      <c r="X454" s="32">
        <f>IF(OR($W454="",$Q454="",LEFT($Q454,1)="—"),"",IF($W454=$Q454,"ללא שינוי","מ-"&amp;$W454&amp;" ל-"&amp;$Q454))</f>
        <v/>
      </c>
    </row>
    <row r="455" ht="15.75" customHeight="1" s="58">
      <c r="A455" s="65" t="n"/>
      <c r="B455" s="65" t="n"/>
      <c r="C455" s="66" t="n"/>
      <c r="D455" s="66" t="n"/>
      <c r="E455" s="65" t="n"/>
      <c r="F455" s="65" t="n"/>
      <c r="G455" s="65" t="n"/>
      <c r="H455" s="65" t="n"/>
      <c r="I455" s="65" t="n"/>
      <c r="J455" s="65" t="n"/>
      <c r="K455" s="65" t="n"/>
      <c r="L455" s="65" t="n"/>
      <c r="M455" s="65" t="n"/>
      <c r="N455" s="65" t="n"/>
      <c r="O455" s="65" t="n"/>
      <c r="P455" s="65" t="n"/>
      <c r="Q455" s="32">
        <f>IF($C455="","",IF($J455="","— חסרים נתונים",IF($J455="טרם מפענח","פרופיל 5",IF($J455="קמץ/פתח/חטף-פתח ושוואים","פרופיל 4",IF($J455="2-3 סימני ניקוד","פרופיל 3",IF($J455="4-5 סימני ניקוד","פרופיל 2",IF(AND($O455="משפטים וקטעים קצרים",OR($M455="מבין",$M455="מבין לרוב")),"פרופיל 1","פרופיל 2")))))))</f>
        <v/>
      </c>
      <c r="R455" s="32">
        <f>IF($C455="","",IF(OR($Q455="",LEFT($Q455,1)="—"),"קבוצה רביעית",IF($Q455="פרופיל 5","קבוצת תשתיות",IF(OR($Q455="פרופיל 4",$Q455="פרופיל 3"),"קבוצת רכישה","קבוצת ביסוס"))))</f>
        <v/>
      </c>
      <c r="S455" s="32">
        <f>IF($F455="","",IF($F455="תחילת שנה",1,IF($F455="מחצית שנה",2,3)))</f>
        <v/>
      </c>
      <c r="T455" s="32">
        <f>IF(OR($B455="",$R455="",$A455="",$F455=""),"",$B455&amp;"|"&amp;$A455&amp;"|"&amp;$F455&amp;"|"&amp;$R455&amp;"|"&amp;COUNTIFS($B$6:$B455,$B455,$A$6:$A455,$A455,$F$6:$F455,$F455,$R$6:$R455,$R455))</f>
        <v/>
      </c>
      <c r="U455" s="32">
        <f>IF($C455="","",$C455&amp;"|"&amp;COUNTIFS($C$6:$C455,$C455))</f>
        <v/>
      </c>
      <c r="V455" s="32">
        <f>IF(OR($C455="",$A455="",$S455=""),"",$C455&amp;"|"&amp;$A455&amp;"|"&amp;$S455)</f>
        <v/>
      </c>
      <c r="W455" s="32">
        <f>IF(OR($C455="",$S455="",$S455=1),"",IFERROR(INDEX($Q$6:$Q$1505,MATCH($C455&amp;"|"&amp;$A455&amp;"|"&amp;($S455-1),$V$6:$V$1505,0)),""))</f>
        <v/>
      </c>
      <c r="X455" s="32">
        <f>IF(OR($W455="",$Q455="",LEFT($Q455,1)="—"),"",IF($W455=$Q455,"ללא שינוי","מ-"&amp;$W455&amp;" ל-"&amp;$Q455))</f>
        <v/>
      </c>
    </row>
    <row r="456" ht="15.75" customHeight="1" s="58">
      <c r="A456" s="65" t="n"/>
      <c r="B456" s="65" t="n"/>
      <c r="C456" s="66" t="n"/>
      <c r="D456" s="66" t="n"/>
      <c r="E456" s="65" t="n"/>
      <c r="F456" s="65" t="n"/>
      <c r="G456" s="65" t="n"/>
      <c r="H456" s="65" t="n"/>
      <c r="I456" s="65" t="n"/>
      <c r="J456" s="65" t="n"/>
      <c r="K456" s="65" t="n"/>
      <c r="L456" s="65" t="n"/>
      <c r="M456" s="65" t="n"/>
      <c r="N456" s="65" t="n"/>
      <c r="O456" s="65" t="n"/>
      <c r="P456" s="65" t="n"/>
      <c r="Q456" s="32">
        <f>IF($C456="","",IF($J456="","— חסרים נתונים",IF($J456="טרם מפענח","פרופיל 5",IF($J456="קמץ/פתח/חטף-פתח ושוואים","פרופיל 4",IF($J456="2-3 סימני ניקוד","פרופיל 3",IF($J456="4-5 סימני ניקוד","פרופיל 2",IF(AND($O456="משפטים וקטעים קצרים",OR($M456="מבין",$M456="מבין לרוב")),"פרופיל 1","פרופיל 2")))))))</f>
        <v/>
      </c>
      <c r="R456" s="32">
        <f>IF($C456="","",IF(OR($Q456="",LEFT($Q456,1)="—"),"קבוצה רביעית",IF($Q456="פרופיל 5","קבוצת תשתיות",IF(OR($Q456="פרופיל 4",$Q456="פרופיל 3"),"קבוצת רכישה","קבוצת ביסוס"))))</f>
        <v/>
      </c>
      <c r="S456" s="32">
        <f>IF($F456="","",IF($F456="תחילת שנה",1,IF($F456="מחצית שנה",2,3)))</f>
        <v/>
      </c>
      <c r="T456" s="32">
        <f>IF(OR($B456="",$R456="",$A456="",$F456=""),"",$B456&amp;"|"&amp;$A456&amp;"|"&amp;$F456&amp;"|"&amp;$R456&amp;"|"&amp;COUNTIFS($B$6:$B456,$B456,$A$6:$A456,$A456,$F$6:$F456,$F456,$R$6:$R456,$R456))</f>
        <v/>
      </c>
      <c r="U456" s="32">
        <f>IF($C456="","",$C456&amp;"|"&amp;COUNTIFS($C$6:$C456,$C456))</f>
        <v/>
      </c>
      <c r="V456" s="32">
        <f>IF(OR($C456="",$A456="",$S456=""),"",$C456&amp;"|"&amp;$A456&amp;"|"&amp;$S456)</f>
        <v/>
      </c>
      <c r="W456" s="32">
        <f>IF(OR($C456="",$S456="",$S456=1),"",IFERROR(INDEX($Q$6:$Q$1505,MATCH($C456&amp;"|"&amp;$A456&amp;"|"&amp;($S456-1),$V$6:$V$1505,0)),""))</f>
        <v/>
      </c>
      <c r="X456" s="32">
        <f>IF(OR($W456="",$Q456="",LEFT($Q456,1)="—"),"",IF($W456=$Q456,"ללא שינוי","מ-"&amp;$W456&amp;" ל-"&amp;$Q456))</f>
        <v/>
      </c>
    </row>
    <row r="457" ht="15.75" customHeight="1" s="58">
      <c r="A457" s="65" t="n"/>
      <c r="B457" s="65" t="n"/>
      <c r="C457" s="66" t="n"/>
      <c r="D457" s="66" t="n"/>
      <c r="E457" s="65" t="n"/>
      <c r="F457" s="65" t="n"/>
      <c r="G457" s="65" t="n"/>
      <c r="H457" s="65" t="n"/>
      <c r="I457" s="65" t="n"/>
      <c r="J457" s="65" t="n"/>
      <c r="K457" s="65" t="n"/>
      <c r="L457" s="65" t="n"/>
      <c r="M457" s="65" t="n"/>
      <c r="N457" s="65" t="n"/>
      <c r="O457" s="65" t="n"/>
      <c r="P457" s="65" t="n"/>
      <c r="Q457" s="32">
        <f>IF($C457="","",IF($J457="","— חסרים נתונים",IF($J457="טרם מפענח","פרופיל 5",IF($J457="קמץ/פתח/חטף-פתח ושוואים","פרופיל 4",IF($J457="2-3 סימני ניקוד","פרופיל 3",IF($J457="4-5 סימני ניקוד","פרופיל 2",IF(AND($O457="משפטים וקטעים קצרים",OR($M457="מבין",$M457="מבין לרוב")),"פרופיל 1","פרופיל 2")))))))</f>
        <v/>
      </c>
      <c r="R457" s="32">
        <f>IF($C457="","",IF(OR($Q457="",LEFT($Q457,1)="—"),"קבוצה רביעית",IF($Q457="פרופיל 5","קבוצת תשתיות",IF(OR($Q457="פרופיל 4",$Q457="פרופיל 3"),"קבוצת רכישה","קבוצת ביסוס"))))</f>
        <v/>
      </c>
      <c r="S457" s="32">
        <f>IF($F457="","",IF($F457="תחילת שנה",1,IF($F457="מחצית שנה",2,3)))</f>
        <v/>
      </c>
      <c r="T457" s="32">
        <f>IF(OR($B457="",$R457="",$A457="",$F457=""),"",$B457&amp;"|"&amp;$A457&amp;"|"&amp;$F457&amp;"|"&amp;$R457&amp;"|"&amp;COUNTIFS($B$6:$B457,$B457,$A$6:$A457,$A457,$F$6:$F457,$F457,$R$6:$R457,$R457))</f>
        <v/>
      </c>
      <c r="U457" s="32">
        <f>IF($C457="","",$C457&amp;"|"&amp;COUNTIFS($C$6:$C457,$C457))</f>
        <v/>
      </c>
      <c r="V457" s="32">
        <f>IF(OR($C457="",$A457="",$S457=""),"",$C457&amp;"|"&amp;$A457&amp;"|"&amp;$S457)</f>
        <v/>
      </c>
      <c r="W457" s="32">
        <f>IF(OR($C457="",$S457="",$S457=1),"",IFERROR(INDEX($Q$6:$Q$1505,MATCH($C457&amp;"|"&amp;$A457&amp;"|"&amp;($S457-1),$V$6:$V$1505,0)),""))</f>
        <v/>
      </c>
      <c r="X457" s="32">
        <f>IF(OR($W457="",$Q457="",LEFT($Q457,1)="—"),"",IF($W457=$Q457,"ללא שינוי","מ-"&amp;$W457&amp;" ל-"&amp;$Q457))</f>
        <v/>
      </c>
    </row>
    <row r="458" ht="15.75" customHeight="1" s="58">
      <c r="A458" s="65" t="n"/>
      <c r="B458" s="65" t="n"/>
      <c r="C458" s="66" t="n"/>
      <c r="D458" s="66" t="n"/>
      <c r="E458" s="65" t="n"/>
      <c r="F458" s="65" t="n"/>
      <c r="G458" s="65" t="n"/>
      <c r="H458" s="65" t="n"/>
      <c r="I458" s="65" t="n"/>
      <c r="J458" s="65" t="n"/>
      <c r="K458" s="65" t="n"/>
      <c r="L458" s="65" t="n"/>
      <c r="M458" s="65" t="n"/>
      <c r="N458" s="65" t="n"/>
      <c r="O458" s="65" t="n"/>
      <c r="P458" s="65" t="n"/>
      <c r="Q458" s="32">
        <f>IF($C458="","",IF($J458="","— חסרים נתונים",IF($J458="טרם מפענח","פרופיל 5",IF($J458="קמץ/פתח/חטף-פתח ושוואים","פרופיל 4",IF($J458="2-3 סימני ניקוד","פרופיל 3",IF($J458="4-5 סימני ניקוד","פרופיל 2",IF(AND($O458="משפטים וקטעים קצרים",OR($M458="מבין",$M458="מבין לרוב")),"פרופיל 1","פרופיל 2")))))))</f>
        <v/>
      </c>
      <c r="R458" s="32">
        <f>IF($C458="","",IF(OR($Q458="",LEFT($Q458,1)="—"),"קבוצה רביעית",IF($Q458="פרופיל 5","קבוצת תשתיות",IF(OR($Q458="פרופיל 4",$Q458="פרופיל 3"),"קבוצת רכישה","קבוצת ביסוס"))))</f>
        <v/>
      </c>
      <c r="S458" s="32">
        <f>IF($F458="","",IF($F458="תחילת שנה",1,IF($F458="מחצית שנה",2,3)))</f>
        <v/>
      </c>
      <c r="T458" s="32">
        <f>IF(OR($B458="",$R458="",$A458="",$F458=""),"",$B458&amp;"|"&amp;$A458&amp;"|"&amp;$F458&amp;"|"&amp;$R458&amp;"|"&amp;COUNTIFS($B$6:$B458,$B458,$A$6:$A458,$A458,$F$6:$F458,$F458,$R$6:$R458,$R458))</f>
        <v/>
      </c>
      <c r="U458" s="32">
        <f>IF($C458="","",$C458&amp;"|"&amp;COUNTIFS($C$6:$C458,$C458))</f>
        <v/>
      </c>
      <c r="V458" s="32">
        <f>IF(OR($C458="",$A458="",$S458=""),"",$C458&amp;"|"&amp;$A458&amp;"|"&amp;$S458)</f>
        <v/>
      </c>
      <c r="W458" s="32">
        <f>IF(OR($C458="",$S458="",$S458=1),"",IFERROR(INDEX($Q$6:$Q$1505,MATCH($C458&amp;"|"&amp;$A458&amp;"|"&amp;($S458-1),$V$6:$V$1505,0)),""))</f>
        <v/>
      </c>
      <c r="X458" s="32">
        <f>IF(OR($W458="",$Q458="",LEFT($Q458,1)="—"),"",IF($W458=$Q458,"ללא שינוי","מ-"&amp;$W458&amp;" ל-"&amp;$Q458))</f>
        <v/>
      </c>
    </row>
    <row r="459" ht="15.75" customHeight="1" s="58">
      <c r="A459" s="65" t="n"/>
      <c r="B459" s="65" t="n"/>
      <c r="C459" s="66" t="n"/>
      <c r="D459" s="66" t="n"/>
      <c r="E459" s="65" t="n"/>
      <c r="F459" s="65" t="n"/>
      <c r="G459" s="65" t="n"/>
      <c r="H459" s="65" t="n"/>
      <c r="I459" s="65" t="n"/>
      <c r="J459" s="65" t="n"/>
      <c r="K459" s="65" t="n"/>
      <c r="L459" s="65" t="n"/>
      <c r="M459" s="65" t="n"/>
      <c r="N459" s="65" t="n"/>
      <c r="O459" s="65" t="n"/>
      <c r="P459" s="65" t="n"/>
      <c r="Q459" s="32">
        <f>IF($C459="","",IF($J459="","— חסרים נתונים",IF($J459="טרם מפענח","פרופיל 5",IF($J459="קמץ/פתח/חטף-פתח ושוואים","פרופיל 4",IF($J459="2-3 סימני ניקוד","פרופיל 3",IF($J459="4-5 סימני ניקוד","פרופיל 2",IF(AND($O459="משפטים וקטעים קצרים",OR($M459="מבין",$M459="מבין לרוב")),"פרופיל 1","פרופיל 2")))))))</f>
        <v/>
      </c>
      <c r="R459" s="32">
        <f>IF($C459="","",IF(OR($Q459="",LEFT($Q459,1)="—"),"קבוצה רביעית",IF($Q459="פרופיל 5","קבוצת תשתיות",IF(OR($Q459="פרופיל 4",$Q459="פרופיל 3"),"קבוצת רכישה","קבוצת ביסוס"))))</f>
        <v/>
      </c>
      <c r="S459" s="32">
        <f>IF($F459="","",IF($F459="תחילת שנה",1,IF($F459="מחצית שנה",2,3)))</f>
        <v/>
      </c>
      <c r="T459" s="32">
        <f>IF(OR($B459="",$R459="",$A459="",$F459=""),"",$B459&amp;"|"&amp;$A459&amp;"|"&amp;$F459&amp;"|"&amp;$R459&amp;"|"&amp;COUNTIFS($B$6:$B459,$B459,$A$6:$A459,$A459,$F$6:$F459,$F459,$R$6:$R459,$R459))</f>
        <v/>
      </c>
      <c r="U459" s="32">
        <f>IF($C459="","",$C459&amp;"|"&amp;COUNTIFS($C$6:$C459,$C459))</f>
        <v/>
      </c>
      <c r="V459" s="32">
        <f>IF(OR($C459="",$A459="",$S459=""),"",$C459&amp;"|"&amp;$A459&amp;"|"&amp;$S459)</f>
        <v/>
      </c>
      <c r="W459" s="32">
        <f>IF(OR($C459="",$S459="",$S459=1),"",IFERROR(INDEX($Q$6:$Q$1505,MATCH($C459&amp;"|"&amp;$A459&amp;"|"&amp;($S459-1),$V$6:$V$1505,0)),""))</f>
        <v/>
      </c>
      <c r="X459" s="32">
        <f>IF(OR($W459="",$Q459="",LEFT($Q459,1)="—"),"",IF($W459=$Q459,"ללא שינוי","מ-"&amp;$W459&amp;" ל-"&amp;$Q459))</f>
        <v/>
      </c>
    </row>
    <row r="460" ht="15.75" customHeight="1" s="58">
      <c r="A460" s="65" t="n"/>
      <c r="B460" s="65" t="n"/>
      <c r="C460" s="66" t="n"/>
      <c r="D460" s="66" t="n"/>
      <c r="E460" s="65" t="n"/>
      <c r="F460" s="65" t="n"/>
      <c r="G460" s="65" t="n"/>
      <c r="H460" s="65" t="n"/>
      <c r="I460" s="65" t="n"/>
      <c r="J460" s="65" t="n"/>
      <c r="K460" s="65" t="n"/>
      <c r="L460" s="65" t="n"/>
      <c r="M460" s="65" t="n"/>
      <c r="N460" s="65" t="n"/>
      <c r="O460" s="65" t="n"/>
      <c r="P460" s="65" t="n"/>
      <c r="Q460" s="32">
        <f>IF($C460="","",IF($J460="","— חסרים נתונים",IF($J460="טרם מפענח","פרופיל 5",IF($J460="קמץ/פתח/חטף-פתח ושוואים","פרופיל 4",IF($J460="2-3 סימני ניקוד","פרופיל 3",IF($J460="4-5 סימני ניקוד","פרופיל 2",IF(AND($O460="משפטים וקטעים קצרים",OR($M460="מבין",$M460="מבין לרוב")),"פרופיל 1","פרופיל 2")))))))</f>
        <v/>
      </c>
      <c r="R460" s="32">
        <f>IF($C460="","",IF(OR($Q460="",LEFT($Q460,1)="—"),"קבוצה רביעית",IF($Q460="פרופיל 5","קבוצת תשתיות",IF(OR($Q460="פרופיל 4",$Q460="פרופיל 3"),"קבוצת רכישה","קבוצת ביסוס"))))</f>
        <v/>
      </c>
      <c r="S460" s="32">
        <f>IF($F460="","",IF($F460="תחילת שנה",1,IF($F460="מחצית שנה",2,3)))</f>
        <v/>
      </c>
      <c r="T460" s="32">
        <f>IF(OR($B460="",$R460="",$A460="",$F460=""),"",$B460&amp;"|"&amp;$A460&amp;"|"&amp;$F460&amp;"|"&amp;$R460&amp;"|"&amp;COUNTIFS($B$6:$B460,$B460,$A$6:$A460,$A460,$F$6:$F460,$F460,$R$6:$R460,$R460))</f>
        <v/>
      </c>
      <c r="U460" s="32">
        <f>IF($C460="","",$C460&amp;"|"&amp;COUNTIFS($C$6:$C460,$C460))</f>
        <v/>
      </c>
      <c r="V460" s="32">
        <f>IF(OR($C460="",$A460="",$S460=""),"",$C460&amp;"|"&amp;$A460&amp;"|"&amp;$S460)</f>
        <v/>
      </c>
      <c r="W460" s="32">
        <f>IF(OR($C460="",$S460="",$S460=1),"",IFERROR(INDEX($Q$6:$Q$1505,MATCH($C460&amp;"|"&amp;$A460&amp;"|"&amp;($S460-1),$V$6:$V$1505,0)),""))</f>
        <v/>
      </c>
      <c r="X460" s="32">
        <f>IF(OR($W460="",$Q460="",LEFT($Q460,1)="—"),"",IF($W460=$Q460,"ללא שינוי","מ-"&amp;$W460&amp;" ל-"&amp;$Q460))</f>
        <v/>
      </c>
    </row>
    <row r="461" ht="15.75" customHeight="1" s="58">
      <c r="A461" s="65" t="n"/>
      <c r="B461" s="65" t="n"/>
      <c r="C461" s="66" t="n"/>
      <c r="D461" s="66" t="n"/>
      <c r="E461" s="65" t="n"/>
      <c r="F461" s="65" t="n"/>
      <c r="G461" s="65" t="n"/>
      <c r="H461" s="65" t="n"/>
      <c r="I461" s="65" t="n"/>
      <c r="J461" s="65" t="n"/>
      <c r="K461" s="65" t="n"/>
      <c r="L461" s="65" t="n"/>
      <c r="M461" s="65" t="n"/>
      <c r="N461" s="65" t="n"/>
      <c r="O461" s="65" t="n"/>
      <c r="P461" s="65" t="n"/>
      <c r="Q461" s="32">
        <f>IF($C461="","",IF($J461="","— חסרים נתונים",IF($J461="טרם מפענח","פרופיל 5",IF($J461="קמץ/פתח/חטף-פתח ושוואים","פרופיל 4",IF($J461="2-3 סימני ניקוד","פרופיל 3",IF($J461="4-5 סימני ניקוד","פרופיל 2",IF(AND($O461="משפטים וקטעים קצרים",OR($M461="מבין",$M461="מבין לרוב")),"פרופיל 1","פרופיל 2")))))))</f>
        <v/>
      </c>
      <c r="R461" s="32">
        <f>IF($C461="","",IF(OR($Q461="",LEFT($Q461,1)="—"),"קבוצה רביעית",IF($Q461="פרופיל 5","קבוצת תשתיות",IF(OR($Q461="פרופיל 4",$Q461="פרופיל 3"),"קבוצת רכישה","קבוצת ביסוס"))))</f>
        <v/>
      </c>
      <c r="S461" s="32">
        <f>IF($F461="","",IF($F461="תחילת שנה",1,IF($F461="מחצית שנה",2,3)))</f>
        <v/>
      </c>
      <c r="T461" s="32">
        <f>IF(OR($B461="",$R461="",$A461="",$F461=""),"",$B461&amp;"|"&amp;$A461&amp;"|"&amp;$F461&amp;"|"&amp;$R461&amp;"|"&amp;COUNTIFS($B$6:$B461,$B461,$A$6:$A461,$A461,$F$6:$F461,$F461,$R$6:$R461,$R461))</f>
        <v/>
      </c>
      <c r="U461" s="32">
        <f>IF($C461="","",$C461&amp;"|"&amp;COUNTIFS($C$6:$C461,$C461))</f>
        <v/>
      </c>
      <c r="V461" s="32">
        <f>IF(OR($C461="",$A461="",$S461=""),"",$C461&amp;"|"&amp;$A461&amp;"|"&amp;$S461)</f>
        <v/>
      </c>
      <c r="W461" s="32">
        <f>IF(OR($C461="",$S461="",$S461=1),"",IFERROR(INDEX($Q$6:$Q$1505,MATCH($C461&amp;"|"&amp;$A461&amp;"|"&amp;($S461-1),$V$6:$V$1505,0)),""))</f>
        <v/>
      </c>
      <c r="X461" s="32">
        <f>IF(OR($W461="",$Q461="",LEFT($Q461,1)="—"),"",IF($W461=$Q461,"ללא שינוי","מ-"&amp;$W461&amp;" ל-"&amp;$Q461))</f>
        <v/>
      </c>
    </row>
    <row r="462" ht="15.75" customHeight="1" s="58">
      <c r="A462" s="65" t="n"/>
      <c r="B462" s="65" t="n"/>
      <c r="C462" s="66" t="n"/>
      <c r="D462" s="66" t="n"/>
      <c r="E462" s="65" t="n"/>
      <c r="F462" s="65" t="n"/>
      <c r="G462" s="65" t="n"/>
      <c r="H462" s="65" t="n"/>
      <c r="I462" s="65" t="n"/>
      <c r="J462" s="65" t="n"/>
      <c r="K462" s="65" t="n"/>
      <c r="L462" s="65" t="n"/>
      <c r="M462" s="65" t="n"/>
      <c r="N462" s="65" t="n"/>
      <c r="O462" s="65" t="n"/>
      <c r="P462" s="65" t="n"/>
      <c r="Q462" s="32">
        <f>IF($C462="","",IF($J462="","— חסרים נתונים",IF($J462="טרם מפענח","פרופיל 5",IF($J462="קמץ/פתח/חטף-פתח ושוואים","פרופיל 4",IF($J462="2-3 סימני ניקוד","פרופיל 3",IF($J462="4-5 סימני ניקוד","פרופיל 2",IF(AND($O462="משפטים וקטעים קצרים",OR($M462="מבין",$M462="מבין לרוב")),"פרופיל 1","פרופיל 2")))))))</f>
        <v/>
      </c>
      <c r="R462" s="32">
        <f>IF($C462="","",IF(OR($Q462="",LEFT($Q462,1)="—"),"קבוצה רביעית",IF($Q462="פרופיל 5","קבוצת תשתיות",IF(OR($Q462="פרופיל 4",$Q462="פרופיל 3"),"קבוצת רכישה","קבוצת ביסוס"))))</f>
        <v/>
      </c>
      <c r="S462" s="32">
        <f>IF($F462="","",IF($F462="תחילת שנה",1,IF($F462="מחצית שנה",2,3)))</f>
        <v/>
      </c>
      <c r="T462" s="32">
        <f>IF(OR($B462="",$R462="",$A462="",$F462=""),"",$B462&amp;"|"&amp;$A462&amp;"|"&amp;$F462&amp;"|"&amp;$R462&amp;"|"&amp;COUNTIFS($B$6:$B462,$B462,$A$6:$A462,$A462,$F$6:$F462,$F462,$R$6:$R462,$R462))</f>
        <v/>
      </c>
      <c r="U462" s="32">
        <f>IF($C462="","",$C462&amp;"|"&amp;COUNTIFS($C$6:$C462,$C462))</f>
        <v/>
      </c>
      <c r="V462" s="32">
        <f>IF(OR($C462="",$A462="",$S462=""),"",$C462&amp;"|"&amp;$A462&amp;"|"&amp;$S462)</f>
        <v/>
      </c>
      <c r="W462" s="32">
        <f>IF(OR($C462="",$S462="",$S462=1),"",IFERROR(INDEX($Q$6:$Q$1505,MATCH($C462&amp;"|"&amp;$A462&amp;"|"&amp;($S462-1),$V$6:$V$1505,0)),""))</f>
        <v/>
      </c>
      <c r="X462" s="32">
        <f>IF(OR($W462="",$Q462="",LEFT($Q462,1)="—"),"",IF($W462=$Q462,"ללא שינוי","מ-"&amp;$W462&amp;" ל-"&amp;$Q462))</f>
        <v/>
      </c>
    </row>
    <row r="463" ht="15.75" customHeight="1" s="58">
      <c r="A463" s="65" t="n"/>
      <c r="B463" s="65" t="n"/>
      <c r="C463" s="66" t="n"/>
      <c r="D463" s="66" t="n"/>
      <c r="E463" s="65" t="n"/>
      <c r="F463" s="65" t="n"/>
      <c r="G463" s="65" t="n"/>
      <c r="H463" s="65" t="n"/>
      <c r="I463" s="65" t="n"/>
      <c r="J463" s="65" t="n"/>
      <c r="K463" s="65" t="n"/>
      <c r="L463" s="65" t="n"/>
      <c r="M463" s="65" t="n"/>
      <c r="N463" s="65" t="n"/>
      <c r="O463" s="65" t="n"/>
      <c r="P463" s="65" t="n"/>
      <c r="Q463" s="32">
        <f>IF($C463="","",IF($J463="","— חסרים נתונים",IF($J463="טרם מפענח","פרופיל 5",IF($J463="קמץ/פתח/חטף-פתח ושוואים","פרופיל 4",IF($J463="2-3 סימני ניקוד","פרופיל 3",IF($J463="4-5 סימני ניקוד","פרופיל 2",IF(AND($O463="משפטים וקטעים קצרים",OR($M463="מבין",$M463="מבין לרוב")),"פרופיל 1","פרופיל 2")))))))</f>
        <v/>
      </c>
      <c r="R463" s="32">
        <f>IF($C463="","",IF(OR($Q463="",LEFT($Q463,1)="—"),"קבוצה רביעית",IF($Q463="פרופיל 5","קבוצת תשתיות",IF(OR($Q463="פרופיל 4",$Q463="פרופיל 3"),"קבוצת רכישה","קבוצת ביסוס"))))</f>
        <v/>
      </c>
      <c r="S463" s="32">
        <f>IF($F463="","",IF($F463="תחילת שנה",1,IF($F463="מחצית שנה",2,3)))</f>
        <v/>
      </c>
      <c r="T463" s="32">
        <f>IF(OR($B463="",$R463="",$A463="",$F463=""),"",$B463&amp;"|"&amp;$A463&amp;"|"&amp;$F463&amp;"|"&amp;$R463&amp;"|"&amp;COUNTIFS($B$6:$B463,$B463,$A$6:$A463,$A463,$F$6:$F463,$F463,$R$6:$R463,$R463))</f>
        <v/>
      </c>
      <c r="U463" s="32">
        <f>IF($C463="","",$C463&amp;"|"&amp;COUNTIFS($C$6:$C463,$C463))</f>
        <v/>
      </c>
      <c r="V463" s="32">
        <f>IF(OR($C463="",$A463="",$S463=""),"",$C463&amp;"|"&amp;$A463&amp;"|"&amp;$S463)</f>
        <v/>
      </c>
      <c r="W463" s="32">
        <f>IF(OR($C463="",$S463="",$S463=1),"",IFERROR(INDEX($Q$6:$Q$1505,MATCH($C463&amp;"|"&amp;$A463&amp;"|"&amp;($S463-1),$V$6:$V$1505,0)),""))</f>
        <v/>
      </c>
      <c r="X463" s="32">
        <f>IF(OR($W463="",$Q463="",LEFT($Q463,1)="—"),"",IF($W463=$Q463,"ללא שינוי","מ-"&amp;$W463&amp;" ל-"&amp;$Q463))</f>
        <v/>
      </c>
    </row>
    <row r="464" ht="15.75" customHeight="1" s="58">
      <c r="A464" s="65" t="n"/>
      <c r="B464" s="65" t="n"/>
      <c r="C464" s="66" t="n"/>
      <c r="D464" s="66" t="n"/>
      <c r="E464" s="65" t="n"/>
      <c r="F464" s="65" t="n"/>
      <c r="G464" s="65" t="n"/>
      <c r="H464" s="65" t="n"/>
      <c r="I464" s="65" t="n"/>
      <c r="J464" s="65" t="n"/>
      <c r="K464" s="65" t="n"/>
      <c r="L464" s="65" t="n"/>
      <c r="M464" s="65" t="n"/>
      <c r="N464" s="65" t="n"/>
      <c r="O464" s="65" t="n"/>
      <c r="P464" s="65" t="n"/>
      <c r="Q464" s="32">
        <f>IF($C464="","",IF($J464="","— חסרים נתונים",IF($J464="טרם מפענח","פרופיל 5",IF($J464="קמץ/פתח/חטף-פתח ושוואים","פרופיל 4",IF($J464="2-3 סימני ניקוד","פרופיל 3",IF($J464="4-5 סימני ניקוד","פרופיל 2",IF(AND($O464="משפטים וקטעים קצרים",OR($M464="מבין",$M464="מבין לרוב")),"פרופיל 1","פרופיל 2")))))))</f>
        <v/>
      </c>
      <c r="R464" s="32">
        <f>IF($C464="","",IF(OR($Q464="",LEFT($Q464,1)="—"),"קבוצה רביעית",IF($Q464="פרופיל 5","קבוצת תשתיות",IF(OR($Q464="פרופיל 4",$Q464="פרופיל 3"),"קבוצת רכישה","קבוצת ביסוס"))))</f>
        <v/>
      </c>
      <c r="S464" s="32">
        <f>IF($F464="","",IF($F464="תחילת שנה",1,IF($F464="מחצית שנה",2,3)))</f>
        <v/>
      </c>
      <c r="T464" s="32">
        <f>IF(OR($B464="",$R464="",$A464="",$F464=""),"",$B464&amp;"|"&amp;$A464&amp;"|"&amp;$F464&amp;"|"&amp;$R464&amp;"|"&amp;COUNTIFS($B$6:$B464,$B464,$A$6:$A464,$A464,$F$6:$F464,$F464,$R$6:$R464,$R464))</f>
        <v/>
      </c>
      <c r="U464" s="32">
        <f>IF($C464="","",$C464&amp;"|"&amp;COUNTIFS($C$6:$C464,$C464))</f>
        <v/>
      </c>
      <c r="V464" s="32">
        <f>IF(OR($C464="",$A464="",$S464=""),"",$C464&amp;"|"&amp;$A464&amp;"|"&amp;$S464)</f>
        <v/>
      </c>
      <c r="W464" s="32">
        <f>IF(OR($C464="",$S464="",$S464=1),"",IFERROR(INDEX($Q$6:$Q$1505,MATCH($C464&amp;"|"&amp;$A464&amp;"|"&amp;($S464-1),$V$6:$V$1505,0)),""))</f>
        <v/>
      </c>
      <c r="X464" s="32">
        <f>IF(OR($W464="",$Q464="",LEFT($Q464,1)="—"),"",IF($W464=$Q464,"ללא שינוי","מ-"&amp;$W464&amp;" ל-"&amp;$Q464))</f>
        <v/>
      </c>
    </row>
    <row r="465" ht="15.75" customHeight="1" s="58">
      <c r="A465" s="65" t="n"/>
      <c r="B465" s="65" t="n"/>
      <c r="C465" s="66" t="n"/>
      <c r="D465" s="66" t="n"/>
      <c r="E465" s="65" t="n"/>
      <c r="F465" s="65" t="n"/>
      <c r="G465" s="65" t="n"/>
      <c r="H465" s="65" t="n"/>
      <c r="I465" s="65" t="n"/>
      <c r="J465" s="65" t="n"/>
      <c r="K465" s="65" t="n"/>
      <c r="L465" s="65" t="n"/>
      <c r="M465" s="65" t="n"/>
      <c r="N465" s="65" t="n"/>
      <c r="O465" s="65" t="n"/>
      <c r="P465" s="65" t="n"/>
      <c r="Q465" s="32">
        <f>IF($C465="","",IF($J465="","— חסרים נתונים",IF($J465="טרם מפענח","פרופיל 5",IF($J465="קמץ/פתח/חטף-פתח ושוואים","פרופיל 4",IF($J465="2-3 סימני ניקוד","פרופיל 3",IF($J465="4-5 סימני ניקוד","פרופיל 2",IF(AND($O465="משפטים וקטעים קצרים",OR($M465="מבין",$M465="מבין לרוב")),"פרופיל 1","פרופיל 2")))))))</f>
        <v/>
      </c>
      <c r="R465" s="32">
        <f>IF($C465="","",IF(OR($Q465="",LEFT($Q465,1)="—"),"קבוצה רביעית",IF($Q465="פרופיל 5","קבוצת תשתיות",IF(OR($Q465="פרופיל 4",$Q465="פרופיל 3"),"קבוצת רכישה","קבוצת ביסוס"))))</f>
        <v/>
      </c>
      <c r="S465" s="32">
        <f>IF($F465="","",IF($F465="תחילת שנה",1,IF($F465="מחצית שנה",2,3)))</f>
        <v/>
      </c>
      <c r="T465" s="32">
        <f>IF(OR($B465="",$R465="",$A465="",$F465=""),"",$B465&amp;"|"&amp;$A465&amp;"|"&amp;$F465&amp;"|"&amp;$R465&amp;"|"&amp;COUNTIFS($B$6:$B465,$B465,$A$6:$A465,$A465,$F$6:$F465,$F465,$R$6:$R465,$R465))</f>
        <v/>
      </c>
      <c r="U465" s="32">
        <f>IF($C465="","",$C465&amp;"|"&amp;COUNTIFS($C$6:$C465,$C465))</f>
        <v/>
      </c>
      <c r="V465" s="32">
        <f>IF(OR($C465="",$A465="",$S465=""),"",$C465&amp;"|"&amp;$A465&amp;"|"&amp;$S465)</f>
        <v/>
      </c>
      <c r="W465" s="32">
        <f>IF(OR($C465="",$S465="",$S465=1),"",IFERROR(INDEX($Q$6:$Q$1505,MATCH($C465&amp;"|"&amp;$A465&amp;"|"&amp;($S465-1),$V$6:$V$1505,0)),""))</f>
        <v/>
      </c>
      <c r="X465" s="32">
        <f>IF(OR($W465="",$Q465="",LEFT($Q465,1)="—"),"",IF($W465=$Q465,"ללא שינוי","מ-"&amp;$W465&amp;" ל-"&amp;$Q465))</f>
        <v/>
      </c>
    </row>
    <row r="466" ht="15.75" customHeight="1" s="58">
      <c r="A466" s="65" t="n"/>
      <c r="B466" s="65" t="n"/>
      <c r="C466" s="66" t="n"/>
      <c r="D466" s="66" t="n"/>
      <c r="E466" s="65" t="n"/>
      <c r="F466" s="65" t="n"/>
      <c r="G466" s="65" t="n"/>
      <c r="H466" s="65" t="n"/>
      <c r="I466" s="65" t="n"/>
      <c r="J466" s="65" t="n"/>
      <c r="K466" s="65" t="n"/>
      <c r="L466" s="65" t="n"/>
      <c r="M466" s="65" t="n"/>
      <c r="N466" s="65" t="n"/>
      <c r="O466" s="65" t="n"/>
      <c r="P466" s="65" t="n"/>
      <c r="Q466" s="32">
        <f>IF($C466="","",IF($J466="","— חסרים נתונים",IF($J466="טרם מפענח","פרופיל 5",IF($J466="קמץ/פתח/חטף-פתח ושוואים","פרופיל 4",IF($J466="2-3 סימני ניקוד","פרופיל 3",IF($J466="4-5 סימני ניקוד","פרופיל 2",IF(AND($O466="משפטים וקטעים קצרים",OR($M466="מבין",$M466="מבין לרוב")),"פרופיל 1","פרופיל 2")))))))</f>
        <v/>
      </c>
      <c r="R466" s="32">
        <f>IF($C466="","",IF(OR($Q466="",LEFT($Q466,1)="—"),"קבוצה רביעית",IF($Q466="פרופיל 5","קבוצת תשתיות",IF(OR($Q466="פרופיל 4",$Q466="פרופיל 3"),"קבוצת רכישה","קבוצת ביסוס"))))</f>
        <v/>
      </c>
      <c r="S466" s="32">
        <f>IF($F466="","",IF($F466="תחילת שנה",1,IF($F466="מחצית שנה",2,3)))</f>
        <v/>
      </c>
      <c r="T466" s="32">
        <f>IF(OR($B466="",$R466="",$A466="",$F466=""),"",$B466&amp;"|"&amp;$A466&amp;"|"&amp;$F466&amp;"|"&amp;$R466&amp;"|"&amp;COUNTIFS($B$6:$B466,$B466,$A$6:$A466,$A466,$F$6:$F466,$F466,$R$6:$R466,$R466))</f>
        <v/>
      </c>
      <c r="U466" s="32">
        <f>IF($C466="","",$C466&amp;"|"&amp;COUNTIFS($C$6:$C466,$C466))</f>
        <v/>
      </c>
      <c r="V466" s="32">
        <f>IF(OR($C466="",$A466="",$S466=""),"",$C466&amp;"|"&amp;$A466&amp;"|"&amp;$S466)</f>
        <v/>
      </c>
      <c r="W466" s="32">
        <f>IF(OR($C466="",$S466="",$S466=1),"",IFERROR(INDEX($Q$6:$Q$1505,MATCH($C466&amp;"|"&amp;$A466&amp;"|"&amp;($S466-1),$V$6:$V$1505,0)),""))</f>
        <v/>
      </c>
      <c r="X466" s="32">
        <f>IF(OR($W466="",$Q466="",LEFT($Q466,1)="—"),"",IF($W466=$Q466,"ללא שינוי","מ-"&amp;$W466&amp;" ל-"&amp;$Q466))</f>
        <v/>
      </c>
    </row>
    <row r="467" ht="15.75" customHeight="1" s="58">
      <c r="A467" s="65" t="n"/>
      <c r="B467" s="65" t="n"/>
      <c r="C467" s="66" t="n"/>
      <c r="D467" s="66" t="n"/>
      <c r="E467" s="65" t="n"/>
      <c r="F467" s="65" t="n"/>
      <c r="G467" s="65" t="n"/>
      <c r="H467" s="65" t="n"/>
      <c r="I467" s="65" t="n"/>
      <c r="J467" s="65" t="n"/>
      <c r="K467" s="65" t="n"/>
      <c r="L467" s="65" t="n"/>
      <c r="M467" s="65" t="n"/>
      <c r="N467" s="65" t="n"/>
      <c r="O467" s="65" t="n"/>
      <c r="P467" s="65" t="n"/>
      <c r="Q467" s="32">
        <f>IF($C467="","",IF($J467="","— חסרים נתונים",IF($J467="טרם מפענח","פרופיל 5",IF($J467="קמץ/פתח/חטף-פתח ושוואים","פרופיל 4",IF($J467="2-3 סימני ניקוד","פרופיל 3",IF($J467="4-5 סימני ניקוד","פרופיל 2",IF(AND($O467="משפטים וקטעים קצרים",OR($M467="מבין",$M467="מבין לרוב")),"פרופיל 1","פרופיל 2")))))))</f>
        <v/>
      </c>
      <c r="R467" s="32">
        <f>IF($C467="","",IF(OR($Q467="",LEFT($Q467,1)="—"),"קבוצה רביעית",IF($Q467="פרופיל 5","קבוצת תשתיות",IF(OR($Q467="פרופיל 4",$Q467="פרופיל 3"),"קבוצת רכישה","קבוצת ביסוס"))))</f>
        <v/>
      </c>
      <c r="S467" s="32">
        <f>IF($F467="","",IF($F467="תחילת שנה",1,IF($F467="מחצית שנה",2,3)))</f>
        <v/>
      </c>
      <c r="T467" s="32">
        <f>IF(OR($B467="",$R467="",$A467="",$F467=""),"",$B467&amp;"|"&amp;$A467&amp;"|"&amp;$F467&amp;"|"&amp;$R467&amp;"|"&amp;COUNTIFS($B$6:$B467,$B467,$A$6:$A467,$A467,$F$6:$F467,$F467,$R$6:$R467,$R467))</f>
        <v/>
      </c>
      <c r="U467" s="32">
        <f>IF($C467="","",$C467&amp;"|"&amp;COUNTIFS($C$6:$C467,$C467))</f>
        <v/>
      </c>
      <c r="V467" s="32">
        <f>IF(OR($C467="",$A467="",$S467=""),"",$C467&amp;"|"&amp;$A467&amp;"|"&amp;$S467)</f>
        <v/>
      </c>
      <c r="W467" s="32">
        <f>IF(OR($C467="",$S467="",$S467=1),"",IFERROR(INDEX($Q$6:$Q$1505,MATCH($C467&amp;"|"&amp;$A467&amp;"|"&amp;($S467-1),$V$6:$V$1505,0)),""))</f>
        <v/>
      </c>
      <c r="X467" s="32">
        <f>IF(OR($W467="",$Q467="",LEFT($Q467,1)="—"),"",IF($W467=$Q467,"ללא שינוי","מ-"&amp;$W467&amp;" ל-"&amp;$Q467))</f>
        <v/>
      </c>
    </row>
    <row r="468" ht="15.75" customHeight="1" s="58">
      <c r="A468" s="65" t="n"/>
      <c r="B468" s="65" t="n"/>
      <c r="C468" s="66" t="n"/>
      <c r="D468" s="66" t="n"/>
      <c r="E468" s="65" t="n"/>
      <c r="F468" s="65" t="n"/>
      <c r="G468" s="65" t="n"/>
      <c r="H468" s="65" t="n"/>
      <c r="I468" s="65" t="n"/>
      <c r="J468" s="65" t="n"/>
      <c r="K468" s="65" t="n"/>
      <c r="L468" s="65" t="n"/>
      <c r="M468" s="65" t="n"/>
      <c r="N468" s="65" t="n"/>
      <c r="O468" s="65" t="n"/>
      <c r="P468" s="65" t="n"/>
      <c r="Q468" s="32">
        <f>IF($C468="","",IF($J468="","— חסרים נתונים",IF($J468="טרם מפענח","פרופיל 5",IF($J468="קמץ/פתח/חטף-פתח ושוואים","פרופיל 4",IF($J468="2-3 סימני ניקוד","פרופיל 3",IF($J468="4-5 סימני ניקוד","פרופיל 2",IF(AND($O468="משפטים וקטעים קצרים",OR($M468="מבין",$M468="מבין לרוב")),"פרופיל 1","פרופיל 2")))))))</f>
        <v/>
      </c>
      <c r="R468" s="32">
        <f>IF($C468="","",IF(OR($Q468="",LEFT($Q468,1)="—"),"קבוצה רביעית",IF($Q468="פרופיל 5","קבוצת תשתיות",IF(OR($Q468="פרופיל 4",$Q468="פרופיל 3"),"קבוצת רכישה","קבוצת ביסוס"))))</f>
        <v/>
      </c>
      <c r="S468" s="32">
        <f>IF($F468="","",IF($F468="תחילת שנה",1,IF($F468="מחצית שנה",2,3)))</f>
        <v/>
      </c>
      <c r="T468" s="32">
        <f>IF(OR($B468="",$R468="",$A468="",$F468=""),"",$B468&amp;"|"&amp;$A468&amp;"|"&amp;$F468&amp;"|"&amp;$R468&amp;"|"&amp;COUNTIFS($B$6:$B468,$B468,$A$6:$A468,$A468,$F$6:$F468,$F468,$R$6:$R468,$R468))</f>
        <v/>
      </c>
      <c r="U468" s="32">
        <f>IF($C468="","",$C468&amp;"|"&amp;COUNTIFS($C$6:$C468,$C468))</f>
        <v/>
      </c>
      <c r="V468" s="32">
        <f>IF(OR($C468="",$A468="",$S468=""),"",$C468&amp;"|"&amp;$A468&amp;"|"&amp;$S468)</f>
        <v/>
      </c>
      <c r="W468" s="32">
        <f>IF(OR($C468="",$S468="",$S468=1),"",IFERROR(INDEX($Q$6:$Q$1505,MATCH($C468&amp;"|"&amp;$A468&amp;"|"&amp;($S468-1),$V$6:$V$1505,0)),""))</f>
        <v/>
      </c>
      <c r="X468" s="32">
        <f>IF(OR($W468="",$Q468="",LEFT($Q468,1)="—"),"",IF($W468=$Q468,"ללא שינוי","מ-"&amp;$W468&amp;" ל-"&amp;$Q468))</f>
        <v/>
      </c>
    </row>
    <row r="469" ht="15.75" customHeight="1" s="58">
      <c r="A469" s="65" t="n"/>
      <c r="B469" s="65" t="n"/>
      <c r="C469" s="66" t="n"/>
      <c r="D469" s="66" t="n"/>
      <c r="E469" s="65" t="n"/>
      <c r="F469" s="65" t="n"/>
      <c r="G469" s="65" t="n"/>
      <c r="H469" s="65" t="n"/>
      <c r="I469" s="65" t="n"/>
      <c r="J469" s="65" t="n"/>
      <c r="K469" s="65" t="n"/>
      <c r="L469" s="65" t="n"/>
      <c r="M469" s="65" t="n"/>
      <c r="N469" s="65" t="n"/>
      <c r="O469" s="65" t="n"/>
      <c r="P469" s="65" t="n"/>
      <c r="Q469" s="32">
        <f>IF($C469="","",IF($J469="","— חסרים נתונים",IF($J469="טרם מפענח","פרופיל 5",IF($J469="קמץ/פתח/חטף-פתח ושוואים","פרופיל 4",IF($J469="2-3 סימני ניקוד","פרופיל 3",IF($J469="4-5 סימני ניקוד","פרופיל 2",IF(AND($O469="משפטים וקטעים קצרים",OR($M469="מבין",$M469="מבין לרוב")),"פרופיל 1","פרופיל 2")))))))</f>
        <v/>
      </c>
      <c r="R469" s="32">
        <f>IF($C469="","",IF(OR($Q469="",LEFT($Q469,1)="—"),"קבוצה רביעית",IF($Q469="פרופיל 5","קבוצת תשתיות",IF(OR($Q469="פרופיל 4",$Q469="פרופיל 3"),"קבוצת רכישה","קבוצת ביסוס"))))</f>
        <v/>
      </c>
      <c r="S469" s="32">
        <f>IF($F469="","",IF($F469="תחילת שנה",1,IF($F469="מחצית שנה",2,3)))</f>
        <v/>
      </c>
      <c r="T469" s="32">
        <f>IF(OR($B469="",$R469="",$A469="",$F469=""),"",$B469&amp;"|"&amp;$A469&amp;"|"&amp;$F469&amp;"|"&amp;$R469&amp;"|"&amp;COUNTIFS($B$6:$B469,$B469,$A$6:$A469,$A469,$F$6:$F469,$F469,$R$6:$R469,$R469))</f>
        <v/>
      </c>
      <c r="U469" s="32">
        <f>IF($C469="","",$C469&amp;"|"&amp;COUNTIFS($C$6:$C469,$C469))</f>
        <v/>
      </c>
      <c r="V469" s="32">
        <f>IF(OR($C469="",$A469="",$S469=""),"",$C469&amp;"|"&amp;$A469&amp;"|"&amp;$S469)</f>
        <v/>
      </c>
      <c r="W469" s="32">
        <f>IF(OR($C469="",$S469="",$S469=1),"",IFERROR(INDEX($Q$6:$Q$1505,MATCH($C469&amp;"|"&amp;$A469&amp;"|"&amp;($S469-1),$V$6:$V$1505,0)),""))</f>
        <v/>
      </c>
      <c r="X469" s="32">
        <f>IF(OR($W469="",$Q469="",LEFT($Q469,1)="—"),"",IF($W469=$Q469,"ללא שינוי","מ-"&amp;$W469&amp;" ל-"&amp;$Q469))</f>
        <v/>
      </c>
    </row>
    <row r="470" ht="15.75" customHeight="1" s="58">
      <c r="A470" s="65" t="n"/>
      <c r="B470" s="65" t="n"/>
      <c r="C470" s="66" t="n"/>
      <c r="D470" s="66" t="n"/>
      <c r="E470" s="65" t="n"/>
      <c r="F470" s="65" t="n"/>
      <c r="G470" s="65" t="n"/>
      <c r="H470" s="65" t="n"/>
      <c r="I470" s="65" t="n"/>
      <c r="J470" s="65" t="n"/>
      <c r="K470" s="65" t="n"/>
      <c r="L470" s="65" t="n"/>
      <c r="M470" s="65" t="n"/>
      <c r="N470" s="65" t="n"/>
      <c r="O470" s="65" t="n"/>
      <c r="P470" s="65" t="n"/>
      <c r="Q470" s="32">
        <f>IF($C470="","",IF($J470="","— חסרים נתונים",IF($J470="טרם מפענח","פרופיל 5",IF($J470="קמץ/פתח/חטף-פתח ושוואים","פרופיל 4",IF($J470="2-3 סימני ניקוד","פרופיל 3",IF($J470="4-5 סימני ניקוד","פרופיל 2",IF(AND($O470="משפטים וקטעים קצרים",OR($M470="מבין",$M470="מבין לרוב")),"פרופיל 1","פרופיל 2")))))))</f>
        <v/>
      </c>
      <c r="R470" s="32">
        <f>IF($C470="","",IF(OR($Q470="",LEFT($Q470,1)="—"),"קבוצה רביעית",IF($Q470="פרופיל 5","קבוצת תשתיות",IF(OR($Q470="פרופיל 4",$Q470="פרופיל 3"),"קבוצת רכישה","קבוצת ביסוס"))))</f>
        <v/>
      </c>
      <c r="S470" s="32">
        <f>IF($F470="","",IF($F470="תחילת שנה",1,IF($F470="מחצית שנה",2,3)))</f>
        <v/>
      </c>
      <c r="T470" s="32">
        <f>IF(OR($B470="",$R470="",$A470="",$F470=""),"",$B470&amp;"|"&amp;$A470&amp;"|"&amp;$F470&amp;"|"&amp;$R470&amp;"|"&amp;COUNTIFS($B$6:$B470,$B470,$A$6:$A470,$A470,$F$6:$F470,$F470,$R$6:$R470,$R470))</f>
        <v/>
      </c>
      <c r="U470" s="32">
        <f>IF($C470="","",$C470&amp;"|"&amp;COUNTIFS($C$6:$C470,$C470))</f>
        <v/>
      </c>
      <c r="V470" s="32">
        <f>IF(OR($C470="",$A470="",$S470=""),"",$C470&amp;"|"&amp;$A470&amp;"|"&amp;$S470)</f>
        <v/>
      </c>
      <c r="W470" s="32">
        <f>IF(OR($C470="",$S470="",$S470=1),"",IFERROR(INDEX($Q$6:$Q$1505,MATCH($C470&amp;"|"&amp;$A470&amp;"|"&amp;($S470-1),$V$6:$V$1505,0)),""))</f>
        <v/>
      </c>
      <c r="X470" s="32">
        <f>IF(OR($W470="",$Q470="",LEFT($Q470,1)="—"),"",IF($W470=$Q470,"ללא שינוי","מ-"&amp;$W470&amp;" ל-"&amp;$Q470))</f>
        <v/>
      </c>
    </row>
    <row r="471" ht="15.75" customHeight="1" s="58">
      <c r="A471" s="65" t="n"/>
      <c r="B471" s="65" t="n"/>
      <c r="C471" s="66" t="n"/>
      <c r="D471" s="66" t="n"/>
      <c r="E471" s="65" t="n"/>
      <c r="F471" s="65" t="n"/>
      <c r="G471" s="65" t="n"/>
      <c r="H471" s="65" t="n"/>
      <c r="I471" s="65" t="n"/>
      <c r="J471" s="65" t="n"/>
      <c r="K471" s="65" t="n"/>
      <c r="L471" s="65" t="n"/>
      <c r="M471" s="65" t="n"/>
      <c r="N471" s="65" t="n"/>
      <c r="O471" s="65" t="n"/>
      <c r="P471" s="65" t="n"/>
      <c r="Q471" s="32">
        <f>IF($C471="","",IF($J471="","— חסרים נתונים",IF($J471="טרם מפענח","פרופיל 5",IF($J471="קמץ/פתח/חטף-פתח ושוואים","פרופיל 4",IF($J471="2-3 סימני ניקוד","פרופיל 3",IF($J471="4-5 סימני ניקוד","פרופיל 2",IF(AND($O471="משפטים וקטעים קצרים",OR($M471="מבין",$M471="מבין לרוב")),"פרופיל 1","פרופיל 2")))))))</f>
        <v/>
      </c>
      <c r="R471" s="32">
        <f>IF($C471="","",IF(OR($Q471="",LEFT($Q471,1)="—"),"קבוצה רביעית",IF($Q471="פרופיל 5","קבוצת תשתיות",IF(OR($Q471="פרופיל 4",$Q471="פרופיל 3"),"קבוצת רכישה","קבוצת ביסוס"))))</f>
        <v/>
      </c>
      <c r="S471" s="32">
        <f>IF($F471="","",IF($F471="תחילת שנה",1,IF($F471="מחצית שנה",2,3)))</f>
        <v/>
      </c>
      <c r="T471" s="32">
        <f>IF(OR($B471="",$R471="",$A471="",$F471=""),"",$B471&amp;"|"&amp;$A471&amp;"|"&amp;$F471&amp;"|"&amp;$R471&amp;"|"&amp;COUNTIFS($B$6:$B471,$B471,$A$6:$A471,$A471,$F$6:$F471,$F471,$R$6:$R471,$R471))</f>
        <v/>
      </c>
      <c r="U471" s="32">
        <f>IF($C471="","",$C471&amp;"|"&amp;COUNTIFS($C$6:$C471,$C471))</f>
        <v/>
      </c>
      <c r="V471" s="32">
        <f>IF(OR($C471="",$A471="",$S471=""),"",$C471&amp;"|"&amp;$A471&amp;"|"&amp;$S471)</f>
        <v/>
      </c>
      <c r="W471" s="32">
        <f>IF(OR($C471="",$S471="",$S471=1),"",IFERROR(INDEX($Q$6:$Q$1505,MATCH($C471&amp;"|"&amp;$A471&amp;"|"&amp;($S471-1),$V$6:$V$1505,0)),""))</f>
        <v/>
      </c>
      <c r="X471" s="32">
        <f>IF(OR($W471="",$Q471="",LEFT($Q471,1)="—"),"",IF($W471=$Q471,"ללא שינוי","מ-"&amp;$W471&amp;" ל-"&amp;$Q471))</f>
        <v/>
      </c>
    </row>
    <row r="472" ht="15.75" customHeight="1" s="58">
      <c r="A472" s="65" t="n"/>
      <c r="B472" s="65" t="n"/>
      <c r="C472" s="66" t="n"/>
      <c r="D472" s="66" t="n"/>
      <c r="E472" s="65" t="n"/>
      <c r="F472" s="65" t="n"/>
      <c r="G472" s="65" t="n"/>
      <c r="H472" s="65" t="n"/>
      <c r="I472" s="65" t="n"/>
      <c r="J472" s="65" t="n"/>
      <c r="K472" s="65" t="n"/>
      <c r="L472" s="65" t="n"/>
      <c r="M472" s="65" t="n"/>
      <c r="N472" s="65" t="n"/>
      <c r="O472" s="65" t="n"/>
      <c r="P472" s="65" t="n"/>
      <c r="Q472" s="32">
        <f>IF($C472="","",IF($J472="","— חסרים נתונים",IF($J472="טרם מפענח","פרופיל 5",IF($J472="קמץ/פתח/חטף-פתח ושוואים","פרופיל 4",IF($J472="2-3 סימני ניקוד","פרופיל 3",IF($J472="4-5 סימני ניקוד","פרופיל 2",IF(AND($O472="משפטים וקטעים קצרים",OR($M472="מבין",$M472="מבין לרוב")),"פרופיל 1","פרופיל 2")))))))</f>
        <v/>
      </c>
      <c r="R472" s="32">
        <f>IF($C472="","",IF(OR($Q472="",LEFT($Q472,1)="—"),"קבוצה רביעית",IF($Q472="פרופיל 5","קבוצת תשתיות",IF(OR($Q472="פרופיל 4",$Q472="פרופיל 3"),"קבוצת רכישה","קבוצת ביסוס"))))</f>
        <v/>
      </c>
      <c r="S472" s="32">
        <f>IF($F472="","",IF($F472="תחילת שנה",1,IF($F472="מחצית שנה",2,3)))</f>
        <v/>
      </c>
      <c r="T472" s="32">
        <f>IF(OR($B472="",$R472="",$A472="",$F472=""),"",$B472&amp;"|"&amp;$A472&amp;"|"&amp;$F472&amp;"|"&amp;$R472&amp;"|"&amp;COUNTIFS($B$6:$B472,$B472,$A$6:$A472,$A472,$F$6:$F472,$F472,$R$6:$R472,$R472))</f>
        <v/>
      </c>
      <c r="U472" s="32">
        <f>IF($C472="","",$C472&amp;"|"&amp;COUNTIFS($C$6:$C472,$C472))</f>
        <v/>
      </c>
      <c r="V472" s="32">
        <f>IF(OR($C472="",$A472="",$S472=""),"",$C472&amp;"|"&amp;$A472&amp;"|"&amp;$S472)</f>
        <v/>
      </c>
      <c r="W472" s="32">
        <f>IF(OR($C472="",$S472="",$S472=1),"",IFERROR(INDEX($Q$6:$Q$1505,MATCH($C472&amp;"|"&amp;$A472&amp;"|"&amp;($S472-1),$V$6:$V$1505,0)),""))</f>
        <v/>
      </c>
      <c r="X472" s="32">
        <f>IF(OR($W472="",$Q472="",LEFT($Q472,1)="—"),"",IF($W472=$Q472,"ללא שינוי","מ-"&amp;$W472&amp;" ל-"&amp;$Q472))</f>
        <v/>
      </c>
    </row>
    <row r="473" ht="15.75" customHeight="1" s="58">
      <c r="A473" s="65" t="n"/>
      <c r="B473" s="65" t="n"/>
      <c r="C473" s="66" t="n"/>
      <c r="D473" s="66" t="n"/>
      <c r="E473" s="65" t="n"/>
      <c r="F473" s="65" t="n"/>
      <c r="G473" s="65" t="n"/>
      <c r="H473" s="65" t="n"/>
      <c r="I473" s="65" t="n"/>
      <c r="J473" s="65" t="n"/>
      <c r="K473" s="65" t="n"/>
      <c r="L473" s="65" t="n"/>
      <c r="M473" s="65" t="n"/>
      <c r="N473" s="65" t="n"/>
      <c r="O473" s="65" t="n"/>
      <c r="P473" s="65" t="n"/>
      <c r="Q473" s="32">
        <f>IF($C473="","",IF($J473="","— חסרים נתונים",IF($J473="טרם מפענח","פרופיל 5",IF($J473="קמץ/פתח/חטף-פתח ושוואים","פרופיל 4",IF($J473="2-3 סימני ניקוד","פרופיל 3",IF($J473="4-5 סימני ניקוד","פרופיל 2",IF(AND($O473="משפטים וקטעים קצרים",OR($M473="מבין",$M473="מבין לרוב")),"פרופיל 1","פרופיל 2")))))))</f>
        <v/>
      </c>
      <c r="R473" s="32">
        <f>IF($C473="","",IF(OR($Q473="",LEFT($Q473,1)="—"),"קבוצה רביעית",IF($Q473="פרופיל 5","קבוצת תשתיות",IF(OR($Q473="פרופיל 4",$Q473="פרופיל 3"),"קבוצת רכישה","קבוצת ביסוס"))))</f>
        <v/>
      </c>
      <c r="S473" s="32">
        <f>IF($F473="","",IF($F473="תחילת שנה",1,IF($F473="מחצית שנה",2,3)))</f>
        <v/>
      </c>
      <c r="T473" s="32">
        <f>IF(OR($B473="",$R473="",$A473="",$F473=""),"",$B473&amp;"|"&amp;$A473&amp;"|"&amp;$F473&amp;"|"&amp;$R473&amp;"|"&amp;COUNTIFS($B$6:$B473,$B473,$A$6:$A473,$A473,$F$6:$F473,$F473,$R$6:$R473,$R473))</f>
        <v/>
      </c>
      <c r="U473" s="32">
        <f>IF($C473="","",$C473&amp;"|"&amp;COUNTIFS($C$6:$C473,$C473))</f>
        <v/>
      </c>
      <c r="V473" s="32">
        <f>IF(OR($C473="",$A473="",$S473=""),"",$C473&amp;"|"&amp;$A473&amp;"|"&amp;$S473)</f>
        <v/>
      </c>
      <c r="W473" s="32">
        <f>IF(OR($C473="",$S473="",$S473=1),"",IFERROR(INDEX($Q$6:$Q$1505,MATCH($C473&amp;"|"&amp;$A473&amp;"|"&amp;($S473-1),$V$6:$V$1505,0)),""))</f>
        <v/>
      </c>
      <c r="X473" s="32">
        <f>IF(OR($W473="",$Q473="",LEFT($Q473,1)="—"),"",IF($W473=$Q473,"ללא שינוי","מ-"&amp;$W473&amp;" ל-"&amp;$Q473))</f>
        <v/>
      </c>
    </row>
    <row r="474" ht="15.75" customHeight="1" s="58">
      <c r="A474" s="65" t="n"/>
      <c r="B474" s="65" t="n"/>
      <c r="C474" s="66" t="n"/>
      <c r="D474" s="66" t="n"/>
      <c r="E474" s="65" t="n"/>
      <c r="F474" s="65" t="n"/>
      <c r="G474" s="65" t="n"/>
      <c r="H474" s="65" t="n"/>
      <c r="I474" s="65" t="n"/>
      <c r="J474" s="65" t="n"/>
      <c r="K474" s="65" t="n"/>
      <c r="L474" s="65" t="n"/>
      <c r="M474" s="65" t="n"/>
      <c r="N474" s="65" t="n"/>
      <c r="O474" s="65" t="n"/>
      <c r="P474" s="65" t="n"/>
      <c r="Q474" s="32">
        <f>IF($C474="","",IF($J474="","— חסרים נתונים",IF($J474="טרם מפענח","פרופיל 5",IF($J474="קמץ/פתח/חטף-פתח ושוואים","פרופיל 4",IF($J474="2-3 סימני ניקוד","פרופיל 3",IF($J474="4-5 סימני ניקוד","פרופיל 2",IF(AND($O474="משפטים וקטעים קצרים",OR($M474="מבין",$M474="מבין לרוב")),"פרופיל 1","פרופיל 2")))))))</f>
        <v/>
      </c>
      <c r="R474" s="32">
        <f>IF($C474="","",IF(OR($Q474="",LEFT($Q474,1)="—"),"קבוצה רביעית",IF($Q474="פרופיל 5","קבוצת תשתיות",IF(OR($Q474="פרופיל 4",$Q474="פרופיל 3"),"קבוצת רכישה","קבוצת ביסוס"))))</f>
        <v/>
      </c>
      <c r="S474" s="32">
        <f>IF($F474="","",IF($F474="תחילת שנה",1,IF($F474="מחצית שנה",2,3)))</f>
        <v/>
      </c>
      <c r="T474" s="32">
        <f>IF(OR($B474="",$R474="",$A474="",$F474=""),"",$B474&amp;"|"&amp;$A474&amp;"|"&amp;$F474&amp;"|"&amp;$R474&amp;"|"&amp;COUNTIFS($B$6:$B474,$B474,$A$6:$A474,$A474,$F$6:$F474,$F474,$R$6:$R474,$R474))</f>
        <v/>
      </c>
      <c r="U474" s="32">
        <f>IF($C474="","",$C474&amp;"|"&amp;COUNTIFS($C$6:$C474,$C474))</f>
        <v/>
      </c>
      <c r="V474" s="32">
        <f>IF(OR($C474="",$A474="",$S474=""),"",$C474&amp;"|"&amp;$A474&amp;"|"&amp;$S474)</f>
        <v/>
      </c>
      <c r="W474" s="32">
        <f>IF(OR($C474="",$S474="",$S474=1),"",IFERROR(INDEX($Q$6:$Q$1505,MATCH($C474&amp;"|"&amp;$A474&amp;"|"&amp;($S474-1),$V$6:$V$1505,0)),""))</f>
        <v/>
      </c>
      <c r="X474" s="32">
        <f>IF(OR($W474="",$Q474="",LEFT($Q474,1)="—"),"",IF($W474=$Q474,"ללא שינוי","מ-"&amp;$W474&amp;" ל-"&amp;$Q474))</f>
        <v/>
      </c>
    </row>
    <row r="475" ht="15.75" customHeight="1" s="58">
      <c r="A475" s="65" t="n"/>
      <c r="B475" s="65" t="n"/>
      <c r="C475" s="66" t="n"/>
      <c r="D475" s="66" t="n"/>
      <c r="E475" s="65" t="n"/>
      <c r="F475" s="65" t="n"/>
      <c r="G475" s="65" t="n"/>
      <c r="H475" s="65" t="n"/>
      <c r="I475" s="65" t="n"/>
      <c r="J475" s="65" t="n"/>
      <c r="K475" s="65" t="n"/>
      <c r="L475" s="65" t="n"/>
      <c r="M475" s="65" t="n"/>
      <c r="N475" s="65" t="n"/>
      <c r="O475" s="65" t="n"/>
      <c r="P475" s="65" t="n"/>
      <c r="Q475" s="32">
        <f>IF($C475="","",IF($J475="","— חסרים נתונים",IF($J475="טרם מפענח","פרופיל 5",IF($J475="קמץ/פתח/חטף-פתח ושוואים","פרופיל 4",IF($J475="2-3 סימני ניקוד","פרופיל 3",IF($J475="4-5 סימני ניקוד","פרופיל 2",IF(AND($O475="משפטים וקטעים קצרים",OR($M475="מבין",$M475="מבין לרוב")),"פרופיל 1","פרופיל 2")))))))</f>
        <v/>
      </c>
      <c r="R475" s="32">
        <f>IF($C475="","",IF(OR($Q475="",LEFT($Q475,1)="—"),"קבוצה רביעית",IF($Q475="פרופיל 5","קבוצת תשתיות",IF(OR($Q475="פרופיל 4",$Q475="פרופיל 3"),"קבוצת רכישה","קבוצת ביסוס"))))</f>
        <v/>
      </c>
      <c r="S475" s="32">
        <f>IF($F475="","",IF($F475="תחילת שנה",1,IF($F475="מחצית שנה",2,3)))</f>
        <v/>
      </c>
      <c r="T475" s="32">
        <f>IF(OR($B475="",$R475="",$A475="",$F475=""),"",$B475&amp;"|"&amp;$A475&amp;"|"&amp;$F475&amp;"|"&amp;$R475&amp;"|"&amp;COUNTIFS($B$6:$B475,$B475,$A$6:$A475,$A475,$F$6:$F475,$F475,$R$6:$R475,$R475))</f>
        <v/>
      </c>
      <c r="U475" s="32">
        <f>IF($C475="","",$C475&amp;"|"&amp;COUNTIFS($C$6:$C475,$C475))</f>
        <v/>
      </c>
      <c r="V475" s="32">
        <f>IF(OR($C475="",$A475="",$S475=""),"",$C475&amp;"|"&amp;$A475&amp;"|"&amp;$S475)</f>
        <v/>
      </c>
      <c r="W475" s="32">
        <f>IF(OR($C475="",$S475="",$S475=1),"",IFERROR(INDEX($Q$6:$Q$1505,MATCH($C475&amp;"|"&amp;$A475&amp;"|"&amp;($S475-1),$V$6:$V$1505,0)),""))</f>
        <v/>
      </c>
      <c r="X475" s="32">
        <f>IF(OR($W475="",$Q475="",LEFT($Q475,1)="—"),"",IF($W475=$Q475,"ללא שינוי","מ-"&amp;$W475&amp;" ל-"&amp;$Q475))</f>
        <v/>
      </c>
    </row>
    <row r="476" ht="15.75" customHeight="1" s="58">
      <c r="A476" s="65" t="n"/>
      <c r="B476" s="65" t="n"/>
      <c r="C476" s="66" t="n"/>
      <c r="D476" s="66" t="n"/>
      <c r="E476" s="65" t="n"/>
      <c r="F476" s="65" t="n"/>
      <c r="G476" s="65" t="n"/>
      <c r="H476" s="65" t="n"/>
      <c r="I476" s="65" t="n"/>
      <c r="J476" s="65" t="n"/>
      <c r="K476" s="65" t="n"/>
      <c r="L476" s="65" t="n"/>
      <c r="M476" s="65" t="n"/>
      <c r="N476" s="65" t="n"/>
      <c r="O476" s="65" t="n"/>
      <c r="P476" s="65" t="n"/>
      <c r="Q476" s="32">
        <f>IF($C476="","",IF($J476="","— חסרים נתונים",IF($J476="טרם מפענח","פרופיל 5",IF($J476="קמץ/פתח/חטף-פתח ושוואים","פרופיל 4",IF($J476="2-3 סימני ניקוד","פרופיל 3",IF($J476="4-5 סימני ניקוד","פרופיל 2",IF(AND($O476="משפטים וקטעים קצרים",OR($M476="מבין",$M476="מבין לרוב")),"פרופיל 1","פרופיל 2")))))))</f>
        <v/>
      </c>
      <c r="R476" s="32">
        <f>IF($C476="","",IF(OR($Q476="",LEFT($Q476,1)="—"),"קבוצה רביעית",IF($Q476="פרופיל 5","קבוצת תשתיות",IF(OR($Q476="פרופיל 4",$Q476="פרופיל 3"),"קבוצת רכישה","קבוצת ביסוס"))))</f>
        <v/>
      </c>
      <c r="S476" s="32">
        <f>IF($F476="","",IF($F476="תחילת שנה",1,IF($F476="מחצית שנה",2,3)))</f>
        <v/>
      </c>
      <c r="T476" s="32">
        <f>IF(OR($B476="",$R476="",$A476="",$F476=""),"",$B476&amp;"|"&amp;$A476&amp;"|"&amp;$F476&amp;"|"&amp;$R476&amp;"|"&amp;COUNTIFS($B$6:$B476,$B476,$A$6:$A476,$A476,$F$6:$F476,$F476,$R$6:$R476,$R476))</f>
        <v/>
      </c>
      <c r="U476" s="32">
        <f>IF($C476="","",$C476&amp;"|"&amp;COUNTIFS($C$6:$C476,$C476))</f>
        <v/>
      </c>
      <c r="V476" s="32">
        <f>IF(OR($C476="",$A476="",$S476=""),"",$C476&amp;"|"&amp;$A476&amp;"|"&amp;$S476)</f>
        <v/>
      </c>
      <c r="W476" s="32">
        <f>IF(OR($C476="",$S476="",$S476=1),"",IFERROR(INDEX($Q$6:$Q$1505,MATCH($C476&amp;"|"&amp;$A476&amp;"|"&amp;($S476-1),$V$6:$V$1505,0)),""))</f>
        <v/>
      </c>
      <c r="X476" s="32">
        <f>IF(OR($W476="",$Q476="",LEFT($Q476,1)="—"),"",IF($W476=$Q476,"ללא שינוי","מ-"&amp;$W476&amp;" ל-"&amp;$Q476))</f>
        <v/>
      </c>
    </row>
    <row r="477" ht="15.75" customHeight="1" s="58">
      <c r="A477" s="65" t="n"/>
      <c r="B477" s="65" t="n"/>
      <c r="C477" s="66" t="n"/>
      <c r="D477" s="66" t="n"/>
      <c r="E477" s="65" t="n"/>
      <c r="F477" s="65" t="n"/>
      <c r="G477" s="65" t="n"/>
      <c r="H477" s="65" t="n"/>
      <c r="I477" s="65" t="n"/>
      <c r="J477" s="65" t="n"/>
      <c r="K477" s="65" t="n"/>
      <c r="L477" s="65" t="n"/>
      <c r="M477" s="65" t="n"/>
      <c r="N477" s="65" t="n"/>
      <c r="O477" s="65" t="n"/>
      <c r="P477" s="65" t="n"/>
      <c r="Q477" s="32">
        <f>IF($C477="","",IF($J477="","— חסרים נתונים",IF($J477="טרם מפענח","פרופיל 5",IF($J477="קמץ/פתח/חטף-פתח ושוואים","פרופיל 4",IF($J477="2-3 סימני ניקוד","פרופיל 3",IF($J477="4-5 סימני ניקוד","פרופיל 2",IF(AND($O477="משפטים וקטעים קצרים",OR($M477="מבין",$M477="מבין לרוב")),"פרופיל 1","פרופיל 2")))))))</f>
        <v/>
      </c>
      <c r="R477" s="32">
        <f>IF($C477="","",IF(OR($Q477="",LEFT($Q477,1)="—"),"קבוצה רביעית",IF($Q477="פרופיל 5","קבוצת תשתיות",IF(OR($Q477="פרופיל 4",$Q477="פרופיל 3"),"קבוצת רכישה","קבוצת ביסוס"))))</f>
        <v/>
      </c>
      <c r="S477" s="32">
        <f>IF($F477="","",IF($F477="תחילת שנה",1,IF($F477="מחצית שנה",2,3)))</f>
        <v/>
      </c>
      <c r="T477" s="32">
        <f>IF(OR($B477="",$R477="",$A477="",$F477=""),"",$B477&amp;"|"&amp;$A477&amp;"|"&amp;$F477&amp;"|"&amp;$R477&amp;"|"&amp;COUNTIFS($B$6:$B477,$B477,$A$6:$A477,$A477,$F$6:$F477,$F477,$R$6:$R477,$R477))</f>
        <v/>
      </c>
      <c r="U477" s="32">
        <f>IF($C477="","",$C477&amp;"|"&amp;COUNTIFS($C$6:$C477,$C477))</f>
        <v/>
      </c>
      <c r="V477" s="32">
        <f>IF(OR($C477="",$A477="",$S477=""),"",$C477&amp;"|"&amp;$A477&amp;"|"&amp;$S477)</f>
        <v/>
      </c>
      <c r="W477" s="32">
        <f>IF(OR($C477="",$S477="",$S477=1),"",IFERROR(INDEX($Q$6:$Q$1505,MATCH($C477&amp;"|"&amp;$A477&amp;"|"&amp;($S477-1),$V$6:$V$1505,0)),""))</f>
        <v/>
      </c>
      <c r="X477" s="32">
        <f>IF(OR($W477="",$Q477="",LEFT($Q477,1)="—"),"",IF($W477=$Q477,"ללא שינוי","מ-"&amp;$W477&amp;" ל-"&amp;$Q477))</f>
        <v/>
      </c>
    </row>
    <row r="478" ht="15.75" customHeight="1" s="58">
      <c r="A478" s="65" t="n"/>
      <c r="B478" s="65" t="n"/>
      <c r="C478" s="66" t="n"/>
      <c r="D478" s="66" t="n"/>
      <c r="E478" s="65" t="n"/>
      <c r="F478" s="65" t="n"/>
      <c r="G478" s="65" t="n"/>
      <c r="H478" s="65" t="n"/>
      <c r="I478" s="65" t="n"/>
      <c r="J478" s="65" t="n"/>
      <c r="K478" s="65" t="n"/>
      <c r="L478" s="65" t="n"/>
      <c r="M478" s="65" t="n"/>
      <c r="N478" s="65" t="n"/>
      <c r="O478" s="65" t="n"/>
      <c r="P478" s="65" t="n"/>
      <c r="Q478" s="32">
        <f>IF($C478="","",IF($J478="","— חסרים נתונים",IF($J478="טרם מפענח","פרופיל 5",IF($J478="קמץ/פתח/חטף-פתח ושוואים","פרופיל 4",IF($J478="2-3 סימני ניקוד","פרופיל 3",IF($J478="4-5 סימני ניקוד","פרופיל 2",IF(AND($O478="משפטים וקטעים קצרים",OR($M478="מבין",$M478="מבין לרוב")),"פרופיל 1","פרופיל 2")))))))</f>
        <v/>
      </c>
      <c r="R478" s="32">
        <f>IF($C478="","",IF(OR($Q478="",LEFT($Q478,1)="—"),"קבוצה רביעית",IF($Q478="פרופיל 5","קבוצת תשתיות",IF(OR($Q478="פרופיל 4",$Q478="פרופיל 3"),"קבוצת רכישה","קבוצת ביסוס"))))</f>
        <v/>
      </c>
      <c r="S478" s="32">
        <f>IF($F478="","",IF($F478="תחילת שנה",1,IF($F478="מחצית שנה",2,3)))</f>
        <v/>
      </c>
      <c r="T478" s="32">
        <f>IF(OR($B478="",$R478="",$A478="",$F478=""),"",$B478&amp;"|"&amp;$A478&amp;"|"&amp;$F478&amp;"|"&amp;$R478&amp;"|"&amp;COUNTIFS($B$6:$B478,$B478,$A$6:$A478,$A478,$F$6:$F478,$F478,$R$6:$R478,$R478))</f>
        <v/>
      </c>
      <c r="U478" s="32">
        <f>IF($C478="","",$C478&amp;"|"&amp;COUNTIFS($C$6:$C478,$C478))</f>
        <v/>
      </c>
      <c r="V478" s="32">
        <f>IF(OR($C478="",$A478="",$S478=""),"",$C478&amp;"|"&amp;$A478&amp;"|"&amp;$S478)</f>
        <v/>
      </c>
      <c r="W478" s="32">
        <f>IF(OR($C478="",$S478="",$S478=1),"",IFERROR(INDEX($Q$6:$Q$1505,MATCH($C478&amp;"|"&amp;$A478&amp;"|"&amp;($S478-1),$V$6:$V$1505,0)),""))</f>
        <v/>
      </c>
      <c r="X478" s="32">
        <f>IF(OR($W478="",$Q478="",LEFT($Q478,1)="—"),"",IF($W478=$Q478,"ללא שינוי","מ-"&amp;$W478&amp;" ל-"&amp;$Q478))</f>
        <v/>
      </c>
    </row>
    <row r="479" ht="15.75" customHeight="1" s="58">
      <c r="A479" s="65" t="n"/>
      <c r="B479" s="65" t="n"/>
      <c r="C479" s="66" t="n"/>
      <c r="D479" s="66" t="n"/>
      <c r="E479" s="65" t="n"/>
      <c r="F479" s="65" t="n"/>
      <c r="G479" s="65" t="n"/>
      <c r="H479" s="65" t="n"/>
      <c r="I479" s="65" t="n"/>
      <c r="J479" s="65" t="n"/>
      <c r="K479" s="65" t="n"/>
      <c r="L479" s="65" t="n"/>
      <c r="M479" s="65" t="n"/>
      <c r="N479" s="65" t="n"/>
      <c r="O479" s="65" t="n"/>
      <c r="P479" s="65" t="n"/>
      <c r="Q479" s="32">
        <f>IF($C479="","",IF($J479="","— חסרים נתונים",IF($J479="טרם מפענח","פרופיל 5",IF($J479="קמץ/פתח/חטף-פתח ושוואים","פרופיל 4",IF($J479="2-3 סימני ניקוד","פרופיל 3",IF($J479="4-5 סימני ניקוד","פרופיל 2",IF(AND($O479="משפטים וקטעים קצרים",OR($M479="מבין",$M479="מבין לרוב")),"פרופיל 1","פרופיל 2")))))))</f>
        <v/>
      </c>
      <c r="R479" s="32">
        <f>IF($C479="","",IF(OR($Q479="",LEFT($Q479,1)="—"),"קבוצה רביעית",IF($Q479="פרופיל 5","קבוצת תשתיות",IF(OR($Q479="פרופיל 4",$Q479="פרופיל 3"),"קבוצת רכישה","קבוצת ביסוס"))))</f>
        <v/>
      </c>
      <c r="S479" s="32">
        <f>IF($F479="","",IF($F479="תחילת שנה",1,IF($F479="מחצית שנה",2,3)))</f>
        <v/>
      </c>
      <c r="T479" s="32">
        <f>IF(OR($B479="",$R479="",$A479="",$F479=""),"",$B479&amp;"|"&amp;$A479&amp;"|"&amp;$F479&amp;"|"&amp;$R479&amp;"|"&amp;COUNTIFS($B$6:$B479,$B479,$A$6:$A479,$A479,$F$6:$F479,$F479,$R$6:$R479,$R479))</f>
        <v/>
      </c>
      <c r="U479" s="32">
        <f>IF($C479="","",$C479&amp;"|"&amp;COUNTIFS($C$6:$C479,$C479))</f>
        <v/>
      </c>
      <c r="V479" s="32">
        <f>IF(OR($C479="",$A479="",$S479=""),"",$C479&amp;"|"&amp;$A479&amp;"|"&amp;$S479)</f>
        <v/>
      </c>
      <c r="W479" s="32">
        <f>IF(OR($C479="",$S479="",$S479=1),"",IFERROR(INDEX($Q$6:$Q$1505,MATCH($C479&amp;"|"&amp;$A479&amp;"|"&amp;($S479-1),$V$6:$V$1505,0)),""))</f>
        <v/>
      </c>
      <c r="X479" s="32">
        <f>IF(OR($W479="",$Q479="",LEFT($Q479,1)="—"),"",IF($W479=$Q479,"ללא שינוי","מ-"&amp;$W479&amp;" ל-"&amp;$Q479))</f>
        <v/>
      </c>
    </row>
    <row r="480" ht="15.75" customHeight="1" s="58">
      <c r="A480" s="65" t="n"/>
      <c r="B480" s="65" t="n"/>
      <c r="C480" s="66" t="n"/>
      <c r="D480" s="66" t="n"/>
      <c r="E480" s="65" t="n"/>
      <c r="F480" s="65" t="n"/>
      <c r="G480" s="65" t="n"/>
      <c r="H480" s="65" t="n"/>
      <c r="I480" s="65" t="n"/>
      <c r="J480" s="65" t="n"/>
      <c r="K480" s="65" t="n"/>
      <c r="L480" s="65" t="n"/>
      <c r="M480" s="65" t="n"/>
      <c r="N480" s="65" t="n"/>
      <c r="O480" s="65" t="n"/>
      <c r="P480" s="65" t="n"/>
      <c r="Q480" s="32">
        <f>IF($C480="","",IF($J480="","— חסרים נתונים",IF($J480="טרם מפענח","פרופיל 5",IF($J480="קמץ/פתח/חטף-פתח ושוואים","פרופיל 4",IF($J480="2-3 סימני ניקוד","פרופיל 3",IF($J480="4-5 סימני ניקוד","פרופיל 2",IF(AND($O480="משפטים וקטעים קצרים",OR($M480="מבין",$M480="מבין לרוב")),"פרופיל 1","פרופיל 2")))))))</f>
        <v/>
      </c>
      <c r="R480" s="32">
        <f>IF($C480="","",IF(OR($Q480="",LEFT($Q480,1)="—"),"קבוצה רביעית",IF($Q480="פרופיל 5","קבוצת תשתיות",IF(OR($Q480="פרופיל 4",$Q480="פרופיל 3"),"קבוצת רכישה","קבוצת ביסוס"))))</f>
        <v/>
      </c>
      <c r="S480" s="32">
        <f>IF($F480="","",IF($F480="תחילת שנה",1,IF($F480="מחצית שנה",2,3)))</f>
        <v/>
      </c>
      <c r="T480" s="32">
        <f>IF(OR($B480="",$R480="",$A480="",$F480=""),"",$B480&amp;"|"&amp;$A480&amp;"|"&amp;$F480&amp;"|"&amp;$R480&amp;"|"&amp;COUNTIFS($B$6:$B480,$B480,$A$6:$A480,$A480,$F$6:$F480,$F480,$R$6:$R480,$R480))</f>
        <v/>
      </c>
      <c r="U480" s="32">
        <f>IF($C480="","",$C480&amp;"|"&amp;COUNTIFS($C$6:$C480,$C480))</f>
        <v/>
      </c>
      <c r="V480" s="32">
        <f>IF(OR($C480="",$A480="",$S480=""),"",$C480&amp;"|"&amp;$A480&amp;"|"&amp;$S480)</f>
        <v/>
      </c>
      <c r="W480" s="32">
        <f>IF(OR($C480="",$S480="",$S480=1),"",IFERROR(INDEX($Q$6:$Q$1505,MATCH($C480&amp;"|"&amp;$A480&amp;"|"&amp;($S480-1),$V$6:$V$1505,0)),""))</f>
        <v/>
      </c>
      <c r="X480" s="32">
        <f>IF(OR($W480="",$Q480="",LEFT($Q480,1)="—"),"",IF($W480=$Q480,"ללא שינוי","מ-"&amp;$W480&amp;" ל-"&amp;$Q480))</f>
        <v/>
      </c>
    </row>
    <row r="481" ht="15.75" customHeight="1" s="58">
      <c r="A481" s="65" t="n"/>
      <c r="B481" s="65" t="n"/>
      <c r="C481" s="66" t="n"/>
      <c r="D481" s="66" t="n"/>
      <c r="E481" s="65" t="n"/>
      <c r="F481" s="65" t="n"/>
      <c r="G481" s="65" t="n"/>
      <c r="H481" s="65" t="n"/>
      <c r="I481" s="65" t="n"/>
      <c r="J481" s="65" t="n"/>
      <c r="K481" s="65" t="n"/>
      <c r="L481" s="65" t="n"/>
      <c r="M481" s="65" t="n"/>
      <c r="N481" s="65" t="n"/>
      <c r="O481" s="65" t="n"/>
      <c r="P481" s="65" t="n"/>
      <c r="Q481" s="32">
        <f>IF($C481="","",IF($J481="","— חסרים נתונים",IF($J481="טרם מפענח","פרופיל 5",IF($J481="קמץ/פתח/חטף-פתח ושוואים","פרופיל 4",IF($J481="2-3 סימני ניקוד","פרופיל 3",IF($J481="4-5 סימני ניקוד","פרופיל 2",IF(AND($O481="משפטים וקטעים קצרים",OR($M481="מבין",$M481="מבין לרוב")),"פרופיל 1","פרופיל 2")))))))</f>
        <v/>
      </c>
      <c r="R481" s="32">
        <f>IF($C481="","",IF(OR($Q481="",LEFT($Q481,1)="—"),"קבוצה רביעית",IF($Q481="פרופיל 5","קבוצת תשתיות",IF(OR($Q481="פרופיל 4",$Q481="פרופיל 3"),"קבוצת רכישה","קבוצת ביסוס"))))</f>
        <v/>
      </c>
      <c r="S481" s="32">
        <f>IF($F481="","",IF($F481="תחילת שנה",1,IF($F481="מחצית שנה",2,3)))</f>
        <v/>
      </c>
      <c r="T481" s="32">
        <f>IF(OR($B481="",$R481="",$A481="",$F481=""),"",$B481&amp;"|"&amp;$A481&amp;"|"&amp;$F481&amp;"|"&amp;$R481&amp;"|"&amp;COUNTIFS($B$6:$B481,$B481,$A$6:$A481,$A481,$F$6:$F481,$F481,$R$6:$R481,$R481))</f>
        <v/>
      </c>
      <c r="U481" s="32">
        <f>IF($C481="","",$C481&amp;"|"&amp;COUNTIFS($C$6:$C481,$C481))</f>
        <v/>
      </c>
      <c r="V481" s="32">
        <f>IF(OR($C481="",$A481="",$S481=""),"",$C481&amp;"|"&amp;$A481&amp;"|"&amp;$S481)</f>
        <v/>
      </c>
      <c r="W481" s="32">
        <f>IF(OR($C481="",$S481="",$S481=1),"",IFERROR(INDEX($Q$6:$Q$1505,MATCH($C481&amp;"|"&amp;$A481&amp;"|"&amp;($S481-1),$V$6:$V$1505,0)),""))</f>
        <v/>
      </c>
      <c r="X481" s="32">
        <f>IF(OR($W481="",$Q481="",LEFT($Q481,1)="—"),"",IF($W481=$Q481,"ללא שינוי","מ-"&amp;$W481&amp;" ל-"&amp;$Q481))</f>
        <v/>
      </c>
    </row>
    <row r="482" ht="15.75" customHeight="1" s="58">
      <c r="A482" s="65" t="n"/>
      <c r="B482" s="65" t="n"/>
      <c r="C482" s="66" t="n"/>
      <c r="D482" s="66" t="n"/>
      <c r="E482" s="65" t="n"/>
      <c r="F482" s="65" t="n"/>
      <c r="G482" s="65" t="n"/>
      <c r="H482" s="65" t="n"/>
      <c r="I482" s="65" t="n"/>
      <c r="J482" s="65" t="n"/>
      <c r="K482" s="65" t="n"/>
      <c r="L482" s="65" t="n"/>
      <c r="M482" s="65" t="n"/>
      <c r="N482" s="65" t="n"/>
      <c r="O482" s="65" t="n"/>
      <c r="P482" s="65" t="n"/>
      <c r="Q482" s="32">
        <f>IF($C482="","",IF($J482="","— חסרים נתונים",IF($J482="טרם מפענח","פרופיל 5",IF($J482="קמץ/פתח/חטף-פתח ושוואים","פרופיל 4",IF($J482="2-3 סימני ניקוד","פרופיל 3",IF($J482="4-5 סימני ניקוד","פרופיל 2",IF(AND($O482="משפטים וקטעים קצרים",OR($M482="מבין",$M482="מבין לרוב")),"פרופיל 1","פרופיל 2")))))))</f>
        <v/>
      </c>
      <c r="R482" s="32">
        <f>IF($C482="","",IF(OR($Q482="",LEFT($Q482,1)="—"),"קבוצה רביעית",IF($Q482="פרופיל 5","קבוצת תשתיות",IF(OR($Q482="פרופיל 4",$Q482="פרופיל 3"),"קבוצת רכישה","קבוצת ביסוס"))))</f>
        <v/>
      </c>
      <c r="S482" s="32">
        <f>IF($F482="","",IF($F482="תחילת שנה",1,IF($F482="מחצית שנה",2,3)))</f>
        <v/>
      </c>
      <c r="T482" s="32">
        <f>IF(OR($B482="",$R482="",$A482="",$F482=""),"",$B482&amp;"|"&amp;$A482&amp;"|"&amp;$F482&amp;"|"&amp;$R482&amp;"|"&amp;COUNTIFS($B$6:$B482,$B482,$A$6:$A482,$A482,$F$6:$F482,$F482,$R$6:$R482,$R482))</f>
        <v/>
      </c>
      <c r="U482" s="32">
        <f>IF($C482="","",$C482&amp;"|"&amp;COUNTIFS($C$6:$C482,$C482))</f>
        <v/>
      </c>
      <c r="V482" s="32">
        <f>IF(OR($C482="",$A482="",$S482=""),"",$C482&amp;"|"&amp;$A482&amp;"|"&amp;$S482)</f>
        <v/>
      </c>
      <c r="W482" s="32">
        <f>IF(OR($C482="",$S482="",$S482=1),"",IFERROR(INDEX($Q$6:$Q$1505,MATCH($C482&amp;"|"&amp;$A482&amp;"|"&amp;($S482-1),$V$6:$V$1505,0)),""))</f>
        <v/>
      </c>
      <c r="X482" s="32">
        <f>IF(OR($W482="",$Q482="",LEFT($Q482,1)="—"),"",IF($W482=$Q482,"ללא שינוי","מ-"&amp;$W482&amp;" ל-"&amp;$Q482))</f>
        <v/>
      </c>
    </row>
    <row r="483" ht="15.75" customHeight="1" s="58">
      <c r="A483" s="65" t="n"/>
      <c r="B483" s="65" t="n"/>
      <c r="C483" s="66" t="n"/>
      <c r="D483" s="66" t="n"/>
      <c r="E483" s="65" t="n"/>
      <c r="F483" s="65" t="n"/>
      <c r="G483" s="65" t="n"/>
      <c r="H483" s="65" t="n"/>
      <c r="I483" s="65" t="n"/>
      <c r="J483" s="65" t="n"/>
      <c r="K483" s="65" t="n"/>
      <c r="L483" s="65" t="n"/>
      <c r="M483" s="65" t="n"/>
      <c r="N483" s="65" t="n"/>
      <c r="O483" s="65" t="n"/>
      <c r="P483" s="65" t="n"/>
      <c r="Q483" s="32">
        <f>IF($C483="","",IF($J483="","— חסרים נתונים",IF($J483="טרם מפענח","פרופיל 5",IF($J483="קמץ/פתח/חטף-פתח ושוואים","פרופיל 4",IF($J483="2-3 סימני ניקוד","פרופיל 3",IF($J483="4-5 סימני ניקוד","פרופיל 2",IF(AND($O483="משפטים וקטעים קצרים",OR($M483="מבין",$M483="מבין לרוב")),"פרופיל 1","פרופיל 2")))))))</f>
        <v/>
      </c>
      <c r="R483" s="32">
        <f>IF($C483="","",IF(OR($Q483="",LEFT($Q483,1)="—"),"קבוצה רביעית",IF($Q483="פרופיל 5","קבוצת תשתיות",IF(OR($Q483="פרופיל 4",$Q483="פרופיל 3"),"קבוצת רכישה","קבוצת ביסוס"))))</f>
        <v/>
      </c>
      <c r="S483" s="32">
        <f>IF($F483="","",IF($F483="תחילת שנה",1,IF($F483="מחצית שנה",2,3)))</f>
        <v/>
      </c>
      <c r="T483" s="32">
        <f>IF(OR($B483="",$R483="",$A483="",$F483=""),"",$B483&amp;"|"&amp;$A483&amp;"|"&amp;$F483&amp;"|"&amp;$R483&amp;"|"&amp;COUNTIFS($B$6:$B483,$B483,$A$6:$A483,$A483,$F$6:$F483,$F483,$R$6:$R483,$R483))</f>
        <v/>
      </c>
      <c r="U483" s="32">
        <f>IF($C483="","",$C483&amp;"|"&amp;COUNTIFS($C$6:$C483,$C483))</f>
        <v/>
      </c>
      <c r="V483" s="32">
        <f>IF(OR($C483="",$A483="",$S483=""),"",$C483&amp;"|"&amp;$A483&amp;"|"&amp;$S483)</f>
        <v/>
      </c>
      <c r="W483" s="32">
        <f>IF(OR($C483="",$S483="",$S483=1),"",IFERROR(INDEX($Q$6:$Q$1505,MATCH($C483&amp;"|"&amp;$A483&amp;"|"&amp;($S483-1),$V$6:$V$1505,0)),""))</f>
        <v/>
      </c>
      <c r="X483" s="32">
        <f>IF(OR($W483="",$Q483="",LEFT($Q483,1)="—"),"",IF($W483=$Q483,"ללא שינוי","מ-"&amp;$W483&amp;" ל-"&amp;$Q483))</f>
        <v/>
      </c>
    </row>
    <row r="484" ht="15.75" customHeight="1" s="58">
      <c r="A484" s="65" t="n"/>
      <c r="B484" s="65" t="n"/>
      <c r="C484" s="66" t="n"/>
      <c r="D484" s="66" t="n"/>
      <c r="E484" s="65" t="n"/>
      <c r="F484" s="65" t="n"/>
      <c r="G484" s="65" t="n"/>
      <c r="H484" s="65" t="n"/>
      <c r="I484" s="65" t="n"/>
      <c r="J484" s="65" t="n"/>
      <c r="K484" s="65" t="n"/>
      <c r="L484" s="65" t="n"/>
      <c r="M484" s="65" t="n"/>
      <c r="N484" s="65" t="n"/>
      <c r="O484" s="65" t="n"/>
      <c r="P484" s="65" t="n"/>
      <c r="Q484" s="32">
        <f>IF($C484="","",IF($J484="","— חסרים נתונים",IF($J484="טרם מפענח","פרופיל 5",IF($J484="קמץ/פתח/חטף-פתח ושוואים","פרופיל 4",IF($J484="2-3 סימני ניקוד","פרופיל 3",IF($J484="4-5 סימני ניקוד","פרופיל 2",IF(AND($O484="משפטים וקטעים קצרים",OR($M484="מבין",$M484="מבין לרוב")),"פרופיל 1","פרופיל 2")))))))</f>
        <v/>
      </c>
      <c r="R484" s="32">
        <f>IF($C484="","",IF(OR($Q484="",LEFT($Q484,1)="—"),"קבוצה רביעית",IF($Q484="פרופיל 5","קבוצת תשתיות",IF(OR($Q484="פרופיל 4",$Q484="פרופיל 3"),"קבוצת רכישה","קבוצת ביסוס"))))</f>
        <v/>
      </c>
      <c r="S484" s="32">
        <f>IF($F484="","",IF($F484="תחילת שנה",1,IF($F484="מחצית שנה",2,3)))</f>
        <v/>
      </c>
      <c r="T484" s="32">
        <f>IF(OR($B484="",$R484="",$A484="",$F484=""),"",$B484&amp;"|"&amp;$A484&amp;"|"&amp;$F484&amp;"|"&amp;$R484&amp;"|"&amp;COUNTIFS($B$6:$B484,$B484,$A$6:$A484,$A484,$F$6:$F484,$F484,$R$6:$R484,$R484))</f>
        <v/>
      </c>
      <c r="U484" s="32">
        <f>IF($C484="","",$C484&amp;"|"&amp;COUNTIFS($C$6:$C484,$C484))</f>
        <v/>
      </c>
      <c r="V484" s="32">
        <f>IF(OR($C484="",$A484="",$S484=""),"",$C484&amp;"|"&amp;$A484&amp;"|"&amp;$S484)</f>
        <v/>
      </c>
      <c r="W484" s="32">
        <f>IF(OR($C484="",$S484="",$S484=1),"",IFERROR(INDEX($Q$6:$Q$1505,MATCH($C484&amp;"|"&amp;$A484&amp;"|"&amp;($S484-1),$V$6:$V$1505,0)),""))</f>
        <v/>
      </c>
      <c r="X484" s="32">
        <f>IF(OR($W484="",$Q484="",LEFT($Q484,1)="—"),"",IF($W484=$Q484,"ללא שינוי","מ-"&amp;$W484&amp;" ל-"&amp;$Q484))</f>
        <v/>
      </c>
    </row>
    <row r="485" ht="15.75" customHeight="1" s="58">
      <c r="A485" s="65" t="n"/>
      <c r="B485" s="65" t="n"/>
      <c r="C485" s="66" t="n"/>
      <c r="D485" s="66" t="n"/>
      <c r="E485" s="65" t="n"/>
      <c r="F485" s="65" t="n"/>
      <c r="G485" s="65" t="n"/>
      <c r="H485" s="65" t="n"/>
      <c r="I485" s="65" t="n"/>
      <c r="J485" s="65" t="n"/>
      <c r="K485" s="65" t="n"/>
      <c r="L485" s="65" t="n"/>
      <c r="M485" s="65" t="n"/>
      <c r="N485" s="65" t="n"/>
      <c r="O485" s="65" t="n"/>
      <c r="P485" s="65" t="n"/>
      <c r="Q485" s="32">
        <f>IF($C485="","",IF($J485="","— חסרים נתונים",IF($J485="טרם מפענח","פרופיל 5",IF($J485="קמץ/פתח/חטף-פתח ושוואים","פרופיל 4",IF($J485="2-3 סימני ניקוד","פרופיל 3",IF($J485="4-5 סימני ניקוד","פרופיל 2",IF(AND($O485="משפטים וקטעים קצרים",OR($M485="מבין",$M485="מבין לרוב")),"פרופיל 1","פרופיל 2")))))))</f>
        <v/>
      </c>
      <c r="R485" s="32">
        <f>IF($C485="","",IF(OR($Q485="",LEFT($Q485,1)="—"),"קבוצה רביעית",IF($Q485="פרופיל 5","קבוצת תשתיות",IF(OR($Q485="פרופיל 4",$Q485="פרופיל 3"),"קבוצת רכישה","קבוצת ביסוס"))))</f>
        <v/>
      </c>
      <c r="S485" s="32">
        <f>IF($F485="","",IF($F485="תחילת שנה",1,IF($F485="מחצית שנה",2,3)))</f>
        <v/>
      </c>
      <c r="T485" s="32">
        <f>IF(OR($B485="",$R485="",$A485="",$F485=""),"",$B485&amp;"|"&amp;$A485&amp;"|"&amp;$F485&amp;"|"&amp;$R485&amp;"|"&amp;COUNTIFS($B$6:$B485,$B485,$A$6:$A485,$A485,$F$6:$F485,$F485,$R$6:$R485,$R485))</f>
        <v/>
      </c>
      <c r="U485" s="32">
        <f>IF($C485="","",$C485&amp;"|"&amp;COUNTIFS($C$6:$C485,$C485))</f>
        <v/>
      </c>
      <c r="V485" s="32">
        <f>IF(OR($C485="",$A485="",$S485=""),"",$C485&amp;"|"&amp;$A485&amp;"|"&amp;$S485)</f>
        <v/>
      </c>
      <c r="W485" s="32">
        <f>IF(OR($C485="",$S485="",$S485=1),"",IFERROR(INDEX($Q$6:$Q$1505,MATCH($C485&amp;"|"&amp;$A485&amp;"|"&amp;($S485-1),$V$6:$V$1505,0)),""))</f>
        <v/>
      </c>
      <c r="X485" s="32">
        <f>IF(OR($W485="",$Q485="",LEFT($Q485,1)="—"),"",IF($W485=$Q485,"ללא שינוי","מ-"&amp;$W485&amp;" ל-"&amp;$Q485))</f>
        <v/>
      </c>
    </row>
    <row r="486" ht="15.75" customHeight="1" s="58">
      <c r="A486" s="65" t="n"/>
      <c r="B486" s="65" t="n"/>
      <c r="C486" s="66" t="n"/>
      <c r="D486" s="66" t="n"/>
      <c r="E486" s="65" t="n"/>
      <c r="F486" s="65" t="n"/>
      <c r="G486" s="65" t="n"/>
      <c r="H486" s="65" t="n"/>
      <c r="I486" s="65" t="n"/>
      <c r="J486" s="65" t="n"/>
      <c r="K486" s="65" t="n"/>
      <c r="L486" s="65" t="n"/>
      <c r="M486" s="65" t="n"/>
      <c r="N486" s="65" t="n"/>
      <c r="O486" s="65" t="n"/>
      <c r="P486" s="65" t="n"/>
      <c r="Q486" s="32">
        <f>IF($C486="","",IF($J486="","— חסרים נתונים",IF($J486="טרם מפענח","פרופיל 5",IF($J486="קמץ/פתח/חטף-פתח ושוואים","פרופיל 4",IF($J486="2-3 סימני ניקוד","פרופיל 3",IF($J486="4-5 סימני ניקוד","פרופיל 2",IF(AND($O486="משפטים וקטעים קצרים",OR($M486="מבין",$M486="מבין לרוב")),"פרופיל 1","פרופיל 2")))))))</f>
        <v/>
      </c>
      <c r="R486" s="32">
        <f>IF($C486="","",IF(OR($Q486="",LEFT($Q486,1)="—"),"קבוצה רביעית",IF($Q486="פרופיל 5","קבוצת תשתיות",IF(OR($Q486="פרופיל 4",$Q486="פרופיל 3"),"קבוצת רכישה","קבוצת ביסוס"))))</f>
        <v/>
      </c>
      <c r="S486" s="32">
        <f>IF($F486="","",IF($F486="תחילת שנה",1,IF($F486="מחצית שנה",2,3)))</f>
        <v/>
      </c>
      <c r="T486" s="32">
        <f>IF(OR($B486="",$R486="",$A486="",$F486=""),"",$B486&amp;"|"&amp;$A486&amp;"|"&amp;$F486&amp;"|"&amp;$R486&amp;"|"&amp;COUNTIFS($B$6:$B486,$B486,$A$6:$A486,$A486,$F$6:$F486,$F486,$R$6:$R486,$R486))</f>
        <v/>
      </c>
      <c r="U486" s="32">
        <f>IF($C486="","",$C486&amp;"|"&amp;COUNTIFS($C$6:$C486,$C486))</f>
        <v/>
      </c>
      <c r="V486" s="32">
        <f>IF(OR($C486="",$A486="",$S486=""),"",$C486&amp;"|"&amp;$A486&amp;"|"&amp;$S486)</f>
        <v/>
      </c>
      <c r="W486" s="32">
        <f>IF(OR($C486="",$S486="",$S486=1),"",IFERROR(INDEX($Q$6:$Q$1505,MATCH($C486&amp;"|"&amp;$A486&amp;"|"&amp;($S486-1),$V$6:$V$1505,0)),""))</f>
        <v/>
      </c>
      <c r="X486" s="32">
        <f>IF(OR($W486="",$Q486="",LEFT($Q486,1)="—"),"",IF($W486=$Q486,"ללא שינוי","מ-"&amp;$W486&amp;" ל-"&amp;$Q486))</f>
        <v/>
      </c>
    </row>
    <row r="487" ht="15.75" customHeight="1" s="58">
      <c r="A487" s="65" t="n"/>
      <c r="B487" s="65" t="n"/>
      <c r="C487" s="66" t="n"/>
      <c r="D487" s="66" t="n"/>
      <c r="E487" s="65" t="n"/>
      <c r="F487" s="65" t="n"/>
      <c r="G487" s="65" t="n"/>
      <c r="H487" s="65" t="n"/>
      <c r="I487" s="65" t="n"/>
      <c r="J487" s="65" t="n"/>
      <c r="K487" s="65" t="n"/>
      <c r="L487" s="65" t="n"/>
      <c r="M487" s="65" t="n"/>
      <c r="N487" s="65" t="n"/>
      <c r="O487" s="65" t="n"/>
      <c r="P487" s="65" t="n"/>
      <c r="Q487" s="32">
        <f>IF($C487="","",IF($J487="","— חסרים נתונים",IF($J487="טרם מפענח","פרופיל 5",IF($J487="קמץ/פתח/חטף-פתח ושוואים","פרופיל 4",IF($J487="2-3 סימני ניקוד","פרופיל 3",IF($J487="4-5 סימני ניקוד","פרופיל 2",IF(AND($O487="משפטים וקטעים קצרים",OR($M487="מבין",$M487="מבין לרוב")),"פרופיל 1","פרופיל 2")))))))</f>
        <v/>
      </c>
      <c r="R487" s="32">
        <f>IF($C487="","",IF(OR($Q487="",LEFT($Q487,1)="—"),"קבוצה רביעית",IF($Q487="פרופיל 5","קבוצת תשתיות",IF(OR($Q487="פרופיל 4",$Q487="פרופיל 3"),"קבוצת רכישה","קבוצת ביסוס"))))</f>
        <v/>
      </c>
      <c r="S487" s="32">
        <f>IF($F487="","",IF($F487="תחילת שנה",1,IF($F487="מחצית שנה",2,3)))</f>
        <v/>
      </c>
      <c r="T487" s="32">
        <f>IF(OR($B487="",$R487="",$A487="",$F487=""),"",$B487&amp;"|"&amp;$A487&amp;"|"&amp;$F487&amp;"|"&amp;$R487&amp;"|"&amp;COUNTIFS($B$6:$B487,$B487,$A$6:$A487,$A487,$F$6:$F487,$F487,$R$6:$R487,$R487))</f>
        <v/>
      </c>
      <c r="U487" s="32">
        <f>IF($C487="","",$C487&amp;"|"&amp;COUNTIFS($C$6:$C487,$C487))</f>
        <v/>
      </c>
      <c r="V487" s="32">
        <f>IF(OR($C487="",$A487="",$S487=""),"",$C487&amp;"|"&amp;$A487&amp;"|"&amp;$S487)</f>
        <v/>
      </c>
      <c r="W487" s="32">
        <f>IF(OR($C487="",$S487="",$S487=1),"",IFERROR(INDEX($Q$6:$Q$1505,MATCH($C487&amp;"|"&amp;$A487&amp;"|"&amp;($S487-1),$V$6:$V$1505,0)),""))</f>
        <v/>
      </c>
      <c r="X487" s="32">
        <f>IF(OR($W487="",$Q487="",LEFT($Q487,1)="—"),"",IF($W487=$Q487,"ללא שינוי","מ-"&amp;$W487&amp;" ל-"&amp;$Q487))</f>
        <v/>
      </c>
    </row>
    <row r="488" ht="15.75" customHeight="1" s="58">
      <c r="A488" s="65" t="n"/>
      <c r="B488" s="65" t="n"/>
      <c r="C488" s="66" t="n"/>
      <c r="D488" s="66" t="n"/>
      <c r="E488" s="65" t="n"/>
      <c r="F488" s="65" t="n"/>
      <c r="G488" s="65" t="n"/>
      <c r="H488" s="65" t="n"/>
      <c r="I488" s="65" t="n"/>
      <c r="J488" s="65" t="n"/>
      <c r="K488" s="65" t="n"/>
      <c r="L488" s="65" t="n"/>
      <c r="M488" s="65" t="n"/>
      <c r="N488" s="65" t="n"/>
      <c r="O488" s="65" t="n"/>
      <c r="P488" s="65" t="n"/>
      <c r="Q488" s="32">
        <f>IF($C488="","",IF($J488="","— חסרים נתונים",IF($J488="טרם מפענח","פרופיל 5",IF($J488="קמץ/פתח/חטף-פתח ושוואים","פרופיל 4",IF($J488="2-3 סימני ניקוד","פרופיל 3",IF($J488="4-5 סימני ניקוד","פרופיל 2",IF(AND($O488="משפטים וקטעים קצרים",OR($M488="מבין",$M488="מבין לרוב")),"פרופיל 1","פרופיל 2")))))))</f>
        <v/>
      </c>
      <c r="R488" s="32">
        <f>IF($C488="","",IF(OR($Q488="",LEFT($Q488,1)="—"),"קבוצה רביעית",IF($Q488="פרופיל 5","קבוצת תשתיות",IF(OR($Q488="פרופיל 4",$Q488="פרופיל 3"),"קבוצת רכישה","קבוצת ביסוס"))))</f>
        <v/>
      </c>
      <c r="S488" s="32">
        <f>IF($F488="","",IF($F488="תחילת שנה",1,IF($F488="מחצית שנה",2,3)))</f>
        <v/>
      </c>
      <c r="T488" s="32">
        <f>IF(OR($B488="",$R488="",$A488="",$F488=""),"",$B488&amp;"|"&amp;$A488&amp;"|"&amp;$F488&amp;"|"&amp;$R488&amp;"|"&amp;COUNTIFS($B$6:$B488,$B488,$A$6:$A488,$A488,$F$6:$F488,$F488,$R$6:$R488,$R488))</f>
        <v/>
      </c>
      <c r="U488" s="32">
        <f>IF($C488="","",$C488&amp;"|"&amp;COUNTIFS($C$6:$C488,$C488))</f>
        <v/>
      </c>
      <c r="V488" s="32">
        <f>IF(OR($C488="",$A488="",$S488=""),"",$C488&amp;"|"&amp;$A488&amp;"|"&amp;$S488)</f>
        <v/>
      </c>
      <c r="W488" s="32">
        <f>IF(OR($C488="",$S488="",$S488=1),"",IFERROR(INDEX($Q$6:$Q$1505,MATCH($C488&amp;"|"&amp;$A488&amp;"|"&amp;($S488-1),$V$6:$V$1505,0)),""))</f>
        <v/>
      </c>
      <c r="X488" s="32">
        <f>IF(OR($W488="",$Q488="",LEFT($Q488,1)="—"),"",IF($W488=$Q488,"ללא שינוי","מ-"&amp;$W488&amp;" ל-"&amp;$Q488))</f>
        <v/>
      </c>
    </row>
    <row r="489" ht="15.75" customHeight="1" s="58">
      <c r="A489" s="65" t="n"/>
      <c r="B489" s="65" t="n"/>
      <c r="C489" s="66" t="n"/>
      <c r="D489" s="66" t="n"/>
      <c r="E489" s="65" t="n"/>
      <c r="F489" s="65" t="n"/>
      <c r="G489" s="65" t="n"/>
      <c r="H489" s="65" t="n"/>
      <c r="I489" s="65" t="n"/>
      <c r="J489" s="65" t="n"/>
      <c r="K489" s="65" t="n"/>
      <c r="L489" s="65" t="n"/>
      <c r="M489" s="65" t="n"/>
      <c r="N489" s="65" t="n"/>
      <c r="O489" s="65" t="n"/>
      <c r="P489" s="65" t="n"/>
      <c r="Q489" s="32">
        <f>IF($C489="","",IF($J489="","— חסרים נתונים",IF($J489="טרם מפענח","פרופיל 5",IF($J489="קמץ/פתח/חטף-פתח ושוואים","פרופיל 4",IF($J489="2-3 סימני ניקוד","פרופיל 3",IF($J489="4-5 סימני ניקוד","פרופיל 2",IF(AND($O489="משפטים וקטעים קצרים",OR($M489="מבין",$M489="מבין לרוב")),"פרופיל 1","פרופיל 2")))))))</f>
        <v/>
      </c>
      <c r="R489" s="32">
        <f>IF($C489="","",IF(OR($Q489="",LEFT($Q489,1)="—"),"קבוצה רביעית",IF($Q489="פרופיל 5","קבוצת תשתיות",IF(OR($Q489="פרופיל 4",$Q489="פרופיל 3"),"קבוצת רכישה","קבוצת ביסוס"))))</f>
        <v/>
      </c>
      <c r="S489" s="32">
        <f>IF($F489="","",IF($F489="תחילת שנה",1,IF($F489="מחצית שנה",2,3)))</f>
        <v/>
      </c>
      <c r="T489" s="32">
        <f>IF(OR($B489="",$R489="",$A489="",$F489=""),"",$B489&amp;"|"&amp;$A489&amp;"|"&amp;$F489&amp;"|"&amp;$R489&amp;"|"&amp;COUNTIFS($B$6:$B489,$B489,$A$6:$A489,$A489,$F$6:$F489,$F489,$R$6:$R489,$R489))</f>
        <v/>
      </c>
      <c r="U489" s="32">
        <f>IF($C489="","",$C489&amp;"|"&amp;COUNTIFS($C$6:$C489,$C489))</f>
        <v/>
      </c>
      <c r="V489" s="32">
        <f>IF(OR($C489="",$A489="",$S489=""),"",$C489&amp;"|"&amp;$A489&amp;"|"&amp;$S489)</f>
        <v/>
      </c>
      <c r="W489" s="32">
        <f>IF(OR($C489="",$S489="",$S489=1),"",IFERROR(INDEX($Q$6:$Q$1505,MATCH($C489&amp;"|"&amp;$A489&amp;"|"&amp;($S489-1),$V$6:$V$1505,0)),""))</f>
        <v/>
      </c>
      <c r="X489" s="32">
        <f>IF(OR($W489="",$Q489="",LEFT($Q489,1)="—"),"",IF($W489=$Q489,"ללא שינוי","מ-"&amp;$W489&amp;" ל-"&amp;$Q489))</f>
        <v/>
      </c>
    </row>
    <row r="490" ht="15.75" customHeight="1" s="58">
      <c r="A490" s="65" t="n"/>
      <c r="B490" s="65" t="n"/>
      <c r="C490" s="66" t="n"/>
      <c r="D490" s="66" t="n"/>
      <c r="E490" s="65" t="n"/>
      <c r="F490" s="65" t="n"/>
      <c r="G490" s="65" t="n"/>
      <c r="H490" s="65" t="n"/>
      <c r="I490" s="65" t="n"/>
      <c r="J490" s="65" t="n"/>
      <c r="K490" s="65" t="n"/>
      <c r="L490" s="65" t="n"/>
      <c r="M490" s="65" t="n"/>
      <c r="N490" s="65" t="n"/>
      <c r="O490" s="65" t="n"/>
      <c r="P490" s="65" t="n"/>
      <c r="Q490" s="32">
        <f>IF($C490="","",IF($J490="","— חסרים נתונים",IF($J490="טרם מפענח","פרופיל 5",IF($J490="קמץ/פתח/חטף-פתח ושוואים","פרופיל 4",IF($J490="2-3 סימני ניקוד","פרופיל 3",IF($J490="4-5 סימני ניקוד","פרופיל 2",IF(AND($O490="משפטים וקטעים קצרים",OR($M490="מבין",$M490="מבין לרוב")),"פרופיל 1","פרופיל 2")))))))</f>
        <v/>
      </c>
      <c r="R490" s="32">
        <f>IF($C490="","",IF(OR($Q490="",LEFT($Q490,1)="—"),"קבוצה רביעית",IF($Q490="פרופיל 5","קבוצת תשתיות",IF(OR($Q490="פרופיל 4",$Q490="פרופיל 3"),"קבוצת רכישה","קבוצת ביסוס"))))</f>
        <v/>
      </c>
      <c r="S490" s="32">
        <f>IF($F490="","",IF($F490="תחילת שנה",1,IF($F490="מחצית שנה",2,3)))</f>
        <v/>
      </c>
      <c r="T490" s="32">
        <f>IF(OR($B490="",$R490="",$A490="",$F490=""),"",$B490&amp;"|"&amp;$A490&amp;"|"&amp;$F490&amp;"|"&amp;$R490&amp;"|"&amp;COUNTIFS($B$6:$B490,$B490,$A$6:$A490,$A490,$F$6:$F490,$F490,$R$6:$R490,$R490))</f>
        <v/>
      </c>
      <c r="U490" s="32">
        <f>IF($C490="","",$C490&amp;"|"&amp;COUNTIFS($C$6:$C490,$C490))</f>
        <v/>
      </c>
      <c r="V490" s="32">
        <f>IF(OR($C490="",$A490="",$S490=""),"",$C490&amp;"|"&amp;$A490&amp;"|"&amp;$S490)</f>
        <v/>
      </c>
      <c r="W490" s="32">
        <f>IF(OR($C490="",$S490="",$S490=1),"",IFERROR(INDEX($Q$6:$Q$1505,MATCH($C490&amp;"|"&amp;$A490&amp;"|"&amp;($S490-1),$V$6:$V$1505,0)),""))</f>
        <v/>
      </c>
      <c r="X490" s="32">
        <f>IF(OR($W490="",$Q490="",LEFT($Q490,1)="—"),"",IF($W490=$Q490,"ללא שינוי","מ-"&amp;$W490&amp;" ל-"&amp;$Q490))</f>
        <v/>
      </c>
    </row>
    <row r="491" ht="15.75" customHeight="1" s="58">
      <c r="A491" s="65" t="n"/>
      <c r="B491" s="65" t="n"/>
      <c r="C491" s="66" t="n"/>
      <c r="D491" s="66" t="n"/>
      <c r="E491" s="65" t="n"/>
      <c r="F491" s="65" t="n"/>
      <c r="G491" s="65" t="n"/>
      <c r="H491" s="65" t="n"/>
      <c r="I491" s="65" t="n"/>
      <c r="J491" s="65" t="n"/>
      <c r="K491" s="65" t="n"/>
      <c r="L491" s="65" t="n"/>
      <c r="M491" s="65" t="n"/>
      <c r="N491" s="65" t="n"/>
      <c r="O491" s="65" t="n"/>
      <c r="P491" s="65" t="n"/>
      <c r="Q491" s="32">
        <f>IF($C491="","",IF($J491="","— חסרים נתונים",IF($J491="טרם מפענח","פרופיל 5",IF($J491="קמץ/פתח/חטף-פתח ושוואים","פרופיל 4",IF($J491="2-3 סימני ניקוד","פרופיל 3",IF($J491="4-5 סימני ניקוד","פרופיל 2",IF(AND($O491="משפטים וקטעים קצרים",OR($M491="מבין",$M491="מבין לרוב")),"פרופיל 1","פרופיל 2")))))))</f>
        <v/>
      </c>
      <c r="R491" s="32">
        <f>IF($C491="","",IF(OR($Q491="",LEFT($Q491,1)="—"),"קבוצה רביעית",IF($Q491="פרופיל 5","קבוצת תשתיות",IF(OR($Q491="פרופיל 4",$Q491="פרופיל 3"),"קבוצת רכישה","קבוצת ביסוס"))))</f>
        <v/>
      </c>
      <c r="S491" s="32">
        <f>IF($F491="","",IF($F491="תחילת שנה",1,IF($F491="מחצית שנה",2,3)))</f>
        <v/>
      </c>
      <c r="T491" s="32">
        <f>IF(OR($B491="",$R491="",$A491="",$F491=""),"",$B491&amp;"|"&amp;$A491&amp;"|"&amp;$F491&amp;"|"&amp;$R491&amp;"|"&amp;COUNTIFS($B$6:$B491,$B491,$A$6:$A491,$A491,$F$6:$F491,$F491,$R$6:$R491,$R491))</f>
        <v/>
      </c>
      <c r="U491" s="32">
        <f>IF($C491="","",$C491&amp;"|"&amp;COUNTIFS($C$6:$C491,$C491))</f>
        <v/>
      </c>
      <c r="V491" s="32">
        <f>IF(OR($C491="",$A491="",$S491=""),"",$C491&amp;"|"&amp;$A491&amp;"|"&amp;$S491)</f>
        <v/>
      </c>
      <c r="W491" s="32">
        <f>IF(OR($C491="",$S491="",$S491=1),"",IFERROR(INDEX($Q$6:$Q$1505,MATCH($C491&amp;"|"&amp;$A491&amp;"|"&amp;($S491-1),$V$6:$V$1505,0)),""))</f>
        <v/>
      </c>
      <c r="X491" s="32">
        <f>IF(OR($W491="",$Q491="",LEFT($Q491,1)="—"),"",IF($W491=$Q491,"ללא שינוי","מ-"&amp;$W491&amp;" ל-"&amp;$Q491))</f>
        <v/>
      </c>
    </row>
    <row r="492" ht="15.75" customHeight="1" s="58">
      <c r="A492" s="65" t="n"/>
      <c r="B492" s="65" t="n"/>
      <c r="C492" s="66" t="n"/>
      <c r="D492" s="66" t="n"/>
      <c r="E492" s="65" t="n"/>
      <c r="F492" s="65" t="n"/>
      <c r="G492" s="65" t="n"/>
      <c r="H492" s="65" t="n"/>
      <c r="I492" s="65" t="n"/>
      <c r="J492" s="65" t="n"/>
      <c r="K492" s="65" t="n"/>
      <c r="L492" s="65" t="n"/>
      <c r="M492" s="65" t="n"/>
      <c r="N492" s="65" t="n"/>
      <c r="O492" s="65" t="n"/>
      <c r="P492" s="65" t="n"/>
      <c r="Q492" s="32">
        <f>IF($C492="","",IF($J492="","— חסרים נתונים",IF($J492="טרם מפענח","פרופיל 5",IF($J492="קמץ/פתח/חטף-פתח ושוואים","פרופיל 4",IF($J492="2-3 סימני ניקוד","פרופיל 3",IF($J492="4-5 סימני ניקוד","פרופיל 2",IF(AND($O492="משפטים וקטעים קצרים",OR($M492="מבין",$M492="מבין לרוב")),"פרופיל 1","פרופיל 2")))))))</f>
        <v/>
      </c>
      <c r="R492" s="32">
        <f>IF($C492="","",IF(OR($Q492="",LEFT($Q492,1)="—"),"קבוצה רביעית",IF($Q492="פרופיל 5","קבוצת תשתיות",IF(OR($Q492="פרופיל 4",$Q492="פרופיל 3"),"קבוצת רכישה","קבוצת ביסוס"))))</f>
        <v/>
      </c>
      <c r="S492" s="32">
        <f>IF($F492="","",IF($F492="תחילת שנה",1,IF($F492="מחצית שנה",2,3)))</f>
        <v/>
      </c>
      <c r="T492" s="32">
        <f>IF(OR($B492="",$R492="",$A492="",$F492=""),"",$B492&amp;"|"&amp;$A492&amp;"|"&amp;$F492&amp;"|"&amp;$R492&amp;"|"&amp;COUNTIFS($B$6:$B492,$B492,$A$6:$A492,$A492,$F$6:$F492,$F492,$R$6:$R492,$R492))</f>
        <v/>
      </c>
      <c r="U492" s="32">
        <f>IF($C492="","",$C492&amp;"|"&amp;COUNTIFS($C$6:$C492,$C492))</f>
        <v/>
      </c>
      <c r="V492" s="32">
        <f>IF(OR($C492="",$A492="",$S492=""),"",$C492&amp;"|"&amp;$A492&amp;"|"&amp;$S492)</f>
        <v/>
      </c>
      <c r="W492" s="32">
        <f>IF(OR($C492="",$S492="",$S492=1),"",IFERROR(INDEX($Q$6:$Q$1505,MATCH($C492&amp;"|"&amp;$A492&amp;"|"&amp;($S492-1),$V$6:$V$1505,0)),""))</f>
        <v/>
      </c>
      <c r="X492" s="32">
        <f>IF(OR($W492="",$Q492="",LEFT($Q492,1)="—"),"",IF($W492=$Q492,"ללא שינוי","מ-"&amp;$W492&amp;" ל-"&amp;$Q492))</f>
        <v/>
      </c>
    </row>
    <row r="493" ht="15.75" customHeight="1" s="58">
      <c r="A493" s="65" t="n"/>
      <c r="B493" s="65" t="n"/>
      <c r="C493" s="66" t="n"/>
      <c r="D493" s="66" t="n"/>
      <c r="E493" s="65" t="n"/>
      <c r="F493" s="65" t="n"/>
      <c r="G493" s="65" t="n"/>
      <c r="H493" s="65" t="n"/>
      <c r="I493" s="65" t="n"/>
      <c r="J493" s="65" t="n"/>
      <c r="K493" s="65" t="n"/>
      <c r="L493" s="65" t="n"/>
      <c r="M493" s="65" t="n"/>
      <c r="N493" s="65" t="n"/>
      <c r="O493" s="65" t="n"/>
      <c r="P493" s="65" t="n"/>
      <c r="Q493" s="32">
        <f>IF($C493="","",IF($J493="","— חסרים נתונים",IF($J493="טרם מפענח","פרופיל 5",IF($J493="קמץ/פתח/חטף-פתח ושוואים","פרופיל 4",IF($J493="2-3 סימני ניקוד","פרופיל 3",IF($J493="4-5 סימני ניקוד","פרופיל 2",IF(AND($O493="משפטים וקטעים קצרים",OR($M493="מבין",$M493="מבין לרוב")),"פרופיל 1","פרופיל 2")))))))</f>
        <v/>
      </c>
      <c r="R493" s="32">
        <f>IF($C493="","",IF(OR($Q493="",LEFT($Q493,1)="—"),"קבוצה רביעית",IF($Q493="פרופיל 5","קבוצת תשתיות",IF(OR($Q493="פרופיל 4",$Q493="פרופיל 3"),"קבוצת רכישה","קבוצת ביסוס"))))</f>
        <v/>
      </c>
      <c r="S493" s="32">
        <f>IF($F493="","",IF($F493="תחילת שנה",1,IF($F493="מחצית שנה",2,3)))</f>
        <v/>
      </c>
      <c r="T493" s="32">
        <f>IF(OR($B493="",$R493="",$A493="",$F493=""),"",$B493&amp;"|"&amp;$A493&amp;"|"&amp;$F493&amp;"|"&amp;$R493&amp;"|"&amp;COUNTIFS($B$6:$B493,$B493,$A$6:$A493,$A493,$F$6:$F493,$F493,$R$6:$R493,$R493))</f>
        <v/>
      </c>
      <c r="U493" s="32">
        <f>IF($C493="","",$C493&amp;"|"&amp;COUNTIFS($C$6:$C493,$C493))</f>
        <v/>
      </c>
      <c r="V493" s="32">
        <f>IF(OR($C493="",$A493="",$S493=""),"",$C493&amp;"|"&amp;$A493&amp;"|"&amp;$S493)</f>
        <v/>
      </c>
      <c r="W493" s="32">
        <f>IF(OR($C493="",$S493="",$S493=1),"",IFERROR(INDEX($Q$6:$Q$1505,MATCH($C493&amp;"|"&amp;$A493&amp;"|"&amp;($S493-1),$V$6:$V$1505,0)),""))</f>
        <v/>
      </c>
      <c r="X493" s="32">
        <f>IF(OR($W493="",$Q493="",LEFT($Q493,1)="—"),"",IF($W493=$Q493,"ללא שינוי","מ-"&amp;$W493&amp;" ל-"&amp;$Q493))</f>
        <v/>
      </c>
    </row>
    <row r="494" ht="15.75" customHeight="1" s="58">
      <c r="A494" s="65" t="n"/>
      <c r="B494" s="65" t="n"/>
      <c r="C494" s="66" t="n"/>
      <c r="D494" s="66" t="n"/>
      <c r="E494" s="65" t="n"/>
      <c r="F494" s="65" t="n"/>
      <c r="G494" s="65" t="n"/>
      <c r="H494" s="65" t="n"/>
      <c r="I494" s="65" t="n"/>
      <c r="J494" s="65" t="n"/>
      <c r="K494" s="65" t="n"/>
      <c r="L494" s="65" t="n"/>
      <c r="M494" s="65" t="n"/>
      <c r="N494" s="65" t="n"/>
      <c r="O494" s="65" t="n"/>
      <c r="P494" s="65" t="n"/>
      <c r="Q494" s="32">
        <f>IF($C494="","",IF($J494="","— חסרים נתונים",IF($J494="טרם מפענח","פרופיל 5",IF($J494="קמץ/פתח/חטף-פתח ושוואים","פרופיל 4",IF($J494="2-3 סימני ניקוד","פרופיל 3",IF($J494="4-5 סימני ניקוד","פרופיל 2",IF(AND($O494="משפטים וקטעים קצרים",OR($M494="מבין",$M494="מבין לרוב")),"פרופיל 1","פרופיל 2")))))))</f>
        <v/>
      </c>
      <c r="R494" s="32">
        <f>IF($C494="","",IF(OR($Q494="",LEFT($Q494,1)="—"),"קבוצה רביעית",IF($Q494="פרופיל 5","קבוצת תשתיות",IF(OR($Q494="פרופיל 4",$Q494="פרופיל 3"),"קבוצת רכישה","קבוצת ביסוס"))))</f>
        <v/>
      </c>
      <c r="S494" s="32">
        <f>IF($F494="","",IF($F494="תחילת שנה",1,IF($F494="מחצית שנה",2,3)))</f>
        <v/>
      </c>
      <c r="T494" s="32">
        <f>IF(OR($B494="",$R494="",$A494="",$F494=""),"",$B494&amp;"|"&amp;$A494&amp;"|"&amp;$F494&amp;"|"&amp;$R494&amp;"|"&amp;COUNTIFS($B$6:$B494,$B494,$A$6:$A494,$A494,$F$6:$F494,$F494,$R$6:$R494,$R494))</f>
        <v/>
      </c>
      <c r="U494" s="32">
        <f>IF($C494="","",$C494&amp;"|"&amp;COUNTIFS($C$6:$C494,$C494))</f>
        <v/>
      </c>
      <c r="V494" s="32">
        <f>IF(OR($C494="",$A494="",$S494=""),"",$C494&amp;"|"&amp;$A494&amp;"|"&amp;$S494)</f>
        <v/>
      </c>
      <c r="W494" s="32">
        <f>IF(OR($C494="",$S494="",$S494=1),"",IFERROR(INDEX($Q$6:$Q$1505,MATCH($C494&amp;"|"&amp;$A494&amp;"|"&amp;($S494-1),$V$6:$V$1505,0)),""))</f>
        <v/>
      </c>
      <c r="X494" s="32">
        <f>IF(OR($W494="",$Q494="",LEFT($Q494,1)="—"),"",IF($W494=$Q494,"ללא שינוי","מ-"&amp;$W494&amp;" ל-"&amp;$Q494))</f>
        <v/>
      </c>
    </row>
    <row r="495" ht="15.75" customHeight="1" s="58">
      <c r="A495" s="65" t="n"/>
      <c r="B495" s="65" t="n"/>
      <c r="C495" s="66" t="n"/>
      <c r="D495" s="66" t="n"/>
      <c r="E495" s="65" t="n"/>
      <c r="F495" s="65" t="n"/>
      <c r="G495" s="65" t="n"/>
      <c r="H495" s="65" t="n"/>
      <c r="I495" s="65" t="n"/>
      <c r="J495" s="65" t="n"/>
      <c r="K495" s="65" t="n"/>
      <c r="L495" s="65" t="n"/>
      <c r="M495" s="65" t="n"/>
      <c r="N495" s="65" t="n"/>
      <c r="O495" s="65" t="n"/>
      <c r="P495" s="65" t="n"/>
      <c r="Q495" s="32">
        <f>IF($C495="","",IF($J495="","— חסרים נתונים",IF($J495="טרם מפענח","פרופיל 5",IF($J495="קמץ/פתח/חטף-פתח ושוואים","פרופיל 4",IF($J495="2-3 סימני ניקוד","פרופיל 3",IF($J495="4-5 סימני ניקוד","פרופיל 2",IF(AND($O495="משפטים וקטעים קצרים",OR($M495="מבין",$M495="מבין לרוב")),"פרופיל 1","פרופיל 2")))))))</f>
        <v/>
      </c>
      <c r="R495" s="32">
        <f>IF($C495="","",IF(OR($Q495="",LEFT($Q495,1)="—"),"קבוצה רביעית",IF($Q495="פרופיל 5","קבוצת תשתיות",IF(OR($Q495="פרופיל 4",$Q495="פרופיל 3"),"קבוצת רכישה","קבוצת ביסוס"))))</f>
        <v/>
      </c>
      <c r="S495" s="32">
        <f>IF($F495="","",IF($F495="תחילת שנה",1,IF($F495="מחצית שנה",2,3)))</f>
        <v/>
      </c>
      <c r="T495" s="32">
        <f>IF(OR($B495="",$R495="",$A495="",$F495=""),"",$B495&amp;"|"&amp;$A495&amp;"|"&amp;$F495&amp;"|"&amp;$R495&amp;"|"&amp;COUNTIFS($B$6:$B495,$B495,$A$6:$A495,$A495,$F$6:$F495,$F495,$R$6:$R495,$R495))</f>
        <v/>
      </c>
      <c r="U495" s="32">
        <f>IF($C495="","",$C495&amp;"|"&amp;COUNTIFS($C$6:$C495,$C495))</f>
        <v/>
      </c>
      <c r="V495" s="32">
        <f>IF(OR($C495="",$A495="",$S495=""),"",$C495&amp;"|"&amp;$A495&amp;"|"&amp;$S495)</f>
        <v/>
      </c>
      <c r="W495" s="32">
        <f>IF(OR($C495="",$S495="",$S495=1),"",IFERROR(INDEX($Q$6:$Q$1505,MATCH($C495&amp;"|"&amp;$A495&amp;"|"&amp;($S495-1),$V$6:$V$1505,0)),""))</f>
        <v/>
      </c>
      <c r="X495" s="32">
        <f>IF(OR($W495="",$Q495="",LEFT($Q495,1)="—"),"",IF($W495=$Q495,"ללא שינוי","מ-"&amp;$W495&amp;" ל-"&amp;$Q495))</f>
        <v/>
      </c>
    </row>
    <row r="496" ht="15.75" customHeight="1" s="58">
      <c r="A496" s="65" t="n"/>
      <c r="B496" s="65" t="n"/>
      <c r="C496" s="66" t="n"/>
      <c r="D496" s="66" t="n"/>
      <c r="E496" s="65" t="n"/>
      <c r="F496" s="65" t="n"/>
      <c r="G496" s="65" t="n"/>
      <c r="H496" s="65" t="n"/>
      <c r="I496" s="65" t="n"/>
      <c r="J496" s="65" t="n"/>
      <c r="K496" s="65" t="n"/>
      <c r="L496" s="65" t="n"/>
      <c r="M496" s="65" t="n"/>
      <c r="N496" s="65" t="n"/>
      <c r="O496" s="65" t="n"/>
      <c r="P496" s="65" t="n"/>
      <c r="Q496" s="32">
        <f>IF($C496="","",IF($J496="","— חסרים נתונים",IF($J496="טרם מפענח","פרופיל 5",IF($J496="קמץ/פתח/חטף-פתח ושוואים","פרופיל 4",IF($J496="2-3 סימני ניקוד","פרופיל 3",IF($J496="4-5 סימני ניקוד","פרופיל 2",IF(AND($O496="משפטים וקטעים קצרים",OR($M496="מבין",$M496="מבין לרוב")),"פרופיל 1","פרופיל 2")))))))</f>
        <v/>
      </c>
      <c r="R496" s="32">
        <f>IF($C496="","",IF(OR($Q496="",LEFT($Q496,1)="—"),"קבוצה רביעית",IF($Q496="פרופיל 5","קבוצת תשתיות",IF(OR($Q496="פרופיל 4",$Q496="פרופיל 3"),"קבוצת רכישה","קבוצת ביסוס"))))</f>
        <v/>
      </c>
      <c r="S496" s="32">
        <f>IF($F496="","",IF($F496="תחילת שנה",1,IF($F496="מחצית שנה",2,3)))</f>
        <v/>
      </c>
      <c r="T496" s="32">
        <f>IF(OR($B496="",$R496="",$A496="",$F496=""),"",$B496&amp;"|"&amp;$A496&amp;"|"&amp;$F496&amp;"|"&amp;$R496&amp;"|"&amp;COUNTIFS($B$6:$B496,$B496,$A$6:$A496,$A496,$F$6:$F496,$F496,$R$6:$R496,$R496))</f>
        <v/>
      </c>
      <c r="U496" s="32">
        <f>IF($C496="","",$C496&amp;"|"&amp;COUNTIFS($C$6:$C496,$C496))</f>
        <v/>
      </c>
      <c r="V496" s="32">
        <f>IF(OR($C496="",$A496="",$S496=""),"",$C496&amp;"|"&amp;$A496&amp;"|"&amp;$S496)</f>
        <v/>
      </c>
      <c r="W496" s="32">
        <f>IF(OR($C496="",$S496="",$S496=1),"",IFERROR(INDEX($Q$6:$Q$1505,MATCH($C496&amp;"|"&amp;$A496&amp;"|"&amp;($S496-1),$V$6:$V$1505,0)),""))</f>
        <v/>
      </c>
      <c r="X496" s="32">
        <f>IF(OR($W496="",$Q496="",LEFT($Q496,1)="—"),"",IF($W496=$Q496,"ללא שינוי","מ-"&amp;$W496&amp;" ל-"&amp;$Q496))</f>
        <v/>
      </c>
    </row>
    <row r="497" ht="15.75" customHeight="1" s="58">
      <c r="A497" s="65" t="n"/>
      <c r="B497" s="65" t="n"/>
      <c r="C497" s="66" t="n"/>
      <c r="D497" s="66" t="n"/>
      <c r="E497" s="65" t="n"/>
      <c r="F497" s="65" t="n"/>
      <c r="G497" s="65" t="n"/>
      <c r="H497" s="65" t="n"/>
      <c r="I497" s="65" t="n"/>
      <c r="J497" s="65" t="n"/>
      <c r="K497" s="65" t="n"/>
      <c r="L497" s="65" t="n"/>
      <c r="M497" s="65" t="n"/>
      <c r="N497" s="65" t="n"/>
      <c r="O497" s="65" t="n"/>
      <c r="P497" s="65" t="n"/>
      <c r="Q497" s="32">
        <f>IF($C497="","",IF($J497="","— חסרים נתונים",IF($J497="טרם מפענח","פרופיל 5",IF($J497="קמץ/פתח/חטף-פתח ושוואים","פרופיל 4",IF($J497="2-3 סימני ניקוד","פרופיל 3",IF($J497="4-5 סימני ניקוד","פרופיל 2",IF(AND($O497="משפטים וקטעים קצרים",OR($M497="מבין",$M497="מבין לרוב")),"פרופיל 1","פרופיל 2")))))))</f>
        <v/>
      </c>
      <c r="R497" s="32">
        <f>IF($C497="","",IF(OR($Q497="",LEFT($Q497,1)="—"),"קבוצה רביעית",IF($Q497="פרופיל 5","קבוצת תשתיות",IF(OR($Q497="פרופיל 4",$Q497="פרופיל 3"),"קבוצת רכישה","קבוצת ביסוס"))))</f>
        <v/>
      </c>
      <c r="S497" s="32">
        <f>IF($F497="","",IF($F497="תחילת שנה",1,IF($F497="מחצית שנה",2,3)))</f>
        <v/>
      </c>
      <c r="T497" s="32">
        <f>IF(OR($B497="",$R497="",$A497="",$F497=""),"",$B497&amp;"|"&amp;$A497&amp;"|"&amp;$F497&amp;"|"&amp;$R497&amp;"|"&amp;COUNTIFS($B$6:$B497,$B497,$A$6:$A497,$A497,$F$6:$F497,$F497,$R$6:$R497,$R497))</f>
        <v/>
      </c>
      <c r="U497" s="32">
        <f>IF($C497="","",$C497&amp;"|"&amp;COUNTIFS($C$6:$C497,$C497))</f>
        <v/>
      </c>
      <c r="V497" s="32">
        <f>IF(OR($C497="",$A497="",$S497=""),"",$C497&amp;"|"&amp;$A497&amp;"|"&amp;$S497)</f>
        <v/>
      </c>
      <c r="W497" s="32">
        <f>IF(OR($C497="",$S497="",$S497=1),"",IFERROR(INDEX($Q$6:$Q$1505,MATCH($C497&amp;"|"&amp;$A497&amp;"|"&amp;($S497-1),$V$6:$V$1505,0)),""))</f>
        <v/>
      </c>
      <c r="X497" s="32">
        <f>IF(OR($W497="",$Q497="",LEFT($Q497,1)="—"),"",IF($W497=$Q497,"ללא שינוי","מ-"&amp;$W497&amp;" ל-"&amp;$Q497))</f>
        <v/>
      </c>
    </row>
    <row r="498" ht="15.75" customHeight="1" s="58">
      <c r="A498" s="65" t="n"/>
      <c r="B498" s="65" t="n"/>
      <c r="C498" s="66" t="n"/>
      <c r="D498" s="66" t="n"/>
      <c r="E498" s="65" t="n"/>
      <c r="F498" s="65" t="n"/>
      <c r="G498" s="65" t="n"/>
      <c r="H498" s="65" t="n"/>
      <c r="I498" s="65" t="n"/>
      <c r="J498" s="65" t="n"/>
      <c r="K498" s="65" t="n"/>
      <c r="L498" s="65" t="n"/>
      <c r="M498" s="65" t="n"/>
      <c r="N498" s="65" t="n"/>
      <c r="O498" s="65" t="n"/>
      <c r="P498" s="65" t="n"/>
      <c r="Q498" s="32">
        <f>IF($C498="","",IF($J498="","— חסרים נתונים",IF($J498="טרם מפענח","פרופיל 5",IF($J498="קמץ/פתח/חטף-פתח ושוואים","פרופיל 4",IF($J498="2-3 סימני ניקוד","פרופיל 3",IF($J498="4-5 סימני ניקוד","פרופיל 2",IF(AND($O498="משפטים וקטעים קצרים",OR($M498="מבין",$M498="מבין לרוב")),"פרופיל 1","פרופיל 2")))))))</f>
        <v/>
      </c>
      <c r="R498" s="32">
        <f>IF($C498="","",IF(OR($Q498="",LEFT($Q498,1)="—"),"קבוצה רביעית",IF($Q498="פרופיל 5","קבוצת תשתיות",IF(OR($Q498="פרופיל 4",$Q498="פרופיל 3"),"קבוצת רכישה","קבוצת ביסוס"))))</f>
        <v/>
      </c>
      <c r="S498" s="32">
        <f>IF($F498="","",IF($F498="תחילת שנה",1,IF($F498="מחצית שנה",2,3)))</f>
        <v/>
      </c>
      <c r="T498" s="32">
        <f>IF(OR($B498="",$R498="",$A498="",$F498=""),"",$B498&amp;"|"&amp;$A498&amp;"|"&amp;$F498&amp;"|"&amp;$R498&amp;"|"&amp;COUNTIFS($B$6:$B498,$B498,$A$6:$A498,$A498,$F$6:$F498,$F498,$R$6:$R498,$R498))</f>
        <v/>
      </c>
      <c r="U498" s="32">
        <f>IF($C498="","",$C498&amp;"|"&amp;COUNTIFS($C$6:$C498,$C498))</f>
        <v/>
      </c>
      <c r="V498" s="32">
        <f>IF(OR($C498="",$A498="",$S498=""),"",$C498&amp;"|"&amp;$A498&amp;"|"&amp;$S498)</f>
        <v/>
      </c>
      <c r="W498" s="32">
        <f>IF(OR($C498="",$S498="",$S498=1),"",IFERROR(INDEX($Q$6:$Q$1505,MATCH($C498&amp;"|"&amp;$A498&amp;"|"&amp;($S498-1),$V$6:$V$1505,0)),""))</f>
        <v/>
      </c>
      <c r="X498" s="32">
        <f>IF(OR($W498="",$Q498="",LEFT($Q498,1)="—"),"",IF($W498=$Q498,"ללא שינוי","מ-"&amp;$W498&amp;" ל-"&amp;$Q498))</f>
        <v/>
      </c>
    </row>
    <row r="499" ht="15.75" customHeight="1" s="58">
      <c r="A499" s="65" t="n"/>
      <c r="B499" s="65" t="n"/>
      <c r="C499" s="66" t="n"/>
      <c r="D499" s="66" t="n"/>
      <c r="E499" s="65" t="n"/>
      <c r="F499" s="65" t="n"/>
      <c r="G499" s="65" t="n"/>
      <c r="H499" s="65" t="n"/>
      <c r="I499" s="65" t="n"/>
      <c r="J499" s="65" t="n"/>
      <c r="K499" s="65" t="n"/>
      <c r="L499" s="65" t="n"/>
      <c r="M499" s="65" t="n"/>
      <c r="N499" s="65" t="n"/>
      <c r="O499" s="65" t="n"/>
      <c r="P499" s="65" t="n"/>
      <c r="Q499" s="32">
        <f>IF($C499="","",IF($J499="","— חסרים נתונים",IF($J499="טרם מפענח","פרופיל 5",IF($J499="קמץ/פתח/חטף-פתח ושוואים","פרופיל 4",IF($J499="2-3 סימני ניקוד","פרופיל 3",IF($J499="4-5 סימני ניקוד","פרופיל 2",IF(AND($O499="משפטים וקטעים קצרים",OR($M499="מבין",$M499="מבין לרוב")),"פרופיל 1","פרופיל 2")))))))</f>
        <v/>
      </c>
      <c r="R499" s="32">
        <f>IF($C499="","",IF(OR($Q499="",LEFT($Q499,1)="—"),"קבוצה רביעית",IF($Q499="פרופיל 5","קבוצת תשתיות",IF(OR($Q499="פרופיל 4",$Q499="פרופיל 3"),"קבוצת רכישה","קבוצת ביסוס"))))</f>
        <v/>
      </c>
      <c r="S499" s="32">
        <f>IF($F499="","",IF($F499="תחילת שנה",1,IF($F499="מחצית שנה",2,3)))</f>
        <v/>
      </c>
      <c r="T499" s="32">
        <f>IF(OR($B499="",$R499="",$A499="",$F499=""),"",$B499&amp;"|"&amp;$A499&amp;"|"&amp;$F499&amp;"|"&amp;$R499&amp;"|"&amp;COUNTIFS($B$6:$B499,$B499,$A$6:$A499,$A499,$F$6:$F499,$F499,$R$6:$R499,$R499))</f>
        <v/>
      </c>
      <c r="U499" s="32">
        <f>IF($C499="","",$C499&amp;"|"&amp;COUNTIFS($C$6:$C499,$C499))</f>
        <v/>
      </c>
      <c r="V499" s="32">
        <f>IF(OR($C499="",$A499="",$S499=""),"",$C499&amp;"|"&amp;$A499&amp;"|"&amp;$S499)</f>
        <v/>
      </c>
      <c r="W499" s="32">
        <f>IF(OR($C499="",$S499="",$S499=1),"",IFERROR(INDEX($Q$6:$Q$1505,MATCH($C499&amp;"|"&amp;$A499&amp;"|"&amp;($S499-1),$V$6:$V$1505,0)),""))</f>
        <v/>
      </c>
      <c r="X499" s="32">
        <f>IF(OR($W499="",$Q499="",LEFT($Q499,1)="—"),"",IF($W499=$Q499,"ללא שינוי","מ-"&amp;$W499&amp;" ל-"&amp;$Q499))</f>
        <v/>
      </c>
    </row>
    <row r="500" ht="15.75" customHeight="1" s="58">
      <c r="A500" s="65" t="n"/>
      <c r="B500" s="65" t="n"/>
      <c r="C500" s="66" t="n"/>
      <c r="D500" s="66" t="n"/>
      <c r="E500" s="65" t="n"/>
      <c r="F500" s="65" t="n"/>
      <c r="G500" s="65" t="n"/>
      <c r="H500" s="65" t="n"/>
      <c r="I500" s="65" t="n"/>
      <c r="J500" s="65" t="n"/>
      <c r="K500" s="65" t="n"/>
      <c r="L500" s="65" t="n"/>
      <c r="M500" s="65" t="n"/>
      <c r="N500" s="65" t="n"/>
      <c r="O500" s="65" t="n"/>
      <c r="P500" s="65" t="n"/>
      <c r="Q500" s="32">
        <f>IF($C500="","",IF($J500="","— חסרים נתונים",IF($J500="טרם מפענח","פרופיל 5",IF($J500="קמץ/פתח/חטף-פתח ושוואים","פרופיל 4",IF($J500="2-3 סימני ניקוד","פרופיל 3",IF($J500="4-5 סימני ניקוד","פרופיל 2",IF(AND($O500="משפטים וקטעים קצרים",OR($M500="מבין",$M500="מבין לרוב")),"פרופיל 1","פרופיל 2")))))))</f>
        <v/>
      </c>
      <c r="R500" s="32">
        <f>IF($C500="","",IF(OR($Q500="",LEFT($Q500,1)="—"),"קבוצה רביעית",IF($Q500="פרופיל 5","קבוצת תשתיות",IF(OR($Q500="פרופיל 4",$Q500="פרופיל 3"),"קבוצת רכישה","קבוצת ביסוס"))))</f>
        <v/>
      </c>
      <c r="S500" s="32">
        <f>IF($F500="","",IF($F500="תחילת שנה",1,IF($F500="מחצית שנה",2,3)))</f>
        <v/>
      </c>
      <c r="T500" s="32">
        <f>IF(OR($B500="",$R500="",$A500="",$F500=""),"",$B500&amp;"|"&amp;$A500&amp;"|"&amp;$F500&amp;"|"&amp;$R500&amp;"|"&amp;COUNTIFS($B$6:$B500,$B500,$A$6:$A500,$A500,$F$6:$F500,$F500,$R$6:$R500,$R500))</f>
        <v/>
      </c>
      <c r="U500" s="32">
        <f>IF($C500="","",$C500&amp;"|"&amp;COUNTIFS($C$6:$C500,$C500))</f>
        <v/>
      </c>
      <c r="V500" s="32">
        <f>IF(OR($C500="",$A500="",$S500=""),"",$C500&amp;"|"&amp;$A500&amp;"|"&amp;$S500)</f>
        <v/>
      </c>
      <c r="W500" s="32">
        <f>IF(OR($C500="",$S500="",$S500=1),"",IFERROR(INDEX($Q$6:$Q$1505,MATCH($C500&amp;"|"&amp;$A500&amp;"|"&amp;($S500-1),$V$6:$V$1505,0)),""))</f>
        <v/>
      </c>
      <c r="X500" s="32">
        <f>IF(OR($W500="",$Q500="",LEFT($Q500,1)="—"),"",IF($W500=$Q500,"ללא שינוי","מ-"&amp;$W500&amp;" ל-"&amp;$Q500))</f>
        <v/>
      </c>
    </row>
    <row r="501" ht="15.75" customHeight="1" s="58">
      <c r="A501" s="65" t="n"/>
      <c r="B501" s="65" t="n"/>
      <c r="C501" s="66" t="n"/>
      <c r="D501" s="66" t="n"/>
      <c r="E501" s="65" t="n"/>
      <c r="F501" s="65" t="n"/>
      <c r="G501" s="65" t="n"/>
      <c r="H501" s="65" t="n"/>
      <c r="I501" s="65" t="n"/>
      <c r="J501" s="65" t="n"/>
      <c r="K501" s="65" t="n"/>
      <c r="L501" s="65" t="n"/>
      <c r="M501" s="65" t="n"/>
      <c r="N501" s="65" t="n"/>
      <c r="O501" s="65" t="n"/>
      <c r="P501" s="65" t="n"/>
      <c r="Q501" s="32">
        <f>IF($C501="","",IF($J501="","— חסרים נתונים",IF($J501="טרם מפענח","פרופיל 5",IF($J501="קמץ/פתח/חטף-פתח ושוואים","פרופיל 4",IF($J501="2-3 סימני ניקוד","פרופיל 3",IF($J501="4-5 סימני ניקוד","פרופיל 2",IF(AND($O501="משפטים וקטעים קצרים",OR($M501="מבין",$M501="מבין לרוב")),"פרופיל 1","פרופיל 2")))))))</f>
        <v/>
      </c>
      <c r="R501" s="32">
        <f>IF($C501="","",IF(OR($Q501="",LEFT($Q501,1)="—"),"קבוצה רביעית",IF($Q501="פרופיל 5","קבוצת תשתיות",IF(OR($Q501="פרופיל 4",$Q501="פרופיל 3"),"קבוצת רכישה","קבוצת ביסוס"))))</f>
        <v/>
      </c>
      <c r="S501" s="32">
        <f>IF($F501="","",IF($F501="תחילת שנה",1,IF($F501="מחצית שנה",2,3)))</f>
        <v/>
      </c>
      <c r="T501" s="32">
        <f>IF(OR($B501="",$R501="",$A501="",$F501=""),"",$B501&amp;"|"&amp;$A501&amp;"|"&amp;$F501&amp;"|"&amp;$R501&amp;"|"&amp;COUNTIFS($B$6:$B501,$B501,$A$6:$A501,$A501,$F$6:$F501,$F501,$R$6:$R501,$R501))</f>
        <v/>
      </c>
      <c r="U501" s="32">
        <f>IF($C501="","",$C501&amp;"|"&amp;COUNTIFS($C$6:$C501,$C501))</f>
        <v/>
      </c>
      <c r="V501" s="32">
        <f>IF(OR($C501="",$A501="",$S501=""),"",$C501&amp;"|"&amp;$A501&amp;"|"&amp;$S501)</f>
        <v/>
      </c>
      <c r="W501" s="32">
        <f>IF(OR($C501="",$S501="",$S501=1),"",IFERROR(INDEX($Q$6:$Q$1505,MATCH($C501&amp;"|"&amp;$A501&amp;"|"&amp;($S501-1),$V$6:$V$1505,0)),""))</f>
        <v/>
      </c>
      <c r="X501" s="32">
        <f>IF(OR($W501="",$Q501="",LEFT($Q501,1)="—"),"",IF($W501=$Q501,"ללא שינוי","מ-"&amp;$W501&amp;" ל-"&amp;$Q501))</f>
        <v/>
      </c>
    </row>
    <row r="502" ht="15.75" customHeight="1" s="58">
      <c r="A502" s="65" t="n"/>
      <c r="B502" s="65" t="n"/>
      <c r="C502" s="66" t="n"/>
      <c r="D502" s="66" t="n"/>
      <c r="E502" s="65" t="n"/>
      <c r="F502" s="65" t="n"/>
      <c r="G502" s="65" t="n"/>
      <c r="H502" s="65" t="n"/>
      <c r="I502" s="65" t="n"/>
      <c r="J502" s="65" t="n"/>
      <c r="K502" s="65" t="n"/>
      <c r="L502" s="65" t="n"/>
      <c r="M502" s="65" t="n"/>
      <c r="N502" s="65" t="n"/>
      <c r="O502" s="65" t="n"/>
      <c r="P502" s="65" t="n"/>
      <c r="Q502" s="32">
        <f>IF($C502="","",IF($J502="","— חסרים נתונים",IF($J502="טרם מפענח","פרופיל 5",IF($J502="קמץ/פתח/חטף-פתח ושוואים","פרופיל 4",IF($J502="2-3 סימני ניקוד","פרופיל 3",IF($J502="4-5 סימני ניקוד","פרופיל 2",IF(AND($O502="משפטים וקטעים קצרים",OR($M502="מבין",$M502="מבין לרוב")),"פרופיל 1","פרופיל 2")))))))</f>
        <v/>
      </c>
      <c r="R502" s="32">
        <f>IF($C502="","",IF(OR($Q502="",LEFT($Q502,1)="—"),"קבוצה רביעית",IF($Q502="פרופיל 5","קבוצת תשתיות",IF(OR($Q502="פרופיל 4",$Q502="פרופיל 3"),"קבוצת רכישה","קבוצת ביסוס"))))</f>
        <v/>
      </c>
      <c r="S502" s="32">
        <f>IF($F502="","",IF($F502="תחילת שנה",1,IF($F502="מחצית שנה",2,3)))</f>
        <v/>
      </c>
      <c r="T502" s="32">
        <f>IF(OR($B502="",$R502="",$A502="",$F502=""),"",$B502&amp;"|"&amp;$A502&amp;"|"&amp;$F502&amp;"|"&amp;$R502&amp;"|"&amp;COUNTIFS($B$6:$B502,$B502,$A$6:$A502,$A502,$F$6:$F502,$F502,$R$6:$R502,$R502))</f>
        <v/>
      </c>
      <c r="U502" s="32">
        <f>IF($C502="","",$C502&amp;"|"&amp;COUNTIFS($C$6:$C502,$C502))</f>
        <v/>
      </c>
      <c r="V502" s="32">
        <f>IF(OR($C502="",$A502="",$S502=""),"",$C502&amp;"|"&amp;$A502&amp;"|"&amp;$S502)</f>
        <v/>
      </c>
      <c r="W502" s="32">
        <f>IF(OR($C502="",$S502="",$S502=1),"",IFERROR(INDEX($Q$6:$Q$1505,MATCH($C502&amp;"|"&amp;$A502&amp;"|"&amp;($S502-1),$V$6:$V$1505,0)),""))</f>
        <v/>
      </c>
      <c r="X502" s="32">
        <f>IF(OR($W502="",$Q502="",LEFT($Q502,1)="—"),"",IF($W502=$Q502,"ללא שינוי","מ-"&amp;$W502&amp;" ל-"&amp;$Q502))</f>
        <v/>
      </c>
    </row>
    <row r="503" ht="15.75" customHeight="1" s="58">
      <c r="A503" s="65" t="n"/>
      <c r="B503" s="65" t="n"/>
      <c r="C503" s="66" t="n"/>
      <c r="D503" s="66" t="n"/>
      <c r="E503" s="65" t="n"/>
      <c r="F503" s="65" t="n"/>
      <c r="G503" s="65" t="n"/>
      <c r="H503" s="65" t="n"/>
      <c r="I503" s="65" t="n"/>
      <c r="J503" s="65" t="n"/>
      <c r="K503" s="65" t="n"/>
      <c r="L503" s="65" t="n"/>
      <c r="M503" s="65" t="n"/>
      <c r="N503" s="65" t="n"/>
      <c r="O503" s="65" t="n"/>
      <c r="P503" s="65" t="n"/>
      <c r="Q503" s="32">
        <f>IF($C503="","",IF($J503="","— חסרים נתונים",IF($J503="טרם מפענח","פרופיל 5",IF($J503="קמץ/פתח/חטף-פתח ושוואים","פרופיל 4",IF($J503="2-3 סימני ניקוד","פרופיל 3",IF($J503="4-5 סימני ניקוד","פרופיל 2",IF(AND($O503="משפטים וקטעים קצרים",OR($M503="מבין",$M503="מבין לרוב")),"פרופיל 1","פרופיל 2")))))))</f>
        <v/>
      </c>
      <c r="R503" s="32">
        <f>IF($C503="","",IF(OR($Q503="",LEFT($Q503,1)="—"),"קבוצה רביעית",IF($Q503="פרופיל 5","קבוצת תשתיות",IF(OR($Q503="פרופיל 4",$Q503="פרופיל 3"),"קבוצת רכישה","קבוצת ביסוס"))))</f>
        <v/>
      </c>
      <c r="S503" s="32">
        <f>IF($F503="","",IF($F503="תחילת שנה",1,IF($F503="מחצית שנה",2,3)))</f>
        <v/>
      </c>
      <c r="T503" s="32">
        <f>IF(OR($B503="",$R503="",$A503="",$F503=""),"",$B503&amp;"|"&amp;$A503&amp;"|"&amp;$F503&amp;"|"&amp;$R503&amp;"|"&amp;COUNTIFS($B$6:$B503,$B503,$A$6:$A503,$A503,$F$6:$F503,$F503,$R$6:$R503,$R503))</f>
        <v/>
      </c>
      <c r="U503" s="32">
        <f>IF($C503="","",$C503&amp;"|"&amp;COUNTIFS($C$6:$C503,$C503))</f>
        <v/>
      </c>
      <c r="V503" s="32">
        <f>IF(OR($C503="",$A503="",$S503=""),"",$C503&amp;"|"&amp;$A503&amp;"|"&amp;$S503)</f>
        <v/>
      </c>
      <c r="W503" s="32">
        <f>IF(OR($C503="",$S503="",$S503=1),"",IFERROR(INDEX($Q$6:$Q$1505,MATCH($C503&amp;"|"&amp;$A503&amp;"|"&amp;($S503-1),$V$6:$V$1505,0)),""))</f>
        <v/>
      </c>
      <c r="X503" s="32">
        <f>IF(OR($W503="",$Q503="",LEFT($Q503,1)="—"),"",IF($W503=$Q503,"ללא שינוי","מ-"&amp;$W503&amp;" ל-"&amp;$Q503))</f>
        <v/>
      </c>
    </row>
    <row r="504" ht="15.75" customHeight="1" s="58">
      <c r="A504" s="65" t="n"/>
      <c r="B504" s="65" t="n"/>
      <c r="C504" s="66" t="n"/>
      <c r="D504" s="66" t="n"/>
      <c r="E504" s="65" t="n"/>
      <c r="F504" s="65" t="n"/>
      <c r="G504" s="65" t="n"/>
      <c r="H504" s="65" t="n"/>
      <c r="I504" s="65" t="n"/>
      <c r="J504" s="65" t="n"/>
      <c r="K504" s="65" t="n"/>
      <c r="L504" s="65" t="n"/>
      <c r="M504" s="65" t="n"/>
      <c r="N504" s="65" t="n"/>
      <c r="O504" s="65" t="n"/>
      <c r="P504" s="65" t="n"/>
      <c r="Q504" s="32">
        <f>IF($C504="","",IF($J504="","— חסרים נתונים",IF($J504="טרם מפענח","פרופיל 5",IF($J504="קמץ/פתח/חטף-פתח ושוואים","פרופיל 4",IF($J504="2-3 סימני ניקוד","פרופיל 3",IF($J504="4-5 סימני ניקוד","פרופיל 2",IF(AND($O504="משפטים וקטעים קצרים",OR($M504="מבין",$M504="מבין לרוב")),"פרופיל 1","פרופיל 2")))))))</f>
        <v/>
      </c>
      <c r="R504" s="32">
        <f>IF($C504="","",IF(OR($Q504="",LEFT($Q504,1)="—"),"קבוצה רביעית",IF($Q504="פרופיל 5","קבוצת תשתיות",IF(OR($Q504="פרופיל 4",$Q504="פרופיל 3"),"קבוצת רכישה","קבוצת ביסוס"))))</f>
        <v/>
      </c>
      <c r="S504" s="32">
        <f>IF($F504="","",IF($F504="תחילת שנה",1,IF($F504="מחצית שנה",2,3)))</f>
        <v/>
      </c>
      <c r="T504" s="32">
        <f>IF(OR($B504="",$R504="",$A504="",$F504=""),"",$B504&amp;"|"&amp;$A504&amp;"|"&amp;$F504&amp;"|"&amp;$R504&amp;"|"&amp;COUNTIFS($B$6:$B504,$B504,$A$6:$A504,$A504,$F$6:$F504,$F504,$R$6:$R504,$R504))</f>
        <v/>
      </c>
      <c r="U504" s="32">
        <f>IF($C504="","",$C504&amp;"|"&amp;COUNTIFS($C$6:$C504,$C504))</f>
        <v/>
      </c>
      <c r="V504" s="32">
        <f>IF(OR($C504="",$A504="",$S504=""),"",$C504&amp;"|"&amp;$A504&amp;"|"&amp;$S504)</f>
        <v/>
      </c>
      <c r="W504" s="32">
        <f>IF(OR($C504="",$S504="",$S504=1),"",IFERROR(INDEX($Q$6:$Q$1505,MATCH($C504&amp;"|"&amp;$A504&amp;"|"&amp;($S504-1),$V$6:$V$1505,0)),""))</f>
        <v/>
      </c>
      <c r="X504" s="32">
        <f>IF(OR($W504="",$Q504="",LEFT($Q504,1)="—"),"",IF($W504=$Q504,"ללא שינוי","מ-"&amp;$W504&amp;" ל-"&amp;$Q504))</f>
        <v/>
      </c>
    </row>
    <row r="505" ht="15.75" customHeight="1" s="58">
      <c r="A505" s="65" t="n"/>
      <c r="B505" s="65" t="n"/>
      <c r="C505" s="66" t="n"/>
      <c r="D505" s="66" t="n"/>
      <c r="E505" s="65" t="n"/>
      <c r="F505" s="65" t="n"/>
      <c r="G505" s="65" t="n"/>
      <c r="H505" s="65" t="n"/>
      <c r="I505" s="65" t="n"/>
      <c r="J505" s="65" t="n"/>
      <c r="K505" s="65" t="n"/>
      <c r="L505" s="65" t="n"/>
      <c r="M505" s="65" t="n"/>
      <c r="N505" s="65" t="n"/>
      <c r="O505" s="65" t="n"/>
      <c r="P505" s="65" t="n"/>
      <c r="Q505" s="32">
        <f>IF($C505="","",IF($J505="","— חסרים נתונים",IF($J505="טרם מפענח","פרופיל 5",IF($J505="קמץ/פתח/חטף-פתח ושוואים","פרופיל 4",IF($J505="2-3 סימני ניקוד","פרופיל 3",IF($J505="4-5 סימני ניקוד","פרופיל 2",IF(AND($O505="משפטים וקטעים קצרים",OR($M505="מבין",$M505="מבין לרוב")),"פרופיל 1","פרופיל 2")))))))</f>
        <v/>
      </c>
      <c r="R505" s="32">
        <f>IF($C505="","",IF(OR($Q505="",LEFT($Q505,1)="—"),"קבוצה רביעית",IF($Q505="פרופיל 5","קבוצת תשתיות",IF(OR($Q505="פרופיל 4",$Q505="פרופיל 3"),"קבוצת רכישה","קבוצת ביסוס"))))</f>
        <v/>
      </c>
      <c r="S505" s="32">
        <f>IF($F505="","",IF($F505="תחילת שנה",1,IF($F505="מחצית שנה",2,3)))</f>
        <v/>
      </c>
      <c r="T505" s="32">
        <f>IF(OR($B505="",$R505="",$A505="",$F505=""),"",$B505&amp;"|"&amp;$A505&amp;"|"&amp;$F505&amp;"|"&amp;$R505&amp;"|"&amp;COUNTIFS($B$6:$B505,$B505,$A$6:$A505,$A505,$F$6:$F505,$F505,$R$6:$R505,$R505))</f>
        <v/>
      </c>
      <c r="U505" s="32">
        <f>IF($C505="","",$C505&amp;"|"&amp;COUNTIFS($C$6:$C505,$C505))</f>
        <v/>
      </c>
      <c r="V505" s="32">
        <f>IF(OR($C505="",$A505="",$S505=""),"",$C505&amp;"|"&amp;$A505&amp;"|"&amp;$S505)</f>
        <v/>
      </c>
      <c r="W505" s="32">
        <f>IF(OR($C505="",$S505="",$S505=1),"",IFERROR(INDEX($Q$6:$Q$1505,MATCH($C505&amp;"|"&amp;$A505&amp;"|"&amp;($S505-1),$V$6:$V$1505,0)),""))</f>
        <v/>
      </c>
      <c r="X505" s="32">
        <f>IF(OR($W505="",$Q505="",LEFT($Q505,1)="—"),"",IF($W505=$Q505,"ללא שינוי","מ-"&amp;$W505&amp;" ל-"&amp;$Q505))</f>
        <v/>
      </c>
    </row>
    <row r="506" ht="15.75" customHeight="1" s="58">
      <c r="A506" s="65" t="n"/>
      <c r="B506" s="65" t="n"/>
      <c r="C506" s="66" t="n"/>
      <c r="D506" s="66" t="n"/>
      <c r="E506" s="65" t="n"/>
      <c r="F506" s="65" t="n"/>
      <c r="G506" s="65" t="n"/>
      <c r="H506" s="65" t="n"/>
      <c r="I506" s="65" t="n"/>
      <c r="J506" s="65" t="n"/>
      <c r="K506" s="65" t="n"/>
      <c r="L506" s="65" t="n"/>
      <c r="M506" s="65" t="n"/>
      <c r="N506" s="65" t="n"/>
      <c r="O506" s="65" t="n"/>
      <c r="P506" s="65" t="n"/>
      <c r="Q506" s="32">
        <f>IF($C506="","",IF($J506="","— חסרים נתונים",IF($J506="טרם מפענח","פרופיל 5",IF($J506="קמץ/פתח/חטף-פתח ושוואים","פרופיל 4",IF($J506="2-3 סימני ניקוד","פרופיל 3",IF($J506="4-5 סימני ניקוד","פרופיל 2",IF(AND($O506="משפטים וקטעים קצרים",OR($M506="מבין",$M506="מבין לרוב")),"פרופיל 1","פרופיל 2")))))))</f>
        <v/>
      </c>
      <c r="R506" s="32">
        <f>IF($C506="","",IF(OR($Q506="",LEFT($Q506,1)="—"),"קבוצה רביעית",IF($Q506="פרופיל 5","קבוצת תשתיות",IF(OR($Q506="פרופיל 4",$Q506="פרופיל 3"),"קבוצת רכישה","קבוצת ביסוס"))))</f>
        <v/>
      </c>
      <c r="S506" s="32">
        <f>IF($F506="","",IF($F506="תחילת שנה",1,IF($F506="מחצית שנה",2,3)))</f>
        <v/>
      </c>
      <c r="T506" s="32">
        <f>IF(OR($B506="",$R506="",$A506="",$F506=""),"",$B506&amp;"|"&amp;$A506&amp;"|"&amp;$F506&amp;"|"&amp;$R506&amp;"|"&amp;COUNTIFS($B$6:$B506,$B506,$A$6:$A506,$A506,$F$6:$F506,$F506,$R$6:$R506,$R506))</f>
        <v/>
      </c>
      <c r="U506" s="32">
        <f>IF($C506="","",$C506&amp;"|"&amp;COUNTIFS($C$6:$C506,$C506))</f>
        <v/>
      </c>
      <c r="V506" s="32">
        <f>IF(OR($C506="",$A506="",$S506=""),"",$C506&amp;"|"&amp;$A506&amp;"|"&amp;$S506)</f>
        <v/>
      </c>
      <c r="W506" s="32">
        <f>IF(OR($C506="",$S506="",$S506=1),"",IFERROR(INDEX($Q$6:$Q$1505,MATCH($C506&amp;"|"&amp;$A506&amp;"|"&amp;($S506-1),$V$6:$V$1505,0)),""))</f>
        <v/>
      </c>
      <c r="X506" s="32">
        <f>IF(OR($W506="",$Q506="",LEFT($Q506,1)="—"),"",IF($W506=$Q506,"ללא שינוי","מ-"&amp;$W506&amp;" ל-"&amp;$Q506))</f>
        <v/>
      </c>
    </row>
    <row r="507" ht="15.75" customHeight="1" s="58">
      <c r="A507" s="65" t="n"/>
      <c r="B507" s="65" t="n"/>
      <c r="C507" s="66" t="n"/>
      <c r="D507" s="66" t="n"/>
      <c r="E507" s="65" t="n"/>
      <c r="F507" s="65" t="n"/>
      <c r="G507" s="65" t="n"/>
      <c r="H507" s="65" t="n"/>
      <c r="I507" s="65" t="n"/>
      <c r="J507" s="65" t="n"/>
      <c r="K507" s="65" t="n"/>
      <c r="L507" s="65" t="n"/>
      <c r="M507" s="65" t="n"/>
      <c r="N507" s="65" t="n"/>
      <c r="O507" s="65" t="n"/>
      <c r="P507" s="65" t="n"/>
      <c r="Q507" s="32">
        <f>IF($C507="","",IF($J507="","— חסרים נתונים",IF($J507="טרם מפענח","פרופיל 5",IF($J507="קמץ/פתח/חטף-פתח ושוואים","פרופיל 4",IF($J507="2-3 סימני ניקוד","פרופיל 3",IF($J507="4-5 סימני ניקוד","פרופיל 2",IF(AND($O507="משפטים וקטעים קצרים",OR($M507="מבין",$M507="מבין לרוב")),"פרופיל 1","פרופיל 2")))))))</f>
        <v/>
      </c>
      <c r="R507" s="32">
        <f>IF($C507="","",IF(OR($Q507="",LEFT($Q507,1)="—"),"קבוצה רביעית",IF($Q507="פרופיל 5","קבוצת תשתיות",IF(OR($Q507="פרופיל 4",$Q507="פרופיל 3"),"קבוצת רכישה","קבוצת ביסוס"))))</f>
        <v/>
      </c>
      <c r="S507" s="32">
        <f>IF($F507="","",IF($F507="תחילת שנה",1,IF($F507="מחצית שנה",2,3)))</f>
        <v/>
      </c>
      <c r="T507" s="32">
        <f>IF(OR($B507="",$R507="",$A507="",$F507=""),"",$B507&amp;"|"&amp;$A507&amp;"|"&amp;$F507&amp;"|"&amp;$R507&amp;"|"&amp;COUNTIFS($B$6:$B507,$B507,$A$6:$A507,$A507,$F$6:$F507,$F507,$R$6:$R507,$R507))</f>
        <v/>
      </c>
      <c r="U507" s="32">
        <f>IF($C507="","",$C507&amp;"|"&amp;COUNTIFS($C$6:$C507,$C507))</f>
        <v/>
      </c>
      <c r="V507" s="32">
        <f>IF(OR($C507="",$A507="",$S507=""),"",$C507&amp;"|"&amp;$A507&amp;"|"&amp;$S507)</f>
        <v/>
      </c>
      <c r="W507" s="32">
        <f>IF(OR($C507="",$S507="",$S507=1),"",IFERROR(INDEX($Q$6:$Q$1505,MATCH($C507&amp;"|"&amp;$A507&amp;"|"&amp;($S507-1),$V$6:$V$1505,0)),""))</f>
        <v/>
      </c>
      <c r="X507" s="32">
        <f>IF(OR($W507="",$Q507="",LEFT($Q507,1)="—"),"",IF($W507=$Q507,"ללא שינוי","מ-"&amp;$W507&amp;" ל-"&amp;$Q507))</f>
        <v/>
      </c>
    </row>
    <row r="508" ht="15.75" customHeight="1" s="58">
      <c r="A508" s="65" t="n"/>
      <c r="B508" s="65" t="n"/>
      <c r="C508" s="66" t="n"/>
      <c r="D508" s="66" t="n"/>
      <c r="E508" s="65" t="n"/>
      <c r="F508" s="65" t="n"/>
      <c r="G508" s="65" t="n"/>
      <c r="H508" s="65" t="n"/>
      <c r="I508" s="65" t="n"/>
      <c r="J508" s="65" t="n"/>
      <c r="K508" s="65" t="n"/>
      <c r="L508" s="65" t="n"/>
      <c r="M508" s="65" t="n"/>
      <c r="N508" s="65" t="n"/>
      <c r="O508" s="65" t="n"/>
      <c r="P508" s="65" t="n"/>
      <c r="Q508" s="32">
        <f>IF($C508="","",IF($J508="","— חסרים נתונים",IF($J508="טרם מפענח","פרופיל 5",IF($J508="קמץ/פתח/חטף-פתח ושוואים","פרופיל 4",IF($J508="2-3 סימני ניקוד","פרופיל 3",IF($J508="4-5 סימני ניקוד","פרופיל 2",IF(AND($O508="משפטים וקטעים קצרים",OR($M508="מבין",$M508="מבין לרוב")),"פרופיל 1","פרופיל 2")))))))</f>
        <v/>
      </c>
      <c r="R508" s="32">
        <f>IF($C508="","",IF(OR($Q508="",LEFT($Q508,1)="—"),"קבוצה רביעית",IF($Q508="פרופיל 5","קבוצת תשתיות",IF(OR($Q508="פרופיל 4",$Q508="פרופיל 3"),"קבוצת רכישה","קבוצת ביסוס"))))</f>
        <v/>
      </c>
      <c r="S508" s="32">
        <f>IF($F508="","",IF($F508="תחילת שנה",1,IF($F508="מחצית שנה",2,3)))</f>
        <v/>
      </c>
      <c r="T508" s="32">
        <f>IF(OR($B508="",$R508="",$A508="",$F508=""),"",$B508&amp;"|"&amp;$A508&amp;"|"&amp;$F508&amp;"|"&amp;$R508&amp;"|"&amp;COUNTIFS($B$6:$B508,$B508,$A$6:$A508,$A508,$F$6:$F508,$F508,$R$6:$R508,$R508))</f>
        <v/>
      </c>
      <c r="U508" s="32">
        <f>IF($C508="","",$C508&amp;"|"&amp;COUNTIFS($C$6:$C508,$C508))</f>
        <v/>
      </c>
      <c r="V508" s="32">
        <f>IF(OR($C508="",$A508="",$S508=""),"",$C508&amp;"|"&amp;$A508&amp;"|"&amp;$S508)</f>
        <v/>
      </c>
      <c r="W508" s="32">
        <f>IF(OR($C508="",$S508="",$S508=1),"",IFERROR(INDEX($Q$6:$Q$1505,MATCH($C508&amp;"|"&amp;$A508&amp;"|"&amp;($S508-1),$V$6:$V$1505,0)),""))</f>
        <v/>
      </c>
      <c r="X508" s="32">
        <f>IF(OR($W508="",$Q508="",LEFT($Q508,1)="—"),"",IF($W508=$Q508,"ללא שינוי","מ-"&amp;$W508&amp;" ל-"&amp;$Q508))</f>
        <v/>
      </c>
    </row>
    <row r="509" ht="15.75" customHeight="1" s="58">
      <c r="A509" s="65" t="n"/>
      <c r="B509" s="65" t="n"/>
      <c r="C509" s="66" t="n"/>
      <c r="D509" s="66" t="n"/>
      <c r="E509" s="65" t="n"/>
      <c r="F509" s="65" t="n"/>
      <c r="G509" s="65" t="n"/>
      <c r="H509" s="65" t="n"/>
      <c r="I509" s="65" t="n"/>
      <c r="J509" s="65" t="n"/>
      <c r="K509" s="65" t="n"/>
      <c r="L509" s="65" t="n"/>
      <c r="M509" s="65" t="n"/>
      <c r="N509" s="65" t="n"/>
      <c r="O509" s="65" t="n"/>
      <c r="P509" s="65" t="n"/>
      <c r="Q509" s="32">
        <f>IF($C509="","",IF($J509="","— חסרים נתונים",IF($J509="טרם מפענח","פרופיל 5",IF($J509="קמץ/פתח/חטף-פתח ושוואים","פרופיל 4",IF($J509="2-3 סימני ניקוד","פרופיל 3",IF($J509="4-5 סימני ניקוד","פרופיל 2",IF(AND($O509="משפטים וקטעים קצרים",OR($M509="מבין",$M509="מבין לרוב")),"פרופיל 1","פרופיל 2")))))))</f>
        <v/>
      </c>
      <c r="R509" s="32">
        <f>IF($C509="","",IF(OR($Q509="",LEFT($Q509,1)="—"),"קבוצה רביעית",IF($Q509="פרופיל 5","קבוצת תשתיות",IF(OR($Q509="פרופיל 4",$Q509="פרופיל 3"),"קבוצת רכישה","קבוצת ביסוס"))))</f>
        <v/>
      </c>
      <c r="S509" s="32">
        <f>IF($F509="","",IF($F509="תחילת שנה",1,IF($F509="מחצית שנה",2,3)))</f>
        <v/>
      </c>
      <c r="T509" s="32">
        <f>IF(OR($B509="",$R509="",$A509="",$F509=""),"",$B509&amp;"|"&amp;$A509&amp;"|"&amp;$F509&amp;"|"&amp;$R509&amp;"|"&amp;COUNTIFS($B$6:$B509,$B509,$A$6:$A509,$A509,$F$6:$F509,$F509,$R$6:$R509,$R509))</f>
        <v/>
      </c>
      <c r="U509" s="32">
        <f>IF($C509="","",$C509&amp;"|"&amp;COUNTIFS($C$6:$C509,$C509))</f>
        <v/>
      </c>
      <c r="V509" s="32">
        <f>IF(OR($C509="",$A509="",$S509=""),"",$C509&amp;"|"&amp;$A509&amp;"|"&amp;$S509)</f>
        <v/>
      </c>
      <c r="W509" s="32">
        <f>IF(OR($C509="",$S509="",$S509=1),"",IFERROR(INDEX($Q$6:$Q$1505,MATCH($C509&amp;"|"&amp;$A509&amp;"|"&amp;($S509-1),$V$6:$V$1505,0)),""))</f>
        <v/>
      </c>
      <c r="X509" s="32">
        <f>IF(OR($W509="",$Q509="",LEFT($Q509,1)="—"),"",IF($W509=$Q509,"ללא שינוי","מ-"&amp;$W509&amp;" ל-"&amp;$Q509))</f>
        <v/>
      </c>
    </row>
    <row r="510" ht="15.75" customHeight="1" s="58">
      <c r="A510" s="65" t="n"/>
      <c r="B510" s="65" t="n"/>
      <c r="C510" s="66" t="n"/>
      <c r="D510" s="66" t="n"/>
      <c r="E510" s="65" t="n"/>
      <c r="F510" s="65" t="n"/>
      <c r="G510" s="65" t="n"/>
      <c r="H510" s="65" t="n"/>
      <c r="I510" s="65" t="n"/>
      <c r="J510" s="65" t="n"/>
      <c r="K510" s="65" t="n"/>
      <c r="L510" s="65" t="n"/>
      <c r="M510" s="65" t="n"/>
      <c r="N510" s="65" t="n"/>
      <c r="O510" s="65" t="n"/>
      <c r="P510" s="65" t="n"/>
      <c r="Q510" s="32">
        <f>IF($C510="","",IF($J510="","— חסרים נתונים",IF($J510="טרם מפענח","פרופיל 5",IF($J510="קמץ/פתח/חטף-פתח ושוואים","פרופיל 4",IF($J510="2-3 סימני ניקוד","פרופיל 3",IF($J510="4-5 סימני ניקוד","פרופיל 2",IF(AND($O510="משפטים וקטעים קצרים",OR($M510="מבין",$M510="מבין לרוב")),"פרופיל 1","פרופיל 2")))))))</f>
        <v/>
      </c>
      <c r="R510" s="32">
        <f>IF($C510="","",IF(OR($Q510="",LEFT($Q510,1)="—"),"קבוצה רביעית",IF($Q510="פרופיל 5","קבוצת תשתיות",IF(OR($Q510="פרופיל 4",$Q510="פרופיל 3"),"קבוצת רכישה","קבוצת ביסוס"))))</f>
        <v/>
      </c>
      <c r="S510" s="32">
        <f>IF($F510="","",IF($F510="תחילת שנה",1,IF($F510="מחצית שנה",2,3)))</f>
        <v/>
      </c>
      <c r="T510" s="32">
        <f>IF(OR($B510="",$R510="",$A510="",$F510=""),"",$B510&amp;"|"&amp;$A510&amp;"|"&amp;$F510&amp;"|"&amp;$R510&amp;"|"&amp;COUNTIFS($B$6:$B510,$B510,$A$6:$A510,$A510,$F$6:$F510,$F510,$R$6:$R510,$R510))</f>
        <v/>
      </c>
      <c r="U510" s="32">
        <f>IF($C510="","",$C510&amp;"|"&amp;COUNTIFS($C$6:$C510,$C510))</f>
        <v/>
      </c>
      <c r="V510" s="32">
        <f>IF(OR($C510="",$A510="",$S510=""),"",$C510&amp;"|"&amp;$A510&amp;"|"&amp;$S510)</f>
        <v/>
      </c>
      <c r="W510" s="32">
        <f>IF(OR($C510="",$S510="",$S510=1),"",IFERROR(INDEX($Q$6:$Q$1505,MATCH($C510&amp;"|"&amp;$A510&amp;"|"&amp;($S510-1),$V$6:$V$1505,0)),""))</f>
        <v/>
      </c>
      <c r="X510" s="32">
        <f>IF(OR($W510="",$Q510="",LEFT($Q510,1)="—"),"",IF($W510=$Q510,"ללא שינוי","מ-"&amp;$W510&amp;" ל-"&amp;$Q510))</f>
        <v/>
      </c>
    </row>
    <row r="511" ht="15.75" customHeight="1" s="58">
      <c r="A511" s="65" t="n"/>
      <c r="B511" s="65" t="n"/>
      <c r="C511" s="66" t="n"/>
      <c r="D511" s="66" t="n"/>
      <c r="E511" s="65" t="n"/>
      <c r="F511" s="65" t="n"/>
      <c r="G511" s="65" t="n"/>
      <c r="H511" s="65" t="n"/>
      <c r="I511" s="65" t="n"/>
      <c r="J511" s="65" t="n"/>
      <c r="K511" s="65" t="n"/>
      <c r="L511" s="65" t="n"/>
      <c r="M511" s="65" t="n"/>
      <c r="N511" s="65" t="n"/>
      <c r="O511" s="65" t="n"/>
      <c r="P511" s="65" t="n"/>
      <c r="Q511" s="32">
        <f>IF($C511="","",IF($J511="","— חסרים נתונים",IF($J511="טרם מפענח","פרופיל 5",IF($J511="קמץ/פתח/חטף-פתח ושוואים","פרופיל 4",IF($J511="2-3 סימני ניקוד","פרופיל 3",IF($J511="4-5 סימני ניקוד","פרופיל 2",IF(AND($O511="משפטים וקטעים קצרים",OR($M511="מבין",$M511="מבין לרוב")),"פרופיל 1","פרופיל 2")))))))</f>
        <v/>
      </c>
      <c r="R511" s="32">
        <f>IF($C511="","",IF(OR($Q511="",LEFT($Q511,1)="—"),"קבוצה רביעית",IF($Q511="פרופיל 5","קבוצת תשתיות",IF(OR($Q511="פרופיל 4",$Q511="פרופיל 3"),"קבוצת רכישה","קבוצת ביסוס"))))</f>
        <v/>
      </c>
      <c r="S511" s="32">
        <f>IF($F511="","",IF($F511="תחילת שנה",1,IF($F511="מחצית שנה",2,3)))</f>
        <v/>
      </c>
      <c r="T511" s="32">
        <f>IF(OR($B511="",$R511="",$A511="",$F511=""),"",$B511&amp;"|"&amp;$A511&amp;"|"&amp;$F511&amp;"|"&amp;$R511&amp;"|"&amp;COUNTIFS($B$6:$B511,$B511,$A$6:$A511,$A511,$F$6:$F511,$F511,$R$6:$R511,$R511))</f>
        <v/>
      </c>
      <c r="U511" s="32">
        <f>IF($C511="","",$C511&amp;"|"&amp;COUNTIFS($C$6:$C511,$C511))</f>
        <v/>
      </c>
      <c r="V511" s="32">
        <f>IF(OR($C511="",$A511="",$S511=""),"",$C511&amp;"|"&amp;$A511&amp;"|"&amp;$S511)</f>
        <v/>
      </c>
      <c r="W511" s="32">
        <f>IF(OR($C511="",$S511="",$S511=1),"",IFERROR(INDEX($Q$6:$Q$1505,MATCH($C511&amp;"|"&amp;$A511&amp;"|"&amp;($S511-1),$V$6:$V$1505,0)),""))</f>
        <v/>
      </c>
      <c r="X511" s="32">
        <f>IF(OR($W511="",$Q511="",LEFT($Q511,1)="—"),"",IF($W511=$Q511,"ללא שינוי","מ-"&amp;$W511&amp;" ל-"&amp;$Q511))</f>
        <v/>
      </c>
    </row>
    <row r="512" ht="15.75" customHeight="1" s="58">
      <c r="A512" s="65" t="n"/>
      <c r="B512" s="65" t="n"/>
      <c r="C512" s="66" t="n"/>
      <c r="D512" s="66" t="n"/>
      <c r="E512" s="65" t="n"/>
      <c r="F512" s="65" t="n"/>
      <c r="G512" s="65" t="n"/>
      <c r="H512" s="65" t="n"/>
      <c r="I512" s="65" t="n"/>
      <c r="J512" s="65" t="n"/>
      <c r="K512" s="65" t="n"/>
      <c r="L512" s="65" t="n"/>
      <c r="M512" s="65" t="n"/>
      <c r="N512" s="65" t="n"/>
      <c r="O512" s="65" t="n"/>
      <c r="P512" s="65" t="n"/>
      <c r="Q512" s="32">
        <f>IF($C512="","",IF($J512="","— חסרים נתונים",IF($J512="טרם מפענח","פרופיל 5",IF($J512="קמץ/פתח/חטף-פתח ושוואים","פרופיל 4",IF($J512="2-3 סימני ניקוד","פרופיל 3",IF($J512="4-5 סימני ניקוד","פרופיל 2",IF(AND($O512="משפטים וקטעים קצרים",OR($M512="מבין",$M512="מבין לרוב")),"פרופיל 1","פרופיל 2")))))))</f>
        <v/>
      </c>
      <c r="R512" s="32">
        <f>IF($C512="","",IF(OR($Q512="",LEFT($Q512,1)="—"),"קבוצה רביעית",IF($Q512="פרופיל 5","קבוצת תשתיות",IF(OR($Q512="פרופיל 4",$Q512="פרופיל 3"),"קבוצת רכישה","קבוצת ביסוס"))))</f>
        <v/>
      </c>
      <c r="S512" s="32">
        <f>IF($F512="","",IF($F512="תחילת שנה",1,IF($F512="מחצית שנה",2,3)))</f>
        <v/>
      </c>
      <c r="T512" s="32">
        <f>IF(OR($B512="",$R512="",$A512="",$F512=""),"",$B512&amp;"|"&amp;$A512&amp;"|"&amp;$F512&amp;"|"&amp;$R512&amp;"|"&amp;COUNTIFS($B$6:$B512,$B512,$A$6:$A512,$A512,$F$6:$F512,$F512,$R$6:$R512,$R512))</f>
        <v/>
      </c>
      <c r="U512" s="32">
        <f>IF($C512="","",$C512&amp;"|"&amp;COUNTIFS($C$6:$C512,$C512))</f>
        <v/>
      </c>
      <c r="V512" s="32">
        <f>IF(OR($C512="",$A512="",$S512=""),"",$C512&amp;"|"&amp;$A512&amp;"|"&amp;$S512)</f>
        <v/>
      </c>
      <c r="W512" s="32">
        <f>IF(OR($C512="",$S512="",$S512=1),"",IFERROR(INDEX($Q$6:$Q$1505,MATCH($C512&amp;"|"&amp;$A512&amp;"|"&amp;($S512-1),$V$6:$V$1505,0)),""))</f>
        <v/>
      </c>
      <c r="X512" s="32">
        <f>IF(OR($W512="",$Q512="",LEFT($Q512,1)="—"),"",IF($W512=$Q512,"ללא שינוי","מ-"&amp;$W512&amp;" ל-"&amp;$Q512))</f>
        <v/>
      </c>
    </row>
    <row r="513" ht="15.75" customHeight="1" s="58">
      <c r="A513" s="65" t="n"/>
      <c r="B513" s="65" t="n"/>
      <c r="C513" s="66" t="n"/>
      <c r="D513" s="66" t="n"/>
      <c r="E513" s="65" t="n"/>
      <c r="F513" s="65" t="n"/>
      <c r="G513" s="65" t="n"/>
      <c r="H513" s="65" t="n"/>
      <c r="I513" s="65" t="n"/>
      <c r="J513" s="65" t="n"/>
      <c r="K513" s="65" t="n"/>
      <c r="L513" s="65" t="n"/>
      <c r="M513" s="65" t="n"/>
      <c r="N513" s="65" t="n"/>
      <c r="O513" s="65" t="n"/>
      <c r="P513" s="65" t="n"/>
      <c r="Q513" s="32">
        <f>IF($C513="","",IF($J513="","— חסרים נתונים",IF($J513="טרם מפענח","פרופיל 5",IF($J513="קמץ/פתח/חטף-פתח ושוואים","פרופיל 4",IF($J513="2-3 סימני ניקוד","פרופיל 3",IF($J513="4-5 סימני ניקוד","פרופיל 2",IF(AND($O513="משפטים וקטעים קצרים",OR($M513="מבין",$M513="מבין לרוב")),"פרופיל 1","פרופיל 2")))))))</f>
        <v/>
      </c>
      <c r="R513" s="32">
        <f>IF($C513="","",IF(OR($Q513="",LEFT($Q513,1)="—"),"קבוצה רביעית",IF($Q513="פרופיל 5","קבוצת תשתיות",IF(OR($Q513="פרופיל 4",$Q513="פרופיל 3"),"קבוצת רכישה","קבוצת ביסוס"))))</f>
        <v/>
      </c>
      <c r="S513" s="32">
        <f>IF($F513="","",IF($F513="תחילת שנה",1,IF($F513="מחצית שנה",2,3)))</f>
        <v/>
      </c>
      <c r="T513" s="32">
        <f>IF(OR($B513="",$R513="",$A513="",$F513=""),"",$B513&amp;"|"&amp;$A513&amp;"|"&amp;$F513&amp;"|"&amp;$R513&amp;"|"&amp;COUNTIFS($B$6:$B513,$B513,$A$6:$A513,$A513,$F$6:$F513,$F513,$R$6:$R513,$R513))</f>
        <v/>
      </c>
      <c r="U513" s="32">
        <f>IF($C513="","",$C513&amp;"|"&amp;COUNTIFS($C$6:$C513,$C513))</f>
        <v/>
      </c>
      <c r="V513" s="32">
        <f>IF(OR($C513="",$A513="",$S513=""),"",$C513&amp;"|"&amp;$A513&amp;"|"&amp;$S513)</f>
        <v/>
      </c>
      <c r="W513" s="32">
        <f>IF(OR($C513="",$S513="",$S513=1),"",IFERROR(INDEX($Q$6:$Q$1505,MATCH($C513&amp;"|"&amp;$A513&amp;"|"&amp;($S513-1),$V$6:$V$1505,0)),""))</f>
        <v/>
      </c>
      <c r="X513" s="32">
        <f>IF(OR($W513="",$Q513="",LEFT($Q513,1)="—"),"",IF($W513=$Q513,"ללא שינוי","מ-"&amp;$W513&amp;" ל-"&amp;$Q513))</f>
        <v/>
      </c>
    </row>
    <row r="514" ht="15.75" customHeight="1" s="58">
      <c r="A514" s="65" t="n"/>
      <c r="B514" s="65" t="n"/>
      <c r="C514" s="66" t="n"/>
      <c r="D514" s="66" t="n"/>
      <c r="E514" s="65" t="n"/>
      <c r="F514" s="65" t="n"/>
      <c r="G514" s="65" t="n"/>
      <c r="H514" s="65" t="n"/>
      <c r="I514" s="65" t="n"/>
      <c r="J514" s="65" t="n"/>
      <c r="K514" s="65" t="n"/>
      <c r="L514" s="65" t="n"/>
      <c r="M514" s="65" t="n"/>
      <c r="N514" s="65" t="n"/>
      <c r="O514" s="65" t="n"/>
      <c r="P514" s="65" t="n"/>
      <c r="Q514" s="32">
        <f>IF($C514="","",IF($J514="","— חסרים נתונים",IF($J514="טרם מפענח","פרופיל 5",IF($J514="קמץ/פתח/חטף-פתח ושוואים","פרופיל 4",IF($J514="2-3 סימני ניקוד","פרופיל 3",IF($J514="4-5 סימני ניקוד","פרופיל 2",IF(AND($O514="משפטים וקטעים קצרים",OR($M514="מבין",$M514="מבין לרוב")),"פרופיל 1","פרופיל 2")))))))</f>
        <v/>
      </c>
      <c r="R514" s="32">
        <f>IF($C514="","",IF(OR($Q514="",LEFT($Q514,1)="—"),"קבוצה רביעית",IF($Q514="פרופיל 5","קבוצת תשתיות",IF(OR($Q514="פרופיל 4",$Q514="פרופיל 3"),"קבוצת רכישה","קבוצת ביסוס"))))</f>
        <v/>
      </c>
      <c r="S514" s="32">
        <f>IF($F514="","",IF($F514="תחילת שנה",1,IF($F514="מחצית שנה",2,3)))</f>
        <v/>
      </c>
      <c r="T514" s="32">
        <f>IF(OR($B514="",$R514="",$A514="",$F514=""),"",$B514&amp;"|"&amp;$A514&amp;"|"&amp;$F514&amp;"|"&amp;$R514&amp;"|"&amp;COUNTIFS($B$6:$B514,$B514,$A$6:$A514,$A514,$F$6:$F514,$F514,$R$6:$R514,$R514))</f>
        <v/>
      </c>
      <c r="U514" s="32">
        <f>IF($C514="","",$C514&amp;"|"&amp;COUNTIFS($C$6:$C514,$C514))</f>
        <v/>
      </c>
      <c r="V514" s="32">
        <f>IF(OR($C514="",$A514="",$S514=""),"",$C514&amp;"|"&amp;$A514&amp;"|"&amp;$S514)</f>
        <v/>
      </c>
      <c r="W514" s="32">
        <f>IF(OR($C514="",$S514="",$S514=1),"",IFERROR(INDEX($Q$6:$Q$1505,MATCH($C514&amp;"|"&amp;$A514&amp;"|"&amp;($S514-1),$V$6:$V$1505,0)),""))</f>
        <v/>
      </c>
      <c r="X514" s="32">
        <f>IF(OR($W514="",$Q514="",LEFT($Q514,1)="—"),"",IF($W514=$Q514,"ללא שינוי","מ-"&amp;$W514&amp;" ל-"&amp;$Q514))</f>
        <v/>
      </c>
    </row>
    <row r="515" ht="15.75" customHeight="1" s="58">
      <c r="A515" s="65" t="n"/>
      <c r="B515" s="65" t="n"/>
      <c r="C515" s="66" t="n"/>
      <c r="D515" s="66" t="n"/>
      <c r="E515" s="65" t="n"/>
      <c r="F515" s="65" t="n"/>
      <c r="G515" s="65" t="n"/>
      <c r="H515" s="65" t="n"/>
      <c r="I515" s="65" t="n"/>
      <c r="J515" s="65" t="n"/>
      <c r="K515" s="65" t="n"/>
      <c r="L515" s="65" t="n"/>
      <c r="M515" s="65" t="n"/>
      <c r="N515" s="65" t="n"/>
      <c r="O515" s="65" t="n"/>
      <c r="P515" s="65" t="n"/>
      <c r="Q515" s="32">
        <f>IF($C515="","",IF($J515="","— חסרים נתונים",IF($J515="טרם מפענח","פרופיל 5",IF($J515="קמץ/פתח/חטף-פתח ושוואים","פרופיל 4",IF($J515="2-3 סימני ניקוד","פרופיל 3",IF($J515="4-5 סימני ניקוד","פרופיל 2",IF(AND($O515="משפטים וקטעים קצרים",OR($M515="מבין",$M515="מבין לרוב")),"פרופיל 1","פרופיל 2")))))))</f>
        <v/>
      </c>
      <c r="R515" s="32">
        <f>IF($C515="","",IF(OR($Q515="",LEFT($Q515,1)="—"),"קבוצה רביעית",IF($Q515="פרופיל 5","קבוצת תשתיות",IF(OR($Q515="פרופיל 4",$Q515="פרופיל 3"),"קבוצת רכישה","קבוצת ביסוס"))))</f>
        <v/>
      </c>
      <c r="S515" s="32">
        <f>IF($F515="","",IF($F515="תחילת שנה",1,IF($F515="מחצית שנה",2,3)))</f>
        <v/>
      </c>
      <c r="T515" s="32">
        <f>IF(OR($B515="",$R515="",$A515="",$F515=""),"",$B515&amp;"|"&amp;$A515&amp;"|"&amp;$F515&amp;"|"&amp;$R515&amp;"|"&amp;COUNTIFS($B$6:$B515,$B515,$A$6:$A515,$A515,$F$6:$F515,$F515,$R$6:$R515,$R515))</f>
        <v/>
      </c>
      <c r="U515" s="32">
        <f>IF($C515="","",$C515&amp;"|"&amp;COUNTIFS($C$6:$C515,$C515))</f>
        <v/>
      </c>
      <c r="V515" s="32">
        <f>IF(OR($C515="",$A515="",$S515=""),"",$C515&amp;"|"&amp;$A515&amp;"|"&amp;$S515)</f>
        <v/>
      </c>
      <c r="W515" s="32">
        <f>IF(OR($C515="",$S515="",$S515=1),"",IFERROR(INDEX($Q$6:$Q$1505,MATCH($C515&amp;"|"&amp;$A515&amp;"|"&amp;($S515-1),$V$6:$V$1505,0)),""))</f>
        <v/>
      </c>
      <c r="X515" s="32">
        <f>IF(OR($W515="",$Q515="",LEFT($Q515,1)="—"),"",IF($W515=$Q515,"ללא שינוי","מ-"&amp;$W515&amp;" ל-"&amp;$Q515))</f>
        <v/>
      </c>
    </row>
    <row r="516" ht="15.75" customHeight="1" s="58">
      <c r="A516" s="65" t="n"/>
      <c r="B516" s="65" t="n"/>
      <c r="C516" s="66" t="n"/>
      <c r="D516" s="66" t="n"/>
      <c r="E516" s="65" t="n"/>
      <c r="F516" s="65" t="n"/>
      <c r="G516" s="65" t="n"/>
      <c r="H516" s="65" t="n"/>
      <c r="I516" s="65" t="n"/>
      <c r="J516" s="65" t="n"/>
      <c r="K516" s="65" t="n"/>
      <c r="L516" s="65" t="n"/>
      <c r="M516" s="65" t="n"/>
      <c r="N516" s="65" t="n"/>
      <c r="O516" s="65" t="n"/>
      <c r="P516" s="65" t="n"/>
      <c r="Q516" s="32">
        <f>IF($C516="","",IF($J516="","— חסרים נתונים",IF($J516="טרם מפענח","פרופיל 5",IF($J516="קמץ/פתח/חטף-פתח ושוואים","פרופיל 4",IF($J516="2-3 סימני ניקוד","פרופיל 3",IF($J516="4-5 סימני ניקוד","פרופיל 2",IF(AND($O516="משפטים וקטעים קצרים",OR($M516="מבין",$M516="מבין לרוב")),"פרופיל 1","פרופיל 2")))))))</f>
        <v/>
      </c>
      <c r="R516" s="32">
        <f>IF($C516="","",IF(OR($Q516="",LEFT($Q516,1)="—"),"קבוצה רביעית",IF($Q516="פרופיל 5","קבוצת תשתיות",IF(OR($Q516="פרופיל 4",$Q516="פרופיל 3"),"קבוצת רכישה","קבוצת ביסוס"))))</f>
        <v/>
      </c>
      <c r="S516" s="32">
        <f>IF($F516="","",IF($F516="תחילת שנה",1,IF($F516="מחצית שנה",2,3)))</f>
        <v/>
      </c>
      <c r="T516" s="32">
        <f>IF(OR($B516="",$R516="",$A516="",$F516=""),"",$B516&amp;"|"&amp;$A516&amp;"|"&amp;$F516&amp;"|"&amp;$R516&amp;"|"&amp;COUNTIFS($B$6:$B516,$B516,$A$6:$A516,$A516,$F$6:$F516,$F516,$R$6:$R516,$R516))</f>
        <v/>
      </c>
      <c r="U516" s="32">
        <f>IF($C516="","",$C516&amp;"|"&amp;COUNTIFS($C$6:$C516,$C516))</f>
        <v/>
      </c>
      <c r="V516" s="32">
        <f>IF(OR($C516="",$A516="",$S516=""),"",$C516&amp;"|"&amp;$A516&amp;"|"&amp;$S516)</f>
        <v/>
      </c>
      <c r="W516" s="32">
        <f>IF(OR($C516="",$S516="",$S516=1),"",IFERROR(INDEX($Q$6:$Q$1505,MATCH($C516&amp;"|"&amp;$A516&amp;"|"&amp;($S516-1),$V$6:$V$1505,0)),""))</f>
        <v/>
      </c>
      <c r="X516" s="32">
        <f>IF(OR($W516="",$Q516="",LEFT($Q516,1)="—"),"",IF($W516=$Q516,"ללא שינוי","מ-"&amp;$W516&amp;" ל-"&amp;$Q516))</f>
        <v/>
      </c>
    </row>
    <row r="517" ht="15.75" customHeight="1" s="58">
      <c r="A517" s="65" t="n"/>
      <c r="B517" s="65" t="n"/>
      <c r="C517" s="66" t="n"/>
      <c r="D517" s="66" t="n"/>
      <c r="E517" s="65" t="n"/>
      <c r="F517" s="65" t="n"/>
      <c r="G517" s="65" t="n"/>
      <c r="H517" s="65" t="n"/>
      <c r="I517" s="65" t="n"/>
      <c r="J517" s="65" t="n"/>
      <c r="K517" s="65" t="n"/>
      <c r="L517" s="65" t="n"/>
      <c r="M517" s="65" t="n"/>
      <c r="N517" s="65" t="n"/>
      <c r="O517" s="65" t="n"/>
      <c r="P517" s="65" t="n"/>
      <c r="Q517" s="32">
        <f>IF($C517="","",IF($J517="","— חסרים נתונים",IF($J517="טרם מפענח","פרופיל 5",IF($J517="קמץ/פתח/חטף-פתח ושוואים","פרופיל 4",IF($J517="2-3 סימני ניקוד","פרופיל 3",IF($J517="4-5 סימני ניקוד","פרופיל 2",IF(AND($O517="משפטים וקטעים קצרים",OR($M517="מבין",$M517="מבין לרוב")),"פרופיל 1","פרופיל 2")))))))</f>
        <v/>
      </c>
      <c r="R517" s="32">
        <f>IF($C517="","",IF(OR($Q517="",LEFT($Q517,1)="—"),"קבוצה רביעית",IF($Q517="פרופיל 5","קבוצת תשתיות",IF(OR($Q517="פרופיל 4",$Q517="פרופיל 3"),"קבוצת רכישה","קבוצת ביסוס"))))</f>
        <v/>
      </c>
      <c r="S517" s="32">
        <f>IF($F517="","",IF($F517="תחילת שנה",1,IF($F517="מחצית שנה",2,3)))</f>
        <v/>
      </c>
      <c r="T517" s="32">
        <f>IF(OR($B517="",$R517="",$A517="",$F517=""),"",$B517&amp;"|"&amp;$A517&amp;"|"&amp;$F517&amp;"|"&amp;$R517&amp;"|"&amp;COUNTIFS($B$6:$B517,$B517,$A$6:$A517,$A517,$F$6:$F517,$F517,$R$6:$R517,$R517))</f>
        <v/>
      </c>
      <c r="U517" s="32">
        <f>IF($C517="","",$C517&amp;"|"&amp;COUNTIFS($C$6:$C517,$C517))</f>
        <v/>
      </c>
      <c r="V517" s="32">
        <f>IF(OR($C517="",$A517="",$S517=""),"",$C517&amp;"|"&amp;$A517&amp;"|"&amp;$S517)</f>
        <v/>
      </c>
      <c r="W517" s="32">
        <f>IF(OR($C517="",$S517="",$S517=1),"",IFERROR(INDEX($Q$6:$Q$1505,MATCH($C517&amp;"|"&amp;$A517&amp;"|"&amp;($S517-1),$V$6:$V$1505,0)),""))</f>
        <v/>
      </c>
      <c r="X517" s="32">
        <f>IF(OR($W517="",$Q517="",LEFT($Q517,1)="—"),"",IF($W517=$Q517,"ללא שינוי","מ-"&amp;$W517&amp;" ל-"&amp;$Q517))</f>
        <v/>
      </c>
    </row>
    <row r="518" ht="15.75" customHeight="1" s="58">
      <c r="A518" s="65" t="n"/>
      <c r="B518" s="65" t="n"/>
      <c r="C518" s="66" t="n"/>
      <c r="D518" s="66" t="n"/>
      <c r="E518" s="65" t="n"/>
      <c r="F518" s="65" t="n"/>
      <c r="G518" s="65" t="n"/>
      <c r="H518" s="65" t="n"/>
      <c r="I518" s="65" t="n"/>
      <c r="J518" s="65" t="n"/>
      <c r="K518" s="65" t="n"/>
      <c r="L518" s="65" t="n"/>
      <c r="M518" s="65" t="n"/>
      <c r="N518" s="65" t="n"/>
      <c r="O518" s="65" t="n"/>
      <c r="P518" s="65" t="n"/>
      <c r="Q518" s="32">
        <f>IF($C518="","",IF($J518="","— חסרים נתונים",IF($J518="טרם מפענח","פרופיל 5",IF($J518="קמץ/פתח/חטף-פתח ושוואים","פרופיל 4",IF($J518="2-3 סימני ניקוד","פרופיל 3",IF($J518="4-5 סימני ניקוד","פרופיל 2",IF(AND($O518="משפטים וקטעים קצרים",OR($M518="מבין",$M518="מבין לרוב")),"פרופיל 1","פרופיל 2")))))))</f>
        <v/>
      </c>
      <c r="R518" s="32">
        <f>IF($C518="","",IF(OR($Q518="",LEFT($Q518,1)="—"),"קבוצה רביעית",IF($Q518="פרופיל 5","קבוצת תשתיות",IF(OR($Q518="פרופיל 4",$Q518="פרופיל 3"),"קבוצת רכישה","קבוצת ביסוס"))))</f>
        <v/>
      </c>
      <c r="S518" s="32">
        <f>IF($F518="","",IF($F518="תחילת שנה",1,IF($F518="מחצית שנה",2,3)))</f>
        <v/>
      </c>
      <c r="T518" s="32">
        <f>IF(OR($B518="",$R518="",$A518="",$F518=""),"",$B518&amp;"|"&amp;$A518&amp;"|"&amp;$F518&amp;"|"&amp;$R518&amp;"|"&amp;COUNTIFS($B$6:$B518,$B518,$A$6:$A518,$A518,$F$6:$F518,$F518,$R$6:$R518,$R518))</f>
        <v/>
      </c>
      <c r="U518" s="32">
        <f>IF($C518="","",$C518&amp;"|"&amp;COUNTIFS($C$6:$C518,$C518))</f>
        <v/>
      </c>
      <c r="V518" s="32">
        <f>IF(OR($C518="",$A518="",$S518=""),"",$C518&amp;"|"&amp;$A518&amp;"|"&amp;$S518)</f>
        <v/>
      </c>
      <c r="W518" s="32">
        <f>IF(OR($C518="",$S518="",$S518=1),"",IFERROR(INDEX($Q$6:$Q$1505,MATCH($C518&amp;"|"&amp;$A518&amp;"|"&amp;($S518-1),$V$6:$V$1505,0)),""))</f>
        <v/>
      </c>
      <c r="X518" s="32">
        <f>IF(OR($W518="",$Q518="",LEFT($Q518,1)="—"),"",IF($W518=$Q518,"ללא שינוי","מ-"&amp;$W518&amp;" ל-"&amp;$Q518))</f>
        <v/>
      </c>
    </row>
    <row r="519" ht="15.75" customHeight="1" s="58">
      <c r="A519" s="65" t="n"/>
      <c r="B519" s="65" t="n"/>
      <c r="C519" s="66" t="n"/>
      <c r="D519" s="66" t="n"/>
      <c r="E519" s="65" t="n"/>
      <c r="F519" s="65" t="n"/>
      <c r="G519" s="65" t="n"/>
      <c r="H519" s="65" t="n"/>
      <c r="I519" s="65" t="n"/>
      <c r="J519" s="65" t="n"/>
      <c r="K519" s="65" t="n"/>
      <c r="L519" s="65" t="n"/>
      <c r="M519" s="65" t="n"/>
      <c r="N519" s="65" t="n"/>
      <c r="O519" s="65" t="n"/>
      <c r="P519" s="65" t="n"/>
      <c r="Q519" s="32">
        <f>IF($C519="","",IF($J519="","— חסרים נתונים",IF($J519="טרם מפענח","פרופיל 5",IF($J519="קמץ/פתח/חטף-פתח ושוואים","פרופיל 4",IF($J519="2-3 סימני ניקוד","פרופיל 3",IF($J519="4-5 סימני ניקוד","פרופיל 2",IF(AND($O519="משפטים וקטעים קצרים",OR($M519="מבין",$M519="מבין לרוב")),"פרופיל 1","פרופיל 2")))))))</f>
        <v/>
      </c>
      <c r="R519" s="32">
        <f>IF($C519="","",IF(OR($Q519="",LEFT($Q519,1)="—"),"קבוצה רביעית",IF($Q519="פרופיל 5","קבוצת תשתיות",IF(OR($Q519="פרופיל 4",$Q519="פרופיל 3"),"קבוצת רכישה","קבוצת ביסוס"))))</f>
        <v/>
      </c>
      <c r="S519" s="32">
        <f>IF($F519="","",IF($F519="תחילת שנה",1,IF($F519="מחצית שנה",2,3)))</f>
        <v/>
      </c>
      <c r="T519" s="32">
        <f>IF(OR($B519="",$R519="",$A519="",$F519=""),"",$B519&amp;"|"&amp;$A519&amp;"|"&amp;$F519&amp;"|"&amp;$R519&amp;"|"&amp;COUNTIFS($B$6:$B519,$B519,$A$6:$A519,$A519,$F$6:$F519,$F519,$R$6:$R519,$R519))</f>
        <v/>
      </c>
      <c r="U519" s="32">
        <f>IF($C519="","",$C519&amp;"|"&amp;COUNTIFS($C$6:$C519,$C519))</f>
        <v/>
      </c>
      <c r="V519" s="32">
        <f>IF(OR($C519="",$A519="",$S519=""),"",$C519&amp;"|"&amp;$A519&amp;"|"&amp;$S519)</f>
        <v/>
      </c>
      <c r="W519" s="32">
        <f>IF(OR($C519="",$S519="",$S519=1),"",IFERROR(INDEX($Q$6:$Q$1505,MATCH($C519&amp;"|"&amp;$A519&amp;"|"&amp;($S519-1),$V$6:$V$1505,0)),""))</f>
        <v/>
      </c>
      <c r="X519" s="32">
        <f>IF(OR($W519="",$Q519="",LEFT($Q519,1)="—"),"",IF($W519=$Q519,"ללא שינוי","מ-"&amp;$W519&amp;" ל-"&amp;$Q519))</f>
        <v/>
      </c>
    </row>
    <row r="520" ht="15.75" customHeight="1" s="58">
      <c r="A520" s="65" t="n"/>
      <c r="B520" s="65" t="n"/>
      <c r="C520" s="66" t="n"/>
      <c r="D520" s="66" t="n"/>
      <c r="E520" s="65" t="n"/>
      <c r="F520" s="65" t="n"/>
      <c r="G520" s="65" t="n"/>
      <c r="H520" s="65" t="n"/>
      <c r="I520" s="65" t="n"/>
      <c r="J520" s="65" t="n"/>
      <c r="K520" s="65" t="n"/>
      <c r="L520" s="65" t="n"/>
      <c r="M520" s="65" t="n"/>
      <c r="N520" s="65" t="n"/>
      <c r="O520" s="65" t="n"/>
      <c r="P520" s="65" t="n"/>
      <c r="Q520" s="32">
        <f>IF($C520="","",IF($J520="","— חסרים נתונים",IF($J520="טרם מפענח","פרופיל 5",IF($J520="קמץ/פתח/חטף-פתח ושוואים","פרופיל 4",IF($J520="2-3 סימני ניקוד","פרופיל 3",IF($J520="4-5 סימני ניקוד","פרופיל 2",IF(AND($O520="משפטים וקטעים קצרים",OR($M520="מבין",$M520="מבין לרוב")),"פרופיל 1","פרופיל 2")))))))</f>
        <v/>
      </c>
      <c r="R520" s="32">
        <f>IF($C520="","",IF(OR($Q520="",LEFT($Q520,1)="—"),"קבוצה רביעית",IF($Q520="פרופיל 5","קבוצת תשתיות",IF(OR($Q520="פרופיל 4",$Q520="פרופיל 3"),"קבוצת רכישה","קבוצת ביסוס"))))</f>
        <v/>
      </c>
      <c r="S520" s="32">
        <f>IF($F520="","",IF($F520="תחילת שנה",1,IF($F520="מחצית שנה",2,3)))</f>
        <v/>
      </c>
      <c r="T520" s="32">
        <f>IF(OR($B520="",$R520="",$A520="",$F520=""),"",$B520&amp;"|"&amp;$A520&amp;"|"&amp;$F520&amp;"|"&amp;$R520&amp;"|"&amp;COUNTIFS($B$6:$B520,$B520,$A$6:$A520,$A520,$F$6:$F520,$F520,$R$6:$R520,$R520))</f>
        <v/>
      </c>
      <c r="U520" s="32">
        <f>IF($C520="","",$C520&amp;"|"&amp;COUNTIFS($C$6:$C520,$C520))</f>
        <v/>
      </c>
      <c r="V520" s="32">
        <f>IF(OR($C520="",$A520="",$S520=""),"",$C520&amp;"|"&amp;$A520&amp;"|"&amp;$S520)</f>
        <v/>
      </c>
      <c r="W520" s="32">
        <f>IF(OR($C520="",$S520="",$S520=1),"",IFERROR(INDEX($Q$6:$Q$1505,MATCH($C520&amp;"|"&amp;$A520&amp;"|"&amp;($S520-1),$V$6:$V$1505,0)),""))</f>
        <v/>
      </c>
      <c r="X520" s="32">
        <f>IF(OR($W520="",$Q520="",LEFT($Q520,1)="—"),"",IF($W520=$Q520,"ללא שינוי","מ-"&amp;$W520&amp;" ל-"&amp;$Q520))</f>
        <v/>
      </c>
    </row>
    <row r="521" ht="15.75" customHeight="1" s="58">
      <c r="A521" s="65" t="n"/>
      <c r="B521" s="65" t="n"/>
      <c r="C521" s="66" t="n"/>
      <c r="D521" s="66" t="n"/>
      <c r="E521" s="65" t="n"/>
      <c r="F521" s="65" t="n"/>
      <c r="G521" s="65" t="n"/>
      <c r="H521" s="65" t="n"/>
      <c r="I521" s="65" t="n"/>
      <c r="J521" s="65" t="n"/>
      <c r="K521" s="65" t="n"/>
      <c r="L521" s="65" t="n"/>
      <c r="M521" s="65" t="n"/>
      <c r="N521" s="65" t="n"/>
      <c r="O521" s="65" t="n"/>
      <c r="P521" s="65" t="n"/>
      <c r="Q521" s="32">
        <f>IF($C521="","",IF($J521="","— חסרים נתונים",IF($J521="טרם מפענח","פרופיל 5",IF($J521="קמץ/פתח/חטף-פתח ושוואים","פרופיל 4",IF($J521="2-3 סימני ניקוד","פרופיל 3",IF($J521="4-5 סימני ניקוד","פרופיל 2",IF(AND($O521="משפטים וקטעים קצרים",OR($M521="מבין",$M521="מבין לרוב")),"פרופיל 1","פרופיל 2")))))))</f>
        <v/>
      </c>
      <c r="R521" s="32">
        <f>IF($C521="","",IF(OR($Q521="",LEFT($Q521,1)="—"),"קבוצה רביעית",IF($Q521="פרופיל 5","קבוצת תשתיות",IF(OR($Q521="פרופיל 4",$Q521="פרופיל 3"),"קבוצת רכישה","קבוצת ביסוס"))))</f>
        <v/>
      </c>
      <c r="S521" s="32">
        <f>IF($F521="","",IF($F521="תחילת שנה",1,IF($F521="מחצית שנה",2,3)))</f>
        <v/>
      </c>
      <c r="T521" s="32">
        <f>IF(OR($B521="",$R521="",$A521="",$F521=""),"",$B521&amp;"|"&amp;$A521&amp;"|"&amp;$F521&amp;"|"&amp;$R521&amp;"|"&amp;COUNTIFS($B$6:$B521,$B521,$A$6:$A521,$A521,$F$6:$F521,$F521,$R$6:$R521,$R521))</f>
        <v/>
      </c>
      <c r="U521" s="32">
        <f>IF($C521="","",$C521&amp;"|"&amp;COUNTIFS($C$6:$C521,$C521))</f>
        <v/>
      </c>
      <c r="V521" s="32">
        <f>IF(OR($C521="",$A521="",$S521=""),"",$C521&amp;"|"&amp;$A521&amp;"|"&amp;$S521)</f>
        <v/>
      </c>
      <c r="W521" s="32">
        <f>IF(OR($C521="",$S521="",$S521=1),"",IFERROR(INDEX($Q$6:$Q$1505,MATCH($C521&amp;"|"&amp;$A521&amp;"|"&amp;($S521-1),$V$6:$V$1505,0)),""))</f>
        <v/>
      </c>
      <c r="X521" s="32">
        <f>IF(OR($W521="",$Q521="",LEFT($Q521,1)="—"),"",IF($W521=$Q521,"ללא שינוי","מ-"&amp;$W521&amp;" ל-"&amp;$Q521))</f>
        <v/>
      </c>
    </row>
    <row r="522" ht="15.75" customHeight="1" s="58">
      <c r="A522" s="65" t="n"/>
      <c r="B522" s="65" t="n"/>
      <c r="C522" s="66" t="n"/>
      <c r="D522" s="66" t="n"/>
      <c r="E522" s="65" t="n"/>
      <c r="F522" s="65" t="n"/>
      <c r="G522" s="65" t="n"/>
      <c r="H522" s="65" t="n"/>
      <c r="I522" s="65" t="n"/>
      <c r="J522" s="65" t="n"/>
      <c r="K522" s="65" t="n"/>
      <c r="L522" s="65" t="n"/>
      <c r="M522" s="65" t="n"/>
      <c r="N522" s="65" t="n"/>
      <c r="O522" s="65" t="n"/>
      <c r="P522" s="65" t="n"/>
      <c r="Q522" s="32">
        <f>IF($C522="","",IF($J522="","— חסרים נתונים",IF($J522="טרם מפענח","פרופיל 5",IF($J522="קמץ/פתח/חטף-פתח ושוואים","פרופיל 4",IF($J522="2-3 סימני ניקוד","פרופיל 3",IF($J522="4-5 סימני ניקוד","פרופיל 2",IF(AND($O522="משפטים וקטעים קצרים",OR($M522="מבין",$M522="מבין לרוב")),"פרופיל 1","פרופיל 2")))))))</f>
        <v/>
      </c>
      <c r="R522" s="32">
        <f>IF($C522="","",IF(OR($Q522="",LEFT($Q522,1)="—"),"קבוצה רביעית",IF($Q522="פרופיל 5","קבוצת תשתיות",IF(OR($Q522="פרופיל 4",$Q522="פרופיל 3"),"קבוצת רכישה","קבוצת ביסוס"))))</f>
        <v/>
      </c>
      <c r="S522" s="32">
        <f>IF($F522="","",IF($F522="תחילת שנה",1,IF($F522="מחצית שנה",2,3)))</f>
        <v/>
      </c>
      <c r="T522" s="32">
        <f>IF(OR($B522="",$R522="",$A522="",$F522=""),"",$B522&amp;"|"&amp;$A522&amp;"|"&amp;$F522&amp;"|"&amp;$R522&amp;"|"&amp;COUNTIFS($B$6:$B522,$B522,$A$6:$A522,$A522,$F$6:$F522,$F522,$R$6:$R522,$R522))</f>
        <v/>
      </c>
      <c r="U522" s="32">
        <f>IF($C522="","",$C522&amp;"|"&amp;COUNTIFS($C$6:$C522,$C522))</f>
        <v/>
      </c>
      <c r="V522" s="32">
        <f>IF(OR($C522="",$A522="",$S522=""),"",$C522&amp;"|"&amp;$A522&amp;"|"&amp;$S522)</f>
        <v/>
      </c>
      <c r="W522" s="32">
        <f>IF(OR($C522="",$S522="",$S522=1),"",IFERROR(INDEX($Q$6:$Q$1505,MATCH($C522&amp;"|"&amp;$A522&amp;"|"&amp;($S522-1),$V$6:$V$1505,0)),""))</f>
        <v/>
      </c>
      <c r="X522" s="32">
        <f>IF(OR($W522="",$Q522="",LEFT($Q522,1)="—"),"",IF($W522=$Q522,"ללא שינוי","מ-"&amp;$W522&amp;" ל-"&amp;$Q522))</f>
        <v/>
      </c>
    </row>
    <row r="523" ht="15.75" customHeight="1" s="58">
      <c r="A523" s="65" t="n"/>
      <c r="B523" s="65" t="n"/>
      <c r="C523" s="66" t="n"/>
      <c r="D523" s="66" t="n"/>
      <c r="E523" s="65" t="n"/>
      <c r="F523" s="65" t="n"/>
      <c r="G523" s="65" t="n"/>
      <c r="H523" s="65" t="n"/>
      <c r="I523" s="65" t="n"/>
      <c r="J523" s="65" t="n"/>
      <c r="K523" s="65" t="n"/>
      <c r="L523" s="65" t="n"/>
      <c r="M523" s="65" t="n"/>
      <c r="N523" s="65" t="n"/>
      <c r="O523" s="65" t="n"/>
      <c r="P523" s="65" t="n"/>
      <c r="Q523" s="32">
        <f>IF($C523="","",IF($J523="","— חסרים נתונים",IF($J523="טרם מפענח","פרופיל 5",IF($J523="קמץ/פתח/חטף-פתח ושוואים","פרופיל 4",IF($J523="2-3 סימני ניקוד","פרופיל 3",IF($J523="4-5 סימני ניקוד","פרופיל 2",IF(AND($O523="משפטים וקטעים קצרים",OR($M523="מבין",$M523="מבין לרוב")),"פרופיל 1","פרופיל 2")))))))</f>
        <v/>
      </c>
      <c r="R523" s="32">
        <f>IF($C523="","",IF(OR($Q523="",LEFT($Q523,1)="—"),"קבוצה רביעית",IF($Q523="פרופיל 5","קבוצת תשתיות",IF(OR($Q523="פרופיל 4",$Q523="פרופיל 3"),"קבוצת רכישה","קבוצת ביסוס"))))</f>
        <v/>
      </c>
      <c r="S523" s="32">
        <f>IF($F523="","",IF($F523="תחילת שנה",1,IF($F523="מחצית שנה",2,3)))</f>
        <v/>
      </c>
      <c r="T523" s="32">
        <f>IF(OR($B523="",$R523="",$A523="",$F523=""),"",$B523&amp;"|"&amp;$A523&amp;"|"&amp;$F523&amp;"|"&amp;$R523&amp;"|"&amp;COUNTIFS($B$6:$B523,$B523,$A$6:$A523,$A523,$F$6:$F523,$F523,$R$6:$R523,$R523))</f>
        <v/>
      </c>
      <c r="U523" s="32">
        <f>IF($C523="","",$C523&amp;"|"&amp;COUNTIFS($C$6:$C523,$C523))</f>
        <v/>
      </c>
      <c r="V523" s="32">
        <f>IF(OR($C523="",$A523="",$S523=""),"",$C523&amp;"|"&amp;$A523&amp;"|"&amp;$S523)</f>
        <v/>
      </c>
      <c r="W523" s="32">
        <f>IF(OR($C523="",$S523="",$S523=1),"",IFERROR(INDEX($Q$6:$Q$1505,MATCH($C523&amp;"|"&amp;$A523&amp;"|"&amp;($S523-1),$V$6:$V$1505,0)),""))</f>
        <v/>
      </c>
      <c r="X523" s="32">
        <f>IF(OR($W523="",$Q523="",LEFT($Q523,1)="—"),"",IF($W523=$Q523,"ללא שינוי","מ-"&amp;$W523&amp;" ל-"&amp;$Q523))</f>
        <v/>
      </c>
    </row>
    <row r="524" ht="15.75" customHeight="1" s="58">
      <c r="A524" s="65" t="n"/>
      <c r="B524" s="65" t="n"/>
      <c r="C524" s="66" t="n"/>
      <c r="D524" s="66" t="n"/>
      <c r="E524" s="65" t="n"/>
      <c r="F524" s="65" t="n"/>
      <c r="G524" s="65" t="n"/>
      <c r="H524" s="65" t="n"/>
      <c r="I524" s="65" t="n"/>
      <c r="J524" s="65" t="n"/>
      <c r="K524" s="65" t="n"/>
      <c r="L524" s="65" t="n"/>
      <c r="M524" s="65" t="n"/>
      <c r="N524" s="65" t="n"/>
      <c r="O524" s="65" t="n"/>
      <c r="P524" s="65" t="n"/>
      <c r="Q524" s="32">
        <f>IF($C524="","",IF($J524="","— חסרים נתונים",IF($J524="טרם מפענח","פרופיל 5",IF($J524="קמץ/פתח/חטף-פתח ושוואים","פרופיל 4",IF($J524="2-3 סימני ניקוד","פרופיל 3",IF($J524="4-5 סימני ניקוד","פרופיל 2",IF(AND($O524="משפטים וקטעים קצרים",OR($M524="מבין",$M524="מבין לרוב")),"פרופיל 1","פרופיל 2")))))))</f>
        <v/>
      </c>
      <c r="R524" s="32">
        <f>IF($C524="","",IF(OR($Q524="",LEFT($Q524,1)="—"),"קבוצה רביעית",IF($Q524="פרופיל 5","קבוצת תשתיות",IF(OR($Q524="פרופיל 4",$Q524="פרופיל 3"),"קבוצת רכישה","קבוצת ביסוס"))))</f>
        <v/>
      </c>
      <c r="S524" s="32">
        <f>IF($F524="","",IF($F524="תחילת שנה",1,IF($F524="מחצית שנה",2,3)))</f>
        <v/>
      </c>
      <c r="T524" s="32">
        <f>IF(OR($B524="",$R524="",$A524="",$F524=""),"",$B524&amp;"|"&amp;$A524&amp;"|"&amp;$F524&amp;"|"&amp;$R524&amp;"|"&amp;COUNTIFS($B$6:$B524,$B524,$A$6:$A524,$A524,$F$6:$F524,$F524,$R$6:$R524,$R524))</f>
        <v/>
      </c>
      <c r="U524" s="32">
        <f>IF($C524="","",$C524&amp;"|"&amp;COUNTIFS($C$6:$C524,$C524))</f>
        <v/>
      </c>
      <c r="V524" s="32">
        <f>IF(OR($C524="",$A524="",$S524=""),"",$C524&amp;"|"&amp;$A524&amp;"|"&amp;$S524)</f>
        <v/>
      </c>
      <c r="W524" s="32">
        <f>IF(OR($C524="",$S524="",$S524=1),"",IFERROR(INDEX($Q$6:$Q$1505,MATCH($C524&amp;"|"&amp;$A524&amp;"|"&amp;($S524-1),$V$6:$V$1505,0)),""))</f>
        <v/>
      </c>
      <c r="X524" s="32">
        <f>IF(OR($W524="",$Q524="",LEFT($Q524,1)="—"),"",IF($W524=$Q524,"ללא שינוי","מ-"&amp;$W524&amp;" ל-"&amp;$Q524))</f>
        <v/>
      </c>
    </row>
    <row r="525" ht="15.75" customHeight="1" s="58">
      <c r="A525" s="65" t="n"/>
      <c r="B525" s="65" t="n"/>
      <c r="C525" s="66" t="n"/>
      <c r="D525" s="66" t="n"/>
      <c r="E525" s="65" t="n"/>
      <c r="F525" s="65" t="n"/>
      <c r="G525" s="65" t="n"/>
      <c r="H525" s="65" t="n"/>
      <c r="I525" s="65" t="n"/>
      <c r="J525" s="65" t="n"/>
      <c r="K525" s="65" t="n"/>
      <c r="L525" s="65" t="n"/>
      <c r="M525" s="65" t="n"/>
      <c r="N525" s="65" t="n"/>
      <c r="O525" s="65" t="n"/>
      <c r="P525" s="65" t="n"/>
      <c r="Q525" s="32">
        <f>IF($C525="","",IF($J525="","— חסרים נתונים",IF($J525="טרם מפענח","פרופיל 5",IF($J525="קמץ/פתח/חטף-פתח ושוואים","פרופיל 4",IF($J525="2-3 סימני ניקוד","פרופיל 3",IF($J525="4-5 סימני ניקוד","פרופיל 2",IF(AND($O525="משפטים וקטעים קצרים",OR($M525="מבין",$M525="מבין לרוב")),"פרופיל 1","פרופיל 2")))))))</f>
        <v/>
      </c>
      <c r="R525" s="32">
        <f>IF($C525="","",IF(OR($Q525="",LEFT($Q525,1)="—"),"קבוצה רביעית",IF($Q525="פרופיל 5","קבוצת תשתיות",IF(OR($Q525="פרופיל 4",$Q525="פרופיל 3"),"קבוצת רכישה","קבוצת ביסוס"))))</f>
        <v/>
      </c>
      <c r="S525" s="32">
        <f>IF($F525="","",IF($F525="תחילת שנה",1,IF($F525="מחצית שנה",2,3)))</f>
        <v/>
      </c>
      <c r="T525" s="32">
        <f>IF(OR($B525="",$R525="",$A525="",$F525=""),"",$B525&amp;"|"&amp;$A525&amp;"|"&amp;$F525&amp;"|"&amp;$R525&amp;"|"&amp;COUNTIFS($B$6:$B525,$B525,$A$6:$A525,$A525,$F$6:$F525,$F525,$R$6:$R525,$R525))</f>
        <v/>
      </c>
      <c r="U525" s="32">
        <f>IF($C525="","",$C525&amp;"|"&amp;COUNTIFS($C$6:$C525,$C525))</f>
        <v/>
      </c>
      <c r="V525" s="32">
        <f>IF(OR($C525="",$A525="",$S525=""),"",$C525&amp;"|"&amp;$A525&amp;"|"&amp;$S525)</f>
        <v/>
      </c>
      <c r="W525" s="32">
        <f>IF(OR($C525="",$S525="",$S525=1),"",IFERROR(INDEX($Q$6:$Q$1505,MATCH($C525&amp;"|"&amp;$A525&amp;"|"&amp;($S525-1),$V$6:$V$1505,0)),""))</f>
        <v/>
      </c>
      <c r="X525" s="32">
        <f>IF(OR($W525="",$Q525="",LEFT($Q525,1)="—"),"",IF($W525=$Q525,"ללא שינוי","מ-"&amp;$W525&amp;" ל-"&amp;$Q525))</f>
        <v/>
      </c>
    </row>
    <row r="526" ht="15.75" customHeight="1" s="58">
      <c r="A526" s="65" t="n"/>
      <c r="B526" s="65" t="n"/>
      <c r="C526" s="66" t="n"/>
      <c r="D526" s="66" t="n"/>
      <c r="E526" s="65" t="n"/>
      <c r="F526" s="65" t="n"/>
      <c r="G526" s="65" t="n"/>
      <c r="H526" s="65" t="n"/>
      <c r="I526" s="65" t="n"/>
      <c r="J526" s="65" t="n"/>
      <c r="K526" s="65" t="n"/>
      <c r="L526" s="65" t="n"/>
      <c r="M526" s="65" t="n"/>
      <c r="N526" s="65" t="n"/>
      <c r="O526" s="65" t="n"/>
      <c r="P526" s="65" t="n"/>
      <c r="Q526" s="32">
        <f>IF($C526="","",IF($J526="","— חסרים נתונים",IF($J526="טרם מפענח","פרופיל 5",IF($J526="קמץ/פתח/חטף-פתח ושוואים","פרופיל 4",IF($J526="2-3 סימני ניקוד","פרופיל 3",IF($J526="4-5 סימני ניקוד","פרופיל 2",IF(AND($O526="משפטים וקטעים קצרים",OR($M526="מבין",$M526="מבין לרוב")),"פרופיל 1","פרופיל 2")))))))</f>
        <v/>
      </c>
      <c r="R526" s="32">
        <f>IF($C526="","",IF(OR($Q526="",LEFT($Q526,1)="—"),"קבוצה רביעית",IF($Q526="פרופיל 5","קבוצת תשתיות",IF(OR($Q526="פרופיל 4",$Q526="פרופיל 3"),"קבוצת רכישה","קבוצת ביסוס"))))</f>
        <v/>
      </c>
      <c r="S526" s="32">
        <f>IF($F526="","",IF($F526="תחילת שנה",1,IF($F526="מחצית שנה",2,3)))</f>
        <v/>
      </c>
      <c r="T526" s="32">
        <f>IF(OR($B526="",$R526="",$A526="",$F526=""),"",$B526&amp;"|"&amp;$A526&amp;"|"&amp;$F526&amp;"|"&amp;$R526&amp;"|"&amp;COUNTIFS($B$6:$B526,$B526,$A$6:$A526,$A526,$F$6:$F526,$F526,$R$6:$R526,$R526))</f>
        <v/>
      </c>
      <c r="U526" s="32">
        <f>IF($C526="","",$C526&amp;"|"&amp;COUNTIFS($C$6:$C526,$C526))</f>
        <v/>
      </c>
      <c r="V526" s="32">
        <f>IF(OR($C526="",$A526="",$S526=""),"",$C526&amp;"|"&amp;$A526&amp;"|"&amp;$S526)</f>
        <v/>
      </c>
      <c r="W526" s="32">
        <f>IF(OR($C526="",$S526="",$S526=1),"",IFERROR(INDEX($Q$6:$Q$1505,MATCH($C526&amp;"|"&amp;$A526&amp;"|"&amp;($S526-1),$V$6:$V$1505,0)),""))</f>
        <v/>
      </c>
      <c r="X526" s="32">
        <f>IF(OR($W526="",$Q526="",LEFT($Q526,1)="—"),"",IF($W526=$Q526,"ללא שינוי","מ-"&amp;$W526&amp;" ל-"&amp;$Q526))</f>
        <v/>
      </c>
    </row>
    <row r="527" ht="15.75" customHeight="1" s="58">
      <c r="A527" s="65" t="n"/>
      <c r="B527" s="65" t="n"/>
      <c r="C527" s="66" t="n"/>
      <c r="D527" s="66" t="n"/>
      <c r="E527" s="65" t="n"/>
      <c r="F527" s="65" t="n"/>
      <c r="G527" s="65" t="n"/>
      <c r="H527" s="65" t="n"/>
      <c r="I527" s="65" t="n"/>
      <c r="J527" s="65" t="n"/>
      <c r="K527" s="65" t="n"/>
      <c r="L527" s="65" t="n"/>
      <c r="M527" s="65" t="n"/>
      <c r="N527" s="65" t="n"/>
      <c r="O527" s="65" t="n"/>
      <c r="P527" s="65" t="n"/>
      <c r="Q527" s="32">
        <f>IF($C527="","",IF($J527="","— חסרים נתונים",IF($J527="טרם מפענח","פרופיל 5",IF($J527="קמץ/פתח/חטף-פתח ושוואים","פרופיל 4",IF($J527="2-3 סימני ניקוד","פרופיל 3",IF($J527="4-5 סימני ניקוד","פרופיל 2",IF(AND($O527="משפטים וקטעים קצרים",OR($M527="מבין",$M527="מבין לרוב")),"פרופיל 1","פרופיל 2")))))))</f>
        <v/>
      </c>
      <c r="R527" s="32">
        <f>IF($C527="","",IF(OR($Q527="",LEFT($Q527,1)="—"),"קבוצה רביעית",IF($Q527="פרופיל 5","קבוצת תשתיות",IF(OR($Q527="פרופיל 4",$Q527="פרופיל 3"),"קבוצת רכישה","קבוצת ביסוס"))))</f>
        <v/>
      </c>
      <c r="S527" s="32">
        <f>IF($F527="","",IF($F527="תחילת שנה",1,IF($F527="מחצית שנה",2,3)))</f>
        <v/>
      </c>
      <c r="T527" s="32">
        <f>IF(OR($B527="",$R527="",$A527="",$F527=""),"",$B527&amp;"|"&amp;$A527&amp;"|"&amp;$F527&amp;"|"&amp;$R527&amp;"|"&amp;COUNTIFS($B$6:$B527,$B527,$A$6:$A527,$A527,$F$6:$F527,$F527,$R$6:$R527,$R527))</f>
        <v/>
      </c>
      <c r="U527" s="32">
        <f>IF($C527="","",$C527&amp;"|"&amp;COUNTIFS($C$6:$C527,$C527))</f>
        <v/>
      </c>
      <c r="V527" s="32">
        <f>IF(OR($C527="",$A527="",$S527=""),"",$C527&amp;"|"&amp;$A527&amp;"|"&amp;$S527)</f>
        <v/>
      </c>
      <c r="W527" s="32">
        <f>IF(OR($C527="",$S527="",$S527=1),"",IFERROR(INDEX($Q$6:$Q$1505,MATCH($C527&amp;"|"&amp;$A527&amp;"|"&amp;($S527-1),$V$6:$V$1505,0)),""))</f>
        <v/>
      </c>
      <c r="X527" s="32">
        <f>IF(OR($W527="",$Q527="",LEFT($Q527,1)="—"),"",IF($W527=$Q527,"ללא שינוי","מ-"&amp;$W527&amp;" ל-"&amp;$Q527))</f>
        <v/>
      </c>
    </row>
    <row r="528" ht="15.75" customHeight="1" s="58">
      <c r="A528" s="65" t="n"/>
      <c r="B528" s="65" t="n"/>
      <c r="C528" s="66" t="n"/>
      <c r="D528" s="66" t="n"/>
      <c r="E528" s="65" t="n"/>
      <c r="F528" s="65" t="n"/>
      <c r="G528" s="65" t="n"/>
      <c r="H528" s="65" t="n"/>
      <c r="I528" s="65" t="n"/>
      <c r="J528" s="65" t="n"/>
      <c r="K528" s="65" t="n"/>
      <c r="L528" s="65" t="n"/>
      <c r="M528" s="65" t="n"/>
      <c r="N528" s="65" t="n"/>
      <c r="O528" s="65" t="n"/>
      <c r="P528" s="65" t="n"/>
      <c r="Q528" s="32">
        <f>IF($C528="","",IF($J528="","— חסרים נתונים",IF($J528="טרם מפענח","פרופיל 5",IF($J528="קמץ/פתח/חטף-פתח ושוואים","פרופיל 4",IF($J528="2-3 סימני ניקוד","פרופיל 3",IF($J528="4-5 סימני ניקוד","פרופיל 2",IF(AND($O528="משפטים וקטעים קצרים",OR($M528="מבין",$M528="מבין לרוב")),"פרופיל 1","פרופיל 2")))))))</f>
        <v/>
      </c>
      <c r="R528" s="32">
        <f>IF($C528="","",IF(OR($Q528="",LEFT($Q528,1)="—"),"קבוצה רביעית",IF($Q528="פרופיל 5","קבוצת תשתיות",IF(OR($Q528="פרופיל 4",$Q528="פרופיל 3"),"קבוצת רכישה","קבוצת ביסוס"))))</f>
        <v/>
      </c>
      <c r="S528" s="32">
        <f>IF($F528="","",IF($F528="תחילת שנה",1,IF($F528="מחצית שנה",2,3)))</f>
        <v/>
      </c>
      <c r="T528" s="32">
        <f>IF(OR($B528="",$R528="",$A528="",$F528=""),"",$B528&amp;"|"&amp;$A528&amp;"|"&amp;$F528&amp;"|"&amp;$R528&amp;"|"&amp;COUNTIFS($B$6:$B528,$B528,$A$6:$A528,$A528,$F$6:$F528,$F528,$R$6:$R528,$R528))</f>
        <v/>
      </c>
      <c r="U528" s="32">
        <f>IF($C528="","",$C528&amp;"|"&amp;COUNTIFS($C$6:$C528,$C528))</f>
        <v/>
      </c>
      <c r="V528" s="32">
        <f>IF(OR($C528="",$A528="",$S528=""),"",$C528&amp;"|"&amp;$A528&amp;"|"&amp;$S528)</f>
        <v/>
      </c>
      <c r="W528" s="32">
        <f>IF(OR($C528="",$S528="",$S528=1),"",IFERROR(INDEX($Q$6:$Q$1505,MATCH($C528&amp;"|"&amp;$A528&amp;"|"&amp;($S528-1),$V$6:$V$1505,0)),""))</f>
        <v/>
      </c>
      <c r="X528" s="32">
        <f>IF(OR($W528="",$Q528="",LEFT($Q528,1)="—"),"",IF($W528=$Q528,"ללא שינוי","מ-"&amp;$W528&amp;" ל-"&amp;$Q528))</f>
        <v/>
      </c>
    </row>
    <row r="529" ht="15.75" customHeight="1" s="58">
      <c r="A529" s="65" t="n"/>
      <c r="B529" s="65" t="n"/>
      <c r="C529" s="66" t="n"/>
      <c r="D529" s="66" t="n"/>
      <c r="E529" s="65" t="n"/>
      <c r="F529" s="65" t="n"/>
      <c r="G529" s="65" t="n"/>
      <c r="H529" s="65" t="n"/>
      <c r="I529" s="65" t="n"/>
      <c r="J529" s="65" t="n"/>
      <c r="K529" s="65" t="n"/>
      <c r="L529" s="65" t="n"/>
      <c r="M529" s="65" t="n"/>
      <c r="N529" s="65" t="n"/>
      <c r="O529" s="65" t="n"/>
      <c r="P529" s="65" t="n"/>
      <c r="Q529" s="32">
        <f>IF($C529="","",IF($J529="","— חסרים נתונים",IF($J529="טרם מפענח","פרופיל 5",IF($J529="קמץ/פתח/חטף-פתח ושוואים","פרופיל 4",IF($J529="2-3 סימני ניקוד","פרופיל 3",IF($J529="4-5 סימני ניקוד","פרופיל 2",IF(AND($O529="משפטים וקטעים קצרים",OR($M529="מבין",$M529="מבין לרוב")),"פרופיל 1","פרופיל 2")))))))</f>
        <v/>
      </c>
      <c r="R529" s="32">
        <f>IF($C529="","",IF(OR($Q529="",LEFT($Q529,1)="—"),"קבוצה רביעית",IF($Q529="פרופיל 5","קבוצת תשתיות",IF(OR($Q529="פרופיל 4",$Q529="פרופיל 3"),"קבוצת רכישה","קבוצת ביסוס"))))</f>
        <v/>
      </c>
      <c r="S529" s="32">
        <f>IF($F529="","",IF($F529="תחילת שנה",1,IF($F529="מחצית שנה",2,3)))</f>
        <v/>
      </c>
      <c r="T529" s="32">
        <f>IF(OR($B529="",$R529="",$A529="",$F529=""),"",$B529&amp;"|"&amp;$A529&amp;"|"&amp;$F529&amp;"|"&amp;$R529&amp;"|"&amp;COUNTIFS($B$6:$B529,$B529,$A$6:$A529,$A529,$F$6:$F529,$F529,$R$6:$R529,$R529))</f>
        <v/>
      </c>
      <c r="U529" s="32">
        <f>IF($C529="","",$C529&amp;"|"&amp;COUNTIFS($C$6:$C529,$C529))</f>
        <v/>
      </c>
      <c r="V529" s="32">
        <f>IF(OR($C529="",$A529="",$S529=""),"",$C529&amp;"|"&amp;$A529&amp;"|"&amp;$S529)</f>
        <v/>
      </c>
      <c r="W529" s="32">
        <f>IF(OR($C529="",$S529="",$S529=1),"",IFERROR(INDEX($Q$6:$Q$1505,MATCH($C529&amp;"|"&amp;$A529&amp;"|"&amp;($S529-1),$V$6:$V$1505,0)),""))</f>
        <v/>
      </c>
      <c r="X529" s="32">
        <f>IF(OR($W529="",$Q529="",LEFT($Q529,1)="—"),"",IF($W529=$Q529,"ללא שינוי","מ-"&amp;$W529&amp;" ל-"&amp;$Q529))</f>
        <v/>
      </c>
    </row>
    <row r="530" ht="15.75" customHeight="1" s="58">
      <c r="A530" s="65" t="n"/>
      <c r="B530" s="65" t="n"/>
      <c r="C530" s="66" t="n"/>
      <c r="D530" s="66" t="n"/>
      <c r="E530" s="65" t="n"/>
      <c r="F530" s="65" t="n"/>
      <c r="G530" s="65" t="n"/>
      <c r="H530" s="65" t="n"/>
      <c r="I530" s="65" t="n"/>
      <c r="J530" s="65" t="n"/>
      <c r="K530" s="65" t="n"/>
      <c r="L530" s="65" t="n"/>
      <c r="M530" s="65" t="n"/>
      <c r="N530" s="65" t="n"/>
      <c r="O530" s="65" t="n"/>
      <c r="P530" s="65" t="n"/>
      <c r="Q530" s="32">
        <f>IF($C530="","",IF($J530="","— חסרים נתונים",IF($J530="טרם מפענח","פרופיל 5",IF($J530="קמץ/פתח/חטף-פתח ושוואים","פרופיל 4",IF($J530="2-3 סימני ניקוד","פרופיל 3",IF($J530="4-5 סימני ניקוד","פרופיל 2",IF(AND($O530="משפטים וקטעים קצרים",OR($M530="מבין",$M530="מבין לרוב")),"פרופיל 1","פרופיל 2")))))))</f>
        <v/>
      </c>
      <c r="R530" s="32">
        <f>IF($C530="","",IF(OR($Q530="",LEFT($Q530,1)="—"),"קבוצה רביעית",IF($Q530="פרופיל 5","קבוצת תשתיות",IF(OR($Q530="פרופיל 4",$Q530="פרופיל 3"),"קבוצת רכישה","קבוצת ביסוס"))))</f>
        <v/>
      </c>
      <c r="S530" s="32">
        <f>IF($F530="","",IF($F530="תחילת שנה",1,IF($F530="מחצית שנה",2,3)))</f>
        <v/>
      </c>
      <c r="T530" s="32">
        <f>IF(OR($B530="",$R530="",$A530="",$F530=""),"",$B530&amp;"|"&amp;$A530&amp;"|"&amp;$F530&amp;"|"&amp;$R530&amp;"|"&amp;COUNTIFS($B$6:$B530,$B530,$A$6:$A530,$A530,$F$6:$F530,$F530,$R$6:$R530,$R530))</f>
        <v/>
      </c>
      <c r="U530" s="32">
        <f>IF($C530="","",$C530&amp;"|"&amp;COUNTIFS($C$6:$C530,$C530))</f>
        <v/>
      </c>
      <c r="V530" s="32">
        <f>IF(OR($C530="",$A530="",$S530=""),"",$C530&amp;"|"&amp;$A530&amp;"|"&amp;$S530)</f>
        <v/>
      </c>
      <c r="W530" s="32">
        <f>IF(OR($C530="",$S530="",$S530=1),"",IFERROR(INDEX($Q$6:$Q$1505,MATCH($C530&amp;"|"&amp;$A530&amp;"|"&amp;($S530-1),$V$6:$V$1505,0)),""))</f>
        <v/>
      </c>
      <c r="X530" s="32">
        <f>IF(OR($W530="",$Q530="",LEFT($Q530,1)="—"),"",IF($W530=$Q530,"ללא שינוי","מ-"&amp;$W530&amp;" ל-"&amp;$Q530))</f>
        <v/>
      </c>
    </row>
    <row r="531" ht="15.75" customHeight="1" s="58">
      <c r="A531" s="65" t="n"/>
      <c r="B531" s="65" t="n"/>
      <c r="C531" s="66" t="n"/>
      <c r="D531" s="66" t="n"/>
      <c r="E531" s="65" t="n"/>
      <c r="F531" s="65" t="n"/>
      <c r="G531" s="65" t="n"/>
      <c r="H531" s="65" t="n"/>
      <c r="I531" s="65" t="n"/>
      <c r="J531" s="65" t="n"/>
      <c r="K531" s="65" t="n"/>
      <c r="L531" s="65" t="n"/>
      <c r="M531" s="65" t="n"/>
      <c r="N531" s="65" t="n"/>
      <c r="O531" s="65" t="n"/>
      <c r="P531" s="65" t="n"/>
      <c r="Q531" s="32">
        <f>IF($C531="","",IF($J531="","— חסרים נתונים",IF($J531="טרם מפענח","פרופיל 5",IF($J531="קמץ/פתח/חטף-פתח ושוואים","פרופיל 4",IF($J531="2-3 סימני ניקוד","פרופיל 3",IF($J531="4-5 סימני ניקוד","פרופיל 2",IF(AND($O531="משפטים וקטעים קצרים",OR($M531="מבין",$M531="מבין לרוב")),"פרופיל 1","פרופיל 2")))))))</f>
        <v/>
      </c>
      <c r="R531" s="32">
        <f>IF($C531="","",IF(OR($Q531="",LEFT($Q531,1)="—"),"קבוצה רביעית",IF($Q531="פרופיל 5","קבוצת תשתיות",IF(OR($Q531="פרופיל 4",$Q531="פרופיל 3"),"קבוצת רכישה","קבוצת ביסוס"))))</f>
        <v/>
      </c>
      <c r="S531" s="32">
        <f>IF($F531="","",IF($F531="תחילת שנה",1,IF($F531="מחצית שנה",2,3)))</f>
        <v/>
      </c>
      <c r="T531" s="32">
        <f>IF(OR($B531="",$R531="",$A531="",$F531=""),"",$B531&amp;"|"&amp;$A531&amp;"|"&amp;$F531&amp;"|"&amp;$R531&amp;"|"&amp;COUNTIFS($B$6:$B531,$B531,$A$6:$A531,$A531,$F$6:$F531,$F531,$R$6:$R531,$R531))</f>
        <v/>
      </c>
      <c r="U531" s="32">
        <f>IF($C531="","",$C531&amp;"|"&amp;COUNTIFS($C$6:$C531,$C531))</f>
        <v/>
      </c>
      <c r="V531" s="32">
        <f>IF(OR($C531="",$A531="",$S531=""),"",$C531&amp;"|"&amp;$A531&amp;"|"&amp;$S531)</f>
        <v/>
      </c>
      <c r="W531" s="32">
        <f>IF(OR($C531="",$S531="",$S531=1),"",IFERROR(INDEX($Q$6:$Q$1505,MATCH($C531&amp;"|"&amp;$A531&amp;"|"&amp;($S531-1),$V$6:$V$1505,0)),""))</f>
        <v/>
      </c>
      <c r="X531" s="32">
        <f>IF(OR($W531="",$Q531="",LEFT($Q531,1)="—"),"",IF($W531=$Q531,"ללא שינוי","מ-"&amp;$W531&amp;" ל-"&amp;$Q531))</f>
        <v/>
      </c>
    </row>
    <row r="532" ht="15.75" customHeight="1" s="58">
      <c r="A532" s="65" t="n"/>
      <c r="B532" s="65" t="n"/>
      <c r="C532" s="66" t="n"/>
      <c r="D532" s="66" t="n"/>
      <c r="E532" s="65" t="n"/>
      <c r="F532" s="65" t="n"/>
      <c r="G532" s="65" t="n"/>
      <c r="H532" s="65" t="n"/>
      <c r="I532" s="65" t="n"/>
      <c r="J532" s="65" t="n"/>
      <c r="K532" s="65" t="n"/>
      <c r="L532" s="65" t="n"/>
      <c r="M532" s="65" t="n"/>
      <c r="N532" s="65" t="n"/>
      <c r="O532" s="65" t="n"/>
      <c r="P532" s="65" t="n"/>
      <c r="Q532" s="32">
        <f>IF($C532="","",IF($J532="","— חסרים נתונים",IF($J532="טרם מפענח","פרופיל 5",IF($J532="קמץ/פתח/חטף-פתח ושוואים","פרופיל 4",IF($J532="2-3 סימני ניקוד","פרופיל 3",IF($J532="4-5 סימני ניקוד","פרופיל 2",IF(AND($O532="משפטים וקטעים קצרים",OR($M532="מבין",$M532="מבין לרוב")),"פרופיל 1","פרופיל 2")))))))</f>
        <v/>
      </c>
      <c r="R532" s="32">
        <f>IF($C532="","",IF(OR($Q532="",LEFT($Q532,1)="—"),"קבוצה רביעית",IF($Q532="פרופיל 5","קבוצת תשתיות",IF(OR($Q532="פרופיל 4",$Q532="פרופיל 3"),"קבוצת רכישה","קבוצת ביסוס"))))</f>
        <v/>
      </c>
      <c r="S532" s="32">
        <f>IF($F532="","",IF($F532="תחילת שנה",1,IF($F532="מחצית שנה",2,3)))</f>
        <v/>
      </c>
      <c r="T532" s="32">
        <f>IF(OR($B532="",$R532="",$A532="",$F532=""),"",$B532&amp;"|"&amp;$A532&amp;"|"&amp;$F532&amp;"|"&amp;$R532&amp;"|"&amp;COUNTIFS($B$6:$B532,$B532,$A$6:$A532,$A532,$F$6:$F532,$F532,$R$6:$R532,$R532))</f>
        <v/>
      </c>
      <c r="U532" s="32">
        <f>IF($C532="","",$C532&amp;"|"&amp;COUNTIFS($C$6:$C532,$C532))</f>
        <v/>
      </c>
      <c r="V532" s="32">
        <f>IF(OR($C532="",$A532="",$S532=""),"",$C532&amp;"|"&amp;$A532&amp;"|"&amp;$S532)</f>
        <v/>
      </c>
      <c r="W532" s="32">
        <f>IF(OR($C532="",$S532="",$S532=1),"",IFERROR(INDEX($Q$6:$Q$1505,MATCH($C532&amp;"|"&amp;$A532&amp;"|"&amp;($S532-1),$V$6:$V$1505,0)),""))</f>
        <v/>
      </c>
      <c r="X532" s="32">
        <f>IF(OR($W532="",$Q532="",LEFT($Q532,1)="—"),"",IF($W532=$Q532,"ללא שינוי","מ-"&amp;$W532&amp;" ל-"&amp;$Q532))</f>
        <v/>
      </c>
    </row>
    <row r="533" ht="15.75" customHeight="1" s="58">
      <c r="A533" s="65" t="n"/>
      <c r="B533" s="65" t="n"/>
      <c r="C533" s="66" t="n"/>
      <c r="D533" s="66" t="n"/>
      <c r="E533" s="65" t="n"/>
      <c r="F533" s="65" t="n"/>
      <c r="G533" s="65" t="n"/>
      <c r="H533" s="65" t="n"/>
      <c r="I533" s="65" t="n"/>
      <c r="J533" s="65" t="n"/>
      <c r="K533" s="65" t="n"/>
      <c r="L533" s="65" t="n"/>
      <c r="M533" s="65" t="n"/>
      <c r="N533" s="65" t="n"/>
      <c r="O533" s="65" t="n"/>
      <c r="P533" s="65" t="n"/>
      <c r="Q533" s="32">
        <f>IF($C533="","",IF($J533="","— חסרים נתונים",IF($J533="טרם מפענח","פרופיל 5",IF($J533="קמץ/פתח/חטף-פתח ושוואים","פרופיל 4",IF($J533="2-3 סימני ניקוד","פרופיל 3",IF($J533="4-5 סימני ניקוד","פרופיל 2",IF(AND($O533="משפטים וקטעים קצרים",OR($M533="מבין",$M533="מבין לרוב")),"פרופיל 1","פרופיל 2")))))))</f>
        <v/>
      </c>
      <c r="R533" s="32">
        <f>IF($C533="","",IF(OR($Q533="",LEFT($Q533,1)="—"),"קבוצה רביעית",IF($Q533="פרופיל 5","קבוצת תשתיות",IF(OR($Q533="פרופיל 4",$Q533="פרופיל 3"),"קבוצת רכישה","קבוצת ביסוס"))))</f>
        <v/>
      </c>
      <c r="S533" s="32">
        <f>IF($F533="","",IF($F533="תחילת שנה",1,IF($F533="מחצית שנה",2,3)))</f>
        <v/>
      </c>
      <c r="T533" s="32">
        <f>IF(OR($B533="",$R533="",$A533="",$F533=""),"",$B533&amp;"|"&amp;$A533&amp;"|"&amp;$F533&amp;"|"&amp;$R533&amp;"|"&amp;COUNTIFS($B$6:$B533,$B533,$A$6:$A533,$A533,$F$6:$F533,$F533,$R$6:$R533,$R533))</f>
        <v/>
      </c>
      <c r="U533" s="32">
        <f>IF($C533="","",$C533&amp;"|"&amp;COUNTIFS($C$6:$C533,$C533))</f>
        <v/>
      </c>
      <c r="V533" s="32">
        <f>IF(OR($C533="",$A533="",$S533=""),"",$C533&amp;"|"&amp;$A533&amp;"|"&amp;$S533)</f>
        <v/>
      </c>
      <c r="W533" s="32">
        <f>IF(OR($C533="",$S533="",$S533=1),"",IFERROR(INDEX($Q$6:$Q$1505,MATCH($C533&amp;"|"&amp;$A533&amp;"|"&amp;($S533-1),$V$6:$V$1505,0)),""))</f>
        <v/>
      </c>
      <c r="X533" s="32">
        <f>IF(OR($W533="",$Q533="",LEFT($Q533,1)="—"),"",IF($W533=$Q533,"ללא שינוי","מ-"&amp;$W533&amp;" ל-"&amp;$Q533))</f>
        <v/>
      </c>
    </row>
    <row r="534" ht="15.75" customHeight="1" s="58">
      <c r="A534" s="65" t="n"/>
      <c r="B534" s="65" t="n"/>
      <c r="C534" s="66" t="n"/>
      <c r="D534" s="66" t="n"/>
      <c r="E534" s="65" t="n"/>
      <c r="F534" s="65" t="n"/>
      <c r="G534" s="65" t="n"/>
      <c r="H534" s="65" t="n"/>
      <c r="I534" s="65" t="n"/>
      <c r="J534" s="65" t="n"/>
      <c r="K534" s="65" t="n"/>
      <c r="L534" s="65" t="n"/>
      <c r="M534" s="65" t="n"/>
      <c r="N534" s="65" t="n"/>
      <c r="O534" s="65" t="n"/>
      <c r="P534" s="65" t="n"/>
      <c r="Q534" s="32">
        <f>IF($C534="","",IF($J534="","— חסרים נתונים",IF($J534="טרם מפענח","פרופיל 5",IF($J534="קמץ/פתח/חטף-פתח ושוואים","פרופיל 4",IF($J534="2-3 סימני ניקוד","פרופיל 3",IF($J534="4-5 סימני ניקוד","פרופיל 2",IF(AND($O534="משפטים וקטעים קצרים",OR($M534="מבין",$M534="מבין לרוב")),"פרופיל 1","פרופיל 2")))))))</f>
        <v/>
      </c>
      <c r="R534" s="32">
        <f>IF($C534="","",IF(OR($Q534="",LEFT($Q534,1)="—"),"קבוצה רביעית",IF($Q534="פרופיל 5","קבוצת תשתיות",IF(OR($Q534="פרופיל 4",$Q534="פרופיל 3"),"קבוצת רכישה","קבוצת ביסוס"))))</f>
        <v/>
      </c>
      <c r="S534" s="32">
        <f>IF($F534="","",IF($F534="תחילת שנה",1,IF($F534="מחצית שנה",2,3)))</f>
        <v/>
      </c>
      <c r="T534" s="32">
        <f>IF(OR($B534="",$R534="",$A534="",$F534=""),"",$B534&amp;"|"&amp;$A534&amp;"|"&amp;$F534&amp;"|"&amp;$R534&amp;"|"&amp;COUNTIFS($B$6:$B534,$B534,$A$6:$A534,$A534,$F$6:$F534,$F534,$R$6:$R534,$R534))</f>
        <v/>
      </c>
      <c r="U534" s="32">
        <f>IF($C534="","",$C534&amp;"|"&amp;COUNTIFS($C$6:$C534,$C534))</f>
        <v/>
      </c>
      <c r="V534" s="32">
        <f>IF(OR($C534="",$A534="",$S534=""),"",$C534&amp;"|"&amp;$A534&amp;"|"&amp;$S534)</f>
        <v/>
      </c>
      <c r="W534" s="32">
        <f>IF(OR($C534="",$S534="",$S534=1),"",IFERROR(INDEX($Q$6:$Q$1505,MATCH($C534&amp;"|"&amp;$A534&amp;"|"&amp;($S534-1),$V$6:$V$1505,0)),""))</f>
        <v/>
      </c>
      <c r="X534" s="32">
        <f>IF(OR($W534="",$Q534="",LEFT($Q534,1)="—"),"",IF($W534=$Q534,"ללא שינוי","מ-"&amp;$W534&amp;" ל-"&amp;$Q534))</f>
        <v/>
      </c>
    </row>
    <row r="535" ht="15.75" customHeight="1" s="58">
      <c r="A535" s="65" t="n"/>
      <c r="B535" s="65" t="n"/>
      <c r="C535" s="66" t="n"/>
      <c r="D535" s="66" t="n"/>
      <c r="E535" s="65" t="n"/>
      <c r="F535" s="65" t="n"/>
      <c r="G535" s="65" t="n"/>
      <c r="H535" s="65" t="n"/>
      <c r="I535" s="65" t="n"/>
      <c r="J535" s="65" t="n"/>
      <c r="K535" s="65" t="n"/>
      <c r="L535" s="65" t="n"/>
      <c r="M535" s="65" t="n"/>
      <c r="N535" s="65" t="n"/>
      <c r="O535" s="65" t="n"/>
      <c r="P535" s="65" t="n"/>
      <c r="Q535" s="32">
        <f>IF($C535="","",IF($J535="","— חסרים נתונים",IF($J535="טרם מפענח","פרופיל 5",IF($J535="קמץ/פתח/חטף-פתח ושוואים","פרופיל 4",IF($J535="2-3 סימני ניקוד","פרופיל 3",IF($J535="4-5 סימני ניקוד","פרופיל 2",IF(AND($O535="משפטים וקטעים קצרים",OR($M535="מבין",$M535="מבין לרוב")),"פרופיל 1","פרופיל 2")))))))</f>
        <v/>
      </c>
      <c r="R535" s="32">
        <f>IF($C535="","",IF(OR($Q535="",LEFT($Q535,1)="—"),"קבוצה רביעית",IF($Q535="פרופיל 5","קבוצת תשתיות",IF(OR($Q535="פרופיל 4",$Q535="פרופיל 3"),"קבוצת רכישה","קבוצת ביסוס"))))</f>
        <v/>
      </c>
      <c r="S535" s="32">
        <f>IF($F535="","",IF($F535="תחילת שנה",1,IF($F535="מחצית שנה",2,3)))</f>
        <v/>
      </c>
      <c r="T535" s="32">
        <f>IF(OR($B535="",$R535="",$A535="",$F535=""),"",$B535&amp;"|"&amp;$A535&amp;"|"&amp;$F535&amp;"|"&amp;$R535&amp;"|"&amp;COUNTIFS($B$6:$B535,$B535,$A$6:$A535,$A535,$F$6:$F535,$F535,$R$6:$R535,$R535))</f>
        <v/>
      </c>
      <c r="U535" s="32">
        <f>IF($C535="","",$C535&amp;"|"&amp;COUNTIFS($C$6:$C535,$C535))</f>
        <v/>
      </c>
      <c r="V535" s="32">
        <f>IF(OR($C535="",$A535="",$S535=""),"",$C535&amp;"|"&amp;$A535&amp;"|"&amp;$S535)</f>
        <v/>
      </c>
      <c r="W535" s="32">
        <f>IF(OR($C535="",$S535="",$S535=1),"",IFERROR(INDEX($Q$6:$Q$1505,MATCH($C535&amp;"|"&amp;$A535&amp;"|"&amp;($S535-1),$V$6:$V$1505,0)),""))</f>
        <v/>
      </c>
      <c r="X535" s="32">
        <f>IF(OR($W535="",$Q535="",LEFT($Q535,1)="—"),"",IF($W535=$Q535,"ללא שינוי","מ-"&amp;$W535&amp;" ל-"&amp;$Q535))</f>
        <v/>
      </c>
    </row>
    <row r="536" ht="15.75" customHeight="1" s="58">
      <c r="A536" s="65" t="n"/>
      <c r="B536" s="65" t="n"/>
      <c r="C536" s="66" t="n"/>
      <c r="D536" s="66" t="n"/>
      <c r="E536" s="65" t="n"/>
      <c r="F536" s="65" t="n"/>
      <c r="G536" s="65" t="n"/>
      <c r="H536" s="65" t="n"/>
      <c r="I536" s="65" t="n"/>
      <c r="J536" s="65" t="n"/>
      <c r="K536" s="65" t="n"/>
      <c r="L536" s="65" t="n"/>
      <c r="M536" s="65" t="n"/>
      <c r="N536" s="65" t="n"/>
      <c r="O536" s="65" t="n"/>
      <c r="P536" s="65" t="n"/>
      <c r="Q536" s="32">
        <f>IF($C536="","",IF($J536="","— חסרים נתונים",IF($J536="טרם מפענח","פרופיל 5",IF($J536="קמץ/פתח/חטף-פתח ושוואים","פרופיל 4",IF($J536="2-3 סימני ניקוד","פרופיל 3",IF($J536="4-5 סימני ניקוד","פרופיל 2",IF(AND($O536="משפטים וקטעים קצרים",OR($M536="מבין",$M536="מבין לרוב")),"פרופיל 1","פרופיל 2")))))))</f>
        <v/>
      </c>
      <c r="R536" s="32">
        <f>IF($C536="","",IF(OR($Q536="",LEFT($Q536,1)="—"),"קבוצה רביעית",IF($Q536="פרופיל 5","קבוצת תשתיות",IF(OR($Q536="פרופיל 4",$Q536="פרופיל 3"),"קבוצת רכישה","קבוצת ביסוס"))))</f>
        <v/>
      </c>
      <c r="S536" s="32">
        <f>IF($F536="","",IF($F536="תחילת שנה",1,IF($F536="מחצית שנה",2,3)))</f>
        <v/>
      </c>
      <c r="T536" s="32">
        <f>IF(OR($B536="",$R536="",$A536="",$F536=""),"",$B536&amp;"|"&amp;$A536&amp;"|"&amp;$F536&amp;"|"&amp;$R536&amp;"|"&amp;COUNTIFS($B$6:$B536,$B536,$A$6:$A536,$A536,$F$6:$F536,$F536,$R$6:$R536,$R536))</f>
        <v/>
      </c>
      <c r="U536" s="32">
        <f>IF($C536="","",$C536&amp;"|"&amp;COUNTIFS($C$6:$C536,$C536))</f>
        <v/>
      </c>
      <c r="V536" s="32">
        <f>IF(OR($C536="",$A536="",$S536=""),"",$C536&amp;"|"&amp;$A536&amp;"|"&amp;$S536)</f>
        <v/>
      </c>
      <c r="W536" s="32">
        <f>IF(OR($C536="",$S536="",$S536=1),"",IFERROR(INDEX($Q$6:$Q$1505,MATCH($C536&amp;"|"&amp;$A536&amp;"|"&amp;($S536-1),$V$6:$V$1505,0)),""))</f>
        <v/>
      </c>
      <c r="X536" s="32">
        <f>IF(OR($W536="",$Q536="",LEFT($Q536,1)="—"),"",IF($W536=$Q536,"ללא שינוי","מ-"&amp;$W536&amp;" ל-"&amp;$Q536))</f>
        <v/>
      </c>
    </row>
    <row r="537" ht="15.75" customHeight="1" s="58">
      <c r="A537" s="65" t="n"/>
      <c r="B537" s="65" t="n"/>
      <c r="C537" s="66" t="n"/>
      <c r="D537" s="66" t="n"/>
      <c r="E537" s="65" t="n"/>
      <c r="F537" s="65" t="n"/>
      <c r="G537" s="65" t="n"/>
      <c r="H537" s="65" t="n"/>
      <c r="I537" s="65" t="n"/>
      <c r="J537" s="65" t="n"/>
      <c r="K537" s="65" t="n"/>
      <c r="L537" s="65" t="n"/>
      <c r="M537" s="65" t="n"/>
      <c r="N537" s="65" t="n"/>
      <c r="O537" s="65" t="n"/>
      <c r="P537" s="65" t="n"/>
      <c r="Q537" s="32">
        <f>IF($C537="","",IF($J537="","— חסרים נתונים",IF($J537="טרם מפענח","פרופיל 5",IF($J537="קמץ/פתח/חטף-פתח ושוואים","פרופיל 4",IF($J537="2-3 סימני ניקוד","פרופיל 3",IF($J537="4-5 סימני ניקוד","פרופיל 2",IF(AND($O537="משפטים וקטעים קצרים",OR($M537="מבין",$M537="מבין לרוב")),"פרופיל 1","פרופיל 2")))))))</f>
        <v/>
      </c>
      <c r="R537" s="32">
        <f>IF($C537="","",IF(OR($Q537="",LEFT($Q537,1)="—"),"קבוצה רביעית",IF($Q537="פרופיל 5","קבוצת תשתיות",IF(OR($Q537="פרופיל 4",$Q537="פרופיל 3"),"קבוצת רכישה","קבוצת ביסוס"))))</f>
        <v/>
      </c>
      <c r="S537" s="32">
        <f>IF($F537="","",IF($F537="תחילת שנה",1,IF($F537="מחצית שנה",2,3)))</f>
        <v/>
      </c>
      <c r="T537" s="32">
        <f>IF(OR($B537="",$R537="",$A537="",$F537=""),"",$B537&amp;"|"&amp;$A537&amp;"|"&amp;$F537&amp;"|"&amp;$R537&amp;"|"&amp;COUNTIFS($B$6:$B537,$B537,$A$6:$A537,$A537,$F$6:$F537,$F537,$R$6:$R537,$R537))</f>
        <v/>
      </c>
      <c r="U537" s="32">
        <f>IF($C537="","",$C537&amp;"|"&amp;COUNTIFS($C$6:$C537,$C537))</f>
        <v/>
      </c>
      <c r="V537" s="32">
        <f>IF(OR($C537="",$A537="",$S537=""),"",$C537&amp;"|"&amp;$A537&amp;"|"&amp;$S537)</f>
        <v/>
      </c>
      <c r="W537" s="32">
        <f>IF(OR($C537="",$S537="",$S537=1),"",IFERROR(INDEX($Q$6:$Q$1505,MATCH($C537&amp;"|"&amp;$A537&amp;"|"&amp;($S537-1),$V$6:$V$1505,0)),""))</f>
        <v/>
      </c>
      <c r="X537" s="32">
        <f>IF(OR($W537="",$Q537="",LEFT($Q537,1)="—"),"",IF($W537=$Q537,"ללא שינוי","מ-"&amp;$W537&amp;" ל-"&amp;$Q537))</f>
        <v/>
      </c>
    </row>
    <row r="538" ht="15.75" customHeight="1" s="58">
      <c r="A538" s="65" t="n"/>
      <c r="B538" s="65" t="n"/>
      <c r="C538" s="66" t="n"/>
      <c r="D538" s="66" t="n"/>
      <c r="E538" s="65" t="n"/>
      <c r="F538" s="65" t="n"/>
      <c r="G538" s="65" t="n"/>
      <c r="H538" s="65" t="n"/>
      <c r="I538" s="65" t="n"/>
      <c r="J538" s="65" t="n"/>
      <c r="K538" s="65" t="n"/>
      <c r="L538" s="65" t="n"/>
      <c r="M538" s="65" t="n"/>
      <c r="N538" s="65" t="n"/>
      <c r="O538" s="65" t="n"/>
      <c r="P538" s="65" t="n"/>
      <c r="Q538" s="32">
        <f>IF($C538="","",IF($J538="","— חסרים נתונים",IF($J538="טרם מפענח","פרופיל 5",IF($J538="קמץ/פתח/חטף-פתח ושוואים","פרופיל 4",IF($J538="2-3 סימני ניקוד","פרופיל 3",IF($J538="4-5 סימני ניקוד","פרופיל 2",IF(AND($O538="משפטים וקטעים קצרים",OR($M538="מבין",$M538="מבין לרוב")),"פרופיל 1","פרופיל 2")))))))</f>
        <v/>
      </c>
      <c r="R538" s="32">
        <f>IF($C538="","",IF(OR($Q538="",LEFT($Q538,1)="—"),"קבוצה רביעית",IF($Q538="פרופיל 5","קבוצת תשתיות",IF(OR($Q538="פרופיל 4",$Q538="פרופיל 3"),"קבוצת רכישה","קבוצת ביסוס"))))</f>
        <v/>
      </c>
      <c r="S538" s="32">
        <f>IF($F538="","",IF($F538="תחילת שנה",1,IF($F538="מחצית שנה",2,3)))</f>
        <v/>
      </c>
      <c r="T538" s="32">
        <f>IF(OR($B538="",$R538="",$A538="",$F538=""),"",$B538&amp;"|"&amp;$A538&amp;"|"&amp;$F538&amp;"|"&amp;$R538&amp;"|"&amp;COUNTIFS($B$6:$B538,$B538,$A$6:$A538,$A538,$F$6:$F538,$F538,$R$6:$R538,$R538))</f>
        <v/>
      </c>
      <c r="U538" s="32">
        <f>IF($C538="","",$C538&amp;"|"&amp;COUNTIFS($C$6:$C538,$C538))</f>
        <v/>
      </c>
      <c r="V538" s="32">
        <f>IF(OR($C538="",$A538="",$S538=""),"",$C538&amp;"|"&amp;$A538&amp;"|"&amp;$S538)</f>
        <v/>
      </c>
      <c r="W538" s="32">
        <f>IF(OR($C538="",$S538="",$S538=1),"",IFERROR(INDEX($Q$6:$Q$1505,MATCH($C538&amp;"|"&amp;$A538&amp;"|"&amp;($S538-1),$V$6:$V$1505,0)),""))</f>
        <v/>
      </c>
      <c r="X538" s="32">
        <f>IF(OR($W538="",$Q538="",LEFT($Q538,1)="—"),"",IF($W538=$Q538,"ללא שינוי","מ-"&amp;$W538&amp;" ל-"&amp;$Q538))</f>
        <v/>
      </c>
    </row>
    <row r="539" ht="15.75" customHeight="1" s="58">
      <c r="A539" s="65" t="n"/>
      <c r="B539" s="65" t="n"/>
      <c r="C539" s="66" t="n"/>
      <c r="D539" s="66" t="n"/>
      <c r="E539" s="65" t="n"/>
      <c r="F539" s="65" t="n"/>
      <c r="G539" s="65" t="n"/>
      <c r="H539" s="65" t="n"/>
      <c r="I539" s="65" t="n"/>
      <c r="J539" s="65" t="n"/>
      <c r="K539" s="65" t="n"/>
      <c r="L539" s="65" t="n"/>
      <c r="M539" s="65" t="n"/>
      <c r="N539" s="65" t="n"/>
      <c r="O539" s="65" t="n"/>
      <c r="P539" s="65" t="n"/>
      <c r="Q539" s="32">
        <f>IF($C539="","",IF($J539="","— חסרים נתונים",IF($J539="טרם מפענח","פרופיל 5",IF($J539="קמץ/פתח/חטף-פתח ושוואים","פרופיל 4",IF($J539="2-3 סימני ניקוד","פרופיל 3",IF($J539="4-5 סימני ניקוד","פרופיל 2",IF(AND($O539="משפטים וקטעים קצרים",OR($M539="מבין",$M539="מבין לרוב")),"פרופיל 1","פרופיל 2")))))))</f>
        <v/>
      </c>
      <c r="R539" s="32">
        <f>IF($C539="","",IF(OR($Q539="",LEFT($Q539,1)="—"),"קבוצה רביעית",IF($Q539="פרופיל 5","קבוצת תשתיות",IF(OR($Q539="פרופיל 4",$Q539="פרופיל 3"),"קבוצת רכישה","קבוצת ביסוס"))))</f>
        <v/>
      </c>
      <c r="S539" s="32">
        <f>IF($F539="","",IF($F539="תחילת שנה",1,IF($F539="מחצית שנה",2,3)))</f>
        <v/>
      </c>
      <c r="T539" s="32">
        <f>IF(OR($B539="",$R539="",$A539="",$F539=""),"",$B539&amp;"|"&amp;$A539&amp;"|"&amp;$F539&amp;"|"&amp;$R539&amp;"|"&amp;COUNTIFS($B$6:$B539,$B539,$A$6:$A539,$A539,$F$6:$F539,$F539,$R$6:$R539,$R539))</f>
        <v/>
      </c>
      <c r="U539" s="32">
        <f>IF($C539="","",$C539&amp;"|"&amp;COUNTIFS($C$6:$C539,$C539))</f>
        <v/>
      </c>
      <c r="V539" s="32">
        <f>IF(OR($C539="",$A539="",$S539=""),"",$C539&amp;"|"&amp;$A539&amp;"|"&amp;$S539)</f>
        <v/>
      </c>
      <c r="W539" s="32">
        <f>IF(OR($C539="",$S539="",$S539=1),"",IFERROR(INDEX($Q$6:$Q$1505,MATCH($C539&amp;"|"&amp;$A539&amp;"|"&amp;($S539-1),$V$6:$V$1505,0)),""))</f>
        <v/>
      </c>
      <c r="X539" s="32">
        <f>IF(OR($W539="",$Q539="",LEFT($Q539,1)="—"),"",IF($W539=$Q539,"ללא שינוי","מ-"&amp;$W539&amp;" ל-"&amp;$Q539))</f>
        <v/>
      </c>
    </row>
    <row r="540" ht="15.75" customHeight="1" s="58">
      <c r="A540" s="65" t="n"/>
      <c r="B540" s="65" t="n"/>
      <c r="C540" s="66" t="n"/>
      <c r="D540" s="66" t="n"/>
      <c r="E540" s="65" t="n"/>
      <c r="F540" s="65" t="n"/>
      <c r="G540" s="65" t="n"/>
      <c r="H540" s="65" t="n"/>
      <c r="I540" s="65" t="n"/>
      <c r="J540" s="65" t="n"/>
      <c r="K540" s="65" t="n"/>
      <c r="L540" s="65" t="n"/>
      <c r="M540" s="65" t="n"/>
      <c r="N540" s="65" t="n"/>
      <c r="O540" s="65" t="n"/>
      <c r="P540" s="65" t="n"/>
      <c r="Q540" s="32">
        <f>IF($C540="","",IF($J540="","— חסרים נתונים",IF($J540="טרם מפענח","פרופיל 5",IF($J540="קמץ/פתח/חטף-פתח ושוואים","פרופיל 4",IF($J540="2-3 סימני ניקוד","פרופיל 3",IF($J540="4-5 סימני ניקוד","פרופיל 2",IF(AND($O540="משפטים וקטעים קצרים",OR($M540="מבין",$M540="מבין לרוב")),"פרופיל 1","פרופיל 2")))))))</f>
        <v/>
      </c>
      <c r="R540" s="32">
        <f>IF($C540="","",IF(OR($Q540="",LEFT($Q540,1)="—"),"קבוצה רביעית",IF($Q540="פרופיל 5","קבוצת תשתיות",IF(OR($Q540="פרופיל 4",$Q540="פרופיל 3"),"קבוצת רכישה","קבוצת ביסוס"))))</f>
        <v/>
      </c>
      <c r="S540" s="32">
        <f>IF($F540="","",IF($F540="תחילת שנה",1,IF($F540="מחצית שנה",2,3)))</f>
        <v/>
      </c>
      <c r="T540" s="32">
        <f>IF(OR($B540="",$R540="",$A540="",$F540=""),"",$B540&amp;"|"&amp;$A540&amp;"|"&amp;$F540&amp;"|"&amp;$R540&amp;"|"&amp;COUNTIFS($B$6:$B540,$B540,$A$6:$A540,$A540,$F$6:$F540,$F540,$R$6:$R540,$R540))</f>
        <v/>
      </c>
      <c r="U540" s="32">
        <f>IF($C540="","",$C540&amp;"|"&amp;COUNTIFS($C$6:$C540,$C540))</f>
        <v/>
      </c>
      <c r="V540" s="32">
        <f>IF(OR($C540="",$A540="",$S540=""),"",$C540&amp;"|"&amp;$A540&amp;"|"&amp;$S540)</f>
        <v/>
      </c>
      <c r="W540" s="32">
        <f>IF(OR($C540="",$S540="",$S540=1),"",IFERROR(INDEX($Q$6:$Q$1505,MATCH($C540&amp;"|"&amp;$A540&amp;"|"&amp;($S540-1),$V$6:$V$1505,0)),""))</f>
        <v/>
      </c>
      <c r="X540" s="32">
        <f>IF(OR($W540="",$Q540="",LEFT($Q540,1)="—"),"",IF($W540=$Q540,"ללא שינוי","מ-"&amp;$W540&amp;" ל-"&amp;$Q540))</f>
        <v/>
      </c>
    </row>
    <row r="541" ht="15.75" customHeight="1" s="58">
      <c r="A541" s="65" t="n"/>
      <c r="B541" s="65" t="n"/>
      <c r="C541" s="66" t="n"/>
      <c r="D541" s="66" t="n"/>
      <c r="E541" s="65" t="n"/>
      <c r="F541" s="65" t="n"/>
      <c r="G541" s="65" t="n"/>
      <c r="H541" s="65" t="n"/>
      <c r="I541" s="65" t="n"/>
      <c r="J541" s="65" t="n"/>
      <c r="K541" s="65" t="n"/>
      <c r="L541" s="65" t="n"/>
      <c r="M541" s="65" t="n"/>
      <c r="N541" s="65" t="n"/>
      <c r="O541" s="65" t="n"/>
      <c r="P541" s="65" t="n"/>
      <c r="Q541" s="32">
        <f>IF($C541="","",IF($J541="","— חסרים נתונים",IF($J541="טרם מפענח","פרופיל 5",IF($J541="קמץ/פתח/חטף-פתח ושוואים","פרופיל 4",IF($J541="2-3 סימני ניקוד","פרופיל 3",IF($J541="4-5 סימני ניקוד","פרופיל 2",IF(AND($O541="משפטים וקטעים קצרים",OR($M541="מבין",$M541="מבין לרוב")),"פרופיל 1","פרופיל 2")))))))</f>
        <v/>
      </c>
      <c r="R541" s="32">
        <f>IF($C541="","",IF(OR($Q541="",LEFT($Q541,1)="—"),"קבוצה רביעית",IF($Q541="פרופיל 5","קבוצת תשתיות",IF(OR($Q541="פרופיל 4",$Q541="פרופיל 3"),"קבוצת רכישה","קבוצת ביסוס"))))</f>
        <v/>
      </c>
      <c r="S541" s="32">
        <f>IF($F541="","",IF($F541="תחילת שנה",1,IF($F541="מחצית שנה",2,3)))</f>
        <v/>
      </c>
      <c r="T541" s="32">
        <f>IF(OR($B541="",$R541="",$A541="",$F541=""),"",$B541&amp;"|"&amp;$A541&amp;"|"&amp;$F541&amp;"|"&amp;$R541&amp;"|"&amp;COUNTIFS($B$6:$B541,$B541,$A$6:$A541,$A541,$F$6:$F541,$F541,$R$6:$R541,$R541))</f>
        <v/>
      </c>
      <c r="U541" s="32">
        <f>IF($C541="","",$C541&amp;"|"&amp;COUNTIFS($C$6:$C541,$C541))</f>
        <v/>
      </c>
      <c r="V541" s="32">
        <f>IF(OR($C541="",$A541="",$S541=""),"",$C541&amp;"|"&amp;$A541&amp;"|"&amp;$S541)</f>
        <v/>
      </c>
      <c r="W541" s="32">
        <f>IF(OR($C541="",$S541="",$S541=1),"",IFERROR(INDEX($Q$6:$Q$1505,MATCH($C541&amp;"|"&amp;$A541&amp;"|"&amp;($S541-1),$V$6:$V$1505,0)),""))</f>
        <v/>
      </c>
      <c r="X541" s="32">
        <f>IF(OR($W541="",$Q541="",LEFT($Q541,1)="—"),"",IF($W541=$Q541,"ללא שינוי","מ-"&amp;$W541&amp;" ל-"&amp;$Q541))</f>
        <v/>
      </c>
    </row>
    <row r="542" ht="15.75" customHeight="1" s="58">
      <c r="A542" s="65" t="n"/>
      <c r="B542" s="65" t="n"/>
      <c r="C542" s="66" t="n"/>
      <c r="D542" s="66" t="n"/>
      <c r="E542" s="65" t="n"/>
      <c r="F542" s="65" t="n"/>
      <c r="G542" s="65" t="n"/>
      <c r="H542" s="65" t="n"/>
      <c r="I542" s="65" t="n"/>
      <c r="J542" s="65" t="n"/>
      <c r="K542" s="65" t="n"/>
      <c r="L542" s="65" t="n"/>
      <c r="M542" s="65" t="n"/>
      <c r="N542" s="65" t="n"/>
      <c r="O542" s="65" t="n"/>
      <c r="P542" s="65" t="n"/>
      <c r="Q542" s="32">
        <f>IF($C542="","",IF($J542="","— חסרים נתונים",IF($J542="טרם מפענח","פרופיל 5",IF($J542="קמץ/פתח/חטף-פתח ושוואים","פרופיל 4",IF($J542="2-3 סימני ניקוד","פרופיל 3",IF($J542="4-5 סימני ניקוד","פרופיל 2",IF(AND($O542="משפטים וקטעים קצרים",OR($M542="מבין",$M542="מבין לרוב")),"פרופיל 1","פרופיל 2")))))))</f>
        <v/>
      </c>
      <c r="R542" s="32">
        <f>IF($C542="","",IF(OR($Q542="",LEFT($Q542,1)="—"),"קבוצה רביעית",IF($Q542="פרופיל 5","קבוצת תשתיות",IF(OR($Q542="פרופיל 4",$Q542="פרופיל 3"),"קבוצת רכישה","קבוצת ביסוס"))))</f>
        <v/>
      </c>
      <c r="S542" s="32">
        <f>IF($F542="","",IF($F542="תחילת שנה",1,IF($F542="מחצית שנה",2,3)))</f>
        <v/>
      </c>
      <c r="T542" s="32">
        <f>IF(OR($B542="",$R542="",$A542="",$F542=""),"",$B542&amp;"|"&amp;$A542&amp;"|"&amp;$F542&amp;"|"&amp;$R542&amp;"|"&amp;COUNTIFS($B$6:$B542,$B542,$A$6:$A542,$A542,$F$6:$F542,$F542,$R$6:$R542,$R542))</f>
        <v/>
      </c>
      <c r="U542" s="32">
        <f>IF($C542="","",$C542&amp;"|"&amp;COUNTIFS($C$6:$C542,$C542))</f>
        <v/>
      </c>
      <c r="V542" s="32">
        <f>IF(OR($C542="",$A542="",$S542=""),"",$C542&amp;"|"&amp;$A542&amp;"|"&amp;$S542)</f>
        <v/>
      </c>
      <c r="W542" s="32">
        <f>IF(OR($C542="",$S542="",$S542=1),"",IFERROR(INDEX($Q$6:$Q$1505,MATCH($C542&amp;"|"&amp;$A542&amp;"|"&amp;($S542-1),$V$6:$V$1505,0)),""))</f>
        <v/>
      </c>
      <c r="X542" s="32">
        <f>IF(OR($W542="",$Q542="",LEFT($Q542,1)="—"),"",IF($W542=$Q542,"ללא שינוי","מ-"&amp;$W542&amp;" ל-"&amp;$Q542))</f>
        <v/>
      </c>
    </row>
    <row r="543" ht="15.75" customHeight="1" s="58">
      <c r="A543" s="65" t="n"/>
      <c r="B543" s="65" t="n"/>
      <c r="C543" s="66" t="n"/>
      <c r="D543" s="66" t="n"/>
      <c r="E543" s="65" t="n"/>
      <c r="F543" s="65" t="n"/>
      <c r="G543" s="65" t="n"/>
      <c r="H543" s="65" t="n"/>
      <c r="I543" s="65" t="n"/>
      <c r="J543" s="65" t="n"/>
      <c r="K543" s="65" t="n"/>
      <c r="L543" s="65" t="n"/>
      <c r="M543" s="65" t="n"/>
      <c r="N543" s="65" t="n"/>
      <c r="O543" s="65" t="n"/>
      <c r="P543" s="65" t="n"/>
      <c r="Q543" s="32">
        <f>IF($C543="","",IF($J543="","— חסרים נתונים",IF($J543="טרם מפענח","פרופיל 5",IF($J543="קמץ/פתח/חטף-פתח ושוואים","פרופיל 4",IF($J543="2-3 סימני ניקוד","פרופיל 3",IF($J543="4-5 סימני ניקוד","פרופיל 2",IF(AND($O543="משפטים וקטעים קצרים",OR($M543="מבין",$M543="מבין לרוב")),"פרופיל 1","פרופיל 2")))))))</f>
        <v/>
      </c>
      <c r="R543" s="32">
        <f>IF($C543="","",IF(OR($Q543="",LEFT($Q543,1)="—"),"קבוצה רביעית",IF($Q543="פרופיל 5","קבוצת תשתיות",IF(OR($Q543="פרופיל 4",$Q543="פרופיל 3"),"קבוצת רכישה","קבוצת ביסוס"))))</f>
        <v/>
      </c>
      <c r="S543" s="32">
        <f>IF($F543="","",IF($F543="תחילת שנה",1,IF($F543="מחצית שנה",2,3)))</f>
        <v/>
      </c>
      <c r="T543" s="32">
        <f>IF(OR($B543="",$R543="",$A543="",$F543=""),"",$B543&amp;"|"&amp;$A543&amp;"|"&amp;$F543&amp;"|"&amp;$R543&amp;"|"&amp;COUNTIFS($B$6:$B543,$B543,$A$6:$A543,$A543,$F$6:$F543,$F543,$R$6:$R543,$R543))</f>
        <v/>
      </c>
      <c r="U543" s="32">
        <f>IF($C543="","",$C543&amp;"|"&amp;COUNTIFS($C$6:$C543,$C543))</f>
        <v/>
      </c>
      <c r="V543" s="32">
        <f>IF(OR($C543="",$A543="",$S543=""),"",$C543&amp;"|"&amp;$A543&amp;"|"&amp;$S543)</f>
        <v/>
      </c>
      <c r="W543" s="32">
        <f>IF(OR($C543="",$S543="",$S543=1),"",IFERROR(INDEX($Q$6:$Q$1505,MATCH($C543&amp;"|"&amp;$A543&amp;"|"&amp;($S543-1),$V$6:$V$1505,0)),""))</f>
        <v/>
      </c>
      <c r="X543" s="32">
        <f>IF(OR($W543="",$Q543="",LEFT($Q543,1)="—"),"",IF($W543=$Q543,"ללא שינוי","מ-"&amp;$W543&amp;" ל-"&amp;$Q543))</f>
        <v/>
      </c>
    </row>
    <row r="544" ht="15.75" customHeight="1" s="58">
      <c r="A544" s="65" t="n"/>
      <c r="B544" s="65" t="n"/>
      <c r="C544" s="66" t="n"/>
      <c r="D544" s="66" t="n"/>
      <c r="E544" s="65" t="n"/>
      <c r="F544" s="65" t="n"/>
      <c r="G544" s="65" t="n"/>
      <c r="H544" s="65" t="n"/>
      <c r="I544" s="65" t="n"/>
      <c r="J544" s="65" t="n"/>
      <c r="K544" s="65" t="n"/>
      <c r="L544" s="65" t="n"/>
      <c r="M544" s="65" t="n"/>
      <c r="N544" s="65" t="n"/>
      <c r="O544" s="65" t="n"/>
      <c r="P544" s="65" t="n"/>
      <c r="Q544" s="32">
        <f>IF($C544="","",IF($J544="","— חסרים נתונים",IF($J544="טרם מפענח","פרופיל 5",IF($J544="קמץ/פתח/חטף-פתח ושוואים","פרופיל 4",IF($J544="2-3 סימני ניקוד","פרופיל 3",IF($J544="4-5 סימני ניקוד","פרופיל 2",IF(AND($O544="משפטים וקטעים קצרים",OR($M544="מבין",$M544="מבין לרוב")),"פרופיל 1","פרופיל 2")))))))</f>
        <v/>
      </c>
      <c r="R544" s="32">
        <f>IF($C544="","",IF(OR($Q544="",LEFT($Q544,1)="—"),"קבוצה רביעית",IF($Q544="פרופיל 5","קבוצת תשתיות",IF(OR($Q544="פרופיל 4",$Q544="פרופיל 3"),"קבוצת רכישה","קבוצת ביסוס"))))</f>
        <v/>
      </c>
      <c r="S544" s="32">
        <f>IF($F544="","",IF($F544="תחילת שנה",1,IF($F544="מחצית שנה",2,3)))</f>
        <v/>
      </c>
      <c r="T544" s="32">
        <f>IF(OR($B544="",$R544="",$A544="",$F544=""),"",$B544&amp;"|"&amp;$A544&amp;"|"&amp;$F544&amp;"|"&amp;$R544&amp;"|"&amp;COUNTIFS($B$6:$B544,$B544,$A$6:$A544,$A544,$F$6:$F544,$F544,$R$6:$R544,$R544))</f>
        <v/>
      </c>
      <c r="U544" s="32">
        <f>IF($C544="","",$C544&amp;"|"&amp;COUNTIFS($C$6:$C544,$C544))</f>
        <v/>
      </c>
      <c r="V544" s="32">
        <f>IF(OR($C544="",$A544="",$S544=""),"",$C544&amp;"|"&amp;$A544&amp;"|"&amp;$S544)</f>
        <v/>
      </c>
      <c r="W544" s="32">
        <f>IF(OR($C544="",$S544="",$S544=1),"",IFERROR(INDEX($Q$6:$Q$1505,MATCH($C544&amp;"|"&amp;$A544&amp;"|"&amp;($S544-1),$V$6:$V$1505,0)),""))</f>
        <v/>
      </c>
      <c r="X544" s="32">
        <f>IF(OR($W544="",$Q544="",LEFT($Q544,1)="—"),"",IF($W544=$Q544,"ללא שינוי","מ-"&amp;$W544&amp;" ל-"&amp;$Q544))</f>
        <v/>
      </c>
    </row>
    <row r="545" ht="15.75" customHeight="1" s="58">
      <c r="A545" s="65" t="n"/>
      <c r="B545" s="65" t="n"/>
      <c r="C545" s="66" t="n"/>
      <c r="D545" s="66" t="n"/>
      <c r="E545" s="65" t="n"/>
      <c r="F545" s="65" t="n"/>
      <c r="G545" s="65" t="n"/>
      <c r="H545" s="65" t="n"/>
      <c r="I545" s="65" t="n"/>
      <c r="J545" s="65" t="n"/>
      <c r="K545" s="65" t="n"/>
      <c r="L545" s="65" t="n"/>
      <c r="M545" s="65" t="n"/>
      <c r="N545" s="65" t="n"/>
      <c r="O545" s="65" t="n"/>
      <c r="P545" s="65" t="n"/>
      <c r="Q545" s="32">
        <f>IF($C545="","",IF($J545="","— חסרים נתונים",IF($J545="טרם מפענח","פרופיל 5",IF($J545="קמץ/פתח/חטף-פתח ושוואים","פרופיל 4",IF($J545="2-3 סימני ניקוד","פרופיל 3",IF($J545="4-5 סימני ניקוד","פרופיל 2",IF(AND($O545="משפטים וקטעים קצרים",OR($M545="מבין",$M545="מבין לרוב")),"פרופיל 1","פרופיל 2")))))))</f>
        <v/>
      </c>
      <c r="R545" s="32">
        <f>IF($C545="","",IF(OR($Q545="",LEFT($Q545,1)="—"),"קבוצה רביעית",IF($Q545="פרופיל 5","קבוצת תשתיות",IF(OR($Q545="פרופיל 4",$Q545="פרופיל 3"),"קבוצת רכישה","קבוצת ביסוס"))))</f>
        <v/>
      </c>
      <c r="S545" s="32">
        <f>IF($F545="","",IF($F545="תחילת שנה",1,IF($F545="מחצית שנה",2,3)))</f>
        <v/>
      </c>
      <c r="T545" s="32">
        <f>IF(OR($B545="",$R545="",$A545="",$F545=""),"",$B545&amp;"|"&amp;$A545&amp;"|"&amp;$F545&amp;"|"&amp;$R545&amp;"|"&amp;COUNTIFS($B$6:$B545,$B545,$A$6:$A545,$A545,$F$6:$F545,$F545,$R$6:$R545,$R545))</f>
        <v/>
      </c>
      <c r="U545" s="32">
        <f>IF($C545="","",$C545&amp;"|"&amp;COUNTIFS($C$6:$C545,$C545))</f>
        <v/>
      </c>
      <c r="V545" s="32">
        <f>IF(OR($C545="",$A545="",$S545=""),"",$C545&amp;"|"&amp;$A545&amp;"|"&amp;$S545)</f>
        <v/>
      </c>
      <c r="W545" s="32">
        <f>IF(OR($C545="",$S545="",$S545=1),"",IFERROR(INDEX($Q$6:$Q$1505,MATCH($C545&amp;"|"&amp;$A545&amp;"|"&amp;($S545-1),$V$6:$V$1505,0)),""))</f>
        <v/>
      </c>
      <c r="X545" s="32">
        <f>IF(OR($W545="",$Q545="",LEFT($Q545,1)="—"),"",IF($W545=$Q545,"ללא שינוי","מ-"&amp;$W545&amp;" ל-"&amp;$Q545))</f>
        <v/>
      </c>
    </row>
    <row r="546" ht="15.75" customHeight="1" s="58">
      <c r="A546" s="65" t="n"/>
      <c r="B546" s="65" t="n"/>
      <c r="C546" s="66" t="n"/>
      <c r="D546" s="66" t="n"/>
      <c r="E546" s="65" t="n"/>
      <c r="F546" s="65" t="n"/>
      <c r="G546" s="65" t="n"/>
      <c r="H546" s="65" t="n"/>
      <c r="I546" s="65" t="n"/>
      <c r="J546" s="65" t="n"/>
      <c r="K546" s="65" t="n"/>
      <c r="L546" s="65" t="n"/>
      <c r="M546" s="65" t="n"/>
      <c r="N546" s="65" t="n"/>
      <c r="O546" s="65" t="n"/>
      <c r="P546" s="65" t="n"/>
      <c r="Q546" s="32">
        <f>IF($C546="","",IF($J546="","— חסרים נתונים",IF($J546="טרם מפענח","פרופיל 5",IF($J546="קמץ/פתח/חטף-פתח ושוואים","פרופיל 4",IF($J546="2-3 סימני ניקוד","פרופיל 3",IF($J546="4-5 סימני ניקוד","פרופיל 2",IF(AND($O546="משפטים וקטעים קצרים",OR($M546="מבין",$M546="מבין לרוב")),"פרופיל 1","פרופיל 2")))))))</f>
        <v/>
      </c>
      <c r="R546" s="32">
        <f>IF($C546="","",IF(OR($Q546="",LEFT($Q546,1)="—"),"קבוצה רביעית",IF($Q546="פרופיל 5","קבוצת תשתיות",IF(OR($Q546="פרופיל 4",$Q546="פרופיל 3"),"קבוצת רכישה","קבוצת ביסוס"))))</f>
        <v/>
      </c>
      <c r="S546" s="32">
        <f>IF($F546="","",IF($F546="תחילת שנה",1,IF($F546="מחצית שנה",2,3)))</f>
        <v/>
      </c>
      <c r="T546" s="32">
        <f>IF(OR($B546="",$R546="",$A546="",$F546=""),"",$B546&amp;"|"&amp;$A546&amp;"|"&amp;$F546&amp;"|"&amp;$R546&amp;"|"&amp;COUNTIFS($B$6:$B546,$B546,$A$6:$A546,$A546,$F$6:$F546,$F546,$R$6:$R546,$R546))</f>
        <v/>
      </c>
      <c r="U546" s="32">
        <f>IF($C546="","",$C546&amp;"|"&amp;COUNTIFS($C$6:$C546,$C546))</f>
        <v/>
      </c>
      <c r="V546" s="32">
        <f>IF(OR($C546="",$A546="",$S546=""),"",$C546&amp;"|"&amp;$A546&amp;"|"&amp;$S546)</f>
        <v/>
      </c>
      <c r="W546" s="32">
        <f>IF(OR($C546="",$S546="",$S546=1),"",IFERROR(INDEX($Q$6:$Q$1505,MATCH($C546&amp;"|"&amp;$A546&amp;"|"&amp;($S546-1),$V$6:$V$1505,0)),""))</f>
        <v/>
      </c>
      <c r="X546" s="32">
        <f>IF(OR($W546="",$Q546="",LEFT($Q546,1)="—"),"",IF($W546=$Q546,"ללא שינוי","מ-"&amp;$W546&amp;" ל-"&amp;$Q546))</f>
        <v/>
      </c>
    </row>
    <row r="547" ht="15.75" customHeight="1" s="58">
      <c r="A547" s="65" t="n"/>
      <c r="B547" s="65" t="n"/>
      <c r="C547" s="66" t="n"/>
      <c r="D547" s="66" t="n"/>
      <c r="E547" s="65" t="n"/>
      <c r="F547" s="65" t="n"/>
      <c r="G547" s="65" t="n"/>
      <c r="H547" s="65" t="n"/>
      <c r="I547" s="65" t="n"/>
      <c r="J547" s="65" t="n"/>
      <c r="K547" s="65" t="n"/>
      <c r="L547" s="65" t="n"/>
      <c r="M547" s="65" t="n"/>
      <c r="N547" s="65" t="n"/>
      <c r="O547" s="65" t="n"/>
      <c r="P547" s="65" t="n"/>
      <c r="Q547" s="32">
        <f>IF($C547="","",IF($J547="","— חסרים נתונים",IF($J547="טרם מפענח","פרופיל 5",IF($J547="קמץ/פתח/חטף-פתח ושוואים","פרופיל 4",IF($J547="2-3 סימני ניקוד","פרופיל 3",IF($J547="4-5 סימני ניקוד","פרופיל 2",IF(AND($O547="משפטים וקטעים קצרים",OR($M547="מבין",$M547="מבין לרוב")),"פרופיל 1","פרופיל 2")))))))</f>
        <v/>
      </c>
      <c r="R547" s="32">
        <f>IF($C547="","",IF(OR($Q547="",LEFT($Q547,1)="—"),"קבוצה רביעית",IF($Q547="פרופיל 5","קבוצת תשתיות",IF(OR($Q547="פרופיל 4",$Q547="פרופיל 3"),"קבוצת רכישה","קבוצת ביסוס"))))</f>
        <v/>
      </c>
      <c r="S547" s="32">
        <f>IF($F547="","",IF($F547="תחילת שנה",1,IF($F547="מחצית שנה",2,3)))</f>
        <v/>
      </c>
      <c r="T547" s="32">
        <f>IF(OR($B547="",$R547="",$A547="",$F547=""),"",$B547&amp;"|"&amp;$A547&amp;"|"&amp;$F547&amp;"|"&amp;$R547&amp;"|"&amp;COUNTIFS($B$6:$B547,$B547,$A$6:$A547,$A547,$F$6:$F547,$F547,$R$6:$R547,$R547))</f>
        <v/>
      </c>
      <c r="U547" s="32">
        <f>IF($C547="","",$C547&amp;"|"&amp;COUNTIFS($C$6:$C547,$C547))</f>
        <v/>
      </c>
      <c r="V547" s="32">
        <f>IF(OR($C547="",$A547="",$S547=""),"",$C547&amp;"|"&amp;$A547&amp;"|"&amp;$S547)</f>
        <v/>
      </c>
      <c r="W547" s="32">
        <f>IF(OR($C547="",$S547="",$S547=1),"",IFERROR(INDEX($Q$6:$Q$1505,MATCH($C547&amp;"|"&amp;$A547&amp;"|"&amp;($S547-1),$V$6:$V$1505,0)),""))</f>
        <v/>
      </c>
      <c r="X547" s="32">
        <f>IF(OR($W547="",$Q547="",LEFT($Q547,1)="—"),"",IF($W547=$Q547,"ללא שינוי","מ-"&amp;$W547&amp;" ל-"&amp;$Q547))</f>
        <v/>
      </c>
    </row>
    <row r="548" ht="15.75" customHeight="1" s="58">
      <c r="A548" s="65" t="n"/>
      <c r="B548" s="65" t="n"/>
      <c r="C548" s="66" t="n"/>
      <c r="D548" s="66" t="n"/>
      <c r="E548" s="65" t="n"/>
      <c r="F548" s="65" t="n"/>
      <c r="G548" s="65" t="n"/>
      <c r="H548" s="65" t="n"/>
      <c r="I548" s="65" t="n"/>
      <c r="J548" s="65" t="n"/>
      <c r="K548" s="65" t="n"/>
      <c r="L548" s="65" t="n"/>
      <c r="M548" s="65" t="n"/>
      <c r="N548" s="65" t="n"/>
      <c r="O548" s="65" t="n"/>
      <c r="P548" s="65" t="n"/>
      <c r="Q548" s="32">
        <f>IF($C548="","",IF($J548="","— חסרים נתונים",IF($J548="טרם מפענח","פרופיל 5",IF($J548="קמץ/פתח/חטף-פתח ושוואים","פרופיל 4",IF($J548="2-3 סימני ניקוד","פרופיל 3",IF($J548="4-5 סימני ניקוד","פרופיל 2",IF(AND($O548="משפטים וקטעים קצרים",OR($M548="מבין",$M548="מבין לרוב")),"פרופיל 1","פרופיל 2")))))))</f>
        <v/>
      </c>
      <c r="R548" s="32">
        <f>IF($C548="","",IF(OR($Q548="",LEFT($Q548,1)="—"),"קבוצה רביעית",IF($Q548="פרופיל 5","קבוצת תשתיות",IF(OR($Q548="פרופיל 4",$Q548="פרופיל 3"),"קבוצת רכישה","קבוצת ביסוס"))))</f>
        <v/>
      </c>
      <c r="S548" s="32">
        <f>IF($F548="","",IF($F548="תחילת שנה",1,IF($F548="מחצית שנה",2,3)))</f>
        <v/>
      </c>
      <c r="T548" s="32">
        <f>IF(OR($B548="",$R548="",$A548="",$F548=""),"",$B548&amp;"|"&amp;$A548&amp;"|"&amp;$F548&amp;"|"&amp;$R548&amp;"|"&amp;COUNTIFS($B$6:$B548,$B548,$A$6:$A548,$A548,$F$6:$F548,$F548,$R$6:$R548,$R548))</f>
        <v/>
      </c>
      <c r="U548" s="32">
        <f>IF($C548="","",$C548&amp;"|"&amp;COUNTIFS($C$6:$C548,$C548))</f>
        <v/>
      </c>
      <c r="V548" s="32">
        <f>IF(OR($C548="",$A548="",$S548=""),"",$C548&amp;"|"&amp;$A548&amp;"|"&amp;$S548)</f>
        <v/>
      </c>
      <c r="W548" s="32">
        <f>IF(OR($C548="",$S548="",$S548=1),"",IFERROR(INDEX($Q$6:$Q$1505,MATCH($C548&amp;"|"&amp;$A548&amp;"|"&amp;($S548-1),$V$6:$V$1505,0)),""))</f>
        <v/>
      </c>
      <c r="X548" s="32">
        <f>IF(OR($W548="",$Q548="",LEFT($Q548,1)="—"),"",IF($W548=$Q548,"ללא שינוי","מ-"&amp;$W548&amp;" ל-"&amp;$Q548))</f>
        <v/>
      </c>
    </row>
    <row r="549" ht="15.75" customHeight="1" s="58">
      <c r="A549" s="65" t="n"/>
      <c r="B549" s="65" t="n"/>
      <c r="C549" s="66" t="n"/>
      <c r="D549" s="66" t="n"/>
      <c r="E549" s="65" t="n"/>
      <c r="F549" s="65" t="n"/>
      <c r="G549" s="65" t="n"/>
      <c r="H549" s="65" t="n"/>
      <c r="I549" s="65" t="n"/>
      <c r="J549" s="65" t="n"/>
      <c r="K549" s="65" t="n"/>
      <c r="L549" s="65" t="n"/>
      <c r="M549" s="65" t="n"/>
      <c r="N549" s="65" t="n"/>
      <c r="O549" s="65" t="n"/>
      <c r="P549" s="65" t="n"/>
      <c r="Q549" s="32">
        <f>IF($C549="","",IF($J549="","— חסרים נתונים",IF($J549="טרם מפענח","פרופיל 5",IF($J549="קמץ/פתח/חטף-פתח ושוואים","פרופיל 4",IF($J549="2-3 סימני ניקוד","פרופיל 3",IF($J549="4-5 סימני ניקוד","פרופיל 2",IF(AND($O549="משפטים וקטעים קצרים",OR($M549="מבין",$M549="מבין לרוב")),"פרופיל 1","פרופיל 2")))))))</f>
        <v/>
      </c>
      <c r="R549" s="32">
        <f>IF($C549="","",IF(OR($Q549="",LEFT($Q549,1)="—"),"קבוצה רביעית",IF($Q549="פרופיל 5","קבוצת תשתיות",IF(OR($Q549="פרופיל 4",$Q549="פרופיל 3"),"קבוצת רכישה","קבוצת ביסוס"))))</f>
        <v/>
      </c>
      <c r="S549" s="32">
        <f>IF($F549="","",IF($F549="תחילת שנה",1,IF($F549="מחצית שנה",2,3)))</f>
        <v/>
      </c>
      <c r="T549" s="32">
        <f>IF(OR($B549="",$R549="",$A549="",$F549=""),"",$B549&amp;"|"&amp;$A549&amp;"|"&amp;$F549&amp;"|"&amp;$R549&amp;"|"&amp;COUNTIFS($B$6:$B549,$B549,$A$6:$A549,$A549,$F$6:$F549,$F549,$R$6:$R549,$R549))</f>
        <v/>
      </c>
      <c r="U549" s="32">
        <f>IF($C549="","",$C549&amp;"|"&amp;COUNTIFS($C$6:$C549,$C549))</f>
        <v/>
      </c>
      <c r="V549" s="32">
        <f>IF(OR($C549="",$A549="",$S549=""),"",$C549&amp;"|"&amp;$A549&amp;"|"&amp;$S549)</f>
        <v/>
      </c>
      <c r="W549" s="32">
        <f>IF(OR($C549="",$S549="",$S549=1),"",IFERROR(INDEX($Q$6:$Q$1505,MATCH($C549&amp;"|"&amp;$A549&amp;"|"&amp;($S549-1),$V$6:$V$1505,0)),""))</f>
        <v/>
      </c>
      <c r="X549" s="32">
        <f>IF(OR($W549="",$Q549="",LEFT($Q549,1)="—"),"",IF($W549=$Q549,"ללא שינוי","מ-"&amp;$W549&amp;" ל-"&amp;$Q549))</f>
        <v/>
      </c>
    </row>
    <row r="550" ht="15.75" customHeight="1" s="58">
      <c r="A550" s="65" t="n"/>
      <c r="B550" s="65" t="n"/>
      <c r="C550" s="66" t="n"/>
      <c r="D550" s="66" t="n"/>
      <c r="E550" s="65" t="n"/>
      <c r="F550" s="65" t="n"/>
      <c r="G550" s="65" t="n"/>
      <c r="H550" s="65" t="n"/>
      <c r="I550" s="65" t="n"/>
      <c r="J550" s="65" t="n"/>
      <c r="K550" s="65" t="n"/>
      <c r="L550" s="65" t="n"/>
      <c r="M550" s="65" t="n"/>
      <c r="N550" s="65" t="n"/>
      <c r="O550" s="65" t="n"/>
      <c r="P550" s="65" t="n"/>
      <c r="Q550" s="32">
        <f>IF($C550="","",IF($J550="","— חסרים נתונים",IF($J550="טרם מפענח","פרופיל 5",IF($J550="קמץ/פתח/חטף-פתח ושוואים","פרופיל 4",IF($J550="2-3 סימני ניקוד","פרופיל 3",IF($J550="4-5 סימני ניקוד","פרופיל 2",IF(AND($O550="משפטים וקטעים קצרים",OR($M550="מבין",$M550="מבין לרוב")),"פרופיל 1","פרופיל 2")))))))</f>
        <v/>
      </c>
      <c r="R550" s="32">
        <f>IF($C550="","",IF(OR($Q550="",LEFT($Q550,1)="—"),"קבוצה רביעית",IF($Q550="פרופיל 5","קבוצת תשתיות",IF(OR($Q550="פרופיל 4",$Q550="פרופיל 3"),"קבוצת רכישה","קבוצת ביסוס"))))</f>
        <v/>
      </c>
      <c r="S550" s="32">
        <f>IF($F550="","",IF($F550="תחילת שנה",1,IF($F550="מחצית שנה",2,3)))</f>
        <v/>
      </c>
      <c r="T550" s="32">
        <f>IF(OR($B550="",$R550="",$A550="",$F550=""),"",$B550&amp;"|"&amp;$A550&amp;"|"&amp;$F550&amp;"|"&amp;$R550&amp;"|"&amp;COUNTIFS($B$6:$B550,$B550,$A$6:$A550,$A550,$F$6:$F550,$F550,$R$6:$R550,$R550))</f>
        <v/>
      </c>
      <c r="U550" s="32">
        <f>IF($C550="","",$C550&amp;"|"&amp;COUNTIFS($C$6:$C550,$C550))</f>
        <v/>
      </c>
      <c r="V550" s="32">
        <f>IF(OR($C550="",$A550="",$S550=""),"",$C550&amp;"|"&amp;$A550&amp;"|"&amp;$S550)</f>
        <v/>
      </c>
      <c r="W550" s="32">
        <f>IF(OR($C550="",$S550="",$S550=1),"",IFERROR(INDEX($Q$6:$Q$1505,MATCH($C550&amp;"|"&amp;$A550&amp;"|"&amp;($S550-1),$V$6:$V$1505,0)),""))</f>
        <v/>
      </c>
      <c r="X550" s="32">
        <f>IF(OR($W550="",$Q550="",LEFT($Q550,1)="—"),"",IF($W550=$Q550,"ללא שינוי","מ-"&amp;$W550&amp;" ל-"&amp;$Q550))</f>
        <v/>
      </c>
    </row>
    <row r="551" ht="15.75" customHeight="1" s="58">
      <c r="A551" s="65" t="n"/>
      <c r="B551" s="65" t="n"/>
      <c r="C551" s="66" t="n"/>
      <c r="D551" s="66" t="n"/>
      <c r="E551" s="65" t="n"/>
      <c r="F551" s="65" t="n"/>
      <c r="G551" s="65" t="n"/>
      <c r="H551" s="65" t="n"/>
      <c r="I551" s="65" t="n"/>
      <c r="J551" s="65" t="n"/>
      <c r="K551" s="65" t="n"/>
      <c r="L551" s="65" t="n"/>
      <c r="M551" s="65" t="n"/>
      <c r="N551" s="65" t="n"/>
      <c r="O551" s="65" t="n"/>
      <c r="P551" s="65" t="n"/>
      <c r="Q551" s="32">
        <f>IF($C551="","",IF($J551="","— חסרים נתונים",IF($J551="טרם מפענח","פרופיל 5",IF($J551="קמץ/פתח/חטף-פתח ושוואים","פרופיל 4",IF($J551="2-3 סימני ניקוד","פרופיל 3",IF($J551="4-5 סימני ניקוד","פרופיל 2",IF(AND($O551="משפטים וקטעים קצרים",OR($M551="מבין",$M551="מבין לרוב")),"פרופיל 1","פרופיל 2")))))))</f>
        <v/>
      </c>
      <c r="R551" s="32">
        <f>IF($C551="","",IF(OR($Q551="",LEFT($Q551,1)="—"),"קבוצה רביעית",IF($Q551="פרופיל 5","קבוצת תשתיות",IF(OR($Q551="פרופיל 4",$Q551="פרופיל 3"),"קבוצת רכישה","קבוצת ביסוס"))))</f>
        <v/>
      </c>
      <c r="S551" s="32">
        <f>IF($F551="","",IF($F551="תחילת שנה",1,IF($F551="מחצית שנה",2,3)))</f>
        <v/>
      </c>
      <c r="T551" s="32">
        <f>IF(OR($B551="",$R551="",$A551="",$F551=""),"",$B551&amp;"|"&amp;$A551&amp;"|"&amp;$F551&amp;"|"&amp;$R551&amp;"|"&amp;COUNTIFS($B$6:$B551,$B551,$A$6:$A551,$A551,$F$6:$F551,$F551,$R$6:$R551,$R551))</f>
        <v/>
      </c>
      <c r="U551" s="32">
        <f>IF($C551="","",$C551&amp;"|"&amp;COUNTIFS($C$6:$C551,$C551))</f>
        <v/>
      </c>
      <c r="V551" s="32">
        <f>IF(OR($C551="",$A551="",$S551=""),"",$C551&amp;"|"&amp;$A551&amp;"|"&amp;$S551)</f>
        <v/>
      </c>
      <c r="W551" s="32">
        <f>IF(OR($C551="",$S551="",$S551=1),"",IFERROR(INDEX($Q$6:$Q$1505,MATCH($C551&amp;"|"&amp;$A551&amp;"|"&amp;($S551-1),$V$6:$V$1505,0)),""))</f>
        <v/>
      </c>
      <c r="X551" s="32">
        <f>IF(OR($W551="",$Q551="",LEFT($Q551,1)="—"),"",IF($W551=$Q551,"ללא שינוי","מ-"&amp;$W551&amp;" ל-"&amp;$Q551))</f>
        <v/>
      </c>
    </row>
    <row r="552" ht="15.75" customHeight="1" s="58">
      <c r="A552" s="65" t="n"/>
      <c r="B552" s="65" t="n"/>
      <c r="C552" s="66" t="n"/>
      <c r="D552" s="66" t="n"/>
      <c r="E552" s="65" t="n"/>
      <c r="F552" s="65" t="n"/>
      <c r="G552" s="65" t="n"/>
      <c r="H552" s="65" t="n"/>
      <c r="I552" s="65" t="n"/>
      <c r="J552" s="65" t="n"/>
      <c r="K552" s="65" t="n"/>
      <c r="L552" s="65" t="n"/>
      <c r="M552" s="65" t="n"/>
      <c r="N552" s="65" t="n"/>
      <c r="O552" s="65" t="n"/>
      <c r="P552" s="65" t="n"/>
      <c r="Q552" s="32">
        <f>IF($C552="","",IF($J552="","— חסרים נתונים",IF($J552="טרם מפענח","פרופיל 5",IF($J552="קמץ/פתח/חטף-פתח ושוואים","פרופיל 4",IF($J552="2-3 סימני ניקוד","פרופיל 3",IF($J552="4-5 סימני ניקוד","פרופיל 2",IF(AND($O552="משפטים וקטעים קצרים",OR($M552="מבין",$M552="מבין לרוב")),"פרופיל 1","פרופיל 2")))))))</f>
        <v/>
      </c>
      <c r="R552" s="32">
        <f>IF($C552="","",IF(OR($Q552="",LEFT($Q552,1)="—"),"קבוצה רביעית",IF($Q552="פרופיל 5","קבוצת תשתיות",IF(OR($Q552="פרופיל 4",$Q552="פרופיל 3"),"קבוצת רכישה","קבוצת ביסוס"))))</f>
        <v/>
      </c>
      <c r="S552" s="32">
        <f>IF($F552="","",IF($F552="תחילת שנה",1,IF($F552="מחצית שנה",2,3)))</f>
        <v/>
      </c>
      <c r="T552" s="32">
        <f>IF(OR($B552="",$R552="",$A552="",$F552=""),"",$B552&amp;"|"&amp;$A552&amp;"|"&amp;$F552&amp;"|"&amp;$R552&amp;"|"&amp;COUNTIFS($B$6:$B552,$B552,$A$6:$A552,$A552,$F$6:$F552,$F552,$R$6:$R552,$R552))</f>
        <v/>
      </c>
      <c r="U552" s="32">
        <f>IF($C552="","",$C552&amp;"|"&amp;COUNTIFS($C$6:$C552,$C552))</f>
        <v/>
      </c>
      <c r="V552" s="32">
        <f>IF(OR($C552="",$A552="",$S552=""),"",$C552&amp;"|"&amp;$A552&amp;"|"&amp;$S552)</f>
        <v/>
      </c>
      <c r="W552" s="32">
        <f>IF(OR($C552="",$S552="",$S552=1),"",IFERROR(INDEX($Q$6:$Q$1505,MATCH($C552&amp;"|"&amp;$A552&amp;"|"&amp;($S552-1),$V$6:$V$1505,0)),""))</f>
        <v/>
      </c>
      <c r="X552" s="32">
        <f>IF(OR($W552="",$Q552="",LEFT($Q552,1)="—"),"",IF($W552=$Q552,"ללא שינוי","מ-"&amp;$W552&amp;" ל-"&amp;$Q552))</f>
        <v/>
      </c>
    </row>
    <row r="553" ht="15.75" customHeight="1" s="58">
      <c r="A553" s="65" t="n"/>
      <c r="B553" s="65" t="n"/>
      <c r="C553" s="66" t="n"/>
      <c r="D553" s="66" t="n"/>
      <c r="E553" s="65" t="n"/>
      <c r="F553" s="65" t="n"/>
      <c r="G553" s="65" t="n"/>
      <c r="H553" s="65" t="n"/>
      <c r="I553" s="65" t="n"/>
      <c r="J553" s="65" t="n"/>
      <c r="K553" s="65" t="n"/>
      <c r="L553" s="65" t="n"/>
      <c r="M553" s="65" t="n"/>
      <c r="N553" s="65" t="n"/>
      <c r="O553" s="65" t="n"/>
      <c r="P553" s="65" t="n"/>
      <c r="Q553" s="32">
        <f>IF($C553="","",IF($J553="","— חסרים נתונים",IF($J553="טרם מפענח","פרופיל 5",IF($J553="קמץ/פתח/חטף-פתח ושוואים","פרופיל 4",IF($J553="2-3 סימני ניקוד","פרופיל 3",IF($J553="4-5 סימני ניקוד","פרופיל 2",IF(AND($O553="משפטים וקטעים קצרים",OR($M553="מבין",$M553="מבין לרוב")),"פרופיל 1","פרופיל 2")))))))</f>
        <v/>
      </c>
      <c r="R553" s="32">
        <f>IF($C553="","",IF(OR($Q553="",LEFT($Q553,1)="—"),"קבוצה רביעית",IF($Q553="פרופיל 5","קבוצת תשתיות",IF(OR($Q553="פרופיל 4",$Q553="פרופיל 3"),"קבוצת רכישה","קבוצת ביסוס"))))</f>
        <v/>
      </c>
      <c r="S553" s="32">
        <f>IF($F553="","",IF($F553="תחילת שנה",1,IF($F553="מחצית שנה",2,3)))</f>
        <v/>
      </c>
      <c r="T553" s="32">
        <f>IF(OR($B553="",$R553="",$A553="",$F553=""),"",$B553&amp;"|"&amp;$A553&amp;"|"&amp;$F553&amp;"|"&amp;$R553&amp;"|"&amp;COUNTIFS($B$6:$B553,$B553,$A$6:$A553,$A553,$F$6:$F553,$F553,$R$6:$R553,$R553))</f>
        <v/>
      </c>
      <c r="U553" s="32">
        <f>IF($C553="","",$C553&amp;"|"&amp;COUNTIFS($C$6:$C553,$C553))</f>
        <v/>
      </c>
      <c r="V553" s="32">
        <f>IF(OR($C553="",$A553="",$S553=""),"",$C553&amp;"|"&amp;$A553&amp;"|"&amp;$S553)</f>
        <v/>
      </c>
      <c r="W553" s="32">
        <f>IF(OR($C553="",$S553="",$S553=1),"",IFERROR(INDEX($Q$6:$Q$1505,MATCH($C553&amp;"|"&amp;$A553&amp;"|"&amp;($S553-1),$V$6:$V$1505,0)),""))</f>
        <v/>
      </c>
      <c r="X553" s="32">
        <f>IF(OR($W553="",$Q553="",LEFT($Q553,1)="—"),"",IF($W553=$Q553,"ללא שינוי","מ-"&amp;$W553&amp;" ל-"&amp;$Q553))</f>
        <v/>
      </c>
    </row>
    <row r="554" ht="15.75" customHeight="1" s="58">
      <c r="A554" s="65" t="n"/>
      <c r="B554" s="65" t="n"/>
      <c r="C554" s="66" t="n"/>
      <c r="D554" s="66" t="n"/>
      <c r="E554" s="65" t="n"/>
      <c r="F554" s="65" t="n"/>
      <c r="G554" s="65" t="n"/>
      <c r="H554" s="65" t="n"/>
      <c r="I554" s="65" t="n"/>
      <c r="J554" s="65" t="n"/>
      <c r="K554" s="65" t="n"/>
      <c r="L554" s="65" t="n"/>
      <c r="M554" s="65" t="n"/>
      <c r="N554" s="65" t="n"/>
      <c r="O554" s="65" t="n"/>
      <c r="P554" s="65" t="n"/>
      <c r="Q554" s="32">
        <f>IF($C554="","",IF($J554="","— חסרים נתונים",IF($J554="טרם מפענח","פרופיל 5",IF($J554="קמץ/פתח/חטף-פתח ושוואים","פרופיל 4",IF($J554="2-3 סימני ניקוד","פרופיל 3",IF($J554="4-5 סימני ניקוד","פרופיל 2",IF(AND($O554="משפטים וקטעים קצרים",OR($M554="מבין",$M554="מבין לרוב")),"פרופיל 1","פרופיל 2")))))))</f>
        <v/>
      </c>
      <c r="R554" s="32">
        <f>IF($C554="","",IF(OR($Q554="",LEFT($Q554,1)="—"),"קבוצה רביעית",IF($Q554="פרופיל 5","קבוצת תשתיות",IF(OR($Q554="פרופיל 4",$Q554="פרופיל 3"),"קבוצת רכישה","קבוצת ביסוס"))))</f>
        <v/>
      </c>
      <c r="S554" s="32">
        <f>IF($F554="","",IF($F554="תחילת שנה",1,IF($F554="מחצית שנה",2,3)))</f>
        <v/>
      </c>
      <c r="T554" s="32">
        <f>IF(OR($B554="",$R554="",$A554="",$F554=""),"",$B554&amp;"|"&amp;$A554&amp;"|"&amp;$F554&amp;"|"&amp;$R554&amp;"|"&amp;COUNTIFS($B$6:$B554,$B554,$A$6:$A554,$A554,$F$6:$F554,$F554,$R$6:$R554,$R554))</f>
        <v/>
      </c>
      <c r="U554" s="32">
        <f>IF($C554="","",$C554&amp;"|"&amp;COUNTIFS($C$6:$C554,$C554))</f>
        <v/>
      </c>
      <c r="V554" s="32">
        <f>IF(OR($C554="",$A554="",$S554=""),"",$C554&amp;"|"&amp;$A554&amp;"|"&amp;$S554)</f>
        <v/>
      </c>
      <c r="W554" s="32">
        <f>IF(OR($C554="",$S554="",$S554=1),"",IFERROR(INDEX($Q$6:$Q$1505,MATCH($C554&amp;"|"&amp;$A554&amp;"|"&amp;($S554-1),$V$6:$V$1505,0)),""))</f>
        <v/>
      </c>
      <c r="X554" s="32">
        <f>IF(OR($W554="",$Q554="",LEFT($Q554,1)="—"),"",IF($W554=$Q554,"ללא שינוי","מ-"&amp;$W554&amp;" ל-"&amp;$Q554))</f>
        <v/>
      </c>
    </row>
    <row r="555" ht="15.75" customHeight="1" s="58">
      <c r="A555" s="65" t="n"/>
      <c r="B555" s="65" t="n"/>
      <c r="C555" s="66" t="n"/>
      <c r="D555" s="66" t="n"/>
      <c r="E555" s="65" t="n"/>
      <c r="F555" s="65" t="n"/>
      <c r="G555" s="65" t="n"/>
      <c r="H555" s="65" t="n"/>
      <c r="I555" s="65" t="n"/>
      <c r="J555" s="65" t="n"/>
      <c r="K555" s="65" t="n"/>
      <c r="L555" s="65" t="n"/>
      <c r="M555" s="65" t="n"/>
      <c r="N555" s="65" t="n"/>
      <c r="O555" s="65" t="n"/>
      <c r="P555" s="65" t="n"/>
      <c r="Q555" s="32">
        <f>IF($C555="","",IF($J555="","— חסרים נתונים",IF($J555="טרם מפענח","פרופיל 5",IF($J555="קמץ/פתח/חטף-פתח ושוואים","פרופיל 4",IF($J555="2-3 סימני ניקוד","פרופיל 3",IF($J555="4-5 סימני ניקוד","פרופיל 2",IF(AND($O555="משפטים וקטעים קצרים",OR($M555="מבין",$M555="מבין לרוב")),"פרופיל 1","פרופיל 2")))))))</f>
        <v/>
      </c>
      <c r="R555" s="32">
        <f>IF($C555="","",IF(OR($Q555="",LEFT($Q555,1)="—"),"קבוצה רביעית",IF($Q555="פרופיל 5","קבוצת תשתיות",IF(OR($Q555="פרופיל 4",$Q555="פרופיל 3"),"קבוצת רכישה","קבוצת ביסוס"))))</f>
        <v/>
      </c>
      <c r="S555" s="32">
        <f>IF($F555="","",IF($F555="תחילת שנה",1,IF($F555="מחצית שנה",2,3)))</f>
        <v/>
      </c>
      <c r="T555" s="32">
        <f>IF(OR($B555="",$R555="",$A555="",$F555=""),"",$B555&amp;"|"&amp;$A555&amp;"|"&amp;$F555&amp;"|"&amp;$R555&amp;"|"&amp;COUNTIFS($B$6:$B555,$B555,$A$6:$A555,$A555,$F$6:$F555,$F555,$R$6:$R555,$R555))</f>
        <v/>
      </c>
      <c r="U555" s="32">
        <f>IF($C555="","",$C555&amp;"|"&amp;COUNTIFS($C$6:$C555,$C555))</f>
        <v/>
      </c>
      <c r="V555" s="32">
        <f>IF(OR($C555="",$A555="",$S555=""),"",$C555&amp;"|"&amp;$A555&amp;"|"&amp;$S555)</f>
        <v/>
      </c>
      <c r="W555" s="32">
        <f>IF(OR($C555="",$S555="",$S555=1),"",IFERROR(INDEX($Q$6:$Q$1505,MATCH($C555&amp;"|"&amp;$A555&amp;"|"&amp;($S555-1),$V$6:$V$1505,0)),""))</f>
        <v/>
      </c>
      <c r="X555" s="32">
        <f>IF(OR($W555="",$Q555="",LEFT($Q555,1)="—"),"",IF($W555=$Q555,"ללא שינוי","מ-"&amp;$W555&amp;" ל-"&amp;$Q555))</f>
        <v/>
      </c>
    </row>
    <row r="556" ht="15.75" customHeight="1" s="58">
      <c r="A556" s="65" t="n"/>
      <c r="B556" s="65" t="n"/>
      <c r="C556" s="66" t="n"/>
      <c r="D556" s="66" t="n"/>
      <c r="E556" s="65" t="n"/>
      <c r="F556" s="65" t="n"/>
      <c r="G556" s="65" t="n"/>
      <c r="H556" s="65" t="n"/>
      <c r="I556" s="65" t="n"/>
      <c r="J556" s="65" t="n"/>
      <c r="K556" s="65" t="n"/>
      <c r="L556" s="65" t="n"/>
      <c r="M556" s="65" t="n"/>
      <c r="N556" s="65" t="n"/>
      <c r="O556" s="65" t="n"/>
      <c r="P556" s="65" t="n"/>
      <c r="Q556" s="32">
        <f>IF($C556="","",IF($J556="","— חסרים נתונים",IF($J556="טרם מפענח","פרופיל 5",IF($J556="קמץ/פתח/חטף-פתח ושוואים","פרופיל 4",IF($J556="2-3 סימני ניקוד","פרופיל 3",IF($J556="4-5 סימני ניקוד","פרופיל 2",IF(AND($O556="משפטים וקטעים קצרים",OR($M556="מבין",$M556="מבין לרוב")),"פרופיל 1","פרופיל 2")))))))</f>
        <v/>
      </c>
      <c r="R556" s="32">
        <f>IF($C556="","",IF(OR($Q556="",LEFT($Q556,1)="—"),"קבוצה רביעית",IF($Q556="פרופיל 5","קבוצת תשתיות",IF(OR($Q556="פרופיל 4",$Q556="פרופיל 3"),"קבוצת רכישה","קבוצת ביסוס"))))</f>
        <v/>
      </c>
      <c r="S556" s="32">
        <f>IF($F556="","",IF($F556="תחילת שנה",1,IF($F556="מחצית שנה",2,3)))</f>
        <v/>
      </c>
      <c r="T556" s="32">
        <f>IF(OR($B556="",$R556="",$A556="",$F556=""),"",$B556&amp;"|"&amp;$A556&amp;"|"&amp;$F556&amp;"|"&amp;$R556&amp;"|"&amp;COUNTIFS($B$6:$B556,$B556,$A$6:$A556,$A556,$F$6:$F556,$F556,$R$6:$R556,$R556))</f>
        <v/>
      </c>
      <c r="U556" s="32">
        <f>IF($C556="","",$C556&amp;"|"&amp;COUNTIFS($C$6:$C556,$C556))</f>
        <v/>
      </c>
      <c r="V556" s="32">
        <f>IF(OR($C556="",$A556="",$S556=""),"",$C556&amp;"|"&amp;$A556&amp;"|"&amp;$S556)</f>
        <v/>
      </c>
      <c r="W556" s="32">
        <f>IF(OR($C556="",$S556="",$S556=1),"",IFERROR(INDEX($Q$6:$Q$1505,MATCH($C556&amp;"|"&amp;$A556&amp;"|"&amp;($S556-1),$V$6:$V$1505,0)),""))</f>
        <v/>
      </c>
      <c r="X556" s="32">
        <f>IF(OR($W556="",$Q556="",LEFT($Q556,1)="—"),"",IF($W556=$Q556,"ללא שינוי","מ-"&amp;$W556&amp;" ל-"&amp;$Q556))</f>
        <v/>
      </c>
    </row>
    <row r="557" ht="15.75" customHeight="1" s="58">
      <c r="A557" s="65" t="n"/>
      <c r="B557" s="65" t="n"/>
      <c r="C557" s="66" t="n"/>
      <c r="D557" s="66" t="n"/>
      <c r="E557" s="65" t="n"/>
      <c r="F557" s="65" t="n"/>
      <c r="G557" s="65" t="n"/>
      <c r="H557" s="65" t="n"/>
      <c r="I557" s="65" t="n"/>
      <c r="J557" s="65" t="n"/>
      <c r="K557" s="65" t="n"/>
      <c r="L557" s="65" t="n"/>
      <c r="M557" s="65" t="n"/>
      <c r="N557" s="65" t="n"/>
      <c r="O557" s="65" t="n"/>
      <c r="P557" s="65" t="n"/>
      <c r="Q557" s="32">
        <f>IF($C557="","",IF($J557="","— חסרים נתונים",IF($J557="טרם מפענח","פרופיל 5",IF($J557="קמץ/פתח/חטף-פתח ושוואים","פרופיל 4",IF($J557="2-3 סימני ניקוד","פרופיל 3",IF($J557="4-5 סימני ניקוד","פרופיל 2",IF(AND($O557="משפטים וקטעים קצרים",OR($M557="מבין",$M557="מבין לרוב")),"פרופיל 1","פרופיל 2")))))))</f>
        <v/>
      </c>
      <c r="R557" s="32">
        <f>IF($C557="","",IF(OR($Q557="",LEFT($Q557,1)="—"),"קבוצה רביעית",IF($Q557="פרופיל 5","קבוצת תשתיות",IF(OR($Q557="פרופיל 4",$Q557="פרופיל 3"),"קבוצת רכישה","קבוצת ביסוס"))))</f>
        <v/>
      </c>
      <c r="S557" s="32">
        <f>IF($F557="","",IF($F557="תחילת שנה",1,IF($F557="מחצית שנה",2,3)))</f>
        <v/>
      </c>
      <c r="T557" s="32">
        <f>IF(OR($B557="",$R557="",$A557="",$F557=""),"",$B557&amp;"|"&amp;$A557&amp;"|"&amp;$F557&amp;"|"&amp;$R557&amp;"|"&amp;COUNTIFS($B$6:$B557,$B557,$A$6:$A557,$A557,$F$6:$F557,$F557,$R$6:$R557,$R557))</f>
        <v/>
      </c>
      <c r="U557" s="32">
        <f>IF($C557="","",$C557&amp;"|"&amp;COUNTIFS($C$6:$C557,$C557))</f>
        <v/>
      </c>
      <c r="V557" s="32">
        <f>IF(OR($C557="",$A557="",$S557=""),"",$C557&amp;"|"&amp;$A557&amp;"|"&amp;$S557)</f>
        <v/>
      </c>
      <c r="W557" s="32">
        <f>IF(OR($C557="",$S557="",$S557=1),"",IFERROR(INDEX($Q$6:$Q$1505,MATCH($C557&amp;"|"&amp;$A557&amp;"|"&amp;($S557-1),$V$6:$V$1505,0)),""))</f>
        <v/>
      </c>
      <c r="X557" s="32">
        <f>IF(OR($W557="",$Q557="",LEFT($Q557,1)="—"),"",IF($W557=$Q557,"ללא שינוי","מ-"&amp;$W557&amp;" ל-"&amp;$Q557))</f>
        <v/>
      </c>
    </row>
    <row r="558" ht="15.75" customHeight="1" s="58">
      <c r="A558" s="65" t="n"/>
      <c r="B558" s="65" t="n"/>
      <c r="C558" s="66" t="n"/>
      <c r="D558" s="66" t="n"/>
      <c r="E558" s="65" t="n"/>
      <c r="F558" s="65" t="n"/>
      <c r="G558" s="65" t="n"/>
      <c r="H558" s="65" t="n"/>
      <c r="I558" s="65" t="n"/>
      <c r="J558" s="65" t="n"/>
      <c r="K558" s="65" t="n"/>
      <c r="L558" s="65" t="n"/>
      <c r="M558" s="65" t="n"/>
      <c r="N558" s="65" t="n"/>
      <c r="O558" s="65" t="n"/>
      <c r="P558" s="65" t="n"/>
      <c r="Q558" s="32">
        <f>IF($C558="","",IF($J558="","— חסרים נתונים",IF($J558="טרם מפענח","פרופיל 5",IF($J558="קמץ/פתח/חטף-פתח ושוואים","פרופיל 4",IF($J558="2-3 סימני ניקוד","פרופיל 3",IF($J558="4-5 סימני ניקוד","פרופיל 2",IF(AND($O558="משפטים וקטעים קצרים",OR($M558="מבין",$M558="מבין לרוב")),"פרופיל 1","פרופיל 2")))))))</f>
        <v/>
      </c>
      <c r="R558" s="32">
        <f>IF($C558="","",IF(OR($Q558="",LEFT($Q558,1)="—"),"קבוצה רביעית",IF($Q558="פרופיל 5","קבוצת תשתיות",IF(OR($Q558="פרופיל 4",$Q558="פרופיל 3"),"קבוצת רכישה","קבוצת ביסוס"))))</f>
        <v/>
      </c>
      <c r="S558" s="32">
        <f>IF($F558="","",IF($F558="תחילת שנה",1,IF($F558="מחצית שנה",2,3)))</f>
        <v/>
      </c>
      <c r="T558" s="32">
        <f>IF(OR($B558="",$R558="",$A558="",$F558=""),"",$B558&amp;"|"&amp;$A558&amp;"|"&amp;$F558&amp;"|"&amp;$R558&amp;"|"&amp;COUNTIFS($B$6:$B558,$B558,$A$6:$A558,$A558,$F$6:$F558,$F558,$R$6:$R558,$R558))</f>
        <v/>
      </c>
      <c r="U558" s="32">
        <f>IF($C558="","",$C558&amp;"|"&amp;COUNTIFS($C$6:$C558,$C558))</f>
        <v/>
      </c>
      <c r="V558" s="32">
        <f>IF(OR($C558="",$A558="",$S558=""),"",$C558&amp;"|"&amp;$A558&amp;"|"&amp;$S558)</f>
        <v/>
      </c>
      <c r="W558" s="32">
        <f>IF(OR($C558="",$S558="",$S558=1),"",IFERROR(INDEX($Q$6:$Q$1505,MATCH($C558&amp;"|"&amp;$A558&amp;"|"&amp;($S558-1),$V$6:$V$1505,0)),""))</f>
        <v/>
      </c>
      <c r="X558" s="32">
        <f>IF(OR($W558="",$Q558="",LEFT($Q558,1)="—"),"",IF($W558=$Q558,"ללא שינוי","מ-"&amp;$W558&amp;" ל-"&amp;$Q558))</f>
        <v/>
      </c>
    </row>
    <row r="559" ht="15.75" customHeight="1" s="58">
      <c r="A559" s="65" t="n"/>
      <c r="B559" s="65" t="n"/>
      <c r="C559" s="66" t="n"/>
      <c r="D559" s="66" t="n"/>
      <c r="E559" s="65" t="n"/>
      <c r="F559" s="65" t="n"/>
      <c r="G559" s="65" t="n"/>
      <c r="H559" s="65" t="n"/>
      <c r="I559" s="65" t="n"/>
      <c r="J559" s="65" t="n"/>
      <c r="K559" s="65" t="n"/>
      <c r="L559" s="65" t="n"/>
      <c r="M559" s="65" t="n"/>
      <c r="N559" s="65" t="n"/>
      <c r="O559" s="65" t="n"/>
      <c r="P559" s="65" t="n"/>
      <c r="Q559" s="32">
        <f>IF($C559="","",IF($J559="","— חסרים נתונים",IF($J559="טרם מפענח","פרופיל 5",IF($J559="קמץ/פתח/חטף-פתח ושוואים","פרופיל 4",IF($J559="2-3 סימני ניקוד","פרופיל 3",IF($J559="4-5 סימני ניקוד","פרופיל 2",IF(AND($O559="משפטים וקטעים קצרים",OR($M559="מבין",$M559="מבין לרוב")),"פרופיל 1","פרופיל 2")))))))</f>
        <v/>
      </c>
      <c r="R559" s="32">
        <f>IF($C559="","",IF(OR($Q559="",LEFT($Q559,1)="—"),"קבוצה רביעית",IF($Q559="פרופיל 5","קבוצת תשתיות",IF(OR($Q559="פרופיל 4",$Q559="פרופיל 3"),"קבוצת רכישה","קבוצת ביסוס"))))</f>
        <v/>
      </c>
      <c r="S559" s="32">
        <f>IF($F559="","",IF($F559="תחילת שנה",1,IF($F559="מחצית שנה",2,3)))</f>
        <v/>
      </c>
      <c r="T559" s="32">
        <f>IF(OR($B559="",$R559="",$A559="",$F559=""),"",$B559&amp;"|"&amp;$A559&amp;"|"&amp;$F559&amp;"|"&amp;$R559&amp;"|"&amp;COUNTIFS($B$6:$B559,$B559,$A$6:$A559,$A559,$F$6:$F559,$F559,$R$6:$R559,$R559))</f>
        <v/>
      </c>
      <c r="U559" s="32">
        <f>IF($C559="","",$C559&amp;"|"&amp;COUNTIFS($C$6:$C559,$C559))</f>
        <v/>
      </c>
      <c r="V559" s="32">
        <f>IF(OR($C559="",$A559="",$S559=""),"",$C559&amp;"|"&amp;$A559&amp;"|"&amp;$S559)</f>
        <v/>
      </c>
      <c r="W559" s="32">
        <f>IF(OR($C559="",$S559="",$S559=1),"",IFERROR(INDEX($Q$6:$Q$1505,MATCH($C559&amp;"|"&amp;$A559&amp;"|"&amp;($S559-1),$V$6:$V$1505,0)),""))</f>
        <v/>
      </c>
      <c r="X559" s="32">
        <f>IF(OR($W559="",$Q559="",LEFT($Q559,1)="—"),"",IF($W559=$Q559,"ללא שינוי","מ-"&amp;$W559&amp;" ל-"&amp;$Q559))</f>
        <v/>
      </c>
    </row>
    <row r="560" ht="15.75" customHeight="1" s="58">
      <c r="A560" s="65" t="n"/>
      <c r="B560" s="65" t="n"/>
      <c r="C560" s="66" t="n"/>
      <c r="D560" s="66" t="n"/>
      <c r="E560" s="65" t="n"/>
      <c r="F560" s="65" t="n"/>
      <c r="G560" s="65" t="n"/>
      <c r="H560" s="65" t="n"/>
      <c r="I560" s="65" t="n"/>
      <c r="J560" s="65" t="n"/>
      <c r="K560" s="65" t="n"/>
      <c r="L560" s="65" t="n"/>
      <c r="M560" s="65" t="n"/>
      <c r="N560" s="65" t="n"/>
      <c r="O560" s="65" t="n"/>
      <c r="P560" s="65" t="n"/>
      <c r="Q560" s="32">
        <f>IF($C560="","",IF($J560="","— חסרים נתונים",IF($J560="טרם מפענח","פרופיל 5",IF($J560="קמץ/פתח/חטף-פתח ושוואים","פרופיל 4",IF($J560="2-3 סימני ניקוד","פרופיל 3",IF($J560="4-5 סימני ניקוד","פרופיל 2",IF(AND($O560="משפטים וקטעים קצרים",OR($M560="מבין",$M560="מבין לרוב")),"פרופיל 1","פרופיל 2")))))))</f>
        <v/>
      </c>
      <c r="R560" s="32">
        <f>IF($C560="","",IF(OR($Q560="",LEFT($Q560,1)="—"),"קבוצה רביעית",IF($Q560="פרופיל 5","קבוצת תשתיות",IF(OR($Q560="פרופיל 4",$Q560="פרופיל 3"),"קבוצת רכישה","קבוצת ביסוס"))))</f>
        <v/>
      </c>
      <c r="S560" s="32">
        <f>IF($F560="","",IF($F560="תחילת שנה",1,IF($F560="מחצית שנה",2,3)))</f>
        <v/>
      </c>
      <c r="T560" s="32">
        <f>IF(OR($B560="",$R560="",$A560="",$F560=""),"",$B560&amp;"|"&amp;$A560&amp;"|"&amp;$F560&amp;"|"&amp;$R560&amp;"|"&amp;COUNTIFS($B$6:$B560,$B560,$A$6:$A560,$A560,$F$6:$F560,$F560,$R$6:$R560,$R560))</f>
        <v/>
      </c>
      <c r="U560" s="32">
        <f>IF($C560="","",$C560&amp;"|"&amp;COUNTIFS($C$6:$C560,$C560))</f>
        <v/>
      </c>
      <c r="V560" s="32">
        <f>IF(OR($C560="",$A560="",$S560=""),"",$C560&amp;"|"&amp;$A560&amp;"|"&amp;$S560)</f>
        <v/>
      </c>
      <c r="W560" s="32">
        <f>IF(OR($C560="",$S560="",$S560=1),"",IFERROR(INDEX($Q$6:$Q$1505,MATCH($C560&amp;"|"&amp;$A560&amp;"|"&amp;($S560-1),$V$6:$V$1505,0)),""))</f>
        <v/>
      </c>
      <c r="X560" s="32">
        <f>IF(OR($W560="",$Q560="",LEFT($Q560,1)="—"),"",IF($W560=$Q560,"ללא שינוי","מ-"&amp;$W560&amp;" ל-"&amp;$Q560))</f>
        <v/>
      </c>
    </row>
    <row r="561" ht="15.75" customHeight="1" s="58">
      <c r="A561" s="65" t="n"/>
      <c r="B561" s="65" t="n"/>
      <c r="C561" s="66" t="n"/>
      <c r="D561" s="66" t="n"/>
      <c r="E561" s="65" t="n"/>
      <c r="F561" s="65" t="n"/>
      <c r="G561" s="65" t="n"/>
      <c r="H561" s="65" t="n"/>
      <c r="I561" s="65" t="n"/>
      <c r="J561" s="65" t="n"/>
      <c r="K561" s="65" t="n"/>
      <c r="L561" s="65" t="n"/>
      <c r="M561" s="65" t="n"/>
      <c r="N561" s="65" t="n"/>
      <c r="O561" s="65" t="n"/>
      <c r="P561" s="65" t="n"/>
      <c r="Q561" s="32">
        <f>IF($C561="","",IF($J561="","— חסרים נתונים",IF($J561="טרם מפענח","פרופיל 5",IF($J561="קמץ/פתח/חטף-פתח ושוואים","פרופיל 4",IF($J561="2-3 סימני ניקוד","פרופיל 3",IF($J561="4-5 סימני ניקוד","פרופיל 2",IF(AND($O561="משפטים וקטעים קצרים",OR($M561="מבין",$M561="מבין לרוב")),"פרופיל 1","פרופיל 2")))))))</f>
        <v/>
      </c>
      <c r="R561" s="32">
        <f>IF($C561="","",IF(OR($Q561="",LEFT($Q561,1)="—"),"קבוצה רביעית",IF($Q561="פרופיל 5","קבוצת תשתיות",IF(OR($Q561="פרופיל 4",$Q561="פרופיל 3"),"קבוצת רכישה","קבוצת ביסוס"))))</f>
        <v/>
      </c>
      <c r="S561" s="32">
        <f>IF($F561="","",IF($F561="תחילת שנה",1,IF($F561="מחצית שנה",2,3)))</f>
        <v/>
      </c>
      <c r="T561" s="32">
        <f>IF(OR($B561="",$R561="",$A561="",$F561=""),"",$B561&amp;"|"&amp;$A561&amp;"|"&amp;$F561&amp;"|"&amp;$R561&amp;"|"&amp;COUNTIFS($B$6:$B561,$B561,$A$6:$A561,$A561,$F$6:$F561,$F561,$R$6:$R561,$R561))</f>
        <v/>
      </c>
      <c r="U561" s="32">
        <f>IF($C561="","",$C561&amp;"|"&amp;COUNTIFS($C$6:$C561,$C561))</f>
        <v/>
      </c>
      <c r="V561" s="32">
        <f>IF(OR($C561="",$A561="",$S561=""),"",$C561&amp;"|"&amp;$A561&amp;"|"&amp;$S561)</f>
        <v/>
      </c>
      <c r="W561" s="32">
        <f>IF(OR($C561="",$S561="",$S561=1),"",IFERROR(INDEX($Q$6:$Q$1505,MATCH($C561&amp;"|"&amp;$A561&amp;"|"&amp;($S561-1),$V$6:$V$1505,0)),""))</f>
        <v/>
      </c>
      <c r="X561" s="32">
        <f>IF(OR($W561="",$Q561="",LEFT($Q561,1)="—"),"",IF($W561=$Q561,"ללא שינוי","מ-"&amp;$W561&amp;" ל-"&amp;$Q561))</f>
        <v/>
      </c>
    </row>
    <row r="562" ht="15.75" customHeight="1" s="58">
      <c r="A562" s="65" t="n"/>
      <c r="B562" s="65" t="n"/>
      <c r="C562" s="66" t="n"/>
      <c r="D562" s="66" t="n"/>
      <c r="E562" s="65" t="n"/>
      <c r="F562" s="65" t="n"/>
      <c r="G562" s="65" t="n"/>
      <c r="H562" s="65" t="n"/>
      <c r="I562" s="65" t="n"/>
      <c r="J562" s="65" t="n"/>
      <c r="K562" s="65" t="n"/>
      <c r="L562" s="65" t="n"/>
      <c r="M562" s="65" t="n"/>
      <c r="N562" s="65" t="n"/>
      <c r="O562" s="65" t="n"/>
      <c r="P562" s="65" t="n"/>
      <c r="Q562" s="32">
        <f>IF($C562="","",IF($J562="","— חסרים נתונים",IF($J562="טרם מפענח","פרופיל 5",IF($J562="קמץ/פתח/חטף-פתח ושוואים","פרופיל 4",IF($J562="2-3 סימני ניקוד","פרופיל 3",IF($J562="4-5 סימני ניקוד","פרופיל 2",IF(AND($O562="משפטים וקטעים קצרים",OR($M562="מבין",$M562="מבין לרוב")),"פרופיל 1","פרופיל 2")))))))</f>
        <v/>
      </c>
      <c r="R562" s="32">
        <f>IF($C562="","",IF(OR($Q562="",LEFT($Q562,1)="—"),"קבוצה רביעית",IF($Q562="פרופיל 5","קבוצת תשתיות",IF(OR($Q562="פרופיל 4",$Q562="פרופיל 3"),"קבוצת רכישה","קבוצת ביסוס"))))</f>
        <v/>
      </c>
      <c r="S562" s="32">
        <f>IF($F562="","",IF($F562="תחילת שנה",1,IF($F562="מחצית שנה",2,3)))</f>
        <v/>
      </c>
      <c r="T562" s="32">
        <f>IF(OR($B562="",$R562="",$A562="",$F562=""),"",$B562&amp;"|"&amp;$A562&amp;"|"&amp;$F562&amp;"|"&amp;$R562&amp;"|"&amp;COUNTIFS($B$6:$B562,$B562,$A$6:$A562,$A562,$F$6:$F562,$F562,$R$6:$R562,$R562))</f>
        <v/>
      </c>
      <c r="U562" s="32">
        <f>IF($C562="","",$C562&amp;"|"&amp;COUNTIFS($C$6:$C562,$C562))</f>
        <v/>
      </c>
      <c r="V562" s="32">
        <f>IF(OR($C562="",$A562="",$S562=""),"",$C562&amp;"|"&amp;$A562&amp;"|"&amp;$S562)</f>
        <v/>
      </c>
      <c r="W562" s="32">
        <f>IF(OR($C562="",$S562="",$S562=1),"",IFERROR(INDEX($Q$6:$Q$1505,MATCH($C562&amp;"|"&amp;$A562&amp;"|"&amp;($S562-1),$V$6:$V$1505,0)),""))</f>
        <v/>
      </c>
      <c r="X562" s="32">
        <f>IF(OR($W562="",$Q562="",LEFT($Q562,1)="—"),"",IF($W562=$Q562,"ללא שינוי","מ-"&amp;$W562&amp;" ל-"&amp;$Q562))</f>
        <v/>
      </c>
    </row>
    <row r="563" ht="15.75" customHeight="1" s="58">
      <c r="A563" s="65" t="n"/>
      <c r="B563" s="65" t="n"/>
      <c r="C563" s="66" t="n"/>
      <c r="D563" s="66" t="n"/>
      <c r="E563" s="65" t="n"/>
      <c r="F563" s="65" t="n"/>
      <c r="G563" s="65" t="n"/>
      <c r="H563" s="65" t="n"/>
      <c r="I563" s="65" t="n"/>
      <c r="J563" s="65" t="n"/>
      <c r="K563" s="65" t="n"/>
      <c r="L563" s="65" t="n"/>
      <c r="M563" s="65" t="n"/>
      <c r="N563" s="65" t="n"/>
      <c r="O563" s="65" t="n"/>
      <c r="P563" s="65" t="n"/>
      <c r="Q563" s="32">
        <f>IF($C563="","",IF($J563="","— חסרים נתונים",IF($J563="טרם מפענח","פרופיל 5",IF($J563="קמץ/פתח/חטף-פתח ושוואים","פרופיל 4",IF($J563="2-3 סימני ניקוד","פרופיל 3",IF($J563="4-5 סימני ניקוד","פרופיל 2",IF(AND($O563="משפטים וקטעים קצרים",OR($M563="מבין",$M563="מבין לרוב")),"פרופיל 1","פרופיל 2")))))))</f>
        <v/>
      </c>
      <c r="R563" s="32">
        <f>IF($C563="","",IF(OR($Q563="",LEFT($Q563,1)="—"),"קבוצה רביעית",IF($Q563="פרופיל 5","קבוצת תשתיות",IF(OR($Q563="פרופיל 4",$Q563="פרופיל 3"),"קבוצת רכישה","קבוצת ביסוס"))))</f>
        <v/>
      </c>
      <c r="S563" s="32">
        <f>IF($F563="","",IF($F563="תחילת שנה",1,IF($F563="מחצית שנה",2,3)))</f>
        <v/>
      </c>
      <c r="T563" s="32">
        <f>IF(OR($B563="",$R563="",$A563="",$F563=""),"",$B563&amp;"|"&amp;$A563&amp;"|"&amp;$F563&amp;"|"&amp;$R563&amp;"|"&amp;COUNTIFS($B$6:$B563,$B563,$A$6:$A563,$A563,$F$6:$F563,$F563,$R$6:$R563,$R563))</f>
        <v/>
      </c>
      <c r="U563" s="32">
        <f>IF($C563="","",$C563&amp;"|"&amp;COUNTIFS($C$6:$C563,$C563))</f>
        <v/>
      </c>
      <c r="V563" s="32">
        <f>IF(OR($C563="",$A563="",$S563=""),"",$C563&amp;"|"&amp;$A563&amp;"|"&amp;$S563)</f>
        <v/>
      </c>
      <c r="W563" s="32">
        <f>IF(OR($C563="",$S563="",$S563=1),"",IFERROR(INDEX($Q$6:$Q$1505,MATCH($C563&amp;"|"&amp;$A563&amp;"|"&amp;($S563-1),$V$6:$V$1505,0)),""))</f>
        <v/>
      </c>
      <c r="X563" s="32">
        <f>IF(OR($W563="",$Q563="",LEFT($Q563,1)="—"),"",IF($W563=$Q563,"ללא שינוי","מ-"&amp;$W563&amp;" ל-"&amp;$Q563))</f>
        <v/>
      </c>
    </row>
    <row r="564" ht="15.75" customHeight="1" s="58">
      <c r="A564" s="65" t="n"/>
      <c r="B564" s="65" t="n"/>
      <c r="C564" s="66" t="n"/>
      <c r="D564" s="66" t="n"/>
      <c r="E564" s="65" t="n"/>
      <c r="F564" s="65" t="n"/>
      <c r="G564" s="65" t="n"/>
      <c r="H564" s="65" t="n"/>
      <c r="I564" s="65" t="n"/>
      <c r="J564" s="65" t="n"/>
      <c r="K564" s="65" t="n"/>
      <c r="L564" s="65" t="n"/>
      <c r="M564" s="65" t="n"/>
      <c r="N564" s="65" t="n"/>
      <c r="O564" s="65" t="n"/>
      <c r="P564" s="65" t="n"/>
      <c r="Q564" s="32">
        <f>IF($C564="","",IF($J564="","— חסרים נתונים",IF($J564="טרם מפענח","פרופיל 5",IF($J564="קמץ/פתח/חטף-פתח ושוואים","פרופיל 4",IF($J564="2-3 סימני ניקוד","פרופיל 3",IF($J564="4-5 סימני ניקוד","פרופיל 2",IF(AND($O564="משפטים וקטעים קצרים",OR($M564="מבין",$M564="מבין לרוב")),"פרופיל 1","פרופיל 2")))))))</f>
        <v/>
      </c>
      <c r="R564" s="32">
        <f>IF($C564="","",IF(OR($Q564="",LEFT($Q564,1)="—"),"קבוצה רביעית",IF($Q564="פרופיל 5","קבוצת תשתיות",IF(OR($Q564="פרופיל 4",$Q564="פרופיל 3"),"קבוצת רכישה","קבוצת ביסוס"))))</f>
        <v/>
      </c>
      <c r="S564" s="32">
        <f>IF($F564="","",IF($F564="תחילת שנה",1,IF($F564="מחצית שנה",2,3)))</f>
        <v/>
      </c>
      <c r="T564" s="32">
        <f>IF(OR($B564="",$R564="",$A564="",$F564=""),"",$B564&amp;"|"&amp;$A564&amp;"|"&amp;$F564&amp;"|"&amp;$R564&amp;"|"&amp;COUNTIFS($B$6:$B564,$B564,$A$6:$A564,$A564,$F$6:$F564,$F564,$R$6:$R564,$R564))</f>
        <v/>
      </c>
      <c r="U564" s="32">
        <f>IF($C564="","",$C564&amp;"|"&amp;COUNTIFS($C$6:$C564,$C564))</f>
        <v/>
      </c>
      <c r="V564" s="32">
        <f>IF(OR($C564="",$A564="",$S564=""),"",$C564&amp;"|"&amp;$A564&amp;"|"&amp;$S564)</f>
        <v/>
      </c>
      <c r="W564" s="32">
        <f>IF(OR($C564="",$S564="",$S564=1),"",IFERROR(INDEX($Q$6:$Q$1505,MATCH($C564&amp;"|"&amp;$A564&amp;"|"&amp;($S564-1),$V$6:$V$1505,0)),""))</f>
        <v/>
      </c>
      <c r="X564" s="32">
        <f>IF(OR($W564="",$Q564="",LEFT($Q564,1)="—"),"",IF($W564=$Q564,"ללא שינוי","מ-"&amp;$W564&amp;" ל-"&amp;$Q564))</f>
        <v/>
      </c>
    </row>
    <row r="565" ht="15.75" customHeight="1" s="58">
      <c r="A565" s="65" t="n"/>
      <c r="B565" s="65" t="n"/>
      <c r="C565" s="66" t="n"/>
      <c r="D565" s="66" t="n"/>
      <c r="E565" s="65" t="n"/>
      <c r="F565" s="65" t="n"/>
      <c r="G565" s="65" t="n"/>
      <c r="H565" s="65" t="n"/>
      <c r="I565" s="65" t="n"/>
      <c r="J565" s="65" t="n"/>
      <c r="K565" s="65" t="n"/>
      <c r="L565" s="65" t="n"/>
      <c r="M565" s="65" t="n"/>
      <c r="N565" s="65" t="n"/>
      <c r="O565" s="65" t="n"/>
      <c r="P565" s="65" t="n"/>
      <c r="Q565" s="32">
        <f>IF($C565="","",IF($J565="","— חסרים נתונים",IF($J565="טרם מפענח","פרופיל 5",IF($J565="קמץ/פתח/חטף-פתח ושוואים","פרופיל 4",IF($J565="2-3 סימני ניקוד","פרופיל 3",IF($J565="4-5 סימני ניקוד","פרופיל 2",IF(AND($O565="משפטים וקטעים קצרים",OR($M565="מבין",$M565="מבין לרוב")),"פרופיל 1","פרופיל 2")))))))</f>
        <v/>
      </c>
      <c r="R565" s="32">
        <f>IF($C565="","",IF(OR($Q565="",LEFT($Q565,1)="—"),"קבוצה רביעית",IF($Q565="פרופיל 5","קבוצת תשתיות",IF(OR($Q565="פרופיל 4",$Q565="פרופיל 3"),"קבוצת רכישה","קבוצת ביסוס"))))</f>
        <v/>
      </c>
      <c r="S565" s="32">
        <f>IF($F565="","",IF($F565="תחילת שנה",1,IF($F565="מחצית שנה",2,3)))</f>
        <v/>
      </c>
      <c r="T565" s="32">
        <f>IF(OR($B565="",$R565="",$A565="",$F565=""),"",$B565&amp;"|"&amp;$A565&amp;"|"&amp;$F565&amp;"|"&amp;$R565&amp;"|"&amp;COUNTIFS($B$6:$B565,$B565,$A$6:$A565,$A565,$F$6:$F565,$F565,$R$6:$R565,$R565))</f>
        <v/>
      </c>
      <c r="U565" s="32">
        <f>IF($C565="","",$C565&amp;"|"&amp;COUNTIFS($C$6:$C565,$C565))</f>
        <v/>
      </c>
      <c r="V565" s="32">
        <f>IF(OR($C565="",$A565="",$S565=""),"",$C565&amp;"|"&amp;$A565&amp;"|"&amp;$S565)</f>
        <v/>
      </c>
      <c r="W565" s="32">
        <f>IF(OR($C565="",$S565="",$S565=1),"",IFERROR(INDEX($Q$6:$Q$1505,MATCH($C565&amp;"|"&amp;$A565&amp;"|"&amp;($S565-1),$V$6:$V$1505,0)),""))</f>
        <v/>
      </c>
      <c r="X565" s="32">
        <f>IF(OR($W565="",$Q565="",LEFT($Q565,1)="—"),"",IF($W565=$Q565,"ללא שינוי","מ-"&amp;$W565&amp;" ל-"&amp;$Q565))</f>
        <v/>
      </c>
    </row>
    <row r="566" ht="15.75" customHeight="1" s="58">
      <c r="A566" s="65" t="n"/>
      <c r="B566" s="65" t="n"/>
      <c r="C566" s="66" t="n"/>
      <c r="D566" s="66" t="n"/>
      <c r="E566" s="65" t="n"/>
      <c r="F566" s="65" t="n"/>
      <c r="G566" s="65" t="n"/>
      <c r="H566" s="65" t="n"/>
      <c r="I566" s="65" t="n"/>
      <c r="J566" s="65" t="n"/>
      <c r="K566" s="65" t="n"/>
      <c r="L566" s="65" t="n"/>
      <c r="M566" s="65" t="n"/>
      <c r="N566" s="65" t="n"/>
      <c r="O566" s="65" t="n"/>
      <c r="P566" s="65" t="n"/>
      <c r="Q566" s="32">
        <f>IF($C566="","",IF($J566="","— חסרים נתונים",IF($J566="טרם מפענח","פרופיל 5",IF($J566="קמץ/פתח/חטף-פתח ושוואים","פרופיל 4",IF($J566="2-3 סימני ניקוד","פרופיל 3",IF($J566="4-5 סימני ניקוד","פרופיל 2",IF(AND($O566="משפטים וקטעים קצרים",OR($M566="מבין",$M566="מבין לרוב")),"פרופיל 1","פרופיל 2")))))))</f>
        <v/>
      </c>
      <c r="R566" s="32">
        <f>IF($C566="","",IF(OR($Q566="",LEFT($Q566,1)="—"),"קבוצה רביעית",IF($Q566="פרופיל 5","קבוצת תשתיות",IF(OR($Q566="פרופיל 4",$Q566="פרופיל 3"),"קבוצת רכישה","קבוצת ביסוס"))))</f>
        <v/>
      </c>
      <c r="S566" s="32">
        <f>IF($F566="","",IF($F566="תחילת שנה",1,IF($F566="מחצית שנה",2,3)))</f>
        <v/>
      </c>
      <c r="T566" s="32">
        <f>IF(OR($B566="",$R566="",$A566="",$F566=""),"",$B566&amp;"|"&amp;$A566&amp;"|"&amp;$F566&amp;"|"&amp;$R566&amp;"|"&amp;COUNTIFS($B$6:$B566,$B566,$A$6:$A566,$A566,$F$6:$F566,$F566,$R$6:$R566,$R566))</f>
        <v/>
      </c>
      <c r="U566" s="32">
        <f>IF($C566="","",$C566&amp;"|"&amp;COUNTIFS($C$6:$C566,$C566))</f>
        <v/>
      </c>
      <c r="V566" s="32">
        <f>IF(OR($C566="",$A566="",$S566=""),"",$C566&amp;"|"&amp;$A566&amp;"|"&amp;$S566)</f>
        <v/>
      </c>
      <c r="W566" s="32">
        <f>IF(OR($C566="",$S566="",$S566=1),"",IFERROR(INDEX($Q$6:$Q$1505,MATCH($C566&amp;"|"&amp;$A566&amp;"|"&amp;($S566-1),$V$6:$V$1505,0)),""))</f>
        <v/>
      </c>
      <c r="X566" s="32">
        <f>IF(OR($W566="",$Q566="",LEFT($Q566,1)="—"),"",IF($W566=$Q566,"ללא שינוי","מ-"&amp;$W566&amp;" ל-"&amp;$Q566))</f>
        <v/>
      </c>
    </row>
    <row r="567" ht="15.75" customHeight="1" s="58">
      <c r="A567" s="65" t="n"/>
      <c r="B567" s="65" t="n"/>
      <c r="C567" s="66" t="n"/>
      <c r="D567" s="66" t="n"/>
      <c r="E567" s="65" t="n"/>
      <c r="F567" s="65" t="n"/>
      <c r="G567" s="65" t="n"/>
      <c r="H567" s="65" t="n"/>
      <c r="I567" s="65" t="n"/>
      <c r="J567" s="65" t="n"/>
      <c r="K567" s="65" t="n"/>
      <c r="L567" s="65" t="n"/>
      <c r="M567" s="65" t="n"/>
      <c r="N567" s="65" t="n"/>
      <c r="O567" s="65" t="n"/>
      <c r="P567" s="65" t="n"/>
      <c r="Q567" s="32">
        <f>IF($C567="","",IF($J567="","— חסרים נתונים",IF($J567="טרם מפענח","פרופיל 5",IF($J567="קמץ/פתח/חטף-פתח ושוואים","פרופיל 4",IF($J567="2-3 סימני ניקוד","פרופיל 3",IF($J567="4-5 סימני ניקוד","פרופיל 2",IF(AND($O567="משפטים וקטעים קצרים",OR($M567="מבין",$M567="מבין לרוב")),"פרופיל 1","פרופיל 2")))))))</f>
        <v/>
      </c>
      <c r="R567" s="32">
        <f>IF($C567="","",IF(OR($Q567="",LEFT($Q567,1)="—"),"קבוצה רביעית",IF($Q567="פרופיל 5","קבוצת תשתיות",IF(OR($Q567="פרופיל 4",$Q567="פרופיל 3"),"קבוצת רכישה","קבוצת ביסוס"))))</f>
        <v/>
      </c>
      <c r="S567" s="32">
        <f>IF($F567="","",IF($F567="תחילת שנה",1,IF($F567="מחצית שנה",2,3)))</f>
        <v/>
      </c>
      <c r="T567" s="32">
        <f>IF(OR($B567="",$R567="",$A567="",$F567=""),"",$B567&amp;"|"&amp;$A567&amp;"|"&amp;$F567&amp;"|"&amp;$R567&amp;"|"&amp;COUNTIFS($B$6:$B567,$B567,$A$6:$A567,$A567,$F$6:$F567,$F567,$R$6:$R567,$R567))</f>
        <v/>
      </c>
      <c r="U567" s="32">
        <f>IF($C567="","",$C567&amp;"|"&amp;COUNTIFS($C$6:$C567,$C567))</f>
        <v/>
      </c>
      <c r="V567" s="32">
        <f>IF(OR($C567="",$A567="",$S567=""),"",$C567&amp;"|"&amp;$A567&amp;"|"&amp;$S567)</f>
        <v/>
      </c>
      <c r="W567" s="32">
        <f>IF(OR($C567="",$S567="",$S567=1),"",IFERROR(INDEX($Q$6:$Q$1505,MATCH($C567&amp;"|"&amp;$A567&amp;"|"&amp;($S567-1),$V$6:$V$1505,0)),""))</f>
        <v/>
      </c>
      <c r="X567" s="32">
        <f>IF(OR($W567="",$Q567="",LEFT($Q567,1)="—"),"",IF($W567=$Q567,"ללא שינוי","מ-"&amp;$W567&amp;" ל-"&amp;$Q567))</f>
        <v/>
      </c>
    </row>
    <row r="568" ht="15.75" customHeight="1" s="58">
      <c r="A568" s="65" t="n"/>
      <c r="B568" s="65" t="n"/>
      <c r="C568" s="66" t="n"/>
      <c r="D568" s="66" t="n"/>
      <c r="E568" s="65" t="n"/>
      <c r="F568" s="65" t="n"/>
      <c r="G568" s="65" t="n"/>
      <c r="H568" s="65" t="n"/>
      <c r="I568" s="65" t="n"/>
      <c r="J568" s="65" t="n"/>
      <c r="K568" s="65" t="n"/>
      <c r="L568" s="65" t="n"/>
      <c r="M568" s="65" t="n"/>
      <c r="N568" s="65" t="n"/>
      <c r="O568" s="65" t="n"/>
      <c r="P568" s="65" t="n"/>
      <c r="Q568" s="32">
        <f>IF($C568="","",IF($J568="","— חסרים נתונים",IF($J568="טרם מפענח","פרופיל 5",IF($J568="קמץ/פתח/חטף-פתח ושוואים","פרופיל 4",IF($J568="2-3 סימני ניקוד","פרופיל 3",IF($J568="4-5 סימני ניקוד","פרופיל 2",IF(AND($O568="משפטים וקטעים קצרים",OR($M568="מבין",$M568="מבין לרוב")),"פרופיל 1","פרופיל 2")))))))</f>
        <v/>
      </c>
      <c r="R568" s="32">
        <f>IF($C568="","",IF(OR($Q568="",LEFT($Q568,1)="—"),"קבוצה רביעית",IF($Q568="פרופיל 5","קבוצת תשתיות",IF(OR($Q568="פרופיל 4",$Q568="פרופיל 3"),"קבוצת רכישה","קבוצת ביסוס"))))</f>
        <v/>
      </c>
      <c r="S568" s="32">
        <f>IF($F568="","",IF($F568="תחילת שנה",1,IF($F568="מחצית שנה",2,3)))</f>
        <v/>
      </c>
      <c r="T568" s="32">
        <f>IF(OR($B568="",$R568="",$A568="",$F568=""),"",$B568&amp;"|"&amp;$A568&amp;"|"&amp;$F568&amp;"|"&amp;$R568&amp;"|"&amp;COUNTIFS($B$6:$B568,$B568,$A$6:$A568,$A568,$F$6:$F568,$F568,$R$6:$R568,$R568))</f>
        <v/>
      </c>
      <c r="U568" s="32">
        <f>IF($C568="","",$C568&amp;"|"&amp;COUNTIFS($C$6:$C568,$C568))</f>
        <v/>
      </c>
      <c r="V568" s="32">
        <f>IF(OR($C568="",$A568="",$S568=""),"",$C568&amp;"|"&amp;$A568&amp;"|"&amp;$S568)</f>
        <v/>
      </c>
      <c r="W568" s="32">
        <f>IF(OR($C568="",$S568="",$S568=1),"",IFERROR(INDEX($Q$6:$Q$1505,MATCH($C568&amp;"|"&amp;$A568&amp;"|"&amp;($S568-1),$V$6:$V$1505,0)),""))</f>
        <v/>
      </c>
      <c r="X568" s="32">
        <f>IF(OR($W568="",$Q568="",LEFT($Q568,1)="—"),"",IF($W568=$Q568,"ללא שינוי","מ-"&amp;$W568&amp;" ל-"&amp;$Q568))</f>
        <v/>
      </c>
    </row>
    <row r="569" ht="15.75" customHeight="1" s="58">
      <c r="A569" s="65" t="n"/>
      <c r="B569" s="65" t="n"/>
      <c r="C569" s="66" t="n"/>
      <c r="D569" s="66" t="n"/>
      <c r="E569" s="65" t="n"/>
      <c r="F569" s="65" t="n"/>
      <c r="G569" s="65" t="n"/>
      <c r="H569" s="65" t="n"/>
      <c r="I569" s="65" t="n"/>
      <c r="J569" s="65" t="n"/>
      <c r="K569" s="65" t="n"/>
      <c r="L569" s="65" t="n"/>
      <c r="M569" s="65" t="n"/>
      <c r="N569" s="65" t="n"/>
      <c r="O569" s="65" t="n"/>
      <c r="P569" s="65" t="n"/>
      <c r="Q569" s="32">
        <f>IF($C569="","",IF($J569="","— חסרים נתונים",IF($J569="טרם מפענח","פרופיל 5",IF($J569="קמץ/פתח/חטף-פתח ושוואים","פרופיל 4",IF($J569="2-3 סימני ניקוד","פרופיל 3",IF($J569="4-5 סימני ניקוד","פרופיל 2",IF(AND($O569="משפטים וקטעים קצרים",OR($M569="מבין",$M569="מבין לרוב")),"פרופיל 1","פרופיל 2")))))))</f>
        <v/>
      </c>
      <c r="R569" s="32">
        <f>IF($C569="","",IF(OR($Q569="",LEFT($Q569,1)="—"),"קבוצה רביעית",IF($Q569="פרופיל 5","קבוצת תשתיות",IF(OR($Q569="פרופיל 4",$Q569="פרופיל 3"),"קבוצת רכישה","קבוצת ביסוס"))))</f>
        <v/>
      </c>
      <c r="S569" s="32">
        <f>IF($F569="","",IF($F569="תחילת שנה",1,IF($F569="מחצית שנה",2,3)))</f>
        <v/>
      </c>
      <c r="T569" s="32">
        <f>IF(OR($B569="",$R569="",$A569="",$F569=""),"",$B569&amp;"|"&amp;$A569&amp;"|"&amp;$F569&amp;"|"&amp;$R569&amp;"|"&amp;COUNTIFS($B$6:$B569,$B569,$A$6:$A569,$A569,$F$6:$F569,$F569,$R$6:$R569,$R569))</f>
        <v/>
      </c>
      <c r="U569" s="32">
        <f>IF($C569="","",$C569&amp;"|"&amp;COUNTIFS($C$6:$C569,$C569))</f>
        <v/>
      </c>
      <c r="V569" s="32">
        <f>IF(OR($C569="",$A569="",$S569=""),"",$C569&amp;"|"&amp;$A569&amp;"|"&amp;$S569)</f>
        <v/>
      </c>
      <c r="W569" s="32">
        <f>IF(OR($C569="",$S569="",$S569=1),"",IFERROR(INDEX($Q$6:$Q$1505,MATCH($C569&amp;"|"&amp;$A569&amp;"|"&amp;($S569-1),$V$6:$V$1505,0)),""))</f>
        <v/>
      </c>
      <c r="X569" s="32">
        <f>IF(OR($W569="",$Q569="",LEFT($Q569,1)="—"),"",IF($W569=$Q569,"ללא שינוי","מ-"&amp;$W569&amp;" ל-"&amp;$Q569))</f>
        <v/>
      </c>
    </row>
    <row r="570" ht="15.75" customHeight="1" s="58">
      <c r="A570" s="65" t="n"/>
      <c r="B570" s="65" t="n"/>
      <c r="C570" s="66" t="n"/>
      <c r="D570" s="66" t="n"/>
      <c r="E570" s="65" t="n"/>
      <c r="F570" s="65" t="n"/>
      <c r="G570" s="65" t="n"/>
      <c r="H570" s="65" t="n"/>
      <c r="I570" s="65" t="n"/>
      <c r="J570" s="65" t="n"/>
      <c r="K570" s="65" t="n"/>
      <c r="L570" s="65" t="n"/>
      <c r="M570" s="65" t="n"/>
      <c r="N570" s="65" t="n"/>
      <c r="O570" s="65" t="n"/>
      <c r="P570" s="65" t="n"/>
      <c r="Q570" s="32">
        <f>IF($C570="","",IF($J570="","— חסרים נתונים",IF($J570="טרם מפענח","פרופיל 5",IF($J570="קמץ/פתח/חטף-פתח ושוואים","פרופיל 4",IF($J570="2-3 סימני ניקוד","פרופיל 3",IF($J570="4-5 סימני ניקוד","פרופיל 2",IF(AND($O570="משפטים וקטעים קצרים",OR($M570="מבין",$M570="מבין לרוב")),"פרופיל 1","פרופיל 2")))))))</f>
        <v/>
      </c>
      <c r="R570" s="32">
        <f>IF($C570="","",IF(OR($Q570="",LEFT($Q570,1)="—"),"קבוצה רביעית",IF($Q570="פרופיל 5","קבוצת תשתיות",IF(OR($Q570="פרופיל 4",$Q570="פרופיל 3"),"קבוצת רכישה","קבוצת ביסוס"))))</f>
        <v/>
      </c>
      <c r="S570" s="32">
        <f>IF($F570="","",IF($F570="תחילת שנה",1,IF($F570="מחצית שנה",2,3)))</f>
        <v/>
      </c>
      <c r="T570" s="32">
        <f>IF(OR($B570="",$R570="",$A570="",$F570=""),"",$B570&amp;"|"&amp;$A570&amp;"|"&amp;$F570&amp;"|"&amp;$R570&amp;"|"&amp;COUNTIFS($B$6:$B570,$B570,$A$6:$A570,$A570,$F$6:$F570,$F570,$R$6:$R570,$R570))</f>
        <v/>
      </c>
      <c r="U570" s="32">
        <f>IF($C570="","",$C570&amp;"|"&amp;COUNTIFS($C$6:$C570,$C570))</f>
        <v/>
      </c>
      <c r="V570" s="32">
        <f>IF(OR($C570="",$A570="",$S570=""),"",$C570&amp;"|"&amp;$A570&amp;"|"&amp;$S570)</f>
        <v/>
      </c>
      <c r="W570" s="32">
        <f>IF(OR($C570="",$S570="",$S570=1),"",IFERROR(INDEX($Q$6:$Q$1505,MATCH($C570&amp;"|"&amp;$A570&amp;"|"&amp;($S570-1),$V$6:$V$1505,0)),""))</f>
        <v/>
      </c>
      <c r="X570" s="32">
        <f>IF(OR($W570="",$Q570="",LEFT($Q570,1)="—"),"",IF($W570=$Q570,"ללא שינוי","מ-"&amp;$W570&amp;" ל-"&amp;$Q570))</f>
        <v/>
      </c>
    </row>
    <row r="571" ht="15.75" customHeight="1" s="58">
      <c r="A571" s="65" t="n"/>
      <c r="B571" s="65" t="n"/>
      <c r="C571" s="66" t="n"/>
      <c r="D571" s="66" t="n"/>
      <c r="E571" s="65" t="n"/>
      <c r="F571" s="65" t="n"/>
      <c r="G571" s="65" t="n"/>
      <c r="H571" s="65" t="n"/>
      <c r="I571" s="65" t="n"/>
      <c r="J571" s="65" t="n"/>
      <c r="K571" s="65" t="n"/>
      <c r="L571" s="65" t="n"/>
      <c r="M571" s="65" t="n"/>
      <c r="N571" s="65" t="n"/>
      <c r="O571" s="65" t="n"/>
      <c r="P571" s="65" t="n"/>
      <c r="Q571" s="32">
        <f>IF($C571="","",IF($J571="","— חסרים נתונים",IF($J571="טרם מפענח","פרופיל 5",IF($J571="קמץ/פתח/חטף-פתח ושוואים","פרופיל 4",IF($J571="2-3 סימני ניקוד","פרופיל 3",IF($J571="4-5 סימני ניקוד","פרופיל 2",IF(AND($O571="משפטים וקטעים קצרים",OR($M571="מבין",$M571="מבין לרוב")),"פרופיל 1","פרופיל 2")))))))</f>
        <v/>
      </c>
      <c r="R571" s="32">
        <f>IF($C571="","",IF(OR($Q571="",LEFT($Q571,1)="—"),"קבוצה רביעית",IF($Q571="פרופיל 5","קבוצת תשתיות",IF(OR($Q571="פרופיל 4",$Q571="פרופיל 3"),"קבוצת רכישה","קבוצת ביסוס"))))</f>
        <v/>
      </c>
      <c r="S571" s="32">
        <f>IF($F571="","",IF($F571="תחילת שנה",1,IF($F571="מחצית שנה",2,3)))</f>
        <v/>
      </c>
      <c r="T571" s="32">
        <f>IF(OR($B571="",$R571="",$A571="",$F571=""),"",$B571&amp;"|"&amp;$A571&amp;"|"&amp;$F571&amp;"|"&amp;$R571&amp;"|"&amp;COUNTIFS($B$6:$B571,$B571,$A$6:$A571,$A571,$F$6:$F571,$F571,$R$6:$R571,$R571))</f>
        <v/>
      </c>
      <c r="U571" s="32">
        <f>IF($C571="","",$C571&amp;"|"&amp;COUNTIFS($C$6:$C571,$C571))</f>
        <v/>
      </c>
      <c r="V571" s="32">
        <f>IF(OR($C571="",$A571="",$S571=""),"",$C571&amp;"|"&amp;$A571&amp;"|"&amp;$S571)</f>
        <v/>
      </c>
      <c r="W571" s="32">
        <f>IF(OR($C571="",$S571="",$S571=1),"",IFERROR(INDEX($Q$6:$Q$1505,MATCH($C571&amp;"|"&amp;$A571&amp;"|"&amp;($S571-1),$V$6:$V$1505,0)),""))</f>
        <v/>
      </c>
      <c r="X571" s="32">
        <f>IF(OR($W571="",$Q571="",LEFT($Q571,1)="—"),"",IF($W571=$Q571,"ללא שינוי","מ-"&amp;$W571&amp;" ל-"&amp;$Q571))</f>
        <v/>
      </c>
    </row>
    <row r="572" ht="15.75" customHeight="1" s="58">
      <c r="A572" s="65" t="n"/>
      <c r="B572" s="65" t="n"/>
      <c r="C572" s="66" t="n"/>
      <c r="D572" s="66" t="n"/>
      <c r="E572" s="65" t="n"/>
      <c r="F572" s="65" t="n"/>
      <c r="G572" s="65" t="n"/>
      <c r="H572" s="65" t="n"/>
      <c r="I572" s="65" t="n"/>
      <c r="J572" s="65" t="n"/>
      <c r="K572" s="65" t="n"/>
      <c r="L572" s="65" t="n"/>
      <c r="M572" s="65" t="n"/>
      <c r="N572" s="65" t="n"/>
      <c r="O572" s="65" t="n"/>
      <c r="P572" s="65" t="n"/>
      <c r="Q572" s="32">
        <f>IF($C572="","",IF($J572="","— חסרים נתונים",IF($J572="טרם מפענח","פרופיל 5",IF($J572="קמץ/פתח/חטף-פתח ושוואים","פרופיל 4",IF($J572="2-3 סימני ניקוד","פרופיל 3",IF($J572="4-5 סימני ניקוד","פרופיל 2",IF(AND($O572="משפטים וקטעים קצרים",OR($M572="מבין",$M572="מבין לרוב")),"פרופיל 1","פרופיל 2")))))))</f>
        <v/>
      </c>
      <c r="R572" s="32">
        <f>IF($C572="","",IF(OR($Q572="",LEFT($Q572,1)="—"),"קבוצה רביעית",IF($Q572="פרופיל 5","קבוצת תשתיות",IF(OR($Q572="פרופיל 4",$Q572="פרופיל 3"),"קבוצת רכישה","קבוצת ביסוס"))))</f>
        <v/>
      </c>
      <c r="S572" s="32">
        <f>IF($F572="","",IF($F572="תחילת שנה",1,IF($F572="מחצית שנה",2,3)))</f>
        <v/>
      </c>
      <c r="T572" s="32">
        <f>IF(OR($B572="",$R572="",$A572="",$F572=""),"",$B572&amp;"|"&amp;$A572&amp;"|"&amp;$F572&amp;"|"&amp;$R572&amp;"|"&amp;COUNTIFS($B$6:$B572,$B572,$A$6:$A572,$A572,$F$6:$F572,$F572,$R$6:$R572,$R572))</f>
        <v/>
      </c>
      <c r="U572" s="32">
        <f>IF($C572="","",$C572&amp;"|"&amp;COUNTIFS($C$6:$C572,$C572))</f>
        <v/>
      </c>
      <c r="V572" s="32">
        <f>IF(OR($C572="",$A572="",$S572=""),"",$C572&amp;"|"&amp;$A572&amp;"|"&amp;$S572)</f>
        <v/>
      </c>
      <c r="W572" s="32">
        <f>IF(OR($C572="",$S572="",$S572=1),"",IFERROR(INDEX($Q$6:$Q$1505,MATCH($C572&amp;"|"&amp;$A572&amp;"|"&amp;($S572-1),$V$6:$V$1505,0)),""))</f>
        <v/>
      </c>
      <c r="X572" s="32">
        <f>IF(OR($W572="",$Q572="",LEFT($Q572,1)="—"),"",IF($W572=$Q572,"ללא שינוי","מ-"&amp;$W572&amp;" ל-"&amp;$Q572))</f>
        <v/>
      </c>
    </row>
    <row r="573" ht="15.75" customHeight="1" s="58">
      <c r="A573" s="65" t="n"/>
      <c r="B573" s="65" t="n"/>
      <c r="C573" s="66" t="n"/>
      <c r="D573" s="66" t="n"/>
      <c r="E573" s="65" t="n"/>
      <c r="F573" s="65" t="n"/>
      <c r="G573" s="65" t="n"/>
      <c r="H573" s="65" t="n"/>
      <c r="I573" s="65" t="n"/>
      <c r="J573" s="65" t="n"/>
      <c r="K573" s="65" t="n"/>
      <c r="L573" s="65" t="n"/>
      <c r="M573" s="65" t="n"/>
      <c r="N573" s="65" t="n"/>
      <c r="O573" s="65" t="n"/>
      <c r="P573" s="65" t="n"/>
      <c r="Q573" s="32">
        <f>IF($C573="","",IF($J573="","— חסרים נתונים",IF($J573="טרם מפענח","פרופיל 5",IF($J573="קמץ/פתח/חטף-פתח ושוואים","פרופיל 4",IF($J573="2-3 סימני ניקוד","פרופיל 3",IF($J573="4-5 סימני ניקוד","פרופיל 2",IF(AND($O573="משפטים וקטעים קצרים",OR($M573="מבין",$M573="מבין לרוב")),"פרופיל 1","פרופיל 2")))))))</f>
        <v/>
      </c>
      <c r="R573" s="32">
        <f>IF($C573="","",IF(OR($Q573="",LEFT($Q573,1)="—"),"קבוצה רביעית",IF($Q573="פרופיל 5","קבוצת תשתיות",IF(OR($Q573="פרופיל 4",$Q573="פרופיל 3"),"קבוצת רכישה","קבוצת ביסוס"))))</f>
        <v/>
      </c>
      <c r="S573" s="32">
        <f>IF($F573="","",IF($F573="תחילת שנה",1,IF($F573="מחצית שנה",2,3)))</f>
        <v/>
      </c>
      <c r="T573" s="32">
        <f>IF(OR($B573="",$R573="",$A573="",$F573=""),"",$B573&amp;"|"&amp;$A573&amp;"|"&amp;$F573&amp;"|"&amp;$R573&amp;"|"&amp;COUNTIFS($B$6:$B573,$B573,$A$6:$A573,$A573,$F$6:$F573,$F573,$R$6:$R573,$R573))</f>
        <v/>
      </c>
      <c r="U573" s="32">
        <f>IF($C573="","",$C573&amp;"|"&amp;COUNTIFS($C$6:$C573,$C573))</f>
        <v/>
      </c>
      <c r="V573" s="32">
        <f>IF(OR($C573="",$A573="",$S573=""),"",$C573&amp;"|"&amp;$A573&amp;"|"&amp;$S573)</f>
        <v/>
      </c>
      <c r="W573" s="32">
        <f>IF(OR($C573="",$S573="",$S573=1),"",IFERROR(INDEX($Q$6:$Q$1505,MATCH($C573&amp;"|"&amp;$A573&amp;"|"&amp;($S573-1),$V$6:$V$1505,0)),""))</f>
        <v/>
      </c>
      <c r="X573" s="32">
        <f>IF(OR($W573="",$Q573="",LEFT($Q573,1)="—"),"",IF($W573=$Q573,"ללא שינוי","מ-"&amp;$W573&amp;" ל-"&amp;$Q573))</f>
        <v/>
      </c>
    </row>
    <row r="574" ht="15.75" customHeight="1" s="58">
      <c r="A574" s="65" t="n"/>
      <c r="B574" s="65" t="n"/>
      <c r="C574" s="66" t="n"/>
      <c r="D574" s="66" t="n"/>
      <c r="E574" s="65" t="n"/>
      <c r="F574" s="65" t="n"/>
      <c r="G574" s="65" t="n"/>
      <c r="H574" s="65" t="n"/>
      <c r="I574" s="65" t="n"/>
      <c r="J574" s="65" t="n"/>
      <c r="K574" s="65" t="n"/>
      <c r="L574" s="65" t="n"/>
      <c r="M574" s="65" t="n"/>
      <c r="N574" s="65" t="n"/>
      <c r="O574" s="65" t="n"/>
      <c r="P574" s="65" t="n"/>
      <c r="Q574" s="32">
        <f>IF($C574="","",IF($J574="","— חסרים נתונים",IF($J574="טרם מפענח","פרופיל 5",IF($J574="קמץ/פתח/חטף-פתח ושוואים","פרופיל 4",IF($J574="2-3 סימני ניקוד","פרופיל 3",IF($J574="4-5 סימני ניקוד","פרופיל 2",IF(AND($O574="משפטים וקטעים קצרים",OR($M574="מבין",$M574="מבין לרוב")),"פרופיל 1","פרופיל 2")))))))</f>
        <v/>
      </c>
      <c r="R574" s="32">
        <f>IF($C574="","",IF(OR($Q574="",LEFT($Q574,1)="—"),"קבוצה רביעית",IF($Q574="פרופיל 5","קבוצת תשתיות",IF(OR($Q574="פרופיל 4",$Q574="פרופיל 3"),"קבוצת רכישה","קבוצת ביסוס"))))</f>
        <v/>
      </c>
      <c r="S574" s="32">
        <f>IF($F574="","",IF($F574="תחילת שנה",1,IF($F574="מחצית שנה",2,3)))</f>
        <v/>
      </c>
      <c r="T574" s="32">
        <f>IF(OR($B574="",$R574="",$A574="",$F574=""),"",$B574&amp;"|"&amp;$A574&amp;"|"&amp;$F574&amp;"|"&amp;$R574&amp;"|"&amp;COUNTIFS($B$6:$B574,$B574,$A$6:$A574,$A574,$F$6:$F574,$F574,$R$6:$R574,$R574))</f>
        <v/>
      </c>
      <c r="U574" s="32">
        <f>IF($C574="","",$C574&amp;"|"&amp;COUNTIFS($C$6:$C574,$C574))</f>
        <v/>
      </c>
      <c r="V574" s="32">
        <f>IF(OR($C574="",$A574="",$S574=""),"",$C574&amp;"|"&amp;$A574&amp;"|"&amp;$S574)</f>
        <v/>
      </c>
      <c r="W574" s="32">
        <f>IF(OR($C574="",$S574="",$S574=1),"",IFERROR(INDEX($Q$6:$Q$1505,MATCH($C574&amp;"|"&amp;$A574&amp;"|"&amp;($S574-1),$V$6:$V$1505,0)),""))</f>
        <v/>
      </c>
      <c r="X574" s="32">
        <f>IF(OR($W574="",$Q574="",LEFT($Q574,1)="—"),"",IF($W574=$Q574,"ללא שינוי","מ-"&amp;$W574&amp;" ל-"&amp;$Q574))</f>
        <v/>
      </c>
    </row>
    <row r="575" ht="15.75" customHeight="1" s="58">
      <c r="A575" s="65" t="n"/>
      <c r="B575" s="65" t="n"/>
      <c r="C575" s="66" t="n"/>
      <c r="D575" s="66" t="n"/>
      <c r="E575" s="65" t="n"/>
      <c r="F575" s="65" t="n"/>
      <c r="G575" s="65" t="n"/>
      <c r="H575" s="65" t="n"/>
      <c r="I575" s="65" t="n"/>
      <c r="J575" s="65" t="n"/>
      <c r="K575" s="65" t="n"/>
      <c r="L575" s="65" t="n"/>
      <c r="M575" s="65" t="n"/>
      <c r="N575" s="65" t="n"/>
      <c r="O575" s="65" t="n"/>
      <c r="P575" s="65" t="n"/>
      <c r="Q575" s="32">
        <f>IF($C575="","",IF($J575="","— חסרים נתונים",IF($J575="טרם מפענח","פרופיל 5",IF($J575="קמץ/פתח/חטף-פתח ושוואים","פרופיל 4",IF($J575="2-3 סימני ניקוד","פרופיל 3",IF($J575="4-5 סימני ניקוד","פרופיל 2",IF(AND($O575="משפטים וקטעים קצרים",OR($M575="מבין",$M575="מבין לרוב")),"פרופיל 1","פרופיל 2")))))))</f>
        <v/>
      </c>
      <c r="R575" s="32">
        <f>IF($C575="","",IF(OR($Q575="",LEFT($Q575,1)="—"),"קבוצה רביעית",IF($Q575="פרופיל 5","קבוצת תשתיות",IF(OR($Q575="פרופיל 4",$Q575="פרופיל 3"),"קבוצת רכישה","קבוצת ביסוס"))))</f>
        <v/>
      </c>
      <c r="S575" s="32">
        <f>IF($F575="","",IF($F575="תחילת שנה",1,IF($F575="מחצית שנה",2,3)))</f>
        <v/>
      </c>
      <c r="T575" s="32">
        <f>IF(OR($B575="",$R575="",$A575="",$F575=""),"",$B575&amp;"|"&amp;$A575&amp;"|"&amp;$F575&amp;"|"&amp;$R575&amp;"|"&amp;COUNTIFS($B$6:$B575,$B575,$A$6:$A575,$A575,$F$6:$F575,$F575,$R$6:$R575,$R575))</f>
        <v/>
      </c>
      <c r="U575" s="32">
        <f>IF($C575="","",$C575&amp;"|"&amp;COUNTIFS($C$6:$C575,$C575))</f>
        <v/>
      </c>
      <c r="V575" s="32">
        <f>IF(OR($C575="",$A575="",$S575=""),"",$C575&amp;"|"&amp;$A575&amp;"|"&amp;$S575)</f>
        <v/>
      </c>
      <c r="W575" s="32">
        <f>IF(OR($C575="",$S575="",$S575=1),"",IFERROR(INDEX($Q$6:$Q$1505,MATCH($C575&amp;"|"&amp;$A575&amp;"|"&amp;($S575-1),$V$6:$V$1505,0)),""))</f>
        <v/>
      </c>
      <c r="X575" s="32">
        <f>IF(OR($W575="",$Q575="",LEFT($Q575,1)="—"),"",IF($W575=$Q575,"ללא שינוי","מ-"&amp;$W575&amp;" ל-"&amp;$Q575))</f>
        <v/>
      </c>
    </row>
    <row r="576" ht="15.75" customHeight="1" s="58">
      <c r="A576" s="65" t="n"/>
      <c r="B576" s="65" t="n"/>
      <c r="C576" s="66" t="n"/>
      <c r="D576" s="66" t="n"/>
      <c r="E576" s="65" t="n"/>
      <c r="F576" s="65" t="n"/>
      <c r="G576" s="65" t="n"/>
      <c r="H576" s="65" t="n"/>
      <c r="I576" s="65" t="n"/>
      <c r="J576" s="65" t="n"/>
      <c r="K576" s="65" t="n"/>
      <c r="L576" s="65" t="n"/>
      <c r="M576" s="65" t="n"/>
      <c r="N576" s="65" t="n"/>
      <c r="O576" s="65" t="n"/>
      <c r="P576" s="65" t="n"/>
      <c r="Q576" s="32">
        <f>IF($C576="","",IF($J576="","— חסרים נתונים",IF($J576="טרם מפענח","פרופיל 5",IF($J576="קמץ/פתח/חטף-פתח ושוואים","פרופיל 4",IF($J576="2-3 סימני ניקוד","פרופיל 3",IF($J576="4-5 סימני ניקוד","פרופיל 2",IF(AND($O576="משפטים וקטעים קצרים",OR($M576="מבין",$M576="מבין לרוב")),"פרופיל 1","פרופיל 2")))))))</f>
        <v/>
      </c>
      <c r="R576" s="32">
        <f>IF($C576="","",IF(OR($Q576="",LEFT($Q576,1)="—"),"קבוצה רביעית",IF($Q576="פרופיל 5","קבוצת תשתיות",IF(OR($Q576="פרופיל 4",$Q576="פרופיל 3"),"קבוצת רכישה","קבוצת ביסוס"))))</f>
        <v/>
      </c>
      <c r="S576" s="32">
        <f>IF($F576="","",IF($F576="תחילת שנה",1,IF($F576="מחצית שנה",2,3)))</f>
        <v/>
      </c>
      <c r="T576" s="32">
        <f>IF(OR($B576="",$R576="",$A576="",$F576=""),"",$B576&amp;"|"&amp;$A576&amp;"|"&amp;$F576&amp;"|"&amp;$R576&amp;"|"&amp;COUNTIFS($B$6:$B576,$B576,$A$6:$A576,$A576,$F$6:$F576,$F576,$R$6:$R576,$R576))</f>
        <v/>
      </c>
      <c r="U576" s="32">
        <f>IF($C576="","",$C576&amp;"|"&amp;COUNTIFS($C$6:$C576,$C576))</f>
        <v/>
      </c>
      <c r="V576" s="32">
        <f>IF(OR($C576="",$A576="",$S576=""),"",$C576&amp;"|"&amp;$A576&amp;"|"&amp;$S576)</f>
        <v/>
      </c>
      <c r="W576" s="32">
        <f>IF(OR($C576="",$S576="",$S576=1),"",IFERROR(INDEX($Q$6:$Q$1505,MATCH($C576&amp;"|"&amp;$A576&amp;"|"&amp;($S576-1),$V$6:$V$1505,0)),""))</f>
        <v/>
      </c>
      <c r="X576" s="32">
        <f>IF(OR($W576="",$Q576="",LEFT($Q576,1)="—"),"",IF($W576=$Q576,"ללא שינוי","מ-"&amp;$W576&amp;" ל-"&amp;$Q576))</f>
        <v/>
      </c>
    </row>
    <row r="577" ht="15.75" customHeight="1" s="58">
      <c r="A577" s="65" t="n"/>
      <c r="B577" s="65" t="n"/>
      <c r="C577" s="66" t="n"/>
      <c r="D577" s="66" t="n"/>
      <c r="E577" s="65" t="n"/>
      <c r="F577" s="65" t="n"/>
      <c r="G577" s="65" t="n"/>
      <c r="H577" s="65" t="n"/>
      <c r="I577" s="65" t="n"/>
      <c r="J577" s="65" t="n"/>
      <c r="K577" s="65" t="n"/>
      <c r="L577" s="65" t="n"/>
      <c r="M577" s="65" t="n"/>
      <c r="N577" s="65" t="n"/>
      <c r="O577" s="65" t="n"/>
      <c r="P577" s="65" t="n"/>
      <c r="Q577" s="32">
        <f>IF($C577="","",IF($J577="","— חסרים נתונים",IF($J577="טרם מפענח","פרופיל 5",IF($J577="קמץ/פתח/חטף-פתח ושוואים","פרופיל 4",IF($J577="2-3 סימני ניקוד","פרופיל 3",IF($J577="4-5 סימני ניקוד","פרופיל 2",IF(AND($O577="משפטים וקטעים קצרים",OR($M577="מבין",$M577="מבין לרוב")),"פרופיל 1","פרופיל 2")))))))</f>
        <v/>
      </c>
      <c r="R577" s="32">
        <f>IF($C577="","",IF(OR($Q577="",LEFT($Q577,1)="—"),"קבוצה רביעית",IF($Q577="פרופיל 5","קבוצת תשתיות",IF(OR($Q577="פרופיל 4",$Q577="פרופיל 3"),"קבוצת רכישה","קבוצת ביסוס"))))</f>
        <v/>
      </c>
      <c r="S577" s="32">
        <f>IF($F577="","",IF($F577="תחילת שנה",1,IF($F577="מחצית שנה",2,3)))</f>
        <v/>
      </c>
      <c r="T577" s="32">
        <f>IF(OR($B577="",$R577="",$A577="",$F577=""),"",$B577&amp;"|"&amp;$A577&amp;"|"&amp;$F577&amp;"|"&amp;$R577&amp;"|"&amp;COUNTIFS($B$6:$B577,$B577,$A$6:$A577,$A577,$F$6:$F577,$F577,$R$6:$R577,$R577))</f>
        <v/>
      </c>
      <c r="U577" s="32">
        <f>IF($C577="","",$C577&amp;"|"&amp;COUNTIFS($C$6:$C577,$C577))</f>
        <v/>
      </c>
      <c r="V577" s="32">
        <f>IF(OR($C577="",$A577="",$S577=""),"",$C577&amp;"|"&amp;$A577&amp;"|"&amp;$S577)</f>
        <v/>
      </c>
      <c r="W577" s="32">
        <f>IF(OR($C577="",$S577="",$S577=1),"",IFERROR(INDEX($Q$6:$Q$1505,MATCH($C577&amp;"|"&amp;$A577&amp;"|"&amp;($S577-1),$V$6:$V$1505,0)),""))</f>
        <v/>
      </c>
      <c r="X577" s="32">
        <f>IF(OR($W577="",$Q577="",LEFT($Q577,1)="—"),"",IF($W577=$Q577,"ללא שינוי","מ-"&amp;$W577&amp;" ל-"&amp;$Q577))</f>
        <v/>
      </c>
    </row>
    <row r="578" ht="15.75" customHeight="1" s="58">
      <c r="A578" s="65" t="n"/>
      <c r="B578" s="65" t="n"/>
      <c r="C578" s="66" t="n"/>
      <c r="D578" s="66" t="n"/>
      <c r="E578" s="65" t="n"/>
      <c r="F578" s="65" t="n"/>
      <c r="G578" s="65" t="n"/>
      <c r="H578" s="65" t="n"/>
      <c r="I578" s="65" t="n"/>
      <c r="J578" s="65" t="n"/>
      <c r="K578" s="65" t="n"/>
      <c r="L578" s="65" t="n"/>
      <c r="M578" s="65" t="n"/>
      <c r="N578" s="65" t="n"/>
      <c r="O578" s="65" t="n"/>
      <c r="P578" s="65" t="n"/>
      <c r="Q578" s="32">
        <f>IF($C578="","",IF($J578="","— חסרים נתונים",IF($J578="טרם מפענח","פרופיל 5",IF($J578="קמץ/פתח/חטף-פתח ושוואים","פרופיל 4",IF($J578="2-3 סימני ניקוד","פרופיל 3",IF($J578="4-5 סימני ניקוד","פרופיל 2",IF(AND($O578="משפטים וקטעים קצרים",OR($M578="מבין",$M578="מבין לרוב")),"פרופיל 1","פרופיל 2")))))))</f>
        <v/>
      </c>
      <c r="R578" s="32">
        <f>IF($C578="","",IF(OR($Q578="",LEFT($Q578,1)="—"),"קבוצה רביעית",IF($Q578="פרופיל 5","קבוצת תשתיות",IF(OR($Q578="פרופיל 4",$Q578="פרופיל 3"),"קבוצת רכישה","קבוצת ביסוס"))))</f>
        <v/>
      </c>
      <c r="S578" s="32">
        <f>IF($F578="","",IF($F578="תחילת שנה",1,IF($F578="מחצית שנה",2,3)))</f>
        <v/>
      </c>
      <c r="T578" s="32">
        <f>IF(OR($B578="",$R578="",$A578="",$F578=""),"",$B578&amp;"|"&amp;$A578&amp;"|"&amp;$F578&amp;"|"&amp;$R578&amp;"|"&amp;COUNTIFS($B$6:$B578,$B578,$A$6:$A578,$A578,$F$6:$F578,$F578,$R$6:$R578,$R578))</f>
        <v/>
      </c>
      <c r="U578" s="32">
        <f>IF($C578="","",$C578&amp;"|"&amp;COUNTIFS($C$6:$C578,$C578))</f>
        <v/>
      </c>
      <c r="V578" s="32">
        <f>IF(OR($C578="",$A578="",$S578=""),"",$C578&amp;"|"&amp;$A578&amp;"|"&amp;$S578)</f>
        <v/>
      </c>
      <c r="W578" s="32">
        <f>IF(OR($C578="",$S578="",$S578=1),"",IFERROR(INDEX($Q$6:$Q$1505,MATCH($C578&amp;"|"&amp;$A578&amp;"|"&amp;($S578-1),$V$6:$V$1505,0)),""))</f>
        <v/>
      </c>
      <c r="X578" s="32">
        <f>IF(OR($W578="",$Q578="",LEFT($Q578,1)="—"),"",IF($W578=$Q578,"ללא שינוי","מ-"&amp;$W578&amp;" ל-"&amp;$Q578))</f>
        <v/>
      </c>
    </row>
    <row r="579" ht="15.75" customHeight="1" s="58">
      <c r="A579" s="65" t="n"/>
      <c r="B579" s="65" t="n"/>
      <c r="C579" s="66" t="n"/>
      <c r="D579" s="66" t="n"/>
      <c r="E579" s="65" t="n"/>
      <c r="F579" s="65" t="n"/>
      <c r="G579" s="65" t="n"/>
      <c r="H579" s="65" t="n"/>
      <c r="I579" s="65" t="n"/>
      <c r="J579" s="65" t="n"/>
      <c r="K579" s="65" t="n"/>
      <c r="L579" s="65" t="n"/>
      <c r="M579" s="65" t="n"/>
      <c r="N579" s="65" t="n"/>
      <c r="O579" s="65" t="n"/>
      <c r="P579" s="65" t="n"/>
      <c r="Q579" s="32">
        <f>IF($C579="","",IF($J579="","— חסרים נתונים",IF($J579="טרם מפענח","פרופיל 5",IF($J579="קמץ/פתח/חטף-פתח ושוואים","פרופיל 4",IF($J579="2-3 סימני ניקוד","פרופיל 3",IF($J579="4-5 סימני ניקוד","פרופיל 2",IF(AND($O579="משפטים וקטעים קצרים",OR($M579="מבין",$M579="מבין לרוב")),"פרופיל 1","פרופיל 2")))))))</f>
        <v/>
      </c>
      <c r="R579" s="32">
        <f>IF($C579="","",IF(OR($Q579="",LEFT($Q579,1)="—"),"קבוצה רביעית",IF($Q579="פרופיל 5","קבוצת תשתיות",IF(OR($Q579="פרופיל 4",$Q579="פרופיל 3"),"קבוצת רכישה","קבוצת ביסוס"))))</f>
        <v/>
      </c>
      <c r="S579" s="32">
        <f>IF($F579="","",IF($F579="תחילת שנה",1,IF($F579="מחצית שנה",2,3)))</f>
        <v/>
      </c>
      <c r="T579" s="32">
        <f>IF(OR($B579="",$R579="",$A579="",$F579=""),"",$B579&amp;"|"&amp;$A579&amp;"|"&amp;$F579&amp;"|"&amp;$R579&amp;"|"&amp;COUNTIFS($B$6:$B579,$B579,$A$6:$A579,$A579,$F$6:$F579,$F579,$R$6:$R579,$R579))</f>
        <v/>
      </c>
      <c r="U579" s="32">
        <f>IF($C579="","",$C579&amp;"|"&amp;COUNTIFS($C$6:$C579,$C579))</f>
        <v/>
      </c>
      <c r="V579" s="32">
        <f>IF(OR($C579="",$A579="",$S579=""),"",$C579&amp;"|"&amp;$A579&amp;"|"&amp;$S579)</f>
        <v/>
      </c>
      <c r="W579" s="32">
        <f>IF(OR($C579="",$S579="",$S579=1),"",IFERROR(INDEX($Q$6:$Q$1505,MATCH($C579&amp;"|"&amp;$A579&amp;"|"&amp;($S579-1),$V$6:$V$1505,0)),""))</f>
        <v/>
      </c>
      <c r="X579" s="32">
        <f>IF(OR($W579="",$Q579="",LEFT($Q579,1)="—"),"",IF($W579=$Q579,"ללא שינוי","מ-"&amp;$W579&amp;" ל-"&amp;$Q579))</f>
        <v/>
      </c>
    </row>
    <row r="580" ht="15.75" customHeight="1" s="58">
      <c r="A580" s="65" t="n"/>
      <c r="B580" s="65" t="n"/>
      <c r="C580" s="66" t="n"/>
      <c r="D580" s="66" t="n"/>
      <c r="E580" s="65" t="n"/>
      <c r="F580" s="65" t="n"/>
      <c r="G580" s="65" t="n"/>
      <c r="H580" s="65" t="n"/>
      <c r="I580" s="65" t="n"/>
      <c r="J580" s="65" t="n"/>
      <c r="K580" s="65" t="n"/>
      <c r="L580" s="65" t="n"/>
      <c r="M580" s="65" t="n"/>
      <c r="N580" s="65" t="n"/>
      <c r="O580" s="65" t="n"/>
      <c r="P580" s="65" t="n"/>
      <c r="Q580" s="32">
        <f>IF($C580="","",IF($J580="","— חסרים נתונים",IF($J580="טרם מפענח","פרופיל 5",IF($J580="קמץ/פתח/חטף-פתח ושוואים","פרופיל 4",IF($J580="2-3 סימני ניקוד","פרופיל 3",IF($J580="4-5 סימני ניקוד","פרופיל 2",IF(AND($O580="משפטים וקטעים קצרים",OR($M580="מבין",$M580="מבין לרוב")),"פרופיל 1","פרופיל 2")))))))</f>
        <v/>
      </c>
      <c r="R580" s="32">
        <f>IF($C580="","",IF(OR($Q580="",LEFT($Q580,1)="—"),"קבוצה רביעית",IF($Q580="פרופיל 5","קבוצת תשתיות",IF(OR($Q580="פרופיל 4",$Q580="פרופיל 3"),"קבוצת רכישה","קבוצת ביסוס"))))</f>
        <v/>
      </c>
      <c r="S580" s="32">
        <f>IF($F580="","",IF($F580="תחילת שנה",1,IF($F580="מחצית שנה",2,3)))</f>
        <v/>
      </c>
      <c r="T580" s="32">
        <f>IF(OR($B580="",$R580="",$A580="",$F580=""),"",$B580&amp;"|"&amp;$A580&amp;"|"&amp;$F580&amp;"|"&amp;$R580&amp;"|"&amp;COUNTIFS($B$6:$B580,$B580,$A$6:$A580,$A580,$F$6:$F580,$F580,$R$6:$R580,$R580))</f>
        <v/>
      </c>
      <c r="U580" s="32">
        <f>IF($C580="","",$C580&amp;"|"&amp;COUNTIFS($C$6:$C580,$C580))</f>
        <v/>
      </c>
      <c r="V580" s="32">
        <f>IF(OR($C580="",$A580="",$S580=""),"",$C580&amp;"|"&amp;$A580&amp;"|"&amp;$S580)</f>
        <v/>
      </c>
      <c r="W580" s="32">
        <f>IF(OR($C580="",$S580="",$S580=1),"",IFERROR(INDEX($Q$6:$Q$1505,MATCH($C580&amp;"|"&amp;$A580&amp;"|"&amp;($S580-1),$V$6:$V$1505,0)),""))</f>
        <v/>
      </c>
      <c r="X580" s="32">
        <f>IF(OR($W580="",$Q580="",LEFT($Q580,1)="—"),"",IF($W580=$Q580,"ללא שינוי","מ-"&amp;$W580&amp;" ל-"&amp;$Q580))</f>
        <v/>
      </c>
    </row>
    <row r="581" ht="15.75" customHeight="1" s="58">
      <c r="A581" s="65" t="n"/>
      <c r="B581" s="65" t="n"/>
      <c r="C581" s="66" t="n"/>
      <c r="D581" s="66" t="n"/>
      <c r="E581" s="65" t="n"/>
      <c r="F581" s="65" t="n"/>
      <c r="G581" s="65" t="n"/>
      <c r="H581" s="65" t="n"/>
      <c r="I581" s="65" t="n"/>
      <c r="J581" s="65" t="n"/>
      <c r="K581" s="65" t="n"/>
      <c r="L581" s="65" t="n"/>
      <c r="M581" s="65" t="n"/>
      <c r="N581" s="65" t="n"/>
      <c r="O581" s="65" t="n"/>
      <c r="P581" s="65" t="n"/>
      <c r="Q581" s="32">
        <f>IF($C581="","",IF($J581="","— חסרים נתונים",IF($J581="טרם מפענח","פרופיל 5",IF($J581="קמץ/פתח/חטף-פתח ושוואים","פרופיל 4",IF($J581="2-3 סימני ניקוד","פרופיל 3",IF($J581="4-5 סימני ניקוד","פרופיל 2",IF(AND($O581="משפטים וקטעים קצרים",OR($M581="מבין",$M581="מבין לרוב")),"פרופיל 1","פרופיל 2")))))))</f>
        <v/>
      </c>
      <c r="R581" s="32">
        <f>IF($C581="","",IF(OR($Q581="",LEFT($Q581,1)="—"),"קבוצה רביעית",IF($Q581="פרופיל 5","קבוצת תשתיות",IF(OR($Q581="פרופיל 4",$Q581="פרופיל 3"),"קבוצת רכישה","קבוצת ביסוס"))))</f>
        <v/>
      </c>
      <c r="S581" s="32">
        <f>IF($F581="","",IF($F581="תחילת שנה",1,IF($F581="מחצית שנה",2,3)))</f>
        <v/>
      </c>
      <c r="T581" s="32">
        <f>IF(OR($B581="",$R581="",$A581="",$F581=""),"",$B581&amp;"|"&amp;$A581&amp;"|"&amp;$F581&amp;"|"&amp;$R581&amp;"|"&amp;COUNTIFS($B$6:$B581,$B581,$A$6:$A581,$A581,$F$6:$F581,$F581,$R$6:$R581,$R581))</f>
        <v/>
      </c>
      <c r="U581" s="32">
        <f>IF($C581="","",$C581&amp;"|"&amp;COUNTIFS($C$6:$C581,$C581))</f>
        <v/>
      </c>
      <c r="V581" s="32">
        <f>IF(OR($C581="",$A581="",$S581=""),"",$C581&amp;"|"&amp;$A581&amp;"|"&amp;$S581)</f>
        <v/>
      </c>
      <c r="W581" s="32">
        <f>IF(OR($C581="",$S581="",$S581=1),"",IFERROR(INDEX($Q$6:$Q$1505,MATCH($C581&amp;"|"&amp;$A581&amp;"|"&amp;($S581-1),$V$6:$V$1505,0)),""))</f>
        <v/>
      </c>
      <c r="X581" s="32">
        <f>IF(OR($W581="",$Q581="",LEFT($Q581,1)="—"),"",IF($W581=$Q581,"ללא שינוי","מ-"&amp;$W581&amp;" ל-"&amp;$Q581))</f>
        <v/>
      </c>
    </row>
    <row r="582" ht="15.75" customHeight="1" s="58">
      <c r="A582" s="65" t="n"/>
      <c r="B582" s="65" t="n"/>
      <c r="C582" s="66" t="n"/>
      <c r="D582" s="66" t="n"/>
      <c r="E582" s="65" t="n"/>
      <c r="F582" s="65" t="n"/>
      <c r="G582" s="65" t="n"/>
      <c r="H582" s="65" t="n"/>
      <c r="I582" s="65" t="n"/>
      <c r="J582" s="65" t="n"/>
      <c r="K582" s="65" t="n"/>
      <c r="L582" s="65" t="n"/>
      <c r="M582" s="65" t="n"/>
      <c r="N582" s="65" t="n"/>
      <c r="O582" s="65" t="n"/>
      <c r="P582" s="65" t="n"/>
      <c r="Q582" s="32">
        <f>IF($C582="","",IF($J582="","— חסרים נתונים",IF($J582="טרם מפענח","פרופיל 5",IF($J582="קמץ/פתח/חטף-פתח ושוואים","פרופיל 4",IF($J582="2-3 סימני ניקוד","פרופיל 3",IF($J582="4-5 סימני ניקוד","פרופיל 2",IF(AND($O582="משפטים וקטעים קצרים",OR($M582="מבין",$M582="מבין לרוב")),"פרופיל 1","פרופיל 2")))))))</f>
        <v/>
      </c>
      <c r="R582" s="32">
        <f>IF($C582="","",IF(OR($Q582="",LEFT($Q582,1)="—"),"קבוצה רביעית",IF($Q582="פרופיל 5","קבוצת תשתיות",IF(OR($Q582="פרופיל 4",$Q582="פרופיל 3"),"קבוצת רכישה","קבוצת ביסוס"))))</f>
        <v/>
      </c>
      <c r="S582" s="32">
        <f>IF($F582="","",IF($F582="תחילת שנה",1,IF($F582="מחצית שנה",2,3)))</f>
        <v/>
      </c>
      <c r="T582" s="32">
        <f>IF(OR($B582="",$R582="",$A582="",$F582=""),"",$B582&amp;"|"&amp;$A582&amp;"|"&amp;$F582&amp;"|"&amp;$R582&amp;"|"&amp;COUNTIFS($B$6:$B582,$B582,$A$6:$A582,$A582,$F$6:$F582,$F582,$R$6:$R582,$R582))</f>
        <v/>
      </c>
      <c r="U582" s="32">
        <f>IF($C582="","",$C582&amp;"|"&amp;COUNTIFS($C$6:$C582,$C582))</f>
        <v/>
      </c>
      <c r="V582" s="32">
        <f>IF(OR($C582="",$A582="",$S582=""),"",$C582&amp;"|"&amp;$A582&amp;"|"&amp;$S582)</f>
        <v/>
      </c>
      <c r="W582" s="32">
        <f>IF(OR($C582="",$S582="",$S582=1),"",IFERROR(INDEX($Q$6:$Q$1505,MATCH($C582&amp;"|"&amp;$A582&amp;"|"&amp;($S582-1),$V$6:$V$1505,0)),""))</f>
        <v/>
      </c>
      <c r="X582" s="32">
        <f>IF(OR($W582="",$Q582="",LEFT($Q582,1)="—"),"",IF($W582=$Q582,"ללא שינוי","מ-"&amp;$W582&amp;" ל-"&amp;$Q582))</f>
        <v/>
      </c>
    </row>
    <row r="583" ht="15.75" customHeight="1" s="58">
      <c r="A583" s="65" t="n"/>
      <c r="B583" s="65" t="n"/>
      <c r="C583" s="66" t="n"/>
      <c r="D583" s="66" t="n"/>
      <c r="E583" s="65" t="n"/>
      <c r="F583" s="65" t="n"/>
      <c r="G583" s="65" t="n"/>
      <c r="H583" s="65" t="n"/>
      <c r="I583" s="65" t="n"/>
      <c r="J583" s="65" t="n"/>
      <c r="K583" s="65" t="n"/>
      <c r="L583" s="65" t="n"/>
      <c r="M583" s="65" t="n"/>
      <c r="N583" s="65" t="n"/>
      <c r="O583" s="65" t="n"/>
      <c r="P583" s="65" t="n"/>
      <c r="Q583" s="32">
        <f>IF($C583="","",IF($J583="","— חסרים נתונים",IF($J583="טרם מפענח","פרופיל 5",IF($J583="קמץ/פתח/חטף-פתח ושוואים","פרופיל 4",IF($J583="2-3 סימני ניקוד","פרופיל 3",IF($J583="4-5 סימני ניקוד","פרופיל 2",IF(AND($O583="משפטים וקטעים קצרים",OR($M583="מבין",$M583="מבין לרוב")),"פרופיל 1","פרופיל 2")))))))</f>
        <v/>
      </c>
      <c r="R583" s="32">
        <f>IF($C583="","",IF(OR($Q583="",LEFT($Q583,1)="—"),"קבוצה רביעית",IF($Q583="פרופיל 5","קבוצת תשתיות",IF(OR($Q583="פרופיל 4",$Q583="פרופיל 3"),"קבוצת רכישה","קבוצת ביסוס"))))</f>
        <v/>
      </c>
      <c r="S583" s="32">
        <f>IF($F583="","",IF($F583="תחילת שנה",1,IF($F583="מחצית שנה",2,3)))</f>
        <v/>
      </c>
      <c r="T583" s="32">
        <f>IF(OR($B583="",$R583="",$A583="",$F583=""),"",$B583&amp;"|"&amp;$A583&amp;"|"&amp;$F583&amp;"|"&amp;$R583&amp;"|"&amp;COUNTIFS($B$6:$B583,$B583,$A$6:$A583,$A583,$F$6:$F583,$F583,$R$6:$R583,$R583))</f>
        <v/>
      </c>
      <c r="U583" s="32">
        <f>IF($C583="","",$C583&amp;"|"&amp;COUNTIFS($C$6:$C583,$C583))</f>
        <v/>
      </c>
      <c r="V583" s="32">
        <f>IF(OR($C583="",$A583="",$S583=""),"",$C583&amp;"|"&amp;$A583&amp;"|"&amp;$S583)</f>
        <v/>
      </c>
      <c r="W583" s="32">
        <f>IF(OR($C583="",$S583="",$S583=1),"",IFERROR(INDEX($Q$6:$Q$1505,MATCH($C583&amp;"|"&amp;$A583&amp;"|"&amp;($S583-1),$V$6:$V$1505,0)),""))</f>
        <v/>
      </c>
      <c r="X583" s="32">
        <f>IF(OR($W583="",$Q583="",LEFT($Q583,1)="—"),"",IF($W583=$Q583,"ללא שינוי","מ-"&amp;$W583&amp;" ל-"&amp;$Q583))</f>
        <v/>
      </c>
    </row>
    <row r="584" ht="15.75" customHeight="1" s="58">
      <c r="A584" s="65" t="n"/>
      <c r="B584" s="65" t="n"/>
      <c r="C584" s="66" t="n"/>
      <c r="D584" s="66" t="n"/>
      <c r="E584" s="65" t="n"/>
      <c r="F584" s="65" t="n"/>
      <c r="G584" s="65" t="n"/>
      <c r="H584" s="65" t="n"/>
      <c r="I584" s="65" t="n"/>
      <c r="J584" s="65" t="n"/>
      <c r="K584" s="65" t="n"/>
      <c r="L584" s="65" t="n"/>
      <c r="M584" s="65" t="n"/>
      <c r="N584" s="65" t="n"/>
      <c r="O584" s="65" t="n"/>
      <c r="P584" s="65" t="n"/>
      <c r="Q584" s="32">
        <f>IF($C584="","",IF($J584="","— חסרים נתונים",IF($J584="טרם מפענח","פרופיל 5",IF($J584="קמץ/פתח/חטף-פתח ושוואים","פרופיל 4",IF($J584="2-3 סימני ניקוד","פרופיל 3",IF($J584="4-5 סימני ניקוד","פרופיל 2",IF(AND($O584="משפטים וקטעים קצרים",OR($M584="מבין",$M584="מבין לרוב")),"פרופיל 1","פרופיל 2")))))))</f>
        <v/>
      </c>
      <c r="R584" s="32">
        <f>IF($C584="","",IF(OR($Q584="",LEFT($Q584,1)="—"),"קבוצה רביעית",IF($Q584="פרופיל 5","קבוצת תשתיות",IF(OR($Q584="פרופיל 4",$Q584="פרופיל 3"),"קבוצת רכישה","קבוצת ביסוס"))))</f>
        <v/>
      </c>
      <c r="S584" s="32">
        <f>IF($F584="","",IF($F584="תחילת שנה",1,IF($F584="מחצית שנה",2,3)))</f>
        <v/>
      </c>
      <c r="T584" s="32">
        <f>IF(OR($B584="",$R584="",$A584="",$F584=""),"",$B584&amp;"|"&amp;$A584&amp;"|"&amp;$F584&amp;"|"&amp;$R584&amp;"|"&amp;COUNTIFS($B$6:$B584,$B584,$A$6:$A584,$A584,$F$6:$F584,$F584,$R$6:$R584,$R584))</f>
        <v/>
      </c>
      <c r="U584" s="32">
        <f>IF($C584="","",$C584&amp;"|"&amp;COUNTIFS($C$6:$C584,$C584))</f>
        <v/>
      </c>
      <c r="V584" s="32">
        <f>IF(OR($C584="",$A584="",$S584=""),"",$C584&amp;"|"&amp;$A584&amp;"|"&amp;$S584)</f>
        <v/>
      </c>
      <c r="W584" s="32">
        <f>IF(OR($C584="",$S584="",$S584=1),"",IFERROR(INDEX($Q$6:$Q$1505,MATCH($C584&amp;"|"&amp;$A584&amp;"|"&amp;($S584-1),$V$6:$V$1505,0)),""))</f>
        <v/>
      </c>
      <c r="X584" s="32">
        <f>IF(OR($W584="",$Q584="",LEFT($Q584,1)="—"),"",IF($W584=$Q584,"ללא שינוי","מ-"&amp;$W584&amp;" ל-"&amp;$Q584))</f>
        <v/>
      </c>
    </row>
    <row r="585" ht="15.75" customHeight="1" s="58">
      <c r="A585" s="65" t="n"/>
      <c r="B585" s="65" t="n"/>
      <c r="C585" s="66" t="n"/>
      <c r="D585" s="66" t="n"/>
      <c r="E585" s="65" t="n"/>
      <c r="F585" s="65" t="n"/>
      <c r="G585" s="65" t="n"/>
      <c r="H585" s="65" t="n"/>
      <c r="I585" s="65" t="n"/>
      <c r="J585" s="65" t="n"/>
      <c r="K585" s="65" t="n"/>
      <c r="L585" s="65" t="n"/>
      <c r="M585" s="65" t="n"/>
      <c r="N585" s="65" t="n"/>
      <c r="O585" s="65" t="n"/>
      <c r="P585" s="65" t="n"/>
      <c r="Q585" s="32">
        <f>IF($C585="","",IF($J585="","— חסרים נתונים",IF($J585="טרם מפענח","פרופיל 5",IF($J585="קמץ/פתח/חטף-פתח ושוואים","פרופיל 4",IF($J585="2-3 סימני ניקוד","פרופיל 3",IF($J585="4-5 סימני ניקוד","פרופיל 2",IF(AND($O585="משפטים וקטעים קצרים",OR($M585="מבין",$M585="מבין לרוב")),"פרופיל 1","פרופיל 2")))))))</f>
        <v/>
      </c>
      <c r="R585" s="32">
        <f>IF($C585="","",IF(OR($Q585="",LEFT($Q585,1)="—"),"קבוצה רביעית",IF($Q585="פרופיל 5","קבוצת תשתיות",IF(OR($Q585="פרופיל 4",$Q585="פרופיל 3"),"קבוצת רכישה","קבוצת ביסוס"))))</f>
        <v/>
      </c>
      <c r="S585" s="32">
        <f>IF($F585="","",IF($F585="תחילת שנה",1,IF($F585="מחצית שנה",2,3)))</f>
        <v/>
      </c>
      <c r="T585" s="32">
        <f>IF(OR($B585="",$R585="",$A585="",$F585=""),"",$B585&amp;"|"&amp;$A585&amp;"|"&amp;$F585&amp;"|"&amp;$R585&amp;"|"&amp;COUNTIFS($B$6:$B585,$B585,$A$6:$A585,$A585,$F$6:$F585,$F585,$R$6:$R585,$R585))</f>
        <v/>
      </c>
      <c r="U585" s="32">
        <f>IF($C585="","",$C585&amp;"|"&amp;COUNTIFS($C$6:$C585,$C585))</f>
        <v/>
      </c>
      <c r="V585" s="32">
        <f>IF(OR($C585="",$A585="",$S585=""),"",$C585&amp;"|"&amp;$A585&amp;"|"&amp;$S585)</f>
        <v/>
      </c>
      <c r="W585" s="32">
        <f>IF(OR($C585="",$S585="",$S585=1),"",IFERROR(INDEX($Q$6:$Q$1505,MATCH($C585&amp;"|"&amp;$A585&amp;"|"&amp;($S585-1),$V$6:$V$1505,0)),""))</f>
        <v/>
      </c>
      <c r="X585" s="32">
        <f>IF(OR($W585="",$Q585="",LEFT($Q585,1)="—"),"",IF($W585=$Q585,"ללא שינוי","מ-"&amp;$W585&amp;" ל-"&amp;$Q585))</f>
        <v/>
      </c>
    </row>
    <row r="586" ht="15.75" customHeight="1" s="58">
      <c r="A586" s="65" t="n"/>
      <c r="B586" s="65" t="n"/>
      <c r="C586" s="66" t="n"/>
      <c r="D586" s="66" t="n"/>
      <c r="E586" s="65" t="n"/>
      <c r="F586" s="65" t="n"/>
      <c r="G586" s="65" t="n"/>
      <c r="H586" s="65" t="n"/>
      <c r="I586" s="65" t="n"/>
      <c r="J586" s="65" t="n"/>
      <c r="K586" s="65" t="n"/>
      <c r="L586" s="65" t="n"/>
      <c r="M586" s="65" t="n"/>
      <c r="N586" s="65" t="n"/>
      <c r="O586" s="65" t="n"/>
      <c r="P586" s="65" t="n"/>
      <c r="Q586" s="32">
        <f>IF($C586="","",IF($J586="","— חסרים נתונים",IF($J586="טרם מפענח","פרופיל 5",IF($J586="קמץ/פתח/חטף-פתח ושוואים","פרופיל 4",IF($J586="2-3 סימני ניקוד","פרופיל 3",IF($J586="4-5 סימני ניקוד","פרופיל 2",IF(AND($O586="משפטים וקטעים קצרים",OR($M586="מבין",$M586="מבין לרוב")),"פרופיל 1","פרופיל 2")))))))</f>
        <v/>
      </c>
      <c r="R586" s="32">
        <f>IF($C586="","",IF(OR($Q586="",LEFT($Q586,1)="—"),"קבוצה רביעית",IF($Q586="פרופיל 5","קבוצת תשתיות",IF(OR($Q586="פרופיל 4",$Q586="פרופיל 3"),"קבוצת רכישה","קבוצת ביסוס"))))</f>
        <v/>
      </c>
      <c r="S586" s="32">
        <f>IF($F586="","",IF($F586="תחילת שנה",1,IF($F586="מחצית שנה",2,3)))</f>
        <v/>
      </c>
      <c r="T586" s="32">
        <f>IF(OR($B586="",$R586="",$A586="",$F586=""),"",$B586&amp;"|"&amp;$A586&amp;"|"&amp;$F586&amp;"|"&amp;$R586&amp;"|"&amp;COUNTIFS($B$6:$B586,$B586,$A$6:$A586,$A586,$F$6:$F586,$F586,$R$6:$R586,$R586))</f>
        <v/>
      </c>
      <c r="U586" s="32">
        <f>IF($C586="","",$C586&amp;"|"&amp;COUNTIFS($C$6:$C586,$C586))</f>
        <v/>
      </c>
      <c r="V586" s="32">
        <f>IF(OR($C586="",$A586="",$S586=""),"",$C586&amp;"|"&amp;$A586&amp;"|"&amp;$S586)</f>
        <v/>
      </c>
      <c r="W586" s="32">
        <f>IF(OR($C586="",$S586="",$S586=1),"",IFERROR(INDEX($Q$6:$Q$1505,MATCH($C586&amp;"|"&amp;$A586&amp;"|"&amp;($S586-1),$V$6:$V$1505,0)),""))</f>
        <v/>
      </c>
      <c r="X586" s="32">
        <f>IF(OR($W586="",$Q586="",LEFT($Q586,1)="—"),"",IF($W586=$Q586,"ללא שינוי","מ-"&amp;$W586&amp;" ל-"&amp;$Q586))</f>
        <v/>
      </c>
    </row>
    <row r="587" ht="15.75" customHeight="1" s="58">
      <c r="A587" s="65" t="n"/>
      <c r="B587" s="65" t="n"/>
      <c r="C587" s="66" t="n"/>
      <c r="D587" s="66" t="n"/>
      <c r="E587" s="65" t="n"/>
      <c r="F587" s="65" t="n"/>
      <c r="G587" s="65" t="n"/>
      <c r="H587" s="65" t="n"/>
      <c r="I587" s="65" t="n"/>
      <c r="J587" s="65" t="n"/>
      <c r="K587" s="65" t="n"/>
      <c r="L587" s="65" t="n"/>
      <c r="M587" s="65" t="n"/>
      <c r="N587" s="65" t="n"/>
      <c r="O587" s="65" t="n"/>
      <c r="P587" s="65" t="n"/>
      <c r="Q587" s="32">
        <f>IF($C587="","",IF($J587="","— חסרים נתונים",IF($J587="טרם מפענח","פרופיל 5",IF($J587="קמץ/פתח/חטף-פתח ושוואים","פרופיל 4",IF($J587="2-3 סימני ניקוד","פרופיל 3",IF($J587="4-5 סימני ניקוד","פרופיל 2",IF(AND($O587="משפטים וקטעים קצרים",OR($M587="מבין",$M587="מבין לרוב")),"פרופיל 1","פרופיל 2")))))))</f>
        <v/>
      </c>
      <c r="R587" s="32">
        <f>IF($C587="","",IF(OR($Q587="",LEFT($Q587,1)="—"),"קבוצה רביעית",IF($Q587="פרופיל 5","קבוצת תשתיות",IF(OR($Q587="פרופיל 4",$Q587="פרופיל 3"),"קבוצת רכישה","קבוצת ביסוס"))))</f>
        <v/>
      </c>
      <c r="S587" s="32">
        <f>IF($F587="","",IF($F587="תחילת שנה",1,IF($F587="מחצית שנה",2,3)))</f>
        <v/>
      </c>
      <c r="T587" s="32">
        <f>IF(OR($B587="",$R587="",$A587="",$F587=""),"",$B587&amp;"|"&amp;$A587&amp;"|"&amp;$F587&amp;"|"&amp;$R587&amp;"|"&amp;COUNTIFS($B$6:$B587,$B587,$A$6:$A587,$A587,$F$6:$F587,$F587,$R$6:$R587,$R587))</f>
        <v/>
      </c>
      <c r="U587" s="32">
        <f>IF($C587="","",$C587&amp;"|"&amp;COUNTIFS($C$6:$C587,$C587))</f>
        <v/>
      </c>
      <c r="V587" s="32">
        <f>IF(OR($C587="",$A587="",$S587=""),"",$C587&amp;"|"&amp;$A587&amp;"|"&amp;$S587)</f>
        <v/>
      </c>
      <c r="W587" s="32">
        <f>IF(OR($C587="",$S587="",$S587=1),"",IFERROR(INDEX($Q$6:$Q$1505,MATCH($C587&amp;"|"&amp;$A587&amp;"|"&amp;($S587-1),$V$6:$V$1505,0)),""))</f>
        <v/>
      </c>
      <c r="X587" s="32">
        <f>IF(OR($W587="",$Q587="",LEFT($Q587,1)="—"),"",IF($W587=$Q587,"ללא שינוי","מ-"&amp;$W587&amp;" ל-"&amp;$Q587))</f>
        <v/>
      </c>
    </row>
    <row r="588" ht="15.75" customHeight="1" s="58">
      <c r="A588" s="65" t="n"/>
      <c r="B588" s="65" t="n"/>
      <c r="C588" s="66" t="n"/>
      <c r="D588" s="66" t="n"/>
      <c r="E588" s="65" t="n"/>
      <c r="F588" s="65" t="n"/>
      <c r="G588" s="65" t="n"/>
      <c r="H588" s="65" t="n"/>
      <c r="I588" s="65" t="n"/>
      <c r="J588" s="65" t="n"/>
      <c r="K588" s="65" t="n"/>
      <c r="L588" s="65" t="n"/>
      <c r="M588" s="65" t="n"/>
      <c r="N588" s="65" t="n"/>
      <c r="O588" s="65" t="n"/>
      <c r="P588" s="65" t="n"/>
      <c r="Q588" s="32">
        <f>IF($C588="","",IF($J588="","— חסרים נתונים",IF($J588="טרם מפענח","פרופיל 5",IF($J588="קמץ/פתח/חטף-פתח ושוואים","פרופיל 4",IF($J588="2-3 סימני ניקוד","פרופיל 3",IF($J588="4-5 סימני ניקוד","פרופיל 2",IF(AND($O588="משפטים וקטעים קצרים",OR($M588="מבין",$M588="מבין לרוב")),"פרופיל 1","פרופיל 2")))))))</f>
        <v/>
      </c>
      <c r="R588" s="32">
        <f>IF($C588="","",IF(OR($Q588="",LEFT($Q588,1)="—"),"קבוצה רביעית",IF($Q588="פרופיל 5","קבוצת תשתיות",IF(OR($Q588="פרופיל 4",$Q588="פרופיל 3"),"קבוצת רכישה","קבוצת ביסוס"))))</f>
        <v/>
      </c>
      <c r="S588" s="32">
        <f>IF($F588="","",IF($F588="תחילת שנה",1,IF($F588="מחצית שנה",2,3)))</f>
        <v/>
      </c>
      <c r="T588" s="32">
        <f>IF(OR($B588="",$R588="",$A588="",$F588=""),"",$B588&amp;"|"&amp;$A588&amp;"|"&amp;$F588&amp;"|"&amp;$R588&amp;"|"&amp;COUNTIFS($B$6:$B588,$B588,$A$6:$A588,$A588,$F$6:$F588,$F588,$R$6:$R588,$R588))</f>
        <v/>
      </c>
      <c r="U588" s="32">
        <f>IF($C588="","",$C588&amp;"|"&amp;COUNTIFS($C$6:$C588,$C588))</f>
        <v/>
      </c>
      <c r="V588" s="32">
        <f>IF(OR($C588="",$A588="",$S588=""),"",$C588&amp;"|"&amp;$A588&amp;"|"&amp;$S588)</f>
        <v/>
      </c>
      <c r="W588" s="32">
        <f>IF(OR($C588="",$S588="",$S588=1),"",IFERROR(INDEX($Q$6:$Q$1505,MATCH($C588&amp;"|"&amp;$A588&amp;"|"&amp;($S588-1),$V$6:$V$1505,0)),""))</f>
        <v/>
      </c>
      <c r="X588" s="32">
        <f>IF(OR($W588="",$Q588="",LEFT($Q588,1)="—"),"",IF($W588=$Q588,"ללא שינוי","מ-"&amp;$W588&amp;" ל-"&amp;$Q588))</f>
        <v/>
      </c>
    </row>
    <row r="589" ht="15.75" customHeight="1" s="58">
      <c r="A589" s="65" t="n"/>
      <c r="B589" s="65" t="n"/>
      <c r="C589" s="66" t="n"/>
      <c r="D589" s="66" t="n"/>
      <c r="E589" s="65" t="n"/>
      <c r="F589" s="65" t="n"/>
      <c r="G589" s="65" t="n"/>
      <c r="H589" s="65" t="n"/>
      <c r="I589" s="65" t="n"/>
      <c r="J589" s="65" t="n"/>
      <c r="K589" s="65" t="n"/>
      <c r="L589" s="65" t="n"/>
      <c r="M589" s="65" t="n"/>
      <c r="N589" s="65" t="n"/>
      <c r="O589" s="65" t="n"/>
      <c r="P589" s="65" t="n"/>
      <c r="Q589" s="32">
        <f>IF($C589="","",IF($J589="","— חסרים נתונים",IF($J589="טרם מפענח","פרופיל 5",IF($J589="קמץ/פתח/חטף-פתח ושוואים","פרופיל 4",IF($J589="2-3 סימני ניקוד","פרופיל 3",IF($J589="4-5 סימני ניקוד","פרופיל 2",IF(AND($O589="משפטים וקטעים קצרים",OR($M589="מבין",$M589="מבין לרוב")),"פרופיל 1","פרופיל 2")))))))</f>
        <v/>
      </c>
      <c r="R589" s="32">
        <f>IF($C589="","",IF(OR($Q589="",LEFT($Q589,1)="—"),"קבוצה רביעית",IF($Q589="פרופיל 5","קבוצת תשתיות",IF(OR($Q589="פרופיל 4",$Q589="פרופיל 3"),"קבוצת רכישה","קבוצת ביסוס"))))</f>
        <v/>
      </c>
      <c r="S589" s="32">
        <f>IF($F589="","",IF($F589="תחילת שנה",1,IF($F589="מחצית שנה",2,3)))</f>
        <v/>
      </c>
      <c r="T589" s="32">
        <f>IF(OR($B589="",$R589="",$A589="",$F589=""),"",$B589&amp;"|"&amp;$A589&amp;"|"&amp;$F589&amp;"|"&amp;$R589&amp;"|"&amp;COUNTIFS($B$6:$B589,$B589,$A$6:$A589,$A589,$F$6:$F589,$F589,$R$6:$R589,$R589))</f>
        <v/>
      </c>
      <c r="U589" s="32">
        <f>IF($C589="","",$C589&amp;"|"&amp;COUNTIFS($C$6:$C589,$C589))</f>
        <v/>
      </c>
      <c r="V589" s="32">
        <f>IF(OR($C589="",$A589="",$S589=""),"",$C589&amp;"|"&amp;$A589&amp;"|"&amp;$S589)</f>
        <v/>
      </c>
      <c r="W589" s="32">
        <f>IF(OR($C589="",$S589="",$S589=1),"",IFERROR(INDEX($Q$6:$Q$1505,MATCH($C589&amp;"|"&amp;$A589&amp;"|"&amp;($S589-1),$V$6:$V$1505,0)),""))</f>
        <v/>
      </c>
      <c r="X589" s="32">
        <f>IF(OR($W589="",$Q589="",LEFT($Q589,1)="—"),"",IF($W589=$Q589,"ללא שינוי","מ-"&amp;$W589&amp;" ל-"&amp;$Q589))</f>
        <v/>
      </c>
    </row>
    <row r="590" ht="15.75" customHeight="1" s="58">
      <c r="A590" s="65" t="n"/>
      <c r="B590" s="65" t="n"/>
      <c r="C590" s="66" t="n"/>
      <c r="D590" s="66" t="n"/>
      <c r="E590" s="65" t="n"/>
      <c r="F590" s="65" t="n"/>
      <c r="G590" s="65" t="n"/>
      <c r="H590" s="65" t="n"/>
      <c r="I590" s="65" t="n"/>
      <c r="J590" s="65" t="n"/>
      <c r="K590" s="65" t="n"/>
      <c r="L590" s="65" t="n"/>
      <c r="M590" s="65" t="n"/>
      <c r="N590" s="65" t="n"/>
      <c r="O590" s="65" t="n"/>
      <c r="P590" s="65" t="n"/>
      <c r="Q590" s="32">
        <f>IF($C590="","",IF($J590="","— חסרים נתונים",IF($J590="טרם מפענח","פרופיל 5",IF($J590="קמץ/פתח/חטף-פתח ושוואים","פרופיל 4",IF($J590="2-3 סימני ניקוד","פרופיל 3",IF($J590="4-5 סימני ניקוד","פרופיל 2",IF(AND($O590="משפטים וקטעים קצרים",OR($M590="מבין",$M590="מבין לרוב")),"פרופיל 1","פרופיל 2")))))))</f>
        <v/>
      </c>
      <c r="R590" s="32">
        <f>IF($C590="","",IF(OR($Q590="",LEFT($Q590,1)="—"),"קבוצה רביעית",IF($Q590="פרופיל 5","קבוצת תשתיות",IF(OR($Q590="פרופיל 4",$Q590="פרופיל 3"),"קבוצת רכישה","קבוצת ביסוס"))))</f>
        <v/>
      </c>
      <c r="S590" s="32">
        <f>IF($F590="","",IF($F590="תחילת שנה",1,IF($F590="מחצית שנה",2,3)))</f>
        <v/>
      </c>
      <c r="T590" s="32">
        <f>IF(OR($B590="",$R590="",$A590="",$F590=""),"",$B590&amp;"|"&amp;$A590&amp;"|"&amp;$F590&amp;"|"&amp;$R590&amp;"|"&amp;COUNTIFS($B$6:$B590,$B590,$A$6:$A590,$A590,$F$6:$F590,$F590,$R$6:$R590,$R590))</f>
        <v/>
      </c>
      <c r="U590" s="32">
        <f>IF($C590="","",$C590&amp;"|"&amp;COUNTIFS($C$6:$C590,$C590))</f>
        <v/>
      </c>
      <c r="V590" s="32">
        <f>IF(OR($C590="",$A590="",$S590=""),"",$C590&amp;"|"&amp;$A590&amp;"|"&amp;$S590)</f>
        <v/>
      </c>
      <c r="W590" s="32">
        <f>IF(OR($C590="",$S590="",$S590=1),"",IFERROR(INDEX($Q$6:$Q$1505,MATCH($C590&amp;"|"&amp;$A590&amp;"|"&amp;($S590-1),$V$6:$V$1505,0)),""))</f>
        <v/>
      </c>
      <c r="X590" s="32">
        <f>IF(OR($W590="",$Q590="",LEFT($Q590,1)="—"),"",IF($W590=$Q590,"ללא שינוי","מ-"&amp;$W590&amp;" ל-"&amp;$Q590))</f>
        <v/>
      </c>
    </row>
    <row r="591" ht="15.75" customHeight="1" s="58">
      <c r="A591" s="65" t="n"/>
      <c r="B591" s="65" t="n"/>
      <c r="C591" s="66" t="n"/>
      <c r="D591" s="66" t="n"/>
      <c r="E591" s="65" t="n"/>
      <c r="F591" s="65" t="n"/>
      <c r="G591" s="65" t="n"/>
      <c r="H591" s="65" t="n"/>
      <c r="I591" s="65" t="n"/>
      <c r="J591" s="65" t="n"/>
      <c r="K591" s="65" t="n"/>
      <c r="L591" s="65" t="n"/>
      <c r="M591" s="65" t="n"/>
      <c r="N591" s="65" t="n"/>
      <c r="O591" s="65" t="n"/>
      <c r="P591" s="65" t="n"/>
      <c r="Q591" s="32">
        <f>IF($C591="","",IF($J591="","— חסרים נתונים",IF($J591="טרם מפענח","פרופיל 5",IF($J591="קמץ/פתח/חטף-פתח ושוואים","פרופיל 4",IF($J591="2-3 סימני ניקוד","פרופיל 3",IF($J591="4-5 סימני ניקוד","פרופיל 2",IF(AND($O591="משפטים וקטעים קצרים",OR($M591="מבין",$M591="מבין לרוב")),"פרופיל 1","פרופיל 2")))))))</f>
        <v/>
      </c>
      <c r="R591" s="32">
        <f>IF($C591="","",IF(OR($Q591="",LEFT($Q591,1)="—"),"קבוצה רביעית",IF($Q591="פרופיל 5","קבוצת תשתיות",IF(OR($Q591="פרופיל 4",$Q591="פרופיל 3"),"קבוצת רכישה","קבוצת ביסוס"))))</f>
        <v/>
      </c>
      <c r="S591" s="32">
        <f>IF($F591="","",IF($F591="תחילת שנה",1,IF($F591="מחצית שנה",2,3)))</f>
        <v/>
      </c>
      <c r="T591" s="32">
        <f>IF(OR($B591="",$R591="",$A591="",$F591=""),"",$B591&amp;"|"&amp;$A591&amp;"|"&amp;$F591&amp;"|"&amp;$R591&amp;"|"&amp;COUNTIFS($B$6:$B591,$B591,$A$6:$A591,$A591,$F$6:$F591,$F591,$R$6:$R591,$R591))</f>
        <v/>
      </c>
      <c r="U591" s="32">
        <f>IF($C591="","",$C591&amp;"|"&amp;COUNTIFS($C$6:$C591,$C591))</f>
        <v/>
      </c>
      <c r="V591" s="32">
        <f>IF(OR($C591="",$A591="",$S591=""),"",$C591&amp;"|"&amp;$A591&amp;"|"&amp;$S591)</f>
        <v/>
      </c>
      <c r="W591" s="32">
        <f>IF(OR($C591="",$S591="",$S591=1),"",IFERROR(INDEX($Q$6:$Q$1505,MATCH($C591&amp;"|"&amp;$A591&amp;"|"&amp;($S591-1),$V$6:$V$1505,0)),""))</f>
        <v/>
      </c>
      <c r="X591" s="32">
        <f>IF(OR($W591="",$Q591="",LEFT($Q591,1)="—"),"",IF($W591=$Q591,"ללא שינוי","מ-"&amp;$W591&amp;" ל-"&amp;$Q591))</f>
        <v/>
      </c>
    </row>
    <row r="592" ht="15.75" customHeight="1" s="58">
      <c r="A592" s="65" t="n"/>
      <c r="B592" s="65" t="n"/>
      <c r="C592" s="66" t="n"/>
      <c r="D592" s="66" t="n"/>
      <c r="E592" s="65" t="n"/>
      <c r="F592" s="65" t="n"/>
      <c r="G592" s="65" t="n"/>
      <c r="H592" s="65" t="n"/>
      <c r="I592" s="65" t="n"/>
      <c r="J592" s="65" t="n"/>
      <c r="K592" s="65" t="n"/>
      <c r="L592" s="65" t="n"/>
      <c r="M592" s="65" t="n"/>
      <c r="N592" s="65" t="n"/>
      <c r="O592" s="65" t="n"/>
      <c r="P592" s="65" t="n"/>
      <c r="Q592" s="32">
        <f>IF($C592="","",IF($J592="","— חסרים נתונים",IF($J592="טרם מפענח","פרופיל 5",IF($J592="קמץ/פתח/חטף-פתח ושוואים","פרופיל 4",IF($J592="2-3 סימני ניקוד","פרופיל 3",IF($J592="4-5 סימני ניקוד","פרופיל 2",IF(AND($O592="משפטים וקטעים קצרים",OR($M592="מבין",$M592="מבין לרוב")),"פרופיל 1","פרופיל 2")))))))</f>
        <v/>
      </c>
      <c r="R592" s="32">
        <f>IF($C592="","",IF(OR($Q592="",LEFT($Q592,1)="—"),"קבוצה רביעית",IF($Q592="פרופיל 5","קבוצת תשתיות",IF(OR($Q592="פרופיל 4",$Q592="פרופיל 3"),"קבוצת רכישה","קבוצת ביסוס"))))</f>
        <v/>
      </c>
      <c r="S592" s="32">
        <f>IF($F592="","",IF($F592="תחילת שנה",1,IF($F592="מחצית שנה",2,3)))</f>
        <v/>
      </c>
      <c r="T592" s="32">
        <f>IF(OR($B592="",$R592="",$A592="",$F592=""),"",$B592&amp;"|"&amp;$A592&amp;"|"&amp;$F592&amp;"|"&amp;$R592&amp;"|"&amp;COUNTIFS($B$6:$B592,$B592,$A$6:$A592,$A592,$F$6:$F592,$F592,$R$6:$R592,$R592))</f>
        <v/>
      </c>
      <c r="U592" s="32">
        <f>IF($C592="","",$C592&amp;"|"&amp;COUNTIFS($C$6:$C592,$C592))</f>
        <v/>
      </c>
      <c r="V592" s="32">
        <f>IF(OR($C592="",$A592="",$S592=""),"",$C592&amp;"|"&amp;$A592&amp;"|"&amp;$S592)</f>
        <v/>
      </c>
      <c r="W592" s="32">
        <f>IF(OR($C592="",$S592="",$S592=1),"",IFERROR(INDEX($Q$6:$Q$1505,MATCH($C592&amp;"|"&amp;$A592&amp;"|"&amp;($S592-1),$V$6:$V$1505,0)),""))</f>
        <v/>
      </c>
      <c r="X592" s="32">
        <f>IF(OR($W592="",$Q592="",LEFT($Q592,1)="—"),"",IF($W592=$Q592,"ללא שינוי","מ-"&amp;$W592&amp;" ל-"&amp;$Q592))</f>
        <v/>
      </c>
    </row>
    <row r="593" ht="15.75" customHeight="1" s="58">
      <c r="A593" s="65" t="n"/>
      <c r="B593" s="65" t="n"/>
      <c r="C593" s="66" t="n"/>
      <c r="D593" s="66" t="n"/>
      <c r="E593" s="65" t="n"/>
      <c r="F593" s="65" t="n"/>
      <c r="G593" s="65" t="n"/>
      <c r="H593" s="65" t="n"/>
      <c r="I593" s="65" t="n"/>
      <c r="J593" s="65" t="n"/>
      <c r="K593" s="65" t="n"/>
      <c r="L593" s="65" t="n"/>
      <c r="M593" s="65" t="n"/>
      <c r="N593" s="65" t="n"/>
      <c r="O593" s="65" t="n"/>
      <c r="P593" s="65" t="n"/>
      <c r="Q593" s="32">
        <f>IF($C593="","",IF($J593="","— חסרים נתונים",IF($J593="טרם מפענח","פרופיל 5",IF($J593="קמץ/פתח/חטף-פתח ושוואים","פרופיל 4",IF($J593="2-3 סימני ניקוד","פרופיל 3",IF($J593="4-5 סימני ניקוד","פרופיל 2",IF(AND($O593="משפטים וקטעים קצרים",OR($M593="מבין",$M593="מבין לרוב")),"פרופיל 1","פרופיל 2")))))))</f>
        <v/>
      </c>
      <c r="R593" s="32">
        <f>IF($C593="","",IF(OR($Q593="",LEFT($Q593,1)="—"),"קבוצה רביעית",IF($Q593="פרופיל 5","קבוצת תשתיות",IF(OR($Q593="פרופיל 4",$Q593="פרופיל 3"),"קבוצת רכישה","קבוצת ביסוס"))))</f>
        <v/>
      </c>
      <c r="S593" s="32">
        <f>IF($F593="","",IF($F593="תחילת שנה",1,IF($F593="מחצית שנה",2,3)))</f>
        <v/>
      </c>
      <c r="T593" s="32">
        <f>IF(OR($B593="",$R593="",$A593="",$F593=""),"",$B593&amp;"|"&amp;$A593&amp;"|"&amp;$F593&amp;"|"&amp;$R593&amp;"|"&amp;COUNTIFS($B$6:$B593,$B593,$A$6:$A593,$A593,$F$6:$F593,$F593,$R$6:$R593,$R593))</f>
        <v/>
      </c>
      <c r="U593" s="32">
        <f>IF($C593="","",$C593&amp;"|"&amp;COUNTIFS($C$6:$C593,$C593))</f>
        <v/>
      </c>
      <c r="V593" s="32">
        <f>IF(OR($C593="",$A593="",$S593=""),"",$C593&amp;"|"&amp;$A593&amp;"|"&amp;$S593)</f>
        <v/>
      </c>
      <c r="W593" s="32">
        <f>IF(OR($C593="",$S593="",$S593=1),"",IFERROR(INDEX($Q$6:$Q$1505,MATCH($C593&amp;"|"&amp;$A593&amp;"|"&amp;($S593-1),$V$6:$V$1505,0)),""))</f>
        <v/>
      </c>
      <c r="X593" s="32">
        <f>IF(OR($W593="",$Q593="",LEFT($Q593,1)="—"),"",IF($W593=$Q593,"ללא שינוי","מ-"&amp;$W593&amp;" ל-"&amp;$Q593))</f>
        <v/>
      </c>
    </row>
    <row r="594" ht="15.75" customHeight="1" s="58">
      <c r="A594" s="65" t="n"/>
      <c r="B594" s="65" t="n"/>
      <c r="C594" s="66" t="n"/>
      <c r="D594" s="66" t="n"/>
      <c r="E594" s="65" t="n"/>
      <c r="F594" s="65" t="n"/>
      <c r="G594" s="65" t="n"/>
      <c r="H594" s="65" t="n"/>
      <c r="I594" s="65" t="n"/>
      <c r="J594" s="65" t="n"/>
      <c r="K594" s="65" t="n"/>
      <c r="L594" s="65" t="n"/>
      <c r="M594" s="65" t="n"/>
      <c r="N594" s="65" t="n"/>
      <c r="O594" s="65" t="n"/>
      <c r="P594" s="65" t="n"/>
      <c r="Q594" s="32">
        <f>IF($C594="","",IF($J594="","— חסרים נתונים",IF($J594="טרם מפענח","פרופיל 5",IF($J594="קמץ/פתח/חטף-פתח ושוואים","פרופיל 4",IF($J594="2-3 סימני ניקוד","פרופיל 3",IF($J594="4-5 סימני ניקוד","פרופיל 2",IF(AND($O594="משפטים וקטעים קצרים",OR($M594="מבין",$M594="מבין לרוב")),"פרופיל 1","פרופיל 2")))))))</f>
        <v/>
      </c>
      <c r="R594" s="32">
        <f>IF($C594="","",IF(OR($Q594="",LEFT($Q594,1)="—"),"קבוצה רביעית",IF($Q594="פרופיל 5","קבוצת תשתיות",IF(OR($Q594="פרופיל 4",$Q594="פרופיל 3"),"קבוצת רכישה","קבוצת ביסוס"))))</f>
        <v/>
      </c>
      <c r="S594" s="32">
        <f>IF($F594="","",IF($F594="תחילת שנה",1,IF($F594="מחצית שנה",2,3)))</f>
        <v/>
      </c>
      <c r="T594" s="32">
        <f>IF(OR($B594="",$R594="",$A594="",$F594=""),"",$B594&amp;"|"&amp;$A594&amp;"|"&amp;$F594&amp;"|"&amp;$R594&amp;"|"&amp;COUNTIFS($B$6:$B594,$B594,$A$6:$A594,$A594,$F$6:$F594,$F594,$R$6:$R594,$R594))</f>
        <v/>
      </c>
      <c r="U594" s="32">
        <f>IF($C594="","",$C594&amp;"|"&amp;COUNTIFS($C$6:$C594,$C594))</f>
        <v/>
      </c>
      <c r="V594" s="32">
        <f>IF(OR($C594="",$A594="",$S594=""),"",$C594&amp;"|"&amp;$A594&amp;"|"&amp;$S594)</f>
        <v/>
      </c>
      <c r="W594" s="32">
        <f>IF(OR($C594="",$S594="",$S594=1),"",IFERROR(INDEX($Q$6:$Q$1505,MATCH($C594&amp;"|"&amp;$A594&amp;"|"&amp;($S594-1),$V$6:$V$1505,0)),""))</f>
        <v/>
      </c>
      <c r="X594" s="32">
        <f>IF(OR($W594="",$Q594="",LEFT($Q594,1)="—"),"",IF($W594=$Q594,"ללא שינוי","מ-"&amp;$W594&amp;" ל-"&amp;$Q594))</f>
        <v/>
      </c>
    </row>
    <row r="595" ht="15.75" customHeight="1" s="58">
      <c r="A595" s="65" t="n"/>
      <c r="B595" s="65" t="n"/>
      <c r="C595" s="66" t="n"/>
      <c r="D595" s="66" t="n"/>
      <c r="E595" s="65" t="n"/>
      <c r="F595" s="65" t="n"/>
      <c r="G595" s="65" t="n"/>
      <c r="H595" s="65" t="n"/>
      <c r="I595" s="65" t="n"/>
      <c r="J595" s="65" t="n"/>
      <c r="K595" s="65" t="n"/>
      <c r="L595" s="65" t="n"/>
      <c r="M595" s="65" t="n"/>
      <c r="N595" s="65" t="n"/>
      <c r="O595" s="65" t="n"/>
      <c r="P595" s="65" t="n"/>
      <c r="Q595" s="32">
        <f>IF($C595="","",IF($J595="","— חסרים נתונים",IF($J595="טרם מפענח","פרופיל 5",IF($J595="קמץ/פתח/חטף-פתח ושוואים","פרופיל 4",IF($J595="2-3 סימני ניקוד","פרופיל 3",IF($J595="4-5 סימני ניקוד","פרופיל 2",IF(AND($O595="משפטים וקטעים קצרים",OR($M595="מבין",$M595="מבין לרוב")),"פרופיל 1","פרופיל 2")))))))</f>
        <v/>
      </c>
      <c r="R595" s="32">
        <f>IF($C595="","",IF(OR($Q595="",LEFT($Q595,1)="—"),"קבוצה רביעית",IF($Q595="פרופיל 5","קבוצת תשתיות",IF(OR($Q595="פרופיל 4",$Q595="פרופיל 3"),"קבוצת רכישה","קבוצת ביסוס"))))</f>
        <v/>
      </c>
      <c r="S595" s="32">
        <f>IF($F595="","",IF($F595="תחילת שנה",1,IF($F595="מחצית שנה",2,3)))</f>
        <v/>
      </c>
      <c r="T595" s="32">
        <f>IF(OR($B595="",$R595="",$A595="",$F595=""),"",$B595&amp;"|"&amp;$A595&amp;"|"&amp;$F595&amp;"|"&amp;$R595&amp;"|"&amp;COUNTIFS($B$6:$B595,$B595,$A$6:$A595,$A595,$F$6:$F595,$F595,$R$6:$R595,$R595))</f>
        <v/>
      </c>
      <c r="U595" s="32">
        <f>IF($C595="","",$C595&amp;"|"&amp;COUNTIFS($C$6:$C595,$C595))</f>
        <v/>
      </c>
      <c r="V595" s="32">
        <f>IF(OR($C595="",$A595="",$S595=""),"",$C595&amp;"|"&amp;$A595&amp;"|"&amp;$S595)</f>
        <v/>
      </c>
      <c r="W595" s="32">
        <f>IF(OR($C595="",$S595="",$S595=1),"",IFERROR(INDEX($Q$6:$Q$1505,MATCH($C595&amp;"|"&amp;$A595&amp;"|"&amp;($S595-1),$V$6:$V$1505,0)),""))</f>
        <v/>
      </c>
      <c r="X595" s="32">
        <f>IF(OR($W595="",$Q595="",LEFT($Q595,1)="—"),"",IF($W595=$Q595,"ללא שינוי","מ-"&amp;$W595&amp;" ל-"&amp;$Q595))</f>
        <v/>
      </c>
    </row>
    <row r="596" ht="15.75" customHeight="1" s="58">
      <c r="A596" s="65" t="n"/>
      <c r="B596" s="65" t="n"/>
      <c r="C596" s="66" t="n"/>
      <c r="D596" s="66" t="n"/>
      <c r="E596" s="65" t="n"/>
      <c r="F596" s="65" t="n"/>
      <c r="G596" s="65" t="n"/>
      <c r="H596" s="65" t="n"/>
      <c r="I596" s="65" t="n"/>
      <c r="J596" s="65" t="n"/>
      <c r="K596" s="65" t="n"/>
      <c r="L596" s="65" t="n"/>
      <c r="M596" s="65" t="n"/>
      <c r="N596" s="65" t="n"/>
      <c r="O596" s="65" t="n"/>
      <c r="P596" s="65" t="n"/>
      <c r="Q596" s="32">
        <f>IF($C596="","",IF($J596="","— חסרים נתונים",IF($J596="טרם מפענח","פרופיל 5",IF($J596="קמץ/פתח/חטף-פתח ושוואים","פרופיל 4",IF($J596="2-3 סימני ניקוד","פרופיל 3",IF($J596="4-5 סימני ניקוד","פרופיל 2",IF(AND($O596="משפטים וקטעים קצרים",OR($M596="מבין",$M596="מבין לרוב")),"פרופיל 1","פרופיל 2")))))))</f>
        <v/>
      </c>
      <c r="R596" s="32">
        <f>IF($C596="","",IF(OR($Q596="",LEFT($Q596,1)="—"),"קבוצה רביעית",IF($Q596="פרופיל 5","קבוצת תשתיות",IF(OR($Q596="פרופיל 4",$Q596="פרופיל 3"),"קבוצת רכישה","קבוצת ביסוס"))))</f>
        <v/>
      </c>
      <c r="S596" s="32">
        <f>IF($F596="","",IF($F596="תחילת שנה",1,IF($F596="מחצית שנה",2,3)))</f>
        <v/>
      </c>
      <c r="T596" s="32">
        <f>IF(OR($B596="",$R596="",$A596="",$F596=""),"",$B596&amp;"|"&amp;$A596&amp;"|"&amp;$F596&amp;"|"&amp;$R596&amp;"|"&amp;COUNTIFS($B$6:$B596,$B596,$A$6:$A596,$A596,$F$6:$F596,$F596,$R$6:$R596,$R596))</f>
        <v/>
      </c>
      <c r="U596" s="32">
        <f>IF($C596="","",$C596&amp;"|"&amp;COUNTIFS($C$6:$C596,$C596))</f>
        <v/>
      </c>
      <c r="V596" s="32">
        <f>IF(OR($C596="",$A596="",$S596=""),"",$C596&amp;"|"&amp;$A596&amp;"|"&amp;$S596)</f>
        <v/>
      </c>
      <c r="W596" s="32">
        <f>IF(OR($C596="",$S596="",$S596=1),"",IFERROR(INDEX($Q$6:$Q$1505,MATCH($C596&amp;"|"&amp;$A596&amp;"|"&amp;($S596-1),$V$6:$V$1505,0)),""))</f>
        <v/>
      </c>
      <c r="X596" s="32">
        <f>IF(OR($W596="",$Q596="",LEFT($Q596,1)="—"),"",IF($W596=$Q596,"ללא שינוי","מ-"&amp;$W596&amp;" ל-"&amp;$Q596))</f>
        <v/>
      </c>
    </row>
    <row r="597" ht="15.75" customHeight="1" s="58">
      <c r="A597" s="65" t="n"/>
      <c r="B597" s="65" t="n"/>
      <c r="C597" s="66" t="n"/>
      <c r="D597" s="66" t="n"/>
      <c r="E597" s="65" t="n"/>
      <c r="F597" s="65" t="n"/>
      <c r="G597" s="65" t="n"/>
      <c r="H597" s="65" t="n"/>
      <c r="I597" s="65" t="n"/>
      <c r="J597" s="65" t="n"/>
      <c r="K597" s="65" t="n"/>
      <c r="L597" s="65" t="n"/>
      <c r="M597" s="65" t="n"/>
      <c r="N597" s="65" t="n"/>
      <c r="O597" s="65" t="n"/>
      <c r="P597" s="65" t="n"/>
      <c r="Q597" s="32">
        <f>IF($C597="","",IF($J597="","— חסרים נתונים",IF($J597="טרם מפענח","פרופיל 5",IF($J597="קמץ/פתח/חטף-פתח ושוואים","פרופיל 4",IF($J597="2-3 סימני ניקוד","פרופיל 3",IF($J597="4-5 סימני ניקוד","פרופיל 2",IF(AND($O597="משפטים וקטעים קצרים",OR($M597="מבין",$M597="מבין לרוב")),"פרופיל 1","פרופיל 2")))))))</f>
        <v/>
      </c>
      <c r="R597" s="32">
        <f>IF($C597="","",IF(OR($Q597="",LEFT($Q597,1)="—"),"קבוצה רביעית",IF($Q597="פרופיל 5","קבוצת תשתיות",IF(OR($Q597="פרופיל 4",$Q597="פרופיל 3"),"קבוצת רכישה","קבוצת ביסוס"))))</f>
        <v/>
      </c>
      <c r="S597" s="32">
        <f>IF($F597="","",IF($F597="תחילת שנה",1,IF($F597="מחצית שנה",2,3)))</f>
        <v/>
      </c>
      <c r="T597" s="32">
        <f>IF(OR($B597="",$R597="",$A597="",$F597=""),"",$B597&amp;"|"&amp;$A597&amp;"|"&amp;$F597&amp;"|"&amp;$R597&amp;"|"&amp;COUNTIFS($B$6:$B597,$B597,$A$6:$A597,$A597,$F$6:$F597,$F597,$R$6:$R597,$R597))</f>
        <v/>
      </c>
      <c r="U597" s="32">
        <f>IF($C597="","",$C597&amp;"|"&amp;COUNTIFS($C$6:$C597,$C597))</f>
        <v/>
      </c>
      <c r="V597" s="32">
        <f>IF(OR($C597="",$A597="",$S597=""),"",$C597&amp;"|"&amp;$A597&amp;"|"&amp;$S597)</f>
        <v/>
      </c>
      <c r="W597" s="32">
        <f>IF(OR($C597="",$S597="",$S597=1),"",IFERROR(INDEX($Q$6:$Q$1505,MATCH($C597&amp;"|"&amp;$A597&amp;"|"&amp;($S597-1),$V$6:$V$1505,0)),""))</f>
        <v/>
      </c>
      <c r="X597" s="32">
        <f>IF(OR($W597="",$Q597="",LEFT($Q597,1)="—"),"",IF($W597=$Q597,"ללא שינוי","מ-"&amp;$W597&amp;" ל-"&amp;$Q597))</f>
        <v/>
      </c>
    </row>
    <row r="598" ht="15.75" customHeight="1" s="58">
      <c r="A598" s="65" t="n"/>
      <c r="B598" s="65" t="n"/>
      <c r="C598" s="66" t="n"/>
      <c r="D598" s="66" t="n"/>
      <c r="E598" s="65" t="n"/>
      <c r="F598" s="65" t="n"/>
      <c r="G598" s="65" t="n"/>
      <c r="H598" s="65" t="n"/>
      <c r="I598" s="65" t="n"/>
      <c r="J598" s="65" t="n"/>
      <c r="K598" s="65" t="n"/>
      <c r="L598" s="65" t="n"/>
      <c r="M598" s="65" t="n"/>
      <c r="N598" s="65" t="n"/>
      <c r="O598" s="65" t="n"/>
      <c r="P598" s="65" t="n"/>
      <c r="Q598" s="32">
        <f>IF($C598="","",IF($J598="","— חסרים נתונים",IF($J598="טרם מפענח","פרופיל 5",IF($J598="קמץ/פתח/חטף-פתח ושוואים","פרופיל 4",IF($J598="2-3 סימני ניקוד","פרופיל 3",IF($J598="4-5 סימני ניקוד","פרופיל 2",IF(AND($O598="משפטים וקטעים קצרים",OR($M598="מבין",$M598="מבין לרוב")),"פרופיל 1","פרופיל 2")))))))</f>
        <v/>
      </c>
      <c r="R598" s="32">
        <f>IF($C598="","",IF(OR($Q598="",LEFT($Q598,1)="—"),"קבוצה רביעית",IF($Q598="פרופיל 5","קבוצת תשתיות",IF(OR($Q598="פרופיל 4",$Q598="פרופיל 3"),"קבוצת רכישה","קבוצת ביסוס"))))</f>
        <v/>
      </c>
      <c r="S598" s="32">
        <f>IF($F598="","",IF($F598="תחילת שנה",1,IF($F598="מחצית שנה",2,3)))</f>
        <v/>
      </c>
      <c r="T598" s="32">
        <f>IF(OR($B598="",$R598="",$A598="",$F598=""),"",$B598&amp;"|"&amp;$A598&amp;"|"&amp;$F598&amp;"|"&amp;$R598&amp;"|"&amp;COUNTIFS($B$6:$B598,$B598,$A$6:$A598,$A598,$F$6:$F598,$F598,$R$6:$R598,$R598))</f>
        <v/>
      </c>
      <c r="U598" s="32">
        <f>IF($C598="","",$C598&amp;"|"&amp;COUNTIFS($C$6:$C598,$C598))</f>
        <v/>
      </c>
      <c r="V598" s="32">
        <f>IF(OR($C598="",$A598="",$S598=""),"",$C598&amp;"|"&amp;$A598&amp;"|"&amp;$S598)</f>
        <v/>
      </c>
      <c r="W598" s="32">
        <f>IF(OR($C598="",$S598="",$S598=1),"",IFERROR(INDEX($Q$6:$Q$1505,MATCH($C598&amp;"|"&amp;$A598&amp;"|"&amp;($S598-1),$V$6:$V$1505,0)),""))</f>
        <v/>
      </c>
      <c r="X598" s="32">
        <f>IF(OR($W598="",$Q598="",LEFT($Q598,1)="—"),"",IF($W598=$Q598,"ללא שינוי","מ-"&amp;$W598&amp;" ל-"&amp;$Q598))</f>
        <v/>
      </c>
    </row>
    <row r="599" ht="15.75" customHeight="1" s="58">
      <c r="A599" s="65" t="n"/>
      <c r="B599" s="65" t="n"/>
      <c r="C599" s="66" t="n"/>
      <c r="D599" s="66" t="n"/>
      <c r="E599" s="65" t="n"/>
      <c r="F599" s="65" t="n"/>
      <c r="G599" s="65" t="n"/>
      <c r="H599" s="65" t="n"/>
      <c r="I599" s="65" t="n"/>
      <c r="J599" s="65" t="n"/>
      <c r="K599" s="65" t="n"/>
      <c r="L599" s="65" t="n"/>
      <c r="M599" s="65" t="n"/>
      <c r="N599" s="65" t="n"/>
      <c r="O599" s="65" t="n"/>
      <c r="P599" s="65" t="n"/>
      <c r="Q599" s="32">
        <f>IF($C599="","",IF($J599="","— חסרים נתונים",IF($J599="טרם מפענח","פרופיל 5",IF($J599="קמץ/פתח/חטף-פתח ושוואים","פרופיל 4",IF($J599="2-3 סימני ניקוד","פרופיל 3",IF($J599="4-5 סימני ניקוד","פרופיל 2",IF(AND($O599="משפטים וקטעים קצרים",OR($M599="מבין",$M599="מבין לרוב")),"פרופיל 1","פרופיל 2")))))))</f>
        <v/>
      </c>
      <c r="R599" s="32">
        <f>IF($C599="","",IF(OR($Q599="",LEFT($Q599,1)="—"),"קבוצה רביעית",IF($Q599="פרופיל 5","קבוצת תשתיות",IF(OR($Q599="פרופיל 4",$Q599="פרופיל 3"),"קבוצת רכישה","קבוצת ביסוס"))))</f>
        <v/>
      </c>
      <c r="S599" s="32">
        <f>IF($F599="","",IF($F599="תחילת שנה",1,IF($F599="מחצית שנה",2,3)))</f>
        <v/>
      </c>
      <c r="T599" s="32">
        <f>IF(OR($B599="",$R599="",$A599="",$F599=""),"",$B599&amp;"|"&amp;$A599&amp;"|"&amp;$F599&amp;"|"&amp;$R599&amp;"|"&amp;COUNTIFS($B$6:$B599,$B599,$A$6:$A599,$A599,$F$6:$F599,$F599,$R$6:$R599,$R599))</f>
        <v/>
      </c>
      <c r="U599" s="32">
        <f>IF($C599="","",$C599&amp;"|"&amp;COUNTIFS($C$6:$C599,$C599))</f>
        <v/>
      </c>
      <c r="V599" s="32">
        <f>IF(OR($C599="",$A599="",$S599=""),"",$C599&amp;"|"&amp;$A599&amp;"|"&amp;$S599)</f>
        <v/>
      </c>
      <c r="W599" s="32">
        <f>IF(OR($C599="",$S599="",$S599=1),"",IFERROR(INDEX($Q$6:$Q$1505,MATCH($C599&amp;"|"&amp;$A599&amp;"|"&amp;($S599-1),$V$6:$V$1505,0)),""))</f>
        <v/>
      </c>
      <c r="X599" s="32">
        <f>IF(OR($W599="",$Q599="",LEFT($Q599,1)="—"),"",IF($W599=$Q599,"ללא שינוי","מ-"&amp;$W599&amp;" ל-"&amp;$Q599))</f>
        <v/>
      </c>
    </row>
    <row r="600" ht="15.75" customHeight="1" s="58">
      <c r="A600" s="65" t="n"/>
      <c r="B600" s="65" t="n"/>
      <c r="C600" s="66" t="n"/>
      <c r="D600" s="66" t="n"/>
      <c r="E600" s="65" t="n"/>
      <c r="F600" s="65" t="n"/>
      <c r="G600" s="65" t="n"/>
      <c r="H600" s="65" t="n"/>
      <c r="I600" s="65" t="n"/>
      <c r="J600" s="65" t="n"/>
      <c r="K600" s="65" t="n"/>
      <c r="L600" s="65" t="n"/>
      <c r="M600" s="65" t="n"/>
      <c r="N600" s="65" t="n"/>
      <c r="O600" s="65" t="n"/>
      <c r="P600" s="65" t="n"/>
      <c r="Q600" s="32">
        <f>IF($C600="","",IF($J600="","— חסרים נתונים",IF($J600="טרם מפענח","פרופיל 5",IF($J600="קמץ/פתח/חטף-פתח ושוואים","פרופיל 4",IF($J600="2-3 סימני ניקוד","פרופיל 3",IF($J600="4-5 סימני ניקוד","פרופיל 2",IF(AND($O600="משפטים וקטעים קצרים",OR($M600="מבין",$M600="מבין לרוב")),"פרופיל 1","פרופיל 2")))))))</f>
        <v/>
      </c>
      <c r="R600" s="32">
        <f>IF($C600="","",IF(OR($Q600="",LEFT($Q600,1)="—"),"קבוצה רביעית",IF($Q600="פרופיל 5","קבוצת תשתיות",IF(OR($Q600="פרופיל 4",$Q600="פרופיל 3"),"קבוצת רכישה","קבוצת ביסוס"))))</f>
        <v/>
      </c>
      <c r="S600" s="32">
        <f>IF($F600="","",IF($F600="תחילת שנה",1,IF($F600="מחצית שנה",2,3)))</f>
        <v/>
      </c>
      <c r="T600" s="32">
        <f>IF(OR($B600="",$R600="",$A600="",$F600=""),"",$B600&amp;"|"&amp;$A600&amp;"|"&amp;$F600&amp;"|"&amp;$R600&amp;"|"&amp;COUNTIFS($B$6:$B600,$B600,$A$6:$A600,$A600,$F$6:$F600,$F600,$R$6:$R600,$R600))</f>
        <v/>
      </c>
      <c r="U600" s="32">
        <f>IF($C600="","",$C600&amp;"|"&amp;COUNTIFS($C$6:$C600,$C600))</f>
        <v/>
      </c>
      <c r="V600" s="32">
        <f>IF(OR($C600="",$A600="",$S600=""),"",$C600&amp;"|"&amp;$A600&amp;"|"&amp;$S600)</f>
        <v/>
      </c>
      <c r="W600" s="32">
        <f>IF(OR($C600="",$S600="",$S600=1),"",IFERROR(INDEX($Q$6:$Q$1505,MATCH($C600&amp;"|"&amp;$A600&amp;"|"&amp;($S600-1),$V$6:$V$1505,0)),""))</f>
        <v/>
      </c>
      <c r="X600" s="32">
        <f>IF(OR($W600="",$Q600="",LEFT($Q600,1)="—"),"",IF($W600=$Q600,"ללא שינוי","מ-"&amp;$W600&amp;" ל-"&amp;$Q600))</f>
        <v/>
      </c>
    </row>
    <row r="601" ht="15.75" customHeight="1" s="58">
      <c r="A601" s="65" t="n"/>
      <c r="B601" s="65" t="n"/>
      <c r="C601" s="66" t="n"/>
      <c r="D601" s="66" t="n"/>
      <c r="E601" s="65" t="n"/>
      <c r="F601" s="65" t="n"/>
      <c r="G601" s="65" t="n"/>
      <c r="H601" s="65" t="n"/>
      <c r="I601" s="65" t="n"/>
      <c r="J601" s="65" t="n"/>
      <c r="K601" s="65" t="n"/>
      <c r="L601" s="65" t="n"/>
      <c r="M601" s="65" t="n"/>
      <c r="N601" s="65" t="n"/>
      <c r="O601" s="65" t="n"/>
      <c r="P601" s="65" t="n"/>
      <c r="Q601" s="32">
        <f>IF($C601="","",IF($J601="","— חסרים נתונים",IF($J601="טרם מפענח","פרופיל 5",IF($J601="קמץ/פתח/חטף-פתח ושוואים","פרופיל 4",IF($J601="2-3 סימני ניקוד","פרופיל 3",IF($J601="4-5 סימני ניקוד","פרופיל 2",IF(AND($O601="משפטים וקטעים קצרים",OR($M601="מבין",$M601="מבין לרוב")),"פרופיל 1","פרופיל 2")))))))</f>
        <v/>
      </c>
      <c r="R601" s="32">
        <f>IF($C601="","",IF(OR($Q601="",LEFT($Q601,1)="—"),"קבוצה רביעית",IF($Q601="פרופיל 5","קבוצת תשתיות",IF(OR($Q601="פרופיל 4",$Q601="פרופיל 3"),"קבוצת רכישה","קבוצת ביסוס"))))</f>
        <v/>
      </c>
      <c r="S601" s="32">
        <f>IF($F601="","",IF($F601="תחילת שנה",1,IF($F601="מחצית שנה",2,3)))</f>
        <v/>
      </c>
      <c r="T601" s="32">
        <f>IF(OR($B601="",$R601="",$A601="",$F601=""),"",$B601&amp;"|"&amp;$A601&amp;"|"&amp;$F601&amp;"|"&amp;$R601&amp;"|"&amp;COUNTIFS($B$6:$B601,$B601,$A$6:$A601,$A601,$F$6:$F601,$F601,$R$6:$R601,$R601))</f>
        <v/>
      </c>
      <c r="U601" s="32">
        <f>IF($C601="","",$C601&amp;"|"&amp;COUNTIFS($C$6:$C601,$C601))</f>
        <v/>
      </c>
      <c r="V601" s="32">
        <f>IF(OR($C601="",$A601="",$S601=""),"",$C601&amp;"|"&amp;$A601&amp;"|"&amp;$S601)</f>
        <v/>
      </c>
      <c r="W601" s="32">
        <f>IF(OR($C601="",$S601="",$S601=1),"",IFERROR(INDEX($Q$6:$Q$1505,MATCH($C601&amp;"|"&amp;$A601&amp;"|"&amp;($S601-1),$V$6:$V$1505,0)),""))</f>
        <v/>
      </c>
      <c r="X601" s="32">
        <f>IF(OR($W601="",$Q601="",LEFT($Q601,1)="—"),"",IF($W601=$Q601,"ללא שינוי","מ-"&amp;$W601&amp;" ל-"&amp;$Q601))</f>
        <v/>
      </c>
    </row>
    <row r="602" ht="15.75" customHeight="1" s="58">
      <c r="A602" s="65" t="n"/>
      <c r="B602" s="65" t="n"/>
      <c r="C602" s="66" t="n"/>
      <c r="D602" s="66" t="n"/>
      <c r="E602" s="65" t="n"/>
      <c r="F602" s="65" t="n"/>
      <c r="G602" s="65" t="n"/>
      <c r="H602" s="65" t="n"/>
      <c r="I602" s="65" t="n"/>
      <c r="J602" s="65" t="n"/>
      <c r="K602" s="65" t="n"/>
      <c r="L602" s="65" t="n"/>
      <c r="M602" s="65" t="n"/>
      <c r="N602" s="65" t="n"/>
      <c r="O602" s="65" t="n"/>
      <c r="P602" s="65" t="n"/>
      <c r="Q602" s="32">
        <f>IF($C602="","",IF($J602="","— חסרים נתונים",IF($J602="טרם מפענח","פרופיל 5",IF($J602="קמץ/פתח/חטף-פתח ושוואים","פרופיל 4",IF($J602="2-3 סימני ניקוד","פרופיל 3",IF($J602="4-5 סימני ניקוד","פרופיל 2",IF(AND($O602="משפטים וקטעים קצרים",OR($M602="מבין",$M602="מבין לרוב")),"פרופיל 1","פרופיל 2")))))))</f>
        <v/>
      </c>
      <c r="R602" s="32">
        <f>IF($C602="","",IF(OR($Q602="",LEFT($Q602,1)="—"),"קבוצה רביעית",IF($Q602="פרופיל 5","קבוצת תשתיות",IF(OR($Q602="פרופיל 4",$Q602="פרופיל 3"),"קבוצת רכישה","קבוצת ביסוס"))))</f>
        <v/>
      </c>
      <c r="S602" s="32">
        <f>IF($F602="","",IF($F602="תחילת שנה",1,IF($F602="מחצית שנה",2,3)))</f>
        <v/>
      </c>
      <c r="T602" s="32">
        <f>IF(OR($B602="",$R602="",$A602="",$F602=""),"",$B602&amp;"|"&amp;$A602&amp;"|"&amp;$F602&amp;"|"&amp;$R602&amp;"|"&amp;COUNTIFS($B$6:$B602,$B602,$A$6:$A602,$A602,$F$6:$F602,$F602,$R$6:$R602,$R602))</f>
        <v/>
      </c>
      <c r="U602" s="32">
        <f>IF($C602="","",$C602&amp;"|"&amp;COUNTIFS($C$6:$C602,$C602))</f>
        <v/>
      </c>
      <c r="V602" s="32">
        <f>IF(OR($C602="",$A602="",$S602=""),"",$C602&amp;"|"&amp;$A602&amp;"|"&amp;$S602)</f>
        <v/>
      </c>
      <c r="W602" s="32">
        <f>IF(OR($C602="",$S602="",$S602=1),"",IFERROR(INDEX($Q$6:$Q$1505,MATCH($C602&amp;"|"&amp;$A602&amp;"|"&amp;($S602-1),$V$6:$V$1505,0)),""))</f>
        <v/>
      </c>
      <c r="X602" s="32">
        <f>IF(OR($W602="",$Q602="",LEFT($Q602,1)="—"),"",IF($W602=$Q602,"ללא שינוי","מ-"&amp;$W602&amp;" ל-"&amp;$Q602))</f>
        <v/>
      </c>
    </row>
    <row r="603" ht="15.75" customHeight="1" s="58">
      <c r="A603" s="65" t="n"/>
      <c r="B603" s="65" t="n"/>
      <c r="C603" s="66" t="n"/>
      <c r="D603" s="66" t="n"/>
      <c r="E603" s="65" t="n"/>
      <c r="F603" s="65" t="n"/>
      <c r="G603" s="65" t="n"/>
      <c r="H603" s="65" t="n"/>
      <c r="I603" s="65" t="n"/>
      <c r="J603" s="65" t="n"/>
      <c r="K603" s="65" t="n"/>
      <c r="L603" s="65" t="n"/>
      <c r="M603" s="65" t="n"/>
      <c r="N603" s="65" t="n"/>
      <c r="O603" s="65" t="n"/>
      <c r="P603" s="65" t="n"/>
      <c r="Q603" s="32">
        <f>IF($C603="","",IF($J603="","— חסרים נתונים",IF($J603="טרם מפענח","פרופיל 5",IF($J603="קמץ/פתח/חטף-פתח ושוואים","פרופיל 4",IF($J603="2-3 סימני ניקוד","פרופיל 3",IF($J603="4-5 סימני ניקוד","פרופיל 2",IF(AND($O603="משפטים וקטעים קצרים",OR($M603="מבין",$M603="מבין לרוב")),"פרופיל 1","פרופיל 2")))))))</f>
        <v/>
      </c>
      <c r="R603" s="32">
        <f>IF($C603="","",IF(OR($Q603="",LEFT($Q603,1)="—"),"קבוצה רביעית",IF($Q603="פרופיל 5","קבוצת תשתיות",IF(OR($Q603="פרופיל 4",$Q603="פרופיל 3"),"קבוצת רכישה","קבוצת ביסוס"))))</f>
        <v/>
      </c>
      <c r="S603" s="32">
        <f>IF($F603="","",IF($F603="תחילת שנה",1,IF($F603="מחצית שנה",2,3)))</f>
        <v/>
      </c>
      <c r="T603" s="32">
        <f>IF(OR($B603="",$R603="",$A603="",$F603=""),"",$B603&amp;"|"&amp;$A603&amp;"|"&amp;$F603&amp;"|"&amp;$R603&amp;"|"&amp;COUNTIFS($B$6:$B603,$B603,$A$6:$A603,$A603,$F$6:$F603,$F603,$R$6:$R603,$R603))</f>
        <v/>
      </c>
      <c r="U603" s="32">
        <f>IF($C603="","",$C603&amp;"|"&amp;COUNTIFS($C$6:$C603,$C603))</f>
        <v/>
      </c>
      <c r="V603" s="32">
        <f>IF(OR($C603="",$A603="",$S603=""),"",$C603&amp;"|"&amp;$A603&amp;"|"&amp;$S603)</f>
        <v/>
      </c>
      <c r="W603" s="32">
        <f>IF(OR($C603="",$S603="",$S603=1),"",IFERROR(INDEX($Q$6:$Q$1505,MATCH($C603&amp;"|"&amp;$A603&amp;"|"&amp;($S603-1),$V$6:$V$1505,0)),""))</f>
        <v/>
      </c>
      <c r="X603" s="32">
        <f>IF(OR($W603="",$Q603="",LEFT($Q603,1)="—"),"",IF($W603=$Q603,"ללא שינוי","מ-"&amp;$W603&amp;" ל-"&amp;$Q603))</f>
        <v/>
      </c>
    </row>
    <row r="604" ht="15.75" customHeight="1" s="58">
      <c r="A604" s="65" t="n"/>
      <c r="B604" s="65" t="n"/>
      <c r="C604" s="66" t="n"/>
      <c r="D604" s="66" t="n"/>
      <c r="E604" s="65" t="n"/>
      <c r="F604" s="65" t="n"/>
      <c r="G604" s="65" t="n"/>
      <c r="H604" s="65" t="n"/>
      <c r="I604" s="65" t="n"/>
      <c r="J604" s="65" t="n"/>
      <c r="K604" s="65" t="n"/>
      <c r="L604" s="65" t="n"/>
      <c r="M604" s="65" t="n"/>
      <c r="N604" s="65" t="n"/>
      <c r="O604" s="65" t="n"/>
      <c r="P604" s="65" t="n"/>
      <c r="Q604" s="32">
        <f>IF($C604="","",IF($J604="","— חסרים נתונים",IF($J604="טרם מפענח","פרופיל 5",IF($J604="קמץ/פתח/חטף-פתח ושוואים","פרופיל 4",IF($J604="2-3 סימני ניקוד","פרופיל 3",IF($J604="4-5 סימני ניקוד","פרופיל 2",IF(AND($O604="משפטים וקטעים קצרים",OR($M604="מבין",$M604="מבין לרוב")),"פרופיל 1","פרופיל 2")))))))</f>
        <v/>
      </c>
      <c r="R604" s="32">
        <f>IF($C604="","",IF(OR($Q604="",LEFT($Q604,1)="—"),"קבוצה רביעית",IF($Q604="פרופיל 5","קבוצת תשתיות",IF(OR($Q604="פרופיל 4",$Q604="פרופיל 3"),"קבוצת רכישה","קבוצת ביסוס"))))</f>
        <v/>
      </c>
      <c r="S604" s="32">
        <f>IF($F604="","",IF($F604="תחילת שנה",1,IF($F604="מחצית שנה",2,3)))</f>
        <v/>
      </c>
      <c r="T604" s="32">
        <f>IF(OR($B604="",$R604="",$A604="",$F604=""),"",$B604&amp;"|"&amp;$A604&amp;"|"&amp;$F604&amp;"|"&amp;$R604&amp;"|"&amp;COUNTIFS($B$6:$B604,$B604,$A$6:$A604,$A604,$F$6:$F604,$F604,$R$6:$R604,$R604))</f>
        <v/>
      </c>
      <c r="U604" s="32">
        <f>IF($C604="","",$C604&amp;"|"&amp;COUNTIFS($C$6:$C604,$C604))</f>
        <v/>
      </c>
      <c r="V604" s="32">
        <f>IF(OR($C604="",$A604="",$S604=""),"",$C604&amp;"|"&amp;$A604&amp;"|"&amp;$S604)</f>
        <v/>
      </c>
      <c r="W604" s="32">
        <f>IF(OR($C604="",$S604="",$S604=1),"",IFERROR(INDEX($Q$6:$Q$1505,MATCH($C604&amp;"|"&amp;$A604&amp;"|"&amp;($S604-1),$V$6:$V$1505,0)),""))</f>
        <v/>
      </c>
      <c r="X604" s="32">
        <f>IF(OR($W604="",$Q604="",LEFT($Q604,1)="—"),"",IF($W604=$Q604,"ללא שינוי","מ-"&amp;$W604&amp;" ל-"&amp;$Q604))</f>
        <v/>
      </c>
    </row>
    <row r="605" ht="15.75" customHeight="1" s="58">
      <c r="A605" s="65" t="n"/>
      <c r="B605" s="65" t="n"/>
      <c r="C605" s="66" t="n"/>
      <c r="D605" s="66" t="n"/>
      <c r="E605" s="65" t="n"/>
      <c r="F605" s="65" t="n"/>
      <c r="G605" s="65" t="n"/>
      <c r="H605" s="65" t="n"/>
      <c r="I605" s="65" t="n"/>
      <c r="J605" s="65" t="n"/>
      <c r="K605" s="65" t="n"/>
      <c r="L605" s="65" t="n"/>
      <c r="M605" s="65" t="n"/>
      <c r="N605" s="65" t="n"/>
      <c r="O605" s="65" t="n"/>
      <c r="P605" s="65" t="n"/>
      <c r="Q605" s="32">
        <f>IF($C605="","",IF($J605="","— חסרים נתונים",IF($J605="טרם מפענח","פרופיל 5",IF($J605="קמץ/פתח/חטף-פתח ושוואים","פרופיל 4",IF($J605="2-3 סימני ניקוד","פרופיל 3",IF($J605="4-5 סימני ניקוד","פרופיל 2",IF(AND($O605="משפטים וקטעים קצרים",OR($M605="מבין",$M605="מבין לרוב")),"פרופיל 1","פרופיל 2")))))))</f>
        <v/>
      </c>
      <c r="R605" s="32">
        <f>IF($C605="","",IF(OR($Q605="",LEFT($Q605,1)="—"),"קבוצה רביעית",IF($Q605="פרופיל 5","קבוצת תשתיות",IF(OR($Q605="פרופיל 4",$Q605="פרופיל 3"),"קבוצת רכישה","קבוצת ביסוס"))))</f>
        <v/>
      </c>
      <c r="S605" s="32">
        <f>IF($F605="","",IF($F605="תחילת שנה",1,IF($F605="מחצית שנה",2,3)))</f>
        <v/>
      </c>
      <c r="T605" s="32">
        <f>IF(OR($B605="",$R605="",$A605="",$F605=""),"",$B605&amp;"|"&amp;$A605&amp;"|"&amp;$F605&amp;"|"&amp;$R605&amp;"|"&amp;COUNTIFS($B$6:$B605,$B605,$A$6:$A605,$A605,$F$6:$F605,$F605,$R$6:$R605,$R605))</f>
        <v/>
      </c>
      <c r="U605" s="32">
        <f>IF($C605="","",$C605&amp;"|"&amp;COUNTIFS($C$6:$C605,$C605))</f>
        <v/>
      </c>
      <c r="V605" s="32">
        <f>IF(OR($C605="",$A605="",$S605=""),"",$C605&amp;"|"&amp;$A605&amp;"|"&amp;$S605)</f>
        <v/>
      </c>
      <c r="W605" s="32">
        <f>IF(OR($C605="",$S605="",$S605=1),"",IFERROR(INDEX($Q$6:$Q$1505,MATCH($C605&amp;"|"&amp;$A605&amp;"|"&amp;($S605-1),$V$6:$V$1505,0)),""))</f>
        <v/>
      </c>
      <c r="X605" s="32">
        <f>IF(OR($W605="",$Q605="",LEFT($Q605,1)="—"),"",IF($W605=$Q605,"ללא שינוי","מ-"&amp;$W605&amp;" ל-"&amp;$Q605))</f>
        <v/>
      </c>
    </row>
    <row r="606" ht="15.75" customHeight="1" s="58">
      <c r="A606" s="65" t="n"/>
      <c r="B606" s="65" t="n"/>
      <c r="C606" s="66" t="n"/>
      <c r="D606" s="66" t="n"/>
      <c r="E606" s="65" t="n"/>
      <c r="F606" s="65" t="n"/>
      <c r="G606" s="65" t="n"/>
      <c r="H606" s="65" t="n"/>
      <c r="I606" s="65" t="n"/>
      <c r="J606" s="65" t="n"/>
      <c r="K606" s="65" t="n"/>
      <c r="L606" s="65" t="n"/>
      <c r="M606" s="65" t="n"/>
      <c r="N606" s="65" t="n"/>
      <c r="O606" s="65" t="n"/>
      <c r="P606" s="65" t="n"/>
      <c r="Q606" s="32">
        <f>IF($C606="","",IF($J606="","— חסרים נתונים",IF($J606="טרם מפענח","פרופיל 5",IF($J606="קמץ/פתח/חטף-פתח ושוואים","פרופיל 4",IF($J606="2-3 סימני ניקוד","פרופיל 3",IF($J606="4-5 סימני ניקוד","פרופיל 2",IF(AND($O606="משפטים וקטעים קצרים",OR($M606="מבין",$M606="מבין לרוב")),"פרופיל 1","פרופיל 2")))))))</f>
        <v/>
      </c>
      <c r="R606" s="32">
        <f>IF($C606="","",IF(OR($Q606="",LEFT($Q606,1)="—"),"קבוצה רביעית",IF($Q606="פרופיל 5","קבוצת תשתיות",IF(OR($Q606="פרופיל 4",$Q606="פרופיל 3"),"קבוצת רכישה","קבוצת ביסוס"))))</f>
        <v/>
      </c>
      <c r="S606" s="32">
        <f>IF($F606="","",IF($F606="תחילת שנה",1,IF($F606="מחצית שנה",2,3)))</f>
        <v/>
      </c>
      <c r="T606" s="32">
        <f>IF(OR($B606="",$R606="",$A606="",$F606=""),"",$B606&amp;"|"&amp;$A606&amp;"|"&amp;$F606&amp;"|"&amp;$R606&amp;"|"&amp;COUNTIFS($B$6:$B606,$B606,$A$6:$A606,$A606,$F$6:$F606,$F606,$R$6:$R606,$R606))</f>
        <v/>
      </c>
      <c r="U606" s="32">
        <f>IF($C606="","",$C606&amp;"|"&amp;COUNTIFS($C$6:$C606,$C606))</f>
        <v/>
      </c>
      <c r="V606" s="32">
        <f>IF(OR($C606="",$A606="",$S606=""),"",$C606&amp;"|"&amp;$A606&amp;"|"&amp;$S606)</f>
        <v/>
      </c>
      <c r="W606" s="32">
        <f>IF(OR($C606="",$S606="",$S606=1),"",IFERROR(INDEX($Q$6:$Q$1505,MATCH($C606&amp;"|"&amp;$A606&amp;"|"&amp;($S606-1),$V$6:$V$1505,0)),""))</f>
        <v/>
      </c>
      <c r="X606" s="32">
        <f>IF(OR($W606="",$Q606="",LEFT($Q606,1)="—"),"",IF($W606=$Q606,"ללא שינוי","מ-"&amp;$W606&amp;" ל-"&amp;$Q606))</f>
        <v/>
      </c>
    </row>
    <row r="607" ht="15.75" customHeight="1" s="58">
      <c r="A607" s="65" t="n"/>
      <c r="B607" s="65" t="n"/>
      <c r="C607" s="66" t="n"/>
      <c r="D607" s="66" t="n"/>
      <c r="E607" s="65" t="n"/>
      <c r="F607" s="65" t="n"/>
      <c r="G607" s="65" t="n"/>
      <c r="H607" s="65" t="n"/>
      <c r="I607" s="65" t="n"/>
      <c r="J607" s="65" t="n"/>
      <c r="K607" s="65" t="n"/>
      <c r="L607" s="65" t="n"/>
      <c r="M607" s="65" t="n"/>
      <c r="N607" s="65" t="n"/>
      <c r="O607" s="65" t="n"/>
      <c r="P607" s="65" t="n"/>
      <c r="Q607" s="32">
        <f>IF($C607="","",IF($J607="","— חסרים נתונים",IF($J607="טרם מפענח","פרופיל 5",IF($J607="קמץ/פתח/חטף-פתח ושוואים","פרופיל 4",IF($J607="2-3 סימני ניקוד","פרופיל 3",IF($J607="4-5 סימני ניקוד","פרופיל 2",IF(AND($O607="משפטים וקטעים קצרים",OR($M607="מבין",$M607="מבין לרוב")),"פרופיל 1","פרופיל 2")))))))</f>
        <v/>
      </c>
      <c r="R607" s="32">
        <f>IF($C607="","",IF(OR($Q607="",LEFT($Q607,1)="—"),"קבוצה רביעית",IF($Q607="פרופיל 5","קבוצת תשתיות",IF(OR($Q607="פרופיל 4",$Q607="פרופיל 3"),"קבוצת רכישה","קבוצת ביסוס"))))</f>
        <v/>
      </c>
      <c r="S607" s="32">
        <f>IF($F607="","",IF($F607="תחילת שנה",1,IF($F607="מחצית שנה",2,3)))</f>
        <v/>
      </c>
      <c r="T607" s="32">
        <f>IF(OR($B607="",$R607="",$A607="",$F607=""),"",$B607&amp;"|"&amp;$A607&amp;"|"&amp;$F607&amp;"|"&amp;$R607&amp;"|"&amp;COUNTIFS($B$6:$B607,$B607,$A$6:$A607,$A607,$F$6:$F607,$F607,$R$6:$R607,$R607))</f>
        <v/>
      </c>
      <c r="U607" s="32">
        <f>IF($C607="","",$C607&amp;"|"&amp;COUNTIFS($C$6:$C607,$C607))</f>
        <v/>
      </c>
      <c r="V607" s="32">
        <f>IF(OR($C607="",$A607="",$S607=""),"",$C607&amp;"|"&amp;$A607&amp;"|"&amp;$S607)</f>
        <v/>
      </c>
      <c r="W607" s="32">
        <f>IF(OR($C607="",$S607="",$S607=1),"",IFERROR(INDEX($Q$6:$Q$1505,MATCH($C607&amp;"|"&amp;$A607&amp;"|"&amp;($S607-1),$V$6:$V$1505,0)),""))</f>
        <v/>
      </c>
      <c r="X607" s="32">
        <f>IF(OR($W607="",$Q607="",LEFT($Q607,1)="—"),"",IF($W607=$Q607,"ללא שינוי","מ-"&amp;$W607&amp;" ל-"&amp;$Q607))</f>
        <v/>
      </c>
    </row>
    <row r="608" ht="15.75" customHeight="1" s="58">
      <c r="A608" s="65" t="n"/>
      <c r="B608" s="65" t="n"/>
      <c r="C608" s="66" t="n"/>
      <c r="D608" s="66" t="n"/>
      <c r="E608" s="65" t="n"/>
      <c r="F608" s="65" t="n"/>
      <c r="G608" s="65" t="n"/>
      <c r="H608" s="65" t="n"/>
      <c r="I608" s="65" t="n"/>
      <c r="J608" s="65" t="n"/>
      <c r="K608" s="65" t="n"/>
      <c r="L608" s="65" t="n"/>
      <c r="M608" s="65" t="n"/>
      <c r="N608" s="65" t="n"/>
      <c r="O608" s="65" t="n"/>
      <c r="P608" s="65" t="n"/>
      <c r="Q608" s="32">
        <f>IF($C608="","",IF($J608="","— חסרים נתונים",IF($J608="טרם מפענח","פרופיל 5",IF($J608="קמץ/פתח/חטף-פתח ושוואים","פרופיל 4",IF($J608="2-3 סימני ניקוד","פרופיל 3",IF($J608="4-5 סימני ניקוד","פרופיל 2",IF(AND($O608="משפטים וקטעים קצרים",OR($M608="מבין",$M608="מבין לרוב")),"פרופיל 1","פרופיל 2")))))))</f>
        <v/>
      </c>
      <c r="R608" s="32">
        <f>IF($C608="","",IF(OR($Q608="",LEFT($Q608,1)="—"),"קבוצה רביעית",IF($Q608="פרופיל 5","קבוצת תשתיות",IF(OR($Q608="פרופיל 4",$Q608="פרופיל 3"),"קבוצת רכישה","קבוצת ביסוס"))))</f>
        <v/>
      </c>
      <c r="S608" s="32">
        <f>IF($F608="","",IF($F608="תחילת שנה",1,IF($F608="מחצית שנה",2,3)))</f>
        <v/>
      </c>
      <c r="T608" s="32">
        <f>IF(OR($B608="",$R608="",$A608="",$F608=""),"",$B608&amp;"|"&amp;$A608&amp;"|"&amp;$F608&amp;"|"&amp;$R608&amp;"|"&amp;COUNTIFS($B$6:$B608,$B608,$A$6:$A608,$A608,$F$6:$F608,$F608,$R$6:$R608,$R608))</f>
        <v/>
      </c>
      <c r="U608" s="32">
        <f>IF($C608="","",$C608&amp;"|"&amp;COUNTIFS($C$6:$C608,$C608))</f>
        <v/>
      </c>
      <c r="V608" s="32">
        <f>IF(OR($C608="",$A608="",$S608=""),"",$C608&amp;"|"&amp;$A608&amp;"|"&amp;$S608)</f>
        <v/>
      </c>
      <c r="W608" s="32">
        <f>IF(OR($C608="",$S608="",$S608=1),"",IFERROR(INDEX($Q$6:$Q$1505,MATCH($C608&amp;"|"&amp;$A608&amp;"|"&amp;($S608-1),$V$6:$V$1505,0)),""))</f>
        <v/>
      </c>
      <c r="X608" s="32">
        <f>IF(OR($W608="",$Q608="",LEFT($Q608,1)="—"),"",IF($W608=$Q608,"ללא שינוי","מ-"&amp;$W608&amp;" ל-"&amp;$Q608))</f>
        <v/>
      </c>
    </row>
    <row r="609" ht="15.75" customHeight="1" s="58">
      <c r="A609" s="65" t="n"/>
      <c r="B609" s="65" t="n"/>
      <c r="C609" s="66" t="n"/>
      <c r="D609" s="66" t="n"/>
      <c r="E609" s="65" t="n"/>
      <c r="F609" s="65" t="n"/>
      <c r="G609" s="65" t="n"/>
      <c r="H609" s="65" t="n"/>
      <c r="I609" s="65" t="n"/>
      <c r="J609" s="65" t="n"/>
      <c r="K609" s="65" t="n"/>
      <c r="L609" s="65" t="n"/>
      <c r="M609" s="65" t="n"/>
      <c r="N609" s="65" t="n"/>
      <c r="O609" s="65" t="n"/>
      <c r="P609" s="65" t="n"/>
      <c r="Q609" s="32">
        <f>IF($C609="","",IF($J609="","— חסרים נתונים",IF($J609="טרם מפענח","פרופיל 5",IF($J609="קמץ/פתח/חטף-פתח ושוואים","פרופיל 4",IF($J609="2-3 סימני ניקוד","פרופיל 3",IF($J609="4-5 סימני ניקוד","פרופיל 2",IF(AND($O609="משפטים וקטעים קצרים",OR($M609="מבין",$M609="מבין לרוב")),"פרופיל 1","פרופיל 2")))))))</f>
        <v/>
      </c>
      <c r="R609" s="32">
        <f>IF($C609="","",IF(OR($Q609="",LEFT($Q609,1)="—"),"קבוצה רביעית",IF($Q609="פרופיל 5","קבוצת תשתיות",IF(OR($Q609="פרופיל 4",$Q609="פרופיל 3"),"קבוצת רכישה","קבוצת ביסוס"))))</f>
        <v/>
      </c>
      <c r="S609" s="32">
        <f>IF($F609="","",IF($F609="תחילת שנה",1,IF($F609="מחצית שנה",2,3)))</f>
        <v/>
      </c>
      <c r="T609" s="32">
        <f>IF(OR($B609="",$R609="",$A609="",$F609=""),"",$B609&amp;"|"&amp;$A609&amp;"|"&amp;$F609&amp;"|"&amp;$R609&amp;"|"&amp;COUNTIFS($B$6:$B609,$B609,$A$6:$A609,$A609,$F$6:$F609,$F609,$R$6:$R609,$R609))</f>
        <v/>
      </c>
      <c r="U609" s="32">
        <f>IF($C609="","",$C609&amp;"|"&amp;COUNTIFS($C$6:$C609,$C609))</f>
        <v/>
      </c>
      <c r="V609" s="32">
        <f>IF(OR($C609="",$A609="",$S609=""),"",$C609&amp;"|"&amp;$A609&amp;"|"&amp;$S609)</f>
        <v/>
      </c>
      <c r="W609" s="32">
        <f>IF(OR($C609="",$S609="",$S609=1),"",IFERROR(INDEX($Q$6:$Q$1505,MATCH($C609&amp;"|"&amp;$A609&amp;"|"&amp;($S609-1),$V$6:$V$1505,0)),""))</f>
        <v/>
      </c>
      <c r="X609" s="32">
        <f>IF(OR($W609="",$Q609="",LEFT($Q609,1)="—"),"",IF($W609=$Q609,"ללא שינוי","מ-"&amp;$W609&amp;" ל-"&amp;$Q609))</f>
        <v/>
      </c>
    </row>
    <row r="610" ht="15.75" customHeight="1" s="58">
      <c r="A610" s="65" t="n"/>
      <c r="B610" s="65" t="n"/>
      <c r="C610" s="66" t="n"/>
      <c r="D610" s="66" t="n"/>
      <c r="E610" s="65" t="n"/>
      <c r="F610" s="65" t="n"/>
      <c r="G610" s="65" t="n"/>
      <c r="H610" s="65" t="n"/>
      <c r="I610" s="65" t="n"/>
      <c r="J610" s="65" t="n"/>
      <c r="K610" s="65" t="n"/>
      <c r="L610" s="65" t="n"/>
      <c r="M610" s="65" t="n"/>
      <c r="N610" s="65" t="n"/>
      <c r="O610" s="65" t="n"/>
      <c r="P610" s="65" t="n"/>
      <c r="Q610" s="32">
        <f>IF($C610="","",IF($J610="","— חסרים נתונים",IF($J610="טרם מפענח","פרופיל 5",IF($J610="קמץ/פתח/חטף-פתח ושוואים","פרופיל 4",IF($J610="2-3 סימני ניקוד","פרופיל 3",IF($J610="4-5 סימני ניקוד","פרופיל 2",IF(AND($O610="משפטים וקטעים קצרים",OR($M610="מבין",$M610="מבין לרוב")),"פרופיל 1","פרופיל 2")))))))</f>
        <v/>
      </c>
      <c r="R610" s="32">
        <f>IF($C610="","",IF(OR($Q610="",LEFT($Q610,1)="—"),"קבוצה רביעית",IF($Q610="פרופיל 5","קבוצת תשתיות",IF(OR($Q610="פרופיל 4",$Q610="פרופיל 3"),"קבוצת רכישה","קבוצת ביסוס"))))</f>
        <v/>
      </c>
      <c r="S610" s="32">
        <f>IF($F610="","",IF($F610="תחילת שנה",1,IF($F610="מחצית שנה",2,3)))</f>
        <v/>
      </c>
      <c r="T610" s="32">
        <f>IF(OR($B610="",$R610="",$A610="",$F610=""),"",$B610&amp;"|"&amp;$A610&amp;"|"&amp;$F610&amp;"|"&amp;$R610&amp;"|"&amp;COUNTIFS($B$6:$B610,$B610,$A$6:$A610,$A610,$F$6:$F610,$F610,$R$6:$R610,$R610))</f>
        <v/>
      </c>
      <c r="U610" s="32">
        <f>IF($C610="","",$C610&amp;"|"&amp;COUNTIFS($C$6:$C610,$C610))</f>
        <v/>
      </c>
      <c r="V610" s="32">
        <f>IF(OR($C610="",$A610="",$S610=""),"",$C610&amp;"|"&amp;$A610&amp;"|"&amp;$S610)</f>
        <v/>
      </c>
      <c r="W610" s="32">
        <f>IF(OR($C610="",$S610="",$S610=1),"",IFERROR(INDEX($Q$6:$Q$1505,MATCH($C610&amp;"|"&amp;$A610&amp;"|"&amp;($S610-1),$V$6:$V$1505,0)),""))</f>
        <v/>
      </c>
      <c r="X610" s="32">
        <f>IF(OR($W610="",$Q610="",LEFT($Q610,1)="—"),"",IF($W610=$Q610,"ללא שינוי","מ-"&amp;$W610&amp;" ל-"&amp;$Q610))</f>
        <v/>
      </c>
    </row>
    <row r="611" ht="15.75" customHeight="1" s="58">
      <c r="A611" s="65" t="n"/>
      <c r="B611" s="65" t="n"/>
      <c r="C611" s="66" t="n"/>
      <c r="D611" s="66" t="n"/>
      <c r="E611" s="65" t="n"/>
      <c r="F611" s="65" t="n"/>
      <c r="G611" s="65" t="n"/>
      <c r="H611" s="65" t="n"/>
      <c r="I611" s="65" t="n"/>
      <c r="J611" s="65" t="n"/>
      <c r="K611" s="65" t="n"/>
      <c r="L611" s="65" t="n"/>
      <c r="M611" s="65" t="n"/>
      <c r="N611" s="65" t="n"/>
      <c r="O611" s="65" t="n"/>
      <c r="P611" s="65" t="n"/>
      <c r="Q611" s="32">
        <f>IF($C611="","",IF($J611="","— חסרים נתונים",IF($J611="טרם מפענח","פרופיל 5",IF($J611="קמץ/פתח/חטף-פתח ושוואים","פרופיל 4",IF($J611="2-3 סימני ניקוד","פרופיל 3",IF($J611="4-5 סימני ניקוד","פרופיל 2",IF(AND($O611="משפטים וקטעים קצרים",OR($M611="מבין",$M611="מבין לרוב")),"פרופיל 1","פרופיל 2")))))))</f>
        <v/>
      </c>
      <c r="R611" s="32">
        <f>IF($C611="","",IF(OR($Q611="",LEFT($Q611,1)="—"),"קבוצה רביעית",IF($Q611="פרופיל 5","קבוצת תשתיות",IF(OR($Q611="פרופיל 4",$Q611="פרופיל 3"),"קבוצת רכישה","קבוצת ביסוס"))))</f>
        <v/>
      </c>
      <c r="S611" s="32">
        <f>IF($F611="","",IF($F611="תחילת שנה",1,IF($F611="מחצית שנה",2,3)))</f>
        <v/>
      </c>
      <c r="T611" s="32">
        <f>IF(OR($B611="",$R611="",$A611="",$F611=""),"",$B611&amp;"|"&amp;$A611&amp;"|"&amp;$F611&amp;"|"&amp;$R611&amp;"|"&amp;COUNTIFS($B$6:$B611,$B611,$A$6:$A611,$A611,$F$6:$F611,$F611,$R$6:$R611,$R611))</f>
        <v/>
      </c>
      <c r="U611" s="32">
        <f>IF($C611="","",$C611&amp;"|"&amp;COUNTIFS($C$6:$C611,$C611))</f>
        <v/>
      </c>
      <c r="V611" s="32">
        <f>IF(OR($C611="",$A611="",$S611=""),"",$C611&amp;"|"&amp;$A611&amp;"|"&amp;$S611)</f>
        <v/>
      </c>
      <c r="W611" s="32">
        <f>IF(OR($C611="",$S611="",$S611=1),"",IFERROR(INDEX($Q$6:$Q$1505,MATCH($C611&amp;"|"&amp;$A611&amp;"|"&amp;($S611-1),$V$6:$V$1505,0)),""))</f>
        <v/>
      </c>
      <c r="X611" s="32">
        <f>IF(OR($W611="",$Q611="",LEFT($Q611,1)="—"),"",IF($W611=$Q611,"ללא שינוי","מ-"&amp;$W611&amp;" ל-"&amp;$Q611))</f>
        <v/>
      </c>
    </row>
    <row r="612" ht="15.75" customHeight="1" s="58">
      <c r="A612" s="65" t="n"/>
      <c r="B612" s="65" t="n"/>
      <c r="C612" s="66" t="n"/>
      <c r="D612" s="66" t="n"/>
      <c r="E612" s="65" t="n"/>
      <c r="F612" s="65" t="n"/>
      <c r="G612" s="65" t="n"/>
      <c r="H612" s="65" t="n"/>
      <c r="I612" s="65" t="n"/>
      <c r="J612" s="65" t="n"/>
      <c r="K612" s="65" t="n"/>
      <c r="L612" s="65" t="n"/>
      <c r="M612" s="65" t="n"/>
      <c r="N612" s="65" t="n"/>
      <c r="O612" s="65" t="n"/>
      <c r="P612" s="65" t="n"/>
      <c r="Q612" s="32">
        <f>IF($C612="","",IF($J612="","— חסרים נתונים",IF($J612="טרם מפענח","פרופיל 5",IF($J612="קמץ/פתח/חטף-פתח ושוואים","פרופיל 4",IF($J612="2-3 סימני ניקוד","פרופיל 3",IF($J612="4-5 סימני ניקוד","פרופיל 2",IF(AND($O612="משפטים וקטעים קצרים",OR($M612="מבין",$M612="מבין לרוב")),"פרופיל 1","פרופיל 2")))))))</f>
        <v/>
      </c>
      <c r="R612" s="32">
        <f>IF($C612="","",IF(OR($Q612="",LEFT($Q612,1)="—"),"קבוצה רביעית",IF($Q612="פרופיל 5","קבוצת תשתיות",IF(OR($Q612="פרופיל 4",$Q612="פרופיל 3"),"קבוצת רכישה","קבוצת ביסוס"))))</f>
        <v/>
      </c>
      <c r="S612" s="32">
        <f>IF($F612="","",IF($F612="תחילת שנה",1,IF($F612="מחצית שנה",2,3)))</f>
        <v/>
      </c>
      <c r="T612" s="32">
        <f>IF(OR($B612="",$R612="",$A612="",$F612=""),"",$B612&amp;"|"&amp;$A612&amp;"|"&amp;$F612&amp;"|"&amp;$R612&amp;"|"&amp;COUNTIFS($B$6:$B612,$B612,$A$6:$A612,$A612,$F$6:$F612,$F612,$R$6:$R612,$R612))</f>
        <v/>
      </c>
      <c r="U612" s="32">
        <f>IF($C612="","",$C612&amp;"|"&amp;COUNTIFS($C$6:$C612,$C612))</f>
        <v/>
      </c>
      <c r="V612" s="32">
        <f>IF(OR($C612="",$A612="",$S612=""),"",$C612&amp;"|"&amp;$A612&amp;"|"&amp;$S612)</f>
        <v/>
      </c>
      <c r="W612" s="32">
        <f>IF(OR($C612="",$S612="",$S612=1),"",IFERROR(INDEX($Q$6:$Q$1505,MATCH($C612&amp;"|"&amp;$A612&amp;"|"&amp;($S612-1),$V$6:$V$1505,0)),""))</f>
        <v/>
      </c>
      <c r="X612" s="32">
        <f>IF(OR($W612="",$Q612="",LEFT($Q612,1)="—"),"",IF($W612=$Q612,"ללא שינוי","מ-"&amp;$W612&amp;" ל-"&amp;$Q612))</f>
        <v/>
      </c>
    </row>
    <row r="613" ht="15.75" customHeight="1" s="58">
      <c r="A613" s="65" t="n"/>
      <c r="B613" s="65" t="n"/>
      <c r="C613" s="66" t="n"/>
      <c r="D613" s="66" t="n"/>
      <c r="E613" s="65" t="n"/>
      <c r="F613" s="65" t="n"/>
      <c r="G613" s="65" t="n"/>
      <c r="H613" s="65" t="n"/>
      <c r="I613" s="65" t="n"/>
      <c r="J613" s="65" t="n"/>
      <c r="K613" s="65" t="n"/>
      <c r="L613" s="65" t="n"/>
      <c r="M613" s="65" t="n"/>
      <c r="N613" s="65" t="n"/>
      <c r="O613" s="65" t="n"/>
      <c r="P613" s="65" t="n"/>
      <c r="Q613" s="32">
        <f>IF($C613="","",IF($J613="","— חסרים נתונים",IF($J613="טרם מפענח","פרופיל 5",IF($J613="קמץ/פתח/חטף-פתח ושוואים","פרופיל 4",IF($J613="2-3 סימני ניקוד","פרופיל 3",IF($J613="4-5 סימני ניקוד","פרופיל 2",IF(AND($O613="משפטים וקטעים קצרים",OR($M613="מבין",$M613="מבין לרוב")),"פרופיל 1","פרופיל 2")))))))</f>
        <v/>
      </c>
      <c r="R613" s="32">
        <f>IF($C613="","",IF(OR($Q613="",LEFT($Q613,1)="—"),"קבוצה רביעית",IF($Q613="פרופיל 5","קבוצת תשתיות",IF(OR($Q613="פרופיל 4",$Q613="פרופיל 3"),"קבוצת רכישה","קבוצת ביסוס"))))</f>
        <v/>
      </c>
      <c r="S613" s="32">
        <f>IF($F613="","",IF($F613="תחילת שנה",1,IF($F613="מחצית שנה",2,3)))</f>
        <v/>
      </c>
      <c r="T613" s="32">
        <f>IF(OR($B613="",$R613="",$A613="",$F613=""),"",$B613&amp;"|"&amp;$A613&amp;"|"&amp;$F613&amp;"|"&amp;$R613&amp;"|"&amp;COUNTIFS($B$6:$B613,$B613,$A$6:$A613,$A613,$F$6:$F613,$F613,$R$6:$R613,$R613))</f>
        <v/>
      </c>
      <c r="U613" s="32">
        <f>IF($C613="","",$C613&amp;"|"&amp;COUNTIFS($C$6:$C613,$C613))</f>
        <v/>
      </c>
      <c r="V613" s="32">
        <f>IF(OR($C613="",$A613="",$S613=""),"",$C613&amp;"|"&amp;$A613&amp;"|"&amp;$S613)</f>
        <v/>
      </c>
      <c r="W613" s="32">
        <f>IF(OR($C613="",$S613="",$S613=1),"",IFERROR(INDEX($Q$6:$Q$1505,MATCH($C613&amp;"|"&amp;$A613&amp;"|"&amp;($S613-1),$V$6:$V$1505,0)),""))</f>
        <v/>
      </c>
      <c r="X613" s="32">
        <f>IF(OR($W613="",$Q613="",LEFT($Q613,1)="—"),"",IF($W613=$Q613,"ללא שינוי","מ-"&amp;$W613&amp;" ל-"&amp;$Q613))</f>
        <v/>
      </c>
    </row>
    <row r="614" ht="15.75" customHeight="1" s="58">
      <c r="A614" s="65" t="n"/>
      <c r="B614" s="65" t="n"/>
      <c r="C614" s="66" t="n"/>
      <c r="D614" s="66" t="n"/>
      <c r="E614" s="65" t="n"/>
      <c r="F614" s="65" t="n"/>
      <c r="G614" s="65" t="n"/>
      <c r="H614" s="65" t="n"/>
      <c r="I614" s="65" t="n"/>
      <c r="J614" s="65" t="n"/>
      <c r="K614" s="65" t="n"/>
      <c r="L614" s="65" t="n"/>
      <c r="M614" s="65" t="n"/>
      <c r="N614" s="65" t="n"/>
      <c r="O614" s="65" t="n"/>
      <c r="P614" s="65" t="n"/>
      <c r="Q614" s="32">
        <f>IF($C614="","",IF($J614="","— חסרים נתונים",IF($J614="טרם מפענח","פרופיל 5",IF($J614="קמץ/פתח/חטף-פתח ושוואים","פרופיל 4",IF($J614="2-3 סימני ניקוד","פרופיל 3",IF($J614="4-5 סימני ניקוד","פרופיל 2",IF(AND($O614="משפטים וקטעים קצרים",OR($M614="מבין",$M614="מבין לרוב")),"פרופיל 1","פרופיל 2")))))))</f>
        <v/>
      </c>
      <c r="R614" s="32">
        <f>IF($C614="","",IF(OR($Q614="",LEFT($Q614,1)="—"),"קבוצה רביעית",IF($Q614="פרופיל 5","קבוצת תשתיות",IF(OR($Q614="פרופיל 4",$Q614="פרופיל 3"),"קבוצת רכישה","קבוצת ביסוס"))))</f>
        <v/>
      </c>
      <c r="S614" s="32">
        <f>IF($F614="","",IF($F614="תחילת שנה",1,IF($F614="מחצית שנה",2,3)))</f>
        <v/>
      </c>
      <c r="T614" s="32">
        <f>IF(OR($B614="",$R614="",$A614="",$F614=""),"",$B614&amp;"|"&amp;$A614&amp;"|"&amp;$F614&amp;"|"&amp;$R614&amp;"|"&amp;COUNTIFS($B$6:$B614,$B614,$A$6:$A614,$A614,$F$6:$F614,$F614,$R$6:$R614,$R614))</f>
        <v/>
      </c>
      <c r="U614" s="32">
        <f>IF($C614="","",$C614&amp;"|"&amp;COUNTIFS($C$6:$C614,$C614))</f>
        <v/>
      </c>
      <c r="V614" s="32">
        <f>IF(OR($C614="",$A614="",$S614=""),"",$C614&amp;"|"&amp;$A614&amp;"|"&amp;$S614)</f>
        <v/>
      </c>
      <c r="W614" s="32">
        <f>IF(OR($C614="",$S614="",$S614=1),"",IFERROR(INDEX($Q$6:$Q$1505,MATCH($C614&amp;"|"&amp;$A614&amp;"|"&amp;($S614-1),$V$6:$V$1505,0)),""))</f>
        <v/>
      </c>
      <c r="X614" s="32">
        <f>IF(OR($W614="",$Q614="",LEFT($Q614,1)="—"),"",IF($W614=$Q614,"ללא שינוי","מ-"&amp;$W614&amp;" ל-"&amp;$Q614))</f>
        <v/>
      </c>
    </row>
    <row r="615" ht="15.75" customHeight="1" s="58">
      <c r="A615" s="65" t="n"/>
      <c r="B615" s="65" t="n"/>
      <c r="C615" s="66" t="n"/>
      <c r="D615" s="66" t="n"/>
      <c r="E615" s="65" t="n"/>
      <c r="F615" s="65" t="n"/>
      <c r="G615" s="65" t="n"/>
      <c r="H615" s="65" t="n"/>
      <c r="I615" s="65" t="n"/>
      <c r="J615" s="65" t="n"/>
      <c r="K615" s="65" t="n"/>
      <c r="L615" s="65" t="n"/>
      <c r="M615" s="65" t="n"/>
      <c r="N615" s="65" t="n"/>
      <c r="O615" s="65" t="n"/>
      <c r="P615" s="65" t="n"/>
      <c r="Q615" s="32">
        <f>IF($C615="","",IF($J615="","— חסרים נתונים",IF($J615="טרם מפענח","פרופיל 5",IF($J615="קמץ/פתח/חטף-פתח ושוואים","פרופיל 4",IF($J615="2-3 סימני ניקוד","פרופיל 3",IF($J615="4-5 סימני ניקוד","פרופיל 2",IF(AND($O615="משפטים וקטעים קצרים",OR($M615="מבין",$M615="מבין לרוב")),"פרופיל 1","פרופיל 2")))))))</f>
        <v/>
      </c>
      <c r="R615" s="32">
        <f>IF($C615="","",IF(OR($Q615="",LEFT($Q615,1)="—"),"קבוצה רביעית",IF($Q615="פרופיל 5","קבוצת תשתיות",IF(OR($Q615="פרופיל 4",$Q615="פרופיל 3"),"קבוצת רכישה","קבוצת ביסוס"))))</f>
        <v/>
      </c>
      <c r="S615" s="32">
        <f>IF($F615="","",IF($F615="תחילת שנה",1,IF($F615="מחצית שנה",2,3)))</f>
        <v/>
      </c>
      <c r="T615" s="32">
        <f>IF(OR($B615="",$R615="",$A615="",$F615=""),"",$B615&amp;"|"&amp;$A615&amp;"|"&amp;$F615&amp;"|"&amp;$R615&amp;"|"&amp;COUNTIFS($B$6:$B615,$B615,$A$6:$A615,$A615,$F$6:$F615,$F615,$R$6:$R615,$R615))</f>
        <v/>
      </c>
      <c r="U615" s="32">
        <f>IF($C615="","",$C615&amp;"|"&amp;COUNTIFS($C$6:$C615,$C615))</f>
        <v/>
      </c>
      <c r="V615" s="32">
        <f>IF(OR($C615="",$A615="",$S615=""),"",$C615&amp;"|"&amp;$A615&amp;"|"&amp;$S615)</f>
        <v/>
      </c>
      <c r="W615" s="32">
        <f>IF(OR($C615="",$S615="",$S615=1),"",IFERROR(INDEX($Q$6:$Q$1505,MATCH($C615&amp;"|"&amp;$A615&amp;"|"&amp;($S615-1),$V$6:$V$1505,0)),""))</f>
        <v/>
      </c>
      <c r="X615" s="32">
        <f>IF(OR($W615="",$Q615="",LEFT($Q615,1)="—"),"",IF($W615=$Q615,"ללא שינוי","מ-"&amp;$W615&amp;" ל-"&amp;$Q615))</f>
        <v/>
      </c>
    </row>
    <row r="616" ht="15.75" customHeight="1" s="58">
      <c r="A616" s="65" t="n"/>
      <c r="B616" s="65" t="n"/>
      <c r="C616" s="66" t="n"/>
      <c r="D616" s="66" t="n"/>
      <c r="E616" s="65" t="n"/>
      <c r="F616" s="65" t="n"/>
      <c r="G616" s="65" t="n"/>
      <c r="H616" s="65" t="n"/>
      <c r="I616" s="65" t="n"/>
      <c r="J616" s="65" t="n"/>
      <c r="K616" s="65" t="n"/>
      <c r="L616" s="65" t="n"/>
      <c r="M616" s="65" t="n"/>
      <c r="N616" s="65" t="n"/>
      <c r="O616" s="65" t="n"/>
      <c r="P616" s="65" t="n"/>
      <c r="Q616" s="32">
        <f>IF($C616="","",IF($J616="","— חסרים נתונים",IF($J616="טרם מפענח","פרופיל 5",IF($J616="קמץ/פתח/חטף-פתח ושוואים","פרופיל 4",IF($J616="2-3 סימני ניקוד","פרופיל 3",IF($J616="4-5 סימני ניקוד","פרופיל 2",IF(AND($O616="משפטים וקטעים קצרים",OR($M616="מבין",$M616="מבין לרוב")),"פרופיל 1","פרופיל 2")))))))</f>
        <v/>
      </c>
      <c r="R616" s="32">
        <f>IF($C616="","",IF(OR($Q616="",LEFT($Q616,1)="—"),"קבוצה רביעית",IF($Q616="פרופיל 5","קבוצת תשתיות",IF(OR($Q616="פרופיל 4",$Q616="פרופיל 3"),"קבוצת רכישה","קבוצת ביסוס"))))</f>
        <v/>
      </c>
      <c r="S616" s="32">
        <f>IF($F616="","",IF($F616="תחילת שנה",1,IF($F616="מחצית שנה",2,3)))</f>
        <v/>
      </c>
      <c r="T616" s="32">
        <f>IF(OR($B616="",$R616="",$A616="",$F616=""),"",$B616&amp;"|"&amp;$A616&amp;"|"&amp;$F616&amp;"|"&amp;$R616&amp;"|"&amp;COUNTIFS($B$6:$B616,$B616,$A$6:$A616,$A616,$F$6:$F616,$F616,$R$6:$R616,$R616))</f>
        <v/>
      </c>
      <c r="U616" s="32">
        <f>IF($C616="","",$C616&amp;"|"&amp;COUNTIFS($C$6:$C616,$C616))</f>
        <v/>
      </c>
      <c r="V616" s="32">
        <f>IF(OR($C616="",$A616="",$S616=""),"",$C616&amp;"|"&amp;$A616&amp;"|"&amp;$S616)</f>
        <v/>
      </c>
      <c r="W616" s="32">
        <f>IF(OR($C616="",$S616="",$S616=1),"",IFERROR(INDEX($Q$6:$Q$1505,MATCH($C616&amp;"|"&amp;$A616&amp;"|"&amp;($S616-1),$V$6:$V$1505,0)),""))</f>
        <v/>
      </c>
      <c r="X616" s="32">
        <f>IF(OR($W616="",$Q616="",LEFT($Q616,1)="—"),"",IF($W616=$Q616,"ללא שינוי","מ-"&amp;$W616&amp;" ל-"&amp;$Q616))</f>
        <v/>
      </c>
    </row>
    <row r="617" ht="15.75" customHeight="1" s="58">
      <c r="A617" s="65" t="n"/>
      <c r="B617" s="65" t="n"/>
      <c r="C617" s="66" t="n"/>
      <c r="D617" s="66" t="n"/>
      <c r="E617" s="65" t="n"/>
      <c r="F617" s="65" t="n"/>
      <c r="G617" s="65" t="n"/>
      <c r="H617" s="65" t="n"/>
      <c r="I617" s="65" t="n"/>
      <c r="J617" s="65" t="n"/>
      <c r="K617" s="65" t="n"/>
      <c r="L617" s="65" t="n"/>
      <c r="M617" s="65" t="n"/>
      <c r="N617" s="65" t="n"/>
      <c r="O617" s="65" t="n"/>
      <c r="P617" s="65" t="n"/>
      <c r="Q617" s="32">
        <f>IF($C617="","",IF($J617="","— חסרים נתונים",IF($J617="טרם מפענח","פרופיל 5",IF($J617="קמץ/פתח/חטף-פתח ושוואים","פרופיל 4",IF($J617="2-3 סימני ניקוד","פרופיל 3",IF($J617="4-5 סימני ניקוד","פרופיל 2",IF(AND($O617="משפטים וקטעים קצרים",OR($M617="מבין",$M617="מבין לרוב")),"פרופיל 1","פרופיל 2")))))))</f>
        <v/>
      </c>
      <c r="R617" s="32">
        <f>IF($C617="","",IF(OR($Q617="",LEFT($Q617,1)="—"),"קבוצה רביעית",IF($Q617="פרופיל 5","קבוצת תשתיות",IF(OR($Q617="פרופיל 4",$Q617="פרופיל 3"),"קבוצת רכישה","קבוצת ביסוס"))))</f>
        <v/>
      </c>
      <c r="S617" s="32">
        <f>IF($F617="","",IF($F617="תחילת שנה",1,IF($F617="מחצית שנה",2,3)))</f>
        <v/>
      </c>
      <c r="T617" s="32">
        <f>IF(OR($B617="",$R617="",$A617="",$F617=""),"",$B617&amp;"|"&amp;$A617&amp;"|"&amp;$F617&amp;"|"&amp;$R617&amp;"|"&amp;COUNTIFS($B$6:$B617,$B617,$A$6:$A617,$A617,$F$6:$F617,$F617,$R$6:$R617,$R617))</f>
        <v/>
      </c>
      <c r="U617" s="32">
        <f>IF($C617="","",$C617&amp;"|"&amp;COUNTIFS($C$6:$C617,$C617))</f>
        <v/>
      </c>
      <c r="V617" s="32">
        <f>IF(OR($C617="",$A617="",$S617=""),"",$C617&amp;"|"&amp;$A617&amp;"|"&amp;$S617)</f>
        <v/>
      </c>
      <c r="W617" s="32">
        <f>IF(OR($C617="",$S617="",$S617=1),"",IFERROR(INDEX($Q$6:$Q$1505,MATCH($C617&amp;"|"&amp;$A617&amp;"|"&amp;($S617-1),$V$6:$V$1505,0)),""))</f>
        <v/>
      </c>
      <c r="X617" s="32">
        <f>IF(OR($W617="",$Q617="",LEFT($Q617,1)="—"),"",IF($W617=$Q617,"ללא שינוי","מ-"&amp;$W617&amp;" ל-"&amp;$Q617))</f>
        <v/>
      </c>
    </row>
    <row r="618" ht="15.75" customHeight="1" s="58">
      <c r="A618" s="65" t="n"/>
      <c r="B618" s="65" t="n"/>
      <c r="C618" s="66" t="n"/>
      <c r="D618" s="66" t="n"/>
      <c r="E618" s="65" t="n"/>
      <c r="F618" s="65" t="n"/>
      <c r="G618" s="65" t="n"/>
      <c r="H618" s="65" t="n"/>
      <c r="I618" s="65" t="n"/>
      <c r="J618" s="65" t="n"/>
      <c r="K618" s="65" t="n"/>
      <c r="L618" s="65" t="n"/>
      <c r="M618" s="65" t="n"/>
      <c r="N618" s="65" t="n"/>
      <c r="O618" s="65" t="n"/>
      <c r="P618" s="65" t="n"/>
      <c r="Q618" s="32">
        <f>IF($C618="","",IF($J618="","— חסרים נתונים",IF($J618="טרם מפענח","פרופיל 5",IF($J618="קמץ/פתח/חטף-פתח ושוואים","פרופיל 4",IF($J618="2-3 סימני ניקוד","פרופיל 3",IF($J618="4-5 סימני ניקוד","פרופיל 2",IF(AND($O618="משפטים וקטעים קצרים",OR($M618="מבין",$M618="מבין לרוב")),"פרופיל 1","פרופיל 2")))))))</f>
        <v/>
      </c>
      <c r="R618" s="32">
        <f>IF($C618="","",IF(OR($Q618="",LEFT($Q618,1)="—"),"קבוצה רביעית",IF($Q618="פרופיל 5","קבוצת תשתיות",IF(OR($Q618="פרופיל 4",$Q618="פרופיל 3"),"קבוצת רכישה","קבוצת ביסוס"))))</f>
        <v/>
      </c>
      <c r="S618" s="32">
        <f>IF($F618="","",IF($F618="תחילת שנה",1,IF($F618="מחצית שנה",2,3)))</f>
        <v/>
      </c>
      <c r="T618" s="32">
        <f>IF(OR($B618="",$R618="",$A618="",$F618=""),"",$B618&amp;"|"&amp;$A618&amp;"|"&amp;$F618&amp;"|"&amp;$R618&amp;"|"&amp;COUNTIFS($B$6:$B618,$B618,$A$6:$A618,$A618,$F$6:$F618,$F618,$R$6:$R618,$R618))</f>
        <v/>
      </c>
      <c r="U618" s="32">
        <f>IF($C618="","",$C618&amp;"|"&amp;COUNTIFS($C$6:$C618,$C618))</f>
        <v/>
      </c>
      <c r="V618" s="32">
        <f>IF(OR($C618="",$A618="",$S618=""),"",$C618&amp;"|"&amp;$A618&amp;"|"&amp;$S618)</f>
        <v/>
      </c>
      <c r="W618" s="32">
        <f>IF(OR($C618="",$S618="",$S618=1),"",IFERROR(INDEX($Q$6:$Q$1505,MATCH($C618&amp;"|"&amp;$A618&amp;"|"&amp;($S618-1),$V$6:$V$1505,0)),""))</f>
        <v/>
      </c>
      <c r="X618" s="32">
        <f>IF(OR($W618="",$Q618="",LEFT($Q618,1)="—"),"",IF($W618=$Q618,"ללא שינוי","מ-"&amp;$W618&amp;" ל-"&amp;$Q618))</f>
        <v/>
      </c>
    </row>
    <row r="619" ht="15.75" customHeight="1" s="58">
      <c r="A619" s="65" t="n"/>
      <c r="B619" s="65" t="n"/>
      <c r="C619" s="66" t="n"/>
      <c r="D619" s="66" t="n"/>
      <c r="E619" s="65" t="n"/>
      <c r="F619" s="65" t="n"/>
      <c r="G619" s="65" t="n"/>
      <c r="H619" s="65" t="n"/>
      <c r="I619" s="65" t="n"/>
      <c r="J619" s="65" t="n"/>
      <c r="K619" s="65" t="n"/>
      <c r="L619" s="65" t="n"/>
      <c r="M619" s="65" t="n"/>
      <c r="N619" s="65" t="n"/>
      <c r="O619" s="65" t="n"/>
      <c r="P619" s="65" t="n"/>
      <c r="Q619" s="32">
        <f>IF($C619="","",IF($J619="","— חסרים נתונים",IF($J619="טרם מפענח","פרופיל 5",IF($J619="קמץ/פתח/חטף-פתח ושוואים","פרופיל 4",IF($J619="2-3 סימני ניקוד","פרופיל 3",IF($J619="4-5 סימני ניקוד","פרופיל 2",IF(AND($O619="משפטים וקטעים קצרים",OR($M619="מבין",$M619="מבין לרוב")),"פרופיל 1","פרופיל 2")))))))</f>
        <v/>
      </c>
      <c r="R619" s="32">
        <f>IF($C619="","",IF(OR($Q619="",LEFT($Q619,1)="—"),"קבוצה רביעית",IF($Q619="פרופיל 5","קבוצת תשתיות",IF(OR($Q619="פרופיל 4",$Q619="פרופיל 3"),"קבוצת רכישה","קבוצת ביסוס"))))</f>
        <v/>
      </c>
      <c r="S619" s="32">
        <f>IF($F619="","",IF($F619="תחילת שנה",1,IF($F619="מחצית שנה",2,3)))</f>
        <v/>
      </c>
      <c r="T619" s="32">
        <f>IF(OR($B619="",$R619="",$A619="",$F619=""),"",$B619&amp;"|"&amp;$A619&amp;"|"&amp;$F619&amp;"|"&amp;$R619&amp;"|"&amp;COUNTIFS($B$6:$B619,$B619,$A$6:$A619,$A619,$F$6:$F619,$F619,$R$6:$R619,$R619))</f>
        <v/>
      </c>
      <c r="U619" s="32">
        <f>IF($C619="","",$C619&amp;"|"&amp;COUNTIFS($C$6:$C619,$C619))</f>
        <v/>
      </c>
      <c r="V619" s="32">
        <f>IF(OR($C619="",$A619="",$S619=""),"",$C619&amp;"|"&amp;$A619&amp;"|"&amp;$S619)</f>
        <v/>
      </c>
      <c r="W619" s="32">
        <f>IF(OR($C619="",$S619="",$S619=1),"",IFERROR(INDEX($Q$6:$Q$1505,MATCH($C619&amp;"|"&amp;$A619&amp;"|"&amp;($S619-1),$V$6:$V$1505,0)),""))</f>
        <v/>
      </c>
      <c r="X619" s="32">
        <f>IF(OR($W619="",$Q619="",LEFT($Q619,1)="—"),"",IF($W619=$Q619,"ללא שינוי","מ-"&amp;$W619&amp;" ל-"&amp;$Q619))</f>
        <v/>
      </c>
    </row>
    <row r="620" ht="15.75" customHeight="1" s="58">
      <c r="A620" s="65" t="n"/>
      <c r="B620" s="65" t="n"/>
      <c r="C620" s="66" t="n"/>
      <c r="D620" s="66" t="n"/>
      <c r="E620" s="65" t="n"/>
      <c r="F620" s="65" t="n"/>
      <c r="G620" s="65" t="n"/>
      <c r="H620" s="65" t="n"/>
      <c r="I620" s="65" t="n"/>
      <c r="J620" s="65" t="n"/>
      <c r="K620" s="65" t="n"/>
      <c r="L620" s="65" t="n"/>
      <c r="M620" s="65" t="n"/>
      <c r="N620" s="65" t="n"/>
      <c r="O620" s="65" t="n"/>
      <c r="P620" s="65" t="n"/>
      <c r="Q620" s="32">
        <f>IF($C620="","",IF($J620="","— חסרים נתונים",IF($J620="טרם מפענח","פרופיל 5",IF($J620="קמץ/פתח/חטף-פתח ושוואים","פרופיל 4",IF($J620="2-3 סימני ניקוד","פרופיל 3",IF($J620="4-5 סימני ניקוד","פרופיל 2",IF(AND($O620="משפטים וקטעים קצרים",OR($M620="מבין",$M620="מבין לרוב")),"פרופיל 1","פרופיל 2")))))))</f>
        <v/>
      </c>
      <c r="R620" s="32">
        <f>IF($C620="","",IF(OR($Q620="",LEFT($Q620,1)="—"),"קבוצה רביעית",IF($Q620="פרופיל 5","קבוצת תשתיות",IF(OR($Q620="פרופיל 4",$Q620="פרופיל 3"),"קבוצת רכישה","קבוצת ביסוס"))))</f>
        <v/>
      </c>
      <c r="S620" s="32">
        <f>IF($F620="","",IF($F620="תחילת שנה",1,IF($F620="מחצית שנה",2,3)))</f>
        <v/>
      </c>
      <c r="T620" s="32">
        <f>IF(OR($B620="",$R620="",$A620="",$F620=""),"",$B620&amp;"|"&amp;$A620&amp;"|"&amp;$F620&amp;"|"&amp;$R620&amp;"|"&amp;COUNTIFS($B$6:$B620,$B620,$A$6:$A620,$A620,$F$6:$F620,$F620,$R$6:$R620,$R620))</f>
        <v/>
      </c>
      <c r="U620" s="32">
        <f>IF($C620="","",$C620&amp;"|"&amp;COUNTIFS($C$6:$C620,$C620))</f>
        <v/>
      </c>
      <c r="V620" s="32">
        <f>IF(OR($C620="",$A620="",$S620=""),"",$C620&amp;"|"&amp;$A620&amp;"|"&amp;$S620)</f>
        <v/>
      </c>
      <c r="W620" s="32">
        <f>IF(OR($C620="",$S620="",$S620=1),"",IFERROR(INDEX($Q$6:$Q$1505,MATCH($C620&amp;"|"&amp;$A620&amp;"|"&amp;($S620-1),$V$6:$V$1505,0)),""))</f>
        <v/>
      </c>
      <c r="X620" s="32">
        <f>IF(OR($W620="",$Q620="",LEFT($Q620,1)="—"),"",IF($W620=$Q620,"ללא שינוי","מ-"&amp;$W620&amp;" ל-"&amp;$Q620))</f>
        <v/>
      </c>
    </row>
    <row r="621" ht="15.75" customHeight="1" s="58">
      <c r="A621" s="65" t="n"/>
      <c r="B621" s="65" t="n"/>
      <c r="C621" s="66" t="n"/>
      <c r="D621" s="66" t="n"/>
      <c r="E621" s="65" t="n"/>
      <c r="F621" s="65" t="n"/>
      <c r="G621" s="65" t="n"/>
      <c r="H621" s="65" t="n"/>
      <c r="I621" s="65" t="n"/>
      <c r="J621" s="65" t="n"/>
      <c r="K621" s="65" t="n"/>
      <c r="L621" s="65" t="n"/>
      <c r="M621" s="65" t="n"/>
      <c r="N621" s="65" t="n"/>
      <c r="O621" s="65" t="n"/>
      <c r="P621" s="65" t="n"/>
      <c r="Q621" s="32">
        <f>IF($C621="","",IF($J621="","— חסרים נתונים",IF($J621="טרם מפענח","פרופיל 5",IF($J621="קמץ/פתח/חטף-פתח ושוואים","פרופיל 4",IF($J621="2-3 סימני ניקוד","פרופיל 3",IF($J621="4-5 סימני ניקוד","פרופיל 2",IF(AND($O621="משפטים וקטעים קצרים",OR($M621="מבין",$M621="מבין לרוב")),"פרופיל 1","פרופיל 2")))))))</f>
        <v/>
      </c>
      <c r="R621" s="32">
        <f>IF($C621="","",IF(OR($Q621="",LEFT($Q621,1)="—"),"קבוצה רביעית",IF($Q621="פרופיל 5","קבוצת תשתיות",IF(OR($Q621="פרופיל 4",$Q621="פרופיל 3"),"קבוצת רכישה","קבוצת ביסוס"))))</f>
        <v/>
      </c>
      <c r="S621" s="32">
        <f>IF($F621="","",IF($F621="תחילת שנה",1,IF($F621="מחצית שנה",2,3)))</f>
        <v/>
      </c>
      <c r="T621" s="32">
        <f>IF(OR($B621="",$R621="",$A621="",$F621=""),"",$B621&amp;"|"&amp;$A621&amp;"|"&amp;$F621&amp;"|"&amp;$R621&amp;"|"&amp;COUNTIFS($B$6:$B621,$B621,$A$6:$A621,$A621,$F$6:$F621,$F621,$R$6:$R621,$R621))</f>
        <v/>
      </c>
      <c r="U621" s="32">
        <f>IF($C621="","",$C621&amp;"|"&amp;COUNTIFS($C$6:$C621,$C621))</f>
        <v/>
      </c>
      <c r="V621" s="32">
        <f>IF(OR($C621="",$A621="",$S621=""),"",$C621&amp;"|"&amp;$A621&amp;"|"&amp;$S621)</f>
        <v/>
      </c>
      <c r="W621" s="32">
        <f>IF(OR($C621="",$S621="",$S621=1),"",IFERROR(INDEX($Q$6:$Q$1505,MATCH($C621&amp;"|"&amp;$A621&amp;"|"&amp;($S621-1),$V$6:$V$1505,0)),""))</f>
        <v/>
      </c>
      <c r="X621" s="32">
        <f>IF(OR($W621="",$Q621="",LEFT($Q621,1)="—"),"",IF($W621=$Q621,"ללא שינוי","מ-"&amp;$W621&amp;" ל-"&amp;$Q621))</f>
        <v/>
      </c>
    </row>
    <row r="622" ht="15.75" customHeight="1" s="58">
      <c r="A622" s="65" t="n"/>
      <c r="B622" s="65" t="n"/>
      <c r="C622" s="66" t="n"/>
      <c r="D622" s="66" t="n"/>
      <c r="E622" s="65" t="n"/>
      <c r="F622" s="65" t="n"/>
      <c r="G622" s="65" t="n"/>
      <c r="H622" s="65" t="n"/>
      <c r="I622" s="65" t="n"/>
      <c r="J622" s="65" t="n"/>
      <c r="K622" s="65" t="n"/>
      <c r="L622" s="65" t="n"/>
      <c r="M622" s="65" t="n"/>
      <c r="N622" s="65" t="n"/>
      <c r="O622" s="65" t="n"/>
      <c r="P622" s="65" t="n"/>
      <c r="Q622" s="32">
        <f>IF($C622="","",IF($J622="","— חסרים נתונים",IF($J622="טרם מפענח","פרופיל 5",IF($J622="קמץ/פתח/חטף-פתח ושוואים","פרופיל 4",IF($J622="2-3 סימני ניקוד","פרופיל 3",IF($J622="4-5 סימני ניקוד","פרופיל 2",IF(AND($O622="משפטים וקטעים קצרים",OR($M622="מבין",$M622="מבין לרוב")),"פרופיל 1","פרופיל 2")))))))</f>
        <v/>
      </c>
      <c r="R622" s="32">
        <f>IF($C622="","",IF(OR($Q622="",LEFT($Q622,1)="—"),"קבוצה רביעית",IF($Q622="פרופיל 5","קבוצת תשתיות",IF(OR($Q622="פרופיל 4",$Q622="פרופיל 3"),"קבוצת רכישה","קבוצת ביסוס"))))</f>
        <v/>
      </c>
      <c r="S622" s="32">
        <f>IF($F622="","",IF($F622="תחילת שנה",1,IF($F622="מחצית שנה",2,3)))</f>
        <v/>
      </c>
      <c r="T622" s="32">
        <f>IF(OR($B622="",$R622="",$A622="",$F622=""),"",$B622&amp;"|"&amp;$A622&amp;"|"&amp;$F622&amp;"|"&amp;$R622&amp;"|"&amp;COUNTIFS($B$6:$B622,$B622,$A$6:$A622,$A622,$F$6:$F622,$F622,$R$6:$R622,$R622))</f>
        <v/>
      </c>
      <c r="U622" s="32">
        <f>IF($C622="","",$C622&amp;"|"&amp;COUNTIFS($C$6:$C622,$C622))</f>
        <v/>
      </c>
      <c r="V622" s="32">
        <f>IF(OR($C622="",$A622="",$S622=""),"",$C622&amp;"|"&amp;$A622&amp;"|"&amp;$S622)</f>
        <v/>
      </c>
      <c r="W622" s="32">
        <f>IF(OR($C622="",$S622="",$S622=1),"",IFERROR(INDEX($Q$6:$Q$1505,MATCH($C622&amp;"|"&amp;$A622&amp;"|"&amp;($S622-1),$V$6:$V$1505,0)),""))</f>
        <v/>
      </c>
      <c r="X622" s="32">
        <f>IF(OR($W622="",$Q622="",LEFT($Q622,1)="—"),"",IF($W622=$Q622,"ללא שינוי","מ-"&amp;$W622&amp;" ל-"&amp;$Q622))</f>
        <v/>
      </c>
    </row>
    <row r="623" ht="15.75" customHeight="1" s="58">
      <c r="A623" s="65" t="n"/>
      <c r="B623" s="65" t="n"/>
      <c r="C623" s="66" t="n"/>
      <c r="D623" s="66" t="n"/>
      <c r="E623" s="65" t="n"/>
      <c r="F623" s="65" t="n"/>
      <c r="G623" s="65" t="n"/>
      <c r="H623" s="65" t="n"/>
      <c r="I623" s="65" t="n"/>
      <c r="J623" s="65" t="n"/>
      <c r="K623" s="65" t="n"/>
      <c r="L623" s="65" t="n"/>
      <c r="M623" s="65" t="n"/>
      <c r="N623" s="65" t="n"/>
      <c r="O623" s="65" t="n"/>
      <c r="P623" s="65" t="n"/>
      <c r="Q623" s="32">
        <f>IF($C623="","",IF($J623="","— חסרים נתונים",IF($J623="טרם מפענח","פרופיל 5",IF($J623="קמץ/פתח/חטף-פתח ושוואים","פרופיל 4",IF($J623="2-3 סימני ניקוד","פרופיל 3",IF($J623="4-5 סימני ניקוד","פרופיל 2",IF(AND($O623="משפטים וקטעים קצרים",OR($M623="מבין",$M623="מבין לרוב")),"פרופיל 1","פרופיל 2")))))))</f>
        <v/>
      </c>
      <c r="R623" s="32">
        <f>IF($C623="","",IF(OR($Q623="",LEFT($Q623,1)="—"),"קבוצה רביעית",IF($Q623="פרופיל 5","קבוצת תשתיות",IF(OR($Q623="פרופיל 4",$Q623="פרופיל 3"),"קבוצת רכישה","קבוצת ביסוס"))))</f>
        <v/>
      </c>
      <c r="S623" s="32">
        <f>IF($F623="","",IF($F623="תחילת שנה",1,IF($F623="מחצית שנה",2,3)))</f>
        <v/>
      </c>
      <c r="T623" s="32">
        <f>IF(OR($B623="",$R623="",$A623="",$F623=""),"",$B623&amp;"|"&amp;$A623&amp;"|"&amp;$F623&amp;"|"&amp;$R623&amp;"|"&amp;COUNTIFS($B$6:$B623,$B623,$A$6:$A623,$A623,$F$6:$F623,$F623,$R$6:$R623,$R623))</f>
        <v/>
      </c>
      <c r="U623" s="32">
        <f>IF($C623="","",$C623&amp;"|"&amp;COUNTIFS($C$6:$C623,$C623))</f>
        <v/>
      </c>
      <c r="V623" s="32">
        <f>IF(OR($C623="",$A623="",$S623=""),"",$C623&amp;"|"&amp;$A623&amp;"|"&amp;$S623)</f>
        <v/>
      </c>
      <c r="W623" s="32">
        <f>IF(OR($C623="",$S623="",$S623=1),"",IFERROR(INDEX($Q$6:$Q$1505,MATCH($C623&amp;"|"&amp;$A623&amp;"|"&amp;($S623-1),$V$6:$V$1505,0)),""))</f>
        <v/>
      </c>
      <c r="X623" s="32">
        <f>IF(OR($W623="",$Q623="",LEFT($Q623,1)="—"),"",IF($W623=$Q623,"ללא שינוי","מ-"&amp;$W623&amp;" ל-"&amp;$Q623))</f>
        <v/>
      </c>
    </row>
    <row r="624" ht="15.75" customHeight="1" s="58">
      <c r="A624" s="65" t="n"/>
      <c r="B624" s="65" t="n"/>
      <c r="C624" s="66" t="n"/>
      <c r="D624" s="66" t="n"/>
      <c r="E624" s="65" t="n"/>
      <c r="F624" s="65" t="n"/>
      <c r="G624" s="65" t="n"/>
      <c r="H624" s="65" t="n"/>
      <c r="I624" s="65" t="n"/>
      <c r="J624" s="65" t="n"/>
      <c r="K624" s="65" t="n"/>
      <c r="L624" s="65" t="n"/>
      <c r="M624" s="65" t="n"/>
      <c r="N624" s="65" t="n"/>
      <c r="O624" s="65" t="n"/>
      <c r="P624" s="65" t="n"/>
      <c r="Q624" s="32">
        <f>IF($C624="","",IF($J624="","— חסרים נתונים",IF($J624="טרם מפענח","פרופיל 5",IF($J624="קמץ/פתח/חטף-פתח ושוואים","פרופיל 4",IF($J624="2-3 סימני ניקוד","פרופיל 3",IF($J624="4-5 סימני ניקוד","פרופיל 2",IF(AND($O624="משפטים וקטעים קצרים",OR($M624="מבין",$M624="מבין לרוב")),"פרופיל 1","פרופיל 2")))))))</f>
        <v/>
      </c>
      <c r="R624" s="32">
        <f>IF($C624="","",IF(OR($Q624="",LEFT($Q624,1)="—"),"קבוצה רביעית",IF($Q624="פרופיל 5","קבוצת תשתיות",IF(OR($Q624="פרופיל 4",$Q624="פרופיל 3"),"קבוצת רכישה","קבוצת ביסוס"))))</f>
        <v/>
      </c>
      <c r="S624" s="32">
        <f>IF($F624="","",IF($F624="תחילת שנה",1,IF($F624="מחצית שנה",2,3)))</f>
        <v/>
      </c>
      <c r="T624" s="32">
        <f>IF(OR($B624="",$R624="",$A624="",$F624=""),"",$B624&amp;"|"&amp;$A624&amp;"|"&amp;$F624&amp;"|"&amp;$R624&amp;"|"&amp;COUNTIFS($B$6:$B624,$B624,$A$6:$A624,$A624,$F$6:$F624,$F624,$R$6:$R624,$R624))</f>
        <v/>
      </c>
      <c r="U624" s="32">
        <f>IF($C624="","",$C624&amp;"|"&amp;COUNTIFS($C$6:$C624,$C624))</f>
        <v/>
      </c>
      <c r="V624" s="32">
        <f>IF(OR($C624="",$A624="",$S624=""),"",$C624&amp;"|"&amp;$A624&amp;"|"&amp;$S624)</f>
        <v/>
      </c>
      <c r="W624" s="32">
        <f>IF(OR($C624="",$S624="",$S624=1),"",IFERROR(INDEX($Q$6:$Q$1505,MATCH($C624&amp;"|"&amp;$A624&amp;"|"&amp;($S624-1),$V$6:$V$1505,0)),""))</f>
        <v/>
      </c>
      <c r="X624" s="32">
        <f>IF(OR($W624="",$Q624="",LEFT($Q624,1)="—"),"",IF($W624=$Q624,"ללא שינוי","מ-"&amp;$W624&amp;" ל-"&amp;$Q624))</f>
        <v/>
      </c>
    </row>
    <row r="625" ht="15.75" customHeight="1" s="58">
      <c r="A625" s="65" t="n"/>
      <c r="B625" s="65" t="n"/>
      <c r="C625" s="66" t="n"/>
      <c r="D625" s="66" t="n"/>
      <c r="E625" s="65" t="n"/>
      <c r="F625" s="65" t="n"/>
      <c r="G625" s="65" t="n"/>
      <c r="H625" s="65" t="n"/>
      <c r="I625" s="65" t="n"/>
      <c r="J625" s="65" t="n"/>
      <c r="K625" s="65" t="n"/>
      <c r="L625" s="65" t="n"/>
      <c r="M625" s="65" t="n"/>
      <c r="N625" s="65" t="n"/>
      <c r="O625" s="65" t="n"/>
      <c r="P625" s="65" t="n"/>
      <c r="Q625" s="32">
        <f>IF($C625="","",IF($J625="","— חסרים נתונים",IF($J625="טרם מפענח","פרופיל 5",IF($J625="קמץ/פתח/חטף-פתח ושוואים","פרופיל 4",IF($J625="2-3 סימני ניקוד","פרופיל 3",IF($J625="4-5 סימני ניקוד","פרופיל 2",IF(AND($O625="משפטים וקטעים קצרים",OR($M625="מבין",$M625="מבין לרוב")),"פרופיל 1","פרופיל 2")))))))</f>
        <v/>
      </c>
      <c r="R625" s="32">
        <f>IF($C625="","",IF(OR($Q625="",LEFT($Q625,1)="—"),"קבוצה רביעית",IF($Q625="פרופיל 5","קבוצת תשתיות",IF(OR($Q625="פרופיל 4",$Q625="פרופיל 3"),"קבוצת רכישה","קבוצת ביסוס"))))</f>
        <v/>
      </c>
      <c r="S625" s="32">
        <f>IF($F625="","",IF($F625="תחילת שנה",1,IF($F625="מחצית שנה",2,3)))</f>
        <v/>
      </c>
      <c r="T625" s="32">
        <f>IF(OR($B625="",$R625="",$A625="",$F625=""),"",$B625&amp;"|"&amp;$A625&amp;"|"&amp;$F625&amp;"|"&amp;$R625&amp;"|"&amp;COUNTIFS($B$6:$B625,$B625,$A$6:$A625,$A625,$F$6:$F625,$F625,$R$6:$R625,$R625))</f>
        <v/>
      </c>
      <c r="U625" s="32">
        <f>IF($C625="","",$C625&amp;"|"&amp;COUNTIFS($C$6:$C625,$C625))</f>
        <v/>
      </c>
      <c r="V625" s="32">
        <f>IF(OR($C625="",$A625="",$S625=""),"",$C625&amp;"|"&amp;$A625&amp;"|"&amp;$S625)</f>
        <v/>
      </c>
      <c r="W625" s="32">
        <f>IF(OR($C625="",$S625="",$S625=1),"",IFERROR(INDEX($Q$6:$Q$1505,MATCH($C625&amp;"|"&amp;$A625&amp;"|"&amp;($S625-1),$V$6:$V$1505,0)),""))</f>
        <v/>
      </c>
      <c r="X625" s="32">
        <f>IF(OR($W625="",$Q625="",LEFT($Q625,1)="—"),"",IF($W625=$Q625,"ללא שינוי","מ-"&amp;$W625&amp;" ל-"&amp;$Q625))</f>
        <v/>
      </c>
    </row>
    <row r="626" ht="15.75" customHeight="1" s="58">
      <c r="A626" s="65" t="n"/>
      <c r="B626" s="65" t="n"/>
      <c r="C626" s="66" t="n"/>
      <c r="D626" s="66" t="n"/>
      <c r="E626" s="65" t="n"/>
      <c r="F626" s="65" t="n"/>
      <c r="G626" s="65" t="n"/>
      <c r="H626" s="65" t="n"/>
      <c r="I626" s="65" t="n"/>
      <c r="J626" s="65" t="n"/>
      <c r="K626" s="65" t="n"/>
      <c r="L626" s="65" t="n"/>
      <c r="M626" s="65" t="n"/>
      <c r="N626" s="65" t="n"/>
      <c r="O626" s="65" t="n"/>
      <c r="P626" s="65" t="n"/>
      <c r="Q626" s="32">
        <f>IF($C626="","",IF($J626="","— חסרים נתונים",IF($J626="טרם מפענח","פרופיל 5",IF($J626="קמץ/פתח/חטף-פתח ושוואים","פרופיל 4",IF($J626="2-3 סימני ניקוד","פרופיל 3",IF($J626="4-5 סימני ניקוד","פרופיל 2",IF(AND($O626="משפטים וקטעים קצרים",OR($M626="מבין",$M626="מבין לרוב")),"פרופיל 1","פרופיל 2")))))))</f>
        <v/>
      </c>
      <c r="R626" s="32">
        <f>IF($C626="","",IF(OR($Q626="",LEFT($Q626,1)="—"),"קבוצה רביעית",IF($Q626="פרופיל 5","קבוצת תשתיות",IF(OR($Q626="פרופיל 4",$Q626="פרופיל 3"),"קבוצת רכישה","קבוצת ביסוס"))))</f>
        <v/>
      </c>
      <c r="S626" s="32">
        <f>IF($F626="","",IF($F626="תחילת שנה",1,IF($F626="מחצית שנה",2,3)))</f>
        <v/>
      </c>
      <c r="T626" s="32">
        <f>IF(OR($B626="",$R626="",$A626="",$F626=""),"",$B626&amp;"|"&amp;$A626&amp;"|"&amp;$F626&amp;"|"&amp;$R626&amp;"|"&amp;COUNTIFS($B$6:$B626,$B626,$A$6:$A626,$A626,$F$6:$F626,$F626,$R$6:$R626,$R626))</f>
        <v/>
      </c>
      <c r="U626" s="32">
        <f>IF($C626="","",$C626&amp;"|"&amp;COUNTIFS($C$6:$C626,$C626))</f>
        <v/>
      </c>
      <c r="V626" s="32">
        <f>IF(OR($C626="",$A626="",$S626=""),"",$C626&amp;"|"&amp;$A626&amp;"|"&amp;$S626)</f>
        <v/>
      </c>
      <c r="W626" s="32">
        <f>IF(OR($C626="",$S626="",$S626=1),"",IFERROR(INDEX($Q$6:$Q$1505,MATCH($C626&amp;"|"&amp;$A626&amp;"|"&amp;($S626-1),$V$6:$V$1505,0)),""))</f>
        <v/>
      </c>
      <c r="X626" s="32">
        <f>IF(OR($W626="",$Q626="",LEFT($Q626,1)="—"),"",IF($W626=$Q626,"ללא שינוי","מ-"&amp;$W626&amp;" ל-"&amp;$Q626))</f>
        <v/>
      </c>
    </row>
    <row r="627" ht="15.75" customHeight="1" s="58">
      <c r="A627" s="65" t="n"/>
      <c r="B627" s="65" t="n"/>
      <c r="C627" s="66" t="n"/>
      <c r="D627" s="66" t="n"/>
      <c r="E627" s="65" t="n"/>
      <c r="F627" s="65" t="n"/>
      <c r="G627" s="65" t="n"/>
      <c r="H627" s="65" t="n"/>
      <c r="I627" s="65" t="n"/>
      <c r="J627" s="65" t="n"/>
      <c r="K627" s="65" t="n"/>
      <c r="L627" s="65" t="n"/>
      <c r="M627" s="65" t="n"/>
      <c r="N627" s="65" t="n"/>
      <c r="O627" s="65" t="n"/>
      <c r="P627" s="65" t="n"/>
      <c r="Q627" s="32">
        <f>IF($C627="","",IF($J627="","— חסרים נתונים",IF($J627="טרם מפענח","פרופיל 5",IF($J627="קמץ/פתח/חטף-פתח ושוואים","פרופיל 4",IF($J627="2-3 סימני ניקוד","פרופיל 3",IF($J627="4-5 סימני ניקוד","פרופיל 2",IF(AND($O627="משפטים וקטעים קצרים",OR($M627="מבין",$M627="מבין לרוב")),"פרופיל 1","פרופיל 2")))))))</f>
        <v/>
      </c>
      <c r="R627" s="32">
        <f>IF($C627="","",IF(OR($Q627="",LEFT($Q627,1)="—"),"קבוצה רביעית",IF($Q627="פרופיל 5","קבוצת תשתיות",IF(OR($Q627="פרופיל 4",$Q627="פרופיל 3"),"קבוצת רכישה","קבוצת ביסוס"))))</f>
        <v/>
      </c>
      <c r="S627" s="32">
        <f>IF($F627="","",IF($F627="תחילת שנה",1,IF($F627="מחצית שנה",2,3)))</f>
        <v/>
      </c>
      <c r="T627" s="32">
        <f>IF(OR($B627="",$R627="",$A627="",$F627=""),"",$B627&amp;"|"&amp;$A627&amp;"|"&amp;$F627&amp;"|"&amp;$R627&amp;"|"&amp;COUNTIFS($B$6:$B627,$B627,$A$6:$A627,$A627,$F$6:$F627,$F627,$R$6:$R627,$R627))</f>
        <v/>
      </c>
      <c r="U627" s="32">
        <f>IF($C627="","",$C627&amp;"|"&amp;COUNTIFS($C$6:$C627,$C627))</f>
        <v/>
      </c>
      <c r="V627" s="32">
        <f>IF(OR($C627="",$A627="",$S627=""),"",$C627&amp;"|"&amp;$A627&amp;"|"&amp;$S627)</f>
        <v/>
      </c>
      <c r="W627" s="32">
        <f>IF(OR($C627="",$S627="",$S627=1),"",IFERROR(INDEX($Q$6:$Q$1505,MATCH($C627&amp;"|"&amp;$A627&amp;"|"&amp;($S627-1),$V$6:$V$1505,0)),""))</f>
        <v/>
      </c>
      <c r="X627" s="32">
        <f>IF(OR($W627="",$Q627="",LEFT($Q627,1)="—"),"",IF($W627=$Q627,"ללא שינוי","מ-"&amp;$W627&amp;" ל-"&amp;$Q627))</f>
        <v/>
      </c>
    </row>
    <row r="628" ht="15.75" customHeight="1" s="58">
      <c r="A628" s="65" t="n"/>
      <c r="B628" s="65" t="n"/>
      <c r="C628" s="66" t="n"/>
      <c r="D628" s="66" t="n"/>
      <c r="E628" s="65" t="n"/>
      <c r="F628" s="65" t="n"/>
      <c r="G628" s="65" t="n"/>
      <c r="H628" s="65" t="n"/>
      <c r="I628" s="65" t="n"/>
      <c r="J628" s="65" t="n"/>
      <c r="K628" s="65" t="n"/>
      <c r="L628" s="65" t="n"/>
      <c r="M628" s="65" t="n"/>
      <c r="N628" s="65" t="n"/>
      <c r="O628" s="65" t="n"/>
      <c r="P628" s="65" t="n"/>
      <c r="Q628" s="32">
        <f>IF($C628="","",IF($J628="","— חסרים נתונים",IF($J628="טרם מפענח","פרופיל 5",IF($J628="קמץ/פתח/חטף-פתח ושוואים","פרופיל 4",IF($J628="2-3 סימני ניקוד","פרופיל 3",IF($J628="4-5 סימני ניקוד","פרופיל 2",IF(AND($O628="משפטים וקטעים קצרים",OR($M628="מבין",$M628="מבין לרוב")),"פרופיל 1","פרופיל 2")))))))</f>
        <v/>
      </c>
      <c r="R628" s="32">
        <f>IF($C628="","",IF(OR($Q628="",LEFT($Q628,1)="—"),"קבוצה רביעית",IF($Q628="פרופיל 5","קבוצת תשתיות",IF(OR($Q628="פרופיל 4",$Q628="פרופיל 3"),"קבוצת רכישה","קבוצת ביסוס"))))</f>
        <v/>
      </c>
      <c r="S628" s="32">
        <f>IF($F628="","",IF($F628="תחילת שנה",1,IF($F628="מחצית שנה",2,3)))</f>
        <v/>
      </c>
      <c r="T628" s="32">
        <f>IF(OR($B628="",$R628="",$A628="",$F628=""),"",$B628&amp;"|"&amp;$A628&amp;"|"&amp;$F628&amp;"|"&amp;$R628&amp;"|"&amp;COUNTIFS($B$6:$B628,$B628,$A$6:$A628,$A628,$F$6:$F628,$F628,$R$6:$R628,$R628))</f>
        <v/>
      </c>
      <c r="U628" s="32">
        <f>IF($C628="","",$C628&amp;"|"&amp;COUNTIFS($C$6:$C628,$C628))</f>
        <v/>
      </c>
      <c r="V628" s="32">
        <f>IF(OR($C628="",$A628="",$S628=""),"",$C628&amp;"|"&amp;$A628&amp;"|"&amp;$S628)</f>
        <v/>
      </c>
      <c r="W628" s="32">
        <f>IF(OR($C628="",$S628="",$S628=1),"",IFERROR(INDEX($Q$6:$Q$1505,MATCH($C628&amp;"|"&amp;$A628&amp;"|"&amp;($S628-1),$V$6:$V$1505,0)),""))</f>
        <v/>
      </c>
      <c r="X628" s="32">
        <f>IF(OR($W628="",$Q628="",LEFT($Q628,1)="—"),"",IF($W628=$Q628,"ללא שינוי","מ-"&amp;$W628&amp;" ל-"&amp;$Q628))</f>
        <v/>
      </c>
    </row>
    <row r="629" ht="15.75" customHeight="1" s="58">
      <c r="A629" s="65" t="n"/>
      <c r="B629" s="65" t="n"/>
      <c r="C629" s="66" t="n"/>
      <c r="D629" s="66" t="n"/>
      <c r="E629" s="65" t="n"/>
      <c r="F629" s="65" t="n"/>
      <c r="G629" s="65" t="n"/>
      <c r="H629" s="65" t="n"/>
      <c r="I629" s="65" t="n"/>
      <c r="J629" s="65" t="n"/>
      <c r="K629" s="65" t="n"/>
      <c r="L629" s="65" t="n"/>
      <c r="M629" s="65" t="n"/>
      <c r="N629" s="65" t="n"/>
      <c r="O629" s="65" t="n"/>
      <c r="P629" s="65" t="n"/>
      <c r="Q629" s="32">
        <f>IF($C629="","",IF($J629="","— חסרים נתונים",IF($J629="טרם מפענח","פרופיל 5",IF($J629="קמץ/פתח/חטף-פתח ושוואים","פרופיל 4",IF($J629="2-3 סימני ניקוד","פרופיל 3",IF($J629="4-5 סימני ניקוד","פרופיל 2",IF(AND($O629="משפטים וקטעים קצרים",OR($M629="מבין",$M629="מבין לרוב")),"פרופיל 1","פרופיל 2")))))))</f>
        <v/>
      </c>
      <c r="R629" s="32">
        <f>IF($C629="","",IF(OR($Q629="",LEFT($Q629,1)="—"),"קבוצה רביעית",IF($Q629="פרופיל 5","קבוצת תשתיות",IF(OR($Q629="פרופיל 4",$Q629="פרופיל 3"),"קבוצת רכישה","קבוצת ביסוס"))))</f>
        <v/>
      </c>
      <c r="S629" s="32">
        <f>IF($F629="","",IF($F629="תחילת שנה",1,IF($F629="מחצית שנה",2,3)))</f>
        <v/>
      </c>
      <c r="T629" s="32">
        <f>IF(OR($B629="",$R629="",$A629="",$F629=""),"",$B629&amp;"|"&amp;$A629&amp;"|"&amp;$F629&amp;"|"&amp;$R629&amp;"|"&amp;COUNTIFS($B$6:$B629,$B629,$A$6:$A629,$A629,$F$6:$F629,$F629,$R$6:$R629,$R629))</f>
        <v/>
      </c>
      <c r="U629" s="32">
        <f>IF($C629="","",$C629&amp;"|"&amp;COUNTIFS($C$6:$C629,$C629))</f>
        <v/>
      </c>
      <c r="V629" s="32">
        <f>IF(OR($C629="",$A629="",$S629=""),"",$C629&amp;"|"&amp;$A629&amp;"|"&amp;$S629)</f>
        <v/>
      </c>
      <c r="W629" s="32">
        <f>IF(OR($C629="",$S629="",$S629=1),"",IFERROR(INDEX($Q$6:$Q$1505,MATCH($C629&amp;"|"&amp;$A629&amp;"|"&amp;($S629-1),$V$6:$V$1505,0)),""))</f>
        <v/>
      </c>
      <c r="X629" s="32">
        <f>IF(OR($W629="",$Q629="",LEFT($Q629,1)="—"),"",IF($W629=$Q629,"ללא שינוי","מ-"&amp;$W629&amp;" ל-"&amp;$Q629))</f>
        <v/>
      </c>
    </row>
    <row r="630" ht="15.75" customHeight="1" s="58">
      <c r="A630" s="65" t="n"/>
      <c r="B630" s="65" t="n"/>
      <c r="C630" s="66" t="n"/>
      <c r="D630" s="66" t="n"/>
      <c r="E630" s="65" t="n"/>
      <c r="F630" s="65" t="n"/>
      <c r="G630" s="65" t="n"/>
      <c r="H630" s="65" t="n"/>
      <c r="I630" s="65" t="n"/>
      <c r="J630" s="65" t="n"/>
      <c r="K630" s="65" t="n"/>
      <c r="L630" s="65" t="n"/>
      <c r="M630" s="65" t="n"/>
      <c r="N630" s="65" t="n"/>
      <c r="O630" s="65" t="n"/>
      <c r="P630" s="65" t="n"/>
      <c r="Q630" s="32">
        <f>IF($C630="","",IF($J630="","— חסרים נתונים",IF($J630="טרם מפענח","פרופיל 5",IF($J630="קמץ/פתח/חטף-פתח ושוואים","פרופיל 4",IF($J630="2-3 סימני ניקוד","פרופיל 3",IF($J630="4-5 סימני ניקוד","פרופיל 2",IF(AND($O630="משפטים וקטעים קצרים",OR($M630="מבין",$M630="מבין לרוב")),"פרופיל 1","פרופיל 2")))))))</f>
        <v/>
      </c>
      <c r="R630" s="32">
        <f>IF($C630="","",IF(OR($Q630="",LEFT($Q630,1)="—"),"קבוצה רביעית",IF($Q630="פרופיל 5","קבוצת תשתיות",IF(OR($Q630="פרופיל 4",$Q630="פרופיל 3"),"קבוצת רכישה","קבוצת ביסוס"))))</f>
        <v/>
      </c>
      <c r="S630" s="32">
        <f>IF($F630="","",IF($F630="תחילת שנה",1,IF($F630="מחצית שנה",2,3)))</f>
        <v/>
      </c>
      <c r="T630" s="32">
        <f>IF(OR($B630="",$R630="",$A630="",$F630=""),"",$B630&amp;"|"&amp;$A630&amp;"|"&amp;$F630&amp;"|"&amp;$R630&amp;"|"&amp;COUNTIFS($B$6:$B630,$B630,$A$6:$A630,$A630,$F$6:$F630,$F630,$R$6:$R630,$R630))</f>
        <v/>
      </c>
      <c r="U630" s="32">
        <f>IF($C630="","",$C630&amp;"|"&amp;COUNTIFS($C$6:$C630,$C630))</f>
        <v/>
      </c>
      <c r="V630" s="32">
        <f>IF(OR($C630="",$A630="",$S630=""),"",$C630&amp;"|"&amp;$A630&amp;"|"&amp;$S630)</f>
        <v/>
      </c>
      <c r="W630" s="32">
        <f>IF(OR($C630="",$S630="",$S630=1),"",IFERROR(INDEX($Q$6:$Q$1505,MATCH($C630&amp;"|"&amp;$A630&amp;"|"&amp;($S630-1),$V$6:$V$1505,0)),""))</f>
        <v/>
      </c>
      <c r="X630" s="32">
        <f>IF(OR($W630="",$Q630="",LEFT($Q630,1)="—"),"",IF($W630=$Q630,"ללא שינוי","מ-"&amp;$W630&amp;" ל-"&amp;$Q630))</f>
        <v/>
      </c>
    </row>
    <row r="631" ht="15.75" customHeight="1" s="58">
      <c r="A631" s="65" t="n"/>
      <c r="B631" s="65" t="n"/>
      <c r="C631" s="66" t="n"/>
      <c r="D631" s="66" t="n"/>
      <c r="E631" s="65" t="n"/>
      <c r="F631" s="65" t="n"/>
      <c r="G631" s="65" t="n"/>
      <c r="H631" s="65" t="n"/>
      <c r="I631" s="65" t="n"/>
      <c r="J631" s="65" t="n"/>
      <c r="K631" s="65" t="n"/>
      <c r="L631" s="65" t="n"/>
      <c r="M631" s="65" t="n"/>
      <c r="N631" s="65" t="n"/>
      <c r="O631" s="65" t="n"/>
      <c r="P631" s="65" t="n"/>
      <c r="Q631" s="32">
        <f>IF($C631="","",IF($J631="","— חסרים נתונים",IF($J631="טרם מפענח","פרופיל 5",IF($J631="קמץ/פתח/חטף-פתח ושוואים","פרופיל 4",IF($J631="2-3 סימני ניקוד","פרופיל 3",IF($J631="4-5 סימני ניקוד","פרופיל 2",IF(AND($O631="משפטים וקטעים קצרים",OR($M631="מבין",$M631="מבין לרוב")),"פרופיל 1","פרופיל 2")))))))</f>
        <v/>
      </c>
      <c r="R631" s="32">
        <f>IF($C631="","",IF(OR($Q631="",LEFT($Q631,1)="—"),"קבוצה רביעית",IF($Q631="פרופיל 5","קבוצת תשתיות",IF(OR($Q631="פרופיל 4",$Q631="פרופיל 3"),"קבוצת רכישה","קבוצת ביסוס"))))</f>
        <v/>
      </c>
      <c r="S631" s="32">
        <f>IF($F631="","",IF($F631="תחילת שנה",1,IF($F631="מחצית שנה",2,3)))</f>
        <v/>
      </c>
      <c r="T631" s="32">
        <f>IF(OR($B631="",$R631="",$A631="",$F631=""),"",$B631&amp;"|"&amp;$A631&amp;"|"&amp;$F631&amp;"|"&amp;$R631&amp;"|"&amp;COUNTIFS($B$6:$B631,$B631,$A$6:$A631,$A631,$F$6:$F631,$F631,$R$6:$R631,$R631))</f>
        <v/>
      </c>
      <c r="U631" s="32">
        <f>IF($C631="","",$C631&amp;"|"&amp;COUNTIFS($C$6:$C631,$C631))</f>
        <v/>
      </c>
      <c r="V631" s="32">
        <f>IF(OR($C631="",$A631="",$S631=""),"",$C631&amp;"|"&amp;$A631&amp;"|"&amp;$S631)</f>
        <v/>
      </c>
      <c r="W631" s="32">
        <f>IF(OR($C631="",$S631="",$S631=1),"",IFERROR(INDEX($Q$6:$Q$1505,MATCH($C631&amp;"|"&amp;$A631&amp;"|"&amp;($S631-1),$V$6:$V$1505,0)),""))</f>
        <v/>
      </c>
      <c r="X631" s="32">
        <f>IF(OR($W631="",$Q631="",LEFT($Q631,1)="—"),"",IF($W631=$Q631,"ללא שינוי","מ-"&amp;$W631&amp;" ל-"&amp;$Q631))</f>
        <v/>
      </c>
    </row>
    <row r="632" ht="15.75" customHeight="1" s="58">
      <c r="A632" s="65" t="n"/>
      <c r="B632" s="65" t="n"/>
      <c r="C632" s="66" t="n"/>
      <c r="D632" s="66" t="n"/>
      <c r="E632" s="65" t="n"/>
      <c r="F632" s="65" t="n"/>
      <c r="G632" s="65" t="n"/>
      <c r="H632" s="65" t="n"/>
      <c r="I632" s="65" t="n"/>
      <c r="J632" s="65" t="n"/>
      <c r="K632" s="65" t="n"/>
      <c r="L632" s="65" t="n"/>
      <c r="M632" s="65" t="n"/>
      <c r="N632" s="65" t="n"/>
      <c r="O632" s="65" t="n"/>
      <c r="P632" s="65" t="n"/>
      <c r="Q632" s="32">
        <f>IF($C632="","",IF($J632="","— חסרים נתונים",IF($J632="טרם מפענח","פרופיל 5",IF($J632="קמץ/פתח/חטף-פתח ושוואים","פרופיל 4",IF($J632="2-3 סימני ניקוד","פרופיל 3",IF($J632="4-5 סימני ניקוד","פרופיל 2",IF(AND($O632="משפטים וקטעים קצרים",OR($M632="מבין",$M632="מבין לרוב")),"פרופיל 1","פרופיל 2")))))))</f>
        <v/>
      </c>
      <c r="R632" s="32">
        <f>IF($C632="","",IF(OR($Q632="",LEFT($Q632,1)="—"),"קבוצה רביעית",IF($Q632="פרופיל 5","קבוצת תשתיות",IF(OR($Q632="פרופיל 4",$Q632="פרופיל 3"),"קבוצת רכישה","קבוצת ביסוס"))))</f>
        <v/>
      </c>
      <c r="S632" s="32">
        <f>IF($F632="","",IF($F632="תחילת שנה",1,IF($F632="מחצית שנה",2,3)))</f>
        <v/>
      </c>
      <c r="T632" s="32">
        <f>IF(OR($B632="",$R632="",$A632="",$F632=""),"",$B632&amp;"|"&amp;$A632&amp;"|"&amp;$F632&amp;"|"&amp;$R632&amp;"|"&amp;COUNTIFS($B$6:$B632,$B632,$A$6:$A632,$A632,$F$6:$F632,$F632,$R$6:$R632,$R632))</f>
        <v/>
      </c>
      <c r="U632" s="32">
        <f>IF($C632="","",$C632&amp;"|"&amp;COUNTIFS($C$6:$C632,$C632))</f>
        <v/>
      </c>
      <c r="V632" s="32">
        <f>IF(OR($C632="",$A632="",$S632=""),"",$C632&amp;"|"&amp;$A632&amp;"|"&amp;$S632)</f>
        <v/>
      </c>
      <c r="W632" s="32">
        <f>IF(OR($C632="",$S632="",$S632=1),"",IFERROR(INDEX($Q$6:$Q$1505,MATCH($C632&amp;"|"&amp;$A632&amp;"|"&amp;($S632-1),$V$6:$V$1505,0)),""))</f>
        <v/>
      </c>
      <c r="X632" s="32">
        <f>IF(OR($W632="",$Q632="",LEFT($Q632,1)="—"),"",IF($W632=$Q632,"ללא שינוי","מ-"&amp;$W632&amp;" ל-"&amp;$Q632))</f>
        <v/>
      </c>
    </row>
    <row r="633" ht="15.75" customHeight="1" s="58">
      <c r="A633" s="65" t="n"/>
      <c r="B633" s="65" t="n"/>
      <c r="C633" s="66" t="n"/>
      <c r="D633" s="66" t="n"/>
      <c r="E633" s="65" t="n"/>
      <c r="F633" s="65" t="n"/>
      <c r="G633" s="65" t="n"/>
      <c r="H633" s="65" t="n"/>
      <c r="I633" s="65" t="n"/>
      <c r="J633" s="65" t="n"/>
      <c r="K633" s="65" t="n"/>
      <c r="L633" s="65" t="n"/>
      <c r="M633" s="65" t="n"/>
      <c r="N633" s="65" t="n"/>
      <c r="O633" s="65" t="n"/>
      <c r="P633" s="65" t="n"/>
      <c r="Q633" s="32">
        <f>IF($C633="","",IF($J633="","— חסרים נתונים",IF($J633="טרם מפענח","פרופיל 5",IF($J633="קמץ/פתח/חטף-פתח ושוואים","פרופיל 4",IF($J633="2-3 סימני ניקוד","פרופיל 3",IF($J633="4-5 סימני ניקוד","פרופיל 2",IF(AND($O633="משפטים וקטעים קצרים",OR($M633="מבין",$M633="מבין לרוב")),"פרופיל 1","פרופיל 2")))))))</f>
        <v/>
      </c>
      <c r="R633" s="32">
        <f>IF($C633="","",IF(OR($Q633="",LEFT($Q633,1)="—"),"קבוצה רביעית",IF($Q633="פרופיל 5","קבוצת תשתיות",IF(OR($Q633="פרופיל 4",$Q633="פרופיל 3"),"קבוצת רכישה","קבוצת ביסוס"))))</f>
        <v/>
      </c>
      <c r="S633" s="32">
        <f>IF($F633="","",IF($F633="תחילת שנה",1,IF($F633="מחצית שנה",2,3)))</f>
        <v/>
      </c>
      <c r="T633" s="32">
        <f>IF(OR($B633="",$R633="",$A633="",$F633=""),"",$B633&amp;"|"&amp;$A633&amp;"|"&amp;$F633&amp;"|"&amp;$R633&amp;"|"&amp;COUNTIFS($B$6:$B633,$B633,$A$6:$A633,$A633,$F$6:$F633,$F633,$R$6:$R633,$R633))</f>
        <v/>
      </c>
      <c r="U633" s="32">
        <f>IF($C633="","",$C633&amp;"|"&amp;COUNTIFS($C$6:$C633,$C633))</f>
        <v/>
      </c>
      <c r="V633" s="32">
        <f>IF(OR($C633="",$A633="",$S633=""),"",$C633&amp;"|"&amp;$A633&amp;"|"&amp;$S633)</f>
        <v/>
      </c>
      <c r="W633" s="32">
        <f>IF(OR($C633="",$S633="",$S633=1),"",IFERROR(INDEX($Q$6:$Q$1505,MATCH($C633&amp;"|"&amp;$A633&amp;"|"&amp;($S633-1),$V$6:$V$1505,0)),""))</f>
        <v/>
      </c>
      <c r="X633" s="32">
        <f>IF(OR($W633="",$Q633="",LEFT($Q633,1)="—"),"",IF($W633=$Q633,"ללא שינוי","מ-"&amp;$W633&amp;" ל-"&amp;$Q633))</f>
        <v/>
      </c>
    </row>
    <row r="634" ht="15.75" customHeight="1" s="58">
      <c r="A634" s="65" t="n"/>
      <c r="B634" s="65" t="n"/>
      <c r="C634" s="66" t="n"/>
      <c r="D634" s="66" t="n"/>
      <c r="E634" s="65" t="n"/>
      <c r="F634" s="65" t="n"/>
      <c r="G634" s="65" t="n"/>
      <c r="H634" s="65" t="n"/>
      <c r="I634" s="65" t="n"/>
      <c r="J634" s="65" t="n"/>
      <c r="K634" s="65" t="n"/>
      <c r="L634" s="65" t="n"/>
      <c r="M634" s="65" t="n"/>
      <c r="N634" s="65" t="n"/>
      <c r="O634" s="65" t="n"/>
      <c r="P634" s="65" t="n"/>
      <c r="Q634" s="32">
        <f>IF($C634="","",IF($J634="","— חסרים נתונים",IF($J634="טרם מפענח","פרופיל 5",IF($J634="קמץ/פתח/חטף-פתח ושוואים","פרופיל 4",IF($J634="2-3 סימני ניקוד","פרופיל 3",IF($J634="4-5 סימני ניקוד","פרופיל 2",IF(AND($O634="משפטים וקטעים קצרים",OR($M634="מבין",$M634="מבין לרוב")),"פרופיל 1","פרופיל 2")))))))</f>
        <v/>
      </c>
      <c r="R634" s="32">
        <f>IF($C634="","",IF(OR($Q634="",LEFT($Q634,1)="—"),"קבוצה רביעית",IF($Q634="פרופיל 5","קבוצת תשתיות",IF(OR($Q634="פרופיל 4",$Q634="פרופיל 3"),"קבוצת רכישה","קבוצת ביסוס"))))</f>
        <v/>
      </c>
      <c r="S634" s="32">
        <f>IF($F634="","",IF($F634="תחילת שנה",1,IF($F634="מחצית שנה",2,3)))</f>
        <v/>
      </c>
      <c r="T634" s="32">
        <f>IF(OR($B634="",$R634="",$A634="",$F634=""),"",$B634&amp;"|"&amp;$A634&amp;"|"&amp;$F634&amp;"|"&amp;$R634&amp;"|"&amp;COUNTIFS($B$6:$B634,$B634,$A$6:$A634,$A634,$F$6:$F634,$F634,$R$6:$R634,$R634))</f>
        <v/>
      </c>
      <c r="U634" s="32">
        <f>IF($C634="","",$C634&amp;"|"&amp;COUNTIFS($C$6:$C634,$C634))</f>
        <v/>
      </c>
      <c r="V634" s="32">
        <f>IF(OR($C634="",$A634="",$S634=""),"",$C634&amp;"|"&amp;$A634&amp;"|"&amp;$S634)</f>
        <v/>
      </c>
      <c r="W634" s="32">
        <f>IF(OR($C634="",$S634="",$S634=1),"",IFERROR(INDEX($Q$6:$Q$1505,MATCH($C634&amp;"|"&amp;$A634&amp;"|"&amp;($S634-1),$V$6:$V$1505,0)),""))</f>
        <v/>
      </c>
      <c r="X634" s="32">
        <f>IF(OR($W634="",$Q634="",LEFT($Q634,1)="—"),"",IF($W634=$Q634,"ללא שינוי","מ-"&amp;$W634&amp;" ל-"&amp;$Q634))</f>
        <v/>
      </c>
    </row>
    <row r="635" ht="15.75" customHeight="1" s="58">
      <c r="A635" s="65" t="n"/>
      <c r="B635" s="65" t="n"/>
      <c r="C635" s="66" t="n"/>
      <c r="D635" s="66" t="n"/>
      <c r="E635" s="65" t="n"/>
      <c r="F635" s="65" t="n"/>
      <c r="G635" s="65" t="n"/>
      <c r="H635" s="65" t="n"/>
      <c r="I635" s="65" t="n"/>
      <c r="J635" s="65" t="n"/>
      <c r="K635" s="65" t="n"/>
      <c r="L635" s="65" t="n"/>
      <c r="M635" s="65" t="n"/>
      <c r="N635" s="65" t="n"/>
      <c r="O635" s="65" t="n"/>
      <c r="P635" s="65" t="n"/>
      <c r="Q635" s="32">
        <f>IF($C635="","",IF($J635="","— חסרים נתונים",IF($J635="טרם מפענח","פרופיל 5",IF($J635="קמץ/פתח/חטף-פתח ושוואים","פרופיל 4",IF($J635="2-3 סימני ניקוד","פרופיל 3",IF($J635="4-5 סימני ניקוד","פרופיל 2",IF(AND($O635="משפטים וקטעים קצרים",OR($M635="מבין",$M635="מבין לרוב")),"פרופיל 1","פרופיל 2")))))))</f>
        <v/>
      </c>
      <c r="R635" s="32">
        <f>IF($C635="","",IF(OR($Q635="",LEFT($Q635,1)="—"),"קבוצה רביעית",IF($Q635="פרופיל 5","קבוצת תשתיות",IF(OR($Q635="פרופיל 4",$Q635="פרופיל 3"),"קבוצת רכישה","קבוצת ביסוס"))))</f>
        <v/>
      </c>
      <c r="S635" s="32">
        <f>IF($F635="","",IF($F635="תחילת שנה",1,IF($F635="מחצית שנה",2,3)))</f>
        <v/>
      </c>
      <c r="T635" s="32">
        <f>IF(OR($B635="",$R635="",$A635="",$F635=""),"",$B635&amp;"|"&amp;$A635&amp;"|"&amp;$F635&amp;"|"&amp;$R635&amp;"|"&amp;COUNTIFS($B$6:$B635,$B635,$A$6:$A635,$A635,$F$6:$F635,$F635,$R$6:$R635,$R635))</f>
        <v/>
      </c>
      <c r="U635" s="32">
        <f>IF($C635="","",$C635&amp;"|"&amp;COUNTIFS($C$6:$C635,$C635))</f>
        <v/>
      </c>
      <c r="V635" s="32">
        <f>IF(OR($C635="",$A635="",$S635=""),"",$C635&amp;"|"&amp;$A635&amp;"|"&amp;$S635)</f>
        <v/>
      </c>
      <c r="W635" s="32">
        <f>IF(OR($C635="",$S635="",$S635=1),"",IFERROR(INDEX($Q$6:$Q$1505,MATCH($C635&amp;"|"&amp;$A635&amp;"|"&amp;($S635-1),$V$6:$V$1505,0)),""))</f>
        <v/>
      </c>
      <c r="X635" s="32">
        <f>IF(OR($W635="",$Q635="",LEFT($Q635,1)="—"),"",IF($W635=$Q635,"ללא שינוי","מ-"&amp;$W635&amp;" ל-"&amp;$Q635))</f>
        <v/>
      </c>
    </row>
    <row r="636" ht="15.75" customHeight="1" s="58">
      <c r="A636" s="65" t="n"/>
      <c r="B636" s="65" t="n"/>
      <c r="C636" s="66" t="n"/>
      <c r="D636" s="66" t="n"/>
      <c r="E636" s="65" t="n"/>
      <c r="F636" s="65" t="n"/>
      <c r="G636" s="65" t="n"/>
      <c r="H636" s="65" t="n"/>
      <c r="I636" s="65" t="n"/>
      <c r="J636" s="65" t="n"/>
      <c r="K636" s="65" t="n"/>
      <c r="L636" s="65" t="n"/>
      <c r="M636" s="65" t="n"/>
      <c r="N636" s="65" t="n"/>
      <c r="O636" s="65" t="n"/>
      <c r="P636" s="65" t="n"/>
      <c r="Q636" s="32">
        <f>IF($C636="","",IF($J636="","— חסרים נתונים",IF($J636="טרם מפענח","פרופיל 5",IF($J636="קמץ/פתח/חטף-פתח ושוואים","פרופיל 4",IF($J636="2-3 סימני ניקוד","פרופיל 3",IF($J636="4-5 סימני ניקוד","פרופיל 2",IF(AND($O636="משפטים וקטעים קצרים",OR($M636="מבין",$M636="מבין לרוב")),"פרופיל 1","פרופיל 2")))))))</f>
        <v/>
      </c>
      <c r="R636" s="32">
        <f>IF($C636="","",IF(OR($Q636="",LEFT($Q636,1)="—"),"קבוצה רביעית",IF($Q636="פרופיל 5","קבוצת תשתיות",IF(OR($Q636="פרופיל 4",$Q636="פרופיל 3"),"קבוצת רכישה","קבוצת ביסוס"))))</f>
        <v/>
      </c>
      <c r="S636" s="32">
        <f>IF($F636="","",IF($F636="תחילת שנה",1,IF($F636="מחצית שנה",2,3)))</f>
        <v/>
      </c>
      <c r="T636" s="32">
        <f>IF(OR($B636="",$R636="",$A636="",$F636=""),"",$B636&amp;"|"&amp;$A636&amp;"|"&amp;$F636&amp;"|"&amp;$R636&amp;"|"&amp;COUNTIFS($B$6:$B636,$B636,$A$6:$A636,$A636,$F$6:$F636,$F636,$R$6:$R636,$R636))</f>
        <v/>
      </c>
      <c r="U636" s="32">
        <f>IF($C636="","",$C636&amp;"|"&amp;COUNTIFS($C$6:$C636,$C636))</f>
        <v/>
      </c>
      <c r="V636" s="32">
        <f>IF(OR($C636="",$A636="",$S636=""),"",$C636&amp;"|"&amp;$A636&amp;"|"&amp;$S636)</f>
        <v/>
      </c>
      <c r="W636" s="32">
        <f>IF(OR($C636="",$S636="",$S636=1),"",IFERROR(INDEX($Q$6:$Q$1505,MATCH($C636&amp;"|"&amp;$A636&amp;"|"&amp;($S636-1),$V$6:$V$1505,0)),""))</f>
        <v/>
      </c>
      <c r="X636" s="32">
        <f>IF(OR($W636="",$Q636="",LEFT($Q636,1)="—"),"",IF($W636=$Q636,"ללא שינוי","מ-"&amp;$W636&amp;" ל-"&amp;$Q636))</f>
        <v/>
      </c>
    </row>
    <row r="637" ht="15.75" customHeight="1" s="58">
      <c r="A637" s="65" t="n"/>
      <c r="B637" s="65" t="n"/>
      <c r="C637" s="66" t="n"/>
      <c r="D637" s="66" t="n"/>
      <c r="E637" s="65" t="n"/>
      <c r="F637" s="65" t="n"/>
      <c r="G637" s="65" t="n"/>
      <c r="H637" s="65" t="n"/>
      <c r="I637" s="65" t="n"/>
      <c r="J637" s="65" t="n"/>
      <c r="K637" s="65" t="n"/>
      <c r="L637" s="65" t="n"/>
      <c r="M637" s="65" t="n"/>
      <c r="N637" s="65" t="n"/>
      <c r="O637" s="65" t="n"/>
      <c r="P637" s="65" t="n"/>
      <c r="Q637" s="32">
        <f>IF($C637="","",IF($J637="","— חסרים נתונים",IF($J637="טרם מפענח","פרופיל 5",IF($J637="קמץ/פתח/חטף-פתח ושוואים","פרופיל 4",IF($J637="2-3 סימני ניקוד","פרופיל 3",IF($J637="4-5 סימני ניקוד","פרופיל 2",IF(AND($O637="משפטים וקטעים קצרים",OR($M637="מבין",$M637="מבין לרוב")),"פרופיל 1","פרופיל 2")))))))</f>
        <v/>
      </c>
      <c r="R637" s="32">
        <f>IF($C637="","",IF(OR($Q637="",LEFT($Q637,1)="—"),"קבוצה רביעית",IF($Q637="פרופיל 5","קבוצת תשתיות",IF(OR($Q637="פרופיל 4",$Q637="פרופיל 3"),"קבוצת רכישה","קבוצת ביסוס"))))</f>
        <v/>
      </c>
      <c r="S637" s="32">
        <f>IF($F637="","",IF($F637="תחילת שנה",1,IF($F637="מחצית שנה",2,3)))</f>
        <v/>
      </c>
      <c r="T637" s="32">
        <f>IF(OR($B637="",$R637="",$A637="",$F637=""),"",$B637&amp;"|"&amp;$A637&amp;"|"&amp;$F637&amp;"|"&amp;$R637&amp;"|"&amp;COUNTIFS($B$6:$B637,$B637,$A$6:$A637,$A637,$F$6:$F637,$F637,$R$6:$R637,$R637))</f>
        <v/>
      </c>
      <c r="U637" s="32">
        <f>IF($C637="","",$C637&amp;"|"&amp;COUNTIFS($C$6:$C637,$C637))</f>
        <v/>
      </c>
      <c r="V637" s="32">
        <f>IF(OR($C637="",$A637="",$S637=""),"",$C637&amp;"|"&amp;$A637&amp;"|"&amp;$S637)</f>
        <v/>
      </c>
      <c r="W637" s="32">
        <f>IF(OR($C637="",$S637="",$S637=1),"",IFERROR(INDEX($Q$6:$Q$1505,MATCH($C637&amp;"|"&amp;$A637&amp;"|"&amp;($S637-1),$V$6:$V$1505,0)),""))</f>
        <v/>
      </c>
      <c r="X637" s="32">
        <f>IF(OR($W637="",$Q637="",LEFT($Q637,1)="—"),"",IF($W637=$Q637,"ללא שינוי","מ-"&amp;$W637&amp;" ל-"&amp;$Q637))</f>
        <v/>
      </c>
    </row>
    <row r="638" ht="15.75" customHeight="1" s="58">
      <c r="A638" s="65" t="n"/>
      <c r="B638" s="65" t="n"/>
      <c r="C638" s="66" t="n"/>
      <c r="D638" s="66" t="n"/>
      <c r="E638" s="65" t="n"/>
      <c r="F638" s="65" t="n"/>
      <c r="G638" s="65" t="n"/>
      <c r="H638" s="65" t="n"/>
      <c r="I638" s="65" t="n"/>
      <c r="J638" s="65" t="n"/>
      <c r="K638" s="65" t="n"/>
      <c r="L638" s="65" t="n"/>
      <c r="M638" s="65" t="n"/>
      <c r="N638" s="65" t="n"/>
      <c r="O638" s="65" t="n"/>
      <c r="P638" s="65" t="n"/>
      <c r="Q638" s="32">
        <f>IF($C638="","",IF($J638="","— חסרים נתונים",IF($J638="טרם מפענח","פרופיל 5",IF($J638="קמץ/פתח/חטף-פתח ושוואים","פרופיל 4",IF($J638="2-3 סימני ניקוד","פרופיל 3",IF($J638="4-5 סימני ניקוד","פרופיל 2",IF(AND($O638="משפטים וקטעים קצרים",OR($M638="מבין",$M638="מבין לרוב")),"פרופיל 1","פרופיל 2")))))))</f>
        <v/>
      </c>
      <c r="R638" s="32">
        <f>IF($C638="","",IF(OR($Q638="",LEFT($Q638,1)="—"),"קבוצה רביעית",IF($Q638="פרופיל 5","קבוצת תשתיות",IF(OR($Q638="פרופיל 4",$Q638="פרופיל 3"),"קבוצת רכישה","קבוצת ביסוס"))))</f>
        <v/>
      </c>
      <c r="S638" s="32">
        <f>IF($F638="","",IF($F638="תחילת שנה",1,IF($F638="מחצית שנה",2,3)))</f>
        <v/>
      </c>
      <c r="T638" s="32">
        <f>IF(OR($B638="",$R638="",$A638="",$F638=""),"",$B638&amp;"|"&amp;$A638&amp;"|"&amp;$F638&amp;"|"&amp;$R638&amp;"|"&amp;COUNTIFS($B$6:$B638,$B638,$A$6:$A638,$A638,$F$6:$F638,$F638,$R$6:$R638,$R638))</f>
        <v/>
      </c>
      <c r="U638" s="32">
        <f>IF($C638="","",$C638&amp;"|"&amp;COUNTIFS($C$6:$C638,$C638))</f>
        <v/>
      </c>
      <c r="V638" s="32">
        <f>IF(OR($C638="",$A638="",$S638=""),"",$C638&amp;"|"&amp;$A638&amp;"|"&amp;$S638)</f>
        <v/>
      </c>
      <c r="W638" s="32">
        <f>IF(OR($C638="",$S638="",$S638=1),"",IFERROR(INDEX($Q$6:$Q$1505,MATCH($C638&amp;"|"&amp;$A638&amp;"|"&amp;($S638-1),$V$6:$V$1505,0)),""))</f>
        <v/>
      </c>
      <c r="X638" s="32">
        <f>IF(OR($W638="",$Q638="",LEFT($Q638,1)="—"),"",IF($W638=$Q638,"ללא שינוי","מ-"&amp;$W638&amp;" ל-"&amp;$Q638))</f>
        <v/>
      </c>
    </row>
    <row r="639" ht="15.75" customHeight="1" s="58">
      <c r="A639" s="65" t="n"/>
      <c r="B639" s="65" t="n"/>
      <c r="C639" s="66" t="n"/>
      <c r="D639" s="66" t="n"/>
      <c r="E639" s="65" t="n"/>
      <c r="F639" s="65" t="n"/>
      <c r="G639" s="65" t="n"/>
      <c r="H639" s="65" t="n"/>
      <c r="I639" s="65" t="n"/>
      <c r="J639" s="65" t="n"/>
      <c r="K639" s="65" t="n"/>
      <c r="L639" s="65" t="n"/>
      <c r="M639" s="65" t="n"/>
      <c r="N639" s="65" t="n"/>
      <c r="O639" s="65" t="n"/>
      <c r="P639" s="65" t="n"/>
      <c r="Q639" s="32">
        <f>IF($C639="","",IF($J639="","— חסרים נתונים",IF($J639="טרם מפענח","פרופיל 5",IF($J639="קמץ/פתח/חטף-פתח ושוואים","פרופיל 4",IF($J639="2-3 סימני ניקוד","פרופיל 3",IF($J639="4-5 סימני ניקוד","פרופיל 2",IF(AND($O639="משפטים וקטעים קצרים",OR($M639="מבין",$M639="מבין לרוב")),"פרופיל 1","פרופיל 2")))))))</f>
        <v/>
      </c>
      <c r="R639" s="32">
        <f>IF($C639="","",IF(OR($Q639="",LEFT($Q639,1)="—"),"קבוצה רביעית",IF($Q639="פרופיל 5","קבוצת תשתיות",IF(OR($Q639="פרופיל 4",$Q639="פרופיל 3"),"קבוצת רכישה","קבוצת ביסוס"))))</f>
        <v/>
      </c>
      <c r="S639" s="32">
        <f>IF($F639="","",IF($F639="תחילת שנה",1,IF($F639="מחצית שנה",2,3)))</f>
        <v/>
      </c>
      <c r="T639" s="32">
        <f>IF(OR($B639="",$R639="",$A639="",$F639=""),"",$B639&amp;"|"&amp;$A639&amp;"|"&amp;$F639&amp;"|"&amp;$R639&amp;"|"&amp;COUNTIFS($B$6:$B639,$B639,$A$6:$A639,$A639,$F$6:$F639,$F639,$R$6:$R639,$R639))</f>
        <v/>
      </c>
      <c r="U639" s="32">
        <f>IF($C639="","",$C639&amp;"|"&amp;COUNTIFS($C$6:$C639,$C639))</f>
        <v/>
      </c>
      <c r="V639" s="32">
        <f>IF(OR($C639="",$A639="",$S639=""),"",$C639&amp;"|"&amp;$A639&amp;"|"&amp;$S639)</f>
        <v/>
      </c>
      <c r="W639" s="32">
        <f>IF(OR($C639="",$S639="",$S639=1),"",IFERROR(INDEX($Q$6:$Q$1505,MATCH($C639&amp;"|"&amp;$A639&amp;"|"&amp;($S639-1),$V$6:$V$1505,0)),""))</f>
        <v/>
      </c>
      <c r="X639" s="32">
        <f>IF(OR($W639="",$Q639="",LEFT($Q639,1)="—"),"",IF($W639=$Q639,"ללא שינוי","מ-"&amp;$W639&amp;" ל-"&amp;$Q639))</f>
        <v/>
      </c>
    </row>
    <row r="640" ht="15.75" customHeight="1" s="58">
      <c r="A640" s="65" t="n"/>
      <c r="B640" s="65" t="n"/>
      <c r="C640" s="66" t="n"/>
      <c r="D640" s="66" t="n"/>
      <c r="E640" s="65" t="n"/>
      <c r="F640" s="65" t="n"/>
      <c r="G640" s="65" t="n"/>
      <c r="H640" s="65" t="n"/>
      <c r="I640" s="65" t="n"/>
      <c r="J640" s="65" t="n"/>
      <c r="K640" s="65" t="n"/>
      <c r="L640" s="65" t="n"/>
      <c r="M640" s="65" t="n"/>
      <c r="N640" s="65" t="n"/>
      <c r="O640" s="65" t="n"/>
      <c r="P640" s="65" t="n"/>
      <c r="Q640" s="32">
        <f>IF($C640="","",IF($J640="","— חסרים נתונים",IF($J640="טרם מפענח","פרופיל 5",IF($J640="קמץ/פתח/חטף-פתח ושוואים","פרופיל 4",IF($J640="2-3 סימני ניקוד","פרופיל 3",IF($J640="4-5 סימני ניקוד","פרופיל 2",IF(AND($O640="משפטים וקטעים קצרים",OR($M640="מבין",$M640="מבין לרוב")),"פרופיל 1","פרופיל 2")))))))</f>
        <v/>
      </c>
      <c r="R640" s="32">
        <f>IF($C640="","",IF(OR($Q640="",LEFT($Q640,1)="—"),"קבוצה רביעית",IF($Q640="פרופיל 5","קבוצת תשתיות",IF(OR($Q640="פרופיל 4",$Q640="פרופיל 3"),"קבוצת רכישה","קבוצת ביסוס"))))</f>
        <v/>
      </c>
      <c r="S640" s="32">
        <f>IF($F640="","",IF($F640="תחילת שנה",1,IF($F640="מחצית שנה",2,3)))</f>
        <v/>
      </c>
      <c r="T640" s="32">
        <f>IF(OR($B640="",$R640="",$A640="",$F640=""),"",$B640&amp;"|"&amp;$A640&amp;"|"&amp;$F640&amp;"|"&amp;$R640&amp;"|"&amp;COUNTIFS($B$6:$B640,$B640,$A$6:$A640,$A640,$F$6:$F640,$F640,$R$6:$R640,$R640))</f>
        <v/>
      </c>
      <c r="U640" s="32">
        <f>IF($C640="","",$C640&amp;"|"&amp;COUNTIFS($C$6:$C640,$C640))</f>
        <v/>
      </c>
      <c r="V640" s="32">
        <f>IF(OR($C640="",$A640="",$S640=""),"",$C640&amp;"|"&amp;$A640&amp;"|"&amp;$S640)</f>
        <v/>
      </c>
      <c r="W640" s="32">
        <f>IF(OR($C640="",$S640="",$S640=1),"",IFERROR(INDEX($Q$6:$Q$1505,MATCH($C640&amp;"|"&amp;$A640&amp;"|"&amp;($S640-1),$V$6:$V$1505,0)),""))</f>
        <v/>
      </c>
      <c r="X640" s="32">
        <f>IF(OR($W640="",$Q640="",LEFT($Q640,1)="—"),"",IF($W640=$Q640,"ללא שינוי","מ-"&amp;$W640&amp;" ל-"&amp;$Q640))</f>
        <v/>
      </c>
    </row>
    <row r="641" ht="15.75" customHeight="1" s="58">
      <c r="A641" s="65" t="n"/>
      <c r="B641" s="65" t="n"/>
      <c r="C641" s="66" t="n"/>
      <c r="D641" s="66" t="n"/>
      <c r="E641" s="65" t="n"/>
      <c r="F641" s="65" t="n"/>
      <c r="G641" s="65" t="n"/>
      <c r="H641" s="65" t="n"/>
      <c r="I641" s="65" t="n"/>
      <c r="J641" s="65" t="n"/>
      <c r="K641" s="65" t="n"/>
      <c r="L641" s="65" t="n"/>
      <c r="M641" s="65" t="n"/>
      <c r="N641" s="65" t="n"/>
      <c r="O641" s="65" t="n"/>
      <c r="P641" s="65" t="n"/>
      <c r="Q641" s="32">
        <f>IF($C641="","",IF($J641="","— חסרים נתונים",IF($J641="טרם מפענח","פרופיל 5",IF($J641="קמץ/פתח/חטף-פתח ושוואים","פרופיל 4",IF($J641="2-3 סימני ניקוד","פרופיל 3",IF($J641="4-5 סימני ניקוד","פרופיל 2",IF(AND($O641="משפטים וקטעים קצרים",OR($M641="מבין",$M641="מבין לרוב")),"פרופיל 1","פרופיל 2")))))))</f>
        <v/>
      </c>
      <c r="R641" s="32">
        <f>IF($C641="","",IF(OR($Q641="",LEFT($Q641,1)="—"),"קבוצה רביעית",IF($Q641="פרופיל 5","קבוצת תשתיות",IF(OR($Q641="פרופיל 4",$Q641="פרופיל 3"),"קבוצת רכישה","קבוצת ביסוס"))))</f>
        <v/>
      </c>
      <c r="S641" s="32">
        <f>IF($F641="","",IF($F641="תחילת שנה",1,IF($F641="מחצית שנה",2,3)))</f>
        <v/>
      </c>
      <c r="T641" s="32">
        <f>IF(OR($B641="",$R641="",$A641="",$F641=""),"",$B641&amp;"|"&amp;$A641&amp;"|"&amp;$F641&amp;"|"&amp;$R641&amp;"|"&amp;COUNTIFS($B$6:$B641,$B641,$A$6:$A641,$A641,$F$6:$F641,$F641,$R$6:$R641,$R641))</f>
        <v/>
      </c>
      <c r="U641" s="32">
        <f>IF($C641="","",$C641&amp;"|"&amp;COUNTIFS($C$6:$C641,$C641))</f>
        <v/>
      </c>
      <c r="V641" s="32">
        <f>IF(OR($C641="",$A641="",$S641=""),"",$C641&amp;"|"&amp;$A641&amp;"|"&amp;$S641)</f>
        <v/>
      </c>
      <c r="W641" s="32">
        <f>IF(OR($C641="",$S641="",$S641=1),"",IFERROR(INDEX($Q$6:$Q$1505,MATCH($C641&amp;"|"&amp;$A641&amp;"|"&amp;($S641-1),$V$6:$V$1505,0)),""))</f>
        <v/>
      </c>
      <c r="X641" s="32">
        <f>IF(OR($W641="",$Q641="",LEFT($Q641,1)="—"),"",IF($W641=$Q641,"ללא שינוי","מ-"&amp;$W641&amp;" ל-"&amp;$Q641))</f>
        <v/>
      </c>
    </row>
    <row r="642" ht="15.75" customHeight="1" s="58">
      <c r="A642" s="65" t="n"/>
      <c r="B642" s="65" t="n"/>
      <c r="C642" s="66" t="n"/>
      <c r="D642" s="66" t="n"/>
      <c r="E642" s="65" t="n"/>
      <c r="F642" s="65" t="n"/>
      <c r="G642" s="65" t="n"/>
      <c r="H642" s="65" t="n"/>
      <c r="I642" s="65" t="n"/>
      <c r="J642" s="65" t="n"/>
      <c r="K642" s="65" t="n"/>
      <c r="L642" s="65" t="n"/>
      <c r="M642" s="65" t="n"/>
      <c r="N642" s="65" t="n"/>
      <c r="O642" s="65" t="n"/>
      <c r="P642" s="65" t="n"/>
      <c r="Q642" s="32">
        <f>IF($C642="","",IF($J642="","— חסרים נתונים",IF($J642="טרם מפענח","פרופיל 5",IF($J642="קמץ/פתח/חטף-פתח ושוואים","פרופיל 4",IF($J642="2-3 סימני ניקוד","פרופיל 3",IF($J642="4-5 סימני ניקוד","פרופיל 2",IF(AND($O642="משפטים וקטעים קצרים",OR($M642="מבין",$M642="מבין לרוב")),"פרופיל 1","פרופיל 2")))))))</f>
        <v/>
      </c>
      <c r="R642" s="32">
        <f>IF($C642="","",IF(OR($Q642="",LEFT($Q642,1)="—"),"קבוצה רביעית",IF($Q642="פרופיל 5","קבוצת תשתיות",IF(OR($Q642="פרופיל 4",$Q642="פרופיל 3"),"קבוצת רכישה","קבוצת ביסוס"))))</f>
        <v/>
      </c>
      <c r="S642" s="32">
        <f>IF($F642="","",IF($F642="תחילת שנה",1,IF($F642="מחצית שנה",2,3)))</f>
        <v/>
      </c>
      <c r="T642" s="32">
        <f>IF(OR($B642="",$R642="",$A642="",$F642=""),"",$B642&amp;"|"&amp;$A642&amp;"|"&amp;$F642&amp;"|"&amp;$R642&amp;"|"&amp;COUNTIFS($B$6:$B642,$B642,$A$6:$A642,$A642,$F$6:$F642,$F642,$R$6:$R642,$R642))</f>
        <v/>
      </c>
      <c r="U642" s="32">
        <f>IF($C642="","",$C642&amp;"|"&amp;COUNTIFS($C$6:$C642,$C642))</f>
        <v/>
      </c>
      <c r="V642" s="32">
        <f>IF(OR($C642="",$A642="",$S642=""),"",$C642&amp;"|"&amp;$A642&amp;"|"&amp;$S642)</f>
        <v/>
      </c>
      <c r="W642" s="32">
        <f>IF(OR($C642="",$S642="",$S642=1),"",IFERROR(INDEX($Q$6:$Q$1505,MATCH($C642&amp;"|"&amp;$A642&amp;"|"&amp;($S642-1),$V$6:$V$1505,0)),""))</f>
        <v/>
      </c>
      <c r="X642" s="32">
        <f>IF(OR($W642="",$Q642="",LEFT($Q642,1)="—"),"",IF($W642=$Q642,"ללא שינוי","מ-"&amp;$W642&amp;" ל-"&amp;$Q642))</f>
        <v/>
      </c>
    </row>
    <row r="643" ht="15.75" customHeight="1" s="58">
      <c r="A643" s="65" t="n"/>
      <c r="B643" s="65" t="n"/>
      <c r="C643" s="66" t="n"/>
      <c r="D643" s="66" t="n"/>
      <c r="E643" s="65" t="n"/>
      <c r="F643" s="65" t="n"/>
      <c r="G643" s="65" t="n"/>
      <c r="H643" s="65" t="n"/>
      <c r="I643" s="65" t="n"/>
      <c r="J643" s="65" t="n"/>
      <c r="K643" s="65" t="n"/>
      <c r="L643" s="65" t="n"/>
      <c r="M643" s="65" t="n"/>
      <c r="N643" s="65" t="n"/>
      <c r="O643" s="65" t="n"/>
      <c r="P643" s="65" t="n"/>
      <c r="Q643" s="32">
        <f>IF($C643="","",IF($J643="","— חסרים נתונים",IF($J643="טרם מפענח","פרופיל 5",IF($J643="קמץ/פתח/חטף-פתח ושוואים","פרופיל 4",IF($J643="2-3 סימני ניקוד","פרופיל 3",IF($J643="4-5 סימני ניקוד","פרופיל 2",IF(AND($O643="משפטים וקטעים קצרים",OR($M643="מבין",$M643="מבין לרוב")),"פרופיל 1","פרופיל 2")))))))</f>
        <v/>
      </c>
      <c r="R643" s="32">
        <f>IF($C643="","",IF(OR($Q643="",LEFT($Q643,1)="—"),"קבוצה רביעית",IF($Q643="פרופיל 5","קבוצת תשתיות",IF(OR($Q643="פרופיל 4",$Q643="פרופיל 3"),"קבוצת רכישה","קבוצת ביסוס"))))</f>
        <v/>
      </c>
      <c r="S643" s="32">
        <f>IF($F643="","",IF($F643="תחילת שנה",1,IF($F643="מחצית שנה",2,3)))</f>
        <v/>
      </c>
      <c r="T643" s="32">
        <f>IF(OR($B643="",$R643="",$A643="",$F643=""),"",$B643&amp;"|"&amp;$A643&amp;"|"&amp;$F643&amp;"|"&amp;$R643&amp;"|"&amp;COUNTIFS($B$6:$B643,$B643,$A$6:$A643,$A643,$F$6:$F643,$F643,$R$6:$R643,$R643))</f>
        <v/>
      </c>
      <c r="U643" s="32">
        <f>IF($C643="","",$C643&amp;"|"&amp;COUNTIFS($C$6:$C643,$C643))</f>
        <v/>
      </c>
      <c r="V643" s="32">
        <f>IF(OR($C643="",$A643="",$S643=""),"",$C643&amp;"|"&amp;$A643&amp;"|"&amp;$S643)</f>
        <v/>
      </c>
      <c r="W643" s="32">
        <f>IF(OR($C643="",$S643="",$S643=1),"",IFERROR(INDEX($Q$6:$Q$1505,MATCH($C643&amp;"|"&amp;$A643&amp;"|"&amp;($S643-1),$V$6:$V$1505,0)),""))</f>
        <v/>
      </c>
      <c r="X643" s="32">
        <f>IF(OR($W643="",$Q643="",LEFT($Q643,1)="—"),"",IF($W643=$Q643,"ללא שינוי","מ-"&amp;$W643&amp;" ל-"&amp;$Q643))</f>
        <v/>
      </c>
    </row>
    <row r="644" ht="15.75" customHeight="1" s="58">
      <c r="A644" s="65" t="n"/>
      <c r="B644" s="65" t="n"/>
      <c r="C644" s="66" t="n"/>
      <c r="D644" s="66" t="n"/>
      <c r="E644" s="65" t="n"/>
      <c r="F644" s="65" t="n"/>
      <c r="G644" s="65" t="n"/>
      <c r="H644" s="65" t="n"/>
      <c r="I644" s="65" t="n"/>
      <c r="J644" s="65" t="n"/>
      <c r="K644" s="65" t="n"/>
      <c r="L644" s="65" t="n"/>
      <c r="M644" s="65" t="n"/>
      <c r="N644" s="65" t="n"/>
      <c r="O644" s="65" t="n"/>
      <c r="P644" s="65" t="n"/>
      <c r="Q644" s="32">
        <f>IF($C644="","",IF($J644="","— חסרים נתונים",IF($J644="טרם מפענח","פרופיל 5",IF($J644="קמץ/פתח/חטף-פתח ושוואים","פרופיל 4",IF($J644="2-3 סימני ניקוד","פרופיל 3",IF($J644="4-5 סימני ניקוד","פרופיל 2",IF(AND($O644="משפטים וקטעים קצרים",OR($M644="מבין",$M644="מבין לרוב")),"פרופיל 1","פרופיל 2")))))))</f>
        <v/>
      </c>
      <c r="R644" s="32">
        <f>IF($C644="","",IF(OR($Q644="",LEFT($Q644,1)="—"),"קבוצה רביעית",IF($Q644="פרופיל 5","קבוצת תשתיות",IF(OR($Q644="פרופיל 4",$Q644="פרופיל 3"),"קבוצת רכישה","קבוצת ביסוס"))))</f>
        <v/>
      </c>
      <c r="S644" s="32">
        <f>IF($F644="","",IF($F644="תחילת שנה",1,IF($F644="מחצית שנה",2,3)))</f>
        <v/>
      </c>
      <c r="T644" s="32">
        <f>IF(OR($B644="",$R644="",$A644="",$F644=""),"",$B644&amp;"|"&amp;$A644&amp;"|"&amp;$F644&amp;"|"&amp;$R644&amp;"|"&amp;COUNTIFS($B$6:$B644,$B644,$A$6:$A644,$A644,$F$6:$F644,$F644,$R$6:$R644,$R644))</f>
        <v/>
      </c>
      <c r="U644" s="32">
        <f>IF($C644="","",$C644&amp;"|"&amp;COUNTIFS($C$6:$C644,$C644))</f>
        <v/>
      </c>
      <c r="V644" s="32">
        <f>IF(OR($C644="",$A644="",$S644=""),"",$C644&amp;"|"&amp;$A644&amp;"|"&amp;$S644)</f>
        <v/>
      </c>
      <c r="W644" s="32">
        <f>IF(OR($C644="",$S644="",$S644=1),"",IFERROR(INDEX($Q$6:$Q$1505,MATCH($C644&amp;"|"&amp;$A644&amp;"|"&amp;($S644-1),$V$6:$V$1505,0)),""))</f>
        <v/>
      </c>
      <c r="X644" s="32">
        <f>IF(OR($W644="",$Q644="",LEFT($Q644,1)="—"),"",IF($W644=$Q644,"ללא שינוי","מ-"&amp;$W644&amp;" ל-"&amp;$Q644))</f>
        <v/>
      </c>
    </row>
    <row r="645" ht="15.75" customHeight="1" s="58">
      <c r="A645" s="65" t="n"/>
      <c r="B645" s="65" t="n"/>
      <c r="C645" s="66" t="n"/>
      <c r="D645" s="66" t="n"/>
      <c r="E645" s="65" t="n"/>
      <c r="F645" s="65" t="n"/>
      <c r="G645" s="65" t="n"/>
      <c r="H645" s="65" t="n"/>
      <c r="I645" s="65" t="n"/>
      <c r="J645" s="65" t="n"/>
      <c r="K645" s="65" t="n"/>
      <c r="L645" s="65" t="n"/>
      <c r="M645" s="65" t="n"/>
      <c r="N645" s="65" t="n"/>
      <c r="O645" s="65" t="n"/>
      <c r="P645" s="65" t="n"/>
      <c r="Q645" s="32">
        <f>IF($C645="","",IF($J645="","— חסרים נתונים",IF($J645="טרם מפענח","פרופיל 5",IF($J645="קמץ/פתח/חטף-פתח ושוואים","פרופיל 4",IF($J645="2-3 סימני ניקוד","פרופיל 3",IF($J645="4-5 סימני ניקוד","פרופיל 2",IF(AND($O645="משפטים וקטעים קצרים",OR($M645="מבין",$M645="מבין לרוב")),"פרופיל 1","פרופיל 2")))))))</f>
        <v/>
      </c>
      <c r="R645" s="32">
        <f>IF($C645="","",IF(OR($Q645="",LEFT($Q645,1)="—"),"קבוצה רביעית",IF($Q645="פרופיל 5","קבוצת תשתיות",IF(OR($Q645="פרופיל 4",$Q645="פרופיל 3"),"קבוצת רכישה","קבוצת ביסוס"))))</f>
        <v/>
      </c>
      <c r="S645" s="32">
        <f>IF($F645="","",IF($F645="תחילת שנה",1,IF($F645="מחצית שנה",2,3)))</f>
        <v/>
      </c>
      <c r="T645" s="32">
        <f>IF(OR($B645="",$R645="",$A645="",$F645=""),"",$B645&amp;"|"&amp;$A645&amp;"|"&amp;$F645&amp;"|"&amp;$R645&amp;"|"&amp;COUNTIFS($B$6:$B645,$B645,$A$6:$A645,$A645,$F$6:$F645,$F645,$R$6:$R645,$R645))</f>
        <v/>
      </c>
      <c r="U645" s="32">
        <f>IF($C645="","",$C645&amp;"|"&amp;COUNTIFS($C$6:$C645,$C645))</f>
        <v/>
      </c>
      <c r="V645" s="32">
        <f>IF(OR($C645="",$A645="",$S645=""),"",$C645&amp;"|"&amp;$A645&amp;"|"&amp;$S645)</f>
        <v/>
      </c>
      <c r="W645" s="32">
        <f>IF(OR($C645="",$S645="",$S645=1),"",IFERROR(INDEX($Q$6:$Q$1505,MATCH($C645&amp;"|"&amp;$A645&amp;"|"&amp;($S645-1),$V$6:$V$1505,0)),""))</f>
        <v/>
      </c>
      <c r="X645" s="32">
        <f>IF(OR($W645="",$Q645="",LEFT($Q645,1)="—"),"",IF($W645=$Q645,"ללא שינוי","מ-"&amp;$W645&amp;" ל-"&amp;$Q645))</f>
        <v/>
      </c>
    </row>
    <row r="646" ht="15.75" customHeight="1" s="58">
      <c r="A646" s="65" t="n"/>
      <c r="B646" s="65" t="n"/>
      <c r="C646" s="66" t="n"/>
      <c r="D646" s="66" t="n"/>
      <c r="E646" s="65" t="n"/>
      <c r="F646" s="65" t="n"/>
      <c r="G646" s="65" t="n"/>
      <c r="H646" s="65" t="n"/>
      <c r="I646" s="65" t="n"/>
      <c r="J646" s="65" t="n"/>
      <c r="K646" s="65" t="n"/>
      <c r="L646" s="65" t="n"/>
      <c r="M646" s="65" t="n"/>
      <c r="N646" s="65" t="n"/>
      <c r="O646" s="65" t="n"/>
      <c r="P646" s="65" t="n"/>
      <c r="Q646" s="32">
        <f>IF($C646="","",IF($J646="","— חסרים נתונים",IF($J646="טרם מפענח","פרופיל 5",IF($J646="קמץ/פתח/חטף-פתח ושוואים","פרופיל 4",IF($J646="2-3 סימני ניקוד","פרופיל 3",IF($J646="4-5 סימני ניקוד","פרופיל 2",IF(AND($O646="משפטים וקטעים קצרים",OR($M646="מבין",$M646="מבין לרוב")),"פרופיל 1","פרופיל 2")))))))</f>
        <v/>
      </c>
      <c r="R646" s="32">
        <f>IF($C646="","",IF(OR($Q646="",LEFT($Q646,1)="—"),"קבוצה רביעית",IF($Q646="פרופיל 5","קבוצת תשתיות",IF(OR($Q646="פרופיל 4",$Q646="פרופיל 3"),"קבוצת רכישה","קבוצת ביסוס"))))</f>
        <v/>
      </c>
      <c r="S646" s="32">
        <f>IF($F646="","",IF($F646="תחילת שנה",1,IF($F646="מחצית שנה",2,3)))</f>
        <v/>
      </c>
      <c r="T646" s="32">
        <f>IF(OR($B646="",$R646="",$A646="",$F646=""),"",$B646&amp;"|"&amp;$A646&amp;"|"&amp;$F646&amp;"|"&amp;$R646&amp;"|"&amp;COUNTIFS($B$6:$B646,$B646,$A$6:$A646,$A646,$F$6:$F646,$F646,$R$6:$R646,$R646))</f>
        <v/>
      </c>
      <c r="U646" s="32">
        <f>IF($C646="","",$C646&amp;"|"&amp;COUNTIFS($C$6:$C646,$C646))</f>
        <v/>
      </c>
      <c r="V646" s="32">
        <f>IF(OR($C646="",$A646="",$S646=""),"",$C646&amp;"|"&amp;$A646&amp;"|"&amp;$S646)</f>
        <v/>
      </c>
      <c r="W646" s="32">
        <f>IF(OR($C646="",$S646="",$S646=1),"",IFERROR(INDEX($Q$6:$Q$1505,MATCH($C646&amp;"|"&amp;$A646&amp;"|"&amp;($S646-1),$V$6:$V$1505,0)),""))</f>
        <v/>
      </c>
      <c r="X646" s="32">
        <f>IF(OR($W646="",$Q646="",LEFT($Q646,1)="—"),"",IF($W646=$Q646,"ללא שינוי","מ-"&amp;$W646&amp;" ל-"&amp;$Q646))</f>
        <v/>
      </c>
    </row>
    <row r="647" ht="15.75" customHeight="1" s="58">
      <c r="A647" s="65" t="n"/>
      <c r="B647" s="65" t="n"/>
      <c r="C647" s="66" t="n"/>
      <c r="D647" s="66" t="n"/>
      <c r="E647" s="65" t="n"/>
      <c r="F647" s="65" t="n"/>
      <c r="G647" s="65" t="n"/>
      <c r="H647" s="65" t="n"/>
      <c r="I647" s="65" t="n"/>
      <c r="J647" s="65" t="n"/>
      <c r="K647" s="65" t="n"/>
      <c r="L647" s="65" t="n"/>
      <c r="M647" s="65" t="n"/>
      <c r="N647" s="65" t="n"/>
      <c r="O647" s="65" t="n"/>
      <c r="P647" s="65" t="n"/>
      <c r="Q647" s="32">
        <f>IF($C647="","",IF($J647="","— חסרים נתונים",IF($J647="טרם מפענח","פרופיל 5",IF($J647="קמץ/פתח/חטף-פתח ושוואים","פרופיל 4",IF($J647="2-3 סימני ניקוד","פרופיל 3",IF($J647="4-5 סימני ניקוד","פרופיל 2",IF(AND($O647="משפטים וקטעים קצרים",OR($M647="מבין",$M647="מבין לרוב")),"פרופיל 1","פרופיל 2")))))))</f>
        <v/>
      </c>
      <c r="R647" s="32">
        <f>IF($C647="","",IF(OR($Q647="",LEFT($Q647,1)="—"),"קבוצה רביעית",IF($Q647="פרופיל 5","קבוצת תשתיות",IF(OR($Q647="פרופיל 4",$Q647="פרופיל 3"),"קבוצת רכישה","קבוצת ביסוס"))))</f>
        <v/>
      </c>
      <c r="S647" s="32">
        <f>IF($F647="","",IF($F647="תחילת שנה",1,IF($F647="מחצית שנה",2,3)))</f>
        <v/>
      </c>
      <c r="T647" s="32">
        <f>IF(OR($B647="",$R647="",$A647="",$F647=""),"",$B647&amp;"|"&amp;$A647&amp;"|"&amp;$F647&amp;"|"&amp;$R647&amp;"|"&amp;COUNTIFS($B$6:$B647,$B647,$A$6:$A647,$A647,$F$6:$F647,$F647,$R$6:$R647,$R647))</f>
        <v/>
      </c>
      <c r="U647" s="32">
        <f>IF($C647="","",$C647&amp;"|"&amp;COUNTIFS($C$6:$C647,$C647))</f>
        <v/>
      </c>
      <c r="V647" s="32">
        <f>IF(OR($C647="",$A647="",$S647=""),"",$C647&amp;"|"&amp;$A647&amp;"|"&amp;$S647)</f>
        <v/>
      </c>
      <c r="W647" s="32">
        <f>IF(OR($C647="",$S647="",$S647=1),"",IFERROR(INDEX($Q$6:$Q$1505,MATCH($C647&amp;"|"&amp;$A647&amp;"|"&amp;($S647-1),$V$6:$V$1505,0)),""))</f>
        <v/>
      </c>
      <c r="X647" s="32">
        <f>IF(OR($W647="",$Q647="",LEFT($Q647,1)="—"),"",IF($W647=$Q647,"ללא שינוי","מ-"&amp;$W647&amp;" ל-"&amp;$Q647))</f>
        <v/>
      </c>
    </row>
    <row r="648" ht="15.75" customHeight="1" s="58">
      <c r="A648" s="65" t="n"/>
      <c r="B648" s="65" t="n"/>
      <c r="C648" s="66" t="n"/>
      <c r="D648" s="66" t="n"/>
      <c r="E648" s="65" t="n"/>
      <c r="F648" s="65" t="n"/>
      <c r="G648" s="65" t="n"/>
      <c r="H648" s="65" t="n"/>
      <c r="I648" s="65" t="n"/>
      <c r="J648" s="65" t="n"/>
      <c r="K648" s="65" t="n"/>
      <c r="L648" s="65" t="n"/>
      <c r="M648" s="65" t="n"/>
      <c r="N648" s="65" t="n"/>
      <c r="O648" s="65" t="n"/>
      <c r="P648" s="65" t="n"/>
      <c r="Q648" s="32">
        <f>IF($C648="","",IF($J648="","— חסרים נתונים",IF($J648="טרם מפענח","פרופיל 5",IF($J648="קמץ/פתח/חטף-פתח ושוואים","פרופיל 4",IF($J648="2-3 סימני ניקוד","פרופיל 3",IF($J648="4-5 סימני ניקוד","פרופיל 2",IF(AND($O648="משפטים וקטעים קצרים",OR($M648="מבין",$M648="מבין לרוב")),"פרופיל 1","פרופיל 2")))))))</f>
        <v/>
      </c>
      <c r="R648" s="32">
        <f>IF($C648="","",IF(OR($Q648="",LEFT($Q648,1)="—"),"קבוצה רביעית",IF($Q648="פרופיל 5","קבוצת תשתיות",IF(OR($Q648="פרופיל 4",$Q648="פרופיל 3"),"קבוצת רכישה","קבוצת ביסוס"))))</f>
        <v/>
      </c>
      <c r="S648" s="32">
        <f>IF($F648="","",IF($F648="תחילת שנה",1,IF($F648="מחצית שנה",2,3)))</f>
        <v/>
      </c>
      <c r="T648" s="32">
        <f>IF(OR($B648="",$R648="",$A648="",$F648=""),"",$B648&amp;"|"&amp;$A648&amp;"|"&amp;$F648&amp;"|"&amp;$R648&amp;"|"&amp;COUNTIFS($B$6:$B648,$B648,$A$6:$A648,$A648,$F$6:$F648,$F648,$R$6:$R648,$R648))</f>
        <v/>
      </c>
      <c r="U648" s="32">
        <f>IF($C648="","",$C648&amp;"|"&amp;COUNTIFS($C$6:$C648,$C648))</f>
        <v/>
      </c>
      <c r="V648" s="32">
        <f>IF(OR($C648="",$A648="",$S648=""),"",$C648&amp;"|"&amp;$A648&amp;"|"&amp;$S648)</f>
        <v/>
      </c>
      <c r="W648" s="32">
        <f>IF(OR($C648="",$S648="",$S648=1),"",IFERROR(INDEX($Q$6:$Q$1505,MATCH($C648&amp;"|"&amp;$A648&amp;"|"&amp;($S648-1),$V$6:$V$1505,0)),""))</f>
        <v/>
      </c>
      <c r="X648" s="32">
        <f>IF(OR($W648="",$Q648="",LEFT($Q648,1)="—"),"",IF($W648=$Q648,"ללא שינוי","מ-"&amp;$W648&amp;" ל-"&amp;$Q648))</f>
        <v/>
      </c>
    </row>
    <row r="649" ht="15.75" customHeight="1" s="58">
      <c r="A649" s="65" t="n"/>
      <c r="B649" s="65" t="n"/>
      <c r="C649" s="66" t="n"/>
      <c r="D649" s="66" t="n"/>
      <c r="E649" s="65" t="n"/>
      <c r="F649" s="65" t="n"/>
      <c r="G649" s="65" t="n"/>
      <c r="H649" s="65" t="n"/>
      <c r="I649" s="65" t="n"/>
      <c r="J649" s="65" t="n"/>
      <c r="K649" s="65" t="n"/>
      <c r="L649" s="65" t="n"/>
      <c r="M649" s="65" t="n"/>
      <c r="N649" s="65" t="n"/>
      <c r="O649" s="65" t="n"/>
      <c r="P649" s="65" t="n"/>
      <c r="Q649" s="32">
        <f>IF($C649="","",IF($J649="","— חסרים נתונים",IF($J649="טרם מפענח","פרופיל 5",IF($J649="קמץ/פתח/חטף-פתח ושוואים","פרופיל 4",IF($J649="2-3 סימני ניקוד","פרופיל 3",IF($J649="4-5 סימני ניקוד","פרופיל 2",IF(AND($O649="משפטים וקטעים קצרים",OR($M649="מבין",$M649="מבין לרוב")),"פרופיל 1","פרופיל 2")))))))</f>
        <v/>
      </c>
      <c r="R649" s="32">
        <f>IF($C649="","",IF(OR($Q649="",LEFT($Q649,1)="—"),"קבוצה רביעית",IF($Q649="פרופיל 5","קבוצת תשתיות",IF(OR($Q649="פרופיל 4",$Q649="פרופיל 3"),"קבוצת רכישה","קבוצת ביסוס"))))</f>
        <v/>
      </c>
      <c r="S649" s="32">
        <f>IF($F649="","",IF($F649="תחילת שנה",1,IF($F649="מחצית שנה",2,3)))</f>
        <v/>
      </c>
      <c r="T649" s="32">
        <f>IF(OR($B649="",$R649="",$A649="",$F649=""),"",$B649&amp;"|"&amp;$A649&amp;"|"&amp;$F649&amp;"|"&amp;$R649&amp;"|"&amp;COUNTIFS($B$6:$B649,$B649,$A$6:$A649,$A649,$F$6:$F649,$F649,$R$6:$R649,$R649))</f>
        <v/>
      </c>
      <c r="U649" s="32">
        <f>IF($C649="","",$C649&amp;"|"&amp;COUNTIFS($C$6:$C649,$C649))</f>
        <v/>
      </c>
      <c r="V649" s="32">
        <f>IF(OR($C649="",$A649="",$S649=""),"",$C649&amp;"|"&amp;$A649&amp;"|"&amp;$S649)</f>
        <v/>
      </c>
      <c r="W649" s="32">
        <f>IF(OR($C649="",$S649="",$S649=1),"",IFERROR(INDEX($Q$6:$Q$1505,MATCH($C649&amp;"|"&amp;$A649&amp;"|"&amp;($S649-1),$V$6:$V$1505,0)),""))</f>
        <v/>
      </c>
      <c r="X649" s="32">
        <f>IF(OR($W649="",$Q649="",LEFT($Q649,1)="—"),"",IF($W649=$Q649,"ללא שינוי","מ-"&amp;$W649&amp;" ל-"&amp;$Q649))</f>
        <v/>
      </c>
    </row>
    <row r="650" ht="15.75" customHeight="1" s="58">
      <c r="A650" s="65" t="n"/>
      <c r="B650" s="65" t="n"/>
      <c r="C650" s="66" t="n"/>
      <c r="D650" s="66" t="n"/>
      <c r="E650" s="65" t="n"/>
      <c r="F650" s="65" t="n"/>
      <c r="G650" s="65" t="n"/>
      <c r="H650" s="65" t="n"/>
      <c r="I650" s="65" t="n"/>
      <c r="J650" s="65" t="n"/>
      <c r="K650" s="65" t="n"/>
      <c r="L650" s="65" t="n"/>
      <c r="M650" s="65" t="n"/>
      <c r="N650" s="65" t="n"/>
      <c r="O650" s="65" t="n"/>
      <c r="P650" s="65" t="n"/>
      <c r="Q650" s="32">
        <f>IF($C650="","",IF($J650="","— חסרים נתונים",IF($J650="טרם מפענח","פרופיל 5",IF($J650="קמץ/פתח/חטף-פתח ושוואים","פרופיל 4",IF($J650="2-3 סימני ניקוד","פרופיל 3",IF($J650="4-5 סימני ניקוד","פרופיל 2",IF(AND($O650="משפטים וקטעים קצרים",OR($M650="מבין",$M650="מבין לרוב")),"פרופיל 1","פרופיל 2")))))))</f>
        <v/>
      </c>
      <c r="R650" s="32">
        <f>IF($C650="","",IF(OR($Q650="",LEFT($Q650,1)="—"),"קבוצה רביעית",IF($Q650="פרופיל 5","קבוצת תשתיות",IF(OR($Q650="פרופיל 4",$Q650="פרופיל 3"),"קבוצת רכישה","קבוצת ביסוס"))))</f>
        <v/>
      </c>
      <c r="S650" s="32">
        <f>IF($F650="","",IF($F650="תחילת שנה",1,IF($F650="מחצית שנה",2,3)))</f>
        <v/>
      </c>
      <c r="T650" s="32">
        <f>IF(OR($B650="",$R650="",$A650="",$F650=""),"",$B650&amp;"|"&amp;$A650&amp;"|"&amp;$F650&amp;"|"&amp;$R650&amp;"|"&amp;COUNTIFS($B$6:$B650,$B650,$A$6:$A650,$A650,$F$6:$F650,$F650,$R$6:$R650,$R650))</f>
        <v/>
      </c>
      <c r="U650" s="32">
        <f>IF($C650="","",$C650&amp;"|"&amp;COUNTIFS($C$6:$C650,$C650))</f>
        <v/>
      </c>
      <c r="V650" s="32">
        <f>IF(OR($C650="",$A650="",$S650=""),"",$C650&amp;"|"&amp;$A650&amp;"|"&amp;$S650)</f>
        <v/>
      </c>
      <c r="W650" s="32">
        <f>IF(OR($C650="",$S650="",$S650=1),"",IFERROR(INDEX($Q$6:$Q$1505,MATCH($C650&amp;"|"&amp;$A650&amp;"|"&amp;($S650-1),$V$6:$V$1505,0)),""))</f>
        <v/>
      </c>
      <c r="X650" s="32">
        <f>IF(OR($W650="",$Q650="",LEFT($Q650,1)="—"),"",IF($W650=$Q650,"ללא שינוי","מ-"&amp;$W650&amp;" ל-"&amp;$Q650))</f>
        <v/>
      </c>
    </row>
    <row r="651" ht="15.75" customHeight="1" s="58">
      <c r="A651" s="65" t="n"/>
      <c r="B651" s="65" t="n"/>
      <c r="C651" s="66" t="n"/>
      <c r="D651" s="66" t="n"/>
      <c r="E651" s="65" t="n"/>
      <c r="F651" s="65" t="n"/>
      <c r="G651" s="65" t="n"/>
      <c r="H651" s="65" t="n"/>
      <c r="I651" s="65" t="n"/>
      <c r="J651" s="65" t="n"/>
      <c r="K651" s="65" t="n"/>
      <c r="L651" s="65" t="n"/>
      <c r="M651" s="65" t="n"/>
      <c r="N651" s="65" t="n"/>
      <c r="O651" s="65" t="n"/>
      <c r="P651" s="65" t="n"/>
      <c r="Q651" s="32">
        <f>IF($C651="","",IF($J651="","— חסרים נתונים",IF($J651="טרם מפענח","פרופיל 5",IF($J651="קמץ/פתח/חטף-פתח ושוואים","פרופיל 4",IF($J651="2-3 סימני ניקוד","פרופיל 3",IF($J651="4-5 סימני ניקוד","פרופיל 2",IF(AND($O651="משפטים וקטעים קצרים",OR($M651="מבין",$M651="מבין לרוב")),"פרופיל 1","פרופיל 2")))))))</f>
        <v/>
      </c>
      <c r="R651" s="32">
        <f>IF($C651="","",IF(OR($Q651="",LEFT($Q651,1)="—"),"קבוצה רביעית",IF($Q651="פרופיל 5","קבוצת תשתיות",IF(OR($Q651="פרופיל 4",$Q651="פרופיל 3"),"קבוצת רכישה","קבוצת ביסוס"))))</f>
        <v/>
      </c>
      <c r="S651" s="32">
        <f>IF($F651="","",IF($F651="תחילת שנה",1,IF($F651="מחצית שנה",2,3)))</f>
        <v/>
      </c>
      <c r="T651" s="32">
        <f>IF(OR($B651="",$R651="",$A651="",$F651=""),"",$B651&amp;"|"&amp;$A651&amp;"|"&amp;$F651&amp;"|"&amp;$R651&amp;"|"&amp;COUNTIFS($B$6:$B651,$B651,$A$6:$A651,$A651,$F$6:$F651,$F651,$R$6:$R651,$R651))</f>
        <v/>
      </c>
      <c r="U651" s="32">
        <f>IF($C651="","",$C651&amp;"|"&amp;COUNTIFS($C$6:$C651,$C651))</f>
        <v/>
      </c>
      <c r="V651" s="32">
        <f>IF(OR($C651="",$A651="",$S651=""),"",$C651&amp;"|"&amp;$A651&amp;"|"&amp;$S651)</f>
        <v/>
      </c>
      <c r="W651" s="32">
        <f>IF(OR($C651="",$S651="",$S651=1),"",IFERROR(INDEX($Q$6:$Q$1505,MATCH($C651&amp;"|"&amp;$A651&amp;"|"&amp;($S651-1),$V$6:$V$1505,0)),""))</f>
        <v/>
      </c>
      <c r="X651" s="32">
        <f>IF(OR($W651="",$Q651="",LEFT($Q651,1)="—"),"",IF($W651=$Q651,"ללא שינוי","מ-"&amp;$W651&amp;" ל-"&amp;$Q651))</f>
        <v/>
      </c>
    </row>
    <row r="652" ht="15.75" customHeight="1" s="58">
      <c r="A652" s="65" t="n"/>
      <c r="B652" s="65" t="n"/>
      <c r="C652" s="66" t="n"/>
      <c r="D652" s="66" t="n"/>
      <c r="E652" s="65" t="n"/>
      <c r="F652" s="65" t="n"/>
      <c r="G652" s="65" t="n"/>
      <c r="H652" s="65" t="n"/>
      <c r="I652" s="65" t="n"/>
      <c r="J652" s="65" t="n"/>
      <c r="K652" s="65" t="n"/>
      <c r="L652" s="65" t="n"/>
      <c r="M652" s="65" t="n"/>
      <c r="N652" s="65" t="n"/>
      <c r="O652" s="65" t="n"/>
      <c r="P652" s="65" t="n"/>
      <c r="Q652" s="32">
        <f>IF($C652="","",IF($J652="","— חסרים נתונים",IF($J652="טרם מפענח","פרופיל 5",IF($J652="קמץ/פתח/חטף-פתח ושוואים","פרופיל 4",IF($J652="2-3 סימני ניקוד","פרופיל 3",IF($J652="4-5 סימני ניקוד","פרופיל 2",IF(AND($O652="משפטים וקטעים קצרים",OR($M652="מבין",$M652="מבין לרוב")),"פרופיל 1","פרופיל 2")))))))</f>
        <v/>
      </c>
      <c r="R652" s="32">
        <f>IF($C652="","",IF(OR($Q652="",LEFT($Q652,1)="—"),"קבוצה רביעית",IF($Q652="פרופיל 5","קבוצת תשתיות",IF(OR($Q652="פרופיל 4",$Q652="פרופיל 3"),"קבוצת רכישה","קבוצת ביסוס"))))</f>
        <v/>
      </c>
      <c r="S652" s="32">
        <f>IF($F652="","",IF($F652="תחילת שנה",1,IF($F652="מחצית שנה",2,3)))</f>
        <v/>
      </c>
      <c r="T652" s="32">
        <f>IF(OR($B652="",$R652="",$A652="",$F652=""),"",$B652&amp;"|"&amp;$A652&amp;"|"&amp;$F652&amp;"|"&amp;$R652&amp;"|"&amp;COUNTIFS($B$6:$B652,$B652,$A$6:$A652,$A652,$F$6:$F652,$F652,$R$6:$R652,$R652))</f>
        <v/>
      </c>
      <c r="U652" s="32">
        <f>IF($C652="","",$C652&amp;"|"&amp;COUNTIFS($C$6:$C652,$C652))</f>
        <v/>
      </c>
      <c r="V652" s="32">
        <f>IF(OR($C652="",$A652="",$S652=""),"",$C652&amp;"|"&amp;$A652&amp;"|"&amp;$S652)</f>
        <v/>
      </c>
      <c r="W652" s="32">
        <f>IF(OR($C652="",$S652="",$S652=1),"",IFERROR(INDEX($Q$6:$Q$1505,MATCH($C652&amp;"|"&amp;$A652&amp;"|"&amp;($S652-1),$V$6:$V$1505,0)),""))</f>
        <v/>
      </c>
      <c r="X652" s="32">
        <f>IF(OR($W652="",$Q652="",LEFT($Q652,1)="—"),"",IF($W652=$Q652,"ללא שינוי","מ-"&amp;$W652&amp;" ל-"&amp;$Q652))</f>
        <v/>
      </c>
    </row>
    <row r="653" ht="15.75" customHeight="1" s="58">
      <c r="A653" s="65" t="n"/>
      <c r="B653" s="65" t="n"/>
      <c r="C653" s="66" t="n"/>
      <c r="D653" s="66" t="n"/>
      <c r="E653" s="65" t="n"/>
      <c r="F653" s="65" t="n"/>
      <c r="G653" s="65" t="n"/>
      <c r="H653" s="65" t="n"/>
      <c r="I653" s="65" t="n"/>
      <c r="J653" s="65" t="n"/>
      <c r="K653" s="65" t="n"/>
      <c r="L653" s="65" t="n"/>
      <c r="M653" s="65" t="n"/>
      <c r="N653" s="65" t="n"/>
      <c r="O653" s="65" t="n"/>
      <c r="P653" s="65" t="n"/>
      <c r="Q653" s="32">
        <f>IF($C653="","",IF($J653="","— חסרים נתונים",IF($J653="טרם מפענח","פרופיל 5",IF($J653="קמץ/פתח/חטף-פתח ושוואים","פרופיל 4",IF($J653="2-3 סימני ניקוד","פרופיל 3",IF($J653="4-5 סימני ניקוד","פרופיל 2",IF(AND($O653="משפטים וקטעים קצרים",OR($M653="מבין",$M653="מבין לרוב")),"פרופיל 1","פרופיל 2")))))))</f>
        <v/>
      </c>
      <c r="R653" s="32">
        <f>IF($C653="","",IF(OR($Q653="",LEFT($Q653,1)="—"),"קבוצה רביעית",IF($Q653="פרופיל 5","קבוצת תשתיות",IF(OR($Q653="פרופיל 4",$Q653="פרופיל 3"),"קבוצת רכישה","קבוצת ביסוס"))))</f>
        <v/>
      </c>
      <c r="S653" s="32">
        <f>IF($F653="","",IF($F653="תחילת שנה",1,IF($F653="מחצית שנה",2,3)))</f>
        <v/>
      </c>
      <c r="T653" s="32">
        <f>IF(OR($B653="",$R653="",$A653="",$F653=""),"",$B653&amp;"|"&amp;$A653&amp;"|"&amp;$F653&amp;"|"&amp;$R653&amp;"|"&amp;COUNTIFS($B$6:$B653,$B653,$A$6:$A653,$A653,$F$6:$F653,$F653,$R$6:$R653,$R653))</f>
        <v/>
      </c>
      <c r="U653" s="32">
        <f>IF($C653="","",$C653&amp;"|"&amp;COUNTIFS($C$6:$C653,$C653))</f>
        <v/>
      </c>
      <c r="V653" s="32">
        <f>IF(OR($C653="",$A653="",$S653=""),"",$C653&amp;"|"&amp;$A653&amp;"|"&amp;$S653)</f>
        <v/>
      </c>
      <c r="W653" s="32">
        <f>IF(OR($C653="",$S653="",$S653=1),"",IFERROR(INDEX($Q$6:$Q$1505,MATCH($C653&amp;"|"&amp;$A653&amp;"|"&amp;($S653-1),$V$6:$V$1505,0)),""))</f>
        <v/>
      </c>
      <c r="X653" s="32">
        <f>IF(OR($W653="",$Q653="",LEFT($Q653,1)="—"),"",IF($W653=$Q653,"ללא שינוי","מ-"&amp;$W653&amp;" ל-"&amp;$Q653))</f>
        <v/>
      </c>
    </row>
    <row r="654" ht="15.75" customHeight="1" s="58">
      <c r="A654" s="65" t="n"/>
      <c r="B654" s="65" t="n"/>
      <c r="C654" s="66" t="n"/>
      <c r="D654" s="66" t="n"/>
      <c r="E654" s="65" t="n"/>
      <c r="F654" s="65" t="n"/>
      <c r="G654" s="65" t="n"/>
      <c r="H654" s="65" t="n"/>
      <c r="I654" s="65" t="n"/>
      <c r="J654" s="65" t="n"/>
      <c r="K654" s="65" t="n"/>
      <c r="L654" s="65" t="n"/>
      <c r="M654" s="65" t="n"/>
      <c r="N654" s="65" t="n"/>
      <c r="O654" s="65" t="n"/>
      <c r="P654" s="65" t="n"/>
      <c r="Q654" s="32">
        <f>IF($C654="","",IF($J654="","— חסרים נתונים",IF($J654="טרם מפענח","פרופיל 5",IF($J654="קמץ/פתח/חטף-פתח ושוואים","פרופיל 4",IF($J654="2-3 סימני ניקוד","פרופיל 3",IF($J654="4-5 סימני ניקוד","פרופיל 2",IF(AND($O654="משפטים וקטעים קצרים",OR($M654="מבין",$M654="מבין לרוב")),"פרופיל 1","פרופיל 2")))))))</f>
        <v/>
      </c>
      <c r="R654" s="32">
        <f>IF($C654="","",IF(OR($Q654="",LEFT($Q654,1)="—"),"קבוצה רביעית",IF($Q654="פרופיל 5","קבוצת תשתיות",IF(OR($Q654="פרופיל 4",$Q654="פרופיל 3"),"קבוצת רכישה","קבוצת ביסוס"))))</f>
        <v/>
      </c>
      <c r="S654" s="32">
        <f>IF($F654="","",IF($F654="תחילת שנה",1,IF($F654="מחצית שנה",2,3)))</f>
        <v/>
      </c>
      <c r="T654" s="32">
        <f>IF(OR($B654="",$R654="",$A654="",$F654=""),"",$B654&amp;"|"&amp;$A654&amp;"|"&amp;$F654&amp;"|"&amp;$R654&amp;"|"&amp;COUNTIFS($B$6:$B654,$B654,$A$6:$A654,$A654,$F$6:$F654,$F654,$R$6:$R654,$R654))</f>
        <v/>
      </c>
      <c r="U654" s="32">
        <f>IF($C654="","",$C654&amp;"|"&amp;COUNTIFS($C$6:$C654,$C654))</f>
        <v/>
      </c>
      <c r="V654" s="32">
        <f>IF(OR($C654="",$A654="",$S654=""),"",$C654&amp;"|"&amp;$A654&amp;"|"&amp;$S654)</f>
        <v/>
      </c>
      <c r="W654" s="32">
        <f>IF(OR($C654="",$S654="",$S654=1),"",IFERROR(INDEX($Q$6:$Q$1505,MATCH($C654&amp;"|"&amp;$A654&amp;"|"&amp;($S654-1),$V$6:$V$1505,0)),""))</f>
        <v/>
      </c>
      <c r="X654" s="32">
        <f>IF(OR($W654="",$Q654="",LEFT($Q654,1)="—"),"",IF($W654=$Q654,"ללא שינוי","מ-"&amp;$W654&amp;" ל-"&amp;$Q654))</f>
        <v/>
      </c>
    </row>
    <row r="655" ht="15.75" customHeight="1" s="58">
      <c r="A655" s="65" t="n"/>
      <c r="B655" s="65" t="n"/>
      <c r="C655" s="66" t="n"/>
      <c r="D655" s="66" t="n"/>
      <c r="E655" s="65" t="n"/>
      <c r="F655" s="65" t="n"/>
      <c r="G655" s="65" t="n"/>
      <c r="H655" s="65" t="n"/>
      <c r="I655" s="65" t="n"/>
      <c r="J655" s="65" t="n"/>
      <c r="K655" s="65" t="n"/>
      <c r="L655" s="65" t="n"/>
      <c r="M655" s="65" t="n"/>
      <c r="N655" s="65" t="n"/>
      <c r="O655" s="65" t="n"/>
      <c r="P655" s="65" t="n"/>
      <c r="Q655" s="32">
        <f>IF($C655="","",IF($J655="","— חסרים נתונים",IF($J655="טרם מפענח","פרופיל 5",IF($J655="קמץ/פתח/חטף-פתח ושוואים","פרופיל 4",IF($J655="2-3 סימני ניקוד","פרופיל 3",IF($J655="4-5 סימני ניקוד","פרופיל 2",IF(AND($O655="משפטים וקטעים קצרים",OR($M655="מבין",$M655="מבין לרוב")),"פרופיל 1","פרופיל 2")))))))</f>
        <v/>
      </c>
      <c r="R655" s="32">
        <f>IF($C655="","",IF(OR($Q655="",LEFT($Q655,1)="—"),"קבוצה רביעית",IF($Q655="פרופיל 5","קבוצת תשתיות",IF(OR($Q655="פרופיל 4",$Q655="פרופיל 3"),"קבוצת רכישה","קבוצת ביסוס"))))</f>
        <v/>
      </c>
      <c r="S655" s="32">
        <f>IF($F655="","",IF($F655="תחילת שנה",1,IF($F655="מחצית שנה",2,3)))</f>
        <v/>
      </c>
      <c r="T655" s="32">
        <f>IF(OR($B655="",$R655="",$A655="",$F655=""),"",$B655&amp;"|"&amp;$A655&amp;"|"&amp;$F655&amp;"|"&amp;$R655&amp;"|"&amp;COUNTIFS($B$6:$B655,$B655,$A$6:$A655,$A655,$F$6:$F655,$F655,$R$6:$R655,$R655))</f>
        <v/>
      </c>
      <c r="U655" s="32">
        <f>IF($C655="","",$C655&amp;"|"&amp;COUNTIFS($C$6:$C655,$C655))</f>
        <v/>
      </c>
      <c r="V655" s="32">
        <f>IF(OR($C655="",$A655="",$S655=""),"",$C655&amp;"|"&amp;$A655&amp;"|"&amp;$S655)</f>
        <v/>
      </c>
      <c r="W655" s="32">
        <f>IF(OR($C655="",$S655="",$S655=1),"",IFERROR(INDEX($Q$6:$Q$1505,MATCH($C655&amp;"|"&amp;$A655&amp;"|"&amp;($S655-1),$V$6:$V$1505,0)),""))</f>
        <v/>
      </c>
      <c r="X655" s="32">
        <f>IF(OR($W655="",$Q655="",LEFT($Q655,1)="—"),"",IF($W655=$Q655,"ללא שינוי","מ-"&amp;$W655&amp;" ל-"&amp;$Q655))</f>
        <v/>
      </c>
    </row>
    <row r="656" ht="15.75" customHeight="1" s="58">
      <c r="A656" s="65" t="n"/>
      <c r="B656" s="65" t="n"/>
      <c r="C656" s="66" t="n"/>
      <c r="D656" s="66" t="n"/>
      <c r="E656" s="65" t="n"/>
      <c r="F656" s="65" t="n"/>
      <c r="G656" s="65" t="n"/>
      <c r="H656" s="65" t="n"/>
      <c r="I656" s="65" t="n"/>
      <c r="J656" s="65" t="n"/>
      <c r="K656" s="65" t="n"/>
      <c r="L656" s="65" t="n"/>
      <c r="M656" s="65" t="n"/>
      <c r="N656" s="65" t="n"/>
      <c r="O656" s="65" t="n"/>
      <c r="P656" s="65" t="n"/>
      <c r="Q656" s="32">
        <f>IF($C656="","",IF($J656="","— חסרים נתונים",IF($J656="טרם מפענח","פרופיל 5",IF($J656="קמץ/פתח/חטף-פתח ושוואים","פרופיל 4",IF($J656="2-3 סימני ניקוד","פרופיל 3",IF($J656="4-5 סימני ניקוד","פרופיל 2",IF(AND($O656="משפטים וקטעים קצרים",OR($M656="מבין",$M656="מבין לרוב")),"פרופיל 1","פרופיל 2")))))))</f>
        <v/>
      </c>
      <c r="R656" s="32">
        <f>IF($C656="","",IF(OR($Q656="",LEFT($Q656,1)="—"),"קבוצה רביעית",IF($Q656="פרופיל 5","קבוצת תשתיות",IF(OR($Q656="פרופיל 4",$Q656="פרופיל 3"),"קבוצת רכישה","קבוצת ביסוס"))))</f>
        <v/>
      </c>
      <c r="S656" s="32">
        <f>IF($F656="","",IF($F656="תחילת שנה",1,IF($F656="מחצית שנה",2,3)))</f>
        <v/>
      </c>
      <c r="T656" s="32">
        <f>IF(OR($B656="",$R656="",$A656="",$F656=""),"",$B656&amp;"|"&amp;$A656&amp;"|"&amp;$F656&amp;"|"&amp;$R656&amp;"|"&amp;COUNTIFS($B$6:$B656,$B656,$A$6:$A656,$A656,$F$6:$F656,$F656,$R$6:$R656,$R656))</f>
        <v/>
      </c>
      <c r="U656" s="32">
        <f>IF($C656="","",$C656&amp;"|"&amp;COUNTIFS($C$6:$C656,$C656))</f>
        <v/>
      </c>
      <c r="V656" s="32">
        <f>IF(OR($C656="",$A656="",$S656=""),"",$C656&amp;"|"&amp;$A656&amp;"|"&amp;$S656)</f>
        <v/>
      </c>
      <c r="W656" s="32">
        <f>IF(OR($C656="",$S656="",$S656=1),"",IFERROR(INDEX($Q$6:$Q$1505,MATCH($C656&amp;"|"&amp;$A656&amp;"|"&amp;($S656-1),$V$6:$V$1505,0)),""))</f>
        <v/>
      </c>
      <c r="X656" s="32">
        <f>IF(OR($W656="",$Q656="",LEFT($Q656,1)="—"),"",IF($W656=$Q656,"ללא שינוי","מ-"&amp;$W656&amp;" ל-"&amp;$Q656))</f>
        <v/>
      </c>
    </row>
    <row r="657" ht="15.75" customHeight="1" s="58">
      <c r="A657" s="65" t="n"/>
      <c r="B657" s="65" t="n"/>
      <c r="C657" s="66" t="n"/>
      <c r="D657" s="66" t="n"/>
      <c r="E657" s="65" t="n"/>
      <c r="F657" s="65" t="n"/>
      <c r="G657" s="65" t="n"/>
      <c r="H657" s="65" t="n"/>
      <c r="I657" s="65" t="n"/>
      <c r="J657" s="65" t="n"/>
      <c r="K657" s="65" t="n"/>
      <c r="L657" s="65" t="n"/>
      <c r="M657" s="65" t="n"/>
      <c r="N657" s="65" t="n"/>
      <c r="O657" s="65" t="n"/>
      <c r="P657" s="65" t="n"/>
      <c r="Q657" s="32">
        <f>IF($C657="","",IF($J657="","— חסרים נתונים",IF($J657="טרם מפענח","פרופיל 5",IF($J657="קמץ/פתח/חטף-פתח ושוואים","פרופיל 4",IF($J657="2-3 סימני ניקוד","פרופיל 3",IF($J657="4-5 סימני ניקוד","פרופיל 2",IF(AND($O657="משפטים וקטעים קצרים",OR($M657="מבין",$M657="מבין לרוב")),"פרופיל 1","פרופיל 2")))))))</f>
        <v/>
      </c>
      <c r="R657" s="32">
        <f>IF($C657="","",IF(OR($Q657="",LEFT($Q657,1)="—"),"קבוצה רביעית",IF($Q657="פרופיל 5","קבוצת תשתיות",IF(OR($Q657="פרופיל 4",$Q657="פרופיל 3"),"קבוצת רכישה","קבוצת ביסוס"))))</f>
        <v/>
      </c>
      <c r="S657" s="32">
        <f>IF($F657="","",IF($F657="תחילת שנה",1,IF($F657="מחצית שנה",2,3)))</f>
        <v/>
      </c>
      <c r="T657" s="32">
        <f>IF(OR($B657="",$R657="",$A657="",$F657=""),"",$B657&amp;"|"&amp;$A657&amp;"|"&amp;$F657&amp;"|"&amp;$R657&amp;"|"&amp;COUNTIFS($B$6:$B657,$B657,$A$6:$A657,$A657,$F$6:$F657,$F657,$R$6:$R657,$R657))</f>
        <v/>
      </c>
      <c r="U657" s="32">
        <f>IF($C657="","",$C657&amp;"|"&amp;COUNTIFS($C$6:$C657,$C657))</f>
        <v/>
      </c>
      <c r="V657" s="32">
        <f>IF(OR($C657="",$A657="",$S657=""),"",$C657&amp;"|"&amp;$A657&amp;"|"&amp;$S657)</f>
        <v/>
      </c>
      <c r="W657" s="32">
        <f>IF(OR($C657="",$S657="",$S657=1),"",IFERROR(INDEX($Q$6:$Q$1505,MATCH($C657&amp;"|"&amp;$A657&amp;"|"&amp;($S657-1),$V$6:$V$1505,0)),""))</f>
        <v/>
      </c>
      <c r="X657" s="32">
        <f>IF(OR($W657="",$Q657="",LEFT($Q657,1)="—"),"",IF($W657=$Q657,"ללא שינוי","מ-"&amp;$W657&amp;" ל-"&amp;$Q657))</f>
        <v/>
      </c>
    </row>
    <row r="658" ht="15.75" customHeight="1" s="58">
      <c r="A658" s="65" t="n"/>
      <c r="B658" s="65" t="n"/>
      <c r="C658" s="66" t="n"/>
      <c r="D658" s="66" t="n"/>
      <c r="E658" s="65" t="n"/>
      <c r="F658" s="65" t="n"/>
      <c r="G658" s="65" t="n"/>
      <c r="H658" s="65" t="n"/>
      <c r="I658" s="65" t="n"/>
      <c r="J658" s="65" t="n"/>
      <c r="K658" s="65" t="n"/>
      <c r="L658" s="65" t="n"/>
      <c r="M658" s="65" t="n"/>
      <c r="N658" s="65" t="n"/>
      <c r="O658" s="65" t="n"/>
      <c r="P658" s="65" t="n"/>
      <c r="Q658" s="32">
        <f>IF($C658="","",IF($J658="","— חסרים נתונים",IF($J658="טרם מפענח","פרופיל 5",IF($J658="קמץ/פתח/חטף-פתח ושוואים","פרופיל 4",IF($J658="2-3 סימני ניקוד","פרופיל 3",IF($J658="4-5 סימני ניקוד","פרופיל 2",IF(AND($O658="משפטים וקטעים קצרים",OR($M658="מבין",$M658="מבין לרוב")),"פרופיל 1","פרופיל 2")))))))</f>
        <v/>
      </c>
      <c r="R658" s="32">
        <f>IF($C658="","",IF(OR($Q658="",LEFT($Q658,1)="—"),"קבוצה רביעית",IF($Q658="פרופיל 5","קבוצת תשתיות",IF(OR($Q658="פרופיל 4",$Q658="פרופיל 3"),"קבוצת רכישה","קבוצת ביסוס"))))</f>
        <v/>
      </c>
      <c r="S658" s="32">
        <f>IF($F658="","",IF($F658="תחילת שנה",1,IF($F658="מחצית שנה",2,3)))</f>
        <v/>
      </c>
      <c r="T658" s="32">
        <f>IF(OR($B658="",$R658="",$A658="",$F658=""),"",$B658&amp;"|"&amp;$A658&amp;"|"&amp;$F658&amp;"|"&amp;$R658&amp;"|"&amp;COUNTIFS($B$6:$B658,$B658,$A$6:$A658,$A658,$F$6:$F658,$F658,$R$6:$R658,$R658))</f>
        <v/>
      </c>
      <c r="U658" s="32">
        <f>IF($C658="","",$C658&amp;"|"&amp;COUNTIFS($C$6:$C658,$C658))</f>
        <v/>
      </c>
      <c r="V658" s="32">
        <f>IF(OR($C658="",$A658="",$S658=""),"",$C658&amp;"|"&amp;$A658&amp;"|"&amp;$S658)</f>
        <v/>
      </c>
      <c r="W658" s="32">
        <f>IF(OR($C658="",$S658="",$S658=1),"",IFERROR(INDEX($Q$6:$Q$1505,MATCH($C658&amp;"|"&amp;$A658&amp;"|"&amp;($S658-1),$V$6:$V$1505,0)),""))</f>
        <v/>
      </c>
      <c r="X658" s="32">
        <f>IF(OR($W658="",$Q658="",LEFT($Q658,1)="—"),"",IF($W658=$Q658,"ללא שינוי","מ-"&amp;$W658&amp;" ל-"&amp;$Q658))</f>
        <v/>
      </c>
    </row>
    <row r="659" ht="15.75" customHeight="1" s="58">
      <c r="A659" s="65" t="n"/>
      <c r="B659" s="65" t="n"/>
      <c r="C659" s="66" t="n"/>
      <c r="D659" s="66" t="n"/>
      <c r="E659" s="65" t="n"/>
      <c r="F659" s="65" t="n"/>
      <c r="G659" s="65" t="n"/>
      <c r="H659" s="65" t="n"/>
      <c r="I659" s="65" t="n"/>
      <c r="J659" s="65" t="n"/>
      <c r="K659" s="65" t="n"/>
      <c r="L659" s="65" t="n"/>
      <c r="M659" s="65" t="n"/>
      <c r="N659" s="65" t="n"/>
      <c r="O659" s="65" t="n"/>
      <c r="P659" s="65" t="n"/>
      <c r="Q659" s="32">
        <f>IF($C659="","",IF($J659="","— חסרים נתונים",IF($J659="טרם מפענח","פרופיל 5",IF($J659="קמץ/פתח/חטף-פתח ושוואים","פרופיל 4",IF($J659="2-3 סימני ניקוד","פרופיל 3",IF($J659="4-5 סימני ניקוד","פרופיל 2",IF(AND($O659="משפטים וקטעים קצרים",OR($M659="מבין",$M659="מבין לרוב")),"פרופיל 1","פרופיל 2")))))))</f>
        <v/>
      </c>
      <c r="R659" s="32">
        <f>IF($C659="","",IF(OR($Q659="",LEFT($Q659,1)="—"),"קבוצה רביעית",IF($Q659="פרופיל 5","קבוצת תשתיות",IF(OR($Q659="פרופיל 4",$Q659="פרופיל 3"),"קבוצת רכישה","קבוצת ביסוס"))))</f>
        <v/>
      </c>
      <c r="S659" s="32">
        <f>IF($F659="","",IF($F659="תחילת שנה",1,IF($F659="מחצית שנה",2,3)))</f>
        <v/>
      </c>
      <c r="T659" s="32">
        <f>IF(OR($B659="",$R659="",$A659="",$F659=""),"",$B659&amp;"|"&amp;$A659&amp;"|"&amp;$F659&amp;"|"&amp;$R659&amp;"|"&amp;COUNTIFS($B$6:$B659,$B659,$A$6:$A659,$A659,$F$6:$F659,$F659,$R$6:$R659,$R659))</f>
        <v/>
      </c>
      <c r="U659" s="32">
        <f>IF($C659="","",$C659&amp;"|"&amp;COUNTIFS($C$6:$C659,$C659))</f>
        <v/>
      </c>
      <c r="V659" s="32">
        <f>IF(OR($C659="",$A659="",$S659=""),"",$C659&amp;"|"&amp;$A659&amp;"|"&amp;$S659)</f>
        <v/>
      </c>
      <c r="W659" s="32">
        <f>IF(OR($C659="",$S659="",$S659=1),"",IFERROR(INDEX($Q$6:$Q$1505,MATCH($C659&amp;"|"&amp;$A659&amp;"|"&amp;($S659-1),$V$6:$V$1505,0)),""))</f>
        <v/>
      </c>
      <c r="X659" s="32">
        <f>IF(OR($W659="",$Q659="",LEFT($Q659,1)="—"),"",IF($W659=$Q659,"ללא שינוי","מ-"&amp;$W659&amp;" ל-"&amp;$Q659))</f>
        <v/>
      </c>
    </row>
    <row r="660" ht="15.75" customHeight="1" s="58">
      <c r="A660" s="65" t="n"/>
      <c r="B660" s="65" t="n"/>
      <c r="C660" s="66" t="n"/>
      <c r="D660" s="66" t="n"/>
      <c r="E660" s="65" t="n"/>
      <c r="F660" s="65" t="n"/>
      <c r="G660" s="65" t="n"/>
      <c r="H660" s="65" t="n"/>
      <c r="I660" s="65" t="n"/>
      <c r="J660" s="65" t="n"/>
      <c r="K660" s="65" t="n"/>
      <c r="L660" s="65" t="n"/>
      <c r="M660" s="65" t="n"/>
      <c r="N660" s="65" t="n"/>
      <c r="O660" s="65" t="n"/>
      <c r="P660" s="65" t="n"/>
      <c r="Q660" s="32">
        <f>IF($C660="","",IF($J660="","— חסרים נתונים",IF($J660="טרם מפענח","פרופיל 5",IF($J660="קמץ/פתח/חטף-פתח ושוואים","פרופיל 4",IF($J660="2-3 סימני ניקוד","פרופיל 3",IF($J660="4-5 סימני ניקוד","פרופיל 2",IF(AND($O660="משפטים וקטעים קצרים",OR($M660="מבין",$M660="מבין לרוב")),"פרופיל 1","פרופיל 2")))))))</f>
        <v/>
      </c>
      <c r="R660" s="32">
        <f>IF($C660="","",IF(OR($Q660="",LEFT($Q660,1)="—"),"קבוצה רביעית",IF($Q660="פרופיל 5","קבוצת תשתיות",IF(OR($Q660="פרופיל 4",$Q660="פרופיל 3"),"קבוצת רכישה","קבוצת ביסוס"))))</f>
        <v/>
      </c>
      <c r="S660" s="32">
        <f>IF($F660="","",IF($F660="תחילת שנה",1,IF($F660="מחצית שנה",2,3)))</f>
        <v/>
      </c>
      <c r="T660" s="32">
        <f>IF(OR($B660="",$R660="",$A660="",$F660=""),"",$B660&amp;"|"&amp;$A660&amp;"|"&amp;$F660&amp;"|"&amp;$R660&amp;"|"&amp;COUNTIFS($B$6:$B660,$B660,$A$6:$A660,$A660,$F$6:$F660,$F660,$R$6:$R660,$R660))</f>
        <v/>
      </c>
      <c r="U660" s="32">
        <f>IF($C660="","",$C660&amp;"|"&amp;COUNTIFS($C$6:$C660,$C660))</f>
        <v/>
      </c>
      <c r="V660" s="32">
        <f>IF(OR($C660="",$A660="",$S660=""),"",$C660&amp;"|"&amp;$A660&amp;"|"&amp;$S660)</f>
        <v/>
      </c>
      <c r="W660" s="32">
        <f>IF(OR($C660="",$S660="",$S660=1),"",IFERROR(INDEX($Q$6:$Q$1505,MATCH($C660&amp;"|"&amp;$A660&amp;"|"&amp;($S660-1),$V$6:$V$1505,0)),""))</f>
        <v/>
      </c>
      <c r="X660" s="32">
        <f>IF(OR($W660="",$Q660="",LEFT($Q660,1)="—"),"",IF($W660=$Q660,"ללא שינוי","מ-"&amp;$W660&amp;" ל-"&amp;$Q660))</f>
        <v/>
      </c>
    </row>
    <row r="661" ht="15.75" customHeight="1" s="58">
      <c r="A661" s="65" t="n"/>
      <c r="B661" s="65" t="n"/>
      <c r="C661" s="66" t="n"/>
      <c r="D661" s="66" t="n"/>
      <c r="E661" s="65" t="n"/>
      <c r="F661" s="65" t="n"/>
      <c r="G661" s="65" t="n"/>
      <c r="H661" s="65" t="n"/>
      <c r="I661" s="65" t="n"/>
      <c r="J661" s="65" t="n"/>
      <c r="K661" s="65" t="n"/>
      <c r="L661" s="65" t="n"/>
      <c r="M661" s="65" t="n"/>
      <c r="N661" s="65" t="n"/>
      <c r="O661" s="65" t="n"/>
      <c r="P661" s="65" t="n"/>
      <c r="Q661" s="32">
        <f>IF($C661="","",IF($J661="","— חסרים נתונים",IF($J661="טרם מפענח","פרופיל 5",IF($J661="קמץ/פתח/חטף-פתח ושוואים","פרופיל 4",IF($J661="2-3 סימני ניקוד","פרופיל 3",IF($J661="4-5 סימני ניקוד","פרופיל 2",IF(AND($O661="משפטים וקטעים קצרים",OR($M661="מבין",$M661="מבין לרוב")),"פרופיל 1","פרופיל 2")))))))</f>
        <v/>
      </c>
      <c r="R661" s="32">
        <f>IF($C661="","",IF(OR($Q661="",LEFT($Q661,1)="—"),"קבוצה רביעית",IF($Q661="פרופיל 5","קבוצת תשתיות",IF(OR($Q661="פרופיל 4",$Q661="פרופיל 3"),"קבוצת רכישה","קבוצת ביסוס"))))</f>
        <v/>
      </c>
      <c r="S661" s="32">
        <f>IF($F661="","",IF($F661="תחילת שנה",1,IF($F661="מחצית שנה",2,3)))</f>
        <v/>
      </c>
      <c r="T661" s="32">
        <f>IF(OR($B661="",$R661="",$A661="",$F661=""),"",$B661&amp;"|"&amp;$A661&amp;"|"&amp;$F661&amp;"|"&amp;$R661&amp;"|"&amp;COUNTIFS($B$6:$B661,$B661,$A$6:$A661,$A661,$F$6:$F661,$F661,$R$6:$R661,$R661))</f>
        <v/>
      </c>
      <c r="U661" s="32">
        <f>IF($C661="","",$C661&amp;"|"&amp;COUNTIFS($C$6:$C661,$C661))</f>
        <v/>
      </c>
      <c r="V661" s="32">
        <f>IF(OR($C661="",$A661="",$S661=""),"",$C661&amp;"|"&amp;$A661&amp;"|"&amp;$S661)</f>
        <v/>
      </c>
      <c r="W661" s="32">
        <f>IF(OR($C661="",$S661="",$S661=1),"",IFERROR(INDEX($Q$6:$Q$1505,MATCH($C661&amp;"|"&amp;$A661&amp;"|"&amp;($S661-1),$V$6:$V$1505,0)),""))</f>
        <v/>
      </c>
      <c r="X661" s="32">
        <f>IF(OR($W661="",$Q661="",LEFT($Q661,1)="—"),"",IF($W661=$Q661,"ללא שינוי","מ-"&amp;$W661&amp;" ל-"&amp;$Q661))</f>
        <v/>
      </c>
    </row>
    <row r="662" ht="15.75" customHeight="1" s="58">
      <c r="A662" s="65" t="n"/>
      <c r="B662" s="65" t="n"/>
      <c r="C662" s="66" t="n"/>
      <c r="D662" s="66" t="n"/>
      <c r="E662" s="65" t="n"/>
      <c r="F662" s="65" t="n"/>
      <c r="G662" s="65" t="n"/>
      <c r="H662" s="65" t="n"/>
      <c r="I662" s="65" t="n"/>
      <c r="J662" s="65" t="n"/>
      <c r="K662" s="65" t="n"/>
      <c r="L662" s="65" t="n"/>
      <c r="M662" s="65" t="n"/>
      <c r="N662" s="65" t="n"/>
      <c r="O662" s="65" t="n"/>
      <c r="P662" s="65" t="n"/>
      <c r="Q662" s="32">
        <f>IF($C662="","",IF($J662="","— חסרים נתונים",IF($J662="טרם מפענח","פרופיל 5",IF($J662="קמץ/פתח/חטף-פתח ושוואים","פרופיל 4",IF($J662="2-3 סימני ניקוד","פרופיל 3",IF($J662="4-5 סימני ניקוד","פרופיל 2",IF(AND($O662="משפטים וקטעים קצרים",OR($M662="מבין",$M662="מבין לרוב")),"פרופיל 1","פרופיל 2")))))))</f>
        <v/>
      </c>
      <c r="R662" s="32">
        <f>IF($C662="","",IF(OR($Q662="",LEFT($Q662,1)="—"),"קבוצה רביעית",IF($Q662="פרופיל 5","קבוצת תשתיות",IF(OR($Q662="פרופיל 4",$Q662="פרופיל 3"),"קבוצת רכישה","קבוצת ביסוס"))))</f>
        <v/>
      </c>
      <c r="S662" s="32">
        <f>IF($F662="","",IF($F662="תחילת שנה",1,IF($F662="מחצית שנה",2,3)))</f>
        <v/>
      </c>
      <c r="T662" s="32">
        <f>IF(OR($B662="",$R662="",$A662="",$F662=""),"",$B662&amp;"|"&amp;$A662&amp;"|"&amp;$F662&amp;"|"&amp;$R662&amp;"|"&amp;COUNTIFS($B$6:$B662,$B662,$A$6:$A662,$A662,$F$6:$F662,$F662,$R$6:$R662,$R662))</f>
        <v/>
      </c>
      <c r="U662" s="32">
        <f>IF($C662="","",$C662&amp;"|"&amp;COUNTIFS($C$6:$C662,$C662))</f>
        <v/>
      </c>
      <c r="V662" s="32">
        <f>IF(OR($C662="",$A662="",$S662=""),"",$C662&amp;"|"&amp;$A662&amp;"|"&amp;$S662)</f>
        <v/>
      </c>
      <c r="W662" s="32">
        <f>IF(OR($C662="",$S662="",$S662=1),"",IFERROR(INDEX($Q$6:$Q$1505,MATCH($C662&amp;"|"&amp;$A662&amp;"|"&amp;($S662-1),$V$6:$V$1505,0)),""))</f>
        <v/>
      </c>
      <c r="X662" s="32">
        <f>IF(OR($W662="",$Q662="",LEFT($Q662,1)="—"),"",IF($W662=$Q662,"ללא שינוי","מ-"&amp;$W662&amp;" ל-"&amp;$Q662))</f>
        <v/>
      </c>
    </row>
    <row r="663" ht="15.75" customHeight="1" s="58">
      <c r="A663" s="65" t="n"/>
      <c r="B663" s="65" t="n"/>
      <c r="C663" s="66" t="n"/>
      <c r="D663" s="66" t="n"/>
      <c r="E663" s="65" t="n"/>
      <c r="F663" s="65" t="n"/>
      <c r="G663" s="65" t="n"/>
      <c r="H663" s="65" t="n"/>
      <c r="I663" s="65" t="n"/>
      <c r="J663" s="65" t="n"/>
      <c r="K663" s="65" t="n"/>
      <c r="L663" s="65" t="n"/>
      <c r="M663" s="65" t="n"/>
      <c r="N663" s="65" t="n"/>
      <c r="O663" s="65" t="n"/>
      <c r="P663" s="65" t="n"/>
      <c r="Q663" s="32">
        <f>IF($C663="","",IF($J663="","— חסרים נתונים",IF($J663="טרם מפענח","פרופיל 5",IF($J663="קמץ/פתח/חטף-פתח ושוואים","פרופיל 4",IF($J663="2-3 סימני ניקוד","פרופיל 3",IF($J663="4-5 סימני ניקוד","פרופיל 2",IF(AND($O663="משפטים וקטעים קצרים",OR($M663="מבין",$M663="מבין לרוב")),"פרופיל 1","פרופיל 2")))))))</f>
        <v/>
      </c>
      <c r="R663" s="32">
        <f>IF($C663="","",IF(OR($Q663="",LEFT($Q663,1)="—"),"קבוצה רביעית",IF($Q663="פרופיל 5","קבוצת תשתיות",IF(OR($Q663="פרופיל 4",$Q663="פרופיל 3"),"קבוצת רכישה","קבוצת ביסוס"))))</f>
        <v/>
      </c>
      <c r="S663" s="32">
        <f>IF($F663="","",IF($F663="תחילת שנה",1,IF($F663="מחצית שנה",2,3)))</f>
        <v/>
      </c>
      <c r="T663" s="32">
        <f>IF(OR($B663="",$R663="",$A663="",$F663=""),"",$B663&amp;"|"&amp;$A663&amp;"|"&amp;$F663&amp;"|"&amp;$R663&amp;"|"&amp;COUNTIFS($B$6:$B663,$B663,$A$6:$A663,$A663,$F$6:$F663,$F663,$R$6:$R663,$R663))</f>
        <v/>
      </c>
      <c r="U663" s="32">
        <f>IF($C663="","",$C663&amp;"|"&amp;COUNTIFS($C$6:$C663,$C663))</f>
        <v/>
      </c>
      <c r="V663" s="32">
        <f>IF(OR($C663="",$A663="",$S663=""),"",$C663&amp;"|"&amp;$A663&amp;"|"&amp;$S663)</f>
        <v/>
      </c>
      <c r="W663" s="32">
        <f>IF(OR($C663="",$S663="",$S663=1),"",IFERROR(INDEX($Q$6:$Q$1505,MATCH($C663&amp;"|"&amp;$A663&amp;"|"&amp;($S663-1),$V$6:$V$1505,0)),""))</f>
        <v/>
      </c>
      <c r="X663" s="32">
        <f>IF(OR($W663="",$Q663="",LEFT($Q663,1)="—"),"",IF($W663=$Q663,"ללא שינוי","מ-"&amp;$W663&amp;" ל-"&amp;$Q663))</f>
        <v/>
      </c>
    </row>
    <row r="664" ht="15.75" customHeight="1" s="58">
      <c r="A664" s="65" t="n"/>
      <c r="B664" s="65" t="n"/>
      <c r="C664" s="66" t="n"/>
      <c r="D664" s="66" t="n"/>
      <c r="E664" s="65" t="n"/>
      <c r="F664" s="65" t="n"/>
      <c r="G664" s="65" t="n"/>
      <c r="H664" s="65" t="n"/>
      <c r="I664" s="65" t="n"/>
      <c r="J664" s="65" t="n"/>
      <c r="K664" s="65" t="n"/>
      <c r="L664" s="65" t="n"/>
      <c r="M664" s="65" t="n"/>
      <c r="N664" s="65" t="n"/>
      <c r="O664" s="65" t="n"/>
      <c r="P664" s="65" t="n"/>
      <c r="Q664" s="32">
        <f>IF($C664="","",IF($J664="","— חסרים נתונים",IF($J664="טרם מפענח","פרופיל 5",IF($J664="קמץ/פתח/חטף-פתח ושוואים","פרופיל 4",IF($J664="2-3 סימני ניקוד","פרופיל 3",IF($J664="4-5 סימני ניקוד","פרופיל 2",IF(AND($O664="משפטים וקטעים קצרים",OR($M664="מבין",$M664="מבין לרוב")),"פרופיל 1","פרופיל 2")))))))</f>
        <v/>
      </c>
      <c r="R664" s="32">
        <f>IF($C664="","",IF(OR($Q664="",LEFT($Q664,1)="—"),"קבוצה רביעית",IF($Q664="פרופיל 5","קבוצת תשתיות",IF(OR($Q664="פרופיל 4",$Q664="פרופיל 3"),"קבוצת רכישה","קבוצת ביסוס"))))</f>
        <v/>
      </c>
      <c r="S664" s="32">
        <f>IF($F664="","",IF($F664="תחילת שנה",1,IF($F664="מחצית שנה",2,3)))</f>
        <v/>
      </c>
      <c r="T664" s="32">
        <f>IF(OR($B664="",$R664="",$A664="",$F664=""),"",$B664&amp;"|"&amp;$A664&amp;"|"&amp;$F664&amp;"|"&amp;$R664&amp;"|"&amp;COUNTIFS($B$6:$B664,$B664,$A$6:$A664,$A664,$F$6:$F664,$F664,$R$6:$R664,$R664))</f>
        <v/>
      </c>
      <c r="U664" s="32">
        <f>IF($C664="","",$C664&amp;"|"&amp;COUNTIFS($C$6:$C664,$C664))</f>
        <v/>
      </c>
      <c r="V664" s="32">
        <f>IF(OR($C664="",$A664="",$S664=""),"",$C664&amp;"|"&amp;$A664&amp;"|"&amp;$S664)</f>
        <v/>
      </c>
      <c r="W664" s="32">
        <f>IF(OR($C664="",$S664="",$S664=1),"",IFERROR(INDEX($Q$6:$Q$1505,MATCH($C664&amp;"|"&amp;$A664&amp;"|"&amp;($S664-1),$V$6:$V$1505,0)),""))</f>
        <v/>
      </c>
      <c r="X664" s="32">
        <f>IF(OR($W664="",$Q664="",LEFT($Q664,1)="—"),"",IF($W664=$Q664,"ללא שינוי","מ-"&amp;$W664&amp;" ל-"&amp;$Q664))</f>
        <v/>
      </c>
    </row>
    <row r="665" ht="15.75" customHeight="1" s="58">
      <c r="A665" s="65" t="n"/>
      <c r="B665" s="65" t="n"/>
      <c r="C665" s="66" t="n"/>
      <c r="D665" s="66" t="n"/>
      <c r="E665" s="65" t="n"/>
      <c r="F665" s="65" t="n"/>
      <c r="G665" s="65" t="n"/>
      <c r="H665" s="65" t="n"/>
      <c r="I665" s="65" t="n"/>
      <c r="J665" s="65" t="n"/>
      <c r="K665" s="65" t="n"/>
      <c r="L665" s="65" t="n"/>
      <c r="M665" s="65" t="n"/>
      <c r="N665" s="65" t="n"/>
      <c r="O665" s="65" t="n"/>
      <c r="P665" s="65" t="n"/>
      <c r="Q665" s="32">
        <f>IF($C665="","",IF($J665="","— חסרים נתונים",IF($J665="טרם מפענח","פרופיל 5",IF($J665="קמץ/פתח/חטף-פתח ושוואים","פרופיל 4",IF($J665="2-3 סימני ניקוד","פרופיל 3",IF($J665="4-5 סימני ניקוד","פרופיל 2",IF(AND($O665="משפטים וקטעים קצרים",OR($M665="מבין",$M665="מבין לרוב")),"פרופיל 1","פרופיל 2")))))))</f>
        <v/>
      </c>
      <c r="R665" s="32">
        <f>IF($C665="","",IF(OR($Q665="",LEFT($Q665,1)="—"),"קבוצה רביעית",IF($Q665="פרופיל 5","קבוצת תשתיות",IF(OR($Q665="פרופיל 4",$Q665="פרופיל 3"),"קבוצת רכישה","קבוצת ביסוס"))))</f>
        <v/>
      </c>
      <c r="S665" s="32">
        <f>IF($F665="","",IF($F665="תחילת שנה",1,IF($F665="מחצית שנה",2,3)))</f>
        <v/>
      </c>
      <c r="T665" s="32">
        <f>IF(OR($B665="",$R665="",$A665="",$F665=""),"",$B665&amp;"|"&amp;$A665&amp;"|"&amp;$F665&amp;"|"&amp;$R665&amp;"|"&amp;COUNTIFS($B$6:$B665,$B665,$A$6:$A665,$A665,$F$6:$F665,$F665,$R$6:$R665,$R665))</f>
        <v/>
      </c>
      <c r="U665" s="32">
        <f>IF($C665="","",$C665&amp;"|"&amp;COUNTIFS($C$6:$C665,$C665))</f>
        <v/>
      </c>
      <c r="V665" s="32">
        <f>IF(OR($C665="",$A665="",$S665=""),"",$C665&amp;"|"&amp;$A665&amp;"|"&amp;$S665)</f>
        <v/>
      </c>
      <c r="W665" s="32">
        <f>IF(OR($C665="",$S665="",$S665=1),"",IFERROR(INDEX($Q$6:$Q$1505,MATCH($C665&amp;"|"&amp;$A665&amp;"|"&amp;($S665-1),$V$6:$V$1505,0)),""))</f>
        <v/>
      </c>
      <c r="X665" s="32">
        <f>IF(OR($W665="",$Q665="",LEFT($Q665,1)="—"),"",IF($W665=$Q665,"ללא שינוי","מ-"&amp;$W665&amp;" ל-"&amp;$Q665))</f>
        <v/>
      </c>
    </row>
    <row r="666" ht="15.75" customHeight="1" s="58">
      <c r="A666" s="65" t="n"/>
      <c r="B666" s="65" t="n"/>
      <c r="C666" s="66" t="n"/>
      <c r="D666" s="66" t="n"/>
      <c r="E666" s="65" t="n"/>
      <c r="F666" s="65" t="n"/>
      <c r="G666" s="65" t="n"/>
      <c r="H666" s="65" t="n"/>
      <c r="I666" s="65" t="n"/>
      <c r="J666" s="65" t="n"/>
      <c r="K666" s="65" t="n"/>
      <c r="L666" s="65" t="n"/>
      <c r="M666" s="65" t="n"/>
      <c r="N666" s="65" t="n"/>
      <c r="O666" s="65" t="n"/>
      <c r="P666" s="65" t="n"/>
      <c r="Q666" s="32">
        <f>IF($C666="","",IF($J666="","— חסרים נתונים",IF($J666="טרם מפענח","פרופיל 5",IF($J666="קמץ/פתח/חטף-פתח ושוואים","פרופיל 4",IF($J666="2-3 סימני ניקוד","פרופיל 3",IF($J666="4-5 סימני ניקוד","פרופיל 2",IF(AND($O666="משפטים וקטעים קצרים",OR($M666="מבין",$M666="מבין לרוב")),"פרופיל 1","פרופיל 2")))))))</f>
        <v/>
      </c>
      <c r="R666" s="32">
        <f>IF($C666="","",IF(OR($Q666="",LEFT($Q666,1)="—"),"קבוצה רביעית",IF($Q666="פרופיל 5","קבוצת תשתיות",IF(OR($Q666="פרופיל 4",$Q666="פרופיל 3"),"קבוצת רכישה","קבוצת ביסוס"))))</f>
        <v/>
      </c>
      <c r="S666" s="32">
        <f>IF($F666="","",IF($F666="תחילת שנה",1,IF($F666="מחצית שנה",2,3)))</f>
        <v/>
      </c>
      <c r="T666" s="32">
        <f>IF(OR($B666="",$R666="",$A666="",$F666=""),"",$B666&amp;"|"&amp;$A666&amp;"|"&amp;$F666&amp;"|"&amp;$R666&amp;"|"&amp;COUNTIFS($B$6:$B666,$B666,$A$6:$A666,$A666,$F$6:$F666,$F666,$R$6:$R666,$R666))</f>
        <v/>
      </c>
      <c r="U666" s="32">
        <f>IF($C666="","",$C666&amp;"|"&amp;COUNTIFS($C$6:$C666,$C666))</f>
        <v/>
      </c>
      <c r="V666" s="32">
        <f>IF(OR($C666="",$A666="",$S666=""),"",$C666&amp;"|"&amp;$A666&amp;"|"&amp;$S666)</f>
        <v/>
      </c>
      <c r="W666" s="32">
        <f>IF(OR($C666="",$S666="",$S666=1),"",IFERROR(INDEX($Q$6:$Q$1505,MATCH($C666&amp;"|"&amp;$A666&amp;"|"&amp;($S666-1),$V$6:$V$1505,0)),""))</f>
        <v/>
      </c>
      <c r="X666" s="32">
        <f>IF(OR($W666="",$Q666="",LEFT($Q666,1)="—"),"",IF($W666=$Q666,"ללא שינוי","מ-"&amp;$W666&amp;" ל-"&amp;$Q666))</f>
        <v/>
      </c>
    </row>
    <row r="667" ht="15.75" customHeight="1" s="58">
      <c r="A667" s="65" t="n"/>
      <c r="B667" s="65" t="n"/>
      <c r="C667" s="66" t="n"/>
      <c r="D667" s="66" t="n"/>
      <c r="E667" s="65" t="n"/>
      <c r="F667" s="65" t="n"/>
      <c r="G667" s="65" t="n"/>
      <c r="H667" s="65" t="n"/>
      <c r="I667" s="65" t="n"/>
      <c r="J667" s="65" t="n"/>
      <c r="K667" s="65" t="n"/>
      <c r="L667" s="65" t="n"/>
      <c r="M667" s="65" t="n"/>
      <c r="N667" s="65" t="n"/>
      <c r="O667" s="65" t="n"/>
      <c r="P667" s="65" t="n"/>
      <c r="Q667" s="32">
        <f>IF($C667="","",IF($J667="","— חסרים נתונים",IF($J667="טרם מפענח","פרופיל 5",IF($J667="קמץ/פתח/חטף-פתח ושוואים","פרופיל 4",IF($J667="2-3 סימני ניקוד","פרופיל 3",IF($J667="4-5 סימני ניקוד","פרופיל 2",IF(AND($O667="משפטים וקטעים קצרים",OR($M667="מבין",$M667="מבין לרוב")),"פרופיל 1","פרופיל 2")))))))</f>
        <v/>
      </c>
      <c r="R667" s="32">
        <f>IF($C667="","",IF(OR($Q667="",LEFT($Q667,1)="—"),"קבוצה רביעית",IF($Q667="פרופיל 5","קבוצת תשתיות",IF(OR($Q667="פרופיל 4",$Q667="פרופיל 3"),"קבוצת רכישה","קבוצת ביסוס"))))</f>
        <v/>
      </c>
      <c r="S667" s="32">
        <f>IF($F667="","",IF($F667="תחילת שנה",1,IF($F667="מחצית שנה",2,3)))</f>
        <v/>
      </c>
      <c r="T667" s="32">
        <f>IF(OR($B667="",$R667="",$A667="",$F667=""),"",$B667&amp;"|"&amp;$A667&amp;"|"&amp;$F667&amp;"|"&amp;$R667&amp;"|"&amp;COUNTIFS($B$6:$B667,$B667,$A$6:$A667,$A667,$F$6:$F667,$F667,$R$6:$R667,$R667))</f>
        <v/>
      </c>
      <c r="U667" s="32">
        <f>IF($C667="","",$C667&amp;"|"&amp;COUNTIFS($C$6:$C667,$C667))</f>
        <v/>
      </c>
      <c r="V667" s="32">
        <f>IF(OR($C667="",$A667="",$S667=""),"",$C667&amp;"|"&amp;$A667&amp;"|"&amp;$S667)</f>
        <v/>
      </c>
      <c r="W667" s="32">
        <f>IF(OR($C667="",$S667="",$S667=1),"",IFERROR(INDEX($Q$6:$Q$1505,MATCH($C667&amp;"|"&amp;$A667&amp;"|"&amp;($S667-1),$V$6:$V$1505,0)),""))</f>
        <v/>
      </c>
      <c r="X667" s="32">
        <f>IF(OR($W667="",$Q667="",LEFT($Q667,1)="—"),"",IF($W667=$Q667,"ללא שינוי","מ-"&amp;$W667&amp;" ל-"&amp;$Q667))</f>
        <v/>
      </c>
    </row>
    <row r="668" ht="15.75" customHeight="1" s="58">
      <c r="A668" s="65" t="n"/>
      <c r="B668" s="65" t="n"/>
      <c r="C668" s="66" t="n"/>
      <c r="D668" s="66" t="n"/>
      <c r="E668" s="65" t="n"/>
      <c r="F668" s="65" t="n"/>
      <c r="G668" s="65" t="n"/>
      <c r="H668" s="65" t="n"/>
      <c r="I668" s="65" t="n"/>
      <c r="J668" s="65" t="n"/>
      <c r="K668" s="65" t="n"/>
      <c r="L668" s="65" t="n"/>
      <c r="M668" s="65" t="n"/>
      <c r="N668" s="65" t="n"/>
      <c r="O668" s="65" t="n"/>
      <c r="P668" s="65" t="n"/>
      <c r="Q668" s="32">
        <f>IF($C668="","",IF($J668="","— חסרים נתונים",IF($J668="טרם מפענח","פרופיל 5",IF($J668="קמץ/פתח/חטף-פתח ושוואים","פרופיל 4",IF($J668="2-3 סימני ניקוד","פרופיל 3",IF($J668="4-5 סימני ניקוד","פרופיל 2",IF(AND($O668="משפטים וקטעים קצרים",OR($M668="מבין",$M668="מבין לרוב")),"פרופיל 1","פרופיל 2")))))))</f>
        <v/>
      </c>
      <c r="R668" s="32">
        <f>IF($C668="","",IF(OR($Q668="",LEFT($Q668,1)="—"),"קבוצה רביעית",IF($Q668="פרופיל 5","קבוצת תשתיות",IF(OR($Q668="פרופיל 4",$Q668="פרופיל 3"),"קבוצת רכישה","קבוצת ביסוס"))))</f>
        <v/>
      </c>
      <c r="S668" s="32">
        <f>IF($F668="","",IF($F668="תחילת שנה",1,IF($F668="מחצית שנה",2,3)))</f>
        <v/>
      </c>
      <c r="T668" s="32">
        <f>IF(OR($B668="",$R668="",$A668="",$F668=""),"",$B668&amp;"|"&amp;$A668&amp;"|"&amp;$F668&amp;"|"&amp;$R668&amp;"|"&amp;COUNTIFS($B$6:$B668,$B668,$A$6:$A668,$A668,$F$6:$F668,$F668,$R$6:$R668,$R668))</f>
        <v/>
      </c>
      <c r="U668" s="32">
        <f>IF($C668="","",$C668&amp;"|"&amp;COUNTIFS($C$6:$C668,$C668))</f>
        <v/>
      </c>
      <c r="V668" s="32">
        <f>IF(OR($C668="",$A668="",$S668=""),"",$C668&amp;"|"&amp;$A668&amp;"|"&amp;$S668)</f>
        <v/>
      </c>
      <c r="W668" s="32">
        <f>IF(OR($C668="",$S668="",$S668=1),"",IFERROR(INDEX($Q$6:$Q$1505,MATCH($C668&amp;"|"&amp;$A668&amp;"|"&amp;($S668-1),$V$6:$V$1505,0)),""))</f>
        <v/>
      </c>
      <c r="X668" s="32">
        <f>IF(OR($W668="",$Q668="",LEFT($Q668,1)="—"),"",IF($W668=$Q668,"ללא שינוי","מ-"&amp;$W668&amp;" ל-"&amp;$Q668))</f>
        <v/>
      </c>
    </row>
    <row r="669" ht="15.75" customHeight="1" s="58">
      <c r="A669" s="65" t="n"/>
      <c r="B669" s="65" t="n"/>
      <c r="C669" s="66" t="n"/>
      <c r="D669" s="66" t="n"/>
      <c r="E669" s="65" t="n"/>
      <c r="F669" s="65" t="n"/>
      <c r="G669" s="65" t="n"/>
      <c r="H669" s="65" t="n"/>
      <c r="I669" s="65" t="n"/>
      <c r="J669" s="65" t="n"/>
      <c r="K669" s="65" t="n"/>
      <c r="L669" s="65" t="n"/>
      <c r="M669" s="65" t="n"/>
      <c r="N669" s="65" t="n"/>
      <c r="O669" s="65" t="n"/>
      <c r="P669" s="65" t="n"/>
      <c r="Q669" s="32">
        <f>IF($C669="","",IF($J669="","— חסרים נתונים",IF($J669="טרם מפענח","פרופיל 5",IF($J669="קמץ/פתח/חטף-פתח ושוואים","פרופיל 4",IF($J669="2-3 סימני ניקוד","פרופיל 3",IF($J669="4-5 סימני ניקוד","פרופיל 2",IF(AND($O669="משפטים וקטעים קצרים",OR($M669="מבין",$M669="מבין לרוב")),"פרופיל 1","פרופיל 2")))))))</f>
        <v/>
      </c>
      <c r="R669" s="32">
        <f>IF($C669="","",IF(OR($Q669="",LEFT($Q669,1)="—"),"קבוצה רביעית",IF($Q669="פרופיל 5","קבוצת תשתיות",IF(OR($Q669="פרופיל 4",$Q669="פרופיל 3"),"קבוצת רכישה","קבוצת ביסוס"))))</f>
        <v/>
      </c>
      <c r="S669" s="32">
        <f>IF($F669="","",IF($F669="תחילת שנה",1,IF($F669="מחצית שנה",2,3)))</f>
        <v/>
      </c>
      <c r="T669" s="32">
        <f>IF(OR($B669="",$R669="",$A669="",$F669=""),"",$B669&amp;"|"&amp;$A669&amp;"|"&amp;$F669&amp;"|"&amp;$R669&amp;"|"&amp;COUNTIFS($B$6:$B669,$B669,$A$6:$A669,$A669,$F$6:$F669,$F669,$R$6:$R669,$R669))</f>
        <v/>
      </c>
      <c r="U669" s="32">
        <f>IF($C669="","",$C669&amp;"|"&amp;COUNTIFS($C$6:$C669,$C669))</f>
        <v/>
      </c>
      <c r="V669" s="32">
        <f>IF(OR($C669="",$A669="",$S669=""),"",$C669&amp;"|"&amp;$A669&amp;"|"&amp;$S669)</f>
        <v/>
      </c>
      <c r="W669" s="32">
        <f>IF(OR($C669="",$S669="",$S669=1),"",IFERROR(INDEX($Q$6:$Q$1505,MATCH($C669&amp;"|"&amp;$A669&amp;"|"&amp;($S669-1),$V$6:$V$1505,0)),""))</f>
        <v/>
      </c>
      <c r="X669" s="32">
        <f>IF(OR($W669="",$Q669="",LEFT($Q669,1)="—"),"",IF($W669=$Q669,"ללא שינוי","מ-"&amp;$W669&amp;" ל-"&amp;$Q669))</f>
        <v/>
      </c>
    </row>
    <row r="670" ht="15.75" customHeight="1" s="58">
      <c r="A670" s="65" t="n"/>
      <c r="B670" s="65" t="n"/>
      <c r="C670" s="66" t="n"/>
      <c r="D670" s="66" t="n"/>
      <c r="E670" s="65" t="n"/>
      <c r="F670" s="65" t="n"/>
      <c r="G670" s="65" t="n"/>
      <c r="H670" s="65" t="n"/>
      <c r="I670" s="65" t="n"/>
      <c r="J670" s="65" t="n"/>
      <c r="K670" s="65" t="n"/>
      <c r="L670" s="65" t="n"/>
      <c r="M670" s="65" t="n"/>
      <c r="N670" s="65" t="n"/>
      <c r="O670" s="65" t="n"/>
      <c r="P670" s="65" t="n"/>
      <c r="Q670" s="32">
        <f>IF($C670="","",IF($J670="","— חסרים נתונים",IF($J670="טרם מפענח","פרופיל 5",IF($J670="קמץ/פתח/חטף-פתח ושוואים","פרופיל 4",IF($J670="2-3 סימני ניקוד","פרופיל 3",IF($J670="4-5 סימני ניקוד","פרופיל 2",IF(AND($O670="משפטים וקטעים קצרים",OR($M670="מבין",$M670="מבין לרוב")),"פרופיל 1","פרופיל 2")))))))</f>
        <v/>
      </c>
      <c r="R670" s="32">
        <f>IF($C670="","",IF(OR($Q670="",LEFT($Q670,1)="—"),"קבוצה רביעית",IF($Q670="פרופיל 5","קבוצת תשתיות",IF(OR($Q670="פרופיל 4",$Q670="פרופיל 3"),"קבוצת רכישה","קבוצת ביסוס"))))</f>
        <v/>
      </c>
      <c r="S670" s="32">
        <f>IF($F670="","",IF($F670="תחילת שנה",1,IF($F670="מחצית שנה",2,3)))</f>
        <v/>
      </c>
      <c r="T670" s="32">
        <f>IF(OR($B670="",$R670="",$A670="",$F670=""),"",$B670&amp;"|"&amp;$A670&amp;"|"&amp;$F670&amp;"|"&amp;$R670&amp;"|"&amp;COUNTIFS($B$6:$B670,$B670,$A$6:$A670,$A670,$F$6:$F670,$F670,$R$6:$R670,$R670))</f>
        <v/>
      </c>
      <c r="U670" s="32">
        <f>IF($C670="","",$C670&amp;"|"&amp;COUNTIFS($C$6:$C670,$C670))</f>
        <v/>
      </c>
      <c r="V670" s="32">
        <f>IF(OR($C670="",$A670="",$S670=""),"",$C670&amp;"|"&amp;$A670&amp;"|"&amp;$S670)</f>
        <v/>
      </c>
      <c r="W670" s="32">
        <f>IF(OR($C670="",$S670="",$S670=1),"",IFERROR(INDEX($Q$6:$Q$1505,MATCH($C670&amp;"|"&amp;$A670&amp;"|"&amp;($S670-1),$V$6:$V$1505,0)),""))</f>
        <v/>
      </c>
      <c r="X670" s="32">
        <f>IF(OR($W670="",$Q670="",LEFT($Q670,1)="—"),"",IF($W670=$Q670,"ללא שינוי","מ-"&amp;$W670&amp;" ל-"&amp;$Q670))</f>
        <v/>
      </c>
    </row>
    <row r="671" ht="15.75" customHeight="1" s="58">
      <c r="A671" s="65" t="n"/>
      <c r="B671" s="65" t="n"/>
      <c r="C671" s="66" t="n"/>
      <c r="D671" s="66" t="n"/>
      <c r="E671" s="65" t="n"/>
      <c r="F671" s="65" t="n"/>
      <c r="G671" s="65" t="n"/>
      <c r="H671" s="65" t="n"/>
      <c r="I671" s="65" t="n"/>
      <c r="J671" s="65" t="n"/>
      <c r="K671" s="65" t="n"/>
      <c r="L671" s="65" t="n"/>
      <c r="M671" s="65" t="n"/>
      <c r="N671" s="65" t="n"/>
      <c r="O671" s="65" t="n"/>
      <c r="P671" s="65" t="n"/>
      <c r="Q671" s="32">
        <f>IF($C671="","",IF($J671="","— חסרים נתונים",IF($J671="טרם מפענח","פרופיל 5",IF($J671="קמץ/פתח/חטף-פתח ושוואים","פרופיל 4",IF($J671="2-3 סימני ניקוד","פרופיל 3",IF($J671="4-5 סימני ניקוד","פרופיל 2",IF(AND($O671="משפטים וקטעים קצרים",OR($M671="מבין",$M671="מבין לרוב")),"פרופיל 1","פרופיל 2")))))))</f>
        <v/>
      </c>
      <c r="R671" s="32">
        <f>IF($C671="","",IF(OR($Q671="",LEFT($Q671,1)="—"),"קבוצה רביעית",IF($Q671="פרופיל 5","קבוצת תשתיות",IF(OR($Q671="פרופיל 4",$Q671="פרופיל 3"),"קבוצת רכישה","קבוצת ביסוס"))))</f>
        <v/>
      </c>
      <c r="S671" s="32">
        <f>IF($F671="","",IF($F671="תחילת שנה",1,IF($F671="מחצית שנה",2,3)))</f>
        <v/>
      </c>
      <c r="T671" s="32">
        <f>IF(OR($B671="",$R671="",$A671="",$F671=""),"",$B671&amp;"|"&amp;$A671&amp;"|"&amp;$F671&amp;"|"&amp;$R671&amp;"|"&amp;COUNTIFS($B$6:$B671,$B671,$A$6:$A671,$A671,$F$6:$F671,$F671,$R$6:$R671,$R671))</f>
        <v/>
      </c>
      <c r="U671" s="32">
        <f>IF($C671="","",$C671&amp;"|"&amp;COUNTIFS($C$6:$C671,$C671))</f>
        <v/>
      </c>
      <c r="V671" s="32">
        <f>IF(OR($C671="",$A671="",$S671=""),"",$C671&amp;"|"&amp;$A671&amp;"|"&amp;$S671)</f>
        <v/>
      </c>
      <c r="W671" s="32">
        <f>IF(OR($C671="",$S671="",$S671=1),"",IFERROR(INDEX($Q$6:$Q$1505,MATCH($C671&amp;"|"&amp;$A671&amp;"|"&amp;($S671-1),$V$6:$V$1505,0)),""))</f>
        <v/>
      </c>
      <c r="X671" s="32">
        <f>IF(OR($W671="",$Q671="",LEFT($Q671,1)="—"),"",IF($W671=$Q671,"ללא שינוי","מ-"&amp;$W671&amp;" ל-"&amp;$Q671))</f>
        <v/>
      </c>
    </row>
    <row r="672" ht="15.75" customHeight="1" s="58">
      <c r="A672" s="65" t="n"/>
      <c r="B672" s="65" t="n"/>
      <c r="C672" s="66" t="n"/>
      <c r="D672" s="66" t="n"/>
      <c r="E672" s="65" t="n"/>
      <c r="F672" s="65" t="n"/>
      <c r="G672" s="65" t="n"/>
      <c r="H672" s="65" t="n"/>
      <c r="I672" s="65" t="n"/>
      <c r="J672" s="65" t="n"/>
      <c r="K672" s="65" t="n"/>
      <c r="L672" s="65" t="n"/>
      <c r="M672" s="65" t="n"/>
      <c r="N672" s="65" t="n"/>
      <c r="O672" s="65" t="n"/>
      <c r="P672" s="65" t="n"/>
      <c r="Q672" s="32">
        <f>IF($C672="","",IF($J672="","— חסרים נתונים",IF($J672="טרם מפענח","פרופיל 5",IF($J672="קמץ/פתח/חטף-פתח ושוואים","פרופיל 4",IF($J672="2-3 סימני ניקוד","פרופיל 3",IF($J672="4-5 סימני ניקוד","פרופיל 2",IF(AND($O672="משפטים וקטעים קצרים",OR($M672="מבין",$M672="מבין לרוב")),"פרופיל 1","פרופיל 2")))))))</f>
        <v/>
      </c>
      <c r="R672" s="32">
        <f>IF($C672="","",IF(OR($Q672="",LEFT($Q672,1)="—"),"קבוצה רביעית",IF($Q672="פרופיל 5","קבוצת תשתיות",IF(OR($Q672="פרופיל 4",$Q672="פרופיל 3"),"קבוצת רכישה","קבוצת ביסוס"))))</f>
        <v/>
      </c>
      <c r="S672" s="32">
        <f>IF($F672="","",IF($F672="תחילת שנה",1,IF($F672="מחצית שנה",2,3)))</f>
        <v/>
      </c>
      <c r="T672" s="32">
        <f>IF(OR($B672="",$R672="",$A672="",$F672=""),"",$B672&amp;"|"&amp;$A672&amp;"|"&amp;$F672&amp;"|"&amp;$R672&amp;"|"&amp;COUNTIFS($B$6:$B672,$B672,$A$6:$A672,$A672,$F$6:$F672,$F672,$R$6:$R672,$R672))</f>
        <v/>
      </c>
      <c r="U672" s="32">
        <f>IF($C672="","",$C672&amp;"|"&amp;COUNTIFS($C$6:$C672,$C672))</f>
        <v/>
      </c>
      <c r="V672" s="32">
        <f>IF(OR($C672="",$A672="",$S672=""),"",$C672&amp;"|"&amp;$A672&amp;"|"&amp;$S672)</f>
        <v/>
      </c>
      <c r="W672" s="32">
        <f>IF(OR($C672="",$S672="",$S672=1),"",IFERROR(INDEX($Q$6:$Q$1505,MATCH($C672&amp;"|"&amp;$A672&amp;"|"&amp;($S672-1),$V$6:$V$1505,0)),""))</f>
        <v/>
      </c>
      <c r="X672" s="32">
        <f>IF(OR($W672="",$Q672="",LEFT($Q672,1)="—"),"",IF($W672=$Q672,"ללא שינוי","מ-"&amp;$W672&amp;" ל-"&amp;$Q672))</f>
        <v/>
      </c>
    </row>
    <row r="673" ht="15.75" customHeight="1" s="58">
      <c r="A673" s="65" t="n"/>
      <c r="B673" s="65" t="n"/>
      <c r="C673" s="66" t="n"/>
      <c r="D673" s="66" t="n"/>
      <c r="E673" s="65" t="n"/>
      <c r="F673" s="65" t="n"/>
      <c r="G673" s="65" t="n"/>
      <c r="H673" s="65" t="n"/>
      <c r="I673" s="65" t="n"/>
      <c r="J673" s="65" t="n"/>
      <c r="K673" s="65" t="n"/>
      <c r="L673" s="65" t="n"/>
      <c r="M673" s="65" t="n"/>
      <c r="N673" s="65" t="n"/>
      <c r="O673" s="65" t="n"/>
      <c r="P673" s="65" t="n"/>
      <c r="Q673" s="32">
        <f>IF($C673="","",IF($J673="","— חסרים נתונים",IF($J673="טרם מפענח","פרופיל 5",IF($J673="קמץ/פתח/חטף-פתח ושוואים","פרופיל 4",IF($J673="2-3 סימני ניקוד","פרופיל 3",IF($J673="4-5 סימני ניקוד","פרופיל 2",IF(AND($O673="משפטים וקטעים קצרים",OR($M673="מבין",$M673="מבין לרוב")),"פרופיל 1","פרופיל 2")))))))</f>
        <v/>
      </c>
      <c r="R673" s="32">
        <f>IF($C673="","",IF(OR($Q673="",LEFT($Q673,1)="—"),"קבוצה רביעית",IF($Q673="פרופיל 5","קבוצת תשתיות",IF(OR($Q673="פרופיל 4",$Q673="פרופיל 3"),"קבוצת רכישה","קבוצת ביסוס"))))</f>
        <v/>
      </c>
      <c r="S673" s="32">
        <f>IF($F673="","",IF($F673="תחילת שנה",1,IF($F673="מחצית שנה",2,3)))</f>
        <v/>
      </c>
      <c r="T673" s="32">
        <f>IF(OR($B673="",$R673="",$A673="",$F673=""),"",$B673&amp;"|"&amp;$A673&amp;"|"&amp;$F673&amp;"|"&amp;$R673&amp;"|"&amp;COUNTIFS($B$6:$B673,$B673,$A$6:$A673,$A673,$F$6:$F673,$F673,$R$6:$R673,$R673))</f>
        <v/>
      </c>
      <c r="U673" s="32">
        <f>IF($C673="","",$C673&amp;"|"&amp;COUNTIFS($C$6:$C673,$C673))</f>
        <v/>
      </c>
      <c r="V673" s="32">
        <f>IF(OR($C673="",$A673="",$S673=""),"",$C673&amp;"|"&amp;$A673&amp;"|"&amp;$S673)</f>
        <v/>
      </c>
      <c r="W673" s="32">
        <f>IF(OR($C673="",$S673="",$S673=1),"",IFERROR(INDEX($Q$6:$Q$1505,MATCH($C673&amp;"|"&amp;$A673&amp;"|"&amp;($S673-1),$V$6:$V$1505,0)),""))</f>
        <v/>
      </c>
      <c r="X673" s="32">
        <f>IF(OR($W673="",$Q673="",LEFT($Q673,1)="—"),"",IF($W673=$Q673,"ללא שינוי","מ-"&amp;$W673&amp;" ל-"&amp;$Q673))</f>
        <v/>
      </c>
    </row>
    <row r="674" ht="15.75" customHeight="1" s="58">
      <c r="A674" s="65" t="n"/>
      <c r="B674" s="65" t="n"/>
      <c r="C674" s="66" t="n"/>
      <c r="D674" s="66" t="n"/>
      <c r="E674" s="65" t="n"/>
      <c r="F674" s="65" t="n"/>
      <c r="G674" s="65" t="n"/>
      <c r="H674" s="65" t="n"/>
      <c r="I674" s="65" t="n"/>
      <c r="J674" s="65" t="n"/>
      <c r="K674" s="65" t="n"/>
      <c r="L674" s="65" t="n"/>
      <c r="M674" s="65" t="n"/>
      <c r="N674" s="65" t="n"/>
      <c r="O674" s="65" t="n"/>
      <c r="P674" s="65" t="n"/>
      <c r="Q674" s="32">
        <f>IF($C674="","",IF($J674="","— חסרים נתונים",IF($J674="טרם מפענח","פרופיל 5",IF($J674="קמץ/פתח/חטף-פתח ושוואים","פרופיל 4",IF($J674="2-3 סימני ניקוד","פרופיל 3",IF($J674="4-5 סימני ניקוד","פרופיל 2",IF(AND($O674="משפטים וקטעים קצרים",OR($M674="מבין",$M674="מבין לרוב")),"פרופיל 1","פרופיל 2")))))))</f>
        <v/>
      </c>
      <c r="R674" s="32">
        <f>IF($C674="","",IF(OR($Q674="",LEFT($Q674,1)="—"),"קבוצה רביעית",IF($Q674="פרופיל 5","קבוצת תשתיות",IF(OR($Q674="פרופיל 4",$Q674="פרופיל 3"),"קבוצת רכישה","קבוצת ביסוס"))))</f>
        <v/>
      </c>
      <c r="S674" s="32">
        <f>IF($F674="","",IF($F674="תחילת שנה",1,IF($F674="מחצית שנה",2,3)))</f>
        <v/>
      </c>
      <c r="T674" s="32">
        <f>IF(OR($B674="",$R674="",$A674="",$F674=""),"",$B674&amp;"|"&amp;$A674&amp;"|"&amp;$F674&amp;"|"&amp;$R674&amp;"|"&amp;COUNTIFS($B$6:$B674,$B674,$A$6:$A674,$A674,$F$6:$F674,$F674,$R$6:$R674,$R674))</f>
        <v/>
      </c>
      <c r="U674" s="32">
        <f>IF($C674="","",$C674&amp;"|"&amp;COUNTIFS($C$6:$C674,$C674))</f>
        <v/>
      </c>
      <c r="V674" s="32">
        <f>IF(OR($C674="",$A674="",$S674=""),"",$C674&amp;"|"&amp;$A674&amp;"|"&amp;$S674)</f>
        <v/>
      </c>
      <c r="W674" s="32">
        <f>IF(OR($C674="",$S674="",$S674=1),"",IFERROR(INDEX($Q$6:$Q$1505,MATCH($C674&amp;"|"&amp;$A674&amp;"|"&amp;($S674-1),$V$6:$V$1505,0)),""))</f>
        <v/>
      </c>
      <c r="X674" s="32">
        <f>IF(OR($W674="",$Q674="",LEFT($Q674,1)="—"),"",IF($W674=$Q674,"ללא שינוי","מ-"&amp;$W674&amp;" ל-"&amp;$Q674))</f>
        <v/>
      </c>
    </row>
    <row r="675" ht="15.75" customHeight="1" s="58">
      <c r="A675" s="65" t="n"/>
      <c r="B675" s="65" t="n"/>
      <c r="C675" s="66" t="n"/>
      <c r="D675" s="66" t="n"/>
      <c r="E675" s="65" t="n"/>
      <c r="F675" s="65" t="n"/>
      <c r="G675" s="65" t="n"/>
      <c r="H675" s="65" t="n"/>
      <c r="I675" s="65" t="n"/>
      <c r="J675" s="65" t="n"/>
      <c r="K675" s="65" t="n"/>
      <c r="L675" s="65" t="n"/>
      <c r="M675" s="65" t="n"/>
      <c r="N675" s="65" t="n"/>
      <c r="O675" s="65" t="n"/>
      <c r="P675" s="65" t="n"/>
      <c r="Q675" s="32">
        <f>IF($C675="","",IF($J675="","— חסרים נתונים",IF($J675="טרם מפענח","פרופיל 5",IF($J675="קמץ/פתח/חטף-פתח ושוואים","פרופיל 4",IF($J675="2-3 סימני ניקוד","פרופיל 3",IF($J675="4-5 סימני ניקוד","פרופיל 2",IF(AND($O675="משפטים וקטעים קצרים",OR($M675="מבין",$M675="מבין לרוב")),"פרופיל 1","פרופיל 2")))))))</f>
        <v/>
      </c>
      <c r="R675" s="32">
        <f>IF($C675="","",IF(OR($Q675="",LEFT($Q675,1)="—"),"קבוצה רביעית",IF($Q675="פרופיל 5","קבוצת תשתיות",IF(OR($Q675="פרופיל 4",$Q675="פרופיל 3"),"קבוצת רכישה","קבוצת ביסוס"))))</f>
        <v/>
      </c>
      <c r="S675" s="32">
        <f>IF($F675="","",IF($F675="תחילת שנה",1,IF($F675="מחצית שנה",2,3)))</f>
        <v/>
      </c>
      <c r="T675" s="32">
        <f>IF(OR($B675="",$R675="",$A675="",$F675=""),"",$B675&amp;"|"&amp;$A675&amp;"|"&amp;$F675&amp;"|"&amp;$R675&amp;"|"&amp;COUNTIFS($B$6:$B675,$B675,$A$6:$A675,$A675,$F$6:$F675,$F675,$R$6:$R675,$R675))</f>
        <v/>
      </c>
      <c r="U675" s="32">
        <f>IF($C675="","",$C675&amp;"|"&amp;COUNTIFS($C$6:$C675,$C675))</f>
        <v/>
      </c>
      <c r="V675" s="32">
        <f>IF(OR($C675="",$A675="",$S675=""),"",$C675&amp;"|"&amp;$A675&amp;"|"&amp;$S675)</f>
        <v/>
      </c>
      <c r="W675" s="32">
        <f>IF(OR($C675="",$S675="",$S675=1),"",IFERROR(INDEX($Q$6:$Q$1505,MATCH($C675&amp;"|"&amp;$A675&amp;"|"&amp;($S675-1),$V$6:$V$1505,0)),""))</f>
        <v/>
      </c>
      <c r="X675" s="32">
        <f>IF(OR($W675="",$Q675="",LEFT($Q675,1)="—"),"",IF($W675=$Q675,"ללא שינוי","מ-"&amp;$W675&amp;" ל-"&amp;$Q675))</f>
        <v/>
      </c>
    </row>
    <row r="676" ht="15.75" customHeight="1" s="58">
      <c r="A676" s="65" t="n"/>
      <c r="B676" s="65" t="n"/>
      <c r="C676" s="66" t="n"/>
      <c r="D676" s="66" t="n"/>
      <c r="E676" s="65" t="n"/>
      <c r="F676" s="65" t="n"/>
      <c r="G676" s="65" t="n"/>
      <c r="H676" s="65" t="n"/>
      <c r="I676" s="65" t="n"/>
      <c r="J676" s="65" t="n"/>
      <c r="K676" s="65" t="n"/>
      <c r="L676" s="65" t="n"/>
      <c r="M676" s="65" t="n"/>
      <c r="N676" s="65" t="n"/>
      <c r="O676" s="65" t="n"/>
      <c r="P676" s="65" t="n"/>
      <c r="Q676" s="32">
        <f>IF($C676="","",IF($J676="","— חסרים נתונים",IF($J676="טרם מפענח","פרופיל 5",IF($J676="קמץ/פתח/חטף-פתח ושוואים","פרופיל 4",IF($J676="2-3 סימני ניקוד","פרופיל 3",IF($J676="4-5 סימני ניקוד","פרופיל 2",IF(AND($O676="משפטים וקטעים קצרים",OR($M676="מבין",$M676="מבין לרוב")),"פרופיל 1","פרופיל 2")))))))</f>
        <v/>
      </c>
      <c r="R676" s="32">
        <f>IF($C676="","",IF(OR($Q676="",LEFT($Q676,1)="—"),"קבוצה רביעית",IF($Q676="פרופיל 5","קבוצת תשתיות",IF(OR($Q676="פרופיל 4",$Q676="פרופיל 3"),"קבוצת רכישה","קבוצת ביסוס"))))</f>
        <v/>
      </c>
      <c r="S676" s="32">
        <f>IF($F676="","",IF($F676="תחילת שנה",1,IF($F676="מחצית שנה",2,3)))</f>
        <v/>
      </c>
      <c r="T676" s="32">
        <f>IF(OR($B676="",$R676="",$A676="",$F676=""),"",$B676&amp;"|"&amp;$A676&amp;"|"&amp;$F676&amp;"|"&amp;$R676&amp;"|"&amp;COUNTIFS($B$6:$B676,$B676,$A$6:$A676,$A676,$F$6:$F676,$F676,$R$6:$R676,$R676))</f>
        <v/>
      </c>
      <c r="U676" s="32">
        <f>IF($C676="","",$C676&amp;"|"&amp;COUNTIFS($C$6:$C676,$C676))</f>
        <v/>
      </c>
      <c r="V676" s="32">
        <f>IF(OR($C676="",$A676="",$S676=""),"",$C676&amp;"|"&amp;$A676&amp;"|"&amp;$S676)</f>
        <v/>
      </c>
      <c r="W676" s="32">
        <f>IF(OR($C676="",$S676="",$S676=1),"",IFERROR(INDEX($Q$6:$Q$1505,MATCH($C676&amp;"|"&amp;$A676&amp;"|"&amp;($S676-1),$V$6:$V$1505,0)),""))</f>
        <v/>
      </c>
      <c r="X676" s="32">
        <f>IF(OR($W676="",$Q676="",LEFT($Q676,1)="—"),"",IF($W676=$Q676,"ללא שינוי","מ-"&amp;$W676&amp;" ל-"&amp;$Q676))</f>
        <v/>
      </c>
    </row>
    <row r="677" ht="15.75" customHeight="1" s="58">
      <c r="A677" s="65" t="n"/>
      <c r="B677" s="65" t="n"/>
      <c r="C677" s="66" t="n"/>
      <c r="D677" s="66" t="n"/>
      <c r="E677" s="65" t="n"/>
      <c r="F677" s="65" t="n"/>
      <c r="G677" s="65" t="n"/>
      <c r="H677" s="65" t="n"/>
      <c r="I677" s="65" t="n"/>
      <c r="J677" s="65" t="n"/>
      <c r="K677" s="65" t="n"/>
      <c r="L677" s="65" t="n"/>
      <c r="M677" s="65" t="n"/>
      <c r="N677" s="65" t="n"/>
      <c r="O677" s="65" t="n"/>
      <c r="P677" s="65" t="n"/>
      <c r="Q677" s="32">
        <f>IF($C677="","",IF($J677="","— חסרים נתונים",IF($J677="טרם מפענח","פרופיל 5",IF($J677="קמץ/פתח/חטף-פתח ושוואים","פרופיל 4",IF($J677="2-3 סימני ניקוד","פרופיל 3",IF($J677="4-5 סימני ניקוד","פרופיל 2",IF(AND($O677="משפטים וקטעים קצרים",OR($M677="מבין",$M677="מבין לרוב")),"פרופיל 1","פרופיל 2")))))))</f>
        <v/>
      </c>
      <c r="R677" s="32">
        <f>IF($C677="","",IF(OR($Q677="",LEFT($Q677,1)="—"),"קבוצה רביעית",IF($Q677="פרופיל 5","קבוצת תשתיות",IF(OR($Q677="פרופיל 4",$Q677="פרופיל 3"),"קבוצת רכישה","קבוצת ביסוס"))))</f>
        <v/>
      </c>
      <c r="S677" s="32">
        <f>IF($F677="","",IF($F677="תחילת שנה",1,IF($F677="מחצית שנה",2,3)))</f>
        <v/>
      </c>
      <c r="T677" s="32">
        <f>IF(OR($B677="",$R677="",$A677="",$F677=""),"",$B677&amp;"|"&amp;$A677&amp;"|"&amp;$F677&amp;"|"&amp;$R677&amp;"|"&amp;COUNTIFS($B$6:$B677,$B677,$A$6:$A677,$A677,$F$6:$F677,$F677,$R$6:$R677,$R677))</f>
        <v/>
      </c>
      <c r="U677" s="32">
        <f>IF($C677="","",$C677&amp;"|"&amp;COUNTIFS($C$6:$C677,$C677))</f>
        <v/>
      </c>
      <c r="V677" s="32">
        <f>IF(OR($C677="",$A677="",$S677=""),"",$C677&amp;"|"&amp;$A677&amp;"|"&amp;$S677)</f>
        <v/>
      </c>
      <c r="W677" s="32">
        <f>IF(OR($C677="",$S677="",$S677=1),"",IFERROR(INDEX($Q$6:$Q$1505,MATCH($C677&amp;"|"&amp;$A677&amp;"|"&amp;($S677-1),$V$6:$V$1505,0)),""))</f>
        <v/>
      </c>
      <c r="X677" s="32">
        <f>IF(OR($W677="",$Q677="",LEFT($Q677,1)="—"),"",IF($W677=$Q677,"ללא שינוי","מ-"&amp;$W677&amp;" ל-"&amp;$Q677))</f>
        <v/>
      </c>
    </row>
    <row r="678" ht="15.75" customHeight="1" s="58">
      <c r="A678" s="65" t="n"/>
      <c r="B678" s="65" t="n"/>
      <c r="C678" s="66" t="n"/>
      <c r="D678" s="66" t="n"/>
      <c r="E678" s="65" t="n"/>
      <c r="F678" s="65" t="n"/>
      <c r="G678" s="65" t="n"/>
      <c r="H678" s="65" t="n"/>
      <c r="I678" s="65" t="n"/>
      <c r="J678" s="65" t="n"/>
      <c r="K678" s="65" t="n"/>
      <c r="L678" s="65" t="n"/>
      <c r="M678" s="65" t="n"/>
      <c r="N678" s="65" t="n"/>
      <c r="O678" s="65" t="n"/>
      <c r="P678" s="65" t="n"/>
      <c r="Q678" s="32">
        <f>IF($C678="","",IF($J678="","— חסרים נתונים",IF($J678="טרם מפענח","פרופיל 5",IF($J678="קמץ/פתח/חטף-פתח ושוואים","פרופיל 4",IF($J678="2-3 סימני ניקוד","פרופיל 3",IF($J678="4-5 סימני ניקוד","פרופיל 2",IF(AND($O678="משפטים וקטעים קצרים",OR($M678="מבין",$M678="מבין לרוב")),"פרופיל 1","פרופיל 2")))))))</f>
        <v/>
      </c>
      <c r="R678" s="32">
        <f>IF($C678="","",IF(OR($Q678="",LEFT($Q678,1)="—"),"קבוצה רביעית",IF($Q678="פרופיל 5","קבוצת תשתיות",IF(OR($Q678="פרופיל 4",$Q678="פרופיל 3"),"קבוצת רכישה","קבוצת ביסוס"))))</f>
        <v/>
      </c>
      <c r="S678" s="32">
        <f>IF($F678="","",IF($F678="תחילת שנה",1,IF($F678="מחצית שנה",2,3)))</f>
        <v/>
      </c>
      <c r="T678" s="32">
        <f>IF(OR($B678="",$R678="",$A678="",$F678=""),"",$B678&amp;"|"&amp;$A678&amp;"|"&amp;$F678&amp;"|"&amp;$R678&amp;"|"&amp;COUNTIFS($B$6:$B678,$B678,$A$6:$A678,$A678,$F$6:$F678,$F678,$R$6:$R678,$R678))</f>
        <v/>
      </c>
      <c r="U678" s="32">
        <f>IF($C678="","",$C678&amp;"|"&amp;COUNTIFS($C$6:$C678,$C678))</f>
        <v/>
      </c>
      <c r="V678" s="32">
        <f>IF(OR($C678="",$A678="",$S678=""),"",$C678&amp;"|"&amp;$A678&amp;"|"&amp;$S678)</f>
        <v/>
      </c>
      <c r="W678" s="32">
        <f>IF(OR($C678="",$S678="",$S678=1),"",IFERROR(INDEX($Q$6:$Q$1505,MATCH($C678&amp;"|"&amp;$A678&amp;"|"&amp;($S678-1),$V$6:$V$1505,0)),""))</f>
        <v/>
      </c>
      <c r="X678" s="32">
        <f>IF(OR($W678="",$Q678="",LEFT($Q678,1)="—"),"",IF($W678=$Q678,"ללא שינוי","מ-"&amp;$W678&amp;" ל-"&amp;$Q678))</f>
        <v/>
      </c>
    </row>
    <row r="679" ht="15.75" customHeight="1" s="58">
      <c r="A679" s="65" t="n"/>
      <c r="B679" s="65" t="n"/>
      <c r="C679" s="66" t="n"/>
      <c r="D679" s="66" t="n"/>
      <c r="E679" s="65" t="n"/>
      <c r="F679" s="65" t="n"/>
      <c r="G679" s="65" t="n"/>
      <c r="H679" s="65" t="n"/>
      <c r="I679" s="65" t="n"/>
      <c r="J679" s="65" t="n"/>
      <c r="K679" s="65" t="n"/>
      <c r="L679" s="65" t="n"/>
      <c r="M679" s="65" t="n"/>
      <c r="N679" s="65" t="n"/>
      <c r="O679" s="65" t="n"/>
      <c r="P679" s="65" t="n"/>
      <c r="Q679" s="32">
        <f>IF($C679="","",IF($J679="","— חסרים נתונים",IF($J679="טרם מפענח","פרופיל 5",IF($J679="קמץ/פתח/חטף-פתח ושוואים","פרופיל 4",IF($J679="2-3 סימני ניקוד","פרופיל 3",IF($J679="4-5 סימני ניקוד","פרופיל 2",IF(AND($O679="משפטים וקטעים קצרים",OR($M679="מבין",$M679="מבין לרוב")),"פרופיל 1","פרופיל 2")))))))</f>
        <v/>
      </c>
      <c r="R679" s="32">
        <f>IF($C679="","",IF(OR($Q679="",LEFT($Q679,1)="—"),"קבוצה רביעית",IF($Q679="פרופיל 5","קבוצת תשתיות",IF(OR($Q679="פרופיל 4",$Q679="פרופיל 3"),"קבוצת רכישה","קבוצת ביסוס"))))</f>
        <v/>
      </c>
      <c r="S679" s="32">
        <f>IF($F679="","",IF($F679="תחילת שנה",1,IF($F679="מחצית שנה",2,3)))</f>
        <v/>
      </c>
      <c r="T679" s="32">
        <f>IF(OR($B679="",$R679="",$A679="",$F679=""),"",$B679&amp;"|"&amp;$A679&amp;"|"&amp;$F679&amp;"|"&amp;$R679&amp;"|"&amp;COUNTIFS($B$6:$B679,$B679,$A$6:$A679,$A679,$F$6:$F679,$F679,$R$6:$R679,$R679))</f>
        <v/>
      </c>
      <c r="U679" s="32">
        <f>IF($C679="","",$C679&amp;"|"&amp;COUNTIFS($C$6:$C679,$C679))</f>
        <v/>
      </c>
      <c r="V679" s="32">
        <f>IF(OR($C679="",$A679="",$S679=""),"",$C679&amp;"|"&amp;$A679&amp;"|"&amp;$S679)</f>
        <v/>
      </c>
      <c r="W679" s="32">
        <f>IF(OR($C679="",$S679="",$S679=1),"",IFERROR(INDEX($Q$6:$Q$1505,MATCH($C679&amp;"|"&amp;$A679&amp;"|"&amp;($S679-1),$V$6:$V$1505,0)),""))</f>
        <v/>
      </c>
      <c r="X679" s="32">
        <f>IF(OR($W679="",$Q679="",LEFT($Q679,1)="—"),"",IF($W679=$Q679,"ללא שינוי","מ-"&amp;$W679&amp;" ל-"&amp;$Q679))</f>
        <v/>
      </c>
    </row>
    <row r="680" ht="15.75" customHeight="1" s="58">
      <c r="A680" s="65" t="n"/>
      <c r="B680" s="65" t="n"/>
      <c r="C680" s="66" t="n"/>
      <c r="D680" s="66" t="n"/>
      <c r="E680" s="65" t="n"/>
      <c r="F680" s="65" t="n"/>
      <c r="G680" s="65" t="n"/>
      <c r="H680" s="65" t="n"/>
      <c r="I680" s="65" t="n"/>
      <c r="J680" s="65" t="n"/>
      <c r="K680" s="65" t="n"/>
      <c r="L680" s="65" t="n"/>
      <c r="M680" s="65" t="n"/>
      <c r="N680" s="65" t="n"/>
      <c r="O680" s="65" t="n"/>
      <c r="P680" s="65" t="n"/>
      <c r="Q680" s="32">
        <f>IF($C680="","",IF($J680="","— חסרים נתונים",IF($J680="טרם מפענח","פרופיל 5",IF($J680="קמץ/פתח/חטף-פתח ושוואים","פרופיל 4",IF($J680="2-3 סימני ניקוד","פרופיל 3",IF($J680="4-5 סימני ניקוד","פרופיל 2",IF(AND($O680="משפטים וקטעים קצרים",OR($M680="מבין",$M680="מבין לרוב")),"פרופיל 1","פרופיל 2")))))))</f>
        <v/>
      </c>
      <c r="R680" s="32">
        <f>IF($C680="","",IF(OR($Q680="",LEFT($Q680,1)="—"),"קבוצה רביעית",IF($Q680="פרופיל 5","קבוצת תשתיות",IF(OR($Q680="פרופיל 4",$Q680="פרופיל 3"),"קבוצת רכישה","קבוצת ביסוס"))))</f>
        <v/>
      </c>
      <c r="S680" s="32">
        <f>IF($F680="","",IF($F680="תחילת שנה",1,IF($F680="מחצית שנה",2,3)))</f>
        <v/>
      </c>
      <c r="T680" s="32">
        <f>IF(OR($B680="",$R680="",$A680="",$F680=""),"",$B680&amp;"|"&amp;$A680&amp;"|"&amp;$F680&amp;"|"&amp;$R680&amp;"|"&amp;COUNTIFS($B$6:$B680,$B680,$A$6:$A680,$A680,$F$6:$F680,$F680,$R$6:$R680,$R680))</f>
        <v/>
      </c>
      <c r="U680" s="32">
        <f>IF($C680="","",$C680&amp;"|"&amp;COUNTIFS($C$6:$C680,$C680))</f>
        <v/>
      </c>
      <c r="V680" s="32">
        <f>IF(OR($C680="",$A680="",$S680=""),"",$C680&amp;"|"&amp;$A680&amp;"|"&amp;$S680)</f>
        <v/>
      </c>
      <c r="W680" s="32">
        <f>IF(OR($C680="",$S680="",$S680=1),"",IFERROR(INDEX($Q$6:$Q$1505,MATCH($C680&amp;"|"&amp;$A680&amp;"|"&amp;($S680-1),$V$6:$V$1505,0)),""))</f>
        <v/>
      </c>
      <c r="X680" s="32">
        <f>IF(OR($W680="",$Q680="",LEFT($Q680,1)="—"),"",IF($W680=$Q680,"ללא שינוי","מ-"&amp;$W680&amp;" ל-"&amp;$Q680))</f>
        <v/>
      </c>
    </row>
    <row r="681" ht="15.75" customHeight="1" s="58">
      <c r="A681" s="65" t="n"/>
      <c r="B681" s="65" t="n"/>
      <c r="C681" s="66" t="n"/>
      <c r="D681" s="66" t="n"/>
      <c r="E681" s="65" t="n"/>
      <c r="F681" s="65" t="n"/>
      <c r="G681" s="65" t="n"/>
      <c r="H681" s="65" t="n"/>
      <c r="I681" s="65" t="n"/>
      <c r="J681" s="65" t="n"/>
      <c r="K681" s="65" t="n"/>
      <c r="L681" s="65" t="n"/>
      <c r="M681" s="65" t="n"/>
      <c r="N681" s="65" t="n"/>
      <c r="O681" s="65" t="n"/>
      <c r="P681" s="65" t="n"/>
      <c r="Q681" s="32">
        <f>IF($C681="","",IF($J681="","— חסרים נתונים",IF($J681="טרם מפענח","פרופיל 5",IF($J681="קמץ/פתח/חטף-פתח ושוואים","פרופיל 4",IF($J681="2-3 סימני ניקוד","פרופיל 3",IF($J681="4-5 סימני ניקוד","פרופיל 2",IF(AND($O681="משפטים וקטעים קצרים",OR($M681="מבין",$M681="מבין לרוב")),"פרופיל 1","פרופיל 2")))))))</f>
        <v/>
      </c>
      <c r="R681" s="32">
        <f>IF($C681="","",IF(OR($Q681="",LEFT($Q681,1)="—"),"קבוצה רביעית",IF($Q681="פרופיל 5","קבוצת תשתיות",IF(OR($Q681="פרופיל 4",$Q681="פרופיל 3"),"קבוצת רכישה","קבוצת ביסוס"))))</f>
        <v/>
      </c>
      <c r="S681" s="32">
        <f>IF($F681="","",IF($F681="תחילת שנה",1,IF($F681="מחצית שנה",2,3)))</f>
        <v/>
      </c>
      <c r="T681" s="32">
        <f>IF(OR($B681="",$R681="",$A681="",$F681=""),"",$B681&amp;"|"&amp;$A681&amp;"|"&amp;$F681&amp;"|"&amp;$R681&amp;"|"&amp;COUNTIFS($B$6:$B681,$B681,$A$6:$A681,$A681,$F$6:$F681,$F681,$R$6:$R681,$R681))</f>
        <v/>
      </c>
      <c r="U681" s="32">
        <f>IF($C681="","",$C681&amp;"|"&amp;COUNTIFS($C$6:$C681,$C681))</f>
        <v/>
      </c>
      <c r="V681" s="32">
        <f>IF(OR($C681="",$A681="",$S681=""),"",$C681&amp;"|"&amp;$A681&amp;"|"&amp;$S681)</f>
        <v/>
      </c>
      <c r="W681" s="32">
        <f>IF(OR($C681="",$S681="",$S681=1),"",IFERROR(INDEX($Q$6:$Q$1505,MATCH($C681&amp;"|"&amp;$A681&amp;"|"&amp;($S681-1),$V$6:$V$1505,0)),""))</f>
        <v/>
      </c>
      <c r="X681" s="32">
        <f>IF(OR($W681="",$Q681="",LEFT($Q681,1)="—"),"",IF($W681=$Q681,"ללא שינוי","מ-"&amp;$W681&amp;" ל-"&amp;$Q681))</f>
        <v/>
      </c>
    </row>
    <row r="682" ht="15.75" customHeight="1" s="58">
      <c r="A682" s="65" t="n"/>
      <c r="B682" s="65" t="n"/>
      <c r="C682" s="66" t="n"/>
      <c r="D682" s="66" t="n"/>
      <c r="E682" s="65" t="n"/>
      <c r="F682" s="65" t="n"/>
      <c r="G682" s="65" t="n"/>
      <c r="H682" s="65" t="n"/>
      <c r="I682" s="65" t="n"/>
      <c r="J682" s="65" t="n"/>
      <c r="K682" s="65" t="n"/>
      <c r="L682" s="65" t="n"/>
      <c r="M682" s="65" t="n"/>
      <c r="N682" s="65" t="n"/>
      <c r="O682" s="65" t="n"/>
      <c r="P682" s="65" t="n"/>
      <c r="Q682" s="32">
        <f>IF($C682="","",IF($J682="","— חסרים נתונים",IF($J682="טרם מפענח","פרופיל 5",IF($J682="קמץ/פתח/חטף-פתח ושוואים","פרופיל 4",IF($J682="2-3 סימני ניקוד","פרופיל 3",IF($J682="4-5 סימני ניקוד","פרופיל 2",IF(AND($O682="משפטים וקטעים קצרים",OR($M682="מבין",$M682="מבין לרוב")),"פרופיל 1","פרופיל 2")))))))</f>
        <v/>
      </c>
      <c r="R682" s="32">
        <f>IF($C682="","",IF(OR($Q682="",LEFT($Q682,1)="—"),"קבוצה רביעית",IF($Q682="פרופיל 5","קבוצת תשתיות",IF(OR($Q682="פרופיל 4",$Q682="פרופיל 3"),"קבוצת רכישה","קבוצת ביסוס"))))</f>
        <v/>
      </c>
      <c r="S682" s="32">
        <f>IF($F682="","",IF($F682="תחילת שנה",1,IF($F682="מחצית שנה",2,3)))</f>
        <v/>
      </c>
      <c r="T682" s="32">
        <f>IF(OR($B682="",$R682="",$A682="",$F682=""),"",$B682&amp;"|"&amp;$A682&amp;"|"&amp;$F682&amp;"|"&amp;$R682&amp;"|"&amp;COUNTIFS($B$6:$B682,$B682,$A$6:$A682,$A682,$F$6:$F682,$F682,$R$6:$R682,$R682))</f>
        <v/>
      </c>
      <c r="U682" s="32">
        <f>IF($C682="","",$C682&amp;"|"&amp;COUNTIFS($C$6:$C682,$C682))</f>
        <v/>
      </c>
      <c r="V682" s="32">
        <f>IF(OR($C682="",$A682="",$S682=""),"",$C682&amp;"|"&amp;$A682&amp;"|"&amp;$S682)</f>
        <v/>
      </c>
      <c r="W682" s="32">
        <f>IF(OR($C682="",$S682="",$S682=1),"",IFERROR(INDEX($Q$6:$Q$1505,MATCH($C682&amp;"|"&amp;$A682&amp;"|"&amp;($S682-1),$V$6:$V$1505,0)),""))</f>
        <v/>
      </c>
      <c r="X682" s="32">
        <f>IF(OR($W682="",$Q682="",LEFT($Q682,1)="—"),"",IF($W682=$Q682,"ללא שינוי","מ-"&amp;$W682&amp;" ל-"&amp;$Q682))</f>
        <v/>
      </c>
    </row>
    <row r="683" ht="15.75" customHeight="1" s="58">
      <c r="A683" s="65" t="n"/>
      <c r="B683" s="65" t="n"/>
      <c r="C683" s="66" t="n"/>
      <c r="D683" s="66" t="n"/>
      <c r="E683" s="65" t="n"/>
      <c r="F683" s="65" t="n"/>
      <c r="G683" s="65" t="n"/>
      <c r="H683" s="65" t="n"/>
      <c r="I683" s="65" t="n"/>
      <c r="J683" s="65" t="n"/>
      <c r="K683" s="65" t="n"/>
      <c r="L683" s="65" t="n"/>
      <c r="M683" s="65" t="n"/>
      <c r="N683" s="65" t="n"/>
      <c r="O683" s="65" t="n"/>
      <c r="P683" s="65" t="n"/>
      <c r="Q683" s="32">
        <f>IF($C683="","",IF($J683="","— חסרים נתונים",IF($J683="טרם מפענח","פרופיל 5",IF($J683="קמץ/פתח/חטף-פתח ושוואים","פרופיל 4",IF($J683="2-3 סימני ניקוד","פרופיל 3",IF($J683="4-5 סימני ניקוד","פרופיל 2",IF(AND($O683="משפטים וקטעים קצרים",OR($M683="מבין",$M683="מבין לרוב")),"פרופיל 1","פרופיל 2")))))))</f>
        <v/>
      </c>
      <c r="R683" s="32">
        <f>IF($C683="","",IF(OR($Q683="",LEFT($Q683,1)="—"),"קבוצה רביעית",IF($Q683="פרופיל 5","קבוצת תשתיות",IF(OR($Q683="פרופיל 4",$Q683="פרופיל 3"),"קבוצת רכישה","קבוצת ביסוס"))))</f>
        <v/>
      </c>
      <c r="S683" s="32">
        <f>IF($F683="","",IF($F683="תחילת שנה",1,IF($F683="מחצית שנה",2,3)))</f>
        <v/>
      </c>
      <c r="T683" s="32">
        <f>IF(OR($B683="",$R683="",$A683="",$F683=""),"",$B683&amp;"|"&amp;$A683&amp;"|"&amp;$F683&amp;"|"&amp;$R683&amp;"|"&amp;COUNTIFS($B$6:$B683,$B683,$A$6:$A683,$A683,$F$6:$F683,$F683,$R$6:$R683,$R683))</f>
        <v/>
      </c>
      <c r="U683" s="32">
        <f>IF($C683="","",$C683&amp;"|"&amp;COUNTIFS($C$6:$C683,$C683))</f>
        <v/>
      </c>
      <c r="V683" s="32">
        <f>IF(OR($C683="",$A683="",$S683=""),"",$C683&amp;"|"&amp;$A683&amp;"|"&amp;$S683)</f>
        <v/>
      </c>
      <c r="W683" s="32">
        <f>IF(OR($C683="",$S683="",$S683=1),"",IFERROR(INDEX($Q$6:$Q$1505,MATCH($C683&amp;"|"&amp;$A683&amp;"|"&amp;($S683-1),$V$6:$V$1505,0)),""))</f>
        <v/>
      </c>
      <c r="X683" s="32">
        <f>IF(OR($W683="",$Q683="",LEFT($Q683,1)="—"),"",IF($W683=$Q683,"ללא שינוי","מ-"&amp;$W683&amp;" ל-"&amp;$Q683))</f>
        <v/>
      </c>
    </row>
    <row r="684" ht="15.75" customHeight="1" s="58">
      <c r="A684" s="65" t="n"/>
      <c r="B684" s="65" t="n"/>
      <c r="C684" s="66" t="n"/>
      <c r="D684" s="66" t="n"/>
      <c r="E684" s="65" t="n"/>
      <c r="F684" s="65" t="n"/>
      <c r="G684" s="65" t="n"/>
      <c r="H684" s="65" t="n"/>
      <c r="I684" s="65" t="n"/>
      <c r="J684" s="65" t="n"/>
      <c r="K684" s="65" t="n"/>
      <c r="L684" s="65" t="n"/>
      <c r="M684" s="65" t="n"/>
      <c r="N684" s="65" t="n"/>
      <c r="O684" s="65" t="n"/>
      <c r="P684" s="65" t="n"/>
      <c r="Q684" s="32">
        <f>IF($C684="","",IF($J684="","— חסרים נתונים",IF($J684="טרם מפענח","פרופיל 5",IF($J684="קמץ/פתח/חטף-פתח ושוואים","פרופיל 4",IF($J684="2-3 סימני ניקוד","פרופיל 3",IF($J684="4-5 סימני ניקוד","פרופיל 2",IF(AND($O684="משפטים וקטעים קצרים",OR($M684="מבין",$M684="מבין לרוב")),"פרופיל 1","פרופיל 2")))))))</f>
        <v/>
      </c>
      <c r="R684" s="32">
        <f>IF($C684="","",IF(OR($Q684="",LEFT($Q684,1)="—"),"קבוצה רביעית",IF($Q684="פרופיל 5","קבוצת תשתיות",IF(OR($Q684="פרופיל 4",$Q684="פרופיל 3"),"קבוצת רכישה","קבוצת ביסוס"))))</f>
        <v/>
      </c>
      <c r="S684" s="32">
        <f>IF($F684="","",IF($F684="תחילת שנה",1,IF($F684="מחצית שנה",2,3)))</f>
        <v/>
      </c>
      <c r="T684" s="32">
        <f>IF(OR($B684="",$R684="",$A684="",$F684=""),"",$B684&amp;"|"&amp;$A684&amp;"|"&amp;$F684&amp;"|"&amp;$R684&amp;"|"&amp;COUNTIFS($B$6:$B684,$B684,$A$6:$A684,$A684,$F$6:$F684,$F684,$R$6:$R684,$R684))</f>
        <v/>
      </c>
      <c r="U684" s="32">
        <f>IF($C684="","",$C684&amp;"|"&amp;COUNTIFS($C$6:$C684,$C684))</f>
        <v/>
      </c>
      <c r="V684" s="32">
        <f>IF(OR($C684="",$A684="",$S684=""),"",$C684&amp;"|"&amp;$A684&amp;"|"&amp;$S684)</f>
        <v/>
      </c>
      <c r="W684" s="32">
        <f>IF(OR($C684="",$S684="",$S684=1),"",IFERROR(INDEX($Q$6:$Q$1505,MATCH($C684&amp;"|"&amp;$A684&amp;"|"&amp;($S684-1),$V$6:$V$1505,0)),""))</f>
        <v/>
      </c>
      <c r="X684" s="32">
        <f>IF(OR($W684="",$Q684="",LEFT($Q684,1)="—"),"",IF($W684=$Q684,"ללא שינוי","מ-"&amp;$W684&amp;" ל-"&amp;$Q684))</f>
        <v/>
      </c>
    </row>
    <row r="685" ht="15.75" customHeight="1" s="58">
      <c r="A685" s="65" t="n"/>
      <c r="B685" s="65" t="n"/>
      <c r="C685" s="66" t="n"/>
      <c r="D685" s="66" t="n"/>
      <c r="E685" s="65" t="n"/>
      <c r="F685" s="65" t="n"/>
      <c r="G685" s="65" t="n"/>
      <c r="H685" s="65" t="n"/>
      <c r="I685" s="65" t="n"/>
      <c r="J685" s="65" t="n"/>
      <c r="K685" s="65" t="n"/>
      <c r="L685" s="65" t="n"/>
      <c r="M685" s="65" t="n"/>
      <c r="N685" s="65" t="n"/>
      <c r="O685" s="65" t="n"/>
      <c r="P685" s="65" t="n"/>
      <c r="Q685" s="32">
        <f>IF($C685="","",IF($J685="","— חסרים נתונים",IF($J685="טרם מפענח","פרופיל 5",IF($J685="קמץ/פתח/חטף-פתח ושוואים","פרופיל 4",IF($J685="2-3 סימני ניקוד","פרופיל 3",IF($J685="4-5 סימני ניקוד","פרופיל 2",IF(AND($O685="משפטים וקטעים קצרים",OR($M685="מבין",$M685="מבין לרוב")),"פרופיל 1","פרופיל 2")))))))</f>
        <v/>
      </c>
      <c r="R685" s="32">
        <f>IF($C685="","",IF(OR($Q685="",LEFT($Q685,1)="—"),"קבוצה רביעית",IF($Q685="פרופיל 5","קבוצת תשתיות",IF(OR($Q685="פרופיל 4",$Q685="פרופיל 3"),"קבוצת רכישה","קבוצת ביסוס"))))</f>
        <v/>
      </c>
      <c r="S685" s="32">
        <f>IF($F685="","",IF($F685="תחילת שנה",1,IF($F685="מחצית שנה",2,3)))</f>
        <v/>
      </c>
      <c r="T685" s="32">
        <f>IF(OR($B685="",$R685="",$A685="",$F685=""),"",$B685&amp;"|"&amp;$A685&amp;"|"&amp;$F685&amp;"|"&amp;$R685&amp;"|"&amp;COUNTIFS($B$6:$B685,$B685,$A$6:$A685,$A685,$F$6:$F685,$F685,$R$6:$R685,$R685))</f>
        <v/>
      </c>
      <c r="U685" s="32">
        <f>IF($C685="","",$C685&amp;"|"&amp;COUNTIFS($C$6:$C685,$C685))</f>
        <v/>
      </c>
      <c r="V685" s="32">
        <f>IF(OR($C685="",$A685="",$S685=""),"",$C685&amp;"|"&amp;$A685&amp;"|"&amp;$S685)</f>
        <v/>
      </c>
      <c r="W685" s="32">
        <f>IF(OR($C685="",$S685="",$S685=1),"",IFERROR(INDEX($Q$6:$Q$1505,MATCH($C685&amp;"|"&amp;$A685&amp;"|"&amp;($S685-1),$V$6:$V$1505,0)),""))</f>
        <v/>
      </c>
      <c r="X685" s="32">
        <f>IF(OR($W685="",$Q685="",LEFT($Q685,1)="—"),"",IF($W685=$Q685,"ללא שינוי","מ-"&amp;$W685&amp;" ל-"&amp;$Q685))</f>
        <v/>
      </c>
    </row>
    <row r="686" ht="15.75" customHeight="1" s="58">
      <c r="A686" s="65" t="n"/>
      <c r="B686" s="65" t="n"/>
      <c r="C686" s="66" t="n"/>
      <c r="D686" s="66" t="n"/>
      <c r="E686" s="65" t="n"/>
      <c r="F686" s="65" t="n"/>
      <c r="G686" s="65" t="n"/>
      <c r="H686" s="65" t="n"/>
      <c r="I686" s="65" t="n"/>
      <c r="J686" s="65" t="n"/>
      <c r="K686" s="65" t="n"/>
      <c r="L686" s="65" t="n"/>
      <c r="M686" s="65" t="n"/>
      <c r="N686" s="65" t="n"/>
      <c r="O686" s="65" t="n"/>
      <c r="P686" s="65" t="n"/>
      <c r="Q686" s="32">
        <f>IF($C686="","",IF($J686="","— חסרים נתונים",IF($J686="טרם מפענח","פרופיל 5",IF($J686="קמץ/פתח/חטף-פתח ושוואים","פרופיל 4",IF($J686="2-3 סימני ניקוד","פרופיל 3",IF($J686="4-5 סימני ניקוד","פרופיל 2",IF(AND($O686="משפטים וקטעים קצרים",OR($M686="מבין",$M686="מבין לרוב")),"פרופיל 1","פרופיל 2")))))))</f>
        <v/>
      </c>
      <c r="R686" s="32">
        <f>IF($C686="","",IF(OR($Q686="",LEFT($Q686,1)="—"),"קבוצה רביעית",IF($Q686="פרופיל 5","קבוצת תשתיות",IF(OR($Q686="פרופיל 4",$Q686="פרופיל 3"),"קבוצת רכישה","קבוצת ביסוס"))))</f>
        <v/>
      </c>
      <c r="S686" s="32">
        <f>IF($F686="","",IF($F686="תחילת שנה",1,IF($F686="מחצית שנה",2,3)))</f>
        <v/>
      </c>
      <c r="T686" s="32">
        <f>IF(OR($B686="",$R686="",$A686="",$F686=""),"",$B686&amp;"|"&amp;$A686&amp;"|"&amp;$F686&amp;"|"&amp;$R686&amp;"|"&amp;COUNTIFS($B$6:$B686,$B686,$A$6:$A686,$A686,$F$6:$F686,$F686,$R$6:$R686,$R686))</f>
        <v/>
      </c>
      <c r="U686" s="32">
        <f>IF($C686="","",$C686&amp;"|"&amp;COUNTIFS($C$6:$C686,$C686))</f>
        <v/>
      </c>
      <c r="V686" s="32">
        <f>IF(OR($C686="",$A686="",$S686=""),"",$C686&amp;"|"&amp;$A686&amp;"|"&amp;$S686)</f>
        <v/>
      </c>
      <c r="W686" s="32">
        <f>IF(OR($C686="",$S686="",$S686=1),"",IFERROR(INDEX($Q$6:$Q$1505,MATCH($C686&amp;"|"&amp;$A686&amp;"|"&amp;($S686-1),$V$6:$V$1505,0)),""))</f>
        <v/>
      </c>
      <c r="X686" s="32">
        <f>IF(OR($W686="",$Q686="",LEFT($Q686,1)="—"),"",IF($W686=$Q686,"ללא שינוי","מ-"&amp;$W686&amp;" ל-"&amp;$Q686))</f>
        <v/>
      </c>
    </row>
    <row r="687" ht="15.75" customHeight="1" s="58">
      <c r="A687" s="65" t="n"/>
      <c r="B687" s="65" t="n"/>
      <c r="C687" s="66" t="n"/>
      <c r="D687" s="66" t="n"/>
      <c r="E687" s="65" t="n"/>
      <c r="F687" s="65" t="n"/>
      <c r="G687" s="65" t="n"/>
      <c r="H687" s="65" t="n"/>
      <c r="I687" s="65" t="n"/>
      <c r="J687" s="65" t="n"/>
      <c r="K687" s="65" t="n"/>
      <c r="L687" s="65" t="n"/>
      <c r="M687" s="65" t="n"/>
      <c r="N687" s="65" t="n"/>
      <c r="O687" s="65" t="n"/>
      <c r="P687" s="65" t="n"/>
      <c r="Q687" s="32">
        <f>IF($C687="","",IF($J687="","— חסרים נתונים",IF($J687="טרם מפענח","פרופיל 5",IF($J687="קמץ/פתח/חטף-פתח ושוואים","פרופיל 4",IF($J687="2-3 סימני ניקוד","פרופיל 3",IF($J687="4-5 סימני ניקוד","פרופיל 2",IF(AND($O687="משפטים וקטעים קצרים",OR($M687="מבין",$M687="מבין לרוב")),"פרופיל 1","פרופיל 2")))))))</f>
        <v/>
      </c>
      <c r="R687" s="32">
        <f>IF($C687="","",IF(OR($Q687="",LEFT($Q687,1)="—"),"קבוצה רביעית",IF($Q687="פרופיל 5","קבוצת תשתיות",IF(OR($Q687="פרופיל 4",$Q687="פרופיל 3"),"קבוצת רכישה","קבוצת ביסוס"))))</f>
        <v/>
      </c>
      <c r="S687" s="32">
        <f>IF($F687="","",IF($F687="תחילת שנה",1,IF($F687="מחצית שנה",2,3)))</f>
        <v/>
      </c>
      <c r="T687" s="32">
        <f>IF(OR($B687="",$R687="",$A687="",$F687=""),"",$B687&amp;"|"&amp;$A687&amp;"|"&amp;$F687&amp;"|"&amp;$R687&amp;"|"&amp;COUNTIFS($B$6:$B687,$B687,$A$6:$A687,$A687,$F$6:$F687,$F687,$R$6:$R687,$R687))</f>
        <v/>
      </c>
      <c r="U687" s="32">
        <f>IF($C687="","",$C687&amp;"|"&amp;COUNTIFS($C$6:$C687,$C687))</f>
        <v/>
      </c>
      <c r="V687" s="32">
        <f>IF(OR($C687="",$A687="",$S687=""),"",$C687&amp;"|"&amp;$A687&amp;"|"&amp;$S687)</f>
        <v/>
      </c>
      <c r="W687" s="32">
        <f>IF(OR($C687="",$S687="",$S687=1),"",IFERROR(INDEX($Q$6:$Q$1505,MATCH($C687&amp;"|"&amp;$A687&amp;"|"&amp;($S687-1),$V$6:$V$1505,0)),""))</f>
        <v/>
      </c>
      <c r="X687" s="32">
        <f>IF(OR($W687="",$Q687="",LEFT($Q687,1)="—"),"",IF($W687=$Q687,"ללא שינוי","מ-"&amp;$W687&amp;" ל-"&amp;$Q687))</f>
        <v/>
      </c>
    </row>
    <row r="688" ht="15.75" customHeight="1" s="58">
      <c r="A688" s="65" t="n"/>
      <c r="B688" s="65" t="n"/>
      <c r="C688" s="66" t="n"/>
      <c r="D688" s="66" t="n"/>
      <c r="E688" s="65" t="n"/>
      <c r="F688" s="65" t="n"/>
      <c r="G688" s="65" t="n"/>
      <c r="H688" s="65" t="n"/>
      <c r="I688" s="65" t="n"/>
      <c r="J688" s="65" t="n"/>
      <c r="K688" s="65" t="n"/>
      <c r="L688" s="65" t="n"/>
      <c r="M688" s="65" t="n"/>
      <c r="N688" s="65" t="n"/>
      <c r="O688" s="65" t="n"/>
      <c r="P688" s="65" t="n"/>
      <c r="Q688" s="32">
        <f>IF($C688="","",IF($J688="","— חסרים נתונים",IF($J688="טרם מפענח","פרופיל 5",IF($J688="קמץ/פתח/חטף-פתח ושוואים","פרופיל 4",IF($J688="2-3 סימני ניקוד","פרופיל 3",IF($J688="4-5 סימני ניקוד","פרופיל 2",IF(AND($O688="משפטים וקטעים קצרים",OR($M688="מבין",$M688="מבין לרוב")),"פרופיל 1","פרופיל 2")))))))</f>
        <v/>
      </c>
      <c r="R688" s="32">
        <f>IF($C688="","",IF(OR($Q688="",LEFT($Q688,1)="—"),"קבוצה רביעית",IF($Q688="פרופיל 5","קבוצת תשתיות",IF(OR($Q688="פרופיל 4",$Q688="פרופיל 3"),"קבוצת רכישה","קבוצת ביסוס"))))</f>
        <v/>
      </c>
      <c r="S688" s="32">
        <f>IF($F688="","",IF($F688="תחילת שנה",1,IF($F688="מחצית שנה",2,3)))</f>
        <v/>
      </c>
      <c r="T688" s="32">
        <f>IF(OR($B688="",$R688="",$A688="",$F688=""),"",$B688&amp;"|"&amp;$A688&amp;"|"&amp;$F688&amp;"|"&amp;$R688&amp;"|"&amp;COUNTIFS($B$6:$B688,$B688,$A$6:$A688,$A688,$F$6:$F688,$F688,$R$6:$R688,$R688))</f>
        <v/>
      </c>
      <c r="U688" s="32">
        <f>IF($C688="","",$C688&amp;"|"&amp;COUNTIFS($C$6:$C688,$C688))</f>
        <v/>
      </c>
      <c r="V688" s="32">
        <f>IF(OR($C688="",$A688="",$S688=""),"",$C688&amp;"|"&amp;$A688&amp;"|"&amp;$S688)</f>
        <v/>
      </c>
      <c r="W688" s="32">
        <f>IF(OR($C688="",$S688="",$S688=1),"",IFERROR(INDEX($Q$6:$Q$1505,MATCH($C688&amp;"|"&amp;$A688&amp;"|"&amp;($S688-1),$V$6:$V$1505,0)),""))</f>
        <v/>
      </c>
      <c r="X688" s="32">
        <f>IF(OR($W688="",$Q688="",LEFT($Q688,1)="—"),"",IF($W688=$Q688,"ללא שינוי","מ-"&amp;$W688&amp;" ל-"&amp;$Q688))</f>
        <v/>
      </c>
    </row>
    <row r="689" ht="15.75" customHeight="1" s="58">
      <c r="A689" s="65" t="n"/>
      <c r="B689" s="65" t="n"/>
      <c r="C689" s="66" t="n"/>
      <c r="D689" s="66" t="n"/>
      <c r="E689" s="65" t="n"/>
      <c r="F689" s="65" t="n"/>
      <c r="G689" s="65" t="n"/>
      <c r="H689" s="65" t="n"/>
      <c r="I689" s="65" t="n"/>
      <c r="J689" s="65" t="n"/>
      <c r="K689" s="65" t="n"/>
      <c r="L689" s="65" t="n"/>
      <c r="M689" s="65" t="n"/>
      <c r="N689" s="65" t="n"/>
      <c r="O689" s="65" t="n"/>
      <c r="P689" s="65" t="n"/>
      <c r="Q689" s="32">
        <f>IF($C689="","",IF($J689="","— חסרים נתונים",IF($J689="טרם מפענח","פרופיל 5",IF($J689="קמץ/פתח/חטף-פתח ושוואים","פרופיל 4",IF($J689="2-3 סימני ניקוד","פרופיל 3",IF($J689="4-5 סימני ניקוד","פרופיל 2",IF(AND($O689="משפטים וקטעים קצרים",OR($M689="מבין",$M689="מבין לרוב")),"פרופיל 1","פרופיל 2")))))))</f>
        <v/>
      </c>
      <c r="R689" s="32">
        <f>IF($C689="","",IF(OR($Q689="",LEFT($Q689,1)="—"),"קבוצה רביעית",IF($Q689="פרופיל 5","קבוצת תשתיות",IF(OR($Q689="פרופיל 4",$Q689="פרופיל 3"),"קבוצת רכישה","קבוצת ביסוס"))))</f>
        <v/>
      </c>
      <c r="S689" s="32">
        <f>IF($F689="","",IF($F689="תחילת שנה",1,IF($F689="מחצית שנה",2,3)))</f>
        <v/>
      </c>
      <c r="T689" s="32">
        <f>IF(OR($B689="",$R689="",$A689="",$F689=""),"",$B689&amp;"|"&amp;$A689&amp;"|"&amp;$F689&amp;"|"&amp;$R689&amp;"|"&amp;COUNTIFS($B$6:$B689,$B689,$A$6:$A689,$A689,$F$6:$F689,$F689,$R$6:$R689,$R689))</f>
        <v/>
      </c>
      <c r="U689" s="32">
        <f>IF($C689="","",$C689&amp;"|"&amp;COUNTIFS($C$6:$C689,$C689))</f>
        <v/>
      </c>
      <c r="V689" s="32">
        <f>IF(OR($C689="",$A689="",$S689=""),"",$C689&amp;"|"&amp;$A689&amp;"|"&amp;$S689)</f>
        <v/>
      </c>
      <c r="W689" s="32">
        <f>IF(OR($C689="",$S689="",$S689=1),"",IFERROR(INDEX($Q$6:$Q$1505,MATCH($C689&amp;"|"&amp;$A689&amp;"|"&amp;($S689-1),$V$6:$V$1505,0)),""))</f>
        <v/>
      </c>
      <c r="X689" s="32">
        <f>IF(OR($W689="",$Q689="",LEFT($Q689,1)="—"),"",IF($W689=$Q689,"ללא שינוי","מ-"&amp;$W689&amp;" ל-"&amp;$Q689))</f>
        <v/>
      </c>
    </row>
    <row r="690" ht="15.75" customHeight="1" s="58">
      <c r="A690" s="65" t="n"/>
      <c r="B690" s="65" t="n"/>
      <c r="C690" s="66" t="n"/>
      <c r="D690" s="66" t="n"/>
      <c r="E690" s="65" t="n"/>
      <c r="F690" s="65" t="n"/>
      <c r="G690" s="65" t="n"/>
      <c r="H690" s="65" t="n"/>
      <c r="I690" s="65" t="n"/>
      <c r="J690" s="65" t="n"/>
      <c r="K690" s="65" t="n"/>
      <c r="L690" s="65" t="n"/>
      <c r="M690" s="65" t="n"/>
      <c r="N690" s="65" t="n"/>
      <c r="O690" s="65" t="n"/>
      <c r="P690" s="65" t="n"/>
      <c r="Q690" s="32">
        <f>IF($C690="","",IF($J690="","— חסרים נתונים",IF($J690="טרם מפענח","פרופיל 5",IF($J690="קמץ/פתח/חטף-פתח ושוואים","פרופיל 4",IF($J690="2-3 סימני ניקוד","פרופיל 3",IF($J690="4-5 סימני ניקוד","פרופיל 2",IF(AND($O690="משפטים וקטעים קצרים",OR($M690="מבין",$M690="מבין לרוב")),"פרופיל 1","פרופיל 2")))))))</f>
        <v/>
      </c>
      <c r="R690" s="32">
        <f>IF($C690="","",IF(OR($Q690="",LEFT($Q690,1)="—"),"קבוצה רביעית",IF($Q690="פרופיל 5","קבוצת תשתיות",IF(OR($Q690="פרופיל 4",$Q690="פרופיל 3"),"קבוצת רכישה","קבוצת ביסוס"))))</f>
        <v/>
      </c>
      <c r="S690" s="32">
        <f>IF($F690="","",IF($F690="תחילת שנה",1,IF($F690="מחצית שנה",2,3)))</f>
        <v/>
      </c>
      <c r="T690" s="32">
        <f>IF(OR($B690="",$R690="",$A690="",$F690=""),"",$B690&amp;"|"&amp;$A690&amp;"|"&amp;$F690&amp;"|"&amp;$R690&amp;"|"&amp;COUNTIFS($B$6:$B690,$B690,$A$6:$A690,$A690,$F$6:$F690,$F690,$R$6:$R690,$R690))</f>
        <v/>
      </c>
      <c r="U690" s="32">
        <f>IF($C690="","",$C690&amp;"|"&amp;COUNTIFS($C$6:$C690,$C690))</f>
        <v/>
      </c>
      <c r="V690" s="32">
        <f>IF(OR($C690="",$A690="",$S690=""),"",$C690&amp;"|"&amp;$A690&amp;"|"&amp;$S690)</f>
        <v/>
      </c>
      <c r="W690" s="32">
        <f>IF(OR($C690="",$S690="",$S690=1),"",IFERROR(INDEX($Q$6:$Q$1505,MATCH($C690&amp;"|"&amp;$A690&amp;"|"&amp;($S690-1),$V$6:$V$1505,0)),""))</f>
        <v/>
      </c>
      <c r="X690" s="32">
        <f>IF(OR($W690="",$Q690="",LEFT($Q690,1)="—"),"",IF($W690=$Q690,"ללא שינוי","מ-"&amp;$W690&amp;" ל-"&amp;$Q690))</f>
        <v/>
      </c>
    </row>
    <row r="691" ht="15.75" customHeight="1" s="58">
      <c r="A691" s="65" t="n"/>
      <c r="B691" s="65" t="n"/>
      <c r="C691" s="66" t="n"/>
      <c r="D691" s="66" t="n"/>
      <c r="E691" s="65" t="n"/>
      <c r="F691" s="65" t="n"/>
      <c r="G691" s="65" t="n"/>
      <c r="H691" s="65" t="n"/>
      <c r="I691" s="65" t="n"/>
      <c r="J691" s="65" t="n"/>
      <c r="K691" s="65" t="n"/>
      <c r="L691" s="65" t="n"/>
      <c r="M691" s="65" t="n"/>
      <c r="N691" s="65" t="n"/>
      <c r="O691" s="65" t="n"/>
      <c r="P691" s="65" t="n"/>
      <c r="Q691" s="32">
        <f>IF($C691="","",IF($J691="","— חסרים נתונים",IF($J691="טרם מפענח","פרופיל 5",IF($J691="קמץ/פתח/חטף-פתח ושוואים","פרופיל 4",IF($J691="2-3 סימני ניקוד","פרופיל 3",IF($J691="4-5 סימני ניקוד","פרופיל 2",IF(AND($O691="משפטים וקטעים קצרים",OR($M691="מבין",$M691="מבין לרוב")),"פרופיל 1","פרופיל 2")))))))</f>
        <v/>
      </c>
      <c r="R691" s="32">
        <f>IF($C691="","",IF(OR($Q691="",LEFT($Q691,1)="—"),"קבוצה רביעית",IF($Q691="פרופיל 5","קבוצת תשתיות",IF(OR($Q691="פרופיל 4",$Q691="פרופיל 3"),"קבוצת רכישה","קבוצת ביסוס"))))</f>
        <v/>
      </c>
      <c r="S691" s="32">
        <f>IF($F691="","",IF($F691="תחילת שנה",1,IF($F691="מחצית שנה",2,3)))</f>
        <v/>
      </c>
      <c r="T691" s="32">
        <f>IF(OR($B691="",$R691="",$A691="",$F691=""),"",$B691&amp;"|"&amp;$A691&amp;"|"&amp;$F691&amp;"|"&amp;$R691&amp;"|"&amp;COUNTIFS($B$6:$B691,$B691,$A$6:$A691,$A691,$F$6:$F691,$F691,$R$6:$R691,$R691))</f>
        <v/>
      </c>
      <c r="U691" s="32">
        <f>IF($C691="","",$C691&amp;"|"&amp;COUNTIFS($C$6:$C691,$C691))</f>
        <v/>
      </c>
      <c r="V691" s="32">
        <f>IF(OR($C691="",$A691="",$S691=""),"",$C691&amp;"|"&amp;$A691&amp;"|"&amp;$S691)</f>
        <v/>
      </c>
      <c r="W691" s="32">
        <f>IF(OR($C691="",$S691="",$S691=1),"",IFERROR(INDEX($Q$6:$Q$1505,MATCH($C691&amp;"|"&amp;$A691&amp;"|"&amp;($S691-1),$V$6:$V$1505,0)),""))</f>
        <v/>
      </c>
      <c r="X691" s="32">
        <f>IF(OR($W691="",$Q691="",LEFT($Q691,1)="—"),"",IF($W691=$Q691,"ללא שינוי","מ-"&amp;$W691&amp;" ל-"&amp;$Q691))</f>
        <v/>
      </c>
    </row>
    <row r="692" ht="15.75" customHeight="1" s="58">
      <c r="A692" s="65" t="n"/>
      <c r="B692" s="65" t="n"/>
      <c r="C692" s="66" t="n"/>
      <c r="D692" s="66" t="n"/>
      <c r="E692" s="65" t="n"/>
      <c r="F692" s="65" t="n"/>
      <c r="G692" s="65" t="n"/>
      <c r="H692" s="65" t="n"/>
      <c r="I692" s="65" t="n"/>
      <c r="J692" s="65" t="n"/>
      <c r="K692" s="65" t="n"/>
      <c r="L692" s="65" t="n"/>
      <c r="M692" s="65" t="n"/>
      <c r="N692" s="65" t="n"/>
      <c r="O692" s="65" t="n"/>
      <c r="P692" s="65" t="n"/>
      <c r="Q692" s="32">
        <f>IF($C692="","",IF($J692="","— חסרים נתונים",IF($J692="טרם מפענח","פרופיל 5",IF($J692="קמץ/פתח/חטף-פתח ושוואים","פרופיל 4",IF($J692="2-3 סימני ניקוד","פרופיל 3",IF($J692="4-5 סימני ניקוד","פרופיל 2",IF(AND($O692="משפטים וקטעים קצרים",OR($M692="מבין",$M692="מבין לרוב")),"פרופיל 1","פרופיל 2")))))))</f>
        <v/>
      </c>
      <c r="R692" s="32">
        <f>IF($C692="","",IF(OR($Q692="",LEFT($Q692,1)="—"),"קבוצה רביעית",IF($Q692="פרופיל 5","קבוצת תשתיות",IF(OR($Q692="פרופיל 4",$Q692="פרופיל 3"),"קבוצת רכישה","קבוצת ביסוס"))))</f>
        <v/>
      </c>
      <c r="S692" s="32">
        <f>IF($F692="","",IF($F692="תחילת שנה",1,IF($F692="מחצית שנה",2,3)))</f>
        <v/>
      </c>
      <c r="T692" s="32">
        <f>IF(OR($B692="",$R692="",$A692="",$F692=""),"",$B692&amp;"|"&amp;$A692&amp;"|"&amp;$F692&amp;"|"&amp;$R692&amp;"|"&amp;COUNTIFS($B$6:$B692,$B692,$A$6:$A692,$A692,$F$6:$F692,$F692,$R$6:$R692,$R692))</f>
        <v/>
      </c>
      <c r="U692" s="32">
        <f>IF($C692="","",$C692&amp;"|"&amp;COUNTIFS($C$6:$C692,$C692))</f>
        <v/>
      </c>
      <c r="V692" s="32">
        <f>IF(OR($C692="",$A692="",$S692=""),"",$C692&amp;"|"&amp;$A692&amp;"|"&amp;$S692)</f>
        <v/>
      </c>
      <c r="W692" s="32">
        <f>IF(OR($C692="",$S692="",$S692=1),"",IFERROR(INDEX($Q$6:$Q$1505,MATCH($C692&amp;"|"&amp;$A692&amp;"|"&amp;($S692-1),$V$6:$V$1505,0)),""))</f>
        <v/>
      </c>
      <c r="X692" s="32">
        <f>IF(OR($W692="",$Q692="",LEFT($Q692,1)="—"),"",IF($W692=$Q692,"ללא שינוי","מ-"&amp;$W692&amp;" ל-"&amp;$Q692))</f>
        <v/>
      </c>
    </row>
    <row r="693" ht="15.75" customHeight="1" s="58">
      <c r="A693" s="65" t="n"/>
      <c r="B693" s="65" t="n"/>
      <c r="C693" s="66" t="n"/>
      <c r="D693" s="66" t="n"/>
      <c r="E693" s="65" t="n"/>
      <c r="F693" s="65" t="n"/>
      <c r="G693" s="65" t="n"/>
      <c r="H693" s="65" t="n"/>
      <c r="I693" s="65" t="n"/>
      <c r="J693" s="65" t="n"/>
      <c r="K693" s="65" t="n"/>
      <c r="L693" s="65" t="n"/>
      <c r="M693" s="65" t="n"/>
      <c r="N693" s="65" t="n"/>
      <c r="O693" s="65" t="n"/>
      <c r="P693" s="65" t="n"/>
      <c r="Q693" s="32">
        <f>IF($C693="","",IF($J693="","— חסרים נתונים",IF($J693="טרם מפענח","פרופיל 5",IF($J693="קמץ/פתח/חטף-פתח ושוואים","פרופיל 4",IF($J693="2-3 סימני ניקוד","פרופיל 3",IF($J693="4-5 סימני ניקוד","פרופיל 2",IF(AND($O693="משפטים וקטעים קצרים",OR($M693="מבין",$M693="מבין לרוב")),"פרופיל 1","פרופיל 2")))))))</f>
        <v/>
      </c>
      <c r="R693" s="32">
        <f>IF($C693="","",IF(OR($Q693="",LEFT($Q693,1)="—"),"קבוצה רביעית",IF($Q693="פרופיל 5","קבוצת תשתיות",IF(OR($Q693="פרופיל 4",$Q693="פרופיל 3"),"קבוצת רכישה","קבוצת ביסוס"))))</f>
        <v/>
      </c>
      <c r="S693" s="32">
        <f>IF($F693="","",IF($F693="תחילת שנה",1,IF($F693="מחצית שנה",2,3)))</f>
        <v/>
      </c>
      <c r="T693" s="32">
        <f>IF(OR($B693="",$R693="",$A693="",$F693=""),"",$B693&amp;"|"&amp;$A693&amp;"|"&amp;$F693&amp;"|"&amp;$R693&amp;"|"&amp;COUNTIFS($B$6:$B693,$B693,$A$6:$A693,$A693,$F$6:$F693,$F693,$R$6:$R693,$R693))</f>
        <v/>
      </c>
      <c r="U693" s="32">
        <f>IF($C693="","",$C693&amp;"|"&amp;COUNTIFS($C$6:$C693,$C693))</f>
        <v/>
      </c>
      <c r="V693" s="32">
        <f>IF(OR($C693="",$A693="",$S693=""),"",$C693&amp;"|"&amp;$A693&amp;"|"&amp;$S693)</f>
        <v/>
      </c>
      <c r="W693" s="32">
        <f>IF(OR($C693="",$S693="",$S693=1),"",IFERROR(INDEX($Q$6:$Q$1505,MATCH($C693&amp;"|"&amp;$A693&amp;"|"&amp;($S693-1),$V$6:$V$1505,0)),""))</f>
        <v/>
      </c>
      <c r="X693" s="32">
        <f>IF(OR($W693="",$Q693="",LEFT($Q693,1)="—"),"",IF($W693=$Q693,"ללא שינוי","מ-"&amp;$W693&amp;" ל-"&amp;$Q693))</f>
        <v/>
      </c>
    </row>
    <row r="694" ht="15.75" customHeight="1" s="58">
      <c r="A694" s="65" t="n"/>
      <c r="B694" s="65" t="n"/>
      <c r="C694" s="66" t="n"/>
      <c r="D694" s="66" t="n"/>
      <c r="E694" s="65" t="n"/>
      <c r="F694" s="65" t="n"/>
      <c r="G694" s="65" t="n"/>
      <c r="H694" s="65" t="n"/>
      <c r="I694" s="65" t="n"/>
      <c r="J694" s="65" t="n"/>
      <c r="K694" s="65" t="n"/>
      <c r="L694" s="65" t="n"/>
      <c r="M694" s="65" t="n"/>
      <c r="N694" s="65" t="n"/>
      <c r="O694" s="65" t="n"/>
      <c r="P694" s="65" t="n"/>
      <c r="Q694" s="32">
        <f>IF($C694="","",IF($J694="","— חסרים נתונים",IF($J694="טרם מפענח","פרופיל 5",IF($J694="קמץ/פתח/חטף-פתח ושוואים","פרופיל 4",IF($J694="2-3 סימני ניקוד","פרופיל 3",IF($J694="4-5 סימני ניקוד","פרופיל 2",IF(AND($O694="משפטים וקטעים קצרים",OR($M694="מבין",$M694="מבין לרוב")),"פרופיל 1","פרופיל 2")))))))</f>
        <v/>
      </c>
      <c r="R694" s="32">
        <f>IF($C694="","",IF(OR($Q694="",LEFT($Q694,1)="—"),"קבוצה רביעית",IF($Q694="פרופיל 5","קבוצת תשתיות",IF(OR($Q694="פרופיל 4",$Q694="פרופיל 3"),"קבוצת רכישה","קבוצת ביסוס"))))</f>
        <v/>
      </c>
      <c r="S694" s="32">
        <f>IF($F694="","",IF($F694="תחילת שנה",1,IF($F694="מחצית שנה",2,3)))</f>
        <v/>
      </c>
      <c r="T694" s="32">
        <f>IF(OR($B694="",$R694="",$A694="",$F694=""),"",$B694&amp;"|"&amp;$A694&amp;"|"&amp;$F694&amp;"|"&amp;$R694&amp;"|"&amp;COUNTIFS($B$6:$B694,$B694,$A$6:$A694,$A694,$F$6:$F694,$F694,$R$6:$R694,$R694))</f>
        <v/>
      </c>
      <c r="U694" s="32">
        <f>IF($C694="","",$C694&amp;"|"&amp;COUNTIFS($C$6:$C694,$C694))</f>
        <v/>
      </c>
      <c r="V694" s="32">
        <f>IF(OR($C694="",$A694="",$S694=""),"",$C694&amp;"|"&amp;$A694&amp;"|"&amp;$S694)</f>
        <v/>
      </c>
      <c r="W694" s="32">
        <f>IF(OR($C694="",$S694="",$S694=1),"",IFERROR(INDEX($Q$6:$Q$1505,MATCH($C694&amp;"|"&amp;$A694&amp;"|"&amp;($S694-1),$V$6:$V$1505,0)),""))</f>
        <v/>
      </c>
      <c r="X694" s="32">
        <f>IF(OR($W694="",$Q694="",LEFT($Q694,1)="—"),"",IF($W694=$Q694,"ללא שינוי","מ-"&amp;$W694&amp;" ל-"&amp;$Q694))</f>
        <v/>
      </c>
    </row>
    <row r="695" ht="15.75" customHeight="1" s="58">
      <c r="A695" s="65" t="n"/>
      <c r="B695" s="65" t="n"/>
      <c r="C695" s="66" t="n"/>
      <c r="D695" s="66" t="n"/>
      <c r="E695" s="65" t="n"/>
      <c r="F695" s="65" t="n"/>
      <c r="G695" s="65" t="n"/>
      <c r="H695" s="65" t="n"/>
      <c r="I695" s="65" t="n"/>
      <c r="J695" s="65" t="n"/>
      <c r="K695" s="65" t="n"/>
      <c r="L695" s="65" t="n"/>
      <c r="M695" s="65" t="n"/>
      <c r="N695" s="65" t="n"/>
      <c r="O695" s="65" t="n"/>
      <c r="P695" s="65" t="n"/>
      <c r="Q695" s="32">
        <f>IF($C695="","",IF($J695="","— חסרים נתונים",IF($J695="טרם מפענח","פרופיל 5",IF($J695="קמץ/פתח/חטף-פתח ושוואים","פרופיל 4",IF($J695="2-3 סימני ניקוד","פרופיל 3",IF($J695="4-5 סימני ניקוד","פרופיל 2",IF(AND($O695="משפטים וקטעים קצרים",OR($M695="מבין",$M695="מבין לרוב")),"פרופיל 1","פרופיל 2")))))))</f>
        <v/>
      </c>
      <c r="R695" s="32">
        <f>IF($C695="","",IF(OR($Q695="",LEFT($Q695,1)="—"),"קבוצה רביעית",IF($Q695="פרופיל 5","קבוצת תשתיות",IF(OR($Q695="פרופיל 4",$Q695="פרופיל 3"),"קבוצת רכישה","קבוצת ביסוס"))))</f>
        <v/>
      </c>
      <c r="S695" s="32">
        <f>IF($F695="","",IF($F695="תחילת שנה",1,IF($F695="מחצית שנה",2,3)))</f>
        <v/>
      </c>
      <c r="T695" s="32">
        <f>IF(OR($B695="",$R695="",$A695="",$F695=""),"",$B695&amp;"|"&amp;$A695&amp;"|"&amp;$F695&amp;"|"&amp;$R695&amp;"|"&amp;COUNTIFS($B$6:$B695,$B695,$A$6:$A695,$A695,$F$6:$F695,$F695,$R$6:$R695,$R695))</f>
        <v/>
      </c>
      <c r="U695" s="32">
        <f>IF($C695="","",$C695&amp;"|"&amp;COUNTIFS($C$6:$C695,$C695))</f>
        <v/>
      </c>
      <c r="V695" s="32">
        <f>IF(OR($C695="",$A695="",$S695=""),"",$C695&amp;"|"&amp;$A695&amp;"|"&amp;$S695)</f>
        <v/>
      </c>
      <c r="W695" s="32">
        <f>IF(OR($C695="",$S695="",$S695=1),"",IFERROR(INDEX($Q$6:$Q$1505,MATCH($C695&amp;"|"&amp;$A695&amp;"|"&amp;($S695-1),$V$6:$V$1505,0)),""))</f>
        <v/>
      </c>
      <c r="X695" s="32">
        <f>IF(OR($W695="",$Q695="",LEFT($Q695,1)="—"),"",IF($W695=$Q695,"ללא שינוי","מ-"&amp;$W695&amp;" ל-"&amp;$Q695))</f>
        <v/>
      </c>
    </row>
    <row r="696" ht="15.75" customHeight="1" s="58">
      <c r="A696" s="65" t="n"/>
      <c r="B696" s="65" t="n"/>
      <c r="C696" s="66" t="n"/>
      <c r="D696" s="66" t="n"/>
      <c r="E696" s="65" t="n"/>
      <c r="F696" s="65" t="n"/>
      <c r="G696" s="65" t="n"/>
      <c r="H696" s="65" t="n"/>
      <c r="I696" s="65" t="n"/>
      <c r="J696" s="65" t="n"/>
      <c r="K696" s="65" t="n"/>
      <c r="L696" s="65" t="n"/>
      <c r="M696" s="65" t="n"/>
      <c r="N696" s="65" t="n"/>
      <c r="O696" s="65" t="n"/>
      <c r="P696" s="65" t="n"/>
      <c r="Q696" s="32">
        <f>IF($C696="","",IF($J696="","— חסרים נתונים",IF($J696="טרם מפענח","פרופיל 5",IF($J696="קמץ/פתח/חטף-פתח ושוואים","פרופיל 4",IF($J696="2-3 סימני ניקוד","פרופיל 3",IF($J696="4-5 סימני ניקוד","פרופיל 2",IF(AND($O696="משפטים וקטעים קצרים",OR($M696="מבין",$M696="מבין לרוב")),"פרופיל 1","פרופיל 2")))))))</f>
        <v/>
      </c>
      <c r="R696" s="32">
        <f>IF($C696="","",IF(OR($Q696="",LEFT($Q696,1)="—"),"קבוצה רביעית",IF($Q696="פרופיל 5","קבוצת תשתיות",IF(OR($Q696="פרופיל 4",$Q696="פרופיל 3"),"קבוצת רכישה","קבוצת ביסוס"))))</f>
        <v/>
      </c>
      <c r="S696" s="32">
        <f>IF($F696="","",IF($F696="תחילת שנה",1,IF($F696="מחצית שנה",2,3)))</f>
        <v/>
      </c>
      <c r="T696" s="32">
        <f>IF(OR($B696="",$R696="",$A696="",$F696=""),"",$B696&amp;"|"&amp;$A696&amp;"|"&amp;$F696&amp;"|"&amp;$R696&amp;"|"&amp;COUNTIFS($B$6:$B696,$B696,$A$6:$A696,$A696,$F$6:$F696,$F696,$R$6:$R696,$R696))</f>
        <v/>
      </c>
      <c r="U696" s="32">
        <f>IF($C696="","",$C696&amp;"|"&amp;COUNTIFS($C$6:$C696,$C696))</f>
        <v/>
      </c>
      <c r="V696" s="32">
        <f>IF(OR($C696="",$A696="",$S696=""),"",$C696&amp;"|"&amp;$A696&amp;"|"&amp;$S696)</f>
        <v/>
      </c>
      <c r="W696" s="32">
        <f>IF(OR($C696="",$S696="",$S696=1),"",IFERROR(INDEX($Q$6:$Q$1505,MATCH($C696&amp;"|"&amp;$A696&amp;"|"&amp;($S696-1),$V$6:$V$1505,0)),""))</f>
        <v/>
      </c>
      <c r="X696" s="32">
        <f>IF(OR($W696="",$Q696="",LEFT($Q696,1)="—"),"",IF($W696=$Q696,"ללא שינוי","מ-"&amp;$W696&amp;" ל-"&amp;$Q696))</f>
        <v/>
      </c>
    </row>
    <row r="697" ht="15.75" customHeight="1" s="58">
      <c r="A697" s="65" t="n"/>
      <c r="B697" s="65" t="n"/>
      <c r="C697" s="66" t="n"/>
      <c r="D697" s="66" t="n"/>
      <c r="E697" s="65" t="n"/>
      <c r="F697" s="65" t="n"/>
      <c r="G697" s="65" t="n"/>
      <c r="H697" s="65" t="n"/>
      <c r="I697" s="65" t="n"/>
      <c r="J697" s="65" t="n"/>
      <c r="K697" s="65" t="n"/>
      <c r="L697" s="65" t="n"/>
      <c r="M697" s="65" t="n"/>
      <c r="N697" s="65" t="n"/>
      <c r="O697" s="65" t="n"/>
      <c r="P697" s="65" t="n"/>
      <c r="Q697" s="32">
        <f>IF($C697="","",IF($J697="","— חסרים נתונים",IF($J697="טרם מפענח","פרופיל 5",IF($J697="קמץ/פתח/חטף-פתח ושוואים","פרופיל 4",IF($J697="2-3 סימני ניקוד","פרופיל 3",IF($J697="4-5 סימני ניקוד","פרופיל 2",IF(AND($O697="משפטים וקטעים קצרים",OR($M697="מבין",$M697="מבין לרוב")),"פרופיל 1","פרופיל 2")))))))</f>
        <v/>
      </c>
      <c r="R697" s="32">
        <f>IF($C697="","",IF(OR($Q697="",LEFT($Q697,1)="—"),"קבוצה רביעית",IF($Q697="פרופיל 5","קבוצת תשתיות",IF(OR($Q697="פרופיל 4",$Q697="פרופיל 3"),"קבוצת רכישה","קבוצת ביסוס"))))</f>
        <v/>
      </c>
      <c r="S697" s="32">
        <f>IF($F697="","",IF($F697="תחילת שנה",1,IF($F697="מחצית שנה",2,3)))</f>
        <v/>
      </c>
      <c r="T697" s="32">
        <f>IF(OR($B697="",$R697="",$A697="",$F697=""),"",$B697&amp;"|"&amp;$A697&amp;"|"&amp;$F697&amp;"|"&amp;$R697&amp;"|"&amp;COUNTIFS($B$6:$B697,$B697,$A$6:$A697,$A697,$F$6:$F697,$F697,$R$6:$R697,$R697))</f>
        <v/>
      </c>
      <c r="U697" s="32">
        <f>IF($C697="","",$C697&amp;"|"&amp;COUNTIFS($C$6:$C697,$C697))</f>
        <v/>
      </c>
      <c r="V697" s="32">
        <f>IF(OR($C697="",$A697="",$S697=""),"",$C697&amp;"|"&amp;$A697&amp;"|"&amp;$S697)</f>
        <v/>
      </c>
      <c r="W697" s="32">
        <f>IF(OR($C697="",$S697="",$S697=1),"",IFERROR(INDEX($Q$6:$Q$1505,MATCH($C697&amp;"|"&amp;$A697&amp;"|"&amp;($S697-1),$V$6:$V$1505,0)),""))</f>
        <v/>
      </c>
      <c r="X697" s="32">
        <f>IF(OR($W697="",$Q697="",LEFT($Q697,1)="—"),"",IF($W697=$Q697,"ללא שינוי","מ-"&amp;$W697&amp;" ל-"&amp;$Q697))</f>
        <v/>
      </c>
    </row>
    <row r="698" ht="15.75" customHeight="1" s="58">
      <c r="A698" s="65" t="n"/>
      <c r="B698" s="65" t="n"/>
      <c r="C698" s="66" t="n"/>
      <c r="D698" s="66" t="n"/>
      <c r="E698" s="65" t="n"/>
      <c r="F698" s="65" t="n"/>
      <c r="G698" s="65" t="n"/>
      <c r="H698" s="65" t="n"/>
      <c r="I698" s="65" t="n"/>
      <c r="J698" s="65" t="n"/>
      <c r="K698" s="65" t="n"/>
      <c r="L698" s="65" t="n"/>
      <c r="M698" s="65" t="n"/>
      <c r="N698" s="65" t="n"/>
      <c r="O698" s="65" t="n"/>
      <c r="P698" s="65" t="n"/>
      <c r="Q698" s="32">
        <f>IF($C698="","",IF($J698="","— חסרים נתונים",IF($J698="טרם מפענח","פרופיל 5",IF($J698="קמץ/פתח/חטף-פתח ושוואים","פרופיל 4",IF($J698="2-3 סימני ניקוד","פרופיל 3",IF($J698="4-5 סימני ניקוד","פרופיל 2",IF(AND($O698="משפטים וקטעים קצרים",OR($M698="מבין",$M698="מבין לרוב")),"פרופיל 1","פרופיל 2")))))))</f>
        <v/>
      </c>
      <c r="R698" s="32">
        <f>IF($C698="","",IF(OR($Q698="",LEFT($Q698,1)="—"),"קבוצה רביעית",IF($Q698="פרופיל 5","קבוצת תשתיות",IF(OR($Q698="פרופיל 4",$Q698="פרופיל 3"),"קבוצת רכישה","קבוצת ביסוס"))))</f>
        <v/>
      </c>
      <c r="S698" s="32">
        <f>IF($F698="","",IF($F698="תחילת שנה",1,IF($F698="מחצית שנה",2,3)))</f>
        <v/>
      </c>
      <c r="T698" s="32">
        <f>IF(OR($B698="",$R698="",$A698="",$F698=""),"",$B698&amp;"|"&amp;$A698&amp;"|"&amp;$F698&amp;"|"&amp;$R698&amp;"|"&amp;COUNTIFS($B$6:$B698,$B698,$A$6:$A698,$A698,$F$6:$F698,$F698,$R$6:$R698,$R698))</f>
        <v/>
      </c>
      <c r="U698" s="32">
        <f>IF($C698="","",$C698&amp;"|"&amp;COUNTIFS($C$6:$C698,$C698))</f>
        <v/>
      </c>
      <c r="V698" s="32">
        <f>IF(OR($C698="",$A698="",$S698=""),"",$C698&amp;"|"&amp;$A698&amp;"|"&amp;$S698)</f>
        <v/>
      </c>
      <c r="W698" s="32">
        <f>IF(OR($C698="",$S698="",$S698=1),"",IFERROR(INDEX($Q$6:$Q$1505,MATCH($C698&amp;"|"&amp;$A698&amp;"|"&amp;($S698-1),$V$6:$V$1505,0)),""))</f>
        <v/>
      </c>
      <c r="X698" s="32">
        <f>IF(OR($W698="",$Q698="",LEFT($Q698,1)="—"),"",IF($W698=$Q698,"ללא שינוי","מ-"&amp;$W698&amp;" ל-"&amp;$Q698))</f>
        <v/>
      </c>
    </row>
    <row r="699" ht="15.75" customHeight="1" s="58">
      <c r="A699" s="65" t="n"/>
      <c r="B699" s="65" t="n"/>
      <c r="C699" s="66" t="n"/>
      <c r="D699" s="66" t="n"/>
      <c r="E699" s="65" t="n"/>
      <c r="F699" s="65" t="n"/>
      <c r="G699" s="65" t="n"/>
      <c r="H699" s="65" t="n"/>
      <c r="I699" s="65" t="n"/>
      <c r="J699" s="65" t="n"/>
      <c r="K699" s="65" t="n"/>
      <c r="L699" s="65" t="n"/>
      <c r="M699" s="65" t="n"/>
      <c r="N699" s="65" t="n"/>
      <c r="O699" s="65" t="n"/>
      <c r="P699" s="65" t="n"/>
      <c r="Q699" s="32">
        <f>IF($C699="","",IF($J699="","— חסרים נתונים",IF($J699="טרם מפענח","פרופיל 5",IF($J699="קמץ/פתח/חטף-פתח ושוואים","פרופיל 4",IF($J699="2-3 סימני ניקוד","פרופיל 3",IF($J699="4-5 סימני ניקוד","פרופיל 2",IF(AND($O699="משפטים וקטעים קצרים",OR($M699="מבין",$M699="מבין לרוב")),"פרופיל 1","פרופיל 2")))))))</f>
        <v/>
      </c>
      <c r="R699" s="32">
        <f>IF($C699="","",IF(OR($Q699="",LEFT($Q699,1)="—"),"קבוצה רביעית",IF($Q699="פרופיל 5","קבוצת תשתיות",IF(OR($Q699="פרופיל 4",$Q699="פרופיל 3"),"קבוצת רכישה","קבוצת ביסוס"))))</f>
        <v/>
      </c>
      <c r="S699" s="32">
        <f>IF($F699="","",IF($F699="תחילת שנה",1,IF($F699="מחצית שנה",2,3)))</f>
        <v/>
      </c>
      <c r="T699" s="32">
        <f>IF(OR($B699="",$R699="",$A699="",$F699=""),"",$B699&amp;"|"&amp;$A699&amp;"|"&amp;$F699&amp;"|"&amp;$R699&amp;"|"&amp;COUNTIFS($B$6:$B699,$B699,$A$6:$A699,$A699,$F$6:$F699,$F699,$R$6:$R699,$R699))</f>
        <v/>
      </c>
      <c r="U699" s="32">
        <f>IF($C699="","",$C699&amp;"|"&amp;COUNTIFS($C$6:$C699,$C699))</f>
        <v/>
      </c>
      <c r="V699" s="32">
        <f>IF(OR($C699="",$A699="",$S699=""),"",$C699&amp;"|"&amp;$A699&amp;"|"&amp;$S699)</f>
        <v/>
      </c>
      <c r="W699" s="32">
        <f>IF(OR($C699="",$S699="",$S699=1),"",IFERROR(INDEX($Q$6:$Q$1505,MATCH($C699&amp;"|"&amp;$A699&amp;"|"&amp;($S699-1),$V$6:$V$1505,0)),""))</f>
        <v/>
      </c>
      <c r="X699" s="32">
        <f>IF(OR($W699="",$Q699="",LEFT($Q699,1)="—"),"",IF($W699=$Q699,"ללא שינוי","מ-"&amp;$W699&amp;" ל-"&amp;$Q699))</f>
        <v/>
      </c>
    </row>
    <row r="700" ht="15.75" customHeight="1" s="58">
      <c r="A700" s="65" t="n"/>
      <c r="B700" s="65" t="n"/>
      <c r="C700" s="66" t="n"/>
      <c r="D700" s="66" t="n"/>
      <c r="E700" s="65" t="n"/>
      <c r="F700" s="65" t="n"/>
      <c r="G700" s="65" t="n"/>
      <c r="H700" s="65" t="n"/>
      <c r="I700" s="65" t="n"/>
      <c r="J700" s="65" t="n"/>
      <c r="K700" s="65" t="n"/>
      <c r="L700" s="65" t="n"/>
      <c r="M700" s="65" t="n"/>
      <c r="N700" s="65" t="n"/>
      <c r="O700" s="65" t="n"/>
      <c r="P700" s="65" t="n"/>
      <c r="Q700" s="32">
        <f>IF($C700="","",IF($J700="","— חסרים נתונים",IF($J700="טרם מפענח","פרופיל 5",IF($J700="קמץ/פתח/חטף-פתח ושוואים","פרופיל 4",IF($J700="2-3 סימני ניקוד","פרופיל 3",IF($J700="4-5 סימני ניקוד","פרופיל 2",IF(AND($O700="משפטים וקטעים קצרים",OR($M700="מבין",$M700="מבין לרוב")),"פרופיל 1","פרופיל 2")))))))</f>
        <v/>
      </c>
      <c r="R700" s="32">
        <f>IF($C700="","",IF(OR($Q700="",LEFT($Q700,1)="—"),"קבוצה רביעית",IF($Q700="פרופיל 5","קבוצת תשתיות",IF(OR($Q700="פרופיל 4",$Q700="פרופיל 3"),"קבוצת רכישה","קבוצת ביסוס"))))</f>
        <v/>
      </c>
      <c r="S700" s="32">
        <f>IF($F700="","",IF($F700="תחילת שנה",1,IF($F700="מחצית שנה",2,3)))</f>
        <v/>
      </c>
      <c r="T700" s="32">
        <f>IF(OR($B700="",$R700="",$A700="",$F700=""),"",$B700&amp;"|"&amp;$A700&amp;"|"&amp;$F700&amp;"|"&amp;$R700&amp;"|"&amp;COUNTIFS($B$6:$B700,$B700,$A$6:$A700,$A700,$F$6:$F700,$F700,$R$6:$R700,$R700))</f>
        <v/>
      </c>
      <c r="U700" s="32">
        <f>IF($C700="","",$C700&amp;"|"&amp;COUNTIFS($C$6:$C700,$C700))</f>
        <v/>
      </c>
      <c r="V700" s="32">
        <f>IF(OR($C700="",$A700="",$S700=""),"",$C700&amp;"|"&amp;$A700&amp;"|"&amp;$S700)</f>
        <v/>
      </c>
      <c r="W700" s="32">
        <f>IF(OR($C700="",$S700="",$S700=1),"",IFERROR(INDEX($Q$6:$Q$1505,MATCH($C700&amp;"|"&amp;$A700&amp;"|"&amp;($S700-1),$V$6:$V$1505,0)),""))</f>
        <v/>
      </c>
      <c r="X700" s="32">
        <f>IF(OR($W700="",$Q700="",LEFT($Q700,1)="—"),"",IF($W700=$Q700,"ללא שינוי","מ-"&amp;$W700&amp;" ל-"&amp;$Q700))</f>
        <v/>
      </c>
    </row>
    <row r="701" ht="15.75" customHeight="1" s="58">
      <c r="A701" s="65" t="n"/>
      <c r="B701" s="65" t="n"/>
      <c r="C701" s="66" t="n"/>
      <c r="D701" s="66" t="n"/>
      <c r="E701" s="65" t="n"/>
      <c r="F701" s="65" t="n"/>
      <c r="G701" s="65" t="n"/>
      <c r="H701" s="65" t="n"/>
      <c r="I701" s="65" t="n"/>
      <c r="J701" s="65" t="n"/>
      <c r="K701" s="65" t="n"/>
      <c r="L701" s="65" t="n"/>
      <c r="M701" s="65" t="n"/>
      <c r="N701" s="65" t="n"/>
      <c r="O701" s="65" t="n"/>
      <c r="P701" s="65" t="n"/>
      <c r="Q701" s="32">
        <f>IF($C701="","",IF($J701="","— חסרים נתונים",IF($J701="טרם מפענח","פרופיל 5",IF($J701="קמץ/פתח/חטף-פתח ושוואים","פרופיל 4",IF($J701="2-3 סימני ניקוד","פרופיל 3",IF($J701="4-5 סימני ניקוד","פרופיל 2",IF(AND($O701="משפטים וקטעים קצרים",OR($M701="מבין",$M701="מבין לרוב")),"פרופיל 1","פרופיל 2")))))))</f>
        <v/>
      </c>
      <c r="R701" s="32">
        <f>IF($C701="","",IF(OR($Q701="",LEFT($Q701,1)="—"),"קבוצה רביעית",IF($Q701="פרופיל 5","קבוצת תשתיות",IF(OR($Q701="פרופיל 4",$Q701="פרופיל 3"),"קבוצת רכישה","קבוצת ביסוס"))))</f>
        <v/>
      </c>
      <c r="S701" s="32">
        <f>IF($F701="","",IF($F701="תחילת שנה",1,IF($F701="מחצית שנה",2,3)))</f>
        <v/>
      </c>
      <c r="T701" s="32">
        <f>IF(OR($B701="",$R701="",$A701="",$F701=""),"",$B701&amp;"|"&amp;$A701&amp;"|"&amp;$F701&amp;"|"&amp;$R701&amp;"|"&amp;COUNTIFS($B$6:$B701,$B701,$A$6:$A701,$A701,$F$6:$F701,$F701,$R$6:$R701,$R701))</f>
        <v/>
      </c>
      <c r="U701" s="32">
        <f>IF($C701="","",$C701&amp;"|"&amp;COUNTIFS($C$6:$C701,$C701))</f>
        <v/>
      </c>
      <c r="V701" s="32">
        <f>IF(OR($C701="",$A701="",$S701=""),"",$C701&amp;"|"&amp;$A701&amp;"|"&amp;$S701)</f>
        <v/>
      </c>
      <c r="W701" s="32">
        <f>IF(OR($C701="",$S701="",$S701=1),"",IFERROR(INDEX($Q$6:$Q$1505,MATCH($C701&amp;"|"&amp;$A701&amp;"|"&amp;($S701-1),$V$6:$V$1505,0)),""))</f>
        <v/>
      </c>
      <c r="X701" s="32">
        <f>IF(OR($W701="",$Q701="",LEFT($Q701,1)="—"),"",IF($W701=$Q701,"ללא שינוי","מ-"&amp;$W701&amp;" ל-"&amp;$Q701))</f>
        <v/>
      </c>
    </row>
    <row r="702" ht="15.75" customHeight="1" s="58">
      <c r="A702" s="65" t="n"/>
      <c r="B702" s="65" t="n"/>
      <c r="C702" s="66" t="n"/>
      <c r="D702" s="66" t="n"/>
      <c r="E702" s="65" t="n"/>
      <c r="F702" s="65" t="n"/>
      <c r="G702" s="65" t="n"/>
      <c r="H702" s="65" t="n"/>
      <c r="I702" s="65" t="n"/>
      <c r="J702" s="65" t="n"/>
      <c r="K702" s="65" t="n"/>
      <c r="L702" s="65" t="n"/>
      <c r="M702" s="65" t="n"/>
      <c r="N702" s="65" t="n"/>
      <c r="O702" s="65" t="n"/>
      <c r="P702" s="65" t="n"/>
      <c r="Q702" s="32">
        <f>IF($C702="","",IF($J702="","— חסרים נתונים",IF($J702="טרם מפענח","פרופיל 5",IF($J702="קמץ/פתח/חטף-פתח ושוואים","פרופיל 4",IF($J702="2-3 סימני ניקוד","פרופיל 3",IF($J702="4-5 סימני ניקוד","פרופיל 2",IF(AND($O702="משפטים וקטעים קצרים",OR($M702="מבין",$M702="מבין לרוב")),"פרופיל 1","פרופיל 2")))))))</f>
        <v/>
      </c>
      <c r="R702" s="32">
        <f>IF($C702="","",IF(OR($Q702="",LEFT($Q702,1)="—"),"קבוצה רביעית",IF($Q702="פרופיל 5","קבוצת תשתיות",IF(OR($Q702="פרופיל 4",$Q702="פרופיל 3"),"קבוצת רכישה","קבוצת ביסוס"))))</f>
        <v/>
      </c>
      <c r="S702" s="32">
        <f>IF($F702="","",IF($F702="תחילת שנה",1,IF($F702="מחצית שנה",2,3)))</f>
        <v/>
      </c>
      <c r="T702" s="32">
        <f>IF(OR($B702="",$R702="",$A702="",$F702=""),"",$B702&amp;"|"&amp;$A702&amp;"|"&amp;$F702&amp;"|"&amp;$R702&amp;"|"&amp;COUNTIFS($B$6:$B702,$B702,$A$6:$A702,$A702,$F$6:$F702,$F702,$R$6:$R702,$R702))</f>
        <v/>
      </c>
      <c r="U702" s="32">
        <f>IF($C702="","",$C702&amp;"|"&amp;COUNTIFS($C$6:$C702,$C702))</f>
        <v/>
      </c>
      <c r="V702" s="32">
        <f>IF(OR($C702="",$A702="",$S702=""),"",$C702&amp;"|"&amp;$A702&amp;"|"&amp;$S702)</f>
        <v/>
      </c>
      <c r="W702" s="32">
        <f>IF(OR($C702="",$S702="",$S702=1),"",IFERROR(INDEX($Q$6:$Q$1505,MATCH($C702&amp;"|"&amp;$A702&amp;"|"&amp;($S702-1),$V$6:$V$1505,0)),""))</f>
        <v/>
      </c>
      <c r="X702" s="32">
        <f>IF(OR($W702="",$Q702="",LEFT($Q702,1)="—"),"",IF($W702=$Q702,"ללא שינוי","מ-"&amp;$W702&amp;" ל-"&amp;$Q702))</f>
        <v/>
      </c>
    </row>
    <row r="703" ht="15.75" customHeight="1" s="58">
      <c r="A703" s="65" t="n"/>
      <c r="B703" s="65" t="n"/>
      <c r="C703" s="66" t="n"/>
      <c r="D703" s="66" t="n"/>
      <c r="E703" s="65" t="n"/>
      <c r="F703" s="65" t="n"/>
      <c r="G703" s="65" t="n"/>
      <c r="H703" s="65" t="n"/>
      <c r="I703" s="65" t="n"/>
      <c r="J703" s="65" t="n"/>
      <c r="K703" s="65" t="n"/>
      <c r="L703" s="65" t="n"/>
      <c r="M703" s="65" t="n"/>
      <c r="N703" s="65" t="n"/>
      <c r="O703" s="65" t="n"/>
      <c r="P703" s="65" t="n"/>
      <c r="Q703" s="32">
        <f>IF($C703="","",IF($J703="","— חסרים נתונים",IF($J703="טרם מפענח","פרופיל 5",IF($J703="קמץ/פתח/חטף-פתח ושוואים","פרופיל 4",IF($J703="2-3 סימני ניקוד","פרופיל 3",IF($J703="4-5 סימני ניקוד","פרופיל 2",IF(AND($O703="משפטים וקטעים קצרים",OR($M703="מבין",$M703="מבין לרוב")),"פרופיל 1","פרופיל 2")))))))</f>
        <v/>
      </c>
      <c r="R703" s="32">
        <f>IF($C703="","",IF(OR($Q703="",LEFT($Q703,1)="—"),"קבוצה רביעית",IF($Q703="פרופיל 5","קבוצת תשתיות",IF(OR($Q703="פרופיל 4",$Q703="פרופיל 3"),"קבוצת רכישה","קבוצת ביסוס"))))</f>
        <v/>
      </c>
      <c r="S703" s="32">
        <f>IF($F703="","",IF($F703="תחילת שנה",1,IF($F703="מחצית שנה",2,3)))</f>
        <v/>
      </c>
      <c r="T703" s="32">
        <f>IF(OR($B703="",$R703="",$A703="",$F703=""),"",$B703&amp;"|"&amp;$A703&amp;"|"&amp;$F703&amp;"|"&amp;$R703&amp;"|"&amp;COUNTIFS($B$6:$B703,$B703,$A$6:$A703,$A703,$F$6:$F703,$F703,$R$6:$R703,$R703))</f>
        <v/>
      </c>
      <c r="U703" s="32">
        <f>IF($C703="","",$C703&amp;"|"&amp;COUNTIFS($C$6:$C703,$C703))</f>
        <v/>
      </c>
      <c r="V703" s="32">
        <f>IF(OR($C703="",$A703="",$S703=""),"",$C703&amp;"|"&amp;$A703&amp;"|"&amp;$S703)</f>
        <v/>
      </c>
      <c r="W703" s="32">
        <f>IF(OR($C703="",$S703="",$S703=1),"",IFERROR(INDEX($Q$6:$Q$1505,MATCH($C703&amp;"|"&amp;$A703&amp;"|"&amp;($S703-1),$V$6:$V$1505,0)),""))</f>
        <v/>
      </c>
      <c r="X703" s="32">
        <f>IF(OR($W703="",$Q703="",LEFT($Q703,1)="—"),"",IF($W703=$Q703,"ללא שינוי","מ-"&amp;$W703&amp;" ל-"&amp;$Q703))</f>
        <v/>
      </c>
    </row>
    <row r="704" ht="15.75" customHeight="1" s="58">
      <c r="A704" s="65" t="n"/>
      <c r="B704" s="65" t="n"/>
      <c r="C704" s="66" t="n"/>
      <c r="D704" s="66" t="n"/>
      <c r="E704" s="65" t="n"/>
      <c r="F704" s="65" t="n"/>
      <c r="G704" s="65" t="n"/>
      <c r="H704" s="65" t="n"/>
      <c r="I704" s="65" t="n"/>
      <c r="J704" s="65" t="n"/>
      <c r="K704" s="65" t="n"/>
      <c r="L704" s="65" t="n"/>
      <c r="M704" s="65" t="n"/>
      <c r="N704" s="65" t="n"/>
      <c r="O704" s="65" t="n"/>
      <c r="P704" s="65" t="n"/>
      <c r="Q704" s="32">
        <f>IF($C704="","",IF($J704="","— חסרים נתונים",IF($J704="טרם מפענח","פרופיל 5",IF($J704="קמץ/פתח/חטף-פתח ושוואים","פרופיל 4",IF($J704="2-3 סימני ניקוד","פרופיל 3",IF($J704="4-5 סימני ניקוד","פרופיל 2",IF(AND($O704="משפטים וקטעים קצרים",OR($M704="מבין",$M704="מבין לרוב")),"פרופיל 1","פרופיל 2")))))))</f>
        <v/>
      </c>
      <c r="R704" s="32">
        <f>IF($C704="","",IF(OR($Q704="",LEFT($Q704,1)="—"),"קבוצה רביעית",IF($Q704="פרופיל 5","קבוצת תשתיות",IF(OR($Q704="פרופיל 4",$Q704="פרופיל 3"),"קבוצת רכישה","קבוצת ביסוס"))))</f>
        <v/>
      </c>
      <c r="S704" s="32">
        <f>IF($F704="","",IF($F704="תחילת שנה",1,IF($F704="מחצית שנה",2,3)))</f>
        <v/>
      </c>
      <c r="T704" s="32">
        <f>IF(OR($B704="",$R704="",$A704="",$F704=""),"",$B704&amp;"|"&amp;$A704&amp;"|"&amp;$F704&amp;"|"&amp;$R704&amp;"|"&amp;COUNTIFS($B$6:$B704,$B704,$A$6:$A704,$A704,$F$6:$F704,$F704,$R$6:$R704,$R704))</f>
        <v/>
      </c>
      <c r="U704" s="32">
        <f>IF($C704="","",$C704&amp;"|"&amp;COUNTIFS($C$6:$C704,$C704))</f>
        <v/>
      </c>
      <c r="V704" s="32">
        <f>IF(OR($C704="",$A704="",$S704=""),"",$C704&amp;"|"&amp;$A704&amp;"|"&amp;$S704)</f>
        <v/>
      </c>
      <c r="W704" s="32">
        <f>IF(OR($C704="",$S704="",$S704=1),"",IFERROR(INDEX($Q$6:$Q$1505,MATCH($C704&amp;"|"&amp;$A704&amp;"|"&amp;($S704-1),$V$6:$V$1505,0)),""))</f>
        <v/>
      </c>
      <c r="X704" s="32">
        <f>IF(OR($W704="",$Q704="",LEFT($Q704,1)="—"),"",IF($W704=$Q704,"ללא שינוי","מ-"&amp;$W704&amp;" ל-"&amp;$Q704))</f>
        <v/>
      </c>
    </row>
    <row r="705" ht="15.75" customHeight="1" s="58">
      <c r="A705" s="65" t="n"/>
      <c r="B705" s="65" t="n"/>
      <c r="C705" s="66" t="n"/>
      <c r="D705" s="66" t="n"/>
      <c r="E705" s="65" t="n"/>
      <c r="F705" s="65" t="n"/>
      <c r="G705" s="65" t="n"/>
      <c r="H705" s="65" t="n"/>
      <c r="I705" s="65" t="n"/>
      <c r="J705" s="65" t="n"/>
      <c r="K705" s="65" t="n"/>
      <c r="L705" s="65" t="n"/>
      <c r="M705" s="65" t="n"/>
      <c r="N705" s="65" t="n"/>
      <c r="O705" s="65" t="n"/>
      <c r="P705" s="65" t="n"/>
      <c r="Q705" s="32">
        <f>IF($C705="","",IF($J705="","— חסרים נתונים",IF($J705="טרם מפענח","פרופיל 5",IF($J705="קמץ/פתח/חטף-פתח ושוואים","פרופיל 4",IF($J705="2-3 סימני ניקוד","פרופיל 3",IF($J705="4-5 סימני ניקוד","פרופיל 2",IF(AND($O705="משפטים וקטעים קצרים",OR($M705="מבין",$M705="מבין לרוב")),"פרופיל 1","פרופיל 2")))))))</f>
        <v/>
      </c>
      <c r="R705" s="32">
        <f>IF($C705="","",IF(OR($Q705="",LEFT($Q705,1)="—"),"קבוצה רביעית",IF($Q705="פרופיל 5","קבוצת תשתיות",IF(OR($Q705="פרופיל 4",$Q705="פרופיל 3"),"קבוצת רכישה","קבוצת ביסוס"))))</f>
        <v/>
      </c>
      <c r="S705" s="32">
        <f>IF($F705="","",IF($F705="תחילת שנה",1,IF($F705="מחצית שנה",2,3)))</f>
        <v/>
      </c>
      <c r="T705" s="32">
        <f>IF(OR($B705="",$R705="",$A705="",$F705=""),"",$B705&amp;"|"&amp;$A705&amp;"|"&amp;$F705&amp;"|"&amp;$R705&amp;"|"&amp;COUNTIFS($B$6:$B705,$B705,$A$6:$A705,$A705,$F$6:$F705,$F705,$R$6:$R705,$R705))</f>
        <v/>
      </c>
      <c r="U705" s="32">
        <f>IF($C705="","",$C705&amp;"|"&amp;COUNTIFS($C$6:$C705,$C705))</f>
        <v/>
      </c>
      <c r="V705" s="32">
        <f>IF(OR($C705="",$A705="",$S705=""),"",$C705&amp;"|"&amp;$A705&amp;"|"&amp;$S705)</f>
        <v/>
      </c>
      <c r="W705" s="32">
        <f>IF(OR($C705="",$S705="",$S705=1),"",IFERROR(INDEX($Q$6:$Q$1505,MATCH($C705&amp;"|"&amp;$A705&amp;"|"&amp;($S705-1),$V$6:$V$1505,0)),""))</f>
        <v/>
      </c>
      <c r="X705" s="32">
        <f>IF(OR($W705="",$Q705="",LEFT($Q705,1)="—"),"",IF($W705=$Q705,"ללא שינוי","מ-"&amp;$W705&amp;" ל-"&amp;$Q705))</f>
        <v/>
      </c>
    </row>
    <row r="706" ht="15.75" customHeight="1" s="58">
      <c r="A706" s="65" t="n"/>
      <c r="B706" s="65" t="n"/>
      <c r="C706" s="66" t="n"/>
      <c r="D706" s="66" t="n"/>
      <c r="E706" s="65" t="n"/>
      <c r="F706" s="65" t="n"/>
      <c r="G706" s="65" t="n"/>
      <c r="H706" s="65" t="n"/>
      <c r="I706" s="65" t="n"/>
      <c r="J706" s="65" t="n"/>
      <c r="K706" s="65" t="n"/>
      <c r="L706" s="65" t="n"/>
      <c r="M706" s="65" t="n"/>
      <c r="N706" s="65" t="n"/>
      <c r="O706" s="65" t="n"/>
      <c r="P706" s="65" t="n"/>
      <c r="Q706" s="32">
        <f>IF($C706="","",IF($J706="","— חסרים נתונים",IF($J706="טרם מפענח","פרופיל 5",IF($J706="קמץ/פתח/חטף-פתח ושוואים","פרופיל 4",IF($J706="2-3 סימני ניקוד","פרופיל 3",IF($J706="4-5 סימני ניקוד","פרופיל 2",IF(AND($O706="משפטים וקטעים קצרים",OR($M706="מבין",$M706="מבין לרוב")),"פרופיל 1","פרופיל 2")))))))</f>
        <v/>
      </c>
      <c r="R706" s="32">
        <f>IF($C706="","",IF(OR($Q706="",LEFT($Q706,1)="—"),"קבוצה רביעית",IF($Q706="פרופיל 5","קבוצת תשתיות",IF(OR($Q706="פרופיל 4",$Q706="פרופיל 3"),"קבוצת רכישה","קבוצת ביסוס"))))</f>
        <v/>
      </c>
      <c r="S706" s="32">
        <f>IF($F706="","",IF($F706="תחילת שנה",1,IF($F706="מחצית שנה",2,3)))</f>
        <v/>
      </c>
      <c r="T706" s="32">
        <f>IF(OR($B706="",$R706="",$A706="",$F706=""),"",$B706&amp;"|"&amp;$A706&amp;"|"&amp;$F706&amp;"|"&amp;$R706&amp;"|"&amp;COUNTIFS($B$6:$B706,$B706,$A$6:$A706,$A706,$F$6:$F706,$F706,$R$6:$R706,$R706))</f>
        <v/>
      </c>
      <c r="U706" s="32">
        <f>IF($C706="","",$C706&amp;"|"&amp;COUNTIFS($C$6:$C706,$C706))</f>
        <v/>
      </c>
      <c r="V706" s="32">
        <f>IF(OR($C706="",$A706="",$S706=""),"",$C706&amp;"|"&amp;$A706&amp;"|"&amp;$S706)</f>
        <v/>
      </c>
      <c r="W706" s="32">
        <f>IF(OR($C706="",$S706="",$S706=1),"",IFERROR(INDEX($Q$6:$Q$1505,MATCH($C706&amp;"|"&amp;$A706&amp;"|"&amp;($S706-1),$V$6:$V$1505,0)),""))</f>
        <v/>
      </c>
      <c r="X706" s="32">
        <f>IF(OR($W706="",$Q706="",LEFT($Q706,1)="—"),"",IF($W706=$Q706,"ללא שינוי","מ-"&amp;$W706&amp;" ל-"&amp;$Q706))</f>
        <v/>
      </c>
    </row>
    <row r="707" ht="15.75" customHeight="1" s="58">
      <c r="A707" s="65" t="n"/>
      <c r="B707" s="65" t="n"/>
      <c r="C707" s="66" t="n"/>
      <c r="D707" s="66" t="n"/>
      <c r="E707" s="65" t="n"/>
      <c r="F707" s="65" t="n"/>
      <c r="G707" s="65" t="n"/>
      <c r="H707" s="65" t="n"/>
      <c r="I707" s="65" t="n"/>
      <c r="J707" s="65" t="n"/>
      <c r="K707" s="65" t="n"/>
      <c r="L707" s="65" t="n"/>
      <c r="M707" s="65" t="n"/>
      <c r="N707" s="65" t="n"/>
      <c r="O707" s="65" t="n"/>
      <c r="P707" s="65" t="n"/>
      <c r="Q707" s="32">
        <f>IF($C707="","",IF($J707="","— חסרים נתונים",IF($J707="טרם מפענח","פרופיל 5",IF($J707="קמץ/פתח/חטף-פתח ושוואים","פרופיל 4",IF($J707="2-3 סימני ניקוד","פרופיל 3",IF($J707="4-5 סימני ניקוד","פרופיל 2",IF(AND($O707="משפטים וקטעים קצרים",OR($M707="מבין",$M707="מבין לרוב")),"פרופיל 1","פרופיל 2")))))))</f>
        <v/>
      </c>
      <c r="R707" s="32">
        <f>IF($C707="","",IF(OR($Q707="",LEFT($Q707,1)="—"),"קבוצה רביעית",IF($Q707="פרופיל 5","קבוצת תשתיות",IF(OR($Q707="פרופיל 4",$Q707="פרופיל 3"),"קבוצת רכישה","קבוצת ביסוס"))))</f>
        <v/>
      </c>
      <c r="S707" s="32">
        <f>IF($F707="","",IF($F707="תחילת שנה",1,IF($F707="מחצית שנה",2,3)))</f>
        <v/>
      </c>
      <c r="T707" s="32">
        <f>IF(OR($B707="",$R707="",$A707="",$F707=""),"",$B707&amp;"|"&amp;$A707&amp;"|"&amp;$F707&amp;"|"&amp;$R707&amp;"|"&amp;COUNTIFS($B$6:$B707,$B707,$A$6:$A707,$A707,$F$6:$F707,$F707,$R$6:$R707,$R707))</f>
        <v/>
      </c>
      <c r="U707" s="32">
        <f>IF($C707="","",$C707&amp;"|"&amp;COUNTIFS($C$6:$C707,$C707))</f>
        <v/>
      </c>
      <c r="V707" s="32">
        <f>IF(OR($C707="",$A707="",$S707=""),"",$C707&amp;"|"&amp;$A707&amp;"|"&amp;$S707)</f>
        <v/>
      </c>
      <c r="W707" s="32">
        <f>IF(OR($C707="",$S707="",$S707=1),"",IFERROR(INDEX($Q$6:$Q$1505,MATCH($C707&amp;"|"&amp;$A707&amp;"|"&amp;($S707-1),$V$6:$V$1505,0)),""))</f>
        <v/>
      </c>
      <c r="X707" s="32">
        <f>IF(OR($W707="",$Q707="",LEFT($Q707,1)="—"),"",IF($W707=$Q707,"ללא שינוי","מ-"&amp;$W707&amp;" ל-"&amp;$Q707))</f>
        <v/>
      </c>
    </row>
    <row r="708" ht="15.75" customHeight="1" s="58">
      <c r="A708" s="65" t="n"/>
      <c r="B708" s="65" t="n"/>
      <c r="C708" s="66" t="n"/>
      <c r="D708" s="66" t="n"/>
      <c r="E708" s="65" t="n"/>
      <c r="F708" s="65" t="n"/>
      <c r="G708" s="65" t="n"/>
      <c r="H708" s="65" t="n"/>
      <c r="I708" s="65" t="n"/>
      <c r="J708" s="65" t="n"/>
      <c r="K708" s="65" t="n"/>
      <c r="L708" s="65" t="n"/>
      <c r="M708" s="65" t="n"/>
      <c r="N708" s="65" t="n"/>
      <c r="O708" s="65" t="n"/>
      <c r="P708" s="65" t="n"/>
      <c r="Q708" s="32">
        <f>IF($C708="","",IF($J708="","— חסרים נתונים",IF($J708="טרם מפענח","פרופיל 5",IF($J708="קמץ/פתח/חטף-פתח ושוואים","פרופיל 4",IF($J708="2-3 סימני ניקוד","פרופיל 3",IF($J708="4-5 סימני ניקוד","פרופיל 2",IF(AND($O708="משפטים וקטעים קצרים",OR($M708="מבין",$M708="מבין לרוב")),"פרופיל 1","פרופיל 2")))))))</f>
        <v/>
      </c>
      <c r="R708" s="32">
        <f>IF($C708="","",IF(OR($Q708="",LEFT($Q708,1)="—"),"קבוצה רביעית",IF($Q708="פרופיל 5","קבוצת תשתיות",IF(OR($Q708="פרופיל 4",$Q708="פרופיל 3"),"קבוצת רכישה","קבוצת ביסוס"))))</f>
        <v/>
      </c>
      <c r="S708" s="32">
        <f>IF($F708="","",IF($F708="תחילת שנה",1,IF($F708="מחצית שנה",2,3)))</f>
        <v/>
      </c>
      <c r="T708" s="32">
        <f>IF(OR($B708="",$R708="",$A708="",$F708=""),"",$B708&amp;"|"&amp;$A708&amp;"|"&amp;$F708&amp;"|"&amp;$R708&amp;"|"&amp;COUNTIFS($B$6:$B708,$B708,$A$6:$A708,$A708,$F$6:$F708,$F708,$R$6:$R708,$R708))</f>
        <v/>
      </c>
      <c r="U708" s="32">
        <f>IF($C708="","",$C708&amp;"|"&amp;COUNTIFS($C$6:$C708,$C708))</f>
        <v/>
      </c>
      <c r="V708" s="32">
        <f>IF(OR($C708="",$A708="",$S708=""),"",$C708&amp;"|"&amp;$A708&amp;"|"&amp;$S708)</f>
        <v/>
      </c>
      <c r="W708" s="32">
        <f>IF(OR($C708="",$S708="",$S708=1),"",IFERROR(INDEX($Q$6:$Q$1505,MATCH($C708&amp;"|"&amp;$A708&amp;"|"&amp;($S708-1),$V$6:$V$1505,0)),""))</f>
        <v/>
      </c>
      <c r="X708" s="32">
        <f>IF(OR($W708="",$Q708="",LEFT($Q708,1)="—"),"",IF($W708=$Q708,"ללא שינוי","מ-"&amp;$W708&amp;" ל-"&amp;$Q708))</f>
        <v/>
      </c>
    </row>
    <row r="709" ht="15.75" customHeight="1" s="58">
      <c r="A709" s="65" t="n"/>
      <c r="B709" s="65" t="n"/>
      <c r="C709" s="66" t="n"/>
      <c r="D709" s="66" t="n"/>
      <c r="E709" s="65" t="n"/>
      <c r="F709" s="65" t="n"/>
      <c r="G709" s="65" t="n"/>
      <c r="H709" s="65" t="n"/>
      <c r="I709" s="65" t="n"/>
      <c r="J709" s="65" t="n"/>
      <c r="K709" s="65" t="n"/>
      <c r="L709" s="65" t="n"/>
      <c r="M709" s="65" t="n"/>
      <c r="N709" s="65" t="n"/>
      <c r="O709" s="65" t="n"/>
      <c r="P709" s="65" t="n"/>
      <c r="Q709" s="32">
        <f>IF($C709="","",IF($J709="","— חסרים נתונים",IF($J709="טרם מפענח","פרופיל 5",IF($J709="קמץ/פתח/חטף-פתח ושוואים","פרופיל 4",IF($J709="2-3 סימני ניקוד","פרופיל 3",IF($J709="4-5 סימני ניקוד","פרופיל 2",IF(AND($O709="משפטים וקטעים קצרים",OR($M709="מבין",$M709="מבין לרוב")),"פרופיל 1","פרופיל 2")))))))</f>
        <v/>
      </c>
      <c r="R709" s="32">
        <f>IF($C709="","",IF(OR($Q709="",LEFT($Q709,1)="—"),"קבוצה רביעית",IF($Q709="פרופיל 5","קבוצת תשתיות",IF(OR($Q709="פרופיל 4",$Q709="פרופיל 3"),"קבוצת רכישה","קבוצת ביסוס"))))</f>
        <v/>
      </c>
      <c r="S709" s="32">
        <f>IF($F709="","",IF($F709="תחילת שנה",1,IF($F709="מחצית שנה",2,3)))</f>
        <v/>
      </c>
      <c r="T709" s="32">
        <f>IF(OR($B709="",$R709="",$A709="",$F709=""),"",$B709&amp;"|"&amp;$A709&amp;"|"&amp;$F709&amp;"|"&amp;$R709&amp;"|"&amp;COUNTIFS($B$6:$B709,$B709,$A$6:$A709,$A709,$F$6:$F709,$F709,$R$6:$R709,$R709))</f>
        <v/>
      </c>
      <c r="U709" s="32">
        <f>IF($C709="","",$C709&amp;"|"&amp;COUNTIFS($C$6:$C709,$C709))</f>
        <v/>
      </c>
      <c r="V709" s="32">
        <f>IF(OR($C709="",$A709="",$S709=""),"",$C709&amp;"|"&amp;$A709&amp;"|"&amp;$S709)</f>
        <v/>
      </c>
      <c r="W709" s="32">
        <f>IF(OR($C709="",$S709="",$S709=1),"",IFERROR(INDEX($Q$6:$Q$1505,MATCH($C709&amp;"|"&amp;$A709&amp;"|"&amp;($S709-1),$V$6:$V$1505,0)),""))</f>
        <v/>
      </c>
      <c r="X709" s="32">
        <f>IF(OR($W709="",$Q709="",LEFT($Q709,1)="—"),"",IF($W709=$Q709,"ללא שינוי","מ-"&amp;$W709&amp;" ל-"&amp;$Q709))</f>
        <v/>
      </c>
    </row>
    <row r="710" ht="15.75" customHeight="1" s="58">
      <c r="A710" s="65" t="n"/>
      <c r="B710" s="65" t="n"/>
      <c r="C710" s="66" t="n"/>
      <c r="D710" s="66" t="n"/>
      <c r="E710" s="65" t="n"/>
      <c r="F710" s="65" t="n"/>
      <c r="G710" s="65" t="n"/>
      <c r="H710" s="65" t="n"/>
      <c r="I710" s="65" t="n"/>
      <c r="J710" s="65" t="n"/>
      <c r="K710" s="65" t="n"/>
      <c r="L710" s="65" t="n"/>
      <c r="M710" s="65" t="n"/>
      <c r="N710" s="65" t="n"/>
      <c r="O710" s="65" t="n"/>
      <c r="P710" s="65" t="n"/>
      <c r="Q710" s="32">
        <f>IF($C710="","",IF($J710="","— חסרים נתונים",IF($J710="טרם מפענח","פרופיל 5",IF($J710="קמץ/פתח/חטף-פתח ושוואים","פרופיל 4",IF($J710="2-3 סימני ניקוד","פרופיל 3",IF($J710="4-5 סימני ניקוד","פרופיל 2",IF(AND($O710="משפטים וקטעים קצרים",OR($M710="מבין",$M710="מבין לרוב")),"פרופיל 1","פרופיל 2")))))))</f>
        <v/>
      </c>
      <c r="R710" s="32">
        <f>IF($C710="","",IF(OR($Q710="",LEFT($Q710,1)="—"),"קבוצה רביעית",IF($Q710="פרופיל 5","קבוצת תשתיות",IF(OR($Q710="פרופיל 4",$Q710="פרופיל 3"),"קבוצת רכישה","קבוצת ביסוס"))))</f>
        <v/>
      </c>
      <c r="S710" s="32">
        <f>IF($F710="","",IF($F710="תחילת שנה",1,IF($F710="מחצית שנה",2,3)))</f>
        <v/>
      </c>
      <c r="T710" s="32">
        <f>IF(OR($B710="",$R710="",$A710="",$F710=""),"",$B710&amp;"|"&amp;$A710&amp;"|"&amp;$F710&amp;"|"&amp;$R710&amp;"|"&amp;COUNTIFS($B$6:$B710,$B710,$A$6:$A710,$A710,$F$6:$F710,$F710,$R$6:$R710,$R710))</f>
        <v/>
      </c>
      <c r="U710" s="32">
        <f>IF($C710="","",$C710&amp;"|"&amp;COUNTIFS($C$6:$C710,$C710))</f>
        <v/>
      </c>
      <c r="V710" s="32">
        <f>IF(OR($C710="",$A710="",$S710=""),"",$C710&amp;"|"&amp;$A710&amp;"|"&amp;$S710)</f>
        <v/>
      </c>
      <c r="W710" s="32">
        <f>IF(OR($C710="",$S710="",$S710=1),"",IFERROR(INDEX($Q$6:$Q$1505,MATCH($C710&amp;"|"&amp;$A710&amp;"|"&amp;($S710-1),$V$6:$V$1505,0)),""))</f>
        <v/>
      </c>
      <c r="X710" s="32">
        <f>IF(OR($W710="",$Q710="",LEFT($Q710,1)="—"),"",IF($W710=$Q710,"ללא שינוי","מ-"&amp;$W710&amp;" ל-"&amp;$Q710))</f>
        <v/>
      </c>
    </row>
    <row r="711" ht="15.75" customHeight="1" s="58">
      <c r="A711" s="65" t="n"/>
      <c r="B711" s="65" t="n"/>
      <c r="C711" s="66" t="n"/>
      <c r="D711" s="66" t="n"/>
      <c r="E711" s="65" t="n"/>
      <c r="F711" s="65" t="n"/>
      <c r="G711" s="65" t="n"/>
      <c r="H711" s="65" t="n"/>
      <c r="I711" s="65" t="n"/>
      <c r="J711" s="65" t="n"/>
      <c r="K711" s="65" t="n"/>
      <c r="L711" s="65" t="n"/>
      <c r="M711" s="65" t="n"/>
      <c r="N711" s="65" t="n"/>
      <c r="O711" s="65" t="n"/>
      <c r="P711" s="65" t="n"/>
      <c r="Q711" s="32">
        <f>IF($C711="","",IF($J711="","— חסרים נתונים",IF($J711="טרם מפענח","פרופיל 5",IF($J711="קמץ/פתח/חטף-פתח ושוואים","פרופיל 4",IF($J711="2-3 סימני ניקוד","פרופיל 3",IF($J711="4-5 סימני ניקוד","פרופיל 2",IF(AND($O711="משפטים וקטעים קצרים",OR($M711="מבין",$M711="מבין לרוב")),"פרופיל 1","פרופיל 2")))))))</f>
        <v/>
      </c>
      <c r="R711" s="32">
        <f>IF($C711="","",IF(OR($Q711="",LEFT($Q711,1)="—"),"קבוצה רביעית",IF($Q711="פרופיל 5","קבוצת תשתיות",IF(OR($Q711="פרופיל 4",$Q711="פרופיל 3"),"קבוצת רכישה","קבוצת ביסוס"))))</f>
        <v/>
      </c>
      <c r="S711" s="32">
        <f>IF($F711="","",IF($F711="תחילת שנה",1,IF($F711="מחצית שנה",2,3)))</f>
        <v/>
      </c>
      <c r="T711" s="32">
        <f>IF(OR($B711="",$R711="",$A711="",$F711=""),"",$B711&amp;"|"&amp;$A711&amp;"|"&amp;$F711&amp;"|"&amp;$R711&amp;"|"&amp;COUNTIFS($B$6:$B711,$B711,$A$6:$A711,$A711,$F$6:$F711,$F711,$R$6:$R711,$R711))</f>
        <v/>
      </c>
      <c r="U711" s="32">
        <f>IF($C711="","",$C711&amp;"|"&amp;COUNTIFS($C$6:$C711,$C711))</f>
        <v/>
      </c>
      <c r="V711" s="32">
        <f>IF(OR($C711="",$A711="",$S711=""),"",$C711&amp;"|"&amp;$A711&amp;"|"&amp;$S711)</f>
        <v/>
      </c>
      <c r="W711" s="32">
        <f>IF(OR($C711="",$S711="",$S711=1),"",IFERROR(INDEX($Q$6:$Q$1505,MATCH($C711&amp;"|"&amp;$A711&amp;"|"&amp;($S711-1),$V$6:$V$1505,0)),""))</f>
        <v/>
      </c>
      <c r="X711" s="32">
        <f>IF(OR($W711="",$Q711="",LEFT($Q711,1)="—"),"",IF($W711=$Q711,"ללא שינוי","מ-"&amp;$W711&amp;" ל-"&amp;$Q711))</f>
        <v/>
      </c>
    </row>
    <row r="712" ht="15.75" customHeight="1" s="58">
      <c r="A712" s="65" t="n"/>
      <c r="B712" s="65" t="n"/>
      <c r="C712" s="66" t="n"/>
      <c r="D712" s="66" t="n"/>
      <c r="E712" s="65" t="n"/>
      <c r="F712" s="65" t="n"/>
      <c r="G712" s="65" t="n"/>
      <c r="H712" s="65" t="n"/>
      <c r="I712" s="65" t="n"/>
      <c r="J712" s="65" t="n"/>
      <c r="K712" s="65" t="n"/>
      <c r="L712" s="65" t="n"/>
      <c r="M712" s="65" t="n"/>
      <c r="N712" s="65" t="n"/>
      <c r="O712" s="65" t="n"/>
      <c r="P712" s="65" t="n"/>
      <c r="Q712" s="32">
        <f>IF($C712="","",IF($J712="","— חסרים נתונים",IF($J712="טרם מפענח","פרופיל 5",IF($J712="קמץ/פתח/חטף-פתח ושוואים","פרופיל 4",IF($J712="2-3 סימני ניקוד","פרופיל 3",IF($J712="4-5 סימני ניקוד","פרופיל 2",IF(AND($O712="משפטים וקטעים קצרים",OR($M712="מבין",$M712="מבין לרוב")),"פרופיל 1","פרופיל 2")))))))</f>
        <v/>
      </c>
      <c r="R712" s="32">
        <f>IF($C712="","",IF(OR($Q712="",LEFT($Q712,1)="—"),"קבוצה רביעית",IF($Q712="פרופיל 5","קבוצת תשתיות",IF(OR($Q712="פרופיל 4",$Q712="פרופיל 3"),"קבוצת רכישה","קבוצת ביסוס"))))</f>
        <v/>
      </c>
      <c r="S712" s="32">
        <f>IF($F712="","",IF($F712="תחילת שנה",1,IF($F712="מחצית שנה",2,3)))</f>
        <v/>
      </c>
      <c r="T712" s="32">
        <f>IF(OR($B712="",$R712="",$A712="",$F712=""),"",$B712&amp;"|"&amp;$A712&amp;"|"&amp;$F712&amp;"|"&amp;$R712&amp;"|"&amp;COUNTIFS($B$6:$B712,$B712,$A$6:$A712,$A712,$F$6:$F712,$F712,$R$6:$R712,$R712))</f>
        <v/>
      </c>
      <c r="U712" s="32">
        <f>IF($C712="","",$C712&amp;"|"&amp;COUNTIFS($C$6:$C712,$C712))</f>
        <v/>
      </c>
      <c r="V712" s="32">
        <f>IF(OR($C712="",$A712="",$S712=""),"",$C712&amp;"|"&amp;$A712&amp;"|"&amp;$S712)</f>
        <v/>
      </c>
      <c r="W712" s="32">
        <f>IF(OR($C712="",$S712="",$S712=1),"",IFERROR(INDEX($Q$6:$Q$1505,MATCH($C712&amp;"|"&amp;$A712&amp;"|"&amp;($S712-1),$V$6:$V$1505,0)),""))</f>
        <v/>
      </c>
      <c r="X712" s="32">
        <f>IF(OR($W712="",$Q712="",LEFT($Q712,1)="—"),"",IF($W712=$Q712,"ללא שינוי","מ-"&amp;$W712&amp;" ל-"&amp;$Q712))</f>
        <v/>
      </c>
    </row>
    <row r="713" ht="15.75" customHeight="1" s="58">
      <c r="A713" s="65" t="n"/>
      <c r="B713" s="65" t="n"/>
      <c r="C713" s="66" t="n"/>
      <c r="D713" s="66" t="n"/>
      <c r="E713" s="65" t="n"/>
      <c r="F713" s="65" t="n"/>
      <c r="G713" s="65" t="n"/>
      <c r="H713" s="65" t="n"/>
      <c r="I713" s="65" t="n"/>
      <c r="J713" s="65" t="n"/>
      <c r="K713" s="65" t="n"/>
      <c r="L713" s="65" t="n"/>
      <c r="M713" s="65" t="n"/>
      <c r="N713" s="65" t="n"/>
      <c r="O713" s="65" t="n"/>
      <c r="P713" s="65" t="n"/>
      <c r="Q713" s="32">
        <f>IF($C713="","",IF($J713="","— חסרים נתונים",IF($J713="טרם מפענח","פרופיל 5",IF($J713="קמץ/פתח/חטף-פתח ושוואים","פרופיל 4",IF($J713="2-3 סימני ניקוד","פרופיל 3",IF($J713="4-5 סימני ניקוד","פרופיל 2",IF(AND($O713="משפטים וקטעים קצרים",OR($M713="מבין",$M713="מבין לרוב")),"פרופיל 1","פרופיל 2")))))))</f>
        <v/>
      </c>
      <c r="R713" s="32">
        <f>IF($C713="","",IF(OR($Q713="",LEFT($Q713,1)="—"),"קבוצה רביעית",IF($Q713="פרופיל 5","קבוצת תשתיות",IF(OR($Q713="פרופיל 4",$Q713="פרופיל 3"),"קבוצת רכישה","קבוצת ביסוס"))))</f>
        <v/>
      </c>
      <c r="S713" s="32">
        <f>IF($F713="","",IF($F713="תחילת שנה",1,IF($F713="מחצית שנה",2,3)))</f>
        <v/>
      </c>
      <c r="T713" s="32">
        <f>IF(OR($B713="",$R713="",$A713="",$F713=""),"",$B713&amp;"|"&amp;$A713&amp;"|"&amp;$F713&amp;"|"&amp;$R713&amp;"|"&amp;COUNTIFS($B$6:$B713,$B713,$A$6:$A713,$A713,$F$6:$F713,$F713,$R$6:$R713,$R713))</f>
        <v/>
      </c>
      <c r="U713" s="32">
        <f>IF($C713="","",$C713&amp;"|"&amp;COUNTIFS($C$6:$C713,$C713))</f>
        <v/>
      </c>
      <c r="V713" s="32">
        <f>IF(OR($C713="",$A713="",$S713=""),"",$C713&amp;"|"&amp;$A713&amp;"|"&amp;$S713)</f>
        <v/>
      </c>
      <c r="W713" s="32">
        <f>IF(OR($C713="",$S713="",$S713=1),"",IFERROR(INDEX($Q$6:$Q$1505,MATCH($C713&amp;"|"&amp;$A713&amp;"|"&amp;($S713-1),$V$6:$V$1505,0)),""))</f>
        <v/>
      </c>
      <c r="X713" s="32">
        <f>IF(OR($W713="",$Q713="",LEFT($Q713,1)="—"),"",IF($W713=$Q713,"ללא שינוי","מ-"&amp;$W713&amp;" ל-"&amp;$Q713))</f>
        <v/>
      </c>
    </row>
    <row r="714" ht="15.75" customHeight="1" s="58">
      <c r="A714" s="65" t="n"/>
      <c r="B714" s="65" t="n"/>
      <c r="C714" s="66" t="n"/>
      <c r="D714" s="66" t="n"/>
      <c r="E714" s="65" t="n"/>
      <c r="F714" s="65" t="n"/>
      <c r="G714" s="65" t="n"/>
      <c r="H714" s="65" t="n"/>
      <c r="I714" s="65" t="n"/>
      <c r="J714" s="65" t="n"/>
      <c r="K714" s="65" t="n"/>
      <c r="L714" s="65" t="n"/>
      <c r="M714" s="65" t="n"/>
      <c r="N714" s="65" t="n"/>
      <c r="O714" s="65" t="n"/>
      <c r="P714" s="65" t="n"/>
      <c r="Q714" s="32">
        <f>IF($C714="","",IF($J714="","— חסרים נתונים",IF($J714="טרם מפענח","פרופיל 5",IF($J714="קמץ/פתח/חטף-פתח ושוואים","פרופיל 4",IF($J714="2-3 סימני ניקוד","פרופיל 3",IF($J714="4-5 סימני ניקוד","פרופיל 2",IF(AND($O714="משפטים וקטעים קצרים",OR($M714="מבין",$M714="מבין לרוב")),"פרופיל 1","פרופיל 2")))))))</f>
        <v/>
      </c>
      <c r="R714" s="32">
        <f>IF($C714="","",IF(OR($Q714="",LEFT($Q714,1)="—"),"קבוצה רביעית",IF($Q714="פרופיל 5","קבוצת תשתיות",IF(OR($Q714="פרופיל 4",$Q714="פרופיל 3"),"קבוצת רכישה","קבוצת ביסוס"))))</f>
        <v/>
      </c>
      <c r="S714" s="32">
        <f>IF($F714="","",IF($F714="תחילת שנה",1,IF($F714="מחצית שנה",2,3)))</f>
        <v/>
      </c>
      <c r="T714" s="32">
        <f>IF(OR($B714="",$R714="",$A714="",$F714=""),"",$B714&amp;"|"&amp;$A714&amp;"|"&amp;$F714&amp;"|"&amp;$R714&amp;"|"&amp;COUNTIFS($B$6:$B714,$B714,$A$6:$A714,$A714,$F$6:$F714,$F714,$R$6:$R714,$R714))</f>
        <v/>
      </c>
      <c r="U714" s="32">
        <f>IF($C714="","",$C714&amp;"|"&amp;COUNTIFS($C$6:$C714,$C714))</f>
        <v/>
      </c>
      <c r="V714" s="32">
        <f>IF(OR($C714="",$A714="",$S714=""),"",$C714&amp;"|"&amp;$A714&amp;"|"&amp;$S714)</f>
        <v/>
      </c>
      <c r="W714" s="32">
        <f>IF(OR($C714="",$S714="",$S714=1),"",IFERROR(INDEX($Q$6:$Q$1505,MATCH($C714&amp;"|"&amp;$A714&amp;"|"&amp;($S714-1),$V$6:$V$1505,0)),""))</f>
        <v/>
      </c>
      <c r="X714" s="32">
        <f>IF(OR($W714="",$Q714="",LEFT($Q714,1)="—"),"",IF($W714=$Q714,"ללא שינוי","מ-"&amp;$W714&amp;" ל-"&amp;$Q714))</f>
        <v/>
      </c>
    </row>
    <row r="715" ht="15.75" customHeight="1" s="58">
      <c r="A715" s="65" t="n"/>
      <c r="B715" s="65" t="n"/>
      <c r="C715" s="66" t="n"/>
      <c r="D715" s="66" t="n"/>
      <c r="E715" s="65" t="n"/>
      <c r="F715" s="65" t="n"/>
      <c r="G715" s="65" t="n"/>
      <c r="H715" s="65" t="n"/>
      <c r="I715" s="65" t="n"/>
      <c r="J715" s="65" t="n"/>
      <c r="K715" s="65" t="n"/>
      <c r="L715" s="65" t="n"/>
      <c r="M715" s="65" t="n"/>
      <c r="N715" s="65" t="n"/>
      <c r="O715" s="65" t="n"/>
      <c r="P715" s="65" t="n"/>
      <c r="Q715" s="32">
        <f>IF($C715="","",IF($J715="","— חסרים נתונים",IF($J715="טרם מפענח","פרופיל 5",IF($J715="קמץ/פתח/חטף-פתח ושוואים","פרופיל 4",IF($J715="2-3 סימני ניקוד","פרופיל 3",IF($J715="4-5 סימני ניקוד","פרופיל 2",IF(AND($O715="משפטים וקטעים קצרים",OR($M715="מבין",$M715="מבין לרוב")),"פרופיל 1","פרופיל 2")))))))</f>
        <v/>
      </c>
      <c r="R715" s="32">
        <f>IF($C715="","",IF(OR($Q715="",LEFT($Q715,1)="—"),"קבוצה רביעית",IF($Q715="פרופיל 5","קבוצת תשתיות",IF(OR($Q715="פרופיל 4",$Q715="פרופיל 3"),"קבוצת רכישה","קבוצת ביסוס"))))</f>
        <v/>
      </c>
      <c r="S715" s="32">
        <f>IF($F715="","",IF($F715="תחילת שנה",1,IF($F715="מחצית שנה",2,3)))</f>
        <v/>
      </c>
      <c r="T715" s="32">
        <f>IF(OR($B715="",$R715="",$A715="",$F715=""),"",$B715&amp;"|"&amp;$A715&amp;"|"&amp;$F715&amp;"|"&amp;$R715&amp;"|"&amp;COUNTIFS($B$6:$B715,$B715,$A$6:$A715,$A715,$F$6:$F715,$F715,$R$6:$R715,$R715))</f>
        <v/>
      </c>
      <c r="U715" s="32">
        <f>IF($C715="","",$C715&amp;"|"&amp;COUNTIFS($C$6:$C715,$C715))</f>
        <v/>
      </c>
      <c r="V715" s="32">
        <f>IF(OR($C715="",$A715="",$S715=""),"",$C715&amp;"|"&amp;$A715&amp;"|"&amp;$S715)</f>
        <v/>
      </c>
      <c r="W715" s="32">
        <f>IF(OR($C715="",$S715="",$S715=1),"",IFERROR(INDEX($Q$6:$Q$1505,MATCH($C715&amp;"|"&amp;$A715&amp;"|"&amp;($S715-1),$V$6:$V$1505,0)),""))</f>
        <v/>
      </c>
      <c r="X715" s="32">
        <f>IF(OR($W715="",$Q715="",LEFT($Q715,1)="—"),"",IF($W715=$Q715,"ללא שינוי","מ-"&amp;$W715&amp;" ל-"&amp;$Q715))</f>
        <v/>
      </c>
    </row>
    <row r="716" ht="15.75" customHeight="1" s="58">
      <c r="A716" s="65" t="n"/>
      <c r="B716" s="65" t="n"/>
      <c r="C716" s="66" t="n"/>
      <c r="D716" s="66" t="n"/>
      <c r="E716" s="65" t="n"/>
      <c r="F716" s="65" t="n"/>
      <c r="G716" s="65" t="n"/>
      <c r="H716" s="65" t="n"/>
      <c r="I716" s="65" t="n"/>
      <c r="J716" s="65" t="n"/>
      <c r="K716" s="65" t="n"/>
      <c r="L716" s="65" t="n"/>
      <c r="M716" s="65" t="n"/>
      <c r="N716" s="65" t="n"/>
      <c r="O716" s="65" t="n"/>
      <c r="P716" s="65" t="n"/>
      <c r="Q716" s="32">
        <f>IF($C716="","",IF($J716="","— חסרים נתונים",IF($J716="טרם מפענח","פרופיל 5",IF($J716="קמץ/פתח/חטף-פתח ושוואים","פרופיל 4",IF($J716="2-3 סימני ניקוד","פרופיל 3",IF($J716="4-5 סימני ניקוד","פרופיל 2",IF(AND($O716="משפטים וקטעים קצרים",OR($M716="מבין",$M716="מבין לרוב")),"פרופיל 1","פרופיל 2")))))))</f>
        <v/>
      </c>
      <c r="R716" s="32">
        <f>IF($C716="","",IF(OR($Q716="",LEFT($Q716,1)="—"),"קבוצה רביעית",IF($Q716="פרופיל 5","קבוצת תשתיות",IF(OR($Q716="פרופיל 4",$Q716="פרופיל 3"),"קבוצת רכישה","קבוצת ביסוס"))))</f>
        <v/>
      </c>
      <c r="S716" s="32">
        <f>IF($F716="","",IF($F716="תחילת שנה",1,IF($F716="מחצית שנה",2,3)))</f>
        <v/>
      </c>
      <c r="T716" s="32">
        <f>IF(OR($B716="",$R716="",$A716="",$F716=""),"",$B716&amp;"|"&amp;$A716&amp;"|"&amp;$F716&amp;"|"&amp;$R716&amp;"|"&amp;COUNTIFS($B$6:$B716,$B716,$A$6:$A716,$A716,$F$6:$F716,$F716,$R$6:$R716,$R716))</f>
        <v/>
      </c>
      <c r="U716" s="32">
        <f>IF($C716="","",$C716&amp;"|"&amp;COUNTIFS($C$6:$C716,$C716))</f>
        <v/>
      </c>
      <c r="V716" s="32">
        <f>IF(OR($C716="",$A716="",$S716=""),"",$C716&amp;"|"&amp;$A716&amp;"|"&amp;$S716)</f>
        <v/>
      </c>
      <c r="W716" s="32">
        <f>IF(OR($C716="",$S716="",$S716=1),"",IFERROR(INDEX($Q$6:$Q$1505,MATCH($C716&amp;"|"&amp;$A716&amp;"|"&amp;($S716-1),$V$6:$V$1505,0)),""))</f>
        <v/>
      </c>
      <c r="X716" s="32">
        <f>IF(OR($W716="",$Q716="",LEFT($Q716,1)="—"),"",IF($W716=$Q716,"ללא שינוי","מ-"&amp;$W716&amp;" ל-"&amp;$Q716))</f>
        <v/>
      </c>
    </row>
    <row r="717" ht="15.75" customHeight="1" s="58">
      <c r="A717" s="65" t="n"/>
      <c r="B717" s="65" t="n"/>
      <c r="C717" s="66" t="n"/>
      <c r="D717" s="66" t="n"/>
      <c r="E717" s="65" t="n"/>
      <c r="F717" s="65" t="n"/>
      <c r="G717" s="65" t="n"/>
      <c r="H717" s="65" t="n"/>
      <c r="I717" s="65" t="n"/>
      <c r="J717" s="65" t="n"/>
      <c r="K717" s="65" t="n"/>
      <c r="L717" s="65" t="n"/>
      <c r="M717" s="65" t="n"/>
      <c r="N717" s="65" t="n"/>
      <c r="O717" s="65" t="n"/>
      <c r="P717" s="65" t="n"/>
      <c r="Q717" s="32">
        <f>IF($C717="","",IF($J717="","— חסרים נתונים",IF($J717="טרם מפענח","פרופיל 5",IF($J717="קמץ/פתח/חטף-פתח ושוואים","פרופיל 4",IF($J717="2-3 סימני ניקוד","פרופיל 3",IF($J717="4-5 סימני ניקוד","פרופיל 2",IF(AND($O717="משפטים וקטעים קצרים",OR($M717="מבין",$M717="מבין לרוב")),"פרופיל 1","פרופיל 2")))))))</f>
        <v/>
      </c>
      <c r="R717" s="32">
        <f>IF($C717="","",IF(OR($Q717="",LEFT($Q717,1)="—"),"קבוצה רביעית",IF($Q717="פרופיל 5","קבוצת תשתיות",IF(OR($Q717="פרופיל 4",$Q717="פרופיל 3"),"קבוצת רכישה","קבוצת ביסוס"))))</f>
        <v/>
      </c>
      <c r="S717" s="32">
        <f>IF($F717="","",IF($F717="תחילת שנה",1,IF($F717="מחצית שנה",2,3)))</f>
        <v/>
      </c>
      <c r="T717" s="32">
        <f>IF(OR($B717="",$R717="",$A717="",$F717=""),"",$B717&amp;"|"&amp;$A717&amp;"|"&amp;$F717&amp;"|"&amp;$R717&amp;"|"&amp;COUNTIFS($B$6:$B717,$B717,$A$6:$A717,$A717,$F$6:$F717,$F717,$R$6:$R717,$R717))</f>
        <v/>
      </c>
      <c r="U717" s="32">
        <f>IF($C717="","",$C717&amp;"|"&amp;COUNTIFS($C$6:$C717,$C717))</f>
        <v/>
      </c>
      <c r="V717" s="32">
        <f>IF(OR($C717="",$A717="",$S717=""),"",$C717&amp;"|"&amp;$A717&amp;"|"&amp;$S717)</f>
        <v/>
      </c>
      <c r="W717" s="32">
        <f>IF(OR($C717="",$S717="",$S717=1),"",IFERROR(INDEX($Q$6:$Q$1505,MATCH($C717&amp;"|"&amp;$A717&amp;"|"&amp;($S717-1),$V$6:$V$1505,0)),""))</f>
        <v/>
      </c>
      <c r="X717" s="32">
        <f>IF(OR($W717="",$Q717="",LEFT($Q717,1)="—"),"",IF($W717=$Q717,"ללא שינוי","מ-"&amp;$W717&amp;" ל-"&amp;$Q717))</f>
        <v/>
      </c>
    </row>
    <row r="718" ht="15.75" customHeight="1" s="58">
      <c r="A718" s="65" t="n"/>
      <c r="B718" s="65" t="n"/>
      <c r="C718" s="66" t="n"/>
      <c r="D718" s="66" t="n"/>
      <c r="E718" s="65" t="n"/>
      <c r="F718" s="65" t="n"/>
      <c r="G718" s="65" t="n"/>
      <c r="H718" s="65" t="n"/>
      <c r="I718" s="65" t="n"/>
      <c r="J718" s="65" t="n"/>
      <c r="K718" s="65" t="n"/>
      <c r="L718" s="65" t="n"/>
      <c r="M718" s="65" t="n"/>
      <c r="N718" s="65" t="n"/>
      <c r="O718" s="65" t="n"/>
      <c r="P718" s="65" t="n"/>
      <c r="Q718" s="32">
        <f>IF($C718="","",IF($J718="","— חסרים נתונים",IF($J718="טרם מפענח","פרופיל 5",IF($J718="קמץ/פתח/חטף-פתח ושוואים","פרופיל 4",IF($J718="2-3 סימני ניקוד","פרופיל 3",IF($J718="4-5 סימני ניקוד","פרופיל 2",IF(AND($O718="משפטים וקטעים קצרים",OR($M718="מבין",$M718="מבין לרוב")),"פרופיל 1","פרופיל 2")))))))</f>
        <v/>
      </c>
      <c r="R718" s="32">
        <f>IF($C718="","",IF(OR($Q718="",LEFT($Q718,1)="—"),"קבוצה רביעית",IF($Q718="פרופיל 5","קבוצת תשתיות",IF(OR($Q718="פרופיל 4",$Q718="פרופיל 3"),"קבוצת רכישה","קבוצת ביסוס"))))</f>
        <v/>
      </c>
      <c r="S718" s="32">
        <f>IF($F718="","",IF($F718="תחילת שנה",1,IF($F718="מחצית שנה",2,3)))</f>
        <v/>
      </c>
      <c r="T718" s="32">
        <f>IF(OR($B718="",$R718="",$A718="",$F718=""),"",$B718&amp;"|"&amp;$A718&amp;"|"&amp;$F718&amp;"|"&amp;$R718&amp;"|"&amp;COUNTIFS($B$6:$B718,$B718,$A$6:$A718,$A718,$F$6:$F718,$F718,$R$6:$R718,$R718))</f>
        <v/>
      </c>
      <c r="U718" s="32">
        <f>IF($C718="","",$C718&amp;"|"&amp;COUNTIFS($C$6:$C718,$C718))</f>
        <v/>
      </c>
      <c r="V718" s="32">
        <f>IF(OR($C718="",$A718="",$S718=""),"",$C718&amp;"|"&amp;$A718&amp;"|"&amp;$S718)</f>
        <v/>
      </c>
      <c r="W718" s="32">
        <f>IF(OR($C718="",$S718="",$S718=1),"",IFERROR(INDEX($Q$6:$Q$1505,MATCH($C718&amp;"|"&amp;$A718&amp;"|"&amp;($S718-1),$V$6:$V$1505,0)),""))</f>
        <v/>
      </c>
      <c r="X718" s="32">
        <f>IF(OR($W718="",$Q718="",LEFT($Q718,1)="—"),"",IF($W718=$Q718,"ללא שינוי","מ-"&amp;$W718&amp;" ל-"&amp;$Q718))</f>
        <v/>
      </c>
    </row>
    <row r="719" ht="15.75" customHeight="1" s="58">
      <c r="A719" s="65" t="n"/>
      <c r="B719" s="65" t="n"/>
      <c r="C719" s="66" t="n"/>
      <c r="D719" s="66" t="n"/>
      <c r="E719" s="65" t="n"/>
      <c r="F719" s="65" t="n"/>
      <c r="G719" s="65" t="n"/>
      <c r="H719" s="65" t="n"/>
      <c r="I719" s="65" t="n"/>
      <c r="J719" s="65" t="n"/>
      <c r="K719" s="65" t="n"/>
      <c r="L719" s="65" t="n"/>
      <c r="M719" s="65" t="n"/>
      <c r="N719" s="65" t="n"/>
      <c r="O719" s="65" t="n"/>
      <c r="P719" s="65" t="n"/>
      <c r="Q719" s="32">
        <f>IF($C719="","",IF($J719="","— חסרים נתונים",IF($J719="טרם מפענח","פרופיל 5",IF($J719="קמץ/פתח/חטף-פתח ושוואים","פרופיל 4",IF($J719="2-3 סימני ניקוד","פרופיל 3",IF($J719="4-5 סימני ניקוד","פרופיל 2",IF(AND($O719="משפטים וקטעים קצרים",OR($M719="מבין",$M719="מבין לרוב")),"פרופיל 1","פרופיל 2")))))))</f>
        <v/>
      </c>
      <c r="R719" s="32">
        <f>IF($C719="","",IF(OR($Q719="",LEFT($Q719,1)="—"),"קבוצה רביעית",IF($Q719="פרופיל 5","קבוצת תשתיות",IF(OR($Q719="פרופיל 4",$Q719="פרופיל 3"),"קבוצת רכישה","קבוצת ביסוס"))))</f>
        <v/>
      </c>
      <c r="S719" s="32">
        <f>IF($F719="","",IF($F719="תחילת שנה",1,IF($F719="מחצית שנה",2,3)))</f>
        <v/>
      </c>
      <c r="T719" s="32">
        <f>IF(OR($B719="",$R719="",$A719="",$F719=""),"",$B719&amp;"|"&amp;$A719&amp;"|"&amp;$F719&amp;"|"&amp;$R719&amp;"|"&amp;COUNTIFS($B$6:$B719,$B719,$A$6:$A719,$A719,$F$6:$F719,$F719,$R$6:$R719,$R719))</f>
        <v/>
      </c>
      <c r="U719" s="32">
        <f>IF($C719="","",$C719&amp;"|"&amp;COUNTIFS($C$6:$C719,$C719))</f>
        <v/>
      </c>
      <c r="V719" s="32">
        <f>IF(OR($C719="",$A719="",$S719=""),"",$C719&amp;"|"&amp;$A719&amp;"|"&amp;$S719)</f>
        <v/>
      </c>
      <c r="W719" s="32">
        <f>IF(OR($C719="",$S719="",$S719=1),"",IFERROR(INDEX($Q$6:$Q$1505,MATCH($C719&amp;"|"&amp;$A719&amp;"|"&amp;($S719-1),$V$6:$V$1505,0)),""))</f>
        <v/>
      </c>
      <c r="X719" s="32">
        <f>IF(OR($W719="",$Q719="",LEFT($Q719,1)="—"),"",IF($W719=$Q719,"ללא שינוי","מ-"&amp;$W719&amp;" ל-"&amp;$Q719))</f>
        <v/>
      </c>
    </row>
    <row r="720" ht="15.75" customHeight="1" s="58">
      <c r="A720" s="65" t="n"/>
      <c r="B720" s="65" t="n"/>
      <c r="C720" s="66" t="n"/>
      <c r="D720" s="66" t="n"/>
      <c r="E720" s="65" t="n"/>
      <c r="F720" s="65" t="n"/>
      <c r="G720" s="65" t="n"/>
      <c r="H720" s="65" t="n"/>
      <c r="I720" s="65" t="n"/>
      <c r="J720" s="65" t="n"/>
      <c r="K720" s="65" t="n"/>
      <c r="L720" s="65" t="n"/>
      <c r="M720" s="65" t="n"/>
      <c r="N720" s="65" t="n"/>
      <c r="O720" s="65" t="n"/>
      <c r="P720" s="65" t="n"/>
      <c r="Q720" s="32">
        <f>IF($C720="","",IF($J720="","— חסרים נתונים",IF($J720="טרם מפענח","פרופיל 5",IF($J720="קמץ/פתח/חטף-פתח ושוואים","פרופיל 4",IF($J720="2-3 סימני ניקוד","פרופיל 3",IF($J720="4-5 סימני ניקוד","פרופיל 2",IF(AND($O720="משפטים וקטעים קצרים",OR($M720="מבין",$M720="מבין לרוב")),"פרופיל 1","פרופיל 2")))))))</f>
        <v/>
      </c>
      <c r="R720" s="32">
        <f>IF($C720="","",IF(OR($Q720="",LEFT($Q720,1)="—"),"קבוצה רביעית",IF($Q720="פרופיל 5","קבוצת תשתיות",IF(OR($Q720="פרופיל 4",$Q720="פרופיל 3"),"קבוצת רכישה","קבוצת ביסוס"))))</f>
        <v/>
      </c>
      <c r="S720" s="32">
        <f>IF($F720="","",IF($F720="תחילת שנה",1,IF($F720="מחצית שנה",2,3)))</f>
        <v/>
      </c>
      <c r="T720" s="32">
        <f>IF(OR($B720="",$R720="",$A720="",$F720=""),"",$B720&amp;"|"&amp;$A720&amp;"|"&amp;$F720&amp;"|"&amp;$R720&amp;"|"&amp;COUNTIFS($B$6:$B720,$B720,$A$6:$A720,$A720,$F$6:$F720,$F720,$R$6:$R720,$R720))</f>
        <v/>
      </c>
      <c r="U720" s="32">
        <f>IF($C720="","",$C720&amp;"|"&amp;COUNTIFS($C$6:$C720,$C720))</f>
        <v/>
      </c>
      <c r="V720" s="32">
        <f>IF(OR($C720="",$A720="",$S720=""),"",$C720&amp;"|"&amp;$A720&amp;"|"&amp;$S720)</f>
        <v/>
      </c>
      <c r="W720" s="32">
        <f>IF(OR($C720="",$S720="",$S720=1),"",IFERROR(INDEX($Q$6:$Q$1505,MATCH($C720&amp;"|"&amp;$A720&amp;"|"&amp;($S720-1),$V$6:$V$1505,0)),""))</f>
        <v/>
      </c>
      <c r="X720" s="32">
        <f>IF(OR($W720="",$Q720="",LEFT($Q720,1)="—"),"",IF($W720=$Q720,"ללא שינוי","מ-"&amp;$W720&amp;" ל-"&amp;$Q720))</f>
        <v/>
      </c>
    </row>
    <row r="721" ht="15.75" customHeight="1" s="58">
      <c r="A721" s="65" t="n"/>
      <c r="B721" s="65" t="n"/>
      <c r="C721" s="66" t="n"/>
      <c r="D721" s="66" t="n"/>
      <c r="E721" s="65" t="n"/>
      <c r="F721" s="65" t="n"/>
      <c r="G721" s="65" t="n"/>
      <c r="H721" s="65" t="n"/>
      <c r="I721" s="65" t="n"/>
      <c r="J721" s="65" t="n"/>
      <c r="K721" s="65" t="n"/>
      <c r="L721" s="65" t="n"/>
      <c r="M721" s="65" t="n"/>
      <c r="N721" s="65" t="n"/>
      <c r="O721" s="65" t="n"/>
      <c r="P721" s="65" t="n"/>
      <c r="Q721" s="32">
        <f>IF($C721="","",IF($J721="","— חסרים נתונים",IF($J721="טרם מפענח","פרופיל 5",IF($J721="קמץ/פתח/חטף-פתח ושוואים","פרופיל 4",IF($J721="2-3 סימני ניקוד","פרופיל 3",IF($J721="4-5 סימני ניקוד","פרופיל 2",IF(AND($O721="משפטים וקטעים קצרים",OR($M721="מבין",$M721="מבין לרוב")),"פרופיל 1","פרופיל 2")))))))</f>
        <v/>
      </c>
      <c r="R721" s="32">
        <f>IF($C721="","",IF(OR($Q721="",LEFT($Q721,1)="—"),"קבוצה רביעית",IF($Q721="פרופיל 5","קבוצת תשתיות",IF(OR($Q721="פרופיל 4",$Q721="פרופיל 3"),"קבוצת רכישה","קבוצת ביסוס"))))</f>
        <v/>
      </c>
      <c r="S721" s="32">
        <f>IF($F721="","",IF($F721="תחילת שנה",1,IF($F721="מחצית שנה",2,3)))</f>
        <v/>
      </c>
      <c r="T721" s="32">
        <f>IF(OR($B721="",$R721="",$A721="",$F721=""),"",$B721&amp;"|"&amp;$A721&amp;"|"&amp;$F721&amp;"|"&amp;$R721&amp;"|"&amp;COUNTIFS($B$6:$B721,$B721,$A$6:$A721,$A721,$F$6:$F721,$F721,$R$6:$R721,$R721))</f>
        <v/>
      </c>
      <c r="U721" s="32">
        <f>IF($C721="","",$C721&amp;"|"&amp;COUNTIFS($C$6:$C721,$C721))</f>
        <v/>
      </c>
      <c r="V721" s="32">
        <f>IF(OR($C721="",$A721="",$S721=""),"",$C721&amp;"|"&amp;$A721&amp;"|"&amp;$S721)</f>
        <v/>
      </c>
      <c r="W721" s="32">
        <f>IF(OR($C721="",$S721="",$S721=1),"",IFERROR(INDEX($Q$6:$Q$1505,MATCH($C721&amp;"|"&amp;$A721&amp;"|"&amp;($S721-1),$V$6:$V$1505,0)),""))</f>
        <v/>
      </c>
      <c r="X721" s="32">
        <f>IF(OR($W721="",$Q721="",LEFT($Q721,1)="—"),"",IF($W721=$Q721,"ללא שינוי","מ-"&amp;$W721&amp;" ל-"&amp;$Q721))</f>
        <v/>
      </c>
    </row>
    <row r="722" ht="15.75" customHeight="1" s="58">
      <c r="A722" s="65" t="n"/>
      <c r="B722" s="65" t="n"/>
      <c r="C722" s="66" t="n"/>
      <c r="D722" s="66" t="n"/>
      <c r="E722" s="65" t="n"/>
      <c r="F722" s="65" t="n"/>
      <c r="G722" s="65" t="n"/>
      <c r="H722" s="65" t="n"/>
      <c r="I722" s="65" t="n"/>
      <c r="J722" s="65" t="n"/>
      <c r="K722" s="65" t="n"/>
      <c r="L722" s="65" t="n"/>
      <c r="M722" s="65" t="n"/>
      <c r="N722" s="65" t="n"/>
      <c r="O722" s="65" t="n"/>
      <c r="P722" s="65" t="n"/>
      <c r="Q722" s="32">
        <f>IF($C722="","",IF($J722="","— חסרים נתונים",IF($J722="טרם מפענח","פרופיל 5",IF($J722="קמץ/פתח/חטף-פתח ושוואים","פרופיל 4",IF($J722="2-3 סימני ניקוד","פרופיל 3",IF($J722="4-5 סימני ניקוד","פרופיל 2",IF(AND($O722="משפטים וקטעים קצרים",OR($M722="מבין",$M722="מבין לרוב")),"פרופיל 1","פרופיל 2")))))))</f>
        <v/>
      </c>
      <c r="R722" s="32">
        <f>IF($C722="","",IF(OR($Q722="",LEFT($Q722,1)="—"),"קבוצה רביעית",IF($Q722="פרופיל 5","קבוצת תשתיות",IF(OR($Q722="פרופיל 4",$Q722="פרופיל 3"),"קבוצת רכישה","קבוצת ביסוס"))))</f>
        <v/>
      </c>
      <c r="S722" s="32">
        <f>IF($F722="","",IF($F722="תחילת שנה",1,IF($F722="מחצית שנה",2,3)))</f>
        <v/>
      </c>
      <c r="T722" s="32">
        <f>IF(OR($B722="",$R722="",$A722="",$F722=""),"",$B722&amp;"|"&amp;$A722&amp;"|"&amp;$F722&amp;"|"&amp;$R722&amp;"|"&amp;COUNTIFS($B$6:$B722,$B722,$A$6:$A722,$A722,$F$6:$F722,$F722,$R$6:$R722,$R722))</f>
        <v/>
      </c>
      <c r="U722" s="32">
        <f>IF($C722="","",$C722&amp;"|"&amp;COUNTIFS($C$6:$C722,$C722))</f>
        <v/>
      </c>
      <c r="V722" s="32">
        <f>IF(OR($C722="",$A722="",$S722=""),"",$C722&amp;"|"&amp;$A722&amp;"|"&amp;$S722)</f>
        <v/>
      </c>
      <c r="W722" s="32">
        <f>IF(OR($C722="",$S722="",$S722=1),"",IFERROR(INDEX($Q$6:$Q$1505,MATCH($C722&amp;"|"&amp;$A722&amp;"|"&amp;($S722-1),$V$6:$V$1505,0)),""))</f>
        <v/>
      </c>
      <c r="X722" s="32">
        <f>IF(OR($W722="",$Q722="",LEFT($Q722,1)="—"),"",IF($W722=$Q722,"ללא שינוי","מ-"&amp;$W722&amp;" ל-"&amp;$Q722))</f>
        <v/>
      </c>
    </row>
    <row r="723" ht="15.75" customHeight="1" s="58">
      <c r="A723" s="65" t="n"/>
      <c r="B723" s="65" t="n"/>
      <c r="C723" s="66" t="n"/>
      <c r="D723" s="66" t="n"/>
      <c r="E723" s="65" t="n"/>
      <c r="F723" s="65" t="n"/>
      <c r="G723" s="65" t="n"/>
      <c r="H723" s="65" t="n"/>
      <c r="I723" s="65" t="n"/>
      <c r="J723" s="65" t="n"/>
      <c r="K723" s="65" t="n"/>
      <c r="L723" s="65" t="n"/>
      <c r="M723" s="65" t="n"/>
      <c r="N723" s="65" t="n"/>
      <c r="O723" s="65" t="n"/>
      <c r="P723" s="65" t="n"/>
      <c r="Q723" s="32">
        <f>IF($C723="","",IF($J723="","— חסרים נתונים",IF($J723="טרם מפענח","פרופיל 5",IF($J723="קמץ/פתח/חטף-פתח ושוואים","פרופיל 4",IF($J723="2-3 סימני ניקוד","פרופיל 3",IF($J723="4-5 סימני ניקוד","פרופיל 2",IF(AND($O723="משפטים וקטעים קצרים",OR($M723="מבין",$M723="מבין לרוב")),"פרופיל 1","פרופיל 2")))))))</f>
        <v/>
      </c>
      <c r="R723" s="32">
        <f>IF($C723="","",IF(OR($Q723="",LEFT($Q723,1)="—"),"קבוצה רביעית",IF($Q723="פרופיל 5","קבוצת תשתיות",IF(OR($Q723="פרופיל 4",$Q723="פרופיל 3"),"קבוצת רכישה","קבוצת ביסוס"))))</f>
        <v/>
      </c>
      <c r="S723" s="32">
        <f>IF($F723="","",IF($F723="תחילת שנה",1,IF($F723="מחצית שנה",2,3)))</f>
        <v/>
      </c>
      <c r="T723" s="32">
        <f>IF(OR($B723="",$R723="",$A723="",$F723=""),"",$B723&amp;"|"&amp;$A723&amp;"|"&amp;$F723&amp;"|"&amp;$R723&amp;"|"&amp;COUNTIFS($B$6:$B723,$B723,$A$6:$A723,$A723,$F$6:$F723,$F723,$R$6:$R723,$R723))</f>
        <v/>
      </c>
      <c r="U723" s="32">
        <f>IF($C723="","",$C723&amp;"|"&amp;COUNTIFS($C$6:$C723,$C723))</f>
        <v/>
      </c>
      <c r="V723" s="32">
        <f>IF(OR($C723="",$A723="",$S723=""),"",$C723&amp;"|"&amp;$A723&amp;"|"&amp;$S723)</f>
        <v/>
      </c>
      <c r="W723" s="32">
        <f>IF(OR($C723="",$S723="",$S723=1),"",IFERROR(INDEX($Q$6:$Q$1505,MATCH($C723&amp;"|"&amp;$A723&amp;"|"&amp;($S723-1),$V$6:$V$1505,0)),""))</f>
        <v/>
      </c>
      <c r="X723" s="32">
        <f>IF(OR($W723="",$Q723="",LEFT($Q723,1)="—"),"",IF($W723=$Q723,"ללא שינוי","מ-"&amp;$W723&amp;" ל-"&amp;$Q723))</f>
        <v/>
      </c>
    </row>
    <row r="724" ht="15.75" customHeight="1" s="58">
      <c r="A724" s="65" t="n"/>
      <c r="B724" s="65" t="n"/>
      <c r="C724" s="66" t="n"/>
      <c r="D724" s="66" t="n"/>
      <c r="E724" s="65" t="n"/>
      <c r="F724" s="65" t="n"/>
      <c r="G724" s="65" t="n"/>
      <c r="H724" s="65" t="n"/>
      <c r="I724" s="65" t="n"/>
      <c r="J724" s="65" t="n"/>
      <c r="K724" s="65" t="n"/>
      <c r="L724" s="65" t="n"/>
      <c r="M724" s="65" t="n"/>
      <c r="N724" s="65" t="n"/>
      <c r="O724" s="65" t="n"/>
      <c r="P724" s="65" t="n"/>
      <c r="Q724" s="32">
        <f>IF($C724="","",IF($J724="","— חסרים נתונים",IF($J724="טרם מפענח","פרופיל 5",IF($J724="קמץ/פתח/חטף-פתח ושוואים","פרופיל 4",IF($J724="2-3 סימני ניקוד","פרופיל 3",IF($J724="4-5 סימני ניקוד","פרופיל 2",IF(AND($O724="משפטים וקטעים קצרים",OR($M724="מבין",$M724="מבין לרוב")),"פרופיל 1","פרופיל 2")))))))</f>
        <v/>
      </c>
      <c r="R724" s="32">
        <f>IF($C724="","",IF(OR($Q724="",LEFT($Q724,1)="—"),"קבוצה רביעית",IF($Q724="פרופיל 5","קבוצת תשתיות",IF(OR($Q724="פרופיל 4",$Q724="פרופיל 3"),"קבוצת רכישה","קבוצת ביסוס"))))</f>
        <v/>
      </c>
      <c r="S724" s="32">
        <f>IF($F724="","",IF($F724="תחילת שנה",1,IF($F724="מחצית שנה",2,3)))</f>
        <v/>
      </c>
      <c r="T724" s="32">
        <f>IF(OR($B724="",$R724="",$A724="",$F724=""),"",$B724&amp;"|"&amp;$A724&amp;"|"&amp;$F724&amp;"|"&amp;$R724&amp;"|"&amp;COUNTIFS($B$6:$B724,$B724,$A$6:$A724,$A724,$F$6:$F724,$F724,$R$6:$R724,$R724))</f>
        <v/>
      </c>
      <c r="U724" s="32">
        <f>IF($C724="","",$C724&amp;"|"&amp;COUNTIFS($C$6:$C724,$C724))</f>
        <v/>
      </c>
      <c r="V724" s="32">
        <f>IF(OR($C724="",$A724="",$S724=""),"",$C724&amp;"|"&amp;$A724&amp;"|"&amp;$S724)</f>
        <v/>
      </c>
      <c r="W724" s="32">
        <f>IF(OR($C724="",$S724="",$S724=1),"",IFERROR(INDEX($Q$6:$Q$1505,MATCH($C724&amp;"|"&amp;$A724&amp;"|"&amp;($S724-1),$V$6:$V$1505,0)),""))</f>
        <v/>
      </c>
      <c r="X724" s="32">
        <f>IF(OR($W724="",$Q724="",LEFT($Q724,1)="—"),"",IF($W724=$Q724,"ללא שינוי","מ-"&amp;$W724&amp;" ל-"&amp;$Q724))</f>
        <v/>
      </c>
    </row>
    <row r="725" ht="15.75" customHeight="1" s="58">
      <c r="A725" s="65" t="n"/>
      <c r="B725" s="65" t="n"/>
      <c r="C725" s="66" t="n"/>
      <c r="D725" s="66" t="n"/>
      <c r="E725" s="65" t="n"/>
      <c r="F725" s="65" t="n"/>
      <c r="G725" s="65" t="n"/>
      <c r="H725" s="65" t="n"/>
      <c r="I725" s="65" t="n"/>
      <c r="J725" s="65" t="n"/>
      <c r="K725" s="65" t="n"/>
      <c r="L725" s="65" t="n"/>
      <c r="M725" s="65" t="n"/>
      <c r="N725" s="65" t="n"/>
      <c r="O725" s="65" t="n"/>
      <c r="P725" s="65" t="n"/>
      <c r="Q725" s="32">
        <f>IF($C725="","",IF($J725="","— חסרים נתונים",IF($J725="טרם מפענח","פרופיל 5",IF($J725="קמץ/פתח/חטף-פתח ושוואים","פרופיל 4",IF($J725="2-3 סימני ניקוד","פרופיל 3",IF($J725="4-5 סימני ניקוד","פרופיל 2",IF(AND($O725="משפטים וקטעים קצרים",OR($M725="מבין",$M725="מבין לרוב")),"פרופיל 1","פרופיל 2")))))))</f>
        <v/>
      </c>
      <c r="R725" s="32">
        <f>IF($C725="","",IF(OR($Q725="",LEFT($Q725,1)="—"),"קבוצה רביעית",IF($Q725="פרופיל 5","קבוצת תשתיות",IF(OR($Q725="פרופיל 4",$Q725="פרופיל 3"),"קבוצת רכישה","קבוצת ביסוס"))))</f>
        <v/>
      </c>
      <c r="S725" s="32">
        <f>IF($F725="","",IF($F725="תחילת שנה",1,IF($F725="מחצית שנה",2,3)))</f>
        <v/>
      </c>
      <c r="T725" s="32">
        <f>IF(OR($B725="",$R725="",$A725="",$F725=""),"",$B725&amp;"|"&amp;$A725&amp;"|"&amp;$F725&amp;"|"&amp;$R725&amp;"|"&amp;COUNTIFS($B$6:$B725,$B725,$A$6:$A725,$A725,$F$6:$F725,$F725,$R$6:$R725,$R725))</f>
        <v/>
      </c>
      <c r="U725" s="32">
        <f>IF($C725="","",$C725&amp;"|"&amp;COUNTIFS($C$6:$C725,$C725))</f>
        <v/>
      </c>
      <c r="V725" s="32">
        <f>IF(OR($C725="",$A725="",$S725=""),"",$C725&amp;"|"&amp;$A725&amp;"|"&amp;$S725)</f>
        <v/>
      </c>
      <c r="W725" s="32">
        <f>IF(OR($C725="",$S725="",$S725=1),"",IFERROR(INDEX($Q$6:$Q$1505,MATCH($C725&amp;"|"&amp;$A725&amp;"|"&amp;($S725-1),$V$6:$V$1505,0)),""))</f>
        <v/>
      </c>
      <c r="X725" s="32">
        <f>IF(OR($W725="",$Q725="",LEFT($Q725,1)="—"),"",IF($W725=$Q725,"ללא שינוי","מ-"&amp;$W725&amp;" ל-"&amp;$Q725))</f>
        <v/>
      </c>
    </row>
    <row r="726" ht="15.75" customHeight="1" s="58">
      <c r="A726" s="65" t="n"/>
      <c r="B726" s="65" t="n"/>
      <c r="C726" s="66" t="n"/>
      <c r="D726" s="66" t="n"/>
      <c r="E726" s="65" t="n"/>
      <c r="F726" s="65" t="n"/>
      <c r="G726" s="65" t="n"/>
      <c r="H726" s="65" t="n"/>
      <c r="I726" s="65" t="n"/>
      <c r="J726" s="65" t="n"/>
      <c r="K726" s="65" t="n"/>
      <c r="L726" s="65" t="n"/>
      <c r="M726" s="65" t="n"/>
      <c r="N726" s="65" t="n"/>
      <c r="O726" s="65" t="n"/>
      <c r="P726" s="65" t="n"/>
      <c r="Q726" s="32">
        <f>IF($C726="","",IF($J726="","— חסרים נתונים",IF($J726="טרם מפענח","פרופיל 5",IF($J726="קמץ/פתח/חטף-פתח ושוואים","פרופיל 4",IF($J726="2-3 סימני ניקוד","פרופיל 3",IF($J726="4-5 סימני ניקוד","פרופיל 2",IF(AND($O726="משפטים וקטעים קצרים",OR($M726="מבין",$M726="מבין לרוב")),"פרופיל 1","פרופיל 2")))))))</f>
        <v/>
      </c>
      <c r="R726" s="32">
        <f>IF($C726="","",IF(OR($Q726="",LEFT($Q726,1)="—"),"קבוצה רביעית",IF($Q726="פרופיל 5","קבוצת תשתיות",IF(OR($Q726="פרופיל 4",$Q726="פרופיל 3"),"קבוצת רכישה","קבוצת ביסוס"))))</f>
        <v/>
      </c>
      <c r="S726" s="32">
        <f>IF($F726="","",IF($F726="תחילת שנה",1,IF($F726="מחצית שנה",2,3)))</f>
        <v/>
      </c>
      <c r="T726" s="32">
        <f>IF(OR($B726="",$R726="",$A726="",$F726=""),"",$B726&amp;"|"&amp;$A726&amp;"|"&amp;$F726&amp;"|"&amp;$R726&amp;"|"&amp;COUNTIFS($B$6:$B726,$B726,$A$6:$A726,$A726,$F$6:$F726,$F726,$R$6:$R726,$R726))</f>
        <v/>
      </c>
      <c r="U726" s="32">
        <f>IF($C726="","",$C726&amp;"|"&amp;COUNTIFS($C$6:$C726,$C726))</f>
        <v/>
      </c>
      <c r="V726" s="32">
        <f>IF(OR($C726="",$A726="",$S726=""),"",$C726&amp;"|"&amp;$A726&amp;"|"&amp;$S726)</f>
        <v/>
      </c>
      <c r="W726" s="32">
        <f>IF(OR($C726="",$S726="",$S726=1),"",IFERROR(INDEX($Q$6:$Q$1505,MATCH($C726&amp;"|"&amp;$A726&amp;"|"&amp;($S726-1),$V$6:$V$1505,0)),""))</f>
        <v/>
      </c>
      <c r="X726" s="32">
        <f>IF(OR($W726="",$Q726="",LEFT($Q726,1)="—"),"",IF($W726=$Q726,"ללא שינוי","מ-"&amp;$W726&amp;" ל-"&amp;$Q726))</f>
        <v/>
      </c>
    </row>
    <row r="727" ht="15.75" customHeight="1" s="58">
      <c r="A727" s="65" t="n"/>
      <c r="B727" s="65" t="n"/>
      <c r="C727" s="66" t="n"/>
      <c r="D727" s="66" t="n"/>
      <c r="E727" s="65" t="n"/>
      <c r="F727" s="65" t="n"/>
      <c r="G727" s="65" t="n"/>
      <c r="H727" s="65" t="n"/>
      <c r="I727" s="65" t="n"/>
      <c r="J727" s="65" t="n"/>
      <c r="K727" s="65" t="n"/>
      <c r="L727" s="65" t="n"/>
      <c r="M727" s="65" t="n"/>
      <c r="N727" s="65" t="n"/>
      <c r="O727" s="65" t="n"/>
      <c r="P727" s="65" t="n"/>
      <c r="Q727" s="32">
        <f>IF($C727="","",IF($J727="","— חסרים נתונים",IF($J727="טרם מפענח","פרופיל 5",IF($J727="קמץ/פתח/חטף-פתח ושוואים","פרופיל 4",IF($J727="2-3 סימני ניקוד","פרופיל 3",IF($J727="4-5 סימני ניקוד","פרופיל 2",IF(AND($O727="משפטים וקטעים קצרים",OR($M727="מבין",$M727="מבין לרוב")),"פרופיל 1","פרופיל 2")))))))</f>
        <v/>
      </c>
      <c r="R727" s="32">
        <f>IF($C727="","",IF(OR($Q727="",LEFT($Q727,1)="—"),"קבוצה רביעית",IF($Q727="פרופיל 5","קבוצת תשתיות",IF(OR($Q727="פרופיל 4",$Q727="פרופיל 3"),"קבוצת רכישה","קבוצת ביסוס"))))</f>
        <v/>
      </c>
      <c r="S727" s="32">
        <f>IF($F727="","",IF($F727="תחילת שנה",1,IF($F727="מחצית שנה",2,3)))</f>
        <v/>
      </c>
      <c r="T727" s="32">
        <f>IF(OR($B727="",$R727="",$A727="",$F727=""),"",$B727&amp;"|"&amp;$A727&amp;"|"&amp;$F727&amp;"|"&amp;$R727&amp;"|"&amp;COUNTIFS($B$6:$B727,$B727,$A$6:$A727,$A727,$F$6:$F727,$F727,$R$6:$R727,$R727))</f>
        <v/>
      </c>
      <c r="U727" s="32">
        <f>IF($C727="","",$C727&amp;"|"&amp;COUNTIFS($C$6:$C727,$C727))</f>
        <v/>
      </c>
      <c r="V727" s="32">
        <f>IF(OR($C727="",$A727="",$S727=""),"",$C727&amp;"|"&amp;$A727&amp;"|"&amp;$S727)</f>
        <v/>
      </c>
      <c r="W727" s="32">
        <f>IF(OR($C727="",$S727="",$S727=1),"",IFERROR(INDEX($Q$6:$Q$1505,MATCH($C727&amp;"|"&amp;$A727&amp;"|"&amp;($S727-1),$V$6:$V$1505,0)),""))</f>
        <v/>
      </c>
      <c r="X727" s="32">
        <f>IF(OR($W727="",$Q727="",LEFT($Q727,1)="—"),"",IF($W727=$Q727,"ללא שינוי","מ-"&amp;$W727&amp;" ל-"&amp;$Q727))</f>
        <v/>
      </c>
    </row>
    <row r="728" ht="15.75" customHeight="1" s="58">
      <c r="A728" s="65" t="n"/>
      <c r="B728" s="65" t="n"/>
      <c r="C728" s="66" t="n"/>
      <c r="D728" s="66" t="n"/>
      <c r="E728" s="65" t="n"/>
      <c r="F728" s="65" t="n"/>
      <c r="G728" s="65" t="n"/>
      <c r="H728" s="65" t="n"/>
      <c r="I728" s="65" t="n"/>
      <c r="J728" s="65" t="n"/>
      <c r="K728" s="65" t="n"/>
      <c r="L728" s="65" t="n"/>
      <c r="M728" s="65" t="n"/>
      <c r="N728" s="65" t="n"/>
      <c r="O728" s="65" t="n"/>
      <c r="P728" s="65" t="n"/>
      <c r="Q728" s="32">
        <f>IF($C728="","",IF($J728="","— חסרים נתונים",IF($J728="טרם מפענח","פרופיל 5",IF($J728="קמץ/פתח/חטף-פתח ושוואים","פרופיל 4",IF($J728="2-3 סימני ניקוד","פרופיל 3",IF($J728="4-5 סימני ניקוד","פרופיל 2",IF(AND($O728="משפטים וקטעים קצרים",OR($M728="מבין",$M728="מבין לרוב")),"פרופיל 1","פרופיל 2")))))))</f>
        <v/>
      </c>
      <c r="R728" s="32">
        <f>IF($C728="","",IF(OR($Q728="",LEFT($Q728,1)="—"),"קבוצה רביעית",IF($Q728="פרופיל 5","קבוצת תשתיות",IF(OR($Q728="פרופיל 4",$Q728="פרופיל 3"),"קבוצת רכישה","קבוצת ביסוס"))))</f>
        <v/>
      </c>
      <c r="S728" s="32">
        <f>IF($F728="","",IF($F728="תחילת שנה",1,IF($F728="מחצית שנה",2,3)))</f>
        <v/>
      </c>
      <c r="T728" s="32">
        <f>IF(OR($B728="",$R728="",$A728="",$F728=""),"",$B728&amp;"|"&amp;$A728&amp;"|"&amp;$F728&amp;"|"&amp;$R728&amp;"|"&amp;COUNTIFS($B$6:$B728,$B728,$A$6:$A728,$A728,$F$6:$F728,$F728,$R$6:$R728,$R728))</f>
        <v/>
      </c>
      <c r="U728" s="32">
        <f>IF($C728="","",$C728&amp;"|"&amp;COUNTIFS($C$6:$C728,$C728))</f>
        <v/>
      </c>
      <c r="V728" s="32">
        <f>IF(OR($C728="",$A728="",$S728=""),"",$C728&amp;"|"&amp;$A728&amp;"|"&amp;$S728)</f>
        <v/>
      </c>
      <c r="W728" s="32">
        <f>IF(OR($C728="",$S728="",$S728=1),"",IFERROR(INDEX($Q$6:$Q$1505,MATCH($C728&amp;"|"&amp;$A728&amp;"|"&amp;($S728-1),$V$6:$V$1505,0)),""))</f>
        <v/>
      </c>
      <c r="X728" s="32">
        <f>IF(OR($W728="",$Q728="",LEFT($Q728,1)="—"),"",IF($W728=$Q728,"ללא שינוי","מ-"&amp;$W728&amp;" ל-"&amp;$Q728))</f>
        <v/>
      </c>
    </row>
    <row r="729" ht="15.75" customHeight="1" s="58">
      <c r="A729" s="65" t="n"/>
      <c r="B729" s="65" t="n"/>
      <c r="C729" s="66" t="n"/>
      <c r="D729" s="66" t="n"/>
      <c r="E729" s="65" t="n"/>
      <c r="F729" s="65" t="n"/>
      <c r="G729" s="65" t="n"/>
      <c r="H729" s="65" t="n"/>
      <c r="I729" s="65" t="n"/>
      <c r="J729" s="65" t="n"/>
      <c r="K729" s="65" t="n"/>
      <c r="L729" s="65" t="n"/>
      <c r="M729" s="65" t="n"/>
      <c r="N729" s="65" t="n"/>
      <c r="O729" s="65" t="n"/>
      <c r="P729" s="65" t="n"/>
      <c r="Q729" s="32">
        <f>IF($C729="","",IF($J729="","— חסרים נתונים",IF($J729="טרם מפענח","פרופיל 5",IF($J729="קמץ/פתח/חטף-פתח ושוואים","פרופיל 4",IF($J729="2-3 סימני ניקוד","פרופיל 3",IF($J729="4-5 סימני ניקוד","פרופיל 2",IF(AND($O729="משפטים וקטעים קצרים",OR($M729="מבין",$M729="מבין לרוב")),"פרופיל 1","פרופיל 2")))))))</f>
        <v/>
      </c>
      <c r="R729" s="32">
        <f>IF($C729="","",IF(OR($Q729="",LEFT($Q729,1)="—"),"קבוצה רביעית",IF($Q729="פרופיל 5","קבוצת תשתיות",IF(OR($Q729="פרופיל 4",$Q729="פרופיל 3"),"קבוצת רכישה","קבוצת ביסוס"))))</f>
        <v/>
      </c>
      <c r="S729" s="32">
        <f>IF($F729="","",IF($F729="תחילת שנה",1,IF($F729="מחצית שנה",2,3)))</f>
        <v/>
      </c>
      <c r="T729" s="32">
        <f>IF(OR($B729="",$R729="",$A729="",$F729=""),"",$B729&amp;"|"&amp;$A729&amp;"|"&amp;$F729&amp;"|"&amp;$R729&amp;"|"&amp;COUNTIFS($B$6:$B729,$B729,$A$6:$A729,$A729,$F$6:$F729,$F729,$R$6:$R729,$R729))</f>
        <v/>
      </c>
      <c r="U729" s="32">
        <f>IF($C729="","",$C729&amp;"|"&amp;COUNTIFS($C$6:$C729,$C729))</f>
        <v/>
      </c>
      <c r="V729" s="32">
        <f>IF(OR($C729="",$A729="",$S729=""),"",$C729&amp;"|"&amp;$A729&amp;"|"&amp;$S729)</f>
        <v/>
      </c>
      <c r="W729" s="32">
        <f>IF(OR($C729="",$S729="",$S729=1),"",IFERROR(INDEX($Q$6:$Q$1505,MATCH($C729&amp;"|"&amp;$A729&amp;"|"&amp;($S729-1),$V$6:$V$1505,0)),""))</f>
        <v/>
      </c>
      <c r="X729" s="32">
        <f>IF(OR($W729="",$Q729="",LEFT($Q729,1)="—"),"",IF($W729=$Q729,"ללא שינוי","מ-"&amp;$W729&amp;" ל-"&amp;$Q729))</f>
        <v/>
      </c>
    </row>
    <row r="730" ht="15.75" customHeight="1" s="58">
      <c r="A730" s="65" t="n"/>
      <c r="B730" s="65" t="n"/>
      <c r="C730" s="66" t="n"/>
      <c r="D730" s="66" t="n"/>
      <c r="E730" s="65" t="n"/>
      <c r="F730" s="65" t="n"/>
      <c r="G730" s="65" t="n"/>
      <c r="H730" s="65" t="n"/>
      <c r="I730" s="65" t="n"/>
      <c r="J730" s="65" t="n"/>
      <c r="K730" s="65" t="n"/>
      <c r="L730" s="65" t="n"/>
      <c r="M730" s="65" t="n"/>
      <c r="N730" s="65" t="n"/>
      <c r="O730" s="65" t="n"/>
      <c r="P730" s="65" t="n"/>
      <c r="Q730" s="32">
        <f>IF($C730="","",IF($J730="","— חסרים נתונים",IF($J730="טרם מפענח","פרופיל 5",IF($J730="קמץ/פתח/חטף-פתח ושוואים","פרופיל 4",IF($J730="2-3 סימני ניקוד","פרופיל 3",IF($J730="4-5 סימני ניקוד","פרופיל 2",IF(AND($O730="משפטים וקטעים קצרים",OR($M730="מבין",$M730="מבין לרוב")),"פרופיל 1","פרופיל 2")))))))</f>
        <v/>
      </c>
      <c r="R730" s="32">
        <f>IF($C730="","",IF(OR($Q730="",LEFT($Q730,1)="—"),"קבוצה רביעית",IF($Q730="פרופיל 5","קבוצת תשתיות",IF(OR($Q730="פרופיל 4",$Q730="פרופיל 3"),"קבוצת רכישה","קבוצת ביסוס"))))</f>
        <v/>
      </c>
      <c r="S730" s="32">
        <f>IF($F730="","",IF($F730="תחילת שנה",1,IF($F730="מחצית שנה",2,3)))</f>
        <v/>
      </c>
      <c r="T730" s="32">
        <f>IF(OR($B730="",$R730="",$A730="",$F730=""),"",$B730&amp;"|"&amp;$A730&amp;"|"&amp;$F730&amp;"|"&amp;$R730&amp;"|"&amp;COUNTIFS($B$6:$B730,$B730,$A$6:$A730,$A730,$F$6:$F730,$F730,$R$6:$R730,$R730))</f>
        <v/>
      </c>
      <c r="U730" s="32">
        <f>IF($C730="","",$C730&amp;"|"&amp;COUNTIFS($C$6:$C730,$C730))</f>
        <v/>
      </c>
      <c r="V730" s="32">
        <f>IF(OR($C730="",$A730="",$S730=""),"",$C730&amp;"|"&amp;$A730&amp;"|"&amp;$S730)</f>
        <v/>
      </c>
      <c r="W730" s="32">
        <f>IF(OR($C730="",$S730="",$S730=1),"",IFERROR(INDEX($Q$6:$Q$1505,MATCH($C730&amp;"|"&amp;$A730&amp;"|"&amp;($S730-1),$V$6:$V$1505,0)),""))</f>
        <v/>
      </c>
      <c r="X730" s="32">
        <f>IF(OR($W730="",$Q730="",LEFT($Q730,1)="—"),"",IF($W730=$Q730,"ללא שינוי","מ-"&amp;$W730&amp;" ל-"&amp;$Q730))</f>
        <v/>
      </c>
    </row>
    <row r="731" ht="15.75" customHeight="1" s="58">
      <c r="A731" s="65" t="n"/>
      <c r="B731" s="65" t="n"/>
      <c r="C731" s="66" t="n"/>
      <c r="D731" s="66" t="n"/>
      <c r="E731" s="65" t="n"/>
      <c r="F731" s="65" t="n"/>
      <c r="G731" s="65" t="n"/>
      <c r="H731" s="65" t="n"/>
      <c r="I731" s="65" t="n"/>
      <c r="J731" s="65" t="n"/>
      <c r="K731" s="65" t="n"/>
      <c r="L731" s="65" t="n"/>
      <c r="M731" s="65" t="n"/>
      <c r="N731" s="65" t="n"/>
      <c r="O731" s="65" t="n"/>
      <c r="P731" s="65" t="n"/>
      <c r="Q731" s="32">
        <f>IF($C731="","",IF($J731="","— חסרים נתונים",IF($J731="טרם מפענח","פרופיל 5",IF($J731="קמץ/פתח/חטף-פתח ושוואים","פרופיל 4",IF($J731="2-3 סימני ניקוד","פרופיל 3",IF($J731="4-5 סימני ניקוד","פרופיל 2",IF(AND($O731="משפטים וקטעים קצרים",OR($M731="מבין",$M731="מבין לרוב")),"פרופיל 1","פרופיל 2")))))))</f>
        <v/>
      </c>
      <c r="R731" s="32">
        <f>IF($C731="","",IF(OR($Q731="",LEFT($Q731,1)="—"),"קבוצה רביעית",IF($Q731="פרופיל 5","קבוצת תשתיות",IF(OR($Q731="פרופיל 4",$Q731="פרופיל 3"),"קבוצת רכישה","קבוצת ביסוס"))))</f>
        <v/>
      </c>
      <c r="S731" s="32">
        <f>IF($F731="","",IF($F731="תחילת שנה",1,IF($F731="מחצית שנה",2,3)))</f>
        <v/>
      </c>
      <c r="T731" s="32">
        <f>IF(OR($B731="",$R731="",$A731="",$F731=""),"",$B731&amp;"|"&amp;$A731&amp;"|"&amp;$F731&amp;"|"&amp;$R731&amp;"|"&amp;COUNTIFS($B$6:$B731,$B731,$A$6:$A731,$A731,$F$6:$F731,$F731,$R$6:$R731,$R731))</f>
        <v/>
      </c>
      <c r="U731" s="32">
        <f>IF($C731="","",$C731&amp;"|"&amp;COUNTIFS($C$6:$C731,$C731))</f>
        <v/>
      </c>
      <c r="V731" s="32">
        <f>IF(OR($C731="",$A731="",$S731=""),"",$C731&amp;"|"&amp;$A731&amp;"|"&amp;$S731)</f>
        <v/>
      </c>
      <c r="W731" s="32">
        <f>IF(OR($C731="",$S731="",$S731=1),"",IFERROR(INDEX($Q$6:$Q$1505,MATCH($C731&amp;"|"&amp;$A731&amp;"|"&amp;($S731-1),$V$6:$V$1505,0)),""))</f>
        <v/>
      </c>
      <c r="X731" s="32">
        <f>IF(OR($W731="",$Q731="",LEFT($Q731,1)="—"),"",IF($W731=$Q731,"ללא שינוי","מ-"&amp;$W731&amp;" ל-"&amp;$Q731))</f>
        <v/>
      </c>
    </row>
    <row r="732" ht="15.75" customHeight="1" s="58">
      <c r="A732" s="65" t="n"/>
      <c r="B732" s="65" t="n"/>
      <c r="C732" s="66" t="n"/>
      <c r="D732" s="66" t="n"/>
      <c r="E732" s="65" t="n"/>
      <c r="F732" s="65" t="n"/>
      <c r="G732" s="65" t="n"/>
      <c r="H732" s="65" t="n"/>
      <c r="I732" s="65" t="n"/>
      <c r="J732" s="65" t="n"/>
      <c r="K732" s="65" t="n"/>
      <c r="L732" s="65" t="n"/>
      <c r="M732" s="65" t="n"/>
      <c r="N732" s="65" t="n"/>
      <c r="O732" s="65" t="n"/>
      <c r="P732" s="65" t="n"/>
      <c r="Q732" s="32">
        <f>IF($C732="","",IF($J732="","— חסרים נתונים",IF($J732="טרם מפענח","פרופיל 5",IF($J732="קמץ/פתח/חטף-פתח ושוואים","פרופיל 4",IF($J732="2-3 סימני ניקוד","פרופיל 3",IF($J732="4-5 סימני ניקוד","פרופיל 2",IF(AND($O732="משפטים וקטעים קצרים",OR($M732="מבין",$M732="מבין לרוב")),"פרופיל 1","פרופיל 2")))))))</f>
        <v/>
      </c>
      <c r="R732" s="32">
        <f>IF($C732="","",IF(OR($Q732="",LEFT($Q732,1)="—"),"קבוצה רביעית",IF($Q732="פרופיל 5","קבוצת תשתיות",IF(OR($Q732="פרופיל 4",$Q732="פרופיל 3"),"קבוצת רכישה","קבוצת ביסוס"))))</f>
        <v/>
      </c>
      <c r="S732" s="32">
        <f>IF($F732="","",IF($F732="תחילת שנה",1,IF($F732="מחצית שנה",2,3)))</f>
        <v/>
      </c>
      <c r="T732" s="32">
        <f>IF(OR($B732="",$R732="",$A732="",$F732=""),"",$B732&amp;"|"&amp;$A732&amp;"|"&amp;$F732&amp;"|"&amp;$R732&amp;"|"&amp;COUNTIFS($B$6:$B732,$B732,$A$6:$A732,$A732,$F$6:$F732,$F732,$R$6:$R732,$R732))</f>
        <v/>
      </c>
      <c r="U732" s="32">
        <f>IF($C732="","",$C732&amp;"|"&amp;COUNTIFS($C$6:$C732,$C732))</f>
        <v/>
      </c>
      <c r="V732" s="32">
        <f>IF(OR($C732="",$A732="",$S732=""),"",$C732&amp;"|"&amp;$A732&amp;"|"&amp;$S732)</f>
        <v/>
      </c>
      <c r="W732" s="32">
        <f>IF(OR($C732="",$S732="",$S732=1),"",IFERROR(INDEX($Q$6:$Q$1505,MATCH($C732&amp;"|"&amp;$A732&amp;"|"&amp;($S732-1),$V$6:$V$1505,0)),""))</f>
        <v/>
      </c>
      <c r="X732" s="32">
        <f>IF(OR($W732="",$Q732="",LEFT($Q732,1)="—"),"",IF($W732=$Q732,"ללא שינוי","מ-"&amp;$W732&amp;" ל-"&amp;$Q732))</f>
        <v/>
      </c>
    </row>
    <row r="733" ht="15.75" customHeight="1" s="58">
      <c r="A733" s="65" t="n"/>
      <c r="B733" s="65" t="n"/>
      <c r="C733" s="66" t="n"/>
      <c r="D733" s="66" t="n"/>
      <c r="E733" s="65" t="n"/>
      <c r="F733" s="65" t="n"/>
      <c r="G733" s="65" t="n"/>
      <c r="H733" s="65" t="n"/>
      <c r="I733" s="65" t="n"/>
      <c r="J733" s="65" t="n"/>
      <c r="K733" s="65" t="n"/>
      <c r="L733" s="65" t="n"/>
      <c r="M733" s="65" t="n"/>
      <c r="N733" s="65" t="n"/>
      <c r="O733" s="65" t="n"/>
      <c r="P733" s="65" t="n"/>
      <c r="Q733" s="32">
        <f>IF($C733="","",IF($J733="","— חסרים נתונים",IF($J733="טרם מפענח","פרופיל 5",IF($J733="קמץ/פתח/חטף-פתח ושוואים","פרופיל 4",IF($J733="2-3 סימני ניקוד","פרופיל 3",IF($J733="4-5 סימני ניקוד","פרופיל 2",IF(AND($O733="משפטים וקטעים קצרים",OR($M733="מבין",$M733="מבין לרוב")),"פרופיל 1","פרופיל 2")))))))</f>
        <v/>
      </c>
      <c r="R733" s="32">
        <f>IF($C733="","",IF(OR($Q733="",LEFT($Q733,1)="—"),"קבוצה רביעית",IF($Q733="פרופיל 5","קבוצת תשתיות",IF(OR($Q733="פרופיל 4",$Q733="פרופיל 3"),"קבוצת רכישה","קבוצת ביסוס"))))</f>
        <v/>
      </c>
      <c r="S733" s="32">
        <f>IF($F733="","",IF($F733="תחילת שנה",1,IF($F733="מחצית שנה",2,3)))</f>
        <v/>
      </c>
      <c r="T733" s="32">
        <f>IF(OR($B733="",$R733="",$A733="",$F733=""),"",$B733&amp;"|"&amp;$A733&amp;"|"&amp;$F733&amp;"|"&amp;$R733&amp;"|"&amp;COUNTIFS($B$6:$B733,$B733,$A$6:$A733,$A733,$F$6:$F733,$F733,$R$6:$R733,$R733))</f>
        <v/>
      </c>
      <c r="U733" s="32">
        <f>IF($C733="","",$C733&amp;"|"&amp;COUNTIFS($C$6:$C733,$C733))</f>
        <v/>
      </c>
      <c r="V733" s="32">
        <f>IF(OR($C733="",$A733="",$S733=""),"",$C733&amp;"|"&amp;$A733&amp;"|"&amp;$S733)</f>
        <v/>
      </c>
      <c r="W733" s="32">
        <f>IF(OR($C733="",$S733="",$S733=1),"",IFERROR(INDEX($Q$6:$Q$1505,MATCH($C733&amp;"|"&amp;$A733&amp;"|"&amp;($S733-1),$V$6:$V$1505,0)),""))</f>
        <v/>
      </c>
      <c r="X733" s="32">
        <f>IF(OR($W733="",$Q733="",LEFT($Q733,1)="—"),"",IF($W733=$Q733,"ללא שינוי","מ-"&amp;$W733&amp;" ל-"&amp;$Q733))</f>
        <v/>
      </c>
    </row>
    <row r="734" ht="15.75" customHeight="1" s="58">
      <c r="A734" s="65" t="n"/>
      <c r="B734" s="65" t="n"/>
      <c r="C734" s="66" t="n"/>
      <c r="D734" s="66" t="n"/>
      <c r="E734" s="65" t="n"/>
      <c r="F734" s="65" t="n"/>
      <c r="G734" s="65" t="n"/>
      <c r="H734" s="65" t="n"/>
      <c r="I734" s="65" t="n"/>
      <c r="J734" s="65" t="n"/>
      <c r="K734" s="65" t="n"/>
      <c r="L734" s="65" t="n"/>
      <c r="M734" s="65" t="n"/>
      <c r="N734" s="65" t="n"/>
      <c r="O734" s="65" t="n"/>
      <c r="P734" s="65" t="n"/>
      <c r="Q734" s="32">
        <f>IF($C734="","",IF($J734="","— חסרים נתונים",IF($J734="טרם מפענח","פרופיל 5",IF($J734="קמץ/פתח/חטף-פתח ושוואים","פרופיל 4",IF($J734="2-3 סימני ניקוד","פרופיל 3",IF($J734="4-5 סימני ניקוד","פרופיל 2",IF(AND($O734="משפטים וקטעים קצרים",OR($M734="מבין",$M734="מבין לרוב")),"פרופיל 1","פרופיל 2")))))))</f>
        <v/>
      </c>
      <c r="R734" s="32">
        <f>IF($C734="","",IF(OR($Q734="",LEFT($Q734,1)="—"),"קבוצה רביעית",IF($Q734="פרופיל 5","קבוצת תשתיות",IF(OR($Q734="פרופיל 4",$Q734="פרופיל 3"),"קבוצת רכישה","קבוצת ביסוס"))))</f>
        <v/>
      </c>
      <c r="S734" s="32">
        <f>IF($F734="","",IF($F734="תחילת שנה",1,IF($F734="מחצית שנה",2,3)))</f>
        <v/>
      </c>
      <c r="T734" s="32">
        <f>IF(OR($B734="",$R734="",$A734="",$F734=""),"",$B734&amp;"|"&amp;$A734&amp;"|"&amp;$F734&amp;"|"&amp;$R734&amp;"|"&amp;COUNTIFS($B$6:$B734,$B734,$A$6:$A734,$A734,$F$6:$F734,$F734,$R$6:$R734,$R734))</f>
        <v/>
      </c>
      <c r="U734" s="32">
        <f>IF($C734="","",$C734&amp;"|"&amp;COUNTIFS($C$6:$C734,$C734))</f>
        <v/>
      </c>
      <c r="V734" s="32">
        <f>IF(OR($C734="",$A734="",$S734=""),"",$C734&amp;"|"&amp;$A734&amp;"|"&amp;$S734)</f>
        <v/>
      </c>
      <c r="W734" s="32">
        <f>IF(OR($C734="",$S734="",$S734=1),"",IFERROR(INDEX($Q$6:$Q$1505,MATCH($C734&amp;"|"&amp;$A734&amp;"|"&amp;($S734-1),$V$6:$V$1505,0)),""))</f>
        <v/>
      </c>
      <c r="X734" s="32">
        <f>IF(OR($W734="",$Q734="",LEFT($Q734,1)="—"),"",IF($W734=$Q734,"ללא שינוי","מ-"&amp;$W734&amp;" ל-"&amp;$Q734))</f>
        <v/>
      </c>
    </row>
    <row r="735" ht="15.75" customHeight="1" s="58">
      <c r="A735" s="65" t="n"/>
      <c r="B735" s="65" t="n"/>
      <c r="C735" s="66" t="n"/>
      <c r="D735" s="66" t="n"/>
      <c r="E735" s="65" t="n"/>
      <c r="F735" s="65" t="n"/>
      <c r="G735" s="65" t="n"/>
      <c r="H735" s="65" t="n"/>
      <c r="I735" s="65" t="n"/>
      <c r="J735" s="65" t="n"/>
      <c r="K735" s="65" t="n"/>
      <c r="L735" s="65" t="n"/>
      <c r="M735" s="65" t="n"/>
      <c r="N735" s="65" t="n"/>
      <c r="O735" s="65" t="n"/>
      <c r="P735" s="65" t="n"/>
      <c r="Q735" s="32">
        <f>IF($C735="","",IF($J735="","— חסרים נתונים",IF($J735="טרם מפענח","פרופיל 5",IF($J735="קמץ/פתח/חטף-פתח ושוואים","פרופיל 4",IF($J735="2-3 סימני ניקוד","פרופיל 3",IF($J735="4-5 סימני ניקוד","פרופיל 2",IF(AND($O735="משפטים וקטעים קצרים",OR($M735="מבין",$M735="מבין לרוב")),"פרופיל 1","פרופיל 2")))))))</f>
        <v/>
      </c>
      <c r="R735" s="32">
        <f>IF($C735="","",IF(OR($Q735="",LEFT($Q735,1)="—"),"קבוצה רביעית",IF($Q735="פרופיל 5","קבוצת תשתיות",IF(OR($Q735="פרופיל 4",$Q735="פרופיל 3"),"קבוצת רכישה","קבוצת ביסוס"))))</f>
        <v/>
      </c>
      <c r="S735" s="32">
        <f>IF($F735="","",IF($F735="תחילת שנה",1,IF($F735="מחצית שנה",2,3)))</f>
        <v/>
      </c>
      <c r="T735" s="32">
        <f>IF(OR($B735="",$R735="",$A735="",$F735=""),"",$B735&amp;"|"&amp;$A735&amp;"|"&amp;$F735&amp;"|"&amp;$R735&amp;"|"&amp;COUNTIFS($B$6:$B735,$B735,$A$6:$A735,$A735,$F$6:$F735,$F735,$R$6:$R735,$R735))</f>
        <v/>
      </c>
      <c r="U735" s="32">
        <f>IF($C735="","",$C735&amp;"|"&amp;COUNTIFS($C$6:$C735,$C735))</f>
        <v/>
      </c>
      <c r="V735" s="32">
        <f>IF(OR($C735="",$A735="",$S735=""),"",$C735&amp;"|"&amp;$A735&amp;"|"&amp;$S735)</f>
        <v/>
      </c>
      <c r="W735" s="32">
        <f>IF(OR($C735="",$S735="",$S735=1),"",IFERROR(INDEX($Q$6:$Q$1505,MATCH($C735&amp;"|"&amp;$A735&amp;"|"&amp;($S735-1),$V$6:$V$1505,0)),""))</f>
        <v/>
      </c>
      <c r="X735" s="32">
        <f>IF(OR($W735="",$Q735="",LEFT($Q735,1)="—"),"",IF($W735=$Q735,"ללא שינוי","מ-"&amp;$W735&amp;" ל-"&amp;$Q735))</f>
        <v/>
      </c>
    </row>
    <row r="736" ht="15.75" customHeight="1" s="58">
      <c r="A736" s="65" t="n"/>
      <c r="B736" s="65" t="n"/>
      <c r="C736" s="66" t="n"/>
      <c r="D736" s="66" t="n"/>
      <c r="E736" s="65" t="n"/>
      <c r="F736" s="65" t="n"/>
      <c r="G736" s="65" t="n"/>
      <c r="H736" s="65" t="n"/>
      <c r="I736" s="65" t="n"/>
      <c r="J736" s="65" t="n"/>
      <c r="K736" s="65" t="n"/>
      <c r="L736" s="65" t="n"/>
      <c r="M736" s="65" t="n"/>
      <c r="N736" s="65" t="n"/>
      <c r="O736" s="65" t="n"/>
      <c r="P736" s="65" t="n"/>
      <c r="Q736" s="32">
        <f>IF($C736="","",IF($J736="","— חסרים נתונים",IF($J736="טרם מפענח","פרופיל 5",IF($J736="קמץ/פתח/חטף-פתח ושוואים","פרופיל 4",IF($J736="2-3 סימני ניקוד","פרופיל 3",IF($J736="4-5 סימני ניקוד","פרופיל 2",IF(AND($O736="משפטים וקטעים קצרים",OR($M736="מבין",$M736="מבין לרוב")),"פרופיל 1","פרופיל 2")))))))</f>
        <v/>
      </c>
      <c r="R736" s="32">
        <f>IF($C736="","",IF(OR($Q736="",LEFT($Q736,1)="—"),"קבוצה רביעית",IF($Q736="פרופיל 5","קבוצת תשתיות",IF(OR($Q736="פרופיל 4",$Q736="פרופיל 3"),"קבוצת רכישה","קבוצת ביסוס"))))</f>
        <v/>
      </c>
      <c r="S736" s="32">
        <f>IF($F736="","",IF($F736="תחילת שנה",1,IF($F736="מחצית שנה",2,3)))</f>
        <v/>
      </c>
      <c r="T736" s="32">
        <f>IF(OR($B736="",$R736="",$A736="",$F736=""),"",$B736&amp;"|"&amp;$A736&amp;"|"&amp;$F736&amp;"|"&amp;$R736&amp;"|"&amp;COUNTIFS($B$6:$B736,$B736,$A$6:$A736,$A736,$F$6:$F736,$F736,$R$6:$R736,$R736))</f>
        <v/>
      </c>
      <c r="U736" s="32">
        <f>IF($C736="","",$C736&amp;"|"&amp;COUNTIFS($C$6:$C736,$C736))</f>
        <v/>
      </c>
      <c r="V736" s="32">
        <f>IF(OR($C736="",$A736="",$S736=""),"",$C736&amp;"|"&amp;$A736&amp;"|"&amp;$S736)</f>
        <v/>
      </c>
      <c r="W736" s="32">
        <f>IF(OR($C736="",$S736="",$S736=1),"",IFERROR(INDEX($Q$6:$Q$1505,MATCH($C736&amp;"|"&amp;$A736&amp;"|"&amp;($S736-1),$V$6:$V$1505,0)),""))</f>
        <v/>
      </c>
      <c r="X736" s="32">
        <f>IF(OR($W736="",$Q736="",LEFT($Q736,1)="—"),"",IF($W736=$Q736,"ללא שינוי","מ-"&amp;$W736&amp;" ל-"&amp;$Q736))</f>
        <v/>
      </c>
    </row>
    <row r="737" ht="15.75" customHeight="1" s="58">
      <c r="A737" s="65" t="n"/>
      <c r="B737" s="65" t="n"/>
      <c r="C737" s="66" t="n"/>
      <c r="D737" s="66" t="n"/>
      <c r="E737" s="65" t="n"/>
      <c r="F737" s="65" t="n"/>
      <c r="G737" s="65" t="n"/>
      <c r="H737" s="65" t="n"/>
      <c r="I737" s="65" t="n"/>
      <c r="J737" s="65" t="n"/>
      <c r="K737" s="65" t="n"/>
      <c r="L737" s="65" t="n"/>
      <c r="M737" s="65" t="n"/>
      <c r="N737" s="65" t="n"/>
      <c r="O737" s="65" t="n"/>
      <c r="P737" s="65" t="n"/>
      <c r="Q737" s="32">
        <f>IF($C737="","",IF($J737="","— חסרים נתונים",IF($J737="טרם מפענח","פרופיל 5",IF($J737="קמץ/פתח/חטף-פתח ושוואים","פרופיל 4",IF($J737="2-3 סימני ניקוד","פרופיל 3",IF($J737="4-5 סימני ניקוד","פרופיל 2",IF(AND($O737="משפטים וקטעים קצרים",OR($M737="מבין",$M737="מבין לרוב")),"פרופיל 1","פרופיל 2")))))))</f>
        <v/>
      </c>
      <c r="R737" s="32">
        <f>IF($C737="","",IF(OR($Q737="",LEFT($Q737,1)="—"),"קבוצה רביעית",IF($Q737="פרופיל 5","קבוצת תשתיות",IF(OR($Q737="פרופיל 4",$Q737="פרופיל 3"),"קבוצת רכישה","קבוצת ביסוס"))))</f>
        <v/>
      </c>
      <c r="S737" s="32">
        <f>IF($F737="","",IF($F737="תחילת שנה",1,IF($F737="מחצית שנה",2,3)))</f>
        <v/>
      </c>
      <c r="T737" s="32">
        <f>IF(OR($B737="",$R737="",$A737="",$F737=""),"",$B737&amp;"|"&amp;$A737&amp;"|"&amp;$F737&amp;"|"&amp;$R737&amp;"|"&amp;COUNTIFS($B$6:$B737,$B737,$A$6:$A737,$A737,$F$6:$F737,$F737,$R$6:$R737,$R737))</f>
        <v/>
      </c>
      <c r="U737" s="32">
        <f>IF($C737="","",$C737&amp;"|"&amp;COUNTIFS($C$6:$C737,$C737))</f>
        <v/>
      </c>
      <c r="V737" s="32">
        <f>IF(OR($C737="",$A737="",$S737=""),"",$C737&amp;"|"&amp;$A737&amp;"|"&amp;$S737)</f>
        <v/>
      </c>
      <c r="W737" s="32">
        <f>IF(OR($C737="",$S737="",$S737=1),"",IFERROR(INDEX($Q$6:$Q$1505,MATCH($C737&amp;"|"&amp;$A737&amp;"|"&amp;($S737-1),$V$6:$V$1505,0)),""))</f>
        <v/>
      </c>
      <c r="X737" s="32">
        <f>IF(OR($W737="",$Q737="",LEFT($Q737,1)="—"),"",IF($W737=$Q737,"ללא שינוי","מ-"&amp;$W737&amp;" ל-"&amp;$Q737))</f>
        <v/>
      </c>
    </row>
    <row r="738" ht="15.75" customHeight="1" s="58">
      <c r="A738" s="65" t="n"/>
      <c r="B738" s="65" t="n"/>
      <c r="C738" s="66" t="n"/>
      <c r="D738" s="66" t="n"/>
      <c r="E738" s="65" t="n"/>
      <c r="F738" s="65" t="n"/>
      <c r="G738" s="65" t="n"/>
      <c r="H738" s="65" t="n"/>
      <c r="I738" s="65" t="n"/>
      <c r="J738" s="65" t="n"/>
      <c r="K738" s="65" t="n"/>
      <c r="L738" s="65" t="n"/>
      <c r="M738" s="65" t="n"/>
      <c r="N738" s="65" t="n"/>
      <c r="O738" s="65" t="n"/>
      <c r="P738" s="65" t="n"/>
      <c r="Q738" s="32">
        <f>IF($C738="","",IF($J738="","— חסרים נתונים",IF($J738="טרם מפענח","פרופיל 5",IF($J738="קמץ/פתח/חטף-פתח ושוואים","פרופיל 4",IF($J738="2-3 סימני ניקוד","פרופיל 3",IF($J738="4-5 סימני ניקוד","פרופיל 2",IF(AND($O738="משפטים וקטעים קצרים",OR($M738="מבין",$M738="מבין לרוב")),"פרופיל 1","פרופיל 2")))))))</f>
        <v/>
      </c>
      <c r="R738" s="32">
        <f>IF($C738="","",IF(OR($Q738="",LEFT($Q738,1)="—"),"קבוצה רביעית",IF($Q738="פרופיל 5","קבוצת תשתיות",IF(OR($Q738="פרופיל 4",$Q738="פרופיל 3"),"קבוצת רכישה","קבוצת ביסוס"))))</f>
        <v/>
      </c>
      <c r="S738" s="32">
        <f>IF($F738="","",IF($F738="תחילת שנה",1,IF($F738="מחצית שנה",2,3)))</f>
        <v/>
      </c>
      <c r="T738" s="32">
        <f>IF(OR($B738="",$R738="",$A738="",$F738=""),"",$B738&amp;"|"&amp;$A738&amp;"|"&amp;$F738&amp;"|"&amp;$R738&amp;"|"&amp;COUNTIFS($B$6:$B738,$B738,$A$6:$A738,$A738,$F$6:$F738,$F738,$R$6:$R738,$R738))</f>
        <v/>
      </c>
      <c r="U738" s="32">
        <f>IF($C738="","",$C738&amp;"|"&amp;COUNTIFS($C$6:$C738,$C738))</f>
        <v/>
      </c>
      <c r="V738" s="32">
        <f>IF(OR($C738="",$A738="",$S738=""),"",$C738&amp;"|"&amp;$A738&amp;"|"&amp;$S738)</f>
        <v/>
      </c>
      <c r="W738" s="32">
        <f>IF(OR($C738="",$S738="",$S738=1),"",IFERROR(INDEX($Q$6:$Q$1505,MATCH($C738&amp;"|"&amp;$A738&amp;"|"&amp;($S738-1),$V$6:$V$1505,0)),""))</f>
        <v/>
      </c>
      <c r="X738" s="32">
        <f>IF(OR($W738="",$Q738="",LEFT($Q738,1)="—"),"",IF($W738=$Q738,"ללא שינוי","מ-"&amp;$W738&amp;" ל-"&amp;$Q738))</f>
        <v/>
      </c>
    </row>
    <row r="739" ht="15.75" customHeight="1" s="58">
      <c r="A739" s="65" t="n"/>
      <c r="B739" s="65" t="n"/>
      <c r="C739" s="66" t="n"/>
      <c r="D739" s="66" t="n"/>
      <c r="E739" s="65" t="n"/>
      <c r="F739" s="65" t="n"/>
      <c r="G739" s="65" t="n"/>
      <c r="H739" s="65" t="n"/>
      <c r="I739" s="65" t="n"/>
      <c r="J739" s="65" t="n"/>
      <c r="K739" s="65" t="n"/>
      <c r="L739" s="65" t="n"/>
      <c r="M739" s="65" t="n"/>
      <c r="N739" s="65" t="n"/>
      <c r="O739" s="65" t="n"/>
      <c r="P739" s="65" t="n"/>
      <c r="Q739" s="32">
        <f>IF($C739="","",IF($J739="","— חסרים נתונים",IF($J739="טרם מפענח","פרופיל 5",IF($J739="קמץ/פתח/חטף-פתח ושוואים","פרופיל 4",IF($J739="2-3 סימני ניקוד","פרופיל 3",IF($J739="4-5 סימני ניקוד","פרופיל 2",IF(AND($O739="משפטים וקטעים קצרים",OR($M739="מבין",$M739="מבין לרוב")),"פרופיל 1","פרופיל 2")))))))</f>
        <v/>
      </c>
      <c r="R739" s="32">
        <f>IF($C739="","",IF(OR($Q739="",LEFT($Q739,1)="—"),"קבוצה רביעית",IF($Q739="פרופיל 5","קבוצת תשתיות",IF(OR($Q739="פרופיל 4",$Q739="פרופיל 3"),"קבוצת רכישה","קבוצת ביסוס"))))</f>
        <v/>
      </c>
      <c r="S739" s="32">
        <f>IF($F739="","",IF($F739="תחילת שנה",1,IF($F739="מחצית שנה",2,3)))</f>
        <v/>
      </c>
      <c r="T739" s="32">
        <f>IF(OR($B739="",$R739="",$A739="",$F739=""),"",$B739&amp;"|"&amp;$A739&amp;"|"&amp;$F739&amp;"|"&amp;$R739&amp;"|"&amp;COUNTIFS($B$6:$B739,$B739,$A$6:$A739,$A739,$F$6:$F739,$F739,$R$6:$R739,$R739))</f>
        <v/>
      </c>
      <c r="U739" s="32">
        <f>IF($C739="","",$C739&amp;"|"&amp;COUNTIFS($C$6:$C739,$C739))</f>
        <v/>
      </c>
      <c r="V739" s="32">
        <f>IF(OR($C739="",$A739="",$S739=""),"",$C739&amp;"|"&amp;$A739&amp;"|"&amp;$S739)</f>
        <v/>
      </c>
      <c r="W739" s="32">
        <f>IF(OR($C739="",$S739="",$S739=1),"",IFERROR(INDEX($Q$6:$Q$1505,MATCH($C739&amp;"|"&amp;$A739&amp;"|"&amp;($S739-1),$V$6:$V$1505,0)),""))</f>
        <v/>
      </c>
      <c r="X739" s="32">
        <f>IF(OR($W739="",$Q739="",LEFT($Q739,1)="—"),"",IF($W739=$Q739,"ללא שינוי","מ-"&amp;$W739&amp;" ל-"&amp;$Q739))</f>
        <v/>
      </c>
    </row>
    <row r="740" ht="15.75" customHeight="1" s="58">
      <c r="A740" s="65" t="n"/>
      <c r="B740" s="65" t="n"/>
      <c r="C740" s="66" t="n"/>
      <c r="D740" s="66" t="n"/>
      <c r="E740" s="65" t="n"/>
      <c r="F740" s="65" t="n"/>
      <c r="G740" s="65" t="n"/>
      <c r="H740" s="65" t="n"/>
      <c r="I740" s="65" t="n"/>
      <c r="J740" s="65" t="n"/>
      <c r="K740" s="65" t="n"/>
      <c r="L740" s="65" t="n"/>
      <c r="M740" s="65" t="n"/>
      <c r="N740" s="65" t="n"/>
      <c r="O740" s="65" t="n"/>
      <c r="P740" s="65" t="n"/>
      <c r="Q740" s="32">
        <f>IF($C740="","",IF($J740="","— חסרים נתונים",IF($J740="טרם מפענח","פרופיל 5",IF($J740="קמץ/פתח/חטף-פתח ושוואים","פרופיל 4",IF($J740="2-3 סימני ניקוד","פרופיל 3",IF($J740="4-5 סימני ניקוד","פרופיל 2",IF(AND($O740="משפטים וקטעים קצרים",OR($M740="מבין",$M740="מבין לרוב")),"פרופיל 1","פרופיל 2")))))))</f>
        <v/>
      </c>
      <c r="R740" s="32">
        <f>IF($C740="","",IF(OR($Q740="",LEFT($Q740,1)="—"),"קבוצה רביעית",IF($Q740="פרופיל 5","קבוצת תשתיות",IF(OR($Q740="פרופיל 4",$Q740="פרופיל 3"),"קבוצת רכישה","קבוצת ביסוס"))))</f>
        <v/>
      </c>
      <c r="S740" s="32">
        <f>IF($F740="","",IF($F740="תחילת שנה",1,IF($F740="מחצית שנה",2,3)))</f>
        <v/>
      </c>
      <c r="T740" s="32">
        <f>IF(OR($B740="",$R740="",$A740="",$F740=""),"",$B740&amp;"|"&amp;$A740&amp;"|"&amp;$F740&amp;"|"&amp;$R740&amp;"|"&amp;COUNTIFS($B$6:$B740,$B740,$A$6:$A740,$A740,$F$6:$F740,$F740,$R$6:$R740,$R740))</f>
        <v/>
      </c>
      <c r="U740" s="32">
        <f>IF($C740="","",$C740&amp;"|"&amp;COUNTIFS($C$6:$C740,$C740))</f>
        <v/>
      </c>
      <c r="V740" s="32">
        <f>IF(OR($C740="",$A740="",$S740=""),"",$C740&amp;"|"&amp;$A740&amp;"|"&amp;$S740)</f>
        <v/>
      </c>
      <c r="W740" s="32">
        <f>IF(OR($C740="",$S740="",$S740=1),"",IFERROR(INDEX($Q$6:$Q$1505,MATCH($C740&amp;"|"&amp;$A740&amp;"|"&amp;($S740-1),$V$6:$V$1505,0)),""))</f>
        <v/>
      </c>
      <c r="X740" s="32">
        <f>IF(OR($W740="",$Q740="",LEFT($Q740,1)="—"),"",IF($W740=$Q740,"ללא שינוי","מ-"&amp;$W740&amp;" ל-"&amp;$Q740))</f>
        <v/>
      </c>
    </row>
    <row r="741" ht="15.75" customHeight="1" s="58">
      <c r="A741" s="65" t="n"/>
      <c r="B741" s="65" t="n"/>
      <c r="C741" s="66" t="n"/>
      <c r="D741" s="66" t="n"/>
      <c r="E741" s="65" t="n"/>
      <c r="F741" s="65" t="n"/>
      <c r="G741" s="65" t="n"/>
      <c r="H741" s="65" t="n"/>
      <c r="I741" s="65" t="n"/>
      <c r="J741" s="65" t="n"/>
      <c r="K741" s="65" t="n"/>
      <c r="L741" s="65" t="n"/>
      <c r="M741" s="65" t="n"/>
      <c r="N741" s="65" t="n"/>
      <c r="O741" s="65" t="n"/>
      <c r="P741" s="65" t="n"/>
      <c r="Q741" s="32">
        <f>IF($C741="","",IF($J741="","— חסרים נתונים",IF($J741="טרם מפענח","פרופיל 5",IF($J741="קמץ/פתח/חטף-פתח ושוואים","פרופיל 4",IF($J741="2-3 סימני ניקוד","פרופיל 3",IF($J741="4-5 סימני ניקוד","פרופיל 2",IF(AND($O741="משפטים וקטעים קצרים",OR($M741="מבין",$M741="מבין לרוב")),"פרופיל 1","פרופיל 2")))))))</f>
        <v/>
      </c>
      <c r="R741" s="32">
        <f>IF($C741="","",IF(OR($Q741="",LEFT($Q741,1)="—"),"קבוצה רביעית",IF($Q741="פרופיל 5","קבוצת תשתיות",IF(OR($Q741="פרופיל 4",$Q741="פרופיל 3"),"קבוצת רכישה","קבוצת ביסוס"))))</f>
        <v/>
      </c>
      <c r="S741" s="32">
        <f>IF($F741="","",IF($F741="תחילת שנה",1,IF($F741="מחצית שנה",2,3)))</f>
        <v/>
      </c>
      <c r="T741" s="32">
        <f>IF(OR($B741="",$R741="",$A741="",$F741=""),"",$B741&amp;"|"&amp;$A741&amp;"|"&amp;$F741&amp;"|"&amp;$R741&amp;"|"&amp;COUNTIFS($B$6:$B741,$B741,$A$6:$A741,$A741,$F$6:$F741,$F741,$R$6:$R741,$R741))</f>
        <v/>
      </c>
      <c r="U741" s="32">
        <f>IF($C741="","",$C741&amp;"|"&amp;COUNTIFS($C$6:$C741,$C741))</f>
        <v/>
      </c>
      <c r="V741" s="32">
        <f>IF(OR($C741="",$A741="",$S741=""),"",$C741&amp;"|"&amp;$A741&amp;"|"&amp;$S741)</f>
        <v/>
      </c>
      <c r="W741" s="32">
        <f>IF(OR($C741="",$S741="",$S741=1),"",IFERROR(INDEX($Q$6:$Q$1505,MATCH($C741&amp;"|"&amp;$A741&amp;"|"&amp;($S741-1),$V$6:$V$1505,0)),""))</f>
        <v/>
      </c>
      <c r="X741" s="32">
        <f>IF(OR($W741="",$Q741="",LEFT($Q741,1)="—"),"",IF($W741=$Q741,"ללא שינוי","מ-"&amp;$W741&amp;" ל-"&amp;$Q741))</f>
        <v/>
      </c>
    </row>
    <row r="742" ht="15.75" customHeight="1" s="58">
      <c r="A742" s="65" t="n"/>
      <c r="B742" s="65" t="n"/>
      <c r="C742" s="66" t="n"/>
      <c r="D742" s="66" t="n"/>
      <c r="E742" s="65" t="n"/>
      <c r="F742" s="65" t="n"/>
      <c r="G742" s="65" t="n"/>
      <c r="H742" s="65" t="n"/>
      <c r="I742" s="65" t="n"/>
      <c r="J742" s="65" t="n"/>
      <c r="K742" s="65" t="n"/>
      <c r="L742" s="65" t="n"/>
      <c r="M742" s="65" t="n"/>
      <c r="N742" s="65" t="n"/>
      <c r="O742" s="65" t="n"/>
      <c r="P742" s="65" t="n"/>
      <c r="Q742" s="32">
        <f>IF($C742="","",IF($J742="","— חסרים נתונים",IF($J742="טרם מפענח","פרופיל 5",IF($J742="קמץ/פתח/חטף-פתח ושוואים","פרופיל 4",IF($J742="2-3 סימני ניקוד","פרופיל 3",IF($J742="4-5 סימני ניקוד","פרופיל 2",IF(AND($O742="משפטים וקטעים קצרים",OR($M742="מבין",$M742="מבין לרוב")),"פרופיל 1","פרופיל 2")))))))</f>
        <v/>
      </c>
      <c r="R742" s="32">
        <f>IF($C742="","",IF(OR($Q742="",LEFT($Q742,1)="—"),"קבוצה רביעית",IF($Q742="פרופיל 5","קבוצת תשתיות",IF(OR($Q742="פרופיל 4",$Q742="פרופיל 3"),"קבוצת רכישה","קבוצת ביסוס"))))</f>
        <v/>
      </c>
      <c r="S742" s="32">
        <f>IF($F742="","",IF($F742="תחילת שנה",1,IF($F742="מחצית שנה",2,3)))</f>
        <v/>
      </c>
      <c r="T742" s="32">
        <f>IF(OR($B742="",$R742="",$A742="",$F742=""),"",$B742&amp;"|"&amp;$A742&amp;"|"&amp;$F742&amp;"|"&amp;$R742&amp;"|"&amp;COUNTIFS($B$6:$B742,$B742,$A$6:$A742,$A742,$F$6:$F742,$F742,$R$6:$R742,$R742))</f>
        <v/>
      </c>
      <c r="U742" s="32">
        <f>IF($C742="","",$C742&amp;"|"&amp;COUNTIFS($C$6:$C742,$C742))</f>
        <v/>
      </c>
      <c r="V742" s="32">
        <f>IF(OR($C742="",$A742="",$S742=""),"",$C742&amp;"|"&amp;$A742&amp;"|"&amp;$S742)</f>
        <v/>
      </c>
      <c r="W742" s="32">
        <f>IF(OR($C742="",$S742="",$S742=1),"",IFERROR(INDEX($Q$6:$Q$1505,MATCH($C742&amp;"|"&amp;$A742&amp;"|"&amp;($S742-1),$V$6:$V$1505,0)),""))</f>
        <v/>
      </c>
      <c r="X742" s="32">
        <f>IF(OR($W742="",$Q742="",LEFT($Q742,1)="—"),"",IF($W742=$Q742,"ללא שינוי","מ-"&amp;$W742&amp;" ל-"&amp;$Q742))</f>
        <v/>
      </c>
    </row>
    <row r="743" ht="15.75" customHeight="1" s="58">
      <c r="A743" s="65" t="n"/>
      <c r="B743" s="65" t="n"/>
      <c r="C743" s="66" t="n"/>
      <c r="D743" s="66" t="n"/>
      <c r="E743" s="65" t="n"/>
      <c r="F743" s="65" t="n"/>
      <c r="G743" s="65" t="n"/>
      <c r="H743" s="65" t="n"/>
      <c r="I743" s="65" t="n"/>
      <c r="J743" s="65" t="n"/>
      <c r="K743" s="65" t="n"/>
      <c r="L743" s="65" t="n"/>
      <c r="M743" s="65" t="n"/>
      <c r="N743" s="65" t="n"/>
      <c r="O743" s="65" t="n"/>
      <c r="P743" s="65" t="n"/>
      <c r="Q743" s="32">
        <f>IF($C743="","",IF($J743="","— חסרים נתונים",IF($J743="טרם מפענח","פרופיל 5",IF($J743="קמץ/פתח/חטף-פתח ושוואים","פרופיל 4",IF($J743="2-3 סימני ניקוד","פרופיל 3",IF($J743="4-5 סימני ניקוד","פרופיל 2",IF(AND($O743="משפטים וקטעים קצרים",OR($M743="מבין",$M743="מבין לרוב")),"פרופיל 1","פרופיל 2")))))))</f>
        <v/>
      </c>
      <c r="R743" s="32">
        <f>IF($C743="","",IF(OR($Q743="",LEFT($Q743,1)="—"),"קבוצה רביעית",IF($Q743="פרופיל 5","קבוצת תשתיות",IF(OR($Q743="פרופיל 4",$Q743="פרופיל 3"),"קבוצת רכישה","קבוצת ביסוס"))))</f>
        <v/>
      </c>
      <c r="S743" s="32">
        <f>IF($F743="","",IF($F743="תחילת שנה",1,IF($F743="מחצית שנה",2,3)))</f>
        <v/>
      </c>
      <c r="T743" s="32">
        <f>IF(OR($B743="",$R743="",$A743="",$F743=""),"",$B743&amp;"|"&amp;$A743&amp;"|"&amp;$F743&amp;"|"&amp;$R743&amp;"|"&amp;COUNTIFS($B$6:$B743,$B743,$A$6:$A743,$A743,$F$6:$F743,$F743,$R$6:$R743,$R743))</f>
        <v/>
      </c>
      <c r="U743" s="32">
        <f>IF($C743="","",$C743&amp;"|"&amp;COUNTIFS($C$6:$C743,$C743))</f>
        <v/>
      </c>
      <c r="V743" s="32">
        <f>IF(OR($C743="",$A743="",$S743=""),"",$C743&amp;"|"&amp;$A743&amp;"|"&amp;$S743)</f>
        <v/>
      </c>
      <c r="W743" s="32">
        <f>IF(OR($C743="",$S743="",$S743=1),"",IFERROR(INDEX($Q$6:$Q$1505,MATCH($C743&amp;"|"&amp;$A743&amp;"|"&amp;($S743-1),$V$6:$V$1505,0)),""))</f>
        <v/>
      </c>
      <c r="X743" s="32">
        <f>IF(OR($W743="",$Q743="",LEFT($Q743,1)="—"),"",IF($W743=$Q743,"ללא שינוי","מ-"&amp;$W743&amp;" ל-"&amp;$Q743))</f>
        <v/>
      </c>
    </row>
    <row r="744" ht="15.75" customHeight="1" s="58">
      <c r="A744" s="65" t="n"/>
      <c r="B744" s="65" t="n"/>
      <c r="C744" s="66" t="n"/>
      <c r="D744" s="66" t="n"/>
      <c r="E744" s="65" t="n"/>
      <c r="F744" s="65" t="n"/>
      <c r="G744" s="65" t="n"/>
      <c r="H744" s="65" t="n"/>
      <c r="I744" s="65" t="n"/>
      <c r="J744" s="65" t="n"/>
      <c r="K744" s="65" t="n"/>
      <c r="L744" s="65" t="n"/>
      <c r="M744" s="65" t="n"/>
      <c r="N744" s="65" t="n"/>
      <c r="O744" s="65" t="n"/>
      <c r="P744" s="65" t="n"/>
      <c r="Q744" s="32">
        <f>IF($C744="","",IF($J744="","— חסרים נתונים",IF($J744="טרם מפענח","פרופיל 5",IF($J744="קמץ/פתח/חטף-פתח ושוואים","פרופיל 4",IF($J744="2-3 סימני ניקוד","פרופיל 3",IF($J744="4-5 סימני ניקוד","פרופיל 2",IF(AND($O744="משפטים וקטעים קצרים",OR($M744="מבין",$M744="מבין לרוב")),"פרופיל 1","פרופיל 2")))))))</f>
        <v/>
      </c>
      <c r="R744" s="32">
        <f>IF($C744="","",IF(OR($Q744="",LEFT($Q744,1)="—"),"קבוצה רביעית",IF($Q744="פרופיל 5","קבוצת תשתיות",IF(OR($Q744="פרופיל 4",$Q744="פרופיל 3"),"קבוצת רכישה","קבוצת ביסוס"))))</f>
        <v/>
      </c>
      <c r="S744" s="32">
        <f>IF($F744="","",IF($F744="תחילת שנה",1,IF($F744="מחצית שנה",2,3)))</f>
        <v/>
      </c>
      <c r="T744" s="32">
        <f>IF(OR($B744="",$R744="",$A744="",$F744=""),"",$B744&amp;"|"&amp;$A744&amp;"|"&amp;$F744&amp;"|"&amp;$R744&amp;"|"&amp;COUNTIFS($B$6:$B744,$B744,$A$6:$A744,$A744,$F$6:$F744,$F744,$R$6:$R744,$R744))</f>
        <v/>
      </c>
      <c r="U744" s="32">
        <f>IF($C744="","",$C744&amp;"|"&amp;COUNTIFS($C$6:$C744,$C744))</f>
        <v/>
      </c>
      <c r="V744" s="32">
        <f>IF(OR($C744="",$A744="",$S744=""),"",$C744&amp;"|"&amp;$A744&amp;"|"&amp;$S744)</f>
        <v/>
      </c>
      <c r="W744" s="32">
        <f>IF(OR($C744="",$S744="",$S744=1),"",IFERROR(INDEX($Q$6:$Q$1505,MATCH($C744&amp;"|"&amp;$A744&amp;"|"&amp;($S744-1),$V$6:$V$1505,0)),""))</f>
        <v/>
      </c>
      <c r="X744" s="32">
        <f>IF(OR($W744="",$Q744="",LEFT($Q744,1)="—"),"",IF($W744=$Q744,"ללא שינוי","מ-"&amp;$W744&amp;" ל-"&amp;$Q744))</f>
        <v/>
      </c>
    </row>
    <row r="745" ht="15.75" customHeight="1" s="58">
      <c r="A745" s="65" t="n"/>
      <c r="B745" s="65" t="n"/>
      <c r="C745" s="66" t="n"/>
      <c r="D745" s="66" t="n"/>
      <c r="E745" s="65" t="n"/>
      <c r="F745" s="65" t="n"/>
      <c r="G745" s="65" t="n"/>
      <c r="H745" s="65" t="n"/>
      <c r="I745" s="65" t="n"/>
      <c r="J745" s="65" t="n"/>
      <c r="K745" s="65" t="n"/>
      <c r="L745" s="65" t="n"/>
      <c r="M745" s="65" t="n"/>
      <c r="N745" s="65" t="n"/>
      <c r="O745" s="65" t="n"/>
      <c r="P745" s="65" t="n"/>
      <c r="Q745" s="32">
        <f>IF($C745="","",IF($J745="","— חסרים נתונים",IF($J745="טרם מפענח","פרופיל 5",IF($J745="קמץ/פתח/חטף-פתח ושוואים","פרופיל 4",IF($J745="2-3 סימני ניקוד","פרופיל 3",IF($J745="4-5 סימני ניקוד","פרופיל 2",IF(AND($O745="משפטים וקטעים קצרים",OR($M745="מבין",$M745="מבין לרוב")),"פרופיל 1","פרופיל 2")))))))</f>
        <v/>
      </c>
      <c r="R745" s="32">
        <f>IF($C745="","",IF(OR($Q745="",LEFT($Q745,1)="—"),"קבוצה רביעית",IF($Q745="פרופיל 5","קבוצת תשתיות",IF(OR($Q745="פרופיל 4",$Q745="פרופיל 3"),"קבוצת רכישה","קבוצת ביסוס"))))</f>
        <v/>
      </c>
      <c r="S745" s="32">
        <f>IF($F745="","",IF($F745="תחילת שנה",1,IF($F745="מחצית שנה",2,3)))</f>
        <v/>
      </c>
      <c r="T745" s="32">
        <f>IF(OR($B745="",$R745="",$A745="",$F745=""),"",$B745&amp;"|"&amp;$A745&amp;"|"&amp;$F745&amp;"|"&amp;$R745&amp;"|"&amp;COUNTIFS($B$6:$B745,$B745,$A$6:$A745,$A745,$F$6:$F745,$F745,$R$6:$R745,$R745))</f>
        <v/>
      </c>
      <c r="U745" s="32">
        <f>IF($C745="","",$C745&amp;"|"&amp;COUNTIFS($C$6:$C745,$C745))</f>
        <v/>
      </c>
      <c r="V745" s="32">
        <f>IF(OR($C745="",$A745="",$S745=""),"",$C745&amp;"|"&amp;$A745&amp;"|"&amp;$S745)</f>
        <v/>
      </c>
      <c r="W745" s="32">
        <f>IF(OR($C745="",$S745="",$S745=1),"",IFERROR(INDEX($Q$6:$Q$1505,MATCH($C745&amp;"|"&amp;$A745&amp;"|"&amp;($S745-1),$V$6:$V$1505,0)),""))</f>
        <v/>
      </c>
      <c r="X745" s="32">
        <f>IF(OR($W745="",$Q745="",LEFT($Q745,1)="—"),"",IF($W745=$Q745,"ללא שינוי","מ-"&amp;$W745&amp;" ל-"&amp;$Q745))</f>
        <v/>
      </c>
    </row>
    <row r="746" ht="15.75" customHeight="1" s="58">
      <c r="A746" s="65" t="n"/>
      <c r="B746" s="65" t="n"/>
      <c r="C746" s="66" t="n"/>
      <c r="D746" s="66" t="n"/>
      <c r="E746" s="65" t="n"/>
      <c r="F746" s="65" t="n"/>
      <c r="G746" s="65" t="n"/>
      <c r="H746" s="65" t="n"/>
      <c r="I746" s="65" t="n"/>
      <c r="J746" s="65" t="n"/>
      <c r="K746" s="65" t="n"/>
      <c r="L746" s="65" t="n"/>
      <c r="M746" s="65" t="n"/>
      <c r="N746" s="65" t="n"/>
      <c r="O746" s="65" t="n"/>
      <c r="P746" s="65" t="n"/>
      <c r="Q746" s="32">
        <f>IF($C746="","",IF($J746="","— חסרים נתונים",IF($J746="טרם מפענח","פרופיל 5",IF($J746="קמץ/פתח/חטף-פתח ושוואים","פרופיל 4",IF($J746="2-3 סימני ניקוד","פרופיל 3",IF($J746="4-5 סימני ניקוד","פרופיל 2",IF(AND($O746="משפטים וקטעים קצרים",OR($M746="מבין",$M746="מבין לרוב")),"פרופיל 1","פרופיל 2")))))))</f>
        <v/>
      </c>
      <c r="R746" s="32">
        <f>IF($C746="","",IF(OR($Q746="",LEFT($Q746,1)="—"),"קבוצה רביעית",IF($Q746="פרופיל 5","קבוצת תשתיות",IF(OR($Q746="פרופיל 4",$Q746="פרופיל 3"),"קבוצת רכישה","קבוצת ביסוס"))))</f>
        <v/>
      </c>
      <c r="S746" s="32">
        <f>IF($F746="","",IF($F746="תחילת שנה",1,IF($F746="מחצית שנה",2,3)))</f>
        <v/>
      </c>
      <c r="T746" s="32">
        <f>IF(OR($B746="",$R746="",$A746="",$F746=""),"",$B746&amp;"|"&amp;$A746&amp;"|"&amp;$F746&amp;"|"&amp;$R746&amp;"|"&amp;COUNTIFS($B$6:$B746,$B746,$A$6:$A746,$A746,$F$6:$F746,$F746,$R$6:$R746,$R746))</f>
        <v/>
      </c>
      <c r="U746" s="32">
        <f>IF($C746="","",$C746&amp;"|"&amp;COUNTIFS($C$6:$C746,$C746))</f>
        <v/>
      </c>
      <c r="V746" s="32">
        <f>IF(OR($C746="",$A746="",$S746=""),"",$C746&amp;"|"&amp;$A746&amp;"|"&amp;$S746)</f>
        <v/>
      </c>
      <c r="W746" s="32">
        <f>IF(OR($C746="",$S746="",$S746=1),"",IFERROR(INDEX($Q$6:$Q$1505,MATCH($C746&amp;"|"&amp;$A746&amp;"|"&amp;($S746-1),$V$6:$V$1505,0)),""))</f>
        <v/>
      </c>
      <c r="X746" s="32">
        <f>IF(OR($W746="",$Q746="",LEFT($Q746,1)="—"),"",IF($W746=$Q746,"ללא שינוי","מ-"&amp;$W746&amp;" ל-"&amp;$Q746))</f>
        <v/>
      </c>
    </row>
    <row r="747" ht="15.75" customHeight="1" s="58">
      <c r="A747" s="65" t="n"/>
      <c r="B747" s="65" t="n"/>
      <c r="C747" s="66" t="n"/>
      <c r="D747" s="66" t="n"/>
      <c r="E747" s="65" t="n"/>
      <c r="F747" s="65" t="n"/>
      <c r="G747" s="65" t="n"/>
      <c r="H747" s="65" t="n"/>
      <c r="I747" s="65" t="n"/>
      <c r="J747" s="65" t="n"/>
      <c r="K747" s="65" t="n"/>
      <c r="L747" s="65" t="n"/>
      <c r="M747" s="65" t="n"/>
      <c r="N747" s="65" t="n"/>
      <c r="O747" s="65" t="n"/>
      <c r="P747" s="65" t="n"/>
      <c r="Q747" s="32">
        <f>IF($C747="","",IF($J747="","— חסרים נתונים",IF($J747="טרם מפענח","פרופיל 5",IF($J747="קמץ/פתח/חטף-פתח ושוואים","פרופיל 4",IF($J747="2-3 סימני ניקוד","פרופיל 3",IF($J747="4-5 סימני ניקוד","פרופיל 2",IF(AND($O747="משפטים וקטעים קצרים",OR($M747="מבין",$M747="מבין לרוב")),"פרופיל 1","פרופיל 2")))))))</f>
        <v/>
      </c>
      <c r="R747" s="32">
        <f>IF($C747="","",IF(OR($Q747="",LEFT($Q747,1)="—"),"קבוצה רביעית",IF($Q747="פרופיל 5","קבוצת תשתיות",IF(OR($Q747="פרופיל 4",$Q747="פרופיל 3"),"קבוצת רכישה","קבוצת ביסוס"))))</f>
        <v/>
      </c>
      <c r="S747" s="32">
        <f>IF($F747="","",IF($F747="תחילת שנה",1,IF($F747="מחצית שנה",2,3)))</f>
        <v/>
      </c>
      <c r="T747" s="32">
        <f>IF(OR($B747="",$R747="",$A747="",$F747=""),"",$B747&amp;"|"&amp;$A747&amp;"|"&amp;$F747&amp;"|"&amp;$R747&amp;"|"&amp;COUNTIFS($B$6:$B747,$B747,$A$6:$A747,$A747,$F$6:$F747,$F747,$R$6:$R747,$R747))</f>
        <v/>
      </c>
      <c r="U747" s="32">
        <f>IF($C747="","",$C747&amp;"|"&amp;COUNTIFS($C$6:$C747,$C747))</f>
        <v/>
      </c>
      <c r="V747" s="32">
        <f>IF(OR($C747="",$A747="",$S747=""),"",$C747&amp;"|"&amp;$A747&amp;"|"&amp;$S747)</f>
        <v/>
      </c>
      <c r="W747" s="32">
        <f>IF(OR($C747="",$S747="",$S747=1),"",IFERROR(INDEX($Q$6:$Q$1505,MATCH($C747&amp;"|"&amp;$A747&amp;"|"&amp;($S747-1),$V$6:$V$1505,0)),""))</f>
        <v/>
      </c>
      <c r="X747" s="32">
        <f>IF(OR($W747="",$Q747="",LEFT($Q747,1)="—"),"",IF($W747=$Q747,"ללא שינוי","מ-"&amp;$W747&amp;" ל-"&amp;$Q747))</f>
        <v/>
      </c>
    </row>
    <row r="748" ht="15.75" customHeight="1" s="58">
      <c r="A748" s="65" t="n"/>
      <c r="B748" s="65" t="n"/>
      <c r="C748" s="66" t="n"/>
      <c r="D748" s="66" t="n"/>
      <c r="E748" s="65" t="n"/>
      <c r="F748" s="65" t="n"/>
      <c r="G748" s="65" t="n"/>
      <c r="H748" s="65" t="n"/>
      <c r="I748" s="65" t="n"/>
      <c r="J748" s="65" t="n"/>
      <c r="K748" s="65" t="n"/>
      <c r="L748" s="65" t="n"/>
      <c r="M748" s="65" t="n"/>
      <c r="N748" s="65" t="n"/>
      <c r="O748" s="65" t="n"/>
      <c r="P748" s="65" t="n"/>
      <c r="Q748" s="32">
        <f>IF($C748="","",IF($J748="","— חסרים נתונים",IF($J748="טרם מפענח","פרופיל 5",IF($J748="קמץ/פתח/חטף-פתח ושוואים","פרופיל 4",IF($J748="2-3 סימני ניקוד","פרופיל 3",IF($J748="4-5 סימני ניקוד","פרופיל 2",IF(AND($O748="משפטים וקטעים קצרים",OR($M748="מבין",$M748="מבין לרוב")),"פרופיל 1","פרופיל 2")))))))</f>
        <v/>
      </c>
      <c r="R748" s="32">
        <f>IF($C748="","",IF(OR($Q748="",LEFT($Q748,1)="—"),"קבוצה רביעית",IF($Q748="פרופיל 5","קבוצת תשתיות",IF(OR($Q748="פרופיל 4",$Q748="פרופיל 3"),"קבוצת רכישה","קבוצת ביסוס"))))</f>
        <v/>
      </c>
      <c r="S748" s="32">
        <f>IF($F748="","",IF($F748="תחילת שנה",1,IF($F748="מחצית שנה",2,3)))</f>
        <v/>
      </c>
      <c r="T748" s="32">
        <f>IF(OR($B748="",$R748="",$A748="",$F748=""),"",$B748&amp;"|"&amp;$A748&amp;"|"&amp;$F748&amp;"|"&amp;$R748&amp;"|"&amp;COUNTIFS($B$6:$B748,$B748,$A$6:$A748,$A748,$F$6:$F748,$F748,$R$6:$R748,$R748))</f>
        <v/>
      </c>
      <c r="U748" s="32">
        <f>IF($C748="","",$C748&amp;"|"&amp;COUNTIFS($C$6:$C748,$C748))</f>
        <v/>
      </c>
      <c r="V748" s="32">
        <f>IF(OR($C748="",$A748="",$S748=""),"",$C748&amp;"|"&amp;$A748&amp;"|"&amp;$S748)</f>
        <v/>
      </c>
      <c r="W748" s="32">
        <f>IF(OR($C748="",$S748="",$S748=1),"",IFERROR(INDEX($Q$6:$Q$1505,MATCH($C748&amp;"|"&amp;$A748&amp;"|"&amp;($S748-1),$V$6:$V$1505,0)),""))</f>
        <v/>
      </c>
      <c r="X748" s="32">
        <f>IF(OR($W748="",$Q748="",LEFT($Q748,1)="—"),"",IF($W748=$Q748,"ללא שינוי","מ-"&amp;$W748&amp;" ל-"&amp;$Q748))</f>
        <v/>
      </c>
    </row>
    <row r="749" ht="15.75" customHeight="1" s="58">
      <c r="A749" s="65" t="n"/>
      <c r="B749" s="65" t="n"/>
      <c r="C749" s="66" t="n"/>
      <c r="D749" s="66" t="n"/>
      <c r="E749" s="65" t="n"/>
      <c r="F749" s="65" t="n"/>
      <c r="G749" s="65" t="n"/>
      <c r="H749" s="65" t="n"/>
      <c r="I749" s="65" t="n"/>
      <c r="J749" s="65" t="n"/>
      <c r="K749" s="65" t="n"/>
      <c r="L749" s="65" t="n"/>
      <c r="M749" s="65" t="n"/>
      <c r="N749" s="65" t="n"/>
      <c r="O749" s="65" t="n"/>
      <c r="P749" s="65" t="n"/>
      <c r="Q749" s="32">
        <f>IF($C749="","",IF($J749="","— חסרים נתונים",IF($J749="טרם מפענח","פרופיל 5",IF($J749="קמץ/פתח/חטף-פתח ושוואים","פרופיל 4",IF($J749="2-3 סימני ניקוד","פרופיל 3",IF($J749="4-5 סימני ניקוד","פרופיל 2",IF(AND($O749="משפטים וקטעים קצרים",OR($M749="מבין",$M749="מבין לרוב")),"פרופיל 1","פרופיל 2")))))))</f>
        <v/>
      </c>
      <c r="R749" s="32">
        <f>IF($C749="","",IF(OR($Q749="",LEFT($Q749,1)="—"),"קבוצה רביעית",IF($Q749="פרופיל 5","קבוצת תשתיות",IF(OR($Q749="פרופיל 4",$Q749="פרופיל 3"),"קבוצת רכישה","קבוצת ביסוס"))))</f>
        <v/>
      </c>
      <c r="S749" s="32">
        <f>IF($F749="","",IF($F749="תחילת שנה",1,IF($F749="מחצית שנה",2,3)))</f>
        <v/>
      </c>
      <c r="T749" s="32">
        <f>IF(OR($B749="",$R749="",$A749="",$F749=""),"",$B749&amp;"|"&amp;$A749&amp;"|"&amp;$F749&amp;"|"&amp;$R749&amp;"|"&amp;COUNTIFS($B$6:$B749,$B749,$A$6:$A749,$A749,$F$6:$F749,$F749,$R$6:$R749,$R749))</f>
        <v/>
      </c>
      <c r="U749" s="32">
        <f>IF($C749="","",$C749&amp;"|"&amp;COUNTIFS($C$6:$C749,$C749))</f>
        <v/>
      </c>
      <c r="V749" s="32">
        <f>IF(OR($C749="",$A749="",$S749=""),"",$C749&amp;"|"&amp;$A749&amp;"|"&amp;$S749)</f>
        <v/>
      </c>
      <c r="W749" s="32">
        <f>IF(OR($C749="",$S749="",$S749=1),"",IFERROR(INDEX($Q$6:$Q$1505,MATCH($C749&amp;"|"&amp;$A749&amp;"|"&amp;($S749-1),$V$6:$V$1505,0)),""))</f>
        <v/>
      </c>
      <c r="X749" s="32">
        <f>IF(OR($W749="",$Q749="",LEFT($Q749,1)="—"),"",IF($W749=$Q749,"ללא שינוי","מ-"&amp;$W749&amp;" ל-"&amp;$Q749))</f>
        <v/>
      </c>
    </row>
    <row r="750" ht="15.75" customHeight="1" s="58">
      <c r="A750" s="65" t="n"/>
      <c r="B750" s="65" t="n"/>
      <c r="C750" s="66" t="n"/>
      <c r="D750" s="66" t="n"/>
      <c r="E750" s="65" t="n"/>
      <c r="F750" s="65" t="n"/>
      <c r="G750" s="65" t="n"/>
      <c r="H750" s="65" t="n"/>
      <c r="I750" s="65" t="n"/>
      <c r="J750" s="65" t="n"/>
      <c r="K750" s="65" t="n"/>
      <c r="L750" s="65" t="n"/>
      <c r="M750" s="65" t="n"/>
      <c r="N750" s="65" t="n"/>
      <c r="O750" s="65" t="n"/>
      <c r="P750" s="65" t="n"/>
      <c r="Q750" s="32">
        <f>IF($C750="","",IF($J750="","— חסרים נתונים",IF($J750="טרם מפענח","פרופיל 5",IF($J750="קמץ/פתח/חטף-פתח ושוואים","פרופיל 4",IF($J750="2-3 סימני ניקוד","פרופיל 3",IF($J750="4-5 סימני ניקוד","פרופיל 2",IF(AND($O750="משפטים וקטעים קצרים",OR($M750="מבין",$M750="מבין לרוב")),"פרופיל 1","פרופיל 2")))))))</f>
        <v/>
      </c>
      <c r="R750" s="32">
        <f>IF($C750="","",IF(OR($Q750="",LEFT($Q750,1)="—"),"קבוצה רביעית",IF($Q750="פרופיל 5","קבוצת תשתיות",IF(OR($Q750="פרופיל 4",$Q750="פרופיל 3"),"קבוצת רכישה","קבוצת ביסוס"))))</f>
        <v/>
      </c>
      <c r="S750" s="32">
        <f>IF($F750="","",IF($F750="תחילת שנה",1,IF($F750="מחצית שנה",2,3)))</f>
        <v/>
      </c>
      <c r="T750" s="32">
        <f>IF(OR($B750="",$R750="",$A750="",$F750=""),"",$B750&amp;"|"&amp;$A750&amp;"|"&amp;$F750&amp;"|"&amp;$R750&amp;"|"&amp;COUNTIFS($B$6:$B750,$B750,$A$6:$A750,$A750,$F$6:$F750,$F750,$R$6:$R750,$R750))</f>
        <v/>
      </c>
      <c r="U750" s="32">
        <f>IF($C750="","",$C750&amp;"|"&amp;COUNTIFS($C$6:$C750,$C750))</f>
        <v/>
      </c>
      <c r="V750" s="32">
        <f>IF(OR($C750="",$A750="",$S750=""),"",$C750&amp;"|"&amp;$A750&amp;"|"&amp;$S750)</f>
        <v/>
      </c>
      <c r="W750" s="32">
        <f>IF(OR($C750="",$S750="",$S750=1),"",IFERROR(INDEX($Q$6:$Q$1505,MATCH($C750&amp;"|"&amp;$A750&amp;"|"&amp;($S750-1),$V$6:$V$1505,0)),""))</f>
        <v/>
      </c>
      <c r="X750" s="32">
        <f>IF(OR($W750="",$Q750="",LEFT($Q750,1)="—"),"",IF($W750=$Q750,"ללא שינוי","מ-"&amp;$W750&amp;" ל-"&amp;$Q750))</f>
        <v/>
      </c>
    </row>
    <row r="751" ht="15.75" customHeight="1" s="58">
      <c r="A751" s="65" t="n"/>
      <c r="B751" s="65" t="n"/>
      <c r="C751" s="66" t="n"/>
      <c r="D751" s="66" t="n"/>
      <c r="E751" s="65" t="n"/>
      <c r="F751" s="65" t="n"/>
      <c r="G751" s="65" t="n"/>
      <c r="H751" s="65" t="n"/>
      <c r="I751" s="65" t="n"/>
      <c r="J751" s="65" t="n"/>
      <c r="K751" s="65" t="n"/>
      <c r="L751" s="65" t="n"/>
      <c r="M751" s="65" t="n"/>
      <c r="N751" s="65" t="n"/>
      <c r="O751" s="65" t="n"/>
      <c r="P751" s="65" t="n"/>
      <c r="Q751" s="32">
        <f>IF($C751="","",IF($J751="","— חסרים נתונים",IF($J751="טרם מפענח","פרופיל 5",IF($J751="קמץ/פתח/חטף-פתח ושוואים","פרופיל 4",IF($J751="2-3 סימני ניקוד","פרופיל 3",IF($J751="4-5 סימני ניקוד","פרופיל 2",IF(AND($O751="משפטים וקטעים קצרים",OR($M751="מבין",$M751="מבין לרוב")),"פרופיל 1","פרופיל 2")))))))</f>
        <v/>
      </c>
      <c r="R751" s="32">
        <f>IF($C751="","",IF(OR($Q751="",LEFT($Q751,1)="—"),"קבוצה רביעית",IF($Q751="פרופיל 5","קבוצת תשתיות",IF(OR($Q751="פרופיל 4",$Q751="פרופיל 3"),"קבוצת רכישה","קבוצת ביסוס"))))</f>
        <v/>
      </c>
      <c r="S751" s="32">
        <f>IF($F751="","",IF($F751="תחילת שנה",1,IF($F751="מחצית שנה",2,3)))</f>
        <v/>
      </c>
      <c r="T751" s="32">
        <f>IF(OR($B751="",$R751="",$A751="",$F751=""),"",$B751&amp;"|"&amp;$A751&amp;"|"&amp;$F751&amp;"|"&amp;$R751&amp;"|"&amp;COUNTIFS($B$6:$B751,$B751,$A$6:$A751,$A751,$F$6:$F751,$F751,$R$6:$R751,$R751))</f>
        <v/>
      </c>
      <c r="U751" s="32">
        <f>IF($C751="","",$C751&amp;"|"&amp;COUNTIFS($C$6:$C751,$C751))</f>
        <v/>
      </c>
      <c r="V751" s="32">
        <f>IF(OR($C751="",$A751="",$S751=""),"",$C751&amp;"|"&amp;$A751&amp;"|"&amp;$S751)</f>
        <v/>
      </c>
      <c r="W751" s="32">
        <f>IF(OR($C751="",$S751="",$S751=1),"",IFERROR(INDEX($Q$6:$Q$1505,MATCH($C751&amp;"|"&amp;$A751&amp;"|"&amp;($S751-1),$V$6:$V$1505,0)),""))</f>
        <v/>
      </c>
      <c r="X751" s="32">
        <f>IF(OR($W751="",$Q751="",LEFT($Q751,1)="—"),"",IF($W751=$Q751,"ללא שינוי","מ-"&amp;$W751&amp;" ל-"&amp;$Q751))</f>
        <v/>
      </c>
    </row>
    <row r="752" ht="15.75" customHeight="1" s="58">
      <c r="A752" s="65" t="n"/>
      <c r="B752" s="65" t="n"/>
      <c r="C752" s="66" t="n"/>
      <c r="D752" s="66" t="n"/>
      <c r="E752" s="65" t="n"/>
      <c r="F752" s="65" t="n"/>
      <c r="G752" s="65" t="n"/>
      <c r="H752" s="65" t="n"/>
      <c r="I752" s="65" t="n"/>
      <c r="J752" s="65" t="n"/>
      <c r="K752" s="65" t="n"/>
      <c r="L752" s="65" t="n"/>
      <c r="M752" s="65" t="n"/>
      <c r="N752" s="65" t="n"/>
      <c r="O752" s="65" t="n"/>
      <c r="P752" s="65" t="n"/>
      <c r="Q752" s="32">
        <f>IF($C752="","",IF($J752="","— חסרים נתונים",IF($J752="טרם מפענח","פרופיל 5",IF($J752="קמץ/פתח/חטף-פתח ושוואים","פרופיל 4",IF($J752="2-3 סימני ניקוד","פרופיל 3",IF($J752="4-5 סימני ניקוד","פרופיל 2",IF(AND($O752="משפטים וקטעים קצרים",OR($M752="מבין",$M752="מבין לרוב")),"פרופיל 1","פרופיל 2")))))))</f>
        <v/>
      </c>
      <c r="R752" s="32">
        <f>IF($C752="","",IF(OR($Q752="",LEFT($Q752,1)="—"),"קבוצה רביעית",IF($Q752="פרופיל 5","קבוצת תשתיות",IF(OR($Q752="פרופיל 4",$Q752="פרופיל 3"),"קבוצת רכישה","קבוצת ביסוס"))))</f>
        <v/>
      </c>
      <c r="S752" s="32">
        <f>IF($F752="","",IF($F752="תחילת שנה",1,IF($F752="מחצית שנה",2,3)))</f>
        <v/>
      </c>
      <c r="T752" s="32">
        <f>IF(OR($B752="",$R752="",$A752="",$F752=""),"",$B752&amp;"|"&amp;$A752&amp;"|"&amp;$F752&amp;"|"&amp;$R752&amp;"|"&amp;COUNTIFS($B$6:$B752,$B752,$A$6:$A752,$A752,$F$6:$F752,$F752,$R$6:$R752,$R752))</f>
        <v/>
      </c>
      <c r="U752" s="32">
        <f>IF($C752="","",$C752&amp;"|"&amp;COUNTIFS($C$6:$C752,$C752))</f>
        <v/>
      </c>
      <c r="V752" s="32">
        <f>IF(OR($C752="",$A752="",$S752=""),"",$C752&amp;"|"&amp;$A752&amp;"|"&amp;$S752)</f>
        <v/>
      </c>
      <c r="W752" s="32">
        <f>IF(OR($C752="",$S752="",$S752=1),"",IFERROR(INDEX($Q$6:$Q$1505,MATCH($C752&amp;"|"&amp;$A752&amp;"|"&amp;($S752-1),$V$6:$V$1505,0)),""))</f>
        <v/>
      </c>
      <c r="X752" s="32">
        <f>IF(OR($W752="",$Q752="",LEFT($Q752,1)="—"),"",IF($W752=$Q752,"ללא שינוי","מ-"&amp;$W752&amp;" ל-"&amp;$Q752))</f>
        <v/>
      </c>
    </row>
    <row r="753" ht="15.75" customHeight="1" s="58">
      <c r="A753" s="65" t="n"/>
      <c r="B753" s="65" t="n"/>
      <c r="C753" s="66" t="n"/>
      <c r="D753" s="66" t="n"/>
      <c r="E753" s="65" t="n"/>
      <c r="F753" s="65" t="n"/>
      <c r="G753" s="65" t="n"/>
      <c r="H753" s="65" t="n"/>
      <c r="I753" s="65" t="n"/>
      <c r="J753" s="65" t="n"/>
      <c r="K753" s="65" t="n"/>
      <c r="L753" s="65" t="n"/>
      <c r="M753" s="65" t="n"/>
      <c r="N753" s="65" t="n"/>
      <c r="O753" s="65" t="n"/>
      <c r="P753" s="65" t="n"/>
      <c r="Q753" s="32">
        <f>IF($C753="","",IF($J753="","— חסרים נתונים",IF($J753="טרם מפענח","פרופיל 5",IF($J753="קמץ/פתח/חטף-פתח ושוואים","פרופיל 4",IF($J753="2-3 סימני ניקוד","פרופיל 3",IF($J753="4-5 סימני ניקוד","פרופיל 2",IF(AND($O753="משפטים וקטעים קצרים",OR($M753="מבין",$M753="מבין לרוב")),"פרופיל 1","פרופיל 2")))))))</f>
        <v/>
      </c>
      <c r="R753" s="32">
        <f>IF($C753="","",IF(OR($Q753="",LEFT($Q753,1)="—"),"קבוצה רביעית",IF($Q753="פרופיל 5","קבוצת תשתיות",IF(OR($Q753="פרופיל 4",$Q753="פרופיל 3"),"קבוצת רכישה","קבוצת ביסוס"))))</f>
        <v/>
      </c>
      <c r="S753" s="32">
        <f>IF($F753="","",IF($F753="תחילת שנה",1,IF($F753="מחצית שנה",2,3)))</f>
        <v/>
      </c>
      <c r="T753" s="32">
        <f>IF(OR($B753="",$R753="",$A753="",$F753=""),"",$B753&amp;"|"&amp;$A753&amp;"|"&amp;$F753&amp;"|"&amp;$R753&amp;"|"&amp;COUNTIFS($B$6:$B753,$B753,$A$6:$A753,$A753,$F$6:$F753,$F753,$R$6:$R753,$R753))</f>
        <v/>
      </c>
      <c r="U753" s="32">
        <f>IF($C753="","",$C753&amp;"|"&amp;COUNTIFS($C$6:$C753,$C753))</f>
        <v/>
      </c>
      <c r="V753" s="32">
        <f>IF(OR($C753="",$A753="",$S753=""),"",$C753&amp;"|"&amp;$A753&amp;"|"&amp;$S753)</f>
        <v/>
      </c>
      <c r="W753" s="32">
        <f>IF(OR($C753="",$S753="",$S753=1),"",IFERROR(INDEX($Q$6:$Q$1505,MATCH($C753&amp;"|"&amp;$A753&amp;"|"&amp;($S753-1),$V$6:$V$1505,0)),""))</f>
        <v/>
      </c>
      <c r="X753" s="32">
        <f>IF(OR($W753="",$Q753="",LEFT($Q753,1)="—"),"",IF($W753=$Q753,"ללא שינוי","מ-"&amp;$W753&amp;" ל-"&amp;$Q753))</f>
        <v/>
      </c>
    </row>
    <row r="754" ht="15.75" customHeight="1" s="58">
      <c r="A754" s="65" t="n"/>
      <c r="B754" s="65" t="n"/>
      <c r="C754" s="66" t="n"/>
      <c r="D754" s="66" t="n"/>
      <c r="E754" s="65" t="n"/>
      <c r="F754" s="65" t="n"/>
      <c r="G754" s="65" t="n"/>
      <c r="H754" s="65" t="n"/>
      <c r="I754" s="65" t="n"/>
      <c r="J754" s="65" t="n"/>
      <c r="K754" s="65" t="n"/>
      <c r="L754" s="65" t="n"/>
      <c r="M754" s="65" t="n"/>
      <c r="N754" s="65" t="n"/>
      <c r="O754" s="65" t="n"/>
      <c r="P754" s="65" t="n"/>
      <c r="Q754" s="32">
        <f>IF($C754="","",IF($J754="","— חסרים נתונים",IF($J754="טרם מפענח","פרופיל 5",IF($J754="קמץ/פתח/חטף-פתח ושוואים","פרופיל 4",IF($J754="2-3 סימני ניקוד","פרופיל 3",IF($J754="4-5 סימני ניקוד","פרופיל 2",IF(AND($O754="משפטים וקטעים קצרים",OR($M754="מבין",$M754="מבין לרוב")),"פרופיל 1","פרופיל 2")))))))</f>
        <v/>
      </c>
      <c r="R754" s="32">
        <f>IF($C754="","",IF(OR($Q754="",LEFT($Q754,1)="—"),"קבוצה רביעית",IF($Q754="פרופיל 5","קבוצת תשתיות",IF(OR($Q754="פרופיל 4",$Q754="פרופיל 3"),"קבוצת רכישה","קבוצת ביסוס"))))</f>
        <v/>
      </c>
      <c r="S754" s="32">
        <f>IF($F754="","",IF($F754="תחילת שנה",1,IF($F754="מחצית שנה",2,3)))</f>
        <v/>
      </c>
      <c r="T754" s="32">
        <f>IF(OR($B754="",$R754="",$A754="",$F754=""),"",$B754&amp;"|"&amp;$A754&amp;"|"&amp;$F754&amp;"|"&amp;$R754&amp;"|"&amp;COUNTIFS($B$6:$B754,$B754,$A$6:$A754,$A754,$F$6:$F754,$F754,$R$6:$R754,$R754))</f>
        <v/>
      </c>
      <c r="U754" s="32">
        <f>IF($C754="","",$C754&amp;"|"&amp;COUNTIFS($C$6:$C754,$C754))</f>
        <v/>
      </c>
      <c r="V754" s="32">
        <f>IF(OR($C754="",$A754="",$S754=""),"",$C754&amp;"|"&amp;$A754&amp;"|"&amp;$S754)</f>
        <v/>
      </c>
      <c r="W754" s="32">
        <f>IF(OR($C754="",$S754="",$S754=1),"",IFERROR(INDEX($Q$6:$Q$1505,MATCH($C754&amp;"|"&amp;$A754&amp;"|"&amp;($S754-1),$V$6:$V$1505,0)),""))</f>
        <v/>
      </c>
      <c r="X754" s="32">
        <f>IF(OR($W754="",$Q754="",LEFT($Q754,1)="—"),"",IF($W754=$Q754,"ללא שינוי","מ-"&amp;$W754&amp;" ל-"&amp;$Q754))</f>
        <v/>
      </c>
    </row>
    <row r="755" ht="15.75" customHeight="1" s="58">
      <c r="A755" s="65" t="n"/>
      <c r="B755" s="65" t="n"/>
      <c r="C755" s="66" t="n"/>
      <c r="D755" s="66" t="n"/>
      <c r="E755" s="65" t="n"/>
      <c r="F755" s="65" t="n"/>
      <c r="G755" s="65" t="n"/>
      <c r="H755" s="65" t="n"/>
      <c r="I755" s="65" t="n"/>
      <c r="J755" s="65" t="n"/>
      <c r="K755" s="65" t="n"/>
      <c r="L755" s="65" t="n"/>
      <c r="M755" s="65" t="n"/>
      <c r="N755" s="65" t="n"/>
      <c r="O755" s="65" t="n"/>
      <c r="P755" s="65" t="n"/>
      <c r="Q755" s="32">
        <f>IF($C755="","",IF($J755="","— חסרים נתונים",IF($J755="טרם מפענח","פרופיל 5",IF($J755="קמץ/פתח/חטף-פתח ושוואים","פרופיל 4",IF($J755="2-3 סימני ניקוד","פרופיל 3",IF($J755="4-5 סימני ניקוד","פרופיל 2",IF(AND($O755="משפטים וקטעים קצרים",OR($M755="מבין",$M755="מבין לרוב")),"פרופיל 1","פרופיל 2")))))))</f>
        <v/>
      </c>
      <c r="R755" s="32">
        <f>IF($C755="","",IF(OR($Q755="",LEFT($Q755,1)="—"),"קבוצה רביעית",IF($Q755="פרופיל 5","קבוצת תשתיות",IF(OR($Q755="פרופיל 4",$Q755="פרופיל 3"),"קבוצת רכישה","קבוצת ביסוס"))))</f>
        <v/>
      </c>
      <c r="S755" s="32">
        <f>IF($F755="","",IF($F755="תחילת שנה",1,IF($F755="מחצית שנה",2,3)))</f>
        <v/>
      </c>
      <c r="T755" s="32">
        <f>IF(OR($B755="",$R755="",$A755="",$F755=""),"",$B755&amp;"|"&amp;$A755&amp;"|"&amp;$F755&amp;"|"&amp;$R755&amp;"|"&amp;COUNTIFS($B$6:$B755,$B755,$A$6:$A755,$A755,$F$6:$F755,$F755,$R$6:$R755,$R755))</f>
        <v/>
      </c>
      <c r="U755" s="32">
        <f>IF($C755="","",$C755&amp;"|"&amp;COUNTIFS($C$6:$C755,$C755))</f>
        <v/>
      </c>
      <c r="V755" s="32">
        <f>IF(OR($C755="",$A755="",$S755=""),"",$C755&amp;"|"&amp;$A755&amp;"|"&amp;$S755)</f>
        <v/>
      </c>
      <c r="W755" s="32">
        <f>IF(OR($C755="",$S755="",$S755=1),"",IFERROR(INDEX($Q$6:$Q$1505,MATCH($C755&amp;"|"&amp;$A755&amp;"|"&amp;($S755-1),$V$6:$V$1505,0)),""))</f>
        <v/>
      </c>
      <c r="X755" s="32">
        <f>IF(OR($W755="",$Q755="",LEFT($Q755,1)="—"),"",IF($W755=$Q755,"ללא שינוי","מ-"&amp;$W755&amp;" ל-"&amp;$Q755))</f>
        <v/>
      </c>
    </row>
    <row r="756" ht="15.75" customHeight="1" s="58">
      <c r="A756" s="65" t="n"/>
      <c r="B756" s="65" t="n"/>
      <c r="C756" s="66" t="n"/>
      <c r="D756" s="66" t="n"/>
      <c r="E756" s="65" t="n"/>
      <c r="F756" s="65" t="n"/>
      <c r="G756" s="65" t="n"/>
      <c r="H756" s="65" t="n"/>
      <c r="I756" s="65" t="n"/>
      <c r="J756" s="65" t="n"/>
      <c r="K756" s="65" t="n"/>
      <c r="L756" s="65" t="n"/>
      <c r="M756" s="65" t="n"/>
      <c r="N756" s="65" t="n"/>
      <c r="O756" s="65" t="n"/>
      <c r="P756" s="65" t="n"/>
      <c r="Q756" s="32">
        <f>IF($C756="","",IF($J756="","— חסרים נתונים",IF($J756="טרם מפענח","פרופיל 5",IF($J756="קמץ/פתח/חטף-פתח ושוואים","פרופיל 4",IF($J756="2-3 סימני ניקוד","פרופיל 3",IF($J756="4-5 סימני ניקוד","פרופיל 2",IF(AND($O756="משפטים וקטעים קצרים",OR($M756="מבין",$M756="מבין לרוב")),"פרופיל 1","פרופיל 2")))))))</f>
        <v/>
      </c>
      <c r="R756" s="32">
        <f>IF($C756="","",IF(OR($Q756="",LEFT($Q756,1)="—"),"קבוצה רביעית",IF($Q756="פרופיל 5","קבוצת תשתיות",IF(OR($Q756="פרופיל 4",$Q756="פרופיל 3"),"קבוצת רכישה","קבוצת ביסוס"))))</f>
        <v/>
      </c>
      <c r="S756" s="32">
        <f>IF($F756="","",IF($F756="תחילת שנה",1,IF($F756="מחצית שנה",2,3)))</f>
        <v/>
      </c>
      <c r="T756" s="32">
        <f>IF(OR($B756="",$R756="",$A756="",$F756=""),"",$B756&amp;"|"&amp;$A756&amp;"|"&amp;$F756&amp;"|"&amp;$R756&amp;"|"&amp;COUNTIFS($B$6:$B756,$B756,$A$6:$A756,$A756,$F$6:$F756,$F756,$R$6:$R756,$R756))</f>
        <v/>
      </c>
      <c r="U756" s="32">
        <f>IF($C756="","",$C756&amp;"|"&amp;COUNTIFS($C$6:$C756,$C756))</f>
        <v/>
      </c>
      <c r="V756" s="32">
        <f>IF(OR($C756="",$A756="",$S756=""),"",$C756&amp;"|"&amp;$A756&amp;"|"&amp;$S756)</f>
        <v/>
      </c>
      <c r="W756" s="32">
        <f>IF(OR($C756="",$S756="",$S756=1),"",IFERROR(INDEX($Q$6:$Q$1505,MATCH($C756&amp;"|"&amp;$A756&amp;"|"&amp;($S756-1),$V$6:$V$1505,0)),""))</f>
        <v/>
      </c>
      <c r="X756" s="32">
        <f>IF(OR($W756="",$Q756="",LEFT($Q756,1)="—"),"",IF($W756=$Q756,"ללא שינוי","מ-"&amp;$W756&amp;" ל-"&amp;$Q756))</f>
        <v/>
      </c>
    </row>
    <row r="757" ht="15.75" customHeight="1" s="58">
      <c r="A757" s="65" t="n"/>
      <c r="B757" s="65" t="n"/>
      <c r="C757" s="66" t="n"/>
      <c r="D757" s="66" t="n"/>
      <c r="E757" s="65" t="n"/>
      <c r="F757" s="65" t="n"/>
      <c r="G757" s="65" t="n"/>
      <c r="H757" s="65" t="n"/>
      <c r="I757" s="65" t="n"/>
      <c r="J757" s="65" t="n"/>
      <c r="K757" s="65" t="n"/>
      <c r="L757" s="65" t="n"/>
      <c r="M757" s="65" t="n"/>
      <c r="N757" s="65" t="n"/>
      <c r="O757" s="65" t="n"/>
      <c r="P757" s="65" t="n"/>
      <c r="Q757" s="32">
        <f>IF($C757="","",IF($J757="","— חסרים נתונים",IF($J757="טרם מפענח","פרופיל 5",IF($J757="קמץ/פתח/חטף-פתח ושוואים","פרופיל 4",IF($J757="2-3 סימני ניקוד","פרופיל 3",IF($J757="4-5 סימני ניקוד","פרופיל 2",IF(AND($O757="משפטים וקטעים קצרים",OR($M757="מבין",$M757="מבין לרוב")),"פרופיל 1","פרופיל 2")))))))</f>
        <v/>
      </c>
      <c r="R757" s="32">
        <f>IF($C757="","",IF(OR($Q757="",LEFT($Q757,1)="—"),"קבוצה רביעית",IF($Q757="פרופיל 5","קבוצת תשתיות",IF(OR($Q757="פרופיל 4",$Q757="פרופיל 3"),"קבוצת רכישה","קבוצת ביסוס"))))</f>
        <v/>
      </c>
      <c r="S757" s="32">
        <f>IF($F757="","",IF($F757="תחילת שנה",1,IF($F757="מחצית שנה",2,3)))</f>
        <v/>
      </c>
      <c r="T757" s="32">
        <f>IF(OR($B757="",$R757="",$A757="",$F757=""),"",$B757&amp;"|"&amp;$A757&amp;"|"&amp;$F757&amp;"|"&amp;$R757&amp;"|"&amp;COUNTIFS($B$6:$B757,$B757,$A$6:$A757,$A757,$F$6:$F757,$F757,$R$6:$R757,$R757))</f>
        <v/>
      </c>
      <c r="U757" s="32">
        <f>IF($C757="","",$C757&amp;"|"&amp;COUNTIFS($C$6:$C757,$C757))</f>
        <v/>
      </c>
      <c r="V757" s="32">
        <f>IF(OR($C757="",$A757="",$S757=""),"",$C757&amp;"|"&amp;$A757&amp;"|"&amp;$S757)</f>
        <v/>
      </c>
      <c r="W757" s="32">
        <f>IF(OR($C757="",$S757="",$S757=1),"",IFERROR(INDEX($Q$6:$Q$1505,MATCH($C757&amp;"|"&amp;$A757&amp;"|"&amp;($S757-1),$V$6:$V$1505,0)),""))</f>
        <v/>
      </c>
      <c r="X757" s="32">
        <f>IF(OR($W757="",$Q757="",LEFT($Q757,1)="—"),"",IF($W757=$Q757,"ללא שינוי","מ-"&amp;$W757&amp;" ל-"&amp;$Q757))</f>
        <v/>
      </c>
    </row>
    <row r="758" ht="15.75" customHeight="1" s="58">
      <c r="A758" s="65" t="n"/>
      <c r="B758" s="65" t="n"/>
      <c r="C758" s="66" t="n"/>
      <c r="D758" s="66" t="n"/>
      <c r="E758" s="65" t="n"/>
      <c r="F758" s="65" t="n"/>
      <c r="G758" s="65" t="n"/>
      <c r="H758" s="65" t="n"/>
      <c r="I758" s="65" t="n"/>
      <c r="J758" s="65" t="n"/>
      <c r="K758" s="65" t="n"/>
      <c r="L758" s="65" t="n"/>
      <c r="M758" s="65" t="n"/>
      <c r="N758" s="65" t="n"/>
      <c r="O758" s="65" t="n"/>
      <c r="P758" s="65" t="n"/>
      <c r="Q758" s="32">
        <f>IF($C758="","",IF($J758="","— חסרים נתונים",IF($J758="טרם מפענח","פרופיל 5",IF($J758="קמץ/פתח/חטף-פתח ושוואים","פרופיל 4",IF($J758="2-3 סימני ניקוד","פרופיל 3",IF($J758="4-5 סימני ניקוד","פרופיל 2",IF(AND($O758="משפטים וקטעים קצרים",OR($M758="מבין",$M758="מבין לרוב")),"פרופיל 1","פרופיל 2")))))))</f>
        <v/>
      </c>
      <c r="R758" s="32">
        <f>IF($C758="","",IF(OR($Q758="",LEFT($Q758,1)="—"),"קבוצה רביעית",IF($Q758="פרופיל 5","קבוצת תשתיות",IF(OR($Q758="פרופיל 4",$Q758="פרופיל 3"),"קבוצת רכישה","קבוצת ביסוס"))))</f>
        <v/>
      </c>
      <c r="S758" s="32">
        <f>IF($F758="","",IF($F758="תחילת שנה",1,IF($F758="מחצית שנה",2,3)))</f>
        <v/>
      </c>
      <c r="T758" s="32">
        <f>IF(OR($B758="",$R758="",$A758="",$F758=""),"",$B758&amp;"|"&amp;$A758&amp;"|"&amp;$F758&amp;"|"&amp;$R758&amp;"|"&amp;COUNTIFS($B$6:$B758,$B758,$A$6:$A758,$A758,$F$6:$F758,$F758,$R$6:$R758,$R758))</f>
        <v/>
      </c>
      <c r="U758" s="32">
        <f>IF($C758="","",$C758&amp;"|"&amp;COUNTIFS($C$6:$C758,$C758))</f>
        <v/>
      </c>
      <c r="V758" s="32">
        <f>IF(OR($C758="",$A758="",$S758=""),"",$C758&amp;"|"&amp;$A758&amp;"|"&amp;$S758)</f>
        <v/>
      </c>
      <c r="W758" s="32">
        <f>IF(OR($C758="",$S758="",$S758=1),"",IFERROR(INDEX($Q$6:$Q$1505,MATCH($C758&amp;"|"&amp;$A758&amp;"|"&amp;($S758-1),$V$6:$V$1505,0)),""))</f>
        <v/>
      </c>
      <c r="X758" s="32">
        <f>IF(OR($W758="",$Q758="",LEFT($Q758,1)="—"),"",IF($W758=$Q758,"ללא שינוי","מ-"&amp;$W758&amp;" ל-"&amp;$Q758))</f>
        <v/>
      </c>
    </row>
    <row r="759" ht="15.75" customHeight="1" s="58">
      <c r="A759" s="65" t="n"/>
      <c r="B759" s="65" t="n"/>
      <c r="C759" s="66" t="n"/>
      <c r="D759" s="66" t="n"/>
      <c r="E759" s="65" t="n"/>
      <c r="F759" s="65" t="n"/>
      <c r="G759" s="65" t="n"/>
      <c r="H759" s="65" t="n"/>
      <c r="I759" s="65" t="n"/>
      <c r="J759" s="65" t="n"/>
      <c r="K759" s="65" t="n"/>
      <c r="L759" s="65" t="n"/>
      <c r="M759" s="65" t="n"/>
      <c r="N759" s="65" t="n"/>
      <c r="O759" s="65" t="n"/>
      <c r="P759" s="65" t="n"/>
      <c r="Q759" s="32">
        <f>IF($C759="","",IF($J759="","— חסרים נתונים",IF($J759="טרם מפענח","פרופיל 5",IF($J759="קמץ/פתח/חטף-פתח ושוואים","פרופיל 4",IF($J759="2-3 סימני ניקוד","פרופיל 3",IF($J759="4-5 סימני ניקוד","פרופיל 2",IF(AND($O759="משפטים וקטעים קצרים",OR($M759="מבין",$M759="מבין לרוב")),"פרופיל 1","פרופיל 2")))))))</f>
        <v/>
      </c>
      <c r="R759" s="32">
        <f>IF($C759="","",IF(OR($Q759="",LEFT($Q759,1)="—"),"קבוצה רביעית",IF($Q759="פרופיל 5","קבוצת תשתיות",IF(OR($Q759="פרופיל 4",$Q759="פרופיל 3"),"קבוצת רכישה","קבוצת ביסוס"))))</f>
        <v/>
      </c>
      <c r="S759" s="32">
        <f>IF($F759="","",IF($F759="תחילת שנה",1,IF($F759="מחצית שנה",2,3)))</f>
        <v/>
      </c>
      <c r="T759" s="32">
        <f>IF(OR($B759="",$R759="",$A759="",$F759=""),"",$B759&amp;"|"&amp;$A759&amp;"|"&amp;$F759&amp;"|"&amp;$R759&amp;"|"&amp;COUNTIFS($B$6:$B759,$B759,$A$6:$A759,$A759,$F$6:$F759,$F759,$R$6:$R759,$R759))</f>
        <v/>
      </c>
      <c r="U759" s="32">
        <f>IF($C759="","",$C759&amp;"|"&amp;COUNTIFS($C$6:$C759,$C759))</f>
        <v/>
      </c>
      <c r="V759" s="32">
        <f>IF(OR($C759="",$A759="",$S759=""),"",$C759&amp;"|"&amp;$A759&amp;"|"&amp;$S759)</f>
        <v/>
      </c>
      <c r="W759" s="32">
        <f>IF(OR($C759="",$S759="",$S759=1),"",IFERROR(INDEX($Q$6:$Q$1505,MATCH($C759&amp;"|"&amp;$A759&amp;"|"&amp;($S759-1),$V$6:$V$1505,0)),""))</f>
        <v/>
      </c>
      <c r="X759" s="32">
        <f>IF(OR($W759="",$Q759="",LEFT($Q759,1)="—"),"",IF($W759=$Q759,"ללא שינוי","מ-"&amp;$W759&amp;" ל-"&amp;$Q759))</f>
        <v/>
      </c>
    </row>
    <row r="760" ht="15.75" customHeight="1" s="58">
      <c r="A760" s="65" t="n"/>
      <c r="B760" s="65" t="n"/>
      <c r="C760" s="66" t="n"/>
      <c r="D760" s="66" t="n"/>
      <c r="E760" s="65" t="n"/>
      <c r="F760" s="65" t="n"/>
      <c r="G760" s="65" t="n"/>
      <c r="H760" s="65" t="n"/>
      <c r="I760" s="65" t="n"/>
      <c r="J760" s="65" t="n"/>
      <c r="K760" s="65" t="n"/>
      <c r="L760" s="65" t="n"/>
      <c r="M760" s="65" t="n"/>
      <c r="N760" s="65" t="n"/>
      <c r="O760" s="65" t="n"/>
      <c r="P760" s="65" t="n"/>
      <c r="Q760" s="32">
        <f>IF($C760="","",IF($J760="","— חסרים נתונים",IF($J760="טרם מפענח","פרופיל 5",IF($J760="קמץ/פתח/חטף-פתח ושוואים","פרופיל 4",IF($J760="2-3 סימני ניקוד","פרופיל 3",IF($J760="4-5 סימני ניקוד","פרופיל 2",IF(AND($O760="משפטים וקטעים קצרים",OR($M760="מבין",$M760="מבין לרוב")),"פרופיל 1","פרופיל 2")))))))</f>
        <v/>
      </c>
      <c r="R760" s="32">
        <f>IF($C760="","",IF(OR($Q760="",LEFT($Q760,1)="—"),"קבוצה רביעית",IF($Q760="פרופיל 5","קבוצת תשתיות",IF(OR($Q760="פרופיל 4",$Q760="פרופיל 3"),"קבוצת רכישה","קבוצת ביסוס"))))</f>
        <v/>
      </c>
      <c r="S760" s="32">
        <f>IF($F760="","",IF($F760="תחילת שנה",1,IF($F760="מחצית שנה",2,3)))</f>
        <v/>
      </c>
      <c r="T760" s="32">
        <f>IF(OR($B760="",$R760="",$A760="",$F760=""),"",$B760&amp;"|"&amp;$A760&amp;"|"&amp;$F760&amp;"|"&amp;$R760&amp;"|"&amp;COUNTIFS($B$6:$B760,$B760,$A$6:$A760,$A760,$F$6:$F760,$F760,$R$6:$R760,$R760))</f>
        <v/>
      </c>
      <c r="U760" s="32">
        <f>IF($C760="","",$C760&amp;"|"&amp;COUNTIFS($C$6:$C760,$C760))</f>
        <v/>
      </c>
      <c r="V760" s="32">
        <f>IF(OR($C760="",$A760="",$S760=""),"",$C760&amp;"|"&amp;$A760&amp;"|"&amp;$S760)</f>
        <v/>
      </c>
      <c r="W760" s="32">
        <f>IF(OR($C760="",$S760="",$S760=1),"",IFERROR(INDEX($Q$6:$Q$1505,MATCH($C760&amp;"|"&amp;$A760&amp;"|"&amp;($S760-1),$V$6:$V$1505,0)),""))</f>
        <v/>
      </c>
      <c r="X760" s="32">
        <f>IF(OR($W760="",$Q760="",LEFT($Q760,1)="—"),"",IF($W760=$Q760,"ללא שינוי","מ-"&amp;$W760&amp;" ל-"&amp;$Q760))</f>
        <v/>
      </c>
    </row>
    <row r="761" ht="15.75" customHeight="1" s="58">
      <c r="A761" s="65" t="n"/>
      <c r="B761" s="65" t="n"/>
      <c r="C761" s="66" t="n"/>
      <c r="D761" s="66" t="n"/>
      <c r="E761" s="65" t="n"/>
      <c r="F761" s="65" t="n"/>
      <c r="G761" s="65" t="n"/>
      <c r="H761" s="65" t="n"/>
      <c r="I761" s="65" t="n"/>
      <c r="J761" s="65" t="n"/>
      <c r="K761" s="65" t="n"/>
      <c r="L761" s="65" t="n"/>
      <c r="M761" s="65" t="n"/>
      <c r="N761" s="65" t="n"/>
      <c r="O761" s="65" t="n"/>
      <c r="P761" s="65" t="n"/>
      <c r="Q761" s="32">
        <f>IF($C761="","",IF($J761="","— חסרים נתונים",IF($J761="טרם מפענח","פרופיל 5",IF($J761="קמץ/פתח/חטף-פתח ושוואים","פרופיל 4",IF($J761="2-3 סימני ניקוד","פרופיל 3",IF($J761="4-5 סימני ניקוד","פרופיל 2",IF(AND($O761="משפטים וקטעים קצרים",OR($M761="מבין",$M761="מבין לרוב")),"פרופיל 1","פרופיל 2")))))))</f>
        <v/>
      </c>
      <c r="R761" s="32">
        <f>IF($C761="","",IF(OR($Q761="",LEFT($Q761,1)="—"),"קבוצה רביעית",IF($Q761="פרופיל 5","קבוצת תשתיות",IF(OR($Q761="פרופיל 4",$Q761="פרופיל 3"),"קבוצת רכישה","קבוצת ביסוס"))))</f>
        <v/>
      </c>
      <c r="S761" s="32">
        <f>IF($F761="","",IF($F761="תחילת שנה",1,IF($F761="מחצית שנה",2,3)))</f>
        <v/>
      </c>
      <c r="T761" s="32">
        <f>IF(OR($B761="",$R761="",$A761="",$F761=""),"",$B761&amp;"|"&amp;$A761&amp;"|"&amp;$F761&amp;"|"&amp;$R761&amp;"|"&amp;COUNTIFS($B$6:$B761,$B761,$A$6:$A761,$A761,$F$6:$F761,$F761,$R$6:$R761,$R761))</f>
        <v/>
      </c>
      <c r="U761" s="32">
        <f>IF($C761="","",$C761&amp;"|"&amp;COUNTIFS($C$6:$C761,$C761))</f>
        <v/>
      </c>
      <c r="V761" s="32">
        <f>IF(OR($C761="",$A761="",$S761=""),"",$C761&amp;"|"&amp;$A761&amp;"|"&amp;$S761)</f>
        <v/>
      </c>
      <c r="W761" s="32">
        <f>IF(OR($C761="",$S761="",$S761=1),"",IFERROR(INDEX($Q$6:$Q$1505,MATCH($C761&amp;"|"&amp;$A761&amp;"|"&amp;($S761-1),$V$6:$V$1505,0)),""))</f>
        <v/>
      </c>
      <c r="X761" s="32">
        <f>IF(OR($W761="",$Q761="",LEFT($Q761,1)="—"),"",IF($W761=$Q761,"ללא שינוי","מ-"&amp;$W761&amp;" ל-"&amp;$Q761))</f>
        <v/>
      </c>
    </row>
    <row r="762" ht="15.75" customHeight="1" s="58">
      <c r="A762" s="65" t="n"/>
      <c r="B762" s="65" t="n"/>
      <c r="C762" s="66" t="n"/>
      <c r="D762" s="66" t="n"/>
      <c r="E762" s="65" t="n"/>
      <c r="F762" s="65" t="n"/>
      <c r="G762" s="65" t="n"/>
      <c r="H762" s="65" t="n"/>
      <c r="I762" s="65" t="n"/>
      <c r="J762" s="65" t="n"/>
      <c r="K762" s="65" t="n"/>
      <c r="L762" s="65" t="n"/>
      <c r="M762" s="65" t="n"/>
      <c r="N762" s="65" t="n"/>
      <c r="O762" s="65" t="n"/>
      <c r="P762" s="65" t="n"/>
      <c r="Q762" s="32">
        <f>IF($C762="","",IF($J762="","— חסרים נתונים",IF($J762="טרם מפענח","פרופיל 5",IF($J762="קמץ/פתח/חטף-פתח ושוואים","פרופיל 4",IF($J762="2-3 סימני ניקוד","פרופיל 3",IF($J762="4-5 סימני ניקוד","פרופיל 2",IF(AND($O762="משפטים וקטעים קצרים",OR($M762="מבין",$M762="מבין לרוב")),"פרופיל 1","פרופיל 2")))))))</f>
        <v/>
      </c>
      <c r="R762" s="32">
        <f>IF($C762="","",IF(OR($Q762="",LEFT($Q762,1)="—"),"קבוצה רביעית",IF($Q762="פרופיל 5","קבוצת תשתיות",IF(OR($Q762="פרופיל 4",$Q762="פרופיל 3"),"קבוצת רכישה","קבוצת ביסוס"))))</f>
        <v/>
      </c>
      <c r="S762" s="32">
        <f>IF($F762="","",IF($F762="תחילת שנה",1,IF($F762="מחצית שנה",2,3)))</f>
        <v/>
      </c>
      <c r="T762" s="32">
        <f>IF(OR($B762="",$R762="",$A762="",$F762=""),"",$B762&amp;"|"&amp;$A762&amp;"|"&amp;$F762&amp;"|"&amp;$R762&amp;"|"&amp;COUNTIFS($B$6:$B762,$B762,$A$6:$A762,$A762,$F$6:$F762,$F762,$R$6:$R762,$R762))</f>
        <v/>
      </c>
      <c r="U762" s="32">
        <f>IF($C762="","",$C762&amp;"|"&amp;COUNTIFS($C$6:$C762,$C762))</f>
        <v/>
      </c>
      <c r="V762" s="32">
        <f>IF(OR($C762="",$A762="",$S762=""),"",$C762&amp;"|"&amp;$A762&amp;"|"&amp;$S762)</f>
        <v/>
      </c>
      <c r="W762" s="32">
        <f>IF(OR($C762="",$S762="",$S762=1),"",IFERROR(INDEX($Q$6:$Q$1505,MATCH($C762&amp;"|"&amp;$A762&amp;"|"&amp;($S762-1),$V$6:$V$1505,0)),""))</f>
        <v/>
      </c>
      <c r="X762" s="32">
        <f>IF(OR($W762="",$Q762="",LEFT($Q762,1)="—"),"",IF($W762=$Q762,"ללא שינוי","מ-"&amp;$W762&amp;" ל-"&amp;$Q762))</f>
        <v/>
      </c>
    </row>
    <row r="763" ht="15.75" customHeight="1" s="58">
      <c r="A763" s="65" t="n"/>
      <c r="B763" s="65" t="n"/>
      <c r="C763" s="66" t="n"/>
      <c r="D763" s="66" t="n"/>
      <c r="E763" s="65" t="n"/>
      <c r="F763" s="65" t="n"/>
      <c r="G763" s="65" t="n"/>
      <c r="H763" s="65" t="n"/>
      <c r="I763" s="65" t="n"/>
      <c r="J763" s="65" t="n"/>
      <c r="K763" s="65" t="n"/>
      <c r="L763" s="65" t="n"/>
      <c r="M763" s="65" t="n"/>
      <c r="N763" s="65" t="n"/>
      <c r="O763" s="65" t="n"/>
      <c r="P763" s="65" t="n"/>
      <c r="Q763" s="32">
        <f>IF($C763="","",IF($J763="","— חסרים נתונים",IF($J763="טרם מפענח","פרופיל 5",IF($J763="קמץ/פתח/חטף-פתח ושוואים","פרופיל 4",IF($J763="2-3 סימני ניקוד","פרופיל 3",IF($J763="4-5 סימני ניקוד","פרופיל 2",IF(AND($O763="משפטים וקטעים קצרים",OR($M763="מבין",$M763="מבין לרוב")),"פרופיל 1","פרופיל 2")))))))</f>
        <v/>
      </c>
      <c r="R763" s="32">
        <f>IF($C763="","",IF(OR($Q763="",LEFT($Q763,1)="—"),"קבוצה רביעית",IF($Q763="פרופיל 5","קבוצת תשתיות",IF(OR($Q763="פרופיל 4",$Q763="פרופיל 3"),"קבוצת רכישה","קבוצת ביסוס"))))</f>
        <v/>
      </c>
      <c r="S763" s="32">
        <f>IF($F763="","",IF($F763="תחילת שנה",1,IF($F763="מחצית שנה",2,3)))</f>
        <v/>
      </c>
      <c r="T763" s="32">
        <f>IF(OR($B763="",$R763="",$A763="",$F763=""),"",$B763&amp;"|"&amp;$A763&amp;"|"&amp;$F763&amp;"|"&amp;$R763&amp;"|"&amp;COUNTIFS($B$6:$B763,$B763,$A$6:$A763,$A763,$F$6:$F763,$F763,$R$6:$R763,$R763))</f>
        <v/>
      </c>
      <c r="U763" s="32">
        <f>IF($C763="","",$C763&amp;"|"&amp;COUNTIFS($C$6:$C763,$C763))</f>
        <v/>
      </c>
      <c r="V763" s="32">
        <f>IF(OR($C763="",$A763="",$S763=""),"",$C763&amp;"|"&amp;$A763&amp;"|"&amp;$S763)</f>
        <v/>
      </c>
      <c r="W763" s="32">
        <f>IF(OR($C763="",$S763="",$S763=1),"",IFERROR(INDEX($Q$6:$Q$1505,MATCH($C763&amp;"|"&amp;$A763&amp;"|"&amp;($S763-1),$V$6:$V$1505,0)),""))</f>
        <v/>
      </c>
      <c r="X763" s="32">
        <f>IF(OR($W763="",$Q763="",LEFT($Q763,1)="—"),"",IF($W763=$Q763,"ללא שינוי","מ-"&amp;$W763&amp;" ל-"&amp;$Q763))</f>
        <v/>
      </c>
    </row>
    <row r="764" ht="15.75" customHeight="1" s="58">
      <c r="A764" s="65" t="n"/>
      <c r="B764" s="65" t="n"/>
      <c r="C764" s="66" t="n"/>
      <c r="D764" s="66" t="n"/>
      <c r="E764" s="65" t="n"/>
      <c r="F764" s="65" t="n"/>
      <c r="G764" s="65" t="n"/>
      <c r="H764" s="65" t="n"/>
      <c r="I764" s="65" t="n"/>
      <c r="J764" s="65" t="n"/>
      <c r="K764" s="65" t="n"/>
      <c r="L764" s="65" t="n"/>
      <c r="M764" s="65" t="n"/>
      <c r="N764" s="65" t="n"/>
      <c r="O764" s="65" t="n"/>
      <c r="P764" s="65" t="n"/>
      <c r="Q764" s="32">
        <f>IF($C764="","",IF($J764="","— חסרים נתונים",IF($J764="טרם מפענח","פרופיל 5",IF($J764="קמץ/פתח/חטף-פתח ושוואים","פרופיל 4",IF($J764="2-3 סימני ניקוד","פרופיל 3",IF($J764="4-5 סימני ניקוד","פרופיל 2",IF(AND($O764="משפטים וקטעים קצרים",OR($M764="מבין",$M764="מבין לרוב")),"פרופיל 1","פרופיל 2")))))))</f>
        <v/>
      </c>
      <c r="R764" s="32">
        <f>IF($C764="","",IF(OR($Q764="",LEFT($Q764,1)="—"),"קבוצה רביעית",IF($Q764="פרופיל 5","קבוצת תשתיות",IF(OR($Q764="פרופיל 4",$Q764="פרופיל 3"),"קבוצת רכישה","קבוצת ביסוס"))))</f>
        <v/>
      </c>
      <c r="S764" s="32">
        <f>IF($F764="","",IF($F764="תחילת שנה",1,IF($F764="מחצית שנה",2,3)))</f>
        <v/>
      </c>
      <c r="T764" s="32">
        <f>IF(OR($B764="",$R764="",$A764="",$F764=""),"",$B764&amp;"|"&amp;$A764&amp;"|"&amp;$F764&amp;"|"&amp;$R764&amp;"|"&amp;COUNTIFS($B$6:$B764,$B764,$A$6:$A764,$A764,$F$6:$F764,$F764,$R$6:$R764,$R764))</f>
        <v/>
      </c>
      <c r="U764" s="32">
        <f>IF($C764="","",$C764&amp;"|"&amp;COUNTIFS($C$6:$C764,$C764))</f>
        <v/>
      </c>
      <c r="V764" s="32">
        <f>IF(OR($C764="",$A764="",$S764=""),"",$C764&amp;"|"&amp;$A764&amp;"|"&amp;$S764)</f>
        <v/>
      </c>
      <c r="W764" s="32">
        <f>IF(OR($C764="",$S764="",$S764=1),"",IFERROR(INDEX($Q$6:$Q$1505,MATCH($C764&amp;"|"&amp;$A764&amp;"|"&amp;($S764-1),$V$6:$V$1505,0)),""))</f>
        <v/>
      </c>
      <c r="X764" s="32">
        <f>IF(OR($W764="",$Q764="",LEFT($Q764,1)="—"),"",IF($W764=$Q764,"ללא שינוי","מ-"&amp;$W764&amp;" ל-"&amp;$Q764))</f>
        <v/>
      </c>
    </row>
    <row r="765" ht="15.75" customHeight="1" s="58">
      <c r="A765" s="65" t="n"/>
      <c r="B765" s="65" t="n"/>
      <c r="C765" s="66" t="n"/>
      <c r="D765" s="66" t="n"/>
      <c r="E765" s="65" t="n"/>
      <c r="F765" s="65" t="n"/>
      <c r="G765" s="65" t="n"/>
      <c r="H765" s="65" t="n"/>
      <c r="I765" s="65" t="n"/>
      <c r="J765" s="65" t="n"/>
      <c r="K765" s="65" t="n"/>
      <c r="L765" s="65" t="n"/>
      <c r="M765" s="65" t="n"/>
      <c r="N765" s="65" t="n"/>
      <c r="O765" s="65" t="n"/>
      <c r="P765" s="65" t="n"/>
      <c r="Q765" s="32">
        <f>IF($C765="","",IF($J765="","— חסרים נתונים",IF($J765="טרם מפענח","פרופיל 5",IF($J765="קמץ/פתח/חטף-פתח ושוואים","פרופיל 4",IF($J765="2-3 סימני ניקוד","פרופיל 3",IF($J765="4-5 סימני ניקוד","פרופיל 2",IF(AND($O765="משפטים וקטעים קצרים",OR($M765="מבין",$M765="מבין לרוב")),"פרופיל 1","פרופיל 2")))))))</f>
        <v/>
      </c>
      <c r="R765" s="32">
        <f>IF($C765="","",IF(OR($Q765="",LEFT($Q765,1)="—"),"קבוצה רביעית",IF($Q765="פרופיל 5","קבוצת תשתיות",IF(OR($Q765="פרופיל 4",$Q765="פרופיל 3"),"קבוצת רכישה","קבוצת ביסוס"))))</f>
        <v/>
      </c>
      <c r="S765" s="32">
        <f>IF($F765="","",IF($F765="תחילת שנה",1,IF($F765="מחצית שנה",2,3)))</f>
        <v/>
      </c>
      <c r="T765" s="32">
        <f>IF(OR($B765="",$R765="",$A765="",$F765=""),"",$B765&amp;"|"&amp;$A765&amp;"|"&amp;$F765&amp;"|"&amp;$R765&amp;"|"&amp;COUNTIFS($B$6:$B765,$B765,$A$6:$A765,$A765,$F$6:$F765,$F765,$R$6:$R765,$R765))</f>
        <v/>
      </c>
      <c r="U765" s="32">
        <f>IF($C765="","",$C765&amp;"|"&amp;COUNTIFS($C$6:$C765,$C765))</f>
        <v/>
      </c>
      <c r="V765" s="32">
        <f>IF(OR($C765="",$A765="",$S765=""),"",$C765&amp;"|"&amp;$A765&amp;"|"&amp;$S765)</f>
        <v/>
      </c>
      <c r="W765" s="32">
        <f>IF(OR($C765="",$S765="",$S765=1),"",IFERROR(INDEX($Q$6:$Q$1505,MATCH($C765&amp;"|"&amp;$A765&amp;"|"&amp;($S765-1),$V$6:$V$1505,0)),""))</f>
        <v/>
      </c>
      <c r="X765" s="32">
        <f>IF(OR($W765="",$Q765="",LEFT($Q765,1)="—"),"",IF($W765=$Q765,"ללא שינוי","מ-"&amp;$W765&amp;" ל-"&amp;$Q765))</f>
        <v/>
      </c>
    </row>
    <row r="766" ht="15.75" customHeight="1" s="58">
      <c r="A766" s="65" t="n"/>
      <c r="B766" s="65" t="n"/>
      <c r="C766" s="66" t="n"/>
      <c r="D766" s="66" t="n"/>
      <c r="E766" s="65" t="n"/>
      <c r="F766" s="65" t="n"/>
      <c r="G766" s="65" t="n"/>
      <c r="H766" s="65" t="n"/>
      <c r="I766" s="65" t="n"/>
      <c r="J766" s="65" t="n"/>
      <c r="K766" s="65" t="n"/>
      <c r="L766" s="65" t="n"/>
      <c r="M766" s="65" t="n"/>
      <c r="N766" s="65" t="n"/>
      <c r="O766" s="65" t="n"/>
      <c r="P766" s="65" t="n"/>
      <c r="Q766" s="32">
        <f>IF($C766="","",IF($J766="","— חסרים נתונים",IF($J766="טרם מפענח","פרופיל 5",IF($J766="קמץ/פתח/חטף-פתח ושוואים","פרופיל 4",IF($J766="2-3 סימני ניקוד","פרופיל 3",IF($J766="4-5 סימני ניקוד","פרופיל 2",IF(AND($O766="משפטים וקטעים קצרים",OR($M766="מבין",$M766="מבין לרוב")),"פרופיל 1","פרופיל 2")))))))</f>
        <v/>
      </c>
      <c r="R766" s="32">
        <f>IF($C766="","",IF(OR($Q766="",LEFT($Q766,1)="—"),"קבוצה רביעית",IF($Q766="פרופיל 5","קבוצת תשתיות",IF(OR($Q766="פרופיל 4",$Q766="פרופיל 3"),"קבוצת רכישה","קבוצת ביסוס"))))</f>
        <v/>
      </c>
      <c r="S766" s="32">
        <f>IF($F766="","",IF($F766="תחילת שנה",1,IF($F766="מחצית שנה",2,3)))</f>
        <v/>
      </c>
      <c r="T766" s="32">
        <f>IF(OR($B766="",$R766="",$A766="",$F766=""),"",$B766&amp;"|"&amp;$A766&amp;"|"&amp;$F766&amp;"|"&amp;$R766&amp;"|"&amp;COUNTIFS($B$6:$B766,$B766,$A$6:$A766,$A766,$F$6:$F766,$F766,$R$6:$R766,$R766))</f>
        <v/>
      </c>
      <c r="U766" s="32">
        <f>IF($C766="","",$C766&amp;"|"&amp;COUNTIFS($C$6:$C766,$C766))</f>
        <v/>
      </c>
      <c r="V766" s="32">
        <f>IF(OR($C766="",$A766="",$S766=""),"",$C766&amp;"|"&amp;$A766&amp;"|"&amp;$S766)</f>
        <v/>
      </c>
      <c r="W766" s="32">
        <f>IF(OR($C766="",$S766="",$S766=1),"",IFERROR(INDEX($Q$6:$Q$1505,MATCH($C766&amp;"|"&amp;$A766&amp;"|"&amp;($S766-1),$V$6:$V$1505,0)),""))</f>
        <v/>
      </c>
      <c r="X766" s="32">
        <f>IF(OR($W766="",$Q766="",LEFT($Q766,1)="—"),"",IF($W766=$Q766,"ללא שינוי","מ-"&amp;$W766&amp;" ל-"&amp;$Q766))</f>
        <v/>
      </c>
    </row>
    <row r="767" ht="15.75" customHeight="1" s="58">
      <c r="A767" s="65" t="n"/>
      <c r="B767" s="65" t="n"/>
      <c r="C767" s="66" t="n"/>
      <c r="D767" s="66" t="n"/>
      <c r="E767" s="65" t="n"/>
      <c r="F767" s="65" t="n"/>
      <c r="G767" s="65" t="n"/>
      <c r="H767" s="65" t="n"/>
      <c r="I767" s="65" t="n"/>
      <c r="J767" s="65" t="n"/>
      <c r="K767" s="65" t="n"/>
      <c r="L767" s="65" t="n"/>
      <c r="M767" s="65" t="n"/>
      <c r="N767" s="65" t="n"/>
      <c r="O767" s="65" t="n"/>
      <c r="P767" s="65" t="n"/>
      <c r="Q767" s="32">
        <f>IF($C767="","",IF($J767="","— חסרים נתונים",IF($J767="טרם מפענח","פרופיל 5",IF($J767="קמץ/פתח/חטף-פתח ושוואים","פרופיל 4",IF($J767="2-3 סימני ניקוד","פרופיל 3",IF($J767="4-5 סימני ניקוד","פרופיל 2",IF(AND($O767="משפטים וקטעים קצרים",OR($M767="מבין",$M767="מבין לרוב")),"פרופיל 1","פרופיל 2")))))))</f>
        <v/>
      </c>
      <c r="R767" s="32">
        <f>IF($C767="","",IF(OR($Q767="",LEFT($Q767,1)="—"),"קבוצה רביעית",IF($Q767="פרופיל 5","קבוצת תשתיות",IF(OR($Q767="פרופיל 4",$Q767="פרופיל 3"),"קבוצת רכישה","קבוצת ביסוס"))))</f>
        <v/>
      </c>
      <c r="S767" s="32">
        <f>IF($F767="","",IF($F767="תחילת שנה",1,IF($F767="מחצית שנה",2,3)))</f>
        <v/>
      </c>
      <c r="T767" s="32">
        <f>IF(OR($B767="",$R767="",$A767="",$F767=""),"",$B767&amp;"|"&amp;$A767&amp;"|"&amp;$F767&amp;"|"&amp;$R767&amp;"|"&amp;COUNTIFS($B$6:$B767,$B767,$A$6:$A767,$A767,$F$6:$F767,$F767,$R$6:$R767,$R767))</f>
        <v/>
      </c>
      <c r="U767" s="32">
        <f>IF($C767="","",$C767&amp;"|"&amp;COUNTIFS($C$6:$C767,$C767))</f>
        <v/>
      </c>
      <c r="V767" s="32">
        <f>IF(OR($C767="",$A767="",$S767=""),"",$C767&amp;"|"&amp;$A767&amp;"|"&amp;$S767)</f>
        <v/>
      </c>
      <c r="W767" s="32">
        <f>IF(OR($C767="",$S767="",$S767=1),"",IFERROR(INDEX($Q$6:$Q$1505,MATCH($C767&amp;"|"&amp;$A767&amp;"|"&amp;($S767-1),$V$6:$V$1505,0)),""))</f>
        <v/>
      </c>
      <c r="X767" s="32">
        <f>IF(OR($W767="",$Q767="",LEFT($Q767,1)="—"),"",IF($W767=$Q767,"ללא שינוי","מ-"&amp;$W767&amp;" ל-"&amp;$Q767))</f>
        <v/>
      </c>
    </row>
    <row r="768" ht="15.75" customHeight="1" s="58">
      <c r="A768" s="65" t="n"/>
      <c r="B768" s="65" t="n"/>
      <c r="C768" s="66" t="n"/>
      <c r="D768" s="66" t="n"/>
      <c r="E768" s="65" t="n"/>
      <c r="F768" s="65" t="n"/>
      <c r="G768" s="65" t="n"/>
      <c r="H768" s="65" t="n"/>
      <c r="I768" s="65" t="n"/>
      <c r="J768" s="65" t="n"/>
      <c r="K768" s="65" t="n"/>
      <c r="L768" s="65" t="n"/>
      <c r="M768" s="65" t="n"/>
      <c r="N768" s="65" t="n"/>
      <c r="O768" s="65" t="n"/>
      <c r="P768" s="65" t="n"/>
      <c r="Q768" s="32">
        <f>IF($C768="","",IF($J768="","— חסרים נתונים",IF($J768="טרם מפענח","פרופיל 5",IF($J768="קמץ/פתח/חטף-פתח ושוואים","פרופיל 4",IF($J768="2-3 סימני ניקוד","פרופיל 3",IF($J768="4-5 סימני ניקוד","פרופיל 2",IF(AND($O768="משפטים וקטעים קצרים",OR($M768="מבין",$M768="מבין לרוב")),"פרופיל 1","פרופיל 2")))))))</f>
        <v/>
      </c>
      <c r="R768" s="32">
        <f>IF($C768="","",IF(OR($Q768="",LEFT($Q768,1)="—"),"קבוצה רביעית",IF($Q768="פרופיל 5","קבוצת תשתיות",IF(OR($Q768="פרופיל 4",$Q768="פרופיל 3"),"קבוצת רכישה","קבוצת ביסוס"))))</f>
        <v/>
      </c>
      <c r="S768" s="32">
        <f>IF($F768="","",IF($F768="תחילת שנה",1,IF($F768="מחצית שנה",2,3)))</f>
        <v/>
      </c>
      <c r="T768" s="32">
        <f>IF(OR($B768="",$R768="",$A768="",$F768=""),"",$B768&amp;"|"&amp;$A768&amp;"|"&amp;$F768&amp;"|"&amp;$R768&amp;"|"&amp;COUNTIFS($B$6:$B768,$B768,$A$6:$A768,$A768,$F$6:$F768,$F768,$R$6:$R768,$R768))</f>
        <v/>
      </c>
      <c r="U768" s="32">
        <f>IF($C768="","",$C768&amp;"|"&amp;COUNTIFS($C$6:$C768,$C768))</f>
        <v/>
      </c>
      <c r="V768" s="32">
        <f>IF(OR($C768="",$A768="",$S768=""),"",$C768&amp;"|"&amp;$A768&amp;"|"&amp;$S768)</f>
        <v/>
      </c>
      <c r="W768" s="32">
        <f>IF(OR($C768="",$S768="",$S768=1),"",IFERROR(INDEX($Q$6:$Q$1505,MATCH($C768&amp;"|"&amp;$A768&amp;"|"&amp;($S768-1),$V$6:$V$1505,0)),""))</f>
        <v/>
      </c>
      <c r="X768" s="32">
        <f>IF(OR($W768="",$Q768="",LEFT($Q768,1)="—"),"",IF($W768=$Q768,"ללא שינוי","מ-"&amp;$W768&amp;" ל-"&amp;$Q768))</f>
        <v/>
      </c>
    </row>
    <row r="769" ht="15.75" customHeight="1" s="58">
      <c r="A769" s="65" t="n"/>
      <c r="B769" s="65" t="n"/>
      <c r="C769" s="66" t="n"/>
      <c r="D769" s="66" t="n"/>
      <c r="E769" s="65" t="n"/>
      <c r="F769" s="65" t="n"/>
      <c r="G769" s="65" t="n"/>
      <c r="H769" s="65" t="n"/>
      <c r="I769" s="65" t="n"/>
      <c r="J769" s="65" t="n"/>
      <c r="K769" s="65" t="n"/>
      <c r="L769" s="65" t="n"/>
      <c r="M769" s="65" t="n"/>
      <c r="N769" s="65" t="n"/>
      <c r="O769" s="65" t="n"/>
      <c r="P769" s="65" t="n"/>
      <c r="Q769" s="32">
        <f>IF($C769="","",IF($J769="","— חסרים נתונים",IF($J769="טרם מפענח","פרופיל 5",IF($J769="קמץ/פתח/חטף-פתח ושוואים","פרופיל 4",IF($J769="2-3 סימני ניקוד","פרופיל 3",IF($J769="4-5 סימני ניקוד","פרופיל 2",IF(AND($O769="משפטים וקטעים קצרים",OR($M769="מבין",$M769="מבין לרוב")),"פרופיל 1","פרופיל 2")))))))</f>
        <v/>
      </c>
      <c r="R769" s="32">
        <f>IF($C769="","",IF(OR($Q769="",LEFT($Q769,1)="—"),"קבוצה רביעית",IF($Q769="פרופיל 5","קבוצת תשתיות",IF(OR($Q769="פרופיל 4",$Q769="פרופיל 3"),"קבוצת רכישה","קבוצת ביסוס"))))</f>
        <v/>
      </c>
      <c r="S769" s="32">
        <f>IF($F769="","",IF($F769="תחילת שנה",1,IF($F769="מחצית שנה",2,3)))</f>
        <v/>
      </c>
      <c r="T769" s="32">
        <f>IF(OR($B769="",$R769="",$A769="",$F769=""),"",$B769&amp;"|"&amp;$A769&amp;"|"&amp;$F769&amp;"|"&amp;$R769&amp;"|"&amp;COUNTIFS($B$6:$B769,$B769,$A$6:$A769,$A769,$F$6:$F769,$F769,$R$6:$R769,$R769))</f>
        <v/>
      </c>
      <c r="U769" s="32">
        <f>IF($C769="","",$C769&amp;"|"&amp;COUNTIFS($C$6:$C769,$C769))</f>
        <v/>
      </c>
      <c r="V769" s="32">
        <f>IF(OR($C769="",$A769="",$S769=""),"",$C769&amp;"|"&amp;$A769&amp;"|"&amp;$S769)</f>
        <v/>
      </c>
      <c r="W769" s="32">
        <f>IF(OR($C769="",$S769="",$S769=1),"",IFERROR(INDEX($Q$6:$Q$1505,MATCH($C769&amp;"|"&amp;$A769&amp;"|"&amp;($S769-1),$V$6:$V$1505,0)),""))</f>
        <v/>
      </c>
      <c r="X769" s="32">
        <f>IF(OR($W769="",$Q769="",LEFT($Q769,1)="—"),"",IF($W769=$Q769,"ללא שינוי","מ-"&amp;$W769&amp;" ל-"&amp;$Q769))</f>
        <v/>
      </c>
    </row>
    <row r="770" ht="15.75" customHeight="1" s="58">
      <c r="A770" s="65" t="n"/>
      <c r="B770" s="65" t="n"/>
      <c r="C770" s="66" t="n"/>
      <c r="D770" s="66" t="n"/>
      <c r="E770" s="65" t="n"/>
      <c r="F770" s="65" t="n"/>
      <c r="G770" s="65" t="n"/>
      <c r="H770" s="65" t="n"/>
      <c r="I770" s="65" t="n"/>
      <c r="J770" s="65" t="n"/>
      <c r="K770" s="65" t="n"/>
      <c r="L770" s="65" t="n"/>
      <c r="M770" s="65" t="n"/>
      <c r="N770" s="65" t="n"/>
      <c r="O770" s="65" t="n"/>
      <c r="P770" s="65" t="n"/>
      <c r="Q770" s="32">
        <f>IF($C770="","",IF($J770="","— חסרים נתונים",IF($J770="טרם מפענח","פרופיל 5",IF($J770="קמץ/פתח/חטף-פתח ושוואים","פרופיל 4",IF($J770="2-3 סימני ניקוד","פרופיל 3",IF($J770="4-5 סימני ניקוד","פרופיל 2",IF(AND($O770="משפטים וקטעים קצרים",OR($M770="מבין",$M770="מבין לרוב")),"פרופיל 1","פרופיל 2")))))))</f>
        <v/>
      </c>
      <c r="R770" s="32">
        <f>IF($C770="","",IF(OR($Q770="",LEFT($Q770,1)="—"),"קבוצה רביעית",IF($Q770="פרופיל 5","קבוצת תשתיות",IF(OR($Q770="פרופיל 4",$Q770="פרופיל 3"),"קבוצת רכישה","קבוצת ביסוס"))))</f>
        <v/>
      </c>
      <c r="S770" s="32">
        <f>IF($F770="","",IF($F770="תחילת שנה",1,IF($F770="מחצית שנה",2,3)))</f>
        <v/>
      </c>
      <c r="T770" s="32">
        <f>IF(OR($B770="",$R770="",$A770="",$F770=""),"",$B770&amp;"|"&amp;$A770&amp;"|"&amp;$F770&amp;"|"&amp;$R770&amp;"|"&amp;COUNTIFS($B$6:$B770,$B770,$A$6:$A770,$A770,$F$6:$F770,$F770,$R$6:$R770,$R770))</f>
        <v/>
      </c>
      <c r="U770" s="32">
        <f>IF($C770="","",$C770&amp;"|"&amp;COUNTIFS($C$6:$C770,$C770))</f>
        <v/>
      </c>
      <c r="V770" s="32">
        <f>IF(OR($C770="",$A770="",$S770=""),"",$C770&amp;"|"&amp;$A770&amp;"|"&amp;$S770)</f>
        <v/>
      </c>
      <c r="W770" s="32">
        <f>IF(OR($C770="",$S770="",$S770=1),"",IFERROR(INDEX($Q$6:$Q$1505,MATCH($C770&amp;"|"&amp;$A770&amp;"|"&amp;($S770-1),$V$6:$V$1505,0)),""))</f>
        <v/>
      </c>
      <c r="X770" s="32">
        <f>IF(OR($W770="",$Q770="",LEFT($Q770,1)="—"),"",IF($W770=$Q770,"ללא שינוי","מ-"&amp;$W770&amp;" ל-"&amp;$Q770))</f>
        <v/>
      </c>
    </row>
    <row r="771" ht="15.75" customHeight="1" s="58">
      <c r="A771" s="65" t="n"/>
      <c r="B771" s="65" t="n"/>
      <c r="C771" s="66" t="n"/>
      <c r="D771" s="66" t="n"/>
      <c r="E771" s="65" t="n"/>
      <c r="F771" s="65" t="n"/>
      <c r="G771" s="65" t="n"/>
      <c r="H771" s="65" t="n"/>
      <c r="I771" s="65" t="n"/>
      <c r="J771" s="65" t="n"/>
      <c r="K771" s="65" t="n"/>
      <c r="L771" s="65" t="n"/>
      <c r="M771" s="65" t="n"/>
      <c r="N771" s="65" t="n"/>
      <c r="O771" s="65" t="n"/>
      <c r="P771" s="65" t="n"/>
      <c r="Q771" s="32">
        <f>IF($C771="","",IF($J771="","— חסרים נתונים",IF($J771="טרם מפענח","פרופיל 5",IF($J771="קמץ/פתח/חטף-פתח ושוואים","פרופיל 4",IF($J771="2-3 סימני ניקוד","פרופיל 3",IF($J771="4-5 סימני ניקוד","פרופיל 2",IF(AND($O771="משפטים וקטעים קצרים",OR($M771="מבין",$M771="מבין לרוב")),"פרופיל 1","פרופיל 2")))))))</f>
        <v/>
      </c>
      <c r="R771" s="32">
        <f>IF($C771="","",IF(OR($Q771="",LEFT($Q771,1)="—"),"קבוצה רביעית",IF($Q771="פרופיל 5","קבוצת תשתיות",IF(OR($Q771="פרופיל 4",$Q771="פרופיל 3"),"קבוצת רכישה","קבוצת ביסוס"))))</f>
        <v/>
      </c>
      <c r="S771" s="32">
        <f>IF($F771="","",IF($F771="תחילת שנה",1,IF($F771="מחצית שנה",2,3)))</f>
        <v/>
      </c>
      <c r="T771" s="32">
        <f>IF(OR($B771="",$R771="",$A771="",$F771=""),"",$B771&amp;"|"&amp;$A771&amp;"|"&amp;$F771&amp;"|"&amp;$R771&amp;"|"&amp;COUNTIFS($B$6:$B771,$B771,$A$6:$A771,$A771,$F$6:$F771,$F771,$R$6:$R771,$R771))</f>
        <v/>
      </c>
      <c r="U771" s="32">
        <f>IF($C771="","",$C771&amp;"|"&amp;COUNTIFS($C$6:$C771,$C771))</f>
        <v/>
      </c>
      <c r="V771" s="32">
        <f>IF(OR($C771="",$A771="",$S771=""),"",$C771&amp;"|"&amp;$A771&amp;"|"&amp;$S771)</f>
        <v/>
      </c>
      <c r="W771" s="32">
        <f>IF(OR($C771="",$S771="",$S771=1),"",IFERROR(INDEX($Q$6:$Q$1505,MATCH($C771&amp;"|"&amp;$A771&amp;"|"&amp;($S771-1),$V$6:$V$1505,0)),""))</f>
        <v/>
      </c>
      <c r="X771" s="32">
        <f>IF(OR($W771="",$Q771="",LEFT($Q771,1)="—"),"",IF($W771=$Q771,"ללא שינוי","מ-"&amp;$W771&amp;" ל-"&amp;$Q771))</f>
        <v/>
      </c>
    </row>
    <row r="772" ht="15.75" customHeight="1" s="58">
      <c r="A772" s="65" t="n"/>
      <c r="B772" s="65" t="n"/>
      <c r="C772" s="66" t="n"/>
      <c r="D772" s="66" t="n"/>
      <c r="E772" s="65" t="n"/>
      <c r="F772" s="65" t="n"/>
      <c r="G772" s="65" t="n"/>
      <c r="H772" s="65" t="n"/>
      <c r="I772" s="65" t="n"/>
      <c r="J772" s="65" t="n"/>
      <c r="K772" s="65" t="n"/>
      <c r="L772" s="65" t="n"/>
      <c r="M772" s="65" t="n"/>
      <c r="N772" s="65" t="n"/>
      <c r="O772" s="65" t="n"/>
      <c r="P772" s="65" t="n"/>
      <c r="Q772" s="32">
        <f>IF($C772="","",IF($J772="","— חסרים נתונים",IF($J772="טרם מפענח","פרופיל 5",IF($J772="קמץ/פתח/חטף-פתח ושוואים","פרופיל 4",IF($J772="2-3 סימני ניקוד","פרופיל 3",IF($J772="4-5 סימני ניקוד","פרופיל 2",IF(AND($O772="משפטים וקטעים קצרים",OR($M772="מבין",$M772="מבין לרוב")),"פרופיל 1","פרופיל 2")))))))</f>
        <v/>
      </c>
      <c r="R772" s="32">
        <f>IF($C772="","",IF(OR($Q772="",LEFT($Q772,1)="—"),"קבוצה רביעית",IF($Q772="פרופיל 5","קבוצת תשתיות",IF(OR($Q772="פרופיל 4",$Q772="פרופיל 3"),"קבוצת רכישה","קבוצת ביסוס"))))</f>
        <v/>
      </c>
      <c r="S772" s="32">
        <f>IF($F772="","",IF($F772="תחילת שנה",1,IF($F772="מחצית שנה",2,3)))</f>
        <v/>
      </c>
      <c r="T772" s="32">
        <f>IF(OR($B772="",$R772="",$A772="",$F772=""),"",$B772&amp;"|"&amp;$A772&amp;"|"&amp;$F772&amp;"|"&amp;$R772&amp;"|"&amp;COUNTIFS($B$6:$B772,$B772,$A$6:$A772,$A772,$F$6:$F772,$F772,$R$6:$R772,$R772))</f>
        <v/>
      </c>
      <c r="U772" s="32">
        <f>IF($C772="","",$C772&amp;"|"&amp;COUNTIFS($C$6:$C772,$C772))</f>
        <v/>
      </c>
      <c r="V772" s="32">
        <f>IF(OR($C772="",$A772="",$S772=""),"",$C772&amp;"|"&amp;$A772&amp;"|"&amp;$S772)</f>
        <v/>
      </c>
      <c r="W772" s="32">
        <f>IF(OR($C772="",$S772="",$S772=1),"",IFERROR(INDEX($Q$6:$Q$1505,MATCH($C772&amp;"|"&amp;$A772&amp;"|"&amp;($S772-1),$V$6:$V$1505,0)),""))</f>
        <v/>
      </c>
      <c r="X772" s="32">
        <f>IF(OR($W772="",$Q772="",LEFT($Q772,1)="—"),"",IF($W772=$Q772,"ללא שינוי","מ-"&amp;$W772&amp;" ל-"&amp;$Q772))</f>
        <v/>
      </c>
    </row>
    <row r="773" ht="15.75" customHeight="1" s="58">
      <c r="A773" s="65" t="n"/>
      <c r="B773" s="65" t="n"/>
      <c r="C773" s="66" t="n"/>
      <c r="D773" s="66" t="n"/>
      <c r="E773" s="65" t="n"/>
      <c r="F773" s="65" t="n"/>
      <c r="G773" s="65" t="n"/>
      <c r="H773" s="65" t="n"/>
      <c r="I773" s="65" t="n"/>
      <c r="J773" s="65" t="n"/>
      <c r="K773" s="65" t="n"/>
      <c r="L773" s="65" t="n"/>
      <c r="M773" s="65" t="n"/>
      <c r="N773" s="65" t="n"/>
      <c r="O773" s="65" t="n"/>
      <c r="P773" s="65" t="n"/>
      <c r="Q773" s="32">
        <f>IF($C773="","",IF($J773="","— חסרים נתונים",IF($J773="טרם מפענח","פרופיל 5",IF($J773="קמץ/פתח/חטף-פתח ושוואים","פרופיל 4",IF($J773="2-3 סימני ניקוד","פרופיל 3",IF($J773="4-5 סימני ניקוד","פרופיל 2",IF(AND($O773="משפטים וקטעים קצרים",OR($M773="מבין",$M773="מבין לרוב")),"פרופיל 1","פרופיל 2")))))))</f>
        <v/>
      </c>
      <c r="R773" s="32">
        <f>IF($C773="","",IF(OR($Q773="",LEFT($Q773,1)="—"),"קבוצה רביעית",IF($Q773="פרופיל 5","קבוצת תשתיות",IF(OR($Q773="פרופיל 4",$Q773="פרופיל 3"),"קבוצת רכישה","קבוצת ביסוס"))))</f>
        <v/>
      </c>
      <c r="S773" s="32">
        <f>IF($F773="","",IF($F773="תחילת שנה",1,IF($F773="מחצית שנה",2,3)))</f>
        <v/>
      </c>
      <c r="T773" s="32">
        <f>IF(OR($B773="",$R773="",$A773="",$F773=""),"",$B773&amp;"|"&amp;$A773&amp;"|"&amp;$F773&amp;"|"&amp;$R773&amp;"|"&amp;COUNTIFS($B$6:$B773,$B773,$A$6:$A773,$A773,$F$6:$F773,$F773,$R$6:$R773,$R773))</f>
        <v/>
      </c>
      <c r="U773" s="32">
        <f>IF($C773="","",$C773&amp;"|"&amp;COUNTIFS($C$6:$C773,$C773))</f>
        <v/>
      </c>
      <c r="V773" s="32">
        <f>IF(OR($C773="",$A773="",$S773=""),"",$C773&amp;"|"&amp;$A773&amp;"|"&amp;$S773)</f>
        <v/>
      </c>
      <c r="W773" s="32">
        <f>IF(OR($C773="",$S773="",$S773=1),"",IFERROR(INDEX($Q$6:$Q$1505,MATCH($C773&amp;"|"&amp;$A773&amp;"|"&amp;($S773-1),$V$6:$V$1505,0)),""))</f>
        <v/>
      </c>
      <c r="X773" s="32">
        <f>IF(OR($W773="",$Q773="",LEFT($Q773,1)="—"),"",IF($W773=$Q773,"ללא שינוי","מ-"&amp;$W773&amp;" ל-"&amp;$Q773))</f>
        <v/>
      </c>
    </row>
    <row r="774" ht="15.75" customHeight="1" s="58">
      <c r="A774" s="65" t="n"/>
      <c r="B774" s="65" t="n"/>
      <c r="C774" s="66" t="n"/>
      <c r="D774" s="66" t="n"/>
      <c r="E774" s="65" t="n"/>
      <c r="F774" s="65" t="n"/>
      <c r="G774" s="65" t="n"/>
      <c r="H774" s="65" t="n"/>
      <c r="I774" s="65" t="n"/>
      <c r="J774" s="65" t="n"/>
      <c r="K774" s="65" t="n"/>
      <c r="L774" s="65" t="n"/>
      <c r="M774" s="65" t="n"/>
      <c r="N774" s="65" t="n"/>
      <c r="O774" s="65" t="n"/>
      <c r="P774" s="65" t="n"/>
      <c r="Q774" s="32">
        <f>IF($C774="","",IF($J774="","— חסרים נתונים",IF($J774="טרם מפענח","פרופיל 5",IF($J774="קמץ/פתח/חטף-פתח ושוואים","פרופיל 4",IF($J774="2-3 סימני ניקוד","פרופיל 3",IF($J774="4-5 סימני ניקוד","פרופיל 2",IF(AND($O774="משפטים וקטעים קצרים",OR($M774="מבין",$M774="מבין לרוב")),"פרופיל 1","פרופיל 2")))))))</f>
        <v/>
      </c>
      <c r="R774" s="32">
        <f>IF($C774="","",IF(OR($Q774="",LEFT($Q774,1)="—"),"קבוצה רביעית",IF($Q774="פרופיל 5","קבוצת תשתיות",IF(OR($Q774="פרופיל 4",$Q774="פרופיל 3"),"קבוצת רכישה","קבוצת ביסוס"))))</f>
        <v/>
      </c>
      <c r="S774" s="32">
        <f>IF($F774="","",IF($F774="תחילת שנה",1,IF($F774="מחצית שנה",2,3)))</f>
        <v/>
      </c>
      <c r="T774" s="32">
        <f>IF(OR($B774="",$R774="",$A774="",$F774=""),"",$B774&amp;"|"&amp;$A774&amp;"|"&amp;$F774&amp;"|"&amp;$R774&amp;"|"&amp;COUNTIFS($B$6:$B774,$B774,$A$6:$A774,$A774,$F$6:$F774,$F774,$R$6:$R774,$R774))</f>
        <v/>
      </c>
      <c r="U774" s="32">
        <f>IF($C774="","",$C774&amp;"|"&amp;COUNTIFS($C$6:$C774,$C774))</f>
        <v/>
      </c>
      <c r="V774" s="32">
        <f>IF(OR($C774="",$A774="",$S774=""),"",$C774&amp;"|"&amp;$A774&amp;"|"&amp;$S774)</f>
        <v/>
      </c>
      <c r="W774" s="32">
        <f>IF(OR($C774="",$S774="",$S774=1),"",IFERROR(INDEX($Q$6:$Q$1505,MATCH($C774&amp;"|"&amp;$A774&amp;"|"&amp;($S774-1),$V$6:$V$1505,0)),""))</f>
        <v/>
      </c>
      <c r="X774" s="32">
        <f>IF(OR($W774="",$Q774="",LEFT($Q774,1)="—"),"",IF($W774=$Q774,"ללא שינוי","מ-"&amp;$W774&amp;" ל-"&amp;$Q774))</f>
        <v/>
      </c>
    </row>
    <row r="775" ht="15.75" customHeight="1" s="58">
      <c r="A775" s="65" t="n"/>
      <c r="B775" s="65" t="n"/>
      <c r="C775" s="66" t="n"/>
      <c r="D775" s="66" t="n"/>
      <c r="E775" s="65" t="n"/>
      <c r="F775" s="65" t="n"/>
      <c r="G775" s="65" t="n"/>
      <c r="H775" s="65" t="n"/>
      <c r="I775" s="65" t="n"/>
      <c r="J775" s="65" t="n"/>
      <c r="K775" s="65" t="n"/>
      <c r="L775" s="65" t="n"/>
      <c r="M775" s="65" t="n"/>
      <c r="N775" s="65" t="n"/>
      <c r="O775" s="65" t="n"/>
      <c r="P775" s="65" t="n"/>
      <c r="Q775" s="32">
        <f>IF($C775="","",IF($J775="","— חסרים נתונים",IF($J775="טרם מפענח","פרופיל 5",IF($J775="קמץ/פתח/חטף-פתח ושוואים","פרופיל 4",IF($J775="2-3 סימני ניקוד","פרופיל 3",IF($J775="4-5 סימני ניקוד","פרופיל 2",IF(AND($O775="משפטים וקטעים קצרים",OR($M775="מבין",$M775="מבין לרוב")),"פרופיל 1","פרופיל 2")))))))</f>
        <v/>
      </c>
      <c r="R775" s="32">
        <f>IF($C775="","",IF(OR($Q775="",LEFT($Q775,1)="—"),"קבוצה רביעית",IF($Q775="פרופיל 5","קבוצת תשתיות",IF(OR($Q775="פרופיל 4",$Q775="פרופיל 3"),"קבוצת רכישה","קבוצת ביסוס"))))</f>
        <v/>
      </c>
      <c r="S775" s="32">
        <f>IF($F775="","",IF($F775="תחילת שנה",1,IF($F775="מחצית שנה",2,3)))</f>
        <v/>
      </c>
      <c r="T775" s="32">
        <f>IF(OR($B775="",$R775="",$A775="",$F775=""),"",$B775&amp;"|"&amp;$A775&amp;"|"&amp;$F775&amp;"|"&amp;$R775&amp;"|"&amp;COUNTIFS($B$6:$B775,$B775,$A$6:$A775,$A775,$F$6:$F775,$F775,$R$6:$R775,$R775))</f>
        <v/>
      </c>
      <c r="U775" s="32">
        <f>IF($C775="","",$C775&amp;"|"&amp;COUNTIFS($C$6:$C775,$C775))</f>
        <v/>
      </c>
      <c r="V775" s="32">
        <f>IF(OR($C775="",$A775="",$S775=""),"",$C775&amp;"|"&amp;$A775&amp;"|"&amp;$S775)</f>
        <v/>
      </c>
      <c r="W775" s="32">
        <f>IF(OR($C775="",$S775="",$S775=1),"",IFERROR(INDEX($Q$6:$Q$1505,MATCH($C775&amp;"|"&amp;$A775&amp;"|"&amp;($S775-1),$V$6:$V$1505,0)),""))</f>
        <v/>
      </c>
      <c r="X775" s="32">
        <f>IF(OR($W775="",$Q775="",LEFT($Q775,1)="—"),"",IF($W775=$Q775,"ללא שינוי","מ-"&amp;$W775&amp;" ל-"&amp;$Q775))</f>
        <v/>
      </c>
    </row>
    <row r="776" ht="15.75" customHeight="1" s="58">
      <c r="A776" s="65" t="n"/>
      <c r="B776" s="65" t="n"/>
      <c r="C776" s="66" t="n"/>
      <c r="D776" s="66" t="n"/>
      <c r="E776" s="65" t="n"/>
      <c r="F776" s="65" t="n"/>
      <c r="G776" s="65" t="n"/>
      <c r="H776" s="65" t="n"/>
      <c r="I776" s="65" t="n"/>
      <c r="J776" s="65" t="n"/>
      <c r="K776" s="65" t="n"/>
      <c r="L776" s="65" t="n"/>
      <c r="M776" s="65" t="n"/>
      <c r="N776" s="65" t="n"/>
      <c r="O776" s="65" t="n"/>
      <c r="P776" s="65" t="n"/>
      <c r="Q776" s="32">
        <f>IF($C776="","",IF($J776="","— חסרים נתונים",IF($J776="טרם מפענח","פרופיל 5",IF($J776="קמץ/פתח/חטף-פתח ושוואים","פרופיל 4",IF($J776="2-3 סימני ניקוד","פרופיל 3",IF($J776="4-5 סימני ניקוד","פרופיל 2",IF(AND($O776="משפטים וקטעים קצרים",OR($M776="מבין",$M776="מבין לרוב")),"פרופיל 1","פרופיל 2")))))))</f>
        <v/>
      </c>
      <c r="R776" s="32">
        <f>IF($C776="","",IF(OR($Q776="",LEFT($Q776,1)="—"),"קבוצה רביעית",IF($Q776="פרופיל 5","קבוצת תשתיות",IF(OR($Q776="פרופיל 4",$Q776="פרופיל 3"),"קבוצת רכישה","קבוצת ביסוס"))))</f>
        <v/>
      </c>
      <c r="S776" s="32">
        <f>IF($F776="","",IF($F776="תחילת שנה",1,IF($F776="מחצית שנה",2,3)))</f>
        <v/>
      </c>
      <c r="T776" s="32">
        <f>IF(OR($B776="",$R776="",$A776="",$F776=""),"",$B776&amp;"|"&amp;$A776&amp;"|"&amp;$F776&amp;"|"&amp;$R776&amp;"|"&amp;COUNTIFS($B$6:$B776,$B776,$A$6:$A776,$A776,$F$6:$F776,$F776,$R$6:$R776,$R776))</f>
        <v/>
      </c>
      <c r="U776" s="32">
        <f>IF($C776="","",$C776&amp;"|"&amp;COUNTIFS($C$6:$C776,$C776))</f>
        <v/>
      </c>
      <c r="V776" s="32">
        <f>IF(OR($C776="",$A776="",$S776=""),"",$C776&amp;"|"&amp;$A776&amp;"|"&amp;$S776)</f>
        <v/>
      </c>
      <c r="W776" s="32">
        <f>IF(OR($C776="",$S776="",$S776=1),"",IFERROR(INDEX($Q$6:$Q$1505,MATCH($C776&amp;"|"&amp;$A776&amp;"|"&amp;($S776-1),$V$6:$V$1505,0)),""))</f>
        <v/>
      </c>
      <c r="X776" s="32">
        <f>IF(OR($W776="",$Q776="",LEFT($Q776,1)="—"),"",IF($W776=$Q776,"ללא שינוי","מ-"&amp;$W776&amp;" ל-"&amp;$Q776))</f>
        <v/>
      </c>
    </row>
    <row r="777" ht="15.75" customHeight="1" s="58">
      <c r="A777" s="65" t="n"/>
      <c r="B777" s="65" t="n"/>
      <c r="C777" s="66" t="n"/>
      <c r="D777" s="66" t="n"/>
      <c r="E777" s="65" t="n"/>
      <c r="F777" s="65" t="n"/>
      <c r="G777" s="65" t="n"/>
      <c r="H777" s="65" t="n"/>
      <c r="I777" s="65" t="n"/>
      <c r="J777" s="65" t="n"/>
      <c r="K777" s="65" t="n"/>
      <c r="L777" s="65" t="n"/>
      <c r="M777" s="65" t="n"/>
      <c r="N777" s="65" t="n"/>
      <c r="O777" s="65" t="n"/>
      <c r="P777" s="65" t="n"/>
      <c r="Q777" s="32">
        <f>IF($C777="","",IF($J777="","— חסרים נתונים",IF($J777="טרם מפענח","פרופיל 5",IF($J777="קמץ/פתח/חטף-פתח ושוואים","פרופיל 4",IF($J777="2-3 סימני ניקוד","פרופיל 3",IF($J777="4-5 סימני ניקוד","פרופיל 2",IF(AND($O777="משפטים וקטעים קצרים",OR($M777="מבין",$M777="מבין לרוב")),"פרופיל 1","פרופיל 2")))))))</f>
        <v/>
      </c>
      <c r="R777" s="32">
        <f>IF($C777="","",IF(OR($Q777="",LEFT($Q777,1)="—"),"קבוצה רביעית",IF($Q777="פרופיל 5","קבוצת תשתיות",IF(OR($Q777="פרופיל 4",$Q777="פרופיל 3"),"קבוצת רכישה","קבוצת ביסוס"))))</f>
        <v/>
      </c>
      <c r="S777" s="32">
        <f>IF($F777="","",IF($F777="תחילת שנה",1,IF($F777="מחצית שנה",2,3)))</f>
        <v/>
      </c>
      <c r="T777" s="32">
        <f>IF(OR($B777="",$R777="",$A777="",$F777=""),"",$B777&amp;"|"&amp;$A777&amp;"|"&amp;$F777&amp;"|"&amp;$R777&amp;"|"&amp;COUNTIFS($B$6:$B777,$B777,$A$6:$A777,$A777,$F$6:$F777,$F777,$R$6:$R777,$R777))</f>
        <v/>
      </c>
      <c r="U777" s="32">
        <f>IF($C777="","",$C777&amp;"|"&amp;COUNTIFS($C$6:$C777,$C777))</f>
        <v/>
      </c>
      <c r="V777" s="32">
        <f>IF(OR($C777="",$A777="",$S777=""),"",$C777&amp;"|"&amp;$A777&amp;"|"&amp;$S777)</f>
        <v/>
      </c>
      <c r="W777" s="32">
        <f>IF(OR($C777="",$S777="",$S777=1),"",IFERROR(INDEX($Q$6:$Q$1505,MATCH($C777&amp;"|"&amp;$A777&amp;"|"&amp;($S777-1),$V$6:$V$1505,0)),""))</f>
        <v/>
      </c>
      <c r="X777" s="32">
        <f>IF(OR($W777="",$Q777="",LEFT($Q777,1)="—"),"",IF($W777=$Q777,"ללא שינוי","מ-"&amp;$W777&amp;" ל-"&amp;$Q777))</f>
        <v/>
      </c>
    </row>
    <row r="778" ht="15.75" customHeight="1" s="58">
      <c r="A778" s="65" t="n"/>
      <c r="B778" s="65" t="n"/>
      <c r="C778" s="66" t="n"/>
      <c r="D778" s="66" t="n"/>
      <c r="E778" s="65" t="n"/>
      <c r="F778" s="65" t="n"/>
      <c r="G778" s="65" t="n"/>
      <c r="H778" s="65" t="n"/>
      <c r="I778" s="65" t="n"/>
      <c r="J778" s="65" t="n"/>
      <c r="K778" s="65" t="n"/>
      <c r="L778" s="65" t="n"/>
      <c r="M778" s="65" t="n"/>
      <c r="N778" s="65" t="n"/>
      <c r="O778" s="65" t="n"/>
      <c r="P778" s="65" t="n"/>
      <c r="Q778" s="32">
        <f>IF($C778="","",IF($J778="","— חסרים נתונים",IF($J778="טרם מפענח","פרופיל 5",IF($J778="קמץ/פתח/חטף-פתח ושוואים","פרופיל 4",IF($J778="2-3 סימני ניקוד","פרופיל 3",IF($J778="4-5 סימני ניקוד","פרופיל 2",IF(AND($O778="משפטים וקטעים קצרים",OR($M778="מבין",$M778="מבין לרוב")),"פרופיל 1","פרופיל 2")))))))</f>
        <v/>
      </c>
      <c r="R778" s="32">
        <f>IF($C778="","",IF(OR($Q778="",LEFT($Q778,1)="—"),"קבוצה רביעית",IF($Q778="פרופיל 5","קבוצת תשתיות",IF(OR($Q778="פרופיל 4",$Q778="פרופיל 3"),"קבוצת רכישה","קבוצת ביסוס"))))</f>
        <v/>
      </c>
      <c r="S778" s="32">
        <f>IF($F778="","",IF($F778="תחילת שנה",1,IF($F778="מחצית שנה",2,3)))</f>
        <v/>
      </c>
      <c r="T778" s="32">
        <f>IF(OR($B778="",$R778="",$A778="",$F778=""),"",$B778&amp;"|"&amp;$A778&amp;"|"&amp;$F778&amp;"|"&amp;$R778&amp;"|"&amp;COUNTIFS($B$6:$B778,$B778,$A$6:$A778,$A778,$F$6:$F778,$F778,$R$6:$R778,$R778))</f>
        <v/>
      </c>
      <c r="U778" s="32">
        <f>IF($C778="","",$C778&amp;"|"&amp;COUNTIFS($C$6:$C778,$C778))</f>
        <v/>
      </c>
      <c r="V778" s="32">
        <f>IF(OR($C778="",$A778="",$S778=""),"",$C778&amp;"|"&amp;$A778&amp;"|"&amp;$S778)</f>
        <v/>
      </c>
      <c r="W778" s="32">
        <f>IF(OR($C778="",$S778="",$S778=1),"",IFERROR(INDEX($Q$6:$Q$1505,MATCH($C778&amp;"|"&amp;$A778&amp;"|"&amp;($S778-1),$V$6:$V$1505,0)),""))</f>
        <v/>
      </c>
      <c r="X778" s="32">
        <f>IF(OR($W778="",$Q778="",LEFT($Q778,1)="—"),"",IF($W778=$Q778,"ללא שינוי","מ-"&amp;$W778&amp;" ל-"&amp;$Q778))</f>
        <v/>
      </c>
    </row>
    <row r="779" ht="15.75" customHeight="1" s="58">
      <c r="A779" s="65" t="n"/>
      <c r="B779" s="65" t="n"/>
      <c r="C779" s="66" t="n"/>
      <c r="D779" s="66" t="n"/>
      <c r="E779" s="65" t="n"/>
      <c r="F779" s="65" t="n"/>
      <c r="G779" s="65" t="n"/>
      <c r="H779" s="65" t="n"/>
      <c r="I779" s="65" t="n"/>
      <c r="J779" s="65" t="n"/>
      <c r="K779" s="65" t="n"/>
      <c r="L779" s="65" t="n"/>
      <c r="M779" s="65" t="n"/>
      <c r="N779" s="65" t="n"/>
      <c r="O779" s="65" t="n"/>
      <c r="P779" s="65" t="n"/>
      <c r="Q779" s="32">
        <f>IF($C779="","",IF($J779="","— חסרים נתונים",IF($J779="טרם מפענח","פרופיל 5",IF($J779="קמץ/פתח/חטף-פתח ושוואים","פרופיל 4",IF($J779="2-3 סימני ניקוד","פרופיל 3",IF($J779="4-5 סימני ניקוד","פרופיל 2",IF(AND($O779="משפטים וקטעים קצרים",OR($M779="מבין",$M779="מבין לרוב")),"פרופיל 1","פרופיל 2")))))))</f>
        <v/>
      </c>
      <c r="R779" s="32">
        <f>IF($C779="","",IF(OR($Q779="",LEFT($Q779,1)="—"),"קבוצה רביעית",IF($Q779="פרופיל 5","קבוצת תשתיות",IF(OR($Q779="פרופיל 4",$Q779="פרופיל 3"),"קבוצת רכישה","קבוצת ביסוס"))))</f>
        <v/>
      </c>
      <c r="S779" s="32">
        <f>IF($F779="","",IF($F779="תחילת שנה",1,IF($F779="מחצית שנה",2,3)))</f>
        <v/>
      </c>
      <c r="T779" s="32">
        <f>IF(OR($B779="",$R779="",$A779="",$F779=""),"",$B779&amp;"|"&amp;$A779&amp;"|"&amp;$F779&amp;"|"&amp;$R779&amp;"|"&amp;COUNTIFS($B$6:$B779,$B779,$A$6:$A779,$A779,$F$6:$F779,$F779,$R$6:$R779,$R779))</f>
        <v/>
      </c>
      <c r="U779" s="32">
        <f>IF($C779="","",$C779&amp;"|"&amp;COUNTIFS($C$6:$C779,$C779))</f>
        <v/>
      </c>
      <c r="V779" s="32">
        <f>IF(OR($C779="",$A779="",$S779=""),"",$C779&amp;"|"&amp;$A779&amp;"|"&amp;$S779)</f>
        <v/>
      </c>
      <c r="W779" s="32">
        <f>IF(OR($C779="",$S779="",$S779=1),"",IFERROR(INDEX($Q$6:$Q$1505,MATCH($C779&amp;"|"&amp;$A779&amp;"|"&amp;($S779-1),$V$6:$V$1505,0)),""))</f>
        <v/>
      </c>
      <c r="X779" s="32">
        <f>IF(OR($W779="",$Q779="",LEFT($Q779,1)="—"),"",IF($W779=$Q779,"ללא שינוי","מ-"&amp;$W779&amp;" ל-"&amp;$Q779))</f>
        <v/>
      </c>
    </row>
    <row r="780" ht="15.75" customHeight="1" s="58">
      <c r="A780" s="65" t="n"/>
      <c r="B780" s="65" t="n"/>
      <c r="C780" s="66" t="n"/>
      <c r="D780" s="66" t="n"/>
      <c r="E780" s="65" t="n"/>
      <c r="F780" s="65" t="n"/>
      <c r="G780" s="65" t="n"/>
      <c r="H780" s="65" t="n"/>
      <c r="I780" s="65" t="n"/>
      <c r="J780" s="65" t="n"/>
      <c r="K780" s="65" t="n"/>
      <c r="L780" s="65" t="n"/>
      <c r="M780" s="65" t="n"/>
      <c r="N780" s="65" t="n"/>
      <c r="O780" s="65" t="n"/>
      <c r="P780" s="65" t="n"/>
      <c r="Q780" s="32">
        <f>IF($C780="","",IF($J780="","— חסרים נתונים",IF($J780="טרם מפענח","פרופיל 5",IF($J780="קמץ/פתח/חטף-פתח ושוואים","פרופיל 4",IF($J780="2-3 סימני ניקוד","פרופיל 3",IF($J780="4-5 סימני ניקוד","פרופיל 2",IF(AND($O780="משפטים וקטעים קצרים",OR($M780="מבין",$M780="מבין לרוב")),"פרופיל 1","פרופיל 2")))))))</f>
        <v/>
      </c>
      <c r="R780" s="32">
        <f>IF($C780="","",IF(OR($Q780="",LEFT($Q780,1)="—"),"קבוצה רביעית",IF($Q780="פרופיל 5","קבוצת תשתיות",IF(OR($Q780="פרופיל 4",$Q780="פרופיל 3"),"קבוצת רכישה","קבוצת ביסוס"))))</f>
        <v/>
      </c>
      <c r="S780" s="32">
        <f>IF($F780="","",IF($F780="תחילת שנה",1,IF($F780="מחצית שנה",2,3)))</f>
        <v/>
      </c>
      <c r="T780" s="32">
        <f>IF(OR($B780="",$R780="",$A780="",$F780=""),"",$B780&amp;"|"&amp;$A780&amp;"|"&amp;$F780&amp;"|"&amp;$R780&amp;"|"&amp;COUNTIFS($B$6:$B780,$B780,$A$6:$A780,$A780,$F$6:$F780,$F780,$R$6:$R780,$R780))</f>
        <v/>
      </c>
      <c r="U780" s="32">
        <f>IF($C780="","",$C780&amp;"|"&amp;COUNTIFS($C$6:$C780,$C780))</f>
        <v/>
      </c>
      <c r="V780" s="32">
        <f>IF(OR($C780="",$A780="",$S780=""),"",$C780&amp;"|"&amp;$A780&amp;"|"&amp;$S780)</f>
        <v/>
      </c>
      <c r="W780" s="32">
        <f>IF(OR($C780="",$S780="",$S780=1),"",IFERROR(INDEX($Q$6:$Q$1505,MATCH($C780&amp;"|"&amp;$A780&amp;"|"&amp;($S780-1),$V$6:$V$1505,0)),""))</f>
        <v/>
      </c>
      <c r="X780" s="32">
        <f>IF(OR($W780="",$Q780="",LEFT($Q780,1)="—"),"",IF($W780=$Q780,"ללא שינוי","מ-"&amp;$W780&amp;" ל-"&amp;$Q780))</f>
        <v/>
      </c>
    </row>
    <row r="781" ht="15.75" customHeight="1" s="58">
      <c r="A781" s="65" t="n"/>
      <c r="B781" s="65" t="n"/>
      <c r="C781" s="66" t="n"/>
      <c r="D781" s="66" t="n"/>
      <c r="E781" s="65" t="n"/>
      <c r="F781" s="65" t="n"/>
      <c r="G781" s="65" t="n"/>
      <c r="H781" s="65" t="n"/>
      <c r="I781" s="65" t="n"/>
      <c r="J781" s="65" t="n"/>
      <c r="K781" s="65" t="n"/>
      <c r="L781" s="65" t="n"/>
      <c r="M781" s="65" t="n"/>
      <c r="N781" s="65" t="n"/>
      <c r="O781" s="65" t="n"/>
      <c r="P781" s="65" t="n"/>
      <c r="Q781" s="32">
        <f>IF($C781="","",IF($J781="","— חסרים נתונים",IF($J781="טרם מפענח","פרופיל 5",IF($J781="קמץ/פתח/חטף-פתח ושוואים","פרופיל 4",IF($J781="2-3 סימני ניקוד","פרופיל 3",IF($J781="4-5 סימני ניקוד","פרופיל 2",IF(AND($O781="משפטים וקטעים קצרים",OR($M781="מבין",$M781="מבין לרוב")),"פרופיל 1","פרופיל 2")))))))</f>
        <v/>
      </c>
      <c r="R781" s="32">
        <f>IF($C781="","",IF(OR($Q781="",LEFT($Q781,1)="—"),"קבוצה רביעית",IF($Q781="פרופיל 5","קבוצת תשתיות",IF(OR($Q781="פרופיל 4",$Q781="פרופיל 3"),"קבוצת רכישה","קבוצת ביסוס"))))</f>
        <v/>
      </c>
      <c r="S781" s="32">
        <f>IF($F781="","",IF($F781="תחילת שנה",1,IF($F781="מחצית שנה",2,3)))</f>
        <v/>
      </c>
      <c r="T781" s="32">
        <f>IF(OR($B781="",$R781="",$A781="",$F781=""),"",$B781&amp;"|"&amp;$A781&amp;"|"&amp;$F781&amp;"|"&amp;$R781&amp;"|"&amp;COUNTIFS($B$6:$B781,$B781,$A$6:$A781,$A781,$F$6:$F781,$F781,$R$6:$R781,$R781))</f>
        <v/>
      </c>
      <c r="U781" s="32">
        <f>IF($C781="","",$C781&amp;"|"&amp;COUNTIFS($C$6:$C781,$C781))</f>
        <v/>
      </c>
      <c r="V781" s="32">
        <f>IF(OR($C781="",$A781="",$S781=""),"",$C781&amp;"|"&amp;$A781&amp;"|"&amp;$S781)</f>
        <v/>
      </c>
      <c r="W781" s="32">
        <f>IF(OR($C781="",$S781="",$S781=1),"",IFERROR(INDEX($Q$6:$Q$1505,MATCH($C781&amp;"|"&amp;$A781&amp;"|"&amp;($S781-1),$V$6:$V$1505,0)),""))</f>
        <v/>
      </c>
      <c r="X781" s="32">
        <f>IF(OR($W781="",$Q781="",LEFT($Q781,1)="—"),"",IF($W781=$Q781,"ללא שינוי","מ-"&amp;$W781&amp;" ל-"&amp;$Q781))</f>
        <v/>
      </c>
    </row>
    <row r="782" ht="15.75" customHeight="1" s="58">
      <c r="A782" s="65" t="n"/>
      <c r="B782" s="65" t="n"/>
      <c r="C782" s="66" t="n"/>
      <c r="D782" s="66" t="n"/>
      <c r="E782" s="65" t="n"/>
      <c r="F782" s="65" t="n"/>
      <c r="G782" s="65" t="n"/>
      <c r="H782" s="65" t="n"/>
      <c r="I782" s="65" t="n"/>
      <c r="J782" s="65" t="n"/>
      <c r="K782" s="65" t="n"/>
      <c r="L782" s="65" t="n"/>
      <c r="M782" s="65" t="n"/>
      <c r="N782" s="65" t="n"/>
      <c r="O782" s="65" t="n"/>
      <c r="P782" s="65" t="n"/>
      <c r="Q782" s="32">
        <f>IF($C782="","",IF($J782="","— חסרים נתונים",IF($J782="טרם מפענח","פרופיל 5",IF($J782="קמץ/פתח/חטף-פתח ושוואים","פרופיל 4",IF($J782="2-3 סימני ניקוד","פרופיל 3",IF($J782="4-5 סימני ניקוד","פרופיל 2",IF(AND($O782="משפטים וקטעים קצרים",OR($M782="מבין",$M782="מבין לרוב")),"פרופיל 1","פרופיל 2")))))))</f>
        <v/>
      </c>
      <c r="R782" s="32">
        <f>IF($C782="","",IF(OR($Q782="",LEFT($Q782,1)="—"),"קבוצה רביעית",IF($Q782="פרופיל 5","קבוצת תשתיות",IF(OR($Q782="פרופיל 4",$Q782="פרופיל 3"),"קבוצת רכישה","קבוצת ביסוס"))))</f>
        <v/>
      </c>
      <c r="S782" s="32">
        <f>IF($F782="","",IF($F782="תחילת שנה",1,IF($F782="מחצית שנה",2,3)))</f>
        <v/>
      </c>
      <c r="T782" s="32">
        <f>IF(OR($B782="",$R782="",$A782="",$F782=""),"",$B782&amp;"|"&amp;$A782&amp;"|"&amp;$F782&amp;"|"&amp;$R782&amp;"|"&amp;COUNTIFS($B$6:$B782,$B782,$A$6:$A782,$A782,$F$6:$F782,$F782,$R$6:$R782,$R782))</f>
        <v/>
      </c>
      <c r="U782" s="32">
        <f>IF($C782="","",$C782&amp;"|"&amp;COUNTIFS($C$6:$C782,$C782))</f>
        <v/>
      </c>
      <c r="V782" s="32">
        <f>IF(OR($C782="",$A782="",$S782=""),"",$C782&amp;"|"&amp;$A782&amp;"|"&amp;$S782)</f>
        <v/>
      </c>
      <c r="W782" s="32">
        <f>IF(OR($C782="",$S782="",$S782=1),"",IFERROR(INDEX($Q$6:$Q$1505,MATCH($C782&amp;"|"&amp;$A782&amp;"|"&amp;($S782-1),$V$6:$V$1505,0)),""))</f>
        <v/>
      </c>
      <c r="X782" s="32">
        <f>IF(OR($W782="",$Q782="",LEFT($Q782,1)="—"),"",IF($W782=$Q782,"ללא שינוי","מ-"&amp;$W782&amp;" ל-"&amp;$Q782))</f>
        <v/>
      </c>
    </row>
    <row r="783" ht="15.75" customHeight="1" s="58">
      <c r="A783" s="65" t="n"/>
      <c r="B783" s="65" t="n"/>
      <c r="C783" s="66" t="n"/>
      <c r="D783" s="66" t="n"/>
      <c r="E783" s="65" t="n"/>
      <c r="F783" s="65" t="n"/>
      <c r="G783" s="65" t="n"/>
      <c r="H783" s="65" t="n"/>
      <c r="I783" s="65" t="n"/>
      <c r="J783" s="65" t="n"/>
      <c r="K783" s="65" t="n"/>
      <c r="L783" s="65" t="n"/>
      <c r="M783" s="65" t="n"/>
      <c r="N783" s="65" t="n"/>
      <c r="O783" s="65" t="n"/>
      <c r="P783" s="65" t="n"/>
      <c r="Q783" s="32">
        <f>IF($C783="","",IF($J783="","— חסרים נתונים",IF($J783="טרם מפענח","פרופיל 5",IF($J783="קמץ/פתח/חטף-פתח ושוואים","פרופיל 4",IF($J783="2-3 סימני ניקוד","פרופיל 3",IF($J783="4-5 סימני ניקוד","פרופיל 2",IF(AND($O783="משפטים וקטעים קצרים",OR($M783="מבין",$M783="מבין לרוב")),"פרופיל 1","פרופיל 2")))))))</f>
        <v/>
      </c>
      <c r="R783" s="32">
        <f>IF($C783="","",IF(OR($Q783="",LEFT($Q783,1)="—"),"קבוצה רביעית",IF($Q783="פרופיל 5","קבוצת תשתיות",IF(OR($Q783="פרופיל 4",$Q783="פרופיל 3"),"קבוצת רכישה","קבוצת ביסוס"))))</f>
        <v/>
      </c>
      <c r="S783" s="32">
        <f>IF($F783="","",IF($F783="תחילת שנה",1,IF($F783="מחצית שנה",2,3)))</f>
        <v/>
      </c>
      <c r="T783" s="32">
        <f>IF(OR($B783="",$R783="",$A783="",$F783=""),"",$B783&amp;"|"&amp;$A783&amp;"|"&amp;$F783&amp;"|"&amp;$R783&amp;"|"&amp;COUNTIFS($B$6:$B783,$B783,$A$6:$A783,$A783,$F$6:$F783,$F783,$R$6:$R783,$R783))</f>
        <v/>
      </c>
      <c r="U783" s="32">
        <f>IF($C783="","",$C783&amp;"|"&amp;COUNTIFS($C$6:$C783,$C783))</f>
        <v/>
      </c>
      <c r="V783" s="32">
        <f>IF(OR($C783="",$A783="",$S783=""),"",$C783&amp;"|"&amp;$A783&amp;"|"&amp;$S783)</f>
        <v/>
      </c>
      <c r="W783" s="32">
        <f>IF(OR($C783="",$S783="",$S783=1),"",IFERROR(INDEX($Q$6:$Q$1505,MATCH($C783&amp;"|"&amp;$A783&amp;"|"&amp;($S783-1),$V$6:$V$1505,0)),""))</f>
        <v/>
      </c>
      <c r="X783" s="32">
        <f>IF(OR($W783="",$Q783="",LEFT($Q783,1)="—"),"",IF($W783=$Q783,"ללא שינוי","מ-"&amp;$W783&amp;" ל-"&amp;$Q783))</f>
        <v/>
      </c>
    </row>
    <row r="784" ht="15.75" customHeight="1" s="58">
      <c r="A784" s="65" t="n"/>
      <c r="B784" s="65" t="n"/>
      <c r="C784" s="66" t="n"/>
      <c r="D784" s="66" t="n"/>
      <c r="E784" s="65" t="n"/>
      <c r="F784" s="65" t="n"/>
      <c r="G784" s="65" t="n"/>
      <c r="H784" s="65" t="n"/>
      <c r="I784" s="65" t="n"/>
      <c r="J784" s="65" t="n"/>
      <c r="K784" s="65" t="n"/>
      <c r="L784" s="65" t="n"/>
      <c r="M784" s="65" t="n"/>
      <c r="N784" s="65" t="n"/>
      <c r="O784" s="65" t="n"/>
      <c r="P784" s="65" t="n"/>
      <c r="Q784" s="32">
        <f>IF($C784="","",IF($J784="","— חסרים נתונים",IF($J784="טרם מפענח","פרופיל 5",IF($J784="קמץ/פתח/חטף-פתח ושוואים","פרופיל 4",IF($J784="2-3 סימני ניקוד","פרופיל 3",IF($J784="4-5 סימני ניקוד","פרופיל 2",IF(AND($O784="משפטים וקטעים קצרים",OR($M784="מבין",$M784="מבין לרוב")),"פרופיל 1","פרופיל 2")))))))</f>
        <v/>
      </c>
      <c r="R784" s="32">
        <f>IF($C784="","",IF(OR($Q784="",LEFT($Q784,1)="—"),"קבוצה רביעית",IF($Q784="פרופיל 5","קבוצת תשתיות",IF(OR($Q784="פרופיל 4",$Q784="פרופיל 3"),"קבוצת רכישה","קבוצת ביסוס"))))</f>
        <v/>
      </c>
      <c r="S784" s="32">
        <f>IF($F784="","",IF($F784="תחילת שנה",1,IF($F784="מחצית שנה",2,3)))</f>
        <v/>
      </c>
      <c r="T784" s="32">
        <f>IF(OR($B784="",$R784="",$A784="",$F784=""),"",$B784&amp;"|"&amp;$A784&amp;"|"&amp;$F784&amp;"|"&amp;$R784&amp;"|"&amp;COUNTIFS($B$6:$B784,$B784,$A$6:$A784,$A784,$F$6:$F784,$F784,$R$6:$R784,$R784))</f>
        <v/>
      </c>
      <c r="U784" s="32">
        <f>IF($C784="","",$C784&amp;"|"&amp;COUNTIFS($C$6:$C784,$C784))</f>
        <v/>
      </c>
      <c r="V784" s="32">
        <f>IF(OR($C784="",$A784="",$S784=""),"",$C784&amp;"|"&amp;$A784&amp;"|"&amp;$S784)</f>
        <v/>
      </c>
      <c r="W784" s="32">
        <f>IF(OR($C784="",$S784="",$S784=1),"",IFERROR(INDEX($Q$6:$Q$1505,MATCH($C784&amp;"|"&amp;$A784&amp;"|"&amp;($S784-1),$V$6:$V$1505,0)),""))</f>
        <v/>
      </c>
      <c r="X784" s="32">
        <f>IF(OR($W784="",$Q784="",LEFT($Q784,1)="—"),"",IF($W784=$Q784,"ללא שינוי","מ-"&amp;$W784&amp;" ל-"&amp;$Q784))</f>
        <v/>
      </c>
    </row>
    <row r="785" ht="15.75" customHeight="1" s="58">
      <c r="A785" s="65" t="n"/>
      <c r="B785" s="65" t="n"/>
      <c r="C785" s="66" t="n"/>
      <c r="D785" s="66" t="n"/>
      <c r="E785" s="65" t="n"/>
      <c r="F785" s="65" t="n"/>
      <c r="G785" s="65" t="n"/>
      <c r="H785" s="65" t="n"/>
      <c r="I785" s="65" t="n"/>
      <c r="J785" s="65" t="n"/>
      <c r="K785" s="65" t="n"/>
      <c r="L785" s="65" t="n"/>
      <c r="M785" s="65" t="n"/>
      <c r="N785" s="65" t="n"/>
      <c r="O785" s="65" t="n"/>
      <c r="P785" s="65" t="n"/>
      <c r="Q785" s="32">
        <f>IF($C785="","",IF($J785="","— חסרים נתונים",IF($J785="טרם מפענח","פרופיל 5",IF($J785="קמץ/פתח/חטף-פתח ושוואים","פרופיל 4",IF($J785="2-3 סימני ניקוד","פרופיל 3",IF($J785="4-5 סימני ניקוד","פרופיל 2",IF(AND($O785="משפטים וקטעים קצרים",OR($M785="מבין",$M785="מבין לרוב")),"פרופיל 1","פרופיל 2")))))))</f>
        <v/>
      </c>
      <c r="R785" s="32">
        <f>IF($C785="","",IF(OR($Q785="",LEFT($Q785,1)="—"),"קבוצה רביעית",IF($Q785="פרופיל 5","קבוצת תשתיות",IF(OR($Q785="פרופיל 4",$Q785="פרופיל 3"),"קבוצת רכישה","קבוצת ביסוס"))))</f>
        <v/>
      </c>
      <c r="S785" s="32">
        <f>IF($F785="","",IF($F785="תחילת שנה",1,IF($F785="מחצית שנה",2,3)))</f>
        <v/>
      </c>
      <c r="T785" s="32">
        <f>IF(OR($B785="",$R785="",$A785="",$F785=""),"",$B785&amp;"|"&amp;$A785&amp;"|"&amp;$F785&amp;"|"&amp;$R785&amp;"|"&amp;COUNTIFS($B$6:$B785,$B785,$A$6:$A785,$A785,$F$6:$F785,$F785,$R$6:$R785,$R785))</f>
        <v/>
      </c>
      <c r="U785" s="32">
        <f>IF($C785="","",$C785&amp;"|"&amp;COUNTIFS($C$6:$C785,$C785))</f>
        <v/>
      </c>
      <c r="V785" s="32">
        <f>IF(OR($C785="",$A785="",$S785=""),"",$C785&amp;"|"&amp;$A785&amp;"|"&amp;$S785)</f>
        <v/>
      </c>
      <c r="W785" s="32">
        <f>IF(OR($C785="",$S785="",$S785=1),"",IFERROR(INDEX($Q$6:$Q$1505,MATCH($C785&amp;"|"&amp;$A785&amp;"|"&amp;($S785-1),$V$6:$V$1505,0)),""))</f>
        <v/>
      </c>
      <c r="X785" s="32">
        <f>IF(OR($W785="",$Q785="",LEFT($Q785,1)="—"),"",IF($W785=$Q785,"ללא שינוי","מ-"&amp;$W785&amp;" ל-"&amp;$Q785))</f>
        <v/>
      </c>
    </row>
    <row r="786" ht="15.75" customHeight="1" s="58">
      <c r="A786" s="65" t="n"/>
      <c r="B786" s="65" t="n"/>
      <c r="C786" s="66" t="n"/>
      <c r="D786" s="66" t="n"/>
      <c r="E786" s="65" t="n"/>
      <c r="F786" s="65" t="n"/>
      <c r="G786" s="65" t="n"/>
      <c r="H786" s="65" t="n"/>
      <c r="I786" s="65" t="n"/>
      <c r="J786" s="65" t="n"/>
      <c r="K786" s="65" t="n"/>
      <c r="L786" s="65" t="n"/>
      <c r="M786" s="65" t="n"/>
      <c r="N786" s="65" t="n"/>
      <c r="O786" s="65" t="n"/>
      <c r="P786" s="65" t="n"/>
      <c r="Q786" s="32">
        <f>IF($C786="","",IF($J786="","— חסרים נתונים",IF($J786="טרם מפענח","פרופיל 5",IF($J786="קמץ/פתח/חטף-פתח ושוואים","פרופיל 4",IF($J786="2-3 סימני ניקוד","פרופיל 3",IF($J786="4-5 סימני ניקוד","פרופיל 2",IF(AND($O786="משפטים וקטעים קצרים",OR($M786="מבין",$M786="מבין לרוב")),"פרופיל 1","פרופיל 2")))))))</f>
        <v/>
      </c>
      <c r="R786" s="32">
        <f>IF($C786="","",IF(OR($Q786="",LEFT($Q786,1)="—"),"קבוצה רביעית",IF($Q786="פרופיל 5","קבוצת תשתיות",IF(OR($Q786="פרופיל 4",$Q786="פרופיל 3"),"קבוצת רכישה","קבוצת ביסוס"))))</f>
        <v/>
      </c>
      <c r="S786" s="32">
        <f>IF($F786="","",IF($F786="תחילת שנה",1,IF($F786="מחצית שנה",2,3)))</f>
        <v/>
      </c>
      <c r="T786" s="32">
        <f>IF(OR($B786="",$R786="",$A786="",$F786=""),"",$B786&amp;"|"&amp;$A786&amp;"|"&amp;$F786&amp;"|"&amp;$R786&amp;"|"&amp;COUNTIFS($B$6:$B786,$B786,$A$6:$A786,$A786,$F$6:$F786,$F786,$R$6:$R786,$R786))</f>
        <v/>
      </c>
      <c r="U786" s="32">
        <f>IF($C786="","",$C786&amp;"|"&amp;COUNTIFS($C$6:$C786,$C786))</f>
        <v/>
      </c>
      <c r="V786" s="32">
        <f>IF(OR($C786="",$A786="",$S786=""),"",$C786&amp;"|"&amp;$A786&amp;"|"&amp;$S786)</f>
        <v/>
      </c>
      <c r="W786" s="32">
        <f>IF(OR($C786="",$S786="",$S786=1),"",IFERROR(INDEX($Q$6:$Q$1505,MATCH($C786&amp;"|"&amp;$A786&amp;"|"&amp;($S786-1),$V$6:$V$1505,0)),""))</f>
        <v/>
      </c>
      <c r="X786" s="32">
        <f>IF(OR($W786="",$Q786="",LEFT($Q786,1)="—"),"",IF($W786=$Q786,"ללא שינוי","מ-"&amp;$W786&amp;" ל-"&amp;$Q786))</f>
        <v/>
      </c>
    </row>
    <row r="787" ht="15.75" customHeight="1" s="58">
      <c r="A787" s="65" t="n"/>
      <c r="B787" s="65" t="n"/>
      <c r="C787" s="66" t="n"/>
      <c r="D787" s="66" t="n"/>
      <c r="E787" s="65" t="n"/>
      <c r="F787" s="65" t="n"/>
      <c r="G787" s="65" t="n"/>
      <c r="H787" s="65" t="n"/>
      <c r="I787" s="65" t="n"/>
      <c r="J787" s="65" t="n"/>
      <c r="K787" s="65" t="n"/>
      <c r="L787" s="65" t="n"/>
      <c r="M787" s="65" t="n"/>
      <c r="N787" s="65" t="n"/>
      <c r="O787" s="65" t="n"/>
      <c r="P787" s="65" t="n"/>
      <c r="Q787" s="32">
        <f>IF($C787="","",IF($J787="","— חסרים נתונים",IF($J787="טרם מפענח","פרופיל 5",IF($J787="קמץ/פתח/חטף-פתח ושוואים","פרופיל 4",IF($J787="2-3 סימני ניקוד","פרופיל 3",IF($J787="4-5 סימני ניקוד","פרופיל 2",IF(AND($O787="משפטים וקטעים קצרים",OR($M787="מבין",$M787="מבין לרוב")),"פרופיל 1","פרופיל 2")))))))</f>
        <v/>
      </c>
      <c r="R787" s="32">
        <f>IF($C787="","",IF(OR($Q787="",LEFT($Q787,1)="—"),"קבוצה רביעית",IF($Q787="פרופיל 5","קבוצת תשתיות",IF(OR($Q787="פרופיל 4",$Q787="פרופיל 3"),"קבוצת רכישה","קבוצת ביסוס"))))</f>
        <v/>
      </c>
      <c r="S787" s="32">
        <f>IF($F787="","",IF($F787="תחילת שנה",1,IF($F787="מחצית שנה",2,3)))</f>
        <v/>
      </c>
      <c r="T787" s="32">
        <f>IF(OR($B787="",$R787="",$A787="",$F787=""),"",$B787&amp;"|"&amp;$A787&amp;"|"&amp;$F787&amp;"|"&amp;$R787&amp;"|"&amp;COUNTIFS($B$6:$B787,$B787,$A$6:$A787,$A787,$F$6:$F787,$F787,$R$6:$R787,$R787))</f>
        <v/>
      </c>
      <c r="U787" s="32">
        <f>IF($C787="","",$C787&amp;"|"&amp;COUNTIFS($C$6:$C787,$C787))</f>
        <v/>
      </c>
      <c r="V787" s="32">
        <f>IF(OR($C787="",$A787="",$S787=""),"",$C787&amp;"|"&amp;$A787&amp;"|"&amp;$S787)</f>
        <v/>
      </c>
      <c r="W787" s="32">
        <f>IF(OR($C787="",$S787="",$S787=1),"",IFERROR(INDEX($Q$6:$Q$1505,MATCH($C787&amp;"|"&amp;$A787&amp;"|"&amp;($S787-1),$V$6:$V$1505,0)),""))</f>
        <v/>
      </c>
      <c r="X787" s="32">
        <f>IF(OR($W787="",$Q787="",LEFT($Q787,1)="—"),"",IF($W787=$Q787,"ללא שינוי","מ-"&amp;$W787&amp;" ל-"&amp;$Q787))</f>
        <v/>
      </c>
    </row>
    <row r="788" ht="15.75" customHeight="1" s="58">
      <c r="A788" s="65" t="n"/>
      <c r="B788" s="65" t="n"/>
      <c r="C788" s="66" t="n"/>
      <c r="D788" s="66" t="n"/>
      <c r="E788" s="65" t="n"/>
      <c r="F788" s="65" t="n"/>
      <c r="G788" s="65" t="n"/>
      <c r="H788" s="65" t="n"/>
      <c r="I788" s="65" t="n"/>
      <c r="J788" s="65" t="n"/>
      <c r="K788" s="65" t="n"/>
      <c r="L788" s="65" t="n"/>
      <c r="M788" s="65" t="n"/>
      <c r="N788" s="65" t="n"/>
      <c r="O788" s="65" t="n"/>
      <c r="P788" s="65" t="n"/>
      <c r="Q788" s="32">
        <f>IF($C788="","",IF($J788="","— חסרים נתונים",IF($J788="טרם מפענח","פרופיל 5",IF($J788="קמץ/פתח/חטף-פתח ושוואים","פרופיל 4",IF($J788="2-3 סימני ניקוד","פרופיל 3",IF($J788="4-5 סימני ניקוד","פרופיל 2",IF(AND($O788="משפטים וקטעים קצרים",OR($M788="מבין",$M788="מבין לרוב")),"פרופיל 1","פרופיל 2")))))))</f>
        <v/>
      </c>
      <c r="R788" s="32">
        <f>IF($C788="","",IF(OR($Q788="",LEFT($Q788,1)="—"),"קבוצה רביעית",IF($Q788="פרופיל 5","קבוצת תשתיות",IF(OR($Q788="פרופיל 4",$Q788="פרופיל 3"),"קבוצת רכישה","קבוצת ביסוס"))))</f>
        <v/>
      </c>
      <c r="S788" s="32">
        <f>IF($F788="","",IF($F788="תחילת שנה",1,IF($F788="מחצית שנה",2,3)))</f>
        <v/>
      </c>
      <c r="T788" s="32">
        <f>IF(OR($B788="",$R788="",$A788="",$F788=""),"",$B788&amp;"|"&amp;$A788&amp;"|"&amp;$F788&amp;"|"&amp;$R788&amp;"|"&amp;COUNTIFS($B$6:$B788,$B788,$A$6:$A788,$A788,$F$6:$F788,$F788,$R$6:$R788,$R788))</f>
        <v/>
      </c>
      <c r="U788" s="32">
        <f>IF($C788="","",$C788&amp;"|"&amp;COUNTIFS($C$6:$C788,$C788))</f>
        <v/>
      </c>
      <c r="V788" s="32">
        <f>IF(OR($C788="",$A788="",$S788=""),"",$C788&amp;"|"&amp;$A788&amp;"|"&amp;$S788)</f>
        <v/>
      </c>
      <c r="W788" s="32">
        <f>IF(OR($C788="",$S788="",$S788=1),"",IFERROR(INDEX($Q$6:$Q$1505,MATCH($C788&amp;"|"&amp;$A788&amp;"|"&amp;($S788-1),$V$6:$V$1505,0)),""))</f>
        <v/>
      </c>
      <c r="X788" s="32">
        <f>IF(OR($W788="",$Q788="",LEFT($Q788,1)="—"),"",IF($W788=$Q788,"ללא שינוי","מ-"&amp;$W788&amp;" ל-"&amp;$Q788))</f>
        <v/>
      </c>
    </row>
    <row r="789" ht="15.75" customHeight="1" s="58">
      <c r="A789" s="65" t="n"/>
      <c r="B789" s="65" t="n"/>
      <c r="C789" s="66" t="n"/>
      <c r="D789" s="66" t="n"/>
      <c r="E789" s="65" t="n"/>
      <c r="F789" s="65" t="n"/>
      <c r="G789" s="65" t="n"/>
      <c r="H789" s="65" t="n"/>
      <c r="I789" s="65" t="n"/>
      <c r="J789" s="65" t="n"/>
      <c r="K789" s="65" t="n"/>
      <c r="L789" s="65" t="n"/>
      <c r="M789" s="65" t="n"/>
      <c r="N789" s="65" t="n"/>
      <c r="O789" s="65" t="n"/>
      <c r="P789" s="65" t="n"/>
      <c r="Q789" s="32">
        <f>IF($C789="","",IF($J789="","— חסרים נתונים",IF($J789="טרם מפענח","פרופיל 5",IF($J789="קמץ/פתח/חטף-פתח ושוואים","פרופיל 4",IF($J789="2-3 סימני ניקוד","פרופיל 3",IF($J789="4-5 סימני ניקוד","פרופיל 2",IF(AND($O789="משפטים וקטעים קצרים",OR($M789="מבין",$M789="מבין לרוב")),"פרופיל 1","פרופיל 2")))))))</f>
        <v/>
      </c>
      <c r="R789" s="32">
        <f>IF($C789="","",IF(OR($Q789="",LEFT($Q789,1)="—"),"קבוצה רביעית",IF($Q789="פרופיל 5","קבוצת תשתיות",IF(OR($Q789="פרופיל 4",$Q789="פרופיל 3"),"קבוצת רכישה","קבוצת ביסוס"))))</f>
        <v/>
      </c>
      <c r="S789" s="32">
        <f>IF($F789="","",IF($F789="תחילת שנה",1,IF($F789="מחצית שנה",2,3)))</f>
        <v/>
      </c>
      <c r="T789" s="32">
        <f>IF(OR($B789="",$R789="",$A789="",$F789=""),"",$B789&amp;"|"&amp;$A789&amp;"|"&amp;$F789&amp;"|"&amp;$R789&amp;"|"&amp;COUNTIFS($B$6:$B789,$B789,$A$6:$A789,$A789,$F$6:$F789,$F789,$R$6:$R789,$R789))</f>
        <v/>
      </c>
      <c r="U789" s="32">
        <f>IF($C789="","",$C789&amp;"|"&amp;COUNTIFS($C$6:$C789,$C789))</f>
        <v/>
      </c>
      <c r="V789" s="32">
        <f>IF(OR($C789="",$A789="",$S789=""),"",$C789&amp;"|"&amp;$A789&amp;"|"&amp;$S789)</f>
        <v/>
      </c>
      <c r="W789" s="32">
        <f>IF(OR($C789="",$S789="",$S789=1),"",IFERROR(INDEX($Q$6:$Q$1505,MATCH($C789&amp;"|"&amp;$A789&amp;"|"&amp;($S789-1),$V$6:$V$1505,0)),""))</f>
        <v/>
      </c>
      <c r="X789" s="32">
        <f>IF(OR($W789="",$Q789="",LEFT($Q789,1)="—"),"",IF($W789=$Q789,"ללא שינוי","מ-"&amp;$W789&amp;" ל-"&amp;$Q789))</f>
        <v/>
      </c>
    </row>
    <row r="790" ht="15.75" customHeight="1" s="58">
      <c r="A790" s="65" t="n"/>
      <c r="B790" s="65" t="n"/>
      <c r="C790" s="66" t="n"/>
      <c r="D790" s="66" t="n"/>
      <c r="E790" s="65" t="n"/>
      <c r="F790" s="65" t="n"/>
      <c r="G790" s="65" t="n"/>
      <c r="H790" s="65" t="n"/>
      <c r="I790" s="65" t="n"/>
      <c r="J790" s="65" t="n"/>
      <c r="K790" s="65" t="n"/>
      <c r="L790" s="65" t="n"/>
      <c r="M790" s="65" t="n"/>
      <c r="N790" s="65" t="n"/>
      <c r="O790" s="65" t="n"/>
      <c r="P790" s="65" t="n"/>
      <c r="Q790" s="32">
        <f>IF($C790="","",IF($J790="","— חסרים נתונים",IF($J790="טרם מפענח","פרופיל 5",IF($J790="קמץ/פתח/חטף-פתח ושוואים","פרופיל 4",IF($J790="2-3 סימני ניקוד","פרופיל 3",IF($J790="4-5 סימני ניקוד","פרופיל 2",IF(AND($O790="משפטים וקטעים קצרים",OR($M790="מבין",$M790="מבין לרוב")),"פרופיל 1","פרופיל 2")))))))</f>
        <v/>
      </c>
      <c r="R790" s="32">
        <f>IF($C790="","",IF(OR($Q790="",LEFT($Q790,1)="—"),"קבוצה רביעית",IF($Q790="פרופיל 5","קבוצת תשתיות",IF(OR($Q790="פרופיל 4",$Q790="פרופיל 3"),"קבוצת רכישה","קבוצת ביסוס"))))</f>
        <v/>
      </c>
      <c r="S790" s="32">
        <f>IF($F790="","",IF($F790="תחילת שנה",1,IF($F790="מחצית שנה",2,3)))</f>
        <v/>
      </c>
      <c r="T790" s="32">
        <f>IF(OR($B790="",$R790="",$A790="",$F790=""),"",$B790&amp;"|"&amp;$A790&amp;"|"&amp;$F790&amp;"|"&amp;$R790&amp;"|"&amp;COUNTIFS($B$6:$B790,$B790,$A$6:$A790,$A790,$F$6:$F790,$F790,$R$6:$R790,$R790))</f>
        <v/>
      </c>
      <c r="U790" s="32">
        <f>IF($C790="","",$C790&amp;"|"&amp;COUNTIFS($C$6:$C790,$C790))</f>
        <v/>
      </c>
      <c r="V790" s="32">
        <f>IF(OR($C790="",$A790="",$S790=""),"",$C790&amp;"|"&amp;$A790&amp;"|"&amp;$S790)</f>
        <v/>
      </c>
      <c r="W790" s="32">
        <f>IF(OR($C790="",$S790="",$S790=1),"",IFERROR(INDEX($Q$6:$Q$1505,MATCH($C790&amp;"|"&amp;$A790&amp;"|"&amp;($S790-1),$V$6:$V$1505,0)),""))</f>
        <v/>
      </c>
      <c r="X790" s="32">
        <f>IF(OR($W790="",$Q790="",LEFT($Q790,1)="—"),"",IF($W790=$Q790,"ללא שינוי","מ-"&amp;$W790&amp;" ל-"&amp;$Q790))</f>
        <v/>
      </c>
    </row>
    <row r="791" ht="15.75" customHeight="1" s="58">
      <c r="A791" s="65" t="n"/>
      <c r="B791" s="65" t="n"/>
      <c r="C791" s="66" t="n"/>
      <c r="D791" s="66" t="n"/>
      <c r="E791" s="65" t="n"/>
      <c r="F791" s="65" t="n"/>
      <c r="G791" s="65" t="n"/>
      <c r="H791" s="65" t="n"/>
      <c r="I791" s="65" t="n"/>
      <c r="J791" s="65" t="n"/>
      <c r="K791" s="65" t="n"/>
      <c r="L791" s="65" t="n"/>
      <c r="M791" s="65" t="n"/>
      <c r="N791" s="65" t="n"/>
      <c r="O791" s="65" t="n"/>
      <c r="P791" s="65" t="n"/>
      <c r="Q791" s="32">
        <f>IF($C791="","",IF($J791="","— חסרים נתונים",IF($J791="טרם מפענח","פרופיל 5",IF($J791="קמץ/פתח/חטף-פתח ושוואים","פרופיל 4",IF($J791="2-3 סימני ניקוד","פרופיל 3",IF($J791="4-5 סימני ניקוד","פרופיל 2",IF(AND($O791="משפטים וקטעים קצרים",OR($M791="מבין",$M791="מבין לרוב")),"פרופיל 1","פרופיל 2")))))))</f>
        <v/>
      </c>
      <c r="R791" s="32">
        <f>IF($C791="","",IF(OR($Q791="",LEFT($Q791,1)="—"),"קבוצה רביעית",IF($Q791="פרופיל 5","קבוצת תשתיות",IF(OR($Q791="פרופיל 4",$Q791="פרופיל 3"),"קבוצת רכישה","קבוצת ביסוס"))))</f>
        <v/>
      </c>
      <c r="S791" s="32">
        <f>IF($F791="","",IF($F791="תחילת שנה",1,IF($F791="מחצית שנה",2,3)))</f>
        <v/>
      </c>
      <c r="T791" s="32">
        <f>IF(OR($B791="",$R791="",$A791="",$F791=""),"",$B791&amp;"|"&amp;$A791&amp;"|"&amp;$F791&amp;"|"&amp;$R791&amp;"|"&amp;COUNTIFS($B$6:$B791,$B791,$A$6:$A791,$A791,$F$6:$F791,$F791,$R$6:$R791,$R791))</f>
        <v/>
      </c>
      <c r="U791" s="32">
        <f>IF($C791="","",$C791&amp;"|"&amp;COUNTIFS($C$6:$C791,$C791))</f>
        <v/>
      </c>
      <c r="V791" s="32">
        <f>IF(OR($C791="",$A791="",$S791=""),"",$C791&amp;"|"&amp;$A791&amp;"|"&amp;$S791)</f>
        <v/>
      </c>
      <c r="W791" s="32">
        <f>IF(OR($C791="",$S791="",$S791=1),"",IFERROR(INDEX($Q$6:$Q$1505,MATCH($C791&amp;"|"&amp;$A791&amp;"|"&amp;($S791-1),$V$6:$V$1505,0)),""))</f>
        <v/>
      </c>
      <c r="X791" s="32">
        <f>IF(OR($W791="",$Q791="",LEFT($Q791,1)="—"),"",IF($W791=$Q791,"ללא שינוי","מ-"&amp;$W791&amp;" ל-"&amp;$Q791))</f>
        <v/>
      </c>
    </row>
    <row r="792" ht="15.75" customHeight="1" s="58">
      <c r="A792" s="65" t="n"/>
      <c r="B792" s="65" t="n"/>
      <c r="C792" s="66" t="n"/>
      <c r="D792" s="66" t="n"/>
      <c r="E792" s="65" t="n"/>
      <c r="F792" s="65" t="n"/>
      <c r="G792" s="65" t="n"/>
      <c r="H792" s="65" t="n"/>
      <c r="I792" s="65" t="n"/>
      <c r="J792" s="65" t="n"/>
      <c r="K792" s="65" t="n"/>
      <c r="L792" s="65" t="n"/>
      <c r="M792" s="65" t="n"/>
      <c r="N792" s="65" t="n"/>
      <c r="O792" s="65" t="n"/>
      <c r="P792" s="65" t="n"/>
      <c r="Q792" s="32">
        <f>IF($C792="","",IF($J792="","— חסרים נתונים",IF($J792="טרם מפענח","פרופיל 5",IF($J792="קמץ/פתח/חטף-פתח ושוואים","פרופיל 4",IF($J792="2-3 סימני ניקוד","פרופיל 3",IF($J792="4-5 סימני ניקוד","פרופיל 2",IF(AND($O792="משפטים וקטעים קצרים",OR($M792="מבין",$M792="מבין לרוב")),"פרופיל 1","פרופיל 2")))))))</f>
        <v/>
      </c>
      <c r="R792" s="32">
        <f>IF($C792="","",IF(OR($Q792="",LEFT($Q792,1)="—"),"קבוצה רביעית",IF($Q792="פרופיל 5","קבוצת תשתיות",IF(OR($Q792="פרופיל 4",$Q792="פרופיל 3"),"קבוצת רכישה","קבוצת ביסוס"))))</f>
        <v/>
      </c>
      <c r="S792" s="32">
        <f>IF($F792="","",IF($F792="תחילת שנה",1,IF($F792="מחצית שנה",2,3)))</f>
        <v/>
      </c>
      <c r="T792" s="32">
        <f>IF(OR($B792="",$R792="",$A792="",$F792=""),"",$B792&amp;"|"&amp;$A792&amp;"|"&amp;$F792&amp;"|"&amp;$R792&amp;"|"&amp;COUNTIFS($B$6:$B792,$B792,$A$6:$A792,$A792,$F$6:$F792,$F792,$R$6:$R792,$R792))</f>
        <v/>
      </c>
      <c r="U792" s="32">
        <f>IF($C792="","",$C792&amp;"|"&amp;COUNTIFS($C$6:$C792,$C792))</f>
        <v/>
      </c>
      <c r="V792" s="32">
        <f>IF(OR($C792="",$A792="",$S792=""),"",$C792&amp;"|"&amp;$A792&amp;"|"&amp;$S792)</f>
        <v/>
      </c>
      <c r="W792" s="32">
        <f>IF(OR($C792="",$S792="",$S792=1),"",IFERROR(INDEX($Q$6:$Q$1505,MATCH($C792&amp;"|"&amp;$A792&amp;"|"&amp;($S792-1),$V$6:$V$1505,0)),""))</f>
        <v/>
      </c>
      <c r="X792" s="32">
        <f>IF(OR($W792="",$Q792="",LEFT($Q792,1)="—"),"",IF($W792=$Q792,"ללא שינוי","מ-"&amp;$W792&amp;" ל-"&amp;$Q792))</f>
        <v/>
      </c>
    </row>
    <row r="793" ht="15.75" customHeight="1" s="58">
      <c r="A793" s="65" t="n"/>
      <c r="B793" s="65" t="n"/>
      <c r="C793" s="66" t="n"/>
      <c r="D793" s="66" t="n"/>
      <c r="E793" s="65" t="n"/>
      <c r="F793" s="65" t="n"/>
      <c r="G793" s="65" t="n"/>
      <c r="H793" s="65" t="n"/>
      <c r="I793" s="65" t="n"/>
      <c r="J793" s="65" t="n"/>
      <c r="K793" s="65" t="n"/>
      <c r="L793" s="65" t="n"/>
      <c r="M793" s="65" t="n"/>
      <c r="N793" s="65" t="n"/>
      <c r="O793" s="65" t="n"/>
      <c r="P793" s="65" t="n"/>
      <c r="Q793" s="32">
        <f>IF($C793="","",IF($J793="","— חסרים נתונים",IF($J793="טרם מפענח","פרופיל 5",IF($J793="קמץ/פתח/חטף-פתח ושוואים","פרופיל 4",IF($J793="2-3 סימני ניקוד","פרופיל 3",IF($J793="4-5 סימני ניקוד","פרופיל 2",IF(AND($O793="משפטים וקטעים קצרים",OR($M793="מבין",$M793="מבין לרוב")),"פרופיל 1","פרופיל 2")))))))</f>
        <v/>
      </c>
      <c r="R793" s="32">
        <f>IF($C793="","",IF(OR($Q793="",LEFT($Q793,1)="—"),"קבוצה רביעית",IF($Q793="פרופיל 5","קבוצת תשתיות",IF(OR($Q793="פרופיל 4",$Q793="פרופיל 3"),"קבוצת רכישה","קבוצת ביסוס"))))</f>
        <v/>
      </c>
      <c r="S793" s="32">
        <f>IF($F793="","",IF($F793="תחילת שנה",1,IF($F793="מחצית שנה",2,3)))</f>
        <v/>
      </c>
      <c r="T793" s="32">
        <f>IF(OR($B793="",$R793="",$A793="",$F793=""),"",$B793&amp;"|"&amp;$A793&amp;"|"&amp;$F793&amp;"|"&amp;$R793&amp;"|"&amp;COUNTIFS($B$6:$B793,$B793,$A$6:$A793,$A793,$F$6:$F793,$F793,$R$6:$R793,$R793))</f>
        <v/>
      </c>
      <c r="U793" s="32">
        <f>IF($C793="","",$C793&amp;"|"&amp;COUNTIFS($C$6:$C793,$C793))</f>
        <v/>
      </c>
      <c r="V793" s="32">
        <f>IF(OR($C793="",$A793="",$S793=""),"",$C793&amp;"|"&amp;$A793&amp;"|"&amp;$S793)</f>
        <v/>
      </c>
      <c r="W793" s="32">
        <f>IF(OR($C793="",$S793="",$S793=1),"",IFERROR(INDEX($Q$6:$Q$1505,MATCH($C793&amp;"|"&amp;$A793&amp;"|"&amp;($S793-1),$V$6:$V$1505,0)),""))</f>
        <v/>
      </c>
      <c r="X793" s="32">
        <f>IF(OR($W793="",$Q793="",LEFT($Q793,1)="—"),"",IF($W793=$Q793,"ללא שינוי","מ-"&amp;$W793&amp;" ל-"&amp;$Q793))</f>
        <v/>
      </c>
    </row>
    <row r="794" ht="15.75" customHeight="1" s="58">
      <c r="A794" s="65" t="n"/>
      <c r="B794" s="65" t="n"/>
      <c r="C794" s="66" t="n"/>
      <c r="D794" s="66" t="n"/>
      <c r="E794" s="65" t="n"/>
      <c r="F794" s="65" t="n"/>
      <c r="G794" s="65" t="n"/>
      <c r="H794" s="65" t="n"/>
      <c r="I794" s="65" t="n"/>
      <c r="J794" s="65" t="n"/>
      <c r="K794" s="65" t="n"/>
      <c r="L794" s="65" t="n"/>
      <c r="M794" s="65" t="n"/>
      <c r="N794" s="65" t="n"/>
      <c r="O794" s="65" t="n"/>
      <c r="P794" s="65" t="n"/>
      <c r="Q794" s="32">
        <f>IF($C794="","",IF($J794="","— חסרים נתונים",IF($J794="טרם מפענח","פרופיל 5",IF($J794="קמץ/פתח/חטף-פתח ושוואים","פרופיל 4",IF($J794="2-3 סימני ניקוד","פרופיל 3",IF($J794="4-5 סימני ניקוד","פרופיל 2",IF(AND($O794="משפטים וקטעים קצרים",OR($M794="מבין",$M794="מבין לרוב")),"פרופיל 1","פרופיל 2")))))))</f>
        <v/>
      </c>
      <c r="R794" s="32">
        <f>IF($C794="","",IF(OR($Q794="",LEFT($Q794,1)="—"),"קבוצה רביעית",IF($Q794="פרופיל 5","קבוצת תשתיות",IF(OR($Q794="פרופיל 4",$Q794="פרופיל 3"),"קבוצת רכישה","קבוצת ביסוס"))))</f>
        <v/>
      </c>
      <c r="S794" s="32">
        <f>IF($F794="","",IF($F794="תחילת שנה",1,IF($F794="מחצית שנה",2,3)))</f>
        <v/>
      </c>
      <c r="T794" s="32">
        <f>IF(OR($B794="",$R794="",$A794="",$F794=""),"",$B794&amp;"|"&amp;$A794&amp;"|"&amp;$F794&amp;"|"&amp;$R794&amp;"|"&amp;COUNTIFS($B$6:$B794,$B794,$A$6:$A794,$A794,$F$6:$F794,$F794,$R$6:$R794,$R794))</f>
        <v/>
      </c>
      <c r="U794" s="32">
        <f>IF($C794="","",$C794&amp;"|"&amp;COUNTIFS($C$6:$C794,$C794))</f>
        <v/>
      </c>
      <c r="V794" s="32">
        <f>IF(OR($C794="",$A794="",$S794=""),"",$C794&amp;"|"&amp;$A794&amp;"|"&amp;$S794)</f>
        <v/>
      </c>
      <c r="W794" s="32">
        <f>IF(OR($C794="",$S794="",$S794=1),"",IFERROR(INDEX($Q$6:$Q$1505,MATCH($C794&amp;"|"&amp;$A794&amp;"|"&amp;($S794-1),$V$6:$V$1505,0)),""))</f>
        <v/>
      </c>
      <c r="X794" s="32">
        <f>IF(OR($W794="",$Q794="",LEFT($Q794,1)="—"),"",IF($W794=$Q794,"ללא שינוי","מ-"&amp;$W794&amp;" ל-"&amp;$Q794))</f>
        <v/>
      </c>
    </row>
    <row r="795" ht="15.75" customHeight="1" s="58">
      <c r="A795" s="65" t="n"/>
      <c r="B795" s="65" t="n"/>
      <c r="C795" s="66" t="n"/>
      <c r="D795" s="66" t="n"/>
      <c r="E795" s="65" t="n"/>
      <c r="F795" s="65" t="n"/>
      <c r="G795" s="65" t="n"/>
      <c r="H795" s="65" t="n"/>
      <c r="I795" s="65" t="n"/>
      <c r="J795" s="65" t="n"/>
      <c r="K795" s="65" t="n"/>
      <c r="L795" s="65" t="n"/>
      <c r="M795" s="65" t="n"/>
      <c r="N795" s="65" t="n"/>
      <c r="O795" s="65" t="n"/>
      <c r="P795" s="65" t="n"/>
      <c r="Q795" s="32">
        <f>IF($C795="","",IF($J795="","— חסרים נתונים",IF($J795="טרם מפענח","פרופיל 5",IF($J795="קמץ/פתח/חטף-פתח ושוואים","פרופיל 4",IF($J795="2-3 סימני ניקוד","פרופיל 3",IF($J795="4-5 סימני ניקוד","פרופיל 2",IF(AND($O795="משפטים וקטעים קצרים",OR($M795="מבין",$M795="מבין לרוב")),"פרופיל 1","פרופיל 2")))))))</f>
        <v/>
      </c>
      <c r="R795" s="32">
        <f>IF($C795="","",IF(OR($Q795="",LEFT($Q795,1)="—"),"קבוצה רביעית",IF($Q795="פרופיל 5","קבוצת תשתיות",IF(OR($Q795="פרופיל 4",$Q795="פרופיל 3"),"קבוצת רכישה","קבוצת ביסוס"))))</f>
        <v/>
      </c>
      <c r="S795" s="32">
        <f>IF($F795="","",IF($F795="תחילת שנה",1,IF($F795="מחצית שנה",2,3)))</f>
        <v/>
      </c>
      <c r="T795" s="32">
        <f>IF(OR($B795="",$R795="",$A795="",$F795=""),"",$B795&amp;"|"&amp;$A795&amp;"|"&amp;$F795&amp;"|"&amp;$R795&amp;"|"&amp;COUNTIFS($B$6:$B795,$B795,$A$6:$A795,$A795,$F$6:$F795,$F795,$R$6:$R795,$R795))</f>
        <v/>
      </c>
      <c r="U795" s="32">
        <f>IF($C795="","",$C795&amp;"|"&amp;COUNTIFS($C$6:$C795,$C795))</f>
        <v/>
      </c>
      <c r="V795" s="32">
        <f>IF(OR($C795="",$A795="",$S795=""),"",$C795&amp;"|"&amp;$A795&amp;"|"&amp;$S795)</f>
        <v/>
      </c>
      <c r="W795" s="32">
        <f>IF(OR($C795="",$S795="",$S795=1),"",IFERROR(INDEX($Q$6:$Q$1505,MATCH($C795&amp;"|"&amp;$A795&amp;"|"&amp;($S795-1),$V$6:$V$1505,0)),""))</f>
        <v/>
      </c>
      <c r="X795" s="32">
        <f>IF(OR($W795="",$Q795="",LEFT($Q795,1)="—"),"",IF($W795=$Q795,"ללא שינוי","מ-"&amp;$W795&amp;" ל-"&amp;$Q795))</f>
        <v/>
      </c>
    </row>
    <row r="796" ht="15.75" customHeight="1" s="58">
      <c r="A796" s="65" t="n"/>
      <c r="B796" s="65" t="n"/>
      <c r="C796" s="66" t="n"/>
      <c r="D796" s="66" t="n"/>
      <c r="E796" s="65" t="n"/>
      <c r="F796" s="65" t="n"/>
      <c r="G796" s="65" t="n"/>
      <c r="H796" s="65" t="n"/>
      <c r="I796" s="65" t="n"/>
      <c r="J796" s="65" t="n"/>
      <c r="K796" s="65" t="n"/>
      <c r="L796" s="65" t="n"/>
      <c r="M796" s="65" t="n"/>
      <c r="N796" s="65" t="n"/>
      <c r="O796" s="65" t="n"/>
      <c r="P796" s="65" t="n"/>
      <c r="Q796" s="32">
        <f>IF($C796="","",IF($J796="","— חסרים נתונים",IF($J796="טרם מפענח","פרופיל 5",IF($J796="קמץ/פתח/חטף-פתח ושוואים","פרופיל 4",IF($J796="2-3 סימני ניקוד","פרופיל 3",IF($J796="4-5 סימני ניקוד","פרופיל 2",IF(AND($O796="משפטים וקטעים קצרים",OR($M796="מבין",$M796="מבין לרוב")),"פרופיל 1","פרופיל 2")))))))</f>
        <v/>
      </c>
      <c r="R796" s="32">
        <f>IF($C796="","",IF(OR($Q796="",LEFT($Q796,1)="—"),"קבוצה רביעית",IF($Q796="פרופיל 5","קבוצת תשתיות",IF(OR($Q796="פרופיל 4",$Q796="פרופיל 3"),"קבוצת רכישה","קבוצת ביסוס"))))</f>
        <v/>
      </c>
      <c r="S796" s="32">
        <f>IF($F796="","",IF($F796="תחילת שנה",1,IF($F796="מחצית שנה",2,3)))</f>
        <v/>
      </c>
      <c r="T796" s="32">
        <f>IF(OR($B796="",$R796="",$A796="",$F796=""),"",$B796&amp;"|"&amp;$A796&amp;"|"&amp;$F796&amp;"|"&amp;$R796&amp;"|"&amp;COUNTIFS($B$6:$B796,$B796,$A$6:$A796,$A796,$F$6:$F796,$F796,$R$6:$R796,$R796))</f>
        <v/>
      </c>
      <c r="U796" s="32">
        <f>IF($C796="","",$C796&amp;"|"&amp;COUNTIFS($C$6:$C796,$C796))</f>
        <v/>
      </c>
      <c r="V796" s="32">
        <f>IF(OR($C796="",$A796="",$S796=""),"",$C796&amp;"|"&amp;$A796&amp;"|"&amp;$S796)</f>
        <v/>
      </c>
      <c r="W796" s="32">
        <f>IF(OR($C796="",$S796="",$S796=1),"",IFERROR(INDEX($Q$6:$Q$1505,MATCH($C796&amp;"|"&amp;$A796&amp;"|"&amp;($S796-1),$V$6:$V$1505,0)),""))</f>
        <v/>
      </c>
      <c r="X796" s="32">
        <f>IF(OR($W796="",$Q796="",LEFT($Q796,1)="—"),"",IF($W796=$Q796,"ללא שינוי","מ-"&amp;$W796&amp;" ל-"&amp;$Q796))</f>
        <v/>
      </c>
    </row>
    <row r="797" ht="15.75" customHeight="1" s="58">
      <c r="A797" s="65" t="n"/>
      <c r="B797" s="65" t="n"/>
      <c r="C797" s="66" t="n"/>
      <c r="D797" s="66" t="n"/>
      <c r="E797" s="65" t="n"/>
      <c r="F797" s="65" t="n"/>
      <c r="G797" s="65" t="n"/>
      <c r="H797" s="65" t="n"/>
      <c r="I797" s="65" t="n"/>
      <c r="J797" s="65" t="n"/>
      <c r="K797" s="65" t="n"/>
      <c r="L797" s="65" t="n"/>
      <c r="M797" s="65" t="n"/>
      <c r="N797" s="65" t="n"/>
      <c r="O797" s="65" t="n"/>
      <c r="P797" s="65" t="n"/>
      <c r="Q797" s="32">
        <f>IF($C797="","",IF($J797="","— חסרים נתונים",IF($J797="טרם מפענח","פרופיל 5",IF($J797="קמץ/פתח/חטף-פתח ושוואים","פרופיל 4",IF($J797="2-3 סימני ניקוד","פרופיל 3",IF($J797="4-5 סימני ניקוד","פרופיל 2",IF(AND($O797="משפטים וקטעים קצרים",OR($M797="מבין",$M797="מבין לרוב")),"פרופיל 1","פרופיל 2")))))))</f>
        <v/>
      </c>
      <c r="R797" s="32">
        <f>IF($C797="","",IF(OR($Q797="",LEFT($Q797,1)="—"),"קבוצה רביעית",IF($Q797="פרופיל 5","קבוצת תשתיות",IF(OR($Q797="פרופיל 4",$Q797="פרופיל 3"),"קבוצת רכישה","קבוצת ביסוס"))))</f>
        <v/>
      </c>
      <c r="S797" s="32">
        <f>IF($F797="","",IF($F797="תחילת שנה",1,IF($F797="מחצית שנה",2,3)))</f>
        <v/>
      </c>
      <c r="T797" s="32">
        <f>IF(OR($B797="",$R797="",$A797="",$F797=""),"",$B797&amp;"|"&amp;$A797&amp;"|"&amp;$F797&amp;"|"&amp;$R797&amp;"|"&amp;COUNTIFS($B$6:$B797,$B797,$A$6:$A797,$A797,$F$6:$F797,$F797,$R$6:$R797,$R797))</f>
        <v/>
      </c>
      <c r="U797" s="32">
        <f>IF($C797="","",$C797&amp;"|"&amp;COUNTIFS($C$6:$C797,$C797))</f>
        <v/>
      </c>
      <c r="V797" s="32">
        <f>IF(OR($C797="",$A797="",$S797=""),"",$C797&amp;"|"&amp;$A797&amp;"|"&amp;$S797)</f>
        <v/>
      </c>
      <c r="W797" s="32">
        <f>IF(OR($C797="",$S797="",$S797=1),"",IFERROR(INDEX($Q$6:$Q$1505,MATCH($C797&amp;"|"&amp;$A797&amp;"|"&amp;($S797-1),$V$6:$V$1505,0)),""))</f>
        <v/>
      </c>
      <c r="X797" s="32">
        <f>IF(OR($W797="",$Q797="",LEFT($Q797,1)="—"),"",IF($W797=$Q797,"ללא שינוי","מ-"&amp;$W797&amp;" ל-"&amp;$Q797))</f>
        <v/>
      </c>
    </row>
    <row r="798" ht="15.75" customHeight="1" s="58">
      <c r="A798" s="65" t="n"/>
      <c r="B798" s="65" t="n"/>
      <c r="C798" s="66" t="n"/>
      <c r="D798" s="66" t="n"/>
      <c r="E798" s="65" t="n"/>
      <c r="F798" s="65" t="n"/>
      <c r="G798" s="65" t="n"/>
      <c r="H798" s="65" t="n"/>
      <c r="I798" s="65" t="n"/>
      <c r="J798" s="65" t="n"/>
      <c r="K798" s="65" t="n"/>
      <c r="L798" s="65" t="n"/>
      <c r="M798" s="65" t="n"/>
      <c r="N798" s="65" t="n"/>
      <c r="O798" s="65" t="n"/>
      <c r="P798" s="65" t="n"/>
      <c r="Q798" s="32">
        <f>IF($C798="","",IF($J798="","— חסרים נתונים",IF($J798="טרם מפענח","פרופיל 5",IF($J798="קמץ/פתח/חטף-פתח ושוואים","פרופיל 4",IF($J798="2-3 סימני ניקוד","פרופיל 3",IF($J798="4-5 סימני ניקוד","פרופיל 2",IF(AND($O798="משפטים וקטעים קצרים",OR($M798="מבין",$M798="מבין לרוב")),"פרופיל 1","פרופיל 2")))))))</f>
        <v/>
      </c>
      <c r="R798" s="32">
        <f>IF($C798="","",IF(OR($Q798="",LEFT($Q798,1)="—"),"קבוצה רביעית",IF($Q798="פרופיל 5","קבוצת תשתיות",IF(OR($Q798="פרופיל 4",$Q798="פרופיל 3"),"קבוצת רכישה","קבוצת ביסוס"))))</f>
        <v/>
      </c>
      <c r="S798" s="32">
        <f>IF($F798="","",IF($F798="תחילת שנה",1,IF($F798="מחצית שנה",2,3)))</f>
        <v/>
      </c>
      <c r="T798" s="32">
        <f>IF(OR($B798="",$R798="",$A798="",$F798=""),"",$B798&amp;"|"&amp;$A798&amp;"|"&amp;$F798&amp;"|"&amp;$R798&amp;"|"&amp;COUNTIFS($B$6:$B798,$B798,$A$6:$A798,$A798,$F$6:$F798,$F798,$R$6:$R798,$R798))</f>
        <v/>
      </c>
      <c r="U798" s="32">
        <f>IF($C798="","",$C798&amp;"|"&amp;COUNTIFS($C$6:$C798,$C798))</f>
        <v/>
      </c>
      <c r="V798" s="32">
        <f>IF(OR($C798="",$A798="",$S798=""),"",$C798&amp;"|"&amp;$A798&amp;"|"&amp;$S798)</f>
        <v/>
      </c>
      <c r="W798" s="32">
        <f>IF(OR($C798="",$S798="",$S798=1),"",IFERROR(INDEX($Q$6:$Q$1505,MATCH($C798&amp;"|"&amp;$A798&amp;"|"&amp;($S798-1),$V$6:$V$1505,0)),""))</f>
        <v/>
      </c>
      <c r="X798" s="32">
        <f>IF(OR($W798="",$Q798="",LEFT($Q798,1)="—"),"",IF($W798=$Q798,"ללא שינוי","מ-"&amp;$W798&amp;" ל-"&amp;$Q798))</f>
        <v/>
      </c>
    </row>
    <row r="799" ht="15.75" customHeight="1" s="58">
      <c r="A799" s="65" t="n"/>
      <c r="B799" s="65" t="n"/>
      <c r="C799" s="66" t="n"/>
      <c r="D799" s="66" t="n"/>
      <c r="E799" s="65" t="n"/>
      <c r="F799" s="65" t="n"/>
      <c r="G799" s="65" t="n"/>
      <c r="H799" s="65" t="n"/>
      <c r="I799" s="65" t="n"/>
      <c r="J799" s="65" t="n"/>
      <c r="K799" s="65" t="n"/>
      <c r="L799" s="65" t="n"/>
      <c r="M799" s="65" t="n"/>
      <c r="N799" s="65" t="n"/>
      <c r="O799" s="65" t="n"/>
      <c r="P799" s="65" t="n"/>
      <c r="Q799" s="32">
        <f>IF($C799="","",IF($J799="","— חסרים נתונים",IF($J799="טרם מפענח","פרופיל 5",IF($J799="קמץ/פתח/חטף-פתח ושוואים","פרופיל 4",IF($J799="2-3 סימני ניקוד","פרופיל 3",IF($J799="4-5 סימני ניקוד","פרופיל 2",IF(AND($O799="משפטים וקטעים קצרים",OR($M799="מבין",$M799="מבין לרוב")),"פרופיל 1","פרופיל 2")))))))</f>
        <v/>
      </c>
      <c r="R799" s="32">
        <f>IF($C799="","",IF(OR($Q799="",LEFT($Q799,1)="—"),"קבוצה רביעית",IF($Q799="פרופיל 5","קבוצת תשתיות",IF(OR($Q799="פרופיל 4",$Q799="פרופיל 3"),"קבוצת רכישה","קבוצת ביסוס"))))</f>
        <v/>
      </c>
      <c r="S799" s="32">
        <f>IF($F799="","",IF($F799="תחילת שנה",1,IF($F799="מחצית שנה",2,3)))</f>
        <v/>
      </c>
      <c r="T799" s="32">
        <f>IF(OR($B799="",$R799="",$A799="",$F799=""),"",$B799&amp;"|"&amp;$A799&amp;"|"&amp;$F799&amp;"|"&amp;$R799&amp;"|"&amp;COUNTIFS($B$6:$B799,$B799,$A$6:$A799,$A799,$F$6:$F799,$F799,$R$6:$R799,$R799))</f>
        <v/>
      </c>
      <c r="U799" s="32">
        <f>IF($C799="","",$C799&amp;"|"&amp;COUNTIFS($C$6:$C799,$C799))</f>
        <v/>
      </c>
      <c r="V799" s="32">
        <f>IF(OR($C799="",$A799="",$S799=""),"",$C799&amp;"|"&amp;$A799&amp;"|"&amp;$S799)</f>
        <v/>
      </c>
      <c r="W799" s="32">
        <f>IF(OR($C799="",$S799="",$S799=1),"",IFERROR(INDEX($Q$6:$Q$1505,MATCH($C799&amp;"|"&amp;$A799&amp;"|"&amp;($S799-1),$V$6:$V$1505,0)),""))</f>
        <v/>
      </c>
      <c r="X799" s="32">
        <f>IF(OR($W799="",$Q799="",LEFT($Q799,1)="—"),"",IF($W799=$Q799,"ללא שינוי","מ-"&amp;$W799&amp;" ל-"&amp;$Q799))</f>
        <v/>
      </c>
    </row>
    <row r="800" ht="15.75" customHeight="1" s="58">
      <c r="A800" s="65" t="n"/>
      <c r="B800" s="65" t="n"/>
      <c r="C800" s="66" t="n"/>
      <c r="D800" s="66" t="n"/>
      <c r="E800" s="65" t="n"/>
      <c r="F800" s="65" t="n"/>
      <c r="G800" s="65" t="n"/>
      <c r="H800" s="65" t="n"/>
      <c r="I800" s="65" t="n"/>
      <c r="J800" s="65" t="n"/>
      <c r="K800" s="65" t="n"/>
      <c r="L800" s="65" t="n"/>
      <c r="M800" s="65" t="n"/>
      <c r="N800" s="65" t="n"/>
      <c r="O800" s="65" t="n"/>
      <c r="P800" s="65" t="n"/>
      <c r="Q800" s="32">
        <f>IF($C800="","",IF($J800="","— חסרים נתונים",IF($J800="טרם מפענח","פרופיל 5",IF($J800="קמץ/פתח/חטף-פתח ושוואים","פרופיל 4",IF($J800="2-3 סימני ניקוד","פרופיל 3",IF($J800="4-5 סימני ניקוד","פרופיל 2",IF(AND($O800="משפטים וקטעים קצרים",OR($M800="מבין",$M800="מבין לרוב")),"פרופיל 1","פרופיל 2")))))))</f>
        <v/>
      </c>
      <c r="R800" s="32">
        <f>IF($C800="","",IF(OR($Q800="",LEFT($Q800,1)="—"),"קבוצה רביעית",IF($Q800="פרופיל 5","קבוצת תשתיות",IF(OR($Q800="פרופיל 4",$Q800="פרופיל 3"),"קבוצת רכישה","קבוצת ביסוס"))))</f>
        <v/>
      </c>
      <c r="S800" s="32">
        <f>IF($F800="","",IF($F800="תחילת שנה",1,IF($F800="מחצית שנה",2,3)))</f>
        <v/>
      </c>
      <c r="T800" s="32">
        <f>IF(OR($B800="",$R800="",$A800="",$F800=""),"",$B800&amp;"|"&amp;$A800&amp;"|"&amp;$F800&amp;"|"&amp;$R800&amp;"|"&amp;COUNTIFS($B$6:$B800,$B800,$A$6:$A800,$A800,$F$6:$F800,$F800,$R$6:$R800,$R800))</f>
        <v/>
      </c>
      <c r="U800" s="32">
        <f>IF($C800="","",$C800&amp;"|"&amp;COUNTIFS($C$6:$C800,$C800))</f>
        <v/>
      </c>
      <c r="V800" s="32">
        <f>IF(OR($C800="",$A800="",$S800=""),"",$C800&amp;"|"&amp;$A800&amp;"|"&amp;$S800)</f>
        <v/>
      </c>
      <c r="W800" s="32">
        <f>IF(OR($C800="",$S800="",$S800=1),"",IFERROR(INDEX($Q$6:$Q$1505,MATCH($C800&amp;"|"&amp;$A800&amp;"|"&amp;($S800-1),$V$6:$V$1505,0)),""))</f>
        <v/>
      </c>
      <c r="X800" s="32">
        <f>IF(OR($W800="",$Q800="",LEFT($Q800,1)="—"),"",IF($W800=$Q800,"ללא שינוי","מ-"&amp;$W800&amp;" ל-"&amp;$Q800))</f>
        <v/>
      </c>
    </row>
    <row r="801" ht="15.75" customHeight="1" s="58">
      <c r="A801" s="65" t="n"/>
      <c r="B801" s="65" t="n"/>
      <c r="C801" s="66" t="n"/>
      <c r="D801" s="66" t="n"/>
      <c r="E801" s="65" t="n"/>
      <c r="F801" s="65" t="n"/>
      <c r="G801" s="65" t="n"/>
      <c r="H801" s="65" t="n"/>
      <c r="I801" s="65" t="n"/>
      <c r="J801" s="65" t="n"/>
      <c r="K801" s="65" t="n"/>
      <c r="L801" s="65" t="n"/>
      <c r="M801" s="65" t="n"/>
      <c r="N801" s="65" t="n"/>
      <c r="O801" s="65" t="n"/>
      <c r="P801" s="65" t="n"/>
      <c r="Q801" s="32">
        <f>IF($C801="","",IF($J801="","— חסרים נתונים",IF($J801="טרם מפענח","פרופיל 5",IF($J801="קמץ/פתח/חטף-פתח ושוואים","פרופיל 4",IF($J801="2-3 סימני ניקוד","פרופיל 3",IF($J801="4-5 סימני ניקוד","פרופיל 2",IF(AND($O801="משפטים וקטעים קצרים",OR($M801="מבין",$M801="מבין לרוב")),"פרופיל 1","פרופיל 2")))))))</f>
        <v/>
      </c>
      <c r="R801" s="32">
        <f>IF($C801="","",IF(OR($Q801="",LEFT($Q801,1)="—"),"קבוצה רביעית",IF($Q801="פרופיל 5","קבוצת תשתיות",IF(OR($Q801="פרופיל 4",$Q801="פרופיל 3"),"קבוצת רכישה","קבוצת ביסוס"))))</f>
        <v/>
      </c>
      <c r="S801" s="32">
        <f>IF($F801="","",IF($F801="תחילת שנה",1,IF($F801="מחצית שנה",2,3)))</f>
        <v/>
      </c>
      <c r="T801" s="32">
        <f>IF(OR($B801="",$R801="",$A801="",$F801=""),"",$B801&amp;"|"&amp;$A801&amp;"|"&amp;$F801&amp;"|"&amp;$R801&amp;"|"&amp;COUNTIFS($B$6:$B801,$B801,$A$6:$A801,$A801,$F$6:$F801,$F801,$R$6:$R801,$R801))</f>
        <v/>
      </c>
      <c r="U801" s="32">
        <f>IF($C801="","",$C801&amp;"|"&amp;COUNTIFS($C$6:$C801,$C801))</f>
        <v/>
      </c>
      <c r="V801" s="32">
        <f>IF(OR($C801="",$A801="",$S801=""),"",$C801&amp;"|"&amp;$A801&amp;"|"&amp;$S801)</f>
        <v/>
      </c>
      <c r="W801" s="32">
        <f>IF(OR($C801="",$S801="",$S801=1),"",IFERROR(INDEX($Q$6:$Q$1505,MATCH($C801&amp;"|"&amp;$A801&amp;"|"&amp;($S801-1),$V$6:$V$1505,0)),""))</f>
        <v/>
      </c>
      <c r="X801" s="32">
        <f>IF(OR($W801="",$Q801="",LEFT($Q801,1)="—"),"",IF($W801=$Q801,"ללא שינוי","מ-"&amp;$W801&amp;" ל-"&amp;$Q801))</f>
        <v/>
      </c>
    </row>
    <row r="802" ht="15.75" customHeight="1" s="58">
      <c r="A802" s="65" t="n"/>
      <c r="B802" s="65" t="n"/>
      <c r="C802" s="66" t="n"/>
      <c r="D802" s="66" t="n"/>
      <c r="E802" s="65" t="n"/>
      <c r="F802" s="65" t="n"/>
      <c r="G802" s="65" t="n"/>
      <c r="H802" s="65" t="n"/>
      <c r="I802" s="65" t="n"/>
      <c r="J802" s="65" t="n"/>
      <c r="K802" s="65" t="n"/>
      <c r="L802" s="65" t="n"/>
      <c r="M802" s="65" t="n"/>
      <c r="N802" s="65" t="n"/>
      <c r="O802" s="65" t="n"/>
      <c r="P802" s="65" t="n"/>
      <c r="Q802" s="32">
        <f>IF($C802="","",IF($J802="","— חסרים נתונים",IF($J802="טרם מפענח","פרופיל 5",IF($J802="קמץ/פתח/חטף-פתח ושוואים","פרופיל 4",IF($J802="2-3 סימני ניקוד","פרופיל 3",IF($J802="4-5 סימני ניקוד","פרופיל 2",IF(AND($O802="משפטים וקטעים קצרים",OR($M802="מבין",$M802="מבין לרוב")),"פרופיל 1","פרופיל 2")))))))</f>
        <v/>
      </c>
      <c r="R802" s="32">
        <f>IF($C802="","",IF(OR($Q802="",LEFT($Q802,1)="—"),"קבוצה רביעית",IF($Q802="פרופיל 5","קבוצת תשתיות",IF(OR($Q802="פרופיל 4",$Q802="פרופיל 3"),"קבוצת רכישה","קבוצת ביסוס"))))</f>
        <v/>
      </c>
      <c r="S802" s="32">
        <f>IF($F802="","",IF($F802="תחילת שנה",1,IF($F802="מחצית שנה",2,3)))</f>
        <v/>
      </c>
      <c r="T802" s="32">
        <f>IF(OR($B802="",$R802="",$A802="",$F802=""),"",$B802&amp;"|"&amp;$A802&amp;"|"&amp;$F802&amp;"|"&amp;$R802&amp;"|"&amp;COUNTIFS($B$6:$B802,$B802,$A$6:$A802,$A802,$F$6:$F802,$F802,$R$6:$R802,$R802))</f>
        <v/>
      </c>
      <c r="U802" s="32">
        <f>IF($C802="","",$C802&amp;"|"&amp;COUNTIFS($C$6:$C802,$C802))</f>
        <v/>
      </c>
      <c r="V802" s="32">
        <f>IF(OR($C802="",$A802="",$S802=""),"",$C802&amp;"|"&amp;$A802&amp;"|"&amp;$S802)</f>
        <v/>
      </c>
      <c r="W802" s="32">
        <f>IF(OR($C802="",$S802="",$S802=1),"",IFERROR(INDEX($Q$6:$Q$1505,MATCH($C802&amp;"|"&amp;$A802&amp;"|"&amp;($S802-1),$V$6:$V$1505,0)),""))</f>
        <v/>
      </c>
      <c r="X802" s="32">
        <f>IF(OR($W802="",$Q802="",LEFT($Q802,1)="—"),"",IF($W802=$Q802,"ללא שינוי","מ-"&amp;$W802&amp;" ל-"&amp;$Q802))</f>
        <v/>
      </c>
    </row>
    <row r="803" ht="15.75" customHeight="1" s="58">
      <c r="A803" s="65" t="n"/>
      <c r="B803" s="65" t="n"/>
      <c r="C803" s="66" t="n"/>
      <c r="D803" s="66" t="n"/>
      <c r="E803" s="65" t="n"/>
      <c r="F803" s="65" t="n"/>
      <c r="G803" s="65" t="n"/>
      <c r="H803" s="65" t="n"/>
      <c r="I803" s="65" t="n"/>
      <c r="J803" s="65" t="n"/>
      <c r="K803" s="65" t="n"/>
      <c r="L803" s="65" t="n"/>
      <c r="M803" s="65" t="n"/>
      <c r="N803" s="65" t="n"/>
      <c r="O803" s="65" t="n"/>
      <c r="P803" s="65" t="n"/>
      <c r="Q803" s="32">
        <f>IF($C803="","",IF($J803="","— חסרים נתונים",IF($J803="טרם מפענח","פרופיל 5",IF($J803="קמץ/פתח/חטף-פתח ושוואים","פרופיל 4",IF($J803="2-3 סימני ניקוד","פרופיל 3",IF($J803="4-5 סימני ניקוד","פרופיל 2",IF(AND($O803="משפטים וקטעים קצרים",OR($M803="מבין",$M803="מבין לרוב")),"פרופיל 1","פרופיל 2")))))))</f>
        <v/>
      </c>
      <c r="R803" s="32">
        <f>IF($C803="","",IF(OR($Q803="",LEFT($Q803,1)="—"),"קבוצה רביעית",IF($Q803="פרופיל 5","קבוצת תשתיות",IF(OR($Q803="פרופיל 4",$Q803="פרופיל 3"),"קבוצת רכישה","קבוצת ביסוס"))))</f>
        <v/>
      </c>
      <c r="S803" s="32">
        <f>IF($F803="","",IF($F803="תחילת שנה",1,IF($F803="מחצית שנה",2,3)))</f>
        <v/>
      </c>
      <c r="T803" s="32">
        <f>IF(OR($B803="",$R803="",$A803="",$F803=""),"",$B803&amp;"|"&amp;$A803&amp;"|"&amp;$F803&amp;"|"&amp;$R803&amp;"|"&amp;COUNTIFS($B$6:$B803,$B803,$A$6:$A803,$A803,$F$6:$F803,$F803,$R$6:$R803,$R803))</f>
        <v/>
      </c>
      <c r="U803" s="32">
        <f>IF($C803="","",$C803&amp;"|"&amp;COUNTIFS($C$6:$C803,$C803))</f>
        <v/>
      </c>
      <c r="V803" s="32">
        <f>IF(OR($C803="",$A803="",$S803=""),"",$C803&amp;"|"&amp;$A803&amp;"|"&amp;$S803)</f>
        <v/>
      </c>
      <c r="W803" s="32">
        <f>IF(OR($C803="",$S803="",$S803=1),"",IFERROR(INDEX($Q$6:$Q$1505,MATCH($C803&amp;"|"&amp;$A803&amp;"|"&amp;($S803-1),$V$6:$V$1505,0)),""))</f>
        <v/>
      </c>
      <c r="X803" s="32">
        <f>IF(OR($W803="",$Q803="",LEFT($Q803,1)="—"),"",IF($W803=$Q803,"ללא שינוי","מ-"&amp;$W803&amp;" ל-"&amp;$Q803))</f>
        <v/>
      </c>
    </row>
    <row r="804" ht="15.75" customHeight="1" s="58">
      <c r="A804" s="65" t="n"/>
      <c r="B804" s="65" t="n"/>
      <c r="C804" s="66" t="n"/>
      <c r="D804" s="66" t="n"/>
      <c r="E804" s="65" t="n"/>
      <c r="F804" s="65" t="n"/>
      <c r="G804" s="65" t="n"/>
      <c r="H804" s="65" t="n"/>
      <c r="I804" s="65" t="n"/>
      <c r="J804" s="65" t="n"/>
      <c r="K804" s="65" t="n"/>
      <c r="L804" s="65" t="n"/>
      <c r="M804" s="65" t="n"/>
      <c r="N804" s="65" t="n"/>
      <c r="O804" s="65" t="n"/>
      <c r="P804" s="65" t="n"/>
      <c r="Q804" s="32">
        <f>IF($C804="","",IF($J804="","— חסרים נתונים",IF($J804="טרם מפענח","פרופיל 5",IF($J804="קמץ/פתח/חטף-פתח ושוואים","פרופיל 4",IF($J804="2-3 סימני ניקוד","פרופיל 3",IF($J804="4-5 סימני ניקוד","פרופיל 2",IF(AND($O804="משפטים וקטעים קצרים",OR($M804="מבין",$M804="מבין לרוב")),"פרופיל 1","פרופיל 2")))))))</f>
        <v/>
      </c>
      <c r="R804" s="32">
        <f>IF($C804="","",IF(OR($Q804="",LEFT($Q804,1)="—"),"קבוצה רביעית",IF($Q804="פרופיל 5","קבוצת תשתיות",IF(OR($Q804="פרופיל 4",$Q804="פרופיל 3"),"קבוצת רכישה","קבוצת ביסוס"))))</f>
        <v/>
      </c>
      <c r="S804" s="32">
        <f>IF($F804="","",IF($F804="תחילת שנה",1,IF($F804="מחצית שנה",2,3)))</f>
        <v/>
      </c>
      <c r="T804" s="32">
        <f>IF(OR($B804="",$R804="",$A804="",$F804=""),"",$B804&amp;"|"&amp;$A804&amp;"|"&amp;$F804&amp;"|"&amp;$R804&amp;"|"&amp;COUNTIFS($B$6:$B804,$B804,$A$6:$A804,$A804,$F$6:$F804,$F804,$R$6:$R804,$R804))</f>
        <v/>
      </c>
      <c r="U804" s="32">
        <f>IF($C804="","",$C804&amp;"|"&amp;COUNTIFS($C$6:$C804,$C804))</f>
        <v/>
      </c>
      <c r="V804" s="32">
        <f>IF(OR($C804="",$A804="",$S804=""),"",$C804&amp;"|"&amp;$A804&amp;"|"&amp;$S804)</f>
        <v/>
      </c>
      <c r="W804" s="32">
        <f>IF(OR($C804="",$S804="",$S804=1),"",IFERROR(INDEX($Q$6:$Q$1505,MATCH($C804&amp;"|"&amp;$A804&amp;"|"&amp;($S804-1),$V$6:$V$1505,0)),""))</f>
        <v/>
      </c>
      <c r="X804" s="32">
        <f>IF(OR($W804="",$Q804="",LEFT($Q804,1)="—"),"",IF($W804=$Q804,"ללא שינוי","מ-"&amp;$W804&amp;" ל-"&amp;$Q804))</f>
        <v/>
      </c>
    </row>
    <row r="805" ht="15.75" customHeight="1" s="58">
      <c r="A805" s="65" t="n"/>
      <c r="B805" s="65" t="n"/>
      <c r="C805" s="66" t="n"/>
      <c r="D805" s="66" t="n"/>
      <c r="E805" s="65" t="n"/>
      <c r="F805" s="65" t="n"/>
      <c r="G805" s="65" t="n"/>
      <c r="H805" s="65" t="n"/>
      <c r="I805" s="65" t="n"/>
      <c r="J805" s="65" t="n"/>
      <c r="K805" s="65" t="n"/>
      <c r="L805" s="65" t="n"/>
      <c r="M805" s="65" t="n"/>
      <c r="N805" s="65" t="n"/>
      <c r="O805" s="65" t="n"/>
      <c r="P805" s="65" t="n"/>
      <c r="Q805" s="32">
        <f>IF($C805="","",IF($J805="","— חסרים נתונים",IF($J805="טרם מפענח","פרופיל 5",IF($J805="קמץ/פתח/חטף-פתח ושוואים","פרופיל 4",IF($J805="2-3 סימני ניקוד","פרופיל 3",IF($J805="4-5 סימני ניקוד","פרופיל 2",IF(AND($O805="משפטים וקטעים קצרים",OR($M805="מבין",$M805="מבין לרוב")),"פרופיל 1","פרופיל 2")))))))</f>
        <v/>
      </c>
      <c r="R805" s="32">
        <f>IF($C805="","",IF(OR($Q805="",LEFT($Q805,1)="—"),"קבוצה רביעית",IF($Q805="פרופיל 5","קבוצת תשתיות",IF(OR($Q805="פרופיל 4",$Q805="פרופיל 3"),"קבוצת רכישה","קבוצת ביסוס"))))</f>
        <v/>
      </c>
      <c r="S805" s="32">
        <f>IF($F805="","",IF($F805="תחילת שנה",1,IF($F805="מחצית שנה",2,3)))</f>
        <v/>
      </c>
      <c r="T805" s="32">
        <f>IF(OR($B805="",$R805="",$A805="",$F805=""),"",$B805&amp;"|"&amp;$A805&amp;"|"&amp;$F805&amp;"|"&amp;$R805&amp;"|"&amp;COUNTIFS($B$6:$B805,$B805,$A$6:$A805,$A805,$F$6:$F805,$F805,$R$6:$R805,$R805))</f>
        <v/>
      </c>
      <c r="U805" s="32">
        <f>IF($C805="","",$C805&amp;"|"&amp;COUNTIFS($C$6:$C805,$C805))</f>
        <v/>
      </c>
      <c r="V805" s="32">
        <f>IF(OR($C805="",$A805="",$S805=""),"",$C805&amp;"|"&amp;$A805&amp;"|"&amp;$S805)</f>
        <v/>
      </c>
      <c r="W805" s="32">
        <f>IF(OR($C805="",$S805="",$S805=1),"",IFERROR(INDEX($Q$6:$Q$1505,MATCH($C805&amp;"|"&amp;$A805&amp;"|"&amp;($S805-1),$V$6:$V$1505,0)),""))</f>
        <v/>
      </c>
      <c r="X805" s="32">
        <f>IF(OR($W805="",$Q805="",LEFT($Q805,1)="—"),"",IF($W805=$Q805,"ללא שינוי","מ-"&amp;$W805&amp;" ל-"&amp;$Q805))</f>
        <v/>
      </c>
    </row>
    <row r="806" ht="15.75" customHeight="1" s="58">
      <c r="A806" s="65" t="n"/>
      <c r="B806" s="65" t="n"/>
      <c r="C806" s="66" t="n"/>
      <c r="D806" s="66" t="n"/>
      <c r="E806" s="65" t="n"/>
      <c r="F806" s="65" t="n"/>
      <c r="G806" s="65" t="n"/>
      <c r="H806" s="65" t="n"/>
      <c r="I806" s="65" t="n"/>
      <c r="J806" s="65" t="n"/>
      <c r="K806" s="65" t="n"/>
      <c r="L806" s="65" t="n"/>
      <c r="M806" s="65" t="n"/>
      <c r="N806" s="65" t="n"/>
      <c r="O806" s="65" t="n"/>
      <c r="P806" s="65" t="n"/>
      <c r="Q806" s="32">
        <f>IF($C806="","",IF($J806="","— חסרים נתונים",IF($J806="טרם מפענח","פרופיל 5",IF($J806="קמץ/פתח/חטף-פתח ושוואים","פרופיל 4",IF($J806="2-3 סימני ניקוד","פרופיל 3",IF($J806="4-5 סימני ניקוד","פרופיל 2",IF(AND($O806="משפטים וקטעים קצרים",OR($M806="מבין",$M806="מבין לרוב")),"פרופיל 1","פרופיל 2")))))))</f>
        <v/>
      </c>
      <c r="R806" s="32">
        <f>IF($C806="","",IF(OR($Q806="",LEFT($Q806,1)="—"),"קבוצה רביעית",IF($Q806="פרופיל 5","קבוצת תשתיות",IF(OR($Q806="פרופיל 4",$Q806="פרופיל 3"),"קבוצת רכישה","קבוצת ביסוס"))))</f>
        <v/>
      </c>
      <c r="S806" s="32">
        <f>IF($F806="","",IF($F806="תחילת שנה",1,IF($F806="מחצית שנה",2,3)))</f>
        <v/>
      </c>
      <c r="T806" s="32">
        <f>IF(OR($B806="",$R806="",$A806="",$F806=""),"",$B806&amp;"|"&amp;$A806&amp;"|"&amp;$F806&amp;"|"&amp;$R806&amp;"|"&amp;COUNTIFS($B$6:$B806,$B806,$A$6:$A806,$A806,$F$6:$F806,$F806,$R$6:$R806,$R806))</f>
        <v/>
      </c>
      <c r="U806" s="32">
        <f>IF($C806="","",$C806&amp;"|"&amp;COUNTIFS($C$6:$C806,$C806))</f>
        <v/>
      </c>
      <c r="V806" s="32">
        <f>IF(OR($C806="",$A806="",$S806=""),"",$C806&amp;"|"&amp;$A806&amp;"|"&amp;$S806)</f>
        <v/>
      </c>
      <c r="W806" s="32">
        <f>IF(OR($C806="",$S806="",$S806=1),"",IFERROR(INDEX($Q$6:$Q$1505,MATCH($C806&amp;"|"&amp;$A806&amp;"|"&amp;($S806-1),$V$6:$V$1505,0)),""))</f>
        <v/>
      </c>
      <c r="X806" s="32">
        <f>IF(OR($W806="",$Q806="",LEFT($Q806,1)="—"),"",IF($W806=$Q806,"ללא שינוי","מ-"&amp;$W806&amp;" ל-"&amp;$Q806))</f>
        <v/>
      </c>
    </row>
    <row r="807" ht="15.75" customHeight="1" s="58">
      <c r="A807" s="65" t="n"/>
      <c r="B807" s="65" t="n"/>
      <c r="C807" s="66" t="n"/>
      <c r="D807" s="66" t="n"/>
      <c r="E807" s="65" t="n"/>
      <c r="F807" s="65" t="n"/>
      <c r="G807" s="65" t="n"/>
      <c r="H807" s="65" t="n"/>
      <c r="I807" s="65" t="n"/>
      <c r="J807" s="65" t="n"/>
      <c r="K807" s="65" t="n"/>
      <c r="L807" s="65" t="n"/>
      <c r="M807" s="65" t="n"/>
      <c r="N807" s="65" t="n"/>
      <c r="O807" s="65" t="n"/>
      <c r="P807" s="65" t="n"/>
      <c r="Q807" s="32">
        <f>IF($C807="","",IF($J807="","— חסרים נתונים",IF($J807="טרם מפענח","פרופיל 5",IF($J807="קמץ/פתח/חטף-פתח ושוואים","פרופיל 4",IF($J807="2-3 סימני ניקוד","פרופיל 3",IF($J807="4-5 סימני ניקוד","פרופיל 2",IF(AND($O807="משפטים וקטעים קצרים",OR($M807="מבין",$M807="מבין לרוב")),"פרופיל 1","פרופיל 2")))))))</f>
        <v/>
      </c>
      <c r="R807" s="32">
        <f>IF($C807="","",IF(OR($Q807="",LEFT($Q807,1)="—"),"קבוצה רביעית",IF($Q807="פרופיל 5","קבוצת תשתיות",IF(OR($Q807="פרופיל 4",$Q807="פרופיל 3"),"קבוצת רכישה","קבוצת ביסוס"))))</f>
        <v/>
      </c>
      <c r="S807" s="32">
        <f>IF($F807="","",IF($F807="תחילת שנה",1,IF($F807="מחצית שנה",2,3)))</f>
        <v/>
      </c>
      <c r="T807" s="32">
        <f>IF(OR($B807="",$R807="",$A807="",$F807=""),"",$B807&amp;"|"&amp;$A807&amp;"|"&amp;$F807&amp;"|"&amp;$R807&amp;"|"&amp;COUNTIFS($B$6:$B807,$B807,$A$6:$A807,$A807,$F$6:$F807,$F807,$R$6:$R807,$R807))</f>
        <v/>
      </c>
      <c r="U807" s="32">
        <f>IF($C807="","",$C807&amp;"|"&amp;COUNTIFS($C$6:$C807,$C807))</f>
        <v/>
      </c>
      <c r="V807" s="32">
        <f>IF(OR($C807="",$A807="",$S807=""),"",$C807&amp;"|"&amp;$A807&amp;"|"&amp;$S807)</f>
        <v/>
      </c>
      <c r="W807" s="32">
        <f>IF(OR($C807="",$S807="",$S807=1),"",IFERROR(INDEX($Q$6:$Q$1505,MATCH($C807&amp;"|"&amp;$A807&amp;"|"&amp;($S807-1),$V$6:$V$1505,0)),""))</f>
        <v/>
      </c>
      <c r="X807" s="32">
        <f>IF(OR($W807="",$Q807="",LEFT($Q807,1)="—"),"",IF($W807=$Q807,"ללא שינוי","מ-"&amp;$W807&amp;" ל-"&amp;$Q807))</f>
        <v/>
      </c>
    </row>
    <row r="808" ht="15.75" customHeight="1" s="58">
      <c r="A808" s="65" t="n"/>
      <c r="B808" s="65" t="n"/>
      <c r="C808" s="66" t="n"/>
      <c r="D808" s="66" t="n"/>
      <c r="E808" s="65" t="n"/>
      <c r="F808" s="65" t="n"/>
      <c r="G808" s="65" t="n"/>
      <c r="H808" s="65" t="n"/>
      <c r="I808" s="65" t="n"/>
      <c r="J808" s="65" t="n"/>
      <c r="K808" s="65" t="n"/>
      <c r="L808" s="65" t="n"/>
      <c r="M808" s="65" t="n"/>
      <c r="N808" s="65" t="n"/>
      <c r="O808" s="65" t="n"/>
      <c r="P808" s="65" t="n"/>
      <c r="Q808" s="32">
        <f>IF($C808="","",IF($J808="","— חסרים נתונים",IF($J808="טרם מפענח","פרופיל 5",IF($J808="קמץ/פתח/חטף-פתח ושוואים","פרופיל 4",IF($J808="2-3 סימני ניקוד","פרופיל 3",IF($J808="4-5 סימני ניקוד","פרופיל 2",IF(AND($O808="משפטים וקטעים קצרים",OR($M808="מבין",$M808="מבין לרוב")),"פרופיל 1","פרופיל 2")))))))</f>
        <v/>
      </c>
      <c r="R808" s="32">
        <f>IF($C808="","",IF(OR($Q808="",LEFT($Q808,1)="—"),"קבוצה רביעית",IF($Q808="פרופיל 5","קבוצת תשתיות",IF(OR($Q808="פרופיל 4",$Q808="פרופיל 3"),"קבוצת רכישה","קבוצת ביסוס"))))</f>
        <v/>
      </c>
      <c r="S808" s="32">
        <f>IF($F808="","",IF($F808="תחילת שנה",1,IF($F808="מחצית שנה",2,3)))</f>
        <v/>
      </c>
      <c r="T808" s="32">
        <f>IF(OR($B808="",$R808="",$A808="",$F808=""),"",$B808&amp;"|"&amp;$A808&amp;"|"&amp;$F808&amp;"|"&amp;$R808&amp;"|"&amp;COUNTIFS($B$6:$B808,$B808,$A$6:$A808,$A808,$F$6:$F808,$F808,$R$6:$R808,$R808))</f>
        <v/>
      </c>
      <c r="U808" s="32">
        <f>IF($C808="","",$C808&amp;"|"&amp;COUNTIFS($C$6:$C808,$C808))</f>
        <v/>
      </c>
      <c r="V808" s="32">
        <f>IF(OR($C808="",$A808="",$S808=""),"",$C808&amp;"|"&amp;$A808&amp;"|"&amp;$S808)</f>
        <v/>
      </c>
      <c r="W808" s="32">
        <f>IF(OR($C808="",$S808="",$S808=1),"",IFERROR(INDEX($Q$6:$Q$1505,MATCH($C808&amp;"|"&amp;$A808&amp;"|"&amp;($S808-1),$V$6:$V$1505,0)),""))</f>
        <v/>
      </c>
      <c r="X808" s="32">
        <f>IF(OR($W808="",$Q808="",LEFT($Q808,1)="—"),"",IF($W808=$Q808,"ללא שינוי","מ-"&amp;$W808&amp;" ל-"&amp;$Q808))</f>
        <v/>
      </c>
    </row>
    <row r="809" ht="15.75" customHeight="1" s="58">
      <c r="A809" s="65" t="n"/>
      <c r="B809" s="65" t="n"/>
      <c r="C809" s="66" t="n"/>
      <c r="D809" s="66" t="n"/>
      <c r="E809" s="65" t="n"/>
      <c r="F809" s="65" t="n"/>
      <c r="G809" s="65" t="n"/>
      <c r="H809" s="65" t="n"/>
      <c r="I809" s="65" t="n"/>
      <c r="J809" s="65" t="n"/>
      <c r="K809" s="65" t="n"/>
      <c r="L809" s="65" t="n"/>
      <c r="M809" s="65" t="n"/>
      <c r="N809" s="65" t="n"/>
      <c r="O809" s="65" t="n"/>
      <c r="P809" s="65" t="n"/>
      <c r="Q809" s="32">
        <f>IF($C809="","",IF($J809="","— חסרים נתונים",IF($J809="טרם מפענח","פרופיל 5",IF($J809="קמץ/פתח/חטף-פתח ושוואים","פרופיל 4",IF($J809="2-3 סימני ניקוד","פרופיל 3",IF($J809="4-5 סימני ניקוד","פרופיל 2",IF(AND($O809="משפטים וקטעים קצרים",OR($M809="מבין",$M809="מבין לרוב")),"פרופיל 1","פרופיל 2")))))))</f>
        <v/>
      </c>
      <c r="R809" s="32">
        <f>IF($C809="","",IF(OR($Q809="",LEFT($Q809,1)="—"),"קבוצה רביעית",IF($Q809="פרופיל 5","קבוצת תשתיות",IF(OR($Q809="פרופיל 4",$Q809="פרופיל 3"),"קבוצת רכישה","קבוצת ביסוס"))))</f>
        <v/>
      </c>
      <c r="S809" s="32">
        <f>IF($F809="","",IF($F809="תחילת שנה",1,IF($F809="מחצית שנה",2,3)))</f>
        <v/>
      </c>
      <c r="T809" s="32">
        <f>IF(OR($B809="",$R809="",$A809="",$F809=""),"",$B809&amp;"|"&amp;$A809&amp;"|"&amp;$F809&amp;"|"&amp;$R809&amp;"|"&amp;COUNTIFS($B$6:$B809,$B809,$A$6:$A809,$A809,$F$6:$F809,$F809,$R$6:$R809,$R809))</f>
        <v/>
      </c>
      <c r="U809" s="32">
        <f>IF($C809="","",$C809&amp;"|"&amp;COUNTIFS($C$6:$C809,$C809))</f>
        <v/>
      </c>
      <c r="V809" s="32">
        <f>IF(OR($C809="",$A809="",$S809=""),"",$C809&amp;"|"&amp;$A809&amp;"|"&amp;$S809)</f>
        <v/>
      </c>
      <c r="W809" s="32">
        <f>IF(OR($C809="",$S809="",$S809=1),"",IFERROR(INDEX($Q$6:$Q$1505,MATCH($C809&amp;"|"&amp;$A809&amp;"|"&amp;($S809-1),$V$6:$V$1505,0)),""))</f>
        <v/>
      </c>
      <c r="X809" s="32">
        <f>IF(OR($W809="",$Q809="",LEFT($Q809,1)="—"),"",IF($W809=$Q809,"ללא שינוי","מ-"&amp;$W809&amp;" ל-"&amp;$Q809))</f>
        <v/>
      </c>
    </row>
    <row r="810" ht="15.75" customHeight="1" s="58">
      <c r="A810" s="65" t="n"/>
      <c r="B810" s="65" t="n"/>
      <c r="C810" s="66" t="n"/>
      <c r="D810" s="66" t="n"/>
      <c r="E810" s="65" t="n"/>
      <c r="F810" s="65" t="n"/>
      <c r="G810" s="65" t="n"/>
      <c r="H810" s="65" t="n"/>
      <c r="I810" s="65" t="n"/>
      <c r="J810" s="65" t="n"/>
      <c r="K810" s="65" t="n"/>
      <c r="L810" s="65" t="n"/>
      <c r="M810" s="65" t="n"/>
      <c r="N810" s="65" t="n"/>
      <c r="O810" s="65" t="n"/>
      <c r="P810" s="65" t="n"/>
      <c r="Q810" s="32">
        <f>IF($C810="","",IF($J810="","— חסרים נתונים",IF($J810="טרם מפענח","פרופיל 5",IF($J810="קמץ/פתח/חטף-פתח ושוואים","פרופיל 4",IF($J810="2-3 סימני ניקוד","פרופיל 3",IF($J810="4-5 סימני ניקוד","פרופיל 2",IF(AND($O810="משפטים וקטעים קצרים",OR($M810="מבין",$M810="מבין לרוב")),"פרופיל 1","פרופיל 2")))))))</f>
        <v/>
      </c>
      <c r="R810" s="32">
        <f>IF($C810="","",IF(OR($Q810="",LEFT($Q810,1)="—"),"קבוצה רביעית",IF($Q810="פרופיל 5","קבוצת תשתיות",IF(OR($Q810="פרופיל 4",$Q810="פרופיל 3"),"קבוצת רכישה","קבוצת ביסוס"))))</f>
        <v/>
      </c>
      <c r="S810" s="32">
        <f>IF($F810="","",IF($F810="תחילת שנה",1,IF($F810="מחצית שנה",2,3)))</f>
        <v/>
      </c>
      <c r="T810" s="32">
        <f>IF(OR($B810="",$R810="",$A810="",$F810=""),"",$B810&amp;"|"&amp;$A810&amp;"|"&amp;$F810&amp;"|"&amp;$R810&amp;"|"&amp;COUNTIFS($B$6:$B810,$B810,$A$6:$A810,$A810,$F$6:$F810,$F810,$R$6:$R810,$R810))</f>
        <v/>
      </c>
      <c r="U810" s="32">
        <f>IF($C810="","",$C810&amp;"|"&amp;COUNTIFS($C$6:$C810,$C810))</f>
        <v/>
      </c>
      <c r="V810" s="32">
        <f>IF(OR($C810="",$A810="",$S810=""),"",$C810&amp;"|"&amp;$A810&amp;"|"&amp;$S810)</f>
        <v/>
      </c>
      <c r="W810" s="32">
        <f>IF(OR($C810="",$S810="",$S810=1),"",IFERROR(INDEX($Q$6:$Q$1505,MATCH($C810&amp;"|"&amp;$A810&amp;"|"&amp;($S810-1),$V$6:$V$1505,0)),""))</f>
        <v/>
      </c>
      <c r="X810" s="32">
        <f>IF(OR($W810="",$Q810="",LEFT($Q810,1)="—"),"",IF($W810=$Q810,"ללא שינוי","מ-"&amp;$W810&amp;" ל-"&amp;$Q810))</f>
        <v/>
      </c>
    </row>
    <row r="811" ht="15.75" customHeight="1" s="58">
      <c r="A811" s="65" t="n"/>
      <c r="B811" s="65" t="n"/>
      <c r="C811" s="66" t="n"/>
      <c r="D811" s="66" t="n"/>
      <c r="E811" s="65" t="n"/>
      <c r="F811" s="65" t="n"/>
      <c r="G811" s="65" t="n"/>
      <c r="H811" s="65" t="n"/>
      <c r="I811" s="65" t="n"/>
      <c r="J811" s="65" t="n"/>
      <c r="K811" s="65" t="n"/>
      <c r="L811" s="65" t="n"/>
      <c r="M811" s="65" t="n"/>
      <c r="N811" s="65" t="n"/>
      <c r="O811" s="65" t="n"/>
      <c r="P811" s="65" t="n"/>
      <c r="Q811" s="32">
        <f>IF($C811="","",IF($J811="","— חסרים נתונים",IF($J811="טרם מפענח","פרופיל 5",IF($J811="קמץ/פתח/חטף-פתח ושוואים","פרופיל 4",IF($J811="2-3 סימני ניקוד","פרופיל 3",IF($J811="4-5 סימני ניקוד","פרופיל 2",IF(AND($O811="משפטים וקטעים קצרים",OR($M811="מבין",$M811="מבין לרוב")),"פרופיל 1","פרופיל 2")))))))</f>
        <v/>
      </c>
      <c r="R811" s="32">
        <f>IF($C811="","",IF(OR($Q811="",LEFT($Q811,1)="—"),"קבוצה רביעית",IF($Q811="פרופיל 5","קבוצת תשתיות",IF(OR($Q811="פרופיל 4",$Q811="פרופיל 3"),"קבוצת רכישה","קבוצת ביסוס"))))</f>
        <v/>
      </c>
      <c r="S811" s="32">
        <f>IF($F811="","",IF($F811="תחילת שנה",1,IF($F811="מחצית שנה",2,3)))</f>
        <v/>
      </c>
      <c r="T811" s="32">
        <f>IF(OR($B811="",$R811="",$A811="",$F811=""),"",$B811&amp;"|"&amp;$A811&amp;"|"&amp;$F811&amp;"|"&amp;$R811&amp;"|"&amp;COUNTIFS($B$6:$B811,$B811,$A$6:$A811,$A811,$F$6:$F811,$F811,$R$6:$R811,$R811))</f>
        <v/>
      </c>
      <c r="U811" s="32">
        <f>IF($C811="","",$C811&amp;"|"&amp;COUNTIFS($C$6:$C811,$C811))</f>
        <v/>
      </c>
      <c r="V811" s="32">
        <f>IF(OR($C811="",$A811="",$S811=""),"",$C811&amp;"|"&amp;$A811&amp;"|"&amp;$S811)</f>
        <v/>
      </c>
      <c r="W811" s="32">
        <f>IF(OR($C811="",$S811="",$S811=1),"",IFERROR(INDEX($Q$6:$Q$1505,MATCH($C811&amp;"|"&amp;$A811&amp;"|"&amp;($S811-1),$V$6:$V$1505,0)),""))</f>
        <v/>
      </c>
      <c r="X811" s="32">
        <f>IF(OR($W811="",$Q811="",LEFT($Q811,1)="—"),"",IF($W811=$Q811,"ללא שינוי","מ-"&amp;$W811&amp;" ל-"&amp;$Q811))</f>
        <v/>
      </c>
    </row>
    <row r="812" ht="15.75" customHeight="1" s="58">
      <c r="A812" s="65" t="n"/>
      <c r="B812" s="65" t="n"/>
      <c r="C812" s="66" t="n"/>
      <c r="D812" s="66" t="n"/>
      <c r="E812" s="65" t="n"/>
      <c r="F812" s="65" t="n"/>
      <c r="G812" s="65" t="n"/>
      <c r="H812" s="65" t="n"/>
      <c r="I812" s="65" t="n"/>
      <c r="J812" s="65" t="n"/>
      <c r="K812" s="65" t="n"/>
      <c r="L812" s="65" t="n"/>
      <c r="M812" s="65" t="n"/>
      <c r="N812" s="65" t="n"/>
      <c r="O812" s="65" t="n"/>
      <c r="P812" s="65" t="n"/>
      <c r="Q812" s="32">
        <f>IF($C812="","",IF($J812="","— חסרים נתונים",IF($J812="טרם מפענח","פרופיל 5",IF($J812="קמץ/פתח/חטף-פתח ושוואים","פרופיל 4",IF($J812="2-3 סימני ניקוד","פרופיל 3",IF($J812="4-5 סימני ניקוד","פרופיל 2",IF(AND($O812="משפטים וקטעים קצרים",OR($M812="מבין",$M812="מבין לרוב")),"פרופיל 1","פרופיל 2")))))))</f>
        <v/>
      </c>
      <c r="R812" s="32">
        <f>IF($C812="","",IF(OR($Q812="",LEFT($Q812,1)="—"),"קבוצה רביעית",IF($Q812="פרופיל 5","קבוצת תשתיות",IF(OR($Q812="פרופיל 4",$Q812="פרופיל 3"),"קבוצת רכישה","קבוצת ביסוס"))))</f>
        <v/>
      </c>
      <c r="S812" s="32">
        <f>IF($F812="","",IF($F812="תחילת שנה",1,IF($F812="מחצית שנה",2,3)))</f>
        <v/>
      </c>
      <c r="T812" s="32">
        <f>IF(OR($B812="",$R812="",$A812="",$F812=""),"",$B812&amp;"|"&amp;$A812&amp;"|"&amp;$F812&amp;"|"&amp;$R812&amp;"|"&amp;COUNTIFS($B$6:$B812,$B812,$A$6:$A812,$A812,$F$6:$F812,$F812,$R$6:$R812,$R812))</f>
        <v/>
      </c>
      <c r="U812" s="32">
        <f>IF($C812="","",$C812&amp;"|"&amp;COUNTIFS($C$6:$C812,$C812))</f>
        <v/>
      </c>
      <c r="V812" s="32">
        <f>IF(OR($C812="",$A812="",$S812=""),"",$C812&amp;"|"&amp;$A812&amp;"|"&amp;$S812)</f>
        <v/>
      </c>
      <c r="W812" s="32">
        <f>IF(OR($C812="",$S812="",$S812=1),"",IFERROR(INDEX($Q$6:$Q$1505,MATCH($C812&amp;"|"&amp;$A812&amp;"|"&amp;($S812-1),$V$6:$V$1505,0)),""))</f>
        <v/>
      </c>
      <c r="X812" s="32">
        <f>IF(OR($W812="",$Q812="",LEFT($Q812,1)="—"),"",IF($W812=$Q812,"ללא שינוי","מ-"&amp;$W812&amp;" ל-"&amp;$Q812))</f>
        <v/>
      </c>
    </row>
    <row r="813" ht="15.75" customHeight="1" s="58">
      <c r="A813" s="65" t="n"/>
      <c r="B813" s="65" t="n"/>
      <c r="C813" s="66" t="n"/>
      <c r="D813" s="66" t="n"/>
      <c r="E813" s="65" t="n"/>
      <c r="F813" s="65" t="n"/>
      <c r="G813" s="65" t="n"/>
      <c r="H813" s="65" t="n"/>
      <c r="I813" s="65" t="n"/>
      <c r="J813" s="65" t="n"/>
      <c r="K813" s="65" t="n"/>
      <c r="L813" s="65" t="n"/>
      <c r="M813" s="65" t="n"/>
      <c r="N813" s="65" t="n"/>
      <c r="O813" s="65" t="n"/>
      <c r="P813" s="65" t="n"/>
      <c r="Q813" s="32">
        <f>IF($C813="","",IF($J813="","— חסרים נתונים",IF($J813="טרם מפענח","פרופיל 5",IF($J813="קמץ/פתח/חטף-פתח ושוואים","פרופיל 4",IF($J813="2-3 סימני ניקוד","פרופיל 3",IF($J813="4-5 סימני ניקוד","פרופיל 2",IF(AND($O813="משפטים וקטעים קצרים",OR($M813="מבין",$M813="מבין לרוב")),"פרופיל 1","פרופיל 2")))))))</f>
        <v/>
      </c>
      <c r="R813" s="32">
        <f>IF($C813="","",IF(OR($Q813="",LEFT($Q813,1)="—"),"קבוצה רביעית",IF($Q813="פרופיל 5","קבוצת תשתיות",IF(OR($Q813="פרופיל 4",$Q813="פרופיל 3"),"קבוצת רכישה","קבוצת ביסוס"))))</f>
        <v/>
      </c>
      <c r="S813" s="32">
        <f>IF($F813="","",IF($F813="תחילת שנה",1,IF($F813="מחצית שנה",2,3)))</f>
        <v/>
      </c>
      <c r="T813" s="32">
        <f>IF(OR($B813="",$R813="",$A813="",$F813=""),"",$B813&amp;"|"&amp;$A813&amp;"|"&amp;$F813&amp;"|"&amp;$R813&amp;"|"&amp;COUNTIFS($B$6:$B813,$B813,$A$6:$A813,$A813,$F$6:$F813,$F813,$R$6:$R813,$R813))</f>
        <v/>
      </c>
      <c r="U813" s="32">
        <f>IF($C813="","",$C813&amp;"|"&amp;COUNTIFS($C$6:$C813,$C813))</f>
        <v/>
      </c>
      <c r="V813" s="32">
        <f>IF(OR($C813="",$A813="",$S813=""),"",$C813&amp;"|"&amp;$A813&amp;"|"&amp;$S813)</f>
        <v/>
      </c>
      <c r="W813" s="32">
        <f>IF(OR($C813="",$S813="",$S813=1),"",IFERROR(INDEX($Q$6:$Q$1505,MATCH($C813&amp;"|"&amp;$A813&amp;"|"&amp;($S813-1),$V$6:$V$1505,0)),""))</f>
        <v/>
      </c>
      <c r="X813" s="32">
        <f>IF(OR($W813="",$Q813="",LEFT($Q813,1)="—"),"",IF($W813=$Q813,"ללא שינוי","מ-"&amp;$W813&amp;" ל-"&amp;$Q813))</f>
        <v/>
      </c>
    </row>
    <row r="814" ht="15.75" customHeight="1" s="58">
      <c r="A814" s="65" t="n"/>
      <c r="B814" s="65" t="n"/>
      <c r="C814" s="66" t="n"/>
      <c r="D814" s="66" t="n"/>
      <c r="E814" s="65" t="n"/>
      <c r="F814" s="65" t="n"/>
      <c r="G814" s="65" t="n"/>
      <c r="H814" s="65" t="n"/>
      <c r="I814" s="65" t="n"/>
      <c r="J814" s="65" t="n"/>
      <c r="K814" s="65" t="n"/>
      <c r="L814" s="65" t="n"/>
      <c r="M814" s="65" t="n"/>
      <c r="N814" s="65" t="n"/>
      <c r="O814" s="65" t="n"/>
      <c r="P814" s="65" t="n"/>
      <c r="Q814" s="32">
        <f>IF($C814="","",IF($J814="","— חסרים נתונים",IF($J814="טרם מפענח","פרופיל 5",IF($J814="קמץ/פתח/חטף-פתח ושוואים","פרופיל 4",IF($J814="2-3 סימני ניקוד","פרופיל 3",IF($J814="4-5 סימני ניקוד","פרופיל 2",IF(AND($O814="משפטים וקטעים קצרים",OR($M814="מבין",$M814="מבין לרוב")),"פרופיל 1","פרופיל 2")))))))</f>
        <v/>
      </c>
      <c r="R814" s="32">
        <f>IF($C814="","",IF(OR($Q814="",LEFT($Q814,1)="—"),"קבוצה רביעית",IF($Q814="פרופיל 5","קבוצת תשתיות",IF(OR($Q814="פרופיל 4",$Q814="פרופיל 3"),"קבוצת רכישה","קבוצת ביסוס"))))</f>
        <v/>
      </c>
      <c r="S814" s="32">
        <f>IF($F814="","",IF($F814="תחילת שנה",1,IF($F814="מחצית שנה",2,3)))</f>
        <v/>
      </c>
      <c r="T814" s="32">
        <f>IF(OR($B814="",$R814="",$A814="",$F814=""),"",$B814&amp;"|"&amp;$A814&amp;"|"&amp;$F814&amp;"|"&amp;$R814&amp;"|"&amp;COUNTIFS($B$6:$B814,$B814,$A$6:$A814,$A814,$F$6:$F814,$F814,$R$6:$R814,$R814))</f>
        <v/>
      </c>
      <c r="U814" s="32">
        <f>IF($C814="","",$C814&amp;"|"&amp;COUNTIFS($C$6:$C814,$C814))</f>
        <v/>
      </c>
      <c r="V814" s="32">
        <f>IF(OR($C814="",$A814="",$S814=""),"",$C814&amp;"|"&amp;$A814&amp;"|"&amp;$S814)</f>
        <v/>
      </c>
      <c r="W814" s="32">
        <f>IF(OR($C814="",$S814="",$S814=1),"",IFERROR(INDEX($Q$6:$Q$1505,MATCH($C814&amp;"|"&amp;$A814&amp;"|"&amp;($S814-1),$V$6:$V$1505,0)),""))</f>
        <v/>
      </c>
      <c r="X814" s="32">
        <f>IF(OR($W814="",$Q814="",LEFT($Q814,1)="—"),"",IF($W814=$Q814,"ללא שינוי","מ-"&amp;$W814&amp;" ל-"&amp;$Q814))</f>
        <v/>
      </c>
    </row>
    <row r="815" ht="15.75" customHeight="1" s="58">
      <c r="A815" s="65" t="n"/>
      <c r="B815" s="65" t="n"/>
      <c r="C815" s="66" t="n"/>
      <c r="D815" s="66" t="n"/>
      <c r="E815" s="65" t="n"/>
      <c r="F815" s="65" t="n"/>
      <c r="G815" s="65" t="n"/>
      <c r="H815" s="65" t="n"/>
      <c r="I815" s="65" t="n"/>
      <c r="J815" s="65" t="n"/>
      <c r="K815" s="65" t="n"/>
      <c r="L815" s="65" t="n"/>
      <c r="M815" s="65" t="n"/>
      <c r="N815" s="65" t="n"/>
      <c r="O815" s="65" t="n"/>
      <c r="P815" s="65" t="n"/>
      <c r="Q815" s="32">
        <f>IF($C815="","",IF($J815="","— חסרים נתונים",IF($J815="טרם מפענח","פרופיל 5",IF($J815="קמץ/פתח/חטף-פתח ושוואים","פרופיל 4",IF($J815="2-3 סימני ניקוד","פרופיל 3",IF($J815="4-5 סימני ניקוד","פרופיל 2",IF(AND($O815="משפטים וקטעים קצרים",OR($M815="מבין",$M815="מבין לרוב")),"פרופיל 1","פרופיל 2")))))))</f>
        <v/>
      </c>
      <c r="R815" s="32">
        <f>IF($C815="","",IF(OR($Q815="",LEFT($Q815,1)="—"),"קבוצה רביעית",IF($Q815="פרופיל 5","קבוצת תשתיות",IF(OR($Q815="פרופיל 4",$Q815="פרופיל 3"),"קבוצת רכישה","קבוצת ביסוס"))))</f>
        <v/>
      </c>
      <c r="S815" s="32">
        <f>IF($F815="","",IF($F815="תחילת שנה",1,IF($F815="מחצית שנה",2,3)))</f>
        <v/>
      </c>
      <c r="T815" s="32">
        <f>IF(OR($B815="",$R815="",$A815="",$F815=""),"",$B815&amp;"|"&amp;$A815&amp;"|"&amp;$F815&amp;"|"&amp;$R815&amp;"|"&amp;COUNTIFS($B$6:$B815,$B815,$A$6:$A815,$A815,$F$6:$F815,$F815,$R$6:$R815,$R815))</f>
        <v/>
      </c>
      <c r="U815" s="32">
        <f>IF($C815="","",$C815&amp;"|"&amp;COUNTIFS($C$6:$C815,$C815))</f>
        <v/>
      </c>
      <c r="V815" s="32">
        <f>IF(OR($C815="",$A815="",$S815=""),"",$C815&amp;"|"&amp;$A815&amp;"|"&amp;$S815)</f>
        <v/>
      </c>
      <c r="W815" s="32">
        <f>IF(OR($C815="",$S815="",$S815=1),"",IFERROR(INDEX($Q$6:$Q$1505,MATCH($C815&amp;"|"&amp;$A815&amp;"|"&amp;($S815-1),$V$6:$V$1505,0)),""))</f>
        <v/>
      </c>
      <c r="X815" s="32">
        <f>IF(OR($W815="",$Q815="",LEFT($Q815,1)="—"),"",IF($W815=$Q815,"ללא שינוי","מ-"&amp;$W815&amp;" ל-"&amp;$Q815))</f>
        <v/>
      </c>
    </row>
    <row r="816" ht="15.75" customHeight="1" s="58">
      <c r="A816" s="65" t="n"/>
      <c r="B816" s="65" t="n"/>
      <c r="C816" s="66" t="n"/>
      <c r="D816" s="66" t="n"/>
      <c r="E816" s="65" t="n"/>
      <c r="F816" s="65" t="n"/>
      <c r="G816" s="65" t="n"/>
      <c r="H816" s="65" t="n"/>
      <c r="I816" s="65" t="n"/>
      <c r="J816" s="65" t="n"/>
      <c r="K816" s="65" t="n"/>
      <c r="L816" s="65" t="n"/>
      <c r="M816" s="65" t="n"/>
      <c r="N816" s="65" t="n"/>
      <c r="O816" s="65" t="n"/>
      <c r="P816" s="65" t="n"/>
      <c r="Q816" s="32">
        <f>IF($C816="","",IF($J816="","— חסרים נתונים",IF($J816="טרם מפענח","פרופיל 5",IF($J816="קמץ/פתח/חטף-פתח ושוואים","פרופיל 4",IF($J816="2-3 סימני ניקוד","פרופיל 3",IF($J816="4-5 סימני ניקוד","פרופיל 2",IF(AND($O816="משפטים וקטעים קצרים",OR($M816="מבין",$M816="מבין לרוב")),"פרופיל 1","פרופיל 2")))))))</f>
        <v/>
      </c>
      <c r="R816" s="32">
        <f>IF($C816="","",IF(OR($Q816="",LEFT($Q816,1)="—"),"קבוצה רביעית",IF($Q816="פרופיל 5","קבוצת תשתיות",IF(OR($Q816="פרופיל 4",$Q816="פרופיל 3"),"קבוצת רכישה","קבוצת ביסוס"))))</f>
        <v/>
      </c>
      <c r="S816" s="32">
        <f>IF($F816="","",IF($F816="תחילת שנה",1,IF($F816="מחצית שנה",2,3)))</f>
        <v/>
      </c>
      <c r="T816" s="32">
        <f>IF(OR($B816="",$R816="",$A816="",$F816=""),"",$B816&amp;"|"&amp;$A816&amp;"|"&amp;$F816&amp;"|"&amp;$R816&amp;"|"&amp;COUNTIFS($B$6:$B816,$B816,$A$6:$A816,$A816,$F$6:$F816,$F816,$R$6:$R816,$R816))</f>
        <v/>
      </c>
      <c r="U816" s="32">
        <f>IF($C816="","",$C816&amp;"|"&amp;COUNTIFS($C$6:$C816,$C816))</f>
        <v/>
      </c>
      <c r="V816" s="32">
        <f>IF(OR($C816="",$A816="",$S816=""),"",$C816&amp;"|"&amp;$A816&amp;"|"&amp;$S816)</f>
        <v/>
      </c>
      <c r="W816" s="32">
        <f>IF(OR($C816="",$S816="",$S816=1),"",IFERROR(INDEX($Q$6:$Q$1505,MATCH($C816&amp;"|"&amp;$A816&amp;"|"&amp;($S816-1),$V$6:$V$1505,0)),""))</f>
        <v/>
      </c>
      <c r="X816" s="32">
        <f>IF(OR($W816="",$Q816="",LEFT($Q816,1)="—"),"",IF($W816=$Q816,"ללא שינוי","מ-"&amp;$W816&amp;" ל-"&amp;$Q816))</f>
        <v/>
      </c>
    </row>
    <row r="817" ht="15.75" customHeight="1" s="58">
      <c r="A817" s="65" t="n"/>
      <c r="B817" s="65" t="n"/>
      <c r="C817" s="66" t="n"/>
      <c r="D817" s="66" t="n"/>
      <c r="E817" s="65" t="n"/>
      <c r="F817" s="65" t="n"/>
      <c r="G817" s="65" t="n"/>
      <c r="H817" s="65" t="n"/>
      <c r="I817" s="65" t="n"/>
      <c r="J817" s="65" t="n"/>
      <c r="K817" s="65" t="n"/>
      <c r="L817" s="65" t="n"/>
      <c r="M817" s="65" t="n"/>
      <c r="N817" s="65" t="n"/>
      <c r="O817" s="65" t="n"/>
      <c r="P817" s="65" t="n"/>
      <c r="Q817" s="32">
        <f>IF($C817="","",IF($J817="","— חסרים נתונים",IF($J817="טרם מפענח","פרופיל 5",IF($J817="קמץ/פתח/חטף-פתח ושוואים","פרופיל 4",IF($J817="2-3 סימני ניקוד","פרופיל 3",IF($J817="4-5 סימני ניקוד","פרופיל 2",IF(AND($O817="משפטים וקטעים קצרים",OR($M817="מבין",$M817="מבין לרוב")),"פרופיל 1","פרופיל 2")))))))</f>
        <v/>
      </c>
      <c r="R817" s="32">
        <f>IF($C817="","",IF(OR($Q817="",LEFT($Q817,1)="—"),"קבוצה רביעית",IF($Q817="פרופיל 5","קבוצת תשתיות",IF(OR($Q817="פרופיל 4",$Q817="פרופיל 3"),"קבוצת רכישה","קבוצת ביסוס"))))</f>
        <v/>
      </c>
      <c r="S817" s="32">
        <f>IF($F817="","",IF($F817="תחילת שנה",1,IF($F817="מחצית שנה",2,3)))</f>
        <v/>
      </c>
      <c r="T817" s="32">
        <f>IF(OR($B817="",$R817="",$A817="",$F817=""),"",$B817&amp;"|"&amp;$A817&amp;"|"&amp;$F817&amp;"|"&amp;$R817&amp;"|"&amp;COUNTIFS($B$6:$B817,$B817,$A$6:$A817,$A817,$F$6:$F817,$F817,$R$6:$R817,$R817))</f>
        <v/>
      </c>
      <c r="U817" s="32">
        <f>IF($C817="","",$C817&amp;"|"&amp;COUNTIFS($C$6:$C817,$C817))</f>
        <v/>
      </c>
      <c r="V817" s="32">
        <f>IF(OR($C817="",$A817="",$S817=""),"",$C817&amp;"|"&amp;$A817&amp;"|"&amp;$S817)</f>
        <v/>
      </c>
      <c r="W817" s="32">
        <f>IF(OR($C817="",$S817="",$S817=1),"",IFERROR(INDEX($Q$6:$Q$1505,MATCH($C817&amp;"|"&amp;$A817&amp;"|"&amp;($S817-1),$V$6:$V$1505,0)),""))</f>
        <v/>
      </c>
      <c r="X817" s="32">
        <f>IF(OR($W817="",$Q817="",LEFT($Q817,1)="—"),"",IF($W817=$Q817,"ללא שינוי","מ-"&amp;$W817&amp;" ל-"&amp;$Q817))</f>
        <v/>
      </c>
    </row>
    <row r="818" ht="15.75" customHeight="1" s="58">
      <c r="A818" s="65" t="n"/>
      <c r="B818" s="65" t="n"/>
      <c r="C818" s="66" t="n"/>
      <c r="D818" s="66" t="n"/>
      <c r="E818" s="65" t="n"/>
      <c r="F818" s="65" t="n"/>
      <c r="G818" s="65" t="n"/>
      <c r="H818" s="65" t="n"/>
      <c r="I818" s="65" t="n"/>
      <c r="J818" s="65" t="n"/>
      <c r="K818" s="65" t="n"/>
      <c r="L818" s="65" t="n"/>
      <c r="M818" s="65" t="n"/>
      <c r="N818" s="65" t="n"/>
      <c r="O818" s="65" t="n"/>
      <c r="P818" s="65" t="n"/>
      <c r="Q818" s="32">
        <f>IF($C818="","",IF($J818="","— חסרים נתונים",IF($J818="טרם מפענח","פרופיל 5",IF($J818="קמץ/פתח/חטף-פתח ושוואים","פרופיל 4",IF($J818="2-3 סימני ניקוד","פרופיל 3",IF($J818="4-5 סימני ניקוד","פרופיל 2",IF(AND($O818="משפטים וקטעים קצרים",OR($M818="מבין",$M818="מבין לרוב")),"פרופיל 1","פרופיל 2")))))))</f>
        <v/>
      </c>
      <c r="R818" s="32">
        <f>IF($C818="","",IF(OR($Q818="",LEFT($Q818,1)="—"),"קבוצה רביעית",IF($Q818="פרופיל 5","קבוצת תשתיות",IF(OR($Q818="פרופיל 4",$Q818="פרופיל 3"),"קבוצת רכישה","קבוצת ביסוס"))))</f>
        <v/>
      </c>
      <c r="S818" s="32">
        <f>IF($F818="","",IF($F818="תחילת שנה",1,IF($F818="מחצית שנה",2,3)))</f>
        <v/>
      </c>
      <c r="T818" s="32">
        <f>IF(OR($B818="",$R818="",$A818="",$F818=""),"",$B818&amp;"|"&amp;$A818&amp;"|"&amp;$F818&amp;"|"&amp;$R818&amp;"|"&amp;COUNTIFS($B$6:$B818,$B818,$A$6:$A818,$A818,$F$6:$F818,$F818,$R$6:$R818,$R818))</f>
        <v/>
      </c>
      <c r="U818" s="32">
        <f>IF($C818="","",$C818&amp;"|"&amp;COUNTIFS($C$6:$C818,$C818))</f>
        <v/>
      </c>
      <c r="V818" s="32">
        <f>IF(OR($C818="",$A818="",$S818=""),"",$C818&amp;"|"&amp;$A818&amp;"|"&amp;$S818)</f>
        <v/>
      </c>
      <c r="W818" s="32">
        <f>IF(OR($C818="",$S818="",$S818=1),"",IFERROR(INDEX($Q$6:$Q$1505,MATCH($C818&amp;"|"&amp;$A818&amp;"|"&amp;($S818-1),$V$6:$V$1505,0)),""))</f>
        <v/>
      </c>
      <c r="X818" s="32">
        <f>IF(OR($W818="",$Q818="",LEFT($Q818,1)="—"),"",IF($W818=$Q818,"ללא שינוי","מ-"&amp;$W818&amp;" ל-"&amp;$Q818))</f>
        <v/>
      </c>
    </row>
    <row r="819" ht="15.75" customHeight="1" s="58">
      <c r="A819" s="65" t="n"/>
      <c r="B819" s="65" t="n"/>
      <c r="C819" s="66" t="n"/>
      <c r="D819" s="66" t="n"/>
      <c r="E819" s="65" t="n"/>
      <c r="F819" s="65" t="n"/>
      <c r="G819" s="65" t="n"/>
      <c r="H819" s="65" t="n"/>
      <c r="I819" s="65" t="n"/>
      <c r="J819" s="65" t="n"/>
      <c r="K819" s="65" t="n"/>
      <c r="L819" s="65" t="n"/>
      <c r="M819" s="65" t="n"/>
      <c r="N819" s="65" t="n"/>
      <c r="O819" s="65" t="n"/>
      <c r="P819" s="65" t="n"/>
      <c r="Q819" s="32">
        <f>IF($C819="","",IF($J819="","— חסרים נתונים",IF($J819="טרם מפענח","פרופיל 5",IF($J819="קמץ/פתח/חטף-פתח ושוואים","פרופיל 4",IF($J819="2-3 סימני ניקוד","פרופיל 3",IF($J819="4-5 סימני ניקוד","פרופיל 2",IF(AND($O819="משפטים וקטעים קצרים",OR($M819="מבין",$M819="מבין לרוב")),"פרופיל 1","פרופיל 2")))))))</f>
        <v/>
      </c>
      <c r="R819" s="32">
        <f>IF($C819="","",IF(OR($Q819="",LEFT($Q819,1)="—"),"קבוצה רביעית",IF($Q819="פרופיל 5","קבוצת תשתיות",IF(OR($Q819="פרופיל 4",$Q819="פרופיל 3"),"קבוצת רכישה","קבוצת ביסוס"))))</f>
        <v/>
      </c>
      <c r="S819" s="32">
        <f>IF($F819="","",IF($F819="תחילת שנה",1,IF($F819="מחצית שנה",2,3)))</f>
        <v/>
      </c>
      <c r="T819" s="32">
        <f>IF(OR($B819="",$R819="",$A819="",$F819=""),"",$B819&amp;"|"&amp;$A819&amp;"|"&amp;$F819&amp;"|"&amp;$R819&amp;"|"&amp;COUNTIFS($B$6:$B819,$B819,$A$6:$A819,$A819,$F$6:$F819,$F819,$R$6:$R819,$R819))</f>
        <v/>
      </c>
      <c r="U819" s="32">
        <f>IF($C819="","",$C819&amp;"|"&amp;COUNTIFS($C$6:$C819,$C819))</f>
        <v/>
      </c>
      <c r="V819" s="32">
        <f>IF(OR($C819="",$A819="",$S819=""),"",$C819&amp;"|"&amp;$A819&amp;"|"&amp;$S819)</f>
        <v/>
      </c>
      <c r="W819" s="32">
        <f>IF(OR($C819="",$S819="",$S819=1),"",IFERROR(INDEX($Q$6:$Q$1505,MATCH($C819&amp;"|"&amp;$A819&amp;"|"&amp;($S819-1),$V$6:$V$1505,0)),""))</f>
        <v/>
      </c>
      <c r="X819" s="32">
        <f>IF(OR($W819="",$Q819="",LEFT($Q819,1)="—"),"",IF($W819=$Q819,"ללא שינוי","מ-"&amp;$W819&amp;" ל-"&amp;$Q819))</f>
        <v/>
      </c>
    </row>
    <row r="820" ht="15.75" customHeight="1" s="58">
      <c r="A820" s="65" t="n"/>
      <c r="B820" s="65" t="n"/>
      <c r="C820" s="66" t="n"/>
      <c r="D820" s="66" t="n"/>
      <c r="E820" s="65" t="n"/>
      <c r="F820" s="65" t="n"/>
      <c r="G820" s="65" t="n"/>
      <c r="H820" s="65" t="n"/>
      <c r="I820" s="65" t="n"/>
      <c r="J820" s="65" t="n"/>
      <c r="K820" s="65" t="n"/>
      <c r="L820" s="65" t="n"/>
      <c r="M820" s="65" t="n"/>
      <c r="N820" s="65" t="n"/>
      <c r="O820" s="65" t="n"/>
      <c r="P820" s="65" t="n"/>
      <c r="Q820" s="32">
        <f>IF($C820="","",IF($J820="","— חסרים נתונים",IF($J820="טרם מפענח","פרופיל 5",IF($J820="קמץ/פתח/חטף-פתח ושוואים","פרופיל 4",IF($J820="2-3 סימני ניקוד","פרופיל 3",IF($J820="4-5 סימני ניקוד","פרופיל 2",IF(AND($O820="משפטים וקטעים קצרים",OR($M820="מבין",$M820="מבין לרוב")),"פרופיל 1","פרופיל 2")))))))</f>
        <v/>
      </c>
      <c r="R820" s="32">
        <f>IF($C820="","",IF(OR($Q820="",LEFT($Q820,1)="—"),"קבוצה רביעית",IF($Q820="פרופיל 5","קבוצת תשתיות",IF(OR($Q820="פרופיל 4",$Q820="פרופיל 3"),"קבוצת רכישה","קבוצת ביסוס"))))</f>
        <v/>
      </c>
      <c r="S820" s="32">
        <f>IF($F820="","",IF($F820="תחילת שנה",1,IF($F820="מחצית שנה",2,3)))</f>
        <v/>
      </c>
      <c r="T820" s="32">
        <f>IF(OR($B820="",$R820="",$A820="",$F820=""),"",$B820&amp;"|"&amp;$A820&amp;"|"&amp;$F820&amp;"|"&amp;$R820&amp;"|"&amp;COUNTIFS($B$6:$B820,$B820,$A$6:$A820,$A820,$F$6:$F820,$F820,$R$6:$R820,$R820))</f>
        <v/>
      </c>
      <c r="U820" s="32">
        <f>IF($C820="","",$C820&amp;"|"&amp;COUNTIFS($C$6:$C820,$C820))</f>
        <v/>
      </c>
      <c r="V820" s="32">
        <f>IF(OR($C820="",$A820="",$S820=""),"",$C820&amp;"|"&amp;$A820&amp;"|"&amp;$S820)</f>
        <v/>
      </c>
      <c r="W820" s="32">
        <f>IF(OR($C820="",$S820="",$S820=1),"",IFERROR(INDEX($Q$6:$Q$1505,MATCH($C820&amp;"|"&amp;$A820&amp;"|"&amp;($S820-1),$V$6:$V$1505,0)),""))</f>
        <v/>
      </c>
      <c r="X820" s="32">
        <f>IF(OR($W820="",$Q820="",LEFT($Q820,1)="—"),"",IF($W820=$Q820,"ללא שינוי","מ-"&amp;$W820&amp;" ל-"&amp;$Q820))</f>
        <v/>
      </c>
    </row>
    <row r="821" ht="15.75" customHeight="1" s="58">
      <c r="A821" s="65" t="n"/>
      <c r="B821" s="65" t="n"/>
      <c r="C821" s="66" t="n"/>
      <c r="D821" s="66" t="n"/>
      <c r="E821" s="65" t="n"/>
      <c r="F821" s="65" t="n"/>
      <c r="G821" s="65" t="n"/>
      <c r="H821" s="65" t="n"/>
      <c r="I821" s="65" t="n"/>
      <c r="J821" s="65" t="n"/>
      <c r="K821" s="65" t="n"/>
      <c r="L821" s="65" t="n"/>
      <c r="M821" s="65" t="n"/>
      <c r="N821" s="65" t="n"/>
      <c r="O821" s="65" t="n"/>
      <c r="P821" s="65" t="n"/>
      <c r="Q821" s="32">
        <f>IF($C821="","",IF($J821="","— חסרים נתונים",IF($J821="טרם מפענח","פרופיל 5",IF($J821="קמץ/פתח/חטף-פתח ושוואים","פרופיל 4",IF($J821="2-3 סימני ניקוד","פרופיל 3",IF($J821="4-5 סימני ניקוד","פרופיל 2",IF(AND($O821="משפטים וקטעים קצרים",OR($M821="מבין",$M821="מבין לרוב")),"פרופיל 1","פרופיל 2")))))))</f>
        <v/>
      </c>
      <c r="R821" s="32">
        <f>IF($C821="","",IF(OR($Q821="",LEFT($Q821,1)="—"),"קבוצה רביעית",IF($Q821="פרופיל 5","קבוצת תשתיות",IF(OR($Q821="פרופיל 4",$Q821="פרופיל 3"),"קבוצת רכישה","קבוצת ביסוס"))))</f>
        <v/>
      </c>
      <c r="S821" s="32">
        <f>IF($F821="","",IF($F821="תחילת שנה",1,IF($F821="מחצית שנה",2,3)))</f>
        <v/>
      </c>
      <c r="T821" s="32">
        <f>IF(OR($B821="",$R821="",$A821="",$F821=""),"",$B821&amp;"|"&amp;$A821&amp;"|"&amp;$F821&amp;"|"&amp;$R821&amp;"|"&amp;COUNTIFS($B$6:$B821,$B821,$A$6:$A821,$A821,$F$6:$F821,$F821,$R$6:$R821,$R821))</f>
        <v/>
      </c>
      <c r="U821" s="32">
        <f>IF($C821="","",$C821&amp;"|"&amp;COUNTIFS($C$6:$C821,$C821))</f>
        <v/>
      </c>
      <c r="V821" s="32">
        <f>IF(OR($C821="",$A821="",$S821=""),"",$C821&amp;"|"&amp;$A821&amp;"|"&amp;$S821)</f>
        <v/>
      </c>
      <c r="W821" s="32">
        <f>IF(OR($C821="",$S821="",$S821=1),"",IFERROR(INDEX($Q$6:$Q$1505,MATCH($C821&amp;"|"&amp;$A821&amp;"|"&amp;($S821-1),$V$6:$V$1505,0)),""))</f>
        <v/>
      </c>
      <c r="X821" s="32">
        <f>IF(OR($W821="",$Q821="",LEFT($Q821,1)="—"),"",IF($W821=$Q821,"ללא שינוי","מ-"&amp;$W821&amp;" ל-"&amp;$Q821))</f>
        <v/>
      </c>
    </row>
    <row r="822" ht="15.75" customHeight="1" s="58">
      <c r="A822" s="65" t="n"/>
      <c r="B822" s="65" t="n"/>
      <c r="C822" s="66" t="n"/>
      <c r="D822" s="66" t="n"/>
      <c r="E822" s="65" t="n"/>
      <c r="F822" s="65" t="n"/>
      <c r="G822" s="65" t="n"/>
      <c r="H822" s="65" t="n"/>
      <c r="I822" s="65" t="n"/>
      <c r="J822" s="65" t="n"/>
      <c r="K822" s="65" t="n"/>
      <c r="L822" s="65" t="n"/>
      <c r="M822" s="65" t="n"/>
      <c r="N822" s="65" t="n"/>
      <c r="O822" s="65" t="n"/>
      <c r="P822" s="65" t="n"/>
      <c r="Q822" s="32">
        <f>IF($C822="","",IF($J822="","— חסרים נתונים",IF($J822="טרם מפענח","פרופיל 5",IF($J822="קמץ/פתח/חטף-פתח ושוואים","פרופיל 4",IF($J822="2-3 סימני ניקוד","פרופיל 3",IF($J822="4-5 סימני ניקוד","פרופיל 2",IF(AND($O822="משפטים וקטעים קצרים",OR($M822="מבין",$M822="מבין לרוב")),"פרופיל 1","פרופיל 2")))))))</f>
        <v/>
      </c>
      <c r="R822" s="32">
        <f>IF($C822="","",IF(OR($Q822="",LEFT($Q822,1)="—"),"קבוצה רביעית",IF($Q822="פרופיל 5","קבוצת תשתיות",IF(OR($Q822="פרופיל 4",$Q822="פרופיל 3"),"קבוצת רכישה","קבוצת ביסוס"))))</f>
        <v/>
      </c>
      <c r="S822" s="32">
        <f>IF($F822="","",IF($F822="תחילת שנה",1,IF($F822="מחצית שנה",2,3)))</f>
        <v/>
      </c>
      <c r="T822" s="32">
        <f>IF(OR($B822="",$R822="",$A822="",$F822=""),"",$B822&amp;"|"&amp;$A822&amp;"|"&amp;$F822&amp;"|"&amp;$R822&amp;"|"&amp;COUNTIFS($B$6:$B822,$B822,$A$6:$A822,$A822,$F$6:$F822,$F822,$R$6:$R822,$R822))</f>
        <v/>
      </c>
      <c r="U822" s="32">
        <f>IF($C822="","",$C822&amp;"|"&amp;COUNTIFS($C$6:$C822,$C822))</f>
        <v/>
      </c>
      <c r="V822" s="32">
        <f>IF(OR($C822="",$A822="",$S822=""),"",$C822&amp;"|"&amp;$A822&amp;"|"&amp;$S822)</f>
        <v/>
      </c>
      <c r="W822" s="32">
        <f>IF(OR($C822="",$S822="",$S822=1),"",IFERROR(INDEX($Q$6:$Q$1505,MATCH($C822&amp;"|"&amp;$A822&amp;"|"&amp;($S822-1),$V$6:$V$1505,0)),""))</f>
        <v/>
      </c>
      <c r="X822" s="32">
        <f>IF(OR($W822="",$Q822="",LEFT($Q822,1)="—"),"",IF($W822=$Q822,"ללא שינוי","מ-"&amp;$W822&amp;" ל-"&amp;$Q822))</f>
        <v/>
      </c>
    </row>
    <row r="823" ht="15.75" customHeight="1" s="58">
      <c r="A823" s="65" t="n"/>
      <c r="B823" s="65" t="n"/>
      <c r="C823" s="66" t="n"/>
      <c r="D823" s="66" t="n"/>
      <c r="E823" s="65" t="n"/>
      <c r="F823" s="65" t="n"/>
      <c r="G823" s="65" t="n"/>
      <c r="H823" s="65" t="n"/>
      <c r="I823" s="65" t="n"/>
      <c r="J823" s="65" t="n"/>
      <c r="K823" s="65" t="n"/>
      <c r="L823" s="65" t="n"/>
      <c r="M823" s="65" t="n"/>
      <c r="N823" s="65" t="n"/>
      <c r="O823" s="65" t="n"/>
      <c r="P823" s="65" t="n"/>
      <c r="Q823" s="32">
        <f>IF($C823="","",IF($J823="","— חסרים נתונים",IF($J823="טרם מפענח","פרופיל 5",IF($J823="קמץ/פתח/חטף-פתח ושוואים","פרופיל 4",IF($J823="2-3 סימני ניקוד","פרופיל 3",IF($J823="4-5 סימני ניקוד","פרופיל 2",IF(AND($O823="משפטים וקטעים קצרים",OR($M823="מבין",$M823="מבין לרוב")),"פרופיל 1","פרופיל 2")))))))</f>
        <v/>
      </c>
      <c r="R823" s="32">
        <f>IF($C823="","",IF(OR($Q823="",LEFT($Q823,1)="—"),"קבוצה רביעית",IF($Q823="פרופיל 5","קבוצת תשתיות",IF(OR($Q823="פרופיל 4",$Q823="פרופיל 3"),"קבוצת רכישה","קבוצת ביסוס"))))</f>
        <v/>
      </c>
      <c r="S823" s="32">
        <f>IF($F823="","",IF($F823="תחילת שנה",1,IF($F823="מחצית שנה",2,3)))</f>
        <v/>
      </c>
      <c r="T823" s="32">
        <f>IF(OR($B823="",$R823="",$A823="",$F823=""),"",$B823&amp;"|"&amp;$A823&amp;"|"&amp;$F823&amp;"|"&amp;$R823&amp;"|"&amp;COUNTIFS($B$6:$B823,$B823,$A$6:$A823,$A823,$F$6:$F823,$F823,$R$6:$R823,$R823))</f>
        <v/>
      </c>
      <c r="U823" s="32">
        <f>IF($C823="","",$C823&amp;"|"&amp;COUNTIFS($C$6:$C823,$C823))</f>
        <v/>
      </c>
      <c r="V823" s="32">
        <f>IF(OR($C823="",$A823="",$S823=""),"",$C823&amp;"|"&amp;$A823&amp;"|"&amp;$S823)</f>
        <v/>
      </c>
      <c r="W823" s="32">
        <f>IF(OR($C823="",$S823="",$S823=1),"",IFERROR(INDEX($Q$6:$Q$1505,MATCH($C823&amp;"|"&amp;$A823&amp;"|"&amp;($S823-1),$V$6:$V$1505,0)),""))</f>
        <v/>
      </c>
      <c r="X823" s="32">
        <f>IF(OR($W823="",$Q823="",LEFT($Q823,1)="—"),"",IF($W823=$Q823,"ללא שינוי","מ-"&amp;$W823&amp;" ל-"&amp;$Q823))</f>
        <v/>
      </c>
    </row>
    <row r="824" ht="15.75" customHeight="1" s="58">
      <c r="A824" s="65" t="n"/>
      <c r="B824" s="65" t="n"/>
      <c r="C824" s="66" t="n"/>
      <c r="D824" s="66" t="n"/>
      <c r="E824" s="65" t="n"/>
      <c r="F824" s="65" t="n"/>
      <c r="G824" s="65" t="n"/>
      <c r="H824" s="65" t="n"/>
      <c r="I824" s="65" t="n"/>
      <c r="J824" s="65" t="n"/>
      <c r="K824" s="65" t="n"/>
      <c r="L824" s="65" t="n"/>
      <c r="M824" s="65" t="n"/>
      <c r="N824" s="65" t="n"/>
      <c r="O824" s="65" t="n"/>
      <c r="P824" s="65" t="n"/>
      <c r="Q824" s="32">
        <f>IF($C824="","",IF($J824="","— חסרים נתונים",IF($J824="טרם מפענח","פרופיל 5",IF($J824="קמץ/פתח/חטף-פתח ושוואים","פרופיל 4",IF($J824="2-3 סימני ניקוד","פרופיל 3",IF($J824="4-5 סימני ניקוד","פרופיל 2",IF(AND($O824="משפטים וקטעים קצרים",OR($M824="מבין",$M824="מבין לרוב")),"פרופיל 1","פרופיל 2")))))))</f>
        <v/>
      </c>
      <c r="R824" s="32">
        <f>IF($C824="","",IF(OR($Q824="",LEFT($Q824,1)="—"),"קבוצה רביעית",IF($Q824="פרופיל 5","קבוצת תשתיות",IF(OR($Q824="פרופיל 4",$Q824="פרופיל 3"),"קבוצת רכישה","קבוצת ביסוס"))))</f>
        <v/>
      </c>
      <c r="S824" s="32">
        <f>IF($F824="","",IF($F824="תחילת שנה",1,IF($F824="מחצית שנה",2,3)))</f>
        <v/>
      </c>
      <c r="T824" s="32">
        <f>IF(OR($B824="",$R824="",$A824="",$F824=""),"",$B824&amp;"|"&amp;$A824&amp;"|"&amp;$F824&amp;"|"&amp;$R824&amp;"|"&amp;COUNTIFS($B$6:$B824,$B824,$A$6:$A824,$A824,$F$6:$F824,$F824,$R$6:$R824,$R824))</f>
        <v/>
      </c>
      <c r="U824" s="32">
        <f>IF($C824="","",$C824&amp;"|"&amp;COUNTIFS($C$6:$C824,$C824))</f>
        <v/>
      </c>
      <c r="V824" s="32">
        <f>IF(OR($C824="",$A824="",$S824=""),"",$C824&amp;"|"&amp;$A824&amp;"|"&amp;$S824)</f>
        <v/>
      </c>
      <c r="W824" s="32">
        <f>IF(OR($C824="",$S824="",$S824=1),"",IFERROR(INDEX($Q$6:$Q$1505,MATCH($C824&amp;"|"&amp;$A824&amp;"|"&amp;($S824-1),$V$6:$V$1505,0)),""))</f>
        <v/>
      </c>
      <c r="X824" s="32">
        <f>IF(OR($W824="",$Q824="",LEFT($Q824,1)="—"),"",IF($W824=$Q824,"ללא שינוי","מ-"&amp;$W824&amp;" ל-"&amp;$Q824))</f>
        <v/>
      </c>
    </row>
    <row r="825" ht="15.75" customHeight="1" s="58">
      <c r="A825" s="65" t="n"/>
      <c r="B825" s="65" t="n"/>
      <c r="C825" s="66" t="n"/>
      <c r="D825" s="66" t="n"/>
      <c r="E825" s="65" t="n"/>
      <c r="F825" s="65" t="n"/>
      <c r="G825" s="65" t="n"/>
      <c r="H825" s="65" t="n"/>
      <c r="I825" s="65" t="n"/>
      <c r="J825" s="65" t="n"/>
      <c r="K825" s="65" t="n"/>
      <c r="L825" s="65" t="n"/>
      <c r="M825" s="65" t="n"/>
      <c r="N825" s="65" t="n"/>
      <c r="O825" s="65" t="n"/>
      <c r="P825" s="65" t="n"/>
      <c r="Q825" s="32">
        <f>IF($C825="","",IF($J825="","— חסרים נתונים",IF($J825="טרם מפענח","פרופיל 5",IF($J825="קמץ/פתח/חטף-פתח ושוואים","פרופיל 4",IF($J825="2-3 סימני ניקוד","פרופיל 3",IF($J825="4-5 סימני ניקוד","פרופיל 2",IF(AND($O825="משפטים וקטעים קצרים",OR($M825="מבין",$M825="מבין לרוב")),"פרופיל 1","פרופיל 2")))))))</f>
        <v/>
      </c>
      <c r="R825" s="32">
        <f>IF($C825="","",IF(OR($Q825="",LEFT($Q825,1)="—"),"קבוצה רביעית",IF($Q825="פרופיל 5","קבוצת תשתיות",IF(OR($Q825="פרופיל 4",$Q825="פרופיל 3"),"קבוצת רכישה","קבוצת ביסוס"))))</f>
        <v/>
      </c>
      <c r="S825" s="32">
        <f>IF($F825="","",IF($F825="תחילת שנה",1,IF($F825="מחצית שנה",2,3)))</f>
        <v/>
      </c>
      <c r="T825" s="32">
        <f>IF(OR($B825="",$R825="",$A825="",$F825=""),"",$B825&amp;"|"&amp;$A825&amp;"|"&amp;$F825&amp;"|"&amp;$R825&amp;"|"&amp;COUNTIFS($B$6:$B825,$B825,$A$6:$A825,$A825,$F$6:$F825,$F825,$R$6:$R825,$R825))</f>
        <v/>
      </c>
      <c r="U825" s="32">
        <f>IF($C825="","",$C825&amp;"|"&amp;COUNTIFS($C$6:$C825,$C825))</f>
        <v/>
      </c>
      <c r="V825" s="32">
        <f>IF(OR($C825="",$A825="",$S825=""),"",$C825&amp;"|"&amp;$A825&amp;"|"&amp;$S825)</f>
        <v/>
      </c>
      <c r="W825" s="32">
        <f>IF(OR($C825="",$S825="",$S825=1),"",IFERROR(INDEX($Q$6:$Q$1505,MATCH($C825&amp;"|"&amp;$A825&amp;"|"&amp;($S825-1),$V$6:$V$1505,0)),""))</f>
        <v/>
      </c>
      <c r="X825" s="32">
        <f>IF(OR($W825="",$Q825="",LEFT($Q825,1)="—"),"",IF($W825=$Q825,"ללא שינוי","מ-"&amp;$W825&amp;" ל-"&amp;$Q825))</f>
        <v/>
      </c>
    </row>
    <row r="826" ht="15.75" customHeight="1" s="58">
      <c r="A826" s="65" t="n"/>
      <c r="B826" s="65" t="n"/>
      <c r="C826" s="66" t="n"/>
      <c r="D826" s="66" t="n"/>
      <c r="E826" s="65" t="n"/>
      <c r="F826" s="65" t="n"/>
      <c r="G826" s="65" t="n"/>
      <c r="H826" s="65" t="n"/>
      <c r="I826" s="65" t="n"/>
      <c r="J826" s="65" t="n"/>
      <c r="K826" s="65" t="n"/>
      <c r="L826" s="65" t="n"/>
      <c r="M826" s="65" t="n"/>
      <c r="N826" s="65" t="n"/>
      <c r="O826" s="65" t="n"/>
      <c r="P826" s="65" t="n"/>
      <c r="Q826" s="32">
        <f>IF($C826="","",IF($J826="","— חסרים נתונים",IF($J826="טרם מפענח","פרופיל 5",IF($J826="קמץ/פתח/חטף-פתח ושוואים","פרופיל 4",IF($J826="2-3 סימני ניקוד","פרופיל 3",IF($J826="4-5 סימני ניקוד","פרופיל 2",IF(AND($O826="משפטים וקטעים קצרים",OR($M826="מבין",$M826="מבין לרוב")),"פרופיל 1","פרופיל 2")))))))</f>
        <v/>
      </c>
      <c r="R826" s="32">
        <f>IF($C826="","",IF(OR($Q826="",LEFT($Q826,1)="—"),"קבוצה רביעית",IF($Q826="פרופיל 5","קבוצת תשתיות",IF(OR($Q826="פרופיל 4",$Q826="פרופיל 3"),"קבוצת רכישה","קבוצת ביסוס"))))</f>
        <v/>
      </c>
      <c r="S826" s="32">
        <f>IF($F826="","",IF($F826="תחילת שנה",1,IF($F826="מחצית שנה",2,3)))</f>
        <v/>
      </c>
      <c r="T826" s="32">
        <f>IF(OR($B826="",$R826="",$A826="",$F826=""),"",$B826&amp;"|"&amp;$A826&amp;"|"&amp;$F826&amp;"|"&amp;$R826&amp;"|"&amp;COUNTIFS($B$6:$B826,$B826,$A$6:$A826,$A826,$F$6:$F826,$F826,$R$6:$R826,$R826))</f>
        <v/>
      </c>
      <c r="U826" s="32">
        <f>IF($C826="","",$C826&amp;"|"&amp;COUNTIFS($C$6:$C826,$C826))</f>
        <v/>
      </c>
      <c r="V826" s="32">
        <f>IF(OR($C826="",$A826="",$S826=""),"",$C826&amp;"|"&amp;$A826&amp;"|"&amp;$S826)</f>
        <v/>
      </c>
      <c r="W826" s="32">
        <f>IF(OR($C826="",$S826="",$S826=1),"",IFERROR(INDEX($Q$6:$Q$1505,MATCH($C826&amp;"|"&amp;$A826&amp;"|"&amp;($S826-1),$V$6:$V$1505,0)),""))</f>
        <v/>
      </c>
      <c r="X826" s="32">
        <f>IF(OR($W826="",$Q826="",LEFT($Q826,1)="—"),"",IF($W826=$Q826,"ללא שינוי","מ-"&amp;$W826&amp;" ל-"&amp;$Q826))</f>
        <v/>
      </c>
    </row>
    <row r="827" ht="15.75" customHeight="1" s="58">
      <c r="A827" s="65" t="n"/>
      <c r="B827" s="65" t="n"/>
      <c r="C827" s="66" t="n"/>
      <c r="D827" s="66" t="n"/>
      <c r="E827" s="65" t="n"/>
      <c r="F827" s="65" t="n"/>
      <c r="G827" s="65" t="n"/>
      <c r="H827" s="65" t="n"/>
      <c r="I827" s="65" t="n"/>
      <c r="J827" s="65" t="n"/>
      <c r="K827" s="65" t="n"/>
      <c r="L827" s="65" t="n"/>
      <c r="M827" s="65" t="n"/>
      <c r="N827" s="65" t="n"/>
      <c r="O827" s="65" t="n"/>
      <c r="P827" s="65" t="n"/>
      <c r="Q827" s="32">
        <f>IF($C827="","",IF($J827="","— חסרים נתונים",IF($J827="טרם מפענח","פרופיל 5",IF($J827="קמץ/פתח/חטף-פתח ושוואים","פרופיל 4",IF($J827="2-3 סימני ניקוד","פרופיל 3",IF($J827="4-5 סימני ניקוד","פרופיל 2",IF(AND($O827="משפטים וקטעים קצרים",OR($M827="מבין",$M827="מבין לרוב")),"פרופיל 1","פרופיל 2")))))))</f>
        <v/>
      </c>
      <c r="R827" s="32">
        <f>IF($C827="","",IF(OR($Q827="",LEFT($Q827,1)="—"),"קבוצה רביעית",IF($Q827="פרופיל 5","קבוצת תשתיות",IF(OR($Q827="פרופיל 4",$Q827="פרופיל 3"),"קבוצת רכישה","קבוצת ביסוס"))))</f>
        <v/>
      </c>
      <c r="S827" s="32">
        <f>IF($F827="","",IF($F827="תחילת שנה",1,IF($F827="מחצית שנה",2,3)))</f>
        <v/>
      </c>
      <c r="T827" s="32">
        <f>IF(OR($B827="",$R827="",$A827="",$F827=""),"",$B827&amp;"|"&amp;$A827&amp;"|"&amp;$F827&amp;"|"&amp;$R827&amp;"|"&amp;COUNTIFS($B$6:$B827,$B827,$A$6:$A827,$A827,$F$6:$F827,$F827,$R$6:$R827,$R827))</f>
        <v/>
      </c>
      <c r="U827" s="32">
        <f>IF($C827="","",$C827&amp;"|"&amp;COUNTIFS($C$6:$C827,$C827))</f>
        <v/>
      </c>
      <c r="V827" s="32">
        <f>IF(OR($C827="",$A827="",$S827=""),"",$C827&amp;"|"&amp;$A827&amp;"|"&amp;$S827)</f>
        <v/>
      </c>
      <c r="W827" s="32">
        <f>IF(OR($C827="",$S827="",$S827=1),"",IFERROR(INDEX($Q$6:$Q$1505,MATCH($C827&amp;"|"&amp;$A827&amp;"|"&amp;($S827-1),$V$6:$V$1505,0)),""))</f>
        <v/>
      </c>
      <c r="X827" s="32">
        <f>IF(OR($W827="",$Q827="",LEFT($Q827,1)="—"),"",IF($W827=$Q827,"ללא שינוי","מ-"&amp;$W827&amp;" ל-"&amp;$Q827))</f>
        <v/>
      </c>
    </row>
    <row r="828" ht="15.75" customHeight="1" s="58">
      <c r="A828" s="65" t="n"/>
      <c r="B828" s="65" t="n"/>
      <c r="C828" s="66" t="n"/>
      <c r="D828" s="66" t="n"/>
      <c r="E828" s="65" t="n"/>
      <c r="F828" s="65" t="n"/>
      <c r="G828" s="65" t="n"/>
      <c r="H828" s="65" t="n"/>
      <c r="I828" s="65" t="n"/>
      <c r="J828" s="65" t="n"/>
      <c r="K828" s="65" t="n"/>
      <c r="L828" s="65" t="n"/>
      <c r="M828" s="65" t="n"/>
      <c r="N828" s="65" t="n"/>
      <c r="O828" s="65" t="n"/>
      <c r="P828" s="65" t="n"/>
      <c r="Q828" s="32">
        <f>IF($C828="","",IF($J828="","— חסרים נתונים",IF($J828="טרם מפענח","פרופיל 5",IF($J828="קמץ/פתח/חטף-פתח ושוואים","פרופיל 4",IF($J828="2-3 סימני ניקוד","פרופיל 3",IF($J828="4-5 סימני ניקוד","פרופיל 2",IF(AND($O828="משפטים וקטעים קצרים",OR($M828="מבין",$M828="מבין לרוב")),"פרופיל 1","פרופיל 2")))))))</f>
        <v/>
      </c>
      <c r="R828" s="32">
        <f>IF($C828="","",IF(OR($Q828="",LEFT($Q828,1)="—"),"קבוצה רביעית",IF($Q828="פרופיל 5","קבוצת תשתיות",IF(OR($Q828="פרופיל 4",$Q828="פרופיל 3"),"קבוצת רכישה","קבוצת ביסוס"))))</f>
        <v/>
      </c>
      <c r="S828" s="32">
        <f>IF($F828="","",IF($F828="תחילת שנה",1,IF($F828="מחצית שנה",2,3)))</f>
        <v/>
      </c>
      <c r="T828" s="32">
        <f>IF(OR($B828="",$R828="",$A828="",$F828=""),"",$B828&amp;"|"&amp;$A828&amp;"|"&amp;$F828&amp;"|"&amp;$R828&amp;"|"&amp;COUNTIFS($B$6:$B828,$B828,$A$6:$A828,$A828,$F$6:$F828,$F828,$R$6:$R828,$R828))</f>
        <v/>
      </c>
      <c r="U828" s="32">
        <f>IF($C828="","",$C828&amp;"|"&amp;COUNTIFS($C$6:$C828,$C828))</f>
        <v/>
      </c>
      <c r="V828" s="32">
        <f>IF(OR($C828="",$A828="",$S828=""),"",$C828&amp;"|"&amp;$A828&amp;"|"&amp;$S828)</f>
        <v/>
      </c>
      <c r="W828" s="32">
        <f>IF(OR($C828="",$S828="",$S828=1),"",IFERROR(INDEX($Q$6:$Q$1505,MATCH($C828&amp;"|"&amp;$A828&amp;"|"&amp;($S828-1),$V$6:$V$1505,0)),""))</f>
        <v/>
      </c>
      <c r="X828" s="32">
        <f>IF(OR($W828="",$Q828="",LEFT($Q828,1)="—"),"",IF($W828=$Q828,"ללא שינוי","מ-"&amp;$W828&amp;" ל-"&amp;$Q828))</f>
        <v/>
      </c>
    </row>
    <row r="829" ht="15.75" customHeight="1" s="58">
      <c r="A829" s="65" t="n"/>
      <c r="B829" s="65" t="n"/>
      <c r="C829" s="66" t="n"/>
      <c r="D829" s="66" t="n"/>
      <c r="E829" s="65" t="n"/>
      <c r="F829" s="65" t="n"/>
      <c r="G829" s="65" t="n"/>
      <c r="H829" s="65" t="n"/>
      <c r="I829" s="65" t="n"/>
      <c r="J829" s="65" t="n"/>
      <c r="K829" s="65" t="n"/>
      <c r="L829" s="65" t="n"/>
      <c r="M829" s="65" t="n"/>
      <c r="N829" s="65" t="n"/>
      <c r="O829" s="65" t="n"/>
      <c r="P829" s="65" t="n"/>
      <c r="Q829" s="32">
        <f>IF($C829="","",IF($J829="","— חסרים נתונים",IF($J829="טרם מפענח","פרופיל 5",IF($J829="קמץ/פתח/חטף-פתח ושוואים","פרופיל 4",IF($J829="2-3 סימני ניקוד","פרופיל 3",IF($J829="4-5 סימני ניקוד","פרופיל 2",IF(AND($O829="משפטים וקטעים קצרים",OR($M829="מבין",$M829="מבין לרוב")),"פרופיל 1","פרופיל 2")))))))</f>
        <v/>
      </c>
      <c r="R829" s="32">
        <f>IF($C829="","",IF(OR($Q829="",LEFT($Q829,1)="—"),"קבוצה רביעית",IF($Q829="פרופיל 5","קבוצת תשתיות",IF(OR($Q829="פרופיל 4",$Q829="פרופיל 3"),"קבוצת רכישה","קבוצת ביסוס"))))</f>
        <v/>
      </c>
      <c r="S829" s="32">
        <f>IF($F829="","",IF($F829="תחילת שנה",1,IF($F829="מחצית שנה",2,3)))</f>
        <v/>
      </c>
      <c r="T829" s="32">
        <f>IF(OR($B829="",$R829="",$A829="",$F829=""),"",$B829&amp;"|"&amp;$A829&amp;"|"&amp;$F829&amp;"|"&amp;$R829&amp;"|"&amp;COUNTIFS($B$6:$B829,$B829,$A$6:$A829,$A829,$F$6:$F829,$F829,$R$6:$R829,$R829))</f>
        <v/>
      </c>
      <c r="U829" s="32">
        <f>IF($C829="","",$C829&amp;"|"&amp;COUNTIFS($C$6:$C829,$C829))</f>
        <v/>
      </c>
      <c r="V829" s="32">
        <f>IF(OR($C829="",$A829="",$S829=""),"",$C829&amp;"|"&amp;$A829&amp;"|"&amp;$S829)</f>
        <v/>
      </c>
      <c r="W829" s="32">
        <f>IF(OR($C829="",$S829="",$S829=1),"",IFERROR(INDEX($Q$6:$Q$1505,MATCH($C829&amp;"|"&amp;$A829&amp;"|"&amp;($S829-1),$V$6:$V$1505,0)),""))</f>
        <v/>
      </c>
      <c r="X829" s="32">
        <f>IF(OR($W829="",$Q829="",LEFT($Q829,1)="—"),"",IF($W829=$Q829,"ללא שינוי","מ-"&amp;$W829&amp;" ל-"&amp;$Q829))</f>
        <v/>
      </c>
    </row>
    <row r="830" ht="15.75" customHeight="1" s="58">
      <c r="A830" s="65" t="n"/>
      <c r="B830" s="65" t="n"/>
      <c r="C830" s="66" t="n"/>
      <c r="D830" s="66" t="n"/>
      <c r="E830" s="65" t="n"/>
      <c r="F830" s="65" t="n"/>
      <c r="G830" s="65" t="n"/>
      <c r="H830" s="65" t="n"/>
      <c r="I830" s="65" t="n"/>
      <c r="J830" s="65" t="n"/>
      <c r="K830" s="65" t="n"/>
      <c r="L830" s="65" t="n"/>
      <c r="M830" s="65" t="n"/>
      <c r="N830" s="65" t="n"/>
      <c r="O830" s="65" t="n"/>
      <c r="P830" s="65" t="n"/>
      <c r="Q830" s="32">
        <f>IF($C830="","",IF($J830="","— חסרים נתונים",IF($J830="טרם מפענח","פרופיל 5",IF($J830="קמץ/פתח/חטף-פתח ושוואים","פרופיל 4",IF($J830="2-3 סימני ניקוד","פרופיל 3",IF($J830="4-5 סימני ניקוד","פרופיל 2",IF(AND($O830="משפטים וקטעים קצרים",OR($M830="מבין",$M830="מבין לרוב")),"פרופיל 1","פרופיל 2")))))))</f>
        <v/>
      </c>
      <c r="R830" s="32">
        <f>IF($C830="","",IF(OR($Q830="",LEFT($Q830,1)="—"),"קבוצה רביעית",IF($Q830="פרופיל 5","קבוצת תשתיות",IF(OR($Q830="פרופיל 4",$Q830="פרופיל 3"),"קבוצת רכישה","קבוצת ביסוס"))))</f>
        <v/>
      </c>
      <c r="S830" s="32">
        <f>IF($F830="","",IF($F830="תחילת שנה",1,IF($F830="מחצית שנה",2,3)))</f>
        <v/>
      </c>
      <c r="T830" s="32">
        <f>IF(OR($B830="",$R830="",$A830="",$F830=""),"",$B830&amp;"|"&amp;$A830&amp;"|"&amp;$F830&amp;"|"&amp;$R830&amp;"|"&amp;COUNTIFS($B$6:$B830,$B830,$A$6:$A830,$A830,$F$6:$F830,$F830,$R$6:$R830,$R830))</f>
        <v/>
      </c>
      <c r="U830" s="32">
        <f>IF($C830="","",$C830&amp;"|"&amp;COUNTIFS($C$6:$C830,$C830))</f>
        <v/>
      </c>
      <c r="V830" s="32">
        <f>IF(OR($C830="",$A830="",$S830=""),"",$C830&amp;"|"&amp;$A830&amp;"|"&amp;$S830)</f>
        <v/>
      </c>
      <c r="W830" s="32">
        <f>IF(OR($C830="",$S830="",$S830=1),"",IFERROR(INDEX($Q$6:$Q$1505,MATCH($C830&amp;"|"&amp;$A830&amp;"|"&amp;($S830-1),$V$6:$V$1505,0)),""))</f>
        <v/>
      </c>
      <c r="X830" s="32">
        <f>IF(OR($W830="",$Q830="",LEFT($Q830,1)="—"),"",IF($W830=$Q830,"ללא שינוי","מ-"&amp;$W830&amp;" ל-"&amp;$Q830))</f>
        <v/>
      </c>
    </row>
    <row r="831" ht="15.75" customHeight="1" s="58">
      <c r="A831" s="65" t="n"/>
      <c r="B831" s="65" t="n"/>
      <c r="C831" s="66" t="n"/>
      <c r="D831" s="66" t="n"/>
      <c r="E831" s="65" t="n"/>
      <c r="F831" s="65" t="n"/>
      <c r="G831" s="65" t="n"/>
      <c r="H831" s="65" t="n"/>
      <c r="I831" s="65" t="n"/>
      <c r="J831" s="65" t="n"/>
      <c r="K831" s="65" t="n"/>
      <c r="L831" s="65" t="n"/>
      <c r="M831" s="65" t="n"/>
      <c r="N831" s="65" t="n"/>
      <c r="O831" s="65" t="n"/>
      <c r="P831" s="65" t="n"/>
      <c r="Q831" s="32">
        <f>IF($C831="","",IF($J831="","— חסרים נתונים",IF($J831="טרם מפענח","פרופיל 5",IF($J831="קמץ/פתח/חטף-פתח ושוואים","פרופיל 4",IF($J831="2-3 סימני ניקוד","פרופיל 3",IF($J831="4-5 סימני ניקוד","פרופיל 2",IF(AND($O831="משפטים וקטעים קצרים",OR($M831="מבין",$M831="מבין לרוב")),"פרופיל 1","פרופיל 2")))))))</f>
        <v/>
      </c>
      <c r="R831" s="32">
        <f>IF($C831="","",IF(OR($Q831="",LEFT($Q831,1)="—"),"קבוצה רביעית",IF($Q831="פרופיל 5","קבוצת תשתיות",IF(OR($Q831="פרופיל 4",$Q831="פרופיל 3"),"קבוצת רכישה","קבוצת ביסוס"))))</f>
        <v/>
      </c>
      <c r="S831" s="32">
        <f>IF($F831="","",IF($F831="תחילת שנה",1,IF($F831="מחצית שנה",2,3)))</f>
        <v/>
      </c>
      <c r="T831" s="32">
        <f>IF(OR($B831="",$R831="",$A831="",$F831=""),"",$B831&amp;"|"&amp;$A831&amp;"|"&amp;$F831&amp;"|"&amp;$R831&amp;"|"&amp;COUNTIFS($B$6:$B831,$B831,$A$6:$A831,$A831,$F$6:$F831,$F831,$R$6:$R831,$R831))</f>
        <v/>
      </c>
      <c r="U831" s="32">
        <f>IF($C831="","",$C831&amp;"|"&amp;COUNTIFS($C$6:$C831,$C831))</f>
        <v/>
      </c>
      <c r="V831" s="32">
        <f>IF(OR($C831="",$A831="",$S831=""),"",$C831&amp;"|"&amp;$A831&amp;"|"&amp;$S831)</f>
        <v/>
      </c>
      <c r="W831" s="32">
        <f>IF(OR($C831="",$S831="",$S831=1),"",IFERROR(INDEX($Q$6:$Q$1505,MATCH($C831&amp;"|"&amp;$A831&amp;"|"&amp;($S831-1),$V$6:$V$1505,0)),""))</f>
        <v/>
      </c>
      <c r="X831" s="32">
        <f>IF(OR($W831="",$Q831="",LEFT($Q831,1)="—"),"",IF($W831=$Q831,"ללא שינוי","מ-"&amp;$W831&amp;" ל-"&amp;$Q831))</f>
        <v/>
      </c>
    </row>
    <row r="832" ht="15.75" customHeight="1" s="58">
      <c r="A832" s="65" t="n"/>
      <c r="B832" s="65" t="n"/>
      <c r="C832" s="66" t="n"/>
      <c r="D832" s="66" t="n"/>
      <c r="E832" s="65" t="n"/>
      <c r="F832" s="65" t="n"/>
      <c r="G832" s="65" t="n"/>
      <c r="H832" s="65" t="n"/>
      <c r="I832" s="65" t="n"/>
      <c r="J832" s="65" t="n"/>
      <c r="K832" s="65" t="n"/>
      <c r="L832" s="65" t="n"/>
      <c r="M832" s="65" t="n"/>
      <c r="N832" s="65" t="n"/>
      <c r="O832" s="65" t="n"/>
      <c r="P832" s="65" t="n"/>
      <c r="Q832" s="32">
        <f>IF($C832="","",IF($J832="","— חסרים נתונים",IF($J832="טרם מפענח","פרופיל 5",IF($J832="קמץ/פתח/חטף-פתח ושוואים","פרופיל 4",IF($J832="2-3 סימני ניקוד","פרופיל 3",IF($J832="4-5 סימני ניקוד","פרופיל 2",IF(AND($O832="משפטים וקטעים קצרים",OR($M832="מבין",$M832="מבין לרוב")),"פרופיל 1","פרופיל 2")))))))</f>
        <v/>
      </c>
      <c r="R832" s="32">
        <f>IF($C832="","",IF(OR($Q832="",LEFT($Q832,1)="—"),"קבוצה רביעית",IF($Q832="פרופיל 5","קבוצת תשתיות",IF(OR($Q832="פרופיל 4",$Q832="פרופיל 3"),"קבוצת רכישה","קבוצת ביסוס"))))</f>
        <v/>
      </c>
      <c r="S832" s="32">
        <f>IF($F832="","",IF($F832="תחילת שנה",1,IF($F832="מחצית שנה",2,3)))</f>
        <v/>
      </c>
      <c r="T832" s="32">
        <f>IF(OR($B832="",$R832="",$A832="",$F832=""),"",$B832&amp;"|"&amp;$A832&amp;"|"&amp;$F832&amp;"|"&amp;$R832&amp;"|"&amp;COUNTIFS($B$6:$B832,$B832,$A$6:$A832,$A832,$F$6:$F832,$F832,$R$6:$R832,$R832))</f>
        <v/>
      </c>
      <c r="U832" s="32">
        <f>IF($C832="","",$C832&amp;"|"&amp;COUNTIFS($C$6:$C832,$C832))</f>
        <v/>
      </c>
      <c r="V832" s="32">
        <f>IF(OR($C832="",$A832="",$S832=""),"",$C832&amp;"|"&amp;$A832&amp;"|"&amp;$S832)</f>
        <v/>
      </c>
      <c r="W832" s="32">
        <f>IF(OR($C832="",$S832="",$S832=1),"",IFERROR(INDEX($Q$6:$Q$1505,MATCH($C832&amp;"|"&amp;$A832&amp;"|"&amp;($S832-1),$V$6:$V$1505,0)),""))</f>
        <v/>
      </c>
      <c r="X832" s="32">
        <f>IF(OR($W832="",$Q832="",LEFT($Q832,1)="—"),"",IF($W832=$Q832,"ללא שינוי","מ-"&amp;$W832&amp;" ל-"&amp;$Q832))</f>
        <v/>
      </c>
    </row>
    <row r="833" ht="15.75" customHeight="1" s="58">
      <c r="A833" s="65" t="n"/>
      <c r="B833" s="65" t="n"/>
      <c r="C833" s="66" t="n"/>
      <c r="D833" s="66" t="n"/>
      <c r="E833" s="65" t="n"/>
      <c r="F833" s="65" t="n"/>
      <c r="G833" s="65" t="n"/>
      <c r="H833" s="65" t="n"/>
      <c r="I833" s="65" t="n"/>
      <c r="J833" s="65" t="n"/>
      <c r="K833" s="65" t="n"/>
      <c r="L833" s="65" t="n"/>
      <c r="M833" s="65" t="n"/>
      <c r="N833" s="65" t="n"/>
      <c r="O833" s="65" t="n"/>
      <c r="P833" s="65" t="n"/>
      <c r="Q833" s="32">
        <f>IF($C833="","",IF($J833="","— חסרים נתונים",IF($J833="טרם מפענח","פרופיל 5",IF($J833="קמץ/פתח/חטף-פתח ושוואים","פרופיל 4",IF($J833="2-3 סימני ניקוד","פרופיל 3",IF($J833="4-5 סימני ניקוד","פרופיל 2",IF(AND($O833="משפטים וקטעים קצרים",OR($M833="מבין",$M833="מבין לרוב")),"פרופיל 1","פרופיל 2")))))))</f>
        <v/>
      </c>
      <c r="R833" s="32">
        <f>IF($C833="","",IF(OR($Q833="",LEFT($Q833,1)="—"),"קבוצה רביעית",IF($Q833="פרופיל 5","קבוצת תשתיות",IF(OR($Q833="פרופיל 4",$Q833="פרופיל 3"),"קבוצת רכישה","קבוצת ביסוס"))))</f>
        <v/>
      </c>
      <c r="S833" s="32">
        <f>IF($F833="","",IF($F833="תחילת שנה",1,IF($F833="מחצית שנה",2,3)))</f>
        <v/>
      </c>
      <c r="T833" s="32">
        <f>IF(OR($B833="",$R833="",$A833="",$F833=""),"",$B833&amp;"|"&amp;$A833&amp;"|"&amp;$F833&amp;"|"&amp;$R833&amp;"|"&amp;COUNTIFS($B$6:$B833,$B833,$A$6:$A833,$A833,$F$6:$F833,$F833,$R$6:$R833,$R833))</f>
        <v/>
      </c>
      <c r="U833" s="32">
        <f>IF($C833="","",$C833&amp;"|"&amp;COUNTIFS($C$6:$C833,$C833))</f>
        <v/>
      </c>
      <c r="V833" s="32">
        <f>IF(OR($C833="",$A833="",$S833=""),"",$C833&amp;"|"&amp;$A833&amp;"|"&amp;$S833)</f>
        <v/>
      </c>
      <c r="W833" s="32">
        <f>IF(OR($C833="",$S833="",$S833=1),"",IFERROR(INDEX($Q$6:$Q$1505,MATCH($C833&amp;"|"&amp;$A833&amp;"|"&amp;($S833-1),$V$6:$V$1505,0)),""))</f>
        <v/>
      </c>
      <c r="X833" s="32">
        <f>IF(OR($W833="",$Q833="",LEFT($Q833,1)="—"),"",IF($W833=$Q833,"ללא שינוי","מ-"&amp;$W833&amp;" ל-"&amp;$Q833))</f>
        <v/>
      </c>
    </row>
    <row r="834" ht="15.75" customHeight="1" s="58">
      <c r="A834" s="65" t="n"/>
      <c r="B834" s="65" t="n"/>
      <c r="C834" s="66" t="n"/>
      <c r="D834" s="66" t="n"/>
      <c r="E834" s="65" t="n"/>
      <c r="F834" s="65" t="n"/>
      <c r="G834" s="65" t="n"/>
      <c r="H834" s="65" t="n"/>
      <c r="I834" s="65" t="n"/>
      <c r="J834" s="65" t="n"/>
      <c r="K834" s="65" t="n"/>
      <c r="L834" s="65" t="n"/>
      <c r="M834" s="65" t="n"/>
      <c r="N834" s="65" t="n"/>
      <c r="O834" s="65" t="n"/>
      <c r="P834" s="65" t="n"/>
      <c r="Q834" s="32">
        <f>IF($C834="","",IF($J834="","— חסרים נתונים",IF($J834="טרם מפענח","פרופיל 5",IF($J834="קמץ/פתח/חטף-פתח ושוואים","פרופיל 4",IF($J834="2-3 סימני ניקוד","פרופיל 3",IF($J834="4-5 סימני ניקוד","פרופיל 2",IF(AND($O834="משפטים וקטעים קצרים",OR($M834="מבין",$M834="מבין לרוב")),"פרופיל 1","פרופיל 2")))))))</f>
        <v/>
      </c>
      <c r="R834" s="32">
        <f>IF($C834="","",IF(OR($Q834="",LEFT($Q834,1)="—"),"קבוצה רביעית",IF($Q834="פרופיל 5","קבוצת תשתיות",IF(OR($Q834="פרופיל 4",$Q834="פרופיל 3"),"קבוצת רכישה","קבוצת ביסוס"))))</f>
        <v/>
      </c>
      <c r="S834" s="32">
        <f>IF($F834="","",IF($F834="תחילת שנה",1,IF($F834="מחצית שנה",2,3)))</f>
        <v/>
      </c>
      <c r="T834" s="32">
        <f>IF(OR($B834="",$R834="",$A834="",$F834=""),"",$B834&amp;"|"&amp;$A834&amp;"|"&amp;$F834&amp;"|"&amp;$R834&amp;"|"&amp;COUNTIFS($B$6:$B834,$B834,$A$6:$A834,$A834,$F$6:$F834,$F834,$R$6:$R834,$R834))</f>
        <v/>
      </c>
      <c r="U834" s="32">
        <f>IF($C834="","",$C834&amp;"|"&amp;COUNTIFS($C$6:$C834,$C834))</f>
        <v/>
      </c>
      <c r="V834" s="32">
        <f>IF(OR($C834="",$A834="",$S834=""),"",$C834&amp;"|"&amp;$A834&amp;"|"&amp;$S834)</f>
        <v/>
      </c>
      <c r="W834" s="32">
        <f>IF(OR($C834="",$S834="",$S834=1),"",IFERROR(INDEX($Q$6:$Q$1505,MATCH($C834&amp;"|"&amp;$A834&amp;"|"&amp;($S834-1),$V$6:$V$1505,0)),""))</f>
        <v/>
      </c>
      <c r="X834" s="32">
        <f>IF(OR($W834="",$Q834="",LEFT($Q834,1)="—"),"",IF($W834=$Q834,"ללא שינוי","מ-"&amp;$W834&amp;" ל-"&amp;$Q834))</f>
        <v/>
      </c>
    </row>
    <row r="835" ht="15.75" customHeight="1" s="58">
      <c r="A835" s="65" t="n"/>
      <c r="B835" s="65" t="n"/>
      <c r="C835" s="66" t="n"/>
      <c r="D835" s="66" t="n"/>
      <c r="E835" s="65" t="n"/>
      <c r="F835" s="65" t="n"/>
      <c r="G835" s="65" t="n"/>
      <c r="H835" s="65" t="n"/>
      <c r="I835" s="65" t="n"/>
      <c r="J835" s="65" t="n"/>
      <c r="K835" s="65" t="n"/>
      <c r="L835" s="65" t="n"/>
      <c r="M835" s="65" t="n"/>
      <c r="N835" s="65" t="n"/>
      <c r="O835" s="65" t="n"/>
      <c r="P835" s="65" t="n"/>
      <c r="Q835" s="32">
        <f>IF($C835="","",IF($J835="","— חסרים נתונים",IF($J835="טרם מפענח","פרופיל 5",IF($J835="קמץ/פתח/חטף-פתח ושוואים","פרופיל 4",IF($J835="2-3 סימני ניקוד","פרופיל 3",IF($J835="4-5 סימני ניקוד","פרופיל 2",IF(AND($O835="משפטים וקטעים קצרים",OR($M835="מבין",$M835="מבין לרוב")),"פרופיל 1","פרופיל 2")))))))</f>
        <v/>
      </c>
      <c r="R835" s="32">
        <f>IF($C835="","",IF(OR($Q835="",LEFT($Q835,1)="—"),"קבוצה רביעית",IF($Q835="פרופיל 5","קבוצת תשתיות",IF(OR($Q835="פרופיל 4",$Q835="פרופיל 3"),"קבוצת רכישה","קבוצת ביסוס"))))</f>
        <v/>
      </c>
      <c r="S835" s="32">
        <f>IF($F835="","",IF($F835="תחילת שנה",1,IF($F835="מחצית שנה",2,3)))</f>
        <v/>
      </c>
      <c r="T835" s="32">
        <f>IF(OR($B835="",$R835="",$A835="",$F835=""),"",$B835&amp;"|"&amp;$A835&amp;"|"&amp;$F835&amp;"|"&amp;$R835&amp;"|"&amp;COUNTIFS($B$6:$B835,$B835,$A$6:$A835,$A835,$F$6:$F835,$F835,$R$6:$R835,$R835))</f>
        <v/>
      </c>
      <c r="U835" s="32">
        <f>IF($C835="","",$C835&amp;"|"&amp;COUNTIFS($C$6:$C835,$C835))</f>
        <v/>
      </c>
      <c r="V835" s="32">
        <f>IF(OR($C835="",$A835="",$S835=""),"",$C835&amp;"|"&amp;$A835&amp;"|"&amp;$S835)</f>
        <v/>
      </c>
      <c r="W835" s="32">
        <f>IF(OR($C835="",$S835="",$S835=1),"",IFERROR(INDEX($Q$6:$Q$1505,MATCH($C835&amp;"|"&amp;$A835&amp;"|"&amp;($S835-1),$V$6:$V$1505,0)),""))</f>
        <v/>
      </c>
      <c r="X835" s="32">
        <f>IF(OR($W835="",$Q835="",LEFT($Q835,1)="—"),"",IF($W835=$Q835,"ללא שינוי","מ-"&amp;$W835&amp;" ל-"&amp;$Q835))</f>
        <v/>
      </c>
    </row>
    <row r="836" ht="15.75" customHeight="1" s="58">
      <c r="A836" s="65" t="n"/>
      <c r="B836" s="65" t="n"/>
      <c r="C836" s="66" t="n"/>
      <c r="D836" s="66" t="n"/>
      <c r="E836" s="65" t="n"/>
      <c r="F836" s="65" t="n"/>
      <c r="G836" s="65" t="n"/>
      <c r="H836" s="65" t="n"/>
      <c r="I836" s="65" t="n"/>
      <c r="J836" s="65" t="n"/>
      <c r="K836" s="65" t="n"/>
      <c r="L836" s="65" t="n"/>
      <c r="M836" s="65" t="n"/>
      <c r="N836" s="65" t="n"/>
      <c r="O836" s="65" t="n"/>
      <c r="P836" s="65" t="n"/>
      <c r="Q836" s="32">
        <f>IF($C836="","",IF($J836="","— חסרים נתונים",IF($J836="טרם מפענח","פרופיל 5",IF($J836="קמץ/פתח/חטף-פתח ושוואים","פרופיל 4",IF($J836="2-3 סימני ניקוד","פרופיל 3",IF($J836="4-5 סימני ניקוד","פרופיל 2",IF(AND($O836="משפטים וקטעים קצרים",OR($M836="מבין",$M836="מבין לרוב")),"פרופיל 1","פרופיל 2")))))))</f>
        <v/>
      </c>
      <c r="R836" s="32">
        <f>IF($C836="","",IF(OR($Q836="",LEFT($Q836,1)="—"),"קבוצה רביעית",IF($Q836="פרופיל 5","קבוצת תשתיות",IF(OR($Q836="פרופיל 4",$Q836="פרופיל 3"),"קבוצת רכישה","קבוצת ביסוס"))))</f>
        <v/>
      </c>
      <c r="S836" s="32">
        <f>IF($F836="","",IF($F836="תחילת שנה",1,IF($F836="מחצית שנה",2,3)))</f>
        <v/>
      </c>
      <c r="T836" s="32">
        <f>IF(OR($B836="",$R836="",$A836="",$F836=""),"",$B836&amp;"|"&amp;$A836&amp;"|"&amp;$F836&amp;"|"&amp;$R836&amp;"|"&amp;COUNTIFS($B$6:$B836,$B836,$A$6:$A836,$A836,$F$6:$F836,$F836,$R$6:$R836,$R836))</f>
        <v/>
      </c>
      <c r="U836" s="32">
        <f>IF($C836="","",$C836&amp;"|"&amp;COUNTIFS($C$6:$C836,$C836))</f>
        <v/>
      </c>
      <c r="V836" s="32">
        <f>IF(OR($C836="",$A836="",$S836=""),"",$C836&amp;"|"&amp;$A836&amp;"|"&amp;$S836)</f>
        <v/>
      </c>
      <c r="W836" s="32">
        <f>IF(OR($C836="",$S836="",$S836=1),"",IFERROR(INDEX($Q$6:$Q$1505,MATCH($C836&amp;"|"&amp;$A836&amp;"|"&amp;($S836-1),$V$6:$V$1505,0)),""))</f>
        <v/>
      </c>
      <c r="X836" s="32">
        <f>IF(OR($W836="",$Q836="",LEFT($Q836,1)="—"),"",IF($W836=$Q836,"ללא שינוי","מ-"&amp;$W836&amp;" ל-"&amp;$Q836))</f>
        <v/>
      </c>
    </row>
    <row r="837" ht="15.75" customHeight="1" s="58">
      <c r="A837" s="65" t="n"/>
      <c r="B837" s="65" t="n"/>
      <c r="C837" s="66" t="n"/>
      <c r="D837" s="66" t="n"/>
      <c r="E837" s="65" t="n"/>
      <c r="F837" s="65" t="n"/>
      <c r="G837" s="65" t="n"/>
      <c r="H837" s="65" t="n"/>
      <c r="I837" s="65" t="n"/>
      <c r="J837" s="65" t="n"/>
      <c r="K837" s="65" t="n"/>
      <c r="L837" s="65" t="n"/>
      <c r="M837" s="65" t="n"/>
      <c r="N837" s="65" t="n"/>
      <c r="O837" s="65" t="n"/>
      <c r="P837" s="65" t="n"/>
      <c r="Q837" s="32">
        <f>IF($C837="","",IF($J837="","— חסרים נתונים",IF($J837="טרם מפענח","פרופיל 5",IF($J837="קמץ/פתח/חטף-פתח ושוואים","פרופיל 4",IF($J837="2-3 סימני ניקוד","פרופיל 3",IF($J837="4-5 סימני ניקוד","פרופיל 2",IF(AND($O837="משפטים וקטעים קצרים",OR($M837="מבין",$M837="מבין לרוב")),"פרופיל 1","פרופיל 2")))))))</f>
        <v/>
      </c>
      <c r="R837" s="32">
        <f>IF($C837="","",IF(OR($Q837="",LEFT($Q837,1)="—"),"קבוצה רביעית",IF($Q837="פרופיל 5","קבוצת תשתיות",IF(OR($Q837="פרופיל 4",$Q837="פרופיל 3"),"קבוצת רכישה","קבוצת ביסוס"))))</f>
        <v/>
      </c>
      <c r="S837" s="32">
        <f>IF($F837="","",IF($F837="תחילת שנה",1,IF($F837="מחצית שנה",2,3)))</f>
        <v/>
      </c>
      <c r="T837" s="32">
        <f>IF(OR($B837="",$R837="",$A837="",$F837=""),"",$B837&amp;"|"&amp;$A837&amp;"|"&amp;$F837&amp;"|"&amp;$R837&amp;"|"&amp;COUNTIFS($B$6:$B837,$B837,$A$6:$A837,$A837,$F$6:$F837,$F837,$R$6:$R837,$R837))</f>
        <v/>
      </c>
      <c r="U837" s="32">
        <f>IF($C837="","",$C837&amp;"|"&amp;COUNTIFS($C$6:$C837,$C837))</f>
        <v/>
      </c>
      <c r="V837" s="32">
        <f>IF(OR($C837="",$A837="",$S837=""),"",$C837&amp;"|"&amp;$A837&amp;"|"&amp;$S837)</f>
        <v/>
      </c>
      <c r="W837" s="32">
        <f>IF(OR($C837="",$S837="",$S837=1),"",IFERROR(INDEX($Q$6:$Q$1505,MATCH($C837&amp;"|"&amp;$A837&amp;"|"&amp;($S837-1),$V$6:$V$1505,0)),""))</f>
        <v/>
      </c>
      <c r="X837" s="32">
        <f>IF(OR($W837="",$Q837="",LEFT($Q837,1)="—"),"",IF($W837=$Q837,"ללא שינוי","מ-"&amp;$W837&amp;" ל-"&amp;$Q837))</f>
        <v/>
      </c>
    </row>
    <row r="838" ht="15.75" customHeight="1" s="58">
      <c r="A838" s="65" t="n"/>
      <c r="B838" s="65" t="n"/>
      <c r="C838" s="66" t="n"/>
      <c r="D838" s="66" t="n"/>
      <c r="E838" s="65" t="n"/>
      <c r="F838" s="65" t="n"/>
      <c r="G838" s="65" t="n"/>
      <c r="H838" s="65" t="n"/>
      <c r="I838" s="65" t="n"/>
      <c r="J838" s="65" t="n"/>
      <c r="K838" s="65" t="n"/>
      <c r="L838" s="65" t="n"/>
      <c r="M838" s="65" t="n"/>
      <c r="N838" s="65" t="n"/>
      <c r="O838" s="65" t="n"/>
      <c r="P838" s="65" t="n"/>
      <c r="Q838" s="32">
        <f>IF($C838="","",IF($J838="","— חסרים נתונים",IF($J838="טרם מפענח","פרופיל 5",IF($J838="קמץ/פתח/חטף-פתח ושוואים","פרופיל 4",IF($J838="2-3 סימני ניקוד","פרופיל 3",IF($J838="4-5 סימני ניקוד","פרופיל 2",IF(AND($O838="משפטים וקטעים קצרים",OR($M838="מבין",$M838="מבין לרוב")),"פרופיל 1","פרופיל 2")))))))</f>
        <v/>
      </c>
      <c r="R838" s="32">
        <f>IF($C838="","",IF(OR($Q838="",LEFT($Q838,1)="—"),"קבוצה רביעית",IF($Q838="פרופיל 5","קבוצת תשתיות",IF(OR($Q838="פרופיל 4",$Q838="פרופיל 3"),"קבוצת רכישה","קבוצת ביסוס"))))</f>
        <v/>
      </c>
      <c r="S838" s="32">
        <f>IF($F838="","",IF($F838="תחילת שנה",1,IF($F838="מחצית שנה",2,3)))</f>
        <v/>
      </c>
      <c r="T838" s="32">
        <f>IF(OR($B838="",$R838="",$A838="",$F838=""),"",$B838&amp;"|"&amp;$A838&amp;"|"&amp;$F838&amp;"|"&amp;$R838&amp;"|"&amp;COUNTIFS($B$6:$B838,$B838,$A$6:$A838,$A838,$F$6:$F838,$F838,$R$6:$R838,$R838))</f>
        <v/>
      </c>
      <c r="U838" s="32">
        <f>IF($C838="","",$C838&amp;"|"&amp;COUNTIFS($C$6:$C838,$C838))</f>
        <v/>
      </c>
      <c r="V838" s="32">
        <f>IF(OR($C838="",$A838="",$S838=""),"",$C838&amp;"|"&amp;$A838&amp;"|"&amp;$S838)</f>
        <v/>
      </c>
      <c r="W838" s="32">
        <f>IF(OR($C838="",$S838="",$S838=1),"",IFERROR(INDEX($Q$6:$Q$1505,MATCH($C838&amp;"|"&amp;$A838&amp;"|"&amp;($S838-1),$V$6:$V$1505,0)),""))</f>
        <v/>
      </c>
      <c r="X838" s="32">
        <f>IF(OR($W838="",$Q838="",LEFT($Q838,1)="—"),"",IF($W838=$Q838,"ללא שינוי","מ-"&amp;$W838&amp;" ל-"&amp;$Q838))</f>
        <v/>
      </c>
    </row>
    <row r="839" ht="15.75" customHeight="1" s="58">
      <c r="A839" s="65" t="n"/>
      <c r="B839" s="65" t="n"/>
      <c r="C839" s="66" t="n"/>
      <c r="D839" s="66" t="n"/>
      <c r="E839" s="65" t="n"/>
      <c r="F839" s="65" t="n"/>
      <c r="G839" s="65" t="n"/>
      <c r="H839" s="65" t="n"/>
      <c r="I839" s="65" t="n"/>
      <c r="J839" s="65" t="n"/>
      <c r="K839" s="65" t="n"/>
      <c r="L839" s="65" t="n"/>
      <c r="M839" s="65" t="n"/>
      <c r="N839" s="65" t="n"/>
      <c r="O839" s="65" t="n"/>
      <c r="P839" s="65" t="n"/>
      <c r="Q839" s="32">
        <f>IF($C839="","",IF($J839="","— חסרים נתונים",IF($J839="טרם מפענח","פרופיל 5",IF($J839="קמץ/פתח/חטף-פתח ושוואים","פרופיל 4",IF($J839="2-3 סימני ניקוד","פרופיל 3",IF($J839="4-5 סימני ניקוד","פרופיל 2",IF(AND($O839="משפטים וקטעים קצרים",OR($M839="מבין",$M839="מבין לרוב")),"פרופיל 1","פרופיל 2")))))))</f>
        <v/>
      </c>
      <c r="R839" s="32">
        <f>IF($C839="","",IF(OR($Q839="",LEFT($Q839,1)="—"),"קבוצה רביעית",IF($Q839="פרופיל 5","קבוצת תשתיות",IF(OR($Q839="פרופיל 4",$Q839="פרופיל 3"),"קבוצת רכישה","קבוצת ביסוס"))))</f>
        <v/>
      </c>
      <c r="S839" s="32">
        <f>IF($F839="","",IF($F839="תחילת שנה",1,IF($F839="מחצית שנה",2,3)))</f>
        <v/>
      </c>
      <c r="T839" s="32">
        <f>IF(OR($B839="",$R839="",$A839="",$F839=""),"",$B839&amp;"|"&amp;$A839&amp;"|"&amp;$F839&amp;"|"&amp;$R839&amp;"|"&amp;COUNTIFS($B$6:$B839,$B839,$A$6:$A839,$A839,$F$6:$F839,$F839,$R$6:$R839,$R839))</f>
        <v/>
      </c>
      <c r="U839" s="32">
        <f>IF($C839="","",$C839&amp;"|"&amp;COUNTIFS($C$6:$C839,$C839))</f>
        <v/>
      </c>
      <c r="V839" s="32">
        <f>IF(OR($C839="",$A839="",$S839=""),"",$C839&amp;"|"&amp;$A839&amp;"|"&amp;$S839)</f>
        <v/>
      </c>
      <c r="W839" s="32">
        <f>IF(OR($C839="",$S839="",$S839=1),"",IFERROR(INDEX($Q$6:$Q$1505,MATCH($C839&amp;"|"&amp;$A839&amp;"|"&amp;($S839-1),$V$6:$V$1505,0)),""))</f>
        <v/>
      </c>
      <c r="X839" s="32">
        <f>IF(OR($W839="",$Q839="",LEFT($Q839,1)="—"),"",IF($W839=$Q839,"ללא שינוי","מ-"&amp;$W839&amp;" ל-"&amp;$Q839))</f>
        <v/>
      </c>
    </row>
    <row r="840" ht="15.75" customHeight="1" s="58">
      <c r="A840" s="65" t="n"/>
      <c r="B840" s="65" t="n"/>
      <c r="C840" s="66" t="n"/>
      <c r="D840" s="66" t="n"/>
      <c r="E840" s="65" t="n"/>
      <c r="F840" s="65" t="n"/>
      <c r="G840" s="65" t="n"/>
      <c r="H840" s="65" t="n"/>
      <c r="I840" s="65" t="n"/>
      <c r="J840" s="65" t="n"/>
      <c r="K840" s="65" t="n"/>
      <c r="L840" s="65" t="n"/>
      <c r="M840" s="65" t="n"/>
      <c r="N840" s="65" t="n"/>
      <c r="O840" s="65" t="n"/>
      <c r="P840" s="65" t="n"/>
      <c r="Q840" s="32">
        <f>IF($C840="","",IF($J840="","— חסרים נתונים",IF($J840="טרם מפענח","פרופיל 5",IF($J840="קמץ/פתח/חטף-פתח ושוואים","פרופיל 4",IF($J840="2-3 סימני ניקוד","פרופיל 3",IF($J840="4-5 סימני ניקוד","פרופיל 2",IF(AND($O840="משפטים וקטעים קצרים",OR($M840="מבין",$M840="מבין לרוב")),"פרופיל 1","פרופיל 2")))))))</f>
        <v/>
      </c>
      <c r="R840" s="32">
        <f>IF($C840="","",IF(OR($Q840="",LEFT($Q840,1)="—"),"קבוצה רביעית",IF($Q840="פרופיל 5","קבוצת תשתיות",IF(OR($Q840="פרופיל 4",$Q840="פרופיל 3"),"קבוצת רכישה","קבוצת ביסוס"))))</f>
        <v/>
      </c>
      <c r="S840" s="32">
        <f>IF($F840="","",IF($F840="תחילת שנה",1,IF($F840="מחצית שנה",2,3)))</f>
        <v/>
      </c>
      <c r="T840" s="32">
        <f>IF(OR($B840="",$R840="",$A840="",$F840=""),"",$B840&amp;"|"&amp;$A840&amp;"|"&amp;$F840&amp;"|"&amp;$R840&amp;"|"&amp;COUNTIFS($B$6:$B840,$B840,$A$6:$A840,$A840,$F$6:$F840,$F840,$R$6:$R840,$R840))</f>
        <v/>
      </c>
      <c r="U840" s="32">
        <f>IF($C840="","",$C840&amp;"|"&amp;COUNTIFS($C$6:$C840,$C840))</f>
        <v/>
      </c>
      <c r="V840" s="32">
        <f>IF(OR($C840="",$A840="",$S840=""),"",$C840&amp;"|"&amp;$A840&amp;"|"&amp;$S840)</f>
        <v/>
      </c>
      <c r="W840" s="32">
        <f>IF(OR($C840="",$S840="",$S840=1),"",IFERROR(INDEX($Q$6:$Q$1505,MATCH($C840&amp;"|"&amp;$A840&amp;"|"&amp;($S840-1),$V$6:$V$1505,0)),""))</f>
        <v/>
      </c>
      <c r="X840" s="32">
        <f>IF(OR($W840="",$Q840="",LEFT($Q840,1)="—"),"",IF($W840=$Q840,"ללא שינוי","מ-"&amp;$W840&amp;" ל-"&amp;$Q840))</f>
        <v/>
      </c>
    </row>
    <row r="841" ht="15.75" customHeight="1" s="58">
      <c r="A841" s="65" t="n"/>
      <c r="B841" s="65" t="n"/>
      <c r="C841" s="66" t="n"/>
      <c r="D841" s="66" t="n"/>
      <c r="E841" s="65" t="n"/>
      <c r="F841" s="65" t="n"/>
      <c r="G841" s="65" t="n"/>
      <c r="H841" s="65" t="n"/>
      <c r="I841" s="65" t="n"/>
      <c r="J841" s="65" t="n"/>
      <c r="K841" s="65" t="n"/>
      <c r="L841" s="65" t="n"/>
      <c r="M841" s="65" t="n"/>
      <c r="N841" s="65" t="n"/>
      <c r="O841" s="65" t="n"/>
      <c r="P841" s="65" t="n"/>
      <c r="Q841" s="32">
        <f>IF($C841="","",IF($J841="","— חסרים נתונים",IF($J841="טרם מפענח","פרופיל 5",IF($J841="קמץ/פתח/חטף-פתח ושוואים","פרופיל 4",IF($J841="2-3 סימני ניקוד","פרופיל 3",IF($J841="4-5 סימני ניקוד","פרופיל 2",IF(AND($O841="משפטים וקטעים קצרים",OR($M841="מבין",$M841="מבין לרוב")),"פרופיל 1","פרופיל 2")))))))</f>
        <v/>
      </c>
      <c r="R841" s="32">
        <f>IF($C841="","",IF(OR($Q841="",LEFT($Q841,1)="—"),"קבוצה רביעית",IF($Q841="פרופיל 5","קבוצת תשתיות",IF(OR($Q841="פרופיל 4",$Q841="פרופיל 3"),"קבוצת רכישה","קבוצת ביסוס"))))</f>
        <v/>
      </c>
      <c r="S841" s="32">
        <f>IF($F841="","",IF($F841="תחילת שנה",1,IF($F841="מחצית שנה",2,3)))</f>
        <v/>
      </c>
      <c r="T841" s="32">
        <f>IF(OR($B841="",$R841="",$A841="",$F841=""),"",$B841&amp;"|"&amp;$A841&amp;"|"&amp;$F841&amp;"|"&amp;$R841&amp;"|"&amp;COUNTIFS($B$6:$B841,$B841,$A$6:$A841,$A841,$F$6:$F841,$F841,$R$6:$R841,$R841))</f>
        <v/>
      </c>
      <c r="U841" s="32">
        <f>IF($C841="","",$C841&amp;"|"&amp;COUNTIFS($C$6:$C841,$C841))</f>
        <v/>
      </c>
      <c r="V841" s="32">
        <f>IF(OR($C841="",$A841="",$S841=""),"",$C841&amp;"|"&amp;$A841&amp;"|"&amp;$S841)</f>
        <v/>
      </c>
      <c r="W841" s="32">
        <f>IF(OR($C841="",$S841="",$S841=1),"",IFERROR(INDEX($Q$6:$Q$1505,MATCH($C841&amp;"|"&amp;$A841&amp;"|"&amp;($S841-1),$V$6:$V$1505,0)),""))</f>
        <v/>
      </c>
      <c r="X841" s="32">
        <f>IF(OR($W841="",$Q841="",LEFT($Q841,1)="—"),"",IF($W841=$Q841,"ללא שינוי","מ-"&amp;$W841&amp;" ל-"&amp;$Q841))</f>
        <v/>
      </c>
    </row>
    <row r="842" ht="15.75" customHeight="1" s="58">
      <c r="A842" s="65" t="n"/>
      <c r="B842" s="65" t="n"/>
      <c r="C842" s="66" t="n"/>
      <c r="D842" s="66" t="n"/>
      <c r="E842" s="65" t="n"/>
      <c r="F842" s="65" t="n"/>
      <c r="G842" s="65" t="n"/>
      <c r="H842" s="65" t="n"/>
      <c r="I842" s="65" t="n"/>
      <c r="J842" s="65" t="n"/>
      <c r="K842" s="65" t="n"/>
      <c r="L842" s="65" t="n"/>
      <c r="M842" s="65" t="n"/>
      <c r="N842" s="65" t="n"/>
      <c r="O842" s="65" t="n"/>
      <c r="P842" s="65" t="n"/>
      <c r="Q842" s="32">
        <f>IF($C842="","",IF($J842="","— חסרים נתונים",IF($J842="טרם מפענח","פרופיל 5",IF($J842="קמץ/פתח/חטף-פתח ושוואים","פרופיל 4",IF($J842="2-3 סימני ניקוד","פרופיל 3",IF($J842="4-5 סימני ניקוד","פרופיל 2",IF(AND($O842="משפטים וקטעים קצרים",OR($M842="מבין",$M842="מבין לרוב")),"פרופיל 1","פרופיל 2")))))))</f>
        <v/>
      </c>
      <c r="R842" s="32">
        <f>IF($C842="","",IF(OR($Q842="",LEFT($Q842,1)="—"),"קבוצה רביעית",IF($Q842="פרופיל 5","קבוצת תשתיות",IF(OR($Q842="פרופיל 4",$Q842="פרופיל 3"),"קבוצת רכישה","קבוצת ביסוס"))))</f>
        <v/>
      </c>
      <c r="S842" s="32">
        <f>IF($F842="","",IF($F842="תחילת שנה",1,IF($F842="מחצית שנה",2,3)))</f>
        <v/>
      </c>
      <c r="T842" s="32">
        <f>IF(OR($B842="",$R842="",$A842="",$F842=""),"",$B842&amp;"|"&amp;$A842&amp;"|"&amp;$F842&amp;"|"&amp;$R842&amp;"|"&amp;COUNTIFS($B$6:$B842,$B842,$A$6:$A842,$A842,$F$6:$F842,$F842,$R$6:$R842,$R842))</f>
        <v/>
      </c>
      <c r="U842" s="32">
        <f>IF($C842="","",$C842&amp;"|"&amp;COUNTIFS($C$6:$C842,$C842))</f>
        <v/>
      </c>
      <c r="V842" s="32">
        <f>IF(OR($C842="",$A842="",$S842=""),"",$C842&amp;"|"&amp;$A842&amp;"|"&amp;$S842)</f>
        <v/>
      </c>
      <c r="W842" s="32">
        <f>IF(OR($C842="",$S842="",$S842=1),"",IFERROR(INDEX($Q$6:$Q$1505,MATCH($C842&amp;"|"&amp;$A842&amp;"|"&amp;($S842-1),$V$6:$V$1505,0)),""))</f>
        <v/>
      </c>
      <c r="X842" s="32">
        <f>IF(OR($W842="",$Q842="",LEFT($Q842,1)="—"),"",IF($W842=$Q842,"ללא שינוי","מ-"&amp;$W842&amp;" ל-"&amp;$Q842))</f>
        <v/>
      </c>
    </row>
    <row r="843" ht="15.75" customHeight="1" s="58">
      <c r="A843" s="65" t="n"/>
      <c r="B843" s="65" t="n"/>
      <c r="C843" s="66" t="n"/>
      <c r="D843" s="66" t="n"/>
      <c r="E843" s="65" t="n"/>
      <c r="F843" s="65" t="n"/>
      <c r="G843" s="65" t="n"/>
      <c r="H843" s="65" t="n"/>
      <c r="I843" s="65" t="n"/>
      <c r="J843" s="65" t="n"/>
      <c r="K843" s="65" t="n"/>
      <c r="L843" s="65" t="n"/>
      <c r="M843" s="65" t="n"/>
      <c r="N843" s="65" t="n"/>
      <c r="O843" s="65" t="n"/>
      <c r="P843" s="65" t="n"/>
      <c r="Q843" s="32">
        <f>IF($C843="","",IF($J843="","— חסרים נתונים",IF($J843="טרם מפענח","פרופיל 5",IF($J843="קמץ/פתח/חטף-פתח ושוואים","פרופיל 4",IF($J843="2-3 סימני ניקוד","פרופיל 3",IF($J843="4-5 סימני ניקוד","פרופיל 2",IF(AND($O843="משפטים וקטעים קצרים",OR($M843="מבין",$M843="מבין לרוב")),"פרופיל 1","פרופיל 2")))))))</f>
        <v/>
      </c>
      <c r="R843" s="32">
        <f>IF($C843="","",IF(OR($Q843="",LEFT($Q843,1)="—"),"קבוצה רביעית",IF($Q843="פרופיל 5","קבוצת תשתיות",IF(OR($Q843="פרופיל 4",$Q843="פרופיל 3"),"קבוצת רכישה","קבוצת ביסוס"))))</f>
        <v/>
      </c>
      <c r="S843" s="32">
        <f>IF($F843="","",IF($F843="תחילת שנה",1,IF($F843="מחצית שנה",2,3)))</f>
        <v/>
      </c>
      <c r="T843" s="32">
        <f>IF(OR($B843="",$R843="",$A843="",$F843=""),"",$B843&amp;"|"&amp;$A843&amp;"|"&amp;$F843&amp;"|"&amp;$R843&amp;"|"&amp;COUNTIFS($B$6:$B843,$B843,$A$6:$A843,$A843,$F$6:$F843,$F843,$R$6:$R843,$R843))</f>
        <v/>
      </c>
      <c r="U843" s="32">
        <f>IF($C843="","",$C843&amp;"|"&amp;COUNTIFS($C$6:$C843,$C843))</f>
        <v/>
      </c>
      <c r="V843" s="32">
        <f>IF(OR($C843="",$A843="",$S843=""),"",$C843&amp;"|"&amp;$A843&amp;"|"&amp;$S843)</f>
        <v/>
      </c>
      <c r="W843" s="32">
        <f>IF(OR($C843="",$S843="",$S843=1),"",IFERROR(INDEX($Q$6:$Q$1505,MATCH($C843&amp;"|"&amp;$A843&amp;"|"&amp;($S843-1),$V$6:$V$1505,0)),""))</f>
        <v/>
      </c>
      <c r="X843" s="32">
        <f>IF(OR($W843="",$Q843="",LEFT($Q843,1)="—"),"",IF($W843=$Q843,"ללא שינוי","מ-"&amp;$W843&amp;" ל-"&amp;$Q843))</f>
        <v/>
      </c>
    </row>
    <row r="844" ht="15.75" customHeight="1" s="58">
      <c r="A844" s="65" t="n"/>
      <c r="B844" s="65" t="n"/>
      <c r="C844" s="66" t="n"/>
      <c r="D844" s="66" t="n"/>
      <c r="E844" s="65" t="n"/>
      <c r="F844" s="65" t="n"/>
      <c r="G844" s="65" t="n"/>
      <c r="H844" s="65" t="n"/>
      <c r="I844" s="65" t="n"/>
      <c r="J844" s="65" t="n"/>
      <c r="K844" s="65" t="n"/>
      <c r="L844" s="65" t="n"/>
      <c r="M844" s="65" t="n"/>
      <c r="N844" s="65" t="n"/>
      <c r="O844" s="65" t="n"/>
      <c r="P844" s="65" t="n"/>
      <c r="Q844" s="32">
        <f>IF($C844="","",IF($J844="","— חסרים נתונים",IF($J844="טרם מפענח","פרופיל 5",IF($J844="קמץ/פתח/חטף-פתח ושוואים","פרופיל 4",IF($J844="2-3 סימני ניקוד","פרופיל 3",IF($J844="4-5 סימני ניקוד","פרופיל 2",IF(AND($O844="משפטים וקטעים קצרים",OR($M844="מבין",$M844="מבין לרוב")),"פרופיל 1","פרופיל 2")))))))</f>
        <v/>
      </c>
      <c r="R844" s="32">
        <f>IF($C844="","",IF(OR($Q844="",LEFT($Q844,1)="—"),"קבוצה רביעית",IF($Q844="פרופיל 5","קבוצת תשתיות",IF(OR($Q844="פרופיל 4",$Q844="פרופיל 3"),"קבוצת רכישה","קבוצת ביסוס"))))</f>
        <v/>
      </c>
      <c r="S844" s="32">
        <f>IF($F844="","",IF($F844="תחילת שנה",1,IF($F844="מחצית שנה",2,3)))</f>
        <v/>
      </c>
      <c r="T844" s="32">
        <f>IF(OR($B844="",$R844="",$A844="",$F844=""),"",$B844&amp;"|"&amp;$A844&amp;"|"&amp;$F844&amp;"|"&amp;$R844&amp;"|"&amp;COUNTIFS($B$6:$B844,$B844,$A$6:$A844,$A844,$F$6:$F844,$F844,$R$6:$R844,$R844))</f>
        <v/>
      </c>
      <c r="U844" s="32">
        <f>IF($C844="","",$C844&amp;"|"&amp;COUNTIFS($C$6:$C844,$C844))</f>
        <v/>
      </c>
      <c r="V844" s="32">
        <f>IF(OR($C844="",$A844="",$S844=""),"",$C844&amp;"|"&amp;$A844&amp;"|"&amp;$S844)</f>
        <v/>
      </c>
      <c r="W844" s="32">
        <f>IF(OR($C844="",$S844="",$S844=1),"",IFERROR(INDEX($Q$6:$Q$1505,MATCH($C844&amp;"|"&amp;$A844&amp;"|"&amp;($S844-1),$V$6:$V$1505,0)),""))</f>
        <v/>
      </c>
      <c r="X844" s="32">
        <f>IF(OR($W844="",$Q844="",LEFT($Q844,1)="—"),"",IF($W844=$Q844,"ללא שינוי","מ-"&amp;$W844&amp;" ל-"&amp;$Q844))</f>
        <v/>
      </c>
    </row>
    <row r="845" ht="15.75" customHeight="1" s="58">
      <c r="A845" s="65" t="n"/>
      <c r="B845" s="65" t="n"/>
      <c r="C845" s="66" t="n"/>
      <c r="D845" s="66" t="n"/>
      <c r="E845" s="65" t="n"/>
      <c r="F845" s="65" t="n"/>
      <c r="G845" s="65" t="n"/>
      <c r="H845" s="65" t="n"/>
      <c r="I845" s="65" t="n"/>
      <c r="J845" s="65" t="n"/>
      <c r="K845" s="65" t="n"/>
      <c r="L845" s="65" t="n"/>
      <c r="M845" s="65" t="n"/>
      <c r="N845" s="65" t="n"/>
      <c r="O845" s="65" t="n"/>
      <c r="P845" s="65" t="n"/>
      <c r="Q845" s="32">
        <f>IF($C845="","",IF($J845="","— חסרים נתונים",IF($J845="טרם מפענח","פרופיל 5",IF($J845="קמץ/פתח/חטף-פתח ושוואים","פרופיל 4",IF($J845="2-3 סימני ניקוד","פרופיל 3",IF($J845="4-5 סימני ניקוד","פרופיל 2",IF(AND($O845="משפטים וקטעים קצרים",OR($M845="מבין",$M845="מבין לרוב")),"פרופיל 1","פרופיל 2")))))))</f>
        <v/>
      </c>
      <c r="R845" s="32">
        <f>IF($C845="","",IF(OR($Q845="",LEFT($Q845,1)="—"),"קבוצה רביעית",IF($Q845="פרופיל 5","קבוצת תשתיות",IF(OR($Q845="פרופיל 4",$Q845="פרופיל 3"),"קבוצת רכישה","קבוצת ביסוס"))))</f>
        <v/>
      </c>
      <c r="S845" s="32">
        <f>IF($F845="","",IF($F845="תחילת שנה",1,IF($F845="מחצית שנה",2,3)))</f>
        <v/>
      </c>
      <c r="T845" s="32">
        <f>IF(OR($B845="",$R845="",$A845="",$F845=""),"",$B845&amp;"|"&amp;$A845&amp;"|"&amp;$F845&amp;"|"&amp;$R845&amp;"|"&amp;COUNTIFS($B$6:$B845,$B845,$A$6:$A845,$A845,$F$6:$F845,$F845,$R$6:$R845,$R845))</f>
        <v/>
      </c>
      <c r="U845" s="32">
        <f>IF($C845="","",$C845&amp;"|"&amp;COUNTIFS($C$6:$C845,$C845))</f>
        <v/>
      </c>
      <c r="V845" s="32">
        <f>IF(OR($C845="",$A845="",$S845=""),"",$C845&amp;"|"&amp;$A845&amp;"|"&amp;$S845)</f>
        <v/>
      </c>
      <c r="W845" s="32">
        <f>IF(OR($C845="",$S845="",$S845=1),"",IFERROR(INDEX($Q$6:$Q$1505,MATCH($C845&amp;"|"&amp;$A845&amp;"|"&amp;($S845-1),$V$6:$V$1505,0)),""))</f>
        <v/>
      </c>
      <c r="X845" s="32">
        <f>IF(OR($W845="",$Q845="",LEFT($Q845,1)="—"),"",IF($W845=$Q845,"ללא שינוי","מ-"&amp;$W845&amp;" ל-"&amp;$Q845))</f>
        <v/>
      </c>
    </row>
    <row r="846" ht="15.75" customHeight="1" s="58">
      <c r="A846" s="65" t="n"/>
      <c r="B846" s="65" t="n"/>
      <c r="C846" s="66" t="n"/>
      <c r="D846" s="66" t="n"/>
      <c r="E846" s="65" t="n"/>
      <c r="F846" s="65" t="n"/>
      <c r="G846" s="65" t="n"/>
      <c r="H846" s="65" t="n"/>
      <c r="I846" s="65" t="n"/>
      <c r="J846" s="65" t="n"/>
      <c r="K846" s="65" t="n"/>
      <c r="L846" s="65" t="n"/>
      <c r="M846" s="65" t="n"/>
      <c r="N846" s="65" t="n"/>
      <c r="O846" s="65" t="n"/>
      <c r="P846" s="65" t="n"/>
      <c r="Q846" s="32">
        <f>IF($C846="","",IF($J846="","— חסרים נתונים",IF($J846="טרם מפענח","פרופיל 5",IF($J846="קמץ/פתח/חטף-פתח ושוואים","פרופיל 4",IF($J846="2-3 סימני ניקוד","פרופיל 3",IF($J846="4-5 סימני ניקוד","פרופיל 2",IF(AND($O846="משפטים וקטעים קצרים",OR($M846="מבין",$M846="מבין לרוב")),"פרופיל 1","פרופיל 2")))))))</f>
        <v/>
      </c>
      <c r="R846" s="32">
        <f>IF($C846="","",IF(OR($Q846="",LEFT($Q846,1)="—"),"קבוצה רביעית",IF($Q846="פרופיל 5","קבוצת תשתיות",IF(OR($Q846="פרופיל 4",$Q846="פרופיל 3"),"קבוצת רכישה","קבוצת ביסוס"))))</f>
        <v/>
      </c>
      <c r="S846" s="32">
        <f>IF($F846="","",IF($F846="תחילת שנה",1,IF($F846="מחצית שנה",2,3)))</f>
        <v/>
      </c>
      <c r="T846" s="32">
        <f>IF(OR($B846="",$R846="",$A846="",$F846=""),"",$B846&amp;"|"&amp;$A846&amp;"|"&amp;$F846&amp;"|"&amp;$R846&amp;"|"&amp;COUNTIFS($B$6:$B846,$B846,$A$6:$A846,$A846,$F$6:$F846,$F846,$R$6:$R846,$R846))</f>
        <v/>
      </c>
      <c r="U846" s="32">
        <f>IF($C846="","",$C846&amp;"|"&amp;COUNTIFS($C$6:$C846,$C846))</f>
        <v/>
      </c>
      <c r="V846" s="32">
        <f>IF(OR($C846="",$A846="",$S846=""),"",$C846&amp;"|"&amp;$A846&amp;"|"&amp;$S846)</f>
        <v/>
      </c>
      <c r="W846" s="32">
        <f>IF(OR($C846="",$S846="",$S846=1),"",IFERROR(INDEX($Q$6:$Q$1505,MATCH($C846&amp;"|"&amp;$A846&amp;"|"&amp;($S846-1),$V$6:$V$1505,0)),""))</f>
        <v/>
      </c>
      <c r="X846" s="32">
        <f>IF(OR($W846="",$Q846="",LEFT($Q846,1)="—"),"",IF($W846=$Q846,"ללא שינוי","מ-"&amp;$W846&amp;" ל-"&amp;$Q846))</f>
        <v/>
      </c>
    </row>
    <row r="847" ht="15.75" customHeight="1" s="58">
      <c r="A847" s="65" t="n"/>
      <c r="B847" s="65" t="n"/>
      <c r="C847" s="66" t="n"/>
      <c r="D847" s="66" t="n"/>
      <c r="E847" s="65" t="n"/>
      <c r="F847" s="65" t="n"/>
      <c r="G847" s="65" t="n"/>
      <c r="H847" s="65" t="n"/>
      <c r="I847" s="65" t="n"/>
      <c r="J847" s="65" t="n"/>
      <c r="K847" s="65" t="n"/>
      <c r="L847" s="65" t="n"/>
      <c r="M847" s="65" t="n"/>
      <c r="N847" s="65" t="n"/>
      <c r="O847" s="65" t="n"/>
      <c r="P847" s="65" t="n"/>
      <c r="Q847" s="32">
        <f>IF($C847="","",IF($J847="","— חסרים נתונים",IF($J847="טרם מפענח","פרופיל 5",IF($J847="קמץ/פתח/חטף-פתח ושוואים","פרופיל 4",IF($J847="2-3 סימני ניקוד","פרופיל 3",IF($J847="4-5 סימני ניקוד","פרופיל 2",IF(AND($O847="משפטים וקטעים קצרים",OR($M847="מבין",$M847="מבין לרוב")),"פרופיל 1","פרופיל 2")))))))</f>
        <v/>
      </c>
      <c r="R847" s="32">
        <f>IF($C847="","",IF(OR($Q847="",LEFT($Q847,1)="—"),"קבוצה רביעית",IF($Q847="פרופיל 5","קבוצת תשתיות",IF(OR($Q847="פרופיל 4",$Q847="פרופיל 3"),"קבוצת רכישה","קבוצת ביסוס"))))</f>
        <v/>
      </c>
      <c r="S847" s="32">
        <f>IF($F847="","",IF($F847="תחילת שנה",1,IF($F847="מחצית שנה",2,3)))</f>
        <v/>
      </c>
      <c r="T847" s="32">
        <f>IF(OR($B847="",$R847="",$A847="",$F847=""),"",$B847&amp;"|"&amp;$A847&amp;"|"&amp;$F847&amp;"|"&amp;$R847&amp;"|"&amp;COUNTIFS($B$6:$B847,$B847,$A$6:$A847,$A847,$F$6:$F847,$F847,$R$6:$R847,$R847))</f>
        <v/>
      </c>
      <c r="U847" s="32">
        <f>IF($C847="","",$C847&amp;"|"&amp;COUNTIFS($C$6:$C847,$C847))</f>
        <v/>
      </c>
      <c r="V847" s="32">
        <f>IF(OR($C847="",$A847="",$S847=""),"",$C847&amp;"|"&amp;$A847&amp;"|"&amp;$S847)</f>
        <v/>
      </c>
      <c r="W847" s="32">
        <f>IF(OR($C847="",$S847="",$S847=1),"",IFERROR(INDEX($Q$6:$Q$1505,MATCH($C847&amp;"|"&amp;$A847&amp;"|"&amp;($S847-1),$V$6:$V$1505,0)),""))</f>
        <v/>
      </c>
      <c r="X847" s="32">
        <f>IF(OR($W847="",$Q847="",LEFT($Q847,1)="—"),"",IF($W847=$Q847,"ללא שינוי","מ-"&amp;$W847&amp;" ל-"&amp;$Q847))</f>
        <v/>
      </c>
    </row>
    <row r="848" ht="15.75" customHeight="1" s="58">
      <c r="A848" s="65" t="n"/>
      <c r="B848" s="65" t="n"/>
      <c r="C848" s="66" t="n"/>
      <c r="D848" s="66" t="n"/>
      <c r="E848" s="65" t="n"/>
      <c r="F848" s="65" t="n"/>
      <c r="G848" s="65" t="n"/>
      <c r="H848" s="65" t="n"/>
      <c r="I848" s="65" t="n"/>
      <c r="J848" s="65" t="n"/>
      <c r="K848" s="65" t="n"/>
      <c r="L848" s="65" t="n"/>
      <c r="M848" s="65" t="n"/>
      <c r="N848" s="65" t="n"/>
      <c r="O848" s="65" t="n"/>
      <c r="P848" s="65" t="n"/>
      <c r="Q848" s="32">
        <f>IF($C848="","",IF($J848="","— חסרים נתונים",IF($J848="טרם מפענח","פרופיל 5",IF($J848="קמץ/פתח/חטף-פתח ושוואים","פרופיל 4",IF($J848="2-3 סימני ניקוד","פרופיל 3",IF($J848="4-5 סימני ניקוד","פרופיל 2",IF(AND($O848="משפטים וקטעים קצרים",OR($M848="מבין",$M848="מבין לרוב")),"פרופיל 1","פרופיל 2")))))))</f>
        <v/>
      </c>
      <c r="R848" s="32">
        <f>IF($C848="","",IF(OR($Q848="",LEFT($Q848,1)="—"),"קבוצה רביעית",IF($Q848="פרופיל 5","קבוצת תשתיות",IF(OR($Q848="פרופיל 4",$Q848="פרופיל 3"),"קבוצת רכישה","קבוצת ביסוס"))))</f>
        <v/>
      </c>
      <c r="S848" s="32">
        <f>IF($F848="","",IF($F848="תחילת שנה",1,IF($F848="מחצית שנה",2,3)))</f>
        <v/>
      </c>
      <c r="T848" s="32">
        <f>IF(OR($B848="",$R848="",$A848="",$F848=""),"",$B848&amp;"|"&amp;$A848&amp;"|"&amp;$F848&amp;"|"&amp;$R848&amp;"|"&amp;COUNTIFS($B$6:$B848,$B848,$A$6:$A848,$A848,$F$6:$F848,$F848,$R$6:$R848,$R848))</f>
        <v/>
      </c>
      <c r="U848" s="32">
        <f>IF($C848="","",$C848&amp;"|"&amp;COUNTIFS($C$6:$C848,$C848))</f>
        <v/>
      </c>
      <c r="V848" s="32">
        <f>IF(OR($C848="",$A848="",$S848=""),"",$C848&amp;"|"&amp;$A848&amp;"|"&amp;$S848)</f>
        <v/>
      </c>
      <c r="W848" s="32">
        <f>IF(OR($C848="",$S848="",$S848=1),"",IFERROR(INDEX($Q$6:$Q$1505,MATCH($C848&amp;"|"&amp;$A848&amp;"|"&amp;($S848-1),$V$6:$V$1505,0)),""))</f>
        <v/>
      </c>
      <c r="X848" s="32">
        <f>IF(OR($W848="",$Q848="",LEFT($Q848,1)="—"),"",IF($W848=$Q848,"ללא שינוי","מ-"&amp;$W848&amp;" ל-"&amp;$Q848))</f>
        <v/>
      </c>
    </row>
    <row r="849" ht="15.75" customHeight="1" s="58">
      <c r="A849" s="65" t="n"/>
      <c r="B849" s="65" t="n"/>
      <c r="C849" s="66" t="n"/>
      <c r="D849" s="66" t="n"/>
      <c r="E849" s="65" t="n"/>
      <c r="F849" s="65" t="n"/>
      <c r="G849" s="65" t="n"/>
      <c r="H849" s="65" t="n"/>
      <c r="I849" s="65" t="n"/>
      <c r="J849" s="65" t="n"/>
      <c r="K849" s="65" t="n"/>
      <c r="L849" s="65" t="n"/>
      <c r="M849" s="65" t="n"/>
      <c r="N849" s="65" t="n"/>
      <c r="O849" s="65" t="n"/>
      <c r="P849" s="65" t="n"/>
      <c r="Q849" s="32">
        <f>IF($C849="","",IF($J849="","— חסרים נתונים",IF($J849="טרם מפענח","פרופיל 5",IF($J849="קמץ/פתח/חטף-פתח ושוואים","פרופיל 4",IF($J849="2-3 סימני ניקוד","פרופיל 3",IF($J849="4-5 סימני ניקוד","פרופיל 2",IF(AND($O849="משפטים וקטעים קצרים",OR($M849="מבין",$M849="מבין לרוב")),"פרופיל 1","פרופיל 2")))))))</f>
        <v/>
      </c>
      <c r="R849" s="32">
        <f>IF($C849="","",IF(OR($Q849="",LEFT($Q849,1)="—"),"קבוצה רביעית",IF($Q849="פרופיל 5","קבוצת תשתיות",IF(OR($Q849="פרופיל 4",$Q849="פרופיל 3"),"קבוצת רכישה","קבוצת ביסוס"))))</f>
        <v/>
      </c>
      <c r="S849" s="32">
        <f>IF($F849="","",IF($F849="תחילת שנה",1,IF($F849="מחצית שנה",2,3)))</f>
        <v/>
      </c>
      <c r="T849" s="32">
        <f>IF(OR($B849="",$R849="",$A849="",$F849=""),"",$B849&amp;"|"&amp;$A849&amp;"|"&amp;$F849&amp;"|"&amp;$R849&amp;"|"&amp;COUNTIFS($B$6:$B849,$B849,$A$6:$A849,$A849,$F$6:$F849,$F849,$R$6:$R849,$R849))</f>
        <v/>
      </c>
      <c r="U849" s="32">
        <f>IF($C849="","",$C849&amp;"|"&amp;COUNTIFS($C$6:$C849,$C849))</f>
        <v/>
      </c>
      <c r="V849" s="32">
        <f>IF(OR($C849="",$A849="",$S849=""),"",$C849&amp;"|"&amp;$A849&amp;"|"&amp;$S849)</f>
        <v/>
      </c>
      <c r="W849" s="32">
        <f>IF(OR($C849="",$S849="",$S849=1),"",IFERROR(INDEX($Q$6:$Q$1505,MATCH($C849&amp;"|"&amp;$A849&amp;"|"&amp;($S849-1),$V$6:$V$1505,0)),""))</f>
        <v/>
      </c>
      <c r="X849" s="32">
        <f>IF(OR($W849="",$Q849="",LEFT($Q849,1)="—"),"",IF($W849=$Q849,"ללא שינוי","מ-"&amp;$W849&amp;" ל-"&amp;$Q849))</f>
        <v/>
      </c>
    </row>
    <row r="850" ht="15.75" customHeight="1" s="58">
      <c r="A850" s="65" t="n"/>
      <c r="B850" s="65" t="n"/>
      <c r="C850" s="66" t="n"/>
      <c r="D850" s="66" t="n"/>
      <c r="E850" s="65" t="n"/>
      <c r="F850" s="65" t="n"/>
      <c r="G850" s="65" t="n"/>
      <c r="H850" s="65" t="n"/>
      <c r="I850" s="65" t="n"/>
      <c r="J850" s="65" t="n"/>
      <c r="K850" s="65" t="n"/>
      <c r="L850" s="65" t="n"/>
      <c r="M850" s="65" t="n"/>
      <c r="N850" s="65" t="n"/>
      <c r="O850" s="65" t="n"/>
      <c r="P850" s="65" t="n"/>
      <c r="Q850" s="32">
        <f>IF($C850="","",IF($J850="","— חסרים נתונים",IF($J850="טרם מפענח","פרופיל 5",IF($J850="קמץ/פתח/חטף-פתח ושוואים","פרופיל 4",IF($J850="2-3 סימני ניקוד","פרופיל 3",IF($J850="4-5 סימני ניקוד","פרופיל 2",IF(AND($O850="משפטים וקטעים קצרים",OR($M850="מבין",$M850="מבין לרוב")),"פרופיל 1","פרופיל 2")))))))</f>
        <v/>
      </c>
      <c r="R850" s="32">
        <f>IF($C850="","",IF(OR($Q850="",LEFT($Q850,1)="—"),"קבוצה רביעית",IF($Q850="פרופיל 5","קבוצת תשתיות",IF(OR($Q850="פרופיל 4",$Q850="פרופיל 3"),"קבוצת רכישה","קבוצת ביסוס"))))</f>
        <v/>
      </c>
      <c r="S850" s="32">
        <f>IF($F850="","",IF($F850="תחילת שנה",1,IF($F850="מחצית שנה",2,3)))</f>
        <v/>
      </c>
      <c r="T850" s="32">
        <f>IF(OR($B850="",$R850="",$A850="",$F850=""),"",$B850&amp;"|"&amp;$A850&amp;"|"&amp;$F850&amp;"|"&amp;$R850&amp;"|"&amp;COUNTIFS($B$6:$B850,$B850,$A$6:$A850,$A850,$F$6:$F850,$F850,$R$6:$R850,$R850))</f>
        <v/>
      </c>
      <c r="U850" s="32">
        <f>IF($C850="","",$C850&amp;"|"&amp;COUNTIFS($C$6:$C850,$C850))</f>
        <v/>
      </c>
      <c r="V850" s="32">
        <f>IF(OR($C850="",$A850="",$S850=""),"",$C850&amp;"|"&amp;$A850&amp;"|"&amp;$S850)</f>
        <v/>
      </c>
      <c r="W850" s="32">
        <f>IF(OR($C850="",$S850="",$S850=1),"",IFERROR(INDEX($Q$6:$Q$1505,MATCH($C850&amp;"|"&amp;$A850&amp;"|"&amp;($S850-1),$V$6:$V$1505,0)),""))</f>
        <v/>
      </c>
      <c r="X850" s="32">
        <f>IF(OR($W850="",$Q850="",LEFT($Q850,1)="—"),"",IF($W850=$Q850,"ללא שינוי","מ-"&amp;$W850&amp;" ל-"&amp;$Q850))</f>
        <v/>
      </c>
    </row>
    <row r="851" ht="15.75" customHeight="1" s="58">
      <c r="A851" s="65" t="n"/>
      <c r="B851" s="65" t="n"/>
      <c r="C851" s="66" t="n"/>
      <c r="D851" s="66" t="n"/>
      <c r="E851" s="65" t="n"/>
      <c r="F851" s="65" t="n"/>
      <c r="G851" s="65" t="n"/>
      <c r="H851" s="65" t="n"/>
      <c r="I851" s="65" t="n"/>
      <c r="J851" s="65" t="n"/>
      <c r="K851" s="65" t="n"/>
      <c r="L851" s="65" t="n"/>
      <c r="M851" s="65" t="n"/>
      <c r="N851" s="65" t="n"/>
      <c r="O851" s="65" t="n"/>
      <c r="P851" s="65" t="n"/>
      <c r="Q851" s="32">
        <f>IF($C851="","",IF($J851="","— חסרים נתונים",IF($J851="טרם מפענח","פרופיל 5",IF($J851="קמץ/פתח/חטף-פתח ושוואים","פרופיל 4",IF($J851="2-3 סימני ניקוד","פרופיל 3",IF($J851="4-5 סימני ניקוד","פרופיל 2",IF(AND($O851="משפטים וקטעים קצרים",OR($M851="מבין",$M851="מבין לרוב")),"פרופיל 1","פרופיל 2")))))))</f>
        <v/>
      </c>
      <c r="R851" s="32">
        <f>IF($C851="","",IF(OR($Q851="",LEFT($Q851,1)="—"),"קבוצה רביעית",IF($Q851="פרופיל 5","קבוצת תשתיות",IF(OR($Q851="פרופיל 4",$Q851="פרופיל 3"),"קבוצת רכישה","קבוצת ביסוס"))))</f>
        <v/>
      </c>
      <c r="S851" s="32">
        <f>IF($F851="","",IF($F851="תחילת שנה",1,IF($F851="מחצית שנה",2,3)))</f>
        <v/>
      </c>
      <c r="T851" s="32">
        <f>IF(OR($B851="",$R851="",$A851="",$F851=""),"",$B851&amp;"|"&amp;$A851&amp;"|"&amp;$F851&amp;"|"&amp;$R851&amp;"|"&amp;COUNTIFS($B$6:$B851,$B851,$A$6:$A851,$A851,$F$6:$F851,$F851,$R$6:$R851,$R851))</f>
        <v/>
      </c>
      <c r="U851" s="32">
        <f>IF($C851="","",$C851&amp;"|"&amp;COUNTIFS($C$6:$C851,$C851))</f>
        <v/>
      </c>
      <c r="V851" s="32">
        <f>IF(OR($C851="",$A851="",$S851=""),"",$C851&amp;"|"&amp;$A851&amp;"|"&amp;$S851)</f>
        <v/>
      </c>
      <c r="W851" s="32">
        <f>IF(OR($C851="",$S851="",$S851=1),"",IFERROR(INDEX($Q$6:$Q$1505,MATCH($C851&amp;"|"&amp;$A851&amp;"|"&amp;($S851-1),$V$6:$V$1505,0)),""))</f>
        <v/>
      </c>
      <c r="X851" s="32">
        <f>IF(OR($W851="",$Q851="",LEFT($Q851,1)="—"),"",IF($W851=$Q851,"ללא שינוי","מ-"&amp;$W851&amp;" ל-"&amp;$Q851))</f>
        <v/>
      </c>
    </row>
    <row r="852" ht="15.75" customHeight="1" s="58">
      <c r="A852" s="65" t="n"/>
      <c r="B852" s="65" t="n"/>
      <c r="C852" s="66" t="n"/>
      <c r="D852" s="66" t="n"/>
      <c r="E852" s="65" t="n"/>
      <c r="F852" s="65" t="n"/>
      <c r="G852" s="65" t="n"/>
      <c r="H852" s="65" t="n"/>
      <c r="I852" s="65" t="n"/>
      <c r="J852" s="65" t="n"/>
      <c r="K852" s="65" t="n"/>
      <c r="L852" s="65" t="n"/>
      <c r="M852" s="65" t="n"/>
      <c r="N852" s="65" t="n"/>
      <c r="O852" s="65" t="n"/>
      <c r="P852" s="65" t="n"/>
      <c r="Q852" s="32">
        <f>IF($C852="","",IF($J852="","— חסרים נתונים",IF($J852="טרם מפענח","פרופיל 5",IF($J852="קמץ/פתח/חטף-פתח ושוואים","פרופיל 4",IF($J852="2-3 סימני ניקוד","פרופיל 3",IF($J852="4-5 סימני ניקוד","פרופיל 2",IF(AND($O852="משפטים וקטעים קצרים",OR($M852="מבין",$M852="מבין לרוב")),"פרופיל 1","פרופיל 2")))))))</f>
        <v/>
      </c>
      <c r="R852" s="32">
        <f>IF($C852="","",IF(OR($Q852="",LEFT($Q852,1)="—"),"קבוצה רביעית",IF($Q852="פרופיל 5","קבוצת תשתיות",IF(OR($Q852="פרופיל 4",$Q852="פרופיל 3"),"קבוצת רכישה","קבוצת ביסוס"))))</f>
        <v/>
      </c>
      <c r="S852" s="32">
        <f>IF($F852="","",IF($F852="תחילת שנה",1,IF($F852="מחצית שנה",2,3)))</f>
        <v/>
      </c>
      <c r="T852" s="32">
        <f>IF(OR($B852="",$R852="",$A852="",$F852=""),"",$B852&amp;"|"&amp;$A852&amp;"|"&amp;$F852&amp;"|"&amp;$R852&amp;"|"&amp;COUNTIFS($B$6:$B852,$B852,$A$6:$A852,$A852,$F$6:$F852,$F852,$R$6:$R852,$R852))</f>
        <v/>
      </c>
      <c r="U852" s="32">
        <f>IF($C852="","",$C852&amp;"|"&amp;COUNTIFS($C$6:$C852,$C852))</f>
        <v/>
      </c>
      <c r="V852" s="32">
        <f>IF(OR($C852="",$A852="",$S852=""),"",$C852&amp;"|"&amp;$A852&amp;"|"&amp;$S852)</f>
        <v/>
      </c>
      <c r="W852" s="32">
        <f>IF(OR($C852="",$S852="",$S852=1),"",IFERROR(INDEX($Q$6:$Q$1505,MATCH($C852&amp;"|"&amp;$A852&amp;"|"&amp;($S852-1),$V$6:$V$1505,0)),""))</f>
        <v/>
      </c>
      <c r="X852" s="32">
        <f>IF(OR($W852="",$Q852="",LEFT($Q852,1)="—"),"",IF($W852=$Q852,"ללא שינוי","מ-"&amp;$W852&amp;" ל-"&amp;$Q852))</f>
        <v/>
      </c>
    </row>
    <row r="853" ht="15.75" customHeight="1" s="58">
      <c r="A853" s="65" t="n"/>
      <c r="B853" s="65" t="n"/>
      <c r="C853" s="66" t="n"/>
      <c r="D853" s="66" t="n"/>
      <c r="E853" s="65" t="n"/>
      <c r="F853" s="65" t="n"/>
      <c r="G853" s="65" t="n"/>
      <c r="H853" s="65" t="n"/>
      <c r="I853" s="65" t="n"/>
      <c r="J853" s="65" t="n"/>
      <c r="K853" s="65" t="n"/>
      <c r="L853" s="65" t="n"/>
      <c r="M853" s="65" t="n"/>
      <c r="N853" s="65" t="n"/>
      <c r="O853" s="65" t="n"/>
      <c r="P853" s="65" t="n"/>
      <c r="Q853" s="32">
        <f>IF($C853="","",IF($J853="","— חסרים נתונים",IF($J853="טרם מפענח","פרופיל 5",IF($J853="קמץ/פתח/חטף-פתח ושוואים","פרופיל 4",IF($J853="2-3 סימני ניקוד","פרופיל 3",IF($J853="4-5 סימני ניקוד","פרופיל 2",IF(AND($O853="משפטים וקטעים קצרים",OR($M853="מבין",$M853="מבין לרוב")),"פרופיל 1","פרופיל 2")))))))</f>
        <v/>
      </c>
      <c r="R853" s="32">
        <f>IF($C853="","",IF(OR($Q853="",LEFT($Q853,1)="—"),"קבוצה רביעית",IF($Q853="פרופיל 5","קבוצת תשתיות",IF(OR($Q853="פרופיל 4",$Q853="פרופיל 3"),"קבוצת רכישה","קבוצת ביסוס"))))</f>
        <v/>
      </c>
      <c r="S853" s="32">
        <f>IF($F853="","",IF($F853="תחילת שנה",1,IF($F853="מחצית שנה",2,3)))</f>
        <v/>
      </c>
      <c r="T853" s="32">
        <f>IF(OR($B853="",$R853="",$A853="",$F853=""),"",$B853&amp;"|"&amp;$A853&amp;"|"&amp;$F853&amp;"|"&amp;$R853&amp;"|"&amp;COUNTIFS($B$6:$B853,$B853,$A$6:$A853,$A853,$F$6:$F853,$F853,$R$6:$R853,$R853))</f>
        <v/>
      </c>
      <c r="U853" s="32">
        <f>IF($C853="","",$C853&amp;"|"&amp;COUNTIFS($C$6:$C853,$C853))</f>
        <v/>
      </c>
      <c r="V853" s="32">
        <f>IF(OR($C853="",$A853="",$S853=""),"",$C853&amp;"|"&amp;$A853&amp;"|"&amp;$S853)</f>
        <v/>
      </c>
      <c r="W853" s="32">
        <f>IF(OR($C853="",$S853="",$S853=1),"",IFERROR(INDEX($Q$6:$Q$1505,MATCH($C853&amp;"|"&amp;$A853&amp;"|"&amp;($S853-1),$V$6:$V$1505,0)),""))</f>
        <v/>
      </c>
      <c r="X853" s="32">
        <f>IF(OR($W853="",$Q853="",LEFT($Q853,1)="—"),"",IF($W853=$Q853,"ללא שינוי","מ-"&amp;$W853&amp;" ל-"&amp;$Q853))</f>
        <v/>
      </c>
    </row>
    <row r="854" ht="15.75" customHeight="1" s="58">
      <c r="A854" s="65" t="n"/>
      <c r="B854" s="65" t="n"/>
      <c r="C854" s="66" t="n"/>
      <c r="D854" s="66" t="n"/>
      <c r="E854" s="65" t="n"/>
      <c r="F854" s="65" t="n"/>
      <c r="G854" s="65" t="n"/>
      <c r="H854" s="65" t="n"/>
      <c r="I854" s="65" t="n"/>
      <c r="J854" s="65" t="n"/>
      <c r="K854" s="65" t="n"/>
      <c r="L854" s="65" t="n"/>
      <c r="M854" s="65" t="n"/>
      <c r="N854" s="65" t="n"/>
      <c r="O854" s="65" t="n"/>
      <c r="P854" s="65" t="n"/>
      <c r="Q854" s="32">
        <f>IF($C854="","",IF($J854="","— חסרים נתונים",IF($J854="טרם מפענח","פרופיל 5",IF($J854="קמץ/פתח/חטף-פתח ושוואים","פרופיל 4",IF($J854="2-3 סימני ניקוד","פרופיל 3",IF($J854="4-5 סימני ניקוד","פרופיל 2",IF(AND($O854="משפטים וקטעים קצרים",OR($M854="מבין",$M854="מבין לרוב")),"פרופיל 1","פרופיל 2")))))))</f>
        <v/>
      </c>
      <c r="R854" s="32">
        <f>IF($C854="","",IF(OR($Q854="",LEFT($Q854,1)="—"),"קבוצה רביעית",IF($Q854="פרופיל 5","קבוצת תשתיות",IF(OR($Q854="פרופיל 4",$Q854="פרופיל 3"),"קבוצת רכישה","קבוצת ביסוס"))))</f>
        <v/>
      </c>
      <c r="S854" s="32">
        <f>IF($F854="","",IF($F854="תחילת שנה",1,IF($F854="מחצית שנה",2,3)))</f>
        <v/>
      </c>
      <c r="T854" s="32">
        <f>IF(OR($B854="",$R854="",$A854="",$F854=""),"",$B854&amp;"|"&amp;$A854&amp;"|"&amp;$F854&amp;"|"&amp;$R854&amp;"|"&amp;COUNTIFS($B$6:$B854,$B854,$A$6:$A854,$A854,$F$6:$F854,$F854,$R$6:$R854,$R854))</f>
        <v/>
      </c>
      <c r="U854" s="32">
        <f>IF($C854="","",$C854&amp;"|"&amp;COUNTIFS($C$6:$C854,$C854))</f>
        <v/>
      </c>
      <c r="V854" s="32">
        <f>IF(OR($C854="",$A854="",$S854=""),"",$C854&amp;"|"&amp;$A854&amp;"|"&amp;$S854)</f>
        <v/>
      </c>
      <c r="W854" s="32">
        <f>IF(OR($C854="",$S854="",$S854=1),"",IFERROR(INDEX($Q$6:$Q$1505,MATCH($C854&amp;"|"&amp;$A854&amp;"|"&amp;($S854-1),$V$6:$V$1505,0)),""))</f>
        <v/>
      </c>
      <c r="X854" s="32">
        <f>IF(OR($W854="",$Q854="",LEFT($Q854,1)="—"),"",IF($W854=$Q854,"ללא שינוי","מ-"&amp;$W854&amp;" ל-"&amp;$Q854))</f>
        <v/>
      </c>
    </row>
    <row r="855" ht="15.75" customHeight="1" s="58">
      <c r="A855" s="65" t="n"/>
      <c r="B855" s="65" t="n"/>
      <c r="C855" s="66" t="n"/>
      <c r="D855" s="66" t="n"/>
      <c r="E855" s="65" t="n"/>
      <c r="F855" s="65" t="n"/>
      <c r="G855" s="65" t="n"/>
      <c r="H855" s="65" t="n"/>
      <c r="I855" s="65" t="n"/>
      <c r="J855" s="65" t="n"/>
      <c r="K855" s="65" t="n"/>
      <c r="L855" s="65" t="n"/>
      <c r="M855" s="65" t="n"/>
      <c r="N855" s="65" t="n"/>
      <c r="O855" s="65" t="n"/>
      <c r="P855" s="65" t="n"/>
      <c r="Q855" s="32">
        <f>IF($C855="","",IF($J855="","— חסרים נתונים",IF($J855="טרם מפענח","פרופיל 5",IF($J855="קמץ/פתח/חטף-פתח ושוואים","פרופיל 4",IF($J855="2-3 סימני ניקוד","פרופיל 3",IF($J855="4-5 סימני ניקוד","פרופיל 2",IF(AND($O855="משפטים וקטעים קצרים",OR($M855="מבין",$M855="מבין לרוב")),"פרופיל 1","פרופיל 2")))))))</f>
        <v/>
      </c>
      <c r="R855" s="32">
        <f>IF($C855="","",IF(OR($Q855="",LEFT($Q855,1)="—"),"קבוצה רביעית",IF($Q855="פרופיל 5","קבוצת תשתיות",IF(OR($Q855="פרופיל 4",$Q855="פרופיל 3"),"קבוצת רכישה","קבוצת ביסוס"))))</f>
        <v/>
      </c>
      <c r="S855" s="32">
        <f>IF($F855="","",IF($F855="תחילת שנה",1,IF($F855="מחצית שנה",2,3)))</f>
        <v/>
      </c>
      <c r="T855" s="32">
        <f>IF(OR($B855="",$R855="",$A855="",$F855=""),"",$B855&amp;"|"&amp;$A855&amp;"|"&amp;$F855&amp;"|"&amp;$R855&amp;"|"&amp;COUNTIFS($B$6:$B855,$B855,$A$6:$A855,$A855,$F$6:$F855,$F855,$R$6:$R855,$R855))</f>
        <v/>
      </c>
      <c r="U855" s="32">
        <f>IF($C855="","",$C855&amp;"|"&amp;COUNTIFS($C$6:$C855,$C855))</f>
        <v/>
      </c>
      <c r="V855" s="32">
        <f>IF(OR($C855="",$A855="",$S855=""),"",$C855&amp;"|"&amp;$A855&amp;"|"&amp;$S855)</f>
        <v/>
      </c>
      <c r="W855" s="32">
        <f>IF(OR($C855="",$S855="",$S855=1),"",IFERROR(INDEX($Q$6:$Q$1505,MATCH($C855&amp;"|"&amp;$A855&amp;"|"&amp;($S855-1),$V$6:$V$1505,0)),""))</f>
        <v/>
      </c>
      <c r="X855" s="32">
        <f>IF(OR($W855="",$Q855="",LEFT($Q855,1)="—"),"",IF($W855=$Q855,"ללא שינוי","מ-"&amp;$W855&amp;" ל-"&amp;$Q855))</f>
        <v/>
      </c>
    </row>
    <row r="856" ht="15.75" customHeight="1" s="58">
      <c r="A856" s="65" t="n"/>
      <c r="B856" s="65" t="n"/>
      <c r="C856" s="66" t="n"/>
      <c r="D856" s="66" t="n"/>
      <c r="E856" s="65" t="n"/>
      <c r="F856" s="65" t="n"/>
      <c r="G856" s="65" t="n"/>
      <c r="H856" s="65" t="n"/>
      <c r="I856" s="65" t="n"/>
      <c r="J856" s="65" t="n"/>
      <c r="K856" s="65" t="n"/>
      <c r="L856" s="65" t="n"/>
      <c r="M856" s="65" t="n"/>
      <c r="N856" s="65" t="n"/>
      <c r="O856" s="65" t="n"/>
      <c r="P856" s="65" t="n"/>
      <c r="Q856" s="32">
        <f>IF($C856="","",IF($J856="","— חסרים נתונים",IF($J856="טרם מפענח","פרופיל 5",IF($J856="קמץ/פתח/חטף-פתח ושוואים","פרופיל 4",IF($J856="2-3 סימני ניקוד","פרופיל 3",IF($J856="4-5 סימני ניקוד","פרופיל 2",IF(AND($O856="משפטים וקטעים קצרים",OR($M856="מבין",$M856="מבין לרוב")),"פרופיל 1","פרופיל 2")))))))</f>
        <v/>
      </c>
      <c r="R856" s="32">
        <f>IF($C856="","",IF(OR($Q856="",LEFT($Q856,1)="—"),"קבוצה רביעית",IF($Q856="פרופיל 5","קבוצת תשתיות",IF(OR($Q856="פרופיל 4",$Q856="פרופיל 3"),"קבוצת רכישה","קבוצת ביסוס"))))</f>
        <v/>
      </c>
      <c r="S856" s="32">
        <f>IF($F856="","",IF($F856="תחילת שנה",1,IF($F856="מחצית שנה",2,3)))</f>
        <v/>
      </c>
      <c r="T856" s="32">
        <f>IF(OR($B856="",$R856="",$A856="",$F856=""),"",$B856&amp;"|"&amp;$A856&amp;"|"&amp;$F856&amp;"|"&amp;$R856&amp;"|"&amp;COUNTIFS($B$6:$B856,$B856,$A$6:$A856,$A856,$F$6:$F856,$F856,$R$6:$R856,$R856))</f>
        <v/>
      </c>
      <c r="U856" s="32">
        <f>IF($C856="","",$C856&amp;"|"&amp;COUNTIFS($C$6:$C856,$C856))</f>
        <v/>
      </c>
      <c r="V856" s="32">
        <f>IF(OR($C856="",$A856="",$S856=""),"",$C856&amp;"|"&amp;$A856&amp;"|"&amp;$S856)</f>
        <v/>
      </c>
      <c r="W856" s="32">
        <f>IF(OR($C856="",$S856="",$S856=1),"",IFERROR(INDEX($Q$6:$Q$1505,MATCH($C856&amp;"|"&amp;$A856&amp;"|"&amp;($S856-1),$V$6:$V$1505,0)),""))</f>
        <v/>
      </c>
      <c r="X856" s="32">
        <f>IF(OR($W856="",$Q856="",LEFT($Q856,1)="—"),"",IF($W856=$Q856,"ללא שינוי","מ-"&amp;$W856&amp;" ל-"&amp;$Q856))</f>
        <v/>
      </c>
    </row>
    <row r="857" ht="15.75" customHeight="1" s="58">
      <c r="A857" s="65" t="n"/>
      <c r="B857" s="65" t="n"/>
      <c r="C857" s="66" t="n"/>
      <c r="D857" s="66" t="n"/>
      <c r="E857" s="65" t="n"/>
      <c r="F857" s="65" t="n"/>
      <c r="G857" s="65" t="n"/>
      <c r="H857" s="65" t="n"/>
      <c r="I857" s="65" t="n"/>
      <c r="J857" s="65" t="n"/>
      <c r="K857" s="65" t="n"/>
      <c r="L857" s="65" t="n"/>
      <c r="M857" s="65" t="n"/>
      <c r="N857" s="65" t="n"/>
      <c r="O857" s="65" t="n"/>
      <c r="P857" s="65" t="n"/>
      <c r="Q857" s="32">
        <f>IF($C857="","",IF($J857="","— חסרים נתונים",IF($J857="טרם מפענח","פרופיל 5",IF($J857="קמץ/פתח/חטף-פתח ושוואים","פרופיל 4",IF($J857="2-3 סימני ניקוד","פרופיל 3",IF($J857="4-5 סימני ניקוד","פרופיל 2",IF(AND($O857="משפטים וקטעים קצרים",OR($M857="מבין",$M857="מבין לרוב")),"פרופיל 1","פרופיל 2")))))))</f>
        <v/>
      </c>
      <c r="R857" s="32">
        <f>IF($C857="","",IF(OR($Q857="",LEFT($Q857,1)="—"),"קבוצה רביעית",IF($Q857="פרופיל 5","קבוצת תשתיות",IF(OR($Q857="פרופיל 4",$Q857="פרופיל 3"),"קבוצת רכישה","קבוצת ביסוס"))))</f>
        <v/>
      </c>
      <c r="S857" s="32">
        <f>IF($F857="","",IF($F857="תחילת שנה",1,IF($F857="מחצית שנה",2,3)))</f>
        <v/>
      </c>
      <c r="T857" s="32">
        <f>IF(OR($B857="",$R857="",$A857="",$F857=""),"",$B857&amp;"|"&amp;$A857&amp;"|"&amp;$F857&amp;"|"&amp;$R857&amp;"|"&amp;COUNTIFS($B$6:$B857,$B857,$A$6:$A857,$A857,$F$6:$F857,$F857,$R$6:$R857,$R857))</f>
        <v/>
      </c>
      <c r="U857" s="32">
        <f>IF($C857="","",$C857&amp;"|"&amp;COUNTIFS($C$6:$C857,$C857))</f>
        <v/>
      </c>
      <c r="V857" s="32">
        <f>IF(OR($C857="",$A857="",$S857=""),"",$C857&amp;"|"&amp;$A857&amp;"|"&amp;$S857)</f>
        <v/>
      </c>
      <c r="W857" s="32">
        <f>IF(OR($C857="",$S857="",$S857=1),"",IFERROR(INDEX($Q$6:$Q$1505,MATCH($C857&amp;"|"&amp;$A857&amp;"|"&amp;($S857-1),$V$6:$V$1505,0)),""))</f>
        <v/>
      </c>
      <c r="X857" s="32">
        <f>IF(OR($W857="",$Q857="",LEFT($Q857,1)="—"),"",IF($W857=$Q857,"ללא שינוי","מ-"&amp;$W857&amp;" ל-"&amp;$Q857))</f>
        <v/>
      </c>
    </row>
    <row r="858" ht="15.75" customHeight="1" s="58">
      <c r="A858" s="65" t="n"/>
      <c r="B858" s="65" t="n"/>
      <c r="C858" s="66" t="n"/>
      <c r="D858" s="66" t="n"/>
      <c r="E858" s="65" t="n"/>
      <c r="F858" s="65" t="n"/>
      <c r="G858" s="65" t="n"/>
      <c r="H858" s="65" t="n"/>
      <c r="I858" s="65" t="n"/>
      <c r="J858" s="65" t="n"/>
      <c r="K858" s="65" t="n"/>
      <c r="L858" s="65" t="n"/>
      <c r="M858" s="65" t="n"/>
      <c r="N858" s="65" t="n"/>
      <c r="O858" s="65" t="n"/>
      <c r="P858" s="65" t="n"/>
      <c r="Q858" s="32">
        <f>IF($C858="","",IF($J858="","— חסרים נתונים",IF($J858="טרם מפענח","פרופיל 5",IF($J858="קמץ/פתח/חטף-פתח ושוואים","פרופיל 4",IF($J858="2-3 סימני ניקוד","פרופיל 3",IF($J858="4-5 סימני ניקוד","פרופיל 2",IF(AND($O858="משפטים וקטעים קצרים",OR($M858="מבין",$M858="מבין לרוב")),"פרופיל 1","פרופיל 2")))))))</f>
        <v/>
      </c>
      <c r="R858" s="32">
        <f>IF($C858="","",IF(OR($Q858="",LEFT($Q858,1)="—"),"קבוצה רביעית",IF($Q858="פרופיל 5","קבוצת תשתיות",IF(OR($Q858="פרופיל 4",$Q858="פרופיל 3"),"קבוצת רכישה","קבוצת ביסוס"))))</f>
        <v/>
      </c>
      <c r="S858" s="32">
        <f>IF($F858="","",IF($F858="תחילת שנה",1,IF($F858="מחצית שנה",2,3)))</f>
        <v/>
      </c>
      <c r="T858" s="32">
        <f>IF(OR($B858="",$R858="",$A858="",$F858=""),"",$B858&amp;"|"&amp;$A858&amp;"|"&amp;$F858&amp;"|"&amp;$R858&amp;"|"&amp;COUNTIFS($B$6:$B858,$B858,$A$6:$A858,$A858,$F$6:$F858,$F858,$R$6:$R858,$R858))</f>
        <v/>
      </c>
      <c r="U858" s="32">
        <f>IF($C858="","",$C858&amp;"|"&amp;COUNTIFS($C$6:$C858,$C858))</f>
        <v/>
      </c>
      <c r="V858" s="32">
        <f>IF(OR($C858="",$A858="",$S858=""),"",$C858&amp;"|"&amp;$A858&amp;"|"&amp;$S858)</f>
        <v/>
      </c>
      <c r="W858" s="32">
        <f>IF(OR($C858="",$S858="",$S858=1),"",IFERROR(INDEX($Q$6:$Q$1505,MATCH($C858&amp;"|"&amp;$A858&amp;"|"&amp;($S858-1),$V$6:$V$1505,0)),""))</f>
        <v/>
      </c>
      <c r="X858" s="32">
        <f>IF(OR($W858="",$Q858="",LEFT($Q858,1)="—"),"",IF($W858=$Q858,"ללא שינוי","מ-"&amp;$W858&amp;" ל-"&amp;$Q858))</f>
        <v/>
      </c>
    </row>
    <row r="859" ht="15.75" customHeight="1" s="58">
      <c r="A859" s="65" t="n"/>
      <c r="B859" s="65" t="n"/>
      <c r="C859" s="66" t="n"/>
      <c r="D859" s="66" t="n"/>
      <c r="E859" s="65" t="n"/>
      <c r="F859" s="65" t="n"/>
      <c r="G859" s="65" t="n"/>
      <c r="H859" s="65" t="n"/>
      <c r="I859" s="65" t="n"/>
      <c r="J859" s="65" t="n"/>
      <c r="K859" s="65" t="n"/>
      <c r="L859" s="65" t="n"/>
      <c r="M859" s="65" t="n"/>
      <c r="N859" s="65" t="n"/>
      <c r="O859" s="65" t="n"/>
      <c r="P859" s="65" t="n"/>
      <c r="Q859" s="32">
        <f>IF($C859="","",IF($J859="","— חסרים נתונים",IF($J859="טרם מפענח","פרופיל 5",IF($J859="קמץ/פתח/חטף-פתח ושוואים","פרופיל 4",IF($J859="2-3 סימני ניקוד","פרופיל 3",IF($J859="4-5 סימני ניקוד","פרופיל 2",IF(AND($O859="משפטים וקטעים קצרים",OR($M859="מבין",$M859="מבין לרוב")),"פרופיל 1","פרופיל 2")))))))</f>
        <v/>
      </c>
      <c r="R859" s="32">
        <f>IF($C859="","",IF(OR($Q859="",LEFT($Q859,1)="—"),"קבוצה רביעית",IF($Q859="פרופיל 5","קבוצת תשתיות",IF(OR($Q859="פרופיל 4",$Q859="פרופיל 3"),"קבוצת רכישה","קבוצת ביסוס"))))</f>
        <v/>
      </c>
      <c r="S859" s="32">
        <f>IF($F859="","",IF($F859="תחילת שנה",1,IF($F859="מחצית שנה",2,3)))</f>
        <v/>
      </c>
      <c r="T859" s="32">
        <f>IF(OR($B859="",$R859="",$A859="",$F859=""),"",$B859&amp;"|"&amp;$A859&amp;"|"&amp;$F859&amp;"|"&amp;$R859&amp;"|"&amp;COUNTIFS($B$6:$B859,$B859,$A$6:$A859,$A859,$F$6:$F859,$F859,$R$6:$R859,$R859))</f>
        <v/>
      </c>
      <c r="U859" s="32">
        <f>IF($C859="","",$C859&amp;"|"&amp;COUNTIFS($C$6:$C859,$C859))</f>
        <v/>
      </c>
      <c r="V859" s="32">
        <f>IF(OR($C859="",$A859="",$S859=""),"",$C859&amp;"|"&amp;$A859&amp;"|"&amp;$S859)</f>
        <v/>
      </c>
      <c r="W859" s="32">
        <f>IF(OR($C859="",$S859="",$S859=1),"",IFERROR(INDEX($Q$6:$Q$1505,MATCH($C859&amp;"|"&amp;$A859&amp;"|"&amp;($S859-1),$V$6:$V$1505,0)),""))</f>
        <v/>
      </c>
      <c r="X859" s="32">
        <f>IF(OR($W859="",$Q859="",LEFT($Q859,1)="—"),"",IF($W859=$Q859,"ללא שינוי","מ-"&amp;$W859&amp;" ל-"&amp;$Q859))</f>
        <v/>
      </c>
    </row>
    <row r="860" ht="15.75" customHeight="1" s="58">
      <c r="A860" s="65" t="n"/>
      <c r="B860" s="65" t="n"/>
      <c r="C860" s="66" t="n"/>
      <c r="D860" s="66" t="n"/>
      <c r="E860" s="65" t="n"/>
      <c r="F860" s="65" t="n"/>
      <c r="G860" s="65" t="n"/>
      <c r="H860" s="65" t="n"/>
      <c r="I860" s="65" t="n"/>
      <c r="J860" s="65" t="n"/>
      <c r="K860" s="65" t="n"/>
      <c r="L860" s="65" t="n"/>
      <c r="M860" s="65" t="n"/>
      <c r="N860" s="65" t="n"/>
      <c r="O860" s="65" t="n"/>
      <c r="P860" s="65" t="n"/>
      <c r="Q860" s="32">
        <f>IF($C860="","",IF($J860="","— חסרים נתונים",IF($J860="טרם מפענח","פרופיל 5",IF($J860="קמץ/פתח/חטף-פתח ושוואים","פרופיל 4",IF($J860="2-3 סימני ניקוד","פרופיל 3",IF($J860="4-5 סימני ניקוד","פרופיל 2",IF(AND($O860="משפטים וקטעים קצרים",OR($M860="מבין",$M860="מבין לרוב")),"פרופיל 1","פרופיל 2")))))))</f>
        <v/>
      </c>
      <c r="R860" s="32">
        <f>IF($C860="","",IF(OR($Q860="",LEFT($Q860,1)="—"),"קבוצה רביעית",IF($Q860="פרופיל 5","קבוצת תשתיות",IF(OR($Q860="פרופיל 4",$Q860="פרופיל 3"),"קבוצת רכישה","קבוצת ביסוס"))))</f>
        <v/>
      </c>
      <c r="S860" s="32">
        <f>IF($F860="","",IF($F860="תחילת שנה",1,IF($F860="מחצית שנה",2,3)))</f>
        <v/>
      </c>
      <c r="T860" s="32">
        <f>IF(OR($B860="",$R860="",$A860="",$F860=""),"",$B860&amp;"|"&amp;$A860&amp;"|"&amp;$F860&amp;"|"&amp;$R860&amp;"|"&amp;COUNTIFS($B$6:$B860,$B860,$A$6:$A860,$A860,$F$6:$F860,$F860,$R$6:$R860,$R860))</f>
        <v/>
      </c>
      <c r="U860" s="32">
        <f>IF($C860="","",$C860&amp;"|"&amp;COUNTIFS($C$6:$C860,$C860))</f>
        <v/>
      </c>
      <c r="V860" s="32">
        <f>IF(OR($C860="",$A860="",$S860=""),"",$C860&amp;"|"&amp;$A860&amp;"|"&amp;$S860)</f>
        <v/>
      </c>
      <c r="W860" s="32">
        <f>IF(OR($C860="",$S860="",$S860=1),"",IFERROR(INDEX($Q$6:$Q$1505,MATCH($C860&amp;"|"&amp;$A860&amp;"|"&amp;($S860-1),$V$6:$V$1505,0)),""))</f>
        <v/>
      </c>
      <c r="X860" s="32">
        <f>IF(OR($W860="",$Q860="",LEFT($Q860,1)="—"),"",IF($W860=$Q860,"ללא שינוי","מ-"&amp;$W860&amp;" ל-"&amp;$Q860))</f>
        <v/>
      </c>
    </row>
    <row r="861" ht="15.75" customHeight="1" s="58">
      <c r="A861" s="65" t="n"/>
      <c r="B861" s="65" t="n"/>
      <c r="C861" s="66" t="n"/>
      <c r="D861" s="66" t="n"/>
      <c r="E861" s="65" t="n"/>
      <c r="F861" s="65" t="n"/>
      <c r="G861" s="65" t="n"/>
      <c r="H861" s="65" t="n"/>
      <c r="I861" s="65" t="n"/>
      <c r="J861" s="65" t="n"/>
      <c r="K861" s="65" t="n"/>
      <c r="L861" s="65" t="n"/>
      <c r="M861" s="65" t="n"/>
      <c r="N861" s="65" t="n"/>
      <c r="O861" s="65" t="n"/>
      <c r="P861" s="65" t="n"/>
      <c r="Q861" s="32">
        <f>IF($C861="","",IF($J861="","— חסרים נתונים",IF($J861="טרם מפענח","פרופיל 5",IF($J861="קמץ/פתח/חטף-פתח ושוואים","פרופיל 4",IF($J861="2-3 סימני ניקוד","פרופיל 3",IF($J861="4-5 סימני ניקוד","פרופיל 2",IF(AND($O861="משפטים וקטעים קצרים",OR($M861="מבין",$M861="מבין לרוב")),"פרופיל 1","פרופיל 2")))))))</f>
        <v/>
      </c>
      <c r="R861" s="32">
        <f>IF($C861="","",IF(OR($Q861="",LEFT($Q861,1)="—"),"קבוצה רביעית",IF($Q861="פרופיל 5","קבוצת תשתיות",IF(OR($Q861="פרופיל 4",$Q861="פרופיל 3"),"קבוצת רכישה","קבוצת ביסוס"))))</f>
        <v/>
      </c>
      <c r="S861" s="32">
        <f>IF($F861="","",IF($F861="תחילת שנה",1,IF($F861="מחצית שנה",2,3)))</f>
        <v/>
      </c>
      <c r="T861" s="32">
        <f>IF(OR($B861="",$R861="",$A861="",$F861=""),"",$B861&amp;"|"&amp;$A861&amp;"|"&amp;$F861&amp;"|"&amp;$R861&amp;"|"&amp;COUNTIFS($B$6:$B861,$B861,$A$6:$A861,$A861,$F$6:$F861,$F861,$R$6:$R861,$R861))</f>
        <v/>
      </c>
      <c r="U861" s="32">
        <f>IF($C861="","",$C861&amp;"|"&amp;COUNTIFS($C$6:$C861,$C861))</f>
        <v/>
      </c>
      <c r="V861" s="32">
        <f>IF(OR($C861="",$A861="",$S861=""),"",$C861&amp;"|"&amp;$A861&amp;"|"&amp;$S861)</f>
        <v/>
      </c>
      <c r="W861" s="32">
        <f>IF(OR($C861="",$S861="",$S861=1),"",IFERROR(INDEX($Q$6:$Q$1505,MATCH($C861&amp;"|"&amp;$A861&amp;"|"&amp;($S861-1),$V$6:$V$1505,0)),""))</f>
        <v/>
      </c>
      <c r="X861" s="32">
        <f>IF(OR($W861="",$Q861="",LEFT($Q861,1)="—"),"",IF($W861=$Q861,"ללא שינוי","מ-"&amp;$W861&amp;" ל-"&amp;$Q861))</f>
        <v/>
      </c>
    </row>
    <row r="862" ht="15.75" customHeight="1" s="58">
      <c r="A862" s="65" t="n"/>
      <c r="B862" s="65" t="n"/>
      <c r="C862" s="66" t="n"/>
      <c r="D862" s="66" t="n"/>
      <c r="E862" s="65" t="n"/>
      <c r="F862" s="65" t="n"/>
      <c r="G862" s="65" t="n"/>
      <c r="H862" s="65" t="n"/>
      <c r="I862" s="65" t="n"/>
      <c r="J862" s="65" t="n"/>
      <c r="K862" s="65" t="n"/>
      <c r="L862" s="65" t="n"/>
      <c r="M862" s="65" t="n"/>
      <c r="N862" s="65" t="n"/>
      <c r="O862" s="65" t="n"/>
      <c r="P862" s="65" t="n"/>
      <c r="Q862" s="32">
        <f>IF($C862="","",IF($J862="","— חסרים נתונים",IF($J862="טרם מפענח","פרופיל 5",IF($J862="קמץ/פתח/חטף-פתח ושוואים","פרופיל 4",IF($J862="2-3 סימני ניקוד","פרופיל 3",IF($J862="4-5 סימני ניקוד","פרופיל 2",IF(AND($O862="משפטים וקטעים קצרים",OR($M862="מבין",$M862="מבין לרוב")),"פרופיל 1","פרופיל 2")))))))</f>
        <v/>
      </c>
      <c r="R862" s="32">
        <f>IF($C862="","",IF(OR($Q862="",LEFT($Q862,1)="—"),"קבוצה רביעית",IF($Q862="פרופיל 5","קבוצת תשתיות",IF(OR($Q862="פרופיל 4",$Q862="פרופיל 3"),"קבוצת רכישה","קבוצת ביסוס"))))</f>
        <v/>
      </c>
      <c r="S862" s="32">
        <f>IF($F862="","",IF($F862="תחילת שנה",1,IF($F862="מחצית שנה",2,3)))</f>
        <v/>
      </c>
      <c r="T862" s="32">
        <f>IF(OR($B862="",$R862="",$A862="",$F862=""),"",$B862&amp;"|"&amp;$A862&amp;"|"&amp;$F862&amp;"|"&amp;$R862&amp;"|"&amp;COUNTIFS($B$6:$B862,$B862,$A$6:$A862,$A862,$F$6:$F862,$F862,$R$6:$R862,$R862))</f>
        <v/>
      </c>
      <c r="U862" s="32">
        <f>IF($C862="","",$C862&amp;"|"&amp;COUNTIFS($C$6:$C862,$C862))</f>
        <v/>
      </c>
      <c r="V862" s="32">
        <f>IF(OR($C862="",$A862="",$S862=""),"",$C862&amp;"|"&amp;$A862&amp;"|"&amp;$S862)</f>
        <v/>
      </c>
      <c r="W862" s="32">
        <f>IF(OR($C862="",$S862="",$S862=1),"",IFERROR(INDEX($Q$6:$Q$1505,MATCH($C862&amp;"|"&amp;$A862&amp;"|"&amp;($S862-1),$V$6:$V$1505,0)),""))</f>
        <v/>
      </c>
      <c r="X862" s="32">
        <f>IF(OR($W862="",$Q862="",LEFT($Q862,1)="—"),"",IF($W862=$Q862,"ללא שינוי","מ-"&amp;$W862&amp;" ל-"&amp;$Q862))</f>
        <v/>
      </c>
    </row>
    <row r="863" ht="15.75" customHeight="1" s="58">
      <c r="A863" s="65" t="n"/>
      <c r="B863" s="65" t="n"/>
      <c r="C863" s="66" t="n"/>
      <c r="D863" s="66" t="n"/>
      <c r="E863" s="65" t="n"/>
      <c r="F863" s="65" t="n"/>
      <c r="G863" s="65" t="n"/>
      <c r="H863" s="65" t="n"/>
      <c r="I863" s="65" t="n"/>
      <c r="J863" s="65" t="n"/>
      <c r="K863" s="65" t="n"/>
      <c r="L863" s="65" t="n"/>
      <c r="M863" s="65" t="n"/>
      <c r="N863" s="65" t="n"/>
      <c r="O863" s="65" t="n"/>
      <c r="P863" s="65" t="n"/>
      <c r="Q863" s="32">
        <f>IF($C863="","",IF($J863="","— חסרים נתונים",IF($J863="טרם מפענח","פרופיל 5",IF($J863="קמץ/פתח/חטף-פתח ושוואים","פרופיל 4",IF($J863="2-3 סימני ניקוד","פרופיל 3",IF($J863="4-5 סימני ניקוד","פרופיל 2",IF(AND($O863="משפטים וקטעים קצרים",OR($M863="מבין",$M863="מבין לרוב")),"פרופיל 1","פרופיל 2")))))))</f>
        <v/>
      </c>
      <c r="R863" s="32">
        <f>IF($C863="","",IF(OR($Q863="",LEFT($Q863,1)="—"),"קבוצה רביעית",IF($Q863="פרופיל 5","קבוצת תשתיות",IF(OR($Q863="פרופיל 4",$Q863="פרופיל 3"),"קבוצת רכישה","קבוצת ביסוס"))))</f>
        <v/>
      </c>
      <c r="S863" s="32">
        <f>IF($F863="","",IF($F863="תחילת שנה",1,IF($F863="מחצית שנה",2,3)))</f>
        <v/>
      </c>
      <c r="T863" s="32">
        <f>IF(OR($B863="",$R863="",$A863="",$F863=""),"",$B863&amp;"|"&amp;$A863&amp;"|"&amp;$F863&amp;"|"&amp;$R863&amp;"|"&amp;COUNTIFS($B$6:$B863,$B863,$A$6:$A863,$A863,$F$6:$F863,$F863,$R$6:$R863,$R863))</f>
        <v/>
      </c>
      <c r="U863" s="32">
        <f>IF($C863="","",$C863&amp;"|"&amp;COUNTIFS($C$6:$C863,$C863))</f>
        <v/>
      </c>
      <c r="V863" s="32">
        <f>IF(OR($C863="",$A863="",$S863=""),"",$C863&amp;"|"&amp;$A863&amp;"|"&amp;$S863)</f>
        <v/>
      </c>
      <c r="W863" s="32">
        <f>IF(OR($C863="",$S863="",$S863=1),"",IFERROR(INDEX($Q$6:$Q$1505,MATCH($C863&amp;"|"&amp;$A863&amp;"|"&amp;($S863-1),$V$6:$V$1505,0)),""))</f>
        <v/>
      </c>
      <c r="X863" s="32">
        <f>IF(OR($W863="",$Q863="",LEFT($Q863,1)="—"),"",IF($W863=$Q863,"ללא שינוי","מ-"&amp;$W863&amp;" ל-"&amp;$Q863))</f>
        <v/>
      </c>
    </row>
    <row r="864" ht="15.75" customHeight="1" s="58">
      <c r="A864" s="65" t="n"/>
      <c r="B864" s="65" t="n"/>
      <c r="C864" s="66" t="n"/>
      <c r="D864" s="66" t="n"/>
      <c r="E864" s="65" t="n"/>
      <c r="F864" s="65" t="n"/>
      <c r="G864" s="65" t="n"/>
      <c r="H864" s="65" t="n"/>
      <c r="I864" s="65" t="n"/>
      <c r="J864" s="65" t="n"/>
      <c r="K864" s="65" t="n"/>
      <c r="L864" s="65" t="n"/>
      <c r="M864" s="65" t="n"/>
      <c r="N864" s="65" t="n"/>
      <c r="O864" s="65" t="n"/>
      <c r="P864" s="65" t="n"/>
      <c r="Q864" s="32">
        <f>IF($C864="","",IF($J864="","— חסרים נתונים",IF($J864="טרם מפענח","פרופיל 5",IF($J864="קמץ/פתח/חטף-פתח ושוואים","פרופיל 4",IF($J864="2-3 סימני ניקוד","פרופיל 3",IF($J864="4-5 סימני ניקוד","פרופיל 2",IF(AND($O864="משפטים וקטעים קצרים",OR($M864="מבין",$M864="מבין לרוב")),"פרופיל 1","פרופיל 2")))))))</f>
        <v/>
      </c>
      <c r="R864" s="32">
        <f>IF($C864="","",IF(OR($Q864="",LEFT($Q864,1)="—"),"קבוצה רביעית",IF($Q864="פרופיל 5","קבוצת תשתיות",IF(OR($Q864="פרופיל 4",$Q864="פרופיל 3"),"קבוצת רכישה","קבוצת ביסוס"))))</f>
        <v/>
      </c>
      <c r="S864" s="32">
        <f>IF($F864="","",IF($F864="תחילת שנה",1,IF($F864="מחצית שנה",2,3)))</f>
        <v/>
      </c>
      <c r="T864" s="32">
        <f>IF(OR($B864="",$R864="",$A864="",$F864=""),"",$B864&amp;"|"&amp;$A864&amp;"|"&amp;$F864&amp;"|"&amp;$R864&amp;"|"&amp;COUNTIFS($B$6:$B864,$B864,$A$6:$A864,$A864,$F$6:$F864,$F864,$R$6:$R864,$R864))</f>
        <v/>
      </c>
      <c r="U864" s="32">
        <f>IF($C864="","",$C864&amp;"|"&amp;COUNTIFS($C$6:$C864,$C864))</f>
        <v/>
      </c>
      <c r="V864" s="32">
        <f>IF(OR($C864="",$A864="",$S864=""),"",$C864&amp;"|"&amp;$A864&amp;"|"&amp;$S864)</f>
        <v/>
      </c>
      <c r="W864" s="32">
        <f>IF(OR($C864="",$S864="",$S864=1),"",IFERROR(INDEX($Q$6:$Q$1505,MATCH($C864&amp;"|"&amp;$A864&amp;"|"&amp;($S864-1),$V$6:$V$1505,0)),""))</f>
        <v/>
      </c>
      <c r="X864" s="32">
        <f>IF(OR($W864="",$Q864="",LEFT($Q864,1)="—"),"",IF($W864=$Q864,"ללא שינוי","מ-"&amp;$W864&amp;" ל-"&amp;$Q864))</f>
        <v/>
      </c>
    </row>
    <row r="865" ht="15.75" customHeight="1" s="58">
      <c r="A865" s="65" t="n"/>
      <c r="B865" s="65" t="n"/>
      <c r="C865" s="66" t="n"/>
      <c r="D865" s="66" t="n"/>
      <c r="E865" s="65" t="n"/>
      <c r="F865" s="65" t="n"/>
      <c r="G865" s="65" t="n"/>
      <c r="H865" s="65" t="n"/>
      <c r="I865" s="65" t="n"/>
      <c r="J865" s="65" t="n"/>
      <c r="K865" s="65" t="n"/>
      <c r="L865" s="65" t="n"/>
      <c r="M865" s="65" t="n"/>
      <c r="N865" s="65" t="n"/>
      <c r="O865" s="65" t="n"/>
      <c r="P865" s="65" t="n"/>
      <c r="Q865" s="32">
        <f>IF($C865="","",IF($J865="","— חסרים נתונים",IF($J865="טרם מפענח","פרופיל 5",IF($J865="קמץ/פתח/חטף-פתח ושוואים","פרופיל 4",IF($J865="2-3 סימני ניקוד","פרופיל 3",IF($J865="4-5 סימני ניקוד","פרופיל 2",IF(AND($O865="משפטים וקטעים קצרים",OR($M865="מבין",$M865="מבין לרוב")),"פרופיל 1","פרופיל 2")))))))</f>
        <v/>
      </c>
      <c r="R865" s="32">
        <f>IF($C865="","",IF(OR($Q865="",LEFT($Q865,1)="—"),"קבוצה רביעית",IF($Q865="פרופיל 5","קבוצת תשתיות",IF(OR($Q865="פרופיל 4",$Q865="פרופיל 3"),"קבוצת רכישה","קבוצת ביסוס"))))</f>
        <v/>
      </c>
      <c r="S865" s="32">
        <f>IF($F865="","",IF($F865="תחילת שנה",1,IF($F865="מחצית שנה",2,3)))</f>
        <v/>
      </c>
      <c r="T865" s="32">
        <f>IF(OR($B865="",$R865="",$A865="",$F865=""),"",$B865&amp;"|"&amp;$A865&amp;"|"&amp;$F865&amp;"|"&amp;$R865&amp;"|"&amp;COUNTIFS($B$6:$B865,$B865,$A$6:$A865,$A865,$F$6:$F865,$F865,$R$6:$R865,$R865))</f>
        <v/>
      </c>
      <c r="U865" s="32">
        <f>IF($C865="","",$C865&amp;"|"&amp;COUNTIFS($C$6:$C865,$C865))</f>
        <v/>
      </c>
      <c r="V865" s="32">
        <f>IF(OR($C865="",$A865="",$S865=""),"",$C865&amp;"|"&amp;$A865&amp;"|"&amp;$S865)</f>
        <v/>
      </c>
      <c r="W865" s="32">
        <f>IF(OR($C865="",$S865="",$S865=1),"",IFERROR(INDEX($Q$6:$Q$1505,MATCH($C865&amp;"|"&amp;$A865&amp;"|"&amp;($S865-1),$V$6:$V$1505,0)),""))</f>
        <v/>
      </c>
      <c r="X865" s="32">
        <f>IF(OR($W865="",$Q865="",LEFT($Q865,1)="—"),"",IF($W865=$Q865,"ללא שינוי","מ-"&amp;$W865&amp;" ל-"&amp;$Q865))</f>
        <v/>
      </c>
    </row>
    <row r="866" ht="15.75" customHeight="1" s="58">
      <c r="A866" s="65" t="n"/>
      <c r="B866" s="65" t="n"/>
      <c r="C866" s="66" t="n"/>
      <c r="D866" s="66" t="n"/>
      <c r="E866" s="65" t="n"/>
      <c r="F866" s="65" t="n"/>
      <c r="G866" s="65" t="n"/>
      <c r="H866" s="65" t="n"/>
      <c r="I866" s="65" t="n"/>
      <c r="J866" s="65" t="n"/>
      <c r="K866" s="65" t="n"/>
      <c r="L866" s="65" t="n"/>
      <c r="M866" s="65" t="n"/>
      <c r="N866" s="65" t="n"/>
      <c r="O866" s="65" t="n"/>
      <c r="P866" s="65" t="n"/>
      <c r="Q866" s="32">
        <f>IF($C866="","",IF($J866="","— חסרים נתונים",IF($J866="טרם מפענח","פרופיל 5",IF($J866="קמץ/פתח/חטף-פתח ושוואים","פרופיל 4",IF($J866="2-3 סימני ניקוד","פרופיל 3",IF($J866="4-5 סימני ניקוד","פרופיל 2",IF(AND($O866="משפטים וקטעים קצרים",OR($M866="מבין",$M866="מבין לרוב")),"פרופיל 1","פרופיל 2")))))))</f>
        <v/>
      </c>
      <c r="R866" s="32">
        <f>IF($C866="","",IF(OR($Q866="",LEFT($Q866,1)="—"),"קבוצה רביעית",IF($Q866="פרופיל 5","קבוצת תשתיות",IF(OR($Q866="פרופיל 4",$Q866="פרופיל 3"),"קבוצת רכישה","קבוצת ביסוס"))))</f>
        <v/>
      </c>
      <c r="S866" s="32">
        <f>IF($F866="","",IF($F866="תחילת שנה",1,IF($F866="מחצית שנה",2,3)))</f>
        <v/>
      </c>
      <c r="T866" s="32">
        <f>IF(OR($B866="",$R866="",$A866="",$F866=""),"",$B866&amp;"|"&amp;$A866&amp;"|"&amp;$F866&amp;"|"&amp;$R866&amp;"|"&amp;COUNTIFS($B$6:$B866,$B866,$A$6:$A866,$A866,$F$6:$F866,$F866,$R$6:$R866,$R866))</f>
        <v/>
      </c>
      <c r="U866" s="32">
        <f>IF($C866="","",$C866&amp;"|"&amp;COUNTIFS($C$6:$C866,$C866))</f>
        <v/>
      </c>
      <c r="V866" s="32">
        <f>IF(OR($C866="",$A866="",$S866=""),"",$C866&amp;"|"&amp;$A866&amp;"|"&amp;$S866)</f>
        <v/>
      </c>
      <c r="W866" s="32">
        <f>IF(OR($C866="",$S866="",$S866=1),"",IFERROR(INDEX($Q$6:$Q$1505,MATCH($C866&amp;"|"&amp;$A866&amp;"|"&amp;($S866-1),$V$6:$V$1505,0)),""))</f>
        <v/>
      </c>
      <c r="X866" s="32">
        <f>IF(OR($W866="",$Q866="",LEFT($Q866,1)="—"),"",IF($W866=$Q866,"ללא שינוי","מ-"&amp;$W866&amp;" ל-"&amp;$Q866))</f>
        <v/>
      </c>
    </row>
    <row r="867" ht="15.75" customHeight="1" s="58">
      <c r="A867" s="65" t="n"/>
      <c r="B867" s="65" t="n"/>
      <c r="C867" s="66" t="n"/>
      <c r="D867" s="66" t="n"/>
      <c r="E867" s="65" t="n"/>
      <c r="F867" s="65" t="n"/>
      <c r="G867" s="65" t="n"/>
      <c r="H867" s="65" t="n"/>
      <c r="I867" s="65" t="n"/>
      <c r="J867" s="65" t="n"/>
      <c r="K867" s="65" t="n"/>
      <c r="L867" s="65" t="n"/>
      <c r="M867" s="65" t="n"/>
      <c r="N867" s="65" t="n"/>
      <c r="O867" s="65" t="n"/>
      <c r="P867" s="65" t="n"/>
      <c r="Q867" s="32">
        <f>IF($C867="","",IF($J867="","— חסרים נתונים",IF($J867="טרם מפענח","פרופיל 5",IF($J867="קמץ/פתח/חטף-פתח ושוואים","פרופיל 4",IF($J867="2-3 סימני ניקוד","פרופיל 3",IF($J867="4-5 סימני ניקוד","פרופיל 2",IF(AND($O867="משפטים וקטעים קצרים",OR($M867="מבין",$M867="מבין לרוב")),"פרופיל 1","פרופיל 2")))))))</f>
        <v/>
      </c>
      <c r="R867" s="32">
        <f>IF($C867="","",IF(OR($Q867="",LEFT($Q867,1)="—"),"קבוצה רביעית",IF($Q867="פרופיל 5","קבוצת תשתיות",IF(OR($Q867="פרופיל 4",$Q867="פרופיל 3"),"קבוצת רכישה","קבוצת ביסוס"))))</f>
        <v/>
      </c>
      <c r="S867" s="32">
        <f>IF($F867="","",IF($F867="תחילת שנה",1,IF($F867="מחצית שנה",2,3)))</f>
        <v/>
      </c>
      <c r="T867" s="32">
        <f>IF(OR($B867="",$R867="",$A867="",$F867=""),"",$B867&amp;"|"&amp;$A867&amp;"|"&amp;$F867&amp;"|"&amp;$R867&amp;"|"&amp;COUNTIFS($B$6:$B867,$B867,$A$6:$A867,$A867,$F$6:$F867,$F867,$R$6:$R867,$R867))</f>
        <v/>
      </c>
      <c r="U867" s="32">
        <f>IF($C867="","",$C867&amp;"|"&amp;COUNTIFS($C$6:$C867,$C867))</f>
        <v/>
      </c>
      <c r="V867" s="32">
        <f>IF(OR($C867="",$A867="",$S867=""),"",$C867&amp;"|"&amp;$A867&amp;"|"&amp;$S867)</f>
        <v/>
      </c>
      <c r="W867" s="32">
        <f>IF(OR($C867="",$S867="",$S867=1),"",IFERROR(INDEX($Q$6:$Q$1505,MATCH($C867&amp;"|"&amp;$A867&amp;"|"&amp;($S867-1),$V$6:$V$1505,0)),""))</f>
        <v/>
      </c>
      <c r="X867" s="32">
        <f>IF(OR($W867="",$Q867="",LEFT($Q867,1)="—"),"",IF($W867=$Q867,"ללא שינוי","מ-"&amp;$W867&amp;" ל-"&amp;$Q867))</f>
        <v/>
      </c>
    </row>
    <row r="868" ht="15.75" customHeight="1" s="58">
      <c r="A868" s="65" t="n"/>
      <c r="B868" s="65" t="n"/>
      <c r="C868" s="66" t="n"/>
      <c r="D868" s="66" t="n"/>
      <c r="E868" s="65" t="n"/>
      <c r="F868" s="65" t="n"/>
      <c r="G868" s="65" t="n"/>
      <c r="H868" s="65" t="n"/>
      <c r="I868" s="65" t="n"/>
      <c r="J868" s="65" t="n"/>
      <c r="K868" s="65" t="n"/>
      <c r="L868" s="65" t="n"/>
      <c r="M868" s="65" t="n"/>
      <c r="N868" s="65" t="n"/>
      <c r="O868" s="65" t="n"/>
      <c r="P868" s="65" t="n"/>
      <c r="Q868" s="32">
        <f>IF($C868="","",IF($J868="","— חסרים נתונים",IF($J868="טרם מפענח","פרופיל 5",IF($J868="קמץ/פתח/חטף-פתח ושוואים","פרופיל 4",IF($J868="2-3 סימני ניקוד","פרופיל 3",IF($J868="4-5 סימני ניקוד","פרופיל 2",IF(AND($O868="משפטים וקטעים קצרים",OR($M868="מבין",$M868="מבין לרוב")),"פרופיל 1","פרופיל 2")))))))</f>
        <v/>
      </c>
      <c r="R868" s="32">
        <f>IF($C868="","",IF(OR($Q868="",LEFT($Q868,1)="—"),"קבוצה רביעית",IF($Q868="פרופיל 5","קבוצת תשתיות",IF(OR($Q868="פרופיל 4",$Q868="פרופיל 3"),"קבוצת רכישה","קבוצת ביסוס"))))</f>
        <v/>
      </c>
      <c r="S868" s="32">
        <f>IF($F868="","",IF($F868="תחילת שנה",1,IF($F868="מחצית שנה",2,3)))</f>
        <v/>
      </c>
      <c r="T868" s="32">
        <f>IF(OR($B868="",$R868="",$A868="",$F868=""),"",$B868&amp;"|"&amp;$A868&amp;"|"&amp;$F868&amp;"|"&amp;$R868&amp;"|"&amp;COUNTIFS($B$6:$B868,$B868,$A$6:$A868,$A868,$F$6:$F868,$F868,$R$6:$R868,$R868))</f>
        <v/>
      </c>
      <c r="U868" s="32">
        <f>IF($C868="","",$C868&amp;"|"&amp;COUNTIFS($C$6:$C868,$C868))</f>
        <v/>
      </c>
      <c r="V868" s="32">
        <f>IF(OR($C868="",$A868="",$S868=""),"",$C868&amp;"|"&amp;$A868&amp;"|"&amp;$S868)</f>
        <v/>
      </c>
      <c r="W868" s="32">
        <f>IF(OR($C868="",$S868="",$S868=1),"",IFERROR(INDEX($Q$6:$Q$1505,MATCH($C868&amp;"|"&amp;$A868&amp;"|"&amp;($S868-1),$V$6:$V$1505,0)),""))</f>
        <v/>
      </c>
      <c r="X868" s="32">
        <f>IF(OR($W868="",$Q868="",LEFT($Q868,1)="—"),"",IF($W868=$Q868,"ללא שינוי","מ-"&amp;$W868&amp;" ל-"&amp;$Q868))</f>
        <v/>
      </c>
    </row>
    <row r="869" ht="15.75" customHeight="1" s="58">
      <c r="A869" s="65" t="n"/>
      <c r="B869" s="65" t="n"/>
      <c r="C869" s="66" t="n"/>
      <c r="D869" s="66" t="n"/>
      <c r="E869" s="65" t="n"/>
      <c r="F869" s="65" t="n"/>
      <c r="G869" s="65" t="n"/>
      <c r="H869" s="65" t="n"/>
      <c r="I869" s="65" t="n"/>
      <c r="J869" s="65" t="n"/>
      <c r="K869" s="65" t="n"/>
      <c r="L869" s="65" t="n"/>
      <c r="M869" s="65" t="n"/>
      <c r="N869" s="65" t="n"/>
      <c r="O869" s="65" t="n"/>
      <c r="P869" s="65" t="n"/>
      <c r="Q869" s="32">
        <f>IF($C869="","",IF($J869="","— חסרים נתונים",IF($J869="טרם מפענח","פרופיל 5",IF($J869="קמץ/פתח/חטף-פתח ושוואים","פרופיל 4",IF($J869="2-3 סימני ניקוד","פרופיל 3",IF($J869="4-5 סימני ניקוד","פרופיל 2",IF(AND($O869="משפטים וקטעים קצרים",OR($M869="מבין",$M869="מבין לרוב")),"פרופיל 1","פרופיל 2")))))))</f>
        <v/>
      </c>
      <c r="R869" s="32">
        <f>IF($C869="","",IF(OR($Q869="",LEFT($Q869,1)="—"),"קבוצה רביעית",IF($Q869="פרופיל 5","קבוצת תשתיות",IF(OR($Q869="פרופיל 4",$Q869="פרופיל 3"),"קבוצת רכישה","קבוצת ביסוס"))))</f>
        <v/>
      </c>
      <c r="S869" s="32">
        <f>IF($F869="","",IF($F869="תחילת שנה",1,IF($F869="מחצית שנה",2,3)))</f>
        <v/>
      </c>
      <c r="T869" s="32">
        <f>IF(OR($B869="",$R869="",$A869="",$F869=""),"",$B869&amp;"|"&amp;$A869&amp;"|"&amp;$F869&amp;"|"&amp;$R869&amp;"|"&amp;COUNTIFS($B$6:$B869,$B869,$A$6:$A869,$A869,$F$6:$F869,$F869,$R$6:$R869,$R869))</f>
        <v/>
      </c>
      <c r="U869" s="32">
        <f>IF($C869="","",$C869&amp;"|"&amp;COUNTIFS($C$6:$C869,$C869))</f>
        <v/>
      </c>
      <c r="V869" s="32">
        <f>IF(OR($C869="",$A869="",$S869=""),"",$C869&amp;"|"&amp;$A869&amp;"|"&amp;$S869)</f>
        <v/>
      </c>
      <c r="W869" s="32">
        <f>IF(OR($C869="",$S869="",$S869=1),"",IFERROR(INDEX($Q$6:$Q$1505,MATCH($C869&amp;"|"&amp;$A869&amp;"|"&amp;($S869-1),$V$6:$V$1505,0)),""))</f>
        <v/>
      </c>
      <c r="X869" s="32">
        <f>IF(OR($W869="",$Q869="",LEFT($Q869,1)="—"),"",IF($W869=$Q869,"ללא שינוי","מ-"&amp;$W869&amp;" ל-"&amp;$Q869))</f>
        <v/>
      </c>
    </row>
    <row r="870" ht="15.75" customHeight="1" s="58">
      <c r="A870" s="65" t="n"/>
      <c r="B870" s="65" t="n"/>
      <c r="C870" s="66" t="n"/>
      <c r="D870" s="66" t="n"/>
      <c r="E870" s="65" t="n"/>
      <c r="F870" s="65" t="n"/>
      <c r="G870" s="65" t="n"/>
      <c r="H870" s="65" t="n"/>
      <c r="I870" s="65" t="n"/>
      <c r="J870" s="65" t="n"/>
      <c r="K870" s="65" t="n"/>
      <c r="L870" s="65" t="n"/>
      <c r="M870" s="65" t="n"/>
      <c r="N870" s="65" t="n"/>
      <c r="O870" s="65" t="n"/>
      <c r="P870" s="65" t="n"/>
      <c r="Q870" s="32">
        <f>IF($C870="","",IF($J870="","— חסרים נתונים",IF($J870="טרם מפענח","פרופיל 5",IF($J870="קמץ/פתח/חטף-פתח ושוואים","פרופיל 4",IF($J870="2-3 סימני ניקוד","פרופיל 3",IF($J870="4-5 סימני ניקוד","פרופיל 2",IF(AND($O870="משפטים וקטעים קצרים",OR($M870="מבין",$M870="מבין לרוב")),"פרופיל 1","פרופיל 2")))))))</f>
        <v/>
      </c>
      <c r="R870" s="32">
        <f>IF($C870="","",IF(OR($Q870="",LEFT($Q870,1)="—"),"קבוצה רביעית",IF($Q870="פרופיל 5","קבוצת תשתיות",IF(OR($Q870="פרופיל 4",$Q870="פרופיל 3"),"קבוצת רכישה","קבוצת ביסוס"))))</f>
        <v/>
      </c>
      <c r="S870" s="32">
        <f>IF($F870="","",IF($F870="תחילת שנה",1,IF($F870="מחצית שנה",2,3)))</f>
        <v/>
      </c>
      <c r="T870" s="32">
        <f>IF(OR($B870="",$R870="",$A870="",$F870=""),"",$B870&amp;"|"&amp;$A870&amp;"|"&amp;$F870&amp;"|"&amp;$R870&amp;"|"&amp;COUNTIFS($B$6:$B870,$B870,$A$6:$A870,$A870,$F$6:$F870,$F870,$R$6:$R870,$R870))</f>
        <v/>
      </c>
      <c r="U870" s="32">
        <f>IF($C870="","",$C870&amp;"|"&amp;COUNTIFS($C$6:$C870,$C870))</f>
        <v/>
      </c>
      <c r="V870" s="32">
        <f>IF(OR($C870="",$A870="",$S870=""),"",$C870&amp;"|"&amp;$A870&amp;"|"&amp;$S870)</f>
        <v/>
      </c>
      <c r="W870" s="32">
        <f>IF(OR($C870="",$S870="",$S870=1),"",IFERROR(INDEX($Q$6:$Q$1505,MATCH($C870&amp;"|"&amp;$A870&amp;"|"&amp;($S870-1),$V$6:$V$1505,0)),""))</f>
        <v/>
      </c>
      <c r="X870" s="32">
        <f>IF(OR($W870="",$Q870="",LEFT($Q870,1)="—"),"",IF($W870=$Q870,"ללא שינוי","מ-"&amp;$W870&amp;" ל-"&amp;$Q870))</f>
        <v/>
      </c>
    </row>
    <row r="871" ht="15.75" customHeight="1" s="58">
      <c r="A871" s="65" t="n"/>
      <c r="B871" s="65" t="n"/>
      <c r="C871" s="66" t="n"/>
      <c r="D871" s="66" t="n"/>
      <c r="E871" s="65" t="n"/>
      <c r="F871" s="65" t="n"/>
      <c r="G871" s="65" t="n"/>
      <c r="H871" s="65" t="n"/>
      <c r="I871" s="65" t="n"/>
      <c r="J871" s="65" t="n"/>
      <c r="K871" s="65" t="n"/>
      <c r="L871" s="65" t="n"/>
      <c r="M871" s="65" t="n"/>
      <c r="N871" s="65" t="n"/>
      <c r="O871" s="65" t="n"/>
      <c r="P871" s="65" t="n"/>
      <c r="Q871" s="32">
        <f>IF($C871="","",IF($J871="","— חסרים נתונים",IF($J871="טרם מפענח","פרופיל 5",IF($J871="קמץ/פתח/חטף-פתח ושוואים","פרופיל 4",IF($J871="2-3 סימני ניקוד","פרופיל 3",IF($J871="4-5 סימני ניקוד","פרופיל 2",IF(AND($O871="משפטים וקטעים קצרים",OR($M871="מבין",$M871="מבין לרוב")),"פרופיל 1","פרופיל 2")))))))</f>
        <v/>
      </c>
      <c r="R871" s="32">
        <f>IF($C871="","",IF(OR($Q871="",LEFT($Q871,1)="—"),"קבוצה רביעית",IF($Q871="פרופיל 5","קבוצת תשתיות",IF(OR($Q871="פרופיל 4",$Q871="פרופיל 3"),"קבוצת רכישה","קבוצת ביסוס"))))</f>
        <v/>
      </c>
      <c r="S871" s="32">
        <f>IF($F871="","",IF($F871="תחילת שנה",1,IF($F871="מחצית שנה",2,3)))</f>
        <v/>
      </c>
      <c r="T871" s="32">
        <f>IF(OR($B871="",$R871="",$A871="",$F871=""),"",$B871&amp;"|"&amp;$A871&amp;"|"&amp;$F871&amp;"|"&amp;$R871&amp;"|"&amp;COUNTIFS($B$6:$B871,$B871,$A$6:$A871,$A871,$F$6:$F871,$F871,$R$6:$R871,$R871))</f>
        <v/>
      </c>
      <c r="U871" s="32">
        <f>IF($C871="","",$C871&amp;"|"&amp;COUNTIFS($C$6:$C871,$C871))</f>
        <v/>
      </c>
      <c r="V871" s="32">
        <f>IF(OR($C871="",$A871="",$S871=""),"",$C871&amp;"|"&amp;$A871&amp;"|"&amp;$S871)</f>
        <v/>
      </c>
      <c r="W871" s="32">
        <f>IF(OR($C871="",$S871="",$S871=1),"",IFERROR(INDEX($Q$6:$Q$1505,MATCH($C871&amp;"|"&amp;$A871&amp;"|"&amp;($S871-1),$V$6:$V$1505,0)),""))</f>
        <v/>
      </c>
      <c r="X871" s="32">
        <f>IF(OR($W871="",$Q871="",LEFT($Q871,1)="—"),"",IF($W871=$Q871,"ללא שינוי","מ-"&amp;$W871&amp;" ל-"&amp;$Q871))</f>
        <v/>
      </c>
    </row>
    <row r="872" ht="15.75" customHeight="1" s="58">
      <c r="A872" s="65" t="n"/>
      <c r="B872" s="65" t="n"/>
      <c r="C872" s="66" t="n"/>
      <c r="D872" s="66" t="n"/>
      <c r="E872" s="65" t="n"/>
      <c r="F872" s="65" t="n"/>
      <c r="G872" s="65" t="n"/>
      <c r="H872" s="65" t="n"/>
      <c r="I872" s="65" t="n"/>
      <c r="J872" s="65" t="n"/>
      <c r="K872" s="65" t="n"/>
      <c r="L872" s="65" t="n"/>
      <c r="M872" s="65" t="n"/>
      <c r="N872" s="65" t="n"/>
      <c r="O872" s="65" t="n"/>
      <c r="P872" s="65" t="n"/>
      <c r="Q872" s="32">
        <f>IF($C872="","",IF($J872="","— חסרים נתונים",IF($J872="טרם מפענח","פרופיל 5",IF($J872="קמץ/פתח/חטף-פתח ושוואים","פרופיל 4",IF($J872="2-3 סימני ניקוד","פרופיל 3",IF($J872="4-5 סימני ניקוד","פרופיל 2",IF(AND($O872="משפטים וקטעים קצרים",OR($M872="מבין",$M872="מבין לרוב")),"פרופיל 1","פרופיל 2")))))))</f>
        <v/>
      </c>
      <c r="R872" s="32">
        <f>IF($C872="","",IF(OR($Q872="",LEFT($Q872,1)="—"),"קבוצה רביעית",IF($Q872="פרופיל 5","קבוצת תשתיות",IF(OR($Q872="פרופיל 4",$Q872="פרופיל 3"),"קבוצת רכישה","קבוצת ביסוס"))))</f>
        <v/>
      </c>
      <c r="S872" s="32">
        <f>IF($F872="","",IF($F872="תחילת שנה",1,IF($F872="מחצית שנה",2,3)))</f>
        <v/>
      </c>
      <c r="T872" s="32">
        <f>IF(OR($B872="",$R872="",$A872="",$F872=""),"",$B872&amp;"|"&amp;$A872&amp;"|"&amp;$F872&amp;"|"&amp;$R872&amp;"|"&amp;COUNTIFS($B$6:$B872,$B872,$A$6:$A872,$A872,$F$6:$F872,$F872,$R$6:$R872,$R872))</f>
        <v/>
      </c>
      <c r="U872" s="32">
        <f>IF($C872="","",$C872&amp;"|"&amp;COUNTIFS($C$6:$C872,$C872))</f>
        <v/>
      </c>
      <c r="V872" s="32">
        <f>IF(OR($C872="",$A872="",$S872=""),"",$C872&amp;"|"&amp;$A872&amp;"|"&amp;$S872)</f>
        <v/>
      </c>
      <c r="W872" s="32">
        <f>IF(OR($C872="",$S872="",$S872=1),"",IFERROR(INDEX($Q$6:$Q$1505,MATCH($C872&amp;"|"&amp;$A872&amp;"|"&amp;($S872-1),$V$6:$V$1505,0)),""))</f>
        <v/>
      </c>
      <c r="X872" s="32">
        <f>IF(OR($W872="",$Q872="",LEFT($Q872,1)="—"),"",IF($W872=$Q872,"ללא שינוי","מ-"&amp;$W872&amp;" ל-"&amp;$Q872))</f>
        <v/>
      </c>
    </row>
    <row r="873" ht="15.75" customHeight="1" s="58">
      <c r="A873" s="65" t="n"/>
      <c r="B873" s="65" t="n"/>
      <c r="C873" s="66" t="n"/>
      <c r="D873" s="66" t="n"/>
      <c r="E873" s="65" t="n"/>
      <c r="F873" s="65" t="n"/>
      <c r="G873" s="65" t="n"/>
      <c r="H873" s="65" t="n"/>
      <c r="I873" s="65" t="n"/>
      <c r="J873" s="65" t="n"/>
      <c r="K873" s="65" t="n"/>
      <c r="L873" s="65" t="n"/>
      <c r="M873" s="65" t="n"/>
      <c r="N873" s="65" t="n"/>
      <c r="O873" s="65" t="n"/>
      <c r="P873" s="65" t="n"/>
      <c r="Q873" s="32">
        <f>IF($C873="","",IF($J873="","— חסרים נתונים",IF($J873="טרם מפענח","פרופיל 5",IF($J873="קמץ/פתח/חטף-פתח ושוואים","פרופיל 4",IF($J873="2-3 סימני ניקוד","פרופיל 3",IF($J873="4-5 סימני ניקוד","פרופיל 2",IF(AND($O873="משפטים וקטעים קצרים",OR($M873="מבין",$M873="מבין לרוב")),"פרופיל 1","פרופיל 2")))))))</f>
        <v/>
      </c>
      <c r="R873" s="32">
        <f>IF($C873="","",IF(OR($Q873="",LEFT($Q873,1)="—"),"קבוצה רביעית",IF($Q873="פרופיל 5","קבוצת תשתיות",IF(OR($Q873="פרופיל 4",$Q873="פרופיל 3"),"קבוצת רכישה","קבוצת ביסוס"))))</f>
        <v/>
      </c>
      <c r="S873" s="32">
        <f>IF($F873="","",IF($F873="תחילת שנה",1,IF($F873="מחצית שנה",2,3)))</f>
        <v/>
      </c>
      <c r="T873" s="32">
        <f>IF(OR($B873="",$R873="",$A873="",$F873=""),"",$B873&amp;"|"&amp;$A873&amp;"|"&amp;$F873&amp;"|"&amp;$R873&amp;"|"&amp;COUNTIFS($B$6:$B873,$B873,$A$6:$A873,$A873,$F$6:$F873,$F873,$R$6:$R873,$R873))</f>
        <v/>
      </c>
      <c r="U873" s="32">
        <f>IF($C873="","",$C873&amp;"|"&amp;COUNTIFS($C$6:$C873,$C873))</f>
        <v/>
      </c>
      <c r="V873" s="32">
        <f>IF(OR($C873="",$A873="",$S873=""),"",$C873&amp;"|"&amp;$A873&amp;"|"&amp;$S873)</f>
        <v/>
      </c>
      <c r="W873" s="32">
        <f>IF(OR($C873="",$S873="",$S873=1),"",IFERROR(INDEX($Q$6:$Q$1505,MATCH($C873&amp;"|"&amp;$A873&amp;"|"&amp;($S873-1),$V$6:$V$1505,0)),""))</f>
        <v/>
      </c>
      <c r="X873" s="32">
        <f>IF(OR($W873="",$Q873="",LEFT($Q873,1)="—"),"",IF($W873=$Q873,"ללא שינוי","מ-"&amp;$W873&amp;" ל-"&amp;$Q873))</f>
        <v/>
      </c>
    </row>
    <row r="874" ht="15.75" customHeight="1" s="58">
      <c r="A874" s="65" t="n"/>
      <c r="B874" s="65" t="n"/>
      <c r="C874" s="66" t="n"/>
      <c r="D874" s="66" t="n"/>
      <c r="E874" s="65" t="n"/>
      <c r="F874" s="65" t="n"/>
      <c r="G874" s="65" t="n"/>
      <c r="H874" s="65" t="n"/>
      <c r="I874" s="65" t="n"/>
      <c r="J874" s="65" t="n"/>
      <c r="K874" s="65" t="n"/>
      <c r="L874" s="65" t="n"/>
      <c r="M874" s="65" t="n"/>
      <c r="N874" s="65" t="n"/>
      <c r="O874" s="65" t="n"/>
      <c r="P874" s="65" t="n"/>
      <c r="Q874" s="32">
        <f>IF($C874="","",IF($J874="","— חסרים נתונים",IF($J874="טרם מפענח","פרופיל 5",IF($J874="קמץ/פתח/חטף-פתח ושוואים","פרופיל 4",IF($J874="2-3 סימני ניקוד","פרופיל 3",IF($J874="4-5 סימני ניקוד","פרופיל 2",IF(AND($O874="משפטים וקטעים קצרים",OR($M874="מבין",$M874="מבין לרוב")),"פרופיל 1","פרופיל 2")))))))</f>
        <v/>
      </c>
      <c r="R874" s="32">
        <f>IF($C874="","",IF(OR($Q874="",LEFT($Q874,1)="—"),"קבוצה רביעית",IF($Q874="פרופיל 5","קבוצת תשתיות",IF(OR($Q874="פרופיל 4",$Q874="פרופיל 3"),"קבוצת רכישה","קבוצת ביסוס"))))</f>
        <v/>
      </c>
      <c r="S874" s="32">
        <f>IF($F874="","",IF($F874="תחילת שנה",1,IF($F874="מחצית שנה",2,3)))</f>
        <v/>
      </c>
      <c r="T874" s="32">
        <f>IF(OR($B874="",$R874="",$A874="",$F874=""),"",$B874&amp;"|"&amp;$A874&amp;"|"&amp;$F874&amp;"|"&amp;$R874&amp;"|"&amp;COUNTIFS($B$6:$B874,$B874,$A$6:$A874,$A874,$F$6:$F874,$F874,$R$6:$R874,$R874))</f>
        <v/>
      </c>
      <c r="U874" s="32">
        <f>IF($C874="","",$C874&amp;"|"&amp;COUNTIFS($C$6:$C874,$C874))</f>
        <v/>
      </c>
      <c r="V874" s="32">
        <f>IF(OR($C874="",$A874="",$S874=""),"",$C874&amp;"|"&amp;$A874&amp;"|"&amp;$S874)</f>
        <v/>
      </c>
      <c r="W874" s="32">
        <f>IF(OR($C874="",$S874="",$S874=1),"",IFERROR(INDEX($Q$6:$Q$1505,MATCH($C874&amp;"|"&amp;$A874&amp;"|"&amp;($S874-1),$V$6:$V$1505,0)),""))</f>
        <v/>
      </c>
      <c r="X874" s="32">
        <f>IF(OR($W874="",$Q874="",LEFT($Q874,1)="—"),"",IF($W874=$Q874,"ללא שינוי","מ-"&amp;$W874&amp;" ל-"&amp;$Q874))</f>
        <v/>
      </c>
    </row>
    <row r="875" ht="15.75" customHeight="1" s="58">
      <c r="A875" s="65" t="n"/>
      <c r="B875" s="65" t="n"/>
      <c r="C875" s="66" t="n"/>
      <c r="D875" s="66" t="n"/>
      <c r="E875" s="65" t="n"/>
      <c r="F875" s="65" t="n"/>
      <c r="G875" s="65" t="n"/>
      <c r="H875" s="65" t="n"/>
      <c r="I875" s="65" t="n"/>
      <c r="J875" s="65" t="n"/>
      <c r="K875" s="65" t="n"/>
      <c r="L875" s="65" t="n"/>
      <c r="M875" s="65" t="n"/>
      <c r="N875" s="65" t="n"/>
      <c r="O875" s="65" t="n"/>
      <c r="P875" s="65" t="n"/>
      <c r="Q875" s="32">
        <f>IF($C875="","",IF($J875="","— חסרים נתונים",IF($J875="טרם מפענח","פרופיל 5",IF($J875="קמץ/פתח/חטף-פתח ושוואים","פרופיל 4",IF($J875="2-3 סימני ניקוד","פרופיל 3",IF($J875="4-5 סימני ניקוד","פרופיל 2",IF(AND($O875="משפטים וקטעים קצרים",OR($M875="מבין",$M875="מבין לרוב")),"פרופיל 1","פרופיל 2")))))))</f>
        <v/>
      </c>
      <c r="R875" s="32">
        <f>IF($C875="","",IF(OR($Q875="",LEFT($Q875,1)="—"),"קבוצה רביעית",IF($Q875="פרופיל 5","קבוצת תשתיות",IF(OR($Q875="פרופיל 4",$Q875="פרופיל 3"),"קבוצת רכישה","קבוצת ביסוס"))))</f>
        <v/>
      </c>
      <c r="S875" s="32">
        <f>IF($F875="","",IF($F875="תחילת שנה",1,IF($F875="מחצית שנה",2,3)))</f>
        <v/>
      </c>
      <c r="T875" s="32">
        <f>IF(OR($B875="",$R875="",$A875="",$F875=""),"",$B875&amp;"|"&amp;$A875&amp;"|"&amp;$F875&amp;"|"&amp;$R875&amp;"|"&amp;COUNTIFS($B$6:$B875,$B875,$A$6:$A875,$A875,$F$6:$F875,$F875,$R$6:$R875,$R875))</f>
        <v/>
      </c>
      <c r="U875" s="32">
        <f>IF($C875="","",$C875&amp;"|"&amp;COUNTIFS($C$6:$C875,$C875))</f>
        <v/>
      </c>
      <c r="V875" s="32">
        <f>IF(OR($C875="",$A875="",$S875=""),"",$C875&amp;"|"&amp;$A875&amp;"|"&amp;$S875)</f>
        <v/>
      </c>
      <c r="W875" s="32">
        <f>IF(OR($C875="",$S875="",$S875=1),"",IFERROR(INDEX($Q$6:$Q$1505,MATCH($C875&amp;"|"&amp;$A875&amp;"|"&amp;($S875-1),$V$6:$V$1505,0)),""))</f>
        <v/>
      </c>
      <c r="X875" s="32">
        <f>IF(OR($W875="",$Q875="",LEFT($Q875,1)="—"),"",IF($W875=$Q875,"ללא שינוי","מ-"&amp;$W875&amp;" ל-"&amp;$Q875))</f>
        <v/>
      </c>
    </row>
    <row r="876" ht="15.75" customHeight="1" s="58">
      <c r="A876" s="65" t="n"/>
      <c r="B876" s="65" t="n"/>
      <c r="C876" s="66" t="n"/>
      <c r="D876" s="66" t="n"/>
      <c r="E876" s="65" t="n"/>
      <c r="F876" s="65" t="n"/>
      <c r="G876" s="65" t="n"/>
      <c r="H876" s="65" t="n"/>
      <c r="I876" s="65" t="n"/>
      <c r="J876" s="65" t="n"/>
      <c r="K876" s="65" t="n"/>
      <c r="L876" s="65" t="n"/>
      <c r="M876" s="65" t="n"/>
      <c r="N876" s="65" t="n"/>
      <c r="O876" s="65" t="n"/>
      <c r="P876" s="65" t="n"/>
      <c r="Q876" s="32">
        <f>IF($C876="","",IF($J876="","— חסרים נתונים",IF($J876="טרם מפענח","פרופיל 5",IF($J876="קמץ/פתח/חטף-פתח ושוואים","פרופיל 4",IF($J876="2-3 סימני ניקוד","פרופיל 3",IF($J876="4-5 סימני ניקוד","פרופיל 2",IF(AND($O876="משפטים וקטעים קצרים",OR($M876="מבין",$M876="מבין לרוב")),"פרופיל 1","פרופיל 2")))))))</f>
        <v/>
      </c>
      <c r="R876" s="32">
        <f>IF($C876="","",IF(OR($Q876="",LEFT($Q876,1)="—"),"קבוצה רביעית",IF($Q876="פרופיל 5","קבוצת תשתיות",IF(OR($Q876="פרופיל 4",$Q876="פרופיל 3"),"קבוצת רכישה","קבוצת ביסוס"))))</f>
        <v/>
      </c>
      <c r="S876" s="32">
        <f>IF($F876="","",IF($F876="תחילת שנה",1,IF($F876="מחצית שנה",2,3)))</f>
        <v/>
      </c>
      <c r="T876" s="32">
        <f>IF(OR($B876="",$R876="",$A876="",$F876=""),"",$B876&amp;"|"&amp;$A876&amp;"|"&amp;$F876&amp;"|"&amp;$R876&amp;"|"&amp;COUNTIFS($B$6:$B876,$B876,$A$6:$A876,$A876,$F$6:$F876,$F876,$R$6:$R876,$R876))</f>
        <v/>
      </c>
      <c r="U876" s="32">
        <f>IF($C876="","",$C876&amp;"|"&amp;COUNTIFS($C$6:$C876,$C876))</f>
        <v/>
      </c>
      <c r="V876" s="32">
        <f>IF(OR($C876="",$A876="",$S876=""),"",$C876&amp;"|"&amp;$A876&amp;"|"&amp;$S876)</f>
        <v/>
      </c>
      <c r="W876" s="32">
        <f>IF(OR($C876="",$S876="",$S876=1),"",IFERROR(INDEX($Q$6:$Q$1505,MATCH($C876&amp;"|"&amp;$A876&amp;"|"&amp;($S876-1),$V$6:$V$1505,0)),""))</f>
        <v/>
      </c>
      <c r="X876" s="32">
        <f>IF(OR($W876="",$Q876="",LEFT($Q876,1)="—"),"",IF($W876=$Q876,"ללא שינוי","מ-"&amp;$W876&amp;" ל-"&amp;$Q876))</f>
        <v/>
      </c>
    </row>
    <row r="877" ht="15.75" customHeight="1" s="58">
      <c r="A877" s="65" t="n"/>
      <c r="B877" s="65" t="n"/>
      <c r="C877" s="66" t="n"/>
      <c r="D877" s="66" t="n"/>
      <c r="E877" s="65" t="n"/>
      <c r="F877" s="65" t="n"/>
      <c r="G877" s="65" t="n"/>
      <c r="H877" s="65" t="n"/>
      <c r="I877" s="65" t="n"/>
      <c r="J877" s="65" t="n"/>
      <c r="K877" s="65" t="n"/>
      <c r="L877" s="65" t="n"/>
      <c r="M877" s="65" t="n"/>
      <c r="N877" s="65" t="n"/>
      <c r="O877" s="65" t="n"/>
      <c r="P877" s="65" t="n"/>
      <c r="Q877" s="32">
        <f>IF($C877="","",IF($J877="","— חסרים נתונים",IF($J877="טרם מפענח","פרופיל 5",IF($J877="קמץ/פתח/חטף-פתח ושוואים","פרופיל 4",IF($J877="2-3 סימני ניקוד","פרופיל 3",IF($J877="4-5 סימני ניקוד","פרופיל 2",IF(AND($O877="משפטים וקטעים קצרים",OR($M877="מבין",$M877="מבין לרוב")),"פרופיל 1","פרופיל 2")))))))</f>
        <v/>
      </c>
      <c r="R877" s="32">
        <f>IF($C877="","",IF(OR($Q877="",LEFT($Q877,1)="—"),"קבוצה רביעית",IF($Q877="פרופיל 5","קבוצת תשתיות",IF(OR($Q877="פרופיל 4",$Q877="פרופיל 3"),"קבוצת רכישה","קבוצת ביסוס"))))</f>
        <v/>
      </c>
      <c r="S877" s="32">
        <f>IF($F877="","",IF($F877="תחילת שנה",1,IF($F877="מחצית שנה",2,3)))</f>
        <v/>
      </c>
      <c r="T877" s="32">
        <f>IF(OR($B877="",$R877="",$A877="",$F877=""),"",$B877&amp;"|"&amp;$A877&amp;"|"&amp;$F877&amp;"|"&amp;$R877&amp;"|"&amp;COUNTIFS($B$6:$B877,$B877,$A$6:$A877,$A877,$F$6:$F877,$F877,$R$6:$R877,$R877))</f>
        <v/>
      </c>
      <c r="U877" s="32">
        <f>IF($C877="","",$C877&amp;"|"&amp;COUNTIFS($C$6:$C877,$C877))</f>
        <v/>
      </c>
      <c r="V877" s="32">
        <f>IF(OR($C877="",$A877="",$S877=""),"",$C877&amp;"|"&amp;$A877&amp;"|"&amp;$S877)</f>
        <v/>
      </c>
      <c r="W877" s="32">
        <f>IF(OR($C877="",$S877="",$S877=1),"",IFERROR(INDEX($Q$6:$Q$1505,MATCH($C877&amp;"|"&amp;$A877&amp;"|"&amp;($S877-1),$V$6:$V$1505,0)),""))</f>
        <v/>
      </c>
      <c r="X877" s="32">
        <f>IF(OR($W877="",$Q877="",LEFT($Q877,1)="—"),"",IF($W877=$Q877,"ללא שינוי","מ-"&amp;$W877&amp;" ל-"&amp;$Q877))</f>
        <v/>
      </c>
    </row>
    <row r="878" ht="15.75" customHeight="1" s="58">
      <c r="A878" s="65" t="n"/>
      <c r="B878" s="65" t="n"/>
      <c r="C878" s="66" t="n"/>
      <c r="D878" s="66" t="n"/>
      <c r="E878" s="65" t="n"/>
      <c r="F878" s="65" t="n"/>
      <c r="G878" s="65" t="n"/>
      <c r="H878" s="65" t="n"/>
      <c r="I878" s="65" t="n"/>
      <c r="J878" s="65" t="n"/>
      <c r="K878" s="65" t="n"/>
      <c r="L878" s="65" t="n"/>
      <c r="M878" s="65" t="n"/>
      <c r="N878" s="65" t="n"/>
      <c r="O878" s="65" t="n"/>
      <c r="P878" s="65" t="n"/>
      <c r="Q878" s="32">
        <f>IF($C878="","",IF($J878="","— חסרים נתונים",IF($J878="טרם מפענח","פרופיל 5",IF($J878="קמץ/פתח/חטף-פתח ושוואים","פרופיל 4",IF($J878="2-3 סימני ניקוד","פרופיל 3",IF($J878="4-5 סימני ניקוד","פרופיל 2",IF(AND($O878="משפטים וקטעים קצרים",OR($M878="מבין",$M878="מבין לרוב")),"פרופיל 1","פרופיל 2")))))))</f>
        <v/>
      </c>
      <c r="R878" s="32">
        <f>IF($C878="","",IF(OR($Q878="",LEFT($Q878,1)="—"),"קבוצה רביעית",IF($Q878="פרופיל 5","קבוצת תשתיות",IF(OR($Q878="פרופיל 4",$Q878="פרופיל 3"),"קבוצת רכישה","קבוצת ביסוס"))))</f>
        <v/>
      </c>
      <c r="S878" s="32">
        <f>IF($F878="","",IF($F878="תחילת שנה",1,IF($F878="מחצית שנה",2,3)))</f>
        <v/>
      </c>
      <c r="T878" s="32">
        <f>IF(OR($B878="",$R878="",$A878="",$F878=""),"",$B878&amp;"|"&amp;$A878&amp;"|"&amp;$F878&amp;"|"&amp;$R878&amp;"|"&amp;COUNTIFS($B$6:$B878,$B878,$A$6:$A878,$A878,$F$6:$F878,$F878,$R$6:$R878,$R878))</f>
        <v/>
      </c>
      <c r="U878" s="32">
        <f>IF($C878="","",$C878&amp;"|"&amp;COUNTIFS($C$6:$C878,$C878))</f>
        <v/>
      </c>
      <c r="V878" s="32">
        <f>IF(OR($C878="",$A878="",$S878=""),"",$C878&amp;"|"&amp;$A878&amp;"|"&amp;$S878)</f>
        <v/>
      </c>
      <c r="W878" s="32">
        <f>IF(OR($C878="",$S878="",$S878=1),"",IFERROR(INDEX($Q$6:$Q$1505,MATCH($C878&amp;"|"&amp;$A878&amp;"|"&amp;($S878-1),$V$6:$V$1505,0)),""))</f>
        <v/>
      </c>
      <c r="X878" s="32">
        <f>IF(OR($W878="",$Q878="",LEFT($Q878,1)="—"),"",IF($W878=$Q878,"ללא שינוי","מ-"&amp;$W878&amp;" ל-"&amp;$Q878))</f>
        <v/>
      </c>
    </row>
    <row r="879" ht="15.75" customHeight="1" s="58">
      <c r="A879" s="65" t="n"/>
      <c r="B879" s="65" t="n"/>
      <c r="C879" s="66" t="n"/>
      <c r="D879" s="66" t="n"/>
      <c r="E879" s="65" t="n"/>
      <c r="F879" s="65" t="n"/>
      <c r="G879" s="65" t="n"/>
      <c r="H879" s="65" t="n"/>
      <c r="I879" s="65" t="n"/>
      <c r="J879" s="65" t="n"/>
      <c r="K879" s="65" t="n"/>
      <c r="L879" s="65" t="n"/>
      <c r="M879" s="65" t="n"/>
      <c r="N879" s="65" t="n"/>
      <c r="O879" s="65" t="n"/>
      <c r="P879" s="65" t="n"/>
      <c r="Q879" s="32">
        <f>IF($C879="","",IF($J879="","— חסרים נתונים",IF($J879="טרם מפענח","פרופיל 5",IF($J879="קמץ/פתח/חטף-פתח ושוואים","פרופיל 4",IF($J879="2-3 סימני ניקוד","פרופיל 3",IF($J879="4-5 סימני ניקוד","פרופיל 2",IF(AND($O879="משפטים וקטעים קצרים",OR($M879="מבין",$M879="מבין לרוב")),"פרופיל 1","פרופיל 2")))))))</f>
        <v/>
      </c>
      <c r="R879" s="32">
        <f>IF($C879="","",IF(OR($Q879="",LEFT($Q879,1)="—"),"קבוצה רביעית",IF($Q879="פרופיל 5","קבוצת תשתיות",IF(OR($Q879="פרופיל 4",$Q879="פרופיל 3"),"קבוצת רכישה","קבוצת ביסוס"))))</f>
        <v/>
      </c>
      <c r="S879" s="32">
        <f>IF($F879="","",IF($F879="תחילת שנה",1,IF($F879="מחצית שנה",2,3)))</f>
        <v/>
      </c>
      <c r="T879" s="32">
        <f>IF(OR($B879="",$R879="",$A879="",$F879=""),"",$B879&amp;"|"&amp;$A879&amp;"|"&amp;$F879&amp;"|"&amp;$R879&amp;"|"&amp;COUNTIFS($B$6:$B879,$B879,$A$6:$A879,$A879,$F$6:$F879,$F879,$R$6:$R879,$R879))</f>
        <v/>
      </c>
      <c r="U879" s="32">
        <f>IF($C879="","",$C879&amp;"|"&amp;COUNTIFS($C$6:$C879,$C879))</f>
        <v/>
      </c>
      <c r="V879" s="32">
        <f>IF(OR($C879="",$A879="",$S879=""),"",$C879&amp;"|"&amp;$A879&amp;"|"&amp;$S879)</f>
        <v/>
      </c>
      <c r="W879" s="32">
        <f>IF(OR($C879="",$S879="",$S879=1),"",IFERROR(INDEX($Q$6:$Q$1505,MATCH($C879&amp;"|"&amp;$A879&amp;"|"&amp;($S879-1),$V$6:$V$1505,0)),""))</f>
        <v/>
      </c>
      <c r="X879" s="32">
        <f>IF(OR($W879="",$Q879="",LEFT($Q879,1)="—"),"",IF($W879=$Q879,"ללא שינוי","מ-"&amp;$W879&amp;" ל-"&amp;$Q879))</f>
        <v/>
      </c>
    </row>
    <row r="880" ht="15.75" customHeight="1" s="58">
      <c r="A880" s="65" t="n"/>
      <c r="B880" s="65" t="n"/>
      <c r="C880" s="66" t="n"/>
      <c r="D880" s="66" t="n"/>
      <c r="E880" s="65" t="n"/>
      <c r="F880" s="65" t="n"/>
      <c r="G880" s="65" t="n"/>
      <c r="H880" s="65" t="n"/>
      <c r="I880" s="65" t="n"/>
      <c r="J880" s="65" t="n"/>
      <c r="K880" s="65" t="n"/>
      <c r="L880" s="65" t="n"/>
      <c r="M880" s="65" t="n"/>
      <c r="N880" s="65" t="n"/>
      <c r="O880" s="65" t="n"/>
      <c r="P880" s="65" t="n"/>
      <c r="Q880" s="32">
        <f>IF($C880="","",IF($J880="","— חסרים נתונים",IF($J880="טרם מפענח","פרופיל 5",IF($J880="קמץ/פתח/חטף-פתח ושוואים","פרופיל 4",IF($J880="2-3 סימני ניקוד","פרופיל 3",IF($J880="4-5 סימני ניקוד","פרופיל 2",IF(AND($O880="משפטים וקטעים קצרים",OR($M880="מבין",$M880="מבין לרוב")),"פרופיל 1","פרופיל 2")))))))</f>
        <v/>
      </c>
      <c r="R880" s="32">
        <f>IF($C880="","",IF(OR($Q880="",LEFT($Q880,1)="—"),"קבוצה רביעית",IF($Q880="פרופיל 5","קבוצת תשתיות",IF(OR($Q880="פרופיל 4",$Q880="פרופיל 3"),"קבוצת רכישה","קבוצת ביסוס"))))</f>
        <v/>
      </c>
      <c r="S880" s="32">
        <f>IF($F880="","",IF($F880="תחילת שנה",1,IF($F880="מחצית שנה",2,3)))</f>
        <v/>
      </c>
      <c r="T880" s="32">
        <f>IF(OR($B880="",$R880="",$A880="",$F880=""),"",$B880&amp;"|"&amp;$A880&amp;"|"&amp;$F880&amp;"|"&amp;$R880&amp;"|"&amp;COUNTIFS($B$6:$B880,$B880,$A$6:$A880,$A880,$F$6:$F880,$F880,$R$6:$R880,$R880))</f>
        <v/>
      </c>
      <c r="U880" s="32">
        <f>IF($C880="","",$C880&amp;"|"&amp;COUNTIFS($C$6:$C880,$C880))</f>
        <v/>
      </c>
      <c r="V880" s="32">
        <f>IF(OR($C880="",$A880="",$S880=""),"",$C880&amp;"|"&amp;$A880&amp;"|"&amp;$S880)</f>
        <v/>
      </c>
      <c r="W880" s="32">
        <f>IF(OR($C880="",$S880="",$S880=1),"",IFERROR(INDEX($Q$6:$Q$1505,MATCH($C880&amp;"|"&amp;$A880&amp;"|"&amp;($S880-1),$V$6:$V$1505,0)),""))</f>
        <v/>
      </c>
      <c r="X880" s="32">
        <f>IF(OR($W880="",$Q880="",LEFT($Q880,1)="—"),"",IF($W880=$Q880,"ללא שינוי","מ-"&amp;$W880&amp;" ל-"&amp;$Q880))</f>
        <v/>
      </c>
    </row>
    <row r="881" ht="15.75" customHeight="1" s="58">
      <c r="A881" s="65" t="n"/>
      <c r="B881" s="65" t="n"/>
      <c r="C881" s="66" t="n"/>
      <c r="D881" s="66" t="n"/>
      <c r="E881" s="65" t="n"/>
      <c r="F881" s="65" t="n"/>
      <c r="G881" s="65" t="n"/>
      <c r="H881" s="65" t="n"/>
      <c r="I881" s="65" t="n"/>
      <c r="J881" s="65" t="n"/>
      <c r="K881" s="65" t="n"/>
      <c r="L881" s="65" t="n"/>
      <c r="M881" s="65" t="n"/>
      <c r="N881" s="65" t="n"/>
      <c r="O881" s="65" t="n"/>
      <c r="P881" s="65" t="n"/>
      <c r="Q881" s="32">
        <f>IF($C881="","",IF($J881="","— חסרים נתונים",IF($J881="טרם מפענח","פרופיל 5",IF($J881="קמץ/פתח/חטף-פתח ושוואים","פרופיל 4",IF($J881="2-3 סימני ניקוד","פרופיל 3",IF($J881="4-5 סימני ניקוד","פרופיל 2",IF(AND($O881="משפטים וקטעים קצרים",OR($M881="מבין",$M881="מבין לרוב")),"פרופיל 1","פרופיל 2")))))))</f>
        <v/>
      </c>
      <c r="R881" s="32">
        <f>IF($C881="","",IF(OR($Q881="",LEFT($Q881,1)="—"),"קבוצה רביעית",IF($Q881="פרופיל 5","קבוצת תשתיות",IF(OR($Q881="פרופיל 4",$Q881="פרופיל 3"),"קבוצת רכישה","קבוצת ביסוס"))))</f>
        <v/>
      </c>
      <c r="S881" s="32">
        <f>IF($F881="","",IF($F881="תחילת שנה",1,IF($F881="מחצית שנה",2,3)))</f>
        <v/>
      </c>
      <c r="T881" s="32">
        <f>IF(OR($B881="",$R881="",$A881="",$F881=""),"",$B881&amp;"|"&amp;$A881&amp;"|"&amp;$F881&amp;"|"&amp;$R881&amp;"|"&amp;COUNTIFS($B$6:$B881,$B881,$A$6:$A881,$A881,$F$6:$F881,$F881,$R$6:$R881,$R881))</f>
        <v/>
      </c>
      <c r="U881" s="32">
        <f>IF($C881="","",$C881&amp;"|"&amp;COUNTIFS($C$6:$C881,$C881))</f>
        <v/>
      </c>
      <c r="V881" s="32">
        <f>IF(OR($C881="",$A881="",$S881=""),"",$C881&amp;"|"&amp;$A881&amp;"|"&amp;$S881)</f>
        <v/>
      </c>
      <c r="W881" s="32">
        <f>IF(OR($C881="",$S881="",$S881=1),"",IFERROR(INDEX($Q$6:$Q$1505,MATCH($C881&amp;"|"&amp;$A881&amp;"|"&amp;($S881-1),$V$6:$V$1505,0)),""))</f>
        <v/>
      </c>
      <c r="X881" s="32">
        <f>IF(OR($W881="",$Q881="",LEFT($Q881,1)="—"),"",IF($W881=$Q881,"ללא שינוי","מ-"&amp;$W881&amp;" ל-"&amp;$Q881))</f>
        <v/>
      </c>
    </row>
    <row r="882" ht="15.75" customHeight="1" s="58">
      <c r="A882" s="65" t="n"/>
      <c r="B882" s="65" t="n"/>
      <c r="C882" s="66" t="n"/>
      <c r="D882" s="66" t="n"/>
      <c r="E882" s="65" t="n"/>
      <c r="F882" s="65" t="n"/>
      <c r="G882" s="65" t="n"/>
      <c r="H882" s="65" t="n"/>
      <c r="I882" s="65" t="n"/>
      <c r="J882" s="65" t="n"/>
      <c r="K882" s="65" t="n"/>
      <c r="L882" s="65" t="n"/>
      <c r="M882" s="65" t="n"/>
      <c r="N882" s="65" t="n"/>
      <c r="O882" s="65" t="n"/>
      <c r="P882" s="65" t="n"/>
      <c r="Q882" s="32">
        <f>IF($C882="","",IF($J882="","— חסרים נתונים",IF($J882="טרם מפענח","פרופיל 5",IF($J882="קמץ/פתח/חטף-פתח ושוואים","פרופיל 4",IF($J882="2-3 סימני ניקוד","פרופיל 3",IF($J882="4-5 סימני ניקוד","פרופיל 2",IF(AND($O882="משפטים וקטעים קצרים",OR($M882="מבין",$M882="מבין לרוב")),"פרופיל 1","פרופיל 2")))))))</f>
        <v/>
      </c>
      <c r="R882" s="32">
        <f>IF($C882="","",IF(OR($Q882="",LEFT($Q882,1)="—"),"קבוצה רביעית",IF($Q882="פרופיל 5","קבוצת תשתיות",IF(OR($Q882="פרופיל 4",$Q882="פרופיל 3"),"קבוצת רכישה","קבוצת ביסוס"))))</f>
        <v/>
      </c>
      <c r="S882" s="32">
        <f>IF($F882="","",IF($F882="תחילת שנה",1,IF($F882="מחצית שנה",2,3)))</f>
        <v/>
      </c>
      <c r="T882" s="32">
        <f>IF(OR($B882="",$R882="",$A882="",$F882=""),"",$B882&amp;"|"&amp;$A882&amp;"|"&amp;$F882&amp;"|"&amp;$R882&amp;"|"&amp;COUNTIFS($B$6:$B882,$B882,$A$6:$A882,$A882,$F$6:$F882,$F882,$R$6:$R882,$R882))</f>
        <v/>
      </c>
      <c r="U882" s="32">
        <f>IF($C882="","",$C882&amp;"|"&amp;COUNTIFS($C$6:$C882,$C882))</f>
        <v/>
      </c>
      <c r="V882" s="32">
        <f>IF(OR($C882="",$A882="",$S882=""),"",$C882&amp;"|"&amp;$A882&amp;"|"&amp;$S882)</f>
        <v/>
      </c>
      <c r="W882" s="32">
        <f>IF(OR($C882="",$S882="",$S882=1),"",IFERROR(INDEX($Q$6:$Q$1505,MATCH($C882&amp;"|"&amp;$A882&amp;"|"&amp;($S882-1),$V$6:$V$1505,0)),""))</f>
        <v/>
      </c>
      <c r="X882" s="32">
        <f>IF(OR($W882="",$Q882="",LEFT($Q882,1)="—"),"",IF($W882=$Q882,"ללא שינוי","מ-"&amp;$W882&amp;" ל-"&amp;$Q882))</f>
        <v/>
      </c>
    </row>
    <row r="883" ht="15.75" customHeight="1" s="58">
      <c r="A883" s="65" t="n"/>
      <c r="B883" s="65" t="n"/>
      <c r="C883" s="66" t="n"/>
      <c r="D883" s="66" t="n"/>
      <c r="E883" s="65" t="n"/>
      <c r="F883" s="65" t="n"/>
      <c r="G883" s="65" t="n"/>
      <c r="H883" s="65" t="n"/>
      <c r="I883" s="65" t="n"/>
      <c r="J883" s="65" t="n"/>
      <c r="K883" s="65" t="n"/>
      <c r="L883" s="65" t="n"/>
      <c r="M883" s="65" t="n"/>
      <c r="N883" s="65" t="n"/>
      <c r="O883" s="65" t="n"/>
      <c r="P883" s="65" t="n"/>
      <c r="Q883" s="32">
        <f>IF($C883="","",IF($J883="","— חסרים נתונים",IF($J883="טרם מפענח","פרופיל 5",IF($J883="קמץ/פתח/חטף-פתח ושוואים","פרופיל 4",IF($J883="2-3 סימני ניקוד","פרופיל 3",IF($J883="4-5 סימני ניקוד","פרופיל 2",IF(AND($O883="משפטים וקטעים קצרים",OR($M883="מבין",$M883="מבין לרוב")),"פרופיל 1","פרופיל 2")))))))</f>
        <v/>
      </c>
      <c r="R883" s="32">
        <f>IF($C883="","",IF(OR($Q883="",LEFT($Q883,1)="—"),"קבוצה רביעית",IF($Q883="פרופיל 5","קבוצת תשתיות",IF(OR($Q883="פרופיל 4",$Q883="פרופיל 3"),"קבוצת רכישה","קבוצת ביסוס"))))</f>
        <v/>
      </c>
      <c r="S883" s="32">
        <f>IF($F883="","",IF($F883="תחילת שנה",1,IF($F883="מחצית שנה",2,3)))</f>
        <v/>
      </c>
      <c r="T883" s="32">
        <f>IF(OR($B883="",$R883="",$A883="",$F883=""),"",$B883&amp;"|"&amp;$A883&amp;"|"&amp;$F883&amp;"|"&amp;$R883&amp;"|"&amp;COUNTIFS($B$6:$B883,$B883,$A$6:$A883,$A883,$F$6:$F883,$F883,$R$6:$R883,$R883))</f>
        <v/>
      </c>
      <c r="U883" s="32">
        <f>IF($C883="","",$C883&amp;"|"&amp;COUNTIFS($C$6:$C883,$C883))</f>
        <v/>
      </c>
      <c r="V883" s="32">
        <f>IF(OR($C883="",$A883="",$S883=""),"",$C883&amp;"|"&amp;$A883&amp;"|"&amp;$S883)</f>
        <v/>
      </c>
      <c r="W883" s="32">
        <f>IF(OR($C883="",$S883="",$S883=1),"",IFERROR(INDEX($Q$6:$Q$1505,MATCH($C883&amp;"|"&amp;$A883&amp;"|"&amp;($S883-1),$V$6:$V$1505,0)),""))</f>
        <v/>
      </c>
      <c r="X883" s="32">
        <f>IF(OR($W883="",$Q883="",LEFT($Q883,1)="—"),"",IF($W883=$Q883,"ללא שינוי","מ-"&amp;$W883&amp;" ל-"&amp;$Q883))</f>
        <v/>
      </c>
    </row>
    <row r="884" ht="15.75" customHeight="1" s="58">
      <c r="A884" s="65" t="n"/>
      <c r="B884" s="65" t="n"/>
      <c r="C884" s="66" t="n"/>
      <c r="D884" s="66" t="n"/>
      <c r="E884" s="65" t="n"/>
      <c r="F884" s="65" t="n"/>
      <c r="G884" s="65" t="n"/>
      <c r="H884" s="65" t="n"/>
      <c r="I884" s="65" t="n"/>
      <c r="J884" s="65" t="n"/>
      <c r="K884" s="65" t="n"/>
      <c r="L884" s="65" t="n"/>
      <c r="M884" s="65" t="n"/>
      <c r="N884" s="65" t="n"/>
      <c r="O884" s="65" t="n"/>
      <c r="P884" s="65" t="n"/>
      <c r="Q884" s="32">
        <f>IF($C884="","",IF($J884="","— חסרים נתונים",IF($J884="טרם מפענח","פרופיל 5",IF($J884="קמץ/פתח/חטף-פתח ושוואים","פרופיל 4",IF($J884="2-3 סימני ניקוד","פרופיל 3",IF($J884="4-5 סימני ניקוד","פרופיל 2",IF(AND($O884="משפטים וקטעים קצרים",OR($M884="מבין",$M884="מבין לרוב")),"פרופיל 1","פרופיל 2")))))))</f>
        <v/>
      </c>
      <c r="R884" s="32">
        <f>IF($C884="","",IF(OR($Q884="",LEFT($Q884,1)="—"),"קבוצה רביעית",IF($Q884="פרופיל 5","קבוצת תשתיות",IF(OR($Q884="פרופיל 4",$Q884="פרופיל 3"),"קבוצת רכישה","קבוצת ביסוס"))))</f>
        <v/>
      </c>
      <c r="S884" s="32">
        <f>IF($F884="","",IF($F884="תחילת שנה",1,IF($F884="מחצית שנה",2,3)))</f>
        <v/>
      </c>
      <c r="T884" s="32">
        <f>IF(OR($B884="",$R884="",$A884="",$F884=""),"",$B884&amp;"|"&amp;$A884&amp;"|"&amp;$F884&amp;"|"&amp;$R884&amp;"|"&amp;COUNTIFS($B$6:$B884,$B884,$A$6:$A884,$A884,$F$6:$F884,$F884,$R$6:$R884,$R884))</f>
        <v/>
      </c>
      <c r="U884" s="32">
        <f>IF($C884="","",$C884&amp;"|"&amp;COUNTIFS($C$6:$C884,$C884))</f>
        <v/>
      </c>
      <c r="V884" s="32">
        <f>IF(OR($C884="",$A884="",$S884=""),"",$C884&amp;"|"&amp;$A884&amp;"|"&amp;$S884)</f>
        <v/>
      </c>
      <c r="W884" s="32">
        <f>IF(OR($C884="",$S884="",$S884=1),"",IFERROR(INDEX($Q$6:$Q$1505,MATCH($C884&amp;"|"&amp;$A884&amp;"|"&amp;($S884-1),$V$6:$V$1505,0)),""))</f>
        <v/>
      </c>
      <c r="X884" s="32">
        <f>IF(OR($W884="",$Q884="",LEFT($Q884,1)="—"),"",IF($W884=$Q884,"ללא שינוי","מ-"&amp;$W884&amp;" ל-"&amp;$Q884))</f>
        <v/>
      </c>
    </row>
    <row r="885" ht="15.75" customHeight="1" s="58">
      <c r="A885" s="65" t="n"/>
      <c r="B885" s="65" t="n"/>
      <c r="C885" s="66" t="n"/>
      <c r="D885" s="66" t="n"/>
      <c r="E885" s="65" t="n"/>
      <c r="F885" s="65" t="n"/>
      <c r="G885" s="65" t="n"/>
      <c r="H885" s="65" t="n"/>
      <c r="I885" s="65" t="n"/>
      <c r="J885" s="65" t="n"/>
      <c r="K885" s="65" t="n"/>
      <c r="L885" s="65" t="n"/>
      <c r="M885" s="65" t="n"/>
      <c r="N885" s="65" t="n"/>
      <c r="O885" s="65" t="n"/>
      <c r="P885" s="65" t="n"/>
      <c r="Q885" s="32">
        <f>IF($C885="","",IF($J885="","— חסרים נתונים",IF($J885="טרם מפענח","פרופיל 5",IF($J885="קמץ/פתח/חטף-פתח ושוואים","פרופיל 4",IF($J885="2-3 סימני ניקוד","פרופיל 3",IF($J885="4-5 סימני ניקוד","פרופיל 2",IF(AND($O885="משפטים וקטעים קצרים",OR($M885="מבין",$M885="מבין לרוב")),"פרופיל 1","פרופיל 2")))))))</f>
        <v/>
      </c>
      <c r="R885" s="32">
        <f>IF($C885="","",IF(OR($Q885="",LEFT($Q885,1)="—"),"קבוצה רביעית",IF($Q885="פרופיל 5","קבוצת תשתיות",IF(OR($Q885="פרופיל 4",$Q885="פרופיל 3"),"קבוצת רכישה","קבוצת ביסוס"))))</f>
        <v/>
      </c>
      <c r="S885" s="32">
        <f>IF($F885="","",IF($F885="תחילת שנה",1,IF($F885="מחצית שנה",2,3)))</f>
        <v/>
      </c>
      <c r="T885" s="32">
        <f>IF(OR($B885="",$R885="",$A885="",$F885=""),"",$B885&amp;"|"&amp;$A885&amp;"|"&amp;$F885&amp;"|"&amp;$R885&amp;"|"&amp;COUNTIFS($B$6:$B885,$B885,$A$6:$A885,$A885,$F$6:$F885,$F885,$R$6:$R885,$R885))</f>
        <v/>
      </c>
      <c r="U885" s="32">
        <f>IF($C885="","",$C885&amp;"|"&amp;COUNTIFS($C$6:$C885,$C885))</f>
        <v/>
      </c>
      <c r="V885" s="32">
        <f>IF(OR($C885="",$A885="",$S885=""),"",$C885&amp;"|"&amp;$A885&amp;"|"&amp;$S885)</f>
        <v/>
      </c>
      <c r="W885" s="32">
        <f>IF(OR($C885="",$S885="",$S885=1),"",IFERROR(INDEX($Q$6:$Q$1505,MATCH($C885&amp;"|"&amp;$A885&amp;"|"&amp;($S885-1),$V$6:$V$1505,0)),""))</f>
        <v/>
      </c>
      <c r="X885" s="32">
        <f>IF(OR($W885="",$Q885="",LEFT($Q885,1)="—"),"",IF($W885=$Q885,"ללא שינוי","מ-"&amp;$W885&amp;" ל-"&amp;$Q885))</f>
        <v/>
      </c>
    </row>
    <row r="886" ht="15.75" customHeight="1" s="58">
      <c r="A886" s="65" t="n"/>
      <c r="B886" s="65" t="n"/>
      <c r="C886" s="66" t="n"/>
      <c r="D886" s="66" t="n"/>
      <c r="E886" s="65" t="n"/>
      <c r="F886" s="65" t="n"/>
      <c r="G886" s="65" t="n"/>
      <c r="H886" s="65" t="n"/>
      <c r="I886" s="65" t="n"/>
      <c r="J886" s="65" t="n"/>
      <c r="K886" s="65" t="n"/>
      <c r="L886" s="65" t="n"/>
      <c r="M886" s="65" t="n"/>
      <c r="N886" s="65" t="n"/>
      <c r="O886" s="65" t="n"/>
      <c r="P886" s="65" t="n"/>
      <c r="Q886" s="32">
        <f>IF($C886="","",IF($J886="","— חסרים נתונים",IF($J886="טרם מפענח","פרופיל 5",IF($J886="קמץ/פתח/חטף-פתח ושוואים","פרופיל 4",IF($J886="2-3 סימני ניקוד","פרופיל 3",IF($J886="4-5 סימני ניקוד","פרופיל 2",IF(AND($O886="משפטים וקטעים קצרים",OR($M886="מבין",$M886="מבין לרוב")),"פרופיל 1","פרופיל 2")))))))</f>
        <v/>
      </c>
      <c r="R886" s="32">
        <f>IF($C886="","",IF(OR($Q886="",LEFT($Q886,1)="—"),"קבוצה רביעית",IF($Q886="פרופיל 5","קבוצת תשתיות",IF(OR($Q886="פרופיל 4",$Q886="פרופיל 3"),"קבוצת רכישה","קבוצת ביסוס"))))</f>
        <v/>
      </c>
      <c r="S886" s="32">
        <f>IF($F886="","",IF($F886="תחילת שנה",1,IF($F886="מחצית שנה",2,3)))</f>
        <v/>
      </c>
      <c r="T886" s="32">
        <f>IF(OR($B886="",$R886="",$A886="",$F886=""),"",$B886&amp;"|"&amp;$A886&amp;"|"&amp;$F886&amp;"|"&amp;$R886&amp;"|"&amp;COUNTIFS($B$6:$B886,$B886,$A$6:$A886,$A886,$F$6:$F886,$F886,$R$6:$R886,$R886))</f>
        <v/>
      </c>
      <c r="U886" s="32">
        <f>IF($C886="","",$C886&amp;"|"&amp;COUNTIFS($C$6:$C886,$C886))</f>
        <v/>
      </c>
      <c r="V886" s="32">
        <f>IF(OR($C886="",$A886="",$S886=""),"",$C886&amp;"|"&amp;$A886&amp;"|"&amp;$S886)</f>
        <v/>
      </c>
      <c r="W886" s="32">
        <f>IF(OR($C886="",$S886="",$S886=1),"",IFERROR(INDEX($Q$6:$Q$1505,MATCH($C886&amp;"|"&amp;$A886&amp;"|"&amp;($S886-1),$V$6:$V$1505,0)),""))</f>
        <v/>
      </c>
      <c r="X886" s="32">
        <f>IF(OR($W886="",$Q886="",LEFT($Q886,1)="—"),"",IF($W886=$Q886,"ללא שינוי","מ-"&amp;$W886&amp;" ל-"&amp;$Q886))</f>
        <v/>
      </c>
    </row>
    <row r="887" ht="15.75" customHeight="1" s="58">
      <c r="A887" s="65" t="n"/>
      <c r="B887" s="65" t="n"/>
      <c r="C887" s="66" t="n"/>
      <c r="D887" s="66" t="n"/>
      <c r="E887" s="65" t="n"/>
      <c r="F887" s="65" t="n"/>
      <c r="G887" s="65" t="n"/>
      <c r="H887" s="65" t="n"/>
      <c r="I887" s="65" t="n"/>
      <c r="J887" s="65" t="n"/>
      <c r="K887" s="65" t="n"/>
      <c r="L887" s="65" t="n"/>
      <c r="M887" s="65" t="n"/>
      <c r="N887" s="65" t="n"/>
      <c r="O887" s="65" t="n"/>
      <c r="P887" s="65" t="n"/>
      <c r="Q887" s="32">
        <f>IF($C887="","",IF($J887="","— חסרים נתונים",IF($J887="טרם מפענח","פרופיל 5",IF($J887="קמץ/פתח/חטף-פתח ושוואים","פרופיל 4",IF($J887="2-3 סימני ניקוד","פרופיל 3",IF($J887="4-5 סימני ניקוד","פרופיל 2",IF(AND($O887="משפטים וקטעים קצרים",OR($M887="מבין",$M887="מבין לרוב")),"פרופיל 1","פרופיל 2")))))))</f>
        <v/>
      </c>
      <c r="R887" s="32">
        <f>IF($C887="","",IF(OR($Q887="",LEFT($Q887,1)="—"),"קבוצה רביעית",IF($Q887="פרופיל 5","קבוצת תשתיות",IF(OR($Q887="פרופיל 4",$Q887="פרופיל 3"),"קבוצת רכישה","קבוצת ביסוס"))))</f>
        <v/>
      </c>
      <c r="S887" s="32">
        <f>IF($F887="","",IF($F887="תחילת שנה",1,IF($F887="מחצית שנה",2,3)))</f>
        <v/>
      </c>
      <c r="T887" s="32">
        <f>IF(OR($B887="",$R887="",$A887="",$F887=""),"",$B887&amp;"|"&amp;$A887&amp;"|"&amp;$F887&amp;"|"&amp;$R887&amp;"|"&amp;COUNTIFS($B$6:$B887,$B887,$A$6:$A887,$A887,$F$6:$F887,$F887,$R$6:$R887,$R887))</f>
        <v/>
      </c>
      <c r="U887" s="32">
        <f>IF($C887="","",$C887&amp;"|"&amp;COUNTIFS($C$6:$C887,$C887))</f>
        <v/>
      </c>
      <c r="V887" s="32">
        <f>IF(OR($C887="",$A887="",$S887=""),"",$C887&amp;"|"&amp;$A887&amp;"|"&amp;$S887)</f>
        <v/>
      </c>
      <c r="W887" s="32">
        <f>IF(OR($C887="",$S887="",$S887=1),"",IFERROR(INDEX($Q$6:$Q$1505,MATCH($C887&amp;"|"&amp;$A887&amp;"|"&amp;($S887-1),$V$6:$V$1505,0)),""))</f>
        <v/>
      </c>
      <c r="X887" s="32">
        <f>IF(OR($W887="",$Q887="",LEFT($Q887,1)="—"),"",IF($W887=$Q887,"ללא שינוי","מ-"&amp;$W887&amp;" ל-"&amp;$Q887))</f>
        <v/>
      </c>
    </row>
    <row r="888" ht="15.75" customHeight="1" s="58">
      <c r="A888" s="65" t="n"/>
      <c r="B888" s="65" t="n"/>
      <c r="C888" s="66" t="n"/>
      <c r="D888" s="66" t="n"/>
      <c r="E888" s="65" t="n"/>
      <c r="F888" s="65" t="n"/>
      <c r="G888" s="65" t="n"/>
      <c r="H888" s="65" t="n"/>
      <c r="I888" s="65" t="n"/>
      <c r="J888" s="65" t="n"/>
      <c r="K888" s="65" t="n"/>
      <c r="L888" s="65" t="n"/>
      <c r="M888" s="65" t="n"/>
      <c r="N888" s="65" t="n"/>
      <c r="O888" s="65" t="n"/>
      <c r="P888" s="65" t="n"/>
      <c r="Q888" s="32">
        <f>IF($C888="","",IF($J888="","— חסרים נתונים",IF($J888="טרם מפענח","פרופיל 5",IF($J888="קמץ/פתח/חטף-פתח ושוואים","פרופיל 4",IF($J888="2-3 סימני ניקוד","פרופיל 3",IF($J888="4-5 סימני ניקוד","פרופיל 2",IF(AND($O888="משפטים וקטעים קצרים",OR($M888="מבין",$M888="מבין לרוב")),"פרופיל 1","פרופיל 2")))))))</f>
        <v/>
      </c>
      <c r="R888" s="32">
        <f>IF($C888="","",IF(OR($Q888="",LEFT($Q888,1)="—"),"קבוצה רביעית",IF($Q888="פרופיל 5","קבוצת תשתיות",IF(OR($Q888="פרופיל 4",$Q888="פרופיל 3"),"קבוצת רכישה","קבוצת ביסוס"))))</f>
        <v/>
      </c>
      <c r="S888" s="32">
        <f>IF($F888="","",IF($F888="תחילת שנה",1,IF($F888="מחצית שנה",2,3)))</f>
        <v/>
      </c>
      <c r="T888" s="32">
        <f>IF(OR($B888="",$R888="",$A888="",$F888=""),"",$B888&amp;"|"&amp;$A888&amp;"|"&amp;$F888&amp;"|"&amp;$R888&amp;"|"&amp;COUNTIFS($B$6:$B888,$B888,$A$6:$A888,$A888,$F$6:$F888,$F888,$R$6:$R888,$R888))</f>
        <v/>
      </c>
      <c r="U888" s="32">
        <f>IF($C888="","",$C888&amp;"|"&amp;COUNTIFS($C$6:$C888,$C888))</f>
        <v/>
      </c>
      <c r="V888" s="32">
        <f>IF(OR($C888="",$A888="",$S888=""),"",$C888&amp;"|"&amp;$A888&amp;"|"&amp;$S888)</f>
        <v/>
      </c>
      <c r="W888" s="32">
        <f>IF(OR($C888="",$S888="",$S888=1),"",IFERROR(INDEX($Q$6:$Q$1505,MATCH($C888&amp;"|"&amp;$A888&amp;"|"&amp;($S888-1),$V$6:$V$1505,0)),""))</f>
        <v/>
      </c>
      <c r="X888" s="32">
        <f>IF(OR($W888="",$Q888="",LEFT($Q888,1)="—"),"",IF($W888=$Q888,"ללא שינוי","מ-"&amp;$W888&amp;" ל-"&amp;$Q888))</f>
        <v/>
      </c>
    </row>
    <row r="889" ht="15.75" customHeight="1" s="58">
      <c r="A889" s="65" t="n"/>
      <c r="B889" s="65" t="n"/>
      <c r="C889" s="66" t="n"/>
      <c r="D889" s="66" t="n"/>
      <c r="E889" s="65" t="n"/>
      <c r="F889" s="65" t="n"/>
      <c r="G889" s="65" t="n"/>
      <c r="H889" s="65" t="n"/>
      <c r="I889" s="65" t="n"/>
      <c r="J889" s="65" t="n"/>
      <c r="K889" s="65" t="n"/>
      <c r="L889" s="65" t="n"/>
      <c r="M889" s="65" t="n"/>
      <c r="N889" s="65" t="n"/>
      <c r="O889" s="65" t="n"/>
      <c r="P889" s="65" t="n"/>
      <c r="Q889" s="32">
        <f>IF($C889="","",IF($J889="","— חסרים נתונים",IF($J889="טרם מפענח","פרופיל 5",IF($J889="קמץ/פתח/חטף-פתח ושוואים","פרופיל 4",IF($J889="2-3 סימני ניקוד","פרופיל 3",IF($J889="4-5 סימני ניקוד","פרופיל 2",IF(AND($O889="משפטים וקטעים קצרים",OR($M889="מבין",$M889="מבין לרוב")),"פרופיל 1","פרופיל 2")))))))</f>
        <v/>
      </c>
      <c r="R889" s="32">
        <f>IF($C889="","",IF(OR($Q889="",LEFT($Q889,1)="—"),"קבוצה רביעית",IF($Q889="פרופיל 5","קבוצת תשתיות",IF(OR($Q889="פרופיל 4",$Q889="פרופיל 3"),"קבוצת רכישה","קבוצת ביסוס"))))</f>
        <v/>
      </c>
      <c r="S889" s="32">
        <f>IF($F889="","",IF($F889="תחילת שנה",1,IF($F889="מחצית שנה",2,3)))</f>
        <v/>
      </c>
      <c r="T889" s="32">
        <f>IF(OR($B889="",$R889="",$A889="",$F889=""),"",$B889&amp;"|"&amp;$A889&amp;"|"&amp;$F889&amp;"|"&amp;$R889&amp;"|"&amp;COUNTIFS($B$6:$B889,$B889,$A$6:$A889,$A889,$F$6:$F889,$F889,$R$6:$R889,$R889))</f>
        <v/>
      </c>
      <c r="U889" s="32">
        <f>IF($C889="","",$C889&amp;"|"&amp;COUNTIFS($C$6:$C889,$C889))</f>
        <v/>
      </c>
      <c r="V889" s="32">
        <f>IF(OR($C889="",$A889="",$S889=""),"",$C889&amp;"|"&amp;$A889&amp;"|"&amp;$S889)</f>
        <v/>
      </c>
      <c r="W889" s="32">
        <f>IF(OR($C889="",$S889="",$S889=1),"",IFERROR(INDEX($Q$6:$Q$1505,MATCH($C889&amp;"|"&amp;$A889&amp;"|"&amp;($S889-1),$V$6:$V$1505,0)),""))</f>
        <v/>
      </c>
      <c r="X889" s="32">
        <f>IF(OR($W889="",$Q889="",LEFT($Q889,1)="—"),"",IF($W889=$Q889,"ללא שינוי","מ-"&amp;$W889&amp;" ל-"&amp;$Q889))</f>
        <v/>
      </c>
    </row>
    <row r="890" ht="15.75" customHeight="1" s="58">
      <c r="A890" s="65" t="n"/>
      <c r="B890" s="65" t="n"/>
      <c r="C890" s="66" t="n"/>
      <c r="D890" s="66" t="n"/>
      <c r="E890" s="65" t="n"/>
      <c r="F890" s="65" t="n"/>
      <c r="G890" s="65" t="n"/>
      <c r="H890" s="65" t="n"/>
      <c r="I890" s="65" t="n"/>
      <c r="J890" s="65" t="n"/>
      <c r="K890" s="65" t="n"/>
      <c r="L890" s="65" t="n"/>
      <c r="M890" s="65" t="n"/>
      <c r="N890" s="65" t="n"/>
      <c r="O890" s="65" t="n"/>
      <c r="P890" s="65" t="n"/>
      <c r="Q890" s="32">
        <f>IF($C890="","",IF($J890="","— חסרים נתונים",IF($J890="טרם מפענח","פרופיל 5",IF($J890="קמץ/פתח/חטף-פתח ושוואים","פרופיל 4",IF($J890="2-3 סימני ניקוד","פרופיל 3",IF($J890="4-5 סימני ניקוד","פרופיל 2",IF(AND($O890="משפטים וקטעים קצרים",OR($M890="מבין",$M890="מבין לרוב")),"פרופיל 1","פרופיל 2")))))))</f>
        <v/>
      </c>
      <c r="R890" s="32">
        <f>IF($C890="","",IF(OR($Q890="",LEFT($Q890,1)="—"),"קבוצה רביעית",IF($Q890="פרופיל 5","קבוצת תשתיות",IF(OR($Q890="פרופיל 4",$Q890="פרופיל 3"),"קבוצת רכישה","קבוצת ביסוס"))))</f>
        <v/>
      </c>
      <c r="S890" s="32">
        <f>IF($F890="","",IF($F890="תחילת שנה",1,IF($F890="מחצית שנה",2,3)))</f>
        <v/>
      </c>
      <c r="T890" s="32">
        <f>IF(OR($B890="",$R890="",$A890="",$F890=""),"",$B890&amp;"|"&amp;$A890&amp;"|"&amp;$F890&amp;"|"&amp;$R890&amp;"|"&amp;COUNTIFS($B$6:$B890,$B890,$A$6:$A890,$A890,$F$6:$F890,$F890,$R$6:$R890,$R890))</f>
        <v/>
      </c>
      <c r="U890" s="32">
        <f>IF($C890="","",$C890&amp;"|"&amp;COUNTIFS($C$6:$C890,$C890))</f>
        <v/>
      </c>
      <c r="V890" s="32">
        <f>IF(OR($C890="",$A890="",$S890=""),"",$C890&amp;"|"&amp;$A890&amp;"|"&amp;$S890)</f>
        <v/>
      </c>
      <c r="W890" s="32">
        <f>IF(OR($C890="",$S890="",$S890=1),"",IFERROR(INDEX($Q$6:$Q$1505,MATCH($C890&amp;"|"&amp;$A890&amp;"|"&amp;($S890-1),$V$6:$V$1505,0)),""))</f>
        <v/>
      </c>
      <c r="X890" s="32">
        <f>IF(OR($W890="",$Q890="",LEFT($Q890,1)="—"),"",IF($W890=$Q890,"ללא שינוי","מ-"&amp;$W890&amp;" ל-"&amp;$Q890))</f>
        <v/>
      </c>
    </row>
    <row r="891" ht="15.75" customHeight="1" s="58">
      <c r="A891" s="65" t="n"/>
      <c r="B891" s="65" t="n"/>
      <c r="C891" s="66" t="n"/>
      <c r="D891" s="66" t="n"/>
      <c r="E891" s="65" t="n"/>
      <c r="F891" s="65" t="n"/>
      <c r="G891" s="65" t="n"/>
      <c r="H891" s="65" t="n"/>
      <c r="I891" s="65" t="n"/>
      <c r="J891" s="65" t="n"/>
      <c r="K891" s="65" t="n"/>
      <c r="L891" s="65" t="n"/>
      <c r="M891" s="65" t="n"/>
      <c r="N891" s="65" t="n"/>
      <c r="O891" s="65" t="n"/>
      <c r="P891" s="65" t="n"/>
      <c r="Q891" s="32">
        <f>IF($C891="","",IF($J891="","— חסרים נתונים",IF($J891="טרם מפענח","פרופיל 5",IF($J891="קמץ/פתח/חטף-פתח ושוואים","פרופיל 4",IF($J891="2-3 סימני ניקוד","פרופיל 3",IF($J891="4-5 סימני ניקוד","פרופיל 2",IF(AND($O891="משפטים וקטעים קצרים",OR($M891="מבין",$M891="מבין לרוב")),"פרופיל 1","פרופיל 2")))))))</f>
        <v/>
      </c>
      <c r="R891" s="32">
        <f>IF($C891="","",IF(OR($Q891="",LEFT($Q891,1)="—"),"קבוצה רביעית",IF($Q891="פרופיל 5","קבוצת תשתיות",IF(OR($Q891="פרופיל 4",$Q891="פרופיל 3"),"קבוצת רכישה","קבוצת ביסוס"))))</f>
        <v/>
      </c>
      <c r="S891" s="32">
        <f>IF($F891="","",IF($F891="תחילת שנה",1,IF($F891="מחצית שנה",2,3)))</f>
        <v/>
      </c>
      <c r="T891" s="32">
        <f>IF(OR($B891="",$R891="",$A891="",$F891=""),"",$B891&amp;"|"&amp;$A891&amp;"|"&amp;$F891&amp;"|"&amp;$R891&amp;"|"&amp;COUNTIFS($B$6:$B891,$B891,$A$6:$A891,$A891,$F$6:$F891,$F891,$R$6:$R891,$R891))</f>
        <v/>
      </c>
      <c r="U891" s="32">
        <f>IF($C891="","",$C891&amp;"|"&amp;COUNTIFS($C$6:$C891,$C891))</f>
        <v/>
      </c>
      <c r="V891" s="32">
        <f>IF(OR($C891="",$A891="",$S891=""),"",$C891&amp;"|"&amp;$A891&amp;"|"&amp;$S891)</f>
        <v/>
      </c>
      <c r="W891" s="32">
        <f>IF(OR($C891="",$S891="",$S891=1),"",IFERROR(INDEX($Q$6:$Q$1505,MATCH($C891&amp;"|"&amp;$A891&amp;"|"&amp;($S891-1),$V$6:$V$1505,0)),""))</f>
        <v/>
      </c>
      <c r="X891" s="32">
        <f>IF(OR($W891="",$Q891="",LEFT($Q891,1)="—"),"",IF($W891=$Q891,"ללא שינוי","מ-"&amp;$W891&amp;" ל-"&amp;$Q891))</f>
        <v/>
      </c>
    </row>
    <row r="892" ht="15.75" customHeight="1" s="58">
      <c r="A892" s="65" t="n"/>
      <c r="B892" s="65" t="n"/>
      <c r="C892" s="66" t="n"/>
      <c r="D892" s="66" t="n"/>
      <c r="E892" s="65" t="n"/>
      <c r="F892" s="65" t="n"/>
      <c r="G892" s="65" t="n"/>
      <c r="H892" s="65" t="n"/>
      <c r="I892" s="65" t="n"/>
      <c r="J892" s="65" t="n"/>
      <c r="K892" s="65" t="n"/>
      <c r="L892" s="65" t="n"/>
      <c r="M892" s="65" t="n"/>
      <c r="N892" s="65" t="n"/>
      <c r="O892" s="65" t="n"/>
      <c r="P892" s="65" t="n"/>
      <c r="Q892" s="32">
        <f>IF($C892="","",IF($J892="","— חסרים נתונים",IF($J892="טרם מפענח","פרופיל 5",IF($J892="קמץ/פתח/חטף-פתח ושוואים","פרופיל 4",IF($J892="2-3 סימני ניקוד","פרופיל 3",IF($J892="4-5 סימני ניקוד","פרופיל 2",IF(AND($O892="משפטים וקטעים קצרים",OR($M892="מבין",$M892="מבין לרוב")),"פרופיל 1","פרופיל 2")))))))</f>
        <v/>
      </c>
      <c r="R892" s="32">
        <f>IF($C892="","",IF(OR($Q892="",LEFT($Q892,1)="—"),"קבוצה רביעית",IF($Q892="פרופיל 5","קבוצת תשתיות",IF(OR($Q892="פרופיל 4",$Q892="פרופיל 3"),"קבוצת רכישה","קבוצת ביסוס"))))</f>
        <v/>
      </c>
      <c r="S892" s="32">
        <f>IF($F892="","",IF($F892="תחילת שנה",1,IF($F892="מחצית שנה",2,3)))</f>
        <v/>
      </c>
      <c r="T892" s="32">
        <f>IF(OR($B892="",$R892="",$A892="",$F892=""),"",$B892&amp;"|"&amp;$A892&amp;"|"&amp;$F892&amp;"|"&amp;$R892&amp;"|"&amp;COUNTIFS($B$6:$B892,$B892,$A$6:$A892,$A892,$F$6:$F892,$F892,$R$6:$R892,$R892))</f>
        <v/>
      </c>
      <c r="U892" s="32">
        <f>IF($C892="","",$C892&amp;"|"&amp;COUNTIFS($C$6:$C892,$C892))</f>
        <v/>
      </c>
      <c r="V892" s="32">
        <f>IF(OR($C892="",$A892="",$S892=""),"",$C892&amp;"|"&amp;$A892&amp;"|"&amp;$S892)</f>
        <v/>
      </c>
      <c r="W892" s="32">
        <f>IF(OR($C892="",$S892="",$S892=1),"",IFERROR(INDEX($Q$6:$Q$1505,MATCH($C892&amp;"|"&amp;$A892&amp;"|"&amp;($S892-1),$V$6:$V$1505,0)),""))</f>
        <v/>
      </c>
      <c r="X892" s="32">
        <f>IF(OR($W892="",$Q892="",LEFT($Q892,1)="—"),"",IF($W892=$Q892,"ללא שינוי","מ-"&amp;$W892&amp;" ל-"&amp;$Q892))</f>
        <v/>
      </c>
    </row>
    <row r="893" ht="15.75" customHeight="1" s="58">
      <c r="A893" s="65" t="n"/>
      <c r="B893" s="65" t="n"/>
      <c r="C893" s="66" t="n"/>
      <c r="D893" s="66" t="n"/>
      <c r="E893" s="65" t="n"/>
      <c r="F893" s="65" t="n"/>
      <c r="G893" s="65" t="n"/>
      <c r="H893" s="65" t="n"/>
      <c r="I893" s="65" t="n"/>
      <c r="J893" s="65" t="n"/>
      <c r="K893" s="65" t="n"/>
      <c r="L893" s="65" t="n"/>
      <c r="M893" s="65" t="n"/>
      <c r="N893" s="65" t="n"/>
      <c r="O893" s="65" t="n"/>
      <c r="P893" s="65" t="n"/>
      <c r="Q893" s="32">
        <f>IF($C893="","",IF($J893="","— חסרים נתונים",IF($J893="טרם מפענח","פרופיל 5",IF($J893="קמץ/פתח/חטף-פתח ושוואים","פרופיל 4",IF($J893="2-3 סימני ניקוד","פרופיל 3",IF($J893="4-5 סימני ניקוד","פרופיל 2",IF(AND($O893="משפטים וקטעים קצרים",OR($M893="מבין",$M893="מבין לרוב")),"פרופיל 1","פרופיל 2")))))))</f>
        <v/>
      </c>
      <c r="R893" s="32">
        <f>IF($C893="","",IF(OR($Q893="",LEFT($Q893,1)="—"),"קבוצה רביעית",IF($Q893="פרופיל 5","קבוצת תשתיות",IF(OR($Q893="פרופיל 4",$Q893="פרופיל 3"),"קבוצת רכישה","קבוצת ביסוס"))))</f>
        <v/>
      </c>
      <c r="S893" s="32">
        <f>IF($F893="","",IF($F893="תחילת שנה",1,IF($F893="מחצית שנה",2,3)))</f>
        <v/>
      </c>
      <c r="T893" s="32">
        <f>IF(OR($B893="",$R893="",$A893="",$F893=""),"",$B893&amp;"|"&amp;$A893&amp;"|"&amp;$F893&amp;"|"&amp;$R893&amp;"|"&amp;COUNTIFS($B$6:$B893,$B893,$A$6:$A893,$A893,$F$6:$F893,$F893,$R$6:$R893,$R893))</f>
        <v/>
      </c>
      <c r="U893" s="32">
        <f>IF($C893="","",$C893&amp;"|"&amp;COUNTIFS($C$6:$C893,$C893))</f>
        <v/>
      </c>
      <c r="V893" s="32">
        <f>IF(OR($C893="",$A893="",$S893=""),"",$C893&amp;"|"&amp;$A893&amp;"|"&amp;$S893)</f>
        <v/>
      </c>
      <c r="W893" s="32">
        <f>IF(OR($C893="",$S893="",$S893=1),"",IFERROR(INDEX($Q$6:$Q$1505,MATCH($C893&amp;"|"&amp;$A893&amp;"|"&amp;($S893-1),$V$6:$V$1505,0)),""))</f>
        <v/>
      </c>
      <c r="X893" s="32">
        <f>IF(OR($W893="",$Q893="",LEFT($Q893,1)="—"),"",IF($W893=$Q893,"ללא שינוי","מ-"&amp;$W893&amp;" ל-"&amp;$Q893))</f>
        <v/>
      </c>
    </row>
    <row r="894" ht="15.75" customHeight="1" s="58">
      <c r="A894" s="65" t="n"/>
      <c r="B894" s="65" t="n"/>
      <c r="C894" s="66" t="n"/>
      <c r="D894" s="66" t="n"/>
      <c r="E894" s="65" t="n"/>
      <c r="F894" s="65" t="n"/>
      <c r="G894" s="65" t="n"/>
      <c r="H894" s="65" t="n"/>
      <c r="I894" s="65" t="n"/>
      <c r="J894" s="65" t="n"/>
      <c r="K894" s="65" t="n"/>
      <c r="L894" s="65" t="n"/>
      <c r="M894" s="65" t="n"/>
      <c r="N894" s="65" t="n"/>
      <c r="O894" s="65" t="n"/>
      <c r="P894" s="65" t="n"/>
      <c r="Q894" s="32">
        <f>IF($C894="","",IF($J894="","— חסרים נתונים",IF($J894="טרם מפענח","פרופיל 5",IF($J894="קמץ/פתח/חטף-פתח ושוואים","פרופיל 4",IF($J894="2-3 סימני ניקוד","פרופיל 3",IF($J894="4-5 סימני ניקוד","פרופיל 2",IF(AND($O894="משפטים וקטעים קצרים",OR($M894="מבין",$M894="מבין לרוב")),"פרופיל 1","פרופיל 2")))))))</f>
        <v/>
      </c>
      <c r="R894" s="32">
        <f>IF($C894="","",IF(OR($Q894="",LEFT($Q894,1)="—"),"קבוצה רביעית",IF($Q894="פרופיל 5","קבוצת תשתיות",IF(OR($Q894="פרופיל 4",$Q894="פרופיל 3"),"קבוצת רכישה","קבוצת ביסוס"))))</f>
        <v/>
      </c>
      <c r="S894" s="32">
        <f>IF($F894="","",IF($F894="תחילת שנה",1,IF($F894="מחצית שנה",2,3)))</f>
        <v/>
      </c>
      <c r="T894" s="32">
        <f>IF(OR($B894="",$R894="",$A894="",$F894=""),"",$B894&amp;"|"&amp;$A894&amp;"|"&amp;$F894&amp;"|"&amp;$R894&amp;"|"&amp;COUNTIFS($B$6:$B894,$B894,$A$6:$A894,$A894,$F$6:$F894,$F894,$R$6:$R894,$R894))</f>
        <v/>
      </c>
      <c r="U894" s="32">
        <f>IF($C894="","",$C894&amp;"|"&amp;COUNTIFS($C$6:$C894,$C894))</f>
        <v/>
      </c>
      <c r="V894" s="32">
        <f>IF(OR($C894="",$A894="",$S894=""),"",$C894&amp;"|"&amp;$A894&amp;"|"&amp;$S894)</f>
        <v/>
      </c>
      <c r="W894" s="32">
        <f>IF(OR($C894="",$S894="",$S894=1),"",IFERROR(INDEX($Q$6:$Q$1505,MATCH($C894&amp;"|"&amp;$A894&amp;"|"&amp;($S894-1),$V$6:$V$1505,0)),""))</f>
        <v/>
      </c>
      <c r="X894" s="32">
        <f>IF(OR($W894="",$Q894="",LEFT($Q894,1)="—"),"",IF($W894=$Q894,"ללא שינוי","מ-"&amp;$W894&amp;" ל-"&amp;$Q894))</f>
        <v/>
      </c>
    </row>
    <row r="895" ht="15.75" customHeight="1" s="58">
      <c r="A895" s="65" t="n"/>
      <c r="B895" s="65" t="n"/>
      <c r="C895" s="66" t="n"/>
      <c r="D895" s="66" t="n"/>
      <c r="E895" s="65" t="n"/>
      <c r="F895" s="65" t="n"/>
      <c r="G895" s="65" t="n"/>
      <c r="H895" s="65" t="n"/>
      <c r="I895" s="65" t="n"/>
      <c r="J895" s="65" t="n"/>
      <c r="K895" s="65" t="n"/>
      <c r="L895" s="65" t="n"/>
      <c r="M895" s="65" t="n"/>
      <c r="N895" s="65" t="n"/>
      <c r="O895" s="65" t="n"/>
      <c r="P895" s="65" t="n"/>
      <c r="Q895" s="32">
        <f>IF($C895="","",IF($J895="","— חסרים נתונים",IF($J895="טרם מפענח","פרופיל 5",IF($J895="קמץ/פתח/חטף-פתח ושוואים","פרופיל 4",IF($J895="2-3 סימני ניקוד","פרופיל 3",IF($J895="4-5 סימני ניקוד","פרופיל 2",IF(AND($O895="משפטים וקטעים קצרים",OR($M895="מבין",$M895="מבין לרוב")),"פרופיל 1","פרופיל 2")))))))</f>
        <v/>
      </c>
      <c r="R895" s="32">
        <f>IF($C895="","",IF(OR($Q895="",LEFT($Q895,1)="—"),"קבוצה רביעית",IF($Q895="פרופיל 5","קבוצת תשתיות",IF(OR($Q895="פרופיל 4",$Q895="פרופיל 3"),"קבוצת רכישה","קבוצת ביסוס"))))</f>
        <v/>
      </c>
      <c r="S895" s="32">
        <f>IF($F895="","",IF($F895="תחילת שנה",1,IF($F895="מחצית שנה",2,3)))</f>
        <v/>
      </c>
      <c r="T895" s="32">
        <f>IF(OR($B895="",$R895="",$A895="",$F895=""),"",$B895&amp;"|"&amp;$A895&amp;"|"&amp;$F895&amp;"|"&amp;$R895&amp;"|"&amp;COUNTIFS($B$6:$B895,$B895,$A$6:$A895,$A895,$F$6:$F895,$F895,$R$6:$R895,$R895))</f>
        <v/>
      </c>
      <c r="U895" s="32">
        <f>IF($C895="","",$C895&amp;"|"&amp;COUNTIFS($C$6:$C895,$C895))</f>
        <v/>
      </c>
      <c r="V895" s="32">
        <f>IF(OR($C895="",$A895="",$S895=""),"",$C895&amp;"|"&amp;$A895&amp;"|"&amp;$S895)</f>
        <v/>
      </c>
      <c r="W895" s="32">
        <f>IF(OR($C895="",$S895="",$S895=1),"",IFERROR(INDEX($Q$6:$Q$1505,MATCH($C895&amp;"|"&amp;$A895&amp;"|"&amp;($S895-1),$V$6:$V$1505,0)),""))</f>
        <v/>
      </c>
      <c r="X895" s="32">
        <f>IF(OR($W895="",$Q895="",LEFT($Q895,1)="—"),"",IF($W895=$Q895,"ללא שינוי","מ-"&amp;$W895&amp;" ל-"&amp;$Q895))</f>
        <v/>
      </c>
    </row>
    <row r="896" ht="15.75" customHeight="1" s="58">
      <c r="A896" s="65" t="n"/>
      <c r="B896" s="65" t="n"/>
      <c r="C896" s="66" t="n"/>
      <c r="D896" s="66" t="n"/>
      <c r="E896" s="65" t="n"/>
      <c r="F896" s="65" t="n"/>
      <c r="G896" s="65" t="n"/>
      <c r="H896" s="65" t="n"/>
      <c r="I896" s="65" t="n"/>
      <c r="J896" s="65" t="n"/>
      <c r="K896" s="65" t="n"/>
      <c r="L896" s="65" t="n"/>
      <c r="M896" s="65" t="n"/>
      <c r="N896" s="65" t="n"/>
      <c r="O896" s="65" t="n"/>
      <c r="P896" s="65" t="n"/>
      <c r="Q896" s="32">
        <f>IF($C896="","",IF($J896="","— חסרים נתונים",IF($J896="טרם מפענח","פרופיל 5",IF($J896="קמץ/פתח/חטף-פתח ושוואים","פרופיל 4",IF($J896="2-3 סימני ניקוד","פרופיל 3",IF($J896="4-5 סימני ניקוד","פרופיל 2",IF(AND($O896="משפטים וקטעים קצרים",OR($M896="מבין",$M896="מבין לרוב")),"פרופיל 1","פרופיל 2")))))))</f>
        <v/>
      </c>
      <c r="R896" s="32">
        <f>IF($C896="","",IF(OR($Q896="",LEFT($Q896,1)="—"),"קבוצה רביעית",IF($Q896="פרופיל 5","קבוצת תשתיות",IF(OR($Q896="פרופיל 4",$Q896="פרופיל 3"),"קבוצת רכישה","קבוצת ביסוס"))))</f>
        <v/>
      </c>
      <c r="S896" s="32">
        <f>IF($F896="","",IF($F896="תחילת שנה",1,IF($F896="מחצית שנה",2,3)))</f>
        <v/>
      </c>
      <c r="T896" s="32">
        <f>IF(OR($B896="",$R896="",$A896="",$F896=""),"",$B896&amp;"|"&amp;$A896&amp;"|"&amp;$F896&amp;"|"&amp;$R896&amp;"|"&amp;COUNTIFS($B$6:$B896,$B896,$A$6:$A896,$A896,$F$6:$F896,$F896,$R$6:$R896,$R896))</f>
        <v/>
      </c>
      <c r="U896" s="32">
        <f>IF($C896="","",$C896&amp;"|"&amp;COUNTIFS($C$6:$C896,$C896))</f>
        <v/>
      </c>
      <c r="V896" s="32">
        <f>IF(OR($C896="",$A896="",$S896=""),"",$C896&amp;"|"&amp;$A896&amp;"|"&amp;$S896)</f>
        <v/>
      </c>
      <c r="W896" s="32">
        <f>IF(OR($C896="",$S896="",$S896=1),"",IFERROR(INDEX($Q$6:$Q$1505,MATCH($C896&amp;"|"&amp;$A896&amp;"|"&amp;($S896-1),$V$6:$V$1505,0)),""))</f>
        <v/>
      </c>
      <c r="X896" s="32">
        <f>IF(OR($W896="",$Q896="",LEFT($Q896,1)="—"),"",IF($W896=$Q896,"ללא שינוי","מ-"&amp;$W896&amp;" ל-"&amp;$Q896))</f>
        <v/>
      </c>
    </row>
    <row r="897" ht="15.75" customHeight="1" s="58">
      <c r="A897" s="65" t="n"/>
      <c r="B897" s="65" t="n"/>
      <c r="C897" s="66" t="n"/>
      <c r="D897" s="66" t="n"/>
      <c r="E897" s="65" t="n"/>
      <c r="F897" s="65" t="n"/>
      <c r="G897" s="65" t="n"/>
      <c r="H897" s="65" t="n"/>
      <c r="I897" s="65" t="n"/>
      <c r="J897" s="65" t="n"/>
      <c r="K897" s="65" t="n"/>
      <c r="L897" s="65" t="n"/>
      <c r="M897" s="65" t="n"/>
      <c r="N897" s="65" t="n"/>
      <c r="O897" s="65" t="n"/>
      <c r="P897" s="65" t="n"/>
      <c r="Q897" s="32">
        <f>IF($C897="","",IF($J897="","— חסרים נתונים",IF($J897="טרם מפענח","פרופיל 5",IF($J897="קמץ/פתח/חטף-פתח ושוואים","פרופיל 4",IF($J897="2-3 סימני ניקוד","פרופיל 3",IF($J897="4-5 סימני ניקוד","פרופיל 2",IF(AND($O897="משפטים וקטעים קצרים",OR($M897="מבין",$M897="מבין לרוב")),"פרופיל 1","פרופיל 2")))))))</f>
        <v/>
      </c>
      <c r="R897" s="32">
        <f>IF($C897="","",IF(OR($Q897="",LEFT($Q897,1)="—"),"קבוצה רביעית",IF($Q897="פרופיל 5","קבוצת תשתיות",IF(OR($Q897="פרופיל 4",$Q897="פרופיל 3"),"קבוצת רכישה","קבוצת ביסוס"))))</f>
        <v/>
      </c>
      <c r="S897" s="32">
        <f>IF($F897="","",IF($F897="תחילת שנה",1,IF($F897="מחצית שנה",2,3)))</f>
        <v/>
      </c>
      <c r="T897" s="32">
        <f>IF(OR($B897="",$R897="",$A897="",$F897=""),"",$B897&amp;"|"&amp;$A897&amp;"|"&amp;$F897&amp;"|"&amp;$R897&amp;"|"&amp;COUNTIFS($B$6:$B897,$B897,$A$6:$A897,$A897,$F$6:$F897,$F897,$R$6:$R897,$R897))</f>
        <v/>
      </c>
      <c r="U897" s="32">
        <f>IF($C897="","",$C897&amp;"|"&amp;COUNTIFS($C$6:$C897,$C897))</f>
        <v/>
      </c>
      <c r="V897" s="32">
        <f>IF(OR($C897="",$A897="",$S897=""),"",$C897&amp;"|"&amp;$A897&amp;"|"&amp;$S897)</f>
        <v/>
      </c>
      <c r="W897" s="32">
        <f>IF(OR($C897="",$S897="",$S897=1),"",IFERROR(INDEX($Q$6:$Q$1505,MATCH($C897&amp;"|"&amp;$A897&amp;"|"&amp;($S897-1),$V$6:$V$1505,0)),""))</f>
        <v/>
      </c>
      <c r="X897" s="32">
        <f>IF(OR($W897="",$Q897="",LEFT($Q897,1)="—"),"",IF($W897=$Q897,"ללא שינוי","מ-"&amp;$W897&amp;" ל-"&amp;$Q897))</f>
        <v/>
      </c>
    </row>
    <row r="898" ht="15.75" customHeight="1" s="58">
      <c r="A898" s="65" t="n"/>
      <c r="B898" s="65" t="n"/>
      <c r="C898" s="66" t="n"/>
      <c r="D898" s="66" t="n"/>
      <c r="E898" s="65" t="n"/>
      <c r="F898" s="65" t="n"/>
      <c r="G898" s="65" t="n"/>
      <c r="H898" s="65" t="n"/>
      <c r="I898" s="65" t="n"/>
      <c r="J898" s="65" t="n"/>
      <c r="K898" s="65" t="n"/>
      <c r="L898" s="65" t="n"/>
      <c r="M898" s="65" t="n"/>
      <c r="N898" s="65" t="n"/>
      <c r="O898" s="65" t="n"/>
      <c r="P898" s="65" t="n"/>
      <c r="Q898" s="32">
        <f>IF($C898="","",IF($J898="","— חסרים נתונים",IF($J898="טרם מפענח","פרופיל 5",IF($J898="קמץ/פתח/חטף-פתח ושוואים","פרופיל 4",IF($J898="2-3 סימני ניקוד","פרופיל 3",IF($J898="4-5 סימני ניקוד","פרופיל 2",IF(AND($O898="משפטים וקטעים קצרים",OR($M898="מבין",$M898="מבין לרוב")),"פרופיל 1","פרופיל 2")))))))</f>
        <v/>
      </c>
      <c r="R898" s="32">
        <f>IF($C898="","",IF(OR($Q898="",LEFT($Q898,1)="—"),"קבוצה רביעית",IF($Q898="פרופיל 5","קבוצת תשתיות",IF(OR($Q898="פרופיל 4",$Q898="פרופיל 3"),"קבוצת רכישה","קבוצת ביסוס"))))</f>
        <v/>
      </c>
      <c r="S898" s="32">
        <f>IF($F898="","",IF($F898="תחילת שנה",1,IF($F898="מחצית שנה",2,3)))</f>
        <v/>
      </c>
      <c r="T898" s="32">
        <f>IF(OR($B898="",$R898="",$A898="",$F898=""),"",$B898&amp;"|"&amp;$A898&amp;"|"&amp;$F898&amp;"|"&amp;$R898&amp;"|"&amp;COUNTIFS($B$6:$B898,$B898,$A$6:$A898,$A898,$F$6:$F898,$F898,$R$6:$R898,$R898))</f>
        <v/>
      </c>
      <c r="U898" s="32">
        <f>IF($C898="","",$C898&amp;"|"&amp;COUNTIFS($C$6:$C898,$C898))</f>
        <v/>
      </c>
      <c r="V898" s="32">
        <f>IF(OR($C898="",$A898="",$S898=""),"",$C898&amp;"|"&amp;$A898&amp;"|"&amp;$S898)</f>
        <v/>
      </c>
      <c r="W898" s="32">
        <f>IF(OR($C898="",$S898="",$S898=1),"",IFERROR(INDEX($Q$6:$Q$1505,MATCH($C898&amp;"|"&amp;$A898&amp;"|"&amp;($S898-1),$V$6:$V$1505,0)),""))</f>
        <v/>
      </c>
      <c r="X898" s="32">
        <f>IF(OR($W898="",$Q898="",LEFT($Q898,1)="—"),"",IF($W898=$Q898,"ללא שינוי","מ-"&amp;$W898&amp;" ל-"&amp;$Q898))</f>
        <v/>
      </c>
    </row>
    <row r="899" ht="15.75" customHeight="1" s="58">
      <c r="A899" s="65" t="n"/>
      <c r="B899" s="65" t="n"/>
      <c r="C899" s="66" t="n"/>
      <c r="D899" s="66" t="n"/>
      <c r="E899" s="65" t="n"/>
      <c r="F899" s="65" t="n"/>
      <c r="G899" s="65" t="n"/>
      <c r="H899" s="65" t="n"/>
      <c r="I899" s="65" t="n"/>
      <c r="J899" s="65" t="n"/>
      <c r="K899" s="65" t="n"/>
      <c r="L899" s="65" t="n"/>
      <c r="M899" s="65" t="n"/>
      <c r="N899" s="65" t="n"/>
      <c r="O899" s="65" t="n"/>
      <c r="P899" s="65" t="n"/>
      <c r="Q899" s="32">
        <f>IF($C899="","",IF($J899="","— חסרים נתונים",IF($J899="טרם מפענח","פרופיל 5",IF($J899="קמץ/פתח/חטף-פתח ושוואים","פרופיל 4",IF($J899="2-3 סימני ניקוד","פרופיל 3",IF($J899="4-5 סימני ניקוד","פרופיל 2",IF(AND($O899="משפטים וקטעים קצרים",OR($M899="מבין",$M899="מבין לרוב")),"פרופיל 1","פרופיל 2")))))))</f>
        <v/>
      </c>
      <c r="R899" s="32">
        <f>IF($C899="","",IF(OR($Q899="",LEFT($Q899,1)="—"),"קבוצה רביעית",IF($Q899="פרופיל 5","קבוצת תשתיות",IF(OR($Q899="פרופיל 4",$Q899="פרופיל 3"),"קבוצת רכישה","קבוצת ביסוס"))))</f>
        <v/>
      </c>
      <c r="S899" s="32">
        <f>IF($F899="","",IF($F899="תחילת שנה",1,IF($F899="מחצית שנה",2,3)))</f>
        <v/>
      </c>
      <c r="T899" s="32">
        <f>IF(OR($B899="",$R899="",$A899="",$F899=""),"",$B899&amp;"|"&amp;$A899&amp;"|"&amp;$F899&amp;"|"&amp;$R899&amp;"|"&amp;COUNTIFS($B$6:$B899,$B899,$A$6:$A899,$A899,$F$6:$F899,$F899,$R$6:$R899,$R899))</f>
        <v/>
      </c>
      <c r="U899" s="32">
        <f>IF($C899="","",$C899&amp;"|"&amp;COUNTIFS($C$6:$C899,$C899))</f>
        <v/>
      </c>
      <c r="V899" s="32">
        <f>IF(OR($C899="",$A899="",$S899=""),"",$C899&amp;"|"&amp;$A899&amp;"|"&amp;$S899)</f>
        <v/>
      </c>
      <c r="W899" s="32">
        <f>IF(OR($C899="",$S899="",$S899=1),"",IFERROR(INDEX($Q$6:$Q$1505,MATCH($C899&amp;"|"&amp;$A899&amp;"|"&amp;($S899-1),$V$6:$V$1505,0)),""))</f>
        <v/>
      </c>
      <c r="X899" s="32">
        <f>IF(OR($W899="",$Q899="",LEFT($Q899,1)="—"),"",IF($W899=$Q899,"ללא שינוי","מ-"&amp;$W899&amp;" ל-"&amp;$Q899))</f>
        <v/>
      </c>
    </row>
    <row r="900" ht="15.75" customHeight="1" s="58">
      <c r="A900" s="65" t="n"/>
      <c r="B900" s="65" t="n"/>
      <c r="C900" s="66" t="n"/>
      <c r="D900" s="66" t="n"/>
      <c r="E900" s="65" t="n"/>
      <c r="F900" s="65" t="n"/>
      <c r="G900" s="65" t="n"/>
      <c r="H900" s="65" t="n"/>
      <c r="I900" s="65" t="n"/>
      <c r="J900" s="65" t="n"/>
      <c r="K900" s="65" t="n"/>
      <c r="L900" s="65" t="n"/>
      <c r="M900" s="65" t="n"/>
      <c r="N900" s="65" t="n"/>
      <c r="O900" s="65" t="n"/>
      <c r="P900" s="65" t="n"/>
      <c r="Q900" s="32">
        <f>IF($C900="","",IF($J900="","— חסרים נתונים",IF($J900="טרם מפענח","פרופיל 5",IF($J900="קמץ/פתח/חטף-פתח ושוואים","פרופיל 4",IF($J900="2-3 סימני ניקוד","פרופיל 3",IF($J900="4-5 סימני ניקוד","פרופיל 2",IF(AND($O900="משפטים וקטעים קצרים",OR($M900="מבין",$M900="מבין לרוב")),"פרופיל 1","פרופיל 2")))))))</f>
        <v/>
      </c>
      <c r="R900" s="32">
        <f>IF($C900="","",IF(OR($Q900="",LEFT($Q900,1)="—"),"קבוצה רביעית",IF($Q900="פרופיל 5","קבוצת תשתיות",IF(OR($Q900="פרופיל 4",$Q900="פרופיל 3"),"קבוצת רכישה","קבוצת ביסוס"))))</f>
        <v/>
      </c>
      <c r="S900" s="32">
        <f>IF($F900="","",IF($F900="תחילת שנה",1,IF($F900="מחצית שנה",2,3)))</f>
        <v/>
      </c>
      <c r="T900" s="32">
        <f>IF(OR($B900="",$R900="",$A900="",$F900=""),"",$B900&amp;"|"&amp;$A900&amp;"|"&amp;$F900&amp;"|"&amp;$R900&amp;"|"&amp;COUNTIFS($B$6:$B900,$B900,$A$6:$A900,$A900,$F$6:$F900,$F900,$R$6:$R900,$R900))</f>
        <v/>
      </c>
      <c r="U900" s="32">
        <f>IF($C900="","",$C900&amp;"|"&amp;COUNTIFS($C$6:$C900,$C900))</f>
        <v/>
      </c>
      <c r="V900" s="32">
        <f>IF(OR($C900="",$A900="",$S900=""),"",$C900&amp;"|"&amp;$A900&amp;"|"&amp;$S900)</f>
        <v/>
      </c>
      <c r="W900" s="32">
        <f>IF(OR($C900="",$S900="",$S900=1),"",IFERROR(INDEX($Q$6:$Q$1505,MATCH($C900&amp;"|"&amp;$A900&amp;"|"&amp;($S900-1),$V$6:$V$1505,0)),""))</f>
        <v/>
      </c>
      <c r="X900" s="32">
        <f>IF(OR($W900="",$Q900="",LEFT($Q900,1)="—"),"",IF($W900=$Q900,"ללא שינוי","מ-"&amp;$W900&amp;" ל-"&amp;$Q900))</f>
        <v/>
      </c>
    </row>
    <row r="901" ht="15.75" customHeight="1" s="58">
      <c r="A901" s="65" t="n"/>
      <c r="B901" s="65" t="n"/>
      <c r="C901" s="66" t="n"/>
      <c r="D901" s="66" t="n"/>
      <c r="E901" s="65" t="n"/>
      <c r="F901" s="65" t="n"/>
      <c r="G901" s="65" t="n"/>
      <c r="H901" s="65" t="n"/>
      <c r="I901" s="65" t="n"/>
      <c r="J901" s="65" t="n"/>
      <c r="K901" s="65" t="n"/>
      <c r="L901" s="65" t="n"/>
      <c r="M901" s="65" t="n"/>
      <c r="N901" s="65" t="n"/>
      <c r="O901" s="65" t="n"/>
      <c r="P901" s="65" t="n"/>
      <c r="Q901" s="32">
        <f>IF($C901="","",IF($J901="","— חסרים נתונים",IF($J901="טרם מפענח","פרופיל 5",IF($J901="קמץ/פתח/חטף-פתח ושוואים","פרופיל 4",IF($J901="2-3 סימני ניקוד","פרופיל 3",IF($J901="4-5 סימני ניקוד","פרופיל 2",IF(AND($O901="משפטים וקטעים קצרים",OR($M901="מבין",$M901="מבין לרוב")),"פרופיל 1","פרופיל 2")))))))</f>
        <v/>
      </c>
      <c r="R901" s="32">
        <f>IF($C901="","",IF(OR($Q901="",LEFT($Q901,1)="—"),"קבוצה רביעית",IF($Q901="פרופיל 5","קבוצת תשתיות",IF(OR($Q901="פרופיל 4",$Q901="פרופיל 3"),"קבוצת רכישה","קבוצת ביסוס"))))</f>
        <v/>
      </c>
      <c r="S901" s="32">
        <f>IF($F901="","",IF($F901="תחילת שנה",1,IF($F901="מחצית שנה",2,3)))</f>
        <v/>
      </c>
      <c r="T901" s="32">
        <f>IF(OR($B901="",$R901="",$A901="",$F901=""),"",$B901&amp;"|"&amp;$A901&amp;"|"&amp;$F901&amp;"|"&amp;$R901&amp;"|"&amp;COUNTIFS($B$6:$B901,$B901,$A$6:$A901,$A901,$F$6:$F901,$F901,$R$6:$R901,$R901))</f>
        <v/>
      </c>
      <c r="U901" s="32">
        <f>IF($C901="","",$C901&amp;"|"&amp;COUNTIFS($C$6:$C901,$C901))</f>
        <v/>
      </c>
      <c r="V901" s="32">
        <f>IF(OR($C901="",$A901="",$S901=""),"",$C901&amp;"|"&amp;$A901&amp;"|"&amp;$S901)</f>
        <v/>
      </c>
      <c r="W901" s="32">
        <f>IF(OR($C901="",$S901="",$S901=1),"",IFERROR(INDEX($Q$6:$Q$1505,MATCH($C901&amp;"|"&amp;$A901&amp;"|"&amp;($S901-1),$V$6:$V$1505,0)),""))</f>
        <v/>
      </c>
      <c r="X901" s="32">
        <f>IF(OR($W901="",$Q901="",LEFT($Q901,1)="—"),"",IF($W901=$Q901,"ללא שינוי","מ-"&amp;$W901&amp;" ל-"&amp;$Q901))</f>
        <v/>
      </c>
    </row>
    <row r="902" ht="15.75" customHeight="1" s="58">
      <c r="A902" s="65" t="n"/>
      <c r="B902" s="65" t="n"/>
      <c r="C902" s="66" t="n"/>
      <c r="D902" s="66" t="n"/>
      <c r="E902" s="65" t="n"/>
      <c r="F902" s="65" t="n"/>
      <c r="G902" s="65" t="n"/>
      <c r="H902" s="65" t="n"/>
      <c r="I902" s="65" t="n"/>
      <c r="J902" s="65" t="n"/>
      <c r="K902" s="65" t="n"/>
      <c r="L902" s="65" t="n"/>
      <c r="M902" s="65" t="n"/>
      <c r="N902" s="65" t="n"/>
      <c r="O902" s="65" t="n"/>
      <c r="P902" s="65" t="n"/>
      <c r="Q902" s="32">
        <f>IF($C902="","",IF($J902="","— חסרים נתונים",IF($J902="טרם מפענח","פרופיל 5",IF($J902="קמץ/פתח/חטף-פתח ושוואים","פרופיל 4",IF($J902="2-3 סימני ניקוד","פרופיל 3",IF($J902="4-5 סימני ניקוד","פרופיל 2",IF(AND($O902="משפטים וקטעים קצרים",OR($M902="מבין",$M902="מבין לרוב")),"פרופיל 1","פרופיל 2")))))))</f>
        <v/>
      </c>
      <c r="R902" s="32">
        <f>IF($C902="","",IF(OR($Q902="",LEFT($Q902,1)="—"),"קבוצה רביעית",IF($Q902="פרופיל 5","קבוצת תשתיות",IF(OR($Q902="פרופיל 4",$Q902="פרופיל 3"),"קבוצת רכישה","קבוצת ביסוס"))))</f>
        <v/>
      </c>
      <c r="S902" s="32">
        <f>IF($F902="","",IF($F902="תחילת שנה",1,IF($F902="מחצית שנה",2,3)))</f>
        <v/>
      </c>
      <c r="T902" s="32">
        <f>IF(OR($B902="",$R902="",$A902="",$F902=""),"",$B902&amp;"|"&amp;$A902&amp;"|"&amp;$F902&amp;"|"&amp;$R902&amp;"|"&amp;COUNTIFS($B$6:$B902,$B902,$A$6:$A902,$A902,$F$6:$F902,$F902,$R$6:$R902,$R902))</f>
        <v/>
      </c>
      <c r="U902" s="32">
        <f>IF($C902="","",$C902&amp;"|"&amp;COUNTIFS($C$6:$C902,$C902))</f>
        <v/>
      </c>
      <c r="V902" s="32">
        <f>IF(OR($C902="",$A902="",$S902=""),"",$C902&amp;"|"&amp;$A902&amp;"|"&amp;$S902)</f>
        <v/>
      </c>
      <c r="W902" s="32">
        <f>IF(OR($C902="",$S902="",$S902=1),"",IFERROR(INDEX($Q$6:$Q$1505,MATCH($C902&amp;"|"&amp;$A902&amp;"|"&amp;($S902-1),$V$6:$V$1505,0)),""))</f>
        <v/>
      </c>
      <c r="X902" s="32">
        <f>IF(OR($W902="",$Q902="",LEFT($Q902,1)="—"),"",IF($W902=$Q902,"ללא שינוי","מ-"&amp;$W902&amp;" ל-"&amp;$Q902))</f>
        <v/>
      </c>
    </row>
    <row r="903" ht="15.75" customHeight="1" s="58">
      <c r="A903" s="65" t="n"/>
      <c r="B903" s="65" t="n"/>
      <c r="C903" s="66" t="n"/>
      <c r="D903" s="66" t="n"/>
      <c r="E903" s="65" t="n"/>
      <c r="F903" s="65" t="n"/>
      <c r="G903" s="65" t="n"/>
      <c r="H903" s="65" t="n"/>
      <c r="I903" s="65" t="n"/>
      <c r="J903" s="65" t="n"/>
      <c r="K903" s="65" t="n"/>
      <c r="L903" s="65" t="n"/>
      <c r="M903" s="65" t="n"/>
      <c r="N903" s="65" t="n"/>
      <c r="O903" s="65" t="n"/>
      <c r="P903" s="65" t="n"/>
      <c r="Q903" s="32">
        <f>IF($C903="","",IF($J903="","— חסרים נתונים",IF($J903="טרם מפענח","פרופיל 5",IF($J903="קמץ/פתח/חטף-פתח ושוואים","פרופיל 4",IF($J903="2-3 סימני ניקוד","פרופיל 3",IF($J903="4-5 סימני ניקוד","פרופיל 2",IF(AND($O903="משפטים וקטעים קצרים",OR($M903="מבין",$M903="מבין לרוב")),"פרופיל 1","פרופיל 2")))))))</f>
        <v/>
      </c>
      <c r="R903" s="32">
        <f>IF($C903="","",IF(OR($Q903="",LEFT($Q903,1)="—"),"קבוצה רביעית",IF($Q903="פרופיל 5","קבוצת תשתיות",IF(OR($Q903="פרופיל 4",$Q903="פרופיל 3"),"קבוצת רכישה","קבוצת ביסוס"))))</f>
        <v/>
      </c>
      <c r="S903" s="32">
        <f>IF($F903="","",IF($F903="תחילת שנה",1,IF($F903="מחצית שנה",2,3)))</f>
        <v/>
      </c>
      <c r="T903" s="32">
        <f>IF(OR($B903="",$R903="",$A903="",$F903=""),"",$B903&amp;"|"&amp;$A903&amp;"|"&amp;$F903&amp;"|"&amp;$R903&amp;"|"&amp;COUNTIFS($B$6:$B903,$B903,$A$6:$A903,$A903,$F$6:$F903,$F903,$R$6:$R903,$R903))</f>
        <v/>
      </c>
      <c r="U903" s="32">
        <f>IF($C903="","",$C903&amp;"|"&amp;COUNTIFS($C$6:$C903,$C903))</f>
        <v/>
      </c>
      <c r="V903" s="32">
        <f>IF(OR($C903="",$A903="",$S903=""),"",$C903&amp;"|"&amp;$A903&amp;"|"&amp;$S903)</f>
        <v/>
      </c>
      <c r="W903" s="32">
        <f>IF(OR($C903="",$S903="",$S903=1),"",IFERROR(INDEX($Q$6:$Q$1505,MATCH($C903&amp;"|"&amp;$A903&amp;"|"&amp;($S903-1),$V$6:$V$1505,0)),""))</f>
        <v/>
      </c>
      <c r="X903" s="32">
        <f>IF(OR($W903="",$Q903="",LEFT($Q903,1)="—"),"",IF($W903=$Q903,"ללא שינוי","מ-"&amp;$W903&amp;" ל-"&amp;$Q903))</f>
        <v/>
      </c>
    </row>
    <row r="904" ht="15.75" customHeight="1" s="58">
      <c r="A904" s="65" t="n"/>
      <c r="B904" s="65" t="n"/>
      <c r="C904" s="66" t="n"/>
      <c r="D904" s="66" t="n"/>
      <c r="E904" s="65" t="n"/>
      <c r="F904" s="65" t="n"/>
      <c r="G904" s="65" t="n"/>
      <c r="H904" s="65" t="n"/>
      <c r="I904" s="65" t="n"/>
      <c r="J904" s="65" t="n"/>
      <c r="K904" s="65" t="n"/>
      <c r="L904" s="65" t="n"/>
      <c r="M904" s="65" t="n"/>
      <c r="N904" s="65" t="n"/>
      <c r="O904" s="65" t="n"/>
      <c r="P904" s="65" t="n"/>
      <c r="Q904" s="32">
        <f>IF($C904="","",IF($J904="","— חסרים נתונים",IF($J904="טרם מפענח","פרופיל 5",IF($J904="קמץ/פתח/חטף-פתח ושוואים","פרופיל 4",IF($J904="2-3 סימני ניקוד","פרופיל 3",IF($J904="4-5 סימני ניקוד","פרופיל 2",IF(AND($O904="משפטים וקטעים קצרים",OR($M904="מבין",$M904="מבין לרוב")),"פרופיל 1","פרופיל 2")))))))</f>
        <v/>
      </c>
      <c r="R904" s="32">
        <f>IF($C904="","",IF(OR($Q904="",LEFT($Q904,1)="—"),"קבוצה רביעית",IF($Q904="פרופיל 5","קבוצת תשתיות",IF(OR($Q904="פרופיל 4",$Q904="פרופיל 3"),"קבוצת רכישה","קבוצת ביסוס"))))</f>
        <v/>
      </c>
      <c r="S904" s="32">
        <f>IF($F904="","",IF($F904="תחילת שנה",1,IF($F904="מחצית שנה",2,3)))</f>
        <v/>
      </c>
      <c r="T904" s="32">
        <f>IF(OR($B904="",$R904="",$A904="",$F904=""),"",$B904&amp;"|"&amp;$A904&amp;"|"&amp;$F904&amp;"|"&amp;$R904&amp;"|"&amp;COUNTIFS($B$6:$B904,$B904,$A$6:$A904,$A904,$F$6:$F904,$F904,$R$6:$R904,$R904))</f>
        <v/>
      </c>
      <c r="U904" s="32">
        <f>IF($C904="","",$C904&amp;"|"&amp;COUNTIFS($C$6:$C904,$C904))</f>
        <v/>
      </c>
      <c r="V904" s="32">
        <f>IF(OR($C904="",$A904="",$S904=""),"",$C904&amp;"|"&amp;$A904&amp;"|"&amp;$S904)</f>
        <v/>
      </c>
      <c r="W904" s="32">
        <f>IF(OR($C904="",$S904="",$S904=1),"",IFERROR(INDEX($Q$6:$Q$1505,MATCH($C904&amp;"|"&amp;$A904&amp;"|"&amp;($S904-1),$V$6:$V$1505,0)),""))</f>
        <v/>
      </c>
      <c r="X904" s="32">
        <f>IF(OR($W904="",$Q904="",LEFT($Q904,1)="—"),"",IF($W904=$Q904,"ללא שינוי","מ-"&amp;$W904&amp;" ל-"&amp;$Q904))</f>
        <v/>
      </c>
    </row>
    <row r="905" ht="15.75" customHeight="1" s="58">
      <c r="A905" s="65" t="n"/>
      <c r="B905" s="65" t="n"/>
      <c r="C905" s="66" t="n"/>
      <c r="D905" s="66" t="n"/>
      <c r="E905" s="65" t="n"/>
      <c r="F905" s="65" t="n"/>
      <c r="G905" s="65" t="n"/>
      <c r="H905" s="65" t="n"/>
      <c r="I905" s="65" t="n"/>
      <c r="J905" s="65" t="n"/>
      <c r="K905" s="65" t="n"/>
      <c r="L905" s="65" t="n"/>
      <c r="M905" s="65" t="n"/>
      <c r="N905" s="65" t="n"/>
      <c r="O905" s="65" t="n"/>
      <c r="P905" s="65" t="n"/>
      <c r="Q905" s="32">
        <f>IF($C905="","",IF($J905="","— חסרים נתונים",IF($J905="טרם מפענח","פרופיל 5",IF($J905="קמץ/פתח/חטף-פתח ושוואים","פרופיל 4",IF($J905="2-3 סימני ניקוד","פרופיל 3",IF($J905="4-5 סימני ניקוד","פרופיל 2",IF(AND($O905="משפטים וקטעים קצרים",OR($M905="מבין",$M905="מבין לרוב")),"פרופיל 1","פרופיל 2")))))))</f>
        <v/>
      </c>
      <c r="R905" s="32">
        <f>IF($C905="","",IF(OR($Q905="",LEFT($Q905,1)="—"),"קבוצה רביעית",IF($Q905="פרופיל 5","קבוצת תשתיות",IF(OR($Q905="פרופיל 4",$Q905="פרופיל 3"),"קבוצת רכישה","קבוצת ביסוס"))))</f>
        <v/>
      </c>
      <c r="S905" s="32">
        <f>IF($F905="","",IF($F905="תחילת שנה",1,IF($F905="מחצית שנה",2,3)))</f>
        <v/>
      </c>
      <c r="T905" s="32">
        <f>IF(OR($B905="",$R905="",$A905="",$F905=""),"",$B905&amp;"|"&amp;$A905&amp;"|"&amp;$F905&amp;"|"&amp;$R905&amp;"|"&amp;COUNTIFS($B$6:$B905,$B905,$A$6:$A905,$A905,$F$6:$F905,$F905,$R$6:$R905,$R905))</f>
        <v/>
      </c>
      <c r="U905" s="32">
        <f>IF($C905="","",$C905&amp;"|"&amp;COUNTIFS($C$6:$C905,$C905))</f>
        <v/>
      </c>
      <c r="V905" s="32">
        <f>IF(OR($C905="",$A905="",$S905=""),"",$C905&amp;"|"&amp;$A905&amp;"|"&amp;$S905)</f>
        <v/>
      </c>
      <c r="W905" s="32">
        <f>IF(OR($C905="",$S905="",$S905=1),"",IFERROR(INDEX($Q$6:$Q$1505,MATCH($C905&amp;"|"&amp;$A905&amp;"|"&amp;($S905-1),$V$6:$V$1505,0)),""))</f>
        <v/>
      </c>
      <c r="X905" s="32">
        <f>IF(OR($W905="",$Q905="",LEFT($Q905,1)="—"),"",IF($W905=$Q905,"ללא שינוי","מ-"&amp;$W905&amp;" ל-"&amp;$Q905))</f>
        <v/>
      </c>
    </row>
    <row r="906" ht="15.75" customHeight="1" s="58">
      <c r="A906" s="65" t="n"/>
      <c r="B906" s="65" t="n"/>
      <c r="C906" s="66" t="n"/>
      <c r="D906" s="66" t="n"/>
      <c r="E906" s="65" t="n"/>
      <c r="F906" s="65" t="n"/>
      <c r="G906" s="65" t="n"/>
      <c r="H906" s="65" t="n"/>
      <c r="I906" s="65" t="n"/>
      <c r="J906" s="65" t="n"/>
      <c r="K906" s="65" t="n"/>
      <c r="L906" s="65" t="n"/>
      <c r="M906" s="65" t="n"/>
      <c r="N906" s="65" t="n"/>
      <c r="O906" s="65" t="n"/>
      <c r="P906" s="65" t="n"/>
      <c r="Q906" s="32">
        <f>IF($C906="","",IF($J906="","— חסרים נתונים",IF($J906="טרם מפענח","פרופיל 5",IF($J906="קמץ/פתח/חטף-פתח ושוואים","פרופיל 4",IF($J906="2-3 סימני ניקוד","פרופיל 3",IF($J906="4-5 סימני ניקוד","פרופיל 2",IF(AND($O906="משפטים וקטעים קצרים",OR($M906="מבין",$M906="מבין לרוב")),"פרופיל 1","פרופיל 2")))))))</f>
        <v/>
      </c>
      <c r="R906" s="32">
        <f>IF($C906="","",IF(OR($Q906="",LEFT($Q906,1)="—"),"קבוצה רביעית",IF($Q906="פרופיל 5","קבוצת תשתיות",IF(OR($Q906="פרופיל 4",$Q906="פרופיל 3"),"קבוצת רכישה","קבוצת ביסוס"))))</f>
        <v/>
      </c>
      <c r="S906" s="32">
        <f>IF($F906="","",IF($F906="תחילת שנה",1,IF($F906="מחצית שנה",2,3)))</f>
        <v/>
      </c>
      <c r="T906" s="32">
        <f>IF(OR($B906="",$R906="",$A906="",$F906=""),"",$B906&amp;"|"&amp;$A906&amp;"|"&amp;$F906&amp;"|"&amp;$R906&amp;"|"&amp;COUNTIFS($B$6:$B906,$B906,$A$6:$A906,$A906,$F$6:$F906,$F906,$R$6:$R906,$R906))</f>
        <v/>
      </c>
      <c r="U906" s="32">
        <f>IF($C906="","",$C906&amp;"|"&amp;COUNTIFS($C$6:$C906,$C906))</f>
        <v/>
      </c>
      <c r="V906" s="32">
        <f>IF(OR($C906="",$A906="",$S906=""),"",$C906&amp;"|"&amp;$A906&amp;"|"&amp;$S906)</f>
        <v/>
      </c>
      <c r="W906" s="32">
        <f>IF(OR($C906="",$S906="",$S906=1),"",IFERROR(INDEX($Q$6:$Q$1505,MATCH($C906&amp;"|"&amp;$A906&amp;"|"&amp;($S906-1),$V$6:$V$1505,0)),""))</f>
        <v/>
      </c>
      <c r="X906" s="32">
        <f>IF(OR($W906="",$Q906="",LEFT($Q906,1)="—"),"",IF($W906=$Q906,"ללא שינוי","מ-"&amp;$W906&amp;" ל-"&amp;$Q906))</f>
        <v/>
      </c>
    </row>
    <row r="907" ht="15.75" customHeight="1" s="58">
      <c r="A907" s="65" t="n"/>
      <c r="B907" s="65" t="n"/>
      <c r="C907" s="66" t="n"/>
      <c r="D907" s="66" t="n"/>
      <c r="E907" s="65" t="n"/>
      <c r="F907" s="65" t="n"/>
      <c r="G907" s="65" t="n"/>
      <c r="H907" s="65" t="n"/>
      <c r="I907" s="65" t="n"/>
      <c r="J907" s="65" t="n"/>
      <c r="K907" s="65" t="n"/>
      <c r="L907" s="65" t="n"/>
      <c r="M907" s="65" t="n"/>
      <c r="N907" s="65" t="n"/>
      <c r="O907" s="65" t="n"/>
      <c r="P907" s="65" t="n"/>
      <c r="Q907" s="32">
        <f>IF($C907="","",IF($J907="","— חסרים נתונים",IF($J907="טרם מפענח","פרופיל 5",IF($J907="קמץ/פתח/חטף-פתח ושוואים","פרופיל 4",IF($J907="2-3 סימני ניקוד","פרופיל 3",IF($J907="4-5 סימני ניקוד","פרופיל 2",IF(AND($O907="משפטים וקטעים קצרים",OR($M907="מבין",$M907="מבין לרוב")),"פרופיל 1","פרופיל 2")))))))</f>
        <v/>
      </c>
      <c r="R907" s="32">
        <f>IF($C907="","",IF(OR($Q907="",LEFT($Q907,1)="—"),"קבוצה רביעית",IF($Q907="פרופיל 5","קבוצת תשתיות",IF(OR($Q907="פרופיל 4",$Q907="פרופיל 3"),"קבוצת רכישה","קבוצת ביסוס"))))</f>
        <v/>
      </c>
      <c r="S907" s="32">
        <f>IF($F907="","",IF($F907="תחילת שנה",1,IF($F907="מחצית שנה",2,3)))</f>
        <v/>
      </c>
      <c r="T907" s="32">
        <f>IF(OR($B907="",$R907="",$A907="",$F907=""),"",$B907&amp;"|"&amp;$A907&amp;"|"&amp;$F907&amp;"|"&amp;$R907&amp;"|"&amp;COUNTIFS($B$6:$B907,$B907,$A$6:$A907,$A907,$F$6:$F907,$F907,$R$6:$R907,$R907))</f>
        <v/>
      </c>
      <c r="U907" s="32">
        <f>IF($C907="","",$C907&amp;"|"&amp;COUNTIFS($C$6:$C907,$C907))</f>
        <v/>
      </c>
      <c r="V907" s="32">
        <f>IF(OR($C907="",$A907="",$S907=""),"",$C907&amp;"|"&amp;$A907&amp;"|"&amp;$S907)</f>
        <v/>
      </c>
      <c r="W907" s="32">
        <f>IF(OR($C907="",$S907="",$S907=1),"",IFERROR(INDEX($Q$6:$Q$1505,MATCH($C907&amp;"|"&amp;$A907&amp;"|"&amp;($S907-1),$V$6:$V$1505,0)),""))</f>
        <v/>
      </c>
      <c r="X907" s="32">
        <f>IF(OR($W907="",$Q907="",LEFT($Q907,1)="—"),"",IF($W907=$Q907,"ללא שינוי","מ-"&amp;$W907&amp;" ל-"&amp;$Q907))</f>
        <v/>
      </c>
    </row>
    <row r="908" ht="15.75" customHeight="1" s="58">
      <c r="A908" s="65" t="n"/>
      <c r="B908" s="65" t="n"/>
      <c r="C908" s="66" t="n"/>
      <c r="D908" s="66" t="n"/>
      <c r="E908" s="65" t="n"/>
      <c r="F908" s="65" t="n"/>
      <c r="G908" s="65" t="n"/>
      <c r="H908" s="65" t="n"/>
      <c r="I908" s="65" t="n"/>
      <c r="J908" s="65" t="n"/>
      <c r="K908" s="65" t="n"/>
      <c r="L908" s="65" t="n"/>
      <c r="M908" s="65" t="n"/>
      <c r="N908" s="65" t="n"/>
      <c r="O908" s="65" t="n"/>
      <c r="P908" s="65" t="n"/>
      <c r="Q908" s="32">
        <f>IF($C908="","",IF($J908="","— חסרים נתונים",IF($J908="טרם מפענח","פרופיל 5",IF($J908="קמץ/פתח/חטף-פתח ושוואים","פרופיל 4",IF($J908="2-3 סימני ניקוד","פרופיל 3",IF($J908="4-5 סימני ניקוד","פרופיל 2",IF(AND($O908="משפטים וקטעים קצרים",OR($M908="מבין",$M908="מבין לרוב")),"פרופיל 1","פרופיל 2")))))))</f>
        <v/>
      </c>
      <c r="R908" s="32">
        <f>IF($C908="","",IF(OR($Q908="",LEFT($Q908,1)="—"),"קבוצה רביעית",IF($Q908="פרופיל 5","קבוצת תשתיות",IF(OR($Q908="פרופיל 4",$Q908="פרופיל 3"),"קבוצת רכישה","קבוצת ביסוס"))))</f>
        <v/>
      </c>
      <c r="S908" s="32">
        <f>IF($F908="","",IF($F908="תחילת שנה",1,IF($F908="מחצית שנה",2,3)))</f>
        <v/>
      </c>
      <c r="T908" s="32">
        <f>IF(OR($B908="",$R908="",$A908="",$F908=""),"",$B908&amp;"|"&amp;$A908&amp;"|"&amp;$F908&amp;"|"&amp;$R908&amp;"|"&amp;COUNTIFS($B$6:$B908,$B908,$A$6:$A908,$A908,$F$6:$F908,$F908,$R$6:$R908,$R908))</f>
        <v/>
      </c>
      <c r="U908" s="32">
        <f>IF($C908="","",$C908&amp;"|"&amp;COUNTIFS($C$6:$C908,$C908))</f>
        <v/>
      </c>
      <c r="V908" s="32">
        <f>IF(OR($C908="",$A908="",$S908=""),"",$C908&amp;"|"&amp;$A908&amp;"|"&amp;$S908)</f>
        <v/>
      </c>
      <c r="W908" s="32">
        <f>IF(OR($C908="",$S908="",$S908=1),"",IFERROR(INDEX($Q$6:$Q$1505,MATCH($C908&amp;"|"&amp;$A908&amp;"|"&amp;($S908-1),$V$6:$V$1505,0)),""))</f>
        <v/>
      </c>
      <c r="X908" s="32">
        <f>IF(OR($W908="",$Q908="",LEFT($Q908,1)="—"),"",IF($W908=$Q908,"ללא שינוי","מ-"&amp;$W908&amp;" ל-"&amp;$Q908))</f>
        <v/>
      </c>
    </row>
    <row r="909" ht="15.75" customHeight="1" s="58">
      <c r="A909" s="65" t="n"/>
      <c r="B909" s="65" t="n"/>
      <c r="C909" s="66" t="n"/>
      <c r="D909" s="66" t="n"/>
      <c r="E909" s="65" t="n"/>
      <c r="F909" s="65" t="n"/>
      <c r="G909" s="65" t="n"/>
      <c r="H909" s="65" t="n"/>
      <c r="I909" s="65" t="n"/>
      <c r="J909" s="65" t="n"/>
      <c r="K909" s="65" t="n"/>
      <c r="L909" s="65" t="n"/>
      <c r="M909" s="65" t="n"/>
      <c r="N909" s="65" t="n"/>
      <c r="O909" s="65" t="n"/>
      <c r="P909" s="65" t="n"/>
      <c r="Q909" s="32">
        <f>IF($C909="","",IF($J909="","— חסרים נתונים",IF($J909="טרם מפענח","פרופיל 5",IF($J909="קמץ/פתח/חטף-פתח ושוואים","פרופיל 4",IF($J909="2-3 סימני ניקוד","פרופיל 3",IF($J909="4-5 סימני ניקוד","פרופיל 2",IF(AND($O909="משפטים וקטעים קצרים",OR($M909="מבין",$M909="מבין לרוב")),"פרופיל 1","פרופיל 2")))))))</f>
        <v/>
      </c>
      <c r="R909" s="32">
        <f>IF($C909="","",IF(OR($Q909="",LEFT($Q909,1)="—"),"קבוצה רביעית",IF($Q909="פרופיל 5","קבוצת תשתיות",IF(OR($Q909="פרופיל 4",$Q909="פרופיל 3"),"קבוצת רכישה","קבוצת ביסוס"))))</f>
        <v/>
      </c>
      <c r="S909" s="32">
        <f>IF($F909="","",IF($F909="תחילת שנה",1,IF($F909="מחצית שנה",2,3)))</f>
        <v/>
      </c>
      <c r="T909" s="32">
        <f>IF(OR($B909="",$R909="",$A909="",$F909=""),"",$B909&amp;"|"&amp;$A909&amp;"|"&amp;$F909&amp;"|"&amp;$R909&amp;"|"&amp;COUNTIFS($B$6:$B909,$B909,$A$6:$A909,$A909,$F$6:$F909,$F909,$R$6:$R909,$R909))</f>
        <v/>
      </c>
      <c r="U909" s="32">
        <f>IF($C909="","",$C909&amp;"|"&amp;COUNTIFS($C$6:$C909,$C909))</f>
        <v/>
      </c>
      <c r="V909" s="32">
        <f>IF(OR($C909="",$A909="",$S909=""),"",$C909&amp;"|"&amp;$A909&amp;"|"&amp;$S909)</f>
        <v/>
      </c>
      <c r="W909" s="32">
        <f>IF(OR($C909="",$S909="",$S909=1),"",IFERROR(INDEX($Q$6:$Q$1505,MATCH($C909&amp;"|"&amp;$A909&amp;"|"&amp;($S909-1),$V$6:$V$1505,0)),""))</f>
        <v/>
      </c>
      <c r="X909" s="32">
        <f>IF(OR($W909="",$Q909="",LEFT($Q909,1)="—"),"",IF($W909=$Q909,"ללא שינוי","מ-"&amp;$W909&amp;" ל-"&amp;$Q909))</f>
        <v/>
      </c>
    </row>
    <row r="910" ht="15.75" customHeight="1" s="58">
      <c r="A910" s="65" t="n"/>
      <c r="B910" s="65" t="n"/>
      <c r="C910" s="66" t="n"/>
      <c r="D910" s="66" t="n"/>
      <c r="E910" s="65" t="n"/>
      <c r="F910" s="65" t="n"/>
      <c r="G910" s="65" t="n"/>
      <c r="H910" s="65" t="n"/>
      <c r="I910" s="65" t="n"/>
      <c r="J910" s="65" t="n"/>
      <c r="K910" s="65" t="n"/>
      <c r="L910" s="65" t="n"/>
      <c r="M910" s="65" t="n"/>
      <c r="N910" s="65" t="n"/>
      <c r="O910" s="65" t="n"/>
      <c r="P910" s="65" t="n"/>
      <c r="Q910" s="32">
        <f>IF($C910="","",IF($J910="","— חסרים נתונים",IF($J910="טרם מפענח","פרופיל 5",IF($J910="קמץ/פתח/חטף-פתח ושוואים","פרופיל 4",IF($J910="2-3 סימני ניקוד","פרופיל 3",IF($J910="4-5 סימני ניקוד","פרופיל 2",IF(AND($O910="משפטים וקטעים קצרים",OR($M910="מבין",$M910="מבין לרוב")),"פרופיל 1","פרופיל 2")))))))</f>
        <v/>
      </c>
      <c r="R910" s="32">
        <f>IF($C910="","",IF(OR($Q910="",LEFT($Q910,1)="—"),"קבוצה רביעית",IF($Q910="פרופיל 5","קבוצת תשתיות",IF(OR($Q910="פרופיל 4",$Q910="פרופיל 3"),"קבוצת רכישה","קבוצת ביסוס"))))</f>
        <v/>
      </c>
      <c r="S910" s="32">
        <f>IF($F910="","",IF($F910="תחילת שנה",1,IF($F910="מחצית שנה",2,3)))</f>
        <v/>
      </c>
      <c r="T910" s="32">
        <f>IF(OR($B910="",$R910="",$A910="",$F910=""),"",$B910&amp;"|"&amp;$A910&amp;"|"&amp;$F910&amp;"|"&amp;$R910&amp;"|"&amp;COUNTIFS($B$6:$B910,$B910,$A$6:$A910,$A910,$F$6:$F910,$F910,$R$6:$R910,$R910))</f>
        <v/>
      </c>
      <c r="U910" s="32">
        <f>IF($C910="","",$C910&amp;"|"&amp;COUNTIFS($C$6:$C910,$C910))</f>
        <v/>
      </c>
      <c r="V910" s="32">
        <f>IF(OR($C910="",$A910="",$S910=""),"",$C910&amp;"|"&amp;$A910&amp;"|"&amp;$S910)</f>
        <v/>
      </c>
      <c r="W910" s="32">
        <f>IF(OR($C910="",$S910="",$S910=1),"",IFERROR(INDEX($Q$6:$Q$1505,MATCH($C910&amp;"|"&amp;$A910&amp;"|"&amp;($S910-1),$V$6:$V$1505,0)),""))</f>
        <v/>
      </c>
      <c r="X910" s="32">
        <f>IF(OR($W910="",$Q910="",LEFT($Q910,1)="—"),"",IF($W910=$Q910,"ללא שינוי","מ-"&amp;$W910&amp;" ל-"&amp;$Q910))</f>
        <v/>
      </c>
    </row>
    <row r="911" ht="15.75" customHeight="1" s="58">
      <c r="A911" s="65" t="n"/>
      <c r="B911" s="65" t="n"/>
      <c r="C911" s="66" t="n"/>
      <c r="D911" s="66" t="n"/>
      <c r="E911" s="65" t="n"/>
      <c r="F911" s="65" t="n"/>
      <c r="G911" s="65" t="n"/>
      <c r="H911" s="65" t="n"/>
      <c r="I911" s="65" t="n"/>
      <c r="J911" s="65" t="n"/>
      <c r="K911" s="65" t="n"/>
      <c r="L911" s="65" t="n"/>
      <c r="M911" s="65" t="n"/>
      <c r="N911" s="65" t="n"/>
      <c r="O911" s="65" t="n"/>
      <c r="P911" s="65" t="n"/>
      <c r="Q911" s="32">
        <f>IF($C911="","",IF($J911="","— חסרים נתונים",IF($J911="טרם מפענח","פרופיל 5",IF($J911="קמץ/פתח/חטף-פתח ושוואים","פרופיל 4",IF($J911="2-3 סימני ניקוד","פרופיל 3",IF($J911="4-5 סימני ניקוד","פרופיל 2",IF(AND($O911="משפטים וקטעים קצרים",OR($M911="מבין",$M911="מבין לרוב")),"פרופיל 1","פרופיל 2")))))))</f>
        <v/>
      </c>
      <c r="R911" s="32">
        <f>IF($C911="","",IF(OR($Q911="",LEFT($Q911,1)="—"),"קבוצה רביעית",IF($Q911="פרופיל 5","קבוצת תשתיות",IF(OR($Q911="פרופיל 4",$Q911="פרופיל 3"),"קבוצת רכישה","קבוצת ביסוס"))))</f>
        <v/>
      </c>
      <c r="S911" s="32">
        <f>IF($F911="","",IF($F911="תחילת שנה",1,IF($F911="מחצית שנה",2,3)))</f>
        <v/>
      </c>
      <c r="T911" s="32">
        <f>IF(OR($B911="",$R911="",$A911="",$F911=""),"",$B911&amp;"|"&amp;$A911&amp;"|"&amp;$F911&amp;"|"&amp;$R911&amp;"|"&amp;COUNTIFS($B$6:$B911,$B911,$A$6:$A911,$A911,$F$6:$F911,$F911,$R$6:$R911,$R911))</f>
        <v/>
      </c>
      <c r="U911" s="32">
        <f>IF($C911="","",$C911&amp;"|"&amp;COUNTIFS($C$6:$C911,$C911))</f>
        <v/>
      </c>
      <c r="V911" s="32">
        <f>IF(OR($C911="",$A911="",$S911=""),"",$C911&amp;"|"&amp;$A911&amp;"|"&amp;$S911)</f>
        <v/>
      </c>
      <c r="W911" s="32">
        <f>IF(OR($C911="",$S911="",$S911=1),"",IFERROR(INDEX($Q$6:$Q$1505,MATCH($C911&amp;"|"&amp;$A911&amp;"|"&amp;($S911-1),$V$6:$V$1505,0)),""))</f>
        <v/>
      </c>
      <c r="X911" s="32">
        <f>IF(OR($W911="",$Q911="",LEFT($Q911,1)="—"),"",IF($W911=$Q911,"ללא שינוי","מ-"&amp;$W911&amp;" ל-"&amp;$Q911))</f>
        <v/>
      </c>
    </row>
    <row r="912" ht="15.75" customHeight="1" s="58">
      <c r="A912" s="65" t="n"/>
      <c r="B912" s="65" t="n"/>
      <c r="C912" s="66" t="n"/>
      <c r="D912" s="66" t="n"/>
      <c r="E912" s="65" t="n"/>
      <c r="F912" s="65" t="n"/>
      <c r="G912" s="65" t="n"/>
      <c r="H912" s="65" t="n"/>
      <c r="I912" s="65" t="n"/>
      <c r="J912" s="65" t="n"/>
      <c r="K912" s="65" t="n"/>
      <c r="L912" s="65" t="n"/>
      <c r="M912" s="65" t="n"/>
      <c r="N912" s="65" t="n"/>
      <c r="O912" s="65" t="n"/>
      <c r="P912" s="65" t="n"/>
      <c r="Q912" s="32">
        <f>IF($C912="","",IF($J912="","— חסרים נתונים",IF($J912="טרם מפענח","פרופיל 5",IF($J912="קמץ/פתח/חטף-פתח ושוואים","פרופיל 4",IF($J912="2-3 סימני ניקוד","פרופיל 3",IF($J912="4-5 סימני ניקוד","פרופיל 2",IF(AND($O912="משפטים וקטעים קצרים",OR($M912="מבין",$M912="מבין לרוב")),"פרופיל 1","פרופיל 2")))))))</f>
        <v/>
      </c>
      <c r="R912" s="32">
        <f>IF($C912="","",IF(OR($Q912="",LEFT($Q912,1)="—"),"קבוצה רביעית",IF($Q912="פרופיל 5","קבוצת תשתיות",IF(OR($Q912="פרופיל 4",$Q912="פרופיל 3"),"קבוצת רכישה","קבוצת ביסוס"))))</f>
        <v/>
      </c>
      <c r="S912" s="32">
        <f>IF($F912="","",IF($F912="תחילת שנה",1,IF($F912="מחצית שנה",2,3)))</f>
        <v/>
      </c>
      <c r="T912" s="32">
        <f>IF(OR($B912="",$R912="",$A912="",$F912=""),"",$B912&amp;"|"&amp;$A912&amp;"|"&amp;$F912&amp;"|"&amp;$R912&amp;"|"&amp;COUNTIFS($B$6:$B912,$B912,$A$6:$A912,$A912,$F$6:$F912,$F912,$R$6:$R912,$R912))</f>
        <v/>
      </c>
      <c r="U912" s="32">
        <f>IF($C912="","",$C912&amp;"|"&amp;COUNTIFS($C$6:$C912,$C912))</f>
        <v/>
      </c>
      <c r="V912" s="32">
        <f>IF(OR($C912="",$A912="",$S912=""),"",$C912&amp;"|"&amp;$A912&amp;"|"&amp;$S912)</f>
        <v/>
      </c>
      <c r="W912" s="32">
        <f>IF(OR($C912="",$S912="",$S912=1),"",IFERROR(INDEX($Q$6:$Q$1505,MATCH($C912&amp;"|"&amp;$A912&amp;"|"&amp;($S912-1),$V$6:$V$1505,0)),""))</f>
        <v/>
      </c>
      <c r="X912" s="32">
        <f>IF(OR($W912="",$Q912="",LEFT($Q912,1)="—"),"",IF($W912=$Q912,"ללא שינוי","מ-"&amp;$W912&amp;" ל-"&amp;$Q912))</f>
        <v/>
      </c>
    </row>
    <row r="913" ht="15.75" customHeight="1" s="58">
      <c r="A913" s="65" t="n"/>
      <c r="B913" s="65" t="n"/>
      <c r="C913" s="66" t="n"/>
      <c r="D913" s="66" t="n"/>
      <c r="E913" s="65" t="n"/>
      <c r="F913" s="65" t="n"/>
      <c r="G913" s="65" t="n"/>
      <c r="H913" s="65" t="n"/>
      <c r="I913" s="65" t="n"/>
      <c r="J913" s="65" t="n"/>
      <c r="K913" s="65" t="n"/>
      <c r="L913" s="65" t="n"/>
      <c r="M913" s="65" t="n"/>
      <c r="N913" s="65" t="n"/>
      <c r="O913" s="65" t="n"/>
      <c r="P913" s="65" t="n"/>
      <c r="Q913" s="32">
        <f>IF($C913="","",IF($J913="","— חסרים נתונים",IF($J913="טרם מפענח","פרופיל 5",IF($J913="קמץ/פתח/חטף-פתח ושוואים","פרופיל 4",IF($J913="2-3 סימני ניקוד","פרופיל 3",IF($J913="4-5 סימני ניקוד","פרופיל 2",IF(AND($O913="משפטים וקטעים קצרים",OR($M913="מבין",$M913="מבין לרוב")),"פרופיל 1","פרופיל 2")))))))</f>
        <v/>
      </c>
      <c r="R913" s="32">
        <f>IF($C913="","",IF(OR($Q913="",LEFT($Q913,1)="—"),"קבוצה רביעית",IF($Q913="פרופיל 5","קבוצת תשתיות",IF(OR($Q913="פרופיל 4",$Q913="פרופיל 3"),"קבוצת רכישה","קבוצת ביסוס"))))</f>
        <v/>
      </c>
      <c r="S913" s="32">
        <f>IF($F913="","",IF($F913="תחילת שנה",1,IF($F913="מחצית שנה",2,3)))</f>
        <v/>
      </c>
      <c r="T913" s="32">
        <f>IF(OR($B913="",$R913="",$A913="",$F913=""),"",$B913&amp;"|"&amp;$A913&amp;"|"&amp;$F913&amp;"|"&amp;$R913&amp;"|"&amp;COUNTIFS($B$6:$B913,$B913,$A$6:$A913,$A913,$F$6:$F913,$F913,$R$6:$R913,$R913))</f>
        <v/>
      </c>
      <c r="U913" s="32">
        <f>IF($C913="","",$C913&amp;"|"&amp;COUNTIFS($C$6:$C913,$C913))</f>
        <v/>
      </c>
      <c r="V913" s="32">
        <f>IF(OR($C913="",$A913="",$S913=""),"",$C913&amp;"|"&amp;$A913&amp;"|"&amp;$S913)</f>
        <v/>
      </c>
      <c r="W913" s="32">
        <f>IF(OR($C913="",$S913="",$S913=1),"",IFERROR(INDEX($Q$6:$Q$1505,MATCH($C913&amp;"|"&amp;$A913&amp;"|"&amp;($S913-1),$V$6:$V$1505,0)),""))</f>
        <v/>
      </c>
      <c r="X913" s="32">
        <f>IF(OR($W913="",$Q913="",LEFT($Q913,1)="—"),"",IF($W913=$Q913,"ללא שינוי","מ-"&amp;$W913&amp;" ל-"&amp;$Q913))</f>
        <v/>
      </c>
    </row>
    <row r="914" ht="15.75" customHeight="1" s="58">
      <c r="A914" s="65" t="n"/>
      <c r="B914" s="65" t="n"/>
      <c r="C914" s="66" t="n"/>
      <c r="D914" s="66" t="n"/>
      <c r="E914" s="65" t="n"/>
      <c r="F914" s="65" t="n"/>
      <c r="G914" s="65" t="n"/>
      <c r="H914" s="65" t="n"/>
      <c r="I914" s="65" t="n"/>
      <c r="J914" s="65" t="n"/>
      <c r="K914" s="65" t="n"/>
      <c r="L914" s="65" t="n"/>
      <c r="M914" s="65" t="n"/>
      <c r="N914" s="65" t="n"/>
      <c r="O914" s="65" t="n"/>
      <c r="P914" s="65" t="n"/>
      <c r="Q914" s="32">
        <f>IF($C914="","",IF($J914="","— חסרים נתונים",IF($J914="טרם מפענח","פרופיל 5",IF($J914="קמץ/פתח/חטף-פתח ושוואים","פרופיל 4",IF($J914="2-3 סימני ניקוד","פרופיל 3",IF($J914="4-5 סימני ניקוד","פרופיל 2",IF(AND($O914="משפטים וקטעים קצרים",OR($M914="מבין",$M914="מבין לרוב")),"פרופיל 1","פרופיל 2")))))))</f>
        <v/>
      </c>
      <c r="R914" s="32">
        <f>IF($C914="","",IF(OR($Q914="",LEFT($Q914,1)="—"),"קבוצה רביעית",IF($Q914="פרופיל 5","קבוצת תשתיות",IF(OR($Q914="פרופיל 4",$Q914="פרופיל 3"),"קבוצת רכישה","קבוצת ביסוס"))))</f>
        <v/>
      </c>
      <c r="S914" s="32">
        <f>IF($F914="","",IF($F914="תחילת שנה",1,IF($F914="מחצית שנה",2,3)))</f>
        <v/>
      </c>
      <c r="T914" s="32">
        <f>IF(OR($B914="",$R914="",$A914="",$F914=""),"",$B914&amp;"|"&amp;$A914&amp;"|"&amp;$F914&amp;"|"&amp;$R914&amp;"|"&amp;COUNTIFS($B$6:$B914,$B914,$A$6:$A914,$A914,$F$6:$F914,$F914,$R$6:$R914,$R914))</f>
        <v/>
      </c>
      <c r="U914" s="32">
        <f>IF($C914="","",$C914&amp;"|"&amp;COUNTIFS($C$6:$C914,$C914))</f>
        <v/>
      </c>
      <c r="V914" s="32">
        <f>IF(OR($C914="",$A914="",$S914=""),"",$C914&amp;"|"&amp;$A914&amp;"|"&amp;$S914)</f>
        <v/>
      </c>
      <c r="W914" s="32">
        <f>IF(OR($C914="",$S914="",$S914=1),"",IFERROR(INDEX($Q$6:$Q$1505,MATCH($C914&amp;"|"&amp;$A914&amp;"|"&amp;($S914-1),$V$6:$V$1505,0)),""))</f>
        <v/>
      </c>
      <c r="X914" s="32">
        <f>IF(OR($W914="",$Q914="",LEFT($Q914,1)="—"),"",IF($W914=$Q914,"ללא שינוי","מ-"&amp;$W914&amp;" ל-"&amp;$Q914))</f>
        <v/>
      </c>
    </row>
    <row r="915" ht="15.75" customHeight="1" s="58">
      <c r="A915" s="65" t="n"/>
      <c r="B915" s="65" t="n"/>
      <c r="C915" s="66" t="n"/>
      <c r="D915" s="66" t="n"/>
      <c r="E915" s="65" t="n"/>
      <c r="F915" s="65" t="n"/>
      <c r="G915" s="65" t="n"/>
      <c r="H915" s="65" t="n"/>
      <c r="I915" s="65" t="n"/>
      <c r="J915" s="65" t="n"/>
      <c r="K915" s="65" t="n"/>
      <c r="L915" s="65" t="n"/>
      <c r="M915" s="65" t="n"/>
      <c r="N915" s="65" t="n"/>
      <c r="O915" s="65" t="n"/>
      <c r="P915" s="65" t="n"/>
      <c r="Q915" s="32">
        <f>IF($C915="","",IF($J915="","— חסרים נתונים",IF($J915="טרם מפענח","פרופיל 5",IF($J915="קמץ/פתח/חטף-פתח ושוואים","פרופיל 4",IF($J915="2-3 סימני ניקוד","פרופיל 3",IF($J915="4-5 סימני ניקוד","פרופיל 2",IF(AND($O915="משפטים וקטעים קצרים",OR($M915="מבין",$M915="מבין לרוב")),"פרופיל 1","פרופיל 2")))))))</f>
        <v/>
      </c>
      <c r="R915" s="32">
        <f>IF($C915="","",IF(OR($Q915="",LEFT($Q915,1)="—"),"קבוצה רביעית",IF($Q915="פרופיל 5","קבוצת תשתיות",IF(OR($Q915="פרופיל 4",$Q915="פרופיל 3"),"קבוצת רכישה","קבוצת ביסוס"))))</f>
        <v/>
      </c>
      <c r="S915" s="32">
        <f>IF($F915="","",IF($F915="תחילת שנה",1,IF($F915="מחצית שנה",2,3)))</f>
        <v/>
      </c>
      <c r="T915" s="32">
        <f>IF(OR($B915="",$R915="",$A915="",$F915=""),"",$B915&amp;"|"&amp;$A915&amp;"|"&amp;$F915&amp;"|"&amp;$R915&amp;"|"&amp;COUNTIFS($B$6:$B915,$B915,$A$6:$A915,$A915,$F$6:$F915,$F915,$R$6:$R915,$R915))</f>
        <v/>
      </c>
      <c r="U915" s="32">
        <f>IF($C915="","",$C915&amp;"|"&amp;COUNTIFS($C$6:$C915,$C915))</f>
        <v/>
      </c>
      <c r="V915" s="32">
        <f>IF(OR($C915="",$A915="",$S915=""),"",$C915&amp;"|"&amp;$A915&amp;"|"&amp;$S915)</f>
        <v/>
      </c>
      <c r="W915" s="32">
        <f>IF(OR($C915="",$S915="",$S915=1),"",IFERROR(INDEX($Q$6:$Q$1505,MATCH($C915&amp;"|"&amp;$A915&amp;"|"&amp;($S915-1),$V$6:$V$1505,0)),""))</f>
        <v/>
      </c>
      <c r="X915" s="32">
        <f>IF(OR($W915="",$Q915="",LEFT($Q915,1)="—"),"",IF($W915=$Q915,"ללא שינוי","מ-"&amp;$W915&amp;" ל-"&amp;$Q915))</f>
        <v/>
      </c>
    </row>
    <row r="916" ht="15.75" customHeight="1" s="58">
      <c r="A916" s="65" t="n"/>
      <c r="B916" s="65" t="n"/>
      <c r="C916" s="66" t="n"/>
      <c r="D916" s="66" t="n"/>
      <c r="E916" s="65" t="n"/>
      <c r="F916" s="65" t="n"/>
      <c r="G916" s="65" t="n"/>
      <c r="H916" s="65" t="n"/>
      <c r="I916" s="65" t="n"/>
      <c r="J916" s="65" t="n"/>
      <c r="K916" s="65" t="n"/>
      <c r="L916" s="65" t="n"/>
      <c r="M916" s="65" t="n"/>
      <c r="N916" s="65" t="n"/>
      <c r="O916" s="65" t="n"/>
      <c r="P916" s="65" t="n"/>
      <c r="Q916" s="32">
        <f>IF($C916="","",IF($J916="","— חסרים נתונים",IF($J916="טרם מפענח","פרופיל 5",IF($J916="קמץ/פתח/חטף-פתח ושוואים","פרופיל 4",IF($J916="2-3 סימני ניקוד","פרופיל 3",IF($J916="4-5 סימני ניקוד","פרופיל 2",IF(AND($O916="משפטים וקטעים קצרים",OR($M916="מבין",$M916="מבין לרוב")),"פרופיל 1","פרופיל 2")))))))</f>
        <v/>
      </c>
      <c r="R916" s="32">
        <f>IF($C916="","",IF(OR($Q916="",LEFT($Q916,1)="—"),"קבוצה רביעית",IF($Q916="פרופיל 5","קבוצת תשתיות",IF(OR($Q916="פרופיל 4",$Q916="פרופיל 3"),"קבוצת רכישה","קבוצת ביסוס"))))</f>
        <v/>
      </c>
      <c r="S916" s="32">
        <f>IF($F916="","",IF($F916="תחילת שנה",1,IF($F916="מחצית שנה",2,3)))</f>
        <v/>
      </c>
      <c r="T916" s="32">
        <f>IF(OR($B916="",$R916="",$A916="",$F916=""),"",$B916&amp;"|"&amp;$A916&amp;"|"&amp;$F916&amp;"|"&amp;$R916&amp;"|"&amp;COUNTIFS($B$6:$B916,$B916,$A$6:$A916,$A916,$F$6:$F916,$F916,$R$6:$R916,$R916))</f>
        <v/>
      </c>
      <c r="U916" s="32">
        <f>IF($C916="","",$C916&amp;"|"&amp;COUNTIFS($C$6:$C916,$C916))</f>
        <v/>
      </c>
      <c r="V916" s="32">
        <f>IF(OR($C916="",$A916="",$S916=""),"",$C916&amp;"|"&amp;$A916&amp;"|"&amp;$S916)</f>
        <v/>
      </c>
      <c r="W916" s="32">
        <f>IF(OR($C916="",$S916="",$S916=1),"",IFERROR(INDEX($Q$6:$Q$1505,MATCH($C916&amp;"|"&amp;$A916&amp;"|"&amp;($S916-1),$V$6:$V$1505,0)),""))</f>
        <v/>
      </c>
      <c r="X916" s="32">
        <f>IF(OR($W916="",$Q916="",LEFT($Q916,1)="—"),"",IF($W916=$Q916,"ללא שינוי","מ-"&amp;$W916&amp;" ל-"&amp;$Q916))</f>
        <v/>
      </c>
    </row>
    <row r="917" ht="15.75" customHeight="1" s="58">
      <c r="A917" s="65" t="n"/>
      <c r="B917" s="65" t="n"/>
      <c r="C917" s="66" t="n"/>
      <c r="D917" s="66" t="n"/>
      <c r="E917" s="65" t="n"/>
      <c r="F917" s="65" t="n"/>
      <c r="G917" s="65" t="n"/>
      <c r="H917" s="65" t="n"/>
      <c r="I917" s="65" t="n"/>
      <c r="J917" s="65" t="n"/>
      <c r="K917" s="65" t="n"/>
      <c r="L917" s="65" t="n"/>
      <c r="M917" s="65" t="n"/>
      <c r="N917" s="65" t="n"/>
      <c r="O917" s="65" t="n"/>
      <c r="P917" s="65" t="n"/>
      <c r="Q917" s="32">
        <f>IF($C917="","",IF($J917="","— חסרים נתונים",IF($J917="טרם מפענח","פרופיל 5",IF($J917="קמץ/פתח/חטף-פתח ושוואים","פרופיל 4",IF($J917="2-3 סימני ניקוד","פרופיל 3",IF($J917="4-5 סימני ניקוד","פרופיל 2",IF(AND($O917="משפטים וקטעים קצרים",OR($M917="מבין",$M917="מבין לרוב")),"פרופיל 1","פרופיל 2")))))))</f>
        <v/>
      </c>
      <c r="R917" s="32">
        <f>IF($C917="","",IF(OR($Q917="",LEFT($Q917,1)="—"),"קבוצה רביעית",IF($Q917="פרופיל 5","קבוצת תשתיות",IF(OR($Q917="פרופיל 4",$Q917="פרופיל 3"),"קבוצת רכישה","קבוצת ביסוס"))))</f>
        <v/>
      </c>
      <c r="S917" s="32">
        <f>IF($F917="","",IF($F917="תחילת שנה",1,IF($F917="מחצית שנה",2,3)))</f>
        <v/>
      </c>
      <c r="T917" s="32">
        <f>IF(OR($B917="",$R917="",$A917="",$F917=""),"",$B917&amp;"|"&amp;$A917&amp;"|"&amp;$F917&amp;"|"&amp;$R917&amp;"|"&amp;COUNTIFS($B$6:$B917,$B917,$A$6:$A917,$A917,$F$6:$F917,$F917,$R$6:$R917,$R917))</f>
        <v/>
      </c>
      <c r="U917" s="32">
        <f>IF($C917="","",$C917&amp;"|"&amp;COUNTIFS($C$6:$C917,$C917))</f>
        <v/>
      </c>
      <c r="V917" s="32">
        <f>IF(OR($C917="",$A917="",$S917=""),"",$C917&amp;"|"&amp;$A917&amp;"|"&amp;$S917)</f>
        <v/>
      </c>
      <c r="W917" s="32">
        <f>IF(OR($C917="",$S917="",$S917=1),"",IFERROR(INDEX($Q$6:$Q$1505,MATCH($C917&amp;"|"&amp;$A917&amp;"|"&amp;($S917-1),$V$6:$V$1505,0)),""))</f>
        <v/>
      </c>
      <c r="X917" s="32">
        <f>IF(OR($W917="",$Q917="",LEFT($Q917,1)="—"),"",IF($W917=$Q917,"ללא שינוי","מ-"&amp;$W917&amp;" ל-"&amp;$Q917))</f>
        <v/>
      </c>
    </row>
    <row r="918" ht="15.75" customHeight="1" s="58">
      <c r="A918" s="65" t="n"/>
      <c r="B918" s="65" t="n"/>
      <c r="C918" s="66" t="n"/>
      <c r="D918" s="66" t="n"/>
      <c r="E918" s="65" t="n"/>
      <c r="F918" s="65" t="n"/>
      <c r="G918" s="65" t="n"/>
      <c r="H918" s="65" t="n"/>
      <c r="I918" s="65" t="n"/>
      <c r="J918" s="65" t="n"/>
      <c r="K918" s="65" t="n"/>
      <c r="L918" s="65" t="n"/>
      <c r="M918" s="65" t="n"/>
      <c r="N918" s="65" t="n"/>
      <c r="O918" s="65" t="n"/>
      <c r="P918" s="65" t="n"/>
      <c r="Q918" s="32">
        <f>IF($C918="","",IF($J918="","— חסרים נתונים",IF($J918="טרם מפענח","פרופיל 5",IF($J918="קמץ/פתח/חטף-פתח ושוואים","פרופיל 4",IF($J918="2-3 סימני ניקוד","פרופיל 3",IF($J918="4-5 סימני ניקוד","פרופיל 2",IF(AND($O918="משפטים וקטעים קצרים",OR($M918="מבין",$M918="מבין לרוב")),"פרופיל 1","פרופיל 2")))))))</f>
        <v/>
      </c>
      <c r="R918" s="32">
        <f>IF($C918="","",IF(OR($Q918="",LEFT($Q918,1)="—"),"קבוצה רביעית",IF($Q918="פרופיל 5","קבוצת תשתיות",IF(OR($Q918="פרופיל 4",$Q918="פרופיל 3"),"קבוצת רכישה","קבוצת ביסוס"))))</f>
        <v/>
      </c>
      <c r="S918" s="32">
        <f>IF($F918="","",IF($F918="תחילת שנה",1,IF($F918="מחצית שנה",2,3)))</f>
        <v/>
      </c>
      <c r="T918" s="32">
        <f>IF(OR($B918="",$R918="",$A918="",$F918=""),"",$B918&amp;"|"&amp;$A918&amp;"|"&amp;$F918&amp;"|"&amp;$R918&amp;"|"&amp;COUNTIFS($B$6:$B918,$B918,$A$6:$A918,$A918,$F$6:$F918,$F918,$R$6:$R918,$R918))</f>
        <v/>
      </c>
      <c r="U918" s="32">
        <f>IF($C918="","",$C918&amp;"|"&amp;COUNTIFS($C$6:$C918,$C918))</f>
        <v/>
      </c>
      <c r="V918" s="32">
        <f>IF(OR($C918="",$A918="",$S918=""),"",$C918&amp;"|"&amp;$A918&amp;"|"&amp;$S918)</f>
        <v/>
      </c>
      <c r="W918" s="32">
        <f>IF(OR($C918="",$S918="",$S918=1),"",IFERROR(INDEX($Q$6:$Q$1505,MATCH($C918&amp;"|"&amp;$A918&amp;"|"&amp;($S918-1),$V$6:$V$1505,0)),""))</f>
        <v/>
      </c>
      <c r="X918" s="32">
        <f>IF(OR($W918="",$Q918="",LEFT($Q918,1)="—"),"",IF($W918=$Q918,"ללא שינוי","מ-"&amp;$W918&amp;" ל-"&amp;$Q918))</f>
        <v/>
      </c>
    </row>
    <row r="919" ht="15.75" customHeight="1" s="58">
      <c r="A919" s="65" t="n"/>
      <c r="B919" s="65" t="n"/>
      <c r="C919" s="66" t="n"/>
      <c r="D919" s="66" t="n"/>
      <c r="E919" s="65" t="n"/>
      <c r="F919" s="65" t="n"/>
      <c r="G919" s="65" t="n"/>
      <c r="H919" s="65" t="n"/>
      <c r="I919" s="65" t="n"/>
      <c r="J919" s="65" t="n"/>
      <c r="K919" s="65" t="n"/>
      <c r="L919" s="65" t="n"/>
      <c r="M919" s="65" t="n"/>
      <c r="N919" s="65" t="n"/>
      <c r="O919" s="65" t="n"/>
      <c r="P919" s="65" t="n"/>
      <c r="Q919" s="32">
        <f>IF($C919="","",IF($J919="","— חסרים נתונים",IF($J919="טרם מפענח","פרופיל 5",IF($J919="קמץ/פתח/חטף-פתח ושוואים","פרופיל 4",IF($J919="2-3 סימני ניקוד","פרופיל 3",IF($J919="4-5 סימני ניקוד","פרופיל 2",IF(AND($O919="משפטים וקטעים קצרים",OR($M919="מבין",$M919="מבין לרוב")),"פרופיל 1","פרופיל 2")))))))</f>
        <v/>
      </c>
      <c r="R919" s="32">
        <f>IF($C919="","",IF(OR($Q919="",LEFT($Q919,1)="—"),"קבוצה רביעית",IF($Q919="פרופיל 5","קבוצת תשתיות",IF(OR($Q919="פרופיל 4",$Q919="פרופיל 3"),"קבוצת רכישה","קבוצת ביסוס"))))</f>
        <v/>
      </c>
      <c r="S919" s="32">
        <f>IF($F919="","",IF($F919="תחילת שנה",1,IF($F919="מחצית שנה",2,3)))</f>
        <v/>
      </c>
      <c r="T919" s="32">
        <f>IF(OR($B919="",$R919="",$A919="",$F919=""),"",$B919&amp;"|"&amp;$A919&amp;"|"&amp;$F919&amp;"|"&amp;$R919&amp;"|"&amp;COUNTIFS($B$6:$B919,$B919,$A$6:$A919,$A919,$F$6:$F919,$F919,$R$6:$R919,$R919))</f>
        <v/>
      </c>
      <c r="U919" s="32">
        <f>IF($C919="","",$C919&amp;"|"&amp;COUNTIFS($C$6:$C919,$C919))</f>
        <v/>
      </c>
      <c r="V919" s="32">
        <f>IF(OR($C919="",$A919="",$S919=""),"",$C919&amp;"|"&amp;$A919&amp;"|"&amp;$S919)</f>
        <v/>
      </c>
      <c r="W919" s="32">
        <f>IF(OR($C919="",$S919="",$S919=1),"",IFERROR(INDEX($Q$6:$Q$1505,MATCH($C919&amp;"|"&amp;$A919&amp;"|"&amp;($S919-1),$V$6:$V$1505,0)),""))</f>
        <v/>
      </c>
      <c r="X919" s="32">
        <f>IF(OR($W919="",$Q919="",LEFT($Q919,1)="—"),"",IF($W919=$Q919,"ללא שינוי","מ-"&amp;$W919&amp;" ל-"&amp;$Q919))</f>
        <v/>
      </c>
    </row>
    <row r="920" ht="15.75" customHeight="1" s="58">
      <c r="A920" s="65" t="n"/>
      <c r="B920" s="65" t="n"/>
      <c r="C920" s="66" t="n"/>
      <c r="D920" s="66" t="n"/>
      <c r="E920" s="65" t="n"/>
      <c r="F920" s="65" t="n"/>
      <c r="G920" s="65" t="n"/>
      <c r="H920" s="65" t="n"/>
      <c r="I920" s="65" t="n"/>
      <c r="J920" s="65" t="n"/>
      <c r="K920" s="65" t="n"/>
      <c r="L920" s="65" t="n"/>
      <c r="M920" s="65" t="n"/>
      <c r="N920" s="65" t="n"/>
      <c r="O920" s="65" t="n"/>
      <c r="P920" s="65" t="n"/>
      <c r="Q920" s="32">
        <f>IF($C920="","",IF($J920="","— חסרים נתונים",IF($J920="טרם מפענח","פרופיל 5",IF($J920="קמץ/פתח/חטף-פתח ושוואים","פרופיל 4",IF($J920="2-3 סימני ניקוד","פרופיל 3",IF($J920="4-5 סימני ניקוד","פרופיל 2",IF(AND($O920="משפטים וקטעים קצרים",OR($M920="מבין",$M920="מבין לרוב")),"פרופיל 1","פרופיל 2")))))))</f>
        <v/>
      </c>
      <c r="R920" s="32">
        <f>IF($C920="","",IF(OR($Q920="",LEFT($Q920,1)="—"),"קבוצה רביעית",IF($Q920="פרופיל 5","קבוצת תשתיות",IF(OR($Q920="פרופיל 4",$Q920="פרופיל 3"),"קבוצת רכישה","קבוצת ביסוס"))))</f>
        <v/>
      </c>
      <c r="S920" s="32">
        <f>IF($F920="","",IF($F920="תחילת שנה",1,IF($F920="מחצית שנה",2,3)))</f>
        <v/>
      </c>
      <c r="T920" s="32">
        <f>IF(OR($B920="",$R920="",$A920="",$F920=""),"",$B920&amp;"|"&amp;$A920&amp;"|"&amp;$F920&amp;"|"&amp;$R920&amp;"|"&amp;COUNTIFS($B$6:$B920,$B920,$A$6:$A920,$A920,$F$6:$F920,$F920,$R$6:$R920,$R920))</f>
        <v/>
      </c>
      <c r="U920" s="32">
        <f>IF($C920="","",$C920&amp;"|"&amp;COUNTIFS($C$6:$C920,$C920))</f>
        <v/>
      </c>
      <c r="V920" s="32">
        <f>IF(OR($C920="",$A920="",$S920=""),"",$C920&amp;"|"&amp;$A920&amp;"|"&amp;$S920)</f>
        <v/>
      </c>
      <c r="W920" s="32">
        <f>IF(OR($C920="",$S920="",$S920=1),"",IFERROR(INDEX($Q$6:$Q$1505,MATCH($C920&amp;"|"&amp;$A920&amp;"|"&amp;($S920-1),$V$6:$V$1505,0)),""))</f>
        <v/>
      </c>
      <c r="X920" s="32">
        <f>IF(OR($W920="",$Q920="",LEFT($Q920,1)="—"),"",IF($W920=$Q920,"ללא שינוי","מ-"&amp;$W920&amp;" ל-"&amp;$Q920))</f>
        <v/>
      </c>
    </row>
    <row r="921" ht="15.75" customHeight="1" s="58">
      <c r="A921" s="65" t="n"/>
      <c r="B921" s="65" t="n"/>
      <c r="C921" s="66" t="n"/>
      <c r="D921" s="66" t="n"/>
      <c r="E921" s="65" t="n"/>
      <c r="F921" s="65" t="n"/>
      <c r="G921" s="65" t="n"/>
      <c r="H921" s="65" t="n"/>
      <c r="I921" s="65" t="n"/>
      <c r="J921" s="65" t="n"/>
      <c r="K921" s="65" t="n"/>
      <c r="L921" s="65" t="n"/>
      <c r="M921" s="65" t="n"/>
      <c r="N921" s="65" t="n"/>
      <c r="O921" s="65" t="n"/>
      <c r="P921" s="65" t="n"/>
      <c r="Q921" s="32">
        <f>IF($C921="","",IF($J921="","— חסרים נתונים",IF($J921="טרם מפענח","פרופיל 5",IF($J921="קמץ/פתח/חטף-פתח ושוואים","פרופיל 4",IF($J921="2-3 סימני ניקוד","פרופיל 3",IF($J921="4-5 סימני ניקוד","פרופיל 2",IF(AND($O921="משפטים וקטעים קצרים",OR($M921="מבין",$M921="מבין לרוב")),"פרופיל 1","פרופיל 2")))))))</f>
        <v/>
      </c>
      <c r="R921" s="32">
        <f>IF($C921="","",IF(OR($Q921="",LEFT($Q921,1)="—"),"קבוצה רביעית",IF($Q921="פרופיל 5","קבוצת תשתיות",IF(OR($Q921="פרופיל 4",$Q921="פרופיל 3"),"קבוצת רכישה","קבוצת ביסוס"))))</f>
        <v/>
      </c>
      <c r="S921" s="32">
        <f>IF($F921="","",IF($F921="תחילת שנה",1,IF($F921="מחצית שנה",2,3)))</f>
        <v/>
      </c>
      <c r="T921" s="32">
        <f>IF(OR($B921="",$R921="",$A921="",$F921=""),"",$B921&amp;"|"&amp;$A921&amp;"|"&amp;$F921&amp;"|"&amp;$R921&amp;"|"&amp;COUNTIFS($B$6:$B921,$B921,$A$6:$A921,$A921,$F$6:$F921,$F921,$R$6:$R921,$R921))</f>
        <v/>
      </c>
      <c r="U921" s="32">
        <f>IF($C921="","",$C921&amp;"|"&amp;COUNTIFS($C$6:$C921,$C921))</f>
        <v/>
      </c>
      <c r="V921" s="32">
        <f>IF(OR($C921="",$A921="",$S921=""),"",$C921&amp;"|"&amp;$A921&amp;"|"&amp;$S921)</f>
        <v/>
      </c>
      <c r="W921" s="32">
        <f>IF(OR($C921="",$S921="",$S921=1),"",IFERROR(INDEX($Q$6:$Q$1505,MATCH($C921&amp;"|"&amp;$A921&amp;"|"&amp;($S921-1),$V$6:$V$1505,0)),""))</f>
        <v/>
      </c>
      <c r="X921" s="32">
        <f>IF(OR($W921="",$Q921="",LEFT($Q921,1)="—"),"",IF($W921=$Q921,"ללא שינוי","מ-"&amp;$W921&amp;" ל-"&amp;$Q921))</f>
        <v/>
      </c>
    </row>
    <row r="922" ht="15.75" customHeight="1" s="58">
      <c r="A922" s="65" t="n"/>
      <c r="B922" s="65" t="n"/>
      <c r="C922" s="66" t="n"/>
      <c r="D922" s="66" t="n"/>
      <c r="E922" s="65" t="n"/>
      <c r="F922" s="65" t="n"/>
      <c r="G922" s="65" t="n"/>
      <c r="H922" s="65" t="n"/>
      <c r="I922" s="65" t="n"/>
      <c r="J922" s="65" t="n"/>
      <c r="K922" s="65" t="n"/>
      <c r="L922" s="65" t="n"/>
      <c r="M922" s="65" t="n"/>
      <c r="N922" s="65" t="n"/>
      <c r="O922" s="65" t="n"/>
      <c r="P922" s="65" t="n"/>
      <c r="Q922" s="32">
        <f>IF($C922="","",IF($J922="","— חסרים נתונים",IF($J922="טרם מפענח","פרופיל 5",IF($J922="קמץ/פתח/חטף-פתח ושוואים","פרופיל 4",IF($J922="2-3 סימני ניקוד","פרופיל 3",IF($J922="4-5 סימני ניקוד","פרופיל 2",IF(AND($O922="משפטים וקטעים קצרים",OR($M922="מבין",$M922="מבין לרוב")),"פרופיל 1","פרופיל 2")))))))</f>
        <v/>
      </c>
      <c r="R922" s="32">
        <f>IF($C922="","",IF(OR($Q922="",LEFT($Q922,1)="—"),"קבוצה רביעית",IF($Q922="פרופיל 5","קבוצת תשתיות",IF(OR($Q922="פרופיל 4",$Q922="פרופיל 3"),"קבוצת רכישה","קבוצת ביסוס"))))</f>
        <v/>
      </c>
      <c r="S922" s="32">
        <f>IF($F922="","",IF($F922="תחילת שנה",1,IF($F922="מחצית שנה",2,3)))</f>
        <v/>
      </c>
      <c r="T922" s="32">
        <f>IF(OR($B922="",$R922="",$A922="",$F922=""),"",$B922&amp;"|"&amp;$A922&amp;"|"&amp;$F922&amp;"|"&amp;$R922&amp;"|"&amp;COUNTIFS($B$6:$B922,$B922,$A$6:$A922,$A922,$F$6:$F922,$F922,$R$6:$R922,$R922))</f>
        <v/>
      </c>
      <c r="U922" s="32">
        <f>IF($C922="","",$C922&amp;"|"&amp;COUNTIFS($C$6:$C922,$C922))</f>
        <v/>
      </c>
      <c r="V922" s="32">
        <f>IF(OR($C922="",$A922="",$S922=""),"",$C922&amp;"|"&amp;$A922&amp;"|"&amp;$S922)</f>
        <v/>
      </c>
      <c r="W922" s="32">
        <f>IF(OR($C922="",$S922="",$S922=1),"",IFERROR(INDEX($Q$6:$Q$1505,MATCH($C922&amp;"|"&amp;$A922&amp;"|"&amp;($S922-1),$V$6:$V$1505,0)),""))</f>
        <v/>
      </c>
      <c r="X922" s="32">
        <f>IF(OR($W922="",$Q922="",LEFT($Q922,1)="—"),"",IF($W922=$Q922,"ללא שינוי","מ-"&amp;$W922&amp;" ל-"&amp;$Q922))</f>
        <v/>
      </c>
    </row>
    <row r="923" ht="15.75" customHeight="1" s="58">
      <c r="A923" s="65" t="n"/>
      <c r="B923" s="65" t="n"/>
      <c r="C923" s="66" t="n"/>
      <c r="D923" s="66" t="n"/>
      <c r="E923" s="65" t="n"/>
      <c r="F923" s="65" t="n"/>
      <c r="G923" s="65" t="n"/>
      <c r="H923" s="65" t="n"/>
      <c r="I923" s="65" t="n"/>
      <c r="J923" s="65" t="n"/>
      <c r="K923" s="65" t="n"/>
      <c r="L923" s="65" t="n"/>
      <c r="M923" s="65" t="n"/>
      <c r="N923" s="65" t="n"/>
      <c r="O923" s="65" t="n"/>
      <c r="P923" s="65" t="n"/>
      <c r="Q923" s="32">
        <f>IF($C923="","",IF($J923="","— חסרים נתונים",IF($J923="טרם מפענח","פרופיל 5",IF($J923="קמץ/פתח/חטף-פתח ושוואים","פרופיל 4",IF($J923="2-3 סימני ניקוד","פרופיל 3",IF($J923="4-5 סימני ניקוד","פרופיל 2",IF(AND($O923="משפטים וקטעים קצרים",OR($M923="מבין",$M923="מבין לרוב")),"פרופיל 1","פרופיל 2")))))))</f>
        <v/>
      </c>
      <c r="R923" s="32">
        <f>IF($C923="","",IF(OR($Q923="",LEFT($Q923,1)="—"),"קבוצה רביעית",IF($Q923="פרופיל 5","קבוצת תשתיות",IF(OR($Q923="פרופיל 4",$Q923="פרופיל 3"),"קבוצת רכישה","קבוצת ביסוס"))))</f>
        <v/>
      </c>
      <c r="S923" s="32">
        <f>IF($F923="","",IF($F923="תחילת שנה",1,IF($F923="מחצית שנה",2,3)))</f>
        <v/>
      </c>
      <c r="T923" s="32">
        <f>IF(OR($B923="",$R923="",$A923="",$F923=""),"",$B923&amp;"|"&amp;$A923&amp;"|"&amp;$F923&amp;"|"&amp;$R923&amp;"|"&amp;COUNTIFS($B$6:$B923,$B923,$A$6:$A923,$A923,$F$6:$F923,$F923,$R$6:$R923,$R923))</f>
        <v/>
      </c>
      <c r="U923" s="32">
        <f>IF($C923="","",$C923&amp;"|"&amp;COUNTIFS($C$6:$C923,$C923))</f>
        <v/>
      </c>
      <c r="V923" s="32">
        <f>IF(OR($C923="",$A923="",$S923=""),"",$C923&amp;"|"&amp;$A923&amp;"|"&amp;$S923)</f>
        <v/>
      </c>
      <c r="W923" s="32">
        <f>IF(OR($C923="",$S923="",$S923=1),"",IFERROR(INDEX($Q$6:$Q$1505,MATCH($C923&amp;"|"&amp;$A923&amp;"|"&amp;($S923-1),$V$6:$V$1505,0)),""))</f>
        <v/>
      </c>
      <c r="X923" s="32">
        <f>IF(OR($W923="",$Q923="",LEFT($Q923,1)="—"),"",IF($W923=$Q923,"ללא שינוי","מ-"&amp;$W923&amp;" ל-"&amp;$Q923))</f>
        <v/>
      </c>
    </row>
    <row r="924" ht="15.75" customHeight="1" s="58">
      <c r="A924" s="65" t="n"/>
      <c r="B924" s="65" t="n"/>
      <c r="C924" s="66" t="n"/>
      <c r="D924" s="66" t="n"/>
      <c r="E924" s="65" t="n"/>
      <c r="F924" s="65" t="n"/>
      <c r="G924" s="65" t="n"/>
      <c r="H924" s="65" t="n"/>
      <c r="I924" s="65" t="n"/>
      <c r="J924" s="65" t="n"/>
      <c r="K924" s="65" t="n"/>
      <c r="L924" s="65" t="n"/>
      <c r="M924" s="65" t="n"/>
      <c r="N924" s="65" t="n"/>
      <c r="O924" s="65" t="n"/>
      <c r="P924" s="65" t="n"/>
      <c r="Q924" s="32">
        <f>IF($C924="","",IF($J924="","— חסרים נתונים",IF($J924="טרם מפענח","פרופיל 5",IF($J924="קמץ/פתח/חטף-פתח ושוואים","פרופיל 4",IF($J924="2-3 סימני ניקוד","פרופיל 3",IF($J924="4-5 סימני ניקוד","פרופיל 2",IF(AND($O924="משפטים וקטעים קצרים",OR($M924="מבין",$M924="מבין לרוב")),"פרופיל 1","פרופיל 2")))))))</f>
        <v/>
      </c>
      <c r="R924" s="32">
        <f>IF($C924="","",IF(OR($Q924="",LEFT($Q924,1)="—"),"קבוצה רביעית",IF($Q924="פרופיל 5","קבוצת תשתיות",IF(OR($Q924="פרופיל 4",$Q924="פרופיל 3"),"קבוצת רכישה","קבוצת ביסוס"))))</f>
        <v/>
      </c>
      <c r="S924" s="32">
        <f>IF($F924="","",IF($F924="תחילת שנה",1,IF($F924="מחצית שנה",2,3)))</f>
        <v/>
      </c>
      <c r="T924" s="32">
        <f>IF(OR($B924="",$R924="",$A924="",$F924=""),"",$B924&amp;"|"&amp;$A924&amp;"|"&amp;$F924&amp;"|"&amp;$R924&amp;"|"&amp;COUNTIFS($B$6:$B924,$B924,$A$6:$A924,$A924,$F$6:$F924,$F924,$R$6:$R924,$R924))</f>
        <v/>
      </c>
      <c r="U924" s="32">
        <f>IF($C924="","",$C924&amp;"|"&amp;COUNTIFS($C$6:$C924,$C924))</f>
        <v/>
      </c>
      <c r="V924" s="32">
        <f>IF(OR($C924="",$A924="",$S924=""),"",$C924&amp;"|"&amp;$A924&amp;"|"&amp;$S924)</f>
        <v/>
      </c>
      <c r="W924" s="32">
        <f>IF(OR($C924="",$S924="",$S924=1),"",IFERROR(INDEX($Q$6:$Q$1505,MATCH($C924&amp;"|"&amp;$A924&amp;"|"&amp;($S924-1),$V$6:$V$1505,0)),""))</f>
        <v/>
      </c>
      <c r="X924" s="32">
        <f>IF(OR($W924="",$Q924="",LEFT($Q924,1)="—"),"",IF($W924=$Q924,"ללא שינוי","מ-"&amp;$W924&amp;" ל-"&amp;$Q924))</f>
        <v/>
      </c>
    </row>
    <row r="925" ht="15.75" customHeight="1" s="58">
      <c r="A925" s="65" t="n"/>
      <c r="B925" s="65" t="n"/>
      <c r="C925" s="66" t="n"/>
      <c r="D925" s="66" t="n"/>
      <c r="E925" s="65" t="n"/>
      <c r="F925" s="65" t="n"/>
      <c r="G925" s="65" t="n"/>
      <c r="H925" s="65" t="n"/>
      <c r="I925" s="65" t="n"/>
      <c r="J925" s="65" t="n"/>
      <c r="K925" s="65" t="n"/>
      <c r="L925" s="65" t="n"/>
      <c r="M925" s="65" t="n"/>
      <c r="N925" s="65" t="n"/>
      <c r="O925" s="65" t="n"/>
      <c r="P925" s="65" t="n"/>
      <c r="Q925" s="32">
        <f>IF($C925="","",IF($J925="","— חסרים נתונים",IF($J925="טרם מפענח","פרופיל 5",IF($J925="קמץ/פתח/חטף-פתח ושוואים","פרופיל 4",IF($J925="2-3 סימני ניקוד","פרופיל 3",IF($J925="4-5 סימני ניקוד","פרופיל 2",IF(AND($O925="משפטים וקטעים קצרים",OR($M925="מבין",$M925="מבין לרוב")),"פרופיל 1","פרופיל 2")))))))</f>
        <v/>
      </c>
      <c r="R925" s="32">
        <f>IF($C925="","",IF(OR($Q925="",LEFT($Q925,1)="—"),"קבוצה רביעית",IF($Q925="פרופיל 5","קבוצת תשתיות",IF(OR($Q925="פרופיל 4",$Q925="פרופיל 3"),"קבוצת רכישה","קבוצת ביסוס"))))</f>
        <v/>
      </c>
      <c r="S925" s="32">
        <f>IF($F925="","",IF($F925="תחילת שנה",1,IF($F925="מחצית שנה",2,3)))</f>
        <v/>
      </c>
      <c r="T925" s="32">
        <f>IF(OR($B925="",$R925="",$A925="",$F925=""),"",$B925&amp;"|"&amp;$A925&amp;"|"&amp;$F925&amp;"|"&amp;$R925&amp;"|"&amp;COUNTIFS($B$6:$B925,$B925,$A$6:$A925,$A925,$F$6:$F925,$F925,$R$6:$R925,$R925))</f>
        <v/>
      </c>
      <c r="U925" s="32">
        <f>IF($C925="","",$C925&amp;"|"&amp;COUNTIFS($C$6:$C925,$C925))</f>
        <v/>
      </c>
      <c r="V925" s="32">
        <f>IF(OR($C925="",$A925="",$S925=""),"",$C925&amp;"|"&amp;$A925&amp;"|"&amp;$S925)</f>
        <v/>
      </c>
      <c r="W925" s="32">
        <f>IF(OR($C925="",$S925="",$S925=1),"",IFERROR(INDEX($Q$6:$Q$1505,MATCH($C925&amp;"|"&amp;$A925&amp;"|"&amp;($S925-1),$V$6:$V$1505,0)),""))</f>
        <v/>
      </c>
      <c r="X925" s="32">
        <f>IF(OR($W925="",$Q925="",LEFT($Q925,1)="—"),"",IF($W925=$Q925,"ללא שינוי","מ-"&amp;$W925&amp;" ל-"&amp;$Q925))</f>
        <v/>
      </c>
    </row>
    <row r="926" ht="15.75" customHeight="1" s="58">
      <c r="A926" s="65" t="n"/>
      <c r="B926" s="65" t="n"/>
      <c r="C926" s="66" t="n"/>
      <c r="D926" s="66" t="n"/>
      <c r="E926" s="65" t="n"/>
      <c r="F926" s="65" t="n"/>
      <c r="G926" s="65" t="n"/>
      <c r="H926" s="65" t="n"/>
      <c r="I926" s="65" t="n"/>
      <c r="J926" s="65" t="n"/>
      <c r="K926" s="65" t="n"/>
      <c r="L926" s="65" t="n"/>
      <c r="M926" s="65" t="n"/>
      <c r="N926" s="65" t="n"/>
      <c r="O926" s="65" t="n"/>
      <c r="P926" s="65" t="n"/>
      <c r="Q926" s="32">
        <f>IF($C926="","",IF($J926="","— חסרים נתונים",IF($J926="טרם מפענח","פרופיל 5",IF($J926="קמץ/פתח/חטף-פתח ושוואים","פרופיל 4",IF($J926="2-3 סימני ניקוד","פרופיל 3",IF($J926="4-5 סימני ניקוד","פרופיל 2",IF(AND($O926="משפטים וקטעים קצרים",OR($M926="מבין",$M926="מבין לרוב")),"פרופיל 1","פרופיל 2")))))))</f>
        <v/>
      </c>
      <c r="R926" s="32">
        <f>IF($C926="","",IF(OR($Q926="",LEFT($Q926,1)="—"),"קבוצה רביעית",IF($Q926="פרופיל 5","קבוצת תשתיות",IF(OR($Q926="פרופיל 4",$Q926="פרופיל 3"),"קבוצת רכישה","קבוצת ביסוס"))))</f>
        <v/>
      </c>
      <c r="S926" s="32">
        <f>IF($F926="","",IF($F926="תחילת שנה",1,IF($F926="מחצית שנה",2,3)))</f>
        <v/>
      </c>
      <c r="T926" s="32">
        <f>IF(OR($B926="",$R926="",$A926="",$F926=""),"",$B926&amp;"|"&amp;$A926&amp;"|"&amp;$F926&amp;"|"&amp;$R926&amp;"|"&amp;COUNTIFS($B$6:$B926,$B926,$A$6:$A926,$A926,$F$6:$F926,$F926,$R$6:$R926,$R926))</f>
        <v/>
      </c>
      <c r="U926" s="32">
        <f>IF($C926="","",$C926&amp;"|"&amp;COUNTIFS($C$6:$C926,$C926))</f>
        <v/>
      </c>
      <c r="V926" s="32">
        <f>IF(OR($C926="",$A926="",$S926=""),"",$C926&amp;"|"&amp;$A926&amp;"|"&amp;$S926)</f>
        <v/>
      </c>
      <c r="W926" s="32">
        <f>IF(OR($C926="",$S926="",$S926=1),"",IFERROR(INDEX($Q$6:$Q$1505,MATCH($C926&amp;"|"&amp;$A926&amp;"|"&amp;($S926-1),$V$6:$V$1505,0)),""))</f>
        <v/>
      </c>
      <c r="X926" s="32">
        <f>IF(OR($W926="",$Q926="",LEFT($Q926,1)="—"),"",IF($W926=$Q926,"ללא שינוי","מ-"&amp;$W926&amp;" ל-"&amp;$Q926))</f>
        <v/>
      </c>
    </row>
    <row r="927" ht="15.75" customHeight="1" s="58">
      <c r="A927" s="65" t="n"/>
      <c r="B927" s="65" t="n"/>
      <c r="C927" s="66" t="n"/>
      <c r="D927" s="66" t="n"/>
      <c r="E927" s="65" t="n"/>
      <c r="F927" s="65" t="n"/>
      <c r="G927" s="65" t="n"/>
      <c r="H927" s="65" t="n"/>
      <c r="I927" s="65" t="n"/>
      <c r="J927" s="65" t="n"/>
      <c r="K927" s="65" t="n"/>
      <c r="L927" s="65" t="n"/>
      <c r="M927" s="65" t="n"/>
      <c r="N927" s="65" t="n"/>
      <c r="O927" s="65" t="n"/>
      <c r="P927" s="65" t="n"/>
      <c r="Q927" s="32">
        <f>IF($C927="","",IF($J927="","— חסרים נתונים",IF($J927="טרם מפענח","פרופיל 5",IF($J927="קמץ/פתח/חטף-פתח ושוואים","פרופיל 4",IF($J927="2-3 סימני ניקוד","פרופיל 3",IF($J927="4-5 סימני ניקוד","פרופיל 2",IF(AND($O927="משפטים וקטעים קצרים",OR($M927="מבין",$M927="מבין לרוב")),"פרופיל 1","פרופיל 2")))))))</f>
        <v/>
      </c>
      <c r="R927" s="32">
        <f>IF($C927="","",IF(OR($Q927="",LEFT($Q927,1)="—"),"קבוצה רביעית",IF($Q927="פרופיל 5","קבוצת תשתיות",IF(OR($Q927="פרופיל 4",$Q927="פרופיל 3"),"קבוצת רכישה","קבוצת ביסוס"))))</f>
        <v/>
      </c>
      <c r="S927" s="32">
        <f>IF($F927="","",IF($F927="תחילת שנה",1,IF($F927="מחצית שנה",2,3)))</f>
        <v/>
      </c>
      <c r="T927" s="32">
        <f>IF(OR($B927="",$R927="",$A927="",$F927=""),"",$B927&amp;"|"&amp;$A927&amp;"|"&amp;$F927&amp;"|"&amp;$R927&amp;"|"&amp;COUNTIFS($B$6:$B927,$B927,$A$6:$A927,$A927,$F$6:$F927,$F927,$R$6:$R927,$R927))</f>
        <v/>
      </c>
      <c r="U927" s="32">
        <f>IF($C927="","",$C927&amp;"|"&amp;COUNTIFS($C$6:$C927,$C927))</f>
        <v/>
      </c>
      <c r="V927" s="32">
        <f>IF(OR($C927="",$A927="",$S927=""),"",$C927&amp;"|"&amp;$A927&amp;"|"&amp;$S927)</f>
        <v/>
      </c>
      <c r="W927" s="32">
        <f>IF(OR($C927="",$S927="",$S927=1),"",IFERROR(INDEX($Q$6:$Q$1505,MATCH($C927&amp;"|"&amp;$A927&amp;"|"&amp;($S927-1),$V$6:$V$1505,0)),""))</f>
        <v/>
      </c>
      <c r="X927" s="32">
        <f>IF(OR($W927="",$Q927="",LEFT($Q927,1)="—"),"",IF($W927=$Q927,"ללא שינוי","מ-"&amp;$W927&amp;" ל-"&amp;$Q927))</f>
        <v/>
      </c>
    </row>
    <row r="928" ht="15.75" customHeight="1" s="58">
      <c r="A928" s="65" t="n"/>
      <c r="B928" s="65" t="n"/>
      <c r="C928" s="66" t="n"/>
      <c r="D928" s="66" t="n"/>
      <c r="E928" s="65" t="n"/>
      <c r="F928" s="65" t="n"/>
      <c r="G928" s="65" t="n"/>
      <c r="H928" s="65" t="n"/>
      <c r="I928" s="65" t="n"/>
      <c r="J928" s="65" t="n"/>
      <c r="K928" s="65" t="n"/>
      <c r="L928" s="65" t="n"/>
      <c r="M928" s="65" t="n"/>
      <c r="N928" s="65" t="n"/>
      <c r="O928" s="65" t="n"/>
      <c r="P928" s="65" t="n"/>
      <c r="Q928" s="32">
        <f>IF($C928="","",IF($J928="","— חסרים נתונים",IF($J928="טרם מפענח","פרופיל 5",IF($J928="קמץ/פתח/חטף-פתח ושוואים","פרופיל 4",IF($J928="2-3 סימני ניקוד","פרופיל 3",IF($J928="4-5 סימני ניקוד","פרופיל 2",IF(AND($O928="משפטים וקטעים קצרים",OR($M928="מבין",$M928="מבין לרוב")),"פרופיל 1","פרופיל 2")))))))</f>
        <v/>
      </c>
      <c r="R928" s="32">
        <f>IF($C928="","",IF(OR($Q928="",LEFT($Q928,1)="—"),"קבוצה רביעית",IF($Q928="פרופיל 5","קבוצת תשתיות",IF(OR($Q928="פרופיל 4",$Q928="פרופיל 3"),"קבוצת רכישה","קבוצת ביסוס"))))</f>
        <v/>
      </c>
      <c r="S928" s="32">
        <f>IF($F928="","",IF($F928="תחילת שנה",1,IF($F928="מחצית שנה",2,3)))</f>
        <v/>
      </c>
      <c r="T928" s="32">
        <f>IF(OR($B928="",$R928="",$A928="",$F928=""),"",$B928&amp;"|"&amp;$A928&amp;"|"&amp;$F928&amp;"|"&amp;$R928&amp;"|"&amp;COUNTIFS($B$6:$B928,$B928,$A$6:$A928,$A928,$F$6:$F928,$F928,$R$6:$R928,$R928))</f>
        <v/>
      </c>
      <c r="U928" s="32">
        <f>IF($C928="","",$C928&amp;"|"&amp;COUNTIFS($C$6:$C928,$C928))</f>
        <v/>
      </c>
      <c r="V928" s="32">
        <f>IF(OR($C928="",$A928="",$S928=""),"",$C928&amp;"|"&amp;$A928&amp;"|"&amp;$S928)</f>
        <v/>
      </c>
      <c r="W928" s="32">
        <f>IF(OR($C928="",$S928="",$S928=1),"",IFERROR(INDEX($Q$6:$Q$1505,MATCH($C928&amp;"|"&amp;$A928&amp;"|"&amp;($S928-1),$V$6:$V$1505,0)),""))</f>
        <v/>
      </c>
      <c r="X928" s="32">
        <f>IF(OR($W928="",$Q928="",LEFT($Q928,1)="—"),"",IF($W928=$Q928,"ללא שינוי","מ-"&amp;$W928&amp;" ל-"&amp;$Q928))</f>
        <v/>
      </c>
    </row>
    <row r="929" ht="15.75" customHeight="1" s="58">
      <c r="A929" s="65" t="n"/>
      <c r="B929" s="65" t="n"/>
      <c r="C929" s="66" t="n"/>
      <c r="D929" s="66" t="n"/>
      <c r="E929" s="65" t="n"/>
      <c r="F929" s="65" t="n"/>
      <c r="G929" s="65" t="n"/>
      <c r="H929" s="65" t="n"/>
      <c r="I929" s="65" t="n"/>
      <c r="J929" s="65" t="n"/>
      <c r="K929" s="65" t="n"/>
      <c r="L929" s="65" t="n"/>
      <c r="M929" s="65" t="n"/>
      <c r="N929" s="65" t="n"/>
      <c r="O929" s="65" t="n"/>
      <c r="P929" s="65" t="n"/>
      <c r="Q929" s="32">
        <f>IF($C929="","",IF($J929="","— חסרים נתונים",IF($J929="טרם מפענח","פרופיל 5",IF($J929="קמץ/פתח/חטף-פתח ושוואים","פרופיל 4",IF($J929="2-3 סימני ניקוד","פרופיל 3",IF($J929="4-5 סימני ניקוד","פרופיל 2",IF(AND($O929="משפטים וקטעים קצרים",OR($M929="מבין",$M929="מבין לרוב")),"פרופיל 1","פרופיל 2")))))))</f>
        <v/>
      </c>
      <c r="R929" s="32">
        <f>IF($C929="","",IF(OR($Q929="",LEFT($Q929,1)="—"),"קבוצה רביעית",IF($Q929="פרופיל 5","קבוצת תשתיות",IF(OR($Q929="פרופיל 4",$Q929="פרופיל 3"),"קבוצת רכישה","קבוצת ביסוס"))))</f>
        <v/>
      </c>
      <c r="S929" s="32">
        <f>IF($F929="","",IF($F929="תחילת שנה",1,IF($F929="מחצית שנה",2,3)))</f>
        <v/>
      </c>
      <c r="T929" s="32">
        <f>IF(OR($B929="",$R929="",$A929="",$F929=""),"",$B929&amp;"|"&amp;$A929&amp;"|"&amp;$F929&amp;"|"&amp;$R929&amp;"|"&amp;COUNTIFS($B$6:$B929,$B929,$A$6:$A929,$A929,$F$6:$F929,$F929,$R$6:$R929,$R929))</f>
        <v/>
      </c>
      <c r="U929" s="32">
        <f>IF($C929="","",$C929&amp;"|"&amp;COUNTIFS($C$6:$C929,$C929))</f>
        <v/>
      </c>
      <c r="V929" s="32">
        <f>IF(OR($C929="",$A929="",$S929=""),"",$C929&amp;"|"&amp;$A929&amp;"|"&amp;$S929)</f>
        <v/>
      </c>
      <c r="W929" s="32">
        <f>IF(OR($C929="",$S929="",$S929=1),"",IFERROR(INDEX($Q$6:$Q$1505,MATCH($C929&amp;"|"&amp;$A929&amp;"|"&amp;($S929-1),$V$6:$V$1505,0)),""))</f>
        <v/>
      </c>
      <c r="X929" s="32">
        <f>IF(OR($W929="",$Q929="",LEFT($Q929,1)="—"),"",IF($W929=$Q929,"ללא שינוי","מ-"&amp;$W929&amp;" ל-"&amp;$Q929))</f>
        <v/>
      </c>
    </row>
    <row r="930" ht="15.75" customHeight="1" s="58">
      <c r="A930" s="65" t="n"/>
      <c r="B930" s="65" t="n"/>
      <c r="C930" s="66" t="n"/>
      <c r="D930" s="66" t="n"/>
      <c r="E930" s="65" t="n"/>
      <c r="F930" s="65" t="n"/>
      <c r="G930" s="65" t="n"/>
      <c r="H930" s="65" t="n"/>
      <c r="I930" s="65" t="n"/>
      <c r="J930" s="65" t="n"/>
      <c r="K930" s="65" t="n"/>
      <c r="L930" s="65" t="n"/>
      <c r="M930" s="65" t="n"/>
      <c r="N930" s="65" t="n"/>
      <c r="O930" s="65" t="n"/>
      <c r="P930" s="65" t="n"/>
      <c r="Q930" s="32">
        <f>IF($C930="","",IF($J930="","— חסרים נתונים",IF($J930="טרם מפענח","פרופיל 5",IF($J930="קמץ/פתח/חטף-פתח ושוואים","פרופיל 4",IF($J930="2-3 סימני ניקוד","פרופיל 3",IF($J930="4-5 סימני ניקוד","פרופיל 2",IF(AND($O930="משפטים וקטעים קצרים",OR($M930="מבין",$M930="מבין לרוב")),"פרופיל 1","פרופיל 2")))))))</f>
        <v/>
      </c>
      <c r="R930" s="32">
        <f>IF($C930="","",IF(OR($Q930="",LEFT($Q930,1)="—"),"קבוצה רביעית",IF($Q930="פרופיל 5","קבוצת תשתיות",IF(OR($Q930="פרופיל 4",$Q930="פרופיל 3"),"קבוצת רכישה","קבוצת ביסוס"))))</f>
        <v/>
      </c>
      <c r="S930" s="32">
        <f>IF($F930="","",IF($F930="תחילת שנה",1,IF($F930="מחצית שנה",2,3)))</f>
        <v/>
      </c>
      <c r="T930" s="32">
        <f>IF(OR($B930="",$R930="",$A930="",$F930=""),"",$B930&amp;"|"&amp;$A930&amp;"|"&amp;$F930&amp;"|"&amp;$R930&amp;"|"&amp;COUNTIFS($B$6:$B930,$B930,$A$6:$A930,$A930,$F$6:$F930,$F930,$R$6:$R930,$R930))</f>
        <v/>
      </c>
      <c r="U930" s="32">
        <f>IF($C930="","",$C930&amp;"|"&amp;COUNTIFS($C$6:$C930,$C930))</f>
        <v/>
      </c>
      <c r="V930" s="32">
        <f>IF(OR($C930="",$A930="",$S930=""),"",$C930&amp;"|"&amp;$A930&amp;"|"&amp;$S930)</f>
        <v/>
      </c>
      <c r="W930" s="32">
        <f>IF(OR($C930="",$S930="",$S930=1),"",IFERROR(INDEX($Q$6:$Q$1505,MATCH($C930&amp;"|"&amp;$A930&amp;"|"&amp;($S930-1),$V$6:$V$1505,0)),""))</f>
        <v/>
      </c>
      <c r="X930" s="32">
        <f>IF(OR($W930="",$Q930="",LEFT($Q930,1)="—"),"",IF($W930=$Q930,"ללא שינוי","מ-"&amp;$W930&amp;" ל-"&amp;$Q930))</f>
        <v/>
      </c>
    </row>
    <row r="931" ht="15.75" customHeight="1" s="58">
      <c r="A931" s="65" t="n"/>
      <c r="B931" s="65" t="n"/>
      <c r="C931" s="66" t="n"/>
      <c r="D931" s="66" t="n"/>
      <c r="E931" s="65" t="n"/>
      <c r="F931" s="65" t="n"/>
      <c r="G931" s="65" t="n"/>
      <c r="H931" s="65" t="n"/>
      <c r="I931" s="65" t="n"/>
      <c r="J931" s="65" t="n"/>
      <c r="K931" s="65" t="n"/>
      <c r="L931" s="65" t="n"/>
      <c r="M931" s="65" t="n"/>
      <c r="N931" s="65" t="n"/>
      <c r="O931" s="65" t="n"/>
      <c r="P931" s="65" t="n"/>
      <c r="Q931" s="32">
        <f>IF($C931="","",IF($J931="","— חסרים נתונים",IF($J931="טרם מפענח","פרופיל 5",IF($J931="קמץ/פתח/חטף-פתח ושוואים","פרופיל 4",IF($J931="2-3 סימני ניקוד","פרופיל 3",IF($J931="4-5 סימני ניקוד","פרופיל 2",IF(AND($O931="משפטים וקטעים קצרים",OR($M931="מבין",$M931="מבין לרוב")),"פרופיל 1","פרופיל 2")))))))</f>
        <v/>
      </c>
      <c r="R931" s="32">
        <f>IF($C931="","",IF(OR($Q931="",LEFT($Q931,1)="—"),"קבוצה רביעית",IF($Q931="פרופיל 5","קבוצת תשתיות",IF(OR($Q931="פרופיל 4",$Q931="פרופיל 3"),"קבוצת רכישה","קבוצת ביסוס"))))</f>
        <v/>
      </c>
      <c r="S931" s="32">
        <f>IF($F931="","",IF($F931="תחילת שנה",1,IF($F931="מחצית שנה",2,3)))</f>
        <v/>
      </c>
      <c r="T931" s="32">
        <f>IF(OR($B931="",$R931="",$A931="",$F931=""),"",$B931&amp;"|"&amp;$A931&amp;"|"&amp;$F931&amp;"|"&amp;$R931&amp;"|"&amp;COUNTIFS($B$6:$B931,$B931,$A$6:$A931,$A931,$F$6:$F931,$F931,$R$6:$R931,$R931))</f>
        <v/>
      </c>
      <c r="U931" s="32">
        <f>IF($C931="","",$C931&amp;"|"&amp;COUNTIFS($C$6:$C931,$C931))</f>
        <v/>
      </c>
      <c r="V931" s="32">
        <f>IF(OR($C931="",$A931="",$S931=""),"",$C931&amp;"|"&amp;$A931&amp;"|"&amp;$S931)</f>
        <v/>
      </c>
      <c r="W931" s="32">
        <f>IF(OR($C931="",$S931="",$S931=1),"",IFERROR(INDEX($Q$6:$Q$1505,MATCH($C931&amp;"|"&amp;$A931&amp;"|"&amp;($S931-1),$V$6:$V$1505,0)),""))</f>
        <v/>
      </c>
      <c r="X931" s="32">
        <f>IF(OR($W931="",$Q931="",LEFT($Q931,1)="—"),"",IF($W931=$Q931,"ללא שינוי","מ-"&amp;$W931&amp;" ל-"&amp;$Q931))</f>
        <v/>
      </c>
    </row>
    <row r="932" ht="15.75" customHeight="1" s="58">
      <c r="A932" s="65" t="n"/>
      <c r="B932" s="65" t="n"/>
      <c r="C932" s="66" t="n"/>
      <c r="D932" s="66" t="n"/>
      <c r="E932" s="65" t="n"/>
      <c r="F932" s="65" t="n"/>
      <c r="G932" s="65" t="n"/>
      <c r="H932" s="65" t="n"/>
      <c r="I932" s="65" t="n"/>
      <c r="J932" s="65" t="n"/>
      <c r="K932" s="65" t="n"/>
      <c r="L932" s="65" t="n"/>
      <c r="M932" s="65" t="n"/>
      <c r="N932" s="65" t="n"/>
      <c r="O932" s="65" t="n"/>
      <c r="P932" s="65" t="n"/>
      <c r="Q932" s="32">
        <f>IF($C932="","",IF($J932="","— חסרים נתונים",IF($J932="טרם מפענח","פרופיל 5",IF($J932="קמץ/פתח/חטף-פתח ושוואים","פרופיל 4",IF($J932="2-3 סימני ניקוד","פרופיל 3",IF($J932="4-5 סימני ניקוד","פרופיל 2",IF(AND($O932="משפטים וקטעים קצרים",OR($M932="מבין",$M932="מבין לרוב")),"פרופיל 1","פרופיל 2")))))))</f>
        <v/>
      </c>
      <c r="R932" s="32">
        <f>IF($C932="","",IF(OR($Q932="",LEFT($Q932,1)="—"),"קבוצה רביעית",IF($Q932="פרופיל 5","קבוצת תשתיות",IF(OR($Q932="פרופיל 4",$Q932="פרופיל 3"),"קבוצת רכישה","קבוצת ביסוס"))))</f>
        <v/>
      </c>
      <c r="S932" s="32">
        <f>IF($F932="","",IF($F932="תחילת שנה",1,IF($F932="מחצית שנה",2,3)))</f>
        <v/>
      </c>
      <c r="T932" s="32">
        <f>IF(OR($B932="",$R932="",$A932="",$F932=""),"",$B932&amp;"|"&amp;$A932&amp;"|"&amp;$F932&amp;"|"&amp;$R932&amp;"|"&amp;COUNTIFS($B$6:$B932,$B932,$A$6:$A932,$A932,$F$6:$F932,$F932,$R$6:$R932,$R932))</f>
        <v/>
      </c>
      <c r="U932" s="32">
        <f>IF($C932="","",$C932&amp;"|"&amp;COUNTIFS($C$6:$C932,$C932))</f>
        <v/>
      </c>
      <c r="V932" s="32">
        <f>IF(OR($C932="",$A932="",$S932=""),"",$C932&amp;"|"&amp;$A932&amp;"|"&amp;$S932)</f>
        <v/>
      </c>
      <c r="W932" s="32">
        <f>IF(OR($C932="",$S932="",$S932=1),"",IFERROR(INDEX($Q$6:$Q$1505,MATCH($C932&amp;"|"&amp;$A932&amp;"|"&amp;($S932-1),$V$6:$V$1505,0)),""))</f>
        <v/>
      </c>
      <c r="X932" s="32">
        <f>IF(OR($W932="",$Q932="",LEFT($Q932,1)="—"),"",IF($W932=$Q932,"ללא שינוי","מ-"&amp;$W932&amp;" ל-"&amp;$Q932))</f>
        <v/>
      </c>
    </row>
    <row r="933" ht="15.75" customHeight="1" s="58">
      <c r="A933" s="65" t="n"/>
      <c r="B933" s="65" t="n"/>
      <c r="C933" s="66" t="n"/>
      <c r="D933" s="66" t="n"/>
      <c r="E933" s="65" t="n"/>
      <c r="F933" s="65" t="n"/>
      <c r="G933" s="65" t="n"/>
      <c r="H933" s="65" t="n"/>
      <c r="I933" s="65" t="n"/>
      <c r="J933" s="65" t="n"/>
      <c r="K933" s="65" t="n"/>
      <c r="L933" s="65" t="n"/>
      <c r="M933" s="65" t="n"/>
      <c r="N933" s="65" t="n"/>
      <c r="O933" s="65" t="n"/>
      <c r="P933" s="65" t="n"/>
      <c r="Q933" s="32">
        <f>IF($C933="","",IF($J933="","— חסרים נתונים",IF($J933="טרם מפענח","פרופיל 5",IF($J933="קמץ/פתח/חטף-פתח ושוואים","פרופיל 4",IF($J933="2-3 סימני ניקוד","פרופיל 3",IF($J933="4-5 סימני ניקוד","פרופיל 2",IF(AND($O933="משפטים וקטעים קצרים",OR($M933="מבין",$M933="מבין לרוב")),"פרופיל 1","פרופיל 2")))))))</f>
        <v/>
      </c>
      <c r="R933" s="32">
        <f>IF($C933="","",IF(OR($Q933="",LEFT($Q933,1)="—"),"קבוצה רביעית",IF($Q933="פרופיל 5","קבוצת תשתיות",IF(OR($Q933="פרופיל 4",$Q933="פרופיל 3"),"קבוצת רכישה","קבוצת ביסוס"))))</f>
        <v/>
      </c>
      <c r="S933" s="32">
        <f>IF($F933="","",IF($F933="תחילת שנה",1,IF($F933="מחצית שנה",2,3)))</f>
        <v/>
      </c>
      <c r="T933" s="32">
        <f>IF(OR($B933="",$R933="",$A933="",$F933=""),"",$B933&amp;"|"&amp;$A933&amp;"|"&amp;$F933&amp;"|"&amp;$R933&amp;"|"&amp;COUNTIFS($B$6:$B933,$B933,$A$6:$A933,$A933,$F$6:$F933,$F933,$R$6:$R933,$R933))</f>
        <v/>
      </c>
      <c r="U933" s="32">
        <f>IF($C933="","",$C933&amp;"|"&amp;COUNTIFS($C$6:$C933,$C933))</f>
        <v/>
      </c>
      <c r="V933" s="32">
        <f>IF(OR($C933="",$A933="",$S933=""),"",$C933&amp;"|"&amp;$A933&amp;"|"&amp;$S933)</f>
        <v/>
      </c>
      <c r="W933" s="32">
        <f>IF(OR($C933="",$S933="",$S933=1),"",IFERROR(INDEX($Q$6:$Q$1505,MATCH($C933&amp;"|"&amp;$A933&amp;"|"&amp;($S933-1),$V$6:$V$1505,0)),""))</f>
        <v/>
      </c>
      <c r="X933" s="32">
        <f>IF(OR($W933="",$Q933="",LEFT($Q933,1)="—"),"",IF($W933=$Q933,"ללא שינוי","מ-"&amp;$W933&amp;" ל-"&amp;$Q933))</f>
        <v/>
      </c>
    </row>
    <row r="934" ht="15.75" customHeight="1" s="58">
      <c r="A934" s="65" t="n"/>
      <c r="B934" s="65" t="n"/>
      <c r="C934" s="66" t="n"/>
      <c r="D934" s="66" t="n"/>
      <c r="E934" s="65" t="n"/>
      <c r="F934" s="65" t="n"/>
      <c r="G934" s="65" t="n"/>
      <c r="H934" s="65" t="n"/>
      <c r="I934" s="65" t="n"/>
      <c r="J934" s="65" t="n"/>
      <c r="K934" s="65" t="n"/>
      <c r="L934" s="65" t="n"/>
      <c r="M934" s="65" t="n"/>
      <c r="N934" s="65" t="n"/>
      <c r="O934" s="65" t="n"/>
      <c r="P934" s="65" t="n"/>
      <c r="Q934" s="32">
        <f>IF($C934="","",IF($J934="","— חסרים נתונים",IF($J934="טרם מפענח","פרופיל 5",IF($J934="קמץ/פתח/חטף-פתח ושוואים","פרופיל 4",IF($J934="2-3 סימני ניקוד","פרופיל 3",IF($J934="4-5 סימני ניקוד","פרופיל 2",IF(AND($O934="משפטים וקטעים קצרים",OR($M934="מבין",$M934="מבין לרוב")),"פרופיל 1","פרופיל 2")))))))</f>
        <v/>
      </c>
      <c r="R934" s="32">
        <f>IF($C934="","",IF(OR($Q934="",LEFT($Q934,1)="—"),"קבוצה רביעית",IF($Q934="פרופיל 5","קבוצת תשתיות",IF(OR($Q934="פרופיל 4",$Q934="פרופיל 3"),"קבוצת רכישה","קבוצת ביסוס"))))</f>
        <v/>
      </c>
      <c r="S934" s="32">
        <f>IF($F934="","",IF($F934="תחילת שנה",1,IF($F934="מחצית שנה",2,3)))</f>
        <v/>
      </c>
      <c r="T934" s="32">
        <f>IF(OR($B934="",$R934="",$A934="",$F934=""),"",$B934&amp;"|"&amp;$A934&amp;"|"&amp;$F934&amp;"|"&amp;$R934&amp;"|"&amp;COUNTIFS($B$6:$B934,$B934,$A$6:$A934,$A934,$F$6:$F934,$F934,$R$6:$R934,$R934))</f>
        <v/>
      </c>
      <c r="U934" s="32">
        <f>IF($C934="","",$C934&amp;"|"&amp;COUNTIFS($C$6:$C934,$C934))</f>
        <v/>
      </c>
      <c r="V934" s="32">
        <f>IF(OR($C934="",$A934="",$S934=""),"",$C934&amp;"|"&amp;$A934&amp;"|"&amp;$S934)</f>
        <v/>
      </c>
      <c r="W934" s="32">
        <f>IF(OR($C934="",$S934="",$S934=1),"",IFERROR(INDEX($Q$6:$Q$1505,MATCH($C934&amp;"|"&amp;$A934&amp;"|"&amp;($S934-1),$V$6:$V$1505,0)),""))</f>
        <v/>
      </c>
      <c r="X934" s="32">
        <f>IF(OR($W934="",$Q934="",LEFT($Q934,1)="—"),"",IF($W934=$Q934,"ללא שינוי","מ-"&amp;$W934&amp;" ל-"&amp;$Q934))</f>
        <v/>
      </c>
    </row>
    <row r="935" ht="15.75" customHeight="1" s="58">
      <c r="A935" s="65" t="n"/>
      <c r="B935" s="65" t="n"/>
      <c r="C935" s="66" t="n"/>
      <c r="D935" s="66" t="n"/>
      <c r="E935" s="65" t="n"/>
      <c r="F935" s="65" t="n"/>
      <c r="G935" s="65" t="n"/>
      <c r="H935" s="65" t="n"/>
      <c r="I935" s="65" t="n"/>
      <c r="J935" s="65" t="n"/>
      <c r="K935" s="65" t="n"/>
      <c r="L935" s="65" t="n"/>
      <c r="M935" s="65" t="n"/>
      <c r="N935" s="65" t="n"/>
      <c r="O935" s="65" t="n"/>
      <c r="P935" s="65" t="n"/>
      <c r="Q935" s="32">
        <f>IF($C935="","",IF($J935="","— חסרים נתונים",IF($J935="טרם מפענח","פרופיל 5",IF($J935="קמץ/פתח/חטף-פתח ושוואים","פרופיל 4",IF($J935="2-3 סימני ניקוד","פרופיל 3",IF($J935="4-5 סימני ניקוד","פרופיל 2",IF(AND($O935="משפטים וקטעים קצרים",OR($M935="מבין",$M935="מבין לרוב")),"פרופיל 1","פרופיל 2")))))))</f>
        <v/>
      </c>
      <c r="R935" s="32">
        <f>IF($C935="","",IF(OR($Q935="",LEFT($Q935,1)="—"),"קבוצה רביעית",IF($Q935="פרופיל 5","קבוצת תשתיות",IF(OR($Q935="פרופיל 4",$Q935="פרופיל 3"),"קבוצת רכישה","קבוצת ביסוס"))))</f>
        <v/>
      </c>
      <c r="S935" s="32">
        <f>IF($F935="","",IF($F935="תחילת שנה",1,IF($F935="מחצית שנה",2,3)))</f>
        <v/>
      </c>
      <c r="T935" s="32">
        <f>IF(OR($B935="",$R935="",$A935="",$F935=""),"",$B935&amp;"|"&amp;$A935&amp;"|"&amp;$F935&amp;"|"&amp;$R935&amp;"|"&amp;COUNTIFS($B$6:$B935,$B935,$A$6:$A935,$A935,$F$6:$F935,$F935,$R$6:$R935,$R935))</f>
        <v/>
      </c>
      <c r="U935" s="32">
        <f>IF($C935="","",$C935&amp;"|"&amp;COUNTIFS($C$6:$C935,$C935))</f>
        <v/>
      </c>
      <c r="V935" s="32">
        <f>IF(OR($C935="",$A935="",$S935=""),"",$C935&amp;"|"&amp;$A935&amp;"|"&amp;$S935)</f>
        <v/>
      </c>
      <c r="W935" s="32">
        <f>IF(OR($C935="",$S935="",$S935=1),"",IFERROR(INDEX($Q$6:$Q$1505,MATCH($C935&amp;"|"&amp;$A935&amp;"|"&amp;($S935-1),$V$6:$V$1505,0)),""))</f>
        <v/>
      </c>
      <c r="X935" s="32">
        <f>IF(OR($W935="",$Q935="",LEFT($Q935,1)="—"),"",IF($W935=$Q935,"ללא שינוי","מ-"&amp;$W935&amp;" ל-"&amp;$Q935))</f>
        <v/>
      </c>
    </row>
    <row r="936" ht="15.75" customHeight="1" s="58">
      <c r="A936" s="65" t="n"/>
      <c r="B936" s="65" t="n"/>
      <c r="C936" s="66" t="n"/>
      <c r="D936" s="66" t="n"/>
      <c r="E936" s="65" t="n"/>
      <c r="F936" s="65" t="n"/>
      <c r="G936" s="65" t="n"/>
      <c r="H936" s="65" t="n"/>
      <c r="I936" s="65" t="n"/>
      <c r="J936" s="65" t="n"/>
      <c r="K936" s="65" t="n"/>
      <c r="L936" s="65" t="n"/>
      <c r="M936" s="65" t="n"/>
      <c r="N936" s="65" t="n"/>
      <c r="O936" s="65" t="n"/>
      <c r="P936" s="65" t="n"/>
      <c r="Q936" s="32">
        <f>IF($C936="","",IF($J936="","— חסרים נתונים",IF($J936="טרם מפענח","פרופיל 5",IF($J936="קמץ/פתח/חטף-פתח ושוואים","פרופיל 4",IF($J936="2-3 סימני ניקוד","פרופיל 3",IF($J936="4-5 סימני ניקוד","פרופיל 2",IF(AND($O936="משפטים וקטעים קצרים",OR($M936="מבין",$M936="מבין לרוב")),"פרופיל 1","פרופיל 2")))))))</f>
        <v/>
      </c>
      <c r="R936" s="32">
        <f>IF($C936="","",IF(OR($Q936="",LEFT($Q936,1)="—"),"קבוצה רביעית",IF($Q936="פרופיל 5","קבוצת תשתיות",IF(OR($Q936="פרופיל 4",$Q936="פרופיל 3"),"קבוצת רכישה","קבוצת ביסוס"))))</f>
        <v/>
      </c>
      <c r="S936" s="32">
        <f>IF($F936="","",IF($F936="תחילת שנה",1,IF($F936="מחצית שנה",2,3)))</f>
        <v/>
      </c>
      <c r="T936" s="32">
        <f>IF(OR($B936="",$R936="",$A936="",$F936=""),"",$B936&amp;"|"&amp;$A936&amp;"|"&amp;$F936&amp;"|"&amp;$R936&amp;"|"&amp;COUNTIFS($B$6:$B936,$B936,$A$6:$A936,$A936,$F$6:$F936,$F936,$R$6:$R936,$R936))</f>
        <v/>
      </c>
      <c r="U936" s="32">
        <f>IF($C936="","",$C936&amp;"|"&amp;COUNTIFS($C$6:$C936,$C936))</f>
        <v/>
      </c>
      <c r="V936" s="32">
        <f>IF(OR($C936="",$A936="",$S936=""),"",$C936&amp;"|"&amp;$A936&amp;"|"&amp;$S936)</f>
        <v/>
      </c>
      <c r="W936" s="32">
        <f>IF(OR($C936="",$S936="",$S936=1),"",IFERROR(INDEX($Q$6:$Q$1505,MATCH($C936&amp;"|"&amp;$A936&amp;"|"&amp;($S936-1),$V$6:$V$1505,0)),""))</f>
        <v/>
      </c>
      <c r="X936" s="32">
        <f>IF(OR($W936="",$Q936="",LEFT($Q936,1)="—"),"",IF($W936=$Q936,"ללא שינוי","מ-"&amp;$W936&amp;" ל-"&amp;$Q936))</f>
        <v/>
      </c>
    </row>
    <row r="937" ht="15.75" customHeight="1" s="58">
      <c r="A937" s="65" t="n"/>
      <c r="B937" s="65" t="n"/>
      <c r="C937" s="66" t="n"/>
      <c r="D937" s="66" t="n"/>
      <c r="E937" s="65" t="n"/>
      <c r="F937" s="65" t="n"/>
      <c r="G937" s="65" t="n"/>
      <c r="H937" s="65" t="n"/>
      <c r="I937" s="65" t="n"/>
      <c r="J937" s="65" t="n"/>
      <c r="K937" s="65" t="n"/>
      <c r="L937" s="65" t="n"/>
      <c r="M937" s="65" t="n"/>
      <c r="N937" s="65" t="n"/>
      <c r="O937" s="65" t="n"/>
      <c r="P937" s="65" t="n"/>
      <c r="Q937" s="32">
        <f>IF($C937="","",IF($J937="","— חסרים נתונים",IF($J937="טרם מפענח","פרופיל 5",IF($J937="קמץ/פתח/חטף-פתח ושוואים","פרופיל 4",IF($J937="2-3 סימני ניקוד","פרופיל 3",IF($J937="4-5 סימני ניקוד","פרופיל 2",IF(AND($O937="משפטים וקטעים קצרים",OR($M937="מבין",$M937="מבין לרוב")),"פרופיל 1","פרופיל 2")))))))</f>
        <v/>
      </c>
      <c r="R937" s="32">
        <f>IF($C937="","",IF(OR($Q937="",LEFT($Q937,1)="—"),"קבוצה רביעית",IF($Q937="פרופיל 5","קבוצת תשתיות",IF(OR($Q937="פרופיל 4",$Q937="פרופיל 3"),"קבוצת רכישה","קבוצת ביסוס"))))</f>
        <v/>
      </c>
      <c r="S937" s="32">
        <f>IF($F937="","",IF($F937="תחילת שנה",1,IF($F937="מחצית שנה",2,3)))</f>
        <v/>
      </c>
      <c r="T937" s="32">
        <f>IF(OR($B937="",$R937="",$A937="",$F937=""),"",$B937&amp;"|"&amp;$A937&amp;"|"&amp;$F937&amp;"|"&amp;$R937&amp;"|"&amp;COUNTIFS($B$6:$B937,$B937,$A$6:$A937,$A937,$F$6:$F937,$F937,$R$6:$R937,$R937))</f>
        <v/>
      </c>
      <c r="U937" s="32">
        <f>IF($C937="","",$C937&amp;"|"&amp;COUNTIFS($C$6:$C937,$C937))</f>
        <v/>
      </c>
      <c r="V937" s="32">
        <f>IF(OR($C937="",$A937="",$S937=""),"",$C937&amp;"|"&amp;$A937&amp;"|"&amp;$S937)</f>
        <v/>
      </c>
      <c r="W937" s="32">
        <f>IF(OR($C937="",$S937="",$S937=1),"",IFERROR(INDEX($Q$6:$Q$1505,MATCH($C937&amp;"|"&amp;$A937&amp;"|"&amp;($S937-1),$V$6:$V$1505,0)),""))</f>
        <v/>
      </c>
      <c r="X937" s="32">
        <f>IF(OR($W937="",$Q937="",LEFT($Q937,1)="—"),"",IF($W937=$Q937,"ללא שינוי","מ-"&amp;$W937&amp;" ל-"&amp;$Q937))</f>
        <v/>
      </c>
    </row>
    <row r="938" ht="15.75" customHeight="1" s="58">
      <c r="A938" s="65" t="n"/>
      <c r="B938" s="65" t="n"/>
      <c r="C938" s="66" t="n"/>
      <c r="D938" s="66" t="n"/>
      <c r="E938" s="65" t="n"/>
      <c r="F938" s="65" t="n"/>
      <c r="G938" s="65" t="n"/>
      <c r="H938" s="65" t="n"/>
      <c r="I938" s="65" t="n"/>
      <c r="J938" s="65" t="n"/>
      <c r="K938" s="65" t="n"/>
      <c r="L938" s="65" t="n"/>
      <c r="M938" s="65" t="n"/>
      <c r="N938" s="65" t="n"/>
      <c r="O938" s="65" t="n"/>
      <c r="P938" s="65" t="n"/>
      <c r="Q938" s="32">
        <f>IF($C938="","",IF($J938="","— חסרים נתונים",IF($J938="טרם מפענח","פרופיל 5",IF($J938="קמץ/פתח/חטף-פתח ושוואים","פרופיל 4",IF($J938="2-3 סימני ניקוד","פרופיל 3",IF($J938="4-5 סימני ניקוד","פרופיל 2",IF(AND($O938="משפטים וקטעים קצרים",OR($M938="מבין",$M938="מבין לרוב")),"פרופיל 1","פרופיל 2")))))))</f>
        <v/>
      </c>
      <c r="R938" s="32">
        <f>IF($C938="","",IF(OR($Q938="",LEFT($Q938,1)="—"),"קבוצה רביעית",IF($Q938="פרופיל 5","קבוצת תשתיות",IF(OR($Q938="פרופיל 4",$Q938="פרופיל 3"),"קבוצת רכישה","קבוצת ביסוס"))))</f>
        <v/>
      </c>
      <c r="S938" s="32">
        <f>IF($F938="","",IF($F938="תחילת שנה",1,IF($F938="מחצית שנה",2,3)))</f>
        <v/>
      </c>
      <c r="T938" s="32">
        <f>IF(OR($B938="",$R938="",$A938="",$F938=""),"",$B938&amp;"|"&amp;$A938&amp;"|"&amp;$F938&amp;"|"&amp;$R938&amp;"|"&amp;COUNTIFS($B$6:$B938,$B938,$A$6:$A938,$A938,$F$6:$F938,$F938,$R$6:$R938,$R938))</f>
        <v/>
      </c>
      <c r="U938" s="32">
        <f>IF($C938="","",$C938&amp;"|"&amp;COUNTIFS($C$6:$C938,$C938))</f>
        <v/>
      </c>
      <c r="V938" s="32">
        <f>IF(OR($C938="",$A938="",$S938=""),"",$C938&amp;"|"&amp;$A938&amp;"|"&amp;$S938)</f>
        <v/>
      </c>
      <c r="W938" s="32">
        <f>IF(OR($C938="",$S938="",$S938=1),"",IFERROR(INDEX($Q$6:$Q$1505,MATCH($C938&amp;"|"&amp;$A938&amp;"|"&amp;($S938-1),$V$6:$V$1505,0)),""))</f>
        <v/>
      </c>
      <c r="X938" s="32">
        <f>IF(OR($W938="",$Q938="",LEFT($Q938,1)="—"),"",IF($W938=$Q938,"ללא שינוי","מ-"&amp;$W938&amp;" ל-"&amp;$Q938))</f>
        <v/>
      </c>
    </row>
    <row r="939" ht="15.75" customHeight="1" s="58">
      <c r="A939" s="65" t="n"/>
      <c r="B939" s="65" t="n"/>
      <c r="C939" s="66" t="n"/>
      <c r="D939" s="66" t="n"/>
      <c r="E939" s="65" t="n"/>
      <c r="F939" s="65" t="n"/>
      <c r="G939" s="65" t="n"/>
      <c r="H939" s="65" t="n"/>
      <c r="I939" s="65" t="n"/>
      <c r="J939" s="65" t="n"/>
      <c r="K939" s="65" t="n"/>
      <c r="L939" s="65" t="n"/>
      <c r="M939" s="65" t="n"/>
      <c r="N939" s="65" t="n"/>
      <c r="O939" s="65" t="n"/>
      <c r="P939" s="65" t="n"/>
      <c r="Q939" s="32">
        <f>IF($C939="","",IF($J939="","— חסרים נתונים",IF($J939="טרם מפענח","פרופיל 5",IF($J939="קמץ/פתח/חטף-פתח ושוואים","פרופיל 4",IF($J939="2-3 סימני ניקוד","פרופיל 3",IF($J939="4-5 סימני ניקוד","פרופיל 2",IF(AND($O939="משפטים וקטעים קצרים",OR($M939="מבין",$M939="מבין לרוב")),"פרופיל 1","פרופיל 2")))))))</f>
        <v/>
      </c>
      <c r="R939" s="32">
        <f>IF($C939="","",IF(OR($Q939="",LEFT($Q939,1)="—"),"קבוצה רביעית",IF($Q939="פרופיל 5","קבוצת תשתיות",IF(OR($Q939="פרופיל 4",$Q939="פרופיל 3"),"קבוצת רכישה","קבוצת ביסוס"))))</f>
        <v/>
      </c>
      <c r="S939" s="32">
        <f>IF($F939="","",IF($F939="תחילת שנה",1,IF($F939="מחצית שנה",2,3)))</f>
        <v/>
      </c>
      <c r="T939" s="32">
        <f>IF(OR($B939="",$R939="",$A939="",$F939=""),"",$B939&amp;"|"&amp;$A939&amp;"|"&amp;$F939&amp;"|"&amp;$R939&amp;"|"&amp;COUNTIFS($B$6:$B939,$B939,$A$6:$A939,$A939,$F$6:$F939,$F939,$R$6:$R939,$R939))</f>
        <v/>
      </c>
      <c r="U939" s="32">
        <f>IF($C939="","",$C939&amp;"|"&amp;COUNTIFS($C$6:$C939,$C939))</f>
        <v/>
      </c>
      <c r="V939" s="32">
        <f>IF(OR($C939="",$A939="",$S939=""),"",$C939&amp;"|"&amp;$A939&amp;"|"&amp;$S939)</f>
        <v/>
      </c>
      <c r="W939" s="32">
        <f>IF(OR($C939="",$S939="",$S939=1),"",IFERROR(INDEX($Q$6:$Q$1505,MATCH($C939&amp;"|"&amp;$A939&amp;"|"&amp;($S939-1),$V$6:$V$1505,0)),""))</f>
        <v/>
      </c>
      <c r="X939" s="32">
        <f>IF(OR($W939="",$Q939="",LEFT($Q939,1)="—"),"",IF($W939=$Q939,"ללא שינוי","מ-"&amp;$W939&amp;" ל-"&amp;$Q939))</f>
        <v/>
      </c>
    </row>
    <row r="940" ht="15.75" customHeight="1" s="58">
      <c r="A940" s="65" t="n"/>
      <c r="B940" s="65" t="n"/>
      <c r="C940" s="66" t="n"/>
      <c r="D940" s="66" t="n"/>
      <c r="E940" s="65" t="n"/>
      <c r="F940" s="65" t="n"/>
      <c r="G940" s="65" t="n"/>
      <c r="H940" s="65" t="n"/>
      <c r="I940" s="65" t="n"/>
      <c r="J940" s="65" t="n"/>
      <c r="K940" s="65" t="n"/>
      <c r="L940" s="65" t="n"/>
      <c r="M940" s="65" t="n"/>
      <c r="N940" s="65" t="n"/>
      <c r="O940" s="65" t="n"/>
      <c r="P940" s="65" t="n"/>
      <c r="Q940" s="32">
        <f>IF($C940="","",IF($J940="","— חסרים נתונים",IF($J940="טרם מפענח","פרופיל 5",IF($J940="קמץ/פתח/חטף-פתח ושוואים","פרופיל 4",IF($J940="2-3 סימני ניקוד","פרופיל 3",IF($J940="4-5 סימני ניקוד","פרופיל 2",IF(AND($O940="משפטים וקטעים קצרים",OR($M940="מבין",$M940="מבין לרוב")),"פרופיל 1","פרופיל 2")))))))</f>
        <v/>
      </c>
      <c r="R940" s="32">
        <f>IF($C940="","",IF(OR($Q940="",LEFT($Q940,1)="—"),"קבוצה רביעית",IF($Q940="פרופיל 5","קבוצת תשתיות",IF(OR($Q940="פרופיל 4",$Q940="פרופיל 3"),"קבוצת רכישה","קבוצת ביסוס"))))</f>
        <v/>
      </c>
      <c r="S940" s="32">
        <f>IF($F940="","",IF($F940="תחילת שנה",1,IF($F940="מחצית שנה",2,3)))</f>
        <v/>
      </c>
      <c r="T940" s="32">
        <f>IF(OR($B940="",$R940="",$A940="",$F940=""),"",$B940&amp;"|"&amp;$A940&amp;"|"&amp;$F940&amp;"|"&amp;$R940&amp;"|"&amp;COUNTIFS($B$6:$B940,$B940,$A$6:$A940,$A940,$F$6:$F940,$F940,$R$6:$R940,$R940))</f>
        <v/>
      </c>
      <c r="U940" s="32">
        <f>IF($C940="","",$C940&amp;"|"&amp;COUNTIFS($C$6:$C940,$C940))</f>
        <v/>
      </c>
      <c r="V940" s="32">
        <f>IF(OR($C940="",$A940="",$S940=""),"",$C940&amp;"|"&amp;$A940&amp;"|"&amp;$S940)</f>
        <v/>
      </c>
      <c r="W940" s="32">
        <f>IF(OR($C940="",$S940="",$S940=1),"",IFERROR(INDEX($Q$6:$Q$1505,MATCH($C940&amp;"|"&amp;$A940&amp;"|"&amp;($S940-1),$V$6:$V$1505,0)),""))</f>
        <v/>
      </c>
      <c r="X940" s="32">
        <f>IF(OR($W940="",$Q940="",LEFT($Q940,1)="—"),"",IF($W940=$Q940,"ללא שינוי","מ-"&amp;$W940&amp;" ל-"&amp;$Q940))</f>
        <v/>
      </c>
    </row>
    <row r="941" ht="15.75" customHeight="1" s="58">
      <c r="A941" s="65" t="n"/>
      <c r="B941" s="65" t="n"/>
      <c r="C941" s="66" t="n"/>
      <c r="D941" s="66" t="n"/>
      <c r="E941" s="65" t="n"/>
      <c r="F941" s="65" t="n"/>
      <c r="G941" s="65" t="n"/>
      <c r="H941" s="65" t="n"/>
      <c r="I941" s="65" t="n"/>
      <c r="J941" s="65" t="n"/>
      <c r="K941" s="65" t="n"/>
      <c r="L941" s="65" t="n"/>
      <c r="M941" s="65" t="n"/>
      <c r="N941" s="65" t="n"/>
      <c r="O941" s="65" t="n"/>
      <c r="P941" s="65" t="n"/>
      <c r="Q941" s="32">
        <f>IF($C941="","",IF($J941="","— חסרים נתונים",IF($J941="טרם מפענח","פרופיל 5",IF($J941="קמץ/פתח/חטף-פתח ושוואים","פרופיל 4",IF($J941="2-3 סימני ניקוד","פרופיל 3",IF($J941="4-5 סימני ניקוד","פרופיל 2",IF(AND($O941="משפטים וקטעים קצרים",OR($M941="מבין",$M941="מבין לרוב")),"פרופיל 1","פרופיל 2")))))))</f>
        <v/>
      </c>
      <c r="R941" s="32">
        <f>IF($C941="","",IF(OR($Q941="",LEFT($Q941,1)="—"),"קבוצה רביעית",IF($Q941="פרופיל 5","קבוצת תשתיות",IF(OR($Q941="פרופיל 4",$Q941="פרופיל 3"),"קבוצת רכישה","קבוצת ביסוס"))))</f>
        <v/>
      </c>
      <c r="S941" s="32">
        <f>IF($F941="","",IF($F941="תחילת שנה",1,IF($F941="מחצית שנה",2,3)))</f>
        <v/>
      </c>
      <c r="T941" s="32">
        <f>IF(OR($B941="",$R941="",$A941="",$F941=""),"",$B941&amp;"|"&amp;$A941&amp;"|"&amp;$F941&amp;"|"&amp;$R941&amp;"|"&amp;COUNTIFS($B$6:$B941,$B941,$A$6:$A941,$A941,$F$6:$F941,$F941,$R$6:$R941,$R941))</f>
        <v/>
      </c>
      <c r="U941" s="32">
        <f>IF($C941="","",$C941&amp;"|"&amp;COUNTIFS($C$6:$C941,$C941))</f>
        <v/>
      </c>
      <c r="V941" s="32">
        <f>IF(OR($C941="",$A941="",$S941=""),"",$C941&amp;"|"&amp;$A941&amp;"|"&amp;$S941)</f>
        <v/>
      </c>
      <c r="W941" s="32">
        <f>IF(OR($C941="",$S941="",$S941=1),"",IFERROR(INDEX($Q$6:$Q$1505,MATCH($C941&amp;"|"&amp;$A941&amp;"|"&amp;($S941-1),$V$6:$V$1505,0)),""))</f>
        <v/>
      </c>
      <c r="X941" s="32">
        <f>IF(OR($W941="",$Q941="",LEFT($Q941,1)="—"),"",IF($W941=$Q941,"ללא שינוי","מ-"&amp;$W941&amp;" ל-"&amp;$Q941))</f>
        <v/>
      </c>
    </row>
    <row r="942" ht="15.75" customHeight="1" s="58">
      <c r="A942" s="65" t="n"/>
      <c r="B942" s="65" t="n"/>
      <c r="C942" s="66" t="n"/>
      <c r="D942" s="66" t="n"/>
      <c r="E942" s="65" t="n"/>
      <c r="F942" s="65" t="n"/>
      <c r="G942" s="65" t="n"/>
      <c r="H942" s="65" t="n"/>
      <c r="I942" s="65" t="n"/>
      <c r="J942" s="65" t="n"/>
      <c r="K942" s="65" t="n"/>
      <c r="L942" s="65" t="n"/>
      <c r="M942" s="65" t="n"/>
      <c r="N942" s="65" t="n"/>
      <c r="O942" s="65" t="n"/>
      <c r="P942" s="65" t="n"/>
      <c r="Q942" s="32">
        <f>IF($C942="","",IF($J942="","— חסרים נתונים",IF($J942="טרם מפענח","פרופיל 5",IF($J942="קמץ/פתח/חטף-פתח ושוואים","פרופיל 4",IF($J942="2-3 סימני ניקוד","פרופיל 3",IF($J942="4-5 סימני ניקוד","פרופיל 2",IF(AND($O942="משפטים וקטעים קצרים",OR($M942="מבין",$M942="מבין לרוב")),"פרופיל 1","פרופיל 2")))))))</f>
        <v/>
      </c>
      <c r="R942" s="32">
        <f>IF($C942="","",IF(OR($Q942="",LEFT($Q942,1)="—"),"קבוצה רביעית",IF($Q942="פרופיל 5","קבוצת תשתיות",IF(OR($Q942="פרופיל 4",$Q942="פרופיל 3"),"קבוצת רכישה","קבוצת ביסוס"))))</f>
        <v/>
      </c>
      <c r="S942" s="32">
        <f>IF($F942="","",IF($F942="תחילת שנה",1,IF($F942="מחצית שנה",2,3)))</f>
        <v/>
      </c>
      <c r="T942" s="32">
        <f>IF(OR($B942="",$R942="",$A942="",$F942=""),"",$B942&amp;"|"&amp;$A942&amp;"|"&amp;$F942&amp;"|"&amp;$R942&amp;"|"&amp;COUNTIFS($B$6:$B942,$B942,$A$6:$A942,$A942,$F$6:$F942,$F942,$R$6:$R942,$R942))</f>
        <v/>
      </c>
      <c r="U942" s="32">
        <f>IF($C942="","",$C942&amp;"|"&amp;COUNTIFS($C$6:$C942,$C942))</f>
        <v/>
      </c>
      <c r="V942" s="32">
        <f>IF(OR($C942="",$A942="",$S942=""),"",$C942&amp;"|"&amp;$A942&amp;"|"&amp;$S942)</f>
        <v/>
      </c>
      <c r="W942" s="32">
        <f>IF(OR($C942="",$S942="",$S942=1),"",IFERROR(INDEX($Q$6:$Q$1505,MATCH($C942&amp;"|"&amp;$A942&amp;"|"&amp;($S942-1),$V$6:$V$1505,0)),""))</f>
        <v/>
      </c>
      <c r="X942" s="32">
        <f>IF(OR($W942="",$Q942="",LEFT($Q942,1)="—"),"",IF($W942=$Q942,"ללא שינוי","מ-"&amp;$W942&amp;" ל-"&amp;$Q942))</f>
        <v/>
      </c>
    </row>
    <row r="943" ht="15.75" customHeight="1" s="58">
      <c r="A943" s="65" t="n"/>
      <c r="B943" s="65" t="n"/>
      <c r="C943" s="66" t="n"/>
      <c r="D943" s="66" t="n"/>
      <c r="E943" s="65" t="n"/>
      <c r="F943" s="65" t="n"/>
      <c r="G943" s="65" t="n"/>
      <c r="H943" s="65" t="n"/>
      <c r="I943" s="65" t="n"/>
      <c r="J943" s="65" t="n"/>
      <c r="K943" s="65" t="n"/>
      <c r="L943" s="65" t="n"/>
      <c r="M943" s="65" t="n"/>
      <c r="N943" s="65" t="n"/>
      <c r="O943" s="65" t="n"/>
      <c r="P943" s="65" t="n"/>
      <c r="Q943" s="32">
        <f>IF($C943="","",IF($J943="","— חסרים נתונים",IF($J943="טרם מפענח","פרופיל 5",IF($J943="קמץ/פתח/חטף-פתח ושוואים","פרופיל 4",IF($J943="2-3 סימני ניקוד","פרופיל 3",IF($J943="4-5 סימני ניקוד","פרופיל 2",IF(AND($O943="משפטים וקטעים קצרים",OR($M943="מבין",$M943="מבין לרוב")),"פרופיל 1","פרופיל 2")))))))</f>
        <v/>
      </c>
      <c r="R943" s="32">
        <f>IF($C943="","",IF(OR($Q943="",LEFT($Q943,1)="—"),"קבוצה רביעית",IF($Q943="פרופיל 5","קבוצת תשתיות",IF(OR($Q943="פרופיל 4",$Q943="פרופיל 3"),"קבוצת רכישה","קבוצת ביסוס"))))</f>
        <v/>
      </c>
      <c r="S943" s="32">
        <f>IF($F943="","",IF($F943="תחילת שנה",1,IF($F943="מחצית שנה",2,3)))</f>
        <v/>
      </c>
      <c r="T943" s="32">
        <f>IF(OR($B943="",$R943="",$A943="",$F943=""),"",$B943&amp;"|"&amp;$A943&amp;"|"&amp;$F943&amp;"|"&amp;$R943&amp;"|"&amp;COUNTIFS($B$6:$B943,$B943,$A$6:$A943,$A943,$F$6:$F943,$F943,$R$6:$R943,$R943))</f>
        <v/>
      </c>
      <c r="U943" s="32">
        <f>IF($C943="","",$C943&amp;"|"&amp;COUNTIFS($C$6:$C943,$C943))</f>
        <v/>
      </c>
      <c r="V943" s="32">
        <f>IF(OR($C943="",$A943="",$S943=""),"",$C943&amp;"|"&amp;$A943&amp;"|"&amp;$S943)</f>
        <v/>
      </c>
      <c r="W943" s="32">
        <f>IF(OR($C943="",$S943="",$S943=1),"",IFERROR(INDEX($Q$6:$Q$1505,MATCH($C943&amp;"|"&amp;$A943&amp;"|"&amp;($S943-1),$V$6:$V$1505,0)),""))</f>
        <v/>
      </c>
      <c r="X943" s="32">
        <f>IF(OR($W943="",$Q943="",LEFT($Q943,1)="—"),"",IF($W943=$Q943,"ללא שינוי","מ-"&amp;$W943&amp;" ל-"&amp;$Q943))</f>
        <v/>
      </c>
    </row>
    <row r="944" ht="15.75" customHeight="1" s="58">
      <c r="A944" s="65" t="n"/>
      <c r="B944" s="65" t="n"/>
      <c r="C944" s="66" t="n"/>
      <c r="D944" s="66" t="n"/>
      <c r="E944" s="65" t="n"/>
      <c r="F944" s="65" t="n"/>
      <c r="G944" s="65" t="n"/>
      <c r="H944" s="65" t="n"/>
      <c r="I944" s="65" t="n"/>
      <c r="J944" s="65" t="n"/>
      <c r="K944" s="65" t="n"/>
      <c r="L944" s="65" t="n"/>
      <c r="M944" s="65" t="n"/>
      <c r="N944" s="65" t="n"/>
      <c r="O944" s="65" t="n"/>
      <c r="P944" s="65" t="n"/>
      <c r="Q944" s="32">
        <f>IF($C944="","",IF($J944="","— חסרים נתונים",IF($J944="טרם מפענח","פרופיל 5",IF($J944="קמץ/פתח/חטף-פתח ושוואים","פרופיל 4",IF($J944="2-3 סימני ניקוד","פרופיל 3",IF($J944="4-5 סימני ניקוד","פרופיל 2",IF(AND($O944="משפטים וקטעים קצרים",OR($M944="מבין",$M944="מבין לרוב")),"פרופיל 1","פרופיל 2")))))))</f>
        <v/>
      </c>
      <c r="R944" s="32">
        <f>IF($C944="","",IF(OR($Q944="",LEFT($Q944,1)="—"),"קבוצה רביעית",IF($Q944="פרופיל 5","קבוצת תשתיות",IF(OR($Q944="פרופיל 4",$Q944="פרופיל 3"),"קבוצת רכישה","קבוצת ביסוס"))))</f>
        <v/>
      </c>
      <c r="S944" s="32">
        <f>IF($F944="","",IF($F944="תחילת שנה",1,IF($F944="מחצית שנה",2,3)))</f>
        <v/>
      </c>
      <c r="T944" s="32">
        <f>IF(OR($B944="",$R944="",$A944="",$F944=""),"",$B944&amp;"|"&amp;$A944&amp;"|"&amp;$F944&amp;"|"&amp;$R944&amp;"|"&amp;COUNTIFS($B$6:$B944,$B944,$A$6:$A944,$A944,$F$6:$F944,$F944,$R$6:$R944,$R944))</f>
        <v/>
      </c>
      <c r="U944" s="32">
        <f>IF($C944="","",$C944&amp;"|"&amp;COUNTIFS($C$6:$C944,$C944))</f>
        <v/>
      </c>
      <c r="V944" s="32">
        <f>IF(OR($C944="",$A944="",$S944=""),"",$C944&amp;"|"&amp;$A944&amp;"|"&amp;$S944)</f>
        <v/>
      </c>
      <c r="W944" s="32">
        <f>IF(OR($C944="",$S944="",$S944=1),"",IFERROR(INDEX($Q$6:$Q$1505,MATCH($C944&amp;"|"&amp;$A944&amp;"|"&amp;($S944-1),$V$6:$V$1505,0)),""))</f>
        <v/>
      </c>
      <c r="X944" s="32">
        <f>IF(OR($W944="",$Q944="",LEFT($Q944,1)="—"),"",IF($W944=$Q944,"ללא שינוי","מ-"&amp;$W944&amp;" ל-"&amp;$Q944))</f>
        <v/>
      </c>
    </row>
    <row r="945" ht="15.75" customHeight="1" s="58">
      <c r="A945" s="65" t="n"/>
      <c r="B945" s="65" t="n"/>
      <c r="C945" s="66" t="n"/>
      <c r="D945" s="66" t="n"/>
      <c r="E945" s="65" t="n"/>
      <c r="F945" s="65" t="n"/>
      <c r="G945" s="65" t="n"/>
      <c r="H945" s="65" t="n"/>
      <c r="I945" s="65" t="n"/>
      <c r="J945" s="65" t="n"/>
      <c r="K945" s="65" t="n"/>
      <c r="L945" s="65" t="n"/>
      <c r="M945" s="65" t="n"/>
      <c r="N945" s="65" t="n"/>
      <c r="O945" s="65" t="n"/>
      <c r="P945" s="65" t="n"/>
      <c r="Q945" s="32">
        <f>IF($C945="","",IF($J945="","— חסרים נתונים",IF($J945="טרם מפענח","פרופיל 5",IF($J945="קמץ/פתח/חטף-פתח ושוואים","פרופיל 4",IF($J945="2-3 סימני ניקוד","פרופיל 3",IF($J945="4-5 סימני ניקוד","פרופיל 2",IF(AND($O945="משפטים וקטעים קצרים",OR($M945="מבין",$M945="מבין לרוב")),"פרופיל 1","פרופיל 2")))))))</f>
        <v/>
      </c>
      <c r="R945" s="32">
        <f>IF($C945="","",IF(OR($Q945="",LEFT($Q945,1)="—"),"קבוצה רביעית",IF($Q945="פרופיל 5","קבוצת תשתיות",IF(OR($Q945="פרופיל 4",$Q945="פרופיל 3"),"קבוצת רכישה","קבוצת ביסוס"))))</f>
        <v/>
      </c>
      <c r="S945" s="32">
        <f>IF($F945="","",IF($F945="תחילת שנה",1,IF($F945="מחצית שנה",2,3)))</f>
        <v/>
      </c>
      <c r="T945" s="32">
        <f>IF(OR($B945="",$R945="",$A945="",$F945=""),"",$B945&amp;"|"&amp;$A945&amp;"|"&amp;$F945&amp;"|"&amp;$R945&amp;"|"&amp;COUNTIFS($B$6:$B945,$B945,$A$6:$A945,$A945,$F$6:$F945,$F945,$R$6:$R945,$R945))</f>
        <v/>
      </c>
      <c r="U945" s="32">
        <f>IF($C945="","",$C945&amp;"|"&amp;COUNTIFS($C$6:$C945,$C945))</f>
        <v/>
      </c>
      <c r="V945" s="32">
        <f>IF(OR($C945="",$A945="",$S945=""),"",$C945&amp;"|"&amp;$A945&amp;"|"&amp;$S945)</f>
        <v/>
      </c>
      <c r="W945" s="32">
        <f>IF(OR($C945="",$S945="",$S945=1),"",IFERROR(INDEX($Q$6:$Q$1505,MATCH($C945&amp;"|"&amp;$A945&amp;"|"&amp;($S945-1),$V$6:$V$1505,0)),""))</f>
        <v/>
      </c>
      <c r="X945" s="32">
        <f>IF(OR($W945="",$Q945="",LEFT($Q945,1)="—"),"",IF($W945=$Q945,"ללא שינוי","מ-"&amp;$W945&amp;" ל-"&amp;$Q945))</f>
        <v/>
      </c>
    </row>
    <row r="946" ht="15.75" customHeight="1" s="58">
      <c r="A946" s="65" t="n"/>
      <c r="B946" s="65" t="n"/>
      <c r="C946" s="66" t="n"/>
      <c r="D946" s="66" t="n"/>
      <c r="E946" s="65" t="n"/>
      <c r="F946" s="65" t="n"/>
      <c r="G946" s="65" t="n"/>
      <c r="H946" s="65" t="n"/>
      <c r="I946" s="65" t="n"/>
      <c r="J946" s="65" t="n"/>
      <c r="K946" s="65" t="n"/>
      <c r="L946" s="65" t="n"/>
      <c r="M946" s="65" t="n"/>
      <c r="N946" s="65" t="n"/>
      <c r="O946" s="65" t="n"/>
      <c r="P946" s="65" t="n"/>
      <c r="Q946" s="32">
        <f>IF($C946="","",IF($J946="","— חסרים נתונים",IF($J946="טרם מפענח","פרופיל 5",IF($J946="קמץ/פתח/חטף-פתח ושוואים","פרופיל 4",IF($J946="2-3 סימני ניקוד","פרופיל 3",IF($J946="4-5 סימני ניקוד","פרופיל 2",IF(AND($O946="משפטים וקטעים קצרים",OR($M946="מבין",$M946="מבין לרוב")),"פרופיל 1","פרופיל 2")))))))</f>
        <v/>
      </c>
      <c r="R946" s="32">
        <f>IF($C946="","",IF(OR($Q946="",LEFT($Q946,1)="—"),"קבוצה רביעית",IF($Q946="פרופיל 5","קבוצת תשתיות",IF(OR($Q946="פרופיל 4",$Q946="פרופיל 3"),"קבוצת רכישה","קבוצת ביסוס"))))</f>
        <v/>
      </c>
      <c r="S946" s="32">
        <f>IF($F946="","",IF($F946="תחילת שנה",1,IF($F946="מחצית שנה",2,3)))</f>
        <v/>
      </c>
      <c r="T946" s="32">
        <f>IF(OR($B946="",$R946="",$A946="",$F946=""),"",$B946&amp;"|"&amp;$A946&amp;"|"&amp;$F946&amp;"|"&amp;$R946&amp;"|"&amp;COUNTIFS($B$6:$B946,$B946,$A$6:$A946,$A946,$F$6:$F946,$F946,$R$6:$R946,$R946))</f>
        <v/>
      </c>
      <c r="U946" s="32">
        <f>IF($C946="","",$C946&amp;"|"&amp;COUNTIFS($C$6:$C946,$C946))</f>
        <v/>
      </c>
      <c r="V946" s="32">
        <f>IF(OR($C946="",$A946="",$S946=""),"",$C946&amp;"|"&amp;$A946&amp;"|"&amp;$S946)</f>
        <v/>
      </c>
      <c r="W946" s="32">
        <f>IF(OR($C946="",$S946="",$S946=1),"",IFERROR(INDEX($Q$6:$Q$1505,MATCH($C946&amp;"|"&amp;$A946&amp;"|"&amp;($S946-1),$V$6:$V$1505,0)),""))</f>
        <v/>
      </c>
      <c r="X946" s="32">
        <f>IF(OR($W946="",$Q946="",LEFT($Q946,1)="—"),"",IF($W946=$Q946,"ללא שינוי","מ-"&amp;$W946&amp;" ל-"&amp;$Q946))</f>
        <v/>
      </c>
    </row>
    <row r="947" ht="15.75" customHeight="1" s="58">
      <c r="A947" s="65" t="n"/>
      <c r="B947" s="65" t="n"/>
      <c r="C947" s="66" t="n"/>
      <c r="D947" s="66" t="n"/>
      <c r="E947" s="65" t="n"/>
      <c r="F947" s="65" t="n"/>
      <c r="G947" s="65" t="n"/>
      <c r="H947" s="65" t="n"/>
      <c r="I947" s="65" t="n"/>
      <c r="J947" s="65" t="n"/>
      <c r="K947" s="65" t="n"/>
      <c r="L947" s="65" t="n"/>
      <c r="M947" s="65" t="n"/>
      <c r="N947" s="65" t="n"/>
      <c r="O947" s="65" t="n"/>
      <c r="P947" s="65" t="n"/>
      <c r="Q947" s="32">
        <f>IF($C947="","",IF($J947="","— חסרים נתונים",IF($J947="טרם מפענח","פרופיל 5",IF($J947="קמץ/פתח/חטף-פתח ושוואים","פרופיל 4",IF($J947="2-3 סימני ניקוד","פרופיל 3",IF($J947="4-5 סימני ניקוד","פרופיל 2",IF(AND($O947="משפטים וקטעים קצרים",OR($M947="מבין",$M947="מבין לרוב")),"פרופיל 1","פרופיל 2")))))))</f>
        <v/>
      </c>
      <c r="R947" s="32">
        <f>IF($C947="","",IF(OR($Q947="",LEFT($Q947,1)="—"),"קבוצה רביעית",IF($Q947="פרופיל 5","קבוצת תשתיות",IF(OR($Q947="פרופיל 4",$Q947="פרופיל 3"),"קבוצת רכישה","קבוצת ביסוס"))))</f>
        <v/>
      </c>
      <c r="S947" s="32">
        <f>IF($F947="","",IF($F947="תחילת שנה",1,IF($F947="מחצית שנה",2,3)))</f>
        <v/>
      </c>
      <c r="T947" s="32">
        <f>IF(OR($B947="",$R947="",$A947="",$F947=""),"",$B947&amp;"|"&amp;$A947&amp;"|"&amp;$F947&amp;"|"&amp;$R947&amp;"|"&amp;COUNTIFS($B$6:$B947,$B947,$A$6:$A947,$A947,$F$6:$F947,$F947,$R$6:$R947,$R947))</f>
        <v/>
      </c>
      <c r="U947" s="32">
        <f>IF($C947="","",$C947&amp;"|"&amp;COUNTIFS($C$6:$C947,$C947))</f>
        <v/>
      </c>
      <c r="V947" s="32">
        <f>IF(OR($C947="",$A947="",$S947=""),"",$C947&amp;"|"&amp;$A947&amp;"|"&amp;$S947)</f>
        <v/>
      </c>
      <c r="W947" s="32">
        <f>IF(OR($C947="",$S947="",$S947=1),"",IFERROR(INDEX($Q$6:$Q$1505,MATCH($C947&amp;"|"&amp;$A947&amp;"|"&amp;($S947-1),$V$6:$V$1505,0)),""))</f>
        <v/>
      </c>
      <c r="X947" s="32">
        <f>IF(OR($W947="",$Q947="",LEFT($Q947,1)="—"),"",IF($W947=$Q947,"ללא שינוי","מ-"&amp;$W947&amp;" ל-"&amp;$Q947))</f>
        <v/>
      </c>
    </row>
    <row r="948" ht="15.75" customHeight="1" s="58">
      <c r="A948" s="65" t="n"/>
      <c r="B948" s="65" t="n"/>
      <c r="C948" s="66" t="n"/>
      <c r="D948" s="66" t="n"/>
      <c r="E948" s="65" t="n"/>
      <c r="F948" s="65" t="n"/>
      <c r="G948" s="65" t="n"/>
      <c r="H948" s="65" t="n"/>
      <c r="I948" s="65" t="n"/>
      <c r="J948" s="65" t="n"/>
      <c r="K948" s="65" t="n"/>
      <c r="L948" s="65" t="n"/>
      <c r="M948" s="65" t="n"/>
      <c r="N948" s="65" t="n"/>
      <c r="O948" s="65" t="n"/>
      <c r="P948" s="65" t="n"/>
      <c r="Q948" s="32">
        <f>IF($C948="","",IF($J948="","— חסרים נתונים",IF($J948="טרם מפענח","פרופיל 5",IF($J948="קמץ/פתח/חטף-פתח ושוואים","פרופיל 4",IF($J948="2-3 סימני ניקוד","פרופיל 3",IF($J948="4-5 סימני ניקוד","פרופיל 2",IF(AND($O948="משפטים וקטעים קצרים",OR($M948="מבין",$M948="מבין לרוב")),"פרופיל 1","פרופיל 2")))))))</f>
        <v/>
      </c>
      <c r="R948" s="32">
        <f>IF($C948="","",IF(OR($Q948="",LEFT($Q948,1)="—"),"קבוצה רביעית",IF($Q948="פרופיל 5","קבוצת תשתיות",IF(OR($Q948="פרופיל 4",$Q948="פרופיל 3"),"קבוצת רכישה","קבוצת ביסוס"))))</f>
        <v/>
      </c>
      <c r="S948" s="32">
        <f>IF($F948="","",IF($F948="תחילת שנה",1,IF($F948="מחצית שנה",2,3)))</f>
        <v/>
      </c>
      <c r="T948" s="32">
        <f>IF(OR($B948="",$R948="",$A948="",$F948=""),"",$B948&amp;"|"&amp;$A948&amp;"|"&amp;$F948&amp;"|"&amp;$R948&amp;"|"&amp;COUNTIFS($B$6:$B948,$B948,$A$6:$A948,$A948,$F$6:$F948,$F948,$R$6:$R948,$R948))</f>
        <v/>
      </c>
      <c r="U948" s="32">
        <f>IF($C948="","",$C948&amp;"|"&amp;COUNTIFS($C$6:$C948,$C948))</f>
        <v/>
      </c>
      <c r="V948" s="32">
        <f>IF(OR($C948="",$A948="",$S948=""),"",$C948&amp;"|"&amp;$A948&amp;"|"&amp;$S948)</f>
        <v/>
      </c>
      <c r="W948" s="32">
        <f>IF(OR($C948="",$S948="",$S948=1),"",IFERROR(INDEX($Q$6:$Q$1505,MATCH($C948&amp;"|"&amp;$A948&amp;"|"&amp;($S948-1),$V$6:$V$1505,0)),""))</f>
        <v/>
      </c>
      <c r="X948" s="32">
        <f>IF(OR($W948="",$Q948="",LEFT($Q948,1)="—"),"",IF($W948=$Q948,"ללא שינוי","מ-"&amp;$W948&amp;" ל-"&amp;$Q948))</f>
        <v/>
      </c>
    </row>
    <row r="949" ht="15.75" customHeight="1" s="58">
      <c r="A949" s="65" t="n"/>
      <c r="B949" s="65" t="n"/>
      <c r="C949" s="66" t="n"/>
      <c r="D949" s="66" t="n"/>
      <c r="E949" s="65" t="n"/>
      <c r="F949" s="65" t="n"/>
      <c r="G949" s="65" t="n"/>
      <c r="H949" s="65" t="n"/>
      <c r="I949" s="65" t="n"/>
      <c r="J949" s="65" t="n"/>
      <c r="K949" s="65" t="n"/>
      <c r="L949" s="65" t="n"/>
      <c r="M949" s="65" t="n"/>
      <c r="N949" s="65" t="n"/>
      <c r="O949" s="65" t="n"/>
      <c r="P949" s="65" t="n"/>
      <c r="Q949" s="32">
        <f>IF($C949="","",IF($J949="","— חסרים נתונים",IF($J949="טרם מפענח","פרופיל 5",IF($J949="קמץ/פתח/חטף-פתח ושוואים","פרופיל 4",IF($J949="2-3 סימני ניקוד","פרופיל 3",IF($J949="4-5 סימני ניקוד","פרופיל 2",IF(AND($O949="משפטים וקטעים קצרים",OR($M949="מבין",$M949="מבין לרוב")),"פרופיל 1","פרופיל 2")))))))</f>
        <v/>
      </c>
      <c r="R949" s="32">
        <f>IF($C949="","",IF(OR($Q949="",LEFT($Q949,1)="—"),"קבוצה רביעית",IF($Q949="פרופיל 5","קבוצת תשתיות",IF(OR($Q949="פרופיל 4",$Q949="פרופיל 3"),"קבוצת רכישה","קבוצת ביסוס"))))</f>
        <v/>
      </c>
      <c r="S949" s="32">
        <f>IF($F949="","",IF($F949="תחילת שנה",1,IF($F949="מחצית שנה",2,3)))</f>
        <v/>
      </c>
      <c r="T949" s="32">
        <f>IF(OR($B949="",$R949="",$A949="",$F949=""),"",$B949&amp;"|"&amp;$A949&amp;"|"&amp;$F949&amp;"|"&amp;$R949&amp;"|"&amp;COUNTIFS($B$6:$B949,$B949,$A$6:$A949,$A949,$F$6:$F949,$F949,$R$6:$R949,$R949))</f>
        <v/>
      </c>
      <c r="U949" s="32">
        <f>IF($C949="","",$C949&amp;"|"&amp;COUNTIFS($C$6:$C949,$C949))</f>
        <v/>
      </c>
      <c r="V949" s="32">
        <f>IF(OR($C949="",$A949="",$S949=""),"",$C949&amp;"|"&amp;$A949&amp;"|"&amp;$S949)</f>
        <v/>
      </c>
      <c r="W949" s="32">
        <f>IF(OR($C949="",$S949="",$S949=1),"",IFERROR(INDEX($Q$6:$Q$1505,MATCH($C949&amp;"|"&amp;$A949&amp;"|"&amp;($S949-1),$V$6:$V$1505,0)),""))</f>
        <v/>
      </c>
      <c r="X949" s="32">
        <f>IF(OR($W949="",$Q949="",LEFT($Q949,1)="—"),"",IF($W949=$Q949,"ללא שינוי","מ-"&amp;$W949&amp;" ל-"&amp;$Q949))</f>
        <v/>
      </c>
    </row>
    <row r="950" ht="15.75" customHeight="1" s="58">
      <c r="A950" s="65" t="n"/>
      <c r="B950" s="65" t="n"/>
      <c r="C950" s="66" t="n"/>
      <c r="D950" s="66" t="n"/>
      <c r="E950" s="65" t="n"/>
      <c r="F950" s="65" t="n"/>
      <c r="G950" s="65" t="n"/>
      <c r="H950" s="65" t="n"/>
      <c r="I950" s="65" t="n"/>
      <c r="J950" s="65" t="n"/>
      <c r="K950" s="65" t="n"/>
      <c r="L950" s="65" t="n"/>
      <c r="M950" s="65" t="n"/>
      <c r="N950" s="65" t="n"/>
      <c r="O950" s="65" t="n"/>
      <c r="P950" s="65" t="n"/>
      <c r="Q950" s="32">
        <f>IF($C950="","",IF($J950="","— חסרים נתונים",IF($J950="טרם מפענח","פרופיל 5",IF($J950="קמץ/פתח/חטף-פתח ושוואים","פרופיל 4",IF($J950="2-3 סימני ניקוד","פרופיל 3",IF($J950="4-5 סימני ניקוד","פרופיל 2",IF(AND($O950="משפטים וקטעים קצרים",OR($M950="מבין",$M950="מבין לרוב")),"פרופיל 1","פרופיל 2")))))))</f>
        <v/>
      </c>
      <c r="R950" s="32">
        <f>IF($C950="","",IF(OR($Q950="",LEFT($Q950,1)="—"),"קבוצה רביעית",IF($Q950="פרופיל 5","קבוצת תשתיות",IF(OR($Q950="פרופיל 4",$Q950="פרופיל 3"),"קבוצת רכישה","קבוצת ביסוס"))))</f>
        <v/>
      </c>
      <c r="S950" s="32">
        <f>IF($F950="","",IF($F950="תחילת שנה",1,IF($F950="מחצית שנה",2,3)))</f>
        <v/>
      </c>
      <c r="T950" s="32">
        <f>IF(OR($B950="",$R950="",$A950="",$F950=""),"",$B950&amp;"|"&amp;$A950&amp;"|"&amp;$F950&amp;"|"&amp;$R950&amp;"|"&amp;COUNTIFS($B$6:$B950,$B950,$A$6:$A950,$A950,$F$6:$F950,$F950,$R$6:$R950,$R950))</f>
        <v/>
      </c>
      <c r="U950" s="32">
        <f>IF($C950="","",$C950&amp;"|"&amp;COUNTIFS($C$6:$C950,$C950))</f>
        <v/>
      </c>
      <c r="V950" s="32">
        <f>IF(OR($C950="",$A950="",$S950=""),"",$C950&amp;"|"&amp;$A950&amp;"|"&amp;$S950)</f>
        <v/>
      </c>
      <c r="W950" s="32">
        <f>IF(OR($C950="",$S950="",$S950=1),"",IFERROR(INDEX($Q$6:$Q$1505,MATCH($C950&amp;"|"&amp;$A950&amp;"|"&amp;($S950-1),$V$6:$V$1505,0)),""))</f>
        <v/>
      </c>
      <c r="X950" s="32">
        <f>IF(OR($W950="",$Q950="",LEFT($Q950,1)="—"),"",IF($W950=$Q950,"ללא שינוי","מ-"&amp;$W950&amp;" ל-"&amp;$Q950))</f>
        <v/>
      </c>
    </row>
    <row r="951" ht="15.75" customHeight="1" s="58">
      <c r="A951" s="65" t="n"/>
      <c r="B951" s="65" t="n"/>
      <c r="C951" s="66" t="n"/>
      <c r="D951" s="66" t="n"/>
      <c r="E951" s="65" t="n"/>
      <c r="F951" s="65" t="n"/>
      <c r="G951" s="65" t="n"/>
      <c r="H951" s="65" t="n"/>
      <c r="I951" s="65" t="n"/>
      <c r="J951" s="65" t="n"/>
      <c r="K951" s="65" t="n"/>
      <c r="L951" s="65" t="n"/>
      <c r="M951" s="65" t="n"/>
      <c r="N951" s="65" t="n"/>
      <c r="O951" s="65" t="n"/>
      <c r="P951" s="65" t="n"/>
      <c r="Q951" s="32">
        <f>IF($C951="","",IF($J951="","— חסרים נתונים",IF($J951="טרם מפענח","פרופיל 5",IF($J951="קמץ/פתח/חטף-פתח ושוואים","פרופיל 4",IF($J951="2-3 סימני ניקוד","פרופיל 3",IF($J951="4-5 סימני ניקוד","פרופיל 2",IF(AND($O951="משפטים וקטעים קצרים",OR($M951="מבין",$M951="מבין לרוב")),"פרופיל 1","פרופיל 2")))))))</f>
        <v/>
      </c>
      <c r="R951" s="32">
        <f>IF($C951="","",IF(OR($Q951="",LEFT($Q951,1)="—"),"קבוצה רביעית",IF($Q951="פרופיל 5","קבוצת תשתיות",IF(OR($Q951="פרופיל 4",$Q951="פרופיל 3"),"קבוצת רכישה","קבוצת ביסוס"))))</f>
        <v/>
      </c>
      <c r="S951" s="32">
        <f>IF($F951="","",IF($F951="תחילת שנה",1,IF($F951="מחצית שנה",2,3)))</f>
        <v/>
      </c>
      <c r="T951" s="32">
        <f>IF(OR($B951="",$R951="",$A951="",$F951=""),"",$B951&amp;"|"&amp;$A951&amp;"|"&amp;$F951&amp;"|"&amp;$R951&amp;"|"&amp;COUNTIFS($B$6:$B951,$B951,$A$6:$A951,$A951,$F$6:$F951,$F951,$R$6:$R951,$R951))</f>
        <v/>
      </c>
      <c r="U951" s="32">
        <f>IF($C951="","",$C951&amp;"|"&amp;COUNTIFS($C$6:$C951,$C951))</f>
        <v/>
      </c>
      <c r="V951" s="32">
        <f>IF(OR($C951="",$A951="",$S951=""),"",$C951&amp;"|"&amp;$A951&amp;"|"&amp;$S951)</f>
        <v/>
      </c>
      <c r="W951" s="32">
        <f>IF(OR($C951="",$S951="",$S951=1),"",IFERROR(INDEX($Q$6:$Q$1505,MATCH($C951&amp;"|"&amp;$A951&amp;"|"&amp;($S951-1),$V$6:$V$1505,0)),""))</f>
        <v/>
      </c>
      <c r="X951" s="32">
        <f>IF(OR($W951="",$Q951="",LEFT($Q951,1)="—"),"",IF($W951=$Q951,"ללא שינוי","מ-"&amp;$W951&amp;" ל-"&amp;$Q951))</f>
        <v/>
      </c>
    </row>
    <row r="952" ht="15.75" customHeight="1" s="58">
      <c r="A952" s="65" t="n"/>
      <c r="B952" s="65" t="n"/>
      <c r="C952" s="66" t="n"/>
      <c r="D952" s="66" t="n"/>
      <c r="E952" s="65" t="n"/>
      <c r="F952" s="65" t="n"/>
      <c r="G952" s="65" t="n"/>
      <c r="H952" s="65" t="n"/>
      <c r="I952" s="65" t="n"/>
      <c r="J952" s="65" t="n"/>
      <c r="K952" s="65" t="n"/>
      <c r="L952" s="65" t="n"/>
      <c r="M952" s="65" t="n"/>
      <c r="N952" s="65" t="n"/>
      <c r="O952" s="65" t="n"/>
      <c r="P952" s="65" t="n"/>
      <c r="Q952" s="32">
        <f>IF($C952="","",IF($J952="","— חסרים נתונים",IF($J952="טרם מפענח","פרופיל 5",IF($J952="קמץ/פתח/חטף-פתח ושוואים","פרופיל 4",IF($J952="2-3 סימני ניקוד","פרופיל 3",IF($J952="4-5 סימני ניקוד","פרופיל 2",IF(AND($O952="משפטים וקטעים קצרים",OR($M952="מבין",$M952="מבין לרוב")),"פרופיל 1","פרופיל 2")))))))</f>
        <v/>
      </c>
      <c r="R952" s="32">
        <f>IF($C952="","",IF(OR($Q952="",LEFT($Q952,1)="—"),"קבוצה רביעית",IF($Q952="פרופיל 5","קבוצת תשתיות",IF(OR($Q952="פרופיל 4",$Q952="פרופיל 3"),"קבוצת רכישה","קבוצת ביסוס"))))</f>
        <v/>
      </c>
      <c r="S952" s="32">
        <f>IF($F952="","",IF($F952="תחילת שנה",1,IF($F952="מחצית שנה",2,3)))</f>
        <v/>
      </c>
      <c r="T952" s="32">
        <f>IF(OR($B952="",$R952="",$A952="",$F952=""),"",$B952&amp;"|"&amp;$A952&amp;"|"&amp;$F952&amp;"|"&amp;$R952&amp;"|"&amp;COUNTIFS($B$6:$B952,$B952,$A$6:$A952,$A952,$F$6:$F952,$F952,$R$6:$R952,$R952))</f>
        <v/>
      </c>
      <c r="U952" s="32">
        <f>IF($C952="","",$C952&amp;"|"&amp;COUNTIFS($C$6:$C952,$C952))</f>
        <v/>
      </c>
      <c r="V952" s="32">
        <f>IF(OR($C952="",$A952="",$S952=""),"",$C952&amp;"|"&amp;$A952&amp;"|"&amp;$S952)</f>
        <v/>
      </c>
      <c r="W952" s="32">
        <f>IF(OR($C952="",$S952="",$S952=1),"",IFERROR(INDEX($Q$6:$Q$1505,MATCH($C952&amp;"|"&amp;$A952&amp;"|"&amp;($S952-1),$V$6:$V$1505,0)),""))</f>
        <v/>
      </c>
      <c r="X952" s="32">
        <f>IF(OR($W952="",$Q952="",LEFT($Q952,1)="—"),"",IF($W952=$Q952,"ללא שינוי","מ-"&amp;$W952&amp;" ל-"&amp;$Q952))</f>
        <v/>
      </c>
    </row>
    <row r="953" ht="15.75" customHeight="1" s="58">
      <c r="A953" s="65" t="n"/>
      <c r="B953" s="65" t="n"/>
      <c r="C953" s="66" t="n"/>
      <c r="D953" s="66" t="n"/>
      <c r="E953" s="65" t="n"/>
      <c r="F953" s="65" t="n"/>
      <c r="G953" s="65" t="n"/>
      <c r="H953" s="65" t="n"/>
      <c r="I953" s="65" t="n"/>
      <c r="J953" s="65" t="n"/>
      <c r="K953" s="65" t="n"/>
      <c r="L953" s="65" t="n"/>
      <c r="M953" s="65" t="n"/>
      <c r="N953" s="65" t="n"/>
      <c r="O953" s="65" t="n"/>
      <c r="P953" s="65" t="n"/>
      <c r="Q953" s="32">
        <f>IF($C953="","",IF($J953="","— חסרים נתונים",IF($J953="טרם מפענח","פרופיל 5",IF($J953="קמץ/פתח/חטף-פתח ושוואים","פרופיל 4",IF($J953="2-3 סימני ניקוד","פרופיל 3",IF($J953="4-5 סימני ניקוד","פרופיל 2",IF(AND($O953="משפטים וקטעים קצרים",OR($M953="מבין",$M953="מבין לרוב")),"פרופיל 1","פרופיל 2")))))))</f>
        <v/>
      </c>
      <c r="R953" s="32">
        <f>IF($C953="","",IF(OR($Q953="",LEFT($Q953,1)="—"),"קבוצה רביעית",IF($Q953="פרופיל 5","קבוצת תשתיות",IF(OR($Q953="פרופיל 4",$Q953="פרופיל 3"),"קבוצת רכישה","קבוצת ביסוס"))))</f>
        <v/>
      </c>
      <c r="S953" s="32">
        <f>IF($F953="","",IF($F953="תחילת שנה",1,IF($F953="מחצית שנה",2,3)))</f>
        <v/>
      </c>
      <c r="T953" s="32">
        <f>IF(OR($B953="",$R953="",$A953="",$F953=""),"",$B953&amp;"|"&amp;$A953&amp;"|"&amp;$F953&amp;"|"&amp;$R953&amp;"|"&amp;COUNTIFS($B$6:$B953,$B953,$A$6:$A953,$A953,$F$6:$F953,$F953,$R$6:$R953,$R953))</f>
        <v/>
      </c>
      <c r="U953" s="32">
        <f>IF($C953="","",$C953&amp;"|"&amp;COUNTIFS($C$6:$C953,$C953))</f>
        <v/>
      </c>
      <c r="V953" s="32">
        <f>IF(OR($C953="",$A953="",$S953=""),"",$C953&amp;"|"&amp;$A953&amp;"|"&amp;$S953)</f>
        <v/>
      </c>
      <c r="W953" s="32">
        <f>IF(OR($C953="",$S953="",$S953=1),"",IFERROR(INDEX($Q$6:$Q$1505,MATCH($C953&amp;"|"&amp;$A953&amp;"|"&amp;($S953-1),$V$6:$V$1505,0)),""))</f>
        <v/>
      </c>
      <c r="X953" s="32">
        <f>IF(OR($W953="",$Q953="",LEFT($Q953,1)="—"),"",IF($W953=$Q953,"ללא שינוי","מ-"&amp;$W953&amp;" ל-"&amp;$Q953))</f>
        <v/>
      </c>
    </row>
    <row r="954" ht="15.75" customHeight="1" s="58">
      <c r="A954" s="65" t="n"/>
      <c r="B954" s="65" t="n"/>
      <c r="C954" s="66" t="n"/>
      <c r="D954" s="66" t="n"/>
      <c r="E954" s="65" t="n"/>
      <c r="F954" s="65" t="n"/>
      <c r="G954" s="65" t="n"/>
      <c r="H954" s="65" t="n"/>
      <c r="I954" s="65" t="n"/>
      <c r="J954" s="65" t="n"/>
      <c r="K954" s="65" t="n"/>
      <c r="L954" s="65" t="n"/>
      <c r="M954" s="65" t="n"/>
      <c r="N954" s="65" t="n"/>
      <c r="O954" s="65" t="n"/>
      <c r="P954" s="65" t="n"/>
      <c r="Q954" s="32">
        <f>IF($C954="","",IF($J954="","— חסרים נתונים",IF($J954="טרם מפענח","פרופיל 5",IF($J954="קמץ/פתח/חטף-פתח ושוואים","פרופיל 4",IF($J954="2-3 סימני ניקוד","פרופיל 3",IF($J954="4-5 סימני ניקוד","פרופיל 2",IF(AND($O954="משפטים וקטעים קצרים",OR($M954="מבין",$M954="מבין לרוב")),"פרופיל 1","פרופיל 2")))))))</f>
        <v/>
      </c>
      <c r="R954" s="32">
        <f>IF($C954="","",IF(OR($Q954="",LEFT($Q954,1)="—"),"קבוצה רביעית",IF($Q954="פרופיל 5","קבוצת תשתיות",IF(OR($Q954="פרופיל 4",$Q954="פרופיל 3"),"קבוצת רכישה","קבוצת ביסוס"))))</f>
        <v/>
      </c>
      <c r="S954" s="32">
        <f>IF($F954="","",IF($F954="תחילת שנה",1,IF($F954="מחצית שנה",2,3)))</f>
        <v/>
      </c>
      <c r="T954" s="32">
        <f>IF(OR($B954="",$R954="",$A954="",$F954=""),"",$B954&amp;"|"&amp;$A954&amp;"|"&amp;$F954&amp;"|"&amp;$R954&amp;"|"&amp;COUNTIFS($B$6:$B954,$B954,$A$6:$A954,$A954,$F$6:$F954,$F954,$R$6:$R954,$R954))</f>
        <v/>
      </c>
      <c r="U954" s="32">
        <f>IF($C954="","",$C954&amp;"|"&amp;COUNTIFS($C$6:$C954,$C954))</f>
        <v/>
      </c>
      <c r="V954" s="32">
        <f>IF(OR($C954="",$A954="",$S954=""),"",$C954&amp;"|"&amp;$A954&amp;"|"&amp;$S954)</f>
        <v/>
      </c>
      <c r="W954" s="32">
        <f>IF(OR($C954="",$S954="",$S954=1),"",IFERROR(INDEX($Q$6:$Q$1505,MATCH($C954&amp;"|"&amp;$A954&amp;"|"&amp;($S954-1),$V$6:$V$1505,0)),""))</f>
        <v/>
      </c>
      <c r="X954" s="32">
        <f>IF(OR($W954="",$Q954="",LEFT($Q954,1)="—"),"",IF($W954=$Q954,"ללא שינוי","מ-"&amp;$W954&amp;" ל-"&amp;$Q954))</f>
        <v/>
      </c>
    </row>
    <row r="955" ht="15.75" customHeight="1" s="58">
      <c r="A955" s="65" t="n"/>
      <c r="B955" s="65" t="n"/>
      <c r="C955" s="66" t="n"/>
      <c r="D955" s="66" t="n"/>
      <c r="E955" s="65" t="n"/>
      <c r="F955" s="65" t="n"/>
      <c r="G955" s="65" t="n"/>
      <c r="H955" s="65" t="n"/>
      <c r="I955" s="65" t="n"/>
      <c r="J955" s="65" t="n"/>
      <c r="K955" s="65" t="n"/>
      <c r="L955" s="65" t="n"/>
      <c r="M955" s="65" t="n"/>
      <c r="N955" s="65" t="n"/>
      <c r="O955" s="65" t="n"/>
      <c r="P955" s="65" t="n"/>
      <c r="Q955" s="32">
        <f>IF($C955="","",IF($J955="","— חסרים נתונים",IF($J955="טרם מפענח","פרופיל 5",IF($J955="קמץ/פתח/חטף-פתח ושוואים","פרופיל 4",IF($J955="2-3 סימני ניקוד","פרופיל 3",IF($J955="4-5 סימני ניקוד","פרופיל 2",IF(AND($O955="משפטים וקטעים קצרים",OR($M955="מבין",$M955="מבין לרוב")),"פרופיל 1","פרופיל 2")))))))</f>
        <v/>
      </c>
      <c r="R955" s="32">
        <f>IF($C955="","",IF(OR($Q955="",LEFT($Q955,1)="—"),"קבוצה רביעית",IF($Q955="פרופיל 5","קבוצת תשתיות",IF(OR($Q955="פרופיל 4",$Q955="פרופיל 3"),"קבוצת רכישה","קבוצת ביסוס"))))</f>
        <v/>
      </c>
      <c r="S955" s="32">
        <f>IF($F955="","",IF($F955="תחילת שנה",1,IF($F955="מחצית שנה",2,3)))</f>
        <v/>
      </c>
      <c r="T955" s="32">
        <f>IF(OR($B955="",$R955="",$A955="",$F955=""),"",$B955&amp;"|"&amp;$A955&amp;"|"&amp;$F955&amp;"|"&amp;$R955&amp;"|"&amp;COUNTIFS($B$6:$B955,$B955,$A$6:$A955,$A955,$F$6:$F955,$F955,$R$6:$R955,$R955))</f>
        <v/>
      </c>
      <c r="U955" s="32">
        <f>IF($C955="","",$C955&amp;"|"&amp;COUNTIFS($C$6:$C955,$C955))</f>
        <v/>
      </c>
      <c r="V955" s="32">
        <f>IF(OR($C955="",$A955="",$S955=""),"",$C955&amp;"|"&amp;$A955&amp;"|"&amp;$S955)</f>
        <v/>
      </c>
      <c r="W955" s="32">
        <f>IF(OR($C955="",$S955="",$S955=1),"",IFERROR(INDEX($Q$6:$Q$1505,MATCH($C955&amp;"|"&amp;$A955&amp;"|"&amp;($S955-1),$V$6:$V$1505,0)),""))</f>
        <v/>
      </c>
      <c r="X955" s="32">
        <f>IF(OR($W955="",$Q955="",LEFT($Q955,1)="—"),"",IF($W955=$Q955,"ללא שינוי","מ-"&amp;$W955&amp;" ל-"&amp;$Q955))</f>
        <v/>
      </c>
    </row>
    <row r="956" ht="15.75" customHeight="1" s="58">
      <c r="A956" s="65" t="n"/>
      <c r="B956" s="65" t="n"/>
      <c r="C956" s="66" t="n"/>
      <c r="D956" s="66" t="n"/>
      <c r="E956" s="65" t="n"/>
      <c r="F956" s="65" t="n"/>
      <c r="G956" s="65" t="n"/>
      <c r="H956" s="65" t="n"/>
      <c r="I956" s="65" t="n"/>
      <c r="J956" s="65" t="n"/>
      <c r="K956" s="65" t="n"/>
      <c r="L956" s="65" t="n"/>
      <c r="M956" s="65" t="n"/>
      <c r="N956" s="65" t="n"/>
      <c r="O956" s="65" t="n"/>
      <c r="P956" s="65" t="n"/>
      <c r="Q956" s="32">
        <f>IF($C956="","",IF($J956="","— חסרים נתונים",IF($J956="טרם מפענח","פרופיל 5",IF($J956="קמץ/פתח/חטף-פתח ושוואים","פרופיל 4",IF($J956="2-3 סימני ניקוד","פרופיל 3",IF($J956="4-5 סימני ניקוד","פרופיל 2",IF(AND($O956="משפטים וקטעים קצרים",OR($M956="מבין",$M956="מבין לרוב")),"פרופיל 1","פרופיל 2")))))))</f>
        <v/>
      </c>
      <c r="R956" s="32">
        <f>IF($C956="","",IF(OR($Q956="",LEFT($Q956,1)="—"),"קבוצה רביעית",IF($Q956="פרופיל 5","קבוצת תשתיות",IF(OR($Q956="פרופיל 4",$Q956="פרופיל 3"),"קבוצת רכישה","קבוצת ביסוס"))))</f>
        <v/>
      </c>
      <c r="S956" s="32">
        <f>IF($F956="","",IF($F956="תחילת שנה",1,IF($F956="מחצית שנה",2,3)))</f>
        <v/>
      </c>
      <c r="T956" s="32">
        <f>IF(OR($B956="",$R956="",$A956="",$F956=""),"",$B956&amp;"|"&amp;$A956&amp;"|"&amp;$F956&amp;"|"&amp;$R956&amp;"|"&amp;COUNTIFS($B$6:$B956,$B956,$A$6:$A956,$A956,$F$6:$F956,$F956,$R$6:$R956,$R956))</f>
        <v/>
      </c>
      <c r="U956" s="32">
        <f>IF($C956="","",$C956&amp;"|"&amp;COUNTIFS($C$6:$C956,$C956))</f>
        <v/>
      </c>
      <c r="V956" s="32">
        <f>IF(OR($C956="",$A956="",$S956=""),"",$C956&amp;"|"&amp;$A956&amp;"|"&amp;$S956)</f>
        <v/>
      </c>
      <c r="W956" s="32">
        <f>IF(OR($C956="",$S956="",$S956=1),"",IFERROR(INDEX($Q$6:$Q$1505,MATCH($C956&amp;"|"&amp;$A956&amp;"|"&amp;($S956-1),$V$6:$V$1505,0)),""))</f>
        <v/>
      </c>
      <c r="X956" s="32">
        <f>IF(OR($W956="",$Q956="",LEFT($Q956,1)="—"),"",IF($W956=$Q956,"ללא שינוי","מ-"&amp;$W956&amp;" ל-"&amp;$Q956))</f>
        <v/>
      </c>
    </row>
    <row r="957" ht="15.75" customHeight="1" s="58">
      <c r="A957" s="65" t="n"/>
      <c r="B957" s="65" t="n"/>
      <c r="C957" s="66" t="n"/>
      <c r="D957" s="66" t="n"/>
      <c r="E957" s="65" t="n"/>
      <c r="F957" s="65" t="n"/>
      <c r="G957" s="65" t="n"/>
      <c r="H957" s="65" t="n"/>
      <c r="I957" s="65" t="n"/>
      <c r="J957" s="65" t="n"/>
      <c r="K957" s="65" t="n"/>
      <c r="L957" s="65" t="n"/>
      <c r="M957" s="65" t="n"/>
      <c r="N957" s="65" t="n"/>
      <c r="O957" s="65" t="n"/>
      <c r="P957" s="65" t="n"/>
      <c r="Q957" s="32">
        <f>IF($C957="","",IF($J957="","— חסרים נתונים",IF($J957="טרם מפענח","פרופיל 5",IF($J957="קמץ/פתח/חטף-פתח ושוואים","פרופיל 4",IF($J957="2-3 סימני ניקוד","פרופיל 3",IF($J957="4-5 סימני ניקוד","פרופיל 2",IF(AND($O957="משפטים וקטעים קצרים",OR($M957="מבין",$M957="מבין לרוב")),"פרופיל 1","פרופיל 2")))))))</f>
        <v/>
      </c>
      <c r="R957" s="32">
        <f>IF($C957="","",IF(OR($Q957="",LEFT($Q957,1)="—"),"קבוצה רביעית",IF($Q957="פרופיל 5","קבוצת תשתיות",IF(OR($Q957="פרופיל 4",$Q957="פרופיל 3"),"קבוצת רכישה","קבוצת ביסוס"))))</f>
        <v/>
      </c>
      <c r="S957" s="32">
        <f>IF($F957="","",IF($F957="תחילת שנה",1,IF($F957="מחצית שנה",2,3)))</f>
        <v/>
      </c>
      <c r="T957" s="32">
        <f>IF(OR($B957="",$R957="",$A957="",$F957=""),"",$B957&amp;"|"&amp;$A957&amp;"|"&amp;$F957&amp;"|"&amp;$R957&amp;"|"&amp;COUNTIFS($B$6:$B957,$B957,$A$6:$A957,$A957,$F$6:$F957,$F957,$R$6:$R957,$R957))</f>
        <v/>
      </c>
      <c r="U957" s="32">
        <f>IF($C957="","",$C957&amp;"|"&amp;COUNTIFS($C$6:$C957,$C957))</f>
        <v/>
      </c>
      <c r="V957" s="32">
        <f>IF(OR($C957="",$A957="",$S957=""),"",$C957&amp;"|"&amp;$A957&amp;"|"&amp;$S957)</f>
        <v/>
      </c>
      <c r="W957" s="32">
        <f>IF(OR($C957="",$S957="",$S957=1),"",IFERROR(INDEX($Q$6:$Q$1505,MATCH($C957&amp;"|"&amp;$A957&amp;"|"&amp;($S957-1),$V$6:$V$1505,0)),""))</f>
        <v/>
      </c>
      <c r="X957" s="32">
        <f>IF(OR($W957="",$Q957="",LEFT($Q957,1)="—"),"",IF($W957=$Q957,"ללא שינוי","מ-"&amp;$W957&amp;" ל-"&amp;$Q957))</f>
        <v/>
      </c>
    </row>
    <row r="958" ht="15.75" customHeight="1" s="58">
      <c r="A958" s="65" t="n"/>
      <c r="B958" s="65" t="n"/>
      <c r="C958" s="66" t="n"/>
      <c r="D958" s="66" t="n"/>
      <c r="E958" s="65" t="n"/>
      <c r="F958" s="65" t="n"/>
      <c r="G958" s="65" t="n"/>
      <c r="H958" s="65" t="n"/>
      <c r="I958" s="65" t="n"/>
      <c r="J958" s="65" t="n"/>
      <c r="K958" s="65" t="n"/>
      <c r="L958" s="65" t="n"/>
      <c r="M958" s="65" t="n"/>
      <c r="N958" s="65" t="n"/>
      <c r="O958" s="65" t="n"/>
      <c r="P958" s="65" t="n"/>
      <c r="Q958" s="32">
        <f>IF($C958="","",IF($J958="","— חסרים נתונים",IF($J958="טרם מפענח","פרופיל 5",IF($J958="קמץ/פתח/חטף-פתח ושוואים","פרופיל 4",IF($J958="2-3 סימני ניקוד","פרופיל 3",IF($J958="4-5 סימני ניקוד","פרופיל 2",IF(AND($O958="משפטים וקטעים קצרים",OR($M958="מבין",$M958="מבין לרוב")),"פרופיל 1","פרופיל 2")))))))</f>
        <v/>
      </c>
      <c r="R958" s="32">
        <f>IF($C958="","",IF(OR($Q958="",LEFT($Q958,1)="—"),"קבוצה רביעית",IF($Q958="פרופיל 5","קבוצת תשתיות",IF(OR($Q958="פרופיל 4",$Q958="פרופיל 3"),"קבוצת רכישה","קבוצת ביסוס"))))</f>
        <v/>
      </c>
      <c r="S958" s="32">
        <f>IF($F958="","",IF($F958="תחילת שנה",1,IF($F958="מחצית שנה",2,3)))</f>
        <v/>
      </c>
      <c r="T958" s="32">
        <f>IF(OR($B958="",$R958="",$A958="",$F958=""),"",$B958&amp;"|"&amp;$A958&amp;"|"&amp;$F958&amp;"|"&amp;$R958&amp;"|"&amp;COUNTIFS($B$6:$B958,$B958,$A$6:$A958,$A958,$F$6:$F958,$F958,$R$6:$R958,$R958))</f>
        <v/>
      </c>
      <c r="U958" s="32">
        <f>IF($C958="","",$C958&amp;"|"&amp;COUNTIFS($C$6:$C958,$C958))</f>
        <v/>
      </c>
      <c r="V958" s="32">
        <f>IF(OR($C958="",$A958="",$S958=""),"",$C958&amp;"|"&amp;$A958&amp;"|"&amp;$S958)</f>
        <v/>
      </c>
      <c r="W958" s="32">
        <f>IF(OR($C958="",$S958="",$S958=1),"",IFERROR(INDEX($Q$6:$Q$1505,MATCH($C958&amp;"|"&amp;$A958&amp;"|"&amp;($S958-1),$V$6:$V$1505,0)),""))</f>
        <v/>
      </c>
      <c r="X958" s="32">
        <f>IF(OR($W958="",$Q958="",LEFT($Q958,1)="—"),"",IF($W958=$Q958,"ללא שינוי","מ-"&amp;$W958&amp;" ל-"&amp;$Q958))</f>
        <v/>
      </c>
    </row>
    <row r="959" ht="15.75" customHeight="1" s="58">
      <c r="A959" s="65" t="n"/>
      <c r="B959" s="65" t="n"/>
      <c r="C959" s="66" t="n"/>
      <c r="D959" s="66" t="n"/>
      <c r="E959" s="65" t="n"/>
      <c r="F959" s="65" t="n"/>
      <c r="G959" s="65" t="n"/>
      <c r="H959" s="65" t="n"/>
      <c r="I959" s="65" t="n"/>
      <c r="J959" s="65" t="n"/>
      <c r="K959" s="65" t="n"/>
      <c r="L959" s="65" t="n"/>
      <c r="M959" s="65" t="n"/>
      <c r="N959" s="65" t="n"/>
      <c r="O959" s="65" t="n"/>
      <c r="P959" s="65" t="n"/>
      <c r="Q959" s="32">
        <f>IF($C959="","",IF($J959="","— חסרים נתונים",IF($J959="טרם מפענח","פרופיל 5",IF($J959="קמץ/פתח/חטף-פתח ושוואים","פרופיל 4",IF($J959="2-3 סימני ניקוד","פרופיל 3",IF($J959="4-5 סימני ניקוד","פרופיל 2",IF(AND($O959="משפטים וקטעים קצרים",OR($M959="מבין",$M959="מבין לרוב")),"פרופיל 1","פרופיל 2")))))))</f>
        <v/>
      </c>
      <c r="R959" s="32">
        <f>IF($C959="","",IF(OR($Q959="",LEFT($Q959,1)="—"),"קבוצה רביעית",IF($Q959="פרופיל 5","קבוצת תשתיות",IF(OR($Q959="פרופיל 4",$Q959="פרופיל 3"),"קבוצת רכישה","קבוצת ביסוס"))))</f>
        <v/>
      </c>
      <c r="S959" s="32">
        <f>IF($F959="","",IF($F959="תחילת שנה",1,IF($F959="מחצית שנה",2,3)))</f>
        <v/>
      </c>
      <c r="T959" s="32">
        <f>IF(OR($B959="",$R959="",$A959="",$F959=""),"",$B959&amp;"|"&amp;$A959&amp;"|"&amp;$F959&amp;"|"&amp;$R959&amp;"|"&amp;COUNTIFS($B$6:$B959,$B959,$A$6:$A959,$A959,$F$6:$F959,$F959,$R$6:$R959,$R959))</f>
        <v/>
      </c>
      <c r="U959" s="32">
        <f>IF($C959="","",$C959&amp;"|"&amp;COUNTIFS($C$6:$C959,$C959))</f>
        <v/>
      </c>
      <c r="V959" s="32">
        <f>IF(OR($C959="",$A959="",$S959=""),"",$C959&amp;"|"&amp;$A959&amp;"|"&amp;$S959)</f>
        <v/>
      </c>
      <c r="W959" s="32">
        <f>IF(OR($C959="",$S959="",$S959=1),"",IFERROR(INDEX($Q$6:$Q$1505,MATCH($C959&amp;"|"&amp;$A959&amp;"|"&amp;($S959-1),$V$6:$V$1505,0)),""))</f>
        <v/>
      </c>
      <c r="X959" s="32">
        <f>IF(OR($W959="",$Q959="",LEFT($Q959,1)="—"),"",IF($W959=$Q959,"ללא שינוי","מ-"&amp;$W959&amp;" ל-"&amp;$Q959))</f>
        <v/>
      </c>
    </row>
    <row r="960" ht="15.75" customHeight="1" s="58">
      <c r="A960" s="65" t="n"/>
      <c r="B960" s="65" t="n"/>
      <c r="C960" s="66" t="n"/>
      <c r="D960" s="66" t="n"/>
      <c r="E960" s="65" t="n"/>
      <c r="F960" s="65" t="n"/>
      <c r="G960" s="65" t="n"/>
      <c r="H960" s="65" t="n"/>
      <c r="I960" s="65" t="n"/>
      <c r="J960" s="65" t="n"/>
      <c r="K960" s="65" t="n"/>
      <c r="L960" s="65" t="n"/>
      <c r="M960" s="65" t="n"/>
      <c r="N960" s="65" t="n"/>
      <c r="O960" s="65" t="n"/>
      <c r="P960" s="65" t="n"/>
      <c r="Q960" s="32">
        <f>IF($C960="","",IF($J960="","— חסרים נתונים",IF($J960="טרם מפענח","פרופיל 5",IF($J960="קמץ/פתח/חטף-פתח ושוואים","פרופיל 4",IF($J960="2-3 סימני ניקוד","פרופיל 3",IF($J960="4-5 סימני ניקוד","פרופיל 2",IF(AND($O960="משפטים וקטעים קצרים",OR($M960="מבין",$M960="מבין לרוב")),"פרופיל 1","פרופיל 2")))))))</f>
        <v/>
      </c>
      <c r="R960" s="32">
        <f>IF($C960="","",IF(OR($Q960="",LEFT($Q960,1)="—"),"קבוצה רביעית",IF($Q960="פרופיל 5","קבוצת תשתיות",IF(OR($Q960="פרופיל 4",$Q960="פרופיל 3"),"קבוצת רכישה","קבוצת ביסוס"))))</f>
        <v/>
      </c>
      <c r="S960" s="32">
        <f>IF($F960="","",IF($F960="תחילת שנה",1,IF($F960="מחצית שנה",2,3)))</f>
        <v/>
      </c>
      <c r="T960" s="32">
        <f>IF(OR($B960="",$R960="",$A960="",$F960=""),"",$B960&amp;"|"&amp;$A960&amp;"|"&amp;$F960&amp;"|"&amp;$R960&amp;"|"&amp;COUNTIFS($B$6:$B960,$B960,$A$6:$A960,$A960,$F$6:$F960,$F960,$R$6:$R960,$R960))</f>
        <v/>
      </c>
      <c r="U960" s="32">
        <f>IF($C960="","",$C960&amp;"|"&amp;COUNTIFS($C$6:$C960,$C960))</f>
        <v/>
      </c>
      <c r="V960" s="32">
        <f>IF(OR($C960="",$A960="",$S960=""),"",$C960&amp;"|"&amp;$A960&amp;"|"&amp;$S960)</f>
        <v/>
      </c>
      <c r="W960" s="32">
        <f>IF(OR($C960="",$S960="",$S960=1),"",IFERROR(INDEX($Q$6:$Q$1505,MATCH($C960&amp;"|"&amp;$A960&amp;"|"&amp;($S960-1),$V$6:$V$1505,0)),""))</f>
        <v/>
      </c>
      <c r="X960" s="32">
        <f>IF(OR($W960="",$Q960="",LEFT($Q960,1)="—"),"",IF($W960=$Q960,"ללא שינוי","מ-"&amp;$W960&amp;" ל-"&amp;$Q960))</f>
        <v/>
      </c>
    </row>
    <row r="961" ht="15.75" customHeight="1" s="58">
      <c r="A961" s="65" t="n"/>
      <c r="B961" s="65" t="n"/>
      <c r="C961" s="66" t="n"/>
      <c r="D961" s="66" t="n"/>
      <c r="E961" s="65" t="n"/>
      <c r="F961" s="65" t="n"/>
      <c r="G961" s="65" t="n"/>
      <c r="H961" s="65" t="n"/>
      <c r="I961" s="65" t="n"/>
      <c r="J961" s="65" t="n"/>
      <c r="K961" s="65" t="n"/>
      <c r="L961" s="65" t="n"/>
      <c r="M961" s="65" t="n"/>
      <c r="N961" s="65" t="n"/>
      <c r="O961" s="65" t="n"/>
      <c r="P961" s="65" t="n"/>
      <c r="Q961" s="32">
        <f>IF($C961="","",IF($J961="","— חסרים נתונים",IF($J961="טרם מפענח","פרופיל 5",IF($J961="קמץ/פתח/חטף-פתח ושוואים","פרופיל 4",IF($J961="2-3 סימני ניקוד","פרופיל 3",IF($J961="4-5 סימני ניקוד","פרופיל 2",IF(AND($O961="משפטים וקטעים קצרים",OR($M961="מבין",$M961="מבין לרוב")),"פרופיל 1","פרופיל 2")))))))</f>
        <v/>
      </c>
      <c r="R961" s="32">
        <f>IF($C961="","",IF(OR($Q961="",LEFT($Q961,1)="—"),"קבוצה רביעית",IF($Q961="פרופיל 5","קבוצת תשתיות",IF(OR($Q961="פרופיל 4",$Q961="פרופיל 3"),"קבוצת רכישה","קבוצת ביסוס"))))</f>
        <v/>
      </c>
      <c r="S961" s="32">
        <f>IF($F961="","",IF($F961="תחילת שנה",1,IF($F961="מחצית שנה",2,3)))</f>
        <v/>
      </c>
      <c r="T961" s="32">
        <f>IF(OR($B961="",$R961="",$A961="",$F961=""),"",$B961&amp;"|"&amp;$A961&amp;"|"&amp;$F961&amp;"|"&amp;$R961&amp;"|"&amp;COUNTIFS($B$6:$B961,$B961,$A$6:$A961,$A961,$F$6:$F961,$F961,$R$6:$R961,$R961))</f>
        <v/>
      </c>
      <c r="U961" s="32">
        <f>IF($C961="","",$C961&amp;"|"&amp;COUNTIFS($C$6:$C961,$C961))</f>
        <v/>
      </c>
      <c r="V961" s="32">
        <f>IF(OR($C961="",$A961="",$S961=""),"",$C961&amp;"|"&amp;$A961&amp;"|"&amp;$S961)</f>
        <v/>
      </c>
      <c r="W961" s="32">
        <f>IF(OR($C961="",$S961="",$S961=1),"",IFERROR(INDEX($Q$6:$Q$1505,MATCH($C961&amp;"|"&amp;$A961&amp;"|"&amp;($S961-1),$V$6:$V$1505,0)),""))</f>
        <v/>
      </c>
      <c r="X961" s="32">
        <f>IF(OR($W961="",$Q961="",LEFT($Q961,1)="—"),"",IF($W961=$Q961,"ללא שינוי","מ-"&amp;$W961&amp;" ל-"&amp;$Q961))</f>
        <v/>
      </c>
    </row>
    <row r="962" ht="15.75" customHeight="1" s="58">
      <c r="A962" s="65" t="n"/>
      <c r="B962" s="65" t="n"/>
      <c r="C962" s="66" t="n"/>
      <c r="D962" s="66" t="n"/>
      <c r="E962" s="65" t="n"/>
      <c r="F962" s="65" t="n"/>
      <c r="G962" s="65" t="n"/>
      <c r="H962" s="65" t="n"/>
      <c r="I962" s="65" t="n"/>
      <c r="J962" s="65" t="n"/>
      <c r="K962" s="65" t="n"/>
      <c r="L962" s="65" t="n"/>
      <c r="M962" s="65" t="n"/>
      <c r="N962" s="65" t="n"/>
      <c r="O962" s="65" t="n"/>
      <c r="P962" s="65" t="n"/>
      <c r="Q962" s="32">
        <f>IF($C962="","",IF($J962="","— חסרים נתונים",IF($J962="טרם מפענח","פרופיל 5",IF($J962="קמץ/פתח/חטף-פתח ושוואים","פרופיל 4",IF($J962="2-3 סימני ניקוד","פרופיל 3",IF($J962="4-5 סימני ניקוד","פרופיל 2",IF(AND($O962="משפטים וקטעים קצרים",OR($M962="מבין",$M962="מבין לרוב")),"פרופיל 1","פרופיל 2")))))))</f>
        <v/>
      </c>
      <c r="R962" s="32">
        <f>IF($C962="","",IF(OR($Q962="",LEFT($Q962,1)="—"),"קבוצה רביעית",IF($Q962="פרופיל 5","קבוצת תשתיות",IF(OR($Q962="פרופיל 4",$Q962="פרופיל 3"),"קבוצת רכישה","קבוצת ביסוס"))))</f>
        <v/>
      </c>
      <c r="S962" s="32">
        <f>IF($F962="","",IF($F962="תחילת שנה",1,IF($F962="מחצית שנה",2,3)))</f>
        <v/>
      </c>
      <c r="T962" s="32">
        <f>IF(OR($B962="",$R962="",$A962="",$F962=""),"",$B962&amp;"|"&amp;$A962&amp;"|"&amp;$F962&amp;"|"&amp;$R962&amp;"|"&amp;COUNTIFS($B$6:$B962,$B962,$A$6:$A962,$A962,$F$6:$F962,$F962,$R$6:$R962,$R962))</f>
        <v/>
      </c>
      <c r="U962" s="32">
        <f>IF($C962="","",$C962&amp;"|"&amp;COUNTIFS($C$6:$C962,$C962))</f>
        <v/>
      </c>
      <c r="V962" s="32">
        <f>IF(OR($C962="",$A962="",$S962=""),"",$C962&amp;"|"&amp;$A962&amp;"|"&amp;$S962)</f>
        <v/>
      </c>
      <c r="W962" s="32">
        <f>IF(OR($C962="",$S962="",$S962=1),"",IFERROR(INDEX($Q$6:$Q$1505,MATCH($C962&amp;"|"&amp;$A962&amp;"|"&amp;($S962-1),$V$6:$V$1505,0)),""))</f>
        <v/>
      </c>
      <c r="X962" s="32">
        <f>IF(OR($W962="",$Q962="",LEFT($Q962,1)="—"),"",IF($W962=$Q962,"ללא שינוי","מ-"&amp;$W962&amp;" ל-"&amp;$Q962))</f>
        <v/>
      </c>
    </row>
    <row r="963" ht="15.75" customHeight="1" s="58">
      <c r="A963" s="65" t="n"/>
      <c r="B963" s="65" t="n"/>
      <c r="C963" s="66" t="n"/>
      <c r="D963" s="66" t="n"/>
      <c r="E963" s="65" t="n"/>
      <c r="F963" s="65" t="n"/>
      <c r="G963" s="65" t="n"/>
      <c r="H963" s="65" t="n"/>
      <c r="I963" s="65" t="n"/>
      <c r="J963" s="65" t="n"/>
      <c r="K963" s="65" t="n"/>
      <c r="L963" s="65" t="n"/>
      <c r="M963" s="65" t="n"/>
      <c r="N963" s="65" t="n"/>
      <c r="O963" s="65" t="n"/>
      <c r="P963" s="65" t="n"/>
      <c r="Q963" s="32">
        <f>IF($C963="","",IF($J963="","— חסרים נתונים",IF($J963="טרם מפענח","פרופיל 5",IF($J963="קמץ/פתח/חטף-פתח ושוואים","פרופיל 4",IF($J963="2-3 סימני ניקוד","פרופיל 3",IF($J963="4-5 סימני ניקוד","פרופיל 2",IF(AND($O963="משפטים וקטעים קצרים",OR($M963="מבין",$M963="מבין לרוב")),"פרופיל 1","פרופיל 2")))))))</f>
        <v/>
      </c>
      <c r="R963" s="32">
        <f>IF($C963="","",IF(OR($Q963="",LEFT($Q963,1)="—"),"קבוצה רביעית",IF($Q963="פרופיל 5","קבוצת תשתיות",IF(OR($Q963="פרופיל 4",$Q963="פרופיל 3"),"קבוצת רכישה","קבוצת ביסוס"))))</f>
        <v/>
      </c>
      <c r="S963" s="32">
        <f>IF($F963="","",IF($F963="תחילת שנה",1,IF($F963="מחצית שנה",2,3)))</f>
        <v/>
      </c>
      <c r="T963" s="32">
        <f>IF(OR($B963="",$R963="",$A963="",$F963=""),"",$B963&amp;"|"&amp;$A963&amp;"|"&amp;$F963&amp;"|"&amp;$R963&amp;"|"&amp;COUNTIFS($B$6:$B963,$B963,$A$6:$A963,$A963,$F$6:$F963,$F963,$R$6:$R963,$R963))</f>
        <v/>
      </c>
      <c r="U963" s="32">
        <f>IF($C963="","",$C963&amp;"|"&amp;COUNTIFS($C$6:$C963,$C963))</f>
        <v/>
      </c>
      <c r="V963" s="32">
        <f>IF(OR($C963="",$A963="",$S963=""),"",$C963&amp;"|"&amp;$A963&amp;"|"&amp;$S963)</f>
        <v/>
      </c>
      <c r="W963" s="32">
        <f>IF(OR($C963="",$S963="",$S963=1),"",IFERROR(INDEX($Q$6:$Q$1505,MATCH($C963&amp;"|"&amp;$A963&amp;"|"&amp;($S963-1),$V$6:$V$1505,0)),""))</f>
        <v/>
      </c>
      <c r="X963" s="32">
        <f>IF(OR($W963="",$Q963="",LEFT($Q963,1)="—"),"",IF($W963=$Q963,"ללא שינוי","מ-"&amp;$W963&amp;" ל-"&amp;$Q963))</f>
        <v/>
      </c>
    </row>
    <row r="964" ht="15.75" customHeight="1" s="58">
      <c r="A964" s="65" t="n"/>
      <c r="B964" s="65" t="n"/>
      <c r="C964" s="66" t="n"/>
      <c r="D964" s="66" t="n"/>
      <c r="E964" s="65" t="n"/>
      <c r="F964" s="65" t="n"/>
      <c r="G964" s="65" t="n"/>
      <c r="H964" s="65" t="n"/>
      <c r="I964" s="65" t="n"/>
      <c r="J964" s="65" t="n"/>
      <c r="K964" s="65" t="n"/>
      <c r="L964" s="65" t="n"/>
      <c r="M964" s="65" t="n"/>
      <c r="N964" s="65" t="n"/>
      <c r="O964" s="65" t="n"/>
      <c r="P964" s="65" t="n"/>
      <c r="Q964" s="32">
        <f>IF($C964="","",IF($J964="","— חסרים נתונים",IF($J964="טרם מפענח","פרופיל 5",IF($J964="קמץ/פתח/חטף-פתח ושוואים","פרופיל 4",IF($J964="2-3 סימני ניקוד","פרופיל 3",IF($J964="4-5 סימני ניקוד","פרופיל 2",IF(AND($O964="משפטים וקטעים קצרים",OR($M964="מבין",$M964="מבין לרוב")),"פרופיל 1","פרופיל 2")))))))</f>
        <v/>
      </c>
      <c r="R964" s="32">
        <f>IF($C964="","",IF(OR($Q964="",LEFT($Q964,1)="—"),"קבוצה רביעית",IF($Q964="פרופיל 5","קבוצת תשתיות",IF(OR($Q964="פרופיל 4",$Q964="פרופיל 3"),"קבוצת רכישה","קבוצת ביסוס"))))</f>
        <v/>
      </c>
      <c r="S964" s="32">
        <f>IF($F964="","",IF($F964="תחילת שנה",1,IF($F964="מחצית שנה",2,3)))</f>
        <v/>
      </c>
      <c r="T964" s="32">
        <f>IF(OR($B964="",$R964="",$A964="",$F964=""),"",$B964&amp;"|"&amp;$A964&amp;"|"&amp;$F964&amp;"|"&amp;$R964&amp;"|"&amp;COUNTIFS($B$6:$B964,$B964,$A$6:$A964,$A964,$F$6:$F964,$F964,$R$6:$R964,$R964))</f>
        <v/>
      </c>
      <c r="U964" s="32">
        <f>IF($C964="","",$C964&amp;"|"&amp;COUNTIFS($C$6:$C964,$C964))</f>
        <v/>
      </c>
      <c r="V964" s="32">
        <f>IF(OR($C964="",$A964="",$S964=""),"",$C964&amp;"|"&amp;$A964&amp;"|"&amp;$S964)</f>
        <v/>
      </c>
      <c r="W964" s="32">
        <f>IF(OR($C964="",$S964="",$S964=1),"",IFERROR(INDEX($Q$6:$Q$1505,MATCH($C964&amp;"|"&amp;$A964&amp;"|"&amp;($S964-1),$V$6:$V$1505,0)),""))</f>
        <v/>
      </c>
      <c r="X964" s="32">
        <f>IF(OR($W964="",$Q964="",LEFT($Q964,1)="—"),"",IF($W964=$Q964,"ללא שינוי","מ-"&amp;$W964&amp;" ל-"&amp;$Q964))</f>
        <v/>
      </c>
    </row>
    <row r="965" ht="15.75" customHeight="1" s="58">
      <c r="A965" s="65" t="n"/>
      <c r="B965" s="65" t="n"/>
      <c r="C965" s="66" t="n"/>
      <c r="D965" s="66" t="n"/>
      <c r="E965" s="65" t="n"/>
      <c r="F965" s="65" t="n"/>
      <c r="G965" s="65" t="n"/>
      <c r="H965" s="65" t="n"/>
      <c r="I965" s="65" t="n"/>
      <c r="J965" s="65" t="n"/>
      <c r="K965" s="65" t="n"/>
      <c r="L965" s="65" t="n"/>
      <c r="M965" s="65" t="n"/>
      <c r="N965" s="65" t="n"/>
      <c r="O965" s="65" t="n"/>
      <c r="P965" s="65" t="n"/>
      <c r="Q965" s="32">
        <f>IF($C965="","",IF($J965="","— חסרים נתונים",IF($J965="טרם מפענח","פרופיל 5",IF($J965="קמץ/פתח/חטף-פתח ושוואים","פרופיל 4",IF($J965="2-3 סימני ניקוד","פרופיל 3",IF($J965="4-5 סימני ניקוד","פרופיל 2",IF(AND($O965="משפטים וקטעים קצרים",OR($M965="מבין",$M965="מבין לרוב")),"פרופיל 1","פרופיל 2")))))))</f>
        <v/>
      </c>
      <c r="R965" s="32">
        <f>IF($C965="","",IF(OR($Q965="",LEFT($Q965,1)="—"),"קבוצה רביעית",IF($Q965="פרופיל 5","קבוצת תשתיות",IF(OR($Q965="פרופיל 4",$Q965="פרופיל 3"),"קבוצת רכישה","קבוצת ביסוס"))))</f>
        <v/>
      </c>
      <c r="S965" s="32">
        <f>IF($F965="","",IF($F965="תחילת שנה",1,IF($F965="מחצית שנה",2,3)))</f>
        <v/>
      </c>
      <c r="T965" s="32">
        <f>IF(OR($B965="",$R965="",$A965="",$F965=""),"",$B965&amp;"|"&amp;$A965&amp;"|"&amp;$F965&amp;"|"&amp;$R965&amp;"|"&amp;COUNTIFS($B$6:$B965,$B965,$A$6:$A965,$A965,$F$6:$F965,$F965,$R$6:$R965,$R965))</f>
        <v/>
      </c>
      <c r="U965" s="32">
        <f>IF($C965="","",$C965&amp;"|"&amp;COUNTIFS($C$6:$C965,$C965))</f>
        <v/>
      </c>
      <c r="V965" s="32">
        <f>IF(OR($C965="",$A965="",$S965=""),"",$C965&amp;"|"&amp;$A965&amp;"|"&amp;$S965)</f>
        <v/>
      </c>
      <c r="W965" s="32">
        <f>IF(OR($C965="",$S965="",$S965=1),"",IFERROR(INDEX($Q$6:$Q$1505,MATCH($C965&amp;"|"&amp;$A965&amp;"|"&amp;($S965-1),$V$6:$V$1505,0)),""))</f>
        <v/>
      </c>
      <c r="X965" s="32">
        <f>IF(OR($W965="",$Q965="",LEFT($Q965,1)="—"),"",IF($W965=$Q965,"ללא שינוי","מ-"&amp;$W965&amp;" ל-"&amp;$Q965))</f>
        <v/>
      </c>
    </row>
    <row r="966" ht="15.75" customHeight="1" s="58">
      <c r="A966" s="65" t="n"/>
      <c r="B966" s="65" t="n"/>
      <c r="C966" s="66" t="n"/>
      <c r="D966" s="66" t="n"/>
      <c r="E966" s="65" t="n"/>
      <c r="F966" s="65" t="n"/>
      <c r="G966" s="65" t="n"/>
      <c r="H966" s="65" t="n"/>
      <c r="I966" s="65" t="n"/>
      <c r="J966" s="65" t="n"/>
      <c r="K966" s="65" t="n"/>
      <c r="L966" s="65" t="n"/>
      <c r="M966" s="65" t="n"/>
      <c r="N966" s="65" t="n"/>
      <c r="O966" s="65" t="n"/>
      <c r="P966" s="65" t="n"/>
      <c r="Q966" s="32">
        <f>IF($C966="","",IF($J966="","— חסרים נתונים",IF($J966="טרם מפענח","פרופיל 5",IF($J966="קמץ/פתח/חטף-פתח ושוואים","פרופיל 4",IF($J966="2-3 סימני ניקוד","פרופיל 3",IF($J966="4-5 סימני ניקוד","פרופיל 2",IF(AND($O966="משפטים וקטעים קצרים",OR($M966="מבין",$M966="מבין לרוב")),"פרופיל 1","פרופיל 2")))))))</f>
        <v/>
      </c>
      <c r="R966" s="32">
        <f>IF($C966="","",IF(OR($Q966="",LEFT($Q966,1)="—"),"קבוצה רביעית",IF($Q966="פרופיל 5","קבוצת תשתיות",IF(OR($Q966="פרופיל 4",$Q966="פרופיל 3"),"קבוצת רכישה","קבוצת ביסוס"))))</f>
        <v/>
      </c>
      <c r="S966" s="32">
        <f>IF($F966="","",IF($F966="תחילת שנה",1,IF($F966="מחצית שנה",2,3)))</f>
        <v/>
      </c>
      <c r="T966" s="32">
        <f>IF(OR($B966="",$R966="",$A966="",$F966=""),"",$B966&amp;"|"&amp;$A966&amp;"|"&amp;$F966&amp;"|"&amp;$R966&amp;"|"&amp;COUNTIFS($B$6:$B966,$B966,$A$6:$A966,$A966,$F$6:$F966,$F966,$R$6:$R966,$R966))</f>
        <v/>
      </c>
      <c r="U966" s="32">
        <f>IF($C966="","",$C966&amp;"|"&amp;COUNTIFS($C$6:$C966,$C966))</f>
        <v/>
      </c>
      <c r="V966" s="32">
        <f>IF(OR($C966="",$A966="",$S966=""),"",$C966&amp;"|"&amp;$A966&amp;"|"&amp;$S966)</f>
        <v/>
      </c>
      <c r="W966" s="32">
        <f>IF(OR($C966="",$S966="",$S966=1),"",IFERROR(INDEX($Q$6:$Q$1505,MATCH($C966&amp;"|"&amp;$A966&amp;"|"&amp;($S966-1),$V$6:$V$1505,0)),""))</f>
        <v/>
      </c>
      <c r="X966" s="32">
        <f>IF(OR($W966="",$Q966="",LEFT($Q966,1)="—"),"",IF($W966=$Q966,"ללא שינוי","מ-"&amp;$W966&amp;" ל-"&amp;$Q966))</f>
        <v/>
      </c>
    </row>
    <row r="967" ht="15.75" customHeight="1" s="58">
      <c r="A967" s="65" t="n"/>
      <c r="B967" s="65" t="n"/>
      <c r="C967" s="66" t="n"/>
      <c r="D967" s="66" t="n"/>
      <c r="E967" s="65" t="n"/>
      <c r="F967" s="65" t="n"/>
      <c r="G967" s="65" t="n"/>
      <c r="H967" s="65" t="n"/>
      <c r="I967" s="65" t="n"/>
      <c r="J967" s="65" t="n"/>
      <c r="K967" s="65" t="n"/>
      <c r="L967" s="65" t="n"/>
      <c r="M967" s="65" t="n"/>
      <c r="N967" s="65" t="n"/>
      <c r="O967" s="65" t="n"/>
      <c r="P967" s="65" t="n"/>
      <c r="Q967" s="32">
        <f>IF($C967="","",IF($J967="","— חסרים נתונים",IF($J967="טרם מפענח","פרופיל 5",IF($J967="קמץ/פתח/חטף-פתח ושוואים","פרופיל 4",IF($J967="2-3 סימני ניקוד","פרופיל 3",IF($J967="4-5 סימני ניקוד","פרופיל 2",IF(AND($O967="משפטים וקטעים קצרים",OR($M967="מבין",$M967="מבין לרוב")),"פרופיל 1","פרופיל 2")))))))</f>
        <v/>
      </c>
      <c r="R967" s="32">
        <f>IF($C967="","",IF(OR($Q967="",LEFT($Q967,1)="—"),"קבוצה רביעית",IF($Q967="פרופיל 5","קבוצת תשתיות",IF(OR($Q967="פרופיל 4",$Q967="פרופיל 3"),"קבוצת רכישה","קבוצת ביסוס"))))</f>
        <v/>
      </c>
      <c r="S967" s="32">
        <f>IF($F967="","",IF($F967="תחילת שנה",1,IF($F967="מחצית שנה",2,3)))</f>
        <v/>
      </c>
      <c r="T967" s="32">
        <f>IF(OR($B967="",$R967="",$A967="",$F967=""),"",$B967&amp;"|"&amp;$A967&amp;"|"&amp;$F967&amp;"|"&amp;$R967&amp;"|"&amp;COUNTIFS($B$6:$B967,$B967,$A$6:$A967,$A967,$F$6:$F967,$F967,$R$6:$R967,$R967))</f>
        <v/>
      </c>
      <c r="U967" s="32">
        <f>IF($C967="","",$C967&amp;"|"&amp;COUNTIFS($C$6:$C967,$C967))</f>
        <v/>
      </c>
      <c r="V967" s="32">
        <f>IF(OR($C967="",$A967="",$S967=""),"",$C967&amp;"|"&amp;$A967&amp;"|"&amp;$S967)</f>
        <v/>
      </c>
      <c r="W967" s="32">
        <f>IF(OR($C967="",$S967="",$S967=1),"",IFERROR(INDEX($Q$6:$Q$1505,MATCH($C967&amp;"|"&amp;$A967&amp;"|"&amp;($S967-1),$V$6:$V$1505,0)),""))</f>
        <v/>
      </c>
      <c r="X967" s="32">
        <f>IF(OR($W967="",$Q967="",LEFT($Q967,1)="—"),"",IF($W967=$Q967,"ללא שינוי","מ-"&amp;$W967&amp;" ל-"&amp;$Q967))</f>
        <v/>
      </c>
    </row>
    <row r="968" ht="15.75" customHeight="1" s="58">
      <c r="A968" s="65" t="n"/>
      <c r="B968" s="65" t="n"/>
      <c r="C968" s="66" t="n"/>
      <c r="D968" s="66" t="n"/>
      <c r="E968" s="65" t="n"/>
      <c r="F968" s="65" t="n"/>
      <c r="G968" s="65" t="n"/>
      <c r="H968" s="65" t="n"/>
      <c r="I968" s="65" t="n"/>
      <c r="J968" s="65" t="n"/>
      <c r="K968" s="65" t="n"/>
      <c r="L968" s="65" t="n"/>
      <c r="M968" s="65" t="n"/>
      <c r="N968" s="65" t="n"/>
      <c r="O968" s="65" t="n"/>
      <c r="P968" s="65" t="n"/>
      <c r="Q968" s="32">
        <f>IF($C968="","",IF($J968="","— חסרים נתונים",IF($J968="טרם מפענח","פרופיל 5",IF($J968="קמץ/פתח/חטף-פתח ושוואים","פרופיל 4",IF($J968="2-3 סימני ניקוד","פרופיל 3",IF($J968="4-5 סימני ניקוד","פרופיל 2",IF(AND($O968="משפטים וקטעים קצרים",OR($M968="מבין",$M968="מבין לרוב")),"פרופיל 1","פרופיל 2")))))))</f>
        <v/>
      </c>
      <c r="R968" s="32">
        <f>IF($C968="","",IF(OR($Q968="",LEFT($Q968,1)="—"),"קבוצה רביעית",IF($Q968="פרופיל 5","קבוצת תשתיות",IF(OR($Q968="פרופיל 4",$Q968="פרופיל 3"),"קבוצת רכישה","קבוצת ביסוס"))))</f>
        <v/>
      </c>
      <c r="S968" s="32">
        <f>IF($F968="","",IF($F968="תחילת שנה",1,IF($F968="מחצית שנה",2,3)))</f>
        <v/>
      </c>
      <c r="T968" s="32">
        <f>IF(OR($B968="",$R968="",$A968="",$F968=""),"",$B968&amp;"|"&amp;$A968&amp;"|"&amp;$F968&amp;"|"&amp;$R968&amp;"|"&amp;COUNTIFS($B$6:$B968,$B968,$A$6:$A968,$A968,$F$6:$F968,$F968,$R$6:$R968,$R968))</f>
        <v/>
      </c>
      <c r="U968" s="32">
        <f>IF($C968="","",$C968&amp;"|"&amp;COUNTIFS($C$6:$C968,$C968))</f>
        <v/>
      </c>
      <c r="V968" s="32">
        <f>IF(OR($C968="",$A968="",$S968=""),"",$C968&amp;"|"&amp;$A968&amp;"|"&amp;$S968)</f>
        <v/>
      </c>
      <c r="W968" s="32">
        <f>IF(OR($C968="",$S968="",$S968=1),"",IFERROR(INDEX($Q$6:$Q$1505,MATCH($C968&amp;"|"&amp;$A968&amp;"|"&amp;($S968-1),$V$6:$V$1505,0)),""))</f>
        <v/>
      </c>
      <c r="X968" s="32">
        <f>IF(OR($W968="",$Q968="",LEFT($Q968,1)="—"),"",IF($W968=$Q968,"ללא שינוי","מ-"&amp;$W968&amp;" ל-"&amp;$Q968))</f>
        <v/>
      </c>
    </row>
    <row r="969" ht="15.75" customHeight="1" s="58">
      <c r="A969" s="65" t="n"/>
      <c r="B969" s="65" t="n"/>
      <c r="C969" s="66" t="n"/>
      <c r="D969" s="66" t="n"/>
      <c r="E969" s="65" t="n"/>
      <c r="F969" s="65" t="n"/>
      <c r="G969" s="65" t="n"/>
      <c r="H969" s="65" t="n"/>
      <c r="I969" s="65" t="n"/>
      <c r="J969" s="65" t="n"/>
      <c r="K969" s="65" t="n"/>
      <c r="L969" s="65" t="n"/>
      <c r="M969" s="65" t="n"/>
      <c r="N969" s="65" t="n"/>
      <c r="O969" s="65" t="n"/>
      <c r="P969" s="65" t="n"/>
      <c r="Q969" s="32">
        <f>IF($C969="","",IF($J969="","— חסרים נתונים",IF($J969="טרם מפענח","פרופיל 5",IF($J969="קמץ/פתח/חטף-פתח ושוואים","פרופיל 4",IF($J969="2-3 סימני ניקוד","פרופיל 3",IF($J969="4-5 סימני ניקוד","פרופיל 2",IF(AND($O969="משפטים וקטעים קצרים",OR($M969="מבין",$M969="מבין לרוב")),"פרופיל 1","פרופיל 2")))))))</f>
        <v/>
      </c>
      <c r="R969" s="32">
        <f>IF($C969="","",IF(OR($Q969="",LEFT($Q969,1)="—"),"קבוצה רביעית",IF($Q969="פרופיל 5","קבוצת תשתיות",IF(OR($Q969="פרופיל 4",$Q969="פרופיל 3"),"קבוצת רכישה","קבוצת ביסוס"))))</f>
        <v/>
      </c>
      <c r="S969" s="32">
        <f>IF($F969="","",IF($F969="תחילת שנה",1,IF($F969="מחצית שנה",2,3)))</f>
        <v/>
      </c>
      <c r="T969" s="32">
        <f>IF(OR($B969="",$R969="",$A969="",$F969=""),"",$B969&amp;"|"&amp;$A969&amp;"|"&amp;$F969&amp;"|"&amp;$R969&amp;"|"&amp;COUNTIFS($B$6:$B969,$B969,$A$6:$A969,$A969,$F$6:$F969,$F969,$R$6:$R969,$R969))</f>
        <v/>
      </c>
      <c r="U969" s="32">
        <f>IF($C969="","",$C969&amp;"|"&amp;COUNTIFS($C$6:$C969,$C969))</f>
        <v/>
      </c>
      <c r="V969" s="32">
        <f>IF(OR($C969="",$A969="",$S969=""),"",$C969&amp;"|"&amp;$A969&amp;"|"&amp;$S969)</f>
        <v/>
      </c>
      <c r="W969" s="32">
        <f>IF(OR($C969="",$S969="",$S969=1),"",IFERROR(INDEX($Q$6:$Q$1505,MATCH($C969&amp;"|"&amp;$A969&amp;"|"&amp;($S969-1),$V$6:$V$1505,0)),""))</f>
        <v/>
      </c>
      <c r="X969" s="32">
        <f>IF(OR($W969="",$Q969="",LEFT($Q969,1)="—"),"",IF($W969=$Q969,"ללא שינוי","מ-"&amp;$W969&amp;" ל-"&amp;$Q969))</f>
        <v/>
      </c>
    </row>
    <row r="970" ht="15.75" customHeight="1" s="58">
      <c r="A970" s="65" t="n"/>
      <c r="B970" s="65" t="n"/>
      <c r="C970" s="66" t="n"/>
      <c r="D970" s="66" t="n"/>
      <c r="E970" s="65" t="n"/>
      <c r="F970" s="65" t="n"/>
      <c r="G970" s="65" t="n"/>
      <c r="H970" s="65" t="n"/>
      <c r="I970" s="65" t="n"/>
      <c r="J970" s="65" t="n"/>
      <c r="K970" s="65" t="n"/>
      <c r="L970" s="65" t="n"/>
      <c r="M970" s="65" t="n"/>
      <c r="N970" s="65" t="n"/>
      <c r="O970" s="65" t="n"/>
      <c r="P970" s="65" t="n"/>
      <c r="Q970" s="32">
        <f>IF($C970="","",IF($J970="","— חסרים נתונים",IF($J970="טרם מפענח","פרופיל 5",IF($J970="קמץ/פתח/חטף-פתח ושוואים","פרופיל 4",IF($J970="2-3 סימני ניקוד","פרופיל 3",IF($J970="4-5 סימני ניקוד","פרופיל 2",IF(AND($O970="משפטים וקטעים קצרים",OR($M970="מבין",$M970="מבין לרוב")),"פרופיל 1","פרופיל 2")))))))</f>
        <v/>
      </c>
      <c r="R970" s="32">
        <f>IF($C970="","",IF(OR($Q970="",LEFT($Q970,1)="—"),"קבוצה רביעית",IF($Q970="פרופיל 5","קבוצת תשתיות",IF(OR($Q970="פרופיל 4",$Q970="פרופיל 3"),"קבוצת רכישה","קבוצת ביסוס"))))</f>
        <v/>
      </c>
      <c r="S970" s="32">
        <f>IF($F970="","",IF($F970="תחילת שנה",1,IF($F970="מחצית שנה",2,3)))</f>
        <v/>
      </c>
      <c r="T970" s="32">
        <f>IF(OR($B970="",$R970="",$A970="",$F970=""),"",$B970&amp;"|"&amp;$A970&amp;"|"&amp;$F970&amp;"|"&amp;$R970&amp;"|"&amp;COUNTIFS($B$6:$B970,$B970,$A$6:$A970,$A970,$F$6:$F970,$F970,$R$6:$R970,$R970))</f>
        <v/>
      </c>
      <c r="U970" s="32">
        <f>IF($C970="","",$C970&amp;"|"&amp;COUNTIFS($C$6:$C970,$C970))</f>
        <v/>
      </c>
      <c r="V970" s="32">
        <f>IF(OR($C970="",$A970="",$S970=""),"",$C970&amp;"|"&amp;$A970&amp;"|"&amp;$S970)</f>
        <v/>
      </c>
      <c r="W970" s="32">
        <f>IF(OR($C970="",$S970="",$S970=1),"",IFERROR(INDEX($Q$6:$Q$1505,MATCH($C970&amp;"|"&amp;$A970&amp;"|"&amp;($S970-1),$V$6:$V$1505,0)),""))</f>
        <v/>
      </c>
      <c r="X970" s="32">
        <f>IF(OR($W970="",$Q970="",LEFT($Q970,1)="—"),"",IF($W970=$Q970,"ללא שינוי","מ-"&amp;$W970&amp;" ל-"&amp;$Q970))</f>
        <v/>
      </c>
    </row>
    <row r="971" ht="15.75" customHeight="1" s="58">
      <c r="A971" s="65" t="n"/>
      <c r="B971" s="65" t="n"/>
      <c r="C971" s="66" t="n"/>
      <c r="D971" s="66" t="n"/>
      <c r="E971" s="65" t="n"/>
      <c r="F971" s="65" t="n"/>
      <c r="G971" s="65" t="n"/>
      <c r="H971" s="65" t="n"/>
      <c r="I971" s="65" t="n"/>
      <c r="J971" s="65" t="n"/>
      <c r="K971" s="65" t="n"/>
      <c r="L971" s="65" t="n"/>
      <c r="M971" s="65" t="n"/>
      <c r="N971" s="65" t="n"/>
      <c r="O971" s="65" t="n"/>
      <c r="P971" s="65" t="n"/>
      <c r="Q971" s="32">
        <f>IF($C971="","",IF($J971="","— חסרים נתונים",IF($J971="טרם מפענח","פרופיל 5",IF($J971="קמץ/פתח/חטף-פתח ושוואים","פרופיל 4",IF($J971="2-3 סימני ניקוד","פרופיל 3",IF($J971="4-5 סימני ניקוד","פרופיל 2",IF(AND($O971="משפטים וקטעים קצרים",OR($M971="מבין",$M971="מבין לרוב")),"פרופיל 1","פרופיל 2")))))))</f>
        <v/>
      </c>
      <c r="R971" s="32">
        <f>IF($C971="","",IF(OR($Q971="",LEFT($Q971,1)="—"),"קבוצה רביעית",IF($Q971="פרופיל 5","קבוצת תשתיות",IF(OR($Q971="פרופיל 4",$Q971="פרופיל 3"),"קבוצת רכישה","קבוצת ביסוס"))))</f>
        <v/>
      </c>
      <c r="S971" s="32">
        <f>IF($F971="","",IF($F971="תחילת שנה",1,IF($F971="מחצית שנה",2,3)))</f>
        <v/>
      </c>
      <c r="T971" s="32">
        <f>IF(OR($B971="",$R971="",$A971="",$F971=""),"",$B971&amp;"|"&amp;$A971&amp;"|"&amp;$F971&amp;"|"&amp;$R971&amp;"|"&amp;COUNTIFS($B$6:$B971,$B971,$A$6:$A971,$A971,$F$6:$F971,$F971,$R$6:$R971,$R971))</f>
        <v/>
      </c>
      <c r="U971" s="32">
        <f>IF($C971="","",$C971&amp;"|"&amp;COUNTIFS($C$6:$C971,$C971))</f>
        <v/>
      </c>
      <c r="V971" s="32">
        <f>IF(OR($C971="",$A971="",$S971=""),"",$C971&amp;"|"&amp;$A971&amp;"|"&amp;$S971)</f>
        <v/>
      </c>
      <c r="W971" s="32">
        <f>IF(OR($C971="",$S971="",$S971=1),"",IFERROR(INDEX($Q$6:$Q$1505,MATCH($C971&amp;"|"&amp;$A971&amp;"|"&amp;($S971-1),$V$6:$V$1505,0)),""))</f>
        <v/>
      </c>
      <c r="X971" s="32">
        <f>IF(OR($W971="",$Q971="",LEFT($Q971,1)="—"),"",IF($W971=$Q971,"ללא שינוי","מ-"&amp;$W971&amp;" ל-"&amp;$Q971))</f>
        <v/>
      </c>
    </row>
    <row r="972" ht="15.75" customHeight="1" s="58">
      <c r="A972" s="65" t="n"/>
      <c r="B972" s="65" t="n"/>
      <c r="C972" s="66" t="n"/>
      <c r="D972" s="66" t="n"/>
      <c r="E972" s="65" t="n"/>
      <c r="F972" s="65" t="n"/>
      <c r="G972" s="65" t="n"/>
      <c r="H972" s="65" t="n"/>
      <c r="I972" s="65" t="n"/>
      <c r="J972" s="65" t="n"/>
      <c r="K972" s="65" t="n"/>
      <c r="L972" s="65" t="n"/>
      <c r="M972" s="65" t="n"/>
      <c r="N972" s="65" t="n"/>
      <c r="O972" s="65" t="n"/>
      <c r="P972" s="65" t="n"/>
      <c r="Q972" s="32">
        <f>IF($C972="","",IF($J972="","— חסרים נתונים",IF($J972="טרם מפענח","פרופיל 5",IF($J972="קמץ/פתח/חטף-פתח ושוואים","פרופיל 4",IF($J972="2-3 סימני ניקוד","פרופיל 3",IF($J972="4-5 סימני ניקוד","פרופיל 2",IF(AND($O972="משפטים וקטעים קצרים",OR($M972="מבין",$M972="מבין לרוב")),"פרופיל 1","פרופיל 2")))))))</f>
        <v/>
      </c>
      <c r="R972" s="32">
        <f>IF($C972="","",IF(OR($Q972="",LEFT($Q972,1)="—"),"קבוצה רביעית",IF($Q972="פרופיל 5","קבוצת תשתיות",IF(OR($Q972="פרופיל 4",$Q972="פרופיל 3"),"קבוצת רכישה","קבוצת ביסוס"))))</f>
        <v/>
      </c>
      <c r="S972" s="32">
        <f>IF($F972="","",IF($F972="תחילת שנה",1,IF($F972="מחצית שנה",2,3)))</f>
        <v/>
      </c>
      <c r="T972" s="32">
        <f>IF(OR($B972="",$R972="",$A972="",$F972=""),"",$B972&amp;"|"&amp;$A972&amp;"|"&amp;$F972&amp;"|"&amp;$R972&amp;"|"&amp;COUNTIFS($B$6:$B972,$B972,$A$6:$A972,$A972,$F$6:$F972,$F972,$R$6:$R972,$R972))</f>
        <v/>
      </c>
      <c r="U972" s="32">
        <f>IF($C972="","",$C972&amp;"|"&amp;COUNTIFS($C$6:$C972,$C972))</f>
        <v/>
      </c>
      <c r="V972" s="32">
        <f>IF(OR($C972="",$A972="",$S972=""),"",$C972&amp;"|"&amp;$A972&amp;"|"&amp;$S972)</f>
        <v/>
      </c>
      <c r="W972" s="32">
        <f>IF(OR($C972="",$S972="",$S972=1),"",IFERROR(INDEX($Q$6:$Q$1505,MATCH($C972&amp;"|"&amp;$A972&amp;"|"&amp;($S972-1),$V$6:$V$1505,0)),""))</f>
        <v/>
      </c>
      <c r="X972" s="32">
        <f>IF(OR($W972="",$Q972="",LEFT($Q972,1)="—"),"",IF($W972=$Q972,"ללא שינוי","מ-"&amp;$W972&amp;" ל-"&amp;$Q972))</f>
        <v/>
      </c>
    </row>
    <row r="973" ht="15.75" customHeight="1" s="58">
      <c r="A973" s="65" t="n"/>
      <c r="B973" s="65" t="n"/>
      <c r="C973" s="66" t="n"/>
      <c r="D973" s="66" t="n"/>
      <c r="E973" s="65" t="n"/>
      <c r="F973" s="65" t="n"/>
      <c r="G973" s="65" t="n"/>
      <c r="H973" s="65" t="n"/>
      <c r="I973" s="65" t="n"/>
      <c r="J973" s="65" t="n"/>
      <c r="K973" s="65" t="n"/>
      <c r="L973" s="65" t="n"/>
      <c r="M973" s="65" t="n"/>
      <c r="N973" s="65" t="n"/>
      <c r="O973" s="65" t="n"/>
      <c r="P973" s="65" t="n"/>
      <c r="Q973" s="32">
        <f>IF($C973="","",IF($J973="","— חסרים נתונים",IF($J973="טרם מפענח","פרופיל 5",IF($J973="קמץ/פתח/חטף-פתח ושוואים","פרופיל 4",IF($J973="2-3 סימני ניקוד","פרופיל 3",IF($J973="4-5 סימני ניקוד","פרופיל 2",IF(AND($O973="משפטים וקטעים קצרים",OR($M973="מבין",$M973="מבין לרוב")),"פרופיל 1","פרופיל 2")))))))</f>
        <v/>
      </c>
      <c r="R973" s="32">
        <f>IF($C973="","",IF(OR($Q973="",LEFT($Q973,1)="—"),"קבוצה רביעית",IF($Q973="פרופיל 5","קבוצת תשתיות",IF(OR($Q973="פרופיל 4",$Q973="פרופיל 3"),"קבוצת רכישה","קבוצת ביסוס"))))</f>
        <v/>
      </c>
      <c r="S973" s="32">
        <f>IF($F973="","",IF($F973="תחילת שנה",1,IF($F973="מחצית שנה",2,3)))</f>
        <v/>
      </c>
      <c r="T973" s="32">
        <f>IF(OR($B973="",$R973="",$A973="",$F973=""),"",$B973&amp;"|"&amp;$A973&amp;"|"&amp;$F973&amp;"|"&amp;$R973&amp;"|"&amp;COUNTIFS($B$6:$B973,$B973,$A$6:$A973,$A973,$F$6:$F973,$F973,$R$6:$R973,$R973))</f>
        <v/>
      </c>
      <c r="U973" s="32">
        <f>IF($C973="","",$C973&amp;"|"&amp;COUNTIFS($C$6:$C973,$C973))</f>
        <v/>
      </c>
      <c r="V973" s="32">
        <f>IF(OR($C973="",$A973="",$S973=""),"",$C973&amp;"|"&amp;$A973&amp;"|"&amp;$S973)</f>
        <v/>
      </c>
      <c r="W973" s="32">
        <f>IF(OR($C973="",$S973="",$S973=1),"",IFERROR(INDEX($Q$6:$Q$1505,MATCH($C973&amp;"|"&amp;$A973&amp;"|"&amp;($S973-1),$V$6:$V$1505,0)),""))</f>
        <v/>
      </c>
      <c r="X973" s="32">
        <f>IF(OR($W973="",$Q973="",LEFT($Q973,1)="—"),"",IF($W973=$Q973,"ללא שינוי","מ-"&amp;$W973&amp;" ל-"&amp;$Q973))</f>
        <v/>
      </c>
    </row>
    <row r="974" ht="15.75" customHeight="1" s="58">
      <c r="A974" s="65" t="n"/>
      <c r="B974" s="65" t="n"/>
      <c r="C974" s="66" t="n"/>
      <c r="D974" s="66" t="n"/>
      <c r="E974" s="65" t="n"/>
      <c r="F974" s="65" t="n"/>
      <c r="G974" s="65" t="n"/>
      <c r="H974" s="65" t="n"/>
      <c r="I974" s="65" t="n"/>
      <c r="J974" s="65" t="n"/>
      <c r="K974" s="65" t="n"/>
      <c r="L974" s="65" t="n"/>
      <c r="M974" s="65" t="n"/>
      <c r="N974" s="65" t="n"/>
      <c r="O974" s="65" t="n"/>
      <c r="P974" s="65" t="n"/>
      <c r="Q974" s="32">
        <f>IF($C974="","",IF($J974="","— חסרים נתונים",IF($J974="טרם מפענח","פרופיל 5",IF($J974="קמץ/פתח/חטף-פתח ושוואים","פרופיל 4",IF($J974="2-3 סימני ניקוד","פרופיל 3",IF($J974="4-5 סימני ניקוד","פרופיל 2",IF(AND($O974="משפטים וקטעים קצרים",OR($M974="מבין",$M974="מבין לרוב")),"פרופיל 1","פרופיל 2")))))))</f>
        <v/>
      </c>
      <c r="R974" s="32">
        <f>IF($C974="","",IF(OR($Q974="",LEFT($Q974,1)="—"),"קבוצה רביעית",IF($Q974="פרופיל 5","קבוצת תשתיות",IF(OR($Q974="פרופיל 4",$Q974="פרופיל 3"),"קבוצת רכישה","קבוצת ביסוס"))))</f>
        <v/>
      </c>
      <c r="S974" s="32">
        <f>IF($F974="","",IF($F974="תחילת שנה",1,IF($F974="מחצית שנה",2,3)))</f>
        <v/>
      </c>
      <c r="T974" s="32">
        <f>IF(OR($B974="",$R974="",$A974="",$F974=""),"",$B974&amp;"|"&amp;$A974&amp;"|"&amp;$F974&amp;"|"&amp;$R974&amp;"|"&amp;COUNTIFS($B$6:$B974,$B974,$A$6:$A974,$A974,$F$6:$F974,$F974,$R$6:$R974,$R974))</f>
        <v/>
      </c>
      <c r="U974" s="32">
        <f>IF($C974="","",$C974&amp;"|"&amp;COUNTIFS($C$6:$C974,$C974))</f>
        <v/>
      </c>
      <c r="V974" s="32">
        <f>IF(OR($C974="",$A974="",$S974=""),"",$C974&amp;"|"&amp;$A974&amp;"|"&amp;$S974)</f>
        <v/>
      </c>
      <c r="W974" s="32">
        <f>IF(OR($C974="",$S974="",$S974=1),"",IFERROR(INDEX($Q$6:$Q$1505,MATCH($C974&amp;"|"&amp;$A974&amp;"|"&amp;($S974-1),$V$6:$V$1505,0)),""))</f>
        <v/>
      </c>
      <c r="X974" s="32">
        <f>IF(OR($W974="",$Q974="",LEFT($Q974,1)="—"),"",IF($W974=$Q974,"ללא שינוי","מ-"&amp;$W974&amp;" ל-"&amp;$Q974))</f>
        <v/>
      </c>
    </row>
    <row r="975" ht="15.75" customHeight="1" s="58">
      <c r="A975" s="65" t="n"/>
      <c r="B975" s="65" t="n"/>
      <c r="C975" s="66" t="n"/>
      <c r="D975" s="66" t="n"/>
      <c r="E975" s="65" t="n"/>
      <c r="F975" s="65" t="n"/>
      <c r="G975" s="65" t="n"/>
      <c r="H975" s="65" t="n"/>
      <c r="I975" s="65" t="n"/>
      <c r="J975" s="65" t="n"/>
      <c r="K975" s="65" t="n"/>
      <c r="L975" s="65" t="n"/>
      <c r="M975" s="65" t="n"/>
      <c r="N975" s="65" t="n"/>
      <c r="O975" s="65" t="n"/>
      <c r="P975" s="65" t="n"/>
      <c r="Q975" s="32">
        <f>IF($C975="","",IF($J975="","— חסרים נתונים",IF($J975="טרם מפענח","פרופיל 5",IF($J975="קמץ/פתח/חטף-פתח ושוואים","פרופיל 4",IF($J975="2-3 סימני ניקוד","פרופיל 3",IF($J975="4-5 סימני ניקוד","פרופיל 2",IF(AND($O975="משפטים וקטעים קצרים",OR($M975="מבין",$M975="מבין לרוב")),"פרופיל 1","פרופיל 2")))))))</f>
        <v/>
      </c>
      <c r="R975" s="32">
        <f>IF($C975="","",IF(OR($Q975="",LEFT($Q975,1)="—"),"קבוצה רביעית",IF($Q975="פרופיל 5","קבוצת תשתיות",IF(OR($Q975="פרופיל 4",$Q975="פרופיל 3"),"קבוצת רכישה","קבוצת ביסוס"))))</f>
        <v/>
      </c>
      <c r="S975" s="32">
        <f>IF($F975="","",IF($F975="תחילת שנה",1,IF($F975="מחצית שנה",2,3)))</f>
        <v/>
      </c>
      <c r="T975" s="32">
        <f>IF(OR($B975="",$R975="",$A975="",$F975=""),"",$B975&amp;"|"&amp;$A975&amp;"|"&amp;$F975&amp;"|"&amp;$R975&amp;"|"&amp;COUNTIFS($B$6:$B975,$B975,$A$6:$A975,$A975,$F$6:$F975,$F975,$R$6:$R975,$R975))</f>
        <v/>
      </c>
      <c r="U975" s="32">
        <f>IF($C975="","",$C975&amp;"|"&amp;COUNTIFS($C$6:$C975,$C975))</f>
        <v/>
      </c>
      <c r="V975" s="32">
        <f>IF(OR($C975="",$A975="",$S975=""),"",$C975&amp;"|"&amp;$A975&amp;"|"&amp;$S975)</f>
        <v/>
      </c>
      <c r="W975" s="32">
        <f>IF(OR($C975="",$S975="",$S975=1),"",IFERROR(INDEX($Q$6:$Q$1505,MATCH($C975&amp;"|"&amp;$A975&amp;"|"&amp;($S975-1),$V$6:$V$1505,0)),""))</f>
        <v/>
      </c>
      <c r="X975" s="32">
        <f>IF(OR($W975="",$Q975="",LEFT($Q975,1)="—"),"",IF($W975=$Q975,"ללא שינוי","מ-"&amp;$W975&amp;" ל-"&amp;$Q975))</f>
        <v/>
      </c>
    </row>
    <row r="976" ht="15.75" customHeight="1" s="58">
      <c r="A976" s="65" t="n"/>
      <c r="B976" s="65" t="n"/>
      <c r="C976" s="66" t="n"/>
      <c r="D976" s="66" t="n"/>
      <c r="E976" s="65" t="n"/>
      <c r="F976" s="65" t="n"/>
      <c r="G976" s="65" t="n"/>
      <c r="H976" s="65" t="n"/>
      <c r="I976" s="65" t="n"/>
      <c r="J976" s="65" t="n"/>
      <c r="K976" s="65" t="n"/>
      <c r="L976" s="65" t="n"/>
      <c r="M976" s="65" t="n"/>
      <c r="N976" s="65" t="n"/>
      <c r="O976" s="65" t="n"/>
      <c r="P976" s="65" t="n"/>
      <c r="Q976" s="32">
        <f>IF($C976="","",IF($J976="","— חסרים נתונים",IF($J976="טרם מפענח","פרופיל 5",IF($J976="קמץ/פתח/חטף-פתח ושוואים","פרופיל 4",IF($J976="2-3 סימני ניקוד","פרופיל 3",IF($J976="4-5 סימני ניקוד","פרופיל 2",IF(AND($O976="משפטים וקטעים קצרים",OR($M976="מבין",$M976="מבין לרוב")),"פרופיל 1","פרופיל 2")))))))</f>
        <v/>
      </c>
      <c r="R976" s="32">
        <f>IF($C976="","",IF(OR($Q976="",LEFT($Q976,1)="—"),"קבוצה רביעית",IF($Q976="פרופיל 5","קבוצת תשתיות",IF(OR($Q976="פרופיל 4",$Q976="פרופיל 3"),"קבוצת רכישה","קבוצת ביסוס"))))</f>
        <v/>
      </c>
      <c r="S976" s="32">
        <f>IF($F976="","",IF($F976="תחילת שנה",1,IF($F976="מחצית שנה",2,3)))</f>
        <v/>
      </c>
      <c r="T976" s="32">
        <f>IF(OR($B976="",$R976="",$A976="",$F976=""),"",$B976&amp;"|"&amp;$A976&amp;"|"&amp;$F976&amp;"|"&amp;$R976&amp;"|"&amp;COUNTIFS($B$6:$B976,$B976,$A$6:$A976,$A976,$F$6:$F976,$F976,$R$6:$R976,$R976))</f>
        <v/>
      </c>
      <c r="U976" s="32">
        <f>IF($C976="","",$C976&amp;"|"&amp;COUNTIFS($C$6:$C976,$C976))</f>
        <v/>
      </c>
      <c r="V976" s="32">
        <f>IF(OR($C976="",$A976="",$S976=""),"",$C976&amp;"|"&amp;$A976&amp;"|"&amp;$S976)</f>
        <v/>
      </c>
      <c r="W976" s="32">
        <f>IF(OR($C976="",$S976="",$S976=1),"",IFERROR(INDEX($Q$6:$Q$1505,MATCH($C976&amp;"|"&amp;$A976&amp;"|"&amp;($S976-1),$V$6:$V$1505,0)),""))</f>
        <v/>
      </c>
      <c r="X976" s="32">
        <f>IF(OR($W976="",$Q976="",LEFT($Q976,1)="—"),"",IF($W976=$Q976,"ללא שינוי","מ-"&amp;$W976&amp;" ל-"&amp;$Q976))</f>
        <v/>
      </c>
    </row>
    <row r="977" ht="15.75" customHeight="1" s="58">
      <c r="A977" s="65" t="n"/>
      <c r="B977" s="65" t="n"/>
      <c r="C977" s="66" t="n"/>
      <c r="D977" s="66" t="n"/>
      <c r="E977" s="65" t="n"/>
      <c r="F977" s="65" t="n"/>
      <c r="G977" s="65" t="n"/>
      <c r="H977" s="65" t="n"/>
      <c r="I977" s="65" t="n"/>
      <c r="J977" s="65" t="n"/>
      <c r="K977" s="65" t="n"/>
      <c r="L977" s="65" t="n"/>
      <c r="M977" s="65" t="n"/>
      <c r="N977" s="65" t="n"/>
      <c r="O977" s="65" t="n"/>
      <c r="P977" s="65" t="n"/>
      <c r="Q977" s="32">
        <f>IF($C977="","",IF($J977="","— חסרים נתונים",IF($J977="טרם מפענח","פרופיל 5",IF($J977="קמץ/פתח/חטף-פתח ושוואים","פרופיל 4",IF($J977="2-3 סימני ניקוד","פרופיל 3",IF($J977="4-5 סימני ניקוד","פרופיל 2",IF(AND($O977="משפטים וקטעים קצרים",OR($M977="מבין",$M977="מבין לרוב")),"פרופיל 1","פרופיל 2")))))))</f>
        <v/>
      </c>
      <c r="R977" s="32">
        <f>IF($C977="","",IF(OR($Q977="",LEFT($Q977,1)="—"),"קבוצה רביעית",IF($Q977="פרופיל 5","קבוצת תשתיות",IF(OR($Q977="פרופיל 4",$Q977="פרופיל 3"),"קבוצת רכישה","קבוצת ביסוס"))))</f>
        <v/>
      </c>
      <c r="S977" s="32">
        <f>IF($F977="","",IF($F977="תחילת שנה",1,IF($F977="מחצית שנה",2,3)))</f>
        <v/>
      </c>
      <c r="T977" s="32">
        <f>IF(OR($B977="",$R977="",$A977="",$F977=""),"",$B977&amp;"|"&amp;$A977&amp;"|"&amp;$F977&amp;"|"&amp;$R977&amp;"|"&amp;COUNTIFS($B$6:$B977,$B977,$A$6:$A977,$A977,$F$6:$F977,$F977,$R$6:$R977,$R977))</f>
        <v/>
      </c>
      <c r="U977" s="32">
        <f>IF($C977="","",$C977&amp;"|"&amp;COUNTIFS($C$6:$C977,$C977))</f>
        <v/>
      </c>
      <c r="V977" s="32">
        <f>IF(OR($C977="",$A977="",$S977=""),"",$C977&amp;"|"&amp;$A977&amp;"|"&amp;$S977)</f>
        <v/>
      </c>
      <c r="W977" s="32">
        <f>IF(OR($C977="",$S977="",$S977=1),"",IFERROR(INDEX($Q$6:$Q$1505,MATCH($C977&amp;"|"&amp;$A977&amp;"|"&amp;($S977-1),$V$6:$V$1505,0)),""))</f>
        <v/>
      </c>
      <c r="X977" s="32">
        <f>IF(OR($W977="",$Q977="",LEFT($Q977,1)="—"),"",IF($W977=$Q977,"ללא שינוי","מ-"&amp;$W977&amp;" ל-"&amp;$Q977))</f>
        <v/>
      </c>
    </row>
    <row r="978" ht="15.75" customHeight="1" s="58">
      <c r="A978" s="65" t="n"/>
      <c r="B978" s="65" t="n"/>
      <c r="C978" s="66" t="n"/>
      <c r="D978" s="66" t="n"/>
      <c r="E978" s="65" t="n"/>
      <c r="F978" s="65" t="n"/>
      <c r="G978" s="65" t="n"/>
      <c r="H978" s="65" t="n"/>
      <c r="I978" s="65" t="n"/>
      <c r="J978" s="65" t="n"/>
      <c r="K978" s="65" t="n"/>
      <c r="L978" s="65" t="n"/>
      <c r="M978" s="65" t="n"/>
      <c r="N978" s="65" t="n"/>
      <c r="O978" s="65" t="n"/>
      <c r="P978" s="65" t="n"/>
      <c r="Q978" s="32">
        <f>IF($C978="","",IF($J978="","— חסרים נתונים",IF($J978="טרם מפענח","פרופיל 5",IF($J978="קמץ/פתח/חטף-פתח ושוואים","פרופיל 4",IF($J978="2-3 סימני ניקוד","פרופיל 3",IF($J978="4-5 סימני ניקוד","פרופיל 2",IF(AND($O978="משפטים וקטעים קצרים",OR($M978="מבין",$M978="מבין לרוב")),"פרופיל 1","פרופיל 2")))))))</f>
        <v/>
      </c>
      <c r="R978" s="32">
        <f>IF($C978="","",IF(OR($Q978="",LEFT($Q978,1)="—"),"קבוצה רביעית",IF($Q978="פרופיל 5","קבוצת תשתיות",IF(OR($Q978="פרופיל 4",$Q978="פרופיל 3"),"קבוצת רכישה","קבוצת ביסוס"))))</f>
        <v/>
      </c>
      <c r="S978" s="32">
        <f>IF($F978="","",IF($F978="תחילת שנה",1,IF($F978="מחצית שנה",2,3)))</f>
        <v/>
      </c>
      <c r="T978" s="32">
        <f>IF(OR($B978="",$R978="",$A978="",$F978=""),"",$B978&amp;"|"&amp;$A978&amp;"|"&amp;$F978&amp;"|"&amp;$R978&amp;"|"&amp;COUNTIFS($B$6:$B978,$B978,$A$6:$A978,$A978,$F$6:$F978,$F978,$R$6:$R978,$R978))</f>
        <v/>
      </c>
      <c r="U978" s="32">
        <f>IF($C978="","",$C978&amp;"|"&amp;COUNTIFS($C$6:$C978,$C978))</f>
        <v/>
      </c>
      <c r="V978" s="32">
        <f>IF(OR($C978="",$A978="",$S978=""),"",$C978&amp;"|"&amp;$A978&amp;"|"&amp;$S978)</f>
        <v/>
      </c>
      <c r="W978" s="32">
        <f>IF(OR($C978="",$S978="",$S978=1),"",IFERROR(INDEX($Q$6:$Q$1505,MATCH($C978&amp;"|"&amp;$A978&amp;"|"&amp;($S978-1),$V$6:$V$1505,0)),""))</f>
        <v/>
      </c>
      <c r="X978" s="32">
        <f>IF(OR($W978="",$Q978="",LEFT($Q978,1)="—"),"",IF($W978=$Q978,"ללא שינוי","מ-"&amp;$W978&amp;" ל-"&amp;$Q978))</f>
        <v/>
      </c>
    </row>
    <row r="979" ht="15.75" customHeight="1" s="58">
      <c r="A979" s="65" t="n"/>
      <c r="B979" s="65" t="n"/>
      <c r="C979" s="66" t="n"/>
      <c r="D979" s="66" t="n"/>
      <c r="E979" s="65" t="n"/>
      <c r="F979" s="65" t="n"/>
      <c r="G979" s="65" t="n"/>
      <c r="H979" s="65" t="n"/>
      <c r="I979" s="65" t="n"/>
      <c r="J979" s="65" t="n"/>
      <c r="K979" s="65" t="n"/>
      <c r="L979" s="65" t="n"/>
      <c r="M979" s="65" t="n"/>
      <c r="N979" s="65" t="n"/>
      <c r="O979" s="65" t="n"/>
      <c r="P979" s="65" t="n"/>
      <c r="Q979" s="32">
        <f>IF($C979="","",IF($J979="","— חסרים נתונים",IF($J979="טרם מפענח","פרופיל 5",IF($J979="קמץ/פתח/חטף-פתח ושוואים","פרופיל 4",IF($J979="2-3 סימני ניקוד","פרופיל 3",IF($J979="4-5 סימני ניקוד","פרופיל 2",IF(AND($O979="משפטים וקטעים קצרים",OR($M979="מבין",$M979="מבין לרוב")),"פרופיל 1","פרופיל 2")))))))</f>
        <v/>
      </c>
      <c r="R979" s="32">
        <f>IF($C979="","",IF(OR($Q979="",LEFT($Q979,1)="—"),"קבוצה רביעית",IF($Q979="פרופיל 5","קבוצת תשתיות",IF(OR($Q979="פרופיל 4",$Q979="פרופיל 3"),"קבוצת רכישה","קבוצת ביסוס"))))</f>
        <v/>
      </c>
      <c r="S979" s="32">
        <f>IF($F979="","",IF($F979="תחילת שנה",1,IF($F979="מחצית שנה",2,3)))</f>
        <v/>
      </c>
      <c r="T979" s="32">
        <f>IF(OR($B979="",$R979="",$A979="",$F979=""),"",$B979&amp;"|"&amp;$A979&amp;"|"&amp;$F979&amp;"|"&amp;$R979&amp;"|"&amp;COUNTIFS($B$6:$B979,$B979,$A$6:$A979,$A979,$F$6:$F979,$F979,$R$6:$R979,$R979))</f>
        <v/>
      </c>
      <c r="U979" s="32">
        <f>IF($C979="","",$C979&amp;"|"&amp;COUNTIFS($C$6:$C979,$C979))</f>
        <v/>
      </c>
      <c r="V979" s="32">
        <f>IF(OR($C979="",$A979="",$S979=""),"",$C979&amp;"|"&amp;$A979&amp;"|"&amp;$S979)</f>
        <v/>
      </c>
      <c r="W979" s="32">
        <f>IF(OR($C979="",$S979="",$S979=1),"",IFERROR(INDEX($Q$6:$Q$1505,MATCH($C979&amp;"|"&amp;$A979&amp;"|"&amp;($S979-1),$V$6:$V$1505,0)),""))</f>
        <v/>
      </c>
      <c r="X979" s="32">
        <f>IF(OR($W979="",$Q979="",LEFT($Q979,1)="—"),"",IF($W979=$Q979,"ללא שינוי","מ-"&amp;$W979&amp;" ל-"&amp;$Q979))</f>
        <v/>
      </c>
    </row>
    <row r="980" ht="15.75" customHeight="1" s="58">
      <c r="A980" s="65" t="n"/>
      <c r="B980" s="65" t="n"/>
      <c r="C980" s="66" t="n"/>
      <c r="D980" s="66" t="n"/>
      <c r="E980" s="65" t="n"/>
      <c r="F980" s="65" t="n"/>
      <c r="G980" s="65" t="n"/>
      <c r="H980" s="65" t="n"/>
      <c r="I980" s="65" t="n"/>
      <c r="J980" s="65" t="n"/>
      <c r="K980" s="65" t="n"/>
      <c r="L980" s="65" t="n"/>
      <c r="M980" s="65" t="n"/>
      <c r="N980" s="65" t="n"/>
      <c r="O980" s="65" t="n"/>
      <c r="P980" s="65" t="n"/>
      <c r="Q980" s="32">
        <f>IF($C980="","",IF($J980="","— חסרים נתונים",IF($J980="טרם מפענח","פרופיל 5",IF($J980="קמץ/פתח/חטף-פתח ושוואים","פרופיל 4",IF($J980="2-3 סימני ניקוד","פרופיל 3",IF($J980="4-5 סימני ניקוד","פרופיל 2",IF(AND($O980="משפטים וקטעים קצרים",OR($M980="מבין",$M980="מבין לרוב")),"פרופיל 1","פרופיל 2")))))))</f>
        <v/>
      </c>
      <c r="R980" s="32">
        <f>IF($C980="","",IF(OR($Q980="",LEFT($Q980,1)="—"),"קבוצה רביעית",IF($Q980="פרופיל 5","קבוצת תשתיות",IF(OR($Q980="פרופיל 4",$Q980="פרופיל 3"),"קבוצת רכישה","קבוצת ביסוס"))))</f>
        <v/>
      </c>
      <c r="S980" s="32">
        <f>IF($F980="","",IF($F980="תחילת שנה",1,IF($F980="מחצית שנה",2,3)))</f>
        <v/>
      </c>
      <c r="T980" s="32">
        <f>IF(OR($B980="",$R980="",$A980="",$F980=""),"",$B980&amp;"|"&amp;$A980&amp;"|"&amp;$F980&amp;"|"&amp;$R980&amp;"|"&amp;COUNTIFS($B$6:$B980,$B980,$A$6:$A980,$A980,$F$6:$F980,$F980,$R$6:$R980,$R980))</f>
        <v/>
      </c>
      <c r="U980" s="32">
        <f>IF($C980="","",$C980&amp;"|"&amp;COUNTIFS($C$6:$C980,$C980))</f>
        <v/>
      </c>
      <c r="V980" s="32">
        <f>IF(OR($C980="",$A980="",$S980=""),"",$C980&amp;"|"&amp;$A980&amp;"|"&amp;$S980)</f>
        <v/>
      </c>
      <c r="W980" s="32">
        <f>IF(OR($C980="",$S980="",$S980=1),"",IFERROR(INDEX($Q$6:$Q$1505,MATCH($C980&amp;"|"&amp;$A980&amp;"|"&amp;($S980-1),$V$6:$V$1505,0)),""))</f>
        <v/>
      </c>
      <c r="X980" s="32">
        <f>IF(OR($W980="",$Q980="",LEFT($Q980,1)="—"),"",IF($W980=$Q980,"ללא שינוי","מ-"&amp;$W980&amp;" ל-"&amp;$Q980))</f>
        <v/>
      </c>
    </row>
    <row r="981" ht="15.75" customHeight="1" s="58">
      <c r="A981" s="65" t="n"/>
      <c r="B981" s="65" t="n"/>
      <c r="C981" s="66" t="n"/>
      <c r="D981" s="66" t="n"/>
      <c r="E981" s="65" t="n"/>
      <c r="F981" s="65" t="n"/>
      <c r="G981" s="65" t="n"/>
      <c r="H981" s="65" t="n"/>
      <c r="I981" s="65" t="n"/>
      <c r="J981" s="65" t="n"/>
      <c r="K981" s="65" t="n"/>
      <c r="L981" s="65" t="n"/>
      <c r="M981" s="65" t="n"/>
      <c r="N981" s="65" t="n"/>
      <c r="O981" s="65" t="n"/>
      <c r="P981" s="65" t="n"/>
      <c r="Q981" s="32">
        <f>IF($C981="","",IF($J981="","— חסרים נתונים",IF($J981="טרם מפענח","פרופיל 5",IF($J981="קמץ/פתח/חטף-פתח ושוואים","פרופיל 4",IF($J981="2-3 סימני ניקוד","פרופיל 3",IF($J981="4-5 סימני ניקוד","פרופיל 2",IF(AND($O981="משפטים וקטעים קצרים",OR($M981="מבין",$M981="מבין לרוב")),"פרופיל 1","פרופיל 2")))))))</f>
        <v/>
      </c>
      <c r="R981" s="32">
        <f>IF($C981="","",IF(OR($Q981="",LEFT($Q981,1)="—"),"קבוצה רביעית",IF($Q981="פרופיל 5","קבוצת תשתיות",IF(OR($Q981="פרופיל 4",$Q981="פרופיל 3"),"קבוצת רכישה","קבוצת ביסוס"))))</f>
        <v/>
      </c>
      <c r="S981" s="32">
        <f>IF($F981="","",IF($F981="תחילת שנה",1,IF($F981="מחצית שנה",2,3)))</f>
        <v/>
      </c>
      <c r="T981" s="32">
        <f>IF(OR($B981="",$R981="",$A981="",$F981=""),"",$B981&amp;"|"&amp;$A981&amp;"|"&amp;$F981&amp;"|"&amp;$R981&amp;"|"&amp;COUNTIFS($B$6:$B981,$B981,$A$6:$A981,$A981,$F$6:$F981,$F981,$R$6:$R981,$R981))</f>
        <v/>
      </c>
      <c r="U981" s="32">
        <f>IF($C981="","",$C981&amp;"|"&amp;COUNTIFS($C$6:$C981,$C981))</f>
        <v/>
      </c>
      <c r="V981" s="32">
        <f>IF(OR($C981="",$A981="",$S981=""),"",$C981&amp;"|"&amp;$A981&amp;"|"&amp;$S981)</f>
        <v/>
      </c>
      <c r="W981" s="32">
        <f>IF(OR($C981="",$S981="",$S981=1),"",IFERROR(INDEX($Q$6:$Q$1505,MATCH($C981&amp;"|"&amp;$A981&amp;"|"&amp;($S981-1),$V$6:$V$1505,0)),""))</f>
        <v/>
      </c>
      <c r="X981" s="32">
        <f>IF(OR($W981="",$Q981="",LEFT($Q981,1)="—"),"",IF($W981=$Q981,"ללא שינוי","מ-"&amp;$W981&amp;" ל-"&amp;$Q981))</f>
        <v/>
      </c>
    </row>
    <row r="982" ht="15.75" customHeight="1" s="58">
      <c r="A982" s="65" t="n"/>
      <c r="B982" s="65" t="n"/>
      <c r="C982" s="66" t="n"/>
      <c r="D982" s="66" t="n"/>
      <c r="E982" s="65" t="n"/>
      <c r="F982" s="65" t="n"/>
      <c r="G982" s="65" t="n"/>
      <c r="H982" s="65" t="n"/>
      <c r="I982" s="65" t="n"/>
      <c r="J982" s="65" t="n"/>
      <c r="K982" s="65" t="n"/>
      <c r="L982" s="65" t="n"/>
      <c r="M982" s="65" t="n"/>
      <c r="N982" s="65" t="n"/>
      <c r="O982" s="65" t="n"/>
      <c r="P982" s="65" t="n"/>
      <c r="Q982" s="32">
        <f>IF($C982="","",IF($J982="","— חסרים נתונים",IF($J982="טרם מפענח","פרופיל 5",IF($J982="קמץ/פתח/חטף-פתח ושוואים","פרופיל 4",IF($J982="2-3 סימני ניקוד","פרופיל 3",IF($J982="4-5 סימני ניקוד","פרופיל 2",IF(AND($O982="משפטים וקטעים קצרים",OR($M982="מבין",$M982="מבין לרוב")),"פרופיל 1","פרופיל 2")))))))</f>
        <v/>
      </c>
      <c r="R982" s="32">
        <f>IF($C982="","",IF(OR($Q982="",LEFT($Q982,1)="—"),"קבוצה רביעית",IF($Q982="פרופיל 5","קבוצת תשתיות",IF(OR($Q982="פרופיל 4",$Q982="פרופיל 3"),"קבוצת רכישה","קבוצת ביסוס"))))</f>
        <v/>
      </c>
      <c r="S982" s="32">
        <f>IF($F982="","",IF($F982="תחילת שנה",1,IF($F982="מחצית שנה",2,3)))</f>
        <v/>
      </c>
      <c r="T982" s="32">
        <f>IF(OR($B982="",$R982="",$A982="",$F982=""),"",$B982&amp;"|"&amp;$A982&amp;"|"&amp;$F982&amp;"|"&amp;$R982&amp;"|"&amp;COUNTIFS($B$6:$B982,$B982,$A$6:$A982,$A982,$F$6:$F982,$F982,$R$6:$R982,$R982))</f>
        <v/>
      </c>
      <c r="U982" s="32">
        <f>IF($C982="","",$C982&amp;"|"&amp;COUNTIFS($C$6:$C982,$C982))</f>
        <v/>
      </c>
      <c r="V982" s="32">
        <f>IF(OR($C982="",$A982="",$S982=""),"",$C982&amp;"|"&amp;$A982&amp;"|"&amp;$S982)</f>
        <v/>
      </c>
      <c r="W982" s="32">
        <f>IF(OR($C982="",$S982="",$S982=1),"",IFERROR(INDEX($Q$6:$Q$1505,MATCH($C982&amp;"|"&amp;$A982&amp;"|"&amp;($S982-1),$V$6:$V$1505,0)),""))</f>
        <v/>
      </c>
      <c r="X982" s="32">
        <f>IF(OR($W982="",$Q982="",LEFT($Q982,1)="—"),"",IF($W982=$Q982,"ללא שינוי","מ-"&amp;$W982&amp;" ל-"&amp;$Q982))</f>
        <v/>
      </c>
    </row>
    <row r="983" ht="15.75" customHeight="1" s="58">
      <c r="A983" s="65" t="n"/>
      <c r="B983" s="65" t="n"/>
      <c r="C983" s="66" t="n"/>
      <c r="D983" s="66" t="n"/>
      <c r="E983" s="65" t="n"/>
      <c r="F983" s="65" t="n"/>
      <c r="G983" s="65" t="n"/>
      <c r="H983" s="65" t="n"/>
      <c r="I983" s="65" t="n"/>
      <c r="J983" s="65" t="n"/>
      <c r="K983" s="65" t="n"/>
      <c r="L983" s="65" t="n"/>
      <c r="M983" s="65" t="n"/>
      <c r="N983" s="65" t="n"/>
      <c r="O983" s="65" t="n"/>
      <c r="P983" s="65" t="n"/>
      <c r="Q983" s="32">
        <f>IF($C983="","",IF($J983="","— חסרים נתונים",IF($J983="טרם מפענח","פרופיל 5",IF($J983="קמץ/פתח/חטף-פתח ושוואים","פרופיל 4",IF($J983="2-3 סימני ניקוד","פרופיל 3",IF($J983="4-5 סימני ניקוד","פרופיל 2",IF(AND($O983="משפטים וקטעים קצרים",OR($M983="מבין",$M983="מבין לרוב")),"פרופיל 1","פרופיל 2")))))))</f>
        <v/>
      </c>
      <c r="R983" s="32">
        <f>IF($C983="","",IF(OR($Q983="",LEFT($Q983,1)="—"),"קבוצה רביעית",IF($Q983="פרופיל 5","קבוצת תשתיות",IF(OR($Q983="פרופיל 4",$Q983="פרופיל 3"),"קבוצת רכישה","קבוצת ביסוס"))))</f>
        <v/>
      </c>
      <c r="S983" s="32">
        <f>IF($F983="","",IF($F983="תחילת שנה",1,IF($F983="מחצית שנה",2,3)))</f>
        <v/>
      </c>
      <c r="T983" s="32">
        <f>IF(OR($B983="",$R983="",$A983="",$F983=""),"",$B983&amp;"|"&amp;$A983&amp;"|"&amp;$F983&amp;"|"&amp;$R983&amp;"|"&amp;COUNTIFS($B$6:$B983,$B983,$A$6:$A983,$A983,$F$6:$F983,$F983,$R$6:$R983,$R983))</f>
        <v/>
      </c>
      <c r="U983" s="32">
        <f>IF($C983="","",$C983&amp;"|"&amp;COUNTIFS($C$6:$C983,$C983))</f>
        <v/>
      </c>
      <c r="V983" s="32">
        <f>IF(OR($C983="",$A983="",$S983=""),"",$C983&amp;"|"&amp;$A983&amp;"|"&amp;$S983)</f>
        <v/>
      </c>
      <c r="W983" s="32">
        <f>IF(OR($C983="",$S983="",$S983=1),"",IFERROR(INDEX($Q$6:$Q$1505,MATCH($C983&amp;"|"&amp;$A983&amp;"|"&amp;($S983-1),$V$6:$V$1505,0)),""))</f>
        <v/>
      </c>
      <c r="X983" s="32">
        <f>IF(OR($W983="",$Q983="",LEFT($Q983,1)="—"),"",IF($W983=$Q983,"ללא שינוי","מ-"&amp;$W983&amp;" ל-"&amp;$Q983))</f>
        <v/>
      </c>
    </row>
    <row r="984" ht="15.75" customHeight="1" s="58">
      <c r="A984" s="65" t="n"/>
      <c r="B984" s="65" t="n"/>
      <c r="C984" s="66" t="n"/>
      <c r="D984" s="66" t="n"/>
      <c r="E984" s="65" t="n"/>
      <c r="F984" s="65" t="n"/>
      <c r="G984" s="65" t="n"/>
      <c r="H984" s="65" t="n"/>
      <c r="I984" s="65" t="n"/>
      <c r="J984" s="65" t="n"/>
      <c r="K984" s="65" t="n"/>
      <c r="L984" s="65" t="n"/>
      <c r="M984" s="65" t="n"/>
      <c r="N984" s="65" t="n"/>
      <c r="O984" s="65" t="n"/>
      <c r="P984" s="65" t="n"/>
      <c r="Q984" s="32">
        <f>IF($C984="","",IF($J984="","— חסרים נתונים",IF($J984="טרם מפענח","פרופיל 5",IF($J984="קמץ/פתח/חטף-פתח ושוואים","פרופיל 4",IF($J984="2-3 סימני ניקוד","פרופיל 3",IF($J984="4-5 סימני ניקוד","פרופיל 2",IF(AND($O984="משפטים וקטעים קצרים",OR($M984="מבין",$M984="מבין לרוב")),"פרופיל 1","פרופיל 2")))))))</f>
        <v/>
      </c>
      <c r="R984" s="32">
        <f>IF($C984="","",IF(OR($Q984="",LEFT($Q984,1)="—"),"קבוצה רביעית",IF($Q984="פרופיל 5","קבוצת תשתיות",IF(OR($Q984="פרופיל 4",$Q984="פרופיל 3"),"קבוצת רכישה","קבוצת ביסוס"))))</f>
        <v/>
      </c>
      <c r="S984" s="32">
        <f>IF($F984="","",IF($F984="תחילת שנה",1,IF($F984="מחצית שנה",2,3)))</f>
        <v/>
      </c>
      <c r="T984" s="32">
        <f>IF(OR($B984="",$R984="",$A984="",$F984=""),"",$B984&amp;"|"&amp;$A984&amp;"|"&amp;$F984&amp;"|"&amp;$R984&amp;"|"&amp;COUNTIFS($B$6:$B984,$B984,$A$6:$A984,$A984,$F$6:$F984,$F984,$R$6:$R984,$R984))</f>
        <v/>
      </c>
      <c r="U984" s="32">
        <f>IF($C984="","",$C984&amp;"|"&amp;COUNTIFS($C$6:$C984,$C984))</f>
        <v/>
      </c>
      <c r="V984" s="32">
        <f>IF(OR($C984="",$A984="",$S984=""),"",$C984&amp;"|"&amp;$A984&amp;"|"&amp;$S984)</f>
        <v/>
      </c>
      <c r="W984" s="32">
        <f>IF(OR($C984="",$S984="",$S984=1),"",IFERROR(INDEX($Q$6:$Q$1505,MATCH($C984&amp;"|"&amp;$A984&amp;"|"&amp;($S984-1),$V$6:$V$1505,0)),""))</f>
        <v/>
      </c>
      <c r="X984" s="32">
        <f>IF(OR($W984="",$Q984="",LEFT($Q984,1)="—"),"",IF($W984=$Q984,"ללא שינוי","מ-"&amp;$W984&amp;" ל-"&amp;$Q984))</f>
        <v/>
      </c>
    </row>
    <row r="985" ht="15.75" customHeight="1" s="58">
      <c r="A985" s="65" t="n"/>
      <c r="B985" s="65" t="n"/>
      <c r="C985" s="66" t="n"/>
      <c r="D985" s="66" t="n"/>
      <c r="E985" s="65" t="n"/>
      <c r="F985" s="65" t="n"/>
      <c r="G985" s="65" t="n"/>
      <c r="H985" s="65" t="n"/>
      <c r="I985" s="65" t="n"/>
      <c r="J985" s="65" t="n"/>
      <c r="K985" s="65" t="n"/>
      <c r="L985" s="65" t="n"/>
      <c r="M985" s="65" t="n"/>
      <c r="N985" s="65" t="n"/>
      <c r="O985" s="65" t="n"/>
      <c r="P985" s="65" t="n"/>
      <c r="Q985" s="32">
        <f>IF($C985="","",IF($J985="","— חסרים נתונים",IF($J985="טרם מפענח","פרופיל 5",IF($J985="קמץ/פתח/חטף-פתח ושוואים","פרופיל 4",IF($J985="2-3 סימני ניקוד","פרופיל 3",IF($J985="4-5 סימני ניקוד","פרופיל 2",IF(AND($O985="משפטים וקטעים קצרים",OR($M985="מבין",$M985="מבין לרוב")),"פרופיל 1","פרופיל 2")))))))</f>
        <v/>
      </c>
      <c r="R985" s="32">
        <f>IF($C985="","",IF(OR($Q985="",LEFT($Q985,1)="—"),"קבוצה רביעית",IF($Q985="פרופיל 5","קבוצת תשתיות",IF(OR($Q985="פרופיל 4",$Q985="פרופיל 3"),"קבוצת רכישה","קבוצת ביסוס"))))</f>
        <v/>
      </c>
      <c r="S985" s="32">
        <f>IF($F985="","",IF($F985="תחילת שנה",1,IF($F985="מחצית שנה",2,3)))</f>
        <v/>
      </c>
      <c r="T985" s="32">
        <f>IF(OR($B985="",$R985="",$A985="",$F985=""),"",$B985&amp;"|"&amp;$A985&amp;"|"&amp;$F985&amp;"|"&amp;$R985&amp;"|"&amp;COUNTIFS($B$6:$B985,$B985,$A$6:$A985,$A985,$F$6:$F985,$F985,$R$6:$R985,$R985))</f>
        <v/>
      </c>
      <c r="U985" s="32">
        <f>IF($C985="","",$C985&amp;"|"&amp;COUNTIFS($C$6:$C985,$C985))</f>
        <v/>
      </c>
      <c r="V985" s="32">
        <f>IF(OR($C985="",$A985="",$S985=""),"",$C985&amp;"|"&amp;$A985&amp;"|"&amp;$S985)</f>
        <v/>
      </c>
      <c r="W985" s="32">
        <f>IF(OR($C985="",$S985="",$S985=1),"",IFERROR(INDEX($Q$6:$Q$1505,MATCH($C985&amp;"|"&amp;$A985&amp;"|"&amp;($S985-1),$V$6:$V$1505,0)),""))</f>
        <v/>
      </c>
      <c r="X985" s="32">
        <f>IF(OR($W985="",$Q985="",LEFT($Q985,1)="—"),"",IF($W985=$Q985,"ללא שינוי","מ-"&amp;$W985&amp;" ל-"&amp;$Q985))</f>
        <v/>
      </c>
    </row>
    <row r="986" ht="15.75" customHeight="1" s="58">
      <c r="A986" s="65" t="n"/>
      <c r="B986" s="65" t="n"/>
      <c r="C986" s="66" t="n"/>
      <c r="D986" s="66" t="n"/>
      <c r="E986" s="65" t="n"/>
      <c r="F986" s="65" t="n"/>
      <c r="G986" s="65" t="n"/>
      <c r="H986" s="65" t="n"/>
      <c r="I986" s="65" t="n"/>
      <c r="J986" s="65" t="n"/>
      <c r="K986" s="65" t="n"/>
      <c r="L986" s="65" t="n"/>
      <c r="M986" s="65" t="n"/>
      <c r="N986" s="65" t="n"/>
      <c r="O986" s="65" t="n"/>
      <c r="P986" s="65" t="n"/>
      <c r="Q986" s="32">
        <f>IF($C986="","",IF($J986="","— חסרים נתונים",IF($J986="טרם מפענח","פרופיל 5",IF($J986="קמץ/פתח/חטף-פתח ושוואים","פרופיל 4",IF($J986="2-3 סימני ניקוד","פרופיל 3",IF($J986="4-5 סימני ניקוד","פרופיל 2",IF(AND($O986="משפטים וקטעים קצרים",OR($M986="מבין",$M986="מבין לרוב")),"פרופיל 1","פרופיל 2")))))))</f>
        <v/>
      </c>
      <c r="R986" s="32">
        <f>IF($C986="","",IF(OR($Q986="",LEFT($Q986,1)="—"),"קבוצה רביעית",IF($Q986="פרופיל 5","קבוצת תשתיות",IF(OR($Q986="פרופיל 4",$Q986="פרופיל 3"),"קבוצת רכישה","קבוצת ביסוס"))))</f>
        <v/>
      </c>
      <c r="S986" s="32">
        <f>IF($F986="","",IF($F986="תחילת שנה",1,IF($F986="מחצית שנה",2,3)))</f>
        <v/>
      </c>
      <c r="T986" s="32">
        <f>IF(OR($B986="",$R986="",$A986="",$F986=""),"",$B986&amp;"|"&amp;$A986&amp;"|"&amp;$F986&amp;"|"&amp;$R986&amp;"|"&amp;COUNTIFS($B$6:$B986,$B986,$A$6:$A986,$A986,$F$6:$F986,$F986,$R$6:$R986,$R986))</f>
        <v/>
      </c>
      <c r="U986" s="32">
        <f>IF($C986="","",$C986&amp;"|"&amp;COUNTIFS($C$6:$C986,$C986))</f>
        <v/>
      </c>
      <c r="V986" s="32">
        <f>IF(OR($C986="",$A986="",$S986=""),"",$C986&amp;"|"&amp;$A986&amp;"|"&amp;$S986)</f>
        <v/>
      </c>
      <c r="W986" s="32">
        <f>IF(OR($C986="",$S986="",$S986=1),"",IFERROR(INDEX($Q$6:$Q$1505,MATCH($C986&amp;"|"&amp;$A986&amp;"|"&amp;($S986-1),$V$6:$V$1505,0)),""))</f>
        <v/>
      </c>
      <c r="X986" s="32">
        <f>IF(OR($W986="",$Q986="",LEFT($Q986,1)="—"),"",IF($W986=$Q986,"ללא שינוי","מ-"&amp;$W986&amp;" ל-"&amp;$Q986))</f>
        <v/>
      </c>
    </row>
    <row r="987" ht="15.75" customHeight="1" s="58">
      <c r="A987" s="65" t="n"/>
      <c r="B987" s="65" t="n"/>
      <c r="C987" s="66" t="n"/>
      <c r="D987" s="66" t="n"/>
      <c r="E987" s="65" t="n"/>
      <c r="F987" s="65" t="n"/>
      <c r="G987" s="65" t="n"/>
      <c r="H987" s="65" t="n"/>
      <c r="I987" s="65" t="n"/>
      <c r="J987" s="65" t="n"/>
      <c r="K987" s="65" t="n"/>
      <c r="L987" s="65" t="n"/>
      <c r="M987" s="65" t="n"/>
      <c r="N987" s="65" t="n"/>
      <c r="O987" s="65" t="n"/>
      <c r="P987" s="65" t="n"/>
      <c r="Q987" s="32">
        <f>IF($C987="","",IF($J987="","— חסרים נתונים",IF($J987="טרם מפענח","פרופיל 5",IF($J987="קמץ/פתח/חטף-פתח ושוואים","פרופיל 4",IF($J987="2-3 סימני ניקוד","פרופיל 3",IF($J987="4-5 סימני ניקוד","פרופיל 2",IF(AND($O987="משפטים וקטעים קצרים",OR($M987="מבין",$M987="מבין לרוב")),"פרופיל 1","פרופיל 2")))))))</f>
        <v/>
      </c>
      <c r="R987" s="32">
        <f>IF($C987="","",IF(OR($Q987="",LEFT($Q987,1)="—"),"קבוצה רביעית",IF($Q987="פרופיל 5","קבוצת תשתיות",IF(OR($Q987="פרופיל 4",$Q987="פרופיל 3"),"קבוצת רכישה","קבוצת ביסוס"))))</f>
        <v/>
      </c>
      <c r="S987" s="32">
        <f>IF($F987="","",IF($F987="תחילת שנה",1,IF($F987="מחצית שנה",2,3)))</f>
        <v/>
      </c>
      <c r="T987" s="32">
        <f>IF(OR($B987="",$R987="",$A987="",$F987=""),"",$B987&amp;"|"&amp;$A987&amp;"|"&amp;$F987&amp;"|"&amp;$R987&amp;"|"&amp;COUNTIFS($B$6:$B987,$B987,$A$6:$A987,$A987,$F$6:$F987,$F987,$R$6:$R987,$R987))</f>
        <v/>
      </c>
      <c r="U987" s="32">
        <f>IF($C987="","",$C987&amp;"|"&amp;COUNTIFS($C$6:$C987,$C987))</f>
        <v/>
      </c>
      <c r="V987" s="32">
        <f>IF(OR($C987="",$A987="",$S987=""),"",$C987&amp;"|"&amp;$A987&amp;"|"&amp;$S987)</f>
        <v/>
      </c>
      <c r="W987" s="32">
        <f>IF(OR($C987="",$S987="",$S987=1),"",IFERROR(INDEX($Q$6:$Q$1505,MATCH($C987&amp;"|"&amp;$A987&amp;"|"&amp;($S987-1),$V$6:$V$1505,0)),""))</f>
        <v/>
      </c>
      <c r="X987" s="32">
        <f>IF(OR($W987="",$Q987="",LEFT($Q987,1)="—"),"",IF($W987=$Q987,"ללא שינוי","מ-"&amp;$W987&amp;" ל-"&amp;$Q987))</f>
        <v/>
      </c>
    </row>
    <row r="988" ht="15.75" customHeight="1" s="58">
      <c r="A988" s="65" t="n"/>
      <c r="B988" s="65" t="n"/>
      <c r="C988" s="66" t="n"/>
      <c r="D988" s="66" t="n"/>
      <c r="E988" s="65" t="n"/>
      <c r="F988" s="65" t="n"/>
      <c r="G988" s="65" t="n"/>
      <c r="H988" s="65" t="n"/>
      <c r="I988" s="65" t="n"/>
      <c r="J988" s="65" t="n"/>
      <c r="K988" s="65" t="n"/>
      <c r="L988" s="65" t="n"/>
      <c r="M988" s="65" t="n"/>
      <c r="N988" s="65" t="n"/>
      <c r="O988" s="65" t="n"/>
      <c r="P988" s="65" t="n"/>
      <c r="Q988" s="32">
        <f>IF($C988="","",IF($J988="","— חסרים נתונים",IF($J988="טרם מפענח","פרופיל 5",IF($J988="קמץ/פתח/חטף-פתח ושוואים","פרופיל 4",IF($J988="2-3 סימני ניקוד","פרופיל 3",IF($J988="4-5 סימני ניקוד","פרופיל 2",IF(AND($O988="משפטים וקטעים קצרים",OR($M988="מבין",$M988="מבין לרוב")),"פרופיל 1","פרופיל 2")))))))</f>
        <v/>
      </c>
      <c r="R988" s="32">
        <f>IF($C988="","",IF(OR($Q988="",LEFT($Q988,1)="—"),"קבוצה רביעית",IF($Q988="פרופיל 5","קבוצת תשתיות",IF(OR($Q988="פרופיל 4",$Q988="פרופיל 3"),"קבוצת רכישה","קבוצת ביסוס"))))</f>
        <v/>
      </c>
      <c r="S988" s="32">
        <f>IF($F988="","",IF($F988="תחילת שנה",1,IF($F988="מחצית שנה",2,3)))</f>
        <v/>
      </c>
      <c r="T988" s="32">
        <f>IF(OR($B988="",$R988="",$A988="",$F988=""),"",$B988&amp;"|"&amp;$A988&amp;"|"&amp;$F988&amp;"|"&amp;$R988&amp;"|"&amp;COUNTIFS($B$6:$B988,$B988,$A$6:$A988,$A988,$F$6:$F988,$F988,$R$6:$R988,$R988))</f>
        <v/>
      </c>
      <c r="U988" s="32">
        <f>IF($C988="","",$C988&amp;"|"&amp;COUNTIFS($C$6:$C988,$C988))</f>
        <v/>
      </c>
      <c r="V988" s="32">
        <f>IF(OR($C988="",$A988="",$S988=""),"",$C988&amp;"|"&amp;$A988&amp;"|"&amp;$S988)</f>
        <v/>
      </c>
      <c r="W988" s="32">
        <f>IF(OR($C988="",$S988="",$S988=1),"",IFERROR(INDEX($Q$6:$Q$1505,MATCH($C988&amp;"|"&amp;$A988&amp;"|"&amp;($S988-1),$V$6:$V$1505,0)),""))</f>
        <v/>
      </c>
      <c r="X988" s="32">
        <f>IF(OR($W988="",$Q988="",LEFT($Q988,1)="—"),"",IF($W988=$Q988,"ללא שינוי","מ-"&amp;$W988&amp;" ל-"&amp;$Q988))</f>
        <v/>
      </c>
    </row>
    <row r="989" ht="15.75" customHeight="1" s="58">
      <c r="A989" s="65" t="n"/>
      <c r="B989" s="65" t="n"/>
      <c r="C989" s="66" t="n"/>
      <c r="D989" s="66" t="n"/>
      <c r="E989" s="65" t="n"/>
      <c r="F989" s="65" t="n"/>
      <c r="G989" s="65" t="n"/>
      <c r="H989" s="65" t="n"/>
      <c r="I989" s="65" t="n"/>
      <c r="J989" s="65" t="n"/>
      <c r="K989" s="65" t="n"/>
      <c r="L989" s="65" t="n"/>
      <c r="M989" s="65" t="n"/>
      <c r="N989" s="65" t="n"/>
      <c r="O989" s="65" t="n"/>
      <c r="P989" s="65" t="n"/>
      <c r="Q989" s="32">
        <f>IF($C989="","",IF($J989="","— חסרים נתונים",IF($J989="טרם מפענח","פרופיל 5",IF($J989="קמץ/פתח/חטף-פתח ושוואים","פרופיל 4",IF($J989="2-3 סימני ניקוד","פרופיל 3",IF($J989="4-5 סימני ניקוד","פרופיל 2",IF(AND($O989="משפטים וקטעים קצרים",OR($M989="מבין",$M989="מבין לרוב")),"פרופיל 1","פרופיל 2")))))))</f>
        <v/>
      </c>
      <c r="R989" s="32">
        <f>IF($C989="","",IF(OR($Q989="",LEFT($Q989,1)="—"),"קבוצה רביעית",IF($Q989="פרופיל 5","קבוצת תשתיות",IF(OR($Q989="פרופיל 4",$Q989="פרופיל 3"),"קבוצת רכישה","קבוצת ביסוס"))))</f>
        <v/>
      </c>
      <c r="S989" s="32">
        <f>IF($F989="","",IF($F989="תחילת שנה",1,IF($F989="מחצית שנה",2,3)))</f>
        <v/>
      </c>
      <c r="T989" s="32">
        <f>IF(OR($B989="",$R989="",$A989="",$F989=""),"",$B989&amp;"|"&amp;$A989&amp;"|"&amp;$F989&amp;"|"&amp;$R989&amp;"|"&amp;COUNTIFS($B$6:$B989,$B989,$A$6:$A989,$A989,$F$6:$F989,$F989,$R$6:$R989,$R989))</f>
        <v/>
      </c>
      <c r="U989" s="32">
        <f>IF($C989="","",$C989&amp;"|"&amp;COUNTIFS($C$6:$C989,$C989))</f>
        <v/>
      </c>
      <c r="V989" s="32">
        <f>IF(OR($C989="",$A989="",$S989=""),"",$C989&amp;"|"&amp;$A989&amp;"|"&amp;$S989)</f>
        <v/>
      </c>
      <c r="W989" s="32">
        <f>IF(OR($C989="",$S989="",$S989=1),"",IFERROR(INDEX($Q$6:$Q$1505,MATCH($C989&amp;"|"&amp;$A989&amp;"|"&amp;($S989-1),$V$6:$V$1505,0)),""))</f>
        <v/>
      </c>
      <c r="X989" s="32">
        <f>IF(OR($W989="",$Q989="",LEFT($Q989,1)="—"),"",IF($W989=$Q989,"ללא שינוי","מ-"&amp;$W989&amp;" ל-"&amp;$Q989))</f>
        <v/>
      </c>
    </row>
    <row r="990" ht="15.75" customHeight="1" s="58">
      <c r="A990" s="65" t="n"/>
      <c r="B990" s="65" t="n"/>
      <c r="C990" s="66" t="n"/>
      <c r="D990" s="66" t="n"/>
      <c r="E990" s="65" t="n"/>
      <c r="F990" s="65" t="n"/>
      <c r="G990" s="65" t="n"/>
      <c r="H990" s="65" t="n"/>
      <c r="I990" s="65" t="n"/>
      <c r="J990" s="65" t="n"/>
      <c r="K990" s="65" t="n"/>
      <c r="L990" s="65" t="n"/>
      <c r="M990" s="65" t="n"/>
      <c r="N990" s="65" t="n"/>
      <c r="O990" s="65" t="n"/>
      <c r="P990" s="65" t="n"/>
      <c r="Q990" s="32">
        <f>IF($C990="","",IF($J990="","— חסרים נתונים",IF($J990="טרם מפענח","פרופיל 5",IF($J990="קמץ/פתח/חטף-פתח ושוואים","פרופיל 4",IF($J990="2-3 סימני ניקוד","פרופיל 3",IF($J990="4-5 סימני ניקוד","פרופיל 2",IF(AND($O990="משפטים וקטעים קצרים",OR($M990="מבין",$M990="מבין לרוב")),"פרופיל 1","פרופיל 2")))))))</f>
        <v/>
      </c>
      <c r="R990" s="32">
        <f>IF($C990="","",IF(OR($Q990="",LEFT($Q990,1)="—"),"קבוצה רביעית",IF($Q990="פרופיל 5","קבוצת תשתיות",IF(OR($Q990="פרופיל 4",$Q990="פרופיל 3"),"קבוצת רכישה","קבוצת ביסוס"))))</f>
        <v/>
      </c>
      <c r="S990" s="32">
        <f>IF($F990="","",IF($F990="תחילת שנה",1,IF($F990="מחצית שנה",2,3)))</f>
        <v/>
      </c>
      <c r="T990" s="32">
        <f>IF(OR($B990="",$R990="",$A990="",$F990=""),"",$B990&amp;"|"&amp;$A990&amp;"|"&amp;$F990&amp;"|"&amp;$R990&amp;"|"&amp;COUNTIFS($B$6:$B990,$B990,$A$6:$A990,$A990,$F$6:$F990,$F990,$R$6:$R990,$R990))</f>
        <v/>
      </c>
      <c r="U990" s="32">
        <f>IF($C990="","",$C990&amp;"|"&amp;COUNTIFS($C$6:$C990,$C990))</f>
        <v/>
      </c>
      <c r="V990" s="32">
        <f>IF(OR($C990="",$A990="",$S990=""),"",$C990&amp;"|"&amp;$A990&amp;"|"&amp;$S990)</f>
        <v/>
      </c>
      <c r="W990" s="32">
        <f>IF(OR($C990="",$S990="",$S990=1),"",IFERROR(INDEX($Q$6:$Q$1505,MATCH($C990&amp;"|"&amp;$A990&amp;"|"&amp;($S990-1),$V$6:$V$1505,0)),""))</f>
        <v/>
      </c>
      <c r="X990" s="32">
        <f>IF(OR($W990="",$Q990="",LEFT($Q990,1)="—"),"",IF($W990=$Q990,"ללא שינוי","מ-"&amp;$W990&amp;" ל-"&amp;$Q990))</f>
        <v/>
      </c>
    </row>
    <row r="991" ht="15.75" customHeight="1" s="58">
      <c r="A991" s="65" t="n"/>
      <c r="B991" s="65" t="n"/>
      <c r="C991" s="66" t="n"/>
      <c r="D991" s="66" t="n"/>
      <c r="E991" s="65" t="n"/>
      <c r="F991" s="65" t="n"/>
      <c r="G991" s="65" t="n"/>
      <c r="H991" s="65" t="n"/>
      <c r="I991" s="65" t="n"/>
      <c r="J991" s="65" t="n"/>
      <c r="K991" s="65" t="n"/>
      <c r="L991" s="65" t="n"/>
      <c r="M991" s="65" t="n"/>
      <c r="N991" s="65" t="n"/>
      <c r="O991" s="65" t="n"/>
      <c r="P991" s="65" t="n"/>
      <c r="Q991" s="32">
        <f>IF($C991="","",IF($J991="","— חסרים נתונים",IF($J991="טרם מפענח","פרופיל 5",IF($J991="קמץ/פתח/חטף-פתח ושוואים","פרופיל 4",IF($J991="2-3 סימני ניקוד","פרופיל 3",IF($J991="4-5 סימני ניקוד","פרופיל 2",IF(AND($O991="משפטים וקטעים קצרים",OR($M991="מבין",$M991="מבין לרוב")),"פרופיל 1","פרופיל 2")))))))</f>
        <v/>
      </c>
      <c r="R991" s="32">
        <f>IF($C991="","",IF(OR($Q991="",LEFT($Q991,1)="—"),"קבוצה רביעית",IF($Q991="פרופיל 5","קבוצת תשתיות",IF(OR($Q991="פרופיל 4",$Q991="פרופיל 3"),"קבוצת רכישה","קבוצת ביסוס"))))</f>
        <v/>
      </c>
      <c r="S991" s="32">
        <f>IF($F991="","",IF($F991="תחילת שנה",1,IF($F991="מחצית שנה",2,3)))</f>
        <v/>
      </c>
      <c r="T991" s="32">
        <f>IF(OR($B991="",$R991="",$A991="",$F991=""),"",$B991&amp;"|"&amp;$A991&amp;"|"&amp;$F991&amp;"|"&amp;$R991&amp;"|"&amp;COUNTIFS($B$6:$B991,$B991,$A$6:$A991,$A991,$F$6:$F991,$F991,$R$6:$R991,$R991))</f>
        <v/>
      </c>
      <c r="U991" s="32">
        <f>IF($C991="","",$C991&amp;"|"&amp;COUNTIFS($C$6:$C991,$C991))</f>
        <v/>
      </c>
      <c r="V991" s="32">
        <f>IF(OR($C991="",$A991="",$S991=""),"",$C991&amp;"|"&amp;$A991&amp;"|"&amp;$S991)</f>
        <v/>
      </c>
      <c r="W991" s="32">
        <f>IF(OR($C991="",$S991="",$S991=1),"",IFERROR(INDEX($Q$6:$Q$1505,MATCH($C991&amp;"|"&amp;$A991&amp;"|"&amp;($S991-1),$V$6:$V$1505,0)),""))</f>
        <v/>
      </c>
      <c r="X991" s="32">
        <f>IF(OR($W991="",$Q991="",LEFT($Q991,1)="—"),"",IF($W991=$Q991,"ללא שינוי","מ-"&amp;$W991&amp;" ל-"&amp;$Q991))</f>
        <v/>
      </c>
    </row>
    <row r="992" ht="15.75" customHeight="1" s="58">
      <c r="A992" s="65" t="n"/>
      <c r="B992" s="65" t="n"/>
      <c r="C992" s="66" t="n"/>
      <c r="D992" s="66" t="n"/>
      <c r="E992" s="65" t="n"/>
      <c r="F992" s="65" t="n"/>
      <c r="G992" s="65" t="n"/>
      <c r="H992" s="65" t="n"/>
      <c r="I992" s="65" t="n"/>
      <c r="J992" s="65" t="n"/>
      <c r="K992" s="65" t="n"/>
      <c r="L992" s="65" t="n"/>
      <c r="M992" s="65" t="n"/>
      <c r="N992" s="65" t="n"/>
      <c r="O992" s="65" t="n"/>
      <c r="P992" s="65" t="n"/>
      <c r="Q992" s="32">
        <f>IF($C992="","",IF($J992="","— חסרים נתונים",IF($J992="טרם מפענח","פרופיל 5",IF($J992="קמץ/פתח/חטף-פתח ושוואים","פרופיל 4",IF($J992="2-3 סימני ניקוד","פרופיל 3",IF($J992="4-5 סימני ניקוד","פרופיל 2",IF(AND($O992="משפטים וקטעים קצרים",OR($M992="מבין",$M992="מבין לרוב")),"פרופיל 1","פרופיל 2")))))))</f>
        <v/>
      </c>
      <c r="R992" s="32">
        <f>IF($C992="","",IF(OR($Q992="",LEFT($Q992,1)="—"),"קבוצה רביעית",IF($Q992="פרופיל 5","קבוצת תשתיות",IF(OR($Q992="פרופיל 4",$Q992="פרופיל 3"),"קבוצת רכישה","קבוצת ביסוס"))))</f>
        <v/>
      </c>
      <c r="S992" s="32">
        <f>IF($F992="","",IF($F992="תחילת שנה",1,IF($F992="מחצית שנה",2,3)))</f>
        <v/>
      </c>
      <c r="T992" s="32">
        <f>IF(OR($B992="",$R992="",$A992="",$F992=""),"",$B992&amp;"|"&amp;$A992&amp;"|"&amp;$F992&amp;"|"&amp;$R992&amp;"|"&amp;COUNTIFS($B$6:$B992,$B992,$A$6:$A992,$A992,$F$6:$F992,$F992,$R$6:$R992,$R992))</f>
        <v/>
      </c>
      <c r="U992" s="32">
        <f>IF($C992="","",$C992&amp;"|"&amp;COUNTIFS($C$6:$C992,$C992))</f>
        <v/>
      </c>
      <c r="V992" s="32">
        <f>IF(OR($C992="",$A992="",$S992=""),"",$C992&amp;"|"&amp;$A992&amp;"|"&amp;$S992)</f>
        <v/>
      </c>
      <c r="W992" s="32">
        <f>IF(OR($C992="",$S992="",$S992=1),"",IFERROR(INDEX($Q$6:$Q$1505,MATCH($C992&amp;"|"&amp;$A992&amp;"|"&amp;($S992-1),$V$6:$V$1505,0)),""))</f>
        <v/>
      </c>
      <c r="X992" s="32">
        <f>IF(OR($W992="",$Q992="",LEFT($Q992,1)="—"),"",IF($W992=$Q992,"ללא שינוי","מ-"&amp;$W992&amp;" ל-"&amp;$Q992))</f>
        <v/>
      </c>
    </row>
    <row r="993" ht="15.75" customHeight="1" s="58">
      <c r="A993" s="65" t="n"/>
      <c r="B993" s="65" t="n"/>
      <c r="C993" s="66" t="n"/>
      <c r="D993" s="66" t="n"/>
      <c r="E993" s="65" t="n"/>
      <c r="F993" s="65" t="n"/>
      <c r="G993" s="65" t="n"/>
      <c r="H993" s="65" t="n"/>
      <c r="I993" s="65" t="n"/>
      <c r="J993" s="65" t="n"/>
      <c r="K993" s="65" t="n"/>
      <c r="L993" s="65" t="n"/>
      <c r="M993" s="65" t="n"/>
      <c r="N993" s="65" t="n"/>
      <c r="O993" s="65" t="n"/>
      <c r="P993" s="65" t="n"/>
      <c r="Q993" s="32">
        <f>IF($C993="","",IF($J993="","— חסרים נתונים",IF($J993="טרם מפענח","פרופיל 5",IF($J993="קמץ/פתח/חטף-פתח ושוואים","פרופיל 4",IF($J993="2-3 סימני ניקוד","פרופיל 3",IF($J993="4-5 סימני ניקוד","פרופיל 2",IF(AND($O993="משפטים וקטעים קצרים",OR($M993="מבין",$M993="מבין לרוב")),"פרופיל 1","פרופיל 2")))))))</f>
        <v/>
      </c>
      <c r="R993" s="32">
        <f>IF($C993="","",IF(OR($Q993="",LEFT($Q993,1)="—"),"קבוצה רביעית",IF($Q993="פרופיל 5","קבוצת תשתיות",IF(OR($Q993="פרופיל 4",$Q993="פרופיל 3"),"קבוצת רכישה","קבוצת ביסוס"))))</f>
        <v/>
      </c>
      <c r="S993" s="32">
        <f>IF($F993="","",IF($F993="תחילת שנה",1,IF($F993="מחצית שנה",2,3)))</f>
        <v/>
      </c>
      <c r="T993" s="32">
        <f>IF(OR($B993="",$R993="",$A993="",$F993=""),"",$B993&amp;"|"&amp;$A993&amp;"|"&amp;$F993&amp;"|"&amp;$R993&amp;"|"&amp;COUNTIFS($B$6:$B993,$B993,$A$6:$A993,$A993,$F$6:$F993,$F993,$R$6:$R993,$R993))</f>
        <v/>
      </c>
      <c r="U993" s="32">
        <f>IF($C993="","",$C993&amp;"|"&amp;COUNTIFS($C$6:$C993,$C993))</f>
        <v/>
      </c>
      <c r="V993" s="32">
        <f>IF(OR($C993="",$A993="",$S993=""),"",$C993&amp;"|"&amp;$A993&amp;"|"&amp;$S993)</f>
        <v/>
      </c>
      <c r="W993" s="32">
        <f>IF(OR($C993="",$S993="",$S993=1),"",IFERROR(INDEX($Q$6:$Q$1505,MATCH($C993&amp;"|"&amp;$A993&amp;"|"&amp;($S993-1),$V$6:$V$1505,0)),""))</f>
        <v/>
      </c>
      <c r="X993" s="32">
        <f>IF(OR($W993="",$Q993="",LEFT($Q993,1)="—"),"",IF($W993=$Q993,"ללא שינוי","מ-"&amp;$W993&amp;" ל-"&amp;$Q993))</f>
        <v/>
      </c>
    </row>
    <row r="994" ht="15.75" customHeight="1" s="58">
      <c r="A994" s="65" t="n"/>
      <c r="B994" s="65" t="n"/>
      <c r="C994" s="66" t="n"/>
      <c r="D994" s="66" t="n"/>
      <c r="E994" s="65" t="n"/>
      <c r="F994" s="65" t="n"/>
      <c r="G994" s="65" t="n"/>
      <c r="H994" s="65" t="n"/>
      <c r="I994" s="65" t="n"/>
      <c r="J994" s="65" t="n"/>
      <c r="K994" s="65" t="n"/>
      <c r="L994" s="65" t="n"/>
      <c r="M994" s="65" t="n"/>
      <c r="N994" s="65" t="n"/>
      <c r="O994" s="65" t="n"/>
      <c r="P994" s="65" t="n"/>
      <c r="Q994" s="32">
        <f>IF($C994="","",IF($J994="","— חסרים נתונים",IF($J994="טרם מפענח","פרופיל 5",IF($J994="קמץ/פתח/חטף-פתח ושוואים","פרופיל 4",IF($J994="2-3 סימני ניקוד","פרופיל 3",IF($J994="4-5 סימני ניקוד","פרופיל 2",IF(AND($O994="משפטים וקטעים קצרים",OR($M994="מבין",$M994="מבין לרוב")),"פרופיל 1","פרופיל 2")))))))</f>
        <v/>
      </c>
      <c r="R994" s="32">
        <f>IF($C994="","",IF(OR($Q994="",LEFT($Q994,1)="—"),"קבוצה רביעית",IF($Q994="פרופיל 5","קבוצת תשתיות",IF(OR($Q994="פרופיל 4",$Q994="פרופיל 3"),"קבוצת רכישה","קבוצת ביסוס"))))</f>
        <v/>
      </c>
      <c r="S994" s="32">
        <f>IF($F994="","",IF($F994="תחילת שנה",1,IF($F994="מחצית שנה",2,3)))</f>
        <v/>
      </c>
      <c r="T994" s="32">
        <f>IF(OR($B994="",$R994="",$A994="",$F994=""),"",$B994&amp;"|"&amp;$A994&amp;"|"&amp;$F994&amp;"|"&amp;$R994&amp;"|"&amp;COUNTIFS($B$6:$B994,$B994,$A$6:$A994,$A994,$F$6:$F994,$F994,$R$6:$R994,$R994))</f>
        <v/>
      </c>
      <c r="U994" s="32">
        <f>IF($C994="","",$C994&amp;"|"&amp;COUNTIFS($C$6:$C994,$C994))</f>
        <v/>
      </c>
      <c r="V994" s="32">
        <f>IF(OR($C994="",$A994="",$S994=""),"",$C994&amp;"|"&amp;$A994&amp;"|"&amp;$S994)</f>
        <v/>
      </c>
      <c r="W994" s="32">
        <f>IF(OR($C994="",$S994="",$S994=1),"",IFERROR(INDEX($Q$6:$Q$1505,MATCH($C994&amp;"|"&amp;$A994&amp;"|"&amp;($S994-1),$V$6:$V$1505,0)),""))</f>
        <v/>
      </c>
      <c r="X994" s="32">
        <f>IF(OR($W994="",$Q994="",LEFT($Q994,1)="—"),"",IF($W994=$Q994,"ללא שינוי","מ-"&amp;$W994&amp;" ל-"&amp;$Q994))</f>
        <v/>
      </c>
    </row>
    <row r="995" ht="15.75" customHeight="1" s="58">
      <c r="A995" s="65" t="n"/>
      <c r="B995" s="65" t="n"/>
      <c r="C995" s="66" t="n"/>
      <c r="D995" s="66" t="n"/>
      <c r="E995" s="65" t="n"/>
      <c r="F995" s="65" t="n"/>
      <c r="G995" s="65" t="n"/>
      <c r="H995" s="65" t="n"/>
      <c r="I995" s="65" t="n"/>
      <c r="J995" s="65" t="n"/>
      <c r="K995" s="65" t="n"/>
      <c r="L995" s="65" t="n"/>
      <c r="M995" s="65" t="n"/>
      <c r="N995" s="65" t="n"/>
      <c r="O995" s="65" t="n"/>
      <c r="P995" s="65" t="n"/>
      <c r="Q995" s="32">
        <f>IF($C995="","",IF($J995="","— חסרים נתונים",IF($J995="טרם מפענח","פרופיל 5",IF($J995="קמץ/פתח/חטף-פתח ושוואים","פרופיל 4",IF($J995="2-3 סימני ניקוד","פרופיל 3",IF($J995="4-5 סימני ניקוד","פרופיל 2",IF(AND($O995="משפטים וקטעים קצרים",OR($M995="מבין",$M995="מבין לרוב")),"פרופיל 1","פרופיל 2")))))))</f>
        <v/>
      </c>
      <c r="R995" s="32">
        <f>IF($C995="","",IF(OR($Q995="",LEFT($Q995,1)="—"),"קבוצה רביעית",IF($Q995="פרופיל 5","קבוצת תשתיות",IF(OR($Q995="פרופיל 4",$Q995="פרופיל 3"),"קבוצת רכישה","קבוצת ביסוס"))))</f>
        <v/>
      </c>
      <c r="S995" s="32">
        <f>IF($F995="","",IF($F995="תחילת שנה",1,IF($F995="מחצית שנה",2,3)))</f>
        <v/>
      </c>
      <c r="T995" s="32">
        <f>IF(OR($B995="",$R995="",$A995="",$F995=""),"",$B995&amp;"|"&amp;$A995&amp;"|"&amp;$F995&amp;"|"&amp;$R995&amp;"|"&amp;COUNTIFS($B$6:$B995,$B995,$A$6:$A995,$A995,$F$6:$F995,$F995,$R$6:$R995,$R995))</f>
        <v/>
      </c>
      <c r="U995" s="32">
        <f>IF($C995="","",$C995&amp;"|"&amp;COUNTIFS($C$6:$C995,$C995))</f>
        <v/>
      </c>
      <c r="V995" s="32">
        <f>IF(OR($C995="",$A995="",$S995=""),"",$C995&amp;"|"&amp;$A995&amp;"|"&amp;$S995)</f>
        <v/>
      </c>
      <c r="W995" s="32">
        <f>IF(OR($C995="",$S995="",$S995=1),"",IFERROR(INDEX($Q$6:$Q$1505,MATCH($C995&amp;"|"&amp;$A995&amp;"|"&amp;($S995-1),$V$6:$V$1505,0)),""))</f>
        <v/>
      </c>
      <c r="X995" s="32">
        <f>IF(OR($W995="",$Q995="",LEFT($Q995,1)="—"),"",IF($W995=$Q995,"ללא שינוי","מ-"&amp;$W995&amp;" ל-"&amp;$Q995))</f>
        <v/>
      </c>
    </row>
    <row r="996" ht="15.75" customHeight="1" s="58">
      <c r="A996" s="65" t="n"/>
      <c r="B996" s="65" t="n"/>
      <c r="C996" s="66" t="n"/>
      <c r="D996" s="66" t="n"/>
      <c r="E996" s="65" t="n"/>
      <c r="F996" s="65" t="n"/>
      <c r="G996" s="65" t="n"/>
      <c r="H996" s="65" t="n"/>
      <c r="I996" s="65" t="n"/>
      <c r="J996" s="65" t="n"/>
      <c r="K996" s="65" t="n"/>
      <c r="L996" s="65" t="n"/>
      <c r="M996" s="65" t="n"/>
      <c r="N996" s="65" t="n"/>
      <c r="O996" s="65" t="n"/>
      <c r="P996" s="65" t="n"/>
      <c r="Q996" s="32">
        <f>IF($C996="","",IF($J996="","— חסרים נתונים",IF($J996="טרם מפענח","פרופיל 5",IF($J996="קמץ/פתח/חטף-פתח ושוואים","פרופיל 4",IF($J996="2-3 סימני ניקוד","פרופיל 3",IF($J996="4-5 סימני ניקוד","פרופיל 2",IF(AND($O996="משפטים וקטעים קצרים",OR($M996="מבין",$M996="מבין לרוב")),"פרופיל 1","פרופיל 2")))))))</f>
        <v/>
      </c>
      <c r="R996" s="32">
        <f>IF($C996="","",IF(OR($Q996="",LEFT($Q996,1)="—"),"קבוצה רביעית",IF($Q996="פרופיל 5","קבוצת תשתיות",IF(OR($Q996="פרופיל 4",$Q996="פרופיל 3"),"קבוצת רכישה","קבוצת ביסוס"))))</f>
        <v/>
      </c>
      <c r="S996" s="32">
        <f>IF($F996="","",IF($F996="תחילת שנה",1,IF($F996="מחצית שנה",2,3)))</f>
        <v/>
      </c>
      <c r="T996" s="32">
        <f>IF(OR($B996="",$R996="",$A996="",$F996=""),"",$B996&amp;"|"&amp;$A996&amp;"|"&amp;$F996&amp;"|"&amp;$R996&amp;"|"&amp;COUNTIFS($B$6:$B996,$B996,$A$6:$A996,$A996,$F$6:$F996,$F996,$R$6:$R996,$R996))</f>
        <v/>
      </c>
      <c r="U996" s="32">
        <f>IF($C996="","",$C996&amp;"|"&amp;COUNTIFS($C$6:$C996,$C996))</f>
        <v/>
      </c>
      <c r="V996" s="32">
        <f>IF(OR($C996="",$A996="",$S996=""),"",$C996&amp;"|"&amp;$A996&amp;"|"&amp;$S996)</f>
        <v/>
      </c>
      <c r="W996" s="32">
        <f>IF(OR($C996="",$S996="",$S996=1),"",IFERROR(INDEX($Q$6:$Q$1505,MATCH($C996&amp;"|"&amp;$A996&amp;"|"&amp;($S996-1),$V$6:$V$1505,0)),""))</f>
        <v/>
      </c>
      <c r="X996" s="32">
        <f>IF(OR($W996="",$Q996="",LEFT($Q996,1)="—"),"",IF($W996=$Q996,"ללא שינוי","מ-"&amp;$W996&amp;" ל-"&amp;$Q996))</f>
        <v/>
      </c>
    </row>
    <row r="997" ht="15.75" customHeight="1" s="58">
      <c r="A997" s="65" t="n"/>
      <c r="B997" s="65" t="n"/>
      <c r="C997" s="66" t="n"/>
      <c r="D997" s="66" t="n"/>
      <c r="E997" s="65" t="n"/>
      <c r="F997" s="65" t="n"/>
      <c r="G997" s="65" t="n"/>
      <c r="H997" s="65" t="n"/>
      <c r="I997" s="65" t="n"/>
      <c r="J997" s="65" t="n"/>
      <c r="K997" s="65" t="n"/>
      <c r="L997" s="65" t="n"/>
      <c r="M997" s="65" t="n"/>
      <c r="N997" s="65" t="n"/>
      <c r="O997" s="65" t="n"/>
      <c r="P997" s="65" t="n"/>
      <c r="Q997" s="32">
        <f>IF($C997="","",IF($J997="","— חסרים נתונים",IF($J997="טרם מפענח","פרופיל 5",IF($J997="קמץ/פתח/חטף-פתח ושוואים","פרופיל 4",IF($J997="2-3 סימני ניקוד","פרופיל 3",IF($J997="4-5 סימני ניקוד","פרופיל 2",IF(AND($O997="משפטים וקטעים קצרים",OR($M997="מבין",$M997="מבין לרוב")),"פרופיל 1","פרופיל 2")))))))</f>
        <v/>
      </c>
      <c r="R997" s="32">
        <f>IF($C997="","",IF(OR($Q997="",LEFT($Q997,1)="—"),"קבוצה רביעית",IF($Q997="פרופיל 5","קבוצת תשתיות",IF(OR($Q997="פרופיל 4",$Q997="פרופיל 3"),"קבוצת רכישה","קבוצת ביסוס"))))</f>
        <v/>
      </c>
      <c r="S997" s="32">
        <f>IF($F997="","",IF($F997="תחילת שנה",1,IF($F997="מחצית שנה",2,3)))</f>
        <v/>
      </c>
      <c r="T997" s="32">
        <f>IF(OR($B997="",$R997="",$A997="",$F997=""),"",$B997&amp;"|"&amp;$A997&amp;"|"&amp;$F997&amp;"|"&amp;$R997&amp;"|"&amp;COUNTIFS($B$6:$B997,$B997,$A$6:$A997,$A997,$F$6:$F997,$F997,$R$6:$R997,$R997))</f>
        <v/>
      </c>
      <c r="U997" s="32">
        <f>IF($C997="","",$C997&amp;"|"&amp;COUNTIFS($C$6:$C997,$C997))</f>
        <v/>
      </c>
      <c r="V997" s="32">
        <f>IF(OR($C997="",$A997="",$S997=""),"",$C997&amp;"|"&amp;$A997&amp;"|"&amp;$S997)</f>
        <v/>
      </c>
      <c r="W997" s="32">
        <f>IF(OR($C997="",$S997="",$S997=1),"",IFERROR(INDEX($Q$6:$Q$1505,MATCH($C997&amp;"|"&amp;$A997&amp;"|"&amp;($S997-1),$V$6:$V$1505,0)),""))</f>
        <v/>
      </c>
      <c r="X997" s="32">
        <f>IF(OR($W997="",$Q997="",LEFT($Q997,1)="—"),"",IF($W997=$Q997,"ללא שינוי","מ-"&amp;$W997&amp;" ל-"&amp;$Q997))</f>
        <v/>
      </c>
    </row>
    <row r="998" ht="15.75" customHeight="1" s="58">
      <c r="A998" s="65" t="n"/>
      <c r="B998" s="65" t="n"/>
      <c r="C998" s="66" t="n"/>
      <c r="D998" s="66" t="n"/>
      <c r="E998" s="65" t="n"/>
      <c r="F998" s="65" t="n"/>
      <c r="G998" s="65" t="n"/>
      <c r="H998" s="65" t="n"/>
      <c r="I998" s="65" t="n"/>
      <c r="J998" s="65" t="n"/>
      <c r="K998" s="65" t="n"/>
      <c r="L998" s="65" t="n"/>
      <c r="M998" s="65" t="n"/>
      <c r="N998" s="65" t="n"/>
      <c r="O998" s="65" t="n"/>
      <c r="P998" s="65" t="n"/>
      <c r="Q998" s="32">
        <f>IF($C998="","",IF($J998="","— חסרים נתונים",IF($J998="טרם מפענח","פרופיל 5",IF($J998="קמץ/פתח/חטף-פתח ושוואים","פרופיל 4",IF($J998="2-3 סימני ניקוד","פרופיל 3",IF($J998="4-5 סימני ניקוד","פרופיל 2",IF(AND($O998="משפטים וקטעים קצרים",OR($M998="מבין",$M998="מבין לרוב")),"פרופיל 1","פרופיל 2")))))))</f>
        <v/>
      </c>
      <c r="R998" s="32">
        <f>IF($C998="","",IF(OR($Q998="",LEFT($Q998,1)="—"),"קבוצה רביעית",IF($Q998="פרופיל 5","קבוצת תשתיות",IF(OR($Q998="פרופיל 4",$Q998="פרופיל 3"),"קבוצת רכישה","קבוצת ביסוס"))))</f>
        <v/>
      </c>
      <c r="S998" s="32">
        <f>IF($F998="","",IF($F998="תחילת שנה",1,IF($F998="מחצית שנה",2,3)))</f>
        <v/>
      </c>
      <c r="T998" s="32">
        <f>IF(OR($B998="",$R998="",$A998="",$F998=""),"",$B998&amp;"|"&amp;$A998&amp;"|"&amp;$F998&amp;"|"&amp;$R998&amp;"|"&amp;COUNTIFS($B$6:$B998,$B998,$A$6:$A998,$A998,$F$6:$F998,$F998,$R$6:$R998,$R998))</f>
        <v/>
      </c>
      <c r="U998" s="32">
        <f>IF($C998="","",$C998&amp;"|"&amp;COUNTIFS($C$6:$C998,$C998))</f>
        <v/>
      </c>
      <c r="V998" s="32">
        <f>IF(OR($C998="",$A998="",$S998=""),"",$C998&amp;"|"&amp;$A998&amp;"|"&amp;$S998)</f>
        <v/>
      </c>
      <c r="W998" s="32">
        <f>IF(OR($C998="",$S998="",$S998=1),"",IFERROR(INDEX($Q$6:$Q$1505,MATCH($C998&amp;"|"&amp;$A998&amp;"|"&amp;($S998-1),$V$6:$V$1505,0)),""))</f>
        <v/>
      </c>
      <c r="X998" s="32">
        <f>IF(OR($W998="",$Q998="",LEFT($Q998,1)="—"),"",IF($W998=$Q998,"ללא שינוי","מ-"&amp;$W998&amp;" ל-"&amp;$Q998))</f>
        <v/>
      </c>
    </row>
    <row r="999" ht="15.75" customHeight="1" s="58">
      <c r="A999" s="65" t="n"/>
      <c r="B999" s="65" t="n"/>
      <c r="C999" s="66" t="n"/>
      <c r="D999" s="66" t="n"/>
      <c r="E999" s="65" t="n"/>
      <c r="F999" s="65" t="n"/>
      <c r="G999" s="65" t="n"/>
      <c r="H999" s="65" t="n"/>
      <c r="I999" s="65" t="n"/>
      <c r="J999" s="65" t="n"/>
      <c r="K999" s="65" t="n"/>
      <c r="L999" s="65" t="n"/>
      <c r="M999" s="65" t="n"/>
      <c r="N999" s="65" t="n"/>
      <c r="O999" s="65" t="n"/>
      <c r="P999" s="65" t="n"/>
      <c r="Q999" s="32">
        <f>IF($C999="","",IF($J999="","— חסרים נתונים",IF($J999="טרם מפענח","פרופיל 5",IF($J999="קמץ/פתח/חטף-פתח ושוואים","פרופיל 4",IF($J999="2-3 סימני ניקוד","פרופיל 3",IF($J999="4-5 סימני ניקוד","פרופיל 2",IF(AND($O999="משפטים וקטעים קצרים",OR($M999="מבין",$M999="מבין לרוב")),"פרופיל 1","פרופיל 2")))))))</f>
        <v/>
      </c>
      <c r="R999" s="32">
        <f>IF($C999="","",IF(OR($Q999="",LEFT($Q999,1)="—"),"קבוצה רביעית",IF($Q999="פרופיל 5","קבוצת תשתיות",IF(OR($Q999="פרופיל 4",$Q999="פרופיל 3"),"קבוצת רכישה","קבוצת ביסוס"))))</f>
        <v/>
      </c>
      <c r="S999" s="32">
        <f>IF($F999="","",IF($F999="תחילת שנה",1,IF($F999="מחצית שנה",2,3)))</f>
        <v/>
      </c>
      <c r="T999" s="32">
        <f>IF(OR($B999="",$R999="",$A999="",$F999=""),"",$B999&amp;"|"&amp;$A999&amp;"|"&amp;$F999&amp;"|"&amp;$R999&amp;"|"&amp;COUNTIFS($B$6:$B999,$B999,$A$6:$A999,$A999,$F$6:$F999,$F999,$R$6:$R999,$R999))</f>
        <v/>
      </c>
      <c r="U999" s="32">
        <f>IF($C999="","",$C999&amp;"|"&amp;COUNTIFS($C$6:$C999,$C999))</f>
        <v/>
      </c>
      <c r="V999" s="32">
        <f>IF(OR($C999="",$A999="",$S999=""),"",$C999&amp;"|"&amp;$A999&amp;"|"&amp;$S999)</f>
        <v/>
      </c>
      <c r="W999" s="32">
        <f>IF(OR($C999="",$S999="",$S999=1),"",IFERROR(INDEX($Q$6:$Q$1505,MATCH($C999&amp;"|"&amp;$A999&amp;"|"&amp;($S999-1),$V$6:$V$1505,0)),""))</f>
        <v/>
      </c>
      <c r="X999" s="32">
        <f>IF(OR($W999="",$Q999="",LEFT($Q999,1)="—"),"",IF($W999=$Q999,"ללא שינוי","מ-"&amp;$W999&amp;" ל-"&amp;$Q999))</f>
        <v/>
      </c>
    </row>
    <row r="1000" ht="15.75" customHeight="1" s="58">
      <c r="A1000" s="65" t="n"/>
      <c r="B1000" s="65" t="n"/>
      <c r="C1000" s="66" t="n"/>
      <c r="D1000" s="66" t="n"/>
      <c r="E1000" s="65" t="n"/>
      <c r="F1000" s="65" t="n"/>
      <c r="G1000" s="65" t="n"/>
      <c r="H1000" s="65" t="n"/>
      <c r="I1000" s="65" t="n"/>
      <c r="J1000" s="65" t="n"/>
      <c r="K1000" s="65" t="n"/>
      <c r="L1000" s="65" t="n"/>
      <c r="M1000" s="65" t="n"/>
      <c r="N1000" s="65" t="n"/>
      <c r="O1000" s="65" t="n"/>
      <c r="P1000" s="65" t="n"/>
      <c r="Q1000" s="32">
        <f>IF($C1000="","",IF($J1000="","— חסרים נתונים",IF($J1000="טרם מפענח","פרופיל 5",IF($J1000="קמץ/פתח/חטף-פתח ושוואים","פרופיל 4",IF($J1000="2-3 סימני ניקוד","פרופיל 3",IF($J1000="4-5 סימני ניקוד","פרופיל 2",IF(AND($O1000="משפטים וקטעים קצרים",OR($M1000="מבין",$M1000="מבין לרוב")),"פרופיל 1","פרופיל 2")))))))</f>
        <v/>
      </c>
      <c r="R1000" s="32">
        <f>IF($C1000="","",IF(OR($Q1000="",LEFT($Q1000,1)="—"),"קבוצה רביעית",IF($Q1000="פרופיל 5","קבוצת תשתיות",IF(OR($Q1000="פרופיל 4",$Q1000="פרופיל 3"),"קבוצת רכישה","קבוצת ביסוס"))))</f>
        <v/>
      </c>
      <c r="S1000" s="32">
        <f>IF($F1000="","",IF($F1000="תחילת שנה",1,IF($F1000="מחצית שנה",2,3)))</f>
        <v/>
      </c>
      <c r="T1000" s="32">
        <f>IF(OR($B1000="",$R1000="",$A1000="",$F1000=""),"",$B1000&amp;"|"&amp;$A1000&amp;"|"&amp;$F1000&amp;"|"&amp;$R1000&amp;"|"&amp;COUNTIFS($B$6:$B1000,$B1000,$A$6:$A1000,$A1000,$F$6:$F1000,$F1000,$R$6:$R1000,$R1000))</f>
        <v/>
      </c>
      <c r="U1000" s="32">
        <f>IF($C1000="","",$C1000&amp;"|"&amp;COUNTIFS($C$6:$C1000,$C1000))</f>
        <v/>
      </c>
      <c r="V1000" s="32">
        <f>IF(OR($C1000="",$A1000="",$S1000=""),"",$C1000&amp;"|"&amp;$A1000&amp;"|"&amp;$S1000)</f>
        <v/>
      </c>
      <c r="W1000" s="32">
        <f>IF(OR($C1000="",$S1000="",$S1000=1),"",IFERROR(INDEX($Q$6:$Q$1505,MATCH($C1000&amp;"|"&amp;$A1000&amp;"|"&amp;($S1000-1),$V$6:$V$1505,0)),""))</f>
        <v/>
      </c>
      <c r="X1000" s="32">
        <f>IF(OR($W1000="",$Q1000="",LEFT($Q1000,1)="—"),"",IF($W1000=$Q1000,"ללא שינוי","מ-"&amp;$W1000&amp;" ל-"&amp;$Q1000))</f>
        <v/>
      </c>
    </row>
    <row r="1001">
      <c r="A1001" s="65" t="n"/>
      <c r="B1001" s="65" t="n"/>
      <c r="C1001" s="66" t="n"/>
      <c r="D1001" s="66" t="n"/>
      <c r="E1001" s="65" t="n"/>
      <c r="F1001" s="65" t="n"/>
      <c r="G1001" s="65" t="n"/>
      <c r="H1001" s="65" t="n"/>
      <c r="I1001" s="65" t="n"/>
      <c r="J1001" s="65" t="n"/>
      <c r="K1001" s="65" t="n"/>
      <c r="L1001" s="65" t="n"/>
      <c r="M1001" s="65" t="n"/>
      <c r="N1001" s="65" t="n"/>
      <c r="O1001" s="65" t="n"/>
      <c r="P1001" s="65" t="n"/>
      <c r="Q1001" s="32">
        <f>IF($C1001="","",IF($J1001="","— חסרים נתונים",IF($J1001="טרם מפענח","פרופיל 5",IF($J1001="קמץ/פתח/חטף-פתח ושוואים","פרופיל 4",IF($J1001="2-3 סימני ניקוד","פרופיל 3",IF($J1001="4-5 סימני ניקוד","פרופיל 2",IF(AND($O1001="משפטים וקטעים קצרים",OR($M1001="מבין",$M1001="מבין לרוב")),"פרופיל 1","פרופיל 2")))))))</f>
        <v/>
      </c>
      <c r="R1001" s="32">
        <f>IF($C1001="","",IF(OR($Q1001="",LEFT($Q1001,1)="—"),"קבוצה רביעית",IF($Q1001="פרופיל 5","קבוצת תשתיות",IF(OR($Q1001="פרופיל 4",$Q1001="פרופיל 3"),"קבוצת רכישה","קבוצת ביסוס"))))</f>
        <v/>
      </c>
      <c r="S1001" s="32">
        <f>IF($F1001="","",IF($F1001="תחילת שנה",1,IF($F1001="מחצית שנה",2,3)))</f>
        <v/>
      </c>
      <c r="T1001" s="32">
        <f>IF(OR($B1001="",$R1001="",$A1001="",$F1001=""),"",$B1001&amp;"|"&amp;$A1001&amp;"|"&amp;$F1001&amp;"|"&amp;$R1001&amp;"|"&amp;COUNTIFS($B$6:$B1001,$B1001,$A$6:$A1001,$A1001,$F$6:$F1001,$F1001,$R$6:$R1001,$R1001))</f>
        <v/>
      </c>
      <c r="U1001" s="32">
        <f>IF($C1001="","",$C1001&amp;"|"&amp;COUNTIFS($C$6:$C1001,$C1001))</f>
        <v/>
      </c>
      <c r="V1001" s="32">
        <f>IF(OR($C1001="",$A1001="",$S1001=""),"",$C1001&amp;"|"&amp;$A1001&amp;"|"&amp;$S1001)</f>
        <v/>
      </c>
      <c r="W1001" s="32">
        <f>IF(OR($C1001="",$S1001="",$S1001=1),"",IFERROR(INDEX($Q$6:$Q$1505,MATCH($C1001&amp;"|"&amp;$A1001&amp;"|"&amp;($S1001-1),$V$6:$V$1505,0)),""))</f>
        <v/>
      </c>
      <c r="X1001" s="32">
        <f>IF(OR($W1001="",$Q1001="",LEFT($Q1001,1)="—"),"",IF($W1001=$Q1001,"ללא שינוי","מ-"&amp;$W1001&amp;" ל-"&amp;$Q1001))</f>
        <v/>
      </c>
    </row>
    <row r="1002">
      <c r="A1002" s="65" t="n"/>
      <c r="B1002" s="65" t="n"/>
      <c r="C1002" s="66" t="n"/>
      <c r="D1002" s="66" t="n"/>
      <c r="E1002" s="65" t="n"/>
      <c r="F1002" s="65" t="n"/>
      <c r="G1002" s="65" t="n"/>
      <c r="H1002" s="65" t="n"/>
      <c r="I1002" s="65" t="n"/>
      <c r="J1002" s="65" t="n"/>
      <c r="K1002" s="65" t="n"/>
      <c r="L1002" s="65" t="n"/>
      <c r="M1002" s="65" t="n"/>
      <c r="N1002" s="65" t="n"/>
      <c r="O1002" s="65" t="n"/>
      <c r="P1002" s="65" t="n"/>
      <c r="Q1002" s="32">
        <f>IF($C1002="","",IF($J1002="","— חסרים נתונים",IF($J1002="טרם מפענח","פרופיל 5",IF($J1002="קמץ/פתח/חטף-פתח ושוואים","פרופיל 4",IF($J1002="2-3 סימני ניקוד","פרופיל 3",IF($J1002="4-5 סימני ניקוד","פרופיל 2",IF(AND($O1002="משפטים וקטעים קצרים",OR($M1002="מבין",$M1002="מבין לרוב")),"פרופיל 1","פרופיל 2")))))))</f>
        <v/>
      </c>
      <c r="R1002" s="32">
        <f>IF($C1002="","",IF(OR($Q1002="",LEFT($Q1002,1)="—"),"קבוצה רביעית",IF($Q1002="פרופיל 5","קבוצת תשתיות",IF(OR($Q1002="פרופיל 4",$Q1002="פרופיל 3"),"קבוצת רכישה","קבוצת ביסוס"))))</f>
        <v/>
      </c>
      <c r="S1002" s="32">
        <f>IF($F1002="","",IF($F1002="תחילת שנה",1,IF($F1002="מחצית שנה",2,3)))</f>
        <v/>
      </c>
      <c r="T1002" s="32">
        <f>IF(OR($B1002="",$R1002="",$A1002="",$F1002=""),"",$B1002&amp;"|"&amp;$A1002&amp;"|"&amp;$F1002&amp;"|"&amp;$R1002&amp;"|"&amp;COUNTIFS($B$6:$B1002,$B1002,$A$6:$A1002,$A1002,$F$6:$F1002,$F1002,$R$6:$R1002,$R1002))</f>
        <v/>
      </c>
      <c r="U1002" s="32">
        <f>IF($C1002="","",$C1002&amp;"|"&amp;COUNTIFS($C$6:$C1002,$C1002))</f>
        <v/>
      </c>
      <c r="V1002" s="32">
        <f>IF(OR($C1002="",$A1002="",$S1002=""),"",$C1002&amp;"|"&amp;$A1002&amp;"|"&amp;$S1002)</f>
        <v/>
      </c>
      <c r="W1002" s="32">
        <f>IF(OR($C1002="",$S1002="",$S1002=1),"",IFERROR(INDEX($Q$6:$Q$1505,MATCH($C1002&amp;"|"&amp;$A1002&amp;"|"&amp;($S1002-1),$V$6:$V$1505,0)),""))</f>
        <v/>
      </c>
      <c r="X1002" s="32">
        <f>IF(OR($W1002="",$Q1002="",LEFT($Q1002,1)="—"),"",IF($W1002=$Q1002,"ללא שינוי","מ-"&amp;$W1002&amp;" ל-"&amp;$Q1002))</f>
        <v/>
      </c>
    </row>
    <row r="1003">
      <c r="A1003" s="65" t="n"/>
      <c r="B1003" s="65" t="n"/>
      <c r="C1003" s="66" t="n"/>
      <c r="D1003" s="66" t="n"/>
      <c r="E1003" s="65" t="n"/>
      <c r="F1003" s="65" t="n"/>
      <c r="G1003" s="65" t="n"/>
      <c r="H1003" s="65" t="n"/>
      <c r="I1003" s="65" t="n"/>
      <c r="J1003" s="65" t="n"/>
      <c r="K1003" s="65" t="n"/>
      <c r="L1003" s="65" t="n"/>
      <c r="M1003" s="65" t="n"/>
      <c r="N1003" s="65" t="n"/>
      <c r="O1003" s="65" t="n"/>
      <c r="P1003" s="65" t="n"/>
      <c r="Q1003" s="32">
        <f>IF($C1003="","",IF($J1003="","— חסרים נתונים",IF($J1003="טרם מפענח","פרופיל 5",IF($J1003="קמץ/פתח/חטף-פתח ושוואים","פרופיל 4",IF($J1003="2-3 סימני ניקוד","פרופיל 3",IF($J1003="4-5 סימני ניקוד","פרופיל 2",IF(AND($O1003="משפטים וקטעים קצרים",OR($M1003="מבין",$M1003="מבין לרוב")),"פרופיל 1","פרופיל 2")))))))</f>
        <v/>
      </c>
      <c r="R1003" s="32">
        <f>IF($C1003="","",IF(OR($Q1003="",LEFT($Q1003,1)="—"),"קבוצה רביעית",IF($Q1003="פרופיל 5","קבוצת תשתיות",IF(OR($Q1003="פרופיל 4",$Q1003="פרופיל 3"),"קבוצת רכישה","קבוצת ביסוס"))))</f>
        <v/>
      </c>
      <c r="S1003" s="32">
        <f>IF($F1003="","",IF($F1003="תחילת שנה",1,IF($F1003="מחצית שנה",2,3)))</f>
        <v/>
      </c>
      <c r="T1003" s="32">
        <f>IF(OR($B1003="",$R1003="",$A1003="",$F1003=""),"",$B1003&amp;"|"&amp;$A1003&amp;"|"&amp;$F1003&amp;"|"&amp;$R1003&amp;"|"&amp;COUNTIFS($B$6:$B1003,$B1003,$A$6:$A1003,$A1003,$F$6:$F1003,$F1003,$R$6:$R1003,$R1003))</f>
        <v/>
      </c>
      <c r="U1003" s="32">
        <f>IF($C1003="","",$C1003&amp;"|"&amp;COUNTIFS($C$6:$C1003,$C1003))</f>
        <v/>
      </c>
      <c r="V1003" s="32">
        <f>IF(OR($C1003="",$A1003="",$S1003=""),"",$C1003&amp;"|"&amp;$A1003&amp;"|"&amp;$S1003)</f>
        <v/>
      </c>
      <c r="W1003" s="32">
        <f>IF(OR($C1003="",$S1003="",$S1003=1),"",IFERROR(INDEX($Q$6:$Q$1505,MATCH($C1003&amp;"|"&amp;$A1003&amp;"|"&amp;($S1003-1),$V$6:$V$1505,0)),""))</f>
        <v/>
      </c>
      <c r="X1003" s="32">
        <f>IF(OR($W1003="",$Q1003="",LEFT($Q1003,1)="—"),"",IF($W1003=$Q1003,"ללא שינוי","מ-"&amp;$W1003&amp;" ל-"&amp;$Q1003))</f>
        <v/>
      </c>
    </row>
    <row r="1004">
      <c r="A1004" s="65" t="n"/>
      <c r="B1004" s="65" t="n"/>
      <c r="C1004" s="66" t="n"/>
      <c r="D1004" s="66" t="n"/>
      <c r="E1004" s="65" t="n"/>
      <c r="F1004" s="65" t="n"/>
      <c r="G1004" s="65" t="n"/>
      <c r="H1004" s="65" t="n"/>
      <c r="I1004" s="65" t="n"/>
      <c r="J1004" s="65" t="n"/>
      <c r="K1004" s="65" t="n"/>
      <c r="L1004" s="65" t="n"/>
      <c r="M1004" s="65" t="n"/>
      <c r="N1004" s="65" t="n"/>
      <c r="O1004" s="65" t="n"/>
      <c r="P1004" s="65" t="n"/>
      <c r="Q1004" s="32">
        <f>IF($C1004="","",IF($J1004="","— חסרים נתונים",IF($J1004="טרם מפענח","פרופיל 5",IF($J1004="קמץ/פתח/חטף-פתח ושוואים","פרופיל 4",IF($J1004="2-3 סימני ניקוד","פרופיל 3",IF($J1004="4-5 סימני ניקוד","פרופיל 2",IF(AND($O1004="משפטים וקטעים קצרים",OR($M1004="מבין",$M1004="מבין לרוב")),"פרופיל 1","פרופיל 2")))))))</f>
        <v/>
      </c>
      <c r="R1004" s="32">
        <f>IF($C1004="","",IF(OR($Q1004="",LEFT($Q1004,1)="—"),"קבוצה רביעית",IF($Q1004="פרופיל 5","קבוצת תשתיות",IF(OR($Q1004="פרופיל 4",$Q1004="פרופיל 3"),"קבוצת רכישה","קבוצת ביסוס"))))</f>
        <v/>
      </c>
      <c r="S1004" s="32">
        <f>IF($F1004="","",IF($F1004="תחילת שנה",1,IF($F1004="מחצית שנה",2,3)))</f>
        <v/>
      </c>
      <c r="T1004" s="32">
        <f>IF(OR($B1004="",$R1004="",$A1004="",$F1004=""),"",$B1004&amp;"|"&amp;$A1004&amp;"|"&amp;$F1004&amp;"|"&amp;$R1004&amp;"|"&amp;COUNTIFS($B$6:$B1004,$B1004,$A$6:$A1004,$A1004,$F$6:$F1004,$F1004,$R$6:$R1004,$R1004))</f>
        <v/>
      </c>
      <c r="U1004" s="32">
        <f>IF($C1004="","",$C1004&amp;"|"&amp;COUNTIFS($C$6:$C1004,$C1004))</f>
        <v/>
      </c>
      <c r="V1004" s="32">
        <f>IF(OR($C1004="",$A1004="",$S1004=""),"",$C1004&amp;"|"&amp;$A1004&amp;"|"&amp;$S1004)</f>
        <v/>
      </c>
      <c r="W1004" s="32">
        <f>IF(OR($C1004="",$S1004="",$S1004=1),"",IFERROR(INDEX($Q$6:$Q$1505,MATCH($C1004&amp;"|"&amp;$A1004&amp;"|"&amp;($S1004-1),$V$6:$V$1505,0)),""))</f>
        <v/>
      </c>
      <c r="X1004" s="32">
        <f>IF(OR($W1004="",$Q1004="",LEFT($Q1004,1)="—"),"",IF($W1004=$Q1004,"ללא שינוי","מ-"&amp;$W1004&amp;" ל-"&amp;$Q1004))</f>
        <v/>
      </c>
    </row>
    <row r="1005">
      <c r="A1005" s="65" t="n"/>
      <c r="B1005" s="65" t="n"/>
      <c r="C1005" s="66" t="n"/>
      <c r="D1005" s="66" t="n"/>
      <c r="E1005" s="65" t="n"/>
      <c r="F1005" s="65" t="n"/>
      <c r="G1005" s="65" t="n"/>
      <c r="H1005" s="65" t="n"/>
      <c r="I1005" s="65" t="n"/>
      <c r="J1005" s="65" t="n"/>
      <c r="K1005" s="65" t="n"/>
      <c r="L1005" s="65" t="n"/>
      <c r="M1005" s="65" t="n"/>
      <c r="N1005" s="65" t="n"/>
      <c r="O1005" s="65" t="n"/>
      <c r="P1005" s="65" t="n"/>
      <c r="Q1005" s="32">
        <f>IF($C1005="","",IF($J1005="","— חסרים נתונים",IF($J1005="טרם מפענח","פרופיל 5",IF($J1005="קמץ/פתח/חטף-פתח ושוואים","פרופיל 4",IF($J1005="2-3 סימני ניקוד","פרופיל 3",IF($J1005="4-5 סימני ניקוד","פרופיל 2",IF(AND($O1005="משפטים וקטעים קצרים",OR($M1005="מבין",$M1005="מבין לרוב")),"פרופיל 1","פרופיל 2")))))))</f>
        <v/>
      </c>
      <c r="R1005" s="32">
        <f>IF($C1005="","",IF(OR($Q1005="",LEFT($Q1005,1)="—"),"קבוצה רביעית",IF($Q1005="פרופיל 5","קבוצת תשתיות",IF(OR($Q1005="פרופיל 4",$Q1005="פרופיל 3"),"קבוצת רכישה","קבוצת ביסוס"))))</f>
        <v/>
      </c>
      <c r="S1005" s="32">
        <f>IF($F1005="","",IF($F1005="תחילת שנה",1,IF($F1005="מחצית שנה",2,3)))</f>
        <v/>
      </c>
      <c r="T1005" s="32">
        <f>IF(OR($B1005="",$R1005="",$A1005="",$F1005=""),"",$B1005&amp;"|"&amp;$A1005&amp;"|"&amp;$F1005&amp;"|"&amp;$R1005&amp;"|"&amp;COUNTIFS($B$6:$B1005,$B1005,$A$6:$A1005,$A1005,$F$6:$F1005,$F1005,$R$6:$R1005,$R1005))</f>
        <v/>
      </c>
      <c r="U1005" s="32">
        <f>IF($C1005="","",$C1005&amp;"|"&amp;COUNTIFS($C$6:$C1005,$C1005))</f>
        <v/>
      </c>
      <c r="V1005" s="32">
        <f>IF(OR($C1005="",$A1005="",$S1005=""),"",$C1005&amp;"|"&amp;$A1005&amp;"|"&amp;$S1005)</f>
        <v/>
      </c>
      <c r="W1005" s="32">
        <f>IF(OR($C1005="",$S1005="",$S1005=1),"",IFERROR(INDEX($Q$6:$Q$1505,MATCH($C1005&amp;"|"&amp;$A1005&amp;"|"&amp;($S1005-1),$V$6:$V$1505,0)),""))</f>
        <v/>
      </c>
      <c r="X1005" s="32">
        <f>IF(OR($W1005="",$Q1005="",LEFT($Q1005,1)="—"),"",IF($W1005=$Q1005,"ללא שינוי","מ-"&amp;$W1005&amp;" ל-"&amp;$Q1005))</f>
        <v/>
      </c>
    </row>
    <row r="1006">
      <c r="A1006" s="65" t="n"/>
      <c r="B1006" s="65" t="n"/>
      <c r="C1006" s="66" t="n"/>
      <c r="D1006" s="66" t="n"/>
      <c r="E1006" s="65" t="n"/>
      <c r="F1006" s="65" t="n"/>
      <c r="G1006" s="65" t="n"/>
      <c r="H1006" s="65" t="n"/>
      <c r="I1006" s="65" t="n"/>
      <c r="J1006" s="65" t="n"/>
      <c r="K1006" s="65" t="n"/>
      <c r="L1006" s="65" t="n"/>
      <c r="M1006" s="65" t="n"/>
      <c r="N1006" s="65" t="n"/>
      <c r="O1006" s="65" t="n"/>
      <c r="P1006" s="65" t="n"/>
      <c r="Q1006" s="32">
        <f>IF($C1006="","",IF($J1006="","— חסרים נתונים",IF($J1006="טרם מפענח","פרופיל 5",IF($J1006="קמץ/פתח/חטף-פתח ושוואים","פרופיל 4",IF($J1006="2-3 סימני ניקוד","פרופיל 3",IF($J1006="4-5 סימני ניקוד","פרופיל 2",IF(AND($O1006="משפטים וקטעים קצרים",OR($M1006="מבין",$M1006="מבין לרוב")),"פרופיל 1","פרופיל 2")))))))</f>
        <v/>
      </c>
      <c r="R1006" s="32">
        <f>IF($C1006="","",IF(OR($Q1006="",LEFT($Q1006,1)="—"),"קבוצה רביעית",IF($Q1006="פרופיל 5","קבוצת תשתיות",IF(OR($Q1006="פרופיל 4",$Q1006="פרופיל 3"),"קבוצת רכישה","קבוצת ביסוס"))))</f>
        <v/>
      </c>
      <c r="S1006" s="32">
        <f>IF($F1006="","",IF($F1006="תחילת שנה",1,IF($F1006="מחצית שנה",2,3)))</f>
        <v/>
      </c>
      <c r="T1006" s="32">
        <f>IF(OR($B1006="",$R1006="",$A1006="",$F1006=""),"",$B1006&amp;"|"&amp;$A1006&amp;"|"&amp;$F1006&amp;"|"&amp;$R1006&amp;"|"&amp;COUNTIFS($B$6:$B1006,$B1006,$A$6:$A1006,$A1006,$F$6:$F1006,$F1006,$R$6:$R1006,$R1006))</f>
        <v/>
      </c>
      <c r="U1006" s="32">
        <f>IF($C1006="","",$C1006&amp;"|"&amp;COUNTIFS($C$6:$C1006,$C1006))</f>
        <v/>
      </c>
      <c r="V1006" s="32">
        <f>IF(OR($C1006="",$A1006="",$S1006=""),"",$C1006&amp;"|"&amp;$A1006&amp;"|"&amp;$S1006)</f>
        <v/>
      </c>
      <c r="W1006" s="32">
        <f>IF(OR($C1006="",$S1006="",$S1006=1),"",IFERROR(INDEX($Q$6:$Q$1505,MATCH($C1006&amp;"|"&amp;$A1006&amp;"|"&amp;($S1006-1),$V$6:$V$1505,0)),""))</f>
        <v/>
      </c>
      <c r="X1006" s="32">
        <f>IF(OR($W1006="",$Q1006="",LEFT($Q1006,1)="—"),"",IF($W1006=$Q1006,"ללא שינוי","מ-"&amp;$W1006&amp;" ל-"&amp;$Q1006))</f>
        <v/>
      </c>
    </row>
    <row r="1007">
      <c r="A1007" s="65" t="n"/>
      <c r="B1007" s="65" t="n"/>
      <c r="C1007" s="66" t="n"/>
      <c r="D1007" s="66" t="n"/>
      <c r="E1007" s="65" t="n"/>
      <c r="F1007" s="65" t="n"/>
      <c r="G1007" s="65" t="n"/>
      <c r="H1007" s="65" t="n"/>
      <c r="I1007" s="65" t="n"/>
      <c r="J1007" s="65" t="n"/>
      <c r="K1007" s="65" t="n"/>
      <c r="L1007" s="65" t="n"/>
      <c r="M1007" s="65" t="n"/>
      <c r="N1007" s="65" t="n"/>
      <c r="O1007" s="65" t="n"/>
      <c r="P1007" s="65" t="n"/>
      <c r="Q1007" s="32">
        <f>IF($C1007="","",IF($J1007="","— חסרים נתונים",IF($J1007="טרם מפענח","פרופיל 5",IF($J1007="קמץ/פתח/חטף-פתח ושוואים","פרופיל 4",IF($J1007="2-3 סימני ניקוד","פרופיל 3",IF($J1007="4-5 סימני ניקוד","פרופיל 2",IF(AND($O1007="משפטים וקטעים קצרים",OR($M1007="מבין",$M1007="מבין לרוב")),"פרופיל 1","פרופיל 2")))))))</f>
        <v/>
      </c>
      <c r="R1007" s="32">
        <f>IF($C1007="","",IF(OR($Q1007="",LEFT($Q1007,1)="—"),"קבוצה רביעית",IF($Q1007="פרופיל 5","קבוצת תשתיות",IF(OR($Q1007="פרופיל 4",$Q1007="פרופיל 3"),"קבוצת רכישה","קבוצת ביסוס"))))</f>
        <v/>
      </c>
      <c r="S1007" s="32">
        <f>IF($F1007="","",IF($F1007="תחילת שנה",1,IF($F1007="מחצית שנה",2,3)))</f>
        <v/>
      </c>
      <c r="T1007" s="32">
        <f>IF(OR($B1007="",$R1007="",$A1007="",$F1007=""),"",$B1007&amp;"|"&amp;$A1007&amp;"|"&amp;$F1007&amp;"|"&amp;$R1007&amp;"|"&amp;COUNTIFS($B$6:$B1007,$B1007,$A$6:$A1007,$A1007,$F$6:$F1007,$F1007,$R$6:$R1007,$R1007))</f>
        <v/>
      </c>
      <c r="U1007" s="32">
        <f>IF($C1007="","",$C1007&amp;"|"&amp;COUNTIFS($C$6:$C1007,$C1007))</f>
        <v/>
      </c>
      <c r="V1007" s="32">
        <f>IF(OR($C1007="",$A1007="",$S1007=""),"",$C1007&amp;"|"&amp;$A1007&amp;"|"&amp;$S1007)</f>
        <v/>
      </c>
      <c r="W1007" s="32">
        <f>IF(OR($C1007="",$S1007="",$S1007=1),"",IFERROR(INDEX($Q$6:$Q$1505,MATCH($C1007&amp;"|"&amp;$A1007&amp;"|"&amp;($S1007-1),$V$6:$V$1505,0)),""))</f>
        <v/>
      </c>
      <c r="X1007" s="32">
        <f>IF(OR($W1007="",$Q1007="",LEFT($Q1007,1)="—"),"",IF($W1007=$Q1007,"ללא שינוי","מ-"&amp;$W1007&amp;" ל-"&amp;$Q1007))</f>
        <v/>
      </c>
    </row>
    <row r="1008">
      <c r="A1008" s="65" t="n"/>
      <c r="B1008" s="65" t="n"/>
      <c r="C1008" s="66" t="n"/>
      <c r="D1008" s="66" t="n"/>
      <c r="E1008" s="65" t="n"/>
      <c r="F1008" s="65" t="n"/>
      <c r="G1008" s="65" t="n"/>
      <c r="H1008" s="65" t="n"/>
      <c r="I1008" s="65" t="n"/>
      <c r="J1008" s="65" t="n"/>
      <c r="K1008" s="65" t="n"/>
      <c r="L1008" s="65" t="n"/>
      <c r="M1008" s="65" t="n"/>
      <c r="N1008" s="65" t="n"/>
      <c r="O1008" s="65" t="n"/>
      <c r="P1008" s="65" t="n"/>
      <c r="Q1008" s="32">
        <f>IF($C1008="","",IF($J1008="","— חסרים נתונים",IF($J1008="טרם מפענח","פרופיל 5",IF($J1008="קמץ/פתח/חטף-פתח ושוואים","פרופיל 4",IF($J1008="2-3 סימני ניקוד","פרופיל 3",IF($J1008="4-5 סימני ניקוד","פרופיל 2",IF(AND($O1008="משפטים וקטעים קצרים",OR($M1008="מבין",$M1008="מבין לרוב")),"פרופיל 1","פרופיל 2")))))))</f>
        <v/>
      </c>
      <c r="R1008" s="32">
        <f>IF($C1008="","",IF(OR($Q1008="",LEFT($Q1008,1)="—"),"קבוצה רביעית",IF($Q1008="פרופיל 5","קבוצת תשתיות",IF(OR($Q1008="פרופיל 4",$Q1008="פרופיל 3"),"קבוצת רכישה","קבוצת ביסוס"))))</f>
        <v/>
      </c>
      <c r="S1008" s="32">
        <f>IF($F1008="","",IF($F1008="תחילת שנה",1,IF($F1008="מחצית שנה",2,3)))</f>
        <v/>
      </c>
      <c r="T1008" s="32">
        <f>IF(OR($B1008="",$R1008="",$A1008="",$F1008=""),"",$B1008&amp;"|"&amp;$A1008&amp;"|"&amp;$F1008&amp;"|"&amp;$R1008&amp;"|"&amp;COUNTIFS($B$6:$B1008,$B1008,$A$6:$A1008,$A1008,$F$6:$F1008,$F1008,$R$6:$R1008,$R1008))</f>
        <v/>
      </c>
      <c r="U1008" s="32">
        <f>IF($C1008="","",$C1008&amp;"|"&amp;COUNTIFS($C$6:$C1008,$C1008))</f>
        <v/>
      </c>
      <c r="V1008" s="32">
        <f>IF(OR($C1008="",$A1008="",$S1008=""),"",$C1008&amp;"|"&amp;$A1008&amp;"|"&amp;$S1008)</f>
        <v/>
      </c>
      <c r="W1008" s="32">
        <f>IF(OR($C1008="",$S1008="",$S1008=1),"",IFERROR(INDEX($Q$6:$Q$1505,MATCH($C1008&amp;"|"&amp;$A1008&amp;"|"&amp;($S1008-1),$V$6:$V$1505,0)),""))</f>
        <v/>
      </c>
      <c r="X1008" s="32">
        <f>IF(OR($W1008="",$Q1008="",LEFT($Q1008,1)="—"),"",IF($W1008=$Q1008,"ללא שינוי","מ-"&amp;$W1008&amp;" ל-"&amp;$Q1008))</f>
        <v/>
      </c>
    </row>
    <row r="1009">
      <c r="A1009" s="65" t="n"/>
      <c r="B1009" s="65" t="n"/>
      <c r="C1009" s="66" t="n"/>
      <c r="D1009" s="66" t="n"/>
      <c r="E1009" s="65" t="n"/>
      <c r="F1009" s="65" t="n"/>
      <c r="G1009" s="65" t="n"/>
      <c r="H1009" s="65" t="n"/>
      <c r="I1009" s="65" t="n"/>
      <c r="J1009" s="65" t="n"/>
      <c r="K1009" s="65" t="n"/>
      <c r="L1009" s="65" t="n"/>
      <c r="M1009" s="65" t="n"/>
      <c r="N1009" s="65" t="n"/>
      <c r="O1009" s="65" t="n"/>
      <c r="P1009" s="65" t="n"/>
      <c r="Q1009" s="32">
        <f>IF($C1009="","",IF($J1009="","— חסרים נתונים",IF($J1009="טרם מפענח","פרופיל 5",IF($J1009="קמץ/פתח/חטף-פתח ושוואים","פרופיל 4",IF($J1009="2-3 סימני ניקוד","פרופיל 3",IF($J1009="4-5 סימני ניקוד","פרופיל 2",IF(AND($O1009="משפטים וקטעים קצרים",OR($M1009="מבין",$M1009="מבין לרוב")),"פרופיל 1","פרופיל 2")))))))</f>
        <v/>
      </c>
      <c r="R1009" s="32">
        <f>IF($C1009="","",IF(OR($Q1009="",LEFT($Q1009,1)="—"),"קבוצה רביעית",IF($Q1009="פרופיל 5","קבוצת תשתיות",IF(OR($Q1009="פרופיל 4",$Q1009="פרופיל 3"),"קבוצת רכישה","קבוצת ביסוס"))))</f>
        <v/>
      </c>
      <c r="S1009" s="32">
        <f>IF($F1009="","",IF($F1009="תחילת שנה",1,IF($F1009="מחצית שנה",2,3)))</f>
        <v/>
      </c>
      <c r="T1009" s="32">
        <f>IF(OR($B1009="",$R1009="",$A1009="",$F1009=""),"",$B1009&amp;"|"&amp;$A1009&amp;"|"&amp;$F1009&amp;"|"&amp;$R1009&amp;"|"&amp;COUNTIFS($B$6:$B1009,$B1009,$A$6:$A1009,$A1009,$F$6:$F1009,$F1009,$R$6:$R1009,$R1009))</f>
        <v/>
      </c>
      <c r="U1009" s="32">
        <f>IF($C1009="","",$C1009&amp;"|"&amp;COUNTIFS($C$6:$C1009,$C1009))</f>
        <v/>
      </c>
      <c r="V1009" s="32">
        <f>IF(OR($C1009="",$A1009="",$S1009=""),"",$C1009&amp;"|"&amp;$A1009&amp;"|"&amp;$S1009)</f>
        <v/>
      </c>
      <c r="W1009" s="32">
        <f>IF(OR($C1009="",$S1009="",$S1009=1),"",IFERROR(INDEX($Q$6:$Q$1505,MATCH($C1009&amp;"|"&amp;$A1009&amp;"|"&amp;($S1009-1),$V$6:$V$1505,0)),""))</f>
        <v/>
      </c>
      <c r="X1009" s="32">
        <f>IF(OR($W1009="",$Q1009="",LEFT($Q1009,1)="—"),"",IF($W1009=$Q1009,"ללא שינוי","מ-"&amp;$W1009&amp;" ל-"&amp;$Q1009))</f>
        <v/>
      </c>
    </row>
    <row r="1010">
      <c r="A1010" s="65" t="n"/>
      <c r="B1010" s="65" t="n"/>
      <c r="C1010" s="66" t="n"/>
      <c r="D1010" s="66" t="n"/>
      <c r="E1010" s="65" t="n"/>
      <c r="F1010" s="65" t="n"/>
      <c r="G1010" s="65" t="n"/>
      <c r="H1010" s="65" t="n"/>
      <c r="I1010" s="65" t="n"/>
      <c r="J1010" s="65" t="n"/>
      <c r="K1010" s="65" t="n"/>
      <c r="L1010" s="65" t="n"/>
      <c r="M1010" s="65" t="n"/>
      <c r="N1010" s="65" t="n"/>
      <c r="O1010" s="65" t="n"/>
      <c r="P1010" s="65" t="n"/>
      <c r="Q1010" s="32">
        <f>IF($C1010="","",IF($J1010="","— חסרים נתונים",IF($J1010="טרם מפענח","פרופיל 5",IF($J1010="קמץ/פתח/חטף-פתח ושוואים","פרופיל 4",IF($J1010="2-3 סימני ניקוד","פרופיל 3",IF($J1010="4-5 סימני ניקוד","פרופיל 2",IF(AND($O1010="משפטים וקטעים קצרים",OR($M1010="מבין",$M1010="מבין לרוב")),"פרופיל 1","פרופיל 2")))))))</f>
        <v/>
      </c>
      <c r="R1010" s="32">
        <f>IF($C1010="","",IF(OR($Q1010="",LEFT($Q1010,1)="—"),"קבוצה רביעית",IF($Q1010="פרופיל 5","קבוצת תשתיות",IF(OR($Q1010="פרופיל 4",$Q1010="פרופיל 3"),"קבוצת רכישה","קבוצת ביסוס"))))</f>
        <v/>
      </c>
      <c r="S1010" s="32">
        <f>IF($F1010="","",IF($F1010="תחילת שנה",1,IF($F1010="מחצית שנה",2,3)))</f>
        <v/>
      </c>
      <c r="T1010" s="32">
        <f>IF(OR($B1010="",$R1010="",$A1010="",$F1010=""),"",$B1010&amp;"|"&amp;$A1010&amp;"|"&amp;$F1010&amp;"|"&amp;$R1010&amp;"|"&amp;COUNTIFS($B$6:$B1010,$B1010,$A$6:$A1010,$A1010,$F$6:$F1010,$F1010,$R$6:$R1010,$R1010))</f>
        <v/>
      </c>
      <c r="U1010" s="32">
        <f>IF($C1010="","",$C1010&amp;"|"&amp;COUNTIFS($C$6:$C1010,$C1010))</f>
        <v/>
      </c>
      <c r="V1010" s="32">
        <f>IF(OR($C1010="",$A1010="",$S1010=""),"",$C1010&amp;"|"&amp;$A1010&amp;"|"&amp;$S1010)</f>
        <v/>
      </c>
      <c r="W1010" s="32">
        <f>IF(OR($C1010="",$S1010="",$S1010=1),"",IFERROR(INDEX($Q$6:$Q$1505,MATCH($C1010&amp;"|"&amp;$A1010&amp;"|"&amp;($S1010-1),$V$6:$V$1505,0)),""))</f>
        <v/>
      </c>
      <c r="X1010" s="32">
        <f>IF(OR($W1010="",$Q1010="",LEFT($Q1010,1)="—"),"",IF($W1010=$Q1010,"ללא שינוי","מ-"&amp;$W1010&amp;" ל-"&amp;$Q1010))</f>
        <v/>
      </c>
    </row>
    <row r="1011">
      <c r="A1011" s="65" t="n"/>
      <c r="B1011" s="65" t="n"/>
      <c r="C1011" s="66" t="n"/>
      <c r="D1011" s="66" t="n"/>
      <c r="E1011" s="65" t="n"/>
      <c r="F1011" s="65" t="n"/>
      <c r="G1011" s="65" t="n"/>
      <c r="H1011" s="65" t="n"/>
      <c r="I1011" s="65" t="n"/>
      <c r="J1011" s="65" t="n"/>
      <c r="K1011" s="65" t="n"/>
      <c r="L1011" s="65" t="n"/>
      <c r="M1011" s="65" t="n"/>
      <c r="N1011" s="65" t="n"/>
      <c r="O1011" s="65" t="n"/>
      <c r="P1011" s="65" t="n"/>
      <c r="Q1011" s="32">
        <f>IF($C1011="","",IF($J1011="","— חסרים נתונים",IF($J1011="טרם מפענח","פרופיל 5",IF($J1011="קמץ/פתח/חטף-פתח ושוואים","פרופיל 4",IF($J1011="2-3 סימני ניקוד","פרופיל 3",IF($J1011="4-5 סימני ניקוד","פרופיל 2",IF(AND($O1011="משפטים וקטעים קצרים",OR($M1011="מבין",$M1011="מבין לרוב")),"פרופיל 1","פרופיל 2")))))))</f>
        <v/>
      </c>
      <c r="R1011" s="32">
        <f>IF($C1011="","",IF(OR($Q1011="",LEFT($Q1011,1)="—"),"קבוצה רביעית",IF($Q1011="פרופיל 5","קבוצת תשתיות",IF(OR($Q1011="פרופיל 4",$Q1011="פרופיל 3"),"קבוצת רכישה","קבוצת ביסוס"))))</f>
        <v/>
      </c>
      <c r="S1011" s="32">
        <f>IF($F1011="","",IF($F1011="תחילת שנה",1,IF($F1011="מחצית שנה",2,3)))</f>
        <v/>
      </c>
      <c r="T1011" s="32">
        <f>IF(OR($B1011="",$R1011="",$A1011="",$F1011=""),"",$B1011&amp;"|"&amp;$A1011&amp;"|"&amp;$F1011&amp;"|"&amp;$R1011&amp;"|"&amp;COUNTIFS($B$6:$B1011,$B1011,$A$6:$A1011,$A1011,$F$6:$F1011,$F1011,$R$6:$R1011,$R1011))</f>
        <v/>
      </c>
      <c r="U1011" s="32">
        <f>IF($C1011="","",$C1011&amp;"|"&amp;COUNTIFS($C$6:$C1011,$C1011))</f>
        <v/>
      </c>
      <c r="V1011" s="32">
        <f>IF(OR($C1011="",$A1011="",$S1011=""),"",$C1011&amp;"|"&amp;$A1011&amp;"|"&amp;$S1011)</f>
        <v/>
      </c>
      <c r="W1011" s="32">
        <f>IF(OR($C1011="",$S1011="",$S1011=1),"",IFERROR(INDEX($Q$6:$Q$1505,MATCH($C1011&amp;"|"&amp;$A1011&amp;"|"&amp;($S1011-1),$V$6:$V$1505,0)),""))</f>
        <v/>
      </c>
      <c r="X1011" s="32">
        <f>IF(OR($W1011="",$Q1011="",LEFT($Q1011,1)="—"),"",IF($W1011=$Q1011,"ללא שינוי","מ-"&amp;$W1011&amp;" ל-"&amp;$Q1011))</f>
        <v/>
      </c>
    </row>
    <row r="1012">
      <c r="A1012" s="65" t="n"/>
      <c r="B1012" s="65" t="n"/>
      <c r="C1012" s="66" t="n"/>
      <c r="D1012" s="66" t="n"/>
      <c r="E1012" s="65" t="n"/>
      <c r="F1012" s="65" t="n"/>
      <c r="G1012" s="65" t="n"/>
      <c r="H1012" s="65" t="n"/>
      <c r="I1012" s="65" t="n"/>
      <c r="J1012" s="65" t="n"/>
      <c r="K1012" s="65" t="n"/>
      <c r="L1012" s="65" t="n"/>
      <c r="M1012" s="65" t="n"/>
      <c r="N1012" s="65" t="n"/>
      <c r="O1012" s="65" t="n"/>
      <c r="P1012" s="65" t="n"/>
      <c r="Q1012" s="32">
        <f>IF($C1012="","",IF($J1012="","— חסרים נתונים",IF($J1012="טרם מפענח","פרופיל 5",IF($J1012="קמץ/פתח/חטף-פתח ושוואים","פרופיל 4",IF($J1012="2-3 סימני ניקוד","פרופיל 3",IF($J1012="4-5 סימני ניקוד","פרופיל 2",IF(AND($O1012="משפטים וקטעים קצרים",OR($M1012="מבין",$M1012="מבין לרוב")),"פרופיל 1","פרופיל 2")))))))</f>
        <v/>
      </c>
      <c r="R1012" s="32">
        <f>IF($C1012="","",IF(OR($Q1012="",LEFT($Q1012,1)="—"),"קבוצה רביעית",IF($Q1012="פרופיל 5","קבוצת תשתיות",IF(OR($Q1012="פרופיל 4",$Q1012="פרופיל 3"),"קבוצת רכישה","קבוצת ביסוס"))))</f>
        <v/>
      </c>
      <c r="S1012" s="32">
        <f>IF($F1012="","",IF($F1012="תחילת שנה",1,IF($F1012="מחצית שנה",2,3)))</f>
        <v/>
      </c>
      <c r="T1012" s="32">
        <f>IF(OR($B1012="",$R1012="",$A1012="",$F1012=""),"",$B1012&amp;"|"&amp;$A1012&amp;"|"&amp;$F1012&amp;"|"&amp;$R1012&amp;"|"&amp;COUNTIFS($B$6:$B1012,$B1012,$A$6:$A1012,$A1012,$F$6:$F1012,$F1012,$R$6:$R1012,$R1012))</f>
        <v/>
      </c>
      <c r="U1012" s="32">
        <f>IF($C1012="","",$C1012&amp;"|"&amp;COUNTIFS($C$6:$C1012,$C1012))</f>
        <v/>
      </c>
      <c r="V1012" s="32">
        <f>IF(OR($C1012="",$A1012="",$S1012=""),"",$C1012&amp;"|"&amp;$A1012&amp;"|"&amp;$S1012)</f>
        <v/>
      </c>
      <c r="W1012" s="32">
        <f>IF(OR($C1012="",$S1012="",$S1012=1),"",IFERROR(INDEX($Q$6:$Q$1505,MATCH($C1012&amp;"|"&amp;$A1012&amp;"|"&amp;($S1012-1),$V$6:$V$1505,0)),""))</f>
        <v/>
      </c>
      <c r="X1012" s="32">
        <f>IF(OR($W1012="",$Q1012="",LEFT($Q1012,1)="—"),"",IF($W1012=$Q1012,"ללא שינוי","מ-"&amp;$W1012&amp;" ל-"&amp;$Q1012))</f>
        <v/>
      </c>
    </row>
    <row r="1013">
      <c r="A1013" s="65" t="n"/>
      <c r="B1013" s="65" t="n"/>
      <c r="C1013" s="66" t="n"/>
      <c r="D1013" s="66" t="n"/>
      <c r="E1013" s="65" t="n"/>
      <c r="F1013" s="65" t="n"/>
      <c r="G1013" s="65" t="n"/>
      <c r="H1013" s="65" t="n"/>
      <c r="I1013" s="65" t="n"/>
      <c r="J1013" s="65" t="n"/>
      <c r="K1013" s="65" t="n"/>
      <c r="L1013" s="65" t="n"/>
      <c r="M1013" s="65" t="n"/>
      <c r="N1013" s="65" t="n"/>
      <c r="O1013" s="65" t="n"/>
      <c r="P1013" s="65" t="n"/>
      <c r="Q1013" s="32">
        <f>IF($C1013="","",IF($J1013="","— חסרים נתונים",IF($J1013="טרם מפענח","פרופיל 5",IF($J1013="קמץ/פתח/חטף-פתח ושוואים","פרופיל 4",IF($J1013="2-3 סימני ניקוד","פרופיל 3",IF($J1013="4-5 סימני ניקוד","פרופיל 2",IF(AND($O1013="משפטים וקטעים קצרים",OR($M1013="מבין",$M1013="מבין לרוב")),"פרופיל 1","פרופיל 2")))))))</f>
        <v/>
      </c>
      <c r="R1013" s="32">
        <f>IF($C1013="","",IF(OR($Q1013="",LEFT($Q1013,1)="—"),"קבוצה רביעית",IF($Q1013="פרופיל 5","קבוצת תשתיות",IF(OR($Q1013="פרופיל 4",$Q1013="פרופיל 3"),"קבוצת רכישה","קבוצת ביסוס"))))</f>
        <v/>
      </c>
      <c r="S1013" s="32">
        <f>IF($F1013="","",IF($F1013="תחילת שנה",1,IF($F1013="מחצית שנה",2,3)))</f>
        <v/>
      </c>
      <c r="T1013" s="32">
        <f>IF(OR($B1013="",$R1013="",$A1013="",$F1013=""),"",$B1013&amp;"|"&amp;$A1013&amp;"|"&amp;$F1013&amp;"|"&amp;$R1013&amp;"|"&amp;COUNTIFS($B$6:$B1013,$B1013,$A$6:$A1013,$A1013,$F$6:$F1013,$F1013,$R$6:$R1013,$R1013))</f>
        <v/>
      </c>
      <c r="U1013" s="32">
        <f>IF($C1013="","",$C1013&amp;"|"&amp;COUNTIFS($C$6:$C1013,$C1013))</f>
        <v/>
      </c>
      <c r="V1013" s="32">
        <f>IF(OR($C1013="",$A1013="",$S1013=""),"",$C1013&amp;"|"&amp;$A1013&amp;"|"&amp;$S1013)</f>
        <v/>
      </c>
      <c r="W1013" s="32">
        <f>IF(OR($C1013="",$S1013="",$S1013=1),"",IFERROR(INDEX($Q$6:$Q$1505,MATCH($C1013&amp;"|"&amp;$A1013&amp;"|"&amp;($S1013-1),$V$6:$V$1505,0)),""))</f>
        <v/>
      </c>
      <c r="X1013" s="32">
        <f>IF(OR($W1013="",$Q1013="",LEFT($Q1013,1)="—"),"",IF($W1013=$Q1013,"ללא שינוי","מ-"&amp;$W1013&amp;" ל-"&amp;$Q1013))</f>
        <v/>
      </c>
    </row>
    <row r="1014">
      <c r="A1014" s="65" t="n"/>
      <c r="B1014" s="65" t="n"/>
      <c r="C1014" s="66" t="n"/>
      <c r="D1014" s="66" t="n"/>
      <c r="E1014" s="65" t="n"/>
      <c r="F1014" s="65" t="n"/>
      <c r="G1014" s="65" t="n"/>
      <c r="H1014" s="65" t="n"/>
      <c r="I1014" s="65" t="n"/>
      <c r="J1014" s="65" t="n"/>
      <c r="K1014" s="65" t="n"/>
      <c r="L1014" s="65" t="n"/>
      <c r="M1014" s="65" t="n"/>
      <c r="N1014" s="65" t="n"/>
      <c r="O1014" s="65" t="n"/>
      <c r="P1014" s="65" t="n"/>
      <c r="Q1014" s="32">
        <f>IF($C1014="","",IF($J1014="","— חסרים נתונים",IF($J1014="טרם מפענח","פרופיל 5",IF($J1014="קמץ/פתח/חטף-פתח ושוואים","פרופיל 4",IF($J1014="2-3 סימני ניקוד","פרופיל 3",IF($J1014="4-5 סימני ניקוד","פרופיל 2",IF(AND($O1014="משפטים וקטעים קצרים",OR($M1014="מבין",$M1014="מבין לרוב")),"פרופיל 1","פרופיל 2")))))))</f>
        <v/>
      </c>
      <c r="R1014" s="32">
        <f>IF($C1014="","",IF(OR($Q1014="",LEFT($Q1014,1)="—"),"קבוצה רביעית",IF($Q1014="פרופיל 5","קבוצת תשתיות",IF(OR($Q1014="פרופיל 4",$Q1014="פרופיל 3"),"קבוצת רכישה","קבוצת ביסוס"))))</f>
        <v/>
      </c>
      <c r="S1014" s="32">
        <f>IF($F1014="","",IF($F1014="תחילת שנה",1,IF($F1014="מחצית שנה",2,3)))</f>
        <v/>
      </c>
      <c r="T1014" s="32">
        <f>IF(OR($B1014="",$R1014="",$A1014="",$F1014=""),"",$B1014&amp;"|"&amp;$A1014&amp;"|"&amp;$F1014&amp;"|"&amp;$R1014&amp;"|"&amp;COUNTIFS($B$6:$B1014,$B1014,$A$6:$A1014,$A1014,$F$6:$F1014,$F1014,$R$6:$R1014,$R1014))</f>
        <v/>
      </c>
      <c r="U1014" s="32">
        <f>IF($C1014="","",$C1014&amp;"|"&amp;COUNTIFS($C$6:$C1014,$C1014))</f>
        <v/>
      </c>
      <c r="V1014" s="32">
        <f>IF(OR($C1014="",$A1014="",$S1014=""),"",$C1014&amp;"|"&amp;$A1014&amp;"|"&amp;$S1014)</f>
        <v/>
      </c>
      <c r="W1014" s="32">
        <f>IF(OR($C1014="",$S1014="",$S1014=1),"",IFERROR(INDEX($Q$6:$Q$1505,MATCH($C1014&amp;"|"&amp;$A1014&amp;"|"&amp;($S1014-1),$V$6:$V$1505,0)),""))</f>
        <v/>
      </c>
      <c r="X1014" s="32">
        <f>IF(OR($W1014="",$Q1014="",LEFT($Q1014,1)="—"),"",IF($W1014=$Q1014,"ללא שינוי","מ-"&amp;$W1014&amp;" ל-"&amp;$Q1014))</f>
        <v/>
      </c>
    </row>
    <row r="1015">
      <c r="A1015" s="65" t="n"/>
      <c r="B1015" s="65" t="n"/>
      <c r="C1015" s="66" t="n"/>
      <c r="D1015" s="66" t="n"/>
      <c r="E1015" s="65" t="n"/>
      <c r="F1015" s="65" t="n"/>
      <c r="G1015" s="65" t="n"/>
      <c r="H1015" s="65" t="n"/>
      <c r="I1015" s="65" t="n"/>
      <c r="J1015" s="65" t="n"/>
      <c r="K1015" s="65" t="n"/>
      <c r="L1015" s="65" t="n"/>
      <c r="M1015" s="65" t="n"/>
      <c r="N1015" s="65" t="n"/>
      <c r="O1015" s="65" t="n"/>
      <c r="P1015" s="65" t="n"/>
      <c r="Q1015" s="32">
        <f>IF($C1015="","",IF($J1015="","— חסרים נתונים",IF($J1015="טרם מפענח","פרופיל 5",IF($J1015="קמץ/פתח/חטף-פתח ושוואים","פרופיל 4",IF($J1015="2-3 סימני ניקוד","פרופיל 3",IF($J1015="4-5 סימני ניקוד","פרופיל 2",IF(AND($O1015="משפטים וקטעים קצרים",OR($M1015="מבין",$M1015="מבין לרוב")),"פרופיל 1","פרופיל 2")))))))</f>
        <v/>
      </c>
      <c r="R1015" s="32">
        <f>IF($C1015="","",IF(OR($Q1015="",LEFT($Q1015,1)="—"),"קבוצה רביעית",IF($Q1015="פרופיל 5","קבוצת תשתיות",IF(OR($Q1015="פרופיל 4",$Q1015="פרופיל 3"),"קבוצת רכישה","קבוצת ביסוס"))))</f>
        <v/>
      </c>
      <c r="S1015" s="32">
        <f>IF($F1015="","",IF($F1015="תחילת שנה",1,IF($F1015="מחצית שנה",2,3)))</f>
        <v/>
      </c>
      <c r="T1015" s="32">
        <f>IF(OR($B1015="",$R1015="",$A1015="",$F1015=""),"",$B1015&amp;"|"&amp;$A1015&amp;"|"&amp;$F1015&amp;"|"&amp;$R1015&amp;"|"&amp;COUNTIFS($B$6:$B1015,$B1015,$A$6:$A1015,$A1015,$F$6:$F1015,$F1015,$R$6:$R1015,$R1015))</f>
        <v/>
      </c>
      <c r="U1015" s="32">
        <f>IF($C1015="","",$C1015&amp;"|"&amp;COUNTIFS($C$6:$C1015,$C1015))</f>
        <v/>
      </c>
      <c r="V1015" s="32">
        <f>IF(OR($C1015="",$A1015="",$S1015=""),"",$C1015&amp;"|"&amp;$A1015&amp;"|"&amp;$S1015)</f>
        <v/>
      </c>
      <c r="W1015" s="32">
        <f>IF(OR($C1015="",$S1015="",$S1015=1),"",IFERROR(INDEX($Q$6:$Q$1505,MATCH($C1015&amp;"|"&amp;$A1015&amp;"|"&amp;($S1015-1),$V$6:$V$1505,0)),""))</f>
        <v/>
      </c>
      <c r="X1015" s="32">
        <f>IF(OR($W1015="",$Q1015="",LEFT($Q1015,1)="—"),"",IF($W1015=$Q1015,"ללא שינוי","מ-"&amp;$W1015&amp;" ל-"&amp;$Q1015))</f>
        <v/>
      </c>
    </row>
    <row r="1016">
      <c r="A1016" s="65" t="n"/>
      <c r="B1016" s="65" t="n"/>
      <c r="C1016" s="66" t="n"/>
      <c r="D1016" s="66" t="n"/>
      <c r="E1016" s="65" t="n"/>
      <c r="F1016" s="65" t="n"/>
      <c r="G1016" s="65" t="n"/>
      <c r="H1016" s="65" t="n"/>
      <c r="I1016" s="65" t="n"/>
      <c r="J1016" s="65" t="n"/>
      <c r="K1016" s="65" t="n"/>
      <c r="L1016" s="65" t="n"/>
      <c r="M1016" s="65" t="n"/>
      <c r="N1016" s="65" t="n"/>
      <c r="O1016" s="65" t="n"/>
      <c r="P1016" s="65" t="n"/>
      <c r="Q1016" s="32">
        <f>IF($C1016="","",IF($J1016="","— חסרים נתונים",IF($J1016="טרם מפענח","פרופיל 5",IF($J1016="קמץ/פתח/חטף-פתח ושוואים","פרופיל 4",IF($J1016="2-3 סימני ניקוד","פרופיל 3",IF($J1016="4-5 סימני ניקוד","פרופיל 2",IF(AND($O1016="משפטים וקטעים קצרים",OR($M1016="מבין",$M1016="מבין לרוב")),"פרופיל 1","פרופיל 2")))))))</f>
        <v/>
      </c>
      <c r="R1016" s="32">
        <f>IF($C1016="","",IF(OR($Q1016="",LEFT($Q1016,1)="—"),"קבוצה רביעית",IF($Q1016="פרופיל 5","קבוצת תשתיות",IF(OR($Q1016="פרופיל 4",$Q1016="פרופיל 3"),"קבוצת רכישה","קבוצת ביסוס"))))</f>
        <v/>
      </c>
      <c r="S1016" s="32">
        <f>IF($F1016="","",IF($F1016="תחילת שנה",1,IF($F1016="מחצית שנה",2,3)))</f>
        <v/>
      </c>
      <c r="T1016" s="32">
        <f>IF(OR($B1016="",$R1016="",$A1016="",$F1016=""),"",$B1016&amp;"|"&amp;$A1016&amp;"|"&amp;$F1016&amp;"|"&amp;$R1016&amp;"|"&amp;COUNTIFS($B$6:$B1016,$B1016,$A$6:$A1016,$A1016,$F$6:$F1016,$F1016,$R$6:$R1016,$R1016))</f>
        <v/>
      </c>
      <c r="U1016" s="32">
        <f>IF($C1016="","",$C1016&amp;"|"&amp;COUNTIFS($C$6:$C1016,$C1016))</f>
        <v/>
      </c>
      <c r="V1016" s="32">
        <f>IF(OR($C1016="",$A1016="",$S1016=""),"",$C1016&amp;"|"&amp;$A1016&amp;"|"&amp;$S1016)</f>
        <v/>
      </c>
      <c r="W1016" s="32">
        <f>IF(OR($C1016="",$S1016="",$S1016=1),"",IFERROR(INDEX($Q$6:$Q$1505,MATCH($C1016&amp;"|"&amp;$A1016&amp;"|"&amp;($S1016-1),$V$6:$V$1505,0)),""))</f>
        <v/>
      </c>
      <c r="X1016" s="32">
        <f>IF(OR($W1016="",$Q1016="",LEFT($Q1016,1)="—"),"",IF($W1016=$Q1016,"ללא שינוי","מ-"&amp;$W1016&amp;" ל-"&amp;$Q1016))</f>
        <v/>
      </c>
    </row>
    <row r="1017">
      <c r="A1017" s="65" t="n"/>
      <c r="B1017" s="65" t="n"/>
      <c r="C1017" s="66" t="n"/>
      <c r="D1017" s="66" t="n"/>
      <c r="E1017" s="65" t="n"/>
      <c r="F1017" s="65" t="n"/>
      <c r="G1017" s="65" t="n"/>
      <c r="H1017" s="65" t="n"/>
      <c r="I1017" s="65" t="n"/>
      <c r="J1017" s="65" t="n"/>
      <c r="K1017" s="65" t="n"/>
      <c r="L1017" s="65" t="n"/>
      <c r="M1017" s="65" t="n"/>
      <c r="N1017" s="65" t="n"/>
      <c r="O1017" s="65" t="n"/>
      <c r="P1017" s="65" t="n"/>
      <c r="Q1017" s="32">
        <f>IF($C1017="","",IF($J1017="","— חסרים נתונים",IF($J1017="טרם מפענח","פרופיל 5",IF($J1017="קמץ/פתח/חטף-פתח ושוואים","פרופיל 4",IF($J1017="2-3 סימני ניקוד","פרופיל 3",IF($J1017="4-5 סימני ניקוד","פרופיל 2",IF(AND($O1017="משפטים וקטעים קצרים",OR($M1017="מבין",$M1017="מבין לרוב")),"פרופיל 1","פרופיל 2")))))))</f>
        <v/>
      </c>
      <c r="R1017" s="32">
        <f>IF($C1017="","",IF(OR($Q1017="",LEFT($Q1017,1)="—"),"קבוצה רביעית",IF($Q1017="פרופיל 5","קבוצת תשתיות",IF(OR($Q1017="פרופיל 4",$Q1017="פרופיל 3"),"קבוצת רכישה","קבוצת ביסוס"))))</f>
        <v/>
      </c>
      <c r="S1017" s="32">
        <f>IF($F1017="","",IF($F1017="תחילת שנה",1,IF($F1017="מחצית שנה",2,3)))</f>
        <v/>
      </c>
      <c r="T1017" s="32">
        <f>IF(OR($B1017="",$R1017="",$A1017="",$F1017=""),"",$B1017&amp;"|"&amp;$A1017&amp;"|"&amp;$F1017&amp;"|"&amp;$R1017&amp;"|"&amp;COUNTIFS($B$6:$B1017,$B1017,$A$6:$A1017,$A1017,$F$6:$F1017,$F1017,$R$6:$R1017,$R1017))</f>
        <v/>
      </c>
      <c r="U1017" s="32">
        <f>IF($C1017="","",$C1017&amp;"|"&amp;COUNTIFS($C$6:$C1017,$C1017))</f>
        <v/>
      </c>
      <c r="V1017" s="32">
        <f>IF(OR($C1017="",$A1017="",$S1017=""),"",$C1017&amp;"|"&amp;$A1017&amp;"|"&amp;$S1017)</f>
        <v/>
      </c>
      <c r="W1017" s="32">
        <f>IF(OR($C1017="",$S1017="",$S1017=1),"",IFERROR(INDEX($Q$6:$Q$1505,MATCH($C1017&amp;"|"&amp;$A1017&amp;"|"&amp;($S1017-1),$V$6:$V$1505,0)),""))</f>
        <v/>
      </c>
      <c r="X1017" s="32">
        <f>IF(OR($W1017="",$Q1017="",LEFT($Q1017,1)="—"),"",IF($W1017=$Q1017,"ללא שינוי","מ-"&amp;$W1017&amp;" ל-"&amp;$Q1017))</f>
        <v/>
      </c>
    </row>
    <row r="1018">
      <c r="A1018" s="65" t="n"/>
      <c r="B1018" s="65" t="n"/>
      <c r="C1018" s="66" t="n"/>
      <c r="D1018" s="66" t="n"/>
      <c r="E1018" s="65" t="n"/>
      <c r="F1018" s="65" t="n"/>
      <c r="G1018" s="65" t="n"/>
      <c r="H1018" s="65" t="n"/>
      <c r="I1018" s="65" t="n"/>
      <c r="J1018" s="65" t="n"/>
      <c r="K1018" s="65" t="n"/>
      <c r="L1018" s="65" t="n"/>
      <c r="M1018" s="65" t="n"/>
      <c r="N1018" s="65" t="n"/>
      <c r="O1018" s="65" t="n"/>
      <c r="P1018" s="65" t="n"/>
      <c r="Q1018" s="32">
        <f>IF($C1018="","",IF($J1018="","— חסרים נתונים",IF($J1018="טרם מפענח","פרופיל 5",IF($J1018="קמץ/פתח/חטף-פתח ושוואים","פרופיל 4",IF($J1018="2-3 סימני ניקוד","פרופיל 3",IF($J1018="4-5 סימני ניקוד","פרופיל 2",IF(AND($O1018="משפטים וקטעים קצרים",OR($M1018="מבין",$M1018="מבין לרוב")),"פרופיל 1","פרופיל 2")))))))</f>
        <v/>
      </c>
      <c r="R1018" s="32">
        <f>IF($C1018="","",IF(OR($Q1018="",LEFT($Q1018,1)="—"),"קבוצה רביעית",IF($Q1018="פרופיל 5","קבוצת תשתיות",IF(OR($Q1018="פרופיל 4",$Q1018="פרופיל 3"),"קבוצת רכישה","קבוצת ביסוס"))))</f>
        <v/>
      </c>
      <c r="S1018" s="32">
        <f>IF($F1018="","",IF($F1018="תחילת שנה",1,IF($F1018="מחצית שנה",2,3)))</f>
        <v/>
      </c>
      <c r="T1018" s="32">
        <f>IF(OR($B1018="",$R1018="",$A1018="",$F1018=""),"",$B1018&amp;"|"&amp;$A1018&amp;"|"&amp;$F1018&amp;"|"&amp;$R1018&amp;"|"&amp;COUNTIFS($B$6:$B1018,$B1018,$A$6:$A1018,$A1018,$F$6:$F1018,$F1018,$R$6:$R1018,$R1018))</f>
        <v/>
      </c>
      <c r="U1018" s="32">
        <f>IF($C1018="","",$C1018&amp;"|"&amp;COUNTIFS($C$6:$C1018,$C1018))</f>
        <v/>
      </c>
      <c r="V1018" s="32">
        <f>IF(OR($C1018="",$A1018="",$S1018=""),"",$C1018&amp;"|"&amp;$A1018&amp;"|"&amp;$S1018)</f>
        <v/>
      </c>
      <c r="W1018" s="32">
        <f>IF(OR($C1018="",$S1018="",$S1018=1),"",IFERROR(INDEX($Q$6:$Q$1505,MATCH($C1018&amp;"|"&amp;$A1018&amp;"|"&amp;($S1018-1),$V$6:$V$1505,0)),""))</f>
        <v/>
      </c>
      <c r="X1018" s="32">
        <f>IF(OR($W1018="",$Q1018="",LEFT($Q1018,1)="—"),"",IF($W1018=$Q1018,"ללא שינוי","מ-"&amp;$W1018&amp;" ל-"&amp;$Q1018))</f>
        <v/>
      </c>
    </row>
    <row r="1019">
      <c r="A1019" s="65" t="n"/>
      <c r="B1019" s="65" t="n"/>
      <c r="C1019" s="66" t="n"/>
      <c r="D1019" s="66" t="n"/>
      <c r="E1019" s="65" t="n"/>
      <c r="F1019" s="65" t="n"/>
      <c r="G1019" s="65" t="n"/>
      <c r="H1019" s="65" t="n"/>
      <c r="I1019" s="65" t="n"/>
      <c r="J1019" s="65" t="n"/>
      <c r="K1019" s="65" t="n"/>
      <c r="L1019" s="65" t="n"/>
      <c r="M1019" s="65" t="n"/>
      <c r="N1019" s="65" t="n"/>
      <c r="O1019" s="65" t="n"/>
      <c r="P1019" s="65" t="n"/>
      <c r="Q1019" s="32">
        <f>IF($C1019="","",IF($J1019="","— חסרים נתונים",IF($J1019="טרם מפענח","פרופיל 5",IF($J1019="קמץ/פתח/חטף-פתח ושוואים","פרופיל 4",IF($J1019="2-3 סימני ניקוד","פרופיל 3",IF($J1019="4-5 סימני ניקוד","פרופיל 2",IF(AND($O1019="משפטים וקטעים קצרים",OR($M1019="מבין",$M1019="מבין לרוב")),"פרופיל 1","פרופיל 2")))))))</f>
        <v/>
      </c>
      <c r="R1019" s="32">
        <f>IF($C1019="","",IF(OR($Q1019="",LEFT($Q1019,1)="—"),"קבוצה רביעית",IF($Q1019="פרופיל 5","קבוצת תשתיות",IF(OR($Q1019="פרופיל 4",$Q1019="פרופיל 3"),"קבוצת רכישה","קבוצת ביסוס"))))</f>
        <v/>
      </c>
      <c r="S1019" s="32">
        <f>IF($F1019="","",IF($F1019="תחילת שנה",1,IF($F1019="מחצית שנה",2,3)))</f>
        <v/>
      </c>
      <c r="T1019" s="32">
        <f>IF(OR($B1019="",$R1019="",$A1019="",$F1019=""),"",$B1019&amp;"|"&amp;$A1019&amp;"|"&amp;$F1019&amp;"|"&amp;$R1019&amp;"|"&amp;COUNTIFS($B$6:$B1019,$B1019,$A$6:$A1019,$A1019,$F$6:$F1019,$F1019,$R$6:$R1019,$R1019))</f>
        <v/>
      </c>
      <c r="U1019" s="32">
        <f>IF($C1019="","",$C1019&amp;"|"&amp;COUNTIFS($C$6:$C1019,$C1019))</f>
        <v/>
      </c>
      <c r="V1019" s="32">
        <f>IF(OR($C1019="",$A1019="",$S1019=""),"",$C1019&amp;"|"&amp;$A1019&amp;"|"&amp;$S1019)</f>
        <v/>
      </c>
      <c r="W1019" s="32">
        <f>IF(OR($C1019="",$S1019="",$S1019=1),"",IFERROR(INDEX($Q$6:$Q$1505,MATCH($C1019&amp;"|"&amp;$A1019&amp;"|"&amp;($S1019-1),$V$6:$V$1505,0)),""))</f>
        <v/>
      </c>
      <c r="X1019" s="32">
        <f>IF(OR($W1019="",$Q1019="",LEFT($Q1019,1)="—"),"",IF($W1019=$Q1019,"ללא שינוי","מ-"&amp;$W1019&amp;" ל-"&amp;$Q1019))</f>
        <v/>
      </c>
    </row>
    <row r="1020">
      <c r="A1020" s="65" t="n"/>
      <c r="B1020" s="65" t="n"/>
      <c r="C1020" s="66" t="n"/>
      <c r="D1020" s="66" t="n"/>
      <c r="E1020" s="65" t="n"/>
      <c r="F1020" s="65" t="n"/>
      <c r="G1020" s="65" t="n"/>
      <c r="H1020" s="65" t="n"/>
      <c r="I1020" s="65" t="n"/>
      <c r="J1020" s="65" t="n"/>
      <c r="K1020" s="65" t="n"/>
      <c r="L1020" s="65" t="n"/>
      <c r="M1020" s="65" t="n"/>
      <c r="N1020" s="65" t="n"/>
      <c r="O1020" s="65" t="n"/>
      <c r="P1020" s="65" t="n"/>
      <c r="Q1020" s="32">
        <f>IF($C1020="","",IF($J1020="","— חסרים נתונים",IF($J1020="טרם מפענח","פרופיל 5",IF($J1020="קמץ/פתח/חטף-פתח ושוואים","פרופיל 4",IF($J1020="2-3 סימני ניקוד","פרופיל 3",IF($J1020="4-5 סימני ניקוד","פרופיל 2",IF(AND($O1020="משפטים וקטעים קצרים",OR($M1020="מבין",$M1020="מבין לרוב")),"פרופיל 1","פרופיל 2")))))))</f>
        <v/>
      </c>
      <c r="R1020" s="32">
        <f>IF($C1020="","",IF(OR($Q1020="",LEFT($Q1020,1)="—"),"קבוצה רביעית",IF($Q1020="פרופיל 5","קבוצת תשתיות",IF(OR($Q1020="פרופיל 4",$Q1020="פרופיל 3"),"קבוצת רכישה","קבוצת ביסוס"))))</f>
        <v/>
      </c>
      <c r="S1020" s="32">
        <f>IF($F1020="","",IF($F1020="תחילת שנה",1,IF($F1020="מחצית שנה",2,3)))</f>
        <v/>
      </c>
      <c r="T1020" s="32">
        <f>IF(OR($B1020="",$R1020="",$A1020="",$F1020=""),"",$B1020&amp;"|"&amp;$A1020&amp;"|"&amp;$F1020&amp;"|"&amp;$R1020&amp;"|"&amp;COUNTIFS($B$6:$B1020,$B1020,$A$6:$A1020,$A1020,$F$6:$F1020,$F1020,$R$6:$R1020,$R1020))</f>
        <v/>
      </c>
      <c r="U1020" s="32">
        <f>IF($C1020="","",$C1020&amp;"|"&amp;COUNTIFS($C$6:$C1020,$C1020))</f>
        <v/>
      </c>
      <c r="V1020" s="32">
        <f>IF(OR($C1020="",$A1020="",$S1020=""),"",$C1020&amp;"|"&amp;$A1020&amp;"|"&amp;$S1020)</f>
        <v/>
      </c>
      <c r="W1020" s="32">
        <f>IF(OR($C1020="",$S1020="",$S1020=1),"",IFERROR(INDEX($Q$6:$Q$1505,MATCH($C1020&amp;"|"&amp;$A1020&amp;"|"&amp;($S1020-1),$V$6:$V$1505,0)),""))</f>
        <v/>
      </c>
      <c r="X1020" s="32">
        <f>IF(OR($W1020="",$Q1020="",LEFT($Q1020,1)="—"),"",IF($W1020=$Q1020,"ללא שינוי","מ-"&amp;$W1020&amp;" ל-"&amp;$Q1020))</f>
        <v/>
      </c>
    </row>
    <row r="1021">
      <c r="A1021" s="65" t="n"/>
      <c r="B1021" s="65" t="n"/>
      <c r="C1021" s="66" t="n"/>
      <c r="D1021" s="66" t="n"/>
      <c r="E1021" s="65" t="n"/>
      <c r="F1021" s="65" t="n"/>
      <c r="G1021" s="65" t="n"/>
      <c r="H1021" s="65" t="n"/>
      <c r="I1021" s="65" t="n"/>
      <c r="J1021" s="65" t="n"/>
      <c r="K1021" s="65" t="n"/>
      <c r="L1021" s="65" t="n"/>
      <c r="M1021" s="65" t="n"/>
      <c r="N1021" s="65" t="n"/>
      <c r="O1021" s="65" t="n"/>
      <c r="P1021" s="65" t="n"/>
      <c r="Q1021" s="32">
        <f>IF($C1021="","",IF($J1021="","— חסרים נתונים",IF($J1021="טרם מפענח","פרופיל 5",IF($J1021="קמץ/פתח/חטף-פתח ושוואים","פרופיל 4",IF($J1021="2-3 סימני ניקוד","פרופיל 3",IF($J1021="4-5 סימני ניקוד","פרופיל 2",IF(AND($O1021="משפטים וקטעים קצרים",OR($M1021="מבין",$M1021="מבין לרוב")),"פרופיל 1","פרופיל 2")))))))</f>
        <v/>
      </c>
      <c r="R1021" s="32">
        <f>IF($C1021="","",IF(OR($Q1021="",LEFT($Q1021,1)="—"),"קבוצה רביעית",IF($Q1021="פרופיל 5","קבוצת תשתיות",IF(OR($Q1021="פרופיל 4",$Q1021="פרופיל 3"),"קבוצת רכישה","קבוצת ביסוס"))))</f>
        <v/>
      </c>
      <c r="S1021" s="32">
        <f>IF($F1021="","",IF($F1021="תחילת שנה",1,IF($F1021="מחצית שנה",2,3)))</f>
        <v/>
      </c>
      <c r="T1021" s="32">
        <f>IF(OR($B1021="",$R1021="",$A1021="",$F1021=""),"",$B1021&amp;"|"&amp;$A1021&amp;"|"&amp;$F1021&amp;"|"&amp;$R1021&amp;"|"&amp;COUNTIFS($B$6:$B1021,$B1021,$A$6:$A1021,$A1021,$F$6:$F1021,$F1021,$R$6:$R1021,$R1021))</f>
        <v/>
      </c>
      <c r="U1021" s="32">
        <f>IF($C1021="","",$C1021&amp;"|"&amp;COUNTIFS($C$6:$C1021,$C1021))</f>
        <v/>
      </c>
      <c r="V1021" s="32">
        <f>IF(OR($C1021="",$A1021="",$S1021=""),"",$C1021&amp;"|"&amp;$A1021&amp;"|"&amp;$S1021)</f>
        <v/>
      </c>
      <c r="W1021" s="32">
        <f>IF(OR($C1021="",$S1021="",$S1021=1),"",IFERROR(INDEX($Q$6:$Q$1505,MATCH($C1021&amp;"|"&amp;$A1021&amp;"|"&amp;($S1021-1),$V$6:$V$1505,0)),""))</f>
        <v/>
      </c>
      <c r="X1021" s="32">
        <f>IF(OR($W1021="",$Q1021="",LEFT($Q1021,1)="—"),"",IF($W1021=$Q1021,"ללא שינוי","מ-"&amp;$W1021&amp;" ל-"&amp;$Q1021))</f>
        <v/>
      </c>
    </row>
    <row r="1022">
      <c r="A1022" s="65" t="n"/>
      <c r="B1022" s="65" t="n"/>
      <c r="C1022" s="66" t="n"/>
      <c r="D1022" s="66" t="n"/>
      <c r="E1022" s="65" t="n"/>
      <c r="F1022" s="65" t="n"/>
      <c r="G1022" s="65" t="n"/>
      <c r="H1022" s="65" t="n"/>
      <c r="I1022" s="65" t="n"/>
      <c r="J1022" s="65" t="n"/>
      <c r="K1022" s="65" t="n"/>
      <c r="L1022" s="65" t="n"/>
      <c r="M1022" s="65" t="n"/>
      <c r="N1022" s="65" t="n"/>
      <c r="O1022" s="65" t="n"/>
      <c r="P1022" s="65" t="n"/>
      <c r="Q1022" s="32">
        <f>IF($C1022="","",IF($J1022="","— חסרים נתונים",IF($J1022="טרם מפענח","פרופיל 5",IF($J1022="קמץ/פתח/חטף-פתח ושוואים","פרופיל 4",IF($J1022="2-3 סימני ניקוד","פרופיל 3",IF($J1022="4-5 סימני ניקוד","פרופיל 2",IF(AND($O1022="משפטים וקטעים קצרים",OR($M1022="מבין",$M1022="מבין לרוב")),"פרופיל 1","פרופיל 2")))))))</f>
        <v/>
      </c>
      <c r="R1022" s="32">
        <f>IF($C1022="","",IF(OR($Q1022="",LEFT($Q1022,1)="—"),"קבוצה רביעית",IF($Q1022="פרופיל 5","קבוצת תשתיות",IF(OR($Q1022="פרופיל 4",$Q1022="פרופיל 3"),"קבוצת רכישה","קבוצת ביסוס"))))</f>
        <v/>
      </c>
      <c r="S1022" s="32">
        <f>IF($F1022="","",IF($F1022="תחילת שנה",1,IF($F1022="מחצית שנה",2,3)))</f>
        <v/>
      </c>
      <c r="T1022" s="32">
        <f>IF(OR($B1022="",$R1022="",$A1022="",$F1022=""),"",$B1022&amp;"|"&amp;$A1022&amp;"|"&amp;$F1022&amp;"|"&amp;$R1022&amp;"|"&amp;COUNTIFS($B$6:$B1022,$B1022,$A$6:$A1022,$A1022,$F$6:$F1022,$F1022,$R$6:$R1022,$R1022))</f>
        <v/>
      </c>
      <c r="U1022" s="32">
        <f>IF($C1022="","",$C1022&amp;"|"&amp;COUNTIFS($C$6:$C1022,$C1022))</f>
        <v/>
      </c>
      <c r="V1022" s="32">
        <f>IF(OR($C1022="",$A1022="",$S1022=""),"",$C1022&amp;"|"&amp;$A1022&amp;"|"&amp;$S1022)</f>
        <v/>
      </c>
      <c r="W1022" s="32">
        <f>IF(OR($C1022="",$S1022="",$S1022=1),"",IFERROR(INDEX($Q$6:$Q$1505,MATCH($C1022&amp;"|"&amp;$A1022&amp;"|"&amp;($S1022-1),$V$6:$V$1505,0)),""))</f>
        <v/>
      </c>
      <c r="X1022" s="32">
        <f>IF(OR($W1022="",$Q1022="",LEFT($Q1022,1)="—"),"",IF($W1022=$Q1022,"ללא שינוי","מ-"&amp;$W1022&amp;" ל-"&amp;$Q1022))</f>
        <v/>
      </c>
    </row>
    <row r="1023">
      <c r="A1023" s="65" t="n"/>
      <c r="B1023" s="65" t="n"/>
      <c r="C1023" s="66" t="n"/>
      <c r="D1023" s="66" t="n"/>
      <c r="E1023" s="65" t="n"/>
      <c r="F1023" s="65" t="n"/>
      <c r="G1023" s="65" t="n"/>
      <c r="H1023" s="65" t="n"/>
      <c r="I1023" s="65" t="n"/>
      <c r="J1023" s="65" t="n"/>
      <c r="K1023" s="65" t="n"/>
      <c r="L1023" s="65" t="n"/>
      <c r="M1023" s="65" t="n"/>
      <c r="N1023" s="65" t="n"/>
      <c r="O1023" s="65" t="n"/>
      <c r="P1023" s="65" t="n"/>
      <c r="Q1023" s="32">
        <f>IF($C1023="","",IF($J1023="","— חסרים נתונים",IF($J1023="טרם מפענח","פרופיל 5",IF($J1023="קמץ/פתח/חטף-פתח ושוואים","פרופיל 4",IF($J1023="2-3 סימני ניקוד","פרופיל 3",IF($J1023="4-5 סימני ניקוד","פרופיל 2",IF(AND($O1023="משפטים וקטעים קצרים",OR($M1023="מבין",$M1023="מבין לרוב")),"פרופיל 1","פרופיל 2")))))))</f>
        <v/>
      </c>
      <c r="R1023" s="32">
        <f>IF($C1023="","",IF(OR($Q1023="",LEFT($Q1023,1)="—"),"קבוצה רביעית",IF($Q1023="פרופיל 5","קבוצת תשתיות",IF(OR($Q1023="פרופיל 4",$Q1023="פרופיל 3"),"קבוצת רכישה","קבוצת ביסוס"))))</f>
        <v/>
      </c>
      <c r="S1023" s="32">
        <f>IF($F1023="","",IF($F1023="תחילת שנה",1,IF($F1023="מחצית שנה",2,3)))</f>
        <v/>
      </c>
      <c r="T1023" s="32">
        <f>IF(OR($B1023="",$R1023="",$A1023="",$F1023=""),"",$B1023&amp;"|"&amp;$A1023&amp;"|"&amp;$F1023&amp;"|"&amp;$R1023&amp;"|"&amp;COUNTIFS($B$6:$B1023,$B1023,$A$6:$A1023,$A1023,$F$6:$F1023,$F1023,$R$6:$R1023,$R1023))</f>
        <v/>
      </c>
      <c r="U1023" s="32">
        <f>IF($C1023="","",$C1023&amp;"|"&amp;COUNTIFS($C$6:$C1023,$C1023))</f>
        <v/>
      </c>
      <c r="V1023" s="32">
        <f>IF(OR($C1023="",$A1023="",$S1023=""),"",$C1023&amp;"|"&amp;$A1023&amp;"|"&amp;$S1023)</f>
        <v/>
      </c>
      <c r="W1023" s="32">
        <f>IF(OR($C1023="",$S1023="",$S1023=1),"",IFERROR(INDEX($Q$6:$Q$1505,MATCH($C1023&amp;"|"&amp;$A1023&amp;"|"&amp;($S1023-1),$V$6:$V$1505,0)),""))</f>
        <v/>
      </c>
      <c r="X1023" s="32">
        <f>IF(OR($W1023="",$Q1023="",LEFT($Q1023,1)="—"),"",IF($W1023=$Q1023,"ללא שינוי","מ-"&amp;$W1023&amp;" ל-"&amp;$Q1023))</f>
        <v/>
      </c>
    </row>
    <row r="1024">
      <c r="A1024" s="65" t="n"/>
      <c r="B1024" s="65" t="n"/>
      <c r="C1024" s="66" t="n"/>
      <c r="D1024" s="66" t="n"/>
      <c r="E1024" s="65" t="n"/>
      <c r="F1024" s="65" t="n"/>
      <c r="G1024" s="65" t="n"/>
      <c r="H1024" s="65" t="n"/>
      <c r="I1024" s="65" t="n"/>
      <c r="J1024" s="65" t="n"/>
      <c r="K1024" s="65" t="n"/>
      <c r="L1024" s="65" t="n"/>
      <c r="M1024" s="65" t="n"/>
      <c r="N1024" s="65" t="n"/>
      <c r="O1024" s="65" t="n"/>
      <c r="P1024" s="65" t="n"/>
      <c r="Q1024" s="32">
        <f>IF($C1024="","",IF($J1024="","— חסרים נתונים",IF($J1024="טרם מפענח","פרופיל 5",IF($J1024="קמץ/פתח/חטף-פתח ושוואים","פרופיל 4",IF($J1024="2-3 סימני ניקוד","פרופיל 3",IF($J1024="4-5 סימני ניקוד","פרופיל 2",IF(AND($O1024="משפטים וקטעים קצרים",OR($M1024="מבין",$M1024="מבין לרוב")),"פרופיל 1","פרופיל 2")))))))</f>
        <v/>
      </c>
      <c r="R1024" s="32">
        <f>IF($C1024="","",IF(OR($Q1024="",LEFT($Q1024,1)="—"),"קבוצה רביעית",IF($Q1024="פרופיל 5","קבוצת תשתיות",IF(OR($Q1024="פרופיל 4",$Q1024="פרופיל 3"),"קבוצת רכישה","קבוצת ביסוס"))))</f>
        <v/>
      </c>
      <c r="S1024" s="32">
        <f>IF($F1024="","",IF($F1024="תחילת שנה",1,IF($F1024="מחצית שנה",2,3)))</f>
        <v/>
      </c>
      <c r="T1024" s="32">
        <f>IF(OR($B1024="",$R1024="",$A1024="",$F1024=""),"",$B1024&amp;"|"&amp;$A1024&amp;"|"&amp;$F1024&amp;"|"&amp;$R1024&amp;"|"&amp;COUNTIFS($B$6:$B1024,$B1024,$A$6:$A1024,$A1024,$F$6:$F1024,$F1024,$R$6:$R1024,$R1024))</f>
        <v/>
      </c>
      <c r="U1024" s="32">
        <f>IF($C1024="","",$C1024&amp;"|"&amp;COUNTIFS($C$6:$C1024,$C1024))</f>
        <v/>
      </c>
      <c r="V1024" s="32">
        <f>IF(OR($C1024="",$A1024="",$S1024=""),"",$C1024&amp;"|"&amp;$A1024&amp;"|"&amp;$S1024)</f>
        <v/>
      </c>
      <c r="W1024" s="32">
        <f>IF(OR($C1024="",$S1024="",$S1024=1),"",IFERROR(INDEX($Q$6:$Q$1505,MATCH($C1024&amp;"|"&amp;$A1024&amp;"|"&amp;($S1024-1),$V$6:$V$1505,0)),""))</f>
        <v/>
      </c>
      <c r="X1024" s="32">
        <f>IF(OR($W1024="",$Q1024="",LEFT($Q1024,1)="—"),"",IF($W1024=$Q1024,"ללא שינוי","מ-"&amp;$W1024&amp;" ל-"&amp;$Q1024))</f>
        <v/>
      </c>
    </row>
    <row r="1025">
      <c r="A1025" s="65" t="n"/>
      <c r="B1025" s="65" t="n"/>
      <c r="C1025" s="66" t="n"/>
      <c r="D1025" s="66" t="n"/>
      <c r="E1025" s="65" t="n"/>
      <c r="F1025" s="65" t="n"/>
      <c r="G1025" s="65" t="n"/>
      <c r="H1025" s="65" t="n"/>
      <c r="I1025" s="65" t="n"/>
      <c r="J1025" s="65" t="n"/>
      <c r="K1025" s="65" t="n"/>
      <c r="L1025" s="65" t="n"/>
      <c r="M1025" s="65" t="n"/>
      <c r="N1025" s="65" t="n"/>
      <c r="O1025" s="65" t="n"/>
      <c r="P1025" s="65" t="n"/>
      <c r="Q1025" s="32">
        <f>IF($C1025="","",IF($J1025="","— חסרים נתונים",IF($J1025="טרם מפענח","פרופיל 5",IF($J1025="קמץ/פתח/חטף-פתח ושוואים","פרופיל 4",IF($J1025="2-3 סימני ניקוד","פרופיל 3",IF($J1025="4-5 סימני ניקוד","פרופיל 2",IF(AND($O1025="משפטים וקטעים קצרים",OR($M1025="מבין",$M1025="מבין לרוב")),"פרופיל 1","פרופיל 2")))))))</f>
        <v/>
      </c>
      <c r="R1025" s="32">
        <f>IF($C1025="","",IF(OR($Q1025="",LEFT($Q1025,1)="—"),"קבוצה רביעית",IF($Q1025="פרופיל 5","קבוצת תשתיות",IF(OR($Q1025="פרופיל 4",$Q1025="פרופיל 3"),"קבוצת רכישה","קבוצת ביסוס"))))</f>
        <v/>
      </c>
      <c r="S1025" s="32">
        <f>IF($F1025="","",IF($F1025="תחילת שנה",1,IF($F1025="מחצית שנה",2,3)))</f>
        <v/>
      </c>
      <c r="T1025" s="32">
        <f>IF(OR($B1025="",$R1025="",$A1025="",$F1025=""),"",$B1025&amp;"|"&amp;$A1025&amp;"|"&amp;$F1025&amp;"|"&amp;$R1025&amp;"|"&amp;COUNTIFS($B$6:$B1025,$B1025,$A$6:$A1025,$A1025,$F$6:$F1025,$F1025,$R$6:$R1025,$R1025))</f>
        <v/>
      </c>
      <c r="U1025" s="32">
        <f>IF($C1025="","",$C1025&amp;"|"&amp;COUNTIFS($C$6:$C1025,$C1025))</f>
        <v/>
      </c>
      <c r="V1025" s="32">
        <f>IF(OR($C1025="",$A1025="",$S1025=""),"",$C1025&amp;"|"&amp;$A1025&amp;"|"&amp;$S1025)</f>
        <v/>
      </c>
      <c r="W1025" s="32">
        <f>IF(OR($C1025="",$S1025="",$S1025=1),"",IFERROR(INDEX($Q$6:$Q$1505,MATCH($C1025&amp;"|"&amp;$A1025&amp;"|"&amp;($S1025-1),$V$6:$V$1505,0)),""))</f>
        <v/>
      </c>
      <c r="X1025" s="32">
        <f>IF(OR($W1025="",$Q1025="",LEFT($Q1025,1)="—"),"",IF($W1025=$Q1025,"ללא שינוי","מ-"&amp;$W1025&amp;" ל-"&amp;$Q1025))</f>
        <v/>
      </c>
    </row>
    <row r="1026">
      <c r="A1026" s="65" t="n"/>
      <c r="B1026" s="65" t="n"/>
      <c r="C1026" s="66" t="n"/>
      <c r="D1026" s="66" t="n"/>
      <c r="E1026" s="65" t="n"/>
      <c r="F1026" s="65" t="n"/>
      <c r="G1026" s="65" t="n"/>
      <c r="H1026" s="65" t="n"/>
      <c r="I1026" s="65" t="n"/>
      <c r="J1026" s="65" t="n"/>
      <c r="K1026" s="65" t="n"/>
      <c r="L1026" s="65" t="n"/>
      <c r="M1026" s="65" t="n"/>
      <c r="N1026" s="65" t="n"/>
      <c r="O1026" s="65" t="n"/>
      <c r="P1026" s="65" t="n"/>
      <c r="Q1026" s="32">
        <f>IF($C1026="","",IF($J1026="","— חסרים נתונים",IF($J1026="טרם מפענח","פרופיל 5",IF($J1026="קמץ/פתח/חטף-פתח ושוואים","פרופיל 4",IF($J1026="2-3 סימני ניקוד","פרופיל 3",IF($J1026="4-5 סימני ניקוד","פרופיל 2",IF(AND($O1026="משפטים וקטעים קצרים",OR($M1026="מבין",$M1026="מבין לרוב")),"פרופיל 1","פרופיל 2")))))))</f>
        <v/>
      </c>
      <c r="R1026" s="32">
        <f>IF($C1026="","",IF(OR($Q1026="",LEFT($Q1026,1)="—"),"קבוצה רביעית",IF($Q1026="פרופיל 5","קבוצת תשתיות",IF(OR($Q1026="פרופיל 4",$Q1026="פרופיל 3"),"קבוצת רכישה","קבוצת ביסוס"))))</f>
        <v/>
      </c>
      <c r="S1026" s="32">
        <f>IF($F1026="","",IF($F1026="תחילת שנה",1,IF($F1026="מחצית שנה",2,3)))</f>
        <v/>
      </c>
      <c r="T1026" s="32">
        <f>IF(OR($B1026="",$R1026="",$A1026="",$F1026=""),"",$B1026&amp;"|"&amp;$A1026&amp;"|"&amp;$F1026&amp;"|"&amp;$R1026&amp;"|"&amp;COUNTIFS($B$6:$B1026,$B1026,$A$6:$A1026,$A1026,$F$6:$F1026,$F1026,$R$6:$R1026,$R1026))</f>
        <v/>
      </c>
      <c r="U1026" s="32">
        <f>IF($C1026="","",$C1026&amp;"|"&amp;COUNTIFS($C$6:$C1026,$C1026))</f>
        <v/>
      </c>
      <c r="V1026" s="32">
        <f>IF(OR($C1026="",$A1026="",$S1026=""),"",$C1026&amp;"|"&amp;$A1026&amp;"|"&amp;$S1026)</f>
        <v/>
      </c>
      <c r="W1026" s="32">
        <f>IF(OR($C1026="",$S1026="",$S1026=1),"",IFERROR(INDEX($Q$6:$Q$1505,MATCH($C1026&amp;"|"&amp;$A1026&amp;"|"&amp;($S1026-1),$V$6:$V$1505,0)),""))</f>
        <v/>
      </c>
      <c r="X1026" s="32">
        <f>IF(OR($W1026="",$Q1026="",LEFT($Q1026,1)="—"),"",IF($W1026=$Q1026,"ללא שינוי","מ-"&amp;$W1026&amp;" ל-"&amp;$Q1026))</f>
        <v/>
      </c>
    </row>
    <row r="1027">
      <c r="A1027" s="65" t="n"/>
      <c r="B1027" s="65" t="n"/>
      <c r="C1027" s="66" t="n"/>
      <c r="D1027" s="66" t="n"/>
      <c r="E1027" s="65" t="n"/>
      <c r="F1027" s="65" t="n"/>
      <c r="G1027" s="65" t="n"/>
      <c r="H1027" s="65" t="n"/>
      <c r="I1027" s="65" t="n"/>
      <c r="J1027" s="65" t="n"/>
      <c r="K1027" s="65" t="n"/>
      <c r="L1027" s="65" t="n"/>
      <c r="M1027" s="65" t="n"/>
      <c r="N1027" s="65" t="n"/>
      <c r="O1027" s="65" t="n"/>
      <c r="P1027" s="65" t="n"/>
      <c r="Q1027" s="32">
        <f>IF($C1027="","",IF($J1027="","— חסרים נתונים",IF($J1027="טרם מפענח","פרופיל 5",IF($J1027="קמץ/פתח/חטף-פתח ושוואים","פרופיל 4",IF($J1027="2-3 סימני ניקוד","פרופיל 3",IF($J1027="4-5 סימני ניקוד","פרופיל 2",IF(AND($O1027="משפטים וקטעים קצרים",OR($M1027="מבין",$M1027="מבין לרוב")),"פרופיל 1","פרופיל 2")))))))</f>
        <v/>
      </c>
      <c r="R1027" s="32">
        <f>IF($C1027="","",IF(OR($Q1027="",LEFT($Q1027,1)="—"),"קבוצה רביעית",IF($Q1027="פרופיל 5","קבוצת תשתיות",IF(OR($Q1027="פרופיל 4",$Q1027="פרופיל 3"),"קבוצת רכישה","קבוצת ביסוס"))))</f>
        <v/>
      </c>
      <c r="S1027" s="32">
        <f>IF($F1027="","",IF($F1027="תחילת שנה",1,IF($F1027="מחצית שנה",2,3)))</f>
        <v/>
      </c>
      <c r="T1027" s="32">
        <f>IF(OR($B1027="",$R1027="",$A1027="",$F1027=""),"",$B1027&amp;"|"&amp;$A1027&amp;"|"&amp;$F1027&amp;"|"&amp;$R1027&amp;"|"&amp;COUNTIFS($B$6:$B1027,$B1027,$A$6:$A1027,$A1027,$F$6:$F1027,$F1027,$R$6:$R1027,$R1027))</f>
        <v/>
      </c>
      <c r="U1027" s="32">
        <f>IF($C1027="","",$C1027&amp;"|"&amp;COUNTIFS($C$6:$C1027,$C1027))</f>
        <v/>
      </c>
      <c r="V1027" s="32">
        <f>IF(OR($C1027="",$A1027="",$S1027=""),"",$C1027&amp;"|"&amp;$A1027&amp;"|"&amp;$S1027)</f>
        <v/>
      </c>
      <c r="W1027" s="32">
        <f>IF(OR($C1027="",$S1027="",$S1027=1),"",IFERROR(INDEX($Q$6:$Q$1505,MATCH($C1027&amp;"|"&amp;$A1027&amp;"|"&amp;($S1027-1),$V$6:$V$1505,0)),""))</f>
        <v/>
      </c>
      <c r="X1027" s="32">
        <f>IF(OR($W1027="",$Q1027="",LEFT($Q1027,1)="—"),"",IF($W1027=$Q1027,"ללא שינוי","מ-"&amp;$W1027&amp;" ל-"&amp;$Q1027))</f>
        <v/>
      </c>
    </row>
    <row r="1028">
      <c r="A1028" s="65" t="n"/>
      <c r="B1028" s="65" t="n"/>
      <c r="C1028" s="66" t="n"/>
      <c r="D1028" s="66" t="n"/>
      <c r="E1028" s="65" t="n"/>
      <c r="F1028" s="65" t="n"/>
      <c r="G1028" s="65" t="n"/>
      <c r="H1028" s="65" t="n"/>
      <c r="I1028" s="65" t="n"/>
      <c r="J1028" s="65" t="n"/>
      <c r="K1028" s="65" t="n"/>
      <c r="L1028" s="65" t="n"/>
      <c r="M1028" s="65" t="n"/>
      <c r="N1028" s="65" t="n"/>
      <c r="O1028" s="65" t="n"/>
      <c r="P1028" s="65" t="n"/>
      <c r="Q1028" s="32">
        <f>IF($C1028="","",IF($J1028="","— חסרים נתונים",IF($J1028="טרם מפענח","פרופיל 5",IF($J1028="קמץ/פתח/חטף-פתח ושוואים","פרופיל 4",IF($J1028="2-3 סימני ניקוד","פרופיל 3",IF($J1028="4-5 סימני ניקוד","פרופיל 2",IF(AND($O1028="משפטים וקטעים קצרים",OR($M1028="מבין",$M1028="מבין לרוב")),"פרופיל 1","פרופיל 2")))))))</f>
        <v/>
      </c>
      <c r="R1028" s="32">
        <f>IF($C1028="","",IF(OR($Q1028="",LEFT($Q1028,1)="—"),"קבוצה רביעית",IF($Q1028="פרופיל 5","קבוצת תשתיות",IF(OR($Q1028="פרופיל 4",$Q1028="פרופיל 3"),"קבוצת רכישה","קבוצת ביסוס"))))</f>
        <v/>
      </c>
      <c r="S1028" s="32">
        <f>IF($F1028="","",IF($F1028="תחילת שנה",1,IF($F1028="מחצית שנה",2,3)))</f>
        <v/>
      </c>
      <c r="T1028" s="32">
        <f>IF(OR($B1028="",$R1028="",$A1028="",$F1028=""),"",$B1028&amp;"|"&amp;$A1028&amp;"|"&amp;$F1028&amp;"|"&amp;$R1028&amp;"|"&amp;COUNTIFS($B$6:$B1028,$B1028,$A$6:$A1028,$A1028,$F$6:$F1028,$F1028,$R$6:$R1028,$R1028))</f>
        <v/>
      </c>
      <c r="U1028" s="32">
        <f>IF($C1028="","",$C1028&amp;"|"&amp;COUNTIFS($C$6:$C1028,$C1028))</f>
        <v/>
      </c>
      <c r="V1028" s="32">
        <f>IF(OR($C1028="",$A1028="",$S1028=""),"",$C1028&amp;"|"&amp;$A1028&amp;"|"&amp;$S1028)</f>
        <v/>
      </c>
      <c r="W1028" s="32">
        <f>IF(OR($C1028="",$S1028="",$S1028=1),"",IFERROR(INDEX($Q$6:$Q$1505,MATCH($C1028&amp;"|"&amp;$A1028&amp;"|"&amp;($S1028-1),$V$6:$V$1505,0)),""))</f>
        <v/>
      </c>
      <c r="X1028" s="32">
        <f>IF(OR($W1028="",$Q1028="",LEFT($Q1028,1)="—"),"",IF($W1028=$Q1028,"ללא שינוי","מ-"&amp;$W1028&amp;" ל-"&amp;$Q1028))</f>
        <v/>
      </c>
    </row>
    <row r="1029">
      <c r="A1029" s="65" t="n"/>
      <c r="B1029" s="65" t="n"/>
      <c r="C1029" s="66" t="n"/>
      <c r="D1029" s="66" t="n"/>
      <c r="E1029" s="65" t="n"/>
      <c r="F1029" s="65" t="n"/>
      <c r="G1029" s="65" t="n"/>
      <c r="H1029" s="65" t="n"/>
      <c r="I1029" s="65" t="n"/>
      <c r="J1029" s="65" t="n"/>
      <c r="K1029" s="65" t="n"/>
      <c r="L1029" s="65" t="n"/>
      <c r="M1029" s="65" t="n"/>
      <c r="N1029" s="65" t="n"/>
      <c r="O1029" s="65" t="n"/>
      <c r="P1029" s="65" t="n"/>
      <c r="Q1029" s="32">
        <f>IF($C1029="","",IF($J1029="","— חסרים נתונים",IF($J1029="טרם מפענח","פרופיל 5",IF($J1029="קמץ/פתח/חטף-פתח ושוואים","פרופיל 4",IF($J1029="2-3 סימני ניקוד","פרופיל 3",IF($J1029="4-5 סימני ניקוד","פרופיל 2",IF(AND($O1029="משפטים וקטעים קצרים",OR($M1029="מבין",$M1029="מבין לרוב")),"פרופיל 1","פרופיל 2")))))))</f>
        <v/>
      </c>
      <c r="R1029" s="32">
        <f>IF($C1029="","",IF(OR($Q1029="",LEFT($Q1029,1)="—"),"קבוצה רביעית",IF($Q1029="פרופיל 5","קבוצת תשתיות",IF(OR($Q1029="פרופיל 4",$Q1029="פרופיל 3"),"קבוצת רכישה","קבוצת ביסוס"))))</f>
        <v/>
      </c>
      <c r="S1029" s="32">
        <f>IF($F1029="","",IF($F1029="תחילת שנה",1,IF($F1029="מחצית שנה",2,3)))</f>
        <v/>
      </c>
      <c r="T1029" s="32">
        <f>IF(OR($B1029="",$R1029="",$A1029="",$F1029=""),"",$B1029&amp;"|"&amp;$A1029&amp;"|"&amp;$F1029&amp;"|"&amp;$R1029&amp;"|"&amp;COUNTIFS($B$6:$B1029,$B1029,$A$6:$A1029,$A1029,$F$6:$F1029,$F1029,$R$6:$R1029,$R1029))</f>
        <v/>
      </c>
      <c r="U1029" s="32">
        <f>IF($C1029="","",$C1029&amp;"|"&amp;COUNTIFS($C$6:$C1029,$C1029))</f>
        <v/>
      </c>
      <c r="V1029" s="32">
        <f>IF(OR($C1029="",$A1029="",$S1029=""),"",$C1029&amp;"|"&amp;$A1029&amp;"|"&amp;$S1029)</f>
        <v/>
      </c>
      <c r="W1029" s="32">
        <f>IF(OR($C1029="",$S1029="",$S1029=1),"",IFERROR(INDEX($Q$6:$Q$1505,MATCH($C1029&amp;"|"&amp;$A1029&amp;"|"&amp;($S1029-1),$V$6:$V$1505,0)),""))</f>
        <v/>
      </c>
      <c r="X1029" s="32">
        <f>IF(OR($W1029="",$Q1029="",LEFT($Q1029,1)="—"),"",IF($W1029=$Q1029,"ללא שינוי","מ-"&amp;$W1029&amp;" ל-"&amp;$Q1029))</f>
        <v/>
      </c>
    </row>
    <row r="1030">
      <c r="A1030" s="65" t="n"/>
      <c r="B1030" s="65" t="n"/>
      <c r="C1030" s="66" t="n"/>
      <c r="D1030" s="66" t="n"/>
      <c r="E1030" s="65" t="n"/>
      <c r="F1030" s="65" t="n"/>
      <c r="G1030" s="65" t="n"/>
      <c r="H1030" s="65" t="n"/>
      <c r="I1030" s="65" t="n"/>
      <c r="J1030" s="65" t="n"/>
      <c r="K1030" s="65" t="n"/>
      <c r="L1030" s="65" t="n"/>
      <c r="M1030" s="65" t="n"/>
      <c r="N1030" s="65" t="n"/>
      <c r="O1030" s="65" t="n"/>
      <c r="P1030" s="65" t="n"/>
      <c r="Q1030" s="32">
        <f>IF($C1030="","",IF($J1030="","— חסרים נתונים",IF($J1030="טרם מפענח","פרופיל 5",IF($J1030="קמץ/פתח/חטף-פתח ושוואים","פרופיל 4",IF($J1030="2-3 סימני ניקוד","פרופיל 3",IF($J1030="4-5 סימני ניקוד","פרופיל 2",IF(AND($O1030="משפטים וקטעים קצרים",OR($M1030="מבין",$M1030="מבין לרוב")),"פרופיל 1","פרופיל 2")))))))</f>
        <v/>
      </c>
      <c r="R1030" s="32">
        <f>IF($C1030="","",IF(OR($Q1030="",LEFT($Q1030,1)="—"),"קבוצה רביעית",IF($Q1030="פרופיל 5","קבוצת תשתיות",IF(OR($Q1030="פרופיל 4",$Q1030="פרופיל 3"),"קבוצת רכישה","קבוצת ביסוס"))))</f>
        <v/>
      </c>
      <c r="S1030" s="32">
        <f>IF($F1030="","",IF($F1030="תחילת שנה",1,IF($F1030="מחצית שנה",2,3)))</f>
        <v/>
      </c>
      <c r="T1030" s="32">
        <f>IF(OR($B1030="",$R1030="",$A1030="",$F1030=""),"",$B1030&amp;"|"&amp;$A1030&amp;"|"&amp;$F1030&amp;"|"&amp;$R1030&amp;"|"&amp;COUNTIFS($B$6:$B1030,$B1030,$A$6:$A1030,$A1030,$F$6:$F1030,$F1030,$R$6:$R1030,$R1030))</f>
        <v/>
      </c>
      <c r="U1030" s="32">
        <f>IF($C1030="","",$C1030&amp;"|"&amp;COUNTIFS($C$6:$C1030,$C1030))</f>
        <v/>
      </c>
      <c r="V1030" s="32">
        <f>IF(OR($C1030="",$A1030="",$S1030=""),"",$C1030&amp;"|"&amp;$A1030&amp;"|"&amp;$S1030)</f>
        <v/>
      </c>
      <c r="W1030" s="32">
        <f>IF(OR($C1030="",$S1030="",$S1030=1),"",IFERROR(INDEX($Q$6:$Q$1505,MATCH($C1030&amp;"|"&amp;$A1030&amp;"|"&amp;($S1030-1),$V$6:$V$1505,0)),""))</f>
        <v/>
      </c>
      <c r="X1030" s="32">
        <f>IF(OR($W1030="",$Q1030="",LEFT($Q1030,1)="—"),"",IF($W1030=$Q1030,"ללא שינוי","מ-"&amp;$W1030&amp;" ל-"&amp;$Q1030))</f>
        <v/>
      </c>
    </row>
    <row r="1031">
      <c r="A1031" s="65" t="n"/>
      <c r="B1031" s="65" t="n"/>
      <c r="C1031" s="66" t="n"/>
      <c r="D1031" s="66" t="n"/>
      <c r="E1031" s="65" t="n"/>
      <c r="F1031" s="65" t="n"/>
      <c r="G1031" s="65" t="n"/>
      <c r="H1031" s="65" t="n"/>
      <c r="I1031" s="65" t="n"/>
      <c r="J1031" s="65" t="n"/>
      <c r="K1031" s="65" t="n"/>
      <c r="L1031" s="65" t="n"/>
      <c r="M1031" s="65" t="n"/>
      <c r="N1031" s="65" t="n"/>
      <c r="O1031" s="65" t="n"/>
      <c r="P1031" s="65" t="n"/>
      <c r="Q1031" s="32">
        <f>IF($C1031="","",IF($J1031="","— חסרים נתונים",IF($J1031="טרם מפענח","פרופיל 5",IF($J1031="קמץ/פתח/חטף-פתח ושוואים","פרופיל 4",IF($J1031="2-3 סימני ניקוד","פרופיל 3",IF($J1031="4-5 סימני ניקוד","פרופיל 2",IF(AND($O1031="משפטים וקטעים קצרים",OR($M1031="מבין",$M1031="מבין לרוב")),"פרופיל 1","פרופיל 2")))))))</f>
        <v/>
      </c>
      <c r="R1031" s="32">
        <f>IF($C1031="","",IF(OR($Q1031="",LEFT($Q1031,1)="—"),"קבוצה רביעית",IF($Q1031="פרופיל 5","קבוצת תשתיות",IF(OR($Q1031="פרופיל 4",$Q1031="פרופיל 3"),"קבוצת רכישה","קבוצת ביסוס"))))</f>
        <v/>
      </c>
      <c r="S1031" s="32">
        <f>IF($F1031="","",IF($F1031="תחילת שנה",1,IF($F1031="מחצית שנה",2,3)))</f>
        <v/>
      </c>
      <c r="T1031" s="32">
        <f>IF(OR($B1031="",$R1031="",$A1031="",$F1031=""),"",$B1031&amp;"|"&amp;$A1031&amp;"|"&amp;$F1031&amp;"|"&amp;$R1031&amp;"|"&amp;COUNTIFS($B$6:$B1031,$B1031,$A$6:$A1031,$A1031,$F$6:$F1031,$F1031,$R$6:$R1031,$R1031))</f>
        <v/>
      </c>
      <c r="U1031" s="32">
        <f>IF($C1031="","",$C1031&amp;"|"&amp;COUNTIFS($C$6:$C1031,$C1031))</f>
        <v/>
      </c>
      <c r="V1031" s="32">
        <f>IF(OR($C1031="",$A1031="",$S1031=""),"",$C1031&amp;"|"&amp;$A1031&amp;"|"&amp;$S1031)</f>
        <v/>
      </c>
      <c r="W1031" s="32">
        <f>IF(OR($C1031="",$S1031="",$S1031=1),"",IFERROR(INDEX($Q$6:$Q$1505,MATCH($C1031&amp;"|"&amp;$A1031&amp;"|"&amp;($S1031-1),$V$6:$V$1505,0)),""))</f>
        <v/>
      </c>
      <c r="X1031" s="32">
        <f>IF(OR($W1031="",$Q1031="",LEFT($Q1031,1)="—"),"",IF($W1031=$Q1031,"ללא שינוי","מ-"&amp;$W1031&amp;" ל-"&amp;$Q1031))</f>
        <v/>
      </c>
    </row>
    <row r="1032">
      <c r="A1032" s="65" t="n"/>
      <c r="B1032" s="65" t="n"/>
      <c r="C1032" s="66" t="n"/>
      <c r="D1032" s="66" t="n"/>
      <c r="E1032" s="65" t="n"/>
      <c r="F1032" s="65" t="n"/>
      <c r="G1032" s="65" t="n"/>
      <c r="H1032" s="65" t="n"/>
      <c r="I1032" s="65" t="n"/>
      <c r="J1032" s="65" t="n"/>
      <c r="K1032" s="65" t="n"/>
      <c r="L1032" s="65" t="n"/>
      <c r="M1032" s="65" t="n"/>
      <c r="N1032" s="65" t="n"/>
      <c r="O1032" s="65" t="n"/>
      <c r="P1032" s="65" t="n"/>
      <c r="Q1032" s="32">
        <f>IF($C1032="","",IF($J1032="","— חסרים נתונים",IF($J1032="טרם מפענח","פרופיל 5",IF($J1032="קמץ/פתח/חטף-פתח ושוואים","פרופיל 4",IF($J1032="2-3 סימני ניקוד","פרופיל 3",IF($J1032="4-5 סימני ניקוד","פרופיל 2",IF(AND($O1032="משפטים וקטעים קצרים",OR($M1032="מבין",$M1032="מבין לרוב")),"פרופיל 1","פרופיל 2")))))))</f>
        <v/>
      </c>
      <c r="R1032" s="32">
        <f>IF($C1032="","",IF(OR($Q1032="",LEFT($Q1032,1)="—"),"קבוצה רביעית",IF($Q1032="פרופיל 5","קבוצת תשתיות",IF(OR($Q1032="פרופיל 4",$Q1032="פרופיל 3"),"קבוצת רכישה","קבוצת ביסוס"))))</f>
        <v/>
      </c>
      <c r="S1032" s="32">
        <f>IF($F1032="","",IF($F1032="תחילת שנה",1,IF($F1032="מחצית שנה",2,3)))</f>
        <v/>
      </c>
      <c r="T1032" s="32">
        <f>IF(OR($B1032="",$R1032="",$A1032="",$F1032=""),"",$B1032&amp;"|"&amp;$A1032&amp;"|"&amp;$F1032&amp;"|"&amp;$R1032&amp;"|"&amp;COUNTIFS($B$6:$B1032,$B1032,$A$6:$A1032,$A1032,$F$6:$F1032,$F1032,$R$6:$R1032,$R1032))</f>
        <v/>
      </c>
      <c r="U1032" s="32">
        <f>IF($C1032="","",$C1032&amp;"|"&amp;COUNTIFS($C$6:$C1032,$C1032))</f>
        <v/>
      </c>
      <c r="V1032" s="32">
        <f>IF(OR($C1032="",$A1032="",$S1032=""),"",$C1032&amp;"|"&amp;$A1032&amp;"|"&amp;$S1032)</f>
        <v/>
      </c>
      <c r="W1032" s="32">
        <f>IF(OR($C1032="",$S1032="",$S1032=1),"",IFERROR(INDEX($Q$6:$Q$1505,MATCH($C1032&amp;"|"&amp;$A1032&amp;"|"&amp;($S1032-1),$V$6:$V$1505,0)),""))</f>
        <v/>
      </c>
      <c r="X1032" s="32">
        <f>IF(OR($W1032="",$Q1032="",LEFT($Q1032,1)="—"),"",IF($W1032=$Q1032,"ללא שינוי","מ-"&amp;$W1032&amp;" ל-"&amp;$Q1032))</f>
        <v/>
      </c>
    </row>
    <row r="1033">
      <c r="A1033" s="65" t="n"/>
      <c r="B1033" s="65" t="n"/>
      <c r="C1033" s="66" t="n"/>
      <c r="D1033" s="66" t="n"/>
      <c r="E1033" s="65" t="n"/>
      <c r="F1033" s="65" t="n"/>
      <c r="G1033" s="65" t="n"/>
      <c r="H1033" s="65" t="n"/>
      <c r="I1033" s="65" t="n"/>
      <c r="J1033" s="65" t="n"/>
      <c r="K1033" s="65" t="n"/>
      <c r="L1033" s="65" t="n"/>
      <c r="M1033" s="65" t="n"/>
      <c r="N1033" s="65" t="n"/>
      <c r="O1033" s="65" t="n"/>
      <c r="P1033" s="65" t="n"/>
      <c r="Q1033" s="32">
        <f>IF($C1033="","",IF($J1033="","— חסרים נתונים",IF($J1033="טרם מפענח","פרופיל 5",IF($J1033="קמץ/פתח/חטף-פתח ושוואים","פרופיל 4",IF($J1033="2-3 סימני ניקוד","פרופיל 3",IF($J1033="4-5 סימני ניקוד","פרופיל 2",IF(AND($O1033="משפטים וקטעים קצרים",OR($M1033="מבין",$M1033="מבין לרוב")),"פרופיל 1","פרופיל 2")))))))</f>
        <v/>
      </c>
      <c r="R1033" s="32">
        <f>IF($C1033="","",IF(OR($Q1033="",LEFT($Q1033,1)="—"),"קבוצה רביעית",IF($Q1033="פרופיל 5","קבוצת תשתיות",IF(OR($Q1033="פרופיל 4",$Q1033="פרופיל 3"),"קבוצת רכישה","קבוצת ביסוס"))))</f>
        <v/>
      </c>
      <c r="S1033" s="32">
        <f>IF($F1033="","",IF($F1033="תחילת שנה",1,IF($F1033="מחצית שנה",2,3)))</f>
        <v/>
      </c>
      <c r="T1033" s="32">
        <f>IF(OR($B1033="",$R1033="",$A1033="",$F1033=""),"",$B1033&amp;"|"&amp;$A1033&amp;"|"&amp;$F1033&amp;"|"&amp;$R1033&amp;"|"&amp;COUNTIFS($B$6:$B1033,$B1033,$A$6:$A1033,$A1033,$F$6:$F1033,$F1033,$R$6:$R1033,$R1033))</f>
        <v/>
      </c>
      <c r="U1033" s="32">
        <f>IF($C1033="","",$C1033&amp;"|"&amp;COUNTIFS($C$6:$C1033,$C1033))</f>
        <v/>
      </c>
      <c r="V1033" s="32">
        <f>IF(OR($C1033="",$A1033="",$S1033=""),"",$C1033&amp;"|"&amp;$A1033&amp;"|"&amp;$S1033)</f>
        <v/>
      </c>
      <c r="W1033" s="32">
        <f>IF(OR($C1033="",$S1033="",$S1033=1),"",IFERROR(INDEX($Q$6:$Q$1505,MATCH($C1033&amp;"|"&amp;$A1033&amp;"|"&amp;($S1033-1),$V$6:$V$1505,0)),""))</f>
        <v/>
      </c>
      <c r="X1033" s="32">
        <f>IF(OR($W1033="",$Q1033="",LEFT($Q1033,1)="—"),"",IF($W1033=$Q1033,"ללא שינוי","מ-"&amp;$W1033&amp;" ל-"&amp;$Q1033))</f>
        <v/>
      </c>
    </row>
    <row r="1034">
      <c r="A1034" s="65" t="n"/>
      <c r="B1034" s="65" t="n"/>
      <c r="C1034" s="66" t="n"/>
      <c r="D1034" s="66" t="n"/>
      <c r="E1034" s="65" t="n"/>
      <c r="F1034" s="65" t="n"/>
      <c r="G1034" s="65" t="n"/>
      <c r="H1034" s="65" t="n"/>
      <c r="I1034" s="65" t="n"/>
      <c r="J1034" s="65" t="n"/>
      <c r="K1034" s="65" t="n"/>
      <c r="L1034" s="65" t="n"/>
      <c r="M1034" s="65" t="n"/>
      <c r="N1034" s="65" t="n"/>
      <c r="O1034" s="65" t="n"/>
      <c r="P1034" s="65" t="n"/>
      <c r="Q1034" s="32">
        <f>IF($C1034="","",IF($J1034="","— חסרים נתונים",IF($J1034="טרם מפענח","פרופיל 5",IF($J1034="קמץ/פתח/חטף-פתח ושוואים","פרופיל 4",IF($J1034="2-3 סימני ניקוד","פרופיל 3",IF($J1034="4-5 סימני ניקוד","פרופיל 2",IF(AND($O1034="משפטים וקטעים קצרים",OR($M1034="מבין",$M1034="מבין לרוב")),"פרופיל 1","פרופיל 2")))))))</f>
        <v/>
      </c>
      <c r="R1034" s="32">
        <f>IF($C1034="","",IF(OR($Q1034="",LEFT($Q1034,1)="—"),"קבוצה רביעית",IF($Q1034="פרופיל 5","קבוצת תשתיות",IF(OR($Q1034="פרופיל 4",$Q1034="פרופיל 3"),"קבוצת רכישה","קבוצת ביסוס"))))</f>
        <v/>
      </c>
      <c r="S1034" s="32">
        <f>IF($F1034="","",IF($F1034="תחילת שנה",1,IF($F1034="מחצית שנה",2,3)))</f>
        <v/>
      </c>
      <c r="T1034" s="32">
        <f>IF(OR($B1034="",$R1034="",$A1034="",$F1034=""),"",$B1034&amp;"|"&amp;$A1034&amp;"|"&amp;$F1034&amp;"|"&amp;$R1034&amp;"|"&amp;COUNTIFS($B$6:$B1034,$B1034,$A$6:$A1034,$A1034,$F$6:$F1034,$F1034,$R$6:$R1034,$R1034))</f>
        <v/>
      </c>
      <c r="U1034" s="32">
        <f>IF($C1034="","",$C1034&amp;"|"&amp;COUNTIFS($C$6:$C1034,$C1034))</f>
        <v/>
      </c>
      <c r="V1034" s="32">
        <f>IF(OR($C1034="",$A1034="",$S1034=""),"",$C1034&amp;"|"&amp;$A1034&amp;"|"&amp;$S1034)</f>
        <v/>
      </c>
      <c r="W1034" s="32">
        <f>IF(OR($C1034="",$S1034="",$S1034=1),"",IFERROR(INDEX($Q$6:$Q$1505,MATCH($C1034&amp;"|"&amp;$A1034&amp;"|"&amp;($S1034-1),$V$6:$V$1505,0)),""))</f>
        <v/>
      </c>
      <c r="X1034" s="32">
        <f>IF(OR($W1034="",$Q1034="",LEFT($Q1034,1)="—"),"",IF($W1034=$Q1034,"ללא שינוי","מ-"&amp;$W1034&amp;" ל-"&amp;$Q1034))</f>
        <v/>
      </c>
    </row>
    <row r="1035">
      <c r="A1035" s="65" t="n"/>
      <c r="B1035" s="65" t="n"/>
      <c r="C1035" s="66" t="n"/>
      <c r="D1035" s="66" t="n"/>
      <c r="E1035" s="65" t="n"/>
      <c r="F1035" s="65" t="n"/>
      <c r="G1035" s="65" t="n"/>
      <c r="H1035" s="65" t="n"/>
      <c r="I1035" s="65" t="n"/>
      <c r="J1035" s="65" t="n"/>
      <c r="K1035" s="65" t="n"/>
      <c r="L1035" s="65" t="n"/>
      <c r="M1035" s="65" t="n"/>
      <c r="N1035" s="65" t="n"/>
      <c r="O1035" s="65" t="n"/>
      <c r="P1035" s="65" t="n"/>
      <c r="Q1035" s="32">
        <f>IF($C1035="","",IF($J1035="","— חסרים נתונים",IF($J1035="טרם מפענח","פרופיל 5",IF($J1035="קמץ/פתח/חטף-פתח ושוואים","פרופיל 4",IF($J1035="2-3 סימני ניקוד","פרופיל 3",IF($J1035="4-5 סימני ניקוד","פרופיל 2",IF(AND($O1035="משפטים וקטעים קצרים",OR($M1035="מבין",$M1035="מבין לרוב")),"פרופיל 1","פרופיל 2")))))))</f>
        <v/>
      </c>
      <c r="R1035" s="32">
        <f>IF($C1035="","",IF(OR($Q1035="",LEFT($Q1035,1)="—"),"קבוצה רביעית",IF($Q1035="פרופיל 5","קבוצת תשתיות",IF(OR($Q1035="פרופיל 4",$Q1035="פרופיל 3"),"קבוצת רכישה","קבוצת ביסוס"))))</f>
        <v/>
      </c>
      <c r="S1035" s="32">
        <f>IF($F1035="","",IF($F1035="תחילת שנה",1,IF($F1035="מחצית שנה",2,3)))</f>
        <v/>
      </c>
      <c r="T1035" s="32">
        <f>IF(OR($B1035="",$R1035="",$A1035="",$F1035=""),"",$B1035&amp;"|"&amp;$A1035&amp;"|"&amp;$F1035&amp;"|"&amp;$R1035&amp;"|"&amp;COUNTIFS($B$6:$B1035,$B1035,$A$6:$A1035,$A1035,$F$6:$F1035,$F1035,$R$6:$R1035,$R1035))</f>
        <v/>
      </c>
      <c r="U1035" s="32">
        <f>IF($C1035="","",$C1035&amp;"|"&amp;COUNTIFS($C$6:$C1035,$C1035))</f>
        <v/>
      </c>
      <c r="V1035" s="32">
        <f>IF(OR($C1035="",$A1035="",$S1035=""),"",$C1035&amp;"|"&amp;$A1035&amp;"|"&amp;$S1035)</f>
        <v/>
      </c>
      <c r="W1035" s="32">
        <f>IF(OR($C1035="",$S1035="",$S1035=1),"",IFERROR(INDEX($Q$6:$Q$1505,MATCH($C1035&amp;"|"&amp;$A1035&amp;"|"&amp;($S1035-1),$V$6:$V$1505,0)),""))</f>
        <v/>
      </c>
      <c r="X1035" s="32">
        <f>IF(OR($W1035="",$Q1035="",LEFT($Q1035,1)="—"),"",IF($W1035=$Q1035,"ללא שינוי","מ-"&amp;$W1035&amp;" ל-"&amp;$Q1035))</f>
        <v/>
      </c>
    </row>
    <row r="1036">
      <c r="A1036" s="65" t="n"/>
      <c r="B1036" s="65" t="n"/>
      <c r="C1036" s="66" t="n"/>
      <c r="D1036" s="66" t="n"/>
      <c r="E1036" s="65" t="n"/>
      <c r="F1036" s="65" t="n"/>
      <c r="G1036" s="65" t="n"/>
      <c r="H1036" s="65" t="n"/>
      <c r="I1036" s="65" t="n"/>
      <c r="J1036" s="65" t="n"/>
      <c r="K1036" s="65" t="n"/>
      <c r="L1036" s="65" t="n"/>
      <c r="M1036" s="65" t="n"/>
      <c r="N1036" s="65" t="n"/>
      <c r="O1036" s="65" t="n"/>
      <c r="P1036" s="65" t="n"/>
      <c r="Q1036" s="32">
        <f>IF($C1036="","",IF($J1036="","— חסרים נתונים",IF($J1036="טרם מפענח","פרופיל 5",IF($J1036="קמץ/פתח/חטף-פתח ושוואים","פרופיל 4",IF($J1036="2-3 סימני ניקוד","פרופיל 3",IF($J1036="4-5 סימני ניקוד","פרופיל 2",IF(AND($O1036="משפטים וקטעים קצרים",OR($M1036="מבין",$M1036="מבין לרוב")),"פרופיל 1","פרופיל 2")))))))</f>
        <v/>
      </c>
      <c r="R1036" s="32">
        <f>IF($C1036="","",IF(OR($Q1036="",LEFT($Q1036,1)="—"),"קבוצה רביעית",IF($Q1036="פרופיל 5","קבוצת תשתיות",IF(OR($Q1036="פרופיל 4",$Q1036="פרופיל 3"),"קבוצת רכישה","קבוצת ביסוס"))))</f>
        <v/>
      </c>
      <c r="S1036" s="32">
        <f>IF($F1036="","",IF($F1036="תחילת שנה",1,IF($F1036="מחצית שנה",2,3)))</f>
        <v/>
      </c>
      <c r="T1036" s="32">
        <f>IF(OR($B1036="",$R1036="",$A1036="",$F1036=""),"",$B1036&amp;"|"&amp;$A1036&amp;"|"&amp;$F1036&amp;"|"&amp;$R1036&amp;"|"&amp;COUNTIFS($B$6:$B1036,$B1036,$A$6:$A1036,$A1036,$F$6:$F1036,$F1036,$R$6:$R1036,$R1036))</f>
        <v/>
      </c>
      <c r="U1036" s="32">
        <f>IF($C1036="","",$C1036&amp;"|"&amp;COUNTIFS($C$6:$C1036,$C1036))</f>
        <v/>
      </c>
      <c r="V1036" s="32">
        <f>IF(OR($C1036="",$A1036="",$S1036=""),"",$C1036&amp;"|"&amp;$A1036&amp;"|"&amp;$S1036)</f>
        <v/>
      </c>
      <c r="W1036" s="32">
        <f>IF(OR($C1036="",$S1036="",$S1036=1),"",IFERROR(INDEX($Q$6:$Q$1505,MATCH($C1036&amp;"|"&amp;$A1036&amp;"|"&amp;($S1036-1),$V$6:$V$1505,0)),""))</f>
        <v/>
      </c>
      <c r="X1036" s="32">
        <f>IF(OR($W1036="",$Q1036="",LEFT($Q1036,1)="—"),"",IF($W1036=$Q1036,"ללא שינוי","מ-"&amp;$W1036&amp;" ל-"&amp;$Q1036))</f>
        <v/>
      </c>
    </row>
    <row r="1037">
      <c r="A1037" s="65" t="n"/>
      <c r="B1037" s="65" t="n"/>
      <c r="C1037" s="66" t="n"/>
      <c r="D1037" s="66" t="n"/>
      <c r="E1037" s="65" t="n"/>
      <c r="F1037" s="65" t="n"/>
      <c r="G1037" s="65" t="n"/>
      <c r="H1037" s="65" t="n"/>
      <c r="I1037" s="65" t="n"/>
      <c r="J1037" s="65" t="n"/>
      <c r="K1037" s="65" t="n"/>
      <c r="L1037" s="65" t="n"/>
      <c r="M1037" s="65" t="n"/>
      <c r="N1037" s="65" t="n"/>
      <c r="O1037" s="65" t="n"/>
      <c r="P1037" s="65" t="n"/>
      <c r="Q1037" s="32">
        <f>IF($C1037="","",IF($J1037="","— חסרים נתונים",IF($J1037="טרם מפענח","פרופיל 5",IF($J1037="קמץ/פתח/חטף-פתח ושוואים","פרופיל 4",IF($J1037="2-3 סימני ניקוד","פרופיל 3",IF($J1037="4-5 סימני ניקוד","פרופיל 2",IF(AND($O1037="משפטים וקטעים קצרים",OR($M1037="מבין",$M1037="מבין לרוב")),"פרופיל 1","פרופיל 2")))))))</f>
        <v/>
      </c>
      <c r="R1037" s="32">
        <f>IF($C1037="","",IF(OR($Q1037="",LEFT($Q1037,1)="—"),"קבוצה רביעית",IF($Q1037="פרופיל 5","קבוצת תשתיות",IF(OR($Q1037="פרופיל 4",$Q1037="פרופיל 3"),"קבוצת רכישה","קבוצת ביסוס"))))</f>
        <v/>
      </c>
      <c r="S1037" s="32">
        <f>IF($F1037="","",IF($F1037="תחילת שנה",1,IF($F1037="מחצית שנה",2,3)))</f>
        <v/>
      </c>
      <c r="T1037" s="32">
        <f>IF(OR($B1037="",$R1037="",$A1037="",$F1037=""),"",$B1037&amp;"|"&amp;$A1037&amp;"|"&amp;$F1037&amp;"|"&amp;$R1037&amp;"|"&amp;COUNTIFS($B$6:$B1037,$B1037,$A$6:$A1037,$A1037,$F$6:$F1037,$F1037,$R$6:$R1037,$R1037))</f>
        <v/>
      </c>
      <c r="U1037" s="32">
        <f>IF($C1037="","",$C1037&amp;"|"&amp;COUNTIFS($C$6:$C1037,$C1037))</f>
        <v/>
      </c>
      <c r="V1037" s="32">
        <f>IF(OR($C1037="",$A1037="",$S1037=""),"",$C1037&amp;"|"&amp;$A1037&amp;"|"&amp;$S1037)</f>
        <v/>
      </c>
      <c r="W1037" s="32">
        <f>IF(OR($C1037="",$S1037="",$S1037=1),"",IFERROR(INDEX($Q$6:$Q$1505,MATCH($C1037&amp;"|"&amp;$A1037&amp;"|"&amp;($S1037-1),$V$6:$V$1505,0)),""))</f>
        <v/>
      </c>
      <c r="X1037" s="32">
        <f>IF(OR($W1037="",$Q1037="",LEFT($Q1037,1)="—"),"",IF($W1037=$Q1037,"ללא שינוי","מ-"&amp;$W1037&amp;" ל-"&amp;$Q1037))</f>
        <v/>
      </c>
    </row>
    <row r="1038">
      <c r="A1038" s="65" t="n"/>
      <c r="B1038" s="65" t="n"/>
      <c r="C1038" s="66" t="n"/>
      <c r="D1038" s="66" t="n"/>
      <c r="E1038" s="65" t="n"/>
      <c r="F1038" s="65" t="n"/>
      <c r="G1038" s="65" t="n"/>
      <c r="H1038" s="65" t="n"/>
      <c r="I1038" s="65" t="n"/>
      <c r="J1038" s="65" t="n"/>
      <c r="K1038" s="65" t="n"/>
      <c r="L1038" s="65" t="n"/>
      <c r="M1038" s="65" t="n"/>
      <c r="N1038" s="65" t="n"/>
      <c r="O1038" s="65" t="n"/>
      <c r="P1038" s="65" t="n"/>
      <c r="Q1038" s="32">
        <f>IF($C1038="","",IF($J1038="","— חסרים נתונים",IF($J1038="טרם מפענח","פרופיל 5",IF($J1038="קמץ/פתח/חטף-פתח ושוואים","פרופיל 4",IF($J1038="2-3 סימני ניקוד","פרופיל 3",IF($J1038="4-5 סימני ניקוד","פרופיל 2",IF(AND($O1038="משפטים וקטעים קצרים",OR($M1038="מבין",$M1038="מבין לרוב")),"פרופיל 1","פרופיל 2")))))))</f>
        <v/>
      </c>
      <c r="R1038" s="32">
        <f>IF($C1038="","",IF(OR($Q1038="",LEFT($Q1038,1)="—"),"קבוצה רביעית",IF($Q1038="פרופיל 5","קבוצת תשתיות",IF(OR($Q1038="פרופיל 4",$Q1038="פרופיל 3"),"קבוצת רכישה","קבוצת ביסוס"))))</f>
        <v/>
      </c>
      <c r="S1038" s="32">
        <f>IF($F1038="","",IF($F1038="תחילת שנה",1,IF($F1038="מחצית שנה",2,3)))</f>
        <v/>
      </c>
      <c r="T1038" s="32">
        <f>IF(OR($B1038="",$R1038="",$A1038="",$F1038=""),"",$B1038&amp;"|"&amp;$A1038&amp;"|"&amp;$F1038&amp;"|"&amp;$R1038&amp;"|"&amp;COUNTIFS($B$6:$B1038,$B1038,$A$6:$A1038,$A1038,$F$6:$F1038,$F1038,$R$6:$R1038,$R1038))</f>
        <v/>
      </c>
      <c r="U1038" s="32">
        <f>IF($C1038="","",$C1038&amp;"|"&amp;COUNTIFS($C$6:$C1038,$C1038))</f>
        <v/>
      </c>
      <c r="V1038" s="32">
        <f>IF(OR($C1038="",$A1038="",$S1038=""),"",$C1038&amp;"|"&amp;$A1038&amp;"|"&amp;$S1038)</f>
        <v/>
      </c>
      <c r="W1038" s="32">
        <f>IF(OR($C1038="",$S1038="",$S1038=1),"",IFERROR(INDEX($Q$6:$Q$1505,MATCH($C1038&amp;"|"&amp;$A1038&amp;"|"&amp;($S1038-1),$V$6:$V$1505,0)),""))</f>
        <v/>
      </c>
      <c r="X1038" s="32">
        <f>IF(OR($W1038="",$Q1038="",LEFT($Q1038,1)="—"),"",IF($W1038=$Q1038,"ללא שינוי","מ-"&amp;$W1038&amp;" ל-"&amp;$Q1038))</f>
        <v/>
      </c>
    </row>
    <row r="1039">
      <c r="A1039" s="65" t="n"/>
      <c r="B1039" s="65" t="n"/>
      <c r="C1039" s="66" t="n"/>
      <c r="D1039" s="66" t="n"/>
      <c r="E1039" s="65" t="n"/>
      <c r="F1039" s="65" t="n"/>
      <c r="G1039" s="65" t="n"/>
      <c r="H1039" s="65" t="n"/>
      <c r="I1039" s="65" t="n"/>
      <c r="J1039" s="65" t="n"/>
      <c r="K1039" s="65" t="n"/>
      <c r="L1039" s="65" t="n"/>
      <c r="M1039" s="65" t="n"/>
      <c r="N1039" s="65" t="n"/>
      <c r="O1039" s="65" t="n"/>
      <c r="P1039" s="65" t="n"/>
      <c r="Q1039" s="32">
        <f>IF($C1039="","",IF($J1039="","— חסרים נתונים",IF($J1039="טרם מפענח","פרופיל 5",IF($J1039="קמץ/פתח/חטף-פתח ושוואים","פרופיל 4",IF($J1039="2-3 סימני ניקוד","פרופיל 3",IF($J1039="4-5 סימני ניקוד","פרופיל 2",IF(AND($O1039="משפטים וקטעים קצרים",OR($M1039="מבין",$M1039="מבין לרוב")),"פרופיל 1","פרופיל 2")))))))</f>
        <v/>
      </c>
      <c r="R1039" s="32">
        <f>IF($C1039="","",IF(OR($Q1039="",LEFT($Q1039,1)="—"),"קבוצה רביעית",IF($Q1039="פרופיל 5","קבוצת תשתיות",IF(OR($Q1039="פרופיל 4",$Q1039="פרופיל 3"),"קבוצת רכישה","קבוצת ביסוס"))))</f>
        <v/>
      </c>
      <c r="S1039" s="32">
        <f>IF($F1039="","",IF($F1039="תחילת שנה",1,IF($F1039="מחצית שנה",2,3)))</f>
        <v/>
      </c>
      <c r="T1039" s="32">
        <f>IF(OR($B1039="",$R1039="",$A1039="",$F1039=""),"",$B1039&amp;"|"&amp;$A1039&amp;"|"&amp;$F1039&amp;"|"&amp;$R1039&amp;"|"&amp;COUNTIFS($B$6:$B1039,$B1039,$A$6:$A1039,$A1039,$F$6:$F1039,$F1039,$R$6:$R1039,$R1039))</f>
        <v/>
      </c>
      <c r="U1039" s="32">
        <f>IF($C1039="","",$C1039&amp;"|"&amp;COUNTIFS($C$6:$C1039,$C1039))</f>
        <v/>
      </c>
      <c r="V1039" s="32">
        <f>IF(OR($C1039="",$A1039="",$S1039=""),"",$C1039&amp;"|"&amp;$A1039&amp;"|"&amp;$S1039)</f>
        <v/>
      </c>
      <c r="W1039" s="32">
        <f>IF(OR($C1039="",$S1039="",$S1039=1),"",IFERROR(INDEX($Q$6:$Q$1505,MATCH($C1039&amp;"|"&amp;$A1039&amp;"|"&amp;($S1039-1),$V$6:$V$1505,0)),""))</f>
        <v/>
      </c>
      <c r="X1039" s="32">
        <f>IF(OR($W1039="",$Q1039="",LEFT($Q1039,1)="—"),"",IF($W1039=$Q1039,"ללא שינוי","מ-"&amp;$W1039&amp;" ל-"&amp;$Q1039))</f>
        <v/>
      </c>
    </row>
    <row r="1040">
      <c r="A1040" s="65" t="n"/>
      <c r="B1040" s="65" t="n"/>
      <c r="C1040" s="66" t="n"/>
      <c r="D1040" s="66" t="n"/>
      <c r="E1040" s="65" t="n"/>
      <c r="F1040" s="65" t="n"/>
      <c r="G1040" s="65" t="n"/>
      <c r="H1040" s="65" t="n"/>
      <c r="I1040" s="65" t="n"/>
      <c r="J1040" s="65" t="n"/>
      <c r="K1040" s="65" t="n"/>
      <c r="L1040" s="65" t="n"/>
      <c r="M1040" s="65" t="n"/>
      <c r="N1040" s="65" t="n"/>
      <c r="O1040" s="65" t="n"/>
      <c r="P1040" s="65" t="n"/>
      <c r="Q1040" s="32">
        <f>IF($C1040="","",IF($J1040="","— חסרים נתונים",IF($J1040="טרם מפענח","פרופיל 5",IF($J1040="קמץ/פתח/חטף-פתח ושוואים","פרופיל 4",IF($J1040="2-3 סימני ניקוד","פרופיל 3",IF($J1040="4-5 סימני ניקוד","פרופיל 2",IF(AND($O1040="משפטים וקטעים קצרים",OR($M1040="מבין",$M1040="מבין לרוב")),"פרופיל 1","פרופיל 2")))))))</f>
        <v/>
      </c>
      <c r="R1040" s="32">
        <f>IF($C1040="","",IF(OR($Q1040="",LEFT($Q1040,1)="—"),"קבוצה רביעית",IF($Q1040="פרופיל 5","קבוצת תשתיות",IF(OR($Q1040="פרופיל 4",$Q1040="פרופיל 3"),"קבוצת רכישה","קבוצת ביסוס"))))</f>
        <v/>
      </c>
      <c r="S1040" s="32">
        <f>IF($F1040="","",IF($F1040="תחילת שנה",1,IF($F1040="מחצית שנה",2,3)))</f>
        <v/>
      </c>
      <c r="T1040" s="32">
        <f>IF(OR($B1040="",$R1040="",$A1040="",$F1040=""),"",$B1040&amp;"|"&amp;$A1040&amp;"|"&amp;$F1040&amp;"|"&amp;$R1040&amp;"|"&amp;COUNTIFS($B$6:$B1040,$B1040,$A$6:$A1040,$A1040,$F$6:$F1040,$F1040,$R$6:$R1040,$R1040))</f>
        <v/>
      </c>
      <c r="U1040" s="32">
        <f>IF($C1040="","",$C1040&amp;"|"&amp;COUNTIFS($C$6:$C1040,$C1040))</f>
        <v/>
      </c>
      <c r="V1040" s="32">
        <f>IF(OR($C1040="",$A1040="",$S1040=""),"",$C1040&amp;"|"&amp;$A1040&amp;"|"&amp;$S1040)</f>
        <v/>
      </c>
      <c r="W1040" s="32">
        <f>IF(OR($C1040="",$S1040="",$S1040=1),"",IFERROR(INDEX($Q$6:$Q$1505,MATCH($C1040&amp;"|"&amp;$A1040&amp;"|"&amp;($S1040-1),$V$6:$V$1505,0)),""))</f>
        <v/>
      </c>
      <c r="X1040" s="32">
        <f>IF(OR($W1040="",$Q1040="",LEFT($Q1040,1)="—"),"",IF($W1040=$Q1040,"ללא שינוי","מ-"&amp;$W1040&amp;" ל-"&amp;$Q1040))</f>
        <v/>
      </c>
    </row>
    <row r="1041">
      <c r="A1041" s="65" t="n"/>
      <c r="B1041" s="65" t="n"/>
      <c r="C1041" s="66" t="n"/>
      <c r="D1041" s="66" t="n"/>
      <c r="E1041" s="65" t="n"/>
      <c r="F1041" s="65" t="n"/>
      <c r="G1041" s="65" t="n"/>
      <c r="H1041" s="65" t="n"/>
      <c r="I1041" s="65" t="n"/>
      <c r="J1041" s="65" t="n"/>
      <c r="K1041" s="65" t="n"/>
      <c r="L1041" s="65" t="n"/>
      <c r="M1041" s="65" t="n"/>
      <c r="N1041" s="65" t="n"/>
      <c r="O1041" s="65" t="n"/>
      <c r="P1041" s="65" t="n"/>
      <c r="Q1041" s="32">
        <f>IF($C1041="","",IF($J1041="","— חסרים נתונים",IF($J1041="טרם מפענח","פרופיל 5",IF($J1041="קמץ/פתח/חטף-פתח ושוואים","פרופיל 4",IF($J1041="2-3 סימני ניקוד","פרופיל 3",IF($J1041="4-5 סימני ניקוד","פרופיל 2",IF(AND($O1041="משפטים וקטעים קצרים",OR($M1041="מבין",$M1041="מבין לרוב")),"פרופיל 1","פרופיל 2")))))))</f>
        <v/>
      </c>
      <c r="R1041" s="32">
        <f>IF($C1041="","",IF(OR($Q1041="",LEFT($Q1041,1)="—"),"קבוצה רביעית",IF($Q1041="פרופיל 5","קבוצת תשתיות",IF(OR($Q1041="פרופיל 4",$Q1041="פרופיל 3"),"קבוצת רכישה","קבוצת ביסוס"))))</f>
        <v/>
      </c>
      <c r="S1041" s="32">
        <f>IF($F1041="","",IF($F1041="תחילת שנה",1,IF($F1041="מחצית שנה",2,3)))</f>
        <v/>
      </c>
      <c r="T1041" s="32">
        <f>IF(OR($B1041="",$R1041="",$A1041="",$F1041=""),"",$B1041&amp;"|"&amp;$A1041&amp;"|"&amp;$F1041&amp;"|"&amp;$R1041&amp;"|"&amp;COUNTIFS($B$6:$B1041,$B1041,$A$6:$A1041,$A1041,$F$6:$F1041,$F1041,$R$6:$R1041,$R1041))</f>
        <v/>
      </c>
      <c r="U1041" s="32">
        <f>IF($C1041="","",$C1041&amp;"|"&amp;COUNTIFS($C$6:$C1041,$C1041))</f>
        <v/>
      </c>
      <c r="V1041" s="32">
        <f>IF(OR($C1041="",$A1041="",$S1041=""),"",$C1041&amp;"|"&amp;$A1041&amp;"|"&amp;$S1041)</f>
        <v/>
      </c>
      <c r="W1041" s="32">
        <f>IF(OR($C1041="",$S1041="",$S1041=1),"",IFERROR(INDEX($Q$6:$Q$1505,MATCH($C1041&amp;"|"&amp;$A1041&amp;"|"&amp;($S1041-1),$V$6:$V$1505,0)),""))</f>
        <v/>
      </c>
      <c r="X1041" s="32">
        <f>IF(OR($W1041="",$Q1041="",LEFT($Q1041,1)="—"),"",IF($W1041=$Q1041,"ללא שינוי","מ-"&amp;$W1041&amp;" ל-"&amp;$Q1041))</f>
        <v/>
      </c>
    </row>
    <row r="1042">
      <c r="A1042" s="65" t="n"/>
      <c r="B1042" s="65" t="n"/>
      <c r="C1042" s="66" t="n"/>
      <c r="D1042" s="66" t="n"/>
      <c r="E1042" s="65" t="n"/>
      <c r="F1042" s="65" t="n"/>
      <c r="G1042" s="65" t="n"/>
      <c r="H1042" s="65" t="n"/>
      <c r="I1042" s="65" t="n"/>
      <c r="J1042" s="65" t="n"/>
      <c r="K1042" s="65" t="n"/>
      <c r="L1042" s="65" t="n"/>
      <c r="M1042" s="65" t="n"/>
      <c r="N1042" s="65" t="n"/>
      <c r="O1042" s="65" t="n"/>
      <c r="P1042" s="65" t="n"/>
      <c r="Q1042" s="32">
        <f>IF($C1042="","",IF($J1042="","— חסרים נתונים",IF($J1042="טרם מפענח","פרופיל 5",IF($J1042="קמץ/פתח/חטף-פתח ושוואים","פרופיל 4",IF($J1042="2-3 סימני ניקוד","פרופיל 3",IF($J1042="4-5 סימני ניקוד","פרופיל 2",IF(AND($O1042="משפטים וקטעים קצרים",OR($M1042="מבין",$M1042="מבין לרוב")),"פרופיל 1","פרופיל 2")))))))</f>
        <v/>
      </c>
      <c r="R1042" s="32">
        <f>IF($C1042="","",IF(OR($Q1042="",LEFT($Q1042,1)="—"),"קבוצה רביעית",IF($Q1042="פרופיל 5","קבוצת תשתיות",IF(OR($Q1042="פרופיל 4",$Q1042="פרופיל 3"),"קבוצת רכישה","קבוצת ביסוס"))))</f>
        <v/>
      </c>
      <c r="S1042" s="32">
        <f>IF($F1042="","",IF($F1042="תחילת שנה",1,IF($F1042="מחצית שנה",2,3)))</f>
        <v/>
      </c>
      <c r="T1042" s="32">
        <f>IF(OR($B1042="",$R1042="",$A1042="",$F1042=""),"",$B1042&amp;"|"&amp;$A1042&amp;"|"&amp;$F1042&amp;"|"&amp;$R1042&amp;"|"&amp;COUNTIFS($B$6:$B1042,$B1042,$A$6:$A1042,$A1042,$F$6:$F1042,$F1042,$R$6:$R1042,$R1042))</f>
        <v/>
      </c>
      <c r="U1042" s="32">
        <f>IF($C1042="","",$C1042&amp;"|"&amp;COUNTIFS($C$6:$C1042,$C1042))</f>
        <v/>
      </c>
      <c r="V1042" s="32">
        <f>IF(OR($C1042="",$A1042="",$S1042=""),"",$C1042&amp;"|"&amp;$A1042&amp;"|"&amp;$S1042)</f>
        <v/>
      </c>
      <c r="W1042" s="32">
        <f>IF(OR($C1042="",$S1042="",$S1042=1),"",IFERROR(INDEX($Q$6:$Q$1505,MATCH($C1042&amp;"|"&amp;$A1042&amp;"|"&amp;($S1042-1),$V$6:$V$1505,0)),""))</f>
        <v/>
      </c>
      <c r="X1042" s="32">
        <f>IF(OR($W1042="",$Q1042="",LEFT($Q1042,1)="—"),"",IF($W1042=$Q1042,"ללא שינוי","מ-"&amp;$W1042&amp;" ל-"&amp;$Q1042))</f>
        <v/>
      </c>
    </row>
    <row r="1043">
      <c r="A1043" s="65" t="n"/>
      <c r="B1043" s="65" t="n"/>
      <c r="C1043" s="66" t="n"/>
      <c r="D1043" s="66" t="n"/>
      <c r="E1043" s="65" t="n"/>
      <c r="F1043" s="65" t="n"/>
      <c r="G1043" s="65" t="n"/>
      <c r="H1043" s="65" t="n"/>
      <c r="I1043" s="65" t="n"/>
      <c r="J1043" s="65" t="n"/>
      <c r="K1043" s="65" t="n"/>
      <c r="L1043" s="65" t="n"/>
      <c r="M1043" s="65" t="n"/>
      <c r="N1043" s="65" t="n"/>
      <c r="O1043" s="65" t="n"/>
      <c r="P1043" s="65" t="n"/>
      <c r="Q1043" s="32">
        <f>IF($C1043="","",IF($J1043="","— חסרים נתונים",IF($J1043="טרם מפענח","פרופיל 5",IF($J1043="קמץ/פתח/חטף-פתח ושוואים","פרופיל 4",IF($J1043="2-3 סימני ניקוד","פרופיל 3",IF($J1043="4-5 סימני ניקוד","פרופיל 2",IF(AND($O1043="משפטים וקטעים קצרים",OR($M1043="מבין",$M1043="מבין לרוב")),"פרופיל 1","פרופיל 2")))))))</f>
        <v/>
      </c>
      <c r="R1043" s="32">
        <f>IF($C1043="","",IF(OR($Q1043="",LEFT($Q1043,1)="—"),"קבוצה רביעית",IF($Q1043="פרופיל 5","קבוצת תשתיות",IF(OR($Q1043="פרופיל 4",$Q1043="פרופיל 3"),"קבוצת רכישה","קבוצת ביסוס"))))</f>
        <v/>
      </c>
      <c r="S1043" s="32">
        <f>IF($F1043="","",IF($F1043="תחילת שנה",1,IF($F1043="מחצית שנה",2,3)))</f>
        <v/>
      </c>
      <c r="T1043" s="32">
        <f>IF(OR($B1043="",$R1043="",$A1043="",$F1043=""),"",$B1043&amp;"|"&amp;$A1043&amp;"|"&amp;$F1043&amp;"|"&amp;$R1043&amp;"|"&amp;COUNTIFS($B$6:$B1043,$B1043,$A$6:$A1043,$A1043,$F$6:$F1043,$F1043,$R$6:$R1043,$R1043))</f>
        <v/>
      </c>
      <c r="U1043" s="32">
        <f>IF($C1043="","",$C1043&amp;"|"&amp;COUNTIFS($C$6:$C1043,$C1043))</f>
        <v/>
      </c>
      <c r="V1043" s="32">
        <f>IF(OR($C1043="",$A1043="",$S1043=""),"",$C1043&amp;"|"&amp;$A1043&amp;"|"&amp;$S1043)</f>
        <v/>
      </c>
      <c r="W1043" s="32">
        <f>IF(OR($C1043="",$S1043="",$S1043=1),"",IFERROR(INDEX($Q$6:$Q$1505,MATCH($C1043&amp;"|"&amp;$A1043&amp;"|"&amp;($S1043-1),$V$6:$V$1505,0)),""))</f>
        <v/>
      </c>
      <c r="X1043" s="32">
        <f>IF(OR($W1043="",$Q1043="",LEFT($Q1043,1)="—"),"",IF($W1043=$Q1043,"ללא שינוי","מ-"&amp;$W1043&amp;" ל-"&amp;$Q1043))</f>
        <v/>
      </c>
    </row>
    <row r="1044">
      <c r="A1044" s="65" t="n"/>
      <c r="B1044" s="65" t="n"/>
      <c r="C1044" s="66" t="n"/>
      <c r="D1044" s="66" t="n"/>
      <c r="E1044" s="65" t="n"/>
      <c r="F1044" s="65" t="n"/>
      <c r="G1044" s="65" t="n"/>
      <c r="H1044" s="65" t="n"/>
      <c r="I1044" s="65" t="n"/>
      <c r="J1044" s="65" t="n"/>
      <c r="K1044" s="65" t="n"/>
      <c r="L1044" s="65" t="n"/>
      <c r="M1044" s="65" t="n"/>
      <c r="N1044" s="65" t="n"/>
      <c r="O1044" s="65" t="n"/>
      <c r="P1044" s="65" t="n"/>
      <c r="Q1044" s="32">
        <f>IF($C1044="","",IF($J1044="","— חסרים נתונים",IF($J1044="טרם מפענח","פרופיל 5",IF($J1044="קמץ/פתח/חטף-פתח ושוואים","פרופיל 4",IF($J1044="2-3 סימני ניקוד","פרופיל 3",IF($J1044="4-5 סימני ניקוד","פרופיל 2",IF(AND($O1044="משפטים וקטעים קצרים",OR($M1044="מבין",$M1044="מבין לרוב")),"פרופיל 1","פרופיל 2")))))))</f>
        <v/>
      </c>
      <c r="R1044" s="32">
        <f>IF($C1044="","",IF(OR($Q1044="",LEFT($Q1044,1)="—"),"קבוצה רביעית",IF($Q1044="פרופיל 5","קבוצת תשתיות",IF(OR($Q1044="פרופיל 4",$Q1044="פרופיל 3"),"קבוצת רכישה","קבוצת ביסוס"))))</f>
        <v/>
      </c>
      <c r="S1044" s="32">
        <f>IF($F1044="","",IF($F1044="תחילת שנה",1,IF($F1044="מחצית שנה",2,3)))</f>
        <v/>
      </c>
      <c r="T1044" s="32">
        <f>IF(OR($B1044="",$R1044="",$A1044="",$F1044=""),"",$B1044&amp;"|"&amp;$A1044&amp;"|"&amp;$F1044&amp;"|"&amp;$R1044&amp;"|"&amp;COUNTIFS($B$6:$B1044,$B1044,$A$6:$A1044,$A1044,$F$6:$F1044,$F1044,$R$6:$R1044,$R1044))</f>
        <v/>
      </c>
      <c r="U1044" s="32">
        <f>IF($C1044="","",$C1044&amp;"|"&amp;COUNTIFS($C$6:$C1044,$C1044))</f>
        <v/>
      </c>
      <c r="V1044" s="32">
        <f>IF(OR($C1044="",$A1044="",$S1044=""),"",$C1044&amp;"|"&amp;$A1044&amp;"|"&amp;$S1044)</f>
        <v/>
      </c>
      <c r="W1044" s="32">
        <f>IF(OR($C1044="",$S1044="",$S1044=1),"",IFERROR(INDEX($Q$6:$Q$1505,MATCH($C1044&amp;"|"&amp;$A1044&amp;"|"&amp;($S1044-1),$V$6:$V$1505,0)),""))</f>
        <v/>
      </c>
      <c r="X1044" s="32">
        <f>IF(OR($W1044="",$Q1044="",LEFT($Q1044,1)="—"),"",IF($W1044=$Q1044,"ללא שינוי","מ-"&amp;$W1044&amp;" ל-"&amp;$Q1044))</f>
        <v/>
      </c>
    </row>
    <row r="1045">
      <c r="A1045" s="65" t="n"/>
      <c r="B1045" s="65" t="n"/>
      <c r="C1045" s="66" t="n"/>
      <c r="D1045" s="66" t="n"/>
      <c r="E1045" s="65" t="n"/>
      <c r="F1045" s="65" t="n"/>
      <c r="G1045" s="65" t="n"/>
      <c r="H1045" s="65" t="n"/>
      <c r="I1045" s="65" t="n"/>
      <c r="J1045" s="65" t="n"/>
      <c r="K1045" s="65" t="n"/>
      <c r="L1045" s="65" t="n"/>
      <c r="M1045" s="65" t="n"/>
      <c r="N1045" s="65" t="n"/>
      <c r="O1045" s="65" t="n"/>
      <c r="P1045" s="65" t="n"/>
      <c r="Q1045" s="32">
        <f>IF($C1045="","",IF($J1045="","— חסרים נתונים",IF($J1045="טרם מפענח","פרופיל 5",IF($J1045="קמץ/פתח/חטף-פתח ושוואים","פרופיל 4",IF($J1045="2-3 סימני ניקוד","פרופיל 3",IF($J1045="4-5 סימני ניקוד","פרופיל 2",IF(AND($O1045="משפטים וקטעים קצרים",OR($M1045="מבין",$M1045="מבין לרוב")),"פרופיל 1","פרופיל 2")))))))</f>
        <v/>
      </c>
      <c r="R1045" s="32">
        <f>IF($C1045="","",IF(OR($Q1045="",LEFT($Q1045,1)="—"),"קבוצה רביעית",IF($Q1045="פרופיל 5","קבוצת תשתיות",IF(OR($Q1045="פרופיל 4",$Q1045="פרופיל 3"),"קבוצת רכישה","קבוצת ביסוס"))))</f>
        <v/>
      </c>
      <c r="S1045" s="32">
        <f>IF($F1045="","",IF($F1045="תחילת שנה",1,IF($F1045="מחצית שנה",2,3)))</f>
        <v/>
      </c>
      <c r="T1045" s="32">
        <f>IF(OR($B1045="",$R1045="",$A1045="",$F1045=""),"",$B1045&amp;"|"&amp;$A1045&amp;"|"&amp;$F1045&amp;"|"&amp;$R1045&amp;"|"&amp;COUNTIFS($B$6:$B1045,$B1045,$A$6:$A1045,$A1045,$F$6:$F1045,$F1045,$R$6:$R1045,$R1045))</f>
        <v/>
      </c>
      <c r="U1045" s="32">
        <f>IF($C1045="","",$C1045&amp;"|"&amp;COUNTIFS($C$6:$C1045,$C1045))</f>
        <v/>
      </c>
      <c r="V1045" s="32">
        <f>IF(OR($C1045="",$A1045="",$S1045=""),"",$C1045&amp;"|"&amp;$A1045&amp;"|"&amp;$S1045)</f>
        <v/>
      </c>
      <c r="W1045" s="32">
        <f>IF(OR($C1045="",$S1045="",$S1045=1),"",IFERROR(INDEX($Q$6:$Q$1505,MATCH($C1045&amp;"|"&amp;$A1045&amp;"|"&amp;($S1045-1),$V$6:$V$1505,0)),""))</f>
        <v/>
      </c>
      <c r="X1045" s="32">
        <f>IF(OR($W1045="",$Q1045="",LEFT($Q1045,1)="—"),"",IF($W1045=$Q1045,"ללא שינוי","מ-"&amp;$W1045&amp;" ל-"&amp;$Q1045))</f>
        <v/>
      </c>
    </row>
    <row r="1046">
      <c r="A1046" s="65" t="n"/>
      <c r="B1046" s="65" t="n"/>
      <c r="C1046" s="66" t="n"/>
      <c r="D1046" s="66" t="n"/>
      <c r="E1046" s="65" t="n"/>
      <c r="F1046" s="65" t="n"/>
      <c r="G1046" s="65" t="n"/>
      <c r="H1046" s="65" t="n"/>
      <c r="I1046" s="65" t="n"/>
      <c r="J1046" s="65" t="n"/>
      <c r="K1046" s="65" t="n"/>
      <c r="L1046" s="65" t="n"/>
      <c r="M1046" s="65" t="n"/>
      <c r="N1046" s="65" t="n"/>
      <c r="O1046" s="65" t="n"/>
      <c r="P1046" s="65" t="n"/>
      <c r="Q1046" s="32">
        <f>IF($C1046="","",IF($J1046="","— חסרים נתונים",IF($J1046="טרם מפענח","פרופיל 5",IF($J1046="קמץ/פתח/חטף-פתח ושוואים","פרופיל 4",IF($J1046="2-3 סימני ניקוד","פרופיל 3",IF($J1046="4-5 סימני ניקוד","פרופיל 2",IF(AND($O1046="משפטים וקטעים קצרים",OR($M1046="מבין",$M1046="מבין לרוב")),"פרופיל 1","פרופיל 2")))))))</f>
        <v/>
      </c>
      <c r="R1046" s="32">
        <f>IF($C1046="","",IF(OR($Q1046="",LEFT($Q1046,1)="—"),"קבוצה רביעית",IF($Q1046="פרופיל 5","קבוצת תשתיות",IF(OR($Q1046="פרופיל 4",$Q1046="פרופיל 3"),"קבוצת רכישה","קבוצת ביסוס"))))</f>
        <v/>
      </c>
      <c r="S1046" s="32">
        <f>IF($F1046="","",IF($F1046="תחילת שנה",1,IF($F1046="מחצית שנה",2,3)))</f>
        <v/>
      </c>
      <c r="T1046" s="32">
        <f>IF(OR($B1046="",$R1046="",$A1046="",$F1046=""),"",$B1046&amp;"|"&amp;$A1046&amp;"|"&amp;$F1046&amp;"|"&amp;$R1046&amp;"|"&amp;COUNTIFS($B$6:$B1046,$B1046,$A$6:$A1046,$A1046,$F$6:$F1046,$F1046,$R$6:$R1046,$R1046))</f>
        <v/>
      </c>
      <c r="U1046" s="32">
        <f>IF($C1046="","",$C1046&amp;"|"&amp;COUNTIFS($C$6:$C1046,$C1046))</f>
        <v/>
      </c>
      <c r="V1046" s="32">
        <f>IF(OR($C1046="",$A1046="",$S1046=""),"",$C1046&amp;"|"&amp;$A1046&amp;"|"&amp;$S1046)</f>
        <v/>
      </c>
      <c r="W1046" s="32">
        <f>IF(OR($C1046="",$S1046="",$S1046=1),"",IFERROR(INDEX($Q$6:$Q$1505,MATCH($C1046&amp;"|"&amp;$A1046&amp;"|"&amp;($S1046-1),$V$6:$V$1505,0)),""))</f>
        <v/>
      </c>
      <c r="X1046" s="32">
        <f>IF(OR($W1046="",$Q1046="",LEFT($Q1046,1)="—"),"",IF($W1046=$Q1046,"ללא שינוי","מ-"&amp;$W1046&amp;" ל-"&amp;$Q1046))</f>
        <v/>
      </c>
    </row>
    <row r="1047">
      <c r="A1047" s="65" t="n"/>
      <c r="B1047" s="65" t="n"/>
      <c r="C1047" s="66" t="n"/>
      <c r="D1047" s="66" t="n"/>
      <c r="E1047" s="65" t="n"/>
      <c r="F1047" s="65" t="n"/>
      <c r="G1047" s="65" t="n"/>
      <c r="H1047" s="65" t="n"/>
      <c r="I1047" s="65" t="n"/>
      <c r="J1047" s="65" t="n"/>
      <c r="K1047" s="65" t="n"/>
      <c r="L1047" s="65" t="n"/>
      <c r="M1047" s="65" t="n"/>
      <c r="N1047" s="65" t="n"/>
      <c r="O1047" s="65" t="n"/>
      <c r="P1047" s="65" t="n"/>
      <c r="Q1047" s="32">
        <f>IF($C1047="","",IF($J1047="","— חסרים נתונים",IF($J1047="טרם מפענח","פרופיל 5",IF($J1047="קמץ/פתח/חטף-פתח ושוואים","פרופיל 4",IF($J1047="2-3 סימני ניקוד","פרופיל 3",IF($J1047="4-5 סימני ניקוד","פרופיל 2",IF(AND($O1047="משפטים וקטעים קצרים",OR($M1047="מבין",$M1047="מבין לרוב")),"פרופיל 1","פרופיל 2")))))))</f>
        <v/>
      </c>
      <c r="R1047" s="32">
        <f>IF($C1047="","",IF(OR($Q1047="",LEFT($Q1047,1)="—"),"קבוצה רביעית",IF($Q1047="פרופיל 5","קבוצת תשתיות",IF(OR($Q1047="פרופיל 4",$Q1047="פרופיל 3"),"קבוצת רכישה","קבוצת ביסוס"))))</f>
        <v/>
      </c>
      <c r="S1047" s="32">
        <f>IF($F1047="","",IF($F1047="תחילת שנה",1,IF($F1047="מחצית שנה",2,3)))</f>
        <v/>
      </c>
      <c r="T1047" s="32">
        <f>IF(OR($B1047="",$R1047="",$A1047="",$F1047=""),"",$B1047&amp;"|"&amp;$A1047&amp;"|"&amp;$F1047&amp;"|"&amp;$R1047&amp;"|"&amp;COUNTIFS($B$6:$B1047,$B1047,$A$6:$A1047,$A1047,$F$6:$F1047,$F1047,$R$6:$R1047,$R1047))</f>
        <v/>
      </c>
      <c r="U1047" s="32">
        <f>IF($C1047="","",$C1047&amp;"|"&amp;COUNTIFS($C$6:$C1047,$C1047))</f>
        <v/>
      </c>
      <c r="V1047" s="32">
        <f>IF(OR($C1047="",$A1047="",$S1047=""),"",$C1047&amp;"|"&amp;$A1047&amp;"|"&amp;$S1047)</f>
        <v/>
      </c>
      <c r="W1047" s="32">
        <f>IF(OR($C1047="",$S1047="",$S1047=1),"",IFERROR(INDEX($Q$6:$Q$1505,MATCH($C1047&amp;"|"&amp;$A1047&amp;"|"&amp;($S1047-1),$V$6:$V$1505,0)),""))</f>
        <v/>
      </c>
      <c r="X1047" s="32">
        <f>IF(OR($W1047="",$Q1047="",LEFT($Q1047,1)="—"),"",IF($W1047=$Q1047,"ללא שינוי","מ-"&amp;$W1047&amp;" ל-"&amp;$Q1047))</f>
        <v/>
      </c>
    </row>
    <row r="1048">
      <c r="A1048" s="65" t="n"/>
      <c r="B1048" s="65" t="n"/>
      <c r="C1048" s="66" t="n"/>
      <c r="D1048" s="66" t="n"/>
      <c r="E1048" s="65" t="n"/>
      <c r="F1048" s="65" t="n"/>
      <c r="G1048" s="65" t="n"/>
      <c r="H1048" s="65" t="n"/>
      <c r="I1048" s="65" t="n"/>
      <c r="J1048" s="65" t="n"/>
      <c r="K1048" s="65" t="n"/>
      <c r="L1048" s="65" t="n"/>
      <c r="M1048" s="65" t="n"/>
      <c r="N1048" s="65" t="n"/>
      <c r="O1048" s="65" t="n"/>
      <c r="P1048" s="65" t="n"/>
      <c r="Q1048" s="32">
        <f>IF($C1048="","",IF($J1048="","— חסרים נתונים",IF($J1048="טרם מפענח","פרופיל 5",IF($J1048="קמץ/פתח/חטף-פתח ושוואים","פרופיל 4",IF($J1048="2-3 סימני ניקוד","פרופיל 3",IF($J1048="4-5 סימני ניקוד","פרופיל 2",IF(AND($O1048="משפטים וקטעים קצרים",OR($M1048="מבין",$M1048="מבין לרוב")),"פרופיל 1","פרופיל 2")))))))</f>
        <v/>
      </c>
      <c r="R1048" s="32">
        <f>IF($C1048="","",IF(OR($Q1048="",LEFT($Q1048,1)="—"),"קבוצה רביעית",IF($Q1048="פרופיל 5","קבוצת תשתיות",IF(OR($Q1048="פרופיל 4",$Q1048="פרופיל 3"),"קבוצת רכישה","קבוצת ביסוס"))))</f>
        <v/>
      </c>
      <c r="S1048" s="32">
        <f>IF($F1048="","",IF($F1048="תחילת שנה",1,IF($F1048="מחצית שנה",2,3)))</f>
        <v/>
      </c>
      <c r="T1048" s="32">
        <f>IF(OR($B1048="",$R1048="",$A1048="",$F1048=""),"",$B1048&amp;"|"&amp;$A1048&amp;"|"&amp;$F1048&amp;"|"&amp;$R1048&amp;"|"&amp;COUNTIFS($B$6:$B1048,$B1048,$A$6:$A1048,$A1048,$F$6:$F1048,$F1048,$R$6:$R1048,$R1048))</f>
        <v/>
      </c>
      <c r="U1048" s="32">
        <f>IF($C1048="","",$C1048&amp;"|"&amp;COUNTIFS($C$6:$C1048,$C1048))</f>
        <v/>
      </c>
      <c r="V1048" s="32">
        <f>IF(OR($C1048="",$A1048="",$S1048=""),"",$C1048&amp;"|"&amp;$A1048&amp;"|"&amp;$S1048)</f>
        <v/>
      </c>
      <c r="W1048" s="32">
        <f>IF(OR($C1048="",$S1048="",$S1048=1),"",IFERROR(INDEX($Q$6:$Q$1505,MATCH($C1048&amp;"|"&amp;$A1048&amp;"|"&amp;($S1048-1),$V$6:$V$1505,0)),""))</f>
        <v/>
      </c>
      <c r="X1048" s="32">
        <f>IF(OR($W1048="",$Q1048="",LEFT($Q1048,1)="—"),"",IF($W1048=$Q1048,"ללא שינוי","מ-"&amp;$W1048&amp;" ל-"&amp;$Q1048))</f>
        <v/>
      </c>
    </row>
    <row r="1049">
      <c r="A1049" s="65" t="n"/>
      <c r="B1049" s="65" t="n"/>
      <c r="C1049" s="66" t="n"/>
      <c r="D1049" s="66" t="n"/>
      <c r="E1049" s="65" t="n"/>
      <c r="F1049" s="65" t="n"/>
      <c r="G1049" s="65" t="n"/>
      <c r="H1049" s="65" t="n"/>
      <c r="I1049" s="65" t="n"/>
      <c r="J1049" s="65" t="n"/>
      <c r="K1049" s="65" t="n"/>
      <c r="L1049" s="65" t="n"/>
      <c r="M1049" s="65" t="n"/>
      <c r="N1049" s="65" t="n"/>
      <c r="O1049" s="65" t="n"/>
      <c r="P1049" s="65" t="n"/>
      <c r="Q1049" s="32">
        <f>IF($C1049="","",IF($J1049="","— חסרים נתונים",IF($J1049="טרם מפענח","פרופיל 5",IF($J1049="קמץ/פתח/חטף-פתח ושוואים","פרופיל 4",IF($J1049="2-3 סימני ניקוד","פרופיל 3",IF($J1049="4-5 סימני ניקוד","פרופיל 2",IF(AND($O1049="משפטים וקטעים קצרים",OR($M1049="מבין",$M1049="מבין לרוב")),"פרופיל 1","פרופיל 2")))))))</f>
        <v/>
      </c>
      <c r="R1049" s="32">
        <f>IF($C1049="","",IF(OR($Q1049="",LEFT($Q1049,1)="—"),"קבוצה רביעית",IF($Q1049="פרופיל 5","קבוצת תשתיות",IF(OR($Q1049="פרופיל 4",$Q1049="פרופיל 3"),"קבוצת רכישה","קבוצת ביסוס"))))</f>
        <v/>
      </c>
      <c r="S1049" s="32">
        <f>IF($F1049="","",IF($F1049="תחילת שנה",1,IF($F1049="מחצית שנה",2,3)))</f>
        <v/>
      </c>
      <c r="T1049" s="32">
        <f>IF(OR($B1049="",$R1049="",$A1049="",$F1049=""),"",$B1049&amp;"|"&amp;$A1049&amp;"|"&amp;$F1049&amp;"|"&amp;$R1049&amp;"|"&amp;COUNTIFS($B$6:$B1049,$B1049,$A$6:$A1049,$A1049,$F$6:$F1049,$F1049,$R$6:$R1049,$R1049))</f>
        <v/>
      </c>
      <c r="U1049" s="32">
        <f>IF($C1049="","",$C1049&amp;"|"&amp;COUNTIFS($C$6:$C1049,$C1049))</f>
        <v/>
      </c>
      <c r="V1049" s="32">
        <f>IF(OR($C1049="",$A1049="",$S1049=""),"",$C1049&amp;"|"&amp;$A1049&amp;"|"&amp;$S1049)</f>
        <v/>
      </c>
      <c r="W1049" s="32">
        <f>IF(OR($C1049="",$S1049="",$S1049=1),"",IFERROR(INDEX($Q$6:$Q$1505,MATCH($C1049&amp;"|"&amp;$A1049&amp;"|"&amp;($S1049-1),$V$6:$V$1505,0)),""))</f>
        <v/>
      </c>
      <c r="X1049" s="32">
        <f>IF(OR($W1049="",$Q1049="",LEFT($Q1049,1)="—"),"",IF($W1049=$Q1049,"ללא שינוי","מ-"&amp;$W1049&amp;" ל-"&amp;$Q1049))</f>
        <v/>
      </c>
    </row>
    <row r="1050">
      <c r="A1050" s="65" t="n"/>
      <c r="B1050" s="65" t="n"/>
      <c r="C1050" s="66" t="n"/>
      <c r="D1050" s="66" t="n"/>
      <c r="E1050" s="65" t="n"/>
      <c r="F1050" s="65" t="n"/>
      <c r="G1050" s="65" t="n"/>
      <c r="H1050" s="65" t="n"/>
      <c r="I1050" s="65" t="n"/>
      <c r="J1050" s="65" t="n"/>
      <c r="K1050" s="65" t="n"/>
      <c r="L1050" s="65" t="n"/>
      <c r="M1050" s="65" t="n"/>
      <c r="N1050" s="65" t="n"/>
      <c r="O1050" s="65" t="n"/>
      <c r="P1050" s="65" t="n"/>
      <c r="Q1050" s="32">
        <f>IF($C1050="","",IF($J1050="","— חסרים נתונים",IF($J1050="טרם מפענח","פרופיל 5",IF($J1050="קמץ/פתח/חטף-פתח ושוואים","פרופיל 4",IF($J1050="2-3 סימני ניקוד","פרופיל 3",IF($J1050="4-5 סימני ניקוד","פרופיל 2",IF(AND($O1050="משפטים וקטעים קצרים",OR($M1050="מבין",$M1050="מבין לרוב")),"פרופיל 1","פרופיל 2")))))))</f>
        <v/>
      </c>
      <c r="R1050" s="32">
        <f>IF($C1050="","",IF(OR($Q1050="",LEFT($Q1050,1)="—"),"קבוצה רביעית",IF($Q1050="פרופיל 5","קבוצת תשתיות",IF(OR($Q1050="פרופיל 4",$Q1050="פרופיל 3"),"קבוצת רכישה","קבוצת ביסוס"))))</f>
        <v/>
      </c>
      <c r="S1050" s="32">
        <f>IF($F1050="","",IF($F1050="תחילת שנה",1,IF($F1050="מחצית שנה",2,3)))</f>
        <v/>
      </c>
      <c r="T1050" s="32">
        <f>IF(OR($B1050="",$R1050="",$A1050="",$F1050=""),"",$B1050&amp;"|"&amp;$A1050&amp;"|"&amp;$F1050&amp;"|"&amp;$R1050&amp;"|"&amp;COUNTIFS($B$6:$B1050,$B1050,$A$6:$A1050,$A1050,$F$6:$F1050,$F1050,$R$6:$R1050,$R1050))</f>
        <v/>
      </c>
      <c r="U1050" s="32">
        <f>IF($C1050="","",$C1050&amp;"|"&amp;COUNTIFS($C$6:$C1050,$C1050))</f>
        <v/>
      </c>
      <c r="V1050" s="32">
        <f>IF(OR($C1050="",$A1050="",$S1050=""),"",$C1050&amp;"|"&amp;$A1050&amp;"|"&amp;$S1050)</f>
        <v/>
      </c>
      <c r="W1050" s="32">
        <f>IF(OR($C1050="",$S1050="",$S1050=1),"",IFERROR(INDEX($Q$6:$Q$1505,MATCH($C1050&amp;"|"&amp;$A1050&amp;"|"&amp;($S1050-1),$V$6:$V$1505,0)),""))</f>
        <v/>
      </c>
      <c r="X1050" s="32">
        <f>IF(OR($W1050="",$Q1050="",LEFT($Q1050,1)="—"),"",IF($W1050=$Q1050,"ללא שינוי","מ-"&amp;$W1050&amp;" ל-"&amp;$Q1050))</f>
        <v/>
      </c>
    </row>
    <row r="1051">
      <c r="A1051" s="65" t="n"/>
      <c r="B1051" s="65" t="n"/>
      <c r="C1051" s="66" t="n"/>
      <c r="D1051" s="66" t="n"/>
      <c r="E1051" s="65" t="n"/>
      <c r="F1051" s="65" t="n"/>
      <c r="G1051" s="65" t="n"/>
      <c r="H1051" s="65" t="n"/>
      <c r="I1051" s="65" t="n"/>
      <c r="J1051" s="65" t="n"/>
      <c r="K1051" s="65" t="n"/>
      <c r="L1051" s="65" t="n"/>
      <c r="M1051" s="65" t="n"/>
      <c r="N1051" s="65" t="n"/>
      <c r="O1051" s="65" t="n"/>
      <c r="P1051" s="65" t="n"/>
      <c r="Q1051" s="32">
        <f>IF($C1051="","",IF($J1051="","— חסרים נתונים",IF($J1051="טרם מפענח","פרופיל 5",IF($J1051="קמץ/פתח/חטף-פתח ושוואים","פרופיל 4",IF($J1051="2-3 סימני ניקוד","פרופיל 3",IF($J1051="4-5 סימני ניקוד","פרופיל 2",IF(AND($O1051="משפטים וקטעים קצרים",OR($M1051="מבין",$M1051="מבין לרוב")),"פרופיל 1","פרופיל 2")))))))</f>
        <v/>
      </c>
      <c r="R1051" s="32">
        <f>IF($C1051="","",IF(OR($Q1051="",LEFT($Q1051,1)="—"),"קבוצה רביעית",IF($Q1051="פרופיל 5","קבוצת תשתיות",IF(OR($Q1051="פרופיל 4",$Q1051="פרופיל 3"),"קבוצת רכישה","קבוצת ביסוס"))))</f>
        <v/>
      </c>
      <c r="S1051" s="32">
        <f>IF($F1051="","",IF($F1051="תחילת שנה",1,IF($F1051="מחצית שנה",2,3)))</f>
        <v/>
      </c>
      <c r="T1051" s="32">
        <f>IF(OR($B1051="",$R1051="",$A1051="",$F1051=""),"",$B1051&amp;"|"&amp;$A1051&amp;"|"&amp;$F1051&amp;"|"&amp;$R1051&amp;"|"&amp;COUNTIFS($B$6:$B1051,$B1051,$A$6:$A1051,$A1051,$F$6:$F1051,$F1051,$R$6:$R1051,$R1051))</f>
        <v/>
      </c>
      <c r="U1051" s="32">
        <f>IF($C1051="","",$C1051&amp;"|"&amp;COUNTIFS($C$6:$C1051,$C1051))</f>
        <v/>
      </c>
      <c r="V1051" s="32">
        <f>IF(OR($C1051="",$A1051="",$S1051=""),"",$C1051&amp;"|"&amp;$A1051&amp;"|"&amp;$S1051)</f>
        <v/>
      </c>
      <c r="W1051" s="32">
        <f>IF(OR($C1051="",$S1051="",$S1051=1),"",IFERROR(INDEX($Q$6:$Q$1505,MATCH($C1051&amp;"|"&amp;$A1051&amp;"|"&amp;($S1051-1),$V$6:$V$1505,0)),""))</f>
        <v/>
      </c>
      <c r="X1051" s="32">
        <f>IF(OR($W1051="",$Q1051="",LEFT($Q1051,1)="—"),"",IF($W1051=$Q1051,"ללא שינוי","מ-"&amp;$W1051&amp;" ל-"&amp;$Q1051))</f>
        <v/>
      </c>
    </row>
    <row r="1052">
      <c r="A1052" s="65" t="n"/>
      <c r="B1052" s="65" t="n"/>
      <c r="C1052" s="66" t="n"/>
      <c r="D1052" s="66" t="n"/>
      <c r="E1052" s="65" t="n"/>
      <c r="F1052" s="65" t="n"/>
      <c r="G1052" s="65" t="n"/>
      <c r="H1052" s="65" t="n"/>
      <c r="I1052" s="65" t="n"/>
      <c r="J1052" s="65" t="n"/>
      <c r="K1052" s="65" t="n"/>
      <c r="L1052" s="65" t="n"/>
      <c r="M1052" s="65" t="n"/>
      <c r="N1052" s="65" t="n"/>
      <c r="O1052" s="65" t="n"/>
      <c r="P1052" s="65" t="n"/>
      <c r="Q1052" s="32">
        <f>IF($C1052="","",IF($J1052="","— חסרים נתונים",IF($J1052="טרם מפענח","פרופיל 5",IF($J1052="קמץ/פתח/חטף-פתח ושוואים","פרופיל 4",IF($J1052="2-3 סימני ניקוד","פרופיל 3",IF($J1052="4-5 סימני ניקוד","פרופיל 2",IF(AND($O1052="משפטים וקטעים קצרים",OR($M1052="מבין",$M1052="מבין לרוב")),"פרופיל 1","פרופיל 2")))))))</f>
        <v/>
      </c>
      <c r="R1052" s="32">
        <f>IF($C1052="","",IF(OR($Q1052="",LEFT($Q1052,1)="—"),"קבוצה רביעית",IF($Q1052="פרופיל 5","קבוצת תשתיות",IF(OR($Q1052="פרופיל 4",$Q1052="פרופיל 3"),"קבוצת רכישה","קבוצת ביסוס"))))</f>
        <v/>
      </c>
      <c r="S1052" s="32">
        <f>IF($F1052="","",IF($F1052="תחילת שנה",1,IF($F1052="מחצית שנה",2,3)))</f>
        <v/>
      </c>
      <c r="T1052" s="32">
        <f>IF(OR($B1052="",$R1052="",$A1052="",$F1052=""),"",$B1052&amp;"|"&amp;$A1052&amp;"|"&amp;$F1052&amp;"|"&amp;$R1052&amp;"|"&amp;COUNTIFS($B$6:$B1052,$B1052,$A$6:$A1052,$A1052,$F$6:$F1052,$F1052,$R$6:$R1052,$R1052))</f>
        <v/>
      </c>
      <c r="U1052" s="32">
        <f>IF($C1052="","",$C1052&amp;"|"&amp;COUNTIFS($C$6:$C1052,$C1052))</f>
        <v/>
      </c>
      <c r="V1052" s="32">
        <f>IF(OR($C1052="",$A1052="",$S1052=""),"",$C1052&amp;"|"&amp;$A1052&amp;"|"&amp;$S1052)</f>
        <v/>
      </c>
      <c r="W1052" s="32">
        <f>IF(OR($C1052="",$S1052="",$S1052=1),"",IFERROR(INDEX($Q$6:$Q$1505,MATCH($C1052&amp;"|"&amp;$A1052&amp;"|"&amp;($S1052-1),$V$6:$V$1505,0)),""))</f>
        <v/>
      </c>
      <c r="X1052" s="32">
        <f>IF(OR($W1052="",$Q1052="",LEFT($Q1052,1)="—"),"",IF($W1052=$Q1052,"ללא שינוי","מ-"&amp;$W1052&amp;" ל-"&amp;$Q1052))</f>
        <v/>
      </c>
    </row>
    <row r="1053">
      <c r="A1053" s="65" t="n"/>
      <c r="B1053" s="65" t="n"/>
      <c r="C1053" s="66" t="n"/>
      <c r="D1053" s="66" t="n"/>
      <c r="E1053" s="65" t="n"/>
      <c r="F1053" s="65" t="n"/>
      <c r="G1053" s="65" t="n"/>
      <c r="H1053" s="65" t="n"/>
      <c r="I1053" s="65" t="n"/>
      <c r="J1053" s="65" t="n"/>
      <c r="K1053" s="65" t="n"/>
      <c r="L1053" s="65" t="n"/>
      <c r="M1053" s="65" t="n"/>
      <c r="N1053" s="65" t="n"/>
      <c r="O1053" s="65" t="n"/>
      <c r="P1053" s="65" t="n"/>
      <c r="Q1053" s="32">
        <f>IF($C1053="","",IF($J1053="","— חסרים נתונים",IF($J1053="טרם מפענח","פרופיל 5",IF($J1053="קמץ/פתח/חטף-פתח ושוואים","פרופיל 4",IF($J1053="2-3 סימני ניקוד","פרופיל 3",IF($J1053="4-5 סימני ניקוד","פרופיל 2",IF(AND($O1053="משפטים וקטעים קצרים",OR($M1053="מבין",$M1053="מבין לרוב")),"פרופיל 1","פרופיל 2")))))))</f>
        <v/>
      </c>
      <c r="R1053" s="32">
        <f>IF($C1053="","",IF(OR($Q1053="",LEFT($Q1053,1)="—"),"קבוצה רביעית",IF($Q1053="פרופיל 5","קבוצת תשתיות",IF(OR($Q1053="פרופיל 4",$Q1053="פרופיל 3"),"קבוצת רכישה","קבוצת ביסוס"))))</f>
        <v/>
      </c>
      <c r="S1053" s="32">
        <f>IF($F1053="","",IF($F1053="תחילת שנה",1,IF($F1053="מחצית שנה",2,3)))</f>
        <v/>
      </c>
      <c r="T1053" s="32">
        <f>IF(OR($B1053="",$R1053="",$A1053="",$F1053=""),"",$B1053&amp;"|"&amp;$A1053&amp;"|"&amp;$F1053&amp;"|"&amp;$R1053&amp;"|"&amp;COUNTIFS($B$6:$B1053,$B1053,$A$6:$A1053,$A1053,$F$6:$F1053,$F1053,$R$6:$R1053,$R1053))</f>
        <v/>
      </c>
      <c r="U1053" s="32">
        <f>IF($C1053="","",$C1053&amp;"|"&amp;COUNTIFS($C$6:$C1053,$C1053))</f>
        <v/>
      </c>
      <c r="V1053" s="32">
        <f>IF(OR($C1053="",$A1053="",$S1053=""),"",$C1053&amp;"|"&amp;$A1053&amp;"|"&amp;$S1053)</f>
        <v/>
      </c>
      <c r="W1053" s="32">
        <f>IF(OR($C1053="",$S1053="",$S1053=1),"",IFERROR(INDEX($Q$6:$Q$1505,MATCH($C1053&amp;"|"&amp;$A1053&amp;"|"&amp;($S1053-1),$V$6:$V$1505,0)),""))</f>
        <v/>
      </c>
      <c r="X1053" s="32">
        <f>IF(OR($W1053="",$Q1053="",LEFT($Q1053,1)="—"),"",IF($W1053=$Q1053,"ללא שינוי","מ-"&amp;$W1053&amp;" ל-"&amp;$Q1053))</f>
        <v/>
      </c>
    </row>
    <row r="1054">
      <c r="A1054" s="65" t="n"/>
      <c r="B1054" s="65" t="n"/>
      <c r="C1054" s="66" t="n"/>
      <c r="D1054" s="66" t="n"/>
      <c r="E1054" s="65" t="n"/>
      <c r="F1054" s="65" t="n"/>
      <c r="G1054" s="65" t="n"/>
      <c r="H1054" s="65" t="n"/>
      <c r="I1054" s="65" t="n"/>
      <c r="J1054" s="65" t="n"/>
      <c r="K1054" s="65" t="n"/>
      <c r="L1054" s="65" t="n"/>
      <c r="M1054" s="65" t="n"/>
      <c r="N1054" s="65" t="n"/>
      <c r="O1054" s="65" t="n"/>
      <c r="P1054" s="65" t="n"/>
      <c r="Q1054" s="32">
        <f>IF($C1054="","",IF($J1054="","— חסרים נתונים",IF($J1054="טרם מפענח","פרופיל 5",IF($J1054="קמץ/פתח/חטף-פתח ושוואים","פרופיל 4",IF($J1054="2-3 סימני ניקוד","פרופיל 3",IF($J1054="4-5 סימני ניקוד","פרופיל 2",IF(AND($O1054="משפטים וקטעים קצרים",OR($M1054="מבין",$M1054="מבין לרוב")),"פרופיל 1","פרופיל 2")))))))</f>
        <v/>
      </c>
      <c r="R1054" s="32">
        <f>IF($C1054="","",IF(OR($Q1054="",LEFT($Q1054,1)="—"),"קבוצה רביעית",IF($Q1054="פרופיל 5","קבוצת תשתיות",IF(OR($Q1054="פרופיל 4",$Q1054="פרופיל 3"),"קבוצת רכישה","קבוצת ביסוס"))))</f>
        <v/>
      </c>
      <c r="S1054" s="32">
        <f>IF($F1054="","",IF($F1054="תחילת שנה",1,IF($F1054="מחצית שנה",2,3)))</f>
        <v/>
      </c>
      <c r="T1054" s="32">
        <f>IF(OR($B1054="",$R1054="",$A1054="",$F1054=""),"",$B1054&amp;"|"&amp;$A1054&amp;"|"&amp;$F1054&amp;"|"&amp;$R1054&amp;"|"&amp;COUNTIFS($B$6:$B1054,$B1054,$A$6:$A1054,$A1054,$F$6:$F1054,$F1054,$R$6:$R1054,$R1054))</f>
        <v/>
      </c>
      <c r="U1054" s="32">
        <f>IF($C1054="","",$C1054&amp;"|"&amp;COUNTIFS($C$6:$C1054,$C1054))</f>
        <v/>
      </c>
      <c r="V1054" s="32">
        <f>IF(OR($C1054="",$A1054="",$S1054=""),"",$C1054&amp;"|"&amp;$A1054&amp;"|"&amp;$S1054)</f>
        <v/>
      </c>
      <c r="W1054" s="32">
        <f>IF(OR($C1054="",$S1054="",$S1054=1),"",IFERROR(INDEX($Q$6:$Q$1505,MATCH($C1054&amp;"|"&amp;$A1054&amp;"|"&amp;($S1054-1),$V$6:$V$1505,0)),""))</f>
        <v/>
      </c>
      <c r="X1054" s="32">
        <f>IF(OR($W1054="",$Q1054="",LEFT($Q1054,1)="—"),"",IF($W1054=$Q1054,"ללא שינוי","מ-"&amp;$W1054&amp;" ל-"&amp;$Q1054))</f>
        <v/>
      </c>
    </row>
    <row r="1055">
      <c r="A1055" s="65" t="n"/>
      <c r="B1055" s="65" t="n"/>
      <c r="C1055" s="66" t="n"/>
      <c r="D1055" s="66" t="n"/>
      <c r="E1055" s="65" t="n"/>
      <c r="F1055" s="65" t="n"/>
      <c r="G1055" s="65" t="n"/>
      <c r="H1055" s="65" t="n"/>
      <c r="I1055" s="65" t="n"/>
      <c r="J1055" s="65" t="n"/>
      <c r="K1055" s="65" t="n"/>
      <c r="L1055" s="65" t="n"/>
      <c r="M1055" s="65" t="n"/>
      <c r="N1055" s="65" t="n"/>
      <c r="O1055" s="65" t="n"/>
      <c r="P1055" s="65" t="n"/>
      <c r="Q1055" s="32">
        <f>IF($C1055="","",IF($J1055="","— חסרים נתונים",IF($J1055="טרם מפענח","פרופיל 5",IF($J1055="קמץ/פתח/חטף-פתח ושוואים","פרופיל 4",IF($J1055="2-3 סימני ניקוד","פרופיל 3",IF($J1055="4-5 סימני ניקוד","פרופיל 2",IF(AND($O1055="משפטים וקטעים קצרים",OR($M1055="מבין",$M1055="מבין לרוב")),"פרופיל 1","פרופיל 2")))))))</f>
        <v/>
      </c>
      <c r="R1055" s="32">
        <f>IF($C1055="","",IF(OR($Q1055="",LEFT($Q1055,1)="—"),"קבוצה רביעית",IF($Q1055="פרופיל 5","קבוצת תשתיות",IF(OR($Q1055="פרופיל 4",$Q1055="פרופיל 3"),"קבוצת רכישה","קבוצת ביסוס"))))</f>
        <v/>
      </c>
      <c r="S1055" s="32">
        <f>IF($F1055="","",IF($F1055="תחילת שנה",1,IF($F1055="מחצית שנה",2,3)))</f>
        <v/>
      </c>
      <c r="T1055" s="32">
        <f>IF(OR($B1055="",$R1055="",$A1055="",$F1055=""),"",$B1055&amp;"|"&amp;$A1055&amp;"|"&amp;$F1055&amp;"|"&amp;$R1055&amp;"|"&amp;COUNTIFS($B$6:$B1055,$B1055,$A$6:$A1055,$A1055,$F$6:$F1055,$F1055,$R$6:$R1055,$R1055))</f>
        <v/>
      </c>
      <c r="U1055" s="32">
        <f>IF($C1055="","",$C1055&amp;"|"&amp;COUNTIFS($C$6:$C1055,$C1055))</f>
        <v/>
      </c>
      <c r="V1055" s="32">
        <f>IF(OR($C1055="",$A1055="",$S1055=""),"",$C1055&amp;"|"&amp;$A1055&amp;"|"&amp;$S1055)</f>
        <v/>
      </c>
      <c r="W1055" s="32">
        <f>IF(OR($C1055="",$S1055="",$S1055=1),"",IFERROR(INDEX($Q$6:$Q$1505,MATCH($C1055&amp;"|"&amp;$A1055&amp;"|"&amp;($S1055-1),$V$6:$V$1505,0)),""))</f>
        <v/>
      </c>
      <c r="X1055" s="32">
        <f>IF(OR($W1055="",$Q1055="",LEFT($Q1055,1)="—"),"",IF($W1055=$Q1055,"ללא שינוי","מ-"&amp;$W1055&amp;" ל-"&amp;$Q1055))</f>
        <v/>
      </c>
    </row>
    <row r="1056">
      <c r="A1056" s="65" t="n"/>
      <c r="B1056" s="65" t="n"/>
      <c r="C1056" s="66" t="n"/>
      <c r="D1056" s="66" t="n"/>
      <c r="E1056" s="65" t="n"/>
      <c r="F1056" s="65" t="n"/>
      <c r="G1056" s="65" t="n"/>
      <c r="H1056" s="65" t="n"/>
      <c r="I1056" s="65" t="n"/>
      <c r="J1056" s="65" t="n"/>
      <c r="K1056" s="65" t="n"/>
      <c r="L1056" s="65" t="n"/>
      <c r="M1056" s="65" t="n"/>
      <c r="N1056" s="65" t="n"/>
      <c r="O1056" s="65" t="n"/>
      <c r="P1056" s="65" t="n"/>
      <c r="Q1056" s="32">
        <f>IF($C1056="","",IF($J1056="","— חסרים נתונים",IF($J1056="טרם מפענח","פרופיל 5",IF($J1056="קמץ/פתח/חטף-פתח ושוואים","פרופיל 4",IF($J1056="2-3 סימני ניקוד","פרופיל 3",IF($J1056="4-5 סימני ניקוד","פרופיל 2",IF(AND($O1056="משפטים וקטעים קצרים",OR($M1056="מבין",$M1056="מבין לרוב")),"פרופיל 1","פרופיל 2")))))))</f>
        <v/>
      </c>
      <c r="R1056" s="32">
        <f>IF($C1056="","",IF(OR($Q1056="",LEFT($Q1056,1)="—"),"קבוצה רביעית",IF($Q1056="פרופיל 5","קבוצת תשתיות",IF(OR($Q1056="פרופיל 4",$Q1056="פרופיל 3"),"קבוצת רכישה","קבוצת ביסוס"))))</f>
        <v/>
      </c>
      <c r="S1056" s="32">
        <f>IF($F1056="","",IF($F1056="תחילת שנה",1,IF($F1056="מחצית שנה",2,3)))</f>
        <v/>
      </c>
      <c r="T1056" s="32">
        <f>IF(OR($B1056="",$R1056="",$A1056="",$F1056=""),"",$B1056&amp;"|"&amp;$A1056&amp;"|"&amp;$F1056&amp;"|"&amp;$R1056&amp;"|"&amp;COUNTIFS($B$6:$B1056,$B1056,$A$6:$A1056,$A1056,$F$6:$F1056,$F1056,$R$6:$R1056,$R1056))</f>
        <v/>
      </c>
      <c r="U1056" s="32">
        <f>IF($C1056="","",$C1056&amp;"|"&amp;COUNTIFS($C$6:$C1056,$C1056))</f>
        <v/>
      </c>
      <c r="V1056" s="32">
        <f>IF(OR($C1056="",$A1056="",$S1056=""),"",$C1056&amp;"|"&amp;$A1056&amp;"|"&amp;$S1056)</f>
        <v/>
      </c>
      <c r="W1056" s="32">
        <f>IF(OR($C1056="",$S1056="",$S1056=1),"",IFERROR(INDEX($Q$6:$Q$1505,MATCH($C1056&amp;"|"&amp;$A1056&amp;"|"&amp;($S1056-1),$V$6:$V$1505,0)),""))</f>
        <v/>
      </c>
      <c r="X1056" s="32">
        <f>IF(OR($W1056="",$Q1056="",LEFT($Q1056,1)="—"),"",IF($W1056=$Q1056,"ללא שינוי","מ-"&amp;$W1056&amp;" ל-"&amp;$Q1056))</f>
        <v/>
      </c>
    </row>
    <row r="1057">
      <c r="A1057" s="65" t="n"/>
      <c r="B1057" s="65" t="n"/>
      <c r="C1057" s="66" t="n"/>
      <c r="D1057" s="66" t="n"/>
      <c r="E1057" s="65" t="n"/>
      <c r="F1057" s="65" t="n"/>
      <c r="G1057" s="65" t="n"/>
      <c r="H1057" s="65" t="n"/>
      <c r="I1057" s="65" t="n"/>
      <c r="J1057" s="65" t="n"/>
      <c r="K1057" s="65" t="n"/>
      <c r="L1057" s="65" t="n"/>
      <c r="M1057" s="65" t="n"/>
      <c r="N1057" s="65" t="n"/>
      <c r="O1057" s="65" t="n"/>
      <c r="P1057" s="65" t="n"/>
      <c r="Q1057" s="32">
        <f>IF($C1057="","",IF($J1057="","— חסרים נתונים",IF($J1057="טרם מפענח","פרופיל 5",IF($J1057="קמץ/פתח/חטף-פתח ושוואים","פרופיל 4",IF($J1057="2-3 סימני ניקוד","פרופיל 3",IF($J1057="4-5 סימני ניקוד","פרופיל 2",IF(AND($O1057="משפטים וקטעים קצרים",OR($M1057="מבין",$M1057="מבין לרוב")),"פרופיל 1","פרופיל 2")))))))</f>
        <v/>
      </c>
      <c r="R1057" s="32">
        <f>IF($C1057="","",IF(OR($Q1057="",LEFT($Q1057,1)="—"),"קבוצה רביעית",IF($Q1057="פרופיל 5","קבוצת תשתיות",IF(OR($Q1057="פרופיל 4",$Q1057="פרופיל 3"),"קבוצת רכישה","קבוצת ביסוס"))))</f>
        <v/>
      </c>
      <c r="S1057" s="32">
        <f>IF($F1057="","",IF($F1057="תחילת שנה",1,IF($F1057="מחצית שנה",2,3)))</f>
        <v/>
      </c>
      <c r="T1057" s="32">
        <f>IF(OR($B1057="",$R1057="",$A1057="",$F1057=""),"",$B1057&amp;"|"&amp;$A1057&amp;"|"&amp;$F1057&amp;"|"&amp;$R1057&amp;"|"&amp;COUNTIFS($B$6:$B1057,$B1057,$A$6:$A1057,$A1057,$F$6:$F1057,$F1057,$R$6:$R1057,$R1057))</f>
        <v/>
      </c>
      <c r="U1057" s="32">
        <f>IF($C1057="","",$C1057&amp;"|"&amp;COUNTIFS($C$6:$C1057,$C1057))</f>
        <v/>
      </c>
      <c r="V1057" s="32">
        <f>IF(OR($C1057="",$A1057="",$S1057=""),"",$C1057&amp;"|"&amp;$A1057&amp;"|"&amp;$S1057)</f>
        <v/>
      </c>
      <c r="W1057" s="32">
        <f>IF(OR($C1057="",$S1057="",$S1057=1),"",IFERROR(INDEX($Q$6:$Q$1505,MATCH($C1057&amp;"|"&amp;$A1057&amp;"|"&amp;($S1057-1),$V$6:$V$1505,0)),""))</f>
        <v/>
      </c>
      <c r="X1057" s="32">
        <f>IF(OR($W1057="",$Q1057="",LEFT($Q1057,1)="—"),"",IF($W1057=$Q1057,"ללא שינוי","מ-"&amp;$W1057&amp;" ל-"&amp;$Q1057))</f>
        <v/>
      </c>
    </row>
    <row r="1058">
      <c r="A1058" s="65" t="n"/>
      <c r="B1058" s="65" t="n"/>
      <c r="C1058" s="66" t="n"/>
      <c r="D1058" s="66" t="n"/>
      <c r="E1058" s="65" t="n"/>
      <c r="F1058" s="65" t="n"/>
      <c r="G1058" s="65" t="n"/>
      <c r="H1058" s="65" t="n"/>
      <c r="I1058" s="65" t="n"/>
      <c r="J1058" s="65" t="n"/>
      <c r="K1058" s="65" t="n"/>
      <c r="L1058" s="65" t="n"/>
      <c r="M1058" s="65" t="n"/>
      <c r="N1058" s="65" t="n"/>
      <c r="O1058" s="65" t="n"/>
      <c r="P1058" s="65" t="n"/>
      <c r="Q1058" s="32">
        <f>IF($C1058="","",IF($J1058="","— חסרים נתונים",IF($J1058="טרם מפענח","פרופיל 5",IF($J1058="קמץ/פתח/חטף-פתח ושוואים","פרופיל 4",IF($J1058="2-3 סימני ניקוד","פרופיל 3",IF($J1058="4-5 סימני ניקוד","פרופיל 2",IF(AND($O1058="משפטים וקטעים קצרים",OR($M1058="מבין",$M1058="מבין לרוב")),"פרופיל 1","פרופיל 2")))))))</f>
        <v/>
      </c>
      <c r="R1058" s="32">
        <f>IF($C1058="","",IF(OR($Q1058="",LEFT($Q1058,1)="—"),"קבוצה רביעית",IF($Q1058="פרופיל 5","קבוצת תשתיות",IF(OR($Q1058="פרופיל 4",$Q1058="פרופיל 3"),"קבוצת רכישה","קבוצת ביסוס"))))</f>
        <v/>
      </c>
      <c r="S1058" s="32">
        <f>IF($F1058="","",IF($F1058="תחילת שנה",1,IF($F1058="מחצית שנה",2,3)))</f>
        <v/>
      </c>
      <c r="T1058" s="32">
        <f>IF(OR($B1058="",$R1058="",$A1058="",$F1058=""),"",$B1058&amp;"|"&amp;$A1058&amp;"|"&amp;$F1058&amp;"|"&amp;$R1058&amp;"|"&amp;COUNTIFS($B$6:$B1058,$B1058,$A$6:$A1058,$A1058,$F$6:$F1058,$F1058,$R$6:$R1058,$R1058))</f>
        <v/>
      </c>
      <c r="U1058" s="32">
        <f>IF($C1058="","",$C1058&amp;"|"&amp;COUNTIFS($C$6:$C1058,$C1058))</f>
        <v/>
      </c>
      <c r="V1058" s="32">
        <f>IF(OR($C1058="",$A1058="",$S1058=""),"",$C1058&amp;"|"&amp;$A1058&amp;"|"&amp;$S1058)</f>
        <v/>
      </c>
      <c r="W1058" s="32">
        <f>IF(OR($C1058="",$S1058="",$S1058=1),"",IFERROR(INDEX($Q$6:$Q$1505,MATCH($C1058&amp;"|"&amp;$A1058&amp;"|"&amp;($S1058-1),$V$6:$V$1505,0)),""))</f>
        <v/>
      </c>
      <c r="X1058" s="32">
        <f>IF(OR($W1058="",$Q1058="",LEFT($Q1058,1)="—"),"",IF($W1058=$Q1058,"ללא שינוי","מ-"&amp;$W1058&amp;" ל-"&amp;$Q1058))</f>
        <v/>
      </c>
    </row>
    <row r="1059">
      <c r="A1059" s="65" t="n"/>
      <c r="B1059" s="65" t="n"/>
      <c r="C1059" s="66" t="n"/>
      <c r="D1059" s="66" t="n"/>
      <c r="E1059" s="65" t="n"/>
      <c r="F1059" s="65" t="n"/>
      <c r="G1059" s="65" t="n"/>
      <c r="H1059" s="65" t="n"/>
      <c r="I1059" s="65" t="n"/>
      <c r="J1059" s="65" t="n"/>
      <c r="K1059" s="65" t="n"/>
      <c r="L1059" s="65" t="n"/>
      <c r="M1059" s="65" t="n"/>
      <c r="N1059" s="65" t="n"/>
      <c r="O1059" s="65" t="n"/>
      <c r="P1059" s="65" t="n"/>
      <c r="Q1059" s="32">
        <f>IF($C1059="","",IF($J1059="","— חסרים נתונים",IF($J1059="טרם מפענח","פרופיל 5",IF($J1059="קמץ/פתח/חטף-פתח ושוואים","פרופיל 4",IF($J1059="2-3 סימני ניקוד","פרופיל 3",IF($J1059="4-5 סימני ניקוד","פרופיל 2",IF(AND($O1059="משפטים וקטעים קצרים",OR($M1059="מבין",$M1059="מבין לרוב")),"פרופיל 1","פרופיל 2")))))))</f>
        <v/>
      </c>
      <c r="R1059" s="32">
        <f>IF($C1059="","",IF(OR($Q1059="",LEFT($Q1059,1)="—"),"קבוצה רביעית",IF($Q1059="פרופיל 5","קבוצת תשתיות",IF(OR($Q1059="פרופיל 4",$Q1059="פרופיל 3"),"קבוצת רכישה","קבוצת ביסוס"))))</f>
        <v/>
      </c>
      <c r="S1059" s="32">
        <f>IF($F1059="","",IF($F1059="תחילת שנה",1,IF($F1059="מחצית שנה",2,3)))</f>
        <v/>
      </c>
      <c r="T1059" s="32">
        <f>IF(OR($B1059="",$R1059="",$A1059="",$F1059=""),"",$B1059&amp;"|"&amp;$A1059&amp;"|"&amp;$F1059&amp;"|"&amp;$R1059&amp;"|"&amp;COUNTIFS($B$6:$B1059,$B1059,$A$6:$A1059,$A1059,$F$6:$F1059,$F1059,$R$6:$R1059,$R1059))</f>
        <v/>
      </c>
      <c r="U1059" s="32">
        <f>IF($C1059="","",$C1059&amp;"|"&amp;COUNTIFS($C$6:$C1059,$C1059))</f>
        <v/>
      </c>
      <c r="V1059" s="32">
        <f>IF(OR($C1059="",$A1059="",$S1059=""),"",$C1059&amp;"|"&amp;$A1059&amp;"|"&amp;$S1059)</f>
        <v/>
      </c>
      <c r="W1059" s="32">
        <f>IF(OR($C1059="",$S1059="",$S1059=1),"",IFERROR(INDEX($Q$6:$Q$1505,MATCH($C1059&amp;"|"&amp;$A1059&amp;"|"&amp;($S1059-1),$V$6:$V$1505,0)),""))</f>
        <v/>
      </c>
      <c r="X1059" s="32">
        <f>IF(OR($W1059="",$Q1059="",LEFT($Q1059,1)="—"),"",IF($W1059=$Q1059,"ללא שינוי","מ-"&amp;$W1059&amp;" ל-"&amp;$Q1059))</f>
        <v/>
      </c>
    </row>
    <row r="1060">
      <c r="A1060" s="65" t="n"/>
      <c r="B1060" s="65" t="n"/>
      <c r="C1060" s="66" t="n"/>
      <c r="D1060" s="66" t="n"/>
      <c r="E1060" s="65" t="n"/>
      <c r="F1060" s="65" t="n"/>
      <c r="G1060" s="65" t="n"/>
      <c r="H1060" s="65" t="n"/>
      <c r="I1060" s="65" t="n"/>
      <c r="J1060" s="65" t="n"/>
      <c r="K1060" s="65" t="n"/>
      <c r="L1060" s="65" t="n"/>
      <c r="M1060" s="65" t="n"/>
      <c r="N1060" s="65" t="n"/>
      <c r="O1060" s="65" t="n"/>
      <c r="P1060" s="65" t="n"/>
      <c r="Q1060" s="32">
        <f>IF($C1060="","",IF($J1060="","— חסרים נתונים",IF($J1060="טרם מפענח","פרופיל 5",IF($J1060="קמץ/פתח/חטף-פתח ושוואים","פרופיל 4",IF($J1060="2-3 סימני ניקוד","פרופיל 3",IF($J1060="4-5 סימני ניקוד","פרופיל 2",IF(AND($O1060="משפטים וקטעים קצרים",OR($M1060="מבין",$M1060="מבין לרוב")),"פרופיל 1","פרופיל 2")))))))</f>
        <v/>
      </c>
      <c r="R1060" s="32">
        <f>IF($C1060="","",IF(OR($Q1060="",LEFT($Q1060,1)="—"),"קבוצה רביעית",IF($Q1060="פרופיל 5","קבוצת תשתיות",IF(OR($Q1060="פרופיל 4",$Q1060="פרופיל 3"),"קבוצת רכישה","קבוצת ביסוס"))))</f>
        <v/>
      </c>
      <c r="S1060" s="32">
        <f>IF($F1060="","",IF($F1060="תחילת שנה",1,IF($F1060="מחצית שנה",2,3)))</f>
        <v/>
      </c>
      <c r="T1060" s="32">
        <f>IF(OR($B1060="",$R1060="",$A1060="",$F1060=""),"",$B1060&amp;"|"&amp;$A1060&amp;"|"&amp;$F1060&amp;"|"&amp;$R1060&amp;"|"&amp;COUNTIFS($B$6:$B1060,$B1060,$A$6:$A1060,$A1060,$F$6:$F1060,$F1060,$R$6:$R1060,$R1060))</f>
        <v/>
      </c>
      <c r="U1060" s="32">
        <f>IF($C1060="","",$C1060&amp;"|"&amp;COUNTIFS($C$6:$C1060,$C1060))</f>
        <v/>
      </c>
      <c r="V1060" s="32">
        <f>IF(OR($C1060="",$A1060="",$S1060=""),"",$C1060&amp;"|"&amp;$A1060&amp;"|"&amp;$S1060)</f>
        <v/>
      </c>
      <c r="W1060" s="32">
        <f>IF(OR($C1060="",$S1060="",$S1060=1),"",IFERROR(INDEX($Q$6:$Q$1505,MATCH($C1060&amp;"|"&amp;$A1060&amp;"|"&amp;($S1060-1),$V$6:$V$1505,0)),""))</f>
        <v/>
      </c>
      <c r="X1060" s="32">
        <f>IF(OR($W1060="",$Q1060="",LEFT($Q1060,1)="—"),"",IF($W1060=$Q1060,"ללא שינוי","מ-"&amp;$W1060&amp;" ל-"&amp;$Q1060))</f>
        <v/>
      </c>
    </row>
    <row r="1061">
      <c r="A1061" s="65" t="n"/>
      <c r="B1061" s="65" t="n"/>
      <c r="C1061" s="66" t="n"/>
      <c r="D1061" s="66" t="n"/>
      <c r="E1061" s="65" t="n"/>
      <c r="F1061" s="65" t="n"/>
      <c r="G1061" s="65" t="n"/>
      <c r="H1061" s="65" t="n"/>
      <c r="I1061" s="65" t="n"/>
      <c r="J1061" s="65" t="n"/>
      <c r="K1061" s="65" t="n"/>
      <c r="L1061" s="65" t="n"/>
      <c r="M1061" s="65" t="n"/>
      <c r="N1061" s="65" t="n"/>
      <c r="O1061" s="65" t="n"/>
      <c r="P1061" s="65" t="n"/>
      <c r="Q1061" s="32">
        <f>IF($C1061="","",IF($J1061="","— חסרים נתונים",IF($J1061="טרם מפענח","פרופיל 5",IF($J1061="קמץ/פתח/חטף-פתח ושוואים","פרופיל 4",IF($J1061="2-3 סימני ניקוד","פרופיל 3",IF($J1061="4-5 סימני ניקוד","פרופיל 2",IF(AND($O1061="משפטים וקטעים קצרים",OR($M1061="מבין",$M1061="מבין לרוב")),"פרופיל 1","פרופיל 2")))))))</f>
        <v/>
      </c>
      <c r="R1061" s="32">
        <f>IF($C1061="","",IF(OR($Q1061="",LEFT($Q1061,1)="—"),"קבוצה רביעית",IF($Q1061="פרופיל 5","קבוצת תשתיות",IF(OR($Q1061="פרופיל 4",$Q1061="פרופיל 3"),"קבוצת רכישה","קבוצת ביסוס"))))</f>
        <v/>
      </c>
      <c r="S1061" s="32">
        <f>IF($F1061="","",IF($F1061="תחילת שנה",1,IF($F1061="מחצית שנה",2,3)))</f>
        <v/>
      </c>
      <c r="T1061" s="32">
        <f>IF(OR($B1061="",$R1061="",$A1061="",$F1061=""),"",$B1061&amp;"|"&amp;$A1061&amp;"|"&amp;$F1061&amp;"|"&amp;$R1061&amp;"|"&amp;COUNTIFS($B$6:$B1061,$B1061,$A$6:$A1061,$A1061,$F$6:$F1061,$F1061,$R$6:$R1061,$R1061))</f>
        <v/>
      </c>
      <c r="U1061" s="32">
        <f>IF($C1061="","",$C1061&amp;"|"&amp;COUNTIFS($C$6:$C1061,$C1061))</f>
        <v/>
      </c>
      <c r="V1061" s="32">
        <f>IF(OR($C1061="",$A1061="",$S1061=""),"",$C1061&amp;"|"&amp;$A1061&amp;"|"&amp;$S1061)</f>
        <v/>
      </c>
      <c r="W1061" s="32">
        <f>IF(OR($C1061="",$S1061="",$S1061=1),"",IFERROR(INDEX($Q$6:$Q$1505,MATCH($C1061&amp;"|"&amp;$A1061&amp;"|"&amp;($S1061-1),$V$6:$V$1505,0)),""))</f>
        <v/>
      </c>
      <c r="X1061" s="32">
        <f>IF(OR($W1061="",$Q1061="",LEFT($Q1061,1)="—"),"",IF($W1061=$Q1061,"ללא שינוי","מ-"&amp;$W1061&amp;" ל-"&amp;$Q1061))</f>
        <v/>
      </c>
    </row>
    <row r="1062">
      <c r="A1062" s="65" t="n"/>
      <c r="B1062" s="65" t="n"/>
      <c r="C1062" s="66" t="n"/>
      <c r="D1062" s="66" t="n"/>
      <c r="E1062" s="65" t="n"/>
      <c r="F1062" s="65" t="n"/>
      <c r="G1062" s="65" t="n"/>
      <c r="H1062" s="65" t="n"/>
      <c r="I1062" s="65" t="n"/>
      <c r="J1062" s="65" t="n"/>
      <c r="K1062" s="65" t="n"/>
      <c r="L1062" s="65" t="n"/>
      <c r="M1062" s="65" t="n"/>
      <c r="N1062" s="65" t="n"/>
      <c r="O1062" s="65" t="n"/>
      <c r="P1062" s="65" t="n"/>
      <c r="Q1062" s="32">
        <f>IF($C1062="","",IF($J1062="","— חסרים נתונים",IF($J1062="טרם מפענח","פרופיל 5",IF($J1062="קמץ/פתח/חטף-פתח ושוואים","פרופיל 4",IF($J1062="2-3 סימני ניקוד","פרופיל 3",IF($J1062="4-5 סימני ניקוד","פרופיל 2",IF(AND($O1062="משפטים וקטעים קצרים",OR($M1062="מבין",$M1062="מבין לרוב")),"פרופיל 1","פרופיל 2")))))))</f>
        <v/>
      </c>
      <c r="R1062" s="32">
        <f>IF($C1062="","",IF(OR($Q1062="",LEFT($Q1062,1)="—"),"קבוצה רביעית",IF($Q1062="פרופיל 5","קבוצת תשתיות",IF(OR($Q1062="פרופיל 4",$Q1062="פרופיל 3"),"קבוצת רכישה","קבוצת ביסוס"))))</f>
        <v/>
      </c>
      <c r="S1062" s="32">
        <f>IF($F1062="","",IF($F1062="תחילת שנה",1,IF($F1062="מחצית שנה",2,3)))</f>
        <v/>
      </c>
      <c r="T1062" s="32">
        <f>IF(OR($B1062="",$R1062="",$A1062="",$F1062=""),"",$B1062&amp;"|"&amp;$A1062&amp;"|"&amp;$F1062&amp;"|"&amp;$R1062&amp;"|"&amp;COUNTIFS($B$6:$B1062,$B1062,$A$6:$A1062,$A1062,$F$6:$F1062,$F1062,$R$6:$R1062,$R1062))</f>
        <v/>
      </c>
      <c r="U1062" s="32">
        <f>IF($C1062="","",$C1062&amp;"|"&amp;COUNTIFS($C$6:$C1062,$C1062))</f>
        <v/>
      </c>
      <c r="V1062" s="32">
        <f>IF(OR($C1062="",$A1062="",$S1062=""),"",$C1062&amp;"|"&amp;$A1062&amp;"|"&amp;$S1062)</f>
        <v/>
      </c>
      <c r="W1062" s="32">
        <f>IF(OR($C1062="",$S1062="",$S1062=1),"",IFERROR(INDEX($Q$6:$Q$1505,MATCH($C1062&amp;"|"&amp;$A1062&amp;"|"&amp;($S1062-1),$V$6:$V$1505,0)),""))</f>
        <v/>
      </c>
      <c r="X1062" s="32">
        <f>IF(OR($W1062="",$Q1062="",LEFT($Q1062,1)="—"),"",IF($W1062=$Q1062,"ללא שינוי","מ-"&amp;$W1062&amp;" ל-"&amp;$Q1062))</f>
        <v/>
      </c>
    </row>
    <row r="1063">
      <c r="A1063" s="65" t="n"/>
      <c r="B1063" s="65" t="n"/>
      <c r="C1063" s="66" t="n"/>
      <c r="D1063" s="66" t="n"/>
      <c r="E1063" s="65" t="n"/>
      <c r="F1063" s="65" t="n"/>
      <c r="G1063" s="65" t="n"/>
      <c r="H1063" s="65" t="n"/>
      <c r="I1063" s="65" t="n"/>
      <c r="J1063" s="65" t="n"/>
      <c r="K1063" s="65" t="n"/>
      <c r="L1063" s="65" t="n"/>
      <c r="M1063" s="65" t="n"/>
      <c r="N1063" s="65" t="n"/>
      <c r="O1063" s="65" t="n"/>
      <c r="P1063" s="65" t="n"/>
      <c r="Q1063" s="32">
        <f>IF($C1063="","",IF($J1063="","— חסרים נתונים",IF($J1063="טרם מפענח","פרופיל 5",IF($J1063="קמץ/פתח/חטף-פתח ושוואים","פרופיל 4",IF($J1063="2-3 סימני ניקוד","פרופיל 3",IF($J1063="4-5 סימני ניקוד","פרופיל 2",IF(AND($O1063="משפטים וקטעים קצרים",OR($M1063="מבין",$M1063="מבין לרוב")),"פרופיל 1","פרופיל 2")))))))</f>
        <v/>
      </c>
      <c r="R1063" s="32">
        <f>IF($C1063="","",IF(OR($Q1063="",LEFT($Q1063,1)="—"),"קבוצה רביעית",IF($Q1063="פרופיל 5","קבוצת תשתיות",IF(OR($Q1063="פרופיל 4",$Q1063="פרופיל 3"),"קבוצת רכישה","קבוצת ביסוס"))))</f>
        <v/>
      </c>
      <c r="S1063" s="32">
        <f>IF($F1063="","",IF($F1063="תחילת שנה",1,IF($F1063="מחצית שנה",2,3)))</f>
        <v/>
      </c>
      <c r="T1063" s="32">
        <f>IF(OR($B1063="",$R1063="",$A1063="",$F1063=""),"",$B1063&amp;"|"&amp;$A1063&amp;"|"&amp;$F1063&amp;"|"&amp;$R1063&amp;"|"&amp;COUNTIFS($B$6:$B1063,$B1063,$A$6:$A1063,$A1063,$F$6:$F1063,$F1063,$R$6:$R1063,$R1063))</f>
        <v/>
      </c>
      <c r="U1063" s="32">
        <f>IF($C1063="","",$C1063&amp;"|"&amp;COUNTIFS($C$6:$C1063,$C1063))</f>
        <v/>
      </c>
      <c r="V1063" s="32">
        <f>IF(OR($C1063="",$A1063="",$S1063=""),"",$C1063&amp;"|"&amp;$A1063&amp;"|"&amp;$S1063)</f>
        <v/>
      </c>
      <c r="W1063" s="32">
        <f>IF(OR($C1063="",$S1063="",$S1063=1),"",IFERROR(INDEX($Q$6:$Q$1505,MATCH($C1063&amp;"|"&amp;$A1063&amp;"|"&amp;($S1063-1),$V$6:$V$1505,0)),""))</f>
        <v/>
      </c>
      <c r="X1063" s="32">
        <f>IF(OR($W1063="",$Q1063="",LEFT($Q1063,1)="—"),"",IF($W1063=$Q1063,"ללא שינוי","מ-"&amp;$W1063&amp;" ל-"&amp;$Q1063))</f>
        <v/>
      </c>
    </row>
    <row r="1064">
      <c r="A1064" s="65" t="n"/>
      <c r="B1064" s="65" t="n"/>
      <c r="C1064" s="66" t="n"/>
      <c r="D1064" s="66" t="n"/>
      <c r="E1064" s="65" t="n"/>
      <c r="F1064" s="65" t="n"/>
      <c r="G1064" s="65" t="n"/>
      <c r="H1064" s="65" t="n"/>
      <c r="I1064" s="65" t="n"/>
      <c r="J1064" s="65" t="n"/>
      <c r="K1064" s="65" t="n"/>
      <c r="L1064" s="65" t="n"/>
      <c r="M1064" s="65" t="n"/>
      <c r="N1064" s="65" t="n"/>
      <c r="O1064" s="65" t="n"/>
      <c r="P1064" s="65" t="n"/>
      <c r="Q1064" s="32">
        <f>IF($C1064="","",IF($J1064="","— חסרים נתונים",IF($J1064="טרם מפענח","פרופיל 5",IF($J1064="קמץ/פתח/חטף-פתח ושוואים","פרופיל 4",IF($J1064="2-3 סימני ניקוד","פרופיל 3",IF($J1064="4-5 סימני ניקוד","פרופיל 2",IF(AND($O1064="משפטים וקטעים קצרים",OR($M1064="מבין",$M1064="מבין לרוב")),"פרופיל 1","פרופיל 2")))))))</f>
        <v/>
      </c>
      <c r="R1064" s="32">
        <f>IF($C1064="","",IF(OR($Q1064="",LEFT($Q1064,1)="—"),"קבוצה רביעית",IF($Q1064="פרופיל 5","קבוצת תשתיות",IF(OR($Q1064="פרופיל 4",$Q1064="פרופיל 3"),"קבוצת רכישה","קבוצת ביסוס"))))</f>
        <v/>
      </c>
      <c r="S1064" s="32">
        <f>IF($F1064="","",IF($F1064="תחילת שנה",1,IF($F1064="מחצית שנה",2,3)))</f>
        <v/>
      </c>
      <c r="T1064" s="32">
        <f>IF(OR($B1064="",$R1064="",$A1064="",$F1064=""),"",$B1064&amp;"|"&amp;$A1064&amp;"|"&amp;$F1064&amp;"|"&amp;$R1064&amp;"|"&amp;COUNTIFS($B$6:$B1064,$B1064,$A$6:$A1064,$A1064,$F$6:$F1064,$F1064,$R$6:$R1064,$R1064))</f>
        <v/>
      </c>
      <c r="U1064" s="32">
        <f>IF($C1064="","",$C1064&amp;"|"&amp;COUNTIFS($C$6:$C1064,$C1064))</f>
        <v/>
      </c>
      <c r="V1064" s="32">
        <f>IF(OR($C1064="",$A1064="",$S1064=""),"",$C1064&amp;"|"&amp;$A1064&amp;"|"&amp;$S1064)</f>
        <v/>
      </c>
      <c r="W1064" s="32">
        <f>IF(OR($C1064="",$S1064="",$S1064=1),"",IFERROR(INDEX($Q$6:$Q$1505,MATCH($C1064&amp;"|"&amp;$A1064&amp;"|"&amp;($S1064-1),$V$6:$V$1505,0)),""))</f>
        <v/>
      </c>
      <c r="X1064" s="32">
        <f>IF(OR($W1064="",$Q1064="",LEFT($Q1064,1)="—"),"",IF($W1064=$Q1064,"ללא שינוי","מ-"&amp;$W1064&amp;" ל-"&amp;$Q1064))</f>
        <v/>
      </c>
    </row>
    <row r="1065">
      <c r="A1065" s="65" t="n"/>
      <c r="B1065" s="65" t="n"/>
      <c r="C1065" s="66" t="n"/>
      <c r="D1065" s="66" t="n"/>
      <c r="E1065" s="65" t="n"/>
      <c r="F1065" s="65" t="n"/>
      <c r="G1065" s="65" t="n"/>
      <c r="H1065" s="65" t="n"/>
      <c r="I1065" s="65" t="n"/>
      <c r="J1065" s="65" t="n"/>
      <c r="K1065" s="65" t="n"/>
      <c r="L1065" s="65" t="n"/>
      <c r="M1065" s="65" t="n"/>
      <c r="N1065" s="65" t="n"/>
      <c r="O1065" s="65" t="n"/>
      <c r="P1065" s="65" t="n"/>
      <c r="Q1065" s="32">
        <f>IF($C1065="","",IF($J1065="","— חסרים נתונים",IF($J1065="טרם מפענח","פרופיל 5",IF($J1065="קמץ/פתח/חטף-פתח ושוואים","פרופיל 4",IF($J1065="2-3 סימני ניקוד","פרופיל 3",IF($J1065="4-5 סימני ניקוד","פרופיל 2",IF(AND($O1065="משפטים וקטעים קצרים",OR($M1065="מבין",$M1065="מבין לרוב")),"פרופיל 1","פרופיל 2")))))))</f>
        <v/>
      </c>
      <c r="R1065" s="32">
        <f>IF($C1065="","",IF(OR($Q1065="",LEFT($Q1065,1)="—"),"קבוצה רביעית",IF($Q1065="פרופיל 5","קבוצת תשתיות",IF(OR($Q1065="פרופיל 4",$Q1065="פרופיל 3"),"קבוצת רכישה","קבוצת ביסוס"))))</f>
        <v/>
      </c>
      <c r="S1065" s="32">
        <f>IF($F1065="","",IF($F1065="תחילת שנה",1,IF($F1065="מחצית שנה",2,3)))</f>
        <v/>
      </c>
      <c r="T1065" s="32">
        <f>IF(OR($B1065="",$R1065="",$A1065="",$F1065=""),"",$B1065&amp;"|"&amp;$A1065&amp;"|"&amp;$F1065&amp;"|"&amp;$R1065&amp;"|"&amp;COUNTIFS($B$6:$B1065,$B1065,$A$6:$A1065,$A1065,$F$6:$F1065,$F1065,$R$6:$R1065,$R1065))</f>
        <v/>
      </c>
      <c r="U1065" s="32">
        <f>IF($C1065="","",$C1065&amp;"|"&amp;COUNTIFS($C$6:$C1065,$C1065))</f>
        <v/>
      </c>
      <c r="V1065" s="32">
        <f>IF(OR($C1065="",$A1065="",$S1065=""),"",$C1065&amp;"|"&amp;$A1065&amp;"|"&amp;$S1065)</f>
        <v/>
      </c>
      <c r="W1065" s="32">
        <f>IF(OR($C1065="",$S1065="",$S1065=1),"",IFERROR(INDEX($Q$6:$Q$1505,MATCH($C1065&amp;"|"&amp;$A1065&amp;"|"&amp;($S1065-1),$V$6:$V$1505,0)),""))</f>
        <v/>
      </c>
      <c r="X1065" s="32">
        <f>IF(OR($W1065="",$Q1065="",LEFT($Q1065,1)="—"),"",IF($W1065=$Q1065,"ללא שינוי","מ-"&amp;$W1065&amp;" ל-"&amp;$Q1065))</f>
        <v/>
      </c>
    </row>
    <row r="1066">
      <c r="A1066" s="65" t="n"/>
      <c r="B1066" s="65" t="n"/>
      <c r="C1066" s="66" t="n"/>
      <c r="D1066" s="66" t="n"/>
      <c r="E1066" s="65" t="n"/>
      <c r="F1066" s="65" t="n"/>
      <c r="G1066" s="65" t="n"/>
      <c r="H1066" s="65" t="n"/>
      <c r="I1066" s="65" t="n"/>
      <c r="J1066" s="65" t="n"/>
      <c r="K1066" s="65" t="n"/>
      <c r="L1066" s="65" t="n"/>
      <c r="M1066" s="65" t="n"/>
      <c r="N1066" s="65" t="n"/>
      <c r="O1066" s="65" t="n"/>
      <c r="P1066" s="65" t="n"/>
      <c r="Q1066" s="32">
        <f>IF($C1066="","",IF($J1066="","— חסרים נתונים",IF($J1066="טרם מפענח","פרופיל 5",IF($J1066="קמץ/פתח/חטף-פתח ושוואים","פרופיל 4",IF($J1066="2-3 סימני ניקוד","פרופיל 3",IF($J1066="4-5 סימני ניקוד","פרופיל 2",IF(AND($O1066="משפטים וקטעים קצרים",OR($M1066="מבין",$M1066="מבין לרוב")),"פרופיל 1","פרופיל 2")))))))</f>
        <v/>
      </c>
      <c r="R1066" s="32">
        <f>IF($C1066="","",IF(OR($Q1066="",LEFT($Q1066,1)="—"),"קבוצה רביעית",IF($Q1066="פרופיל 5","קבוצת תשתיות",IF(OR($Q1066="פרופיל 4",$Q1066="פרופיל 3"),"קבוצת רכישה","קבוצת ביסוס"))))</f>
        <v/>
      </c>
      <c r="S1066" s="32">
        <f>IF($F1066="","",IF($F1066="תחילת שנה",1,IF($F1066="מחצית שנה",2,3)))</f>
        <v/>
      </c>
      <c r="T1066" s="32">
        <f>IF(OR($B1066="",$R1066="",$A1066="",$F1066=""),"",$B1066&amp;"|"&amp;$A1066&amp;"|"&amp;$F1066&amp;"|"&amp;$R1066&amp;"|"&amp;COUNTIFS($B$6:$B1066,$B1066,$A$6:$A1066,$A1066,$F$6:$F1066,$F1066,$R$6:$R1066,$R1066))</f>
        <v/>
      </c>
      <c r="U1066" s="32">
        <f>IF($C1066="","",$C1066&amp;"|"&amp;COUNTIFS($C$6:$C1066,$C1066))</f>
        <v/>
      </c>
      <c r="V1066" s="32">
        <f>IF(OR($C1066="",$A1066="",$S1066=""),"",$C1066&amp;"|"&amp;$A1066&amp;"|"&amp;$S1066)</f>
        <v/>
      </c>
      <c r="W1066" s="32">
        <f>IF(OR($C1066="",$S1066="",$S1066=1),"",IFERROR(INDEX($Q$6:$Q$1505,MATCH($C1066&amp;"|"&amp;$A1066&amp;"|"&amp;($S1066-1),$V$6:$V$1505,0)),""))</f>
        <v/>
      </c>
      <c r="X1066" s="32">
        <f>IF(OR($W1066="",$Q1066="",LEFT($Q1066,1)="—"),"",IF($W1066=$Q1066,"ללא שינוי","מ-"&amp;$W1066&amp;" ל-"&amp;$Q1066))</f>
        <v/>
      </c>
    </row>
    <row r="1067">
      <c r="A1067" s="65" t="n"/>
      <c r="B1067" s="65" t="n"/>
      <c r="C1067" s="66" t="n"/>
      <c r="D1067" s="66" t="n"/>
      <c r="E1067" s="65" t="n"/>
      <c r="F1067" s="65" t="n"/>
      <c r="G1067" s="65" t="n"/>
      <c r="H1067" s="65" t="n"/>
      <c r="I1067" s="65" t="n"/>
      <c r="J1067" s="65" t="n"/>
      <c r="K1067" s="65" t="n"/>
      <c r="L1067" s="65" t="n"/>
      <c r="M1067" s="65" t="n"/>
      <c r="N1067" s="65" t="n"/>
      <c r="O1067" s="65" t="n"/>
      <c r="P1067" s="65" t="n"/>
      <c r="Q1067" s="32">
        <f>IF($C1067="","",IF($J1067="","— חסרים נתונים",IF($J1067="טרם מפענח","פרופיל 5",IF($J1067="קמץ/פתח/חטף-פתח ושוואים","פרופיל 4",IF($J1067="2-3 סימני ניקוד","פרופיל 3",IF($J1067="4-5 סימני ניקוד","פרופיל 2",IF(AND($O1067="משפטים וקטעים קצרים",OR($M1067="מבין",$M1067="מבין לרוב")),"פרופיל 1","פרופיל 2")))))))</f>
        <v/>
      </c>
      <c r="R1067" s="32">
        <f>IF($C1067="","",IF(OR($Q1067="",LEFT($Q1067,1)="—"),"קבוצה רביעית",IF($Q1067="פרופיל 5","קבוצת תשתיות",IF(OR($Q1067="פרופיל 4",$Q1067="פרופיל 3"),"קבוצת רכישה","קבוצת ביסוס"))))</f>
        <v/>
      </c>
      <c r="S1067" s="32">
        <f>IF($F1067="","",IF($F1067="תחילת שנה",1,IF($F1067="מחצית שנה",2,3)))</f>
        <v/>
      </c>
      <c r="T1067" s="32">
        <f>IF(OR($B1067="",$R1067="",$A1067="",$F1067=""),"",$B1067&amp;"|"&amp;$A1067&amp;"|"&amp;$F1067&amp;"|"&amp;$R1067&amp;"|"&amp;COUNTIFS($B$6:$B1067,$B1067,$A$6:$A1067,$A1067,$F$6:$F1067,$F1067,$R$6:$R1067,$R1067))</f>
        <v/>
      </c>
      <c r="U1067" s="32">
        <f>IF($C1067="","",$C1067&amp;"|"&amp;COUNTIFS($C$6:$C1067,$C1067))</f>
        <v/>
      </c>
      <c r="V1067" s="32">
        <f>IF(OR($C1067="",$A1067="",$S1067=""),"",$C1067&amp;"|"&amp;$A1067&amp;"|"&amp;$S1067)</f>
        <v/>
      </c>
      <c r="W1067" s="32">
        <f>IF(OR($C1067="",$S1067="",$S1067=1),"",IFERROR(INDEX($Q$6:$Q$1505,MATCH($C1067&amp;"|"&amp;$A1067&amp;"|"&amp;($S1067-1),$V$6:$V$1505,0)),""))</f>
        <v/>
      </c>
      <c r="X1067" s="32">
        <f>IF(OR($W1067="",$Q1067="",LEFT($Q1067,1)="—"),"",IF($W1067=$Q1067,"ללא שינוי","מ-"&amp;$W1067&amp;" ל-"&amp;$Q1067))</f>
        <v/>
      </c>
    </row>
    <row r="1068">
      <c r="A1068" s="65" t="n"/>
      <c r="B1068" s="65" t="n"/>
      <c r="C1068" s="66" t="n"/>
      <c r="D1068" s="66" t="n"/>
      <c r="E1068" s="65" t="n"/>
      <c r="F1068" s="65" t="n"/>
      <c r="G1068" s="65" t="n"/>
      <c r="H1068" s="65" t="n"/>
      <c r="I1068" s="65" t="n"/>
      <c r="J1068" s="65" t="n"/>
      <c r="K1068" s="65" t="n"/>
      <c r="L1068" s="65" t="n"/>
      <c r="M1068" s="65" t="n"/>
      <c r="N1068" s="65" t="n"/>
      <c r="O1068" s="65" t="n"/>
      <c r="P1068" s="65" t="n"/>
      <c r="Q1068" s="32">
        <f>IF($C1068="","",IF($J1068="","— חסרים נתונים",IF($J1068="טרם מפענח","פרופיל 5",IF($J1068="קמץ/פתח/חטף-פתח ושוואים","פרופיל 4",IF($J1068="2-3 סימני ניקוד","פרופיל 3",IF($J1068="4-5 סימני ניקוד","פרופיל 2",IF(AND($O1068="משפטים וקטעים קצרים",OR($M1068="מבין",$M1068="מבין לרוב")),"פרופיל 1","פרופיל 2")))))))</f>
        <v/>
      </c>
      <c r="R1068" s="32">
        <f>IF($C1068="","",IF(OR($Q1068="",LEFT($Q1068,1)="—"),"קבוצה רביעית",IF($Q1068="פרופיל 5","קבוצת תשתיות",IF(OR($Q1068="פרופיל 4",$Q1068="פרופיל 3"),"קבוצת רכישה","קבוצת ביסוס"))))</f>
        <v/>
      </c>
      <c r="S1068" s="32">
        <f>IF($F1068="","",IF($F1068="תחילת שנה",1,IF($F1068="מחצית שנה",2,3)))</f>
        <v/>
      </c>
      <c r="T1068" s="32">
        <f>IF(OR($B1068="",$R1068="",$A1068="",$F1068=""),"",$B1068&amp;"|"&amp;$A1068&amp;"|"&amp;$F1068&amp;"|"&amp;$R1068&amp;"|"&amp;COUNTIFS($B$6:$B1068,$B1068,$A$6:$A1068,$A1068,$F$6:$F1068,$F1068,$R$6:$R1068,$R1068))</f>
        <v/>
      </c>
      <c r="U1068" s="32">
        <f>IF($C1068="","",$C1068&amp;"|"&amp;COUNTIFS($C$6:$C1068,$C1068))</f>
        <v/>
      </c>
      <c r="V1068" s="32">
        <f>IF(OR($C1068="",$A1068="",$S1068=""),"",$C1068&amp;"|"&amp;$A1068&amp;"|"&amp;$S1068)</f>
        <v/>
      </c>
      <c r="W1068" s="32">
        <f>IF(OR($C1068="",$S1068="",$S1068=1),"",IFERROR(INDEX($Q$6:$Q$1505,MATCH($C1068&amp;"|"&amp;$A1068&amp;"|"&amp;($S1068-1),$V$6:$V$1505,0)),""))</f>
        <v/>
      </c>
      <c r="X1068" s="32">
        <f>IF(OR($W1068="",$Q1068="",LEFT($Q1068,1)="—"),"",IF($W1068=$Q1068,"ללא שינוי","מ-"&amp;$W1068&amp;" ל-"&amp;$Q1068))</f>
        <v/>
      </c>
    </row>
    <row r="1069">
      <c r="A1069" s="65" t="n"/>
      <c r="B1069" s="65" t="n"/>
      <c r="C1069" s="66" t="n"/>
      <c r="D1069" s="66" t="n"/>
      <c r="E1069" s="65" t="n"/>
      <c r="F1069" s="65" t="n"/>
      <c r="G1069" s="65" t="n"/>
      <c r="H1069" s="65" t="n"/>
      <c r="I1069" s="65" t="n"/>
      <c r="J1069" s="65" t="n"/>
      <c r="K1069" s="65" t="n"/>
      <c r="L1069" s="65" t="n"/>
      <c r="M1069" s="65" t="n"/>
      <c r="N1069" s="65" t="n"/>
      <c r="O1069" s="65" t="n"/>
      <c r="P1069" s="65" t="n"/>
      <c r="Q1069" s="32">
        <f>IF($C1069="","",IF($J1069="","— חסרים נתונים",IF($J1069="טרם מפענח","פרופיל 5",IF($J1069="קמץ/פתח/חטף-פתח ושוואים","פרופיל 4",IF($J1069="2-3 סימני ניקוד","פרופיל 3",IF($J1069="4-5 סימני ניקוד","פרופיל 2",IF(AND($O1069="משפטים וקטעים קצרים",OR($M1069="מבין",$M1069="מבין לרוב")),"פרופיל 1","פרופיל 2")))))))</f>
        <v/>
      </c>
      <c r="R1069" s="32">
        <f>IF($C1069="","",IF(OR($Q1069="",LEFT($Q1069,1)="—"),"קבוצה רביעית",IF($Q1069="פרופיל 5","קבוצת תשתיות",IF(OR($Q1069="פרופיל 4",$Q1069="פרופיל 3"),"קבוצת רכישה","קבוצת ביסוס"))))</f>
        <v/>
      </c>
      <c r="S1069" s="32">
        <f>IF($F1069="","",IF($F1069="תחילת שנה",1,IF($F1069="מחצית שנה",2,3)))</f>
        <v/>
      </c>
      <c r="T1069" s="32">
        <f>IF(OR($B1069="",$R1069="",$A1069="",$F1069=""),"",$B1069&amp;"|"&amp;$A1069&amp;"|"&amp;$F1069&amp;"|"&amp;$R1069&amp;"|"&amp;COUNTIFS($B$6:$B1069,$B1069,$A$6:$A1069,$A1069,$F$6:$F1069,$F1069,$R$6:$R1069,$R1069))</f>
        <v/>
      </c>
      <c r="U1069" s="32">
        <f>IF($C1069="","",$C1069&amp;"|"&amp;COUNTIFS($C$6:$C1069,$C1069))</f>
        <v/>
      </c>
      <c r="V1069" s="32">
        <f>IF(OR($C1069="",$A1069="",$S1069=""),"",$C1069&amp;"|"&amp;$A1069&amp;"|"&amp;$S1069)</f>
        <v/>
      </c>
      <c r="W1069" s="32">
        <f>IF(OR($C1069="",$S1069="",$S1069=1),"",IFERROR(INDEX($Q$6:$Q$1505,MATCH($C1069&amp;"|"&amp;$A1069&amp;"|"&amp;($S1069-1),$V$6:$V$1505,0)),""))</f>
        <v/>
      </c>
      <c r="X1069" s="32">
        <f>IF(OR($W1069="",$Q1069="",LEFT($Q1069,1)="—"),"",IF($W1069=$Q1069,"ללא שינוי","מ-"&amp;$W1069&amp;" ל-"&amp;$Q1069))</f>
        <v/>
      </c>
    </row>
    <row r="1070">
      <c r="A1070" s="65" t="n"/>
      <c r="B1070" s="65" t="n"/>
      <c r="C1070" s="66" t="n"/>
      <c r="D1070" s="66" t="n"/>
      <c r="E1070" s="65" t="n"/>
      <c r="F1070" s="65" t="n"/>
      <c r="G1070" s="65" t="n"/>
      <c r="H1070" s="65" t="n"/>
      <c r="I1070" s="65" t="n"/>
      <c r="J1070" s="65" t="n"/>
      <c r="K1070" s="65" t="n"/>
      <c r="L1070" s="65" t="n"/>
      <c r="M1070" s="65" t="n"/>
      <c r="N1070" s="65" t="n"/>
      <c r="O1070" s="65" t="n"/>
      <c r="P1070" s="65" t="n"/>
      <c r="Q1070" s="32">
        <f>IF($C1070="","",IF($J1070="","— חסרים נתונים",IF($J1070="טרם מפענח","פרופיל 5",IF($J1070="קמץ/פתח/חטף-פתח ושוואים","פרופיל 4",IF($J1070="2-3 סימני ניקוד","פרופיל 3",IF($J1070="4-5 סימני ניקוד","פרופיל 2",IF(AND($O1070="משפטים וקטעים קצרים",OR($M1070="מבין",$M1070="מבין לרוב")),"פרופיל 1","פרופיל 2")))))))</f>
        <v/>
      </c>
      <c r="R1070" s="32">
        <f>IF($C1070="","",IF(OR($Q1070="",LEFT($Q1070,1)="—"),"קבוצה רביעית",IF($Q1070="פרופיל 5","קבוצת תשתיות",IF(OR($Q1070="פרופיל 4",$Q1070="פרופיל 3"),"קבוצת רכישה","קבוצת ביסוס"))))</f>
        <v/>
      </c>
      <c r="S1070" s="32">
        <f>IF($F1070="","",IF($F1070="תחילת שנה",1,IF($F1070="מחצית שנה",2,3)))</f>
        <v/>
      </c>
      <c r="T1070" s="32">
        <f>IF(OR($B1070="",$R1070="",$A1070="",$F1070=""),"",$B1070&amp;"|"&amp;$A1070&amp;"|"&amp;$F1070&amp;"|"&amp;$R1070&amp;"|"&amp;COUNTIFS($B$6:$B1070,$B1070,$A$6:$A1070,$A1070,$F$6:$F1070,$F1070,$R$6:$R1070,$R1070))</f>
        <v/>
      </c>
      <c r="U1070" s="32">
        <f>IF($C1070="","",$C1070&amp;"|"&amp;COUNTIFS($C$6:$C1070,$C1070))</f>
        <v/>
      </c>
      <c r="V1070" s="32">
        <f>IF(OR($C1070="",$A1070="",$S1070=""),"",$C1070&amp;"|"&amp;$A1070&amp;"|"&amp;$S1070)</f>
        <v/>
      </c>
      <c r="W1070" s="32">
        <f>IF(OR($C1070="",$S1070="",$S1070=1),"",IFERROR(INDEX($Q$6:$Q$1505,MATCH($C1070&amp;"|"&amp;$A1070&amp;"|"&amp;($S1070-1),$V$6:$V$1505,0)),""))</f>
        <v/>
      </c>
      <c r="X1070" s="32">
        <f>IF(OR($W1070="",$Q1070="",LEFT($Q1070,1)="—"),"",IF($W1070=$Q1070,"ללא שינוי","מ-"&amp;$W1070&amp;" ל-"&amp;$Q1070))</f>
        <v/>
      </c>
    </row>
    <row r="1071">
      <c r="A1071" s="65" t="n"/>
      <c r="B1071" s="65" t="n"/>
      <c r="C1071" s="66" t="n"/>
      <c r="D1071" s="66" t="n"/>
      <c r="E1071" s="65" t="n"/>
      <c r="F1071" s="65" t="n"/>
      <c r="G1071" s="65" t="n"/>
      <c r="H1071" s="65" t="n"/>
      <c r="I1071" s="65" t="n"/>
      <c r="J1071" s="65" t="n"/>
      <c r="K1071" s="65" t="n"/>
      <c r="L1071" s="65" t="n"/>
      <c r="M1071" s="65" t="n"/>
      <c r="N1071" s="65" t="n"/>
      <c r="O1071" s="65" t="n"/>
      <c r="P1071" s="65" t="n"/>
      <c r="Q1071" s="32">
        <f>IF($C1071="","",IF($J1071="","— חסרים נתונים",IF($J1071="טרם מפענח","פרופיל 5",IF($J1071="קמץ/פתח/חטף-פתח ושוואים","פרופיל 4",IF($J1071="2-3 סימני ניקוד","פרופיל 3",IF($J1071="4-5 סימני ניקוד","פרופיל 2",IF(AND($O1071="משפטים וקטעים קצרים",OR($M1071="מבין",$M1071="מבין לרוב")),"פרופיל 1","פרופיל 2")))))))</f>
        <v/>
      </c>
      <c r="R1071" s="32">
        <f>IF($C1071="","",IF(OR($Q1071="",LEFT($Q1071,1)="—"),"קבוצה רביעית",IF($Q1071="פרופיל 5","קבוצת תשתיות",IF(OR($Q1071="פרופיל 4",$Q1071="פרופיל 3"),"קבוצת רכישה","קבוצת ביסוס"))))</f>
        <v/>
      </c>
      <c r="S1071" s="32">
        <f>IF($F1071="","",IF($F1071="תחילת שנה",1,IF($F1071="מחצית שנה",2,3)))</f>
        <v/>
      </c>
      <c r="T1071" s="32">
        <f>IF(OR($B1071="",$R1071="",$A1071="",$F1071=""),"",$B1071&amp;"|"&amp;$A1071&amp;"|"&amp;$F1071&amp;"|"&amp;$R1071&amp;"|"&amp;COUNTIFS($B$6:$B1071,$B1071,$A$6:$A1071,$A1071,$F$6:$F1071,$F1071,$R$6:$R1071,$R1071))</f>
        <v/>
      </c>
      <c r="U1071" s="32">
        <f>IF($C1071="","",$C1071&amp;"|"&amp;COUNTIFS($C$6:$C1071,$C1071))</f>
        <v/>
      </c>
      <c r="V1071" s="32">
        <f>IF(OR($C1071="",$A1071="",$S1071=""),"",$C1071&amp;"|"&amp;$A1071&amp;"|"&amp;$S1071)</f>
        <v/>
      </c>
      <c r="W1071" s="32">
        <f>IF(OR($C1071="",$S1071="",$S1071=1),"",IFERROR(INDEX($Q$6:$Q$1505,MATCH($C1071&amp;"|"&amp;$A1071&amp;"|"&amp;($S1071-1),$V$6:$V$1505,0)),""))</f>
        <v/>
      </c>
      <c r="X1071" s="32">
        <f>IF(OR($W1071="",$Q1071="",LEFT($Q1071,1)="—"),"",IF($W1071=$Q1071,"ללא שינוי","מ-"&amp;$W1071&amp;" ל-"&amp;$Q1071))</f>
        <v/>
      </c>
    </row>
    <row r="1072">
      <c r="A1072" s="65" t="n"/>
      <c r="B1072" s="65" t="n"/>
      <c r="C1072" s="66" t="n"/>
      <c r="D1072" s="66" t="n"/>
      <c r="E1072" s="65" t="n"/>
      <c r="F1072" s="65" t="n"/>
      <c r="G1072" s="65" t="n"/>
      <c r="H1072" s="65" t="n"/>
      <c r="I1072" s="65" t="n"/>
      <c r="J1072" s="65" t="n"/>
      <c r="K1072" s="65" t="n"/>
      <c r="L1072" s="65" t="n"/>
      <c r="M1072" s="65" t="n"/>
      <c r="N1072" s="65" t="n"/>
      <c r="O1072" s="65" t="n"/>
      <c r="P1072" s="65" t="n"/>
      <c r="Q1072" s="32">
        <f>IF($C1072="","",IF($J1072="","— חסרים נתונים",IF($J1072="טרם מפענח","פרופיל 5",IF($J1072="קמץ/פתח/חטף-פתח ושוואים","פרופיל 4",IF($J1072="2-3 סימני ניקוד","פרופיל 3",IF($J1072="4-5 סימני ניקוד","פרופיל 2",IF(AND($O1072="משפטים וקטעים קצרים",OR($M1072="מבין",$M1072="מבין לרוב")),"פרופיל 1","פרופיל 2")))))))</f>
        <v/>
      </c>
      <c r="R1072" s="32">
        <f>IF($C1072="","",IF(OR($Q1072="",LEFT($Q1072,1)="—"),"קבוצה רביעית",IF($Q1072="פרופיל 5","קבוצת תשתיות",IF(OR($Q1072="פרופיל 4",$Q1072="פרופיל 3"),"קבוצת רכישה","קבוצת ביסוס"))))</f>
        <v/>
      </c>
      <c r="S1072" s="32">
        <f>IF($F1072="","",IF($F1072="תחילת שנה",1,IF($F1072="מחצית שנה",2,3)))</f>
        <v/>
      </c>
      <c r="T1072" s="32">
        <f>IF(OR($B1072="",$R1072="",$A1072="",$F1072=""),"",$B1072&amp;"|"&amp;$A1072&amp;"|"&amp;$F1072&amp;"|"&amp;$R1072&amp;"|"&amp;COUNTIFS($B$6:$B1072,$B1072,$A$6:$A1072,$A1072,$F$6:$F1072,$F1072,$R$6:$R1072,$R1072))</f>
        <v/>
      </c>
      <c r="U1072" s="32">
        <f>IF($C1072="","",$C1072&amp;"|"&amp;COUNTIFS($C$6:$C1072,$C1072))</f>
        <v/>
      </c>
      <c r="V1072" s="32">
        <f>IF(OR($C1072="",$A1072="",$S1072=""),"",$C1072&amp;"|"&amp;$A1072&amp;"|"&amp;$S1072)</f>
        <v/>
      </c>
      <c r="W1072" s="32">
        <f>IF(OR($C1072="",$S1072="",$S1072=1),"",IFERROR(INDEX($Q$6:$Q$1505,MATCH($C1072&amp;"|"&amp;$A1072&amp;"|"&amp;($S1072-1),$V$6:$V$1505,0)),""))</f>
        <v/>
      </c>
      <c r="X1072" s="32">
        <f>IF(OR($W1072="",$Q1072="",LEFT($Q1072,1)="—"),"",IF($W1072=$Q1072,"ללא שינוי","מ-"&amp;$W1072&amp;" ל-"&amp;$Q1072))</f>
        <v/>
      </c>
    </row>
    <row r="1073">
      <c r="A1073" s="65" t="n"/>
      <c r="B1073" s="65" t="n"/>
      <c r="C1073" s="66" t="n"/>
      <c r="D1073" s="66" t="n"/>
      <c r="E1073" s="65" t="n"/>
      <c r="F1073" s="65" t="n"/>
      <c r="G1073" s="65" t="n"/>
      <c r="H1073" s="65" t="n"/>
      <c r="I1073" s="65" t="n"/>
      <c r="J1073" s="65" t="n"/>
      <c r="K1073" s="65" t="n"/>
      <c r="L1073" s="65" t="n"/>
      <c r="M1073" s="65" t="n"/>
      <c r="N1073" s="65" t="n"/>
      <c r="O1073" s="65" t="n"/>
      <c r="P1073" s="65" t="n"/>
      <c r="Q1073" s="32">
        <f>IF($C1073="","",IF($J1073="","— חסרים נתונים",IF($J1073="טרם מפענח","פרופיל 5",IF($J1073="קמץ/פתח/חטף-פתח ושוואים","פרופיל 4",IF($J1073="2-3 סימני ניקוד","פרופיל 3",IF($J1073="4-5 סימני ניקוד","פרופיל 2",IF(AND($O1073="משפטים וקטעים קצרים",OR($M1073="מבין",$M1073="מבין לרוב")),"פרופיל 1","פרופיל 2")))))))</f>
        <v/>
      </c>
      <c r="R1073" s="32">
        <f>IF($C1073="","",IF(OR($Q1073="",LEFT($Q1073,1)="—"),"קבוצה רביעית",IF($Q1073="פרופיל 5","קבוצת תשתיות",IF(OR($Q1073="פרופיל 4",$Q1073="פרופיל 3"),"קבוצת רכישה","קבוצת ביסוס"))))</f>
        <v/>
      </c>
      <c r="S1073" s="32">
        <f>IF($F1073="","",IF($F1073="תחילת שנה",1,IF($F1073="מחצית שנה",2,3)))</f>
        <v/>
      </c>
      <c r="T1073" s="32">
        <f>IF(OR($B1073="",$R1073="",$A1073="",$F1073=""),"",$B1073&amp;"|"&amp;$A1073&amp;"|"&amp;$F1073&amp;"|"&amp;$R1073&amp;"|"&amp;COUNTIFS($B$6:$B1073,$B1073,$A$6:$A1073,$A1073,$F$6:$F1073,$F1073,$R$6:$R1073,$R1073))</f>
        <v/>
      </c>
      <c r="U1073" s="32">
        <f>IF($C1073="","",$C1073&amp;"|"&amp;COUNTIFS($C$6:$C1073,$C1073))</f>
        <v/>
      </c>
      <c r="V1073" s="32">
        <f>IF(OR($C1073="",$A1073="",$S1073=""),"",$C1073&amp;"|"&amp;$A1073&amp;"|"&amp;$S1073)</f>
        <v/>
      </c>
      <c r="W1073" s="32">
        <f>IF(OR($C1073="",$S1073="",$S1073=1),"",IFERROR(INDEX($Q$6:$Q$1505,MATCH($C1073&amp;"|"&amp;$A1073&amp;"|"&amp;($S1073-1),$V$6:$V$1505,0)),""))</f>
        <v/>
      </c>
      <c r="X1073" s="32">
        <f>IF(OR($W1073="",$Q1073="",LEFT($Q1073,1)="—"),"",IF($W1073=$Q1073,"ללא שינוי","מ-"&amp;$W1073&amp;" ל-"&amp;$Q1073))</f>
        <v/>
      </c>
    </row>
    <row r="1074">
      <c r="A1074" s="65" t="n"/>
      <c r="B1074" s="65" t="n"/>
      <c r="C1074" s="66" t="n"/>
      <c r="D1074" s="66" t="n"/>
      <c r="E1074" s="65" t="n"/>
      <c r="F1074" s="65" t="n"/>
      <c r="G1074" s="65" t="n"/>
      <c r="H1074" s="65" t="n"/>
      <c r="I1074" s="65" t="n"/>
      <c r="J1074" s="65" t="n"/>
      <c r="K1074" s="65" t="n"/>
      <c r="L1074" s="65" t="n"/>
      <c r="M1074" s="65" t="n"/>
      <c r="N1074" s="65" t="n"/>
      <c r="O1074" s="65" t="n"/>
      <c r="P1074" s="65" t="n"/>
      <c r="Q1074" s="32">
        <f>IF($C1074="","",IF($J1074="","— חסרים נתונים",IF($J1074="טרם מפענח","פרופיל 5",IF($J1074="קמץ/פתח/חטף-פתח ושוואים","פרופיל 4",IF($J1074="2-3 סימני ניקוד","פרופיל 3",IF($J1074="4-5 סימני ניקוד","פרופיל 2",IF(AND($O1074="משפטים וקטעים קצרים",OR($M1074="מבין",$M1074="מבין לרוב")),"פרופיל 1","פרופיל 2")))))))</f>
        <v/>
      </c>
      <c r="R1074" s="32">
        <f>IF($C1074="","",IF(OR($Q1074="",LEFT($Q1074,1)="—"),"קבוצה רביעית",IF($Q1074="פרופיל 5","קבוצת תשתיות",IF(OR($Q1074="פרופיל 4",$Q1074="פרופיל 3"),"קבוצת רכישה","קבוצת ביסוס"))))</f>
        <v/>
      </c>
      <c r="S1074" s="32">
        <f>IF($F1074="","",IF($F1074="תחילת שנה",1,IF($F1074="מחצית שנה",2,3)))</f>
        <v/>
      </c>
      <c r="T1074" s="32">
        <f>IF(OR($B1074="",$R1074="",$A1074="",$F1074=""),"",$B1074&amp;"|"&amp;$A1074&amp;"|"&amp;$F1074&amp;"|"&amp;$R1074&amp;"|"&amp;COUNTIFS($B$6:$B1074,$B1074,$A$6:$A1074,$A1074,$F$6:$F1074,$F1074,$R$6:$R1074,$R1074))</f>
        <v/>
      </c>
      <c r="U1074" s="32">
        <f>IF($C1074="","",$C1074&amp;"|"&amp;COUNTIFS($C$6:$C1074,$C1074))</f>
        <v/>
      </c>
      <c r="V1074" s="32">
        <f>IF(OR($C1074="",$A1074="",$S1074=""),"",$C1074&amp;"|"&amp;$A1074&amp;"|"&amp;$S1074)</f>
        <v/>
      </c>
      <c r="W1074" s="32">
        <f>IF(OR($C1074="",$S1074="",$S1074=1),"",IFERROR(INDEX($Q$6:$Q$1505,MATCH($C1074&amp;"|"&amp;$A1074&amp;"|"&amp;($S1074-1),$V$6:$V$1505,0)),""))</f>
        <v/>
      </c>
      <c r="X1074" s="32">
        <f>IF(OR($W1074="",$Q1074="",LEFT($Q1074,1)="—"),"",IF($W1074=$Q1074,"ללא שינוי","מ-"&amp;$W1074&amp;" ל-"&amp;$Q1074))</f>
        <v/>
      </c>
    </row>
    <row r="1075">
      <c r="A1075" s="65" t="n"/>
      <c r="B1075" s="65" t="n"/>
      <c r="C1075" s="66" t="n"/>
      <c r="D1075" s="66" t="n"/>
      <c r="E1075" s="65" t="n"/>
      <c r="F1075" s="65" t="n"/>
      <c r="G1075" s="65" t="n"/>
      <c r="H1075" s="65" t="n"/>
      <c r="I1075" s="65" t="n"/>
      <c r="J1075" s="65" t="n"/>
      <c r="K1075" s="65" t="n"/>
      <c r="L1075" s="65" t="n"/>
      <c r="M1075" s="65" t="n"/>
      <c r="N1075" s="65" t="n"/>
      <c r="O1075" s="65" t="n"/>
      <c r="P1075" s="65" t="n"/>
      <c r="Q1075" s="32">
        <f>IF($C1075="","",IF($J1075="","— חסרים נתונים",IF($J1075="טרם מפענח","פרופיל 5",IF($J1075="קמץ/פתח/חטף-פתח ושוואים","פרופיל 4",IF($J1075="2-3 סימני ניקוד","פרופיל 3",IF($J1075="4-5 סימני ניקוד","פרופיל 2",IF(AND($O1075="משפטים וקטעים קצרים",OR($M1075="מבין",$M1075="מבין לרוב")),"פרופיל 1","פרופיל 2")))))))</f>
        <v/>
      </c>
      <c r="R1075" s="32">
        <f>IF($C1075="","",IF(OR($Q1075="",LEFT($Q1075,1)="—"),"קבוצה רביעית",IF($Q1075="פרופיל 5","קבוצת תשתיות",IF(OR($Q1075="פרופיל 4",$Q1075="פרופיל 3"),"קבוצת רכישה","קבוצת ביסוס"))))</f>
        <v/>
      </c>
      <c r="S1075" s="32">
        <f>IF($F1075="","",IF($F1075="תחילת שנה",1,IF($F1075="מחצית שנה",2,3)))</f>
        <v/>
      </c>
      <c r="T1075" s="32">
        <f>IF(OR($B1075="",$R1075="",$A1075="",$F1075=""),"",$B1075&amp;"|"&amp;$A1075&amp;"|"&amp;$F1075&amp;"|"&amp;$R1075&amp;"|"&amp;COUNTIFS($B$6:$B1075,$B1075,$A$6:$A1075,$A1075,$F$6:$F1075,$F1075,$R$6:$R1075,$R1075))</f>
        <v/>
      </c>
      <c r="U1075" s="32">
        <f>IF($C1075="","",$C1075&amp;"|"&amp;COUNTIFS($C$6:$C1075,$C1075))</f>
        <v/>
      </c>
      <c r="V1075" s="32">
        <f>IF(OR($C1075="",$A1075="",$S1075=""),"",$C1075&amp;"|"&amp;$A1075&amp;"|"&amp;$S1075)</f>
        <v/>
      </c>
      <c r="W1075" s="32">
        <f>IF(OR($C1075="",$S1075="",$S1075=1),"",IFERROR(INDEX($Q$6:$Q$1505,MATCH($C1075&amp;"|"&amp;$A1075&amp;"|"&amp;($S1075-1),$V$6:$V$1505,0)),""))</f>
        <v/>
      </c>
      <c r="X1075" s="32">
        <f>IF(OR($W1075="",$Q1075="",LEFT($Q1075,1)="—"),"",IF($W1075=$Q1075,"ללא שינוי","מ-"&amp;$W1075&amp;" ל-"&amp;$Q1075))</f>
        <v/>
      </c>
    </row>
    <row r="1076">
      <c r="A1076" s="65" t="n"/>
      <c r="B1076" s="65" t="n"/>
      <c r="C1076" s="66" t="n"/>
      <c r="D1076" s="66" t="n"/>
      <c r="E1076" s="65" t="n"/>
      <c r="F1076" s="65" t="n"/>
      <c r="G1076" s="65" t="n"/>
      <c r="H1076" s="65" t="n"/>
      <c r="I1076" s="65" t="n"/>
      <c r="J1076" s="65" t="n"/>
      <c r="K1076" s="65" t="n"/>
      <c r="L1076" s="65" t="n"/>
      <c r="M1076" s="65" t="n"/>
      <c r="N1076" s="65" t="n"/>
      <c r="O1076" s="65" t="n"/>
      <c r="P1076" s="65" t="n"/>
      <c r="Q1076" s="32">
        <f>IF($C1076="","",IF($J1076="","— חסרים נתונים",IF($J1076="טרם מפענח","פרופיל 5",IF($J1076="קמץ/פתח/חטף-פתח ושוואים","פרופיל 4",IF($J1076="2-3 סימני ניקוד","פרופיל 3",IF($J1076="4-5 סימני ניקוד","פרופיל 2",IF(AND($O1076="משפטים וקטעים קצרים",OR($M1076="מבין",$M1076="מבין לרוב")),"פרופיל 1","פרופיל 2")))))))</f>
        <v/>
      </c>
      <c r="R1076" s="32">
        <f>IF($C1076="","",IF(OR($Q1076="",LEFT($Q1076,1)="—"),"קבוצה רביעית",IF($Q1076="פרופיל 5","קבוצת תשתיות",IF(OR($Q1076="פרופיל 4",$Q1076="פרופיל 3"),"קבוצת רכישה","קבוצת ביסוס"))))</f>
        <v/>
      </c>
      <c r="S1076" s="32">
        <f>IF($F1076="","",IF($F1076="תחילת שנה",1,IF($F1076="מחצית שנה",2,3)))</f>
        <v/>
      </c>
      <c r="T1076" s="32">
        <f>IF(OR($B1076="",$R1076="",$A1076="",$F1076=""),"",$B1076&amp;"|"&amp;$A1076&amp;"|"&amp;$F1076&amp;"|"&amp;$R1076&amp;"|"&amp;COUNTIFS($B$6:$B1076,$B1076,$A$6:$A1076,$A1076,$F$6:$F1076,$F1076,$R$6:$R1076,$R1076))</f>
        <v/>
      </c>
      <c r="U1076" s="32">
        <f>IF($C1076="","",$C1076&amp;"|"&amp;COUNTIFS($C$6:$C1076,$C1076))</f>
        <v/>
      </c>
      <c r="V1076" s="32">
        <f>IF(OR($C1076="",$A1076="",$S1076=""),"",$C1076&amp;"|"&amp;$A1076&amp;"|"&amp;$S1076)</f>
        <v/>
      </c>
      <c r="W1076" s="32">
        <f>IF(OR($C1076="",$S1076="",$S1076=1),"",IFERROR(INDEX($Q$6:$Q$1505,MATCH($C1076&amp;"|"&amp;$A1076&amp;"|"&amp;($S1076-1),$V$6:$V$1505,0)),""))</f>
        <v/>
      </c>
      <c r="X1076" s="32">
        <f>IF(OR($W1076="",$Q1076="",LEFT($Q1076,1)="—"),"",IF($W1076=$Q1076,"ללא שינוי","מ-"&amp;$W1076&amp;" ל-"&amp;$Q1076))</f>
        <v/>
      </c>
    </row>
    <row r="1077">
      <c r="A1077" s="65" t="n"/>
      <c r="B1077" s="65" t="n"/>
      <c r="C1077" s="66" t="n"/>
      <c r="D1077" s="66" t="n"/>
      <c r="E1077" s="65" t="n"/>
      <c r="F1077" s="65" t="n"/>
      <c r="G1077" s="65" t="n"/>
      <c r="H1077" s="65" t="n"/>
      <c r="I1077" s="65" t="n"/>
      <c r="J1077" s="65" t="n"/>
      <c r="K1077" s="65" t="n"/>
      <c r="L1077" s="65" t="n"/>
      <c r="M1077" s="65" t="n"/>
      <c r="N1077" s="65" t="n"/>
      <c r="O1077" s="65" t="n"/>
      <c r="P1077" s="65" t="n"/>
      <c r="Q1077" s="32">
        <f>IF($C1077="","",IF($J1077="","— חסרים נתונים",IF($J1077="טרם מפענח","פרופיל 5",IF($J1077="קמץ/פתח/חטף-פתח ושוואים","פרופיל 4",IF($J1077="2-3 סימני ניקוד","פרופיל 3",IF($J1077="4-5 סימני ניקוד","פרופיל 2",IF(AND($O1077="משפטים וקטעים קצרים",OR($M1077="מבין",$M1077="מבין לרוב")),"פרופיל 1","פרופיל 2")))))))</f>
        <v/>
      </c>
      <c r="R1077" s="32">
        <f>IF($C1077="","",IF(OR($Q1077="",LEFT($Q1077,1)="—"),"קבוצה רביעית",IF($Q1077="פרופיל 5","קבוצת תשתיות",IF(OR($Q1077="פרופיל 4",$Q1077="פרופיל 3"),"קבוצת רכישה","קבוצת ביסוס"))))</f>
        <v/>
      </c>
      <c r="S1077" s="32">
        <f>IF($F1077="","",IF($F1077="תחילת שנה",1,IF($F1077="מחצית שנה",2,3)))</f>
        <v/>
      </c>
      <c r="T1077" s="32">
        <f>IF(OR($B1077="",$R1077="",$A1077="",$F1077=""),"",$B1077&amp;"|"&amp;$A1077&amp;"|"&amp;$F1077&amp;"|"&amp;$R1077&amp;"|"&amp;COUNTIFS($B$6:$B1077,$B1077,$A$6:$A1077,$A1077,$F$6:$F1077,$F1077,$R$6:$R1077,$R1077))</f>
        <v/>
      </c>
      <c r="U1077" s="32">
        <f>IF($C1077="","",$C1077&amp;"|"&amp;COUNTIFS($C$6:$C1077,$C1077))</f>
        <v/>
      </c>
      <c r="V1077" s="32">
        <f>IF(OR($C1077="",$A1077="",$S1077=""),"",$C1077&amp;"|"&amp;$A1077&amp;"|"&amp;$S1077)</f>
        <v/>
      </c>
      <c r="W1077" s="32">
        <f>IF(OR($C1077="",$S1077="",$S1077=1),"",IFERROR(INDEX($Q$6:$Q$1505,MATCH($C1077&amp;"|"&amp;$A1077&amp;"|"&amp;($S1077-1),$V$6:$V$1505,0)),""))</f>
        <v/>
      </c>
      <c r="X1077" s="32">
        <f>IF(OR($W1077="",$Q1077="",LEFT($Q1077,1)="—"),"",IF($W1077=$Q1077,"ללא שינוי","מ-"&amp;$W1077&amp;" ל-"&amp;$Q1077))</f>
        <v/>
      </c>
    </row>
    <row r="1078">
      <c r="A1078" s="65" t="n"/>
      <c r="B1078" s="65" t="n"/>
      <c r="C1078" s="66" t="n"/>
      <c r="D1078" s="66" t="n"/>
      <c r="E1078" s="65" t="n"/>
      <c r="F1078" s="65" t="n"/>
      <c r="G1078" s="65" t="n"/>
      <c r="H1078" s="65" t="n"/>
      <c r="I1078" s="65" t="n"/>
      <c r="J1078" s="65" t="n"/>
      <c r="K1078" s="65" t="n"/>
      <c r="L1078" s="65" t="n"/>
      <c r="M1078" s="65" t="n"/>
      <c r="N1078" s="65" t="n"/>
      <c r="O1078" s="65" t="n"/>
      <c r="P1078" s="65" t="n"/>
      <c r="Q1078" s="32">
        <f>IF($C1078="","",IF($J1078="","— חסרים נתונים",IF($J1078="טרם מפענח","פרופיל 5",IF($J1078="קמץ/פתח/חטף-פתח ושוואים","פרופיל 4",IF($J1078="2-3 סימני ניקוד","פרופיל 3",IF($J1078="4-5 סימני ניקוד","פרופיל 2",IF(AND($O1078="משפטים וקטעים קצרים",OR($M1078="מבין",$M1078="מבין לרוב")),"פרופיל 1","פרופיל 2")))))))</f>
        <v/>
      </c>
      <c r="R1078" s="32">
        <f>IF($C1078="","",IF(OR($Q1078="",LEFT($Q1078,1)="—"),"קבוצה רביעית",IF($Q1078="פרופיל 5","קבוצת תשתיות",IF(OR($Q1078="פרופיל 4",$Q1078="פרופיל 3"),"קבוצת רכישה","קבוצת ביסוס"))))</f>
        <v/>
      </c>
      <c r="S1078" s="32">
        <f>IF($F1078="","",IF($F1078="תחילת שנה",1,IF($F1078="מחצית שנה",2,3)))</f>
        <v/>
      </c>
      <c r="T1078" s="32">
        <f>IF(OR($B1078="",$R1078="",$A1078="",$F1078=""),"",$B1078&amp;"|"&amp;$A1078&amp;"|"&amp;$F1078&amp;"|"&amp;$R1078&amp;"|"&amp;COUNTIFS($B$6:$B1078,$B1078,$A$6:$A1078,$A1078,$F$6:$F1078,$F1078,$R$6:$R1078,$R1078))</f>
        <v/>
      </c>
      <c r="U1078" s="32">
        <f>IF($C1078="","",$C1078&amp;"|"&amp;COUNTIFS($C$6:$C1078,$C1078))</f>
        <v/>
      </c>
      <c r="V1078" s="32">
        <f>IF(OR($C1078="",$A1078="",$S1078=""),"",$C1078&amp;"|"&amp;$A1078&amp;"|"&amp;$S1078)</f>
        <v/>
      </c>
      <c r="W1078" s="32">
        <f>IF(OR($C1078="",$S1078="",$S1078=1),"",IFERROR(INDEX($Q$6:$Q$1505,MATCH($C1078&amp;"|"&amp;$A1078&amp;"|"&amp;($S1078-1),$V$6:$V$1505,0)),""))</f>
        <v/>
      </c>
      <c r="X1078" s="32">
        <f>IF(OR($W1078="",$Q1078="",LEFT($Q1078,1)="—"),"",IF($W1078=$Q1078,"ללא שינוי","מ-"&amp;$W1078&amp;" ל-"&amp;$Q1078))</f>
        <v/>
      </c>
    </row>
    <row r="1079">
      <c r="A1079" s="65" t="n"/>
      <c r="B1079" s="65" t="n"/>
      <c r="C1079" s="66" t="n"/>
      <c r="D1079" s="66" t="n"/>
      <c r="E1079" s="65" t="n"/>
      <c r="F1079" s="65" t="n"/>
      <c r="G1079" s="65" t="n"/>
      <c r="H1079" s="65" t="n"/>
      <c r="I1079" s="65" t="n"/>
      <c r="J1079" s="65" t="n"/>
      <c r="K1079" s="65" t="n"/>
      <c r="L1079" s="65" t="n"/>
      <c r="M1079" s="65" t="n"/>
      <c r="N1079" s="65" t="n"/>
      <c r="O1079" s="65" t="n"/>
      <c r="P1079" s="65" t="n"/>
      <c r="Q1079" s="32">
        <f>IF($C1079="","",IF($J1079="","— חסרים נתונים",IF($J1079="טרם מפענח","פרופיל 5",IF($J1079="קמץ/פתח/חטף-פתח ושוואים","פרופיל 4",IF($J1079="2-3 סימני ניקוד","פרופיל 3",IF($J1079="4-5 סימני ניקוד","פרופיל 2",IF(AND($O1079="משפטים וקטעים קצרים",OR($M1079="מבין",$M1079="מבין לרוב")),"פרופיל 1","פרופיל 2")))))))</f>
        <v/>
      </c>
      <c r="R1079" s="32">
        <f>IF($C1079="","",IF(OR($Q1079="",LEFT($Q1079,1)="—"),"קבוצה רביעית",IF($Q1079="פרופיל 5","קבוצת תשתיות",IF(OR($Q1079="פרופיל 4",$Q1079="פרופיל 3"),"קבוצת רכישה","קבוצת ביסוס"))))</f>
        <v/>
      </c>
      <c r="S1079" s="32">
        <f>IF($F1079="","",IF($F1079="תחילת שנה",1,IF($F1079="מחצית שנה",2,3)))</f>
        <v/>
      </c>
      <c r="T1079" s="32">
        <f>IF(OR($B1079="",$R1079="",$A1079="",$F1079=""),"",$B1079&amp;"|"&amp;$A1079&amp;"|"&amp;$F1079&amp;"|"&amp;$R1079&amp;"|"&amp;COUNTIFS($B$6:$B1079,$B1079,$A$6:$A1079,$A1079,$F$6:$F1079,$F1079,$R$6:$R1079,$R1079))</f>
        <v/>
      </c>
      <c r="U1079" s="32">
        <f>IF($C1079="","",$C1079&amp;"|"&amp;COUNTIFS($C$6:$C1079,$C1079))</f>
        <v/>
      </c>
      <c r="V1079" s="32">
        <f>IF(OR($C1079="",$A1079="",$S1079=""),"",$C1079&amp;"|"&amp;$A1079&amp;"|"&amp;$S1079)</f>
        <v/>
      </c>
      <c r="W1079" s="32">
        <f>IF(OR($C1079="",$S1079="",$S1079=1),"",IFERROR(INDEX($Q$6:$Q$1505,MATCH($C1079&amp;"|"&amp;$A1079&amp;"|"&amp;($S1079-1),$V$6:$V$1505,0)),""))</f>
        <v/>
      </c>
      <c r="X1079" s="32">
        <f>IF(OR($W1079="",$Q1079="",LEFT($Q1079,1)="—"),"",IF($W1079=$Q1079,"ללא שינוי","מ-"&amp;$W1079&amp;" ל-"&amp;$Q1079))</f>
        <v/>
      </c>
    </row>
    <row r="1080">
      <c r="A1080" s="65" t="n"/>
      <c r="B1080" s="65" t="n"/>
      <c r="C1080" s="66" t="n"/>
      <c r="D1080" s="66" t="n"/>
      <c r="E1080" s="65" t="n"/>
      <c r="F1080" s="65" t="n"/>
      <c r="G1080" s="65" t="n"/>
      <c r="H1080" s="65" t="n"/>
      <c r="I1080" s="65" t="n"/>
      <c r="J1080" s="65" t="n"/>
      <c r="K1080" s="65" t="n"/>
      <c r="L1080" s="65" t="n"/>
      <c r="M1080" s="65" t="n"/>
      <c r="N1080" s="65" t="n"/>
      <c r="O1080" s="65" t="n"/>
      <c r="P1080" s="65" t="n"/>
      <c r="Q1080" s="32">
        <f>IF($C1080="","",IF($J1080="","— חסרים נתונים",IF($J1080="טרם מפענח","פרופיל 5",IF($J1080="קמץ/פתח/חטף-פתח ושוואים","פרופיל 4",IF($J1080="2-3 סימני ניקוד","פרופיל 3",IF($J1080="4-5 סימני ניקוד","פרופיל 2",IF(AND($O1080="משפטים וקטעים קצרים",OR($M1080="מבין",$M1080="מבין לרוב")),"פרופיל 1","פרופיל 2")))))))</f>
        <v/>
      </c>
      <c r="R1080" s="32">
        <f>IF($C1080="","",IF(OR($Q1080="",LEFT($Q1080,1)="—"),"קבוצה רביעית",IF($Q1080="פרופיל 5","קבוצת תשתיות",IF(OR($Q1080="פרופיל 4",$Q1080="פרופיל 3"),"קבוצת רכישה","קבוצת ביסוס"))))</f>
        <v/>
      </c>
      <c r="S1080" s="32">
        <f>IF($F1080="","",IF($F1080="תחילת שנה",1,IF($F1080="מחצית שנה",2,3)))</f>
        <v/>
      </c>
      <c r="T1080" s="32">
        <f>IF(OR($B1080="",$R1080="",$A1080="",$F1080=""),"",$B1080&amp;"|"&amp;$A1080&amp;"|"&amp;$F1080&amp;"|"&amp;$R1080&amp;"|"&amp;COUNTIFS($B$6:$B1080,$B1080,$A$6:$A1080,$A1080,$F$6:$F1080,$F1080,$R$6:$R1080,$R1080))</f>
        <v/>
      </c>
      <c r="U1080" s="32">
        <f>IF($C1080="","",$C1080&amp;"|"&amp;COUNTIFS($C$6:$C1080,$C1080))</f>
        <v/>
      </c>
      <c r="V1080" s="32">
        <f>IF(OR($C1080="",$A1080="",$S1080=""),"",$C1080&amp;"|"&amp;$A1080&amp;"|"&amp;$S1080)</f>
        <v/>
      </c>
      <c r="W1080" s="32">
        <f>IF(OR($C1080="",$S1080="",$S1080=1),"",IFERROR(INDEX($Q$6:$Q$1505,MATCH($C1080&amp;"|"&amp;$A1080&amp;"|"&amp;($S1080-1),$V$6:$V$1505,0)),""))</f>
        <v/>
      </c>
      <c r="X1080" s="32">
        <f>IF(OR($W1080="",$Q1080="",LEFT($Q1080,1)="—"),"",IF($W1080=$Q1080,"ללא שינוי","מ-"&amp;$W1080&amp;" ל-"&amp;$Q1080))</f>
        <v/>
      </c>
    </row>
    <row r="1081">
      <c r="A1081" s="65" t="n"/>
      <c r="B1081" s="65" t="n"/>
      <c r="C1081" s="66" t="n"/>
      <c r="D1081" s="66" t="n"/>
      <c r="E1081" s="65" t="n"/>
      <c r="F1081" s="65" t="n"/>
      <c r="G1081" s="65" t="n"/>
      <c r="H1081" s="65" t="n"/>
      <c r="I1081" s="65" t="n"/>
      <c r="J1081" s="65" t="n"/>
      <c r="K1081" s="65" t="n"/>
      <c r="L1081" s="65" t="n"/>
      <c r="M1081" s="65" t="n"/>
      <c r="N1081" s="65" t="n"/>
      <c r="O1081" s="65" t="n"/>
      <c r="P1081" s="65" t="n"/>
      <c r="Q1081" s="32">
        <f>IF($C1081="","",IF($J1081="","— חסרים נתונים",IF($J1081="טרם מפענח","פרופיל 5",IF($J1081="קמץ/פתח/חטף-פתח ושוואים","פרופיל 4",IF($J1081="2-3 סימני ניקוד","פרופיל 3",IF($J1081="4-5 סימני ניקוד","פרופיל 2",IF(AND($O1081="משפטים וקטעים קצרים",OR($M1081="מבין",$M1081="מבין לרוב")),"פרופיל 1","פרופיל 2")))))))</f>
        <v/>
      </c>
      <c r="R1081" s="32">
        <f>IF($C1081="","",IF(OR($Q1081="",LEFT($Q1081,1)="—"),"קבוצה רביעית",IF($Q1081="פרופיל 5","קבוצת תשתיות",IF(OR($Q1081="פרופיל 4",$Q1081="פרופיל 3"),"קבוצת רכישה","קבוצת ביסוס"))))</f>
        <v/>
      </c>
      <c r="S1081" s="32">
        <f>IF($F1081="","",IF($F1081="תחילת שנה",1,IF($F1081="מחצית שנה",2,3)))</f>
        <v/>
      </c>
      <c r="T1081" s="32">
        <f>IF(OR($B1081="",$R1081="",$A1081="",$F1081=""),"",$B1081&amp;"|"&amp;$A1081&amp;"|"&amp;$F1081&amp;"|"&amp;$R1081&amp;"|"&amp;COUNTIFS($B$6:$B1081,$B1081,$A$6:$A1081,$A1081,$F$6:$F1081,$F1081,$R$6:$R1081,$R1081))</f>
        <v/>
      </c>
      <c r="U1081" s="32">
        <f>IF($C1081="","",$C1081&amp;"|"&amp;COUNTIFS($C$6:$C1081,$C1081))</f>
        <v/>
      </c>
      <c r="V1081" s="32">
        <f>IF(OR($C1081="",$A1081="",$S1081=""),"",$C1081&amp;"|"&amp;$A1081&amp;"|"&amp;$S1081)</f>
        <v/>
      </c>
      <c r="W1081" s="32">
        <f>IF(OR($C1081="",$S1081="",$S1081=1),"",IFERROR(INDEX($Q$6:$Q$1505,MATCH($C1081&amp;"|"&amp;$A1081&amp;"|"&amp;($S1081-1),$V$6:$V$1505,0)),""))</f>
        <v/>
      </c>
      <c r="X1081" s="32">
        <f>IF(OR($W1081="",$Q1081="",LEFT($Q1081,1)="—"),"",IF($W1081=$Q1081,"ללא שינוי","מ-"&amp;$W1081&amp;" ל-"&amp;$Q1081))</f>
        <v/>
      </c>
    </row>
    <row r="1082">
      <c r="A1082" s="65" t="n"/>
      <c r="B1082" s="65" t="n"/>
      <c r="C1082" s="66" t="n"/>
      <c r="D1082" s="66" t="n"/>
      <c r="E1082" s="65" t="n"/>
      <c r="F1082" s="65" t="n"/>
      <c r="G1082" s="65" t="n"/>
      <c r="H1082" s="65" t="n"/>
      <c r="I1082" s="65" t="n"/>
      <c r="J1082" s="65" t="n"/>
      <c r="K1082" s="65" t="n"/>
      <c r="L1082" s="65" t="n"/>
      <c r="M1082" s="65" t="n"/>
      <c r="N1082" s="65" t="n"/>
      <c r="O1082" s="65" t="n"/>
      <c r="P1082" s="65" t="n"/>
      <c r="Q1082" s="32">
        <f>IF($C1082="","",IF($J1082="","— חסרים נתונים",IF($J1082="טרם מפענח","פרופיל 5",IF($J1082="קמץ/פתח/חטף-פתח ושוואים","פרופיל 4",IF($J1082="2-3 סימני ניקוד","פרופיל 3",IF($J1082="4-5 סימני ניקוד","פרופיל 2",IF(AND($O1082="משפטים וקטעים קצרים",OR($M1082="מבין",$M1082="מבין לרוב")),"פרופיל 1","פרופיל 2")))))))</f>
        <v/>
      </c>
      <c r="R1082" s="32">
        <f>IF($C1082="","",IF(OR($Q1082="",LEFT($Q1082,1)="—"),"קבוצה רביעית",IF($Q1082="פרופיל 5","קבוצת תשתיות",IF(OR($Q1082="פרופיל 4",$Q1082="פרופיל 3"),"קבוצת רכישה","קבוצת ביסוס"))))</f>
        <v/>
      </c>
      <c r="S1082" s="32">
        <f>IF($F1082="","",IF($F1082="תחילת שנה",1,IF($F1082="מחצית שנה",2,3)))</f>
        <v/>
      </c>
      <c r="T1082" s="32">
        <f>IF(OR($B1082="",$R1082="",$A1082="",$F1082=""),"",$B1082&amp;"|"&amp;$A1082&amp;"|"&amp;$F1082&amp;"|"&amp;$R1082&amp;"|"&amp;COUNTIFS($B$6:$B1082,$B1082,$A$6:$A1082,$A1082,$F$6:$F1082,$F1082,$R$6:$R1082,$R1082))</f>
        <v/>
      </c>
      <c r="U1082" s="32">
        <f>IF($C1082="","",$C1082&amp;"|"&amp;COUNTIFS($C$6:$C1082,$C1082))</f>
        <v/>
      </c>
      <c r="V1082" s="32">
        <f>IF(OR($C1082="",$A1082="",$S1082=""),"",$C1082&amp;"|"&amp;$A1082&amp;"|"&amp;$S1082)</f>
        <v/>
      </c>
      <c r="W1082" s="32">
        <f>IF(OR($C1082="",$S1082="",$S1082=1),"",IFERROR(INDEX($Q$6:$Q$1505,MATCH($C1082&amp;"|"&amp;$A1082&amp;"|"&amp;($S1082-1),$V$6:$V$1505,0)),""))</f>
        <v/>
      </c>
      <c r="X1082" s="32">
        <f>IF(OR($W1082="",$Q1082="",LEFT($Q1082,1)="—"),"",IF($W1082=$Q1082,"ללא שינוי","מ-"&amp;$W1082&amp;" ל-"&amp;$Q1082))</f>
        <v/>
      </c>
    </row>
    <row r="1083">
      <c r="A1083" s="65" t="n"/>
      <c r="B1083" s="65" t="n"/>
      <c r="C1083" s="66" t="n"/>
      <c r="D1083" s="66" t="n"/>
      <c r="E1083" s="65" t="n"/>
      <c r="F1083" s="65" t="n"/>
      <c r="G1083" s="65" t="n"/>
      <c r="H1083" s="65" t="n"/>
      <c r="I1083" s="65" t="n"/>
      <c r="J1083" s="65" t="n"/>
      <c r="K1083" s="65" t="n"/>
      <c r="L1083" s="65" t="n"/>
      <c r="M1083" s="65" t="n"/>
      <c r="N1083" s="65" t="n"/>
      <c r="O1083" s="65" t="n"/>
      <c r="P1083" s="65" t="n"/>
      <c r="Q1083" s="32">
        <f>IF($C1083="","",IF($J1083="","— חסרים נתונים",IF($J1083="טרם מפענח","פרופיל 5",IF($J1083="קמץ/פתח/חטף-פתח ושוואים","פרופיל 4",IF($J1083="2-3 סימני ניקוד","פרופיל 3",IF($J1083="4-5 סימני ניקוד","פרופיל 2",IF(AND($O1083="משפטים וקטעים קצרים",OR($M1083="מבין",$M1083="מבין לרוב")),"פרופיל 1","פרופיל 2")))))))</f>
        <v/>
      </c>
      <c r="R1083" s="32">
        <f>IF($C1083="","",IF(OR($Q1083="",LEFT($Q1083,1)="—"),"קבוצה רביעית",IF($Q1083="פרופיל 5","קבוצת תשתיות",IF(OR($Q1083="פרופיל 4",$Q1083="פרופיל 3"),"קבוצת רכישה","קבוצת ביסוס"))))</f>
        <v/>
      </c>
      <c r="S1083" s="32">
        <f>IF($F1083="","",IF($F1083="תחילת שנה",1,IF($F1083="מחצית שנה",2,3)))</f>
        <v/>
      </c>
      <c r="T1083" s="32">
        <f>IF(OR($B1083="",$R1083="",$A1083="",$F1083=""),"",$B1083&amp;"|"&amp;$A1083&amp;"|"&amp;$F1083&amp;"|"&amp;$R1083&amp;"|"&amp;COUNTIFS($B$6:$B1083,$B1083,$A$6:$A1083,$A1083,$F$6:$F1083,$F1083,$R$6:$R1083,$R1083))</f>
        <v/>
      </c>
      <c r="U1083" s="32">
        <f>IF($C1083="","",$C1083&amp;"|"&amp;COUNTIFS($C$6:$C1083,$C1083))</f>
        <v/>
      </c>
      <c r="V1083" s="32">
        <f>IF(OR($C1083="",$A1083="",$S1083=""),"",$C1083&amp;"|"&amp;$A1083&amp;"|"&amp;$S1083)</f>
        <v/>
      </c>
      <c r="W1083" s="32">
        <f>IF(OR($C1083="",$S1083="",$S1083=1),"",IFERROR(INDEX($Q$6:$Q$1505,MATCH($C1083&amp;"|"&amp;$A1083&amp;"|"&amp;($S1083-1),$V$6:$V$1505,0)),""))</f>
        <v/>
      </c>
      <c r="X1083" s="32">
        <f>IF(OR($W1083="",$Q1083="",LEFT($Q1083,1)="—"),"",IF($W1083=$Q1083,"ללא שינוי","מ-"&amp;$W1083&amp;" ל-"&amp;$Q1083))</f>
        <v/>
      </c>
    </row>
    <row r="1084">
      <c r="A1084" s="65" t="n"/>
      <c r="B1084" s="65" t="n"/>
      <c r="C1084" s="66" t="n"/>
      <c r="D1084" s="66" t="n"/>
      <c r="E1084" s="65" t="n"/>
      <c r="F1084" s="65" t="n"/>
      <c r="G1084" s="65" t="n"/>
      <c r="H1084" s="65" t="n"/>
      <c r="I1084" s="65" t="n"/>
      <c r="J1084" s="65" t="n"/>
      <c r="K1084" s="65" t="n"/>
      <c r="L1084" s="65" t="n"/>
      <c r="M1084" s="65" t="n"/>
      <c r="N1084" s="65" t="n"/>
      <c r="O1084" s="65" t="n"/>
      <c r="P1084" s="65" t="n"/>
      <c r="Q1084" s="32">
        <f>IF($C1084="","",IF($J1084="","— חסרים נתונים",IF($J1084="טרם מפענח","פרופיל 5",IF($J1084="קמץ/פתח/חטף-פתח ושוואים","פרופיל 4",IF($J1084="2-3 סימני ניקוד","פרופיל 3",IF($J1084="4-5 סימני ניקוד","פרופיל 2",IF(AND($O1084="משפטים וקטעים קצרים",OR($M1084="מבין",$M1084="מבין לרוב")),"פרופיל 1","פרופיל 2")))))))</f>
        <v/>
      </c>
      <c r="R1084" s="32">
        <f>IF($C1084="","",IF(OR($Q1084="",LEFT($Q1084,1)="—"),"קבוצה רביעית",IF($Q1084="פרופיל 5","קבוצת תשתיות",IF(OR($Q1084="פרופיל 4",$Q1084="פרופיל 3"),"קבוצת רכישה","קבוצת ביסוס"))))</f>
        <v/>
      </c>
      <c r="S1084" s="32">
        <f>IF($F1084="","",IF($F1084="תחילת שנה",1,IF($F1084="מחצית שנה",2,3)))</f>
        <v/>
      </c>
      <c r="T1084" s="32">
        <f>IF(OR($B1084="",$R1084="",$A1084="",$F1084=""),"",$B1084&amp;"|"&amp;$A1084&amp;"|"&amp;$F1084&amp;"|"&amp;$R1084&amp;"|"&amp;COUNTIFS($B$6:$B1084,$B1084,$A$6:$A1084,$A1084,$F$6:$F1084,$F1084,$R$6:$R1084,$R1084))</f>
        <v/>
      </c>
      <c r="U1084" s="32">
        <f>IF($C1084="","",$C1084&amp;"|"&amp;COUNTIFS($C$6:$C1084,$C1084))</f>
        <v/>
      </c>
      <c r="V1084" s="32">
        <f>IF(OR($C1084="",$A1084="",$S1084=""),"",$C1084&amp;"|"&amp;$A1084&amp;"|"&amp;$S1084)</f>
        <v/>
      </c>
      <c r="W1084" s="32">
        <f>IF(OR($C1084="",$S1084="",$S1084=1),"",IFERROR(INDEX($Q$6:$Q$1505,MATCH($C1084&amp;"|"&amp;$A1084&amp;"|"&amp;($S1084-1),$V$6:$V$1505,0)),""))</f>
        <v/>
      </c>
      <c r="X1084" s="32">
        <f>IF(OR($W1084="",$Q1084="",LEFT($Q1084,1)="—"),"",IF($W1084=$Q1084,"ללא שינוי","מ-"&amp;$W1084&amp;" ל-"&amp;$Q1084))</f>
        <v/>
      </c>
    </row>
    <row r="1085">
      <c r="A1085" s="65" t="n"/>
      <c r="B1085" s="65" t="n"/>
      <c r="C1085" s="66" t="n"/>
      <c r="D1085" s="66" t="n"/>
      <c r="E1085" s="65" t="n"/>
      <c r="F1085" s="65" t="n"/>
      <c r="G1085" s="65" t="n"/>
      <c r="H1085" s="65" t="n"/>
      <c r="I1085" s="65" t="n"/>
      <c r="J1085" s="65" t="n"/>
      <c r="K1085" s="65" t="n"/>
      <c r="L1085" s="65" t="n"/>
      <c r="M1085" s="65" t="n"/>
      <c r="N1085" s="65" t="n"/>
      <c r="O1085" s="65" t="n"/>
      <c r="P1085" s="65" t="n"/>
      <c r="Q1085" s="32">
        <f>IF($C1085="","",IF($J1085="","— חסרים נתונים",IF($J1085="טרם מפענח","פרופיל 5",IF($J1085="קמץ/פתח/חטף-פתח ושוואים","פרופיל 4",IF($J1085="2-3 סימני ניקוד","פרופיל 3",IF($J1085="4-5 סימני ניקוד","פרופיל 2",IF(AND($O1085="משפטים וקטעים קצרים",OR($M1085="מבין",$M1085="מבין לרוב")),"פרופיל 1","פרופיל 2")))))))</f>
        <v/>
      </c>
      <c r="R1085" s="32">
        <f>IF($C1085="","",IF(OR($Q1085="",LEFT($Q1085,1)="—"),"קבוצה רביעית",IF($Q1085="פרופיל 5","קבוצת תשתיות",IF(OR($Q1085="פרופיל 4",$Q1085="פרופיל 3"),"קבוצת רכישה","קבוצת ביסוס"))))</f>
        <v/>
      </c>
      <c r="S1085" s="32">
        <f>IF($F1085="","",IF($F1085="תחילת שנה",1,IF($F1085="מחצית שנה",2,3)))</f>
        <v/>
      </c>
      <c r="T1085" s="32">
        <f>IF(OR($B1085="",$R1085="",$A1085="",$F1085=""),"",$B1085&amp;"|"&amp;$A1085&amp;"|"&amp;$F1085&amp;"|"&amp;$R1085&amp;"|"&amp;COUNTIFS($B$6:$B1085,$B1085,$A$6:$A1085,$A1085,$F$6:$F1085,$F1085,$R$6:$R1085,$R1085))</f>
        <v/>
      </c>
      <c r="U1085" s="32">
        <f>IF($C1085="","",$C1085&amp;"|"&amp;COUNTIFS($C$6:$C1085,$C1085))</f>
        <v/>
      </c>
      <c r="V1085" s="32">
        <f>IF(OR($C1085="",$A1085="",$S1085=""),"",$C1085&amp;"|"&amp;$A1085&amp;"|"&amp;$S1085)</f>
        <v/>
      </c>
      <c r="W1085" s="32">
        <f>IF(OR($C1085="",$S1085="",$S1085=1),"",IFERROR(INDEX($Q$6:$Q$1505,MATCH($C1085&amp;"|"&amp;$A1085&amp;"|"&amp;($S1085-1),$V$6:$V$1505,0)),""))</f>
        <v/>
      </c>
      <c r="X1085" s="32">
        <f>IF(OR($W1085="",$Q1085="",LEFT($Q1085,1)="—"),"",IF($W1085=$Q1085,"ללא שינוי","מ-"&amp;$W1085&amp;" ל-"&amp;$Q1085))</f>
        <v/>
      </c>
    </row>
    <row r="1086">
      <c r="A1086" s="65" t="n"/>
      <c r="B1086" s="65" t="n"/>
      <c r="C1086" s="66" t="n"/>
      <c r="D1086" s="66" t="n"/>
      <c r="E1086" s="65" t="n"/>
      <c r="F1086" s="65" t="n"/>
      <c r="G1086" s="65" t="n"/>
      <c r="H1086" s="65" t="n"/>
      <c r="I1086" s="65" t="n"/>
      <c r="J1086" s="65" t="n"/>
      <c r="K1086" s="65" t="n"/>
      <c r="L1086" s="65" t="n"/>
      <c r="M1086" s="65" t="n"/>
      <c r="N1086" s="65" t="n"/>
      <c r="O1086" s="65" t="n"/>
      <c r="P1086" s="65" t="n"/>
      <c r="Q1086" s="32">
        <f>IF($C1086="","",IF($J1086="","— חסרים נתונים",IF($J1086="טרם מפענח","פרופיל 5",IF($J1086="קמץ/פתח/חטף-פתח ושוואים","פרופיל 4",IF($J1086="2-3 סימני ניקוד","פרופיל 3",IF($J1086="4-5 סימני ניקוד","פרופיל 2",IF(AND($O1086="משפטים וקטעים קצרים",OR($M1086="מבין",$M1086="מבין לרוב")),"פרופיל 1","פרופיל 2")))))))</f>
        <v/>
      </c>
      <c r="R1086" s="32">
        <f>IF($C1086="","",IF(OR($Q1086="",LEFT($Q1086,1)="—"),"קבוצה רביעית",IF($Q1086="פרופיל 5","קבוצת תשתיות",IF(OR($Q1086="פרופיל 4",$Q1086="פרופיל 3"),"קבוצת רכישה","קבוצת ביסוס"))))</f>
        <v/>
      </c>
      <c r="S1086" s="32">
        <f>IF($F1086="","",IF($F1086="תחילת שנה",1,IF($F1086="מחצית שנה",2,3)))</f>
        <v/>
      </c>
      <c r="T1086" s="32">
        <f>IF(OR($B1086="",$R1086="",$A1086="",$F1086=""),"",$B1086&amp;"|"&amp;$A1086&amp;"|"&amp;$F1086&amp;"|"&amp;$R1086&amp;"|"&amp;COUNTIFS($B$6:$B1086,$B1086,$A$6:$A1086,$A1086,$F$6:$F1086,$F1086,$R$6:$R1086,$R1086))</f>
        <v/>
      </c>
      <c r="U1086" s="32">
        <f>IF($C1086="","",$C1086&amp;"|"&amp;COUNTIFS($C$6:$C1086,$C1086))</f>
        <v/>
      </c>
      <c r="V1086" s="32">
        <f>IF(OR($C1086="",$A1086="",$S1086=""),"",$C1086&amp;"|"&amp;$A1086&amp;"|"&amp;$S1086)</f>
        <v/>
      </c>
      <c r="W1086" s="32">
        <f>IF(OR($C1086="",$S1086="",$S1086=1),"",IFERROR(INDEX($Q$6:$Q$1505,MATCH($C1086&amp;"|"&amp;$A1086&amp;"|"&amp;($S1086-1),$V$6:$V$1505,0)),""))</f>
        <v/>
      </c>
      <c r="X1086" s="32">
        <f>IF(OR($W1086="",$Q1086="",LEFT($Q1086,1)="—"),"",IF($W1086=$Q1086,"ללא שינוי","מ-"&amp;$W1086&amp;" ל-"&amp;$Q1086))</f>
        <v/>
      </c>
    </row>
    <row r="1087">
      <c r="A1087" s="65" t="n"/>
      <c r="B1087" s="65" t="n"/>
      <c r="C1087" s="66" t="n"/>
      <c r="D1087" s="66" t="n"/>
      <c r="E1087" s="65" t="n"/>
      <c r="F1087" s="65" t="n"/>
      <c r="G1087" s="65" t="n"/>
      <c r="H1087" s="65" t="n"/>
      <c r="I1087" s="65" t="n"/>
      <c r="J1087" s="65" t="n"/>
      <c r="K1087" s="65" t="n"/>
      <c r="L1087" s="65" t="n"/>
      <c r="M1087" s="65" t="n"/>
      <c r="N1087" s="65" t="n"/>
      <c r="O1087" s="65" t="n"/>
      <c r="P1087" s="65" t="n"/>
      <c r="Q1087" s="32">
        <f>IF($C1087="","",IF($J1087="","— חסרים נתונים",IF($J1087="טרם מפענח","פרופיל 5",IF($J1087="קמץ/פתח/חטף-פתח ושוואים","פרופיל 4",IF($J1087="2-3 סימני ניקוד","פרופיל 3",IF($J1087="4-5 סימני ניקוד","פרופיל 2",IF(AND($O1087="משפטים וקטעים קצרים",OR($M1087="מבין",$M1087="מבין לרוב")),"פרופיל 1","פרופיל 2")))))))</f>
        <v/>
      </c>
      <c r="R1087" s="32">
        <f>IF($C1087="","",IF(OR($Q1087="",LEFT($Q1087,1)="—"),"קבוצה רביעית",IF($Q1087="פרופיל 5","קבוצת תשתיות",IF(OR($Q1087="פרופיל 4",$Q1087="פרופיל 3"),"קבוצת רכישה","קבוצת ביסוס"))))</f>
        <v/>
      </c>
      <c r="S1087" s="32">
        <f>IF($F1087="","",IF($F1087="תחילת שנה",1,IF($F1087="מחצית שנה",2,3)))</f>
        <v/>
      </c>
      <c r="T1087" s="32">
        <f>IF(OR($B1087="",$R1087="",$A1087="",$F1087=""),"",$B1087&amp;"|"&amp;$A1087&amp;"|"&amp;$F1087&amp;"|"&amp;$R1087&amp;"|"&amp;COUNTIFS($B$6:$B1087,$B1087,$A$6:$A1087,$A1087,$F$6:$F1087,$F1087,$R$6:$R1087,$R1087))</f>
        <v/>
      </c>
      <c r="U1087" s="32">
        <f>IF($C1087="","",$C1087&amp;"|"&amp;COUNTIFS($C$6:$C1087,$C1087))</f>
        <v/>
      </c>
      <c r="V1087" s="32">
        <f>IF(OR($C1087="",$A1087="",$S1087=""),"",$C1087&amp;"|"&amp;$A1087&amp;"|"&amp;$S1087)</f>
        <v/>
      </c>
      <c r="W1087" s="32">
        <f>IF(OR($C1087="",$S1087="",$S1087=1),"",IFERROR(INDEX($Q$6:$Q$1505,MATCH($C1087&amp;"|"&amp;$A1087&amp;"|"&amp;($S1087-1),$V$6:$V$1505,0)),""))</f>
        <v/>
      </c>
      <c r="X1087" s="32">
        <f>IF(OR($W1087="",$Q1087="",LEFT($Q1087,1)="—"),"",IF($W1087=$Q1087,"ללא שינוי","מ-"&amp;$W1087&amp;" ל-"&amp;$Q1087))</f>
        <v/>
      </c>
    </row>
    <row r="1088">
      <c r="A1088" s="65" t="n"/>
      <c r="B1088" s="65" t="n"/>
      <c r="C1088" s="66" t="n"/>
      <c r="D1088" s="66" t="n"/>
      <c r="E1088" s="65" t="n"/>
      <c r="F1088" s="65" t="n"/>
      <c r="G1088" s="65" t="n"/>
      <c r="H1088" s="65" t="n"/>
      <c r="I1088" s="65" t="n"/>
      <c r="J1088" s="65" t="n"/>
      <c r="K1088" s="65" t="n"/>
      <c r="L1088" s="65" t="n"/>
      <c r="M1088" s="65" t="n"/>
      <c r="N1088" s="65" t="n"/>
      <c r="O1088" s="65" t="n"/>
      <c r="P1088" s="65" t="n"/>
      <c r="Q1088" s="32">
        <f>IF($C1088="","",IF($J1088="","— חסרים נתונים",IF($J1088="טרם מפענח","פרופיל 5",IF($J1088="קמץ/פתח/חטף-פתח ושוואים","פרופיל 4",IF($J1088="2-3 סימני ניקוד","פרופיל 3",IF($J1088="4-5 סימני ניקוד","פרופיל 2",IF(AND($O1088="משפטים וקטעים קצרים",OR($M1088="מבין",$M1088="מבין לרוב")),"פרופיל 1","פרופיל 2")))))))</f>
        <v/>
      </c>
      <c r="R1088" s="32">
        <f>IF($C1088="","",IF(OR($Q1088="",LEFT($Q1088,1)="—"),"קבוצה רביעית",IF($Q1088="פרופיל 5","קבוצת תשתיות",IF(OR($Q1088="פרופיל 4",$Q1088="פרופיל 3"),"קבוצת רכישה","קבוצת ביסוס"))))</f>
        <v/>
      </c>
      <c r="S1088" s="32">
        <f>IF($F1088="","",IF($F1088="תחילת שנה",1,IF($F1088="מחצית שנה",2,3)))</f>
        <v/>
      </c>
      <c r="T1088" s="32">
        <f>IF(OR($B1088="",$R1088="",$A1088="",$F1088=""),"",$B1088&amp;"|"&amp;$A1088&amp;"|"&amp;$F1088&amp;"|"&amp;$R1088&amp;"|"&amp;COUNTIFS($B$6:$B1088,$B1088,$A$6:$A1088,$A1088,$F$6:$F1088,$F1088,$R$6:$R1088,$R1088))</f>
        <v/>
      </c>
      <c r="U1088" s="32">
        <f>IF($C1088="","",$C1088&amp;"|"&amp;COUNTIFS($C$6:$C1088,$C1088))</f>
        <v/>
      </c>
      <c r="V1088" s="32">
        <f>IF(OR($C1088="",$A1088="",$S1088=""),"",$C1088&amp;"|"&amp;$A1088&amp;"|"&amp;$S1088)</f>
        <v/>
      </c>
      <c r="W1088" s="32">
        <f>IF(OR($C1088="",$S1088="",$S1088=1),"",IFERROR(INDEX($Q$6:$Q$1505,MATCH($C1088&amp;"|"&amp;$A1088&amp;"|"&amp;($S1088-1),$V$6:$V$1505,0)),""))</f>
        <v/>
      </c>
      <c r="X1088" s="32">
        <f>IF(OR($W1088="",$Q1088="",LEFT($Q1088,1)="—"),"",IF($W1088=$Q1088,"ללא שינוי","מ-"&amp;$W1088&amp;" ל-"&amp;$Q1088))</f>
        <v/>
      </c>
    </row>
    <row r="1089">
      <c r="A1089" s="65" t="n"/>
      <c r="B1089" s="65" t="n"/>
      <c r="C1089" s="66" t="n"/>
      <c r="D1089" s="66" t="n"/>
      <c r="E1089" s="65" t="n"/>
      <c r="F1089" s="65" t="n"/>
      <c r="G1089" s="65" t="n"/>
      <c r="H1089" s="65" t="n"/>
      <c r="I1089" s="65" t="n"/>
      <c r="J1089" s="65" t="n"/>
      <c r="K1089" s="65" t="n"/>
      <c r="L1089" s="65" t="n"/>
      <c r="M1089" s="65" t="n"/>
      <c r="N1089" s="65" t="n"/>
      <c r="O1089" s="65" t="n"/>
      <c r="P1089" s="65" t="n"/>
      <c r="Q1089" s="32">
        <f>IF($C1089="","",IF($J1089="","— חסרים נתונים",IF($J1089="טרם מפענח","פרופיל 5",IF($J1089="קמץ/פתח/חטף-פתח ושוואים","פרופיל 4",IF($J1089="2-3 סימני ניקוד","פרופיל 3",IF($J1089="4-5 סימני ניקוד","פרופיל 2",IF(AND($O1089="משפטים וקטעים קצרים",OR($M1089="מבין",$M1089="מבין לרוב")),"פרופיל 1","פרופיל 2")))))))</f>
        <v/>
      </c>
      <c r="R1089" s="32">
        <f>IF($C1089="","",IF(OR($Q1089="",LEFT($Q1089,1)="—"),"קבוצה רביעית",IF($Q1089="פרופיל 5","קבוצת תשתיות",IF(OR($Q1089="פרופיל 4",$Q1089="פרופיל 3"),"קבוצת רכישה","קבוצת ביסוס"))))</f>
        <v/>
      </c>
      <c r="S1089" s="32">
        <f>IF($F1089="","",IF($F1089="תחילת שנה",1,IF($F1089="מחצית שנה",2,3)))</f>
        <v/>
      </c>
      <c r="T1089" s="32">
        <f>IF(OR($B1089="",$R1089="",$A1089="",$F1089=""),"",$B1089&amp;"|"&amp;$A1089&amp;"|"&amp;$F1089&amp;"|"&amp;$R1089&amp;"|"&amp;COUNTIFS($B$6:$B1089,$B1089,$A$6:$A1089,$A1089,$F$6:$F1089,$F1089,$R$6:$R1089,$R1089))</f>
        <v/>
      </c>
      <c r="U1089" s="32">
        <f>IF($C1089="","",$C1089&amp;"|"&amp;COUNTIFS($C$6:$C1089,$C1089))</f>
        <v/>
      </c>
      <c r="V1089" s="32">
        <f>IF(OR($C1089="",$A1089="",$S1089=""),"",$C1089&amp;"|"&amp;$A1089&amp;"|"&amp;$S1089)</f>
        <v/>
      </c>
      <c r="W1089" s="32">
        <f>IF(OR($C1089="",$S1089="",$S1089=1),"",IFERROR(INDEX($Q$6:$Q$1505,MATCH($C1089&amp;"|"&amp;$A1089&amp;"|"&amp;($S1089-1),$V$6:$V$1505,0)),""))</f>
        <v/>
      </c>
      <c r="X1089" s="32">
        <f>IF(OR($W1089="",$Q1089="",LEFT($Q1089,1)="—"),"",IF($W1089=$Q1089,"ללא שינוי","מ-"&amp;$W1089&amp;" ל-"&amp;$Q1089))</f>
        <v/>
      </c>
    </row>
    <row r="1090">
      <c r="A1090" s="65" t="n"/>
      <c r="B1090" s="65" t="n"/>
      <c r="C1090" s="66" t="n"/>
      <c r="D1090" s="66" t="n"/>
      <c r="E1090" s="65" t="n"/>
      <c r="F1090" s="65" t="n"/>
      <c r="G1090" s="65" t="n"/>
      <c r="H1090" s="65" t="n"/>
      <c r="I1090" s="65" t="n"/>
      <c r="J1090" s="65" t="n"/>
      <c r="K1090" s="65" t="n"/>
      <c r="L1090" s="65" t="n"/>
      <c r="M1090" s="65" t="n"/>
      <c r="N1090" s="65" t="n"/>
      <c r="O1090" s="65" t="n"/>
      <c r="P1090" s="65" t="n"/>
      <c r="Q1090" s="32">
        <f>IF($C1090="","",IF($J1090="","— חסרים נתונים",IF($J1090="טרם מפענח","פרופיל 5",IF($J1090="קמץ/פתח/חטף-פתח ושוואים","פרופיל 4",IF($J1090="2-3 סימני ניקוד","פרופיל 3",IF($J1090="4-5 סימני ניקוד","פרופיל 2",IF(AND($O1090="משפטים וקטעים קצרים",OR($M1090="מבין",$M1090="מבין לרוב")),"פרופיל 1","פרופיל 2")))))))</f>
        <v/>
      </c>
      <c r="R1090" s="32">
        <f>IF($C1090="","",IF(OR($Q1090="",LEFT($Q1090,1)="—"),"קבוצה רביעית",IF($Q1090="פרופיל 5","קבוצת תשתיות",IF(OR($Q1090="פרופיל 4",$Q1090="פרופיל 3"),"קבוצת רכישה","קבוצת ביסוס"))))</f>
        <v/>
      </c>
      <c r="S1090" s="32">
        <f>IF($F1090="","",IF($F1090="תחילת שנה",1,IF($F1090="מחצית שנה",2,3)))</f>
        <v/>
      </c>
      <c r="T1090" s="32">
        <f>IF(OR($B1090="",$R1090="",$A1090="",$F1090=""),"",$B1090&amp;"|"&amp;$A1090&amp;"|"&amp;$F1090&amp;"|"&amp;$R1090&amp;"|"&amp;COUNTIFS($B$6:$B1090,$B1090,$A$6:$A1090,$A1090,$F$6:$F1090,$F1090,$R$6:$R1090,$R1090))</f>
        <v/>
      </c>
      <c r="U1090" s="32">
        <f>IF($C1090="","",$C1090&amp;"|"&amp;COUNTIFS($C$6:$C1090,$C1090))</f>
        <v/>
      </c>
      <c r="V1090" s="32">
        <f>IF(OR($C1090="",$A1090="",$S1090=""),"",$C1090&amp;"|"&amp;$A1090&amp;"|"&amp;$S1090)</f>
        <v/>
      </c>
      <c r="W1090" s="32">
        <f>IF(OR($C1090="",$S1090="",$S1090=1),"",IFERROR(INDEX($Q$6:$Q$1505,MATCH($C1090&amp;"|"&amp;$A1090&amp;"|"&amp;($S1090-1),$V$6:$V$1505,0)),""))</f>
        <v/>
      </c>
      <c r="X1090" s="32">
        <f>IF(OR($W1090="",$Q1090="",LEFT($Q1090,1)="—"),"",IF($W1090=$Q1090,"ללא שינוי","מ-"&amp;$W1090&amp;" ל-"&amp;$Q1090))</f>
        <v/>
      </c>
    </row>
    <row r="1091">
      <c r="A1091" s="65" t="n"/>
      <c r="B1091" s="65" t="n"/>
      <c r="C1091" s="66" t="n"/>
      <c r="D1091" s="66" t="n"/>
      <c r="E1091" s="65" t="n"/>
      <c r="F1091" s="65" t="n"/>
      <c r="G1091" s="65" t="n"/>
      <c r="H1091" s="65" t="n"/>
      <c r="I1091" s="65" t="n"/>
      <c r="J1091" s="65" t="n"/>
      <c r="K1091" s="65" t="n"/>
      <c r="L1091" s="65" t="n"/>
      <c r="M1091" s="65" t="n"/>
      <c r="N1091" s="65" t="n"/>
      <c r="O1091" s="65" t="n"/>
      <c r="P1091" s="65" t="n"/>
      <c r="Q1091" s="32">
        <f>IF($C1091="","",IF($J1091="","— חסרים נתונים",IF($J1091="טרם מפענח","פרופיל 5",IF($J1091="קמץ/פתח/חטף-פתח ושוואים","פרופיל 4",IF($J1091="2-3 סימני ניקוד","פרופיל 3",IF($J1091="4-5 סימני ניקוד","פרופיל 2",IF(AND($O1091="משפטים וקטעים קצרים",OR($M1091="מבין",$M1091="מבין לרוב")),"פרופיל 1","פרופיל 2")))))))</f>
        <v/>
      </c>
      <c r="R1091" s="32">
        <f>IF($C1091="","",IF(OR($Q1091="",LEFT($Q1091,1)="—"),"קבוצה רביעית",IF($Q1091="פרופיל 5","קבוצת תשתיות",IF(OR($Q1091="פרופיל 4",$Q1091="פרופיל 3"),"קבוצת רכישה","קבוצת ביסוס"))))</f>
        <v/>
      </c>
      <c r="S1091" s="32">
        <f>IF($F1091="","",IF($F1091="תחילת שנה",1,IF($F1091="מחצית שנה",2,3)))</f>
        <v/>
      </c>
      <c r="T1091" s="32">
        <f>IF(OR($B1091="",$R1091="",$A1091="",$F1091=""),"",$B1091&amp;"|"&amp;$A1091&amp;"|"&amp;$F1091&amp;"|"&amp;$R1091&amp;"|"&amp;COUNTIFS($B$6:$B1091,$B1091,$A$6:$A1091,$A1091,$F$6:$F1091,$F1091,$R$6:$R1091,$R1091))</f>
        <v/>
      </c>
      <c r="U1091" s="32">
        <f>IF($C1091="","",$C1091&amp;"|"&amp;COUNTIFS($C$6:$C1091,$C1091))</f>
        <v/>
      </c>
      <c r="V1091" s="32">
        <f>IF(OR($C1091="",$A1091="",$S1091=""),"",$C1091&amp;"|"&amp;$A1091&amp;"|"&amp;$S1091)</f>
        <v/>
      </c>
      <c r="W1091" s="32">
        <f>IF(OR($C1091="",$S1091="",$S1091=1),"",IFERROR(INDEX($Q$6:$Q$1505,MATCH($C1091&amp;"|"&amp;$A1091&amp;"|"&amp;($S1091-1),$V$6:$V$1505,0)),""))</f>
        <v/>
      </c>
      <c r="X1091" s="32">
        <f>IF(OR($W1091="",$Q1091="",LEFT($Q1091,1)="—"),"",IF($W1091=$Q1091,"ללא שינוי","מ-"&amp;$W1091&amp;" ל-"&amp;$Q1091))</f>
        <v/>
      </c>
    </row>
    <row r="1092">
      <c r="A1092" s="65" t="n"/>
      <c r="B1092" s="65" t="n"/>
      <c r="C1092" s="66" t="n"/>
      <c r="D1092" s="66" t="n"/>
      <c r="E1092" s="65" t="n"/>
      <c r="F1092" s="65" t="n"/>
      <c r="G1092" s="65" t="n"/>
      <c r="H1092" s="65" t="n"/>
      <c r="I1092" s="65" t="n"/>
      <c r="J1092" s="65" t="n"/>
      <c r="K1092" s="65" t="n"/>
      <c r="L1092" s="65" t="n"/>
      <c r="M1092" s="65" t="n"/>
      <c r="N1092" s="65" t="n"/>
      <c r="O1092" s="65" t="n"/>
      <c r="P1092" s="65" t="n"/>
      <c r="Q1092" s="32">
        <f>IF($C1092="","",IF($J1092="","— חסרים נתונים",IF($J1092="טרם מפענח","פרופיל 5",IF($J1092="קמץ/פתח/חטף-פתח ושוואים","פרופיל 4",IF($J1092="2-3 סימני ניקוד","פרופיל 3",IF($J1092="4-5 סימני ניקוד","פרופיל 2",IF(AND($O1092="משפטים וקטעים קצרים",OR($M1092="מבין",$M1092="מבין לרוב")),"פרופיל 1","פרופיל 2")))))))</f>
        <v/>
      </c>
      <c r="R1092" s="32">
        <f>IF($C1092="","",IF(OR($Q1092="",LEFT($Q1092,1)="—"),"קבוצה רביעית",IF($Q1092="פרופיל 5","קבוצת תשתיות",IF(OR($Q1092="פרופיל 4",$Q1092="פרופיל 3"),"קבוצת רכישה","קבוצת ביסוס"))))</f>
        <v/>
      </c>
      <c r="S1092" s="32">
        <f>IF($F1092="","",IF($F1092="תחילת שנה",1,IF($F1092="מחצית שנה",2,3)))</f>
        <v/>
      </c>
      <c r="T1092" s="32">
        <f>IF(OR($B1092="",$R1092="",$A1092="",$F1092=""),"",$B1092&amp;"|"&amp;$A1092&amp;"|"&amp;$F1092&amp;"|"&amp;$R1092&amp;"|"&amp;COUNTIFS($B$6:$B1092,$B1092,$A$6:$A1092,$A1092,$F$6:$F1092,$F1092,$R$6:$R1092,$R1092))</f>
        <v/>
      </c>
      <c r="U1092" s="32">
        <f>IF($C1092="","",$C1092&amp;"|"&amp;COUNTIFS($C$6:$C1092,$C1092))</f>
        <v/>
      </c>
      <c r="V1092" s="32">
        <f>IF(OR($C1092="",$A1092="",$S1092=""),"",$C1092&amp;"|"&amp;$A1092&amp;"|"&amp;$S1092)</f>
        <v/>
      </c>
      <c r="W1092" s="32">
        <f>IF(OR($C1092="",$S1092="",$S1092=1),"",IFERROR(INDEX($Q$6:$Q$1505,MATCH($C1092&amp;"|"&amp;$A1092&amp;"|"&amp;($S1092-1),$V$6:$V$1505,0)),""))</f>
        <v/>
      </c>
      <c r="X1092" s="32">
        <f>IF(OR($W1092="",$Q1092="",LEFT($Q1092,1)="—"),"",IF($W1092=$Q1092,"ללא שינוי","מ-"&amp;$W1092&amp;" ל-"&amp;$Q1092))</f>
        <v/>
      </c>
    </row>
    <row r="1093">
      <c r="A1093" s="65" t="n"/>
      <c r="B1093" s="65" t="n"/>
      <c r="C1093" s="66" t="n"/>
      <c r="D1093" s="66" t="n"/>
      <c r="E1093" s="65" t="n"/>
      <c r="F1093" s="65" t="n"/>
      <c r="G1093" s="65" t="n"/>
      <c r="H1093" s="65" t="n"/>
      <c r="I1093" s="65" t="n"/>
      <c r="J1093" s="65" t="n"/>
      <c r="K1093" s="65" t="n"/>
      <c r="L1093" s="65" t="n"/>
      <c r="M1093" s="65" t="n"/>
      <c r="N1093" s="65" t="n"/>
      <c r="O1093" s="65" t="n"/>
      <c r="P1093" s="65" t="n"/>
      <c r="Q1093" s="32">
        <f>IF($C1093="","",IF($J1093="","— חסרים נתונים",IF($J1093="טרם מפענח","פרופיל 5",IF($J1093="קמץ/פתח/חטף-פתח ושוואים","פרופיל 4",IF($J1093="2-3 סימני ניקוד","פרופיל 3",IF($J1093="4-5 סימני ניקוד","פרופיל 2",IF(AND($O1093="משפטים וקטעים קצרים",OR($M1093="מבין",$M1093="מבין לרוב")),"פרופיל 1","פרופיל 2")))))))</f>
        <v/>
      </c>
      <c r="R1093" s="32">
        <f>IF($C1093="","",IF(OR($Q1093="",LEFT($Q1093,1)="—"),"קבוצה רביעית",IF($Q1093="פרופיל 5","קבוצת תשתיות",IF(OR($Q1093="פרופיל 4",$Q1093="פרופיל 3"),"קבוצת רכישה","קבוצת ביסוס"))))</f>
        <v/>
      </c>
      <c r="S1093" s="32">
        <f>IF($F1093="","",IF($F1093="תחילת שנה",1,IF($F1093="מחצית שנה",2,3)))</f>
        <v/>
      </c>
      <c r="T1093" s="32">
        <f>IF(OR($B1093="",$R1093="",$A1093="",$F1093=""),"",$B1093&amp;"|"&amp;$A1093&amp;"|"&amp;$F1093&amp;"|"&amp;$R1093&amp;"|"&amp;COUNTIFS($B$6:$B1093,$B1093,$A$6:$A1093,$A1093,$F$6:$F1093,$F1093,$R$6:$R1093,$R1093))</f>
        <v/>
      </c>
      <c r="U1093" s="32">
        <f>IF($C1093="","",$C1093&amp;"|"&amp;COUNTIFS($C$6:$C1093,$C1093))</f>
        <v/>
      </c>
      <c r="V1093" s="32">
        <f>IF(OR($C1093="",$A1093="",$S1093=""),"",$C1093&amp;"|"&amp;$A1093&amp;"|"&amp;$S1093)</f>
        <v/>
      </c>
      <c r="W1093" s="32">
        <f>IF(OR($C1093="",$S1093="",$S1093=1),"",IFERROR(INDEX($Q$6:$Q$1505,MATCH($C1093&amp;"|"&amp;$A1093&amp;"|"&amp;($S1093-1),$V$6:$V$1505,0)),""))</f>
        <v/>
      </c>
      <c r="X1093" s="32">
        <f>IF(OR($W1093="",$Q1093="",LEFT($Q1093,1)="—"),"",IF($W1093=$Q1093,"ללא שינוי","מ-"&amp;$W1093&amp;" ל-"&amp;$Q1093))</f>
        <v/>
      </c>
    </row>
    <row r="1094">
      <c r="A1094" s="65" t="n"/>
      <c r="B1094" s="65" t="n"/>
      <c r="C1094" s="66" t="n"/>
      <c r="D1094" s="66" t="n"/>
      <c r="E1094" s="65" t="n"/>
      <c r="F1094" s="65" t="n"/>
      <c r="G1094" s="65" t="n"/>
      <c r="H1094" s="65" t="n"/>
      <c r="I1094" s="65" t="n"/>
      <c r="J1094" s="65" t="n"/>
      <c r="K1094" s="65" t="n"/>
      <c r="L1094" s="65" t="n"/>
      <c r="M1094" s="65" t="n"/>
      <c r="N1094" s="65" t="n"/>
      <c r="O1094" s="65" t="n"/>
      <c r="P1094" s="65" t="n"/>
      <c r="Q1094" s="32">
        <f>IF($C1094="","",IF($J1094="","— חסרים נתונים",IF($J1094="טרם מפענח","פרופיל 5",IF($J1094="קמץ/פתח/חטף-פתח ושוואים","פרופיל 4",IF($J1094="2-3 סימני ניקוד","פרופיל 3",IF($J1094="4-5 סימני ניקוד","פרופיל 2",IF(AND($O1094="משפטים וקטעים קצרים",OR($M1094="מבין",$M1094="מבין לרוב")),"פרופיל 1","פרופיל 2")))))))</f>
        <v/>
      </c>
      <c r="R1094" s="32">
        <f>IF($C1094="","",IF(OR($Q1094="",LEFT($Q1094,1)="—"),"קבוצה רביעית",IF($Q1094="פרופיל 5","קבוצת תשתיות",IF(OR($Q1094="פרופיל 4",$Q1094="פרופיל 3"),"קבוצת רכישה","קבוצת ביסוס"))))</f>
        <v/>
      </c>
      <c r="S1094" s="32">
        <f>IF($F1094="","",IF($F1094="תחילת שנה",1,IF($F1094="מחצית שנה",2,3)))</f>
        <v/>
      </c>
      <c r="T1094" s="32">
        <f>IF(OR($B1094="",$R1094="",$A1094="",$F1094=""),"",$B1094&amp;"|"&amp;$A1094&amp;"|"&amp;$F1094&amp;"|"&amp;$R1094&amp;"|"&amp;COUNTIFS($B$6:$B1094,$B1094,$A$6:$A1094,$A1094,$F$6:$F1094,$F1094,$R$6:$R1094,$R1094))</f>
        <v/>
      </c>
      <c r="U1094" s="32">
        <f>IF($C1094="","",$C1094&amp;"|"&amp;COUNTIFS($C$6:$C1094,$C1094))</f>
        <v/>
      </c>
      <c r="V1094" s="32">
        <f>IF(OR($C1094="",$A1094="",$S1094=""),"",$C1094&amp;"|"&amp;$A1094&amp;"|"&amp;$S1094)</f>
        <v/>
      </c>
      <c r="W1094" s="32">
        <f>IF(OR($C1094="",$S1094="",$S1094=1),"",IFERROR(INDEX($Q$6:$Q$1505,MATCH($C1094&amp;"|"&amp;$A1094&amp;"|"&amp;($S1094-1),$V$6:$V$1505,0)),""))</f>
        <v/>
      </c>
      <c r="X1094" s="32">
        <f>IF(OR($W1094="",$Q1094="",LEFT($Q1094,1)="—"),"",IF($W1094=$Q1094,"ללא שינוי","מ-"&amp;$W1094&amp;" ל-"&amp;$Q1094))</f>
        <v/>
      </c>
    </row>
    <row r="1095">
      <c r="A1095" s="65" t="n"/>
      <c r="B1095" s="65" t="n"/>
      <c r="C1095" s="66" t="n"/>
      <c r="D1095" s="66" t="n"/>
      <c r="E1095" s="65" t="n"/>
      <c r="F1095" s="65" t="n"/>
      <c r="G1095" s="65" t="n"/>
      <c r="H1095" s="65" t="n"/>
      <c r="I1095" s="65" t="n"/>
      <c r="J1095" s="65" t="n"/>
      <c r="K1095" s="65" t="n"/>
      <c r="L1095" s="65" t="n"/>
      <c r="M1095" s="65" t="n"/>
      <c r="N1095" s="65" t="n"/>
      <c r="O1095" s="65" t="n"/>
      <c r="P1095" s="65" t="n"/>
      <c r="Q1095" s="32">
        <f>IF($C1095="","",IF($J1095="","— חסרים נתונים",IF($J1095="טרם מפענח","פרופיל 5",IF($J1095="קמץ/פתח/חטף-פתח ושוואים","פרופיל 4",IF($J1095="2-3 סימני ניקוד","פרופיל 3",IF($J1095="4-5 סימני ניקוד","פרופיל 2",IF(AND($O1095="משפטים וקטעים קצרים",OR($M1095="מבין",$M1095="מבין לרוב")),"פרופיל 1","פרופיל 2")))))))</f>
        <v/>
      </c>
      <c r="R1095" s="32">
        <f>IF($C1095="","",IF(OR($Q1095="",LEFT($Q1095,1)="—"),"קבוצה רביעית",IF($Q1095="פרופיל 5","קבוצת תשתיות",IF(OR($Q1095="פרופיל 4",$Q1095="פרופיל 3"),"קבוצת רכישה","קבוצת ביסוס"))))</f>
        <v/>
      </c>
      <c r="S1095" s="32">
        <f>IF($F1095="","",IF($F1095="תחילת שנה",1,IF($F1095="מחצית שנה",2,3)))</f>
        <v/>
      </c>
      <c r="T1095" s="32">
        <f>IF(OR($B1095="",$R1095="",$A1095="",$F1095=""),"",$B1095&amp;"|"&amp;$A1095&amp;"|"&amp;$F1095&amp;"|"&amp;$R1095&amp;"|"&amp;COUNTIFS($B$6:$B1095,$B1095,$A$6:$A1095,$A1095,$F$6:$F1095,$F1095,$R$6:$R1095,$R1095))</f>
        <v/>
      </c>
      <c r="U1095" s="32">
        <f>IF($C1095="","",$C1095&amp;"|"&amp;COUNTIFS($C$6:$C1095,$C1095))</f>
        <v/>
      </c>
      <c r="V1095" s="32">
        <f>IF(OR($C1095="",$A1095="",$S1095=""),"",$C1095&amp;"|"&amp;$A1095&amp;"|"&amp;$S1095)</f>
        <v/>
      </c>
      <c r="W1095" s="32">
        <f>IF(OR($C1095="",$S1095="",$S1095=1),"",IFERROR(INDEX($Q$6:$Q$1505,MATCH($C1095&amp;"|"&amp;$A1095&amp;"|"&amp;($S1095-1),$V$6:$V$1505,0)),""))</f>
        <v/>
      </c>
      <c r="X1095" s="32">
        <f>IF(OR($W1095="",$Q1095="",LEFT($Q1095,1)="—"),"",IF($W1095=$Q1095,"ללא שינוי","מ-"&amp;$W1095&amp;" ל-"&amp;$Q1095))</f>
        <v/>
      </c>
    </row>
    <row r="1096">
      <c r="A1096" s="65" t="n"/>
      <c r="B1096" s="65" t="n"/>
      <c r="C1096" s="66" t="n"/>
      <c r="D1096" s="66" t="n"/>
      <c r="E1096" s="65" t="n"/>
      <c r="F1096" s="65" t="n"/>
      <c r="G1096" s="65" t="n"/>
      <c r="H1096" s="65" t="n"/>
      <c r="I1096" s="65" t="n"/>
      <c r="J1096" s="65" t="n"/>
      <c r="K1096" s="65" t="n"/>
      <c r="L1096" s="65" t="n"/>
      <c r="M1096" s="65" t="n"/>
      <c r="N1096" s="65" t="n"/>
      <c r="O1096" s="65" t="n"/>
      <c r="P1096" s="65" t="n"/>
      <c r="Q1096" s="32">
        <f>IF($C1096="","",IF($J1096="","— חסרים נתונים",IF($J1096="טרם מפענח","פרופיל 5",IF($J1096="קמץ/פתח/חטף-פתח ושוואים","פרופיל 4",IF($J1096="2-3 סימני ניקוד","פרופיל 3",IF($J1096="4-5 סימני ניקוד","פרופיל 2",IF(AND($O1096="משפטים וקטעים קצרים",OR($M1096="מבין",$M1096="מבין לרוב")),"פרופיל 1","פרופיל 2")))))))</f>
        <v/>
      </c>
      <c r="R1096" s="32">
        <f>IF($C1096="","",IF(OR($Q1096="",LEFT($Q1096,1)="—"),"קבוצה רביעית",IF($Q1096="פרופיל 5","קבוצת תשתיות",IF(OR($Q1096="פרופיל 4",$Q1096="פרופיל 3"),"קבוצת רכישה","קבוצת ביסוס"))))</f>
        <v/>
      </c>
      <c r="S1096" s="32">
        <f>IF($F1096="","",IF($F1096="תחילת שנה",1,IF($F1096="מחצית שנה",2,3)))</f>
        <v/>
      </c>
      <c r="T1096" s="32">
        <f>IF(OR($B1096="",$R1096="",$A1096="",$F1096=""),"",$B1096&amp;"|"&amp;$A1096&amp;"|"&amp;$F1096&amp;"|"&amp;$R1096&amp;"|"&amp;COUNTIFS($B$6:$B1096,$B1096,$A$6:$A1096,$A1096,$F$6:$F1096,$F1096,$R$6:$R1096,$R1096))</f>
        <v/>
      </c>
      <c r="U1096" s="32">
        <f>IF($C1096="","",$C1096&amp;"|"&amp;COUNTIFS($C$6:$C1096,$C1096))</f>
        <v/>
      </c>
      <c r="V1096" s="32">
        <f>IF(OR($C1096="",$A1096="",$S1096=""),"",$C1096&amp;"|"&amp;$A1096&amp;"|"&amp;$S1096)</f>
        <v/>
      </c>
      <c r="W1096" s="32">
        <f>IF(OR($C1096="",$S1096="",$S1096=1),"",IFERROR(INDEX($Q$6:$Q$1505,MATCH($C1096&amp;"|"&amp;$A1096&amp;"|"&amp;($S1096-1),$V$6:$V$1505,0)),""))</f>
        <v/>
      </c>
      <c r="X1096" s="32">
        <f>IF(OR($W1096="",$Q1096="",LEFT($Q1096,1)="—"),"",IF($W1096=$Q1096,"ללא שינוי","מ-"&amp;$W1096&amp;" ל-"&amp;$Q1096))</f>
        <v/>
      </c>
    </row>
    <row r="1097">
      <c r="A1097" s="65" t="n"/>
      <c r="B1097" s="65" t="n"/>
      <c r="C1097" s="66" t="n"/>
      <c r="D1097" s="66" t="n"/>
      <c r="E1097" s="65" t="n"/>
      <c r="F1097" s="65" t="n"/>
      <c r="G1097" s="65" t="n"/>
      <c r="H1097" s="65" t="n"/>
      <c r="I1097" s="65" t="n"/>
      <c r="J1097" s="65" t="n"/>
      <c r="K1097" s="65" t="n"/>
      <c r="L1097" s="65" t="n"/>
      <c r="M1097" s="65" t="n"/>
      <c r="N1097" s="65" t="n"/>
      <c r="O1097" s="65" t="n"/>
      <c r="P1097" s="65" t="n"/>
      <c r="Q1097" s="32">
        <f>IF($C1097="","",IF($J1097="","— חסרים נתונים",IF($J1097="טרם מפענח","פרופיל 5",IF($J1097="קמץ/פתח/חטף-פתח ושוואים","פרופיל 4",IF($J1097="2-3 סימני ניקוד","פרופיל 3",IF($J1097="4-5 סימני ניקוד","פרופיל 2",IF(AND($O1097="משפטים וקטעים קצרים",OR($M1097="מבין",$M1097="מבין לרוב")),"פרופיל 1","פרופיל 2")))))))</f>
        <v/>
      </c>
      <c r="R1097" s="32">
        <f>IF($C1097="","",IF(OR($Q1097="",LEFT($Q1097,1)="—"),"קבוצה רביעית",IF($Q1097="פרופיל 5","קבוצת תשתיות",IF(OR($Q1097="פרופיל 4",$Q1097="פרופיל 3"),"קבוצת רכישה","קבוצת ביסוס"))))</f>
        <v/>
      </c>
      <c r="S1097" s="32">
        <f>IF($F1097="","",IF($F1097="תחילת שנה",1,IF($F1097="מחצית שנה",2,3)))</f>
        <v/>
      </c>
      <c r="T1097" s="32">
        <f>IF(OR($B1097="",$R1097="",$A1097="",$F1097=""),"",$B1097&amp;"|"&amp;$A1097&amp;"|"&amp;$F1097&amp;"|"&amp;$R1097&amp;"|"&amp;COUNTIFS($B$6:$B1097,$B1097,$A$6:$A1097,$A1097,$F$6:$F1097,$F1097,$R$6:$R1097,$R1097))</f>
        <v/>
      </c>
      <c r="U1097" s="32">
        <f>IF($C1097="","",$C1097&amp;"|"&amp;COUNTIFS($C$6:$C1097,$C1097))</f>
        <v/>
      </c>
      <c r="V1097" s="32">
        <f>IF(OR($C1097="",$A1097="",$S1097=""),"",$C1097&amp;"|"&amp;$A1097&amp;"|"&amp;$S1097)</f>
        <v/>
      </c>
      <c r="W1097" s="32">
        <f>IF(OR($C1097="",$S1097="",$S1097=1),"",IFERROR(INDEX($Q$6:$Q$1505,MATCH($C1097&amp;"|"&amp;$A1097&amp;"|"&amp;($S1097-1),$V$6:$V$1505,0)),""))</f>
        <v/>
      </c>
      <c r="X1097" s="32">
        <f>IF(OR($W1097="",$Q1097="",LEFT($Q1097,1)="—"),"",IF($W1097=$Q1097,"ללא שינוי","מ-"&amp;$W1097&amp;" ל-"&amp;$Q1097))</f>
        <v/>
      </c>
    </row>
    <row r="1098">
      <c r="A1098" s="65" t="n"/>
      <c r="B1098" s="65" t="n"/>
      <c r="C1098" s="66" t="n"/>
      <c r="D1098" s="66" t="n"/>
      <c r="E1098" s="65" t="n"/>
      <c r="F1098" s="65" t="n"/>
      <c r="G1098" s="65" t="n"/>
      <c r="H1098" s="65" t="n"/>
      <c r="I1098" s="65" t="n"/>
      <c r="J1098" s="65" t="n"/>
      <c r="K1098" s="65" t="n"/>
      <c r="L1098" s="65" t="n"/>
      <c r="M1098" s="65" t="n"/>
      <c r="N1098" s="65" t="n"/>
      <c r="O1098" s="65" t="n"/>
      <c r="P1098" s="65" t="n"/>
      <c r="Q1098" s="32">
        <f>IF($C1098="","",IF($J1098="","— חסרים נתונים",IF($J1098="טרם מפענח","פרופיל 5",IF($J1098="קמץ/פתח/חטף-פתח ושוואים","פרופיל 4",IF($J1098="2-3 סימני ניקוד","פרופיל 3",IF($J1098="4-5 סימני ניקוד","פרופיל 2",IF(AND($O1098="משפטים וקטעים קצרים",OR($M1098="מבין",$M1098="מבין לרוב")),"פרופיל 1","פרופיל 2")))))))</f>
        <v/>
      </c>
      <c r="R1098" s="32">
        <f>IF($C1098="","",IF(OR($Q1098="",LEFT($Q1098,1)="—"),"קבוצה רביעית",IF($Q1098="פרופיל 5","קבוצת תשתיות",IF(OR($Q1098="פרופיל 4",$Q1098="פרופיל 3"),"קבוצת רכישה","קבוצת ביסוס"))))</f>
        <v/>
      </c>
      <c r="S1098" s="32">
        <f>IF($F1098="","",IF($F1098="תחילת שנה",1,IF($F1098="מחצית שנה",2,3)))</f>
        <v/>
      </c>
      <c r="T1098" s="32">
        <f>IF(OR($B1098="",$R1098="",$A1098="",$F1098=""),"",$B1098&amp;"|"&amp;$A1098&amp;"|"&amp;$F1098&amp;"|"&amp;$R1098&amp;"|"&amp;COUNTIFS($B$6:$B1098,$B1098,$A$6:$A1098,$A1098,$F$6:$F1098,$F1098,$R$6:$R1098,$R1098))</f>
        <v/>
      </c>
      <c r="U1098" s="32">
        <f>IF($C1098="","",$C1098&amp;"|"&amp;COUNTIFS($C$6:$C1098,$C1098))</f>
        <v/>
      </c>
      <c r="V1098" s="32">
        <f>IF(OR($C1098="",$A1098="",$S1098=""),"",$C1098&amp;"|"&amp;$A1098&amp;"|"&amp;$S1098)</f>
        <v/>
      </c>
      <c r="W1098" s="32">
        <f>IF(OR($C1098="",$S1098="",$S1098=1),"",IFERROR(INDEX($Q$6:$Q$1505,MATCH($C1098&amp;"|"&amp;$A1098&amp;"|"&amp;($S1098-1),$V$6:$V$1505,0)),""))</f>
        <v/>
      </c>
      <c r="X1098" s="32">
        <f>IF(OR($W1098="",$Q1098="",LEFT($Q1098,1)="—"),"",IF($W1098=$Q1098,"ללא שינוי","מ-"&amp;$W1098&amp;" ל-"&amp;$Q1098))</f>
        <v/>
      </c>
    </row>
    <row r="1099">
      <c r="A1099" s="65" t="n"/>
      <c r="B1099" s="65" t="n"/>
      <c r="C1099" s="66" t="n"/>
      <c r="D1099" s="66" t="n"/>
      <c r="E1099" s="65" t="n"/>
      <c r="F1099" s="65" t="n"/>
      <c r="G1099" s="65" t="n"/>
      <c r="H1099" s="65" t="n"/>
      <c r="I1099" s="65" t="n"/>
      <c r="J1099" s="65" t="n"/>
      <c r="K1099" s="65" t="n"/>
      <c r="L1099" s="65" t="n"/>
      <c r="M1099" s="65" t="n"/>
      <c r="N1099" s="65" t="n"/>
      <c r="O1099" s="65" t="n"/>
      <c r="P1099" s="65" t="n"/>
      <c r="Q1099" s="32">
        <f>IF($C1099="","",IF($J1099="","— חסרים נתונים",IF($J1099="טרם מפענח","פרופיל 5",IF($J1099="קמץ/פתח/חטף-פתח ושוואים","פרופיל 4",IF($J1099="2-3 סימני ניקוד","פרופיל 3",IF($J1099="4-5 סימני ניקוד","פרופיל 2",IF(AND($O1099="משפטים וקטעים קצרים",OR($M1099="מבין",$M1099="מבין לרוב")),"פרופיל 1","פרופיל 2")))))))</f>
        <v/>
      </c>
      <c r="R1099" s="32">
        <f>IF($C1099="","",IF(OR($Q1099="",LEFT($Q1099,1)="—"),"קבוצה רביעית",IF($Q1099="פרופיל 5","קבוצת תשתיות",IF(OR($Q1099="פרופיל 4",$Q1099="פרופיל 3"),"קבוצת רכישה","קבוצת ביסוס"))))</f>
        <v/>
      </c>
      <c r="S1099" s="32">
        <f>IF($F1099="","",IF($F1099="תחילת שנה",1,IF($F1099="מחצית שנה",2,3)))</f>
        <v/>
      </c>
      <c r="T1099" s="32">
        <f>IF(OR($B1099="",$R1099="",$A1099="",$F1099=""),"",$B1099&amp;"|"&amp;$A1099&amp;"|"&amp;$F1099&amp;"|"&amp;$R1099&amp;"|"&amp;COUNTIFS($B$6:$B1099,$B1099,$A$6:$A1099,$A1099,$F$6:$F1099,$F1099,$R$6:$R1099,$R1099))</f>
        <v/>
      </c>
      <c r="U1099" s="32">
        <f>IF($C1099="","",$C1099&amp;"|"&amp;COUNTIFS($C$6:$C1099,$C1099))</f>
        <v/>
      </c>
      <c r="V1099" s="32">
        <f>IF(OR($C1099="",$A1099="",$S1099=""),"",$C1099&amp;"|"&amp;$A1099&amp;"|"&amp;$S1099)</f>
        <v/>
      </c>
      <c r="W1099" s="32">
        <f>IF(OR($C1099="",$S1099="",$S1099=1),"",IFERROR(INDEX($Q$6:$Q$1505,MATCH($C1099&amp;"|"&amp;$A1099&amp;"|"&amp;($S1099-1),$V$6:$V$1505,0)),""))</f>
        <v/>
      </c>
      <c r="X1099" s="32">
        <f>IF(OR($W1099="",$Q1099="",LEFT($Q1099,1)="—"),"",IF($W1099=$Q1099,"ללא שינוי","מ-"&amp;$W1099&amp;" ל-"&amp;$Q1099))</f>
        <v/>
      </c>
    </row>
    <row r="1100">
      <c r="A1100" s="65" t="n"/>
      <c r="B1100" s="65" t="n"/>
      <c r="C1100" s="66" t="n"/>
      <c r="D1100" s="66" t="n"/>
      <c r="E1100" s="65" t="n"/>
      <c r="F1100" s="65" t="n"/>
      <c r="G1100" s="65" t="n"/>
      <c r="H1100" s="65" t="n"/>
      <c r="I1100" s="65" t="n"/>
      <c r="J1100" s="65" t="n"/>
      <c r="K1100" s="65" t="n"/>
      <c r="L1100" s="65" t="n"/>
      <c r="M1100" s="65" t="n"/>
      <c r="N1100" s="65" t="n"/>
      <c r="O1100" s="65" t="n"/>
      <c r="P1100" s="65" t="n"/>
      <c r="Q1100" s="32">
        <f>IF($C1100="","",IF($J1100="","— חסרים נתונים",IF($J1100="טרם מפענח","פרופיל 5",IF($J1100="קמץ/פתח/חטף-פתח ושוואים","פרופיל 4",IF($J1100="2-3 סימני ניקוד","פרופיל 3",IF($J1100="4-5 סימני ניקוד","פרופיל 2",IF(AND($O1100="משפטים וקטעים קצרים",OR($M1100="מבין",$M1100="מבין לרוב")),"פרופיל 1","פרופיל 2")))))))</f>
        <v/>
      </c>
      <c r="R1100" s="32">
        <f>IF($C1100="","",IF(OR($Q1100="",LEFT($Q1100,1)="—"),"קבוצה רביעית",IF($Q1100="פרופיל 5","קבוצת תשתיות",IF(OR($Q1100="פרופיל 4",$Q1100="פרופיל 3"),"קבוצת רכישה","קבוצת ביסוס"))))</f>
        <v/>
      </c>
      <c r="S1100" s="32">
        <f>IF($F1100="","",IF($F1100="תחילת שנה",1,IF($F1100="מחצית שנה",2,3)))</f>
        <v/>
      </c>
      <c r="T1100" s="32">
        <f>IF(OR($B1100="",$R1100="",$A1100="",$F1100=""),"",$B1100&amp;"|"&amp;$A1100&amp;"|"&amp;$F1100&amp;"|"&amp;$R1100&amp;"|"&amp;COUNTIFS($B$6:$B1100,$B1100,$A$6:$A1100,$A1100,$F$6:$F1100,$F1100,$R$6:$R1100,$R1100))</f>
        <v/>
      </c>
      <c r="U1100" s="32">
        <f>IF($C1100="","",$C1100&amp;"|"&amp;COUNTIFS($C$6:$C1100,$C1100))</f>
        <v/>
      </c>
      <c r="V1100" s="32">
        <f>IF(OR($C1100="",$A1100="",$S1100=""),"",$C1100&amp;"|"&amp;$A1100&amp;"|"&amp;$S1100)</f>
        <v/>
      </c>
      <c r="W1100" s="32">
        <f>IF(OR($C1100="",$S1100="",$S1100=1),"",IFERROR(INDEX($Q$6:$Q$1505,MATCH($C1100&amp;"|"&amp;$A1100&amp;"|"&amp;($S1100-1),$V$6:$V$1505,0)),""))</f>
        <v/>
      </c>
      <c r="X1100" s="32">
        <f>IF(OR($W1100="",$Q1100="",LEFT($Q1100,1)="—"),"",IF($W1100=$Q1100,"ללא שינוי","מ-"&amp;$W1100&amp;" ל-"&amp;$Q1100))</f>
        <v/>
      </c>
    </row>
    <row r="1101">
      <c r="A1101" s="65" t="n"/>
      <c r="B1101" s="65" t="n"/>
      <c r="C1101" s="66" t="n"/>
      <c r="D1101" s="66" t="n"/>
      <c r="E1101" s="65" t="n"/>
      <c r="F1101" s="65" t="n"/>
      <c r="G1101" s="65" t="n"/>
      <c r="H1101" s="65" t="n"/>
      <c r="I1101" s="65" t="n"/>
      <c r="J1101" s="65" t="n"/>
      <c r="K1101" s="65" t="n"/>
      <c r="L1101" s="65" t="n"/>
      <c r="M1101" s="65" t="n"/>
      <c r="N1101" s="65" t="n"/>
      <c r="O1101" s="65" t="n"/>
      <c r="P1101" s="65" t="n"/>
      <c r="Q1101" s="32">
        <f>IF($C1101="","",IF($J1101="","— חסרים נתונים",IF($J1101="טרם מפענח","פרופיל 5",IF($J1101="קמץ/פתח/חטף-פתח ושוואים","פרופיל 4",IF($J1101="2-3 סימני ניקוד","פרופיל 3",IF($J1101="4-5 סימני ניקוד","פרופיל 2",IF(AND($O1101="משפטים וקטעים קצרים",OR($M1101="מבין",$M1101="מבין לרוב")),"פרופיל 1","פרופיל 2")))))))</f>
        <v/>
      </c>
      <c r="R1101" s="32">
        <f>IF($C1101="","",IF(OR($Q1101="",LEFT($Q1101,1)="—"),"קבוצה רביעית",IF($Q1101="פרופיל 5","קבוצת תשתיות",IF(OR($Q1101="פרופיל 4",$Q1101="פרופיל 3"),"קבוצת רכישה","קבוצת ביסוס"))))</f>
        <v/>
      </c>
      <c r="S1101" s="32">
        <f>IF($F1101="","",IF($F1101="תחילת שנה",1,IF($F1101="מחצית שנה",2,3)))</f>
        <v/>
      </c>
      <c r="T1101" s="32">
        <f>IF(OR($B1101="",$R1101="",$A1101="",$F1101=""),"",$B1101&amp;"|"&amp;$A1101&amp;"|"&amp;$F1101&amp;"|"&amp;$R1101&amp;"|"&amp;COUNTIFS($B$6:$B1101,$B1101,$A$6:$A1101,$A1101,$F$6:$F1101,$F1101,$R$6:$R1101,$R1101))</f>
        <v/>
      </c>
      <c r="U1101" s="32">
        <f>IF($C1101="","",$C1101&amp;"|"&amp;COUNTIFS($C$6:$C1101,$C1101))</f>
        <v/>
      </c>
      <c r="V1101" s="32">
        <f>IF(OR($C1101="",$A1101="",$S1101=""),"",$C1101&amp;"|"&amp;$A1101&amp;"|"&amp;$S1101)</f>
        <v/>
      </c>
      <c r="W1101" s="32">
        <f>IF(OR($C1101="",$S1101="",$S1101=1),"",IFERROR(INDEX($Q$6:$Q$1505,MATCH($C1101&amp;"|"&amp;$A1101&amp;"|"&amp;($S1101-1),$V$6:$V$1505,0)),""))</f>
        <v/>
      </c>
      <c r="X1101" s="32">
        <f>IF(OR($W1101="",$Q1101="",LEFT($Q1101,1)="—"),"",IF($W1101=$Q1101,"ללא שינוי","מ-"&amp;$W1101&amp;" ל-"&amp;$Q1101))</f>
        <v/>
      </c>
    </row>
    <row r="1102">
      <c r="A1102" s="65" t="n"/>
      <c r="B1102" s="65" t="n"/>
      <c r="C1102" s="66" t="n"/>
      <c r="D1102" s="66" t="n"/>
      <c r="E1102" s="65" t="n"/>
      <c r="F1102" s="65" t="n"/>
      <c r="G1102" s="65" t="n"/>
      <c r="H1102" s="65" t="n"/>
      <c r="I1102" s="65" t="n"/>
      <c r="J1102" s="65" t="n"/>
      <c r="K1102" s="65" t="n"/>
      <c r="L1102" s="65" t="n"/>
      <c r="M1102" s="65" t="n"/>
      <c r="N1102" s="65" t="n"/>
      <c r="O1102" s="65" t="n"/>
      <c r="P1102" s="65" t="n"/>
      <c r="Q1102" s="32">
        <f>IF($C1102="","",IF($J1102="","— חסרים נתונים",IF($J1102="טרם מפענח","פרופיל 5",IF($J1102="קמץ/פתח/חטף-פתח ושוואים","פרופיל 4",IF($J1102="2-3 סימני ניקוד","פרופיל 3",IF($J1102="4-5 סימני ניקוד","פרופיל 2",IF(AND($O1102="משפטים וקטעים קצרים",OR($M1102="מבין",$M1102="מבין לרוב")),"פרופיל 1","פרופיל 2")))))))</f>
        <v/>
      </c>
      <c r="R1102" s="32">
        <f>IF($C1102="","",IF(OR($Q1102="",LEFT($Q1102,1)="—"),"קבוצה רביעית",IF($Q1102="פרופיל 5","קבוצת תשתיות",IF(OR($Q1102="פרופיל 4",$Q1102="פרופיל 3"),"קבוצת רכישה","קבוצת ביסוס"))))</f>
        <v/>
      </c>
      <c r="S1102" s="32">
        <f>IF($F1102="","",IF($F1102="תחילת שנה",1,IF($F1102="מחצית שנה",2,3)))</f>
        <v/>
      </c>
      <c r="T1102" s="32">
        <f>IF(OR($B1102="",$R1102="",$A1102="",$F1102=""),"",$B1102&amp;"|"&amp;$A1102&amp;"|"&amp;$F1102&amp;"|"&amp;$R1102&amp;"|"&amp;COUNTIFS($B$6:$B1102,$B1102,$A$6:$A1102,$A1102,$F$6:$F1102,$F1102,$R$6:$R1102,$R1102))</f>
        <v/>
      </c>
      <c r="U1102" s="32">
        <f>IF($C1102="","",$C1102&amp;"|"&amp;COUNTIFS($C$6:$C1102,$C1102))</f>
        <v/>
      </c>
      <c r="V1102" s="32">
        <f>IF(OR($C1102="",$A1102="",$S1102=""),"",$C1102&amp;"|"&amp;$A1102&amp;"|"&amp;$S1102)</f>
        <v/>
      </c>
      <c r="W1102" s="32">
        <f>IF(OR($C1102="",$S1102="",$S1102=1),"",IFERROR(INDEX($Q$6:$Q$1505,MATCH($C1102&amp;"|"&amp;$A1102&amp;"|"&amp;($S1102-1),$V$6:$V$1505,0)),""))</f>
        <v/>
      </c>
      <c r="X1102" s="32">
        <f>IF(OR($W1102="",$Q1102="",LEFT($Q1102,1)="—"),"",IF($W1102=$Q1102,"ללא שינוי","מ-"&amp;$W1102&amp;" ל-"&amp;$Q1102))</f>
        <v/>
      </c>
    </row>
    <row r="1103">
      <c r="A1103" s="65" t="n"/>
      <c r="B1103" s="65" t="n"/>
      <c r="C1103" s="66" t="n"/>
      <c r="D1103" s="66" t="n"/>
      <c r="E1103" s="65" t="n"/>
      <c r="F1103" s="65" t="n"/>
      <c r="G1103" s="65" t="n"/>
      <c r="H1103" s="65" t="n"/>
      <c r="I1103" s="65" t="n"/>
      <c r="J1103" s="65" t="n"/>
      <c r="K1103" s="65" t="n"/>
      <c r="L1103" s="65" t="n"/>
      <c r="M1103" s="65" t="n"/>
      <c r="N1103" s="65" t="n"/>
      <c r="O1103" s="65" t="n"/>
      <c r="P1103" s="65" t="n"/>
      <c r="Q1103" s="32">
        <f>IF($C1103="","",IF($J1103="","— חסרים נתונים",IF($J1103="טרם מפענח","פרופיל 5",IF($J1103="קמץ/פתח/חטף-פתח ושוואים","פרופיל 4",IF($J1103="2-3 סימני ניקוד","פרופיל 3",IF($J1103="4-5 סימני ניקוד","פרופיל 2",IF(AND($O1103="משפטים וקטעים קצרים",OR($M1103="מבין",$M1103="מבין לרוב")),"פרופיל 1","פרופיל 2")))))))</f>
        <v/>
      </c>
      <c r="R1103" s="32">
        <f>IF($C1103="","",IF(OR($Q1103="",LEFT($Q1103,1)="—"),"קבוצה רביעית",IF($Q1103="פרופיל 5","קבוצת תשתיות",IF(OR($Q1103="פרופיל 4",$Q1103="פרופיל 3"),"קבוצת רכישה","קבוצת ביסוס"))))</f>
        <v/>
      </c>
      <c r="S1103" s="32">
        <f>IF($F1103="","",IF($F1103="תחילת שנה",1,IF($F1103="מחצית שנה",2,3)))</f>
        <v/>
      </c>
      <c r="T1103" s="32">
        <f>IF(OR($B1103="",$R1103="",$A1103="",$F1103=""),"",$B1103&amp;"|"&amp;$A1103&amp;"|"&amp;$F1103&amp;"|"&amp;$R1103&amp;"|"&amp;COUNTIFS($B$6:$B1103,$B1103,$A$6:$A1103,$A1103,$F$6:$F1103,$F1103,$R$6:$R1103,$R1103))</f>
        <v/>
      </c>
      <c r="U1103" s="32">
        <f>IF($C1103="","",$C1103&amp;"|"&amp;COUNTIFS($C$6:$C1103,$C1103))</f>
        <v/>
      </c>
      <c r="V1103" s="32">
        <f>IF(OR($C1103="",$A1103="",$S1103=""),"",$C1103&amp;"|"&amp;$A1103&amp;"|"&amp;$S1103)</f>
        <v/>
      </c>
      <c r="W1103" s="32">
        <f>IF(OR($C1103="",$S1103="",$S1103=1),"",IFERROR(INDEX($Q$6:$Q$1505,MATCH($C1103&amp;"|"&amp;$A1103&amp;"|"&amp;($S1103-1),$V$6:$V$1505,0)),""))</f>
        <v/>
      </c>
      <c r="X1103" s="32">
        <f>IF(OR($W1103="",$Q1103="",LEFT($Q1103,1)="—"),"",IF($W1103=$Q1103,"ללא שינוי","מ-"&amp;$W1103&amp;" ל-"&amp;$Q1103))</f>
        <v/>
      </c>
    </row>
    <row r="1104">
      <c r="A1104" s="65" t="n"/>
      <c r="B1104" s="65" t="n"/>
      <c r="C1104" s="66" t="n"/>
      <c r="D1104" s="66" t="n"/>
      <c r="E1104" s="65" t="n"/>
      <c r="F1104" s="65" t="n"/>
      <c r="G1104" s="65" t="n"/>
      <c r="H1104" s="65" t="n"/>
      <c r="I1104" s="65" t="n"/>
      <c r="J1104" s="65" t="n"/>
      <c r="K1104" s="65" t="n"/>
      <c r="L1104" s="65" t="n"/>
      <c r="M1104" s="65" t="n"/>
      <c r="N1104" s="65" t="n"/>
      <c r="O1104" s="65" t="n"/>
      <c r="P1104" s="65" t="n"/>
      <c r="Q1104" s="32">
        <f>IF($C1104="","",IF($J1104="","— חסרים נתונים",IF($J1104="טרם מפענח","פרופיל 5",IF($J1104="קמץ/פתח/חטף-פתח ושוואים","פרופיל 4",IF($J1104="2-3 סימני ניקוד","פרופיל 3",IF($J1104="4-5 סימני ניקוד","פרופיל 2",IF(AND($O1104="משפטים וקטעים קצרים",OR($M1104="מבין",$M1104="מבין לרוב")),"פרופיל 1","פרופיל 2")))))))</f>
        <v/>
      </c>
      <c r="R1104" s="32">
        <f>IF($C1104="","",IF(OR($Q1104="",LEFT($Q1104,1)="—"),"קבוצה רביעית",IF($Q1104="פרופיל 5","קבוצת תשתיות",IF(OR($Q1104="פרופיל 4",$Q1104="פרופיל 3"),"קבוצת רכישה","קבוצת ביסוס"))))</f>
        <v/>
      </c>
      <c r="S1104" s="32">
        <f>IF($F1104="","",IF($F1104="תחילת שנה",1,IF($F1104="מחצית שנה",2,3)))</f>
        <v/>
      </c>
      <c r="T1104" s="32">
        <f>IF(OR($B1104="",$R1104="",$A1104="",$F1104=""),"",$B1104&amp;"|"&amp;$A1104&amp;"|"&amp;$F1104&amp;"|"&amp;$R1104&amp;"|"&amp;COUNTIFS($B$6:$B1104,$B1104,$A$6:$A1104,$A1104,$F$6:$F1104,$F1104,$R$6:$R1104,$R1104))</f>
        <v/>
      </c>
      <c r="U1104" s="32">
        <f>IF($C1104="","",$C1104&amp;"|"&amp;COUNTIFS($C$6:$C1104,$C1104))</f>
        <v/>
      </c>
      <c r="V1104" s="32">
        <f>IF(OR($C1104="",$A1104="",$S1104=""),"",$C1104&amp;"|"&amp;$A1104&amp;"|"&amp;$S1104)</f>
        <v/>
      </c>
      <c r="W1104" s="32">
        <f>IF(OR($C1104="",$S1104="",$S1104=1),"",IFERROR(INDEX($Q$6:$Q$1505,MATCH($C1104&amp;"|"&amp;$A1104&amp;"|"&amp;($S1104-1),$V$6:$V$1505,0)),""))</f>
        <v/>
      </c>
      <c r="X1104" s="32">
        <f>IF(OR($W1104="",$Q1104="",LEFT($Q1104,1)="—"),"",IF($W1104=$Q1104,"ללא שינוי","מ-"&amp;$W1104&amp;" ל-"&amp;$Q1104))</f>
        <v/>
      </c>
    </row>
    <row r="1105">
      <c r="A1105" s="65" t="n"/>
      <c r="B1105" s="65" t="n"/>
      <c r="C1105" s="66" t="n"/>
      <c r="D1105" s="66" t="n"/>
      <c r="E1105" s="65" t="n"/>
      <c r="F1105" s="65" t="n"/>
      <c r="G1105" s="65" t="n"/>
      <c r="H1105" s="65" t="n"/>
      <c r="I1105" s="65" t="n"/>
      <c r="J1105" s="65" t="n"/>
      <c r="K1105" s="65" t="n"/>
      <c r="L1105" s="65" t="n"/>
      <c r="M1105" s="65" t="n"/>
      <c r="N1105" s="65" t="n"/>
      <c r="O1105" s="65" t="n"/>
      <c r="P1105" s="65" t="n"/>
      <c r="Q1105" s="32">
        <f>IF($C1105="","",IF($J1105="","— חסרים נתונים",IF($J1105="טרם מפענח","פרופיל 5",IF($J1105="קמץ/פתח/חטף-פתח ושוואים","פרופיל 4",IF($J1105="2-3 סימני ניקוד","פרופיל 3",IF($J1105="4-5 סימני ניקוד","פרופיל 2",IF(AND($O1105="משפטים וקטעים קצרים",OR($M1105="מבין",$M1105="מבין לרוב")),"פרופיל 1","פרופיל 2")))))))</f>
        <v/>
      </c>
      <c r="R1105" s="32">
        <f>IF($C1105="","",IF(OR($Q1105="",LEFT($Q1105,1)="—"),"קבוצה רביעית",IF($Q1105="פרופיל 5","קבוצת תשתיות",IF(OR($Q1105="פרופיל 4",$Q1105="פרופיל 3"),"קבוצת רכישה","קבוצת ביסוס"))))</f>
        <v/>
      </c>
      <c r="S1105" s="32">
        <f>IF($F1105="","",IF($F1105="תחילת שנה",1,IF($F1105="מחצית שנה",2,3)))</f>
        <v/>
      </c>
      <c r="T1105" s="32">
        <f>IF(OR($B1105="",$R1105="",$A1105="",$F1105=""),"",$B1105&amp;"|"&amp;$A1105&amp;"|"&amp;$F1105&amp;"|"&amp;$R1105&amp;"|"&amp;COUNTIFS($B$6:$B1105,$B1105,$A$6:$A1105,$A1105,$F$6:$F1105,$F1105,$R$6:$R1105,$R1105))</f>
        <v/>
      </c>
      <c r="U1105" s="32">
        <f>IF($C1105="","",$C1105&amp;"|"&amp;COUNTIFS($C$6:$C1105,$C1105))</f>
        <v/>
      </c>
      <c r="V1105" s="32">
        <f>IF(OR($C1105="",$A1105="",$S1105=""),"",$C1105&amp;"|"&amp;$A1105&amp;"|"&amp;$S1105)</f>
        <v/>
      </c>
      <c r="W1105" s="32">
        <f>IF(OR($C1105="",$S1105="",$S1105=1),"",IFERROR(INDEX($Q$6:$Q$1505,MATCH($C1105&amp;"|"&amp;$A1105&amp;"|"&amp;($S1105-1),$V$6:$V$1505,0)),""))</f>
        <v/>
      </c>
      <c r="X1105" s="32">
        <f>IF(OR($W1105="",$Q1105="",LEFT($Q1105,1)="—"),"",IF($W1105=$Q1105,"ללא שינוי","מ-"&amp;$W1105&amp;" ל-"&amp;$Q1105))</f>
        <v/>
      </c>
    </row>
    <row r="1106">
      <c r="A1106" s="65" t="n"/>
      <c r="B1106" s="65" t="n"/>
      <c r="C1106" s="66" t="n"/>
      <c r="D1106" s="66" t="n"/>
      <c r="E1106" s="65" t="n"/>
      <c r="F1106" s="65" t="n"/>
      <c r="G1106" s="65" t="n"/>
      <c r="H1106" s="65" t="n"/>
      <c r="I1106" s="65" t="n"/>
      <c r="J1106" s="65" t="n"/>
      <c r="K1106" s="65" t="n"/>
      <c r="L1106" s="65" t="n"/>
      <c r="M1106" s="65" t="n"/>
      <c r="N1106" s="65" t="n"/>
      <c r="O1106" s="65" t="n"/>
      <c r="P1106" s="65" t="n"/>
      <c r="Q1106" s="32">
        <f>IF($C1106="","",IF($J1106="","— חסרים נתונים",IF($J1106="טרם מפענח","פרופיל 5",IF($J1106="קמץ/פתח/חטף-פתח ושוואים","פרופיל 4",IF($J1106="2-3 סימני ניקוד","פרופיל 3",IF($J1106="4-5 סימני ניקוד","פרופיל 2",IF(AND($O1106="משפטים וקטעים קצרים",OR($M1106="מבין",$M1106="מבין לרוב")),"פרופיל 1","פרופיל 2")))))))</f>
        <v/>
      </c>
      <c r="R1106" s="32">
        <f>IF($C1106="","",IF(OR($Q1106="",LEFT($Q1106,1)="—"),"קבוצה רביעית",IF($Q1106="פרופיל 5","קבוצת תשתיות",IF(OR($Q1106="פרופיל 4",$Q1106="פרופיל 3"),"קבוצת רכישה","קבוצת ביסוס"))))</f>
        <v/>
      </c>
      <c r="S1106" s="32">
        <f>IF($F1106="","",IF($F1106="תחילת שנה",1,IF($F1106="מחצית שנה",2,3)))</f>
        <v/>
      </c>
      <c r="T1106" s="32">
        <f>IF(OR($B1106="",$R1106="",$A1106="",$F1106=""),"",$B1106&amp;"|"&amp;$A1106&amp;"|"&amp;$F1106&amp;"|"&amp;$R1106&amp;"|"&amp;COUNTIFS($B$6:$B1106,$B1106,$A$6:$A1106,$A1106,$F$6:$F1106,$F1106,$R$6:$R1106,$R1106))</f>
        <v/>
      </c>
      <c r="U1106" s="32">
        <f>IF($C1106="","",$C1106&amp;"|"&amp;COUNTIFS($C$6:$C1106,$C1106))</f>
        <v/>
      </c>
      <c r="V1106" s="32">
        <f>IF(OR($C1106="",$A1106="",$S1106=""),"",$C1106&amp;"|"&amp;$A1106&amp;"|"&amp;$S1106)</f>
        <v/>
      </c>
      <c r="W1106" s="32">
        <f>IF(OR($C1106="",$S1106="",$S1106=1),"",IFERROR(INDEX($Q$6:$Q$1505,MATCH($C1106&amp;"|"&amp;$A1106&amp;"|"&amp;($S1106-1),$V$6:$V$1505,0)),""))</f>
        <v/>
      </c>
      <c r="X1106" s="32">
        <f>IF(OR($W1106="",$Q1106="",LEFT($Q1106,1)="—"),"",IF($W1106=$Q1106,"ללא שינוי","מ-"&amp;$W1106&amp;" ל-"&amp;$Q1106))</f>
        <v/>
      </c>
    </row>
    <row r="1107">
      <c r="A1107" s="65" t="n"/>
      <c r="B1107" s="65" t="n"/>
      <c r="C1107" s="66" t="n"/>
      <c r="D1107" s="66" t="n"/>
      <c r="E1107" s="65" t="n"/>
      <c r="F1107" s="65" t="n"/>
      <c r="G1107" s="65" t="n"/>
      <c r="H1107" s="65" t="n"/>
      <c r="I1107" s="65" t="n"/>
      <c r="J1107" s="65" t="n"/>
      <c r="K1107" s="65" t="n"/>
      <c r="L1107" s="65" t="n"/>
      <c r="M1107" s="65" t="n"/>
      <c r="N1107" s="65" t="n"/>
      <c r="O1107" s="65" t="n"/>
      <c r="P1107" s="65" t="n"/>
      <c r="Q1107" s="32">
        <f>IF($C1107="","",IF($J1107="","— חסרים נתונים",IF($J1107="טרם מפענח","פרופיל 5",IF($J1107="קמץ/פתח/חטף-פתח ושוואים","פרופיל 4",IF($J1107="2-3 סימני ניקוד","פרופיל 3",IF($J1107="4-5 סימני ניקוד","פרופיל 2",IF(AND($O1107="משפטים וקטעים קצרים",OR($M1107="מבין",$M1107="מבין לרוב")),"פרופיל 1","פרופיל 2")))))))</f>
        <v/>
      </c>
      <c r="R1107" s="32">
        <f>IF($C1107="","",IF(OR($Q1107="",LEFT($Q1107,1)="—"),"קבוצה רביעית",IF($Q1107="פרופיל 5","קבוצת תשתיות",IF(OR($Q1107="פרופיל 4",$Q1107="פרופיל 3"),"קבוצת רכישה","קבוצת ביסוס"))))</f>
        <v/>
      </c>
      <c r="S1107" s="32">
        <f>IF($F1107="","",IF($F1107="תחילת שנה",1,IF($F1107="מחצית שנה",2,3)))</f>
        <v/>
      </c>
      <c r="T1107" s="32">
        <f>IF(OR($B1107="",$R1107="",$A1107="",$F1107=""),"",$B1107&amp;"|"&amp;$A1107&amp;"|"&amp;$F1107&amp;"|"&amp;$R1107&amp;"|"&amp;COUNTIFS($B$6:$B1107,$B1107,$A$6:$A1107,$A1107,$F$6:$F1107,$F1107,$R$6:$R1107,$R1107))</f>
        <v/>
      </c>
      <c r="U1107" s="32">
        <f>IF($C1107="","",$C1107&amp;"|"&amp;COUNTIFS($C$6:$C1107,$C1107))</f>
        <v/>
      </c>
      <c r="V1107" s="32">
        <f>IF(OR($C1107="",$A1107="",$S1107=""),"",$C1107&amp;"|"&amp;$A1107&amp;"|"&amp;$S1107)</f>
        <v/>
      </c>
      <c r="W1107" s="32">
        <f>IF(OR($C1107="",$S1107="",$S1107=1),"",IFERROR(INDEX($Q$6:$Q$1505,MATCH($C1107&amp;"|"&amp;$A1107&amp;"|"&amp;($S1107-1),$V$6:$V$1505,0)),""))</f>
        <v/>
      </c>
      <c r="X1107" s="32">
        <f>IF(OR($W1107="",$Q1107="",LEFT($Q1107,1)="—"),"",IF($W1107=$Q1107,"ללא שינוי","מ-"&amp;$W1107&amp;" ל-"&amp;$Q1107))</f>
        <v/>
      </c>
    </row>
    <row r="1108">
      <c r="A1108" s="65" t="n"/>
      <c r="B1108" s="65" t="n"/>
      <c r="C1108" s="66" t="n"/>
      <c r="D1108" s="66" t="n"/>
      <c r="E1108" s="65" t="n"/>
      <c r="F1108" s="65" t="n"/>
      <c r="G1108" s="65" t="n"/>
      <c r="H1108" s="65" t="n"/>
      <c r="I1108" s="65" t="n"/>
      <c r="J1108" s="65" t="n"/>
      <c r="K1108" s="65" t="n"/>
      <c r="L1108" s="65" t="n"/>
      <c r="M1108" s="65" t="n"/>
      <c r="N1108" s="65" t="n"/>
      <c r="O1108" s="65" t="n"/>
      <c r="P1108" s="65" t="n"/>
      <c r="Q1108" s="32">
        <f>IF($C1108="","",IF($J1108="","— חסרים נתונים",IF($J1108="טרם מפענח","פרופיל 5",IF($J1108="קמץ/פתח/חטף-פתח ושוואים","פרופיל 4",IF($J1108="2-3 סימני ניקוד","פרופיל 3",IF($J1108="4-5 סימני ניקוד","פרופיל 2",IF(AND($O1108="משפטים וקטעים קצרים",OR($M1108="מבין",$M1108="מבין לרוב")),"פרופיל 1","פרופיל 2")))))))</f>
        <v/>
      </c>
      <c r="R1108" s="32">
        <f>IF($C1108="","",IF(OR($Q1108="",LEFT($Q1108,1)="—"),"קבוצה רביעית",IF($Q1108="פרופיל 5","קבוצת תשתיות",IF(OR($Q1108="פרופיל 4",$Q1108="פרופיל 3"),"קבוצת רכישה","קבוצת ביסוס"))))</f>
        <v/>
      </c>
      <c r="S1108" s="32">
        <f>IF($F1108="","",IF($F1108="תחילת שנה",1,IF($F1108="מחצית שנה",2,3)))</f>
        <v/>
      </c>
      <c r="T1108" s="32">
        <f>IF(OR($B1108="",$R1108="",$A1108="",$F1108=""),"",$B1108&amp;"|"&amp;$A1108&amp;"|"&amp;$F1108&amp;"|"&amp;$R1108&amp;"|"&amp;COUNTIFS($B$6:$B1108,$B1108,$A$6:$A1108,$A1108,$F$6:$F1108,$F1108,$R$6:$R1108,$R1108))</f>
        <v/>
      </c>
      <c r="U1108" s="32">
        <f>IF($C1108="","",$C1108&amp;"|"&amp;COUNTIFS($C$6:$C1108,$C1108))</f>
        <v/>
      </c>
      <c r="V1108" s="32">
        <f>IF(OR($C1108="",$A1108="",$S1108=""),"",$C1108&amp;"|"&amp;$A1108&amp;"|"&amp;$S1108)</f>
        <v/>
      </c>
      <c r="W1108" s="32">
        <f>IF(OR($C1108="",$S1108="",$S1108=1),"",IFERROR(INDEX($Q$6:$Q$1505,MATCH($C1108&amp;"|"&amp;$A1108&amp;"|"&amp;($S1108-1),$V$6:$V$1505,0)),""))</f>
        <v/>
      </c>
      <c r="X1108" s="32">
        <f>IF(OR($W1108="",$Q1108="",LEFT($Q1108,1)="—"),"",IF($W1108=$Q1108,"ללא שינוי","מ-"&amp;$W1108&amp;" ל-"&amp;$Q1108))</f>
        <v/>
      </c>
    </row>
    <row r="1109">
      <c r="A1109" s="65" t="n"/>
      <c r="B1109" s="65" t="n"/>
      <c r="C1109" s="66" t="n"/>
      <c r="D1109" s="66" t="n"/>
      <c r="E1109" s="65" t="n"/>
      <c r="F1109" s="65" t="n"/>
      <c r="G1109" s="65" t="n"/>
      <c r="H1109" s="65" t="n"/>
      <c r="I1109" s="65" t="n"/>
      <c r="J1109" s="65" t="n"/>
      <c r="K1109" s="65" t="n"/>
      <c r="L1109" s="65" t="n"/>
      <c r="M1109" s="65" t="n"/>
      <c r="N1109" s="65" t="n"/>
      <c r="O1109" s="65" t="n"/>
      <c r="P1109" s="65" t="n"/>
      <c r="Q1109" s="32">
        <f>IF($C1109="","",IF($J1109="","— חסרים נתונים",IF($J1109="טרם מפענח","פרופיל 5",IF($J1109="קמץ/פתח/חטף-פתח ושוואים","פרופיל 4",IF($J1109="2-3 סימני ניקוד","פרופיל 3",IF($J1109="4-5 סימני ניקוד","פרופיל 2",IF(AND($O1109="משפטים וקטעים קצרים",OR($M1109="מבין",$M1109="מבין לרוב")),"פרופיל 1","פרופיל 2")))))))</f>
        <v/>
      </c>
      <c r="R1109" s="32">
        <f>IF($C1109="","",IF(OR($Q1109="",LEFT($Q1109,1)="—"),"קבוצה רביעית",IF($Q1109="פרופיל 5","קבוצת תשתיות",IF(OR($Q1109="פרופיל 4",$Q1109="פרופיל 3"),"קבוצת רכישה","קבוצת ביסוס"))))</f>
        <v/>
      </c>
      <c r="S1109" s="32">
        <f>IF($F1109="","",IF($F1109="תחילת שנה",1,IF($F1109="מחצית שנה",2,3)))</f>
        <v/>
      </c>
      <c r="T1109" s="32">
        <f>IF(OR($B1109="",$R1109="",$A1109="",$F1109=""),"",$B1109&amp;"|"&amp;$A1109&amp;"|"&amp;$F1109&amp;"|"&amp;$R1109&amp;"|"&amp;COUNTIFS($B$6:$B1109,$B1109,$A$6:$A1109,$A1109,$F$6:$F1109,$F1109,$R$6:$R1109,$R1109))</f>
        <v/>
      </c>
      <c r="U1109" s="32">
        <f>IF($C1109="","",$C1109&amp;"|"&amp;COUNTIFS($C$6:$C1109,$C1109))</f>
        <v/>
      </c>
      <c r="V1109" s="32">
        <f>IF(OR($C1109="",$A1109="",$S1109=""),"",$C1109&amp;"|"&amp;$A1109&amp;"|"&amp;$S1109)</f>
        <v/>
      </c>
      <c r="W1109" s="32">
        <f>IF(OR($C1109="",$S1109="",$S1109=1),"",IFERROR(INDEX($Q$6:$Q$1505,MATCH($C1109&amp;"|"&amp;$A1109&amp;"|"&amp;($S1109-1),$V$6:$V$1505,0)),""))</f>
        <v/>
      </c>
      <c r="X1109" s="32">
        <f>IF(OR($W1109="",$Q1109="",LEFT($Q1109,1)="—"),"",IF($W1109=$Q1109,"ללא שינוי","מ-"&amp;$W1109&amp;" ל-"&amp;$Q1109))</f>
        <v/>
      </c>
    </row>
    <row r="1110">
      <c r="A1110" s="65" t="n"/>
      <c r="B1110" s="65" t="n"/>
      <c r="C1110" s="66" t="n"/>
      <c r="D1110" s="66" t="n"/>
      <c r="E1110" s="65" t="n"/>
      <c r="F1110" s="65" t="n"/>
      <c r="G1110" s="65" t="n"/>
      <c r="H1110" s="65" t="n"/>
      <c r="I1110" s="65" t="n"/>
      <c r="J1110" s="65" t="n"/>
      <c r="K1110" s="65" t="n"/>
      <c r="L1110" s="65" t="n"/>
      <c r="M1110" s="65" t="n"/>
      <c r="N1110" s="65" t="n"/>
      <c r="O1110" s="65" t="n"/>
      <c r="P1110" s="65" t="n"/>
      <c r="Q1110" s="32">
        <f>IF($C1110="","",IF($J1110="","— חסרים נתונים",IF($J1110="טרם מפענח","פרופיל 5",IF($J1110="קמץ/פתח/חטף-פתח ושוואים","פרופיל 4",IF($J1110="2-3 סימני ניקוד","פרופיל 3",IF($J1110="4-5 סימני ניקוד","פרופיל 2",IF(AND($O1110="משפטים וקטעים קצרים",OR($M1110="מבין",$M1110="מבין לרוב")),"פרופיל 1","פרופיל 2")))))))</f>
        <v/>
      </c>
      <c r="R1110" s="32">
        <f>IF($C1110="","",IF(OR($Q1110="",LEFT($Q1110,1)="—"),"קבוצה רביעית",IF($Q1110="פרופיל 5","קבוצת תשתיות",IF(OR($Q1110="פרופיל 4",$Q1110="פרופיל 3"),"קבוצת רכישה","קבוצת ביסוס"))))</f>
        <v/>
      </c>
      <c r="S1110" s="32">
        <f>IF($F1110="","",IF($F1110="תחילת שנה",1,IF($F1110="מחצית שנה",2,3)))</f>
        <v/>
      </c>
      <c r="T1110" s="32">
        <f>IF(OR($B1110="",$R1110="",$A1110="",$F1110=""),"",$B1110&amp;"|"&amp;$A1110&amp;"|"&amp;$F1110&amp;"|"&amp;$R1110&amp;"|"&amp;COUNTIFS($B$6:$B1110,$B1110,$A$6:$A1110,$A1110,$F$6:$F1110,$F1110,$R$6:$R1110,$R1110))</f>
        <v/>
      </c>
      <c r="U1110" s="32">
        <f>IF($C1110="","",$C1110&amp;"|"&amp;COUNTIFS($C$6:$C1110,$C1110))</f>
        <v/>
      </c>
      <c r="V1110" s="32">
        <f>IF(OR($C1110="",$A1110="",$S1110=""),"",$C1110&amp;"|"&amp;$A1110&amp;"|"&amp;$S1110)</f>
        <v/>
      </c>
      <c r="W1110" s="32">
        <f>IF(OR($C1110="",$S1110="",$S1110=1),"",IFERROR(INDEX($Q$6:$Q$1505,MATCH($C1110&amp;"|"&amp;$A1110&amp;"|"&amp;($S1110-1),$V$6:$V$1505,0)),""))</f>
        <v/>
      </c>
      <c r="X1110" s="32">
        <f>IF(OR($W1110="",$Q1110="",LEFT($Q1110,1)="—"),"",IF($W1110=$Q1110,"ללא שינוי","מ-"&amp;$W1110&amp;" ל-"&amp;$Q1110))</f>
        <v/>
      </c>
    </row>
    <row r="1111">
      <c r="A1111" s="65" t="n"/>
      <c r="B1111" s="65" t="n"/>
      <c r="C1111" s="66" t="n"/>
      <c r="D1111" s="66" t="n"/>
      <c r="E1111" s="65" t="n"/>
      <c r="F1111" s="65" t="n"/>
      <c r="G1111" s="65" t="n"/>
      <c r="H1111" s="65" t="n"/>
      <c r="I1111" s="65" t="n"/>
      <c r="J1111" s="65" t="n"/>
      <c r="K1111" s="65" t="n"/>
      <c r="L1111" s="65" t="n"/>
      <c r="M1111" s="65" t="n"/>
      <c r="N1111" s="65" t="n"/>
      <c r="O1111" s="65" t="n"/>
      <c r="P1111" s="65" t="n"/>
      <c r="Q1111" s="32">
        <f>IF($C1111="","",IF($J1111="","— חסרים נתונים",IF($J1111="טרם מפענח","פרופיל 5",IF($J1111="קמץ/פתח/חטף-פתח ושוואים","פרופיל 4",IF($J1111="2-3 סימני ניקוד","פרופיל 3",IF($J1111="4-5 סימני ניקוד","פרופיל 2",IF(AND($O1111="משפטים וקטעים קצרים",OR($M1111="מבין",$M1111="מבין לרוב")),"פרופיל 1","פרופיל 2")))))))</f>
        <v/>
      </c>
      <c r="R1111" s="32">
        <f>IF($C1111="","",IF(OR($Q1111="",LEFT($Q1111,1)="—"),"קבוצה רביעית",IF($Q1111="פרופיל 5","קבוצת תשתיות",IF(OR($Q1111="פרופיל 4",$Q1111="פרופיל 3"),"קבוצת רכישה","קבוצת ביסוס"))))</f>
        <v/>
      </c>
      <c r="S1111" s="32">
        <f>IF($F1111="","",IF($F1111="תחילת שנה",1,IF($F1111="מחצית שנה",2,3)))</f>
        <v/>
      </c>
      <c r="T1111" s="32">
        <f>IF(OR($B1111="",$R1111="",$A1111="",$F1111=""),"",$B1111&amp;"|"&amp;$A1111&amp;"|"&amp;$F1111&amp;"|"&amp;$R1111&amp;"|"&amp;COUNTIFS($B$6:$B1111,$B1111,$A$6:$A1111,$A1111,$F$6:$F1111,$F1111,$R$6:$R1111,$R1111))</f>
        <v/>
      </c>
      <c r="U1111" s="32">
        <f>IF($C1111="","",$C1111&amp;"|"&amp;COUNTIFS($C$6:$C1111,$C1111))</f>
        <v/>
      </c>
      <c r="V1111" s="32">
        <f>IF(OR($C1111="",$A1111="",$S1111=""),"",$C1111&amp;"|"&amp;$A1111&amp;"|"&amp;$S1111)</f>
        <v/>
      </c>
      <c r="W1111" s="32">
        <f>IF(OR($C1111="",$S1111="",$S1111=1),"",IFERROR(INDEX($Q$6:$Q$1505,MATCH($C1111&amp;"|"&amp;$A1111&amp;"|"&amp;($S1111-1),$V$6:$V$1505,0)),""))</f>
        <v/>
      </c>
      <c r="X1111" s="32">
        <f>IF(OR($W1111="",$Q1111="",LEFT($Q1111,1)="—"),"",IF($W1111=$Q1111,"ללא שינוי","מ-"&amp;$W1111&amp;" ל-"&amp;$Q1111))</f>
        <v/>
      </c>
    </row>
    <row r="1112">
      <c r="A1112" s="65" t="n"/>
      <c r="B1112" s="65" t="n"/>
      <c r="C1112" s="66" t="n"/>
      <c r="D1112" s="66" t="n"/>
      <c r="E1112" s="65" t="n"/>
      <c r="F1112" s="65" t="n"/>
      <c r="G1112" s="65" t="n"/>
      <c r="H1112" s="65" t="n"/>
      <c r="I1112" s="65" t="n"/>
      <c r="J1112" s="65" t="n"/>
      <c r="K1112" s="65" t="n"/>
      <c r="L1112" s="65" t="n"/>
      <c r="M1112" s="65" t="n"/>
      <c r="N1112" s="65" t="n"/>
      <c r="O1112" s="65" t="n"/>
      <c r="P1112" s="65" t="n"/>
      <c r="Q1112" s="32">
        <f>IF($C1112="","",IF($J1112="","— חסרים נתונים",IF($J1112="טרם מפענח","פרופיל 5",IF($J1112="קמץ/פתח/חטף-פתח ושוואים","פרופיל 4",IF($J1112="2-3 סימני ניקוד","פרופיל 3",IF($J1112="4-5 סימני ניקוד","פרופיל 2",IF(AND($O1112="משפטים וקטעים קצרים",OR($M1112="מבין",$M1112="מבין לרוב")),"פרופיל 1","פרופיל 2")))))))</f>
        <v/>
      </c>
      <c r="R1112" s="32">
        <f>IF($C1112="","",IF(OR($Q1112="",LEFT($Q1112,1)="—"),"קבוצה רביעית",IF($Q1112="פרופיל 5","קבוצת תשתיות",IF(OR($Q1112="פרופיל 4",$Q1112="פרופיל 3"),"קבוצת רכישה","קבוצת ביסוס"))))</f>
        <v/>
      </c>
      <c r="S1112" s="32">
        <f>IF($F1112="","",IF($F1112="תחילת שנה",1,IF($F1112="מחצית שנה",2,3)))</f>
        <v/>
      </c>
      <c r="T1112" s="32">
        <f>IF(OR($B1112="",$R1112="",$A1112="",$F1112=""),"",$B1112&amp;"|"&amp;$A1112&amp;"|"&amp;$F1112&amp;"|"&amp;$R1112&amp;"|"&amp;COUNTIFS($B$6:$B1112,$B1112,$A$6:$A1112,$A1112,$F$6:$F1112,$F1112,$R$6:$R1112,$R1112))</f>
        <v/>
      </c>
      <c r="U1112" s="32">
        <f>IF($C1112="","",$C1112&amp;"|"&amp;COUNTIFS($C$6:$C1112,$C1112))</f>
        <v/>
      </c>
      <c r="V1112" s="32">
        <f>IF(OR($C1112="",$A1112="",$S1112=""),"",$C1112&amp;"|"&amp;$A1112&amp;"|"&amp;$S1112)</f>
        <v/>
      </c>
      <c r="W1112" s="32">
        <f>IF(OR($C1112="",$S1112="",$S1112=1),"",IFERROR(INDEX($Q$6:$Q$1505,MATCH($C1112&amp;"|"&amp;$A1112&amp;"|"&amp;($S1112-1),$V$6:$V$1505,0)),""))</f>
        <v/>
      </c>
      <c r="X1112" s="32">
        <f>IF(OR($W1112="",$Q1112="",LEFT($Q1112,1)="—"),"",IF($W1112=$Q1112,"ללא שינוי","מ-"&amp;$W1112&amp;" ל-"&amp;$Q1112))</f>
        <v/>
      </c>
    </row>
    <row r="1113">
      <c r="A1113" s="65" t="n"/>
      <c r="B1113" s="65" t="n"/>
      <c r="C1113" s="66" t="n"/>
      <c r="D1113" s="66" t="n"/>
      <c r="E1113" s="65" t="n"/>
      <c r="F1113" s="65" t="n"/>
      <c r="G1113" s="65" t="n"/>
      <c r="H1113" s="65" t="n"/>
      <c r="I1113" s="65" t="n"/>
      <c r="J1113" s="65" t="n"/>
      <c r="K1113" s="65" t="n"/>
      <c r="L1113" s="65" t="n"/>
      <c r="M1113" s="65" t="n"/>
      <c r="N1113" s="65" t="n"/>
      <c r="O1113" s="65" t="n"/>
      <c r="P1113" s="65" t="n"/>
      <c r="Q1113" s="32">
        <f>IF($C1113="","",IF($J1113="","— חסרים נתונים",IF($J1113="טרם מפענח","פרופיל 5",IF($J1113="קמץ/פתח/חטף-פתח ושוואים","פרופיל 4",IF($J1113="2-3 סימני ניקוד","פרופיל 3",IF($J1113="4-5 סימני ניקוד","פרופיל 2",IF(AND($O1113="משפטים וקטעים קצרים",OR($M1113="מבין",$M1113="מבין לרוב")),"פרופיל 1","פרופיל 2")))))))</f>
        <v/>
      </c>
      <c r="R1113" s="32">
        <f>IF($C1113="","",IF(OR($Q1113="",LEFT($Q1113,1)="—"),"קבוצה רביעית",IF($Q1113="פרופיל 5","קבוצת תשתיות",IF(OR($Q1113="פרופיל 4",$Q1113="פרופיל 3"),"קבוצת רכישה","קבוצת ביסוס"))))</f>
        <v/>
      </c>
      <c r="S1113" s="32">
        <f>IF($F1113="","",IF($F1113="תחילת שנה",1,IF($F1113="מחצית שנה",2,3)))</f>
        <v/>
      </c>
      <c r="T1113" s="32">
        <f>IF(OR($B1113="",$R1113="",$A1113="",$F1113=""),"",$B1113&amp;"|"&amp;$A1113&amp;"|"&amp;$F1113&amp;"|"&amp;$R1113&amp;"|"&amp;COUNTIFS($B$6:$B1113,$B1113,$A$6:$A1113,$A1113,$F$6:$F1113,$F1113,$R$6:$R1113,$R1113))</f>
        <v/>
      </c>
      <c r="U1113" s="32">
        <f>IF($C1113="","",$C1113&amp;"|"&amp;COUNTIFS($C$6:$C1113,$C1113))</f>
        <v/>
      </c>
      <c r="V1113" s="32">
        <f>IF(OR($C1113="",$A1113="",$S1113=""),"",$C1113&amp;"|"&amp;$A1113&amp;"|"&amp;$S1113)</f>
        <v/>
      </c>
      <c r="W1113" s="32">
        <f>IF(OR($C1113="",$S1113="",$S1113=1),"",IFERROR(INDEX($Q$6:$Q$1505,MATCH($C1113&amp;"|"&amp;$A1113&amp;"|"&amp;($S1113-1),$V$6:$V$1505,0)),""))</f>
        <v/>
      </c>
      <c r="X1113" s="32">
        <f>IF(OR($W1113="",$Q1113="",LEFT($Q1113,1)="—"),"",IF($W1113=$Q1113,"ללא שינוי","מ-"&amp;$W1113&amp;" ל-"&amp;$Q1113))</f>
        <v/>
      </c>
    </row>
    <row r="1114">
      <c r="A1114" s="65" t="n"/>
      <c r="B1114" s="65" t="n"/>
      <c r="C1114" s="66" t="n"/>
      <c r="D1114" s="66" t="n"/>
      <c r="E1114" s="65" t="n"/>
      <c r="F1114" s="65" t="n"/>
      <c r="G1114" s="65" t="n"/>
      <c r="H1114" s="65" t="n"/>
      <c r="I1114" s="65" t="n"/>
      <c r="J1114" s="65" t="n"/>
      <c r="K1114" s="65" t="n"/>
      <c r="L1114" s="65" t="n"/>
      <c r="M1114" s="65" t="n"/>
      <c r="N1114" s="65" t="n"/>
      <c r="O1114" s="65" t="n"/>
      <c r="P1114" s="65" t="n"/>
      <c r="Q1114" s="32">
        <f>IF($C1114="","",IF($J1114="","— חסרים נתונים",IF($J1114="טרם מפענח","פרופיל 5",IF($J1114="קמץ/פתח/חטף-פתח ושוואים","פרופיל 4",IF($J1114="2-3 סימני ניקוד","פרופיל 3",IF($J1114="4-5 סימני ניקוד","פרופיל 2",IF(AND($O1114="משפטים וקטעים קצרים",OR($M1114="מבין",$M1114="מבין לרוב")),"פרופיל 1","פרופיל 2")))))))</f>
        <v/>
      </c>
      <c r="R1114" s="32">
        <f>IF($C1114="","",IF(OR($Q1114="",LEFT($Q1114,1)="—"),"קבוצה רביעית",IF($Q1114="פרופיל 5","קבוצת תשתיות",IF(OR($Q1114="פרופיל 4",$Q1114="פרופיל 3"),"קבוצת רכישה","קבוצת ביסוס"))))</f>
        <v/>
      </c>
      <c r="S1114" s="32">
        <f>IF($F1114="","",IF($F1114="תחילת שנה",1,IF($F1114="מחצית שנה",2,3)))</f>
        <v/>
      </c>
      <c r="T1114" s="32">
        <f>IF(OR($B1114="",$R1114="",$A1114="",$F1114=""),"",$B1114&amp;"|"&amp;$A1114&amp;"|"&amp;$F1114&amp;"|"&amp;$R1114&amp;"|"&amp;COUNTIFS($B$6:$B1114,$B1114,$A$6:$A1114,$A1114,$F$6:$F1114,$F1114,$R$6:$R1114,$R1114))</f>
        <v/>
      </c>
      <c r="U1114" s="32">
        <f>IF($C1114="","",$C1114&amp;"|"&amp;COUNTIFS($C$6:$C1114,$C1114))</f>
        <v/>
      </c>
      <c r="V1114" s="32">
        <f>IF(OR($C1114="",$A1114="",$S1114=""),"",$C1114&amp;"|"&amp;$A1114&amp;"|"&amp;$S1114)</f>
        <v/>
      </c>
      <c r="W1114" s="32">
        <f>IF(OR($C1114="",$S1114="",$S1114=1),"",IFERROR(INDEX($Q$6:$Q$1505,MATCH($C1114&amp;"|"&amp;$A1114&amp;"|"&amp;($S1114-1),$V$6:$V$1505,0)),""))</f>
        <v/>
      </c>
      <c r="X1114" s="32">
        <f>IF(OR($W1114="",$Q1114="",LEFT($Q1114,1)="—"),"",IF($W1114=$Q1114,"ללא שינוי","מ-"&amp;$W1114&amp;" ל-"&amp;$Q1114))</f>
        <v/>
      </c>
    </row>
    <row r="1115">
      <c r="A1115" s="65" t="n"/>
      <c r="B1115" s="65" t="n"/>
      <c r="C1115" s="66" t="n"/>
      <c r="D1115" s="66" t="n"/>
      <c r="E1115" s="65" t="n"/>
      <c r="F1115" s="65" t="n"/>
      <c r="G1115" s="65" t="n"/>
      <c r="H1115" s="65" t="n"/>
      <c r="I1115" s="65" t="n"/>
      <c r="J1115" s="65" t="n"/>
      <c r="K1115" s="65" t="n"/>
      <c r="L1115" s="65" t="n"/>
      <c r="M1115" s="65" t="n"/>
      <c r="N1115" s="65" t="n"/>
      <c r="O1115" s="65" t="n"/>
      <c r="P1115" s="65" t="n"/>
      <c r="Q1115" s="32">
        <f>IF($C1115="","",IF($J1115="","— חסרים נתונים",IF($J1115="טרם מפענח","פרופיל 5",IF($J1115="קמץ/פתח/חטף-פתח ושוואים","פרופיל 4",IF($J1115="2-3 סימני ניקוד","פרופיל 3",IF($J1115="4-5 סימני ניקוד","פרופיל 2",IF(AND($O1115="משפטים וקטעים קצרים",OR($M1115="מבין",$M1115="מבין לרוב")),"פרופיל 1","פרופיל 2")))))))</f>
        <v/>
      </c>
      <c r="R1115" s="32">
        <f>IF($C1115="","",IF(OR($Q1115="",LEFT($Q1115,1)="—"),"קבוצה רביעית",IF($Q1115="פרופיל 5","קבוצת תשתיות",IF(OR($Q1115="פרופיל 4",$Q1115="פרופיל 3"),"קבוצת רכישה","קבוצת ביסוס"))))</f>
        <v/>
      </c>
      <c r="S1115" s="32">
        <f>IF($F1115="","",IF($F1115="תחילת שנה",1,IF($F1115="מחצית שנה",2,3)))</f>
        <v/>
      </c>
      <c r="T1115" s="32">
        <f>IF(OR($B1115="",$R1115="",$A1115="",$F1115=""),"",$B1115&amp;"|"&amp;$A1115&amp;"|"&amp;$F1115&amp;"|"&amp;$R1115&amp;"|"&amp;COUNTIFS($B$6:$B1115,$B1115,$A$6:$A1115,$A1115,$F$6:$F1115,$F1115,$R$6:$R1115,$R1115))</f>
        <v/>
      </c>
      <c r="U1115" s="32">
        <f>IF($C1115="","",$C1115&amp;"|"&amp;COUNTIFS($C$6:$C1115,$C1115))</f>
        <v/>
      </c>
      <c r="V1115" s="32">
        <f>IF(OR($C1115="",$A1115="",$S1115=""),"",$C1115&amp;"|"&amp;$A1115&amp;"|"&amp;$S1115)</f>
        <v/>
      </c>
      <c r="W1115" s="32">
        <f>IF(OR($C1115="",$S1115="",$S1115=1),"",IFERROR(INDEX($Q$6:$Q$1505,MATCH($C1115&amp;"|"&amp;$A1115&amp;"|"&amp;($S1115-1),$V$6:$V$1505,0)),""))</f>
        <v/>
      </c>
      <c r="X1115" s="32">
        <f>IF(OR($W1115="",$Q1115="",LEFT($Q1115,1)="—"),"",IF($W1115=$Q1115,"ללא שינוי","מ-"&amp;$W1115&amp;" ל-"&amp;$Q1115))</f>
        <v/>
      </c>
    </row>
    <row r="1116">
      <c r="A1116" s="65" t="n"/>
      <c r="B1116" s="65" t="n"/>
      <c r="C1116" s="66" t="n"/>
      <c r="D1116" s="66" t="n"/>
      <c r="E1116" s="65" t="n"/>
      <c r="F1116" s="65" t="n"/>
      <c r="G1116" s="65" t="n"/>
      <c r="H1116" s="65" t="n"/>
      <c r="I1116" s="65" t="n"/>
      <c r="J1116" s="65" t="n"/>
      <c r="K1116" s="65" t="n"/>
      <c r="L1116" s="65" t="n"/>
      <c r="M1116" s="65" t="n"/>
      <c r="N1116" s="65" t="n"/>
      <c r="O1116" s="65" t="n"/>
      <c r="P1116" s="65" t="n"/>
      <c r="Q1116" s="32">
        <f>IF($C1116="","",IF($J1116="","— חסרים נתונים",IF($J1116="טרם מפענח","פרופיל 5",IF($J1116="קמץ/פתח/חטף-פתח ושוואים","פרופיל 4",IF($J1116="2-3 סימני ניקוד","פרופיל 3",IF($J1116="4-5 סימני ניקוד","פרופיל 2",IF(AND($O1116="משפטים וקטעים קצרים",OR($M1116="מבין",$M1116="מבין לרוב")),"פרופיל 1","פרופיל 2")))))))</f>
        <v/>
      </c>
      <c r="R1116" s="32">
        <f>IF($C1116="","",IF(OR($Q1116="",LEFT($Q1116,1)="—"),"קבוצה רביעית",IF($Q1116="פרופיל 5","קבוצת תשתיות",IF(OR($Q1116="פרופיל 4",$Q1116="פרופיל 3"),"קבוצת רכישה","קבוצת ביסוס"))))</f>
        <v/>
      </c>
      <c r="S1116" s="32">
        <f>IF($F1116="","",IF($F1116="תחילת שנה",1,IF($F1116="מחצית שנה",2,3)))</f>
        <v/>
      </c>
      <c r="T1116" s="32">
        <f>IF(OR($B1116="",$R1116="",$A1116="",$F1116=""),"",$B1116&amp;"|"&amp;$A1116&amp;"|"&amp;$F1116&amp;"|"&amp;$R1116&amp;"|"&amp;COUNTIFS($B$6:$B1116,$B1116,$A$6:$A1116,$A1116,$F$6:$F1116,$F1116,$R$6:$R1116,$R1116))</f>
        <v/>
      </c>
      <c r="U1116" s="32">
        <f>IF($C1116="","",$C1116&amp;"|"&amp;COUNTIFS($C$6:$C1116,$C1116))</f>
        <v/>
      </c>
      <c r="V1116" s="32">
        <f>IF(OR($C1116="",$A1116="",$S1116=""),"",$C1116&amp;"|"&amp;$A1116&amp;"|"&amp;$S1116)</f>
        <v/>
      </c>
      <c r="W1116" s="32">
        <f>IF(OR($C1116="",$S1116="",$S1116=1),"",IFERROR(INDEX($Q$6:$Q$1505,MATCH($C1116&amp;"|"&amp;$A1116&amp;"|"&amp;($S1116-1),$V$6:$V$1505,0)),""))</f>
        <v/>
      </c>
      <c r="X1116" s="32">
        <f>IF(OR($W1116="",$Q1116="",LEFT($Q1116,1)="—"),"",IF($W1116=$Q1116,"ללא שינוי","מ-"&amp;$W1116&amp;" ל-"&amp;$Q1116))</f>
        <v/>
      </c>
    </row>
    <row r="1117">
      <c r="A1117" s="65" t="n"/>
      <c r="B1117" s="65" t="n"/>
      <c r="C1117" s="66" t="n"/>
      <c r="D1117" s="66" t="n"/>
      <c r="E1117" s="65" t="n"/>
      <c r="F1117" s="65" t="n"/>
      <c r="G1117" s="65" t="n"/>
      <c r="H1117" s="65" t="n"/>
      <c r="I1117" s="65" t="n"/>
      <c r="J1117" s="65" t="n"/>
      <c r="K1117" s="65" t="n"/>
      <c r="L1117" s="65" t="n"/>
      <c r="M1117" s="65" t="n"/>
      <c r="N1117" s="65" t="n"/>
      <c r="O1117" s="65" t="n"/>
      <c r="P1117" s="65" t="n"/>
      <c r="Q1117" s="32">
        <f>IF($C1117="","",IF($J1117="","— חסרים נתונים",IF($J1117="טרם מפענח","פרופיל 5",IF($J1117="קמץ/פתח/חטף-פתח ושוואים","פרופיל 4",IF($J1117="2-3 סימני ניקוד","פרופיל 3",IF($J1117="4-5 סימני ניקוד","פרופיל 2",IF(AND($O1117="משפטים וקטעים קצרים",OR($M1117="מבין",$M1117="מבין לרוב")),"פרופיל 1","פרופיל 2")))))))</f>
        <v/>
      </c>
      <c r="R1117" s="32">
        <f>IF($C1117="","",IF(OR($Q1117="",LEFT($Q1117,1)="—"),"קבוצה רביעית",IF($Q1117="פרופיל 5","קבוצת תשתיות",IF(OR($Q1117="פרופיל 4",$Q1117="פרופיל 3"),"קבוצת רכישה","קבוצת ביסוס"))))</f>
        <v/>
      </c>
      <c r="S1117" s="32">
        <f>IF($F1117="","",IF($F1117="תחילת שנה",1,IF($F1117="מחצית שנה",2,3)))</f>
        <v/>
      </c>
      <c r="T1117" s="32">
        <f>IF(OR($B1117="",$R1117="",$A1117="",$F1117=""),"",$B1117&amp;"|"&amp;$A1117&amp;"|"&amp;$F1117&amp;"|"&amp;$R1117&amp;"|"&amp;COUNTIFS($B$6:$B1117,$B1117,$A$6:$A1117,$A1117,$F$6:$F1117,$F1117,$R$6:$R1117,$R1117))</f>
        <v/>
      </c>
      <c r="U1117" s="32">
        <f>IF($C1117="","",$C1117&amp;"|"&amp;COUNTIFS($C$6:$C1117,$C1117))</f>
        <v/>
      </c>
      <c r="V1117" s="32">
        <f>IF(OR($C1117="",$A1117="",$S1117=""),"",$C1117&amp;"|"&amp;$A1117&amp;"|"&amp;$S1117)</f>
        <v/>
      </c>
      <c r="W1117" s="32">
        <f>IF(OR($C1117="",$S1117="",$S1117=1),"",IFERROR(INDEX($Q$6:$Q$1505,MATCH($C1117&amp;"|"&amp;$A1117&amp;"|"&amp;($S1117-1),$V$6:$V$1505,0)),""))</f>
        <v/>
      </c>
      <c r="X1117" s="32">
        <f>IF(OR($W1117="",$Q1117="",LEFT($Q1117,1)="—"),"",IF($W1117=$Q1117,"ללא שינוי","מ-"&amp;$W1117&amp;" ל-"&amp;$Q1117))</f>
        <v/>
      </c>
    </row>
    <row r="1118">
      <c r="A1118" s="65" t="n"/>
      <c r="B1118" s="65" t="n"/>
      <c r="C1118" s="66" t="n"/>
      <c r="D1118" s="66" t="n"/>
      <c r="E1118" s="65" t="n"/>
      <c r="F1118" s="65" t="n"/>
      <c r="G1118" s="65" t="n"/>
      <c r="H1118" s="65" t="n"/>
      <c r="I1118" s="65" t="n"/>
      <c r="J1118" s="65" t="n"/>
      <c r="K1118" s="65" t="n"/>
      <c r="L1118" s="65" t="n"/>
      <c r="M1118" s="65" t="n"/>
      <c r="N1118" s="65" t="n"/>
      <c r="O1118" s="65" t="n"/>
      <c r="P1118" s="65" t="n"/>
      <c r="Q1118" s="32">
        <f>IF($C1118="","",IF($J1118="","— חסרים נתונים",IF($J1118="טרם מפענח","פרופיל 5",IF($J1118="קמץ/פתח/חטף-פתח ושוואים","פרופיל 4",IF($J1118="2-3 סימני ניקוד","פרופיל 3",IF($J1118="4-5 סימני ניקוד","פרופיל 2",IF(AND($O1118="משפטים וקטעים קצרים",OR($M1118="מבין",$M1118="מבין לרוב")),"פרופיל 1","פרופיל 2")))))))</f>
        <v/>
      </c>
      <c r="R1118" s="32">
        <f>IF($C1118="","",IF(OR($Q1118="",LEFT($Q1118,1)="—"),"קבוצה רביעית",IF($Q1118="פרופיל 5","קבוצת תשתיות",IF(OR($Q1118="פרופיל 4",$Q1118="פרופיל 3"),"קבוצת רכישה","קבוצת ביסוס"))))</f>
        <v/>
      </c>
      <c r="S1118" s="32">
        <f>IF($F1118="","",IF($F1118="תחילת שנה",1,IF($F1118="מחצית שנה",2,3)))</f>
        <v/>
      </c>
      <c r="T1118" s="32">
        <f>IF(OR($B1118="",$R1118="",$A1118="",$F1118=""),"",$B1118&amp;"|"&amp;$A1118&amp;"|"&amp;$F1118&amp;"|"&amp;$R1118&amp;"|"&amp;COUNTIFS($B$6:$B1118,$B1118,$A$6:$A1118,$A1118,$F$6:$F1118,$F1118,$R$6:$R1118,$R1118))</f>
        <v/>
      </c>
      <c r="U1118" s="32">
        <f>IF($C1118="","",$C1118&amp;"|"&amp;COUNTIFS($C$6:$C1118,$C1118))</f>
        <v/>
      </c>
      <c r="V1118" s="32">
        <f>IF(OR($C1118="",$A1118="",$S1118=""),"",$C1118&amp;"|"&amp;$A1118&amp;"|"&amp;$S1118)</f>
        <v/>
      </c>
      <c r="W1118" s="32">
        <f>IF(OR($C1118="",$S1118="",$S1118=1),"",IFERROR(INDEX($Q$6:$Q$1505,MATCH($C1118&amp;"|"&amp;$A1118&amp;"|"&amp;($S1118-1),$V$6:$V$1505,0)),""))</f>
        <v/>
      </c>
      <c r="X1118" s="32">
        <f>IF(OR($W1118="",$Q1118="",LEFT($Q1118,1)="—"),"",IF($W1118=$Q1118,"ללא שינוי","מ-"&amp;$W1118&amp;" ל-"&amp;$Q1118))</f>
        <v/>
      </c>
    </row>
    <row r="1119">
      <c r="A1119" s="65" t="n"/>
      <c r="B1119" s="65" t="n"/>
      <c r="C1119" s="66" t="n"/>
      <c r="D1119" s="66" t="n"/>
      <c r="E1119" s="65" t="n"/>
      <c r="F1119" s="65" t="n"/>
      <c r="G1119" s="65" t="n"/>
      <c r="H1119" s="65" t="n"/>
      <c r="I1119" s="65" t="n"/>
      <c r="J1119" s="65" t="n"/>
      <c r="K1119" s="65" t="n"/>
      <c r="L1119" s="65" t="n"/>
      <c r="M1119" s="65" t="n"/>
      <c r="N1119" s="65" t="n"/>
      <c r="O1119" s="65" t="n"/>
      <c r="P1119" s="65" t="n"/>
      <c r="Q1119" s="32">
        <f>IF($C1119="","",IF($J1119="","— חסרים נתונים",IF($J1119="טרם מפענח","פרופיל 5",IF($J1119="קמץ/פתח/חטף-פתח ושוואים","פרופיל 4",IF($J1119="2-3 סימני ניקוד","פרופיל 3",IF($J1119="4-5 סימני ניקוד","פרופיל 2",IF(AND($O1119="משפטים וקטעים קצרים",OR($M1119="מבין",$M1119="מבין לרוב")),"פרופיל 1","פרופיל 2")))))))</f>
        <v/>
      </c>
      <c r="R1119" s="32">
        <f>IF($C1119="","",IF(OR($Q1119="",LEFT($Q1119,1)="—"),"קבוצה רביעית",IF($Q1119="פרופיל 5","קבוצת תשתיות",IF(OR($Q1119="פרופיל 4",$Q1119="פרופיל 3"),"קבוצת רכישה","קבוצת ביסוס"))))</f>
        <v/>
      </c>
      <c r="S1119" s="32">
        <f>IF($F1119="","",IF($F1119="תחילת שנה",1,IF($F1119="מחצית שנה",2,3)))</f>
        <v/>
      </c>
      <c r="T1119" s="32">
        <f>IF(OR($B1119="",$R1119="",$A1119="",$F1119=""),"",$B1119&amp;"|"&amp;$A1119&amp;"|"&amp;$F1119&amp;"|"&amp;$R1119&amp;"|"&amp;COUNTIFS($B$6:$B1119,$B1119,$A$6:$A1119,$A1119,$F$6:$F1119,$F1119,$R$6:$R1119,$R1119))</f>
        <v/>
      </c>
      <c r="U1119" s="32">
        <f>IF($C1119="","",$C1119&amp;"|"&amp;COUNTIFS($C$6:$C1119,$C1119))</f>
        <v/>
      </c>
      <c r="V1119" s="32">
        <f>IF(OR($C1119="",$A1119="",$S1119=""),"",$C1119&amp;"|"&amp;$A1119&amp;"|"&amp;$S1119)</f>
        <v/>
      </c>
      <c r="W1119" s="32">
        <f>IF(OR($C1119="",$S1119="",$S1119=1),"",IFERROR(INDEX($Q$6:$Q$1505,MATCH($C1119&amp;"|"&amp;$A1119&amp;"|"&amp;($S1119-1),$V$6:$V$1505,0)),""))</f>
        <v/>
      </c>
      <c r="X1119" s="32">
        <f>IF(OR($W1119="",$Q1119="",LEFT($Q1119,1)="—"),"",IF($W1119=$Q1119,"ללא שינוי","מ-"&amp;$W1119&amp;" ל-"&amp;$Q1119))</f>
        <v/>
      </c>
    </row>
    <row r="1120">
      <c r="A1120" s="65" t="n"/>
      <c r="B1120" s="65" t="n"/>
      <c r="C1120" s="66" t="n"/>
      <c r="D1120" s="66" t="n"/>
      <c r="E1120" s="65" t="n"/>
      <c r="F1120" s="65" t="n"/>
      <c r="G1120" s="65" t="n"/>
      <c r="H1120" s="65" t="n"/>
      <c r="I1120" s="65" t="n"/>
      <c r="J1120" s="65" t="n"/>
      <c r="K1120" s="65" t="n"/>
      <c r="L1120" s="65" t="n"/>
      <c r="M1120" s="65" t="n"/>
      <c r="N1120" s="65" t="n"/>
      <c r="O1120" s="65" t="n"/>
      <c r="P1120" s="65" t="n"/>
      <c r="Q1120" s="32">
        <f>IF($C1120="","",IF($J1120="","— חסרים נתונים",IF($J1120="טרם מפענח","פרופיל 5",IF($J1120="קמץ/פתח/חטף-פתח ושוואים","פרופיל 4",IF($J1120="2-3 סימני ניקוד","פרופיל 3",IF($J1120="4-5 סימני ניקוד","פרופיל 2",IF(AND($O1120="משפטים וקטעים קצרים",OR($M1120="מבין",$M1120="מבין לרוב")),"פרופיל 1","פרופיל 2")))))))</f>
        <v/>
      </c>
      <c r="R1120" s="32">
        <f>IF($C1120="","",IF(OR($Q1120="",LEFT($Q1120,1)="—"),"קבוצה רביעית",IF($Q1120="פרופיל 5","קבוצת תשתיות",IF(OR($Q1120="פרופיל 4",$Q1120="פרופיל 3"),"קבוצת רכישה","קבוצת ביסוס"))))</f>
        <v/>
      </c>
      <c r="S1120" s="32">
        <f>IF($F1120="","",IF($F1120="תחילת שנה",1,IF($F1120="מחצית שנה",2,3)))</f>
        <v/>
      </c>
      <c r="T1120" s="32">
        <f>IF(OR($B1120="",$R1120="",$A1120="",$F1120=""),"",$B1120&amp;"|"&amp;$A1120&amp;"|"&amp;$F1120&amp;"|"&amp;$R1120&amp;"|"&amp;COUNTIFS($B$6:$B1120,$B1120,$A$6:$A1120,$A1120,$F$6:$F1120,$F1120,$R$6:$R1120,$R1120))</f>
        <v/>
      </c>
      <c r="U1120" s="32">
        <f>IF($C1120="","",$C1120&amp;"|"&amp;COUNTIFS($C$6:$C1120,$C1120))</f>
        <v/>
      </c>
      <c r="V1120" s="32">
        <f>IF(OR($C1120="",$A1120="",$S1120=""),"",$C1120&amp;"|"&amp;$A1120&amp;"|"&amp;$S1120)</f>
        <v/>
      </c>
      <c r="W1120" s="32">
        <f>IF(OR($C1120="",$S1120="",$S1120=1),"",IFERROR(INDEX($Q$6:$Q$1505,MATCH($C1120&amp;"|"&amp;$A1120&amp;"|"&amp;($S1120-1),$V$6:$V$1505,0)),""))</f>
        <v/>
      </c>
      <c r="X1120" s="32">
        <f>IF(OR($W1120="",$Q1120="",LEFT($Q1120,1)="—"),"",IF($W1120=$Q1120,"ללא שינוי","מ-"&amp;$W1120&amp;" ל-"&amp;$Q1120))</f>
        <v/>
      </c>
    </row>
    <row r="1121">
      <c r="A1121" s="65" t="n"/>
      <c r="B1121" s="65" t="n"/>
      <c r="C1121" s="66" t="n"/>
      <c r="D1121" s="66" t="n"/>
      <c r="E1121" s="65" t="n"/>
      <c r="F1121" s="65" t="n"/>
      <c r="G1121" s="65" t="n"/>
      <c r="H1121" s="65" t="n"/>
      <c r="I1121" s="65" t="n"/>
      <c r="J1121" s="65" t="n"/>
      <c r="K1121" s="65" t="n"/>
      <c r="L1121" s="65" t="n"/>
      <c r="M1121" s="65" t="n"/>
      <c r="N1121" s="65" t="n"/>
      <c r="O1121" s="65" t="n"/>
      <c r="P1121" s="65" t="n"/>
      <c r="Q1121" s="32">
        <f>IF($C1121="","",IF($J1121="","— חסרים נתונים",IF($J1121="טרם מפענח","פרופיל 5",IF($J1121="קמץ/פתח/חטף-פתח ושוואים","פרופיל 4",IF($J1121="2-3 סימני ניקוד","פרופיל 3",IF($J1121="4-5 סימני ניקוד","פרופיל 2",IF(AND($O1121="משפטים וקטעים קצרים",OR($M1121="מבין",$M1121="מבין לרוב")),"פרופיל 1","פרופיל 2")))))))</f>
        <v/>
      </c>
      <c r="R1121" s="32">
        <f>IF($C1121="","",IF(OR($Q1121="",LEFT($Q1121,1)="—"),"קבוצה רביעית",IF($Q1121="פרופיל 5","קבוצת תשתיות",IF(OR($Q1121="פרופיל 4",$Q1121="פרופיל 3"),"קבוצת רכישה","קבוצת ביסוס"))))</f>
        <v/>
      </c>
      <c r="S1121" s="32">
        <f>IF($F1121="","",IF($F1121="תחילת שנה",1,IF($F1121="מחצית שנה",2,3)))</f>
        <v/>
      </c>
      <c r="T1121" s="32">
        <f>IF(OR($B1121="",$R1121="",$A1121="",$F1121=""),"",$B1121&amp;"|"&amp;$A1121&amp;"|"&amp;$F1121&amp;"|"&amp;$R1121&amp;"|"&amp;COUNTIFS($B$6:$B1121,$B1121,$A$6:$A1121,$A1121,$F$6:$F1121,$F1121,$R$6:$R1121,$R1121))</f>
        <v/>
      </c>
      <c r="U1121" s="32">
        <f>IF($C1121="","",$C1121&amp;"|"&amp;COUNTIFS($C$6:$C1121,$C1121))</f>
        <v/>
      </c>
      <c r="V1121" s="32">
        <f>IF(OR($C1121="",$A1121="",$S1121=""),"",$C1121&amp;"|"&amp;$A1121&amp;"|"&amp;$S1121)</f>
        <v/>
      </c>
      <c r="W1121" s="32">
        <f>IF(OR($C1121="",$S1121="",$S1121=1),"",IFERROR(INDEX($Q$6:$Q$1505,MATCH($C1121&amp;"|"&amp;$A1121&amp;"|"&amp;($S1121-1),$V$6:$V$1505,0)),""))</f>
        <v/>
      </c>
      <c r="X1121" s="32">
        <f>IF(OR($W1121="",$Q1121="",LEFT($Q1121,1)="—"),"",IF($W1121=$Q1121,"ללא שינוי","מ-"&amp;$W1121&amp;" ל-"&amp;$Q1121))</f>
        <v/>
      </c>
    </row>
    <row r="1122">
      <c r="A1122" s="65" t="n"/>
      <c r="B1122" s="65" t="n"/>
      <c r="C1122" s="66" t="n"/>
      <c r="D1122" s="66" t="n"/>
      <c r="E1122" s="65" t="n"/>
      <c r="F1122" s="65" t="n"/>
      <c r="G1122" s="65" t="n"/>
      <c r="H1122" s="65" t="n"/>
      <c r="I1122" s="65" t="n"/>
      <c r="J1122" s="65" t="n"/>
      <c r="K1122" s="65" t="n"/>
      <c r="L1122" s="65" t="n"/>
      <c r="M1122" s="65" t="n"/>
      <c r="N1122" s="65" t="n"/>
      <c r="O1122" s="65" t="n"/>
      <c r="P1122" s="65" t="n"/>
      <c r="Q1122" s="32">
        <f>IF($C1122="","",IF($J1122="","— חסרים נתונים",IF($J1122="טרם מפענח","פרופיל 5",IF($J1122="קמץ/פתח/חטף-פתח ושוואים","פרופיל 4",IF($J1122="2-3 סימני ניקוד","פרופיל 3",IF($J1122="4-5 סימני ניקוד","פרופיל 2",IF(AND($O1122="משפטים וקטעים קצרים",OR($M1122="מבין",$M1122="מבין לרוב")),"פרופיל 1","פרופיל 2")))))))</f>
        <v/>
      </c>
      <c r="R1122" s="32">
        <f>IF($C1122="","",IF(OR($Q1122="",LEFT($Q1122,1)="—"),"קבוצה רביעית",IF($Q1122="פרופיל 5","קבוצת תשתיות",IF(OR($Q1122="פרופיל 4",$Q1122="פרופיל 3"),"קבוצת רכישה","קבוצת ביסוס"))))</f>
        <v/>
      </c>
      <c r="S1122" s="32">
        <f>IF($F1122="","",IF($F1122="תחילת שנה",1,IF($F1122="מחצית שנה",2,3)))</f>
        <v/>
      </c>
      <c r="T1122" s="32">
        <f>IF(OR($B1122="",$R1122="",$A1122="",$F1122=""),"",$B1122&amp;"|"&amp;$A1122&amp;"|"&amp;$F1122&amp;"|"&amp;$R1122&amp;"|"&amp;COUNTIFS($B$6:$B1122,$B1122,$A$6:$A1122,$A1122,$F$6:$F1122,$F1122,$R$6:$R1122,$R1122))</f>
        <v/>
      </c>
      <c r="U1122" s="32">
        <f>IF($C1122="","",$C1122&amp;"|"&amp;COUNTIFS($C$6:$C1122,$C1122))</f>
        <v/>
      </c>
      <c r="V1122" s="32">
        <f>IF(OR($C1122="",$A1122="",$S1122=""),"",$C1122&amp;"|"&amp;$A1122&amp;"|"&amp;$S1122)</f>
        <v/>
      </c>
      <c r="W1122" s="32">
        <f>IF(OR($C1122="",$S1122="",$S1122=1),"",IFERROR(INDEX($Q$6:$Q$1505,MATCH($C1122&amp;"|"&amp;$A1122&amp;"|"&amp;($S1122-1),$V$6:$V$1505,0)),""))</f>
        <v/>
      </c>
      <c r="X1122" s="32">
        <f>IF(OR($W1122="",$Q1122="",LEFT($Q1122,1)="—"),"",IF($W1122=$Q1122,"ללא שינוי","מ-"&amp;$W1122&amp;" ל-"&amp;$Q1122))</f>
        <v/>
      </c>
    </row>
    <row r="1123">
      <c r="A1123" s="65" t="n"/>
      <c r="B1123" s="65" t="n"/>
      <c r="C1123" s="66" t="n"/>
      <c r="D1123" s="66" t="n"/>
      <c r="E1123" s="65" t="n"/>
      <c r="F1123" s="65" t="n"/>
      <c r="G1123" s="65" t="n"/>
      <c r="H1123" s="65" t="n"/>
      <c r="I1123" s="65" t="n"/>
      <c r="J1123" s="65" t="n"/>
      <c r="K1123" s="65" t="n"/>
      <c r="L1123" s="65" t="n"/>
      <c r="M1123" s="65" t="n"/>
      <c r="N1123" s="65" t="n"/>
      <c r="O1123" s="65" t="n"/>
      <c r="P1123" s="65" t="n"/>
      <c r="Q1123" s="32">
        <f>IF($C1123="","",IF($J1123="","— חסרים נתונים",IF($J1123="טרם מפענח","פרופיל 5",IF($J1123="קמץ/פתח/חטף-פתח ושוואים","פרופיל 4",IF($J1123="2-3 סימני ניקוד","פרופיל 3",IF($J1123="4-5 סימני ניקוד","פרופיל 2",IF(AND($O1123="משפטים וקטעים קצרים",OR($M1123="מבין",$M1123="מבין לרוב")),"פרופיל 1","פרופיל 2")))))))</f>
        <v/>
      </c>
      <c r="R1123" s="32">
        <f>IF($C1123="","",IF(OR($Q1123="",LEFT($Q1123,1)="—"),"קבוצה רביעית",IF($Q1123="פרופיל 5","קבוצת תשתיות",IF(OR($Q1123="פרופיל 4",$Q1123="פרופיל 3"),"קבוצת רכישה","קבוצת ביסוס"))))</f>
        <v/>
      </c>
      <c r="S1123" s="32">
        <f>IF($F1123="","",IF($F1123="תחילת שנה",1,IF($F1123="מחצית שנה",2,3)))</f>
        <v/>
      </c>
      <c r="T1123" s="32">
        <f>IF(OR($B1123="",$R1123="",$A1123="",$F1123=""),"",$B1123&amp;"|"&amp;$A1123&amp;"|"&amp;$F1123&amp;"|"&amp;$R1123&amp;"|"&amp;COUNTIFS($B$6:$B1123,$B1123,$A$6:$A1123,$A1123,$F$6:$F1123,$F1123,$R$6:$R1123,$R1123))</f>
        <v/>
      </c>
      <c r="U1123" s="32">
        <f>IF($C1123="","",$C1123&amp;"|"&amp;COUNTIFS($C$6:$C1123,$C1123))</f>
        <v/>
      </c>
      <c r="V1123" s="32">
        <f>IF(OR($C1123="",$A1123="",$S1123=""),"",$C1123&amp;"|"&amp;$A1123&amp;"|"&amp;$S1123)</f>
        <v/>
      </c>
      <c r="W1123" s="32">
        <f>IF(OR($C1123="",$S1123="",$S1123=1),"",IFERROR(INDEX($Q$6:$Q$1505,MATCH($C1123&amp;"|"&amp;$A1123&amp;"|"&amp;($S1123-1),$V$6:$V$1505,0)),""))</f>
        <v/>
      </c>
      <c r="X1123" s="32">
        <f>IF(OR($W1123="",$Q1123="",LEFT($Q1123,1)="—"),"",IF($W1123=$Q1123,"ללא שינוי","מ-"&amp;$W1123&amp;" ל-"&amp;$Q1123))</f>
        <v/>
      </c>
    </row>
    <row r="1124">
      <c r="A1124" s="65" t="n"/>
      <c r="B1124" s="65" t="n"/>
      <c r="C1124" s="66" t="n"/>
      <c r="D1124" s="66" t="n"/>
      <c r="E1124" s="65" t="n"/>
      <c r="F1124" s="65" t="n"/>
      <c r="G1124" s="65" t="n"/>
      <c r="H1124" s="65" t="n"/>
      <c r="I1124" s="65" t="n"/>
      <c r="J1124" s="65" t="n"/>
      <c r="K1124" s="65" t="n"/>
      <c r="L1124" s="65" t="n"/>
      <c r="M1124" s="65" t="n"/>
      <c r="N1124" s="65" t="n"/>
      <c r="O1124" s="65" t="n"/>
      <c r="P1124" s="65" t="n"/>
      <c r="Q1124" s="32">
        <f>IF($C1124="","",IF($J1124="","— חסרים נתונים",IF($J1124="טרם מפענח","פרופיל 5",IF($J1124="קמץ/פתח/חטף-פתח ושוואים","פרופיל 4",IF($J1124="2-3 סימני ניקוד","פרופיל 3",IF($J1124="4-5 סימני ניקוד","פרופיל 2",IF(AND($O1124="משפטים וקטעים קצרים",OR($M1124="מבין",$M1124="מבין לרוב")),"פרופיל 1","פרופיל 2")))))))</f>
        <v/>
      </c>
      <c r="R1124" s="32">
        <f>IF($C1124="","",IF(OR($Q1124="",LEFT($Q1124,1)="—"),"קבוצה רביעית",IF($Q1124="פרופיל 5","קבוצת תשתיות",IF(OR($Q1124="פרופיל 4",$Q1124="פרופיל 3"),"קבוצת רכישה","קבוצת ביסוס"))))</f>
        <v/>
      </c>
      <c r="S1124" s="32">
        <f>IF($F1124="","",IF($F1124="תחילת שנה",1,IF($F1124="מחצית שנה",2,3)))</f>
        <v/>
      </c>
      <c r="T1124" s="32">
        <f>IF(OR($B1124="",$R1124="",$A1124="",$F1124=""),"",$B1124&amp;"|"&amp;$A1124&amp;"|"&amp;$F1124&amp;"|"&amp;$R1124&amp;"|"&amp;COUNTIFS($B$6:$B1124,$B1124,$A$6:$A1124,$A1124,$F$6:$F1124,$F1124,$R$6:$R1124,$R1124))</f>
        <v/>
      </c>
      <c r="U1124" s="32">
        <f>IF($C1124="","",$C1124&amp;"|"&amp;COUNTIFS($C$6:$C1124,$C1124))</f>
        <v/>
      </c>
      <c r="V1124" s="32">
        <f>IF(OR($C1124="",$A1124="",$S1124=""),"",$C1124&amp;"|"&amp;$A1124&amp;"|"&amp;$S1124)</f>
        <v/>
      </c>
      <c r="W1124" s="32">
        <f>IF(OR($C1124="",$S1124="",$S1124=1),"",IFERROR(INDEX($Q$6:$Q$1505,MATCH($C1124&amp;"|"&amp;$A1124&amp;"|"&amp;($S1124-1),$V$6:$V$1505,0)),""))</f>
        <v/>
      </c>
      <c r="X1124" s="32">
        <f>IF(OR($W1124="",$Q1124="",LEFT($Q1124,1)="—"),"",IF($W1124=$Q1124,"ללא שינוי","מ-"&amp;$W1124&amp;" ל-"&amp;$Q1124))</f>
        <v/>
      </c>
    </row>
    <row r="1125">
      <c r="A1125" s="65" t="n"/>
      <c r="B1125" s="65" t="n"/>
      <c r="C1125" s="66" t="n"/>
      <c r="D1125" s="66" t="n"/>
      <c r="E1125" s="65" t="n"/>
      <c r="F1125" s="65" t="n"/>
      <c r="G1125" s="65" t="n"/>
      <c r="H1125" s="65" t="n"/>
      <c r="I1125" s="65" t="n"/>
      <c r="J1125" s="65" t="n"/>
      <c r="K1125" s="65" t="n"/>
      <c r="L1125" s="65" t="n"/>
      <c r="M1125" s="65" t="n"/>
      <c r="N1125" s="65" t="n"/>
      <c r="O1125" s="65" t="n"/>
      <c r="P1125" s="65" t="n"/>
      <c r="Q1125" s="32">
        <f>IF($C1125="","",IF($J1125="","— חסרים נתונים",IF($J1125="טרם מפענח","פרופיל 5",IF($J1125="קמץ/פתח/חטף-פתח ושוואים","פרופיל 4",IF($J1125="2-3 סימני ניקוד","פרופיל 3",IF($J1125="4-5 סימני ניקוד","פרופיל 2",IF(AND($O1125="משפטים וקטעים קצרים",OR($M1125="מבין",$M1125="מבין לרוב")),"פרופיל 1","פרופיל 2")))))))</f>
        <v/>
      </c>
      <c r="R1125" s="32">
        <f>IF($C1125="","",IF(OR($Q1125="",LEFT($Q1125,1)="—"),"קבוצה רביעית",IF($Q1125="פרופיל 5","קבוצת תשתיות",IF(OR($Q1125="פרופיל 4",$Q1125="פרופיל 3"),"קבוצת רכישה","קבוצת ביסוס"))))</f>
        <v/>
      </c>
      <c r="S1125" s="32">
        <f>IF($F1125="","",IF($F1125="תחילת שנה",1,IF($F1125="מחצית שנה",2,3)))</f>
        <v/>
      </c>
      <c r="T1125" s="32">
        <f>IF(OR($B1125="",$R1125="",$A1125="",$F1125=""),"",$B1125&amp;"|"&amp;$A1125&amp;"|"&amp;$F1125&amp;"|"&amp;$R1125&amp;"|"&amp;COUNTIFS($B$6:$B1125,$B1125,$A$6:$A1125,$A1125,$F$6:$F1125,$F1125,$R$6:$R1125,$R1125))</f>
        <v/>
      </c>
      <c r="U1125" s="32">
        <f>IF($C1125="","",$C1125&amp;"|"&amp;COUNTIFS($C$6:$C1125,$C1125))</f>
        <v/>
      </c>
      <c r="V1125" s="32">
        <f>IF(OR($C1125="",$A1125="",$S1125=""),"",$C1125&amp;"|"&amp;$A1125&amp;"|"&amp;$S1125)</f>
        <v/>
      </c>
      <c r="W1125" s="32">
        <f>IF(OR($C1125="",$S1125="",$S1125=1),"",IFERROR(INDEX($Q$6:$Q$1505,MATCH($C1125&amp;"|"&amp;$A1125&amp;"|"&amp;($S1125-1),$V$6:$V$1505,0)),""))</f>
        <v/>
      </c>
      <c r="X1125" s="32">
        <f>IF(OR($W1125="",$Q1125="",LEFT($Q1125,1)="—"),"",IF($W1125=$Q1125,"ללא שינוי","מ-"&amp;$W1125&amp;" ל-"&amp;$Q1125))</f>
        <v/>
      </c>
    </row>
    <row r="1126">
      <c r="A1126" s="65" t="n"/>
      <c r="B1126" s="65" t="n"/>
      <c r="C1126" s="66" t="n"/>
      <c r="D1126" s="66" t="n"/>
      <c r="E1126" s="65" t="n"/>
      <c r="F1126" s="65" t="n"/>
      <c r="G1126" s="65" t="n"/>
      <c r="H1126" s="65" t="n"/>
      <c r="I1126" s="65" t="n"/>
      <c r="J1126" s="65" t="n"/>
      <c r="K1126" s="65" t="n"/>
      <c r="L1126" s="65" t="n"/>
      <c r="M1126" s="65" t="n"/>
      <c r="N1126" s="65" t="n"/>
      <c r="O1126" s="65" t="n"/>
      <c r="P1126" s="65" t="n"/>
      <c r="Q1126" s="32">
        <f>IF($C1126="","",IF($J1126="","— חסרים נתונים",IF($J1126="טרם מפענח","פרופיל 5",IF($J1126="קמץ/פתח/חטף-פתח ושוואים","פרופיל 4",IF($J1126="2-3 סימני ניקוד","פרופיל 3",IF($J1126="4-5 סימני ניקוד","פרופיל 2",IF(AND($O1126="משפטים וקטעים קצרים",OR($M1126="מבין",$M1126="מבין לרוב")),"פרופיל 1","פרופיל 2")))))))</f>
        <v/>
      </c>
      <c r="R1126" s="32">
        <f>IF($C1126="","",IF(OR($Q1126="",LEFT($Q1126,1)="—"),"קבוצה רביעית",IF($Q1126="פרופיל 5","קבוצת תשתיות",IF(OR($Q1126="פרופיל 4",$Q1126="פרופיל 3"),"קבוצת רכישה","קבוצת ביסוס"))))</f>
        <v/>
      </c>
      <c r="S1126" s="32">
        <f>IF($F1126="","",IF($F1126="תחילת שנה",1,IF($F1126="מחצית שנה",2,3)))</f>
        <v/>
      </c>
      <c r="T1126" s="32">
        <f>IF(OR($B1126="",$R1126="",$A1126="",$F1126=""),"",$B1126&amp;"|"&amp;$A1126&amp;"|"&amp;$F1126&amp;"|"&amp;$R1126&amp;"|"&amp;COUNTIFS($B$6:$B1126,$B1126,$A$6:$A1126,$A1126,$F$6:$F1126,$F1126,$R$6:$R1126,$R1126))</f>
        <v/>
      </c>
      <c r="U1126" s="32">
        <f>IF($C1126="","",$C1126&amp;"|"&amp;COUNTIFS($C$6:$C1126,$C1126))</f>
        <v/>
      </c>
      <c r="V1126" s="32">
        <f>IF(OR($C1126="",$A1126="",$S1126=""),"",$C1126&amp;"|"&amp;$A1126&amp;"|"&amp;$S1126)</f>
        <v/>
      </c>
      <c r="W1126" s="32">
        <f>IF(OR($C1126="",$S1126="",$S1126=1),"",IFERROR(INDEX($Q$6:$Q$1505,MATCH($C1126&amp;"|"&amp;$A1126&amp;"|"&amp;($S1126-1),$V$6:$V$1505,0)),""))</f>
        <v/>
      </c>
      <c r="X1126" s="32">
        <f>IF(OR($W1126="",$Q1126="",LEFT($Q1126,1)="—"),"",IF($W1126=$Q1126,"ללא שינוי","מ-"&amp;$W1126&amp;" ל-"&amp;$Q1126))</f>
        <v/>
      </c>
    </row>
    <row r="1127">
      <c r="A1127" s="65" t="n"/>
      <c r="B1127" s="65" t="n"/>
      <c r="C1127" s="66" t="n"/>
      <c r="D1127" s="66" t="n"/>
      <c r="E1127" s="65" t="n"/>
      <c r="F1127" s="65" t="n"/>
      <c r="G1127" s="65" t="n"/>
      <c r="H1127" s="65" t="n"/>
      <c r="I1127" s="65" t="n"/>
      <c r="J1127" s="65" t="n"/>
      <c r="K1127" s="65" t="n"/>
      <c r="L1127" s="65" t="n"/>
      <c r="M1127" s="65" t="n"/>
      <c r="N1127" s="65" t="n"/>
      <c r="O1127" s="65" t="n"/>
      <c r="P1127" s="65" t="n"/>
      <c r="Q1127" s="32">
        <f>IF($C1127="","",IF($J1127="","— חסרים נתונים",IF($J1127="טרם מפענח","פרופיל 5",IF($J1127="קמץ/פתח/חטף-פתח ושוואים","פרופיל 4",IF($J1127="2-3 סימני ניקוד","פרופיל 3",IF($J1127="4-5 סימני ניקוד","פרופיל 2",IF(AND($O1127="משפטים וקטעים קצרים",OR($M1127="מבין",$M1127="מבין לרוב")),"פרופיל 1","פרופיל 2")))))))</f>
        <v/>
      </c>
      <c r="R1127" s="32">
        <f>IF($C1127="","",IF(OR($Q1127="",LEFT($Q1127,1)="—"),"קבוצה רביעית",IF($Q1127="פרופיל 5","קבוצת תשתיות",IF(OR($Q1127="פרופיל 4",$Q1127="פרופיל 3"),"קבוצת רכישה","קבוצת ביסוס"))))</f>
        <v/>
      </c>
      <c r="S1127" s="32">
        <f>IF($F1127="","",IF($F1127="תחילת שנה",1,IF($F1127="מחצית שנה",2,3)))</f>
        <v/>
      </c>
      <c r="T1127" s="32">
        <f>IF(OR($B1127="",$R1127="",$A1127="",$F1127=""),"",$B1127&amp;"|"&amp;$A1127&amp;"|"&amp;$F1127&amp;"|"&amp;$R1127&amp;"|"&amp;COUNTIFS($B$6:$B1127,$B1127,$A$6:$A1127,$A1127,$F$6:$F1127,$F1127,$R$6:$R1127,$R1127))</f>
        <v/>
      </c>
      <c r="U1127" s="32">
        <f>IF($C1127="","",$C1127&amp;"|"&amp;COUNTIFS($C$6:$C1127,$C1127))</f>
        <v/>
      </c>
      <c r="V1127" s="32">
        <f>IF(OR($C1127="",$A1127="",$S1127=""),"",$C1127&amp;"|"&amp;$A1127&amp;"|"&amp;$S1127)</f>
        <v/>
      </c>
      <c r="W1127" s="32">
        <f>IF(OR($C1127="",$S1127="",$S1127=1),"",IFERROR(INDEX($Q$6:$Q$1505,MATCH($C1127&amp;"|"&amp;$A1127&amp;"|"&amp;($S1127-1),$V$6:$V$1505,0)),""))</f>
        <v/>
      </c>
      <c r="X1127" s="32">
        <f>IF(OR($W1127="",$Q1127="",LEFT($Q1127,1)="—"),"",IF($W1127=$Q1127,"ללא שינוי","מ-"&amp;$W1127&amp;" ל-"&amp;$Q1127))</f>
        <v/>
      </c>
    </row>
    <row r="1128">
      <c r="A1128" s="65" t="n"/>
      <c r="B1128" s="65" t="n"/>
      <c r="C1128" s="66" t="n"/>
      <c r="D1128" s="66" t="n"/>
      <c r="E1128" s="65" t="n"/>
      <c r="F1128" s="65" t="n"/>
      <c r="G1128" s="65" t="n"/>
      <c r="H1128" s="65" t="n"/>
      <c r="I1128" s="65" t="n"/>
      <c r="J1128" s="65" t="n"/>
      <c r="K1128" s="65" t="n"/>
      <c r="L1128" s="65" t="n"/>
      <c r="M1128" s="65" t="n"/>
      <c r="N1128" s="65" t="n"/>
      <c r="O1128" s="65" t="n"/>
      <c r="P1128" s="65" t="n"/>
      <c r="Q1128" s="32">
        <f>IF($C1128="","",IF($J1128="","— חסרים נתונים",IF($J1128="טרם מפענח","פרופיל 5",IF($J1128="קמץ/פתח/חטף-פתח ושוואים","פרופיל 4",IF($J1128="2-3 סימני ניקוד","פרופיל 3",IF($J1128="4-5 סימני ניקוד","פרופיל 2",IF(AND($O1128="משפטים וקטעים קצרים",OR($M1128="מבין",$M1128="מבין לרוב")),"פרופיל 1","פרופיל 2")))))))</f>
        <v/>
      </c>
      <c r="R1128" s="32">
        <f>IF($C1128="","",IF(OR($Q1128="",LEFT($Q1128,1)="—"),"קבוצה רביעית",IF($Q1128="פרופיל 5","קבוצת תשתיות",IF(OR($Q1128="פרופיל 4",$Q1128="פרופיל 3"),"קבוצת רכישה","קבוצת ביסוס"))))</f>
        <v/>
      </c>
      <c r="S1128" s="32">
        <f>IF($F1128="","",IF($F1128="תחילת שנה",1,IF($F1128="מחצית שנה",2,3)))</f>
        <v/>
      </c>
      <c r="T1128" s="32">
        <f>IF(OR($B1128="",$R1128="",$A1128="",$F1128=""),"",$B1128&amp;"|"&amp;$A1128&amp;"|"&amp;$F1128&amp;"|"&amp;$R1128&amp;"|"&amp;COUNTIFS($B$6:$B1128,$B1128,$A$6:$A1128,$A1128,$F$6:$F1128,$F1128,$R$6:$R1128,$R1128))</f>
        <v/>
      </c>
      <c r="U1128" s="32">
        <f>IF($C1128="","",$C1128&amp;"|"&amp;COUNTIFS($C$6:$C1128,$C1128))</f>
        <v/>
      </c>
      <c r="V1128" s="32">
        <f>IF(OR($C1128="",$A1128="",$S1128=""),"",$C1128&amp;"|"&amp;$A1128&amp;"|"&amp;$S1128)</f>
        <v/>
      </c>
      <c r="W1128" s="32">
        <f>IF(OR($C1128="",$S1128="",$S1128=1),"",IFERROR(INDEX($Q$6:$Q$1505,MATCH($C1128&amp;"|"&amp;$A1128&amp;"|"&amp;($S1128-1),$V$6:$V$1505,0)),""))</f>
        <v/>
      </c>
      <c r="X1128" s="32">
        <f>IF(OR($W1128="",$Q1128="",LEFT($Q1128,1)="—"),"",IF($W1128=$Q1128,"ללא שינוי","מ-"&amp;$W1128&amp;" ל-"&amp;$Q1128))</f>
        <v/>
      </c>
    </row>
    <row r="1129">
      <c r="A1129" s="65" t="n"/>
      <c r="B1129" s="65" t="n"/>
      <c r="C1129" s="66" t="n"/>
      <c r="D1129" s="66" t="n"/>
      <c r="E1129" s="65" t="n"/>
      <c r="F1129" s="65" t="n"/>
      <c r="G1129" s="65" t="n"/>
      <c r="H1129" s="65" t="n"/>
      <c r="I1129" s="65" t="n"/>
      <c r="J1129" s="65" t="n"/>
      <c r="K1129" s="65" t="n"/>
      <c r="L1129" s="65" t="n"/>
      <c r="M1129" s="65" t="n"/>
      <c r="N1129" s="65" t="n"/>
      <c r="O1129" s="65" t="n"/>
      <c r="P1129" s="65" t="n"/>
      <c r="Q1129" s="32">
        <f>IF($C1129="","",IF($J1129="","— חסרים נתונים",IF($J1129="טרם מפענח","פרופיל 5",IF($J1129="קמץ/פתח/חטף-פתח ושוואים","פרופיל 4",IF($J1129="2-3 סימני ניקוד","פרופיל 3",IF($J1129="4-5 סימני ניקוד","פרופיל 2",IF(AND($O1129="משפטים וקטעים קצרים",OR($M1129="מבין",$M1129="מבין לרוב")),"פרופיל 1","פרופיל 2")))))))</f>
        <v/>
      </c>
      <c r="R1129" s="32">
        <f>IF($C1129="","",IF(OR($Q1129="",LEFT($Q1129,1)="—"),"קבוצה רביעית",IF($Q1129="פרופיל 5","קבוצת תשתיות",IF(OR($Q1129="פרופיל 4",$Q1129="פרופיל 3"),"קבוצת רכישה","קבוצת ביסוס"))))</f>
        <v/>
      </c>
      <c r="S1129" s="32">
        <f>IF($F1129="","",IF($F1129="תחילת שנה",1,IF($F1129="מחצית שנה",2,3)))</f>
        <v/>
      </c>
      <c r="T1129" s="32">
        <f>IF(OR($B1129="",$R1129="",$A1129="",$F1129=""),"",$B1129&amp;"|"&amp;$A1129&amp;"|"&amp;$F1129&amp;"|"&amp;$R1129&amp;"|"&amp;COUNTIFS($B$6:$B1129,$B1129,$A$6:$A1129,$A1129,$F$6:$F1129,$F1129,$R$6:$R1129,$R1129))</f>
        <v/>
      </c>
      <c r="U1129" s="32">
        <f>IF($C1129="","",$C1129&amp;"|"&amp;COUNTIFS($C$6:$C1129,$C1129))</f>
        <v/>
      </c>
      <c r="V1129" s="32">
        <f>IF(OR($C1129="",$A1129="",$S1129=""),"",$C1129&amp;"|"&amp;$A1129&amp;"|"&amp;$S1129)</f>
        <v/>
      </c>
      <c r="W1129" s="32">
        <f>IF(OR($C1129="",$S1129="",$S1129=1),"",IFERROR(INDEX($Q$6:$Q$1505,MATCH($C1129&amp;"|"&amp;$A1129&amp;"|"&amp;($S1129-1),$V$6:$V$1505,0)),""))</f>
        <v/>
      </c>
      <c r="X1129" s="32">
        <f>IF(OR($W1129="",$Q1129="",LEFT($Q1129,1)="—"),"",IF($W1129=$Q1129,"ללא שינוי","מ-"&amp;$W1129&amp;" ל-"&amp;$Q1129))</f>
        <v/>
      </c>
    </row>
    <row r="1130">
      <c r="A1130" s="65" t="n"/>
      <c r="B1130" s="65" t="n"/>
      <c r="C1130" s="66" t="n"/>
      <c r="D1130" s="66" t="n"/>
      <c r="E1130" s="65" t="n"/>
      <c r="F1130" s="65" t="n"/>
      <c r="G1130" s="65" t="n"/>
      <c r="H1130" s="65" t="n"/>
      <c r="I1130" s="65" t="n"/>
      <c r="J1130" s="65" t="n"/>
      <c r="K1130" s="65" t="n"/>
      <c r="L1130" s="65" t="n"/>
      <c r="M1130" s="65" t="n"/>
      <c r="N1130" s="65" t="n"/>
      <c r="O1130" s="65" t="n"/>
      <c r="P1130" s="65" t="n"/>
      <c r="Q1130" s="32">
        <f>IF($C1130="","",IF($J1130="","— חסרים נתונים",IF($J1130="טרם מפענח","פרופיל 5",IF($J1130="קמץ/פתח/חטף-פתח ושוואים","פרופיל 4",IF($J1130="2-3 סימני ניקוד","פרופיל 3",IF($J1130="4-5 סימני ניקוד","פרופיל 2",IF(AND($O1130="משפטים וקטעים קצרים",OR($M1130="מבין",$M1130="מבין לרוב")),"פרופיל 1","פרופיל 2")))))))</f>
        <v/>
      </c>
      <c r="R1130" s="32">
        <f>IF($C1130="","",IF(OR($Q1130="",LEFT($Q1130,1)="—"),"קבוצה רביעית",IF($Q1130="פרופיל 5","קבוצת תשתיות",IF(OR($Q1130="פרופיל 4",$Q1130="פרופיל 3"),"קבוצת רכישה","קבוצת ביסוס"))))</f>
        <v/>
      </c>
      <c r="S1130" s="32">
        <f>IF($F1130="","",IF($F1130="תחילת שנה",1,IF($F1130="מחצית שנה",2,3)))</f>
        <v/>
      </c>
      <c r="T1130" s="32">
        <f>IF(OR($B1130="",$R1130="",$A1130="",$F1130=""),"",$B1130&amp;"|"&amp;$A1130&amp;"|"&amp;$F1130&amp;"|"&amp;$R1130&amp;"|"&amp;COUNTIFS($B$6:$B1130,$B1130,$A$6:$A1130,$A1130,$F$6:$F1130,$F1130,$R$6:$R1130,$R1130))</f>
        <v/>
      </c>
      <c r="U1130" s="32">
        <f>IF($C1130="","",$C1130&amp;"|"&amp;COUNTIFS($C$6:$C1130,$C1130))</f>
        <v/>
      </c>
      <c r="V1130" s="32">
        <f>IF(OR($C1130="",$A1130="",$S1130=""),"",$C1130&amp;"|"&amp;$A1130&amp;"|"&amp;$S1130)</f>
        <v/>
      </c>
      <c r="W1130" s="32">
        <f>IF(OR($C1130="",$S1130="",$S1130=1),"",IFERROR(INDEX($Q$6:$Q$1505,MATCH($C1130&amp;"|"&amp;$A1130&amp;"|"&amp;($S1130-1),$V$6:$V$1505,0)),""))</f>
        <v/>
      </c>
      <c r="X1130" s="32">
        <f>IF(OR($W1130="",$Q1130="",LEFT($Q1130,1)="—"),"",IF($W1130=$Q1130,"ללא שינוי","מ-"&amp;$W1130&amp;" ל-"&amp;$Q1130))</f>
        <v/>
      </c>
    </row>
    <row r="1131">
      <c r="A1131" s="65" t="n"/>
      <c r="B1131" s="65" t="n"/>
      <c r="C1131" s="66" t="n"/>
      <c r="D1131" s="66" t="n"/>
      <c r="E1131" s="65" t="n"/>
      <c r="F1131" s="65" t="n"/>
      <c r="G1131" s="65" t="n"/>
      <c r="H1131" s="65" t="n"/>
      <c r="I1131" s="65" t="n"/>
      <c r="J1131" s="65" t="n"/>
      <c r="K1131" s="65" t="n"/>
      <c r="L1131" s="65" t="n"/>
      <c r="M1131" s="65" t="n"/>
      <c r="N1131" s="65" t="n"/>
      <c r="O1131" s="65" t="n"/>
      <c r="P1131" s="65" t="n"/>
      <c r="Q1131" s="32">
        <f>IF($C1131="","",IF($J1131="","— חסרים נתונים",IF($J1131="טרם מפענח","פרופיל 5",IF($J1131="קמץ/פתח/חטף-פתח ושוואים","פרופיל 4",IF($J1131="2-3 סימני ניקוד","פרופיל 3",IF($J1131="4-5 סימני ניקוד","פרופיל 2",IF(AND($O1131="משפטים וקטעים קצרים",OR($M1131="מבין",$M1131="מבין לרוב")),"פרופיל 1","פרופיל 2")))))))</f>
        <v/>
      </c>
      <c r="R1131" s="32">
        <f>IF($C1131="","",IF(OR($Q1131="",LEFT($Q1131,1)="—"),"קבוצה רביעית",IF($Q1131="פרופיל 5","קבוצת תשתיות",IF(OR($Q1131="פרופיל 4",$Q1131="פרופיל 3"),"קבוצת רכישה","קבוצת ביסוס"))))</f>
        <v/>
      </c>
      <c r="S1131" s="32">
        <f>IF($F1131="","",IF($F1131="תחילת שנה",1,IF($F1131="מחצית שנה",2,3)))</f>
        <v/>
      </c>
      <c r="T1131" s="32">
        <f>IF(OR($B1131="",$R1131="",$A1131="",$F1131=""),"",$B1131&amp;"|"&amp;$A1131&amp;"|"&amp;$F1131&amp;"|"&amp;$R1131&amp;"|"&amp;COUNTIFS($B$6:$B1131,$B1131,$A$6:$A1131,$A1131,$F$6:$F1131,$F1131,$R$6:$R1131,$R1131))</f>
        <v/>
      </c>
      <c r="U1131" s="32">
        <f>IF($C1131="","",$C1131&amp;"|"&amp;COUNTIFS($C$6:$C1131,$C1131))</f>
        <v/>
      </c>
      <c r="V1131" s="32">
        <f>IF(OR($C1131="",$A1131="",$S1131=""),"",$C1131&amp;"|"&amp;$A1131&amp;"|"&amp;$S1131)</f>
        <v/>
      </c>
      <c r="W1131" s="32">
        <f>IF(OR($C1131="",$S1131="",$S1131=1),"",IFERROR(INDEX($Q$6:$Q$1505,MATCH($C1131&amp;"|"&amp;$A1131&amp;"|"&amp;($S1131-1),$V$6:$V$1505,0)),""))</f>
        <v/>
      </c>
      <c r="X1131" s="32">
        <f>IF(OR($W1131="",$Q1131="",LEFT($Q1131,1)="—"),"",IF($W1131=$Q1131,"ללא שינוי","מ-"&amp;$W1131&amp;" ל-"&amp;$Q1131))</f>
        <v/>
      </c>
    </row>
    <row r="1132">
      <c r="A1132" s="65" t="n"/>
      <c r="B1132" s="65" t="n"/>
      <c r="C1132" s="66" t="n"/>
      <c r="D1132" s="66" t="n"/>
      <c r="E1132" s="65" t="n"/>
      <c r="F1132" s="65" t="n"/>
      <c r="G1132" s="65" t="n"/>
      <c r="H1132" s="65" t="n"/>
      <c r="I1132" s="65" t="n"/>
      <c r="J1132" s="65" t="n"/>
      <c r="K1132" s="65" t="n"/>
      <c r="L1132" s="65" t="n"/>
      <c r="M1132" s="65" t="n"/>
      <c r="N1132" s="65" t="n"/>
      <c r="O1132" s="65" t="n"/>
      <c r="P1132" s="65" t="n"/>
      <c r="Q1132" s="32">
        <f>IF($C1132="","",IF($J1132="","— חסרים נתונים",IF($J1132="טרם מפענח","פרופיל 5",IF($J1132="קמץ/פתח/חטף-פתח ושוואים","פרופיל 4",IF($J1132="2-3 סימני ניקוד","פרופיל 3",IF($J1132="4-5 סימני ניקוד","פרופיל 2",IF(AND($O1132="משפטים וקטעים קצרים",OR($M1132="מבין",$M1132="מבין לרוב")),"פרופיל 1","פרופיל 2")))))))</f>
        <v/>
      </c>
      <c r="R1132" s="32">
        <f>IF($C1132="","",IF(OR($Q1132="",LEFT($Q1132,1)="—"),"קבוצה רביעית",IF($Q1132="פרופיל 5","קבוצת תשתיות",IF(OR($Q1132="פרופיל 4",$Q1132="פרופיל 3"),"קבוצת רכישה","קבוצת ביסוס"))))</f>
        <v/>
      </c>
      <c r="S1132" s="32">
        <f>IF($F1132="","",IF($F1132="תחילת שנה",1,IF($F1132="מחצית שנה",2,3)))</f>
        <v/>
      </c>
      <c r="T1132" s="32">
        <f>IF(OR($B1132="",$R1132="",$A1132="",$F1132=""),"",$B1132&amp;"|"&amp;$A1132&amp;"|"&amp;$F1132&amp;"|"&amp;$R1132&amp;"|"&amp;COUNTIFS($B$6:$B1132,$B1132,$A$6:$A1132,$A1132,$F$6:$F1132,$F1132,$R$6:$R1132,$R1132))</f>
        <v/>
      </c>
      <c r="U1132" s="32">
        <f>IF($C1132="","",$C1132&amp;"|"&amp;COUNTIFS($C$6:$C1132,$C1132))</f>
        <v/>
      </c>
      <c r="V1132" s="32">
        <f>IF(OR($C1132="",$A1132="",$S1132=""),"",$C1132&amp;"|"&amp;$A1132&amp;"|"&amp;$S1132)</f>
        <v/>
      </c>
      <c r="W1132" s="32">
        <f>IF(OR($C1132="",$S1132="",$S1132=1),"",IFERROR(INDEX($Q$6:$Q$1505,MATCH($C1132&amp;"|"&amp;$A1132&amp;"|"&amp;($S1132-1),$V$6:$V$1505,0)),""))</f>
        <v/>
      </c>
      <c r="X1132" s="32">
        <f>IF(OR($W1132="",$Q1132="",LEFT($Q1132,1)="—"),"",IF($W1132=$Q1132,"ללא שינוי","מ-"&amp;$W1132&amp;" ל-"&amp;$Q1132))</f>
        <v/>
      </c>
    </row>
    <row r="1133">
      <c r="A1133" s="65" t="n"/>
      <c r="B1133" s="65" t="n"/>
      <c r="C1133" s="66" t="n"/>
      <c r="D1133" s="66" t="n"/>
      <c r="E1133" s="65" t="n"/>
      <c r="F1133" s="65" t="n"/>
      <c r="G1133" s="65" t="n"/>
      <c r="H1133" s="65" t="n"/>
      <c r="I1133" s="65" t="n"/>
      <c r="J1133" s="65" t="n"/>
      <c r="K1133" s="65" t="n"/>
      <c r="L1133" s="65" t="n"/>
      <c r="M1133" s="65" t="n"/>
      <c r="N1133" s="65" t="n"/>
      <c r="O1133" s="65" t="n"/>
      <c r="P1133" s="65" t="n"/>
      <c r="Q1133" s="32">
        <f>IF($C1133="","",IF($J1133="","— חסרים נתונים",IF($J1133="טרם מפענח","פרופיל 5",IF($J1133="קמץ/פתח/חטף-פתח ושוואים","פרופיל 4",IF($J1133="2-3 סימני ניקוד","פרופיל 3",IF($J1133="4-5 סימני ניקוד","פרופיל 2",IF(AND($O1133="משפטים וקטעים קצרים",OR($M1133="מבין",$M1133="מבין לרוב")),"פרופיל 1","פרופיל 2")))))))</f>
        <v/>
      </c>
      <c r="R1133" s="32">
        <f>IF($C1133="","",IF(OR($Q1133="",LEFT($Q1133,1)="—"),"קבוצה רביעית",IF($Q1133="פרופיל 5","קבוצת תשתיות",IF(OR($Q1133="פרופיל 4",$Q1133="פרופיל 3"),"קבוצת רכישה","קבוצת ביסוס"))))</f>
        <v/>
      </c>
      <c r="S1133" s="32">
        <f>IF($F1133="","",IF($F1133="תחילת שנה",1,IF($F1133="מחצית שנה",2,3)))</f>
        <v/>
      </c>
      <c r="T1133" s="32">
        <f>IF(OR($B1133="",$R1133="",$A1133="",$F1133=""),"",$B1133&amp;"|"&amp;$A1133&amp;"|"&amp;$F1133&amp;"|"&amp;$R1133&amp;"|"&amp;COUNTIFS($B$6:$B1133,$B1133,$A$6:$A1133,$A1133,$F$6:$F1133,$F1133,$R$6:$R1133,$R1133))</f>
        <v/>
      </c>
      <c r="U1133" s="32">
        <f>IF($C1133="","",$C1133&amp;"|"&amp;COUNTIFS($C$6:$C1133,$C1133))</f>
        <v/>
      </c>
      <c r="V1133" s="32">
        <f>IF(OR($C1133="",$A1133="",$S1133=""),"",$C1133&amp;"|"&amp;$A1133&amp;"|"&amp;$S1133)</f>
        <v/>
      </c>
      <c r="W1133" s="32">
        <f>IF(OR($C1133="",$S1133="",$S1133=1),"",IFERROR(INDEX($Q$6:$Q$1505,MATCH($C1133&amp;"|"&amp;$A1133&amp;"|"&amp;($S1133-1),$V$6:$V$1505,0)),""))</f>
        <v/>
      </c>
      <c r="X1133" s="32">
        <f>IF(OR($W1133="",$Q1133="",LEFT($Q1133,1)="—"),"",IF($W1133=$Q1133,"ללא שינוי","מ-"&amp;$W1133&amp;" ל-"&amp;$Q1133))</f>
        <v/>
      </c>
    </row>
    <row r="1134">
      <c r="A1134" s="65" t="n"/>
      <c r="B1134" s="65" t="n"/>
      <c r="C1134" s="66" t="n"/>
      <c r="D1134" s="66" t="n"/>
      <c r="E1134" s="65" t="n"/>
      <c r="F1134" s="65" t="n"/>
      <c r="G1134" s="65" t="n"/>
      <c r="H1134" s="65" t="n"/>
      <c r="I1134" s="65" t="n"/>
      <c r="J1134" s="65" t="n"/>
      <c r="K1134" s="65" t="n"/>
      <c r="L1134" s="65" t="n"/>
      <c r="M1134" s="65" t="n"/>
      <c r="N1134" s="65" t="n"/>
      <c r="O1134" s="65" t="n"/>
      <c r="P1134" s="65" t="n"/>
      <c r="Q1134" s="32">
        <f>IF($C1134="","",IF($J1134="","— חסרים נתונים",IF($J1134="טרם מפענח","פרופיל 5",IF($J1134="קמץ/פתח/חטף-פתח ושוואים","פרופיל 4",IF($J1134="2-3 סימני ניקוד","פרופיל 3",IF($J1134="4-5 סימני ניקוד","פרופיל 2",IF(AND($O1134="משפטים וקטעים קצרים",OR($M1134="מבין",$M1134="מבין לרוב")),"פרופיל 1","פרופיל 2")))))))</f>
        <v/>
      </c>
      <c r="R1134" s="32">
        <f>IF($C1134="","",IF(OR($Q1134="",LEFT($Q1134,1)="—"),"קבוצה רביעית",IF($Q1134="פרופיל 5","קבוצת תשתיות",IF(OR($Q1134="פרופיל 4",$Q1134="פרופיל 3"),"קבוצת רכישה","קבוצת ביסוס"))))</f>
        <v/>
      </c>
      <c r="S1134" s="32">
        <f>IF($F1134="","",IF($F1134="תחילת שנה",1,IF($F1134="מחצית שנה",2,3)))</f>
        <v/>
      </c>
      <c r="T1134" s="32">
        <f>IF(OR($B1134="",$R1134="",$A1134="",$F1134=""),"",$B1134&amp;"|"&amp;$A1134&amp;"|"&amp;$F1134&amp;"|"&amp;$R1134&amp;"|"&amp;COUNTIFS($B$6:$B1134,$B1134,$A$6:$A1134,$A1134,$F$6:$F1134,$F1134,$R$6:$R1134,$R1134))</f>
        <v/>
      </c>
      <c r="U1134" s="32">
        <f>IF($C1134="","",$C1134&amp;"|"&amp;COUNTIFS($C$6:$C1134,$C1134))</f>
        <v/>
      </c>
      <c r="V1134" s="32">
        <f>IF(OR($C1134="",$A1134="",$S1134=""),"",$C1134&amp;"|"&amp;$A1134&amp;"|"&amp;$S1134)</f>
        <v/>
      </c>
      <c r="W1134" s="32">
        <f>IF(OR($C1134="",$S1134="",$S1134=1),"",IFERROR(INDEX($Q$6:$Q$1505,MATCH($C1134&amp;"|"&amp;$A1134&amp;"|"&amp;($S1134-1),$V$6:$V$1505,0)),""))</f>
        <v/>
      </c>
      <c r="X1134" s="32">
        <f>IF(OR($W1134="",$Q1134="",LEFT($Q1134,1)="—"),"",IF($W1134=$Q1134,"ללא שינוי","מ-"&amp;$W1134&amp;" ל-"&amp;$Q1134))</f>
        <v/>
      </c>
    </row>
    <row r="1135">
      <c r="A1135" s="65" t="n"/>
      <c r="B1135" s="65" t="n"/>
      <c r="C1135" s="66" t="n"/>
      <c r="D1135" s="66" t="n"/>
      <c r="E1135" s="65" t="n"/>
      <c r="F1135" s="65" t="n"/>
      <c r="G1135" s="65" t="n"/>
      <c r="H1135" s="65" t="n"/>
      <c r="I1135" s="65" t="n"/>
      <c r="J1135" s="65" t="n"/>
      <c r="K1135" s="65" t="n"/>
      <c r="L1135" s="65" t="n"/>
      <c r="M1135" s="65" t="n"/>
      <c r="N1135" s="65" t="n"/>
      <c r="O1135" s="65" t="n"/>
      <c r="P1135" s="65" t="n"/>
      <c r="Q1135" s="32">
        <f>IF($C1135="","",IF($J1135="","— חסרים נתונים",IF($J1135="טרם מפענח","פרופיל 5",IF($J1135="קמץ/פתח/חטף-פתח ושוואים","פרופיל 4",IF($J1135="2-3 סימני ניקוד","פרופיל 3",IF($J1135="4-5 סימני ניקוד","פרופיל 2",IF(AND($O1135="משפטים וקטעים קצרים",OR($M1135="מבין",$M1135="מבין לרוב")),"פרופיל 1","פרופיל 2")))))))</f>
        <v/>
      </c>
      <c r="R1135" s="32">
        <f>IF($C1135="","",IF(OR($Q1135="",LEFT($Q1135,1)="—"),"קבוצה רביעית",IF($Q1135="פרופיל 5","קבוצת תשתיות",IF(OR($Q1135="פרופיל 4",$Q1135="פרופיל 3"),"קבוצת רכישה","קבוצת ביסוס"))))</f>
        <v/>
      </c>
      <c r="S1135" s="32">
        <f>IF($F1135="","",IF($F1135="תחילת שנה",1,IF($F1135="מחצית שנה",2,3)))</f>
        <v/>
      </c>
      <c r="T1135" s="32">
        <f>IF(OR($B1135="",$R1135="",$A1135="",$F1135=""),"",$B1135&amp;"|"&amp;$A1135&amp;"|"&amp;$F1135&amp;"|"&amp;$R1135&amp;"|"&amp;COUNTIFS($B$6:$B1135,$B1135,$A$6:$A1135,$A1135,$F$6:$F1135,$F1135,$R$6:$R1135,$R1135))</f>
        <v/>
      </c>
      <c r="U1135" s="32">
        <f>IF($C1135="","",$C1135&amp;"|"&amp;COUNTIFS($C$6:$C1135,$C1135))</f>
        <v/>
      </c>
      <c r="V1135" s="32">
        <f>IF(OR($C1135="",$A1135="",$S1135=""),"",$C1135&amp;"|"&amp;$A1135&amp;"|"&amp;$S1135)</f>
        <v/>
      </c>
      <c r="W1135" s="32">
        <f>IF(OR($C1135="",$S1135="",$S1135=1),"",IFERROR(INDEX($Q$6:$Q$1505,MATCH($C1135&amp;"|"&amp;$A1135&amp;"|"&amp;($S1135-1),$V$6:$V$1505,0)),""))</f>
        <v/>
      </c>
      <c r="X1135" s="32">
        <f>IF(OR($W1135="",$Q1135="",LEFT($Q1135,1)="—"),"",IF($W1135=$Q1135,"ללא שינוי","מ-"&amp;$W1135&amp;" ל-"&amp;$Q1135))</f>
        <v/>
      </c>
    </row>
    <row r="1136">
      <c r="A1136" s="65" t="n"/>
      <c r="B1136" s="65" t="n"/>
      <c r="C1136" s="66" t="n"/>
      <c r="D1136" s="66" t="n"/>
      <c r="E1136" s="65" t="n"/>
      <c r="F1136" s="65" t="n"/>
      <c r="G1136" s="65" t="n"/>
      <c r="H1136" s="65" t="n"/>
      <c r="I1136" s="65" t="n"/>
      <c r="J1136" s="65" t="n"/>
      <c r="K1136" s="65" t="n"/>
      <c r="L1136" s="65" t="n"/>
      <c r="M1136" s="65" t="n"/>
      <c r="N1136" s="65" t="n"/>
      <c r="O1136" s="65" t="n"/>
      <c r="P1136" s="65" t="n"/>
      <c r="Q1136" s="32">
        <f>IF($C1136="","",IF($J1136="","— חסרים נתונים",IF($J1136="טרם מפענח","פרופיל 5",IF($J1136="קמץ/פתח/חטף-פתח ושוואים","פרופיל 4",IF($J1136="2-3 סימני ניקוד","פרופיל 3",IF($J1136="4-5 סימני ניקוד","פרופיל 2",IF(AND($O1136="משפטים וקטעים קצרים",OR($M1136="מבין",$M1136="מבין לרוב")),"פרופיל 1","פרופיל 2")))))))</f>
        <v/>
      </c>
      <c r="R1136" s="32">
        <f>IF($C1136="","",IF(OR($Q1136="",LEFT($Q1136,1)="—"),"קבוצה רביעית",IF($Q1136="פרופיל 5","קבוצת תשתיות",IF(OR($Q1136="פרופיל 4",$Q1136="פרופיל 3"),"קבוצת רכישה","קבוצת ביסוס"))))</f>
        <v/>
      </c>
      <c r="S1136" s="32">
        <f>IF($F1136="","",IF($F1136="תחילת שנה",1,IF($F1136="מחצית שנה",2,3)))</f>
        <v/>
      </c>
      <c r="T1136" s="32">
        <f>IF(OR($B1136="",$R1136="",$A1136="",$F1136=""),"",$B1136&amp;"|"&amp;$A1136&amp;"|"&amp;$F1136&amp;"|"&amp;$R1136&amp;"|"&amp;COUNTIFS($B$6:$B1136,$B1136,$A$6:$A1136,$A1136,$F$6:$F1136,$F1136,$R$6:$R1136,$R1136))</f>
        <v/>
      </c>
      <c r="U1136" s="32">
        <f>IF($C1136="","",$C1136&amp;"|"&amp;COUNTIFS($C$6:$C1136,$C1136))</f>
        <v/>
      </c>
      <c r="V1136" s="32">
        <f>IF(OR($C1136="",$A1136="",$S1136=""),"",$C1136&amp;"|"&amp;$A1136&amp;"|"&amp;$S1136)</f>
        <v/>
      </c>
      <c r="W1136" s="32">
        <f>IF(OR($C1136="",$S1136="",$S1136=1),"",IFERROR(INDEX($Q$6:$Q$1505,MATCH($C1136&amp;"|"&amp;$A1136&amp;"|"&amp;($S1136-1),$V$6:$V$1505,0)),""))</f>
        <v/>
      </c>
      <c r="X1136" s="32">
        <f>IF(OR($W1136="",$Q1136="",LEFT($Q1136,1)="—"),"",IF($W1136=$Q1136,"ללא שינוי","מ-"&amp;$W1136&amp;" ל-"&amp;$Q1136))</f>
        <v/>
      </c>
    </row>
    <row r="1137">
      <c r="A1137" s="65" t="n"/>
      <c r="B1137" s="65" t="n"/>
      <c r="C1137" s="66" t="n"/>
      <c r="D1137" s="66" t="n"/>
      <c r="E1137" s="65" t="n"/>
      <c r="F1137" s="65" t="n"/>
      <c r="G1137" s="65" t="n"/>
      <c r="H1137" s="65" t="n"/>
      <c r="I1137" s="65" t="n"/>
      <c r="J1137" s="65" t="n"/>
      <c r="K1137" s="65" t="n"/>
      <c r="L1137" s="65" t="n"/>
      <c r="M1137" s="65" t="n"/>
      <c r="N1137" s="65" t="n"/>
      <c r="O1137" s="65" t="n"/>
      <c r="P1137" s="65" t="n"/>
      <c r="Q1137" s="32">
        <f>IF($C1137="","",IF($J1137="","— חסרים נתונים",IF($J1137="טרם מפענח","פרופיל 5",IF($J1137="קמץ/פתח/חטף-פתח ושוואים","פרופיל 4",IF($J1137="2-3 סימני ניקוד","פרופיל 3",IF($J1137="4-5 סימני ניקוד","פרופיל 2",IF(AND($O1137="משפטים וקטעים קצרים",OR($M1137="מבין",$M1137="מבין לרוב")),"פרופיל 1","פרופיל 2")))))))</f>
        <v/>
      </c>
      <c r="R1137" s="32">
        <f>IF($C1137="","",IF(OR($Q1137="",LEFT($Q1137,1)="—"),"קבוצה רביעית",IF($Q1137="פרופיל 5","קבוצת תשתיות",IF(OR($Q1137="פרופיל 4",$Q1137="פרופיל 3"),"קבוצת רכישה","קבוצת ביסוס"))))</f>
        <v/>
      </c>
      <c r="S1137" s="32">
        <f>IF($F1137="","",IF($F1137="תחילת שנה",1,IF($F1137="מחצית שנה",2,3)))</f>
        <v/>
      </c>
      <c r="T1137" s="32">
        <f>IF(OR($B1137="",$R1137="",$A1137="",$F1137=""),"",$B1137&amp;"|"&amp;$A1137&amp;"|"&amp;$F1137&amp;"|"&amp;$R1137&amp;"|"&amp;COUNTIFS($B$6:$B1137,$B1137,$A$6:$A1137,$A1137,$F$6:$F1137,$F1137,$R$6:$R1137,$R1137))</f>
        <v/>
      </c>
      <c r="U1137" s="32">
        <f>IF($C1137="","",$C1137&amp;"|"&amp;COUNTIFS($C$6:$C1137,$C1137))</f>
        <v/>
      </c>
      <c r="V1137" s="32">
        <f>IF(OR($C1137="",$A1137="",$S1137=""),"",$C1137&amp;"|"&amp;$A1137&amp;"|"&amp;$S1137)</f>
        <v/>
      </c>
      <c r="W1137" s="32">
        <f>IF(OR($C1137="",$S1137="",$S1137=1),"",IFERROR(INDEX($Q$6:$Q$1505,MATCH($C1137&amp;"|"&amp;$A1137&amp;"|"&amp;($S1137-1),$V$6:$V$1505,0)),""))</f>
        <v/>
      </c>
      <c r="X1137" s="32">
        <f>IF(OR($W1137="",$Q1137="",LEFT($Q1137,1)="—"),"",IF($W1137=$Q1137,"ללא שינוי","מ-"&amp;$W1137&amp;" ל-"&amp;$Q1137))</f>
        <v/>
      </c>
    </row>
    <row r="1138">
      <c r="A1138" s="65" t="n"/>
      <c r="B1138" s="65" t="n"/>
      <c r="C1138" s="66" t="n"/>
      <c r="D1138" s="66" t="n"/>
      <c r="E1138" s="65" t="n"/>
      <c r="F1138" s="65" t="n"/>
      <c r="G1138" s="65" t="n"/>
      <c r="H1138" s="65" t="n"/>
      <c r="I1138" s="65" t="n"/>
      <c r="J1138" s="65" t="n"/>
      <c r="K1138" s="65" t="n"/>
      <c r="L1138" s="65" t="n"/>
      <c r="M1138" s="65" t="n"/>
      <c r="N1138" s="65" t="n"/>
      <c r="O1138" s="65" t="n"/>
      <c r="P1138" s="65" t="n"/>
      <c r="Q1138" s="32">
        <f>IF($C1138="","",IF($J1138="","— חסרים נתונים",IF($J1138="טרם מפענח","פרופיל 5",IF($J1138="קמץ/פתח/חטף-פתח ושוואים","פרופיל 4",IF($J1138="2-3 סימני ניקוד","פרופיל 3",IF($J1138="4-5 סימני ניקוד","פרופיל 2",IF(AND($O1138="משפטים וקטעים קצרים",OR($M1138="מבין",$M1138="מבין לרוב")),"פרופיל 1","פרופיל 2")))))))</f>
        <v/>
      </c>
      <c r="R1138" s="32">
        <f>IF($C1138="","",IF(OR($Q1138="",LEFT($Q1138,1)="—"),"קבוצה רביעית",IF($Q1138="פרופיל 5","קבוצת תשתיות",IF(OR($Q1138="פרופיל 4",$Q1138="פרופיל 3"),"קבוצת רכישה","קבוצת ביסוס"))))</f>
        <v/>
      </c>
      <c r="S1138" s="32">
        <f>IF($F1138="","",IF($F1138="תחילת שנה",1,IF($F1138="מחצית שנה",2,3)))</f>
        <v/>
      </c>
      <c r="T1138" s="32">
        <f>IF(OR($B1138="",$R1138="",$A1138="",$F1138=""),"",$B1138&amp;"|"&amp;$A1138&amp;"|"&amp;$F1138&amp;"|"&amp;$R1138&amp;"|"&amp;COUNTIFS($B$6:$B1138,$B1138,$A$6:$A1138,$A1138,$F$6:$F1138,$F1138,$R$6:$R1138,$R1138))</f>
        <v/>
      </c>
      <c r="U1138" s="32">
        <f>IF($C1138="","",$C1138&amp;"|"&amp;COUNTIFS($C$6:$C1138,$C1138))</f>
        <v/>
      </c>
      <c r="V1138" s="32">
        <f>IF(OR($C1138="",$A1138="",$S1138=""),"",$C1138&amp;"|"&amp;$A1138&amp;"|"&amp;$S1138)</f>
        <v/>
      </c>
      <c r="W1138" s="32">
        <f>IF(OR($C1138="",$S1138="",$S1138=1),"",IFERROR(INDEX($Q$6:$Q$1505,MATCH($C1138&amp;"|"&amp;$A1138&amp;"|"&amp;($S1138-1),$V$6:$V$1505,0)),""))</f>
        <v/>
      </c>
      <c r="X1138" s="32">
        <f>IF(OR($W1138="",$Q1138="",LEFT($Q1138,1)="—"),"",IF($W1138=$Q1138,"ללא שינוי","מ-"&amp;$W1138&amp;" ל-"&amp;$Q1138))</f>
        <v/>
      </c>
    </row>
    <row r="1139">
      <c r="A1139" s="65" t="n"/>
      <c r="B1139" s="65" t="n"/>
      <c r="C1139" s="66" t="n"/>
      <c r="D1139" s="66" t="n"/>
      <c r="E1139" s="65" t="n"/>
      <c r="F1139" s="65" t="n"/>
      <c r="G1139" s="65" t="n"/>
      <c r="H1139" s="65" t="n"/>
      <c r="I1139" s="65" t="n"/>
      <c r="J1139" s="65" t="n"/>
      <c r="K1139" s="65" t="n"/>
      <c r="L1139" s="65" t="n"/>
      <c r="M1139" s="65" t="n"/>
      <c r="N1139" s="65" t="n"/>
      <c r="O1139" s="65" t="n"/>
      <c r="P1139" s="65" t="n"/>
      <c r="Q1139" s="32">
        <f>IF($C1139="","",IF($J1139="","— חסרים נתונים",IF($J1139="טרם מפענח","פרופיל 5",IF($J1139="קמץ/פתח/חטף-פתח ושוואים","פרופיל 4",IF($J1139="2-3 סימני ניקוד","פרופיל 3",IF($J1139="4-5 סימני ניקוד","פרופיל 2",IF(AND($O1139="משפטים וקטעים קצרים",OR($M1139="מבין",$M1139="מבין לרוב")),"פרופיל 1","פרופיל 2")))))))</f>
        <v/>
      </c>
      <c r="R1139" s="32">
        <f>IF($C1139="","",IF(OR($Q1139="",LEFT($Q1139,1)="—"),"קבוצה רביעית",IF($Q1139="פרופיל 5","קבוצת תשתיות",IF(OR($Q1139="פרופיל 4",$Q1139="פרופיל 3"),"קבוצת רכישה","קבוצת ביסוס"))))</f>
        <v/>
      </c>
      <c r="S1139" s="32">
        <f>IF($F1139="","",IF($F1139="תחילת שנה",1,IF($F1139="מחצית שנה",2,3)))</f>
        <v/>
      </c>
      <c r="T1139" s="32">
        <f>IF(OR($B1139="",$R1139="",$A1139="",$F1139=""),"",$B1139&amp;"|"&amp;$A1139&amp;"|"&amp;$F1139&amp;"|"&amp;$R1139&amp;"|"&amp;COUNTIFS($B$6:$B1139,$B1139,$A$6:$A1139,$A1139,$F$6:$F1139,$F1139,$R$6:$R1139,$R1139))</f>
        <v/>
      </c>
      <c r="U1139" s="32">
        <f>IF($C1139="","",$C1139&amp;"|"&amp;COUNTIFS($C$6:$C1139,$C1139))</f>
        <v/>
      </c>
      <c r="V1139" s="32">
        <f>IF(OR($C1139="",$A1139="",$S1139=""),"",$C1139&amp;"|"&amp;$A1139&amp;"|"&amp;$S1139)</f>
        <v/>
      </c>
      <c r="W1139" s="32">
        <f>IF(OR($C1139="",$S1139="",$S1139=1),"",IFERROR(INDEX($Q$6:$Q$1505,MATCH($C1139&amp;"|"&amp;$A1139&amp;"|"&amp;($S1139-1),$V$6:$V$1505,0)),""))</f>
        <v/>
      </c>
      <c r="X1139" s="32">
        <f>IF(OR($W1139="",$Q1139="",LEFT($Q1139,1)="—"),"",IF($W1139=$Q1139,"ללא שינוי","מ-"&amp;$W1139&amp;" ל-"&amp;$Q1139))</f>
        <v/>
      </c>
    </row>
    <row r="1140">
      <c r="A1140" s="65" t="n"/>
      <c r="B1140" s="65" t="n"/>
      <c r="C1140" s="66" t="n"/>
      <c r="D1140" s="66" t="n"/>
      <c r="E1140" s="65" t="n"/>
      <c r="F1140" s="65" t="n"/>
      <c r="G1140" s="65" t="n"/>
      <c r="H1140" s="65" t="n"/>
      <c r="I1140" s="65" t="n"/>
      <c r="J1140" s="65" t="n"/>
      <c r="K1140" s="65" t="n"/>
      <c r="L1140" s="65" t="n"/>
      <c r="M1140" s="65" t="n"/>
      <c r="N1140" s="65" t="n"/>
      <c r="O1140" s="65" t="n"/>
      <c r="P1140" s="65" t="n"/>
      <c r="Q1140" s="32">
        <f>IF($C1140="","",IF($J1140="","— חסרים נתונים",IF($J1140="טרם מפענח","פרופיל 5",IF($J1140="קמץ/פתח/חטף-פתח ושוואים","פרופיל 4",IF($J1140="2-3 סימני ניקוד","פרופיל 3",IF($J1140="4-5 סימני ניקוד","פרופיל 2",IF(AND($O1140="משפטים וקטעים קצרים",OR($M1140="מבין",$M1140="מבין לרוב")),"פרופיל 1","פרופיל 2")))))))</f>
        <v/>
      </c>
      <c r="R1140" s="32">
        <f>IF($C1140="","",IF(OR($Q1140="",LEFT($Q1140,1)="—"),"קבוצה רביעית",IF($Q1140="פרופיל 5","קבוצת תשתיות",IF(OR($Q1140="פרופיל 4",$Q1140="פרופיל 3"),"קבוצת רכישה","קבוצת ביסוס"))))</f>
        <v/>
      </c>
      <c r="S1140" s="32">
        <f>IF($F1140="","",IF($F1140="תחילת שנה",1,IF($F1140="מחצית שנה",2,3)))</f>
        <v/>
      </c>
      <c r="T1140" s="32">
        <f>IF(OR($B1140="",$R1140="",$A1140="",$F1140=""),"",$B1140&amp;"|"&amp;$A1140&amp;"|"&amp;$F1140&amp;"|"&amp;$R1140&amp;"|"&amp;COUNTIFS($B$6:$B1140,$B1140,$A$6:$A1140,$A1140,$F$6:$F1140,$F1140,$R$6:$R1140,$R1140))</f>
        <v/>
      </c>
      <c r="U1140" s="32">
        <f>IF($C1140="","",$C1140&amp;"|"&amp;COUNTIFS($C$6:$C1140,$C1140))</f>
        <v/>
      </c>
      <c r="V1140" s="32">
        <f>IF(OR($C1140="",$A1140="",$S1140=""),"",$C1140&amp;"|"&amp;$A1140&amp;"|"&amp;$S1140)</f>
        <v/>
      </c>
      <c r="W1140" s="32">
        <f>IF(OR($C1140="",$S1140="",$S1140=1),"",IFERROR(INDEX($Q$6:$Q$1505,MATCH($C1140&amp;"|"&amp;$A1140&amp;"|"&amp;($S1140-1),$V$6:$V$1505,0)),""))</f>
        <v/>
      </c>
      <c r="X1140" s="32">
        <f>IF(OR($W1140="",$Q1140="",LEFT($Q1140,1)="—"),"",IF($W1140=$Q1140,"ללא שינוי","מ-"&amp;$W1140&amp;" ל-"&amp;$Q1140))</f>
        <v/>
      </c>
    </row>
    <row r="1141">
      <c r="A1141" s="65" t="n"/>
      <c r="B1141" s="65" t="n"/>
      <c r="C1141" s="66" t="n"/>
      <c r="D1141" s="66" t="n"/>
      <c r="E1141" s="65" t="n"/>
      <c r="F1141" s="65" t="n"/>
      <c r="G1141" s="65" t="n"/>
      <c r="H1141" s="65" t="n"/>
      <c r="I1141" s="65" t="n"/>
      <c r="J1141" s="65" t="n"/>
      <c r="K1141" s="65" t="n"/>
      <c r="L1141" s="65" t="n"/>
      <c r="M1141" s="65" t="n"/>
      <c r="N1141" s="65" t="n"/>
      <c r="O1141" s="65" t="n"/>
      <c r="P1141" s="65" t="n"/>
      <c r="Q1141" s="32">
        <f>IF($C1141="","",IF($J1141="","— חסרים נתונים",IF($J1141="טרם מפענח","פרופיל 5",IF($J1141="קמץ/פתח/חטף-פתח ושוואים","פרופיל 4",IF($J1141="2-3 סימני ניקוד","פרופיל 3",IF($J1141="4-5 סימני ניקוד","פרופיל 2",IF(AND($O1141="משפטים וקטעים קצרים",OR($M1141="מבין",$M1141="מבין לרוב")),"פרופיל 1","פרופיל 2")))))))</f>
        <v/>
      </c>
      <c r="R1141" s="32">
        <f>IF($C1141="","",IF(OR($Q1141="",LEFT($Q1141,1)="—"),"קבוצה רביעית",IF($Q1141="פרופיל 5","קבוצת תשתיות",IF(OR($Q1141="פרופיל 4",$Q1141="פרופיל 3"),"קבוצת רכישה","קבוצת ביסוס"))))</f>
        <v/>
      </c>
      <c r="S1141" s="32">
        <f>IF($F1141="","",IF($F1141="תחילת שנה",1,IF($F1141="מחצית שנה",2,3)))</f>
        <v/>
      </c>
      <c r="T1141" s="32">
        <f>IF(OR($B1141="",$R1141="",$A1141="",$F1141=""),"",$B1141&amp;"|"&amp;$A1141&amp;"|"&amp;$F1141&amp;"|"&amp;$R1141&amp;"|"&amp;COUNTIFS($B$6:$B1141,$B1141,$A$6:$A1141,$A1141,$F$6:$F1141,$F1141,$R$6:$R1141,$R1141))</f>
        <v/>
      </c>
      <c r="U1141" s="32">
        <f>IF($C1141="","",$C1141&amp;"|"&amp;COUNTIFS($C$6:$C1141,$C1141))</f>
        <v/>
      </c>
      <c r="V1141" s="32">
        <f>IF(OR($C1141="",$A1141="",$S1141=""),"",$C1141&amp;"|"&amp;$A1141&amp;"|"&amp;$S1141)</f>
        <v/>
      </c>
      <c r="W1141" s="32">
        <f>IF(OR($C1141="",$S1141="",$S1141=1),"",IFERROR(INDEX($Q$6:$Q$1505,MATCH($C1141&amp;"|"&amp;$A1141&amp;"|"&amp;($S1141-1),$V$6:$V$1505,0)),""))</f>
        <v/>
      </c>
      <c r="X1141" s="32">
        <f>IF(OR($W1141="",$Q1141="",LEFT($Q1141,1)="—"),"",IF($W1141=$Q1141,"ללא שינוי","מ-"&amp;$W1141&amp;" ל-"&amp;$Q1141))</f>
        <v/>
      </c>
    </row>
    <row r="1142">
      <c r="A1142" s="65" t="n"/>
      <c r="B1142" s="65" t="n"/>
      <c r="C1142" s="66" t="n"/>
      <c r="D1142" s="66" t="n"/>
      <c r="E1142" s="65" t="n"/>
      <c r="F1142" s="65" t="n"/>
      <c r="G1142" s="65" t="n"/>
      <c r="H1142" s="65" t="n"/>
      <c r="I1142" s="65" t="n"/>
      <c r="J1142" s="65" t="n"/>
      <c r="K1142" s="65" t="n"/>
      <c r="L1142" s="65" t="n"/>
      <c r="M1142" s="65" t="n"/>
      <c r="N1142" s="65" t="n"/>
      <c r="O1142" s="65" t="n"/>
      <c r="P1142" s="65" t="n"/>
      <c r="Q1142" s="32">
        <f>IF($C1142="","",IF($J1142="","— חסרים נתונים",IF($J1142="טרם מפענח","פרופיל 5",IF($J1142="קמץ/פתח/חטף-פתח ושוואים","פרופיל 4",IF($J1142="2-3 סימני ניקוד","פרופיל 3",IF($J1142="4-5 סימני ניקוד","פרופיל 2",IF(AND($O1142="משפטים וקטעים קצרים",OR($M1142="מבין",$M1142="מבין לרוב")),"פרופיל 1","פרופיל 2")))))))</f>
        <v/>
      </c>
      <c r="R1142" s="32">
        <f>IF($C1142="","",IF(OR($Q1142="",LEFT($Q1142,1)="—"),"קבוצה רביעית",IF($Q1142="פרופיל 5","קבוצת תשתיות",IF(OR($Q1142="פרופיל 4",$Q1142="פרופיל 3"),"קבוצת רכישה","קבוצת ביסוס"))))</f>
        <v/>
      </c>
      <c r="S1142" s="32">
        <f>IF($F1142="","",IF($F1142="תחילת שנה",1,IF($F1142="מחצית שנה",2,3)))</f>
        <v/>
      </c>
      <c r="T1142" s="32">
        <f>IF(OR($B1142="",$R1142="",$A1142="",$F1142=""),"",$B1142&amp;"|"&amp;$A1142&amp;"|"&amp;$F1142&amp;"|"&amp;$R1142&amp;"|"&amp;COUNTIFS($B$6:$B1142,$B1142,$A$6:$A1142,$A1142,$F$6:$F1142,$F1142,$R$6:$R1142,$R1142))</f>
        <v/>
      </c>
      <c r="U1142" s="32">
        <f>IF($C1142="","",$C1142&amp;"|"&amp;COUNTIFS($C$6:$C1142,$C1142))</f>
        <v/>
      </c>
      <c r="V1142" s="32">
        <f>IF(OR($C1142="",$A1142="",$S1142=""),"",$C1142&amp;"|"&amp;$A1142&amp;"|"&amp;$S1142)</f>
        <v/>
      </c>
      <c r="W1142" s="32">
        <f>IF(OR($C1142="",$S1142="",$S1142=1),"",IFERROR(INDEX($Q$6:$Q$1505,MATCH($C1142&amp;"|"&amp;$A1142&amp;"|"&amp;($S1142-1),$V$6:$V$1505,0)),""))</f>
        <v/>
      </c>
      <c r="X1142" s="32">
        <f>IF(OR($W1142="",$Q1142="",LEFT($Q1142,1)="—"),"",IF($W1142=$Q1142,"ללא שינוי","מ-"&amp;$W1142&amp;" ל-"&amp;$Q1142))</f>
        <v/>
      </c>
    </row>
    <row r="1143">
      <c r="A1143" s="65" t="n"/>
      <c r="B1143" s="65" t="n"/>
      <c r="C1143" s="66" t="n"/>
      <c r="D1143" s="66" t="n"/>
      <c r="E1143" s="65" t="n"/>
      <c r="F1143" s="65" t="n"/>
      <c r="G1143" s="65" t="n"/>
      <c r="H1143" s="65" t="n"/>
      <c r="I1143" s="65" t="n"/>
      <c r="J1143" s="65" t="n"/>
      <c r="K1143" s="65" t="n"/>
      <c r="L1143" s="65" t="n"/>
      <c r="M1143" s="65" t="n"/>
      <c r="N1143" s="65" t="n"/>
      <c r="O1143" s="65" t="n"/>
      <c r="P1143" s="65" t="n"/>
      <c r="Q1143" s="32">
        <f>IF($C1143="","",IF($J1143="","— חסרים נתונים",IF($J1143="טרם מפענח","פרופיל 5",IF($J1143="קמץ/פתח/חטף-פתח ושוואים","פרופיל 4",IF($J1143="2-3 סימני ניקוד","פרופיל 3",IF($J1143="4-5 סימני ניקוד","פרופיל 2",IF(AND($O1143="משפטים וקטעים קצרים",OR($M1143="מבין",$M1143="מבין לרוב")),"פרופיל 1","פרופיל 2")))))))</f>
        <v/>
      </c>
      <c r="R1143" s="32">
        <f>IF($C1143="","",IF(OR($Q1143="",LEFT($Q1143,1)="—"),"קבוצה רביעית",IF($Q1143="פרופיל 5","קבוצת תשתיות",IF(OR($Q1143="פרופיל 4",$Q1143="פרופיל 3"),"קבוצת רכישה","קבוצת ביסוס"))))</f>
        <v/>
      </c>
      <c r="S1143" s="32">
        <f>IF($F1143="","",IF($F1143="תחילת שנה",1,IF($F1143="מחצית שנה",2,3)))</f>
        <v/>
      </c>
      <c r="T1143" s="32">
        <f>IF(OR($B1143="",$R1143="",$A1143="",$F1143=""),"",$B1143&amp;"|"&amp;$A1143&amp;"|"&amp;$F1143&amp;"|"&amp;$R1143&amp;"|"&amp;COUNTIFS($B$6:$B1143,$B1143,$A$6:$A1143,$A1143,$F$6:$F1143,$F1143,$R$6:$R1143,$R1143))</f>
        <v/>
      </c>
      <c r="U1143" s="32">
        <f>IF($C1143="","",$C1143&amp;"|"&amp;COUNTIFS($C$6:$C1143,$C1143))</f>
        <v/>
      </c>
      <c r="V1143" s="32">
        <f>IF(OR($C1143="",$A1143="",$S1143=""),"",$C1143&amp;"|"&amp;$A1143&amp;"|"&amp;$S1143)</f>
        <v/>
      </c>
      <c r="W1143" s="32">
        <f>IF(OR($C1143="",$S1143="",$S1143=1),"",IFERROR(INDEX($Q$6:$Q$1505,MATCH($C1143&amp;"|"&amp;$A1143&amp;"|"&amp;($S1143-1),$V$6:$V$1505,0)),""))</f>
        <v/>
      </c>
      <c r="X1143" s="32">
        <f>IF(OR($W1143="",$Q1143="",LEFT($Q1143,1)="—"),"",IF($W1143=$Q1143,"ללא שינוי","מ-"&amp;$W1143&amp;" ל-"&amp;$Q1143))</f>
        <v/>
      </c>
    </row>
    <row r="1144">
      <c r="A1144" s="65" t="n"/>
      <c r="B1144" s="65" t="n"/>
      <c r="C1144" s="66" t="n"/>
      <c r="D1144" s="66" t="n"/>
      <c r="E1144" s="65" t="n"/>
      <c r="F1144" s="65" t="n"/>
      <c r="G1144" s="65" t="n"/>
      <c r="H1144" s="65" t="n"/>
      <c r="I1144" s="65" t="n"/>
      <c r="J1144" s="65" t="n"/>
      <c r="K1144" s="65" t="n"/>
      <c r="L1144" s="65" t="n"/>
      <c r="M1144" s="65" t="n"/>
      <c r="N1144" s="65" t="n"/>
      <c r="O1144" s="65" t="n"/>
      <c r="P1144" s="65" t="n"/>
      <c r="Q1144" s="32">
        <f>IF($C1144="","",IF($J1144="","— חסרים נתונים",IF($J1144="טרם מפענח","פרופיל 5",IF($J1144="קמץ/פתח/חטף-פתח ושוואים","פרופיל 4",IF($J1144="2-3 סימני ניקוד","פרופיל 3",IF($J1144="4-5 סימני ניקוד","פרופיל 2",IF(AND($O1144="משפטים וקטעים קצרים",OR($M1144="מבין",$M1144="מבין לרוב")),"פרופיל 1","פרופיל 2")))))))</f>
        <v/>
      </c>
      <c r="R1144" s="32">
        <f>IF($C1144="","",IF(OR($Q1144="",LEFT($Q1144,1)="—"),"קבוצה רביעית",IF($Q1144="פרופיל 5","קבוצת תשתיות",IF(OR($Q1144="פרופיל 4",$Q1144="פרופיל 3"),"קבוצת רכישה","קבוצת ביסוס"))))</f>
        <v/>
      </c>
      <c r="S1144" s="32">
        <f>IF($F1144="","",IF($F1144="תחילת שנה",1,IF($F1144="מחצית שנה",2,3)))</f>
        <v/>
      </c>
      <c r="T1144" s="32">
        <f>IF(OR($B1144="",$R1144="",$A1144="",$F1144=""),"",$B1144&amp;"|"&amp;$A1144&amp;"|"&amp;$F1144&amp;"|"&amp;$R1144&amp;"|"&amp;COUNTIFS($B$6:$B1144,$B1144,$A$6:$A1144,$A1144,$F$6:$F1144,$F1144,$R$6:$R1144,$R1144))</f>
        <v/>
      </c>
      <c r="U1144" s="32">
        <f>IF($C1144="","",$C1144&amp;"|"&amp;COUNTIFS($C$6:$C1144,$C1144))</f>
        <v/>
      </c>
      <c r="V1144" s="32">
        <f>IF(OR($C1144="",$A1144="",$S1144=""),"",$C1144&amp;"|"&amp;$A1144&amp;"|"&amp;$S1144)</f>
        <v/>
      </c>
      <c r="W1144" s="32">
        <f>IF(OR($C1144="",$S1144="",$S1144=1),"",IFERROR(INDEX($Q$6:$Q$1505,MATCH($C1144&amp;"|"&amp;$A1144&amp;"|"&amp;($S1144-1),$V$6:$V$1505,0)),""))</f>
        <v/>
      </c>
      <c r="X1144" s="32">
        <f>IF(OR($W1144="",$Q1144="",LEFT($Q1144,1)="—"),"",IF($W1144=$Q1144,"ללא שינוי","מ-"&amp;$W1144&amp;" ל-"&amp;$Q1144))</f>
        <v/>
      </c>
    </row>
    <row r="1145">
      <c r="A1145" s="65" t="n"/>
      <c r="B1145" s="65" t="n"/>
      <c r="C1145" s="66" t="n"/>
      <c r="D1145" s="66" t="n"/>
      <c r="E1145" s="65" t="n"/>
      <c r="F1145" s="65" t="n"/>
      <c r="G1145" s="65" t="n"/>
      <c r="H1145" s="65" t="n"/>
      <c r="I1145" s="65" t="n"/>
      <c r="J1145" s="65" t="n"/>
      <c r="K1145" s="65" t="n"/>
      <c r="L1145" s="65" t="n"/>
      <c r="M1145" s="65" t="n"/>
      <c r="N1145" s="65" t="n"/>
      <c r="O1145" s="65" t="n"/>
      <c r="P1145" s="65" t="n"/>
      <c r="Q1145" s="32">
        <f>IF($C1145="","",IF($J1145="","— חסרים נתונים",IF($J1145="טרם מפענח","פרופיל 5",IF($J1145="קמץ/פתח/חטף-פתח ושוואים","פרופיל 4",IF($J1145="2-3 סימני ניקוד","פרופיל 3",IF($J1145="4-5 סימני ניקוד","פרופיל 2",IF(AND($O1145="משפטים וקטעים קצרים",OR($M1145="מבין",$M1145="מבין לרוב")),"פרופיל 1","פרופיל 2")))))))</f>
        <v/>
      </c>
      <c r="R1145" s="32">
        <f>IF($C1145="","",IF(OR($Q1145="",LEFT($Q1145,1)="—"),"קבוצה רביעית",IF($Q1145="פרופיל 5","קבוצת תשתיות",IF(OR($Q1145="פרופיל 4",$Q1145="פרופיל 3"),"קבוצת רכישה","קבוצת ביסוס"))))</f>
        <v/>
      </c>
      <c r="S1145" s="32">
        <f>IF($F1145="","",IF($F1145="תחילת שנה",1,IF($F1145="מחצית שנה",2,3)))</f>
        <v/>
      </c>
      <c r="T1145" s="32">
        <f>IF(OR($B1145="",$R1145="",$A1145="",$F1145=""),"",$B1145&amp;"|"&amp;$A1145&amp;"|"&amp;$F1145&amp;"|"&amp;$R1145&amp;"|"&amp;COUNTIFS($B$6:$B1145,$B1145,$A$6:$A1145,$A1145,$F$6:$F1145,$F1145,$R$6:$R1145,$R1145))</f>
        <v/>
      </c>
      <c r="U1145" s="32">
        <f>IF($C1145="","",$C1145&amp;"|"&amp;COUNTIFS($C$6:$C1145,$C1145))</f>
        <v/>
      </c>
      <c r="V1145" s="32">
        <f>IF(OR($C1145="",$A1145="",$S1145=""),"",$C1145&amp;"|"&amp;$A1145&amp;"|"&amp;$S1145)</f>
        <v/>
      </c>
      <c r="W1145" s="32">
        <f>IF(OR($C1145="",$S1145="",$S1145=1),"",IFERROR(INDEX($Q$6:$Q$1505,MATCH($C1145&amp;"|"&amp;$A1145&amp;"|"&amp;($S1145-1),$V$6:$V$1505,0)),""))</f>
        <v/>
      </c>
      <c r="X1145" s="32">
        <f>IF(OR($W1145="",$Q1145="",LEFT($Q1145,1)="—"),"",IF($W1145=$Q1145,"ללא שינוי","מ-"&amp;$W1145&amp;" ל-"&amp;$Q1145))</f>
        <v/>
      </c>
    </row>
    <row r="1146">
      <c r="A1146" s="65" t="n"/>
      <c r="B1146" s="65" t="n"/>
      <c r="C1146" s="66" t="n"/>
      <c r="D1146" s="66" t="n"/>
      <c r="E1146" s="65" t="n"/>
      <c r="F1146" s="65" t="n"/>
      <c r="G1146" s="65" t="n"/>
      <c r="H1146" s="65" t="n"/>
      <c r="I1146" s="65" t="n"/>
      <c r="J1146" s="65" t="n"/>
      <c r="K1146" s="65" t="n"/>
      <c r="L1146" s="65" t="n"/>
      <c r="M1146" s="65" t="n"/>
      <c r="N1146" s="65" t="n"/>
      <c r="O1146" s="65" t="n"/>
      <c r="P1146" s="65" t="n"/>
      <c r="Q1146" s="32">
        <f>IF($C1146="","",IF($J1146="","— חסרים נתונים",IF($J1146="טרם מפענח","פרופיל 5",IF($J1146="קמץ/פתח/חטף-פתח ושוואים","פרופיל 4",IF($J1146="2-3 סימני ניקוד","פרופיל 3",IF($J1146="4-5 סימני ניקוד","פרופיל 2",IF(AND($O1146="משפטים וקטעים קצרים",OR($M1146="מבין",$M1146="מבין לרוב")),"פרופיל 1","פרופיל 2")))))))</f>
        <v/>
      </c>
      <c r="R1146" s="32">
        <f>IF($C1146="","",IF(OR($Q1146="",LEFT($Q1146,1)="—"),"קבוצה רביעית",IF($Q1146="פרופיל 5","קבוצת תשתיות",IF(OR($Q1146="פרופיל 4",$Q1146="פרופיל 3"),"קבוצת רכישה","קבוצת ביסוס"))))</f>
        <v/>
      </c>
      <c r="S1146" s="32">
        <f>IF($F1146="","",IF($F1146="תחילת שנה",1,IF($F1146="מחצית שנה",2,3)))</f>
        <v/>
      </c>
      <c r="T1146" s="32">
        <f>IF(OR($B1146="",$R1146="",$A1146="",$F1146=""),"",$B1146&amp;"|"&amp;$A1146&amp;"|"&amp;$F1146&amp;"|"&amp;$R1146&amp;"|"&amp;COUNTIFS($B$6:$B1146,$B1146,$A$6:$A1146,$A1146,$F$6:$F1146,$F1146,$R$6:$R1146,$R1146))</f>
        <v/>
      </c>
      <c r="U1146" s="32">
        <f>IF($C1146="","",$C1146&amp;"|"&amp;COUNTIFS($C$6:$C1146,$C1146))</f>
        <v/>
      </c>
      <c r="V1146" s="32">
        <f>IF(OR($C1146="",$A1146="",$S1146=""),"",$C1146&amp;"|"&amp;$A1146&amp;"|"&amp;$S1146)</f>
        <v/>
      </c>
      <c r="W1146" s="32">
        <f>IF(OR($C1146="",$S1146="",$S1146=1),"",IFERROR(INDEX($Q$6:$Q$1505,MATCH($C1146&amp;"|"&amp;$A1146&amp;"|"&amp;($S1146-1),$V$6:$V$1505,0)),""))</f>
        <v/>
      </c>
      <c r="X1146" s="32">
        <f>IF(OR($W1146="",$Q1146="",LEFT($Q1146,1)="—"),"",IF($W1146=$Q1146,"ללא שינוי","מ-"&amp;$W1146&amp;" ל-"&amp;$Q1146))</f>
        <v/>
      </c>
    </row>
    <row r="1147">
      <c r="A1147" s="65" t="n"/>
      <c r="B1147" s="65" t="n"/>
      <c r="C1147" s="66" t="n"/>
      <c r="D1147" s="66" t="n"/>
      <c r="E1147" s="65" t="n"/>
      <c r="F1147" s="65" t="n"/>
      <c r="G1147" s="65" t="n"/>
      <c r="H1147" s="65" t="n"/>
      <c r="I1147" s="65" t="n"/>
      <c r="J1147" s="65" t="n"/>
      <c r="K1147" s="65" t="n"/>
      <c r="L1147" s="65" t="n"/>
      <c r="M1147" s="65" t="n"/>
      <c r="N1147" s="65" t="n"/>
      <c r="O1147" s="65" t="n"/>
      <c r="P1147" s="65" t="n"/>
      <c r="Q1147" s="32">
        <f>IF($C1147="","",IF($J1147="","— חסרים נתונים",IF($J1147="טרם מפענח","פרופיל 5",IF($J1147="קמץ/פתח/חטף-פתח ושוואים","פרופיל 4",IF($J1147="2-3 סימני ניקוד","פרופיל 3",IF($J1147="4-5 סימני ניקוד","פרופיל 2",IF(AND($O1147="משפטים וקטעים קצרים",OR($M1147="מבין",$M1147="מבין לרוב")),"פרופיל 1","פרופיל 2")))))))</f>
        <v/>
      </c>
      <c r="R1147" s="32">
        <f>IF($C1147="","",IF(OR($Q1147="",LEFT($Q1147,1)="—"),"קבוצה רביעית",IF($Q1147="פרופיל 5","קבוצת תשתיות",IF(OR($Q1147="פרופיל 4",$Q1147="פרופיל 3"),"קבוצת רכישה","קבוצת ביסוס"))))</f>
        <v/>
      </c>
      <c r="S1147" s="32">
        <f>IF($F1147="","",IF($F1147="תחילת שנה",1,IF($F1147="מחצית שנה",2,3)))</f>
        <v/>
      </c>
      <c r="T1147" s="32">
        <f>IF(OR($B1147="",$R1147="",$A1147="",$F1147=""),"",$B1147&amp;"|"&amp;$A1147&amp;"|"&amp;$F1147&amp;"|"&amp;$R1147&amp;"|"&amp;COUNTIFS($B$6:$B1147,$B1147,$A$6:$A1147,$A1147,$F$6:$F1147,$F1147,$R$6:$R1147,$R1147))</f>
        <v/>
      </c>
      <c r="U1147" s="32">
        <f>IF($C1147="","",$C1147&amp;"|"&amp;COUNTIFS($C$6:$C1147,$C1147))</f>
        <v/>
      </c>
      <c r="V1147" s="32">
        <f>IF(OR($C1147="",$A1147="",$S1147=""),"",$C1147&amp;"|"&amp;$A1147&amp;"|"&amp;$S1147)</f>
        <v/>
      </c>
      <c r="W1147" s="32">
        <f>IF(OR($C1147="",$S1147="",$S1147=1),"",IFERROR(INDEX($Q$6:$Q$1505,MATCH($C1147&amp;"|"&amp;$A1147&amp;"|"&amp;($S1147-1),$V$6:$V$1505,0)),""))</f>
        <v/>
      </c>
      <c r="X1147" s="32">
        <f>IF(OR($W1147="",$Q1147="",LEFT($Q1147,1)="—"),"",IF($W1147=$Q1147,"ללא שינוי","מ-"&amp;$W1147&amp;" ל-"&amp;$Q1147))</f>
        <v/>
      </c>
    </row>
    <row r="1148">
      <c r="A1148" s="65" t="n"/>
      <c r="B1148" s="65" t="n"/>
      <c r="C1148" s="66" t="n"/>
      <c r="D1148" s="66" t="n"/>
      <c r="E1148" s="65" t="n"/>
      <c r="F1148" s="65" t="n"/>
      <c r="G1148" s="65" t="n"/>
      <c r="H1148" s="65" t="n"/>
      <c r="I1148" s="65" t="n"/>
      <c r="J1148" s="65" t="n"/>
      <c r="K1148" s="65" t="n"/>
      <c r="L1148" s="65" t="n"/>
      <c r="M1148" s="65" t="n"/>
      <c r="N1148" s="65" t="n"/>
      <c r="O1148" s="65" t="n"/>
      <c r="P1148" s="65" t="n"/>
      <c r="Q1148" s="32">
        <f>IF($C1148="","",IF($J1148="","— חסרים נתונים",IF($J1148="טרם מפענח","פרופיל 5",IF($J1148="קמץ/פתח/חטף-פתח ושוואים","פרופיל 4",IF($J1148="2-3 סימני ניקוד","פרופיל 3",IF($J1148="4-5 סימני ניקוד","פרופיל 2",IF(AND($O1148="משפטים וקטעים קצרים",OR($M1148="מבין",$M1148="מבין לרוב")),"פרופיל 1","פרופיל 2")))))))</f>
        <v/>
      </c>
      <c r="R1148" s="32">
        <f>IF($C1148="","",IF(OR($Q1148="",LEFT($Q1148,1)="—"),"קבוצה רביעית",IF($Q1148="פרופיל 5","קבוצת תשתיות",IF(OR($Q1148="פרופיל 4",$Q1148="פרופיל 3"),"קבוצת רכישה","קבוצת ביסוס"))))</f>
        <v/>
      </c>
      <c r="S1148" s="32">
        <f>IF($F1148="","",IF($F1148="תחילת שנה",1,IF($F1148="מחצית שנה",2,3)))</f>
        <v/>
      </c>
      <c r="T1148" s="32">
        <f>IF(OR($B1148="",$R1148="",$A1148="",$F1148=""),"",$B1148&amp;"|"&amp;$A1148&amp;"|"&amp;$F1148&amp;"|"&amp;$R1148&amp;"|"&amp;COUNTIFS($B$6:$B1148,$B1148,$A$6:$A1148,$A1148,$F$6:$F1148,$F1148,$R$6:$R1148,$R1148))</f>
        <v/>
      </c>
      <c r="U1148" s="32">
        <f>IF($C1148="","",$C1148&amp;"|"&amp;COUNTIFS($C$6:$C1148,$C1148))</f>
        <v/>
      </c>
      <c r="V1148" s="32">
        <f>IF(OR($C1148="",$A1148="",$S1148=""),"",$C1148&amp;"|"&amp;$A1148&amp;"|"&amp;$S1148)</f>
        <v/>
      </c>
      <c r="W1148" s="32">
        <f>IF(OR($C1148="",$S1148="",$S1148=1),"",IFERROR(INDEX($Q$6:$Q$1505,MATCH($C1148&amp;"|"&amp;$A1148&amp;"|"&amp;($S1148-1),$V$6:$V$1505,0)),""))</f>
        <v/>
      </c>
      <c r="X1148" s="32">
        <f>IF(OR($W1148="",$Q1148="",LEFT($Q1148,1)="—"),"",IF($W1148=$Q1148,"ללא שינוי","מ-"&amp;$W1148&amp;" ל-"&amp;$Q1148))</f>
        <v/>
      </c>
    </row>
    <row r="1149">
      <c r="A1149" s="65" t="n"/>
      <c r="B1149" s="65" t="n"/>
      <c r="C1149" s="66" t="n"/>
      <c r="D1149" s="66" t="n"/>
      <c r="E1149" s="65" t="n"/>
      <c r="F1149" s="65" t="n"/>
      <c r="G1149" s="65" t="n"/>
      <c r="H1149" s="65" t="n"/>
      <c r="I1149" s="65" t="n"/>
      <c r="J1149" s="65" t="n"/>
      <c r="K1149" s="65" t="n"/>
      <c r="L1149" s="65" t="n"/>
      <c r="M1149" s="65" t="n"/>
      <c r="N1149" s="65" t="n"/>
      <c r="O1149" s="65" t="n"/>
      <c r="P1149" s="65" t="n"/>
      <c r="Q1149" s="32">
        <f>IF($C1149="","",IF($J1149="","— חסרים נתונים",IF($J1149="טרם מפענח","פרופיל 5",IF($J1149="קמץ/פתח/חטף-פתח ושוואים","פרופיל 4",IF($J1149="2-3 סימני ניקוד","פרופיל 3",IF($J1149="4-5 סימני ניקוד","פרופיל 2",IF(AND($O1149="משפטים וקטעים קצרים",OR($M1149="מבין",$M1149="מבין לרוב")),"פרופיל 1","פרופיל 2")))))))</f>
        <v/>
      </c>
      <c r="R1149" s="32">
        <f>IF($C1149="","",IF(OR($Q1149="",LEFT($Q1149,1)="—"),"קבוצה רביעית",IF($Q1149="פרופיל 5","קבוצת תשתיות",IF(OR($Q1149="פרופיל 4",$Q1149="פרופיל 3"),"קבוצת רכישה","קבוצת ביסוס"))))</f>
        <v/>
      </c>
      <c r="S1149" s="32">
        <f>IF($F1149="","",IF($F1149="תחילת שנה",1,IF($F1149="מחצית שנה",2,3)))</f>
        <v/>
      </c>
      <c r="T1149" s="32">
        <f>IF(OR($B1149="",$R1149="",$A1149="",$F1149=""),"",$B1149&amp;"|"&amp;$A1149&amp;"|"&amp;$F1149&amp;"|"&amp;$R1149&amp;"|"&amp;COUNTIFS($B$6:$B1149,$B1149,$A$6:$A1149,$A1149,$F$6:$F1149,$F1149,$R$6:$R1149,$R1149))</f>
        <v/>
      </c>
      <c r="U1149" s="32">
        <f>IF($C1149="","",$C1149&amp;"|"&amp;COUNTIFS($C$6:$C1149,$C1149))</f>
        <v/>
      </c>
      <c r="V1149" s="32">
        <f>IF(OR($C1149="",$A1149="",$S1149=""),"",$C1149&amp;"|"&amp;$A1149&amp;"|"&amp;$S1149)</f>
        <v/>
      </c>
      <c r="W1149" s="32">
        <f>IF(OR($C1149="",$S1149="",$S1149=1),"",IFERROR(INDEX($Q$6:$Q$1505,MATCH($C1149&amp;"|"&amp;$A1149&amp;"|"&amp;($S1149-1),$V$6:$V$1505,0)),""))</f>
        <v/>
      </c>
      <c r="X1149" s="32">
        <f>IF(OR($W1149="",$Q1149="",LEFT($Q1149,1)="—"),"",IF($W1149=$Q1149,"ללא שינוי","מ-"&amp;$W1149&amp;" ל-"&amp;$Q1149))</f>
        <v/>
      </c>
    </row>
    <row r="1150">
      <c r="A1150" s="65" t="n"/>
      <c r="B1150" s="65" t="n"/>
      <c r="C1150" s="66" t="n"/>
      <c r="D1150" s="66" t="n"/>
      <c r="E1150" s="65" t="n"/>
      <c r="F1150" s="65" t="n"/>
      <c r="G1150" s="65" t="n"/>
      <c r="H1150" s="65" t="n"/>
      <c r="I1150" s="65" t="n"/>
      <c r="J1150" s="65" t="n"/>
      <c r="K1150" s="65" t="n"/>
      <c r="L1150" s="65" t="n"/>
      <c r="M1150" s="65" t="n"/>
      <c r="N1150" s="65" t="n"/>
      <c r="O1150" s="65" t="n"/>
      <c r="P1150" s="65" t="n"/>
      <c r="Q1150" s="32">
        <f>IF($C1150="","",IF($J1150="","— חסרים נתונים",IF($J1150="טרם מפענח","פרופיל 5",IF($J1150="קמץ/פתח/חטף-פתח ושוואים","פרופיל 4",IF($J1150="2-3 סימני ניקוד","פרופיל 3",IF($J1150="4-5 סימני ניקוד","פרופיל 2",IF(AND($O1150="משפטים וקטעים קצרים",OR($M1150="מבין",$M1150="מבין לרוב")),"פרופיל 1","פרופיל 2")))))))</f>
        <v/>
      </c>
      <c r="R1150" s="32">
        <f>IF($C1150="","",IF(OR($Q1150="",LEFT($Q1150,1)="—"),"קבוצה רביעית",IF($Q1150="פרופיל 5","קבוצת תשתיות",IF(OR($Q1150="פרופיל 4",$Q1150="פרופיל 3"),"קבוצת רכישה","קבוצת ביסוס"))))</f>
        <v/>
      </c>
      <c r="S1150" s="32">
        <f>IF($F1150="","",IF($F1150="תחילת שנה",1,IF($F1150="מחצית שנה",2,3)))</f>
        <v/>
      </c>
      <c r="T1150" s="32">
        <f>IF(OR($B1150="",$R1150="",$A1150="",$F1150=""),"",$B1150&amp;"|"&amp;$A1150&amp;"|"&amp;$F1150&amp;"|"&amp;$R1150&amp;"|"&amp;COUNTIFS($B$6:$B1150,$B1150,$A$6:$A1150,$A1150,$F$6:$F1150,$F1150,$R$6:$R1150,$R1150))</f>
        <v/>
      </c>
      <c r="U1150" s="32">
        <f>IF($C1150="","",$C1150&amp;"|"&amp;COUNTIFS($C$6:$C1150,$C1150))</f>
        <v/>
      </c>
      <c r="V1150" s="32">
        <f>IF(OR($C1150="",$A1150="",$S1150=""),"",$C1150&amp;"|"&amp;$A1150&amp;"|"&amp;$S1150)</f>
        <v/>
      </c>
      <c r="W1150" s="32">
        <f>IF(OR($C1150="",$S1150="",$S1150=1),"",IFERROR(INDEX($Q$6:$Q$1505,MATCH($C1150&amp;"|"&amp;$A1150&amp;"|"&amp;($S1150-1),$V$6:$V$1505,0)),""))</f>
        <v/>
      </c>
      <c r="X1150" s="32">
        <f>IF(OR($W1150="",$Q1150="",LEFT($Q1150,1)="—"),"",IF($W1150=$Q1150,"ללא שינוי","מ-"&amp;$W1150&amp;" ל-"&amp;$Q1150))</f>
        <v/>
      </c>
    </row>
    <row r="1151">
      <c r="A1151" s="65" t="n"/>
      <c r="B1151" s="65" t="n"/>
      <c r="C1151" s="66" t="n"/>
      <c r="D1151" s="66" t="n"/>
      <c r="E1151" s="65" t="n"/>
      <c r="F1151" s="65" t="n"/>
      <c r="G1151" s="65" t="n"/>
      <c r="H1151" s="65" t="n"/>
      <c r="I1151" s="65" t="n"/>
      <c r="J1151" s="65" t="n"/>
      <c r="K1151" s="65" t="n"/>
      <c r="L1151" s="65" t="n"/>
      <c r="M1151" s="65" t="n"/>
      <c r="N1151" s="65" t="n"/>
      <c r="O1151" s="65" t="n"/>
      <c r="P1151" s="65" t="n"/>
      <c r="Q1151" s="32">
        <f>IF($C1151="","",IF($J1151="","— חסרים נתונים",IF($J1151="טרם מפענח","פרופיל 5",IF($J1151="קמץ/פתח/חטף-פתח ושוואים","פרופיל 4",IF($J1151="2-3 סימני ניקוד","פרופיל 3",IF($J1151="4-5 סימני ניקוד","פרופיל 2",IF(AND($O1151="משפטים וקטעים קצרים",OR($M1151="מבין",$M1151="מבין לרוב")),"פרופיל 1","פרופיל 2")))))))</f>
        <v/>
      </c>
      <c r="R1151" s="32">
        <f>IF($C1151="","",IF(OR($Q1151="",LEFT($Q1151,1)="—"),"קבוצה רביעית",IF($Q1151="פרופיל 5","קבוצת תשתיות",IF(OR($Q1151="פרופיל 4",$Q1151="פרופיל 3"),"קבוצת רכישה","קבוצת ביסוס"))))</f>
        <v/>
      </c>
      <c r="S1151" s="32">
        <f>IF($F1151="","",IF($F1151="תחילת שנה",1,IF($F1151="מחצית שנה",2,3)))</f>
        <v/>
      </c>
      <c r="T1151" s="32">
        <f>IF(OR($B1151="",$R1151="",$A1151="",$F1151=""),"",$B1151&amp;"|"&amp;$A1151&amp;"|"&amp;$F1151&amp;"|"&amp;$R1151&amp;"|"&amp;COUNTIFS($B$6:$B1151,$B1151,$A$6:$A1151,$A1151,$F$6:$F1151,$F1151,$R$6:$R1151,$R1151))</f>
        <v/>
      </c>
      <c r="U1151" s="32">
        <f>IF($C1151="","",$C1151&amp;"|"&amp;COUNTIFS($C$6:$C1151,$C1151))</f>
        <v/>
      </c>
      <c r="V1151" s="32">
        <f>IF(OR($C1151="",$A1151="",$S1151=""),"",$C1151&amp;"|"&amp;$A1151&amp;"|"&amp;$S1151)</f>
        <v/>
      </c>
      <c r="W1151" s="32">
        <f>IF(OR($C1151="",$S1151="",$S1151=1),"",IFERROR(INDEX($Q$6:$Q$1505,MATCH($C1151&amp;"|"&amp;$A1151&amp;"|"&amp;($S1151-1),$V$6:$V$1505,0)),""))</f>
        <v/>
      </c>
      <c r="X1151" s="32">
        <f>IF(OR($W1151="",$Q1151="",LEFT($Q1151,1)="—"),"",IF($W1151=$Q1151,"ללא שינוי","מ-"&amp;$W1151&amp;" ל-"&amp;$Q1151))</f>
        <v/>
      </c>
    </row>
    <row r="1152">
      <c r="A1152" s="65" t="n"/>
      <c r="B1152" s="65" t="n"/>
      <c r="C1152" s="66" t="n"/>
      <c r="D1152" s="66" t="n"/>
      <c r="E1152" s="65" t="n"/>
      <c r="F1152" s="65" t="n"/>
      <c r="G1152" s="65" t="n"/>
      <c r="H1152" s="65" t="n"/>
      <c r="I1152" s="65" t="n"/>
      <c r="J1152" s="65" t="n"/>
      <c r="K1152" s="65" t="n"/>
      <c r="L1152" s="65" t="n"/>
      <c r="M1152" s="65" t="n"/>
      <c r="N1152" s="65" t="n"/>
      <c r="O1152" s="65" t="n"/>
      <c r="P1152" s="65" t="n"/>
      <c r="Q1152" s="32">
        <f>IF($C1152="","",IF($J1152="","— חסרים נתונים",IF($J1152="טרם מפענח","פרופיל 5",IF($J1152="קמץ/פתח/חטף-פתח ושוואים","פרופיל 4",IF($J1152="2-3 סימני ניקוד","פרופיל 3",IF($J1152="4-5 סימני ניקוד","פרופיל 2",IF(AND($O1152="משפטים וקטעים קצרים",OR($M1152="מבין",$M1152="מבין לרוב")),"פרופיל 1","פרופיל 2")))))))</f>
        <v/>
      </c>
      <c r="R1152" s="32">
        <f>IF($C1152="","",IF(OR($Q1152="",LEFT($Q1152,1)="—"),"קבוצה רביעית",IF($Q1152="פרופיל 5","קבוצת תשתיות",IF(OR($Q1152="פרופיל 4",$Q1152="פרופיל 3"),"קבוצת רכישה","קבוצת ביסוס"))))</f>
        <v/>
      </c>
      <c r="S1152" s="32">
        <f>IF($F1152="","",IF($F1152="תחילת שנה",1,IF($F1152="מחצית שנה",2,3)))</f>
        <v/>
      </c>
      <c r="T1152" s="32">
        <f>IF(OR($B1152="",$R1152="",$A1152="",$F1152=""),"",$B1152&amp;"|"&amp;$A1152&amp;"|"&amp;$F1152&amp;"|"&amp;$R1152&amp;"|"&amp;COUNTIFS($B$6:$B1152,$B1152,$A$6:$A1152,$A1152,$F$6:$F1152,$F1152,$R$6:$R1152,$R1152))</f>
        <v/>
      </c>
      <c r="U1152" s="32">
        <f>IF($C1152="","",$C1152&amp;"|"&amp;COUNTIFS($C$6:$C1152,$C1152))</f>
        <v/>
      </c>
      <c r="V1152" s="32">
        <f>IF(OR($C1152="",$A1152="",$S1152=""),"",$C1152&amp;"|"&amp;$A1152&amp;"|"&amp;$S1152)</f>
        <v/>
      </c>
      <c r="W1152" s="32">
        <f>IF(OR($C1152="",$S1152="",$S1152=1),"",IFERROR(INDEX($Q$6:$Q$1505,MATCH($C1152&amp;"|"&amp;$A1152&amp;"|"&amp;($S1152-1),$V$6:$V$1505,0)),""))</f>
        <v/>
      </c>
      <c r="X1152" s="32">
        <f>IF(OR($W1152="",$Q1152="",LEFT($Q1152,1)="—"),"",IF($W1152=$Q1152,"ללא שינוי","מ-"&amp;$W1152&amp;" ל-"&amp;$Q1152))</f>
        <v/>
      </c>
    </row>
    <row r="1153">
      <c r="A1153" s="65" t="n"/>
      <c r="B1153" s="65" t="n"/>
      <c r="C1153" s="66" t="n"/>
      <c r="D1153" s="66" t="n"/>
      <c r="E1153" s="65" t="n"/>
      <c r="F1153" s="65" t="n"/>
      <c r="G1153" s="65" t="n"/>
      <c r="H1153" s="65" t="n"/>
      <c r="I1153" s="65" t="n"/>
      <c r="J1153" s="65" t="n"/>
      <c r="K1153" s="65" t="n"/>
      <c r="L1153" s="65" t="n"/>
      <c r="M1153" s="65" t="n"/>
      <c r="N1153" s="65" t="n"/>
      <c r="O1153" s="65" t="n"/>
      <c r="P1153" s="65" t="n"/>
      <c r="Q1153" s="32">
        <f>IF($C1153="","",IF($J1153="","— חסרים נתונים",IF($J1153="טרם מפענח","פרופיל 5",IF($J1153="קמץ/פתח/חטף-פתח ושוואים","פרופיל 4",IF($J1153="2-3 סימני ניקוד","פרופיל 3",IF($J1153="4-5 סימני ניקוד","פרופיל 2",IF(AND($O1153="משפטים וקטעים קצרים",OR($M1153="מבין",$M1153="מבין לרוב")),"פרופיל 1","פרופיל 2")))))))</f>
        <v/>
      </c>
      <c r="R1153" s="32">
        <f>IF($C1153="","",IF(OR($Q1153="",LEFT($Q1153,1)="—"),"קבוצה רביעית",IF($Q1153="פרופיל 5","קבוצת תשתיות",IF(OR($Q1153="פרופיל 4",$Q1153="פרופיל 3"),"קבוצת רכישה","קבוצת ביסוס"))))</f>
        <v/>
      </c>
      <c r="S1153" s="32">
        <f>IF($F1153="","",IF($F1153="תחילת שנה",1,IF($F1153="מחצית שנה",2,3)))</f>
        <v/>
      </c>
      <c r="T1153" s="32">
        <f>IF(OR($B1153="",$R1153="",$A1153="",$F1153=""),"",$B1153&amp;"|"&amp;$A1153&amp;"|"&amp;$F1153&amp;"|"&amp;$R1153&amp;"|"&amp;COUNTIFS($B$6:$B1153,$B1153,$A$6:$A1153,$A1153,$F$6:$F1153,$F1153,$R$6:$R1153,$R1153))</f>
        <v/>
      </c>
      <c r="U1153" s="32">
        <f>IF($C1153="","",$C1153&amp;"|"&amp;COUNTIFS($C$6:$C1153,$C1153))</f>
        <v/>
      </c>
      <c r="V1153" s="32">
        <f>IF(OR($C1153="",$A1153="",$S1153=""),"",$C1153&amp;"|"&amp;$A1153&amp;"|"&amp;$S1153)</f>
        <v/>
      </c>
      <c r="W1153" s="32">
        <f>IF(OR($C1153="",$S1153="",$S1153=1),"",IFERROR(INDEX($Q$6:$Q$1505,MATCH($C1153&amp;"|"&amp;$A1153&amp;"|"&amp;($S1153-1),$V$6:$V$1505,0)),""))</f>
        <v/>
      </c>
      <c r="X1153" s="32">
        <f>IF(OR($W1153="",$Q1153="",LEFT($Q1153,1)="—"),"",IF($W1153=$Q1153,"ללא שינוי","מ-"&amp;$W1153&amp;" ל-"&amp;$Q1153))</f>
        <v/>
      </c>
    </row>
    <row r="1154">
      <c r="A1154" s="65" t="n"/>
      <c r="B1154" s="65" t="n"/>
      <c r="C1154" s="66" t="n"/>
      <c r="D1154" s="66" t="n"/>
      <c r="E1154" s="65" t="n"/>
      <c r="F1154" s="65" t="n"/>
      <c r="G1154" s="65" t="n"/>
      <c r="H1154" s="65" t="n"/>
      <c r="I1154" s="65" t="n"/>
      <c r="J1154" s="65" t="n"/>
      <c r="K1154" s="65" t="n"/>
      <c r="L1154" s="65" t="n"/>
      <c r="M1154" s="65" t="n"/>
      <c r="N1154" s="65" t="n"/>
      <c r="O1154" s="65" t="n"/>
      <c r="P1154" s="65" t="n"/>
      <c r="Q1154" s="32">
        <f>IF($C1154="","",IF($J1154="","— חסרים נתונים",IF($J1154="טרם מפענח","פרופיל 5",IF($J1154="קמץ/פתח/חטף-פתח ושוואים","פרופיל 4",IF($J1154="2-3 סימני ניקוד","פרופיל 3",IF($J1154="4-5 סימני ניקוד","פרופיל 2",IF(AND($O1154="משפטים וקטעים קצרים",OR($M1154="מבין",$M1154="מבין לרוב")),"פרופיל 1","פרופיל 2")))))))</f>
        <v/>
      </c>
      <c r="R1154" s="32">
        <f>IF($C1154="","",IF(OR($Q1154="",LEFT($Q1154,1)="—"),"קבוצה רביעית",IF($Q1154="פרופיל 5","קבוצת תשתיות",IF(OR($Q1154="פרופיל 4",$Q1154="פרופיל 3"),"קבוצת רכישה","קבוצת ביסוס"))))</f>
        <v/>
      </c>
      <c r="S1154" s="32">
        <f>IF($F1154="","",IF($F1154="תחילת שנה",1,IF($F1154="מחצית שנה",2,3)))</f>
        <v/>
      </c>
      <c r="T1154" s="32">
        <f>IF(OR($B1154="",$R1154="",$A1154="",$F1154=""),"",$B1154&amp;"|"&amp;$A1154&amp;"|"&amp;$F1154&amp;"|"&amp;$R1154&amp;"|"&amp;COUNTIFS($B$6:$B1154,$B1154,$A$6:$A1154,$A1154,$F$6:$F1154,$F1154,$R$6:$R1154,$R1154))</f>
        <v/>
      </c>
      <c r="U1154" s="32">
        <f>IF($C1154="","",$C1154&amp;"|"&amp;COUNTIFS($C$6:$C1154,$C1154))</f>
        <v/>
      </c>
      <c r="V1154" s="32">
        <f>IF(OR($C1154="",$A1154="",$S1154=""),"",$C1154&amp;"|"&amp;$A1154&amp;"|"&amp;$S1154)</f>
        <v/>
      </c>
      <c r="W1154" s="32">
        <f>IF(OR($C1154="",$S1154="",$S1154=1),"",IFERROR(INDEX($Q$6:$Q$1505,MATCH($C1154&amp;"|"&amp;$A1154&amp;"|"&amp;($S1154-1),$V$6:$V$1505,0)),""))</f>
        <v/>
      </c>
      <c r="X1154" s="32">
        <f>IF(OR($W1154="",$Q1154="",LEFT($Q1154,1)="—"),"",IF($W1154=$Q1154,"ללא שינוי","מ-"&amp;$W1154&amp;" ל-"&amp;$Q1154))</f>
        <v/>
      </c>
    </row>
    <row r="1155">
      <c r="A1155" s="65" t="n"/>
      <c r="B1155" s="65" t="n"/>
      <c r="C1155" s="66" t="n"/>
      <c r="D1155" s="66" t="n"/>
      <c r="E1155" s="65" t="n"/>
      <c r="F1155" s="65" t="n"/>
      <c r="G1155" s="65" t="n"/>
      <c r="H1155" s="65" t="n"/>
      <c r="I1155" s="65" t="n"/>
      <c r="J1155" s="65" t="n"/>
      <c r="K1155" s="65" t="n"/>
      <c r="L1155" s="65" t="n"/>
      <c r="M1155" s="65" t="n"/>
      <c r="N1155" s="65" t="n"/>
      <c r="O1155" s="65" t="n"/>
      <c r="P1155" s="65" t="n"/>
      <c r="Q1155" s="32">
        <f>IF($C1155="","",IF($J1155="","— חסרים נתונים",IF($J1155="טרם מפענח","פרופיל 5",IF($J1155="קמץ/פתח/חטף-פתח ושוואים","פרופיל 4",IF($J1155="2-3 סימני ניקוד","פרופיל 3",IF($J1155="4-5 סימני ניקוד","פרופיל 2",IF(AND($O1155="משפטים וקטעים קצרים",OR($M1155="מבין",$M1155="מבין לרוב")),"פרופיל 1","פרופיל 2")))))))</f>
        <v/>
      </c>
      <c r="R1155" s="32">
        <f>IF($C1155="","",IF(OR($Q1155="",LEFT($Q1155,1)="—"),"קבוצה רביעית",IF($Q1155="פרופיל 5","קבוצת תשתיות",IF(OR($Q1155="פרופיל 4",$Q1155="פרופיל 3"),"קבוצת רכישה","קבוצת ביסוס"))))</f>
        <v/>
      </c>
      <c r="S1155" s="32">
        <f>IF($F1155="","",IF($F1155="תחילת שנה",1,IF($F1155="מחצית שנה",2,3)))</f>
        <v/>
      </c>
      <c r="T1155" s="32">
        <f>IF(OR($B1155="",$R1155="",$A1155="",$F1155=""),"",$B1155&amp;"|"&amp;$A1155&amp;"|"&amp;$F1155&amp;"|"&amp;$R1155&amp;"|"&amp;COUNTIFS($B$6:$B1155,$B1155,$A$6:$A1155,$A1155,$F$6:$F1155,$F1155,$R$6:$R1155,$R1155))</f>
        <v/>
      </c>
      <c r="U1155" s="32">
        <f>IF($C1155="","",$C1155&amp;"|"&amp;COUNTIFS($C$6:$C1155,$C1155))</f>
        <v/>
      </c>
      <c r="V1155" s="32">
        <f>IF(OR($C1155="",$A1155="",$S1155=""),"",$C1155&amp;"|"&amp;$A1155&amp;"|"&amp;$S1155)</f>
        <v/>
      </c>
      <c r="W1155" s="32">
        <f>IF(OR($C1155="",$S1155="",$S1155=1),"",IFERROR(INDEX($Q$6:$Q$1505,MATCH($C1155&amp;"|"&amp;$A1155&amp;"|"&amp;($S1155-1),$V$6:$V$1505,0)),""))</f>
        <v/>
      </c>
      <c r="X1155" s="32">
        <f>IF(OR($W1155="",$Q1155="",LEFT($Q1155,1)="—"),"",IF($W1155=$Q1155,"ללא שינוי","מ-"&amp;$W1155&amp;" ל-"&amp;$Q1155))</f>
        <v/>
      </c>
    </row>
    <row r="1156">
      <c r="A1156" s="65" t="n"/>
      <c r="B1156" s="65" t="n"/>
      <c r="C1156" s="66" t="n"/>
      <c r="D1156" s="66" t="n"/>
      <c r="E1156" s="65" t="n"/>
      <c r="F1156" s="65" t="n"/>
      <c r="G1156" s="65" t="n"/>
      <c r="H1156" s="65" t="n"/>
      <c r="I1156" s="65" t="n"/>
      <c r="J1156" s="65" t="n"/>
      <c r="K1156" s="65" t="n"/>
      <c r="L1156" s="65" t="n"/>
      <c r="M1156" s="65" t="n"/>
      <c r="N1156" s="65" t="n"/>
      <c r="O1156" s="65" t="n"/>
      <c r="P1156" s="65" t="n"/>
      <c r="Q1156" s="32">
        <f>IF($C1156="","",IF($J1156="","— חסרים נתונים",IF($J1156="טרם מפענח","פרופיל 5",IF($J1156="קמץ/פתח/חטף-פתח ושוואים","פרופיל 4",IF($J1156="2-3 סימני ניקוד","פרופיל 3",IF($J1156="4-5 סימני ניקוד","פרופיל 2",IF(AND($O1156="משפטים וקטעים קצרים",OR($M1156="מבין",$M1156="מבין לרוב")),"פרופיל 1","פרופיל 2")))))))</f>
        <v/>
      </c>
      <c r="R1156" s="32">
        <f>IF($C1156="","",IF(OR($Q1156="",LEFT($Q1156,1)="—"),"קבוצה רביעית",IF($Q1156="פרופיל 5","קבוצת תשתיות",IF(OR($Q1156="פרופיל 4",$Q1156="פרופיל 3"),"קבוצת רכישה","קבוצת ביסוס"))))</f>
        <v/>
      </c>
      <c r="S1156" s="32">
        <f>IF($F1156="","",IF($F1156="תחילת שנה",1,IF($F1156="מחצית שנה",2,3)))</f>
        <v/>
      </c>
      <c r="T1156" s="32">
        <f>IF(OR($B1156="",$R1156="",$A1156="",$F1156=""),"",$B1156&amp;"|"&amp;$A1156&amp;"|"&amp;$F1156&amp;"|"&amp;$R1156&amp;"|"&amp;COUNTIFS($B$6:$B1156,$B1156,$A$6:$A1156,$A1156,$F$6:$F1156,$F1156,$R$6:$R1156,$R1156))</f>
        <v/>
      </c>
      <c r="U1156" s="32">
        <f>IF($C1156="","",$C1156&amp;"|"&amp;COUNTIFS($C$6:$C1156,$C1156))</f>
        <v/>
      </c>
      <c r="V1156" s="32">
        <f>IF(OR($C1156="",$A1156="",$S1156=""),"",$C1156&amp;"|"&amp;$A1156&amp;"|"&amp;$S1156)</f>
        <v/>
      </c>
      <c r="W1156" s="32">
        <f>IF(OR($C1156="",$S1156="",$S1156=1),"",IFERROR(INDEX($Q$6:$Q$1505,MATCH($C1156&amp;"|"&amp;$A1156&amp;"|"&amp;($S1156-1),$V$6:$V$1505,0)),""))</f>
        <v/>
      </c>
      <c r="X1156" s="32">
        <f>IF(OR($W1156="",$Q1156="",LEFT($Q1156,1)="—"),"",IF($W1156=$Q1156,"ללא שינוי","מ-"&amp;$W1156&amp;" ל-"&amp;$Q1156))</f>
        <v/>
      </c>
    </row>
    <row r="1157">
      <c r="A1157" s="65" t="n"/>
      <c r="B1157" s="65" t="n"/>
      <c r="C1157" s="66" t="n"/>
      <c r="D1157" s="66" t="n"/>
      <c r="E1157" s="65" t="n"/>
      <c r="F1157" s="65" t="n"/>
      <c r="G1157" s="65" t="n"/>
      <c r="H1157" s="65" t="n"/>
      <c r="I1157" s="65" t="n"/>
      <c r="J1157" s="65" t="n"/>
      <c r="K1157" s="65" t="n"/>
      <c r="L1157" s="65" t="n"/>
      <c r="M1157" s="65" t="n"/>
      <c r="N1157" s="65" t="n"/>
      <c r="O1157" s="65" t="n"/>
      <c r="P1157" s="65" t="n"/>
      <c r="Q1157" s="32">
        <f>IF($C1157="","",IF($J1157="","— חסרים נתונים",IF($J1157="טרם מפענח","פרופיל 5",IF($J1157="קמץ/פתח/חטף-פתח ושוואים","פרופיל 4",IF($J1157="2-3 סימני ניקוד","פרופיל 3",IF($J1157="4-5 סימני ניקוד","פרופיל 2",IF(AND($O1157="משפטים וקטעים קצרים",OR($M1157="מבין",$M1157="מבין לרוב")),"פרופיל 1","פרופיל 2")))))))</f>
        <v/>
      </c>
      <c r="R1157" s="32">
        <f>IF($C1157="","",IF(OR($Q1157="",LEFT($Q1157,1)="—"),"קבוצה רביעית",IF($Q1157="פרופיל 5","קבוצת תשתיות",IF(OR($Q1157="פרופיל 4",$Q1157="פרופיל 3"),"קבוצת רכישה","קבוצת ביסוס"))))</f>
        <v/>
      </c>
      <c r="S1157" s="32">
        <f>IF($F1157="","",IF($F1157="תחילת שנה",1,IF($F1157="מחצית שנה",2,3)))</f>
        <v/>
      </c>
      <c r="T1157" s="32">
        <f>IF(OR($B1157="",$R1157="",$A1157="",$F1157=""),"",$B1157&amp;"|"&amp;$A1157&amp;"|"&amp;$F1157&amp;"|"&amp;$R1157&amp;"|"&amp;COUNTIFS($B$6:$B1157,$B1157,$A$6:$A1157,$A1157,$F$6:$F1157,$F1157,$R$6:$R1157,$R1157))</f>
        <v/>
      </c>
      <c r="U1157" s="32">
        <f>IF($C1157="","",$C1157&amp;"|"&amp;COUNTIFS($C$6:$C1157,$C1157))</f>
        <v/>
      </c>
      <c r="V1157" s="32">
        <f>IF(OR($C1157="",$A1157="",$S1157=""),"",$C1157&amp;"|"&amp;$A1157&amp;"|"&amp;$S1157)</f>
        <v/>
      </c>
      <c r="W1157" s="32">
        <f>IF(OR($C1157="",$S1157="",$S1157=1),"",IFERROR(INDEX($Q$6:$Q$1505,MATCH($C1157&amp;"|"&amp;$A1157&amp;"|"&amp;($S1157-1),$V$6:$V$1505,0)),""))</f>
        <v/>
      </c>
      <c r="X1157" s="32">
        <f>IF(OR($W1157="",$Q1157="",LEFT($Q1157,1)="—"),"",IF($W1157=$Q1157,"ללא שינוי","מ-"&amp;$W1157&amp;" ל-"&amp;$Q1157))</f>
        <v/>
      </c>
    </row>
    <row r="1158">
      <c r="A1158" s="65" t="n"/>
      <c r="B1158" s="65" t="n"/>
      <c r="C1158" s="66" t="n"/>
      <c r="D1158" s="66" t="n"/>
      <c r="E1158" s="65" t="n"/>
      <c r="F1158" s="65" t="n"/>
      <c r="G1158" s="65" t="n"/>
      <c r="H1158" s="65" t="n"/>
      <c r="I1158" s="65" t="n"/>
      <c r="J1158" s="65" t="n"/>
      <c r="K1158" s="65" t="n"/>
      <c r="L1158" s="65" t="n"/>
      <c r="M1158" s="65" t="n"/>
      <c r="N1158" s="65" t="n"/>
      <c r="O1158" s="65" t="n"/>
      <c r="P1158" s="65" t="n"/>
      <c r="Q1158" s="32">
        <f>IF($C1158="","",IF($J1158="","— חסרים נתונים",IF($J1158="טרם מפענח","פרופיל 5",IF($J1158="קמץ/פתח/חטף-פתח ושוואים","פרופיל 4",IF($J1158="2-3 סימני ניקוד","פרופיל 3",IF($J1158="4-5 סימני ניקוד","פרופיל 2",IF(AND($O1158="משפטים וקטעים קצרים",OR($M1158="מבין",$M1158="מבין לרוב")),"פרופיל 1","פרופיל 2")))))))</f>
        <v/>
      </c>
      <c r="R1158" s="32">
        <f>IF($C1158="","",IF(OR($Q1158="",LEFT($Q1158,1)="—"),"קבוצה רביעית",IF($Q1158="פרופיל 5","קבוצת תשתיות",IF(OR($Q1158="פרופיל 4",$Q1158="פרופיל 3"),"קבוצת רכישה","קבוצת ביסוס"))))</f>
        <v/>
      </c>
      <c r="S1158" s="32">
        <f>IF($F1158="","",IF($F1158="תחילת שנה",1,IF($F1158="מחצית שנה",2,3)))</f>
        <v/>
      </c>
      <c r="T1158" s="32">
        <f>IF(OR($B1158="",$R1158="",$A1158="",$F1158=""),"",$B1158&amp;"|"&amp;$A1158&amp;"|"&amp;$F1158&amp;"|"&amp;$R1158&amp;"|"&amp;COUNTIFS($B$6:$B1158,$B1158,$A$6:$A1158,$A1158,$F$6:$F1158,$F1158,$R$6:$R1158,$R1158))</f>
        <v/>
      </c>
      <c r="U1158" s="32">
        <f>IF($C1158="","",$C1158&amp;"|"&amp;COUNTIFS($C$6:$C1158,$C1158))</f>
        <v/>
      </c>
      <c r="V1158" s="32">
        <f>IF(OR($C1158="",$A1158="",$S1158=""),"",$C1158&amp;"|"&amp;$A1158&amp;"|"&amp;$S1158)</f>
        <v/>
      </c>
      <c r="W1158" s="32">
        <f>IF(OR($C1158="",$S1158="",$S1158=1),"",IFERROR(INDEX($Q$6:$Q$1505,MATCH($C1158&amp;"|"&amp;$A1158&amp;"|"&amp;($S1158-1),$V$6:$V$1505,0)),""))</f>
        <v/>
      </c>
      <c r="X1158" s="32">
        <f>IF(OR($W1158="",$Q1158="",LEFT($Q1158,1)="—"),"",IF($W1158=$Q1158,"ללא שינוי","מ-"&amp;$W1158&amp;" ל-"&amp;$Q1158))</f>
        <v/>
      </c>
    </row>
    <row r="1159">
      <c r="A1159" s="65" t="n"/>
      <c r="B1159" s="65" t="n"/>
      <c r="C1159" s="66" t="n"/>
      <c r="D1159" s="66" t="n"/>
      <c r="E1159" s="65" t="n"/>
      <c r="F1159" s="65" t="n"/>
      <c r="G1159" s="65" t="n"/>
      <c r="H1159" s="65" t="n"/>
      <c r="I1159" s="65" t="n"/>
      <c r="J1159" s="65" t="n"/>
      <c r="K1159" s="65" t="n"/>
      <c r="L1159" s="65" t="n"/>
      <c r="M1159" s="65" t="n"/>
      <c r="N1159" s="65" t="n"/>
      <c r="O1159" s="65" t="n"/>
      <c r="P1159" s="65" t="n"/>
      <c r="Q1159" s="32">
        <f>IF($C1159="","",IF($J1159="","— חסרים נתונים",IF($J1159="טרם מפענח","פרופיל 5",IF($J1159="קמץ/פתח/חטף-פתח ושוואים","פרופיל 4",IF($J1159="2-3 סימני ניקוד","פרופיל 3",IF($J1159="4-5 סימני ניקוד","פרופיל 2",IF(AND($O1159="משפטים וקטעים קצרים",OR($M1159="מבין",$M1159="מבין לרוב")),"פרופיל 1","פרופיל 2")))))))</f>
        <v/>
      </c>
      <c r="R1159" s="32">
        <f>IF($C1159="","",IF(OR($Q1159="",LEFT($Q1159,1)="—"),"קבוצה רביעית",IF($Q1159="פרופיל 5","קבוצת תשתיות",IF(OR($Q1159="פרופיל 4",$Q1159="פרופיל 3"),"קבוצת רכישה","קבוצת ביסוס"))))</f>
        <v/>
      </c>
      <c r="S1159" s="32">
        <f>IF($F1159="","",IF($F1159="תחילת שנה",1,IF($F1159="מחצית שנה",2,3)))</f>
        <v/>
      </c>
      <c r="T1159" s="32">
        <f>IF(OR($B1159="",$R1159="",$A1159="",$F1159=""),"",$B1159&amp;"|"&amp;$A1159&amp;"|"&amp;$F1159&amp;"|"&amp;$R1159&amp;"|"&amp;COUNTIFS($B$6:$B1159,$B1159,$A$6:$A1159,$A1159,$F$6:$F1159,$F1159,$R$6:$R1159,$R1159))</f>
        <v/>
      </c>
      <c r="U1159" s="32">
        <f>IF($C1159="","",$C1159&amp;"|"&amp;COUNTIFS($C$6:$C1159,$C1159))</f>
        <v/>
      </c>
      <c r="V1159" s="32">
        <f>IF(OR($C1159="",$A1159="",$S1159=""),"",$C1159&amp;"|"&amp;$A1159&amp;"|"&amp;$S1159)</f>
        <v/>
      </c>
      <c r="W1159" s="32">
        <f>IF(OR($C1159="",$S1159="",$S1159=1),"",IFERROR(INDEX($Q$6:$Q$1505,MATCH($C1159&amp;"|"&amp;$A1159&amp;"|"&amp;($S1159-1),$V$6:$V$1505,0)),""))</f>
        <v/>
      </c>
      <c r="X1159" s="32">
        <f>IF(OR($W1159="",$Q1159="",LEFT($Q1159,1)="—"),"",IF($W1159=$Q1159,"ללא שינוי","מ-"&amp;$W1159&amp;" ל-"&amp;$Q1159))</f>
        <v/>
      </c>
    </row>
    <row r="1160">
      <c r="A1160" s="65" t="n"/>
      <c r="B1160" s="65" t="n"/>
      <c r="C1160" s="66" t="n"/>
      <c r="D1160" s="66" t="n"/>
      <c r="E1160" s="65" t="n"/>
      <c r="F1160" s="65" t="n"/>
      <c r="G1160" s="65" t="n"/>
      <c r="H1160" s="65" t="n"/>
      <c r="I1160" s="65" t="n"/>
      <c r="J1160" s="65" t="n"/>
      <c r="K1160" s="65" t="n"/>
      <c r="L1160" s="65" t="n"/>
      <c r="M1160" s="65" t="n"/>
      <c r="N1160" s="65" t="n"/>
      <c r="O1160" s="65" t="n"/>
      <c r="P1160" s="65" t="n"/>
      <c r="Q1160" s="32">
        <f>IF($C1160="","",IF($J1160="","— חסרים נתונים",IF($J1160="טרם מפענח","פרופיל 5",IF($J1160="קמץ/פתח/חטף-פתח ושוואים","פרופיל 4",IF($J1160="2-3 סימני ניקוד","פרופיל 3",IF($J1160="4-5 סימני ניקוד","פרופיל 2",IF(AND($O1160="משפטים וקטעים קצרים",OR($M1160="מבין",$M1160="מבין לרוב")),"פרופיל 1","פרופיל 2")))))))</f>
        <v/>
      </c>
      <c r="R1160" s="32">
        <f>IF($C1160="","",IF(OR($Q1160="",LEFT($Q1160,1)="—"),"קבוצה רביעית",IF($Q1160="פרופיל 5","קבוצת תשתיות",IF(OR($Q1160="פרופיל 4",$Q1160="פרופיל 3"),"קבוצת רכישה","קבוצת ביסוס"))))</f>
        <v/>
      </c>
      <c r="S1160" s="32">
        <f>IF($F1160="","",IF($F1160="תחילת שנה",1,IF($F1160="מחצית שנה",2,3)))</f>
        <v/>
      </c>
      <c r="T1160" s="32">
        <f>IF(OR($B1160="",$R1160="",$A1160="",$F1160=""),"",$B1160&amp;"|"&amp;$A1160&amp;"|"&amp;$F1160&amp;"|"&amp;$R1160&amp;"|"&amp;COUNTIFS($B$6:$B1160,$B1160,$A$6:$A1160,$A1160,$F$6:$F1160,$F1160,$R$6:$R1160,$R1160))</f>
        <v/>
      </c>
      <c r="U1160" s="32">
        <f>IF($C1160="","",$C1160&amp;"|"&amp;COUNTIFS($C$6:$C1160,$C1160))</f>
        <v/>
      </c>
      <c r="V1160" s="32">
        <f>IF(OR($C1160="",$A1160="",$S1160=""),"",$C1160&amp;"|"&amp;$A1160&amp;"|"&amp;$S1160)</f>
        <v/>
      </c>
      <c r="W1160" s="32">
        <f>IF(OR($C1160="",$S1160="",$S1160=1),"",IFERROR(INDEX($Q$6:$Q$1505,MATCH($C1160&amp;"|"&amp;$A1160&amp;"|"&amp;($S1160-1),$V$6:$V$1505,0)),""))</f>
        <v/>
      </c>
      <c r="X1160" s="32">
        <f>IF(OR($W1160="",$Q1160="",LEFT($Q1160,1)="—"),"",IF($W1160=$Q1160,"ללא שינוי","מ-"&amp;$W1160&amp;" ל-"&amp;$Q1160))</f>
        <v/>
      </c>
    </row>
    <row r="1161">
      <c r="A1161" s="65" t="n"/>
      <c r="B1161" s="65" t="n"/>
      <c r="C1161" s="66" t="n"/>
      <c r="D1161" s="66" t="n"/>
      <c r="E1161" s="65" t="n"/>
      <c r="F1161" s="65" t="n"/>
      <c r="G1161" s="65" t="n"/>
      <c r="H1161" s="65" t="n"/>
      <c r="I1161" s="65" t="n"/>
      <c r="J1161" s="65" t="n"/>
      <c r="K1161" s="65" t="n"/>
      <c r="L1161" s="65" t="n"/>
      <c r="M1161" s="65" t="n"/>
      <c r="N1161" s="65" t="n"/>
      <c r="O1161" s="65" t="n"/>
      <c r="P1161" s="65" t="n"/>
      <c r="Q1161" s="32">
        <f>IF($C1161="","",IF($J1161="","— חסרים נתונים",IF($J1161="טרם מפענח","פרופיל 5",IF($J1161="קמץ/פתח/חטף-פתח ושוואים","פרופיל 4",IF($J1161="2-3 סימני ניקוד","פרופיל 3",IF($J1161="4-5 סימני ניקוד","פרופיל 2",IF(AND($O1161="משפטים וקטעים קצרים",OR($M1161="מבין",$M1161="מבין לרוב")),"פרופיל 1","פרופיל 2")))))))</f>
        <v/>
      </c>
      <c r="R1161" s="32">
        <f>IF($C1161="","",IF(OR($Q1161="",LEFT($Q1161,1)="—"),"קבוצה רביעית",IF($Q1161="פרופיל 5","קבוצת תשתיות",IF(OR($Q1161="פרופיל 4",$Q1161="פרופיל 3"),"קבוצת רכישה","קבוצת ביסוס"))))</f>
        <v/>
      </c>
      <c r="S1161" s="32">
        <f>IF($F1161="","",IF($F1161="תחילת שנה",1,IF($F1161="מחצית שנה",2,3)))</f>
        <v/>
      </c>
      <c r="T1161" s="32">
        <f>IF(OR($B1161="",$R1161="",$A1161="",$F1161=""),"",$B1161&amp;"|"&amp;$A1161&amp;"|"&amp;$F1161&amp;"|"&amp;$R1161&amp;"|"&amp;COUNTIFS($B$6:$B1161,$B1161,$A$6:$A1161,$A1161,$F$6:$F1161,$F1161,$R$6:$R1161,$R1161))</f>
        <v/>
      </c>
      <c r="U1161" s="32">
        <f>IF($C1161="","",$C1161&amp;"|"&amp;COUNTIFS($C$6:$C1161,$C1161))</f>
        <v/>
      </c>
      <c r="V1161" s="32">
        <f>IF(OR($C1161="",$A1161="",$S1161=""),"",$C1161&amp;"|"&amp;$A1161&amp;"|"&amp;$S1161)</f>
        <v/>
      </c>
      <c r="W1161" s="32">
        <f>IF(OR($C1161="",$S1161="",$S1161=1),"",IFERROR(INDEX($Q$6:$Q$1505,MATCH($C1161&amp;"|"&amp;$A1161&amp;"|"&amp;($S1161-1),$V$6:$V$1505,0)),""))</f>
        <v/>
      </c>
      <c r="X1161" s="32">
        <f>IF(OR($W1161="",$Q1161="",LEFT($Q1161,1)="—"),"",IF($W1161=$Q1161,"ללא שינוי","מ-"&amp;$W1161&amp;" ל-"&amp;$Q1161))</f>
        <v/>
      </c>
    </row>
    <row r="1162">
      <c r="A1162" s="65" t="n"/>
      <c r="B1162" s="65" t="n"/>
      <c r="C1162" s="66" t="n"/>
      <c r="D1162" s="66" t="n"/>
      <c r="E1162" s="65" t="n"/>
      <c r="F1162" s="65" t="n"/>
      <c r="G1162" s="65" t="n"/>
      <c r="H1162" s="65" t="n"/>
      <c r="I1162" s="65" t="n"/>
      <c r="J1162" s="65" t="n"/>
      <c r="K1162" s="65" t="n"/>
      <c r="L1162" s="65" t="n"/>
      <c r="M1162" s="65" t="n"/>
      <c r="N1162" s="65" t="n"/>
      <c r="O1162" s="65" t="n"/>
      <c r="P1162" s="65" t="n"/>
      <c r="Q1162" s="32">
        <f>IF($C1162="","",IF($J1162="","— חסרים נתונים",IF($J1162="טרם מפענח","פרופיל 5",IF($J1162="קמץ/פתח/חטף-פתח ושוואים","פרופיל 4",IF($J1162="2-3 סימני ניקוד","פרופיל 3",IF($J1162="4-5 סימני ניקוד","פרופיל 2",IF(AND($O1162="משפטים וקטעים קצרים",OR($M1162="מבין",$M1162="מבין לרוב")),"פרופיל 1","פרופיל 2")))))))</f>
        <v/>
      </c>
      <c r="R1162" s="32">
        <f>IF($C1162="","",IF(OR($Q1162="",LEFT($Q1162,1)="—"),"קבוצה רביעית",IF($Q1162="פרופיל 5","קבוצת תשתיות",IF(OR($Q1162="פרופיל 4",$Q1162="פרופיל 3"),"קבוצת רכישה","קבוצת ביסוס"))))</f>
        <v/>
      </c>
      <c r="S1162" s="32">
        <f>IF($F1162="","",IF($F1162="תחילת שנה",1,IF($F1162="מחצית שנה",2,3)))</f>
        <v/>
      </c>
      <c r="T1162" s="32">
        <f>IF(OR($B1162="",$R1162="",$A1162="",$F1162=""),"",$B1162&amp;"|"&amp;$A1162&amp;"|"&amp;$F1162&amp;"|"&amp;$R1162&amp;"|"&amp;COUNTIFS($B$6:$B1162,$B1162,$A$6:$A1162,$A1162,$F$6:$F1162,$F1162,$R$6:$R1162,$R1162))</f>
        <v/>
      </c>
      <c r="U1162" s="32">
        <f>IF($C1162="","",$C1162&amp;"|"&amp;COUNTIFS($C$6:$C1162,$C1162))</f>
        <v/>
      </c>
      <c r="V1162" s="32">
        <f>IF(OR($C1162="",$A1162="",$S1162=""),"",$C1162&amp;"|"&amp;$A1162&amp;"|"&amp;$S1162)</f>
        <v/>
      </c>
      <c r="W1162" s="32">
        <f>IF(OR($C1162="",$S1162="",$S1162=1),"",IFERROR(INDEX($Q$6:$Q$1505,MATCH($C1162&amp;"|"&amp;$A1162&amp;"|"&amp;($S1162-1),$V$6:$V$1505,0)),""))</f>
        <v/>
      </c>
      <c r="X1162" s="32">
        <f>IF(OR($W1162="",$Q1162="",LEFT($Q1162,1)="—"),"",IF($W1162=$Q1162,"ללא שינוי","מ-"&amp;$W1162&amp;" ל-"&amp;$Q1162))</f>
        <v/>
      </c>
    </row>
    <row r="1163">
      <c r="A1163" s="65" t="n"/>
      <c r="B1163" s="65" t="n"/>
      <c r="C1163" s="66" t="n"/>
      <c r="D1163" s="66" t="n"/>
      <c r="E1163" s="65" t="n"/>
      <c r="F1163" s="65" t="n"/>
      <c r="G1163" s="65" t="n"/>
      <c r="H1163" s="65" t="n"/>
      <c r="I1163" s="65" t="n"/>
      <c r="J1163" s="65" t="n"/>
      <c r="K1163" s="65" t="n"/>
      <c r="L1163" s="65" t="n"/>
      <c r="M1163" s="65" t="n"/>
      <c r="N1163" s="65" t="n"/>
      <c r="O1163" s="65" t="n"/>
      <c r="P1163" s="65" t="n"/>
      <c r="Q1163" s="32">
        <f>IF($C1163="","",IF($J1163="","— חסרים נתונים",IF($J1163="טרם מפענח","פרופיל 5",IF($J1163="קמץ/פתח/חטף-פתח ושוואים","פרופיל 4",IF($J1163="2-3 סימני ניקוד","פרופיל 3",IF($J1163="4-5 סימני ניקוד","פרופיל 2",IF(AND($O1163="משפטים וקטעים קצרים",OR($M1163="מבין",$M1163="מבין לרוב")),"פרופיל 1","פרופיל 2")))))))</f>
        <v/>
      </c>
      <c r="R1163" s="32">
        <f>IF($C1163="","",IF(OR($Q1163="",LEFT($Q1163,1)="—"),"קבוצה רביעית",IF($Q1163="פרופיל 5","קבוצת תשתיות",IF(OR($Q1163="פרופיל 4",$Q1163="פרופיל 3"),"קבוצת רכישה","קבוצת ביסוס"))))</f>
        <v/>
      </c>
      <c r="S1163" s="32">
        <f>IF($F1163="","",IF($F1163="תחילת שנה",1,IF($F1163="מחצית שנה",2,3)))</f>
        <v/>
      </c>
      <c r="T1163" s="32">
        <f>IF(OR($B1163="",$R1163="",$A1163="",$F1163=""),"",$B1163&amp;"|"&amp;$A1163&amp;"|"&amp;$F1163&amp;"|"&amp;$R1163&amp;"|"&amp;COUNTIFS($B$6:$B1163,$B1163,$A$6:$A1163,$A1163,$F$6:$F1163,$F1163,$R$6:$R1163,$R1163))</f>
        <v/>
      </c>
      <c r="U1163" s="32">
        <f>IF($C1163="","",$C1163&amp;"|"&amp;COUNTIFS($C$6:$C1163,$C1163))</f>
        <v/>
      </c>
      <c r="V1163" s="32">
        <f>IF(OR($C1163="",$A1163="",$S1163=""),"",$C1163&amp;"|"&amp;$A1163&amp;"|"&amp;$S1163)</f>
        <v/>
      </c>
      <c r="W1163" s="32">
        <f>IF(OR($C1163="",$S1163="",$S1163=1),"",IFERROR(INDEX($Q$6:$Q$1505,MATCH($C1163&amp;"|"&amp;$A1163&amp;"|"&amp;($S1163-1),$V$6:$V$1505,0)),""))</f>
        <v/>
      </c>
      <c r="X1163" s="32">
        <f>IF(OR($W1163="",$Q1163="",LEFT($Q1163,1)="—"),"",IF($W1163=$Q1163,"ללא שינוי","מ-"&amp;$W1163&amp;" ל-"&amp;$Q1163))</f>
        <v/>
      </c>
    </row>
    <row r="1164">
      <c r="A1164" s="65" t="n"/>
      <c r="B1164" s="65" t="n"/>
      <c r="C1164" s="66" t="n"/>
      <c r="D1164" s="66" t="n"/>
      <c r="E1164" s="65" t="n"/>
      <c r="F1164" s="65" t="n"/>
      <c r="G1164" s="65" t="n"/>
      <c r="H1164" s="65" t="n"/>
      <c r="I1164" s="65" t="n"/>
      <c r="J1164" s="65" t="n"/>
      <c r="K1164" s="65" t="n"/>
      <c r="L1164" s="65" t="n"/>
      <c r="M1164" s="65" t="n"/>
      <c r="N1164" s="65" t="n"/>
      <c r="O1164" s="65" t="n"/>
      <c r="P1164" s="65" t="n"/>
      <c r="Q1164" s="32">
        <f>IF($C1164="","",IF($J1164="","— חסרים נתונים",IF($J1164="טרם מפענח","פרופיל 5",IF($J1164="קמץ/פתח/חטף-פתח ושוואים","פרופיל 4",IF($J1164="2-3 סימני ניקוד","פרופיל 3",IF($J1164="4-5 סימני ניקוד","פרופיל 2",IF(AND($O1164="משפטים וקטעים קצרים",OR($M1164="מבין",$M1164="מבין לרוב")),"פרופיל 1","פרופיל 2")))))))</f>
        <v/>
      </c>
      <c r="R1164" s="32">
        <f>IF($C1164="","",IF(OR($Q1164="",LEFT($Q1164,1)="—"),"קבוצה רביעית",IF($Q1164="פרופיל 5","קבוצת תשתיות",IF(OR($Q1164="פרופיל 4",$Q1164="פרופיל 3"),"קבוצת רכישה","קבוצת ביסוס"))))</f>
        <v/>
      </c>
      <c r="S1164" s="32">
        <f>IF($F1164="","",IF($F1164="תחילת שנה",1,IF($F1164="מחצית שנה",2,3)))</f>
        <v/>
      </c>
      <c r="T1164" s="32">
        <f>IF(OR($B1164="",$R1164="",$A1164="",$F1164=""),"",$B1164&amp;"|"&amp;$A1164&amp;"|"&amp;$F1164&amp;"|"&amp;$R1164&amp;"|"&amp;COUNTIFS($B$6:$B1164,$B1164,$A$6:$A1164,$A1164,$F$6:$F1164,$F1164,$R$6:$R1164,$R1164))</f>
        <v/>
      </c>
      <c r="U1164" s="32">
        <f>IF($C1164="","",$C1164&amp;"|"&amp;COUNTIFS($C$6:$C1164,$C1164))</f>
        <v/>
      </c>
      <c r="V1164" s="32">
        <f>IF(OR($C1164="",$A1164="",$S1164=""),"",$C1164&amp;"|"&amp;$A1164&amp;"|"&amp;$S1164)</f>
        <v/>
      </c>
      <c r="W1164" s="32">
        <f>IF(OR($C1164="",$S1164="",$S1164=1),"",IFERROR(INDEX($Q$6:$Q$1505,MATCH($C1164&amp;"|"&amp;$A1164&amp;"|"&amp;($S1164-1),$V$6:$V$1505,0)),""))</f>
        <v/>
      </c>
      <c r="X1164" s="32">
        <f>IF(OR($W1164="",$Q1164="",LEFT($Q1164,1)="—"),"",IF($W1164=$Q1164,"ללא שינוי","מ-"&amp;$W1164&amp;" ל-"&amp;$Q1164))</f>
        <v/>
      </c>
    </row>
    <row r="1165">
      <c r="A1165" s="65" t="n"/>
      <c r="B1165" s="65" t="n"/>
      <c r="C1165" s="66" t="n"/>
      <c r="D1165" s="66" t="n"/>
      <c r="E1165" s="65" t="n"/>
      <c r="F1165" s="65" t="n"/>
      <c r="G1165" s="65" t="n"/>
      <c r="H1165" s="65" t="n"/>
      <c r="I1165" s="65" t="n"/>
      <c r="J1165" s="65" t="n"/>
      <c r="K1165" s="65" t="n"/>
      <c r="L1165" s="65" t="n"/>
      <c r="M1165" s="65" t="n"/>
      <c r="N1165" s="65" t="n"/>
      <c r="O1165" s="65" t="n"/>
      <c r="P1165" s="65" t="n"/>
      <c r="Q1165" s="32">
        <f>IF($C1165="","",IF($J1165="","— חסרים נתונים",IF($J1165="טרם מפענח","פרופיל 5",IF($J1165="קמץ/פתח/חטף-פתח ושוואים","פרופיל 4",IF($J1165="2-3 סימני ניקוד","פרופיל 3",IF($J1165="4-5 סימני ניקוד","פרופיל 2",IF(AND($O1165="משפטים וקטעים קצרים",OR($M1165="מבין",$M1165="מבין לרוב")),"פרופיל 1","פרופיל 2")))))))</f>
        <v/>
      </c>
      <c r="R1165" s="32">
        <f>IF($C1165="","",IF(OR($Q1165="",LEFT($Q1165,1)="—"),"קבוצה רביעית",IF($Q1165="פרופיל 5","קבוצת תשתיות",IF(OR($Q1165="פרופיל 4",$Q1165="פרופיל 3"),"קבוצת רכישה","קבוצת ביסוס"))))</f>
        <v/>
      </c>
      <c r="S1165" s="32">
        <f>IF($F1165="","",IF($F1165="תחילת שנה",1,IF($F1165="מחצית שנה",2,3)))</f>
        <v/>
      </c>
      <c r="T1165" s="32">
        <f>IF(OR($B1165="",$R1165="",$A1165="",$F1165=""),"",$B1165&amp;"|"&amp;$A1165&amp;"|"&amp;$F1165&amp;"|"&amp;$R1165&amp;"|"&amp;COUNTIFS($B$6:$B1165,$B1165,$A$6:$A1165,$A1165,$F$6:$F1165,$F1165,$R$6:$R1165,$R1165))</f>
        <v/>
      </c>
      <c r="U1165" s="32">
        <f>IF($C1165="","",$C1165&amp;"|"&amp;COUNTIFS($C$6:$C1165,$C1165))</f>
        <v/>
      </c>
      <c r="V1165" s="32">
        <f>IF(OR($C1165="",$A1165="",$S1165=""),"",$C1165&amp;"|"&amp;$A1165&amp;"|"&amp;$S1165)</f>
        <v/>
      </c>
      <c r="W1165" s="32">
        <f>IF(OR($C1165="",$S1165="",$S1165=1),"",IFERROR(INDEX($Q$6:$Q$1505,MATCH($C1165&amp;"|"&amp;$A1165&amp;"|"&amp;($S1165-1),$V$6:$V$1505,0)),""))</f>
        <v/>
      </c>
      <c r="X1165" s="32">
        <f>IF(OR($W1165="",$Q1165="",LEFT($Q1165,1)="—"),"",IF($W1165=$Q1165,"ללא שינוי","מ-"&amp;$W1165&amp;" ל-"&amp;$Q1165))</f>
        <v/>
      </c>
    </row>
    <row r="1166">
      <c r="A1166" s="65" t="n"/>
      <c r="B1166" s="65" t="n"/>
      <c r="C1166" s="66" t="n"/>
      <c r="D1166" s="66" t="n"/>
      <c r="E1166" s="65" t="n"/>
      <c r="F1166" s="65" t="n"/>
      <c r="G1166" s="65" t="n"/>
      <c r="H1166" s="65" t="n"/>
      <c r="I1166" s="65" t="n"/>
      <c r="J1166" s="65" t="n"/>
      <c r="K1166" s="65" t="n"/>
      <c r="L1166" s="65" t="n"/>
      <c r="M1166" s="65" t="n"/>
      <c r="N1166" s="65" t="n"/>
      <c r="O1166" s="65" t="n"/>
      <c r="P1166" s="65" t="n"/>
      <c r="Q1166" s="32">
        <f>IF($C1166="","",IF($J1166="","— חסרים נתונים",IF($J1166="טרם מפענח","פרופיל 5",IF($J1166="קמץ/פתח/חטף-פתח ושוואים","פרופיל 4",IF($J1166="2-3 סימני ניקוד","פרופיל 3",IF($J1166="4-5 סימני ניקוד","פרופיל 2",IF(AND($O1166="משפטים וקטעים קצרים",OR($M1166="מבין",$M1166="מבין לרוב")),"פרופיל 1","פרופיל 2")))))))</f>
        <v/>
      </c>
      <c r="R1166" s="32">
        <f>IF($C1166="","",IF(OR($Q1166="",LEFT($Q1166,1)="—"),"קבוצה רביעית",IF($Q1166="פרופיל 5","קבוצת תשתיות",IF(OR($Q1166="פרופיל 4",$Q1166="פרופיל 3"),"קבוצת רכישה","קבוצת ביסוס"))))</f>
        <v/>
      </c>
      <c r="S1166" s="32">
        <f>IF($F1166="","",IF($F1166="תחילת שנה",1,IF($F1166="מחצית שנה",2,3)))</f>
        <v/>
      </c>
      <c r="T1166" s="32">
        <f>IF(OR($B1166="",$R1166="",$A1166="",$F1166=""),"",$B1166&amp;"|"&amp;$A1166&amp;"|"&amp;$F1166&amp;"|"&amp;$R1166&amp;"|"&amp;COUNTIFS($B$6:$B1166,$B1166,$A$6:$A1166,$A1166,$F$6:$F1166,$F1166,$R$6:$R1166,$R1166))</f>
        <v/>
      </c>
      <c r="U1166" s="32">
        <f>IF($C1166="","",$C1166&amp;"|"&amp;COUNTIFS($C$6:$C1166,$C1166))</f>
        <v/>
      </c>
      <c r="V1166" s="32">
        <f>IF(OR($C1166="",$A1166="",$S1166=""),"",$C1166&amp;"|"&amp;$A1166&amp;"|"&amp;$S1166)</f>
        <v/>
      </c>
      <c r="W1166" s="32">
        <f>IF(OR($C1166="",$S1166="",$S1166=1),"",IFERROR(INDEX($Q$6:$Q$1505,MATCH($C1166&amp;"|"&amp;$A1166&amp;"|"&amp;($S1166-1),$V$6:$V$1505,0)),""))</f>
        <v/>
      </c>
      <c r="X1166" s="32">
        <f>IF(OR($W1166="",$Q1166="",LEFT($Q1166,1)="—"),"",IF($W1166=$Q1166,"ללא שינוי","מ-"&amp;$W1166&amp;" ל-"&amp;$Q1166))</f>
        <v/>
      </c>
    </row>
    <row r="1167">
      <c r="A1167" s="65" t="n"/>
      <c r="B1167" s="65" t="n"/>
      <c r="C1167" s="66" t="n"/>
      <c r="D1167" s="66" t="n"/>
      <c r="E1167" s="65" t="n"/>
      <c r="F1167" s="65" t="n"/>
      <c r="G1167" s="65" t="n"/>
      <c r="H1167" s="65" t="n"/>
      <c r="I1167" s="65" t="n"/>
      <c r="J1167" s="65" t="n"/>
      <c r="K1167" s="65" t="n"/>
      <c r="L1167" s="65" t="n"/>
      <c r="M1167" s="65" t="n"/>
      <c r="N1167" s="65" t="n"/>
      <c r="O1167" s="65" t="n"/>
      <c r="P1167" s="65" t="n"/>
      <c r="Q1167" s="32">
        <f>IF($C1167="","",IF($J1167="","— חסרים נתונים",IF($J1167="טרם מפענח","פרופיל 5",IF($J1167="קמץ/פתח/חטף-פתח ושוואים","פרופיל 4",IF($J1167="2-3 סימני ניקוד","פרופיל 3",IF($J1167="4-5 סימני ניקוד","פרופיל 2",IF(AND($O1167="משפטים וקטעים קצרים",OR($M1167="מבין",$M1167="מבין לרוב")),"פרופיל 1","פרופיל 2")))))))</f>
        <v/>
      </c>
      <c r="R1167" s="32">
        <f>IF($C1167="","",IF(OR($Q1167="",LEFT($Q1167,1)="—"),"קבוצה רביעית",IF($Q1167="פרופיל 5","קבוצת תשתיות",IF(OR($Q1167="פרופיל 4",$Q1167="פרופיל 3"),"קבוצת רכישה","קבוצת ביסוס"))))</f>
        <v/>
      </c>
      <c r="S1167" s="32">
        <f>IF($F1167="","",IF($F1167="תחילת שנה",1,IF($F1167="מחצית שנה",2,3)))</f>
        <v/>
      </c>
      <c r="T1167" s="32">
        <f>IF(OR($B1167="",$R1167="",$A1167="",$F1167=""),"",$B1167&amp;"|"&amp;$A1167&amp;"|"&amp;$F1167&amp;"|"&amp;$R1167&amp;"|"&amp;COUNTIFS($B$6:$B1167,$B1167,$A$6:$A1167,$A1167,$F$6:$F1167,$F1167,$R$6:$R1167,$R1167))</f>
        <v/>
      </c>
      <c r="U1167" s="32">
        <f>IF($C1167="","",$C1167&amp;"|"&amp;COUNTIFS($C$6:$C1167,$C1167))</f>
        <v/>
      </c>
      <c r="V1167" s="32">
        <f>IF(OR($C1167="",$A1167="",$S1167=""),"",$C1167&amp;"|"&amp;$A1167&amp;"|"&amp;$S1167)</f>
        <v/>
      </c>
      <c r="W1167" s="32">
        <f>IF(OR($C1167="",$S1167="",$S1167=1),"",IFERROR(INDEX($Q$6:$Q$1505,MATCH($C1167&amp;"|"&amp;$A1167&amp;"|"&amp;($S1167-1),$V$6:$V$1505,0)),""))</f>
        <v/>
      </c>
      <c r="X1167" s="32">
        <f>IF(OR($W1167="",$Q1167="",LEFT($Q1167,1)="—"),"",IF($W1167=$Q1167,"ללא שינוי","מ-"&amp;$W1167&amp;" ל-"&amp;$Q1167))</f>
        <v/>
      </c>
    </row>
    <row r="1168">
      <c r="A1168" s="65" t="n"/>
      <c r="B1168" s="65" t="n"/>
      <c r="C1168" s="66" t="n"/>
      <c r="D1168" s="66" t="n"/>
      <c r="E1168" s="65" t="n"/>
      <c r="F1168" s="65" t="n"/>
      <c r="G1168" s="65" t="n"/>
      <c r="H1168" s="65" t="n"/>
      <c r="I1168" s="65" t="n"/>
      <c r="J1168" s="65" t="n"/>
      <c r="K1168" s="65" t="n"/>
      <c r="L1168" s="65" t="n"/>
      <c r="M1168" s="65" t="n"/>
      <c r="N1168" s="65" t="n"/>
      <c r="O1168" s="65" t="n"/>
      <c r="P1168" s="65" t="n"/>
      <c r="Q1168" s="32">
        <f>IF($C1168="","",IF($J1168="","— חסרים נתונים",IF($J1168="טרם מפענח","פרופיל 5",IF($J1168="קמץ/פתח/חטף-פתח ושוואים","פרופיל 4",IF($J1168="2-3 סימני ניקוד","פרופיל 3",IF($J1168="4-5 סימני ניקוד","פרופיל 2",IF(AND($O1168="משפטים וקטעים קצרים",OR($M1168="מבין",$M1168="מבין לרוב")),"פרופיל 1","פרופיל 2")))))))</f>
        <v/>
      </c>
      <c r="R1168" s="32">
        <f>IF($C1168="","",IF(OR($Q1168="",LEFT($Q1168,1)="—"),"קבוצה רביעית",IF($Q1168="פרופיל 5","קבוצת תשתיות",IF(OR($Q1168="פרופיל 4",$Q1168="פרופיל 3"),"קבוצת רכישה","קבוצת ביסוס"))))</f>
        <v/>
      </c>
      <c r="S1168" s="32">
        <f>IF($F1168="","",IF($F1168="תחילת שנה",1,IF($F1168="מחצית שנה",2,3)))</f>
        <v/>
      </c>
      <c r="T1168" s="32">
        <f>IF(OR($B1168="",$R1168="",$A1168="",$F1168=""),"",$B1168&amp;"|"&amp;$A1168&amp;"|"&amp;$F1168&amp;"|"&amp;$R1168&amp;"|"&amp;COUNTIFS($B$6:$B1168,$B1168,$A$6:$A1168,$A1168,$F$6:$F1168,$F1168,$R$6:$R1168,$R1168))</f>
        <v/>
      </c>
      <c r="U1168" s="32">
        <f>IF($C1168="","",$C1168&amp;"|"&amp;COUNTIFS($C$6:$C1168,$C1168))</f>
        <v/>
      </c>
      <c r="V1168" s="32">
        <f>IF(OR($C1168="",$A1168="",$S1168=""),"",$C1168&amp;"|"&amp;$A1168&amp;"|"&amp;$S1168)</f>
        <v/>
      </c>
      <c r="W1168" s="32">
        <f>IF(OR($C1168="",$S1168="",$S1168=1),"",IFERROR(INDEX($Q$6:$Q$1505,MATCH($C1168&amp;"|"&amp;$A1168&amp;"|"&amp;($S1168-1),$V$6:$V$1505,0)),""))</f>
        <v/>
      </c>
      <c r="X1168" s="32">
        <f>IF(OR($W1168="",$Q1168="",LEFT($Q1168,1)="—"),"",IF($W1168=$Q1168,"ללא שינוי","מ-"&amp;$W1168&amp;" ל-"&amp;$Q1168))</f>
        <v/>
      </c>
    </row>
    <row r="1169">
      <c r="A1169" s="65" t="n"/>
      <c r="B1169" s="65" t="n"/>
      <c r="C1169" s="66" t="n"/>
      <c r="D1169" s="66" t="n"/>
      <c r="E1169" s="65" t="n"/>
      <c r="F1169" s="65" t="n"/>
      <c r="G1169" s="65" t="n"/>
      <c r="H1169" s="65" t="n"/>
      <c r="I1169" s="65" t="n"/>
      <c r="J1169" s="65" t="n"/>
      <c r="K1169" s="65" t="n"/>
      <c r="L1169" s="65" t="n"/>
      <c r="M1169" s="65" t="n"/>
      <c r="N1169" s="65" t="n"/>
      <c r="O1169" s="65" t="n"/>
      <c r="P1169" s="65" t="n"/>
      <c r="Q1169" s="32">
        <f>IF($C1169="","",IF($J1169="","— חסרים נתונים",IF($J1169="טרם מפענח","פרופיל 5",IF($J1169="קמץ/פתח/חטף-פתח ושוואים","פרופיל 4",IF($J1169="2-3 סימני ניקוד","פרופיל 3",IF($J1169="4-5 סימני ניקוד","פרופיל 2",IF(AND($O1169="משפטים וקטעים קצרים",OR($M1169="מבין",$M1169="מבין לרוב")),"פרופיל 1","פרופיל 2")))))))</f>
        <v/>
      </c>
      <c r="R1169" s="32">
        <f>IF($C1169="","",IF(OR($Q1169="",LEFT($Q1169,1)="—"),"קבוצה רביעית",IF($Q1169="פרופיל 5","קבוצת תשתיות",IF(OR($Q1169="פרופיל 4",$Q1169="פרופיל 3"),"קבוצת רכישה","קבוצת ביסוס"))))</f>
        <v/>
      </c>
      <c r="S1169" s="32">
        <f>IF($F1169="","",IF($F1169="תחילת שנה",1,IF($F1169="מחצית שנה",2,3)))</f>
        <v/>
      </c>
      <c r="T1169" s="32">
        <f>IF(OR($B1169="",$R1169="",$A1169="",$F1169=""),"",$B1169&amp;"|"&amp;$A1169&amp;"|"&amp;$F1169&amp;"|"&amp;$R1169&amp;"|"&amp;COUNTIFS($B$6:$B1169,$B1169,$A$6:$A1169,$A1169,$F$6:$F1169,$F1169,$R$6:$R1169,$R1169))</f>
        <v/>
      </c>
      <c r="U1169" s="32">
        <f>IF($C1169="","",$C1169&amp;"|"&amp;COUNTIFS($C$6:$C1169,$C1169))</f>
        <v/>
      </c>
      <c r="V1169" s="32">
        <f>IF(OR($C1169="",$A1169="",$S1169=""),"",$C1169&amp;"|"&amp;$A1169&amp;"|"&amp;$S1169)</f>
        <v/>
      </c>
      <c r="W1169" s="32">
        <f>IF(OR($C1169="",$S1169="",$S1169=1),"",IFERROR(INDEX($Q$6:$Q$1505,MATCH($C1169&amp;"|"&amp;$A1169&amp;"|"&amp;($S1169-1),$V$6:$V$1505,0)),""))</f>
        <v/>
      </c>
      <c r="X1169" s="32">
        <f>IF(OR($W1169="",$Q1169="",LEFT($Q1169,1)="—"),"",IF($W1169=$Q1169,"ללא שינוי","מ-"&amp;$W1169&amp;" ל-"&amp;$Q1169))</f>
        <v/>
      </c>
    </row>
    <row r="1170">
      <c r="A1170" s="65" t="n"/>
      <c r="B1170" s="65" t="n"/>
      <c r="C1170" s="66" t="n"/>
      <c r="D1170" s="66" t="n"/>
      <c r="E1170" s="65" t="n"/>
      <c r="F1170" s="65" t="n"/>
      <c r="G1170" s="65" t="n"/>
      <c r="H1170" s="65" t="n"/>
      <c r="I1170" s="65" t="n"/>
      <c r="J1170" s="65" t="n"/>
      <c r="K1170" s="65" t="n"/>
      <c r="L1170" s="65" t="n"/>
      <c r="M1170" s="65" t="n"/>
      <c r="N1170" s="65" t="n"/>
      <c r="O1170" s="65" t="n"/>
      <c r="P1170" s="65" t="n"/>
      <c r="Q1170" s="32">
        <f>IF($C1170="","",IF($J1170="","— חסרים נתונים",IF($J1170="טרם מפענח","פרופיל 5",IF($J1170="קמץ/פתח/חטף-פתח ושוואים","פרופיל 4",IF($J1170="2-3 סימני ניקוד","פרופיל 3",IF($J1170="4-5 סימני ניקוד","פרופיל 2",IF(AND($O1170="משפטים וקטעים קצרים",OR($M1170="מבין",$M1170="מבין לרוב")),"פרופיל 1","פרופיל 2")))))))</f>
        <v/>
      </c>
      <c r="R1170" s="32">
        <f>IF($C1170="","",IF(OR($Q1170="",LEFT($Q1170,1)="—"),"קבוצה רביעית",IF($Q1170="פרופיל 5","קבוצת תשתיות",IF(OR($Q1170="פרופיל 4",$Q1170="פרופיל 3"),"קבוצת רכישה","קבוצת ביסוס"))))</f>
        <v/>
      </c>
      <c r="S1170" s="32">
        <f>IF($F1170="","",IF($F1170="תחילת שנה",1,IF($F1170="מחצית שנה",2,3)))</f>
        <v/>
      </c>
      <c r="T1170" s="32">
        <f>IF(OR($B1170="",$R1170="",$A1170="",$F1170=""),"",$B1170&amp;"|"&amp;$A1170&amp;"|"&amp;$F1170&amp;"|"&amp;$R1170&amp;"|"&amp;COUNTIFS($B$6:$B1170,$B1170,$A$6:$A1170,$A1170,$F$6:$F1170,$F1170,$R$6:$R1170,$R1170))</f>
        <v/>
      </c>
      <c r="U1170" s="32">
        <f>IF($C1170="","",$C1170&amp;"|"&amp;COUNTIFS($C$6:$C1170,$C1170))</f>
        <v/>
      </c>
      <c r="V1170" s="32">
        <f>IF(OR($C1170="",$A1170="",$S1170=""),"",$C1170&amp;"|"&amp;$A1170&amp;"|"&amp;$S1170)</f>
        <v/>
      </c>
      <c r="W1170" s="32">
        <f>IF(OR($C1170="",$S1170="",$S1170=1),"",IFERROR(INDEX($Q$6:$Q$1505,MATCH($C1170&amp;"|"&amp;$A1170&amp;"|"&amp;($S1170-1),$V$6:$V$1505,0)),""))</f>
        <v/>
      </c>
      <c r="X1170" s="32">
        <f>IF(OR($W1170="",$Q1170="",LEFT($Q1170,1)="—"),"",IF($W1170=$Q1170,"ללא שינוי","מ-"&amp;$W1170&amp;" ל-"&amp;$Q1170))</f>
        <v/>
      </c>
    </row>
    <row r="1171">
      <c r="A1171" s="65" t="n"/>
      <c r="B1171" s="65" t="n"/>
      <c r="C1171" s="66" t="n"/>
      <c r="D1171" s="66" t="n"/>
      <c r="E1171" s="65" t="n"/>
      <c r="F1171" s="65" t="n"/>
      <c r="G1171" s="65" t="n"/>
      <c r="H1171" s="65" t="n"/>
      <c r="I1171" s="65" t="n"/>
      <c r="J1171" s="65" t="n"/>
      <c r="K1171" s="65" t="n"/>
      <c r="L1171" s="65" t="n"/>
      <c r="M1171" s="65" t="n"/>
      <c r="N1171" s="65" t="n"/>
      <c r="O1171" s="65" t="n"/>
      <c r="P1171" s="65" t="n"/>
      <c r="Q1171" s="32">
        <f>IF($C1171="","",IF($J1171="","— חסרים נתונים",IF($J1171="טרם מפענח","פרופיל 5",IF($J1171="קמץ/פתח/חטף-פתח ושוואים","פרופיל 4",IF($J1171="2-3 סימני ניקוד","פרופיל 3",IF($J1171="4-5 סימני ניקוד","פרופיל 2",IF(AND($O1171="משפטים וקטעים קצרים",OR($M1171="מבין",$M1171="מבין לרוב")),"פרופיל 1","פרופיל 2")))))))</f>
        <v/>
      </c>
      <c r="R1171" s="32">
        <f>IF($C1171="","",IF(OR($Q1171="",LEFT($Q1171,1)="—"),"קבוצה רביעית",IF($Q1171="פרופיל 5","קבוצת תשתיות",IF(OR($Q1171="פרופיל 4",$Q1171="פרופיל 3"),"קבוצת רכישה","קבוצת ביסוס"))))</f>
        <v/>
      </c>
      <c r="S1171" s="32">
        <f>IF($F1171="","",IF($F1171="תחילת שנה",1,IF($F1171="מחצית שנה",2,3)))</f>
        <v/>
      </c>
      <c r="T1171" s="32">
        <f>IF(OR($B1171="",$R1171="",$A1171="",$F1171=""),"",$B1171&amp;"|"&amp;$A1171&amp;"|"&amp;$F1171&amp;"|"&amp;$R1171&amp;"|"&amp;COUNTIFS($B$6:$B1171,$B1171,$A$6:$A1171,$A1171,$F$6:$F1171,$F1171,$R$6:$R1171,$R1171))</f>
        <v/>
      </c>
      <c r="U1171" s="32">
        <f>IF($C1171="","",$C1171&amp;"|"&amp;COUNTIFS($C$6:$C1171,$C1171))</f>
        <v/>
      </c>
      <c r="V1171" s="32">
        <f>IF(OR($C1171="",$A1171="",$S1171=""),"",$C1171&amp;"|"&amp;$A1171&amp;"|"&amp;$S1171)</f>
        <v/>
      </c>
      <c r="W1171" s="32">
        <f>IF(OR($C1171="",$S1171="",$S1171=1),"",IFERROR(INDEX($Q$6:$Q$1505,MATCH($C1171&amp;"|"&amp;$A1171&amp;"|"&amp;($S1171-1),$V$6:$V$1505,0)),""))</f>
        <v/>
      </c>
      <c r="X1171" s="32">
        <f>IF(OR($W1171="",$Q1171="",LEFT($Q1171,1)="—"),"",IF($W1171=$Q1171,"ללא שינוי","מ-"&amp;$W1171&amp;" ל-"&amp;$Q1171))</f>
        <v/>
      </c>
    </row>
    <row r="1172">
      <c r="A1172" s="65" t="n"/>
      <c r="B1172" s="65" t="n"/>
      <c r="C1172" s="66" t="n"/>
      <c r="D1172" s="66" t="n"/>
      <c r="E1172" s="65" t="n"/>
      <c r="F1172" s="65" t="n"/>
      <c r="G1172" s="65" t="n"/>
      <c r="H1172" s="65" t="n"/>
      <c r="I1172" s="65" t="n"/>
      <c r="J1172" s="65" t="n"/>
      <c r="K1172" s="65" t="n"/>
      <c r="L1172" s="65" t="n"/>
      <c r="M1172" s="65" t="n"/>
      <c r="N1172" s="65" t="n"/>
      <c r="O1172" s="65" t="n"/>
      <c r="P1172" s="65" t="n"/>
      <c r="Q1172" s="32">
        <f>IF($C1172="","",IF($J1172="","— חסרים נתונים",IF($J1172="טרם מפענח","פרופיל 5",IF($J1172="קמץ/פתח/חטף-פתח ושוואים","פרופיל 4",IF($J1172="2-3 סימני ניקוד","פרופיל 3",IF($J1172="4-5 סימני ניקוד","פרופיל 2",IF(AND($O1172="משפטים וקטעים קצרים",OR($M1172="מבין",$M1172="מבין לרוב")),"פרופיל 1","פרופיל 2")))))))</f>
        <v/>
      </c>
      <c r="R1172" s="32">
        <f>IF($C1172="","",IF(OR($Q1172="",LEFT($Q1172,1)="—"),"קבוצה רביעית",IF($Q1172="פרופיל 5","קבוצת תשתיות",IF(OR($Q1172="פרופיל 4",$Q1172="פרופיל 3"),"קבוצת רכישה","קבוצת ביסוס"))))</f>
        <v/>
      </c>
      <c r="S1172" s="32">
        <f>IF($F1172="","",IF($F1172="תחילת שנה",1,IF($F1172="מחצית שנה",2,3)))</f>
        <v/>
      </c>
      <c r="T1172" s="32">
        <f>IF(OR($B1172="",$R1172="",$A1172="",$F1172=""),"",$B1172&amp;"|"&amp;$A1172&amp;"|"&amp;$F1172&amp;"|"&amp;$R1172&amp;"|"&amp;COUNTIFS($B$6:$B1172,$B1172,$A$6:$A1172,$A1172,$F$6:$F1172,$F1172,$R$6:$R1172,$R1172))</f>
        <v/>
      </c>
      <c r="U1172" s="32">
        <f>IF($C1172="","",$C1172&amp;"|"&amp;COUNTIFS($C$6:$C1172,$C1172))</f>
        <v/>
      </c>
      <c r="V1172" s="32">
        <f>IF(OR($C1172="",$A1172="",$S1172=""),"",$C1172&amp;"|"&amp;$A1172&amp;"|"&amp;$S1172)</f>
        <v/>
      </c>
      <c r="W1172" s="32">
        <f>IF(OR($C1172="",$S1172="",$S1172=1),"",IFERROR(INDEX($Q$6:$Q$1505,MATCH($C1172&amp;"|"&amp;$A1172&amp;"|"&amp;($S1172-1),$V$6:$V$1505,0)),""))</f>
        <v/>
      </c>
      <c r="X1172" s="32">
        <f>IF(OR($W1172="",$Q1172="",LEFT($Q1172,1)="—"),"",IF($W1172=$Q1172,"ללא שינוי","מ-"&amp;$W1172&amp;" ל-"&amp;$Q1172))</f>
        <v/>
      </c>
    </row>
    <row r="1173">
      <c r="A1173" s="65" t="n"/>
      <c r="B1173" s="65" t="n"/>
      <c r="C1173" s="66" t="n"/>
      <c r="D1173" s="66" t="n"/>
      <c r="E1173" s="65" t="n"/>
      <c r="F1173" s="65" t="n"/>
      <c r="G1173" s="65" t="n"/>
      <c r="H1173" s="65" t="n"/>
      <c r="I1173" s="65" t="n"/>
      <c r="J1173" s="65" t="n"/>
      <c r="K1173" s="65" t="n"/>
      <c r="L1173" s="65" t="n"/>
      <c r="M1173" s="65" t="n"/>
      <c r="N1173" s="65" t="n"/>
      <c r="O1173" s="65" t="n"/>
      <c r="P1173" s="65" t="n"/>
      <c r="Q1173" s="32">
        <f>IF($C1173="","",IF($J1173="","— חסרים נתונים",IF($J1173="טרם מפענח","פרופיל 5",IF($J1173="קמץ/פתח/חטף-פתח ושוואים","פרופיל 4",IF($J1173="2-3 סימני ניקוד","פרופיל 3",IF($J1173="4-5 סימני ניקוד","פרופיל 2",IF(AND($O1173="משפטים וקטעים קצרים",OR($M1173="מבין",$M1173="מבין לרוב")),"פרופיל 1","פרופיל 2")))))))</f>
        <v/>
      </c>
      <c r="R1173" s="32">
        <f>IF($C1173="","",IF(OR($Q1173="",LEFT($Q1173,1)="—"),"קבוצה רביעית",IF($Q1173="פרופיל 5","קבוצת תשתיות",IF(OR($Q1173="פרופיל 4",$Q1173="פרופיל 3"),"קבוצת רכישה","קבוצת ביסוס"))))</f>
        <v/>
      </c>
      <c r="S1173" s="32">
        <f>IF($F1173="","",IF($F1173="תחילת שנה",1,IF($F1173="מחצית שנה",2,3)))</f>
        <v/>
      </c>
      <c r="T1173" s="32">
        <f>IF(OR($B1173="",$R1173="",$A1173="",$F1173=""),"",$B1173&amp;"|"&amp;$A1173&amp;"|"&amp;$F1173&amp;"|"&amp;$R1173&amp;"|"&amp;COUNTIFS($B$6:$B1173,$B1173,$A$6:$A1173,$A1173,$F$6:$F1173,$F1173,$R$6:$R1173,$R1173))</f>
        <v/>
      </c>
      <c r="U1173" s="32">
        <f>IF($C1173="","",$C1173&amp;"|"&amp;COUNTIFS($C$6:$C1173,$C1173))</f>
        <v/>
      </c>
      <c r="V1173" s="32">
        <f>IF(OR($C1173="",$A1173="",$S1173=""),"",$C1173&amp;"|"&amp;$A1173&amp;"|"&amp;$S1173)</f>
        <v/>
      </c>
      <c r="W1173" s="32">
        <f>IF(OR($C1173="",$S1173="",$S1173=1),"",IFERROR(INDEX($Q$6:$Q$1505,MATCH($C1173&amp;"|"&amp;$A1173&amp;"|"&amp;($S1173-1),$V$6:$V$1505,0)),""))</f>
        <v/>
      </c>
      <c r="X1173" s="32">
        <f>IF(OR($W1173="",$Q1173="",LEFT($Q1173,1)="—"),"",IF($W1173=$Q1173,"ללא שינוי","מ-"&amp;$W1173&amp;" ל-"&amp;$Q1173))</f>
        <v/>
      </c>
    </row>
    <row r="1174">
      <c r="A1174" s="65" t="n"/>
      <c r="B1174" s="65" t="n"/>
      <c r="C1174" s="66" t="n"/>
      <c r="D1174" s="66" t="n"/>
      <c r="E1174" s="65" t="n"/>
      <c r="F1174" s="65" t="n"/>
      <c r="G1174" s="65" t="n"/>
      <c r="H1174" s="65" t="n"/>
      <c r="I1174" s="65" t="n"/>
      <c r="J1174" s="65" t="n"/>
      <c r="K1174" s="65" t="n"/>
      <c r="L1174" s="65" t="n"/>
      <c r="M1174" s="65" t="n"/>
      <c r="N1174" s="65" t="n"/>
      <c r="O1174" s="65" t="n"/>
      <c r="P1174" s="65" t="n"/>
      <c r="Q1174" s="32">
        <f>IF($C1174="","",IF($J1174="","— חסרים נתונים",IF($J1174="טרם מפענח","פרופיל 5",IF($J1174="קמץ/פתח/חטף-פתח ושוואים","פרופיל 4",IF($J1174="2-3 סימני ניקוד","פרופיל 3",IF($J1174="4-5 סימני ניקוד","פרופיל 2",IF(AND($O1174="משפטים וקטעים קצרים",OR($M1174="מבין",$M1174="מבין לרוב")),"פרופיל 1","פרופיל 2")))))))</f>
        <v/>
      </c>
      <c r="R1174" s="32">
        <f>IF($C1174="","",IF(OR($Q1174="",LEFT($Q1174,1)="—"),"קבוצה רביעית",IF($Q1174="פרופיל 5","קבוצת תשתיות",IF(OR($Q1174="פרופיל 4",$Q1174="פרופיל 3"),"קבוצת רכישה","קבוצת ביסוס"))))</f>
        <v/>
      </c>
      <c r="S1174" s="32">
        <f>IF($F1174="","",IF($F1174="תחילת שנה",1,IF($F1174="מחצית שנה",2,3)))</f>
        <v/>
      </c>
      <c r="T1174" s="32">
        <f>IF(OR($B1174="",$R1174="",$A1174="",$F1174=""),"",$B1174&amp;"|"&amp;$A1174&amp;"|"&amp;$F1174&amp;"|"&amp;$R1174&amp;"|"&amp;COUNTIFS($B$6:$B1174,$B1174,$A$6:$A1174,$A1174,$F$6:$F1174,$F1174,$R$6:$R1174,$R1174))</f>
        <v/>
      </c>
      <c r="U1174" s="32">
        <f>IF($C1174="","",$C1174&amp;"|"&amp;COUNTIFS($C$6:$C1174,$C1174))</f>
        <v/>
      </c>
      <c r="V1174" s="32">
        <f>IF(OR($C1174="",$A1174="",$S1174=""),"",$C1174&amp;"|"&amp;$A1174&amp;"|"&amp;$S1174)</f>
        <v/>
      </c>
      <c r="W1174" s="32">
        <f>IF(OR($C1174="",$S1174="",$S1174=1),"",IFERROR(INDEX($Q$6:$Q$1505,MATCH($C1174&amp;"|"&amp;$A1174&amp;"|"&amp;($S1174-1),$V$6:$V$1505,0)),""))</f>
        <v/>
      </c>
      <c r="X1174" s="32">
        <f>IF(OR($W1174="",$Q1174="",LEFT($Q1174,1)="—"),"",IF($W1174=$Q1174,"ללא שינוי","מ-"&amp;$W1174&amp;" ל-"&amp;$Q1174))</f>
        <v/>
      </c>
    </row>
    <row r="1175">
      <c r="A1175" s="65" t="n"/>
      <c r="B1175" s="65" t="n"/>
      <c r="C1175" s="66" t="n"/>
      <c r="D1175" s="66" t="n"/>
      <c r="E1175" s="65" t="n"/>
      <c r="F1175" s="65" t="n"/>
      <c r="G1175" s="65" t="n"/>
      <c r="H1175" s="65" t="n"/>
      <c r="I1175" s="65" t="n"/>
      <c r="J1175" s="65" t="n"/>
      <c r="K1175" s="65" t="n"/>
      <c r="L1175" s="65" t="n"/>
      <c r="M1175" s="65" t="n"/>
      <c r="N1175" s="65" t="n"/>
      <c r="O1175" s="65" t="n"/>
      <c r="P1175" s="65" t="n"/>
      <c r="Q1175" s="32">
        <f>IF($C1175="","",IF($J1175="","— חסרים נתונים",IF($J1175="טרם מפענח","פרופיל 5",IF($J1175="קמץ/פתח/חטף-פתח ושוואים","פרופיל 4",IF($J1175="2-3 סימני ניקוד","פרופיל 3",IF($J1175="4-5 סימני ניקוד","פרופיל 2",IF(AND($O1175="משפטים וקטעים קצרים",OR($M1175="מבין",$M1175="מבין לרוב")),"פרופיל 1","פרופיל 2")))))))</f>
        <v/>
      </c>
      <c r="R1175" s="32">
        <f>IF($C1175="","",IF(OR($Q1175="",LEFT($Q1175,1)="—"),"קבוצה רביעית",IF($Q1175="פרופיל 5","קבוצת תשתיות",IF(OR($Q1175="פרופיל 4",$Q1175="פרופיל 3"),"קבוצת רכישה","קבוצת ביסוס"))))</f>
        <v/>
      </c>
      <c r="S1175" s="32">
        <f>IF($F1175="","",IF($F1175="תחילת שנה",1,IF($F1175="מחצית שנה",2,3)))</f>
        <v/>
      </c>
      <c r="T1175" s="32">
        <f>IF(OR($B1175="",$R1175="",$A1175="",$F1175=""),"",$B1175&amp;"|"&amp;$A1175&amp;"|"&amp;$F1175&amp;"|"&amp;$R1175&amp;"|"&amp;COUNTIFS($B$6:$B1175,$B1175,$A$6:$A1175,$A1175,$F$6:$F1175,$F1175,$R$6:$R1175,$R1175))</f>
        <v/>
      </c>
      <c r="U1175" s="32">
        <f>IF($C1175="","",$C1175&amp;"|"&amp;COUNTIFS($C$6:$C1175,$C1175))</f>
        <v/>
      </c>
      <c r="V1175" s="32">
        <f>IF(OR($C1175="",$A1175="",$S1175=""),"",$C1175&amp;"|"&amp;$A1175&amp;"|"&amp;$S1175)</f>
        <v/>
      </c>
      <c r="W1175" s="32">
        <f>IF(OR($C1175="",$S1175="",$S1175=1),"",IFERROR(INDEX($Q$6:$Q$1505,MATCH($C1175&amp;"|"&amp;$A1175&amp;"|"&amp;($S1175-1),$V$6:$V$1505,0)),""))</f>
        <v/>
      </c>
      <c r="X1175" s="32">
        <f>IF(OR($W1175="",$Q1175="",LEFT($Q1175,1)="—"),"",IF($W1175=$Q1175,"ללא שינוי","מ-"&amp;$W1175&amp;" ל-"&amp;$Q1175))</f>
        <v/>
      </c>
    </row>
    <row r="1176">
      <c r="A1176" s="65" t="n"/>
      <c r="B1176" s="65" t="n"/>
      <c r="C1176" s="66" t="n"/>
      <c r="D1176" s="66" t="n"/>
      <c r="E1176" s="65" t="n"/>
      <c r="F1176" s="65" t="n"/>
      <c r="G1176" s="65" t="n"/>
      <c r="H1176" s="65" t="n"/>
      <c r="I1176" s="65" t="n"/>
      <c r="J1176" s="65" t="n"/>
      <c r="K1176" s="65" t="n"/>
      <c r="L1176" s="65" t="n"/>
      <c r="M1176" s="65" t="n"/>
      <c r="N1176" s="65" t="n"/>
      <c r="O1176" s="65" t="n"/>
      <c r="P1176" s="65" t="n"/>
      <c r="Q1176" s="32">
        <f>IF($C1176="","",IF($J1176="","— חסרים נתונים",IF($J1176="טרם מפענח","פרופיל 5",IF($J1176="קמץ/פתח/חטף-פתח ושוואים","פרופיל 4",IF($J1176="2-3 סימני ניקוד","פרופיל 3",IF($J1176="4-5 סימני ניקוד","פרופיל 2",IF(AND($O1176="משפטים וקטעים קצרים",OR($M1176="מבין",$M1176="מבין לרוב")),"פרופיל 1","פרופיל 2")))))))</f>
        <v/>
      </c>
      <c r="R1176" s="32">
        <f>IF($C1176="","",IF(OR($Q1176="",LEFT($Q1176,1)="—"),"קבוצה רביעית",IF($Q1176="פרופיל 5","קבוצת תשתיות",IF(OR($Q1176="פרופיל 4",$Q1176="פרופיל 3"),"קבוצת רכישה","קבוצת ביסוס"))))</f>
        <v/>
      </c>
      <c r="S1176" s="32">
        <f>IF($F1176="","",IF($F1176="תחילת שנה",1,IF($F1176="מחצית שנה",2,3)))</f>
        <v/>
      </c>
      <c r="T1176" s="32">
        <f>IF(OR($B1176="",$R1176="",$A1176="",$F1176=""),"",$B1176&amp;"|"&amp;$A1176&amp;"|"&amp;$F1176&amp;"|"&amp;$R1176&amp;"|"&amp;COUNTIFS($B$6:$B1176,$B1176,$A$6:$A1176,$A1176,$F$6:$F1176,$F1176,$R$6:$R1176,$R1176))</f>
        <v/>
      </c>
      <c r="U1176" s="32">
        <f>IF($C1176="","",$C1176&amp;"|"&amp;COUNTIFS($C$6:$C1176,$C1176))</f>
        <v/>
      </c>
      <c r="V1176" s="32">
        <f>IF(OR($C1176="",$A1176="",$S1176=""),"",$C1176&amp;"|"&amp;$A1176&amp;"|"&amp;$S1176)</f>
        <v/>
      </c>
      <c r="W1176" s="32">
        <f>IF(OR($C1176="",$S1176="",$S1176=1),"",IFERROR(INDEX($Q$6:$Q$1505,MATCH($C1176&amp;"|"&amp;$A1176&amp;"|"&amp;($S1176-1),$V$6:$V$1505,0)),""))</f>
        <v/>
      </c>
      <c r="X1176" s="32">
        <f>IF(OR($W1176="",$Q1176="",LEFT($Q1176,1)="—"),"",IF($W1176=$Q1176,"ללא שינוי","מ-"&amp;$W1176&amp;" ל-"&amp;$Q1176))</f>
        <v/>
      </c>
    </row>
    <row r="1177">
      <c r="A1177" s="65" t="n"/>
      <c r="B1177" s="65" t="n"/>
      <c r="C1177" s="66" t="n"/>
      <c r="D1177" s="66" t="n"/>
      <c r="E1177" s="65" t="n"/>
      <c r="F1177" s="65" t="n"/>
      <c r="G1177" s="65" t="n"/>
      <c r="H1177" s="65" t="n"/>
      <c r="I1177" s="65" t="n"/>
      <c r="J1177" s="65" t="n"/>
      <c r="K1177" s="65" t="n"/>
      <c r="L1177" s="65" t="n"/>
      <c r="M1177" s="65" t="n"/>
      <c r="N1177" s="65" t="n"/>
      <c r="O1177" s="65" t="n"/>
      <c r="P1177" s="65" t="n"/>
      <c r="Q1177" s="32">
        <f>IF($C1177="","",IF($J1177="","— חסרים נתונים",IF($J1177="טרם מפענח","פרופיל 5",IF($J1177="קמץ/פתח/חטף-פתח ושוואים","פרופיל 4",IF($J1177="2-3 סימני ניקוד","פרופיל 3",IF($J1177="4-5 סימני ניקוד","פרופיל 2",IF(AND($O1177="משפטים וקטעים קצרים",OR($M1177="מבין",$M1177="מבין לרוב")),"פרופיל 1","פרופיל 2")))))))</f>
        <v/>
      </c>
      <c r="R1177" s="32">
        <f>IF($C1177="","",IF(OR($Q1177="",LEFT($Q1177,1)="—"),"קבוצה רביעית",IF($Q1177="פרופיל 5","קבוצת תשתיות",IF(OR($Q1177="פרופיל 4",$Q1177="פרופיל 3"),"קבוצת רכישה","קבוצת ביסוס"))))</f>
        <v/>
      </c>
      <c r="S1177" s="32">
        <f>IF($F1177="","",IF($F1177="תחילת שנה",1,IF($F1177="מחצית שנה",2,3)))</f>
        <v/>
      </c>
      <c r="T1177" s="32">
        <f>IF(OR($B1177="",$R1177="",$A1177="",$F1177=""),"",$B1177&amp;"|"&amp;$A1177&amp;"|"&amp;$F1177&amp;"|"&amp;$R1177&amp;"|"&amp;COUNTIFS($B$6:$B1177,$B1177,$A$6:$A1177,$A1177,$F$6:$F1177,$F1177,$R$6:$R1177,$R1177))</f>
        <v/>
      </c>
      <c r="U1177" s="32">
        <f>IF($C1177="","",$C1177&amp;"|"&amp;COUNTIFS($C$6:$C1177,$C1177))</f>
        <v/>
      </c>
      <c r="V1177" s="32">
        <f>IF(OR($C1177="",$A1177="",$S1177=""),"",$C1177&amp;"|"&amp;$A1177&amp;"|"&amp;$S1177)</f>
        <v/>
      </c>
      <c r="W1177" s="32">
        <f>IF(OR($C1177="",$S1177="",$S1177=1),"",IFERROR(INDEX($Q$6:$Q$1505,MATCH($C1177&amp;"|"&amp;$A1177&amp;"|"&amp;($S1177-1),$V$6:$V$1505,0)),""))</f>
        <v/>
      </c>
      <c r="X1177" s="32">
        <f>IF(OR($W1177="",$Q1177="",LEFT($Q1177,1)="—"),"",IF($W1177=$Q1177,"ללא שינוי","מ-"&amp;$W1177&amp;" ל-"&amp;$Q1177))</f>
        <v/>
      </c>
    </row>
    <row r="1178">
      <c r="A1178" s="65" t="n"/>
      <c r="B1178" s="65" t="n"/>
      <c r="C1178" s="66" t="n"/>
      <c r="D1178" s="66" t="n"/>
      <c r="E1178" s="65" t="n"/>
      <c r="F1178" s="65" t="n"/>
      <c r="G1178" s="65" t="n"/>
      <c r="H1178" s="65" t="n"/>
      <c r="I1178" s="65" t="n"/>
      <c r="J1178" s="65" t="n"/>
      <c r="K1178" s="65" t="n"/>
      <c r="L1178" s="65" t="n"/>
      <c r="M1178" s="65" t="n"/>
      <c r="N1178" s="65" t="n"/>
      <c r="O1178" s="65" t="n"/>
      <c r="P1178" s="65" t="n"/>
      <c r="Q1178" s="32">
        <f>IF($C1178="","",IF($J1178="","— חסרים נתונים",IF($J1178="טרם מפענח","פרופיל 5",IF($J1178="קמץ/פתח/חטף-פתח ושוואים","פרופיל 4",IF($J1178="2-3 סימני ניקוד","פרופיל 3",IF($J1178="4-5 סימני ניקוד","פרופיל 2",IF(AND($O1178="משפטים וקטעים קצרים",OR($M1178="מבין",$M1178="מבין לרוב")),"פרופיל 1","פרופיל 2")))))))</f>
        <v/>
      </c>
      <c r="R1178" s="32">
        <f>IF($C1178="","",IF(OR($Q1178="",LEFT($Q1178,1)="—"),"קבוצה רביעית",IF($Q1178="פרופיל 5","קבוצת תשתיות",IF(OR($Q1178="פרופיל 4",$Q1178="פרופיל 3"),"קבוצת רכישה","קבוצת ביסוס"))))</f>
        <v/>
      </c>
      <c r="S1178" s="32">
        <f>IF($F1178="","",IF($F1178="תחילת שנה",1,IF($F1178="מחצית שנה",2,3)))</f>
        <v/>
      </c>
      <c r="T1178" s="32">
        <f>IF(OR($B1178="",$R1178="",$A1178="",$F1178=""),"",$B1178&amp;"|"&amp;$A1178&amp;"|"&amp;$F1178&amp;"|"&amp;$R1178&amp;"|"&amp;COUNTIFS($B$6:$B1178,$B1178,$A$6:$A1178,$A1178,$F$6:$F1178,$F1178,$R$6:$R1178,$R1178))</f>
        <v/>
      </c>
      <c r="U1178" s="32">
        <f>IF($C1178="","",$C1178&amp;"|"&amp;COUNTIFS($C$6:$C1178,$C1178))</f>
        <v/>
      </c>
      <c r="V1178" s="32">
        <f>IF(OR($C1178="",$A1178="",$S1178=""),"",$C1178&amp;"|"&amp;$A1178&amp;"|"&amp;$S1178)</f>
        <v/>
      </c>
      <c r="W1178" s="32">
        <f>IF(OR($C1178="",$S1178="",$S1178=1),"",IFERROR(INDEX($Q$6:$Q$1505,MATCH($C1178&amp;"|"&amp;$A1178&amp;"|"&amp;($S1178-1),$V$6:$V$1505,0)),""))</f>
        <v/>
      </c>
      <c r="X1178" s="32">
        <f>IF(OR($W1178="",$Q1178="",LEFT($Q1178,1)="—"),"",IF($W1178=$Q1178,"ללא שינוי","מ-"&amp;$W1178&amp;" ל-"&amp;$Q1178))</f>
        <v/>
      </c>
    </row>
    <row r="1179">
      <c r="A1179" s="65" t="n"/>
      <c r="B1179" s="65" t="n"/>
      <c r="C1179" s="66" t="n"/>
      <c r="D1179" s="66" t="n"/>
      <c r="E1179" s="65" t="n"/>
      <c r="F1179" s="65" t="n"/>
      <c r="G1179" s="65" t="n"/>
      <c r="H1179" s="65" t="n"/>
      <c r="I1179" s="65" t="n"/>
      <c r="J1179" s="65" t="n"/>
      <c r="K1179" s="65" t="n"/>
      <c r="L1179" s="65" t="n"/>
      <c r="M1179" s="65" t="n"/>
      <c r="N1179" s="65" t="n"/>
      <c r="O1179" s="65" t="n"/>
      <c r="P1179" s="65" t="n"/>
      <c r="Q1179" s="32">
        <f>IF($C1179="","",IF($J1179="","— חסרים נתונים",IF($J1179="טרם מפענח","פרופיל 5",IF($J1179="קמץ/פתח/חטף-פתח ושוואים","פרופיל 4",IF($J1179="2-3 סימני ניקוד","פרופיל 3",IF($J1179="4-5 סימני ניקוד","פרופיל 2",IF(AND($O1179="משפטים וקטעים קצרים",OR($M1179="מבין",$M1179="מבין לרוב")),"פרופיל 1","פרופיל 2")))))))</f>
        <v/>
      </c>
      <c r="R1179" s="32">
        <f>IF($C1179="","",IF(OR($Q1179="",LEFT($Q1179,1)="—"),"קבוצה רביעית",IF($Q1179="פרופיל 5","קבוצת תשתיות",IF(OR($Q1179="פרופיל 4",$Q1179="פרופיל 3"),"קבוצת רכישה","קבוצת ביסוס"))))</f>
        <v/>
      </c>
      <c r="S1179" s="32">
        <f>IF($F1179="","",IF($F1179="תחילת שנה",1,IF($F1179="מחצית שנה",2,3)))</f>
        <v/>
      </c>
      <c r="T1179" s="32">
        <f>IF(OR($B1179="",$R1179="",$A1179="",$F1179=""),"",$B1179&amp;"|"&amp;$A1179&amp;"|"&amp;$F1179&amp;"|"&amp;$R1179&amp;"|"&amp;COUNTIFS($B$6:$B1179,$B1179,$A$6:$A1179,$A1179,$F$6:$F1179,$F1179,$R$6:$R1179,$R1179))</f>
        <v/>
      </c>
      <c r="U1179" s="32">
        <f>IF($C1179="","",$C1179&amp;"|"&amp;COUNTIFS($C$6:$C1179,$C1179))</f>
        <v/>
      </c>
      <c r="V1179" s="32">
        <f>IF(OR($C1179="",$A1179="",$S1179=""),"",$C1179&amp;"|"&amp;$A1179&amp;"|"&amp;$S1179)</f>
        <v/>
      </c>
      <c r="W1179" s="32">
        <f>IF(OR($C1179="",$S1179="",$S1179=1),"",IFERROR(INDEX($Q$6:$Q$1505,MATCH($C1179&amp;"|"&amp;$A1179&amp;"|"&amp;($S1179-1),$V$6:$V$1505,0)),""))</f>
        <v/>
      </c>
      <c r="X1179" s="32">
        <f>IF(OR($W1179="",$Q1179="",LEFT($Q1179,1)="—"),"",IF($W1179=$Q1179,"ללא שינוי","מ-"&amp;$W1179&amp;" ל-"&amp;$Q1179))</f>
        <v/>
      </c>
    </row>
    <row r="1180">
      <c r="A1180" s="65" t="n"/>
      <c r="B1180" s="65" t="n"/>
      <c r="C1180" s="66" t="n"/>
      <c r="D1180" s="66" t="n"/>
      <c r="E1180" s="65" t="n"/>
      <c r="F1180" s="65" t="n"/>
      <c r="G1180" s="65" t="n"/>
      <c r="H1180" s="65" t="n"/>
      <c r="I1180" s="65" t="n"/>
      <c r="J1180" s="65" t="n"/>
      <c r="K1180" s="65" t="n"/>
      <c r="L1180" s="65" t="n"/>
      <c r="M1180" s="65" t="n"/>
      <c r="N1180" s="65" t="n"/>
      <c r="O1180" s="65" t="n"/>
      <c r="P1180" s="65" t="n"/>
      <c r="Q1180" s="32">
        <f>IF($C1180="","",IF($J1180="","— חסרים נתונים",IF($J1180="טרם מפענח","פרופיל 5",IF($J1180="קמץ/פתח/חטף-פתח ושוואים","פרופיל 4",IF($J1180="2-3 סימני ניקוד","פרופיל 3",IF($J1180="4-5 סימני ניקוד","פרופיל 2",IF(AND($O1180="משפטים וקטעים קצרים",OR($M1180="מבין",$M1180="מבין לרוב")),"פרופיל 1","פרופיל 2")))))))</f>
        <v/>
      </c>
      <c r="R1180" s="32">
        <f>IF($C1180="","",IF(OR($Q1180="",LEFT($Q1180,1)="—"),"קבוצה רביעית",IF($Q1180="פרופיל 5","קבוצת תשתיות",IF(OR($Q1180="פרופיל 4",$Q1180="פרופיל 3"),"קבוצת רכישה","קבוצת ביסוס"))))</f>
        <v/>
      </c>
      <c r="S1180" s="32">
        <f>IF($F1180="","",IF($F1180="תחילת שנה",1,IF($F1180="מחצית שנה",2,3)))</f>
        <v/>
      </c>
      <c r="T1180" s="32">
        <f>IF(OR($B1180="",$R1180="",$A1180="",$F1180=""),"",$B1180&amp;"|"&amp;$A1180&amp;"|"&amp;$F1180&amp;"|"&amp;$R1180&amp;"|"&amp;COUNTIFS($B$6:$B1180,$B1180,$A$6:$A1180,$A1180,$F$6:$F1180,$F1180,$R$6:$R1180,$R1180))</f>
        <v/>
      </c>
      <c r="U1180" s="32">
        <f>IF($C1180="","",$C1180&amp;"|"&amp;COUNTIFS($C$6:$C1180,$C1180))</f>
        <v/>
      </c>
      <c r="V1180" s="32">
        <f>IF(OR($C1180="",$A1180="",$S1180=""),"",$C1180&amp;"|"&amp;$A1180&amp;"|"&amp;$S1180)</f>
        <v/>
      </c>
      <c r="W1180" s="32">
        <f>IF(OR($C1180="",$S1180="",$S1180=1),"",IFERROR(INDEX($Q$6:$Q$1505,MATCH($C1180&amp;"|"&amp;$A1180&amp;"|"&amp;($S1180-1),$V$6:$V$1505,0)),""))</f>
        <v/>
      </c>
      <c r="X1180" s="32">
        <f>IF(OR($W1180="",$Q1180="",LEFT($Q1180,1)="—"),"",IF($W1180=$Q1180,"ללא שינוי","מ-"&amp;$W1180&amp;" ל-"&amp;$Q1180))</f>
        <v/>
      </c>
    </row>
    <row r="1181">
      <c r="A1181" s="65" t="n"/>
      <c r="B1181" s="65" t="n"/>
      <c r="C1181" s="66" t="n"/>
      <c r="D1181" s="66" t="n"/>
      <c r="E1181" s="65" t="n"/>
      <c r="F1181" s="65" t="n"/>
      <c r="G1181" s="65" t="n"/>
      <c r="H1181" s="65" t="n"/>
      <c r="I1181" s="65" t="n"/>
      <c r="J1181" s="65" t="n"/>
      <c r="K1181" s="65" t="n"/>
      <c r="L1181" s="65" t="n"/>
      <c r="M1181" s="65" t="n"/>
      <c r="N1181" s="65" t="n"/>
      <c r="O1181" s="65" t="n"/>
      <c r="P1181" s="65" t="n"/>
      <c r="Q1181" s="32">
        <f>IF($C1181="","",IF($J1181="","— חסרים נתונים",IF($J1181="טרם מפענח","פרופיל 5",IF($J1181="קמץ/פתח/חטף-פתח ושוואים","פרופיל 4",IF($J1181="2-3 סימני ניקוד","פרופיל 3",IF($J1181="4-5 סימני ניקוד","פרופיל 2",IF(AND($O1181="משפטים וקטעים קצרים",OR($M1181="מבין",$M1181="מבין לרוב")),"פרופיל 1","פרופיל 2")))))))</f>
        <v/>
      </c>
      <c r="R1181" s="32">
        <f>IF($C1181="","",IF(OR($Q1181="",LEFT($Q1181,1)="—"),"קבוצה רביעית",IF($Q1181="פרופיל 5","קבוצת תשתיות",IF(OR($Q1181="פרופיל 4",$Q1181="פרופיל 3"),"קבוצת רכישה","קבוצת ביסוס"))))</f>
        <v/>
      </c>
      <c r="S1181" s="32">
        <f>IF($F1181="","",IF($F1181="תחילת שנה",1,IF($F1181="מחצית שנה",2,3)))</f>
        <v/>
      </c>
      <c r="T1181" s="32">
        <f>IF(OR($B1181="",$R1181="",$A1181="",$F1181=""),"",$B1181&amp;"|"&amp;$A1181&amp;"|"&amp;$F1181&amp;"|"&amp;$R1181&amp;"|"&amp;COUNTIFS($B$6:$B1181,$B1181,$A$6:$A1181,$A1181,$F$6:$F1181,$F1181,$R$6:$R1181,$R1181))</f>
        <v/>
      </c>
      <c r="U1181" s="32">
        <f>IF($C1181="","",$C1181&amp;"|"&amp;COUNTIFS($C$6:$C1181,$C1181))</f>
        <v/>
      </c>
      <c r="V1181" s="32">
        <f>IF(OR($C1181="",$A1181="",$S1181=""),"",$C1181&amp;"|"&amp;$A1181&amp;"|"&amp;$S1181)</f>
        <v/>
      </c>
      <c r="W1181" s="32">
        <f>IF(OR($C1181="",$S1181="",$S1181=1),"",IFERROR(INDEX($Q$6:$Q$1505,MATCH($C1181&amp;"|"&amp;$A1181&amp;"|"&amp;($S1181-1),$V$6:$V$1505,0)),""))</f>
        <v/>
      </c>
      <c r="X1181" s="32">
        <f>IF(OR($W1181="",$Q1181="",LEFT($Q1181,1)="—"),"",IF($W1181=$Q1181,"ללא שינוי","מ-"&amp;$W1181&amp;" ל-"&amp;$Q1181))</f>
        <v/>
      </c>
    </row>
    <row r="1182">
      <c r="A1182" s="65" t="n"/>
      <c r="B1182" s="65" t="n"/>
      <c r="C1182" s="66" t="n"/>
      <c r="D1182" s="66" t="n"/>
      <c r="E1182" s="65" t="n"/>
      <c r="F1182" s="65" t="n"/>
      <c r="G1182" s="65" t="n"/>
      <c r="H1182" s="65" t="n"/>
      <c r="I1182" s="65" t="n"/>
      <c r="J1182" s="65" t="n"/>
      <c r="K1182" s="65" t="n"/>
      <c r="L1182" s="65" t="n"/>
      <c r="M1182" s="65" t="n"/>
      <c r="N1182" s="65" t="n"/>
      <c r="O1182" s="65" t="n"/>
      <c r="P1182" s="65" t="n"/>
      <c r="Q1182" s="32">
        <f>IF($C1182="","",IF($J1182="","— חסרים נתונים",IF($J1182="טרם מפענח","פרופיל 5",IF($J1182="קמץ/פתח/חטף-פתח ושוואים","פרופיל 4",IF($J1182="2-3 סימני ניקוד","פרופיל 3",IF($J1182="4-5 סימני ניקוד","פרופיל 2",IF(AND($O1182="משפטים וקטעים קצרים",OR($M1182="מבין",$M1182="מבין לרוב")),"פרופיל 1","פרופיל 2")))))))</f>
        <v/>
      </c>
      <c r="R1182" s="32">
        <f>IF($C1182="","",IF(OR($Q1182="",LEFT($Q1182,1)="—"),"קבוצה רביעית",IF($Q1182="פרופיל 5","קבוצת תשתיות",IF(OR($Q1182="פרופיל 4",$Q1182="פרופיל 3"),"קבוצת רכישה","קבוצת ביסוס"))))</f>
        <v/>
      </c>
      <c r="S1182" s="32">
        <f>IF($F1182="","",IF($F1182="תחילת שנה",1,IF($F1182="מחצית שנה",2,3)))</f>
        <v/>
      </c>
      <c r="T1182" s="32">
        <f>IF(OR($B1182="",$R1182="",$A1182="",$F1182=""),"",$B1182&amp;"|"&amp;$A1182&amp;"|"&amp;$F1182&amp;"|"&amp;$R1182&amp;"|"&amp;COUNTIFS($B$6:$B1182,$B1182,$A$6:$A1182,$A1182,$F$6:$F1182,$F1182,$R$6:$R1182,$R1182))</f>
        <v/>
      </c>
      <c r="U1182" s="32">
        <f>IF($C1182="","",$C1182&amp;"|"&amp;COUNTIFS($C$6:$C1182,$C1182))</f>
        <v/>
      </c>
      <c r="V1182" s="32">
        <f>IF(OR($C1182="",$A1182="",$S1182=""),"",$C1182&amp;"|"&amp;$A1182&amp;"|"&amp;$S1182)</f>
        <v/>
      </c>
      <c r="W1182" s="32">
        <f>IF(OR($C1182="",$S1182="",$S1182=1),"",IFERROR(INDEX($Q$6:$Q$1505,MATCH($C1182&amp;"|"&amp;$A1182&amp;"|"&amp;($S1182-1),$V$6:$V$1505,0)),""))</f>
        <v/>
      </c>
      <c r="X1182" s="32">
        <f>IF(OR($W1182="",$Q1182="",LEFT($Q1182,1)="—"),"",IF($W1182=$Q1182,"ללא שינוי","מ-"&amp;$W1182&amp;" ל-"&amp;$Q1182))</f>
        <v/>
      </c>
    </row>
    <row r="1183">
      <c r="A1183" s="65" t="n"/>
      <c r="B1183" s="65" t="n"/>
      <c r="C1183" s="66" t="n"/>
      <c r="D1183" s="66" t="n"/>
      <c r="E1183" s="65" t="n"/>
      <c r="F1183" s="65" t="n"/>
      <c r="G1183" s="65" t="n"/>
      <c r="H1183" s="65" t="n"/>
      <c r="I1183" s="65" t="n"/>
      <c r="J1183" s="65" t="n"/>
      <c r="K1183" s="65" t="n"/>
      <c r="L1183" s="65" t="n"/>
      <c r="M1183" s="65" t="n"/>
      <c r="N1183" s="65" t="n"/>
      <c r="O1183" s="65" t="n"/>
      <c r="P1183" s="65" t="n"/>
      <c r="Q1183" s="32">
        <f>IF($C1183="","",IF($J1183="","— חסרים נתונים",IF($J1183="טרם מפענח","פרופיל 5",IF($J1183="קמץ/פתח/חטף-פתח ושוואים","פרופיל 4",IF($J1183="2-3 סימני ניקוד","פרופיל 3",IF($J1183="4-5 סימני ניקוד","פרופיל 2",IF(AND($O1183="משפטים וקטעים קצרים",OR($M1183="מבין",$M1183="מבין לרוב")),"פרופיל 1","פרופיל 2")))))))</f>
        <v/>
      </c>
      <c r="R1183" s="32">
        <f>IF($C1183="","",IF(OR($Q1183="",LEFT($Q1183,1)="—"),"קבוצה רביעית",IF($Q1183="פרופיל 5","קבוצת תשתיות",IF(OR($Q1183="פרופיל 4",$Q1183="פרופיל 3"),"קבוצת רכישה","קבוצת ביסוס"))))</f>
        <v/>
      </c>
      <c r="S1183" s="32">
        <f>IF($F1183="","",IF($F1183="תחילת שנה",1,IF($F1183="מחצית שנה",2,3)))</f>
        <v/>
      </c>
      <c r="T1183" s="32">
        <f>IF(OR($B1183="",$R1183="",$A1183="",$F1183=""),"",$B1183&amp;"|"&amp;$A1183&amp;"|"&amp;$F1183&amp;"|"&amp;$R1183&amp;"|"&amp;COUNTIFS($B$6:$B1183,$B1183,$A$6:$A1183,$A1183,$F$6:$F1183,$F1183,$R$6:$R1183,$R1183))</f>
        <v/>
      </c>
      <c r="U1183" s="32">
        <f>IF($C1183="","",$C1183&amp;"|"&amp;COUNTIFS($C$6:$C1183,$C1183))</f>
        <v/>
      </c>
      <c r="V1183" s="32">
        <f>IF(OR($C1183="",$A1183="",$S1183=""),"",$C1183&amp;"|"&amp;$A1183&amp;"|"&amp;$S1183)</f>
        <v/>
      </c>
      <c r="W1183" s="32">
        <f>IF(OR($C1183="",$S1183="",$S1183=1),"",IFERROR(INDEX($Q$6:$Q$1505,MATCH($C1183&amp;"|"&amp;$A1183&amp;"|"&amp;($S1183-1),$V$6:$V$1505,0)),""))</f>
        <v/>
      </c>
      <c r="X1183" s="32">
        <f>IF(OR($W1183="",$Q1183="",LEFT($Q1183,1)="—"),"",IF($W1183=$Q1183,"ללא שינוי","מ-"&amp;$W1183&amp;" ל-"&amp;$Q1183))</f>
        <v/>
      </c>
    </row>
    <row r="1184">
      <c r="A1184" s="65" t="n"/>
      <c r="B1184" s="65" t="n"/>
      <c r="C1184" s="66" t="n"/>
      <c r="D1184" s="66" t="n"/>
      <c r="E1184" s="65" t="n"/>
      <c r="F1184" s="65" t="n"/>
      <c r="G1184" s="65" t="n"/>
      <c r="H1184" s="65" t="n"/>
      <c r="I1184" s="65" t="n"/>
      <c r="J1184" s="65" t="n"/>
      <c r="K1184" s="65" t="n"/>
      <c r="L1184" s="65" t="n"/>
      <c r="M1184" s="65" t="n"/>
      <c r="N1184" s="65" t="n"/>
      <c r="O1184" s="65" t="n"/>
      <c r="P1184" s="65" t="n"/>
      <c r="Q1184" s="32">
        <f>IF($C1184="","",IF($J1184="","— חסרים נתונים",IF($J1184="טרם מפענח","פרופיל 5",IF($J1184="קמץ/פתח/חטף-פתח ושוואים","פרופיל 4",IF($J1184="2-3 סימני ניקוד","פרופיל 3",IF($J1184="4-5 סימני ניקוד","פרופיל 2",IF(AND($O1184="משפטים וקטעים קצרים",OR($M1184="מבין",$M1184="מבין לרוב")),"פרופיל 1","פרופיל 2")))))))</f>
        <v/>
      </c>
      <c r="R1184" s="32">
        <f>IF($C1184="","",IF(OR($Q1184="",LEFT($Q1184,1)="—"),"קבוצה רביעית",IF($Q1184="פרופיל 5","קבוצת תשתיות",IF(OR($Q1184="פרופיל 4",$Q1184="פרופיל 3"),"קבוצת רכישה","קבוצת ביסוס"))))</f>
        <v/>
      </c>
      <c r="S1184" s="32">
        <f>IF($F1184="","",IF($F1184="תחילת שנה",1,IF($F1184="מחצית שנה",2,3)))</f>
        <v/>
      </c>
      <c r="T1184" s="32">
        <f>IF(OR($B1184="",$R1184="",$A1184="",$F1184=""),"",$B1184&amp;"|"&amp;$A1184&amp;"|"&amp;$F1184&amp;"|"&amp;$R1184&amp;"|"&amp;COUNTIFS($B$6:$B1184,$B1184,$A$6:$A1184,$A1184,$F$6:$F1184,$F1184,$R$6:$R1184,$R1184))</f>
        <v/>
      </c>
      <c r="U1184" s="32">
        <f>IF($C1184="","",$C1184&amp;"|"&amp;COUNTIFS($C$6:$C1184,$C1184))</f>
        <v/>
      </c>
      <c r="V1184" s="32">
        <f>IF(OR($C1184="",$A1184="",$S1184=""),"",$C1184&amp;"|"&amp;$A1184&amp;"|"&amp;$S1184)</f>
        <v/>
      </c>
      <c r="W1184" s="32">
        <f>IF(OR($C1184="",$S1184="",$S1184=1),"",IFERROR(INDEX($Q$6:$Q$1505,MATCH($C1184&amp;"|"&amp;$A1184&amp;"|"&amp;($S1184-1),$V$6:$V$1505,0)),""))</f>
        <v/>
      </c>
      <c r="X1184" s="32">
        <f>IF(OR($W1184="",$Q1184="",LEFT($Q1184,1)="—"),"",IF($W1184=$Q1184,"ללא שינוי","מ-"&amp;$W1184&amp;" ל-"&amp;$Q1184))</f>
        <v/>
      </c>
    </row>
    <row r="1185">
      <c r="A1185" s="65" t="n"/>
      <c r="B1185" s="65" t="n"/>
      <c r="C1185" s="66" t="n"/>
      <c r="D1185" s="66" t="n"/>
      <c r="E1185" s="65" t="n"/>
      <c r="F1185" s="65" t="n"/>
      <c r="G1185" s="65" t="n"/>
      <c r="H1185" s="65" t="n"/>
      <c r="I1185" s="65" t="n"/>
      <c r="J1185" s="65" t="n"/>
      <c r="K1185" s="65" t="n"/>
      <c r="L1185" s="65" t="n"/>
      <c r="M1185" s="65" t="n"/>
      <c r="N1185" s="65" t="n"/>
      <c r="O1185" s="65" t="n"/>
      <c r="P1185" s="65" t="n"/>
      <c r="Q1185" s="32">
        <f>IF($C1185="","",IF($J1185="","— חסרים נתונים",IF($J1185="טרם מפענח","פרופיל 5",IF($J1185="קמץ/פתח/חטף-פתח ושוואים","פרופיל 4",IF($J1185="2-3 סימני ניקוד","פרופיל 3",IF($J1185="4-5 סימני ניקוד","פרופיל 2",IF(AND($O1185="משפטים וקטעים קצרים",OR($M1185="מבין",$M1185="מבין לרוב")),"פרופיל 1","פרופיל 2")))))))</f>
        <v/>
      </c>
      <c r="R1185" s="32">
        <f>IF($C1185="","",IF(OR($Q1185="",LEFT($Q1185,1)="—"),"קבוצה רביעית",IF($Q1185="פרופיל 5","קבוצת תשתיות",IF(OR($Q1185="פרופיל 4",$Q1185="פרופיל 3"),"קבוצת רכישה","קבוצת ביסוס"))))</f>
        <v/>
      </c>
      <c r="S1185" s="32">
        <f>IF($F1185="","",IF($F1185="תחילת שנה",1,IF($F1185="מחצית שנה",2,3)))</f>
        <v/>
      </c>
      <c r="T1185" s="32">
        <f>IF(OR($B1185="",$R1185="",$A1185="",$F1185=""),"",$B1185&amp;"|"&amp;$A1185&amp;"|"&amp;$F1185&amp;"|"&amp;$R1185&amp;"|"&amp;COUNTIFS($B$6:$B1185,$B1185,$A$6:$A1185,$A1185,$F$6:$F1185,$F1185,$R$6:$R1185,$R1185))</f>
        <v/>
      </c>
      <c r="U1185" s="32">
        <f>IF($C1185="","",$C1185&amp;"|"&amp;COUNTIFS($C$6:$C1185,$C1185))</f>
        <v/>
      </c>
      <c r="V1185" s="32">
        <f>IF(OR($C1185="",$A1185="",$S1185=""),"",$C1185&amp;"|"&amp;$A1185&amp;"|"&amp;$S1185)</f>
        <v/>
      </c>
      <c r="W1185" s="32">
        <f>IF(OR($C1185="",$S1185="",$S1185=1),"",IFERROR(INDEX($Q$6:$Q$1505,MATCH($C1185&amp;"|"&amp;$A1185&amp;"|"&amp;($S1185-1),$V$6:$V$1505,0)),""))</f>
        <v/>
      </c>
      <c r="X1185" s="32">
        <f>IF(OR($W1185="",$Q1185="",LEFT($Q1185,1)="—"),"",IF($W1185=$Q1185,"ללא שינוי","מ-"&amp;$W1185&amp;" ל-"&amp;$Q1185))</f>
        <v/>
      </c>
    </row>
    <row r="1186">
      <c r="A1186" s="65" t="n"/>
      <c r="B1186" s="65" t="n"/>
      <c r="C1186" s="66" t="n"/>
      <c r="D1186" s="66" t="n"/>
      <c r="E1186" s="65" t="n"/>
      <c r="F1186" s="65" t="n"/>
      <c r="G1186" s="65" t="n"/>
      <c r="H1186" s="65" t="n"/>
      <c r="I1186" s="65" t="n"/>
      <c r="J1186" s="65" t="n"/>
      <c r="K1186" s="65" t="n"/>
      <c r="L1186" s="65" t="n"/>
      <c r="M1186" s="65" t="n"/>
      <c r="N1186" s="65" t="n"/>
      <c r="O1186" s="65" t="n"/>
      <c r="P1186" s="65" t="n"/>
      <c r="Q1186" s="32">
        <f>IF($C1186="","",IF($J1186="","— חסרים נתונים",IF($J1186="טרם מפענח","פרופיל 5",IF($J1186="קמץ/פתח/חטף-פתח ושוואים","פרופיל 4",IF($J1186="2-3 סימני ניקוד","פרופיל 3",IF($J1186="4-5 סימני ניקוד","פרופיל 2",IF(AND($O1186="משפטים וקטעים קצרים",OR($M1186="מבין",$M1186="מבין לרוב")),"פרופיל 1","פרופיל 2")))))))</f>
        <v/>
      </c>
      <c r="R1186" s="32">
        <f>IF($C1186="","",IF(OR($Q1186="",LEFT($Q1186,1)="—"),"קבוצה רביעית",IF($Q1186="פרופיל 5","קבוצת תשתיות",IF(OR($Q1186="פרופיל 4",$Q1186="פרופיל 3"),"קבוצת רכישה","קבוצת ביסוס"))))</f>
        <v/>
      </c>
      <c r="S1186" s="32">
        <f>IF($F1186="","",IF($F1186="תחילת שנה",1,IF($F1186="מחצית שנה",2,3)))</f>
        <v/>
      </c>
      <c r="T1186" s="32">
        <f>IF(OR($B1186="",$R1186="",$A1186="",$F1186=""),"",$B1186&amp;"|"&amp;$A1186&amp;"|"&amp;$F1186&amp;"|"&amp;$R1186&amp;"|"&amp;COUNTIFS($B$6:$B1186,$B1186,$A$6:$A1186,$A1186,$F$6:$F1186,$F1186,$R$6:$R1186,$R1186))</f>
        <v/>
      </c>
      <c r="U1186" s="32">
        <f>IF($C1186="","",$C1186&amp;"|"&amp;COUNTIFS($C$6:$C1186,$C1186))</f>
        <v/>
      </c>
      <c r="V1186" s="32">
        <f>IF(OR($C1186="",$A1186="",$S1186=""),"",$C1186&amp;"|"&amp;$A1186&amp;"|"&amp;$S1186)</f>
        <v/>
      </c>
      <c r="W1186" s="32">
        <f>IF(OR($C1186="",$S1186="",$S1186=1),"",IFERROR(INDEX($Q$6:$Q$1505,MATCH($C1186&amp;"|"&amp;$A1186&amp;"|"&amp;($S1186-1),$V$6:$V$1505,0)),""))</f>
        <v/>
      </c>
      <c r="X1186" s="32">
        <f>IF(OR($W1186="",$Q1186="",LEFT($Q1186,1)="—"),"",IF($W1186=$Q1186,"ללא שינוי","מ-"&amp;$W1186&amp;" ל-"&amp;$Q1186))</f>
        <v/>
      </c>
    </row>
    <row r="1187">
      <c r="A1187" s="65" t="n"/>
      <c r="B1187" s="65" t="n"/>
      <c r="C1187" s="66" t="n"/>
      <c r="D1187" s="66" t="n"/>
      <c r="E1187" s="65" t="n"/>
      <c r="F1187" s="65" t="n"/>
      <c r="G1187" s="65" t="n"/>
      <c r="H1187" s="65" t="n"/>
      <c r="I1187" s="65" t="n"/>
      <c r="J1187" s="65" t="n"/>
      <c r="K1187" s="65" t="n"/>
      <c r="L1187" s="65" t="n"/>
      <c r="M1187" s="65" t="n"/>
      <c r="N1187" s="65" t="n"/>
      <c r="O1187" s="65" t="n"/>
      <c r="P1187" s="65" t="n"/>
      <c r="Q1187" s="32">
        <f>IF($C1187="","",IF($J1187="","— חסרים נתונים",IF($J1187="טרם מפענח","פרופיל 5",IF($J1187="קמץ/פתח/חטף-פתח ושוואים","פרופיל 4",IF($J1187="2-3 סימני ניקוד","פרופיל 3",IF($J1187="4-5 סימני ניקוד","פרופיל 2",IF(AND($O1187="משפטים וקטעים קצרים",OR($M1187="מבין",$M1187="מבין לרוב")),"פרופיל 1","פרופיל 2")))))))</f>
        <v/>
      </c>
      <c r="R1187" s="32">
        <f>IF($C1187="","",IF(OR($Q1187="",LEFT($Q1187,1)="—"),"קבוצה רביעית",IF($Q1187="פרופיל 5","קבוצת תשתיות",IF(OR($Q1187="פרופיל 4",$Q1187="פרופיל 3"),"קבוצת רכישה","קבוצת ביסוס"))))</f>
        <v/>
      </c>
      <c r="S1187" s="32">
        <f>IF($F1187="","",IF($F1187="תחילת שנה",1,IF($F1187="מחצית שנה",2,3)))</f>
        <v/>
      </c>
      <c r="T1187" s="32">
        <f>IF(OR($B1187="",$R1187="",$A1187="",$F1187=""),"",$B1187&amp;"|"&amp;$A1187&amp;"|"&amp;$F1187&amp;"|"&amp;$R1187&amp;"|"&amp;COUNTIFS($B$6:$B1187,$B1187,$A$6:$A1187,$A1187,$F$6:$F1187,$F1187,$R$6:$R1187,$R1187))</f>
        <v/>
      </c>
      <c r="U1187" s="32">
        <f>IF($C1187="","",$C1187&amp;"|"&amp;COUNTIFS($C$6:$C1187,$C1187))</f>
        <v/>
      </c>
      <c r="V1187" s="32">
        <f>IF(OR($C1187="",$A1187="",$S1187=""),"",$C1187&amp;"|"&amp;$A1187&amp;"|"&amp;$S1187)</f>
        <v/>
      </c>
      <c r="W1187" s="32">
        <f>IF(OR($C1187="",$S1187="",$S1187=1),"",IFERROR(INDEX($Q$6:$Q$1505,MATCH($C1187&amp;"|"&amp;$A1187&amp;"|"&amp;($S1187-1),$V$6:$V$1505,0)),""))</f>
        <v/>
      </c>
      <c r="X1187" s="32">
        <f>IF(OR($W1187="",$Q1187="",LEFT($Q1187,1)="—"),"",IF($W1187=$Q1187,"ללא שינוי","מ-"&amp;$W1187&amp;" ל-"&amp;$Q1187))</f>
        <v/>
      </c>
    </row>
    <row r="1188">
      <c r="A1188" s="65" t="n"/>
      <c r="B1188" s="65" t="n"/>
      <c r="C1188" s="66" t="n"/>
      <c r="D1188" s="66" t="n"/>
      <c r="E1188" s="65" t="n"/>
      <c r="F1188" s="65" t="n"/>
      <c r="G1188" s="65" t="n"/>
      <c r="H1188" s="65" t="n"/>
      <c r="I1188" s="65" t="n"/>
      <c r="J1188" s="65" t="n"/>
      <c r="K1188" s="65" t="n"/>
      <c r="L1188" s="65" t="n"/>
      <c r="M1188" s="65" t="n"/>
      <c r="N1188" s="65" t="n"/>
      <c r="O1188" s="65" t="n"/>
      <c r="P1188" s="65" t="n"/>
      <c r="Q1188" s="32">
        <f>IF($C1188="","",IF($J1188="","— חסרים נתונים",IF($J1188="טרם מפענח","פרופיל 5",IF($J1188="קמץ/פתח/חטף-פתח ושוואים","פרופיל 4",IF($J1188="2-3 סימני ניקוד","פרופיל 3",IF($J1188="4-5 סימני ניקוד","פרופיל 2",IF(AND($O1188="משפטים וקטעים קצרים",OR($M1188="מבין",$M1188="מבין לרוב")),"פרופיל 1","פרופיל 2")))))))</f>
        <v/>
      </c>
      <c r="R1188" s="32">
        <f>IF($C1188="","",IF(OR($Q1188="",LEFT($Q1188,1)="—"),"קבוצה רביעית",IF($Q1188="פרופיל 5","קבוצת תשתיות",IF(OR($Q1188="פרופיל 4",$Q1188="פרופיל 3"),"קבוצת רכישה","קבוצת ביסוס"))))</f>
        <v/>
      </c>
      <c r="S1188" s="32">
        <f>IF($F1188="","",IF($F1188="תחילת שנה",1,IF($F1188="מחצית שנה",2,3)))</f>
        <v/>
      </c>
      <c r="T1188" s="32">
        <f>IF(OR($B1188="",$R1188="",$A1188="",$F1188=""),"",$B1188&amp;"|"&amp;$A1188&amp;"|"&amp;$F1188&amp;"|"&amp;$R1188&amp;"|"&amp;COUNTIFS($B$6:$B1188,$B1188,$A$6:$A1188,$A1188,$F$6:$F1188,$F1188,$R$6:$R1188,$R1188))</f>
        <v/>
      </c>
      <c r="U1188" s="32">
        <f>IF($C1188="","",$C1188&amp;"|"&amp;COUNTIFS($C$6:$C1188,$C1188))</f>
        <v/>
      </c>
      <c r="V1188" s="32">
        <f>IF(OR($C1188="",$A1188="",$S1188=""),"",$C1188&amp;"|"&amp;$A1188&amp;"|"&amp;$S1188)</f>
        <v/>
      </c>
      <c r="W1188" s="32">
        <f>IF(OR($C1188="",$S1188="",$S1188=1),"",IFERROR(INDEX($Q$6:$Q$1505,MATCH($C1188&amp;"|"&amp;$A1188&amp;"|"&amp;($S1188-1),$V$6:$V$1505,0)),""))</f>
        <v/>
      </c>
      <c r="X1188" s="32">
        <f>IF(OR($W1188="",$Q1188="",LEFT($Q1188,1)="—"),"",IF($W1188=$Q1188,"ללא שינוי","מ-"&amp;$W1188&amp;" ל-"&amp;$Q1188))</f>
        <v/>
      </c>
    </row>
    <row r="1189">
      <c r="A1189" s="65" t="n"/>
      <c r="B1189" s="65" t="n"/>
      <c r="C1189" s="66" t="n"/>
      <c r="D1189" s="66" t="n"/>
      <c r="E1189" s="65" t="n"/>
      <c r="F1189" s="65" t="n"/>
      <c r="G1189" s="65" t="n"/>
      <c r="H1189" s="65" t="n"/>
      <c r="I1189" s="65" t="n"/>
      <c r="J1189" s="65" t="n"/>
      <c r="K1189" s="65" t="n"/>
      <c r="L1189" s="65" t="n"/>
      <c r="M1189" s="65" t="n"/>
      <c r="N1189" s="65" t="n"/>
      <c r="O1189" s="65" t="n"/>
      <c r="P1189" s="65" t="n"/>
      <c r="Q1189" s="32">
        <f>IF($C1189="","",IF($J1189="","— חסרים נתונים",IF($J1189="טרם מפענח","פרופיל 5",IF($J1189="קמץ/פתח/חטף-פתח ושוואים","פרופיל 4",IF($J1189="2-3 סימני ניקוד","פרופיל 3",IF($J1189="4-5 סימני ניקוד","פרופיל 2",IF(AND($O1189="משפטים וקטעים קצרים",OR($M1189="מבין",$M1189="מבין לרוב")),"פרופיל 1","פרופיל 2")))))))</f>
        <v/>
      </c>
      <c r="R1189" s="32">
        <f>IF($C1189="","",IF(OR($Q1189="",LEFT($Q1189,1)="—"),"קבוצה רביעית",IF($Q1189="פרופיל 5","קבוצת תשתיות",IF(OR($Q1189="פרופיל 4",$Q1189="פרופיל 3"),"קבוצת רכישה","קבוצת ביסוס"))))</f>
        <v/>
      </c>
      <c r="S1189" s="32">
        <f>IF($F1189="","",IF($F1189="תחילת שנה",1,IF($F1189="מחצית שנה",2,3)))</f>
        <v/>
      </c>
      <c r="T1189" s="32">
        <f>IF(OR($B1189="",$R1189="",$A1189="",$F1189=""),"",$B1189&amp;"|"&amp;$A1189&amp;"|"&amp;$F1189&amp;"|"&amp;$R1189&amp;"|"&amp;COUNTIFS($B$6:$B1189,$B1189,$A$6:$A1189,$A1189,$F$6:$F1189,$F1189,$R$6:$R1189,$R1189))</f>
        <v/>
      </c>
      <c r="U1189" s="32">
        <f>IF($C1189="","",$C1189&amp;"|"&amp;COUNTIFS($C$6:$C1189,$C1189))</f>
        <v/>
      </c>
      <c r="V1189" s="32">
        <f>IF(OR($C1189="",$A1189="",$S1189=""),"",$C1189&amp;"|"&amp;$A1189&amp;"|"&amp;$S1189)</f>
        <v/>
      </c>
      <c r="W1189" s="32">
        <f>IF(OR($C1189="",$S1189="",$S1189=1),"",IFERROR(INDEX($Q$6:$Q$1505,MATCH($C1189&amp;"|"&amp;$A1189&amp;"|"&amp;($S1189-1),$V$6:$V$1505,0)),""))</f>
        <v/>
      </c>
      <c r="X1189" s="32">
        <f>IF(OR($W1189="",$Q1189="",LEFT($Q1189,1)="—"),"",IF($W1189=$Q1189,"ללא שינוי","מ-"&amp;$W1189&amp;" ל-"&amp;$Q1189))</f>
        <v/>
      </c>
    </row>
    <row r="1190">
      <c r="A1190" s="65" t="n"/>
      <c r="B1190" s="65" t="n"/>
      <c r="C1190" s="66" t="n"/>
      <c r="D1190" s="66" t="n"/>
      <c r="E1190" s="65" t="n"/>
      <c r="F1190" s="65" t="n"/>
      <c r="G1190" s="65" t="n"/>
      <c r="H1190" s="65" t="n"/>
      <c r="I1190" s="65" t="n"/>
      <c r="J1190" s="65" t="n"/>
      <c r="K1190" s="65" t="n"/>
      <c r="L1190" s="65" t="n"/>
      <c r="M1190" s="65" t="n"/>
      <c r="N1190" s="65" t="n"/>
      <c r="O1190" s="65" t="n"/>
      <c r="P1190" s="65" t="n"/>
      <c r="Q1190" s="32">
        <f>IF($C1190="","",IF($J1190="","— חסרים נתונים",IF($J1190="טרם מפענח","פרופיל 5",IF($J1190="קמץ/פתח/חטף-פתח ושוואים","פרופיל 4",IF($J1190="2-3 סימני ניקוד","פרופיל 3",IF($J1190="4-5 סימני ניקוד","פרופיל 2",IF(AND($O1190="משפטים וקטעים קצרים",OR($M1190="מבין",$M1190="מבין לרוב")),"פרופיל 1","פרופיל 2")))))))</f>
        <v/>
      </c>
      <c r="R1190" s="32">
        <f>IF($C1190="","",IF(OR($Q1190="",LEFT($Q1190,1)="—"),"קבוצה רביעית",IF($Q1190="פרופיל 5","קבוצת תשתיות",IF(OR($Q1190="פרופיל 4",$Q1190="פרופיל 3"),"קבוצת רכישה","קבוצת ביסוס"))))</f>
        <v/>
      </c>
      <c r="S1190" s="32">
        <f>IF($F1190="","",IF($F1190="תחילת שנה",1,IF($F1190="מחצית שנה",2,3)))</f>
        <v/>
      </c>
      <c r="T1190" s="32">
        <f>IF(OR($B1190="",$R1190="",$A1190="",$F1190=""),"",$B1190&amp;"|"&amp;$A1190&amp;"|"&amp;$F1190&amp;"|"&amp;$R1190&amp;"|"&amp;COUNTIFS($B$6:$B1190,$B1190,$A$6:$A1190,$A1190,$F$6:$F1190,$F1190,$R$6:$R1190,$R1190))</f>
        <v/>
      </c>
      <c r="U1190" s="32">
        <f>IF($C1190="","",$C1190&amp;"|"&amp;COUNTIFS($C$6:$C1190,$C1190))</f>
        <v/>
      </c>
      <c r="V1190" s="32">
        <f>IF(OR($C1190="",$A1190="",$S1190=""),"",$C1190&amp;"|"&amp;$A1190&amp;"|"&amp;$S1190)</f>
        <v/>
      </c>
      <c r="W1190" s="32">
        <f>IF(OR($C1190="",$S1190="",$S1190=1),"",IFERROR(INDEX($Q$6:$Q$1505,MATCH($C1190&amp;"|"&amp;$A1190&amp;"|"&amp;($S1190-1),$V$6:$V$1505,0)),""))</f>
        <v/>
      </c>
      <c r="X1190" s="32">
        <f>IF(OR($W1190="",$Q1190="",LEFT($Q1190,1)="—"),"",IF($W1190=$Q1190,"ללא שינוי","מ-"&amp;$W1190&amp;" ל-"&amp;$Q1190))</f>
        <v/>
      </c>
    </row>
    <row r="1191">
      <c r="A1191" s="65" t="n"/>
      <c r="B1191" s="65" t="n"/>
      <c r="C1191" s="66" t="n"/>
      <c r="D1191" s="66" t="n"/>
      <c r="E1191" s="65" t="n"/>
      <c r="F1191" s="65" t="n"/>
      <c r="G1191" s="65" t="n"/>
      <c r="H1191" s="65" t="n"/>
      <c r="I1191" s="65" t="n"/>
      <c r="J1191" s="65" t="n"/>
      <c r="K1191" s="65" t="n"/>
      <c r="L1191" s="65" t="n"/>
      <c r="M1191" s="65" t="n"/>
      <c r="N1191" s="65" t="n"/>
      <c r="O1191" s="65" t="n"/>
      <c r="P1191" s="65" t="n"/>
      <c r="Q1191" s="32">
        <f>IF($C1191="","",IF($J1191="","— חסרים נתונים",IF($J1191="טרם מפענח","פרופיל 5",IF($J1191="קמץ/פתח/חטף-פתח ושוואים","פרופיל 4",IF($J1191="2-3 סימני ניקוד","פרופיל 3",IF($J1191="4-5 סימני ניקוד","פרופיל 2",IF(AND($O1191="משפטים וקטעים קצרים",OR($M1191="מבין",$M1191="מבין לרוב")),"פרופיל 1","פרופיל 2")))))))</f>
        <v/>
      </c>
      <c r="R1191" s="32">
        <f>IF($C1191="","",IF(OR($Q1191="",LEFT($Q1191,1)="—"),"קבוצה רביעית",IF($Q1191="פרופיל 5","קבוצת תשתיות",IF(OR($Q1191="פרופיל 4",$Q1191="פרופיל 3"),"קבוצת רכישה","קבוצת ביסוס"))))</f>
        <v/>
      </c>
      <c r="S1191" s="32">
        <f>IF($F1191="","",IF($F1191="תחילת שנה",1,IF($F1191="מחצית שנה",2,3)))</f>
        <v/>
      </c>
      <c r="T1191" s="32">
        <f>IF(OR($B1191="",$R1191="",$A1191="",$F1191=""),"",$B1191&amp;"|"&amp;$A1191&amp;"|"&amp;$F1191&amp;"|"&amp;$R1191&amp;"|"&amp;COUNTIFS($B$6:$B1191,$B1191,$A$6:$A1191,$A1191,$F$6:$F1191,$F1191,$R$6:$R1191,$R1191))</f>
        <v/>
      </c>
      <c r="U1191" s="32">
        <f>IF($C1191="","",$C1191&amp;"|"&amp;COUNTIFS($C$6:$C1191,$C1191))</f>
        <v/>
      </c>
      <c r="V1191" s="32">
        <f>IF(OR($C1191="",$A1191="",$S1191=""),"",$C1191&amp;"|"&amp;$A1191&amp;"|"&amp;$S1191)</f>
        <v/>
      </c>
      <c r="W1191" s="32">
        <f>IF(OR($C1191="",$S1191="",$S1191=1),"",IFERROR(INDEX($Q$6:$Q$1505,MATCH($C1191&amp;"|"&amp;$A1191&amp;"|"&amp;($S1191-1),$V$6:$V$1505,0)),""))</f>
        <v/>
      </c>
      <c r="X1191" s="32">
        <f>IF(OR($W1191="",$Q1191="",LEFT($Q1191,1)="—"),"",IF($W1191=$Q1191,"ללא שינוי","מ-"&amp;$W1191&amp;" ל-"&amp;$Q1191))</f>
        <v/>
      </c>
    </row>
    <row r="1192">
      <c r="A1192" s="65" t="n"/>
      <c r="B1192" s="65" t="n"/>
      <c r="C1192" s="66" t="n"/>
      <c r="D1192" s="66" t="n"/>
      <c r="E1192" s="65" t="n"/>
      <c r="F1192" s="65" t="n"/>
      <c r="G1192" s="65" t="n"/>
      <c r="H1192" s="65" t="n"/>
      <c r="I1192" s="65" t="n"/>
      <c r="J1192" s="65" t="n"/>
      <c r="K1192" s="65" t="n"/>
      <c r="L1192" s="65" t="n"/>
      <c r="M1192" s="65" t="n"/>
      <c r="N1192" s="65" t="n"/>
      <c r="O1192" s="65" t="n"/>
      <c r="P1192" s="65" t="n"/>
      <c r="Q1192" s="32">
        <f>IF($C1192="","",IF($J1192="","— חסרים נתונים",IF($J1192="טרם מפענח","פרופיל 5",IF($J1192="קמץ/פתח/חטף-פתח ושוואים","פרופיל 4",IF($J1192="2-3 סימני ניקוד","פרופיל 3",IF($J1192="4-5 סימני ניקוד","פרופיל 2",IF(AND($O1192="משפטים וקטעים קצרים",OR($M1192="מבין",$M1192="מבין לרוב")),"פרופיל 1","פרופיל 2")))))))</f>
        <v/>
      </c>
      <c r="R1192" s="32">
        <f>IF($C1192="","",IF(OR($Q1192="",LEFT($Q1192,1)="—"),"קבוצה רביעית",IF($Q1192="פרופיל 5","קבוצת תשתיות",IF(OR($Q1192="פרופיל 4",$Q1192="פרופיל 3"),"קבוצת רכישה","קבוצת ביסוס"))))</f>
        <v/>
      </c>
      <c r="S1192" s="32">
        <f>IF($F1192="","",IF($F1192="תחילת שנה",1,IF($F1192="מחצית שנה",2,3)))</f>
        <v/>
      </c>
      <c r="T1192" s="32">
        <f>IF(OR($B1192="",$R1192="",$A1192="",$F1192=""),"",$B1192&amp;"|"&amp;$A1192&amp;"|"&amp;$F1192&amp;"|"&amp;$R1192&amp;"|"&amp;COUNTIFS($B$6:$B1192,$B1192,$A$6:$A1192,$A1192,$F$6:$F1192,$F1192,$R$6:$R1192,$R1192))</f>
        <v/>
      </c>
      <c r="U1192" s="32">
        <f>IF($C1192="","",$C1192&amp;"|"&amp;COUNTIFS($C$6:$C1192,$C1192))</f>
        <v/>
      </c>
      <c r="V1192" s="32">
        <f>IF(OR($C1192="",$A1192="",$S1192=""),"",$C1192&amp;"|"&amp;$A1192&amp;"|"&amp;$S1192)</f>
        <v/>
      </c>
      <c r="W1192" s="32">
        <f>IF(OR($C1192="",$S1192="",$S1192=1),"",IFERROR(INDEX($Q$6:$Q$1505,MATCH($C1192&amp;"|"&amp;$A1192&amp;"|"&amp;($S1192-1),$V$6:$V$1505,0)),""))</f>
        <v/>
      </c>
      <c r="X1192" s="32">
        <f>IF(OR($W1192="",$Q1192="",LEFT($Q1192,1)="—"),"",IF($W1192=$Q1192,"ללא שינוי","מ-"&amp;$W1192&amp;" ל-"&amp;$Q1192))</f>
        <v/>
      </c>
    </row>
    <row r="1193">
      <c r="A1193" s="65" t="n"/>
      <c r="B1193" s="65" t="n"/>
      <c r="C1193" s="66" t="n"/>
      <c r="D1193" s="66" t="n"/>
      <c r="E1193" s="65" t="n"/>
      <c r="F1193" s="65" t="n"/>
      <c r="G1193" s="65" t="n"/>
      <c r="H1193" s="65" t="n"/>
      <c r="I1193" s="65" t="n"/>
      <c r="J1193" s="65" t="n"/>
      <c r="K1193" s="65" t="n"/>
      <c r="L1193" s="65" t="n"/>
      <c r="M1193" s="65" t="n"/>
      <c r="N1193" s="65" t="n"/>
      <c r="O1193" s="65" t="n"/>
      <c r="P1193" s="65" t="n"/>
      <c r="Q1193" s="32">
        <f>IF($C1193="","",IF($J1193="","— חסרים נתונים",IF($J1193="טרם מפענח","פרופיל 5",IF($J1193="קמץ/פתח/חטף-פתח ושוואים","פרופיל 4",IF($J1193="2-3 סימני ניקוד","פרופיל 3",IF($J1193="4-5 סימני ניקוד","פרופיל 2",IF(AND($O1193="משפטים וקטעים קצרים",OR($M1193="מבין",$M1193="מבין לרוב")),"פרופיל 1","פרופיל 2")))))))</f>
        <v/>
      </c>
      <c r="R1193" s="32">
        <f>IF($C1193="","",IF(OR($Q1193="",LEFT($Q1193,1)="—"),"קבוצה רביעית",IF($Q1193="פרופיל 5","קבוצת תשתיות",IF(OR($Q1193="פרופיל 4",$Q1193="פרופיל 3"),"קבוצת רכישה","קבוצת ביסוס"))))</f>
        <v/>
      </c>
      <c r="S1193" s="32">
        <f>IF($F1193="","",IF($F1193="תחילת שנה",1,IF($F1193="מחצית שנה",2,3)))</f>
        <v/>
      </c>
      <c r="T1193" s="32">
        <f>IF(OR($B1193="",$R1193="",$A1193="",$F1193=""),"",$B1193&amp;"|"&amp;$A1193&amp;"|"&amp;$F1193&amp;"|"&amp;$R1193&amp;"|"&amp;COUNTIFS($B$6:$B1193,$B1193,$A$6:$A1193,$A1193,$F$6:$F1193,$F1193,$R$6:$R1193,$R1193))</f>
        <v/>
      </c>
      <c r="U1193" s="32">
        <f>IF($C1193="","",$C1193&amp;"|"&amp;COUNTIFS($C$6:$C1193,$C1193))</f>
        <v/>
      </c>
      <c r="V1193" s="32">
        <f>IF(OR($C1193="",$A1193="",$S1193=""),"",$C1193&amp;"|"&amp;$A1193&amp;"|"&amp;$S1193)</f>
        <v/>
      </c>
      <c r="W1193" s="32">
        <f>IF(OR($C1193="",$S1193="",$S1193=1),"",IFERROR(INDEX($Q$6:$Q$1505,MATCH($C1193&amp;"|"&amp;$A1193&amp;"|"&amp;($S1193-1),$V$6:$V$1505,0)),""))</f>
        <v/>
      </c>
      <c r="X1193" s="32">
        <f>IF(OR($W1193="",$Q1193="",LEFT($Q1193,1)="—"),"",IF($W1193=$Q1193,"ללא שינוי","מ-"&amp;$W1193&amp;" ל-"&amp;$Q1193))</f>
        <v/>
      </c>
    </row>
    <row r="1194">
      <c r="A1194" s="65" t="n"/>
      <c r="B1194" s="65" t="n"/>
      <c r="C1194" s="66" t="n"/>
      <c r="D1194" s="66" t="n"/>
      <c r="E1194" s="65" t="n"/>
      <c r="F1194" s="65" t="n"/>
      <c r="G1194" s="65" t="n"/>
      <c r="H1194" s="65" t="n"/>
      <c r="I1194" s="65" t="n"/>
      <c r="J1194" s="65" t="n"/>
      <c r="K1194" s="65" t="n"/>
      <c r="L1194" s="65" t="n"/>
      <c r="M1194" s="65" t="n"/>
      <c r="N1194" s="65" t="n"/>
      <c r="O1194" s="65" t="n"/>
      <c r="P1194" s="65" t="n"/>
      <c r="Q1194" s="32">
        <f>IF($C1194="","",IF($J1194="","— חסרים נתונים",IF($J1194="טרם מפענח","פרופיל 5",IF($J1194="קמץ/פתח/חטף-פתח ושוואים","פרופיל 4",IF($J1194="2-3 סימני ניקוד","פרופיל 3",IF($J1194="4-5 סימני ניקוד","פרופיל 2",IF(AND($O1194="משפטים וקטעים קצרים",OR($M1194="מבין",$M1194="מבין לרוב")),"פרופיל 1","פרופיל 2")))))))</f>
        <v/>
      </c>
      <c r="R1194" s="32">
        <f>IF($C1194="","",IF(OR($Q1194="",LEFT($Q1194,1)="—"),"קבוצה רביעית",IF($Q1194="פרופיל 5","קבוצת תשתיות",IF(OR($Q1194="פרופיל 4",$Q1194="פרופיל 3"),"קבוצת רכישה","קבוצת ביסוס"))))</f>
        <v/>
      </c>
      <c r="S1194" s="32">
        <f>IF($F1194="","",IF($F1194="תחילת שנה",1,IF($F1194="מחצית שנה",2,3)))</f>
        <v/>
      </c>
      <c r="T1194" s="32">
        <f>IF(OR($B1194="",$R1194="",$A1194="",$F1194=""),"",$B1194&amp;"|"&amp;$A1194&amp;"|"&amp;$F1194&amp;"|"&amp;$R1194&amp;"|"&amp;COUNTIFS($B$6:$B1194,$B1194,$A$6:$A1194,$A1194,$F$6:$F1194,$F1194,$R$6:$R1194,$R1194))</f>
        <v/>
      </c>
      <c r="U1194" s="32">
        <f>IF($C1194="","",$C1194&amp;"|"&amp;COUNTIFS($C$6:$C1194,$C1194))</f>
        <v/>
      </c>
      <c r="V1194" s="32">
        <f>IF(OR($C1194="",$A1194="",$S1194=""),"",$C1194&amp;"|"&amp;$A1194&amp;"|"&amp;$S1194)</f>
        <v/>
      </c>
      <c r="W1194" s="32">
        <f>IF(OR($C1194="",$S1194="",$S1194=1),"",IFERROR(INDEX($Q$6:$Q$1505,MATCH($C1194&amp;"|"&amp;$A1194&amp;"|"&amp;($S1194-1),$V$6:$V$1505,0)),""))</f>
        <v/>
      </c>
      <c r="X1194" s="32">
        <f>IF(OR($W1194="",$Q1194="",LEFT($Q1194,1)="—"),"",IF($W1194=$Q1194,"ללא שינוי","מ-"&amp;$W1194&amp;" ל-"&amp;$Q1194))</f>
        <v/>
      </c>
    </row>
    <row r="1195">
      <c r="A1195" s="65" t="n"/>
      <c r="B1195" s="65" t="n"/>
      <c r="C1195" s="66" t="n"/>
      <c r="D1195" s="66" t="n"/>
      <c r="E1195" s="65" t="n"/>
      <c r="F1195" s="65" t="n"/>
      <c r="G1195" s="65" t="n"/>
      <c r="H1195" s="65" t="n"/>
      <c r="I1195" s="65" t="n"/>
      <c r="J1195" s="65" t="n"/>
      <c r="K1195" s="65" t="n"/>
      <c r="L1195" s="65" t="n"/>
      <c r="M1195" s="65" t="n"/>
      <c r="N1195" s="65" t="n"/>
      <c r="O1195" s="65" t="n"/>
      <c r="P1195" s="65" t="n"/>
      <c r="Q1195" s="32">
        <f>IF($C1195="","",IF($J1195="","— חסרים נתונים",IF($J1195="טרם מפענח","פרופיל 5",IF($J1195="קמץ/פתח/חטף-פתח ושוואים","פרופיל 4",IF($J1195="2-3 סימני ניקוד","פרופיל 3",IF($J1195="4-5 סימני ניקוד","פרופיל 2",IF(AND($O1195="משפטים וקטעים קצרים",OR($M1195="מבין",$M1195="מבין לרוב")),"פרופיל 1","פרופיל 2")))))))</f>
        <v/>
      </c>
      <c r="R1195" s="32">
        <f>IF($C1195="","",IF(OR($Q1195="",LEFT($Q1195,1)="—"),"קבוצה רביעית",IF($Q1195="פרופיל 5","קבוצת תשתיות",IF(OR($Q1195="פרופיל 4",$Q1195="פרופיל 3"),"קבוצת רכישה","קבוצת ביסוס"))))</f>
        <v/>
      </c>
      <c r="S1195" s="32">
        <f>IF($F1195="","",IF($F1195="תחילת שנה",1,IF($F1195="מחצית שנה",2,3)))</f>
        <v/>
      </c>
      <c r="T1195" s="32">
        <f>IF(OR($B1195="",$R1195="",$A1195="",$F1195=""),"",$B1195&amp;"|"&amp;$A1195&amp;"|"&amp;$F1195&amp;"|"&amp;$R1195&amp;"|"&amp;COUNTIFS($B$6:$B1195,$B1195,$A$6:$A1195,$A1195,$F$6:$F1195,$F1195,$R$6:$R1195,$R1195))</f>
        <v/>
      </c>
      <c r="U1195" s="32">
        <f>IF($C1195="","",$C1195&amp;"|"&amp;COUNTIFS($C$6:$C1195,$C1195))</f>
        <v/>
      </c>
      <c r="V1195" s="32">
        <f>IF(OR($C1195="",$A1195="",$S1195=""),"",$C1195&amp;"|"&amp;$A1195&amp;"|"&amp;$S1195)</f>
        <v/>
      </c>
      <c r="W1195" s="32">
        <f>IF(OR($C1195="",$S1195="",$S1195=1),"",IFERROR(INDEX($Q$6:$Q$1505,MATCH($C1195&amp;"|"&amp;$A1195&amp;"|"&amp;($S1195-1),$V$6:$V$1505,0)),""))</f>
        <v/>
      </c>
      <c r="X1195" s="32">
        <f>IF(OR($W1195="",$Q1195="",LEFT($Q1195,1)="—"),"",IF($W1195=$Q1195,"ללא שינוי","מ-"&amp;$W1195&amp;" ל-"&amp;$Q1195))</f>
        <v/>
      </c>
    </row>
    <row r="1196">
      <c r="A1196" s="65" t="n"/>
      <c r="B1196" s="65" t="n"/>
      <c r="C1196" s="66" t="n"/>
      <c r="D1196" s="66" t="n"/>
      <c r="E1196" s="65" t="n"/>
      <c r="F1196" s="65" t="n"/>
      <c r="G1196" s="65" t="n"/>
      <c r="H1196" s="65" t="n"/>
      <c r="I1196" s="65" t="n"/>
      <c r="J1196" s="65" t="n"/>
      <c r="K1196" s="65" t="n"/>
      <c r="L1196" s="65" t="n"/>
      <c r="M1196" s="65" t="n"/>
      <c r="N1196" s="65" t="n"/>
      <c r="O1196" s="65" t="n"/>
      <c r="P1196" s="65" t="n"/>
      <c r="Q1196" s="32">
        <f>IF($C1196="","",IF($J1196="","— חסרים נתונים",IF($J1196="טרם מפענח","פרופיל 5",IF($J1196="קמץ/פתח/חטף-פתח ושוואים","פרופיל 4",IF($J1196="2-3 סימני ניקוד","פרופיל 3",IF($J1196="4-5 סימני ניקוד","פרופיל 2",IF(AND($O1196="משפטים וקטעים קצרים",OR($M1196="מבין",$M1196="מבין לרוב")),"פרופיל 1","פרופיל 2")))))))</f>
        <v/>
      </c>
      <c r="R1196" s="32">
        <f>IF($C1196="","",IF(OR($Q1196="",LEFT($Q1196,1)="—"),"קבוצה רביעית",IF($Q1196="פרופיל 5","קבוצת תשתיות",IF(OR($Q1196="פרופיל 4",$Q1196="פרופיל 3"),"קבוצת רכישה","קבוצת ביסוס"))))</f>
        <v/>
      </c>
      <c r="S1196" s="32">
        <f>IF($F1196="","",IF($F1196="תחילת שנה",1,IF($F1196="מחצית שנה",2,3)))</f>
        <v/>
      </c>
      <c r="T1196" s="32">
        <f>IF(OR($B1196="",$R1196="",$A1196="",$F1196=""),"",$B1196&amp;"|"&amp;$A1196&amp;"|"&amp;$F1196&amp;"|"&amp;$R1196&amp;"|"&amp;COUNTIFS($B$6:$B1196,$B1196,$A$6:$A1196,$A1196,$F$6:$F1196,$F1196,$R$6:$R1196,$R1196))</f>
        <v/>
      </c>
      <c r="U1196" s="32">
        <f>IF($C1196="","",$C1196&amp;"|"&amp;COUNTIFS($C$6:$C1196,$C1196))</f>
        <v/>
      </c>
      <c r="V1196" s="32">
        <f>IF(OR($C1196="",$A1196="",$S1196=""),"",$C1196&amp;"|"&amp;$A1196&amp;"|"&amp;$S1196)</f>
        <v/>
      </c>
      <c r="W1196" s="32">
        <f>IF(OR($C1196="",$S1196="",$S1196=1),"",IFERROR(INDEX($Q$6:$Q$1505,MATCH($C1196&amp;"|"&amp;$A1196&amp;"|"&amp;($S1196-1),$V$6:$V$1505,0)),""))</f>
        <v/>
      </c>
      <c r="X1196" s="32">
        <f>IF(OR($W1196="",$Q1196="",LEFT($Q1196,1)="—"),"",IF($W1196=$Q1196,"ללא שינוי","מ-"&amp;$W1196&amp;" ל-"&amp;$Q1196))</f>
        <v/>
      </c>
    </row>
    <row r="1197">
      <c r="A1197" s="65" t="n"/>
      <c r="B1197" s="65" t="n"/>
      <c r="C1197" s="66" t="n"/>
      <c r="D1197" s="66" t="n"/>
      <c r="E1197" s="65" t="n"/>
      <c r="F1197" s="65" t="n"/>
      <c r="G1197" s="65" t="n"/>
      <c r="H1197" s="65" t="n"/>
      <c r="I1197" s="65" t="n"/>
      <c r="J1197" s="65" t="n"/>
      <c r="K1197" s="65" t="n"/>
      <c r="L1197" s="65" t="n"/>
      <c r="M1197" s="65" t="n"/>
      <c r="N1197" s="65" t="n"/>
      <c r="O1197" s="65" t="n"/>
      <c r="P1197" s="65" t="n"/>
      <c r="Q1197" s="32">
        <f>IF($C1197="","",IF($J1197="","— חסרים נתונים",IF($J1197="טרם מפענח","פרופיל 5",IF($J1197="קמץ/פתח/חטף-פתח ושוואים","פרופיל 4",IF($J1197="2-3 סימני ניקוד","פרופיל 3",IF($J1197="4-5 סימני ניקוד","פרופיל 2",IF(AND($O1197="משפטים וקטעים קצרים",OR($M1197="מבין",$M1197="מבין לרוב")),"פרופיל 1","פרופיל 2")))))))</f>
        <v/>
      </c>
      <c r="R1197" s="32">
        <f>IF($C1197="","",IF(OR($Q1197="",LEFT($Q1197,1)="—"),"קבוצה רביעית",IF($Q1197="פרופיל 5","קבוצת תשתיות",IF(OR($Q1197="פרופיל 4",$Q1197="פרופיל 3"),"קבוצת רכישה","קבוצת ביסוס"))))</f>
        <v/>
      </c>
      <c r="S1197" s="32">
        <f>IF($F1197="","",IF($F1197="תחילת שנה",1,IF($F1197="מחצית שנה",2,3)))</f>
        <v/>
      </c>
      <c r="T1197" s="32">
        <f>IF(OR($B1197="",$R1197="",$A1197="",$F1197=""),"",$B1197&amp;"|"&amp;$A1197&amp;"|"&amp;$F1197&amp;"|"&amp;$R1197&amp;"|"&amp;COUNTIFS($B$6:$B1197,$B1197,$A$6:$A1197,$A1197,$F$6:$F1197,$F1197,$R$6:$R1197,$R1197))</f>
        <v/>
      </c>
      <c r="U1197" s="32">
        <f>IF($C1197="","",$C1197&amp;"|"&amp;COUNTIFS($C$6:$C1197,$C1197))</f>
        <v/>
      </c>
      <c r="V1197" s="32">
        <f>IF(OR($C1197="",$A1197="",$S1197=""),"",$C1197&amp;"|"&amp;$A1197&amp;"|"&amp;$S1197)</f>
        <v/>
      </c>
      <c r="W1197" s="32">
        <f>IF(OR($C1197="",$S1197="",$S1197=1),"",IFERROR(INDEX($Q$6:$Q$1505,MATCH($C1197&amp;"|"&amp;$A1197&amp;"|"&amp;($S1197-1),$V$6:$V$1505,0)),""))</f>
        <v/>
      </c>
      <c r="X1197" s="32">
        <f>IF(OR($W1197="",$Q1197="",LEFT($Q1197,1)="—"),"",IF($W1197=$Q1197,"ללא שינוי","מ-"&amp;$W1197&amp;" ל-"&amp;$Q1197))</f>
        <v/>
      </c>
    </row>
    <row r="1198">
      <c r="A1198" s="65" t="n"/>
      <c r="B1198" s="65" t="n"/>
      <c r="C1198" s="66" t="n"/>
      <c r="D1198" s="66" t="n"/>
      <c r="E1198" s="65" t="n"/>
      <c r="F1198" s="65" t="n"/>
      <c r="G1198" s="65" t="n"/>
      <c r="H1198" s="65" t="n"/>
      <c r="I1198" s="65" t="n"/>
      <c r="J1198" s="65" t="n"/>
      <c r="K1198" s="65" t="n"/>
      <c r="L1198" s="65" t="n"/>
      <c r="M1198" s="65" t="n"/>
      <c r="N1198" s="65" t="n"/>
      <c r="O1198" s="65" t="n"/>
      <c r="P1198" s="65" t="n"/>
      <c r="Q1198" s="32">
        <f>IF($C1198="","",IF($J1198="","— חסרים נתונים",IF($J1198="טרם מפענח","פרופיל 5",IF($J1198="קמץ/פתח/חטף-פתח ושוואים","פרופיל 4",IF($J1198="2-3 סימני ניקוד","פרופיל 3",IF($J1198="4-5 סימני ניקוד","פרופיל 2",IF(AND($O1198="משפטים וקטעים קצרים",OR($M1198="מבין",$M1198="מבין לרוב")),"פרופיל 1","פרופיל 2")))))))</f>
        <v/>
      </c>
      <c r="R1198" s="32">
        <f>IF($C1198="","",IF(OR($Q1198="",LEFT($Q1198,1)="—"),"קבוצה רביעית",IF($Q1198="פרופיל 5","קבוצת תשתיות",IF(OR($Q1198="פרופיל 4",$Q1198="פרופיל 3"),"קבוצת רכישה","קבוצת ביסוס"))))</f>
        <v/>
      </c>
      <c r="S1198" s="32">
        <f>IF($F1198="","",IF($F1198="תחילת שנה",1,IF($F1198="מחצית שנה",2,3)))</f>
        <v/>
      </c>
      <c r="T1198" s="32">
        <f>IF(OR($B1198="",$R1198="",$A1198="",$F1198=""),"",$B1198&amp;"|"&amp;$A1198&amp;"|"&amp;$F1198&amp;"|"&amp;$R1198&amp;"|"&amp;COUNTIFS($B$6:$B1198,$B1198,$A$6:$A1198,$A1198,$F$6:$F1198,$F1198,$R$6:$R1198,$R1198))</f>
        <v/>
      </c>
      <c r="U1198" s="32">
        <f>IF($C1198="","",$C1198&amp;"|"&amp;COUNTIFS($C$6:$C1198,$C1198))</f>
        <v/>
      </c>
      <c r="V1198" s="32">
        <f>IF(OR($C1198="",$A1198="",$S1198=""),"",$C1198&amp;"|"&amp;$A1198&amp;"|"&amp;$S1198)</f>
        <v/>
      </c>
      <c r="W1198" s="32">
        <f>IF(OR($C1198="",$S1198="",$S1198=1),"",IFERROR(INDEX($Q$6:$Q$1505,MATCH($C1198&amp;"|"&amp;$A1198&amp;"|"&amp;($S1198-1),$V$6:$V$1505,0)),""))</f>
        <v/>
      </c>
      <c r="X1198" s="32">
        <f>IF(OR($W1198="",$Q1198="",LEFT($Q1198,1)="—"),"",IF($W1198=$Q1198,"ללא שינוי","מ-"&amp;$W1198&amp;" ל-"&amp;$Q1198))</f>
        <v/>
      </c>
    </row>
    <row r="1199">
      <c r="A1199" s="65" t="n"/>
      <c r="B1199" s="65" t="n"/>
      <c r="C1199" s="66" t="n"/>
      <c r="D1199" s="66" t="n"/>
      <c r="E1199" s="65" t="n"/>
      <c r="F1199" s="65" t="n"/>
      <c r="G1199" s="65" t="n"/>
      <c r="H1199" s="65" t="n"/>
      <c r="I1199" s="65" t="n"/>
      <c r="J1199" s="65" t="n"/>
      <c r="K1199" s="65" t="n"/>
      <c r="L1199" s="65" t="n"/>
      <c r="M1199" s="65" t="n"/>
      <c r="N1199" s="65" t="n"/>
      <c r="O1199" s="65" t="n"/>
      <c r="P1199" s="65" t="n"/>
      <c r="Q1199" s="32">
        <f>IF($C1199="","",IF($J1199="","— חסרים נתונים",IF($J1199="טרם מפענח","פרופיל 5",IF($J1199="קמץ/פתח/חטף-פתח ושוואים","פרופיל 4",IF($J1199="2-3 סימני ניקוד","פרופיל 3",IF($J1199="4-5 סימני ניקוד","פרופיל 2",IF(AND($O1199="משפטים וקטעים קצרים",OR($M1199="מבין",$M1199="מבין לרוב")),"פרופיל 1","פרופיל 2")))))))</f>
        <v/>
      </c>
      <c r="R1199" s="32">
        <f>IF($C1199="","",IF(OR($Q1199="",LEFT($Q1199,1)="—"),"קבוצה רביעית",IF($Q1199="פרופיל 5","קבוצת תשתיות",IF(OR($Q1199="פרופיל 4",$Q1199="פרופיל 3"),"קבוצת רכישה","קבוצת ביסוס"))))</f>
        <v/>
      </c>
      <c r="S1199" s="32">
        <f>IF($F1199="","",IF($F1199="תחילת שנה",1,IF($F1199="מחצית שנה",2,3)))</f>
        <v/>
      </c>
      <c r="T1199" s="32">
        <f>IF(OR($B1199="",$R1199="",$A1199="",$F1199=""),"",$B1199&amp;"|"&amp;$A1199&amp;"|"&amp;$F1199&amp;"|"&amp;$R1199&amp;"|"&amp;COUNTIFS($B$6:$B1199,$B1199,$A$6:$A1199,$A1199,$F$6:$F1199,$F1199,$R$6:$R1199,$R1199))</f>
        <v/>
      </c>
      <c r="U1199" s="32">
        <f>IF($C1199="","",$C1199&amp;"|"&amp;COUNTIFS($C$6:$C1199,$C1199))</f>
        <v/>
      </c>
      <c r="V1199" s="32">
        <f>IF(OR($C1199="",$A1199="",$S1199=""),"",$C1199&amp;"|"&amp;$A1199&amp;"|"&amp;$S1199)</f>
        <v/>
      </c>
      <c r="W1199" s="32">
        <f>IF(OR($C1199="",$S1199="",$S1199=1),"",IFERROR(INDEX($Q$6:$Q$1505,MATCH($C1199&amp;"|"&amp;$A1199&amp;"|"&amp;($S1199-1),$V$6:$V$1505,0)),""))</f>
        <v/>
      </c>
      <c r="X1199" s="32">
        <f>IF(OR($W1199="",$Q1199="",LEFT($Q1199,1)="—"),"",IF($W1199=$Q1199,"ללא שינוי","מ-"&amp;$W1199&amp;" ל-"&amp;$Q1199))</f>
        <v/>
      </c>
    </row>
    <row r="1200">
      <c r="A1200" s="65" t="n"/>
      <c r="B1200" s="65" t="n"/>
      <c r="C1200" s="66" t="n"/>
      <c r="D1200" s="66" t="n"/>
      <c r="E1200" s="65" t="n"/>
      <c r="F1200" s="65" t="n"/>
      <c r="G1200" s="65" t="n"/>
      <c r="H1200" s="65" t="n"/>
      <c r="I1200" s="65" t="n"/>
      <c r="J1200" s="65" t="n"/>
      <c r="K1200" s="65" t="n"/>
      <c r="L1200" s="65" t="n"/>
      <c r="M1200" s="65" t="n"/>
      <c r="N1200" s="65" t="n"/>
      <c r="O1200" s="65" t="n"/>
      <c r="P1200" s="65" t="n"/>
      <c r="Q1200" s="32">
        <f>IF($C1200="","",IF($J1200="","— חסרים נתונים",IF($J1200="טרם מפענח","פרופיל 5",IF($J1200="קמץ/פתח/חטף-פתח ושוואים","פרופיל 4",IF($J1200="2-3 סימני ניקוד","פרופיל 3",IF($J1200="4-5 סימני ניקוד","פרופיל 2",IF(AND($O1200="משפטים וקטעים קצרים",OR($M1200="מבין",$M1200="מבין לרוב")),"פרופיל 1","פרופיל 2")))))))</f>
        <v/>
      </c>
      <c r="R1200" s="32">
        <f>IF($C1200="","",IF(OR($Q1200="",LEFT($Q1200,1)="—"),"קבוצה רביעית",IF($Q1200="פרופיל 5","קבוצת תשתיות",IF(OR($Q1200="פרופיל 4",$Q1200="פרופיל 3"),"קבוצת רכישה","קבוצת ביסוס"))))</f>
        <v/>
      </c>
      <c r="S1200" s="32">
        <f>IF($F1200="","",IF($F1200="תחילת שנה",1,IF($F1200="מחצית שנה",2,3)))</f>
        <v/>
      </c>
      <c r="T1200" s="32">
        <f>IF(OR($B1200="",$R1200="",$A1200="",$F1200=""),"",$B1200&amp;"|"&amp;$A1200&amp;"|"&amp;$F1200&amp;"|"&amp;$R1200&amp;"|"&amp;COUNTIFS($B$6:$B1200,$B1200,$A$6:$A1200,$A1200,$F$6:$F1200,$F1200,$R$6:$R1200,$R1200))</f>
        <v/>
      </c>
      <c r="U1200" s="32">
        <f>IF($C1200="","",$C1200&amp;"|"&amp;COUNTIFS($C$6:$C1200,$C1200))</f>
        <v/>
      </c>
      <c r="V1200" s="32">
        <f>IF(OR($C1200="",$A1200="",$S1200=""),"",$C1200&amp;"|"&amp;$A1200&amp;"|"&amp;$S1200)</f>
        <v/>
      </c>
      <c r="W1200" s="32">
        <f>IF(OR($C1200="",$S1200="",$S1200=1),"",IFERROR(INDEX($Q$6:$Q$1505,MATCH($C1200&amp;"|"&amp;$A1200&amp;"|"&amp;($S1200-1),$V$6:$V$1505,0)),""))</f>
        <v/>
      </c>
      <c r="X1200" s="32">
        <f>IF(OR($W1200="",$Q1200="",LEFT($Q1200,1)="—"),"",IF($W1200=$Q1200,"ללא שינוי","מ-"&amp;$W1200&amp;" ל-"&amp;$Q1200))</f>
        <v/>
      </c>
    </row>
    <row r="1201">
      <c r="A1201" s="65" t="n"/>
      <c r="B1201" s="65" t="n"/>
      <c r="C1201" s="66" t="n"/>
      <c r="D1201" s="66" t="n"/>
      <c r="E1201" s="65" t="n"/>
      <c r="F1201" s="65" t="n"/>
      <c r="G1201" s="65" t="n"/>
      <c r="H1201" s="65" t="n"/>
      <c r="I1201" s="65" t="n"/>
      <c r="J1201" s="65" t="n"/>
      <c r="K1201" s="65" t="n"/>
      <c r="L1201" s="65" t="n"/>
      <c r="M1201" s="65" t="n"/>
      <c r="N1201" s="65" t="n"/>
      <c r="O1201" s="65" t="n"/>
      <c r="P1201" s="65" t="n"/>
      <c r="Q1201" s="32">
        <f>IF($C1201="","",IF($J1201="","— חסרים נתונים",IF($J1201="טרם מפענח","פרופיל 5",IF($J1201="קמץ/פתח/חטף-פתח ושוואים","פרופיל 4",IF($J1201="2-3 סימני ניקוד","פרופיל 3",IF($J1201="4-5 סימני ניקוד","פרופיל 2",IF(AND($O1201="משפטים וקטעים קצרים",OR($M1201="מבין",$M1201="מבין לרוב")),"פרופיל 1","פרופיל 2")))))))</f>
        <v/>
      </c>
      <c r="R1201" s="32">
        <f>IF($C1201="","",IF(OR($Q1201="",LEFT($Q1201,1)="—"),"קבוצה רביעית",IF($Q1201="פרופיל 5","קבוצת תשתיות",IF(OR($Q1201="פרופיל 4",$Q1201="פרופיל 3"),"קבוצת רכישה","קבוצת ביסוס"))))</f>
        <v/>
      </c>
      <c r="S1201" s="32">
        <f>IF($F1201="","",IF($F1201="תחילת שנה",1,IF($F1201="מחצית שנה",2,3)))</f>
        <v/>
      </c>
      <c r="T1201" s="32">
        <f>IF(OR($B1201="",$R1201="",$A1201="",$F1201=""),"",$B1201&amp;"|"&amp;$A1201&amp;"|"&amp;$F1201&amp;"|"&amp;$R1201&amp;"|"&amp;COUNTIFS($B$6:$B1201,$B1201,$A$6:$A1201,$A1201,$F$6:$F1201,$F1201,$R$6:$R1201,$R1201))</f>
        <v/>
      </c>
      <c r="U1201" s="32">
        <f>IF($C1201="","",$C1201&amp;"|"&amp;COUNTIFS($C$6:$C1201,$C1201))</f>
        <v/>
      </c>
      <c r="V1201" s="32">
        <f>IF(OR($C1201="",$A1201="",$S1201=""),"",$C1201&amp;"|"&amp;$A1201&amp;"|"&amp;$S1201)</f>
        <v/>
      </c>
      <c r="W1201" s="32">
        <f>IF(OR($C1201="",$S1201="",$S1201=1),"",IFERROR(INDEX($Q$6:$Q$1505,MATCH($C1201&amp;"|"&amp;$A1201&amp;"|"&amp;($S1201-1),$V$6:$V$1505,0)),""))</f>
        <v/>
      </c>
      <c r="X1201" s="32">
        <f>IF(OR($W1201="",$Q1201="",LEFT($Q1201,1)="—"),"",IF($W1201=$Q1201,"ללא שינוי","מ-"&amp;$W1201&amp;" ל-"&amp;$Q1201))</f>
        <v/>
      </c>
    </row>
    <row r="1202">
      <c r="A1202" s="65" t="n"/>
      <c r="B1202" s="65" t="n"/>
      <c r="C1202" s="66" t="n"/>
      <c r="D1202" s="66" t="n"/>
      <c r="E1202" s="65" t="n"/>
      <c r="F1202" s="65" t="n"/>
      <c r="G1202" s="65" t="n"/>
      <c r="H1202" s="65" t="n"/>
      <c r="I1202" s="65" t="n"/>
      <c r="J1202" s="65" t="n"/>
      <c r="K1202" s="65" t="n"/>
      <c r="L1202" s="65" t="n"/>
      <c r="M1202" s="65" t="n"/>
      <c r="N1202" s="65" t="n"/>
      <c r="O1202" s="65" t="n"/>
      <c r="P1202" s="65" t="n"/>
      <c r="Q1202" s="32">
        <f>IF($C1202="","",IF($J1202="","— חסרים נתונים",IF($J1202="טרם מפענח","פרופיל 5",IF($J1202="קמץ/פתח/חטף-פתח ושוואים","פרופיל 4",IF($J1202="2-3 סימני ניקוד","פרופיל 3",IF($J1202="4-5 סימני ניקוד","פרופיל 2",IF(AND($O1202="משפטים וקטעים קצרים",OR($M1202="מבין",$M1202="מבין לרוב")),"פרופיל 1","פרופיל 2")))))))</f>
        <v/>
      </c>
      <c r="R1202" s="32">
        <f>IF($C1202="","",IF(OR($Q1202="",LEFT($Q1202,1)="—"),"קבוצה רביעית",IF($Q1202="פרופיל 5","קבוצת תשתיות",IF(OR($Q1202="פרופיל 4",$Q1202="פרופיל 3"),"קבוצת רכישה","קבוצת ביסוס"))))</f>
        <v/>
      </c>
      <c r="S1202" s="32">
        <f>IF($F1202="","",IF($F1202="תחילת שנה",1,IF($F1202="מחצית שנה",2,3)))</f>
        <v/>
      </c>
      <c r="T1202" s="32">
        <f>IF(OR($B1202="",$R1202="",$A1202="",$F1202=""),"",$B1202&amp;"|"&amp;$A1202&amp;"|"&amp;$F1202&amp;"|"&amp;$R1202&amp;"|"&amp;COUNTIFS($B$6:$B1202,$B1202,$A$6:$A1202,$A1202,$F$6:$F1202,$F1202,$R$6:$R1202,$R1202))</f>
        <v/>
      </c>
      <c r="U1202" s="32">
        <f>IF($C1202="","",$C1202&amp;"|"&amp;COUNTIFS($C$6:$C1202,$C1202))</f>
        <v/>
      </c>
      <c r="V1202" s="32">
        <f>IF(OR($C1202="",$A1202="",$S1202=""),"",$C1202&amp;"|"&amp;$A1202&amp;"|"&amp;$S1202)</f>
        <v/>
      </c>
      <c r="W1202" s="32">
        <f>IF(OR($C1202="",$S1202="",$S1202=1),"",IFERROR(INDEX($Q$6:$Q$1505,MATCH($C1202&amp;"|"&amp;$A1202&amp;"|"&amp;($S1202-1),$V$6:$V$1505,0)),""))</f>
        <v/>
      </c>
      <c r="X1202" s="32">
        <f>IF(OR($W1202="",$Q1202="",LEFT($Q1202,1)="—"),"",IF($W1202=$Q1202,"ללא שינוי","מ-"&amp;$W1202&amp;" ל-"&amp;$Q1202))</f>
        <v/>
      </c>
    </row>
    <row r="1203">
      <c r="A1203" s="65" t="n"/>
      <c r="B1203" s="65" t="n"/>
      <c r="C1203" s="66" t="n"/>
      <c r="D1203" s="66" t="n"/>
      <c r="E1203" s="65" t="n"/>
      <c r="F1203" s="65" t="n"/>
      <c r="G1203" s="65" t="n"/>
      <c r="H1203" s="65" t="n"/>
      <c r="I1203" s="65" t="n"/>
      <c r="J1203" s="65" t="n"/>
      <c r="K1203" s="65" t="n"/>
      <c r="L1203" s="65" t="n"/>
      <c r="M1203" s="65" t="n"/>
      <c r="N1203" s="65" t="n"/>
      <c r="O1203" s="65" t="n"/>
      <c r="P1203" s="65" t="n"/>
      <c r="Q1203" s="32">
        <f>IF($C1203="","",IF($J1203="","— חסרים נתונים",IF($J1203="טרם מפענח","פרופיל 5",IF($J1203="קמץ/פתח/חטף-פתח ושוואים","פרופיל 4",IF($J1203="2-3 סימני ניקוד","פרופיל 3",IF($J1203="4-5 סימני ניקוד","פרופיל 2",IF(AND($O1203="משפטים וקטעים קצרים",OR($M1203="מבין",$M1203="מבין לרוב")),"פרופיל 1","פרופיל 2")))))))</f>
        <v/>
      </c>
      <c r="R1203" s="32">
        <f>IF($C1203="","",IF(OR($Q1203="",LEFT($Q1203,1)="—"),"קבוצה רביעית",IF($Q1203="פרופיל 5","קבוצת תשתיות",IF(OR($Q1203="פרופיל 4",$Q1203="פרופיל 3"),"קבוצת רכישה","קבוצת ביסוס"))))</f>
        <v/>
      </c>
      <c r="S1203" s="32">
        <f>IF($F1203="","",IF($F1203="תחילת שנה",1,IF($F1203="מחצית שנה",2,3)))</f>
        <v/>
      </c>
      <c r="T1203" s="32">
        <f>IF(OR($B1203="",$R1203="",$A1203="",$F1203=""),"",$B1203&amp;"|"&amp;$A1203&amp;"|"&amp;$F1203&amp;"|"&amp;$R1203&amp;"|"&amp;COUNTIFS($B$6:$B1203,$B1203,$A$6:$A1203,$A1203,$F$6:$F1203,$F1203,$R$6:$R1203,$R1203))</f>
        <v/>
      </c>
      <c r="U1203" s="32">
        <f>IF($C1203="","",$C1203&amp;"|"&amp;COUNTIFS($C$6:$C1203,$C1203))</f>
        <v/>
      </c>
      <c r="V1203" s="32">
        <f>IF(OR($C1203="",$A1203="",$S1203=""),"",$C1203&amp;"|"&amp;$A1203&amp;"|"&amp;$S1203)</f>
        <v/>
      </c>
      <c r="W1203" s="32">
        <f>IF(OR($C1203="",$S1203="",$S1203=1),"",IFERROR(INDEX($Q$6:$Q$1505,MATCH($C1203&amp;"|"&amp;$A1203&amp;"|"&amp;($S1203-1),$V$6:$V$1505,0)),""))</f>
        <v/>
      </c>
      <c r="X1203" s="32">
        <f>IF(OR($W1203="",$Q1203="",LEFT($Q1203,1)="—"),"",IF($W1203=$Q1203,"ללא שינוי","מ-"&amp;$W1203&amp;" ל-"&amp;$Q1203))</f>
        <v/>
      </c>
    </row>
    <row r="1204">
      <c r="A1204" s="65" t="n"/>
      <c r="B1204" s="65" t="n"/>
      <c r="C1204" s="66" t="n"/>
      <c r="D1204" s="66" t="n"/>
      <c r="E1204" s="65" t="n"/>
      <c r="F1204" s="65" t="n"/>
      <c r="G1204" s="65" t="n"/>
      <c r="H1204" s="65" t="n"/>
      <c r="I1204" s="65" t="n"/>
      <c r="J1204" s="65" t="n"/>
      <c r="K1204" s="65" t="n"/>
      <c r="L1204" s="65" t="n"/>
      <c r="M1204" s="65" t="n"/>
      <c r="N1204" s="65" t="n"/>
      <c r="O1204" s="65" t="n"/>
      <c r="P1204" s="65" t="n"/>
      <c r="Q1204" s="32">
        <f>IF($C1204="","",IF($J1204="","— חסרים נתונים",IF($J1204="טרם מפענח","פרופיל 5",IF($J1204="קמץ/פתח/חטף-פתח ושוואים","פרופיל 4",IF($J1204="2-3 סימני ניקוד","פרופיל 3",IF($J1204="4-5 סימני ניקוד","פרופיל 2",IF(AND($O1204="משפטים וקטעים קצרים",OR($M1204="מבין",$M1204="מבין לרוב")),"פרופיל 1","פרופיל 2")))))))</f>
        <v/>
      </c>
      <c r="R1204" s="32">
        <f>IF($C1204="","",IF(OR($Q1204="",LEFT($Q1204,1)="—"),"קבוצה רביעית",IF($Q1204="פרופיל 5","קבוצת תשתיות",IF(OR($Q1204="פרופיל 4",$Q1204="פרופיל 3"),"קבוצת רכישה","קבוצת ביסוס"))))</f>
        <v/>
      </c>
      <c r="S1204" s="32">
        <f>IF($F1204="","",IF($F1204="תחילת שנה",1,IF($F1204="מחצית שנה",2,3)))</f>
        <v/>
      </c>
      <c r="T1204" s="32">
        <f>IF(OR($B1204="",$R1204="",$A1204="",$F1204=""),"",$B1204&amp;"|"&amp;$A1204&amp;"|"&amp;$F1204&amp;"|"&amp;$R1204&amp;"|"&amp;COUNTIFS($B$6:$B1204,$B1204,$A$6:$A1204,$A1204,$F$6:$F1204,$F1204,$R$6:$R1204,$R1204))</f>
        <v/>
      </c>
      <c r="U1204" s="32">
        <f>IF($C1204="","",$C1204&amp;"|"&amp;COUNTIFS($C$6:$C1204,$C1204))</f>
        <v/>
      </c>
      <c r="V1204" s="32">
        <f>IF(OR($C1204="",$A1204="",$S1204=""),"",$C1204&amp;"|"&amp;$A1204&amp;"|"&amp;$S1204)</f>
        <v/>
      </c>
      <c r="W1204" s="32">
        <f>IF(OR($C1204="",$S1204="",$S1204=1),"",IFERROR(INDEX($Q$6:$Q$1505,MATCH($C1204&amp;"|"&amp;$A1204&amp;"|"&amp;($S1204-1),$V$6:$V$1505,0)),""))</f>
        <v/>
      </c>
      <c r="X1204" s="32">
        <f>IF(OR($W1204="",$Q1204="",LEFT($Q1204,1)="—"),"",IF($W1204=$Q1204,"ללא שינוי","מ-"&amp;$W1204&amp;" ל-"&amp;$Q1204))</f>
        <v/>
      </c>
    </row>
    <row r="1205">
      <c r="A1205" s="65" t="n"/>
      <c r="B1205" s="65" t="n"/>
      <c r="C1205" s="66" t="n"/>
      <c r="D1205" s="66" t="n"/>
      <c r="E1205" s="65" t="n"/>
      <c r="F1205" s="65" t="n"/>
      <c r="G1205" s="65" t="n"/>
      <c r="H1205" s="65" t="n"/>
      <c r="I1205" s="65" t="n"/>
      <c r="J1205" s="65" t="n"/>
      <c r="K1205" s="65" t="n"/>
      <c r="L1205" s="65" t="n"/>
      <c r="M1205" s="65" t="n"/>
      <c r="N1205" s="65" t="n"/>
      <c r="O1205" s="65" t="n"/>
      <c r="P1205" s="65" t="n"/>
      <c r="Q1205" s="32">
        <f>IF($C1205="","",IF($J1205="","— חסרים נתונים",IF($J1205="טרם מפענח","פרופיל 5",IF($J1205="קמץ/פתח/חטף-פתח ושוואים","פרופיל 4",IF($J1205="2-3 סימני ניקוד","פרופיל 3",IF($J1205="4-5 סימני ניקוד","פרופיל 2",IF(AND($O1205="משפטים וקטעים קצרים",OR($M1205="מבין",$M1205="מבין לרוב")),"פרופיל 1","פרופיל 2")))))))</f>
        <v/>
      </c>
      <c r="R1205" s="32">
        <f>IF($C1205="","",IF(OR($Q1205="",LEFT($Q1205,1)="—"),"קבוצה רביעית",IF($Q1205="פרופיל 5","קבוצת תשתיות",IF(OR($Q1205="פרופיל 4",$Q1205="פרופיל 3"),"קבוצת רכישה","קבוצת ביסוס"))))</f>
        <v/>
      </c>
      <c r="S1205" s="32">
        <f>IF($F1205="","",IF($F1205="תחילת שנה",1,IF($F1205="מחצית שנה",2,3)))</f>
        <v/>
      </c>
      <c r="T1205" s="32">
        <f>IF(OR($B1205="",$R1205="",$A1205="",$F1205=""),"",$B1205&amp;"|"&amp;$A1205&amp;"|"&amp;$F1205&amp;"|"&amp;$R1205&amp;"|"&amp;COUNTIFS($B$6:$B1205,$B1205,$A$6:$A1205,$A1205,$F$6:$F1205,$F1205,$R$6:$R1205,$R1205))</f>
        <v/>
      </c>
      <c r="U1205" s="32">
        <f>IF($C1205="","",$C1205&amp;"|"&amp;COUNTIFS($C$6:$C1205,$C1205))</f>
        <v/>
      </c>
      <c r="V1205" s="32">
        <f>IF(OR($C1205="",$A1205="",$S1205=""),"",$C1205&amp;"|"&amp;$A1205&amp;"|"&amp;$S1205)</f>
        <v/>
      </c>
      <c r="W1205" s="32">
        <f>IF(OR($C1205="",$S1205="",$S1205=1),"",IFERROR(INDEX($Q$6:$Q$1505,MATCH($C1205&amp;"|"&amp;$A1205&amp;"|"&amp;($S1205-1),$V$6:$V$1505,0)),""))</f>
        <v/>
      </c>
      <c r="X1205" s="32">
        <f>IF(OR($W1205="",$Q1205="",LEFT($Q1205,1)="—"),"",IF($W1205=$Q1205,"ללא שינוי","מ-"&amp;$W1205&amp;" ל-"&amp;$Q1205))</f>
        <v/>
      </c>
    </row>
    <row r="1206">
      <c r="A1206" s="65" t="n"/>
      <c r="B1206" s="65" t="n"/>
      <c r="C1206" s="66" t="n"/>
      <c r="D1206" s="66" t="n"/>
      <c r="E1206" s="65" t="n"/>
      <c r="F1206" s="65" t="n"/>
      <c r="G1206" s="65" t="n"/>
      <c r="H1206" s="65" t="n"/>
      <c r="I1206" s="65" t="n"/>
      <c r="J1206" s="65" t="n"/>
      <c r="K1206" s="65" t="n"/>
      <c r="L1206" s="65" t="n"/>
      <c r="M1206" s="65" t="n"/>
      <c r="N1206" s="65" t="n"/>
      <c r="O1206" s="65" t="n"/>
      <c r="P1206" s="65" t="n"/>
      <c r="Q1206" s="32">
        <f>IF($C1206="","",IF($J1206="","— חסרים נתונים",IF($J1206="טרם מפענח","פרופיל 5",IF($J1206="קמץ/פתח/חטף-פתח ושוואים","פרופיל 4",IF($J1206="2-3 סימני ניקוד","פרופיל 3",IF($J1206="4-5 סימני ניקוד","פרופיל 2",IF(AND($O1206="משפטים וקטעים קצרים",OR($M1206="מבין",$M1206="מבין לרוב")),"פרופיל 1","פרופיל 2")))))))</f>
        <v/>
      </c>
      <c r="R1206" s="32">
        <f>IF($C1206="","",IF(OR($Q1206="",LEFT($Q1206,1)="—"),"קבוצה רביעית",IF($Q1206="פרופיל 5","קבוצת תשתיות",IF(OR($Q1206="פרופיל 4",$Q1206="פרופיל 3"),"קבוצת רכישה","קבוצת ביסוס"))))</f>
        <v/>
      </c>
      <c r="S1206" s="32">
        <f>IF($F1206="","",IF($F1206="תחילת שנה",1,IF($F1206="מחצית שנה",2,3)))</f>
        <v/>
      </c>
      <c r="T1206" s="32">
        <f>IF(OR($B1206="",$R1206="",$A1206="",$F1206=""),"",$B1206&amp;"|"&amp;$A1206&amp;"|"&amp;$F1206&amp;"|"&amp;$R1206&amp;"|"&amp;COUNTIFS($B$6:$B1206,$B1206,$A$6:$A1206,$A1206,$F$6:$F1206,$F1206,$R$6:$R1206,$R1206))</f>
        <v/>
      </c>
      <c r="U1206" s="32">
        <f>IF($C1206="","",$C1206&amp;"|"&amp;COUNTIFS($C$6:$C1206,$C1206))</f>
        <v/>
      </c>
      <c r="V1206" s="32">
        <f>IF(OR($C1206="",$A1206="",$S1206=""),"",$C1206&amp;"|"&amp;$A1206&amp;"|"&amp;$S1206)</f>
        <v/>
      </c>
      <c r="W1206" s="32">
        <f>IF(OR($C1206="",$S1206="",$S1206=1),"",IFERROR(INDEX($Q$6:$Q$1505,MATCH($C1206&amp;"|"&amp;$A1206&amp;"|"&amp;($S1206-1),$V$6:$V$1505,0)),""))</f>
        <v/>
      </c>
      <c r="X1206" s="32">
        <f>IF(OR($W1206="",$Q1206="",LEFT($Q1206,1)="—"),"",IF($W1206=$Q1206,"ללא שינוי","מ-"&amp;$W1206&amp;" ל-"&amp;$Q1206))</f>
        <v/>
      </c>
    </row>
    <row r="1207">
      <c r="A1207" s="65" t="n"/>
      <c r="B1207" s="65" t="n"/>
      <c r="C1207" s="66" t="n"/>
      <c r="D1207" s="66" t="n"/>
      <c r="E1207" s="65" t="n"/>
      <c r="F1207" s="65" t="n"/>
      <c r="G1207" s="65" t="n"/>
      <c r="H1207" s="65" t="n"/>
      <c r="I1207" s="65" t="n"/>
      <c r="J1207" s="65" t="n"/>
      <c r="K1207" s="65" t="n"/>
      <c r="L1207" s="65" t="n"/>
      <c r="M1207" s="65" t="n"/>
      <c r="N1207" s="65" t="n"/>
      <c r="O1207" s="65" t="n"/>
      <c r="P1207" s="65" t="n"/>
      <c r="Q1207" s="32">
        <f>IF($C1207="","",IF($J1207="","— חסרים נתונים",IF($J1207="טרם מפענח","פרופיל 5",IF($J1207="קמץ/פתח/חטף-פתח ושוואים","פרופיל 4",IF($J1207="2-3 סימני ניקוד","פרופיל 3",IF($J1207="4-5 סימני ניקוד","פרופיל 2",IF(AND($O1207="משפטים וקטעים קצרים",OR($M1207="מבין",$M1207="מבין לרוב")),"פרופיל 1","פרופיל 2")))))))</f>
        <v/>
      </c>
      <c r="R1207" s="32">
        <f>IF($C1207="","",IF(OR($Q1207="",LEFT($Q1207,1)="—"),"קבוצה רביעית",IF($Q1207="פרופיל 5","קבוצת תשתיות",IF(OR($Q1207="פרופיל 4",$Q1207="פרופיל 3"),"קבוצת רכישה","קבוצת ביסוס"))))</f>
        <v/>
      </c>
      <c r="S1207" s="32">
        <f>IF($F1207="","",IF($F1207="תחילת שנה",1,IF($F1207="מחצית שנה",2,3)))</f>
        <v/>
      </c>
      <c r="T1207" s="32">
        <f>IF(OR($B1207="",$R1207="",$A1207="",$F1207=""),"",$B1207&amp;"|"&amp;$A1207&amp;"|"&amp;$F1207&amp;"|"&amp;$R1207&amp;"|"&amp;COUNTIFS($B$6:$B1207,$B1207,$A$6:$A1207,$A1207,$F$6:$F1207,$F1207,$R$6:$R1207,$R1207))</f>
        <v/>
      </c>
      <c r="U1207" s="32">
        <f>IF($C1207="","",$C1207&amp;"|"&amp;COUNTIFS($C$6:$C1207,$C1207))</f>
        <v/>
      </c>
      <c r="V1207" s="32">
        <f>IF(OR($C1207="",$A1207="",$S1207=""),"",$C1207&amp;"|"&amp;$A1207&amp;"|"&amp;$S1207)</f>
        <v/>
      </c>
      <c r="W1207" s="32">
        <f>IF(OR($C1207="",$S1207="",$S1207=1),"",IFERROR(INDEX($Q$6:$Q$1505,MATCH($C1207&amp;"|"&amp;$A1207&amp;"|"&amp;($S1207-1),$V$6:$V$1505,0)),""))</f>
        <v/>
      </c>
      <c r="X1207" s="32">
        <f>IF(OR($W1207="",$Q1207="",LEFT($Q1207,1)="—"),"",IF($W1207=$Q1207,"ללא שינוי","מ-"&amp;$W1207&amp;" ל-"&amp;$Q1207))</f>
        <v/>
      </c>
    </row>
    <row r="1208">
      <c r="A1208" s="65" t="n"/>
      <c r="B1208" s="65" t="n"/>
      <c r="C1208" s="66" t="n"/>
      <c r="D1208" s="66" t="n"/>
      <c r="E1208" s="65" t="n"/>
      <c r="F1208" s="65" t="n"/>
      <c r="G1208" s="65" t="n"/>
      <c r="H1208" s="65" t="n"/>
      <c r="I1208" s="65" t="n"/>
      <c r="J1208" s="65" t="n"/>
      <c r="K1208" s="65" t="n"/>
      <c r="L1208" s="65" t="n"/>
      <c r="M1208" s="65" t="n"/>
      <c r="N1208" s="65" t="n"/>
      <c r="O1208" s="65" t="n"/>
      <c r="P1208" s="65" t="n"/>
      <c r="Q1208" s="32">
        <f>IF($C1208="","",IF($J1208="","— חסרים נתונים",IF($J1208="טרם מפענח","פרופיל 5",IF($J1208="קמץ/פתח/חטף-פתח ושוואים","פרופיל 4",IF($J1208="2-3 סימני ניקוד","פרופיל 3",IF($J1208="4-5 סימני ניקוד","פרופיל 2",IF(AND($O1208="משפטים וקטעים קצרים",OR($M1208="מבין",$M1208="מבין לרוב")),"פרופיל 1","פרופיל 2")))))))</f>
        <v/>
      </c>
      <c r="R1208" s="32">
        <f>IF($C1208="","",IF(OR($Q1208="",LEFT($Q1208,1)="—"),"קבוצה רביעית",IF($Q1208="פרופיל 5","קבוצת תשתיות",IF(OR($Q1208="פרופיל 4",$Q1208="פרופיל 3"),"קבוצת רכישה","קבוצת ביסוס"))))</f>
        <v/>
      </c>
      <c r="S1208" s="32">
        <f>IF($F1208="","",IF($F1208="תחילת שנה",1,IF($F1208="מחצית שנה",2,3)))</f>
        <v/>
      </c>
      <c r="T1208" s="32">
        <f>IF(OR($B1208="",$R1208="",$A1208="",$F1208=""),"",$B1208&amp;"|"&amp;$A1208&amp;"|"&amp;$F1208&amp;"|"&amp;$R1208&amp;"|"&amp;COUNTIFS($B$6:$B1208,$B1208,$A$6:$A1208,$A1208,$F$6:$F1208,$F1208,$R$6:$R1208,$R1208))</f>
        <v/>
      </c>
      <c r="U1208" s="32">
        <f>IF($C1208="","",$C1208&amp;"|"&amp;COUNTIFS($C$6:$C1208,$C1208))</f>
        <v/>
      </c>
      <c r="V1208" s="32">
        <f>IF(OR($C1208="",$A1208="",$S1208=""),"",$C1208&amp;"|"&amp;$A1208&amp;"|"&amp;$S1208)</f>
        <v/>
      </c>
      <c r="W1208" s="32">
        <f>IF(OR($C1208="",$S1208="",$S1208=1),"",IFERROR(INDEX($Q$6:$Q$1505,MATCH($C1208&amp;"|"&amp;$A1208&amp;"|"&amp;($S1208-1),$V$6:$V$1505,0)),""))</f>
        <v/>
      </c>
      <c r="X1208" s="32">
        <f>IF(OR($W1208="",$Q1208="",LEFT($Q1208,1)="—"),"",IF($W1208=$Q1208,"ללא שינוי","מ-"&amp;$W1208&amp;" ל-"&amp;$Q1208))</f>
        <v/>
      </c>
    </row>
    <row r="1209">
      <c r="A1209" s="65" t="n"/>
      <c r="B1209" s="65" t="n"/>
      <c r="C1209" s="66" t="n"/>
      <c r="D1209" s="66" t="n"/>
      <c r="E1209" s="65" t="n"/>
      <c r="F1209" s="65" t="n"/>
      <c r="G1209" s="65" t="n"/>
      <c r="H1209" s="65" t="n"/>
      <c r="I1209" s="65" t="n"/>
      <c r="J1209" s="65" t="n"/>
      <c r="K1209" s="65" t="n"/>
      <c r="L1209" s="65" t="n"/>
      <c r="M1209" s="65" t="n"/>
      <c r="N1209" s="65" t="n"/>
      <c r="O1209" s="65" t="n"/>
      <c r="P1209" s="65" t="n"/>
      <c r="Q1209" s="32">
        <f>IF($C1209="","",IF($J1209="","— חסרים נתונים",IF($J1209="טרם מפענח","פרופיל 5",IF($J1209="קמץ/פתח/חטף-פתח ושוואים","פרופיל 4",IF($J1209="2-3 סימני ניקוד","פרופיל 3",IF($J1209="4-5 סימני ניקוד","פרופיל 2",IF(AND($O1209="משפטים וקטעים קצרים",OR($M1209="מבין",$M1209="מבין לרוב")),"פרופיל 1","פרופיל 2")))))))</f>
        <v/>
      </c>
      <c r="R1209" s="32">
        <f>IF($C1209="","",IF(OR($Q1209="",LEFT($Q1209,1)="—"),"קבוצה רביעית",IF($Q1209="פרופיל 5","קבוצת תשתיות",IF(OR($Q1209="פרופיל 4",$Q1209="פרופיל 3"),"קבוצת רכישה","קבוצת ביסוס"))))</f>
        <v/>
      </c>
      <c r="S1209" s="32">
        <f>IF($F1209="","",IF($F1209="תחילת שנה",1,IF($F1209="מחצית שנה",2,3)))</f>
        <v/>
      </c>
      <c r="T1209" s="32">
        <f>IF(OR($B1209="",$R1209="",$A1209="",$F1209=""),"",$B1209&amp;"|"&amp;$A1209&amp;"|"&amp;$F1209&amp;"|"&amp;$R1209&amp;"|"&amp;COUNTIFS($B$6:$B1209,$B1209,$A$6:$A1209,$A1209,$F$6:$F1209,$F1209,$R$6:$R1209,$R1209))</f>
        <v/>
      </c>
      <c r="U1209" s="32">
        <f>IF($C1209="","",$C1209&amp;"|"&amp;COUNTIFS($C$6:$C1209,$C1209))</f>
        <v/>
      </c>
      <c r="V1209" s="32">
        <f>IF(OR($C1209="",$A1209="",$S1209=""),"",$C1209&amp;"|"&amp;$A1209&amp;"|"&amp;$S1209)</f>
        <v/>
      </c>
      <c r="W1209" s="32">
        <f>IF(OR($C1209="",$S1209="",$S1209=1),"",IFERROR(INDEX($Q$6:$Q$1505,MATCH($C1209&amp;"|"&amp;$A1209&amp;"|"&amp;($S1209-1),$V$6:$V$1505,0)),""))</f>
        <v/>
      </c>
      <c r="X1209" s="32">
        <f>IF(OR($W1209="",$Q1209="",LEFT($Q1209,1)="—"),"",IF($W1209=$Q1209,"ללא שינוי","מ-"&amp;$W1209&amp;" ל-"&amp;$Q1209))</f>
        <v/>
      </c>
    </row>
    <row r="1210">
      <c r="A1210" s="65" t="n"/>
      <c r="B1210" s="65" t="n"/>
      <c r="C1210" s="66" t="n"/>
      <c r="D1210" s="66" t="n"/>
      <c r="E1210" s="65" t="n"/>
      <c r="F1210" s="65" t="n"/>
      <c r="G1210" s="65" t="n"/>
      <c r="H1210" s="65" t="n"/>
      <c r="I1210" s="65" t="n"/>
      <c r="J1210" s="65" t="n"/>
      <c r="K1210" s="65" t="n"/>
      <c r="L1210" s="65" t="n"/>
      <c r="M1210" s="65" t="n"/>
      <c r="N1210" s="65" t="n"/>
      <c r="O1210" s="65" t="n"/>
      <c r="P1210" s="65" t="n"/>
      <c r="Q1210" s="32">
        <f>IF($C1210="","",IF($J1210="","— חסרים נתונים",IF($J1210="טרם מפענח","פרופיל 5",IF($J1210="קמץ/פתח/חטף-פתח ושוואים","פרופיל 4",IF($J1210="2-3 סימני ניקוד","פרופיל 3",IF($J1210="4-5 סימני ניקוד","פרופיל 2",IF(AND($O1210="משפטים וקטעים קצרים",OR($M1210="מבין",$M1210="מבין לרוב")),"פרופיל 1","פרופיל 2")))))))</f>
        <v/>
      </c>
      <c r="R1210" s="32">
        <f>IF($C1210="","",IF(OR($Q1210="",LEFT($Q1210,1)="—"),"קבוצה רביעית",IF($Q1210="פרופיל 5","קבוצת תשתיות",IF(OR($Q1210="פרופיל 4",$Q1210="פרופיל 3"),"קבוצת רכישה","קבוצת ביסוס"))))</f>
        <v/>
      </c>
      <c r="S1210" s="32">
        <f>IF($F1210="","",IF($F1210="תחילת שנה",1,IF($F1210="מחצית שנה",2,3)))</f>
        <v/>
      </c>
      <c r="T1210" s="32">
        <f>IF(OR($B1210="",$R1210="",$A1210="",$F1210=""),"",$B1210&amp;"|"&amp;$A1210&amp;"|"&amp;$F1210&amp;"|"&amp;$R1210&amp;"|"&amp;COUNTIFS($B$6:$B1210,$B1210,$A$6:$A1210,$A1210,$F$6:$F1210,$F1210,$R$6:$R1210,$R1210))</f>
        <v/>
      </c>
      <c r="U1210" s="32">
        <f>IF($C1210="","",$C1210&amp;"|"&amp;COUNTIFS($C$6:$C1210,$C1210))</f>
        <v/>
      </c>
      <c r="V1210" s="32">
        <f>IF(OR($C1210="",$A1210="",$S1210=""),"",$C1210&amp;"|"&amp;$A1210&amp;"|"&amp;$S1210)</f>
        <v/>
      </c>
      <c r="W1210" s="32">
        <f>IF(OR($C1210="",$S1210="",$S1210=1),"",IFERROR(INDEX($Q$6:$Q$1505,MATCH($C1210&amp;"|"&amp;$A1210&amp;"|"&amp;($S1210-1),$V$6:$V$1505,0)),""))</f>
        <v/>
      </c>
      <c r="X1210" s="32">
        <f>IF(OR($W1210="",$Q1210="",LEFT($Q1210,1)="—"),"",IF($W1210=$Q1210,"ללא שינוי","מ-"&amp;$W1210&amp;" ל-"&amp;$Q1210))</f>
        <v/>
      </c>
    </row>
    <row r="1211">
      <c r="A1211" s="65" t="n"/>
      <c r="B1211" s="65" t="n"/>
      <c r="C1211" s="66" t="n"/>
      <c r="D1211" s="66" t="n"/>
      <c r="E1211" s="65" t="n"/>
      <c r="F1211" s="65" t="n"/>
      <c r="G1211" s="65" t="n"/>
      <c r="H1211" s="65" t="n"/>
      <c r="I1211" s="65" t="n"/>
      <c r="J1211" s="65" t="n"/>
      <c r="K1211" s="65" t="n"/>
      <c r="L1211" s="65" t="n"/>
      <c r="M1211" s="65" t="n"/>
      <c r="N1211" s="65" t="n"/>
      <c r="O1211" s="65" t="n"/>
      <c r="P1211" s="65" t="n"/>
      <c r="Q1211" s="32">
        <f>IF($C1211="","",IF($J1211="","— חסרים נתונים",IF($J1211="טרם מפענח","פרופיל 5",IF($J1211="קמץ/פתח/חטף-פתח ושוואים","פרופיל 4",IF($J1211="2-3 סימני ניקוד","פרופיל 3",IF($J1211="4-5 סימני ניקוד","פרופיל 2",IF(AND($O1211="משפטים וקטעים קצרים",OR($M1211="מבין",$M1211="מבין לרוב")),"פרופיל 1","פרופיל 2")))))))</f>
        <v/>
      </c>
      <c r="R1211" s="32">
        <f>IF($C1211="","",IF(OR($Q1211="",LEFT($Q1211,1)="—"),"קבוצה רביעית",IF($Q1211="פרופיל 5","קבוצת תשתיות",IF(OR($Q1211="פרופיל 4",$Q1211="פרופיל 3"),"קבוצת רכישה","קבוצת ביסוס"))))</f>
        <v/>
      </c>
      <c r="S1211" s="32">
        <f>IF($F1211="","",IF($F1211="תחילת שנה",1,IF($F1211="מחצית שנה",2,3)))</f>
        <v/>
      </c>
      <c r="T1211" s="32">
        <f>IF(OR($B1211="",$R1211="",$A1211="",$F1211=""),"",$B1211&amp;"|"&amp;$A1211&amp;"|"&amp;$F1211&amp;"|"&amp;$R1211&amp;"|"&amp;COUNTIFS($B$6:$B1211,$B1211,$A$6:$A1211,$A1211,$F$6:$F1211,$F1211,$R$6:$R1211,$R1211))</f>
        <v/>
      </c>
      <c r="U1211" s="32">
        <f>IF($C1211="","",$C1211&amp;"|"&amp;COUNTIFS($C$6:$C1211,$C1211))</f>
        <v/>
      </c>
      <c r="V1211" s="32">
        <f>IF(OR($C1211="",$A1211="",$S1211=""),"",$C1211&amp;"|"&amp;$A1211&amp;"|"&amp;$S1211)</f>
        <v/>
      </c>
      <c r="W1211" s="32">
        <f>IF(OR($C1211="",$S1211="",$S1211=1),"",IFERROR(INDEX($Q$6:$Q$1505,MATCH($C1211&amp;"|"&amp;$A1211&amp;"|"&amp;($S1211-1),$V$6:$V$1505,0)),""))</f>
        <v/>
      </c>
      <c r="X1211" s="32">
        <f>IF(OR($W1211="",$Q1211="",LEFT($Q1211,1)="—"),"",IF($W1211=$Q1211,"ללא שינוי","מ-"&amp;$W1211&amp;" ל-"&amp;$Q1211))</f>
        <v/>
      </c>
    </row>
    <row r="1212">
      <c r="A1212" s="65" t="n"/>
      <c r="B1212" s="65" t="n"/>
      <c r="C1212" s="66" t="n"/>
      <c r="D1212" s="66" t="n"/>
      <c r="E1212" s="65" t="n"/>
      <c r="F1212" s="65" t="n"/>
      <c r="G1212" s="65" t="n"/>
      <c r="H1212" s="65" t="n"/>
      <c r="I1212" s="65" t="n"/>
      <c r="J1212" s="65" t="n"/>
      <c r="K1212" s="65" t="n"/>
      <c r="L1212" s="65" t="n"/>
      <c r="M1212" s="65" t="n"/>
      <c r="N1212" s="65" t="n"/>
      <c r="O1212" s="65" t="n"/>
      <c r="P1212" s="65" t="n"/>
      <c r="Q1212" s="32">
        <f>IF($C1212="","",IF($J1212="","— חסרים נתונים",IF($J1212="טרם מפענח","פרופיל 5",IF($J1212="קמץ/פתח/חטף-פתח ושוואים","פרופיל 4",IF($J1212="2-3 סימני ניקוד","פרופיל 3",IF($J1212="4-5 סימני ניקוד","פרופיל 2",IF(AND($O1212="משפטים וקטעים קצרים",OR($M1212="מבין",$M1212="מבין לרוב")),"פרופיל 1","פרופיל 2")))))))</f>
        <v/>
      </c>
      <c r="R1212" s="32">
        <f>IF($C1212="","",IF(OR($Q1212="",LEFT($Q1212,1)="—"),"קבוצה רביעית",IF($Q1212="פרופיל 5","קבוצת תשתיות",IF(OR($Q1212="פרופיל 4",$Q1212="פרופיל 3"),"קבוצת רכישה","קבוצת ביסוס"))))</f>
        <v/>
      </c>
      <c r="S1212" s="32">
        <f>IF($F1212="","",IF($F1212="תחילת שנה",1,IF($F1212="מחצית שנה",2,3)))</f>
        <v/>
      </c>
      <c r="T1212" s="32">
        <f>IF(OR($B1212="",$R1212="",$A1212="",$F1212=""),"",$B1212&amp;"|"&amp;$A1212&amp;"|"&amp;$F1212&amp;"|"&amp;$R1212&amp;"|"&amp;COUNTIFS($B$6:$B1212,$B1212,$A$6:$A1212,$A1212,$F$6:$F1212,$F1212,$R$6:$R1212,$R1212))</f>
        <v/>
      </c>
      <c r="U1212" s="32">
        <f>IF($C1212="","",$C1212&amp;"|"&amp;COUNTIFS($C$6:$C1212,$C1212))</f>
        <v/>
      </c>
      <c r="V1212" s="32">
        <f>IF(OR($C1212="",$A1212="",$S1212=""),"",$C1212&amp;"|"&amp;$A1212&amp;"|"&amp;$S1212)</f>
        <v/>
      </c>
      <c r="W1212" s="32">
        <f>IF(OR($C1212="",$S1212="",$S1212=1),"",IFERROR(INDEX($Q$6:$Q$1505,MATCH($C1212&amp;"|"&amp;$A1212&amp;"|"&amp;($S1212-1),$V$6:$V$1505,0)),""))</f>
        <v/>
      </c>
      <c r="X1212" s="32">
        <f>IF(OR($W1212="",$Q1212="",LEFT($Q1212,1)="—"),"",IF($W1212=$Q1212,"ללא שינוי","מ-"&amp;$W1212&amp;" ל-"&amp;$Q1212))</f>
        <v/>
      </c>
    </row>
    <row r="1213">
      <c r="A1213" s="65" t="n"/>
      <c r="B1213" s="65" t="n"/>
      <c r="C1213" s="66" t="n"/>
      <c r="D1213" s="66" t="n"/>
      <c r="E1213" s="65" t="n"/>
      <c r="F1213" s="65" t="n"/>
      <c r="G1213" s="65" t="n"/>
      <c r="H1213" s="65" t="n"/>
      <c r="I1213" s="65" t="n"/>
      <c r="J1213" s="65" t="n"/>
      <c r="K1213" s="65" t="n"/>
      <c r="L1213" s="65" t="n"/>
      <c r="M1213" s="65" t="n"/>
      <c r="N1213" s="65" t="n"/>
      <c r="O1213" s="65" t="n"/>
      <c r="P1213" s="65" t="n"/>
      <c r="Q1213" s="32">
        <f>IF($C1213="","",IF($J1213="","— חסרים נתונים",IF($J1213="טרם מפענח","פרופיל 5",IF($J1213="קמץ/פתח/חטף-פתח ושוואים","פרופיל 4",IF($J1213="2-3 סימני ניקוד","פרופיל 3",IF($J1213="4-5 סימני ניקוד","פרופיל 2",IF(AND($O1213="משפטים וקטעים קצרים",OR($M1213="מבין",$M1213="מבין לרוב")),"פרופיל 1","פרופיל 2")))))))</f>
        <v/>
      </c>
      <c r="R1213" s="32">
        <f>IF($C1213="","",IF(OR($Q1213="",LEFT($Q1213,1)="—"),"קבוצה רביעית",IF($Q1213="פרופיל 5","קבוצת תשתיות",IF(OR($Q1213="פרופיל 4",$Q1213="פרופיל 3"),"קבוצת רכישה","קבוצת ביסוס"))))</f>
        <v/>
      </c>
      <c r="S1213" s="32">
        <f>IF($F1213="","",IF($F1213="תחילת שנה",1,IF($F1213="מחצית שנה",2,3)))</f>
        <v/>
      </c>
      <c r="T1213" s="32">
        <f>IF(OR($B1213="",$R1213="",$A1213="",$F1213=""),"",$B1213&amp;"|"&amp;$A1213&amp;"|"&amp;$F1213&amp;"|"&amp;$R1213&amp;"|"&amp;COUNTIFS($B$6:$B1213,$B1213,$A$6:$A1213,$A1213,$F$6:$F1213,$F1213,$R$6:$R1213,$R1213))</f>
        <v/>
      </c>
      <c r="U1213" s="32">
        <f>IF($C1213="","",$C1213&amp;"|"&amp;COUNTIFS($C$6:$C1213,$C1213))</f>
        <v/>
      </c>
      <c r="V1213" s="32">
        <f>IF(OR($C1213="",$A1213="",$S1213=""),"",$C1213&amp;"|"&amp;$A1213&amp;"|"&amp;$S1213)</f>
        <v/>
      </c>
      <c r="W1213" s="32">
        <f>IF(OR($C1213="",$S1213="",$S1213=1),"",IFERROR(INDEX($Q$6:$Q$1505,MATCH($C1213&amp;"|"&amp;$A1213&amp;"|"&amp;($S1213-1),$V$6:$V$1505,0)),""))</f>
        <v/>
      </c>
      <c r="X1213" s="32">
        <f>IF(OR($W1213="",$Q1213="",LEFT($Q1213,1)="—"),"",IF($W1213=$Q1213,"ללא שינוי","מ-"&amp;$W1213&amp;" ל-"&amp;$Q1213))</f>
        <v/>
      </c>
    </row>
    <row r="1214">
      <c r="A1214" s="65" t="n"/>
      <c r="B1214" s="65" t="n"/>
      <c r="C1214" s="66" t="n"/>
      <c r="D1214" s="66" t="n"/>
      <c r="E1214" s="65" t="n"/>
      <c r="F1214" s="65" t="n"/>
      <c r="G1214" s="65" t="n"/>
      <c r="H1214" s="65" t="n"/>
      <c r="I1214" s="65" t="n"/>
      <c r="J1214" s="65" t="n"/>
      <c r="K1214" s="65" t="n"/>
      <c r="L1214" s="65" t="n"/>
      <c r="M1214" s="65" t="n"/>
      <c r="N1214" s="65" t="n"/>
      <c r="O1214" s="65" t="n"/>
      <c r="P1214" s="65" t="n"/>
      <c r="Q1214" s="32">
        <f>IF($C1214="","",IF($J1214="","— חסרים נתונים",IF($J1214="טרם מפענח","פרופיל 5",IF($J1214="קמץ/פתח/חטף-פתח ושוואים","פרופיל 4",IF($J1214="2-3 סימני ניקוד","פרופיל 3",IF($J1214="4-5 סימני ניקוד","פרופיל 2",IF(AND($O1214="משפטים וקטעים קצרים",OR($M1214="מבין",$M1214="מבין לרוב")),"פרופיל 1","פרופיל 2")))))))</f>
        <v/>
      </c>
      <c r="R1214" s="32">
        <f>IF($C1214="","",IF(OR($Q1214="",LEFT($Q1214,1)="—"),"קבוצה רביעית",IF($Q1214="פרופיל 5","קבוצת תשתיות",IF(OR($Q1214="פרופיל 4",$Q1214="פרופיל 3"),"קבוצת רכישה","קבוצת ביסוס"))))</f>
        <v/>
      </c>
      <c r="S1214" s="32">
        <f>IF($F1214="","",IF($F1214="תחילת שנה",1,IF($F1214="מחצית שנה",2,3)))</f>
        <v/>
      </c>
      <c r="T1214" s="32">
        <f>IF(OR($B1214="",$R1214="",$A1214="",$F1214=""),"",$B1214&amp;"|"&amp;$A1214&amp;"|"&amp;$F1214&amp;"|"&amp;$R1214&amp;"|"&amp;COUNTIFS($B$6:$B1214,$B1214,$A$6:$A1214,$A1214,$F$6:$F1214,$F1214,$R$6:$R1214,$R1214))</f>
        <v/>
      </c>
      <c r="U1214" s="32">
        <f>IF($C1214="","",$C1214&amp;"|"&amp;COUNTIFS($C$6:$C1214,$C1214))</f>
        <v/>
      </c>
      <c r="V1214" s="32">
        <f>IF(OR($C1214="",$A1214="",$S1214=""),"",$C1214&amp;"|"&amp;$A1214&amp;"|"&amp;$S1214)</f>
        <v/>
      </c>
      <c r="W1214" s="32">
        <f>IF(OR($C1214="",$S1214="",$S1214=1),"",IFERROR(INDEX($Q$6:$Q$1505,MATCH($C1214&amp;"|"&amp;$A1214&amp;"|"&amp;($S1214-1),$V$6:$V$1505,0)),""))</f>
        <v/>
      </c>
      <c r="X1214" s="32">
        <f>IF(OR($W1214="",$Q1214="",LEFT($Q1214,1)="—"),"",IF($W1214=$Q1214,"ללא שינוי","מ-"&amp;$W1214&amp;" ל-"&amp;$Q1214))</f>
        <v/>
      </c>
    </row>
    <row r="1215">
      <c r="A1215" s="65" t="n"/>
      <c r="B1215" s="65" t="n"/>
      <c r="C1215" s="66" t="n"/>
      <c r="D1215" s="66" t="n"/>
      <c r="E1215" s="65" t="n"/>
      <c r="F1215" s="65" t="n"/>
      <c r="G1215" s="65" t="n"/>
      <c r="H1215" s="65" t="n"/>
      <c r="I1215" s="65" t="n"/>
      <c r="J1215" s="65" t="n"/>
      <c r="K1215" s="65" t="n"/>
      <c r="L1215" s="65" t="n"/>
      <c r="M1215" s="65" t="n"/>
      <c r="N1215" s="65" t="n"/>
      <c r="O1215" s="65" t="n"/>
      <c r="P1215" s="65" t="n"/>
      <c r="Q1215" s="32">
        <f>IF($C1215="","",IF($J1215="","— חסרים נתונים",IF($J1215="טרם מפענח","פרופיל 5",IF($J1215="קמץ/פתח/חטף-פתח ושוואים","פרופיל 4",IF($J1215="2-3 סימני ניקוד","פרופיל 3",IF($J1215="4-5 סימני ניקוד","פרופיל 2",IF(AND($O1215="משפטים וקטעים קצרים",OR($M1215="מבין",$M1215="מבין לרוב")),"פרופיל 1","פרופיל 2")))))))</f>
        <v/>
      </c>
      <c r="R1215" s="32">
        <f>IF($C1215="","",IF(OR($Q1215="",LEFT($Q1215,1)="—"),"קבוצה רביעית",IF($Q1215="פרופיל 5","קבוצת תשתיות",IF(OR($Q1215="פרופיל 4",$Q1215="פרופיל 3"),"קבוצת רכישה","קבוצת ביסוס"))))</f>
        <v/>
      </c>
      <c r="S1215" s="32">
        <f>IF($F1215="","",IF($F1215="תחילת שנה",1,IF($F1215="מחצית שנה",2,3)))</f>
        <v/>
      </c>
      <c r="T1215" s="32">
        <f>IF(OR($B1215="",$R1215="",$A1215="",$F1215=""),"",$B1215&amp;"|"&amp;$A1215&amp;"|"&amp;$F1215&amp;"|"&amp;$R1215&amp;"|"&amp;COUNTIFS($B$6:$B1215,$B1215,$A$6:$A1215,$A1215,$F$6:$F1215,$F1215,$R$6:$R1215,$R1215))</f>
        <v/>
      </c>
      <c r="U1215" s="32">
        <f>IF($C1215="","",$C1215&amp;"|"&amp;COUNTIFS($C$6:$C1215,$C1215))</f>
        <v/>
      </c>
      <c r="V1215" s="32">
        <f>IF(OR($C1215="",$A1215="",$S1215=""),"",$C1215&amp;"|"&amp;$A1215&amp;"|"&amp;$S1215)</f>
        <v/>
      </c>
      <c r="W1215" s="32">
        <f>IF(OR($C1215="",$S1215="",$S1215=1),"",IFERROR(INDEX($Q$6:$Q$1505,MATCH($C1215&amp;"|"&amp;$A1215&amp;"|"&amp;($S1215-1),$V$6:$V$1505,0)),""))</f>
        <v/>
      </c>
      <c r="X1215" s="32">
        <f>IF(OR($W1215="",$Q1215="",LEFT($Q1215,1)="—"),"",IF($W1215=$Q1215,"ללא שינוי","מ-"&amp;$W1215&amp;" ל-"&amp;$Q1215))</f>
        <v/>
      </c>
    </row>
    <row r="1216">
      <c r="A1216" s="65" t="n"/>
      <c r="B1216" s="65" t="n"/>
      <c r="C1216" s="66" t="n"/>
      <c r="D1216" s="66" t="n"/>
      <c r="E1216" s="65" t="n"/>
      <c r="F1216" s="65" t="n"/>
      <c r="G1216" s="65" t="n"/>
      <c r="H1216" s="65" t="n"/>
      <c r="I1216" s="65" t="n"/>
      <c r="J1216" s="65" t="n"/>
      <c r="K1216" s="65" t="n"/>
      <c r="L1216" s="65" t="n"/>
      <c r="M1216" s="65" t="n"/>
      <c r="N1216" s="65" t="n"/>
      <c r="O1216" s="65" t="n"/>
      <c r="P1216" s="65" t="n"/>
      <c r="Q1216" s="32">
        <f>IF($C1216="","",IF($J1216="","— חסרים נתונים",IF($J1216="טרם מפענח","פרופיל 5",IF($J1216="קמץ/פתח/חטף-פתח ושוואים","פרופיל 4",IF($J1216="2-3 סימני ניקוד","פרופיל 3",IF($J1216="4-5 סימני ניקוד","פרופיל 2",IF(AND($O1216="משפטים וקטעים קצרים",OR($M1216="מבין",$M1216="מבין לרוב")),"פרופיל 1","פרופיל 2")))))))</f>
        <v/>
      </c>
      <c r="R1216" s="32">
        <f>IF($C1216="","",IF(OR($Q1216="",LEFT($Q1216,1)="—"),"קבוצה רביעית",IF($Q1216="פרופיל 5","קבוצת תשתיות",IF(OR($Q1216="פרופיל 4",$Q1216="פרופיל 3"),"קבוצת רכישה","קבוצת ביסוס"))))</f>
        <v/>
      </c>
      <c r="S1216" s="32">
        <f>IF($F1216="","",IF($F1216="תחילת שנה",1,IF($F1216="מחצית שנה",2,3)))</f>
        <v/>
      </c>
      <c r="T1216" s="32">
        <f>IF(OR($B1216="",$R1216="",$A1216="",$F1216=""),"",$B1216&amp;"|"&amp;$A1216&amp;"|"&amp;$F1216&amp;"|"&amp;$R1216&amp;"|"&amp;COUNTIFS($B$6:$B1216,$B1216,$A$6:$A1216,$A1216,$F$6:$F1216,$F1216,$R$6:$R1216,$R1216))</f>
        <v/>
      </c>
      <c r="U1216" s="32">
        <f>IF($C1216="","",$C1216&amp;"|"&amp;COUNTIFS($C$6:$C1216,$C1216))</f>
        <v/>
      </c>
      <c r="V1216" s="32">
        <f>IF(OR($C1216="",$A1216="",$S1216=""),"",$C1216&amp;"|"&amp;$A1216&amp;"|"&amp;$S1216)</f>
        <v/>
      </c>
      <c r="W1216" s="32">
        <f>IF(OR($C1216="",$S1216="",$S1216=1),"",IFERROR(INDEX($Q$6:$Q$1505,MATCH($C1216&amp;"|"&amp;$A1216&amp;"|"&amp;($S1216-1),$V$6:$V$1505,0)),""))</f>
        <v/>
      </c>
      <c r="X1216" s="32">
        <f>IF(OR($W1216="",$Q1216="",LEFT($Q1216,1)="—"),"",IF($W1216=$Q1216,"ללא שינוי","מ-"&amp;$W1216&amp;" ל-"&amp;$Q1216))</f>
        <v/>
      </c>
    </row>
    <row r="1217">
      <c r="A1217" s="65" t="n"/>
      <c r="B1217" s="65" t="n"/>
      <c r="C1217" s="66" t="n"/>
      <c r="D1217" s="66" t="n"/>
      <c r="E1217" s="65" t="n"/>
      <c r="F1217" s="65" t="n"/>
      <c r="G1217" s="65" t="n"/>
      <c r="H1217" s="65" t="n"/>
      <c r="I1217" s="65" t="n"/>
      <c r="J1217" s="65" t="n"/>
      <c r="K1217" s="65" t="n"/>
      <c r="L1217" s="65" t="n"/>
      <c r="M1217" s="65" t="n"/>
      <c r="N1217" s="65" t="n"/>
      <c r="O1217" s="65" t="n"/>
      <c r="P1217" s="65" t="n"/>
      <c r="Q1217" s="32">
        <f>IF($C1217="","",IF($J1217="","— חסרים נתונים",IF($J1217="טרם מפענח","פרופיל 5",IF($J1217="קמץ/פתח/חטף-פתח ושוואים","פרופיל 4",IF($J1217="2-3 סימני ניקוד","פרופיל 3",IF($J1217="4-5 סימני ניקוד","פרופיל 2",IF(AND($O1217="משפטים וקטעים קצרים",OR($M1217="מבין",$M1217="מבין לרוב")),"פרופיל 1","פרופיל 2")))))))</f>
        <v/>
      </c>
      <c r="R1217" s="32">
        <f>IF($C1217="","",IF(OR($Q1217="",LEFT($Q1217,1)="—"),"קבוצה רביעית",IF($Q1217="פרופיל 5","קבוצת תשתיות",IF(OR($Q1217="פרופיל 4",$Q1217="פרופיל 3"),"קבוצת רכישה","קבוצת ביסוס"))))</f>
        <v/>
      </c>
      <c r="S1217" s="32">
        <f>IF($F1217="","",IF($F1217="תחילת שנה",1,IF($F1217="מחצית שנה",2,3)))</f>
        <v/>
      </c>
      <c r="T1217" s="32">
        <f>IF(OR($B1217="",$R1217="",$A1217="",$F1217=""),"",$B1217&amp;"|"&amp;$A1217&amp;"|"&amp;$F1217&amp;"|"&amp;$R1217&amp;"|"&amp;COUNTIFS($B$6:$B1217,$B1217,$A$6:$A1217,$A1217,$F$6:$F1217,$F1217,$R$6:$R1217,$R1217))</f>
        <v/>
      </c>
      <c r="U1217" s="32">
        <f>IF($C1217="","",$C1217&amp;"|"&amp;COUNTIFS($C$6:$C1217,$C1217))</f>
        <v/>
      </c>
      <c r="V1217" s="32">
        <f>IF(OR($C1217="",$A1217="",$S1217=""),"",$C1217&amp;"|"&amp;$A1217&amp;"|"&amp;$S1217)</f>
        <v/>
      </c>
      <c r="W1217" s="32">
        <f>IF(OR($C1217="",$S1217="",$S1217=1),"",IFERROR(INDEX($Q$6:$Q$1505,MATCH($C1217&amp;"|"&amp;$A1217&amp;"|"&amp;($S1217-1),$V$6:$V$1505,0)),""))</f>
        <v/>
      </c>
      <c r="X1217" s="32">
        <f>IF(OR($W1217="",$Q1217="",LEFT($Q1217,1)="—"),"",IF($W1217=$Q1217,"ללא שינוי","מ-"&amp;$W1217&amp;" ל-"&amp;$Q1217))</f>
        <v/>
      </c>
    </row>
    <row r="1218">
      <c r="A1218" s="65" t="n"/>
      <c r="B1218" s="65" t="n"/>
      <c r="C1218" s="66" t="n"/>
      <c r="D1218" s="66" t="n"/>
      <c r="E1218" s="65" t="n"/>
      <c r="F1218" s="65" t="n"/>
      <c r="G1218" s="65" t="n"/>
      <c r="H1218" s="65" t="n"/>
      <c r="I1218" s="65" t="n"/>
      <c r="J1218" s="65" t="n"/>
      <c r="K1218" s="65" t="n"/>
      <c r="L1218" s="65" t="n"/>
      <c r="M1218" s="65" t="n"/>
      <c r="N1218" s="65" t="n"/>
      <c r="O1218" s="65" t="n"/>
      <c r="P1218" s="65" t="n"/>
      <c r="Q1218" s="32">
        <f>IF($C1218="","",IF($J1218="","— חסרים נתונים",IF($J1218="טרם מפענח","פרופיל 5",IF($J1218="קמץ/פתח/חטף-פתח ושוואים","פרופיל 4",IF($J1218="2-3 סימני ניקוד","פרופיל 3",IF($J1218="4-5 סימני ניקוד","פרופיל 2",IF(AND($O1218="משפטים וקטעים קצרים",OR($M1218="מבין",$M1218="מבין לרוב")),"פרופיל 1","פרופיל 2")))))))</f>
        <v/>
      </c>
      <c r="R1218" s="32">
        <f>IF($C1218="","",IF(OR($Q1218="",LEFT($Q1218,1)="—"),"קבוצה רביעית",IF($Q1218="פרופיל 5","קבוצת תשתיות",IF(OR($Q1218="פרופיל 4",$Q1218="פרופיל 3"),"קבוצת רכישה","קבוצת ביסוס"))))</f>
        <v/>
      </c>
      <c r="S1218" s="32">
        <f>IF($F1218="","",IF($F1218="תחילת שנה",1,IF($F1218="מחצית שנה",2,3)))</f>
        <v/>
      </c>
      <c r="T1218" s="32">
        <f>IF(OR($B1218="",$R1218="",$A1218="",$F1218=""),"",$B1218&amp;"|"&amp;$A1218&amp;"|"&amp;$F1218&amp;"|"&amp;$R1218&amp;"|"&amp;COUNTIFS($B$6:$B1218,$B1218,$A$6:$A1218,$A1218,$F$6:$F1218,$F1218,$R$6:$R1218,$R1218))</f>
        <v/>
      </c>
      <c r="U1218" s="32">
        <f>IF($C1218="","",$C1218&amp;"|"&amp;COUNTIFS($C$6:$C1218,$C1218))</f>
        <v/>
      </c>
      <c r="V1218" s="32">
        <f>IF(OR($C1218="",$A1218="",$S1218=""),"",$C1218&amp;"|"&amp;$A1218&amp;"|"&amp;$S1218)</f>
        <v/>
      </c>
      <c r="W1218" s="32">
        <f>IF(OR($C1218="",$S1218="",$S1218=1),"",IFERROR(INDEX($Q$6:$Q$1505,MATCH($C1218&amp;"|"&amp;$A1218&amp;"|"&amp;($S1218-1),$V$6:$V$1505,0)),""))</f>
        <v/>
      </c>
      <c r="X1218" s="32">
        <f>IF(OR($W1218="",$Q1218="",LEFT($Q1218,1)="—"),"",IF($W1218=$Q1218,"ללא שינוי","מ-"&amp;$W1218&amp;" ל-"&amp;$Q1218))</f>
        <v/>
      </c>
    </row>
    <row r="1219">
      <c r="A1219" s="65" t="n"/>
      <c r="B1219" s="65" t="n"/>
      <c r="C1219" s="66" t="n"/>
      <c r="D1219" s="66" t="n"/>
      <c r="E1219" s="65" t="n"/>
      <c r="F1219" s="65" t="n"/>
      <c r="G1219" s="65" t="n"/>
      <c r="H1219" s="65" t="n"/>
      <c r="I1219" s="65" t="n"/>
      <c r="J1219" s="65" t="n"/>
      <c r="K1219" s="65" t="n"/>
      <c r="L1219" s="65" t="n"/>
      <c r="M1219" s="65" t="n"/>
      <c r="N1219" s="65" t="n"/>
      <c r="O1219" s="65" t="n"/>
      <c r="P1219" s="65" t="n"/>
      <c r="Q1219" s="32">
        <f>IF($C1219="","",IF($J1219="","— חסרים נתונים",IF($J1219="טרם מפענח","פרופיל 5",IF($J1219="קמץ/פתח/חטף-פתח ושוואים","פרופיל 4",IF($J1219="2-3 סימני ניקוד","פרופיל 3",IF($J1219="4-5 סימני ניקוד","פרופיל 2",IF(AND($O1219="משפטים וקטעים קצרים",OR($M1219="מבין",$M1219="מבין לרוב")),"פרופיל 1","פרופיל 2")))))))</f>
        <v/>
      </c>
      <c r="R1219" s="32">
        <f>IF($C1219="","",IF(OR($Q1219="",LEFT($Q1219,1)="—"),"קבוצה רביעית",IF($Q1219="פרופיל 5","קבוצת תשתיות",IF(OR($Q1219="פרופיל 4",$Q1219="פרופיל 3"),"קבוצת רכישה","קבוצת ביסוס"))))</f>
        <v/>
      </c>
      <c r="S1219" s="32">
        <f>IF($F1219="","",IF($F1219="תחילת שנה",1,IF($F1219="מחצית שנה",2,3)))</f>
        <v/>
      </c>
      <c r="T1219" s="32">
        <f>IF(OR($B1219="",$R1219="",$A1219="",$F1219=""),"",$B1219&amp;"|"&amp;$A1219&amp;"|"&amp;$F1219&amp;"|"&amp;$R1219&amp;"|"&amp;COUNTIFS($B$6:$B1219,$B1219,$A$6:$A1219,$A1219,$F$6:$F1219,$F1219,$R$6:$R1219,$R1219))</f>
        <v/>
      </c>
      <c r="U1219" s="32">
        <f>IF($C1219="","",$C1219&amp;"|"&amp;COUNTIFS($C$6:$C1219,$C1219))</f>
        <v/>
      </c>
      <c r="V1219" s="32">
        <f>IF(OR($C1219="",$A1219="",$S1219=""),"",$C1219&amp;"|"&amp;$A1219&amp;"|"&amp;$S1219)</f>
        <v/>
      </c>
      <c r="W1219" s="32">
        <f>IF(OR($C1219="",$S1219="",$S1219=1),"",IFERROR(INDEX($Q$6:$Q$1505,MATCH($C1219&amp;"|"&amp;$A1219&amp;"|"&amp;($S1219-1),$V$6:$V$1505,0)),""))</f>
        <v/>
      </c>
      <c r="X1219" s="32">
        <f>IF(OR($W1219="",$Q1219="",LEFT($Q1219,1)="—"),"",IF($W1219=$Q1219,"ללא שינוי","מ-"&amp;$W1219&amp;" ל-"&amp;$Q1219))</f>
        <v/>
      </c>
    </row>
    <row r="1220">
      <c r="A1220" s="65" t="n"/>
      <c r="B1220" s="65" t="n"/>
      <c r="C1220" s="66" t="n"/>
      <c r="D1220" s="66" t="n"/>
      <c r="E1220" s="65" t="n"/>
      <c r="F1220" s="65" t="n"/>
      <c r="G1220" s="65" t="n"/>
      <c r="H1220" s="65" t="n"/>
      <c r="I1220" s="65" t="n"/>
      <c r="J1220" s="65" t="n"/>
      <c r="K1220" s="65" t="n"/>
      <c r="L1220" s="65" t="n"/>
      <c r="M1220" s="65" t="n"/>
      <c r="N1220" s="65" t="n"/>
      <c r="O1220" s="65" t="n"/>
      <c r="P1220" s="65" t="n"/>
      <c r="Q1220" s="32">
        <f>IF($C1220="","",IF($J1220="","— חסרים נתונים",IF($J1220="טרם מפענח","פרופיל 5",IF($J1220="קמץ/פתח/חטף-פתח ושוואים","פרופיל 4",IF($J1220="2-3 סימני ניקוד","פרופיל 3",IF($J1220="4-5 סימני ניקוד","פרופיל 2",IF(AND($O1220="משפטים וקטעים קצרים",OR($M1220="מבין",$M1220="מבין לרוב")),"פרופיל 1","פרופיל 2")))))))</f>
        <v/>
      </c>
      <c r="R1220" s="32">
        <f>IF($C1220="","",IF(OR($Q1220="",LEFT($Q1220,1)="—"),"קבוצה רביעית",IF($Q1220="פרופיל 5","קבוצת תשתיות",IF(OR($Q1220="פרופיל 4",$Q1220="פרופיל 3"),"קבוצת רכישה","קבוצת ביסוס"))))</f>
        <v/>
      </c>
      <c r="S1220" s="32">
        <f>IF($F1220="","",IF($F1220="תחילת שנה",1,IF($F1220="מחצית שנה",2,3)))</f>
        <v/>
      </c>
      <c r="T1220" s="32">
        <f>IF(OR($B1220="",$R1220="",$A1220="",$F1220=""),"",$B1220&amp;"|"&amp;$A1220&amp;"|"&amp;$F1220&amp;"|"&amp;$R1220&amp;"|"&amp;COUNTIFS($B$6:$B1220,$B1220,$A$6:$A1220,$A1220,$F$6:$F1220,$F1220,$R$6:$R1220,$R1220))</f>
        <v/>
      </c>
      <c r="U1220" s="32">
        <f>IF($C1220="","",$C1220&amp;"|"&amp;COUNTIFS($C$6:$C1220,$C1220))</f>
        <v/>
      </c>
      <c r="V1220" s="32">
        <f>IF(OR($C1220="",$A1220="",$S1220=""),"",$C1220&amp;"|"&amp;$A1220&amp;"|"&amp;$S1220)</f>
        <v/>
      </c>
      <c r="W1220" s="32">
        <f>IF(OR($C1220="",$S1220="",$S1220=1),"",IFERROR(INDEX($Q$6:$Q$1505,MATCH($C1220&amp;"|"&amp;$A1220&amp;"|"&amp;($S1220-1),$V$6:$V$1505,0)),""))</f>
        <v/>
      </c>
      <c r="X1220" s="32">
        <f>IF(OR($W1220="",$Q1220="",LEFT($Q1220,1)="—"),"",IF($W1220=$Q1220,"ללא שינוי","מ-"&amp;$W1220&amp;" ל-"&amp;$Q1220))</f>
        <v/>
      </c>
    </row>
    <row r="1221">
      <c r="A1221" s="65" t="n"/>
      <c r="B1221" s="65" t="n"/>
      <c r="C1221" s="66" t="n"/>
      <c r="D1221" s="66" t="n"/>
      <c r="E1221" s="65" t="n"/>
      <c r="F1221" s="65" t="n"/>
      <c r="G1221" s="65" t="n"/>
      <c r="H1221" s="65" t="n"/>
      <c r="I1221" s="65" t="n"/>
      <c r="J1221" s="65" t="n"/>
      <c r="K1221" s="65" t="n"/>
      <c r="L1221" s="65" t="n"/>
      <c r="M1221" s="65" t="n"/>
      <c r="N1221" s="65" t="n"/>
      <c r="O1221" s="65" t="n"/>
      <c r="P1221" s="65" t="n"/>
      <c r="Q1221" s="32">
        <f>IF($C1221="","",IF($J1221="","— חסרים נתונים",IF($J1221="טרם מפענח","פרופיל 5",IF($J1221="קמץ/פתח/חטף-פתח ושוואים","פרופיל 4",IF($J1221="2-3 סימני ניקוד","פרופיל 3",IF($J1221="4-5 סימני ניקוד","פרופיל 2",IF(AND($O1221="משפטים וקטעים קצרים",OR($M1221="מבין",$M1221="מבין לרוב")),"פרופיל 1","פרופיל 2")))))))</f>
        <v/>
      </c>
      <c r="R1221" s="32">
        <f>IF($C1221="","",IF(OR($Q1221="",LEFT($Q1221,1)="—"),"קבוצה רביעית",IF($Q1221="פרופיל 5","קבוצת תשתיות",IF(OR($Q1221="פרופיל 4",$Q1221="פרופיל 3"),"קבוצת רכישה","קבוצת ביסוס"))))</f>
        <v/>
      </c>
      <c r="S1221" s="32">
        <f>IF($F1221="","",IF($F1221="תחילת שנה",1,IF($F1221="מחצית שנה",2,3)))</f>
        <v/>
      </c>
      <c r="T1221" s="32">
        <f>IF(OR($B1221="",$R1221="",$A1221="",$F1221=""),"",$B1221&amp;"|"&amp;$A1221&amp;"|"&amp;$F1221&amp;"|"&amp;$R1221&amp;"|"&amp;COUNTIFS($B$6:$B1221,$B1221,$A$6:$A1221,$A1221,$F$6:$F1221,$F1221,$R$6:$R1221,$R1221))</f>
        <v/>
      </c>
      <c r="U1221" s="32">
        <f>IF($C1221="","",$C1221&amp;"|"&amp;COUNTIFS($C$6:$C1221,$C1221))</f>
        <v/>
      </c>
      <c r="V1221" s="32">
        <f>IF(OR($C1221="",$A1221="",$S1221=""),"",$C1221&amp;"|"&amp;$A1221&amp;"|"&amp;$S1221)</f>
        <v/>
      </c>
      <c r="W1221" s="32">
        <f>IF(OR($C1221="",$S1221="",$S1221=1),"",IFERROR(INDEX($Q$6:$Q$1505,MATCH($C1221&amp;"|"&amp;$A1221&amp;"|"&amp;($S1221-1),$V$6:$V$1505,0)),""))</f>
        <v/>
      </c>
      <c r="X1221" s="32">
        <f>IF(OR($W1221="",$Q1221="",LEFT($Q1221,1)="—"),"",IF($W1221=$Q1221,"ללא שינוי","מ-"&amp;$W1221&amp;" ל-"&amp;$Q1221))</f>
        <v/>
      </c>
    </row>
    <row r="1222">
      <c r="A1222" s="65" t="n"/>
      <c r="B1222" s="65" t="n"/>
      <c r="C1222" s="66" t="n"/>
      <c r="D1222" s="66" t="n"/>
      <c r="E1222" s="65" t="n"/>
      <c r="F1222" s="65" t="n"/>
      <c r="G1222" s="65" t="n"/>
      <c r="H1222" s="65" t="n"/>
      <c r="I1222" s="65" t="n"/>
      <c r="J1222" s="65" t="n"/>
      <c r="K1222" s="65" t="n"/>
      <c r="L1222" s="65" t="n"/>
      <c r="M1222" s="65" t="n"/>
      <c r="N1222" s="65" t="n"/>
      <c r="O1222" s="65" t="n"/>
      <c r="P1222" s="65" t="n"/>
      <c r="Q1222" s="32">
        <f>IF($C1222="","",IF($J1222="","— חסרים נתונים",IF($J1222="טרם מפענח","פרופיל 5",IF($J1222="קמץ/פתח/חטף-פתח ושוואים","פרופיל 4",IF($J1222="2-3 סימני ניקוד","פרופיל 3",IF($J1222="4-5 סימני ניקוד","פרופיל 2",IF(AND($O1222="משפטים וקטעים קצרים",OR($M1222="מבין",$M1222="מבין לרוב")),"פרופיל 1","פרופיל 2")))))))</f>
        <v/>
      </c>
      <c r="R1222" s="32">
        <f>IF($C1222="","",IF(OR($Q1222="",LEFT($Q1222,1)="—"),"קבוצה רביעית",IF($Q1222="פרופיל 5","קבוצת תשתיות",IF(OR($Q1222="פרופיל 4",$Q1222="פרופיל 3"),"קבוצת רכישה","קבוצת ביסוס"))))</f>
        <v/>
      </c>
      <c r="S1222" s="32">
        <f>IF($F1222="","",IF($F1222="תחילת שנה",1,IF($F1222="מחצית שנה",2,3)))</f>
        <v/>
      </c>
      <c r="T1222" s="32">
        <f>IF(OR($B1222="",$R1222="",$A1222="",$F1222=""),"",$B1222&amp;"|"&amp;$A1222&amp;"|"&amp;$F1222&amp;"|"&amp;$R1222&amp;"|"&amp;COUNTIFS($B$6:$B1222,$B1222,$A$6:$A1222,$A1222,$F$6:$F1222,$F1222,$R$6:$R1222,$R1222))</f>
        <v/>
      </c>
      <c r="U1222" s="32">
        <f>IF($C1222="","",$C1222&amp;"|"&amp;COUNTIFS($C$6:$C1222,$C1222))</f>
        <v/>
      </c>
      <c r="V1222" s="32">
        <f>IF(OR($C1222="",$A1222="",$S1222=""),"",$C1222&amp;"|"&amp;$A1222&amp;"|"&amp;$S1222)</f>
        <v/>
      </c>
      <c r="W1222" s="32">
        <f>IF(OR($C1222="",$S1222="",$S1222=1),"",IFERROR(INDEX($Q$6:$Q$1505,MATCH($C1222&amp;"|"&amp;$A1222&amp;"|"&amp;($S1222-1),$V$6:$V$1505,0)),""))</f>
        <v/>
      </c>
      <c r="X1222" s="32">
        <f>IF(OR($W1222="",$Q1222="",LEFT($Q1222,1)="—"),"",IF($W1222=$Q1222,"ללא שינוי","מ-"&amp;$W1222&amp;" ל-"&amp;$Q1222))</f>
        <v/>
      </c>
    </row>
    <row r="1223">
      <c r="A1223" s="65" t="n"/>
      <c r="B1223" s="65" t="n"/>
      <c r="C1223" s="66" t="n"/>
      <c r="D1223" s="66" t="n"/>
      <c r="E1223" s="65" t="n"/>
      <c r="F1223" s="65" t="n"/>
      <c r="G1223" s="65" t="n"/>
      <c r="H1223" s="65" t="n"/>
      <c r="I1223" s="65" t="n"/>
      <c r="J1223" s="65" t="n"/>
      <c r="K1223" s="65" t="n"/>
      <c r="L1223" s="65" t="n"/>
      <c r="M1223" s="65" t="n"/>
      <c r="N1223" s="65" t="n"/>
      <c r="O1223" s="65" t="n"/>
      <c r="P1223" s="65" t="n"/>
      <c r="Q1223" s="32">
        <f>IF($C1223="","",IF($J1223="","— חסרים נתונים",IF($J1223="טרם מפענח","פרופיל 5",IF($J1223="קמץ/פתח/חטף-פתח ושוואים","פרופיל 4",IF($J1223="2-3 סימני ניקוד","פרופיל 3",IF($J1223="4-5 סימני ניקוד","פרופיל 2",IF(AND($O1223="משפטים וקטעים קצרים",OR($M1223="מבין",$M1223="מבין לרוב")),"פרופיל 1","פרופיל 2")))))))</f>
        <v/>
      </c>
      <c r="R1223" s="32">
        <f>IF($C1223="","",IF(OR($Q1223="",LEFT($Q1223,1)="—"),"קבוצה רביעית",IF($Q1223="פרופיל 5","קבוצת תשתיות",IF(OR($Q1223="פרופיל 4",$Q1223="פרופיל 3"),"קבוצת רכישה","קבוצת ביסוס"))))</f>
        <v/>
      </c>
      <c r="S1223" s="32">
        <f>IF($F1223="","",IF($F1223="תחילת שנה",1,IF($F1223="מחצית שנה",2,3)))</f>
        <v/>
      </c>
      <c r="T1223" s="32">
        <f>IF(OR($B1223="",$R1223="",$A1223="",$F1223=""),"",$B1223&amp;"|"&amp;$A1223&amp;"|"&amp;$F1223&amp;"|"&amp;$R1223&amp;"|"&amp;COUNTIFS($B$6:$B1223,$B1223,$A$6:$A1223,$A1223,$F$6:$F1223,$F1223,$R$6:$R1223,$R1223))</f>
        <v/>
      </c>
      <c r="U1223" s="32">
        <f>IF($C1223="","",$C1223&amp;"|"&amp;COUNTIFS($C$6:$C1223,$C1223))</f>
        <v/>
      </c>
      <c r="V1223" s="32">
        <f>IF(OR($C1223="",$A1223="",$S1223=""),"",$C1223&amp;"|"&amp;$A1223&amp;"|"&amp;$S1223)</f>
        <v/>
      </c>
      <c r="W1223" s="32">
        <f>IF(OR($C1223="",$S1223="",$S1223=1),"",IFERROR(INDEX($Q$6:$Q$1505,MATCH($C1223&amp;"|"&amp;$A1223&amp;"|"&amp;($S1223-1),$V$6:$V$1505,0)),""))</f>
        <v/>
      </c>
      <c r="X1223" s="32">
        <f>IF(OR($W1223="",$Q1223="",LEFT($Q1223,1)="—"),"",IF($W1223=$Q1223,"ללא שינוי","מ-"&amp;$W1223&amp;" ל-"&amp;$Q1223))</f>
        <v/>
      </c>
    </row>
    <row r="1224">
      <c r="A1224" s="65" t="n"/>
      <c r="B1224" s="65" t="n"/>
      <c r="C1224" s="66" t="n"/>
      <c r="D1224" s="66" t="n"/>
      <c r="E1224" s="65" t="n"/>
      <c r="F1224" s="65" t="n"/>
      <c r="G1224" s="65" t="n"/>
      <c r="H1224" s="65" t="n"/>
      <c r="I1224" s="65" t="n"/>
      <c r="J1224" s="65" t="n"/>
      <c r="K1224" s="65" t="n"/>
      <c r="L1224" s="65" t="n"/>
      <c r="M1224" s="65" t="n"/>
      <c r="N1224" s="65" t="n"/>
      <c r="O1224" s="65" t="n"/>
      <c r="P1224" s="65" t="n"/>
      <c r="Q1224" s="32">
        <f>IF($C1224="","",IF($J1224="","— חסרים נתונים",IF($J1224="טרם מפענח","פרופיל 5",IF($J1224="קמץ/פתח/חטף-פתח ושוואים","פרופיל 4",IF($J1224="2-3 סימני ניקוד","פרופיל 3",IF($J1224="4-5 סימני ניקוד","פרופיל 2",IF(AND($O1224="משפטים וקטעים קצרים",OR($M1224="מבין",$M1224="מבין לרוב")),"פרופיל 1","פרופיל 2")))))))</f>
        <v/>
      </c>
      <c r="R1224" s="32">
        <f>IF($C1224="","",IF(OR($Q1224="",LEFT($Q1224,1)="—"),"קבוצה רביעית",IF($Q1224="פרופיל 5","קבוצת תשתיות",IF(OR($Q1224="פרופיל 4",$Q1224="פרופיל 3"),"קבוצת רכישה","קבוצת ביסוס"))))</f>
        <v/>
      </c>
      <c r="S1224" s="32">
        <f>IF($F1224="","",IF($F1224="תחילת שנה",1,IF($F1224="מחצית שנה",2,3)))</f>
        <v/>
      </c>
      <c r="T1224" s="32">
        <f>IF(OR($B1224="",$R1224="",$A1224="",$F1224=""),"",$B1224&amp;"|"&amp;$A1224&amp;"|"&amp;$F1224&amp;"|"&amp;$R1224&amp;"|"&amp;COUNTIFS($B$6:$B1224,$B1224,$A$6:$A1224,$A1224,$F$6:$F1224,$F1224,$R$6:$R1224,$R1224))</f>
        <v/>
      </c>
      <c r="U1224" s="32">
        <f>IF($C1224="","",$C1224&amp;"|"&amp;COUNTIFS($C$6:$C1224,$C1224))</f>
        <v/>
      </c>
      <c r="V1224" s="32">
        <f>IF(OR($C1224="",$A1224="",$S1224=""),"",$C1224&amp;"|"&amp;$A1224&amp;"|"&amp;$S1224)</f>
        <v/>
      </c>
      <c r="W1224" s="32">
        <f>IF(OR($C1224="",$S1224="",$S1224=1),"",IFERROR(INDEX($Q$6:$Q$1505,MATCH($C1224&amp;"|"&amp;$A1224&amp;"|"&amp;($S1224-1),$V$6:$V$1505,0)),""))</f>
        <v/>
      </c>
      <c r="X1224" s="32">
        <f>IF(OR($W1224="",$Q1224="",LEFT($Q1224,1)="—"),"",IF($W1224=$Q1224,"ללא שינוי","מ-"&amp;$W1224&amp;" ל-"&amp;$Q1224))</f>
        <v/>
      </c>
    </row>
    <row r="1225">
      <c r="A1225" s="65" t="n"/>
      <c r="B1225" s="65" t="n"/>
      <c r="C1225" s="66" t="n"/>
      <c r="D1225" s="66" t="n"/>
      <c r="E1225" s="65" t="n"/>
      <c r="F1225" s="65" t="n"/>
      <c r="G1225" s="65" t="n"/>
      <c r="H1225" s="65" t="n"/>
      <c r="I1225" s="65" t="n"/>
      <c r="J1225" s="65" t="n"/>
      <c r="K1225" s="65" t="n"/>
      <c r="L1225" s="65" t="n"/>
      <c r="M1225" s="65" t="n"/>
      <c r="N1225" s="65" t="n"/>
      <c r="O1225" s="65" t="n"/>
      <c r="P1225" s="65" t="n"/>
      <c r="Q1225" s="32">
        <f>IF($C1225="","",IF($J1225="","— חסרים נתונים",IF($J1225="טרם מפענח","פרופיל 5",IF($J1225="קמץ/פתח/חטף-פתח ושוואים","פרופיל 4",IF($J1225="2-3 סימני ניקוד","פרופיל 3",IF($J1225="4-5 סימני ניקוד","פרופיל 2",IF(AND($O1225="משפטים וקטעים קצרים",OR($M1225="מבין",$M1225="מבין לרוב")),"פרופיל 1","פרופיל 2")))))))</f>
        <v/>
      </c>
      <c r="R1225" s="32">
        <f>IF($C1225="","",IF(OR($Q1225="",LEFT($Q1225,1)="—"),"קבוצה רביעית",IF($Q1225="פרופיל 5","קבוצת תשתיות",IF(OR($Q1225="פרופיל 4",$Q1225="פרופיל 3"),"קבוצת רכישה","קבוצת ביסוס"))))</f>
        <v/>
      </c>
      <c r="S1225" s="32">
        <f>IF($F1225="","",IF($F1225="תחילת שנה",1,IF($F1225="מחצית שנה",2,3)))</f>
        <v/>
      </c>
      <c r="T1225" s="32">
        <f>IF(OR($B1225="",$R1225="",$A1225="",$F1225=""),"",$B1225&amp;"|"&amp;$A1225&amp;"|"&amp;$F1225&amp;"|"&amp;$R1225&amp;"|"&amp;COUNTIFS($B$6:$B1225,$B1225,$A$6:$A1225,$A1225,$F$6:$F1225,$F1225,$R$6:$R1225,$R1225))</f>
        <v/>
      </c>
      <c r="U1225" s="32">
        <f>IF($C1225="","",$C1225&amp;"|"&amp;COUNTIFS($C$6:$C1225,$C1225))</f>
        <v/>
      </c>
      <c r="V1225" s="32">
        <f>IF(OR($C1225="",$A1225="",$S1225=""),"",$C1225&amp;"|"&amp;$A1225&amp;"|"&amp;$S1225)</f>
        <v/>
      </c>
      <c r="W1225" s="32">
        <f>IF(OR($C1225="",$S1225="",$S1225=1),"",IFERROR(INDEX($Q$6:$Q$1505,MATCH($C1225&amp;"|"&amp;$A1225&amp;"|"&amp;($S1225-1),$V$6:$V$1505,0)),""))</f>
        <v/>
      </c>
      <c r="X1225" s="32">
        <f>IF(OR($W1225="",$Q1225="",LEFT($Q1225,1)="—"),"",IF($W1225=$Q1225,"ללא שינוי","מ-"&amp;$W1225&amp;" ל-"&amp;$Q1225))</f>
        <v/>
      </c>
    </row>
    <row r="1226">
      <c r="A1226" s="65" t="n"/>
      <c r="B1226" s="65" t="n"/>
      <c r="C1226" s="66" t="n"/>
      <c r="D1226" s="66" t="n"/>
      <c r="E1226" s="65" t="n"/>
      <c r="F1226" s="65" t="n"/>
      <c r="G1226" s="65" t="n"/>
      <c r="H1226" s="65" t="n"/>
      <c r="I1226" s="65" t="n"/>
      <c r="J1226" s="65" t="n"/>
      <c r="K1226" s="65" t="n"/>
      <c r="L1226" s="65" t="n"/>
      <c r="M1226" s="65" t="n"/>
      <c r="N1226" s="65" t="n"/>
      <c r="O1226" s="65" t="n"/>
      <c r="P1226" s="65" t="n"/>
      <c r="Q1226" s="32">
        <f>IF($C1226="","",IF($J1226="","— חסרים נתונים",IF($J1226="טרם מפענח","פרופיל 5",IF($J1226="קמץ/פתח/חטף-פתח ושוואים","פרופיל 4",IF($J1226="2-3 סימני ניקוד","פרופיל 3",IF($J1226="4-5 סימני ניקוד","פרופיל 2",IF(AND($O1226="משפטים וקטעים קצרים",OR($M1226="מבין",$M1226="מבין לרוב")),"פרופיל 1","פרופיל 2")))))))</f>
        <v/>
      </c>
      <c r="R1226" s="32">
        <f>IF($C1226="","",IF(OR($Q1226="",LEFT($Q1226,1)="—"),"קבוצה רביעית",IF($Q1226="פרופיל 5","קבוצת תשתיות",IF(OR($Q1226="פרופיל 4",$Q1226="פרופיל 3"),"קבוצת רכישה","קבוצת ביסוס"))))</f>
        <v/>
      </c>
      <c r="S1226" s="32">
        <f>IF($F1226="","",IF($F1226="תחילת שנה",1,IF($F1226="מחצית שנה",2,3)))</f>
        <v/>
      </c>
      <c r="T1226" s="32">
        <f>IF(OR($B1226="",$R1226="",$A1226="",$F1226=""),"",$B1226&amp;"|"&amp;$A1226&amp;"|"&amp;$F1226&amp;"|"&amp;$R1226&amp;"|"&amp;COUNTIFS($B$6:$B1226,$B1226,$A$6:$A1226,$A1226,$F$6:$F1226,$F1226,$R$6:$R1226,$R1226))</f>
        <v/>
      </c>
      <c r="U1226" s="32">
        <f>IF($C1226="","",$C1226&amp;"|"&amp;COUNTIFS($C$6:$C1226,$C1226))</f>
        <v/>
      </c>
      <c r="V1226" s="32">
        <f>IF(OR($C1226="",$A1226="",$S1226=""),"",$C1226&amp;"|"&amp;$A1226&amp;"|"&amp;$S1226)</f>
        <v/>
      </c>
      <c r="W1226" s="32">
        <f>IF(OR($C1226="",$S1226="",$S1226=1),"",IFERROR(INDEX($Q$6:$Q$1505,MATCH($C1226&amp;"|"&amp;$A1226&amp;"|"&amp;($S1226-1),$V$6:$V$1505,0)),""))</f>
        <v/>
      </c>
      <c r="X1226" s="32">
        <f>IF(OR($W1226="",$Q1226="",LEFT($Q1226,1)="—"),"",IF($W1226=$Q1226,"ללא שינוי","מ-"&amp;$W1226&amp;" ל-"&amp;$Q1226))</f>
        <v/>
      </c>
    </row>
    <row r="1227">
      <c r="A1227" s="65" t="n"/>
      <c r="B1227" s="65" t="n"/>
      <c r="C1227" s="66" t="n"/>
      <c r="D1227" s="66" t="n"/>
      <c r="E1227" s="65" t="n"/>
      <c r="F1227" s="65" t="n"/>
      <c r="G1227" s="65" t="n"/>
      <c r="H1227" s="65" t="n"/>
      <c r="I1227" s="65" t="n"/>
      <c r="J1227" s="65" t="n"/>
      <c r="K1227" s="65" t="n"/>
      <c r="L1227" s="65" t="n"/>
      <c r="M1227" s="65" t="n"/>
      <c r="N1227" s="65" t="n"/>
      <c r="O1227" s="65" t="n"/>
      <c r="P1227" s="65" t="n"/>
      <c r="Q1227" s="32">
        <f>IF($C1227="","",IF($J1227="","— חסרים נתונים",IF($J1227="טרם מפענח","פרופיל 5",IF($J1227="קמץ/פתח/חטף-פתח ושוואים","פרופיל 4",IF($J1227="2-3 סימני ניקוד","פרופיל 3",IF($J1227="4-5 סימני ניקוד","פרופיל 2",IF(AND($O1227="משפטים וקטעים קצרים",OR($M1227="מבין",$M1227="מבין לרוב")),"פרופיל 1","פרופיל 2")))))))</f>
        <v/>
      </c>
      <c r="R1227" s="32">
        <f>IF($C1227="","",IF(OR($Q1227="",LEFT($Q1227,1)="—"),"קבוצה רביעית",IF($Q1227="פרופיל 5","קבוצת תשתיות",IF(OR($Q1227="פרופיל 4",$Q1227="פרופיל 3"),"קבוצת רכישה","קבוצת ביסוס"))))</f>
        <v/>
      </c>
      <c r="S1227" s="32">
        <f>IF($F1227="","",IF($F1227="תחילת שנה",1,IF($F1227="מחצית שנה",2,3)))</f>
        <v/>
      </c>
      <c r="T1227" s="32">
        <f>IF(OR($B1227="",$R1227="",$A1227="",$F1227=""),"",$B1227&amp;"|"&amp;$A1227&amp;"|"&amp;$F1227&amp;"|"&amp;$R1227&amp;"|"&amp;COUNTIFS($B$6:$B1227,$B1227,$A$6:$A1227,$A1227,$F$6:$F1227,$F1227,$R$6:$R1227,$R1227))</f>
        <v/>
      </c>
      <c r="U1227" s="32">
        <f>IF($C1227="","",$C1227&amp;"|"&amp;COUNTIFS($C$6:$C1227,$C1227))</f>
        <v/>
      </c>
      <c r="V1227" s="32">
        <f>IF(OR($C1227="",$A1227="",$S1227=""),"",$C1227&amp;"|"&amp;$A1227&amp;"|"&amp;$S1227)</f>
        <v/>
      </c>
      <c r="W1227" s="32">
        <f>IF(OR($C1227="",$S1227="",$S1227=1),"",IFERROR(INDEX($Q$6:$Q$1505,MATCH($C1227&amp;"|"&amp;$A1227&amp;"|"&amp;($S1227-1),$V$6:$V$1505,0)),""))</f>
        <v/>
      </c>
      <c r="X1227" s="32">
        <f>IF(OR($W1227="",$Q1227="",LEFT($Q1227,1)="—"),"",IF($W1227=$Q1227,"ללא שינוי","מ-"&amp;$W1227&amp;" ל-"&amp;$Q1227))</f>
        <v/>
      </c>
    </row>
    <row r="1228">
      <c r="A1228" s="65" t="n"/>
      <c r="B1228" s="65" t="n"/>
      <c r="C1228" s="66" t="n"/>
      <c r="D1228" s="66" t="n"/>
      <c r="E1228" s="65" t="n"/>
      <c r="F1228" s="65" t="n"/>
      <c r="G1228" s="65" t="n"/>
      <c r="H1228" s="65" t="n"/>
      <c r="I1228" s="65" t="n"/>
      <c r="J1228" s="65" t="n"/>
      <c r="K1228" s="65" t="n"/>
      <c r="L1228" s="65" t="n"/>
      <c r="M1228" s="65" t="n"/>
      <c r="N1228" s="65" t="n"/>
      <c r="O1228" s="65" t="n"/>
      <c r="P1228" s="65" t="n"/>
      <c r="Q1228" s="32">
        <f>IF($C1228="","",IF($J1228="","— חסרים נתונים",IF($J1228="טרם מפענח","פרופיל 5",IF($J1228="קמץ/פתח/חטף-פתח ושוואים","פרופיל 4",IF($J1228="2-3 סימני ניקוד","פרופיל 3",IF($J1228="4-5 סימני ניקוד","פרופיל 2",IF(AND($O1228="משפטים וקטעים קצרים",OR($M1228="מבין",$M1228="מבין לרוב")),"פרופיל 1","פרופיל 2")))))))</f>
        <v/>
      </c>
      <c r="R1228" s="32">
        <f>IF($C1228="","",IF(OR($Q1228="",LEFT($Q1228,1)="—"),"קבוצה רביעית",IF($Q1228="פרופיל 5","קבוצת תשתיות",IF(OR($Q1228="פרופיל 4",$Q1228="פרופיל 3"),"קבוצת רכישה","קבוצת ביסוס"))))</f>
        <v/>
      </c>
      <c r="S1228" s="32">
        <f>IF($F1228="","",IF($F1228="תחילת שנה",1,IF($F1228="מחצית שנה",2,3)))</f>
        <v/>
      </c>
      <c r="T1228" s="32">
        <f>IF(OR($B1228="",$R1228="",$A1228="",$F1228=""),"",$B1228&amp;"|"&amp;$A1228&amp;"|"&amp;$F1228&amp;"|"&amp;$R1228&amp;"|"&amp;COUNTIFS($B$6:$B1228,$B1228,$A$6:$A1228,$A1228,$F$6:$F1228,$F1228,$R$6:$R1228,$R1228))</f>
        <v/>
      </c>
      <c r="U1228" s="32">
        <f>IF($C1228="","",$C1228&amp;"|"&amp;COUNTIFS($C$6:$C1228,$C1228))</f>
        <v/>
      </c>
      <c r="V1228" s="32">
        <f>IF(OR($C1228="",$A1228="",$S1228=""),"",$C1228&amp;"|"&amp;$A1228&amp;"|"&amp;$S1228)</f>
        <v/>
      </c>
      <c r="W1228" s="32">
        <f>IF(OR($C1228="",$S1228="",$S1228=1),"",IFERROR(INDEX($Q$6:$Q$1505,MATCH($C1228&amp;"|"&amp;$A1228&amp;"|"&amp;($S1228-1),$V$6:$V$1505,0)),""))</f>
        <v/>
      </c>
      <c r="X1228" s="32">
        <f>IF(OR($W1228="",$Q1228="",LEFT($Q1228,1)="—"),"",IF($W1228=$Q1228,"ללא שינוי","מ-"&amp;$W1228&amp;" ל-"&amp;$Q1228))</f>
        <v/>
      </c>
    </row>
    <row r="1229">
      <c r="A1229" s="65" t="n"/>
      <c r="B1229" s="65" t="n"/>
      <c r="C1229" s="66" t="n"/>
      <c r="D1229" s="66" t="n"/>
      <c r="E1229" s="65" t="n"/>
      <c r="F1229" s="65" t="n"/>
      <c r="G1229" s="65" t="n"/>
      <c r="H1229" s="65" t="n"/>
      <c r="I1229" s="65" t="n"/>
      <c r="J1229" s="65" t="n"/>
      <c r="K1229" s="65" t="n"/>
      <c r="L1229" s="65" t="n"/>
      <c r="M1229" s="65" t="n"/>
      <c r="N1229" s="65" t="n"/>
      <c r="O1229" s="65" t="n"/>
      <c r="P1229" s="65" t="n"/>
      <c r="Q1229" s="32">
        <f>IF($C1229="","",IF($J1229="","— חסרים נתונים",IF($J1229="טרם מפענח","פרופיל 5",IF($J1229="קמץ/פתח/חטף-פתח ושוואים","פרופיל 4",IF($J1229="2-3 סימני ניקוד","פרופיל 3",IF($J1229="4-5 סימני ניקוד","פרופיל 2",IF(AND($O1229="משפטים וקטעים קצרים",OR($M1229="מבין",$M1229="מבין לרוב")),"פרופיל 1","פרופיל 2")))))))</f>
        <v/>
      </c>
      <c r="R1229" s="32">
        <f>IF($C1229="","",IF(OR($Q1229="",LEFT($Q1229,1)="—"),"קבוצה רביעית",IF($Q1229="פרופיל 5","קבוצת תשתיות",IF(OR($Q1229="פרופיל 4",$Q1229="פרופיל 3"),"קבוצת רכישה","קבוצת ביסוס"))))</f>
        <v/>
      </c>
      <c r="S1229" s="32">
        <f>IF($F1229="","",IF($F1229="תחילת שנה",1,IF($F1229="מחצית שנה",2,3)))</f>
        <v/>
      </c>
      <c r="T1229" s="32">
        <f>IF(OR($B1229="",$R1229="",$A1229="",$F1229=""),"",$B1229&amp;"|"&amp;$A1229&amp;"|"&amp;$F1229&amp;"|"&amp;$R1229&amp;"|"&amp;COUNTIFS($B$6:$B1229,$B1229,$A$6:$A1229,$A1229,$F$6:$F1229,$F1229,$R$6:$R1229,$R1229))</f>
        <v/>
      </c>
      <c r="U1229" s="32">
        <f>IF($C1229="","",$C1229&amp;"|"&amp;COUNTIFS($C$6:$C1229,$C1229))</f>
        <v/>
      </c>
      <c r="V1229" s="32">
        <f>IF(OR($C1229="",$A1229="",$S1229=""),"",$C1229&amp;"|"&amp;$A1229&amp;"|"&amp;$S1229)</f>
        <v/>
      </c>
      <c r="W1229" s="32">
        <f>IF(OR($C1229="",$S1229="",$S1229=1),"",IFERROR(INDEX($Q$6:$Q$1505,MATCH($C1229&amp;"|"&amp;$A1229&amp;"|"&amp;($S1229-1),$V$6:$V$1505,0)),""))</f>
        <v/>
      </c>
      <c r="X1229" s="32">
        <f>IF(OR($W1229="",$Q1229="",LEFT($Q1229,1)="—"),"",IF($W1229=$Q1229,"ללא שינוי","מ-"&amp;$W1229&amp;" ל-"&amp;$Q1229))</f>
        <v/>
      </c>
    </row>
    <row r="1230">
      <c r="A1230" s="65" t="n"/>
      <c r="B1230" s="65" t="n"/>
      <c r="C1230" s="66" t="n"/>
      <c r="D1230" s="66" t="n"/>
      <c r="E1230" s="65" t="n"/>
      <c r="F1230" s="65" t="n"/>
      <c r="G1230" s="65" t="n"/>
      <c r="H1230" s="65" t="n"/>
      <c r="I1230" s="65" t="n"/>
      <c r="J1230" s="65" t="n"/>
      <c r="K1230" s="65" t="n"/>
      <c r="L1230" s="65" t="n"/>
      <c r="M1230" s="65" t="n"/>
      <c r="N1230" s="65" t="n"/>
      <c r="O1230" s="65" t="n"/>
      <c r="P1230" s="65" t="n"/>
      <c r="Q1230" s="32">
        <f>IF($C1230="","",IF($J1230="","— חסרים נתונים",IF($J1230="טרם מפענח","פרופיל 5",IF($J1230="קמץ/פתח/חטף-פתח ושוואים","פרופיל 4",IF($J1230="2-3 סימני ניקוד","פרופיל 3",IF($J1230="4-5 סימני ניקוד","פרופיל 2",IF(AND($O1230="משפטים וקטעים קצרים",OR($M1230="מבין",$M1230="מבין לרוב")),"פרופיל 1","פרופיל 2")))))))</f>
        <v/>
      </c>
      <c r="R1230" s="32">
        <f>IF($C1230="","",IF(OR($Q1230="",LEFT($Q1230,1)="—"),"קבוצה רביעית",IF($Q1230="פרופיל 5","קבוצת תשתיות",IF(OR($Q1230="פרופיל 4",$Q1230="פרופיל 3"),"קבוצת רכישה","קבוצת ביסוס"))))</f>
        <v/>
      </c>
      <c r="S1230" s="32">
        <f>IF($F1230="","",IF($F1230="תחילת שנה",1,IF($F1230="מחצית שנה",2,3)))</f>
        <v/>
      </c>
      <c r="T1230" s="32">
        <f>IF(OR($B1230="",$R1230="",$A1230="",$F1230=""),"",$B1230&amp;"|"&amp;$A1230&amp;"|"&amp;$F1230&amp;"|"&amp;$R1230&amp;"|"&amp;COUNTIFS($B$6:$B1230,$B1230,$A$6:$A1230,$A1230,$F$6:$F1230,$F1230,$R$6:$R1230,$R1230))</f>
        <v/>
      </c>
      <c r="U1230" s="32">
        <f>IF($C1230="","",$C1230&amp;"|"&amp;COUNTIFS($C$6:$C1230,$C1230))</f>
        <v/>
      </c>
      <c r="V1230" s="32">
        <f>IF(OR($C1230="",$A1230="",$S1230=""),"",$C1230&amp;"|"&amp;$A1230&amp;"|"&amp;$S1230)</f>
        <v/>
      </c>
      <c r="W1230" s="32">
        <f>IF(OR($C1230="",$S1230="",$S1230=1),"",IFERROR(INDEX($Q$6:$Q$1505,MATCH($C1230&amp;"|"&amp;$A1230&amp;"|"&amp;($S1230-1),$V$6:$V$1505,0)),""))</f>
        <v/>
      </c>
      <c r="X1230" s="32">
        <f>IF(OR($W1230="",$Q1230="",LEFT($Q1230,1)="—"),"",IF($W1230=$Q1230,"ללא שינוי","מ-"&amp;$W1230&amp;" ל-"&amp;$Q1230))</f>
        <v/>
      </c>
    </row>
    <row r="1231">
      <c r="A1231" s="65" t="n"/>
      <c r="B1231" s="65" t="n"/>
      <c r="C1231" s="66" t="n"/>
      <c r="D1231" s="66" t="n"/>
      <c r="E1231" s="65" t="n"/>
      <c r="F1231" s="65" t="n"/>
      <c r="G1231" s="65" t="n"/>
      <c r="H1231" s="65" t="n"/>
      <c r="I1231" s="65" t="n"/>
      <c r="J1231" s="65" t="n"/>
      <c r="K1231" s="65" t="n"/>
      <c r="L1231" s="65" t="n"/>
      <c r="M1231" s="65" t="n"/>
      <c r="N1231" s="65" t="n"/>
      <c r="O1231" s="65" t="n"/>
      <c r="P1231" s="65" t="n"/>
      <c r="Q1231" s="32">
        <f>IF($C1231="","",IF($J1231="","— חסרים נתונים",IF($J1231="טרם מפענח","פרופיל 5",IF($J1231="קמץ/פתח/חטף-פתח ושוואים","פרופיל 4",IF($J1231="2-3 סימני ניקוד","פרופיל 3",IF($J1231="4-5 סימני ניקוד","פרופיל 2",IF(AND($O1231="משפטים וקטעים קצרים",OR($M1231="מבין",$M1231="מבין לרוב")),"פרופיל 1","פרופיל 2")))))))</f>
        <v/>
      </c>
      <c r="R1231" s="32">
        <f>IF($C1231="","",IF(OR($Q1231="",LEFT($Q1231,1)="—"),"קבוצה רביעית",IF($Q1231="פרופיל 5","קבוצת תשתיות",IF(OR($Q1231="פרופיל 4",$Q1231="פרופיל 3"),"קבוצת רכישה","קבוצת ביסוס"))))</f>
        <v/>
      </c>
      <c r="S1231" s="32">
        <f>IF($F1231="","",IF($F1231="תחילת שנה",1,IF($F1231="מחצית שנה",2,3)))</f>
        <v/>
      </c>
      <c r="T1231" s="32">
        <f>IF(OR($B1231="",$R1231="",$A1231="",$F1231=""),"",$B1231&amp;"|"&amp;$A1231&amp;"|"&amp;$F1231&amp;"|"&amp;$R1231&amp;"|"&amp;COUNTIFS($B$6:$B1231,$B1231,$A$6:$A1231,$A1231,$F$6:$F1231,$F1231,$R$6:$R1231,$R1231))</f>
        <v/>
      </c>
      <c r="U1231" s="32">
        <f>IF($C1231="","",$C1231&amp;"|"&amp;COUNTIFS($C$6:$C1231,$C1231))</f>
        <v/>
      </c>
      <c r="V1231" s="32">
        <f>IF(OR($C1231="",$A1231="",$S1231=""),"",$C1231&amp;"|"&amp;$A1231&amp;"|"&amp;$S1231)</f>
        <v/>
      </c>
      <c r="W1231" s="32">
        <f>IF(OR($C1231="",$S1231="",$S1231=1),"",IFERROR(INDEX($Q$6:$Q$1505,MATCH($C1231&amp;"|"&amp;$A1231&amp;"|"&amp;($S1231-1),$V$6:$V$1505,0)),""))</f>
        <v/>
      </c>
      <c r="X1231" s="32">
        <f>IF(OR($W1231="",$Q1231="",LEFT($Q1231,1)="—"),"",IF($W1231=$Q1231,"ללא שינוי","מ-"&amp;$W1231&amp;" ל-"&amp;$Q1231))</f>
        <v/>
      </c>
    </row>
    <row r="1232">
      <c r="A1232" s="65" t="n"/>
      <c r="B1232" s="65" t="n"/>
      <c r="C1232" s="66" t="n"/>
      <c r="D1232" s="66" t="n"/>
      <c r="E1232" s="65" t="n"/>
      <c r="F1232" s="65" t="n"/>
      <c r="G1232" s="65" t="n"/>
      <c r="H1232" s="65" t="n"/>
      <c r="I1232" s="65" t="n"/>
      <c r="J1232" s="65" t="n"/>
      <c r="K1232" s="65" t="n"/>
      <c r="L1232" s="65" t="n"/>
      <c r="M1232" s="65" t="n"/>
      <c r="N1232" s="65" t="n"/>
      <c r="O1232" s="65" t="n"/>
      <c r="P1232" s="65" t="n"/>
      <c r="Q1232" s="32">
        <f>IF($C1232="","",IF($J1232="","— חסרים נתונים",IF($J1232="טרם מפענח","פרופיל 5",IF($J1232="קמץ/פתח/חטף-פתח ושוואים","פרופיל 4",IF($J1232="2-3 סימני ניקוד","פרופיל 3",IF($J1232="4-5 סימני ניקוד","פרופיל 2",IF(AND($O1232="משפטים וקטעים קצרים",OR($M1232="מבין",$M1232="מבין לרוב")),"פרופיל 1","פרופיל 2")))))))</f>
        <v/>
      </c>
      <c r="R1232" s="32">
        <f>IF($C1232="","",IF(OR($Q1232="",LEFT($Q1232,1)="—"),"קבוצה רביעית",IF($Q1232="פרופיל 5","קבוצת תשתיות",IF(OR($Q1232="פרופיל 4",$Q1232="פרופיל 3"),"קבוצת רכישה","קבוצת ביסוס"))))</f>
        <v/>
      </c>
      <c r="S1232" s="32">
        <f>IF($F1232="","",IF($F1232="תחילת שנה",1,IF($F1232="מחצית שנה",2,3)))</f>
        <v/>
      </c>
      <c r="T1232" s="32">
        <f>IF(OR($B1232="",$R1232="",$A1232="",$F1232=""),"",$B1232&amp;"|"&amp;$A1232&amp;"|"&amp;$F1232&amp;"|"&amp;$R1232&amp;"|"&amp;COUNTIFS($B$6:$B1232,$B1232,$A$6:$A1232,$A1232,$F$6:$F1232,$F1232,$R$6:$R1232,$R1232))</f>
        <v/>
      </c>
      <c r="U1232" s="32">
        <f>IF($C1232="","",$C1232&amp;"|"&amp;COUNTIFS($C$6:$C1232,$C1232))</f>
        <v/>
      </c>
      <c r="V1232" s="32">
        <f>IF(OR($C1232="",$A1232="",$S1232=""),"",$C1232&amp;"|"&amp;$A1232&amp;"|"&amp;$S1232)</f>
        <v/>
      </c>
      <c r="W1232" s="32">
        <f>IF(OR($C1232="",$S1232="",$S1232=1),"",IFERROR(INDEX($Q$6:$Q$1505,MATCH($C1232&amp;"|"&amp;$A1232&amp;"|"&amp;($S1232-1),$V$6:$V$1505,0)),""))</f>
        <v/>
      </c>
      <c r="X1232" s="32">
        <f>IF(OR($W1232="",$Q1232="",LEFT($Q1232,1)="—"),"",IF($W1232=$Q1232,"ללא שינוי","מ-"&amp;$W1232&amp;" ל-"&amp;$Q1232))</f>
        <v/>
      </c>
    </row>
    <row r="1233">
      <c r="A1233" s="65" t="n"/>
      <c r="B1233" s="65" t="n"/>
      <c r="C1233" s="66" t="n"/>
      <c r="D1233" s="66" t="n"/>
      <c r="E1233" s="65" t="n"/>
      <c r="F1233" s="65" t="n"/>
      <c r="G1233" s="65" t="n"/>
      <c r="H1233" s="65" t="n"/>
      <c r="I1233" s="65" t="n"/>
      <c r="J1233" s="65" t="n"/>
      <c r="K1233" s="65" t="n"/>
      <c r="L1233" s="65" t="n"/>
      <c r="M1233" s="65" t="n"/>
      <c r="N1233" s="65" t="n"/>
      <c r="O1233" s="65" t="n"/>
      <c r="P1233" s="65" t="n"/>
      <c r="Q1233" s="32">
        <f>IF($C1233="","",IF($J1233="","— חסרים נתונים",IF($J1233="טרם מפענח","פרופיל 5",IF($J1233="קמץ/פתח/חטף-פתח ושוואים","פרופיל 4",IF($J1233="2-3 סימני ניקוד","פרופיל 3",IF($J1233="4-5 סימני ניקוד","פרופיל 2",IF(AND($O1233="משפטים וקטעים קצרים",OR($M1233="מבין",$M1233="מבין לרוב")),"פרופיל 1","פרופיל 2")))))))</f>
        <v/>
      </c>
      <c r="R1233" s="32">
        <f>IF($C1233="","",IF(OR($Q1233="",LEFT($Q1233,1)="—"),"קבוצה רביעית",IF($Q1233="פרופיל 5","קבוצת תשתיות",IF(OR($Q1233="פרופיל 4",$Q1233="פרופיל 3"),"קבוצת רכישה","קבוצת ביסוס"))))</f>
        <v/>
      </c>
      <c r="S1233" s="32">
        <f>IF($F1233="","",IF($F1233="תחילת שנה",1,IF($F1233="מחצית שנה",2,3)))</f>
        <v/>
      </c>
      <c r="T1233" s="32">
        <f>IF(OR($B1233="",$R1233="",$A1233="",$F1233=""),"",$B1233&amp;"|"&amp;$A1233&amp;"|"&amp;$F1233&amp;"|"&amp;$R1233&amp;"|"&amp;COUNTIFS($B$6:$B1233,$B1233,$A$6:$A1233,$A1233,$F$6:$F1233,$F1233,$R$6:$R1233,$R1233))</f>
        <v/>
      </c>
      <c r="U1233" s="32">
        <f>IF($C1233="","",$C1233&amp;"|"&amp;COUNTIFS($C$6:$C1233,$C1233))</f>
        <v/>
      </c>
      <c r="V1233" s="32">
        <f>IF(OR($C1233="",$A1233="",$S1233=""),"",$C1233&amp;"|"&amp;$A1233&amp;"|"&amp;$S1233)</f>
        <v/>
      </c>
      <c r="W1233" s="32">
        <f>IF(OR($C1233="",$S1233="",$S1233=1),"",IFERROR(INDEX($Q$6:$Q$1505,MATCH($C1233&amp;"|"&amp;$A1233&amp;"|"&amp;($S1233-1),$V$6:$V$1505,0)),""))</f>
        <v/>
      </c>
      <c r="X1233" s="32">
        <f>IF(OR($W1233="",$Q1233="",LEFT($Q1233,1)="—"),"",IF($W1233=$Q1233,"ללא שינוי","מ-"&amp;$W1233&amp;" ל-"&amp;$Q1233))</f>
        <v/>
      </c>
    </row>
    <row r="1234">
      <c r="A1234" s="65" t="n"/>
      <c r="B1234" s="65" t="n"/>
      <c r="C1234" s="66" t="n"/>
      <c r="D1234" s="66" t="n"/>
      <c r="E1234" s="65" t="n"/>
      <c r="F1234" s="65" t="n"/>
      <c r="G1234" s="65" t="n"/>
      <c r="H1234" s="65" t="n"/>
      <c r="I1234" s="65" t="n"/>
      <c r="J1234" s="65" t="n"/>
      <c r="K1234" s="65" t="n"/>
      <c r="L1234" s="65" t="n"/>
      <c r="M1234" s="65" t="n"/>
      <c r="N1234" s="65" t="n"/>
      <c r="O1234" s="65" t="n"/>
      <c r="P1234" s="65" t="n"/>
      <c r="Q1234" s="32">
        <f>IF($C1234="","",IF($J1234="","— חסרים נתונים",IF($J1234="טרם מפענח","פרופיל 5",IF($J1234="קמץ/פתח/חטף-פתח ושוואים","פרופיל 4",IF($J1234="2-3 סימני ניקוד","פרופיל 3",IF($J1234="4-5 סימני ניקוד","פרופיל 2",IF(AND($O1234="משפטים וקטעים קצרים",OR($M1234="מבין",$M1234="מבין לרוב")),"פרופיל 1","פרופיל 2")))))))</f>
        <v/>
      </c>
      <c r="R1234" s="32">
        <f>IF($C1234="","",IF(OR($Q1234="",LEFT($Q1234,1)="—"),"קבוצה רביעית",IF($Q1234="פרופיל 5","קבוצת תשתיות",IF(OR($Q1234="פרופיל 4",$Q1234="פרופיל 3"),"קבוצת רכישה","קבוצת ביסוס"))))</f>
        <v/>
      </c>
      <c r="S1234" s="32">
        <f>IF($F1234="","",IF($F1234="תחילת שנה",1,IF($F1234="מחצית שנה",2,3)))</f>
        <v/>
      </c>
      <c r="T1234" s="32">
        <f>IF(OR($B1234="",$R1234="",$A1234="",$F1234=""),"",$B1234&amp;"|"&amp;$A1234&amp;"|"&amp;$F1234&amp;"|"&amp;$R1234&amp;"|"&amp;COUNTIFS($B$6:$B1234,$B1234,$A$6:$A1234,$A1234,$F$6:$F1234,$F1234,$R$6:$R1234,$R1234))</f>
        <v/>
      </c>
      <c r="U1234" s="32">
        <f>IF($C1234="","",$C1234&amp;"|"&amp;COUNTIFS($C$6:$C1234,$C1234))</f>
        <v/>
      </c>
      <c r="V1234" s="32">
        <f>IF(OR($C1234="",$A1234="",$S1234=""),"",$C1234&amp;"|"&amp;$A1234&amp;"|"&amp;$S1234)</f>
        <v/>
      </c>
      <c r="W1234" s="32">
        <f>IF(OR($C1234="",$S1234="",$S1234=1),"",IFERROR(INDEX($Q$6:$Q$1505,MATCH($C1234&amp;"|"&amp;$A1234&amp;"|"&amp;($S1234-1),$V$6:$V$1505,0)),""))</f>
        <v/>
      </c>
      <c r="X1234" s="32">
        <f>IF(OR($W1234="",$Q1234="",LEFT($Q1234,1)="—"),"",IF($W1234=$Q1234,"ללא שינוי","מ-"&amp;$W1234&amp;" ל-"&amp;$Q1234))</f>
        <v/>
      </c>
    </row>
    <row r="1235">
      <c r="A1235" s="65" t="n"/>
      <c r="B1235" s="65" t="n"/>
      <c r="C1235" s="66" t="n"/>
      <c r="D1235" s="66" t="n"/>
      <c r="E1235" s="65" t="n"/>
      <c r="F1235" s="65" t="n"/>
      <c r="G1235" s="65" t="n"/>
      <c r="H1235" s="65" t="n"/>
      <c r="I1235" s="65" t="n"/>
      <c r="J1235" s="65" t="n"/>
      <c r="K1235" s="65" t="n"/>
      <c r="L1235" s="65" t="n"/>
      <c r="M1235" s="65" t="n"/>
      <c r="N1235" s="65" t="n"/>
      <c r="O1235" s="65" t="n"/>
      <c r="P1235" s="65" t="n"/>
      <c r="Q1235" s="32">
        <f>IF($C1235="","",IF($J1235="","— חסרים נתונים",IF($J1235="טרם מפענח","פרופיל 5",IF($J1235="קמץ/פתח/חטף-פתח ושוואים","פרופיל 4",IF($J1235="2-3 סימני ניקוד","פרופיל 3",IF($J1235="4-5 סימני ניקוד","פרופיל 2",IF(AND($O1235="משפטים וקטעים קצרים",OR($M1235="מבין",$M1235="מבין לרוב")),"פרופיל 1","פרופיל 2")))))))</f>
        <v/>
      </c>
      <c r="R1235" s="32">
        <f>IF($C1235="","",IF(OR($Q1235="",LEFT($Q1235,1)="—"),"קבוצה רביעית",IF($Q1235="פרופיל 5","קבוצת תשתיות",IF(OR($Q1235="פרופיל 4",$Q1235="פרופיל 3"),"קבוצת רכישה","קבוצת ביסוס"))))</f>
        <v/>
      </c>
      <c r="S1235" s="32">
        <f>IF($F1235="","",IF($F1235="תחילת שנה",1,IF($F1235="מחצית שנה",2,3)))</f>
        <v/>
      </c>
      <c r="T1235" s="32">
        <f>IF(OR($B1235="",$R1235="",$A1235="",$F1235=""),"",$B1235&amp;"|"&amp;$A1235&amp;"|"&amp;$F1235&amp;"|"&amp;$R1235&amp;"|"&amp;COUNTIFS($B$6:$B1235,$B1235,$A$6:$A1235,$A1235,$F$6:$F1235,$F1235,$R$6:$R1235,$R1235))</f>
        <v/>
      </c>
      <c r="U1235" s="32">
        <f>IF($C1235="","",$C1235&amp;"|"&amp;COUNTIFS($C$6:$C1235,$C1235))</f>
        <v/>
      </c>
      <c r="V1235" s="32">
        <f>IF(OR($C1235="",$A1235="",$S1235=""),"",$C1235&amp;"|"&amp;$A1235&amp;"|"&amp;$S1235)</f>
        <v/>
      </c>
      <c r="W1235" s="32">
        <f>IF(OR($C1235="",$S1235="",$S1235=1),"",IFERROR(INDEX($Q$6:$Q$1505,MATCH($C1235&amp;"|"&amp;$A1235&amp;"|"&amp;($S1235-1),$V$6:$V$1505,0)),""))</f>
        <v/>
      </c>
      <c r="X1235" s="32">
        <f>IF(OR($W1235="",$Q1235="",LEFT($Q1235,1)="—"),"",IF($W1235=$Q1235,"ללא שינוי","מ-"&amp;$W1235&amp;" ל-"&amp;$Q1235))</f>
        <v/>
      </c>
    </row>
    <row r="1236">
      <c r="A1236" s="65" t="n"/>
      <c r="B1236" s="65" t="n"/>
      <c r="C1236" s="66" t="n"/>
      <c r="D1236" s="66" t="n"/>
      <c r="E1236" s="65" t="n"/>
      <c r="F1236" s="65" t="n"/>
      <c r="G1236" s="65" t="n"/>
      <c r="H1236" s="65" t="n"/>
      <c r="I1236" s="65" t="n"/>
      <c r="J1236" s="65" t="n"/>
      <c r="K1236" s="65" t="n"/>
      <c r="L1236" s="65" t="n"/>
      <c r="M1236" s="65" t="n"/>
      <c r="N1236" s="65" t="n"/>
      <c r="O1236" s="65" t="n"/>
      <c r="P1236" s="65" t="n"/>
      <c r="Q1236" s="32">
        <f>IF($C1236="","",IF($J1236="","— חסרים נתונים",IF($J1236="טרם מפענח","פרופיל 5",IF($J1236="קמץ/פתח/חטף-פתח ושוואים","פרופיל 4",IF($J1236="2-3 סימני ניקוד","פרופיל 3",IF($J1236="4-5 סימני ניקוד","פרופיל 2",IF(AND($O1236="משפטים וקטעים קצרים",OR($M1236="מבין",$M1236="מבין לרוב")),"פרופיל 1","פרופיל 2")))))))</f>
        <v/>
      </c>
      <c r="R1236" s="32">
        <f>IF($C1236="","",IF(OR($Q1236="",LEFT($Q1236,1)="—"),"קבוצה רביעית",IF($Q1236="פרופיל 5","קבוצת תשתיות",IF(OR($Q1236="פרופיל 4",$Q1236="פרופיל 3"),"קבוצת רכישה","קבוצת ביסוס"))))</f>
        <v/>
      </c>
      <c r="S1236" s="32">
        <f>IF($F1236="","",IF($F1236="תחילת שנה",1,IF($F1236="מחצית שנה",2,3)))</f>
        <v/>
      </c>
      <c r="T1236" s="32">
        <f>IF(OR($B1236="",$R1236="",$A1236="",$F1236=""),"",$B1236&amp;"|"&amp;$A1236&amp;"|"&amp;$F1236&amp;"|"&amp;$R1236&amp;"|"&amp;COUNTIFS($B$6:$B1236,$B1236,$A$6:$A1236,$A1236,$F$6:$F1236,$F1236,$R$6:$R1236,$R1236))</f>
        <v/>
      </c>
      <c r="U1236" s="32">
        <f>IF($C1236="","",$C1236&amp;"|"&amp;COUNTIFS($C$6:$C1236,$C1236))</f>
        <v/>
      </c>
      <c r="V1236" s="32">
        <f>IF(OR($C1236="",$A1236="",$S1236=""),"",$C1236&amp;"|"&amp;$A1236&amp;"|"&amp;$S1236)</f>
        <v/>
      </c>
      <c r="W1236" s="32">
        <f>IF(OR($C1236="",$S1236="",$S1236=1),"",IFERROR(INDEX($Q$6:$Q$1505,MATCH($C1236&amp;"|"&amp;$A1236&amp;"|"&amp;($S1236-1),$V$6:$V$1505,0)),""))</f>
        <v/>
      </c>
      <c r="X1236" s="32">
        <f>IF(OR($W1236="",$Q1236="",LEFT($Q1236,1)="—"),"",IF($W1236=$Q1236,"ללא שינוי","מ-"&amp;$W1236&amp;" ל-"&amp;$Q1236))</f>
        <v/>
      </c>
    </row>
    <row r="1237">
      <c r="A1237" s="65" t="n"/>
      <c r="B1237" s="65" t="n"/>
      <c r="C1237" s="66" t="n"/>
      <c r="D1237" s="66" t="n"/>
      <c r="E1237" s="65" t="n"/>
      <c r="F1237" s="65" t="n"/>
      <c r="G1237" s="65" t="n"/>
      <c r="H1237" s="65" t="n"/>
      <c r="I1237" s="65" t="n"/>
      <c r="J1237" s="65" t="n"/>
      <c r="K1237" s="65" t="n"/>
      <c r="L1237" s="65" t="n"/>
      <c r="M1237" s="65" t="n"/>
      <c r="N1237" s="65" t="n"/>
      <c r="O1237" s="65" t="n"/>
      <c r="P1237" s="65" t="n"/>
      <c r="Q1237" s="32">
        <f>IF($C1237="","",IF($J1237="","— חסרים נתונים",IF($J1237="טרם מפענח","פרופיל 5",IF($J1237="קמץ/פתח/חטף-פתח ושוואים","פרופיל 4",IF($J1237="2-3 סימני ניקוד","פרופיל 3",IF($J1237="4-5 סימני ניקוד","פרופיל 2",IF(AND($O1237="משפטים וקטעים קצרים",OR($M1237="מבין",$M1237="מבין לרוב")),"פרופיל 1","פרופיל 2")))))))</f>
        <v/>
      </c>
      <c r="R1237" s="32">
        <f>IF($C1237="","",IF(OR($Q1237="",LEFT($Q1237,1)="—"),"קבוצה רביעית",IF($Q1237="פרופיל 5","קבוצת תשתיות",IF(OR($Q1237="פרופיל 4",$Q1237="פרופיל 3"),"קבוצת רכישה","קבוצת ביסוס"))))</f>
        <v/>
      </c>
      <c r="S1237" s="32">
        <f>IF($F1237="","",IF($F1237="תחילת שנה",1,IF($F1237="מחצית שנה",2,3)))</f>
        <v/>
      </c>
      <c r="T1237" s="32">
        <f>IF(OR($B1237="",$R1237="",$A1237="",$F1237=""),"",$B1237&amp;"|"&amp;$A1237&amp;"|"&amp;$F1237&amp;"|"&amp;$R1237&amp;"|"&amp;COUNTIFS($B$6:$B1237,$B1237,$A$6:$A1237,$A1237,$F$6:$F1237,$F1237,$R$6:$R1237,$R1237))</f>
        <v/>
      </c>
      <c r="U1237" s="32">
        <f>IF($C1237="","",$C1237&amp;"|"&amp;COUNTIFS($C$6:$C1237,$C1237))</f>
        <v/>
      </c>
      <c r="V1237" s="32">
        <f>IF(OR($C1237="",$A1237="",$S1237=""),"",$C1237&amp;"|"&amp;$A1237&amp;"|"&amp;$S1237)</f>
        <v/>
      </c>
      <c r="W1237" s="32">
        <f>IF(OR($C1237="",$S1237="",$S1237=1),"",IFERROR(INDEX($Q$6:$Q$1505,MATCH($C1237&amp;"|"&amp;$A1237&amp;"|"&amp;($S1237-1),$V$6:$V$1505,0)),""))</f>
        <v/>
      </c>
      <c r="X1237" s="32">
        <f>IF(OR($W1237="",$Q1237="",LEFT($Q1237,1)="—"),"",IF($W1237=$Q1237,"ללא שינוי","מ-"&amp;$W1237&amp;" ל-"&amp;$Q1237))</f>
        <v/>
      </c>
    </row>
    <row r="1238">
      <c r="A1238" s="65" t="n"/>
      <c r="B1238" s="65" t="n"/>
      <c r="C1238" s="66" t="n"/>
      <c r="D1238" s="66" t="n"/>
      <c r="E1238" s="65" t="n"/>
      <c r="F1238" s="65" t="n"/>
      <c r="G1238" s="65" t="n"/>
      <c r="H1238" s="65" t="n"/>
      <c r="I1238" s="65" t="n"/>
      <c r="J1238" s="65" t="n"/>
      <c r="K1238" s="65" t="n"/>
      <c r="L1238" s="65" t="n"/>
      <c r="M1238" s="65" t="n"/>
      <c r="N1238" s="65" t="n"/>
      <c r="O1238" s="65" t="n"/>
      <c r="P1238" s="65" t="n"/>
      <c r="Q1238" s="32">
        <f>IF($C1238="","",IF($J1238="","— חסרים נתונים",IF($J1238="טרם מפענח","פרופיל 5",IF($J1238="קמץ/פתח/חטף-פתח ושוואים","פרופיל 4",IF($J1238="2-3 סימני ניקוד","פרופיל 3",IF($J1238="4-5 סימני ניקוד","פרופיל 2",IF(AND($O1238="משפטים וקטעים קצרים",OR($M1238="מבין",$M1238="מבין לרוב")),"פרופיל 1","פרופיל 2")))))))</f>
        <v/>
      </c>
      <c r="R1238" s="32">
        <f>IF($C1238="","",IF(OR($Q1238="",LEFT($Q1238,1)="—"),"קבוצה רביעית",IF($Q1238="פרופיל 5","קבוצת תשתיות",IF(OR($Q1238="פרופיל 4",$Q1238="פרופיל 3"),"קבוצת רכישה","קבוצת ביסוס"))))</f>
        <v/>
      </c>
      <c r="S1238" s="32">
        <f>IF($F1238="","",IF($F1238="תחילת שנה",1,IF($F1238="מחצית שנה",2,3)))</f>
        <v/>
      </c>
      <c r="T1238" s="32">
        <f>IF(OR($B1238="",$R1238="",$A1238="",$F1238=""),"",$B1238&amp;"|"&amp;$A1238&amp;"|"&amp;$F1238&amp;"|"&amp;$R1238&amp;"|"&amp;COUNTIFS($B$6:$B1238,$B1238,$A$6:$A1238,$A1238,$F$6:$F1238,$F1238,$R$6:$R1238,$R1238))</f>
        <v/>
      </c>
      <c r="U1238" s="32">
        <f>IF($C1238="","",$C1238&amp;"|"&amp;COUNTIFS($C$6:$C1238,$C1238))</f>
        <v/>
      </c>
      <c r="V1238" s="32">
        <f>IF(OR($C1238="",$A1238="",$S1238=""),"",$C1238&amp;"|"&amp;$A1238&amp;"|"&amp;$S1238)</f>
        <v/>
      </c>
      <c r="W1238" s="32">
        <f>IF(OR($C1238="",$S1238="",$S1238=1),"",IFERROR(INDEX($Q$6:$Q$1505,MATCH($C1238&amp;"|"&amp;$A1238&amp;"|"&amp;($S1238-1),$V$6:$V$1505,0)),""))</f>
        <v/>
      </c>
      <c r="X1238" s="32">
        <f>IF(OR($W1238="",$Q1238="",LEFT($Q1238,1)="—"),"",IF($W1238=$Q1238,"ללא שינוי","מ-"&amp;$W1238&amp;" ל-"&amp;$Q1238))</f>
        <v/>
      </c>
    </row>
    <row r="1239">
      <c r="A1239" s="65" t="n"/>
      <c r="B1239" s="65" t="n"/>
      <c r="C1239" s="66" t="n"/>
      <c r="D1239" s="66" t="n"/>
      <c r="E1239" s="65" t="n"/>
      <c r="F1239" s="65" t="n"/>
      <c r="G1239" s="65" t="n"/>
      <c r="H1239" s="65" t="n"/>
      <c r="I1239" s="65" t="n"/>
      <c r="J1239" s="65" t="n"/>
      <c r="K1239" s="65" t="n"/>
      <c r="L1239" s="65" t="n"/>
      <c r="M1239" s="65" t="n"/>
      <c r="N1239" s="65" t="n"/>
      <c r="O1239" s="65" t="n"/>
      <c r="P1239" s="65" t="n"/>
      <c r="Q1239" s="32">
        <f>IF($C1239="","",IF($J1239="","— חסרים נתונים",IF($J1239="טרם מפענח","פרופיל 5",IF($J1239="קמץ/פתח/חטף-פתח ושוואים","פרופיל 4",IF($J1239="2-3 סימני ניקוד","פרופיל 3",IF($J1239="4-5 סימני ניקוד","פרופיל 2",IF(AND($O1239="משפטים וקטעים קצרים",OR($M1239="מבין",$M1239="מבין לרוב")),"פרופיל 1","פרופיל 2")))))))</f>
        <v/>
      </c>
      <c r="R1239" s="32">
        <f>IF($C1239="","",IF(OR($Q1239="",LEFT($Q1239,1)="—"),"קבוצה רביעית",IF($Q1239="פרופיל 5","קבוצת תשתיות",IF(OR($Q1239="פרופיל 4",$Q1239="פרופיל 3"),"קבוצת רכישה","קבוצת ביסוס"))))</f>
        <v/>
      </c>
      <c r="S1239" s="32">
        <f>IF($F1239="","",IF($F1239="תחילת שנה",1,IF($F1239="מחצית שנה",2,3)))</f>
        <v/>
      </c>
      <c r="T1239" s="32">
        <f>IF(OR($B1239="",$R1239="",$A1239="",$F1239=""),"",$B1239&amp;"|"&amp;$A1239&amp;"|"&amp;$F1239&amp;"|"&amp;$R1239&amp;"|"&amp;COUNTIFS($B$6:$B1239,$B1239,$A$6:$A1239,$A1239,$F$6:$F1239,$F1239,$R$6:$R1239,$R1239))</f>
        <v/>
      </c>
      <c r="U1239" s="32">
        <f>IF($C1239="","",$C1239&amp;"|"&amp;COUNTIFS($C$6:$C1239,$C1239))</f>
        <v/>
      </c>
      <c r="V1239" s="32">
        <f>IF(OR($C1239="",$A1239="",$S1239=""),"",$C1239&amp;"|"&amp;$A1239&amp;"|"&amp;$S1239)</f>
        <v/>
      </c>
      <c r="W1239" s="32">
        <f>IF(OR($C1239="",$S1239="",$S1239=1),"",IFERROR(INDEX($Q$6:$Q$1505,MATCH($C1239&amp;"|"&amp;$A1239&amp;"|"&amp;($S1239-1),$V$6:$V$1505,0)),""))</f>
        <v/>
      </c>
      <c r="X1239" s="32">
        <f>IF(OR($W1239="",$Q1239="",LEFT($Q1239,1)="—"),"",IF($W1239=$Q1239,"ללא שינוי","מ-"&amp;$W1239&amp;" ל-"&amp;$Q1239))</f>
        <v/>
      </c>
    </row>
    <row r="1240">
      <c r="A1240" s="65" t="n"/>
      <c r="B1240" s="65" t="n"/>
      <c r="C1240" s="66" t="n"/>
      <c r="D1240" s="66" t="n"/>
      <c r="E1240" s="65" t="n"/>
      <c r="F1240" s="65" t="n"/>
      <c r="G1240" s="65" t="n"/>
      <c r="H1240" s="65" t="n"/>
      <c r="I1240" s="65" t="n"/>
      <c r="J1240" s="65" t="n"/>
      <c r="K1240" s="65" t="n"/>
      <c r="L1240" s="65" t="n"/>
      <c r="M1240" s="65" t="n"/>
      <c r="N1240" s="65" t="n"/>
      <c r="O1240" s="65" t="n"/>
      <c r="P1240" s="65" t="n"/>
      <c r="Q1240" s="32">
        <f>IF($C1240="","",IF($J1240="","— חסרים נתונים",IF($J1240="טרם מפענח","פרופיל 5",IF($J1240="קמץ/פתח/חטף-פתח ושוואים","פרופיל 4",IF($J1240="2-3 סימני ניקוד","פרופיל 3",IF($J1240="4-5 סימני ניקוד","פרופיל 2",IF(AND($O1240="משפטים וקטעים קצרים",OR($M1240="מבין",$M1240="מבין לרוב")),"פרופיל 1","פרופיל 2")))))))</f>
        <v/>
      </c>
      <c r="R1240" s="32">
        <f>IF($C1240="","",IF(OR($Q1240="",LEFT($Q1240,1)="—"),"קבוצה רביעית",IF($Q1240="פרופיל 5","קבוצת תשתיות",IF(OR($Q1240="פרופיל 4",$Q1240="פרופיל 3"),"קבוצת רכישה","קבוצת ביסוס"))))</f>
        <v/>
      </c>
      <c r="S1240" s="32">
        <f>IF($F1240="","",IF($F1240="תחילת שנה",1,IF($F1240="מחצית שנה",2,3)))</f>
        <v/>
      </c>
      <c r="T1240" s="32">
        <f>IF(OR($B1240="",$R1240="",$A1240="",$F1240=""),"",$B1240&amp;"|"&amp;$A1240&amp;"|"&amp;$F1240&amp;"|"&amp;$R1240&amp;"|"&amp;COUNTIFS($B$6:$B1240,$B1240,$A$6:$A1240,$A1240,$F$6:$F1240,$F1240,$R$6:$R1240,$R1240))</f>
        <v/>
      </c>
      <c r="U1240" s="32">
        <f>IF($C1240="","",$C1240&amp;"|"&amp;COUNTIFS($C$6:$C1240,$C1240))</f>
        <v/>
      </c>
      <c r="V1240" s="32">
        <f>IF(OR($C1240="",$A1240="",$S1240=""),"",$C1240&amp;"|"&amp;$A1240&amp;"|"&amp;$S1240)</f>
        <v/>
      </c>
      <c r="W1240" s="32">
        <f>IF(OR($C1240="",$S1240="",$S1240=1),"",IFERROR(INDEX($Q$6:$Q$1505,MATCH($C1240&amp;"|"&amp;$A1240&amp;"|"&amp;($S1240-1),$V$6:$V$1505,0)),""))</f>
        <v/>
      </c>
      <c r="X1240" s="32">
        <f>IF(OR($W1240="",$Q1240="",LEFT($Q1240,1)="—"),"",IF($W1240=$Q1240,"ללא שינוי","מ-"&amp;$W1240&amp;" ל-"&amp;$Q1240))</f>
        <v/>
      </c>
    </row>
    <row r="1241">
      <c r="A1241" s="65" t="n"/>
      <c r="B1241" s="65" t="n"/>
      <c r="C1241" s="66" t="n"/>
      <c r="D1241" s="66" t="n"/>
      <c r="E1241" s="65" t="n"/>
      <c r="F1241" s="65" t="n"/>
      <c r="G1241" s="65" t="n"/>
      <c r="H1241" s="65" t="n"/>
      <c r="I1241" s="65" t="n"/>
      <c r="J1241" s="65" t="n"/>
      <c r="K1241" s="65" t="n"/>
      <c r="L1241" s="65" t="n"/>
      <c r="M1241" s="65" t="n"/>
      <c r="N1241" s="65" t="n"/>
      <c r="O1241" s="65" t="n"/>
      <c r="P1241" s="65" t="n"/>
      <c r="Q1241" s="32">
        <f>IF($C1241="","",IF($J1241="","— חסרים נתונים",IF($J1241="טרם מפענח","פרופיל 5",IF($J1241="קמץ/פתח/חטף-פתח ושוואים","פרופיל 4",IF($J1241="2-3 סימני ניקוד","פרופיל 3",IF($J1241="4-5 סימני ניקוד","פרופיל 2",IF(AND($O1241="משפטים וקטעים קצרים",OR($M1241="מבין",$M1241="מבין לרוב")),"פרופיל 1","פרופיל 2")))))))</f>
        <v/>
      </c>
      <c r="R1241" s="32">
        <f>IF($C1241="","",IF(OR($Q1241="",LEFT($Q1241,1)="—"),"קבוצה רביעית",IF($Q1241="פרופיל 5","קבוצת תשתיות",IF(OR($Q1241="פרופיל 4",$Q1241="פרופיל 3"),"קבוצת רכישה","קבוצת ביסוס"))))</f>
        <v/>
      </c>
      <c r="S1241" s="32">
        <f>IF($F1241="","",IF($F1241="תחילת שנה",1,IF($F1241="מחצית שנה",2,3)))</f>
        <v/>
      </c>
      <c r="T1241" s="32">
        <f>IF(OR($B1241="",$R1241="",$A1241="",$F1241=""),"",$B1241&amp;"|"&amp;$A1241&amp;"|"&amp;$F1241&amp;"|"&amp;$R1241&amp;"|"&amp;COUNTIFS($B$6:$B1241,$B1241,$A$6:$A1241,$A1241,$F$6:$F1241,$F1241,$R$6:$R1241,$R1241))</f>
        <v/>
      </c>
      <c r="U1241" s="32">
        <f>IF($C1241="","",$C1241&amp;"|"&amp;COUNTIFS($C$6:$C1241,$C1241))</f>
        <v/>
      </c>
      <c r="V1241" s="32">
        <f>IF(OR($C1241="",$A1241="",$S1241=""),"",$C1241&amp;"|"&amp;$A1241&amp;"|"&amp;$S1241)</f>
        <v/>
      </c>
      <c r="W1241" s="32">
        <f>IF(OR($C1241="",$S1241="",$S1241=1),"",IFERROR(INDEX($Q$6:$Q$1505,MATCH($C1241&amp;"|"&amp;$A1241&amp;"|"&amp;($S1241-1),$V$6:$V$1505,0)),""))</f>
        <v/>
      </c>
      <c r="X1241" s="32">
        <f>IF(OR($W1241="",$Q1241="",LEFT($Q1241,1)="—"),"",IF($W1241=$Q1241,"ללא שינוי","מ-"&amp;$W1241&amp;" ל-"&amp;$Q1241))</f>
        <v/>
      </c>
    </row>
    <row r="1242">
      <c r="A1242" s="65" t="n"/>
      <c r="B1242" s="65" t="n"/>
      <c r="C1242" s="66" t="n"/>
      <c r="D1242" s="66" t="n"/>
      <c r="E1242" s="65" t="n"/>
      <c r="F1242" s="65" t="n"/>
      <c r="G1242" s="65" t="n"/>
      <c r="H1242" s="65" t="n"/>
      <c r="I1242" s="65" t="n"/>
      <c r="J1242" s="65" t="n"/>
      <c r="K1242" s="65" t="n"/>
      <c r="L1242" s="65" t="n"/>
      <c r="M1242" s="65" t="n"/>
      <c r="N1242" s="65" t="n"/>
      <c r="O1242" s="65" t="n"/>
      <c r="P1242" s="65" t="n"/>
      <c r="Q1242" s="32">
        <f>IF($C1242="","",IF($J1242="","— חסרים נתונים",IF($J1242="טרם מפענח","פרופיל 5",IF($J1242="קמץ/פתח/חטף-פתח ושוואים","פרופיל 4",IF($J1242="2-3 סימני ניקוד","פרופיל 3",IF($J1242="4-5 סימני ניקוד","פרופיל 2",IF(AND($O1242="משפטים וקטעים קצרים",OR($M1242="מבין",$M1242="מבין לרוב")),"פרופיל 1","פרופיל 2")))))))</f>
        <v/>
      </c>
      <c r="R1242" s="32">
        <f>IF($C1242="","",IF(OR($Q1242="",LEFT($Q1242,1)="—"),"קבוצה רביעית",IF($Q1242="פרופיל 5","קבוצת תשתיות",IF(OR($Q1242="פרופיל 4",$Q1242="פרופיל 3"),"קבוצת רכישה","קבוצת ביסוס"))))</f>
        <v/>
      </c>
      <c r="S1242" s="32">
        <f>IF($F1242="","",IF($F1242="תחילת שנה",1,IF($F1242="מחצית שנה",2,3)))</f>
        <v/>
      </c>
      <c r="T1242" s="32">
        <f>IF(OR($B1242="",$R1242="",$A1242="",$F1242=""),"",$B1242&amp;"|"&amp;$A1242&amp;"|"&amp;$F1242&amp;"|"&amp;$R1242&amp;"|"&amp;COUNTIFS($B$6:$B1242,$B1242,$A$6:$A1242,$A1242,$F$6:$F1242,$F1242,$R$6:$R1242,$R1242))</f>
        <v/>
      </c>
      <c r="U1242" s="32">
        <f>IF($C1242="","",$C1242&amp;"|"&amp;COUNTIFS($C$6:$C1242,$C1242))</f>
        <v/>
      </c>
      <c r="V1242" s="32">
        <f>IF(OR($C1242="",$A1242="",$S1242=""),"",$C1242&amp;"|"&amp;$A1242&amp;"|"&amp;$S1242)</f>
        <v/>
      </c>
      <c r="W1242" s="32">
        <f>IF(OR($C1242="",$S1242="",$S1242=1),"",IFERROR(INDEX($Q$6:$Q$1505,MATCH($C1242&amp;"|"&amp;$A1242&amp;"|"&amp;($S1242-1),$V$6:$V$1505,0)),""))</f>
        <v/>
      </c>
      <c r="X1242" s="32">
        <f>IF(OR($W1242="",$Q1242="",LEFT($Q1242,1)="—"),"",IF($W1242=$Q1242,"ללא שינוי","מ-"&amp;$W1242&amp;" ל-"&amp;$Q1242))</f>
        <v/>
      </c>
    </row>
    <row r="1243">
      <c r="A1243" s="65" t="n"/>
      <c r="B1243" s="65" t="n"/>
      <c r="C1243" s="66" t="n"/>
      <c r="D1243" s="66" t="n"/>
      <c r="E1243" s="65" t="n"/>
      <c r="F1243" s="65" t="n"/>
      <c r="G1243" s="65" t="n"/>
      <c r="H1243" s="65" t="n"/>
      <c r="I1243" s="65" t="n"/>
      <c r="J1243" s="65" t="n"/>
      <c r="K1243" s="65" t="n"/>
      <c r="L1243" s="65" t="n"/>
      <c r="M1243" s="65" t="n"/>
      <c r="N1243" s="65" t="n"/>
      <c r="O1243" s="65" t="n"/>
      <c r="P1243" s="65" t="n"/>
      <c r="Q1243" s="32">
        <f>IF($C1243="","",IF($J1243="","— חסרים נתונים",IF($J1243="טרם מפענח","פרופיל 5",IF($J1243="קמץ/פתח/חטף-פתח ושוואים","פרופיל 4",IF($J1243="2-3 סימני ניקוד","פרופיל 3",IF($J1243="4-5 סימני ניקוד","פרופיל 2",IF(AND($O1243="משפטים וקטעים קצרים",OR($M1243="מבין",$M1243="מבין לרוב")),"פרופיל 1","פרופיל 2")))))))</f>
        <v/>
      </c>
      <c r="R1243" s="32">
        <f>IF($C1243="","",IF(OR($Q1243="",LEFT($Q1243,1)="—"),"קבוצה רביעית",IF($Q1243="פרופיל 5","קבוצת תשתיות",IF(OR($Q1243="פרופיל 4",$Q1243="פרופיל 3"),"קבוצת רכישה","קבוצת ביסוס"))))</f>
        <v/>
      </c>
      <c r="S1243" s="32">
        <f>IF($F1243="","",IF($F1243="תחילת שנה",1,IF($F1243="מחצית שנה",2,3)))</f>
        <v/>
      </c>
      <c r="T1243" s="32">
        <f>IF(OR($B1243="",$R1243="",$A1243="",$F1243=""),"",$B1243&amp;"|"&amp;$A1243&amp;"|"&amp;$F1243&amp;"|"&amp;$R1243&amp;"|"&amp;COUNTIFS($B$6:$B1243,$B1243,$A$6:$A1243,$A1243,$F$6:$F1243,$F1243,$R$6:$R1243,$R1243))</f>
        <v/>
      </c>
      <c r="U1243" s="32">
        <f>IF($C1243="","",$C1243&amp;"|"&amp;COUNTIFS($C$6:$C1243,$C1243))</f>
        <v/>
      </c>
      <c r="V1243" s="32">
        <f>IF(OR($C1243="",$A1243="",$S1243=""),"",$C1243&amp;"|"&amp;$A1243&amp;"|"&amp;$S1243)</f>
        <v/>
      </c>
      <c r="W1243" s="32">
        <f>IF(OR($C1243="",$S1243="",$S1243=1),"",IFERROR(INDEX($Q$6:$Q$1505,MATCH($C1243&amp;"|"&amp;$A1243&amp;"|"&amp;($S1243-1),$V$6:$V$1505,0)),""))</f>
        <v/>
      </c>
      <c r="X1243" s="32">
        <f>IF(OR($W1243="",$Q1243="",LEFT($Q1243,1)="—"),"",IF($W1243=$Q1243,"ללא שינוי","מ-"&amp;$W1243&amp;" ל-"&amp;$Q1243))</f>
        <v/>
      </c>
    </row>
    <row r="1244">
      <c r="A1244" s="65" t="n"/>
      <c r="B1244" s="65" t="n"/>
      <c r="C1244" s="66" t="n"/>
      <c r="D1244" s="66" t="n"/>
      <c r="E1244" s="65" t="n"/>
      <c r="F1244" s="65" t="n"/>
      <c r="G1244" s="65" t="n"/>
      <c r="H1244" s="65" t="n"/>
      <c r="I1244" s="65" t="n"/>
      <c r="J1244" s="65" t="n"/>
      <c r="K1244" s="65" t="n"/>
      <c r="L1244" s="65" t="n"/>
      <c r="M1244" s="65" t="n"/>
      <c r="N1244" s="65" t="n"/>
      <c r="O1244" s="65" t="n"/>
      <c r="P1244" s="65" t="n"/>
      <c r="Q1244" s="32">
        <f>IF($C1244="","",IF($J1244="","— חסרים נתונים",IF($J1244="טרם מפענח","פרופיל 5",IF($J1244="קמץ/פתח/חטף-פתח ושוואים","פרופיל 4",IF($J1244="2-3 סימני ניקוד","פרופיל 3",IF($J1244="4-5 סימני ניקוד","פרופיל 2",IF(AND($O1244="משפטים וקטעים קצרים",OR($M1244="מבין",$M1244="מבין לרוב")),"פרופיל 1","פרופיל 2")))))))</f>
        <v/>
      </c>
      <c r="R1244" s="32">
        <f>IF($C1244="","",IF(OR($Q1244="",LEFT($Q1244,1)="—"),"קבוצה רביעית",IF($Q1244="פרופיל 5","קבוצת תשתיות",IF(OR($Q1244="פרופיל 4",$Q1244="פרופיל 3"),"קבוצת רכישה","קבוצת ביסוס"))))</f>
        <v/>
      </c>
      <c r="S1244" s="32">
        <f>IF($F1244="","",IF($F1244="תחילת שנה",1,IF($F1244="מחצית שנה",2,3)))</f>
        <v/>
      </c>
      <c r="T1244" s="32">
        <f>IF(OR($B1244="",$R1244="",$A1244="",$F1244=""),"",$B1244&amp;"|"&amp;$A1244&amp;"|"&amp;$F1244&amp;"|"&amp;$R1244&amp;"|"&amp;COUNTIFS($B$6:$B1244,$B1244,$A$6:$A1244,$A1244,$F$6:$F1244,$F1244,$R$6:$R1244,$R1244))</f>
        <v/>
      </c>
      <c r="U1244" s="32">
        <f>IF($C1244="","",$C1244&amp;"|"&amp;COUNTIFS($C$6:$C1244,$C1244))</f>
        <v/>
      </c>
      <c r="V1244" s="32">
        <f>IF(OR($C1244="",$A1244="",$S1244=""),"",$C1244&amp;"|"&amp;$A1244&amp;"|"&amp;$S1244)</f>
        <v/>
      </c>
      <c r="W1244" s="32">
        <f>IF(OR($C1244="",$S1244="",$S1244=1),"",IFERROR(INDEX($Q$6:$Q$1505,MATCH($C1244&amp;"|"&amp;$A1244&amp;"|"&amp;($S1244-1),$V$6:$V$1505,0)),""))</f>
        <v/>
      </c>
      <c r="X1244" s="32">
        <f>IF(OR($W1244="",$Q1244="",LEFT($Q1244,1)="—"),"",IF($W1244=$Q1244,"ללא שינוי","מ-"&amp;$W1244&amp;" ל-"&amp;$Q1244))</f>
        <v/>
      </c>
    </row>
    <row r="1245">
      <c r="A1245" s="65" t="n"/>
      <c r="B1245" s="65" t="n"/>
      <c r="C1245" s="66" t="n"/>
      <c r="D1245" s="66" t="n"/>
      <c r="E1245" s="65" t="n"/>
      <c r="F1245" s="65" t="n"/>
      <c r="G1245" s="65" t="n"/>
      <c r="H1245" s="65" t="n"/>
      <c r="I1245" s="65" t="n"/>
      <c r="J1245" s="65" t="n"/>
      <c r="K1245" s="65" t="n"/>
      <c r="L1245" s="65" t="n"/>
      <c r="M1245" s="65" t="n"/>
      <c r="N1245" s="65" t="n"/>
      <c r="O1245" s="65" t="n"/>
      <c r="P1245" s="65" t="n"/>
      <c r="Q1245" s="32">
        <f>IF($C1245="","",IF($J1245="","— חסרים נתונים",IF($J1245="טרם מפענח","פרופיל 5",IF($J1245="קמץ/פתח/חטף-פתח ושוואים","פרופיל 4",IF($J1245="2-3 סימני ניקוד","פרופיל 3",IF($J1245="4-5 סימני ניקוד","פרופיל 2",IF(AND($O1245="משפטים וקטעים קצרים",OR($M1245="מבין",$M1245="מבין לרוב")),"פרופיל 1","פרופיל 2")))))))</f>
        <v/>
      </c>
      <c r="R1245" s="32">
        <f>IF($C1245="","",IF(OR($Q1245="",LEFT($Q1245,1)="—"),"קבוצה רביעית",IF($Q1245="פרופיל 5","קבוצת תשתיות",IF(OR($Q1245="פרופיל 4",$Q1245="פרופיל 3"),"קבוצת רכישה","קבוצת ביסוס"))))</f>
        <v/>
      </c>
      <c r="S1245" s="32">
        <f>IF($F1245="","",IF($F1245="תחילת שנה",1,IF($F1245="מחצית שנה",2,3)))</f>
        <v/>
      </c>
      <c r="T1245" s="32">
        <f>IF(OR($B1245="",$R1245="",$A1245="",$F1245=""),"",$B1245&amp;"|"&amp;$A1245&amp;"|"&amp;$F1245&amp;"|"&amp;$R1245&amp;"|"&amp;COUNTIFS($B$6:$B1245,$B1245,$A$6:$A1245,$A1245,$F$6:$F1245,$F1245,$R$6:$R1245,$R1245))</f>
        <v/>
      </c>
      <c r="U1245" s="32">
        <f>IF($C1245="","",$C1245&amp;"|"&amp;COUNTIFS($C$6:$C1245,$C1245))</f>
        <v/>
      </c>
      <c r="V1245" s="32">
        <f>IF(OR($C1245="",$A1245="",$S1245=""),"",$C1245&amp;"|"&amp;$A1245&amp;"|"&amp;$S1245)</f>
        <v/>
      </c>
      <c r="W1245" s="32">
        <f>IF(OR($C1245="",$S1245="",$S1245=1),"",IFERROR(INDEX($Q$6:$Q$1505,MATCH($C1245&amp;"|"&amp;$A1245&amp;"|"&amp;($S1245-1),$V$6:$V$1505,0)),""))</f>
        <v/>
      </c>
      <c r="X1245" s="32">
        <f>IF(OR($W1245="",$Q1245="",LEFT($Q1245,1)="—"),"",IF($W1245=$Q1245,"ללא שינוי","מ-"&amp;$W1245&amp;" ל-"&amp;$Q1245))</f>
        <v/>
      </c>
    </row>
    <row r="1246">
      <c r="A1246" s="65" t="n"/>
      <c r="B1246" s="65" t="n"/>
      <c r="C1246" s="66" t="n"/>
      <c r="D1246" s="66" t="n"/>
      <c r="E1246" s="65" t="n"/>
      <c r="F1246" s="65" t="n"/>
      <c r="G1246" s="65" t="n"/>
      <c r="H1246" s="65" t="n"/>
      <c r="I1246" s="65" t="n"/>
      <c r="J1246" s="65" t="n"/>
      <c r="K1246" s="65" t="n"/>
      <c r="L1246" s="65" t="n"/>
      <c r="M1246" s="65" t="n"/>
      <c r="N1246" s="65" t="n"/>
      <c r="O1246" s="65" t="n"/>
      <c r="P1246" s="65" t="n"/>
      <c r="Q1246" s="32">
        <f>IF($C1246="","",IF($J1246="","— חסרים נתונים",IF($J1246="טרם מפענח","פרופיל 5",IF($J1246="קמץ/פתח/חטף-פתח ושוואים","פרופיל 4",IF($J1246="2-3 סימני ניקוד","פרופיל 3",IF($J1246="4-5 סימני ניקוד","פרופיל 2",IF(AND($O1246="משפטים וקטעים קצרים",OR($M1246="מבין",$M1246="מבין לרוב")),"פרופיל 1","פרופיל 2")))))))</f>
        <v/>
      </c>
      <c r="R1246" s="32">
        <f>IF($C1246="","",IF(OR($Q1246="",LEFT($Q1246,1)="—"),"קבוצה רביעית",IF($Q1246="פרופיל 5","קבוצת תשתיות",IF(OR($Q1246="פרופיל 4",$Q1246="פרופיל 3"),"קבוצת רכישה","קבוצת ביסוס"))))</f>
        <v/>
      </c>
      <c r="S1246" s="32">
        <f>IF($F1246="","",IF($F1246="תחילת שנה",1,IF($F1246="מחצית שנה",2,3)))</f>
        <v/>
      </c>
      <c r="T1246" s="32">
        <f>IF(OR($B1246="",$R1246="",$A1246="",$F1246=""),"",$B1246&amp;"|"&amp;$A1246&amp;"|"&amp;$F1246&amp;"|"&amp;$R1246&amp;"|"&amp;COUNTIFS($B$6:$B1246,$B1246,$A$6:$A1246,$A1246,$F$6:$F1246,$F1246,$R$6:$R1246,$R1246))</f>
        <v/>
      </c>
      <c r="U1246" s="32">
        <f>IF($C1246="","",$C1246&amp;"|"&amp;COUNTIFS($C$6:$C1246,$C1246))</f>
        <v/>
      </c>
      <c r="V1246" s="32">
        <f>IF(OR($C1246="",$A1246="",$S1246=""),"",$C1246&amp;"|"&amp;$A1246&amp;"|"&amp;$S1246)</f>
        <v/>
      </c>
      <c r="W1246" s="32">
        <f>IF(OR($C1246="",$S1246="",$S1246=1),"",IFERROR(INDEX($Q$6:$Q$1505,MATCH($C1246&amp;"|"&amp;$A1246&amp;"|"&amp;($S1246-1),$V$6:$V$1505,0)),""))</f>
        <v/>
      </c>
      <c r="X1246" s="32">
        <f>IF(OR($W1246="",$Q1246="",LEFT($Q1246,1)="—"),"",IF($W1246=$Q1246,"ללא שינוי","מ-"&amp;$W1246&amp;" ל-"&amp;$Q1246))</f>
        <v/>
      </c>
    </row>
    <row r="1247">
      <c r="A1247" s="65" t="n"/>
      <c r="B1247" s="65" t="n"/>
      <c r="C1247" s="66" t="n"/>
      <c r="D1247" s="66" t="n"/>
      <c r="E1247" s="65" t="n"/>
      <c r="F1247" s="65" t="n"/>
      <c r="G1247" s="65" t="n"/>
      <c r="H1247" s="65" t="n"/>
      <c r="I1247" s="65" t="n"/>
      <c r="J1247" s="65" t="n"/>
      <c r="K1247" s="65" t="n"/>
      <c r="L1247" s="65" t="n"/>
      <c r="M1247" s="65" t="n"/>
      <c r="N1247" s="65" t="n"/>
      <c r="O1247" s="65" t="n"/>
      <c r="P1247" s="65" t="n"/>
      <c r="Q1247" s="32">
        <f>IF($C1247="","",IF($J1247="","— חסרים נתונים",IF($J1247="טרם מפענח","פרופיל 5",IF($J1247="קמץ/פתח/חטף-פתח ושוואים","פרופיל 4",IF($J1247="2-3 סימני ניקוד","פרופיל 3",IF($J1247="4-5 סימני ניקוד","פרופיל 2",IF(AND($O1247="משפטים וקטעים קצרים",OR($M1247="מבין",$M1247="מבין לרוב")),"פרופיל 1","פרופיל 2")))))))</f>
        <v/>
      </c>
      <c r="R1247" s="32">
        <f>IF($C1247="","",IF(OR($Q1247="",LEFT($Q1247,1)="—"),"קבוצה רביעית",IF($Q1247="פרופיל 5","קבוצת תשתיות",IF(OR($Q1247="פרופיל 4",$Q1247="פרופיל 3"),"קבוצת רכישה","קבוצת ביסוס"))))</f>
        <v/>
      </c>
      <c r="S1247" s="32">
        <f>IF($F1247="","",IF($F1247="תחילת שנה",1,IF($F1247="מחצית שנה",2,3)))</f>
        <v/>
      </c>
      <c r="T1247" s="32">
        <f>IF(OR($B1247="",$R1247="",$A1247="",$F1247=""),"",$B1247&amp;"|"&amp;$A1247&amp;"|"&amp;$F1247&amp;"|"&amp;$R1247&amp;"|"&amp;COUNTIFS($B$6:$B1247,$B1247,$A$6:$A1247,$A1247,$F$6:$F1247,$F1247,$R$6:$R1247,$R1247))</f>
        <v/>
      </c>
      <c r="U1247" s="32">
        <f>IF($C1247="","",$C1247&amp;"|"&amp;COUNTIFS($C$6:$C1247,$C1247))</f>
        <v/>
      </c>
      <c r="V1247" s="32">
        <f>IF(OR($C1247="",$A1247="",$S1247=""),"",$C1247&amp;"|"&amp;$A1247&amp;"|"&amp;$S1247)</f>
        <v/>
      </c>
      <c r="W1247" s="32">
        <f>IF(OR($C1247="",$S1247="",$S1247=1),"",IFERROR(INDEX($Q$6:$Q$1505,MATCH($C1247&amp;"|"&amp;$A1247&amp;"|"&amp;($S1247-1),$V$6:$V$1505,0)),""))</f>
        <v/>
      </c>
      <c r="X1247" s="32">
        <f>IF(OR($W1247="",$Q1247="",LEFT($Q1247,1)="—"),"",IF($W1247=$Q1247,"ללא שינוי","מ-"&amp;$W1247&amp;" ל-"&amp;$Q1247))</f>
        <v/>
      </c>
    </row>
    <row r="1248">
      <c r="A1248" s="65" t="n"/>
      <c r="B1248" s="65" t="n"/>
      <c r="C1248" s="66" t="n"/>
      <c r="D1248" s="66" t="n"/>
      <c r="E1248" s="65" t="n"/>
      <c r="F1248" s="65" t="n"/>
      <c r="G1248" s="65" t="n"/>
      <c r="H1248" s="65" t="n"/>
      <c r="I1248" s="65" t="n"/>
      <c r="J1248" s="65" t="n"/>
      <c r="K1248" s="65" t="n"/>
      <c r="L1248" s="65" t="n"/>
      <c r="M1248" s="65" t="n"/>
      <c r="N1248" s="65" t="n"/>
      <c r="O1248" s="65" t="n"/>
      <c r="P1248" s="65" t="n"/>
      <c r="Q1248" s="32">
        <f>IF($C1248="","",IF($J1248="","— חסרים נתונים",IF($J1248="טרם מפענח","פרופיל 5",IF($J1248="קמץ/פתח/חטף-פתח ושוואים","פרופיל 4",IF($J1248="2-3 סימני ניקוד","פרופיל 3",IF($J1248="4-5 סימני ניקוד","פרופיל 2",IF(AND($O1248="משפטים וקטעים קצרים",OR($M1248="מבין",$M1248="מבין לרוב")),"פרופיל 1","פרופיל 2")))))))</f>
        <v/>
      </c>
      <c r="R1248" s="32">
        <f>IF($C1248="","",IF(OR($Q1248="",LEFT($Q1248,1)="—"),"קבוצה רביעית",IF($Q1248="פרופיל 5","קבוצת תשתיות",IF(OR($Q1248="פרופיל 4",$Q1248="פרופיל 3"),"קבוצת רכישה","קבוצת ביסוס"))))</f>
        <v/>
      </c>
      <c r="S1248" s="32">
        <f>IF($F1248="","",IF($F1248="תחילת שנה",1,IF($F1248="מחצית שנה",2,3)))</f>
        <v/>
      </c>
      <c r="T1248" s="32">
        <f>IF(OR($B1248="",$R1248="",$A1248="",$F1248=""),"",$B1248&amp;"|"&amp;$A1248&amp;"|"&amp;$F1248&amp;"|"&amp;$R1248&amp;"|"&amp;COUNTIFS($B$6:$B1248,$B1248,$A$6:$A1248,$A1248,$F$6:$F1248,$F1248,$R$6:$R1248,$R1248))</f>
        <v/>
      </c>
      <c r="U1248" s="32">
        <f>IF($C1248="","",$C1248&amp;"|"&amp;COUNTIFS($C$6:$C1248,$C1248))</f>
        <v/>
      </c>
      <c r="V1248" s="32">
        <f>IF(OR($C1248="",$A1248="",$S1248=""),"",$C1248&amp;"|"&amp;$A1248&amp;"|"&amp;$S1248)</f>
        <v/>
      </c>
      <c r="W1248" s="32">
        <f>IF(OR($C1248="",$S1248="",$S1248=1),"",IFERROR(INDEX($Q$6:$Q$1505,MATCH($C1248&amp;"|"&amp;$A1248&amp;"|"&amp;($S1248-1),$V$6:$V$1505,0)),""))</f>
        <v/>
      </c>
      <c r="X1248" s="32">
        <f>IF(OR($W1248="",$Q1248="",LEFT($Q1248,1)="—"),"",IF($W1248=$Q1248,"ללא שינוי","מ-"&amp;$W1248&amp;" ל-"&amp;$Q1248))</f>
        <v/>
      </c>
    </row>
    <row r="1249">
      <c r="A1249" s="65" t="n"/>
      <c r="B1249" s="65" t="n"/>
      <c r="C1249" s="66" t="n"/>
      <c r="D1249" s="66" t="n"/>
      <c r="E1249" s="65" t="n"/>
      <c r="F1249" s="65" t="n"/>
      <c r="G1249" s="65" t="n"/>
      <c r="H1249" s="65" t="n"/>
      <c r="I1249" s="65" t="n"/>
      <c r="J1249" s="65" t="n"/>
      <c r="K1249" s="65" t="n"/>
      <c r="L1249" s="65" t="n"/>
      <c r="M1249" s="65" t="n"/>
      <c r="N1249" s="65" t="n"/>
      <c r="O1249" s="65" t="n"/>
      <c r="P1249" s="65" t="n"/>
      <c r="Q1249" s="32">
        <f>IF($C1249="","",IF($J1249="","— חסרים נתונים",IF($J1249="טרם מפענח","פרופיל 5",IF($J1249="קמץ/פתח/חטף-פתח ושוואים","פרופיל 4",IF($J1249="2-3 סימני ניקוד","פרופיל 3",IF($J1249="4-5 סימני ניקוד","פרופיל 2",IF(AND($O1249="משפטים וקטעים קצרים",OR($M1249="מבין",$M1249="מבין לרוב")),"פרופיל 1","פרופיל 2")))))))</f>
        <v/>
      </c>
      <c r="R1249" s="32">
        <f>IF($C1249="","",IF(OR($Q1249="",LEFT($Q1249,1)="—"),"קבוצה רביעית",IF($Q1249="פרופיל 5","קבוצת תשתיות",IF(OR($Q1249="פרופיל 4",$Q1249="פרופיל 3"),"קבוצת רכישה","קבוצת ביסוס"))))</f>
        <v/>
      </c>
      <c r="S1249" s="32">
        <f>IF($F1249="","",IF($F1249="תחילת שנה",1,IF($F1249="מחצית שנה",2,3)))</f>
        <v/>
      </c>
      <c r="T1249" s="32">
        <f>IF(OR($B1249="",$R1249="",$A1249="",$F1249=""),"",$B1249&amp;"|"&amp;$A1249&amp;"|"&amp;$F1249&amp;"|"&amp;$R1249&amp;"|"&amp;COUNTIFS($B$6:$B1249,$B1249,$A$6:$A1249,$A1249,$F$6:$F1249,$F1249,$R$6:$R1249,$R1249))</f>
        <v/>
      </c>
      <c r="U1249" s="32">
        <f>IF($C1249="","",$C1249&amp;"|"&amp;COUNTIFS($C$6:$C1249,$C1249))</f>
        <v/>
      </c>
      <c r="V1249" s="32">
        <f>IF(OR($C1249="",$A1249="",$S1249=""),"",$C1249&amp;"|"&amp;$A1249&amp;"|"&amp;$S1249)</f>
        <v/>
      </c>
      <c r="W1249" s="32">
        <f>IF(OR($C1249="",$S1249="",$S1249=1),"",IFERROR(INDEX($Q$6:$Q$1505,MATCH($C1249&amp;"|"&amp;$A1249&amp;"|"&amp;($S1249-1),$V$6:$V$1505,0)),""))</f>
        <v/>
      </c>
      <c r="X1249" s="32">
        <f>IF(OR($W1249="",$Q1249="",LEFT($Q1249,1)="—"),"",IF($W1249=$Q1249,"ללא שינוי","מ-"&amp;$W1249&amp;" ל-"&amp;$Q1249))</f>
        <v/>
      </c>
    </row>
    <row r="1250">
      <c r="A1250" s="65" t="n"/>
      <c r="B1250" s="65" t="n"/>
      <c r="C1250" s="66" t="n"/>
      <c r="D1250" s="66" t="n"/>
      <c r="E1250" s="65" t="n"/>
      <c r="F1250" s="65" t="n"/>
      <c r="G1250" s="65" t="n"/>
      <c r="H1250" s="65" t="n"/>
      <c r="I1250" s="65" t="n"/>
      <c r="J1250" s="65" t="n"/>
      <c r="K1250" s="65" t="n"/>
      <c r="L1250" s="65" t="n"/>
      <c r="M1250" s="65" t="n"/>
      <c r="N1250" s="65" t="n"/>
      <c r="O1250" s="65" t="n"/>
      <c r="P1250" s="65" t="n"/>
      <c r="Q1250" s="32">
        <f>IF($C1250="","",IF($J1250="","— חסרים נתונים",IF($J1250="טרם מפענח","פרופיל 5",IF($J1250="קמץ/פתח/חטף-פתח ושוואים","פרופיל 4",IF($J1250="2-3 סימני ניקוד","פרופיל 3",IF($J1250="4-5 סימני ניקוד","פרופיל 2",IF(AND($O1250="משפטים וקטעים קצרים",OR($M1250="מבין",$M1250="מבין לרוב")),"פרופיל 1","פרופיל 2")))))))</f>
        <v/>
      </c>
      <c r="R1250" s="32">
        <f>IF($C1250="","",IF(OR($Q1250="",LEFT($Q1250,1)="—"),"קבוצה רביעית",IF($Q1250="פרופיל 5","קבוצת תשתיות",IF(OR($Q1250="פרופיל 4",$Q1250="פרופיל 3"),"קבוצת רכישה","קבוצת ביסוס"))))</f>
        <v/>
      </c>
      <c r="S1250" s="32">
        <f>IF($F1250="","",IF($F1250="תחילת שנה",1,IF($F1250="מחצית שנה",2,3)))</f>
        <v/>
      </c>
      <c r="T1250" s="32">
        <f>IF(OR($B1250="",$R1250="",$A1250="",$F1250=""),"",$B1250&amp;"|"&amp;$A1250&amp;"|"&amp;$F1250&amp;"|"&amp;$R1250&amp;"|"&amp;COUNTIFS($B$6:$B1250,$B1250,$A$6:$A1250,$A1250,$F$6:$F1250,$F1250,$R$6:$R1250,$R1250))</f>
        <v/>
      </c>
      <c r="U1250" s="32">
        <f>IF($C1250="","",$C1250&amp;"|"&amp;COUNTIFS($C$6:$C1250,$C1250))</f>
        <v/>
      </c>
      <c r="V1250" s="32">
        <f>IF(OR($C1250="",$A1250="",$S1250=""),"",$C1250&amp;"|"&amp;$A1250&amp;"|"&amp;$S1250)</f>
        <v/>
      </c>
      <c r="W1250" s="32">
        <f>IF(OR($C1250="",$S1250="",$S1250=1),"",IFERROR(INDEX($Q$6:$Q$1505,MATCH($C1250&amp;"|"&amp;$A1250&amp;"|"&amp;($S1250-1),$V$6:$V$1505,0)),""))</f>
        <v/>
      </c>
      <c r="X1250" s="32">
        <f>IF(OR($W1250="",$Q1250="",LEFT($Q1250,1)="—"),"",IF($W1250=$Q1250,"ללא שינוי","מ-"&amp;$W1250&amp;" ל-"&amp;$Q1250))</f>
        <v/>
      </c>
    </row>
    <row r="1251">
      <c r="A1251" s="65" t="n"/>
      <c r="B1251" s="65" t="n"/>
      <c r="C1251" s="66" t="n"/>
      <c r="D1251" s="66" t="n"/>
      <c r="E1251" s="65" t="n"/>
      <c r="F1251" s="65" t="n"/>
      <c r="G1251" s="65" t="n"/>
      <c r="H1251" s="65" t="n"/>
      <c r="I1251" s="65" t="n"/>
      <c r="J1251" s="65" t="n"/>
      <c r="K1251" s="65" t="n"/>
      <c r="L1251" s="65" t="n"/>
      <c r="M1251" s="65" t="n"/>
      <c r="N1251" s="65" t="n"/>
      <c r="O1251" s="65" t="n"/>
      <c r="P1251" s="65" t="n"/>
      <c r="Q1251" s="32">
        <f>IF($C1251="","",IF($J1251="","— חסרים נתונים",IF($J1251="טרם מפענח","פרופיל 5",IF($J1251="קמץ/פתח/חטף-פתח ושוואים","פרופיל 4",IF($J1251="2-3 סימני ניקוד","פרופיל 3",IF($J1251="4-5 סימני ניקוד","פרופיל 2",IF(AND($O1251="משפטים וקטעים קצרים",OR($M1251="מבין",$M1251="מבין לרוב")),"פרופיל 1","פרופיל 2")))))))</f>
        <v/>
      </c>
      <c r="R1251" s="32">
        <f>IF($C1251="","",IF(OR($Q1251="",LEFT($Q1251,1)="—"),"קבוצה רביעית",IF($Q1251="פרופיל 5","קבוצת תשתיות",IF(OR($Q1251="פרופיל 4",$Q1251="פרופיל 3"),"קבוצת רכישה","קבוצת ביסוס"))))</f>
        <v/>
      </c>
      <c r="S1251" s="32">
        <f>IF($F1251="","",IF($F1251="תחילת שנה",1,IF($F1251="מחצית שנה",2,3)))</f>
        <v/>
      </c>
      <c r="T1251" s="32">
        <f>IF(OR($B1251="",$R1251="",$A1251="",$F1251=""),"",$B1251&amp;"|"&amp;$A1251&amp;"|"&amp;$F1251&amp;"|"&amp;$R1251&amp;"|"&amp;COUNTIFS($B$6:$B1251,$B1251,$A$6:$A1251,$A1251,$F$6:$F1251,$F1251,$R$6:$R1251,$R1251))</f>
        <v/>
      </c>
      <c r="U1251" s="32">
        <f>IF($C1251="","",$C1251&amp;"|"&amp;COUNTIFS($C$6:$C1251,$C1251))</f>
        <v/>
      </c>
      <c r="V1251" s="32">
        <f>IF(OR($C1251="",$A1251="",$S1251=""),"",$C1251&amp;"|"&amp;$A1251&amp;"|"&amp;$S1251)</f>
        <v/>
      </c>
      <c r="W1251" s="32">
        <f>IF(OR($C1251="",$S1251="",$S1251=1),"",IFERROR(INDEX($Q$6:$Q$1505,MATCH($C1251&amp;"|"&amp;$A1251&amp;"|"&amp;($S1251-1),$V$6:$V$1505,0)),""))</f>
        <v/>
      </c>
      <c r="X1251" s="32">
        <f>IF(OR($W1251="",$Q1251="",LEFT($Q1251,1)="—"),"",IF($W1251=$Q1251,"ללא שינוי","מ-"&amp;$W1251&amp;" ל-"&amp;$Q1251))</f>
        <v/>
      </c>
    </row>
    <row r="1252">
      <c r="A1252" s="65" t="n"/>
      <c r="B1252" s="65" t="n"/>
      <c r="C1252" s="66" t="n"/>
      <c r="D1252" s="66" t="n"/>
      <c r="E1252" s="65" t="n"/>
      <c r="F1252" s="65" t="n"/>
      <c r="G1252" s="65" t="n"/>
      <c r="H1252" s="65" t="n"/>
      <c r="I1252" s="65" t="n"/>
      <c r="J1252" s="65" t="n"/>
      <c r="K1252" s="65" t="n"/>
      <c r="L1252" s="65" t="n"/>
      <c r="M1252" s="65" t="n"/>
      <c r="N1252" s="65" t="n"/>
      <c r="O1252" s="65" t="n"/>
      <c r="P1252" s="65" t="n"/>
      <c r="Q1252" s="32">
        <f>IF($C1252="","",IF($J1252="","— חסרים נתונים",IF($J1252="טרם מפענח","פרופיל 5",IF($J1252="קמץ/פתח/חטף-פתח ושוואים","פרופיל 4",IF($J1252="2-3 סימני ניקוד","פרופיל 3",IF($J1252="4-5 סימני ניקוד","פרופיל 2",IF(AND($O1252="משפטים וקטעים קצרים",OR($M1252="מבין",$M1252="מבין לרוב")),"פרופיל 1","פרופיל 2")))))))</f>
        <v/>
      </c>
      <c r="R1252" s="32">
        <f>IF($C1252="","",IF(OR($Q1252="",LEFT($Q1252,1)="—"),"קבוצה רביעית",IF($Q1252="פרופיל 5","קבוצת תשתיות",IF(OR($Q1252="פרופיל 4",$Q1252="פרופיל 3"),"קבוצת רכישה","קבוצת ביסוס"))))</f>
        <v/>
      </c>
      <c r="S1252" s="32">
        <f>IF($F1252="","",IF($F1252="תחילת שנה",1,IF($F1252="מחצית שנה",2,3)))</f>
        <v/>
      </c>
      <c r="T1252" s="32">
        <f>IF(OR($B1252="",$R1252="",$A1252="",$F1252=""),"",$B1252&amp;"|"&amp;$A1252&amp;"|"&amp;$F1252&amp;"|"&amp;$R1252&amp;"|"&amp;COUNTIFS($B$6:$B1252,$B1252,$A$6:$A1252,$A1252,$F$6:$F1252,$F1252,$R$6:$R1252,$R1252))</f>
        <v/>
      </c>
      <c r="U1252" s="32">
        <f>IF($C1252="","",$C1252&amp;"|"&amp;COUNTIFS($C$6:$C1252,$C1252))</f>
        <v/>
      </c>
      <c r="V1252" s="32">
        <f>IF(OR($C1252="",$A1252="",$S1252=""),"",$C1252&amp;"|"&amp;$A1252&amp;"|"&amp;$S1252)</f>
        <v/>
      </c>
      <c r="W1252" s="32">
        <f>IF(OR($C1252="",$S1252="",$S1252=1),"",IFERROR(INDEX($Q$6:$Q$1505,MATCH($C1252&amp;"|"&amp;$A1252&amp;"|"&amp;($S1252-1),$V$6:$V$1505,0)),""))</f>
        <v/>
      </c>
      <c r="X1252" s="32">
        <f>IF(OR($W1252="",$Q1252="",LEFT($Q1252,1)="—"),"",IF($W1252=$Q1252,"ללא שינוי","מ-"&amp;$W1252&amp;" ל-"&amp;$Q1252))</f>
        <v/>
      </c>
    </row>
    <row r="1253">
      <c r="A1253" s="65" t="n"/>
      <c r="B1253" s="65" t="n"/>
      <c r="C1253" s="66" t="n"/>
      <c r="D1253" s="66" t="n"/>
      <c r="E1253" s="65" t="n"/>
      <c r="F1253" s="65" t="n"/>
      <c r="G1253" s="65" t="n"/>
      <c r="H1253" s="65" t="n"/>
      <c r="I1253" s="65" t="n"/>
      <c r="J1253" s="65" t="n"/>
      <c r="K1253" s="65" t="n"/>
      <c r="L1253" s="65" t="n"/>
      <c r="M1253" s="65" t="n"/>
      <c r="N1253" s="65" t="n"/>
      <c r="O1253" s="65" t="n"/>
      <c r="P1253" s="65" t="n"/>
      <c r="Q1253" s="32">
        <f>IF($C1253="","",IF($J1253="","— חסרים נתונים",IF($J1253="טרם מפענח","פרופיל 5",IF($J1253="קמץ/פתח/חטף-פתח ושוואים","פרופיל 4",IF($J1253="2-3 סימני ניקוד","פרופיל 3",IF($J1253="4-5 סימני ניקוד","פרופיל 2",IF(AND($O1253="משפטים וקטעים קצרים",OR($M1253="מבין",$M1253="מבין לרוב")),"פרופיל 1","פרופיל 2")))))))</f>
        <v/>
      </c>
      <c r="R1253" s="32">
        <f>IF($C1253="","",IF(OR($Q1253="",LEFT($Q1253,1)="—"),"קבוצה רביעית",IF($Q1253="פרופיל 5","קבוצת תשתיות",IF(OR($Q1253="פרופיל 4",$Q1253="פרופיל 3"),"קבוצת רכישה","קבוצת ביסוס"))))</f>
        <v/>
      </c>
      <c r="S1253" s="32">
        <f>IF($F1253="","",IF($F1253="תחילת שנה",1,IF($F1253="מחצית שנה",2,3)))</f>
        <v/>
      </c>
      <c r="T1253" s="32">
        <f>IF(OR($B1253="",$R1253="",$A1253="",$F1253=""),"",$B1253&amp;"|"&amp;$A1253&amp;"|"&amp;$F1253&amp;"|"&amp;$R1253&amp;"|"&amp;COUNTIFS($B$6:$B1253,$B1253,$A$6:$A1253,$A1253,$F$6:$F1253,$F1253,$R$6:$R1253,$R1253))</f>
        <v/>
      </c>
      <c r="U1253" s="32">
        <f>IF($C1253="","",$C1253&amp;"|"&amp;COUNTIFS($C$6:$C1253,$C1253))</f>
        <v/>
      </c>
      <c r="V1253" s="32">
        <f>IF(OR($C1253="",$A1253="",$S1253=""),"",$C1253&amp;"|"&amp;$A1253&amp;"|"&amp;$S1253)</f>
        <v/>
      </c>
      <c r="W1253" s="32">
        <f>IF(OR($C1253="",$S1253="",$S1253=1),"",IFERROR(INDEX($Q$6:$Q$1505,MATCH($C1253&amp;"|"&amp;$A1253&amp;"|"&amp;($S1253-1),$V$6:$V$1505,0)),""))</f>
        <v/>
      </c>
      <c r="X1253" s="32">
        <f>IF(OR($W1253="",$Q1253="",LEFT($Q1253,1)="—"),"",IF($W1253=$Q1253,"ללא שינוי","מ-"&amp;$W1253&amp;" ל-"&amp;$Q1253))</f>
        <v/>
      </c>
    </row>
    <row r="1254">
      <c r="A1254" s="65" t="n"/>
      <c r="B1254" s="65" t="n"/>
      <c r="C1254" s="66" t="n"/>
      <c r="D1254" s="66" t="n"/>
      <c r="E1254" s="65" t="n"/>
      <c r="F1254" s="65" t="n"/>
      <c r="G1254" s="65" t="n"/>
      <c r="H1254" s="65" t="n"/>
      <c r="I1254" s="65" t="n"/>
      <c r="J1254" s="65" t="n"/>
      <c r="K1254" s="65" t="n"/>
      <c r="L1254" s="65" t="n"/>
      <c r="M1254" s="65" t="n"/>
      <c r="N1254" s="65" t="n"/>
      <c r="O1254" s="65" t="n"/>
      <c r="P1254" s="65" t="n"/>
      <c r="Q1254" s="32">
        <f>IF($C1254="","",IF($J1254="","— חסרים נתונים",IF($J1254="טרם מפענח","פרופיל 5",IF($J1254="קמץ/פתח/חטף-פתח ושוואים","פרופיל 4",IF($J1254="2-3 סימני ניקוד","פרופיל 3",IF($J1254="4-5 סימני ניקוד","פרופיל 2",IF(AND($O1254="משפטים וקטעים קצרים",OR($M1254="מבין",$M1254="מבין לרוב")),"פרופיל 1","פרופיל 2")))))))</f>
        <v/>
      </c>
      <c r="R1254" s="32">
        <f>IF($C1254="","",IF(OR($Q1254="",LEFT($Q1254,1)="—"),"קבוצה רביעית",IF($Q1254="פרופיל 5","קבוצת תשתיות",IF(OR($Q1254="פרופיל 4",$Q1254="פרופיל 3"),"קבוצת רכישה","קבוצת ביסוס"))))</f>
        <v/>
      </c>
      <c r="S1254" s="32">
        <f>IF($F1254="","",IF($F1254="תחילת שנה",1,IF($F1254="מחצית שנה",2,3)))</f>
        <v/>
      </c>
      <c r="T1254" s="32">
        <f>IF(OR($B1254="",$R1254="",$A1254="",$F1254=""),"",$B1254&amp;"|"&amp;$A1254&amp;"|"&amp;$F1254&amp;"|"&amp;$R1254&amp;"|"&amp;COUNTIFS($B$6:$B1254,$B1254,$A$6:$A1254,$A1254,$F$6:$F1254,$F1254,$R$6:$R1254,$R1254))</f>
        <v/>
      </c>
      <c r="U1254" s="32">
        <f>IF($C1254="","",$C1254&amp;"|"&amp;COUNTIFS($C$6:$C1254,$C1254))</f>
        <v/>
      </c>
      <c r="V1254" s="32">
        <f>IF(OR($C1254="",$A1254="",$S1254=""),"",$C1254&amp;"|"&amp;$A1254&amp;"|"&amp;$S1254)</f>
        <v/>
      </c>
      <c r="W1254" s="32">
        <f>IF(OR($C1254="",$S1254="",$S1254=1),"",IFERROR(INDEX($Q$6:$Q$1505,MATCH($C1254&amp;"|"&amp;$A1254&amp;"|"&amp;($S1254-1),$V$6:$V$1505,0)),""))</f>
        <v/>
      </c>
      <c r="X1254" s="32">
        <f>IF(OR($W1254="",$Q1254="",LEFT($Q1254,1)="—"),"",IF($W1254=$Q1254,"ללא שינוי","מ-"&amp;$W1254&amp;" ל-"&amp;$Q1254))</f>
        <v/>
      </c>
    </row>
    <row r="1255">
      <c r="A1255" s="65" t="n"/>
      <c r="B1255" s="65" t="n"/>
      <c r="C1255" s="66" t="n"/>
      <c r="D1255" s="66" t="n"/>
      <c r="E1255" s="65" t="n"/>
      <c r="F1255" s="65" t="n"/>
      <c r="G1255" s="65" t="n"/>
      <c r="H1255" s="65" t="n"/>
      <c r="I1255" s="65" t="n"/>
      <c r="J1255" s="65" t="n"/>
      <c r="K1255" s="65" t="n"/>
      <c r="L1255" s="65" t="n"/>
      <c r="M1255" s="65" t="n"/>
      <c r="N1255" s="65" t="n"/>
      <c r="O1255" s="65" t="n"/>
      <c r="P1255" s="65" t="n"/>
      <c r="Q1255" s="32">
        <f>IF($C1255="","",IF($J1255="","— חסרים נתונים",IF($J1255="טרם מפענח","פרופיל 5",IF($J1255="קמץ/פתח/חטף-פתח ושוואים","פרופיל 4",IF($J1255="2-3 סימני ניקוד","פרופיל 3",IF($J1255="4-5 סימני ניקוד","פרופיל 2",IF(AND($O1255="משפטים וקטעים קצרים",OR($M1255="מבין",$M1255="מבין לרוב")),"פרופיל 1","פרופיל 2")))))))</f>
        <v/>
      </c>
      <c r="R1255" s="32">
        <f>IF($C1255="","",IF(OR($Q1255="",LEFT($Q1255,1)="—"),"קבוצה רביעית",IF($Q1255="פרופיל 5","קבוצת תשתיות",IF(OR($Q1255="פרופיל 4",$Q1255="פרופיל 3"),"קבוצת רכישה","קבוצת ביסוס"))))</f>
        <v/>
      </c>
      <c r="S1255" s="32">
        <f>IF($F1255="","",IF($F1255="תחילת שנה",1,IF($F1255="מחצית שנה",2,3)))</f>
        <v/>
      </c>
      <c r="T1255" s="32">
        <f>IF(OR($B1255="",$R1255="",$A1255="",$F1255=""),"",$B1255&amp;"|"&amp;$A1255&amp;"|"&amp;$F1255&amp;"|"&amp;$R1255&amp;"|"&amp;COUNTIFS($B$6:$B1255,$B1255,$A$6:$A1255,$A1255,$F$6:$F1255,$F1255,$R$6:$R1255,$R1255))</f>
        <v/>
      </c>
      <c r="U1255" s="32">
        <f>IF($C1255="","",$C1255&amp;"|"&amp;COUNTIFS($C$6:$C1255,$C1255))</f>
        <v/>
      </c>
      <c r="V1255" s="32">
        <f>IF(OR($C1255="",$A1255="",$S1255=""),"",$C1255&amp;"|"&amp;$A1255&amp;"|"&amp;$S1255)</f>
        <v/>
      </c>
      <c r="W1255" s="32">
        <f>IF(OR($C1255="",$S1255="",$S1255=1),"",IFERROR(INDEX($Q$6:$Q$1505,MATCH($C1255&amp;"|"&amp;$A1255&amp;"|"&amp;($S1255-1),$V$6:$V$1505,0)),""))</f>
        <v/>
      </c>
      <c r="X1255" s="32">
        <f>IF(OR($W1255="",$Q1255="",LEFT($Q1255,1)="—"),"",IF($W1255=$Q1255,"ללא שינוי","מ-"&amp;$W1255&amp;" ל-"&amp;$Q1255))</f>
        <v/>
      </c>
    </row>
    <row r="1256">
      <c r="A1256" s="65" t="n"/>
      <c r="B1256" s="65" t="n"/>
      <c r="C1256" s="66" t="n"/>
      <c r="D1256" s="66" t="n"/>
      <c r="E1256" s="65" t="n"/>
      <c r="F1256" s="65" t="n"/>
      <c r="G1256" s="65" t="n"/>
      <c r="H1256" s="65" t="n"/>
      <c r="I1256" s="65" t="n"/>
      <c r="J1256" s="65" t="n"/>
      <c r="K1256" s="65" t="n"/>
      <c r="L1256" s="65" t="n"/>
      <c r="M1256" s="65" t="n"/>
      <c r="N1256" s="65" t="n"/>
      <c r="O1256" s="65" t="n"/>
      <c r="P1256" s="65" t="n"/>
      <c r="Q1256" s="32">
        <f>IF($C1256="","",IF($J1256="","— חסרים נתונים",IF($J1256="טרם מפענח","פרופיל 5",IF($J1256="קמץ/פתח/חטף-פתח ושוואים","פרופיל 4",IF($J1256="2-3 סימני ניקוד","פרופיל 3",IF($J1256="4-5 סימני ניקוד","פרופיל 2",IF(AND($O1256="משפטים וקטעים קצרים",OR($M1256="מבין",$M1256="מבין לרוב")),"פרופיל 1","פרופיל 2")))))))</f>
        <v/>
      </c>
      <c r="R1256" s="32">
        <f>IF($C1256="","",IF(OR($Q1256="",LEFT($Q1256,1)="—"),"קבוצה רביעית",IF($Q1256="פרופיל 5","קבוצת תשתיות",IF(OR($Q1256="פרופיל 4",$Q1256="פרופיל 3"),"קבוצת רכישה","קבוצת ביסוס"))))</f>
        <v/>
      </c>
      <c r="S1256" s="32">
        <f>IF($F1256="","",IF($F1256="תחילת שנה",1,IF($F1256="מחצית שנה",2,3)))</f>
        <v/>
      </c>
      <c r="T1256" s="32">
        <f>IF(OR($B1256="",$R1256="",$A1256="",$F1256=""),"",$B1256&amp;"|"&amp;$A1256&amp;"|"&amp;$F1256&amp;"|"&amp;$R1256&amp;"|"&amp;COUNTIFS($B$6:$B1256,$B1256,$A$6:$A1256,$A1256,$F$6:$F1256,$F1256,$R$6:$R1256,$R1256))</f>
        <v/>
      </c>
      <c r="U1256" s="32">
        <f>IF($C1256="","",$C1256&amp;"|"&amp;COUNTIFS($C$6:$C1256,$C1256))</f>
        <v/>
      </c>
      <c r="V1256" s="32">
        <f>IF(OR($C1256="",$A1256="",$S1256=""),"",$C1256&amp;"|"&amp;$A1256&amp;"|"&amp;$S1256)</f>
        <v/>
      </c>
      <c r="W1256" s="32">
        <f>IF(OR($C1256="",$S1256="",$S1256=1),"",IFERROR(INDEX($Q$6:$Q$1505,MATCH($C1256&amp;"|"&amp;$A1256&amp;"|"&amp;($S1256-1),$V$6:$V$1505,0)),""))</f>
        <v/>
      </c>
      <c r="X1256" s="32">
        <f>IF(OR($W1256="",$Q1256="",LEFT($Q1256,1)="—"),"",IF($W1256=$Q1256,"ללא שינוי","מ-"&amp;$W1256&amp;" ל-"&amp;$Q1256))</f>
        <v/>
      </c>
    </row>
    <row r="1257">
      <c r="A1257" s="65" t="n"/>
      <c r="B1257" s="65" t="n"/>
      <c r="C1257" s="66" t="n"/>
      <c r="D1257" s="66" t="n"/>
      <c r="E1257" s="65" t="n"/>
      <c r="F1257" s="65" t="n"/>
      <c r="G1257" s="65" t="n"/>
      <c r="H1257" s="65" t="n"/>
      <c r="I1257" s="65" t="n"/>
      <c r="J1257" s="65" t="n"/>
      <c r="K1257" s="65" t="n"/>
      <c r="L1257" s="65" t="n"/>
      <c r="M1257" s="65" t="n"/>
      <c r="N1257" s="65" t="n"/>
      <c r="O1257" s="65" t="n"/>
      <c r="P1257" s="65" t="n"/>
      <c r="Q1257" s="32">
        <f>IF($C1257="","",IF($J1257="","— חסרים נתונים",IF($J1257="טרם מפענח","פרופיל 5",IF($J1257="קמץ/פתח/חטף-פתח ושוואים","פרופיל 4",IF($J1257="2-3 סימני ניקוד","פרופיל 3",IF($J1257="4-5 סימני ניקוד","פרופיל 2",IF(AND($O1257="משפטים וקטעים קצרים",OR($M1257="מבין",$M1257="מבין לרוב")),"פרופיל 1","פרופיל 2")))))))</f>
        <v/>
      </c>
      <c r="R1257" s="32">
        <f>IF($C1257="","",IF(OR($Q1257="",LEFT($Q1257,1)="—"),"קבוצה רביעית",IF($Q1257="פרופיל 5","קבוצת תשתיות",IF(OR($Q1257="פרופיל 4",$Q1257="פרופיל 3"),"קבוצת רכישה","קבוצת ביסוס"))))</f>
        <v/>
      </c>
      <c r="S1257" s="32">
        <f>IF($F1257="","",IF($F1257="תחילת שנה",1,IF($F1257="מחצית שנה",2,3)))</f>
        <v/>
      </c>
      <c r="T1257" s="32">
        <f>IF(OR($B1257="",$R1257="",$A1257="",$F1257=""),"",$B1257&amp;"|"&amp;$A1257&amp;"|"&amp;$F1257&amp;"|"&amp;$R1257&amp;"|"&amp;COUNTIFS($B$6:$B1257,$B1257,$A$6:$A1257,$A1257,$F$6:$F1257,$F1257,$R$6:$R1257,$R1257))</f>
        <v/>
      </c>
      <c r="U1257" s="32">
        <f>IF($C1257="","",$C1257&amp;"|"&amp;COUNTIFS($C$6:$C1257,$C1257))</f>
        <v/>
      </c>
      <c r="V1257" s="32">
        <f>IF(OR($C1257="",$A1257="",$S1257=""),"",$C1257&amp;"|"&amp;$A1257&amp;"|"&amp;$S1257)</f>
        <v/>
      </c>
      <c r="W1257" s="32">
        <f>IF(OR($C1257="",$S1257="",$S1257=1),"",IFERROR(INDEX($Q$6:$Q$1505,MATCH($C1257&amp;"|"&amp;$A1257&amp;"|"&amp;($S1257-1),$V$6:$V$1505,0)),""))</f>
        <v/>
      </c>
      <c r="X1257" s="32">
        <f>IF(OR($W1257="",$Q1257="",LEFT($Q1257,1)="—"),"",IF($W1257=$Q1257,"ללא שינוי","מ-"&amp;$W1257&amp;" ל-"&amp;$Q1257))</f>
        <v/>
      </c>
    </row>
    <row r="1258">
      <c r="A1258" s="65" t="n"/>
      <c r="B1258" s="65" t="n"/>
      <c r="C1258" s="66" t="n"/>
      <c r="D1258" s="66" t="n"/>
      <c r="E1258" s="65" t="n"/>
      <c r="F1258" s="65" t="n"/>
      <c r="G1258" s="65" t="n"/>
      <c r="H1258" s="65" t="n"/>
      <c r="I1258" s="65" t="n"/>
      <c r="J1258" s="65" t="n"/>
      <c r="K1258" s="65" t="n"/>
      <c r="L1258" s="65" t="n"/>
      <c r="M1258" s="65" t="n"/>
      <c r="N1258" s="65" t="n"/>
      <c r="O1258" s="65" t="n"/>
      <c r="P1258" s="65" t="n"/>
      <c r="Q1258" s="32">
        <f>IF($C1258="","",IF($J1258="","— חסרים נתונים",IF($J1258="טרם מפענח","פרופיל 5",IF($J1258="קמץ/פתח/חטף-פתח ושוואים","פרופיל 4",IF($J1258="2-3 סימני ניקוד","פרופיל 3",IF($J1258="4-5 סימני ניקוד","פרופיל 2",IF(AND($O1258="משפטים וקטעים קצרים",OR($M1258="מבין",$M1258="מבין לרוב")),"פרופיל 1","פרופיל 2")))))))</f>
        <v/>
      </c>
      <c r="R1258" s="32">
        <f>IF($C1258="","",IF(OR($Q1258="",LEFT($Q1258,1)="—"),"קבוצה רביעית",IF($Q1258="פרופיל 5","קבוצת תשתיות",IF(OR($Q1258="פרופיל 4",$Q1258="פרופיל 3"),"קבוצת רכישה","קבוצת ביסוס"))))</f>
        <v/>
      </c>
      <c r="S1258" s="32">
        <f>IF($F1258="","",IF($F1258="תחילת שנה",1,IF($F1258="מחצית שנה",2,3)))</f>
        <v/>
      </c>
      <c r="T1258" s="32">
        <f>IF(OR($B1258="",$R1258="",$A1258="",$F1258=""),"",$B1258&amp;"|"&amp;$A1258&amp;"|"&amp;$F1258&amp;"|"&amp;$R1258&amp;"|"&amp;COUNTIFS($B$6:$B1258,$B1258,$A$6:$A1258,$A1258,$F$6:$F1258,$F1258,$R$6:$R1258,$R1258))</f>
        <v/>
      </c>
      <c r="U1258" s="32">
        <f>IF($C1258="","",$C1258&amp;"|"&amp;COUNTIFS($C$6:$C1258,$C1258))</f>
        <v/>
      </c>
      <c r="V1258" s="32">
        <f>IF(OR($C1258="",$A1258="",$S1258=""),"",$C1258&amp;"|"&amp;$A1258&amp;"|"&amp;$S1258)</f>
        <v/>
      </c>
      <c r="W1258" s="32">
        <f>IF(OR($C1258="",$S1258="",$S1258=1),"",IFERROR(INDEX($Q$6:$Q$1505,MATCH($C1258&amp;"|"&amp;$A1258&amp;"|"&amp;($S1258-1),$V$6:$V$1505,0)),""))</f>
        <v/>
      </c>
      <c r="X1258" s="32">
        <f>IF(OR($W1258="",$Q1258="",LEFT($Q1258,1)="—"),"",IF($W1258=$Q1258,"ללא שינוי","מ-"&amp;$W1258&amp;" ל-"&amp;$Q1258))</f>
        <v/>
      </c>
    </row>
    <row r="1259">
      <c r="A1259" s="65" t="n"/>
      <c r="B1259" s="65" t="n"/>
      <c r="C1259" s="66" t="n"/>
      <c r="D1259" s="66" t="n"/>
      <c r="E1259" s="65" t="n"/>
      <c r="F1259" s="65" t="n"/>
      <c r="G1259" s="65" t="n"/>
      <c r="H1259" s="65" t="n"/>
      <c r="I1259" s="65" t="n"/>
      <c r="J1259" s="65" t="n"/>
      <c r="K1259" s="65" t="n"/>
      <c r="L1259" s="65" t="n"/>
      <c r="M1259" s="65" t="n"/>
      <c r="N1259" s="65" t="n"/>
      <c r="O1259" s="65" t="n"/>
      <c r="P1259" s="65" t="n"/>
      <c r="Q1259" s="32">
        <f>IF($C1259="","",IF($J1259="","— חסרים נתונים",IF($J1259="טרם מפענח","פרופיל 5",IF($J1259="קמץ/פתח/חטף-פתח ושוואים","פרופיל 4",IF($J1259="2-3 סימני ניקוד","פרופיל 3",IF($J1259="4-5 סימני ניקוד","פרופיל 2",IF(AND($O1259="משפטים וקטעים קצרים",OR($M1259="מבין",$M1259="מבין לרוב")),"פרופיל 1","פרופיל 2")))))))</f>
        <v/>
      </c>
      <c r="R1259" s="32">
        <f>IF($C1259="","",IF(OR($Q1259="",LEFT($Q1259,1)="—"),"קבוצה רביעית",IF($Q1259="פרופיל 5","קבוצת תשתיות",IF(OR($Q1259="פרופיל 4",$Q1259="פרופיל 3"),"קבוצת רכישה","קבוצת ביסוס"))))</f>
        <v/>
      </c>
      <c r="S1259" s="32">
        <f>IF($F1259="","",IF($F1259="תחילת שנה",1,IF($F1259="מחצית שנה",2,3)))</f>
        <v/>
      </c>
      <c r="T1259" s="32">
        <f>IF(OR($B1259="",$R1259="",$A1259="",$F1259=""),"",$B1259&amp;"|"&amp;$A1259&amp;"|"&amp;$F1259&amp;"|"&amp;$R1259&amp;"|"&amp;COUNTIFS($B$6:$B1259,$B1259,$A$6:$A1259,$A1259,$F$6:$F1259,$F1259,$R$6:$R1259,$R1259))</f>
        <v/>
      </c>
      <c r="U1259" s="32">
        <f>IF($C1259="","",$C1259&amp;"|"&amp;COUNTIFS($C$6:$C1259,$C1259))</f>
        <v/>
      </c>
      <c r="V1259" s="32">
        <f>IF(OR($C1259="",$A1259="",$S1259=""),"",$C1259&amp;"|"&amp;$A1259&amp;"|"&amp;$S1259)</f>
        <v/>
      </c>
      <c r="W1259" s="32">
        <f>IF(OR($C1259="",$S1259="",$S1259=1),"",IFERROR(INDEX($Q$6:$Q$1505,MATCH($C1259&amp;"|"&amp;$A1259&amp;"|"&amp;($S1259-1),$V$6:$V$1505,0)),""))</f>
        <v/>
      </c>
      <c r="X1259" s="32">
        <f>IF(OR($W1259="",$Q1259="",LEFT($Q1259,1)="—"),"",IF($W1259=$Q1259,"ללא שינוי","מ-"&amp;$W1259&amp;" ל-"&amp;$Q1259))</f>
        <v/>
      </c>
    </row>
    <row r="1260">
      <c r="A1260" s="65" t="n"/>
      <c r="B1260" s="65" t="n"/>
      <c r="C1260" s="66" t="n"/>
      <c r="D1260" s="66" t="n"/>
      <c r="E1260" s="65" t="n"/>
      <c r="F1260" s="65" t="n"/>
      <c r="G1260" s="65" t="n"/>
      <c r="H1260" s="65" t="n"/>
      <c r="I1260" s="65" t="n"/>
      <c r="J1260" s="65" t="n"/>
      <c r="K1260" s="65" t="n"/>
      <c r="L1260" s="65" t="n"/>
      <c r="M1260" s="65" t="n"/>
      <c r="N1260" s="65" t="n"/>
      <c r="O1260" s="65" t="n"/>
      <c r="P1260" s="65" t="n"/>
      <c r="Q1260" s="32">
        <f>IF($C1260="","",IF($J1260="","— חסרים נתונים",IF($J1260="טרם מפענח","פרופיל 5",IF($J1260="קמץ/פתח/חטף-פתח ושוואים","פרופיל 4",IF($J1260="2-3 סימני ניקוד","פרופיל 3",IF($J1260="4-5 סימני ניקוד","פרופיל 2",IF(AND($O1260="משפטים וקטעים קצרים",OR($M1260="מבין",$M1260="מבין לרוב")),"פרופיל 1","פרופיל 2")))))))</f>
        <v/>
      </c>
      <c r="R1260" s="32">
        <f>IF($C1260="","",IF(OR($Q1260="",LEFT($Q1260,1)="—"),"קבוצה רביעית",IF($Q1260="פרופיל 5","קבוצת תשתיות",IF(OR($Q1260="פרופיל 4",$Q1260="פרופיל 3"),"קבוצת רכישה","קבוצת ביסוס"))))</f>
        <v/>
      </c>
      <c r="S1260" s="32">
        <f>IF($F1260="","",IF($F1260="תחילת שנה",1,IF($F1260="מחצית שנה",2,3)))</f>
        <v/>
      </c>
      <c r="T1260" s="32">
        <f>IF(OR($B1260="",$R1260="",$A1260="",$F1260=""),"",$B1260&amp;"|"&amp;$A1260&amp;"|"&amp;$F1260&amp;"|"&amp;$R1260&amp;"|"&amp;COUNTIFS($B$6:$B1260,$B1260,$A$6:$A1260,$A1260,$F$6:$F1260,$F1260,$R$6:$R1260,$R1260))</f>
        <v/>
      </c>
      <c r="U1260" s="32">
        <f>IF($C1260="","",$C1260&amp;"|"&amp;COUNTIFS($C$6:$C1260,$C1260))</f>
        <v/>
      </c>
      <c r="V1260" s="32">
        <f>IF(OR($C1260="",$A1260="",$S1260=""),"",$C1260&amp;"|"&amp;$A1260&amp;"|"&amp;$S1260)</f>
        <v/>
      </c>
      <c r="W1260" s="32">
        <f>IF(OR($C1260="",$S1260="",$S1260=1),"",IFERROR(INDEX($Q$6:$Q$1505,MATCH($C1260&amp;"|"&amp;$A1260&amp;"|"&amp;($S1260-1),$V$6:$V$1505,0)),""))</f>
        <v/>
      </c>
      <c r="X1260" s="32">
        <f>IF(OR($W1260="",$Q1260="",LEFT($Q1260,1)="—"),"",IF($W1260=$Q1260,"ללא שינוי","מ-"&amp;$W1260&amp;" ל-"&amp;$Q1260))</f>
        <v/>
      </c>
    </row>
    <row r="1261">
      <c r="A1261" s="65" t="n"/>
      <c r="B1261" s="65" t="n"/>
      <c r="C1261" s="66" t="n"/>
      <c r="D1261" s="66" t="n"/>
      <c r="E1261" s="65" t="n"/>
      <c r="F1261" s="65" t="n"/>
      <c r="G1261" s="65" t="n"/>
      <c r="H1261" s="65" t="n"/>
      <c r="I1261" s="65" t="n"/>
      <c r="J1261" s="65" t="n"/>
      <c r="K1261" s="65" t="n"/>
      <c r="L1261" s="65" t="n"/>
      <c r="M1261" s="65" t="n"/>
      <c r="N1261" s="65" t="n"/>
      <c r="O1261" s="65" t="n"/>
      <c r="P1261" s="65" t="n"/>
      <c r="Q1261" s="32">
        <f>IF($C1261="","",IF($J1261="","— חסרים נתונים",IF($J1261="טרם מפענח","פרופיל 5",IF($J1261="קמץ/פתח/חטף-פתח ושוואים","פרופיל 4",IF($J1261="2-3 סימני ניקוד","פרופיל 3",IF($J1261="4-5 סימני ניקוד","פרופיל 2",IF(AND($O1261="משפטים וקטעים קצרים",OR($M1261="מבין",$M1261="מבין לרוב")),"פרופיל 1","פרופיל 2")))))))</f>
        <v/>
      </c>
      <c r="R1261" s="32">
        <f>IF($C1261="","",IF(OR($Q1261="",LEFT($Q1261,1)="—"),"קבוצה רביעית",IF($Q1261="פרופיל 5","קבוצת תשתיות",IF(OR($Q1261="פרופיל 4",$Q1261="פרופיל 3"),"קבוצת רכישה","קבוצת ביסוס"))))</f>
        <v/>
      </c>
      <c r="S1261" s="32">
        <f>IF($F1261="","",IF($F1261="תחילת שנה",1,IF($F1261="מחצית שנה",2,3)))</f>
        <v/>
      </c>
      <c r="T1261" s="32">
        <f>IF(OR($B1261="",$R1261="",$A1261="",$F1261=""),"",$B1261&amp;"|"&amp;$A1261&amp;"|"&amp;$F1261&amp;"|"&amp;$R1261&amp;"|"&amp;COUNTIFS($B$6:$B1261,$B1261,$A$6:$A1261,$A1261,$F$6:$F1261,$F1261,$R$6:$R1261,$R1261))</f>
        <v/>
      </c>
      <c r="U1261" s="32">
        <f>IF($C1261="","",$C1261&amp;"|"&amp;COUNTIFS($C$6:$C1261,$C1261))</f>
        <v/>
      </c>
      <c r="V1261" s="32">
        <f>IF(OR($C1261="",$A1261="",$S1261=""),"",$C1261&amp;"|"&amp;$A1261&amp;"|"&amp;$S1261)</f>
        <v/>
      </c>
      <c r="W1261" s="32">
        <f>IF(OR($C1261="",$S1261="",$S1261=1),"",IFERROR(INDEX($Q$6:$Q$1505,MATCH($C1261&amp;"|"&amp;$A1261&amp;"|"&amp;($S1261-1),$V$6:$V$1505,0)),""))</f>
        <v/>
      </c>
      <c r="X1261" s="32">
        <f>IF(OR($W1261="",$Q1261="",LEFT($Q1261,1)="—"),"",IF($W1261=$Q1261,"ללא שינוי","מ-"&amp;$W1261&amp;" ל-"&amp;$Q1261))</f>
        <v/>
      </c>
    </row>
    <row r="1262">
      <c r="A1262" s="65" t="n"/>
      <c r="B1262" s="65" t="n"/>
      <c r="C1262" s="66" t="n"/>
      <c r="D1262" s="66" t="n"/>
      <c r="E1262" s="65" t="n"/>
      <c r="F1262" s="65" t="n"/>
      <c r="G1262" s="65" t="n"/>
      <c r="H1262" s="65" t="n"/>
      <c r="I1262" s="65" t="n"/>
      <c r="J1262" s="65" t="n"/>
      <c r="K1262" s="65" t="n"/>
      <c r="L1262" s="65" t="n"/>
      <c r="M1262" s="65" t="n"/>
      <c r="N1262" s="65" t="n"/>
      <c r="O1262" s="65" t="n"/>
      <c r="P1262" s="65" t="n"/>
      <c r="Q1262" s="32">
        <f>IF($C1262="","",IF($J1262="","— חסרים נתונים",IF($J1262="טרם מפענח","פרופיל 5",IF($J1262="קמץ/פתח/חטף-פתח ושוואים","פרופיל 4",IF($J1262="2-3 סימני ניקוד","פרופיל 3",IF($J1262="4-5 סימני ניקוד","פרופיל 2",IF(AND($O1262="משפטים וקטעים קצרים",OR($M1262="מבין",$M1262="מבין לרוב")),"פרופיל 1","פרופיל 2")))))))</f>
        <v/>
      </c>
      <c r="R1262" s="32">
        <f>IF($C1262="","",IF(OR($Q1262="",LEFT($Q1262,1)="—"),"קבוצה רביעית",IF($Q1262="פרופיל 5","קבוצת תשתיות",IF(OR($Q1262="פרופיל 4",$Q1262="פרופיל 3"),"קבוצת רכישה","קבוצת ביסוס"))))</f>
        <v/>
      </c>
      <c r="S1262" s="32">
        <f>IF($F1262="","",IF($F1262="תחילת שנה",1,IF($F1262="מחצית שנה",2,3)))</f>
        <v/>
      </c>
      <c r="T1262" s="32">
        <f>IF(OR($B1262="",$R1262="",$A1262="",$F1262=""),"",$B1262&amp;"|"&amp;$A1262&amp;"|"&amp;$F1262&amp;"|"&amp;$R1262&amp;"|"&amp;COUNTIFS($B$6:$B1262,$B1262,$A$6:$A1262,$A1262,$F$6:$F1262,$F1262,$R$6:$R1262,$R1262))</f>
        <v/>
      </c>
      <c r="U1262" s="32">
        <f>IF($C1262="","",$C1262&amp;"|"&amp;COUNTIFS($C$6:$C1262,$C1262))</f>
        <v/>
      </c>
      <c r="V1262" s="32">
        <f>IF(OR($C1262="",$A1262="",$S1262=""),"",$C1262&amp;"|"&amp;$A1262&amp;"|"&amp;$S1262)</f>
        <v/>
      </c>
      <c r="W1262" s="32">
        <f>IF(OR($C1262="",$S1262="",$S1262=1),"",IFERROR(INDEX($Q$6:$Q$1505,MATCH($C1262&amp;"|"&amp;$A1262&amp;"|"&amp;($S1262-1),$V$6:$V$1505,0)),""))</f>
        <v/>
      </c>
      <c r="X1262" s="32">
        <f>IF(OR($W1262="",$Q1262="",LEFT($Q1262,1)="—"),"",IF($W1262=$Q1262,"ללא שינוי","מ-"&amp;$W1262&amp;" ל-"&amp;$Q1262))</f>
        <v/>
      </c>
    </row>
    <row r="1263">
      <c r="A1263" s="65" t="n"/>
      <c r="B1263" s="65" t="n"/>
      <c r="C1263" s="66" t="n"/>
      <c r="D1263" s="66" t="n"/>
      <c r="E1263" s="65" t="n"/>
      <c r="F1263" s="65" t="n"/>
      <c r="G1263" s="65" t="n"/>
      <c r="H1263" s="65" t="n"/>
      <c r="I1263" s="65" t="n"/>
      <c r="J1263" s="65" t="n"/>
      <c r="K1263" s="65" t="n"/>
      <c r="L1263" s="65" t="n"/>
      <c r="M1263" s="65" t="n"/>
      <c r="N1263" s="65" t="n"/>
      <c r="O1263" s="65" t="n"/>
      <c r="P1263" s="65" t="n"/>
      <c r="Q1263" s="32">
        <f>IF($C1263="","",IF($J1263="","— חסרים נתונים",IF($J1263="טרם מפענח","פרופיל 5",IF($J1263="קמץ/פתח/חטף-פתח ושוואים","פרופיל 4",IF($J1263="2-3 סימני ניקוד","פרופיל 3",IF($J1263="4-5 סימני ניקוד","פרופיל 2",IF(AND($O1263="משפטים וקטעים קצרים",OR($M1263="מבין",$M1263="מבין לרוב")),"פרופיל 1","פרופיל 2")))))))</f>
        <v/>
      </c>
      <c r="R1263" s="32">
        <f>IF($C1263="","",IF(OR($Q1263="",LEFT($Q1263,1)="—"),"קבוצה רביעית",IF($Q1263="פרופיל 5","קבוצת תשתיות",IF(OR($Q1263="פרופיל 4",$Q1263="פרופיל 3"),"קבוצת רכישה","קבוצת ביסוס"))))</f>
        <v/>
      </c>
      <c r="S1263" s="32">
        <f>IF($F1263="","",IF($F1263="תחילת שנה",1,IF($F1263="מחצית שנה",2,3)))</f>
        <v/>
      </c>
      <c r="T1263" s="32">
        <f>IF(OR($B1263="",$R1263="",$A1263="",$F1263=""),"",$B1263&amp;"|"&amp;$A1263&amp;"|"&amp;$F1263&amp;"|"&amp;$R1263&amp;"|"&amp;COUNTIFS($B$6:$B1263,$B1263,$A$6:$A1263,$A1263,$F$6:$F1263,$F1263,$R$6:$R1263,$R1263))</f>
        <v/>
      </c>
      <c r="U1263" s="32">
        <f>IF($C1263="","",$C1263&amp;"|"&amp;COUNTIFS($C$6:$C1263,$C1263))</f>
        <v/>
      </c>
      <c r="V1263" s="32">
        <f>IF(OR($C1263="",$A1263="",$S1263=""),"",$C1263&amp;"|"&amp;$A1263&amp;"|"&amp;$S1263)</f>
        <v/>
      </c>
      <c r="W1263" s="32">
        <f>IF(OR($C1263="",$S1263="",$S1263=1),"",IFERROR(INDEX($Q$6:$Q$1505,MATCH($C1263&amp;"|"&amp;$A1263&amp;"|"&amp;($S1263-1),$V$6:$V$1505,0)),""))</f>
        <v/>
      </c>
      <c r="X1263" s="32">
        <f>IF(OR($W1263="",$Q1263="",LEFT($Q1263,1)="—"),"",IF($W1263=$Q1263,"ללא שינוי","מ-"&amp;$W1263&amp;" ל-"&amp;$Q1263))</f>
        <v/>
      </c>
    </row>
    <row r="1264">
      <c r="A1264" s="65" t="n"/>
      <c r="B1264" s="65" t="n"/>
      <c r="C1264" s="66" t="n"/>
      <c r="D1264" s="66" t="n"/>
      <c r="E1264" s="65" t="n"/>
      <c r="F1264" s="65" t="n"/>
      <c r="G1264" s="65" t="n"/>
      <c r="H1264" s="65" t="n"/>
      <c r="I1264" s="65" t="n"/>
      <c r="J1264" s="65" t="n"/>
      <c r="K1264" s="65" t="n"/>
      <c r="L1264" s="65" t="n"/>
      <c r="M1264" s="65" t="n"/>
      <c r="N1264" s="65" t="n"/>
      <c r="O1264" s="65" t="n"/>
      <c r="P1264" s="65" t="n"/>
      <c r="Q1264" s="32">
        <f>IF($C1264="","",IF($J1264="","— חסרים נתונים",IF($J1264="טרם מפענח","פרופיל 5",IF($J1264="קמץ/פתח/חטף-פתח ושוואים","פרופיל 4",IF($J1264="2-3 סימני ניקוד","פרופיל 3",IF($J1264="4-5 סימני ניקוד","פרופיל 2",IF(AND($O1264="משפטים וקטעים קצרים",OR($M1264="מבין",$M1264="מבין לרוב")),"פרופיל 1","פרופיל 2")))))))</f>
        <v/>
      </c>
      <c r="R1264" s="32">
        <f>IF($C1264="","",IF(OR($Q1264="",LEFT($Q1264,1)="—"),"קבוצה רביעית",IF($Q1264="פרופיל 5","קבוצת תשתיות",IF(OR($Q1264="פרופיל 4",$Q1264="פרופיל 3"),"קבוצת רכישה","קבוצת ביסוס"))))</f>
        <v/>
      </c>
      <c r="S1264" s="32">
        <f>IF($F1264="","",IF($F1264="תחילת שנה",1,IF($F1264="מחצית שנה",2,3)))</f>
        <v/>
      </c>
      <c r="T1264" s="32">
        <f>IF(OR($B1264="",$R1264="",$A1264="",$F1264=""),"",$B1264&amp;"|"&amp;$A1264&amp;"|"&amp;$F1264&amp;"|"&amp;$R1264&amp;"|"&amp;COUNTIFS($B$6:$B1264,$B1264,$A$6:$A1264,$A1264,$F$6:$F1264,$F1264,$R$6:$R1264,$R1264))</f>
        <v/>
      </c>
      <c r="U1264" s="32">
        <f>IF($C1264="","",$C1264&amp;"|"&amp;COUNTIFS($C$6:$C1264,$C1264))</f>
        <v/>
      </c>
      <c r="V1264" s="32">
        <f>IF(OR($C1264="",$A1264="",$S1264=""),"",$C1264&amp;"|"&amp;$A1264&amp;"|"&amp;$S1264)</f>
        <v/>
      </c>
      <c r="W1264" s="32">
        <f>IF(OR($C1264="",$S1264="",$S1264=1),"",IFERROR(INDEX($Q$6:$Q$1505,MATCH($C1264&amp;"|"&amp;$A1264&amp;"|"&amp;($S1264-1),$V$6:$V$1505,0)),""))</f>
        <v/>
      </c>
      <c r="X1264" s="32">
        <f>IF(OR($W1264="",$Q1264="",LEFT($Q1264,1)="—"),"",IF($W1264=$Q1264,"ללא שינוי","מ-"&amp;$W1264&amp;" ל-"&amp;$Q1264))</f>
        <v/>
      </c>
    </row>
    <row r="1265">
      <c r="A1265" s="65" t="n"/>
      <c r="B1265" s="65" t="n"/>
      <c r="C1265" s="66" t="n"/>
      <c r="D1265" s="66" t="n"/>
      <c r="E1265" s="65" t="n"/>
      <c r="F1265" s="65" t="n"/>
      <c r="G1265" s="65" t="n"/>
      <c r="H1265" s="65" t="n"/>
      <c r="I1265" s="65" t="n"/>
      <c r="J1265" s="65" t="n"/>
      <c r="K1265" s="65" t="n"/>
      <c r="L1265" s="65" t="n"/>
      <c r="M1265" s="65" t="n"/>
      <c r="N1265" s="65" t="n"/>
      <c r="O1265" s="65" t="n"/>
      <c r="P1265" s="65" t="n"/>
      <c r="Q1265" s="32">
        <f>IF($C1265="","",IF($J1265="","— חסרים נתונים",IF($J1265="טרם מפענח","פרופיל 5",IF($J1265="קמץ/פתח/חטף-פתח ושוואים","פרופיל 4",IF($J1265="2-3 סימני ניקוד","פרופיל 3",IF($J1265="4-5 סימני ניקוד","פרופיל 2",IF(AND($O1265="משפטים וקטעים קצרים",OR($M1265="מבין",$M1265="מבין לרוב")),"פרופיל 1","פרופיל 2")))))))</f>
        <v/>
      </c>
      <c r="R1265" s="32">
        <f>IF($C1265="","",IF(OR($Q1265="",LEFT($Q1265,1)="—"),"קבוצה רביעית",IF($Q1265="פרופיל 5","קבוצת תשתיות",IF(OR($Q1265="פרופיל 4",$Q1265="פרופיל 3"),"קבוצת רכישה","קבוצת ביסוס"))))</f>
        <v/>
      </c>
      <c r="S1265" s="32">
        <f>IF($F1265="","",IF($F1265="תחילת שנה",1,IF($F1265="מחצית שנה",2,3)))</f>
        <v/>
      </c>
      <c r="T1265" s="32">
        <f>IF(OR($B1265="",$R1265="",$A1265="",$F1265=""),"",$B1265&amp;"|"&amp;$A1265&amp;"|"&amp;$F1265&amp;"|"&amp;$R1265&amp;"|"&amp;COUNTIFS($B$6:$B1265,$B1265,$A$6:$A1265,$A1265,$F$6:$F1265,$F1265,$R$6:$R1265,$R1265))</f>
        <v/>
      </c>
      <c r="U1265" s="32">
        <f>IF($C1265="","",$C1265&amp;"|"&amp;COUNTIFS($C$6:$C1265,$C1265))</f>
        <v/>
      </c>
      <c r="V1265" s="32">
        <f>IF(OR($C1265="",$A1265="",$S1265=""),"",$C1265&amp;"|"&amp;$A1265&amp;"|"&amp;$S1265)</f>
        <v/>
      </c>
      <c r="W1265" s="32">
        <f>IF(OR($C1265="",$S1265="",$S1265=1),"",IFERROR(INDEX($Q$6:$Q$1505,MATCH($C1265&amp;"|"&amp;$A1265&amp;"|"&amp;($S1265-1),$V$6:$V$1505,0)),""))</f>
        <v/>
      </c>
      <c r="X1265" s="32">
        <f>IF(OR($W1265="",$Q1265="",LEFT($Q1265,1)="—"),"",IF($W1265=$Q1265,"ללא שינוי","מ-"&amp;$W1265&amp;" ל-"&amp;$Q1265))</f>
        <v/>
      </c>
    </row>
    <row r="1266">
      <c r="A1266" s="65" t="n"/>
      <c r="B1266" s="65" t="n"/>
      <c r="C1266" s="66" t="n"/>
      <c r="D1266" s="66" t="n"/>
      <c r="E1266" s="65" t="n"/>
      <c r="F1266" s="65" t="n"/>
      <c r="G1266" s="65" t="n"/>
      <c r="H1266" s="65" t="n"/>
      <c r="I1266" s="65" t="n"/>
      <c r="J1266" s="65" t="n"/>
      <c r="K1266" s="65" t="n"/>
      <c r="L1266" s="65" t="n"/>
      <c r="M1266" s="65" t="n"/>
      <c r="N1266" s="65" t="n"/>
      <c r="O1266" s="65" t="n"/>
      <c r="P1266" s="65" t="n"/>
      <c r="Q1266" s="32">
        <f>IF($C1266="","",IF($J1266="","— חסרים נתונים",IF($J1266="טרם מפענח","פרופיל 5",IF($J1266="קמץ/פתח/חטף-פתח ושוואים","פרופיל 4",IF($J1266="2-3 סימני ניקוד","פרופיל 3",IF($J1266="4-5 סימני ניקוד","פרופיל 2",IF(AND($O1266="משפטים וקטעים קצרים",OR($M1266="מבין",$M1266="מבין לרוב")),"פרופיל 1","פרופיל 2")))))))</f>
        <v/>
      </c>
      <c r="R1266" s="32">
        <f>IF($C1266="","",IF(OR($Q1266="",LEFT($Q1266,1)="—"),"קבוצה רביעית",IF($Q1266="פרופיל 5","קבוצת תשתיות",IF(OR($Q1266="פרופיל 4",$Q1266="פרופיל 3"),"קבוצת רכישה","קבוצת ביסוס"))))</f>
        <v/>
      </c>
      <c r="S1266" s="32">
        <f>IF($F1266="","",IF($F1266="תחילת שנה",1,IF($F1266="מחצית שנה",2,3)))</f>
        <v/>
      </c>
      <c r="T1266" s="32">
        <f>IF(OR($B1266="",$R1266="",$A1266="",$F1266=""),"",$B1266&amp;"|"&amp;$A1266&amp;"|"&amp;$F1266&amp;"|"&amp;$R1266&amp;"|"&amp;COUNTIFS($B$6:$B1266,$B1266,$A$6:$A1266,$A1266,$F$6:$F1266,$F1266,$R$6:$R1266,$R1266))</f>
        <v/>
      </c>
      <c r="U1266" s="32">
        <f>IF($C1266="","",$C1266&amp;"|"&amp;COUNTIFS($C$6:$C1266,$C1266))</f>
        <v/>
      </c>
      <c r="V1266" s="32">
        <f>IF(OR($C1266="",$A1266="",$S1266=""),"",$C1266&amp;"|"&amp;$A1266&amp;"|"&amp;$S1266)</f>
        <v/>
      </c>
      <c r="W1266" s="32">
        <f>IF(OR($C1266="",$S1266="",$S1266=1),"",IFERROR(INDEX($Q$6:$Q$1505,MATCH($C1266&amp;"|"&amp;$A1266&amp;"|"&amp;($S1266-1),$V$6:$V$1505,0)),""))</f>
        <v/>
      </c>
      <c r="X1266" s="32">
        <f>IF(OR($W1266="",$Q1266="",LEFT($Q1266,1)="—"),"",IF($W1266=$Q1266,"ללא שינוי","מ-"&amp;$W1266&amp;" ל-"&amp;$Q1266))</f>
        <v/>
      </c>
    </row>
    <row r="1267">
      <c r="A1267" s="65" t="n"/>
      <c r="B1267" s="65" t="n"/>
      <c r="C1267" s="66" t="n"/>
      <c r="D1267" s="66" t="n"/>
      <c r="E1267" s="65" t="n"/>
      <c r="F1267" s="65" t="n"/>
      <c r="G1267" s="65" t="n"/>
      <c r="H1267" s="65" t="n"/>
      <c r="I1267" s="65" t="n"/>
      <c r="J1267" s="65" t="n"/>
      <c r="K1267" s="65" t="n"/>
      <c r="L1267" s="65" t="n"/>
      <c r="M1267" s="65" t="n"/>
      <c r="N1267" s="65" t="n"/>
      <c r="O1267" s="65" t="n"/>
      <c r="P1267" s="65" t="n"/>
      <c r="Q1267" s="32">
        <f>IF($C1267="","",IF($J1267="","— חסרים נתונים",IF($J1267="טרם מפענח","פרופיל 5",IF($J1267="קמץ/פתח/חטף-פתח ושוואים","פרופיל 4",IF($J1267="2-3 סימני ניקוד","פרופיל 3",IF($J1267="4-5 סימני ניקוד","פרופיל 2",IF(AND($O1267="משפטים וקטעים קצרים",OR($M1267="מבין",$M1267="מבין לרוב")),"פרופיל 1","פרופיל 2")))))))</f>
        <v/>
      </c>
      <c r="R1267" s="32">
        <f>IF($C1267="","",IF(OR($Q1267="",LEFT($Q1267,1)="—"),"קבוצה רביעית",IF($Q1267="פרופיל 5","קבוצת תשתיות",IF(OR($Q1267="פרופיל 4",$Q1267="פרופיל 3"),"קבוצת רכישה","קבוצת ביסוס"))))</f>
        <v/>
      </c>
      <c r="S1267" s="32">
        <f>IF($F1267="","",IF($F1267="תחילת שנה",1,IF($F1267="מחצית שנה",2,3)))</f>
        <v/>
      </c>
      <c r="T1267" s="32">
        <f>IF(OR($B1267="",$R1267="",$A1267="",$F1267=""),"",$B1267&amp;"|"&amp;$A1267&amp;"|"&amp;$F1267&amp;"|"&amp;$R1267&amp;"|"&amp;COUNTIFS($B$6:$B1267,$B1267,$A$6:$A1267,$A1267,$F$6:$F1267,$F1267,$R$6:$R1267,$R1267))</f>
        <v/>
      </c>
      <c r="U1267" s="32">
        <f>IF($C1267="","",$C1267&amp;"|"&amp;COUNTIFS($C$6:$C1267,$C1267))</f>
        <v/>
      </c>
      <c r="V1267" s="32">
        <f>IF(OR($C1267="",$A1267="",$S1267=""),"",$C1267&amp;"|"&amp;$A1267&amp;"|"&amp;$S1267)</f>
        <v/>
      </c>
      <c r="W1267" s="32">
        <f>IF(OR($C1267="",$S1267="",$S1267=1),"",IFERROR(INDEX($Q$6:$Q$1505,MATCH($C1267&amp;"|"&amp;$A1267&amp;"|"&amp;($S1267-1),$V$6:$V$1505,0)),""))</f>
        <v/>
      </c>
      <c r="X1267" s="32">
        <f>IF(OR($W1267="",$Q1267="",LEFT($Q1267,1)="—"),"",IF($W1267=$Q1267,"ללא שינוי","מ-"&amp;$W1267&amp;" ל-"&amp;$Q1267))</f>
        <v/>
      </c>
    </row>
    <row r="1268">
      <c r="A1268" s="65" t="n"/>
      <c r="B1268" s="65" t="n"/>
      <c r="C1268" s="66" t="n"/>
      <c r="D1268" s="66" t="n"/>
      <c r="E1268" s="65" t="n"/>
      <c r="F1268" s="65" t="n"/>
      <c r="G1268" s="65" t="n"/>
      <c r="H1268" s="65" t="n"/>
      <c r="I1268" s="65" t="n"/>
      <c r="J1268" s="65" t="n"/>
      <c r="K1268" s="65" t="n"/>
      <c r="L1268" s="65" t="n"/>
      <c r="M1268" s="65" t="n"/>
      <c r="N1268" s="65" t="n"/>
      <c r="O1268" s="65" t="n"/>
      <c r="P1268" s="65" t="n"/>
      <c r="Q1268" s="32">
        <f>IF($C1268="","",IF($J1268="","— חסרים נתונים",IF($J1268="טרם מפענח","פרופיל 5",IF($J1268="קמץ/פתח/חטף-פתח ושוואים","פרופיל 4",IF($J1268="2-3 סימני ניקוד","פרופיל 3",IF($J1268="4-5 סימני ניקוד","פרופיל 2",IF(AND($O1268="משפטים וקטעים קצרים",OR($M1268="מבין",$M1268="מבין לרוב")),"פרופיל 1","פרופיל 2")))))))</f>
        <v/>
      </c>
      <c r="R1268" s="32">
        <f>IF($C1268="","",IF(OR($Q1268="",LEFT($Q1268,1)="—"),"קבוצה רביעית",IF($Q1268="פרופיל 5","קבוצת תשתיות",IF(OR($Q1268="פרופיל 4",$Q1268="פרופיל 3"),"קבוצת רכישה","קבוצת ביסוס"))))</f>
        <v/>
      </c>
      <c r="S1268" s="32">
        <f>IF($F1268="","",IF($F1268="תחילת שנה",1,IF($F1268="מחצית שנה",2,3)))</f>
        <v/>
      </c>
      <c r="T1268" s="32">
        <f>IF(OR($B1268="",$R1268="",$A1268="",$F1268=""),"",$B1268&amp;"|"&amp;$A1268&amp;"|"&amp;$F1268&amp;"|"&amp;$R1268&amp;"|"&amp;COUNTIFS($B$6:$B1268,$B1268,$A$6:$A1268,$A1268,$F$6:$F1268,$F1268,$R$6:$R1268,$R1268))</f>
        <v/>
      </c>
      <c r="U1268" s="32">
        <f>IF($C1268="","",$C1268&amp;"|"&amp;COUNTIFS($C$6:$C1268,$C1268))</f>
        <v/>
      </c>
      <c r="V1268" s="32">
        <f>IF(OR($C1268="",$A1268="",$S1268=""),"",$C1268&amp;"|"&amp;$A1268&amp;"|"&amp;$S1268)</f>
        <v/>
      </c>
      <c r="W1268" s="32">
        <f>IF(OR($C1268="",$S1268="",$S1268=1),"",IFERROR(INDEX($Q$6:$Q$1505,MATCH($C1268&amp;"|"&amp;$A1268&amp;"|"&amp;($S1268-1),$V$6:$V$1505,0)),""))</f>
        <v/>
      </c>
      <c r="X1268" s="32">
        <f>IF(OR($W1268="",$Q1268="",LEFT($Q1268,1)="—"),"",IF($W1268=$Q1268,"ללא שינוי","מ-"&amp;$W1268&amp;" ל-"&amp;$Q1268))</f>
        <v/>
      </c>
    </row>
    <row r="1269">
      <c r="A1269" s="65" t="n"/>
      <c r="B1269" s="65" t="n"/>
      <c r="C1269" s="66" t="n"/>
      <c r="D1269" s="66" t="n"/>
      <c r="E1269" s="65" t="n"/>
      <c r="F1269" s="65" t="n"/>
      <c r="G1269" s="65" t="n"/>
      <c r="H1269" s="65" t="n"/>
      <c r="I1269" s="65" t="n"/>
      <c r="J1269" s="65" t="n"/>
      <c r="K1269" s="65" t="n"/>
      <c r="L1269" s="65" t="n"/>
      <c r="M1269" s="65" t="n"/>
      <c r="N1269" s="65" t="n"/>
      <c r="O1269" s="65" t="n"/>
      <c r="P1269" s="65" t="n"/>
      <c r="Q1269" s="32">
        <f>IF($C1269="","",IF($J1269="","— חסרים נתונים",IF($J1269="טרם מפענח","פרופיל 5",IF($J1269="קמץ/פתח/חטף-פתח ושוואים","פרופיל 4",IF($J1269="2-3 סימני ניקוד","פרופיל 3",IF($J1269="4-5 סימני ניקוד","פרופיל 2",IF(AND($O1269="משפטים וקטעים קצרים",OR($M1269="מבין",$M1269="מבין לרוב")),"פרופיל 1","פרופיל 2")))))))</f>
        <v/>
      </c>
      <c r="R1269" s="32">
        <f>IF($C1269="","",IF(OR($Q1269="",LEFT($Q1269,1)="—"),"קבוצה רביעית",IF($Q1269="פרופיל 5","קבוצת תשתיות",IF(OR($Q1269="פרופיל 4",$Q1269="פרופיל 3"),"קבוצת רכישה","קבוצת ביסוס"))))</f>
        <v/>
      </c>
      <c r="S1269" s="32">
        <f>IF($F1269="","",IF($F1269="תחילת שנה",1,IF($F1269="מחצית שנה",2,3)))</f>
        <v/>
      </c>
      <c r="T1269" s="32">
        <f>IF(OR($B1269="",$R1269="",$A1269="",$F1269=""),"",$B1269&amp;"|"&amp;$A1269&amp;"|"&amp;$F1269&amp;"|"&amp;$R1269&amp;"|"&amp;COUNTIFS($B$6:$B1269,$B1269,$A$6:$A1269,$A1269,$F$6:$F1269,$F1269,$R$6:$R1269,$R1269))</f>
        <v/>
      </c>
      <c r="U1269" s="32">
        <f>IF($C1269="","",$C1269&amp;"|"&amp;COUNTIFS($C$6:$C1269,$C1269))</f>
        <v/>
      </c>
      <c r="V1269" s="32">
        <f>IF(OR($C1269="",$A1269="",$S1269=""),"",$C1269&amp;"|"&amp;$A1269&amp;"|"&amp;$S1269)</f>
        <v/>
      </c>
      <c r="W1269" s="32">
        <f>IF(OR($C1269="",$S1269="",$S1269=1),"",IFERROR(INDEX($Q$6:$Q$1505,MATCH($C1269&amp;"|"&amp;$A1269&amp;"|"&amp;($S1269-1),$V$6:$V$1505,0)),""))</f>
        <v/>
      </c>
      <c r="X1269" s="32">
        <f>IF(OR($W1269="",$Q1269="",LEFT($Q1269,1)="—"),"",IF($W1269=$Q1269,"ללא שינוי","מ-"&amp;$W1269&amp;" ל-"&amp;$Q1269))</f>
        <v/>
      </c>
    </row>
    <row r="1270">
      <c r="A1270" s="65" t="n"/>
      <c r="B1270" s="65" t="n"/>
      <c r="C1270" s="66" t="n"/>
      <c r="D1270" s="66" t="n"/>
      <c r="E1270" s="65" t="n"/>
      <c r="F1270" s="65" t="n"/>
      <c r="G1270" s="65" t="n"/>
      <c r="H1270" s="65" t="n"/>
      <c r="I1270" s="65" t="n"/>
      <c r="J1270" s="65" t="n"/>
      <c r="K1270" s="65" t="n"/>
      <c r="L1270" s="65" t="n"/>
      <c r="M1270" s="65" t="n"/>
      <c r="N1270" s="65" t="n"/>
      <c r="O1270" s="65" t="n"/>
      <c r="P1270" s="65" t="n"/>
      <c r="Q1270" s="32">
        <f>IF($C1270="","",IF($J1270="","— חסרים נתונים",IF($J1270="טרם מפענח","פרופיל 5",IF($J1270="קמץ/פתח/חטף-פתח ושוואים","פרופיל 4",IF($J1270="2-3 סימני ניקוד","פרופיל 3",IF($J1270="4-5 סימני ניקוד","פרופיל 2",IF(AND($O1270="משפטים וקטעים קצרים",OR($M1270="מבין",$M1270="מבין לרוב")),"פרופיל 1","פרופיל 2")))))))</f>
        <v/>
      </c>
      <c r="R1270" s="32">
        <f>IF($C1270="","",IF(OR($Q1270="",LEFT($Q1270,1)="—"),"קבוצה רביעית",IF($Q1270="פרופיל 5","קבוצת תשתיות",IF(OR($Q1270="פרופיל 4",$Q1270="פרופיל 3"),"קבוצת רכישה","קבוצת ביסוס"))))</f>
        <v/>
      </c>
      <c r="S1270" s="32">
        <f>IF($F1270="","",IF($F1270="תחילת שנה",1,IF($F1270="מחצית שנה",2,3)))</f>
        <v/>
      </c>
      <c r="T1270" s="32">
        <f>IF(OR($B1270="",$R1270="",$A1270="",$F1270=""),"",$B1270&amp;"|"&amp;$A1270&amp;"|"&amp;$F1270&amp;"|"&amp;$R1270&amp;"|"&amp;COUNTIFS($B$6:$B1270,$B1270,$A$6:$A1270,$A1270,$F$6:$F1270,$F1270,$R$6:$R1270,$R1270))</f>
        <v/>
      </c>
      <c r="U1270" s="32">
        <f>IF($C1270="","",$C1270&amp;"|"&amp;COUNTIFS($C$6:$C1270,$C1270))</f>
        <v/>
      </c>
      <c r="V1270" s="32">
        <f>IF(OR($C1270="",$A1270="",$S1270=""),"",$C1270&amp;"|"&amp;$A1270&amp;"|"&amp;$S1270)</f>
        <v/>
      </c>
      <c r="W1270" s="32">
        <f>IF(OR($C1270="",$S1270="",$S1270=1),"",IFERROR(INDEX($Q$6:$Q$1505,MATCH($C1270&amp;"|"&amp;$A1270&amp;"|"&amp;($S1270-1),$V$6:$V$1505,0)),""))</f>
        <v/>
      </c>
      <c r="X1270" s="32">
        <f>IF(OR($W1270="",$Q1270="",LEFT($Q1270,1)="—"),"",IF($W1270=$Q1270,"ללא שינוי","מ-"&amp;$W1270&amp;" ל-"&amp;$Q1270))</f>
        <v/>
      </c>
    </row>
    <row r="1271">
      <c r="A1271" s="65" t="n"/>
      <c r="B1271" s="65" t="n"/>
      <c r="C1271" s="66" t="n"/>
      <c r="D1271" s="66" t="n"/>
      <c r="E1271" s="65" t="n"/>
      <c r="F1271" s="65" t="n"/>
      <c r="G1271" s="65" t="n"/>
      <c r="H1271" s="65" t="n"/>
      <c r="I1271" s="65" t="n"/>
      <c r="J1271" s="65" t="n"/>
      <c r="K1271" s="65" t="n"/>
      <c r="L1271" s="65" t="n"/>
      <c r="M1271" s="65" t="n"/>
      <c r="N1271" s="65" t="n"/>
      <c r="O1271" s="65" t="n"/>
      <c r="P1271" s="65" t="n"/>
      <c r="Q1271" s="32">
        <f>IF($C1271="","",IF($J1271="","— חסרים נתונים",IF($J1271="טרם מפענח","פרופיל 5",IF($J1271="קמץ/פתח/חטף-פתח ושוואים","פרופיל 4",IF($J1271="2-3 סימני ניקוד","פרופיל 3",IF($J1271="4-5 סימני ניקוד","פרופיל 2",IF(AND($O1271="משפטים וקטעים קצרים",OR($M1271="מבין",$M1271="מבין לרוב")),"פרופיל 1","פרופיל 2")))))))</f>
        <v/>
      </c>
      <c r="R1271" s="32">
        <f>IF($C1271="","",IF(OR($Q1271="",LEFT($Q1271,1)="—"),"קבוצה רביעית",IF($Q1271="פרופיל 5","קבוצת תשתיות",IF(OR($Q1271="פרופיל 4",$Q1271="פרופיל 3"),"קבוצת רכישה","קבוצת ביסוס"))))</f>
        <v/>
      </c>
      <c r="S1271" s="32">
        <f>IF($F1271="","",IF($F1271="תחילת שנה",1,IF($F1271="מחצית שנה",2,3)))</f>
        <v/>
      </c>
      <c r="T1271" s="32">
        <f>IF(OR($B1271="",$R1271="",$A1271="",$F1271=""),"",$B1271&amp;"|"&amp;$A1271&amp;"|"&amp;$F1271&amp;"|"&amp;$R1271&amp;"|"&amp;COUNTIFS($B$6:$B1271,$B1271,$A$6:$A1271,$A1271,$F$6:$F1271,$F1271,$R$6:$R1271,$R1271))</f>
        <v/>
      </c>
      <c r="U1271" s="32">
        <f>IF($C1271="","",$C1271&amp;"|"&amp;COUNTIFS($C$6:$C1271,$C1271))</f>
        <v/>
      </c>
      <c r="V1271" s="32">
        <f>IF(OR($C1271="",$A1271="",$S1271=""),"",$C1271&amp;"|"&amp;$A1271&amp;"|"&amp;$S1271)</f>
        <v/>
      </c>
      <c r="W1271" s="32">
        <f>IF(OR($C1271="",$S1271="",$S1271=1),"",IFERROR(INDEX($Q$6:$Q$1505,MATCH($C1271&amp;"|"&amp;$A1271&amp;"|"&amp;($S1271-1),$V$6:$V$1505,0)),""))</f>
        <v/>
      </c>
      <c r="X1271" s="32">
        <f>IF(OR($W1271="",$Q1271="",LEFT($Q1271,1)="—"),"",IF($W1271=$Q1271,"ללא שינוי","מ-"&amp;$W1271&amp;" ל-"&amp;$Q1271))</f>
        <v/>
      </c>
    </row>
    <row r="1272">
      <c r="A1272" s="65" t="n"/>
      <c r="B1272" s="65" t="n"/>
      <c r="C1272" s="66" t="n"/>
      <c r="D1272" s="66" t="n"/>
      <c r="E1272" s="65" t="n"/>
      <c r="F1272" s="65" t="n"/>
      <c r="G1272" s="65" t="n"/>
      <c r="H1272" s="65" t="n"/>
      <c r="I1272" s="65" t="n"/>
      <c r="J1272" s="65" t="n"/>
      <c r="K1272" s="65" t="n"/>
      <c r="L1272" s="65" t="n"/>
      <c r="M1272" s="65" t="n"/>
      <c r="N1272" s="65" t="n"/>
      <c r="O1272" s="65" t="n"/>
      <c r="P1272" s="65" t="n"/>
      <c r="Q1272" s="32">
        <f>IF($C1272="","",IF($J1272="","— חסרים נתונים",IF($J1272="טרם מפענח","פרופיל 5",IF($J1272="קמץ/פתח/חטף-פתח ושוואים","פרופיל 4",IF($J1272="2-3 סימני ניקוד","פרופיל 3",IF($J1272="4-5 סימני ניקוד","פרופיל 2",IF(AND($O1272="משפטים וקטעים קצרים",OR($M1272="מבין",$M1272="מבין לרוב")),"פרופיל 1","פרופיל 2")))))))</f>
        <v/>
      </c>
      <c r="R1272" s="32">
        <f>IF($C1272="","",IF(OR($Q1272="",LEFT($Q1272,1)="—"),"קבוצה רביעית",IF($Q1272="פרופיל 5","קבוצת תשתיות",IF(OR($Q1272="פרופיל 4",$Q1272="פרופיל 3"),"קבוצת רכישה","קבוצת ביסוס"))))</f>
        <v/>
      </c>
      <c r="S1272" s="32">
        <f>IF($F1272="","",IF($F1272="תחילת שנה",1,IF($F1272="מחצית שנה",2,3)))</f>
        <v/>
      </c>
      <c r="T1272" s="32">
        <f>IF(OR($B1272="",$R1272="",$A1272="",$F1272=""),"",$B1272&amp;"|"&amp;$A1272&amp;"|"&amp;$F1272&amp;"|"&amp;$R1272&amp;"|"&amp;COUNTIFS($B$6:$B1272,$B1272,$A$6:$A1272,$A1272,$F$6:$F1272,$F1272,$R$6:$R1272,$R1272))</f>
        <v/>
      </c>
      <c r="U1272" s="32">
        <f>IF($C1272="","",$C1272&amp;"|"&amp;COUNTIFS($C$6:$C1272,$C1272))</f>
        <v/>
      </c>
      <c r="V1272" s="32">
        <f>IF(OR($C1272="",$A1272="",$S1272=""),"",$C1272&amp;"|"&amp;$A1272&amp;"|"&amp;$S1272)</f>
        <v/>
      </c>
      <c r="W1272" s="32">
        <f>IF(OR($C1272="",$S1272="",$S1272=1),"",IFERROR(INDEX($Q$6:$Q$1505,MATCH($C1272&amp;"|"&amp;$A1272&amp;"|"&amp;($S1272-1),$V$6:$V$1505,0)),""))</f>
        <v/>
      </c>
      <c r="X1272" s="32">
        <f>IF(OR($W1272="",$Q1272="",LEFT($Q1272,1)="—"),"",IF($W1272=$Q1272,"ללא שינוי","מ-"&amp;$W1272&amp;" ל-"&amp;$Q1272))</f>
        <v/>
      </c>
    </row>
    <row r="1273">
      <c r="A1273" s="65" t="n"/>
      <c r="B1273" s="65" t="n"/>
      <c r="C1273" s="66" t="n"/>
      <c r="D1273" s="66" t="n"/>
      <c r="E1273" s="65" t="n"/>
      <c r="F1273" s="65" t="n"/>
      <c r="G1273" s="65" t="n"/>
      <c r="H1273" s="65" t="n"/>
      <c r="I1273" s="65" t="n"/>
      <c r="J1273" s="65" t="n"/>
      <c r="K1273" s="65" t="n"/>
      <c r="L1273" s="65" t="n"/>
      <c r="M1273" s="65" t="n"/>
      <c r="N1273" s="65" t="n"/>
      <c r="O1273" s="65" t="n"/>
      <c r="P1273" s="65" t="n"/>
      <c r="Q1273" s="32">
        <f>IF($C1273="","",IF($J1273="","— חסרים נתונים",IF($J1273="טרם מפענח","פרופיל 5",IF($J1273="קמץ/פתח/חטף-פתח ושוואים","פרופיל 4",IF($J1273="2-3 סימני ניקוד","פרופיל 3",IF($J1273="4-5 סימני ניקוד","פרופיל 2",IF(AND($O1273="משפטים וקטעים קצרים",OR($M1273="מבין",$M1273="מבין לרוב")),"פרופיל 1","פרופיל 2")))))))</f>
        <v/>
      </c>
      <c r="R1273" s="32">
        <f>IF($C1273="","",IF(OR($Q1273="",LEFT($Q1273,1)="—"),"קבוצה רביעית",IF($Q1273="פרופיל 5","קבוצת תשתיות",IF(OR($Q1273="פרופיל 4",$Q1273="פרופיל 3"),"קבוצת רכישה","קבוצת ביסוס"))))</f>
        <v/>
      </c>
      <c r="S1273" s="32">
        <f>IF($F1273="","",IF($F1273="תחילת שנה",1,IF($F1273="מחצית שנה",2,3)))</f>
        <v/>
      </c>
      <c r="T1273" s="32">
        <f>IF(OR($B1273="",$R1273="",$A1273="",$F1273=""),"",$B1273&amp;"|"&amp;$A1273&amp;"|"&amp;$F1273&amp;"|"&amp;$R1273&amp;"|"&amp;COUNTIFS($B$6:$B1273,$B1273,$A$6:$A1273,$A1273,$F$6:$F1273,$F1273,$R$6:$R1273,$R1273))</f>
        <v/>
      </c>
      <c r="U1273" s="32">
        <f>IF($C1273="","",$C1273&amp;"|"&amp;COUNTIFS($C$6:$C1273,$C1273))</f>
        <v/>
      </c>
      <c r="V1273" s="32">
        <f>IF(OR($C1273="",$A1273="",$S1273=""),"",$C1273&amp;"|"&amp;$A1273&amp;"|"&amp;$S1273)</f>
        <v/>
      </c>
      <c r="W1273" s="32">
        <f>IF(OR($C1273="",$S1273="",$S1273=1),"",IFERROR(INDEX($Q$6:$Q$1505,MATCH($C1273&amp;"|"&amp;$A1273&amp;"|"&amp;($S1273-1),$V$6:$V$1505,0)),""))</f>
        <v/>
      </c>
      <c r="X1273" s="32">
        <f>IF(OR($W1273="",$Q1273="",LEFT($Q1273,1)="—"),"",IF($W1273=$Q1273,"ללא שינוי","מ-"&amp;$W1273&amp;" ל-"&amp;$Q1273))</f>
        <v/>
      </c>
    </row>
    <row r="1274">
      <c r="A1274" s="65" t="n"/>
      <c r="B1274" s="65" t="n"/>
      <c r="C1274" s="66" t="n"/>
      <c r="D1274" s="66" t="n"/>
      <c r="E1274" s="65" t="n"/>
      <c r="F1274" s="65" t="n"/>
      <c r="G1274" s="65" t="n"/>
      <c r="H1274" s="65" t="n"/>
      <c r="I1274" s="65" t="n"/>
      <c r="J1274" s="65" t="n"/>
      <c r="K1274" s="65" t="n"/>
      <c r="L1274" s="65" t="n"/>
      <c r="M1274" s="65" t="n"/>
      <c r="N1274" s="65" t="n"/>
      <c r="O1274" s="65" t="n"/>
      <c r="P1274" s="65" t="n"/>
      <c r="Q1274" s="32">
        <f>IF($C1274="","",IF($J1274="","— חסרים נתונים",IF($J1274="טרם מפענח","פרופיל 5",IF($J1274="קמץ/פתח/חטף-פתח ושוואים","פרופיל 4",IF($J1274="2-3 סימני ניקוד","פרופיל 3",IF($J1274="4-5 סימני ניקוד","פרופיל 2",IF(AND($O1274="משפטים וקטעים קצרים",OR($M1274="מבין",$M1274="מבין לרוב")),"פרופיל 1","פרופיל 2")))))))</f>
        <v/>
      </c>
      <c r="R1274" s="32">
        <f>IF($C1274="","",IF(OR($Q1274="",LEFT($Q1274,1)="—"),"קבוצה רביעית",IF($Q1274="פרופיל 5","קבוצת תשתיות",IF(OR($Q1274="פרופיל 4",$Q1274="פרופיל 3"),"קבוצת רכישה","קבוצת ביסוס"))))</f>
        <v/>
      </c>
      <c r="S1274" s="32">
        <f>IF($F1274="","",IF($F1274="תחילת שנה",1,IF($F1274="מחצית שנה",2,3)))</f>
        <v/>
      </c>
      <c r="T1274" s="32">
        <f>IF(OR($B1274="",$R1274="",$A1274="",$F1274=""),"",$B1274&amp;"|"&amp;$A1274&amp;"|"&amp;$F1274&amp;"|"&amp;$R1274&amp;"|"&amp;COUNTIFS($B$6:$B1274,$B1274,$A$6:$A1274,$A1274,$F$6:$F1274,$F1274,$R$6:$R1274,$R1274))</f>
        <v/>
      </c>
      <c r="U1274" s="32">
        <f>IF($C1274="","",$C1274&amp;"|"&amp;COUNTIFS($C$6:$C1274,$C1274))</f>
        <v/>
      </c>
      <c r="V1274" s="32">
        <f>IF(OR($C1274="",$A1274="",$S1274=""),"",$C1274&amp;"|"&amp;$A1274&amp;"|"&amp;$S1274)</f>
        <v/>
      </c>
      <c r="W1274" s="32">
        <f>IF(OR($C1274="",$S1274="",$S1274=1),"",IFERROR(INDEX($Q$6:$Q$1505,MATCH($C1274&amp;"|"&amp;$A1274&amp;"|"&amp;($S1274-1),$V$6:$V$1505,0)),""))</f>
        <v/>
      </c>
      <c r="X1274" s="32">
        <f>IF(OR($W1274="",$Q1274="",LEFT($Q1274,1)="—"),"",IF($W1274=$Q1274,"ללא שינוי","מ-"&amp;$W1274&amp;" ל-"&amp;$Q1274))</f>
        <v/>
      </c>
    </row>
    <row r="1275">
      <c r="A1275" s="65" t="n"/>
      <c r="B1275" s="65" t="n"/>
      <c r="C1275" s="66" t="n"/>
      <c r="D1275" s="66" t="n"/>
      <c r="E1275" s="65" t="n"/>
      <c r="F1275" s="65" t="n"/>
      <c r="G1275" s="65" t="n"/>
      <c r="H1275" s="65" t="n"/>
      <c r="I1275" s="65" t="n"/>
      <c r="J1275" s="65" t="n"/>
      <c r="K1275" s="65" t="n"/>
      <c r="L1275" s="65" t="n"/>
      <c r="M1275" s="65" t="n"/>
      <c r="N1275" s="65" t="n"/>
      <c r="O1275" s="65" t="n"/>
      <c r="P1275" s="65" t="n"/>
      <c r="Q1275" s="32">
        <f>IF($C1275="","",IF($J1275="","— חסרים נתונים",IF($J1275="טרם מפענח","פרופיל 5",IF($J1275="קמץ/פתח/חטף-פתח ושוואים","פרופיל 4",IF($J1275="2-3 סימני ניקוד","פרופיל 3",IF($J1275="4-5 סימני ניקוד","פרופיל 2",IF(AND($O1275="משפטים וקטעים קצרים",OR($M1275="מבין",$M1275="מבין לרוב")),"פרופיל 1","פרופיל 2")))))))</f>
        <v/>
      </c>
      <c r="R1275" s="32">
        <f>IF($C1275="","",IF(OR($Q1275="",LEFT($Q1275,1)="—"),"קבוצה רביעית",IF($Q1275="פרופיל 5","קבוצת תשתיות",IF(OR($Q1275="פרופיל 4",$Q1275="פרופיל 3"),"קבוצת רכישה","קבוצת ביסוס"))))</f>
        <v/>
      </c>
      <c r="S1275" s="32">
        <f>IF($F1275="","",IF($F1275="תחילת שנה",1,IF($F1275="מחצית שנה",2,3)))</f>
        <v/>
      </c>
      <c r="T1275" s="32">
        <f>IF(OR($B1275="",$R1275="",$A1275="",$F1275=""),"",$B1275&amp;"|"&amp;$A1275&amp;"|"&amp;$F1275&amp;"|"&amp;$R1275&amp;"|"&amp;COUNTIFS($B$6:$B1275,$B1275,$A$6:$A1275,$A1275,$F$6:$F1275,$F1275,$R$6:$R1275,$R1275))</f>
        <v/>
      </c>
      <c r="U1275" s="32">
        <f>IF($C1275="","",$C1275&amp;"|"&amp;COUNTIFS($C$6:$C1275,$C1275))</f>
        <v/>
      </c>
      <c r="V1275" s="32">
        <f>IF(OR($C1275="",$A1275="",$S1275=""),"",$C1275&amp;"|"&amp;$A1275&amp;"|"&amp;$S1275)</f>
        <v/>
      </c>
      <c r="W1275" s="32">
        <f>IF(OR($C1275="",$S1275="",$S1275=1),"",IFERROR(INDEX($Q$6:$Q$1505,MATCH($C1275&amp;"|"&amp;$A1275&amp;"|"&amp;($S1275-1),$V$6:$V$1505,0)),""))</f>
        <v/>
      </c>
      <c r="X1275" s="32">
        <f>IF(OR($W1275="",$Q1275="",LEFT($Q1275,1)="—"),"",IF($W1275=$Q1275,"ללא שינוי","מ-"&amp;$W1275&amp;" ל-"&amp;$Q1275))</f>
        <v/>
      </c>
    </row>
    <row r="1276">
      <c r="A1276" s="65" t="n"/>
      <c r="B1276" s="65" t="n"/>
      <c r="C1276" s="66" t="n"/>
      <c r="D1276" s="66" t="n"/>
      <c r="E1276" s="65" t="n"/>
      <c r="F1276" s="65" t="n"/>
      <c r="G1276" s="65" t="n"/>
      <c r="H1276" s="65" t="n"/>
      <c r="I1276" s="65" t="n"/>
      <c r="J1276" s="65" t="n"/>
      <c r="K1276" s="65" t="n"/>
      <c r="L1276" s="65" t="n"/>
      <c r="M1276" s="65" t="n"/>
      <c r="N1276" s="65" t="n"/>
      <c r="O1276" s="65" t="n"/>
      <c r="P1276" s="65" t="n"/>
      <c r="Q1276" s="32">
        <f>IF($C1276="","",IF($J1276="","— חסרים נתונים",IF($J1276="טרם מפענח","פרופיל 5",IF($J1276="קמץ/פתח/חטף-פתח ושוואים","פרופיל 4",IF($J1276="2-3 סימני ניקוד","פרופיל 3",IF($J1276="4-5 סימני ניקוד","פרופיל 2",IF(AND($O1276="משפטים וקטעים קצרים",OR($M1276="מבין",$M1276="מבין לרוב")),"פרופיל 1","פרופיל 2")))))))</f>
        <v/>
      </c>
      <c r="R1276" s="32">
        <f>IF($C1276="","",IF(OR($Q1276="",LEFT($Q1276,1)="—"),"קבוצה רביעית",IF($Q1276="פרופיל 5","קבוצת תשתיות",IF(OR($Q1276="פרופיל 4",$Q1276="פרופיל 3"),"קבוצת רכישה","קבוצת ביסוס"))))</f>
        <v/>
      </c>
      <c r="S1276" s="32">
        <f>IF($F1276="","",IF($F1276="תחילת שנה",1,IF($F1276="מחצית שנה",2,3)))</f>
        <v/>
      </c>
      <c r="T1276" s="32">
        <f>IF(OR($B1276="",$R1276="",$A1276="",$F1276=""),"",$B1276&amp;"|"&amp;$A1276&amp;"|"&amp;$F1276&amp;"|"&amp;$R1276&amp;"|"&amp;COUNTIFS($B$6:$B1276,$B1276,$A$6:$A1276,$A1276,$F$6:$F1276,$F1276,$R$6:$R1276,$R1276))</f>
        <v/>
      </c>
      <c r="U1276" s="32">
        <f>IF($C1276="","",$C1276&amp;"|"&amp;COUNTIFS($C$6:$C1276,$C1276))</f>
        <v/>
      </c>
      <c r="V1276" s="32">
        <f>IF(OR($C1276="",$A1276="",$S1276=""),"",$C1276&amp;"|"&amp;$A1276&amp;"|"&amp;$S1276)</f>
        <v/>
      </c>
      <c r="W1276" s="32">
        <f>IF(OR($C1276="",$S1276="",$S1276=1),"",IFERROR(INDEX($Q$6:$Q$1505,MATCH($C1276&amp;"|"&amp;$A1276&amp;"|"&amp;($S1276-1),$V$6:$V$1505,0)),""))</f>
        <v/>
      </c>
      <c r="X1276" s="32">
        <f>IF(OR($W1276="",$Q1276="",LEFT($Q1276,1)="—"),"",IF($W1276=$Q1276,"ללא שינוי","מ-"&amp;$W1276&amp;" ל-"&amp;$Q1276))</f>
        <v/>
      </c>
    </row>
    <row r="1277">
      <c r="A1277" s="65" t="n"/>
      <c r="B1277" s="65" t="n"/>
      <c r="C1277" s="66" t="n"/>
      <c r="D1277" s="66" t="n"/>
      <c r="E1277" s="65" t="n"/>
      <c r="F1277" s="65" t="n"/>
      <c r="G1277" s="65" t="n"/>
      <c r="H1277" s="65" t="n"/>
      <c r="I1277" s="65" t="n"/>
      <c r="J1277" s="65" t="n"/>
      <c r="K1277" s="65" t="n"/>
      <c r="L1277" s="65" t="n"/>
      <c r="M1277" s="65" t="n"/>
      <c r="N1277" s="65" t="n"/>
      <c r="O1277" s="65" t="n"/>
      <c r="P1277" s="65" t="n"/>
      <c r="Q1277" s="32">
        <f>IF($C1277="","",IF($J1277="","— חסרים נתונים",IF($J1277="טרם מפענח","פרופיל 5",IF($J1277="קמץ/פתח/חטף-פתח ושוואים","פרופיל 4",IF($J1277="2-3 סימני ניקוד","פרופיל 3",IF($J1277="4-5 סימני ניקוד","פרופיל 2",IF(AND($O1277="משפטים וקטעים קצרים",OR($M1277="מבין",$M1277="מבין לרוב")),"פרופיל 1","פרופיל 2")))))))</f>
        <v/>
      </c>
      <c r="R1277" s="32">
        <f>IF($C1277="","",IF(OR($Q1277="",LEFT($Q1277,1)="—"),"קבוצה רביעית",IF($Q1277="פרופיל 5","קבוצת תשתיות",IF(OR($Q1277="פרופיל 4",$Q1277="פרופיל 3"),"קבוצת רכישה","קבוצת ביסוס"))))</f>
        <v/>
      </c>
      <c r="S1277" s="32">
        <f>IF($F1277="","",IF($F1277="תחילת שנה",1,IF($F1277="מחצית שנה",2,3)))</f>
        <v/>
      </c>
      <c r="T1277" s="32">
        <f>IF(OR($B1277="",$R1277="",$A1277="",$F1277=""),"",$B1277&amp;"|"&amp;$A1277&amp;"|"&amp;$F1277&amp;"|"&amp;$R1277&amp;"|"&amp;COUNTIFS($B$6:$B1277,$B1277,$A$6:$A1277,$A1277,$F$6:$F1277,$F1277,$R$6:$R1277,$R1277))</f>
        <v/>
      </c>
      <c r="U1277" s="32">
        <f>IF($C1277="","",$C1277&amp;"|"&amp;COUNTIFS($C$6:$C1277,$C1277))</f>
        <v/>
      </c>
      <c r="V1277" s="32">
        <f>IF(OR($C1277="",$A1277="",$S1277=""),"",$C1277&amp;"|"&amp;$A1277&amp;"|"&amp;$S1277)</f>
        <v/>
      </c>
      <c r="W1277" s="32">
        <f>IF(OR($C1277="",$S1277="",$S1277=1),"",IFERROR(INDEX($Q$6:$Q$1505,MATCH($C1277&amp;"|"&amp;$A1277&amp;"|"&amp;($S1277-1),$V$6:$V$1505,0)),""))</f>
        <v/>
      </c>
      <c r="X1277" s="32">
        <f>IF(OR($W1277="",$Q1277="",LEFT($Q1277,1)="—"),"",IF($W1277=$Q1277,"ללא שינוי","מ-"&amp;$W1277&amp;" ל-"&amp;$Q1277))</f>
        <v/>
      </c>
    </row>
    <row r="1278">
      <c r="A1278" s="65" t="n"/>
      <c r="B1278" s="65" t="n"/>
      <c r="C1278" s="66" t="n"/>
      <c r="D1278" s="66" t="n"/>
      <c r="E1278" s="65" t="n"/>
      <c r="F1278" s="65" t="n"/>
      <c r="G1278" s="65" t="n"/>
      <c r="H1278" s="65" t="n"/>
      <c r="I1278" s="65" t="n"/>
      <c r="J1278" s="65" t="n"/>
      <c r="K1278" s="65" t="n"/>
      <c r="L1278" s="65" t="n"/>
      <c r="M1278" s="65" t="n"/>
      <c r="N1278" s="65" t="n"/>
      <c r="O1278" s="65" t="n"/>
      <c r="P1278" s="65" t="n"/>
      <c r="Q1278" s="32">
        <f>IF($C1278="","",IF($J1278="","— חסרים נתונים",IF($J1278="טרם מפענח","פרופיל 5",IF($J1278="קמץ/פתח/חטף-פתח ושוואים","פרופיל 4",IF($J1278="2-3 סימני ניקוד","פרופיל 3",IF($J1278="4-5 סימני ניקוד","פרופיל 2",IF(AND($O1278="משפטים וקטעים קצרים",OR($M1278="מבין",$M1278="מבין לרוב")),"פרופיל 1","פרופיל 2")))))))</f>
        <v/>
      </c>
      <c r="R1278" s="32">
        <f>IF($C1278="","",IF(OR($Q1278="",LEFT($Q1278,1)="—"),"קבוצה רביעית",IF($Q1278="פרופיל 5","קבוצת תשתיות",IF(OR($Q1278="פרופיל 4",$Q1278="פרופיל 3"),"קבוצת רכישה","קבוצת ביסוס"))))</f>
        <v/>
      </c>
      <c r="S1278" s="32">
        <f>IF($F1278="","",IF($F1278="תחילת שנה",1,IF($F1278="מחצית שנה",2,3)))</f>
        <v/>
      </c>
      <c r="T1278" s="32">
        <f>IF(OR($B1278="",$R1278="",$A1278="",$F1278=""),"",$B1278&amp;"|"&amp;$A1278&amp;"|"&amp;$F1278&amp;"|"&amp;$R1278&amp;"|"&amp;COUNTIFS($B$6:$B1278,$B1278,$A$6:$A1278,$A1278,$F$6:$F1278,$F1278,$R$6:$R1278,$R1278))</f>
        <v/>
      </c>
      <c r="U1278" s="32">
        <f>IF($C1278="","",$C1278&amp;"|"&amp;COUNTIFS($C$6:$C1278,$C1278))</f>
        <v/>
      </c>
      <c r="V1278" s="32">
        <f>IF(OR($C1278="",$A1278="",$S1278=""),"",$C1278&amp;"|"&amp;$A1278&amp;"|"&amp;$S1278)</f>
        <v/>
      </c>
      <c r="W1278" s="32">
        <f>IF(OR($C1278="",$S1278="",$S1278=1),"",IFERROR(INDEX($Q$6:$Q$1505,MATCH($C1278&amp;"|"&amp;$A1278&amp;"|"&amp;($S1278-1),$V$6:$V$1505,0)),""))</f>
        <v/>
      </c>
      <c r="X1278" s="32">
        <f>IF(OR($W1278="",$Q1278="",LEFT($Q1278,1)="—"),"",IF($W1278=$Q1278,"ללא שינוי","מ-"&amp;$W1278&amp;" ל-"&amp;$Q1278))</f>
        <v/>
      </c>
    </row>
    <row r="1279">
      <c r="A1279" s="65" t="n"/>
      <c r="B1279" s="65" t="n"/>
      <c r="C1279" s="66" t="n"/>
      <c r="D1279" s="66" t="n"/>
      <c r="E1279" s="65" t="n"/>
      <c r="F1279" s="65" t="n"/>
      <c r="G1279" s="65" t="n"/>
      <c r="H1279" s="65" t="n"/>
      <c r="I1279" s="65" t="n"/>
      <c r="J1279" s="65" t="n"/>
      <c r="K1279" s="65" t="n"/>
      <c r="L1279" s="65" t="n"/>
      <c r="M1279" s="65" t="n"/>
      <c r="N1279" s="65" t="n"/>
      <c r="O1279" s="65" t="n"/>
      <c r="P1279" s="65" t="n"/>
      <c r="Q1279" s="32">
        <f>IF($C1279="","",IF($J1279="","— חסרים נתונים",IF($J1279="טרם מפענח","פרופיל 5",IF($J1279="קמץ/פתח/חטף-פתח ושוואים","פרופיל 4",IF($J1279="2-3 סימני ניקוד","פרופיל 3",IF($J1279="4-5 סימני ניקוד","פרופיל 2",IF(AND($O1279="משפטים וקטעים קצרים",OR($M1279="מבין",$M1279="מבין לרוב")),"פרופיל 1","פרופיל 2")))))))</f>
        <v/>
      </c>
      <c r="R1279" s="32">
        <f>IF($C1279="","",IF(OR($Q1279="",LEFT($Q1279,1)="—"),"קבוצה רביעית",IF($Q1279="פרופיל 5","קבוצת תשתיות",IF(OR($Q1279="פרופיל 4",$Q1279="פרופיל 3"),"קבוצת רכישה","קבוצת ביסוס"))))</f>
        <v/>
      </c>
      <c r="S1279" s="32">
        <f>IF($F1279="","",IF($F1279="תחילת שנה",1,IF($F1279="מחצית שנה",2,3)))</f>
        <v/>
      </c>
      <c r="T1279" s="32">
        <f>IF(OR($B1279="",$R1279="",$A1279="",$F1279=""),"",$B1279&amp;"|"&amp;$A1279&amp;"|"&amp;$F1279&amp;"|"&amp;$R1279&amp;"|"&amp;COUNTIFS($B$6:$B1279,$B1279,$A$6:$A1279,$A1279,$F$6:$F1279,$F1279,$R$6:$R1279,$R1279))</f>
        <v/>
      </c>
      <c r="U1279" s="32">
        <f>IF($C1279="","",$C1279&amp;"|"&amp;COUNTIFS($C$6:$C1279,$C1279))</f>
        <v/>
      </c>
      <c r="V1279" s="32">
        <f>IF(OR($C1279="",$A1279="",$S1279=""),"",$C1279&amp;"|"&amp;$A1279&amp;"|"&amp;$S1279)</f>
        <v/>
      </c>
      <c r="W1279" s="32">
        <f>IF(OR($C1279="",$S1279="",$S1279=1),"",IFERROR(INDEX($Q$6:$Q$1505,MATCH($C1279&amp;"|"&amp;$A1279&amp;"|"&amp;($S1279-1),$V$6:$V$1505,0)),""))</f>
        <v/>
      </c>
      <c r="X1279" s="32">
        <f>IF(OR($W1279="",$Q1279="",LEFT($Q1279,1)="—"),"",IF($W1279=$Q1279,"ללא שינוי","מ-"&amp;$W1279&amp;" ל-"&amp;$Q1279))</f>
        <v/>
      </c>
    </row>
    <row r="1280">
      <c r="A1280" s="65" t="n"/>
      <c r="B1280" s="65" t="n"/>
      <c r="C1280" s="66" t="n"/>
      <c r="D1280" s="66" t="n"/>
      <c r="E1280" s="65" t="n"/>
      <c r="F1280" s="65" t="n"/>
      <c r="G1280" s="65" t="n"/>
      <c r="H1280" s="65" t="n"/>
      <c r="I1280" s="65" t="n"/>
      <c r="J1280" s="65" t="n"/>
      <c r="K1280" s="65" t="n"/>
      <c r="L1280" s="65" t="n"/>
      <c r="M1280" s="65" t="n"/>
      <c r="N1280" s="65" t="n"/>
      <c r="O1280" s="65" t="n"/>
      <c r="P1280" s="65" t="n"/>
      <c r="Q1280" s="32">
        <f>IF($C1280="","",IF($J1280="","— חסרים נתונים",IF($J1280="טרם מפענח","פרופיל 5",IF($J1280="קמץ/פתח/חטף-פתח ושוואים","פרופיל 4",IF($J1280="2-3 סימני ניקוד","פרופיל 3",IF($J1280="4-5 סימני ניקוד","פרופיל 2",IF(AND($O1280="משפטים וקטעים קצרים",OR($M1280="מבין",$M1280="מבין לרוב")),"פרופיל 1","פרופיל 2")))))))</f>
        <v/>
      </c>
      <c r="R1280" s="32">
        <f>IF($C1280="","",IF(OR($Q1280="",LEFT($Q1280,1)="—"),"קבוצה רביעית",IF($Q1280="פרופיל 5","קבוצת תשתיות",IF(OR($Q1280="פרופיל 4",$Q1280="פרופיל 3"),"קבוצת רכישה","קבוצת ביסוס"))))</f>
        <v/>
      </c>
      <c r="S1280" s="32">
        <f>IF($F1280="","",IF($F1280="תחילת שנה",1,IF($F1280="מחצית שנה",2,3)))</f>
        <v/>
      </c>
      <c r="T1280" s="32">
        <f>IF(OR($B1280="",$R1280="",$A1280="",$F1280=""),"",$B1280&amp;"|"&amp;$A1280&amp;"|"&amp;$F1280&amp;"|"&amp;$R1280&amp;"|"&amp;COUNTIFS($B$6:$B1280,$B1280,$A$6:$A1280,$A1280,$F$6:$F1280,$F1280,$R$6:$R1280,$R1280))</f>
        <v/>
      </c>
      <c r="U1280" s="32">
        <f>IF($C1280="","",$C1280&amp;"|"&amp;COUNTIFS($C$6:$C1280,$C1280))</f>
        <v/>
      </c>
      <c r="V1280" s="32">
        <f>IF(OR($C1280="",$A1280="",$S1280=""),"",$C1280&amp;"|"&amp;$A1280&amp;"|"&amp;$S1280)</f>
        <v/>
      </c>
      <c r="W1280" s="32">
        <f>IF(OR($C1280="",$S1280="",$S1280=1),"",IFERROR(INDEX($Q$6:$Q$1505,MATCH($C1280&amp;"|"&amp;$A1280&amp;"|"&amp;($S1280-1),$V$6:$V$1505,0)),""))</f>
        <v/>
      </c>
      <c r="X1280" s="32">
        <f>IF(OR($W1280="",$Q1280="",LEFT($Q1280,1)="—"),"",IF($W1280=$Q1280,"ללא שינוי","מ-"&amp;$W1280&amp;" ל-"&amp;$Q1280))</f>
        <v/>
      </c>
    </row>
    <row r="1281">
      <c r="A1281" s="65" t="n"/>
      <c r="B1281" s="65" t="n"/>
      <c r="C1281" s="66" t="n"/>
      <c r="D1281" s="66" t="n"/>
      <c r="E1281" s="65" t="n"/>
      <c r="F1281" s="65" t="n"/>
      <c r="G1281" s="65" t="n"/>
      <c r="H1281" s="65" t="n"/>
      <c r="I1281" s="65" t="n"/>
      <c r="J1281" s="65" t="n"/>
      <c r="K1281" s="65" t="n"/>
      <c r="L1281" s="65" t="n"/>
      <c r="M1281" s="65" t="n"/>
      <c r="N1281" s="65" t="n"/>
      <c r="O1281" s="65" t="n"/>
      <c r="P1281" s="65" t="n"/>
      <c r="Q1281" s="32">
        <f>IF($C1281="","",IF($J1281="","— חסרים נתונים",IF($J1281="טרם מפענח","פרופיל 5",IF($J1281="קמץ/פתח/חטף-פתח ושוואים","פרופיל 4",IF($J1281="2-3 סימני ניקוד","פרופיל 3",IF($J1281="4-5 סימני ניקוד","פרופיל 2",IF(AND($O1281="משפטים וקטעים קצרים",OR($M1281="מבין",$M1281="מבין לרוב")),"פרופיל 1","פרופיל 2")))))))</f>
        <v/>
      </c>
      <c r="R1281" s="32">
        <f>IF($C1281="","",IF(OR($Q1281="",LEFT($Q1281,1)="—"),"קבוצה רביעית",IF($Q1281="פרופיל 5","קבוצת תשתיות",IF(OR($Q1281="פרופיל 4",$Q1281="פרופיל 3"),"קבוצת רכישה","קבוצת ביסוס"))))</f>
        <v/>
      </c>
      <c r="S1281" s="32">
        <f>IF($F1281="","",IF($F1281="תחילת שנה",1,IF($F1281="מחצית שנה",2,3)))</f>
        <v/>
      </c>
      <c r="T1281" s="32">
        <f>IF(OR($B1281="",$R1281="",$A1281="",$F1281=""),"",$B1281&amp;"|"&amp;$A1281&amp;"|"&amp;$F1281&amp;"|"&amp;$R1281&amp;"|"&amp;COUNTIFS($B$6:$B1281,$B1281,$A$6:$A1281,$A1281,$F$6:$F1281,$F1281,$R$6:$R1281,$R1281))</f>
        <v/>
      </c>
      <c r="U1281" s="32">
        <f>IF($C1281="","",$C1281&amp;"|"&amp;COUNTIFS($C$6:$C1281,$C1281))</f>
        <v/>
      </c>
      <c r="V1281" s="32">
        <f>IF(OR($C1281="",$A1281="",$S1281=""),"",$C1281&amp;"|"&amp;$A1281&amp;"|"&amp;$S1281)</f>
        <v/>
      </c>
      <c r="W1281" s="32">
        <f>IF(OR($C1281="",$S1281="",$S1281=1),"",IFERROR(INDEX($Q$6:$Q$1505,MATCH($C1281&amp;"|"&amp;$A1281&amp;"|"&amp;($S1281-1),$V$6:$V$1505,0)),""))</f>
        <v/>
      </c>
      <c r="X1281" s="32">
        <f>IF(OR($W1281="",$Q1281="",LEFT($Q1281,1)="—"),"",IF($W1281=$Q1281,"ללא שינוי","מ-"&amp;$W1281&amp;" ל-"&amp;$Q1281))</f>
        <v/>
      </c>
    </row>
    <row r="1282">
      <c r="A1282" s="65" t="n"/>
      <c r="B1282" s="65" t="n"/>
      <c r="C1282" s="66" t="n"/>
      <c r="D1282" s="66" t="n"/>
      <c r="E1282" s="65" t="n"/>
      <c r="F1282" s="65" t="n"/>
      <c r="G1282" s="65" t="n"/>
      <c r="H1282" s="65" t="n"/>
      <c r="I1282" s="65" t="n"/>
      <c r="J1282" s="65" t="n"/>
      <c r="K1282" s="65" t="n"/>
      <c r="L1282" s="65" t="n"/>
      <c r="M1282" s="65" t="n"/>
      <c r="N1282" s="65" t="n"/>
      <c r="O1282" s="65" t="n"/>
      <c r="P1282" s="65" t="n"/>
      <c r="Q1282" s="32">
        <f>IF($C1282="","",IF($J1282="","— חסרים נתונים",IF($J1282="טרם מפענח","פרופיל 5",IF($J1282="קמץ/פתח/חטף-פתח ושוואים","פרופיל 4",IF($J1282="2-3 סימני ניקוד","פרופיל 3",IF($J1282="4-5 סימני ניקוד","פרופיל 2",IF(AND($O1282="משפטים וקטעים קצרים",OR($M1282="מבין",$M1282="מבין לרוב")),"פרופיל 1","פרופיל 2")))))))</f>
        <v/>
      </c>
      <c r="R1282" s="32">
        <f>IF($C1282="","",IF(OR($Q1282="",LEFT($Q1282,1)="—"),"קבוצה רביעית",IF($Q1282="פרופיל 5","קבוצת תשתיות",IF(OR($Q1282="פרופיל 4",$Q1282="פרופיל 3"),"קבוצת רכישה","קבוצת ביסוס"))))</f>
        <v/>
      </c>
      <c r="S1282" s="32">
        <f>IF($F1282="","",IF($F1282="תחילת שנה",1,IF($F1282="מחצית שנה",2,3)))</f>
        <v/>
      </c>
      <c r="T1282" s="32">
        <f>IF(OR($B1282="",$R1282="",$A1282="",$F1282=""),"",$B1282&amp;"|"&amp;$A1282&amp;"|"&amp;$F1282&amp;"|"&amp;$R1282&amp;"|"&amp;COUNTIFS($B$6:$B1282,$B1282,$A$6:$A1282,$A1282,$F$6:$F1282,$F1282,$R$6:$R1282,$R1282))</f>
        <v/>
      </c>
      <c r="U1282" s="32">
        <f>IF($C1282="","",$C1282&amp;"|"&amp;COUNTIFS($C$6:$C1282,$C1282))</f>
        <v/>
      </c>
      <c r="V1282" s="32">
        <f>IF(OR($C1282="",$A1282="",$S1282=""),"",$C1282&amp;"|"&amp;$A1282&amp;"|"&amp;$S1282)</f>
        <v/>
      </c>
      <c r="W1282" s="32">
        <f>IF(OR($C1282="",$S1282="",$S1282=1),"",IFERROR(INDEX($Q$6:$Q$1505,MATCH($C1282&amp;"|"&amp;$A1282&amp;"|"&amp;($S1282-1),$V$6:$V$1505,0)),""))</f>
        <v/>
      </c>
      <c r="X1282" s="32">
        <f>IF(OR($W1282="",$Q1282="",LEFT($Q1282,1)="—"),"",IF($W1282=$Q1282,"ללא שינוי","מ-"&amp;$W1282&amp;" ל-"&amp;$Q1282))</f>
        <v/>
      </c>
    </row>
    <row r="1283">
      <c r="A1283" s="65" t="n"/>
      <c r="B1283" s="65" t="n"/>
      <c r="C1283" s="66" t="n"/>
      <c r="D1283" s="66" t="n"/>
      <c r="E1283" s="65" t="n"/>
      <c r="F1283" s="65" t="n"/>
      <c r="G1283" s="65" t="n"/>
      <c r="H1283" s="65" t="n"/>
      <c r="I1283" s="65" t="n"/>
      <c r="J1283" s="65" t="n"/>
      <c r="K1283" s="65" t="n"/>
      <c r="L1283" s="65" t="n"/>
      <c r="M1283" s="65" t="n"/>
      <c r="N1283" s="65" t="n"/>
      <c r="O1283" s="65" t="n"/>
      <c r="P1283" s="65" t="n"/>
      <c r="Q1283" s="32">
        <f>IF($C1283="","",IF($J1283="","— חסרים נתונים",IF($J1283="טרם מפענח","פרופיל 5",IF($J1283="קמץ/פתח/חטף-פתח ושוואים","פרופיל 4",IF($J1283="2-3 סימני ניקוד","פרופיל 3",IF($J1283="4-5 סימני ניקוד","פרופיל 2",IF(AND($O1283="משפטים וקטעים קצרים",OR($M1283="מבין",$M1283="מבין לרוב")),"פרופיל 1","פרופיל 2")))))))</f>
        <v/>
      </c>
      <c r="R1283" s="32">
        <f>IF($C1283="","",IF(OR($Q1283="",LEFT($Q1283,1)="—"),"קבוצה רביעית",IF($Q1283="פרופיל 5","קבוצת תשתיות",IF(OR($Q1283="פרופיל 4",$Q1283="פרופיל 3"),"קבוצת רכישה","קבוצת ביסוס"))))</f>
        <v/>
      </c>
      <c r="S1283" s="32">
        <f>IF($F1283="","",IF($F1283="תחילת שנה",1,IF($F1283="מחצית שנה",2,3)))</f>
        <v/>
      </c>
      <c r="T1283" s="32">
        <f>IF(OR($B1283="",$R1283="",$A1283="",$F1283=""),"",$B1283&amp;"|"&amp;$A1283&amp;"|"&amp;$F1283&amp;"|"&amp;$R1283&amp;"|"&amp;COUNTIFS($B$6:$B1283,$B1283,$A$6:$A1283,$A1283,$F$6:$F1283,$F1283,$R$6:$R1283,$R1283))</f>
        <v/>
      </c>
      <c r="U1283" s="32">
        <f>IF($C1283="","",$C1283&amp;"|"&amp;COUNTIFS($C$6:$C1283,$C1283))</f>
        <v/>
      </c>
      <c r="V1283" s="32">
        <f>IF(OR($C1283="",$A1283="",$S1283=""),"",$C1283&amp;"|"&amp;$A1283&amp;"|"&amp;$S1283)</f>
        <v/>
      </c>
      <c r="W1283" s="32">
        <f>IF(OR($C1283="",$S1283="",$S1283=1),"",IFERROR(INDEX($Q$6:$Q$1505,MATCH($C1283&amp;"|"&amp;$A1283&amp;"|"&amp;($S1283-1),$V$6:$V$1505,0)),""))</f>
        <v/>
      </c>
      <c r="X1283" s="32">
        <f>IF(OR($W1283="",$Q1283="",LEFT($Q1283,1)="—"),"",IF($W1283=$Q1283,"ללא שינוי","מ-"&amp;$W1283&amp;" ל-"&amp;$Q1283))</f>
        <v/>
      </c>
    </row>
    <row r="1284">
      <c r="A1284" s="65" t="n"/>
      <c r="B1284" s="65" t="n"/>
      <c r="C1284" s="66" t="n"/>
      <c r="D1284" s="66" t="n"/>
      <c r="E1284" s="65" t="n"/>
      <c r="F1284" s="65" t="n"/>
      <c r="G1284" s="65" t="n"/>
      <c r="H1284" s="65" t="n"/>
      <c r="I1284" s="65" t="n"/>
      <c r="J1284" s="65" t="n"/>
      <c r="K1284" s="65" t="n"/>
      <c r="L1284" s="65" t="n"/>
      <c r="M1284" s="65" t="n"/>
      <c r="N1284" s="65" t="n"/>
      <c r="O1284" s="65" t="n"/>
      <c r="P1284" s="65" t="n"/>
      <c r="Q1284" s="32">
        <f>IF($C1284="","",IF($J1284="","— חסרים נתונים",IF($J1284="טרם מפענח","פרופיל 5",IF($J1284="קמץ/פתח/חטף-פתח ושוואים","פרופיל 4",IF($J1284="2-3 סימני ניקוד","פרופיל 3",IF($J1284="4-5 סימני ניקוד","פרופיל 2",IF(AND($O1284="משפטים וקטעים קצרים",OR($M1284="מבין",$M1284="מבין לרוב")),"פרופיל 1","פרופיל 2")))))))</f>
        <v/>
      </c>
      <c r="R1284" s="32">
        <f>IF($C1284="","",IF(OR($Q1284="",LEFT($Q1284,1)="—"),"קבוצה רביעית",IF($Q1284="פרופיל 5","קבוצת תשתיות",IF(OR($Q1284="פרופיל 4",$Q1284="פרופיל 3"),"קבוצת רכישה","קבוצת ביסוס"))))</f>
        <v/>
      </c>
      <c r="S1284" s="32">
        <f>IF($F1284="","",IF($F1284="תחילת שנה",1,IF($F1284="מחצית שנה",2,3)))</f>
        <v/>
      </c>
      <c r="T1284" s="32">
        <f>IF(OR($B1284="",$R1284="",$A1284="",$F1284=""),"",$B1284&amp;"|"&amp;$A1284&amp;"|"&amp;$F1284&amp;"|"&amp;$R1284&amp;"|"&amp;COUNTIFS($B$6:$B1284,$B1284,$A$6:$A1284,$A1284,$F$6:$F1284,$F1284,$R$6:$R1284,$R1284))</f>
        <v/>
      </c>
      <c r="U1284" s="32">
        <f>IF($C1284="","",$C1284&amp;"|"&amp;COUNTIFS($C$6:$C1284,$C1284))</f>
        <v/>
      </c>
      <c r="V1284" s="32">
        <f>IF(OR($C1284="",$A1284="",$S1284=""),"",$C1284&amp;"|"&amp;$A1284&amp;"|"&amp;$S1284)</f>
        <v/>
      </c>
      <c r="W1284" s="32">
        <f>IF(OR($C1284="",$S1284="",$S1284=1),"",IFERROR(INDEX($Q$6:$Q$1505,MATCH($C1284&amp;"|"&amp;$A1284&amp;"|"&amp;($S1284-1),$V$6:$V$1505,0)),""))</f>
        <v/>
      </c>
      <c r="X1284" s="32">
        <f>IF(OR($W1284="",$Q1284="",LEFT($Q1284,1)="—"),"",IF($W1284=$Q1284,"ללא שינוי","מ-"&amp;$W1284&amp;" ל-"&amp;$Q1284))</f>
        <v/>
      </c>
    </row>
    <row r="1285">
      <c r="A1285" s="65" t="n"/>
      <c r="B1285" s="65" t="n"/>
      <c r="C1285" s="66" t="n"/>
      <c r="D1285" s="66" t="n"/>
      <c r="E1285" s="65" t="n"/>
      <c r="F1285" s="65" t="n"/>
      <c r="G1285" s="65" t="n"/>
      <c r="H1285" s="65" t="n"/>
      <c r="I1285" s="65" t="n"/>
      <c r="J1285" s="65" t="n"/>
      <c r="K1285" s="65" t="n"/>
      <c r="L1285" s="65" t="n"/>
      <c r="M1285" s="65" t="n"/>
      <c r="N1285" s="65" t="n"/>
      <c r="O1285" s="65" t="n"/>
      <c r="P1285" s="65" t="n"/>
      <c r="Q1285" s="32">
        <f>IF($C1285="","",IF($J1285="","— חסרים נתונים",IF($J1285="טרם מפענח","פרופיל 5",IF($J1285="קמץ/פתח/חטף-פתח ושוואים","פרופיל 4",IF($J1285="2-3 סימני ניקוד","פרופיל 3",IF($J1285="4-5 סימני ניקוד","פרופיל 2",IF(AND($O1285="משפטים וקטעים קצרים",OR($M1285="מבין",$M1285="מבין לרוב")),"פרופיל 1","פרופיל 2")))))))</f>
        <v/>
      </c>
      <c r="R1285" s="32">
        <f>IF($C1285="","",IF(OR($Q1285="",LEFT($Q1285,1)="—"),"קבוצה רביעית",IF($Q1285="פרופיל 5","קבוצת תשתיות",IF(OR($Q1285="פרופיל 4",$Q1285="פרופיל 3"),"קבוצת רכישה","קבוצת ביסוס"))))</f>
        <v/>
      </c>
      <c r="S1285" s="32">
        <f>IF($F1285="","",IF($F1285="תחילת שנה",1,IF($F1285="מחצית שנה",2,3)))</f>
        <v/>
      </c>
      <c r="T1285" s="32">
        <f>IF(OR($B1285="",$R1285="",$A1285="",$F1285=""),"",$B1285&amp;"|"&amp;$A1285&amp;"|"&amp;$F1285&amp;"|"&amp;$R1285&amp;"|"&amp;COUNTIFS($B$6:$B1285,$B1285,$A$6:$A1285,$A1285,$F$6:$F1285,$F1285,$R$6:$R1285,$R1285))</f>
        <v/>
      </c>
      <c r="U1285" s="32">
        <f>IF($C1285="","",$C1285&amp;"|"&amp;COUNTIFS($C$6:$C1285,$C1285))</f>
        <v/>
      </c>
      <c r="V1285" s="32">
        <f>IF(OR($C1285="",$A1285="",$S1285=""),"",$C1285&amp;"|"&amp;$A1285&amp;"|"&amp;$S1285)</f>
        <v/>
      </c>
      <c r="W1285" s="32">
        <f>IF(OR($C1285="",$S1285="",$S1285=1),"",IFERROR(INDEX($Q$6:$Q$1505,MATCH($C1285&amp;"|"&amp;$A1285&amp;"|"&amp;($S1285-1),$V$6:$V$1505,0)),""))</f>
        <v/>
      </c>
      <c r="X1285" s="32">
        <f>IF(OR($W1285="",$Q1285="",LEFT($Q1285,1)="—"),"",IF($W1285=$Q1285,"ללא שינוי","מ-"&amp;$W1285&amp;" ל-"&amp;$Q1285))</f>
        <v/>
      </c>
    </row>
    <row r="1286">
      <c r="A1286" s="65" t="n"/>
      <c r="B1286" s="65" t="n"/>
      <c r="C1286" s="66" t="n"/>
      <c r="D1286" s="66" t="n"/>
      <c r="E1286" s="65" t="n"/>
      <c r="F1286" s="65" t="n"/>
      <c r="G1286" s="65" t="n"/>
      <c r="H1286" s="65" t="n"/>
      <c r="I1286" s="65" t="n"/>
      <c r="J1286" s="65" t="n"/>
      <c r="K1286" s="65" t="n"/>
      <c r="L1286" s="65" t="n"/>
      <c r="M1286" s="65" t="n"/>
      <c r="N1286" s="65" t="n"/>
      <c r="O1286" s="65" t="n"/>
      <c r="P1286" s="65" t="n"/>
      <c r="Q1286" s="32">
        <f>IF($C1286="","",IF($J1286="","— חסרים נתונים",IF($J1286="טרם מפענח","פרופיל 5",IF($J1286="קמץ/פתח/חטף-פתח ושוואים","פרופיל 4",IF($J1286="2-3 סימני ניקוד","פרופיל 3",IF($J1286="4-5 סימני ניקוד","פרופיל 2",IF(AND($O1286="משפטים וקטעים קצרים",OR($M1286="מבין",$M1286="מבין לרוב")),"פרופיל 1","פרופיל 2")))))))</f>
        <v/>
      </c>
      <c r="R1286" s="32">
        <f>IF($C1286="","",IF(OR($Q1286="",LEFT($Q1286,1)="—"),"קבוצה רביעית",IF($Q1286="פרופיל 5","קבוצת תשתיות",IF(OR($Q1286="פרופיל 4",$Q1286="פרופיל 3"),"קבוצת רכישה","קבוצת ביסוס"))))</f>
        <v/>
      </c>
      <c r="S1286" s="32">
        <f>IF($F1286="","",IF($F1286="תחילת שנה",1,IF($F1286="מחצית שנה",2,3)))</f>
        <v/>
      </c>
      <c r="T1286" s="32">
        <f>IF(OR($B1286="",$R1286="",$A1286="",$F1286=""),"",$B1286&amp;"|"&amp;$A1286&amp;"|"&amp;$F1286&amp;"|"&amp;$R1286&amp;"|"&amp;COUNTIFS($B$6:$B1286,$B1286,$A$6:$A1286,$A1286,$F$6:$F1286,$F1286,$R$6:$R1286,$R1286))</f>
        <v/>
      </c>
      <c r="U1286" s="32">
        <f>IF($C1286="","",$C1286&amp;"|"&amp;COUNTIFS($C$6:$C1286,$C1286))</f>
        <v/>
      </c>
      <c r="V1286" s="32">
        <f>IF(OR($C1286="",$A1286="",$S1286=""),"",$C1286&amp;"|"&amp;$A1286&amp;"|"&amp;$S1286)</f>
        <v/>
      </c>
      <c r="W1286" s="32">
        <f>IF(OR($C1286="",$S1286="",$S1286=1),"",IFERROR(INDEX($Q$6:$Q$1505,MATCH($C1286&amp;"|"&amp;$A1286&amp;"|"&amp;($S1286-1),$V$6:$V$1505,0)),""))</f>
        <v/>
      </c>
      <c r="X1286" s="32">
        <f>IF(OR($W1286="",$Q1286="",LEFT($Q1286,1)="—"),"",IF($W1286=$Q1286,"ללא שינוי","מ-"&amp;$W1286&amp;" ל-"&amp;$Q1286))</f>
        <v/>
      </c>
    </row>
    <row r="1287">
      <c r="A1287" s="65" t="n"/>
      <c r="B1287" s="65" t="n"/>
      <c r="C1287" s="66" t="n"/>
      <c r="D1287" s="66" t="n"/>
      <c r="E1287" s="65" t="n"/>
      <c r="F1287" s="65" t="n"/>
      <c r="G1287" s="65" t="n"/>
      <c r="H1287" s="65" t="n"/>
      <c r="I1287" s="65" t="n"/>
      <c r="J1287" s="65" t="n"/>
      <c r="K1287" s="65" t="n"/>
      <c r="L1287" s="65" t="n"/>
      <c r="M1287" s="65" t="n"/>
      <c r="N1287" s="65" t="n"/>
      <c r="O1287" s="65" t="n"/>
      <c r="P1287" s="65" t="n"/>
      <c r="Q1287" s="32">
        <f>IF($C1287="","",IF($J1287="","— חסרים נתונים",IF($J1287="טרם מפענח","פרופיל 5",IF($J1287="קמץ/פתח/חטף-פתח ושוואים","פרופיל 4",IF($J1287="2-3 סימני ניקוד","פרופיל 3",IF($J1287="4-5 סימני ניקוד","פרופיל 2",IF(AND($O1287="משפטים וקטעים קצרים",OR($M1287="מבין",$M1287="מבין לרוב")),"פרופיל 1","פרופיל 2")))))))</f>
        <v/>
      </c>
      <c r="R1287" s="32">
        <f>IF($C1287="","",IF(OR($Q1287="",LEFT($Q1287,1)="—"),"קבוצה רביעית",IF($Q1287="פרופיל 5","קבוצת תשתיות",IF(OR($Q1287="פרופיל 4",$Q1287="פרופיל 3"),"קבוצת רכישה","קבוצת ביסוס"))))</f>
        <v/>
      </c>
      <c r="S1287" s="32">
        <f>IF($F1287="","",IF($F1287="תחילת שנה",1,IF($F1287="מחצית שנה",2,3)))</f>
        <v/>
      </c>
      <c r="T1287" s="32">
        <f>IF(OR($B1287="",$R1287="",$A1287="",$F1287=""),"",$B1287&amp;"|"&amp;$A1287&amp;"|"&amp;$F1287&amp;"|"&amp;$R1287&amp;"|"&amp;COUNTIFS($B$6:$B1287,$B1287,$A$6:$A1287,$A1287,$F$6:$F1287,$F1287,$R$6:$R1287,$R1287))</f>
        <v/>
      </c>
      <c r="U1287" s="32">
        <f>IF($C1287="","",$C1287&amp;"|"&amp;COUNTIFS($C$6:$C1287,$C1287))</f>
        <v/>
      </c>
      <c r="V1287" s="32">
        <f>IF(OR($C1287="",$A1287="",$S1287=""),"",$C1287&amp;"|"&amp;$A1287&amp;"|"&amp;$S1287)</f>
        <v/>
      </c>
      <c r="W1287" s="32">
        <f>IF(OR($C1287="",$S1287="",$S1287=1),"",IFERROR(INDEX($Q$6:$Q$1505,MATCH($C1287&amp;"|"&amp;$A1287&amp;"|"&amp;($S1287-1),$V$6:$V$1505,0)),""))</f>
        <v/>
      </c>
      <c r="X1287" s="32">
        <f>IF(OR($W1287="",$Q1287="",LEFT($Q1287,1)="—"),"",IF($W1287=$Q1287,"ללא שינוי","מ-"&amp;$W1287&amp;" ל-"&amp;$Q1287))</f>
        <v/>
      </c>
    </row>
    <row r="1288">
      <c r="A1288" s="65" t="n"/>
      <c r="B1288" s="65" t="n"/>
      <c r="C1288" s="66" t="n"/>
      <c r="D1288" s="66" t="n"/>
      <c r="E1288" s="65" t="n"/>
      <c r="F1288" s="65" t="n"/>
      <c r="G1288" s="65" t="n"/>
      <c r="H1288" s="65" t="n"/>
      <c r="I1288" s="65" t="n"/>
      <c r="J1288" s="65" t="n"/>
      <c r="K1288" s="65" t="n"/>
      <c r="L1288" s="65" t="n"/>
      <c r="M1288" s="65" t="n"/>
      <c r="N1288" s="65" t="n"/>
      <c r="O1288" s="65" t="n"/>
      <c r="P1288" s="65" t="n"/>
      <c r="Q1288" s="32">
        <f>IF($C1288="","",IF($J1288="","— חסרים נתונים",IF($J1288="טרם מפענח","פרופיל 5",IF($J1288="קמץ/פתח/חטף-פתח ושוואים","פרופיל 4",IF($J1288="2-3 סימני ניקוד","פרופיל 3",IF($J1288="4-5 סימני ניקוד","פרופיל 2",IF(AND($O1288="משפטים וקטעים קצרים",OR($M1288="מבין",$M1288="מבין לרוב")),"פרופיל 1","פרופיל 2")))))))</f>
        <v/>
      </c>
      <c r="R1288" s="32">
        <f>IF($C1288="","",IF(OR($Q1288="",LEFT($Q1288,1)="—"),"קבוצה רביעית",IF($Q1288="פרופיל 5","קבוצת תשתיות",IF(OR($Q1288="פרופיל 4",$Q1288="פרופיל 3"),"קבוצת רכישה","קבוצת ביסוס"))))</f>
        <v/>
      </c>
      <c r="S1288" s="32">
        <f>IF($F1288="","",IF($F1288="תחילת שנה",1,IF($F1288="מחצית שנה",2,3)))</f>
        <v/>
      </c>
      <c r="T1288" s="32">
        <f>IF(OR($B1288="",$R1288="",$A1288="",$F1288=""),"",$B1288&amp;"|"&amp;$A1288&amp;"|"&amp;$F1288&amp;"|"&amp;$R1288&amp;"|"&amp;COUNTIFS($B$6:$B1288,$B1288,$A$6:$A1288,$A1288,$F$6:$F1288,$F1288,$R$6:$R1288,$R1288))</f>
        <v/>
      </c>
      <c r="U1288" s="32">
        <f>IF($C1288="","",$C1288&amp;"|"&amp;COUNTIFS($C$6:$C1288,$C1288))</f>
        <v/>
      </c>
      <c r="V1288" s="32">
        <f>IF(OR($C1288="",$A1288="",$S1288=""),"",$C1288&amp;"|"&amp;$A1288&amp;"|"&amp;$S1288)</f>
        <v/>
      </c>
      <c r="W1288" s="32">
        <f>IF(OR($C1288="",$S1288="",$S1288=1),"",IFERROR(INDEX($Q$6:$Q$1505,MATCH($C1288&amp;"|"&amp;$A1288&amp;"|"&amp;($S1288-1),$V$6:$V$1505,0)),""))</f>
        <v/>
      </c>
      <c r="X1288" s="32">
        <f>IF(OR($W1288="",$Q1288="",LEFT($Q1288,1)="—"),"",IF($W1288=$Q1288,"ללא שינוי","מ-"&amp;$W1288&amp;" ל-"&amp;$Q1288))</f>
        <v/>
      </c>
    </row>
    <row r="1289">
      <c r="A1289" s="65" t="n"/>
      <c r="B1289" s="65" t="n"/>
      <c r="C1289" s="66" t="n"/>
      <c r="D1289" s="66" t="n"/>
      <c r="E1289" s="65" t="n"/>
      <c r="F1289" s="65" t="n"/>
      <c r="G1289" s="65" t="n"/>
      <c r="H1289" s="65" t="n"/>
      <c r="I1289" s="65" t="n"/>
      <c r="J1289" s="65" t="n"/>
      <c r="K1289" s="65" t="n"/>
      <c r="L1289" s="65" t="n"/>
      <c r="M1289" s="65" t="n"/>
      <c r="N1289" s="65" t="n"/>
      <c r="O1289" s="65" t="n"/>
      <c r="P1289" s="65" t="n"/>
      <c r="Q1289" s="32">
        <f>IF($C1289="","",IF($J1289="","— חסרים נתונים",IF($J1289="טרם מפענח","פרופיל 5",IF($J1289="קמץ/פתח/חטף-פתח ושוואים","פרופיל 4",IF($J1289="2-3 סימני ניקוד","פרופיל 3",IF($J1289="4-5 סימני ניקוד","פרופיל 2",IF(AND($O1289="משפטים וקטעים קצרים",OR($M1289="מבין",$M1289="מבין לרוב")),"פרופיל 1","פרופיל 2")))))))</f>
        <v/>
      </c>
      <c r="R1289" s="32">
        <f>IF($C1289="","",IF(OR($Q1289="",LEFT($Q1289,1)="—"),"קבוצה רביעית",IF($Q1289="פרופיל 5","קבוצת תשתיות",IF(OR($Q1289="פרופיל 4",$Q1289="פרופיל 3"),"קבוצת רכישה","קבוצת ביסוס"))))</f>
        <v/>
      </c>
      <c r="S1289" s="32">
        <f>IF($F1289="","",IF($F1289="תחילת שנה",1,IF($F1289="מחצית שנה",2,3)))</f>
        <v/>
      </c>
      <c r="T1289" s="32">
        <f>IF(OR($B1289="",$R1289="",$A1289="",$F1289=""),"",$B1289&amp;"|"&amp;$A1289&amp;"|"&amp;$F1289&amp;"|"&amp;$R1289&amp;"|"&amp;COUNTIFS($B$6:$B1289,$B1289,$A$6:$A1289,$A1289,$F$6:$F1289,$F1289,$R$6:$R1289,$R1289))</f>
        <v/>
      </c>
      <c r="U1289" s="32">
        <f>IF($C1289="","",$C1289&amp;"|"&amp;COUNTIFS($C$6:$C1289,$C1289))</f>
        <v/>
      </c>
      <c r="V1289" s="32">
        <f>IF(OR($C1289="",$A1289="",$S1289=""),"",$C1289&amp;"|"&amp;$A1289&amp;"|"&amp;$S1289)</f>
        <v/>
      </c>
      <c r="W1289" s="32">
        <f>IF(OR($C1289="",$S1289="",$S1289=1),"",IFERROR(INDEX($Q$6:$Q$1505,MATCH($C1289&amp;"|"&amp;$A1289&amp;"|"&amp;($S1289-1),$V$6:$V$1505,0)),""))</f>
        <v/>
      </c>
      <c r="X1289" s="32">
        <f>IF(OR($W1289="",$Q1289="",LEFT($Q1289,1)="—"),"",IF($W1289=$Q1289,"ללא שינוי","מ-"&amp;$W1289&amp;" ל-"&amp;$Q1289))</f>
        <v/>
      </c>
    </row>
    <row r="1290">
      <c r="A1290" s="65" t="n"/>
      <c r="B1290" s="65" t="n"/>
      <c r="C1290" s="66" t="n"/>
      <c r="D1290" s="66" t="n"/>
      <c r="E1290" s="65" t="n"/>
      <c r="F1290" s="65" t="n"/>
      <c r="G1290" s="65" t="n"/>
      <c r="H1290" s="65" t="n"/>
      <c r="I1290" s="65" t="n"/>
      <c r="J1290" s="65" t="n"/>
      <c r="K1290" s="65" t="n"/>
      <c r="L1290" s="65" t="n"/>
      <c r="M1290" s="65" t="n"/>
      <c r="N1290" s="65" t="n"/>
      <c r="O1290" s="65" t="n"/>
      <c r="P1290" s="65" t="n"/>
      <c r="Q1290" s="32">
        <f>IF($C1290="","",IF($J1290="","— חסרים נתונים",IF($J1290="טרם מפענח","פרופיל 5",IF($J1290="קמץ/פתח/חטף-פתח ושוואים","פרופיל 4",IF($J1290="2-3 סימני ניקוד","פרופיל 3",IF($J1290="4-5 סימני ניקוד","פרופיל 2",IF(AND($O1290="משפטים וקטעים קצרים",OR($M1290="מבין",$M1290="מבין לרוב")),"פרופיל 1","פרופיל 2")))))))</f>
        <v/>
      </c>
      <c r="R1290" s="32">
        <f>IF($C1290="","",IF(OR($Q1290="",LEFT($Q1290,1)="—"),"קבוצה רביעית",IF($Q1290="פרופיל 5","קבוצת תשתיות",IF(OR($Q1290="פרופיל 4",$Q1290="פרופיל 3"),"קבוצת רכישה","קבוצת ביסוס"))))</f>
        <v/>
      </c>
      <c r="S1290" s="32">
        <f>IF($F1290="","",IF($F1290="תחילת שנה",1,IF($F1290="מחצית שנה",2,3)))</f>
        <v/>
      </c>
      <c r="T1290" s="32">
        <f>IF(OR($B1290="",$R1290="",$A1290="",$F1290=""),"",$B1290&amp;"|"&amp;$A1290&amp;"|"&amp;$F1290&amp;"|"&amp;$R1290&amp;"|"&amp;COUNTIFS($B$6:$B1290,$B1290,$A$6:$A1290,$A1290,$F$6:$F1290,$F1290,$R$6:$R1290,$R1290))</f>
        <v/>
      </c>
      <c r="U1290" s="32">
        <f>IF($C1290="","",$C1290&amp;"|"&amp;COUNTIFS($C$6:$C1290,$C1290))</f>
        <v/>
      </c>
      <c r="V1290" s="32">
        <f>IF(OR($C1290="",$A1290="",$S1290=""),"",$C1290&amp;"|"&amp;$A1290&amp;"|"&amp;$S1290)</f>
        <v/>
      </c>
      <c r="W1290" s="32">
        <f>IF(OR($C1290="",$S1290="",$S1290=1),"",IFERROR(INDEX($Q$6:$Q$1505,MATCH($C1290&amp;"|"&amp;$A1290&amp;"|"&amp;($S1290-1),$V$6:$V$1505,0)),""))</f>
        <v/>
      </c>
      <c r="X1290" s="32">
        <f>IF(OR($W1290="",$Q1290="",LEFT($Q1290,1)="—"),"",IF($W1290=$Q1290,"ללא שינוי","מ-"&amp;$W1290&amp;" ל-"&amp;$Q1290))</f>
        <v/>
      </c>
    </row>
    <row r="1291">
      <c r="A1291" s="65" t="n"/>
      <c r="B1291" s="65" t="n"/>
      <c r="C1291" s="66" t="n"/>
      <c r="D1291" s="66" t="n"/>
      <c r="E1291" s="65" t="n"/>
      <c r="F1291" s="65" t="n"/>
      <c r="G1291" s="65" t="n"/>
      <c r="H1291" s="65" t="n"/>
      <c r="I1291" s="65" t="n"/>
      <c r="J1291" s="65" t="n"/>
      <c r="K1291" s="65" t="n"/>
      <c r="L1291" s="65" t="n"/>
      <c r="M1291" s="65" t="n"/>
      <c r="N1291" s="65" t="n"/>
      <c r="O1291" s="65" t="n"/>
      <c r="P1291" s="65" t="n"/>
      <c r="Q1291" s="32">
        <f>IF($C1291="","",IF($J1291="","— חסרים נתונים",IF($J1291="טרם מפענח","פרופיל 5",IF($J1291="קמץ/פתח/חטף-פתח ושוואים","פרופיל 4",IF($J1291="2-3 סימני ניקוד","פרופיל 3",IF($J1291="4-5 סימני ניקוד","פרופיל 2",IF(AND($O1291="משפטים וקטעים קצרים",OR($M1291="מבין",$M1291="מבין לרוב")),"פרופיל 1","פרופיל 2")))))))</f>
        <v/>
      </c>
      <c r="R1291" s="32">
        <f>IF($C1291="","",IF(OR($Q1291="",LEFT($Q1291,1)="—"),"קבוצה רביעית",IF($Q1291="פרופיל 5","קבוצת תשתיות",IF(OR($Q1291="פרופיל 4",$Q1291="פרופיל 3"),"קבוצת רכישה","קבוצת ביסוס"))))</f>
        <v/>
      </c>
      <c r="S1291" s="32">
        <f>IF($F1291="","",IF($F1291="תחילת שנה",1,IF($F1291="מחצית שנה",2,3)))</f>
        <v/>
      </c>
      <c r="T1291" s="32">
        <f>IF(OR($B1291="",$R1291="",$A1291="",$F1291=""),"",$B1291&amp;"|"&amp;$A1291&amp;"|"&amp;$F1291&amp;"|"&amp;$R1291&amp;"|"&amp;COUNTIFS($B$6:$B1291,$B1291,$A$6:$A1291,$A1291,$F$6:$F1291,$F1291,$R$6:$R1291,$R1291))</f>
        <v/>
      </c>
      <c r="U1291" s="32">
        <f>IF($C1291="","",$C1291&amp;"|"&amp;COUNTIFS($C$6:$C1291,$C1291))</f>
        <v/>
      </c>
      <c r="V1291" s="32">
        <f>IF(OR($C1291="",$A1291="",$S1291=""),"",$C1291&amp;"|"&amp;$A1291&amp;"|"&amp;$S1291)</f>
        <v/>
      </c>
      <c r="W1291" s="32">
        <f>IF(OR($C1291="",$S1291="",$S1291=1),"",IFERROR(INDEX($Q$6:$Q$1505,MATCH($C1291&amp;"|"&amp;$A1291&amp;"|"&amp;($S1291-1),$V$6:$V$1505,0)),""))</f>
        <v/>
      </c>
      <c r="X1291" s="32">
        <f>IF(OR($W1291="",$Q1291="",LEFT($Q1291,1)="—"),"",IF($W1291=$Q1291,"ללא שינוי","מ-"&amp;$W1291&amp;" ל-"&amp;$Q1291))</f>
        <v/>
      </c>
    </row>
    <row r="1292">
      <c r="A1292" s="65" t="n"/>
      <c r="B1292" s="65" t="n"/>
      <c r="C1292" s="66" t="n"/>
      <c r="D1292" s="66" t="n"/>
      <c r="E1292" s="65" t="n"/>
      <c r="F1292" s="65" t="n"/>
      <c r="G1292" s="65" t="n"/>
      <c r="H1292" s="65" t="n"/>
      <c r="I1292" s="65" t="n"/>
      <c r="J1292" s="65" t="n"/>
      <c r="K1292" s="65" t="n"/>
      <c r="L1292" s="65" t="n"/>
      <c r="M1292" s="65" t="n"/>
      <c r="N1292" s="65" t="n"/>
      <c r="O1292" s="65" t="n"/>
      <c r="P1292" s="65" t="n"/>
      <c r="Q1292" s="32">
        <f>IF($C1292="","",IF($J1292="","— חסרים נתונים",IF($J1292="טרם מפענח","פרופיל 5",IF($J1292="קמץ/פתח/חטף-פתח ושוואים","פרופיל 4",IF($J1292="2-3 סימני ניקוד","פרופיל 3",IF($J1292="4-5 סימני ניקוד","פרופיל 2",IF(AND($O1292="משפטים וקטעים קצרים",OR($M1292="מבין",$M1292="מבין לרוב")),"פרופיל 1","פרופיל 2")))))))</f>
        <v/>
      </c>
      <c r="R1292" s="32">
        <f>IF($C1292="","",IF(OR($Q1292="",LEFT($Q1292,1)="—"),"קבוצה רביעית",IF($Q1292="פרופיל 5","קבוצת תשתיות",IF(OR($Q1292="פרופיל 4",$Q1292="פרופיל 3"),"קבוצת רכישה","קבוצת ביסוס"))))</f>
        <v/>
      </c>
      <c r="S1292" s="32">
        <f>IF($F1292="","",IF($F1292="תחילת שנה",1,IF($F1292="מחצית שנה",2,3)))</f>
        <v/>
      </c>
      <c r="T1292" s="32">
        <f>IF(OR($B1292="",$R1292="",$A1292="",$F1292=""),"",$B1292&amp;"|"&amp;$A1292&amp;"|"&amp;$F1292&amp;"|"&amp;$R1292&amp;"|"&amp;COUNTIFS($B$6:$B1292,$B1292,$A$6:$A1292,$A1292,$F$6:$F1292,$F1292,$R$6:$R1292,$R1292))</f>
        <v/>
      </c>
      <c r="U1292" s="32">
        <f>IF($C1292="","",$C1292&amp;"|"&amp;COUNTIFS($C$6:$C1292,$C1292))</f>
        <v/>
      </c>
      <c r="V1292" s="32">
        <f>IF(OR($C1292="",$A1292="",$S1292=""),"",$C1292&amp;"|"&amp;$A1292&amp;"|"&amp;$S1292)</f>
        <v/>
      </c>
      <c r="W1292" s="32">
        <f>IF(OR($C1292="",$S1292="",$S1292=1),"",IFERROR(INDEX($Q$6:$Q$1505,MATCH($C1292&amp;"|"&amp;$A1292&amp;"|"&amp;($S1292-1),$V$6:$V$1505,0)),""))</f>
        <v/>
      </c>
      <c r="X1292" s="32">
        <f>IF(OR($W1292="",$Q1292="",LEFT($Q1292,1)="—"),"",IF($W1292=$Q1292,"ללא שינוי","מ-"&amp;$W1292&amp;" ל-"&amp;$Q1292))</f>
        <v/>
      </c>
    </row>
    <row r="1293">
      <c r="A1293" s="65" t="n"/>
      <c r="B1293" s="65" t="n"/>
      <c r="C1293" s="66" t="n"/>
      <c r="D1293" s="66" t="n"/>
      <c r="E1293" s="65" t="n"/>
      <c r="F1293" s="65" t="n"/>
      <c r="G1293" s="65" t="n"/>
      <c r="H1293" s="65" t="n"/>
      <c r="I1293" s="65" t="n"/>
      <c r="J1293" s="65" t="n"/>
      <c r="K1293" s="65" t="n"/>
      <c r="L1293" s="65" t="n"/>
      <c r="M1293" s="65" t="n"/>
      <c r="N1293" s="65" t="n"/>
      <c r="O1293" s="65" t="n"/>
      <c r="P1293" s="65" t="n"/>
      <c r="Q1293" s="32">
        <f>IF($C1293="","",IF($J1293="","— חסרים נתונים",IF($J1293="טרם מפענח","פרופיל 5",IF($J1293="קמץ/פתח/חטף-פתח ושוואים","פרופיל 4",IF($J1293="2-3 סימני ניקוד","פרופיל 3",IF($J1293="4-5 סימני ניקוד","פרופיל 2",IF(AND($O1293="משפטים וקטעים קצרים",OR($M1293="מבין",$M1293="מבין לרוב")),"פרופיל 1","פרופיל 2")))))))</f>
        <v/>
      </c>
      <c r="R1293" s="32">
        <f>IF($C1293="","",IF(OR($Q1293="",LEFT($Q1293,1)="—"),"קבוצה רביעית",IF($Q1293="פרופיל 5","קבוצת תשתיות",IF(OR($Q1293="פרופיל 4",$Q1293="פרופיל 3"),"קבוצת רכישה","קבוצת ביסוס"))))</f>
        <v/>
      </c>
      <c r="S1293" s="32">
        <f>IF($F1293="","",IF($F1293="תחילת שנה",1,IF($F1293="מחצית שנה",2,3)))</f>
        <v/>
      </c>
      <c r="T1293" s="32">
        <f>IF(OR($B1293="",$R1293="",$A1293="",$F1293=""),"",$B1293&amp;"|"&amp;$A1293&amp;"|"&amp;$F1293&amp;"|"&amp;$R1293&amp;"|"&amp;COUNTIFS($B$6:$B1293,$B1293,$A$6:$A1293,$A1293,$F$6:$F1293,$F1293,$R$6:$R1293,$R1293))</f>
        <v/>
      </c>
      <c r="U1293" s="32">
        <f>IF($C1293="","",$C1293&amp;"|"&amp;COUNTIFS($C$6:$C1293,$C1293))</f>
        <v/>
      </c>
      <c r="V1293" s="32">
        <f>IF(OR($C1293="",$A1293="",$S1293=""),"",$C1293&amp;"|"&amp;$A1293&amp;"|"&amp;$S1293)</f>
        <v/>
      </c>
      <c r="W1293" s="32">
        <f>IF(OR($C1293="",$S1293="",$S1293=1),"",IFERROR(INDEX($Q$6:$Q$1505,MATCH($C1293&amp;"|"&amp;$A1293&amp;"|"&amp;($S1293-1),$V$6:$V$1505,0)),""))</f>
        <v/>
      </c>
      <c r="X1293" s="32">
        <f>IF(OR($W1293="",$Q1293="",LEFT($Q1293,1)="—"),"",IF($W1293=$Q1293,"ללא שינוי","מ-"&amp;$W1293&amp;" ל-"&amp;$Q1293))</f>
        <v/>
      </c>
    </row>
    <row r="1294">
      <c r="A1294" s="65" t="n"/>
      <c r="B1294" s="65" t="n"/>
      <c r="C1294" s="66" t="n"/>
      <c r="D1294" s="66" t="n"/>
      <c r="E1294" s="65" t="n"/>
      <c r="F1294" s="65" t="n"/>
      <c r="G1294" s="65" t="n"/>
      <c r="H1294" s="65" t="n"/>
      <c r="I1294" s="65" t="n"/>
      <c r="J1294" s="65" t="n"/>
      <c r="K1294" s="65" t="n"/>
      <c r="L1294" s="65" t="n"/>
      <c r="M1294" s="65" t="n"/>
      <c r="N1294" s="65" t="n"/>
      <c r="O1294" s="65" t="n"/>
      <c r="P1294" s="65" t="n"/>
      <c r="Q1294" s="32">
        <f>IF($C1294="","",IF($J1294="","— חסרים נתונים",IF($J1294="טרם מפענח","פרופיל 5",IF($J1294="קמץ/פתח/חטף-פתח ושוואים","פרופיל 4",IF($J1294="2-3 סימני ניקוד","פרופיל 3",IF($J1294="4-5 סימני ניקוד","פרופיל 2",IF(AND($O1294="משפטים וקטעים קצרים",OR($M1294="מבין",$M1294="מבין לרוב")),"פרופיל 1","פרופיל 2")))))))</f>
        <v/>
      </c>
      <c r="R1294" s="32">
        <f>IF($C1294="","",IF(OR($Q1294="",LEFT($Q1294,1)="—"),"קבוצה רביעית",IF($Q1294="פרופיל 5","קבוצת תשתיות",IF(OR($Q1294="פרופיל 4",$Q1294="פרופיל 3"),"קבוצת רכישה","קבוצת ביסוס"))))</f>
        <v/>
      </c>
      <c r="S1294" s="32">
        <f>IF($F1294="","",IF($F1294="תחילת שנה",1,IF($F1294="מחצית שנה",2,3)))</f>
        <v/>
      </c>
      <c r="T1294" s="32">
        <f>IF(OR($B1294="",$R1294="",$A1294="",$F1294=""),"",$B1294&amp;"|"&amp;$A1294&amp;"|"&amp;$F1294&amp;"|"&amp;$R1294&amp;"|"&amp;COUNTIFS($B$6:$B1294,$B1294,$A$6:$A1294,$A1294,$F$6:$F1294,$F1294,$R$6:$R1294,$R1294))</f>
        <v/>
      </c>
      <c r="U1294" s="32">
        <f>IF($C1294="","",$C1294&amp;"|"&amp;COUNTIFS($C$6:$C1294,$C1294))</f>
        <v/>
      </c>
      <c r="V1294" s="32">
        <f>IF(OR($C1294="",$A1294="",$S1294=""),"",$C1294&amp;"|"&amp;$A1294&amp;"|"&amp;$S1294)</f>
        <v/>
      </c>
      <c r="W1294" s="32">
        <f>IF(OR($C1294="",$S1294="",$S1294=1),"",IFERROR(INDEX($Q$6:$Q$1505,MATCH($C1294&amp;"|"&amp;$A1294&amp;"|"&amp;($S1294-1),$V$6:$V$1505,0)),""))</f>
        <v/>
      </c>
      <c r="X1294" s="32">
        <f>IF(OR($W1294="",$Q1294="",LEFT($Q1294,1)="—"),"",IF($W1294=$Q1294,"ללא שינוי","מ-"&amp;$W1294&amp;" ל-"&amp;$Q1294))</f>
        <v/>
      </c>
    </row>
    <row r="1295">
      <c r="A1295" s="65" t="n"/>
      <c r="B1295" s="65" t="n"/>
      <c r="C1295" s="66" t="n"/>
      <c r="D1295" s="66" t="n"/>
      <c r="E1295" s="65" t="n"/>
      <c r="F1295" s="65" t="n"/>
      <c r="G1295" s="65" t="n"/>
      <c r="H1295" s="65" t="n"/>
      <c r="I1295" s="65" t="n"/>
      <c r="J1295" s="65" t="n"/>
      <c r="K1295" s="65" t="n"/>
      <c r="L1295" s="65" t="n"/>
      <c r="M1295" s="65" t="n"/>
      <c r="N1295" s="65" t="n"/>
      <c r="O1295" s="65" t="n"/>
      <c r="P1295" s="65" t="n"/>
      <c r="Q1295" s="32">
        <f>IF($C1295="","",IF($J1295="","— חסרים נתונים",IF($J1295="טרם מפענח","פרופיל 5",IF($J1295="קמץ/פתח/חטף-פתח ושוואים","פרופיל 4",IF($J1295="2-3 סימני ניקוד","פרופיל 3",IF($J1295="4-5 סימני ניקוד","פרופיל 2",IF(AND($O1295="משפטים וקטעים קצרים",OR($M1295="מבין",$M1295="מבין לרוב")),"פרופיל 1","פרופיל 2")))))))</f>
        <v/>
      </c>
      <c r="R1295" s="32">
        <f>IF($C1295="","",IF(OR($Q1295="",LEFT($Q1295,1)="—"),"קבוצה רביעית",IF($Q1295="פרופיל 5","קבוצת תשתיות",IF(OR($Q1295="פרופיל 4",$Q1295="פרופיל 3"),"קבוצת רכישה","קבוצת ביסוס"))))</f>
        <v/>
      </c>
      <c r="S1295" s="32">
        <f>IF($F1295="","",IF($F1295="תחילת שנה",1,IF($F1295="מחצית שנה",2,3)))</f>
        <v/>
      </c>
      <c r="T1295" s="32">
        <f>IF(OR($B1295="",$R1295="",$A1295="",$F1295=""),"",$B1295&amp;"|"&amp;$A1295&amp;"|"&amp;$F1295&amp;"|"&amp;$R1295&amp;"|"&amp;COUNTIFS($B$6:$B1295,$B1295,$A$6:$A1295,$A1295,$F$6:$F1295,$F1295,$R$6:$R1295,$R1295))</f>
        <v/>
      </c>
      <c r="U1295" s="32">
        <f>IF($C1295="","",$C1295&amp;"|"&amp;COUNTIFS($C$6:$C1295,$C1295))</f>
        <v/>
      </c>
      <c r="V1295" s="32">
        <f>IF(OR($C1295="",$A1295="",$S1295=""),"",$C1295&amp;"|"&amp;$A1295&amp;"|"&amp;$S1295)</f>
        <v/>
      </c>
      <c r="W1295" s="32">
        <f>IF(OR($C1295="",$S1295="",$S1295=1),"",IFERROR(INDEX($Q$6:$Q$1505,MATCH($C1295&amp;"|"&amp;$A1295&amp;"|"&amp;($S1295-1),$V$6:$V$1505,0)),""))</f>
        <v/>
      </c>
      <c r="X1295" s="32">
        <f>IF(OR($W1295="",$Q1295="",LEFT($Q1295,1)="—"),"",IF($W1295=$Q1295,"ללא שינוי","מ-"&amp;$W1295&amp;" ל-"&amp;$Q1295))</f>
        <v/>
      </c>
    </row>
    <row r="1296">
      <c r="A1296" s="65" t="n"/>
      <c r="B1296" s="65" t="n"/>
      <c r="C1296" s="66" t="n"/>
      <c r="D1296" s="66" t="n"/>
      <c r="E1296" s="65" t="n"/>
      <c r="F1296" s="65" t="n"/>
      <c r="G1296" s="65" t="n"/>
      <c r="H1296" s="65" t="n"/>
      <c r="I1296" s="65" t="n"/>
      <c r="J1296" s="65" t="n"/>
      <c r="K1296" s="65" t="n"/>
      <c r="L1296" s="65" t="n"/>
      <c r="M1296" s="65" t="n"/>
      <c r="N1296" s="65" t="n"/>
      <c r="O1296" s="65" t="n"/>
      <c r="P1296" s="65" t="n"/>
      <c r="Q1296" s="32">
        <f>IF($C1296="","",IF($J1296="","— חסרים נתונים",IF($J1296="טרם מפענח","פרופיל 5",IF($J1296="קמץ/פתח/חטף-פתח ושוואים","פרופיל 4",IF($J1296="2-3 סימני ניקוד","פרופיל 3",IF($J1296="4-5 סימני ניקוד","פרופיל 2",IF(AND($O1296="משפטים וקטעים קצרים",OR($M1296="מבין",$M1296="מבין לרוב")),"פרופיל 1","פרופיל 2")))))))</f>
        <v/>
      </c>
      <c r="R1296" s="32">
        <f>IF($C1296="","",IF(OR($Q1296="",LEFT($Q1296,1)="—"),"קבוצה רביעית",IF($Q1296="פרופיל 5","קבוצת תשתיות",IF(OR($Q1296="פרופיל 4",$Q1296="פרופיל 3"),"קבוצת רכישה","קבוצת ביסוס"))))</f>
        <v/>
      </c>
      <c r="S1296" s="32">
        <f>IF($F1296="","",IF($F1296="תחילת שנה",1,IF($F1296="מחצית שנה",2,3)))</f>
        <v/>
      </c>
      <c r="T1296" s="32">
        <f>IF(OR($B1296="",$R1296="",$A1296="",$F1296=""),"",$B1296&amp;"|"&amp;$A1296&amp;"|"&amp;$F1296&amp;"|"&amp;$R1296&amp;"|"&amp;COUNTIFS($B$6:$B1296,$B1296,$A$6:$A1296,$A1296,$F$6:$F1296,$F1296,$R$6:$R1296,$R1296))</f>
        <v/>
      </c>
      <c r="U1296" s="32">
        <f>IF($C1296="","",$C1296&amp;"|"&amp;COUNTIFS($C$6:$C1296,$C1296))</f>
        <v/>
      </c>
      <c r="V1296" s="32">
        <f>IF(OR($C1296="",$A1296="",$S1296=""),"",$C1296&amp;"|"&amp;$A1296&amp;"|"&amp;$S1296)</f>
        <v/>
      </c>
      <c r="W1296" s="32">
        <f>IF(OR($C1296="",$S1296="",$S1296=1),"",IFERROR(INDEX($Q$6:$Q$1505,MATCH($C1296&amp;"|"&amp;$A1296&amp;"|"&amp;($S1296-1),$V$6:$V$1505,0)),""))</f>
        <v/>
      </c>
      <c r="X1296" s="32">
        <f>IF(OR($W1296="",$Q1296="",LEFT($Q1296,1)="—"),"",IF($W1296=$Q1296,"ללא שינוי","מ-"&amp;$W1296&amp;" ל-"&amp;$Q1296))</f>
        <v/>
      </c>
    </row>
    <row r="1297">
      <c r="A1297" s="65" t="n"/>
      <c r="B1297" s="65" t="n"/>
      <c r="C1297" s="66" t="n"/>
      <c r="D1297" s="66" t="n"/>
      <c r="E1297" s="65" t="n"/>
      <c r="F1297" s="65" t="n"/>
      <c r="G1297" s="65" t="n"/>
      <c r="H1297" s="65" t="n"/>
      <c r="I1297" s="65" t="n"/>
      <c r="J1297" s="65" t="n"/>
      <c r="K1297" s="65" t="n"/>
      <c r="L1297" s="65" t="n"/>
      <c r="M1297" s="65" t="n"/>
      <c r="N1297" s="65" t="n"/>
      <c r="O1297" s="65" t="n"/>
      <c r="P1297" s="65" t="n"/>
      <c r="Q1297" s="32">
        <f>IF($C1297="","",IF($J1297="","— חסרים נתונים",IF($J1297="טרם מפענח","פרופיל 5",IF($J1297="קמץ/פתח/חטף-פתח ושוואים","פרופיל 4",IF($J1297="2-3 סימני ניקוד","פרופיל 3",IF($J1297="4-5 סימני ניקוד","פרופיל 2",IF(AND($O1297="משפטים וקטעים קצרים",OR($M1297="מבין",$M1297="מבין לרוב")),"פרופיל 1","פרופיל 2")))))))</f>
        <v/>
      </c>
      <c r="R1297" s="32">
        <f>IF($C1297="","",IF(OR($Q1297="",LEFT($Q1297,1)="—"),"קבוצה רביעית",IF($Q1297="פרופיל 5","קבוצת תשתיות",IF(OR($Q1297="פרופיל 4",$Q1297="פרופיל 3"),"קבוצת רכישה","קבוצת ביסוס"))))</f>
        <v/>
      </c>
      <c r="S1297" s="32">
        <f>IF($F1297="","",IF($F1297="תחילת שנה",1,IF($F1297="מחצית שנה",2,3)))</f>
        <v/>
      </c>
      <c r="T1297" s="32">
        <f>IF(OR($B1297="",$R1297="",$A1297="",$F1297=""),"",$B1297&amp;"|"&amp;$A1297&amp;"|"&amp;$F1297&amp;"|"&amp;$R1297&amp;"|"&amp;COUNTIFS($B$6:$B1297,$B1297,$A$6:$A1297,$A1297,$F$6:$F1297,$F1297,$R$6:$R1297,$R1297))</f>
        <v/>
      </c>
      <c r="U1297" s="32">
        <f>IF($C1297="","",$C1297&amp;"|"&amp;COUNTIFS($C$6:$C1297,$C1297))</f>
        <v/>
      </c>
      <c r="V1297" s="32">
        <f>IF(OR($C1297="",$A1297="",$S1297=""),"",$C1297&amp;"|"&amp;$A1297&amp;"|"&amp;$S1297)</f>
        <v/>
      </c>
      <c r="W1297" s="32">
        <f>IF(OR($C1297="",$S1297="",$S1297=1),"",IFERROR(INDEX($Q$6:$Q$1505,MATCH($C1297&amp;"|"&amp;$A1297&amp;"|"&amp;($S1297-1),$V$6:$V$1505,0)),""))</f>
        <v/>
      </c>
      <c r="X1297" s="32">
        <f>IF(OR($W1297="",$Q1297="",LEFT($Q1297,1)="—"),"",IF($W1297=$Q1297,"ללא שינוי","מ-"&amp;$W1297&amp;" ל-"&amp;$Q1297))</f>
        <v/>
      </c>
    </row>
    <row r="1298">
      <c r="A1298" s="65" t="n"/>
      <c r="B1298" s="65" t="n"/>
      <c r="C1298" s="66" t="n"/>
      <c r="D1298" s="66" t="n"/>
      <c r="E1298" s="65" t="n"/>
      <c r="F1298" s="65" t="n"/>
      <c r="G1298" s="65" t="n"/>
      <c r="H1298" s="65" t="n"/>
      <c r="I1298" s="65" t="n"/>
      <c r="J1298" s="65" t="n"/>
      <c r="K1298" s="65" t="n"/>
      <c r="L1298" s="65" t="n"/>
      <c r="M1298" s="65" t="n"/>
      <c r="N1298" s="65" t="n"/>
      <c r="O1298" s="65" t="n"/>
      <c r="P1298" s="65" t="n"/>
      <c r="Q1298" s="32">
        <f>IF($C1298="","",IF($J1298="","— חסרים נתונים",IF($J1298="טרם מפענח","פרופיל 5",IF($J1298="קמץ/פתח/חטף-פתח ושוואים","פרופיל 4",IF($J1298="2-3 סימני ניקוד","פרופיל 3",IF($J1298="4-5 סימני ניקוד","פרופיל 2",IF(AND($O1298="משפטים וקטעים קצרים",OR($M1298="מבין",$M1298="מבין לרוב")),"פרופיל 1","פרופיל 2")))))))</f>
        <v/>
      </c>
      <c r="R1298" s="32">
        <f>IF($C1298="","",IF(OR($Q1298="",LEFT($Q1298,1)="—"),"קבוצה רביעית",IF($Q1298="פרופיל 5","קבוצת תשתיות",IF(OR($Q1298="פרופיל 4",$Q1298="פרופיל 3"),"קבוצת רכישה","קבוצת ביסוס"))))</f>
        <v/>
      </c>
      <c r="S1298" s="32">
        <f>IF($F1298="","",IF($F1298="תחילת שנה",1,IF($F1298="מחצית שנה",2,3)))</f>
        <v/>
      </c>
      <c r="T1298" s="32">
        <f>IF(OR($B1298="",$R1298="",$A1298="",$F1298=""),"",$B1298&amp;"|"&amp;$A1298&amp;"|"&amp;$F1298&amp;"|"&amp;$R1298&amp;"|"&amp;COUNTIFS($B$6:$B1298,$B1298,$A$6:$A1298,$A1298,$F$6:$F1298,$F1298,$R$6:$R1298,$R1298))</f>
        <v/>
      </c>
      <c r="U1298" s="32">
        <f>IF($C1298="","",$C1298&amp;"|"&amp;COUNTIFS($C$6:$C1298,$C1298))</f>
        <v/>
      </c>
      <c r="V1298" s="32">
        <f>IF(OR($C1298="",$A1298="",$S1298=""),"",$C1298&amp;"|"&amp;$A1298&amp;"|"&amp;$S1298)</f>
        <v/>
      </c>
      <c r="W1298" s="32">
        <f>IF(OR($C1298="",$S1298="",$S1298=1),"",IFERROR(INDEX($Q$6:$Q$1505,MATCH($C1298&amp;"|"&amp;$A1298&amp;"|"&amp;($S1298-1),$V$6:$V$1505,0)),""))</f>
        <v/>
      </c>
      <c r="X1298" s="32">
        <f>IF(OR($W1298="",$Q1298="",LEFT($Q1298,1)="—"),"",IF($W1298=$Q1298,"ללא שינוי","מ-"&amp;$W1298&amp;" ל-"&amp;$Q1298))</f>
        <v/>
      </c>
    </row>
    <row r="1299">
      <c r="A1299" s="65" t="n"/>
      <c r="B1299" s="65" t="n"/>
      <c r="C1299" s="66" t="n"/>
      <c r="D1299" s="66" t="n"/>
      <c r="E1299" s="65" t="n"/>
      <c r="F1299" s="65" t="n"/>
      <c r="G1299" s="65" t="n"/>
      <c r="H1299" s="65" t="n"/>
      <c r="I1299" s="65" t="n"/>
      <c r="J1299" s="65" t="n"/>
      <c r="K1299" s="65" t="n"/>
      <c r="L1299" s="65" t="n"/>
      <c r="M1299" s="65" t="n"/>
      <c r="N1299" s="65" t="n"/>
      <c r="O1299" s="65" t="n"/>
      <c r="P1299" s="65" t="n"/>
      <c r="Q1299" s="32">
        <f>IF($C1299="","",IF($J1299="","— חסרים נתונים",IF($J1299="טרם מפענח","פרופיל 5",IF($J1299="קמץ/פתח/חטף-פתח ושוואים","פרופיל 4",IF($J1299="2-3 סימני ניקוד","פרופיל 3",IF($J1299="4-5 סימני ניקוד","פרופיל 2",IF(AND($O1299="משפטים וקטעים קצרים",OR($M1299="מבין",$M1299="מבין לרוב")),"פרופיל 1","פרופיל 2")))))))</f>
        <v/>
      </c>
      <c r="R1299" s="32">
        <f>IF($C1299="","",IF(OR($Q1299="",LEFT($Q1299,1)="—"),"קבוצה רביעית",IF($Q1299="פרופיל 5","קבוצת תשתיות",IF(OR($Q1299="פרופיל 4",$Q1299="פרופיל 3"),"קבוצת רכישה","קבוצת ביסוס"))))</f>
        <v/>
      </c>
      <c r="S1299" s="32">
        <f>IF($F1299="","",IF($F1299="תחילת שנה",1,IF($F1299="מחצית שנה",2,3)))</f>
        <v/>
      </c>
      <c r="T1299" s="32">
        <f>IF(OR($B1299="",$R1299="",$A1299="",$F1299=""),"",$B1299&amp;"|"&amp;$A1299&amp;"|"&amp;$F1299&amp;"|"&amp;$R1299&amp;"|"&amp;COUNTIFS($B$6:$B1299,$B1299,$A$6:$A1299,$A1299,$F$6:$F1299,$F1299,$R$6:$R1299,$R1299))</f>
        <v/>
      </c>
      <c r="U1299" s="32">
        <f>IF($C1299="","",$C1299&amp;"|"&amp;COUNTIFS($C$6:$C1299,$C1299))</f>
        <v/>
      </c>
      <c r="V1299" s="32">
        <f>IF(OR($C1299="",$A1299="",$S1299=""),"",$C1299&amp;"|"&amp;$A1299&amp;"|"&amp;$S1299)</f>
        <v/>
      </c>
      <c r="W1299" s="32">
        <f>IF(OR($C1299="",$S1299="",$S1299=1),"",IFERROR(INDEX($Q$6:$Q$1505,MATCH($C1299&amp;"|"&amp;$A1299&amp;"|"&amp;($S1299-1),$V$6:$V$1505,0)),""))</f>
        <v/>
      </c>
      <c r="X1299" s="32">
        <f>IF(OR($W1299="",$Q1299="",LEFT($Q1299,1)="—"),"",IF($W1299=$Q1299,"ללא שינוי","מ-"&amp;$W1299&amp;" ל-"&amp;$Q1299))</f>
        <v/>
      </c>
    </row>
    <row r="1300">
      <c r="A1300" s="65" t="n"/>
      <c r="B1300" s="65" t="n"/>
      <c r="C1300" s="66" t="n"/>
      <c r="D1300" s="66" t="n"/>
      <c r="E1300" s="65" t="n"/>
      <c r="F1300" s="65" t="n"/>
      <c r="G1300" s="65" t="n"/>
      <c r="H1300" s="65" t="n"/>
      <c r="I1300" s="65" t="n"/>
      <c r="J1300" s="65" t="n"/>
      <c r="K1300" s="65" t="n"/>
      <c r="L1300" s="65" t="n"/>
      <c r="M1300" s="65" t="n"/>
      <c r="N1300" s="65" t="n"/>
      <c r="O1300" s="65" t="n"/>
      <c r="P1300" s="65" t="n"/>
      <c r="Q1300" s="32">
        <f>IF($C1300="","",IF($J1300="","— חסרים נתונים",IF($J1300="טרם מפענח","פרופיל 5",IF($J1300="קמץ/פתח/חטף-פתח ושוואים","פרופיל 4",IF($J1300="2-3 סימני ניקוד","פרופיל 3",IF($J1300="4-5 סימני ניקוד","פרופיל 2",IF(AND($O1300="משפטים וקטעים קצרים",OR($M1300="מבין",$M1300="מבין לרוב")),"פרופיל 1","פרופיל 2")))))))</f>
        <v/>
      </c>
      <c r="R1300" s="32">
        <f>IF($C1300="","",IF(OR($Q1300="",LEFT($Q1300,1)="—"),"קבוצה רביעית",IF($Q1300="פרופיל 5","קבוצת תשתיות",IF(OR($Q1300="פרופיל 4",$Q1300="פרופיל 3"),"קבוצת רכישה","קבוצת ביסוס"))))</f>
        <v/>
      </c>
      <c r="S1300" s="32">
        <f>IF($F1300="","",IF($F1300="תחילת שנה",1,IF($F1300="מחצית שנה",2,3)))</f>
        <v/>
      </c>
      <c r="T1300" s="32">
        <f>IF(OR($B1300="",$R1300="",$A1300="",$F1300=""),"",$B1300&amp;"|"&amp;$A1300&amp;"|"&amp;$F1300&amp;"|"&amp;$R1300&amp;"|"&amp;COUNTIFS($B$6:$B1300,$B1300,$A$6:$A1300,$A1300,$F$6:$F1300,$F1300,$R$6:$R1300,$R1300))</f>
        <v/>
      </c>
      <c r="U1300" s="32">
        <f>IF($C1300="","",$C1300&amp;"|"&amp;COUNTIFS($C$6:$C1300,$C1300))</f>
        <v/>
      </c>
      <c r="V1300" s="32">
        <f>IF(OR($C1300="",$A1300="",$S1300=""),"",$C1300&amp;"|"&amp;$A1300&amp;"|"&amp;$S1300)</f>
        <v/>
      </c>
      <c r="W1300" s="32">
        <f>IF(OR($C1300="",$S1300="",$S1300=1),"",IFERROR(INDEX($Q$6:$Q$1505,MATCH($C1300&amp;"|"&amp;$A1300&amp;"|"&amp;($S1300-1),$V$6:$V$1505,0)),""))</f>
        <v/>
      </c>
      <c r="X1300" s="32">
        <f>IF(OR($W1300="",$Q1300="",LEFT($Q1300,1)="—"),"",IF($W1300=$Q1300,"ללא שינוי","מ-"&amp;$W1300&amp;" ל-"&amp;$Q1300))</f>
        <v/>
      </c>
    </row>
    <row r="1301">
      <c r="A1301" s="65" t="n"/>
      <c r="B1301" s="65" t="n"/>
      <c r="C1301" s="66" t="n"/>
      <c r="D1301" s="66" t="n"/>
      <c r="E1301" s="65" t="n"/>
      <c r="F1301" s="65" t="n"/>
      <c r="G1301" s="65" t="n"/>
      <c r="H1301" s="65" t="n"/>
      <c r="I1301" s="65" t="n"/>
      <c r="J1301" s="65" t="n"/>
      <c r="K1301" s="65" t="n"/>
      <c r="L1301" s="65" t="n"/>
      <c r="M1301" s="65" t="n"/>
      <c r="N1301" s="65" t="n"/>
      <c r="O1301" s="65" t="n"/>
      <c r="P1301" s="65" t="n"/>
      <c r="Q1301" s="32">
        <f>IF($C1301="","",IF($J1301="","— חסרים נתונים",IF($J1301="טרם מפענח","פרופיל 5",IF($J1301="קמץ/פתח/חטף-פתח ושוואים","פרופיל 4",IF($J1301="2-3 סימני ניקוד","פרופיל 3",IF($J1301="4-5 סימני ניקוד","פרופיל 2",IF(AND($O1301="משפטים וקטעים קצרים",OR($M1301="מבין",$M1301="מבין לרוב")),"פרופיל 1","פרופיל 2")))))))</f>
        <v/>
      </c>
      <c r="R1301" s="32">
        <f>IF($C1301="","",IF(OR($Q1301="",LEFT($Q1301,1)="—"),"קבוצה רביעית",IF($Q1301="פרופיל 5","קבוצת תשתיות",IF(OR($Q1301="פרופיל 4",$Q1301="פרופיל 3"),"קבוצת רכישה","קבוצת ביסוס"))))</f>
        <v/>
      </c>
      <c r="S1301" s="32">
        <f>IF($F1301="","",IF($F1301="תחילת שנה",1,IF($F1301="מחצית שנה",2,3)))</f>
        <v/>
      </c>
      <c r="T1301" s="32">
        <f>IF(OR($B1301="",$R1301="",$A1301="",$F1301=""),"",$B1301&amp;"|"&amp;$A1301&amp;"|"&amp;$F1301&amp;"|"&amp;$R1301&amp;"|"&amp;COUNTIFS($B$6:$B1301,$B1301,$A$6:$A1301,$A1301,$F$6:$F1301,$F1301,$R$6:$R1301,$R1301))</f>
        <v/>
      </c>
      <c r="U1301" s="32">
        <f>IF($C1301="","",$C1301&amp;"|"&amp;COUNTIFS($C$6:$C1301,$C1301))</f>
        <v/>
      </c>
      <c r="V1301" s="32">
        <f>IF(OR($C1301="",$A1301="",$S1301=""),"",$C1301&amp;"|"&amp;$A1301&amp;"|"&amp;$S1301)</f>
        <v/>
      </c>
      <c r="W1301" s="32">
        <f>IF(OR($C1301="",$S1301="",$S1301=1),"",IFERROR(INDEX($Q$6:$Q$1505,MATCH($C1301&amp;"|"&amp;$A1301&amp;"|"&amp;($S1301-1),$V$6:$V$1505,0)),""))</f>
        <v/>
      </c>
      <c r="X1301" s="32">
        <f>IF(OR($W1301="",$Q1301="",LEFT($Q1301,1)="—"),"",IF($W1301=$Q1301,"ללא שינוי","מ-"&amp;$W1301&amp;" ל-"&amp;$Q1301))</f>
        <v/>
      </c>
    </row>
    <row r="1302">
      <c r="A1302" s="65" t="n"/>
      <c r="B1302" s="65" t="n"/>
      <c r="C1302" s="66" t="n"/>
      <c r="D1302" s="66" t="n"/>
      <c r="E1302" s="65" t="n"/>
      <c r="F1302" s="65" t="n"/>
      <c r="G1302" s="65" t="n"/>
      <c r="H1302" s="65" t="n"/>
      <c r="I1302" s="65" t="n"/>
      <c r="J1302" s="65" t="n"/>
      <c r="K1302" s="65" t="n"/>
      <c r="L1302" s="65" t="n"/>
      <c r="M1302" s="65" t="n"/>
      <c r="N1302" s="65" t="n"/>
      <c r="O1302" s="65" t="n"/>
      <c r="P1302" s="65" t="n"/>
      <c r="Q1302" s="32">
        <f>IF($C1302="","",IF($J1302="","— חסרים נתונים",IF($J1302="טרם מפענח","פרופיל 5",IF($J1302="קמץ/פתח/חטף-פתח ושוואים","פרופיל 4",IF($J1302="2-3 סימני ניקוד","פרופיל 3",IF($J1302="4-5 סימני ניקוד","פרופיל 2",IF(AND($O1302="משפטים וקטעים קצרים",OR($M1302="מבין",$M1302="מבין לרוב")),"פרופיל 1","פרופיל 2")))))))</f>
        <v/>
      </c>
      <c r="R1302" s="32">
        <f>IF($C1302="","",IF(OR($Q1302="",LEFT($Q1302,1)="—"),"קבוצה רביעית",IF($Q1302="פרופיל 5","קבוצת תשתיות",IF(OR($Q1302="פרופיל 4",$Q1302="פרופיל 3"),"קבוצת רכישה","קבוצת ביסוס"))))</f>
        <v/>
      </c>
      <c r="S1302" s="32">
        <f>IF($F1302="","",IF($F1302="תחילת שנה",1,IF($F1302="מחצית שנה",2,3)))</f>
        <v/>
      </c>
      <c r="T1302" s="32">
        <f>IF(OR($B1302="",$R1302="",$A1302="",$F1302=""),"",$B1302&amp;"|"&amp;$A1302&amp;"|"&amp;$F1302&amp;"|"&amp;$R1302&amp;"|"&amp;COUNTIFS($B$6:$B1302,$B1302,$A$6:$A1302,$A1302,$F$6:$F1302,$F1302,$R$6:$R1302,$R1302))</f>
        <v/>
      </c>
      <c r="U1302" s="32">
        <f>IF($C1302="","",$C1302&amp;"|"&amp;COUNTIFS($C$6:$C1302,$C1302))</f>
        <v/>
      </c>
      <c r="V1302" s="32">
        <f>IF(OR($C1302="",$A1302="",$S1302=""),"",$C1302&amp;"|"&amp;$A1302&amp;"|"&amp;$S1302)</f>
        <v/>
      </c>
      <c r="W1302" s="32">
        <f>IF(OR($C1302="",$S1302="",$S1302=1),"",IFERROR(INDEX($Q$6:$Q$1505,MATCH($C1302&amp;"|"&amp;$A1302&amp;"|"&amp;($S1302-1),$V$6:$V$1505,0)),""))</f>
        <v/>
      </c>
      <c r="X1302" s="32">
        <f>IF(OR($W1302="",$Q1302="",LEFT($Q1302,1)="—"),"",IF($W1302=$Q1302,"ללא שינוי","מ-"&amp;$W1302&amp;" ל-"&amp;$Q1302))</f>
        <v/>
      </c>
    </row>
    <row r="1303">
      <c r="A1303" s="65" t="n"/>
      <c r="B1303" s="65" t="n"/>
      <c r="C1303" s="66" t="n"/>
      <c r="D1303" s="66" t="n"/>
      <c r="E1303" s="65" t="n"/>
      <c r="F1303" s="65" t="n"/>
      <c r="G1303" s="65" t="n"/>
      <c r="H1303" s="65" t="n"/>
      <c r="I1303" s="65" t="n"/>
      <c r="J1303" s="65" t="n"/>
      <c r="K1303" s="65" t="n"/>
      <c r="L1303" s="65" t="n"/>
      <c r="M1303" s="65" t="n"/>
      <c r="N1303" s="65" t="n"/>
      <c r="O1303" s="65" t="n"/>
      <c r="P1303" s="65" t="n"/>
      <c r="Q1303" s="32">
        <f>IF($C1303="","",IF($J1303="","— חסרים נתונים",IF($J1303="טרם מפענח","פרופיל 5",IF($J1303="קמץ/פתח/חטף-פתח ושוואים","פרופיל 4",IF($J1303="2-3 סימני ניקוד","פרופיל 3",IF($J1303="4-5 סימני ניקוד","פרופיל 2",IF(AND($O1303="משפטים וקטעים קצרים",OR($M1303="מבין",$M1303="מבין לרוב")),"פרופיל 1","פרופיל 2")))))))</f>
        <v/>
      </c>
      <c r="R1303" s="32">
        <f>IF($C1303="","",IF(OR($Q1303="",LEFT($Q1303,1)="—"),"קבוצה רביעית",IF($Q1303="פרופיל 5","קבוצת תשתיות",IF(OR($Q1303="פרופיל 4",$Q1303="פרופיל 3"),"קבוצת רכישה","קבוצת ביסוס"))))</f>
        <v/>
      </c>
      <c r="S1303" s="32">
        <f>IF($F1303="","",IF($F1303="תחילת שנה",1,IF($F1303="מחצית שנה",2,3)))</f>
        <v/>
      </c>
      <c r="T1303" s="32">
        <f>IF(OR($B1303="",$R1303="",$A1303="",$F1303=""),"",$B1303&amp;"|"&amp;$A1303&amp;"|"&amp;$F1303&amp;"|"&amp;$R1303&amp;"|"&amp;COUNTIFS($B$6:$B1303,$B1303,$A$6:$A1303,$A1303,$F$6:$F1303,$F1303,$R$6:$R1303,$R1303))</f>
        <v/>
      </c>
      <c r="U1303" s="32">
        <f>IF($C1303="","",$C1303&amp;"|"&amp;COUNTIFS($C$6:$C1303,$C1303))</f>
        <v/>
      </c>
      <c r="V1303" s="32">
        <f>IF(OR($C1303="",$A1303="",$S1303=""),"",$C1303&amp;"|"&amp;$A1303&amp;"|"&amp;$S1303)</f>
        <v/>
      </c>
      <c r="W1303" s="32">
        <f>IF(OR($C1303="",$S1303="",$S1303=1),"",IFERROR(INDEX($Q$6:$Q$1505,MATCH($C1303&amp;"|"&amp;$A1303&amp;"|"&amp;($S1303-1),$V$6:$V$1505,0)),""))</f>
        <v/>
      </c>
      <c r="X1303" s="32">
        <f>IF(OR($W1303="",$Q1303="",LEFT($Q1303,1)="—"),"",IF($W1303=$Q1303,"ללא שינוי","מ-"&amp;$W1303&amp;" ל-"&amp;$Q1303))</f>
        <v/>
      </c>
    </row>
    <row r="1304">
      <c r="A1304" s="65" t="n"/>
      <c r="B1304" s="65" t="n"/>
      <c r="C1304" s="66" t="n"/>
      <c r="D1304" s="66" t="n"/>
      <c r="E1304" s="65" t="n"/>
      <c r="F1304" s="65" t="n"/>
      <c r="G1304" s="65" t="n"/>
      <c r="H1304" s="65" t="n"/>
      <c r="I1304" s="65" t="n"/>
      <c r="J1304" s="65" t="n"/>
      <c r="K1304" s="65" t="n"/>
      <c r="L1304" s="65" t="n"/>
      <c r="M1304" s="65" t="n"/>
      <c r="N1304" s="65" t="n"/>
      <c r="O1304" s="65" t="n"/>
      <c r="P1304" s="65" t="n"/>
      <c r="Q1304" s="32">
        <f>IF($C1304="","",IF($J1304="","— חסרים נתונים",IF($J1304="טרם מפענח","פרופיל 5",IF($J1304="קמץ/פתח/חטף-פתח ושוואים","פרופיל 4",IF($J1304="2-3 סימני ניקוד","פרופיל 3",IF($J1304="4-5 סימני ניקוד","פרופיל 2",IF(AND($O1304="משפטים וקטעים קצרים",OR($M1304="מבין",$M1304="מבין לרוב")),"פרופיל 1","פרופיל 2")))))))</f>
        <v/>
      </c>
      <c r="R1304" s="32">
        <f>IF($C1304="","",IF(OR($Q1304="",LEFT($Q1304,1)="—"),"קבוצה רביעית",IF($Q1304="פרופיל 5","קבוצת תשתיות",IF(OR($Q1304="פרופיל 4",$Q1304="פרופיל 3"),"קבוצת רכישה","קבוצת ביסוס"))))</f>
        <v/>
      </c>
      <c r="S1304" s="32">
        <f>IF($F1304="","",IF($F1304="תחילת שנה",1,IF($F1304="מחצית שנה",2,3)))</f>
        <v/>
      </c>
      <c r="T1304" s="32">
        <f>IF(OR($B1304="",$R1304="",$A1304="",$F1304=""),"",$B1304&amp;"|"&amp;$A1304&amp;"|"&amp;$F1304&amp;"|"&amp;$R1304&amp;"|"&amp;COUNTIFS($B$6:$B1304,$B1304,$A$6:$A1304,$A1304,$F$6:$F1304,$F1304,$R$6:$R1304,$R1304))</f>
        <v/>
      </c>
      <c r="U1304" s="32">
        <f>IF($C1304="","",$C1304&amp;"|"&amp;COUNTIFS($C$6:$C1304,$C1304))</f>
        <v/>
      </c>
      <c r="V1304" s="32">
        <f>IF(OR($C1304="",$A1304="",$S1304=""),"",$C1304&amp;"|"&amp;$A1304&amp;"|"&amp;$S1304)</f>
        <v/>
      </c>
      <c r="W1304" s="32">
        <f>IF(OR($C1304="",$S1304="",$S1304=1),"",IFERROR(INDEX($Q$6:$Q$1505,MATCH($C1304&amp;"|"&amp;$A1304&amp;"|"&amp;($S1304-1),$V$6:$V$1505,0)),""))</f>
        <v/>
      </c>
      <c r="X1304" s="32">
        <f>IF(OR($W1304="",$Q1304="",LEFT($Q1304,1)="—"),"",IF($W1304=$Q1304,"ללא שינוי","מ-"&amp;$W1304&amp;" ל-"&amp;$Q1304))</f>
        <v/>
      </c>
    </row>
    <row r="1305">
      <c r="A1305" s="65" t="n"/>
      <c r="B1305" s="65" t="n"/>
      <c r="C1305" s="66" t="n"/>
      <c r="D1305" s="66" t="n"/>
      <c r="E1305" s="65" t="n"/>
      <c r="F1305" s="65" t="n"/>
      <c r="G1305" s="65" t="n"/>
      <c r="H1305" s="65" t="n"/>
      <c r="I1305" s="65" t="n"/>
      <c r="J1305" s="65" t="n"/>
      <c r="K1305" s="65" t="n"/>
      <c r="L1305" s="65" t="n"/>
      <c r="M1305" s="65" t="n"/>
      <c r="N1305" s="65" t="n"/>
      <c r="O1305" s="65" t="n"/>
      <c r="P1305" s="65" t="n"/>
      <c r="Q1305" s="32">
        <f>IF($C1305="","",IF($J1305="","— חסרים נתונים",IF($J1305="טרם מפענח","פרופיל 5",IF($J1305="קמץ/פתח/חטף-פתח ושוואים","פרופיל 4",IF($J1305="2-3 סימני ניקוד","פרופיל 3",IF($J1305="4-5 סימני ניקוד","פרופיל 2",IF(AND($O1305="משפטים וקטעים קצרים",OR($M1305="מבין",$M1305="מבין לרוב")),"פרופיל 1","פרופיל 2")))))))</f>
        <v/>
      </c>
      <c r="R1305" s="32">
        <f>IF($C1305="","",IF(OR($Q1305="",LEFT($Q1305,1)="—"),"קבוצה רביעית",IF($Q1305="פרופיל 5","קבוצת תשתיות",IF(OR($Q1305="פרופיל 4",$Q1305="פרופיל 3"),"קבוצת רכישה","קבוצת ביסוס"))))</f>
        <v/>
      </c>
      <c r="S1305" s="32">
        <f>IF($F1305="","",IF($F1305="תחילת שנה",1,IF($F1305="מחצית שנה",2,3)))</f>
        <v/>
      </c>
      <c r="T1305" s="32">
        <f>IF(OR($B1305="",$R1305="",$A1305="",$F1305=""),"",$B1305&amp;"|"&amp;$A1305&amp;"|"&amp;$F1305&amp;"|"&amp;$R1305&amp;"|"&amp;COUNTIFS($B$6:$B1305,$B1305,$A$6:$A1305,$A1305,$F$6:$F1305,$F1305,$R$6:$R1305,$R1305))</f>
        <v/>
      </c>
      <c r="U1305" s="32">
        <f>IF($C1305="","",$C1305&amp;"|"&amp;COUNTIFS($C$6:$C1305,$C1305))</f>
        <v/>
      </c>
      <c r="V1305" s="32">
        <f>IF(OR($C1305="",$A1305="",$S1305=""),"",$C1305&amp;"|"&amp;$A1305&amp;"|"&amp;$S1305)</f>
        <v/>
      </c>
      <c r="W1305" s="32">
        <f>IF(OR($C1305="",$S1305="",$S1305=1),"",IFERROR(INDEX($Q$6:$Q$1505,MATCH($C1305&amp;"|"&amp;$A1305&amp;"|"&amp;($S1305-1),$V$6:$V$1505,0)),""))</f>
        <v/>
      </c>
      <c r="X1305" s="32">
        <f>IF(OR($W1305="",$Q1305="",LEFT($Q1305,1)="—"),"",IF($W1305=$Q1305,"ללא שינוי","מ-"&amp;$W1305&amp;" ל-"&amp;$Q1305))</f>
        <v/>
      </c>
    </row>
    <row r="1306">
      <c r="A1306" s="65" t="n"/>
      <c r="B1306" s="65" t="n"/>
      <c r="C1306" s="66" t="n"/>
      <c r="D1306" s="66" t="n"/>
      <c r="E1306" s="65" t="n"/>
      <c r="F1306" s="65" t="n"/>
      <c r="G1306" s="65" t="n"/>
      <c r="H1306" s="65" t="n"/>
      <c r="I1306" s="65" t="n"/>
      <c r="J1306" s="65" t="n"/>
      <c r="K1306" s="65" t="n"/>
      <c r="L1306" s="65" t="n"/>
      <c r="M1306" s="65" t="n"/>
      <c r="N1306" s="65" t="n"/>
      <c r="O1306" s="65" t="n"/>
      <c r="P1306" s="65" t="n"/>
      <c r="Q1306" s="32">
        <f>IF($C1306="","",IF($J1306="","— חסרים נתונים",IF($J1306="טרם מפענח","פרופיל 5",IF($J1306="קמץ/פתח/חטף-פתח ושוואים","פרופיל 4",IF($J1306="2-3 סימני ניקוד","פרופיל 3",IF($J1306="4-5 סימני ניקוד","פרופיל 2",IF(AND($O1306="משפטים וקטעים קצרים",OR($M1306="מבין",$M1306="מבין לרוב")),"פרופיל 1","פרופיל 2")))))))</f>
        <v/>
      </c>
      <c r="R1306" s="32">
        <f>IF($C1306="","",IF(OR($Q1306="",LEFT($Q1306,1)="—"),"קבוצה רביעית",IF($Q1306="פרופיל 5","קבוצת תשתיות",IF(OR($Q1306="פרופיל 4",$Q1306="פרופיל 3"),"קבוצת רכישה","קבוצת ביסוס"))))</f>
        <v/>
      </c>
      <c r="S1306" s="32">
        <f>IF($F1306="","",IF($F1306="תחילת שנה",1,IF($F1306="מחצית שנה",2,3)))</f>
        <v/>
      </c>
      <c r="T1306" s="32">
        <f>IF(OR($B1306="",$R1306="",$A1306="",$F1306=""),"",$B1306&amp;"|"&amp;$A1306&amp;"|"&amp;$F1306&amp;"|"&amp;$R1306&amp;"|"&amp;COUNTIFS($B$6:$B1306,$B1306,$A$6:$A1306,$A1306,$F$6:$F1306,$F1306,$R$6:$R1306,$R1306))</f>
        <v/>
      </c>
      <c r="U1306" s="32">
        <f>IF($C1306="","",$C1306&amp;"|"&amp;COUNTIFS($C$6:$C1306,$C1306))</f>
        <v/>
      </c>
      <c r="V1306" s="32">
        <f>IF(OR($C1306="",$A1306="",$S1306=""),"",$C1306&amp;"|"&amp;$A1306&amp;"|"&amp;$S1306)</f>
        <v/>
      </c>
      <c r="W1306" s="32">
        <f>IF(OR($C1306="",$S1306="",$S1306=1),"",IFERROR(INDEX($Q$6:$Q$1505,MATCH($C1306&amp;"|"&amp;$A1306&amp;"|"&amp;($S1306-1),$V$6:$V$1505,0)),""))</f>
        <v/>
      </c>
      <c r="X1306" s="32">
        <f>IF(OR($W1306="",$Q1306="",LEFT($Q1306,1)="—"),"",IF($W1306=$Q1306,"ללא שינוי","מ-"&amp;$W1306&amp;" ל-"&amp;$Q1306))</f>
        <v/>
      </c>
    </row>
    <row r="1307">
      <c r="A1307" s="65" t="n"/>
      <c r="B1307" s="65" t="n"/>
      <c r="C1307" s="66" t="n"/>
      <c r="D1307" s="66" t="n"/>
      <c r="E1307" s="65" t="n"/>
      <c r="F1307" s="65" t="n"/>
      <c r="G1307" s="65" t="n"/>
      <c r="H1307" s="65" t="n"/>
      <c r="I1307" s="65" t="n"/>
      <c r="J1307" s="65" t="n"/>
      <c r="K1307" s="65" t="n"/>
      <c r="L1307" s="65" t="n"/>
      <c r="M1307" s="65" t="n"/>
      <c r="N1307" s="65" t="n"/>
      <c r="O1307" s="65" t="n"/>
      <c r="P1307" s="65" t="n"/>
      <c r="Q1307" s="32">
        <f>IF($C1307="","",IF($J1307="","— חסרים נתונים",IF($J1307="טרם מפענח","פרופיל 5",IF($J1307="קמץ/פתח/חטף-פתח ושוואים","פרופיל 4",IF($J1307="2-3 סימני ניקוד","פרופיל 3",IF($J1307="4-5 סימני ניקוד","פרופיל 2",IF(AND($O1307="משפטים וקטעים קצרים",OR($M1307="מבין",$M1307="מבין לרוב")),"פרופיל 1","פרופיל 2")))))))</f>
        <v/>
      </c>
      <c r="R1307" s="32">
        <f>IF($C1307="","",IF(OR($Q1307="",LEFT($Q1307,1)="—"),"קבוצה רביעית",IF($Q1307="פרופיל 5","קבוצת תשתיות",IF(OR($Q1307="פרופיל 4",$Q1307="פרופיל 3"),"קבוצת רכישה","קבוצת ביסוס"))))</f>
        <v/>
      </c>
      <c r="S1307" s="32">
        <f>IF($F1307="","",IF($F1307="תחילת שנה",1,IF($F1307="מחצית שנה",2,3)))</f>
        <v/>
      </c>
      <c r="T1307" s="32">
        <f>IF(OR($B1307="",$R1307="",$A1307="",$F1307=""),"",$B1307&amp;"|"&amp;$A1307&amp;"|"&amp;$F1307&amp;"|"&amp;$R1307&amp;"|"&amp;COUNTIFS($B$6:$B1307,$B1307,$A$6:$A1307,$A1307,$F$6:$F1307,$F1307,$R$6:$R1307,$R1307))</f>
        <v/>
      </c>
      <c r="U1307" s="32">
        <f>IF($C1307="","",$C1307&amp;"|"&amp;COUNTIFS($C$6:$C1307,$C1307))</f>
        <v/>
      </c>
      <c r="V1307" s="32">
        <f>IF(OR($C1307="",$A1307="",$S1307=""),"",$C1307&amp;"|"&amp;$A1307&amp;"|"&amp;$S1307)</f>
        <v/>
      </c>
      <c r="W1307" s="32">
        <f>IF(OR($C1307="",$S1307="",$S1307=1),"",IFERROR(INDEX($Q$6:$Q$1505,MATCH($C1307&amp;"|"&amp;$A1307&amp;"|"&amp;($S1307-1),$V$6:$V$1505,0)),""))</f>
        <v/>
      </c>
      <c r="X1307" s="32">
        <f>IF(OR($W1307="",$Q1307="",LEFT($Q1307,1)="—"),"",IF($W1307=$Q1307,"ללא שינוי","מ-"&amp;$W1307&amp;" ל-"&amp;$Q1307))</f>
        <v/>
      </c>
    </row>
    <row r="1308">
      <c r="A1308" s="65" t="n"/>
      <c r="B1308" s="65" t="n"/>
      <c r="C1308" s="66" t="n"/>
      <c r="D1308" s="66" t="n"/>
      <c r="E1308" s="65" t="n"/>
      <c r="F1308" s="65" t="n"/>
      <c r="G1308" s="65" t="n"/>
      <c r="H1308" s="65" t="n"/>
      <c r="I1308" s="65" t="n"/>
      <c r="J1308" s="65" t="n"/>
      <c r="K1308" s="65" t="n"/>
      <c r="L1308" s="65" t="n"/>
      <c r="M1308" s="65" t="n"/>
      <c r="N1308" s="65" t="n"/>
      <c r="O1308" s="65" t="n"/>
      <c r="P1308" s="65" t="n"/>
      <c r="Q1308" s="32">
        <f>IF($C1308="","",IF($J1308="","— חסרים נתונים",IF($J1308="טרם מפענח","פרופיל 5",IF($J1308="קמץ/פתח/חטף-פתח ושוואים","פרופיל 4",IF($J1308="2-3 סימני ניקוד","פרופיל 3",IF($J1308="4-5 סימני ניקוד","פרופיל 2",IF(AND($O1308="משפטים וקטעים קצרים",OR($M1308="מבין",$M1308="מבין לרוב")),"פרופיל 1","פרופיל 2")))))))</f>
        <v/>
      </c>
      <c r="R1308" s="32">
        <f>IF($C1308="","",IF(OR($Q1308="",LEFT($Q1308,1)="—"),"קבוצה רביעית",IF($Q1308="פרופיל 5","קבוצת תשתיות",IF(OR($Q1308="פרופיל 4",$Q1308="פרופיל 3"),"קבוצת רכישה","קבוצת ביסוס"))))</f>
        <v/>
      </c>
      <c r="S1308" s="32">
        <f>IF($F1308="","",IF($F1308="תחילת שנה",1,IF($F1308="מחצית שנה",2,3)))</f>
        <v/>
      </c>
      <c r="T1308" s="32">
        <f>IF(OR($B1308="",$R1308="",$A1308="",$F1308=""),"",$B1308&amp;"|"&amp;$A1308&amp;"|"&amp;$F1308&amp;"|"&amp;$R1308&amp;"|"&amp;COUNTIFS($B$6:$B1308,$B1308,$A$6:$A1308,$A1308,$F$6:$F1308,$F1308,$R$6:$R1308,$R1308))</f>
        <v/>
      </c>
      <c r="U1308" s="32">
        <f>IF($C1308="","",$C1308&amp;"|"&amp;COUNTIFS($C$6:$C1308,$C1308))</f>
        <v/>
      </c>
      <c r="V1308" s="32">
        <f>IF(OR($C1308="",$A1308="",$S1308=""),"",$C1308&amp;"|"&amp;$A1308&amp;"|"&amp;$S1308)</f>
        <v/>
      </c>
      <c r="W1308" s="32">
        <f>IF(OR($C1308="",$S1308="",$S1308=1),"",IFERROR(INDEX($Q$6:$Q$1505,MATCH($C1308&amp;"|"&amp;$A1308&amp;"|"&amp;($S1308-1),$V$6:$V$1505,0)),""))</f>
        <v/>
      </c>
      <c r="X1308" s="32">
        <f>IF(OR($W1308="",$Q1308="",LEFT($Q1308,1)="—"),"",IF($W1308=$Q1308,"ללא שינוי","מ-"&amp;$W1308&amp;" ל-"&amp;$Q1308))</f>
        <v/>
      </c>
    </row>
    <row r="1309">
      <c r="A1309" s="65" t="n"/>
      <c r="B1309" s="65" t="n"/>
      <c r="C1309" s="66" t="n"/>
      <c r="D1309" s="66" t="n"/>
      <c r="E1309" s="65" t="n"/>
      <c r="F1309" s="65" t="n"/>
      <c r="G1309" s="65" t="n"/>
      <c r="H1309" s="65" t="n"/>
      <c r="I1309" s="65" t="n"/>
      <c r="J1309" s="65" t="n"/>
      <c r="K1309" s="65" t="n"/>
      <c r="L1309" s="65" t="n"/>
      <c r="M1309" s="65" t="n"/>
      <c r="N1309" s="65" t="n"/>
      <c r="O1309" s="65" t="n"/>
      <c r="P1309" s="65" t="n"/>
      <c r="Q1309" s="32">
        <f>IF($C1309="","",IF($J1309="","— חסרים נתונים",IF($J1309="טרם מפענח","פרופיל 5",IF($J1309="קמץ/פתח/חטף-פתח ושוואים","פרופיל 4",IF($J1309="2-3 סימני ניקוד","פרופיל 3",IF($J1309="4-5 סימני ניקוד","פרופיל 2",IF(AND($O1309="משפטים וקטעים קצרים",OR($M1309="מבין",$M1309="מבין לרוב")),"פרופיל 1","פרופיל 2")))))))</f>
        <v/>
      </c>
      <c r="R1309" s="32">
        <f>IF($C1309="","",IF(OR($Q1309="",LEFT($Q1309,1)="—"),"קבוצה רביעית",IF($Q1309="פרופיל 5","קבוצת תשתיות",IF(OR($Q1309="פרופיל 4",$Q1309="פרופיל 3"),"קבוצת רכישה","קבוצת ביסוס"))))</f>
        <v/>
      </c>
      <c r="S1309" s="32">
        <f>IF($F1309="","",IF($F1309="תחילת שנה",1,IF($F1309="מחצית שנה",2,3)))</f>
        <v/>
      </c>
      <c r="T1309" s="32">
        <f>IF(OR($B1309="",$R1309="",$A1309="",$F1309=""),"",$B1309&amp;"|"&amp;$A1309&amp;"|"&amp;$F1309&amp;"|"&amp;$R1309&amp;"|"&amp;COUNTIFS($B$6:$B1309,$B1309,$A$6:$A1309,$A1309,$F$6:$F1309,$F1309,$R$6:$R1309,$R1309))</f>
        <v/>
      </c>
      <c r="U1309" s="32">
        <f>IF($C1309="","",$C1309&amp;"|"&amp;COUNTIFS($C$6:$C1309,$C1309))</f>
        <v/>
      </c>
      <c r="V1309" s="32">
        <f>IF(OR($C1309="",$A1309="",$S1309=""),"",$C1309&amp;"|"&amp;$A1309&amp;"|"&amp;$S1309)</f>
        <v/>
      </c>
      <c r="W1309" s="32">
        <f>IF(OR($C1309="",$S1309="",$S1309=1),"",IFERROR(INDEX($Q$6:$Q$1505,MATCH($C1309&amp;"|"&amp;$A1309&amp;"|"&amp;($S1309-1),$V$6:$V$1505,0)),""))</f>
        <v/>
      </c>
      <c r="X1309" s="32">
        <f>IF(OR($W1309="",$Q1309="",LEFT($Q1309,1)="—"),"",IF($W1309=$Q1309,"ללא שינוי","מ-"&amp;$W1309&amp;" ל-"&amp;$Q1309))</f>
        <v/>
      </c>
    </row>
    <row r="1310">
      <c r="A1310" s="65" t="n"/>
      <c r="B1310" s="65" t="n"/>
      <c r="C1310" s="66" t="n"/>
      <c r="D1310" s="66" t="n"/>
      <c r="E1310" s="65" t="n"/>
      <c r="F1310" s="65" t="n"/>
      <c r="G1310" s="65" t="n"/>
      <c r="H1310" s="65" t="n"/>
      <c r="I1310" s="65" t="n"/>
      <c r="J1310" s="65" t="n"/>
      <c r="K1310" s="65" t="n"/>
      <c r="L1310" s="65" t="n"/>
      <c r="M1310" s="65" t="n"/>
      <c r="N1310" s="65" t="n"/>
      <c r="O1310" s="65" t="n"/>
      <c r="P1310" s="65" t="n"/>
      <c r="Q1310" s="32">
        <f>IF($C1310="","",IF($J1310="","— חסרים נתונים",IF($J1310="טרם מפענח","פרופיל 5",IF($J1310="קמץ/פתח/חטף-פתח ושוואים","פרופיל 4",IF($J1310="2-3 סימני ניקוד","פרופיל 3",IF($J1310="4-5 סימני ניקוד","פרופיל 2",IF(AND($O1310="משפטים וקטעים קצרים",OR($M1310="מבין",$M1310="מבין לרוב")),"פרופיל 1","פרופיל 2")))))))</f>
        <v/>
      </c>
      <c r="R1310" s="32">
        <f>IF($C1310="","",IF(OR($Q1310="",LEFT($Q1310,1)="—"),"קבוצה רביעית",IF($Q1310="פרופיל 5","קבוצת תשתיות",IF(OR($Q1310="פרופיל 4",$Q1310="פרופיל 3"),"קבוצת רכישה","קבוצת ביסוס"))))</f>
        <v/>
      </c>
      <c r="S1310" s="32">
        <f>IF($F1310="","",IF($F1310="תחילת שנה",1,IF($F1310="מחצית שנה",2,3)))</f>
        <v/>
      </c>
      <c r="T1310" s="32">
        <f>IF(OR($B1310="",$R1310="",$A1310="",$F1310=""),"",$B1310&amp;"|"&amp;$A1310&amp;"|"&amp;$F1310&amp;"|"&amp;$R1310&amp;"|"&amp;COUNTIFS($B$6:$B1310,$B1310,$A$6:$A1310,$A1310,$F$6:$F1310,$F1310,$R$6:$R1310,$R1310))</f>
        <v/>
      </c>
      <c r="U1310" s="32">
        <f>IF($C1310="","",$C1310&amp;"|"&amp;COUNTIFS($C$6:$C1310,$C1310))</f>
        <v/>
      </c>
      <c r="V1310" s="32">
        <f>IF(OR($C1310="",$A1310="",$S1310=""),"",$C1310&amp;"|"&amp;$A1310&amp;"|"&amp;$S1310)</f>
        <v/>
      </c>
      <c r="W1310" s="32">
        <f>IF(OR($C1310="",$S1310="",$S1310=1),"",IFERROR(INDEX($Q$6:$Q$1505,MATCH($C1310&amp;"|"&amp;$A1310&amp;"|"&amp;($S1310-1),$V$6:$V$1505,0)),""))</f>
        <v/>
      </c>
      <c r="X1310" s="32">
        <f>IF(OR($W1310="",$Q1310="",LEFT($Q1310,1)="—"),"",IF($W1310=$Q1310,"ללא שינוי","מ-"&amp;$W1310&amp;" ל-"&amp;$Q1310))</f>
        <v/>
      </c>
    </row>
    <row r="1311">
      <c r="A1311" s="65" t="n"/>
      <c r="B1311" s="65" t="n"/>
      <c r="C1311" s="66" t="n"/>
      <c r="D1311" s="66" t="n"/>
      <c r="E1311" s="65" t="n"/>
      <c r="F1311" s="65" t="n"/>
      <c r="G1311" s="65" t="n"/>
      <c r="H1311" s="65" t="n"/>
      <c r="I1311" s="65" t="n"/>
      <c r="J1311" s="65" t="n"/>
      <c r="K1311" s="65" t="n"/>
      <c r="L1311" s="65" t="n"/>
      <c r="M1311" s="65" t="n"/>
      <c r="N1311" s="65" t="n"/>
      <c r="O1311" s="65" t="n"/>
      <c r="P1311" s="65" t="n"/>
      <c r="Q1311" s="32">
        <f>IF($C1311="","",IF($J1311="","— חסרים נתונים",IF($J1311="טרם מפענח","פרופיל 5",IF($J1311="קמץ/פתח/חטף-פתח ושוואים","פרופיל 4",IF($J1311="2-3 סימני ניקוד","פרופיל 3",IF($J1311="4-5 סימני ניקוד","פרופיל 2",IF(AND($O1311="משפטים וקטעים קצרים",OR($M1311="מבין",$M1311="מבין לרוב")),"פרופיל 1","פרופיל 2")))))))</f>
        <v/>
      </c>
      <c r="R1311" s="32">
        <f>IF($C1311="","",IF(OR($Q1311="",LEFT($Q1311,1)="—"),"קבוצה רביעית",IF($Q1311="פרופיל 5","קבוצת תשתיות",IF(OR($Q1311="פרופיל 4",$Q1311="פרופיל 3"),"קבוצת רכישה","קבוצת ביסוס"))))</f>
        <v/>
      </c>
      <c r="S1311" s="32">
        <f>IF($F1311="","",IF($F1311="תחילת שנה",1,IF($F1311="מחצית שנה",2,3)))</f>
        <v/>
      </c>
      <c r="T1311" s="32">
        <f>IF(OR($B1311="",$R1311="",$A1311="",$F1311=""),"",$B1311&amp;"|"&amp;$A1311&amp;"|"&amp;$F1311&amp;"|"&amp;$R1311&amp;"|"&amp;COUNTIFS($B$6:$B1311,$B1311,$A$6:$A1311,$A1311,$F$6:$F1311,$F1311,$R$6:$R1311,$R1311))</f>
        <v/>
      </c>
      <c r="U1311" s="32">
        <f>IF($C1311="","",$C1311&amp;"|"&amp;COUNTIFS($C$6:$C1311,$C1311))</f>
        <v/>
      </c>
      <c r="V1311" s="32">
        <f>IF(OR($C1311="",$A1311="",$S1311=""),"",$C1311&amp;"|"&amp;$A1311&amp;"|"&amp;$S1311)</f>
        <v/>
      </c>
      <c r="W1311" s="32">
        <f>IF(OR($C1311="",$S1311="",$S1311=1),"",IFERROR(INDEX($Q$6:$Q$1505,MATCH($C1311&amp;"|"&amp;$A1311&amp;"|"&amp;($S1311-1),$V$6:$V$1505,0)),""))</f>
        <v/>
      </c>
      <c r="X1311" s="32">
        <f>IF(OR($W1311="",$Q1311="",LEFT($Q1311,1)="—"),"",IF($W1311=$Q1311,"ללא שינוי","מ-"&amp;$W1311&amp;" ל-"&amp;$Q1311))</f>
        <v/>
      </c>
    </row>
    <row r="1312">
      <c r="A1312" s="65" t="n"/>
      <c r="B1312" s="65" t="n"/>
      <c r="C1312" s="66" t="n"/>
      <c r="D1312" s="66" t="n"/>
      <c r="E1312" s="65" t="n"/>
      <c r="F1312" s="65" t="n"/>
      <c r="G1312" s="65" t="n"/>
      <c r="H1312" s="65" t="n"/>
      <c r="I1312" s="65" t="n"/>
      <c r="J1312" s="65" t="n"/>
      <c r="K1312" s="65" t="n"/>
      <c r="L1312" s="65" t="n"/>
      <c r="M1312" s="65" t="n"/>
      <c r="N1312" s="65" t="n"/>
      <c r="O1312" s="65" t="n"/>
      <c r="P1312" s="65" t="n"/>
      <c r="Q1312" s="32">
        <f>IF($C1312="","",IF($J1312="","— חסרים נתונים",IF($J1312="טרם מפענח","פרופיל 5",IF($J1312="קמץ/פתח/חטף-פתח ושוואים","פרופיל 4",IF($J1312="2-3 סימני ניקוד","פרופיל 3",IF($J1312="4-5 סימני ניקוד","פרופיל 2",IF(AND($O1312="משפטים וקטעים קצרים",OR($M1312="מבין",$M1312="מבין לרוב")),"פרופיל 1","פרופיל 2")))))))</f>
        <v/>
      </c>
      <c r="R1312" s="32">
        <f>IF($C1312="","",IF(OR($Q1312="",LEFT($Q1312,1)="—"),"קבוצה רביעית",IF($Q1312="פרופיל 5","קבוצת תשתיות",IF(OR($Q1312="פרופיל 4",$Q1312="פרופיל 3"),"קבוצת רכישה","קבוצת ביסוס"))))</f>
        <v/>
      </c>
      <c r="S1312" s="32">
        <f>IF($F1312="","",IF($F1312="תחילת שנה",1,IF($F1312="מחצית שנה",2,3)))</f>
        <v/>
      </c>
      <c r="T1312" s="32">
        <f>IF(OR($B1312="",$R1312="",$A1312="",$F1312=""),"",$B1312&amp;"|"&amp;$A1312&amp;"|"&amp;$F1312&amp;"|"&amp;$R1312&amp;"|"&amp;COUNTIFS($B$6:$B1312,$B1312,$A$6:$A1312,$A1312,$F$6:$F1312,$F1312,$R$6:$R1312,$R1312))</f>
        <v/>
      </c>
      <c r="U1312" s="32">
        <f>IF($C1312="","",$C1312&amp;"|"&amp;COUNTIFS($C$6:$C1312,$C1312))</f>
        <v/>
      </c>
      <c r="V1312" s="32">
        <f>IF(OR($C1312="",$A1312="",$S1312=""),"",$C1312&amp;"|"&amp;$A1312&amp;"|"&amp;$S1312)</f>
        <v/>
      </c>
      <c r="W1312" s="32">
        <f>IF(OR($C1312="",$S1312="",$S1312=1),"",IFERROR(INDEX($Q$6:$Q$1505,MATCH($C1312&amp;"|"&amp;$A1312&amp;"|"&amp;($S1312-1),$V$6:$V$1505,0)),""))</f>
        <v/>
      </c>
      <c r="X1312" s="32">
        <f>IF(OR($W1312="",$Q1312="",LEFT($Q1312,1)="—"),"",IF($W1312=$Q1312,"ללא שינוי","מ-"&amp;$W1312&amp;" ל-"&amp;$Q1312))</f>
        <v/>
      </c>
    </row>
    <row r="1313">
      <c r="A1313" s="65" t="n"/>
      <c r="B1313" s="65" t="n"/>
      <c r="C1313" s="66" t="n"/>
      <c r="D1313" s="66" t="n"/>
      <c r="E1313" s="65" t="n"/>
      <c r="F1313" s="65" t="n"/>
      <c r="G1313" s="65" t="n"/>
      <c r="H1313" s="65" t="n"/>
      <c r="I1313" s="65" t="n"/>
      <c r="J1313" s="65" t="n"/>
      <c r="K1313" s="65" t="n"/>
      <c r="L1313" s="65" t="n"/>
      <c r="M1313" s="65" t="n"/>
      <c r="N1313" s="65" t="n"/>
      <c r="O1313" s="65" t="n"/>
      <c r="P1313" s="65" t="n"/>
      <c r="Q1313" s="32">
        <f>IF($C1313="","",IF($J1313="","— חסרים נתונים",IF($J1313="טרם מפענח","פרופיל 5",IF($J1313="קמץ/פתח/חטף-פתח ושוואים","פרופיל 4",IF($J1313="2-3 סימני ניקוד","פרופיל 3",IF($J1313="4-5 סימני ניקוד","פרופיל 2",IF(AND($O1313="משפטים וקטעים קצרים",OR($M1313="מבין",$M1313="מבין לרוב")),"פרופיל 1","פרופיל 2")))))))</f>
        <v/>
      </c>
      <c r="R1313" s="32">
        <f>IF($C1313="","",IF(OR($Q1313="",LEFT($Q1313,1)="—"),"קבוצה רביעית",IF($Q1313="פרופיל 5","קבוצת תשתיות",IF(OR($Q1313="פרופיל 4",$Q1313="פרופיל 3"),"קבוצת רכישה","קבוצת ביסוס"))))</f>
        <v/>
      </c>
      <c r="S1313" s="32">
        <f>IF($F1313="","",IF($F1313="תחילת שנה",1,IF($F1313="מחצית שנה",2,3)))</f>
        <v/>
      </c>
      <c r="T1313" s="32">
        <f>IF(OR($B1313="",$R1313="",$A1313="",$F1313=""),"",$B1313&amp;"|"&amp;$A1313&amp;"|"&amp;$F1313&amp;"|"&amp;$R1313&amp;"|"&amp;COUNTIFS($B$6:$B1313,$B1313,$A$6:$A1313,$A1313,$F$6:$F1313,$F1313,$R$6:$R1313,$R1313))</f>
        <v/>
      </c>
      <c r="U1313" s="32">
        <f>IF($C1313="","",$C1313&amp;"|"&amp;COUNTIFS($C$6:$C1313,$C1313))</f>
        <v/>
      </c>
      <c r="V1313" s="32">
        <f>IF(OR($C1313="",$A1313="",$S1313=""),"",$C1313&amp;"|"&amp;$A1313&amp;"|"&amp;$S1313)</f>
        <v/>
      </c>
      <c r="W1313" s="32">
        <f>IF(OR($C1313="",$S1313="",$S1313=1),"",IFERROR(INDEX($Q$6:$Q$1505,MATCH($C1313&amp;"|"&amp;$A1313&amp;"|"&amp;($S1313-1),$V$6:$V$1505,0)),""))</f>
        <v/>
      </c>
      <c r="X1313" s="32">
        <f>IF(OR($W1313="",$Q1313="",LEFT($Q1313,1)="—"),"",IF($W1313=$Q1313,"ללא שינוי","מ-"&amp;$W1313&amp;" ל-"&amp;$Q1313))</f>
        <v/>
      </c>
    </row>
    <row r="1314">
      <c r="A1314" s="65" t="n"/>
      <c r="B1314" s="65" t="n"/>
      <c r="C1314" s="66" t="n"/>
      <c r="D1314" s="66" t="n"/>
      <c r="E1314" s="65" t="n"/>
      <c r="F1314" s="65" t="n"/>
      <c r="G1314" s="65" t="n"/>
      <c r="H1314" s="65" t="n"/>
      <c r="I1314" s="65" t="n"/>
      <c r="J1314" s="65" t="n"/>
      <c r="K1314" s="65" t="n"/>
      <c r="L1314" s="65" t="n"/>
      <c r="M1314" s="65" t="n"/>
      <c r="N1314" s="65" t="n"/>
      <c r="O1314" s="65" t="n"/>
      <c r="P1314" s="65" t="n"/>
      <c r="Q1314" s="32">
        <f>IF($C1314="","",IF($J1314="","— חסרים נתונים",IF($J1314="טרם מפענח","פרופיל 5",IF($J1314="קמץ/פתח/חטף-פתח ושוואים","פרופיל 4",IF($J1314="2-3 סימני ניקוד","פרופיל 3",IF($J1314="4-5 סימני ניקוד","פרופיל 2",IF(AND($O1314="משפטים וקטעים קצרים",OR($M1314="מבין",$M1314="מבין לרוב")),"פרופיל 1","פרופיל 2")))))))</f>
        <v/>
      </c>
      <c r="R1314" s="32">
        <f>IF($C1314="","",IF(OR($Q1314="",LEFT($Q1314,1)="—"),"קבוצה רביעית",IF($Q1314="פרופיל 5","קבוצת תשתיות",IF(OR($Q1314="פרופיל 4",$Q1314="פרופיל 3"),"קבוצת רכישה","קבוצת ביסוס"))))</f>
        <v/>
      </c>
      <c r="S1314" s="32">
        <f>IF($F1314="","",IF($F1314="תחילת שנה",1,IF($F1314="מחצית שנה",2,3)))</f>
        <v/>
      </c>
      <c r="T1314" s="32">
        <f>IF(OR($B1314="",$R1314="",$A1314="",$F1314=""),"",$B1314&amp;"|"&amp;$A1314&amp;"|"&amp;$F1314&amp;"|"&amp;$R1314&amp;"|"&amp;COUNTIFS($B$6:$B1314,$B1314,$A$6:$A1314,$A1314,$F$6:$F1314,$F1314,$R$6:$R1314,$R1314))</f>
        <v/>
      </c>
      <c r="U1314" s="32">
        <f>IF($C1314="","",$C1314&amp;"|"&amp;COUNTIFS($C$6:$C1314,$C1314))</f>
        <v/>
      </c>
      <c r="V1314" s="32">
        <f>IF(OR($C1314="",$A1314="",$S1314=""),"",$C1314&amp;"|"&amp;$A1314&amp;"|"&amp;$S1314)</f>
        <v/>
      </c>
      <c r="W1314" s="32">
        <f>IF(OR($C1314="",$S1314="",$S1314=1),"",IFERROR(INDEX($Q$6:$Q$1505,MATCH($C1314&amp;"|"&amp;$A1314&amp;"|"&amp;($S1314-1),$V$6:$V$1505,0)),""))</f>
        <v/>
      </c>
      <c r="X1314" s="32">
        <f>IF(OR($W1314="",$Q1314="",LEFT($Q1314,1)="—"),"",IF($W1314=$Q1314,"ללא שינוי","מ-"&amp;$W1314&amp;" ל-"&amp;$Q1314))</f>
        <v/>
      </c>
    </row>
    <row r="1315">
      <c r="A1315" s="65" t="n"/>
      <c r="B1315" s="65" t="n"/>
      <c r="C1315" s="66" t="n"/>
      <c r="D1315" s="66" t="n"/>
      <c r="E1315" s="65" t="n"/>
      <c r="F1315" s="65" t="n"/>
      <c r="G1315" s="65" t="n"/>
      <c r="H1315" s="65" t="n"/>
      <c r="I1315" s="65" t="n"/>
      <c r="J1315" s="65" t="n"/>
      <c r="K1315" s="65" t="n"/>
      <c r="L1315" s="65" t="n"/>
      <c r="M1315" s="65" t="n"/>
      <c r="N1315" s="65" t="n"/>
      <c r="O1315" s="65" t="n"/>
      <c r="P1315" s="65" t="n"/>
      <c r="Q1315" s="32">
        <f>IF($C1315="","",IF($J1315="","— חסרים נתונים",IF($J1315="טרם מפענח","פרופיל 5",IF($J1315="קמץ/פתח/חטף-פתח ושוואים","פרופיל 4",IF($J1315="2-3 סימני ניקוד","פרופיל 3",IF($J1315="4-5 סימני ניקוד","פרופיל 2",IF(AND($O1315="משפטים וקטעים קצרים",OR($M1315="מבין",$M1315="מבין לרוב")),"פרופיל 1","פרופיל 2")))))))</f>
        <v/>
      </c>
      <c r="R1315" s="32">
        <f>IF($C1315="","",IF(OR($Q1315="",LEFT($Q1315,1)="—"),"קבוצה רביעית",IF($Q1315="פרופיל 5","קבוצת תשתיות",IF(OR($Q1315="פרופיל 4",$Q1315="פרופיל 3"),"קבוצת רכישה","קבוצת ביסוס"))))</f>
        <v/>
      </c>
      <c r="S1315" s="32">
        <f>IF($F1315="","",IF($F1315="תחילת שנה",1,IF($F1315="מחצית שנה",2,3)))</f>
        <v/>
      </c>
      <c r="T1315" s="32">
        <f>IF(OR($B1315="",$R1315="",$A1315="",$F1315=""),"",$B1315&amp;"|"&amp;$A1315&amp;"|"&amp;$F1315&amp;"|"&amp;$R1315&amp;"|"&amp;COUNTIFS($B$6:$B1315,$B1315,$A$6:$A1315,$A1315,$F$6:$F1315,$F1315,$R$6:$R1315,$R1315))</f>
        <v/>
      </c>
      <c r="U1315" s="32">
        <f>IF($C1315="","",$C1315&amp;"|"&amp;COUNTIFS($C$6:$C1315,$C1315))</f>
        <v/>
      </c>
      <c r="V1315" s="32">
        <f>IF(OR($C1315="",$A1315="",$S1315=""),"",$C1315&amp;"|"&amp;$A1315&amp;"|"&amp;$S1315)</f>
        <v/>
      </c>
      <c r="W1315" s="32">
        <f>IF(OR($C1315="",$S1315="",$S1315=1),"",IFERROR(INDEX($Q$6:$Q$1505,MATCH($C1315&amp;"|"&amp;$A1315&amp;"|"&amp;($S1315-1),$V$6:$V$1505,0)),""))</f>
        <v/>
      </c>
      <c r="X1315" s="32">
        <f>IF(OR($W1315="",$Q1315="",LEFT($Q1315,1)="—"),"",IF($W1315=$Q1315,"ללא שינוי","מ-"&amp;$W1315&amp;" ל-"&amp;$Q1315))</f>
        <v/>
      </c>
    </row>
    <row r="1316">
      <c r="A1316" s="65" t="n"/>
      <c r="B1316" s="65" t="n"/>
      <c r="C1316" s="66" t="n"/>
      <c r="D1316" s="66" t="n"/>
      <c r="E1316" s="65" t="n"/>
      <c r="F1316" s="65" t="n"/>
      <c r="G1316" s="65" t="n"/>
      <c r="H1316" s="65" t="n"/>
      <c r="I1316" s="65" t="n"/>
      <c r="J1316" s="65" t="n"/>
      <c r="K1316" s="65" t="n"/>
      <c r="L1316" s="65" t="n"/>
      <c r="M1316" s="65" t="n"/>
      <c r="N1316" s="65" t="n"/>
      <c r="O1316" s="65" t="n"/>
      <c r="P1316" s="65" t="n"/>
      <c r="Q1316" s="32">
        <f>IF($C1316="","",IF($J1316="","— חסרים נתונים",IF($J1316="טרם מפענח","פרופיל 5",IF($J1316="קמץ/פתח/חטף-פתח ושוואים","פרופיל 4",IF($J1316="2-3 סימני ניקוד","פרופיל 3",IF($J1316="4-5 סימני ניקוד","פרופיל 2",IF(AND($O1316="משפטים וקטעים קצרים",OR($M1316="מבין",$M1316="מבין לרוב")),"פרופיל 1","פרופיל 2")))))))</f>
        <v/>
      </c>
      <c r="R1316" s="32">
        <f>IF($C1316="","",IF(OR($Q1316="",LEFT($Q1316,1)="—"),"קבוצה רביעית",IF($Q1316="פרופיל 5","קבוצת תשתיות",IF(OR($Q1316="פרופיל 4",$Q1316="פרופיל 3"),"קבוצת רכישה","קבוצת ביסוס"))))</f>
        <v/>
      </c>
      <c r="S1316" s="32">
        <f>IF($F1316="","",IF($F1316="תחילת שנה",1,IF($F1316="מחצית שנה",2,3)))</f>
        <v/>
      </c>
      <c r="T1316" s="32">
        <f>IF(OR($B1316="",$R1316="",$A1316="",$F1316=""),"",$B1316&amp;"|"&amp;$A1316&amp;"|"&amp;$F1316&amp;"|"&amp;$R1316&amp;"|"&amp;COUNTIFS($B$6:$B1316,$B1316,$A$6:$A1316,$A1316,$F$6:$F1316,$F1316,$R$6:$R1316,$R1316))</f>
        <v/>
      </c>
      <c r="U1316" s="32">
        <f>IF($C1316="","",$C1316&amp;"|"&amp;COUNTIFS($C$6:$C1316,$C1316))</f>
        <v/>
      </c>
      <c r="V1316" s="32">
        <f>IF(OR($C1316="",$A1316="",$S1316=""),"",$C1316&amp;"|"&amp;$A1316&amp;"|"&amp;$S1316)</f>
        <v/>
      </c>
      <c r="W1316" s="32">
        <f>IF(OR($C1316="",$S1316="",$S1316=1),"",IFERROR(INDEX($Q$6:$Q$1505,MATCH($C1316&amp;"|"&amp;$A1316&amp;"|"&amp;($S1316-1),$V$6:$V$1505,0)),""))</f>
        <v/>
      </c>
      <c r="X1316" s="32">
        <f>IF(OR($W1316="",$Q1316="",LEFT($Q1316,1)="—"),"",IF($W1316=$Q1316,"ללא שינוי","מ-"&amp;$W1316&amp;" ל-"&amp;$Q1316))</f>
        <v/>
      </c>
    </row>
    <row r="1317">
      <c r="A1317" s="65" t="n"/>
      <c r="B1317" s="65" t="n"/>
      <c r="C1317" s="66" t="n"/>
      <c r="D1317" s="66" t="n"/>
      <c r="E1317" s="65" t="n"/>
      <c r="F1317" s="65" t="n"/>
      <c r="G1317" s="65" t="n"/>
      <c r="H1317" s="65" t="n"/>
      <c r="I1317" s="65" t="n"/>
      <c r="J1317" s="65" t="n"/>
      <c r="K1317" s="65" t="n"/>
      <c r="L1317" s="65" t="n"/>
      <c r="M1317" s="65" t="n"/>
      <c r="N1317" s="65" t="n"/>
      <c r="O1317" s="65" t="n"/>
      <c r="P1317" s="65" t="n"/>
      <c r="Q1317" s="32">
        <f>IF($C1317="","",IF($J1317="","— חסרים נתונים",IF($J1317="טרם מפענח","פרופיל 5",IF($J1317="קמץ/פתח/חטף-פתח ושוואים","פרופיל 4",IF($J1317="2-3 סימני ניקוד","פרופיל 3",IF($J1317="4-5 סימני ניקוד","פרופיל 2",IF(AND($O1317="משפטים וקטעים קצרים",OR($M1317="מבין",$M1317="מבין לרוב")),"פרופיל 1","פרופיל 2")))))))</f>
        <v/>
      </c>
      <c r="R1317" s="32">
        <f>IF($C1317="","",IF(OR($Q1317="",LEFT($Q1317,1)="—"),"קבוצה רביעית",IF($Q1317="פרופיל 5","קבוצת תשתיות",IF(OR($Q1317="פרופיל 4",$Q1317="פרופיל 3"),"קבוצת רכישה","קבוצת ביסוס"))))</f>
        <v/>
      </c>
      <c r="S1317" s="32">
        <f>IF($F1317="","",IF($F1317="תחילת שנה",1,IF($F1317="מחצית שנה",2,3)))</f>
        <v/>
      </c>
      <c r="T1317" s="32">
        <f>IF(OR($B1317="",$R1317="",$A1317="",$F1317=""),"",$B1317&amp;"|"&amp;$A1317&amp;"|"&amp;$F1317&amp;"|"&amp;$R1317&amp;"|"&amp;COUNTIFS($B$6:$B1317,$B1317,$A$6:$A1317,$A1317,$F$6:$F1317,$F1317,$R$6:$R1317,$R1317))</f>
        <v/>
      </c>
      <c r="U1317" s="32">
        <f>IF($C1317="","",$C1317&amp;"|"&amp;COUNTIFS($C$6:$C1317,$C1317))</f>
        <v/>
      </c>
      <c r="V1317" s="32">
        <f>IF(OR($C1317="",$A1317="",$S1317=""),"",$C1317&amp;"|"&amp;$A1317&amp;"|"&amp;$S1317)</f>
        <v/>
      </c>
      <c r="W1317" s="32">
        <f>IF(OR($C1317="",$S1317="",$S1317=1),"",IFERROR(INDEX($Q$6:$Q$1505,MATCH($C1317&amp;"|"&amp;$A1317&amp;"|"&amp;($S1317-1),$V$6:$V$1505,0)),""))</f>
        <v/>
      </c>
      <c r="X1317" s="32">
        <f>IF(OR($W1317="",$Q1317="",LEFT($Q1317,1)="—"),"",IF($W1317=$Q1317,"ללא שינוי","מ-"&amp;$W1317&amp;" ל-"&amp;$Q1317))</f>
        <v/>
      </c>
    </row>
    <row r="1318">
      <c r="A1318" s="65" t="n"/>
      <c r="B1318" s="65" t="n"/>
      <c r="C1318" s="66" t="n"/>
      <c r="D1318" s="66" t="n"/>
      <c r="E1318" s="65" t="n"/>
      <c r="F1318" s="65" t="n"/>
      <c r="G1318" s="65" t="n"/>
      <c r="H1318" s="65" t="n"/>
      <c r="I1318" s="65" t="n"/>
      <c r="J1318" s="65" t="n"/>
      <c r="K1318" s="65" t="n"/>
      <c r="L1318" s="65" t="n"/>
      <c r="M1318" s="65" t="n"/>
      <c r="N1318" s="65" t="n"/>
      <c r="O1318" s="65" t="n"/>
      <c r="P1318" s="65" t="n"/>
      <c r="Q1318" s="32">
        <f>IF($C1318="","",IF($J1318="","— חסרים נתונים",IF($J1318="טרם מפענח","פרופיל 5",IF($J1318="קמץ/פתח/חטף-פתח ושוואים","פרופיל 4",IF($J1318="2-3 סימני ניקוד","פרופיל 3",IF($J1318="4-5 סימני ניקוד","פרופיל 2",IF(AND($O1318="משפטים וקטעים קצרים",OR($M1318="מבין",$M1318="מבין לרוב")),"פרופיל 1","פרופיל 2")))))))</f>
        <v/>
      </c>
      <c r="R1318" s="32">
        <f>IF($C1318="","",IF(OR($Q1318="",LEFT($Q1318,1)="—"),"קבוצה רביעית",IF($Q1318="פרופיל 5","קבוצת תשתיות",IF(OR($Q1318="פרופיל 4",$Q1318="פרופיל 3"),"קבוצת רכישה","קבוצת ביסוס"))))</f>
        <v/>
      </c>
      <c r="S1318" s="32">
        <f>IF($F1318="","",IF($F1318="תחילת שנה",1,IF($F1318="מחצית שנה",2,3)))</f>
        <v/>
      </c>
      <c r="T1318" s="32">
        <f>IF(OR($B1318="",$R1318="",$A1318="",$F1318=""),"",$B1318&amp;"|"&amp;$A1318&amp;"|"&amp;$F1318&amp;"|"&amp;$R1318&amp;"|"&amp;COUNTIFS($B$6:$B1318,$B1318,$A$6:$A1318,$A1318,$F$6:$F1318,$F1318,$R$6:$R1318,$R1318))</f>
        <v/>
      </c>
      <c r="U1318" s="32">
        <f>IF($C1318="","",$C1318&amp;"|"&amp;COUNTIFS($C$6:$C1318,$C1318))</f>
        <v/>
      </c>
      <c r="V1318" s="32">
        <f>IF(OR($C1318="",$A1318="",$S1318=""),"",$C1318&amp;"|"&amp;$A1318&amp;"|"&amp;$S1318)</f>
        <v/>
      </c>
      <c r="W1318" s="32">
        <f>IF(OR($C1318="",$S1318="",$S1318=1),"",IFERROR(INDEX($Q$6:$Q$1505,MATCH($C1318&amp;"|"&amp;$A1318&amp;"|"&amp;($S1318-1),$V$6:$V$1505,0)),""))</f>
        <v/>
      </c>
      <c r="X1318" s="32">
        <f>IF(OR($W1318="",$Q1318="",LEFT($Q1318,1)="—"),"",IF($W1318=$Q1318,"ללא שינוי","מ-"&amp;$W1318&amp;" ל-"&amp;$Q1318))</f>
        <v/>
      </c>
    </row>
    <row r="1319">
      <c r="A1319" s="65" t="n"/>
      <c r="B1319" s="65" t="n"/>
      <c r="C1319" s="66" t="n"/>
      <c r="D1319" s="66" t="n"/>
      <c r="E1319" s="65" t="n"/>
      <c r="F1319" s="65" t="n"/>
      <c r="G1319" s="65" t="n"/>
      <c r="H1319" s="65" t="n"/>
      <c r="I1319" s="65" t="n"/>
      <c r="J1319" s="65" t="n"/>
      <c r="K1319" s="65" t="n"/>
      <c r="L1319" s="65" t="n"/>
      <c r="M1319" s="65" t="n"/>
      <c r="N1319" s="65" t="n"/>
      <c r="O1319" s="65" t="n"/>
      <c r="P1319" s="65" t="n"/>
      <c r="Q1319" s="32">
        <f>IF($C1319="","",IF($J1319="","— חסרים נתונים",IF($J1319="טרם מפענח","פרופיל 5",IF($J1319="קמץ/פתח/חטף-פתח ושוואים","פרופיל 4",IF($J1319="2-3 סימני ניקוד","פרופיל 3",IF($J1319="4-5 סימני ניקוד","פרופיל 2",IF(AND($O1319="משפטים וקטעים קצרים",OR($M1319="מבין",$M1319="מבין לרוב")),"פרופיל 1","פרופיל 2")))))))</f>
        <v/>
      </c>
      <c r="R1319" s="32">
        <f>IF($C1319="","",IF(OR($Q1319="",LEFT($Q1319,1)="—"),"קבוצה רביעית",IF($Q1319="פרופיל 5","קבוצת תשתיות",IF(OR($Q1319="פרופיל 4",$Q1319="פרופיל 3"),"קבוצת רכישה","קבוצת ביסוס"))))</f>
        <v/>
      </c>
      <c r="S1319" s="32">
        <f>IF($F1319="","",IF($F1319="תחילת שנה",1,IF($F1319="מחצית שנה",2,3)))</f>
        <v/>
      </c>
      <c r="T1319" s="32">
        <f>IF(OR($B1319="",$R1319="",$A1319="",$F1319=""),"",$B1319&amp;"|"&amp;$A1319&amp;"|"&amp;$F1319&amp;"|"&amp;$R1319&amp;"|"&amp;COUNTIFS($B$6:$B1319,$B1319,$A$6:$A1319,$A1319,$F$6:$F1319,$F1319,$R$6:$R1319,$R1319))</f>
        <v/>
      </c>
      <c r="U1319" s="32">
        <f>IF($C1319="","",$C1319&amp;"|"&amp;COUNTIFS($C$6:$C1319,$C1319))</f>
        <v/>
      </c>
      <c r="V1319" s="32">
        <f>IF(OR($C1319="",$A1319="",$S1319=""),"",$C1319&amp;"|"&amp;$A1319&amp;"|"&amp;$S1319)</f>
        <v/>
      </c>
      <c r="W1319" s="32">
        <f>IF(OR($C1319="",$S1319="",$S1319=1),"",IFERROR(INDEX($Q$6:$Q$1505,MATCH($C1319&amp;"|"&amp;$A1319&amp;"|"&amp;($S1319-1),$V$6:$V$1505,0)),""))</f>
        <v/>
      </c>
      <c r="X1319" s="32">
        <f>IF(OR($W1319="",$Q1319="",LEFT($Q1319,1)="—"),"",IF($W1319=$Q1319,"ללא שינוי","מ-"&amp;$W1319&amp;" ל-"&amp;$Q1319))</f>
        <v/>
      </c>
    </row>
    <row r="1320">
      <c r="A1320" s="65" t="n"/>
      <c r="B1320" s="65" t="n"/>
      <c r="C1320" s="66" t="n"/>
      <c r="D1320" s="66" t="n"/>
      <c r="E1320" s="65" t="n"/>
      <c r="F1320" s="65" t="n"/>
      <c r="G1320" s="65" t="n"/>
      <c r="H1320" s="65" t="n"/>
      <c r="I1320" s="65" t="n"/>
      <c r="J1320" s="65" t="n"/>
      <c r="K1320" s="65" t="n"/>
      <c r="L1320" s="65" t="n"/>
      <c r="M1320" s="65" t="n"/>
      <c r="N1320" s="65" t="n"/>
      <c r="O1320" s="65" t="n"/>
      <c r="P1320" s="65" t="n"/>
      <c r="Q1320" s="32">
        <f>IF($C1320="","",IF($J1320="","— חסרים נתונים",IF($J1320="טרם מפענח","פרופיל 5",IF($J1320="קמץ/פתח/חטף-פתח ושוואים","פרופיל 4",IF($J1320="2-3 סימני ניקוד","פרופיל 3",IF($J1320="4-5 סימני ניקוד","פרופיל 2",IF(AND($O1320="משפטים וקטעים קצרים",OR($M1320="מבין",$M1320="מבין לרוב")),"פרופיל 1","פרופיל 2")))))))</f>
        <v/>
      </c>
      <c r="R1320" s="32">
        <f>IF($C1320="","",IF(OR($Q1320="",LEFT($Q1320,1)="—"),"קבוצה רביעית",IF($Q1320="פרופיל 5","קבוצת תשתיות",IF(OR($Q1320="פרופיל 4",$Q1320="פרופיל 3"),"קבוצת רכישה","קבוצת ביסוס"))))</f>
        <v/>
      </c>
      <c r="S1320" s="32">
        <f>IF($F1320="","",IF($F1320="תחילת שנה",1,IF($F1320="מחצית שנה",2,3)))</f>
        <v/>
      </c>
      <c r="T1320" s="32">
        <f>IF(OR($B1320="",$R1320="",$A1320="",$F1320=""),"",$B1320&amp;"|"&amp;$A1320&amp;"|"&amp;$F1320&amp;"|"&amp;$R1320&amp;"|"&amp;COUNTIFS($B$6:$B1320,$B1320,$A$6:$A1320,$A1320,$F$6:$F1320,$F1320,$R$6:$R1320,$R1320))</f>
        <v/>
      </c>
      <c r="U1320" s="32">
        <f>IF($C1320="","",$C1320&amp;"|"&amp;COUNTIFS($C$6:$C1320,$C1320))</f>
        <v/>
      </c>
      <c r="V1320" s="32">
        <f>IF(OR($C1320="",$A1320="",$S1320=""),"",$C1320&amp;"|"&amp;$A1320&amp;"|"&amp;$S1320)</f>
        <v/>
      </c>
      <c r="W1320" s="32">
        <f>IF(OR($C1320="",$S1320="",$S1320=1),"",IFERROR(INDEX($Q$6:$Q$1505,MATCH($C1320&amp;"|"&amp;$A1320&amp;"|"&amp;($S1320-1),$V$6:$V$1505,0)),""))</f>
        <v/>
      </c>
      <c r="X1320" s="32">
        <f>IF(OR($W1320="",$Q1320="",LEFT($Q1320,1)="—"),"",IF($W1320=$Q1320,"ללא שינוי","מ-"&amp;$W1320&amp;" ל-"&amp;$Q1320))</f>
        <v/>
      </c>
    </row>
    <row r="1321">
      <c r="A1321" s="65" t="n"/>
      <c r="B1321" s="65" t="n"/>
      <c r="C1321" s="66" t="n"/>
      <c r="D1321" s="66" t="n"/>
      <c r="E1321" s="65" t="n"/>
      <c r="F1321" s="65" t="n"/>
      <c r="G1321" s="65" t="n"/>
      <c r="H1321" s="65" t="n"/>
      <c r="I1321" s="65" t="n"/>
      <c r="J1321" s="65" t="n"/>
      <c r="K1321" s="65" t="n"/>
      <c r="L1321" s="65" t="n"/>
      <c r="M1321" s="65" t="n"/>
      <c r="N1321" s="65" t="n"/>
      <c r="O1321" s="65" t="n"/>
      <c r="P1321" s="65" t="n"/>
      <c r="Q1321" s="32">
        <f>IF($C1321="","",IF($J1321="","— חסרים נתונים",IF($J1321="טרם מפענח","פרופיל 5",IF($J1321="קמץ/פתח/חטף-פתח ושוואים","פרופיל 4",IF($J1321="2-3 סימני ניקוד","פרופיל 3",IF($J1321="4-5 סימני ניקוד","פרופיל 2",IF(AND($O1321="משפטים וקטעים קצרים",OR($M1321="מבין",$M1321="מבין לרוב")),"פרופיל 1","פרופיל 2")))))))</f>
        <v/>
      </c>
      <c r="R1321" s="32">
        <f>IF($C1321="","",IF(OR($Q1321="",LEFT($Q1321,1)="—"),"קבוצה רביעית",IF($Q1321="פרופיל 5","קבוצת תשתיות",IF(OR($Q1321="פרופיל 4",$Q1321="פרופיל 3"),"קבוצת רכישה","קבוצת ביסוס"))))</f>
        <v/>
      </c>
      <c r="S1321" s="32">
        <f>IF($F1321="","",IF($F1321="תחילת שנה",1,IF($F1321="מחצית שנה",2,3)))</f>
        <v/>
      </c>
      <c r="T1321" s="32">
        <f>IF(OR($B1321="",$R1321="",$A1321="",$F1321=""),"",$B1321&amp;"|"&amp;$A1321&amp;"|"&amp;$F1321&amp;"|"&amp;$R1321&amp;"|"&amp;COUNTIFS($B$6:$B1321,$B1321,$A$6:$A1321,$A1321,$F$6:$F1321,$F1321,$R$6:$R1321,$R1321))</f>
        <v/>
      </c>
      <c r="U1321" s="32">
        <f>IF($C1321="","",$C1321&amp;"|"&amp;COUNTIFS($C$6:$C1321,$C1321))</f>
        <v/>
      </c>
      <c r="V1321" s="32">
        <f>IF(OR($C1321="",$A1321="",$S1321=""),"",$C1321&amp;"|"&amp;$A1321&amp;"|"&amp;$S1321)</f>
        <v/>
      </c>
      <c r="W1321" s="32">
        <f>IF(OR($C1321="",$S1321="",$S1321=1),"",IFERROR(INDEX($Q$6:$Q$1505,MATCH($C1321&amp;"|"&amp;$A1321&amp;"|"&amp;($S1321-1),$V$6:$V$1505,0)),""))</f>
        <v/>
      </c>
      <c r="X1321" s="32">
        <f>IF(OR($W1321="",$Q1321="",LEFT($Q1321,1)="—"),"",IF($W1321=$Q1321,"ללא שינוי","מ-"&amp;$W1321&amp;" ל-"&amp;$Q1321))</f>
        <v/>
      </c>
    </row>
    <row r="1322">
      <c r="A1322" s="65" t="n"/>
      <c r="B1322" s="65" t="n"/>
      <c r="C1322" s="66" t="n"/>
      <c r="D1322" s="66" t="n"/>
      <c r="E1322" s="65" t="n"/>
      <c r="F1322" s="65" t="n"/>
      <c r="G1322" s="65" t="n"/>
      <c r="H1322" s="65" t="n"/>
      <c r="I1322" s="65" t="n"/>
      <c r="J1322" s="65" t="n"/>
      <c r="K1322" s="65" t="n"/>
      <c r="L1322" s="65" t="n"/>
      <c r="M1322" s="65" t="n"/>
      <c r="N1322" s="65" t="n"/>
      <c r="O1322" s="65" t="n"/>
      <c r="P1322" s="65" t="n"/>
      <c r="Q1322" s="32">
        <f>IF($C1322="","",IF($J1322="","— חסרים נתונים",IF($J1322="טרם מפענח","פרופיל 5",IF($J1322="קמץ/פתח/חטף-פתח ושוואים","פרופיל 4",IF($J1322="2-3 סימני ניקוד","פרופיל 3",IF($J1322="4-5 סימני ניקוד","פרופיל 2",IF(AND($O1322="משפטים וקטעים קצרים",OR($M1322="מבין",$M1322="מבין לרוב")),"פרופיל 1","פרופיל 2")))))))</f>
        <v/>
      </c>
      <c r="R1322" s="32">
        <f>IF($C1322="","",IF(OR($Q1322="",LEFT($Q1322,1)="—"),"קבוצה רביעית",IF($Q1322="פרופיל 5","קבוצת תשתיות",IF(OR($Q1322="פרופיל 4",$Q1322="פרופיל 3"),"קבוצת רכישה","קבוצת ביסוס"))))</f>
        <v/>
      </c>
      <c r="S1322" s="32">
        <f>IF($F1322="","",IF($F1322="תחילת שנה",1,IF($F1322="מחצית שנה",2,3)))</f>
        <v/>
      </c>
      <c r="T1322" s="32">
        <f>IF(OR($B1322="",$R1322="",$A1322="",$F1322=""),"",$B1322&amp;"|"&amp;$A1322&amp;"|"&amp;$F1322&amp;"|"&amp;$R1322&amp;"|"&amp;COUNTIFS($B$6:$B1322,$B1322,$A$6:$A1322,$A1322,$F$6:$F1322,$F1322,$R$6:$R1322,$R1322))</f>
        <v/>
      </c>
      <c r="U1322" s="32">
        <f>IF($C1322="","",$C1322&amp;"|"&amp;COUNTIFS($C$6:$C1322,$C1322))</f>
        <v/>
      </c>
      <c r="V1322" s="32">
        <f>IF(OR($C1322="",$A1322="",$S1322=""),"",$C1322&amp;"|"&amp;$A1322&amp;"|"&amp;$S1322)</f>
        <v/>
      </c>
      <c r="W1322" s="32">
        <f>IF(OR($C1322="",$S1322="",$S1322=1),"",IFERROR(INDEX($Q$6:$Q$1505,MATCH($C1322&amp;"|"&amp;$A1322&amp;"|"&amp;($S1322-1),$V$6:$V$1505,0)),""))</f>
        <v/>
      </c>
      <c r="X1322" s="32">
        <f>IF(OR($W1322="",$Q1322="",LEFT($Q1322,1)="—"),"",IF($W1322=$Q1322,"ללא שינוי","מ-"&amp;$W1322&amp;" ל-"&amp;$Q1322))</f>
        <v/>
      </c>
    </row>
    <row r="1323">
      <c r="A1323" s="65" t="n"/>
      <c r="B1323" s="65" t="n"/>
      <c r="C1323" s="66" t="n"/>
      <c r="D1323" s="66" t="n"/>
      <c r="E1323" s="65" t="n"/>
      <c r="F1323" s="65" t="n"/>
      <c r="G1323" s="65" t="n"/>
      <c r="H1323" s="65" t="n"/>
      <c r="I1323" s="65" t="n"/>
      <c r="J1323" s="65" t="n"/>
      <c r="K1323" s="65" t="n"/>
      <c r="L1323" s="65" t="n"/>
      <c r="M1323" s="65" t="n"/>
      <c r="N1323" s="65" t="n"/>
      <c r="O1323" s="65" t="n"/>
      <c r="P1323" s="65" t="n"/>
      <c r="Q1323" s="32">
        <f>IF($C1323="","",IF($J1323="","— חסרים נתונים",IF($J1323="טרם מפענח","פרופיל 5",IF($J1323="קמץ/פתח/חטף-פתח ושוואים","פרופיל 4",IF($J1323="2-3 סימני ניקוד","פרופיל 3",IF($J1323="4-5 סימני ניקוד","פרופיל 2",IF(AND($O1323="משפטים וקטעים קצרים",OR($M1323="מבין",$M1323="מבין לרוב")),"פרופיל 1","פרופיל 2")))))))</f>
        <v/>
      </c>
      <c r="R1323" s="32">
        <f>IF($C1323="","",IF(OR($Q1323="",LEFT($Q1323,1)="—"),"קבוצה רביעית",IF($Q1323="פרופיל 5","קבוצת תשתיות",IF(OR($Q1323="פרופיל 4",$Q1323="פרופיל 3"),"קבוצת רכישה","קבוצת ביסוס"))))</f>
        <v/>
      </c>
      <c r="S1323" s="32">
        <f>IF($F1323="","",IF($F1323="תחילת שנה",1,IF($F1323="מחצית שנה",2,3)))</f>
        <v/>
      </c>
      <c r="T1323" s="32">
        <f>IF(OR($B1323="",$R1323="",$A1323="",$F1323=""),"",$B1323&amp;"|"&amp;$A1323&amp;"|"&amp;$F1323&amp;"|"&amp;$R1323&amp;"|"&amp;COUNTIFS($B$6:$B1323,$B1323,$A$6:$A1323,$A1323,$F$6:$F1323,$F1323,$R$6:$R1323,$R1323))</f>
        <v/>
      </c>
      <c r="U1323" s="32">
        <f>IF($C1323="","",$C1323&amp;"|"&amp;COUNTIFS($C$6:$C1323,$C1323))</f>
        <v/>
      </c>
      <c r="V1323" s="32">
        <f>IF(OR($C1323="",$A1323="",$S1323=""),"",$C1323&amp;"|"&amp;$A1323&amp;"|"&amp;$S1323)</f>
        <v/>
      </c>
      <c r="W1323" s="32">
        <f>IF(OR($C1323="",$S1323="",$S1323=1),"",IFERROR(INDEX($Q$6:$Q$1505,MATCH($C1323&amp;"|"&amp;$A1323&amp;"|"&amp;($S1323-1),$V$6:$V$1505,0)),""))</f>
        <v/>
      </c>
      <c r="X1323" s="32">
        <f>IF(OR($W1323="",$Q1323="",LEFT($Q1323,1)="—"),"",IF($W1323=$Q1323,"ללא שינוי","מ-"&amp;$W1323&amp;" ל-"&amp;$Q1323))</f>
        <v/>
      </c>
    </row>
    <row r="1324">
      <c r="A1324" s="65" t="n"/>
      <c r="B1324" s="65" t="n"/>
      <c r="C1324" s="66" t="n"/>
      <c r="D1324" s="66" t="n"/>
      <c r="E1324" s="65" t="n"/>
      <c r="F1324" s="65" t="n"/>
      <c r="G1324" s="65" t="n"/>
      <c r="H1324" s="65" t="n"/>
      <c r="I1324" s="65" t="n"/>
      <c r="J1324" s="65" t="n"/>
      <c r="K1324" s="65" t="n"/>
      <c r="L1324" s="65" t="n"/>
      <c r="M1324" s="65" t="n"/>
      <c r="N1324" s="65" t="n"/>
      <c r="O1324" s="65" t="n"/>
      <c r="P1324" s="65" t="n"/>
      <c r="Q1324" s="32">
        <f>IF($C1324="","",IF($J1324="","— חסרים נתונים",IF($J1324="טרם מפענח","פרופיל 5",IF($J1324="קמץ/פתח/חטף-פתח ושוואים","פרופיל 4",IF($J1324="2-3 סימני ניקוד","פרופיל 3",IF($J1324="4-5 סימני ניקוד","פרופיל 2",IF(AND($O1324="משפטים וקטעים קצרים",OR($M1324="מבין",$M1324="מבין לרוב")),"פרופיל 1","פרופיל 2")))))))</f>
        <v/>
      </c>
      <c r="R1324" s="32">
        <f>IF($C1324="","",IF(OR($Q1324="",LEFT($Q1324,1)="—"),"קבוצה רביעית",IF($Q1324="פרופיל 5","קבוצת תשתיות",IF(OR($Q1324="פרופיל 4",$Q1324="פרופיל 3"),"קבוצת רכישה","קבוצת ביסוס"))))</f>
        <v/>
      </c>
      <c r="S1324" s="32">
        <f>IF($F1324="","",IF($F1324="תחילת שנה",1,IF($F1324="מחצית שנה",2,3)))</f>
        <v/>
      </c>
      <c r="T1324" s="32">
        <f>IF(OR($B1324="",$R1324="",$A1324="",$F1324=""),"",$B1324&amp;"|"&amp;$A1324&amp;"|"&amp;$F1324&amp;"|"&amp;$R1324&amp;"|"&amp;COUNTIFS($B$6:$B1324,$B1324,$A$6:$A1324,$A1324,$F$6:$F1324,$F1324,$R$6:$R1324,$R1324))</f>
        <v/>
      </c>
      <c r="U1324" s="32">
        <f>IF($C1324="","",$C1324&amp;"|"&amp;COUNTIFS($C$6:$C1324,$C1324))</f>
        <v/>
      </c>
      <c r="V1324" s="32">
        <f>IF(OR($C1324="",$A1324="",$S1324=""),"",$C1324&amp;"|"&amp;$A1324&amp;"|"&amp;$S1324)</f>
        <v/>
      </c>
      <c r="W1324" s="32">
        <f>IF(OR($C1324="",$S1324="",$S1324=1),"",IFERROR(INDEX($Q$6:$Q$1505,MATCH($C1324&amp;"|"&amp;$A1324&amp;"|"&amp;($S1324-1),$V$6:$V$1505,0)),""))</f>
        <v/>
      </c>
      <c r="X1324" s="32">
        <f>IF(OR($W1324="",$Q1324="",LEFT($Q1324,1)="—"),"",IF($W1324=$Q1324,"ללא שינוי","מ-"&amp;$W1324&amp;" ל-"&amp;$Q1324))</f>
        <v/>
      </c>
    </row>
    <row r="1325">
      <c r="A1325" s="65" t="n"/>
      <c r="B1325" s="65" t="n"/>
      <c r="C1325" s="66" t="n"/>
      <c r="D1325" s="66" t="n"/>
      <c r="E1325" s="65" t="n"/>
      <c r="F1325" s="65" t="n"/>
      <c r="G1325" s="65" t="n"/>
      <c r="H1325" s="65" t="n"/>
      <c r="I1325" s="65" t="n"/>
      <c r="J1325" s="65" t="n"/>
      <c r="K1325" s="65" t="n"/>
      <c r="L1325" s="65" t="n"/>
      <c r="M1325" s="65" t="n"/>
      <c r="N1325" s="65" t="n"/>
      <c r="O1325" s="65" t="n"/>
      <c r="P1325" s="65" t="n"/>
      <c r="Q1325" s="32">
        <f>IF($C1325="","",IF($J1325="","— חסרים נתונים",IF($J1325="טרם מפענח","פרופיל 5",IF($J1325="קמץ/פתח/חטף-פתח ושוואים","פרופיל 4",IF($J1325="2-3 סימני ניקוד","פרופיל 3",IF($J1325="4-5 סימני ניקוד","פרופיל 2",IF(AND($O1325="משפטים וקטעים קצרים",OR($M1325="מבין",$M1325="מבין לרוב")),"פרופיל 1","פרופיל 2")))))))</f>
        <v/>
      </c>
      <c r="R1325" s="32">
        <f>IF($C1325="","",IF(OR($Q1325="",LEFT($Q1325,1)="—"),"קבוצה רביעית",IF($Q1325="פרופיל 5","קבוצת תשתיות",IF(OR($Q1325="פרופיל 4",$Q1325="פרופיל 3"),"קבוצת רכישה","קבוצת ביסוס"))))</f>
        <v/>
      </c>
      <c r="S1325" s="32">
        <f>IF($F1325="","",IF($F1325="תחילת שנה",1,IF($F1325="מחצית שנה",2,3)))</f>
        <v/>
      </c>
      <c r="T1325" s="32">
        <f>IF(OR($B1325="",$R1325="",$A1325="",$F1325=""),"",$B1325&amp;"|"&amp;$A1325&amp;"|"&amp;$F1325&amp;"|"&amp;$R1325&amp;"|"&amp;COUNTIFS($B$6:$B1325,$B1325,$A$6:$A1325,$A1325,$F$6:$F1325,$F1325,$R$6:$R1325,$R1325))</f>
        <v/>
      </c>
      <c r="U1325" s="32">
        <f>IF($C1325="","",$C1325&amp;"|"&amp;COUNTIFS($C$6:$C1325,$C1325))</f>
        <v/>
      </c>
      <c r="V1325" s="32">
        <f>IF(OR($C1325="",$A1325="",$S1325=""),"",$C1325&amp;"|"&amp;$A1325&amp;"|"&amp;$S1325)</f>
        <v/>
      </c>
      <c r="W1325" s="32">
        <f>IF(OR($C1325="",$S1325="",$S1325=1),"",IFERROR(INDEX($Q$6:$Q$1505,MATCH($C1325&amp;"|"&amp;$A1325&amp;"|"&amp;($S1325-1),$V$6:$V$1505,0)),""))</f>
        <v/>
      </c>
      <c r="X1325" s="32">
        <f>IF(OR($W1325="",$Q1325="",LEFT($Q1325,1)="—"),"",IF($W1325=$Q1325,"ללא שינוי","מ-"&amp;$W1325&amp;" ל-"&amp;$Q1325))</f>
        <v/>
      </c>
    </row>
    <row r="1326">
      <c r="A1326" s="65" t="n"/>
      <c r="B1326" s="65" t="n"/>
      <c r="C1326" s="66" t="n"/>
      <c r="D1326" s="66" t="n"/>
      <c r="E1326" s="65" t="n"/>
      <c r="F1326" s="65" t="n"/>
      <c r="G1326" s="65" t="n"/>
      <c r="H1326" s="65" t="n"/>
      <c r="I1326" s="65" t="n"/>
      <c r="J1326" s="65" t="n"/>
      <c r="K1326" s="65" t="n"/>
      <c r="L1326" s="65" t="n"/>
      <c r="M1326" s="65" t="n"/>
      <c r="N1326" s="65" t="n"/>
      <c r="O1326" s="65" t="n"/>
      <c r="P1326" s="65" t="n"/>
      <c r="Q1326" s="32">
        <f>IF($C1326="","",IF($J1326="","— חסרים נתונים",IF($J1326="טרם מפענח","פרופיל 5",IF($J1326="קמץ/פתח/חטף-פתח ושוואים","פרופיל 4",IF($J1326="2-3 סימני ניקוד","פרופיל 3",IF($J1326="4-5 סימני ניקוד","פרופיל 2",IF(AND($O1326="משפטים וקטעים קצרים",OR($M1326="מבין",$M1326="מבין לרוב")),"פרופיל 1","פרופיל 2")))))))</f>
        <v/>
      </c>
      <c r="R1326" s="32">
        <f>IF($C1326="","",IF(OR($Q1326="",LEFT($Q1326,1)="—"),"קבוצה רביעית",IF($Q1326="פרופיל 5","קבוצת תשתיות",IF(OR($Q1326="פרופיל 4",$Q1326="פרופיל 3"),"קבוצת רכישה","קבוצת ביסוס"))))</f>
        <v/>
      </c>
      <c r="S1326" s="32">
        <f>IF($F1326="","",IF($F1326="תחילת שנה",1,IF($F1326="מחצית שנה",2,3)))</f>
        <v/>
      </c>
      <c r="T1326" s="32">
        <f>IF(OR($B1326="",$R1326="",$A1326="",$F1326=""),"",$B1326&amp;"|"&amp;$A1326&amp;"|"&amp;$F1326&amp;"|"&amp;$R1326&amp;"|"&amp;COUNTIFS($B$6:$B1326,$B1326,$A$6:$A1326,$A1326,$F$6:$F1326,$F1326,$R$6:$R1326,$R1326))</f>
        <v/>
      </c>
      <c r="U1326" s="32">
        <f>IF($C1326="","",$C1326&amp;"|"&amp;COUNTIFS($C$6:$C1326,$C1326))</f>
        <v/>
      </c>
      <c r="V1326" s="32">
        <f>IF(OR($C1326="",$A1326="",$S1326=""),"",$C1326&amp;"|"&amp;$A1326&amp;"|"&amp;$S1326)</f>
        <v/>
      </c>
      <c r="W1326" s="32">
        <f>IF(OR($C1326="",$S1326="",$S1326=1),"",IFERROR(INDEX($Q$6:$Q$1505,MATCH($C1326&amp;"|"&amp;$A1326&amp;"|"&amp;($S1326-1),$V$6:$V$1505,0)),""))</f>
        <v/>
      </c>
      <c r="X1326" s="32">
        <f>IF(OR($W1326="",$Q1326="",LEFT($Q1326,1)="—"),"",IF($W1326=$Q1326,"ללא שינוי","מ-"&amp;$W1326&amp;" ל-"&amp;$Q1326))</f>
        <v/>
      </c>
    </row>
    <row r="1327">
      <c r="A1327" s="65" t="n"/>
      <c r="B1327" s="65" t="n"/>
      <c r="C1327" s="66" t="n"/>
      <c r="D1327" s="66" t="n"/>
      <c r="E1327" s="65" t="n"/>
      <c r="F1327" s="65" t="n"/>
      <c r="G1327" s="65" t="n"/>
      <c r="H1327" s="65" t="n"/>
      <c r="I1327" s="65" t="n"/>
      <c r="J1327" s="65" t="n"/>
      <c r="K1327" s="65" t="n"/>
      <c r="L1327" s="65" t="n"/>
      <c r="M1327" s="65" t="n"/>
      <c r="N1327" s="65" t="n"/>
      <c r="O1327" s="65" t="n"/>
      <c r="P1327" s="65" t="n"/>
      <c r="Q1327" s="32">
        <f>IF($C1327="","",IF($J1327="","— חסרים נתונים",IF($J1327="טרם מפענח","פרופיל 5",IF($J1327="קמץ/פתח/חטף-פתח ושוואים","פרופיל 4",IF($J1327="2-3 סימני ניקוד","פרופיל 3",IF($J1327="4-5 סימני ניקוד","פרופיל 2",IF(AND($O1327="משפטים וקטעים קצרים",OR($M1327="מבין",$M1327="מבין לרוב")),"פרופיל 1","פרופיל 2")))))))</f>
        <v/>
      </c>
      <c r="R1327" s="32">
        <f>IF($C1327="","",IF(OR($Q1327="",LEFT($Q1327,1)="—"),"קבוצה רביעית",IF($Q1327="פרופיל 5","קבוצת תשתיות",IF(OR($Q1327="פרופיל 4",$Q1327="פרופיל 3"),"קבוצת רכישה","קבוצת ביסוס"))))</f>
        <v/>
      </c>
      <c r="S1327" s="32">
        <f>IF($F1327="","",IF($F1327="תחילת שנה",1,IF($F1327="מחצית שנה",2,3)))</f>
        <v/>
      </c>
      <c r="T1327" s="32">
        <f>IF(OR($B1327="",$R1327="",$A1327="",$F1327=""),"",$B1327&amp;"|"&amp;$A1327&amp;"|"&amp;$F1327&amp;"|"&amp;$R1327&amp;"|"&amp;COUNTIFS($B$6:$B1327,$B1327,$A$6:$A1327,$A1327,$F$6:$F1327,$F1327,$R$6:$R1327,$R1327))</f>
        <v/>
      </c>
      <c r="U1327" s="32">
        <f>IF($C1327="","",$C1327&amp;"|"&amp;COUNTIFS($C$6:$C1327,$C1327))</f>
        <v/>
      </c>
      <c r="V1327" s="32">
        <f>IF(OR($C1327="",$A1327="",$S1327=""),"",$C1327&amp;"|"&amp;$A1327&amp;"|"&amp;$S1327)</f>
        <v/>
      </c>
      <c r="W1327" s="32">
        <f>IF(OR($C1327="",$S1327="",$S1327=1),"",IFERROR(INDEX($Q$6:$Q$1505,MATCH($C1327&amp;"|"&amp;$A1327&amp;"|"&amp;($S1327-1),$V$6:$V$1505,0)),""))</f>
        <v/>
      </c>
      <c r="X1327" s="32">
        <f>IF(OR($W1327="",$Q1327="",LEFT($Q1327,1)="—"),"",IF($W1327=$Q1327,"ללא שינוי","מ-"&amp;$W1327&amp;" ל-"&amp;$Q1327))</f>
        <v/>
      </c>
    </row>
    <row r="1328">
      <c r="A1328" s="65" t="n"/>
      <c r="B1328" s="65" t="n"/>
      <c r="C1328" s="66" t="n"/>
      <c r="D1328" s="66" t="n"/>
      <c r="E1328" s="65" t="n"/>
      <c r="F1328" s="65" t="n"/>
      <c r="G1328" s="65" t="n"/>
      <c r="H1328" s="65" t="n"/>
      <c r="I1328" s="65" t="n"/>
      <c r="J1328" s="65" t="n"/>
      <c r="K1328" s="65" t="n"/>
      <c r="L1328" s="65" t="n"/>
      <c r="M1328" s="65" t="n"/>
      <c r="N1328" s="65" t="n"/>
      <c r="O1328" s="65" t="n"/>
      <c r="P1328" s="65" t="n"/>
      <c r="Q1328" s="32">
        <f>IF($C1328="","",IF($J1328="","— חסרים נתונים",IF($J1328="טרם מפענח","פרופיל 5",IF($J1328="קמץ/פתח/חטף-פתח ושוואים","פרופיל 4",IF($J1328="2-3 סימני ניקוד","פרופיל 3",IF($J1328="4-5 סימני ניקוד","פרופיל 2",IF(AND($O1328="משפטים וקטעים קצרים",OR($M1328="מבין",$M1328="מבין לרוב")),"פרופיל 1","פרופיל 2")))))))</f>
        <v/>
      </c>
      <c r="R1328" s="32">
        <f>IF($C1328="","",IF(OR($Q1328="",LEFT($Q1328,1)="—"),"קבוצה רביעית",IF($Q1328="פרופיל 5","קבוצת תשתיות",IF(OR($Q1328="פרופיל 4",$Q1328="פרופיל 3"),"קבוצת רכישה","קבוצת ביסוס"))))</f>
        <v/>
      </c>
      <c r="S1328" s="32">
        <f>IF($F1328="","",IF($F1328="תחילת שנה",1,IF($F1328="מחצית שנה",2,3)))</f>
        <v/>
      </c>
      <c r="T1328" s="32">
        <f>IF(OR($B1328="",$R1328="",$A1328="",$F1328=""),"",$B1328&amp;"|"&amp;$A1328&amp;"|"&amp;$F1328&amp;"|"&amp;$R1328&amp;"|"&amp;COUNTIFS($B$6:$B1328,$B1328,$A$6:$A1328,$A1328,$F$6:$F1328,$F1328,$R$6:$R1328,$R1328))</f>
        <v/>
      </c>
      <c r="U1328" s="32">
        <f>IF($C1328="","",$C1328&amp;"|"&amp;COUNTIFS($C$6:$C1328,$C1328))</f>
        <v/>
      </c>
      <c r="V1328" s="32">
        <f>IF(OR($C1328="",$A1328="",$S1328=""),"",$C1328&amp;"|"&amp;$A1328&amp;"|"&amp;$S1328)</f>
        <v/>
      </c>
      <c r="W1328" s="32">
        <f>IF(OR($C1328="",$S1328="",$S1328=1),"",IFERROR(INDEX($Q$6:$Q$1505,MATCH($C1328&amp;"|"&amp;$A1328&amp;"|"&amp;($S1328-1),$V$6:$V$1505,0)),""))</f>
        <v/>
      </c>
      <c r="X1328" s="32">
        <f>IF(OR($W1328="",$Q1328="",LEFT($Q1328,1)="—"),"",IF($W1328=$Q1328,"ללא שינוי","מ-"&amp;$W1328&amp;" ל-"&amp;$Q1328))</f>
        <v/>
      </c>
    </row>
    <row r="1329">
      <c r="A1329" s="65" t="n"/>
      <c r="B1329" s="65" t="n"/>
      <c r="C1329" s="66" t="n"/>
      <c r="D1329" s="66" t="n"/>
      <c r="E1329" s="65" t="n"/>
      <c r="F1329" s="65" t="n"/>
      <c r="G1329" s="65" t="n"/>
      <c r="H1329" s="65" t="n"/>
      <c r="I1329" s="65" t="n"/>
      <c r="J1329" s="65" t="n"/>
      <c r="K1329" s="65" t="n"/>
      <c r="L1329" s="65" t="n"/>
      <c r="M1329" s="65" t="n"/>
      <c r="N1329" s="65" t="n"/>
      <c r="O1329" s="65" t="n"/>
      <c r="P1329" s="65" t="n"/>
      <c r="Q1329" s="32">
        <f>IF($C1329="","",IF($J1329="","— חסרים נתונים",IF($J1329="טרם מפענח","פרופיל 5",IF($J1329="קמץ/פתח/חטף-פתח ושוואים","פרופיל 4",IF($J1329="2-3 סימני ניקוד","פרופיל 3",IF($J1329="4-5 סימני ניקוד","פרופיל 2",IF(AND($O1329="משפטים וקטעים קצרים",OR($M1329="מבין",$M1329="מבין לרוב")),"פרופיל 1","פרופיל 2")))))))</f>
        <v/>
      </c>
      <c r="R1329" s="32">
        <f>IF($C1329="","",IF(OR($Q1329="",LEFT($Q1329,1)="—"),"קבוצה רביעית",IF($Q1329="פרופיל 5","קבוצת תשתיות",IF(OR($Q1329="פרופיל 4",$Q1329="פרופיל 3"),"קבוצת רכישה","קבוצת ביסוס"))))</f>
        <v/>
      </c>
      <c r="S1329" s="32">
        <f>IF($F1329="","",IF($F1329="תחילת שנה",1,IF($F1329="מחצית שנה",2,3)))</f>
        <v/>
      </c>
      <c r="T1329" s="32">
        <f>IF(OR($B1329="",$R1329="",$A1329="",$F1329=""),"",$B1329&amp;"|"&amp;$A1329&amp;"|"&amp;$F1329&amp;"|"&amp;$R1329&amp;"|"&amp;COUNTIFS($B$6:$B1329,$B1329,$A$6:$A1329,$A1329,$F$6:$F1329,$F1329,$R$6:$R1329,$R1329))</f>
        <v/>
      </c>
      <c r="U1329" s="32">
        <f>IF($C1329="","",$C1329&amp;"|"&amp;COUNTIFS($C$6:$C1329,$C1329))</f>
        <v/>
      </c>
      <c r="V1329" s="32">
        <f>IF(OR($C1329="",$A1329="",$S1329=""),"",$C1329&amp;"|"&amp;$A1329&amp;"|"&amp;$S1329)</f>
        <v/>
      </c>
      <c r="W1329" s="32">
        <f>IF(OR($C1329="",$S1329="",$S1329=1),"",IFERROR(INDEX($Q$6:$Q$1505,MATCH($C1329&amp;"|"&amp;$A1329&amp;"|"&amp;($S1329-1),$V$6:$V$1505,0)),""))</f>
        <v/>
      </c>
      <c r="X1329" s="32">
        <f>IF(OR($W1329="",$Q1329="",LEFT($Q1329,1)="—"),"",IF($W1329=$Q1329,"ללא שינוי","מ-"&amp;$W1329&amp;" ל-"&amp;$Q1329))</f>
        <v/>
      </c>
    </row>
    <row r="1330">
      <c r="A1330" s="65" t="n"/>
      <c r="B1330" s="65" t="n"/>
      <c r="C1330" s="66" t="n"/>
      <c r="D1330" s="66" t="n"/>
      <c r="E1330" s="65" t="n"/>
      <c r="F1330" s="65" t="n"/>
      <c r="G1330" s="65" t="n"/>
      <c r="H1330" s="65" t="n"/>
      <c r="I1330" s="65" t="n"/>
      <c r="J1330" s="65" t="n"/>
      <c r="K1330" s="65" t="n"/>
      <c r="L1330" s="65" t="n"/>
      <c r="M1330" s="65" t="n"/>
      <c r="N1330" s="65" t="n"/>
      <c r="O1330" s="65" t="n"/>
      <c r="P1330" s="65" t="n"/>
      <c r="Q1330" s="32">
        <f>IF($C1330="","",IF($J1330="","— חסרים נתונים",IF($J1330="טרם מפענח","פרופיל 5",IF($J1330="קמץ/פתח/חטף-פתח ושוואים","פרופיל 4",IF($J1330="2-3 סימני ניקוד","פרופיל 3",IF($J1330="4-5 סימני ניקוד","פרופיל 2",IF(AND($O1330="משפטים וקטעים קצרים",OR($M1330="מבין",$M1330="מבין לרוב")),"פרופיל 1","פרופיל 2")))))))</f>
        <v/>
      </c>
      <c r="R1330" s="32">
        <f>IF($C1330="","",IF(OR($Q1330="",LEFT($Q1330,1)="—"),"קבוצה רביעית",IF($Q1330="פרופיל 5","קבוצת תשתיות",IF(OR($Q1330="פרופיל 4",$Q1330="פרופיל 3"),"קבוצת רכישה","קבוצת ביסוס"))))</f>
        <v/>
      </c>
      <c r="S1330" s="32">
        <f>IF($F1330="","",IF($F1330="תחילת שנה",1,IF($F1330="מחצית שנה",2,3)))</f>
        <v/>
      </c>
      <c r="T1330" s="32">
        <f>IF(OR($B1330="",$R1330="",$A1330="",$F1330=""),"",$B1330&amp;"|"&amp;$A1330&amp;"|"&amp;$F1330&amp;"|"&amp;$R1330&amp;"|"&amp;COUNTIFS($B$6:$B1330,$B1330,$A$6:$A1330,$A1330,$F$6:$F1330,$F1330,$R$6:$R1330,$R1330))</f>
        <v/>
      </c>
      <c r="U1330" s="32">
        <f>IF($C1330="","",$C1330&amp;"|"&amp;COUNTIFS($C$6:$C1330,$C1330))</f>
        <v/>
      </c>
      <c r="V1330" s="32">
        <f>IF(OR($C1330="",$A1330="",$S1330=""),"",$C1330&amp;"|"&amp;$A1330&amp;"|"&amp;$S1330)</f>
        <v/>
      </c>
      <c r="W1330" s="32">
        <f>IF(OR($C1330="",$S1330="",$S1330=1),"",IFERROR(INDEX($Q$6:$Q$1505,MATCH($C1330&amp;"|"&amp;$A1330&amp;"|"&amp;($S1330-1),$V$6:$V$1505,0)),""))</f>
        <v/>
      </c>
      <c r="X1330" s="32">
        <f>IF(OR($W1330="",$Q1330="",LEFT($Q1330,1)="—"),"",IF($W1330=$Q1330,"ללא שינוי","מ-"&amp;$W1330&amp;" ל-"&amp;$Q1330))</f>
        <v/>
      </c>
    </row>
    <row r="1331">
      <c r="A1331" s="65" t="n"/>
      <c r="B1331" s="65" t="n"/>
      <c r="C1331" s="66" t="n"/>
      <c r="D1331" s="66" t="n"/>
      <c r="E1331" s="65" t="n"/>
      <c r="F1331" s="65" t="n"/>
      <c r="G1331" s="65" t="n"/>
      <c r="H1331" s="65" t="n"/>
      <c r="I1331" s="65" t="n"/>
      <c r="J1331" s="65" t="n"/>
      <c r="K1331" s="65" t="n"/>
      <c r="L1331" s="65" t="n"/>
      <c r="M1331" s="65" t="n"/>
      <c r="N1331" s="65" t="n"/>
      <c r="O1331" s="65" t="n"/>
      <c r="P1331" s="65" t="n"/>
      <c r="Q1331" s="32">
        <f>IF($C1331="","",IF($J1331="","— חסרים נתונים",IF($J1331="טרם מפענח","פרופיל 5",IF($J1331="קמץ/פתח/חטף-פתח ושוואים","פרופיל 4",IF($J1331="2-3 סימני ניקוד","פרופיל 3",IF($J1331="4-5 סימני ניקוד","פרופיל 2",IF(AND($O1331="משפטים וקטעים קצרים",OR($M1331="מבין",$M1331="מבין לרוב")),"פרופיל 1","פרופיל 2")))))))</f>
        <v/>
      </c>
      <c r="R1331" s="32">
        <f>IF($C1331="","",IF(OR($Q1331="",LEFT($Q1331,1)="—"),"קבוצה רביעית",IF($Q1331="פרופיל 5","קבוצת תשתיות",IF(OR($Q1331="פרופיל 4",$Q1331="פרופיל 3"),"קבוצת רכישה","קבוצת ביסוס"))))</f>
        <v/>
      </c>
      <c r="S1331" s="32">
        <f>IF($F1331="","",IF($F1331="תחילת שנה",1,IF($F1331="מחצית שנה",2,3)))</f>
        <v/>
      </c>
      <c r="T1331" s="32">
        <f>IF(OR($B1331="",$R1331="",$A1331="",$F1331=""),"",$B1331&amp;"|"&amp;$A1331&amp;"|"&amp;$F1331&amp;"|"&amp;$R1331&amp;"|"&amp;COUNTIFS($B$6:$B1331,$B1331,$A$6:$A1331,$A1331,$F$6:$F1331,$F1331,$R$6:$R1331,$R1331))</f>
        <v/>
      </c>
      <c r="U1331" s="32">
        <f>IF($C1331="","",$C1331&amp;"|"&amp;COUNTIFS($C$6:$C1331,$C1331))</f>
        <v/>
      </c>
      <c r="V1331" s="32">
        <f>IF(OR($C1331="",$A1331="",$S1331=""),"",$C1331&amp;"|"&amp;$A1331&amp;"|"&amp;$S1331)</f>
        <v/>
      </c>
      <c r="W1331" s="32">
        <f>IF(OR($C1331="",$S1331="",$S1331=1),"",IFERROR(INDEX($Q$6:$Q$1505,MATCH($C1331&amp;"|"&amp;$A1331&amp;"|"&amp;($S1331-1),$V$6:$V$1505,0)),""))</f>
        <v/>
      </c>
      <c r="X1331" s="32">
        <f>IF(OR($W1331="",$Q1331="",LEFT($Q1331,1)="—"),"",IF($W1331=$Q1331,"ללא שינוי","מ-"&amp;$W1331&amp;" ל-"&amp;$Q1331))</f>
        <v/>
      </c>
    </row>
    <row r="1332">
      <c r="A1332" s="65" t="n"/>
      <c r="B1332" s="65" t="n"/>
      <c r="C1332" s="66" t="n"/>
      <c r="D1332" s="66" t="n"/>
      <c r="E1332" s="65" t="n"/>
      <c r="F1332" s="65" t="n"/>
      <c r="G1332" s="65" t="n"/>
      <c r="H1332" s="65" t="n"/>
      <c r="I1332" s="65" t="n"/>
      <c r="J1332" s="65" t="n"/>
      <c r="K1332" s="65" t="n"/>
      <c r="L1332" s="65" t="n"/>
      <c r="M1332" s="65" t="n"/>
      <c r="N1332" s="65" t="n"/>
      <c r="O1332" s="65" t="n"/>
      <c r="P1332" s="65" t="n"/>
      <c r="Q1332" s="32">
        <f>IF($C1332="","",IF($J1332="","— חסרים נתונים",IF($J1332="טרם מפענח","פרופיל 5",IF($J1332="קמץ/פתח/חטף-פתח ושוואים","פרופיל 4",IF($J1332="2-3 סימני ניקוד","פרופיל 3",IF($J1332="4-5 סימני ניקוד","פרופיל 2",IF(AND($O1332="משפטים וקטעים קצרים",OR($M1332="מבין",$M1332="מבין לרוב")),"פרופיל 1","פרופיל 2")))))))</f>
        <v/>
      </c>
      <c r="R1332" s="32">
        <f>IF($C1332="","",IF(OR($Q1332="",LEFT($Q1332,1)="—"),"קבוצה רביעית",IF($Q1332="פרופיל 5","קבוצת תשתיות",IF(OR($Q1332="פרופיל 4",$Q1332="פרופיל 3"),"קבוצת רכישה","קבוצת ביסוס"))))</f>
        <v/>
      </c>
      <c r="S1332" s="32">
        <f>IF($F1332="","",IF($F1332="תחילת שנה",1,IF($F1332="מחצית שנה",2,3)))</f>
        <v/>
      </c>
      <c r="T1332" s="32">
        <f>IF(OR($B1332="",$R1332="",$A1332="",$F1332=""),"",$B1332&amp;"|"&amp;$A1332&amp;"|"&amp;$F1332&amp;"|"&amp;$R1332&amp;"|"&amp;COUNTIFS($B$6:$B1332,$B1332,$A$6:$A1332,$A1332,$F$6:$F1332,$F1332,$R$6:$R1332,$R1332))</f>
        <v/>
      </c>
      <c r="U1332" s="32">
        <f>IF($C1332="","",$C1332&amp;"|"&amp;COUNTIFS($C$6:$C1332,$C1332))</f>
        <v/>
      </c>
      <c r="V1332" s="32">
        <f>IF(OR($C1332="",$A1332="",$S1332=""),"",$C1332&amp;"|"&amp;$A1332&amp;"|"&amp;$S1332)</f>
        <v/>
      </c>
      <c r="W1332" s="32">
        <f>IF(OR($C1332="",$S1332="",$S1332=1),"",IFERROR(INDEX($Q$6:$Q$1505,MATCH($C1332&amp;"|"&amp;$A1332&amp;"|"&amp;($S1332-1),$V$6:$V$1505,0)),""))</f>
        <v/>
      </c>
      <c r="X1332" s="32">
        <f>IF(OR($W1332="",$Q1332="",LEFT($Q1332,1)="—"),"",IF($W1332=$Q1332,"ללא שינוי","מ-"&amp;$W1332&amp;" ל-"&amp;$Q1332))</f>
        <v/>
      </c>
    </row>
    <row r="1333">
      <c r="A1333" s="65" t="n"/>
      <c r="B1333" s="65" t="n"/>
      <c r="C1333" s="66" t="n"/>
      <c r="D1333" s="66" t="n"/>
      <c r="E1333" s="65" t="n"/>
      <c r="F1333" s="65" t="n"/>
      <c r="G1333" s="65" t="n"/>
      <c r="H1333" s="65" t="n"/>
      <c r="I1333" s="65" t="n"/>
      <c r="J1333" s="65" t="n"/>
      <c r="K1333" s="65" t="n"/>
      <c r="L1333" s="65" t="n"/>
      <c r="M1333" s="65" t="n"/>
      <c r="N1333" s="65" t="n"/>
      <c r="O1333" s="65" t="n"/>
      <c r="P1333" s="65" t="n"/>
      <c r="Q1333" s="32">
        <f>IF($C1333="","",IF($J1333="","— חסרים נתונים",IF($J1333="טרם מפענח","פרופיל 5",IF($J1333="קמץ/פתח/חטף-פתח ושוואים","פרופיל 4",IF($J1333="2-3 סימני ניקוד","פרופיל 3",IF($J1333="4-5 סימני ניקוד","פרופיל 2",IF(AND($O1333="משפטים וקטעים קצרים",OR($M1333="מבין",$M1333="מבין לרוב")),"פרופיל 1","פרופיל 2")))))))</f>
        <v/>
      </c>
      <c r="R1333" s="32">
        <f>IF($C1333="","",IF(OR($Q1333="",LEFT($Q1333,1)="—"),"קבוצה רביעית",IF($Q1333="פרופיל 5","קבוצת תשתיות",IF(OR($Q1333="פרופיל 4",$Q1333="פרופיל 3"),"קבוצת רכישה","קבוצת ביסוס"))))</f>
        <v/>
      </c>
      <c r="S1333" s="32">
        <f>IF($F1333="","",IF($F1333="תחילת שנה",1,IF($F1333="מחצית שנה",2,3)))</f>
        <v/>
      </c>
      <c r="T1333" s="32">
        <f>IF(OR($B1333="",$R1333="",$A1333="",$F1333=""),"",$B1333&amp;"|"&amp;$A1333&amp;"|"&amp;$F1333&amp;"|"&amp;$R1333&amp;"|"&amp;COUNTIFS($B$6:$B1333,$B1333,$A$6:$A1333,$A1333,$F$6:$F1333,$F1333,$R$6:$R1333,$R1333))</f>
        <v/>
      </c>
      <c r="U1333" s="32">
        <f>IF($C1333="","",$C1333&amp;"|"&amp;COUNTIFS($C$6:$C1333,$C1333))</f>
        <v/>
      </c>
      <c r="V1333" s="32">
        <f>IF(OR($C1333="",$A1333="",$S1333=""),"",$C1333&amp;"|"&amp;$A1333&amp;"|"&amp;$S1333)</f>
        <v/>
      </c>
      <c r="W1333" s="32">
        <f>IF(OR($C1333="",$S1333="",$S1333=1),"",IFERROR(INDEX($Q$6:$Q$1505,MATCH($C1333&amp;"|"&amp;$A1333&amp;"|"&amp;($S1333-1),$V$6:$V$1505,0)),""))</f>
        <v/>
      </c>
      <c r="X1333" s="32">
        <f>IF(OR($W1333="",$Q1333="",LEFT($Q1333,1)="—"),"",IF($W1333=$Q1333,"ללא שינוי","מ-"&amp;$W1333&amp;" ל-"&amp;$Q1333))</f>
        <v/>
      </c>
    </row>
    <row r="1334">
      <c r="A1334" s="65" t="n"/>
      <c r="B1334" s="65" t="n"/>
      <c r="C1334" s="66" t="n"/>
      <c r="D1334" s="66" t="n"/>
      <c r="E1334" s="65" t="n"/>
      <c r="F1334" s="65" t="n"/>
      <c r="G1334" s="65" t="n"/>
      <c r="H1334" s="65" t="n"/>
      <c r="I1334" s="65" t="n"/>
      <c r="J1334" s="65" t="n"/>
      <c r="K1334" s="65" t="n"/>
      <c r="L1334" s="65" t="n"/>
      <c r="M1334" s="65" t="n"/>
      <c r="N1334" s="65" t="n"/>
      <c r="O1334" s="65" t="n"/>
      <c r="P1334" s="65" t="n"/>
      <c r="Q1334" s="32">
        <f>IF($C1334="","",IF($J1334="","— חסרים נתונים",IF($J1334="טרם מפענח","פרופיל 5",IF($J1334="קמץ/פתח/חטף-פתח ושוואים","פרופיל 4",IF($J1334="2-3 סימני ניקוד","פרופיל 3",IF($J1334="4-5 סימני ניקוד","פרופיל 2",IF(AND($O1334="משפטים וקטעים קצרים",OR($M1334="מבין",$M1334="מבין לרוב")),"פרופיל 1","פרופיל 2")))))))</f>
        <v/>
      </c>
      <c r="R1334" s="32">
        <f>IF($C1334="","",IF(OR($Q1334="",LEFT($Q1334,1)="—"),"קבוצה רביעית",IF($Q1334="פרופיל 5","קבוצת תשתיות",IF(OR($Q1334="פרופיל 4",$Q1334="פרופיל 3"),"קבוצת רכישה","קבוצת ביסוס"))))</f>
        <v/>
      </c>
      <c r="S1334" s="32">
        <f>IF($F1334="","",IF($F1334="תחילת שנה",1,IF($F1334="מחצית שנה",2,3)))</f>
        <v/>
      </c>
      <c r="T1334" s="32">
        <f>IF(OR($B1334="",$R1334="",$A1334="",$F1334=""),"",$B1334&amp;"|"&amp;$A1334&amp;"|"&amp;$F1334&amp;"|"&amp;$R1334&amp;"|"&amp;COUNTIFS($B$6:$B1334,$B1334,$A$6:$A1334,$A1334,$F$6:$F1334,$F1334,$R$6:$R1334,$R1334))</f>
        <v/>
      </c>
      <c r="U1334" s="32">
        <f>IF($C1334="","",$C1334&amp;"|"&amp;COUNTIFS($C$6:$C1334,$C1334))</f>
        <v/>
      </c>
      <c r="V1334" s="32">
        <f>IF(OR($C1334="",$A1334="",$S1334=""),"",$C1334&amp;"|"&amp;$A1334&amp;"|"&amp;$S1334)</f>
        <v/>
      </c>
      <c r="W1334" s="32">
        <f>IF(OR($C1334="",$S1334="",$S1334=1),"",IFERROR(INDEX($Q$6:$Q$1505,MATCH($C1334&amp;"|"&amp;$A1334&amp;"|"&amp;($S1334-1),$V$6:$V$1505,0)),""))</f>
        <v/>
      </c>
      <c r="X1334" s="32">
        <f>IF(OR($W1334="",$Q1334="",LEFT($Q1334,1)="—"),"",IF($W1334=$Q1334,"ללא שינוי","מ-"&amp;$W1334&amp;" ל-"&amp;$Q1334))</f>
        <v/>
      </c>
    </row>
    <row r="1335">
      <c r="A1335" s="65" t="n"/>
      <c r="B1335" s="65" t="n"/>
      <c r="C1335" s="66" t="n"/>
      <c r="D1335" s="66" t="n"/>
      <c r="E1335" s="65" t="n"/>
      <c r="F1335" s="65" t="n"/>
      <c r="G1335" s="65" t="n"/>
      <c r="H1335" s="65" t="n"/>
      <c r="I1335" s="65" t="n"/>
      <c r="J1335" s="65" t="n"/>
      <c r="K1335" s="65" t="n"/>
      <c r="L1335" s="65" t="n"/>
      <c r="M1335" s="65" t="n"/>
      <c r="N1335" s="65" t="n"/>
      <c r="O1335" s="65" t="n"/>
      <c r="P1335" s="65" t="n"/>
      <c r="Q1335" s="32">
        <f>IF($C1335="","",IF($J1335="","— חסרים נתונים",IF($J1335="טרם מפענח","פרופיל 5",IF($J1335="קמץ/פתח/חטף-פתח ושוואים","פרופיל 4",IF($J1335="2-3 סימני ניקוד","פרופיל 3",IF($J1335="4-5 סימני ניקוד","פרופיל 2",IF(AND($O1335="משפטים וקטעים קצרים",OR($M1335="מבין",$M1335="מבין לרוב")),"פרופיל 1","פרופיל 2")))))))</f>
        <v/>
      </c>
      <c r="R1335" s="32">
        <f>IF($C1335="","",IF(OR($Q1335="",LEFT($Q1335,1)="—"),"קבוצה רביעית",IF($Q1335="פרופיל 5","קבוצת תשתיות",IF(OR($Q1335="פרופיל 4",$Q1335="פרופיל 3"),"קבוצת רכישה","קבוצת ביסוס"))))</f>
        <v/>
      </c>
      <c r="S1335" s="32">
        <f>IF($F1335="","",IF($F1335="תחילת שנה",1,IF($F1335="מחצית שנה",2,3)))</f>
        <v/>
      </c>
      <c r="T1335" s="32">
        <f>IF(OR($B1335="",$R1335="",$A1335="",$F1335=""),"",$B1335&amp;"|"&amp;$A1335&amp;"|"&amp;$F1335&amp;"|"&amp;$R1335&amp;"|"&amp;COUNTIFS($B$6:$B1335,$B1335,$A$6:$A1335,$A1335,$F$6:$F1335,$F1335,$R$6:$R1335,$R1335))</f>
        <v/>
      </c>
      <c r="U1335" s="32">
        <f>IF($C1335="","",$C1335&amp;"|"&amp;COUNTIFS($C$6:$C1335,$C1335))</f>
        <v/>
      </c>
      <c r="V1335" s="32">
        <f>IF(OR($C1335="",$A1335="",$S1335=""),"",$C1335&amp;"|"&amp;$A1335&amp;"|"&amp;$S1335)</f>
        <v/>
      </c>
      <c r="W1335" s="32">
        <f>IF(OR($C1335="",$S1335="",$S1335=1),"",IFERROR(INDEX($Q$6:$Q$1505,MATCH($C1335&amp;"|"&amp;$A1335&amp;"|"&amp;($S1335-1),$V$6:$V$1505,0)),""))</f>
        <v/>
      </c>
      <c r="X1335" s="32">
        <f>IF(OR($W1335="",$Q1335="",LEFT($Q1335,1)="—"),"",IF($W1335=$Q1335,"ללא שינוי","מ-"&amp;$W1335&amp;" ל-"&amp;$Q1335))</f>
        <v/>
      </c>
    </row>
    <row r="1336">
      <c r="A1336" s="65" t="n"/>
      <c r="B1336" s="65" t="n"/>
      <c r="C1336" s="66" t="n"/>
      <c r="D1336" s="66" t="n"/>
      <c r="E1336" s="65" t="n"/>
      <c r="F1336" s="65" t="n"/>
      <c r="G1336" s="65" t="n"/>
      <c r="H1336" s="65" t="n"/>
      <c r="I1336" s="65" t="n"/>
      <c r="J1336" s="65" t="n"/>
      <c r="K1336" s="65" t="n"/>
      <c r="L1336" s="65" t="n"/>
      <c r="M1336" s="65" t="n"/>
      <c r="N1336" s="65" t="n"/>
      <c r="O1336" s="65" t="n"/>
      <c r="P1336" s="65" t="n"/>
      <c r="Q1336" s="32">
        <f>IF($C1336="","",IF($J1336="","— חסרים נתונים",IF($J1336="טרם מפענח","פרופיל 5",IF($J1336="קמץ/פתח/חטף-פתח ושוואים","פרופיל 4",IF($J1336="2-3 סימני ניקוד","פרופיל 3",IF($J1336="4-5 סימני ניקוד","פרופיל 2",IF(AND($O1336="משפטים וקטעים קצרים",OR($M1336="מבין",$M1336="מבין לרוב")),"פרופיל 1","פרופיל 2")))))))</f>
        <v/>
      </c>
      <c r="R1336" s="32">
        <f>IF($C1336="","",IF(OR($Q1336="",LEFT($Q1336,1)="—"),"קבוצה רביעית",IF($Q1336="פרופיל 5","קבוצת תשתיות",IF(OR($Q1336="פרופיל 4",$Q1336="פרופיל 3"),"קבוצת רכישה","קבוצת ביסוס"))))</f>
        <v/>
      </c>
      <c r="S1336" s="32">
        <f>IF($F1336="","",IF($F1336="תחילת שנה",1,IF($F1336="מחצית שנה",2,3)))</f>
        <v/>
      </c>
      <c r="T1336" s="32">
        <f>IF(OR($B1336="",$R1336="",$A1336="",$F1336=""),"",$B1336&amp;"|"&amp;$A1336&amp;"|"&amp;$F1336&amp;"|"&amp;$R1336&amp;"|"&amp;COUNTIFS($B$6:$B1336,$B1336,$A$6:$A1336,$A1336,$F$6:$F1336,$F1336,$R$6:$R1336,$R1336))</f>
        <v/>
      </c>
      <c r="U1336" s="32">
        <f>IF($C1336="","",$C1336&amp;"|"&amp;COUNTIFS($C$6:$C1336,$C1336))</f>
        <v/>
      </c>
      <c r="V1336" s="32">
        <f>IF(OR($C1336="",$A1336="",$S1336=""),"",$C1336&amp;"|"&amp;$A1336&amp;"|"&amp;$S1336)</f>
        <v/>
      </c>
      <c r="W1336" s="32">
        <f>IF(OR($C1336="",$S1336="",$S1336=1),"",IFERROR(INDEX($Q$6:$Q$1505,MATCH($C1336&amp;"|"&amp;$A1336&amp;"|"&amp;($S1336-1),$V$6:$V$1505,0)),""))</f>
        <v/>
      </c>
      <c r="X1336" s="32">
        <f>IF(OR($W1336="",$Q1336="",LEFT($Q1336,1)="—"),"",IF($W1336=$Q1336,"ללא שינוי","מ-"&amp;$W1336&amp;" ל-"&amp;$Q1336))</f>
        <v/>
      </c>
    </row>
    <row r="1337">
      <c r="A1337" s="65" t="n"/>
      <c r="B1337" s="65" t="n"/>
      <c r="C1337" s="66" t="n"/>
      <c r="D1337" s="66" t="n"/>
      <c r="E1337" s="65" t="n"/>
      <c r="F1337" s="65" t="n"/>
      <c r="G1337" s="65" t="n"/>
      <c r="H1337" s="65" t="n"/>
      <c r="I1337" s="65" t="n"/>
      <c r="J1337" s="65" t="n"/>
      <c r="K1337" s="65" t="n"/>
      <c r="L1337" s="65" t="n"/>
      <c r="M1337" s="65" t="n"/>
      <c r="N1337" s="65" t="n"/>
      <c r="O1337" s="65" t="n"/>
      <c r="P1337" s="65" t="n"/>
      <c r="Q1337" s="32">
        <f>IF($C1337="","",IF($J1337="","— חסרים נתונים",IF($J1337="טרם מפענח","פרופיל 5",IF($J1337="קמץ/פתח/חטף-פתח ושוואים","פרופיל 4",IF($J1337="2-3 סימני ניקוד","פרופיל 3",IF($J1337="4-5 סימני ניקוד","פרופיל 2",IF(AND($O1337="משפטים וקטעים קצרים",OR($M1337="מבין",$M1337="מבין לרוב")),"פרופיל 1","פרופיל 2")))))))</f>
        <v/>
      </c>
      <c r="R1337" s="32">
        <f>IF($C1337="","",IF(OR($Q1337="",LEFT($Q1337,1)="—"),"קבוצה רביעית",IF($Q1337="פרופיל 5","קבוצת תשתיות",IF(OR($Q1337="פרופיל 4",$Q1337="פרופיל 3"),"קבוצת רכישה","קבוצת ביסוס"))))</f>
        <v/>
      </c>
      <c r="S1337" s="32">
        <f>IF($F1337="","",IF($F1337="תחילת שנה",1,IF($F1337="מחצית שנה",2,3)))</f>
        <v/>
      </c>
      <c r="T1337" s="32">
        <f>IF(OR($B1337="",$R1337="",$A1337="",$F1337=""),"",$B1337&amp;"|"&amp;$A1337&amp;"|"&amp;$F1337&amp;"|"&amp;$R1337&amp;"|"&amp;COUNTIFS($B$6:$B1337,$B1337,$A$6:$A1337,$A1337,$F$6:$F1337,$F1337,$R$6:$R1337,$R1337))</f>
        <v/>
      </c>
      <c r="U1337" s="32">
        <f>IF($C1337="","",$C1337&amp;"|"&amp;COUNTIFS($C$6:$C1337,$C1337))</f>
        <v/>
      </c>
      <c r="V1337" s="32">
        <f>IF(OR($C1337="",$A1337="",$S1337=""),"",$C1337&amp;"|"&amp;$A1337&amp;"|"&amp;$S1337)</f>
        <v/>
      </c>
      <c r="W1337" s="32">
        <f>IF(OR($C1337="",$S1337="",$S1337=1),"",IFERROR(INDEX($Q$6:$Q$1505,MATCH($C1337&amp;"|"&amp;$A1337&amp;"|"&amp;($S1337-1),$V$6:$V$1505,0)),""))</f>
        <v/>
      </c>
      <c r="X1337" s="32">
        <f>IF(OR($W1337="",$Q1337="",LEFT($Q1337,1)="—"),"",IF($W1337=$Q1337,"ללא שינוי","מ-"&amp;$W1337&amp;" ל-"&amp;$Q1337))</f>
        <v/>
      </c>
    </row>
    <row r="1338">
      <c r="A1338" s="65" t="n"/>
      <c r="B1338" s="65" t="n"/>
      <c r="C1338" s="66" t="n"/>
      <c r="D1338" s="66" t="n"/>
      <c r="E1338" s="65" t="n"/>
      <c r="F1338" s="65" t="n"/>
      <c r="G1338" s="65" t="n"/>
      <c r="H1338" s="65" t="n"/>
      <c r="I1338" s="65" t="n"/>
      <c r="J1338" s="65" t="n"/>
      <c r="K1338" s="65" t="n"/>
      <c r="L1338" s="65" t="n"/>
      <c r="M1338" s="65" t="n"/>
      <c r="N1338" s="65" t="n"/>
      <c r="O1338" s="65" t="n"/>
      <c r="P1338" s="65" t="n"/>
      <c r="Q1338" s="32">
        <f>IF($C1338="","",IF($J1338="","— חסרים נתונים",IF($J1338="טרם מפענח","פרופיל 5",IF($J1338="קמץ/פתח/חטף-פתח ושוואים","פרופיל 4",IF($J1338="2-3 סימני ניקוד","פרופיל 3",IF($J1338="4-5 סימני ניקוד","פרופיל 2",IF(AND($O1338="משפטים וקטעים קצרים",OR($M1338="מבין",$M1338="מבין לרוב")),"פרופיל 1","פרופיל 2")))))))</f>
        <v/>
      </c>
      <c r="R1338" s="32">
        <f>IF($C1338="","",IF(OR($Q1338="",LEFT($Q1338,1)="—"),"קבוצה רביעית",IF($Q1338="פרופיל 5","קבוצת תשתיות",IF(OR($Q1338="פרופיל 4",$Q1338="פרופיל 3"),"קבוצת רכישה","קבוצת ביסוס"))))</f>
        <v/>
      </c>
      <c r="S1338" s="32">
        <f>IF($F1338="","",IF($F1338="תחילת שנה",1,IF($F1338="מחצית שנה",2,3)))</f>
        <v/>
      </c>
      <c r="T1338" s="32">
        <f>IF(OR($B1338="",$R1338="",$A1338="",$F1338=""),"",$B1338&amp;"|"&amp;$A1338&amp;"|"&amp;$F1338&amp;"|"&amp;$R1338&amp;"|"&amp;COUNTIFS($B$6:$B1338,$B1338,$A$6:$A1338,$A1338,$F$6:$F1338,$F1338,$R$6:$R1338,$R1338))</f>
        <v/>
      </c>
      <c r="U1338" s="32">
        <f>IF($C1338="","",$C1338&amp;"|"&amp;COUNTIFS($C$6:$C1338,$C1338))</f>
        <v/>
      </c>
      <c r="V1338" s="32">
        <f>IF(OR($C1338="",$A1338="",$S1338=""),"",$C1338&amp;"|"&amp;$A1338&amp;"|"&amp;$S1338)</f>
        <v/>
      </c>
      <c r="W1338" s="32">
        <f>IF(OR($C1338="",$S1338="",$S1338=1),"",IFERROR(INDEX($Q$6:$Q$1505,MATCH($C1338&amp;"|"&amp;$A1338&amp;"|"&amp;($S1338-1),$V$6:$V$1505,0)),""))</f>
        <v/>
      </c>
      <c r="X1338" s="32">
        <f>IF(OR($W1338="",$Q1338="",LEFT($Q1338,1)="—"),"",IF($W1338=$Q1338,"ללא שינוי","מ-"&amp;$W1338&amp;" ל-"&amp;$Q1338))</f>
        <v/>
      </c>
    </row>
    <row r="1339">
      <c r="A1339" s="65" t="n"/>
      <c r="B1339" s="65" t="n"/>
      <c r="C1339" s="66" t="n"/>
      <c r="D1339" s="66" t="n"/>
      <c r="E1339" s="65" t="n"/>
      <c r="F1339" s="65" t="n"/>
      <c r="G1339" s="65" t="n"/>
      <c r="H1339" s="65" t="n"/>
      <c r="I1339" s="65" t="n"/>
      <c r="J1339" s="65" t="n"/>
      <c r="K1339" s="65" t="n"/>
      <c r="L1339" s="65" t="n"/>
      <c r="M1339" s="65" t="n"/>
      <c r="N1339" s="65" t="n"/>
      <c r="O1339" s="65" t="n"/>
      <c r="P1339" s="65" t="n"/>
      <c r="Q1339" s="32">
        <f>IF($C1339="","",IF($J1339="","— חסרים נתונים",IF($J1339="טרם מפענח","פרופיל 5",IF($J1339="קמץ/פתח/חטף-פתח ושוואים","פרופיל 4",IF($J1339="2-3 סימני ניקוד","פרופיל 3",IF($J1339="4-5 סימני ניקוד","פרופיל 2",IF(AND($O1339="משפטים וקטעים קצרים",OR($M1339="מבין",$M1339="מבין לרוב")),"פרופיל 1","פרופיל 2")))))))</f>
        <v/>
      </c>
      <c r="R1339" s="32">
        <f>IF($C1339="","",IF(OR($Q1339="",LEFT($Q1339,1)="—"),"קבוצה רביעית",IF($Q1339="פרופיל 5","קבוצת תשתיות",IF(OR($Q1339="פרופיל 4",$Q1339="פרופיל 3"),"קבוצת רכישה","קבוצת ביסוס"))))</f>
        <v/>
      </c>
      <c r="S1339" s="32">
        <f>IF($F1339="","",IF($F1339="תחילת שנה",1,IF($F1339="מחצית שנה",2,3)))</f>
        <v/>
      </c>
      <c r="T1339" s="32">
        <f>IF(OR($B1339="",$R1339="",$A1339="",$F1339=""),"",$B1339&amp;"|"&amp;$A1339&amp;"|"&amp;$F1339&amp;"|"&amp;$R1339&amp;"|"&amp;COUNTIFS($B$6:$B1339,$B1339,$A$6:$A1339,$A1339,$F$6:$F1339,$F1339,$R$6:$R1339,$R1339))</f>
        <v/>
      </c>
      <c r="U1339" s="32">
        <f>IF($C1339="","",$C1339&amp;"|"&amp;COUNTIFS($C$6:$C1339,$C1339))</f>
        <v/>
      </c>
      <c r="V1339" s="32">
        <f>IF(OR($C1339="",$A1339="",$S1339=""),"",$C1339&amp;"|"&amp;$A1339&amp;"|"&amp;$S1339)</f>
        <v/>
      </c>
      <c r="W1339" s="32">
        <f>IF(OR($C1339="",$S1339="",$S1339=1),"",IFERROR(INDEX($Q$6:$Q$1505,MATCH($C1339&amp;"|"&amp;$A1339&amp;"|"&amp;($S1339-1),$V$6:$V$1505,0)),""))</f>
        <v/>
      </c>
      <c r="X1339" s="32">
        <f>IF(OR($W1339="",$Q1339="",LEFT($Q1339,1)="—"),"",IF($W1339=$Q1339,"ללא שינוי","מ-"&amp;$W1339&amp;" ל-"&amp;$Q1339))</f>
        <v/>
      </c>
    </row>
    <row r="1340">
      <c r="A1340" s="65" t="n"/>
      <c r="B1340" s="65" t="n"/>
      <c r="C1340" s="66" t="n"/>
      <c r="D1340" s="66" t="n"/>
      <c r="E1340" s="65" t="n"/>
      <c r="F1340" s="65" t="n"/>
      <c r="G1340" s="65" t="n"/>
      <c r="H1340" s="65" t="n"/>
      <c r="I1340" s="65" t="n"/>
      <c r="J1340" s="65" t="n"/>
      <c r="K1340" s="65" t="n"/>
      <c r="L1340" s="65" t="n"/>
      <c r="M1340" s="65" t="n"/>
      <c r="N1340" s="65" t="n"/>
      <c r="O1340" s="65" t="n"/>
      <c r="P1340" s="65" t="n"/>
      <c r="Q1340" s="32">
        <f>IF($C1340="","",IF($J1340="","— חסרים נתונים",IF($J1340="טרם מפענח","פרופיל 5",IF($J1340="קמץ/פתח/חטף-פתח ושוואים","פרופיל 4",IF($J1340="2-3 סימני ניקוד","פרופיל 3",IF($J1340="4-5 סימני ניקוד","פרופיל 2",IF(AND($O1340="משפטים וקטעים קצרים",OR($M1340="מבין",$M1340="מבין לרוב")),"פרופיל 1","פרופיל 2")))))))</f>
        <v/>
      </c>
      <c r="R1340" s="32">
        <f>IF($C1340="","",IF(OR($Q1340="",LEFT($Q1340,1)="—"),"קבוצה רביעית",IF($Q1340="פרופיל 5","קבוצת תשתיות",IF(OR($Q1340="פרופיל 4",$Q1340="פרופיל 3"),"קבוצת רכישה","קבוצת ביסוס"))))</f>
        <v/>
      </c>
      <c r="S1340" s="32">
        <f>IF($F1340="","",IF($F1340="תחילת שנה",1,IF($F1340="מחצית שנה",2,3)))</f>
        <v/>
      </c>
      <c r="T1340" s="32">
        <f>IF(OR($B1340="",$R1340="",$A1340="",$F1340=""),"",$B1340&amp;"|"&amp;$A1340&amp;"|"&amp;$F1340&amp;"|"&amp;$R1340&amp;"|"&amp;COUNTIFS($B$6:$B1340,$B1340,$A$6:$A1340,$A1340,$F$6:$F1340,$F1340,$R$6:$R1340,$R1340))</f>
        <v/>
      </c>
      <c r="U1340" s="32">
        <f>IF($C1340="","",$C1340&amp;"|"&amp;COUNTIFS($C$6:$C1340,$C1340))</f>
        <v/>
      </c>
      <c r="V1340" s="32">
        <f>IF(OR($C1340="",$A1340="",$S1340=""),"",$C1340&amp;"|"&amp;$A1340&amp;"|"&amp;$S1340)</f>
        <v/>
      </c>
      <c r="W1340" s="32">
        <f>IF(OR($C1340="",$S1340="",$S1340=1),"",IFERROR(INDEX($Q$6:$Q$1505,MATCH($C1340&amp;"|"&amp;$A1340&amp;"|"&amp;($S1340-1),$V$6:$V$1505,0)),""))</f>
        <v/>
      </c>
      <c r="X1340" s="32">
        <f>IF(OR($W1340="",$Q1340="",LEFT($Q1340,1)="—"),"",IF($W1340=$Q1340,"ללא שינוי","מ-"&amp;$W1340&amp;" ל-"&amp;$Q1340))</f>
        <v/>
      </c>
    </row>
    <row r="1341">
      <c r="A1341" s="65" t="n"/>
      <c r="B1341" s="65" t="n"/>
      <c r="C1341" s="66" t="n"/>
      <c r="D1341" s="66" t="n"/>
      <c r="E1341" s="65" t="n"/>
      <c r="F1341" s="65" t="n"/>
      <c r="G1341" s="65" t="n"/>
      <c r="H1341" s="65" t="n"/>
      <c r="I1341" s="65" t="n"/>
      <c r="J1341" s="65" t="n"/>
      <c r="K1341" s="65" t="n"/>
      <c r="L1341" s="65" t="n"/>
      <c r="M1341" s="65" t="n"/>
      <c r="N1341" s="65" t="n"/>
      <c r="O1341" s="65" t="n"/>
      <c r="P1341" s="65" t="n"/>
      <c r="Q1341" s="32">
        <f>IF($C1341="","",IF($J1341="","— חסרים נתונים",IF($J1341="טרם מפענח","פרופיל 5",IF($J1341="קמץ/פתח/חטף-פתח ושוואים","פרופיל 4",IF($J1341="2-3 סימני ניקוד","פרופיל 3",IF($J1341="4-5 סימני ניקוד","פרופיל 2",IF(AND($O1341="משפטים וקטעים קצרים",OR($M1341="מבין",$M1341="מבין לרוב")),"פרופיל 1","פרופיל 2")))))))</f>
        <v/>
      </c>
      <c r="R1341" s="32">
        <f>IF($C1341="","",IF(OR($Q1341="",LEFT($Q1341,1)="—"),"קבוצה רביעית",IF($Q1341="פרופיל 5","קבוצת תשתיות",IF(OR($Q1341="פרופיל 4",$Q1341="פרופיל 3"),"קבוצת רכישה","קבוצת ביסוס"))))</f>
        <v/>
      </c>
      <c r="S1341" s="32">
        <f>IF($F1341="","",IF($F1341="תחילת שנה",1,IF($F1341="מחצית שנה",2,3)))</f>
        <v/>
      </c>
      <c r="T1341" s="32">
        <f>IF(OR($B1341="",$R1341="",$A1341="",$F1341=""),"",$B1341&amp;"|"&amp;$A1341&amp;"|"&amp;$F1341&amp;"|"&amp;$R1341&amp;"|"&amp;COUNTIFS($B$6:$B1341,$B1341,$A$6:$A1341,$A1341,$F$6:$F1341,$F1341,$R$6:$R1341,$R1341))</f>
        <v/>
      </c>
      <c r="U1341" s="32">
        <f>IF($C1341="","",$C1341&amp;"|"&amp;COUNTIFS($C$6:$C1341,$C1341))</f>
        <v/>
      </c>
      <c r="V1341" s="32">
        <f>IF(OR($C1341="",$A1341="",$S1341=""),"",$C1341&amp;"|"&amp;$A1341&amp;"|"&amp;$S1341)</f>
        <v/>
      </c>
      <c r="W1341" s="32">
        <f>IF(OR($C1341="",$S1341="",$S1341=1),"",IFERROR(INDEX($Q$6:$Q$1505,MATCH($C1341&amp;"|"&amp;$A1341&amp;"|"&amp;($S1341-1),$V$6:$V$1505,0)),""))</f>
        <v/>
      </c>
      <c r="X1341" s="32">
        <f>IF(OR($W1341="",$Q1341="",LEFT($Q1341,1)="—"),"",IF($W1341=$Q1341,"ללא שינוי","מ-"&amp;$W1341&amp;" ל-"&amp;$Q1341))</f>
        <v/>
      </c>
    </row>
    <row r="1342">
      <c r="A1342" s="65" t="n"/>
      <c r="B1342" s="65" t="n"/>
      <c r="C1342" s="66" t="n"/>
      <c r="D1342" s="66" t="n"/>
      <c r="E1342" s="65" t="n"/>
      <c r="F1342" s="65" t="n"/>
      <c r="G1342" s="65" t="n"/>
      <c r="H1342" s="65" t="n"/>
      <c r="I1342" s="65" t="n"/>
      <c r="J1342" s="65" t="n"/>
      <c r="K1342" s="65" t="n"/>
      <c r="L1342" s="65" t="n"/>
      <c r="M1342" s="65" t="n"/>
      <c r="N1342" s="65" t="n"/>
      <c r="O1342" s="65" t="n"/>
      <c r="P1342" s="65" t="n"/>
      <c r="Q1342" s="32">
        <f>IF($C1342="","",IF($J1342="","— חסרים נתונים",IF($J1342="טרם מפענח","פרופיל 5",IF($J1342="קמץ/פתח/חטף-פתח ושוואים","פרופיל 4",IF($J1342="2-3 סימני ניקוד","פרופיל 3",IF($J1342="4-5 סימני ניקוד","פרופיל 2",IF(AND($O1342="משפטים וקטעים קצרים",OR($M1342="מבין",$M1342="מבין לרוב")),"פרופיל 1","פרופיל 2")))))))</f>
        <v/>
      </c>
      <c r="R1342" s="32">
        <f>IF($C1342="","",IF(OR($Q1342="",LEFT($Q1342,1)="—"),"קבוצה רביעית",IF($Q1342="פרופיל 5","קבוצת תשתיות",IF(OR($Q1342="פרופיל 4",$Q1342="פרופיל 3"),"קבוצת רכישה","קבוצת ביסוס"))))</f>
        <v/>
      </c>
      <c r="S1342" s="32">
        <f>IF($F1342="","",IF($F1342="תחילת שנה",1,IF($F1342="מחצית שנה",2,3)))</f>
        <v/>
      </c>
      <c r="T1342" s="32">
        <f>IF(OR($B1342="",$R1342="",$A1342="",$F1342=""),"",$B1342&amp;"|"&amp;$A1342&amp;"|"&amp;$F1342&amp;"|"&amp;$R1342&amp;"|"&amp;COUNTIFS($B$6:$B1342,$B1342,$A$6:$A1342,$A1342,$F$6:$F1342,$F1342,$R$6:$R1342,$R1342))</f>
        <v/>
      </c>
      <c r="U1342" s="32">
        <f>IF($C1342="","",$C1342&amp;"|"&amp;COUNTIFS($C$6:$C1342,$C1342))</f>
        <v/>
      </c>
      <c r="V1342" s="32">
        <f>IF(OR($C1342="",$A1342="",$S1342=""),"",$C1342&amp;"|"&amp;$A1342&amp;"|"&amp;$S1342)</f>
        <v/>
      </c>
      <c r="W1342" s="32">
        <f>IF(OR($C1342="",$S1342="",$S1342=1),"",IFERROR(INDEX($Q$6:$Q$1505,MATCH($C1342&amp;"|"&amp;$A1342&amp;"|"&amp;($S1342-1),$V$6:$V$1505,0)),""))</f>
        <v/>
      </c>
      <c r="X1342" s="32">
        <f>IF(OR($W1342="",$Q1342="",LEFT($Q1342,1)="—"),"",IF($W1342=$Q1342,"ללא שינוי","מ-"&amp;$W1342&amp;" ל-"&amp;$Q1342))</f>
        <v/>
      </c>
    </row>
    <row r="1343">
      <c r="A1343" s="65" t="n"/>
      <c r="B1343" s="65" t="n"/>
      <c r="C1343" s="66" t="n"/>
      <c r="D1343" s="66" t="n"/>
      <c r="E1343" s="65" t="n"/>
      <c r="F1343" s="65" t="n"/>
      <c r="G1343" s="65" t="n"/>
      <c r="H1343" s="65" t="n"/>
      <c r="I1343" s="65" t="n"/>
      <c r="J1343" s="65" t="n"/>
      <c r="K1343" s="65" t="n"/>
      <c r="L1343" s="65" t="n"/>
      <c r="M1343" s="65" t="n"/>
      <c r="N1343" s="65" t="n"/>
      <c r="O1343" s="65" t="n"/>
      <c r="P1343" s="65" t="n"/>
      <c r="Q1343" s="32">
        <f>IF($C1343="","",IF($J1343="","— חסרים נתונים",IF($J1343="טרם מפענח","פרופיל 5",IF($J1343="קמץ/פתח/חטף-פתח ושוואים","פרופיל 4",IF($J1343="2-3 סימני ניקוד","פרופיל 3",IF($J1343="4-5 סימני ניקוד","פרופיל 2",IF(AND($O1343="משפטים וקטעים קצרים",OR($M1343="מבין",$M1343="מבין לרוב")),"פרופיל 1","פרופיל 2")))))))</f>
        <v/>
      </c>
      <c r="R1343" s="32">
        <f>IF($C1343="","",IF(OR($Q1343="",LEFT($Q1343,1)="—"),"קבוצה רביעית",IF($Q1343="פרופיל 5","קבוצת תשתיות",IF(OR($Q1343="פרופיל 4",$Q1343="פרופיל 3"),"קבוצת רכישה","קבוצת ביסוס"))))</f>
        <v/>
      </c>
      <c r="S1343" s="32">
        <f>IF($F1343="","",IF($F1343="תחילת שנה",1,IF($F1343="מחצית שנה",2,3)))</f>
        <v/>
      </c>
      <c r="T1343" s="32">
        <f>IF(OR($B1343="",$R1343="",$A1343="",$F1343=""),"",$B1343&amp;"|"&amp;$A1343&amp;"|"&amp;$F1343&amp;"|"&amp;$R1343&amp;"|"&amp;COUNTIFS($B$6:$B1343,$B1343,$A$6:$A1343,$A1343,$F$6:$F1343,$F1343,$R$6:$R1343,$R1343))</f>
        <v/>
      </c>
      <c r="U1343" s="32">
        <f>IF($C1343="","",$C1343&amp;"|"&amp;COUNTIFS($C$6:$C1343,$C1343))</f>
        <v/>
      </c>
      <c r="V1343" s="32">
        <f>IF(OR($C1343="",$A1343="",$S1343=""),"",$C1343&amp;"|"&amp;$A1343&amp;"|"&amp;$S1343)</f>
        <v/>
      </c>
      <c r="W1343" s="32">
        <f>IF(OR($C1343="",$S1343="",$S1343=1),"",IFERROR(INDEX($Q$6:$Q$1505,MATCH($C1343&amp;"|"&amp;$A1343&amp;"|"&amp;($S1343-1),$V$6:$V$1505,0)),""))</f>
        <v/>
      </c>
      <c r="X1343" s="32">
        <f>IF(OR($W1343="",$Q1343="",LEFT($Q1343,1)="—"),"",IF($W1343=$Q1343,"ללא שינוי","מ-"&amp;$W1343&amp;" ל-"&amp;$Q1343))</f>
        <v/>
      </c>
    </row>
    <row r="1344">
      <c r="A1344" s="65" t="n"/>
      <c r="B1344" s="65" t="n"/>
      <c r="C1344" s="66" t="n"/>
      <c r="D1344" s="66" t="n"/>
      <c r="E1344" s="65" t="n"/>
      <c r="F1344" s="65" t="n"/>
      <c r="G1344" s="65" t="n"/>
      <c r="H1344" s="65" t="n"/>
      <c r="I1344" s="65" t="n"/>
      <c r="J1344" s="65" t="n"/>
      <c r="K1344" s="65" t="n"/>
      <c r="L1344" s="65" t="n"/>
      <c r="M1344" s="65" t="n"/>
      <c r="N1344" s="65" t="n"/>
      <c r="O1344" s="65" t="n"/>
      <c r="P1344" s="65" t="n"/>
      <c r="Q1344" s="32">
        <f>IF($C1344="","",IF($J1344="","— חסרים נתונים",IF($J1344="טרם מפענח","פרופיל 5",IF($J1344="קמץ/פתח/חטף-פתח ושוואים","פרופיל 4",IF($J1344="2-3 סימני ניקוד","פרופיל 3",IF($J1344="4-5 סימני ניקוד","פרופיל 2",IF(AND($O1344="משפטים וקטעים קצרים",OR($M1344="מבין",$M1344="מבין לרוב")),"פרופיל 1","פרופיל 2")))))))</f>
        <v/>
      </c>
      <c r="R1344" s="32">
        <f>IF($C1344="","",IF(OR($Q1344="",LEFT($Q1344,1)="—"),"קבוצה רביעית",IF($Q1344="פרופיל 5","קבוצת תשתיות",IF(OR($Q1344="פרופיל 4",$Q1344="פרופיל 3"),"קבוצת רכישה","קבוצת ביסוס"))))</f>
        <v/>
      </c>
      <c r="S1344" s="32">
        <f>IF($F1344="","",IF($F1344="תחילת שנה",1,IF($F1344="מחצית שנה",2,3)))</f>
        <v/>
      </c>
      <c r="T1344" s="32">
        <f>IF(OR($B1344="",$R1344="",$A1344="",$F1344=""),"",$B1344&amp;"|"&amp;$A1344&amp;"|"&amp;$F1344&amp;"|"&amp;$R1344&amp;"|"&amp;COUNTIFS($B$6:$B1344,$B1344,$A$6:$A1344,$A1344,$F$6:$F1344,$F1344,$R$6:$R1344,$R1344))</f>
        <v/>
      </c>
      <c r="U1344" s="32">
        <f>IF($C1344="","",$C1344&amp;"|"&amp;COUNTIFS($C$6:$C1344,$C1344))</f>
        <v/>
      </c>
      <c r="V1344" s="32">
        <f>IF(OR($C1344="",$A1344="",$S1344=""),"",$C1344&amp;"|"&amp;$A1344&amp;"|"&amp;$S1344)</f>
        <v/>
      </c>
      <c r="W1344" s="32">
        <f>IF(OR($C1344="",$S1344="",$S1344=1),"",IFERROR(INDEX($Q$6:$Q$1505,MATCH($C1344&amp;"|"&amp;$A1344&amp;"|"&amp;($S1344-1),$V$6:$V$1505,0)),""))</f>
        <v/>
      </c>
      <c r="X1344" s="32">
        <f>IF(OR($W1344="",$Q1344="",LEFT($Q1344,1)="—"),"",IF($W1344=$Q1344,"ללא שינוי","מ-"&amp;$W1344&amp;" ל-"&amp;$Q1344))</f>
        <v/>
      </c>
    </row>
    <row r="1345">
      <c r="A1345" s="65" t="n"/>
      <c r="B1345" s="65" t="n"/>
      <c r="C1345" s="66" t="n"/>
      <c r="D1345" s="66" t="n"/>
      <c r="E1345" s="65" t="n"/>
      <c r="F1345" s="65" t="n"/>
      <c r="G1345" s="65" t="n"/>
      <c r="H1345" s="65" t="n"/>
      <c r="I1345" s="65" t="n"/>
      <c r="J1345" s="65" t="n"/>
      <c r="K1345" s="65" t="n"/>
      <c r="L1345" s="65" t="n"/>
      <c r="M1345" s="65" t="n"/>
      <c r="N1345" s="65" t="n"/>
      <c r="O1345" s="65" t="n"/>
      <c r="P1345" s="65" t="n"/>
      <c r="Q1345" s="32">
        <f>IF($C1345="","",IF($J1345="","— חסרים נתונים",IF($J1345="טרם מפענח","פרופיל 5",IF($J1345="קמץ/פתח/חטף-פתח ושוואים","פרופיל 4",IF($J1345="2-3 סימני ניקוד","פרופיל 3",IF($J1345="4-5 סימני ניקוד","פרופיל 2",IF(AND($O1345="משפטים וקטעים קצרים",OR($M1345="מבין",$M1345="מבין לרוב")),"פרופיל 1","פרופיל 2")))))))</f>
        <v/>
      </c>
      <c r="R1345" s="32">
        <f>IF($C1345="","",IF(OR($Q1345="",LEFT($Q1345,1)="—"),"קבוצה רביעית",IF($Q1345="פרופיל 5","קבוצת תשתיות",IF(OR($Q1345="פרופיל 4",$Q1345="פרופיל 3"),"קבוצת רכישה","קבוצת ביסוס"))))</f>
        <v/>
      </c>
      <c r="S1345" s="32">
        <f>IF($F1345="","",IF($F1345="תחילת שנה",1,IF($F1345="מחצית שנה",2,3)))</f>
        <v/>
      </c>
      <c r="T1345" s="32">
        <f>IF(OR($B1345="",$R1345="",$A1345="",$F1345=""),"",$B1345&amp;"|"&amp;$A1345&amp;"|"&amp;$F1345&amp;"|"&amp;$R1345&amp;"|"&amp;COUNTIFS($B$6:$B1345,$B1345,$A$6:$A1345,$A1345,$F$6:$F1345,$F1345,$R$6:$R1345,$R1345))</f>
        <v/>
      </c>
      <c r="U1345" s="32">
        <f>IF($C1345="","",$C1345&amp;"|"&amp;COUNTIFS($C$6:$C1345,$C1345))</f>
        <v/>
      </c>
      <c r="V1345" s="32">
        <f>IF(OR($C1345="",$A1345="",$S1345=""),"",$C1345&amp;"|"&amp;$A1345&amp;"|"&amp;$S1345)</f>
        <v/>
      </c>
      <c r="W1345" s="32">
        <f>IF(OR($C1345="",$S1345="",$S1345=1),"",IFERROR(INDEX($Q$6:$Q$1505,MATCH($C1345&amp;"|"&amp;$A1345&amp;"|"&amp;($S1345-1),$V$6:$V$1505,0)),""))</f>
        <v/>
      </c>
      <c r="X1345" s="32">
        <f>IF(OR($W1345="",$Q1345="",LEFT($Q1345,1)="—"),"",IF($W1345=$Q1345,"ללא שינוי","מ-"&amp;$W1345&amp;" ל-"&amp;$Q1345))</f>
        <v/>
      </c>
    </row>
    <row r="1346">
      <c r="A1346" s="65" t="n"/>
      <c r="B1346" s="65" t="n"/>
      <c r="C1346" s="66" t="n"/>
      <c r="D1346" s="66" t="n"/>
      <c r="E1346" s="65" t="n"/>
      <c r="F1346" s="65" t="n"/>
      <c r="G1346" s="65" t="n"/>
      <c r="H1346" s="65" t="n"/>
      <c r="I1346" s="65" t="n"/>
      <c r="J1346" s="65" t="n"/>
      <c r="K1346" s="65" t="n"/>
      <c r="L1346" s="65" t="n"/>
      <c r="M1346" s="65" t="n"/>
      <c r="N1346" s="65" t="n"/>
      <c r="O1346" s="65" t="n"/>
      <c r="P1346" s="65" t="n"/>
      <c r="Q1346" s="32">
        <f>IF($C1346="","",IF($J1346="","— חסרים נתונים",IF($J1346="טרם מפענח","פרופיל 5",IF($J1346="קמץ/פתח/חטף-פתח ושוואים","פרופיל 4",IF($J1346="2-3 סימני ניקוד","פרופיל 3",IF($J1346="4-5 סימני ניקוד","פרופיל 2",IF(AND($O1346="משפטים וקטעים קצרים",OR($M1346="מבין",$M1346="מבין לרוב")),"פרופיל 1","פרופיל 2")))))))</f>
        <v/>
      </c>
      <c r="R1346" s="32">
        <f>IF($C1346="","",IF(OR($Q1346="",LEFT($Q1346,1)="—"),"קבוצה רביעית",IF($Q1346="פרופיל 5","קבוצת תשתיות",IF(OR($Q1346="פרופיל 4",$Q1346="פרופיל 3"),"קבוצת רכישה","קבוצת ביסוס"))))</f>
        <v/>
      </c>
      <c r="S1346" s="32">
        <f>IF($F1346="","",IF($F1346="תחילת שנה",1,IF($F1346="מחצית שנה",2,3)))</f>
        <v/>
      </c>
      <c r="T1346" s="32">
        <f>IF(OR($B1346="",$R1346="",$A1346="",$F1346=""),"",$B1346&amp;"|"&amp;$A1346&amp;"|"&amp;$F1346&amp;"|"&amp;$R1346&amp;"|"&amp;COUNTIFS($B$6:$B1346,$B1346,$A$6:$A1346,$A1346,$F$6:$F1346,$F1346,$R$6:$R1346,$R1346))</f>
        <v/>
      </c>
      <c r="U1346" s="32">
        <f>IF($C1346="","",$C1346&amp;"|"&amp;COUNTIFS($C$6:$C1346,$C1346))</f>
        <v/>
      </c>
      <c r="V1346" s="32">
        <f>IF(OR($C1346="",$A1346="",$S1346=""),"",$C1346&amp;"|"&amp;$A1346&amp;"|"&amp;$S1346)</f>
        <v/>
      </c>
      <c r="W1346" s="32">
        <f>IF(OR($C1346="",$S1346="",$S1346=1),"",IFERROR(INDEX($Q$6:$Q$1505,MATCH($C1346&amp;"|"&amp;$A1346&amp;"|"&amp;($S1346-1),$V$6:$V$1505,0)),""))</f>
        <v/>
      </c>
      <c r="X1346" s="32">
        <f>IF(OR($W1346="",$Q1346="",LEFT($Q1346,1)="—"),"",IF($W1346=$Q1346,"ללא שינוי","מ-"&amp;$W1346&amp;" ל-"&amp;$Q1346))</f>
        <v/>
      </c>
    </row>
    <row r="1347">
      <c r="A1347" s="65" t="n"/>
      <c r="B1347" s="65" t="n"/>
      <c r="C1347" s="66" t="n"/>
      <c r="D1347" s="66" t="n"/>
      <c r="E1347" s="65" t="n"/>
      <c r="F1347" s="65" t="n"/>
      <c r="G1347" s="65" t="n"/>
      <c r="H1347" s="65" t="n"/>
      <c r="I1347" s="65" t="n"/>
      <c r="J1347" s="65" t="n"/>
      <c r="K1347" s="65" t="n"/>
      <c r="L1347" s="65" t="n"/>
      <c r="M1347" s="65" t="n"/>
      <c r="N1347" s="65" t="n"/>
      <c r="O1347" s="65" t="n"/>
      <c r="P1347" s="65" t="n"/>
      <c r="Q1347" s="32">
        <f>IF($C1347="","",IF($J1347="","— חסרים נתונים",IF($J1347="טרם מפענח","פרופיל 5",IF($J1347="קמץ/פתח/חטף-פתח ושוואים","פרופיל 4",IF($J1347="2-3 סימני ניקוד","פרופיל 3",IF($J1347="4-5 סימני ניקוד","פרופיל 2",IF(AND($O1347="משפטים וקטעים קצרים",OR($M1347="מבין",$M1347="מבין לרוב")),"פרופיל 1","פרופיל 2")))))))</f>
        <v/>
      </c>
      <c r="R1347" s="32">
        <f>IF($C1347="","",IF(OR($Q1347="",LEFT($Q1347,1)="—"),"קבוצה רביעית",IF($Q1347="פרופיל 5","קבוצת תשתיות",IF(OR($Q1347="פרופיל 4",$Q1347="פרופיל 3"),"קבוצת רכישה","קבוצת ביסוס"))))</f>
        <v/>
      </c>
      <c r="S1347" s="32">
        <f>IF($F1347="","",IF($F1347="תחילת שנה",1,IF($F1347="מחצית שנה",2,3)))</f>
        <v/>
      </c>
      <c r="T1347" s="32">
        <f>IF(OR($B1347="",$R1347="",$A1347="",$F1347=""),"",$B1347&amp;"|"&amp;$A1347&amp;"|"&amp;$F1347&amp;"|"&amp;$R1347&amp;"|"&amp;COUNTIFS($B$6:$B1347,$B1347,$A$6:$A1347,$A1347,$F$6:$F1347,$F1347,$R$6:$R1347,$R1347))</f>
        <v/>
      </c>
      <c r="U1347" s="32">
        <f>IF($C1347="","",$C1347&amp;"|"&amp;COUNTIFS($C$6:$C1347,$C1347))</f>
        <v/>
      </c>
      <c r="V1347" s="32">
        <f>IF(OR($C1347="",$A1347="",$S1347=""),"",$C1347&amp;"|"&amp;$A1347&amp;"|"&amp;$S1347)</f>
        <v/>
      </c>
      <c r="W1347" s="32">
        <f>IF(OR($C1347="",$S1347="",$S1347=1),"",IFERROR(INDEX($Q$6:$Q$1505,MATCH($C1347&amp;"|"&amp;$A1347&amp;"|"&amp;($S1347-1),$V$6:$V$1505,0)),""))</f>
        <v/>
      </c>
      <c r="X1347" s="32">
        <f>IF(OR($W1347="",$Q1347="",LEFT($Q1347,1)="—"),"",IF($W1347=$Q1347,"ללא שינוי","מ-"&amp;$W1347&amp;" ל-"&amp;$Q1347))</f>
        <v/>
      </c>
    </row>
    <row r="1348">
      <c r="A1348" s="65" t="n"/>
      <c r="B1348" s="65" t="n"/>
      <c r="C1348" s="66" t="n"/>
      <c r="D1348" s="66" t="n"/>
      <c r="E1348" s="65" t="n"/>
      <c r="F1348" s="65" t="n"/>
      <c r="G1348" s="65" t="n"/>
      <c r="H1348" s="65" t="n"/>
      <c r="I1348" s="65" t="n"/>
      <c r="J1348" s="65" t="n"/>
      <c r="K1348" s="65" t="n"/>
      <c r="L1348" s="65" t="n"/>
      <c r="M1348" s="65" t="n"/>
      <c r="N1348" s="65" t="n"/>
      <c r="O1348" s="65" t="n"/>
      <c r="P1348" s="65" t="n"/>
      <c r="Q1348" s="32">
        <f>IF($C1348="","",IF($J1348="","— חסרים נתונים",IF($J1348="טרם מפענח","פרופיל 5",IF($J1348="קמץ/פתח/חטף-פתח ושוואים","פרופיל 4",IF($J1348="2-3 סימני ניקוד","פרופיל 3",IF($J1348="4-5 סימני ניקוד","פרופיל 2",IF(AND($O1348="משפטים וקטעים קצרים",OR($M1348="מבין",$M1348="מבין לרוב")),"פרופיל 1","פרופיל 2")))))))</f>
        <v/>
      </c>
      <c r="R1348" s="32">
        <f>IF($C1348="","",IF(OR($Q1348="",LEFT($Q1348,1)="—"),"קבוצה רביעית",IF($Q1348="פרופיל 5","קבוצת תשתיות",IF(OR($Q1348="פרופיל 4",$Q1348="פרופיל 3"),"קבוצת רכישה","קבוצת ביסוס"))))</f>
        <v/>
      </c>
      <c r="S1348" s="32">
        <f>IF($F1348="","",IF($F1348="תחילת שנה",1,IF($F1348="מחצית שנה",2,3)))</f>
        <v/>
      </c>
      <c r="T1348" s="32">
        <f>IF(OR($B1348="",$R1348="",$A1348="",$F1348=""),"",$B1348&amp;"|"&amp;$A1348&amp;"|"&amp;$F1348&amp;"|"&amp;$R1348&amp;"|"&amp;COUNTIFS($B$6:$B1348,$B1348,$A$6:$A1348,$A1348,$F$6:$F1348,$F1348,$R$6:$R1348,$R1348))</f>
        <v/>
      </c>
      <c r="U1348" s="32">
        <f>IF($C1348="","",$C1348&amp;"|"&amp;COUNTIFS($C$6:$C1348,$C1348))</f>
        <v/>
      </c>
      <c r="V1348" s="32">
        <f>IF(OR($C1348="",$A1348="",$S1348=""),"",$C1348&amp;"|"&amp;$A1348&amp;"|"&amp;$S1348)</f>
        <v/>
      </c>
      <c r="W1348" s="32">
        <f>IF(OR($C1348="",$S1348="",$S1348=1),"",IFERROR(INDEX($Q$6:$Q$1505,MATCH($C1348&amp;"|"&amp;$A1348&amp;"|"&amp;($S1348-1),$V$6:$V$1505,0)),""))</f>
        <v/>
      </c>
      <c r="X1348" s="32">
        <f>IF(OR($W1348="",$Q1348="",LEFT($Q1348,1)="—"),"",IF($W1348=$Q1348,"ללא שינוי","מ-"&amp;$W1348&amp;" ל-"&amp;$Q1348))</f>
        <v/>
      </c>
    </row>
    <row r="1349">
      <c r="A1349" s="65" t="n"/>
      <c r="B1349" s="65" t="n"/>
      <c r="C1349" s="66" t="n"/>
      <c r="D1349" s="66" t="n"/>
      <c r="E1349" s="65" t="n"/>
      <c r="F1349" s="65" t="n"/>
      <c r="G1349" s="65" t="n"/>
      <c r="H1349" s="65" t="n"/>
      <c r="I1349" s="65" t="n"/>
      <c r="J1349" s="65" t="n"/>
      <c r="K1349" s="65" t="n"/>
      <c r="L1349" s="65" t="n"/>
      <c r="M1349" s="65" t="n"/>
      <c r="N1349" s="65" t="n"/>
      <c r="O1349" s="65" t="n"/>
      <c r="P1349" s="65" t="n"/>
      <c r="Q1349" s="32">
        <f>IF($C1349="","",IF($J1349="","— חסרים נתונים",IF($J1349="טרם מפענח","פרופיל 5",IF($J1349="קמץ/פתח/חטף-פתח ושוואים","פרופיל 4",IF($J1349="2-3 סימני ניקוד","פרופיל 3",IF($J1349="4-5 סימני ניקוד","פרופיל 2",IF(AND($O1349="משפטים וקטעים קצרים",OR($M1349="מבין",$M1349="מבין לרוב")),"פרופיל 1","פרופיל 2")))))))</f>
        <v/>
      </c>
      <c r="R1349" s="32">
        <f>IF($C1349="","",IF(OR($Q1349="",LEFT($Q1349,1)="—"),"קבוצה רביעית",IF($Q1349="פרופיל 5","קבוצת תשתיות",IF(OR($Q1349="פרופיל 4",$Q1349="פרופיל 3"),"קבוצת רכישה","קבוצת ביסוס"))))</f>
        <v/>
      </c>
      <c r="S1349" s="32">
        <f>IF($F1349="","",IF($F1349="תחילת שנה",1,IF($F1349="מחצית שנה",2,3)))</f>
        <v/>
      </c>
      <c r="T1349" s="32">
        <f>IF(OR($B1349="",$R1349="",$A1349="",$F1349=""),"",$B1349&amp;"|"&amp;$A1349&amp;"|"&amp;$F1349&amp;"|"&amp;$R1349&amp;"|"&amp;COUNTIFS($B$6:$B1349,$B1349,$A$6:$A1349,$A1349,$F$6:$F1349,$F1349,$R$6:$R1349,$R1349))</f>
        <v/>
      </c>
      <c r="U1349" s="32">
        <f>IF($C1349="","",$C1349&amp;"|"&amp;COUNTIFS($C$6:$C1349,$C1349))</f>
        <v/>
      </c>
      <c r="V1349" s="32">
        <f>IF(OR($C1349="",$A1349="",$S1349=""),"",$C1349&amp;"|"&amp;$A1349&amp;"|"&amp;$S1349)</f>
        <v/>
      </c>
      <c r="W1349" s="32">
        <f>IF(OR($C1349="",$S1349="",$S1349=1),"",IFERROR(INDEX($Q$6:$Q$1505,MATCH($C1349&amp;"|"&amp;$A1349&amp;"|"&amp;($S1349-1),$V$6:$V$1505,0)),""))</f>
        <v/>
      </c>
      <c r="X1349" s="32">
        <f>IF(OR($W1349="",$Q1349="",LEFT($Q1349,1)="—"),"",IF($W1349=$Q1349,"ללא שינוי","מ-"&amp;$W1349&amp;" ל-"&amp;$Q1349))</f>
        <v/>
      </c>
    </row>
    <row r="1350">
      <c r="A1350" s="65" t="n"/>
      <c r="B1350" s="65" t="n"/>
      <c r="C1350" s="66" t="n"/>
      <c r="D1350" s="66" t="n"/>
      <c r="E1350" s="65" t="n"/>
      <c r="F1350" s="65" t="n"/>
      <c r="G1350" s="65" t="n"/>
      <c r="H1350" s="65" t="n"/>
      <c r="I1350" s="65" t="n"/>
      <c r="J1350" s="65" t="n"/>
      <c r="K1350" s="65" t="n"/>
      <c r="L1350" s="65" t="n"/>
      <c r="M1350" s="65" t="n"/>
      <c r="N1350" s="65" t="n"/>
      <c r="O1350" s="65" t="n"/>
      <c r="P1350" s="65" t="n"/>
      <c r="Q1350" s="32">
        <f>IF($C1350="","",IF($J1350="","— חסרים נתונים",IF($J1350="טרם מפענח","פרופיל 5",IF($J1350="קמץ/פתח/חטף-פתח ושוואים","פרופיל 4",IF($J1350="2-3 סימני ניקוד","פרופיל 3",IF($J1350="4-5 סימני ניקוד","פרופיל 2",IF(AND($O1350="משפטים וקטעים קצרים",OR($M1350="מבין",$M1350="מבין לרוב")),"פרופיל 1","פרופיל 2")))))))</f>
        <v/>
      </c>
      <c r="R1350" s="32">
        <f>IF($C1350="","",IF(OR($Q1350="",LEFT($Q1350,1)="—"),"קבוצה רביעית",IF($Q1350="פרופיל 5","קבוצת תשתיות",IF(OR($Q1350="פרופיל 4",$Q1350="פרופיל 3"),"קבוצת רכישה","קבוצת ביסוס"))))</f>
        <v/>
      </c>
      <c r="S1350" s="32">
        <f>IF($F1350="","",IF($F1350="תחילת שנה",1,IF($F1350="מחצית שנה",2,3)))</f>
        <v/>
      </c>
      <c r="T1350" s="32">
        <f>IF(OR($B1350="",$R1350="",$A1350="",$F1350=""),"",$B1350&amp;"|"&amp;$A1350&amp;"|"&amp;$F1350&amp;"|"&amp;$R1350&amp;"|"&amp;COUNTIFS($B$6:$B1350,$B1350,$A$6:$A1350,$A1350,$F$6:$F1350,$F1350,$R$6:$R1350,$R1350))</f>
        <v/>
      </c>
      <c r="U1350" s="32">
        <f>IF($C1350="","",$C1350&amp;"|"&amp;COUNTIFS($C$6:$C1350,$C1350))</f>
        <v/>
      </c>
      <c r="V1350" s="32">
        <f>IF(OR($C1350="",$A1350="",$S1350=""),"",$C1350&amp;"|"&amp;$A1350&amp;"|"&amp;$S1350)</f>
        <v/>
      </c>
      <c r="W1350" s="32">
        <f>IF(OR($C1350="",$S1350="",$S1350=1),"",IFERROR(INDEX($Q$6:$Q$1505,MATCH($C1350&amp;"|"&amp;$A1350&amp;"|"&amp;($S1350-1),$V$6:$V$1505,0)),""))</f>
        <v/>
      </c>
      <c r="X1350" s="32">
        <f>IF(OR($W1350="",$Q1350="",LEFT($Q1350,1)="—"),"",IF($W1350=$Q1350,"ללא שינוי","מ-"&amp;$W1350&amp;" ל-"&amp;$Q1350))</f>
        <v/>
      </c>
    </row>
    <row r="1351">
      <c r="A1351" s="65" t="n"/>
      <c r="B1351" s="65" t="n"/>
      <c r="C1351" s="66" t="n"/>
      <c r="D1351" s="66" t="n"/>
      <c r="E1351" s="65" t="n"/>
      <c r="F1351" s="65" t="n"/>
      <c r="G1351" s="65" t="n"/>
      <c r="H1351" s="65" t="n"/>
      <c r="I1351" s="65" t="n"/>
      <c r="J1351" s="65" t="n"/>
      <c r="K1351" s="65" t="n"/>
      <c r="L1351" s="65" t="n"/>
      <c r="M1351" s="65" t="n"/>
      <c r="N1351" s="65" t="n"/>
      <c r="O1351" s="65" t="n"/>
      <c r="P1351" s="65" t="n"/>
      <c r="Q1351" s="32">
        <f>IF($C1351="","",IF($J1351="","— חסרים נתונים",IF($J1351="טרם מפענח","פרופיל 5",IF($J1351="קמץ/פתח/חטף-פתח ושוואים","פרופיל 4",IF($J1351="2-3 סימני ניקוד","פרופיל 3",IF($J1351="4-5 סימני ניקוד","פרופיל 2",IF(AND($O1351="משפטים וקטעים קצרים",OR($M1351="מבין",$M1351="מבין לרוב")),"פרופיל 1","פרופיל 2")))))))</f>
        <v/>
      </c>
      <c r="R1351" s="32">
        <f>IF($C1351="","",IF(OR($Q1351="",LEFT($Q1351,1)="—"),"קבוצה רביעית",IF($Q1351="פרופיל 5","קבוצת תשתיות",IF(OR($Q1351="פרופיל 4",$Q1351="פרופיל 3"),"קבוצת רכישה","קבוצת ביסוס"))))</f>
        <v/>
      </c>
      <c r="S1351" s="32">
        <f>IF($F1351="","",IF($F1351="תחילת שנה",1,IF($F1351="מחצית שנה",2,3)))</f>
        <v/>
      </c>
      <c r="T1351" s="32">
        <f>IF(OR($B1351="",$R1351="",$A1351="",$F1351=""),"",$B1351&amp;"|"&amp;$A1351&amp;"|"&amp;$F1351&amp;"|"&amp;$R1351&amp;"|"&amp;COUNTIFS($B$6:$B1351,$B1351,$A$6:$A1351,$A1351,$F$6:$F1351,$F1351,$R$6:$R1351,$R1351))</f>
        <v/>
      </c>
      <c r="U1351" s="32">
        <f>IF($C1351="","",$C1351&amp;"|"&amp;COUNTIFS($C$6:$C1351,$C1351))</f>
        <v/>
      </c>
      <c r="V1351" s="32">
        <f>IF(OR($C1351="",$A1351="",$S1351=""),"",$C1351&amp;"|"&amp;$A1351&amp;"|"&amp;$S1351)</f>
        <v/>
      </c>
      <c r="W1351" s="32">
        <f>IF(OR($C1351="",$S1351="",$S1351=1),"",IFERROR(INDEX($Q$6:$Q$1505,MATCH($C1351&amp;"|"&amp;$A1351&amp;"|"&amp;($S1351-1),$V$6:$V$1505,0)),""))</f>
        <v/>
      </c>
      <c r="X1351" s="32">
        <f>IF(OR($W1351="",$Q1351="",LEFT($Q1351,1)="—"),"",IF($W1351=$Q1351,"ללא שינוי","מ-"&amp;$W1351&amp;" ל-"&amp;$Q1351))</f>
        <v/>
      </c>
    </row>
    <row r="1352">
      <c r="A1352" s="65" t="n"/>
      <c r="B1352" s="65" t="n"/>
      <c r="C1352" s="66" t="n"/>
      <c r="D1352" s="66" t="n"/>
      <c r="E1352" s="65" t="n"/>
      <c r="F1352" s="65" t="n"/>
      <c r="G1352" s="65" t="n"/>
      <c r="H1352" s="65" t="n"/>
      <c r="I1352" s="65" t="n"/>
      <c r="J1352" s="65" t="n"/>
      <c r="K1352" s="65" t="n"/>
      <c r="L1352" s="65" t="n"/>
      <c r="M1352" s="65" t="n"/>
      <c r="N1352" s="65" t="n"/>
      <c r="O1352" s="65" t="n"/>
      <c r="P1352" s="65" t="n"/>
      <c r="Q1352" s="32">
        <f>IF($C1352="","",IF($J1352="","— חסרים נתונים",IF($J1352="טרם מפענח","פרופיל 5",IF($J1352="קמץ/פתח/חטף-פתח ושוואים","פרופיל 4",IF($J1352="2-3 סימני ניקוד","פרופיל 3",IF($J1352="4-5 סימני ניקוד","פרופיל 2",IF(AND($O1352="משפטים וקטעים קצרים",OR($M1352="מבין",$M1352="מבין לרוב")),"פרופיל 1","פרופיל 2")))))))</f>
        <v/>
      </c>
      <c r="R1352" s="32">
        <f>IF($C1352="","",IF(OR($Q1352="",LEFT($Q1352,1)="—"),"קבוצה רביעית",IF($Q1352="פרופיל 5","קבוצת תשתיות",IF(OR($Q1352="פרופיל 4",$Q1352="פרופיל 3"),"קבוצת רכישה","קבוצת ביסוס"))))</f>
        <v/>
      </c>
      <c r="S1352" s="32">
        <f>IF($F1352="","",IF($F1352="תחילת שנה",1,IF($F1352="מחצית שנה",2,3)))</f>
        <v/>
      </c>
      <c r="T1352" s="32">
        <f>IF(OR($B1352="",$R1352="",$A1352="",$F1352=""),"",$B1352&amp;"|"&amp;$A1352&amp;"|"&amp;$F1352&amp;"|"&amp;$R1352&amp;"|"&amp;COUNTIFS($B$6:$B1352,$B1352,$A$6:$A1352,$A1352,$F$6:$F1352,$F1352,$R$6:$R1352,$R1352))</f>
        <v/>
      </c>
      <c r="U1352" s="32">
        <f>IF($C1352="","",$C1352&amp;"|"&amp;COUNTIFS($C$6:$C1352,$C1352))</f>
        <v/>
      </c>
      <c r="V1352" s="32">
        <f>IF(OR($C1352="",$A1352="",$S1352=""),"",$C1352&amp;"|"&amp;$A1352&amp;"|"&amp;$S1352)</f>
        <v/>
      </c>
      <c r="W1352" s="32">
        <f>IF(OR($C1352="",$S1352="",$S1352=1),"",IFERROR(INDEX($Q$6:$Q$1505,MATCH($C1352&amp;"|"&amp;$A1352&amp;"|"&amp;($S1352-1),$V$6:$V$1505,0)),""))</f>
        <v/>
      </c>
      <c r="X1352" s="32">
        <f>IF(OR($W1352="",$Q1352="",LEFT($Q1352,1)="—"),"",IF($W1352=$Q1352,"ללא שינוי","מ-"&amp;$W1352&amp;" ל-"&amp;$Q1352))</f>
        <v/>
      </c>
    </row>
    <row r="1353">
      <c r="A1353" s="65" t="n"/>
      <c r="B1353" s="65" t="n"/>
      <c r="C1353" s="66" t="n"/>
      <c r="D1353" s="66" t="n"/>
      <c r="E1353" s="65" t="n"/>
      <c r="F1353" s="65" t="n"/>
      <c r="G1353" s="65" t="n"/>
      <c r="H1353" s="65" t="n"/>
      <c r="I1353" s="65" t="n"/>
      <c r="J1353" s="65" t="n"/>
      <c r="K1353" s="65" t="n"/>
      <c r="L1353" s="65" t="n"/>
      <c r="M1353" s="65" t="n"/>
      <c r="N1353" s="65" t="n"/>
      <c r="O1353" s="65" t="n"/>
      <c r="P1353" s="65" t="n"/>
      <c r="Q1353" s="32">
        <f>IF($C1353="","",IF($J1353="","— חסרים נתונים",IF($J1353="טרם מפענח","פרופיל 5",IF($J1353="קמץ/פתח/חטף-פתח ושוואים","פרופיל 4",IF($J1353="2-3 סימני ניקוד","פרופיל 3",IF($J1353="4-5 סימני ניקוד","פרופיל 2",IF(AND($O1353="משפטים וקטעים קצרים",OR($M1353="מבין",$M1353="מבין לרוב")),"פרופיל 1","פרופיל 2")))))))</f>
        <v/>
      </c>
      <c r="R1353" s="32">
        <f>IF($C1353="","",IF(OR($Q1353="",LEFT($Q1353,1)="—"),"קבוצה רביעית",IF($Q1353="פרופיל 5","קבוצת תשתיות",IF(OR($Q1353="פרופיל 4",$Q1353="פרופיל 3"),"קבוצת רכישה","קבוצת ביסוס"))))</f>
        <v/>
      </c>
      <c r="S1353" s="32">
        <f>IF($F1353="","",IF($F1353="תחילת שנה",1,IF($F1353="מחצית שנה",2,3)))</f>
        <v/>
      </c>
      <c r="T1353" s="32">
        <f>IF(OR($B1353="",$R1353="",$A1353="",$F1353=""),"",$B1353&amp;"|"&amp;$A1353&amp;"|"&amp;$F1353&amp;"|"&amp;$R1353&amp;"|"&amp;COUNTIFS($B$6:$B1353,$B1353,$A$6:$A1353,$A1353,$F$6:$F1353,$F1353,$R$6:$R1353,$R1353))</f>
        <v/>
      </c>
      <c r="U1353" s="32">
        <f>IF($C1353="","",$C1353&amp;"|"&amp;COUNTIFS($C$6:$C1353,$C1353))</f>
        <v/>
      </c>
      <c r="V1353" s="32">
        <f>IF(OR($C1353="",$A1353="",$S1353=""),"",$C1353&amp;"|"&amp;$A1353&amp;"|"&amp;$S1353)</f>
        <v/>
      </c>
      <c r="W1353" s="32">
        <f>IF(OR($C1353="",$S1353="",$S1353=1),"",IFERROR(INDEX($Q$6:$Q$1505,MATCH($C1353&amp;"|"&amp;$A1353&amp;"|"&amp;($S1353-1),$V$6:$V$1505,0)),""))</f>
        <v/>
      </c>
      <c r="X1353" s="32">
        <f>IF(OR($W1353="",$Q1353="",LEFT($Q1353,1)="—"),"",IF($W1353=$Q1353,"ללא שינוי","מ-"&amp;$W1353&amp;" ל-"&amp;$Q1353))</f>
        <v/>
      </c>
    </row>
    <row r="1354">
      <c r="A1354" s="65" t="n"/>
      <c r="B1354" s="65" t="n"/>
      <c r="C1354" s="66" t="n"/>
      <c r="D1354" s="66" t="n"/>
      <c r="E1354" s="65" t="n"/>
      <c r="F1354" s="65" t="n"/>
      <c r="G1354" s="65" t="n"/>
      <c r="H1354" s="65" t="n"/>
      <c r="I1354" s="65" t="n"/>
      <c r="J1354" s="65" t="n"/>
      <c r="K1354" s="65" t="n"/>
      <c r="L1354" s="65" t="n"/>
      <c r="M1354" s="65" t="n"/>
      <c r="N1354" s="65" t="n"/>
      <c r="O1354" s="65" t="n"/>
      <c r="P1354" s="65" t="n"/>
      <c r="Q1354" s="32">
        <f>IF($C1354="","",IF($J1354="","— חסרים נתונים",IF($J1354="טרם מפענח","פרופיל 5",IF($J1354="קמץ/פתח/חטף-פתח ושוואים","פרופיל 4",IF($J1354="2-3 סימני ניקוד","פרופיל 3",IF($J1354="4-5 סימני ניקוד","פרופיל 2",IF(AND($O1354="משפטים וקטעים קצרים",OR($M1354="מבין",$M1354="מבין לרוב")),"פרופיל 1","פרופיל 2")))))))</f>
        <v/>
      </c>
      <c r="R1354" s="32">
        <f>IF($C1354="","",IF(OR($Q1354="",LEFT($Q1354,1)="—"),"קבוצה רביעית",IF($Q1354="פרופיל 5","קבוצת תשתיות",IF(OR($Q1354="פרופיל 4",$Q1354="פרופיל 3"),"קבוצת רכישה","קבוצת ביסוס"))))</f>
        <v/>
      </c>
      <c r="S1354" s="32">
        <f>IF($F1354="","",IF($F1354="תחילת שנה",1,IF($F1354="מחצית שנה",2,3)))</f>
        <v/>
      </c>
      <c r="T1354" s="32">
        <f>IF(OR($B1354="",$R1354="",$A1354="",$F1354=""),"",$B1354&amp;"|"&amp;$A1354&amp;"|"&amp;$F1354&amp;"|"&amp;$R1354&amp;"|"&amp;COUNTIFS($B$6:$B1354,$B1354,$A$6:$A1354,$A1354,$F$6:$F1354,$F1354,$R$6:$R1354,$R1354))</f>
        <v/>
      </c>
      <c r="U1354" s="32">
        <f>IF($C1354="","",$C1354&amp;"|"&amp;COUNTIFS($C$6:$C1354,$C1354))</f>
        <v/>
      </c>
      <c r="V1354" s="32">
        <f>IF(OR($C1354="",$A1354="",$S1354=""),"",$C1354&amp;"|"&amp;$A1354&amp;"|"&amp;$S1354)</f>
        <v/>
      </c>
      <c r="W1354" s="32">
        <f>IF(OR($C1354="",$S1354="",$S1354=1),"",IFERROR(INDEX($Q$6:$Q$1505,MATCH($C1354&amp;"|"&amp;$A1354&amp;"|"&amp;($S1354-1),$V$6:$V$1505,0)),""))</f>
        <v/>
      </c>
      <c r="X1354" s="32">
        <f>IF(OR($W1354="",$Q1354="",LEFT($Q1354,1)="—"),"",IF($W1354=$Q1354,"ללא שינוי","מ-"&amp;$W1354&amp;" ל-"&amp;$Q1354))</f>
        <v/>
      </c>
    </row>
    <row r="1355">
      <c r="A1355" s="65" t="n"/>
      <c r="B1355" s="65" t="n"/>
      <c r="C1355" s="66" t="n"/>
      <c r="D1355" s="66" t="n"/>
      <c r="E1355" s="65" t="n"/>
      <c r="F1355" s="65" t="n"/>
      <c r="G1355" s="65" t="n"/>
      <c r="H1355" s="65" t="n"/>
      <c r="I1355" s="65" t="n"/>
      <c r="J1355" s="65" t="n"/>
      <c r="K1355" s="65" t="n"/>
      <c r="L1355" s="65" t="n"/>
      <c r="M1355" s="65" t="n"/>
      <c r="N1355" s="65" t="n"/>
      <c r="O1355" s="65" t="n"/>
      <c r="P1355" s="65" t="n"/>
      <c r="Q1355" s="32">
        <f>IF($C1355="","",IF($J1355="","— חסרים נתונים",IF($J1355="טרם מפענח","פרופיל 5",IF($J1355="קמץ/פתח/חטף-פתח ושוואים","פרופיל 4",IF($J1355="2-3 סימני ניקוד","פרופיל 3",IF($J1355="4-5 סימני ניקוד","פרופיל 2",IF(AND($O1355="משפטים וקטעים קצרים",OR($M1355="מבין",$M1355="מבין לרוב")),"פרופיל 1","פרופיל 2")))))))</f>
        <v/>
      </c>
      <c r="R1355" s="32">
        <f>IF($C1355="","",IF(OR($Q1355="",LEFT($Q1355,1)="—"),"קבוצה רביעית",IF($Q1355="פרופיל 5","קבוצת תשתיות",IF(OR($Q1355="פרופיל 4",$Q1355="פרופיל 3"),"קבוצת רכישה","קבוצת ביסוס"))))</f>
        <v/>
      </c>
      <c r="S1355" s="32">
        <f>IF($F1355="","",IF($F1355="תחילת שנה",1,IF($F1355="מחצית שנה",2,3)))</f>
        <v/>
      </c>
      <c r="T1355" s="32">
        <f>IF(OR($B1355="",$R1355="",$A1355="",$F1355=""),"",$B1355&amp;"|"&amp;$A1355&amp;"|"&amp;$F1355&amp;"|"&amp;$R1355&amp;"|"&amp;COUNTIFS($B$6:$B1355,$B1355,$A$6:$A1355,$A1355,$F$6:$F1355,$F1355,$R$6:$R1355,$R1355))</f>
        <v/>
      </c>
      <c r="U1355" s="32">
        <f>IF($C1355="","",$C1355&amp;"|"&amp;COUNTIFS($C$6:$C1355,$C1355))</f>
        <v/>
      </c>
      <c r="V1355" s="32">
        <f>IF(OR($C1355="",$A1355="",$S1355=""),"",$C1355&amp;"|"&amp;$A1355&amp;"|"&amp;$S1355)</f>
        <v/>
      </c>
      <c r="W1355" s="32">
        <f>IF(OR($C1355="",$S1355="",$S1355=1),"",IFERROR(INDEX($Q$6:$Q$1505,MATCH($C1355&amp;"|"&amp;$A1355&amp;"|"&amp;($S1355-1),$V$6:$V$1505,0)),""))</f>
        <v/>
      </c>
      <c r="X1355" s="32">
        <f>IF(OR($W1355="",$Q1355="",LEFT($Q1355,1)="—"),"",IF($W1355=$Q1355,"ללא שינוי","מ-"&amp;$W1355&amp;" ל-"&amp;$Q1355))</f>
        <v/>
      </c>
    </row>
    <row r="1356">
      <c r="A1356" s="65" t="n"/>
      <c r="B1356" s="65" t="n"/>
      <c r="C1356" s="66" t="n"/>
      <c r="D1356" s="66" t="n"/>
      <c r="E1356" s="65" t="n"/>
      <c r="F1356" s="65" t="n"/>
      <c r="G1356" s="65" t="n"/>
      <c r="H1356" s="65" t="n"/>
      <c r="I1356" s="65" t="n"/>
      <c r="J1356" s="65" t="n"/>
      <c r="K1356" s="65" t="n"/>
      <c r="L1356" s="65" t="n"/>
      <c r="M1356" s="65" t="n"/>
      <c r="N1356" s="65" t="n"/>
      <c r="O1356" s="65" t="n"/>
      <c r="P1356" s="65" t="n"/>
      <c r="Q1356" s="32">
        <f>IF($C1356="","",IF($J1356="","— חסרים נתונים",IF($J1356="טרם מפענח","פרופיל 5",IF($J1356="קמץ/פתח/חטף-פתח ושוואים","פרופיל 4",IF($J1356="2-3 סימני ניקוד","פרופיל 3",IF($J1356="4-5 סימני ניקוד","פרופיל 2",IF(AND($O1356="משפטים וקטעים קצרים",OR($M1356="מבין",$M1356="מבין לרוב")),"פרופיל 1","פרופיל 2")))))))</f>
        <v/>
      </c>
      <c r="R1356" s="32">
        <f>IF($C1356="","",IF(OR($Q1356="",LEFT($Q1356,1)="—"),"קבוצה רביעית",IF($Q1356="פרופיל 5","קבוצת תשתיות",IF(OR($Q1356="פרופיל 4",$Q1356="פרופיל 3"),"קבוצת רכישה","קבוצת ביסוס"))))</f>
        <v/>
      </c>
      <c r="S1356" s="32">
        <f>IF($F1356="","",IF($F1356="תחילת שנה",1,IF($F1356="מחצית שנה",2,3)))</f>
        <v/>
      </c>
      <c r="T1356" s="32">
        <f>IF(OR($B1356="",$R1356="",$A1356="",$F1356=""),"",$B1356&amp;"|"&amp;$A1356&amp;"|"&amp;$F1356&amp;"|"&amp;$R1356&amp;"|"&amp;COUNTIFS($B$6:$B1356,$B1356,$A$6:$A1356,$A1356,$F$6:$F1356,$F1356,$R$6:$R1356,$R1356))</f>
        <v/>
      </c>
      <c r="U1356" s="32">
        <f>IF($C1356="","",$C1356&amp;"|"&amp;COUNTIFS($C$6:$C1356,$C1356))</f>
        <v/>
      </c>
      <c r="V1356" s="32">
        <f>IF(OR($C1356="",$A1356="",$S1356=""),"",$C1356&amp;"|"&amp;$A1356&amp;"|"&amp;$S1356)</f>
        <v/>
      </c>
      <c r="W1356" s="32">
        <f>IF(OR($C1356="",$S1356="",$S1356=1),"",IFERROR(INDEX($Q$6:$Q$1505,MATCH($C1356&amp;"|"&amp;$A1356&amp;"|"&amp;($S1356-1),$V$6:$V$1505,0)),""))</f>
        <v/>
      </c>
      <c r="X1356" s="32">
        <f>IF(OR($W1356="",$Q1356="",LEFT($Q1356,1)="—"),"",IF($W1356=$Q1356,"ללא שינוי","מ-"&amp;$W1356&amp;" ל-"&amp;$Q1356))</f>
        <v/>
      </c>
    </row>
    <row r="1357">
      <c r="A1357" s="65" t="n"/>
      <c r="B1357" s="65" t="n"/>
      <c r="C1357" s="66" t="n"/>
      <c r="D1357" s="66" t="n"/>
      <c r="E1357" s="65" t="n"/>
      <c r="F1357" s="65" t="n"/>
      <c r="G1357" s="65" t="n"/>
      <c r="H1357" s="65" t="n"/>
      <c r="I1357" s="65" t="n"/>
      <c r="J1357" s="65" t="n"/>
      <c r="K1357" s="65" t="n"/>
      <c r="L1357" s="65" t="n"/>
      <c r="M1357" s="65" t="n"/>
      <c r="N1357" s="65" t="n"/>
      <c r="O1357" s="65" t="n"/>
      <c r="P1357" s="65" t="n"/>
      <c r="Q1357" s="32">
        <f>IF($C1357="","",IF($J1357="","— חסרים נתונים",IF($J1357="טרם מפענח","פרופיל 5",IF($J1357="קמץ/פתח/חטף-פתח ושוואים","פרופיל 4",IF($J1357="2-3 סימני ניקוד","פרופיל 3",IF($J1357="4-5 סימני ניקוד","פרופיל 2",IF(AND($O1357="משפטים וקטעים קצרים",OR($M1357="מבין",$M1357="מבין לרוב")),"פרופיל 1","פרופיל 2")))))))</f>
        <v/>
      </c>
      <c r="R1357" s="32">
        <f>IF($C1357="","",IF(OR($Q1357="",LEFT($Q1357,1)="—"),"קבוצה רביעית",IF($Q1357="פרופיל 5","קבוצת תשתיות",IF(OR($Q1357="פרופיל 4",$Q1357="פרופיל 3"),"קבוצת רכישה","קבוצת ביסוס"))))</f>
        <v/>
      </c>
      <c r="S1357" s="32">
        <f>IF($F1357="","",IF($F1357="תחילת שנה",1,IF($F1357="מחצית שנה",2,3)))</f>
        <v/>
      </c>
      <c r="T1357" s="32">
        <f>IF(OR($B1357="",$R1357="",$A1357="",$F1357=""),"",$B1357&amp;"|"&amp;$A1357&amp;"|"&amp;$F1357&amp;"|"&amp;$R1357&amp;"|"&amp;COUNTIFS($B$6:$B1357,$B1357,$A$6:$A1357,$A1357,$F$6:$F1357,$F1357,$R$6:$R1357,$R1357))</f>
        <v/>
      </c>
      <c r="U1357" s="32">
        <f>IF($C1357="","",$C1357&amp;"|"&amp;COUNTIFS($C$6:$C1357,$C1357))</f>
        <v/>
      </c>
      <c r="V1357" s="32">
        <f>IF(OR($C1357="",$A1357="",$S1357=""),"",$C1357&amp;"|"&amp;$A1357&amp;"|"&amp;$S1357)</f>
        <v/>
      </c>
      <c r="W1357" s="32">
        <f>IF(OR($C1357="",$S1357="",$S1357=1),"",IFERROR(INDEX($Q$6:$Q$1505,MATCH($C1357&amp;"|"&amp;$A1357&amp;"|"&amp;($S1357-1),$V$6:$V$1505,0)),""))</f>
        <v/>
      </c>
      <c r="X1357" s="32">
        <f>IF(OR($W1357="",$Q1357="",LEFT($Q1357,1)="—"),"",IF($W1357=$Q1357,"ללא שינוי","מ-"&amp;$W1357&amp;" ל-"&amp;$Q1357))</f>
        <v/>
      </c>
    </row>
    <row r="1358">
      <c r="A1358" s="65" t="n"/>
      <c r="B1358" s="65" t="n"/>
      <c r="C1358" s="66" t="n"/>
      <c r="D1358" s="66" t="n"/>
      <c r="E1358" s="65" t="n"/>
      <c r="F1358" s="65" t="n"/>
      <c r="G1358" s="65" t="n"/>
      <c r="H1358" s="65" t="n"/>
      <c r="I1358" s="65" t="n"/>
      <c r="J1358" s="65" t="n"/>
      <c r="K1358" s="65" t="n"/>
      <c r="L1358" s="65" t="n"/>
      <c r="M1358" s="65" t="n"/>
      <c r="N1358" s="65" t="n"/>
      <c r="O1358" s="65" t="n"/>
      <c r="P1358" s="65" t="n"/>
      <c r="Q1358" s="32">
        <f>IF($C1358="","",IF($J1358="","— חסרים נתונים",IF($J1358="טרם מפענח","פרופיל 5",IF($J1358="קמץ/פתח/חטף-פתח ושוואים","פרופיל 4",IF($J1358="2-3 סימני ניקוד","פרופיל 3",IF($J1358="4-5 סימני ניקוד","פרופיל 2",IF(AND($O1358="משפטים וקטעים קצרים",OR($M1358="מבין",$M1358="מבין לרוב")),"פרופיל 1","פרופיל 2")))))))</f>
        <v/>
      </c>
      <c r="R1358" s="32">
        <f>IF($C1358="","",IF(OR($Q1358="",LEFT($Q1358,1)="—"),"קבוצה רביעית",IF($Q1358="פרופיל 5","קבוצת תשתיות",IF(OR($Q1358="פרופיל 4",$Q1358="פרופיל 3"),"קבוצת רכישה","קבוצת ביסוס"))))</f>
        <v/>
      </c>
      <c r="S1358" s="32">
        <f>IF($F1358="","",IF($F1358="תחילת שנה",1,IF($F1358="מחצית שנה",2,3)))</f>
        <v/>
      </c>
      <c r="T1358" s="32">
        <f>IF(OR($B1358="",$R1358="",$A1358="",$F1358=""),"",$B1358&amp;"|"&amp;$A1358&amp;"|"&amp;$F1358&amp;"|"&amp;$R1358&amp;"|"&amp;COUNTIFS($B$6:$B1358,$B1358,$A$6:$A1358,$A1358,$F$6:$F1358,$F1358,$R$6:$R1358,$R1358))</f>
        <v/>
      </c>
      <c r="U1358" s="32">
        <f>IF($C1358="","",$C1358&amp;"|"&amp;COUNTIFS($C$6:$C1358,$C1358))</f>
        <v/>
      </c>
      <c r="V1358" s="32">
        <f>IF(OR($C1358="",$A1358="",$S1358=""),"",$C1358&amp;"|"&amp;$A1358&amp;"|"&amp;$S1358)</f>
        <v/>
      </c>
      <c r="W1358" s="32">
        <f>IF(OR($C1358="",$S1358="",$S1358=1),"",IFERROR(INDEX($Q$6:$Q$1505,MATCH($C1358&amp;"|"&amp;$A1358&amp;"|"&amp;($S1358-1),$V$6:$V$1505,0)),""))</f>
        <v/>
      </c>
      <c r="X1358" s="32">
        <f>IF(OR($W1358="",$Q1358="",LEFT($Q1358,1)="—"),"",IF($W1358=$Q1358,"ללא שינוי","מ-"&amp;$W1358&amp;" ל-"&amp;$Q1358))</f>
        <v/>
      </c>
    </row>
    <row r="1359">
      <c r="A1359" s="65" t="n"/>
      <c r="B1359" s="65" t="n"/>
      <c r="C1359" s="66" t="n"/>
      <c r="D1359" s="66" t="n"/>
      <c r="E1359" s="65" t="n"/>
      <c r="F1359" s="65" t="n"/>
      <c r="G1359" s="65" t="n"/>
      <c r="H1359" s="65" t="n"/>
      <c r="I1359" s="65" t="n"/>
      <c r="J1359" s="65" t="n"/>
      <c r="K1359" s="65" t="n"/>
      <c r="L1359" s="65" t="n"/>
      <c r="M1359" s="65" t="n"/>
      <c r="N1359" s="65" t="n"/>
      <c r="O1359" s="65" t="n"/>
      <c r="P1359" s="65" t="n"/>
      <c r="Q1359" s="32">
        <f>IF($C1359="","",IF($J1359="","— חסרים נתונים",IF($J1359="טרם מפענח","פרופיל 5",IF($J1359="קמץ/פתח/חטף-פתח ושוואים","פרופיל 4",IF($J1359="2-3 סימני ניקוד","פרופיל 3",IF($J1359="4-5 סימני ניקוד","פרופיל 2",IF(AND($O1359="משפטים וקטעים קצרים",OR($M1359="מבין",$M1359="מבין לרוב")),"פרופיל 1","פרופיל 2")))))))</f>
        <v/>
      </c>
      <c r="R1359" s="32">
        <f>IF($C1359="","",IF(OR($Q1359="",LEFT($Q1359,1)="—"),"קבוצה רביעית",IF($Q1359="פרופיל 5","קבוצת תשתיות",IF(OR($Q1359="פרופיל 4",$Q1359="פרופיל 3"),"קבוצת רכישה","קבוצת ביסוס"))))</f>
        <v/>
      </c>
      <c r="S1359" s="32">
        <f>IF($F1359="","",IF($F1359="תחילת שנה",1,IF($F1359="מחצית שנה",2,3)))</f>
        <v/>
      </c>
      <c r="T1359" s="32">
        <f>IF(OR($B1359="",$R1359="",$A1359="",$F1359=""),"",$B1359&amp;"|"&amp;$A1359&amp;"|"&amp;$F1359&amp;"|"&amp;$R1359&amp;"|"&amp;COUNTIFS($B$6:$B1359,$B1359,$A$6:$A1359,$A1359,$F$6:$F1359,$F1359,$R$6:$R1359,$R1359))</f>
        <v/>
      </c>
      <c r="U1359" s="32">
        <f>IF($C1359="","",$C1359&amp;"|"&amp;COUNTIFS($C$6:$C1359,$C1359))</f>
        <v/>
      </c>
      <c r="V1359" s="32">
        <f>IF(OR($C1359="",$A1359="",$S1359=""),"",$C1359&amp;"|"&amp;$A1359&amp;"|"&amp;$S1359)</f>
        <v/>
      </c>
      <c r="W1359" s="32">
        <f>IF(OR($C1359="",$S1359="",$S1359=1),"",IFERROR(INDEX($Q$6:$Q$1505,MATCH($C1359&amp;"|"&amp;$A1359&amp;"|"&amp;($S1359-1),$V$6:$V$1505,0)),""))</f>
        <v/>
      </c>
      <c r="X1359" s="32">
        <f>IF(OR($W1359="",$Q1359="",LEFT($Q1359,1)="—"),"",IF($W1359=$Q1359,"ללא שינוי","מ-"&amp;$W1359&amp;" ל-"&amp;$Q1359))</f>
        <v/>
      </c>
    </row>
    <row r="1360">
      <c r="A1360" s="65" t="n"/>
      <c r="B1360" s="65" t="n"/>
      <c r="C1360" s="66" t="n"/>
      <c r="D1360" s="66" t="n"/>
      <c r="E1360" s="65" t="n"/>
      <c r="F1360" s="65" t="n"/>
      <c r="G1360" s="65" t="n"/>
      <c r="H1360" s="65" t="n"/>
      <c r="I1360" s="65" t="n"/>
      <c r="J1360" s="65" t="n"/>
      <c r="K1360" s="65" t="n"/>
      <c r="L1360" s="65" t="n"/>
      <c r="M1360" s="65" t="n"/>
      <c r="N1360" s="65" t="n"/>
      <c r="O1360" s="65" t="n"/>
      <c r="P1360" s="65" t="n"/>
      <c r="Q1360" s="32">
        <f>IF($C1360="","",IF($J1360="","— חסרים נתונים",IF($J1360="טרם מפענח","פרופיל 5",IF($J1360="קמץ/פתח/חטף-פתח ושוואים","פרופיל 4",IF($J1360="2-3 סימני ניקוד","פרופיל 3",IF($J1360="4-5 סימני ניקוד","פרופיל 2",IF(AND($O1360="משפטים וקטעים קצרים",OR($M1360="מבין",$M1360="מבין לרוב")),"פרופיל 1","פרופיל 2")))))))</f>
        <v/>
      </c>
      <c r="R1360" s="32">
        <f>IF($C1360="","",IF(OR($Q1360="",LEFT($Q1360,1)="—"),"קבוצה רביעית",IF($Q1360="פרופיל 5","קבוצת תשתיות",IF(OR($Q1360="פרופיל 4",$Q1360="פרופיל 3"),"קבוצת רכישה","קבוצת ביסוס"))))</f>
        <v/>
      </c>
      <c r="S1360" s="32">
        <f>IF($F1360="","",IF($F1360="תחילת שנה",1,IF($F1360="מחצית שנה",2,3)))</f>
        <v/>
      </c>
      <c r="T1360" s="32">
        <f>IF(OR($B1360="",$R1360="",$A1360="",$F1360=""),"",$B1360&amp;"|"&amp;$A1360&amp;"|"&amp;$F1360&amp;"|"&amp;$R1360&amp;"|"&amp;COUNTIFS($B$6:$B1360,$B1360,$A$6:$A1360,$A1360,$F$6:$F1360,$F1360,$R$6:$R1360,$R1360))</f>
        <v/>
      </c>
      <c r="U1360" s="32">
        <f>IF($C1360="","",$C1360&amp;"|"&amp;COUNTIFS($C$6:$C1360,$C1360))</f>
        <v/>
      </c>
      <c r="V1360" s="32">
        <f>IF(OR($C1360="",$A1360="",$S1360=""),"",$C1360&amp;"|"&amp;$A1360&amp;"|"&amp;$S1360)</f>
        <v/>
      </c>
      <c r="W1360" s="32">
        <f>IF(OR($C1360="",$S1360="",$S1360=1),"",IFERROR(INDEX($Q$6:$Q$1505,MATCH($C1360&amp;"|"&amp;$A1360&amp;"|"&amp;($S1360-1),$V$6:$V$1505,0)),""))</f>
        <v/>
      </c>
      <c r="X1360" s="32">
        <f>IF(OR($W1360="",$Q1360="",LEFT($Q1360,1)="—"),"",IF($W1360=$Q1360,"ללא שינוי","מ-"&amp;$W1360&amp;" ל-"&amp;$Q1360))</f>
        <v/>
      </c>
    </row>
    <row r="1361">
      <c r="A1361" s="65" t="n"/>
      <c r="B1361" s="65" t="n"/>
      <c r="C1361" s="66" t="n"/>
      <c r="D1361" s="66" t="n"/>
      <c r="E1361" s="65" t="n"/>
      <c r="F1361" s="65" t="n"/>
      <c r="G1361" s="65" t="n"/>
      <c r="H1361" s="65" t="n"/>
      <c r="I1361" s="65" t="n"/>
      <c r="J1361" s="65" t="n"/>
      <c r="K1361" s="65" t="n"/>
      <c r="L1361" s="65" t="n"/>
      <c r="M1361" s="65" t="n"/>
      <c r="N1361" s="65" t="n"/>
      <c r="O1361" s="65" t="n"/>
      <c r="P1361" s="65" t="n"/>
      <c r="Q1361" s="32">
        <f>IF($C1361="","",IF($J1361="","— חסרים נתונים",IF($J1361="טרם מפענח","פרופיל 5",IF($J1361="קמץ/פתח/חטף-פתח ושוואים","פרופיל 4",IF($J1361="2-3 סימני ניקוד","פרופיל 3",IF($J1361="4-5 סימני ניקוד","פרופיל 2",IF(AND($O1361="משפטים וקטעים קצרים",OR($M1361="מבין",$M1361="מבין לרוב")),"פרופיל 1","פרופיל 2")))))))</f>
        <v/>
      </c>
      <c r="R1361" s="32">
        <f>IF($C1361="","",IF(OR($Q1361="",LEFT($Q1361,1)="—"),"קבוצה רביעית",IF($Q1361="פרופיל 5","קבוצת תשתיות",IF(OR($Q1361="פרופיל 4",$Q1361="פרופיל 3"),"קבוצת רכישה","קבוצת ביסוס"))))</f>
        <v/>
      </c>
      <c r="S1361" s="32">
        <f>IF($F1361="","",IF($F1361="תחילת שנה",1,IF($F1361="מחצית שנה",2,3)))</f>
        <v/>
      </c>
      <c r="T1361" s="32">
        <f>IF(OR($B1361="",$R1361="",$A1361="",$F1361=""),"",$B1361&amp;"|"&amp;$A1361&amp;"|"&amp;$F1361&amp;"|"&amp;$R1361&amp;"|"&amp;COUNTIFS($B$6:$B1361,$B1361,$A$6:$A1361,$A1361,$F$6:$F1361,$F1361,$R$6:$R1361,$R1361))</f>
        <v/>
      </c>
      <c r="U1361" s="32">
        <f>IF($C1361="","",$C1361&amp;"|"&amp;COUNTIFS($C$6:$C1361,$C1361))</f>
        <v/>
      </c>
      <c r="V1361" s="32">
        <f>IF(OR($C1361="",$A1361="",$S1361=""),"",$C1361&amp;"|"&amp;$A1361&amp;"|"&amp;$S1361)</f>
        <v/>
      </c>
      <c r="W1361" s="32">
        <f>IF(OR($C1361="",$S1361="",$S1361=1),"",IFERROR(INDEX($Q$6:$Q$1505,MATCH($C1361&amp;"|"&amp;$A1361&amp;"|"&amp;($S1361-1),$V$6:$V$1505,0)),""))</f>
        <v/>
      </c>
      <c r="X1361" s="32">
        <f>IF(OR($W1361="",$Q1361="",LEFT($Q1361,1)="—"),"",IF($W1361=$Q1361,"ללא שינוי","מ-"&amp;$W1361&amp;" ל-"&amp;$Q1361))</f>
        <v/>
      </c>
    </row>
    <row r="1362">
      <c r="A1362" s="65" t="n"/>
      <c r="B1362" s="65" t="n"/>
      <c r="C1362" s="66" t="n"/>
      <c r="D1362" s="66" t="n"/>
      <c r="E1362" s="65" t="n"/>
      <c r="F1362" s="65" t="n"/>
      <c r="G1362" s="65" t="n"/>
      <c r="H1362" s="65" t="n"/>
      <c r="I1362" s="65" t="n"/>
      <c r="J1362" s="65" t="n"/>
      <c r="K1362" s="65" t="n"/>
      <c r="L1362" s="65" t="n"/>
      <c r="M1362" s="65" t="n"/>
      <c r="N1362" s="65" t="n"/>
      <c r="O1362" s="65" t="n"/>
      <c r="P1362" s="65" t="n"/>
      <c r="Q1362" s="32">
        <f>IF($C1362="","",IF($J1362="","— חסרים נתונים",IF($J1362="טרם מפענח","פרופיל 5",IF($J1362="קמץ/פתח/חטף-פתח ושוואים","פרופיל 4",IF($J1362="2-3 סימני ניקוד","פרופיל 3",IF($J1362="4-5 סימני ניקוד","פרופיל 2",IF(AND($O1362="משפטים וקטעים קצרים",OR($M1362="מבין",$M1362="מבין לרוב")),"פרופיל 1","פרופיל 2")))))))</f>
        <v/>
      </c>
      <c r="R1362" s="32">
        <f>IF($C1362="","",IF(OR($Q1362="",LEFT($Q1362,1)="—"),"קבוצה רביעית",IF($Q1362="פרופיל 5","קבוצת תשתיות",IF(OR($Q1362="פרופיל 4",$Q1362="פרופיל 3"),"קבוצת רכישה","קבוצת ביסוס"))))</f>
        <v/>
      </c>
      <c r="S1362" s="32">
        <f>IF($F1362="","",IF($F1362="תחילת שנה",1,IF($F1362="מחצית שנה",2,3)))</f>
        <v/>
      </c>
      <c r="T1362" s="32">
        <f>IF(OR($B1362="",$R1362="",$A1362="",$F1362=""),"",$B1362&amp;"|"&amp;$A1362&amp;"|"&amp;$F1362&amp;"|"&amp;$R1362&amp;"|"&amp;COUNTIFS($B$6:$B1362,$B1362,$A$6:$A1362,$A1362,$F$6:$F1362,$F1362,$R$6:$R1362,$R1362))</f>
        <v/>
      </c>
      <c r="U1362" s="32">
        <f>IF($C1362="","",$C1362&amp;"|"&amp;COUNTIFS($C$6:$C1362,$C1362))</f>
        <v/>
      </c>
      <c r="V1362" s="32">
        <f>IF(OR($C1362="",$A1362="",$S1362=""),"",$C1362&amp;"|"&amp;$A1362&amp;"|"&amp;$S1362)</f>
        <v/>
      </c>
      <c r="W1362" s="32">
        <f>IF(OR($C1362="",$S1362="",$S1362=1),"",IFERROR(INDEX($Q$6:$Q$1505,MATCH($C1362&amp;"|"&amp;$A1362&amp;"|"&amp;($S1362-1),$V$6:$V$1505,0)),""))</f>
        <v/>
      </c>
      <c r="X1362" s="32">
        <f>IF(OR($W1362="",$Q1362="",LEFT($Q1362,1)="—"),"",IF($W1362=$Q1362,"ללא שינוי","מ-"&amp;$W1362&amp;" ל-"&amp;$Q1362))</f>
        <v/>
      </c>
    </row>
    <row r="1363">
      <c r="A1363" s="65" t="n"/>
      <c r="B1363" s="65" t="n"/>
      <c r="C1363" s="66" t="n"/>
      <c r="D1363" s="66" t="n"/>
      <c r="E1363" s="65" t="n"/>
      <c r="F1363" s="65" t="n"/>
      <c r="G1363" s="65" t="n"/>
      <c r="H1363" s="65" t="n"/>
      <c r="I1363" s="65" t="n"/>
      <c r="J1363" s="65" t="n"/>
      <c r="K1363" s="65" t="n"/>
      <c r="L1363" s="65" t="n"/>
      <c r="M1363" s="65" t="n"/>
      <c r="N1363" s="65" t="n"/>
      <c r="O1363" s="65" t="n"/>
      <c r="P1363" s="65" t="n"/>
      <c r="Q1363" s="32">
        <f>IF($C1363="","",IF($J1363="","— חסרים נתונים",IF($J1363="טרם מפענח","פרופיל 5",IF($J1363="קמץ/פתח/חטף-פתח ושוואים","פרופיל 4",IF($J1363="2-3 סימני ניקוד","פרופיל 3",IF($J1363="4-5 סימני ניקוד","פרופיל 2",IF(AND($O1363="משפטים וקטעים קצרים",OR($M1363="מבין",$M1363="מבין לרוב")),"פרופיל 1","פרופיל 2")))))))</f>
        <v/>
      </c>
      <c r="R1363" s="32">
        <f>IF($C1363="","",IF(OR($Q1363="",LEFT($Q1363,1)="—"),"קבוצה רביעית",IF($Q1363="פרופיל 5","קבוצת תשתיות",IF(OR($Q1363="פרופיל 4",$Q1363="פרופיל 3"),"קבוצת רכישה","קבוצת ביסוס"))))</f>
        <v/>
      </c>
      <c r="S1363" s="32">
        <f>IF($F1363="","",IF($F1363="תחילת שנה",1,IF($F1363="מחצית שנה",2,3)))</f>
        <v/>
      </c>
      <c r="T1363" s="32">
        <f>IF(OR($B1363="",$R1363="",$A1363="",$F1363=""),"",$B1363&amp;"|"&amp;$A1363&amp;"|"&amp;$F1363&amp;"|"&amp;$R1363&amp;"|"&amp;COUNTIFS($B$6:$B1363,$B1363,$A$6:$A1363,$A1363,$F$6:$F1363,$F1363,$R$6:$R1363,$R1363))</f>
        <v/>
      </c>
      <c r="U1363" s="32">
        <f>IF($C1363="","",$C1363&amp;"|"&amp;COUNTIFS($C$6:$C1363,$C1363))</f>
        <v/>
      </c>
      <c r="V1363" s="32">
        <f>IF(OR($C1363="",$A1363="",$S1363=""),"",$C1363&amp;"|"&amp;$A1363&amp;"|"&amp;$S1363)</f>
        <v/>
      </c>
      <c r="W1363" s="32">
        <f>IF(OR($C1363="",$S1363="",$S1363=1),"",IFERROR(INDEX($Q$6:$Q$1505,MATCH($C1363&amp;"|"&amp;$A1363&amp;"|"&amp;($S1363-1),$V$6:$V$1505,0)),""))</f>
        <v/>
      </c>
      <c r="X1363" s="32">
        <f>IF(OR($W1363="",$Q1363="",LEFT($Q1363,1)="—"),"",IF($W1363=$Q1363,"ללא שינוי","מ-"&amp;$W1363&amp;" ל-"&amp;$Q1363))</f>
        <v/>
      </c>
    </row>
    <row r="1364">
      <c r="A1364" s="65" t="n"/>
      <c r="B1364" s="65" t="n"/>
      <c r="C1364" s="66" t="n"/>
      <c r="D1364" s="66" t="n"/>
      <c r="E1364" s="65" t="n"/>
      <c r="F1364" s="65" t="n"/>
      <c r="G1364" s="65" t="n"/>
      <c r="H1364" s="65" t="n"/>
      <c r="I1364" s="65" t="n"/>
      <c r="J1364" s="65" t="n"/>
      <c r="K1364" s="65" t="n"/>
      <c r="L1364" s="65" t="n"/>
      <c r="M1364" s="65" t="n"/>
      <c r="N1364" s="65" t="n"/>
      <c r="O1364" s="65" t="n"/>
      <c r="P1364" s="65" t="n"/>
      <c r="Q1364" s="32">
        <f>IF($C1364="","",IF($J1364="","— חסרים נתונים",IF($J1364="טרם מפענח","פרופיל 5",IF($J1364="קמץ/פתח/חטף-פתח ושוואים","פרופיל 4",IF($J1364="2-3 סימני ניקוד","פרופיל 3",IF($J1364="4-5 סימני ניקוד","פרופיל 2",IF(AND($O1364="משפטים וקטעים קצרים",OR($M1364="מבין",$M1364="מבין לרוב")),"פרופיל 1","פרופיל 2")))))))</f>
        <v/>
      </c>
      <c r="R1364" s="32">
        <f>IF($C1364="","",IF(OR($Q1364="",LEFT($Q1364,1)="—"),"קבוצה רביעית",IF($Q1364="פרופיל 5","קבוצת תשתיות",IF(OR($Q1364="פרופיל 4",$Q1364="פרופיל 3"),"קבוצת רכישה","קבוצת ביסוס"))))</f>
        <v/>
      </c>
      <c r="S1364" s="32">
        <f>IF($F1364="","",IF($F1364="תחילת שנה",1,IF($F1364="מחצית שנה",2,3)))</f>
        <v/>
      </c>
      <c r="T1364" s="32">
        <f>IF(OR($B1364="",$R1364="",$A1364="",$F1364=""),"",$B1364&amp;"|"&amp;$A1364&amp;"|"&amp;$F1364&amp;"|"&amp;$R1364&amp;"|"&amp;COUNTIFS($B$6:$B1364,$B1364,$A$6:$A1364,$A1364,$F$6:$F1364,$F1364,$R$6:$R1364,$R1364))</f>
        <v/>
      </c>
      <c r="U1364" s="32">
        <f>IF($C1364="","",$C1364&amp;"|"&amp;COUNTIFS($C$6:$C1364,$C1364))</f>
        <v/>
      </c>
      <c r="V1364" s="32">
        <f>IF(OR($C1364="",$A1364="",$S1364=""),"",$C1364&amp;"|"&amp;$A1364&amp;"|"&amp;$S1364)</f>
        <v/>
      </c>
      <c r="W1364" s="32">
        <f>IF(OR($C1364="",$S1364="",$S1364=1),"",IFERROR(INDEX($Q$6:$Q$1505,MATCH($C1364&amp;"|"&amp;$A1364&amp;"|"&amp;($S1364-1),$V$6:$V$1505,0)),""))</f>
        <v/>
      </c>
      <c r="X1364" s="32">
        <f>IF(OR($W1364="",$Q1364="",LEFT($Q1364,1)="—"),"",IF($W1364=$Q1364,"ללא שינוי","מ-"&amp;$W1364&amp;" ל-"&amp;$Q1364))</f>
        <v/>
      </c>
    </row>
    <row r="1365">
      <c r="A1365" s="65" t="n"/>
      <c r="B1365" s="65" t="n"/>
      <c r="C1365" s="66" t="n"/>
      <c r="D1365" s="66" t="n"/>
      <c r="E1365" s="65" t="n"/>
      <c r="F1365" s="65" t="n"/>
      <c r="G1365" s="65" t="n"/>
      <c r="H1365" s="65" t="n"/>
      <c r="I1365" s="65" t="n"/>
      <c r="J1365" s="65" t="n"/>
      <c r="K1365" s="65" t="n"/>
      <c r="L1365" s="65" t="n"/>
      <c r="M1365" s="65" t="n"/>
      <c r="N1365" s="65" t="n"/>
      <c r="O1365" s="65" t="n"/>
      <c r="P1365" s="65" t="n"/>
      <c r="Q1365" s="32">
        <f>IF($C1365="","",IF($J1365="","— חסרים נתונים",IF($J1365="טרם מפענח","פרופיל 5",IF($J1365="קמץ/פתח/חטף-פתח ושוואים","פרופיל 4",IF($J1365="2-3 סימני ניקוד","פרופיל 3",IF($J1365="4-5 סימני ניקוד","פרופיל 2",IF(AND($O1365="משפטים וקטעים קצרים",OR($M1365="מבין",$M1365="מבין לרוב")),"פרופיל 1","פרופיל 2")))))))</f>
        <v/>
      </c>
      <c r="R1365" s="32">
        <f>IF($C1365="","",IF(OR($Q1365="",LEFT($Q1365,1)="—"),"קבוצה רביעית",IF($Q1365="פרופיל 5","קבוצת תשתיות",IF(OR($Q1365="פרופיל 4",$Q1365="פרופיל 3"),"קבוצת רכישה","קבוצת ביסוס"))))</f>
        <v/>
      </c>
      <c r="S1365" s="32">
        <f>IF($F1365="","",IF($F1365="תחילת שנה",1,IF($F1365="מחצית שנה",2,3)))</f>
        <v/>
      </c>
      <c r="T1365" s="32">
        <f>IF(OR($B1365="",$R1365="",$A1365="",$F1365=""),"",$B1365&amp;"|"&amp;$A1365&amp;"|"&amp;$F1365&amp;"|"&amp;$R1365&amp;"|"&amp;COUNTIFS($B$6:$B1365,$B1365,$A$6:$A1365,$A1365,$F$6:$F1365,$F1365,$R$6:$R1365,$R1365))</f>
        <v/>
      </c>
      <c r="U1365" s="32">
        <f>IF($C1365="","",$C1365&amp;"|"&amp;COUNTIFS($C$6:$C1365,$C1365))</f>
        <v/>
      </c>
      <c r="V1365" s="32">
        <f>IF(OR($C1365="",$A1365="",$S1365=""),"",$C1365&amp;"|"&amp;$A1365&amp;"|"&amp;$S1365)</f>
        <v/>
      </c>
      <c r="W1365" s="32">
        <f>IF(OR($C1365="",$S1365="",$S1365=1),"",IFERROR(INDEX($Q$6:$Q$1505,MATCH($C1365&amp;"|"&amp;$A1365&amp;"|"&amp;($S1365-1),$V$6:$V$1505,0)),""))</f>
        <v/>
      </c>
      <c r="X1365" s="32">
        <f>IF(OR($W1365="",$Q1365="",LEFT($Q1365,1)="—"),"",IF($W1365=$Q1365,"ללא שינוי","מ-"&amp;$W1365&amp;" ל-"&amp;$Q1365))</f>
        <v/>
      </c>
    </row>
    <row r="1366">
      <c r="A1366" s="65" t="n"/>
      <c r="B1366" s="65" t="n"/>
      <c r="C1366" s="66" t="n"/>
      <c r="D1366" s="66" t="n"/>
      <c r="E1366" s="65" t="n"/>
      <c r="F1366" s="65" t="n"/>
      <c r="G1366" s="65" t="n"/>
      <c r="H1366" s="65" t="n"/>
      <c r="I1366" s="65" t="n"/>
      <c r="J1366" s="65" t="n"/>
      <c r="K1366" s="65" t="n"/>
      <c r="L1366" s="65" t="n"/>
      <c r="M1366" s="65" t="n"/>
      <c r="N1366" s="65" t="n"/>
      <c r="O1366" s="65" t="n"/>
      <c r="P1366" s="65" t="n"/>
      <c r="Q1366" s="32">
        <f>IF($C1366="","",IF($J1366="","— חסרים נתונים",IF($J1366="טרם מפענח","פרופיל 5",IF($J1366="קמץ/פתח/חטף-פתח ושוואים","פרופיל 4",IF($J1366="2-3 סימני ניקוד","פרופיל 3",IF($J1366="4-5 סימני ניקוד","פרופיל 2",IF(AND($O1366="משפטים וקטעים קצרים",OR($M1366="מבין",$M1366="מבין לרוב")),"פרופיל 1","פרופיל 2")))))))</f>
        <v/>
      </c>
      <c r="R1366" s="32">
        <f>IF($C1366="","",IF(OR($Q1366="",LEFT($Q1366,1)="—"),"קבוצה רביעית",IF($Q1366="פרופיל 5","קבוצת תשתיות",IF(OR($Q1366="פרופיל 4",$Q1366="פרופיל 3"),"קבוצת רכישה","קבוצת ביסוס"))))</f>
        <v/>
      </c>
      <c r="S1366" s="32">
        <f>IF($F1366="","",IF($F1366="תחילת שנה",1,IF($F1366="מחצית שנה",2,3)))</f>
        <v/>
      </c>
      <c r="T1366" s="32">
        <f>IF(OR($B1366="",$R1366="",$A1366="",$F1366=""),"",$B1366&amp;"|"&amp;$A1366&amp;"|"&amp;$F1366&amp;"|"&amp;$R1366&amp;"|"&amp;COUNTIFS($B$6:$B1366,$B1366,$A$6:$A1366,$A1366,$F$6:$F1366,$F1366,$R$6:$R1366,$R1366))</f>
        <v/>
      </c>
      <c r="U1366" s="32">
        <f>IF($C1366="","",$C1366&amp;"|"&amp;COUNTIFS($C$6:$C1366,$C1366))</f>
        <v/>
      </c>
      <c r="V1366" s="32">
        <f>IF(OR($C1366="",$A1366="",$S1366=""),"",$C1366&amp;"|"&amp;$A1366&amp;"|"&amp;$S1366)</f>
        <v/>
      </c>
      <c r="W1366" s="32">
        <f>IF(OR($C1366="",$S1366="",$S1366=1),"",IFERROR(INDEX($Q$6:$Q$1505,MATCH($C1366&amp;"|"&amp;$A1366&amp;"|"&amp;($S1366-1),$V$6:$V$1505,0)),""))</f>
        <v/>
      </c>
      <c r="X1366" s="32">
        <f>IF(OR($W1366="",$Q1366="",LEFT($Q1366,1)="—"),"",IF($W1366=$Q1366,"ללא שינוי","מ-"&amp;$W1366&amp;" ל-"&amp;$Q1366))</f>
        <v/>
      </c>
    </row>
    <row r="1367">
      <c r="A1367" s="65" t="n"/>
      <c r="B1367" s="65" t="n"/>
      <c r="C1367" s="66" t="n"/>
      <c r="D1367" s="66" t="n"/>
      <c r="E1367" s="65" t="n"/>
      <c r="F1367" s="65" t="n"/>
      <c r="G1367" s="65" t="n"/>
      <c r="H1367" s="65" t="n"/>
      <c r="I1367" s="65" t="n"/>
      <c r="J1367" s="65" t="n"/>
      <c r="K1367" s="65" t="n"/>
      <c r="L1367" s="65" t="n"/>
      <c r="M1367" s="65" t="n"/>
      <c r="N1367" s="65" t="n"/>
      <c r="O1367" s="65" t="n"/>
      <c r="P1367" s="65" t="n"/>
      <c r="Q1367" s="32">
        <f>IF($C1367="","",IF($J1367="","— חסרים נתונים",IF($J1367="טרם מפענח","פרופיל 5",IF($J1367="קמץ/פתח/חטף-פתח ושוואים","פרופיל 4",IF($J1367="2-3 סימני ניקוד","פרופיל 3",IF($J1367="4-5 סימני ניקוד","פרופיל 2",IF(AND($O1367="משפטים וקטעים קצרים",OR($M1367="מבין",$M1367="מבין לרוב")),"פרופיל 1","פרופיל 2")))))))</f>
        <v/>
      </c>
      <c r="R1367" s="32">
        <f>IF($C1367="","",IF(OR($Q1367="",LEFT($Q1367,1)="—"),"קבוצה רביעית",IF($Q1367="פרופיל 5","קבוצת תשתיות",IF(OR($Q1367="פרופיל 4",$Q1367="פרופיל 3"),"קבוצת רכישה","קבוצת ביסוס"))))</f>
        <v/>
      </c>
      <c r="S1367" s="32">
        <f>IF($F1367="","",IF($F1367="תחילת שנה",1,IF($F1367="מחצית שנה",2,3)))</f>
        <v/>
      </c>
      <c r="T1367" s="32">
        <f>IF(OR($B1367="",$R1367="",$A1367="",$F1367=""),"",$B1367&amp;"|"&amp;$A1367&amp;"|"&amp;$F1367&amp;"|"&amp;$R1367&amp;"|"&amp;COUNTIFS($B$6:$B1367,$B1367,$A$6:$A1367,$A1367,$F$6:$F1367,$F1367,$R$6:$R1367,$R1367))</f>
        <v/>
      </c>
      <c r="U1367" s="32">
        <f>IF($C1367="","",$C1367&amp;"|"&amp;COUNTIFS($C$6:$C1367,$C1367))</f>
        <v/>
      </c>
      <c r="V1367" s="32">
        <f>IF(OR($C1367="",$A1367="",$S1367=""),"",$C1367&amp;"|"&amp;$A1367&amp;"|"&amp;$S1367)</f>
        <v/>
      </c>
      <c r="W1367" s="32">
        <f>IF(OR($C1367="",$S1367="",$S1367=1),"",IFERROR(INDEX($Q$6:$Q$1505,MATCH($C1367&amp;"|"&amp;$A1367&amp;"|"&amp;($S1367-1),$V$6:$V$1505,0)),""))</f>
        <v/>
      </c>
      <c r="X1367" s="32">
        <f>IF(OR($W1367="",$Q1367="",LEFT($Q1367,1)="—"),"",IF($W1367=$Q1367,"ללא שינוי","מ-"&amp;$W1367&amp;" ל-"&amp;$Q1367))</f>
        <v/>
      </c>
    </row>
    <row r="1368">
      <c r="A1368" s="65" t="n"/>
      <c r="B1368" s="65" t="n"/>
      <c r="C1368" s="66" t="n"/>
      <c r="D1368" s="66" t="n"/>
      <c r="E1368" s="65" t="n"/>
      <c r="F1368" s="65" t="n"/>
      <c r="G1368" s="65" t="n"/>
      <c r="H1368" s="65" t="n"/>
      <c r="I1368" s="65" t="n"/>
      <c r="J1368" s="65" t="n"/>
      <c r="K1368" s="65" t="n"/>
      <c r="L1368" s="65" t="n"/>
      <c r="M1368" s="65" t="n"/>
      <c r="N1368" s="65" t="n"/>
      <c r="O1368" s="65" t="n"/>
      <c r="P1368" s="65" t="n"/>
      <c r="Q1368" s="32">
        <f>IF($C1368="","",IF($J1368="","— חסרים נתונים",IF($J1368="טרם מפענח","פרופיל 5",IF($J1368="קמץ/פתח/חטף-פתח ושוואים","פרופיל 4",IF($J1368="2-3 סימני ניקוד","פרופיל 3",IF($J1368="4-5 סימני ניקוד","פרופיל 2",IF(AND($O1368="משפטים וקטעים קצרים",OR($M1368="מבין",$M1368="מבין לרוב")),"פרופיל 1","פרופיל 2")))))))</f>
        <v/>
      </c>
      <c r="R1368" s="32">
        <f>IF($C1368="","",IF(OR($Q1368="",LEFT($Q1368,1)="—"),"קבוצה רביעית",IF($Q1368="פרופיל 5","קבוצת תשתיות",IF(OR($Q1368="פרופיל 4",$Q1368="פרופיל 3"),"קבוצת רכישה","קבוצת ביסוס"))))</f>
        <v/>
      </c>
      <c r="S1368" s="32">
        <f>IF($F1368="","",IF($F1368="תחילת שנה",1,IF($F1368="מחצית שנה",2,3)))</f>
        <v/>
      </c>
      <c r="T1368" s="32">
        <f>IF(OR($B1368="",$R1368="",$A1368="",$F1368=""),"",$B1368&amp;"|"&amp;$A1368&amp;"|"&amp;$F1368&amp;"|"&amp;$R1368&amp;"|"&amp;COUNTIFS($B$6:$B1368,$B1368,$A$6:$A1368,$A1368,$F$6:$F1368,$F1368,$R$6:$R1368,$R1368))</f>
        <v/>
      </c>
      <c r="U1368" s="32">
        <f>IF($C1368="","",$C1368&amp;"|"&amp;COUNTIFS($C$6:$C1368,$C1368))</f>
        <v/>
      </c>
      <c r="V1368" s="32">
        <f>IF(OR($C1368="",$A1368="",$S1368=""),"",$C1368&amp;"|"&amp;$A1368&amp;"|"&amp;$S1368)</f>
        <v/>
      </c>
      <c r="W1368" s="32">
        <f>IF(OR($C1368="",$S1368="",$S1368=1),"",IFERROR(INDEX($Q$6:$Q$1505,MATCH($C1368&amp;"|"&amp;$A1368&amp;"|"&amp;($S1368-1),$V$6:$V$1505,0)),""))</f>
        <v/>
      </c>
      <c r="X1368" s="32">
        <f>IF(OR($W1368="",$Q1368="",LEFT($Q1368,1)="—"),"",IF($W1368=$Q1368,"ללא שינוי","מ-"&amp;$W1368&amp;" ל-"&amp;$Q1368))</f>
        <v/>
      </c>
    </row>
    <row r="1369">
      <c r="A1369" s="65" t="n"/>
      <c r="B1369" s="65" t="n"/>
      <c r="C1369" s="66" t="n"/>
      <c r="D1369" s="66" t="n"/>
      <c r="E1369" s="65" t="n"/>
      <c r="F1369" s="65" t="n"/>
      <c r="G1369" s="65" t="n"/>
      <c r="H1369" s="65" t="n"/>
      <c r="I1369" s="65" t="n"/>
      <c r="J1369" s="65" t="n"/>
      <c r="K1369" s="65" t="n"/>
      <c r="L1369" s="65" t="n"/>
      <c r="M1369" s="65" t="n"/>
      <c r="N1369" s="65" t="n"/>
      <c r="O1369" s="65" t="n"/>
      <c r="P1369" s="65" t="n"/>
      <c r="Q1369" s="32">
        <f>IF($C1369="","",IF($J1369="","— חסרים נתונים",IF($J1369="טרם מפענח","פרופיל 5",IF($J1369="קמץ/פתח/חטף-פתח ושוואים","פרופיל 4",IF($J1369="2-3 סימני ניקוד","פרופיל 3",IF($J1369="4-5 סימני ניקוד","פרופיל 2",IF(AND($O1369="משפטים וקטעים קצרים",OR($M1369="מבין",$M1369="מבין לרוב")),"פרופיל 1","פרופיל 2")))))))</f>
        <v/>
      </c>
      <c r="R1369" s="32">
        <f>IF($C1369="","",IF(OR($Q1369="",LEFT($Q1369,1)="—"),"קבוצה רביעית",IF($Q1369="פרופיל 5","קבוצת תשתיות",IF(OR($Q1369="פרופיל 4",$Q1369="פרופיל 3"),"קבוצת רכישה","קבוצת ביסוס"))))</f>
        <v/>
      </c>
      <c r="S1369" s="32">
        <f>IF($F1369="","",IF($F1369="תחילת שנה",1,IF($F1369="מחצית שנה",2,3)))</f>
        <v/>
      </c>
      <c r="T1369" s="32">
        <f>IF(OR($B1369="",$R1369="",$A1369="",$F1369=""),"",$B1369&amp;"|"&amp;$A1369&amp;"|"&amp;$F1369&amp;"|"&amp;$R1369&amp;"|"&amp;COUNTIFS($B$6:$B1369,$B1369,$A$6:$A1369,$A1369,$F$6:$F1369,$F1369,$R$6:$R1369,$R1369))</f>
        <v/>
      </c>
      <c r="U1369" s="32">
        <f>IF($C1369="","",$C1369&amp;"|"&amp;COUNTIFS($C$6:$C1369,$C1369))</f>
        <v/>
      </c>
      <c r="V1369" s="32">
        <f>IF(OR($C1369="",$A1369="",$S1369=""),"",$C1369&amp;"|"&amp;$A1369&amp;"|"&amp;$S1369)</f>
        <v/>
      </c>
      <c r="W1369" s="32">
        <f>IF(OR($C1369="",$S1369="",$S1369=1),"",IFERROR(INDEX($Q$6:$Q$1505,MATCH($C1369&amp;"|"&amp;$A1369&amp;"|"&amp;($S1369-1),$V$6:$V$1505,0)),""))</f>
        <v/>
      </c>
      <c r="X1369" s="32">
        <f>IF(OR($W1369="",$Q1369="",LEFT($Q1369,1)="—"),"",IF($W1369=$Q1369,"ללא שינוי","מ-"&amp;$W1369&amp;" ל-"&amp;$Q1369))</f>
        <v/>
      </c>
    </row>
    <row r="1370">
      <c r="A1370" s="65" t="n"/>
      <c r="B1370" s="65" t="n"/>
      <c r="C1370" s="66" t="n"/>
      <c r="D1370" s="66" t="n"/>
      <c r="E1370" s="65" t="n"/>
      <c r="F1370" s="65" t="n"/>
      <c r="G1370" s="65" t="n"/>
      <c r="H1370" s="65" t="n"/>
      <c r="I1370" s="65" t="n"/>
      <c r="J1370" s="65" t="n"/>
      <c r="K1370" s="65" t="n"/>
      <c r="L1370" s="65" t="n"/>
      <c r="M1370" s="65" t="n"/>
      <c r="N1370" s="65" t="n"/>
      <c r="O1370" s="65" t="n"/>
      <c r="P1370" s="65" t="n"/>
      <c r="Q1370" s="32">
        <f>IF($C1370="","",IF($J1370="","— חסרים נתונים",IF($J1370="טרם מפענח","פרופיל 5",IF($J1370="קמץ/פתח/חטף-פתח ושוואים","פרופיל 4",IF($J1370="2-3 סימני ניקוד","פרופיל 3",IF($J1370="4-5 סימני ניקוד","פרופיל 2",IF(AND($O1370="משפטים וקטעים קצרים",OR($M1370="מבין",$M1370="מבין לרוב")),"פרופיל 1","פרופיל 2")))))))</f>
        <v/>
      </c>
      <c r="R1370" s="32">
        <f>IF($C1370="","",IF(OR($Q1370="",LEFT($Q1370,1)="—"),"קבוצה רביעית",IF($Q1370="פרופיל 5","קבוצת תשתיות",IF(OR($Q1370="פרופיל 4",$Q1370="פרופיל 3"),"קבוצת רכישה","קבוצת ביסוס"))))</f>
        <v/>
      </c>
      <c r="S1370" s="32">
        <f>IF($F1370="","",IF($F1370="תחילת שנה",1,IF($F1370="מחצית שנה",2,3)))</f>
        <v/>
      </c>
      <c r="T1370" s="32">
        <f>IF(OR($B1370="",$R1370="",$A1370="",$F1370=""),"",$B1370&amp;"|"&amp;$A1370&amp;"|"&amp;$F1370&amp;"|"&amp;$R1370&amp;"|"&amp;COUNTIFS($B$6:$B1370,$B1370,$A$6:$A1370,$A1370,$F$6:$F1370,$F1370,$R$6:$R1370,$R1370))</f>
        <v/>
      </c>
      <c r="U1370" s="32">
        <f>IF($C1370="","",$C1370&amp;"|"&amp;COUNTIFS($C$6:$C1370,$C1370))</f>
        <v/>
      </c>
      <c r="V1370" s="32">
        <f>IF(OR($C1370="",$A1370="",$S1370=""),"",$C1370&amp;"|"&amp;$A1370&amp;"|"&amp;$S1370)</f>
        <v/>
      </c>
      <c r="W1370" s="32">
        <f>IF(OR($C1370="",$S1370="",$S1370=1),"",IFERROR(INDEX($Q$6:$Q$1505,MATCH($C1370&amp;"|"&amp;$A1370&amp;"|"&amp;($S1370-1),$V$6:$V$1505,0)),""))</f>
        <v/>
      </c>
      <c r="X1370" s="32">
        <f>IF(OR($W1370="",$Q1370="",LEFT($Q1370,1)="—"),"",IF($W1370=$Q1370,"ללא שינוי","מ-"&amp;$W1370&amp;" ל-"&amp;$Q1370))</f>
        <v/>
      </c>
    </row>
    <row r="1371">
      <c r="A1371" s="65" t="n"/>
      <c r="B1371" s="65" t="n"/>
      <c r="C1371" s="66" t="n"/>
      <c r="D1371" s="66" t="n"/>
      <c r="E1371" s="65" t="n"/>
      <c r="F1371" s="65" t="n"/>
      <c r="G1371" s="65" t="n"/>
      <c r="H1371" s="65" t="n"/>
      <c r="I1371" s="65" t="n"/>
      <c r="J1371" s="65" t="n"/>
      <c r="K1371" s="65" t="n"/>
      <c r="L1371" s="65" t="n"/>
      <c r="M1371" s="65" t="n"/>
      <c r="N1371" s="65" t="n"/>
      <c r="O1371" s="65" t="n"/>
      <c r="P1371" s="65" t="n"/>
      <c r="Q1371" s="32">
        <f>IF($C1371="","",IF($J1371="","— חסרים נתונים",IF($J1371="טרם מפענח","פרופיל 5",IF($J1371="קמץ/פתח/חטף-פתח ושוואים","פרופיל 4",IF($J1371="2-3 סימני ניקוד","פרופיל 3",IF($J1371="4-5 סימני ניקוד","פרופיל 2",IF(AND($O1371="משפטים וקטעים קצרים",OR($M1371="מבין",$M1371="מבין לרוב")),"פרופיל 1","פרופיל 2")))))))</f>
        <v/>
      </c>
      <c r="R1371" s="32">
        <f>IF($C1371="","",IF(OR($Q1371="",LEFT($Q1371,1)="—"),"קבוצה רביעית",IF($Q1371="פרופיל 5","קבוצת תשתיות",IF(OR($Q1371="פרופיל 4",$Q1371="פרופיל 3"),"קבוצת רכישה","קבוצת ביסוס"))))</f>
        <v/>
      </c>
      <c r="S1371" s="32">
        <f>IF($F1371="","",IF($F1371="תחילת שנה",1,IF($F1371="מחצית שנה",2,3)))</f>
        <v/>
      </c>
      <c r="T1371" s="32">
        <f>IF(OR($B1371="",$R1371="",$A1371="",$F1371=""),"",$B1371&amp;"|"&amp;$A1371&amp;"|"&amp;$F1371&amp;"|"&amp;$R1371&amp;"|"&amp;COUNTIFS($B$6:$B1371,$B1371,$A$6:$A1371,$A1371,$F$6:$F1371,$F1371,$R$6:$R1371,$R1371))</f>
        <v/>
      </c>
      <c r="U1371" s="32">
        <f>IF($C1371="","",$C1371&amp;"|"&amp;COUNTIFS($C$6:$C1371,$C1371))</f>
        <v/>
      </c>
      <c r="V1371" s="32">
        <f>IF(OR($C1371="",$A1371="",$S1371=""),"",$C1371&amp;"|"&amp;$A1371&amp;"|"&amp;$S1371)</f>
        <v/>
      </c>
      <c r="W1371" s="32">
        <f>IF(OR($C1371="",$S1371="",$S1371=1),"",IFERROR(INDEX($Q$6:$Q$1505,MATCH($C1371&amp;"|"&amp;$A1371&amp;"|"&amp;($S1371-1),$V$6:$V$1505,0)),""))</f>
        <v/>
      </c>
      <c r="X1371" s="32">
        <f>IF(OR($W1371="",$Q1371="",LEFT($Q1371,1)="—"),"",IF($W1371=$Q1371,"ללא שינוי","מ-"&amp;$W1371&amp;" ל-"&amp;$Q1371))</f>
        <v/>
      </c>
    </row>
    <row r="1372">
      <c r="A1372" s="65" t="n"/>
      <c r="B1372" s="65" t="n"/>
      <c r="C1372" s="66" t="n"/>
      <c r="D1372" s="66" t="n"/>
      <c r="E1372" s="65" t="n"/>
      <c r="F1372" s="65" t="n"/>
      <c r="G1372" s="65" t="n"/>
      <c r="H1372" s="65" t="n"/>
      <c r="I1372" s="65" t="n"/>
      <c r="J1372" s="65" t="n"/>
      <c r="K1372" s="65" t="n"/>
      <c r="L1372" s="65" t="n"/>
      <c r="M1372" s="65" t="n"/>
      <c r="N1372" s="65" t="n"/>
      <c r="O1372" s="65" t="n"/>
      <c r="P1372" s="65" t="n"/>
      <c r="Q1372" s="32">
        <f>IF($C1372="","",IF($J1372="","— חסרים נתונים",IF($J1372="טרם מפענח","פרופיל 5",IF($J1372="קמץ/פתח/חטף-פתח ושוואים","פרופיל 4",IF($J1372="2-3 סימני ניקוד","פרופיל 3",IF($J1372="4-5 סימני ניקוד","פרופיל 2",IF(AND($O1372="משפטים וקטעים קצרים",OR($M1372="מבין",$M1372="מבין לרוב")),"פרופיל 1","פרופיל 2")))))))</f>
        <v/>
      </c>
      <c r="R1372" s="32">
        <f>IF($C1372="","",IF(OR($Q1372="",LEFT($Q1372,1)="—"),"קבוצה רביעית",IF($Q1372="פרופיל 5","קבוצת תשתיות",IF(OR($Q1372="פרופיל 4",$Q1372="פרופיל 3"),"קבוצת רכישה","קבוצת ביסוס"))))</f>
        <v/>
      </c>
      <c r="S1372" s="32">
        <f>IF($F1372="","",IF($F1372="תחילת שנה",1,IF($F1372="מחצית שנה",2,3)))</f>
        <v/>
      </c>
      <c r="T1372" s="32">
        <f>IF(OR($B1372="",$R1372="",$A1372="",$F1372=""),"",$B1372&amp;"|"&amp;$A1372&amp;"|"&amp;$F1372&amp;"|"&amp;$R1372&amp;"|"&amp;COUNTIFS($B$6:$B1372,$B1372,$A$6:$A1372,$A1372,$F$6:$F1372,$F1372,$R$6:$R1372,$R1372))</f>
        <v/>
      </c>
      <c r="U1372" s="32">
        <f>IF($C1372="","",$C1372&amp;"|"&amp;COUNTIFS($C$6:$C1372,$C1372))</f>
        <v/>
      </c>
      <c r="V1372" s="32">
        <f>IF(OR($C1372="",$A1372="",$S1372=""),"",$C1372&amp;"|"&amp;$A1372&amp;"|"&amp;$S1372)</f>
        <v/>
      </c>
      <c r="W1372" s="32">
        <f>IF(OR($C1372="",$S1372="",$S1372=1),"",IFERROR(INDEX($Q$6:$Q$1505,MATCH($C1372&amp;"|"&amp;$A1372&amp;"|"&amp;($S1372-1),$V$6:$V$1505,0)),""))</f>
        <v/>
      </c>
      <c r="X1372" s="32">
        <f>IF(OR($W1372="",$Q1372="",LEFT($Q1372,1)="—"),"",IF($W1372=$Q1372,"ללא שינוי","מ-"&amp;$W1372&amp;" ל-"&amp;$Q1372))</f>
        <v/>
      </c>
    </row>
    <row r="1373">
      <c r="A1373" s="65" t="n"/>
      <c r="B1373" s="65" t="n"/>
      <c r="C1373" s="66" t="n"/>
      <c r="D1373" s="66" t="n"/>
      <c r="E1373" s="65" t="n"/>
      <c r="F1373" s="65" t="n"/>
      <c r="G1373" s="65" t="n"/>
      <c r="H1373" s="65" t="n"/>
      <c r="I1373" s="65" t="n"/>
      <c r="J1373" s="65" t="n"/>
      <c r="K1373" s="65" t="n"/>
      <c r="L1373" s="65" t="n"/>
      <c r="M1373" s="65" t="n"/>
      <c r="N1373" s="65" t="n"/>
      <c r="O1373" s="65" t="n"/>
      <c r="P1373" s="65" t="n"/>
      <c r="Q1373" s="32">
        <f>IF($C1373="","",IF($J1373="","— חסרים נתונים",IF($J1373="טרם מפענח","פרופיל 5",IF($J1373="קמץ/פתח/חטף-פתח ושוואים","פרופיל 4",IF($J1373="2-3 סימני ניקוד","פרופיל 3",IF($J1373="4-5 סימני ניקוד","פרופיל 2",IF(AND($O1373="משפטים וקטעים קצרים",OR($M1373="מבין",$M1373="מבין לרוב")),"פרופיל 1","פרופיל 2")))))))</f>
        <v/>
      </c>
      <c r="R1373" s="32">
        <f>IF($C1373="","",IF(OR($Q1373="",LEFT($Q1373,1)="—"),"קבוצה רביעית",IF($Q1373="פרופיל 5","קבוצת תשתיות",IF(OR($Q1373="פרופיל 4",$Q1373="פרופיל 3"),"קבוצת רכישה","קבוצת ביסוס"))))</f>
        <v/>
      </c>
      <c r="S1373" s="32">
        <f>IF($F1373="","",IF($F1373="תחילת שנה",1,IF($F1373="מחצית שנה",2,3)))</f>
        <v/>
      </c>
      <c r="T1373" s="32">
        <f>IF(OR($B1373="",$R1373="",$A1373="",$F1373=""),"",$B1373&amp;"|"&amp;$A1373&amp;"|"&amp;$F1373&amp;"|"&amp;$R1373&amp;"|"&amp;COUNTIFS($B$6:$B1373,$B1373,$A$6:$A1373,$A1373,$F$6:$F1373,$F1373,$R$6:$R1373,$R1373))</f>
        <v/>
      </c>
      <c r="U1373" s="32">
        <f>IF($C1373="","",$C1373&amp;"|"&amp;COUNTIFS($C$6:$C1373,$C1373))</f>
        <v/>
      </c>
      <c r="V1373" s="32">
        <f>IF(OR($C1373="",$A1373="",$S1373=""),"",$C1373&amp;"|"&amp;$A1373&amp;"|"&amp;$S1373)</f>
        <v/>
      </c>
      <c r="W1373" s="32">
        <f>IF(OR($C1373="",$S1373="",$S1373=1),"",IFERROR(INDEX($Q$6:$Q$1505,MATCH($C1373&amp;"|"&amp;$A1373&amp;"|"&amp;($S1373-1),$V$6:$V$1505,0)),""))</f>
        <v/>
      </c>
      <c r="X1373" s="32">
        <f>IF(OR($W1373="",$Q1373="",LEFT($Q1373,1)="—"),"",IF($W1373=$Q1373,"ללא שינוי","מ-"&amp;$W1373&amp;" ל-"&amp;$Q1373))</f>
        <v/>
      </c>
    </row>
    <row r="1374">
      <c r="A1374" s="65" t="n"/>
      <c r="B1374" s="65" t="n"/>
      <c r="C1374" s="66" t="n"/>
      <c r="D1374" s="66" t="n"/>
      <c r="E1374" s="65" t="n"/>
      <c r="F1374" s="65" t="n"/>
      <c r="G1374" s="65" t="n"/>
      <c r="H1374" s="65" t="n"/>
      <c r="I1374" s="65" t="n"/>
      <c r="J1374" s="65" t="n"/>
      <c r="K1374" s="65" t="n"/>
      <c r="L1374" s="65" t="n"/>
      <c r="M1374" s="65" t="n"/>
      <c r="N1374" s="65" t="n"/>
      <c r="O1374" s="65" t="n"/>
      <c r="P1374" s="65" t="n"/>
      <c r="Q1374" s="32">
        <f>IF($C1374="","",IF($J1374="","— חסרים נתונים",IF($J1374="טרם מפענח","פרופיל 5",IF($J1374="קמץ/פתח/חטף-פתח ושוואים","פרופיל 4",IF($J1374="2-3 סימני ניקוד","פרופיל 3",IF($J1374="4-5 סימני ניקוד","פרופיל 2",IF(AND($O1374="משפטים וקטעים קצרים",OR($M1374="מבין",$M1374="מבין לרוב")),"פרופיל 1","פרופיל 2")))))))</f>
        <v/>
      </c>
      <c r="R1374" s="32">
        <f>IF($C1374="","",IF(OR($Q1374="",LEFT($Q1374,1)="—"),"קבוצה רביעית",IF($Q1374="פרופיל 5","קבוצת תשתיות",IF(OR($Q1374="פרופיל 4",$Q1374="פרופיל 3"),"קבוצת רכישה","קבוצת ביסוס"))))</f>
        <v/>
      </c>
      <c r="S1374" s="32">
        <f>IF($F1374="","",IF($F1374="תחילת שנה",1,IF($F1374="מחצית שנה",2,3)))</f>
        <v/>
      </c>
      <c r="T1374" s="32">
        <f>IF(OR($B1374="",$R1374="",$A1374="",$F1374=""),"",$B1374&amp;"|"&amp;$A1374&amp;"|"&amp;$F1374&amp;"|"&amp;$R1374&amp;"|"&amp;COUNTIFS($B$6:$B1374,$B1374,$A$6:$A1374,$A1374,$F$6:$F1374,$F1374,$R$6:$R1374,$R1374))</f>
        <v/>
      </c>
      <c r="U1374" s="32">
        <f>IF($C1374="","",$C1374&amp;"|"&amp;COUNTIFS($C$6:$C1374,$C1374))</f>
        <v/>
      </c>
      <c r="V1374" s="32">
        <f>IF(OR($C1374="",$A1374="",$S1374=""),"",$C1374&amp;"|"&amp;$A1374&amp;"|"&amp;$S1374)</f>
        <v/>
      </c>
      <c r="W1374" s="32">
        <f>IF(OR($C1374="",$S1374="",$S1374=1),"",IFERROR(INDEX($Q$6:$Q$1505,MATCH($C1374&amp;"|"&amp;$A1374&amp;"|"&amp;($S1374-1),$V$6:$V$1505,0)),""))</f>
        <v/>
      </c>
      <c r="X1374" s="32">
        <f>IF(OR($W1374="",$Q1374="",LEFT($Q1374,1)="—"),"",IF($W1374=$Q1374,"ללא שינוי","מ-"&amp;$W1374&amp;" ל-"&amp;$Q1374))</f>
        <v/>
      </c>
    </row>
    <row r="1375">
      <c r="A1375" s="65" t="n"/>
      <c r="B1375" s="65" t="n"/>
      <c r="C1375" s="66" t="n"/>
      <c r="D1375" s="66" t="n"/>
      <c r="E1375" s="65" t="n"/>
      <c r="F1375" s="65" t="n"/>
      <c r="G1375" s="65" t="n"/>
      <c r="H1375" s="65" t="n"/>
      <c r="I1375" s="65" t="n"/>
      <c r="J1375" s="65" t="n"/>
      <c r="K1375" s="65" t="n"/>
      <c r="L1375" s="65" t="n"/>
      <c r="M1375" s="65" t="n"/>
      <c r="N1375" s="65" t="n"/>
      <c r="O1375" s="65" t="n"/>
      <c r="P1375" s="65" t="n"/>
      <c r="Q1375" s="32">
        <f>IF($C1375="","",IF($J1375="","— חסרים נתונים",IF($J1375="טרם מפענח","פרופיל 5",IF($J1375="קמץ/פתח/חטף-פתח ושוואים","פרופיל 4",IF($J1375="2-3 סימני ניקוד","פרופיל 3",IF($J1375="4-5 סימני ניקוד","פרופיל 2",IF(AND($O1375="משפטים וקטעים קצרים",OR($M1375="מבין",$M1375="מבין לרוב")),"פרופיל 1","פרופיל 2")))))))</f>
        <v/>
      </c>
      <c r="R1375" s="32">
        <f>IF($C1375="","",IF(OR($Q1375="",LEFT($Q1375,1)="—"),"קבוצה רביעית",IF($Q1375="פרופיל 5","קבוצת תשתיות",IF(OR($Q1375="פרופיל 4",$Q1375="פרופיל 3"),"קבוצת רכישה","קבוצת ביסוס"))))</f>
        <v/>
      </c>
      <c r="S1375" s="32">
        <f>IF($F1375="","",IF($F1375="תחילת שנה",1,IF($F1375="מחצית שנה",2,3)))</f>
        <v/>
      </c>
      <c r="T1375" s="32">
        <f>IF(OR($B1375="",$R1375="",$A1375="",$F1375=""),"",$B1375&amp;"|"&amp;$A1375&amp;"|"&amp;$F1375&amp;"|"&amp;$R1375&amp;"|"&amp;COUNTIFS($B$6:$B1375,$B1375,$A$6:$A1375,$A1375,$F$6:$F1375,$F1375,$R$6:$R1375,$R1375))</f>
        <v/>
      </c>
      <c r="U1375" s="32">
        <f>IF($C1375="","",$C1375&amp;"|"&amp;COUNTIFS($C$6:$C1375,$C1375))</f>
        <v/>
      </c>
      <c r="V1375" s="32">
        <f>IF(OR($C1375="",$A1375="",$S1375=""),"",$C1375&amp;"|"&amp;$A1375&amp;"|"&amp;$S1375)</f>
        <v/>
      </c>
      <c r="W1375" s="32">
        <f>IF(OR($C1375="",$S1375="",$S1375=1),"",IFERROR(INDEX($Q$6:$Q$1505,MATCH($C1375&amp;"|"&amp;$A1375&amp;"|"&amp;($S1375-1),$V$6:$V$1505,0)),""))</f>
        <v/>
      </c>
      <c r="X1375" s="32">
        <f>IF(OR($W1375="",$Q1375="",LEFT($Q1375,1)="—"),"",IF($W1375=$Q1375,"ללא שינוי","מ-"&amp;$W1375&amp;" ל-"&amp;$Q1375))</f>
        <v/>
      </c>
    </row>
    <row r="1376">
      <c r="A1376" s="65" t="n"/>
      <c r="B1376" s="65" t="n"/>
      <c r="C1376" s="66" t="n"/>
      <c r="D1376" s="66" t="n"/>
      <c r="E1376" s="65" t="n"/>
      <c r="F1376" s="65" t="n"/>
      <c r="G1376" s="65" t="n"/>
      <c r="H1376" s="65" t="n"/>
      <c r="I1376" s="65" t="n"/>
      <c r="J1376" s="65" t="n"/>
      <c r="K1376" s="65" t="n"/>
      <c r="L1376" s="65" t="n"/>
      <c r="M1376" s="65" t="n"/>
      <c r="N1376" s="65" t="n"/>
      <c r="O1376" s="65" t="n"/>
      <c r="P1376" s="65" t="n"/>
      <c r="Q1376" s="32">
        <f>IF($C1376="","",IF($J1376="","— חסרים נתונים",IF($J1376="טרם מפענח","פרופיל 5",IF($J1376="קמץ/פתח/חטף-פתח ושוואים","פרופיל 4",IF($J1376="2-3 סימני ניקוד","פרופיל 3",IF($J1376="4-5 סימני ניקוד","פרופיל 2",IF(AND($O1376="משפטים וקטעים קצרים",OR($M1376="מבין",$M1376="מבין לרוב")),"פרופיל 1","פרופיל 2")))))))</f>
        <v/>
      </c>
      <c r="R1376" s="32">
        <f>IF($C1376="","",IF(OR($Q1376="",LEFT($Q1376,1)="—"),"קבוצה רביעית",IF($Q1376="פרופיל 5","קבוצת תשתיות",IF(OR($Q1376="פרופיל 4",$Q1376="פרופיל 3"),"קבוצת רכישה","קבוצת ביסוס"))))</f>
        <v/>
      </c>
      <c r="S1376" s="32">
        <f>IF($F1376="","",IF($F1376="תחילת שנה",1,IF($F1376="מחצית שנה",2,3)))</f>
        <v/>
      </c>
      <c r="T1376" s="32">
        <f>IF(OR($B1376="",$R1376="",$A1376="",$F1376=""),"",$B1376&amp;"|"&amp;$A1376&amp;"|"&amp;$F1376&amp;"|"&amp;$R1376&amp;"|"&amp;COUNTIFS($B$6:$B1376,$B1376,$A$6:$A1376,$A1376,$F$6:$F1376,$F1376,$R$6:$R1376,$R1376))</f>
        <v/>
      </c>
      <c r="U1376" s="32">
        <f>IF($C1376="","",$C1376&amp;"|"&amp;COUNTIFS($C$6:$C1376,$C1376))</f>
        <v/>
      </c>
      <c r="V1376" s="32">
        <f>IF(OR($C1376="",$A1376="",$S1376=""),"",$C1376&amp;"|"&amp;$A1376&amp;"|"&amp;$S1376)</f>
        <v/>
      </c>
      <c r="W1376" s="32">
        <f>IF(OR($C1376="",$S1376="",$S1376=1),"",IFERROR(INDEX($Q$6:$Q$1505,MATCH($C1376&amp;"|"&amp;$A1376&amp;"|"&amp;($S1376-1),$V$6:$V$1505,0)),""))</f>
        <v/>
      </c>
      <c r="X1376" s="32">
        <f>IF(OR($W1376="",$Q1376="",LEFT($Q1376,1)="—"),"",IF($W1376=$Q1376,"ללא שינוי","מ-"&amp;$W1376&amp;" ל-"&amp;$Q1376))</f>
        <v/>
      </c>
    </row>
    <row r="1377">
      <c r="A1377" s="65" t="n"/>
      <c r="B1377" s="65" t="n"/>
      <c r="C1377" s="66" t="n"/>
      <c r="D1377" s="66" t="n"/>
      <c r="E1377" s="65" t="n"/>
      <c r="F1377" s="65" t="n"/>
      <c r="G1377" s="65" t="n"/>
      <c r="H1377" s="65" t="n"/>
      <c r="I1377" s="65" t="n"/>
      <c r="J1377" s="65" t="n"/>
      <c r="K1377" s="65" t="n"/>
      <c r="L1377" s="65" t="n"/>
      <c r="M1377" s="65" t="n"/>
      <c r="N1377" s="65" t="n"/>
      <c r="O1377" s="65" t="n"/>
      <c r="P1377" s="65" t="n"/>
      <c r="Q1377" s="32">
        <f>IF($C1377="","",IF($J1377="","— חסרים נתונים",IF($J1377="טרם מפענח","פרופיל 5",IF($J1377="קמץ/פתח/חטף-פתח ושוואים","פרופיל 4",IF($J1377="2-3 סימני ניקוד","פרופיל 3",IF($J1377="4-5 סימני ניקוד","פרופיל 2",IF(AND($O1377="משפטים וקטעים קצרים",OR($M1377="מבין",$M1377="מבין לרוב")),"פרופיל 1","פרופיל 2")))))))</f>
        <v/>
      </c>
      <c r="R1377" s="32">
        <f>IF($C1377="","",IF(OR($Q1377="",LEFT($Q1377,1)="—"),"קבוצה רביעית",IF($Q1377="פרופיל 5","קבוצת תשתיות",IF(OR($Q1377="פרופיל 4",$Q1377="פרופיל 3"),"קבוצת רכישה","קבוצת ביסוס"))))</f>
        <v/>
      </c>
      <c r="S1377" s="32">
        <f>IF($F1377="","",IF($F1377="תחילת שנה",1,IF($F1377="מחצית שנה",2,3)))</f>
        <v/>
      </c>
      <c r="T1377" s="32">
        <f>IF(OR($B1377="",$R1377="",$A1377="",$F1377=""),"",$B1377&amp;"|"&amp;$A1377&amp;"|"&amp;$F1377&amp;"|"&amp;$R1377&amp;"|"&amp;COUNTIFS($B$6:$B1377,$B1377,$A$6:$A1377,$A1377,$F$6:$F1377,$F1377,$R$6:$R1377,$R1377))</f>
        <v/>
      </c>
      <c r="U1377" s="32">
        <f>IF($C1377="","",$C1377&amp;"|"&amp;COUNTIFS($C$6:$C1377,$C1377))</f>
        <v/>
      </c>
      <c r="V1377" s="32">
        <f>IF(OR($C1377="",$A1377="",$S1377=""),"",$C1377&amp;"|"&amp;$A1377&amp;"|"&amp;$S1377)</f>
        <v/>
      </c>
      <c r="W1377" s="32">
        <f>IF(OR($C1377="",$S1377="",$S1377=1),"",IFERROR(INDEX($Q$6:$Q$1505,MATCH($C1377&amp;"|"&amp;$A1377&amp;"|"&amp;($S1377-1),$V$6:$V$1505,0)),""))</f>
        <v/>
      </c>
      <c r="X1377" s="32">
        <f>IF(OR($W1377="",$Q1377="",LEFT($Q1377,1)="—"),"",IF($W1377=$Q1377,"ללא שינוי","מ-"&amp;$W1377&amp;" ל-"&amp;$Q1377))</f>
        <v/>
      </c>
    </row>
    <row r="1378">
      <c r="A1378" s="65" t="n"/>
      <c r="B1378" s="65" t="n"/>
      <c r="C1378" s="66" t="n"/>
      <c r="D1378" s="66" t="n"/>
      <c r="E1378" s="65" t="n"/>
      <c r="F1378" s="65" t="n"/>
      <c r="G1378" s="65" t="n"/>
      <c r="H1378" s="65" t="n"/>
      <c r="I1378" s="65" t="n"/>
      <c r="J1378" s="65" t="n"/>
      <c r="K1378" s="65" t="n"/>
      <c r="L1378" s="65" t="n"/>
      <c r="M1378" s="65" t="n"/>
      <c r="N1378" s="65" t="n"/>
      <c r="O1378" s="65" t="n"/>
      <c r="P1378" s="65" t="n"/>
      <c r="Q1378" s="32">
        <f>IF($C1378="","",IF($J1378="","— חסרים נתונים",IF($J1378="טרם מפענח","פרופיל 5",IF($J1378="קמץ/פתח/חטף-פתח ושוואים","פרופיל 4",IF($J1378="2-3 סימני ניקוד","פרופיל 3",IF($J1378="4-5 סימני ניקוד","פרופיל 2",IF(AND($O1378="משפטים וקטעים קצרים",OR($M1378="מבין",$M1378="מבין לרוב")),"פרופיל 1","פרופיל 2")))))))</f>
        <v/>
      </c>
      <c r="R1378" s="32">
        <f>IF($C1378="","",IF(OR($Q1378="",LEFT($Q1378,1)="—"),"קבוצה רביעית",IF($Q1378="פרופיל 5","קבוצת תשתיות",IF(OR($Q1378="פרופיל 4",$Q1378="פרופיל 3"),"קבוצת רכישה","קבוצת ביסוס"))))</f>
        <v/>
      </c>
      <c r="S1378" s="32">
        <f>IF($F1378="","",IF($F1378="תחילת שנה",1,IF($F1378="מחצית שנה",2,3)))</f>
        <v/>
      </c>
      <c r="T1378" s="32">
        <f>IF(OR($B1378="",$R1378="",$A1378="",$F1378=""),"",$B1378&amp;"|"&amp;$A1378&amp;"|"&amp;$F1378&amp;"|"&amp;$R1378&amp;"|"&amp;COUNTIFS($B$6:$B1378,$B1378,$A$6:$A1378,$A1378,$F$6:$F1378,$F1378,$R$6:$R1378,$R1378))</f>
        <v/>
      </c>
      <c r="U1378" s="32">
        <f>IF($C1378="","",$C1378&amp;"|"&amp;COUNTIFS($C$6:$C1378,$C1378))</f>
        <v/>
      </c>
      <c r="V1378" s="32">
        <f>IF(OR($C1378="",$A1378="",$S1378=""),"",$C1378&amp;"|"&amp;$A1378&amp;"|"&amp;$S1378)</f>
        <v/>
      </c>
      <c r="W1378" s="32">
        <f>IF(OR($C1378="",$S1378="",$S1378=1),"",IFERROR(INDEX($Q$6:$Q$1505,MATCH($C1378&amp;"|"&amp;$A1378&amp;"|"&amp;($S1378-1),$V$6:$V$1505,0)),""))</f>
        <v/>
      </c>
      <c r="X1378" s="32">
        <f>IF(OR($W1378="",$Q1378="",LEFT($Q1378,1)="—"),"",IF($W1378=$Q1378,"ללא שינוי","מ-"&amp;$W1378&amp;" ל-"&amp;$Q1378))</f>
        <v/>
      </c>
    </row>
    <row r="1379">
      <c r="A1379" s="65" t="n"/>
      <c r="B1379" s="65" t="n"/>
      <c r="C1379" s="66" t="n"/>
      <c r="D1379" s="66" t="n"/>
      <c r="E1379" s="65" t="n"/>
      <c r="F1379" s="65" t="n"/>
      <c r="G1379" s="65" t="n"/>
      <c r="H1379" s="65" t="n"/>
      <c r="I1379" s="65" t="n"/>
      <c r="J1379" s="65" t="n"/>
      <c r="K1379" s="65" t="n"/>
      <c r="L1379" s="65" t="n"/>
      <c r="M1379" s="65" t="n"/>
      <c r="N1379" s="65" t="n"/>
      <c r="O1379" s="65" t="n"/>
      <c r="P1379" s="65" t="n"/>
      <c r="Q1379" s="32">
        <f>IF($C1379="","",IF($J1379="","— חסרים נתונים",IF($J1379="טרם מפענח","פרופיל 5",IF($J1379="קמץ/פתח/חטף-פתח ושוואים","פרופיל 4",IF($J1379="2-3 סימני ניקוד","פרופיל 3",IF($J1379="4-5 סימני ניקוד","פרופיל 2",IF(AND($O1379="משפטים וקטעים קצרים",OR($M1379="מבין",$M1379="מבין לרוב")),"פרופיל 1","פרופיל 2")))))))</f>
        <v/>
      </c>
      <c r="R1379" s="32">
        <f>IF($C1379="","",IF(OR($Q1379="",LEFT($Q1379,1)="—"),"קבוצה רביעית",IF($Q1379="פרופיל 5","קבוצת תשתיות",IF(OR($Q1379="פרופיל 4",$Q1379="פרופיל 3"),"קבוצת רכישה","קבוצת ביסוס"))))</f>
        <v/>
      </c>
      <c r="S1379" s="32">
        <f>IF($F1379="","",IF($F1379="תחילת שנה",1,IF($F1379="מחצית שנה",2,3)))</f>
        <v/>
      </c>
      <c r="T1379" s="32">
        <f>IF(OR($B1379="",$R1379="",$A1379="",$F1379=""),"",$B1379&amp;"|"&amp;$A1379&amp;"|"&amp;$F1379&amp;"|"&amp;$R1379&amp;"|"&amp;COUNTIFS($B$6:$B1379,$B1379,$A$6:$A1379,$A1379,$F$6:$F1379,$F1379,$R$6:$R1379,$R1379))</f>
        <v/>
      </c>
      <c r="U1379" s="32">
        <f>IF($C1379="","",$C1379&amp;"|"&amp;COUNTIFS($C$6:$C1379,$C1379))</f>
        <v/>
      </c>
      <c r="V1379" s="32">
        <f>IF(OR($C1379="",$A1379="",$S1379=""),"",$C1379&amp;"|"&amp;$A1379&amp;"|"&amp;$S1379)</f>
        <v/>
      </c>
      <c r="W1379" s="32">
        <f>IF(OR($C1379="",$S1379="",$S1379=1),"",IFERROR(INDEX($Q$6:$Q$1505,MATCH($C1379&amp;"|"&amp;$A1379&amp;"|"&amp;($S1379-1),$V$6:$V$1505,0)),""))</f>
        <v/>
      </c>
      <c r="X1379" s="32">
        <f>IF(OR($W1379="",$Q1379="",LEFT($Q1379,1)="—"),"",IF($W1379=$Q1379,"ללא שינוי","מ-"&amp;$W1379&amp;" ל-"&amp;$Q1379))</f>
        <v/>
      </c>
    </row>
    <row r="1380">
      <c r="A1380" s="65" t="n"/>
      <c r="B1380" s="65" t="n"/>
      <c r="C1380" s="66" t="n"/>
      <c r="D1380" s="66" t="n"/>
      <c r="E1380" s="65" t="n"/>
      <c r="F1380" s="65" t="n"/>
      <c r="G1380" s="65" t="n"/>
      <c r="H1380" s="65" t="n"/>
      <c r="I1380" s="65" t="n"/>
      <c r="J1380" s="65" t="n"/>
      <c r="K1380" s="65" t="n"/>
      <c r="L1380" s="65" t="n"/>
      <c r="M1380" s="65" t="n"/>
      <c r="N1380" s="65" t="n"/>
      <c r="O1380" s="65" t="n"/>
      <c r="P1380" s="65" t="n"/>
      <c r="Q1380" s="32">
        <f>IF($C1380="","",IF($J1380="","— חסרים נתונים",IF($J1380="טרם מפענח","פרופיל 5",IF($J1380="קמץ/פתח/חטף-פתח ושוואים","פרופיל 4",IF($J1380="2-3 סימני ניקוד","פרופיל 3",IF($J1380="4-5 סימני ניקוד","פרופיל 2",IF(AND($O1380="משפטים וקטעים קצרים",OR($M1380="מבין",$M1380="מבין לרוב")),"פרופיל 1","פרופיל 2")))))))</f>
        <v/>
      </c>
      <c r="R1380" s="32">
        <f>IF($C1380="","",IF(OR($Q1380="",LEFT($Q1380,1)="—"),"קבוצה רביעית",IF($Q1380="פרופיל 5","קבוצת תשתיות",IF(OR($Q1380="פרופיל 4",$Q1380="פרופיל 3"),"קבוצת רכישה","קבוצת ביסוס"))))</f>
        <v/>
      </c>
      <c r="S1380" s="32">
        <f>IF($F1380="","",IF($F1380="תחילת שנה",1,IF($F1380="מחצית שנה",2,3)))</f>
        <v/>
      </c>
      <c r="T1380" s="32">
        <f>IF(OR($B1380="",$R1380="",$A1380="",$F1380=""),"",$B1380&amp;"|"&amp;$A1380&amp;"|"&amp;$F1380&amp;"|"&amp;$R1380&amp;"|"&amp;COUNTIFS($B$6:$B1380,$B1380,$A$6:$A1380,$A1380,$F$6:$F1380,$F1380,$R$6:$R1380,$R1380))</f>
        <v/>
      </c>
      <c r="U1380" s="32">
        <f>IF($C1380="","",$C1380&amp;"|"&amp;COUNTIFS($C$6:$C1380,$C1380))</f>
        <v/>
      </c>
      <c r="V1380" s="32">
        <f>IF(OR($C1380="",$A1380="",$S1380=""),"",$C1380&amp;"|"&amp;$A1380&amp;"|"&amp;$S1380)</f>
        <v/>
      </c>
      <c r="W1380" s="32">
        <f>IF(OR($C1380="",$S1380="",$S1380=1),"",IFERROR(INDEX($Q$6:$Q$1505,MATCH($C1380&amp;"|"&amp;$A1380&amp;"|"&amp;($S1380-1),$V$6:$V$1505,0)),""))</f>
        <v/>
      </c>
      <c r="X1380" s="32">
        <f>IF(OR($W1380="",$Q1380="",LEFT($Q1380,1)="—"),"",IF($W1380=$Q1380,"ללא שינוי","מ-"&amp;$W1380&amp;" ל-"&amp;$Q1380))</f>
        <v/>
      </c>
    </row>
    <row r="1381">
      <c r="A1381" s="65" t="n"/>
      <c r="B1381" s="65" t="n"/>
      <c r="C1381" s="66" t="n"/>
      <c r="D1381" s="66" t="n"/>
      <c r="E1381" s="65" t="n"/>
      <c r="F1381" s="65" t="n"/>
      <c r="G1381" s="65" t="n"/>
      <c r="H1381" s="65" t="n"/>
      <c r="I1381" s="65" t="n"/>
      <c r="J1381" s="65" t="n"/>
      <c r="K1381" s="65" t="n"/>
      <c r="L1381" s="65" t="n"/>
      <c r="M1381" s="65" t="n"/>
      <c r="N1381" s="65" t="n"/>
      <c r="O1381" s="65" t="n"/>
      <c r="P1381" s="65" t="n"/>
      <c r="Q1381" s="32">
        <f>IF($C1381="","",IF($J1381="","— חסרים נתונים",IF($J1381="טרם מפענח","פרופיל 5",IF($J1381="קמץ/פתח/חטף-פתח ושוואים","פרופיל 4",IF($J1381="2-3 סימני ניקוד","פרופיל 3",IF($J1381="4-5 סימני ניקוד","פרופיל 2",IF(AND($O1381="משפטים וקטעים קצרים",OR($M1381="מבין",$M1381="מבין לרוב")),"פרופיל 1","פרופיל 2")))))))</f>
        <v/>
      </c>
      <c r="R1381" s="32">
        <f>IF($C1381="","",IF(OR($Q1381="",LEFT($Q1381,1)="—"),"קבוצה רביעית",IF($Q1381="פרופיל 5","קבוצת תשתיות",IF(OR($Q1381="פרופיל 4",$Q1381="פרופיל 3"),"קבוצת רכישה","קבוצת ביסוס"))))</f>
        <v/>
      </c>
      <c r="S1381" s="32">
        <f>IF($F1381="","",IF($F1381="תחילת שנה",1,IF($F1381="מחצית שנה",2,3)))</f>
        <v/>
      </c>
      <c r="T1381" s="32">
        <f>IF(OR($B1381="",$R1381="",$A1381="",$F1381=""),"",$B1381&amp;"|"&amp;$A1381&amp;"|"&amp;$F1381&amp;"|"&amp;$R1381&amp;"|"&amp;COUNTIFS($B$6:$B1381,$B1381,$A$6:$A1381,$A1381,$F$6:$F1381,$F1381,$R$6:$R1381,$R1381))</f>
        <v/>
      </c>
      <c r="U1381" s="32">
        <f>IF($C1381="","",$C1381&amp;"|"&amp;COUNTIFS($C$6:$C1381,$C1381))</f>
        <v/>
      </c>
      <c r="V1381" s="32">
        <f>IF(OR($C1381="",$A1381="",$S1381=""),"",$C1381&amp;"|"&amp;$A1381&amp;"|"&amp;$S1381)</f>
        <v/>
      </c>
      <c r="W1381" s="32">
        <f>IF(OR($C1381="",$S1381="",$S1381=1),"",IFERROR(INDEX($Q$6:$Q$1505,MATCH($C1381&amp;"|"&amp;$A1381&amp;"|"&amp;($S1381-1),$V$6:$V$1505,0)),""))</f>
        <v/>
      </c>
      <c r="X1381" s="32">
        <f>IF(OR($W1381="",$Q1381="",LEFT($Q1381,1)="—"),"",IF($W1381=$Q1381,"ללא שינוי","מ-"&amp;$W1381&amp;" ל-"&amp;$Q1381))</f>
        <v/>
      </c>
    </row>
    <row r="1382">
      <c r="A1382" s="65" t="n"/>
      <c r="B1382" s="65" t="n"/>
      <c r="C1382" s="66" t="n"/>
      <c r="D1382" s="66" t="n"/>
      <c r="E1382" s="65" t="n"/>
      <c r="F1382" s="65" t="n"/>
      <c r="G1382" s="65" t="n"/>
      <c r="H1382" s="65" t="n"/>
      <c r="I1382" s="65" t="n"/>
      <c r="J1382" s="65" t="n"/>
      <c r="K1382" s="65" t="n"/>
      <c r="L1382" s="65" t="n"/>
      <c r="M1382" s="65" t="n"/>
      <c r="N1382" s="65" t="n"/>
      <c r="O1382" s="65" t="n"/>
      <c r="P1382" s="65" t="n"/>
      <c r="Q1382" s="32">
        <f>IF($C1382="","",IF($J1382="","— חסרים נתונים",IF($J1382="טרם מפענח","פרופיל 5",IF($J1382="קמץ/פתח/חטף-פתח ושוואים","פרופיל 4",IF($J1382="2-3 סימני ניקוד","פרופיל 3",IF($J1382="4-5 סימני ניקוד","פרופיל 2",IF(AND($O1382="משפטים וקטעים קצרים",OR($M1382="מבין",$M1382="מבין לרוב")),"פרופיל 1","פרופיל 2")))))))</f>
        <v/>
      </c>
      <c r="R1382" s="32">
        <f>IF($C1382="","",IF(OR($Q1382="",LEFT($Q1382,1)="—"),"קבוצה רביעית",IF($Q1382="פרופיל 5","קבוצת תשתיות",IF(OR($Q1382="פרופיל 4",$Q1382="פרופיל 3"),"קבוצת רכישה","קבוצת ביסוס"))))</f>
        <v/>
      </c>
      <c r="S1382" s="32">
        <f>IF($F1382="","",IF($F1382="תחילת שנה",1,IF($F1382="מחצית שנה",2,3)))</f>
        <v/>
      </c>
      <c r="T1382" s="32">
        <f>IF(OR($B1382="",$R1382="",$A1382="",$F1382=""),"",$B1382&amp;"|"&amp;$A1382&amp;"|"&amp;$F1382&amp;"|"&amp;$R1382&amp;"|"&amp;COUNTIFS($B$6:$B1382,$B1382,$A$6:$A1382,$A1382,$F$6:$F1382,$F1382,$R$6:$R1382,$R1382))</f>
        <v/>
      </c>
      <c r="U1382" s="32">
        <f>IF($C1382="","",$C1382&amp;"|"&amp;COUNTIFS($C$6:$C1382,$C1382))</f>
        <v/>
      </c>
      <c r="V1382" s="32">
        <f>IF(OR($C1382="",$A1382="",$S1382=""),"",$C1382&amp;"|"&amp;$A1382&amp;"|"&amp;$S1382)</f>
        <v/>
      </c>
      <c r="W1382" s="32">
        <f>IF(OR($C1382="",$S1382="",$S1382=1),"",IFERROR(INDEX($Q$6:$Q$1505,MATCH($C1382&amp;"|"&amp;$A1382&amp;"|"&amp;($S1382-1),$V$6:$V$1505,0)),""))</f>
        <v/>
      </c>
      <c r="X1382" s="32">
        <f>IF(OR($W1382="",$Q1382="",LEFT($Q1382,1)="—"),"",IF($W1382=$Q1382,"ללא שינוי","מ-"&amp;$W1382&amp;" ל-"&amp;$Q1382))</f>
        <v/>
      </c>
    </row>
    <row r="1383">
      <c r="A1383" s="65" t="n"/>
      <c r="B1383" s="65" t="n"/>
      <c r="C1383" s="66" t="n"/>
      <c r="D1383" s="66" t="n"/>
      <c r="E1383" s="65" t="n"/>
      <c r="F1383" s="65" t="n"/>
      <c r="G1383" s="65" t="n"/>
      <c r="H1383" s="65" t="n"/>
      <c r="I1383" s="65" t="n"/>
      <c r="J1383" s="65" t="n"/>
      <c r="K1383" s="65" t="n"/>
      <c r="L1383" s="65" t="n"/>
      <c r="M1383" s="65" t="n"/>
      <c r="N1383" s="65" t="n"/>
      <c r="O1383" s="65" t="n"/>
      <c r="P1383" s="65" t="n"/>
      <c r="Q1383" s="32">
        <f>IF($C1383="","",IF($J1383="","— חסרים נתונים",IF($J1383="טרם מפענח","פרופיל 5",IF($J1383="קמץ/פתח/חטף-פתח ושוואים","פרופיל 4",IF($J1383="2-3 סימני ניקוד","פרופיל 3",IF($J1383="4-5 סימני ניקוד","פרופיל 2",IF(AND($O1383="משפטים וקטעים קצרים",OR($M1383="מבין",$M1383="מבין לרוב")),"פרופיל 1","פרופיל 2")))))))</f>
        <v/>
      </c>
      <c r="R1383" s="32">
        <f>IF($C1383="","",IF(OR($Q1383="",LEFT($Q1383,1)="—"),"קבוצה רביעית",IF($Q1383="פרופיל 5","קבוצת תשתיות",IF(OR($Q1383="פרופיל 4",$Q1383="פרופיל 3"),"קבוצת רכישה","קבוצת ביסוס"))))</f>
        <v/>
      </c>
      <c r="S1383" s="32">
        <f>IF($F1383="","",IF($F1383="תחילת שנה",1,IF($F1383="מחצית שנה",2,3)))</f>
        <v/>
      </c>
      <c r="T1383" s="32">
        <f>IF(OR($B1383="",$R1383="",$A1383="",$F1383=""),"",$B1383&amp;"|"&amp;$A1383&amp;"|"&amp;$F1383&amp;"|"&amp;$R1383&amp;"|"&amp;COUNTIFS($B$6:$B1383,$B1383,$A$6:$A1383,$A1383,$F$6:$F1383,$F1383,$R$6:$R1383,$R1383))</f>
        <v/>
      </c>
      <c r="U1383" s="32">
        <f>IF($C1383="","",$C1383&amp;"|"&amp;COUNTIFS($C$6:$C1383,$C1383))</f>
        <v/>
      </c>
      <c r="V1383" s="32">
        <f>IF(OR($C1383="",$A1383="",$S1383=""),"",$C1383&amp;"|"&amp;$A1383&amp;"|"&amp;$S1383)</f>
        <v/>
      </c>
      <c r="W1383" s="32">
        <f>IF(OR($C1383="",$S1383="",$S1383=1),"",IFERROR(INDEX($Q$6:$Q$1505,MATCH($C1383&amp;"|"&amp;$A1383&amp;"|"&amp;($S1383-1),$V$6:$V$1505,0)),""))</f>
        <v/>
      </c>
      <c r="X1383" s="32">
        <f>IF(OR($W1383="",$Q1383="",LEFT($Q1383,1)="—"),"",IF($W1383=$Q1383,"ללא שינוי","מ-"&amp;$W1383&amp;" ל-"&amp;$Q1383))</f>
        <v/>
      </c>
    </row>
    <row r="1384">
      <c r="A1384" s="65" t="n"/>
      <c r="B1384" s="65" t="n"/>
      <c r="C1384" s="66" t="n"/>
      <c r="D1384" s="66" t="n"/>
      <c r="E1384" s="65" t="n"/>
      <c r="F1384" s="65" t="n"/>
      <c r="G1384" s="65" t="n"/>
      <c r="H1384" s="65" t="n"/>
      <c r="I1384" s="65" t="n"/>
      <c r="J1384" s="65" t="n"/>
      <c r="K1384" s="65" t="n"/>
      <c r="L1384" s="65" t="n"/>
      <c r="M1384" s="65" t="n"/>
      <c r="N1384" s="65" t="n"/>
      <c r="O1384" s="65" t="n"/>
      <c r="P1384" s="65" t="n"/>
      <c r="Q1384" s="32">
        <f>IF($C1384="","",IF($J1384="","— חסרים נתונים",IF($J1384="טרם מפענח","פרופיל 5",IF($J1384="קמץ/פתח/חטף-פתח ושוואים","פרופיל 4",IF($J1384="2-3 סימני ניקוד","פרופיל 3",IF($J1384="4-5 סימני ניקוד","פרופיל 2",IF(AND($O1384="משפטים וקטעים קצרים",OR($M1384="מבין",$M1384="מבין לרוב")),"פרופיל 1","פרופיל 2")))))))</f>
        <v/>
      </c>
      <c r="R1384" s="32">
        <f>IF($C1384="","",IF(OR($Q1384="",LEFT($Q1384,1)="—"),"קבוצה רביעית",IF($Q1384="פרופיל 5","קבוצת תשתיות",IF(OR($Q1384="פרופיל 4",$Q1384="פרופיל 3"),"קבוצת רכישה","קבוצת ביסוס"))))</f>
        <v/>
      </c>
      <c r="S1384" s="32">
        <f>IF($F1384="","",IF($F1384="תחילת שנה",1,IF($F1384="מחצית שנה",2,3)))</f>
        <v/>
      </c>
      <c r="T1384" s="32">
        <f>IF(OR($B1384="",$R1384="",$A1384="",$F1384=""),"",$B1384&amp;"|"&amp;$A1384&amp;"|"&amp;$F1384&amp;"|"&amp;$R1384&amp;"|"&amp;COUNTIFS($B$6:$B1384,$B1384,$A$6:$A1384,$A1384,$F$6:$F1384,$F1384,$R$6:$R1384,$R1384))</f>
        <v/>
      </c>
      <c r="U1384" s="32">
        <f>IF($C1384="","",$C1384&amp;"|"&amp;COUNTIFS($C$6:$C1384,$C1384))</f>
        <v/>
      </c>
      <c r="V1384" s="32">
        <f>IF(OR($C1384="",$A1384="",$S1384=""),"",$C1384&amp;"|"&amp;$A1384&amp;"|"&amp;$S1384)</f>
        <v/>
      </c>
      <c r="W1384" s="32">
        <f>IF(OR($C1384="",$S1384="",$S1384=1),"",IFERROR(INDEX($Q$6:$Q$1505,MATCH($C1384&amp;"|"&amp;$A1384&amp;"|"&amp;($S1384-1),$V$6:$V$1505,0)),""))</f>
        <v/>
      </c>
      <c r="X1384" s="32">
        <f>IF(OR($W1384="",$Q1384="",LEFT($Q1384,1)="—"),"",IF($W1384=$Q1384,"ללא שינוי","מ-"&amp;$W1384&amp;" ל-"&amp;$Q1384))</f>
        <v/>
      </c>
    </row>
    <row r="1385">
      <c r="A1385" s="65" t="n"/>
      <c r="B1385" s="65" t="n"/>
      <c r="C1385" s="66" t="n"/>
      <c r="D1385" s="66" t="n"/>
      <c r="E1385" s="65" t="n"/>
      <c r="F1385" s="65" t="n"/>
      <c r="G1385" s="65" t="n"/>
      <c r="H1385" s="65" t="n"/>
      <c r="I1385" s="65" t="n"/>
      <c r="J1385" s="65" t="n"/>
      <c r="K1385" s="65" t="n"/>
      <c r="L1385" s="65" t="n"/>
      <c r="M1385" s="65" t="n"/>
      <c r="N1385" s="65" t="n"/>
      <c r="O1385" s="65" t="n"/>
      <c r="P1385" s="65" t="n"/>
      <c r="Q1385" s="32">
        <f>IF($C1385="","",IF($J1385="","— חסרים נתונים",IF($J1385="טרם מפענח","פרופיל 5",IF($J1385="קמץ/פתח/חטף-פתח ושוואים","פרופיל 4",IF($J1385="2-3 סימני ניקוד","פרופיל 3",IF($J1385="4-5 סימני ניקוד","פרופיל 2",IF(AND($O1385="משפטים וקטעים קצרים",OR($M1385="מבין",$M1385="מבין לרוב")),"פרופיל 1","פרופיל 2")))))))</f>
        <v/>
      </c>
      <c r="R1385" s="32">
        <f>IF($C1385="","",IF(OR($Q1385="",LEFT($Q1385,1)="—"),"קבוצה רביעית",IF($Q1385="פרופיל 5","קבוצת תשתיות",IF(OR($Q1385="פרופיל 4",$Q1385="פרופיל 3"),"קבוצת רכישה","קבוצת ביסוס"))))</f>
        <v/>
      </c>
      <c r="S1385" s="32">
        <f>IF($F1385="","",IF($F1385="תחילת שנה",1,IF($F1385="מחצית שנה",2,3)))</f>
        <v/>
      </c>
      <c r="T1385" s="32">
        <f>IF(OR($B1385="",$R1385="",$A1385="",$F1385=""),"",$B1385&amp;"|"&amp;$A1385&amp;"|"&amp;$F1385&amp;"|"&amp;$R1385&amp;"|"&amp;COUNTIFS($B$6:$B1385,$B1385,$A$6:$A1385,$A1385,$F$6:$F1385,$F1385,$R$6:$R1385,$R1385))</f>
        <v/>
      </c>
      <c r="U1385" s="32">
        <f>IF($C1385="","",$C1385&amp;"|"&amp;COUNTIFS($C$6:$C1385,$C1385))</f>
        <v/>
      </c>
      <c r="V1385" s="32">
        <f>IF(OR($C1385="",$A1385="",$S1385=""),"",$C1385&amp;"|"&amp;$A1385&amp;"|"&amp;$S1385)</f>
        <v/>
      </c>
      <c r="W1385" s="32">
        <f>IF(OR($C1385="",$S1385="",$S1385=1),"",IFERROR(INDEX($Q$6:$Q$1505,MATCH($C1385&amp;"|"&amp;$A1385&amp;"|"&amp;($S1385-1),$V$6:$V$1505,0)),""))</f>
        <v/>
      </c>
      <c r="X1385" s="32">
        <f>IF(OR($W1385="",$Q1385="",LEFT($Q1385,1)="—"),"",IF($W1385=$Q1385,"ללא שינוי","מ-"&amp;$W1385&amp;" ל-"&amp;$Q1385))</f>
        <v/>
      </c>
    </row>
    <row r="1386">
      <c r="A1386" s="65" t="n"/>
      <c r="B1386" s="65" t="n"/>
      <c r="C1386" s="66" t="n"/>
      <c r="D1386" s="66" t="n"/>
      <c r="E1386" s="65" t="n"/>
      <c r="F1386" s="65" t="n"/>
      <c r="G1386" s="65" t="n"/>
      <c r="H1386" s="65" t="n"/>
      <c r="I1386" s="65" t="n"/>
      <c r="J1386" s="65" t="n"/>
      <c r="K1386" s="65" t="n"/>
      <c r="L1386" s="65" t="n"/>
      <c r="M1386" s="65" t="n"/>
      <c r="N1386" s="65" t="n"/>
      <c r="O1386" s="65" t="n"/>
      <c r="P1386" s="65" t="n"/>
      <c r="Q1386" s="32">
        <f>IF($C1386="","",IF($J1386="","— חסרים נתונים",IF($J1386="טרם מפענח","פרופיל 5",IF($J1386="קמץ/פתח/חטף-פתח ושוואים","פרופיל 4",IF($J1386="2-3 סימני ניקוד","פרופיל 3",IF($J1386="4-5 סימני ניקוד","פרופיל 2",IF(AND($O1386="משפטים וקטעים קצרים",OR($M1386="מבין",$M1386="מבין לרוב")),"פרופיל 1","פרופיל 2")))))))</f>
        <v/>
      </c>
      <c r="R1386" s="32">
        <f>IF($C1386="","",IF(OR($Q1386="",LEFT($Q1386,1)="—"),"קבוצה רביעית",IF($Q1386="פרופיל 5","קבוצת תשתיות",IF(OR($Q1386="פרופיל 4",$Q1386="פרופיל 3"),"קבוצת רכישה","קבוצת ביסוס"))))</f>
        <v/>
      </c>
      <c r="S1386" s="32">
        <f>IF($F1386="","",IF($F1386="תחילת שנה",1,IF($F1386="מחצית שנה",2,3)))</f>
        <v/>
      </c>
      <c r="T1386" s="32">
        <f>IF(OR($B1386="",$R1386="",$A1386="",$F1386=""),"",$B1386&amp;"|"&amp;$A1386&amp;"|"&amp;$F1386&amp;"|"&amp;$R1386&amp;"|"&amp;COUNTIFS($B$6:$B1386,$B1386,$A$6:$A1386,$A1386,$F$6:$F1386,$F1386,$R$6:$R1386,$R1386))</f>
        <v/>
      </c>
      <c r="U1386" s="32">
        <f>IF($C1386="","",$C1386&amp;"|"&amp;COUNTIFS($C$6:$C1386,$C1386))</f>
        <v/>
      </c>
      <c r="V1386" s="32">
        <f>IF(OR($C1386="",$A1386="",$S1386=""),"",$C1386&amp;"|"&amp;$A1386&amp;"|"&amp;$S1386)</f>
        <v/>
      </c>
      <c r="W1386" s="32">
        <f>IF(OR($C1386="",$S1386="",$S1386=1),"",IFERROR(INDEX($Q$6:$Q$1505,MATCH($C1386&amp;"|"&amp;$A1386&amp;"|"&amp;($S1386-1),$V$6:$V$1505,0)),""))</f>
        <v/>
      </c>
      <c r="X1386" s="32">
        <f>IF(OR($W1386="",$Q1386="",LEFT($Q1386,1)="—"),"",IF($W1386=$Q1386,"ללא שינוי","מ-"&amp;$W1386&amp;" ל-"&amp;$Q1386))</f>
        <v/>
      </c>
    </row>
    <row r="1387">
      <c r="A1387" s="65" t="n"/>
      <c r="B1387" s="65" t="n"/>
      <c r="C1387" s="66" t="n"/>
      <c r="D1387" s="66" t="n"/>
      <c r="E1387" s="65" t="n"/>
      <c r="F1387" s="65" t="n"/>
      <c r="G1387" s="65" t="n"/>
      <c r="H1387" s="65" t="n"/>
      <c r="I1387" s="65" t="n"/>
      <c r="J1387" s="65" t="n"/>
      <c r="K1387" s="65" t="n"/>
      <c r="L1387" s="65" t="n"/>
      <c r="M1387" s="65" t="n"/>
      <c r="N1387" s="65" t="n"/>
      <c r="O1387" s="65" t="n"/>
      <c r="P1387" s="65" t="n"/>
      <c r="Q1387" s="32">
        <f>IF($C1387="","",IF($J1387="","— חסרים נתונים",IF($J1387="טרם מפענח","פרופיל 5",IF($J1387="קמץ/פתח/חטף-פתח ושוואים","פרופיל 4",IF($J1387="2-3 סימני ניקוד","פרופיל 3",IF($J1387="4-5 סימני ניקוד","פרופיל 2",IF(AND($O1387="משפטים וקטעים קצרים",OR($M1387="מבין",$M1387="מבין לרוב")),"פרופיל 1","פרופיל 2")))))))</f>
        <v/>
      </c>
      <c r="R1387" s="32">
        <f>IF($C1387="","",IF(OR($Q1387="",LEFT($Q1387,1)="—"),"קבוצה רביעית",IF($Q1387="פרופיל 5","קבוצת תשתיות",IF(OR($Q1387="פרופיל 4",$Q1387="פרופיל 3"),"קבוצת רכישה","קבוצת ביסוס"))))</f>
        <v/>
      </c>
      <c r="S1387" s="32">
        <f>IF($F1387="","",IF($F1387="תחילת שנה",1,IF($F1387="מחצית שנה",2,3)))</f>
        <v/>
      </c>
      <c r="T1387" s="32">
        <f>IF(OR($B1387="",$R1387="",$A1387="",$F1387=""),"",$B1387&amp;"|"&amp;$A1387&amp;"|"&amp;$F1387&amp;"|"&amp;$R1387&amp;"|"&amp;COUNTIFS($B$6:$B1387,$B1387,$A$6:$A1387,$A1387,$F$6:$F1387,$F1387,$R$6:$R1387,$R1387))</f>
        <v/>
      </c>
      <c r="U1387" s="32">
        <f>IF($C1387="","",$C1387&amp;"|"&amp;COUNTIFS($C$6:$C1387,$C1387))</f>
        <v/>
      </c>
      <c r="V1387" s="32">
        <f>IF(OR($C1387="",$A1387="",$S1387=""),"",$C1387&amp;"|"&amp;$A1387&amp;"|"&amp;$S1387)</f>
        <v/>
      </c>
      <c r="W1387" s="32">
        <f>IF(OR($C1387="",$S1387="",$S1387=1),"",IFERROR(INDEX($Q$6:$Q$1505,MATCH($C1387&amp;"|"&amp;$A1387&amp;"|"&amp;($S1387-1),$V$6:$V$1505,0)),""))</f>
        <v/>
      </c>
      <c r="X1387" s="32">
        <f>IF(OR($W1387="",$Q1387="",LEFT($Q1387,1)="—"),"",IF($W1387=$Q1387,"ללא שינוי","מ-"&amp;$W1387&amp;" ל-"&amp;$Q1387))</f>
        <v/>
      </c>
    </row>
    <row r="1388">
      <c r="A1388" s="65" t="n"/>
      <c r="B1388" s="65" t="n"/>
      <c r="C1388" s="66" t="n"/>
      <c r="D1388" s="66" t="n"/>
      <c r="E1388" s="65" t="n"/>
      <c r="F1388" s="65" t="n"/>
      <c r="G1388" s="65" t="n"/>
      <c r="H1388" s="65" t="n"/>
      <c r="I1388" s="65" t="n"/>
      <c r="J1388" s="65" t="n"/>
      <c r="K1388" s="65" t="n"/>
      <c r="L1388" s="65" t="n"/>
      <c r="M1388" s="65" t="n"/>
      <c r="N1388" s="65" t="n"/>
      <c r="O1388" s="65" t="n"/>
      <c r="P1388" s="65" t="n"/>
      <c r="Q1388" s="32">
        <f>IF($C1388="","",IF($J1388="","— חסרים נתונים",IF($J1388="טרם מפענח","פרופיל 5",IF($J1388="קמץ/פתח/חטף-פתח ושוואים","פרופיל 4",IF($J1388="2-3 סימני ניקוד","פרופיל 3",IF($J1388="4-5 סימני ניקוד","פרופיל 2",IF(AND($O1388="משפטים וקטעים קצרים",OR($M1388="מבין",$M1388="מבין לרוב")),"פרופיל 1","פרופיל 2")))))))</f>
        <v/>
      </c>
      <c r="R1388" s="32">
        <f>IF($C1388="","",IF(OR($Q1388="",LEFT($Q1388,1)="—"),"קבוצה רביעית",IF($Q1388="פרופיל 5","קבוצת תשתיות",IF(OR($Q1388="פרופיל 4",$Q1388="פרופיל 3"),"קבוצת רכישה","קבוצת ביסוס"))))</f>
        <v/>
      </c>
      <c r="S1388" s="32">
        <f>IF($F1388="","",IF($F1388="תחילת שנה",1,IF($F1388="מחצית שנה",2,3)))</f>
        <v/>
      </c>
      <c r="T1388" s="32">
        <f>IF(OR($B1388="",$R1388="",$A1388="",$F1388=""),"",$B1388&amp;"|"&amp;$A1388&amp;"|"&amp;$F1388&amp;"|"&amp;$R1388&amp;"|"&amp;COUNTIFS($B$6:$B1388,$B1388,$A$6:$A1388,$A1388,$F$6:$F1388,$F1388,$R$6:$R1388,$R1388))</f>
        <v/>
      </c>
      <c r="U1388" s="32">
        <f>IF($C1388="","",$C1388&amp;"|"&amp;COUNTIFS($C$6:$C1388,$C1388))</f>
        <v/>
      </c>
      <c r="V1388" s="32">
        <f>IF(OR($C1388="",$A1388="",$S1388=""),"",$C1388&amp;"|"&amp;$A1388&amp;"|"&amp;$S1388)</f>
        <v/>
      </c>
      <c r="W1388" s="32">
        <f>IF(OR($C1388="",$S1388="",$S1388=1),"",IFERROR(INDEX($Q$6:$Q$1505,MATCH($C1388&amp;"|"&amp;$A1388&amp;"|"&amp;($S1388-1),$V$6:$V$1505,0)),""))</f>
        <v/>
      </c>
      <c r="X1388" s="32">
        <f>IF(OR($W1388="",$Q1388="",LEFT($Q1388,1)="—"),"",IF($W1388=$Q1388,"ללא שינוי","מ-"&amp;$W1388&amp;" ל-"&amp;$Q1388))</f>
        <v/>
      </c>
    </row>
    <row r="1389">
      <c r="A1389" s="65" t="n"/>
      <c r="B1389" s="65" t="n"/>
      <c r="C1389" s="66" t="n"/>
      <c r="D1389" s="66" t="n"/>
      <c r="E1389" s="65" t="n"/>
      <c r="F1389" s="65" t="n"/>
      <c r="G1389" s="65" t="n"/>
      <c r="H1389" s="65" t="n"/>
      <c r="I1389" s="65" t="n"/>
      <c r="J1389" s="65" t="n"/>
      <c r="K1389" s="65" t="n"/>
      <c r="L1389" s="65" t="n"/>
      <c r="M1389" s="65" t="n"/>
      <c r="N1389" s="65" t="n"/>
      <c r="O1389" s="65" t="n"/>
      <c r="P1389" s="65" t="n"/>
      <c r="Q1389" s="32">
        <f>IF($C1389="","",IF($J1389="","— חסרים נתונים",IF($J1389="טרם מפענח","פרופיל 5",IF($J1389="קמץ/פתח/חטף-פתח ושוואים","פרופיל 4",IF($J1389="2-3 סימני ניקוד","פרופיל 3",IF($J1389="4-5 סימני ניקוד","פרופיל 2",IF(AND($O1389="משפטים וקטעים קצרים",OR($M1389="מבין",$M1389="מבין לרוב")),"פרופיל 1","פרופיל 2")))))))</f>
        <v/>
      </c>
      <c r="R1389" s="32">
        <f>IF($C1389="","",IF(OR($Q1389="",LEFT($Q1389,1)="—"),"קבוצה רביעית",IF($Q1389="פרופיל 5","קבוצת תשתיות",IF(OR($Q1389="פרופיל 4",$Q1389="פרופיל 3"),"קבוצת רכישה","קבוצת ביסוס"))))</f>
        <v/>
      </c>
      <c r="S1389" s="32">
        <f>IF($F1389="","",IF($F1389="תחילת שנה",1,IF($F1389="מחצית שנה",2,3)))</f>
        <v/>
      </c>
      <c r="T1389" s="32">
        <f>IF(OR($B1389="",$R1389="",$A1389="",$F1389=""),"",$B1389&amp;"|"&amp;$A1389&amp;"|"&amp;$F1389&amp;"|"&amp;$R1389&amp;"|"&amp;COUNTIFS($B$6:$B1389,$B1389,$A$6:$A1389,$A1389,$F$6:$F1389,$F1389,$R$6:$R1389,$R1389))</f>
        <v/>
      </c>
      <c r="U1389" s="32">
        <f>IF($C1389="","",$C1389&amp;"|"&amp;COUNTIFS($C$6:$C1389,$C1389))</f>
        <v/>
      </c>
      <c r="V1389" s="32">
        <f>IF(OR($C1389="",$A1389="",$S1389=""),"",$C1389&amp;"|"&amp;$A1389&amp;"|"&amp;$S1389)</f>
        <v/>
      </c>
      <c r="W1389" s="32">
        <f>IF(OR($C1389="",$S1389="",$S1389=1),"",IFERROR(INDEX($Q$6:$Q$1505,MATCH($C1389&amp;"|"&amp;$A1389&amp;"|"&amp;($S1389-1),$V$6:$V$1505,0)),""))</f>
        <v/>
      </c>
      <c r="X1389" s="32">
        <f>IF(OR($W1389="",$Q1389="",LEFT($Q1389,1)="—"),"",IF($W1389=$Q1389,"ללא שינוי","מ-"&amp;$W1389&amp;" ל-"&amp;$Q1389))</f>
        <v/>
      </c>
    </row>
    <row r="1390">
      <c r="A1390" s="65" t="n"/>
      <c r="B1390" s="65" t="n"/>
      <c r="C1390" s="66" t="n"/>
      <c r="D1390" s="66" t="n"/>
      <c r="E1390" s="65" t="n"/>
      <c r="F1390" s="65" t="n"/>
      <c r="G1390" s="65" t="n"/>
      <c r="H1390" s="65" t="n"/>
      <c r="I1390" s="65" t="n"/>
      <c r="J1390" s="65" t="n"/>
      <c r="K1390" s="65" t="n"/>
      <c r="L1390" s="65" t="n"/>
      <c r="M1390" s="65" t="n"/>
      <c r="N1390" s="65" t="n"/>
      <c r="O1390" s="65" t="n"/>
      <c r="P1390" s="65" t="n"/>
      <c r="Q1390" s="32">
        <f>IF($C1390="","",IF($J1390="","— חסרים נתונים",IF($J1390="טרם מפענח","פרופיל 5",IF($J1390="קמץ/פתח/חטף-פתח ושוואים","פרופיל 4",IF($J1390="2-3 סימני ניקוד","פרופיל 3",IF($J1390="4-5 סימני ניקוד","פרופיל 2",IF(AND($O1390="משפטים וקטעים קצרים",OR($M1390="מבין",$M1390="מבין לרוב")),"פרופיל 1","פרופיל 2")))))))</f>
        <v/>
      </c>
      <c r="R1390" s="32">
        <f>IF($C1390="","",IF(OR($Q1390="",LEFT($Q1390,1)="—"),"קבוצה רביעית",IF($Q1390="פרופיל 5","קבוצת תשתיות",IF(OR($Q1390="פרופיל 4",$Q1390="פרופיל 3"),"קבוצת רכישה","קבוצת ביסוס"))))</f>
        <v/>
      </c>
      <c r="S1390" s="32">
        <f>IF($F1390="","",IF($F1390="תחילת שנה",1,IF($F1390="מחצית שנה",2,3)))</f>
        <v/>
      </c>
      <c r="T1390" s="32">
        <f>IF(OR($B1390="",$R1390="",$A1390="",$F1390=""),"",$B1390&amp;"|"&amp;$A1390&amp;"|"&amp;$F1390&amp;"|"&amp;$R1390&amp;"|"&amp;COUNTIFS($B$6:$B1390,$B1390,$A$6:$A1390,$A1390,$F$6:$F1390,$F1390,$R$6:$R1390,$R1390))</f>
        <v/>
      </c>
      <c r="U1390" s="32">
        <f>IF($C1390="","",$C1390&amp;"|"&amp;COUNTIFS($C$6:$C1390,$C1390))</f>
        <v/>
      </c>
      <c r="V1390" s="32">
        <f>IF(OR($C1390="",$A1390="",$S1390=""),"",$C1390&amp;"|"&amp;$A1390&amp;"|"&amp;$S1390)</f>
        <v/>
      </c>
      <c r="W1390" s="32">
        <f>IF(OR($C1390="",$S1390="",$S1390=1),"",IFERROR(INDEX($Q$6:$Q$1505,MATCH($C1390&amp;"|"&amp;$A1390&amp;"|"&amp;($S1390-1),$V$6:$V$1505,0)),""))</f>
        <v/>
      </c>
      <c r="X1390" s="32">
        <f>IF(OR($W1390="",$Q1390="",LEFT($Q1390,1)="—"),"",IF($W1390=$Q1390,"ללא שינוי","מ-"&amp;$W1390&amp;" ל-"&amp;$Q1390))</f>
        <v/>
      </c>
    </row>
    <row r="1391">
      <c r="A1391" s="65" t="n"/>
      <c r="B1391" s="65" t="n"/>
      <c r="C1391" s="66" t="n"/>
      <c r="D1391" s="66" t="n"/>
      <c r="E1391" s="65" t="n"/>
      <c r="F1391" s="65" t="n"/>
      <c r="G1391" s="65" t="n"/>
      <c r="H1391" s="65" t="n"/>
      <c r="I1391" s="65" t="n"/>
      <c r="J1391" s="65" t="n"/>
      <c r="K1391" s="65" t="n"/>
      <c r="L1391" s="65" t="n"/>
      <c r="M1391" s="65" t="n"/>
      <c r="N1391" s="65" t="n"/>
      <c r="O1391" s="65" t="n"/>
      <c r="P1391" s="65" t="n"/>
      <c r="Q1391" s="32">
        <f>IF($C1391="","",IF($J1391="","— חסרים נתונים",IF($J1391="טרם מפענח","פרופיל 5",IF($J1391="קמץ/פתח/חטף-פתח ושוואים","פרופיל 4",IF($J1391="2-3 סימני ניקוד","פרופיל 3",IF($J1391="4-5 סימני ניקוד","פרופיל 2",IF(AND($O1391="משפטים וקטעים קצרים",OR($M1391="מבין",$M1391="מבין לרוב")),"פרופיל 1","פרופיל 2")))))))</f>
        <v/>
      </c>
      <c r="R1391" s="32">
        <f>IF($C1391="","",IF(OR($Q1391="",LEFT($Q1391,1)="—"),"קבוצה רביעית",IF($Q1391="פרופיל 5","קבוצת תשתיות",IF(OR($Q1391="פרופיל 4",$Q1391="פרופיל 3"),"קבוצת רכישה","קבוצת ביסוס"))))</f>
        <v/>
      </c>
      <c r="S1391" s="32">
        <f>IF($F1391="","",IF($F1391="תחילת שנה",1,IF($F1391="מחצית שנה",2,3)))</f>
        <v/>
      </c>
      <c r="T1391" s="32">
        <f>IF(OR($B1391="",$R1391="",$A1391="",$F1391=""),"",$B1391&amp;"|"&amp;$A1391&amp;"|"&amp;$F1391&amp;"|"&amp;$R1391&amp;"|"&amp;COUNTIFS($B$6:$B1391,$B1391,$A$6:$A1391,$A1391,$F$6:$F1391,$F1391,$R$6:$R1391,$R1391))</f>
        <v/>
      </c>
      <c r="U1391" s="32">
        <f>IF($C1391="","",$C1391&amp;"|"&amp;COUNTIFS($C$6:$C1391,$C1391))</f>
        <v/>
      </c>
      <c r="V1391" s="32">
        <f>IF(OR($C1391="",$A1391="",$S1391=""),"",$C1391&amp;"|"&amp;$A1391&amp;"|"&amp;$S1391)</f>
        <v/>
      </c>
      <c r="W1391" s="32">
        <f>IF(OR($C1391="",$S1391="",$S1391=1),"",IFERROR(INDEX($Q$6:$Q$1505,MATCH($C1391&amp;"|"&amp;$A1391&amp;"|"&amp;($S1391-1),$V$6:$V$1505,0)),""))</f>
        <v/>
      </c>
      <c r="X1391" s="32">
        <f>IF(OR($W1391="",$Q1391="",LEFT($Q1391,1)="—"),"",IF($W1391=$Q1391,"ללא שינוי","מ-"&amp;$W1391&amp;" ל-"&amp;$Q1391))</f>
        <v/>
      </c>
    </row>
    <row r="1392">
      <c r="A1392" s="65" t="n"/>
      <c r="B1392" s="65" t="n"/>
      <c r="C1392" s="66" t="n"/>
      <c r="D1392" s="66" t="n"/>
      <c r="E1392" s="65" t="n"/>
      <c r="F1392" s="65" t="n"/>
      <c r="G1392" s="65" t="n"/>
      <c r="H1392" s="65" t="n"/>
      <c r="I1392" s="65" t="n"/>
      <c r="J1392" s="65" t="n"/>
      <c r="K1392" s="65" t="n"/>
      <c r="L1392" s="65" t="n"/>
      <c r="M1392" s="65" t="n"/>
      <c r="N1392" s="65" t="n"/>
      <c r="O1392" s="65" t="n"/>
      <c r="P1392" s="65" t="n"/>
      <c r="Q1392" s="32">
        <f>IF($C1392="","",IF($J1392="","— חסרים נתונים",IF($J1392="טרם מפענח","פרופיל 5",IF($J1392="קמץ/פתח/חטף-פתח ושוואים","פרופיל 4",IF($J1392="2-3 סימני ניקוד","פרופיל 3",IF($J1392="4-5 סימני ניקוד","פרופיל 2",IF(AND($O1392="משפטים וקטעים קצרים",OR($M1392="מבין",$M1392="מבין לרוב")),"פרופיל 1","פרופיל 2")))))))</f>
        <v/>
      </c>
      <c r="R1392" s="32">
        <f>IF($C1392="","",IF(OR($Q1392="",LEFT($Q1392,1)="—"),"קבוצה רביעית",IF($Q1392="פרופיל 5","קבוצת תשתיות",IF(OR($Q1392="פרופיל 4",$Q1392="פרופיל 3"),"קבוצת רכישה","קבוצת ביסוס"))))</f>
        <v/>
      </c>
      <c r="S1392" s="32">
        <f>IF($F1392="","",IF($F1392="תחילת שנה",1,IF($F1392="מחצית שנה",2,3)))</f>
        <v/>
      </c>
      <c r="T1392" s="32">
        <f>IF(OR($B1392="",$R1392="",$A1392="",$F1392=""),"",$B1392&amp;"|"&amp;$A1392&amp;"|"&amp;$F1392&amp;"|"&amp;$R1392&amp;"|"&amp;COUNTIFS($B$6:$B1392,$B1392,$A$6:$A1392,$A1392,$F$6:$F1392,$F1392,$R$6:$R1392,$R1392))</f>
        <v/>
      </c>
      <c r="U1392" s="32">
        <f>IF($C1392="","",$C1392&amp;"|"&amp;COUNTIFS($C$6:$C1392,$C1392))</f>
        <v/>
      </c>
      <c r="V1392" s="32">
        <f>IF(OR($C1392="",$A1392="",$S1392=""),"",$C1392&amp;"|"&amp;$A1392&amp;"|"&amp;$S1392)</f>
        <v/>
      </c>
      <c r="W1392" s="32">
        <f>IF(OR($C1392="",$S1392="",$S1392=1),"",IFERROR(INDEX($Q$6:$Q$1505,MATCH($C1392&amp;"|"&amp;$A1392&amp;"|"&amp;($S1392-1),$V$6:$V$1505,0)),""))</f>
        <v/>
      </c>
      <c r="X1392" s="32">
        <f>IF(OR($W1392="",$Q1392="",LEFT($Q1392,1)="—"),"",IF($W1392=$Q1392,"ללא שינוי","מ-"&amp;$W1392&amp;" ל-"&amp;$Q1392))</f>
        <v/>
      </c>
    </row>
    <row r="1393">
      <c r="A1393" s="65" t="n"/>
      <c r="B1393" s="65" t="n"/>
      <c r="C1393" s="66" t="n"/>
      <c r="D1393" s="66" t="n"/>
      <c r="E1393" s="65" t="n"/>
      <c r="F1393" s="65" t="n"/>
      <c r="G1393" s="65" t="n"/>
      <c r="H1393" s="65" t="n"/>
      <c r="I1393" s="65" t="n"/>
      <c r="J1393" s="65" t="n"/>
      <c r="K1393" s="65" t="n"/>
      <c r="L1393" s="65" t="n"/>
      <c r="M1393" s="65" t="n"/>
      <c r="N1393" s="65" t="n"/>
      <c r="O1393" s="65" t="n"/>
      <c r="P1393" s="65" t="n"/>
      <c r="Q1393" s="32">
        <f>IF($C1393="","",IF($J1393="","— חסרים נתונים",IF($J1393="טרם מפענח","פרופיל 5",IF($J1393="קמץ/פתח/חטף-פתח ושוואים","פרופיל 4",IF($J1393="2-3 סימני ניקוד","פרופיל 3",IF($J1393="4-5 סימני ניקוד","פרופיל 2",IF(AND($O1393="משפטים וקטעים קצרים",OR($M1393="מבין",$M1393="מבין לרוב")),"פרופיל 1","פרופיל 2")))))))</f>
        <v/>
      </c>
      <c r="R1393" s="32">
        <f>IF($C1393="","",IF(OR($Q1393="",LEFT($Q1393,1)="—"),"קבוצה רביעית",IF($Q1393="פרופיל 5","קבוצת תשתיות",IF(OR($Q1393="פרופיל 4",$Q1393="פרופיל 3"),"קבוצת רכישה","קבוצת ביסוס"))))</f>
        <v/>
      </c>
      <c r="S1393" s="32">
        <f>IF($F1393="","",IF($F1393="תחילת שנה",1,IF($F1393="מחצית שנה",2,3)))</f>
        <v/>
      </c>
      <c r="T1393" s="32">
        <f>IF(OR($B1393="",$R1393="",$A1393="",$F1393=""),"",$B1393&amp;"|"&amp;$A1393&amp;"|"&amp;$F1393&amp;"|"&amp;$R1393&amp;"|"&amp;COUNTIFS($B$6:$B1393,$B1393,$A$6:$A1393,$A1393,$F$6:$F1393,$F1393,$R$6:$R1393,$R1393))</f>
        <v/>
      </c>
      <c r="U1393" s="32">
        <f>IF($C1393="","",$C1393&amp;"|"&amp;COUNTIFS($C$6:$C1393,$C1393))</f>
        <v/>
      </c>
      <c r="V1393" s="32">
        <f>IF(OR($C1393="",$A1393="",$S1393=""),"",$C1393&amp;"|"&amp;$A1393&amp;"|"&amp;$S1393)</f>
        <v/>
      </c>
      <c r="W1393" s="32">
        <f>IF(OR($C1393="",$S1393="",$S1393=1),"",IFERROR(INDEX($Q$6:$Q$1505,MATCH($C1393&amp;"|"&amp;$A1393&amp;"|"&amp;($S1393-1),$V$6:$V$1505,0)),""))</f>
        <v/>
      </c>
      <c r="X1393" s="32">
        <f>IF(OR($W1393="",$Q1393="",LEFT($Q1393,1)="—"),"",IF($W1393=$Q1393,"ללא שינוי","מ-"&amp;$W1393&amp;" ל-"&amp;$Q1393))</f>
        <v/>
      </c>
    </row>
    <row r="1394">
      <c r="A1394" s="65" t="n"/>
      <c r="B1394" s="65" t="n"/>
      <c r="C1394" s="66" t="n"/>
      <c r="D1394" s="66" t="n"/>
      <c r="E1394" s="65" t="n"/>
      <c r="F1394" s="65" t="n"/>
      <c r="G1394" s="65" t="n"/>
      <c r="H1394" s="65" t="n"/>
      <c r="I1394" s="65" t="n"/>
      <c r="J1394" s="65" t="n"/>
      <c r="K1394" s="65" t="n"/>
      <c r="L1394" s="65" t="n"/>
      <c r="M1394" s="65" t="n"/>
      <c r="N1394" s="65" t="n"/>
      <c r="O1394" s="65" t="n"/>
      <c r="P1394" s="65" t="n"/>
      <c r="Q1394" s="32">
        <f>IF($C1394="","",IF($J1394="","— חסרים נתונים",IF($J1394="טרם מפענח","פרופיל 5",IF($J1394="קמץ/פתח/חטף-פתח ושוואים","פרופיל 4",IF($J1394="2-3 סימני ניקוד","פרופיל 3",IF($J1394="4-5 סימני ניקוד","פרופיל 2",IF(AND($O1394="משפטים וקטעים קצרים",OR($M1394="מבין",$M1394="מבין לרוב")),"פרופיל 1","פרופיל 2")))))))</f>
        <v/>
      </c>
      <c r="R1394" s="32">
        <f>IF($C1394="","",IF(OR($Q1394="",LEFT($Q1394,1)="—"),"קבוצה רביעית",IF($Q1394="פרופיל 5","קבוצת תשתיות",IF(OR($Q1394="פרופיל 4",$Q1394="פרופיל 3"),"קבוצת רכישה","קבוצת ביסוס"))))</f>
        <v/>
      </c>
      <c r="S1394" s="32">
        <f>IF($F1394="","",IF($F1394="תחילת שנה",1,IF($F1394="מחצית שנה",2,3)))</f>
        <v/>
      </c>
      <c r="T1394" s="32">
        <f>IF(OR($B1394="",$R1394="",$A1394="",$F1394=""),"",$B1394&amp;"|"&amp;$A1394&amp;"|"&amp;$F1394&amp;"|"&amp;$R1394&amp;"|"&amp;COUNTIFS($B$6:$B1394,$B1394,$A$6:$A1394,$A1394,$F$6:$F1394,$F1394,$R$6:$R1394,$R1394))</f>
        <v/>
      </c>
      <c r="U1394" s="32">
        <f>IF($C1394="","",$C1394&amp;"|"&amp;COUNTIFS($C$6:$C1394,$C1394))</f>
        <v/>
      </c>
      <c r="V1394" s="32">
        <f>IF(OR($C1394="",$A1394="",$S1394=""),"",$C1394&amp;"|"&amp;$A1394&amp;"|"&amp;$S1394)</f>
        <v/>
      </c>
      <c r="W1394" s="32">
        <f>IF(OR($C1394="",$S1394="",$S1394=1),"",IFERROR(INDEX($Q$6:$Q$1505,MATCH($C1394&amp;"|"&amp;$A1394&amp;"|"&amp;($S1394-1),$V$6:$V$1505,0)),""))</f>
        <v/>
      </c>
      <c r="X1394" s="32">
        <f>IF(OR($W1394="",$Q1394="",LEFT($Q1394,1)="—"),"",IF($W1394=$Q1394,"ללא שינוי","מ-"&amp;$W1394&amp;" ל-"&amp;$Q1394))</f>
        <v/>
      </c>
    </row>
    <row r="1395">
      <c r="A1395" s="65" t="n"/>
      <c r="B1395" s="65" t="n"/>
      <c r="C1395" s="66" t="n"/>
      <c r="D1395" s="66" t="n"/>
      <c r="E1395" s="65" t="n"/>
      <c r="F1395" s="65" t="n"/>
      <c r="G1395" s="65" t="n"/>
      <c r="H1395" s="65" t="n"/>
      <c r="I1395" s="65" t="n"/>
      <c r="J1395" s="65" t="n"/>
      <c r="K1395" s="65" t="n"/>
      <c r="L1395" s="65" t="n"/>
      <c r="M1395" s="65" t="n"/>
      <c r="N1395" s="65" t="n"/>
      <c r="O1395" s="65" t="n"/>
      <c r="P1395" s="65" t="n"/>
      <c r="Q1395" s="32">
        <f>IF($C1395="","",IF($J1395="","— חסרים נתונים",IF($J1395="טרם מפענח","פרופיל 5",IF($J1395="קמץ/פתח/חטף-פתח ושוואים","פרופיל 4",IF($J1395="2-3 סימני ניקוד","פרופיל 3",IF($J1395="4-5 סימני ניקוד","פרופיל 2",IF(AND($O1395="משפטים וקטעים קצרים",OR($M1395="מבין",$M1395="מבין לרוב")),"פרופיל 1","פרופיל 2")))))))</f>
        <v/>
      </c>
      <c r="R1395" s="32">
        <f>IF($C1395="","",IF(OR($Q1395="",LEFT($Q1395,1)="—"),"קבוצה רביעית",IF($Q1395="פרופיל 5","קבוצת תשתיות",IF(OR($Q1395="פרופיל 4",$Q1395="פרופיל 3"),"קבוצת רכישה","קבוצת ביסוס"))))</f>
        <v/>
      </c>
      <c r="S1395" s="32">
        <f>IF($F1395="","",IF($F1395="תחילת שנה",1,IF($F1395="מחצית שנה",2,3)))</f>
        <v/>
      </c>
      <c r="T1395" s="32">
        <f>IF(OR($B1395="",$R1395="",$A1395="",$F1395=""),"",$B1395&amp;"|"&amp;$A1395&amp;"|"&amp;$F1395&amp;"|"&amp;$R1395&amp;"|"&amp;COUNTIFS($B$6:$B1395,$B1395,$A$6:$A1395,$A1395,$F$6:$F1395,$F1395,$R$6:$R1395,$R1395))</f>
        <v/>
      </c>
      <c r="U1395" s="32">
        <f>IF($C1395="","",$C1395&amp;"|"&amp;COUNTIFS($C$6:$C1395,$C1395))</f>
        <v/>
      </c>
      <c r="V1395" s="32">
        <f>IF(OR($C1395="",$A1395="",$S1395=""),"",$C1395&amp;"|"&amp;$A1395&amp;"|"&amp;$S1395)</f>
        <v/>
      </c>
      <c r="W1395" s="32">
        <f>IF(OR($C1395="",$S1395="",$S1395=1),"",IFERROR(INDEX($Q$6:$Q$1505,MATCH($C1395&amp;"|"&amp;$A1395&amp;"|"&amp;($S1395-1),$V$6:$V$1505,0)),""))</f>
        <v/>
      </c>
      <c r="X1395" s="32">
        <f>IF(OR($W1395="",$Q1395="",LEFT($Q1395,1)="—"),"",IF($W1395=$Q1395,"ללא שינוי","מ-"&amp;$W1395&amp;" ל-"&amp;$Q1395))</f>
        <v/>
      </c>
    </row>
    <row r="1396">
      <c r="A1396" s="65" t="n"/>
      <c r="B1396" s="65" t="n"/>
      <c r="C1396" s="66" t="n"/>
      <c r="D1396" s="66" t="n"/>
      <c r="E1396" s="65" t="n"/>
      <c r="F1396" s="65" t="n"/>
      <c r="G1396" s="65" t="n"/>
      <c r="H1396" s="65" t="n"/>
      <c r="I1396" s="65" t="n"/>
      <c r="J1396" s="65" t="n"/>
      <c r="K1396" s="65" t="n"/>
      <c r="L1396" s="65" t="n"/>
      <c r="M1396" s="65" t="n"/>
      <c r="N1396" s="65" t="n"/>
      <c r="O1396" s="65" t="n"/>
      <c r="P1396" s="65" t="n"/>
      <c r="Q1396" s="32">
        <f>IF($C1396="","",IF($J1396="","— חסרים נתונים",IF($J1396="טרם מפענח","פרופיל 5",IF($J1396="קמץ/פתח/חטף-פתח ושוואים","פרופיל 4",IF($J1396="2-3 סימני ניקוד","פרופיל 3",IF($J1396="4-5 סימני ניקוד","פרופיל 2",IF(AND($O1396="משפטים וקטעים קצרים",OR($M1396="מבין",$M1396="מבין לרוב")),"פרופיל 1","פרופיל 2")))))))</f>
        <v/>
      </c>
      <c r="R1396" s="32">
        <f>IF($C1396="","",IF(OR($Q1396="",LEFT($Q1396,1)="—"),"קבוצה רביעית",IF($Q1396="פרופיל 5","קבוצת תשתיות",IF(OR($Q1396="פרופיל 4",$Q1396="פרופיל 3"),"קבוצת רכישה","קבוצת ביסוס"))))</f>
        <v/>
      </c>
      <c r="S1396" s="32">
        <f>IF($F1396="","",IF($F1396="תחילת שנה",1,IF($F1396="מחצית שנה",2,3)))</f>
        <v/>
      </c>
      <c r="T1396" s="32">
        <f>IF(OR($B1396="",$R1396="",$A1396="",$F1396=""),"",$B1396&amp;"|"&amp;$A1396&amp;"|"&amp;$F1396&amp;"|"&amp;$R1396&amp;"|"&amp;COUNTIFS($B$6:$B1396,$B1396,$A$6:$A1396,$A1396,$F$6:$F1396,$F1396,$R$6:$R1396,$R1396))</f>
        <v/>
      </c>
      <c r="U1396" s="32">
        <f>IF($C1396="","",$C1396&amp;"|"&amp;COUNTIFS($C$6:$C1396,$C1396))</f>
        <v/>
      </c>
      <c r="V1396" s="32">
        <f>IF(OR($C1396="",$A1396="",$S1396=""),"",$C1396&amp;"|"&amp;$A1396&amp;"|"&amp;$S1396)</f>
        <v/>
      </c>
      <c r="W1396" s="32">
        <f>IF(OR($C1396="",$S1396="",$S1396=1),"",IFERROR(INDEX($Q$6:$Q$1505,MATCH($C1396&amp;"|"&amp;$A1396&amp;"|"&amp;($S1396-1),$V$6:$V$1505,0)),""))</f>
        <v/>
      </c>
      <c r="X1396" s="32">
        <f>IF(OR($W1396="",$Q1396="",LEFT($Q1396,1)="—"),"",IF($W1396=$Q1396,"ללא שינוי","מ-"&amp;$W1396&amp;" ל-"&amp;$Q1396))</f>
        <v/>
      </c>
    </row>
    <row r="1397">
      <c r="A1397" s="65" t="n"/>
      <c r="B1397" s="65" t="n"/>
      <c r="C1397" s="66" t="n"/>
      <c r="D1397" s="66" t="n"/>
      <c r="E1397" s="65" t="n"/>
      <c r="F1397" s="65" t="n"/>
      <c r="G1397" s="65" t="n"/>
      <c r="H1397" s="65" t="n"/>
      <c r="I1397" s="65" t="n"/>
      <c r="J1397" s="65" t="n"/>
      <c r="K1397" s="65" t="n"/>
      <c r="L1397" s="65" t="n"/>
      <c r="M1397" s="65" t="n"/>
      <c r="N1397" s="65" t="n"/>
      <c r="O1397" s="65" t="n"/>
      <c r="P1397" s="65" t="n"/>
      <c r="Q1397" s="32">
        <f>IF($C1397="","",IF($J1397="","— חסרים נתונים",IF($J1397="טרם מפענח","פרופיל 5",IF($J1397="קמץ/פתח/חטף-פתח ושוואים","פרופיל 4",IF($J1397="2-3 סימני ניקוד","פרופיל 3",IF($J1397="4-5 סימני ניקוד","פרופיל 2",IF(AND($O1397="משפטים וקטעים קצרים",OR($M1397="מבין",$M1397="מבין לרוב")),"פרופיל 1","פרופיל 2")))))))</f>
        <v/>
      </c>
      <c r="R1397" s="32">
        <f>IF($C1397="","",IF(OR($Q1397="",LEFT($Q1397,1)="—"),"קבוצה רביעית",IF($Q1397="פרופיל 5","קבוצת תשתיות",IF(OR($Q1397="פרופיל 4",$Q1397="פרופיל 3"),"קבוצת רכישה","קבוצת ביסוס"))))</f>
        <v/>
      </c>
      <c r="S1397" s="32">
        <f>IF($F1397="","",IF($F1397="תחילת שנה",1,IF($F1397="מחצית שנה",2,3)))</f>
        <v/>
      </c>
      <c r="T1397" s="32">
        <f>IF(OR($B1397="",$R1397="",$A1397="",$F1397=""),"",$B1397&amp;"|"&amp;$A1397&amp;"|"&amp;$F1397&amp;"|"&amp;$R1397&amp;"|"&amp;COUNTIFS($B$6:$B1397,$B1397,$A$6:$A1397,$A1397,$F$6:$F1397,$F1397,$R$6:$R1397,$R1397))</f>
        <v/>
      </c>
      <c r="U1397" s="32">
        <f>IF($C1397="","",$C1397&amp;"|"&amp;COUNTIFS($C$6:$C1397,$C1397))</f>
        <v/>
      </c>
      <c r="V1397" s="32">
        <f>IF(OR($C1397="",$A1397="",$S1397=""),"",$C1397&amp;"|"&amp;$A1397&amp;"|"&amp;$S1397)</f>
        <v/>
      </c>
      <c r="W1397" s="32">
        <f>IF(OR($C1397="",$S1397="",$S1397=1),"",IFERROR(INDEX($Q$6:$Q$1505,MATCH($C1397&amp;"|"&amp;$A1397&amp;"|"&amp;($S1397-1),$V$6:$V$1505,0)),""))</f>
        <v/>
      </c>
      <c r="X1397" s="32">
        <f>IF(OR($W1397="",$Q1397="",LEFT($Q1397,1)="—"),"",IF($W1397=$Q1397,"ללא שינוי","מ-"&amp;$W1397&amp;" ל-"&amp;$Q1397))</f>
        <v/>
      </c>
    </row>
    <row r="1398">
      <c r="A1398" s="65" t="n"/>
      <c r="B1398" s="65" t="n"/>
      <c r="C1398" s="66" t="n"/>
      <c r="D1398" s="66" t="n"/>
      <c r="E1398" s="65" t="n"/>
      <c r="F1398" s="65" t="n"/>
      <c r="G1398" s="65" t="n"/>
      <c r="H1398" s="65" t="n"/>
      <c r="I1398" s="65" t="n"/>
      <c r="J1398" s="65" t="n"/>
      <c r="K1398" s="65" t="n"/>
      <c r="L1398" s="65" t="n"/>
      <c r="M1398" s="65" t="n"/>
      <c r="N1398" s="65" t="n"/>
      <c r="O1398" s="65" t="n"/>
      <c r="P1398" s="65" t="n"/>
      <c r="Q1398" s="32">
        <f>IF($C1398="","",IF($J1398="","— חסרים נתונים",IF($J1398="טרם מפענח","פרופיל 5",IF($J1398="קמץ/פתח/חטף-פתח ושוואים","פרופיל 4",IF($J1398="2-3 סימני ניקוד","פרופיל 3",IF($J1398="4-5 סימני ניקוד","פרופיל 2",IF(AND($O1398="משפטים וקטעים קצרים",OR($M1398="מבין",$M1398="מבין לרוב")),"פרופיל 1","פרופיל 2")))))))</f>
        <v/>
      </c>
      <c r="R1398" s="32">
        <f>IF($C1398="","",IF(OR($Q1398="",LEFT($Q1398,1)="—"),"קבוצה רביעית",IF($Q1398="פרופיל 5","קבוצת תשתיות",IF(OR($Q1398="פרופיל 4",$Q1398="פרופיל 3"),"קבוצת רכישה","קבוצת ביסוס"))))</f>
        <v/>
      </c>
      <c r="S1398" s="32">
        <f>IF($F1398="","",IF($F1398="תחילת שנה",1,IF($F1398="מחצית שנה",2,3)))</f>
        <v/>
      </c>
      <c r="T1398" s="32">
        <f>IF(OR($B1398="",$R1398="",$A1398="",$F1398=""),"",$B1398&amp;"|"&amp;$A1398&amp;"|"&amp;$F1398&amp;"|"&amp;$R1398&amp;"|"&amp;COUNTIFS($B$6:$B1398,$B1398,$A$6:$A1398,$A1398,$F$6:$F1398,$F1398,$R$6:$R1398,$R1398))</f>
        <v/>
      </c>
      <c r="U1398" s="32">
        <f>IF($C1398="","",$C1398&amp;"|"&amp;COUNTIFS($C$6:$C1398,$C1398))</f>
        <v/>
      </c>
      <c r="V1398" s="32">
        <f>IF(OR($C1398="",$A1398="",$S1398=""),"",$C1398&amp;"|"&amp;$A1398&amp;"|"&amp;$S1398)</f>
        <v/>
      </c>
      <c r="W1398" s="32">
        <f>IF(OR($C1398="",$S1398="",$S1398=1),"",IFERROR(INDEX($Q$6:$Q$1505,MATCH($C1398&amp;"|"&amp;$A1398&amp;"|"&amp;($S1398-1),$V$6:$V$1505,0)),""))</f>
        <v/>
      </c>
      <c r="X1398" s="32">
        <f>IF(OR($W1398="",$Q1398="",LEFT($Q1398,1)="—"),"",IF($W1398=$Q1398,"ללא שינוי","מ-"&amp;$W1398&amp;" ל-"&amp;$Q1398))</f>
        <v/>
      </c>
    </row>
    <row r="1399">
      <c r="A1399" s="65" t="n"/>
      <c r="B1399" s="65" t="n"/>
      <c r="C1399" s="66" t="n"/>
      <c r="D1399" s="66" t="n"/>
      <c r="E1399" s="65" t="n"/>
      <c r="F1399" s="65" t="n"/>
      <c r="G1399" s="65" t="n"/>
      <c r="H1399" s="65" t="n"/>
      <c r="I1399" s="65" t="n"/>
      <c r="J1399" s="65" t="n"/>
      <c r="K1399" s="65" t="n"/>
      <c r="L1399" s="65" t="n"/>
      <c r="M1399" s="65" t="n"/>
      <c r="N1399" s="65" t="n"/>
      <c r="O1399" s="65" t="n"/>
      <c r="P1399" s="65" t="n"/>
      <c r="Q1399" s="32">
        <f>IF($C1399="","",IF($J1399="","— חסרים נתונים",IF($J1399="טרם מפענח","פרופיל 5",IF($J1399="קמץ/פתח/חטף-פתח ושוואים","פרופיל 4",IF($J1399="2-3 סימני ניקוד","פרופיל 3",IF($J1399="4-5 סימני ניקוד","פרופיל 2",IF(AND($O1399="משפטים וקטעים קצרים",OR($M1399="מבין",$M1399="מבין לרוב")),"פרופיל 1","פרופיל 2")))))))</f>
        <v/>
      </c>
      <c r="R1399" s="32">
        <f>IF($C1399="","",IF(OR($Q1399="",LEFT($Q1399,1)="—"),"קבוצה רביעית",IF($Q1399="פרופיל 5","קבוצת תשתיות",IF(OR($Q1399="פרופיל 4",$Q1399="פרופיל 3"),"קבוצת רכישה","קבוצת ביסוס"))))</f>
        <v/>
      </c>
      <c r="S1399" s="32">
        <f>IF($F1399="","",IF($F1399="תחילת שנה",1,IF($F1399="מחצית שנה",2,3)))</f>
        <v/>
      </c>
      <c r="T1399" s="32">
        <f>IF(OR($B1399="",$R1399="",$A1399="",$F1399=""),"",$B1399&amp;"|"&amp;$A1399&amp;"|"&amp;$F1399&amp;"|"&amp;$R1399&amp;"|"&amp;COUNTIFS($B$6:$B1399,$B1399,$A$6:$A1399,$A1399,$F$6:$F1399,$F1399,$R$6:$R1399,$R1399))</f>
        <v/>
      </c>
      <c r="U1399" s="32">
        <f>IF($C1399="","",$C1399&amp;"|"&amp;COUNTIFS($C$6:$C1399,$C1399))</f>
        <v/>
      </c>
      <c r="V1399" s="32">
        <f>IF(OR($C1399="",$A1399="",$S1399=""),"",$C1399&amp;"|"&amp;$A1399&amp;"|"&amp;$S1399)</f>
        <v/>
      </c>
      <c r="W1399" s="32">
        <f>IF(OR($C1399="",$S1399="",$S1399=1),"",IFERROR(INDEX($Q$6:$Q$1505,MATCH($C1399&amp;"|"&amp;$A1399&amp;"|"&amp;($S1399-1),$V$6:$V$1505,0)),""))</f>
        <v/>
      </c>
      <c r="X1399" s="32">
        <f>IF(OR($W1399="",$Q1399="",LEFT($Q1399,1)="—"),"",IF($W1399=$Q1399,"ללא שינוי","מ-"&amp;$W1399&amp;" ל-"&amp;$Q1399))</f>
        <v/>
      </c>
    </row>
    <row r="1400">
      <c r="A1400" s="65" t="n"/>
      <c r="B1400" s="65" t="n"/>
      <c r="C1400" s="66" t="n"/>
      <c r="D1400" s="66" t="n"/>
      <c r="E1400" s="65" t="n"/>
      <c r="F1400" s="65" t="n"/>
      <c r="G1400" s="65" t="n"/>
      <c r="H1400" s="65" t="n"/>
      <c r="I1400" s="65" t="n"/>
      <c r="J1400" s="65" t="n"/>
      <c r="K1400" s="65" t="n"/>
      <c r="L1400" s="65" t="n"/>
      <c r="M1400" s="65" t="n"/>
      <c r="N1400" s="65" t="n"/>
      <c r="O1400" s="65" t="n"/>
      <c r="P1400" s="65" t="n"/>
      <c r="Q1400" s="32">
        <f>IF($C1400="","",IF($J1400="","— חסרים נתונים",IF($J1400="טרם מפענח","פרופיל 5",IF($J1400="קמץ/פתח/חטף-פתח ושוואים","פרופיל 4",IF($J1400="2-3 סימני ניקוד","פרופיל 3",IF($J1400="4-5 סימני ניקוד","פרופיל 2",IF(AND($O1400="משפטים וקטעים קצרים",OR($M1400="מבין",$M1400="מבין לרוב")),"פרופיל 1","פרופיל 2")))))))</f>
        <v/>
      </c>
      <c r="R1400" s="32">
        <f>IF($C1400="","",IF(OR($Q1400="",LEFT($Q1400,1)="—"),"קבוצה רביעית",IF($Q1400="פרופיל 5","קבוצת תשתיות",IF(OR($Q1400="פרופיל 4",$Q1400="פרופיל 3"),"קבוצת רכישה","קבוצת ביסוס"))))</f>
        <v/>
      </c>
      <c r="S1400" s="32">
        <f>IF($F1400="","",IF($F1400="תחילת שנה",1,IF($F1400="מחצית שנה",2,3)))</f>
        <v/>
      </c>
      <c r="T1400" s="32">
        <f>IF(OR($B1400="",$R1400="",$A1400="",$F1400=""),"",$B1400&amp;"|"&amp;$A1400&amp;"|"&amp;$F1400&amp;"|"&amp;$R1400&amp;"|"&amp;COUNTIFS($B$6:$B1400,$B1400,$A$6:$A1400,$A1400,$F$6:$F1400,$F1400,$R$6:$R1400,$R1400))</f>
        <v/>
      </c>
      <c r="U1400" s="32">
        <f>IF($C1400="","",$C1400&amp;"|"&amp;COUNTIFS($C$6:$C1400,$C1400))</f>
        <v/>
      </c>
      <c r="V1400" s="32">
        <f>IF(OR($C1400="",$A1400="",$S1400=""),"",$C1400&amp;"|"&amp;$A1400&amp;"|"&amp;$S1400)</f>
        <v/>
      </c>
      <c r="W1400" s="32">
        <f>IF(OR($C1400="",$S1400="",$S1400=1),"",IFERROR(INDEX($Q$6:$Q$1505,MATCH($C1400&amp;"|"&amp;$A1400&amp;"|"&amp;($S1400-1),$V$6:$V$1505,0)),""))</f>
        <v/>
      </c>
      <c r="X1400" s="32">
        <f>IF(OR($W1400="",$Q1400="",LEFT($Q1400,1)="—"),"",IF($W1400=$Q1400,"ללא שינוי","מ-"&amp;$W1400&amp;" ל-"&amp;$Q1400))</f>
        <v/>
      </c>
    </row>
    <row r="1401">
      <c r="A1401" s="65" t="n"/>
      <c r="B1401" s="65" t="n"/>
      <c r="C1401" s="66" t="n"/>
      <c r="D1401" s="66" t="n"/>
      <c r="E1401" s="65" t="n"/>
      <c r="F1401" s="65" t="n"/>
      <c r="G1401" s="65" t="n"/>
      <c r="H1401" s="65" t="n"/>
      <c r="I1401" s="65" t="n"/>
      <c r="J1401" s="65" t="n"/>
      <c r="K1401" s="65" t="n"/>
      <c r="L1401" s="65" t="n"/>
      <c r="M1401" s="65" t="n"/>
      <c r="N1401" s="65" t="n"/>
      <c r="O1401" s="65" t="n"/>
      <c r="P1401" s="65" t="n"/>
      <c r="Q1401" s="32">
        <f>IF($C1401="","",IF($J1401="","— חסרים נתונים",IF($J1401="טרם מפענח","פרופיל 5",IF($J1401="קמץ/פתח/חטף-פתח ושוואים","פרופיל 4",IF($J1401="2-3 סימני ניקוד","פרופיל 3",IF($J1401="4-5 סימני ניקוד","פרופיל 2",IF(AND($O1401="משפטים וקטעים קצרים",OR($M1401="מבין",$M1401="מבין לרוב")),"פרופיל 1","פרופיל 2")))))))</f>
        <v/>
      </c>
      <c r="R1401" s="32">
        <f>IF($C1401="","",IF(OR($Q1401="",LEFT($Q1401,1)="—"),"קבוצה רביעית",IF($Q1401="פרופיל 5","קבוצת תשתיות",IF(OR($Q1401="פרופיל 4",$Q1401="פרופיל 3"),"קבוצת רכישה","קבוצת ביסוס"))))</f>
        <v/>
      </c>
      <c r="S1401" s="32">
        <f>IF($F1401="","",IF($F1401="תחילת שנה",1,IF($F1401="מחצית שנה",2,3)))</f>
        <v/>
      </c>
      <c r="T1401" s="32">
        <f>IF(OR($B1401="",$R1401="",$A1401="",$F1401=""),"",$B1401&amp;"|"&amp;$A1401&amp;"|"&amp;$F1401&amp;"|"&amp;$R1401&amp;"|"&amp;COUNTIFS($B$6:$B1401,$B1401,$A$6:$A1401,$A1401,$F$6:$F1401,$F1401,$R$6:$R1401,$R1401))</f>
        <v/>
      </c>
      <c r="U1401" s="32">
        <f>IF($C1401="","",$C1401&amp;"|"&amp;COUNTIFS($C$6:$C1401,$C1401))</f>
        <v/>
      </c>
      <c r="V1401" s="32">
        <f>IF(OR($C1401="",$A1401="",$S1401=""),"",$C1401&amp;"|"&amp;$A1401&amp;"|"&amp;$S1401)</f>
        <v/>
      </c>
      <c r="W1401" s="32">
        <f>IF(OR($C1401="",$S1401="",$S1401=1),"",IFERROR(INDEX($Q$6:$Q$1505,MATCH($C1401&amp;"|"&amp;$A1401&amp;"|"&amp;($S1401-1),$V$6:$V$1505,0)),""))</f>
        <v/>
      </c>
      <c r="X1401" s="32">
        <f>IF(OR($W1401="",$Q1401="",LEFT($Q1401,1)="—"),"",IF($W1401=$Q1401,"ללא שינוי","מ-"&amp;$W1401&amp;" ל-"&amp;$Q1401))</f>
        <v/>
      </c>
    </row>
    <row r="1402">
      <c r="A1402" s="65" t="n"/>
      <c r="B1402" s="65" t="n"/>
      <c r="C1402" s="66" t="n"/>
      <c r="D1402" s="66" t="n"/>
      <c r="E1402" s="65" t="n"/>
      <c r="F1402" s="65" t="n"/>
      <c r="G1402" s="65" t="n"/>
      <c r="H1402" s="65" t="n"/>
      <c r="I1402" s="65" t="n"/>
      <c r="J1402" s="65" t="n"/>
      <c r="K1402" s="65" t="n"/>
      <c r="L1402" s="65" t="n"/>
      <c r="M1402" s="65" t="n"/>
      <c r="N1402" s="65" t="n"/>
      <c r="O1402" s="65" t="n"/>
      <c r="P1402" s="65" t="n"/>
      <c r="Q1402" s="32">
        <f>IF($C1402="","",IF($J1402="","— חסרים נתונים",IF($J1402="טרם מפענח","פרופיל 5",IF($J1402="קמץ/פתח/חטף-פתח ושוואים","פרופיל 4",IF($J1402="2-3 סימני ניקוד","פרופיל 3",IF($J1402="4-5 סימני ניקוד","פרופיל 2",IF(AND($O1402="משפטים וקטעים קצרים",OR($M1402="מבין",$M1402="מבין לרוב")),"פרופיל 1","פרופיל 2")))))))</f>
        <v/>
      </c>
      <c r="R1402" s="32">
        <f>IF($C1402="","",IF(OR($Q1402="",LEFT($Q1402,1)="—"),"קבוצה רביעית",IF($Q1402="פרופיל 5","קבוצת תשתיות",IF(OR($Q1402="פרופיל 4",$Q1402="פרופיל 3"),"קבוצת רכישה","קבוצת ביסוס"))))</f>
        <v/>
      </c>
      <c r="S1402" s="32">
        <f>IF($F1402="","",IF($F1402="תחילת שנה",1,IF($F1402="מחצית שנה",2,3)))</f>
        <v/>
      </c>
      <c r="T1402" s="32">
        <f>IF(OR($B1402="",$R1402="",$A1402="",$F1402=""),"",$B1402&amp;"|"&amp;$A1402&amp;"|"&amp;$F1402&amp;"|"&amp;$R1402&amp;"|"&amp;COUNTIFS($B$6:$B1402,$B1402,$A$6:$A1402,$A1402,$F$6:$F1402,$F1402,$R$6:$R1402,$R1402))</f>
        <v/>
      </c>
      <c r="U1402" s="32">
        <f>IF($C1402="","",$C1402&amp;"|"&amp;COUNTIFS($C$6:$C1402,$C1402))</f>
        <v/>
      </c>
      <c r="V1402" s="32">
        <f>IF(OR($C1402="",$A1402="",$S1402=""),"",$C1402&amp;"|"&amp;$A1402&amp;"|"&amp;$S1402)</f>
        <v/>
      </c>
      <c r="W1402" s="32">
        <f>IF(OR($C1402="",$S1402="",$S1402=1),"",IFERROR(INDEX($Q$6:$Q$1505,MATCH($C1402&amp;"|"&amp;$A1402&amp;"|"&amp;($S1402-1),$V$6:$V$1505,0)),""))</f>
        <v/>
      </c>
      <c r="X1402" s="32">
        <f>IF(OR($W1402="",$Q1402="",LEFT($Q1402,1)="—"),"",IF($W1402=$Q1402,"ללא שינוי","מ-"&amp;$W1402&amp;" ל-"&amp;$Q1402))</f>
        <v/>
      </c>
    </row>
    <row r="1403">
      <c r="A1403" s="65" t="n"/>
      <c r="B1403" s="65" t="n"/>
      <c r="C1403" s="66" t="n"/>
      <c r="D1403" s="66" t="n"/>
      <c r="E1403" s="65" t="n"/>
      <c r="F1403" s="65" t="n"/>
      <c r="G1403" s="65" t="n"/>
      <c r="H1403" s="65" t="n"/>
      <c r="I1403" s="65" t="n"/>
      <c r="J1403" s="65" t="n"/>
      <c r="K1403" s="65" t="n"/>
      <c r="L1403" s="65" t="n"/>
      <c r="M1403" s="65" t="n"/>
      <c r="N1403" s="65" t="n"/>
      <c r="O1403" s="65" t="n"/>
      <c r="P1403" s="65" t="n"/>
      <c r="Q1403" s="32">
        <f>IF($C1403="","",IF($J1403="","— חסרים נתונים",IF($J1403="טרם מפענח","פרופיל 5",IF($J1403="קמץ/פתח/חטף-פתח ושוואים","פרופיל 4",IF($J1403="2-3 סימני ניקוד","פרופיל 3",IF($J1403="4-5 סימני ניקוד","פרופיל 2",IF(AND($O1403="משפטים וקטעים קצרים",OR($M1403="מבין",$M1403="מבין לרוב")),"פרופיל 1","פרופיל 2")))))))</f>
        <v/>
      </c>
      <c r="R1403" s="32">
        <f>IF($C1403="","",IF(OR($Q1403="",LEFT($Q1403,1)="—"),"קבוצה רביעית",IF($Q1403="פרופיל 5","קבוצת תשתיות",IF(OR($Q1403="פרופיל 4",$Q1403="פרופיל 3"),"קבוצת רכישה","קבוצת ביסוס"))))</f>
        <v/>
      </c>
      <c r="S1403" s="32">
        <f>IF($F1403="","",IF($F1403="תחילת שנה",1,IF($F1403="מחצית שנה",2,3)))</f>
        <v/>
      </c>
      <c r="T1403" s="32">
        <f>IF(OR($B1403="",$R1403="",$A1403="",$F1403=""),"",$B1403&amp;"|"&amp;$A1403&amp;"|"&amp;$F1403&amp;"|"&amp;$R1403&amp;"|"&amp;COUNTIFS($B$6:$B1403,$B1403,$A$6:$A1403,$A1403,$F$6:$F1403,$F1403,$R$6:$R1403,$R1403))</f>
        <v/>
      </c>
      <c r="U1403" s="32">
        <f>IF($C1403="","",$C1403&amp;"|"&amp;COUNTIFS($C$6:$C1403,$C1403))</f>
        <v/>
      </c>
      <c r="V1403" s="32">
        <f>IF(OR($C1403="",$A1403="",$S1403=""),"",$C1403&amp;"|"&amp;$A1403&amp;"|"&amp;$S1403)</f>
        <v/>
      </c>
      <c r="W1403" s="32">
        <f>IF(OR($C1403="",$S1403="",$S1403=1),"",IFERROR(INDEX($Q$6:$Q$1505,MATCH($C1403&amp;"|"&amp;$A1403&amp;"|"&amp;($S1403-1),$V$6:$V$1505,0)),""))</f>
        <v/>
      </c>
      <c r="X1403" s="32">
        <f>IF(OR($W1403="",$Q1403="",LEFT($Q1403,1)="—"),"",IF($W1403=$Q1403,"ללא שינוי","מ-"&amp;$W1403&amp;" ל-"&amp;$Q1403))</f>
        <v/>
      </c>
    </row>
    <row r="1404">
      <c r="A1404" s="65" t="n"/>
      <c r="B1404" s="65" t="n"/>
      <c r="C1404" s="66" t="n"/>
      <c r="D1404" s="66" t="n"/>
      <c r="E1404" s="65" t="n"/>
      <c r="F1404" s="65" t="n"/>
      <c r="G1404" s="65" t="n"/>
      <c r="H1404" s="65" t="n"/>
      <c r="I1404" s="65" t="n"/>
      <c r="J1404" s="65" t="n"/>
      <c r="K1404" s="65" t="n"/>
      <c r="L1404" s="65" t="n"/>
      <c r="M1404" s="65" t="n"/>
      <c r="N1404" s="65" t="n"/>
      <c r="O1404" s="65" t="n"/>
      <c r="P1404" s="65" t="n"/>
      <c r="Q1404" s="32">
        <f>IF($C1404="","",IF($J1404="","— חסרים נתונים",IF($J1404="טרם מפענח","פרופיל 5",IF($J1404="קמץ/פתח/חטף-פתח ושוואים","פרופיל 4",IF($J1404="2-3 סימני ניקוד","פרופיל 3",IF($J1404="4-5 סימני ניקוד","פרופיל 2",IF(AND($O1404="משפטים וקטעים קצרים",OR($M1404="מבין",$M1404="מבין לרוב")),"פרופיל 1","פרופיל 2")))))))</f>
        <v/>
      </c>
      <c r="R1404" s="32">
        <f>IF($C1404="","",IF(OR($Q1404="",LEFT($Q1404,1)="—"),"קבוצה רביעית",IF($Q1404="פרופיל 5","קבוצת תשתיות",IF(OR($Q1404="פרופיל 4",$Q1404="פרופיל 3"),"קבוצת רכישה","קבוצת ביסוס"))))</f>
        <v/>
      </c>
      <c r="S1404" s="32">
        <f>IF($F1404="","",IF($F1404="תחילת שנה",1,IF($F1404="מחצית שנה",2,3)))</f>
        <v/>
      </c>
      <c r="T1404" s="32">
        <f>IF(OR($B1404="",$R1404="",$A1404="",$F1404=""),"",$B1404&amp;"|"&amp;$A1404&amp;"|"&amp;$F1404&amp;"|"&amp;$R1404&amp;"|"&amp;COUNTIFS($B$6:$B1404,$B1404,$A$6:$A1404,$A1404,$F$6:$F1404,$F1404,$R$6:$R1404,$R1404))</f>
        <v/>
      </c>
      <c r="U1404" s="32">
        <f>IF($C1404="","",$C1404&amp;"|"&amp;COUNTIFS($C$6:$C1404,$C1404))</f>
        <v/>
      </c>
      <c r="V1404" s="32">
        <f>IF(OR($C1404="",$A1404="",$S1404=""),"",$C1404&amp;"|"&amp;$A1404&amp;"|"&amp;$S1404)</f>
        <v/>
      </c>
      <c r="W1404" s="32">
        <f>IF(OR($C1404="",$S1404="",$S1404=1),"",IFERROR(INDEX($Q$6:$Q$1505,MATCH($C1404&amp;"|"&amp;$A1404&amp;"|"&amp;($S1404-1),$V$6:$V$1505,0)),""))</f>
        <v/>
      </c>
      <c r="X1404" s="32">
        <f>IF(OR($W1404="",$Q1404="",LEFT($Q1404,1)="—"),"",IF($W1404=$Q1404,"ללא שינוי","מ-"&amp;$W1404&amp;" ל-"&amp;$Q1404))</f>
        <v/>
      </c>
    </row>
    <row r="1405">
      <c r="A1405" s="65" t="n"/>
      <c r="B1405" s="65" t="n"/>
      <c r="C1405" s="66" t="n"/>
      <c r="D1405" s="66" t="n"/>
      <c r="E1405" s="65" t="n"/>
      <c r="F1405" s="65" t="n"/>
      <c r="G1405" s="65" t="n"/>
      <c r="H1405" s="65" t="n"/>
      <c r="I1405" s="65" t="n"/>
      <c r="J1405" s="65" t="n"/>
      <c r="K1405" s="65" t="n"/>
      <c r="L1405" s="65" t="n"/>
      <c r="M1405" s="65" t="n"/>
      <c r="N1405" s="65" t="n"/>
      <c r="O1405" s="65" t="n"/>
      <c r="P1405" s="65" t="n"/>
      <c r="Q1405" s="32">
        <f>IF($C1405="","",IF($J1405="","— חסרים נתונים",IF($J1405="טרם מפענח","פרופיל 5",IF($J1405="קמץ/פתח/חטף-פתח ושוואים","פרופיל 4",IF($J1405="2-3 סימני ניקוד","פרופיל 3",IF($J1405="4-5 סימני ניקוד","פרופיל 2",IF(AND($O1405="משפטים וקטעים קצרים",OR($M1405="מבין",$M1405="מבין לרוב")),"פרופיל 1","פרופיל 2")))))))</f>
        <v/>
      </c>
      <c r="R1405" s="32">
        <f>IF($C1405="","",IF(OR($Q1405="",LEFT($Q1405,1)="—"),"קבוצה רביעית",IF($Q1405="פרופיל 5","קבוצת תשתיות",IF(OR($Q1405="פרופיל 4",$Q1405="פרופיל 3"),"קבוצת רכישה","קבוצת ביסוס"))))</f>
        <v/>
      </c>
      <c r="S1405" s="32">
        <f>IF($F1405="","",IF($F1405="תחילת שנה",1,IF($F1405="מחצית שנה",2,3)))</f>
        <v/>
      </c>
      <c r="T1405" s="32">
        <f>IF(OR($B1405="",$R1405="",$A1405="",$F1405=""),"",$B1405&amp;"|"&amp;$A1405&amp;"|"&amp;$F1405&amp;"|"&amp;$R1405&amp;"|"&amp;COUNTIFS($B$6:$B1405,$B1405,$A$6:$A1405,$A1405,$F$6:$F1405,$F1405,$R$6:$R1405,$R1405))</f>
        <v/>
      </c>
      <c r="U1405" s="32">
        <f>IF($C1405="","",$C1405&amp;"|"&amp;COUNTIFS($C$6:$C1405,$C1405))</f>
        <v/>
      </c>
      <c r="V1405" s="32">
        <f>IF(OR($C1405="",$A1405="",$S1405=""),"",$C1405&amp;"|"&amp;$A1405&amp;"|"&amp;$S1405)</f>
        <v/>
      </c>
      <c r="W1405" s="32">
        <f>IF(OR($C1405="",$S1405="",$S1405=1),"",IFERROR(INDEX($Q$6:$Q$1505,MATCH($C1405&amp;"|"&amp;$A1405&amp;"|"&amp;($S1405-1),$V$6:$V$1505,0)),""))</f>
        <v/>
      </c>
      <c r="X1405" s="32">
        <f>IF(OR($W1405="",$Q1405="",LEFT($Q1405,1)="—"),"",IF($W1405=$Q1405,"ללא שינוי","מ-"&amp;$W1405&amp;" ל-"&amp;$Q1405))</f>
        <v/>
      </c>
    </row>
    <row r="1406">
      <c r="A1406" s="65" t="n"/>
      <c r="B1406" s="65" t="n"/>
      <c r="C1406" s="66" t="n"/>
      <c r="D1406" s="66" t="n"/>
      <c r="E1406" s="65" t="n"/>
      <c r="F1406" s="65" t="n"/>
      <c r="G1406" s="65" t="n"/>
      <c r="H1406" s="65" t="n"/>
      <c r="I1406" s="65" t="n"/>
      <c r="J1406" s="65" t="n"/>
      <c r="K1406" s="65" t="n"/>
      <c r="L1406" s="65" t="n"/>
      <c r="M1406" s="65" t="n"/>
      <c r="N1406" s="65" t="n"/>
      <c r="O1406" s="65" t="n"/>
      <c r="P1406" s="65" t="n"/>
      <c r="Q1406" s="32">
        <f>IF($C1406="","",IF($J1406="","— חסרים נתונים",IF($J1406="טרם מפענח","פרופיל 5",IF($J1406="קמץ/פתח/חטף-פתח ושוואים","פרופיל 4",IF($J1406="2-3 סימני ניקוד","פרופיל 3",IF($J1406="4-5 סימני ניקוד","פרופיל 2",IF(AND($O1406="משפטים וקטעים קצרים",OR($M1406="מבין",$M1406="מבין לרוב")),"פרופיל 1","פרופיל 2")))))))</f>
        <v/>
      </c>
      <c r="R1406" s="32">
        <f>IF($C1406="","",IF(OR($Q1406="",LEFT($Q1406,1)="—"),"קבוצה רביעית",IF($Q1406="פרופיל 5","קבוצת תשתיות",IF(OR($Q1406="פרופיל 4",$Q1406="פרופיל 3"),"קבוצת רכישה","קבוצת ביסוס"))))</f>
        <v/>
      </c>
      <c r="S1406" s="32">
        <f>IF($F1406="","",IF($F1406="תחילת שנה",1,IF($F1406="מחצית שנה",2,3)))</f>
        <v/>
      </c>
      <c r="T1406" s="32">
        <f>IF(OR($B1406="",$R1406="",$A1406="",$F1406=""),"",$B1406&amp;"|"&amp;$A1406&amp;"|"&amp;$F1406&amp;"|"&amp;$R1406&amp;"|"&amp;COUNTIFS($B$6:$B1406,$B1406,$A$6:$A1406,$A1406,$F$6:$F1406,$F1406,$R$6:$R1406,$R1406))</f>
        <v/>
      </c>
      <c r="U1406" s="32">
        <f>IF($C1406="","",$C1406&amp;"|"&amp;COUNTIFS($C$6:$C1406,$C1406))</f>
        <v/>
      </c>
      <c r="V1406" s="32">
        <f>IF(OR($C1406="",$A1406="",$S1406=""),"",$C1406&amp;"|"&amp;$A1406&amp;"|"&amp;$S1406)</f>
        <v/>
      </c>
      <c r="W1406" s="32">
        <f>IF(OR($C1406="",$S1406="",$S1406=1),"",IFERROR(INDEX($Q$6:$Q$1505,MATCH($C1406&amp;"|"&amp;$A1406&amp;"|"&amp;($S1406-1),$V$6:$V$1505,0)),""))</f>
        <v/>
      </c>
      <c r="X1406" s="32">
        <f>IF(OR($W1406="",$Q1406="",LEFT($Q1406,1)="—"),"",IF($W1406=$Q1406,"ללא שינוי","מ-"&amp;$W1406&amp;" ל-"&amp;$Q1406))</f>
        <v/>
      </c>
    </row>
    <row r="1407">
      <c r="A1407" s="65" t="n"/>
      <c r="B1407" s="65" t="n"/>
      <c r="C1407" s="66" t="n"/>
      <c r="D1407" s="66" t="n"/>
      <c r="E1407" s="65" t="n"/>
      <c r="F1407" s="65" t="n"/>
      <c r="G1407" s="65" t="n"/>
      <c r="H1407" s="65" t="n"/>
      <c r="I1407" s="65" t="n"/>
      <c r="J1407" s="65" t="n"/>
      <c r="K1407" s="65" t="n"/>
      <c r="L1407" s="65" t="n"/>
      <c r="M1407" s="65" t="n"/>
      <c r="N1407" s="65" t="n"/>
      <c r="O1407" s="65" t="n"/>
      <c r="P1407" s="65" t="n"/>
      <c r="Q1407" s="32">
        <f>IF($C1407="","",IF($J1407="","— חסרים נתונים",IF($J1407="טרם מפענח","פרופיל 5",IF($J1407="קמץ/פתח/חטף-פתח ושוואים","פרופיל 4",IF($J1407="2-3 סימני ניקוד","פרופיל 3",IF($J1407="4-5 סימני ניקוד","פרופיל 2",IF(AND($O1407="משפטים וקטעים קצרים",OR($M1407="מבין",$M1407="מבין לרוב")),"פרופיל 1","פרופיל 2")))))))</f>
        <v/>
      </c>
      <c r="R1407" s="32">
        <f>IF($C1407="","",IF(OR($Q1407="",LEFT($Q1407,1)="—"),"קבוצה רביעית",IF($Q1407="פרופיל 5","קבוצת תשתיות",IF(OR($Q1407="פרופיל 4",$Q1407="פרופיל 3"),"קבוצת רכישה","קבוצת ביסוס"))))</f>
        <v/>
      </c>
      <c r="S1407" s="32">
        <f>IF($F1407="","",IF($F1407="תחילת שנה",1,IF($F1407="מחצית שנה",2,3)))</f>
        <v/>
      </c>
      <c r="T1407" s="32">
        <f>IF(OR($B1407="",$R1407="",$A1407="",$F1407=""),"",$B1407&amp;"|"&amp;$A1407&amp;"|"&amp;$F1407&amp;"|"&amp;$R1407&amp;"|"&amp;COUNTIFS($B$6:$B1407,$B1407,$A$6:$A1407,$A1407,$F$6:$F1407,$F1407,$R$6:$R1407,$R1407))</f>
        <v/>
      </c>
      <c r="U1407" s="32">
        <f>IF($C1407="","",$C1407&amp;"|"&amp;COUNTIFS($C$6:$C1407,$C1407))</f>
        <v/>
      </c>
      <c r="V1407" s="32">
        <f>IF(OR($C1407="",$A1407="",$S1407=""),"",$C1407&amp;"|"&amp;$A1407&amp;"|"&amp;$S1407)</f>
        <v/>
      </c>
      <c r="W1407" s="32">
        <f>IF(OR($C1407="",$S1407="",$S1407=1),"",IFERROR(INDEX($Q$6:$Q$1505,MATCH($C1407&amp;"|"&amp;$A1407&amp;"|"&amp;($S1407-1),$V$6:$V$1505,0)),""))</f>
        <v/>
      </c>
      <c r="X1407" s="32">
        <f>IF(OR($W1407="",$Q1407="",LEFT($Q1407,1)="—"),"",IF($W1407=$Q1407,"ללא שינוי","מ-"&amp;$W1407&amp;" ל-"&amp;$Q1407))</f>
        <v/>
      </c>
    </row>
    <row r="1408">
      <c r="A1408" s="65" t="n"/>
      <c r="B1408" s="65" t="n"/>
      <c r="C1408" s="66" t="n"/>
      <c r="D1408" s="66" t="n"/>
      <c r="E1408" s="65" t="n"/>
      <c r="F1408" s="65" t="n"/>
      <c r="G1408" s="65" t="n"/>
      <c r="H1408" s="65" t="n"/>
      <c r="I1408" s="65" t="n"/>
      <c r="J1408" s="65" t="n"/>
      <c r="K1408" s="65" t="n"/>
      <c r="L1408" s="65" t="n"/>
      <c r="M1408" s="65" t="n"/>
      <c r="N1408" s="65" t="n"/>
      <c r="O1408" s="65" t="n"/>
      <c r="P1408" s="65" t="n"/>
      <c r="Q1408" s="32">
        <f>IF($C1408="","",IF($J1408="","— חסרים נתונים",IF($J1408="טרם מפענח","פרופיל 5",IF($J1408="קמץ/פתח/חטף-פתח ושוואים","פרופיל 4",IF($J1408="2-3 סימני ניקוד","פרופיל 3",IF($J1408="4-5 סימני ניקוד","פרופיל 2",IF(AND($O1408="משפטים וקטעים קצרים",OR($M1408="מבין",$M1408="מבין לרוב")),"פרופיל 1","פרופיל 2")))))))</f>
        <v/>
      </c>
      <c r="R1408" s="32">
        <f>IF($C1408="","",IF(OR($Q1408="",LEFT($Q1408,1)="—"),"קבוצה רביעית",IF($Q1408="פרופיל 5","קבוצת תשתיות",IF(OR($Q1408="פרופיל 4",$Q1408="פרופיל 3"),"קבוצת רכישה","קבוצת ביסוס"))))</f>
        <v/>
      </c>
      <c r="S1408" s="32">
        <f>IF($F1408="","",IF($F1408="תחילת שנה",1,IF($F1408="מחצית שנה",2,3)))</f>
        <v/>
      </c>
      <c r="T1408" s="32">
        <f>IF(OR($B1408="",$R1408="",$A1408="",$F1408=""),"",$B1408&amp;"|"&amp;$A1408&amp;"|"&amp;$F1408&amp;"|"&amp;$R1408&amp;"|"&amp;COUNTIFS($B$6:$B1408,$B1408,$A$6:$A1408,$A1408,$F$6:$F1408,$F1408,$R$6:$R1408,$R1408))</f>
        <v/>
      </c>
      <c r="U1408" s="32">
        <f>IF($C1408="","",$C1408&amp;"|"&amp;COUNTIFS($C$6:$C1408,$C1408))</f>
        <v/>
      </c>
      <c r="V1408" s="32">
        <f>IF(OR($C1408="",$A1408="",$S1408=""),"",$C1408&amp;"|"&amp;$A1408&amp;"|"&amp;$S1408)</f>
        <v/>
      </c>
      <c r="W1408" s="32">
        <f>IF(OR($C1408="",$S1408="",$S1408=1),"",IFERROR(INDEX($Q$6:$Q$1505,MATCH($C1408&amp;"|"&amp;$A1408&amp;"|"&amp;($S1408-1),$V$6:$V$1505,0)),""))</f>
        <v/>
      </c>
      <c r="X1408" s="32">
        <f>IF(OR($W1408="",$Q1408="",LEFT($Q1408,1)="—"),"",IF($W1408=$Q1408,"ללא שינוי","מ-"&amp;$W1408&amp;" ל-"&amp;$Q1408))</f>
        <v/>
      </c>
    </row>
    <row r="1409">
      <c r="A1409" s="65" t="n"/>
      <c r="B1409" s="65" t="n"/>
      <c r="C1409" s="66" t="n"/>
      <c r="D1409" s="66" t="n"/>
      <c r="E1409" s="65" t="n"/>
      <c r="F1409" s="65" t="n"/>
      <c r="G1409" s="65" t="n"/>
      <c r="H1409" s="65" t="n"/>
      <c r="I1409" s="65" t="n"/>
      <c r="J1409" s="65" t="n"/>
      <c r="K1409" s="65" t="n"/>
      <c r="L1409" s="65" t="n"/>
      <c r="M1409" s="65" t="n"/>
      <c r="N1409" s="65" t="n"/>
      <c r="O1409" s="65" t="n"/>
      <c r="P1409" s="65" t="n"/>
      <c r="Q1409" s="32">
        <f>IF($C1409="","",IF($J1409="","— חסרים נתונים",IF($J1409="טרם מפענח","פרופיל 5",IF($J1409="קמץ/פתח/חטף-פתח ושוואים","פרופיל 4",IF($J1409="2-3 סימני ניקוד","פרופיל 3",IF($J1409="4-5 סימני ניקוד","פרופיל 2",IF(AND($O1409="משפטים וקטעים קצרים",OR($M1409="מבין",$M1409="מבין לרוב")),"פרופיל 1","פרופיל 2")))))))</f>
        <v/>
      </c>
      <c r="R1409" s="32">
        <f>IF($C1409="","",IF(OR($Q1409="",LEFT($Q1409,1)="—"),"קבוצה רביעית",IF($Q1409="פרופיל 5","קבוצת תשתיות",IF(OR($Q1409="פרופיל 4",$Q1409="פרופיל 3"),"קבוצת רכישה","קבוצת ביסוס"))))</f>
        <v/>
      </c>
      <c r="S1409" s="32">
        <f>IF($F1409="","",IF($F1409="תחילת שנה",1,IF($F1409="מחצית שנה",2,3)))</f>
        <v/>
      </c>
      <c r="T1409" s="32">
        <f>IF(OR($B1409="",$R1409="",$A1409="",$F1409=""),"",$B1409&amp;"|"&amp;$A1409&amp;"|"&amp;$F1409&amp;"|"&amp;$R1409&amp;"|"&amp;COUNTIFS($B$6:$B1409,$B1409,$A$6:$A1409,$A1409,$F$6:$F1409,$F1409,$R$6:$R1409,$R1409))</f>
        <v/>
      </c>
      <c r="U1409" s="32">
        <f>IF($C1409="","",$C1409&amp;"|"&amp;COUNTIFS($C$6:$C1409,$C1409))</f>
        <v/>
      </c>
      <c r="V1409" s="32">
        <f>IF(OR($C1409="",$A1409="",$S1409=""),"",$C1409&amp;"|"&amp;$A1409&amp;"|"&amp;$S1409)</f>
        <v/>
      </c>
      <c r="W1409" s="32">
        <f>IF(OR($C1409="",$S1409="",$S1409=1),"",IFERROR(INDEX($Q$6:$Q$1505,MATCH($C1409&amp;"|"&amp;$A1409&amp;"|"&amp;($S1409-1),$V$6:$V$1505,0)),""))</f>
        <v/>
      </c>
      <c r="X1409" s="32">
        <f>IF(OR($W1409="",$Q1409="",LEFT($Q1409,1)="—"),"",IF($W1409=$Q1409,"ללא שינוי","מ-"&amp;$W1409&amp;" ל-"&amp;$Q1409))</f>
        <v/>
      </c>
    </row>
    <row r="1410">
      <c r="A1410" s="65" t="n"/>
      <c r="B1410" s="65" t="n"/>
      <c r="C1410" s="66" t="n"/>
      <c r="D1410" s="66" t="n"/>
      <c r="E1410" s="65" t="n"/>
      <c r="F1410" s="65" t="n"/>
      <c r="G1410" s="65" t="n"/>
      <c r="H1410" s="65" t="n"/>
      <c r="I1410" s="65" t="n"/>
      <c r="J1410" s="65" t="n"/>
      <c r="K1410" s="65" t="n"/>
      <c r="L1410" s="65" t="n"/>
      <c r="M1410" s="65" t="n"/>
      <c r="N1410" s="65" t="n"/>
      <c r="O1410" s="65" t="n"/>
      <c r="P1410" s="65" t="n"/>
      <c r="Q1410" s="32">
        <f>IF($C1410="","",IF($J1410="","— חסרים נתונים",IF($J1410="טרם מפענח","פרופיל 5",IF($J1410="קמץ/פתח/חטף-פתח ושוואים","פרופיל 4",IF($J1410="2-3 סימני ניקוד","פרופיל 3",IF($J1410="4-5 סימני ניקוד","פרופיל 2",IF(AND($O1410="משפטים וקטעים קצרים",OR($M1410="מבין",$M1410="מבין לרוב")),"פרופיל 1","פרופיל 2")))))))</f>
        <v/>
      </c>
      <c r="R1410" s="32">
        <f>IF($C1410="","",IF(OR($Q1410="",LEFT($Q1410,1)="—"),"קבוצה רביעית",IF($Q1410="פרופיל 5","קבוצת תשתיות",IF(OR($Q1410="פרופיל 4",$Q1410="פרופיל 3"),"קבוצת רכישה","קבוצת ביסוס"))))</f>
        <v/>
      </c>
      <c r="S1410" s="32">
        <f>IF($F1410="","",IF($F1410="תחילת שנה",1,IF($F1410="מחצית שנה",2,3)))</f>
        <v/>
      </c>
      <c r="T1410" s="32">
        <f>IF(OR($B1410="",$R1410="",$A1410="",$F1410=""),"",$B1410&amp;"|"&amp;$A1410&amp;"|"&amp;$F1410&amp;"|"&amp;$R1410&amp;"|"&amp;COUNTIFS($B$6:$B1410,$B1410,$A$6:$A1410,$A1410,$F$6:$F1410,$F1410,$R$6:$R1410,$R1410))</f>
        <v/>
      </c>
      <c r="U1410" s="32">
        <f>IF($C1410="","",$C1410&amp;"|"&amp;COUNTIFS($C$6:$C1410,$C1410))</f>
        <v/>
      </c>
      <c r="V1410" s="32">
        <f>IF(OR($C1410="",$A1410="",$S1410=""),"",$C1410&amp;"|"&amp;$A1410&amp;"|"&amp;$S1410)</f>
        <v/>
      </c>
      <c r="W1410" s="32">
        <f>IF(OR($C1410="",$S1410="",$S1410=1),"",IFERROR(INDEX($Q$6:$Q$1505,MATCH($C1410&amp;"|"&amp;$A1410&amp;"|"&amp;($S1410-1),$V$6:$V$1505,0)),""))</f>
        <v/>
      </c>
      <c r="X1410" s="32">
        <f>IF(OR($W1410="",$Q1410="",LEFT($Q1410,1)="—"),"",IF($W1410=$Q1410,"ללא שינוי","מ-"&amp;$W1410&amp;" ל-"&amp;$Q1410))</f>
        <v/>
      </c>
    </row>
    <row r="1411">
      <c r="A1411" s="65" t="n"/>
      <c r="B1411" s="65" t="n"/>
      <c r="C1411" s="66" t="n"/>
      <c r="D1411" s="66" t="n"/>
      <c r="E1411" s="65" t="n"/>
      <c r="F1411" s="65" t="n"/>
      <c r="G1411" s="65" t="n"/>
      <c r="H1411" s="65" t="n"/>
      <c r="I1411" s="65" t="n"/>
      <c r="J1411" s="65" t="n"/>
      <c r="K1411" s="65" t="n"/>
      <c r="L1411" s="65" t="n"/>
      <c r="M1411" s="65" t="n"/>
      <c r="N1411" s="65" t="n"/>
      <c r="O1411" s="65" t="n"/>
      <c r="P1411" s="65" t="n"/>
      <c r="Q1411" s="32">
        <f>IF($C1411="","",IF($J1411="","— חסרים נתונים",IF($J1411="טרם מפענח","פרופיל 5",IF($J1411="קמץ/פתח/חטף-פתח ושוואים","פרופיל 4",IF($J1411="2-3 סימני ניקוד","פרופיל 3",IF($J1411="4-5 סימני ניקוד","פרופיל 2",IF(AND($O1411="משפטים וקטעים קצרים",OR($M1411="מבין",$M1411="מבין לרוב")),"פרופיל 1","פרופיל 2")))))))</f>
        <v/>
      </c>
      <c r="R1411" s="32">
        <f>IF($C1411="","",IF(OR($Q1411="",LEFT($Q1411,1)="—"),"קבוצה רביעית",IF($Q1411="פרופיל 5","קבוצת תשתיות",IF(OR($Q1411="פרופיל 4",$Q1411="פרופיל 3"),"קבוצת רכישה","קבוצת ביסוס"))))</f>
        <v/>
      </c>
      <c r="S1411" s="32">
        <f>IF($F1411="","",IF($F1411="תחילת שנה",1,IF($F1411="מחצית שנה",2,3)))</f>
        <v/>
      </c>
      <c r="T1411" s="32">
        <f>IF(OR($B1411="",$R1411="",$A1411="",$F1411=""),"",$B1411&amp;"|"&amp;$A1411&amp;"|"&amp;$F1411&amp;"|"&amp;$R1411&amp;"|"&amp;COUNTIFS($B$6:$B1411,$B1411,$A$6:$A1411,$A1411,$F$6:$F1411,$F1411,$R$6:$R1411,$R1411))</f>
        <v/>
      </c>
      <c r="U1411" s="32">
        <f>IF($C1411="","",$C1411&amp;"|"&amp;COUNTIFS($C$6:$C1411,$C1411))</f>
        <v/>
      </c>
      <c r="V1411" s="32">
        <f>IF(OR($C1411="",$A1411="",$S1411=""),"",$C1411&amp;"|"&amp;$A1411&amp;"|"&amp;$S1411)</f>
        <v/>
      </c>
      <c r="W1411" s="32">
        <f>IF(OR($C1411="",$S1411="",$S1411=1),"",IFERROR(INDEX($Q$6:$Q$1505,MATCH($C1411&amp;"|"&amp;$A1411&amp;"|"&amp;($S1411-1),$V$6:$V$1505,0)),""))</f>
        <v/>
      </c>
      <c r="X1411" s="32">
        <f>IF(OR($W1411="",$Q1411="",LEFT($Q1411,1)="—"),"",IF($W1411=$Q1411,"ללא שינוי","מ-"&amp;$W1411&amp;" ל-"&amp;$Q1411))</f>
        <v/>
      </c>
    </row>
    <row r="1412">
      <c r="A1412" s="65" t="n"/>
      <c r="B1412" s="65" t="n"/>
      <c r="C1412" s="66" t="n"/>
      <c r="D1412" s="66" t="n"/>
      <c r="E1412" s="65" t="n"/>
      <c r="F1412" s="65" t="n"/>
      <c r="G1412" s="65" t="n"/>
      <c r="H1412" s="65" t="n"/>
      <c r="I1412" s="65" t="n"/>
      <c r="J1412" s="65" t="n"/>
      <c r="K1412" s="65" t="n"/>
      <c r="L1412" s="65" t="n"/>
      <c r="M1412" s="65" t="n"/>
      <c r="N1412" s="65" t="n"/>
      <c r="O1412" s="65" t="n"/>
      <c r="P1412" s="65" t="n"/>
      <c r="Q1412" s="32">
        <f>IF($C1412="","",IF($J1412="","— חסרים נתונים",IF($J1412="טרם מפענח","פרופיל 5",IF($J1412="קמץ/פתח/חטף-פתח ושוואים","פרופיל 4",IF($J1412="2-3 סימני ניקוד","פרופיל 3",IF($J1412="4-5 סימני ניקוד","פרופיל 2",IF(AND($O1412="משפטים וקטעים קצרים",OR($M1412="מבין",$M1412="מבין לרוב")),"פרופיל 1","פרופיל 2")))))))</f>
        <v/>
      </c>
      <c r="R1412" s="32">
        <f>IF($C1412="","",IF(OR($Q1412="",LEFT($Q1412,1)="—"),"קבוצה רביעית",IF($Q1412="פרופיל 5","קבוצת תשתיות",IF(OR($Q1412="פרופיל 4",$Q1412="פרופיל 3"),"קבוצת רכישה","קבוצת ביסוס"))))</f>
        <v/>
      </c>
      <c r="S1412" s="32">
        <f>IF($F1412="","",IF($F1412="תחילת שנה",1,IF($F1412="מחצית שנה",2,3)))</f>
        <v/>
      </c>
      <c r="T1412" s="32">
        <f>IF(OR($B1412="",$R1412="",$A1412="",$F1412=""),"",$B1412&amp;"|"&amp;$A1412&amp;"|"&amp;$F1412&amp;"|"&amp;$R1412&amp;"|"&amp;COUNTIFS($B$6:$B1412,$B1412,$A$6:$A1412,$A1412,$F$6:$F1412,$F1412,$R$6:$R1412,$R1412))</f>
        <v/>
      </c>
      <c r="U1412" s="32">
        <f>IF($C1412="","",$C1412&amp;"|"&amp;COUNTIFS($C$6:$C1412,$C1412))</f>
        <v/>
      </c>
      <c r="V1412" s="32">
        <f>IF(OR($C1412="",$A1412="",$S1412=""),"",$C1412&amp;"|"&amp;$A1412&amp;"|"&amp;$S1412)</f>
        <v/>
      </c>
      <c r="W1412" s="32">
        <f>IF(OR($C1412="",$S1412="",$S1412=1),"",IFERROR(INDEX($Q$6:$Q$1505,MATCH($C1412&amp;"|"&amp;$A1412&amp;"|"&amp;($S1412-1),$V$6:$V$1505,0)),""))</f>
        <v/>
      </c>
      <c r="X1412" s="32">
        <f>IF(OR($W1412="",$Q1412="",LEFT($Q1412,1)="—"),"",IF($W1412=$Q1412,"ללא שינוי","מ-"&amp;$W1412&amp;" ל-"&amp;$Q1412))</f>
        <v/>
      </c>
    </row>
    <row r="1413">
      <c r="A1413" s="65" t="n"/>
      <c r="B1413" s="65" t="n"/>
      <c r="C1413" s="66" t="n"/>
      <c r="D1413" s="66" t="n"/>
      <c r="E1413" s="65" t="n"/>
      <c r="F1413" s="65" t="n"/>
      <c r="G1413" s="65" t="n"/>
      <c r="H1413" s="65" t="n"/>
      <c r="I1413" s="65" t="n"/>
      <c r="J1413" s="65" t="n"/>
      <c r="K1413" s="65" t="n"/>
      <c r="L1413" s="65" t="n"/>
      <c r="M1413" s="65" t="n"/>
      <c r="N1413" s="65" t="n"/>
      <c r="O1413" s="65" t="n"/>
      <c r="P1413" s="65" t="n"/>
      <c r="Q1413" s="32">
        <f>IF($C1413="","",IF($J1413="","— חסרים נתונים",IF($J1413="טרם מפענח","פרופיל 5",IF($J1413="קמץ/פתח/חטף-פתח ושוואים","פרופיל 4",IF($J1413="2-3 סימני ניקוד","פרופיל 3",IF($J1413="4-5 סימני ניקוד","פרופיל 2",IF(AND($O1413="משפטים וקטעים קצרים",OR($M1413="מבין",$M1413="מבין לרוב")),"פרופיל 1","פרופיל 2")))))))</f>
        <v/>
      </c>
      <c r="R1413" s="32">
        <f>IF($C1413="","",IF(OR($Q1413="",LEFT($Q1413,1)="—"),"קבוצה רביעית",IF($Q1413="פרופיל 5","קבוצת תשתיות",IF(OR($Q1413="פרופיל 4",$Q1413="פרופיל 3"),"קבוצת רכישה","קבוצת ביסוס"))))</f>
        <v/>
      </c>
      <c r="S1413" s="32">
        <f>IF($F1413="","",IF($F1413="תחילת שנה",1,IF($F1413="מחצית שנה",2,3)))</f>
        <v/>
      </c>
      <c r="T1413" s="32">
        <f>IF(OR($B1413="",$R1413="",$A1413="",$F1413=""),"",$B1413&amp;"|"&amp;$A1413&amp;"|"&amp;$F1413&amp;"|"&amp;$R1413&amp;"|"&amp;COUNTIFS($B$6:$B1413,$B1413,$A$6:$A1413,$A1413,$F$6:$F1413,$F1413,$R$6:$R1413,$R1413))</f>
        <v/>
      </c>
      <c r="U1413" s="32">
        <f>IF($C1413="","",$C1413&amp;"|"&amp;COUNTIFS($C$6:$C1413,$C1413))</f>
        <v/>
      </c>
      <c r="V1413" s="32">
        <f>IF(OR($C1413="",$A1413="",$S1413=""),"",$C1413&amp;"|"&amp;$A1413&amp;"|"&amp;$S1413)</f>
        <v/>
      </c>
      <c r="W1413" s="32">
        <f>IF(OR($C1413="",$S1413="",$S1413=1),"",IFERROR(INDEX($Q$6:$Q$1505,MATCH($C1413&amp;"|"&amp;$A1413&amp;"|"&amp;($S1413-1),$V$6:$V$1505,0)),""))</f>
        <v/>
      </c>
      <c r="X1413" s="32">
        <f>IF(OR($W1413="",$Q1413="",LEFT($Q1413,1)="—"),"",IF($W1413=$Q1413,"ללא שינוי","מ-"&amp;$W1413&amp;" ל-"&amp;$Q1413))</f>
        <v/>
      </c>
    </row>
    <row r="1414">
      <c r="A1414" s="65" t="n"/>
      <c r="B1414" s="65" t="n"/>
      <c r="C1414" s="66" t="n"/>
      <c r="D1414" s="66" t="n"/>
      <c r="E1414" s="65" t="n"/>
      <c r="F1414" s="65" t="n"/>
      <c r="G1414" s="65" t="n"/>
      <c r="H1414" s="65" t="n"/>
      <c r="I1414" s="65" t="n"/>
      <c r="J1414" s="65" t="n"/>
      <c r="K1414" s="65" t="n"/>
      <c r="L1414" s="65" t="n"/>
      <c r="M1414" s="65" t="n"/>
      <c r="N1414" s="65" t="n"/>
      <c r="O1414" s="65" t="n"/>
      <c r="P1414" s="65" t="n"/>
      <c r="Q1414" s="32">
        <f>IF($C1414="","",IF($J1414="","— חסרים נתונים",IF($J1414="טרם מפענח","פרופיל 5",IF($J1414="קמץ/פתח/חטף-פתח ושוואים","פרופיל 4",IF($J1414="2-3 סימני ניקוד","פרופיל 3",IF($J1414="4-5 סימני ניקוד","פרופיל 2",IF(AND($O1414="משפטים וקטעים קצרים",OR($M1414="מבין",$M1414="מבין לרוב")),"פרופיל 1","פרופיל 2")))))))</f>
        <v/>
      </c>
      <c r="R1414" s="32">
        <f>IF($C1414="","",IF(OR($Q1414="",LEFT($Q1414,1)="—"),"קבוצה רביעית",IF($Q1414="פרופיל 5","קבוצת תשתיות",IF(OR($Q1414="פרופיל 4",$Q1414="פרופיל 3"),"קבוצת רכישה","קבוצת ביסוס"))))</f>
        <v/>
      </c>
      <c r="S1414" s="32">
        <f>IF($F1414="","",IF($F1414="תחילת שנה",1,IF($F1414="מחצית שנה",2,3)))</f>
        <v/>
      </c>
      <c r="T1414" s="32">
        <f>IF(OR($B1414="",$R1414="",$A1414="",$F1414=""),"",$B1414&amp;"|"&amp;$A1414&amp;"|"&amp;$F1414&amp;"|"&amp;$R1414&amp;"|"&amp;COUNTIFS($B$6:$B1414,$B1414,$A$6:$A1414,$A1414,$F$6:$F1414,$F1414,$R$6:$R1414,$R1414))</f>
        <v/>
      </c>
      <c r="U1414" s="32">
        <f>IF($C1414="","",$C1414&amp;"|"&amp;COUNTIFS($C$6:$C1414,$C1414))</f>
        <v/>
      </c>
      <c r="V1414" s="32">
        <f>IF(OR($C1414="",$A1414="",$S1414=""),"",$C1414&amp;"|"&amp;$A1414&amp;"|"&amp;$S1414)</f>
        <v/>
      </c>
      <c r="W1414" s="32">
        <f>IF(OR($C1414="",$S1414="",$S1414=1),"",IFERROR(INDEX($Q$6:$Q$1505,MATCH($C1414&amp;"|"&amp;$A1414&amp;"|"&amp;($S1414-1),$V$6:$V$1505,0)),""))</f>
        <v/>
      </c>
      <c r="X1414" s="32">
        <f>IF(OR($W1414="",$Q1414="",LEFT($Q1414,1)="—"),"",IF($W1414=$Q1414,"ללא שינוי","מ-"&amp;$W1414&amp;" ל-"&amp;$Q1414))</f>
        <v/>
      </c>
    </row>
    <row r="1415">
      <c r="A1415" s="65" t="n"/>
      <c r="B1415" s="65" t="n"/>
      <c r="C1415" s="66" t="n"/>
      <c r="D1415" s="66" t="n"/>
      <c r="E1415" s="65" t="n"/>
      <c r="F1415" s="65" t="n"/>
      <c r="G1415" s="65" t="n"/>
      <c r="H1415" s="65" t="n"/>
      <c r="I1415" s="65" t="n"/>
      <c r="J1415" s="65" t="n"/>
      <c r="K1415" s="65" t="n"/>
      <c r="L1415" s="65" t="n"/>
      <c r="M1415" s="65" t="n"/>
      <c r="N1415" s="65" t="n"/>
      <c r="O1415" s="65" t="n"/>
      <c r="P1415" s="65" t="n"/>
      <c r="Q1415" s="32">
        <f>IF($C1415="","",IF($J1415="","— חסרים נתונים",IF($J1415="טרם מפענח","פרופיל 5",IF($J1415="קמץ/פתח/חטף-פתח ושוואים","פרופיל 4",IF($J1415="2-3 סימני ניקוד","פרופיל 3",IF($J1415="4-5 סימני ניקוד","פרופיל 2",IF(AND($O1415="משפטים וקטעים קצרים",OR($M1415="מבין",$M1415="מבין לרוב")),"פרופיל 1","פרופיל 2")))))))</f>
        <v/>
      </c>
      <c r="R1415" s="32">
        <f>IF($C1415="","",IF(OR($Q1415="",LEFT($Q1415,1)="—"),"קבוצה רביעית",IF($Q1415="פרופיל 5","קבוצת תשתיות",IF(OR($Q1415="פרופיל 4",$Q1415="פרופיל 3"),"קבוצת רכישה","קבוצת ביסוס"))))</f>
        <v/>
      </c>
      <c r="S1415" s="32">
        <f>IF($F1415="","",IF($F1415="תחילת שנה",1,IF($F1415="מחצית שנה",2,3)))</f>
        <v/>
      </c>
      <c r="T1415" s="32">
        <f>IF(OR($B1415="",$R1415="",$A1415="",$F1415=""),"",$B1415&amp;"|"&amp;$A1415&amp;"|"&amp;$F1415&amp;"|"&amp;$R1415&amp;"|"&amp;COUNTIFS($B$6:$B1415,$B1415,$A$6:$A1415,$A1415,$F$6:$F1415,$F1415,$R$6:$R1415,$R1415))</f>
        <v/>
      </c>
      <c r="U1415" s="32">
        <f>IF($C1415="","",$C1415&amp;"|"&amp;COUNTIFS($C$6:$C1415,$C1415))</f>
        <v/>
      </c>
      <c r="V1415" s="32">
        <f>IF(OR($C1415="",$A1415="",$S1415=""),"",$C1415&amp;"|"&amp;$A1415&amp;"|"&amp;$S1415)</f>
        <v/>
      </c>
      <c r="W1415" s="32">
        <f>IF(OR($C1415="",$S1415="",$S1415=1),"",IFERROR(INDEX($Q$6:$Q$1505,MATCH($C1415&amp;"|"&amp;$A1415&amp;"|"&amp;($S1415-1),$V$6:$V$1505,0)),""))</f>
        <v/>
      </c>
      <c r="X1415" s="32">
        <f>IF(OR($W1415="",$Q1415="",LEFT($Q1415,1)="—"),"",IF($W1415=$Q1415,"ללא שינוי","מ-"&amp;$W1415&amp;" ל-"&amp;$Q1415))</f>
        <v/>
      </c>
    </row>
    <row r="1416">
      <c r="A1416" s="65" t="n"/>
      <c r="B1416" s="65" t="n"/>
      <c r="C1416" s="66" t="n"/>
      <c r="D1416" s="66" t="n"/>
      <c r="E1416" s="65" t="n"/>
      <c r="F1416" s="65" t="n"/>
      <c r="G1416" s="65" t="n"/>
      <c r="H1416" s="65" t="n"/>
      <c r="I1416" s="65" t="n"/>
      <c r="J1416" s="65" t="n"/>
      <c r="K1416" s="65" t="n"/>
      <c r="L1416" s="65" t="n"/>
      <c r="M1416" s="65" t="n"/>
      <c r="N1416" s="65" t="n"/>
      <c r="O1416" s="65" t="n"/>
      <c r="P1416" s="65" t="n"/>
      <c r="Q1416" s="32">
        <f>IF($C1416="","",IF($J1416="","— חסרים נתונים",IF($J1416="טרם מפענח","פרופיל 5",IF($J1416="קמץ/פתח/חטף-פתח ושוואים","פרופיל 4",IF($J1416="2-3 סימני ניקוד","פרופיל 3",IF($J1416="4-5 סימני ניקוד","פרופיל 2",IF(AND($O1416="משפטים וקטעים קצרים",OR($M1416="מבין",$M1416="מבין לרוב")),"פרופיל 1","פרופיל 2")))))))</f>
        <v/>
      </c>
      <c r="R1416" s="32">
        <f>IF($C1416="","",IF(OR($Q1416="",LEFT($Q1416,1)="—"),"קבוצה רביעית",IF($Q1416="פרופיל 5","קבוצת תשתיות",IF(OR($Q1416="פרופיל 4",$Q1416="פרופיל 3"),"קבוצת רכישה","קבוצת ביסוס"))))</f>
        <v/>
      </c>
      <c r="S1416" s="32">
        <f>IF($F1416="","",IF($F1416="תחילת שנה",1,IF($F1416="מחצית שנה",2,3)))</f>
        <v/>
      </c>
      <c r="T1416" s="32">
        <f>IF(OR($B1416="",$R1416="",$A1416="",$F1416=""),"",$B1416&amp;"|"&amp;$A1416&amp;"|"&amp;$F1416&amp;"|"&amp;$R1416&amp;"|"&amp;COUNTIFS($B$6:$B1416,$B1416,$A$6:$A1416,$A1416,$F$6:$F1416,$F1416,$R$6:$R1416,$R1416))</f>
        <v/>
      </c>
      <c r="U1416" s="32">
        <f>IF($C1416="","",$C1416&amp;"|"&amp;COUNTIFS($C$6:$C1416,$C1416))</f>
        <v/>
      </c>
      <c r="V1416" s="32">
        <f>IF(OR($C1416="",$A1416="",$S1416=""),"",$C1416&amp;"|"&amp;$A1416&amp;"|"&amp;$S1416)</f>
        <v/>
      </c>
      <c r="W1416" s="32">
        <f>IF(OR($C1416="",$S1416="",$S1416=1),"",IFERROR(INDEX($Q$6:$Q$1505,MATCH($C1416&amp;"|"&amp;$A1416&amp;"|"&amp;($S1416-1),$V$6:$V$1505,0)),""))</f>
        <v/>
      </c>
      <c r="X1416" s="32">
        <f>IF(OR($W1416="",$Q1416="",LEFT($Q1416,1)="—"),"",IF($W1416=$Q1416,"ללא שינוי","מ-"&amp;$W1416&amp;" ל-"&amp;$Q1416))</f>
        <v/>
      </c>
    </row>
    <row r="1417">
      <c r="A1417" s="65" t="n"/>
      <c r="B1417" s="65" t="n"/>
      <c r="C1417" s="66" t="n"/>
      <c r="D1417" s="66" t="n"/>
      <c r="E1417" s="65" t="n"/>
      <c r="F1417" s="65" t="n"/>
      <c r="G1417" s="65" t="n"/>
      <c r="H1417" s="65" t="n"/>
      <c r="I1417" s="65" t="n"/>
      <c r="J1417" s="65" t="n"/>
      <c r="K1417" s="65" t="n"/>
      <c r="L1417" s="65" t="n"/>
      <c r="M1417" s="65" t="n"/>
      <c r="N1417" s="65" t="n"/>
      <c r="O1417" s="65" t="n"/>
      <c r="P1417" s="65" t="n"/>
      <c r="Q1417" s="32">
        <f>IF($C1417="","",IF($J1417="","— חסרים נתונים",IF($J1417="טרם מפענח","פרופיל 5",IF($J1417="קמץ/פתח/חטף-פתח ושוואים","פרופיל 4",IF($J1417="2-3 סימני ניקוד","פרופיל 3",IF($J1417="4-5 סימני ניקוד","פרופיל 2",IF(AND($O1417="משפטים וקטעים קצרים",OR($M1417="מבין",$M1417="מבין לרוב")),"פרופיל 1","פרופיל 2")))))))</f>
        <v/>
      </c>
      <c r="R1417" s="32">
        <f>IF($C1417="","",IF(OR($Q1417="",LEFT($Q1417,1)="—"),"קבוצה רביעית",IF($Q1417="פרופיל 5","קבוצת תשתיות",IF(OR($Q1417="פרופיל 4",$Q1417="פרופיל 3"),"קבוצת רכישה","קבוצת ביסוס"))))</f>
        <v/>
      </c>
      <c r="S1417" s="32">
        <f>IF($F1417="","",IF($F1417="תחילת שנה",1,IF($F1417="מחצית שנה",2,3)))</f>
        <v/>
      </c>
      <c r="T1417" s="32">
        <f>IF(OR($B1417="",$R1417="",$A1417="",$F1417=""),"",$B1417&amp;"|"&amp;$A1417&amp;"|"&amp;$F1417&amp;"|"&amp;$R1417&amp;"|"&amp;COUNTIFS($B$6:$B1417,$B1417,$A$6:$A1417,$A1417,$F$6:$F1417,$F1417,$R$6:$R1417,$R1417))</f>
        <v/>
      </c>
      <c r="U1417" s="32">
        <f>IF($C1417="","",$C1417&amp;"|"&amp;COUNTIFS($C$6:$C1417,$C1417))</f>
        <v/>
      </c>
      <c r="V1417" s="32">
        <f>IF(OR($C1417="",$A1417="",$S1417=""),"",$C1417&amp;"|"&amp;$A1417&amp;"|"&amp;$S1417)</f>
        <v/>
      </c>
      <c r="W1417" s="32">
        <f>IF(OR($C1417="",$S1417="",$S1417=1),"",IFERROR(INDEX($Q$6:$Q$1505,MATCH($C1417&amp;"|"&amp;$A1417&amp;"|"&amp;($S1417-1),$V$6:$V$1505,0)),""))</f>
        <v/>
      </c>
      <c r="X1417" s="32">
        <f>IF(OR($W1417="",$Q1417="",LEFT($Q1417,1)="—"),"",IF($W1417=$Q1417,"ללא שינוי","מ-"&amp;$W1417&amp;" ל-"&amp;$Q1417))</f>
        <v/>
      </c>
    </row>
    <row r="1418">
      <c r="A1418" s="65" t="n"/>
      <c r="B1418" s="65" t="n"/>
      <c r="C1418" s="66" t="n"/>
      <c r="D1418" s="66" t="n"/>
      <c r="E1418" s="65" t="n"/>
      <c r="F1418" s="65" t="n"/>
      <c r="G1418" s="65" t="n"/>
      <c r="H1418" s="65" t="n"/>
      <c r="I1418" s="65" t="n"/>
      <c r="J1418" s="65" t="n"/>
      <c r="K1418" s="65" t="n"/>
      <c r="L1418" s="65" t="n"/>
      <c r="M1418" s="65" t="n"/>
      <c r="N1418" s="65" t="n"/>
      <c r="O1418" s="65" t="n"/>
      <c r="P1418" s="65" t="n"/>
      <c r="Q1418" s="32">
        <f>IF($C1418="","",IF($J1418="","— חסרים נתונים",IF($J1418="טרם מפענח","פרופיל 5",IF($J1418="קמץ/פתח/חטף-פתח ושוואים","פרופיל 4",IF($J1418="2-3 סימני ניקוד","פרופיל 3",IF($J1418="4-5 סימני ניקוד","פרופיל 2",IF(AND($O1418="משפטים וקטעים קצרים",OR($M1418="מבין",$M1418="מבין לרוב")),"פרופיל 1","פרופיל 2")))))))</f>
        <v/>
      </c>
      <c r="R1418" s="32">
        <f>IF($C1418="","",IF(OR($Q1418="",LEFT($Q1418,1)="—"),"קבוצה רביעית",IF($Q1418="פרופיל 5","קבוצת תשתיות",IF(OR($Q1418="פרופיל 4",$Q1418="פרופיל 3"),"קבוצת רכישה","קבוצת ביסוס"))))</f>
        <v/>
      </c>
      <c r="S1418" s="32">
        <f>IF($F1418="","",IF($F1418="תחילת שנה",1,IF($F1418="מחצית שנה",2,3)))</f>
        <v/>
      </c>
      <c r="T1418" s="32">
        <f>IF(OR($B1418="",$R1418="",$A1418="",$F1418=""),"",$B1418&amp;"|"&amp;$A1418&amp;"|"&amp;$F1418&amp;"|"&amp;$R1418&amp;"|"&amp;COUNTIFS($B$6:$B1418,$B1418,$A$6:$A1418,$A1418,$F$6:$F1418,$F1418,$R$6:$R1418,$R1418))</f>
        <v/>
      </c>
      <c r="U1418" s="32">
        <f>IF($C1418="","",$C1418&amp;"|"&amp;COUNTIFS($C$6:$C1418,$C1418))</f>
        <v/>
      </c>
      <c r="V1418" s="32">
        <f>IF(OR($C1418="",$A1418="",$S1418=""),"",$C1418&amp;"|"&amp;$A1418&amp;"|"&amp;$S1418)</f>
        <v/>
      </c>
      <c r="W1418" s="32">
        <f>IF(OR($C1418="",$S1418="",$S1418=1),"",IFERROR(INDEX($Q$6:$Q$1505,MATCH($C1418&amp;"|"&amp;$A1418&amp;"|"&amp;($S1418-1),$V$6:$V$1505,0)),""))</f>
        <v/>
      </c>
      <c r="X1418" s="32">
        <f>IF(OR($W1418="",$Q1418="",LEFT($Q1418,1)="—"),"",IF($W1418=$Q1418,"ללא שינוי","מ-"&amp;$W1418&amp;" ל-"&amp;$Q1418))</f>
        <v/>
      </c>
    </row>
    <row r="1419">
      <c r="A1419" s="65" t="n"/>
      <c r="B1419" s="65" t="n"/>
      <c r="C1419" s="66" t="n"/>
      <c r="D1419" s="66" t="n"/>
      <c r="E1419" s="65" t="n"/>
      <c r="F1419" s="65" t="n"/>
      <c r="G1419" s="65" t="n"/>
      <c r="H1419" s="65" t="n"/>
      <c r="I1419" s="65" t="n"/>
      <c r="J1419" s="65" t="n"/>
      <c r="K1419" s="65" t="n"/>
      <c r="L1419" s="65" t="n"/>
      <c r="M1419" s="65" t="n"/>
      <c r="N1419" s="65" t="n"/>
      <c r="O1419" s="65" t="n"/>
      <c r="P1419" s="65" t="n"/>
      <c r="Q1419" s="32">
        <f>IF($C1419="","",IF($J1419="","— חסרים נתונים",IF($J1419="טרם מפענח","פרופיל 5",IF($J1419="קמץ/פתח/חטף-פתח ושוואים","פרופיל 4",IF($J1419="2-3 סימני ניקוד","פרופיל 3",IF($J1419="4-5 סימני ניקוד","פרופיל 2",IF(AND($O1419="משפטים וקטעים קצרים",OR($M1419="מבין",$M1419="מבין לרוב")),"פרופיל 1","פרופיל 2")))))))</f>
        <v/>
      </c>
      <c r="R1419" s="32">
        <f>IF($C1419="","",IF(OR($Q1419="",LEFT($Q1419,1)="—"),"קבוצה רביעית",IF($Q1419="פרופיל 5","קבוצת תשתיות",IF(OR($Q1419="פרופיל 4",$Q1419="פרופיל 3"),"קבוצת רכישה","קבוצת ביסוס"))))</f>
        <v/>
      </c>
      <c r="S1419" s="32">
        <f>IF($F1419="","",IF($F1419="תחילת שנה",1,IF($F1419="מחצית שנה",2,3)))</f>
        <v/>
      </c>
      <c r="T1419" s="32">
        <f>IF(OR($B1419="",$R1419="",$A1419="",$F1419=""),"",$B1419&amp;"|"&amp;$A1419&amp;"|"&amp;$F1419&amp;"|"&amp;$R1419&amp;"|"&amp;COUNTIFS($B$6:$B1419,$B1419,$A$6:$A1419,$A1419,$F$6:$F1419,$F1419,$R$6:$R1419,$R1419))</f>
        <v/>
      </c>
      <c r="U1419" s="32">
        <f>IF($C1419="","",$C1419&amp;"|"&amp;COUNTIFS($C$6:$C1419,$C1419))</f>
        <v/>
      </c>
      <c r="V1419" s="32">
        <f>IF(OR($C1419="",$A1419="",$S1419=""),"",$C1419&amp;"|"&amp;$A1419&amp;"|"&amp;$S1419)</f>
        <v/>
      </c>
      <c r="W1419" s="32">
        <f>IF(OR($C1419="",$S1419="",$S1419=1),"",IFERROR(INDEX($Q$6:$Q$1505,MATCH($C1419&amp;"|"&amp;$A1419&amp;"|"&amp;($S1419-1),$V$6:$V$1505,0)),""))</f>
        <v/>
      </c>
      <c r="X1419" s="32">
        <f>IF(OR($W1419="",$Q1419="",LEFT($Q1419,1)="—"),"",IF($W1419=$Q1419,"ללא שינוי","מ-"&amp;$W1419&amp;" ל-"&amp;$Q1419))</f>
        <v/>
      </c>
    </row>
    <row r="1420">
      <c r="A1420" s="65" t="n"/>
      <c r="B1420" s="65" t="n"/>
      <c r="C1420" s="66" t="n"/>
      <c r="D1420" s="66" t="n"/>
      <c r="E1420" s="65" t="n"/>
      <c r="F1420" s="65" t="n"/>
      <c r="G1420" s="65" t="n"/>
      <c r="H1420" s="65" t="n"/>
      <c r="I1420" s="65" t="n"/>
      <c r="J1420" s="65" t="n"/>
      <c r="K1420" s="65" t="n"/>
      <c r="L1420" s="65" t="n"/>
      <c r="M1420" s="65" t="n"/>
      <c r="N1420" s="65" t="n"/>
      <c r="O1420" s="65" t="n"/>
      <c r="P1420" s="65" t="n"/>
      <c r="Q1420" s="32">
        <f>IF($C1420="","",IF($J1420="","— חסרים נתונים",IF($J1420="טרם מפענח","פרופיל 5",IF($J1420="קמץ/פתח/חטף-פתח ושוואים","פרופיל 4",IF($J1420="2-3 סימני ניקוד","פרופיל 3",IF($J1420="4-5 סימני ניקוד","פרופיל 2",IF(AND($O1420="משפטים וקטעים קצרים",OR($M1420="מבין",$M1420="מבין לרוב")),"פרופיל 1","פרופיל 2")))))))</f>
        <v/>
      </c>
      <c r="R1420" s="32">
        <f>IF($C1420="","",IF(OR($Q1420="",LEFT($Q1420,1)="—"),"קבוצה רביעית",IF($Q1420="פרופיל 5","קבוצת תשתיות",IF(OR($Q1420="פרופיל 4",$Q1420="פרופיל 3"),"קבוצת רכישה","קבוצת ביסוס"))))</f>
        <v/>
      </c>
      <c r="S1420" s="32">
        <f>IF($F1420="","",IF($F1420="תחילת שנה",1,IF($F1420="מחצית שנה",2,3)))</f>
        <v/>
      </c>
      <c r="T1420" s="32">
        <f>IF(OR($B1420="",$R1420="",$A1420="",$F1420=""),"",$B1420&amp;"|"&amp;$A1420&amp;"|"&amp;$F1420&amp;"|"&amp;$R1420&amp;"|"&amp;COUNTIFS($B$6:$B1420,$B1420,$A$6:$A1420,$A1420,$F$6:$F1420,$F1420,$R$6:$R1420,$R1420))</f>
        <v/>
      </c>
      <c r="U1420" s="32">
        <f>IF($C1420="","",$C1420&amp;"|"&amp;COUNTIFS($C$6:$C1420,$C1420))</f>
        <v/>
      </c>
      <c r="V1420" s="32">
        <f>IF(OR($C1420="",$A1420="",$S1420=""),"",$C1420&amp;"|"&amp;$A1420&amp;"|"&amp;$S1420)</f>
        <v/>
      </c>
      <c r="W1420" s="32">
        <f>IF(OR($C1420="",$S1420="",$S1420=1),"",IFERROR(INDEX($Q$6:$Q$1505,MATCH($C1420&amp;"|"&amp;$A1420&amp;"|"&amp;($S1420-1),$V$6:$V$1505,0)),""))</f>
        <v/>
      </c>
      <c r="X1420" s="32">
        <f>IF(OR($W1420="",$Q1420="",LEFT($Q1420,1)="—"),"",IF($W1420=$Q1420,"ללא שינוי","מ-"&amp;$W1420&amp;" ל-"&amp;$Q1420))</f>
        <v/>
      </c>
    </row>
    <row r="1421">
      <c r="A1421" s="65" t="n"/>
      <c r="B1421" s="65" t="n"/>
      <c r="C1421" s="66" t="n"/>
      <c r="D1421" s="66" t="n"/>
      <c r="E1421" s="65" t="n"/>
      <c r="F1421" s="65" t="n"/>
      <c r="G1421" s="65" t="n"/>
      <c r="H1421" s="65" t="n"/>
      <c r="I1421" s="65" t="n"/>
      <c r="J1421" s="65" t="n"/>
      <c r="K1421" s="65" t="n"/>
      <c r="L1421" s="65" t="n"/>
      <c r="M1421" s="65" t="n"/>
      <c r="N1421" s="65" t="n"/>
      <c r="O1421" s="65" t="n"/>
      <c r="P1421" s="65" t="n"/>
      <c r="Q1421" s="32">
        <f>IF($C1421="","",IF($J1421="","— חסרים נתונים",IF($J1421="טרם מפענח","פרופיל 5",IF($J1421="קמץ/פתח/חטף-פתח ושוואים","פרופיל 4",IF($J1421="2-3 סימני ניקוד","פרופיל 3",IF($J1421="4-5 סימני ניקוד","פרופיל 2",IF(AND($O1421="משפטים וקטעים קצרים",OR($M1421="מבין",$M1421="מבין לרוב")),"פרופיל 1","פרופיל 2")))))))</f>
        <v/>
      </c>
      <c r="R1421" s="32">
        <f>IF($C1421="","",IF(OR($Q1421="",LEFT($Q1421,1)="—"),"קבוצה רביעית",IF($Q1421="פרופיל 5","קבוצת תשתיות",IF(OR($Q1421="פרופיל 4",$Q1421="פרופיל 3"),"קבוצת רכישה","קבוצת ביסוס"))))</f>
        <v/>
      </c>
      <c r="S1421" s="32">
        <f>IF($F1421="","",IF($F1421="תחילת שנה",1,IF($F1421="מחצית שנה",2,3)))</f>
        <v/>
      </c>
      <c r="T1421" s="32">
        <f>IF(OR($B1421="",$R1421="",$A1421="",$F1421=""),"",$B1421&amp;"|"&amp;$A1421&amp;"|"&amp;$F1421&amp;"|"&amp;$R1421&amp;"|"&amp;COUNTIFS($B$6:$B1421,$B1421,$A$6:$A1421,$A1421,$F$6:$F1421,$F1421,$R$6:$R1421,$R1421))</f>
        <v/>
      </c>
      <c r="U1421" s="32">
        <f>IF($C1421="","",$C1421&amp;"|"&amp;COUNTIFS($C$6:$C1421,$C1421))</f>
        <v/>
      </c>
      <c r="V1421" s="32">
        <f>IF(OR($C1421="",$A1421="",$S1421=""),"",$C1421&amp;"|"&amp;$A1421&amp;"|"&amp;$S1421)</f>
        <v/>
      </c>
      <c r="W1421" s="32">
        <f>IF(OR($C1421="",$S1421="",$S1421=1),"",IFERROR(INDEX($Q$6:$Q$1505,MATCH($C1421&amp;"|"&amp;$A1421&amp;"|"&amp;($S1421-1),$V$6:$V$1505,0)),""))</f>
        <v/>
      </c>
      <c r="X1421" s="32">
        <f>IF(OR($W1421="",$Q1421="",LEFT($Q1421,1)="—"),"",IF($W1421=$Q1421,"ללא שינוי","מ-"&amp;$W1421&amp;" ל-"&amp;$Q1421))</f>
        <v/>
      </c>
    </row>
    <row r="1422">
      <c r="A1422" s="65" t="n"/>
      <c r="B1422" s="65" t="n"/>
      <c r="C1422" s="66" t="n"/>
      <c r="D1422" s="66" t="n"/>
      <c r="E1422" s="65" t="n"/>
      <c r="F1422" s="65" t="n"/>
      <c r="G1422" s="65" t="n"/>
      <c r="H1422" s="65" t="n"/>
      <c r="I1422" s="65" t="n"/>
      <c r="J1422" s="65" t="n"/>
      <c r="K1422" s="65" t="n"/>
      <c r="L1422" s="65" t="n"/>
      <c r="M1422" s="65" t="n"/>
      <c r="N1422" s="65" t="n"/>
      <c r="O1422" s="65" t="n"/>
      <c r="P1422" s="65" t="n"/>
      <c r="Q1422" s="32">
        <f>IF($C1422="","",IF($J1422="","— חסרים נתונים",IF($J1422="טרם מפענח","פרופיל 5",IF($J1422="קמץ/פתח/חטף-פתח ושוואים","פרופיל 4",IF($J1422="2-3 סימני ניקוד","פרופיל 3",IF($J1422="4-5 סימני ניקוד","פרופיל 2",IF(AND($O1422="משפטים וקטעים קצרים",OR($M1422="מבין",$M1422="מבין לרוב")),"פרופיל 1","פרופיל 2")))))))</f>
        <v/>
      </c>
      <c r="R1422" s="32">
        <f>IF($C1422="","",IF(OR($Q1422="",LEFT($Q1422,1)="—"),"קבוצה רביעית",IF($Q1422="פרופיל 5","קבוצת תשתיות",IF(OR($Q1422="פרופיל 4",$Q1422="פרופיל 3"),"קבוצת רכישה","קבוצת ביסוס"))))</f>
        <v/>
      </c>
      <c r="S1422" s="32">
        <f>IF($F1422="","",IF($F1422="תחילת שנה",1,IF($F1422="מחצית שנה",2,3)))</f>
        <v/>
      </c>
      <c r="T1422" s="32">
        <f>IF(OR($B1422="",$R1422="",$A1422="",$F1422=""),"",$B1422&amp;"|"&amp;$A1422&amp;"|"&amp;$F1422&amp;"|"&amp;$R1422&amp;"|"&amp;COUNTIFS($B$6:$B1422,$B1422,$A$6:$A1422,$A1422,$F$6:$F1422,$F1422,$R$6:$R1422,$R1422))</f>
        <v/>
      </c>
      <c r="U1422" s="32">
        <f>IF($C1422="","",$C1422&amp;"|"&amp;COUNTIFS($C$6:$C1422,$C1422))</f>
        <v/>
      </c>
      <c r="V1422" s="32">
        <f>IF(OR($C1422="",$A1422="",$S1422=""),"",$C1422&amp;"|"&amp;$A1422&amp;"|"&amp;$S1422)</f>
        <v/>
      </c>
      <c r="W1422" s="32">
        <f>IF(OR($C1422="",$S1422="",$S1422=1),"",IFERROR(INDEX($Q$6:$Q$1505,MATCH($C1422&amp;"|"&amp;$A1422&amp;"|"&amp;($S1422-1),$V$6:$V$1505,0)),""))</f>
        <v/>
      </c>
      <c r="X1422" s="32">
        <f>IF(OR($W1422="",$Q1422="",LEFT($Q1422,1)="—"),"",IF($W1422=$Q1422,"ללא שינוי","מ-"&amp;$W1422&amp;" ל-"&amp;$Q1422))</f>
        <v/>
      </c>
    </row>
    <row r="1423">
      <c r="A1423" s="65" t="n"/>
      <c r="B1423" s="65" t="n"/>
      <c r="C1423" s="66" t="n"/>
      <c r="D1423" s="66" t="n"/>
      <c r="E1423" s="65" t="n"/>
      <c r="F1423" s="65" t="n"/>
      <c r="G1423" s="65" t="n"/>
      <c r="H1423" s="65" t="n"/>
      <c r="I1423" s="65" t="n"/>
      <c r="J1423" s="65" t="n"/>
      <c r="K1423" s="65" t="n"/>
      <c r="L1423" s="65" t="n"/>
      <c r="M1423" s="65" t="n"/>
      <c r="N1423" s="65" t="n"/>
      <c r="O1423" s="65" t="n"/>
      <c r="P1423" s="65" t="n"/>
      <c r="Q1423" s="32">
        <f>IF($C1423="","",IF($J1423="","— חסרים נתונים",IF($J1423="טרם מפענח","פרופיל 5",IF($J1423="קמץ/פתח/חטף-פתח ושוואים","פרופיל 4",IF($J1423="2-3 סימני ניקוד","פרופיל 3",IF($J1423="4-5 סימני ניקוד","פרופיל 2",IF(AND($O1423="משפטים וקטעים קצרים",OR($M1423="מבין",$M1423="מבין לרוב")),"פרופיל 1","פרופיל 2")))))))</f>
        <v/>
      </c>
      <c r="R1423" s="32">
        <f>IF($C1423="","",IF(OR($Q1423="",LEFT($Q1423,1)="—"),"קבוצה רביעית",IF($Q1423="פרופיל 5","קבוצת תשתיות",IF(OR($Q1423="פרופיל 4",$Q1423="פרופיל 3"),"קבוצת רכישה","קבוצת ביסוס"))))</f>
        <v/>
      </c>
      <c r="S1423" s="32">
        <f>IF($F1423="","",IF($F1423="תחילת שנה",1,IF($F1423="מחצית שנה",2,3)))</f>
        <v/>
      </c>
      <c r="T1423" s="32">
        <f>IF(OR($B1423="",$R1423="",$A1423="",$F1423=""),"",$B1423&amp;"|"&amp;$A1423&amp;"|"&amp;$F1423&amp;"|"&amp;$R1423&amp;"|"&amp;COUNTIFS($B$6:$B1423,$B1423,$A$6:$A1423,$A1423,$F$6:$F1423,$F1423,$R$6:$R1423,$R1423))</f>
        <v/>
      </c>
      <c r="U1423" s="32">
        <f>IF($C1423="","",$C1423&amp;"|"&amp;COUNTIFS($C$6:$C1423,$C1423))</f>
        <v/>
      </c>
      <c r="V1423" s="32">
        <f>IF(OR($C1423="",$A1423="",$S1423=""),"",$C1423&amp;"|"&amp;$A1423&amp;"|"&amp;$S1423)</f>
        <v/>
      </c>
      <c r="W1423" s="32">
        <f>IF(OR($C1423="",$S1423="",$S1423=1),"",IFERROR(INDEX($Q$6:$Q$1505,MATCH($C1423&amp;"|"&amp;$A1423&amp;"|"&amp;($S1423-1),$V$6:$V$1505,0)),""))</f>
        <v/>
      </c>
      <c r="X1423" s="32">
        <f>IF(OR($W1423="",$Q1423="",LEFT($Q1423,1)="—"),"",IF($W1423=$Q1423,"ללא שינוי","מ-"&amp;$W1423&amp;" ל-"&amp;$Q1423))</f>
        <v/>
      </c>
    </row>
    <row r="1424">
      <c r="A1424" s="65" t="n"/>
      <c r="B1424" s="65" t="n"/>
      <c r="C1424" s="66" t="n"/>
      <c r="D1424" s="66" t="n"/>
      <c r="E1424" s="65" t="n"/>
      <c r="F1424" s="65" t="n"/>
      <c r="G1424" s="65" t="n"/>
      <c r="H1424" s="65" t="n"/>
      <c r="I1424" s="65" t="n"/>
      <c r="J1424" s="65" t="n"/>
      <c r="K1424" s="65" t="n"/>
      <c r="L1424" s="65" t="n"/>
      <c r="M1424" s="65" t="n"/>
      <c r="N1424" s="65" t="n"/>
      <c r="O1424" s="65" t="n"/>
      <c r="P1424" s="65" t="n"/>
      <c r="Q1424" s="32">
        <f>IF($C1424="","",IF($J1424="","— חסרים נתונים",IF($J1424="טרם מפענח","פרופיל 5",IF($J1424="קמץ/פתח/חטף-פתח ושוואים","פרופיל 4",IF($J1424="2-3 סימני ניקוד","פרופיל 3",IF($J1424="4-5 סימני ניקוד","פרופיל 2",IF(AND($O1424="משפטים וקטעים קצרים",OR($M1424="מבין",$M1424="מבין לרוב")),"פרופיל 1","פרופיל 2")))))))</f>
        <v/>
      </c>
      <c r="R1424" s="32">
        <f>IF($C1424="","",IF(OR($Q1424="",LEFT($Q1424,1)="—"),"קבוצה רביעית",IF($Q1424="פרופיל 5","קבוצת תשתיות",IF(OR($Q1424="פרופיל 4",$Q1424="פרופיל 3"),"קבוצת רכישה","קבוצת ביסוס"))))</f>
        <v/>
      </c>
      <c r="S1424" s="32">
        <f>IF($F1424="","",IF($F1424="תחילת שנה",1,IF($F1424="מחצית שנה",2,3)))</f>
        <v/>
      </c>
      <c r="T1424" s="32">
        <f>IF(OR($B1424="",$R1424="",$A1424="",$F1424=""),"",$B1424&amp;"|"&amp;$A1424&amp;"|"&amp;$F1424&amp;"|"&amp;$R1424&amp;"|"&amp;COUNTIFS($B$6:$B1424,$B1424,$A$6:$A1424,$A1424,$F$6:$F1424,$F1424,$R$6:$R1424,$R1424))</f>
        <v/>
      </c>
      <c r="U1424" s="32">
        <f>IF($C1424="","",$C1424&amp;"|"&amp;COUNTIFS($C$6:$C1424,$C1424))</f>
        <v/>
      </c>
      <c r="V1424" s="32">
        <f>IF(OR($C1424="",$A1424="",$S1424=""),"",$C1424&amp;"|"&amp;$A1424&amp;"|"&amp;$S1424)</f>
        <v/>
      </c>
      <c r="W1424" s="32">
        <f>IF(OR($C1424="",$S1424="",$S1424=1),"",IFERROR(INDEX($Q$6:$Q$1505,MATCH($C1424&amp;"|"&amp;$A1424&amp;"|"&amp;($S1424-1),$V$6:$V$1505,0)),""))</f>
        <v/>
      </c>
      <c r="X1424" s="32">
        <f>IF(OR($W1424="",$Q1424="",LEFT($Q1424,1)="—"),"",IF($W1424=$Q1424,"ללא שינוי","מ-"&amp;$W1424&amp;" ל-"&amp;$Q1424))</f>
        <v/>
      </c>
    </row>
    <row r="1425">
      <c r="A1425" s="65" t="n"/>
      <c r="B1425" s="65" t="n"/>
      <c r="C1425" s="66" t="n"/>
      <c r="D1425" s="66" t="n"/>
      <c r="E1425" s="65" t="n"/>
      <c r="F1425" s="65" t="n"/>
      <c r="G1425" s="65" t="n"/>
      <c r="H1425" s="65" t="n"/>
      <c r="I1425" s="65" t="n"/>
      <c r="J1425" s="65" t="n"/>
      <c r="K1425" s="65" t="n"/>
      <c r="L1425" s="65" t="n"/>
      <c r="M1425" s="65" t="n"/>
      <c r="N1425" s="65" t="n"/>
      <c r="O1425" s="65" t="n"/>
      <c r="P1425" s="65" t="n"/>
      <c r="Q1425" s="32">
        <f>IF($C1425="","",IF($J1425="","— חסרים נתונים",IF($J1425="טרם מפענח","פרופיל 5",IF($J1425="קמץ/פתח/חטף-פתח ושוואים","פרופיל 4",IF($J1425="2-3 סימני ניקוד","פרופיל 3",IF($J1425="4-5 סימני ניקוד","פרופיל 2",IF(AND($O1425="משפטים וקטעים קצרים",OR($M1425="מבין",$M1425="מבין לרוב")),"פרופיל 1","פרופיל 2")))))))</f>
        <v/>
      </c>
      <c r="R1425" s="32">
        <f>IF($C1425="","",IF(OR($Q1425="",LEFT($Q1425,1)="—"),"קבוצה רביעית",IF($Q1425="פרופיל 5","קבוצת תשתיות",IF(OR($Q1425="פרופיל 4",$Q1425="פרופיל 3"),"קבוצת רכישה","קבוצת ביסוס"))))</f>
        <v/>
      </c>
      <c r="S1425" s="32">
        <f>IF($F1425="","",IF($F1425="תחילת שנה",1,IF($F1425="מחצית שנה",2,3)))</f>
        <v/>
      </c>
      <c r="T1425" s="32">
        <f>IF(OR($B1425="",$R1425="",$A1425="",$F1425=""),"",$B1425&amp;"|"&amp;$A1425&amp;"|"&amp;$F1425&amp;"|"&amp;$R1425&amp;"|"&amp;COUNTIFS($B$6:$B1425,$B1425,$A$6:$A1425,$A1425,$F$6:$F1425,$F1425,$R$6:$R1425,$R1425))</f>
        <v/>
      </c>
      <c r="U1425" s="32">
        <f>IF($C1425="","",$C1425&amp;"|"&amp;COUNTIFS($C$6:$C1425,$C1425))</f>
        <v/>
      </c>
      <c r="V1425" s="32">
        <f>IF(OR($C1425="",$A1425="",$S1425=""),"",$C1425&amp;"|"&amp;$A1425&amp;"|"&amp;$S1425)</f>
        <v/>
      </c>
      <c r="W1425" s="32">
        <f>IF(OR($C1425="",$S1425="",$S1425=1),"",IFERROR(INDEX($Q$6:$Q$1505,MATCH($C1425&amp;"|"&amp;$A1425&amp;"|"&amp;($S1425-1),$V$6:$V$1505,0)),""))</f>
        <v/>
      </c>
      <c r="X1425" s="32">
        <f>IF(OR($W1425="",$Q1425="",LEFT($Q1425,1)="—"),"",IF($W1425=$Q1425,"ללא שינוי","מ-"&amp;$W1425&amp;" ל-"&amp;$Q1425))</f>
        <v/>
      </c>
    </row>
    <row r="1426">
      <c r="A1426" s="65" t="n"/>
      <c r="B1426" s="65" t="n"/>
      <c r="C1426" s="66" t="n"/>
      <c r="D1426" s="66" t="n"/>
      <c r="E1426" s="65" t="n"/>
      <c r="F1426" s="65" t="n"/>
      <c r="G1426" s="65" t="n"/>
      <c r="H1426" s="65" t="n"/>
      <c r="I1426" s="65" t="n"/>
      <c r="J1426" s="65" t="n"/>
      <c r="K1426" s="65" t="n"/>
      <c r="L1426" s="65" t="n"/>
      <c r="M1426" s="65" t="n"/>
      <c r="N1426" s="65" t="n"/>
      <c r="O1426" s="65" t="n"/>
      <c r="P1426" s="65" t="n"/>
      <c r="Q1426" s="32">
        <f>IF($C1426="","",IF($J1426="","— חסרים נתונים",IF($J1426="טרם מפענח","פרופיל 5",IF($J1426="קמץ/פתח/חטף-פתח ושוואים","פרופיל 4",IF($J1426="2-3 סימני ניקוד","פרופיל 3",IF($J1426="4-5 סימני ניקוד","פרופיל 2",IF(AND($O1426="משפטים וקטעים קצרים",OR($M1426="מבין",$M1426="מבין לרוב")),"פרופיל 1","פרופיל 2")))))))</f>
        <v/>
      </c>
      <c r="R1426" s="32">
        <f>IF($C1426="","",IF(OR($Q1426="",LEFT($Q1426,1)="—"),"קבוצה רביעית",IF($Q1426="פרופיל 5","קבוצת תשתיות",IF(OR($Q1426="פרופיל 4",$Q1426="פרופיל 3"),"קבוצת רכישה","קבוצת ביסוס"))))</f>
        <v/>
      </c>
      <c r="S1426" s="32">
        <f>IF($F1426="","",IF($F1426="תחילת שנה",1,IF($F1426="מחצית שנה",2,3)))</f>
        <v/>
      </c>
      <c r="T1426" s="32">
        <f>IF(OR($B1426="",$R1426="",$A1426="",$F1426=""),"",$B1426&amp;"|"&amp;$A1426&amp;"|"&amp;$F1426&amp;"|"&amp;$R1426&amp;"|"&amp;COUNTIFS($B$6:$B1426,$B1426,$A$6:$A1426,$A1426,$F$6:$F1426,$F1426,$R$6:$R1426,$R1426))</f>
        <v/>
      </c>
      <c r="U1426" s="32">
        <f>IF($C1426="","",$C1426&amp;"|"&amp;COUNTIFS($C$6:$C1426,$C1426))</f>
        <v/>
      </c>
      <c r="V1426" s="32">
        <f>IF(OR($C1426="",$A1426="",$S1426=""),"",$C1426&amp;"|"&amp;$A1426&amp;"|"&amp;$S1426)</f>
        <v/>
      </c>
      <c r="W1426" s="32">
        <f>IF(OR($C1426="",$S1426="",$S1426=1),"",IFERROR(INDEX($Q$6:$Q$1505,MATCH($C1426&amp;"|"&amp;$A1426&amp;"|"&amp;($S1426-1),$V$6:$V$1505,0)),""))</f>
        <v/>
      </c>
      <c r="X1426" s="32">
        <f>IF(OR($W1426="",$Q1426="",LEFT($Q1426,1)="—"),"",IF($W1426=$Q1426,"ללא שינוי","מ-"&amp;$W1426&amp;" ל-"&amp;$Q1426))</f>
        <v/>
      </c>
    </row>
    <row r="1427">
      <c r="A1427" s="65" t="n"/>
      <c r="B1427" s="65" t="n"/>
      <c r="C1427" s="66" t="n"/>
      <c r="D1427" s="66" t="n"/>
      <c r="E1427" s="65" t="n"/>
      <c r="F1427" s="65" t="n"/>
      <c r="G1427" s="65" t="n"/>
      <c r="H1427" s="65" t="n"/>
      <c r="I1427" s="65" t="n"/>
      <c r="J1427" s="65" t="n"/>
      <c r="K1427" s="65" t="n"/>
      <c r="L1427" s="65" t="n"/>
      <c r="M1427" s="65" t="n"/>
      <c r="N1427" s="65" t="n"/>
      <c r="O1427" s="65" t="n"/>
      <c r="P1427" s="65" t="n"/>
      <c r="Q1427" s="32">
        <f>IF($C1427="","",IF($J1427="","— חסרים נתונים",IF($J1427="טרם מפענח","פרופיל 5",IF($J1427="קמץ/פתח/חטף-פתח ושוואים","פרופיל 4",IF($J1427="2-3 סימני ניקוד","פרופיל 3",IF($J1427="4-5 סימני ניקוד","פרופיל 2",IF(AND($O1427="משפטים וקטעים קצרים",OR($M1427="מבין",$M1427="מבין לרוב")),"פרופיל 1","פרופיל 2")))))))</f>
        <v/>
      </c>
      <c r="R1427" s="32">
        <f>IF($C1427="","",IF(OR($Q1427="",LEFT($Q1427,1)="—"),"קבוצה רביעית",IF($Q1427="פרופיל 5","קבוצת תשתיות",IF(OR($Q1427="פרופיל 4",$Q1427="פרופיל 3"),"קבוצת רכישה","קבוצת ביסוס"))))</f>
        <v/>
      </c>
      <c r="S1427" s="32">
        <f>IF($F1427="","",IF($F1427="תחילת שנה",1,IF($F1427="מחצית שנה",2,3)))</f>
        <v/>
      </c>
      <c r="T1427" s="32">
        <f>IF(OR($B1427="",$R1427="",$A1427="",$F1427=""),"",$B1427&amp;"|"&amp;$A1427&amp;"|"&amp;$F1427&amp;"|"&amp;$R1427&amp;"|"&amp;COUNTIFS($B$6:$B1427,$B1427,$A$6:$A1427,$A1427,$F$6:$F1427,$F1427,$R$6:$R1427,$R1427))</f>
        <v/>
      </c>
      <c r="U1427" s="32">
        <f>IF($C1427="","",$C1427&amp;"|"&amp;COUNTIFS($C$6:$C1427,$C1427))</f>
        <v/>
      </c>
      <c r="V1427" s="32">
        <f>IF(OR($C1427="",$A1427="",$S1427=""),"",$C1427&amp;"|"&amp;$A1427&amp;"|"&amp;$S1427)</f>
        <v/>
      </c>
      <c r="W1427" s="32">
        <f>IF(OR($C1427="",$S1427="",$S1427=1),"",IFERROR(INDEX($Q$6:$Q$1505,MATCH($C1427&amp;"|"&amp;$A1427&amp;"|"&amp;($S1427-1),$V$6:$V$1505,0)),""))</f>
        <v/>
      </c>
      <c r="X1427" s="32">
        <f>IF(OR($W1427="",$Q1427="",LEFT($Q1427,1)="—"),"",IF($W1427=$Q1427,"ללא שינוי","מ-"&amp;$W1427&amp;" ל-"&amp;$Q1427))</f>
        <v/>
      </c>
    </row>
    <row r="1428">
      <c r="A1428" s="65" t="n"/>
      <c r="B1428" s="65" t="n"/>
      <c r="C1428" s="66" t="n"/>
      <c r="D1428" s="66" t="n"/>
      <c r="E1428" s="65" t="n"/>
      <c r="F1428" s="65" t="n"/>
      <c r="G1428" s="65" t="n"/>
      <c r="H1428" s="65" t="n"/>
      <c r="I1428" s="65" t="n"/>
      <c r="J1428" s="65" t="n"/>
      <c r="K1428" s="65" t="n"/>
      <c r="L1428" s="65" t="n"/>
      <c r="M1428" s="65" t="n"/>
      <c r="N1428" s="65" t="n"/>
      <c r="O1428" s="65" t="n"/>
      <c r="P1428" s="65" t="n"/>
      <c r="Q1428" s="32">
        <f>IF($C1428="","",IF($J1428="","— חסרים נתונים",IF($J1428="טרם מפענח","פרופיל 5",IF($J1428="קמץ/פתח/חטף-פתח ושוואים","פרופיל 4",IF($J1428="2-3 סימני ניקוד","פרופיל 3",IF($J1428="4-5 סימני ניקוד","פרופיל 2",IF(AND($O1428="משפטים וקטעים קצרים",OR($M1428="מבין",$M1428="מבין לרוב")),"פרופיל 1","פרופיל 2")))))))</f>
        <v/>
      </c>
      <c r="R1428" s="32">
        <f>IF($C1428="","",IF(OR($Q1428="",LEFT($Q1428,1)="—"),"קבוצה רביעית",IF($Q1428="פרופיל 5","קבוצת תשתיות",IF(OR($Q1428="פרופיל 4",$Q1428="פרופיל 3"),"קבוצת רכישה","קבוצת ביסוס"))))</f>
        <v/>
      </c>
      <c r="S1428" s="32">
        <f>IF($F1428="","",IF($F1428="תחילת שנה",1,IF($F1428="מחצית שנה",2,3)))</f>
        <v/>
      </c>
      <c r="T1428" s="32">
        <f>IF(OR($B1428="",$R1428="",$A1428="",$F1428=""),"",$B1428&amp;"|"&amp;$A1428&amp;"|"&amp;$F1428&amp;"|"&amp;$R1428&amp;"|"&amp;COUNTIFS($B$6:$B1428,$B1428,$A$6:$A1428,$A1428,$F$6:$F1428,$F1428,$R$6:$R1428,$R1428))</f>
        <v/>
      </c>
      <c r="U1428" s="32">
        <f>IF($C1428="","",$C1428&amp;"|"&amp;COUNTIFS($C$6:$C1428,$C1428))</f>
        <v/>
      </c>
      <c r="V1428" s="32">
        <f>IF(OR($C1428="",$A1428="",$S1428=""),"",$C1428&amp;"|"&amp;$A1428&amp;"|"&amp;$S1428)</f>
        <v/>
      </c>
      <c r="W1428" s="32">
        <f>IF(OR($C1428="",$S1428="",$S1428=1),"",IFERROR(INDEX($Q$6:$Q$1505,MATCH($C1428&amp;"|"&amp;$A1428&amp;"|"&amp;($S1428-1),$V$6:$V$1505,0)),""))</f>
        <v/>
      </c>
      <c r="X1428" s="32">
        <f>IF(OR($W1428="",$Q1428="",LEFT($Q1428,1)="—"),"",IF($W1428=$Q1428,"ללא שינוי","מ-"&amp;$W1428&amp;" ל-"&amp;$Q1428))</f>
        <v/>
      </c>
    </row>
    <row r="1429">
      <c r="A1429" s="65" t="n"/>
      <c r="B1429" s="65" t="n"/>
      <c r="C1429" s="66" t="n"/>
      <c r="D1429" s="66" t="n"/>
      <c r="E1429" s="65" t="n"/>
      <c r="F1429" s="65" t="n"/>
      <c r="G1429" s="65" t="n"/>
      <c r="H1429" s="65" t="n"/>
      <c r="I1429" s="65" t="n"/>
      <c r="J1429" s="65" t="n"/>
      <c r="K1429" s="65" t="n"/>
      <c r="L1429" s="65" t="n"/>
      <c r="M1429" s="65" t="n"/>
      <c r="N1429" s="65" t="n"/>
      <c r="O1429" s="65" t="n"/>
      <c r="P1429" s="65" t="n"/>
      <c r="Q1429" s="32">
        <f>IF($C1429="","",IF($J1429="","— חסרים נתונים",IF($J1429="טרם מפענח","פרופיל 5",IF($J1429="קמץ/פתח/חטף-פתח ושוואים","פרופיל 4",IF($J1429="2-3 סימני ניקוד","פרופיל 3",IF($J1429="4-5 סימני ניקוד","פרופיל 2",IF(AND($O1429="משפטים וקטעים קצרים",OR($M1429="מבין",$M1429="מבין לרוב")),"פרופיל 1","פרופיל 2")))))))</f>
        <v/>
      </c>
      <c r="R1429" s="32">
        <f>IF($C1429="","",IF(OR($Q1429="",LEFT($Q1429,1)="—"),"קבוצה רביעית",IF($Q1429="פרופיל 5","קבוצת תשתיות",IF(OR($Q1429="פרופיל 4",$Q1429="פרופיל 3"),"קבוצת רכישה","קבוצת ביסוס"))))</f>
        <v/>
      </c>
      <c r="S1429" s="32">
        <f>IF($F1429="","",IF($F1429="תחילת שנה",1,IF($F1429="מחצית שנה",2,3)))</f>
        <v/>
      </c>
      <c r="T1429" s="32">
        <f>IF(OR($B1429="",$R1429="",$A1429="",$F1429=""),"",$B1429&amp;"|"&amp;$A1429&amp;"|"&amp;$F1429&amp;"|"&amp;$R1429&amp;"|"&amp;COUNTIFS($B$6:$B1429,$B1429,$A$6:$A1429,$A1429,$F$6:$F1429,$F1429,$R$6:$R1429,$R1429))</f>
        <v/>
      </c>
      <c r="U1429" s="32">
        <f>IF($C1429="","",$C1429&amp;"|"&amp;COUNTIFS($C$6:$C1429,$C1429))</f>
        <v/>
      </c>
      <c r="V1429" s="32">
        <f>IF(OR($C1429="",$A1429="",$S1429=""),"",$C1429&amp;"|"&amp;$A1429&amp;"|"&amp;$S1429)</f>
        <v/>
      </c>
      <c r="W1429" s="32">
        <f>IF(OR($C1429="",$S1429="",$S1429=1),"",IFERROR(INDEX($Q$6:$Q$1505,MATCH($C1429&amp;"|"&amp;$A1429&amp;"|"&amp;($S1429-1),$V$6:$V$1505,0)),""))</f>
        <v/>
      </c>
      <c r="X1429" s="32">
        <f>IF(OR($W1429="",$Q1429="",LEFT($Q1429,1)="—"),"",IF($W1429=$Q1429,"ללא שינוי","מ-"&amp;$W1429&amp;" ל-"&amp;$Q1429))</f>
        <v/>
      </c>
    </row>
    <row r="1430">
      <c r="A1430" s="65" t="n"/>
      <c r="B1430" s="65" t="n"/>
      <c r="C1430" s="66" t="n"/>
      <c r="D1430" s="66" t="n"/>
      <c r="E1430" s="65" t="n"/>
      <c r="F1430" s="65" t="n"/>
      <c r="G1430" s="65" t="n"/>
      <c r="H1430" s="65" t="n"/>
      <c r="I1430" s="65" t="n"/>
      <c r="J1430" s="65" t="n"/>
      <c r="K1430" s="65" t="n"/>
      <c r="L1430" s="65" t="n"/>
      <c r="M1430" s="65" t="n"/>
      <c r="N1430" s="65" t="n"/>
      <c r="O1430" s="65" t="n"/>
      <c r="P1430" s="65" t="n"/>
      <c r="Q1430" s="32">
        <f>IF($C1430="","",IF($J1430="","— חסרים נתונים",IF($J1430="טרם מפענח","פרופיל 5",IF($J1430="קמץ/פתח/חטף-פתח ושוואים","פרופיל 4",IF($J1430="2-3 סימני ניקוד","פרופיל 3",IF($J1430="4-5 סימני ניקוד","פרופיל 2",IF(AND($O1430="משפטים וקטעים קצרים",OR($M1430="מבין",$M1430="מבין לרוב")),"פרופיל 1","פרופיל 2")))))))</f>
        <v/>
      </c>
      <c r="R1430" s="32">
        <f>IF($C1430="","",IF(OR($Q1430="",LEFT($Q1430,1)="—"),"קבוצה רביעית",IF($Q1430="פרופיל 5","קבוצת תשתיות",IF(OR($Q1430="פרופיל 4",$Q1430="פרופיל 3"),"קבוצת רכישה","קבוצת ביסוס"))))</f>
        <v/>
      </c>
      <c r="S1430" s="32">
        <f>IF($F1430="","",IF($F1430="תחילת שנה",1,IF($F1430="מחצית שנה",2,3)))</f>
        <v/>
      </c>
      <c r="T1430" s="32">
        <f>IF(OR($B1430="",$R1430="",$A1430="",$F1430=""),"",$B1430&amp;"|"&amp;$A1430&amp;"|"&amp;$F1430&amp;"|"&amp;$R1430&amp;"|"&amp;COUNTIFS($B$6:$B1430,$B1430,$A$6:$A1430,$A1430,$F$6:$F1430,$F1430,$R$6:$R1430,$R1430))</f>
        <v/>
      </c>
      <c r="U1430" s="32">
        <f>IF($C1430="","",$C1430&amp;"|"&amp;COUNTIFS($C$6:$C1430,$C1430))</f>
        <v/>
      </c>
      <c r="V1430" s="32">
        <f>IF(OR($C1430="",$A1430="",$S1430=""),"",$C1430&amp;"|"&amp;$A1430&amp;"|"&amp;$S1430)</f>
        <v/>
      </c>
      <c r="W1430" s="32">
        <f>IF(OR($C1430="",$S1430="",$S1430=1),"",IFERROR(INDEX($Q$6:$Q$1505,MATCH($C1430&amp;"|"&amp;$A1430&amp;"|"&amp;($S1430-1),$V$6:$V$1505,0)),""))</f>
        <v/>
      </c>
      <c r="X1430" s="32">
        <f>IF(OR($W1430="",$Q1430="",LEFT($Q1430,1)="—"),"",IF($W1430=$Q1430,"ללא שינוי","מ-"&amp;$W1430&amp;" ל-"&amp;$Q1430))</f>
        <v/>
      </c>
    </row>
    <row r="1431">
      <c r="A1431" s="65" t="n"/>
      <c r="B1431" s="65" t="n"/>
      <c r="C1431" s="66" t="n"/>
      <c r="D1431" s="66" t="n"/>
      <c r="E1431" s="65" t="n"/>
      <c r="F1431" s="65" t="n"/>
      <c r="G1431" s="65" t="n"/>
      <c r="H1431" s="65" t="n"/>
      <c r="I1431" s="65" t="n"/>
      <c r="J1431" s="65" t="n"/>
      <c r="K1431" s="65" t="n"/>
      <c r="L1431" s="65" t="n"/>
      <c r="M1431" s="65" t="n"/>
      <c r="N1431" s="65" t="n"/>
      <c r="O1431" s="65" t="n"/>
      <c r="P1431" s="65" t="n"/>
      <c r="Q1431" s="32">
        <f>IF($C1431="","",IF($J1431="","— חסרים נתונים",IF($J1431="טרם מפענח","פרופיל 5",IF($J1431="קמץ/פתח/חטף-פתח ושוואים","פרופיל 4",IF($J1431="2-3 סימני ניקוד","פרופיל 3",IF($J1431="4-5 סימני ניקוד","פרופיל 2",IF(AND($O1431="משפטים וקטעים קצרים",OR($M1431="מבין",$M1431="מבין לרוב")),"פרופיל 1","פרופיל 2")))))))</f>
        <v/>
      </c>
      <c r="R1431" s="32">
        <f>IF($C1431="","",IF(OR($Q1431="",LEFT($Q1431,1)="—"),"קבוצה רביעית",IF($Q1431="פרופיל 5","קבוצת תשתיות",IF(OR($Q1431="פרופיל 4",$Q1431="פרופיל 3"),"קבוצת רכישה","קבוצת ביסוס"))))</f>
        <v/>
      </c>
      <c r="S1431" s="32">
        <f>IF($F1431="","",IF($F1431="תחילת שנה",1,IF($F1431="מחצית שנה",2,3)))</f>
        <v/>
      </c>
      <c r="T1431" s="32">
        <f>IF(OR($B1431="",$R1431="",$A1431="",$F1431=""),"",$B1431&amp;"|"&amp;$A1431&amp;"|"&amp;$F1431&amp;"|"&amp;$R1431&amp;"|"&amp;COUNTIFS($B$6:$B1431,$B1431,$A$6:$A1431,$A1431,$F$6:$F1431,$F1431,$R$6:$R1431,$R1431))</f>
        <v/>
      </c>
      <c r="U1431" s="32">
        <f>IF($C1431="","",$C1431&amp;"|"&amp;COUNTIFS($C$6:$C1431,$C1431))</f>
        <v/>
      </c>
      <c r="V1431" s="32">
        <f>IF(OR($C1431="",$A1431="",$S1431=""),"",$C1431&amp;"|"&amp;$A1431&amp;"|"&amp;$S1431)</f>
        <v/>
      </c>
      <c r="W1431" s="32">
        <f>IF(OR($C1431="",$S1431="",$S1431=1),"",IFERROR(INDEX($Q$6:$Q$1505,MATCH($C1431&amp;"|"&amp;$A1431&amp;"|"&amp;($S1431-1),$V$6:$V$1505,0)),""))</f>
        <v/>
      </c>
      <c r="X1431" s="32">
        <f>IF(OR($W1431="",$Q1431="",LEFT($Q1431,1)="—"),"",IF($W1431=$Q1431,"ללא שינוי","מ-"&amp;$W1431&amp;" ל-"&amp;$Q1431))</f>
        <v/>
      </c>
    </row>
    <row r="1432">
      <c r="A1432" s="65" t="n"/>
      <c r="B1432" s="65" t="n"/>
      <c r="C1432" s="66" t="n"/>
      <c r="D1432" s="66" t="n"/>
      <c r="E1432" s="65" t="n"/>
      <c r="F1432" s="65" t="n"/>
      <c r="G1432" s="65" t="n"/>
      <c r="H1432" s="65" t="n"/>
      <c r="I1432" s="65" t="n"/>
      <c r="J1432" s="65" t="n"/>
      <c r="K1432" s="65" t="n"/>
      <c r="L1432" s="65" t="n"/>
      <c r="M1432" s="65" t="n"/>
      <c r="N1432" s="65" t="n"/>
      <c r="O1432" s="65" t="n"/>
      <c r="P1432" s="65" t="n"/>
      <c r="Q1432" s="32">
        <f>IF($C1432="","",IF($J1432="","— חסרים נתונים",IF($J1432="טרם מפענח","פרופיל 5",IF($J1432="קמץ/פתח/חטף-פתח ושוואים","פרופיל 4",IF($J1432="2-3 סימני ניקוד","פרופיל 3",IF($J1432="4-5 סימני ניקוד","פרופיל 2",IF(AND($O1432="משפטים וקטעים קצרים",OR($M1432="מבין",$M1432="מבין לרוב")),"פרופיל 1","פרופיל 2")))))))</f>
        <v/>
      </c>
      <c r="R1432" s="32">
        <f>IF($C1432="","",IF(OR($Q1432="",LEFT($Q1432,1)="—"),"קבוצה רביעית",IF($Q1432="פרופיל 5","קבוצת תשתיות",IF(OR($Q1432="פרופיל 4",$Q1432="פרופיל 3"),"קבוצת רכישה","קבוצת ביסוס"))))</f>
        <v/>
      </c>
      <c r="S1432" s="32">
        <f>IF($F1432="","",IF($F1432="תחילת שנה",1,IF($F1432="מחצית שנה",2,3)))</f>
        <v/>
      </c>
      <c r="T1432" s="32">
        <f>IF(OR($B1432="",$R1432="",$A1432="",$F1432=""),"",$B1432&amp;"|"&amp;$A1432&amp;"|"&amp;$F1432&amp;"|"&amp;$R1432&amp;"|"&amp;COUNTIFS($B$6:$B1432,$B1432,$A$6:$A1432,$A1432,$F$6:$F1432,$F1432,$R$6:$R1432,$R1432))</f>
        <v/>
      </c>
      <c r="U1432" s="32">
        <f>IF($C1432="","",$C1432&amp;"|"&amp;COUNTIFS($C$6:$C1432,$C1432))</f>
        <v/>
      </c>
      <c r="V1432" s="32">
        <f>IF(OR($C1432="",$A1432="",$S1432=""),"",$C1432&amp;"|"&amp;$A1432&amp;"|"&amp;$S1432)</f>
        <v/>
      </c>
      <c r="W1432" s="32">
        <f>IF(OR($C1432="",$S1432="",$S1432=1),"",IFERROR(INDEX($Q$6:$Q$1505,MATCH($C1432&amp;"|"&amp;$A1432&amp;"|"&amp;($S1432-1),$V$6:$V$1505,0)),""))</f>
        <v/>
      </c>
      <c r="X1432" s="32">
        <f>IF(OR($W1432="",$Q1432="",LEFT($Q1432,1)="—"),"",IF($W1432=$Q1432,"ללא שינוי","מ-"&amp;$W1432&amp;" ל-"&amp;$Q1432))</f>
        <v/>
      </c>
    </row>
    <row r="1433">
      <c r="A1433" s="65" t="n"/>
      <c r="B1433" s="65" t="n"/>
      <c r="C1433" s="66" t="n"/>
      <c r="D1433" s="66" t="n"/>
      <c r="E1433" s="65" t="n"/>
      <c r="F1433" s="65" t="n"/>
      <c r="G1433" s="65" t="n"/>
      <c r="H1433" s="65" t="n"/>
      <c r="I1433" s="65" t="n"/>
      <c r="J1433" s="65" t="n"/>
      <c r="K1433" s="65" t="n"/>
      <c r="L1433" s="65" t="n"/>
      <c r="M1433" s="65" t="n"/>
      <c r="N1433" s="65" t="n"/>
      <c r="O1433" s="65" t="n"/>
      <c r="P1433" s="65" t="n"/>
      <c r="Q1433" s="32">
        <f>IF($C1433="","",IF($J1433="","— חסרים נתונים",IF($J1433="טרם מפענח","פרופיל 5",IF($J1433="קמץ/פתח/חטף-פתח ושוואים","פרופיל 4",IF($J1433="2-3 סימני ניקוד","פרופיל 3",IF($J1433="4-5 סימני ניקוד","פרופיל 2",IF(AND($O1433="משפטים וקטעים קצרים",OR($M1433="מבין",$M1433="מבין לרוב")),"פרופיל 1","פרופיל 2")))))))</f>
        <v/>
      </c>
      <c r="R1433" s="32">
        <f>IF($C1433="","",IF(OR($Q1433="",LEFT($Q1433,1)="—"),"קבוצה רביעית",IF($Q1433="פרופיל 5","קבוצת תשתיות",IF(OR($Q1433="פרופיל 4",$Q1433="פרופיל 3"),"קבוצת רכישה","קבוצת ביסוס"))))</f>
        <v/>
      </c>
      <c r="S1433" s="32">
        <f>IF($F1433="","",IF($F1433="תחילת שנה",1,IF($F1433="מחצית שנה",2,3)))</f>
        <v/>
      </c>
      <c r="T1433" s="32">
        <f>IF(OR($B1433="",$R1433="",$A1433="",$F1433=""),"",$B1433&amp;"|"&amp;$A1433&amp;"|"&amp;$F1433&amp;"|"&amp;$R1433&amp;"|"&amp;COUNTIFS($B$6:$B1433,$B1433,$A$6:$A1433,$A1433,$F$6:$F1433,$F1433,$R$6:$R1433,$R1433))</f>
        <v/>
      </c>
      <c r="U1433" s="32">
        <f>IF($C1433="","",$C1433&amp;"|"&amp;COUNTIFS($C$6:$C1433,$C1433))</f>
        <v/>
      </c>
      <c r="V1433" s="32">
        <f>IF(OR($C1433="",$A1433="",$S1433=""),"",$C1433&amp;"|"&amp;$A1433&amp;"|"&amp;$S1433)</f>
        <v/>
      </c>
      <c r="W1433" s="32">
        <f>IF(OR($C1433="",$S1433="",$S1433=1),"",IFERROR(INDEX($Q$6:$Q$1505,MATCH($C1433&amp;"|"&amp;$A1433&amp;"|"&amp;($S1433-1),$V$6:$V$1505,0)),""))</f>
        <v/>
      </c>
      <c r="X1433" s="32">
        <f>IF(OR($W1433="",$Q1433="",LEFT($Q1433,1)="—"),"",IF($W1433=$Q1433,"ללא שינוי","מ-"&amp;$W1433&amp;" ל-"&amp;$Q1433))</f>
        <v/>
      </c>
    </row>
    <row r="1434">
      <c r="A1434" s="65" t="n"/>
      <c r="B1434" s="65" t="n"/>
      <c r="C1434" s="66" t="n"/>
      <c r="D1434" s="66" t="n"/>
      <c r="E1434" s="65" t="n"/>
      <c r="F1434" s="65" t="n"/>
      <c r="G1434" s="65" t="n"/>
      <c r="H1434" s="65" t="n"/>
      <c r="I1434" s="65" t="n"/>
      <c r="J1434" s="65" t="n"/>
      <c r="K1434" s="65" t="n"/>
      <c r="L1434" s="65" t="n"/>
      <c r="M1434" s="65" t="n"/>
      <c r="N1434" s="65" t="n"/>
      <c r="O1434" s="65" t="n"/>
      <c r="P1434" s="65" t="n"/>
      <c r="Q1434" s="32">
        <f>IF($C1434="","",IF($J1434="","— חסרים נתונים",IF($J1434="טרם מפענח","פרופיל 5",IF($J1434="קמץ/פתח/חטף-פתח ושוואים","פרופיל 4",IF($J1434="2-3 סימני ניקוד","פרופיל 3",IF($J1434="4-5 סימני ניקוד","פרופיל 2",IF(AND($O1434="משפטים וקטעים קצרים",OR($M1434="מבין",$M1434="מבין לרוב")),"פרופיל 1","פרופיל 2")))))))</f>
        <v/>
      </c>
      <c r="R1434" s="32">
        <f>IF($C1434="","",IF(OR($Q1434="",LEFT($Q1434,1)="—"),"קבוצה רביעית",IF($Q1434="פרופיל 5","קבוצת תשתיות",IF(OR($Q1434="פרופיל 4",$Q1434="פרופיל 3"),"קבוצת רכישה","קבוצת ביסוס"))))</f>
        <v/>
      </c>
      <c r="S1434" s="32">
        <f>IF($F1434="","",IF($F1434="תחילת שנה",1,IF($F1434="מחצית שנה",2,3)))</f>
        <v/>
      </c>
      <c r="T1434" s="32">
        <f>IF(OR($B1434="",$R1434="",$A1434="",$F1434=""),"",$B1434&amp;"|"&amp;$A1434&amp;"|"&amp;$F1434&amp;"|"&amp;$R1434&amp;"|"&amp;COUNTIFS($B$6:$B1434,$B1434,$A$6:$A1434,$A1434,$F$6:$F1434,$F1434,$R$6:$R1434,$R1434))</f>
        <v/>
      </c>
      <c r="U1434" s="32">
        <f>IF($C1434="","",$C1434&amp;"|"&amp;COUNTIFS($C$6:$C1434,$C1434))</f>
        <v/>
      </c>
      <c r="V1434" s="32">
        <f>IF(OR($C1434="",$A1434="",$S1434=""),"",$C1434&amp;"|"&amp;$A1434&amp;"|"&amp;$S1434)</f>
        <v/>
      </c>
      <c r="W1434" s="32">
        <f>IF(OR($C1434="",$S1434="",$S1434=1),"",IFERROR(INDEX($Q$6:$Q$1505,MATCH($C1434&amp;"|"&amp;$A1434&amp;"|"&amp;($S1434-1),$V$6:$V$1505,0)),""))</f>
        <v/>
      </c>
      <c r="X1434" s="32">
        <f>IF(OR($W1434="",$Q1434="",LEFT($Q1434,1)="—"),"",IF($W1434=$Q1434,"ללא שינוי","מ-"&amp;$W1434&amp;" ל-"&amp;$Q1434))</f>
        <v/>
      </c>
    </row>
    <row r="1435">
      <c r="A1435" s="65" t="n"/>
      <c r="B1435" s="65" t="n"/>
      <c r="C1435" s="66" t="n"/>
      <c r="D1435" s="66" t="n"/>
      <c r="E1435" s="65" t="n"/>
      <c r="F1435" s="65" t="n"/>
      <c r="G1435" s="65" t="n"/>
      <c r="H1435" s="65" t="n"/>
      <c r="I1435" s="65" t="n"/>
      <c r="J1435" s="65" t="n"/>
      <c r="K1435" s="65" t="n"/>
      <c r="L1435" s="65" t="n"/>
      <c r="M1435" s="65" t="n"/>
      <c r="N1435" s="65" t="n"/>
      <c r="O1435" s="65" t="n"/>
      <c r="P1435" s="65" t="n"/>
      <c r="Q1435" s="32">
        <f>IF($C1435="","",IF($J1435="","— חסרים נתונים",IF($J1435="טרם מפענח","פרופיל 5",IF($J1435="קמץ/פתח/חטף-פתח ושוואים","פרופיל 4",IF($J1435="2-3 סימני ניקוד","פרופיל 3",IF($J1435="4-5 סימני ניקוד","פרופיל 2",IF(AND($O1435="משפטים וקטעים קצרים",OR($M1435="מבין",$M1435="מבין לרוב")),"פרופיל 1","פרופיל 2")))))))</f>
        <v/>
      </c>
      <c r="R1435" s="32">
        <f>IF($C1435="","",IF(OR($Q1435="",LEFT($Q1435,1)="—"),"קבוצה רביעית",IF($Q1435="פרופיל 5","קבוצת תשתיות",IF(OR($Q1435="פרופיל 4",$Q1435="פרופיל 3"),"קבוצת רכישה","קבוצת ביסוס"))))</f>
        <v/>
      </c>
      <c r="S1435" s="32">
        <f>IF($F1435="","",IF($F1435="תחילת שנה",1,IF($F1435="מחצית שנה",2,3)))</f>
        <v/>
      </c>
      <c r="T1435" s="32">
        <f>IF(OR($B1435="",$R1435="",$A1435="",$F1435=""),"",$B1435&amp;"|"&amp;$A1435&amp;"|"&amp;$F1435&amp;"|"&amp;$R1435&amp;"|"&amp;COUNTIFS($B$6:$B1435,$B1435,$A$6:$A1435,$A1435,$F$6:$F1435,$F1435,$R$6:$R1435,$R1435))</f>
        <v/>
      </c>
      <c r="U1435" s="32">
        <f>IF($C1435="","",$C1435&amp;"|"&amp;COUNTIFS($C$6:$C1435,$C1435))</f>
        <v/>
      </c>
      <c r="V1435" s="32">
        <f>IF(OR($C1435="",$A1435="",$S1435=""),"",$C1435&amp;"|"&amp;$A1435&amp;"|"&amp;$S1435)</f>
        <v/>
      </c>
      <c r="W1435" s="32">
        <f>IF(OR($C1435="",$S1435="",$S1435=1),"",IFERROR(INDEX($Q$6:$Q$1505,MATCH($C1435&amp;"|"&amp;$A1435&amp;"|"&amp;($S1435-1),$V$6:$V$1505,0)),""))</f>
        <v/>
      </c>
      <c r="X1435" s="32">
        <f>IF(OR($W1435="",$Q1435="",LEFT($Q1435,1)="—"),"",IF($W1435=$Q1435,"ללא שינוי","מ-"&amp;$W1435&amp;" ל-"&amp;$Q1435))</f>
        <v/>
      </c>
    </row>
    <row r="1436">
      <c r="A1436" s="65" t="n"/>
      <c r="B1436" s="65" t="n"/>
      <c r="C1436" s="66" t="n"/>
      <c r="D1436" s="66" t="n"/>
      <c r="E1436" s="65" t="n"/>
      <c r="F1436" s="65" t="n"/>
      <c r="G1436" s="65" t="n"/>
      <c r="H1436" s="65" t="n"/>
      <c r="I1436" s="65" t="n"/>
      <c r="J1436" s="65" t="n"/>
      <c r="K1436" s="65" t="n"/>
      <c r="L1436" s="65" t="n"/>
      <c r="M1436" s="65" t="n"/>
      <c r="N1436" s="65" t="n"/>
      <c r="O1436" s="65" t="n"/>
      <c r="P1436" s="65" t="n"/>
      <c r="Q1436" s="32">
        <f>IF($C1436="","",IF($J1436="","— חסרים נתונים",IF($J1436="טרם מפענח","פרופיל 5",IF($J1436="קמץ/פתח/חטף-פתח ושוואים","פרופיל 4",IF($J1436="2-3 סימני ניקוד","פרופיל 3",IF($J1436="4-5 סימני ניקוד","פרופיל 2",IF(AND($O1436="משפטים וקטעים קצרים",OR($M1436="מבין",$M1436="מבין לרוב")),"פרופיל 1","פרופיל 2")))))))</f>
        <v/>
      </c>
      <c r="R1436" s="32">
        <f>IF($C1436="","",IF(OR($Q1436="",LEFT($Q1436,1)="—"),"קבוצה רביעית",IF($Q1436="פרופיל 5","קבוצת תשתיות",IF(OR($Q1436="פרופיל 4",$Q1436="פרופיל 3"),"קבוצת רכישה","קבוצת ביסוס"))))</f>
        <v/>
      </c>
      <c r="S1436" s="32">
        <f>IF($F1436="","",IF($F1436="תחילת שנה",1,IF($F1436="מחצית שנה",2,3)))</f>
        <v/>
      </c>
      <c r="T1436" s="32">
        <f>IF(OR($B1436="",$R1436="",$A1436="",$F1436=""),"",$B1436&amp;"|"&amp;$A1436&amp;"|"&amp;$F1436&amp;"|"&amp;$R1436&amp;"|"&amp;COUNTIFS($B$6:$B1436,$B1436,$A$6:$A1436,$A1436,$F$6:$F1436,$F1436,$R$6:$R1436,$R1436))</f>
        <v/>
      </c>
      <c r="U1436" s="32">
        <f>IF($C1436="","",$C1436&amp;"|"&amp;COUNTIFS($C$6:$C1436,$C1436))</f>
        <v/>
      </c>
      <c r="V1436" s="32">
        <f>IF(OR($C1436="",$A1436="",$S1436=""),"",$C1436&amp;"|"&amp;$A1436&amp;"|"&amp;$S1436)</f>
        <v/>
      </c>
      <c r="W1436" s="32">
        <f>IF(OR($C1436="",$S1436="",$S1436=1),"",IFERROR(INDEX($Q$6:$Q$1505,MATCH($C1436&amp;"|"&amp;$A1436&amp;"|"&amp;($S1436-1),$V$6:$V$1505,0)),""))</f>
        <v/>
      </c>
      <c r="X1436" s="32">
        <f>IF(OR($W1436="",$Q1436="",LEFT($Q1436,1)="—"),"",IF($W1436=$Q1436,"ללא שינוי","מ-"&amp;$W1436&amp;" ל-"&amp;$Q1436))</f>
        <v/>
      </c>
    </row>
    <row r="1437">
      <c r="A1437" s="65" t="n"/>
      <c r="B1437" s="65" t="n"/>
      <c r="C1437" s="66" t="n"/>
      <c r="D1437" s="66" t="n"/>
      <c r="E1437" s="65" t="n"/>
      <c r="F1437" s="65" t="n"/>
      <c r="G1437" s="65" t="n"/>
      <c r="H1437" s="65" t="n"/>
      <c r="I1437" s="65" t="n"/>
      <c r="J1437" s="65" t="n"/>
      <c r="K1437" s="65" t="n"/>
      <c r="L1437" s="65" t="n"/>
      <c r="M1437" s="65" t="n"/>
      <c r="N1437" s="65" t="n"/>
      <c r="O1437" s="65" t="n"/>
      <c r="P1437" s="65" t="n"/>
      <c r="Q1437" s="32">
        <f>IF($C1437="","",IF($J1437="","— חסרים נתונים",IF($J1437="טרם מפענח","פרופיל 5",IF($J1437="קמץ/פתח/חטף-פתח ושוואים","פרופיל 4",IF($J1437="2-3 סימני ניקוד","פרופיל 3",IF($J1437="4-5 סימני ניקוד","פרופיל 2",IF(AND($O1437="משפטים וקטעים קצרים",OR($M1437="מבין",$M1437="מבין לרוב")),"פרופיל 1","פרופיל 2")))))))</f>
        <v/>
      </c>
      <c r="R1437" s="32">
        <f>IF($C1437="","",IF(OR($Q1437="",LEFT($Q1437,1)="—"),"קבוצה רביעית",IF($Q1437="פרופיל 5","קבוצת תשתיות",IF(OR($Q1437="פרופיל 4",$Q1437="פרופיל 3"),"קבוצת רכישה","קבוצת ביסוס"))))</f>
        <v/>
      </c>
      <c r="S1437" s="32">
        <f>IF($F1437="","",IF($F1437="תחילת שנה",1,IF($F1437="מחצית שנה",2,3)))</f>
        <v/>
      </c>
      <c r="T1437" s="32">
        <f>IF(OR($B1437="",$R1437="",$A1437="",$F1437=""),"",$B1437&amp;"|"&amp;$A1437&amp;"|"&amp;$F1437&amp;"|"&amp;$R1437&amp;"|"&amp;COUNTIFS($B$6:$B1437,$B1437,$A$6:$A1437,$A1437,$F$6:$F1437,$F1437,$R$6:$R1437,$R1437))</f>
        <v/>
      </c>
      <c r="U1437" s="32">
        <f>IF($C1437="","",$C1437&amp;"|"&amp;COUNTIFS($C$6:$C1437,$C1437))</f>
        <v/>
      </c>
      <c r="V1437" s="32">
        <f>IF(OR($C1437="",$A1437="",$S1437=""),"",$C1437&amp;"|"&amp;$A1437&amp;"|"&amp;$S1437)</f>
        <v/>
      </c>
      <c r="W1437" s="32">
        <f>IF(OR($C1437="",$S1437="",$S1437=1),"",IFERROR(INDEX($Q$6:$Q$1505,MATCH($C1437&amp;"|"&amp;$A1437&amp;"|"&amp;($S1437-1),$V$6:$V$1505,0)),""))</f>
        <v/>
      </c>
      <c r="X1437" s="32">
        <f>IF(OR($W1437="",$Q1437="",LEFT($Q1437,1)="—"),"",IF($W1437=$Q1437,"ללא שינוי","מ-"&amp;$W1437&amp;" ל-"&amp;$Q1437))</f>
        <v/>
      </c>
    </row>
    <row r="1438">
      <c r="A1438" s="65" t="n"/>
      <c r="B1438" s="65" t="n"/>
      <c r="C1438" s="66" t="n"/>
      <c r="D1438" s="66" t="n"/>
      <c r="E1438" s="65" t="n"/>
      <c r="F1438" s="65" t="n"/>
      <c r="G1438" s="65" t="n"/>
      <c r="H1438" s="65" t="n"/>
      <c r="I1438" s="65" t="n"/>
      <c r="J1438" s="65" t="n"/>
      <c r="K1438" s="65" t="n"/>
      <c r="L1438" s="65" t="n"/>
      <c r="M1438" s="65" t="n"/>
      <c r="N1438" s="65" t="n"/>
      <c r="O1438" s="65" t="n"/>
      <c r="P1438" s="65" t="n"/>
      <c r="Q1438" s="32">
        <f>IF($C1438="","",IF($J1438="","— חסרים נתונים",IF($J1438="טרם מפענח","פרופיל 5",IF($J1438="קמץ/פתח/חטף-פתח ושוואים","פרופיל 4",IF($J1438="2-3 סימני ניקוד","פרופיל 3",IF($J1438="4-5 סימני ניקוד","פרופיל 2",IF(AND($O1438="משפטים וקטעים קצרים",OR($M1438="מבין",$M1438="מבין לרוב")),"פרופיל 1","פרופיל 2")))))))</f>
        <v/>
      </c>
      <c r="R1438" s="32">
        <f>IF($C1438="","",IF(OR($Q1438="",LEFT($Q1438,1)="—"),"קבוצה רביעית",IF($Q1438="פרופיל 5","קבוצת תשתיות",IF(OR($Q1438="פרופיל 4",$Q1438="פרופיל 3"),"קבוצת רכישה","קבוצת ביסוס"))))</f>
        <v/>
      </c>
      <c r="S1438" s="32">
        <f>IF($F1438="","",IF($F1438="תחילת שנה",1,IF($F1438="מחצית שנה",2,3)))</f>
        <v/>
      </c>
      <c r="T1438" s="32">
        <f>IF(OR($B1438="",$R1438="",$A1438="",$F1438=""),"",$B1438&amp;"|"&amp;$A1438&amp;"|"&amp;$F1438&amp;"|"&amp;$R1438&amp;"|"&amp;COUNTIFS($B$6:$B1438,$B1438,$A$6:$A1438,$A1438,$F$6:$F1438,$F1438,$R$6:$R1438,$R1438))</f>
        <v/>
      </c>
      <c r="U1438" s="32">
        <f>IF($C1438="","",$C1438&amp;"|"&amp;COUNTIFS($C$6:$C1438,$C1438))</f>
        <v/>
      </c>
      <c r="V1438" s="32">
        <f>IF(OR($C1438="",$A1438="",$S1438=""),"",$C1438&amp;"|"&amp;$A1438&amp;"|"&amp;$S1438)</f>
        <v/>
      </c>
      <c r="W1438" s="32">
        <f>IF(OR($C1438="",$S1438="",$S1438=1),"",IFERROR(INDEX($Q$6:$Q$1505,MATCH($C1438&amp;"|"&amp;$A1438&amp;"|"&amp;($S1438-1),$V$6:$V$1505,0)),""))</f>
        <v/>
      </c>
      <c r="X1438" s="32">
        <f>IF(OR($W1438="",$Q1438="",LEFT($Q1438,1)="—"),"",IF($W1438=$Q1438,"ללא שינוי","מ-"&amp;$W1438&amp;" ל-"&amp;$Q1438))</f>
        <v/>
      </c>
    </row>
    <row r="1439">
      <c r="A1439" s="65" t="n"/>
      <c r="B1439" s="65" t="n"/>
      <c r="C1439" s="66" t="n"/>
      <c r="D1439" s="66" t="n"/>
      <c r="E1439" s="65" t="n"/>
      <c r="F1439" s="65" t="n"/>
      <c r="G1439" s="65" t="n"/>
      <c r="H1439" s="65" t="n"/>
      <c r="I1439" s="65" t="n"/>
      <c r="J1439" s="65" t="n"/>
      <c r="K1439" s="65" t="n"/>
      <c r="L1439" s="65" t="n"/>
      <c r="M1439" s="65" t="n"/>
      <c r="N1439" s="65" t="n"/>
      <c r="O1439" s="65" t="n"/>
      <c r="P1439" s="65" t="n"/>
      <c r="Q1439" s="32">
        <f>IF($C1439="","",IF($J1439="","— חסרים נתונים",IF($J1439="טרם מפענח","פרופיל 5",IF($J1439="קמץ/פתח/חטף-פתח ושוואים","פרופיל 4",IF($J1439="2-3 סימני ניקוד","פרופיל 3",IF($J1439="4-5 סימני ניקוד","פרופיל 2",IF(AND($O1439="משפטים וקטעים קצרים",OR($M1439="מבין",$M1439="מבין לרוב")),"פרופיל 1","פרופיל 2")))))))</f>
        <v/>
      </c>
      <c r="R1439" s="32">
        <f>IF($C1439="","",IF(OR($Q1439="",LEFT($Q1439,1)="—"),"קבוצה רביעית",IF($Q1439="פרופיל 5","קבוצת תשתיות",IF(OR($Q1439="פרופיל 4",$Q1439="פרופיל 3"),"קבוצת רכישה","קבוצת ביסוס"))))</f>
        <v/>
      </c>
      <c r="S1439" s="32">
        <f>IF($F1439="","",IF($F1439="תחילת שנה",1,IF($F1439="מחצית שנה",2,3)))</f>
        <v/>
      </c>
      <c r="T1439" s="32">
        <f>IF(OR($B1439="",$R1439="",$A1439="",$F1439=""),"",$B1439&amp;"|"&amp;$A1439&amp;"|"&amp;$F1439&amp;"|"&amp;$R1439&amp;"|"&amp;COUNTIFS($B$6:$B1439,$B1439,$A$6:$A1439,$A1439,$F$6:$F1439,$F1439,$R$6:$R1439,$R1439))</f>
        <v/>
      </c>
      <c r="U1439" s="32">
        <f>IF($C1439="","",$C1439&amp;"|"&amp;COUNTIFS($C$6:$C1439,$C1439))</f>
        <v/>
      </c>
      <c r="V1439" s="32">
        <f>IF(OR($C1439="",$A1439="",$S1439=""),"",$C1439&amp;"|"&amp;$A1439&amp;"|"&amp;$S1439)</f>
        <v/>
      </c>
      <c r="W1439" s="32">
        <f>IF(OR($C1439="",$S1439="",$S1439=1),"",IFERROR(INDEX($Q$6:$Q$1505,MATCH($C1439&amp;"|"&amp;$A1439&amp;"|"&amp;($S1439-1),$V$6:$V$1505,0)),""))</f>
        <v/>
      </c>
      <c r="X1439" s="32">
        <f>IF(OR($W1439="",$Q1439="",LEFT($Q1439,1)="—"),"",IF($W1439=$Q1439,"ללא שינוי","מ-"&amp;$W1439&amp;" ל-"&amp;$Q1439))</f>
        <v/>
      </c>
    </row>
    <row r="1440">
      <c r="A1440" s="65" t="n"/>
      <c r="B1440" s="65" t="n"/>
      <c r="C1440" s="66" t="n"/>
      <c r="D1440" s="66" t="n"/>
      <c r="E1440" s="65" t="n"/>
      <c r="F1440" s="65" t="n"/>
      <c r="G1440" s="65" t="n"/>
      <c r="H1440" s="65" t="n"/>
      <c r="I1440" s="65" t="n"/>
      <c r="J1440" s="65" t="n"/>
      <c r="K1440" s="65" t="n"/>
      <c r="L1440" s="65" t="n"/>
      <c r="M1440" s="65" t="n"/>
      <c r="N1440" s="65" t="n"/>
      <c r="O1440" s="65" t="n"/>
      <c r="P1440" s="65" t="n"/>
      <c r="Q1440" s="32">
        <f>IF($C1440="","",IF($J1440="","— חסרים נתונים",IF($J1440="טרם מפענח","פרופיל 5",IF($J1440="קמץ/פתח/חטף-פתח ושוואים","פרופיל 4",IF($J1440="2-3 סימני ניקוד","פרופיל 3",IF($J1440="4-5 סימני ניקוד","פרופיל 2",IF(AND($O1440="משפטים וקטעים קצרים",OR($M1440="מבין",$M1440="מבין לרוב")),"פרופיל 1","פרופיל 2")))))))</f>
        <v/>
      </c>
      <c r="R1440" s="32">
        <f>IF($C1440="","",IF(OR($Q1440="",LEFT($Q1440,1)="—"),"קבוצה רביעית",IF($Q1440="פרופיל 5","קבוצת תשתיות",IF(OR($Q1440="פרופיל 4",$Q1440="פרופיל 3"),"קבוצת רכישה","קבוצת ביסוס"))))</f>
        <v/>
      </c>
      <c r="S1440" s="32">
        <f>IF($F1440="","",IF($F1440="תחילת שנה",1,IF($F1440="מחצית שנה",2,3)))</f>
        <v/>
      </c>
      <c r="T1440" s="32">
        <f>IF(OR($B1440="",$R1440="",$A1440="",$F1440=""),"",$B1440&amp;"|"&amp;$A1440&amp;"|"&amp;$F1440&amp;"|"&amp;$R1440&amp;"|"&amp;COUNTIFS($B$6:$B1440,$B1440,$A$6:$A1440,$A1440,$F$6:$F1440,$F1440,$R$6:$R1440,$R1440))</f>
        <v/>
      </c>
      <c r="U1440" s="32">
        <f>IF($C1440="","",$C1440&amp;"|"&amp;COUNTIFS($C$6:$C1440,$C1440))</f>
        <v/>
      </c>
      <c r="V1440" s="32">
        <f>IF(OR($C1440="",$A1440="",$S1440=""),"",$C1440&amp;"|"&amp;$A1440&amp;"|"&amp;$S1440)</f>
        <v/>
      </c>
      <c r="W1440" s="32">
        <f>IF(OR($C1440="",$S1440="",$S1440=1),"",IFERROR(INDEX($Q$6:$Q$1505,MATCH($C1440&amp;"|"&amp;$A1440&amp;"|"&amp;($S1440-1),$V$6:$V$1505,0)),""))</f>
        <v/>
      </c>
      <c r="X1440" s="32">
        <f>IF(OR($W1440="",$Q1440="",LEFT($Q1440,1)="—"),"",IF($W1440=$Q1440,"ללא שינוי","מ-"&amp;$W1440&amp;" ל-"&amp;$Q1440))</f>
        <v/>
      </c>
    </row>
    <row r="1441">
      <c r="A1441" s="65" t="n"/>
      <c r="B1441" s="65" t="n"/>
      <c r="C1441" s="66" t="n"/>
      <c r="D1441" s="66" t="n"/>
      <c r="E1441" s="65" t="n"/>
      <c r="F1441" s="65" t="n"/>
      <c r="G1441" s="65" t="n"/>
      <c r="H1441" s="65" t="n"/>
      <c r="I1441" s="65" t="n"/>
      <c r="J1441" s="65" t="n"/>
      <c r="K1441" s="65" t="n"/>
      <c r="L1441" s="65" t="n"/>
      <c r="M1441" s="65" t="n"/>
      <c r="N1441" s="65" t="n"/>
      <c r="O1441" s="65" t="n"/>
      <c r="P1441" s="65" t="n"/>
      <c r="Q1441" s="32">
        <f>IF($C1441="","",IF($J1441="","— חסרים נתונים",IF($J1441="טרם מפענח","פרופיל 5",IF($J1441="קמץ/פתח/חטף-פתח ושוואים","פרופיל 4",IF($J1441="2-3 סימני ניקוד","פרופיל 3",IF($J1441="4-5 סימני ניקוד","פרופיל 2",IF(AND($O1441="משפטים וקטעים קצרים",OR($M1441="מבין",$M1441="מבין לרוב")),"פרופיל 1","פרופיל 2")))))))</f>
        <v/>
      </c>
      <c r="R1441" s="32">
        <f>IF($C1441="","",IF(OR($Q1441="",LEFT($Q1441,1)="—"),"קבוצה רביעית",IF($Q1441="פרופיל 5","קבוצת תשתיות",IF(OR($Q1441="פרופיל 4",$Q1441="פרופיל 3"),"קבוצת רכישה","קבוצת ביסוס"))))</f>
        <v/>
      </c>
      <c r="S1441" s="32">
        <f>IF($F1441="","",IF($F1441="תחילת שנה",1,IF($F1441="מחצית שנה",2,3)))</f>
        <v/>
      </c>
      <c r="T1441" s="32">
        <f>IF(OR($B1441="",$R1441="",$A1441="",$F1441=""),"",$B1441&amp;"|"&amp;$A1441&amp;"|"&amp;$F1441&amp;"|"&amp;$R1441&amp;"|"&amp;COUNTIFS($B$6:$B1441,$B1441,$A$6:$A1441,$A1441,$F$6:$F1441,$F1441,$R$6:$R1441,$R1441))</f>
        <v/>
      </c>
      <c r="U1441" s="32">
        <f>IF($C1441="","",$C1441&amp;"|"&amp;COUNTIFS($C$6:$C1441,$C1441))</f>
        <v/>
      </c>
      <c r="V1441" s="32">
        <f>IF(OR($C1441="",$A1441="",$S1441=""),"",$C1441&amp;"|"&amp;$A1441&amp;"|"&amp;$S1441)</f>
        <v/>
      </c>
      <c r="W1441" s="32">
        <f>IF(OR($C1441="",$S1441="",$S1441=1),"",IFERROR(INDEX($Q$6:$Q$1505,MATCH($C1441&amp;"|"&amp;$A1441&amp;"|"&amp;($S1441-1),$V$6:$V$1505,0)),""))</f>
        <v/>
      </c>
      <c r="X1441" s="32">
        <f>IF(OR($W1441="",$Q1441="",LEFT($Q1441,1)="—"),"",IF($W1441=$Q1441,"ללא שינוי","מ-"&amp;$W1441&amp;" ל-"&amp;$Q1441))</f>
        <v/>
      </c>
    </row>
    <row r="1442">
      <c r="A1442" s="65" t="n"/>
      <c r="B1442" s="65" t="n"/>
      <c r="C1442" s="66" t="n"/>
      <c r="D1442" s="66" t="n"/>
      <c r="E1442" s="65" t="n"/>
      <c r="F1442" s="65" t="n"/>
      <c r="G1442" s="65" t="n"/>
      <c r="H1442" s="65" t="n"/>
      <c r="I1442" s="65" t="n"/>
      <c r="J1442" s="65" t="n"/>
      <c r="K1442" s="65" t="n"/>
      <c r="L1442" s="65" t="n"/>
      <c r="M1442" s="65" t="n"/>
      <c r="N1442" s="65" t="n"/>
      <c r="O1442" s="65" t="n"/>
      <c r="P1442" s="65" t="n"/>
      <c r="Q1442" s="32">
        <f>IF($C1442="","",IF($J1442="","— חסרים נתונים",IF($J1442="טרם מפענח","פרופיל 5",IF($J1442="קמץ/פתח/חטף-פתח ושוואים","פרופיל 4",IF($J1442="2-3 סימני ניקוד","פרופיל 3",IF($J1442="4-5 סימני ניקוד","פרופיל 2",IF(AND($O1442="משפטים וקטעים קצרים",OR($M1442="מבין",$M1442="מבין לרוב")),"פרופיל 1","פרופיל 2")))))))</f>
        <v/>
      </c>
      <c r="R1442" s="32">
        <f>IF($C1442="","",IF(OR($Q1442="",LEFT($Q1442,1)="—"),"קבוצה רביעית",IF($Q1442="פרופיל 5","קבוצת תשתיות",IF(OR($Q1442="פרופיל 4",$Q1442="פרופיל 3"),"קבוצת רכישה","קבוצת ביסוס"))))</f>
        <v/>
      </c>
      <c r="S1442" s="32">
        <f>IF($F1442="","",IF($F1442="תחילת שנה",1,IF($F1442="מחצית שנה",2,3)))</f>
        <v/>
      </c>
      <c r="T1442" s="32">
        <f>IF(OR($B1442="",$R1442="",$A1442="",$F1442=""),"",$B1442&amp;"|"&amp;$A1442&amp;"|"&amp;$F1442&amp;"|"&amp;$R1442&amp;"|"&amp;COUNTIFS($B$6:$B1442,$B1442,$A$6:$A1442,$A1442,$F$6:$F1442,$F1442,$R$6:$R1442,$R1442))</f>
        <v/>
      </c>
      <c r="U1442" s="32">
        <f>IF($C1442="","",$C1442&amp;"|"&amp;COUNTIFS($C$6:$C1442,$C1442))</f>
        <v/>
      </c>
      <c r="V1442" s="32">
        <f>IF(OR($C1442="",$A1442="",$S1442=""),"",$C1442&amp;"|"&amp;$A1442&amp;"|"&amp;$S1442)</f>
        <v/>
      </c>
      <c r="W1442" s="32">
        <f>IF(OR($C1442="",$S1442="",$S1442=1),"",IFERROR(INDEX($Q$6:$Q$1505,MATCH($C1442&amp;"|"&amp;$A1442&amp;"|"&amp;($S1442-1),$V$6:$V$1505,0)),""))</f>
        <v/>
      </c>
      <c r="X1442" s="32">
        <f>IF(OR($W1442="",$Q1442="",LEFT($Q1442,1)="—"),"",IF($W1442=$Q1442,"ללא שינוי","מ-"&amp;$W1442&amp;" ל-"&amp;$Q1442))</f>
        <v/>
      </c>
    </row>
    <row r="1443">
      <c r="A1443" s="65" t="n"/>
      <c r="B1443" s="65" t="n"/>
      <c r="C1443" s="66" t="n"/>
      <c r="D1443" s="66" t="n"/>
      <c r="E1443" s="65" t="n"/>
      <c r="F1443" s="65" t="n"/>
      <c r="G1443" s="65" t="n"/>
      <c r="H1443" s="65" t="n"/>
      <c r="I1443" s="65" t="n"/>
      <c r="J1443" s="65" t="n"/>
      <c r="K1443" s="65" t="n"/>
      <c r="L1443" s="65" t="n"/>
      <c r="M1443" s="65" t="n"/>
      <c r="N1443" s="65" t="n"/>
      <c r="O1443" s="65" t="n"/>
      <c r="P1443" s="65" t="n"/>
      <c r="Q1443" s="32">
        <f>IF($C1443="","",IF($J1443="","— חסרים נתונים",IF($J1443="טרם מפענח","פרופיל 5",IF($J1443="קמץ/פתח/חטף-פתח ושוואים","פרופיל 4",IF($J1443="2-3 סימני ניקוד","פרופיל 3",IF($J1443="4-5 סימני ניקוד","פרופיל 2",IF(AND($O1443="משפטים וקטעים קצרים",OR($M1443="מבין",$M1443="מבין לרוב")),"פרופיל 1","פרופיל 2")))))))</f>
        <v/>
      </c>
      <c r="R1443" s="32">
        <f>IF($C1443="","",IF(OR($Q1443="",LEFT($Q1443,1)="—"),"קבוצה רביעית",IF($Q1443="פרופיל 5","קבוצת תשתיות",IF(OR($Q1443="פרופיל 4",$Q1443="פרופיל 3"),"קבוצת רכישה","קבוצת ביסוס"))))</f>
        <v/>
      </c>
      <c r="S1443" s="32">
        <f>IF($F1443="","",IF($F1443="תחילת שנה",1,IF($F1443="מחצית שנה",2,3)))</f>
        <v/>
      </c>
      <c r="T1443" s="32">
        <f>IF(OR($B1443="",$R1443="",$A1443="",$F1443=""),"",$B1443&amp;"|"&amp;$A1443&amp;"|"&amp;$F1443&amp;"|"&amp;$R1443&amp;"|"&amp;COUNTIFS($B$6:$B1443,$B1443,$A$6:$A1443,$A1443,$F$6:$F1443,$F1443,$R$6:$R1443,$R1443))</f>
        <v/>
      </c>
      <c r="U1443" s="32">
        <f>IF($C1443="","",$C1443&amp;"|"&amp;COUNTIFS($C$6:$C1443,$C1443))</f>
        <v/>
      </c>
      <c r="V1443" s="32">
        <f>IF(OR($C1443="",$A1443="",$S1443=""),"",$C1443&amp;"|"&amp;$A1443&amp;"|"&amp;$S1443)</f>
        <v/>
      </c>
      <c r="W1443" s="32">
        <f>IF(OR($C1443="",$S1443="",$S1443=1),"",IFERROR(INDEX($Q$6:$Q$1505,MATCH($C1443&amp;"|"&amp;$A1443&amp;"|"&amp;($S1443-1),$V$6:$V$1505,0)),""))</f>
        <v/>
      </c>
      <c r="X1443" s="32">
        <f>IF(OR($W1443="",$Q1443="",LEFT($Q1443,1)="—"),"",IF($W1443=$Q1443,"ללא שינוי","מ-"&amp;$W1443&amp;" ל-"&amp;$Q1443))</f>
        <v/>
      </c>
    </row>
    <row r="1444">
      <c r="A1444" s="65" t="n"/>
      <c r="B1444" s="65" t="n"/>
      <c r="C1444" s="66" t="n"/>
      <c r="D1444" s="66" t="n"/>
      <c r="E1444" s="65" t="n"/>
      <c r="F1444" s="65" t="n"/>
      <c r="G1444" s="65" t="n"/>
      <c r="H1444" s="65" t="n"/>
      <c r="I1444" s="65" t="n"/>
      <c r="J1444" s="65" t="n"/>
      <c r="K1444" s="65" t="n"/>
      <c r="L1444" s="65" t="n"/>
      <c r="M1444" s="65" t="n"/>
      <c r="N1444" s="65" t="n"/>
      <c r="O1444" s="65" t="n"/>
      <c r="P1444" s="65" t="n"/>
      <c r="Q1444" s="32">
        <f>IF($C1444="","",IF($J1444="","— חסרים נתונים",IF($J1444="טרם מפענח","פרופיל 5",IF($J1444="קמץ/פתח/חטף-פתח ושוואים","פרופיל 4",IF($J1444="2-3 סימני ניקוד","פרופיל 3",IF($J1444="4-5 סימני ניקוד","פרופיל 2",IF(AND($O1444="משפטים וקטעים קצרים",OR($M1444="מבין",$M1444="מבין לרוב")),"פרופיל 1","פרופיל 2")))))))</f>
        <v/>
      </c>
      <c r="R1444" s="32">
        <f>IF($C1444="","",IF(OR($Q1444="",LEFT($Q1444,1)="—"),"קבוצה רביעית",IF($Q1444="פרופיל 5","קבוצת תשתיות",IF(OR($Q1444="פרופיל 4",$Q1444="פרופיל 3"),"קבוצת רכישה","קבוצת ביסוס"))))</f>
        <v/>
      </c>
      <c r="S1444" s="32">
        <f>IF($F1444="","",IF($F1444="תחילת שנה",1,IF($F1444="מחצית שנה",2,3)))</f>
        <v/>
      </c>
      <c r="T1444" s="32">
        <f>IF(OR($B1444="",$R1444="",$A1444="",$F1444=""),"",$B1444&amp;"|"&amp;$A1444&amp;"|"&amp;$F1444&amp;"|"&amp;$R1444&amp;"|"&amp;COUNTIFS($B$6:$B1444,$B1444,$A$6:$A1444,$A1444,$F$6:$F1444,$F1444,$R$6:$R1444,$R1444))</f>
        <v/>
      </c>
      <c r="U1444" s="32">
        <f>IF($C1444="","",$C1444&amp;"|"&amp;COUNTIFS($C$6:$C1444,$C1444))</f>
        <v/>
      </c>
      <c r="V1444" s="32">
        <f>IF(OR($C1444="",$A1444="",$S1444=""),"",$C1444&amp;"|"&amp;$A1444&amp;"|"&amp;$S1444)</f>
        <v/>
      </c>
      <c r="W1444" s="32">
        <f>IF(OR($C1444="",$S1444="",$S1444=1),"",IFERROR(INDEX($Q$6:$Q$1505,MATCH($C1444&amp;"|"&amp;$A1444&amp;"|"&amp;($S1444-1),$V$6:$V$1505,0)),""))</f>
        <v/>
      </c>
      <c r="X1444" s="32">
        <f>IF(OR($W1444="",$Q1444="",LEFT($Q1444,1)="—"),"",IF($W1444=$Q1444,"ללא שינוי","מ-"&amp;$W1444&amp;" ל-"&amp;$Q1444))</f>
        <v/>
      </c>
    </row>
    <row r="1445">
      <c r="A1445" s="65" t="n"/>
      <c r="B1445" s="65" t="n"/>
      <c r="C1445" s="66" t="n"/>
      <c r="D1445" s="66" t="n"/>
      <c r="E1445" s="65" t="n"/>
      <c r="F1445" s="65" t="n"/>
      <c r="G1445" s="65" t="n"/>
      <c r="H1445" s="65" t="n"/>
      <c r="I1445" s="65" t="n"/>
      <c r="J1445" s="65" t="n"/>
      <c r="K1445" s="65" t="n"/>
      <c r="L1445" s="65" t="n"/>
      <c r="M1445" s="65" t="n"/>
      <c r="N1445" s="65" t="n"/>
      <c r="O1445" s="65" t="n"/>
      <c r="P1445" s="65" t="n"/>
      <c r="Q1445" s="32">
        <f>IF($C1445="","",IF($J1445="","— חסרים נתונים",IF($J1445="טרם מפענח","פרופיל 5",IF($J1445="קמץ/פתח/חטף-פתח ושוואים","פרופיל 4",IF($J1445="2-3 סימני ניקוד","פרופיל 3",IF($J1445="4-5 סימני ניקוד","פרופיל 2",IF(AND($O1445="משפטים וקטעים קצרים",OR($M1445="מבין",$M1445="מבין לרוב")),"פרופיל 1","פרופיל 2")))))))</f>
        <v/>
      </c>
      <c r="R1445" s="32">
        <f>IF($C1445="","",IF(OR($Q1445="",LEFT($Q1445,1)="—"),"קבוצה רביעית",IF($Q1445="פרופיל 5","קבוצת תשתיות",IF(OR($Q1445="פרופיל 4",$Q1445="פרופיל 3"),"קבוצת רכישה","קבוצת ביסוס"))))</f>
        <v/>
      </c>
      <c r="S1445" s="32">
        <f>IF($F1445="","",IF($F1445="תחילת שנה",1,IF($F1445="מחצית שנה",2,3)))</f>
        <v/>
      </c>
      <c r="T1445" s="32">
        <f>IF(OR($B1445="",$R1445="",$A1445="",$F1445=""),"",$B1445&amp;"|"&amp;$A1445&amp;"|"&amp;$F1445&amp;"|"&amp;$R1445&amp;"|"&amp;COUNTIFS($B$6:$B1445,$B1445,$A$6:$A1445,$A1445,$F$6:$F1445,$F1445,$R$6:$R1445,$R1445))</f>
        <v/>
      </c>
      <c r="U1445" s="32">
        <f>IF($C1445="","",$C1445&amp;"|"&amp;COUNTIFS($C$6:$C1445,$C1445))</f>
        <v/>
      </c>
      <c r="V1445" s="32">
        <f>IF(OR($C1445="",$A1445="",$S1445=""),"",$C1445&amp;"|"&amp;$A1445&amp;"|"&amp;$S1445)</f>
        <v/>
      </c>
      <c r="W1445" s="32">
        <f>IF(OR($C1445="",$S1445="",$S1445=1),"",IFERROR(INDEX($Q$6:$Q$1505,MATCH($C1445&amp;"|"&amp;$A1445&amp;"|"&amp;($S1445-1),$V$6:$V$1505,0)),""))</f>
        <v/>
      </c>
      <c r="X1445" s="32">
        <f>IF(OR($W1445="",$Q1445="",LEFT($Q1445,1)="—"),"",IF($W1445=$Q1445,"ללא שינוי","מ-"&amp;$W1445&amp;" ל-"&amp;$Q1445))</f>
        <v/>
      </c>
    </row>
    <row r="1446">
      <c r="A1446" s="65" t="n"/>
      <c r="B1446" s="65" t="n"/>
      <c r="C1446" s="66" t="n"/>
      <c r="D1446" s="66" t="n"/>
      <c r="E1446" s="65" t="n"/>
      <c r="F1446" s="65" t="n"/>
      <c r="G1446" s="65" t="n"/>
      <c r="H1446" s="65" t="n"/>
      <c r="I1446" s="65" t="n"/>
      <c r="J1446" s="65" t="n"/>
      <c r="K1446" s="65" t="n"/>
      <c r="L1446" s="65" t="n"/>
      <c r="M1446" s="65" t="n"/>
      <c r="N1446" s="65" t="n"/>
      <c r="O1446" s="65" t="n"/>
      <c r="P1446" s="65" t="n"/>
      <c r="Q1446" s="32">
        <f>IF($C1446="","",IF($J1446="","— חסרים נתונים",IF($J1446="טרם מפענח","פרופיל 5",IF($J1446="קמץ/פתח/חטף-פתח ושוואים","פרופיל 4",IF($J1446="2-3 סימני ניקוד","פרופיל 3",IF($J1446="4-5 סימני ניקוד","פרופיל 2",IF(AND($O1446="משפטים וקטעים קצרים",OR($M1446="מבין",$M1446="מבין לרוב")),"פרופיל 1","פרופיל 2")))))))</f>
        <v/>
      </c>
      <c r="R1446" s="32">
        <f>IF($C1446="","",IF(OR($Q1446="",LEFT($Q1446,1)="—"),"קבוצה רביעית",IF($Q1446="פרופיל 5","קבוצת תשתיות",IF(OR($Q1446="פרופיל 4",$Q1446="פרופיל 3"),"קבוצת רכישה","קבוצת ביסוס"))))</f>
        <v/>
      </c>
      <c r="S1446" s="32">
        <f>IF($F1446="","",IF($F1446="תחילת שנה",1,IF($F1446="מחצית שנה",2,3)))</f>
        <v/>
      </c>
      <c r="T1446" s="32">
        <f>IF(OR($B1446="",$R1446="",$A1446="",$F1446=""),"",$B1446&amp;"|"&amp;$A1446&amp;"|"&amp;$F1446&amp;"|"&amp;$R1446&amp;"|"&amp;COUNTIFS($B$6:$B1446,$B1446,$A$6:$A1446,$A1446,$F$6:$F1446,$F1446,$R$6:$R1446,$R1446))</f>
        <v/>
      </c>
      <c r="U1446" s="32">
        <f>IF($C1446="","",$C1446&amp;"|"&amp;COUNTIFS($C$6:$C1446,$C1446))</f>
        <v/>
      </c>
      <c r="V1446" s="32">
        <f>IF(OR($C1446="",$A1446="",$S1446=""),"",$C1446&amp;"|"&amp;$A1446&amp;"|"&amp;$S1446)</f>
        <v/>
      </c>
      <c r="W1446" s="32">
        <f>IF(OR($C1446="",$S1446="",$S1446=1),"",IFERROR(INDEX($Q$6:$Q$1505,MATCH($C1446&amp;"|"&amp;$A1446&amp;"|"&amp;($S1446-1),$V$6:$V$1505,0)),""))</f>
        <v/>
      </c>
      <c r="X1446" s="32">
        <f>IF(OR($W1446="",$Q1446="",LEFT($Q1446,1)="—"),"",IF($W1446=$Q1446,"ללא שינוי","מ-"&amp;$W1446&amp;" ל-"&amp;$Q1446))</f>
        <v/>
      </c>
    </row>
    <row r="1447">
      <c r="A1447" s="65" t="n"/>
      <c r="B1447" s="65" t="n"/>
      <c r="C1447" s="66" t="n"/>
      <c r="D1447" s="66" t="n"/>
      <c r="E1447" s="65" t="n"/>
      <c r="F1447" s="65" t="n"/>
      <c r="G1447" s="65" t="n"/>
      <c r="H1447" s="65" t="n"/>
      <c r="I1447" s="65" t="n"/>
      <c r="J1447" s="65" t="n"/>
      <c r="K1447" s="65" t="n"/>
      <c r="L1447" s="65" t="n"/>
      <c r="M1447" s="65" t="n"/>
      <c r="N1447" s="65" t="n"/>
      <c r="O1447" s="65" t="n"/>
      <c r="P1447" s="65" t="n"/>
      <c r="Q1447" s="32">
        <f>IF($C1447="","",IF($J1447="","— חסרים נתונים",IF($J1447="טרם מפענח","פרופיל 5",IF($J1447="קמץ/פתח/חטף-פתח ושוואים","פרופיל 4",IF($J1447="2-3 סימני ניקוד","פרופיל 3",IF($J1447="4-5 סימני ניקוד","פרופיל 2",IF(AND($O1447="משפטים וקטעים קצרים",OR($M1447="מבין",$M1447="מבין לרוב")),"פרופיל 1","פרופיל 2")))))))</f>
        <v/>
      </c>
      <c r="R1447" s="32">
        <f>IF($C1447="","",IF(OR($Q1447="",LEFT($Q1447,1)="—"),"קבוצה רביעית",IF($Q1447="פרופיל 5","קבוצת תשתיות",IF(OR($Q1447="פרופיל 4",$Q1447="פרופיל 3"),"קבוצת רכישה","קבוצת ביסוס"))))</f>
        <v/>
      </c>
      <c r="S1447" s="32">
        <f>IF($F1447="","",IF($F1447="תחילת שנה",1,IF($F1447="מחצית שנה",2,3)))</f>
        <v/>
      </c>
      <c r="T1447" s="32">
        <f>IF(OR($B1447="",$R1447="",$A1447="",$F1447=""),"",$B1447&amp;"|"&amp;$A1447&amp;"|"&amp;$F1447&amp;"|"&amp;$R1447&amp;"|"&amp;COUNTIFS($B$6:$B1447,$B1447,$A$6:$A1447,$A1447,$F$6:$F1447,$F1447,$R$6:$R1447,$R1447))</f>
        <v/>
      </c>
      <c r="U1447" s="32">
        <f>IF($C1447="","",$C1447&amp;"|"&amp;COUNTIFS($C$6:$C1447,$C1447))</f>
        <v/>
      </c>
      <c r="V1447" s="32">
        <f>IF(OR($C1447="",$A1447="",$S1447=""),"",$C1447&amp;"|"&amp;$A1447&amp;"|"&amp;$S1447)</f>
        <v/>
      </c>
      <c r="W1447" s="32">
        <f>IF(OR($C1447="",$S1447="",$S1447=1),"",IFERROR(INDEX($Q$6:$Q$1505,MATCH($C1447&amp;"|"&amp;$A1447&amp;"|"&amp;($S1447-1),$V$6:$V$1505,0)),""))</f>
        <v/>
      </c>
      <c r="X1447" s="32">
        <f>IF(OR($W1447="",$Q1447="",LEFT($Q1447,1)="—"),"",IF($W1447=$Q1447,"ללא שינוי","מ-"&amp;$W1447&amp;" ל-"&amp;$Q1447))</f>
        <v/>
      </c>
    </row>
    <row r="1448">
      <c r="A1448" s="65" t="n"/>
      <c r="B1448" s="65" t="n"/>
      <c r="C1448" s="66" t="n"/>
      <c r="D1448" s="66" t="n"/>
      <c r="E1448" s="65" t="n"/>
      <c r="F1448" s="65" t="n"/>
      <c r="G1448" s="65" t="n"/>
      <c r="H1448" s="65" t="n"/>
      <c r="I1448" s="65" t="n"/>
      <c r="J1448" s="65" t="n"/>
      <c r="K1448" s="65" t="n"/>
      <c r="L1448" s="65" t="n"/>
      <c r="M1448" s="65" t="n"/>
      <c r="N1448" s="65" t="n"/>
      <c r="O1448" s="65" t="n"/>
      <c r="P1448" s="65" t="n"/>
      <c r="Q1448" s="32">
        <f>IF($C1448="","",IF($J1448="","— חסרים נתונים",IF($J1448="טרם מפענח","פרופיל 5",IF($J1448="קמץ/פתח/חטף-פתח ושוואים","פרופיל 4",IF($J1448="2-3 סימני ניקוד","פרופיל 3",IF($J1448="4-5 סימני ניקוד","פרופיל 2",IF(AND($O1448="משפטים וקטעים קצרים",OR($M1448="מבין",$M1448="מבין לרוב")),"פרופיל 1","פרופיל 2")))))))</f>
        <v/>
      </c>
      <c r="R1448" s="32">
        <f>IF($C1448="","",IF(OR($Q1448="",LEFT($Q1448,1)="—"),"קבוצה רביעית",IF($Q1448="פרופיל 5","קבוצת תשתיות",IF(OR($Q1448="פרופיל 4",$Q1448="פרופיל 3"),"קבוצת רכישה","קבוצת ביסוס"))))</f>
        <v/>
      </c>
      <c r="S1448" s="32">
        <f>IF($F1448="","",IF($F1448="תחילת שנה",1,IF($F1448="מחצית שנה",2,3)))</f>
        <v/>
      </c>
      <c r="T1448" s="32">
        <f>IF(OR($B1448="",$R1448="",$A1448="",$F1448=""),"",$B1448&amp;"|"&amp;$A1448&amp;"|"&amp;$F1448&amp;"|"&amp;$R1448&amp;"|"&amp;COUNTIFS($B$6:$B1448,$B1448,$A$6:$A1448,$A1448,$F$6:$F1448,$F1448,$R$6:$R1448,$R1448))</f>
        <v/>
      </c>
      <c r="U1448" s="32">
        <f>IF($C1448="","",$C1448&amp;"|"&amp;COUNTIFS($C$6:$C1448,$C1448))</f>
        <v/>
      </c>
      <c r="V1448" s="32">
        <f>IF(OR($C1448="",$A1448="",$S1448=""),"",$C1448&amp;"|"&amp;$A1448&amp;"|"&amp;$S1448)</f>
        <v/>
      </c>
      <c r="W1448" s="32">
        <f>IF(OR($C1448="",$S1448="",$S1448=1),"",IFERROR(INDEX($Q$6:$Q$1505,MATCH($C1448&amp;"|"&amp;$A1448&amp;"|"&amp;($S1448-1),$V$6:$V$1505,0)),""))</f>
        <v/>
      </c>
      <c r="X1448" s="32">
        <f>IF(OR($W1448="",$Q1448="",LEFT($Q1448,1)="—"),"",IF($W1448=$Q1448,"ללא שינוי","מ-"&amp;$W1448&amp;" ל-"&amp;$Q1448))</f>
        <v/>
      </c>
    </row>
    <row r="1449">
      <c r="A1449" s="65" t="n"/>
      <c r="B1449" s="65" t="n"/>
      <c r="C1449" s="66" t="n"/>
      <c r="D1449" s="66" t="n"/>
      <c r="E1449" s="65" t="n"/>
      <c r="F1449" s="65" t="n"/>
      <c r="G1449" s="65" t="n"/>
      <c r="H1449" s="65" t="n"/>
      <c r="I1449" s="65" t="n"/>
      <c r="J1449" s="65" t="n"/>
      <c r="K1449" s="65" t="n"/>
      <c r="L1449" s="65" t="n"/>
      <c r="M1449" s="65" t="n"/>
      <c r="N1449" s="65" t="n"/>
      <c r="O1449" s="65" t="n"/>
      <c r="P1449" s="65" t="n"/>
      <c r="Q1449" s="32">
        <f>IF($C1449="","",IF($J1449="","— חסרים נתונים",IF($J1449="טרם מפענח","פרופיל 5",IF($J1449="קמץ/פתח/חטף-פתח ושוואים","פרופיל 4",IF($J1449="2-3 סימני ניקוד","פרופיל 3",IF($J1449="4-5 סימני ניקוד","פרופיל 2",IF(AND($O1449="משפטים וקטעים קצרים",OR($M1449="מבין",$M1449="מבין לרוב")),"פרופיל 1","פרופיל 2")))))))</f>
        <v/>
      </c>
      <c r="R1449" s="32">
        <f>IF($C1449="","",IF(OR($Q1449="",LEFT($Q1449,1)="—"),"קבוצה רביעית",IF($Q1449="פרופיל 5","קבוצת תשתיות",IF(OR($Q1449="פרופיל 4",$Q1449="פרופיל 3"),"קבוצת רכישה","קבוצת ביסוס"))))</f>
        <v/>
      </c>
      <c r="S1449" s="32">
        <f>IF($F1449="","",IF($F1449="תחילת שנה",1,IF($F1449="מחצית שנה",2,3)))</f>
        <v/>
      </c>
      <c r="T1449" s="32">
        <f>IF(OR($B1449="",$R1449="",$A1449="",$F1449=""),"",$B1449&amp;"|"&amp;$A1449&amp;"|"&amp;$F1449&amp;"|"&amp;$R1449&amp;"|"&amp;COUNTIFS($B$6:$B1449,$B1449,$A$6:$A1449,$A1449,$F$6:$F1449,$F1449,$R$6:$R1449,$R1449))</f>
        <v/>
      </c>
      <c r="U1449" s="32">
        <f>IF($C1449="","",$C1449&amp;"|"&amp;COUNTIFS($C$6:$C1449,$C1449))</f>
        <v/>
      </c>
      <c r="V1449" s="32">
        <f>IF(OR($C1449="",$A1449="",$S1449=""),"",$C1449&amp;"|"&amp;$A1449&amp;"|"&amp;$S1449)</f>
        <v/>
      </c>
      <c r="W1449" s="32">
        <f>IF(OR($C1449="",$S1449="",$S1449=1),"",IFERROR(INDEX($Q$6:$Q$1505,MATCH($C1449&amp;"|"&amp;$A1449&amp;"|"&amp;($S1449-1),$V$6:$V$1505,0)),""))</f>
        <v/>
      </c>
      <c r="X1449" s="32">
        <f>IF(OR($W1449="",$Q1449="",LEFT($Q1449,1)="—"),"",IF($W1449=$Q1449,"ללא שינוי","מ-"&amp;$W1449&amp;" ל-"&amp;$Q1449))</f>
        <v/>
      </c>
    </row>
    <row r="1450">
      <c r="A1450" s="65" t="n"/>
      <c r="B1450" s="65" t="n"/>
      <c r="C1450" s="66" t="n"/>
      <c r="D1450" s="66" t="n"/>
      <c r="E1450" s="65" t="n"/>
      <c r="F1450" s="65" t="n"/>
      <c r="G1450" s="65" t="n"/>
      <c r="H1450" s="65" t="n"/>
      <c r="I1450" s="65" t="n"/>
      <c r="J1450" s="65" t="n"/>
      <c r="K1450" s="65" t="n"/>
      <c r="L1450" s="65" t="n"/>
      <c r="M1450" s="65" t="n"/>
      <c r="N1450" s="65" t="n"/>
      <c r="O1450" s="65" t="n"/>
      <c r="P1450" s="65" t="n"/>
      <c r="Q1450" s="32">
        <f>IF($C1450="","",IF($J1450="","— חסרים נתונים",IF($J1450="טרם מפענח","פרופיל 5",IF($J1450="קמץ/פתח/חטף-פתח ושוואים","פרופיל 4",IF($J1450="2-3 סימני ניקוד","פרופיל 3",IF($J1450="4-5 סימני ניקוד","פרופיל 2",IF(AND($O1450="משפטים וקטעים קצרים",OR($M1450="מבין",$M1450="מבין לרוב")),"פרופיל 1","פרופיל 2")))))))</f>
        <v/>
      </c>
      <c r="R1450" s="32">
        <f>IF($C1450="","",IF(OR($Q1450="",LEFT($Q1450,1)="—"),"קבוצה רביעית",IF($Q1450="פרופיל 5","קבוצת תשתיות",IF(OR($Q1450="פרופיל 4",$Q1450="פרופיל 3"),"קבוצת רכישה","קבוצת ביסוס"))))</f>
        <v/>
      </c>
      <c r="S1450" s="32">
        <f>IF($F1450="","",IF($F1450="תחילת שנה",1,IF($F1450="מחצית שנה",2,3)))</f>
        <v/>
      </c>
      <c r="T1450" s="32">
        <f>IF(OR($B1450="",$R1450="",$A1450="",$F1450=""),"",$B1450&amp;"|"&amp;$A1450&amp;"|"&amp;$F1450&amp;"|"&amp;$R1450&amp;"|"&amp;COUNTIFS($B$6:$B1450,$B1450,$A$6:$A1450,$A1450,$F$6:$F1450,$F1450,$R$6:$R1450,$R1450))</f>
        <v/>
      </c>
      <c r="U1450" s="32">
        <f>IF($C1450="","",$C1450&amp;"|"&amp;COUNTIFS($C$6:$C1450,$C1450))</f>
        <v/>
      </c>
      <c r="V1450" s="32">
        <f>IF(OR($C1450="",$A1450="",$S1450=""),"",$C1450&amp;"|"&amp;$A1450&amp;"|"&amp;$S1450)</f>
        <v/>
      </c>
      <c r="W1450" s="32">
        <f>IF(OR($C1450="",$S1450="",$S1450=1),"",IFERROR(INDEX($Q$6:$Q$1505,MATCH($C1450&amp;"|"&amp;$A1450&amp;"|"&amp;($S1450-1),$V$6:$V$1505,0)),""))</f>
        <v/>
      </c>
      <c r="X1450" s="32">
        <f>IF(OR($W1450="",$Q1450="",LEFT($Q1450,1)="—"),"",IF($W1450=$Q1450,"ללא שינוי","מ-"&amp;$W1450&amp;" ל-"&amp;$Q1450))</f>
        <v/>
      </c>
    </row>
    <row r="1451">
      <c r="A1451" s="65" t="n"/>
      <c r="B1451" s="65" t="n"/>
      <c r="C1451" s="66" t="n"/>
      <c r="D1451" s="66" t="n"/>
      <c r="E1451" s="65" t="n"/>
      <c r="F1451" s="65" t="n"/>
      <c r="G1451" s="65" t="n"/>
      <c r="H1451" s="65" t="n"/>
      <c r="I1451" s="65" t="n"/>
      <c r="J1451" s="65" t="n"/>
      <c r="K1451" s="65" t="n"/>
      <c r="L1451" s="65" t="n"/>
      <c r="M1451" s="65" t="n"/>
      <c r="N1451" s="65" t="n"/>
      <c r="O1451" s="65" t="n"/>
      <c r="P1451" s="65" t="n"/>
      <c r="Q1451" s="32">
        <f>IF($C1451="","",IF($J1451="","— חסרים נתונים",IF($J1451="טרם מפענח","פרופיל 5",IF($J1451="קמץ/פתח/חטף-פתח ושוואים","פרופיל 4",IF($J1451="2-3 סימני ניקוד","פרופיל 3",IF($J1451="4-5 סימני ניקוד","פרופיל 2",IF(AND($O1451="משפטים וקטעים קצרים",OR($M1451="מבין",$M1451="מבין לרוב")),"פרופיל 1","פרופיל 2")))))))</f>
        <v/>
      </c>
      <c r="R1451" s="32">
        <f>IF($C1451="","",IF(OR($Q1451="",LEFT($Q1451,1)="—"),"קבוצה רביעית",IF($Q1451="פרופיל 5","קבוצת תשתיות",IF(OR($Q1451="פרופיל 4",$Q1451="פרופיל 3"),"קבוצת רכישה","קבוצת ביסוס"))))</f>
        <v/>
      </c>
      <c r="S1451" s="32">
        <f>IF($F1451="","",IF($F1451="תחילת שנה",1,IF($F1451="מחצית שנה",2,3)))</f>
        <v/>
      </c>
      <c r="T1451" s="32">
        <f>IF(OR($B1451="",$R1451="",$A1451="",$F1451=""),"",$B1451&amp;"|"&amp;$A1451&amp;"|"&amp;$F1451&amp;"|"&amp;$R1451&amp;"|"&amp;COUNTIFS($B$6:$B1451,$B1451,$A$6:$A1451,$A1451,$F$6:$F1451,$F1451,$R$6:$R1451,$R1451))</f>
        <v/>
      </c>
      <c r="U1451" s="32">
        <f>IF($C1451="","",$C1451&amp;"|"&amp;COUNTIFS($C$6:$C1451,$C1451))</f>
        <v/>
      </c>
      <c r="V1451" s="32">
        <f>IF(OR($C1451="",$A1451="",$S1451=""),"",$C1451&amp;"|"&amp;$A1451&amp;"|"&amp;$S1451)</f>
        <v/>
      </c>
      <c r="W1451" s="32">
        <f>IF(OR($C1451="",$S1451="",$S1451=1),"",IFERROR(INDEX($Q$6:$Q$1505,MATCH($C1451&amp;"|"&amp;$A1451&amp;"|"&amp;($S1451-1),$V$6:$V$1505,0)),""))</f>
        <v/>
      </c>
      <c r="X1451" s="32">
        <f>IF(OR($W1451="",$Q1451="",LEFT($Q1451,1)="—"),"",IF($W1451=$Q1451,"ללא שינוי","מ-"&amp;$W1451&amp;" ל-"&amp;$Q1451))</f>
        <v/>
      </c>
    </row>
    <row r="1452">
      <c r="A1452" s="65" t="n"/>
      <c r="B1452" s="65" t="n"/>
      <c r="C1452" s="66" t="n"/>
      <c r="D1452" s="66" t="n"/>
      <c r="E1452" s="65" t="n"/>
      <c r="F1452" s="65" t="n"/>
      <c r="G1452" s="65" t="n"/>
      <c r="H1452" s="65" t="n"/>
      <c r="I1452" s="65" t="n"/>
      <c r="J1452" s="65" t="n"/>
      <c r="K1452" s="65" t="n"/>
      <c r="L1452" s="65" t="n"/>
      <c r="M1452" s="65" t="n"/>
      <c r="N1452" s="65" t="n"/>
      <c r="O1452" s="65" t="n"/>
      <c r="P1452" s="65" t="n"/>
      <c r="Q1452" s="32">
        <f>IF($C1452="","",IF($J1452="","— חסרים נתונים",IF($J1452="טרם מפענח","פרופיל 5",IF($J1452="קמץ/פתח/חטף-פתח ושוואים","פרופיל 4",IF($J1452="2-3 סימני ניקוד","פרופיל 3",IF($J1452="4-5 סימני ניקוד","פרופיל 2",IF(AND($O1452="משפטים וקטעים קצרים",OR($M1452="מבין",$M1452="מבין לרוב")),"פרופיל 1","פרופיל 2")))))))</f>
        <v/>
      </c>
      <c r="R1452" s="32">
        <f>IF($C1452="","",IF(OR($Q1452="",LEFT($Q1452,1)="—"),"קבוצה רביעית",IF($Q1452="פרופיל 5","קבוצת תשתיות",IF(OR($Q1452="פרופיל 4",$Q1452="פרופיל 3"),"קבוצת רכישה","קבוצת ביסוס"))))</f>
        <v/>
      </c>
      <c r="S1452" s="32">
        <f>IF($F1452="","",IF($F1452="תחילת שנה",1,IF($F1452="מחצית שנה",2,3)))</f>
        <v/>
      </c>
      <c r="T1452" s="32">
        <f>IF(OR($B1452="",$R1452="",$A1452="",$F1452=""),"",$B1452&amp;"|"&amp;$A1452&amp;"|"&amp;$F1452&amp;"|"&amp;$R1452&amp;"|"&amp;COUNTIFS($B$6:$B1452,$B1452,$A$6:$A1452,$A1452,$F$6:$F1452,$F1452,$R$6:$R1452,$R1452))</f>
        <v/>
      </c>
      <c r="U1452" s="32">
        <f>IF($C1452="","",$C1452&amp;"|"&amp;COUNTIFS($C$6:$C1452,$C1452))</f>
        <v/>
      </c>
      <c r="V1452" s="32">
        <f>IF(OR($C1452="",$A1452="",$S1452=""),"",$C1452&amp;"|"&amp;$A1452&amp;"|"&amp;$S1452)</f>
        <v/>
      </c>
      <c r="W1452" s="32">
        <f>IF(OR($C1452="",$S1452="",$S1452=1),"",IFERROR(INDEX($Q$6:$Q$1505,MATCH($C1452&amp;"|"&amp;$A1452&amp;"|"&amp;($S1452-1),$V$6:$V$1505,0)),""))</f>
        <v/>
      </c>
      <c r="X1452" s="32">
        <f>IF(OR($W1452="",$Q1452="",LEFT($Q1452,1)="—"),"",IF($W1452=$Q1452,"ללא שינוי","מ-"&amp;$W1452&amp;" ל-"&amp;$Q1452))</f>
        <v/>
      </c>
    </row>
    <row r="1453">
      <c r="A1453" s="65" t="n"/>
      <c r="B1453" s="65" t="n"/>
      <c r="C1453" s="66" t="n"/>
      <c r="D1453" s="66" t="n"/>
      <c r="E1453" s="65" t="n"/>
      <c r="F1453" s="65" t="n"/>
      <c r="G1453" s="65" t="n"/>
      <c r="H1453" s="65" t="n"/>
      <c r="I1453" s="65" t="n"/>
      <c r="J1453" s="65" t="n"/>
      <c r="K1453" s="65" t="n"/>
      <c r="L1453" s="65" t="n"/>
      <c r="M1453" s="65" t="n"/>
      <c r="N1453" s="65" t="n"/>
      <c r="O1453" s="65" t="n"/>
      <c r="P1453" s="65" t="n"/>
      <c r="Q1453" s="32">
        <f>IF($C1453="","",IF($J1453="","— חסרים נתונים",IF($J1453="טרם מפענח","פרופיל 5",IF($J1453="קמץ/פתח/חטף-פתח ושוואים","פרופיל 4",IF($J1453="2-3 סימני ניקוד","פרופיל 3",IF($J1453="4-5 סימני ניקוד","פרופיל 2",IF(AND($O1453="משפטים וקטעים קצרים",OR($M1453="מבין",$M1453="מבין לרוב")),"פרופיל 1","פרופיל 2")))))))</f>
        <v/>
      </c>
      <c r="R1453" s="32">
        <f>IF($C1453="","",IF(OR($Q1453="",LEFT($Q1453,1)="—"),"קבוצה רביעית",IF($Q1453="פרופיל 5","קבוצת תשתיות",IF(OR($Q1453="פרופיל 4",$Q1453="פרופיל 3"),"קבוצת רכישה","קבוצת ביסוס"))))</f>
        <v/>
      </c>
      <c r="S1453" s="32">
        <f>IF($F1453="","",IF($F1453="תחילת שנה",1,IF($F1453="מחצית שנה",2,3)))</f>
        <v/>
      </c>
      <c r="T1453" s="32">
        <f>IF(OR($B1453="",$R1453="",$A1453="",$F1453=""),"",$B1453&amp;"|"&amp;$A1453&amp;"|"&amp;$F1453&amp;"|"&amp;$R1453&amp;"|"&amp;COUNTIFS($B$6:$B1453,$B1453,$A$6:$A1453,$A1453,$F$6:$F1453,$F1453,$R$6:$R1453,$R1453))</f>
        <v/>
      </c>
      <c r="U1453" s="32">
        <f>IF($C1453="","",$C1453&amp;"|"&amp;COUNTIFS($C$6:$C1453,$C1453))</f>
        <v/>
      </c>
      <c r="V1453" s="32">
        <f>IF(OR($C1453="",$A1453="",$S1453=""),"",$C1453&amp;"|"&amp;$A1453&amp;"|"&amp;$S1453)</f>
        <v/>
      </c>
      <c r="W1453" s="32">
        <f>IF(OR($C1453="",$S1453="",$S1453=1),"",IFERROR(INDEX($Q$6:$Q$1505,MATCH($C1453&amp;"|"&amp;$A1453&amp;"|"&amp;($S1453-1),$V$6:$V$1505,0)),""))</f>
        <v/>
      </c>
      <c r="X1453" s="32">
        <f>IF(OR($W1453="",$Q1453="",LEFT($Q1453,1)="—"),"",IF($W1453=$Q1453,"ללא שינוי","מ-"&amp;$W1453&amp;" ל-"&amp;$Q1453))</f>
        <v/>
      </c>
    </row>
    <row r="1454">
      <c r="A1454" s="65" t="n"/>
      <c r="B1454" s="65" t="n"/>
      <c r="C1454" s="66" t="n"/>
      <c r="D1454" s="66" t="n"/>
      <c r="E1454" s="65" t="n"/>
      <c r="F1454" s="65" t="n"/>
      <c r="G1454" s="65" t="n"/>
      <c r="H1454" s="65" t="n"/>
      <c r="I1454" s="65" t="n"/>
      <c r="J1454" s="65" t="n"/>
      <c r="K1454" s="65" t="n"/>
      <c r="L1454" s="65" t="n"/>
      <c r="M1454" s="65" t="n"/>
      <c r="N1454" s="65" t="n"/>
      <c r="O1454" s="65" t="n"/>
      <c r="P1454" s="65" t="n"/>
      <c r="Q1454" s="32">
        <f>IF($C1454="","",IF($J1454="","— חסרים נתונים",IF($J1454="טרם מפענח","פרופיל 5",IF($J1454="קמץ/פתח/חטף-פתח ושוואים","פרופיל 4",IF($J1454="2-3 סימני ניקוד","פרופיל 3",IF($J1454="4-5 סימני ניקוד","פרופיל 2",IF(AND($O1454="משפטים וקטעים קצרים",OR($M1454="מבין",$M1454="מבין לרוב")),"פרופיל 1","פרופיל 2")))))))</f>
        <v/>
      </c>
      <c r="R1454" s="32">
        <f>IF($C1454="","",IF(OR($Q1454="",LEFT($Q1454,1)="—"),"קבוצה רביעית",IF($Q1454="פרופיל 5","קבוצת תשתיות",IF(OR($Q1454="פרופיל 4",$Q1454="פרופיל 3"),"קבוצת רכישה","קבוצת ביסוס"))))</f>
        <v/>
      </c>
      <c r="S1454" s="32">
        <f>IF($F1454="","",IF($F1454="תחילת שנה",1,IF($F1454="מחצית שנה",2,3)))</f>
        <v/>
      </c>
      <c r="T1454" s="32">
        <f>IF(OR($B1454="",$R1454="",$A1454="",$F1454=""),"",$B1454&amp;"|"&amp;$A1454&amp;"|"&amp;$F1454&amp;"|"&amp;$R1454&amp;"|"&amp;COUNTIFS($B$6:$B1454,$B1454,$A$6:$A1454,$A1454,$F$6:$F1454,$F1454,$R$6:$R1454,$R1454))</f>
        <v/>
      </c>
      <c r="U1454" s="32">
        <f>IF($C1454="","",$C1454&amp;"|"&amp;COUNTIFS($C$6:$C1454,$C1454))</f>
        <v/>
      </c>
      <c r="V1454" s="32">
        <f>IF(OR($C1454="",$A1454="",$S1454=""),"",$C1454&amp;"|"&amp;$A1454&amp;"|"&amp;$S1454)</f>
        <v/>
      </c>
      <c r="W1454" s="32">
        <f>IF(OR($C1454="",$S1454="",$S1454=1),"",IFERROR(INDEX($Q$6:$Q$1505,MATCH($C1454&amp;"|"&amp;$A1454&amp;"|"&amp;($S1454-1),$V$6:$V$1505,0)),""))</f>
        <v/>
      </c>
      <c r="X1454" s="32">
        <f>IF(OR($W1454="",$Q1454="",LEFT($Q1454,1)="—"),"",IF($W1454=$Q1454,"ללא שינוי","מ-"&amp;$W1454&amp;" ל-"&amp;$Q1454))</f>
        <v/>
      </c>
    </row>
    <row r="1455">
      <c r="A1455" s="65" t="n"/>
      <c r="B1455" s="65" t="n"/>
      <c r="C1455" s="66" t="n"/>
      <c r="D1455" s="66" t="n"/>
      <c r="E1455" s="65" t="n"/>
      <c r="F1455" s="65" t="n"/>
      <c r="G1455" s="65" t="n"/>
      <c r="H1455" s="65" t="n"/>
      <c r="I1455" s="65" t="n"/>
      <c r="J1455" s="65" t="n"/>
      <c r="K1455" s="65" t="n"/>
      <c r="L1455" s="65" t="n"/>
      <c r="M1455" s="65" t="n"/>
      <c r="N1455" s="65" t="n"/>
      <c r="O1455" s="65" t="n"/>
      <c r="P1455" s="65" t="n"/>
      <c r="Q1455" s="32">
        <f>IF($C1455="","",IF($J1455="","— חסרים נתונים",IF($J1455="טרם מפענח","פרופיל 5",IF($J1455="קמץ/פתח/חטף-פתח ושוואים","פרופיל 4",IF($J1455="2-3 סימני ניקוד","פרופיל 3",IF($J1455="4-5 סימני ניקוד","פרופיל 2",IF(AND($O1455="משפטים וקטעים קצרים",OR($M1455="מבין",$M1455="מבין לרוב")),"פרופיל 1","פרופיל 2")))))))</f>
        <v/>
      </c>
      <c r="R1455" s="32">
        <f>IF($C1455="","",IF(OR($Q1455="",LEFT($Q1455,1)="—"),"קבוצה רביעית",IF($Q1455="פרופיל 5","קבוצת תשתיות",IF(OR($Q1455="פרופיל 4",$Q1455="פרופיל 3"),"קבוצת רכישה","קבוצת ביסוס"))))</f>
        <v/>
      </c>
      <c r="S1455" s="32">
        <f>IF($F1455="","",IF($F1455="תחילת שנה",1,IF($F1455="מחצית שנה",2,3)))</f>
        <v/>
      </c>
      <c r="T1455" s="32">
        <f>IF(OR($B1455="",$R1455="",$A1455="",$F1455=""),"",$B1455&amp;"|"&amp;$A1455&amp;"|"&amp;$F1455&amp;"|"&amp;$R1455&amp;"|"&amp;COUNTIFS($B$6:$B1455,$B1455,$A$6:$A1455,$A1455,$F$6:$F1455,$F1455,$R$6:$R1455,$R1455))</f>
        <v/>
      </c>
      <c r="U1455" s="32">
        <f>IF($C1455="","",$C1455&amp;"|"&amp;COUNTIFS($C$6:$C1455,$C1455))</f>
        <v/>
      </c>
      <c r="V1455" s="32">
        <f>IF(OR($C1455="",$A1455="",$S1455=""),"",$C1455&amp;"|"&amp;$A1455&amp;"|"&amp;$S1455)</f>
        <v/>
      </c>
      <c r="W1455" s="32">
        <f>IF(OR($C1455="",$S1455="",$S1455=1),"",IFERROR(INDEX($Q$6:$Q$1505,MATCH($C1455&amp;"|"&amp;$A1455&amp;"|"&amp;($S1455-1),$V$6:$V$1505,0)),""))</f>
        <v/>
      </c>
      <c r="X1455" s="32">
        <f>IF(OR($W1455="",$Q1455="",LEFT($Q1455,1)="—"),"",IF($W1455=$Q1455,"ללא שינוי","מ-"&amp;$W1455&amp;" ל-"&amp;$Q1455))</f>
        <v/>
      </c>
    </row>
    <row r="1456">
      <c r="A1456" s="65" t="n"/>
      <c r="B1456" s="65" t="n"/>
      <c r="C1456" s="66" t="n"/>
      <c r="D1456" s="66" t="n"/>
      <c r="E1456" s="65" t="n"/>
      <c r="F1456" s="65" t="n"/>
      <c r="G1456" s="65" t="n"/>
      <c r="H1456" s="65" t="n"/>
      <c r="I1456" s="65" t="n"/>
      <c r="J1456" s="65" t="n"/>
      <c r="K1456" s="65" t="n"/>
      <c r="L1456" s="65" t="n"/>
      <c r="M1456" s="65" t="n"/>
      <c r="N1456" s="65" t="n"/>
      <c r="O1456" s="65" t="n"/>
      <c r="P1456" s="65" t="n"/>
      <c r="Q1456" s="32">
        <f>IF($C1456="","",IF($J1456="","— חסרים נתונים",IF($J1456="טרם מפענח","פרופיל 5",IF($J1456="קמץ/פתח/חטף-פתח ושוואים","פרופיל 4",IF($J1456="2-3 סימני ניקוד","פרופיל 3",IF($J1456="4-5 סימני ניקוד","פרופיל 2",IF(AND($O1456="משפטים וקטעים קצרים",OR($M1456="מבין",$M1456="מבין לרוב")),"פרופיל 1","פרופיל 2")))))))</f>
        <v/>
      </c>
      <c r="R1456" s="32">
        <f>IF($C1456="","",IF(OR($Q1456="",LEFT($Q1456,1)="—"),"קבוצה רביעית",IF($Q1456="פרופיל 5","קבוצת תשתיות",IF(OR($Q1456="פרופיל 4",$Q1456="פרופיל 3"),"קבוצת רכישה","קבוצת ביסוס"))))</f>
        <v/>
      </c>
      <c r="S1456" s="32">
        <f>IF($F1456="","",IF($F1456="תחילת שנה",1,IF($F1456="מחצית שנה",2,3)))</f>
        <v/>
      </c>
      <c r="T1456" s="32">
        <f>IF(OR($B1456="",$R1456="",$A1456="",$F1456=""),"",$B1456&amp;"|"&amp;$A1456&amp;"|"&amp;$F1456&amp;"|"&amp;$R1456&amp;"|"&amp;COUNTIFS($B$6:$B1456,$B1456,$A$6:$A1456,$A1456,$F$6:$F1456,$F1456,$R$6:$R1456,$R1456))</f>
        <v/>
      </c>
      <c r="U1456" s="32">
        <f>IF($C1456="","",$C1456&amp;"|"&amp;COUNTIFS($C$6:$C1456,$C1456))</f>
        <v/>
      </c>
      <c r="V1456" s="32">
        <f>IF(OR($C1456="",$A1456="",$S1456=""),"",$C1456&amp;"|"&amp;$A1456&amp;"|"&amp;$S1456)</f>
        <v/>
      </c>
      <c r="W1456" s="32">
        <f>IF(OR($C1456="",$S1456="",$S1456=1),"",IFERROR(INDEX($Q$6:$Q$1505,MATCH($C1456&amp;"|"&amp;$A1456&amp;"|"&amp;($S1456-1),$V$6:$V$1505,0)),""))</f>
        <v/>
      </c>
      <c r="X1456" s="32">
        <f>IF(OR($W1456="",$Q1456="",LEFT($Q1456,1)="—"),"",IF($W1456=$Q1456,"ללא שינוי","מ-"&amp;$W1456&amp;" ל-"&amp;$Q1456))</f>
        <v/>
      </c>
    </row>
    <row r="1457">
      <c r="A1457" s="65" t="n"/>
      <c r="B1457" s="65" t="n"/>
      <c r="C1457" s="66" t="n"/>
      <c r="D1457" s="66" t="n"/>
      <c r="E1457" s="65" t="n"/>
      <c r="F1457" s="65" t="n"/>
      <c r="G1457" s="65" t="n"/>
      <c r="H1457" s="65" t="n"/>
      <c r="I1457" s="65" t="n"/>
      <c r="J1457" s="65" t="n"/>
      <c r="K1457" s="65" t="n"/>
      <c r="L1457" s="65" t="n"/>
      <c r="M1457" s="65" t="n"/>
      <c r="N1457" s="65" t="n"/>
      <c r="O1457" s="65" t="n"/>
      <c r="P1457" s="65" t="n"/>
      <c r="Q1457" s="32">
        <f>IF($C1457="","",IF($J1457="","— חסרים נתונים",IF($J1457="טרם מפענח","פרופיל 5",IF($J1457="קמץ/פתח/חטף-פתח ושוואים","פרופיל 4",IF($J1457="2-3 סימני ניקוד","פרופיל 3",IF($J1457="4-5 סימני ניקוד","פרופיל 2",IF(AND($O1457="משפטים וקטעים קצרים",OR($M1457="מבין",$M1457="מבין לרוב")),"פרופיל 1","פרופיל 2")))))))</f>
        <v/>
      </c>
      <c r="R1457" s="32">
        <f>IF($C1457="","",IF(OR($Q1457="",LEFT($Q1457,1)="—"),"קבוצה רביעית",IF($Q1457="פרופיל 5","קבוצת תשתיות",IF(OR($Q1457="פרופיל 4",$Q1457="פרופיל 3"),"קבוצת רכישה","קבוצת ביסוס"))))</f>
        <v/>
      </c>
      <c r="S1457" s="32">
        <f>IF($F1457="","",IF($F1457="תחילת שנה",1,IF($F1457="מחצית שנה",2,3)))</f>
        <v/>
      </c>
      <c r="T1457" s="32">
        <f>IF(OR($B1457="",$R1457="",$A1457="",$F1457=""),"",$B1457&amp;"|"&amp;$A1457&amp;"|"&amp;$F1457&amp;"|"&amp;$R1457&amp;"|"&amp;COUNTIFS($B$6:$B1457,$B1457,$A$6:$A1457,$A1457,$F$6:$F1457,$F1457,$R$6:$R1457,$R1457))</f>
        <v/>
      </c>
      <c r="U1457" s="32">
        <f>IF($C1457="","",$C1457&amp;"|"&amp;COUNTIFS($C$6:$C1457,$C1457))</f>
        <v/>
      </c>
      <c r="V1457" s="32">
        <f>IF(OR($C1457="",$A1457="",$S1457=""),"",$C1457&amp;"|"&amp;$A1457&amp;"|"&amp;$S1457)</f>
        <v/>
      </c>
      <c r="W1457" s="32">
        <f>IF(OR($C1457="",$S1457="",$S1457=1),"",IFERROR(INDEX($Q$6:$Q$1505,MATCH($C1457&amp;"|"&amp;$A1457&amp;"|"&amp;($S1457-1),$V$6:$V$1505,0)),""))</f>
        <v/>
      </c>
      <c r="X1457" s="32">
        <f>IF(OR($W1457="",$Q1457="",LEFT($Q1457,1)="—"),"",IF($W1457=$Q1457,"ללא שינוי","מ-"&amp;$W1457&amp;" ל-"&amp;$Q1457))</f>
        <v/>
      </c>
    </row>
    <row r="1458">
      <c r="A1458" s="65" t="n"/>
      <c r="B1458" s="65" t="n"/>
      <c r="C1458" s="66" t="n"/>
      <c r="D1458" s="66" t="n"/>
      <c r="E1458" s="65" t="n"/>
      <c r="F1458" s="65" t="n"/>
      <c r="G1458" s="65" t="n"/>
      <c r="H1458" s="65" t="n"/>
      <c r="I1458" s="65" t="n"/>
      <c r="J1458" s="65" t="n"/>
      <c r="K1458" s="65" t="n"/>
      <c r="L1458" s="65" t="n"/>
      <c r="M1458" s="65" t="n"/>
      <c r="N1458" s="65" t="n"/>
      <c r="O1458" s="65" t="n"/>
      <c r="P1458" s="65" t="n"/>
      <c r="Q1458" s="32">
        <f>IF($C1458="","",IF($J1458="","— חסרים נתונים",IF($J1458="טרם מפענח","פרופיל 5",IF($J1458="קמץ/פתח/חטף-פתח ושוואים","פרופיל 4",IF($J1458="2-3 סימני ניקוד","פרופיל 3",IF($J1458="4-5 סימני ניקוד","פרופיל 2",IF(AND($O1458="משפטים וקטעים קצרים",OR($M1458="מבין",$M1458="מבין לרוב")),"פרופיל 1","פרופיל 2")))))))</f>
        <v/>
      </c>
      <c r="R1458" s="32">
        <f>IF($C1458="","",IF(OR($Q1458="",LEFT($Q1458,1)="—"),"קבוצה רביעית",IF($Q1458="פרופיל 5","קבוצת תשתיות",IF(OR($Q1458="פרופיל 4",$Q1458="פרופיל 3"),"קבוצת רכישה","קבוצת ביסוס"))))</f>
        <v/>
      </c>
      <c r="S1458" s="32">
        <f>IF($F1458="","",IF($F1458="תחילת שנה",1,IF($F1458="מחצית שנה",2,3)))</f>
        <v/>
      </c>
      <c r="T1458" s="32">
        <f>IF(OR($B1458="",$R1458="",$A1458="",$F1458=""),"",$B1458&amp;"|"&amp;$A1458&amp;"|"&amp;$F1458&amp;"|"&amp;$R1458&amp;"|"&amp;COUNTIFS($B$6:$B1458,$B1458,$A$6:$A1458,$A1458,$F$6:$F1458,$F1458,$R$6:$R1458,$R1458))</f>
        <v/>
      </c>
      <c r="U1458" s="32">
        <f>IF($C1458="","",$C1458&amp;"|"&amp;COUNTIFS($C$6:$C1458,$C1458))</f>
        <v/>
      </c>
      <c r="V1458" s="32">
        <f>IF(OR($C1458="",$A1458="",$S1458=""),"",$C1458&amp;"|"&amp;$A1458&amp;"|"&amp;$S1458)</f>
        <v/>
      </c>
      <c r="W1458" s="32">
        <f>IF(OR($C1458="",$S1458="",$S1458=1),"",IFERROR(INDEX($Q$6:$Q$1505,MATCH($C1458&amp;"|"&amp;$A1458&amp;"|"&amp;($S1458-1),$V$6:$V$1505,0)),""))</f>
        <v/>
      </c>
      <c r="X1458" s="32">
        <f>IF(OR($W1458="",$Q1458="",LEFT($Q1458,1)="—"),"",IF($W1458=$Q1458,"ללא שינוי","מ-"&amp;$W1458&amp;" ל-"&amp;$Q1458))</f>
        <v/>
      </c>
    </row>
    <row r="1459">
      <c r="A1459" s="65" t="n"/>
      <c r="B1459" s="65" t="n"/>
      <c r="C1459" s="66" t="n"/>
      <c r="D1459" s="66" t="n"/>
      <c r="E1459" s="65" t="n"/>
      <c r="F1459" s="65" t="n"/>
      <c r="G1459" s="65" t="n"/>
      <c r="H1459" s="65" t="n"/>
      <c r="I1459" s="65" t="n"/>
      <c r="J1459" s="65" t="n"/>
      <c r="K1459" s="65" t="n"/>
      <c r="L1459" s="65" t="n"/>
      <c r="M1459" s="65" t="n"/>
      <c r="N1459" s="65" t="n"/>
      <c r="O1459" s="65" t="n"/>
      <c r="P1459" s="65" t="n"/>
      <c r="Q1459" s="32">
        <f>IF($C1459="","",IF($J1459="","— חסרים נתונים",IF($J1459="טרם מפענח","פרופיל 5",IF($J1459="קמץ/פתח/חטף-פתח ושוואים","פרופיל 4",IF($J1459="2-3 סימני ניקוד","פרופיל 3",IF($J1459="4-5 סימני ניקוד","פרופיל 2",IF(AND($O1459="משפטים וקטעים קצרים",OR($M1459="מבין",$M1459="מבין לרוב")),"פרופיל 1","פרופיל 2")))))))</f>
        <v/>
      </c>
      <c r="R1459" s="32">
        <f>IF($C1459="","",IF(OR($Q1459="",LEFT($Q1459,1)="—"),"קבוצה רביעית",IF($Q1459="פרופיל 5","קבוצת תשתיות",IF(OR($Q1459="פרופיל 4",$Q1459="פרופיל 3"),"קבוצת רכישה","קבוצת ביסוס"))))</f>
        <v/>
      </c>
      <c r="S1459" s="32">
        <f>IF($F1459="","",IF($F1459="תחילת שנה",1,IF($F1459="מחצית שנה",2,3)))</f>
        <v/>
      </c>
      <c r="T1459" s="32">
        <f>IF(OR($B1459="",$R1459="",$A1459="",$F1459=""),"",$B1459&amp;"|"&amp;$A1459&amp;"|"&amp;$F1459&amp;"|"&amp;$R1459&amp;"|"&amp;COUNTIFS($B$6:$B1459,$B1459,$A$6:$A1459,$A1459,$F$6:$F1459,$F1459,$R$6:$R1459,$R1459))</f>
        <v/>
      </c>
      <c r="U1459" s="32">
        <f>IF($C1459="","",$C1459&amp;"|"&amp;COUNTIFS($C$6:$C1459,$C1459))</f>
        <v/>
      </c>
      <c r="V1459" s="32">
        <f>IF(OR($C1459="",$A1459="",$S1459=""),"",$C1459&amp;"|"&amp;$A1459&amp;"|"&amp;$S1459)</f>
        <v/>
      </c>
      <c r="W1459" s="32">
        <f>IF(OR($C1459="",$S1459="",$S1459=1),"",IFERROR(INDEX($Q$6:$Q$1505,MATCH($C1459&amp;"|"&amp;$A1459&amp;"|"&amp;($S1459-1),$V$6:$V$1505,0)),""))</f>
        <v/>
      </c>
      <c r="X1459" s="32">
        <f>IF(OR($W1459="",$Q1459="",LEFT($Q1459,1)="—"),"",IF($W1459=$Q1459,"ללא שינוי","מ-"&amp;$W1459&amp;" ל-"&amp;$Q1459))</f>
        <v/>
      </c>
    </row>
    <row r="1460">
      <c r="A1460" s="65" t="n"/>
      <c r="B1460" s="65" t="n"/>
      <c r="C1460" s="66" t="n"/>
      <c r="D1460" s="66" t="n"/>
      <c r="E1460" s="65" t="n"/>
      <c r="F1460" s="65" t="n"/>
      <c r="G1460" s="65" t="n"/>
      <c r="H1460" s="65" t="n"/>
      <c r="I1460" s="65" t="n"/>
      <c r="J1460" s="65" t="n"/>
      <c r="K1460" s="65" t="n"/>
      <c r="L1460" s="65" t="n"/>
      <c r="M1460" s="65" t="n"/>
      <c r="N1460" s="65" t="n"/>
      <c r="O1460" s="65" t="n"/>
      <c r="P1460" s="65" t="n"/>
      <c r="Q1460" s="32">
        <f>IF($C1460="","",IF($J1460="","— חסרים נתונים",IF($J1460="טרם מפענח","פרופיל 5",IF($J1460="קמץ/פתח/חטף-פתח ושוואים","פרופיל 4",IF($J1460="2-3 סימני ניקוד","פרופיל 3",IF($J1460="4-5 סימני ניקוד","פרופיל 2",IF(AND($O1460="משפטים וקטעים קצרים",OR($M1460="מבין",$M1460="מבין לרוב")),"פרופיל 1","פרופיל 2")))))))</f>
        <v/>
      </c>
      <c r="R1460" s="32">
        <f>IF($C1460="","",IF(OR($Q1460="",LEFT($Q1460,1)="—"),"קבוצה רביעית",IF($Q1460="פרופיל 5","קבוצת תשתיות",IF(OR($Q1460="פרופיל 4",$Q1460="פרופיל 3"),"קבוצת רכישה","קבוצת ביסוס"))))</f>
        <v/>
      </c>
      <c r="S1460" s="32">
        <f>IF($F1460="","",IF($F1460="תחילת שנה",1,IF($F1460="מחצית שנה",2,3)))</f>
        <v/>
      </c>
      <c r="T1460" s="32">
        <f>IF(OR($B1460="",$R1460="",$A1460="",$F1460=""),"",$B1460&amp;"|"&amp;$A1460&amp;"|"&amp;$F1460&amp;"|"&amp;$R1460&amp;"|"&amp;COUNTIFS($B$6:$B1460,$B1460,$A$6:$A1460,$A1460,$F$6:$F1460,$F1460,$R$6:$R1460,$R1460))</f>
        <v/>
      </c>
      <c r="U1460" s="32">
        <f>IF($C1460="","",$C1460&amp;"|"&amp;COUNTIFS($C$6:$C1460,$C1460))</f>
        <v/>
      </c>
      <c r="V1460" s="32">
        <f>IF(OR($C1460="",$A1460="",$S1460=""),"",$C1460&amp;"|"&amp;$A1460&amp;"|"&amp;$S1460)</f>
        <v/>
      </c>
      <c r="W1460" s="32">
        <f>IF(OR($C1460="",$S1460="",$S1460=1),"",IFERROR(INDEX($Q$6:$Q$1505,MATCH($C1460&amp;"|"&amp;$A1460&amp;"|"&amp;($S1460-1),$V$6:$V$1505,0)),""))</f>
        <v/>
      </c>
      <c r="X1460" s="32">
        <f>IF(OR($W1460="",$Q1460="",LEFT($Q1460,1)="—"),"",IF($W1460=$Q1460,"ללא שינוי","מ-"&amp;$W1460&amp;" ל-"&amp;$Q1460))</f>
        <v/>
      </c>
    </row>
    <row r="1461">
      <c r="A1461" s="65" t="n"/>
      <c r="B1461" s="65" t="n"/>
      <c r="C1461" s="66" t="n"/>
      <c r="D1461" s="66" t="n"/>
      <c r="E1461" s="65" t="n"/>
      <c r="F1461" s="65" t="n"/>
      <c r="G1461" s="65" t="n"/>
      <c r="H1461" s="65" t="n"/>
      <c r="I1461" s="65" t="n"/>
      <c r="J1461" s="65" t="n"/>
      <c r="K1461" s="65" t="n"/>
      <c r="L1461" s="65" t="n"/>
      <c r="M1461" s="65" t="n"/>
      <c r="N1461" s="65" t="n"/>
      <c r="O1461" s="65" t="n"/>
      <c r="P1461" s="65" t="n"/>
      <c r="Q1461" s="32">
        <f>IF($C1461="","",IF($J1461="","— חסרים נתונים",IF($J1461="טרם מפענח","פרופיל 5",IF($J1461="קמץ/פתח/חטף-פתח ושוואים","פרופיל 4",IF($J1461="2-3 סימני ניקוד","פרופיל 3",IF($J1461="4-5 סימני ניקוד","פרופיל 2",IF(AND($O1461="משפטים וקטעים קצרים",OR($M1461="מבין",$M1461="מבין לרוב")),"פרופיל 1","פרופיל 2")))))))</f>
        <v/>
      </c>
      <c r="R1461" s="32">
        <f>IF($C1461="","",IF(OR($Q1461="",LEFT($Q1461,1)="—"),"קבוצה רביעית",IF($Q1461="פרופיל 5","קבוצת תשתיות",IF(OR($Q1461="פרופיל 4",$Q1461="פרופיל 3"),"קבוצת רכישה","קבוצת ביסוס"))))</f>
        <v/>
      </c>
      <c r="S1461" s="32">
        <f>IF($F1461="","",IF($F1461="תחילת שנה",1,IF($F1461="מחצית שנה",2,3)))</f>
        <v/>
      </c>
      <c r="T1461" s="32">
        <f>IF(OR($B1461="",$R1461="",$A1461="",$F1461=""),"",$B1461&amp;"|"&amp;$A1461&amp;"|"&amp;$F1461&amp;"|"&amp;$R1461&amp;"|"&amp;COUNTIFS($B$6:$B1461,$B1461,$A$6:$A1461,$A1461,$F$6:$F1461,$F1461,$R$6:$R1461,$R1461))</f>
        <v/>
      </c>
      <c r="U1461" s="32">
        <f>IF($C1461="","",$C1461&amp;"|"&amp;COUNTIFS($C$6:$C1461,$C1461))</f>
        <v/>
      </c>
      <c r="V1461" s="32">
        <f>IF(OR($C1461="",$A1461="",$S1461=""),"",$C1461&amp;"|"&amp;$A1461&amp;"|"&amp;$S1461)</f>
        <v/>
      </c>
      <c r="W1461" s="32">
        <f>IF(OR($C1461="",$S1461="",$S1461=1),"",IFERROR(INDEX($Q$6:$Q$1505,MATCH($C1461&amp;"|"&amp;$A1461&amp;"|"&amp;($S1461-1),$V$6:$V$1505,0)),""))</f>
        <v/>
      </c>
      <c r="X1461" s="32">
        <f>IF(OR($W1461="",$Q1461="",LEFT($Q1461,1)="—"),"",IF($W1461=$Q1461,"ללא שינוי","מ-"&amp;$W1461&amp;" ל-"&amp;$Q1461))</f>
        <v/>
      </c>
    </row>
    <row r="1462">
      <c r="A1462" s="65" t="n"/>
      <c r="B1462" s="65" t="n"/>
      <c r="C1462" s="66" t="n"/>
      <c r="D1462" s="66" t="n"/>
      <c r="E1462" s="65" t="n"/>
      <c r="F1462" s="65" t="n"/>
      <c r="G1462" s="65" t="n"/>
      <c r="H1462" s="65" t="n"/>
      <c r="I1462" s="65" t="n"/>
      <c r="J1462" s="65" t="n"/>
      <c r="K1462" s="65" t="n"/>
      <c r="L1462" s="65" t="n"/>
      <c r="M1462" s="65" t="n"/>
      <c r="N1462" s="65" t="n"/>
      <c r="O1462" s="65" t="n"/>
      <c r="P1462" s="65" t="n"/>
      <c r="Q1462" s="32">
        <f>IF($C1462="","",IF($J1462="","— חסרים נתונים",IF($J1462="טרם מפענח","פרופיל 5",IF($J1462="קמץ/פתח/חטף-פתח ושוואים","פרופיל 4",IF($J1462="2-3 סימני ניקוד","פרופיל 3",IF($J1462="4-5 סימני ניקוד","פרופיל 2",IF(AND($O1462="משפטים וקטעים קצרים",OR($M1462="מבין",$M1462="מבין לרוב")),"פרופיל 1","פרופיל 2")))))))</f>
        <v/>
      </c>
      <c r="R1462" s="32">
        <f>IF($C1462="","",IF(OR($Q1462="",LEFT($Q1462,1)="—"),"קבוצה רביעית",IF($Q1462="פרופיל 5","קבוצת תשתיות",IF(OR($Q1462="פרופיל 4",$Q1462="פרופיל 3"),"קבוצת רכישה","קבוצת ביסוס"))))</f>
        <v/>
      </c>
      <c r="S1462" s="32">
        <f>IF($F1462="","",IF($F1462="תחילת שנה",1,IF($F1462="מחצית שנה",2,3)))</f>
        <v/>
      </c>
      <c r="T1462" s="32">
        <f>IF(OR($B1462="",$R1462="",$A1462="",$F1462=""),"",$B1462&amp;"|"&amp;$A1462&amp;"|"&amp;$F1462&amp;"|"&amp;$R1462&amp;"|"&amp;COUNTIFS($B$6:$B1462,$B1462,$A$6:$A1462,$A1462,$F$6:$F1462,$F1462,$R$6:$R1462,$R1462))</f>
        <v/>
      </c>
      <c r="U1462" s="32">
        <f>IF($C1462="","",$C1462&amp;"|"&amp;COUNTIFS($C$6:$C1462,$C1462))</f>
        <v/>
      </c>
      <c r="V1462" s="32">
        <f>IF(OR($C1462="",$A1462="",$S1462=""),"",$C1462&amp;"|"&amp;$A1462&amp;"|"&amp;$S1462)</f>
        <v/>
      </c>
      <c r="W1462" s="32">
        <f>IF(OR($C1462="",$S1462="",$S1462=1),"",IFERROR(INDEX($Q$6:$Q$1505,MATCH($C1462&amp;"|"&amp;$A1462&amp;"|"&amp;($S1462-1),$V$6:$V$1505,0)),""))</f>
        <v/>
      </c>
      <c r="X1462" s="32">
        <f>IF(OR($W1462="",$Q1462="",LEFT($Q1462,1)="—"),"",IF($W1462=$Q1462,"ללא שינוי","מ-"&amp;$W1462&amp;" ל-"&amp;$Q1462))</f>
        <v/>
      </c>
    </row>
    <row r="1463">
      <c r="A1463" s="65" t="n"/>
      <c r="B1463" s="65" t="n"/>
      <c r="C1463" s="66" t="n"/>
      <c r="D1463" s="66" t="n"/>
      <c r="E1463" s="65" t="n"/>
      <c r="F1463" s="65" t="n"/>
      <c r="G1463" s="65" t="n"/>
      <c r="H1463" s="65" t="n"/>
      <c r="I1463" s="65" t="n"/>
      <c r="J1463" s="65" t="n"/>
      <c r="K1463" s="65" t="n"/>
      <c r="L1463" s="65" t="n"/>
      <c r="M1463" s="65" t="n"/>
      <c r="N1463" s="65" t="n"/>
      <c r="O1463" s="65" t="n"/>
      <c r="P1463" s="65" t="n"/>
      <c r="Q1463" s="32">
        <f>IF($C1463="","",IF($J1463="","— חסרים נתונים",IF($J1463="טרם מפענח","פרופיל 5",IF($J1463="קמץ/פתח/חטף-פתח ושוואים","פרופיל 4",IF($J1463="2-3 סימני ניקוד","פרופיל 3",IF($J1463="4-5 סימני ניקוד","פרופיל 2",IF(AND($O1463="משפטים וקטעים קצרים",OR($M1463="מבין",$M1463="מבין לרוב")),"פרופיל 1","פרופיל 2")))))))</f>
        <v/>
      </c>
      <c r="R1463" s="32">
        <f>IF($C1463="","",IF(OR($Q1463="",LEFT($Q1463,1)="—"),"קבוצה רביעית",IF($Q1463="פרופיל 5","קבוצת תשתיות",IF(OR($Q1463="פרופיל 4",$Q1463="פרופיל 3"),"קבוצת רכישה","קבוצת ביסוס"))))</f>
        <v/>
      </c>
      <c r="S1463" s="32">
        <f>IF($F1463="","",IF($F1463="תחילת שנה",1,IF($F1463="מחצית שנה",2,3)))</f>
        <v/>
      </c>
      <c r="T1463" s="32">
        <f>IF(OR($B1463="",$R1463="",$A1463="",$F1463=""),"",$B1463&amp;"|"&amp;$A1463&amp;"|"&amp;$F1463&amp;"|"&amp;$R1463&amp;"|"&amp;COUNTIFS($B$6:$B1463,$B1463,$A$6:$A1463,$A1463,$F$6:$F1463,$F1463,$R$6:$R1463,$R1463))</f>
        <v/>
      </c>
      <c r="U1463" s="32">
        <f>IF($C1463="","",$C1463&amp;"|"&amp;COUNTIFS($C$6:$C1463,$C1463))</f>
        <v/>
      </c>
      <c r="V1463" s="32">
        <f>IF(OR($C1463="",$A1463="",$S1463=""),"",$C1463&amp;"|"&amp;$A1463&amp;"|"&amp;$S1463)</f>
        <v/>
      </c>
      <c r="W1463" s="32">
        <f>IF(OR($C1463="",$S1463="",$S1463=1),"",IFERROR(INDEX($Q$6:$Q$1505,MATCH($C1463&amp;"|"&amp;$A1463&amp;"|"&amp;($S1463-1),$V$6:$V$1505,0)),""))</f>
        <v/>
      </c>
      <c r="X1463" s="32">
        <f>IF(OR($W1463="",$Q1463="",LEFT($Q1463,1)="—"),"",IF($W1463=$Q1463,"ללא שינוי","מ-"&amp;$W1463&amp;" ל-"&amp;$Q1463))</f>
        <v/>
      </c>
    </row>
    <row r="1464">
      <c r="A1464" s="65" t="n"/>
      <c r="B1464" s="65" t="n"/>
      <c r="C1464" s="66" t="n"/>
      <c r="D1464" s="66" t="n"/>
      <c r="E1464" s="65" t="n"/>
      <c r="F1464" s="65" t="n"/>
      <c r="G1464" s="65" t="n"/>
      <c r="H1464" s="65" t="n"/>
      <c r="I1464" s="65" t="n"/>
      <c r="J1464" s="65" t="n"/>
      <c r="K1464" s="65" t="n"/>
      <c r="L1464" s="65" t="n"/>
      <c r="M1464" s="65" t="n"/>
      <c r="N1464" s="65" t="n"/>
      <c r="O1464" s="65" t="n"/>
      <c r="P1464" s="65" t="n"/>
      <c r="Q1464" s="32">
        <f>IF($C1464="","",IF($J1464="","— חסרים נתונים",IF($J1464="טרם מפענח","פרופיל 5",IF($J1464="קמץ/פתח/חטף-פתח ושוואים","פרופיל 4",IF($J1464="2-3 סימני ניקוד","פרופיל 3",IF($J1464="4-5 סימני ניקוד","פרופיל 2",IF(AND($O1464="משפטים וקטעים קצרים",OR($M1464="מבין",$M1464="מבין לרוב")),"פרופיל 1","פרופיל 2")))))))</f>
        <v/>
      </c>
      <c r="R1464" s="32">
        <f>IF($C1464="","",IF(OR($Q1464="",LEFT($Q1464,1)="—"),"קבוצה רביעית",IF($Q1464="פרופיל 5","קבוצת תשתיות",IF(OR($Q1464="פרופיל 4",$Q1464="פרופיל 3"),"קבוצת רכישה","קבוצת ביסוס"))))</f>
        <v/>
      </c>
      <c r="S1464" s="32">
        <f>IF($F1464="","",IF($F1464="תחילת שנה",1,IF($F1464="מחצית שנה",2,3)))</f>
        <v/>
      </c>
      <c r="T1464" s="32">
        <f>IF(OR($B1464="",$R1464="",$A1464="",$F1464=""),"",$B1464&amp;"|"&amp;$A1464&amp;"|"&amp;$F1464&amp;"|"&amp;$R1464&amp;"|"&amp;COUNTIFS($B$6:$B1464,$B1464,$A$6:$A1464,$A1464,$F$6:$F1464,$F1464,$R$6:$R1464,$R1464))</f>
        <v/>
      </c>
      <c r="U1464" s="32">
        <f>IF($C1464="","",$C1464&amp;"|"&amp;COUNTIFS($C$6:$C1464,$C1464))</f>
        <v/>
      </c>
      <c r="V1464" s="32">
        <f>IF(OR($C1464="",$A1464="",$S1464=""),"",$C1464&amp;"|"&amp;$A1464&amp;"|"&amp;$S1464)</f>
        <v/>
      </c>
      <c r="W1464" s="32">
        <f>IF(OR($C1464="",$S1464="",$S1464=1),"",IFERROR(INDEX($Q$6:$Q$1505,MATCH($C1464&amp;"|"&amp;$A1464&amp;"|"&amp;($S1464-1),$V$6:$V$1505,0)),""))</f>
        <v/>
      </c>
      <c r="X1464" s="32">
        <f>IF(OR($W1464="",$Q1464="",LEFT($Q1464,1)="—"),"",IF($W1464=$Q1464,"ללא שינוי","מ-"&amp;$W1464&amp;" ל-"&amp;$Q1464))</f>
        <v/>
      </c>
    </row>
    <row r="1465">
      <c r="A1465" s="65" t="n"/>
      <c r="B1465" s="65" t="n"/>
      <c r="C1465" s="66" t="n"/>
      <c r="D1465" s="66" t="n"/>
      <c r="E1465" s="65" t="n"/>
      <c r="F1465" s="65" t="n"/>
      <c r="G1465" s="65" t="n"/>
      <c r="H1465" s="65" t="n"/>
      <c r="I1465" s="65" t="n"/>
      <c r="J1465" s="65" t="n"/>
      <c r="K1465" s="65" t="n"/>
      <c r="L1465" s="65" t="n"/>
      <c r="M1465" s="65" t="n"/>
      <c r="N1465" s="65" t="n"/>
      <c r="O1465" s="65" t="n"/>
      <c r="P1465" s="65" t="n"/>
      <c r="Q1465" s="32">
        <f>IF($C1465="","",IF($J1465="","— חסרים נתונים",IF($J1465="טרם מפענח","פרופיל 5",IF($J1465="קמץ/פתח/חטף-פתח ושוואים","פרופיל 4",IF($J1465="2-3 סימני ניקוד","פרופיל 3",IF($J1465="4-5 סימני ניקוד","פרופיל 2",IF(AND($O1465="משפטים וקטעים קצרים",OR($M1465="מבין",$M1465="מבין לרוב")),"פרופיל 1","פרופיל 2")))))))</f>
        <v/>
      </c>
      <c r="R1465" s="32">
        <f>IF($C1465="","",IF(OR($Q1465="",LEFT($Q1465,1)="—"),"קבוצה רביעית",IF($Q1465="פרופיל 5","קבוצת תשתיות",IF(OR($Q1465="פרופיל 4",$Q1465="פרופיל 3"),"קבוצת רכישה","קבוצת ביסוס"))))</f>
        <v/>
      </c>
      <c r="S1465" s="32">
        <f>IF($F1465="","",IF($F1465="תחילת שנה",1,IF($F1465="מחצית שנה",2,3)))</f>
        <v/>
      </c>
      <c r="T1465" s="32">
        <f>IF(OR($B1465="",$R1465="",$A1465="",$F1465=""),"",$B1465&amp;"|"&amp;$A1465&amp;"|"&amp;$F1465&amp;"|"&amp;$R1465&amp;"|"&amp;COUNTIFS($B$6:$B1465,$B1465,$A$6:$A1465,$A1465,$F$6:$F1465,$F1465,$R$6:$R1465,$R1465))</f>
        <v/>
      </c>
      <c r="U1465" s="32">
        <f>IF($C1465="","",$C1465&amp;"|"&amp;COUNTIFS($C$6:$C1465,$C1465))</f>
        <v/>
      </c>
      <c r="V1465" s="32">
        <f>IF(OR($C1465="",$A1465="",$S1465=""),"",$C1465&amp;"|"&amp;$A1465&amp;"|"&amp;$S1465)</f>
        <v/>
      </c>
      <c r="W1465" s="32">
        <f>IF(OR($C1465="",$S1465="",$S1465=1),"",IFERROR(INDEX($Q$6:$Q$1505,MATCH($C1465&amp;"|"&amp;$A1465&amp;"|"&amp;($S1465-1),$V$6:$V$1505,0)),""))</f>
        <v/>
      </c>
      <c r="X1465" s="32">
        <f>IF(OR($W1465="",$Q1465="",LEFT($Q1465,1)="—"),"",IF($W1465=$Q1465,"ללא שינוי","מ-"&amp;$W1465&amp;" ל-"&amp;$Q1465))</f>
        <v/>
      </c>
    </row>
    <row r="1466">
      <c r="A1466" s="65" t="n"/>
      <c r="B1466" s="65" t="n"/>
      <c r="C1466" s="66" t="n"/>
      <c r="D1466" s="66" t="n"/>
      <c r="E1466" s="65" t="n"/>
      <c r="F1466" s="65" t="n"/>
      <c r="G1466" s="65" t="n"/>
      <c r="H1466" s="65" t="n"/>
      <c r="I1466" s="65" t="n"/>
      <c r="J1466" s="65" t="n"/>
      <c r="K1466" s="65" t="n"/>
      <c r="L1466" s="65" t="n"/>
      <c r="M1466" s="65" t="n"/>
      <c r="N1466" s="65" t="n"/>
      <c r="O1466" s="65" t="n"/>
      <c r="P1466" s="65" t="n"/>
      <c r="Q1466" s="32">
        <f>IF($C1466="","",IF($J1466="","— חסרים נתונים",IF($J1466="טרם מפענח","פרופיל 5",IF($J1466="קמץ/פתח/חטף-פתח ושוואים","פרופיל 4",IF($J1466="2-3 סימני ניקוד","פרופיל 3",IF($J1466="4-5 סימני ניקוד","פרופיל 2",IF(AND($O1466="משפטים וקטעים קצרים",OR($M1466="מבין",$M1466="מבין לרוב")),"פרופיל 1","פרופיל 2")))))))</f>
        <v/>
      </c>
      <c r="R1466" s="32">
        <f>IF($C1466="","",IF(OR($Q1466="",LEFT($Q1466,1)="—"),"קבוצה רביעית",IF($Q1466="פרופיל 5","קבוצת תשתיות",IF(OR($Q1466="פרופיל 4",$Q1466="פרופיל 3"),"קבוצת רכישה","קבוצת ביסוס"))))</f>
        <v/>
      </c>
      <c r="S1466" s="32">
        <f>IF($F1466="","",IF($F1466="תחילת שנה",1,IF($F1466="מחצית שנה",2,3)))</f>
        <v/>
      </c>
      <c r="T1466" s="32">
        <f>IF(OR($B1466="",$R1466="",$A1466="",$F1466=""),"",$B1466&amp;"|"&amp;$A1466&amp;"|"&amp;$F1466&amp;"|"&amp;$R1466&amp;"|"&amp;COUNTIFS($B$6:$B1466,$B1466,$A$6:$A1466,$A1466,$F$6:$F1466,$F1466,$R$6:$R1466,$R1466))</f>
        <v/>
      </c>
      <c r="U1466" s="32">
        <f>IF($C1466="","",$C1466&amp;"|"&amp;COUNTIFS($C$6:$C1466,$C1466))</f>
        <v/>
      </c>
      <c r="V1466" s="32">
        <f>IF(OR($C1466="",$A1466="",$S1466=""),"",$C1466&amp;"|"&amp;$A1466&amp;"|"&amp;$S1466)</f>
        <v/>
      </c>
      <c r="W1466" s="32">
        <f>IF(OR($C1466="",$S1466="",$S1466=1),"",IFERROR(INDEX($Q$6:$Q$1505,MATCH($C1466&amp;"|"&amp;$A1466&amp;"|"&amp;($S1466-1),$V$6:$V$1505,0)),""))</f>
        <v/>
      </c>
      <c r="X1466" s="32">
        <f>IF(OR($W1466="",$Q1466="",LEFT($Q1466,1)="—"),"",IF($W1466=$Q1466,"ללא שינוי","מ-"&amp;$W1466&amp;" ל-"&amp;$Q1466))</f>
        <v/>
      </c>
    </row>
    <row r="1467">
      <c r="A1467" s="65" t="n"/>
      <c r="B1467" s="65" t="n"/>
      <c r="C1467" s="66" t="n"/>
      <c r="D1467" s="66" t="n"/>
      <c r="E1467" s="65" t="n"/>
      <c r="F1467" s="65" t="n"/>
      <c r="G1467" s="65" t="n"/>
      <c r="H1467" s="65" t="n"/>
      <c r="I1467" s="65" t="n"/>
      <c r="J1467" s="65" t="n"/>
      <c r="K1467" s="65" t="n"/>
      <c r="L1467" s="65" t="n"/>
      <c r="M1467" s="65" t="n"/>
      <c r="N1467" s="65" t="n"/>
      <c r="O1467" s="65" t="n"/>
      <c r="P1467" s="65" t="n"/>
      <c r="Q1467" s="32">
        <f>IF($C1467="","",IF($J1467="","— חסרים נתונים",IF($J1467="טרם מפענח","פרופיל 5",IF($J1467="קמץ/פתח/חטף-פתח ושוואים","פרופיל 4",IF($J1467="2-3 סימני ניקוד","פרופיל 3",IF($J1467="4-5 סימני ניקוד","פרופיל 2",IF(AND($O1467="משפטים וקטעים קצרים",OR($M1467="מבין",$M1467="מבין לרוב")),"פרופיל 1","פרופיל 2")))))))</f>
        <v/>
      </c>
      <c r="R1467" s="32">
        <f>IF($C1467="","",IF(OR($Q1467="",LEFT($Q1467,1)="—"),"קבוצה רביעית",IF($Q1467="פרופיל 5","קבוצת תשתיות",IF(OR($Q1467="פרופיל 4",$Q1467="פרופיל 3"),"קבוצת רכישה","קבוצת ביסוס"))))</f>
        <v/>
      </c>
      <c r="S1467" s="32">
        <f>IF($F1467="","",IF($F1467="תחילת שנה",1,IF($F1467="מחצית שנה",2,3)))</f>
        <v/>
      </c>
      <c r="T1467" s="32">
        <f>IF(OR($B1467="",$R1467="",$A1467="",$F1467=""),"",$B1467&amp;"|"&amp;$A1467&amp;"|"&amp;$F1467&amp;"|"&amp;$R1467&amp;"|"&amp;COUNTIFS($B$6:$B1467,$B1467,$A$6:$A1467,$A1467,$F$6:$F1467,$F1467,$R$6:$R1467,$R1467))</f>
        <v/>
      </c>
      <c r="U1467" s="32">
        <f>IF($C1467="","",$C1467&amp;"|"&amp;COUNTIFS($C$6:$C1467,$C1467))</f>
        <v/>
      </c>
      <c r="V1467" s="32">
        <f>IF(OR($C1467="",$A1467="",$S1467=""),"",$C1467&amp;"|"&amp;$A1467&amp;"|"&amp;$S1467)</f>
        <v/>
      </c>
      <c r="W1467" s="32">
        <f>IF(OR($C1467="",$S1467="",$S1467=1),"",IFERROR(INDEX($Q$6:$Q$1505,MATCH($C1467&amp;"|"&amp;$A1467&amp;"|"&amp;($S1467-1),$V$6:$V$1505,0)),""))</f>
        <v/>
      </c>
      <c r="X1467" s="32">
        <f>IF(OR($W1467="",$Q1467="",LEFT($Q1467,1)="—"),"",IF($W1467=$Q1467,"ללא שינוי","מ-"&amp;$W1467&amp;" ל-"&amp;$Q1467))</f>
        <v/>
      </c>
    </row>
    <row r="1468">
      <c r="A1468" s="65" t="n"/>
      <c r="B1468" s="65" t="n"/>
      <c r="C1468" s="66" t="n"/>
      <c r="D1468" s="66" t="n"/>
      <c r="E1468" s="65" t="n"/>
      <c r="F1468" s="65" t="n"/>
      <c r="G1468" s="65" t="n"/>
      <c r="H1468" s="65" t="n"/>
      <c r="I1468" s="65" t="n"/>
      <c r="J1468" s="65" t="n"/>
      <c r="K1468" s="65" t="n"/>
      <c r="L1468" s="65" t="n"/>
      <c r="M1468" s="65" t="n"/>
      <c r="N1468" s="65" t="n"/>
      <c r="O1468" s="65" t="n"/>
      <c r="P1468" s="65" t="n"/>
      <c r="Q1468" s="32">
        <f>IF($C1468="","",IF($J1468="","— חסרים נתונים",IF($J1468="טרם מפענח","פרופיל 5",IF($J1468="קמץ/פתח/חטף-פתח ושוואים","פרופיל 4",IF($J1468="2-3 סימני ניקוד","פרופיל 3",IF($J1468="4-5 סימני ניקוד","פרופיל 2",IF(AND($O1468="משפטים וקטעים קצרים",OR($M1468="מבין",$M1468="מבין לרוב")),"פרופיל 1","פרופיל 2")))))))</f>
        <v/>
      </c>
      <c r="R1468" s="32">
        <f>IF($C1468="","",IF(OR($Q1468="",LEFT($Q1468,1)="—"),"קבוצה רביעית",IF($Q1468="פרופיל 5","קבוצת תשתיות",IF(OR($Q1468="פרופיל 4",$Q1468="פרופיל 3"),"קבוצת רכישה","קבוצת ביסוס"))))</f>
        <v/>
      </c>
      <c r="S1468" s="32">
        <f>IF($F1468="","",IF($F1468="תחילת שנה",1,IF($F1468="מחצית שנה",2,3)))</f>
        <v/>
      </c>
      <c r="T1468" s="32">
        <f>IF(OR($B1468="",$R1468="",$A1468="",$F1468=""),"",$B1468&amp;"|"&amp;$A1468&amp;"|"&amp;$F1468&amp;"|"&amp;$R1468&amp;"|"&amp;COUNTIFS($B$6:$B1468,$B1468,$A$6:$A1468,$A1468,$F$6:$F1468,$F1468,$R$6:$R1468,$R1468))</f>
        <v/>
      </c>
      <c r="U1468" s="32">
        <f>IF($C1468="","",$C1468&amp;"|"&amp;COUNTIFS($C$6:$C1468,$C1468))</f>
        <v/>
      </c>
      <c r="V1468" s="32">
        <f>IF(OR($C1468="",$A1468="",$S1468=""),"",$C1468&amp;"|"&amp;$A1468&amp;"|"&amp;$S1468)</f>
        <v/>
      </c>
      <c r="W1468" s="32">
        <f>IF(OR($C1468="",$S1468="",$S1468=1),"",IFERROR(INDEX($Q$6:$Q$1505,MATCH($C1468&amp;"|"&amp;$A1468&amp;"|"&amp;($S1468-1),$V$6:$V$1505,0)),""))</f>
        <v/>
      </c>
      <c r="X1468" s="32">
        <f>IF(OR($W1468="",$Q1468="",LEFT($Q1468,1)="—"),"",IF($W1468=$Q1468,"ללא שינוי","מ-"&amp;$W1468&amp;" ל-"&amp;$Q1468))</f>
        <v/>
      </c>
    </row>
    <row r="1469">
      <c r="A1469" s="65" t="n"/>
      <c r="B1469" s="65" t="n"/>
      <c r="C1469" s="66" t="n"/>
      <c r="D1469" s="66" t="n"/>
      <c r="E1469" s="65" t="n"/>
      <c r="F1469" s="65" t="n"/>
      <c r="G1469" s="65" t="n"/>
      <c r="H1469" s="65" t="n"/>
      <c r="I1469" s="65" t="n"/>
      <c r="J1469" s="65" t="n"/>
      <c r="K1469" s="65" t="n"/>
      <c r="L1469" s="65" t="n"/>
      <c r="M1469" s="65" t="n"/>
      <c r="N1469" s="65" t="n"/>
      <c r="O1469" s="65" t="n"/>
      <c r="P1469" s="65" t="n"/>
      <c r="Q1469" s="32">
        <f>IF($C1469="","",IF($J1469="","— חסרים נתונים",IF($J1469="טרם מפענח","פרופיל 5",IF($J1469="קמץ/פתח/חטף-פתח ושוואים","פרופיל 4",IF($J1469="2-3 סימני ניקוד","פרופיל 3",IF($J1469="4-5 סימני ניקוד","פרופיל 2",IF(AND($O1469="משפטים וקטעים קצרים",OR($M1469="מבין",$M1469="מבין לרוב")),"פרופיל 1","פרופיל 2")))))))</f>
        <v/>
      </c>
      <c r="R1469" s="32">
        <f>IF($C1469="","",IF(OR($Q1469="",LEFT($Q1469,1)="—"),"קבוצה רביעית",IF($Q1469="פרופיל 5","קבוצת תשתיות",IF(OR($Q1469="פרופיל 4",$Q1469="פרופיל 3"),"קבוצת רכישה","קבוצת ביסוס"))))</f>
        <v/>
      </c>
      <c r="S1469" s="32">
        <f>IF($F1469="","",IF($F1469="תחילת שנה",1,IF($F1469="מחצית שנה",2,3)))</f>
        <v/>
      </c>
      <c r="T1469" s="32">
        <f>IF(OR($B1469="",$R1469="",$A1469="",$F1469=""),"",$B1469&amp;"|"&amp;$A1469&amp;"|"&amp;$F1469&amp;"|"&amp;$R1469&amp;"|"&amp;COUNTIFS($B$6:$B1469,$B1469,$A$6:$A1469,$A1469,$F$6:$F1469,$F1469,$R$6:$R1469,$R1469))</f>
        <v/>
      </c>
      <c r="U1469" s="32">
        <f>IF($C1469="","",$C1469&amp;"|"&amp;COUNTIFS($C$6:$C1469,$C1469))</f>
        <v/>
      </c>
      <c r="V1469" s="32">
        <f>IF(OR($C1469="",$A1469="",$S1469=""),"",$C1469&amp;"|"&amp;$A1469&amp;"|"&amp;$S1469)</f>
        <v/>
      </c>
      <c r="W1469" s="32">
        <f>IF(OR($C1469="",$S1469="",$S1469=1),"",IFERROR(INDEX($Q$6:$Q$1505,MATCH($C1469&amp;"|"&amp;$A1469&amp;"|"&amp;($S1469-1),$V$6:$V$1505,0)),""))</f>
        <v/>
      </c>
      <c r="X1469" s="32">
        <f>IF(OR($W1469="",$Q1469="",LEFT($Q1469,1)="—"),"",IF($W1469=$Q1469,"ללא שינוי","מ-"&amp;$W1469&amp;" ל-"&amp;$Q1469))</f>
        <v/>
      </c>
    </row>
    <row r="1470">
      <c r="A1470" s="65" t="n"/>
      <c r="B1470" s="65" t="n"/>
      <c r="C1470" s="66" t="n"/>
      <c r="D1470" s="66" t="n"/>
      <c r="E1470" s="65" t="n"/>
      <c r="F1470" s="65" t="n"/>
      <c r="G1470" s="65" t="n"/>
      <c r="H1470" s="65" t="n"/>
      <c r="I1470" s="65" t="n"/>
      <c r="J1470" s="65" t="n"/>
      <c r="K1470" s="65" t="n"/>
      <c r="L1470" s="65" t="n"/>
      <c r="M1470" s="65" t="n"/>
      <c r="N1470" s="65" t="n"/>
      <c r="O1470" s="65" t="n"/>
      <c r="P1470" s="65" t="n"/>
      <c r="Q1470" s="32">
        <f>IF($C1470="","",IF($J1470="","— חסרים נתונים",IF($J1470="טרם מפענח","פרופיל 5",IF($J1470="קמץ/פתח/חטף-פתח ושוואים","פרופיל 4",IF($J1470="2-3 סימני ניקוד","פרופיל 3",IF($J1470="4-5 סימני ניקוד","פרופיל 2",IF(AND($O1470="משפטים וקטעים קצרים",OR($M1470="מבין",$M1470="מבין לרוב")),"פרופיל 1","פרופיל 2")))))))</f>
        <v/>
      </c>
      <c r="R1470" s="32">
        <f>IF($C1470="","",IF(OR($Q1470="",LEFT($Q1470,1)="—"),"קבוצה רביעית",IF($Q1470="פרופיל 5","קבוצת תשתיות",IF(OR($Q1470="פרופיל 4",$Q1470="פרופיל 3"),"קבוצת רכישה","קבוצת ביסוס"))))</f>
        <v/>
      </c>
      <c r="S1470" s="32">
        <f>IF($F1470="","",IF($F1470="תחילת שנה",1,IF($F1470="מחצית שנה",2,3)))</f>
        <v/>
      </c>
      <c r="T1470" s="32">
        <f>IF(OR($B1470="",$R1470="",$A1470="",$F1470=""),"",$B1470&amp;"|"&amp;$A1470&amp;"|"&amp;$F1470&amp;"|"&amp;$R1470&amp;"|"&amp;COUNTIFS($B$6:$B1470,$B1470,$A$6:$A1470,$A1470,$F$6:$F1470,$F1470,$R$6:$R1470,$R1470))</f>
        <v/>
      </c>
      <c r="U1470" s="32">
        <f>IF($C1470="","",$C1470&amp;"|"&amp;COUNTIFS($C$6:$C1470,$C1470))</f>
        <v/>
      </c>
      <c r="V1470" s="32">
        <f>IF(OR($C1470="",$A1470="",$S1470=""),"",$C1470&amp;"|"&amp;$A1470&amp;"|"&amp;$S1470)</f>
        <v/>
      </c>
      <c r="W1470" s="32">
        <f>IF(OR($C1470="",$S1470="",$S1470=1),"",IFERROR(INDEX($Q$6:$Q$1505,MATCH($C1470&amp;"|"&amp;$A1470&amp;"|"&amp;($S1470-1),$V$6:$V$1505,0)),""))</f>
        <v/>
      </c>
      <c r="X1470" s="32">
        <f>IF(OR($W1470="",$Q1470="",LEFT($Q1470,1)="—"),"",IF($W1470=$Q1470,"ללא שינוי","מ-"&amp;$W1470&amp;" ל-"&amp;$Q1470))</f>
        <v/>
      </c>
    </row>
    <row r="1471">
      <c r="A1471" s="65" t="n"/>
      <c r="B1471" s="65" t="n"/>
      <c r="C1471" s="66" t="n"/>
      <c r="D1471" s="66" t="n"/>
      <c r="E1471" s="65" t="n"/>
      <c r="F1471" s="65" t="n"/>
      <c r="G1471" s="65" t="n"/>
      <c r="H1471" s="65" t="n"/>
      <c r="I1471" s="65" t="n"/>
      <c r="J1471" s="65" t="n"/>
      <c r="K1471" s="65" t="n"/>
      <c r="L1471" s="65" t="n"/>
      <c r="M1471" s="65" t="n"/>
      <c r="N1471" s="65" t="n"/>
      <c r="O1471" s="65" t="n"/>
      <c r="P1471" s="65" t="n"/>
      <c r="Q1471" s="32">
        <f>IF($C1471="","",IF($J1471="","— חסרים נתונים",IF($J1471="טרם מפענח","פרופיל 5",IF($J1471="קמץ/פתח/חטף-פתח ושוואים","פרופיל 4",IF($J1471="2-3 סימני ניקוד","פרופיל 3",IF($J1471="4-5 סימני ניקוד","פרופיל 2",IF(AND($O1471="משפטים וקטעים קצרים",OR($M1471="מבין",$M1471="מבין לרוב")),"פרופיל 1","פרופיל 2")))))))</f>
        <v/>
      </c>
      <c r="R1471" s="32">
        <f>IF($C1471="","",IF(OR($Q1471="",LEFT($Q1471,1)="—"),"קבוצה רביעית",IF($Q1471="פרופיל 5","קבוצת תשתיות",IF(OR($Q1471="פרופיל 4",$Q1471="פרופיל 3"),"קבוצת רכישה","קבוצת ביסוס"))))</f>
        <v/>
      </c>
      <c r="S1471" s="32">
        <f>IF($F1471="","",IF($F1471="תחילת שנה",1,IF($F1471="מחצית שנה",2,3)))</f>
        <v/>
      </c>
      <c r="T1471" s="32">
        <f>IF(OR($B1471="",$R1471="",$A1471="",$F1471=""),"",$B1471&amp;"|"&amp;$A1471&amp;"|"&amp;$F1471&amp;"|"&amp;$R1471&amp;"|"&amp;COUNTIFS($B$6:$B1471,$B1471,$A$6:$A1471,$A1471,$F$6:$F1471,$F1471,$R$6:$R1471,$R1471))</f>
        <v/>
      </c>
      <c r="U1471" s="32">
        <f>IF($C1471="","",$C1471&amp;"|"&amp;COUNTIFS($C$6:$C1471,$C1471))</f>
        <v/>
      </c>
      <c r="V1471" s="32">
        <f>IF(OR($C1471="",$A1471="",$S1471=""),"",$C1471&amp;"|"&amp;$A1471&amp;"|"&amp;$S1471)</f>
        <v/>
      </c>
      <c r="W1471" s="32">
        <f>IF(OR($C1471="",$S1471="",$S1471=1),"",IFERROR(INDEX($Q$6:$Q$1505,MATCH($C1471&amp;"|"&amp;$A1471&amp;"|"&amp;($S1471-1),$V$6:$V$1505,0)),""))</f>
        <v/>
      </c>
      <c r="X1471" s="32">
        <f>IF(OR($W1471="",$Q1471="",LEFT($Q1471,1)="—"),"",IF($W1471=$Q1471,"ללא שינוי","מ-"&amp;$W1471&amp;" ל-"&amp;$Q1471))</f>
        <v/>
      </c>
    </row>
    <row r="1472">
      <c r="A1472" s="65" t="n"/>
      <c r="B1472" s="65" t="n"/>
      <c r="C1472" s="66" t="n"/>
      <c r="D1472" s="66" t="n"/>
      <c r="E1472" s="65" t="n"/>
      <c r="F1472" s="65" t="n"/>
      <c r="G1472" s="65" t="n"/>
      <c r="H1472" s="65" t="n"/>
      <c r="I1472" s="65" t="n"/>
      <c r="J1472" s="65" t="n"/>
      <c r="K1472" s="65" t="n"/>
      <c r="L1472" s="65" t="n"/>
      <c r="M1472" s="65" t="n"/>
      <c r="N1472" s="65" t="n"/>
      <c r="O1472" s="65" t="n"/>
      <c r="P1472" s="65" t="n"/>
      <c r="Q1472" s="32">
        <f>IF($C1472="","",IF($J1472="","— חסרים נתונים",IF($J1472="טרם מפענח","פרופיל 5",IF($J1472="קמץ/פתח/חטף-פתח ושוואים","פרופיל 4",IF($J1472="2-3 סימני ניקוד","פרופיל 3",IF($J1472="4-5 סימני ניקוד","פרופיל 2",IF(AND($O1472="משפטים וקטעים קצרים",OR($M1472="מבין",$M1472="מבין לרוב")),"פרופיל 1","פרופיל 2")))))))</f>
        <v/>
      </c>
      <c r="R1472" s="32">
        <f>IF($C1472="","",IF(OR($Q1472="",LEFT($Q1472,1)="—"),"קבוצה רביעית",IF($Q1472="פרופיל 5","קבוצת תשתיות",IF(OR($Q1472="פרופיל 4",$Q1472="פרופיל 3"),"קבוצת רכישה","קבוצת ביסוס"))))</f>
        <v/>
      </c>
      <c r="S1472" s="32">
        <f>IF($F1472="","",IF($F1472="תחילת שנה",1,IF($F1472="מחצית שנה",2,3)))</f>
        <v/>
      </c>
      <c r="T1472" s="32">
        <f>IF(OR($B1472="",$R1472="",$A1472="",$F1472=""),"",$B1472&amp;"|"&amp;$A1472&amp;"|"&amp;$F1472&amp;"|"&amp;$R1472&amp;"|"&amp;COUNTIFS($B$6:$B1472,$B1472,$A$6:$A1472,$A1472,$F$6:$F1472,$F1472,$R$6:$R1472,$R1472))</f>
        <v/>
      </c>
      <c r="U1472" s="32">
        <f>IF($C1472="","",$C1472&amp;"|"&amp;COUNTIFS($C$6:$C1472,$C1472))</f>
        <v/>
      </c>
      <c r="V1472" s="32">
        <f>IF(OR($C1472="",$A1472="",$S1472=""),"",$C1472&amp;"|"&amp;$A1472&amp;"|"&amp;$S1472)</f>
        <v/>
      </c>
      <c r="W1472" s="32">
        <f>IF(OR($C1472="",$S1472="",$S1472=1),"",IFERROR(INDEX($Q$6:$Q$1505,MATCH($C1472&amp;"|"&amp;$A1472&amp;"|"&amp;($S1472-1),$V$6:$V$1505,0)),""))</f>
        <v/>
      </c>
      <c r="X1472" s="32">
        <f>IF(OR($W1472="",$Q1472="",LEFT($Q1472,1)="—"),"",IF($W1472=$Q1472,"ללא שינוי","מ-"&amp;$W1472&amp;" ל-"&amp;$Q1472))</f>
        <v/>
      </c>
    </row>
    <row r="1473">
      <c r="A1473" s="65" t="n"/>
      <c r="B1473" s="65" t="n"/>
      <c r="C1473" s="66" t="n"/>
      <c r="D1473" s="66" t="n"/>
      <c r="E1473" s="65" t="n"/>
      <c r="F1473" s="65" t="n"/>
      <c r="G1473" s="65" t="n"/>
      <c r="H1473" s="65" t="n"/>
      <c r="I1473" s="65" t="n"/>
      <c r="J1473" s="65" t="n"/>
      <c r="K1473" s="65" t="n"/>
      <c r="L1473" s="65" t="n"/>
      <c r="M1473" s="65" t="n"/>
      <c r="N1473" s="65" t="n"/>
      <c r="O1473" s="65" t="n"/>
      <c r="P1473" s="65" t="n"/>
      <c r="Q1473" s="32">
        <f>IF($C1473="","",IF($J1473="","— חסרים נתונים",IF($J1473="טרם מפענח","פרופיל 5",IF($J1473="קמץ/פתח/חטף-פתח ושוואים","פרופיל 4",IF($J1473="2-3 סימני ניקוד","פרופיל 3",IF($J1473="4-5 סימני ניקוד","פרופיל 2",IF(AND($O1473="משפטים וקטעים קצרים",OR($M1473="מבין",$M1473="מבין לרוב")),"פרופיל 1","פרופיל 2")))))))</f>
        <v/>
      </c>
      <c r="R1473" s="32">
        <f>IF($C1473="","",IF(OR($Q1473="",LEFT($Q1473,1)="—"),"קבוצה רביעית",IF($Q1473="פרופיל 5","קבוצת תשתיות",IF(OR($Q1473="פרופיל 4",$Q1473="פרופיל 3"),"קבוצת רכישה","קבוצת ביסוס"))))</f>
        <v/>
      </c>
      <c r="S1473" s="32">
        <f>IF($F1473="","",IF($F1473="תחילת שנה",1,IF($F1473="מחצית שנה",2,3)))</f>
        <v/>
      </c>
      <c r="T1473" s="32">
        <f>IF(OR($B1473="",$R1473="",$A1473="",$F1473=""),"",$B1473&amp;"|"&amp;$A1473&amp;"|"&amp;$F1473&amp;"|"&amp;$R1473&amp;"|"&amp;COUNTIFS($B$6:$B1473,$B1473,$A$6:$A1473,$A1473,$F$6:$F1473,$F1473,$R$6:$R1473,$R1473))</f>
        <v/>
      </c>
      <c r="U1473" s="32">
        <f>IF($C1473="","",$C1473&amp;"|"&amp;COUNTIFS($C$6:$C1473,$C1473))</f>
        <v/>
      </c>
      <c r="V1473" s="32">
        <f>IF(OR($C1473="",$A1473="",$S1473=""),"",$C1473&amp;"|"&amp;$A1473&amp;"|"&amp;$S1473)</f>
        <v/>
      </c>
      <c r="W1473" s="32">
        <f>IF(OR($C1473="",$S1473="",$S1473=1),"",IFERROR(INDEX($Q$6:$Q$1505,MATCH($C1473&amp;"|"&amp;$A1473&amp;"|"&amp;($S1473-1),$V$6:$V$1505,0)),""))</f>
        <v/>
      </c>
      <c r="X1473" s="32">
        <f>IF(OR($W1473="",$Q1473="",LEFT($Q1473,1)="—"),"",IF($W1473=$Q1473,"ללא שינוי","מ-"&amp;$W1473&amp;" ל-"&amp;$Q1473))</f>
        <v/>
      </c>
    </row>
    <row r="1474">
      <c r="A1474" s="65" t="n"/>
      <c r="B1474" s="65" t="n"/>
      <c r="C1474" s="66" t="n"/>
      <c r="D1474" s="66" t="n"/>
      <c r="E1474" s="65" t="n"/>
      <c r="F1474" s="65" t="n"/>
      <c r="G1474" s="65" t="n"/>
      <c r="H1474" s="65" t="n"/>
      <c r="I1474" s="65" t="n"/>
      <c r="J1474" s="65" t="n"/>
      <c r="K1474" s="65" t="n"/>
      <c r="L1474" s="65" t="n"/>
      <c r="M1474" s="65" t="n"/>
      <c r="N1474" s="65" t="n"/>
      <c r="O1474" s="65" t="n"/>
      <c r="P1474" s="65" t="n"/>
      <c r="Q1474" s="32">
        <f>IF($C1474="","",IF($J1474="","— חסרים נתונים",IF($J1474="טרם מפענח","פרופיל 5",IF($J1474="קמץ/פתח/חטף-פתח ושוואים","פרופיל 4",IF($J1474="2-3 סימני ניקוד","פרופיל 3",IF($J1474="4-5 סימני ניקוד","פרופיל 2",IF(AND($O1474="משפטים וקטעים קצרים",OR($M1474="מבין",$M1474="מבין לרוב")),"פרופיל 1","פרופיל 2")))))))</f>
        <v/>
      </c>
      <c r="R1474" s="32">
        <f>IF($C1474="","",IF(OR($Q1474="",LEFT($Q1474,1)="—"),"קבוצה רביעית",IF($Q1474="פרופיל 5","קבוצת תשתיות",IF(OR($Q1474="פרופיל 4",$Q1474="פרופיל 3"),"קבוצת רכישה","קבוצת ביסוס"))))</f>
        <v/>
      </c>
      <c r="S1474" s="32">
        <f>IF($F1474="","",IF($F1474="תחילת שנה",1,IF($F1474="מחצית שנה",2,3)))</f>
        <v/>
      </c>
      <c r="T1474" s="32">
        <f>IF(OR($B1474="",$R1474="",$A1474="",$F1474=""),"",$B1474&amp;"|"&amp;$A1474&amp;"|"&amp;$F1474&amp;"|"&amp;$R1474&amp;"|"&amp;COUNTIFS($B$6:$B1474,$B1474,$A$6:$A1474,$A1474,$F$6:$F1474,$F1474,$R$6:$R1474,$R1474))</f>
        <v/>
      </c>
      <c r="U1474" s="32">
        <f>IF($C1474="","",$C1474&amp;"|"&amp;COUNTIFS($C$6:$C1474,$C1474))</f>
        <v/>
      </c>
      <c r="V1474" s="32">
        <f>IF(OR($C1474="",$A1474="",$S1474=""),"",$C1474&amp;"|"&amp;$A1474&amp;"|"&amp;$S1474)</f>
        <v/>
      </c>
      <c r="W1474" s="32">
        <f>IF(OR($C1474="",$S1474="",$S1474=1),"",IFERROR(INDEX($Q$6:$Q$1505,MATCH($C1474&amp;"|"&amp;$A1474&amp;"|"&amp;($S1474-1),$V$6:$V$1505,0)),""))</f>
        <v/>
      </c>
      <c r="X1474" s="32">
        <f>IF(OR($W1474="",$Q1474="",LEFT($Q1474,1)="—"),"",IF($W1474=$Q1474,"ללא שינוי","מ-"&amp;$W1474&amp;" ל-"&amp;$Q1474))</f>
        <v/>
      </c>
    </row>
    <row r="1475">
      <c r="A1475" s="65" t="n"/>
      <c r="B1475" s="65" t="n"/>
      <c r="C1475" s="66" t="n"/>
      <c r="D1475" s="66" t="n"/>
      <c r="E1475" s="65" t="n"/>
      <c r="F1475" s="65" t="n"/>
      <c r="G1475" s="65" t="n"/>
      <c r="H1475" s="65" t="n"/>
      <c r="I1475" s="65" t="n"/>
      <c r="J1475" s="65" t="n"/>
      <c r="K1475" s="65" t="n"/>
      <c r="L1475" s="65" t="n"/>
      <c r="M1475" s="65" t="n"/>
      <c r="N1475" s="65" t="n"/>
      <c r="O1475" s="65" t="n"/>
      <c r="P1475" s="65" t="n"/>
      <c r="Q1475" s="32">
        <f>IF($C1475="","",IF($J1475="","— חסרים נתונים",IF($J1475="טרם מפענח","פרופיל 5",IF($J1475="קמץ/פתח/חטף-פתח ושוואים","פרופיל 4",IF($J1475="2-3 סימני ניקוד","פרופיל 3",IF($J1475="4-5 סימני ניקוד","פרופיל 2",IF(AND($O1475="משפטים וקטעים קצרים",OR($M1475="מבין",$M1475="מבין לרוב")),"פרופיל 1","פרופיל 2")))))))</f>
        <v/>
      </c>
      <c r="R1475" s="32">
        <f>IF($C1475="","",IF(OR($Q1475="",LEFT($Q1475,1)="—"),"קבוצה רביעית",IF($Q1475="פרופיל 5","קבוצת תשתיות",IF(OR($Q1475="פרופיל 4",$Q1475="פרופיל 3"),"קבוצת רכישה","קבוצת ביסוס"))))</f>
        <v/>
      </c>
      <c r="S1475" s="32">
        <f>IF($F1475="","",IF($F1475="תחילת שנה",1,IF($F1475="מחצית שנה",2,3)))</f>
        <v/>
      </c>
      <c r="T1475" s="32">
        <f>IF(OR($B1475="",$R1475="",$A1475="",$F1475=""),"",$B1475&amp;"|"&amp;$A1475&amp;"|"&amp;$F1475&amp;"|"&amp;$R1475&amp;"|"&amp;COUNTIFS($B$6:$B1475,$B1475,$A$6:$A1475,$A1475,$F$6:$F1475,$F1475,$R$6:$R1475,$R1475))</f>
        <v/>
      </c>
      <c r="U1475" s="32">
        <f>IF($C1475="","",$C1475&amp;"|"&amp;COUNTIFS($C$6:$C1475,$C1475))</f>
        <v/>
      </c>
      <c r="V1475" s="32">
        <f>IF(OR($C1475="",$A1475="",$S1475=""),"",$C1475&amp;"|"&amp;$A1475&amp;"|"&amp;$S1475)</f>
        <v/>
      </c>
      <c r="W1475" s="32">
        <f>IF(OR($C1475="",$S1475="",$S1475=1),"",IFERROR(INDEX($Q$6:$Q$1505,MATCH($C1475&amp;"|"&amp;$A1475&amp;"|"&amp;($S1475-1),$V$6:$V$1505,0)),""))</f>
        <v/>
      </c>
      <c r="X1475" s="32">
        <f>IF(OR($W1475="",$Q1475="",LEFT($Q1475,1)="—"),"",IF($W1475=$Q1475,"ללא שינוי","מ-"&amp;$W1475&amp;" ל-"&amp;$Q1475))</f>
        <v/>
      </c>
    </row>
    <row r="1476">
      <c r="A1476" s="65" t="n"/>
      <c r="B1476" s="65" t="n"/>
      <c r="C1476" s="66" t="n"/>
      <c r="D1476" s="66" t="n"/>
      <c r="E1476" s="65" t="n"/>
      <c r="F1476" s="65" t="n"/>
      <c r="G1476" s="65" t="n"/>
      <c r="H1476" s="65" t="n"/>
      <c r="I1476" s="65" t="n"/>
      <c r="J1476" s="65" t="n"/>
      <c r="K1476" s="65" t="n"/>
      <c r="L1476" s="65" t="n"/>
      <c r="M1476" s="65" t="n"/>
      <c r="N1476" s="65" t="n"/>
      <c r="O1476" s="65" t="n"/>
      <c r="P1476" s="65" t="n"/>
      <c r="Q1476" s="32">
        <f>IF($C1476="","",IF($J1476="","— חסרים נתונים",IF($J1476="טרם מפענח","פרופיל 5",IF($J1476="קמץ/פתח/חטף-פתח ושוואים","פרופיל 4",IF($J1476="2-3 סימני ניקוד","פרופיל 3",IF($J1476="4-5 סימני ניקוד","פרופיל 2",IF(AND($O1476="משפטים וקטעים קצרים",OR($M1476="מבין",$M1476="מבין לרוב")),"פרופיל 1","פרופיל 2")))))))</f>
        <v/>
      </c>
      <c r="R1476" s="32">
        <f>IF($C1476="","",IF(OR($Q1476="",LEFT($Q1476,1)="—"),"קבוצה רביעית",IF($Q1476="פרופיל 5","קבוצת תשתיות",IF(OR($Q1476="פרופיל 4",$Q1476="פרופיל 3"),"קבוצת רכישה","קבוצת ביסוס"))))</f>
        <v/>
      </c>
      <c r="S1476" s="32">
        <f>IF($F1476="","",IF($F1476="תחילת שנה",1,IF($F1476="מחצית שנה",2,3)))</f>
        <v/>
      </c>
      <c r="T1476" s="32">
        <f>IF(OR($B1476="",$R1476="",$A1476="",$F1476=""),"",$B1476&amp;"|"&amp;$A1476&amp;"|"&amp;$F1476&amp;"|"&amp;$R1476&amp;"|"&amp;COUNTIFS($B$6:$B1476,$B1476,$A$6:$A1476,$A1476,$F$6:$F1476,$F1476,$R$6:$R1476,$R1476))</f>
        <v/>
      </c>
      <c r="U1476" s="32">
        <f>IF($C1476="","",$C1476&amp;"|"&amp;COUNTIFS($C$6:$C1476,$C1476))</f>
        <v/>
      </c>
      <c r="V1476" s="32">
        <f>IF(OR($C1476="",$A1476="",$S1476=""),"",$C1476&amp;"|"&amp;$A1476&amp;"|"&amp;$S1476)</f>
        <v/>
      </c>
      <c r="W1476" s="32">
        <f>IF(OR($C1476="",$S1476="",$S1476=1),"",IFERROR(INDEX($Q$6:$Q$1505,MATCH($C1476&amp;"|"&amp;$A1476&amp;"|"&amp;($S1476-1),$V$6:$V$1505,0)),""))</f>
        <v/>
      </c>
      <c r="X1476" s="32">
        <f>IF(OR($W1476="",$Q1476="",LEFT($Q1476,1)="—"),"",IF($W1476=$Q1476,"ללא שינוי","מ-"&amp;$W1476&amp;" ל-"&amp;$Q1476))</f>
        <v/>
      </c>
    </row>
    <row r="1477">
      <c r="A1477" s="65" t="n"/>
      <c r="B1477" s="65" t="n"/>
      <c r="C1477" s="66" t="n"/>
      <c r="D1477" s="66" t="n"/>
      <c r="E1477" s="65" t="n"/>
      <c r="F1477" s="65" t="n"/>
      <c r="G1477" s="65" t="n"/>
      <c r="H1477" s="65" t="n"/>
      <c r="I1477" s="65" t="n"/>
      <c r="J1477" s="65" t="n"/>
      <c r="K1477" s="65" t="n"/>
      <c r="L1477" s="65" t="n"/>
      <c r="M1477" s="65" t="n"/>
      <c r="N1477" s="65" t="n"/>
      <c r="O1477" s="65" t="n"/>
      <c r="P1477" s="65" t="n"/>
      <c r="Q1477" s="32">
        <f>IF($C1477="","",IF($J1477="","— חסרים נתונים",IF($J1477="טרם מפענח","פרופיל 5",IF($J1477="קמץ/פתח/חטף-פתח ושוואים","פרופיל 4",IF($J1477="2-3 סימני ניקוד","פרופיל 3",IF($J1477="4-5 סימני ניקוד","פרופיל 2",IF(AND($O1477="משפטים וקטעים קצרים",OR($M1477="מבין",$M1477="מבין לרוב")),"פרופיל 1","פרופיל 2")))))))</f>
        <v/>
      </c>
      <c r="R1477" s="32">
        <f>IF($C1477="","",IF(OR($Q1477="",LEFT($Q1477,1)="—"),"קבוצה רביעית",IF($Q1477="פרופיל 5","קבוצת תשתיות",IF(OR($Q1477="פרופיל 4",$Q1477="פרופיל 3"),"קבוצת רכישה","קבוצת ביסוס"))))</f>
        <v/>
      </c>
      <c r="S1477" s="32">
        <f>IF($F1477="","",IF($F1477="תחילת שנה",1,IF($F1477="מחצית שנה",2,3)))</f>
        <v/>
      </c>
      <c r="T1477" s="32">
        <f>IF(OR($B1477="",$R1477="",$A1477="",$F1477=""),"",$B1477&amp;"|"&amp;$A1477&amp;"|"&amp;$F1477&amp;"|"&amp;$R1477&amp;"|"&amp;COUNTIFS($B$6:$B1477,$B1477,$A$6:$A1477,$A1477,$F$6:$F1477,$F1477,$R$6:$R1477,$R1477))</f>
        <v/>
      </c>
      <c r="U1477" s="32">
        <f>IF($C1477="","",$C1477&amp;"|"&amp;COUNTIFS($C$6:$C1477,$C1477))</f>
        <v/>
      </c>
      <c r="V1477" s="32">
        <f>IF(OR($C1477="",$A1477="",$S1477=""),"",$C1477&amp;"|"&amp;$A1477&amp;"|"&amp;$S1477)</f>
        <v/>
      </c>
      <c r="W1477" s="32">
        <f>IF(OR($C1477="",$S1477="",$S1477=1),"",IFERROR(INDEX($Q$6:$Q$1505,MATCH($C1477&amp;"|"&amp;$A1477&amp;"|"&amp;($S1477-1),$V$6:$V$1505,0)),""))</f>
        <v/>
      </c>
      <c r="X1477" s="32">
        <f>IF(OR($W1477="",$Q1477="",LEFT($Q1477,1)="—"),"",IF($W1477=$Q1477,"ללא שינוי","מ-"&amp;$W1477&amp;" ל-"&amp;$Q1477))</f>
        <v/>
      </c>
    </row>
    <row r="1478">
      <c r="A1478" s="65" t="n"/>
      <c r="B1478" s="65" t="n"/>
      <c r="C1478" s="66" t="n"/>
      <c r="D1478" s="66" t="n"/>
      <c r="E1478" s="65" t="n"/>
      <c r="F1478" s="65" t="n"/>
      <c r="G1478" s="65" t="n"/>
      <c r="H1478" s="65" t="n"/>
      <c r="I1478" s="65" t="n"/>
      <c r="J1478" s="65" t="n"/>
      <c r="K1478" s="65" t="n"/>
      <c r="L1478" s="65" t="n"/>
      <c r="M1478" s="65" t="n"/>
      <c r="N1478" s="65" t="n"/>
      <c r="O1478" s="65" t="n"/>
      <c r="P1478" s="65" t="n"/>
      <c r="Q1478" s="32">
        <f>IF($C1478="","",IF($J1478="","— חסרים נתונים",IF($J1478="טרם מפענח","פרופיל 5",IF($J1478="קמץ/פתח/חטף-פתח ושוואים","פרופיל 4",IF($J1478="2-3 סימני ניקוד","פרופיל 3",IF($J1478="4-5 סימני ניקוד","פרופיל 2",IF(AND($O1478="משפטים וקטעים קצרים",OR($M1478="מבין",$M1478="מבין לרוב")),"פרופיל 1","פרופיל 2")))))))</f>
        <v/>
      </c>
      <c r="R1478" s="32">
        <f>IF($C1478="","",IF(OR($Q1478="",LEFT($Q1478,1)="—"),"קבוצה רביעית",IF($Q1478="פרופיל 5","קבוצת תשתיות",IF(OR($Q1478="פרופיל 4",$Q1478="פרופיל 3"),"קבוצת רכישה","קבוצת ביסוס"))))</f>
        <v/>
      </c>
      <c r="S1478" s="32">
        <f>IF($F1478="","",IF($F1478="תחילת שנה",1,IF($F1478="מחצית שנה",2,3)))</f>
        <v/>
      </c>
      <c r="T1478" s="32">
        <f>IF(OR($B1478="",$R1478="",$A1478="",$F1478=""),"",$B1478&amp;"|"&amp;$A1478&amp;"|"&amp;$F1478&amp;"|"&amp;$R1478&amp;"|"&amp;COUNTIFS($B$6:$B1478,$B1478,$A$6:$A1478,$A1478,$F$6:$F1478,$F1478,$R$6:$R1478,$R1478))</f>
        <v/>
      </c>
      <c r="U1478" s="32">
        <f>IF($C1478="","",$C1478&amp;"|"&amp;COUNTIFS($C$6:$C1478,$C1478))</f>
        <v/>
      </c>
      <c r="V1478" s="32">
        <f>IF(OR($C1478="",$A1478="",$S1478=""),"",$C1478&amp;"|"&amp;$A1478&amp;"|"&amp;$S1478)</f>
        <v/>
      </c>
      <c r="W1478" s="32">
        <f>IF(OR($C1478="",$S1478="",$S1478=1),"",IFERROR(INDEX($Q$6:$Q$1505,MATCH($C1478&amp;"|"&amp;$A1478&amp;"|"&amp;($S1478-1),$V$6:$V$1505,0)),""))</f>
        <v/>
      </c>
      <c r="X1478" s="32">
        <f>IF(OR($W1478="",$Q1478="",LEFT($Q1478,1)="—"),"",IF($W1478=$Q1478,"ללא שינוי","מ-"&amp;$W1478&amp;" ל-"&amp;$Q1478))</f>
        <v/>
      </c>
    </row>
    <row r="1479">
      <c r="A1479" s="65" t="n"/>
      <c r="B1479" s="65" t="n"/>
      <c r="C1479" s="66" t="n"/>
      <c r="D1479" s="66" t="n"/>
      <c r="E1479" s="65" t="n"/>
      <c r="F1479" s="65" t="n"/>
      <c r="G1479" s="65" t="n"/>
      <c r="H1479" s="65" t="n"/>
      <c r="I1479" s="65" t="n"/>
      <c r="J1479" s="65" t="n"/>
      <c r="K1479" s="65" t="n"/>
      <c r="L1479" s="65" t="n"/>
      <c r="M1479" s="65" t="n"/>
      <c r="N1479" s="65" t="n"/>
      <c r="O1479" s="65" t="n"/>
      <c r="P1479" s="65" t="n"/>
      <c r="Q1479" s="32">
        <f>IF($C1479="","",IF($J1479="","— חסרים נתונים",IF($J1479="טרם מפענח","פרופיל 5",IF($J1479="קמץ/פתח/חטף-פתח ושוואים","פרופיל 4",IF($J1479="2-3 סימני ניקוד","פרופיל 3",IF($J1479="4-5 סימני ניקוד","פרופיל 2",IF(AND($O1479="משפטים וקטעים קצרים",OR($M1479="מבין",$M1479="מבין לרוב")),"פרופיל 1","פרופיל 2")))))))</f>
        <v/>
      </c>
      <c r="R1479" s="32">
        <f>IF($C1479="","",IF(OR($Q1479="",LEFT($Q1479,1)="—"),"קבוצה רביעית",IF($Q1479="פרופיל 5","קבוצת תשתיות",IF(OR($Q1479="פרופיל 4",$Q1479="פרופיל 3"),"קבוצת רכישה","קבוצת ביסוס"))))</f>
        <v/>
      </c>
      <c r="S1479" s="32">
        <f>IF($F1479="","",IF($F1479="תחילת שנה",1,IF($F1479="מחצית שנה",2,3)))</f>
        <v/>
      </c>
      <c r="T1479" s="32">
        <f>IF(OR($B1479="",$R1479="",$A1479="",$F1479=""),"",$B1479&amp;"|"&amp;$A1479&amp;"|"&amp;$F1479&amp;"|"&amp;$R1479&amp;"|"&amp;COUNTIFS($B$6:$B1479,$B1479,$A$6:$A1479,$A1479,$F$6:$F1479,$F1479,$R$6:$R1479,$R1479))</f>
        <v/>
      </c>
      <c r="U1479" s="32">
        <f>IF($C1479="","",$C1479&amp;"|"&amp;COUNTIFS($C$6:$C1479,$C1479))</f>
        <v/>
      </c>
      <c r="V1479" s="32">
        <f>IF(OR($C1479="",$A1479="",$S1479=""),"",$C1479&amp;"|"&amp;$A1479&amp;"|"&amp;$S1479)</f>
        <v/>
      </c>
      <c r="W1479" s="32">
        <f>IF(OR($C1479="",$S1479="",$S1479=1),"",IFERROR(INDEX($Q$6:$Q$1505,MATCH($C1479&amp;"|"&amp;$A1479&amp;"|"&amp;($S1479-1),$V$6:$V$1505,0)),""))</f>
        <v/>
      </c>
      <c r="X1479" s="32">
        <f>IF(OR($W1479="",$Q1479="",LEFT($Q1479,1)="—"),"",IF($W1479=$Q1479,"ללא שינוי","מ-"&amp;$W1479&amp;" ל-"&amp;$Q1479))</f>
        <v/>
      </c>
    </row>
    <row r="1480">
      <c r="A1480" s="65" t="n"/>
      <c r="B1480" s="65" t="n"/>
      <c r="C1480" s="66" t="n"/>
      <c r="D1480" s="66" t="n"/>
      <c r="E1480" s="65" t="n"/>
      <c r="F1480" s="65" t="n"/>
      <c r="G1480" s="65" t="n"/>
      <c r="H1480" s="65" t="n"/>
      <c r="I1480" s="65" t="n"/>
      <c r="J1480" s="65" t="n"/>
      <c r="K1480" s="65" t="n"/>
      <c r="L1480" s="65" t="n"/>
      <c r="M1480" s="65" t="n"/>
      <c r="N1480" s="65" t="n"/>
      <c r="O1480" s="65" t="n"/>
      <c r="P1480" s="65" t="n"/>
      <c r="Q1480" s="32">
        <f>IF($C1480="","",IF($J1480="","— חסרים נתונים",IF($J1480="טרם מפענח","פרופיל 5",IF($J1480="קמץ/פתח/חטף-פתח ושוואים","פרופיל 4",IF($J1480="2-3 סימני ניקוד","פרופיל 3",IF($J1480="4-5 סימני ניקוד","פרופיל 2",IF(AND($O1480="משפטים וקטעים קצרים",OR($M1480="מבין",$M1480="מבין לרוב")),"פרופיל 1","פרופיל 2")))))))</f>
        <v/>
      </c>
      <c r="R1480" s="32">
        <f>IF($C1480="","",IF(OR($Q1480="",LEFT($Q1480,1)="—"),"קבוצה רביעית",IF($Q1480="פרופיל 5","קבוצת תשתיות",IF(OR($Q1480="פרופיל 4",$Q1480="פרופיל 3"),"קבוצת רכישה","קבוצת ביסוס"))))</f>
        <v/>
      </c>
      <c r="S1480" s="32">
        <f>IF($F1480="","",IF($F1480="תחילת שנה",1,IF($F1480="מחצית שנה",2,3)))</f>
        <v/>
      </c>
      <c r="T1480" s="32">
        <f>IF(OR($B1480="",$R1480="",$A1480="",$F1480=""),"",$B1480&amp;"|"&amp;$A1480&amp;"|"&amp;$F1480&amp;"|"&amp;$R1480&amp;"|"&amp;COUNTIFS($B$6:$B1480,$B1480,$A$6:$A1480,$A1480,$F$6:$F1480,$F1480,$R$6:$R1480,$R1480))</f>
        <v/>
      </c>
      <c r="U1480" s="32">
        <f>IF($C1480="","",$C1480&amp;"|"&amp;COUNTIFS($C$6:$C1480,$C1480))</f>
        <v/>
      </c>
      <c r="V1480" s="32">
        <f>IF(OR($C1480="",$A1480="",$S1480=""),"",$C1480&amp;"|"&amp;$A1480&amp;"|"&amp;$S1480)</f>
        <v/>
      </c>
      <c r="W1480" s="32">
        <f>IF(OR($C1480="",$S1480="",$S1480=1),"",IFERROR(INDEX($Q$6:$Q$1505,MATCH($C1480&amp;"|"&amp;$A1480&amp;"|"&amp;($S1480-1),$V$6:$V$1505,0)),""))</f>
        <v/>
      </c>
      <c r="X1480" s="32">
        <f>IF(OR($W1480="",$Q1480="",LEFT($Q1480,1)="—"),"",IF($W1480=$Q1480,"ללא שינוי","מ-"&amp;$W1480&amp;" ל-"&amp;$Q1480))</f>
        <v/>
      </c>
    </row>
    <row r="1481">
      <c r="A1481" s="65" t="n"/>
      <c r="B1481" s="65" t="n"/>
      <c r="C1481" s="66" t="n"/>
      <c r="D1481" s="66" t="n"/>
      <c r="E1481" s="65" t="n"/>
      <c r="F1481" s="65" t="n"/>
      <c r="G1481" s="65" t="n"/>
      <c r="H1481" s="65" t="n"/>
      <c r="I1481" s="65" t="n"/>
      <c r="J1481" s="65" t="n"/>
      <c r="K1481" s="65" t="n"/>
      <c r="L1481" s="65" t="n"/>
      <c r="M1481" s="65" t="n"/>
      <c r="N1481" s="65" t="n"/>
      <c r="O1481" s="65" t="n"/>
      <c r="P1481" s="65" t="n"/>
      <c r="Q1481" s="32">
        <f>IF($C1481="","",IF($J1481="","— חסרים נתונים",IF($J1481="טרם מפענח","פרופיל 5",IF($J1481="קמץ/פתח/חטף-פתח ושוואים","פרופיל 4",IF($J1481="2-3 סימני ניקוד","פרופיל 3",IF($J1481="4-5 סימני ניקוד","פרופיל 2",IF(AND($O1481="משפטים וקטעים קצרים",OR($M1481="מבין",$M1481="מבין לרוב")),"פרופיל 1","פרופיל 2")))))))</f>
        <v/>
      </c>
      <c r="R1481" s="32">
        <f>IF($C1481="","",IF(OR($Q1481="",LEFT($Q1481,1)="—"),"קבוצה רביעית",IF($Q1481="פרופיל 5","קבוצת תשתיות",IF(OR($Q1481="פרופיל 4",$Q1481="פרופיל 3"),"קבוצת רכישה","קבוצת ביסוס"))))</f>
        <v/>
      </c>
      <c r="S1481" s="32">
        <f>IF($F1481="","",IF($F1481="תחילת שנה",1,IF($F1481="מחצית שנה",2,3)))</f>
        <v/>
      </c>
      <c r="T1481" s="32">
        <f>IF(OR($B1481="",$R1481="",$A1481="",$F1481=""),"",$B1481&amp;"|"&amp;$A1481&amp;"|"&amp;$F1481&amp;"|"&amp;$R1481&amp;"|"&amp;COUNTIFS($B$6:$B1481,$B1481,$A$6:$A1481,$A1481,$F$6:$F1481,$F1481,$R$6:$R1481,$R1481))</f>
        <v/>
      </c>
      <c r="U1481" s="32">
        <f>IF($C1481="","",$C1481&amp;"|"&amp;COUNTIFS($C$6:$C1481,$C1481))</f>
        <v/>
      </c>
      <c r="V1481" s="32">
        <f>IF(OR($C1481="",$A1481="",$S1481=""),"",$C1481&amp;"|"&amp;$A1481&amp;"|"&amp;$S1481)</f>
        <v/>
      </c>
      <c r="W1481" s="32">
        <f>IF(OR($C1481="",$S1481="",$S1481=1),"",IFERROR(INDEX($Q$6:$Q$1505,MATCH($C1481&amp;"|"&amp;$A1481&amp;"|"&amp;($S1481-1),$V$6:$V$1505,0)),""))</f>
        <v/>
      </c>
      <c r="X1481" s="32">
        <f>IF(OR($W1481="",$Q1481="",LEFT($Q1481,1)="—"),"",IF($W1481=$Q1481,"ללא שינוי","מ-"&amp;$W1481&amp;" ל-"&amp;$Q1481))</f>
        <v/>
      </c>
    </row>
    <row r="1482">
      <c r="A1482" s="65" t="n"/>
      <c r="B1482" s="65" t="n"/>
      <c r="C1482" s="66" t="n"/>
      <c r="D1482" s="66" t="n"/>
      <c r="E1482" s="65" t="n"/>
      <c r="F1482" s="65" t="n"/>
      <c r="G1482" s="65" t="n"/>
      <c r="H1482" s="65" t="n"/>
      <c r="I1482" s="65" t="n"/>
      <c r="J1482" s="65" t="n"/>
      <c r="K1482" s="65" t="n"/>
      <c r="L1482" s="65" t="n"/>
      <c r="M1482" s="65" t="n"/>
      <c r="N1482" s="65" t="n"/>
      <c r="O1482" s="65" t="n"/>
      <c r="P1482" s="65" t="n"/>
      <c r="Q1482" s="32">
        <f>IF($C1482="","",IF($J1482="","— חסרים נתונים",IF($J1482="טרם מפענח","פרופיל 5",IF($J1482="קמץ/פתח/חטף-פתח ושוואים","פרופיל 4",IF($J1482="2-3 סימני ניקוד","פרופיל 3",IF($J1482="4-5 סימני ניקוד","פרופיל 2",IF(AND($O1482="משפטים וקטעים קצרים",OR($M1482="מבין",$M1482="מבין לרוב")),"פרופיל 1","פרופיל 2")))))))</f>
        <v/>
      </c>
      <c r="R1482" s="32">
        <f>IF($C1482="","",IF(OR($Q1482="",LEFT($Q1482,1)="—"),"קבוצה רביעית",IF($Q1482="פרופיל 5","קבוצת תשתיות",IF(OR($Q1482="פרופיל 4",$Q1482="פרופיל 3"),"קבוצת רכישה","קבוצת ביסוס"))))</f>
        <v/>
      </c>
      <c r="S1482" s="32">
        <f>IF($F1482="","",IF($F1482="תחילת שנה",1,IF($F1482="מחצית שנה",2,3)))</f>
        <v/>
      </c>
      <c r="T1482" s="32">
        <f>IF(OR($B1482="",$R1482="",$A1482="",$F1482=""),"",$B1482&amp;"|"&amp;$A1482&amp;"|"&amp;$F1482&amp;"|"&amp;$R1482&amp;"|"&amp;COUNTIFS($B$6:$B1482,$B1482,$A$6:$A1482,$A1482,$F$6:$F1482,$F1482,$R$6:$R1482,$R1482))</f>
        <v/>
      </c>
      <c r="U1482" s="32">
        <f>IF($C1482="","",$C1482&amp;"|"&amp;COUNTIFS($C$6:$C1482,$C1482))</f>
        <v/>
      </c>
      <c r="V1482" s="32">
        <f>IF(OR($C1482="",$A1482="",$S1482=""),"",$C1482&amp;"|"&amp;$A1482&amp;"|"&amp;$S1482)</f>
        <v/>
      </c>
      <c r="W1482" s="32">
        <f>IF(OR($C1482="",$S1482="",$S1482=1),"",IFERROR(INDEX($Q$6:$Q$1505,MATCH($C1482&amp;"|"&amp;$A1482&amp;"|"&amp;($S1482-1),$V$6:$V$1505,0)),""))</f>
        <v/>
      </c>
      <c r="X1482" s="32">
        <f>IF(OR($W1482="",$Q1482="",LEFT($Q1482,1)="—"),"",IF($W1482=$Q1482,"ללא שינוי","מ-"&amp;$W1482&amp;" ל-"&amp;$Q1482))</f>
        <v/>
      </c>
    </row>
    <row r="1483">
      <c r="A1483" s="65" t="n"/>
      <c r="B1483" s="65" t="n"/>
      <c r="C1483" s="66" t="n"/>
      <c r="D1483" s="66" t="n"/>
      <c r="E1483" s="65" t="n"/>
      <c r="F1483" s="65" t="n"/>
      <c r="G1483" s="65" t="n"/>
      <c r="H1483" s="65" t="n"/>
      <c r="I1483" s="65" t="n"/>
      <c r="J1483" s="65" t="n"/>
      <c r="K1483" s="65" t="n"/>
      <c r="L1483" s="65" t="n"/>
      <c r="M1483" s="65" t="n"/>
      <c r="N1483" s="65" t="n"/>
      <c r="O1483" s="65" t="n"/>
      <c r="P1483" s="65" t="n"/>
      <c r="Q1483" s="32">
        <f>IF($C1483="","",IF($J1483="","— חסרים נתונים",IF($J1483="טרם מפענח","פרופיל 5",IF($J1483="קמץ/פתח/חטף-פתח ושוואים","פרופיל 4",IF($J1483="2-3 סימני ניקוד","פרופיל 3",IF($J1483="4-5 סימני ניקוד","פרופיל 2",IF(AND($O1483="משפטים וקטעים קצרים",OR($M1483="מבין",$M1483="מבין לרוב")),"פרופיל 1","פרופיל 2")))))))</f>
        <v/>
      </c>
      <c r="R1483" s="32">
        <f>IF($C1483="","",IF(OR($Q1483="",LEFT($Q1483,1)="—"),"קבוצה רביעית",IF($Q1483="פרופיל 5","קבוצת תשתיות",IF(OR($Q1483="פרופיל 4",$Q1483="פרופיל 3"),"קבוצת רכישה","קבוצת ביסוס"))))</f>
        <v/>
      </c>
      <c r="S1483" s="32">
        <f>IF($F1483="","",IF($F1483="תחילת שנה",1,IF($F1483="מחצית שנה",2,3)))</f>
        <v/>
      </c>
      <c r="T1483" s="32">
        <f>IF(OR($B1483="",$R1483="",$A1483="",$F1483=""),"",$B1483&amp;"|"&amp;$A1483&amp;"|"&amp;$F1483&amp;"|"&amp;$R1483&amp;"|"&amp;COUNTIFS($B$6:$B1483,$B1483,$A$6:$A1483,$A1483,$F$6:$F1483,$F1483,$R$6:$R1483,$R1483))</f>
        <v/>
      </c>
      <c r="U1483" s="32">
        <f>IF($C1483="","",$C1483&amp;"|"&amp;COUNTIFS($C$6:$C1483,$C1483))</f>
        <v/>
      </c>
      <c r="V1483" s="32">
        <f>IF(OR($C1483="",$A1483="",$S1483=""),"",$C1483&amp;"|"&amp;$A1483&amp;"|"&amp;$S1483)</f>
        <v/>
      </c>
      <c r="W1483" s="32">
        <f>IF(OR($C1483="",$S1483="",$S1483=1),"",IFERROR(INDEX($Q$6:$Q$1505,MATCH($C1483&amp;"|"&amp;$A1483&amp;"|"&amp;($S1483-1),$V$6:$V$1505,0)),""))</f>
        <v/>
      </c>
      <c r="X1483" s="32">
        <f>IF(OR($W1483="",$Q1483="",LEFT($Q1483,1)="—"),"",IF($W1483=$Q1483,"ללא שינוי","מ-"&amp;$W1483&amp;" ל-"&amp;$Q1483))</f>
        <v/>
      </c>
    </row>
    <row r="1484">
      <c r="A1484" s="65" t="n"/>
      <c r="B1484" s="65" t="n"/>
      <c r="C1484" s="66" t="n"/>
      <c r="D1484" s="66" t="n"/>
      <c r="E1484" s="65" t="n"/>
      <c r="F1484" s="65" t="n"/>
      <c r="G1484" s="65" t="n"/>
      <c r="H1484" s="65" t="n"/>
      <c r="I1484" s="65" t="n"/>
      <c r="J1484" s="65" t="n"/>
      <c r="K1484" s="65" t="n"/>
      <c r="L1484" s="65" t="n"/>
      <c r="M1484" s="65" t="n"/>
      <c r="N1484" s="65" t="n"/>
      <c r="O1484" s="65" t="n"/>
      <c r="P1484" s="65" t="n"/>
      <c r="Q1484" s="32">
        <f>IF($C1484="","",IF($J1484="","— חסרים נתונים",IF($J1484="טרם מפענח","פרופיל 5",IF($J1484="קמץ/פתח/חטף-פתח ושוואים","פרופיל 4",IF($J1484="2-3 סימני ניקוד","פרופיל 3",IF($J1484="4-5 סימני ניקוד","פרופיל 2",IF(AND($O1484="משפטים וקטעים קצרים",OR($M1484="מבין",$M1484="מבין לרוב")),"פרופיל 1","פרופיל 2")))))))</f>
        <v/>
      </c>
      <c r="R1484" s="32">
        <f>IF($C1484="","",IF(OR($Q1484="",LEFT($Q1484,1)="—"),"קבוצה רביעית",IF($Q1484="פרופיל 5","קבוצת תשתיות",IF(OR($Q1484="פרופיל 4",$Q1484="פרופיל 3"),"קבוצת רכישה","קבוצת ביסוס"))))</f>
        <v/>
      </c>
      <c r="S1484" s="32">
        <f>IF($F1484="","",IF($F1484="תחילת שנה",1,IF($F1484="מחצית שנה",2,3)))</f>
        <v/>
      </c>
      <c r="T1484" s="32">
        <f>IF(OR($B1484="",$R1484="",$A1484="",$F1484=""),"",$B1484&amp;"|"&amp;$A1484&amp;"|"&amp;$F1484&amp;"|"&amp;$R1484&amp;"|"&amp;COUNTIFS($B$6:$B1484,$B1484,$A$6:$A1484,$A1484,$F$6:$F1484,$F1484,$R$6:$R1484,$R1484))</f>
        <v/>
      </c>
      <c r="U1484" s="32">
        <f>IF($C1484="","",$C1484&amp;"|"&amp;COUNTIFS($C$6:$C1484,$C1484))</f>
        <v/>
      </c>
      <c r="V1484" s="32">
        <f>IF(OR($C1484="",$A1484="",$S1484=""),"",$C1484&amp;"|"&amp;$A1484&amp;"|"&amp;$S1484)</f>
        <v/>
      </c>
      <c r="W1484" s="32">
        <f>IF(OR($C1484="",$S1484="",$S1484=1),"",IFERROR(INDEX($Q$6:$Q$1505,MATCH($C1484&amp;"|"&amp;$A1484&amp;"|"&amp;($S1484-1),$V$6:$V$1505,0)),""))</f>
        <v/>
      </c>
      <c r="X1484" s="32">
        <f>IF(OR($W1484="",$Q1484="",LEFT($Q1484,1)="—"),"",IF($W1484=$Q1484,"ללא שינוי","מ-"&amp;$W1484&amp;" ל-"&amp;$Q1484))</f>
        <v/>
      </c>
    </row>
    <row r="1485">
      <c r="A1485" s="65" t="n"/>
      <c r="B1485" s="65" t="n"/>
      <c r="C1485" s="66" t="n"/>
      <c r="D1485" s="66" t="n"/>
      <c r="E1485" s="65" t="n"/>
      <c r="F1485" s="65" t="n"/>
      <c r="G1485" s="65" t="n"/>
      <c r="H1485" s="65" t="n"/>
      <c r="I1485" s="65" t="n"/>
      <c r="J1485" s="65" t="n"/>
      <c r="K1485" s="65" t="n"/>
      <c r="L1485" s="65" t="n"/>
      <c r="M1485" s="65" t="n"/>
      <c r="N1485" s="65" t="n"/>
      <c r="O1485" s="65" t="n"/>
      <c r="P1485" s="65" t="n"/>
      <c r="Q1485" s="32">
        <f>IF($C1485="","",IF($J1485="","— חסרים נתונים",IF($J1485="טרם מפענח","פרופיל 5",IF($J1485="קמץ/פתח/חטף-פתח ושוואים","פרופיל 4",IF($J1485="2-3 סימני ניקוד","פרופיל 3",IF($J1485="4-5 סימני ניקוד","פרופיל 2",IF(AND($O1485="משפטים וקטעים קצרים",OR($M1485="מבין",$M1485="מבין לרוב")),"פרופיל 1","פרופיל 2")))))))</f>
        <v/>
      </c>
      <c r="R1485" s="32">
        <f>IF($C1485="","",IF(OR($Q1485="",LEFT($Q1485,1)="—"),"קבוצה רביעית",IF($Q1485="פרופיל 5","קבוצת תשתיות",IF(OR($Q1485="פרופיל 4",$Q1485="פרופיל 3"),"קבוצת רכישה","קבוצת ביסוס"))))</f>
        <v/>
      </c>
      <c r="S1485" s="32">
        <f>IF($F1485="","",IF($F1485="תחילת שנה",1,IF($F1485="מחצית שנה",2,3)))</f>
        <v/>
      </c>
      <c r="T1485" s="32">
        <f>IF(OR($B1485="",$R1485="",$A1485="",$F1485=""),"",$B1485&amp;"|"&amp;$A1485&amp;"|"&amp;$F1485&amp;"|"&amp;$R1485&amp;"|"&amp;COUNTIFS($B$6:$B1485,$B1485,$A$6:$A1485,$A1485,$F$6:$F1485,$F1485,$R$6:$R1485,$R1485))</f>
        <v/>
      </c>
      <c r="U1485" s="32">
        <f>IF($C1485="","",$C1485&amp;"|"&amp;COUNTIFS($C$6:$C1485,$C1485))</f>
        <v/>
      </c>
      <c r="V1485" s="32">
        <f>IF(OR($C1485="",$A1485="",$S1485=""),"",$C1485&amp;"|"&amp;$A1485&amp;"|"&amp;$S1485)</f>
        <v/>
      </c>
      <c r="W1485" s="32">
        <f>IF(OR($C1485="",$S1485="",$S1485=1),"",IFERROR(INDEX($Q$6:$Q$1505,MATCH($C1485&amp;"|"&amp;$A1485&amp;"|"&amp;($S1485-1),$V$6:$V$1505,0)),""))</f>
        <v/>
      </c>
      <c r="X1485" s="32">
        <f>IF(OR($W1485="",$Q1485="",LEFT($Q1485,1)="—"),"",IF($W1485=$Q1485,"ללא שינוי","מ-"&amp;$W1485&amp;" ל-"&amp;$Q1485))</f>
        <v/>
      </c>
    </row>
    <row r="1486">
      <c r="A1486" s="65" t="n"/>
      <c r="B1486" s="65" t="n"/>
      <c r="C1486" s="66" t="n"/>
      <c r="D1486" s="66" t="n"/>
      <c r="E1486" s="65" t="n"/>
      <c r="F1486" s="65" t="n"/>
      <c r="G1486" s="65" t="n"/>
      <c r="H1486" s="65" t="n"/>
      <c r="I1486" s="65" t="n"/>
      <c r="J1486" s="65" t="n"/>
      <c r="K1486" s="65" t="n"/>
      <c r="L1486" s="65" t="n"/>
      <c r="M1486" s="65" t="n"/>
      <c r="N1486" s="65" t="n"/>
      <c r="O1486" s="65" t="n"/>
      <c r="P1486" s="65" t="n"/>
      <c r="Q1486" s="32">
        <f>IF($C1486="","",IF($J1486="","— חסרים נתונים",IF($J1486="טרם מפענח","פרופיל 5",IF($J1486="קמץ/פתח/חטף-פתח ושוואים","פרופיל 4",IF($J1486="2-3 סימני ניקוד","פרופיל 3",IF($J1486="4-5 סימני ניקוד","פרופיל 2",IF(AND($O1486="משפטים וקטעים קצרים",OR($M1486="מבין",$M1486="מבין לרוב")),"פרופיל 1","פרופיל 2")))))))</f>
        <v/>
      </c>
      <c r="R1486" s="32">
        <f>IF($C1486="","",IF(OR($Q1486="",LEFT($Q1486,1)="—"),"קבוצה רביעית",IF($Q1486="פרופיל 5","קבוצת תשתיות",IF(OR($Q1486="פרופיל 4",$Q1486="פרופיל 3"),"קבוצת רכישה","קבוצת ביסוס"))))</f>
        <v/>
      </c>
      <c r="S1486" s="32">
        <f>IF($F1486="","",IF($F1486="תחילת שנה",1,IF($F1486="מחצית שנה",2,3)))</f>
        <v/>
      </c>
      <c r="T1486" s="32">
        <f>IF(OR($B1486="",$R1486="",$A1486="",$F1486=""),"",$B1486&amp;"|"&amp;$A1486&amp;"|"&amp;$F1486&amp;"|"&amp;$R1486&amp;"|"&amp;COUNTIFS($B$6:$B1486,$B1486,$A$6:$A1486,$A1486,$F$6:$F1486,$F1486,$R$6:$R1486,$R1486))</f>
        <v/>
      </c>
      <c r="U1486" s="32">
        <f>IF($C1486="","",$C1486&amp;"|"&amp;COUNTIFS($C$6:$C1486,$C1486))</f>
        <v/>
      </c>
      <c r="V1486" s="32">
        <f>IF(OR($C1486="",$A1486="",$S1486=""),"",$C1486&amp;"|"&amp;$A1486&amp;"|"&amp;$S1486)</f>
        <v/>
      </c>
      <c r="W1486" s="32">
        <f>IF(OR($C1486="",$S1486="",$S1486=1),"",IFERROR(INDEX($Q$6:$Q$1505,MATCH($C1486&amp;"|"&amp;$A1486&amp;"|"&amp;($S1486-1),$V$6:$V$1505,0)),""))</f>
        <v/>
      </c>
      <c r="X1486" s="32">
        <f>IF(OR($W1486="",$Q1486="",LEFT($Q1486,1)="—"),"",IF($W1486=$Q1486,"ללא שינוי","מ-"&amp;$W1486&amp;" ל-"&amp;$Q1486))</f>
        <v/>
      </c>
    </row>
    <row r="1487">
      <c r="A1487" s="65" t="n"/>
      <c r="B1487" s="65" t="n"/>
      <c r="C1487" s="66" t="n"/>
      <c r="D1487" s="66" t="n"/>
      <c r="E1487" s="65" t="n"/>
      <c r="F1487" s="65" t="n"/>
      <c r="G1487" s="65" t="n"/>
      <c r="H1487" s="65" t="n"/>
      <c r="I1487" s="65" t="n"/>
      <c r="J1487" s="65" t="n"/>
      <c r="K1487" s="65" t="n"/>
      <c r="L1487" s="65" t="n"/>
      <c r="M1487" s="65" t="n"/>
      <c r="N1487" s="65" t="n"/>
      <c r="O1487" s="65" t="n"/>
      <c r="P1487" s="65" t="n"/>
      <c r="Q1487" s="32">
        <f>IF($C1487="","",IF($J1487="","— חסרים נתונים",IF($J1487="טרם מפענח","פרופיל 5",IF($J1487="קמץ/פתח/חטף-פתח ושוואים","פרופיל 4",IF($J1487="2-3 סימני ניקוד","פרופיל 3",IF($J1487="4-5 סימני ניקוד","פרופיל 2",IF(AND($O1487="משפטים וקטעים קצרים",OR($M1487="מבין",$M1487="מבין לרוב")),"פרופיל 1","פרופיל 2")))))))</f>
        <v/>
      </c>
      <c r="R1487" s="32">
        <f>IF($C1487="","",IF(OR($Q1487="",LEFT($Q1487,1)="—"),"קבוצה רביעית",IF($Q1487="פרופיל 5","קבוצת תשתיות",IF(OR($Q1487="פרופיל 4",$Q1487="פרופיל 3"),"קבוצת רכישה","קבוצת ביסוס"))))</f>
        <v/>
      </c>
      <c r="S1487" s="32">
        <f>IF($F1487="","",IF($F1487="תחילת שנה",1,IF($F1487="מחצית שנה",2,3)))</f>
        <v/>
      </c>
      <c r="T1487" s="32">
        <f>IF(OR($B1487="",$R1487="",$A1487="",$F1487=""),"",$B1487&amp;"|"&amp;$A1487&amp;"|"&amp;$F1487&amp;"|"&amp;$R1487&amp;"|"&amp;COUNTIFS($B$6:$B1487,$B1487,$A$6:$A1487,$A1487,$F$6:$F1487,$F1487,$R$6:$R1487,$R1487))</f>
        <v/>
      </c>
      <c r="U1487" s="32">
        <f>IF($C1487="","",$C1487&amp;"|"&amp;COUNTIFS($C$6:$C1487,$C1487))</f>
        <v/>
      </c>
      <c r="V1487" s="32">
        <f>IF(OR($C1487="",$A1487="",$S1487=""),"",$C1487&amp;"|"&amp;$A1487&amp;"|"&amp;$S1487)</f>
        <v/>
      </c>
      <c r="W1487" s="32">
        <f>IF(OR($C1487="",$S1487="",$S1487=1),"",IFERROR(INDEX($Q$6:$Q$1505,MATCH($C1487&amp;"|"&amp;$A1487&amp;"|"&amp;($S1487-1),$V$6:$V$1505,0)),""))</f>
        <v/>
      </c>
      <c r="X1487" s="32">
        <f>IF(OR($W1487="",$Q1487="",LEFT($Q1487,1)="—"),"",IF($W1487=$Q1487,"ללא שינוי","מ-"&amp;$W1487&amp;" ל-"&amp;$Q1487))</f>
        <v/>
      </c>
    </row>
    <row r="1488">
      <c r="A1488" s="65" t="n"/>
      <c r="B1488" s="65" t="n"/>
      <c r="C1488" s="66" t="n"/>
      <c r="D1488" s="66" t="n"/>
      <c r="E1488" s="65" t="n"/>
      <c r="F1488" s="65" t="n"/>
      <c r="G1488" s="65" t="n"/>
      <c r="H1488" s="65" t="n"/>
      <c r="I1488" s="65" t="n"/>
      <c r="J1488" s="65" t="n"/>
      <c r="K1488" s="65" t="n"/>
      <c r="L1488" s="65" t="n"/>
      <c r="M1488" s="65" t="n"/>
      <c r="N1488" s="65" t="n"/>
      <c r="O1488" s="65" t="n"/>
      <c r="P1488" s="65" t="n"/>
      <c r="Q1488" s="32">
        <f>IF($C1488="","",IF($J1488="","— חסרים נתונים",IF($J1488="טרם מפענח","פרופיל 5",IF($J1488="קמץ/פתח/חטף-פתח ושוואים","פרופיל 4",IF($J1488="2-3 סימני ניקוד","פרופיל 3",IF($J1488="4-5 סימני ניקוד","פרופיל 2",IF(AND($O1488="משפטים וקטעים קצרים",OR($M1488="מבין",$M1488="מבין לרוב")),"פרופיל 1","פרופיל 2")))))))</f>
        <v/>
      </c>
      <c r="R1488" s="32">
        <f>IF($C1488="","",IF(OR($Q1488="",LEFT($Q1488,1)="—"),"קבוצה רביעית",IF($Q1488="פרופיל 5","קבוצת תשתיות",IF(OR($Q1488="פרופיל 4",$Q1488="פרופיל 3"),"קבוצת רכישה","קבוצת ביסוס"))))</f>
        <v/>
      </c>
      <c r="S1488" s="32">
        <f>IF($F1488="","",IF($F1488="תחילת שנה",1,IF($F1488="מחצית שנה",2,3)))</f>
        <v/>
      </c>
      <c r="T1488" s="32">
        <f>IF(OR($B1488="",$R1488="",$A1488="",$F1488=""),"",$B1488&amp;"|"&amp;$A1488&amp;"|"&amp;$F1488&amp;"|"&amp;$R1488&amp;"|"&amp;COUNTIFS($B$6:$B1488,$B1488,$A$6:$A1488,$A1488,$F$6:$F1488,$F1488,$R$6:$R1488,$R1488))</f>
        <v/>
      </c>
      <c r="U1488" s="32">
        <f>IF($C1488="","",$C1488&amp;"|"&amp;COUNTIFS($C$6:$C1488,$C1488))</f>
        <v/>
      </c>
      <c r="V1488" s="32">
        <f>IF(OR($C1488="",$A1488="",$S1488=""),"",$C1488&amp;"|"&amp;$A1488&amp;"|"&amp;$S1488)</f>
        <v/>
      </c>
      <c r="W1488" s="32">
        <f>IF(OR($C1488="",$S1488="",$S1488=1),"",IFERROR(INDEX($Q$6:$Q$1505,MATCH($C1488&amp;"|"&amp;$A1488&amp;"|"&amp;($S1488-1),$V$6:$V$1505,0)),""))</f>
        <v/>
      </c>
      <c r="X1488" s="32">
        <f>IF(OR($W1488="",$Q1488="",LEFT($Q1488,1)="—"),"",IF($W1488=$Q1488,"ללא שינוי","מ-"&amp;$W1488&amp;" ל-"&amp;$Q1488))</f>
        <v/>
      </c>
    </row>
    <row r="1489">
      <c r="A1489" s="65" t="n"/>
      <c r="B1489" s="65" t="n"/>
      <c r="C1489" s="66" t="n"/>
      <c r="D1489" s="66" t="n"/>
      <c r="E1489" s="65" t="n"/>
      <c r="F1489" s="65" t="n"/>
      <c r="G1489" s="65" t="n"/>
      <c r="H1489" s="65" t="n"/>
      <c r="I1489" s="65" t="n"/>
      <c r="J1489" s="65" t="n"/>
      <c r="K1489" s="65" t="n"/>
      <c r="L1489" s="65" t="n"/>
      <c r="M1489" s="65" t="n"/>
      <c r="N1489" s="65" t="n"/>
      <c r="O1489" s="65" t="n"/>
      <c r="P1489" s="65" t="n"/>
      <c r="Q1489" s="32">
        <f>IF($C1489="","",IF($J1489="","— חסרים נתונים",IF($J1489="טרם מפענח","פרופיל 5",IF($J1489="קמץ/פתח/חטף-פתח ושוואים","פרופיל 4",IF($J1489="2-3 סימני ניקוד","פרופיל 3",IF($J1489="4-5 סימני ניקוד","פרופיל 2",IF(AND($O1489="משפטים וקטעים קצרים",OR($M1489="מבין",$M1489="מבין לרוב")),"פרופיל 1","פרופיל 2")))))))</f>
        <v/>
      </c>
      <c r="R1489" s="32">
        <f>IF($C1489="","",IF(OR($Q1489="",LEFT($Q1489,1)="—"),"קבוצה רביעית",IF($Q1489="פרופיל 5","קבוצת תשתיות",IF(OR($Q1489="פרופיל 4",$Q1489="פרופיל 3"),"קבוצת רכישה","קבוצת ביסוס"))))</f>
        <v/>
      </c>
      <c r="S1489" s="32">
        <f>IF($F1489="","",IF($F1489="תחילת שנה",1,IF($F1489="מחצית שנה",2,3)))</f>
        <v/>
      </c>
      <c r="T1489" s="32">
        <f>IF(OR($B1489="",$R1489="",$A1489="",$F1489=""),"",$B1489&amp;"|"&amp;$A1489&amp;"|"&amp;$F1489&amp;"|"&amp;$R1489&amp;"|"&amp;COUNTIFS($B$6:$B1489,$B1489,$A$6:$A1489,$A1489,$F$6:$F1489,$F1489,$R$6:$R1489,$R1489))</f>
        <v/>
      </c>
      <c r="U1489" s="32">
        <f>IF($C1489="","",$C1489&amp;"|"&amp;COUNTIFS($C$6:$C1489,$C1489))</f>
        <v/>
      </c>
      <c r="V1489" s="32">
        <f>IF(OR($C1489="",$A1489="",$S1489=""),"",$C1489&amp;"|"&amp;$A1489&amp;"|"&amp;$S1489)</f>
        <v/>
      </c>
      <c r="W1489" s="32">
        <f>IF(OR($C1489="",$S1489="",$S1489=1),"",IFERROR(INDEX($Q$6:$Q$1505,MATCH($C1489&amp;"|"&amp;$A1489&amp;"|"&amp;($S1489-1),$V$6:$V$1505,0)),""))</f>
        <v/>
      </c>
      <c r="X1489" s="32">
        <f>IF(OR($W1489="",$Q1489="",LEFT($Q1489,1)="—"),"",IF($W1489=$Q1489,"ללא שינוי","מ-"&amp;$W1489&amp;" ל-"&amp;$Q1489))</f>
        <v/>
      </c>
    </row>
    <row r="1490">
      <c r="A1490" s="65" t="n"/>
      <c r="B1490" s="65" t="n"/>
      <c r="C1490" s="66" t="n"/>
      <c r="D1490" s="66" t="n"/>
      <c r="E1490" s="65" t="n"/>
      <c r="F1490" s="65" t="n"/>
      <c r="G1490" s="65" t="n"/>
      <c r="H1490" s="65" t="n"/>
      <c r="I1490" s="65" t="n"/>
      <c r="J1490" s="65" t="n"/>
      <c r="K1490" s="65" t="n"/>
      <c r="L1490" s="65" t="n"/>
      <c r="M1490" s="65" t="n"/>
      <c r="N1490" s="65" t="n"/>
      <c r="O1490" s="65" t="n"/>
      <c r="P1490" s="65" t="n"/>
      <c r="Q1490" s="32">
        <f>IF($C1490="","",IF($J1490="","— חסרים נתונים",IF($J1490="טרם מפענח","פרופיל 5",IF($J1490="קמץ/פתח/חטף-פתח ושוואים","פרופיל 4",IF($J1490="2-3 סימני ניקוד","פרופיל 3",IF($J1490="4-5 סימני ניקוד","פרופיל 2",IF(AND($O1490="משפטים וקטעים קצרים",OR($M1490="מבין",$M1490="מבין לרוב")),"פרופיל 1","פרופיל 2")))))))</f>
        <v/>
      </c>
      <c r="R1490" s="32">
        <f>IF($C1490="","",IF(OR($Q1490="",LEFT($Q1490,1)="—"),"קבוצה רביעית",IF($Q1490="פרופיל 5","קבוצת תשתיות",IF(OR($Q1490="פרופיל 4",$Q1490="פרופיל 3"),"קבוצת רכישה","קבוצת ביסוס"))))</f>
        <v/>
      </c>
      <c r="S1490" s="32">
        <f>IF($F1490="","",IF($F1490="תחילת שנה",1,IF($F1490="מחצית שנה",2,3)))</f>
        <v/>
      </c>
      <c r="T1490" s="32">
        <f>IF(OR($B1490="",$R1490="",$A1490="",$F1490=""),"",$B1490&amp;"|"&amp;$A1490&amp;"|"&amp;$F1490&amp;"|"&amp;$R1490&amp;"|"&amp;COUNTIFS($B$6:$B1490,$B1490,$A$6:$A1490,$A1490,$F$6:$F1490,$F1490,$R$6:$R1490,$R1490))</f>
        <v/>
      </c>
      <c r="U1490" s="32">
        <f>IF($C1490="","",$C1490&amp;"|"&amp;COUNTIFS($C$6:$C1490,$C1490))</f>
        <v/>
      </c>
      <c r="V1490" s="32">
        <f>IF(OR($C1490="",$A1490="",$S1490=""),"",$C1490&amp;"|"&amp;$A1490&amp;"|"&amp;$S1490)</f>
        <v/>
      </c>
      <c r="W1490" s="32">
        <f>IF(OR($C1490="",$S1490="",$S1490=1),"",IFERROR(INDEX($Q$6:$Q$1505,MATCH($C1490&amp;"|"&amp;$A1490&amp;"|"&amp;($S1490-1),$V$6:$V$1505,0)),""))</f>
        <v/>
      </c>
      <c r="X1490" s="32">
        <f>IF(OR($W1490="",$Q1490="",LEFT($Q1490,1)="—"),"",IF($W1490=$Q1490,"ללא שינוי","מ-"&amp;$W1490&amp;" ל-"&amp;$Q1490))</f>
        <v/>
      </c>
    </row>
    <row r="1491">
      <c r="A1491" s="65" t="n"/>
      <c r="B1491" s="65" t="n"/>
      <c r="C1491" s="66" t="n"/>
      <c r="D1491" s="66" t="n"/>
      <c r="E1491" s="65" t="n"/>
      <c r="F1491" s="65" t="n"/>
      <c r="G1491" s="65" t="n"/>
      <c r="H1491" s="65" t="n"/>
      <c r="I1491" s="65" t="n"/>
      <c r="J1491" s="65" t="n"/>
      <c r="K1491" s="65" t="n"/>
      <c r="L1491" s="65" t="n"/>
      <c r="M1491" s="65" t="n"/>
      <c r="N1491" s="65" t="n"/>
      <c r="O1491" s="65" t="n"/>
      <c r="P1491" s="65" t="n"/>
      <c r="Q1491" s="32">
        <f>IF($C1491="","",IF($J1491="","— חסרים נתונים",IF($J1491="טרם מפענח","פרופיל 5",IF($J1491="קמץ/פתח/חטף-פתח ושוואים","פרופיל 4",IF($J1491="2-3 סימני ניקוד","פרופיל 3",IF($J1491="4-5 סימני ניקוד","פרופיל 2",IF(AND($O1491="משפטים וקטעים קצרים",OR($M1491="מבין",$M1491="מבין לרוב")),"פרופיל 1","פרופיל 2")))))))</f>
        <v/>
      </c>
      <c r="R1491" s="32">
        <f>IF($C1491="","",IF(OR($Q1491="",LEFT($Q1491,1)="—"),"קבוצה רביעית",IF($Q1491="פרופיל 5","קבוצת תשתיות",IF(OR($Q1491="פרופיל 4",$Q1491="פרופיל 3"),"קבוצת רכישה","קבוצת ביסוס"))))</f>
        <v/>
      </c>
      <c r="S1491" s="32">
        <f>IF($F1491="","",IF($F1491="תחילת שנה",1,IF($F1491="מחצית שנה",2,3)))</f>
        <v/>
      </c>
      <c r="T1491" s="32">
        <f>IF(OR($B1491="",$R1491="",$A1491="",$F1491=""),"",$B1491&amp;"|"&amp;$A1491&amp;"|"&amp;$F1491&amp;"|"&amp;$R1491&amp;"|"&amp;COUNTIFS($B$6:$B1491,$B1491,$A$6:$A1491,$A1491,$F$6:$F1491,$F1491,$R$6:$R1491,$R1491))</f>
        <v/>
      </c>
      <c r="U1491" s="32">
        <f>IF($C1491="","",$C1491&amp;"|"&amp;COUNTIFS($C$6:$C1491,$C1491))</f>
        <v/>
      </c>
      <c r="V1491" s="32">
        <f>IF(OR($C1491="",$A1491="",$S1491=""),"",$C1491&amp;"|"&amp;$A1491&amp;"|"&amp;$S1491)</f>
        <v/>
      </c>
      <c r="W1491" s="32">
        <f>IF(OR($C1491="",$S1491="",$S1491=1),"",IFERROR(INDEX($Q$6:$Q$1505,MATCH($C1491&amp;"|"&amp;$A1491&amp;"|"&amp;($S1491-1),$V$6:$V$1505,0)),""))</f>
        <v/>
      </c>
      <c r="X1491" s="32">
        <f>IF(OR($W1491="",$Q1491="",LEFT($Q1491,1)="—"),"",IF($W1491=$Q1491,"ללא שינוי","מ-"&amp;$W1491&amp;" ל-"&amp;$Q1491))</f>
        <v/>
      </c>
    </row>
    <row r="1492">
      <c r="A1492" s="65" t="n"/>
      <c r="B1492" s="65" t="n"/>
      <c r="C1492" s="66" t="n"/>
      <c r="D1492" s="66" t="n"/>
      <c r="E1492" s="65" t="n"/>
      <c r="F1492" s="65" t="n"/>
      <c r="G1492" s="65" t="n"/>
      <c r="H1492" s="65" t="n"/>
      <c r="I1492" s="65" t="n"/>
      <c r="J1492" s="65" t="n"/>
      <c r="K1492" s="65" t="n"/>
      <c r="L1492" s="65" t="n"/>
      <c r="M1492" s="65" t="n"/>
      <c r="N1492" s="65" t="n"/>
      <c r="O1492" s="65" t="n"/>
      <c r="P1492" s="65" t="n"/>
      <c r="Q1492" s="32">
        <f>IF($C1492="","",IF($J1492="","— חסרים נתונים",IF($J1492="טרם מפענח","פרופיל 5",IF($J1492="קמץ/פתח/חטף-פתח ושוואים","פרופיל 4",IF($J1492="2-3 סימני ניקוד","פרופיל 3",IF($J1492="4-5 סימני ניקוד","פרופיל 2",IF(AND($O1492="משפטים וקטעים קצרים",OR($M1492="מבין",$M1492="מבין לרוב")),"פרופיל 1","פרופיל 2")))))))</f>
        <v/>
      </c>
      <c r="R1492" s="32">
        <f>IF($C1492="","",IF(OR($Q1492="",LEFT($Q1492,1)="—"),"קבוצה רביעית",IF($Q1492="פרופיל 5","קבוצת תשתיות",IF(OR($Q1492="פרופיל 4",$Q1492="פרופיל 3"),"קבוצת רכישה","קבוצת ביסוס"))))</f>
        <v/>
      </c>
      <c r="S1492" s="32">
        <f>IF($F1492="","",IF($F1492="תחילת שנה",1,IF($F1492="מחצית שנה",2,3)))</f>
        <v/>
      </c>
      <c r="T1492" s="32">
        <f>IF(OR($B1492="",$R1492="",$A1492="",$F1492=""),"",$B1492&amp;"|"&amp;$A1492&amp;"|"&amp;$F1492&amp;"|"&amp;$R1492&amp;"|"&amp;COUNTIFS($B$6:$B1492,$B1492,$A$6:$A1492,$A1492,$F$6:$F1492,$F1492,$R$6:$R1492,$R1492))</f>
        <v/>
      </c>
      <c r="U1492" s="32">
        <f>IF($C1492="","",$C1492&amp;"|"&amp;COUNTIFS($C$6:$C1492,$C1492))</f>
        <v/>
      </c>
      <c r="V1492" s="32">
        <f>IF(OR($C1492="",$A1492="",$S1492=""),"",$C1492&amp;"|"&amp;$A1492&amp;"|"&amp;$S1492)</f>
        <v/>
      </c>
      <c r="W1492" s="32">
        <f>IF(OR($C1492="",$S1492="",$S1492=1),"",IFERROR(INDEX($Q$6:$Q$1505,MATCH($C1492&amp;"|"&amp;$A1492&amp;"|"&amp;($S1492-1),$V$6:$V$1505,0)),""))</f>
        <v/>
      </c>
      <c r="X1492" s="32">
        <f>IF(OR($W1492="",$Q1492="",LEFT($Q1492,1)="—"),"",IF($W1492=$Q1492,"ללא שינוי","מ-"&amp;$W1492&amp;" ל-"&amp;$Q1492))</f>
        <v/>
      </c>
    </row>
    <row r="1493">
      <c r="A1493" s="65" t="n"/>
      <c r="B1493" s="65" t="n"/>
      <c r="C1493" s="66" t="n"/>
      <c r="D1493" s="66" t="n"/>
      <c r="E1493" s="65" t="n"/>
      <c r="F1493" s="65" t="n"/>
      <c r="G1493" s="65" t="n"/>
      <c r="H1493" s="65" t="n"/>
      <c r="I1493" s="65" t="n"/>
      <c r="J1493" s="65" t="n"/>
      <c r="K1493" s="65" t="n"/>
      <c r="L1493" s="65" t="n"/>
      <c r="M1493" s="65" t="n"/>
      <c r="N1493" s="65" t="n"/>
      <c r="O1493" s="65" t="n"/>
      <c r="P1493" s="65" t="n"/>
      <c r="Q1493" s="32">
        <f>IF($C1493="","",IF($J1493="","— חסרים נתונים",IF($J1493="טרם מפענח","פרופיל 5",IF($J1493="קמץ/פתח/חטף-פתח ושוואים","פרופיל 4",IF($J1493="2-3 סימני ניקוד","פרופיל 3",IF($J1493="4-5 סימני ניקוד","פרופיל 2",IF(AND($O1493="משפטים וקטעים קצרים",OR($M1493="מבין",$M1493="מבין לרוב")),"פרופיל 1","פרופיל 2")))))))</f>
        <v/>
      </c>
      <c r="R1493" s="32">
        <f>IF($C1493="","",IF(OR($Q1493="",LEFT($Q1493,1)="—"),"קבוצה רביעית",IF($Q1493="פרופיל 5","קבוצת תשתיות",IF(OR($Q1493="פרופיל 4",$Q1493="פרופיל 3"),"קבוצת רכישה","קבוצת ביסוס"))))</f>
        <v/>
      </c>
      <c r="S1493" s="32">
        <f>IF($F1493="","",IF($F1493="תחילת שנה",1,IF($F1493="מחצית שנה",2,3)))</f>
        <v/>
      </c>
      <c r="T1493" s="32">
        <f>IF(OR($B1493="",$R1493="",$A1493="",$F1493=""),"",$B1493&amp;"|"&amp;$A1493&amp;"|"&amp;$F1493&amp;"|"&amp;$R1493&amp;"|"&amp;COUNTIFS($B$6:$B1493,$B1493,$A$6:$A1493,$A1493,$F$6:$F1493,$F1493,$R$6:$R1493,$R1493))</f>
        <v/>
      </c>
      <c r="U1493" s="32">
        <f>IF($C1493="","",$C1493&amp;"|"&amp;COUNTIFS($C$6:$C1493,$C1493))</f>
        <v/>
      </c>
      <c r="V1493" s="32">
        <f>IF(OR($C1493="",$A1493="",$S1493=""),"",$C1493&amp;"|"&amp;$A1493&amp;"|"&amp;$S1493)</f>
        <v/>
      </c>
      <c r="W1493" s="32">
        <f>IF(OR($C1493="",$S1493="",$S1493=1),"",IFERROR(INDEX($Q$6:$Q$1505,MATCH($C1493&amp;"|"&amp;$A1493&amp;"|"&amp;($S1493-1),$V$6:$V$1505,0)),""))</f>
        <v/>
      </c>
      <c r="X1493" s="32">
        <f>IF(OR($W1493="",$Q1493="",LEFT($Q1493,1)="—"),"",IF($W1493=$Q1493,"ללא שינוי","מ-"&amp;$W1493&amp;" ל-"&amp;$Q1493))</f>
        <v/>
      </c>
    </row>
    <row r="1494">
      <c r="A1494" s="65" t="n"/>
      <c r="B1494" s="65" t="n"/>
      <c r="C1494" s="66" t="n"/>
      <c r="D1494" s="66" t="n"/>
      <c r="E1494" s="65" t="n"/>
      <c r="F1494" s="65" t="n"/>
      <c r="G1494" s="65" t="n"/>
      <c r="H1494" s="65" t="n"/>
      <c r="I1494" s="65" t="n"/>
      <c r="J1494" s="65" t="n"/>
      <c r="K1494" s="65" t="n"/>
      <c r="L1494" s="65" t="n"/>
      <c r="M1494" s="65" t="n"/>
      <c r="N1494" s="65" t="n"/>
      <c r="O1494" s="65" t="n"/>
      <c r="P1494" s="65" t="n"/>
      <c r="Q1494" s="32">
        <f>IF($C1494="","",IF($J1494="","— חסרים נתונים",IF($J1494="טרם מפענח","פרופיל 5",IF($J1494="קמץ/פתח/חטף-פתח ושוואים","פרופיל 4",IF($J1494="2-3 סימני ניקוד","פרופיל 3",IF($J1494="4-5 סימני ניקוד","פרופיל 2",IF(AND($O1494="משפטים וקטעים קצרים",OR($M1494="מבין",$M1494="מבין לרוב")),"פרופיל 1","פרופיל 2")))))))</f>
        <v/>
      </c>
      <c r="R1494" s="32">
        <f>IF($C1494="","",IF(OR($Q1494="",LEFT($Q1494,1)="—"),"קבוצה רביעית",IF($Q1494="פרופיל 5","קבוצת תשתיות",IF(OR($Q1494="פרופיל 4",$Q1494="פרופיל 3"),"קבוצת רכישה","קבוצת ביסוס"))))</f>
        <v/>
      </c>
      <c r="S1494" s="32">
        <f>IF($F1494="","",IF($F1494="תחילת שנה",1,IF($F1494="מחצית שנה",2,3)))</f>
        <v/>
      </c>
      <c r="T1494" s="32">
        <f>IF(OR($B1494="",$R1494="",$A1494="",$F1494=""),"",$B1494&amp;"|"&amp;$A1494&amp;"|"&amp;$F1494&amp;"|"&amp;$R1494&amp;"|"&amp;COUNTIFS($B$6:$B1494,$B1494,$A$6:$A1494,$A1494,$F$6:$F1494,$F1494,$R$6:$R1494,$R1494))</f>
        <v/>
      </c>
      <c r="U1494" s="32">
        <f>IF($C1494="","",$C1494&amp;"|"&amp;COUNTIFS($C$6:$C1494,$C1494))</f>
        <v/>
      </c>
      <c r="V1494" s="32">
        <f>IF(OR($C1494="",$A1494="",$S1494=""),"",$C1494&amp;"|"&amp;$A1494&amp;"|"&amp;$S1494)</f>
        <v/>
      </c>
      <c r="W1494" s="32">
        <f>IF(OR($C1494="",$S1494="",$S1494=1),"",IFERROR(INDEX($Q$6:$Q$1505,MATCH($C1494&amp;"|"&amp;$A1494&amp;"|"&amp;($S1494-1),$V$6:$V$1505,0)),""))</f>
        <v/>
      </c>
      <c r="X1494" s="32">
        <f>IF(OR($W1494="",$Q1494="",LEFT($Q1494,1)="—"),"",IF($W1494=$Q1494,"ללא שינוי","מ-"&amp;$W1494&amp;" ל-"&amp;$Q1494))</f>
        <v/>
      </c>
    </row>
    <row r="1495">
      <c r="A1495" s="65" t="n"/>
      <c r="B1495" s="65" t="n"/>
      <c r="C1495" s="66" t="n"/>
      <c r="D1495" s="66" t="n"/>
      <c r="E1495" s="65" t="n"/>
      <c r="F1495" s="65" t="n"/>
      <c r="G1495" s="65" t="n"/>
      <c r="H1495" s="65" t="n"/>
      <c r="I1495" s="65" t="n"/>
      <c r="J1495" s="65" t="n"/>
      <c r="K1495" s="65" t="n"/>
      <c r="L1495" s="65" t="n"/>
      <c r="M1495" s="65" t="n"/>
      <c r="N1495" s="65" t="n"/>
      <c r="O1495" s="65" t="n"/>
      <c r="P1495" s="65" t="n"/>
      <c r="Q1495" s="32">
        <f>IF($C1495="","",IF($J1495="","— חסרים נתונים",IF($J1495="טרם מפענח","פרופיל 5",IF($J1495="קמץ/פתח/חטף-פתח ושוואים","פרופיל 4",IF($J1495="2-3 סימני ניקוד","פרופיל 3",IF($J1495="4-5 סימני ניקוד","פרופיל 2",IF(AND($O1495="משפטים וקטעים קצרים",OR($M1495="מבין",$M1495="מבין לרוב")),"פרופיל 1","פרופיל 2")))))))</f>
        <v/>
      </c>
      <c r="R1495" s="32">
        <f>IF($C1495="","",IF(OR($Q1495="",LEFT($Q1495,1)="—"),"קבוצה רביעית",IF($Q1495="פרופיל 5","קבוצת תשתיות",IF(OR($Q1495="פרופיל 4",$Q1495="פרופיל 3"),"קבוצת רכישה","קבוצת ביסוס"))))</f>
        <v/>
      </c>
      <c r="S1495" s="32">
        <f>IF($F1495="","",IF($F1495="תחילת שנה",1,IF($F1495="מחצית שנה",2,3)))</f>
        <v/>
      </c>
      <c r="T1495" s="32">
        <f>IF(OR($B1495="",$R1495="",$A1495="",$F1495=""),"",$B1495&amp;"|"&amp;$A1495&amp;"|"&amp;$F1495&amp;"|"&amp;$R1495&amp;"|"&amp;COUNTIFS($B$6:$B1495,$B1495,$A$6:$A1495,$A1495,$F$6:$F1495,$F1495,$R$6:$R1495,$R1495))</f>
        <v/>
      </c>
      <c r="U1495" s="32">
        <f>IF($C1495="","",$C1495&amp;"|"&amp;COUNTIFS($C$6:$C1495,$C1495))</f>
        <v/>
      </c>
      <c r="V1495" s="32">
        <f>IF(OR($C1495="",$A1495="",$S1495=""),"",$C1495&amp;"|"&amp;$A1495&amp;"|"&amp;$S1495)</f>
        <v/>
      </c>
      <c r="W1495" s="32">
        <f>IF(OR($C1495="",$S1495="",$S1495=1),"",IFERROR(INDEX($Q$6:$Q$1505,MATCH($C1495&amp;"|"&amp;$A1495&amp;"|"&amp;($S1495-1),$V$6:$V$1505,0)),""))</f>
        <v/>
      </c>
      <c r="X1495" s="32">
        <f>IF(OR($W1495="",$Q1495="",LEFT($Q1495,1)="—"),"",IF($W1495=$Q1495,"ללא שינוי","מ-"&amp;$W1495&amp;" ל-"&amp;$Q1495))</f>
        <v/>
      </c>
    </row>
    <row r="1496">
      <c r="A1496" s="65" t="n"/>
      <c r="B1496" s="65" t="n"/>
      <c r="C1496" s="66" t="n"/>
      <c r="D1496" s="66" t="n"/>
      <c r="E1496" s="65" t="n"/>
      <c r="F1496" s="65" t="n"/>
      <c r="G1496" s="65" t="n"/>
      <c r="H1496" s="65" t="n"/>
      <c r="I1496" s="65" t="n"/>
      <c r="J1496" s="65" t="n"/>
      <c r="K1496" s="65" t="n"/>
      <c r="L1496" s="65" t="n"/>
      <c r="M1496" s="65" t="n"/>
      <c r="N1496" s="65" t="n"/>
      <c r="O1496" s="65" t="n"/>
      <c r="P1496" s="65" t="n"/>
      <c r="Q1496" s="32">
        <f>IF($C1496="","",IF($J1496="","— חסרים נתונים",IF($J1496="טרם מפענח","פרופיל 5",IF($J1496="קמץ/פתח/חטף-פתח ושוואים","פרופיל 4",IF($J1496="2-3 סימני ניקוד","פרופיל 3",IF($J1496="4-5 סימני ניקוד","פרופיל 2",IF(AND($O1496="משפטים וקטעים קצרים",OR($M1496="מבין",$M1496="מבין לרוב")),"פרופיל 1","פרופיל 2")))))))</f>
        <v/>
      </c>
      <c r="R1496" s="32">
        <f>IF($C1496="","",IF(OR($Q1496="",LEFT($Q1496,1)="—"),"קבוצה רביעית",IF($Q1496="פרופיל 5","קבוצת תשתיות",IF(OR($Q1496="פרופיל 4",$Q1496="פרופיל 3"),"קבוצת רכישה","קבוצת ביסוס"))))</f>
        <v/>
      </c>
      <c r="S1496" s="32">
        <f>IF($F1496="","",IF($F1496="תחילת שנה",1,IF($F1496="מחצית שנה",2,3)))</f>
        <v/>
      </c>
      <c r="T1496" s="32">
        <f>IF(OR($B1496="",$R1496="",$A1496="",$F1496=""),"",$B1496&amp;"|"&amp;$A1496&amp;"|"&amp;$F1496&amp;"|"&amp;$R1496&amp;"|"&amp;COUNTIFS($B$6:$B1496,$B1496,$A$6:$A1496,$A1496,$F$6:$F1496,$F1496,$R$6:$R1496,$R1496))</f>
        <v/>
      </c>
      <c r="U1496" s="32">
        <f>IF($C1496="","",$C1496&amp;"|"&amp;COUNTIFS($C$6:$C1496,$C1496))</f>
        <v/>
      </c>
      <c r="V1496" s="32">
        <f>IF(OR($C1496="",$A1496="",$S1496=""),"",$C1496&amp;"|"&amp;$A1496&amp;"|"&amp;$S1496)</f>
        <v/>
      </c>
      <c r="W1496" s="32">
        <f>IF(OR($C1496="",$S1496="",$S1496=1),"",IFERROR(INDEX($Q$6:$Q$1505,MATCH($C1496&amp;"|"&amp;$A1496&amp;"|"&amp;($S1496-1),$V$6:$V$1505,0)),""))</f>
        <v/>
      </c>
      <c r="X1496" s="32">
        <f>IF(OR($W1496="",$Q1496="",LEFT($Q1496,1)="—"),"",IF($W1496=$Q1496,"ללא שינוי","מ-"&amp;$W1496&amp;" ל-"&amp;$Q1496))</f>
        <v/>
      </c>
    </row>
    <row r="1497">
      <c r="A1497" s="65" t="n"/>
      <c r="B1497" s="65" t="n"/>
      <c r="C1497" s="66" t="n"/>
      <c r="D1497" s="66" t="n"/>
      <c r="E1497" s="65" t="n"/>
      <c r="F1497" s="65" t="n"/>
      <c r="G1497" s="65" t="n"/>
      <c r="H1497" s="65" t="n"/>
      <c r="I1497" s="65" t="n"/>
      <c r="J1497" s="65" t="n"/>
      <c r="K1497" s="65" t="n"/>
      <c r="L1497" s="65" t="n"/>
      <c r="M1497" s="65" t="n"/>
      <c r="N1497" s="65" t="n"/>
      <c r="O1497" s="65" t="n"/>
      <c r="P1497" s="65" t="n"/>
      <c r="Q1497" s="32">
        <f>IF($C1497="","",IF($J1497="","— חסרים נתונים",IF($J1497="טרם מפענח","פרופיל 5",IF($J1497="קמץ/פתח/חטף-פתח ושוואים","פרופיל 4",IF($J1497="2-3 סימני ניקוד","פרופיל 3",IF($J1497="4-5 סימני ניקוד","פרופיל 2",IF(AND($O1497="משפטים וקטעים קצרים",OR($M1497="מבין",$M1497="מבין לרוב")),"פרופיל 1","פרופיל 2")))))))</f>
        <v/>
      </c>
      <c r="R1497" s="32">
        <f>IF($C1497="","",IF(OR($Q1497="",LEFT($Q1497,1)="—"),"קבוצה רביעית",IF($Q1497="פרופיל 5","קבוצת תשתיות",IF(OR($Q1497="פרופיל 4",$Q1497="פרופיל 3"),"קבוצת רכישה","קבוצת ביסוס"))))</f>
        <v/>
      </c>
      <c r="S1497" s="32">
        <f>IF($F1497="","",IF($F1497="תחילת שנה",1,IF($F1497="מחצית שנה",2,3)))</f>
        <v/>
      </c>
      <c r="T1497" s="32">
        <f>IF(OR($B1497="",$R1497="",$A1497="",$F1497=""),"",$B1497&amp;"|"&amp;$A1497&amp;"|"&amp;$F1497&amp;"|"&amp;$R1497&amp;"|"&amp;COUNTIFS($B$6:$B1497,$B1497,$A$6:$A1497,$A1497,$F$6:$F1497,$F1497,$R$6:$R1497,$R1497))</f>
        <v/>
      </c>
      <c r="U1497" s="32">
        <f>IF($C1497="","",$C1497&amp;"|"&amp;COUNTIFS($C$6:$C1497,$C1497))</f>
        <v/>
      </c>
      <c r="V1497" s="32">
        <f>IF(OR($C1497="",$A1497="",$S1497=""),"",$C1497&amp;"|"&amp;$A1497&amp;"|"&amp;$S1497)</f>
        <v/>
      </c>
      <c r="W1497" s="32">
        <f>IF(OR($C1497="",$S1497="",$S1497=1),"",IFERROR(INDEX($Q$6:$Q$1505,MATCH($C1497&amp;"|"&amp;$A1497&amp;"|"&amp;($S1497-1),$V$6:$V$1505,0)),""))</f>
        <v/>
      </c>
      <c r="X1497" s="32">
        <f>IF(OR($W1497="",$Q1497="",LEFT($Q1497,1)="—"),"",IF($W1497=$Q1497,"ללא שינוי","מ-"&amp;$W1497&amp;" ל-"&amp;$Q1497))</f>
        <v/>
      </c>
    </row>
    <row r="1498">
      <c r="A1498" s="65" t="n"/>
      <c r="B1498" s="65" t="n"/>
      <c r="C1498" s="66" t="n"/>
      <c r="D1498" s="66" t="n"/>
      <c r="E1498" s="65" t="n"/>
      <c r="F1498" s="65" t="n"/>
      <c r="G1498" s="65" t="n"/>
      <c r="H1498" s="65" t="n"/>
      <c r="I1498" s="65" t="n"/>
      <c r="J1498" s="65" t="n"/>
      <c r="K1498" s="65" t="n"/>
      <c r="L1498" s="65" t="n"/>
      <c r="M1498" s="65" t="n"/>
      <c r="N1498" s="65" t="n"/>
      <c r="O1498" s="65" t="n"/>
      <c r="P1498" s="65" t="n"/>
      <c r="Q1498" s="32">
        <f>IF($C1498="","",IF($J1498="","— חסרים נתונים",IF($J1498="טרם מפענח","פרופיל 5",IF($J1498="קמץ/פתח/חטף-פתח ושוואים","פרופיל 4",IF($J1498="2-3 סימני ניקוד","פרופיל 3",IF($J1498="4-5 סימני ניקוד","פרופיל 2",IF(AND($O1498="משפטים וקטעים קצרים",OR($M1498="מבין",$M1498="מבין לרוב")),"פרופיל 1","פרופיל 2")))))))</f>
        <v/>
      </c>
      <c r="R1498" s="32">
        <f>IF($C1498="","",IF(OR($Q1498="",LEFT($Q1498,1)="—"),"קבוצה רביעית",IF($Q1498="פרופיל 5","קבוצת תשתיות",IF(OR($Q1498="פרופיל 4",$Q1498="פרופיל 3"),"קבוצת רכישה","קבוצת ביסוס"))))</f>
        <v/>
      </c>
      <c r="S1498" s="32">
        <f>IF($F1498="","",IF($F1498="תחילת שנה",1,IF($F1498="מחצית שנה",2,3)))</f>
        <v/>
      </c>
      <c r="T1498" s="32">
        <f>IF(OR($B1498="",$R1498="",$A1498="",$F1498=""),"",$B1498&amp;"|"&amp;$A1498&amp;"|"&amp;$F1498&amp;"|"&amp;$R1498&amp;"|"&amp;COUNTIFS($B$6:$B1498,$B1498,$A$6:$A1498,$A1498,$F$6:$F1498,$F1498,$R$6:$R1498,$R1498))</f>
        <v/>
      </c>
      <c r="U1498" s="32">
        <f>IF($C1498="","",$C1498&amp;"|"&amp;COUNTIFS($C$6:$C1498,$C1498))</f>
        <v/>
      </c>
      <c r="V1498" s="32">
        <f>IF(OR($C1498="",$A1498="",$S1498=""),"",$C1498&amp;"|"&amp;$A1498&amp;"|"&amp;$S1498)</f>
        <v/>
      </c>
      <c r="W1498" s="32">
        <f>IF(OR($C1498="",$S1498="",$S1498=1),"",IFERROR(INDEX($Q$6:$Q$1505,MATCH($C1498&amp;"|"&amp;$A1498&amp;"|"&amp;($S1498-1),$V$6:$V$1505,0)),""))</f>
        <v/>
      </c>
      <c r="X1498" s="32">
        <f>IF(OR($W1498="",$Q1498="",LEFT($Q1498,1)="—"),"",IF($W1498=$Q1498,"ללא שינוי","מ-"&amp;$W1498&amp;" ל-"&amp;$Q1498))</f>
        <v/>
      </c>
    </row>
    <row r="1499">
      <c r="A1499" s="65" t="n"/>
      <c r="B1499" s="65" t="n"/>
      <c r="C1499" s="66" t="n"/>
      <c r="D1499" s="66" t="n"/>
      <c r="E1499" s="65" t="n"/>
      <c r="F1499" s="65" t="n"/>
      <c r="G1499" s="65" t="n"/>
      <c r="H1499" s="65" t="n"/>
      <c r="I1499" s="65" t="n"/>
      <c r="J1499" s="65" t="n"/>
      <c r="K1499" s="65" t="n"/>
      <c r="L1499" s="65" t="n"/>
      <c r="M1499" s="65" t="n"/>
      <c r="N1499" s="65" t="n"/>
      <c r="O1499" s="65" t="n"/>
      <c r="P1499" s="65" t="n"/>
      <c r="Q1499" s="32">
        <f>IF($C1499="","",IF($J1499="","— חסרים נתונים",IF($J1499="טרם מפענח","פרופיל 5",IF($J1499="קמץ/פתח/חטף-פתח ושוואים","פרופיל 4",IF($J1499="2-3 סימני ניקוד","פרופיל 3",IF($J1499="4-5 סימני ניקוד","פרופיל 2",IF(AND($O1499="משפטים וקטעים קצרים",OR($M1499="מבין",$M1499="מבין לרוב")),"פרופיל 1","פרופיל 2")))))))</f>
        <v/>
      </c>
      <c r="R1499" s="32">
        <f>IF($C1499="","",IF(OR($Q1499="",LEFT($Q1499,1)="—"),"קבוצה רביעית",IF($Q1499="פרופיל 5","קבוצת תשתיות",IF(OR($Q1499="פרופיל 4",$Q1499="פרופיל 3"),"קבוצת רכישה","קבוצת ביסוס"))))</f>
        <v/>
      </c>
      <c r="S1499" s="32">
        <f>IF($F1499="","",IF($F1499="תחילת שנה",1,IF($F1499="מחצית שנה",2,3)))</f>
        <v/>
      </c>
      <c r="T1499" s="32">
        <f>IF(OR($B1499="",$R1499="",$A1499="",$F1499=""),"",$B1499&amp;"|"&amp;$A1499&amp;"|"&amp;$F1499&amp;"|"&amp;$R1499&amp;"|"&amp;COUNTIFS($B$6:$B1499,$B1499,$A$6:$A1499,$A1499,$F$6:$F1499,$F1499,$R$6:$R1499,$R1499))</f>
        <v/>
      </c>
      <c r="U1499" s="32">
        <f>IF($C1499="","",$C1499&amp;"|"&amp;COUNTIFS($C$6:$C1499,$C1499))</f>
        <v/>
      </c>
      <c r="V1499" s="32">
        <f>IF(OR($C1499="",$A1499="",$S1499=""),"",$C1499&amp;"|"&amp;$A1499&amp;"|"&amp;$S1499)</f>
        <v/>
      </c>
      <c r="W1499" s="32">
        <f>IF(OR($C1499="",$S1499="",$S1499=1),"",IFERROR(INDEX($Q$6:$Q$1505,MATCH($C1499&amp;"|"&amp;$A1499&amp;"|"&amp;($S1499-1),$V$6:$V$1505,0)),""))</f>
        <v/>
      </c>
      <c r="X1499" s="32">
        <f>IF(OR($W1499="",$Q1499="",LEFT($Q1499,1)="—"),"",IF($W1499=$Q1499,"ללא שינוי","מ-"&amp;$W1499&amp;" ל-"&amp;$Q1499))</f>
        <v/>
      </c>
    </row>
    <row r="1500">
      <c r="A1500" s="65" t="n"/>
      <c r="B1500" s="65" t="n"/>
      <c r="C1500" s="66" t="n"/>
      <c r="D1500" s="66" t="n"/>
      <c r="E1500" s="65" t="n"/>
      <c r="F1500" s="65" t="n"/>
      <c r="G1500" s="65" t="n"/>
      <c r="H1500" s="65" t="n"/>
      <c r="I1500" s="65" t="n"/>
      <c r="J1500" s="65" t="n"/>
      <c r="K1500" s="65" t="n"/>
      <c r="L1500" s="65" t="n"/>
      <c r="M1500" s="65" t="n"/>
      <c r="N1500" s="65" t="n"/>
      <c r="O1500" s="65" t="n"/>
      <c r="P1500" s="65" t="n"/>
      <c r="Q1500" s="32">
        <f>IF($C1500="","",IF($J1500="","— חסרים נתונים",IF($J1500="טרם מפענח","פרופיל 5",IF($J1500="קמץ/פתח/חטף-פתח ושוואים","פרופיל 4",IF($J1500="2-3 סימני ניקוד","פרופיל 3",IF($J1500="4-5 סימני ניקוד","פרופיל 2",IF(AND($O1500="משפטים וקטעים קצרים",OR($M1500="מבין",$M1500="מבין לרוב")),"פרופיל 1","פרופיל 2")))))))</f>
        <v/>
      </c>
      <c r="R1500" s="32">
        <f>IF($C1500="","",IF(OR($Q1500="",LEFT($Q1500,1)="—"),"קבוצה רביעית",IF($Q1500="פרופיל 5","קבוצת תשתיות",IF(OR($Q1500="פרופיל 4",$Q1500="פרופיל 3"),"קבוצת רכישה","קבוצת ביסוס"))))</f>
        <v/>
      </c>
      <c r="S1500" s="32">
        <f>IF($F1500="","",IF($F1500="תחילת שנה",1,IF($F1500="מחצית שנה",2,3)))</f>
        <v/>
      </c>
      <c r="T1500" s="32">
        <f>IF(OR($B1500="",$R1500="",$A1500="",$F1500=""),"",$B1500&amp;"|"&amp;$A1500&amp;"|"&amp;$F1500&amp;"|"&amp;$R1500&amp;"|"&amp;COUNTIFS($B$6:$B1500,$B1500,$A$6:$A1500,$A1500,$F$6:$F1500,$F1500,$R$6:$R1500,$R1500))</f>
        <v/>
      </c>
      <c r="U1500" s="32">
        <f>IF($C1500="","",$C1500&amp;"|"&amp;COUNTIFS($C$6:$C1500,$C1500))</f>
        <v/>
      </c>
      <c r="V1500" s="32">
        <f>IF(OR($C1500="",$A1500="",$S1500=""),"",$C1500&amp;"|"&amp;$A1500&amp;"|"&amp;$S1500)</f>
        <v/>
      </c>
      <c r="W1500" s="32">
        <f>IF(OR($C1500="",$S1500="",$S1500=1),"",IFERROR(INDEX($Q$6:$Q$1505,MATCH($C1500&amp;"|"&amp;$A1500&amp;"|"&amp;($S1500-1),$V$6:$V$1505,0)),""))</f>
        <v/>
      </c>
      <c r="X1500" s="32">
        <f>IF(OR($W1500="",$Q1500="",LEFT($Q1500,1)="—"),"",IF($W1500=$Q1500,"ללא שינוי","מ-"&amp;$W1500&amp;" ל-"&amp;$Q1500))</f>
        <v/>
      </c>
    </row>
    <row r="1501">
      <c r="A1501" s="65" t="n"/>
      <c r="B1501" s="65" t="n"/>
      <c r="C1501" s="66" t="n"/>
      <c r="D1501" s="66" t="n"/>
      <c r="E1501" s="65" t="n"/>
      <c r="F1501" s="65" t="n"/>
      <c r="G1501" s="65" t="n"/>
      <c r="H1501" s="65" t="n"/>
      <c r="I1501" s="65" t="n"/>
      <c r="J1501" s="65" t="n"/>
      <c r="K1501" s="65" t="n"/>
      <c r="L1501" s="65" t="n"/>
      <c r="M1501" s="65" t="n"/>
      <c r="N1501" s="65" t="n"/>
      <c r="O1501" s="65" t="n"/>
      <c r="P1501" s="65" t="n"/>
      <c r="Q1501" s="32">
        <f>IF($C1501="","",IF($J1501="","— חסרים נתונים",IF($J1501="טרם מפענח","פרופיל 5",IF($J1501="קמץ/פתח/חטף-פתח ושוואים","פרופיל 4",IF($J1501="2-3 סימני ניקוד","פרופיל 3",IF($J1501="4-5 סימני ניקוד","פרופיל 2",IF(AND($O1501="משפטים וקטעים קצרים",OR($M1501="מבין",$M1501="מבין לרוב")),"פרופיל 1","פרופיל 2")))))))</f>
        <v/>
      </c>
      <c r="R1501" s="32">
        <f>IF($C1501="","",IF(OR($Q1501="",LEFT($Q1501,1)="—"),"קבוצה רביעית",IF($Q1501="פרופיל 5","קבוצת תשתיות",IF(OR($Q1501="פרופיל 4",$Q1501="פרופיל 3"),"קבוצת רכישה","קבוצת ביסוס"))))</f>
        <v/>
      </c>
      <c r="S1501" s="32">
        <f>IF($F1501="","",IF($F1501="תחילת שנה",1,IF($F1501="מחצית שנה",2,3)))</f>
        <v/>
      </c>
      <c r="T1501" s="32">
        <f>IF(OR($B1501="",$R1501="",$A1501="",$F1501=""),"",$B1501&amp;"|"&amp;$A1501&amp;"|"&amp;$F1501&amp;"|"&amp;$R1501&amp;"|"&amp;COUNTIFS($B$6:$B1501,$B1501,$A$6:$A1501,$A1501,$F$6:$F1501,$F1501,$R$6:$R1501,$R1501))</f>
        <v/>
      </c>
      <c r="U1501" s="32">
        <f>IF($C1501="","",$C1501&amp;"|"&amp;COUNTIFS($C$6:$C1501,$C1501))</f>
        <v/>
      </c>
      <c r="V1501" s="32">
        <f>IF(OR($C1501="",$A1501="",$S1501=""),"",$C1501&amp;"|"&amp;$A1501&amp;"|"&amp;$S1501)</f>
        <v/>
      </c>
      <c r="W1501" s="32">
        <f>IF(OR($C1501="",$S1501="",$S1501=1),"",IFERROR(INDEX($Q$6:$Q$1505,MATCH($C1501&amp;"|"&amp;$A1501&amp;"|"&amp;($S1501-1),$V$6:$V$1505,0)),""))</f>
        <v/>
      </c>
      <c r="X1501" s="32">
        <f>IF(OR($W1501="",$Q1501="",LEFT($Q1501,1)="—"),"",IF($W1501=$Q1501,"ללא שינוי","מ-"&amp;$W1501&amp;" ל-"&amp;$Q1501))</f>
        <v/>
      </c>
    </row>
    <row r="1502">
      <c r="A1502" s="65" t="n"/>
      <c r="B1502" s="65" t="n"/>
      <c r="C1502" s="66" t="n"/>
      <c r="D1502" s="66" t="n"/>
      <c r="E1502" s="65" t="n"/>
      <c r="F1502" s="65" t="n"/>
      <c r="G1502" s="65" t="n"/>
      <c r="H1502" s="65" t="n"/>
      <c r="I1502" s="65" t="n"/>
      <c r="J1502" s="65" t="n"/>
      <c r="K1502" s="65" t="n"/>
      <c r="L1502" s="65" t="n"/>
      <c r="M1502" s="65" t="n"/>
      <c r="N1502" s="65" t="n"/>
      <c r="O1502" s="65" t="n"/>
      <c r="P1502" s="65" t="n"/>
      <c r="Q1502" s="32">
        <f>IF($C1502="","",IF($J1502="","— חסרים נתונים",IF($J1502="טרם מפענח","פרופיל 5",IF($J1502="קמץ/פתח/חטף-פתח ושוואים","פרופיל 4",IF($J1502="2-3 סימני ניקוד","פרופיל 3",IF($J1502="4-5 סימני ניקוד","פרופיל 2",IF(AND($O1502="משפטים וקטעים קצרים",OR($M1502="מבין",$M1502="מבין לרוב")),"פרופיל 1","פרופיל 2")))))))</f>
        <v/>
      </c>
      <c r="R1502" s="32">
        <f>IF($C1502="","",IF(OR($Q1502="",LEFT($Q1502,1)="—"),"קבוצה רביעית",IF($Q1502="פרופיל 5","קבוצת תשתיות",IF(OR($Q1502="פרופיל 4",$Q1502="פרופיל 3"),"קבוצת רכישה","קבוצת ביסוס"))))</f>
        <v/>
      </c>
      <c r="S1502" s="32">
        <f>IF($F1502="","",IF($F1502="תחילת שנה",1,IF($F1502="מחצית שנה",2,3)))</f>
        <v/>
      </c>
      <c r="T1502" s="32">
        <f>IF(OR($B1502="",$R1502="",$A1502="",$F1502=""),"",$B1502&amp;"|"&amp;$A1502&amp;"|"&amp;$F1502&amp;"|"&amp;$R1502&amp;"|"&amp;COUNTIFS($B$6:$B1502,$B1502,$A$6:$A1502,$A1502,$F$6:$F1502,$F1502,$R$6:$R1502,$R1502))</f>
        <v/>
      </c>
      <c r="U1502" s="32">
        <f>IF($C1502="","",$C1502&amp;"|"&amp;COUNTIFS($C$6:$C1502,$C1502))</f>
        <v/>
      </c>
      <c r="V1502" s="32">
        <f>IF(OR($C1502="",$A1502="",$S1502=""),"",$C1502&amp;"|"&amp;$A1502&amp;"|"&amp;$S1502)</f>
        <v/>
      </c>
      <c r="W1502" s="32">
        <f>IF(OR($C1502="",$S1502="",$S1502=1),"",IFERROR(INDEX($Q$6:$Q$1505,MATCH($C1502&amp;"|"&amp;$A1502&amp;"|"&amp;($S1502-1),$V$6:$V$1505,0)),""))</f>
        <v/>
      </c>
      <c r="X1502" s="32">
        <f>IF(OR($W1502="",$Q1502="",LEFT($Q1502,1)="—"),"",IF($W1502=$Q1502,"ללא שינוי","מ-"&amp;$W1502&amp;" ל-"&amp;$Q1502))</f>
        <v/>
      </c>
    </row>
    <row r="1503">
      <c r="A1503" s="65" t="n"/>
      <c r="B1503" s="65" t="n"/>
      <c r="C1503" s="66" t="n"/>
      <c r="D1503" s="66" t="n"/>
      <c r="E1503" s="65" t="n"/>
      <c r="F1503" s="65" t="n"/>
      <c r="G1503" s="65" t="n"/>
      <c r="H1503" s="65" t="n"/>
      <c r="I1503" s="65" t="n"/>
      <c r="J1503" s="65" t="n"/>
      <c r="K1503" s="65" t="n"/>
      <c r="L1503" s="65" t="n"/>
      <c r="M1503" s="65" t="n"/>
      <c r="N1503" s="65" t="n"/>
      <c r="O1503" s="65" t="n"/>
      <c r="P1503" s="65" t="n"/>
      <c r="Q1503" s="32">
        <f>IF($C1503="","",IF($J1503="","— חסרים נתונים",IF($J1503="טרם מפענח","פרופיל 5",IF($J1503="קמץ/פתח/חטף-פתח ושוואים","פרופיל 4",IF($J1503="2-3 סימני ניקוד","פרופיל 3",IF($J1503="4-5 סימני ניקוד","פרופיל 2",IF(AND($O1503="משפטים וקטעים קצרים",OR($M1503="מבין",$M1503="מבין לרוב")),"פרופיל 1","פרופיל 2")))))))</f>
        <v/>
      </c>
      <c r="R1503" s="32">
        <f>IF($C1503="","",IF(OR($Q1503="",LEFT($Q1503,1)="—"),"קבוצה רביעית",IF($Q1503="פרופיל 5","קבוצת תשתיות",IF(OR($Q1503="פרופיל 4",$Q1503="פרופיל 3"),"קבוצת רכישה","קבוצת ביסוס"))))</f>
        <v/>
      </c>
      <c r="S1503" s="32">
        <f>IF($F1503="","",IF($F1503="תחילת שנה",1,IF($F1503="מחצית שנה",2,3)))</f>
        <v/>
      </c>
      <c r="T1503" s="32">
        <f>IF(OR($B1503="",$R1503="",$A1503="",$F1503=""),"",$B1503&amp;"|"&amp;$A1503&amp;"|"&amp;$F1503&amp;"|"&amp;$R1503&amp;"|"&amp;COUNTIFS($B$6:$B1503,$B1503,$A$6:$A1503,$A1503,$F$6:$F1503,$F1503,$R$6:$R1503,$R1503))</f>
        <v/>
      </c>
      <c r="U1503" s="32">
        <f>IF($C1503="","",$C1503&amp;"|"&amp;COUNTIFS($C$6:$C1503,$C1503))</f>
        <v/>
      </c>
      <c r="V1503" s="32">
        <f>IF(OR($C1503="",$A1503="",$S1503=""),"",$C1503&amp;"|"&amp;$A1503&amp;"|"&amp;$S1503)</f>
        <v/>
      </c>
      <c r="W1503" s="32">
        <f>IF(OR($C1503="",$S1503="",$S1503=1),"",IFERROR(INDEX($Q$6:$Q$1505,MATCH($C1503&amp;"|"&amp;$A1503&amp;"|"&amp;($S1503-1),$V$6:$V$1505,0)),""))</f>
        <v/>
      </c>
      <c r="X1503" s="32">
        <f>IF(OR($W1503="",$Q1503="",LEFT($Q1503,1)="—"),"",IF($W1503=$Q1503,"ללא שינוי","מ-"&amp;$W1503&amp;" ל-"&amp;$Q1503))</f>
        <v/>
      </c>
    </row>
    <row r="1504">
      <c r="A1504" s="65" t="n"/>
      <c r="B1504" s="65" t="n"/>
      <c r="C1504" s="66" t="n"/>
      <c r="D1504" s="66" t="n"/>
      <c r="E1504" s="65" t="n"/>
      <c r="F1504" s="65" t="n"/>
      <c r="G1504" s="65" t="n"/>
      <c r="H1504" s="65" t="n"/>
      <c r="I1504" s="65" t="n"/>
      <c r="J1504" s="65" t="n"/>
      <c r="K1504" s="65" t="n"/>
      <c r="L1504" s="65" t="n"/>
      <c r="M1504" s="65" t="n"/>
      <c r="N1504" s="65" t="n"/>
      <c r="O1504" s="65" t="n"/>
      <c r="P1504" s="65" t="n"/>
      <c r="Q1504" s="32">
        <f>IF($C1504="","",IF($J1504="","— חסרים נתונים",IF($J1504="טרם מפענח","פרופיל 5",IF($J1504="קמץ/פתח/חטף-פתח ושוואים","פרופיל 4",IF($J1504="2-3 סימני ניקוד","פרופיל 3",IF($J1504="4-5 סימני ניקוד","פרופיל 2",IF(AND($O1504="משפטים וקטעים קצרים",OR($M1504="מבין",$M1504="מבין לרוב")),"פרופיל 1","פרופיל 2")))))))</f>
        <v/>
      </c>
      <c r="R1504" s="32">
        <f>IF($C1504="","",IF(OR($Q1504="",LEFT($Q1504,1)="—"),"קבוצה רביעית",IF($Q1504="פרופיל 5","קבוצת תשתיות",IF(OR($Q1504="פרופיל 4",$Q1504="פרופיל 3"),"קבוצת רכישה","קבוצת ביסוס"))))</f>
        <v/>
      </c>
      <c r="S1504" s="32">
        <f>IF($F1504="","",IF($F1504="תחילת שנה",1,IF($F1504="מחצית שנה",2,3)))</f>
        <v/>
      </c>
      <c r="T1504" s="32">
        <f>IF(OR($B1504="",$R1504="",$A1504="",$F1504=""),"",$B1504&amp;"|"&amp;$A1504&amp;"|"&amp;$F1504&amp;"|"&amp;$R1504&amp;"|"&amp;COUNTIFS($B$6:$B1504,$B1504,$A$6:$A1504,$A1504,$F$6:$F1504,$F1504,$R$6:$R1504,$R1504))</f>
        <v/>
      </c>
      <c r="U1504" s="32">
        <f>IF($C1504="","",$C1504&amp;"|"&amp;COUNTIFS($C$6:$C1504,$C1504))</f>
        <v/>
      </c>
      <c r="V1504" s="32">
        <f>IF(OR($C1504="",$A1504="",$S1504=""),"",$C1504&amp;"|"&amp;$A1504&amp;"|"&amp;$S1504)</f>
        <v/>
      </c>
      <c r="W1504" s="32">
        <f>IF(OR($C1504="",$S1504="",$S1504=1),"",IFERROR(INDEX($Q$6:$Q$1505,MATCH($C1504&amp;"|"&amp;$A1504&amp;"|"&amp;($S1504-1),$V$6:$V$1505,0)),""))</f>
        <v/>
      </c>
      <c r="X1504" s="32">
        <f>IF(OR($W1504="",$Q1504="",LEFT($Q1504,1)="—"),"",IF($W1504=$Q1504,"ללא שינוי","מ-"&amp;$W1504&amp;" ל-"&amp;$Q1504))</f>
        <v/>
      </c>
    </row>
    <row r="1505">
      <c r="A1505" s="65" t="n"/>
      <c r="B1505" s="65" t="n"/>
      <c r="C1505" s="66" t="n"/>
      <c r="D1505" s="66" t="n"/>
      <c r="E1505" s="65" t="n"/>
      <c r="F1505" s="65" t="n"/>
      <c r="G1505" s="65" t="n"/>
      <c r="H1505" s="65" t="n"/>
      <c r="I1505" s="65" t="n"/>
      <c r="J1505" s="65" t="n"/>
      <c r="K1505" s="65" t="n"/>
      <c r="L1505" s="65" t="n"/>
      <c r="M1505" s="65" t="n"/>
      <c r="N1505" s="65" t="n"/>
      <c r="O1505" s="65" t="n"/>
      <c r="P1505" s="65" t="n"/>
      <c r="Q1505" s="32">
        <f>IF($C1505="","",IF($J1505="","— חסרים נתונים",IF($J1505="טרם מפענח","פרופיל 5",IF($J1505="קמץ/פתח/חטף-פתח ושוואים","פרופיל 4",IF($J1505="2-3 סימני ניקוד","פרופיל 3",IF($J1505="4-5 סימני ניקוד","פרופיל 2",IF(AND($O1505="משפטים וקטעים קצרים",OR($M1505="מבין",$M1505="מבין לרוב")),"פרופיל 1","פרופיל 2")))))))</f>
        <v/>
      </c>
      <c r="R1505" s="32">
        <f>IF($C1505="","",IF(OR($Q1505="",LEFT($Q1505,1)="—"),"קבוצה רביעית",IF($Q1505="פרופיל 5","קבוצת תשתיות",IF(OR($Q1505="פרופיל 4",$Q1505="פרופיל 3"),"קבוצת רכישה","קבוצת ביסוס"))))</f>
        <v/>
      </c>
      <c r="S1505" s="32">
        <f>IF($F1505="","",IF($F1505="תחילת שנה",1,IF($F1505="מחצית שנה",2,3)))</f>
        <v/>
      </c>
      <c r="T1505" s="32">
        <f>IF(OR($B1505="",$R1505="",$A1505="",$F1505=""),"",$B1505&amp;"|"&amp;$A1505&amp;"|"&amp;$F1505&amp;"|"&amp;$R1505&amp;"|"&amp;COUNTIFS($B$6:$B1505,$B1505,$A$6:$A1505,$A1505,$F$6:$F1505,$F1505,$R$6:$R1505,$R1505))</f>
        <v/>
      </c>
      <c r="U1505" s="32">
        <f>IF($C1505="","",$C1505&amp;"|"&amp;COUNTIFS($C$6:$C1505,$C1505))</f>
        <v/>
      </c>
      <c r="V1505" s="32">
        <f>IF(OR($C1505="",$A1505="",$S1505=""),"",$C1505&amp;"|"&amp;$A1505&amp;"|"&amp;$S1505)</f>
        <v/>
      </c>
      <c r="W1505" s="32">
        <f>IF(OR($C1505="",$S1505="",$S1505=1),"",IFERROR(INDEX($Q$6:$Q$1505,MATCH($C1505&amp;"|"&amp;$A1505&amp;"|"&amp;($S1505-1),$V$6:$V$1505,0)),""))</f>
        <v/>
      </c>
      <c r="X1505" s="32">
        <f>IF(OR($W1505="",$Q1505="",LEFT($Q1505,1)="—"),"",IF($W1505=$Q1505,"ללא שינוי","מ-"&amp;$W1505&amp;" ל-"&amp;$Q1505))</f>
        <v/>
      </c>
    </row>
  </sheetData>
  <mergeCells count="3">
    <mergeCell ref="A4:F4"/>
    <mergeCell ref="G4:P4"/>
    <mergeCell ref="Q4:X4"/>
  </mergeCells>
  <conditionalFormatting sqref="Q6:Q1505">
    <cfRule type="cellIs" priority="1" operator="equal" dxfId="0">
      <formula>"פרופיל 1"</formula>
    </cfRule>
    <cfRule type="cellIs" priority="2" operator="equal" dxfId="1">
      <formula>"פרופיל 2"</formula>
    </cfRule>
    <cfRule type="cellIs" priority="3" operator="equal" dxfId="2">
      <formula>"פרופיל 3"</formula>
    </cfRule>
    <cfRule type="cellIs" priority="4" operator="equal" dxfId="3">
      <formula>"פרופיל 4"</formula>
    </cfRule>
    <cfRule type="cellIs" priority="5" operator="equal" dxfId="4">
      <formula>"פרופיל 5"</formula>
    </cfRule>
  </conditionalFormatting>
  <conditionalFormatting sqref="X6:X1505">
    <cfRule type="cellIs" priority="6" operator="equal" dxfId="2">
      <formula>"ללא שינוי"</formula>
    </cfRule>
  </conditionalFormatting>
  <dataValidations count="13">
    <dataValidation sqref="F6:F1505" showDropDown="0" showInputMessage="1" showErrorMessage="1" allowBlank="1" prompt="ערך לא חוקי - יש לבחור ערך מתוך הרשימה" type="list">
      <formula1>"תחילת שנה,מחצית שנה,סוף השנה"</formula1>
    </dataValidation>
    <dataValidation sqref="H6:H1505" showDropDown="0" showInputMessage="1" showErrorMessage="1" allowBlank="1" prompt="ערך לא חוקי - יש לבחור ערך מתוך הרשימה" type="list">
      <formula1>"מבוססים,חלקיים,ראשוניים"</formula1>
    </dataValidation>
    <dataValidation sqref="J6:J1505" showDropDown="0" showInputMessage="1" showErrorMessage="1" allowBlank="1" prompt="ערך לא חוקי - יש לבחור ערך מתוך הרשימה" type="list">
      <formula1>'רשימות'!$C$5:$C$9</formula1>
    </dataValidation>
    <dataValidation sqref="I6:I1505" showDropDown="0" showInputMessage="1" showErrorMessage="1" allowBlank="1" prompt="ערך לא חוקי - יש לבחור ערך מתוך הרשימה" type="list">
      <formula1>"שולט ברוב המיומנויות,מיומנויות בסיסיות,טרם"</formula1>
    </dataValidation>
    <dataValidation sqref="G6:G1505" showDropDown="0" showInputMessage="1" showErrorMessage="1" allowBlank="1" prompt="ערך לא חוקי - יש לבחור ערך מתוך הרשימה" type="list">
      <formula1>"כל האותיות,רוב האותיות,חלק מן האותיות"</formula1>
    </dataValidation>
    <dataValidation sqref="B6:B1505" showDropDown="0" showInputMessage="1" showErrorMessage="1" allowBlank="1" prompt="ערך לא חוקי - יש לבחור ערך מתוך הרשימה" type="list">
      <formula1>'רשימות'!$A$5:$A$34</formula1>
    </dataValidation>
    <dataValidation sqref="P6:P1505" showDropDown="0" showInputMessage="1" showErrorMessage="1" allowBlank="1" prompt="ערך לא חוקי - יש לבחור ערך מתוך הרשימה" type="list">
      <formula1>"מגלה ביטחון ונהנה,חלקי,נמנע"</formula1>
    </dataValidation>
    <dataValidation sqref="M6:M1505" showDropDown="0" showInputMessage="1" showErrorMessage="1" allowBlank="1" prompt="ערך לא חוקי - יש לבחור ערך מתוך הרשימה" type="list">
      <formula1>"מבין,מבין לרוב,טרם"</formula1>
    </dataValidation>
    <dataValidation sqref="N6:N1505" showDropDown="0" showInputMessage="1" showErrorMessage="1" allowBlank="1" prompt="ערך לא חוקי - יש לבחור ערך מתוך הרשימה" type="list">
      <formula1>"כתיב פונטי מלא,כתיב פונטי חלקי,טרם"</formula1>
    </dataValidation>
    <dataValidation sqref="K6:K1505" showDropDown="0" showInputMessage="1" showErrorMessage="1" allowBlank="1" prompt="ערך לא חוקי - יש לבחור ערך מתוך הרשימה" type="list">
      <formula1>"אוטומטי ברובו,אוטומטי בחלקו,אינו אוטומטי"</formula1>
    </dataValidation>
    <dataValidation sqref="A6:A1505" showDropDown="0" showInputMessage="1" showErrorMessage="1" allowBlank="1" prompt="ערך לא חוקי - יש לבחור ערך מתוך הרשימה" type="list">
      <formula1>'רשימות'!$E$5:$E$8</formula1>
    </dataValidation>
    <dataValidation sqref="L6:L1505" showDropDown="0" showInputMessage="1" showErrorMessage="1" allowBlank="1" prompt="ערך לא חוקי - יש לבחור ערך מתוך הרשימה" type="list">
      <formula1>"קורא חלק מן המילים גלובלית,מעט מילים,טרם"</formula1>
    </dataValidation>
    <dataValidation sqref="O6:O1505" showDropDown="0" showInputMessage="1" showErrorMessage="1" allowBlank="1" prompt="ערך לא חוקי - יש לבחור ערך מתוך הרשימה" type="list">
      <formula1>"משפטים וקטעים קצרים,מילים ומשפטים קצרים,מילים בודדות"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5"/>
  <sheetViews>
    <sheetView showGridLines="0" rightToLeft="1" workbookViewId="0">
      <selection activeCell="A1" sqref="A1"/>
    </sheetView>
  </sheetViews>
  <sheetFormatPr baseColWidth="8" defaultColWidth="14.43" defaultRowHeight="15" customHeight="1"/>
  <cols>
    <col width="20" customWidth="1" style="58" min="1" max="1"/>
    <col width="15" customWidth="1" style="58" min="2" max="2"/>
    <col width="17" customWidth="1" style="58" min="3" max="3"/>
    <col width="20" customWidth="1" style="58" min="4" max="4"/>
    <col width="15" customWidth="1" style="58" min="5" max="5"/>
    <col width="17" customWidth="1" style="58" min="6" max="6"/>
    <col width="20" customWidth="1" style="58" min="7" max="7"/>
    <col width="15" customWidth="1" style="58" min="8" max="8"/>
    <col width="17" customWidth="1" style="58" min="9" max="9"/>
    <col width="8.710000000000001" customWidth="1" style="58" min="10" max="26"/>
  </cols>
  <sheetData>
    <row r="1">
      <c r="A1" s="4" t="inlineStr">
        <is>
          <t>דף הכיתה — חלוקה לקבוצות הוראה</t>
        </is>
      </c>
    </row>
    <row r="2">
      <c r="A2" s="7" t="inlineStr">
        <is>
          <t>בוחרים כיתה, שנה ופעימה. הנתונים משני גיליונות ההזנה מתעדכנים אוטומטית. הדף מיועד להדפסה.</t>
        </is>
      </c>
    </row>
    <row r="3"/>
    <row r="4">
      <c r="A4" s="10" t="inlineStr">
        <is>
          <t>הכיתה:</t>
        </is>
      </c>
      <c r="B4" s="46" t="inlineStr">
        <is>
          <t>ח1</t>
        </is>
      </c>
      <c r="C4" s="10" t="inlineStr">
        <is>
          <t>שנה:</t>
        </is>
      </c>
      <c r="D4" s="46" t="inlineStr">
        <is>
          <t>תשפ"ז</t>
        </is>
      </c>
      <c r="E4" s="10" t="inlineStr">
        <is>
          <t>פעימה:</t>
        </is>
      </c>
      <c r="F4" s="46" t="inlineStr">
        <is>
          <t>תחילת שנה</t>
        </is>
      </c>
    </row>
    <row r="5">
      <c r="A5" s="21">
        <f>IF($B$4="","",COUNTIFS('הזנה ב-ו'!$B$6:$B$1505,$B$4,'הזנה ב-ו'!$A$6:$A$1505,$D$4,'הזנה ב-ו'!$F$6:$F$1505,$F$4)+COUNTIFS('הזנה רכישה'!$B$6:$B$1505,$B$4,'הזנה רכישה'!$A$6:$A$1505,$D$4,'הזנה רכישה'!$F$6:$F$1505,$F$4)&amp;" תלמידים הוזנו בפעימה זו")</f>
        <v/>
      </c>
    </row>
    <row r="6"/>
    <row r="7">
      <c r="A7" s="19" t="inlineStr">
        <is>
          <t>הקבוצה</t>
        </is>
      </c>
      <c r="B7" s="19" t="inlineStr">
        <is>
          <t>מספר תלמידים</t>
        </is>
      </c>
      <c r="C7" s="19" t="inlineStr">
        <is>
          <t>שיעור מן הכיתה</t>
        </is>
      </c>
      <c r="D7" s="19" t="inlineStr">
        <is>
          <t>מוקד העבודה בקבוצה</t>
        </is>
      </c>
    </row>
    <row r="8" ht="46.5" customHeight="1" s="58">
      <c r="A8" s="24" t="inlineStr">
        <is>
          <t>רמה א'</t>
        </is>
      </c>
      <c r="B8" s="27">
        <f>IF($B$4="","",COUNTIFS('הזנה ב-ו'!$B$6:$B$1505,$B$4,'הזנה ב-ו'!$A$6:$A$1505,$D$4,'הזנה ב-ו'!$F$6:$F$1505,$F$4,'הזנה ב-ו'!$AC$6:$AC$1505,$A8))</f>
        <v/>
      </c>
      <c r="C8" s="28">
        <f>IF(OR($B8="",$B$13=0),"",$B8/$B$13)</f>
        <v/>
      </c>
      <c r="D8" s="29" t="inlineStr">
        <is>
          <t>ביסוס יסודות הקריאה — דיוק, אוטומטיזציה, קריאה חוזרת</t>
        </is>
      </c>
    </row>
    <row r="9" ht="48" customHeight="1" s="58">
      <c r="A9" s="30" t="inlineStr">
        <is>
          <t>רמה ב'</t>
        </is>
      </c>
      <c r="B9" s="27">
        <f>IF($B$4="","",COUNTIFS('הזנה ב-ו'!$B$6:$B$1505,$B$4,'הזנה ב-ו'!$A$6:$A$1505,$D$4,'הזנה ב-ו'!$F$6:$F$1505,$F$4,'הזנה ב-ו'!$AC$6:$AC$1505,$A9))</f>
        <v/>
      </c>
      <c r="C9" s="28">
        <f>IF(OR($B9="",$B$13=0),"",$B9/$B$13)</f>
        <v/>
      </c>
      <c r="D9" s="29" t="inlineStr">
        <is>
          <t>פיתוח שפה והבנה — אוצר מילים, אסטרטגיות הבנה, הבעה</t>
        </is>
      </c>
    </row>
    <row r="10" ht="39" customHeight="1" s="58">
      <c r="A10" s="31" t="inlineStr">
        <is>
          <t>רמה ג'</t>
        </is>
      </c>
      <c r="B10" s="27">
        <f>IF($B$4="","",COUNTIFS('הזנה ב-ו'!$B$6:$B$1505,$B$4,'הזנה ב-ו'!$A$6:$A$1505,$D$4,'הזנה ב-ו'!$F$6:$F$1505,$F$4,'הזנה ב-ו'!$AC$6:$AC$1505,$A10))</f>
        <v/>
      </c>
      <c r="C10" s="28">
        <f>IF(OR($B10="",$B$13=0),"",$B10/$B$13)</f>
        <v/>
      </c>
      <c r="D10" s="29" t="inlineStr">
        <is>
          <t>העמקה — אתגר, עצמאות, שימוש בכישורים ללמידה</t>
        </is>
      </c>
    </row>
    <row r="11" ht="44.25" customHeight="1" s="58">
      <c r="A11" s="33" t="inlineStr">
        <is>
          <t>קבוצה רביעית: הקניית קריאה</t>
        </is>
      </c>
      <c r="B11" s="27">
        <f>IF($B$4="","",COUNTIFS('הזנה רכישה'!$B$6:$B$1505,$B$4,'הזנה רכישה'!$A$6:$A$1505,$D$4,'הזנה רכישה'!$F$6:$F$1505,$F$4,'הזנה רכישה'!$R$6:$R$1505,"קבוצה רביעית"))</f>
        <v/>
      </c>
      <c r="C11" s="28">
        <f>IF(OR($B11="",$B$13=0),"",$B11/$B$13)</f>
        <v/>
      </c>
      <c r="D11" s="29" t="inlineStr">
        <is>
          <t>טרם ביססו את יסודות הקריאה — ראו חלוקה פנימית בהמשך הדף</t>
        </is>
      </c>
    </row>
    <row r="12" ht="42.75" customHeight="1" s="58">
      <c r="A12" s="34" t="inlineStr">
        <is>
          <t>טרם שויכו</t>
        </is>
      </c>
      <c r="B12" s="27">
        <f>IF($B$4="","",COUNTIFS('הזנה ב-ו'!$B$6:$B$1505,$B$4,'הזנה ב-ו'!$A$6:$A$1505,$D$4,'הזנה ב-ו'!$F$6:$F$1505,$F$4)+COUNTIFS('הזנה רכישה'!$B$6:$B$1505,$B$4,'הזנה רכישה'!$A$6:$A$1505,$D$4,'הזנה רכישה'!$F$6:$F$1505,$F$4)-SUM($B$8:$B$11))</f>
        <v/>
      </c>
      <c r="C12" s="28">
        <f>IF(OR($B12="",$B$13=0),"",$B12/$B$13)</f>
        <v/>
      </c>
      <c r="D12" s="29" t="inlineStr">
        <is>
          <t>חסרים נתונים בגיליון ההזנה — יש להשלים כדי שהתלמיד ישויך לקבוצה</t>
        </is>
      </c>
    </row>
    <row r="13">
      <c r="A13" s="36" t="inlineStr">
        <is>
          <t>סה"כ</t>
        </is>
      </c>
      <c r="B13" s="36">
        <f>SUM(B8:B12)</f>
        <v/>
      </c>
      <c r="C13" s="36" t="n"/>
      <c r="D13" s="36" t="n"/>
    </row>
    <row r="14"/>
    <row r="15">
      <c r="A15" s="37" t="inlineStr">
        <is>
          <t>הרכב הקבוצות — תפקוד אורייני ברמת ב'-ו'</t>
        </is>
      </c>
    </row>
    <row r="16" ht="30" customHeight="1" s="58">
      <c r="A16" s="38" t="inlineStr">
        <is>
          <t>רמה א'</t>
        </is>
      </c>
      <c r="B16" s="38" t="inlineStr">
        <is>
          <t>דגש נוסף</t>
        </is>
      </c>
      <c r="C16" s="38" t="inlineStr">
        <is>
          <t>תנועה מהפעימה הקודמת</t>
        </is>
      </c>
      <c r="D16" s="39" t="inlineStr">
        <is>
          <t>רמה ב'</t>
        </is>
      </c>
      <c r="E16" s="39" t="inlineStr">
        <is>
          <t>דגש נוסף</t>
        </is>
      </c>
      <c r="F16" s="39" t="inlineStr">
        <is>
          <t>תנועה מהפעימה הקודמת</t>
        </is>
      </c>
      <c r="G16" s="40" t="inlineStr">
        <is>
          <t>רמה ג'</t>
        </is>
      </c>
      <c r="H16" s="40" t="inlineStr">
        <is>
          <t>דגש נוסף</t>
        </is>
      </c>
      <c r="I16" s="40" t="inlineStr">
        <is>
          <t>תנועה מהפעימה הקודמת</t>
        </is>
      </c>
    </row>
    <row r="17">
      <c r="A17" s="41">
        <f t="array" ref="A17">IFERROR(INDEX('הזנה ב-ו'!$C$6:$C$1505,MATCH($B$4&amp;"|"&amp;$D$4&amp;"|"&amp;$F$4&amp;"|רמה א'|"&amp;1,'הזנה ב-ו'!$AF$6:$AF$1505,0)),"")</f>
        <v/>
      </c>
      <c r="B17" s="42">
        <f t="array" ref="B17">IFERROR(INDEX('הזנה ב-ו'!$AD$6:$AD$1505,MATCH($B$4&amp;"|"&amp;$D$4&amp;"|"&amp;$F$4&amp;"|רמה א'|"&amp;1,'הזנה ב-ו'!$AF$6:$AF$1505,0)),"")</f>
        <v/>
      </c>
      <c r="C17" s="42">
        <f t="array" ref="C17">IFERROR(INDEX('הזנה ב-ו'!$AJ$6:$AJ$1505,MATCH($B$4&amp;"|"&amp;$D$4&amp;"|"&amp;$F$4&amp;"|רמה א'|"&amp;1,'הזנה ב-ו'!$AF$6:$AF$1505,0)),"")</f>
        <v/>
      </c>
      <c r="D17" s="41">
        <f t="array" ref="D17">IFERROR(INDEX('הזנה ב-ו'!$C$6:$C$1505,MATCH($B$4&amp;"|"&amp;$D$4&amp;"|"&amp;$F$4&amp;"|רמה ב'|"&amp;1,'הזנה ב-ו'!$AF$6:$AF$1505,0)),"")</f>
        <v/>
      </c>
      <c r="E17" s="42">
        <f t="array" ref="E17">IFERROR(INDEX('הזנה ב-ו'!$AD$6:$AD$1505,MATCH($B$4&amp;"|"&amp;$D$4&amp;"|"&amp;$F$4&amp;"|רמה ב'|"&amp;1,'הזנה ב-ו'!$AF$6:$AF$1505,0)),"")</f>
        <v/>
      </c>
      <c r="F17" s="42">
        <f t="array" ref="F17">IFERROR(INDEX('הזנה ב-ו'!$AJ$6:$AJ$1505,MATCH($B$4&amp;"|"&amp;$D$4&amp;"|"&amp;$F$4&amp;"|רמה ב'|"&amp;1,'הזנה ב-ו'!$AF$6:$AF$1505,0)),"")</f>
        <v/>
      </c>
      <c r="G17" s="41">
        <f t="array" ref="G17">IFERROR(INDEX('הזנה ב-ו'!$C$6:$C$1505,MATCH($B$4&amp;"|"&amp;$D$4&amp;"|"&amp;$F$4&amp;"|רמה ג'|"&amp;1,'הזנה ב-ו'!$AF$6:$AF$1505,0)),"")</f>
        <v/>
      </c>
      <c r="H17" s="42">
        <f t="array" ref="H17">IFERROR(INDEX('הזנה ב-ו'!$AD$6:$AD$1505,MATCH($B$4&amp;"|"&amp;$D$4&amp;"|"&amp;$F$4&amp;"|רמה ג'|"&amp;1,'הזנה ב-ו'!$AF$6:$AF$1505,0)),"")</f>
        <v/>
      </c>
      <c r="I17" s="42">
        <f t="array" ref="I17">IFERROR(INDEX('הזנה ב-ו'!$AJ$6:$AJ$1505,MATCH($B$4&amp;"|"&amp;$D$4&amp;"|"&amp;$F$4&amp;"|רמה ג'|"&amp;1,'הזנה ב-ו'!$AF$6:$AF$1505,0)),"")</f>
        <v/>
      </c>
    </row>
    <row r="18">
      <c r="A18" s="41">
        <f t="array" ref="A18">IFERROR(INDEX('הזנה ב-ו'!$C$6:$C$1505,MATCH($B$4&amp;"|"&amp;$D$4&amp;"|"&amp;$F$4&amp;"|רמה א'|"&amp;2,'הזנה ב-ו'!$AF$6:$AF$1505,0)),"")</f>
        <v/>
      </c>
      <c r="B18" s="42">
        <f t="array" ref="B18">IFERROR(INDEX('הזנה ב-ו'!$AD$6:$AD$1505,MATCH($B$4&amp;"|"&amp;$D$4&amp;"|"&amp;$F$4&amp;"|רמה א'|"&amp;2,'הזנה ב-ו'!$AF$6:$AF$1505,0)),"")</f>
        <v/>
      </c>
      <c r="C18" s="42">
        <f t="array" ref="C18">IFERROR(INDEX('הזנה ב-ו'!$AJ$6:$AJ$1505,MATCH($B$4&amp;"|"&amp;$D$4&amp;"|"&amp;$F$4&amp;"|רמה א'|"&amp;2,'הזנה ב-ו'!$AF$6:$AF$1505,0)),"")</f>
        <v/>
      </c>
      <c r="D18" s="41">
        <f t="array" ref="D18">IFERROR(INDEX('הזנה ב-ו'!$C$6:$C$1505,MATCH($B$4&amp;"|"&amp;$D$4&amp;"|"&amp;$F$4&amp;"|רמה ב'|"&amp;2,'הזנה ב-ו'!$AF$6:$AF$1505,0)),"")</f>
        <v/>
      </c>
      <c r="E18" s="42">
        <f t="array" ref="E18">IFERROR(INDEX('הזנה ב-ו'!$AD$6:$AD$1505,MATCH($B$4&amp;"|"&amp;$D$4&amp;"|"&amp;$F$4&amp;"|רמה ב'|"&amp;2,'הזנה ב-ו'!$AF$6:$AF$1505,0)),"")</f>
        <v/>
      </c>
      <c r="F18" s="42">
        <f t="array" ref="F18">IFERROR(INDEX('הזנה ב-ו'!$AJ$6:$AJ$1505,MATCH($B$4&amp;"|"&amp;$D$4&amp;"|"&amp;$F$4&amp;"|רמה ב'|"&amp;2,'הזנה ב-ו'!$AF$6:$AF$1505,0)),"")</f>
        <v/>
      </c>
      <c r="G18" s="41">
        <f t="array" ref="G18">IFERROR(INDEX('הזנה ב-ו'!$C$6:$C$1505,MATCH($B$4&amp;"|"&amp;$D$4&amp;"|"&amp;$F$4&amp;"|רמה ג'|"&amp;2,'הזנה ב-ו'!$AF$6:$AF$1505,0)),"")</f>
        <v/>
      </c>
      <c r="H18" s="42">
        <f t="array" ref="H18">IFERROR(INDEX('הזנה ב-ו'!$AD$6:$AD$1505,MATCH($B$4&amp;"|"&amp;$D$4&amp;"|"&amp;$F$4&amp;"|רמה ג'|"&amp;2,'הזנה ב-ו'!$AF$6:$AF$1505,0)),"")</f>
        <v/>
      </c>
      <c r="I18" s="42">
        <f t="array" ref="I18">IFERROR(INDEX('הזנה ב-ו'!$AJ$6:$AJ$1505,MATCH($B$4&amp;"|"&amp;$D$4&amp;"|"&amp;$F$4&amp;"|רמה ג'|"&amp;2,'הזנה ב-ו'!$AF$6:$AF$1505,0)),"")</f>
        <v/>
      </c>
    </row>
    <row r="19">
      <c r="A19" s="41">
        <f t="array" ref="A19">IFERROR(INDEX('הזנה ב-ו'!$C$6:$C$1505,MATCH($B$4&amp;"|"&amp;$D$4&amp;"|"&amp;$F$4&amp;"|רמה א'|"&amp;3,'הזנה ב-ו'!$AF$6:$AF$1505,0)),"")</f>
        <v/>
      </c>
      <c r="B19" s="42">
        <f t="array" ref="B19">IFERROR(INDEX('הזנה ב-ו'!$AD$6:$AD$1505,MATCH($B$4&amp;"|"&amp;$D$4&amp;"|"&amp;$F$4&amp;"|רמה א'|"&amp;3,'הזנה ב-ו'!$AF$6:$AF$1505,0)),"")</f>
        <v/>
      </c>
      <c r="C19" s="42">
        <f t="array" ref="C19">IFERROR(INDEX('הזנה ב-ו'!$AJ$6:$AJ$1505,MATCH($B$4&amp;"|"&amp;$D$4&amp;"|"&amp;$F$4&amp;"|רמה א'|"&amp;3,'הזנה ב-ו'!$AF$6:$AF$1505,0)),"")</f>
        <v/>
      </c>
      <c r="D19" s="41">
        <f t="array" ref="D19">IFERROR(INDEX('הזנה ב-ו'!$C$6:$C$1505,MATCH($B$4&amp;"|"&amp;$D$4&amp;"|"&amp;$F$4&amp;"|רמה ב'|"&amp;3,'הזנה ב-ו'!$AF$6:$AF$1505,0)),"")</f>
        <v/>
      </c>
      <c r="E19" s="42">
        <f t="array" ref="E19">IFERROR(INDEX('הזנה ב-ו'!$AD$6:$AD$1505,MATCH($B$4&amp;"|"&amp;$D$4&amp;"|"&amp;$F$4&amp;"|רמה ב'|"&amp;3,'הזנה ב-ו'!$AF$6:$AF$1505,0)),"")</f>
        <v/>
      </c>
      <c r="F19" s="42">
        <f t="array" ref="F19">IFERROR(INDEX('הזנה ב-ו'!$AJ$6:$AJ$1505,MATCH($B$4&amp;"|"&amp;$D$4&amp;"|"&amp;$F$4&amp;"|רמה ב'|"&amp;3,'הזנה ב-ו'!$AF$6:$AF$1505,0)),"")</f>
        <v/>
      </c>
      <c r="G19" s="41">
        <f t="array" ref="G19">IFERROR(INDEX('הזנה ב-ו'!$C$6:$C$1505,MATCH($B$4&amp;"|"&amp;$D$4&amp;"|"&amp;$F$4&amp;"|רמה ג'|"&amp;3,'הזנה ב-ו'!$AF$6:$AF$1505,0)),"")</f>
        <v/>
      </c>
      <c r="H19" s="42">
        <f t="array" ref="H19">IFERROR(INDEX('הזנה ב-ו'!$AD$6:$AD$1505,MATCH($B$4&amp;"|"&amp;$D$4&amp;"|"&amp;$F$4&amp;"|רמה ג'|"&amp;3,'הזנה ב-ו'!$AF$6:$AF$1505,0)),"")</f>
        <v/>
      </c>
      <c r="I19" s="42">
        <f t="array" ref="I19">IFERROR(INDEX('הזנה ב-ו'!$AJ$6:$AJ$1505,MATCH($B$4&amp;"|"&amp;$D$4&amp;"|"&amp;$F$4&amp;"|רמה ג'|"&amp;3,'הזנה ב-ו'!$AF$6:$AF$1505,0)),"")</f>
        <v/>
      </c>
    </row>
    <row r="20">
      <c r="A20" s="41">
        <f t="array" ref="A20">IFERROR(INDEX('הזנה ב-ו'!$C$6:$C$1505,MATCH($B$4&amp;"|"&amp;$D$4&amp;"|"&amp;$F$4&amp;"|רמה א'|"&amp;4,'הזנה ב-ו'!$AF$6:$AF$1505,0)),"")</f>
        <v/>
      </c>
      <c r="B20" s="42">
        <f t="array" ref="B20">IFERROR(INDEX('הזנה ב-ו'!$AD$6:$AD$1505,MATCH($B$4&amp;"|"&amp;$D$4&amp;"|"&amp;$F$4&amp;"|רמה א'|"&amp;4,'הזנה ב-ו'!$AF$6:$AF$1505,0)),"")</f>
        <v/>
      </c>
      <c r="C20" s="42">
        <f t="array" ref="C20">IFERROR(INDEX('הזנה ב-ו'!$AJ$6:$AJ$1505,MATCH($B$4&amp;"|"&amp;$D$4&amp;"|"&amp;$F$4&amp;"|רמה א'|"&amp;4,'הזנה ב-ו'!$AF$6:$AF$1505,0)),"")</f>
        <v/>
      </c>
      <c r="D20" s="41">
        <f t="array" ref="D20">IFERROR(INDEX('הזנה ב-ו'!$C$6:$C$1505,MATCH($B$4&amp;"|"&amp;$D$4&amp;"|"&amp;$F$4&amp;"|רמה ב'|"&amp;4,'הזנה ב-ו'!$AF$6:$AF$1505,0)),"")</f>
        <v/>
      </c>
      <c r="E20" s="42">
        <f t="array" ref="E20">IFERROR(INDEX('הזנה ב-ו'!$AD$6:$AD$1505,MATCH($B$4&amp;"|"&amp;$D$4&amp;"|"&amp;$F$4&amp;"|רמה ב'|"&amp;4,'הזנה ב-ו'!$AF$6:$AF$1505,0)),"")</f>
        <v/>
      </c>
      <c r="F20" s="42">
        <f t="array" ref="F20">IFERROR(INDEX('הזנה ב-ו'!$AJ$6:$AJ$1505,MATCH($B$4&amp;"|"&amp;$D$4&amp;"|"&amp;$F$4&amp;"|רמה ב'|"&amp;4,'הזנה ב-ו'!$AF$6:$AF$1505,0)),"")</f>
        <v/>
      </c>
      <c r="G20" s="41">
        <f t="array" ref="G20">IFERROR(INDEX('הזנה ב-ו'!$C$6:$C$1505,MATCH($B$4&amp;"|"&amp;$D$4&amp;"|"&amp;$F$4&amp;"|רמה ג'|"&amp;4,'הזנה ב-ו'!$AF$6:$AF$1505,0)),"")</f>
        <v/>
      </c>
      <c r="H20" s="42">
        <f t="array" ref="H20">IFERROR(INDEX('הזנה ב-ו'!$AD$6:$AD$1505,MATCH($B$4&amp;"|"&amp;$D$4&amp;"|"&amp;$F$4&amp;"|רמה ג'|"&amp;4,'הזנה ב-ו'!$AF$6:$AF$1505,0)),"")</f>
        <v/>
      </c>
      <c r="I20" s="42">
        <f t="array" ref="I20">IFERROR(INDEX('הזנה ב-ו'!$AJ$6:$AJ$1505,MATCH($B$4&amp;"|"&amp;$D$4&amp;"|"&amp;$F$4&amp;"|רמה ג'|"&amp;4,'הזנה ב-ו'!$AF$6:$AF$1505,0)),"")</f>
        <v/>
      </c>
    </row>
    <row r="21" ht="15.75" customHeight="1" s="58">
      <c r="A21" s="41">
        <f t="array" ref="A21">IFERROR(INDEX('הזנה ב-ו'!$C$6:$C$1505,MATCH($B$4&amp;"|"&amp;$D$4&amp;"|"&amp;$F$4&amp;"|רמה א'|"&amp;5,'הזנה ב-ו'!$AF$6:$AF$1505,0)),"")</f>
        <v/>
      </c>
      <c r="B21" s="42">
        <f t="array" ref="B21">IFERROR(INDEX('הזנה ב-ו'!$AD$6:$AD$1505,MATCH($B$4&amp;"|"&amp;$D$4&amp;"|"&amp;$F$4&amp;"|רמה א'|"&amp;5,'הזנה ב-ו'!$AF$6:$AF$1505,0)),"")</f>
        <v/>
      </c>
      <c r="C21" s="42">
        <f t="array" ref="C21">IFERROR(INDEX('הזנה ב-ו'!$AJ$6:$AJ$1505,MATCH($B$4&amp;"|"&amp;$D$4&amp;"|"&amp;$F$4&amp;"|רמה א'|"&amp;5,'הזנה ב-ו'!$AF$6:$AF$1505,0)),"")</f>
        <v/>
      </c>
      <c r="D21" s="41">
        <f t="array" ref="D21">IFERROR(INDEX('הזנה ב-ו'!$C$6:$C$1505,MATCH($B$4&amp;"|"&amp;$D$4&amp;"|"&amp;$F$4&amp;"|רמה ב'|"&amp;5,'הזנה ב-ו'!$AF$6:$AF$1505,0)),"")</f>
        <v/>
      </c>
      <c r="E21" s="42">
        <f t="array" ref="E21">IFERROR(INDEX('הזנה ב-ו'!$AD$6:$AD$1505,MATCH($B$4&amp;"|"&amp;$D$4&amp;"|"&amp;$F$4&amp;"|רמה ב'|"&amp;5,'הזנה ב-ו'!$AF$6:$AF$1505,0)),"")</f>
        <v/>
      </c>
      <c r="F21" s="42">
        <f t="array" ref="F21">IFERROR(INDEX('הזנה ב-ו'!$AJ$6:$AJ$1505,MATCH($B$4&amp;"|"&amp;$D$4&amp;"|"&amp;$F$4&amp;"|רמה ב'|"&amp;5,'הזנה ב-ו'!$AF$6:$AF$1505,0)),"")</f>
        <v/>
      </c>
      <c r="G21" s="41">
        <f t="array" ref="G21">IFERROR(INDEX('הזנה ב-ו'!$C$6:$C$1505,MATCH($B$4&amp;"|"&amp;$D$4&amp;"|"&amp;$F$4&amp;"|רמה ג'|"&amp;5,'הזנה ב-ו'!$AF$6:$AF$1505,0)),"")</f>
        <v/>
      </c>
      <c r="H21" s="42">
        <f t="array" ref="H21">IFERROR(INDEX('הזנה ב-ו'!$AD$6:$AD$1505,MATCH($B$4&amp;"|"&amp;$D$4&amp;"|"&amp;$F$4&amp;"|רמה ג'|"&amp;5,'הזנה ב-ו'!$AF$6:$AF$1505,0)),"")</f>
        <v/>
      </c>
      <c r="I21" s="42">
        <f t="array" ref="I21">IFERROR(INDEX('הזנה ב-ו'!$AJ$6:$AJ$1505,MATCH($B$4&amp;"|"&amp;$D$4&amp;"|"&amp;$F$4&amp;"|רמה ג'|"&amp;5,'הזנה ב-ו'!$AF$6:$AF$1505,0)),"")</f>
        <v/>
      </c>
    </row>
    <row r="22" ht="15.75" customHeight="1" s="58">
      <c r="A22" s="41">
        <f t="array" ref="A22">IFERROR(INDEX('הזנה ב-ו'!$C$6:$C$1505,MATCH($B$4&amp;"|"&amp;$D$4&amp;"|"&amp;$F$4&amp;"|רמה א'|"&amp;6,'הזנה ב-ו'!$AF$6:$AF$1505,0)),"")</f>
        <v/>
      </c>
      <c r="B22" s="42">
        <f t="array" ref="B22">IFERROR(INDEX('הזנה ב-ו'!$AD$6:$AD$1505,MATCH($B$4&amp;"|"&amp;$D$4&amp;"|"&amp;$F$4&amp;"|רמה א'|"&amp;6,'הזנה ב-ו'!$AF$6:$AF$1505,0)),"")</f>
        <v/>
      </c>
      <c r="C22" s="42">
        <f t="array" ref="C22">IFERROR(INDEX('הזנה ב-ו'!$AJ$6:$AJ$1505,MATCH($B$4&amp;"|"&amp;$D$4&amp;"|"&amp;$F$4&amp;"|רמה א'|"&amp;6,'הזנה ב-ו'!$AF$6:$AF$1505,0)),"")</f>
        <v/>
      </c>
      <c r="D22" s="41">
        <f t="array" ref="D22">IFERROR(INDEX('הזנה ב-ו'!$C$6:$C$1505,MATCH($B$4&amp;"|"&amp;$D$4&amp;"|"&amp;$F$4&amp;"|רמה ב'|"&amp;6,'הזנה ב-ו'!$AF$6:$AF$1505,0)),"")</f>
        <v/>
      </c>
      <c r="E22" s="42">
        <f t="array" ref="E22">IFERROR(INDEX('הזנה ב-ו'!$AD$6:$AD$1505,MATCH($B$4&amp;"|"&amp;$D$4&amp;"|"&amp;$F$4&amp;"|רמה ב'|"&amp;6,'הזנה ב-ו'!$AF$6:$AF$1505,0)),"")</f>
        <v/>
      </c>
      <c r="F22" s="42">
        <f t="array" ref="F22">IFERROR(INDEX('הזנה ב-ו'!$AJ$6:$AJ$1505,MATCH($B$4&amp;"|"&amp;$D$4&amp;"|"&amp;$F$4&amp;"|רמה ב'|"&amp;6,'הזנה ב-ו'!$AF$6:$AF$1505,0)),"")</f>
        <v/>
      </c>
      <c r="G22" s="41">
        <f t="array" ref="G22">IFERROR(INDEX('הזנה ב-ו'!$C$6:$C$1505,MATCH($B$4&amp;"|"&amp;$D$4&amp;"|"&amp;$F$4&amp;"|רמה ג'|"&amp;6,'הזנה ב-ו'!$AF$6:$AF$1505,0)),"")</f>
        <v/>
      </c>
      <c r="H22" s="42">
        <f t="array" ref="H22">IFERROR(INDEX('הזנה ב-ו'!$AD$6:$AD$1505,MATCH($B$4&amp;"|"&amp;$D$4&amp;"|"&amp;$F$4&amp;"|רמה ג'|"&amp;6,'הזנה ב-ו'!$AF$6:$AF$1505,0)),"")</f>
        <v/>
      </c>
      <c r="I22" s="42">
        <f t="array" ref="I22">IFERROR(INDEX('הזנה ב-ו'!$AJ$6:$AJ$1505,MATCH($B$4&amp;"|"&amp;$D$4&amp;"|"&amp;$F$4&amp;"|רמה ג'|"&amp;6,'הזנה ב-ו'!$AF$6:$AF$1505,0)),"")</f>
        <v/>
      </c>
    </row>
    <row r="23" ht="15.75" customHeight="1" s="58">
      <c r="A23" s="41">
        <f t="array" ref="A23">IFERROR(INDEX('הזנה ב-ו'!$C$6:$C$1505,MATCH($B$4&amp;"|"&amp;$D$4&amp;"|"&amp;$F$4&amp;"|רמה א'|"&amp;7,'הזנה ב-ו'!$AF$6:$AF$1505,0)),"")</f>
        <v/>
      </c>
      <c r="B23" s="42">
        <f t="array" ref="B23">IFERROR(INDEX('הזנה ב-ו'!$AD$6:$AD$1505,MATCH($B$4&amp;"|"&amp;$D$4&amp;"|"&amp;$F$4&amp;"|רמה א'|"&amp;7,'הזנה ב-ו'!$AF$6:$AF$1505,0)),"")</f>
        <v/>
      </c>
      <c r="C23" s="42">
        <f t="array" ref="C23">IFERROR(INDEX('הזנה ב-ו'!$AJ$6:$AJ$1505,MATCH($B$4&amp;"|"&amp;$D$4&amp;"|"&amp;$F$4&amp;"|רמה א'|"&amp;7,'הזנה ב-ו'!$AF$6:$AF$1505,0)),"")</f>
        <v/>
      </c>
      <c r="D23" s="41">
        <f t="array" ref="D23">IFERROR(INDEX('הזנה ב-ו'!$C$6:$C$1505,MATCH($B$4&amp;"|"&amp;$D$4&amp;"|"&amp;$F$4&amp;"|רמה ב'|"&amp;7,'הזנה ב-ו'!$AF$6:$AF$1505,0)),"")</f>
        <v/>
      </c>
      <c r="E23" s="42">
        <f t="array" ref="E23">IFERROR(INDEX('הזנה ב-ו'!$AD$6:$AD$1505,MATCH($B$4&amp;"|"&amp;$D$4&amp;"|"&amp;$F$4&amp;"|רמה ב'|"&amp;7,'הזנה ב-ו'!$AF$6:$AF$1505,0)),"")</f>
        <v/>
      </c>
      <c r="F23" s="42">
        <f t="array" ref="F23">IFERROR(INDEX('הזנה ב-ו'!$AJ$6:$AJ$1505,MATCH($B$4&amp;"|"&amp;$D$4&amp;"|"&amp;$F$4&amp;"|רמה ב'|"&amp;7,'הזנה ב-ו'!$AF$6:$AF$1505,0)),"")</f>
        <v/>
      </c>
      <c r="G23" s="41">
        <f t="array" ref="G23">IFERROR(INDEX('הזנה ב-ו'!$C$6:$C$1505,MATCH($B$4&amp;"|"&amp;$D$4&amp;"|"&amp;$F$4&amp;"|רמה ג'|"&amp;7,'הזנה ב-ו'!$AF$6:$AF$1505,0)),"")</f>
        <v/>
      </c>
      <c r="H23" s="42">
        <f t="array" ref="H23">IFERROR(INDEX('הזנה ב-ו'!$AD$6:$AD$1505,MATCH($B$4&amp;"|"&amp;$D$4&amp;"|"&amp;$F$4&amp;"|רמה ג'|"&amp;7,'הזנה ב-ו'!$AF$6:$AF$1505,0)),"")</f>
        <v/>
      </c>
      <c r="I23" s="42">
        <f t="array" ref="I23">IFERROR(INDEX('הזנה ב-ו'!$AJ$6:$AJ$1505,MATCH($B$4&amp;"|"&amp;$D$4&amp;"|"&amp;$F$4&amp;"|רמה ג'|"&amp;7,'הזנה ב-ו'!$AF$6:$AF$1505,0)),"")</f>
        <v/>
      </c>
    </row>
    <row r="24" ht="15.75" customHeight="1" s="58">
      <c r="A24" s="41">
        <f t="array" ref="A24">IFERROR(INDEX('הזנה ב-ו'!$C$6:$C$1505,MATCH($B$4&amp;"|"&amp;$D$4&amp;"|"&amp;$F$4&amp;"|רמה א'|"&amp;8,'הזנה ב-ו'!$AF$6:$AF$1505,0)),"")</f>
        <v/>
      </c>
      <c r="B24" s="42">
        <f t="array" ref="B24">IFERROR(INDEX('הזנה ב-ו'!$AD$6:$AD$1505,MATCH($B$4&amp;"|"&amp;$D$4&amp;"|"&amp;$F$4&amp;"|רמה א'|"&amp;8,'הזנה ב-ו'!$AF$6:$AF$1505,0)),"")</f>
        <v/>
      </c>
      <c r="C24" s="42">
        <f t="array" ref="C24">IFERROR(INDEX('הזנה ב-ו'!$AJ$6:$AJ$1505,MATCH($B$4&amp;"|"&amp;$D$4&amp;"|"&amp;$F$4&amp;"|רמה א'|"&amp;8,'הזנה ב-ו'!$AF$6:$AF$1505,0)),"")</f>
        <v/>
      </c>
      <c r="D24" s="41">
        <f t="array" ref="D24">IFERROR(INDEX('הזנה ב-ו'!$C$6:$C$1505,MATCH($B$4&amp;"|"&amp;$D$4&amp;"|"&amp;$F$4&amp;"|רמה ב'|"&amp;8,'הזנה ב-ו'!$AF$6:$AF$1505,0)),"")</f>
        <v/>
      </c>
      <c r="E24" s="42">
        <f t="array" ref="E24">IFERROR(INDEX('הזנה ב-ו'!$AD$6:$AD$1505,MATCH($B$4&amp;"|"&amp;$D$4&amp;"|"&amp;$F$4&amp;"|רמה ב'|"&amp;8,'הזנה ב-ו'!$AF$6:$AF$1505,0)),"")</f>
        <v/>
      </c>
      <c r="F24" s="42">
        <f t="array" ref="F24">IFERROR(INDEX('הזנה ב-ו'!$AJ$6:$AJ$1505,MATCH($B$4&amp;"|"&amp;$D$4&amp;"|"&amp;$F$4&amp;"|רמה ב'|"&amp;8,'הזנה ב-ו'!$AF$6:$AF$1505,0)),"")</f>
        <v/>
      </c>
      <c r="G24" s="41">
        <f t="array" ref="G24">IFERROR(INDEX('הזנה ב-ו'!$C$6:$C$1505,MATCH($B$4&amp;"|"&amp;$D$4&amp;"|"&amp;$F$4&amp;"|רמה ג'|"&amp;8,'הזנה ב-ו'!$AF$6:$AF$1505,0)),"")</f>
        <v/>
      </c>
      <c r="H24" s="42">
        <f t="array" ref="H24">IFERROR(INDEX('הזנה ב-ו'!$AD$6:$AD$1505,MATCH($B$4&amp;"|"&amp;$D$4&amp;"|"&amp;$F$4&amp;"|רמה ג'|"&amp;8,'הזנה ב-ו'!$AF$6:$AF$1505,0)),"")</f>
        <v/>
      </c>
      <c r="I24" s="42">
        <f t="array" ref="I24">IFERROR(INDEX('הזנה ב-ו'!$AJ$6:$AJ$1505,MATCH($B$4&amp;"|"&amp;$D$4&amp;"|"&amp;$F$4&amp;"|רמה ג'|"&amp;8,'הזנה ב-ו'!$AF$6:$AF$1505,0)),"")</f>
        <v/>
      </c>
    </row>
    <row r="25" ht="15.75" customHeight="1" s="58">
      <c r="A25" s="41">
        <f t="array" ref="A25">IFERROR(INDEX('הזנה ב-ו'!$C$6:$C$1505,MATCH($B$4&amp;"|"&amp;$D$4&amp;"|"&amp;$F$4&amp;"|רמה א'|"&amp;9,'הזנה ב-ו'!$AF$6:$AF$1505,0)),"")</f>
        <v/>
      </c>
      <c r="B25" s="42">
        <f t="array" ref="B25">IFERROR(INDEX('הזנה ב-ו'!$AD$6:$AD$1505,MATCH($B$4&amp;"|"&amp;$D$4&amp;"|"&amp;$F$4&amp;"|רמה א'|"&amp;9,'הזנה ב-ו'!$AF$6:$AF$1505,0)),"")</f>
        <v/>
      </c>
      <c r="C25" s="42">
        <f t="array" ref="C25">IFERROR(INDEX('הזנה ב-ו'!$AJ$6:$AJ$1505,MATCH($B$4&amp;"|"&amp;$D$4&amp;"|"&amp;$F$4&amp;"|רמה א'|"&amp;9,'הזנה ב-ו'!$AF$6:$AF$1505,0)),"")</f>
        <v/>
      </c>
      <c r="D25" s="41">
        <f t="array" ref="D25">IFERROR(INDEX('הזנה ב-ו'!$C$6:$C$1505,MATCH($B$4&amp;"|"&amp;$D$4&amp;"|"&amp;$F$4&amp;"|רמה ב'|"&amp;9,'הזנה ב-ו'!$AF$6:$AF$1505,0)),"")</f>
        <v/>
      </c>
      <c r="E25" s="42">
        <f t="array" ref="E25">IFERROR(INDEX('הזנה ב-ו'!$AD$6:$AD$1505,MATCH($B$4&amp;"|"&amp;$D$4&amp;"|"&amp;$F$4&amp;"|רמה ב'|"&amp;9,'הזנה ב-ו'!$AF$6:$AF$1505,0)),"")</f>
        <v/>
      </c>
      <c r="F25" s="42">
        <f t="array" ref="F25">IFERROR(INDEX('הזנה ב-ו'!$AJ$6:$AJ$1505,MATCH($B$4&amp;"|"&amp;$D$4&amp;"|"&amp;$F$4&amp;"|רמה ב'|"&amp;9,'הזנה ב-ו'!$AF$6:$AF$1505,0)),"")</f>
        <v/>
      </c>
      <c r="G25" s="41">
        <f t="array" ref="G25">IFERROR(INDEX('הזנה ב-ו'!$C$6:$C$1505,MATCH($B$4&amp;"|"&amp;$D$4&amp;"|"&amp;$F$4&amp;"|רמה ג'|"&amp;9,'הזנה ב-ו'!$AF$6:$AF$1505,0)),"")</f>
        <v/>
      </c>
      <c r="H25" s="42">
        <f t="array" ref="H25">IFERROR(INDEX('הזנה ב-ו'!$AD$6:$AD$1505,MATCH($B$4&amp;"|"&amp;$D$4&amp;"|"&amp;$F$4&amp;"|רמה ג'|"&amp;9,'הזנה ב-ו'!$AF$6:$AF$1505,0)),"")</f>
        <v/>
      </c>
      <c r="I25" s="42">
        <f t="array" ref="I25">IFERROR(INDEX('הזנה ב-ו'!$AJ$6:$AJ$1505,MATCH($B$4&amp;"|"&amp;$D$4&amp;"|"&amp;$F$4&amp;"|רמה ג'|"&amp;9,'הזנה ב-ו'!$AF$6:$AF$1505,0)),"")</f>
        <v/>
      </c>
    </row>
    <row r="26" ht="15.75" customHeight="1" s="58">
      <c r="A26" s="41">
        <f t="array" ref="A26">IFERROR(INDEX('הזנה ב-ו'!$C$6:$C$1505,MATCH($B$4&amp;"|"&amp;$D$4&amp;"|"&amp;$F$4&amp;"|רמה א'|"&amp;10,'הזנה ב-ו'!$AF$6:$AF$1505,0)),"")</f>
        <v/>
      </c>
      <c r="B26" s="42">
        <f t="array" ref="B26">IFERROR(INDEX('הזנה ב-ו'!$AD$6:$AD$1505,MATCH($B$4&amp;"|"&amp;$D$4&amp;"|"&amp;$F$4&amp;"|רמה א'|"&amp;10,'הזנה ב-ו'!$AF$6:$AF$1505,0)),"")</f>
        <v/>
      </c>
      <c r="C26" s="42">
        <f t="array" ref="C26">IFERROR(INDEX('הזנה ב-ו'!$AJ$6:$AJ$1505,MATCH($B$4&amp;"|"&amp;$D$4&amp;"|"&amp;$F$4&amp;"|רמה א'|"&amp;10,'הזנה ב-ו'!$AF$6:$AF$1505,0)),"")</f>
        <v/>
      </c>
      <c r="D26" s="41">
        <f t="array" ref="D26">IFERROR(INDEX('הזנה ב-ו'!$C$6:$C$1505,MATCH($B$4&amp;"|"&amp;$D$4&amp;"|"&amp;$F$4&amp;"|רמה ב'|"&amp;10,'הזנה ב-ו'!$AF$6:$AF$1505,0)),"")</f>
        <v/>
      </c>
      <c r="E26" s="42">
        <f t="array" ref="E26">IFERROR(INDEX('הזנה ב-ו'!$AD$6:$AD$1505,MATCH($B$4&amp;"|"&amp;$D$4&amp;"|"&amp;$F$4&amp;"|רמה ב'|"&amp;10,'הזנה ב-ו'!$AF$6:$AF$1505,0)),"")</f>
        <v/>
      </c>
      <c r="F26" s="42">
        <f t="array" ref="F26">IFERROR(INDEX('הזנה ב-ו'!$AJ$6:$AJ$1505,MATCH($B$4&amp;"|"&amp;$D$4&amp;"|"&amp;$F$4&amp;"|רמה ב'|"&amp;10,'הזנה ב-ו'!$AF$6:$AF$1505,0)),"")</f>
        <v/>
      </c>
      <c r="G26" s="41">
        <f t="array" ref="G26">IFERROR(INDEX('הזנה ב-ו'!$C$6:$C$1505,MATCH($B$4&amp;"|"&amp;$D$4&amp;"|"&amp;$F$4&amp;"|רמה ג'|"&amp;10,'הזנה ב-ו'!$AF$6:$AF$1505,0)),"")</f>
        <v/>
      </c>
      <c r="H26" s="42">
        <f t="array" ref="H26">IFERROR(INDEX('הזנה ב-ו'!$AD$6:$AD$1505,MATCH($B$4&amp;"|"&amp;$D$4&amp;"|"&amp;$F$4&amp;"|רמה ג'|"&amp;10,'הזנה ב-ו'!$AF$6:$AF$1505,0)),"")</f>
        <v/>
      </c>
      <c r="I26" s="42">
        <f t="array" ref="I26">IFERROR(INDEX('הזנה ב-ו'!$AJ$6:$AJ$1505,MATCH($B$4&amp;"|"&amp;$D$4&amp;"|"&amp;$F$4&amp;"|רמה ג'|"&amp;10,'הזנה ב-ו'!$AF$6:$AF$1505,0)),"")</f>
        <v/>
      </c>
    </row>
    <row r="27" ht="15.75" customHeight="1" s="58">
      <c r="A27" s="41">
        <f t="array" ref="A27">IFERROR(INDEX('הזנה ב-ו'!$C$6:$C$1505,MATCH($B$4&amp;"|"&amp;$D$4&amp;"|"&amp;$F$4&amp;"|רמה א'|"&amp;11,'הזנה ב-ו'!$AF$6:$AF$1505,0)),"")</f>
        <v/>
      </c>
      <c r="B27" s="42">
        <f t="array" ref="B27">IFERROR(INDEX('הזנה ב-ו'!$AD$6:$AD$1505,MATCH($B$4&amp;"|"&amp;$D$4&amp;"|"&amp;$F$4&amp;"|רמה א'|"&amp;11,'הזנה ב-ו'!$AF$6:$AF$1505,0)),"")</f>
        <v/>
      </c>
      <c r="C27" s="42">
        <f t="array" ref="C27">IFERROR(INDEX('הזנה ב-ו'!$AJ$6:$AJ$1505,MATCH($B$4&amp;"|"&amp;$D$4&amp;"|"&amp;$F$4&amp;"|רמה א'|"&amp;11,'הזנה ב-ו'!$AF$6:$AF$1505,0)),"")</f>
        <v/>
      </c>
      <c r="D27" s="41">
        <f t="array" ref="D27">IFERROR(INDEX('הזנה ב-ו'!$C$6:$C$1505,MATCH($B$4&amp;"|"&amp;$D$4&amp;"|"&amp;$F$4&amp;"|רמה ב'|"&amp;11,'הזנה ב-ו'!$AF$6:$AF$1505,0)),"")</f>
        <v/>
      </c>
      <c r="E27" s="42">
        <f t="array" ref="E27">IFERROR(INDEX('הזנה ב-ו'!$AD$6:$AD$1505,MATCH($B$4&amp;"|"&amp;$D$4&amp;"|"&amp;$F$4&amp;"|רמה ב'|"&amp;11,'הזנה ב-ו'!$AF$6:$AF$1505,0)),"")</f>
        <v/>
      </c>
      <c r="F27" s="42">
        <f t="array" ref="F27">IFERROR(INDEX('הזנה ב-ו'!$AJ$6:$AJ$1505,MATCH($B$4&amp;"|"&amp;$D$4&amp;"|"&amp;$F$4&amp;"|רמה ב'|"&amp;11,'הזנה ב-ו'!$AF$6:$AF$1505,0)),"")</f>
        <v/>
      </c>
      <c r="G27" s="41">
        <f t="array" ref="G27">IFERROR(INDEX('הזנה ב-ו'!$C$6:$C$1505,MATCH($B$4&amp;"|"&amp;$D$4&amp;"|"&amp;$F$4&amp;"|רמה ג'|"&amp;11,'הזנה ב-ו'!$AF$6:$AF$1505,0)),"")</f>
        <v/>
      </c>
      <c r="H27" s="42">
        <f t="array" ref="H27">IFERROR(INDEX('הזנה ב-ו'!$AD$6:$AD$1505,MATCH($B$4&amp;"|"&amp;$D$4&amp;"|"&amp;$F$4&amp;"|רמה ג'|"&amp;11,'הזנה ב-ו'!$AF$6:$AF$1505,0)),"")</f>
        <v/>
      </c>
      <c r="I27" s="42">
        <f t="array" ref="I27">IFERROR(INDEX('הזנה ב-ו'!$AJ$6:$AJ$1505,MATCH($B$4&amp;"|"&amp;$D$4&amp;"|"&amp;$F$4&amp;"|רמה ג'|"&amp;11,'הזנה ב-ו'!$AF$6:$AF$1505,0)),"")</f>
        <v/>
      </c>
    </row>
    <row r="28" ht="15.75" customHeight="1" s="58">
      <c r="A28" s="41">
        <f t="array" ref="A28">IFERROR(INDEX('הזנה ב-ו'!$C$6:$C$1505,MATCH($B$4&amp;"|"&amp;$D$4&amp;"|"&amp;$F$4&amp;"|רמה א'|"&amp;12,'הזנה ב-ו'!$AF$6:$AF$1505,0)),"")</f>
        <v/>
      </c>
      <c r="B28" s="42">
        <f t="array" ref="B28">IFERROR(INDEX('הזנה ב-ו'!$AD$6:$AD$1505,MATCH($B$4&amp;"|"&amp;$D$4&amp;"|"&amp;$F$4&amp;"|רמה א'|"&amp;12,'הזנה ב-ו'!$AF$6:$AF$1505,0)),"")</f>
        <v/>
      </c>
      <c r="C28" s="42">
        <f t="array" ref="C28">IFERROR(INDEX('הזנה ב-ו'!$AJ$6:$AJ$1505,MATCH($B$4&amp;"|"&amp;$D$4&amp;"|"&amp;$F$4&amp;"|רמה א'|"&amp;12,'הזנה ב-ו'!$AF$6:$AF$1505,0)),"")</f>
        <v/>
      </c>
      <c r="D28" s="41">
        <f t="array" ref="D28">IFERROR(INDEX('הזנה ב-ו'!$C$6:$C$1505,MATCH($B$4&amp;"|"&amp;$D$4&amp;"|"&amp;$F$4&amp;"|רמה ב'|"&amp;12,'הזנה ב-ו'!$AF$6:$AF$1505,0)),"")</f>
        <v/>
      </c>
      <c r="E28" s="42">
        <f t="array" ref="E28">IFERROR(INDEX('הזנה ב-ו'!$AD$6:$AD$1505,MATCH($B$4&amp;"|"&amp;$D$4&amp;"|"&amp;$F$4&amp;"|רמה ב'|"&amp;12,'הזנה ב-ו'!$AF$6:$AF$1505,0)),"")</f>
        <v/>
      </c>
      <c r="F28" s="42">
        <f t="array" ref="F28">IFERROR(INDEX('הזנה ב-ו'!$AJ$6:$AJ$1505,MATCH($B$4&amp;"|"&amp;$D$4&amp;"|"&amp;$F$4&amp;"|רמה ב'|"&amp;12,'הזנה ב-ו'!$AF$6:$AF$1505,0)),"")</f>
        <v/>
      </c>
      <c r="G28" s="41">
        <f t="array" ref="G28">IFERROR(INDEX('הזנה ב-ו'!$C$6:$C$1505,MATCH($B$4&amp;"|"&amp;$D$4&amp;"|"&amp;$F$4&amp;"|רמה ג'|"&amp;12,'הזנה ב-ו'!$AF$6:$AF$1505,0)),"")</f>
        <v/>
      </c>
      <c r="H28" s="42">
        <f t="array" ref="H28">IFERROR(INDEX('הזנה ב-ו'!$AD$6:$AD$1505,MATCH($B$4&amp;"|"&amp;$D$4&amp;"|"&amp;$F$4&amp;"|רמה ג'|"&amp;12,'הזנה ב-ו'!$AF$6:$AF$1505,0)),"")</f>
        <v/>
      </c>
      <c r="I28" s="42">
        <f t="array" ref="I28">IFERROR(INDEX('הזנה ב-ו'!$AJ$6:$AJ$1505,MATCH($B$4&amp;"|"&amp;$D$4&amp;"|"&amp;$F$4&amp;"|רמה ג'|"&amp;12,'הזנה ב-ו'!$AF$6:$AF$1505,0)),"")</f>
        <v/>
      </c>
    </row>
    <row r="29" ht="15.75" customHeight="1" s="58"/>
    <row r="30" ht="15.75" customHeight="1" s="58">
      <c r="A30" s="37" t="inlineStr">
        <is>
          <t>הרכב הקבוצות — קבוצה רביעית: הקניית קריאה</t>
        </is>
      </c>
    </row>
    <row r="31" ht="30" customHeight="1" s="58">
      <c r="A31" s="44" t="inlineStr">
        <is>
          <t>קבוצה רביעית</t>
        </is>
      </c>
      <c r="B31" s="44" t="inlineStr">
        <is>
          <t>הפרופיל</t>
        </is>
      </c>
      <c r="C31" s="44" t="inlineStr">
        <is>
          <t>תנועה מהפעימה הקודמת</t>
        </is>
      </c>
      <c r="D31" s="39" t="inlineStr">
        <is>
          <t>קבוצת רכישה</t>
        </is>
      </c>
      <c r="E31" s="39" t="inlineStr">
        <is>
          <t>הפרופיל</t>
        </is>
      </c>
      <c r="F31" s="39" t="inlineStr">
        <is>
          <t>תנועה מהפעימה הקודמת</t>
        </is>
      </c>
      <c r="G31" s="45" t="inlineStr">
        <is>
          <t>קבוצת ביסוס</t>
        </is>
      </c>
      <c r="H31" s="45" t="inlineStr">
        <is>
          <t>הפרופיל</t>
        </is>
      </c>
      <c r="I31" s="45" t="inlineStr">
        <is>
          <t>תנועה מהפעימה הקודמת</t>
        </is>
      </c>
    </row>
    <row r="32" ht="15.75" customHeight="1" s="58">
      <c r="A32" s="41">
        <f t="array" ref="A32">IFERROR(INDEX('הזנה רכישה'!$C$6:$C$1505,MATCH($B$4&amp;"|"&amp;$D$4&amp;"|"&amp;$F$4&amp;"|קבוצה רביעית|"&amp;1,'הזנה רכישה'!$T$6:$T$1505,0)),"")</f>
        <v/>
      </c>
      <c r="B32" s="42">
        <f>IF($A32="","","רשימת מילים בלבד")</f>
        <v/>
      </c>
      <c r="C32" s="42">
        <f t="array" ref="C32">IFERROR(INDEX('הזנה רכישה'!$X$6:$X$1505,MATCH($B$4&amp;"|"&amp;$D$4&amp;"|"&amp;$F$4&amp;"|קבוצה רביעית|"&amp;1,'הזנה רכישה'!$T$6:$T$1505,0)),"")</f>
        <v/>
      </c>
      <c r="D32" s="41">
        <f t="array" ref="D32">IFERROR(INDEX('הזנה רכישה'!$C$6:$C$1505,MATCH($B$4&amp;"|"&amp;$D$4&amp;"|"&amp;$F$4&amp;"|קבוצת רכישה|"&amp;1,'הזנה רכישה'!$T$6:$T$1505,0)),"")</f>
        <v/>
      </c>
      <c r="E32" s="42">
        <f t="array" ref="E32">IFERROR(INDEX('הזנה רכישה'!$Q$6:$Q$1505,MATCH($B$4&amp;"|"&amp;$D$4&amp;"|"&amp;$F$4&amp;"|קבוצת רכישה|"&amp;1,'הזנה רכישה'!$T$6:$T$1505,0)),"")</f>
        <v/>
      </c>
      <c r="F32" s="42">
        <f t="array" ref="F32">IFERROR(INDEX('הזנה רכישה'!$X$6:$X$1505,MATCH($B$4&amp;"|"&amp;$D$4&amp;"|"&amp;$F$4&amp;"|קבוצת רכישה|"&amp;1,'הזנה רכישה'!$T$6:$T$1505,0)),"")</f>
        <v/>
      </c>
      <c r="G32" s="41">
        <f t="array" ref="G32">IFERROR(INDEX('הזנה רכישה'!$C$6:$C$1505,MATCH($B$4&amp;"|"&amp;$D$4&amp;"|"&amp;$F$4&amp;"|קבוצת ביסוס|"&amp;1,'הזנה רכישה'!$T$6:$T$1505,0)),"")</f>
        <v/>
      </c>
      <c r="H32" s="42">
        <f t="array" ref="H32">IFERROR(INDEX('הזנה רכישה'!$Q$6:$Q$1505,MATCH($B$4&amp;"|"&amp;$D$4&amp;"|"&amp;$F$4&amp;"|קבוצת ביסוס|"&amp;1,'הזנה רכישה'!$T$6:$T$1505,0)),"")</f>
        <v/>
      </c>
      <c r="I32" s="42">
        <f t="array" ref="I32">IFERROR(INDEX('הזנה רכישה'!$X$6:$X$1505,MATCH($B$4&amp;"|"&amp;$D$4&amp;"|"&amp;$F$4&amp;"|קבוצת ביסוס|"&amp;1,'הזנה רכישה'!$T$6:$T$1505,0)),"")</f>
        <v/>
      </c>
    </row>
    <row r="33" ht="15.75" customHeight="1" s="58">
      <c r="A33" s="41">
        <f t="array" ref="A33">IFERROR(INDEX('הזנה רכישה'!$C$6:$C$1505,MATCH($B$4&amp;"|"&amp;$D$4&amp;"|"&amp;$F$4&amp;"|קבוצה רביעית|"&amp;2,'הזנה רכישה'!$T$6:$T$1505,0)),"")</f>
        <v/>
      </c>
      <c r="B33" s="42">
        <f>IF($A33="","","רשימת מילים בלבד")</f>
        <v/>
      </c>
      <c r="C33" s="42">
        <f t="array" ref="C33">IFERROR(INDEX('הזנה רכישה'!$X$6:$X$1505,MATCH($B$4&amp;"|"&amp;$D$4&amp;"|"&amp;$F$4&amp;"|קבוצה רביעית|"&amp;2,'הזנה רכישה'!$T$6:$T$1505,0)),"")</f>
        <v/>
      </c>
      <c r="D33" s="41">
        <f t="array" ref="D33">IFERROR(INDEX('הזנה רכישה'!$C$6:$C$1505,MATCH($B$4&amp;"|"&amp;$D$4&amp;"|"&amp;$F$4&amp;"|קבוצת רכישה|"&amp;2,'הזנה רכישה'!$T$6:$T$1505,0)),"")</f>
        <v/>
      </c>
      <c r="E33" s="42">
        <f t="array" ref="E33">IFERROR(INDEX('הזנה רכישה'!$Q$6:$Q$1505,MATCH($B$4&amp;"|"&amp;$D$4&amp;"|"&amp;$F$4&amp;"|קבוצת רכישה|"&amp;2,'הזנה רכישה'!$T$6:$T$1505,0)),"")</f>
        <v/>
      </c>
      <c r="F33" s="42">
        <f t="array" ref="F33">IFERROR(INDEX('הזנה רכישה'!$X$6:$X$1505,MATCH($B$4&amp;"|"&amp;$D$4&amp;"|"&amp;$F$4&amp;"|קבוצת רכישה|"&amp;2,'הזנה רכישה'!$T$6:$T$1505,0)),"")</f>
        <v/>
      </c>
      <c r="G33" s="41">
        <f t="array" ref="G33">IFERROR(INDEX('הזנה רכישה'!$C$6:$C$1505,MATCH($B$4&amp;"|"&amp;$D$4&amp;"|"&amp;$F$4&amp;"|קבוצת ביסוס|"&amp;2,'הזנה רכישה'!$T$6:$T$1505,0)),"")</f>
        <v/>
      </c>
      <c r="H33" s="42">
        <f t="array" ref="H33">IFERROR(INDEX('הזנה רכישה'!$Q$6:$Q$1505,MATCH($B$4&amp;"|"&amp;$D$4&amp;"|"&amp;$F$4&amp;"|קבוצת ביסוס|"&amp;2,'הזנה רכישה'!$T$6:$T$1505,0)),"")</f>
        <v/>
      </c>
      <c r="I33" s="42">
        <f t="array" ref="I33">IFERROR(INDEX('הזנה רכישה'!$X$6:$X$1505,MATCH($B$4&amp;"|"&amp;$D$4&amp;"|"&amp;$F$4&amp;"|קבוצת ביסוס|"&amp;2,'הזנה רכישה'!$T$6:$T$1505,0)),"")</f>
        <v/>
      </c>
    </row>
    <row r="34" ht="15.75" customHeight="1" s="58">
      <c r="A34" s="41">
        <f t="array" ref="A34">IFERROR(INDEX('הזנה רכישה'!$C$6:$C$1505,MATCH($B$4&amp;"|"&amp;$D$4&amp;"|"&amp;$F$4&amp;"|קבוצה רביעית|"&amp;3,'הזנה רכישה'!$T$6:$T$1505,0)),"")</f>
        <v/>
      </c>
      <c r="B34" s="42">
        <f>IF($A34="","","רשימת מילים בלבד")</f>
        <v/>
      </c>
      <c r="C34" s="42">
        <f t="array" ref="C34">IFERROR(INDEX('הזנה רכישה'!$X$6:$X$1505,MATCH($B$4&amp;"|"&amp;$D$4&amp;"|"&amp;$F$4&amp;"|קבוצה רביעית|"&amp;3,'הזנה רכישה'!$T$6:$T$1505,0)),"")</f>
        <v/>
      </c>
      <c r="D34" s="41">
        <f t="array" ref="D34">IFERROR(INDEX('הזנה רכישה'!$C$6:$C$1505,MATCH($B$4&amp;"|"&amp;$D$4&amp;"|"&amp;$F$4&amp;"|קבוצת רכישה|"&amp;3,'הזנה רכישה'!$T$6:$T$1505,0)),"")</f>
        <v/>
      </c>
      <c r="E34" s="42">
        <f t="array" ref="E34">IFERROR(INDEX('הזנה רכישה'!$Q$6:$Q$1505,MATCH($B$4&amp;"|"&amp;$D$4&amp;"|"&amp;$F$4&amp;"|קבוצת רכישה|"&amp;3,'הזנה רכישה'!$T$6:$T$1505,0)),"")</f>
        <v/>
      </c>
      <c r="F34" s="42">
        <f t="array" ref="F34">IFERROR(INDEX('הזנה רכישה'!$X$6:$X$1505,MATCH($B$4&amp;"|"&amp;$D$4&amp;"|"&amp;$F$4&amp;"|קבוצת רכישה|"&amp;3,'הזנה רכישה'!$T$6:$T$1505,0)),"")</f>
        <v/>
      </c>
      <c r="G34" s="41">
        <f t="array" ref="G34">IFERROR(INDEX('הזנה רכישה'!$C$6:$C$1505,MATCH($B$4&amp;"|"&amp;$D$4&amp;"|"&amp;$F$4&amp;"|קבוצת ביסוס|"&amp;3,'הזנה רכישה'!$T$6:$T$1505,0)),"")</f>
        <v/>
      </c>
      <c r="H34" s="42">
        <f t="array" ref="H34">IFERROR(INDEX('הזנה רכישה'!$Q$6:$Q$1505,MATCH($B$4&amp;"|"&amp;$D$4&amp;"|"&amp;$F$4&amp;"|קבוצת ביסוס|"&amp;3,'הזנה רכישה'!$T$6:$T$1505,0)),"")</f>
        <v/>
      </c>
      <c r="I34" s="42">
        <f t="array" ref="I34">IFERROR(INDEX('הזנה רכישה'!$X$6:$X$1505,MATCH($B$4&amp;"|"&amp;$D$4&amp;"|"&amp;$F$4&amp;"|קבוצת ביסוס|"&amp;3,'הזנה רכישה'!$T$6:$T$1505,0)),"")</f>
        <v/>
      </c>
    </row>
    <row r="35" ht="15.75" customHeight="1" s="58">
      <c r="A35" s="41">
        <f t="array" ref="A35">IFERROR(INDEX('הזנה רכישה'!$C$6:$C$1505,MATCH($B$4&amp;"|"&amp;$D$4&amp;"|"&amp;$F$4&amp;"|קבוצה רביעית|"&amp;4,'הזנה רכישה'!$T$6:$T$1505,0)),"")</f>
        <v/>
      </c>
      <c r="B35" s="42">
        <f>IF($A35="","","רשימת מילים בלבד")</f>
        <v/>
      </c>
      <c r="C35" s="42">
        <f t="array" ref="C35">IFERROR(INDEX('הזנה רכישה'!$X$6:$X$1505,MATCH($B$4&amp;"|"&amp;$D$4&amp;"|"&amp;$F$4&amp;"|קבוצה רביעית|"&amp;4,'הזנה רכישה'!$T$6:$T$1505,0)),"")</f>
        <v/>
      </c>
      <c r="D35" s="41">
        <f t="array" ref="D35">IFERROR(INDEX('הזנה רכישה'!$C$6:$C$1505,MATCH($B$4&amp;"|"&amp;$D$4&amp;"|"&amp;$F$4&amp;"|קבוצת רכישה|"&amp;4,'הזנה רכישה'!$T$6:$T$1505,0)),"")</f>
        <v/>
      </c>
      <c r="E35" s="42">
        <f t="array" ref="E35">IFERROR(INDEX('הזנה רכישה'!$Q$6:$Q$1505,MATCH($B$4&amp;"|"&amp;$D$4&amp;"|"&amp;$F$4&amp;"|קבוצת רכישה|"&amp;4,'הזנה רכישה'!$T$6:$T$1505,0)),"")</f>
        <v/>
      </c>
      <c r="F35" s="42">
        <f t="array" ref="F35">IFERROR(INDEX('הזנה רכישה'!$X$6:$X$1505,MATCH($B$4&amp;"|"&amp;$D$4&amp;"|"&amp;$F$4&amp;"|קבוצת רכישה|"&amp;4,'הזנה רכישה'!$T$6:$T$1505,0)),"")</f>
        <v/>
      </c>
      <c r="G35" s="41">
        <f t="array" ref="G35">IFERROR(INDEX('הזנה רכישה'!$C$6:$C$1505,MATCH($B$4&amp;"|"&amp;$D$4&amp;"|"&amp;$F$4&amp;"|קבוצת ביסוס|"&amp;4,'הזנה רכישה'!$T$6:$T$1505,0)),"")</f>
        <v/>
      </c>
      <c r="H35" s="42">
        <f t="array" ref="H35">IFERROR(INDEX('הזנה רכישה'!$Q$6:$Q$1505,MATCH($B$4&amp;"|"&amp;$D$4&amp;"|"&amp;$F$4&amp;"|קבוצת ביסוס|"&amp;4,'הזנה רכישה'!$T$6:$T$1505,0)),"")</f>
        <v/>
      </c>
      <c r="I35" s="42">
        <f t="array" ref="I35">IFERROR(INDEX('הזנה רכישה'!$X$6:$X$1505,MATCH($B$4&amp;"|"&amp;$D$4&amp;"|"&amp;$F$4&amp;"|קבוצת ביסוס|"&amp;4,'הזנה רכישה'!$T$6:$T$1505,0)),"")</f>
        <v/>
      </c>
    </row>
    <row r="36" ht="15.75" customHeight="1" s="58">
      <c r="A36" s="41">
        <f t="array" ref="A36">IFERROR(INDEX('הזנה רכישה'!$C$6:$C$1505,MATCH($B$4&amp;"|"&amp;$D$4&amp;"|"&amp;$F$4&amp;"|קבוצה רביעית|"&amp;5,'הזנה רכישה'!$T$6:$T$1505,0)),"")</f>
        <v/>
      </c>
      <c r="B36" s="42">
        <f>IF($A36="","","רשימת מילים בלבד")</f>
        <v/>
      </c>
      <c r="C36" s="42">
        <f t="array" ref="C36">IFERROR(INDEX('הזנה רכישה'!$X$6:$X$1505,MATCH($B$4&amp;"|"&amp;$D$4&amp;"|"&amp;$F$4&amp;"|קבוצה רביעית|"&amp;5,'הזנה רכישה'!$T$6:$T$1505,0)),"")</f>
        <v/>
      </c>
      <c r="D36" s="41">
        <f t="array" ref="D36">IFERROR(INDEX('הזנה רכישה'!$C$6:$C$1505,MATCH($B$4&amp;"|"&amp;$D$4&amp;"|"&amp;$F$4&amp;"|קבוצת רכישה|"&amp;5,'הזנה רכישה'!$T$6:$T$1505,0)),"")</f>
        <v/>
      </c>
      <c r="E36" s="42">
        <f t="array" ref="E36">IFERROR(INDEX('הזנה רכישה'!$Q$6:$Q$1505,MATCH($B$4&amp;"|"&amp;$D$4&amp;"|"&amp;$F$4&amp;"|קבוצת רכישה|"&amp;5,'הזנה רכישה'!$T$6:$T$1505,0)),"")</f>
        <v/>
      </c>
      <c r="F36" s="42">
        <f t="array" ref="F36">IFERROR(INDEX('הזנה רכישה'!$X$6:$X$1505,MATCH($B$4&amp;"|"&amp;$D$4&amp;"|"&amp;$F$4&amp;"|קבוצת רכישה|"&amp;5,'הזנה רכישה'!$T$6:$T$1505,0)),"")</f>
        <v/>
      </c>
      <c r="G36" s="41">
        <f t="array" ref="G36">IFERROR(INDEX('הזנה רכישה'!$C$6:$C$1505,MATCH($B$4&amp;"|"&amp;$D$4&amp;"|"&amp;$F$4&amp;"|קבוצת ביסוס|"&amp;5,'הזנה רכישה'!$T$6:$T$1505,0)),"")</f>
        <v/>
      </c>
      <c r="H36" s="42">
        <f t="array" ref="H36">IFERROR(INDEX('הזנה רכישה'!$Q$6:$Q$1505,MATCH($B$4&amp;"|"&amp;$D$4&amp;"|"&amp;$F$4&amp;"|קבוצת ביסוס|"&amp;5,'הזנה רכישה'!$T$6:$T$1505,0)),"")</f>
        <v/>
      </c>
      <c r="I36" s="42">
        <f t="array" ref="I36">IFERROR(INDEX('הזנה רכישה'!$X$6:$X$1505,MATCH($B$4&amp;"|"&amp;$D$4&amp;"|"&amp;$F$4&amp;"|קבוצת ביסוס|"&amp;5,'הזנה רכישה'!$T$6:$T$1505,0)),"")</f>
        <v/>
      </c>
    </row>
    <row r="37" ht="15.75" customHeight="1" s="58">
      <c r="A37" s="41">
        <f t="array" ref="A37">IFERROR(INDEX('הזנה רכישה'!$C$6:$C$1505,MATCH($B$4&amp;"|"&amp;$D$4&amp;"|"&amp;$F$4&amp;"|קבוצה רביעית|"&amp;6,'הזנה רכישה'!$T$6:$T$1505,0)),"")</f>
        <v/>
      </c>
      <c r="B37" s="42">
        <f>IF($A37="","","רשימת מילים בלבד")</f>
        <v/>
      </c>
      <c r="C37" s="42">
        <f t="array" ref="C37">IFERROR(INDEX('הזנה רכישה'!$X$6:$X$1505,MATCH($B$4&amp;"|"&amp;$D$4&amp;"|"&amp;$F$4&amp;"|קבוצה רביעית|"&amp;6,'הזנה רכישה'!$T$6:$T$1505,0)),"")</f>
        <v/>
      </c>
      <c r="D37" s="41">
        <f t="array" ref="D37">IFERROR(INDEX('הזנה רכישה'!$C$6:$C$1505,MATCH($B$4&amp;"|"&amp;$D$4&amp;"|"&amp;$F$4&amp;"|קבוצת רכישה|"&amp;6,'הזנה רכישה'!$T$6:$T$1505,0)),"")</f>
        <v/>
      </c>
      <c r="E37" s="42">
        <f t="array" ref="E37">IFERROR(INDEX('הזנה רכישה'!$Q$6:$Q$1505,MATCH($B$4&amp;"|"&amp;$D$4&amp;"|"&amp;$F$4&amp;"|קבוצת רכישה|"&amp;6,'הזנה רכישה'!$T$6:$T$1505,0)),"")</f>
        <v/>
      </c>
      <c r="F37" s="42">
        <f t="array" ref="F37">IFERROR(INDEX('הזנה רכישה'!$X$6:$X$1505,MATCH($B$4&amp;"|"&amp;$D$4&amp;"|"&amp;$F$4&amp;"|קבוצת רכישה|"&amp;6,'הזנה רכישה'!$T$6:$T$1505,0)),"")</f>
        <v/>
      </c>
      <c r="G37" s="41">
        <f t="array" ref="G37">IFERROR(INDEX('הזנה רכישה'!$C$6:$C$1505,MATCH($B$4&amp;"|"&amp;$D$4&amp;"|"&amp;$F$4&amp;"|קבוצת ביסוס|"&amp;6,'הזנה רכישה'!$T$6:$T$1505,0)),"")</f>
        <v/>
      </c>
      <c r="H37" s="42">
        <f t="array" ref="H37">IFERROR(INDEX('הזנה רכישה'!$Q$6:$Q$1505,MATCH($B$4&amp;"|"&amp;$D$4&amp;"|"&amp;$F$4&amp;"|קבוצת ביסוס|"&amp;6,'הזנה רכישה'!$T$6:$T$1505,0)),"")</f>
        <v/>
      </c>
      <c r="I37" s="42">
        <f t="array" ref="I37">IFERROR(INDEX('הזנה רכישה'!$X$6:$X$1505,MATCH($B$4&amp;"|"&amp;$D$4&amp;"|"&amp;$F$4&amp;"|קבוצת ביסוס|"&amp;6,'הזנה רכישה'!$T$6:$T$1505,0)),"")</f>
        <v/>
      </c>
    </row>
    <row r="38" ht="15.75" customHeight="1" s="58">
      <c r="A38" s="41">
        <f t="array" ref="A38">IFERROR(INDEX('הזנה רכישה'!$C$6:$C$1505,MATCH($B$4&amp;"|"&amp;$D$4&amp;"|"&amp;$F$4&amp;"|קבוצה רביעית|"&amp;7,'הזנה רכישה'!$T$6:$T$1505,0)),"")</f>
        <v/>
      </c>
      <c r="B38" s="42">
        <f>IF($A38="","","רשימת מילים בלבד")</f>
        <v/>
      </c>
      <c r="C38" s="42">
        <f t="array" ref="C38">IFERROR(INDEX('הזנה רכישה'!$X$6:$X$1505,MATCH($B$4&amp;"|"&amp;$D$4&amp;"|"&amp;$F$4&amp;"|קבוצה רביעית|"&amp;7,'הזנה רכישה'!$T$6:$T$1505,0)),"")</f>
        <v/>
      </c>
      <c r="D38" s="41">
        <f t="array" ref="D38">IFERROR(INDEX('הזנה רכישה'!$C$6:$C$1505,MATCH($B$4&amp;"|"&amp;$D$4&amp;"|"&amp;$F$4&amp;"|קבוצת רכישה|"&amp;7,'הזנה רכישה'!$T$6:$T$1505,0)),"")</f>
        <v/>
      </c>
      <c r="E38" s="42">
        <f t="array" ref="E38">IFERROR(INDEX('הזנה רכישה'!$Q$6:$Q$1505,MATCH($B$4&amp;"|"&amp;$D$4&amp;"|"&amp;$F$4&amp;"|קבוצת רכישה|"&amp;7,'הזנה רכישה'!$T$6:$T$1505,0)),"")</f>
        <v/>
      </c>
      <c r="F38" s="42">
        <f t="array" ref="F38">IFERROR(INDEX('הזנה רכישה'!$X$6:$X$1505,MATCH($B$4&amp;"|"&amp;$D$4&amp;"|"&amp;$F$4&amp;"|קבוצת רכישה|"&amp;7,'הזנה רכישה'!$T$6:$T$1505,0)),"")</f>
        <v/>
      </c>
      <c r="G38" s="41">
        <f t="array" ref="G38">IFERROR(INDEX('הזנה רכישה'!$C$6:$C$1505,MATCH($B$4&amp;"|"&amp;$D$4&amp;"|"&amp;$F$4&amp;"|קבוצת ביסוס|"&amp;7,'הזנה רכישה'!$T$6:$T$1505,0)),"")</f>
        <v/>
      </c>
      <c r="H38" s="42">
        <f t="array" ref="H38">IFERROR(INDEX('הזנה רכישה'!$Q$6:$Q$1505,MATCH($B$4&amp;"|"&amp;$D$4&amp;"|"&amp;$F$4&amp;"|קבוצת ביסוס|"&amp;7,'הזנה רכישה'!$T$6:$T$1505,0)),"")</f>
        <v/>
      </c>
      <c r="I38" s="42">
        <f t="array" ref="I38">IFERROR(INDEX('הזנה רכישה'!$X$6:$X$1505,MATCH($B$4&amp;"|"&amp;$D$4&amp;"|"&amp;$F$4&amp;"|קבוצת ביסוס|"&amp;7,'הזנה רכישה'!$T$6:$T$1505,0)),"")</f>
        <v/>
      </c>
    </row>
    <row r="39" ht="15.75" customHeight="1" s="58">
      <c r="A39" s="41">
        <f t="array" ref="A39">IFERROR(INDEX('הזנה רכישה'!$C$6:$C$1505,MATCH($B$4&amp;"|"&amp;$D$4&amp;"|"&amp;$F$4&amp;"|קבוצה רביעית|"&amp;8,'הזנה רכישה'!$T$6:$T$1505,0)),"")</f>
        <v/>
      </c>
      <c r="B39" s="42">
        <f>IF($A39="","","רשימת מילים בלבד")</f>
        <v/>
      </c>
      <c r="C39" s="42">
        <f t="array" ref="C39">IFERROR(INDEX('הזנה רכישה'!$X$6:$X$1505,MATCH($B$4&amp;"|"&amp;$D$4&amp;"|"&amp;$F$4&amp;"|קבוצה רביעית|"&amp;8,'הזנה רכישה'!$T$6:$T$1505,0)),"")</f>
        <v/>
      </c>
      <c r="D39" s="41">
        <f t="array" ref="D39">IFERROR(INDEX('הזנה רכישה'!$C$6:$C$1505,MATCH($B$4&amp;"|"&amp;$D$4&amp;"|"&amp;$F$4&amp;"|קבוצת רכישה|"&amp;8,'הזנה רכישה'!$T$6:$T$1505,0)),"")</f>
        <v/>
      </c>
      <c r="E39" s="42">
        <f t="array" ref="E39">IFERROR(INDEX('הזנה רכישה'!$Q$6:$Q$1505,MATCH($B$4&amp;"|"&amp;$D$4&amp;"|"&amp;$F$4&amp;"|קבוצת רכישה|"&amp;8,'הזנה רכישה'!$T$6:$T$1505,0)),"")</f>
        <v/>
      </c>
      <c r="F39" s="42">
        <f t="array" ref="F39">IFERROR(INDEX('הזנה רכישה'!$X$6:$X$1505,MATCH($B$4&amp;"|"&amp;$D$4&amp;"|"&amp;$F$4&amp;"|קבוצת רכישה|"&amp;8,'הזנה רכישה'!$T$6:$T$1505,0)),"")</f>
        <v/>
      </c>
      <c r="G39" s="41">
        <f t="array" ref="G39">IFERROR(INDEX('הזנה רכישה'!$C$6:$C$1505,MATCH($B$4&amp;"|"&amp;$D$4&amp;"|"&amp;$F$4&amp;"|קבוצת ביסוס|"&amp;8,'הזנה רכישה'!$T$6:$T$1505,0)),"")</f>
        <v/>
      </c>
      <c r="H39" s="42">
        <f t="array" ref="H39">IFERROR(INDEX('הזנה רכישה'!$Q$6:$Q$1505,MATCH($B$4&amp;"|"&amp;$D$4&amp;"|"&amp;$F$4&amp;"|קבוצת ביסוס|"&amp;8,'הזנה רכישה'!$T$6:$T$1505,0)),"")</f>
        <v/>
      </c>
      <c r="I39" s="42">
        <f t="array" ref="I39">IFERROR(INDEX('הזנה רכישה'!$X$6:$X$1505,MATCH($B$4&amp;"|"&amp;$D$4&amp;"|"&amp;$F$4&amp;"|קבוצת ביסוס|"&amp;8,'הזנה רכישה'!$T$6:$T$1505,0)),"")</f>
        <v/>
      </c>
    </row>
    <row r="40" ht="15.75" customHeight="1" s="58">
      <c r="A40" s="41">
        <f t="array" ref="A40">IFERROR(INDEX('הזנה רכישה'!$C$6:$C$1505,MATCH($B$4&amp;"|"&amp;$D$4&amp;"|"&amp;$F$4&amp;"|קבוצה רביעית|"&amp;9,'הזנה רכישה'!$T$6:$T$1505,0)),"")</f>
        <v/>
      </c>
      <c r="B40" s="42">
        <f>IF($A40="","","רשימת מילים בלבד")</f>
        <v/>
      </c>
      <c r="C40" s="42">
        <f t="array" ref="C40">IFERROR(INDEX('הזנה רכישה'!$X$6:$X$1505,MATCH($B$4&amp;"|"&amp;$D$4&amp;"|"&amp;$F$4&amp;"|קבוצה רביעית|"&amp;9,'הזנה רכישה'!$T$6:$T$1505,0)),"")</f>
        <v/>
      </c>
      <c r="D40" s="41">
        <f t="array" ref="D40">IFERROR(INDEX('הזנה רכישה'!$C$6:$C$1505,MATCH($B$4&amp;"|"&amp;$D$4&amp;"|"&amp;$F$4&amp;"|קבוצת רכישה|"&amp;9,'הזנה רכישה'!$T$6:$T$1505,0)),"")</f>
        <v/>
      </c>
      <c r="E40" s="42">
        <f t="array" ref="E40">IFERROR(INDEX('הזנה רכישה'!$Q$6:$Q$1505,MATCH($B$4&amp;"|"&amp;$D$4&amp;"|"&amp;$F$4&amp;"|קבוצת רכישה|"&amp;9,'הזנה רכישה'!$T$6:$T$1505,0)),"")</f>
        <v/>
      </c>
      <c r="F40" s="42">
        <f t="array" ref="F40">IFERROR(INDEX('הזנה רכישה'!$X$6:$X$1505,MATCH($B$4&amp;"|"&amp;$D$4&amp;"|"&amp;$F$4&amp;"|קבוצת רכישה|"&amp;9,'הזנה רכישה'!$T$6:$T$1505,0)),"")</f>
        <v/>
      </c>
      <c r="G40" s="41">
        <f t="array" ref="G40">IFERROR(INDEX('הזנה רכישה'!$C$6:$C$1505,MATCH($B$4&amp;"|"&amp;$D$4&amp;"|"&amp;$F$4&amp;"|קבוצת ביסוס|"&amp;9,'הזנה רכישה'!$T$6:$T$1505,0)),"")</f>
        <v/>
      </c>
      <c r="H40" s="42">
        <f t="array" ref="H40">IFERROR(INDEX('הזנה רכישה'!$Q$6:$Q$1505,MATCH($B$4&amp;"|"&amp;$D$4&amp;"|"&amp;$F$4&amp;"|קבוצת ביסוס|"&amp;9,'הזנה רכישה'!$T$6:$T$1505,0)),"")</f>
        <v/>
      </c>
      <c r="I40" s="42">
        <f t="array" ref="I40">IFERROR(INDEX('הזנה רכישה'!$X$6:$X$1505,MATCH($B$4&amp;"|"&amp;$D$4&amp;"|"&amp;$F$4&amp;"|קבוצת ביסוס|"&amp;9,'הזנה רכישה'!$T$6:$T$1505,0)),"")</f>
        <v/>
      </c>
    </row>
    <row r="41" ht="15.75" customHeight="1" s="58">
      <c r="A41" s="41">
        <f t="array" ref="A41">IFERROR(INDEX('הזנה רכישה'!$C$6:$C$1505,MATCH($B$4&amp;"|"&amp;$D$4&amp;"|"&amp;$F$4&amp;"|קבוצה רביעית|"&amp;10,'הזנה רכישה'!$T$6:$T$1505,0)),"")</f>
        <v/>
      </c>
      <c r="B41" s="42">
        <f>IF($A41="","","רשימת מילים בלבד")</f>
        <v/>
      </c>
      <c r="C41" s="42">
        <f t="array" ref="C41">IFERROR(INDEX('הזנה רכישה'!$X$6:$X$1505,MATCH($B$4&amp;"|"&amp;$D$4&amp;"|"&amp;$F$4&amp;"|קבוצה רביעית|"&amp;10,'הזנה רכישה'!$T$6:$T$1505,0)),"")</f>
        <v/>
      </c>
      <c r="D41" s="41">
        <f t="array" ref="D41">IFERROR(INDEX('הזנה רכישה'!$C$6:$C$1505,MATCH($B$4&amp;"|"&amp;$D$4&amp;"|"&amp;$F$4&amp;"|קבוצת רכישה|"&amp;10,'הזנה רכישה'!$T$6:$T$1505,0)),"")</f>
        <v/>
      </c>
      <c r="E41" s="42">
        <f t="array" ref="E41">IFERROR(INDEX('הזנה רכישה'!$Q$6:$Q$1505,MATCH($B$4&amp;"|"&amp;$D$4&amp;"|"&amp;$F$4&amp;"|קבוצת רכישה|"&amp;10,'הזנה רכישה'!$T$6:$T$1505,0)),"")</f>
        <v/>
      </c>
      <c r="F41" s="42">
        <f t="array" ref="F41">IFERROR(INDEX('הזנה רכישה'!$X$6:$X$1505,MATCH($B$4&amp;"|"&amp;$D$4&amp;"|"&amp;$F$4&amp;"|קבוצת רכישה|"&amp;10,'הזנה רכישה'!$T$6:$T$1505,0)),"")</f>
        <v/>
      </c>
      <c r="G41" s="41">
        <f t="array" ref="G41">IFERROR(INDEX('הזנה רכישה'!$C$6:$C$1505,MATCH($B$4&amp;"|"&amp;$D$4&amp;"|"&amp;$F$4&amp;"|קבוצת ביסוס|"&amp;10,'הזנה רכישה'!$T$6:$T$1505,0)),"")</f>
        <v/>
      </c>
      <c r="H41" s="42">
        <f t="array" ref="H41">IFERROR(INDEX('הזנה רכישה'!$Q$6:$Q$1505,MATCH($B$4&amp;"|"&amp;$D$4&amp;"|"&amp;$F$4&amp;"|קבוצת ביסוס|"&amp;10,'הזנה רכישה'!$T$6:$T$1505,0)),"")</f>
        <v/>
      </c>
      <c r="I41" s="42">
        <f t="array" ref="I41">IFERROR(INDEX('הזנה רכישה'!$X$6:$X$1505,MATCH($B$4&amp;"|"&amp;$D$4&amp;"|"&amp;$F$4&amp;"|קבוצת ביסוס|"&amp;10,'הזנה רכישה'!$T$6:$T$1505,0)),"")</f>
        <v/>
      </c>
    </row>
    <row r="42" ht="15.75" customHeight="1" s="58">
      <c r="A42" s="41">
        <f t="array" ref="A42">IFERROR(INDEX('הזנה רכישה'!$C$6:$C$1505,MATCH($B$4&amp;"|"&amp;$D$4&amp;"|"&amp;$F$4&amp;"|קבוצה רביעית|"&amp;11,'הזנה רכישה'!$T$6:$T$1505,0)),"")</f>
        <v/>
      </c>
      <c r="B42" s="42">
        <f>IF($A42="","","רשימת מילים בלבד")</f>
        <v/>
      </c>
      <c r="C42" s="42">
        <f t="array" ref="C42">IFERROR(INDEX('הזנה רכישה'!$X$6:$X$1505,MATCH($B$4&amp;"|"&amp;$D$4&amp;"|"&amp;$F$4&amp;"|קבוצה רביעית|"&amp;11,'הזנה רכישה'!$T$6:$T$1505,0)),"")</f>
        <v/>
      </c>
      <c r="D42" s="41">
        <f t="array" ref="D42">IFERROR(INDEX('הזנה רכישה'!$C$6:$C$1505,MATCH($B$4&amp;"|"&amp;$D$4&amp;"|"&amp;$F$4&amp;"|קבוצת רכישה|"&amp;11,'הזנה רכישה'!$T$6:$T$1505,0)),"")</f>
        <v/>
      </c>
      <c r="E42" s="42">
        <f t="array" ref="E42">IFERROR(INDEX('הזנה רכישה'!$Q$6:$Q$1505,MATCH($B$4&amp;"|"&amp;$D$4&amp;"|"&amp;$F$4&amp;"|קבוצת רכישה|"&amp;11,'הזנה רכישה'!$T$6:$T$1505,0)),"")</f>
        <v/>
      </c>
      <c r="F42" s="42">
        <f t="array" ref="F42">IFERROR(INDEX('הזנה רכישה'!$X$6:$X$1505,MATCH($B$4&amp;"|"&amp;$D$4&amp;"|"&amp;$F$4&amp;"|קבוצת רכישה|"&amp;11,'הזנה רכישה'!$T$6:$T$1505,0)),"")</f>
        <v/>
      </c>
      <c r="G42" s="41">
        <f t="array" ref="G42">IFERROR(INDEX('הזנה רכישה'!$C$6:$C$1505,MATCH($B$4&amp;"|"&amp;$D$4&amp;"|"&amp;$F$4&amp;"|קבוצת ביסוס|"&amp;11,'הזנה רכישה'!$T$6:$T$1505,0)),"")</f>
        <v/>
      </c>
      <c r="H42" s="42">
        <f t="array" ref="H42">IFERROR(INDEX('הזנה רכישה'!$Q$6:$Q$1505,MATCH($B$4&amp;"|"&amp;$D$4&amp;"|"&amp;$F$4&amp;"|קבוצת ביסוס|"&amp;11,'הזנה רכישה'!$T$6:$T$1505,0)),"")</f>
        <v/>
      </c>
      <c r="I42" s="42">
        <f t="array" ref="I42">IFERROR(INDEX('הזנה רכישה'!$X$6:$X$1505,MATCH($B$4&amp;"|"&amp;$D$4&amp;"|"&amp;$F$4&amp;"|קבוצת ביסוס|"&amp;11,'הזנה רכישה'!$T$6:$T$1505,0)),"")</f>
        <v/>
      </c>
    </row>
    <row r="43" ht="15.75" customHeight="1" s="58">
      <c r="A43" s="41">
        <f t="array" ref="A43">IFERROR(INDEX('הזנה רכישה'!$C$6:$C$1505,MATCH($B$4&amp;"|"&amp;$D$4&amp;"|"&amp;$F$4&amp;"|קבוצה רביעית|"&amp;12,'הזנה רכישה'!$T$6:$T$1505,0)),"")</f>
        <v/>
      </c>
      <c r="B43" s="42">
        <f>IF($A43="","","רשימת מילים בלבד")</f>
        <v/>
      </c>
      <c r="C43" s="42">
        <f t="array" ref="C43">IFERROR(INDEX('הזנה רכישה'!$X$6:$X$1505,MATCH($B$4&amp;"|"&amp;$D$4&amp;"|"&amp;$F$4&amp;"|קבוצה רביעית|"&amp;12,'הזנה רכישה'!$T$6:$T$1505,0)),"")</f>
        <v/>
      </c>
      <c r="D43" s="41">
        <f t="array" ref="D43">IFERROR(INDEX('הזנה רכישה'!$C$6:$C$1505,MATCH($B$4&amp;"|"&amp;$D$4&amp;"|"&amp;$F$4&amp;"|קבוצת רכישה|"&amp;12,'הזנה רכישה'!$T$6:$T$1505,0)),"")</f>
        <v/>
      </c>
      <c r="E43" s="42">
        <f t="array" ref="E43">IFERROR(INDEX('הזנה רכישה'!$Q$6:$Q$1505,MATCH($B$4&amp;"|"&amp;$D$4&amp;"|"&amp;$F$4&amp;"|קבוצת רכישה|"&amp;12,'הזנה רכישה'!$T$6:$T$1505,0)),"")</f>
        <v/>
      </c>
      <c r="F43" s="42">
        <f t="array" ref="F43">IFERROR(INDEX('הזנה רכישה'!$X$6:$X$1505,MATCH($B$4&amp;"|"&amp;$D$4&amp;"|"&amp;$F$4&amp;"|קבוצת רכישה|"&amp;12,'הזנה רכישה'!$T$6:$T$1505,0)),"")</f>
        <v/>
      </c>
      <c r="G43" s="41">
        <f t="array" ref="G43">IFERROR(INDEX('הזנה רכישה'!$C$6:$C$1505,MATCH($B$4&amp;"|"&amp;$D$4&amp;"|"&amp;$F$4&amp;"|קבוצת ביסוס|"&amp;12,'הזנה רכישה'!$T$6:$T$1505,0)),"")</f>
        <v/>
      </c>
      <c r="H43" s="42">
        <f t="array" ref="H43">IFERROR(INDEX('הזנה רכישה'!$Q$6:$Q$1505,MATCH($B$4&amp;"|"&amp;$D$4&amp;"|"&amp;$F$4&amp;"|קבוצת ביסוס|"&amp;12,'הזנה רכישה'!$T$6:$T$1505,0)),"")</f>
        <v/>
      </c>
      <c r="I43" s="42">
        <f t="array" ref="I43">IFERROR(INDEX('הזנה רכישה'!$X$6:$X$1505,MATCH($B$4&amp;"|"&amp;$D$4&amp;"|"&amp;$F$4&amp;"|קבוצת ביסוס|"&amp;12,'הזנה רכישה'!$T$6:$T$1505,0)),"")</f>
        <v/>
      </c>
    </row>
    <row r="44" ht="15.75" customHeight="1" s="58"/>
    <row r="45" ht="15.75" customHeight="1" s="58">
      <c r="A45" s="47" t="inlineStr">
        <is>
          <t>הערה: תלמיד שנתוניו חסרים לא ישויך לקבוצה ולא יופיע ברשימה. עמודת התנועה ריקה בפעימת תחילת השנה.</t>
        </is>
      </c>
    </row>
    <row r="46" ht="15.75" customHeight="1" s="58"/>
    <row r="47" ht="15.75" customHeight="1" s="58"/>
    <row r="48" ht="15.75" customHeight="1" s="58"/>
    <row r="49" ht="15.75" customHeight="1" s="58"/>
    <row r="50" ht="15.75" customHeight="1" s="58"/>
    <row r="51" ht="15.75" customHeight="1" s="58"/>
    <row r="52" ht="15.75" customHeight="1" s="58"/>
    <row r="53" ht="15.75" customHeight="1" s="58"/>
    <row r="54" ht="15.75" customHeight="1" s="58"/>
    <row r="55" ht="15.75" customHeight="1" s="58"/>
    <row r="56" ht="15.75" customHeight="1" s="58"/>
    <row r="57" ht="15.75" customHeight="1" s="58"/>
    <row r="58" ht="15.75" customHeight="1" s="58"/>
    <row r="59" ht="15.75" customHeight="1" s="58"/>
    <row r="60" ht="15.75" customHeight="1" s="58"/>
    <row r="61" ht="15.75" customHeight="1" s="58"/>
    <row r="62" ht="15.75" customHeight="1" s="58"/>
    <row r="63" ht="15.75" customHeight="1" s="58"/>
    <row r="64" ht="15.75" customHeight="1" s="58"/>
    <row r="65" ht="15.75" customHeight="1" s="58"/>
    <row r="66" ht="15.75" customHeight="1" s="58"/>
    <row r="67" ht="15.75" customHeight="1" s="58"/>
    <row r="68" ht="15.75" customHeight="1" s="58"/>
    <row r="69" ht="15.75" customHeight="1" s="58"/>
    <row r="70" ht="15.75" customHeight="1" s="58"/>
    <row r="71" ht="15.75" customHeight="1" s="58"/>
    <row r="72" ht="15.75" customHeight="1" s="58"/>
    <row r="73" ht="15.75" customHeight="1" s="58"/>
    <row r="74" ht="15.75" customHeight="1" s="58"/>
    <row r="75" ht="15.75" customHeight="1" s="58"/>
    <row r="76" ht="15.75" customHeight="1" s="58"/>
    <row r="77" ht="15.75" customHeight="1" s="58"/>
    <row r="78" ht="15.75" customHeight="1" s="58"/>
    <row r="79" ht="15.75" customHeight="1" s="58"/>
    <row r="80" ht="15.75" customHeight="1" s="58"/>
    <row r="81" ht="15.75" customHeight="1" s="58"/>
    <row r="82" ht="15.75" customHeight="1" s="58"/>
    <row r="83" ht="15.75" customHeight="1" s="58"/>
    <row r="84" ht="15.75" customHeight="1" s="58"/>
    <row r="85" ht="15.75" customHeight="1" s="58"/>
    <row r="86" ht="15.75" customHeight="1" s="58"/>
    <row r="87" ht="15.75" customHeight="1" s="58"/>
    <row r="88" ht="15.75" customHeight="1" s="58"/>
    <row r="89" ht="15.75" customHeight="1" s="58"/>
    <row r="90" ht="15.75" customHeight="1" s="58"/>
    <row r="91" ht="15.75" customHeight="1" s="58"/>
    <row r="92" ht="15.75" customHeight="1" s="58"/>
    <row r="93" ht="15.75" customHeight="1" s="58"/>
    <row r="94" ht="15.75" customHeight="1" s="58"/>
    <row r="95" ht="15.75" customHeight="1" s="58"/>
    <row r="96" ht="15.75" customHeight="1" s="58"/>
    <row r="97" ht="15.75" customHeight="1" s="58"/>
    <row r="98" ht="15.75" customHeight="1" s="58"/>
    <row r="99" ht="15.75" customHeight="1" s="58"/>
    <row r="100" ht="15.75" customHeight="1" s="58"/>
    <row r="101" ht="15.75" customHeight="1" s="58"/>
    <row r="102" ht="15.75" customHeight="1" s="58"/>
    <row r="103" ht="15.75" customHeight="1" s="58"/>
    <row r="104" ht="15.75" customHeight="1" s="58"/>
    <row r="105" ht="15.75" customHeight="1" s="58"/>
    <row r="106" ht="15.75" customHeight="1" s="58"/>
    <row r="107" ht="15.75" customHeight="1" s="58"/>
    <row r="108" ht="15.75" customHeight="1" s="58"/>
    <row r="109" ht="15.75" customHeight="1" s="58"/>
    <row r="110" ht="15.75" customHeight="1" s="58"/>
    <row r="111" ht="15.75" customHeight="1" s="58"/>
    <row r="112" ht="15.75" customHeight="1" s="58"/>
    <row r="113" ht="15.75" customHeight="1" s="58"/>
    <row r="114" ht="15.75" customHeight="1" s="58"/>
    <row r="115" ht="15.75" customHeight="1" s="58"/>
    <row r="116" ht="15.75" customHeight="1" s="58"/>
    <row r="117" ht="15.75" customHeight="1" s="58"/>
    <row r="118" ht="15.75" customHeight="1" s="58"/>
    <row r="119" ht="15.75" customHeight="1" s="58"/>
    <row r="120" ht="15.75" customHeight="1" s="58"/>
    <row r="121" ht="15.75" customHeight="1" s="58"/>
    <row r="122" ht="15.75" customHeight="1" s="58"/>
    <row r="123" ht="15.75" customHeight="1" s="58"/>
    <row r="124" ht="15.75" customHeight="1" s="58"/>
    <row r="125" ht="15.75" customHeight="1" s="58"/>
    <row r="126" ht="15.75" customHeight="1" s="58"/>
    <row r="127" ht="15.75" customHeight="1" s="58"/>
    <row r="128" ht="15.75" customHeight="1" s="58"/>
    <row r="129" ht="15.75" customHeight="1" s="58"/>
    <row r="130" ht="15.75" customHeight="1" s="58"/>
    <row r="131" ht="15.75" customHeight="1" s="58"/>
    <row r="132" ht="15.75" customHeight="1" s="58"/>
    <row r="133" ht="15.75" customHeight="1" s="58"/>
    <row r="134" ht="15.75" customHeight="1" s="58"/>
    <row r="135" ht="15.75" customHeight="1" s="58"/>
    <row r="136" ht="15.75" customHeight="1" s="58"/>
    <row r="137" ht="15.75" customHeight="1" s="58"/>
    <row r="138" ht="15.75" customHeight="1" s="58"/>
    <row r="139" ht="15.75" customHeight="1" s="58"/>
    <row r="140" ht="15.75" customHeight="1" s="58"/>
    <row r="141" ht="15.75" customHeight="1" s="58"/>
    <row r="142" ht="15.75" customHeight="1" s="58"/>
    <row r="143" ht="15.75" customHeight="1" s="58"/>
    <row r="144" ht="15.75" customHeight="1" s="58"/>
    <row r="145" ht="15.75" customHeight="1" s="58"/>
    <row r="146" ht="15.75" customHeight="1" s="58"/>
    <row r="147" ht="15.75" customHeight="1" s="58"/>
    <row r="148" ht="15.75" customHeight="1" s="58"/>
    <row r="149" ht="15.75" customHeight="1" s="58"/>
    <row r="150" ht="15.75" customHeight="1" s="58"/>
    <row r="151" ht="15.75" customHeight="1" s="58"/>
    <row r="152" ht="15.75" customHeight="1" s="58"/>
    <row r="153" ht="15.75" customHeight="1" s="58"/>
    <row r="154" ht="15.75" customHeight="1" s="58"/>
    <row r="155" ht="15.75" customHeight="1" s="58"/>
    <row r="156" ht="15.75" customHeight="1" s="58"/>
    <row r="157" ht="15.75" customHeight="1" s="58"/>
    <row r="158" ht="15.75" customHeight="1" s="58"/>
    <row r="159" ht="15.75" customHeight="1" s="58"/>
    <row r="160" ht="15.75" customHeight="1" s="58"/>
    <row r="161" ht="15.75" customHeight="1" s="58"/>
    <row r="162" ht="15.75" customHeight="1" s="58"/>
    <row r="163" ht="15.75" customHeight="1" s="58"/>
    <row r="164" ht="15.75" customHeight="1" s="58"/>
    <row r="165" ht="15.75" customHeight="1" s="58"/>
    <row r="166" ht="15.75" customHeight="1" s="58"/>
    <row r="167" ht="15.75" customHeight="1" s="58"/>
    <row r="168" ht="15.75" customHeight="1" s="58"/>
    <row r="169" ht="15.75" customHeight="1" s="58"/>
    <row r="170" ht="15.75" customHeight="1" s="58"/>
    <row r="171" ht="15.75" customHeight="1" s="58"/>
    <row r="172" ht="15.75" customHeight="1" s="58"/>
    <row r="173" ht="15.75" customHeight="1" s="58"/>
    <row r="174" ht="15.75" customHeight="1" s="58"/>
    <row r="175" ht="15.75" customHeight="1" s="58"/>
    <row r="176" ht="15.75" customHeight="1" s="58"/>
    <row r="177" ht="15.75" customHeight="1" s="58"/>
    <row r="178" ht="15.75" customHeight="1" s="58"/>
    <row r="179" ht="15.75" customHeight="1" s="58"/>
    <row r="180" ht="15.75" customHeight="1" s="58"/>
    <row r="181" ht="15.75" customHeight="1" s="58"/>
    <row r="182" ht="15.75" customHeight="1" s="58"/>
    <row r="183" ht="15.75" customHeight="1" s="58"/>
    <row r="184" ht="15.75" customHeight="1" s="58"/>
    <row r="185" ht="15.75" customHeight="1" s="58"/>
    <row r="186" ht="15.75" customHeight="1" s="58"/>
    <row r="187" ht="15.75" customHeight="1" s="58"/>
    <row r="188" ht="15.75" customHeight="1" s="58"/>
    <row r="189" ht="15.75" customHeight="1" s="58"/>
    <row r="190" ht="15.75" customHeight="1" s="58"/>
    <row r="191" ht="15.75" customHeight="1" s="58"/>
    <row r="192" ht="15.75" customHeight="1" s="58"/>
    <row r="193" ht="15.75" customHeight="1" s="58"/>
    <row r="194" ht="15.75" customHeight="1" s="58"/>
    <row r="195" ht="15.75" customHeight="1" s="58"/>
    <row r="196" ht="15.75" customHeight="1" s="58"/>
    <row r="197" ht="15.75" customHeight="1" s="58"/>
    <row r="198" ht="15.75" customHeight="1" s="58"/>
    <row r="199" ht="15.75" customHeight="1" s="58"/>
    <row r="200" ht="15.75" customHeight="1" s="58"/>
    <row r="201" ht="15.75" customHeight="1" s="58"/>
    <row r="202" ht="15.75" customHeight="1" s="58"/>
    <row r="203" ht="15.75" customHeight="1" s="58"/>
    <row r="204" ht="15.75" customHeight="1" s="58"/>
    <row r="205" ht="15.75" customHeight="1" s="58"/>
    <row r="206" ht="15.75" customHeight="1" s="58"/>
    <row r="207" ht="15.75" customHeight="1" s="58"/>
    <row r="208" ht="15.75" customHeight="1" s="58"/>
    <row r="209" ht="15.75" customHeight="1" s="58"/>
    <row r="210" ht="15.75" customHeight="1" s="58"/>
    <row r="211" ht="15.75" customHeight="1" s="58"/>
    <row r="212" ht="15.75" customHeight="1" s="58"/>
    <row r="213" ht="15.75" customHeight="1" s="58"/>
    <row r="214" ht="15.75" customHeight="1" s="58"/>
    <row r="215" ht="15.75" customHeight="1" s="58"/>
    <row r="216" ht="15.75" customHeight="1" s="58"/>
    <row r="217" ht="15.75" customHeight="1" s="58"/>
    <row r="218" ht="15.75" customHeight="1" s="58"/>
    <row r="219" ht="15.75" customHeight="1" s="58"/>
    <row r="220" ht="15.75" customHeight="1" s="58"/>
    <row r="221" ht="15.75" customHeight="1" s="58"/>
    <row r="222" ht="15.75" customHeight="1" s="58"/>
    <row r="223" ht="15.75" customHeight="1" s="58"/>
    <row r="224" ht="15.75" customHeight="1" s="58"/>
    <row r="225" ht="15.75" customHeight="1" s="58"/>
    <row r="226" ht="15.75" customHeight="1" s="58"/>
    <row r="227" ht="15.75" customHeight="1" s="58"/>
    <row r="228" ht="15.75" customHeight="1" s="58"/>
    <row r="229" ht="15.75" customHeight="1" s="58"/>
    <row r="230" ht="15.75" customHeight="1" s="58"/>
    <row r="231" ht="15.75" customHeight="1" s="58"/>
    <row r="232" ht="15.75" customHeight="1" s="58"/>
    <row r="233" ht="15.75" customHeight="1" s="58"/>
    <row r="234" ht="15.75" customHeight="1" s="58"/>
    <row r="235" ht="15.75" customHeight="1" s="58"/>
    <row r="236" ht="15.75" customHeight="1" s="58"/>
    <row r="237" ht="15.75" customHeight="1" s="58"/>
    <row r="238" ht="15.75" customHeight="1" s="58"/>
    <row r="239" ht="15.75" customHeight="1" s="58"/>
    <row r="240" ht="15.75" customHeight="1" s="58"/>
    <row r="241" ht="15.75" customHeight="1" s="58"/>
    <row r="242" ht="15.75" customHeight="1" s="58"/>
    <row r="243" ht="15.75" customHeight="1" s="58"/>
    <row r="244" ht="15.75" customHeight="1" s="58"/>
    <row r="245" ht="15.75" customHeight="1" s="58"/>
    <row r="246" ht="15.75" customHeight="1" s="58"/>
    <row r="247" ht="15.75" customHeight="1" s="58"/>
    <row r="248" ht="15.75" customHeight="1" s="58"/>
    <row r="249" ht="15.75" customHeight="1" s="58"/>
    <row r="250" ht="15.75" customHeight="1" s="58"/>
    <row r="251" ht="15.75" customHeight="1" s="58"/>
    <row r="252" ht="15.75" customHeight="1" s="58"/>
    <row r="253" ht="15.75" customHeight="1" s="58"/>
    <row r="254" ht="15.75" customHeight="1" s="58"/>
    <row r="255" ht="15.75" customHeight="1" s="58"/>
    <row r="256" ht="15.75" customHeight="1" s="58"/>
    <row r="257" ht="15.75" customHeight="1" s="58"/>
    <row r="258" ht="15.75" customHeight="1" s="58"/>
    <row r="259" ht="15.75" customHeight="1" s="58"/>
    <row r="260" ht="15.75" customHeight="1" s="58"/>
    <row r="261" ht="15.75" customHeight="1" s="58"/>
    <row r="262" ht="15.75" customHeight="1" s="58"/>
    <row r="263" ht="15.75" customHeight="1" s="58"/>
    <row r="264" ht="15.75" customHeight="1" s="58"/>
    <row r="265" ht="15.75" customHeight="1" s="58"/>
    <row r="266" ht="15.75" customHeight="1" s="58"/>
    <row r="267" ht="15.75" customHeight="1" s="58"/>
    <row r="268" ht="15.75" customHeight="1" s="58"/>
    <row r="269" ht="15.75" customHeight="1" s="58"/>
    <row r="270" ht="15.75" customHeight="1" s="58"/>
    <row r="271" ht="15.75" customHeight="1" s="58"/>
    <row r="272" ht="15.75" customHeight="1" s="58"/>
    <row r="273" ht="15.75" customHeight="1" s="58"/>
    <row r="274" ht="15.75" customHeight="1" s="58"/>
    <row r="275" ht="15.75" customHeight="1" s="58"/>
    <row r="276" ht="15.75" customHeight="1" s="58"/>
    <row r="277" ht="15.75" customHeight="1" s="58"/>
    <row r="278" ht="15.75" customHeight="1" s="58"/>
    <row r="279" ht="15.75" customHeight="1" s="58"/>
    <row r="280" ht="15.75" customHeight="1" s="58"/>
    <row r="281" ht="15.75" customHeight="1" s="58"/>
    <row r="282" ht="15.75" customHeight="1" s="58"/>
    <row r="283" ht="15.75" customHeight="1" s="58"/>
    <row r="284" ht="15.75" customHeight="1" s="58"/>
    <row r="285" ht="15.75" customHeight="1" s="58"/>
    <row r="286" ht="15.75" customHeight="1" s="58"/>
    <row r="287" ht="15.75" customHeight="1" s="58"/>
    <row r="288" ht="15.75" customHeight="1" s="58"/>
    <row r="289" ht="15.75" customHeight="1" s="58"/>
    <row r="290" ht="15.75" customHeight="1" s="58"/>
    <row r="291" ht="15.75" customHeight="1" s="58"/>
    <row r="292" ht="15.75" customHeight="1" s="58"/>
    <row r="293" ht="15.75" customHeight="1" s="58"/>
    <row r="294" ht="15.75" customHeight="1" s="58"/>
    <row r="295" ht="15.75" customHeight="1" s="58"/>
    <row r="296" ht="15.75" customHeight="1" s="58"/>
    <row r="297" ht="15.75" customHeight="1" s="58"/>
    <row r="298" ht="15.75" customHeight="1" s="58"/>
    <row r="299" ht="15.75" customHeight="1" s="58"/>
    <row r="300" ht="15.75" customHeight="1" s="58"/>
    <row r="301" ht="15.75" customHeight="1" s="58"/>
    <row r="302" ht="15.75" customHeight="1" s="58"/>
    <row r="303" ht="15.75" customHeight="1" s="58"/>
    <row r="304" ht="15.75" customHeight="1" s="58"/>
    <row r="305" ht="15.75" customHeight="1" s="58"/>
    <row r="306" ht="15.75" customHeight="1" s="58"/>
    <row r="307" ht="15.75" customHeight="1" s="58"/>
    <row r="308" ht="15.75" customHeight="1" s="58"/>
    <row r="309" ht="15.75" customHeight="1" s="58"/>
    <row r="310" ht="15.75" customHeight="1" s="58"/>
    <row r="311" ht="15.75" customHeight="1" s="58"/>
    <row r="312" ht="15.75" customHeight="1" s="58"/>
    <row r="313" ht="15.75" customHeight="1" s="58"/>
    <row r="314" ht="15.75" customHeight="1" s="58"/>
    <row r="315" ht="15.75" customHeight="1" s="58"/>
    <row r="316" ht="15.75" customHeight="1" s="58"/>
    <row r="317" ht="15.75" customHeight="1" s="58"/>
    <row r="318" ht="15.75" customHeight="1" s="58"/>
    <row r="319" ht="15.75" customHeight="1" s="58"/>
    <row r="320" ht="15.75" customHeight="1" s="58"/>
    <row r="321" ht="15.75" customHeight="1" s="58"/>
    <row r="322" ht="15.75" customHeight="1" s="58"/>
    <row r="323" ht="15.75" customHeight="1" s="58"/>
    <row r="324" ht="15.75" customHeight="1" s="58"/>
    <row r="325" ht="15.75" customHeight="1" s="58"/>
    <row r="326" ht="15.75" customHeight="1" s="58"/>
    <row r="327" ht="15.75" customHeight="1" s="58"/>
    <row r="328" ht="15.75" customHeight="1" s="58"/>
    <row r="329" ht="15.75" customHeight="1" s="58"/>
    <row r="330" ht="15.75" customHeight="1" s="58"/>
    <row r="331" ht="15.75" customHeight="1" s="58"/>
    <row r="332" ht="15.75" customHeight="1" s="58"/>
    <row r="333" ht="15.75" customHeight="1" s="58"/>
    <row r="334" ht="15.75" customHeight="1" s="58"/>
    <row r="335" ht="15.75" customHeight="1" s="58"/>
    <row r="336" ht="15.75" customHeight="1" s="58"/>
    <row r="337" ht="15.75" customHeight="1" s="58"/>
    <row r="338" ht="15.75" customHeight="1" s="58"/>
    <row r="339" ht="15.75" customHeight="1" s="58"/>
    <row r="340" ht="15.75" customHeight="1" s="58"/>
    <row r="341" ht="15.75" customHeight="1" s="58"/>
    <row r="342" ht="15.75" customHeight="1" s="58"/>
    <row r="343" ht="15.75" customHeight="1" s="58"/>
    <row r="344" ht="15.75" customHeight="1" s="58"/>
    <row r="345" ht="15.75" customHeight="1" s="58"/>
    <row r="346" ht="15.75" customHeight="1" s="58"/>
    <row r="347" ht="15.75" customHeight="1" s="58"/>
    <row r="348" ht="15.75" customHeight="1" s="58"/>
    <row r="349" ht="15.75" customHeight="1" s="58"/>
    <row r="350" ht="15.75" customHeight="1" s="58"/>
    <row r="351" ht="15.75" customHeight="1" s="58"/>
    <row r="352" ht="15.75" customHeight="1" s="58"/>
    <row r="353" ht="15.75" customHeight="1" s="58"/>
    <row r="354" ht="15.75" customHeight="1" s="58"/>
    <row r="355" ht="15.75" customHeight="1" s="58"/>
    <row r="356" ht="15.75" customHeight="1" s="58"/>
    <row r="357" ht="15.75" customHeight="1" s="58"/>
    <row r="358" ht="15.75" customHeight="1" s="58"/>
    <row r="359" ht="15.75" customHeight="1" s="58"/>
    <row r="360" ht="15.75" customHeight="1" s="58"/>
    <row r="361" ht="15.75" customHeight="1" s="58"/>
    <row r="362" ht="15.75" customHeight="1" s="58"/>
    <row r="363" ht="15.75" customHeight="1" s="58"/>
    <row r="364" ht="15.75" customHeight="1" s="58"/>
    <row r="365" ht="15.75" customHeight="1" s="58"/>
    <row r="366" ht="15.75" customHeight="1" s="58"/>
    <row r="367" ht="15.75" customHeight="1" s="58"/>
    <row r="368" ht="15.75" customHeight="1" s="58"/>
    <row r="369" ht="15.75" customHeight="1" s="58"/>
    <row r="370" ht="15.75" customHeight="1" s="58"/>
    <row r="371" ht="15.75" customHeight="1" s="58"/>
    <row r="372" ht="15.75" customHeight="1" s="58"/>
    <row r="373" ht="15.75" customHeight="1" s="58"/>
    <row r="374" ht="15.75" customHeight="1" s="58"/>
    <row r="375" ht="15.75" customHeight="1" s="58"/>
    <row r="376" ht="15.75" customHeight="1" s="58"/>
    <row r="377" ht="15.75" customHeight="1" s="58"/>
    <row r="378" ht="15.75" customHeight="1" s="58"/>
    <row r="379" ht="15.75" customHeight="1" s="58"/>
    <row r="380" ht="15.75" customHeight="1" s="58"/>
    <row r="381" ht="15.75" customHeight="1" s="58"/>
    <row r="382" ht="15.75" customHeight="1" s="58"/>
    <row r="383" ht="15.75" customHeight="1" s="58"/>
    <row r="384" ht="15.75" customHeight="1" s="58"/>
    <row r="385" ht="15.75" customHeight="1" s="58"/>
    <row r="386" ht="15.75" customHeight="1" s="58"/>
    <row r="387" ht="15.75" customHeight="1" s="58"/>
    <row r="388" ht="15.75" customHeight="1" s="58"/>
    <row r="389" ht="15.75" customHeight="1" s="58"/>
    <row r="390" ht="15.75" customHeight="1" s="58"/>
    <row r="391" ht="15.75" customHeight="1" s="58"/>
    <row r="392" ht="15.75" customHeight="1" s="58"/>
    <row r="393" ht="15.75" customHeight="1" s="58"/>
    <row r="394" ht="15.75" customHeight="1" s="58"/>
    <row r="395" ht="15.75" customHeight="1" s="58"/>
    <row r="396" ht="15.75" customHeight="1" s="58"/>
    <row r="397" ht="15.75" customHeight="1" s="58"/>
    <row r="398" ht="15.75" customHeight="1" s="58"/>
    <row r="399" ht="15.75" customHeight="1" s="58"/>
    <row r="400" ht="15.75" customHeight="1" s="58"/>
    <row r="401" ht="15.75" customHeight="1" s="58"/>
    <row r="402" ht="15.75" customHeight="1" s="58"/>
    <row r="403" ht="15.75" customHeight="1" s="58"/>
    <row r="404" ht="15.75" customHeight="1" s="58"/>
    <row r="405" ht="15.75" customHeight="1" s="58"/>
    <row r="406" ht="15.75" customHeight="1" s="58"/>
    <row r="407" ht="15.75" customHeight="1" s="58"/>
    <row r="408" ht="15.75" customHeight="1" s="58"/>
    <row r="409" ht="15.75" customHeight="1" s="58"/>
    <row r="410" ht="15.75" customHeight="1" s="58"/>
    <row r="411" ht="15.75" customHeight="1" s="58"/>
    <row r="412" ht="15.75" customHeight="1" s="58"/>
    <row r="413" ht="15.75" customHeight="1" s="58"/>
    <row r="414" ht="15.75" customHeight="1" s="58"/>
    <row r="415" ht="15.75" customHeight="1" s="58"/>
    <row r="416" ht="15.75" customHeight="1" s="58"/>
    <row r="417" ht="15.75" customHeight="1" s="58"/>
    <row r="418" ht="15.75" customHeight="1" s="58"/>
    <row r="419" ht="15.75" customHeight="1" s="58"/>
    <row r="420" ht="15.75" customHeight="1" s="58"/>
    <row r="421" ht="15.75" customHeight="1" s="58"/>
    <row r="422" ht="15.75" customHeight="1" s="58"/>
    <row r="423" ht="15.75" customHeight="1" s="58"/>
    <row r="424" ht="15.75" customHeight="1" s="58"/>
    <row r="425" ht="15.75" customHeight="1" s="58"/>
    <row r="426" ht="15.75" customHeight="1" s="58"/>
    <row r="427" ht="15.75" customHeight="1" s="58"/>
    <row r="428" ht="15.75" customHeight="1" s="58"/>
    <row r="429" ht="15.75" customHeight="1" s="58"/>
    <row r="430" ht="15.75" customHeight="1" s="58"/>
    <row r="431" ht="15.75" customHeight="1" s="58"/>
    <row r="432" ht="15.75" customHeight="1" s="58"/>
    <row r="433" ht="15.75" customHeight="1" s="58"/>
    <row r="434" ht="15.75" customHeight="1" s="58"/>
    <row r="435" ht="15.75" customHeight="1" s="58"/>
    <row r="436" ht="15.75" customHeight="1" s="58"/>
    <row r="437" ht="15.75" customHeight="1" s="58"/>
    <row r="438" ht="15.75" customHeight="1" s="58"/>
    <row r="439" ht="15.75" customHeight="1" s="58"/>
    <row r="440" ht="15.75" customHeight="1" s="58"/>
    <row r="441" ht="15.75" customHeight="1" s="58"/>
    <row r="442" ht="15.75" customHeight="1" s="58"/>
    <row r="443" ht="15.75" customHeight="1" s="58"/>
    <row r="444" ht="15.75" customHeight="1" s="58"/>
    <row r="445" ht="15.75" customHeight="1" s="58"/>
    <row r="446" ht="15.75" customHeight="1" s="58"/>
    <row r="447" ht="15.75" customHeight="1" s="58"/>
    <row r="448" ht="15.75" customHeight="1" s="58"/>
    <row r="449" ht="15.75" customHeight="1" s="58"/>
    <row r="450" ht="15.75" customHeight="1" s="58"/>
    <row r="451" ht="15.75" customHeight="1" s="58"/>
    <row r="452" ht="15.75" customHeight="1" s="58"/>
    <row r="453" ht="15.75" customHeight="1" s="58"/>
    <row r="454" ht="15.75" customHeight="1" s="58"/>
    <row r="455" ht="15.75" customHeight="1" s="58"/>
    <row r="456" ht="15.75" customHeight="1" s="58"/>
    <row r="457" ht="15.75" customHeight="1" s="58"/>
    <row r="458" ht="15.75" customHeight="1" s="58"/>
    <row r="459" ht="15.75" customHeight="1" s="58"/>
    <row r="460" ht="15.75" customHeight="1" s="58"/>
    <row r="461" ht="15.75" customHeight="1" s="58"/>
    <row r="462" ht="15.75" customHeight="1" s="58"/>
    <row r="463" ht="15.75" customHeight="1" s="58"/>
    <row r="464" ht="15.75" customHeight="1" s="58"/>
    <row r="465" ht="15.75" customHeight="1" s="58"/>
    <row r="466" ht="15.75" customHeight="1" s="58"/>
    <row r="467" ht="15.75" customHeight="1" s="58"/>
    <row r="468" ht="15.75" customHeight="1" s="58"/>
    <row r="469" ht="15.75" customHeight="1" s="58"/>
    <row r="470" ht="15.75" customHeight="1" s="58"/>
    <row r="471" ht="15.75" customHeight="1" s="58"/>
    <row r="472" ht="15.75" customHeight="1" s="58"/>
    <row r="473" ht="15.75" customHeight="1" s="58"/>
    <row r="474" ht="15.75" customHeight="1" s="58"/>
    <row r="475" ht="15.75" customHeight="1" s="58"/>
    <row r="476" ht="15.75" customHeight="1" s="58"/>
    <row r="477" ht="15.75" customHeight="1" s="58"/>
    <row r="478" ht="15.75" customHeight="1" s="58"/>
    <row r="479" ht="15.75" customHeight="1" s="58"/>
    <row r="480" ht="15.75" customHeight="1" s="58"/>
    <row r="481" ht="15.75" customHeight="1" s="58"/>
    <row r="482" ht="15.75" customHeight="1" s="58"/>
    <row r="483" ht="15.75" customHeight="1" s="58"/>
    <row r="484" ht="15.75" customHeight="1" s="58"/>
    <row r="485" ht="15.75" customHeight="1" s="58"/>
    <row r="486" ht="15.75" customHeight="1" s="58"/>
    <row r="487" ht="15.75" customHeight="1" s="58"/>
    <row r="488" ht="15.75" customHeight="1" s="58"/>
    <row r="489" ht="15.75" customHeight="1" s="58"/>
    <row r="490" ht="15.75" customHeight="1" s="58"/>
    <row r="491" ht="15.75" customHeight="1" s="58"/>
    <row r="492" ht="15.75" customHeight="1" s="58"/>
    <row r="493" ht="15.75" customHeight="1" s="58"/>
    <row r="494" ht="15.75" customHeight="1" s="58"/>
    <row r="495" ht="15.75" customHeight="1" s="58"/>
    <row r="496" ht="15.75" customHeight="1" s="58"/>
    <row r="497" ht="15.75" customHeight="1" s="58"/>
    <row r="498" ht="15.75" customHeight="1" s="58"/>
    <row r="499" ht="15.75" customHeight="1" s="58"/>
    <row r="500" ht="15.75" customHeight="1" s="58"/>
    <row r="501" ht="15.75" customHeight="1" s="58"/>
    <row r="502" ht="15.75" customHeight="1" s="58"/>
    <row r="503" ht="15.75" customHeight="1" s="58"/>
    <row r="504" ht="15.75" customHeight="1" s="58"/>
    <row r="505" ht="15.75" customHeight="1" s="58"/>
    <row r="506" ht="15.75" customHeight="1" s="58"/>
    <row r="507" ht="15.75" customHeight="1" s="58"/>
    <row r="508" ht="15.75" customHeight="1" s="58"/>
    <row r="509" ht="15.75" customHeight="1" s="58"/>
    <row r="510" ht="15.75" customHeight="1" s="58"/>
    <row r="511" ht="15.75" customHeight="1" s="58"/>
    <row r="512" ht="15.75" customHeight="1" s="58"/>
    <row r="513" ht="15.75" customHeight="1" s="58"/>
    <row r="514" ht="15.75" customHeight="1" s="58"/>
    <row r="515" ht="15.75" customHeight="1" s="58"/>
    <row r="516" ht="15.75" customHeight="1" s="58"/>
    <row r="517" ht="15.75" customHeight="1" s="58"/>
    <row r="518" ht="15.75" customHeight="1" s="58"/>
    <row r="519" ht="15.75" customHeight="1" s="58"/>
    <row r="520" ht="15.75" customHeight="1" s="58"/>
    <row r="521" ht="15.75" customHeight="1" s="58"/>
    <row r="522" ht="15.75" customHeight="1" s="58"/>
    <row r="523" ht="15.75" customHeight="1" s="58"/>
    <row r="524" ht="15.75" customHeight="1" s="58"/>
    <row r="525" ht="15.75" customHeight="1" s="58"/>
    <row r="526" ht="15.75" customHeight="1" s="58"/>
    <row r="527" ht="15.75" customHeight="1" s="58"/>
    <row r="528" ht="15.75" customHeight="1" s="58"/>
    <row r="529" ht="15.75" customHeight="1" s="58"/>
    <row r="530" ht="15.75" customHeight="1" s="58"/>
    <row r="531" ht="15.75" customHeight="1" s="58"/>
    <row r="532" ht="15.75" customHeight="1" s="58"/>
    <row r="533" ht="15.75" customHeight="1" s="58"/>
    <row r="534" ht="15.75" customHeight="1" s="58"/>
    <row r="535" ht="15.75" customHeight="1" s="58"/>
    <row r="536" ht="15.75" customHeight="1" s="58"/>
    <row r="537" ht="15.75" customHeight="1" s="58"/>
    <row r="538" ht="15.75" customHeight="1" s="58"/>
    <row r="539" ht="15.75" customHeight="1" s="58"/>
    <row r="540" ht="15.75" customHeight="1" s="58"/>
    <row r="541" ht="15.75" customHeight="1" s="58"/>
    <row r="542" ht="15.75" customHeight="1" s="58"/>
    <row r="543" ht="15.75" customHeight="1" s="58"/>
    <row r="544" ht="15.75" customHeight="1" s="58"/>
    <row r="545" ht="15.75" customHeight="1" s="58"/>
    <row r="546" ht="15.75" customHeight="1" s="58"/>
    <row r="547" ht="15.75" customHeight="1" s="58"/>
    <row r="548" ht="15.75" customHeight="1" s="58"/>
    <row r="549" ht="15.75" customHeight="1" s="58"/>
    <row r="550" ht="15.75" customHeight="1" s="58"/>
    <row r="551" ht="15.75" customHeight="1" s="58"/>
    <row r="552" ht="15.75" customHeight="1" s="58"/>
    <row r="553" ht="15.75" customHeight="1" s="58"/>
    <row r="554" ht="15.75" customHeight="1" s="58"/>
    <row r="555" ht="15.75" customHeight="1" s="58"/>
    <row r="556" ht="15.75" customHeight="1" s="58"/>
    <row r="557" ht="15.75" customHeight="1" s="58"/>
    <row r="558" ht="15.75" customHeight="1" s="58"/>
    <row r="559" ht="15.75" customHeight="1" s="58"/>
    <row r="560" ht="15.75" customHeight="1" s="58"/>
    <row r="561" ht="15.75" customHeight="1" s="58"/>
    <row r="562" ht="15.75" customHeight="1" s="58"/>
    <row r="563" ht="15.75" customHeight="1" s="58"/>
    <row r="564" ht="15.75" customHeight="1" s="58"/>
    <row r="565" ht="15.75" customHeight="1" s="58"/>
    <row r="566" ht="15.75" customHeight="1" s="58"/>
    <row r="567" ht="15.75" customHeight="1" s="58"/>
    <row r="568" ht="15.75" customHeight="1" s="58"/>
    <row r="569" ht="15.75" customHeight="1" s="58"/>
    <row r="570" ht="15.75" customHeight="1" s="58"/>
    <row r="571" ht="15.75" customHeight="1" s="58"/>
    <row r="572" ht="15.75" customHeight="1" s="58"/>
    <row r="573" ht="15.75" customHeight="1" s="58"/>
    <row r="574" ht="15.75" customHeight="1" s="58"/>
    <row r="575" ht="15.75" customHeight="1" s="58"/>
    <row r="576" ht="15.75" customHeight="1" s="58"/>
    <row r="577" ht="15.75" customHeight="1" s="58"/>
    <row r="578" ht="15.75" customHeight="1" s="58"/>
    <row r="579" ht="15.75" customHeight="1" s="58"/>
    <row r="580" ht="15.75" customHeight="1" s="58"/>
    <row r="581" ht="15.75" customHeight="1" s="58"/>
    <row r="582" ht="15.75" customHeight="1" s="58"/>
    <row r="583" ht="15.75" customHeight="1" s="58"/>
    <row r="584" ht="15.75" customHeight="1" s="58"/>
    <row r="585" ht="15.75" customHeight="1" s="58"/>
    <row r="586" ht="15.75" customHeight="1" s="58"/>
    <row r="587" ht="15.75" customHeight="1" s="58"/>
    <row r="588" ht="15.75" customHeight="1" s="58"/>
    <row r="589" ht="15.75" customHeight="1" s="58"/>
    <row r="590" ht="15.75" customHeight="1" s="58"/>
    <row r="591" ht="15.75" customHeight="1" s="58"/>
    <row r="592" ht="15.75" customHeight="1" s="58"/>
    <row r="593" ht="15.75" customHeight="1" s="58"/>
    <row r="594" ht="15.75" customHeight="1" s="58"/>
    <row r="595" ht="15.75" customHeight="1" s="58"/>
    <row r="596" ht="15.75" customHeight="1" s="58"/>
    <row r="597" ht="15.75" customHeight="1" s="58"/>
    <row r="598" ht="15.75" customHeight="1" s="58"/>
    <row r="599" ht="15.75" customHeight="1" s="58"/>
    <row r="600" ht="15.75" customHeight="1" s="58"/>
    <row r="601" ht="15.75" customHeight="1" s="58"/>
    <row r="602" ht="15.75" customHeight="1" s="58"/>
    <row r="603" ht="15.75" customHeight="1" s="58"/>
    <row r="604" ht="15.75" customHeight="1" s="58"/>
    <row r="605" ht="15.75" customHeight="1" s="58"/>
    <row r="606" ht="15.75" customHeight="1" s="58"/>
    <row r="607" ht="15.75" customHeight="1" s="58"/>
    <row r="608" ht="15.75" customHeight="1" s="58"/>
    <row r="609" ht="15.75" customHeight="1" s="58"/>
    <row r="610" ht="15.75" customHeight="1" s="58"/>
    <row r="611" ht="15.75" customHeight="1" s="58"/>
    <row r="612" ht="15.75" customHeight="1" s="58"/>
    <row r="613" ht="15.75" customHeight="1" s="58"/>
    <row r="614" ht="15.75" customHeight="1" s="58"/>
    <row r="615" ht="15.75" customHeight="1" s="58"/>
    <row r="616" ht="15.75" customHeight="1" s="58"/>
    <row r="617" ht="15.75" customHeight="1" s="58"/>
    <row r="618" ht="15.75" customHeight="1" s="58"/>
    <row r="619" ht="15.75" customHeight="1" s="58"/>
    <row r="620" ht="15.75" customHeight="1" s="58"/>
    <row r="621" ht="15.75" customHeight="1" s="58"/>
    <row r="622" ht="15.75" customHeight="1" s="58"/>
    <row r="623" ht="15.75" customHeight="1" s="58"/>
    <row r="624" ht="15.75" customHeight="1" s="58"/>
    <row r="625" ht="15.75" customHeight="1" s="58"/>
    <row r="626" ht="15.75" customHeight="1" s="58"/>
    <row r="627" ht="15.75" customHeight="1" s="58"/>
    <row r="628" ht="15.75" customHeight="1" s="58"/>
    <row r="629" ht="15.75" customHeight="1" s="58"/>
    <row r="630" ht="15.75" customHeight="1" s="58"/>
    <row r="631" ht="15.75" customHeight="1" s="58"/>
    <row r="632" ht="15.75" customHeight="1" s="58"/>
    <row r="633" ht="15.75" customHeight="1" s="58"/>
    <row r="634" ht="15.75" customHeight="1" s="58"/>
    <row r="635" ht="15.75" customHeight="1" s="58"/>
    <row r="636" ht="15.75" customHeight="1" s="58"/>
    <row r="637" ht="15.75" customHeight="1" s="58"/>
    <row r="638" ht="15.75" customHeight="1" s="58"/>
    <row r="639" ht="15.75" customHeight="1" s="58"/>
    <row r="640" ht="15.75" customHeight="1" s="58"/>
    <row r="641" ht="15.75" customHeight="1" s="58"/>
    <row r="642" ht="15.75" customHeight="1" s="58"/>
    <row r="643" ht="15.75" customHeight="1" s="58"/>
    <row r="644" ht="15.75" customHeight="1" s="58"/>
    <row r="645" ht="15.75" customHeight="1" s="58"/>
    <row r="646" ht="15.75" customHeight="1" s="58"/>
    <row r="647" ht="15.75" customHeight="1" s="58"/>
    <row r="648" ht="15.75" customHeight="1" s="58"/>
    <row r="649" ht="15.75" customHeight="1" s="58"/>
    <row r="650" ht="15.75" customHeight="1" s="58"/>
    <row r="651" ht="15.75" customHeight="1" s="58"/>
    <row r="652" ht="15.75" customHeight="1" s="58"/>
    <row r="653" ht="15.75" customHeight="1" s="58"/>
    <row r="654" ht="15.75" customHeight="1" s="58"/>
    <row r="655" ht="15.75" customHeight="1" s="58"/>
    <row r="656" ht="15.75" customHeight="1" s="58"/>
    <row r="657" ht="15.75" customHeight="1" s="58"/>
    <row r="658" ht="15.75" customHeight="1" s="58"/>
    <row r="659" ht="15.75" customHeight="1" s="58"/>
    <row r="660" ht="15.75" customHeight="1" s="58"/>
    <row r="661" ht="15.75" customHeight="1" s="58"/>
    <row r="662" ht="15.75" customHeight="1" s="58"/>
    <row r="663" ht="15.75" customHeight="1" s="58"/>
    <row r="664" ht="15.75" customHeight="1" s="58"/>
    <row r="665" ht="15.75" customHeight="1" s="58"/>
    <row r="666" ht="15.75" customHeight="1" s="58"/>
    <row r="667" ht="15.75" customHeight="1" s="58"/>
    <row r="668" ht="15.75" customHeight="1" s="58"/>
    <row r="669" ht="15.75" customHeight="1" s="58"/>
    <row r="670" ht="15.75" customHeight="1" s="58"/>
    <row r="671" ht="15.75" customHeight="1" s="58"/>
    <row r="672" ht="15.75" customHeight="1" s="58"/>
    <row r="673" ht="15.75" customHeight="1" s="58"/>
    <row r="674" ht="15.75" customHeight="1" s="58"/>
    <row r="675" ht="15.75" customHeight="1" s="58"/>
    <row r="676" ht="15.75" customHeight="1" s="58"/>
    <row r="677" ht="15.75" customHeight="1" s="58"/>
    <row r="678" ht="15.75" customHeight="1" s="58"/>
    <row r="679" ht="15.75" customHeight="1" s="58"/>
    <row r="680" ht="15.75" customHeight="1" s="58"/>
    <row r="681" ht="15.75" customHeight="1" s="58"/>
    <row r="682" ht="15.75" customHeight="1" s="58"/>
    <row r="683" ht="15.75" customHeight="1" s="58"/>
    <row r="684" ht="15.75" customHeight="1" s="58"/>
    <row r="685" ht="15.75" customHeight="1" s="58"/>
    <row r="686" ht="15.75" customHeight="1" s="58"/>
    <row r="687" ht="15.75" customHeight="1" s="58"/>
    <row r="688" ht="15.75" customHeight="1" s="58"/>
    <row r="689" ht="15.75" customHeight="1" s="58"/>
    <row r="690" ht="15.75" customHeight="1" s="58"/>
    <row r="691" ht="15.75" customHeight="1" s="58"/>
    <row r="692" ht="15.75" customHeight="1" s="58"/>
    <row r="693" ht="15.75" customHeight="1" s="58"/>
    <row r="694" ht="15.75" customHeight="1" s="58"/>
    <row r="695" ht="15.75" customHeight="1" s="58"/>
    <row r="696" ht="15.75" customHeight="1" s="58"/>
    <row r="697" ht="15.75" customHeight="1" s="58"/>
    <row r="698" ht="15.75" customHeight="1" s="58"/>
    <row r="699" ht="15.75" customHeight="1" s="58"/>
    <row r="700" ht="15.75" customHeight="1" s="58"/>
    <row r="701" ht="15.75" customHeight="1" s="58"/>
    <row r="702" ht="15.75" customHeight="1" s="58"/>
    <row r="703" ht="15.75" customHeight="1" s="58"/>
    <row r="704" ht="15.75" customHeight="1" s="58"/>
    <row r="705" ht="15.75" customHeight="1" s="58"/>
    <row r="706" ht="15.75" customHeight="1" s="58"/>
    <row r="707" ht="15.75" customHeight="1" s="58"/>
    <row r="708" ht="15.75" customHeight="1" s="58"/>
    <row r="709" ht="15.75" customHeight="1" s="58"/>
    <row r="710" ht="15.75" customHeight="1" s="58"/>
    <row r="711" ht="15.75" customHeight="1" s="58"/>
    <row r="712" ht="15.75" customHeight="1" s="58"/>
    <row r="713" ht="15.75" customHeight="1" s="58"/>
    <row r="714" ht="15.75" customHeight="1" s="58"/>
    <row r="715" ht="15.75" customHeight="1" s="58"/>
    <row r="716" ht="15.75" customHeight="1" s="58"/>
    <row r="717" ht="15.75" customHeight="1" s="58"/>
    <row r="718" ht="15.75" customHeight="1" s="58"/>
    <row r="719" ht="15.75" customHeight="1" s="58"/>
    <row r="720" ht="15.75" customHeight="1" s="58"/>
    <row r="721" ht="15.75" customHeight="1" s="58"/>
    <row r="722" ht="15.75" customHeight="1" s="58"/>
    <row r="723" ht="15.75" customHeight="1" s="58"/>
    <row r="724" ht="15.75" customHeight="1" s="58"/>
    <row r="725" ht="15.75" customHeight="1" s="58"/>
    <row r="726" ht="15.75" customHeight="1" s="58"/>
    <row r="727" ht="15.75" customHeight="1" s="58"/>
    <row r="728" ht="15.75" customHeight="1" s="58"/>
    <row r="729" ht="15.75" customHeight="1" s="58"/>
    <row r="730" ht="15.75" customHeight="1" s="58"/>
    <row r="731" ht="15.75" customHeight="1" s="58"/>
    <row r="732" ht="15.75" customHeight="1" s="58"/>
    <row r="733" ht="15.75" customHeight="1" s="58"/>
    <row r="734" ht="15.75" customHeight="1" s="58"/>
    <row r="735" ht="15.75" customHeight="1" s="58"/>
    <row r="736" ht="15.75" customHeight="1" s="58"/>
    <row r="737" ht="15.75" customHeight="1" s="58"/>
    <row r="738" ht="15.75" customHeight="1" s="58"/>
    <row r="739" ht="15.75" customHeight="1" s="58"/>
    <row r="740" ht="15.75" customHeight="1" s="58"/>
    <row r="741" ht="15.75" customHeight="1" s="58"/>
    <row r="742" ht="15.75" customHeight="1" s="58"/>
    <row r="743" ht="15.75" customHeight="1" s="58"/>
    <row r="744" ht="15.75" customHeight="1" s="58"/>
    <row r="745" ht="15.75" customHeight="1" s="58"/>
    <row r="746" ht="15.75" customHeight="1" s="58"/>
    <row r="747" ht="15.75" customHeight="1" s="58"/>
    <row r="748" ht="15.75" customHeight="1" s="58"/>
    <row r="749" ht="15.75" customHeight="1" s="58"/>
    <row r="750" ht="15.75" customHeight="1" s="58"/>
    <row r="751" ht="15.75" customHeight="1" s="58"/>
    <row r="752" ht="15.75" customHeight="1" s="58"/>
    <row r="753" ht="15.75" customHeight="1" s="58"/>
    <row r="754" ht="15.75" customHeight="1" s="58"/>
    <row r="755" ht="15.75" customHeight="1" s="58"/>
    <row r="756" ht="15.75" customHeight="1" s="58"/>
    <row r="757" ht="15.75" customHeight="1" s="58"/>
    <row r="758" ht="15.75" customHeight="1" s="58"/>
    <row r="759" ht="15.75" customHeight="1" s="58"/>
    <row r="760" ht="15.75" customHeight="1" s="58"/>
    <row r="761" ht="15.75" customHeight="1" s="58"/>
    <row r="762" ht="15.75" customHeight="1" s="58"/>
    <row r="763" ht="15.75" customHeight="1" s="58"/>
    <row r="764" ht="15.75" customHeight="1" s="58"/>
    <row r="765" ht="15.75" customHeight="1" s="58"/>
    <row r="766" ht="15.75" customHeight="1" s="58"/>
    <row r="767" ht="15.75" customHeight="1" s="58"/>
    <row r="768" ht="15.75" customHeight="1" s="58"/>
    <row r="769" ht="15.75" customHeight="1" s="58"/>
    <row r="770" ht="15.75" customHeight="1" s="58"/>
    <row r="771" ht="15.75" customHeight="1" s="58"/>
    <row r="772" ht="15.75" customHeight="1" s="58"/>
    <row r="773" ht="15.75" customHeight="1" s="58"/>
    <row r="774" ht="15.75" customHeight="1" s="58"/>
    <row r="775" ht="15.75" customHeight="1" s="58"/>
    <row r="776" ht="15.75" customHeight="1" s="58"/>
    <row r="777" ht="15.75" customHeight="1" s="58"/>
    <row r="778" ht="15.75" customHeight="1" s="58"/>
    <row r="779" ht="15.75" customHeight="1" s="58"/>
    <row r="780" ht="15.75" customHeight="1" s="58"/>
    <row r="781" ht="15.75" customHeight="1" s="58"/>
    <row r="782" ht="15.75" customHeight="1" s="58"/>
    <row r="783" ht="15.75" customHeight="1" s="58"/>
    <row r="784" ht="15.75" customHeight="1" s="58"/>
    <row r="785" ht="15.75" customHeight="1" s="58"/>
    <row r="786" ht="15.75" customHeight="1" s="58"/>
    <row r="787" ht="15.75" customHeight="1" s="58"/>
    <row r="788" ht="15.75" customHeight="1" s="58"/>
    <row r="789" ht="15.75" customHeight="1" s="58"/>
    <row r="790" ht="15.75" customHeight="1" s="58"/>
    <row r="791" ht="15.75" customHeight="1" s="58"/>
    <row r="792" ht="15.75" customHeight="1" s="58"/>
    <row r="793" ht="15.75" customHeight="1" s="58"/>
    <row r="794" ht="15.75" customHeight="1" s="58"/>
    <row r="795" ht="15.75" customHeight="1" s="58"/>
    <row r="796" ht="15.75" customHeight="1" s="58"/>
    <row r="797" ht="15.75" customHeight="1" s="58"/>
    <row r="798" ht="15.75" customHeight="1" s="58"/>
    <row r="799" ht="15.75" customHeight="1" s="58"/>
    <row r="800" ht="15.75" customHeight="1" s="58"/>
    <row r="801" ht="15.75" customHeight="1" s="58"/>
    <row r="802" ht="15.75" customHeight="1" s="58"/>
    <row r="803" ht="15.75" customHeight="1" s="58"/>
    <row r="804" ht="15.75" customHeight="1" s="58"/>
    <row r="805" ht="15.75" customHeight="1" s="58"/>
    <row r="806" ht="15.75" customHeight="1" s="58"/>
    <row r="807" ht="15.75" customHeight="1" s="58"/>
    <row r="808" ht="15.75" customHeight="1" s="58"/>
    <row r="809" ht="15.75" customHeight="1" s="58"/>
    <row r="810" ht="15.75" customHeight="1" s="58"/>
    <row r="811" ht="15.75" customHeight="1" s="58"/>
    <row r="812" ht="15.75" customHeight="1" s="58"/>
    <row r="813" ht="15.75" customHeight="1" s="58"/>
    <row r="814" ht="15.75" customHeight="1" s="58"/>
    <row r="815" ht="15.75" customHeight="1" s="58"/>
    <row r="816" ht="15.75" customHeight="1" s="58"/>
    <row r="817" ht="15.75" customHeight="1" s="58"/>
    <row r="818" ht="15.75" customHeight="1" s="58"/>
    <row r="819" ht="15.75" customHeight="1" s="58"/>
    <row r="820" ht="15.75" customHeight="1" s="58"/>
    <row r="821" ht="15.75" customHeight="1" s="58"/>
    <row r="822" ht="15.75" customHeight="1" s="58"/>
    <row r="823" ht="15.75" customHeight="1" s="58"/>
    <row r="824" ht="15.75" customHeight="1" s="58"/>
    <row r="825" ht="15.75" customHeight="1" s="58"/>
    <row r="826" ht="15.75" customHeight="1" s="58"/>
    <row r="827" ht="15.75" customHeight="1" s="58"/>
    <row r="828" ht="15.75" customHeight="1" s="58"/>
    <row r="829" ht="15.75" customHeight="1" s="58"/>
    <row r="830" ht="15.75" customHeight="1" s="58"/>
    <row r="831" ht="15.75" customHeight="1" s="58"/>
    <row r="832" ht="15.75" customHeight="1" s="58"/>
    <row r="833" ht="15.75" customHeight="1" s="58"/>
    <row r="834" ht="15.75" customHeight="1" s="58"/>
    <row r="835" ht="15.75" customHeight="1" s="58"/>
    <row r="836" ht="15.75" customHeight="1" s="58"/>
    <row r="837" ht="15.75" customHeight="1" s="58"/>
    <row r="838" ht="15.75" customHeight="1" s="58"/>
    <row r="839" ht="15.75" customHeight="1" s="58"/>
    <row r="840" ht="15.75" customHeight="1" s="58"/>
    <row r="841" ht="15.75" customHeight="1" s="58"/>
    <row r="842" ht="15.75" customHeight="1" s="58"/>
    <row r="843" ht="15.75" customHeight="1" s="58"/>
    <row r="844" ht="15.75" customHeight="1" s="58"/>
    <row r="845" ht="15.75" customHeight="1" s="58"/>
    <row r="846" ht="15.75" customHeight="1" s="58"/>
    <row r="847" ht="15.75" customHeight="1" s="58"/>
    <row r="848" ht="15.75" customHeight="1" s="58"/>
    <row r="849" ht="15.75" customHeight="1" s="58"/>
    <row r="850" ht="15.75" customHeight="1" s="58"/>
    <row r="851" ht="15.75" customHeight="1" s="58"/>
    <row r="852" ht="15.75" customHeight="1" s="58"/>
    <row r="853" ht="15.75" customHeight="1" s="58"/>
    <row r="854" ht="15.75" customHeight="1" s="58"/>
    <row r="855" ht="15.75" customHeight="1" s="58"/>
    <row r="856" ht="15.75" customHeight="1" s="58"/>
    <row r="857" ht="15.75" customHeight="1" s="58"/>
    <row r="858" ht="15.75" customHeight="1" s="58"/>
    <row r="859" ht="15.75" customHeight="1" s="58"/>
    <row r="860" ht="15.75" customHeight="1" s="58"/>
    <row r="861" ht="15.75" customHeight="1" s="58"/>
    <row r="862" ht="15.75" customHeight="1" s="58"/>
    <row r="863" ht="15.75" customHeight="1" s="58"/>
    <row r="864" ht="15.75" customHeight="1" s="58"/>
    <row r="865" ht="15.75" customHeight="1" s="58"/>
    <row r="866" ht="15.75" customHeight="1" s="58"/>
    <row r="867" ht="15.75" customHeight="1" s="58"/>
    <row r="868" ht="15.75" customHeight="1" s="58"/>
    <row r="869" ht="15.75" customHeight="1" s="58"/>
    <row r="870" ht="15.75" customHeight="1" s="58"/>
    <row r="871" ht="15.75" customHeight="1" s="58"/>
    <row r="872" ht="15.75" customHeight="1" s="58"/>
    <row r="873" ht="15.75" customHeight="1" s="58"/>
    <row r="874" ht="15.75" customHeight="1" s="58"/>
    <row r="875" ht="15.75" customHeight="1" s="58"/>
    <row r="876" ht="15.75" customHeight="1" s="58"/>
    <row r="877" ht="15.75" customHeight="1" s="58"/>
    <row r="878" ht="15.75" customHeight="1" s="58"/>
    <row r="879" ht="15.75" customHeight="1" s="58"/>
    <row r="880" ht="15.75" customHeight="1" s="58"/>
    <row r="881" ht="15.75" customHeight="1" s="58"/>
    <row r="882" ht="15.75" customHeight="1" s="58"/>
    <row r="883" ht="15.75" customHeight="1" s="58"/>
    <row r="884" ht="15.75" customHeight="1" s="58"/>
    <row r="885" ht="15.75" customHeight="1" s="58"/>
    <row r="886" ht="15.75" customHeight="1" s="58"/>
    <row r="887" ht="15.75" customHeight="1" s="58"/>
    <row r="888" ht="15.75" customHeight="1" s="58"/>
    <row r="889" ht="15.75" customHeight="1" s="58"/>
    <row r="890" ht="15.75" customHeight="1" s="58"/>
    <row r="891" ht="15.75" customHeight="1" s="58"/>
    <row r="892" ht="15.75" customHeight="1" s="58"/>
    <row r="893" ht="15.75" customHeight="1" s="58"/>
    <row r="894" ht="15.75" customHeight="1" s="58"/>
    <row r="895" ht="15.75" customHeight="1" s="58"/>
    <row r="896" ht="15.75" customHeight="1" s="58"/>
    <row r="897" ht="15.75" customHeight="1" s="58"/>
    <row r="898" ht="15.75" customHeight="1" s="58"/>
    <row r="899" ht="15.75" customHeight="1" s="58"/>
    <row r="900" ht="15.75" customHeight="1" s="58"/>
    <row r="901" ht="15.75" customHeight="1" s="58"/>
    <row r="902" ht="15.75" customHeight="1" s="58"/>
    <row r="903" ht="15.75" customHeight="1" s="58"/>
    <row r="904" ht="15.75" customHeight="1" s="58"/>
    <row r="905" ht="15.75" customHeight="1" s="58"/>
    <row r="906" ht="15.75" customHeight="1" s="58"/>
    <row r="907" ht="15.75" customHeight="1" s="58"/>
    <row r="908" ht="15.75" customHeight="1" s="58"/>
    <row r="909" ht="15.75" customHeight="1" s="58"/>
    <row r="910" ht="15.75" customHeight="1" s="58"/>
    <row r="911" ht="15.75" customHeight="1" s="58"/>
    <row r="912" ht="15.75" customHeight="1" s="58"/>
    <row r="913" ht="15.75" customHeight="1" s="58"/>
    <row r="914" ht="15.75" customHeight="1" s="58"/>
    <row r="915" ht="15.75" customHeight="1" s="58"/>
    <row r="916" ht="15.75" customHeight="1" s="58"/>
    <row r="917" ht="15.75" customHeight="1" s="58"/>
    <row r="918" ht="15.75" customHeight="1" s="58"/>
    <row r="919" ht="15.75" customHeight="1" s="58"/>
    <row r="920" ht="15.75" customHeight="1" s="58"/>
    <row r="921" ht="15.75" customHeight="1" s="58"/>
    <row r="922" ht="15.75" customHeight="1" s="58"/>
    <row r="923" ht="15.75" customHeight="1" s="58"/>
    <row r="924" ht="15.75" customHeight="1" s="58"/>
    <row r="925" ht="15.75" customHeight="1" s="58"/>
    <row r="926" ht="15.75" customHeight="1" s="58"/>
    <row r="927" ht="15.75" customHeight="1" s="58"/>
    <row r="928" ht="15.75" customHeight="1" s="58"/>
    <row r="929" ht="15.75" customHeight="1" s="58"/>
    <row r="930" ht="15.75" customHeight="1" s="58"/>
    <row r="931" ht="15.75" customHeight="1" s="58"/>
    <row r="932" ht="15.75" customHeight="1" s="58"/>
    <row r="933" ht="15.75" customHeight="1" s="58"/>
    <row r="934" ht="15.75" customHeight="1" s="58"/>
    <row r="935" ht="15.75" customHeight="1" s="58"/>
    <row r="936" ht="15.75" customHeight="1" s="58"/>
    <row r="937" ht="15.75" customHeight="1" s="58"/>
    <row r="938" ht="15.75" customHeight="1" s="58"/>
    <row r="939" ht="15.75" customHeight="1" s="58"/>
    <row r="940" ht="15.75" customHeight="1" s="58"/>
    <row r="941" ht="15.75" customHeight="1" s="58"/>
    <row r="942" ht="15.75" customHeight="1" s="58"/>
    <row r="943" ht="15.75" customHeight="1" s="58"/>
    <row r="944" ht="15.75" customHeight="1" s="58"/>
    <row r="945" ht="15.75" customHeight="1" s="58"/>
    <row r="946" ht="15.75" customHeight="1" s="58"/>
    <row r="947" ht="15.75" customHeight="1" s="58"/>
    <row r="948" ht="15.75" customHeight="1" s="58"/>
    <row r="949" ht="15.75" customHeight="1" s="58"/>
    <row r="950" ht="15.75" customHeight="1" s="58"/>
    <row r="951" ht="15.75" customHeight="1" s="58"/>
    <row r="952" ht="15.75" customHeight="1" s="58"/>
    <row r="953" ht="15.75" customHeight="1" s="58"/>
    <row r="954" ht="15.75" customHeight="1" s="58"/>
    <row r="955" ht="15.75" customHeight="1" s="58"/>
    <row r="956" ht="15.75" customHeight="1" s="58"/>
    <row r="957" ht="15.75" customHeight="1" s="58"/>
    <row r="958" ht="15.75" customHeight="1" s="58"/>
    <row r="959" ht="15.75" customHeight="1" s="58"/>
    <row r="960" ht="15.75" customHeight="1" s="58"/>
    <row r="961" ht="15.75" customHeight="1" s="58"/>
    <row r="962" ht="15.75" customHeight="1" s="58"/>
    <row r="963" ht="15.75" customHeight="1" s="58"/>
    <row r="964" ht="15.75" customHeight="1" s="58"/>
    <row r="965" ht="15.75" customHeight="1" s="58"/>
    <row r="966" ht="15.75" customHeight="1" s="58"/>
    <row r="967" ht="15.75" customHeight="1" s="58"/>
    <row r="968" ht="15.75" customHeight="1" s="58"/>
    <row r="969" ht="15.75" customHeight="1" s="58"/>
    <row r="970" ht="15.75" customHeight="1" s="58"/>
    <row r="971" ht="15.75" customHeight="1" s="58"/>
    <row r="972" ht="15.75" customHeight="1" s="58"/>
    <row r="973" ht="15.75" customHeight="1" s="58"/>
    <row r="974" ht="15.75" customHeight="1" s="58"/>
    <row r="975" ht="15.75" customHeight="1" s="58"/>
    <row r="976" ht="15.75" customHeight="1" s="58"/>
    <row r="977" ht="15.75" customHeight="1" s="58"/>
    <row r="978" ht="15.75" customHeight="1" s="58"/>
    <row r="979" ht="15.75" customHeight="1" s="58"/>
    <row r="980" ht="15.75" customHeight="1" s="58"/>
    <row r="981" ht="15.75" customHeight="1" s="58"/>
    <row r="982" ht="15.75" customHeight="1" s="58"/>
    <row r="983" ht="15.75" customHeight="1" s="58"/>
    <row r="984" ht="15.75" customHeight="1" s="58"/>
    <row r="985" ht="15.75" customHeight="1" s="58"/>
    <row r="986" ht="15.75" customHeight="1" s="58"/>
    <row r="987" ht="15.75" customHeight="1" s="58"/>
    <row r="988" ht="15.75" customHeight="1" s="58"/>
    <row r="989" ht="15.75" customHeight="1" s="58"/>
    <row r="990" ht="15.75" customHeight="1" s="58"/>
    <row r="991" ht="15.75" customHeight="1" s="58"/>
    <row r="992" ht="15.75" customHeight="1" s="58"/>
    <row r="993" ht="15.75" customHeight="1" s="58"/>
    <row r="994" ht="15.75" customHeight="1" s="58"/>
    <row r="995" ht="15.75" customHeight="1" s="58"/>
    <row r="996" ht="15.75" customHeight="1" s="58"/>
    <row r="997" ht="15.75" customHeight="1" s="58"/>
    <row r="998" ht="15.75" customHeight="1" s="58"/>
    <row r="999" ht="15.75" customHeight="1" s="58"/>
    <row r="1000" ht="15.75" customHeight="1" s="58"/>
  </sheetData>
  <dataValidations count="3">
    <dataValidation sqref="F4" showDropDown="0" showInputMessage="0" showErrorMessage="0" allowBlank="1" type="list">
      <formula1>"תחילת שנה,מחצית שנה,סוף השנה"</formula1>
    </dataValidation>
    <dataValidation sqref="B4" showDropDown="0" showInputMessage="0" showErrorMessage="0" allowBlank="1" type="list">
      <formula1>'רשימות'!$A$5:$A$34</formula1>
    </dataValidation>
    <dataValidation sqref="D4" showDropDown="0" showInputMessage="0" showErrorMessage="0" allowBlank="1" type="list">
      <formula1>'רשימות'!$E$5:$E$8</formula1>
    </dataValidation>
  </dataValidations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9"/>
  <sheetViews>
    <sheetView showGridLines="0" rightToLeft="1" workbookViewId="0">
      <selection activeCell="A1" sqref="A1"/>
    </sheetView>
  </sheetViews>
  <sheetFormatPr baseColWidth="8" defaultColWidth="14.43" defaultRowHeight="15" customHeight="1"/>
  <cols>
    <col width="10" customWidth="1" style="58" min="1" max="1"/>
    <col width="12" customWidth="1" style="58" min="2" max="4"/>
    <col width="15" customWidth="1" style="58" min="5" max="5"/>
    <col width="12" customWidth="1" style="58" min="6" max="6"/>
    <col width="24" customWidth="1" style="58" min="7" max="7"/>
    <col width="9" customWidth="1" style="58" min="8" max="8"/>
    <col width="17" customWidth="1" style="58" min="9" max="9"/>
    <col width="12" customWidth="1" style="58" min="10" max="10"/>
    <col width="10" customWidth="1" style="58" min="11" max="11"/>
    <col width="9" customWidth="1" style="58" min="12" max="12"/>
    <col width="11" customWidth="1" style="58" min="13" max="13"/>
    <col width="10" customWidth="1" style="58" min="14" max="14"/>
    <col width="30" customWidth="1" style="58" min="15" max="26"/>
    <col width="36" customWidth="1" style="58" min="16" max="16"/>
  </cols>
  <sheetData>
    <row r="1">
      <c r="A1" s="4" t="inlineStr">
        <is>
          <t>כרטיס תלמיד — מעקב לאורך פעימות ושנים</t>
        </is>
      </c>
    </row>
    <row r="2">
      <c r="A2" s="7" t="inlineStr">
        <is>
          <t>בוחרים תלמיד לפי כיתה ומספר, למשל ח'1/ 5. הטבלה מציגה את כל הפעימות שהוזנו עבורו.</t>
        </is>
      </c>
    </row>
    <row r="3"/>
    <row r="4">
      <c r="A4" s="10" t="inlineStr">
        <is>
          <t>תלמיד (כיתה/מספר):</t>
        </is>
      </c>
      <c r="B4" s="46" t="n"/>
    </row>
    <row r="5"/>
    <row r="6">
      <c r="A6" s="37" t="inlineStr">
        <is>
          <t>מסלול ב'-ו'</t>
        </is>
      </c>
    </row>
    <row r="7" ht="33.75" customHeight="1" s="58">
      <c r="A7" s="19" t="inlineStr">
        <is>
          <t>שנה</t>
        </is>
      </c>
      <c r="B7" s="19" t="inlineStr">
        <is>
          <t>פעימה</t>
        </is>
      </c>
      <c r="C7" s="19" t="inlineStr">
        <is>
          <t>רמת הטקסט</t>
        </is>
      </c>
      <c r="D7" s="19" t="inlineStr">
        <is>
          <t>רמת הכתב</t>
        </is>
      </c>
      <c r="E7" s="19" t="inlineStr">
        <is>
          <t>איכות הקריאה</t>
        </is>
      </c>
      <c r="F7" s="19" t="inlineStr">
        <is>
          <t>הבעה בכתב</t>
        </is>
      </c>
      <c r="G7" s="19" t="inlineStr">
        <is>
          <t>הפרופיל</t>
        </is>
      </c>
      <c r="H7" s="19" t="inlineStr">
        <is>
          <t>הרמה</t>
        </is>
      </c>
      <c r="I7" s="19" t="inlineStr">
        <is>
          <t>תנועה</t>
        </is>
      </c>
      <c r="J7" s="19" t="inlineStr">
        <is>
          <t>כתב</t>
        </is>
      </c>
      <c r="K7" s="19" t="inlineStr">
        <is>
          <t>כתיב</t>
        </is>
      </c>
      <c r="L7" s="19" t="inlineStr">
        <is>
          <t>תוכן</t>
        </is>
      </c>
      <c r="M7" s="19" t="inlineStr">
        <is>
          <t>ארגון</t>
        </is>
      </c>
      <c r="N7" s="19" t="inlineStr">
        <is>
          <t>לשון</t>
        </is>
      </c>
      <c r="O7" s="19" t="inlineStr">
        <is>
          <t>הערה לקבוצה</t>
        </is>
      </c>
      <c r="P7" s="19" t="inlineStr">
        <is>
          <t>היבטים רגשיים והתנהגותיים</t>
        </is>
      </c>
    </row>
    <row r="8">
      <c r="A8" s="43">
        <f t="array" ref="A8">IFERROR(INDEX('הזנה ב-ו'!$A$6:$A$1505,MATCH($B$4&amp;"|"&amp;1,'הזנה ב-ו'!$AG$6:$AG$1505,0)),"")</f>
        <v/>
      </c>
      <c r="B8" s="43">
        <f t="array" ref="B8">IFERROR(INDEX('הזנה ב-ו'!$F$6:$F$1505,MATCH($B$4&amp;"|"&amp;1,'הזנה ב-ו'!$AG$6:$AG$1505,0)),"")</f>
        <v/>
      </c>
      <c r="C8" s="43">
        <f t="array" ref="C8">IFERROR(INDEX('הזנה ב-ו'!$G$6:$G$1505,MATCH($B$4&amp;"|"&amp;1,'הזנה ב-ו'!$AG$6:$AG$1505,0)),"")</f>
        <v/>
      </c>
      <c r="D8" s="43">
        <f t="array" ref="D8">IFERROR(INDEX('הזנה ב-ו'!$H$6:$H$1505,MATCH($B$4&amp;"|"&amp;1,'הזנה ב-ו'!$AG$6:$AG$1505,0)),"")</f>
        <v/>
      </c>
      <c r="E8" s="43">
        <f t="array" ref="E8">IFERROR(INDEX('הזנה ב-ו'!$Y$6:$Y$1505,MATCH($B$4&amp;"|"&amp;1,'הזנה ב-ו'!$AG$6:$AG$1505,0)),"")</f>
        <v/>
      </c>
      <c r="F8" s="43">
        <f t="array" ref="F8">IFERROR(INDEX('הזנה ב-ו'!$Z$6:$Z$1505,MATCH($B$4&amp;"|"&amp;1,'הזנה ב-ו'!$AG$6:$AG$1505,0)),"")</f>
        <v/>
      </c>
      <c r="G8" s="43">
        <f t="array" ref="G8">IFERROR(INDEX('הזנה ב-ו'!$AB$6:$AB$1505,MATCH($B$4&amp;"|"&amp;1,'הזנה ב-ו'!$AG$6:$AG$1505,0)),"")</f>
        <v/>
      </c>
      <c r="H8" s="43">
        <f t="array" ref="H8">IFERROR(INDEX('הזנה ב-ו'!$AC$6:$AC$1505,MATCH($B$4&amp;"|"&amp;1,'הזנה ב-ו'!$AG$6:$AG$1505,0)),"")</f>
        <v/>
      </c>
      <c r="I8" s="43">
        <f t="array" ref="I8">IFERROR(INDEX('הזנה ב-ו'!$AJ$6:$AJ$1505,MATCH($B$4&amp;"|"&amp;1,'הזנה ב-ו'!$AG$6:$AG$1505,0)),"")</f>
        <v/>
      </c>
      <c r="J8" s="43">
        <f t="array" ref="J8">IFERROR(INDEX('הזנה ב-ו'!$S$6:$S$1505,MATCH($B$4&amp;"|"&amp;1,'הזנה ב-ו'!$AG$6:$AG$1505,0)),"")</f>
        <v/>
      </c>
      <c r="K8" s="43">
        <f t="array" ref="K8">IFERROR(INDEX('הזנה ב-ו'!$T$6:$T$1505,MATCH($B$4&amp;"|"&amp;1,'הזנה ב-ו'!$AG$6:$AG$1505,0)),"")</f>
        <v/>
      </c>
      <c r="L8" s="43">
        <f t="array" ref="L8">IFERROR(INDEX('הזנה ב-ו'!$U$6:$U$1505,MATCH($B$4&amp;"|"&amp;1,'הזנה ב-ו'!$AG$6:$AG$1505,0)),"")</f>
        <v/>
      </c>
      <c r="M8" s="43">
        <f t="array" ref="M8">IFERROR(INDEX('הזנה ב-ו'!$V$6:$V$1505,MATCH($B$4&amp;"|"&amp;1,'הזנה ב-ו'!$AG$6:$AG$1505,0)),"")</f>
        <v/>
      </c>
      <c r="N8" s="43">
        <f t="array" ref="N8">IFERROR(INDEX('הזנה ב-ו'!$W$6:$W$1505,MATCH($B$4&amp;"|"&amp;1,'הזנה ב-ו'!$AG$6:$AG$1505,0)),"")</f>
        <v/>
      </c>
      <c r="O8" s="43">
        <f>IFERROR(INDEX('הזנה ב-ו'!$AD$6:$AD$1505,MATCH($B$4&amp;"|"&amp;1,'הזנה ב-ו'!$AG$6:$AG$1505,0)),"")</f>
        <v/>
      </c>
      <c r="P8" s="43">
        <f>IFERROR(INDEX('הזנה ב-ו'!$AK$6:$AK$1505,MATCH($B$4&amp;"|"&amp;1,'הזנה ב-ו'!$AG$6:$AG$1505,0)),"")</f>
        <v/>
      </c>
    </row>
    <row r="9">
      <c r="A9" s="43">
        <f t="array" ref="A9">IFERROR(INDEX('הזנה ב-ו'!$A$6:$A$1505,MATCH($B$4&amp;"|"&amp;2,'הזנה ב-ו'!$AG$6:$AG$1505,0)),"")</f>
        <v/>
      </c>
      <c r="B9" s="43">
        <f t="array" ref="B9">IFERROR(INDEX('הזנה ב-ו'!$F$6:$F$1505,MATCH($B$4&amp;"|"&amp;2,'הזנה ב-ו'!$AG$6:$AG$1505,0)),"")</f>
        <v/>
      </c>
      <c r="C9" s="43">
        <f t="array" ref="C9">IFERROR(INDEX('הזנה ב-ו'!$G$6:$G$1505,MATCH($B$4&amp;"|"&amp;2,'הזנה ב-ו'!$AG$6:$AG$1505,0)),"")</f>
        <v/>
      </c>
      <c r="D9" s="43">
        <f t="array" ref="D9">IFERROR(INDEX('הזנה ב-ו'!$H$6:$H$1505,MATCH($B$4&amp;"|"&amp;2,'הזנה ב-ו'!$AG$6:$AG$1505,0)),"")</f>
        <v/>
      </c>
      <c r="E9" s="43">
        <f t="array" ref="E9">IFERROR(INDEX('הזנה ב-ו'!$Y$6:$Y$1505,MATCH($B$4&amp;"|"&amp;2,'הזנה ב-ו'!$AG$6:$AG$1505,0)),"")</f>
        <v/>
      </c>
      <c r="F9" s="43">
        <f t="array" ref="F9">IFERROR(INDEX('הזנה ב-ו'!$Z$6:$Z$1505,MATCH($B$4&amp;"|"&amp;2,'הזנה ב-ו'!$AG$6:$AG$1505,0)),"")</f>
        <v/>
      </c>
      <c r="G9" s="43">
        <f t="array" ref="G9">IFERROR(INDEX('הזנה ב-ו'!$AB$6:$AB$1505,MATCH($B$4&amp;"|"&amp;2,'הזנה ב-ו'!$AG$6:$AG$1505,0)),"")</f>
        <v/>
      </c>
      <c r="H9" s="43">
        <f t="array" ref="H9">IFERROR(INDEX('הזנה ב-ו'!$AC$6:$AC$1505,MATCH($B$4&amp;"|"&amp;2,'הזנה ב-ו'!$AG$6:$AG$1505,0)),"")</f>
        <v/>
      </c>
      <c r="I9" s="43">
        <f t="array" ref="I9">IFERROR(INDEX('הזנה ב-ו'!$AJ$6:$AJ$1505,MATCH($B$4&amp;"|"&amp;2,'הזנה ב-ו'!$AG$6:$AG$1505,0)),"")</f>
        <v/>
      </c>
      <c r="J9" s="43">
        <f t="array" ref="J9">IFERROR(INDEX('הזנה ב-ו'!$S$6:$S$1505,MATCH($B$4&amp;"|"&amp;2,'הזנה ב-ו'!$AG$6:$AG$1505,0)),"")</f>
        <v/>
      </c>
      <c r="K9" s="43">
        <f t="array" ref="K9">IFERROR(INDEX('הזנה ב-ו'!$T$6:$T$1505,MATCH($B$4&amp;"|"&amp;2,'הזנה ב-ו'!$AG$6:$AG$1505,0)),"")</f>
        <v/>
      </c>
      <c r="L9" s="43">
        <f t="array" ref="L9">IFERROR(INDEX('הזנה ב-ו'!$U$6:$U$1505,MATCH($B$4&amp;"|"&amp;2,'הזנה ב-ו'!$AG$6:$AG$1505,0)),"")</f>
        <v/>
      </c>
      <c r="M9" s="43">
        <f t="array" ref="M9">IFERROR(INDEX('הזנה ב-ו'!$V$6:$V$1505,MATCH($B$4&amp;"|"&amp;2,'הזנה ב-ו'!$AG$6:$AG$1505,0)),"")</f>
        <v/>
      </c>
      <c r="N9" s="43">
        <f t="array" ref="N9">IFERROR(INDEX('הזנה ב-ו'!$W$6:$W$1505,MATCH($B$4&amp;"|"&amp;2,'הזנה ב-ו'!$AG$6:$AG$1505,0)),"")</f>
        <v/>
      </c>
      <c r="O9" s="43">
        <f>IFERROR(INDEX('הזנה ב-ו'!$AD$6:$AD$1505,MATCH($B$4&amp;"|"&amp;2,'הזנה ב-ו'!$AG$6:$AG$1505,0)),"")</f>
        <v/>
      </c>
      <c r="P9" s="43">
        <f>IFERROR(INDEX('הזנה ב-ו'!$AK$6:$AK$1505,MATCH($B$4&amp;"|"&amp;2,'הזנה ב-ו'!$AG$6:$AG$1505,0)),"")</f>
        <v/>
      </c>
    </row>
    <row r="10">
      <c r="A10" s="43">
        <f t="array" ref="A10">IFERROR(INDEX('הזנה ב-ו'!$A$6:$A$1505,MATCH($B$4&amp;"|"&amp;3,'הזנה ב-ו'!$AG$6:$AG$1505,0)),"")</f>
        <v/>
      </c>
      <c r="B10" s="43">
        <f t="array" ref="B10">IFERROR(INDEX('הזנה ב-ו'!$F$6:$F$1505,MATCH($B$4&amp;"|"&amp;3,'הזנה ב-ו'!$AG$6:$AG$1505,0)),"")</f>
        <v/>
      </c>
      <c r="C10" s="43">
        <f t="array" ref="C10">IFERROR(INDEX('הזנה ב-ו'!$G$6:$G$1505,MATCH($B$4&amp;"|"&amp;3,'הזנה ב-ו'!$AG$6:$AG$1505,0)),"")</f>
        <v/>
      </c>
      <c r="D10" s="43">
        <f t="array" ref="D10">IFERROR(INDEX('הזנה ב-ו'!$H$6:$H$1505,MATCH($B$4&amp;"|"&amp;3,'הזנה ב-ו'!$AG$6:$AG$1505,0)),"")</f>
        <v/>
      </c>
      <c r="E10" s="43">
        <f t="array" ref="E10">IFERROR(INDEX('הזנה ב-ו'!$Y$6:$Y$1505,MATCH($B$4&amp;"|"&amp;3,'הזנה ב-ו'!$AG$6:$AG$1505,0)),"")</f>
        <v/>
      </c>
      <c r="F10" s="43">
        <f t="array" ref="F10">IFERROR(INDEX('הזנה ב-ו'!$Z$6:$Z$1505,MATCH($B$4&amp;"|"&amp;3,'הזנה ב-ו'!$AG$6:$AG$1505,0)),"")</f>
        <v/>
      </c>
      <c r="G10" s="43">
        <f t="array" ref="G10">IFERROR(INDEX('הזנה ב-ו'!$AB$6:$AB$1505,MATCH($B$4&amp;"|"&amp;3,'הזנה ב-ו'!$AG$6:$AG$1505,0)),"")</f>
        <v/>
      </c>
      <c r="H10" s="43">
        <f t="array" ref="H10">IFERROR(INDEX('הזנה ב-ו'!$AC$6:$AC$1505,MATCH($B$4&amp;"|"&amp;3,'הזנה ב-ו'!$AG$6:$AG$1505,0)),"")</f>
        <v/>
      </c>
      <c r="I10" s="43">
        <f t="array" ref="I10">IFERROR(INDEX('הזנה ב-ו'!$AJ$6:$AJ$1505,MATCH($B$4&amp;"|"&amp;3,'הזנה ב-ו'!$AG$6:$AG$1505,0)),"")</f>
        <v/>
      </c>
      <c r="J10" s="43">
        <f t="array" ref="J10">IFERROR(INDEX('הזנה ב-ו'!$S$6:$S$1505,MATCH($B$4&amp;"|"&amp;3,'הזנה ב-ו'!$AG$6:$AG$1505,0)),"")</f>
        <v/>
      </c>
      <c r="K10" s="43">
        <f t="array" ref="K10">IFERROR(INDEX('הזנה ב-ו'!$T$6:$T$1505,MATCH($B$4&amp;"|"&amp;3,'הזנה ב-ו'!$AG$6:$AG$1505,0)),"")</f>
        <v/>
      </c>
      <c r="L10" s="43">
        <f t="array" ref="L10">IFERROR(INDEX('הזנה ב-ו'!$U$6:$U$1505,MATCH($B$4&amp;"|"&amp;3,'הזנה ב-ו'!$AG$6:$AG$1505,0)),"")</f>
        <v/>
      </c>
      <c r="M10" s="43">
        <f t="array" ref="M10">IFERROR(INDEX('הזנה ב-ו'!$V$6:$V$1505,MATCH($B$4&amp;"|"&amp;3,'הזנה ב-ו'!$AG$6:$AG$1505,0)),"")</f>
        <v/>
      </c>
      <c r="N10" s="43">
        <f t="array" ref="N10">IFERROR(INDEX('הזנה ב-ו'!$W$6:$W$1505,MATCH($B$4&amp;"|"&amp;3,'הזנה ב-ו'!$AG$6:$AG$1505,0)),"")</f>
        <v/>
      </c>
      <c r="O10" s="43">
        <f>IFERROR(INDEX('הזנה ב-ו'!$AD$6:$AD$1505,MATCH($B$4&amp;"|"&amp;3,'הזנה ב-ו'!$AG$6:$AG$1505,0)),"")</f>
        <v/>
      </c>
      <c r="P10" s="43">
        <f>IFERROR(INDEX('הזנה ב-ו'!$AK$6:$AK$1505,MATCH($B$4&amp;"|"&amp;3,'הזנה ב-ו'!$AG$6:$AG$1505,0)),"")</f>
        <v/>
      </c>
    </row>
    <row r="11">
      <c r="A11" s="43">
        <f t="array" ref="A11">IFERROR(INDEX('הזנה ב-ו'!$A$6:$A$1505,MATCH($B$4&amp;"|"&amp;4,'הזנה ב-ו'!$AG$6:$AG$1505,0)),"")</f>
        <v/>
      </c>
      <c r="B11" s="43">
        <f t="array" ref="B11">IFERROR(INDEX('הזנה ב-ו'!$F$6:$F$1505,MATCH($B$4&amp;"|"&amp;4,'הזנה ב-ו'!$AG$6:$AG$1505,0)),"")</f>
        <v/>
      </c>
      <c r="C11" s="43">
        <f t="array" ref="C11">IFERROR(INDEX('הזנה ב-ו'!$G$6:$G$1505,MATCH($B$4&amp;"|"&amp;4,'הזנה ב-ו'!$AG$6:$AG$1505,0)),"")</f>
        <v/>
      </c>
      <c r="D11" s="43">
        <f t="array" ref="D11">IFERROR(INDEX('הזנה ב-ו'!$H$6:$H$1505,MATCH($B$4&amp;"|"&amp;4,'הזנה ב-ו'!$AG$6:$AG$1505,0)),"")</f>
        <v/>
      </c>
      <c r="E11" s="43">
        <f t="array" ref="E11">IFERROR(INDEX('הזנה ב-ו'!$Y$6:$Y$1505,MATCH($B$4&amp;"|"&amp;4,'הזנה ב-ו'!$AG$6:$AG$1505,0)),"")</f>
        <v/>
      </c>
      <c r="F11" s="43">
        <f t="array" ref="F11">IFERROR(INDEX('הזנה ב-ו'!$Z$6:$Z$1505,MATCH($B$4&amp;"|"&amp;4,'הזנה ב-ו'!$AG$6:$AG$1505,0)),"")</f>
        <v/>
      </c>
      <c r="G11" s="43">
        <f t="array" ref="G11">IFERROR(INDEX('הזנה ב-ו'!$AB$6:$AB$1505,MATCH($B$4&amp;"|"&amp;4,'הזנה ב-ו'!$AG$6:$AG$1505,0)),"")</f>
        <v/>
      </c>
      <c r="H11" s="43">
        <f t="array" ref="H11">IFERROR(INDEX('הזנה ב-ו'!$AC$6:$AC$1505,MATCH($B$4&amp;"|"&amp;4,'הזנה ב-ו'!$AG$6:$AG$1505,0)),"")</f>
        <v/>
      </c>
      <c r="I11" s="43">
        <f t="array" ref="I11">IFERROR(INDEX('הזנה ב-ו'!$AJ$6:$AJ$1505,MATCH($B$4&amp;"|"&amp;4,'הזנה ב-ו'!$AG$6:$AG$1505,0)),"")</f>
        <v/>
      </c>
      <c r="J11" s="43">
        <f t="array" ref="J11">IFERROR(INDEX('הזנה ב-ו'!$S$6:$S$1505,MATCH($B$4&amp;"|"&amp;4,'הזנה ב-ו'!$AG$6:$AG$1505,0)),"")</f>
        <v/>
      </c>
      <c r="K11" s="43">
        <f t="array" ref="K11">IFERROR(INDEX('הזנה ב-ו'!$T$6:$T$1505,MATCH($B$4&amp;"|"&amp;4,'הזנה ב-ו'!$AG$6:$AG$1505,0)),"")</f>
        <v/>
      </c>
      <c r="L11" s="43">
        <f t="array" ref="L11">IFERROR(INDEX('הזנה ב-ו'!$U$6:$U$1505,MATCH($B$4&amp;"|"&amp;4,'הזנה ב-ו'!$AG$6:$AG$1505,0)),"")</f>
        <v/>
      </c>
      <c r="M11" s="43">
        <f t="array" ref="M11">IFERROR(INDEX('הזנה ב-ו'!$V$6:$V$1505,MATCH($B$4&amp;"|"&amp;4,'הזנה ב-ו'!$AG$6:$AG$1505,0)),"")</f>
        <v/>
      </c>
      <c r="N11" s="43">
        <f t="array" ref="N11">IFERROR(INDEX('הזנה ב-ו'!$W$6:$W$1505,MATCH($B$4&amp;"|"&amp;4,'הזנה ב-ו'!$AG$6:$AG$1505,0)),"")</f>
        <v/>
      </c>
      <c r="O11" s="43">
        <f>IFERROR(INDEX('הזנה ב-ו'!$AD$6:$AD$1505,MATCH($B$4&amp;"|"&amp;4,'הזנה ב-ו'!$AG$6:$AG$1505,0)),"")</f>
        <v/>
      </c>
      <c r="P11" s="43">
        <f>IFERROR(INDEX('הזנה ב-ו'!$AK$6:$AK$1505,MATCH($B$4&amp;"|"&amp;4,'הזנה ב-ו'!$AG$6:$AG$1505,0)),"")</f>
        <v/>
      </c>
    </row>
    <row r="12">
      <c r="A12" s="43">
        <f t="array" ref="A12">IFERROR(INDEX('הזנה ב-ו'!$A$6:$A$1505,MATCH($B$4&amp;"|"&amp;5,'הזנה ב-ו'!$AG$6:$AG$1505,0)),"")</f>
        <v/>
      </c>
      <c r="B12" s="43">
        <f t="array" ref="B12">IFERROR(INDEX('הזנה ב-ו'!$F$6:$F$1505,MATCH($B$4&amp;"|"&amp;5,'הזנה ב-ו'!$AG$6:$AG$1505,0)),"")</f>
        <v/>
      </c>
      <c r="C12" s="43">
        <f t="array" ref="C12">IFERROR(INDEX('הזנה ב-ו'!$G$6:$G$1505,MATCH($B$4&amp;"|"&amp;5,'הזנה ב-ו'!$AG$6:$AG$1505,0)),"")</f>
        <v/>
      </c>
      <c r="D12" s="43">
        <f t="array" ref="D12">IFERROR(INDEX('הזנה ב-ו'!$H$6:$H$1505,MATCH($B$4&amp;"|"&amp;5,'הזנה ב-ו'!$AG$6:$AG$1505,0)),"")</f>
        <v/>
      </c>
      <c r="E12" s="43">
        <f t="array" ref="E12">IFERROR(INDEX('הזנה ב-ו'!$Y$6:$Y$1505,MATCH($B$4&amp;"|"&amp;5,'הזנה ב-ו'!$AG$6:$AG$1505,0)),"")</f>
        <v/>
      </c>
      <c r="F12" s="43">
        <f t="array" ref="F12">IFERROR(INDEX('הזנה ב-ו'!$Z$6:$Z$1505,MATCH($B$4&amp;"|"&amp;5,'הזנה ב-ו'!$AG$6:$AG$1505,0)),"")</f>
        <v/>
      </c>
      <c r="G12" s="43">
        <f t="array" ref="G12">IFERROR(INDEX('הזנה ב-ו'!$AB$6:$AB$1505,MATCH($B$4&amp;"|"&amp;5,'הזנה ב-ו'!$AG$6:$AG$1505,0)),"")</f>
        <v/>
      </c>
      <c r="H12" s="43">
        <f t="array" ref="H12">IFERROR(INDEX('הזנה ב-ו'!$AC$6:$AC$1505,MATCH($B$4&amp;"|"&amp;5,'הזנה ב-ו'!$AG$6:$AG$1505,0)),"")</f>
        <v/>
      </c>
      <c r="I12" s="43">
        <f t="array" ref="I12">IFERROR(INDEX('הזנה ב-ו'!$AJ$6:$AJ$1505,MATCH($B$4&amp;"|"&amp;5,'הזנה ב-ו'!$AG$6:$AG$1505,0)),"")</f>
        <v/>
      </c>
      <c r="J12" s="43">
        <f t="array" ref="J12">IFERROR(INDEX('הזנה ב-ו'!$S$6:$S$1505,MATCH($B$4&amp;"|"&amp;5,'הזנה ב-ו'!$AG$6:$AG$1505,0)),"")</f>
        <v/>
      </c>
      <c r="K12" s="43">
        <f t="array" ref="K12">IFERROR(INDEX('הזנה ב-ו'!$T$6:$T$1505,MATCH($B$4&amp;"|"&amp;5,'הזנה ב-ו'!$AG$6:$AG$1505,0)),"")</f>
        <v/>
      </c>
      <c r="L12" s="43">
        <f t="array" ref="L12">IFERROR(INDEX('הזנה ב-ו'!$U$6:$U$1505,MATCH($B$4&amp;"|"&amp;5,'הזנה ב-ו'!$AG$6:$AG$1505,0)),"")</f>
        <v/>
      </c>
      <c r="M12" s="43">
        <f t="array" ref="M12">IFERROR(INDEX('הזנה ב-ו'!$V$6:$V$1505,MATCH($B$4&amp;"|"&amp;5,'הזנה ב-ו'!$AG$6:$AG$1505,0)),"")</f>
        <v/>
      </c>
      <c r="N12" s="43">
        <f t="array" ref="N12">IFERROR(INDEX('הזנה ב-ו'!$W$6:$W$1505,MATCH($B$4&amp;"|"&amp;5,'הזנה ב-ו'!$AG$6:$AG$1505,0)),"")</f>
        <v/>
      </c>
      <c r="O12" s="43">
        <f>IFERROR(INDEX('הזנה ב-ו'!$AD$6:$AD$1505,MATCH($B$4&amp;"|"&amp;5,'הזנה ב-ו'!$AG$6:$AG$1505,0)),"")</f>
        <v/>
      </c>
      <c r="P12" s="43">
        <f>IFERROR(INDEX('הזנה ב-ו'!$AK$6:$AK$1505,MATCH($B$4&amp;"|"&amp;5,'הזנה ב-ו'!$AG$6:$AG$1505,0)),"")</f>
        <v/>
      </c>
    </row>
    <row r="13">
      <c r="A13" s="43">
        <f t="array" ref="A13">IFERROR(INDEX('הזנה ב-ו'!$A$6:$A$1505,MATCH($B$4&amp;"|"&amp;6,'הזנה ב-ו'!$AG$6:$AG$1505,0)),"")</f>
        <v/>
      </c>
      <c r="B13" s="43">
        <f t="array" ref="B13">IFERROR(INDEX('הזנה ב-ו'!$F$6:$F$1505,MATCH($B$4&amp;"|"&amp;6,'הזנה ב-ו'!$AG$6:$AG$1505,0)),"")</f>
        <v/>
      </c>
      <c r="C13" s="43">
        <f t="array" ref="C13">IFERROR(INDEX('הזנה ב-ו'!$G$6:$G$1505,MATCH($B$4&amp;"|"&amp;6,'הזנה ב-ו'!$AG$6:$AG$1505,0)),"")</f>
        <v/>
      </c>
      <c r="D13" s="43">
        <f t="array" ref="D13">IFERROR(INDEX('הזנה ב-ו'!$H$6:$H$1505,MATCH($B$4&amp;"|"&amp;6,'הזנה ב-ו'!$AG$6:$AG$1505,0)),"")</f>
        <v/>
      </c>
      <c r="E13" s="43">
        <f t="array" ref="E13">IFERROR(INDEX('הזנה ב-ו'!$Y$6:$Y$1505,MATCH($B$4&amp;"|"&amp;6,'הזנה ב-ו'!$AG$6:$AG$1505,0)),"")</f>
        <v/>
      </c>
      <c r="F13" s="43">
        <f t="array" ref="F13">IFERROR(INDEX('הזנה ב-ו'!$Z$6:$Z$1505,MATCH($B$4&amp;"|"&amp;6,'הזנה ב-ו'!$AG$6:$AG$1505,0)),"")</f>
        <v/>
      </c>
      <c r="G13" s="43">
        <f t="array" ref="G13">IFERROR(INDEX('הזנה ב-ו'!$AB$6:$AB$1505,MATCH($B$4&amp;"|"&amp;6,'הזנה ב-ו'!$AG$6:$AG$1505,0)),"")</f>
        <v/>
      </c>
      <c r="H13" s="43">
        <f t="array" ref="H13">IFERROR(INDEX('הזנה ב-ו'!$AC$6:$AC$1505,MATCH($B$4&amp;"|"&amp;6,'הזנה ב-ו'!$AG$6:$AG$1505,0)),"")</f>
        <v/>
      </c>
      <c r="I13" s="43">
        <f t="array" ref="I13">IFERROR(INDEX('הזנה ב-ו'!$AJ$6:$AJ$1505,MATCH($B$4&amp;"|"&amp;6,'הזנה ב-ו'!$AG$6:$AG$1505,0)),"")</f>
        <v/>
      </c>
      <c r="J13" s="43">
        <f t="array" ref="J13">IFERROR(INDEX('הזנה ב-ו'!$S$6:$S$1505,MATCH($B$4&amp;"|"&amp;6,'הזנה ב-ו'!$AG$6:$AG$1505,0)),"")</f>
        <v/>
      </c>
      <c r="K13" s="43">
        <f t="array" ref="K13">IFERROR(INDEX('הזנה ב-ו'!$T$6:$T$1505,MATCH($B$4&amp;"|"&amp;6,'הזנה ב-ו'!$AG$6:$AG$1505,0)),"")</f>
        <v/>
      </c>
      <c r="L13" s="43">
        <f t="array" ref="L13">IFERROR(INDEX('הזנה ב-ו'!$U$6:$U$1505,MATCH($B$4&amp;"|"&amp;6,'הזנה ב-ו'!$AG$6:$AG$1505,0)),"")</f>
        <v/>
      </c>
      <c r="M13" s="43">
        <f t="array" ref="M13">IFERROR(INDEX('הזנה ב-ו'!$V$6:$V$1505,MATCH($B$4&amp;"|"&amp;6,'הזנה ב-ו'!$AG$6:$AG$1505,0)),"")</f>
        <v/>
      </c>
      <c r="N13" s="43">
        <f t="array" ref="N13">IFERROR(INDEX('הזנה ב-ו'!$W$6:$W$1505,MATCH($B$4&amp;"|"&amp;6,'הזנה ב-ו'!$AG$6:$AG$1505,0)),"")</f>
        <v/>
      </c>
      <c r="O13" s="43">
        <f>IFERROR(INDEX('הזנה ב-ו'!$AD$6:$AD$1505,MATCH($B$4&amp;"|"&amp;6,'הזנה ב-ו'!$AG$6:$AG$1505,0)),"")</f>
        <v/>
      </c>
      <c r="P13" s="43">
        <f>IFERROR(INDEX('הזנה ב-ו'!$AK$6:$AK$1505,MATCH($B$4&amp;"|"&amp;6,'הזנה ב-ו'!$AG$6:$AG$1505,0)),"")</f>
        <v/>
      </c>
    </row>
    <row r="14">
      <c r="A14" s="43">
        <f t="array" ref="A14">IFERROR(INDEX('הזנה ב-ו'!$A$6:$A$1505,MATCH($B$4&amp;"|"&amp;7,'הזנה ב-ו'!$AG$6:$AG$1505,0)),"")</f>
        <v/>
      </c>
      <c r="B14" s="43">
        <f t="array" ref="B14">IFERROR(INDEX('הזנה ב-ו'!$F$6:$F$1505,MATCH($B$4&amp;"|"&amp;7,'הזנה ב-ו'!$AG$6:$AG$1505,0)),"")</f>
        <v/>
      </c>
      <c r="C14" s="43">
        <f t="array" ref="C14">IFERROR(INDEX('הזנה ב-ו'!$G$6:$G$1505,MATCH($B$4&amp;"|"&amp;7,'הזנה ב-ו'!$AG$6:$AG$1505,0)),"")</f>
        <v/>
      </c>
      <c r="D14" s="43">
        <f t="array" ref="D14">IFERROR(INDEX('הזנה ב-ו'!$H$6:$H$1505,MATCH($B$4&amp;"|"&amp;7,'הזנה ב-ו'!$AG$6:$AG$1505,0)),"")</f>
        <v/>
      </c>
      <c r="E14" s="43">
        <f t="array" ref="E14">IFERROR(INDEX('הזנה ב-ו'!$Y$6:$Y$1505,MATCH($B$4&amp;"|"&amp;7,'הזנה ב-ו'!$AG$6:$AG$1505,0)),"")</f>
        <v/>
      </c>
      <c r="F14" s="43">
        <f t="array" ref="F14">IFERROR(INDEX('הזנה ב-ו'!$Z$6:$Z$1505,MATCH($B$4&amp;"|"&amp;7,'הזנה ב-ו'!$AG$6:$AG$1505,0)),"")</f>
        <v/>
      </c>
      <c r="G14" s="43">
        <f t="array" ref="G14">IFERROR(INDEX('הזנה ב-ו'!$AB$6:$AB$1505,MATCH($B$4&amp;"|"&amp;7,'הזנה ב-ו'!$AG$6:$AG$1505,0)),"")</f>
        <v/>
      </c>
      <c r="H14" s="43">
        <f t="array" ref="H14">IFERROR(INDEX('הזנה ב-ו'!$AC$6:$AC$1505,MATCH($B$4&amp;"|"&amp;7,'הזנה ב-ו'!$AG$6:$AG$1505,0)),"")</f>
        <v/>
      </c>
      <c r="I14" s="43">
        <f t="array" ref="I14">IFERROR(INDEX('הזנה ב-ו'!$AJ$6:$AJ$1505,MATCH($B$4&amp;"|"&amp;7,'הזנה ב-ו'!$AG$6:$AG$1505,0)),"")</f>
        <v/>
      </c>
      <c r="J14" s="43">
        <f t="array" ref="J14">IFERROR(INDEX('הזנה ב-ו'!$S$6:$S$1505,MATCH($B$4&amp;"|"&amp;7,'הזנה ב-ו'!$AG$6:$AG$1505,0)),"")</f>
        <v/>
      </c>
      <c r="K14" s="43">
        <f t="array" ref="K14">IFERROR(INDEX('הזנה ב-ו'!$T$6:$T$1505,MATCH($B$4&amp;"|"&amp;7,'הזנה ב-ו'!$AG$6:$AG$1505,0)),"")</f>
        <v/>
      </c>
      <c r="L14" s="43">
        <f t="array" ref="L14">IFERROR(INDEX('הזנה ב-ו'!$U$6:$U$1505,MATCH($B$4&amp;"|"&amp;7,'הזנה ב-ו'!$AG$6:$AG$1505,0)),"")</f>
        <v/>
      </c>
      <c r="M14" s="43">
        <f t="array" ref="M14">IFERROR(INDEX('הזנה ב-ו'!$V$6:$V$1505,MATCH($B$4&amp;"|"&amp;7,'הזנה ב-ו'!$AG$6:$AG$1505,0)),"")</f>
        <v/>
      </c>
      <c r="N14" s="43">
        <f t="array" ref="N14">IFERROR(INDEX('הזנה ב-ו'!$W$6:$W$1505,MATCH($B$4&amp;"|"&amp;7,'הזנה ב-ו'!$AG$6:$AG$1505,0)),"")</f>
        <v/>
      </c>
      <c r="O14" s="43">
        <f>IFERROR(INDEX('הזנה ב-ו'!$AD$6:$AD$1505,MATCH($B$4&amp;"|"&amp;7,'הזנה ב-ו'!$AG$6:$AG$1505,0)),"")</f>
        <v/>
      </c>
      <c r="P14" s="43">
        <f>IFERROR(INDEX('הזנה ב-ו'!$AK$6:$AK$1505,MATCH($B$4&amp;"|"&amp;7,'הזנה ב-ו'!$AG$6:$AG$1505,0)),"")</f>
        <v/>
      </c>
    </row>
    <row r="15">
      <c r="A15" s="43">
        <f t="array" ref="A15">IFERROR(INDEX('הזנה ב-ו'!$A$6:$A$1505,MATCH($B$4&amp;"|"&amp;8,'הזנה ב-ו'!$AG$6:$AG$1505,0)),"")</f>
        <v/>
      </c>
      <c r="B15" s="43">
        <f t="array" ref="B15">IFERROR(INDEX('הזנה ב-ו'!$F$6:$F$1505,MATCH($B$4&amp;"|"&amp;8,'הזנה ב-ו'!$AG$6:$AG$1505,0)),"")</f>
        <v/>
      </c>
      <c r="C15" s="43">
        <f t="array" ref="C15">IFERROR(INDEX('הזנה ב-ו'!$G$6:$G$1505,MATCH($B$4&amp;"|"&amp;8,'הזנה ב-ו'!$AG$6:$AG$1505,0)),"")</f>
        <v/>
      </c>
      <c r="D15" s="43">
        <f t="array" ref="D15">IFERROR(INDEX('הזנה ב-ו'!$H$6:$H$1505,MATCH($B$4&amp;"|"&amp;8,'הזנה ב-ו'!$AG$6:$AG$1505,0)),"")</f>
        <v/>
      </c>
      <c r="E15" s="43">
        <f t="array" ref="E15">IFERROR(INDEX('הזנה ב-ו'!$Y$6:$Y$1505,MATCH($B$4&amp;"|"&amp;8,'הזנה ב-ו'!$AG$6:$AG$1505,0)),"")</f>
        <v/>
      </c>
      <c r="F15" s="43">
        <f t="array" ref="F15">IFERROR(INDEX('הזנה ב-ו'!$Z$6:$Z$1505,MATCH($B$4&amp;"|"&amp;8,'הזנה ב-ו'!$AG$6:$AG$1505,0)),"")</f>
        <v/>
      </c>
      <c r="G15" s="43">
        <f t="array" ref="G15">IFERROR(INDEX('הזנה ב-ו'!$AB$6:$AB$1505,MATCH($B$4&amp;"|"&amp;8,'הזנה ב-ו'!$AG$6:$AG$1505,0)),"")</f>
        <v/>
      </c>
      <c r="H15" s="43">
        <f t="array" ref="H15">IFERROR(INDEX('הזנה ב-ו'!$AC$6:$AC$1505,MATCH($B$4&amp;"|"&amp;8,'הזנה ב-ו'!$AG$6:$AG$1505,0)),"")</f>
        <v/>
      </c>
      <c r="I15" s="43">
        <f t="array" ref="I15">IFERROR(INDEX('הזנה ב-ו'!$AJ$6:$AJ$1505,MATCH($B$4&amp;"|"&amp;8,'הזנה ב-ו'!$AG$6:$AG$1505,0)),"")</f>
        <v/>
      </c>
      <c r="J15" s="43">
        <f t="array" ref="J15">IFERROR(INDEX('הזנה ב-ו'!$S$6:$S$1505,MATCH($B$4&amp;"|"&amp;8,'הזנה ב-ו'!$AG$6:$AG$1505,0)),"")</f>
        <v/>
      </c>
      <c r="K15" s="43">
        <f t="array" ref="K15">IFERROR(INDEX('הזנה ב-ו'!$T$6:$T$1505,MATCH($B$4&amp;"|"&amp;8,'הזנה ב-ו'!$AG$6:$AG$1505,0)),"")</f>
        <v/>
      </c>
      <c r="L15" s="43">
        <f t="array" ref="L15">IFERROR(INDEX('הזנה ב-ו'!$U$6:$U$1505,MATCH($B$4&amp;"|"&amp;8,'הזנה ב-ו'!$AG$6:$AG$1505,0)),"")</f>
        <v/>
      </c>
      <c r="M15" s="43">
        <f t="array" ref="M15">IFERROR(INDEX('הזנה ב-ו'!$V$6:$V$1505,MATCH($B$4&amp;"|"&amp;8,'הזנה ב-ו'!$AG$6:$AG$1505,0)),"")</f>
        <v/>
      </c>
      <c r="N15" s="43">
        <f t="array" ref="N15">IFERROR(INDEX('הזנה ב-ו'!$W$6:$W$1505,MATCH($B$4&amp;"|"&amp;8,'הזנה ב-ו'!$AG$6:$AG$1505,0)),"")</f>
        <v/>
      </c>
      <c r="O15" s="43">
        <f>IFERROR(INDEX('הזנה ב-ו'!$AD$6:$AD$1505,MATCH($B$4&amp;"|"&amp;8,'הזנה ב-ו'!$AG$6:$AG$1505,0)),"")</f>
        <v/>
      </c>
      <c r="P15" s="43">
        <f>IFERROR(INDEX('הזנה ב-ו'!$AK$6:$AK$1505,MATCH($B$4&amp;"|"&amp;8,'הזנה ב-ו'!$AG$6:$AG$1505,0)),"")</f>
        <v/>
      </c>
    </row>
    <row r="16">
      <c r="A16" s="43">
        <f t="array" ref="A16">IFERROR(INDEX('הזנה ב-ו'!$A$6:$A$1505,MATCH($B$4&amp;"|"&amp;9,'הזנה ב-ו'!$AG$6:$AG$1505,0)),"")</f>
        <v/>
      </c>
      <c r="B16" s="43">
        <f t="array" ref="B16">IFERROR(INDEX('הזנה ב-ו'!$F$6:$F$1505,MATCH($B$4&amp;"|"&amp;9,'הזנה ב-ו'!$AG$6:$AG$1505,0)),"")</f>
        <v/>
      </c>
      <c r="C16" s="43">
        <f t="array" ref="C16">IFERROR(INDEX('הזנה ב-ו'!$G$6:$G$1505,MATCH($B$4&amp;"|"&amp;9,'הזנה ב-ו'!$AG$6:$AG$1505,0)),"")</f>
        <v/>
      </c>
      <c r="D16" s="43">
        <f t="array" ref="D16">IFERROR(INDEX('הזנה ב-ו'!$H$6:$H$1505,MATCH($B$4&amp;"|"&amp;9,'הזנה ב-ו'!$AG$6:$AG$1505,0)),"")</f>
        <v/>
      </c>
      <c r="E16" s="43">
        <f t="array" ref="E16">IFERROR(INDEX('הזנה ב-ו'!$Y$6:$Y$1505,MATCH($B$4&amp;"|"&amp;9,'הזנה ב-ו'!$AG$6:$AG$1505,0)),"")</f>
        <v/>
      </c>
      <c r="F16" s="43">
        <f t="array" ref="F16">IFERROR(INDEX('הזנה ב-ו'!$Z$6:$Z$1505,MATCH($B$4&amp;"|"&amp;9,'הזנה ב-ו'!$AG$6:$AG$1505,0)),"")</f>
        <v/>
      </c>
      <c r="G16" s="43">
        <f t="array" ref="G16">IFERROR(INDEX('הזנה ב-ו'!$AB$6:$AB$1505,MATCH($B$4&amp;"|"&amp;9,'הזנה ב-ו'!$AG$6:$AG$1505,0)),"")</f>
        <v/>
      </c>
      <c r="H16" s="43">
        <f t="array" ref="H16">IFERROR(INDEX('הזנה ב-ו'!$AC$6:$AC$1505,MATCH($B$4&amp;"|"&amp;9,'הזנה ב-ו'!$AG$6:$AG$1505,0)),"")</f>
        <v/>
      </c>
      <c r="I16" s="43">
        <f t="array" ref="I16">IFERROR(INDEX('הזנה ב-ו'!$AJ$6:$AJ$1505,MATCH($B$4&amp;"|"&amp;9,'הזנה ב-ו'!$AG$6:$AG$1505,0)),"")</f>
        <v/>
      </c>
      <c r="J16" s="43">
        <f t="array" ref="J16">IFERROR(INDEX('הזנה ב-ו'!$S$6:$S$1505,MATCH($B$4&amp;"|"&amp;9,'הזנה ב-ו'!$AG$6:$AG$1505,0)),"")</f>
        <v/>
      </c>
      <c r="K16" s="43">
        <f t="array" ref="K16">IFERROR(INDEX('הזנה ב-ו'!$T$6:$T$1505,MATCH($B$4&amp;"|"&amp;9,'הזנה ב-ו'!$AG$6:$AG$1505,0)),"")</f>
        <v/>
      </c>
      <c r="L16" s="43">
        <f t="array" ref="L16">IFERROR(INDEX('הזנה ב-ו'!$U$6:$U$1505,MATCH($B$4&amp;"|"&amp;9,'הזנה ב-ו'!$AG$6:$AG$1505,0)),"")</f>
        <v/>
      </c>
      <c r="M16" s="43">
        <f t="array" ref="M16">IFERROR(INDEX('הזנה ב-ו'!$V$6:$V$1505,MATCH($B$4&amp;"|"&amp;9,'הזנה ב-ו'!$AG$6:$AG$1505,0)),"")</f>
        <v/>
      </c>
      <c r="N16" s="43">
        <f t="array" ref="N16">IFERROR(INDEX('הזנה ב-ו'!$W$6:$W$1505,MATCH($B$4&amp;"|"&amp;9,'הזנה ב-ו'!$AG$6:$AG$1505,0)),"")</f>
        <v/>
      </c>
      <c r="O16" s="43">
        <f>IFERROR(INDEX('הזנה ב-ו'!$AD$6:$AD$1505,MATCH($B$4&amp;"|"&amp;9,'הזנה ב-ו'!$AG$6:$AG$1505,0)),"")</f>
        <v/>
      </c>
      <c r="P16" s="43">
        <f>IFERROR(INDEX('הזנה ב-ו'!$AK$6:$AK$1505,MATCH($B$4&amp;"|"&amp;9,'הזנה ב-ו'!$AG$6:$AG$1505,0)),"")</f>
        <v/>
      </c>
    </row>
    <row r="17">
      <c r="A17" s="43">
        <f t="array" ref="A17">IFERROR(INDEX('הזנה ב-ו'!$A$6:$A$1505,MATCH($B$4&amp;"|"&amp;10,'הזנה ב-ו'!$AG$6:$AG$1505,0)),"")</f>
        <v/>
      </c>
      <c r="B17" s="43">
        <f t="array" ref="B17">IFERROR(INDEX('הזנה ב-ו'!$F$6:$F$1505,MATCH($B$4&amp;"|"&amp;10,'הזנה ב-ו'!$AG$6:$AG$1505,0)),"")</f>
        <v/>
      </c>
      <c r="C17" s="43">
        <f t="array" ref="C17">IFERROR(INDEX('הזנה ב-ו'!$G$6:$G$1505,MATCH($B$4&amp;"|"&amp;10,'הזנה ב-ו'!$AG$6:$AG$1505,0)),"")</f>
        <v/>
      </c>
      <c r="D17" s="43">
        <f t="array" ref="D17">IFERROR(INDEX('הזנה ב-ו'!$H$6:$H$1505,MATCH($B$4&amp;"|"&amp;10,'הזנה ב-ו'!$AG$6:$AG$1505,0)),"")</f>
        <v/>
      </c>
      <c r="E17" s="43">
        <f t="array" ref="E17">IFERROR(INDEX('הזנה ב-ו'!$Y$6:$Y$1505,MATCH($B$4&amp;"|"&amp;10,'הזנה ב-ו'!$AG$6:$AG$1505,0)),"")</f>
        <v/>
      </c>
      <c r="F17" s="43">
        <f t="array" ref="F17">IFERROR(INDEX('הזנה ב-ו'!$Z$6:$Z$1505,MATCH($B$4&amp;"|"&amp;10,'הזנה ב-ו'!$AG$6:$AG$1505,0)),"")</f>
        <v/>
      </c>
      <c r="G17" s="43">
        <f t="array" ref="G17">IFERROR(INDEX('הזנה ב-ו'!$AB$6:$AB$1505,MATCH($B$4&amp;"|"&amp;10,'הזנה ב-ו'!$AG$6:$AG$1505,0)),"")</f>
        <v/>
      </c>
      <c r="H17" s="43">
        <f t="array" ref="H17">IFERROR(INDEX('הזנה ב-ו'!$AC$6:$AC$1505,MATCH($B$4&amp;"|"&amp;10,'הזנה ב-ו'!$AG$6:$AG$1505,0)),"")</f>
        <v/>
      </c>
      <c r="I17" s="43">
        <f t="array" ref="I17">IFERROR(INDEX('הזנה ב-ו'!$AJ$6:$AJ$1505,MATCH($B$4&amp;"|"&amp;10,'הזנה ב-ו'!$AG$6:$AG$1505,0)),"")</f>
        <v/>
      </c>
      <c r="J17" s="43">
        <f t="array" ref="J17">IFERROR(INDEX('הזנה ב-ו'!$S$6:$S$1505,MATCH($B$4&amp;"|"&amp;10,'הזנה ב-ו'!$AG$6:$AG$1505,0)),"")</f>
        <v/>
      </c>
      <c r="K17" s="43">
        <f t="array" ref="K17">IFERROR(INDEX('הזנה ב-ו'!$T$6:$T$1505,MATCH($B$4&amp;"|"&amp;10,'הזנה ב-ו'!$AG$6:$AG$1505,0)),"")</f>
        <v/>
      </c>
      <c r="L17" s="43">
        <f t="array" ref="L17">IFERROR(INDEX('הזנה ב-ו'!$U$6:$U$1505,MATCH($B$4&amp;"|"&amp;10,'הזנה ב-ו'!$AG$6:$AG$1505,0)),"")</f>
        <v/>
      </c>
      <c r="M17" s="43">
        <f t="array" ref="M17">IFERROR(INDEX('הזנה ב-ו'!$V$6:$V$1505,MATCH($B$4&amp;"|"&amp;10,'הזנה ב-ו'!$AG$6:$AG$1505,0)),"")</f>
        <v/>
      </c>
      <c r="N17" s="43">
        <f t="array" ref="N17">IFERROR(INDEX('הזנה ב-ו'!$W$6:$W$1505,MATCH($B$4&amp;"|"&amp;10,'הזנה ב-ו'!$AG$6:$AG$1505,0)),"")</f>
        <v/>
      </c>
      <c r="O17" s="43">
        <f>IFERROR(INDEX('הזנה ב-ו'!$AD$6:$AD$1505,MATCH($B$4&amp;"|"&amp;10,'הזנה ב-ו'!$AG$6:$AG$1505,0)),"")</f>
        <v/>
      </c>
      <c r="P17" s="43">
        <f>IFERROR(INDEX('הזנה ב-ו'!$AK$6:$AK$1505,MATCH($B$4&amp;"|"&amp;10,'הזנה ב-ו'!$AG$6:$AG$1505,0)),"")</f>
        <v/>
      </c>
    </row>
    <row r="18">
      <c r="A18" s="43">
        <f t="array" ref="A18">IFERROR(INDEX('הזנה ב-ו'!$A$6:$A$1505,MATCH($B$4&amp;"|"&amp;11,'הזנה ב-ו'!$AG$6:$AG$1505,0)),"")</f>
        <v/>
      </c>
      <c r="B18" s="43">
        <f t="array" ref="B18">IFERROR(INDEX('הזנה ב-ו'!$F$6:$F$1505,MATCH($B$4&amp;"|"&amp;11,'הזנה ב-ו'!$AG$6:$AG$1505,0)),"")</f>
        <v/>
      </c>
      <c r="C18" s="43">
        <f t="array" ref="C18">IFERROR(INDEX('הזנה ב-ו'!$G$6:$G$1505,MATCH($B$4&amp;"|"&amp;11,'הזנה ב-ו'!$AG$6:$AG$1505,0)),"")</f>
        <v/>
      </c>
      <c r="D18" s="43">
        <f t="array" ref="D18">IFERROR(INDEX('הזנה ב-ו'!$H$6:$H$1505,MATCH($B$4&amp;"|"&amp;11,'הזנה ב-ו'!$AG$6:$AG$1505,0)),"")</f>
        <v/>
      </c>
      <c r="E18" s="43">
        <f t="array" ref="E18">IFERROR(INDEX('הזנה ב-ו'!$Y$6:$Y$1505,MATCH($B$4&amp;"|"&amp;11,'הזנה ב-ו'!$AG$6:$AG$1505,0)),"")</f>
        <v/>
      </c>
      <c r="F18" s="43">
        <f t="array" ref="F18">IFERROR(INDEX('הזנה ב-ו'!$Z$6:$Z$1505,MATCH($B$4&amp;"|"&amp;11,'הזנה ב-ו'!$AG$6:$AG$1505,0)),"")</f>
        <v/>
      </c>
      <c r="G18" s="43">
        <f t="array" ref="G18">IFERROR(INDEX('הזנה ב-ו'!$AB$6:$AB$1505,MATCH($B$4&amp;"|"&amp;11,'הזנה ב-ו'!$AG$6:$AG$1505,0)),"")</f>
        <v/>
      </c>
      <c r="H18" s="43">
        <f t="array" ref="H18">IFERROR(INDEX('הזנה ב-ו'!$AC$6:$AC$1505,MATCH($B$4&amp;"|"&amp;11,'הזנה ב-ו'!$AG$6:$AG$1505,0)),"")</f>
        <v/>
      </c>
      <c r="I18" s="43">
        <f t="array" ref="I18">IFERROR(INDEX('הזנה ב-ו'!$AJ$6:$AJ$1505,MATCH($B$4&amp;"|"&amp;11,'הזנה ב-ו'!$AG$6:$AG$1505,0)),"")</f>
        <v/>
      </c>
      <c r="J18" s="43">
        <f t="array" ref="J18">IFERROR(INDEX('הזנה ב-ו'!$S$6:$S$1505,MATCH($B$4&amp;"|"&amp;11,'הזנה ב-ו'!$AG$6:$AG$1505,0)),"")</f>
        <v/>
      </c>
      <c r="K18" s="43">
        <f t="array" ref="K18">IFERROR(INDEX('הזנה ב-ו'!$T$6:$T$1505,MATCH($B$4&amp;"|"&amp;11,'הזנה ב-ו'!$AG$6:$AG$1505,0)),"")</f>
        <v/>
      </c>
      <c r="L18" s="43">
        <f t="array" ref="L18">IFERROR(INDEX('הזנה ב-ו'!$U$6:$U$1505,MATCH($B$4&amp;"|"&amp;11,'הזנה ב-ו'!$AG$6:$AG$1505,0)),"")</f>
        <v/>
      </c>
      <c r="M18" s="43">
        <f t="array" ref="M18">IFERROR(INDEX('הזנה ב-ו'!$V$6:$V$1505,MATCH($B$4&amp;"|"&amp;11,'הזנה ב-ו'!$AG$6:$AG$1505,0)),"")</f>
        <v/>
      </c>
      <c r="N18" s="43">
        <f t="array" ref="N18">IFERROR(INDEX('הזנה ב-ו'!$W$6:$W$1505,MATCH($B$4&amp;"|"&amp;11,'הזנה ב-ו'!$AG$6:$AG$1505,0)),"")</f>
        <v/>
      </c>
      <c r="O18" s="43">
        <f>IFERROR(INDEX('הזנה ב-ו'!$AD$6:$AD$1505,MATCH($B$4&amp;"|"&amp;11,'הזנה ב-ו'!$AG$6:$AG$1505,0)),"")</f>
        <v/>
      </c>
      <c r="P18" s="43">
        <f>IFERROR(INDEX('הזנה ב-ו'!$AK$6:$AK$1505,MATCH($B$4&amp;"|"&amp;11,'הזנה ב-ו'!$AG$6:$AG$1505,0)),"")</f>
        <v/>
      </c>
    </row>
    <row r="19">
      <c r="A19" s="43">
        <f t="array" ref="A19">IFERROR(INDEX('הזנה ב-ו'!$A$6:$A$1505,MATCH($B$4&amp;"|"&amp;12,'הזנה ב-ו'!$AG$6:$AG$1505,0)),"")</f>
        <v/>
      </c>
      <c r="B19" s="43">
        <f t="array" ref="B19">IFERROR(INDEX('הזנה ב-ו'!$F$6:$F$1505,MATCH($B$4&amp;"|"&amp;12,'הזנה ב-ו'!$AG$6:$AG$1505,0)),"")</f>
        <v/>
      </c>
      <c r="C19" s="43">
        <f t="array" ref="C19">IFERROR(INDEX('הזנה ב-ו'!$G$6:$G$1505,MATCH($B$4&amp;"|"&amp;12,'הזנה ב-ו'!$AG$6:$AG$1505,0)),"")</f>
        <v/>
      </c>
      <c r="D19" s="43">
        <f t="array" ref="D19">IFERROR(INDEX('הזנה ב-ו'!$H$6:$H$1505,MATCH($B$4&amp;"|"&amp;12,'הזנה ב-ו'!$AG$6:$AG$1505,0)),"")</f>
        <v/>
      </c>
      <c r="E19" s="43">
        <f t="array" ref="E19">IFERROR(INDEX('הזנה ב-ו'!$Y$6:$Y$1505,MATCH($B$4&amp;"|"&amp;12,'הזנה ב-ו'!$AG$6:$AG$1505,0)),"")</f>
        <v/>
      </c>
      <c r="F19" s="43">
        <f t="array" ref="F19">IFERROR(INDEX('הזנה ב-ו'!$Z$6:$Z$1505,MATCH($B$4&amp;"|"&amp;12,'הזנה ב-ו'!$AG$6:$AG$1505,0)),"")</f>
        <v/>
      </c>
      <c r="G19" s="43">
        <f t="array" ref="G19">IFERROR(INDEX('הזנה ב-ו'!$AB$6:$AB$1505,MATCH($B$4&amp;"|"&amp;12,'הזנה ב-ו'!$AG$6:$AG$1505,0)),"")</f>
        <v/>
      </c>
      <c r="H19" s="43">
        <f t="array" ref="H19">IFERROR(INDEX('הזנה ב-ו'!$AC$6:$AC$1505,MATCH($B$4&amp;"|"&amp;12,'הזנה ב-ו'!$AG$6:$AG$1505,0)),"")</f>
        <v/>
      </c>
      <c r="I19" s="43">
        <f t="array" ref="I19">IFERROR(INDEX('הזנה ב-ו'!$AJ$6:$AJ$1505,MATCH($B$4&amp;"|"&amp;12,'הזנה ב-ו'!$AG$6:$AG$1505,0)),"")</f>
        <v/>
      </c>
      <c r="J19" s="43">
        <f t="array" ref="J19">IFERROR(INDEX('הזנה ב-ו'!$S$6:$S$1505,MATCH($B$4&amp;"|"&amp;12,'הזנה ב-ו'!$AG$6:$AG$1505,0)),"")</f>
        <v/>
      </c>
      <c r="K19" s="43">
        <f t="array" ref="K19">IFERROR(INDEX('הזנה ב-ו'!$T$6:$T$1505,MATCH($B$4&amp;"|"&amp;12,'הזנה ב-ו'!$AG$6:$AG$1505,0)),"")</f>
        <v/>
      </c>
      <c r="L19" s="43">
        <f t="array" ref="L19">IFERROR(INDEX('הזנה ב-ו'!$U$6:$U$1505,MATCH($B$4&amp;"|"&amp;12,'הזנה ב-ו'!$AG$6:$AG$1505,0)),"")</f>
        <v/>
      </c>
      <c r="M19" s="43">
        <f t="array" ref="M19">IFERROR(INDEX('הזנה ב-ו'!$V$6:$V$1505,MATCH($B$4&amp;"|"&amp;12,'הזנה ב-ו'!$AG$6:$AG$1505,0)),"")</f>
        <v/>
      </c>
      <c r="N19" s="43">
        <f t="array" ref="N19">IFERROR(INDEX('הזנה ב-ו'!$W$6:$W$1505,MATCH($B$4&amp;"|"&amp;12,'הזנה ב-ו'!$AG$6:$AG$1505,0)),"")</f>
        <v/>
      </c>
      <c r="O19" s="43">
        <f>IFERROR(INDEX('הזנה ב-ו'!$AD$6:$AD$1505,MATCH($B$4&amp;"|"&amp;12,'הזנה ב-ו'!$AG$6:$AG$1505,0)),"")</f>
        <v/>
      </c>
      <c r="P19" s="43">
        <f>IFERROR(INDEX('הזנה ב-ו'!$AK$6:$AK$1505,MATCH($B$4&amp;"|"&amp;12,'הזנה ב-ו'!$AG$6:$AG$1505,0)),"")</f>
        <v/>
      </c>
    </row>
    <row r="20"/>
    <row r="21" ht="15.75" customHeight="1" s="58"/>
    <row r="22" ht="15.75" customHeight="1" s="58">
      <c r="A22" s="37" t="inlineStr">
        <is>
          <t>מסלול רכישת הקריאה</t>
        </is>
      </c>
    </row>
    <row r="23" ht="15.75" customHeight="1" s="58">
      <c r="A23" s="10" t="inlineStr">
        <is>
          <t>שם התלמיד/ה:</t>
        </is>
      </c>
      <c r="B23" s="46" t="n"/>
    </row>
    <row r="24" ht="15.75" customHeight="1" s="58"/>
    <row r="25" ht="33.75" customHeight="1" s="58">
      <c r="A25" s="19" t="inlineStr">
        <is>
          <t>שנה</t>
        </is>
      </c>
      <c r="B25" s="19" t="inlineStr">
        <is>
          <t>פעימה</t>
        </is>
      </c>
      <c r="C25" s="19" t="inlineStr">
        <is>
          <t>פענוח בסימני ניקוד</t>
        </is>
      </c>
      <c r="D25" s="19" t="inlineStr">
        <is>
          <t>אוטומטיות</t>
        </is>
      </c>
      <c r="E25" s="19" t="inlineStr">
        <is>
          <t>הבנת הנקרא</t>
        </is>
      </c>
      <c r="F25" s="19" t="inlineStr">
        <is>
          <t>כתיב פונטי</t>
        </is>
      </c>
      <c r="G25" s="19" t="inlineStr">
        <is>
          <t>הפקה בכתב</t>
        </is>
      </c>
      <c r="H25" s="19" t="inlineStr">
        <is>
          <t>הפרופיל</t>
        </is>
      </c>
      <c r="I25" s="19" t="inlineStr">
        <is>
          <t>קבוצה</t>
        </is>
      </c>
      <c r="J25" s="19" t="inlineStr">
        <is>
          <t>תנועה</t>
        </is>
      </c>
    </row>
    <row r="26" ht="15.75" customHeight="1" s="58">
      <c r="A26" s="43">
        <f t="array" ref="A26">IFERROR(INDEX('הזנה רכישה'!$A$6:$A$1505,MATCH($B$23&amp;"|"&amp;1,'הזנה רכישה'!$U$6:$U$1505,0)),"")</f>
        <v/>
      </c>
      <c r="B26" s="43">
        <f t="array" ref="B26">IFERROR(INDEX('הזנה רכישה'!$F$6:$F$1505,MATCH($B$23&amp;"|"&amp;1,'הזנה רכישה'!$U$6:$U$1505,0)),"")</f>
        <v/>
      </c>
      <c r="C26" s="43">
        <f t="array" ref="C26">IFERROR(INDEX('הזנה רכישה'!$J$6:$J$1505,MATCH($B$23&amp;"|"&amp;1,'הזנה רכישה'!$U$6:$U$1505,0)),"")</f>
        <v/>
      </c>
      <c r="D26" s="43">
        <f t="array" ref="D26">IFERROR(INDEX('הזנה רכישה'!$K$6:$K$1505,MATCH($B$23&amp;"|"&amp;1,'הזנה רכישה'!$U$6:$U$1505,0)),"")</f>
        <v/>
      </c>
      <c r="E26" s="43">
        <f t="array" ref="E26">IFERROR(INDEX('הזנה רכישה'!$M$6:$M$1505,MATCH($B$23&amp;"|"&amp;1,'הזנה רכישה'!$U$6:$U$1505,0)),"")</f>
        <v/>
      </c>
      <c r="F26" s="43">
        <f t="array" ref="F26">IFERROR(INDEX('הזנה רכישה'!$N$6:$N$1505,MATCH($B$23&amp;"|"&amp;1,'הזנה רכישה'!$U$6:$U$1505,0)),"")</f>
        <v/>
      </c>
      <c r="G26" s="43">
        <f t="array" ref="G26">IFERROR(INDEX('הזנה רכישה'!$O$6:$O$1505,MATCH($B$23&amp;"|"&amp;1,'הזנה רכישה'!$U$6:$U$1505,0)),"")</f>
        <v/>
      </c>
      <c r="H26" s="43">
        <f t="array" ref="H26">IFERROR(INDEX('הזנה רכישה'!$Q$6:$Q$1505,MATCH($B$23&amp;"|"&amp;1,'הזנה רכישה'!$U$6:$U$1505,0)),"")</f>
        <v/>
      </c>
      <c r="I26" s="43">
        <f t="array" ref="I26">IFERROR(INDEX('הזנה רכישה'!$R$6:$R$1505,MATCH($B$23&amp;"|"&amp;1,'הזנה רכישה'!$U$6:$U$1505,0)),"")</f>
        <v/>
      </c>
      <c r="J26" s="43">
        <f t="array" ref="J26">IFERROR(INDEX('הזנה רכישה'!$X$6:$X$1505,MATCH($B$23&amp;"|"&amp;1,'הזנה רכישה'!$U$6:$U$1505,0)),"")</f>
        <v/>
      </c>
    </row>
    <row r="27" ht="15.75" customHeight="1" s="58">
      <c r="A27" s="43">
        <f t="array" ref="A27">IFERROR(INDEX('הזנה רכישה'!$A$6:$A$1505,MATCH($B$23&amp;"|"&amp;2,'הזנה רכישה'!$U$6:$U$1505,0)),"")</f>
        <v/>
      </c>
      <c r="B27" s="43">
        <f t="array" ref="B27">IFERROR(INDEX('הזנה רכישה'!$F$6:$F$1505,MATCH($B$23&amp;"|"&amp;2,'הזנה רכישה'!$U$6:$U$1505,0)),"")</f>
        <v/>
      </c>
      <c r="C27" s="43">
        <f t="array" ref="C27">IFERROR(INDEX('הזנה רכישה'!$J$6:$J$1505,MATCH($B$23&amp;"|"&amp;2,'הזנה רכישה'!$U$6:$U$1505,0)),"")</f>
        <v/>
      </c>
      <c r="D27" s="43">
        <f t="array" ref="D27">IFERROR(INDEX('הזנה רכישה'!$K$6:$K$1505,MATCH($B$23&amp;"|"&amp;2,'הזנה רכישה'!$U$6:$U$1505,0)),"")</f>
        <v/>
      </c>
      <c r="E27" s="43">
        <f t="array" ref="E27">IFERROR(INDEX('הזנה רכישה'!$M$6:$M$1505,MATCH($B$23&amp;"|"&amp;2,'הזנה רכישה'!$U$6:$U$1505,0)),"")</f>
        <v/>
      </c>
      <c r="F27" s="43">
        <f t="array" ref="F27">IFERROR(INDEX('הזנה רכישה'!$N$6:$N$1505,MATCH($B$23&amp;"|"&amp;2,'הזנה רכישה'!$U$6:$U$1505,0)),"")</f>
        <v/>
      </c>
      <c r="G27" s="43">
        <f t="array" ref="G27">IFERROR(INDEX('הזנה רכישה'!$O$6:$O$1505,MATCH($B$23&amp;"|"&amp;2,'הזנה רכישה'!$U$6:$U$1505,0)),"")</f>
        <v/>
      </c>
      <c r="H27" s="43">
        <f t="array" ref="H27">IFERROR(INDEX('הזנה רכישה'!$Q$6:$Q$1505,MATCH($B$23&amp;"|"&amp;2,'הזנה רכישה'!$U$6:$U$1505,0)),"")</f>
        <v/>
      </c>
      <c r="I27" s="43">
        <f t="array" ref="I27">IFERROR(INDEX('הזנה רכישה'!$R$6:$R$1505,MATCH($B$23&amp;"|"&amp;2,'הזנה רכישה'!$U$6:$U$1505,0)),"")</f>
        <v/>
      </c>
      <c r="J27" s="43">
        <f t="array" ref="J27">IFERROR(INDEX('הזנה רכישה'!$X$6:$X$1505,MATCH($B$23&amp;"|"&amp;2,'הזנה רכישה'!$U$6:$U$1505,0)),"")</f>
        <v/>
      </c>
    </row>
    <row r="28" ht="15.75" customHeight="1" s="58">
      <c r="A28" s="43">
        <f t="array" ref="A28">IFERROR(INDEX('הזנה רכישה'!$A$6:$A$1505,MATCH($B$23&amp;"|"&amp;3,'הזנה רכישה'!$U$6:$U$1505,0)),"")</f>
        <v/>
      </c>
      <c r="B28" s="43">
        <f t="array" ref="B28">IFERROR(INDEX('הזנה רכישה'!$F$6:$F$1505,MATCH($B$23&amp;"|"&amp;3,'הזנה רכישה'!$U$6:$U$1505,0)),"")</f>
        <v/>
      </c>
      <c r="C28" s="43">
        <f t="array" ref="C28">IFERROR(INDEX('הזנה רכישה'!$J$6:$J$1505,MATCH($B$23&amp;"|"&amp;3,'הזנה רכישה'!$U$6:$U$1505,0)),"")</f>
        <v/>
      </c>
      <c r="D28" s="43">
        <f t="array" ref="D28">IFERROR(INDEX('הזנה רכישה'!$K$6:$K$1505,MATCH($B$23&amp;"|"&amp;3,'הזנה רכישה'!$U$6:$U$1505,0)),"")</f>
        <v/>
      </c>
      <c r="E28" s="43">
        <f t="array" ref="E28">IFERROR(INDEX('הזנה רכישה'!$M$6:$M$1505,MATCH($B$23&amp;"|"&amp;3,'הזנה רכישה'!$U$6:$U$1505,0)),"")</f>
        <v/>
      </c>
      <c r="F28" s="43">
        <f t="array" ref="F28">IFERROR(INDEX('הזנה רכישה'!$N$6:$N$1505,MATCH($B$23&amp;"|"&amp;3,'הזנה רכישה'!$U$6:$U$1505,0)),"")</f>
        <v/>
      </c>
      <c r="G28" s="43">
        <f t="array" ref="G28">IFERROR(INDEX('הזנה רכישה'!$O$6:$O$1505,MATCH($B$23&amp;"|"&amp;3,'הזנה רכישה'!$U$6:$U$1505,0)),"")</f>
        <v/>
      </c>
      <c r="H28" s="43">
        <f t="array" ref="H28">IFERROR(INDEX('הזנה רכישה'!$Q$6:$Q$1505,MATCH($B$23&amp;"|"&amp;3,'הזנה רכישה'!$U$6:$U$1505,0)),"")</f>
        <v/>
      </c>
      <c r="I28" s="43">
        <f t="array" ref="I28">IFERROR(INDEX('הזנה רכישה'!$R$6:$R$1505,MATCH($B$23&amp;"|"&amp;3,'הזנה רכישה'!$U$6:$U$1505,0)),"")</f>
        <v/>
      </c>
      <c r="J28" s="43">
        <f t="array" ref="J28">IFERROR(INDEX('הזנה רכישה'!$X$6:$X$1505,MATCH($B$23&amp;"|"&amp;3,'הזנה רכישה'!$U$6:$U$1505,0)),"")</f>
        <v/>
      </c>
    </row>
    <row r="29" ht="15.75" customHeight="1" s="58">
      <c r="A29" s="43">
        <f t="array" ref="A29">IFERROR(INDEX('הזנה רכישה'!$A$6:$A$1505,MATCH($B$23&amp;"|"&amp;4,'הזנה רכישה'!$U$6:$U$1505,0)),"")</f>
        <v/>
      </c>
      <c r="B29" s="43">
        <f t="array" ref="B29">IFERROR(INDEX('הזנה רכישה'!$F$6:$F$1505,MATCH($B$23&amp;"|"&amp;4,'הזנה רכישה'!$U$6:$U$1505,0)),"")</f>
        <v/>
      </c>
      <c r="C29" s="43">
        <f t="array" ref="C29">IFERROR(INDEX('הזנה רכישה'!$J$6:$J$1505,MATCH($B$23&amp;"|"&amp;4,'הזנה רכישה'!$U$6:$U$1505,0)),"")</f>
        <v/>
      </c>
      <c r="D29" s="43">
        <f t="array" ref="D29">IFERROR(INDEX('הזנה רכישה'!$K$6:$K$1505,MATCH($B$23&amp;"|"&amp;4,'הזנה רכישה'!$U$6:$U$1505,0)),"")</f>
        <v/>
      </c>
      <c r="E29" s="43">
        <f t="array" ref="E29">IFERROR(INDEX('הזנה רכישה'!$M$6:$M$1505,MATCH($B$23&amp;"|"&amp;4,'הזנה רכישה'!$U$6:$U$1505,0)),"")</f>
        <v/>
      </c>
      <c r="F29" s="43">
        <f t="array" ref="F29">IFERROR(INDEX('הזנה רכישה'!$N$6:$N$1505,MATCH($B$23&amp;"|"&amp;4,'הזנה רכישה'!$U$6:$U$1505,0)),"")</f>
        <v/>
      </c>
      <c r="G29" s="43">
        <f t="array" ref="G29">IFERROR(INDEX('הזנה רכישה'!$O$6:$O$1505,MATCH($B$23&amp;"|"&amp;4,'הזנה רכישה'!$U$6:$U$1505,0)),"")</f>
        <v/>
      </c>
      <c r="H29" s="43">
        <f t="array" ref="H29">IFERROR(INDEX('הזנה רכישה'!$Q$6:$Q$1505,MATCH($B$23&amp;"|"&amp;4,'הזנה רכישה'!$U$6:$U$1505,0)),"")</f>
        <v/>
      </c>
      <c r="I29" s="43">
        <f t="array" ref="I29">IFERROR(INDEX('הזנה רכישה'!$R$6:$R$1505,MATCH($B$23&amp;"|"&amp;4,'הזנה רכישה'!$U$6:$U$1505,0)),"")</f>
        <v/>
      </c>
      <c r="J29" s="43">
        <f t="array" ref="J29">IFERROR(INDEX('הזנה רכישה'!$X$6:$X$1505,MATCH($B$23&amp;"|"&amp;4,'הזנה רכישה'!$U$6:$U$1505,0)),"")</f>
        <v/>
      </c>
    </row>
    <row r="30" ht="15.75" customHeight="1" s="58">
      <c r="A30" s="43">
        <f t="array" ref="A30">IFERROR(INDEX('הזנה רכישה'!$A$6:$A$1505,MATCH($B$23&amp;"|"&amp;5,'הזנה רכישה'!$U$6:$U$1505,0)),"")</f>
        <v/>
      </c>
      <c r="B30" s="43">
        <f t="array" ref="B30">IFERROR(INDEX('הזנה רכישה'!$F$6:$F$1505,MATCH($B$23&amp;"|"&amp;5,'הזנה רכישה'!$U$6:$U$1505,0)),"")</f>
        <v/>
      </c>
      <c r="C30" s="43">
        <f t="array" ref="C30">IFERROR(INDEX('הזנה רכישה'!$J$6:$J$1505,MATCH($B$23&amp;"|"&amp;5,'הזנה רכישה'!$U$6:$U$1505,0)),"")</f>
        <v/>
      </c>
      <c r="D30" s="43">
        <f t="array" ref="D30">IFERROR(INDEX('הזנה רכישה'!$K$6:$K$1505,MATCH($B$23&amp;"|"&amp;5,'הזנה רכישה'!$U$6:$U$1505,0)),"")</f>
        <v/>
      </c>
      <c r="E30" s="43">
        <f t="array" ref="E30">IFERROR(INDEX('הזנה רכישה'!$M$6:$M$1505,MATCH($B$23&amp;"|"&amp;5,'הזנה רכישה'!$U$6:$U$1505,0)),"")</f>
        <v/>
      </c>
      <c r="F30" s="43">
        <f t="array" ref="F30">IFERROR(INDEX('הזנה רכישה'!$N$6:$N$1505,MATCH($B$23&amp;"|"&amp;5,'הזנה רכישה'!$U$6:$U$1505,0)),"")</f>
        <v/>
      </c>
      <c r="G30" s="43">
        <f t="array" ref="G30">IFERROR(INDEX('הזנה רכישה'!$O$6:$O$1505,MATCH($B$23&amp;"|"&amp;5,'הזנה רכישה'!$U$6:$U$1505,0)),"")</f>
        <v/>
      </c>
      <c r="H30" s="43">
        <f t="array" ref="H30">IFERROR(INDEX('הזנה רכישה'!$Q$6:$Q$1505,MATCH($B$23&amp;"|"&amp;5,'הזנה רכישה'!$U$6:$U$1505,0)),"")</f>
        <v/>
      </c>
      <c r="I30" s="43">
        <f t="array" ref="I30">IFERROR(INDEX('הזנה רכישה'!$R$6:$R$1505,MATCH($B$23&amp;"|"&amp;5,'הזנה רכישה'!$U$6:$U$1505,0)),"")</f>
        <v/>
      </c>
      <c r="J30" s="43">
        <f t="array" ref="J30">IFERROR(INDEX('הזנה רכישה'!$X$6:$X$1505,MATCH($B$23&amp;"|"&amp;5,'הזנה רכישה'!$U$6:$U$1505,0)),"")</f>
        <v/>
      </c>
    </row>
    <row r="31" ht="15.75" customHeight="1" s="58">
      <c r="A31" s="43">
        <f t="array" ref="A31">IFERROR(INDEX('הזנה רכישה'!$A$6:$A$1505,MATCH($B$23&amp;"|"&amp;6,'הזנה רכישה'!$U$6:$U$1505,0)),"")</f>
        <v/>
      </c>
      <c r="B31" s="43">
        <f t="array" ref="B31">IFERROR(INDEX('הזנה רכישה'!$F$6:$F$1505,MATCH($B$23&amp;"|"&amp;6,'הזנה רכישה'!$U$6:$U$1505,0)),"")</f>
        <v/>
      </c>
      <c r="C31" s="43">
        <f t="array" ref="C31">IFERROR(INDEX('הזנה רכישה'!$J$6:$J$1505,MATCH($B$23&amp;"|"&amp;6,'הזנה רכישה'!$U$6:$U$1505,0)),"")</f>
        <v/>
      </c>
      <c r="D31" s="43">
        <f t="array" ref="D31">IFERROR(INDEX('הזנה רכישה'!$K$6:$K$1505,MATCH($B$23&amp;"|"&amp;6,'הזנה רכישה'!$U$6:$U$1505,0)),"")</f>
        <v/>
      </c>
      <c r="E31" s="43">
        <f t="array" ref="E31">IFERROR(INDEX('הזנה רכישה'!$M$6:$M$1505,MATCH($B$23&amp;"|"&amp;6,'הזנה רכישה'!$U$6:$U$1505,0)),"")</f>
        <v/>
      </c>
      <c r="F31" s="43">
        <f t="array" ref="F31">IFERROR(INDEX('הזנה רכישה'!$N$6:$N$1505,MATCH($B$23&amp;"|"&amp;6,'הזנה רכישה'!$U$6:$U$1505,0)),"")</f>
        <v/>
      </c>
      <c r="G31" s="43">
        <f t="array" ref="G31">IFERROR(INDEX('הזנה רכישה'!$O$6:$O$1505,MATCH($B$23&amp;"|"&amp;6,'הזנה רכישה'!$U$6:$U$1505,0)),"")</f>
        <v/>
      </c>
      <c r="H31" s="43">
        <f t="array" ref="H31">IFERROR(INDEX('הזנה רכישה'!$Q$6:$Q$1505,MATCH($B$23&amp;"|"&amp;6,'הזנה רכישה'!$U$6:$U$1505,0)),"")</f>
        <v/>
      </c>
      <c r="I31" s="43">
        <f t="array" ref="I31">IFERROR(INDEX('הזנה רכישה'!$R$6:$R$1505,MATCH($B$23&amp;"|"&amp;6,'הזנה רכישה'!$U$6:$U$1505,0)),"")</f>
        <v/>
      </c>
      <c r="J31" s="43">
        <f t="array" ref="J31">IFERROR(INDEX('הזנה רכישה'!$X$6:$X$1505,MATCH($B$23&amp;"|"&amp;6,'הזנה רכישה'!$U$6:$U$1505,0)),"")</f>
        <v/>
      </c>
    </row>
    <row r="32" ht="15.75" customHeight="1" s="58">
      <c r="A32" s="43">
        <f t="array" ref="A32">IFERROR(INDEX('הזנה רכישה'!$A$6:$A$1505,MATCH($B$23&amp;"|"&amp;7,'הזנה רכישה'!$U$6:$U$1505,0)),"")</f>
        <v/>
      </c>
      <c r="B32" s="43">
        <f t="array" ref="B32">IFERROR(INDEX('הזנה רכישה'!$F$6:$F$1505,MATCH($B$23&amp;"|"&amp;7,'הזנה רכישה'!$U$6:$U$1505,0)),"")</f>
        <v/>
      </c>
      <c r="C32" s="43">
        <f t="array" ref="C32">IFERROR(INDEX('הזנה רכישה'!$J$6:$J$1505,MATCH($B$23&amp;"|"&amp;7,'הזנה רכישה'!$U$6:$U$1505,0)),"")</f>
        <v/>
      </c>
      <c r="D32" s="43">
        <f t="array" ref="D32">IFERROR(INDEX('הזנה רכישה'!$K$6:$K$1505,MATCH($B$23&amp;"|"&amp;7,'הזנה רכישה'!$U$6:$U$1505,0)),"")</f>
        <v/>
      </c>
      <c r="E32" s="43">
        <f t="array" ref="E32">IFERROR(INDEX('הזנה רכישה'!$M$6:$M$1505,MATCH($B$23&amp;"|"&amp;7,'הזנה רכישה'!$U$6:$U$1505,0)),"")</f>
        <v/>
      </c>
      <c r="F32" s="43">
        <f t="array" ref="F32">IFERROR(INDEX('הזנה רכישה'!$N$6:$N$1505,MATCH($B$23&amp;"|"&amp;7,'הזנה רכישה'!$U$6:$U$1505,0)),"")</f>
        <v/>
      </c>
      <c r="G32" s="43">
        <f t="array" ref="G32">IFERROR(INDEX('הזנה רכישה'!$O$6:$O$1505,MATCH($B$23&amp;"|"&amp;7,'הזנה רכישה'!$U$6:$U$1505,0)),"")</f>
        <v/>
      </c>
      <c r="H32" s="43">
        <f t="array" ref="H32">IFERROR(INDEX('הזנה רכישה'!$Q$6:$Q$1505,MATCH($B$23&amp;"|"&amp;7,'הזנה רכישה'!$U$6:$U$1505,0)),"")</f>
        <v/>
      </c>
      <c r="I32" s="43">
        <f t="array" ref="I32">IFERROR(INDEX('הזנה רכישה'!$R$6:$R$1505,MATCH($B$23&amp;"|"&amp;7,'הזנה רכישה'!$U$6:$U$1505,0)),"")</f>
        <v/>
      </c>
      <c r="J32" s="43">
        <f t="array" ref="J32">IFERROR(INDEX('הזנה רכישה'!$X$6:$X$1505,MATCH($B$23&amp;"|"&amp;7,'הזנה רכישה'!$U$6:$U$1505,0)),"")</f>
        <v/>
      </c>
    </row>
    <row r="33" ht="15.75" customHeight="1" s="58">
      <c r="A33" s="43">
        <f t="array" ref="A33">IFERROR(INDEX('הזנה רכישה'!$A$6:$A$1505,MATCH($B$23&amp;"|"&amp;8,'הזנה רכישה'!$U$6:$U$1505,0)),"")</f>
        <v/>
      </c>
      <c r="B33" s="43">
        <f t="array" ref="B33">IFERROR(INDEX('הזנה רכישה'!$F$6:$F$1505,MATCH($B$23&amp;"|"&amp;8,'הזנה רכישה'!$U$6:$U$1505,0)),"")</f>
        <v/>
      </c>
      <c r="C33" s="43">
        <f t="array" ref="C33">IFERROR(INDEX('הזנה רכישה'!$J$6:$J$1505,MATCH($B$23&amp;"|"&amp;8,'הזנה רכישה'!$U$6:$U$1505,0)),"")</f>
        <v/>
      </c>
      <c r="D33" s="43">
        <f t="array" ref="D33">IFERROR(INDEX('הזנה רכישה'!$K$6:$K$1505,MATCH($B$23&amp;"|"&amp;8,'הזנה רכישה'!$U$6:$U$1505,0)),"")</f>
        <v/>
      </c>
      <c r="E33" s="43">
        <f t="array" ref="E33">IFERROR(INDEX('הזנה רכישה'!$M$6:$M$1505,MATCH($B$23&amp;"|"&amp;8,'הזנה רכישה'!$U$6:$U$1505,0)),"")</f>
        <v/>
      </c>
      <c r="F33" s="43">
        <f t="array" ref="F33">IFERROR(INDEX('הזנה רכישה'!$N$6:$N$1505,MATCH($B$23&amp;"|"&amp;8,'הזנה רכישה'!$U$6:$U$1505,0)),"")</f>
        <v/>
      </c>
      <c r="G33" s="43">
        <f t="array" ref="G33">IFERROR(INDEX('הזנה רכישה'!$O$6:$O$1505,MATCH($B$23&amp;"|"&amp;8,'הזנה רכישה'!$U$6:$U$1505,0)),"")</f>
        <v/>
      </c>
      <c r="H33" s="43">
        <f t="array" ref="H33">IFERROR(INDEX('הזנה רכישה'!$Q$6:$Q$1505,MATCH($B$23&amp;"|"&amp;8,'הזנה רכישה'!$U$6:$U$1505,0)),"")</f>
        <v/>
      </c>
      <c r="I33" s="43">
        <f t="array" ref="I33">IFERROR(INDEX('הזנה רכישה'!$R$6:$R$1505,MATCH($B$23&amp;"|"&amp;8,'הזנה רכישה'!$U$6:$U$1505,0)),"")</f>
        <v/>
      </c>
      <c r="J33" s="43">
        <f t="array" ref="J33">IFERROR(INDEX('הזנה רכישה'!$X$6:$X$1505,MATCH($B$23&amp;"|"&amp;8,'הזנה רכישה'!$U$6:$U$1505,0)),"")</f>
        <v/>
      </c>
    </row>
    <row r="34" ht="15.75" customHeight="1" s="58">
      <c r="A34" s="43">
        <f t="array" ref="A34">IFERROR(INDEX('הזנה רכישה'!$A$6:$A$1505,MATCH($B$23&amp;"|"&amp;9,'הזנה רכישה'!$U$6:$U$1505,0)),"")</f>
        <v/>
      </c>
      <c r="B34" s="43">
        <f t="array" ref="B34">IFERROR(INDEX('הזנה רכישה'!$F$6:$F$1505,MATCH($B$23&amp;"|"&amp;9,'הזנה רכישה'!$U$6:$U$1505,0)),"")</f>
        <v/>
      </c>
      <c r="C34" s="43">
        <f t="array" ref="C34">IFERROR(INDEX('הזנה רכישה'!$J$6:$J$1505,MATCH($B$23&amp;"|"&amp;9,'הזנה רכישה'!$U$6:$U$1505,0)),"")</f>
        <v/>
      </c>
      <c r="D34" s="43">
        <f t="array" ref="D34">IFERROR(INDEX('הזנה רכישה'!$K$6:$K$1505,MATCH($B$23&amp;"|"&amp;9,'הזנה רכישה'!$U$6:$U$1505,0)),"")</f>
        <v/>
      </c>
      <c r="E34" s="43">
        <f t="array" ref="E34">IFERROR(INDEX('הזנה רכישה'!$M$6:$M$1505,MATCH($B$23&amp;"|"&amp;9,'הזנה רכישה'!$U$6:$U$1505,0)),"")</f>
        <v/>
      </c>
      <c r="F34" s="43">
        <f t="array" ref="F34">IFERROR(INDEX('הזנה רכישה'!$N$6:$N$1505,MATCH($B$23&amp;"|"&amp;9,'הזנה רכישה'!$U$6:$U$1505,0)),"")</f>
        <v/>
      </c>
      <c r="G34" s="43">
        <f t="array" ref="G34">IFERROR(INDEX('הזנה רכישה'!$O$6:$O$1505,MATCH($B$23&amp;"|"&amp;9,'הזנה רכישה'!$U$6:$U$1505,0)),"")</f>
        <v/>
      </c>
      <c r="H34" s="43">
        <f t="array" ref="H34">IFERROR(INDEX('הזנה רכישה'!$Q$6:$Q$1505,MATCH($B$23&amp;"|"&amp;9,'הזנה רכישה'!$U$6:$U$1505,0)),"")</f>
        <v/>
      </c>
      <c r="I34" s="43">
        <f t="array" ref="I34">IFERROR(INDEX('הזנה רכישה'!$R$6:$R$1505,MATCH($B$23&amp;"|"&amp;9,'הזנה רכישה'!$U$6:$U$1505,0)),"")</f>
        <v/>
      </c>
      <c r="J34" s="43">
        <f t="array" ref="J34">IFERROR(INDEX('הזנה רכישה'!$X$6:$X$1505,MATCH($B$23&amp;"|"&amp;9,'הזנה רכישה'!$U$6:$U$1505,0)),"")</f>
        <v/>
      </c>
    </row>
    <row r="35" ht="15.75" customHeight="1" s="58">
      <c r="A35" s="43">
        <f t="array" ref="A35">IFERROR(INDEX('הזנה רכישה'!$A$6:$A$1505,MATCH($B$23&amp;"|"&amp;10,'הזנה רכישה'!$U$6:$U$1505,0)),"")</f>
        <v/>
      </c>
      <c r="B35" s="43">
        <f t="array" ref="B35">IFERROR(INDEX('הזנה רכישה'!$F$6:$F$1505,MATCH($B$23&amp;"|"&amp;10,'הזנה רכישה'!$U$6:$U$1505,0)),"")</f>
        <v/>
      </c>
      <c r="C35" s="43">
        <f t="array" ref="C35">IFERROR(INDEX('הזנה רכישה'!$J$6:$J$1505,MATCH($B$23&amp;"|"&amp;10,'הזנה רכישה'!$U$6:$U$1505,0)),"")</f>
        <v/>
      </c>
      <c r="D35" s="43">
        <f t="array" ref="D35">IFERROR(INDEX('הזנה רכישה'!$K$6:$K$1505,MATCH($B$23&amp;"|"&amp;10,'הזנה רכישה'!$U$6:$U$1505,0)),"")</f>
        <v/>
      </c>
      <c r="E35" s="43">
        <f t="array" ref="E35">IFERROR(INDEX('הזנה רכישה'!$M$6:$M$1505,MATCH($B$23&amp;"|"&amp;10,'הזנה רכישה'!$U$6:$U$1505,0)),"")</f>
        <v/>
      </c>
      <c r="F35" s="43">
        <f t="array" ref="F35">IFERROR(INDEX('הזנה רכישה'!$N$6:$N$1505,MATCH($B$23&amp;"|"&amp;10,'הזנה רכישה'!$U$6:$U$1505,0)),"")</f>
        <v/>
      </c>
      <c r="G35" s="43">
        <f t="array" ref="G35">IFERROR(INDEX('הזנה רכישה'!$O$6:$O$1505,MATCH($B$23&amp;"|"&amp;10,'הזנה רכישה'!$U$6:$U$1505,0)),"")</f>
        <v/>
      </c>
      <c r="H35" s="43">
        <f t="array" ref="H35">IFERROR(INDEX('הזנה רכישה'!$Q$6:$Q$1505,MATCH($B$23&amp;"|"&amp;10,'הזנה רכישה'!$U$6:$U$1505,0)),"")</f>
        <v/>
      </c>
      <c r="I35" s="43">
        <f t="array" ref="I35">IFERROR(INDEX('הזנה רכישה'!$R$6:$R$1505,MATCH($B$23&amp;"|"&amp;10,'הזנה רכישה'!$U$6:$U$1505,0)),"")</f>
        <v/>
      </c>
      <c r="J35" s="43">
        <f t="array" ref="J35">IFERROR(INDEX('הזנה רכישה'!$X$6:$X$1505,MATCH($B$23&amp;"|"&amp;10,'הזנה רכישה'!$U$6:$U$1505,0)),"")</f>
        <v/>
      </c>
    </row>
    <row r="36" ht="15.75" customHeight="1" s="58">
      <c r="A36" s="43">
        <f t="array" ref="A36">IFERROR(INDEX('הזנה רכישה'!$A$6:$A$1505,MATCH($B$23&amp;"|"&amp;11,'הזנה רכישה'!$U$6:$U$1505,0)),"")</f>
        <v/>
      </c>
      <c r="B36" s="43">
        <f t="array" ref="B36">IFERROR(INDEX('הזנה רכישה'!$F$6:$F$1505,MATCH($B$23&amp;"|"&amp;11,'הזנה רכישה'!$U$6:$U$1505,0)),"")</f>
        <v/>
      </c>
      <c r="C36" s="43">
        <f t="array" ref="C36">IFERROR(INDEX('הזנה רכישה'!$J$6:$J$1505,MATCH($B$23&amp;"|"&amp;11,'הזנה רכישה'!$U$6:$U$1505,0)),"")</f>
        <v/>
      </c>
      <c r="D36" s="43">
        <f t="array" ref="D36">IFERROR(INDEX('הזנה רכישה'!$K$6:$K$1505,MATCH($B$23&amp;"|"&amp;11,'הזנה רכישה'!$U$6:$U$1505,0)),"")</f>
        <v/>
      </c>
      <c r="E36" s="43">
        <f t="array" ref="E36">IFERROR(INDEX('הזנה רכישה'!$M$6:$M$1505,MATCH($B$23&amp;"|"&amp;11,'הזנה רכישה'!$U$6:$U$1505,0)),"")</f>
        <v/>
      </c>
      <c r="F36" s="43">
        <f t="array" ref="F36">IFERROR(INDEX('הזנה רכישה'!$N$6:$N$1505,MATCH($B$23&amp;"|"&amp;11,'הזנה רכישה'!$U$6:$U$1505,0)),"")</f>
        <v/>
      </c>
      <c r="G36" s="43">
        <f t="array" ref="G36">IFERROR(INDEX('הזנה רכישה'!$O$6:$O$1505,MATCH($B$23&amp;"|"&amp;11,'הזנה רכישה'!$U$6:$U$1505,0)),"")</f>
        <v/>
      </c>
      <c r="H36" s="43">
        <f t="array" ref="H36">IFERROR(INDEX('הזנה רכישה'!$Q$6:$Q$1505,MATCH($B$23&amp;"|"&amp;11,'הזנה רכישה'!$U$6:$U$1505,0)),"")</f>
        <v/>
      </c>
      <c r="I36" s="43">
        <f t="array" ref="I36">IFERROR(INDEX('הזנה רכישה'!$R$6:$R$1505,MATCH($B$23&amp;"|"&amp;11,'הזנה רכישה'!$U$6:$U$1505,0)),"")</f>
        <v/>
      </c>
      <c r="J36" s="43">
        <f t="array" ref="J36">IFERROR(INDEX('הזנה רכישה'!$X$6:$X$1505,MATCH($B$23&amp;"|"&amp;11,'הזנה רכישה'!$U$6:$U$1505,0)),"")</f>
        <v/>
      </c>
    </row>
    <row r="37" ht="15.75" customHeight="1" s="58">
      <c r="A37" s="43">
        <f t="array" ref="A37">IFERROR(INDEX('הזנה רכישה'!$A$6:$A$1505,MATCH($B$23&amp;"|"&amp;12,'הזנה רכישה'!$U$6:$U$1505,0)),"")</f>
        <v/>
      </c>
      <c r="B37" s="43">
        <f t="array" ref="B37">IFERROR(INDEX('הזנה רכישה'!$F$6:$F$1505,MATCH($B$23&amp;"|"&amp;12,'הזנה רכישה'!$U$6:$U$1505,0)),"")</f>
        <v/>
      </c>
      <c r="C37" s="43">
        <f t="array" ref="C37">IFERROR(INDEX('הזנה רכישה'!$J$6:$J$1505,MATCH($B$23&amp;"|"&amp;12,'הזנה רכישה'!$U$6:$U$1505,0)),"")</f>
        <v/>
      </c>
      <c r="D37" s="43">
        <f t="array" ref="D37">IFERROR(INDEX('הזנה רכישה'!$K$6:$K$1505,MATCH($B$23&amp;"|"&amp;12,'הזנה רכישה'!$U$6:$U$1505,0)),"")</f>
        <v/>
      </c>
      <c r="E37" s="43">
        <f t="array" ref="E37">IFERROR(INDEX('הזנה רכישה'!$M$6:$M$1505,MATCH($B$23&amp;"|"&amp;12,'הזנה רכישה'!$U$6:$U$1505,0)),"")</f>
        <v/>
      </c>
      <c r="F37" s="43">
        <f t="array" ref="F37">IFERROR(INDEX('הזנה רכישה'!$N$6:$N$1505,MATCH($B$23&amp;"|"&amp;12,'הזנה רכישה'!$U$6:$U$1505,0)),"")</f>
        <v/>
      </c>
      <c r="G37" s="43">
        <f t="array" ref="G37">IFERROR(INDEX('הזנה רכישה'!$O$6:$O$1505,MATCH($B$23&amp;"|"&amp;12,'הזנה רכישה'!$U$6:$U$1505,0)),"")</f>
        <v/>
      </c>
      <c r="H37" s="43">
        <f t="array" ref="H37">IFERROR(INDEX('הזנה רכישה'!$Q$6:$Q$1505,MATCH($B$23&amp;"|"&amp;12,'הזנה רכישה'!$U$6:$U$1505,0)),"")</f>
        <v/>
      </c>
      <c r="I37" s="43">
        <f t="array" ref="I37">IFERROR(INDEX('הזנה רכישה'!$R$6:$R$1505,MATCH($B$23&amp;"|"&amp;12,'הזנה רכישה'!$U$6:$U$1505,0)),"")</f>
        <v/>
      </c>
      <c r="J37" s="43">
        <f t="array" ref="J37">IFERROR(INDEX('הזנה רכישה'!$X$6:$X$1505,MATCH($B$23&amp;"|"&amp;12,'הזנה רכישה'!$U$6:$U$1505,0)),"")</f>
        <v/>
      </c>
    </row>
    <row r="38" ht="15.75" customHeight="1" s="58"/>
    <row r="39" ht="15.75" customHeight="1" s="58">
      <c r="A39" s="47" t="inlineStr">
        <is>
          <t>הערה: תלמיד שעבר ממסלול הרכישה למסלול ב'-ו' יופיע בשתי הטבלאות — זו התמונה הרציפה שלו.</t>
        </is>
      </c>
    </row>
    <row r="40" ht="15.75" customHeight="1" s="58"/>
    <row r="41" ht="15.75" customHeight="1" s="58"/>
    <row r="42" ht="15.75" customHeight="1" s="58"/>
    <row r="43" ht="15.75" customHeight="1" s="58"/>
    <row r="44" ht="15.75" customHeight="1" s="58"/>
    <row r="45" ht="15.75" customHeight="1" s="58"/>
    <row r="46" ht="15.75" customHeight="1" s="58"/>
    <row r="47" ht="15.75" customHeight="1" s="58"/>
    <row r="48" ht="15.75" customHeight="1" s="58"/>
    <row r="49" ht="15.75" customHeight="1" s="58"/>
    <row r="50" ht="15.75" customHeight="1" s="58"/>
    <row r="51" ht="15.75" customHeight="1" s="58"/>
    <row r="52" ht="15.75" customHeight="1" s="58"/>
    <row r="53" ht="15.75" customHeight="1" s="58"/>
    <row r="54" ht="15.75" customHeight="1" s="58"/>
    <row r="55" ht="15.75" customHeight="1" s="58"/>
    <row r="56" ht="15.75" customHeight="1" s="58"/>
    <row r="57" ht="15.75" customHeight="1" s="58"/>
    <row r="58" ht="15.75" customHeight="1" s="58"/>
    <row r="59" ht="15.75" customHeight="1" s="58"/>
    <row r="60" ht="15.75" customHeight="1" s="58"/>
    <row r="61" ht="15.75" customHeight="1" s="58"/>
    <row r="62" ht="15.75" customHeight="1" s="58"/>
    <row r="63" ht="15.75" customHeight="1" s="58"/>
    <row r="64" ht="15.75" customHeight="1" s="58"/>
    <row r="65" ht="15.75" customHeight="1" s="58"/>
    <row r="66" ht="15.75" customHeight="1" s="58"/>
    <row r="67" ht="15.75" customHeight="1" s="58"/>
    <row r="68" ht="15.75" customHeight="1" s="58"/>
    <row r="69" ht="15.75" customHeight="1" s="58"/>
    <row r="70" ht="15.75" customHeight="1" s="58"/>
    <row r="71" ht="15.75" customHeight="1" s="58"/>
    <row r="72" ht="15.75" customHeight="1" s="58"/>
    <row r="73" ht="15.75" customHeight="1" s="58"/>
    <row r="74" ht="15.75" customHeight="1" s="58"/>
    <row r="75" ht="15.75" customHeight="1" s="58"/>
    <row r="76" ht="15.75" customHeight="1" s="58"/>
    <row r="77" ht="15.75" customHeight="1" s="58"/>
    <row r="78" ht="15.75" customHeight="1" s="58"/>
    <row r="79" ht="15.75" customHeight="1" s="58"/>
    <row r="80" ht="15.75" customHeight="1" s="58"/>
    <row r="81" ht="15.75" customHeight="1" s="58"/>
    <row r="82" ht="15.75" customHeight="1" s="58"/>
    <row r="83" ht="15.75" customHeight="1" s="58"/>
    <row r="84" ht="15.75" customHeight="1" s="58"/>
    <row r="85" ht="15.75" customHeight="1" s="58"/>
    <row r="86" ht="15.75" customHeight="1" s="58"/>
    <row r="87" ht="15.75" customHeight="1" s="58"/>
    <row r="88" ht="15.75" customHeight="1" s="58"/>
    <row r="89" ht="15.75" customHeight="1" s="58"/>
    <row r="90" ht="15.75" customHeight="1" s="58"/>
    <row r="91" ht="15.75" customHeight="1" s="58"/>
    <row r="92" ht="15.75" customHeight="1" s="58"/>
    <row r="93" ht="15.75" customHeight="1" s="58"/>
    <row r="94" ht="15.75" customHeight="1" s="58"/>
    <row r="95" ht="15.75" customHeight="1" s="58"/>
    <row r="96" ht="15.75" customHeight="1" s="58"/>
    <row r="97" ht="15.75" customHeight="1" s="58"/>
    <row r="98" ht="15.75" customHeight="1" s="58"/>
    <row r="99" ht="15.75" customHeight="1" s="58"/>
    <row r="100" ht="15.75" customHeight="1" s="58"/>
    <row r="101" ht="15.75" customHeight="1" s="58"/>
    <row r="102" ht="15.75" customHeight="1" s="58"/>
    <row r="103" ht="15.75" customHeight="1" s="58"/>
    <row r="104" ht="15.75" customHeight="1" s="58"/>
    <row r="105" ht="15.75" customHeight="1" s="58"/>
    <row r="106" ht="15.75" customHeight="1" s="58"/>
    <row r="107" ht="15.75" customHeight="1" s="58"/>
    <row r="108" ht="15.75" customHeight="1" s="58"/>
    <row r="109" ht="15.75" customHeight="1" s="58"/>
    <row r="110" ht="15.75" customHeight="1" s="58"/>
    <row r="111" ht="15.75" customHeight="1" s="58"/>
    <row r="112" ht="15.75" customHeight="1" s="58"/>
    <row r="113" ht="15.75" customHeight="1" s="58"/>
    <row r="114" ht="15.75" customHeight="1" s="58"/>
    <row r="115" ht="15.75" customHeight="1" s="58"/>
    <row r="116" ht="15.75" customHeight="1" s="58"/>
    <row r="117" ht="15.75" customHeight="1" s="58"/>
    <row r="118" ht="15.75" customHeight="1" s="58"/>
    <row r="119" ht="15.75" customHeight="1" s="58"/>
    <row r="120" ht="15.75" customHeight="1" s="58"/>
    <row r="121" ht="15.75" customHeight="1" s="58"/>
    <row r="122" ht="15.75" customHeight="1" s="58"/>
    <row r="123" ht="15.75" customHeight="1" s="58"/>
    <row r="124" ht="15.75" customHeight="1" s="58"/>
    <row r="125" ht="15.75" customHeight="1" s="58"/>
    <row r="126" ht="15.75" customHeight="1" s="58"/>
    <row r="127" ht="15.75" customHeight="1" s="58"/>
    <row r="128" ht="15.75" customHeight="1" s="58"/>
    <row r="129" ht="15.75" customHeight="1" s="58"/>
    <row r="130" ht="15.75" customHeight="1" s="58"/>
    <row r="131" ht="15.75" customHeight="1" s="58"/>
    <row r="132" ht="15.75" customHeight="1" s="58"/>
    <row r="133" ht="15.75" customHeight="1" s="58"/>
    <row r="134" ht="15.75" customHeight="1" s="58"/>
    <row r="135" ht="15.75" customHeight="1" s="58"/>
    <row r="136" ht="15.75" customHeight="1" s="58"/>
    <row r="137" ht="15.75" customHeight="1" s="58"/>
    <row r="138" ht="15.75" customHeight="1" s="58"/>
    <row r="139" ht="15.75" customHeight="1" s="58"/>
    <row r="140" ht="15.75" customHeight="1" s="58"/>
    <row r="141" ht="15.75" customHeight="1" s="58"/>
    <row r="142" ht="15.75" customHeight="1" s="58"/>
    <row r="143" ht="15.75" customHeight="1" s="58"/>
    <row r="144" ht="15.75" customHeight="1" s="58"/>
    <row r="145" ht="15.75" customHeight="1" s="58"/>
    <row r="146" ht="15.75" customHeight="1" s="58"/>
    <row r="147" ht="15.75" customHeight="1" s="58"/>
    <row r="148" ht="15.75" customHeight="1" s="58"/>
    <row r="149" ht="15.75" customHeight="1" s="58"/>
    <row r="150" ht="15.75" customHeight="1" s="58"/>
    <row r="151" ht="15.75" customHeight="1" s="58"/>
    <row r="152" ht="15.75" customHeight="1" s="58"/>
    <row r="153" ht="15.75" customHeight="1" s="58"/>
    <row r="154" ht="15.75" customHeight="1" s="58"/>
    <row r="155" ht="15.75" customHeight="1" s="58"/>
    <row r="156" ht="15.75" customHeight="1" s="58"/>
    <row r="157" ht="15.75" customHeight="1" s="58"/>
    <row r="158" ht="15.75" customHeight="1" s="58"/>
    <row r="159" ht="15.75" customHeight="1" s="58"/>
    <row r="160" ht="15.75" customHeight="1" s="58"/>
    <row r="161" ht="15.75" customHeight="1" s="58"/>
    <row r="162" ht="15.75" customHeight="1" s="58"/>
    <row r="163" ht="15.75" customHeight="1" s="58"/>
    <row r="164" ht="15.75" customHeight="1" s="58"/>
    <row r="165" ht="15.75" customHeight="1" s="58"/>
    <row r="166" ht="15.75" customHeight="1" s="58"/>
    <row r="167" ht="15.75" customHeight="1" s="58"/>
    <row r="168" ht="15.75" customHeight="1" s="58"/>
    <row r="169" ht="15.75" customHeight="1" s="58"/>
    <row r="170" ht="15.75" customHeight="1" s="58"/>
    <row r="171" ht="15.75" customHeight="1" s="58"/>
    <row r="172" ht="15.75" customHeight="1" s="58"/>
    <row r="173" ht="15.75" customHeight="1" s="58"/>
    <row r="174" ht="15.75" customHeight="1" s="58"/>
    <row r="175" ht="15.75" customHeight="1" s="58"/>
    <row r="176" ht="15.75" customHeight="1" s="58"/>
    <row r="177" ht="15.75" customHeight="1" s="58"/>
    <row r="178" ht="15.75" customHeight="1" s="58"/>
    <row r="179" ht="15.75" customHeight="1" s="58"/>
    <row r="180" ht="15.75" customHeight="1" s="58"/>
    <row r="181" ht="15.75" customHeight="1" s="58"/>
    <row r="182" ht="15.75" customHeight="1" s="58"/>
    <row r="183" ht="15.75" customHeight="1" s="58"/>
    <row r="184" ht="15.75" customHeight="1" s="58"/>
    <row r="185" ht="15.75" customHeight="1" s="58"/>
    <row r="186" ht="15.75" customHeight="1" s="58"/>
    <row r="187" ht="15.75" customHeight="1" s="58"/>
    <row r="188" ht="15.75" customHeight="1" s="58"/>
    <row r="189" ht="15.75" customHeight="1" s="58"/>
    <row r="190" ht="15.75" customHeight="1" s="58"/>
    <row r="191" ht="15.75" customHeight="1" s="58"/>
    <row r="192" ht="15.75" customHeight="1" s="58"/>
    <row r="193" ht="15.75" customHeight="1" s="58"/>
    <row r="194" ht="15.75" customHeight="1" s="58"/>
    <row r="195" ht="15.75" customHeight="1" s="58"/>
    <row r="196" ht="15.75" customHeight="1" s="58"/>
    <row r="197" ht="15.75" customHeight="1" s="58"/>
    <row r="198" ht="15.75" customHeight="1" s="58"/>
    <row r="199" ht="15.75" customHeight="1" s="58"/>
    <row r="200" ht="15.75" customHeight="1" s="58"/>
    <row r="201" ht="15.75" customHeight="1" s="58"/>
    <row r="202" ht="15.75" customHeight="1" s="58"/>
    <row r="203" ht="15.75" customHeight="1" s="58"/>
    <row r="204" ht="15.75" customHeight="1" s="58"/>
    <row r="205" ht="15.75" customHeight="1" s="58"/>
    <row r="206" ht="15.75" customHeight="1" s="58"/>
    <row r="207" ht="15.75" customHeight="1" s="58"/>
    <row r="208" ht="15.75" customHeight="1" s="58"/>
    <row r="209" ht="15.75" customHeight="1" s="58"/>
    <row r="210" ht="15.75" customHeight="1" s="58"/>
    <row r="211" ht="15.75" customHeight="1" s="58"/>
    <row r="212" ht="15.75" customHeight="1" s="58"/>
    <row r="213" ht="15.75" customHeight="1" s="58"/>
    <row r="214" ht="15.75" customHeight="1" s="58"/>
    <row r="215" ht="15.75" customHeight="1" s="58"/>
    <row r="216" ht="15.75" customHeight="1" s="58"/>
    <row r="217" ht="15.75" customHeight="1" s="58"/>
    <row r="218" ht="15.75" customHeight="1" s="58"/>
    <row r="219" ht="15.75" customHeight="1" s="58"/>
    <row r="220" ht="15.75" customHeight="1" s="58"/>
    <row r="221" ht="15.75" customHeight="1" s="58"/>
    <row r="222" ht="15.75" customHeight="1" s="58"/>
    <row r="223" ht="15.75" customHeight="1" s="58"/>
    <row r="224" ht="15.75" customHeight="1" s="58"/>
    <row r="225" ht="15.75" customHeight="1" s="58"/>
    <row r="226" ht="15.75" customHeight="1" s="58"/>
    <row r="227" ht="15.75" customHeight="1" s="58"/>
    <row r="228" ht="15.75" customHeight="1" s="58"/>
    <row r="229" ht="15.75" customHeight="1" s="58"/>
    <row r="230" ht="15.75" customHeight="1" s="58"/>
    <row r="231" ht="15.75" customHeight="1" s="58"/>
    <row r="232" ht="15.75" customHeight="1" s="58"/>
    <row r="233" ht="15.75" customHeight="1" s="58"/>
    <row r="234" ht="15.75" customHeight="1" s="58"/>
    <row r="235" ht="15.75" customHeight="1" s="58"/>
    <row r="236" ht="15.75" customHeight="1" s="58"/>
    <row r="237" ht="15.75" customHeight="1" s="58"/>
    <row r="238" ht="15.75" customHeight="1" s="58"/>
    <row r="239" ht="15.75" customHeight="1" s="58"/>
    <row r="240" ht="15.75" customHeight="1" s="58"/>
    <row r="241" ht="15.75" customHeight="1" s="58"/>
    <row r="242" ht="15.75" customHeight="1" s="58"/>
    <row r="243" ht="15.75" customHeight="1" s="58"/>
    <row r="244" ht="15.75" customHeight="1" s="58"/>
    <row r="245" ht="15.75" customHeight="1" s="58"/>
    <row r="246" ht="15.75" customHeight="1" s="58"/>
    <row r="247" ht="15.75" customHeight="1" s="58"/>
    <row r="248" ht="15.75" customHeight="1" s="58"/>
    <row r="249" ht="15.75" customHeight="1" s="58"/>
    <row r="250" ht="15.75" customHeight="1" s="58"/>
    <row r="251" ht="15.75" customHeight="1" s="58"/>
    <row r="252" ht="15.75" customHeight="1" s="58"/>
    <row r="253" ht="15.75" customHeight="1" s="58"/>
    <row r="254" ht="15.75" customHeight="1" s="58"/>
    <row r="255" ht="15.75" customHeight="1" s="58"/>
    <row r="256" ht="15.75" customHeight="1" s="58"/>
    <row r="257" ht="15.75" customHeight="1" s="58"/>
    <row r="258" ht="15.75" customHeight="1" s="58"/>
    <row r="259" ht="15.75" customHeight="1" s="58"/>
    <row r="260" ht="15.75" customHeight="1" s="58"/>
    <row r="261" ht="15.75" customHeight="1" s="58"/>
    <row r="262" ht="15.75" customHeight="1" s="58"/>
    <row r="263" ht="15.75" customHeight="1" s="58"/>
    <row r="264" ht="15.75" customHeight="1" s="58"/>
    <row r="265" ht="15.75" customHeight="1" s="58"/>
    <row r="266" ht="15.75" customHeight="1" s="58"/>
    <row r="267" ht="15.75" customHeight="1" s="58"/>
    <row r="268" ht="15.75" customHeight="1" s="58"/>
    <row r="269" ht="15.75" customHeight="1" s="58"/>
    <row r="270" ht="15.75" customHeight="1" s="58"/>
    <row r="271" ht="15.75" customHeight="1" s="58"/>
    <row r="272" ht="15.75" customHeight="1" s="58"/>
    <row r="273" ht="15.75" customHeight="1" s="58"/>
    <row r="274" ht="15.75" customHeight="1" s="58"/>
    <row r="275" ht="15.75" customHeight="1" s="58"/>
    <row r="276" ht="15.75" customHeight="1" s="58"/>
    <row r="277" ht="15.75" customHeight="1" s="58"/>
    <row r="278" ht="15.75" customHeight="1" s="58"/>
    <row r="279" ht="15.75" customHeight="1" s="58"/>
    <row r="280" ht="15.75" customHeight="1" s="58"/>
    <row r="281" ht="15.75" customHeight="1" s="58"/>
    <row r="282" ht="15.75" customHeight="1" s="58"/>
    <row r="283" ht="15.75" customHeight="1" s="58"/>
    <row r="284" ht="15.75" customHeight="1" s="58"/>
    <row r="285" ht="15.75" customHeight="1" s="58"/>
    <row r="286" ht="15.75" customHeight="1" s="58"/>
    <row r="287" ht="15.75" customHeight="1" s="58"/>
    <row r="288" ht="15.75" customHeight="1" s="58"/>
    <row r="289" ht="15.75" customHeight="1" s="58"/>
    <row r="290" ht="15.75" customHeight="1" s="58"/>
    <row r="291" ht="15.75" customHeight="1" s="58"/>
    <row r="292" ht="15.75" customHeight="1" s="58"/>
    <row r="293" ht="15.75" customHeight="1" s="58"/>
    <row r="294" ht="15.75" customHeight="1" s="58"/>
    <row r="295" ht="15.75" customHeight="1" s="58"/>
    <row r="296" ht="15.75" customHeight="1" s="58"/>
    <row r="297" ht="15.75" customHeight="1" s="58"/>
    <row r="298" ht="15.75" customHeight="1" s="58"/>
    <row r="299" ht="15.75" customHeight="1" s="58"/>
    <row r="300" ht="15.75" customHeight="1" s="58"/>
    <row r="301" ht="15.75" customHeight="1" s="58"/>
    <row r="302" ht="15.75" customHeight="1" s="58"/>
    <row r="303" ht="15.75" customHeight="1" s="58"/>
    <row r="304" ht="15.75" customHeight="1" s="58"/>
    <row r="305" ht="15.75" customHeight="1" s="58"/>
    <row r="306" ht="15.75" customHeight="1" s="58"/>
    <row r="307" ht="15.75" customHeight="1" s="58"/>
    <row r="308" ht="15.75" customHeight="1" s="58"/>
    <row r="309" ht="15.75" customHeight="1" s="58"/>
    <row r="310" ht="15.75" customHeight="1" s="58"/>
    <row r="311" ht="15.75" customHeight="1" s="58"/>
    <row r="312" ht="15.75" customHeight="1" s="58"/>
    <row r="313" ht="15.75" customHeight="1" s="58"/>
    <row r="314" ht="15.75" customHeight="1" s="58"/>
    <row r="315" ht="15.75" customHeight="1" s="58"/>
    <row r="316" ht="15.75" customHeight="1" s="58"/>
    <row r="317" ht="15.75" customHeight="1" s="58"/>
    <row r="318" ht="15.75" customHeight="1" s="58"/>
    <row r="319" ht="15.75" customHeight="1" s="58"/>
    <row r="320" ht="15.75" customHeight="1" s="58"/>
    <row r="321" ht="15.75" customHeight="1" s="58"/>
    <row r="322" ht="15.75" customHeight="1" s="58"/>
    <row r="323" ht="15.75" customHeight="1" s="58"/>
    <row r="324" ht="15.75" customHeight="1" s="58"/>
    <row r="325" ht="15.75" customHeight="1" s="58"/>
    <row r="326" ht="15.75" customHeight="1" s="58"/>
    <row r="327" ht="15.75" customHeight="1" s="58"/>
    <row r="328" ht="15.75" customHeight="1" s="58"/>
    <row r="329" ht="15.75" customHeight="1" s="58"/>
    <row r="330" ht="15.75" customHeight="1" s="58"/>
    <row r="331" ht="15.75" customHeight="1" s="58"/>
    <row r="332" ht="15.75" customHeight="1" s="58"/>
    <row r="333" ht="15.75" customHeight="1" s="58"/>
    <row r="334" ht="15.75" customHeight="1" s="58"/>
    <row r="335" ht="15.75" customHeight="1" s="58"/>
    <row r="336" ht="15.75" customHeight="1" s="58"/>
    <row r="337" ht="15.75" customHeight="1" s="58"/>
    <row r="338" ht="15.75" customHeight="1" s="58"/>
    <row r="339" ht="15.75" customHeight="1" s="58"/>
    <row r="340" ht="15.75" customHeight="1" s="58"/>
    <row r="341" ht="15.75" customHeight="1" s="58"/>
    <row r="342" ht="15.75" customHeight="1" s="58"/>
    <row r="343" ht="15.75" customHeight="1" s="58"/>
    <row r="344" ht="15.75" customHeight="1" s="58"/>
    <row r="345" ht="15.75" customHeight="1" s="58"/>
    <row r="346" ht="15.75" customHeight="1" s="58"/>
    <row r="347" ht="15.75" customHeight="1" s="58"/>
    <row r="348" ht="15.75" customHeight="1" s="58"/>
    <row r="349" ht="15.75" customHeight="1" s="58"/>
    <row r="350" ht="15.75" customHeight="1" s="58"/>
    <row r="351" ht="15.75" customHeight="1" s="58"/>
    <row r="352" ht="15.75" customHeight="1" s="58"/>
    <row r="353" ht="15.75" customHeight="1" s="58"/>
    <row r="354" ht="15.75" customHeight="1" s="58"/>
    <row r="355" ht="15.75" customHeight="1" s="58"/>
    <row r="356" ht="15.75" customHeight="1" s="58"/>
    <row r="357" ht="15.75" customHeight="1" s="58"/>
    <row r="358" ht="15.75" customHeight="1" s="58"/>
    <row r="359" ht="15.75" customHeight="1" s="58"/>
    <row r="360" ht="15.75" customHeight="1" s="58"/>
    <row r="361" ht="15.75" customHeight="1" s="58"/>
    <row r="362" ht="15.75" customHeight="1" s="58"/>
    <row r="363" ht="15.75" customHeight="1" s="58"/>
    <row r="364" ht="15.75" customHeight="1" s="58"/>
    <row r="365" ht="15.75" customHeight="1" s="58"/>
    <row r="366" ht="15.75" customHeight="1" s="58"/>
    <row r="367" ht="15.75" customHeight="1" s="58"/>
    <row r="368" ht="15.75" customHeight="1" s="58"/>
    <row r="369" ht="15.75" customHeight="1" s="58"/>
    <row r="370" ht="15.75" customHeight="1" s="58"/>
    <row r="371" ht="15.75" customHeight="1" s="58"/>
    <row r="372" ht="15.75" customHeight="1" s="58"/>
    <row r="373" ht="15.75" customHeight="1" s="58"/>
    <row r="374" ht="15.75" customHeight="1" s="58"/>
    <row r="375" ht="15.75" customHeight="1" s="58"/>
    <row r="376" ht="15.75" customHeight="1" s="58"/>
    <row r="377" ht="15.75" customHeight="1" s="58"/>
    <row r="378" ht="15.75" customHeight="1" s="58"/>
    <row r="379" ht="15.75" customHeight="1" s="58"/>
    <row r="380" ht="15.75" customHeight="1" s="58"/>
    <row r="381" ht="15.75" customHeight="1" s="58"/>
    <row r="382" ht="15.75" customHeight="1" s="58"/>
    <row r="383" ht="15.75" customHeight="1" s="58"/>
    <row r="384" ht="15.75" customHeight="1" s="58"/>
    <row r="385" ht="15.75" customHeight="1" s="58"/>
    <row r="386" ht="15.75" customHeight="1" s="58"/>
    <row r="387" ht="15.75" customHeight="1" s="58"/>
    <row r="388" ht="15.75" customHeight="1" s="58"/>
    <row r="389" ht="15.75" customHeight="1" s="58"/>
    <row r="390" ht="15.75" customHeight="1" s="58"/>
    <row r="391" ht="15.75" customHeight="1" s="58"/>
    <row r="392" ht="15.75" customHeight="1" s="58"/>
    <row r="393" ht="15.75" customHeight="1" s="58"/>
    <row r="394" ht="15.75" customHeight="1" s="58"/>
    <row r="395" ht="15.75" customHeight="1" s="58"/>
    <row r="396" ht="15.75" customHeight="1" s="58"/>
    <row r="397" ht="15.75" customHeight="1" s="58"/>
    <row r="398" ht="15.75" customHeight="1" s="58"/>
    <row r="399" ht="15.75" customHeight="1" s="58"/>
    <row r="400" ht="15.75" customHeight="1" s="58"/>
    <row r="401" ht="15.75" customHeight="1" s="58"/>
    <row r="402" ht="15.75" customHeight="1" s="58"/>
    <row r="403" ht="15.75" customHeight="1" s="58"/>
    <row r="404" ht="15.75" customHeight="1" s="58"/>
    <row r="405" ht="15.75" customHeight="1" s="58"/>
    <row r="406" ht="15.75" customHeight="1" s="58"/>
    <row r="407" ht="15.75" customHeight="1" s="58"/>
    <row r="408" ht="15.75" customHeight="1" s="58"/>
    <row r="409" ht="15.75" customHeight="1" s="58"/>
    <row r="410" ht="15.75" customHeight="1" s="58"/>
    <row r="411" ht="15.75" customHeight="1" s="58"/>
    <row r="412" ht="15.75" customHeight="1" s="58"/>
    <row r="413" ht="15.75" customHeight="1" s="58"/>
    <row r="414" ht="15.75" customHeight="1" s="58"/>
    <row r="415" ht="15.75" customHeight="1" s="58"/>
    <row r="416" ht="15.75" customHeight="1" s="58"/>
    <row r="417" ht="15.75" customHeight="1" s="58"/>
    <row r="418" ht="15.75" customHeight="1" s="58"/>
    <row r="419" ht="15.75" customHeight="1" s="58"/>
    <row r="420" ht="15.75" customHeight="1" s="58"/>
    <row r="421" ht="15.75" customHeight="1" s="58"/>
    <row r="422" ht="15.75" customHeight="1" s="58"/>
    <row r="423" ht="15.75" customHeight="1" s="58"/>
    <row r="424" ht="15.75" customHeight="1" s="58"/>
    <row r="425" ht="15.75" customHeight="1" s="58"/>
    <row r="426" ht="15.75" customHeight="1" s="58"/>
    <row r="427" ht="15.75" customHeight="1" s="58"/>
    <row r="428" ht="15.75" customHeight="1" s="58"/>
    <row r="429" ht="15.75" customHeight="1" s="58"/>
    <row r="430" ht="15.75" customHeight="1" s="58"/>
    <row r="431" ht="15.75" customHeight="1" s="58"/>
    <row r="432" ht="15.75" customHeight="1" s="58"/>
    <row r="433" ht="15.75" customHeight="1" s="58"/>
    <row r="434" ht="15.75" customHeight="1" s="58"/>
    <row r="435" ht="15.75" customHeight="1" s="58"/>
    <row r="436" ht="15.75" customHeight="1" s="58"/>
    <row r="437" ht="15.75" customHeight="1" s="58"/>
    <row r="438" ht="15.75" customHeight="1" s="58"/>
    <row r="439" ht="15.75" customHeight="1" s="58"/>
    <row r="440" ht="15.75" customHeight="1" s="58"/>
    <row r="441" ht="15.75" customHeight="1" s="58"/>
    <row r="442" ht="15.75" customHeight="1" s="58"/>
    <row r="443" ht="15.75" customHeight="1" s="58"/>
    <row r="444" ht="15.75" customHeight="1" s="58"/>
    <row r="445" ht="15.75" customHeight="1" s="58"/>
    <row r="446" ht="15.75" customHeight="1" s="58"/>
    <row r="447" ht="15.75" customHeight="1" s="58"/>
    <row r="448" ht="15.75" customHeight="1" s="58"/>
    <row r="449" ht="15.75" customHeight="1" s="58"/>
    <row r="450" ht="15.75" customHeight="1" s="58"/>
    <row r="451" ht="15.75" customHeight="1" s="58"/>
    <row r="452" ht="15.75" customHeight="1" s="58"/>
    <row r="453" ht="15.75" customHeight="1" s="58"/>
    <row r="454" ht="15.75" customHeight="1" s="58"/>
    <row r="455" ht="15.75" customHeight="1" s="58"/>
    <row r="456" ht="15.75" customHeight="1" s="58"/>
    <row r="457" ht="15.75" customHeight="1" s="58"/>
    <row r="458" ht="15.75" customHeight="1" s="58"/>
    <row r="459" ht="15.75" customHeight="1" s="58"/>
    <row r="460" ht="15.75" customHeight="1" s="58"/>
    <row r="461" ht="15.75" customHeight="1" s="58"/>
    <row r="462" ht="15.75" customHeight="1" s="58"/>
    <row r="463" ht="15.75" customHeight="1" s="58"/>
    <row r="464" ht="15.75" customHeight="1" s="58"/>
    <row r="465" ht="15.75" customHeight="1" s="58"/>
    <row r="466" ht="15.75" customHeight="1" s="58"/>
    <row r="467" ht="15.75" customHeight="1" s="58"/>
    <row r="468" ht="15.75" customHeight="1" s="58"/>
    <row r="469" ht="15.75" customHeight="1" s="58"/>
    <row r="470" ht="15.75" customHeight="1" s="58"/>
    <row r="471" ht="15.75" customHeight="1" s="58"/>
    <row r="472" ht="15.75" customHeight="1" s="58"/>
    <row r="473" ht="15.75" customHeight="1" s="58"/>
    <row r="474" ht="15.75" customHeight="1" s="58"/>
    <row r="475" ht="15.75" customHeight="1" s="58"/>
    <row r="476" ht="15.75" customHeight="1" s="58"/>
    <row r="477" ht="15.75" customHeight="1" s="58"/>
    <row r="478" ht="15.75" customHeight="1" s="58"/>
    <row r="479" ht="15.75" customHeight="1" s="58"/>
    <row r="480" ht="15.75" customHeight="1" s="58"/>
    <row r="481" ht="15.75" customHeight="1" s="58"/>
    <row r="482" ht="15.75" customHeight="1" s="58"/>
    <row r="483" ht="15.75" customHeight="1" s="58"/>
    <row r="484" ht="15.75" customHeight="1" s="58"/>
    <row r="485" ht="15.75" customHeight="1" s="58"/>
    <row r="486" ht="15.75" customHeight="1" s="58"/>
    <row r="487" ht="15.75" customHeight="1" s="58"/>
    <row r="488" ht="15.75" customHeight="1" s="58"/>
    <row r="489" ht="15.75" customHeight="1" s="58"/>
    <row r="490" ht="15.75" customHeight="1" s="58"/>
    <row r="491" ht="15.75" customHeight="1" s="58"/>
    <row r="492" ht="15.75" customHeight="1" s="58"/>
    <row r="493" ht="15.75" customHeight="1" s="58"/>
    <row r="494" ht="15.75" customHeight="1" s="58"/>
    <row r="495" ht="15.75" customHeight="1" s="58"/>
    <row r="496" ht="15.75" customHeight="1" s="58"/>
    <row r="497" ht="15.75" customHeight="1" s="58"/>
    <row r="498" ht="15.75" customHeight="1" s="58"/>
    <row r="499" ht="15.75" customHeight="1" s="58"/>
    <row r="500" ht="15.75" customHeight="1" s="58"/>
    <row r="501" ht="15.75" customHeight="1" s="58"/>
    <row r="502" ht="15.75" customHeight="1" s="58"/>
    <row r="503" ht="15.75" customHeight="1" s="58"/>
    <row r="504" ht="15.75" customHeight="1" s="58"/>
    <row r="505" ht="15.75" customHeight="1" s="58"/>
    <row r="506" ht="15.75" customHeight="1" s="58"/>
    <row r="507" ht="15.75" customHeight="1" s="58"/>
    <row r="508" ht="15.75" customHeight="1" s="58"/>
    <row r="509" ht="15.75" customHeight="1" s="58"/>
    <row r="510" ht="15.75" customHeight="1" s="58"/>
    <row r="511" ht="15.75" customHeight="1" s="58"/>
    <row r="512" ht="15.75" customHeight="1" s="58"/>
    <row r="513" ht="15.75" customHeight="1" s="58"/>
    <row r="514" ht="15.75" customHeight="1" s="58"/>
    <row r="515" ht="15.75" customHeight="1" s="58"/>
    <row r="516" ht="15.75" customHeight="1" s="58"/>
    <row r="517" ht="15.75" customHeight="1" s="58"/>
    <row r="518" ht="15.75" customHeight="1" s="58"/>
    <row r="519" ht="15.75" customHeight="1" s="58"/>
    <row r="520" ht="15.75" customHeight="1" s="58"/>
    <row r="521" ht="15.75" customHeight="1" s="58"/>
    <row r="522" ht="15.75" customHeight="1" s="58"/>
    <row r="523" ht="15.75" customHeight="1" s="58"/>
    <row r="524" ht="15.75" customHeight="1" s="58"/>
    <row r="525" ht="15.75" customHeight="1" s="58"/>
    <row r="526" ht="15.75" customHeight="1" s="58"/>
    <row r="527" ht="15.75" customHeight="1" s="58"/>
    <row r="528" ht="15.75" customHeight="1" s="58"/>
    <row r="529" ht="15.75" customHeight="1" s="58"/>
    <row r="530" ht="15.75" customHeight="1" s="58"/>
    <row r="531" ht="15.75" customHeight="1" s="58"/>
    <row r="532" ht="15.75" customHeight="1" s="58"/>
    <row r="533" ht="15.75" customHeight="1" s="58"/>
    <row r="534" ht="15.75" customHeight="1" s="58"/>
    <row r="535" ht="15.75" customHeight="1" s="58"/>
    <row r="536" ht="15.75" customHeight="1" s="58"/>
    <row r="537" ht="15.75" customHeight="1" s="58"/>
    <row r="538" ht="15.75" customHeight="1" s="58"/>
    <row r="539" ht="15.75" customHeight="1" s="58"/>
    <row r="540" ht="15.75" customHeight="1" s="58"/>
    <row r="541" ht="15.75" customHeight="1" s="58"/>
    <row r="542" ht="15.75" customHeight="1" s="58"/>
    <row r="543" ht="15.75" customHeight="1" s="58"/>
    <row r="544" ht="15.75" customHeight="1" s="58"/>
    <row r="545" ht="15.75" customHeight="1" s="58"/>
    <row r="546" ht="15.75" customHeight="1" s="58"/>
    <row r="547" ht="15.75" customHeight="1" s="58"/>
    <row r="548" ht="15.75" customHeight="1" s="58"/>
    <row r="549" ht="15.75" customHeight="1" s="58"/>
    <row r="550" ht="15.75" customHeight="1" s="58"/>
    <row r="551" ht="15.75" customHeight="1" s="58"/>
    <row r="552" ht="15.75" customHeight="1" s="58"/>
    <row r="553" ht="15.75" customHeight="1" s="58"/>
    <row r="554" ht="15.75" customHeight="1" s="58"/>
    <row r="555" ht="15.75" customHeight="1" s="58"/>
    <row r="556" ht="15.75" customHeight="1" s="58"/>
    <row r="557" ht="15.75" customHeight="1" s="58"/>
    <row r="558" ht="15.75" customHeight="1" s="58"/>
    <row r="559" ht="15.75" customHeight="1" s="58"/>
    <row r="560" ht="15.75" customHeight="1" s="58"/>
    <row r="561" ht="15.75" customHeight="1" s="58"/>
    <row r="562" ht="15.75" customHeight="1" s="58"/>
    <row r="563" ht="15.75" customHeight="1" s="58"/>
    <row r="564" ht="15.75" customHeight="1" s="58"/>
    <row r="565" ht="15.75" customHeight="1" s="58"/>
    <row r="566" ht="15.75" customHeight="1" s="58"/>
    <row r="567" ht="15.75" customHeight="1" s="58"/>
    <row r="568" ht="15.75" customHeight="1" s="58"/>
    <row r="569" ht="15.75" customHeight="1" s="58"/>
    <row r="570" ht="15.75" customHeight="1" s="58"/>
    <row r="571" ht="15.75" customHeight="1" s="58"/>
    <row r="572" ht="15.75" customHeight="1" s="58"/>
    <row r="573" ht="15.75" customHeight="1" s="58"/>
    <row r="574" ht="15.75" customHeight="1" s="58"/>
    <row r="575" ht="15.75" customHeight="1" s="58"/>
    <row r="576" ht="15.75" customHeight="1" s="58"/>
    <row r="577" ht="15.75" customHeight="1" s="58"/>
    <row r="578" ht="15.75" customHeight="1" s="58"/>
    <row r="579" ht="15.75" customHeight="1" s="58"/>
    <row r="580" ht="15.75" customHeight="1" s="58"/>
    <row r="581" ht="15.75" customHeight="1" s="58"/>
    <row r="582" ht="15.75" customHeight="1" s="58"/>
    <row r="583" ht="15.75" customHeight="1" s="58"/>
    <row r="584" ht="15.75" customHeight="1" s="58"/>
    <row r="585" ht="15.75" customHeight="1" s="58"/>
    <row r="586" ht="15.75" customHeight="1" s="58"/>
    <row r="587" ht="15.75" customHeight="1" s="58"/>
    <row r="588" ht="15.75" customHeight="1" s="58"/>
    <row r="589" ht="15.75" customHeight="1" s="58"/>
    <row r="590" ht="15.75" customHeight="1" s="58"/>
    <row r="591" ht="15.75" customHeight="1" s="58"/>
    <row r="592" ht="15.75" customHeight="1" s="58"/>
    <row r="593" ht="15.75" customHeight="1" s="58"/>
    <row r="594" ht="15.75" customHeight="1" s="58"/>
    <row r="595" ht="15.75" customHeight="1" s="58"/>
    <row r="596" ht="15.75" customHeight="1" s="58"/>
    <row r="597" ht="15.75" customHeight="1" s="58"/>
    <row r="598" ht="15.75" customHeight="1" s="58"/>
    <row r="599" ht="15.75" customHeight="1" s="58"/>
    <row r="600" ht="15.75" customHeight="1" s="58"/>
    <row r="601" ht="15.75" customHeight="1" s="58"/>
    <row r="602" ht="15.75" customHeight="1" s="58"/>
    <row r="603" ht="15.75" customHeight="1" s="58"/>
    <row r="604" ht="15.75" customHeight="1" s="58"/>
    <row r="605" ht="15.75" customHeight="1" s="58"/>
    <row r="606" ht="15.75" customHeight="1" s="58"/>
    <row r="607" ht="15.75" customHeight="1" s="58"/>
    <row r="608" ht="15.75" customHeight="1" s="58"/>
    <row r="609" ht="15.75" customHeight="1" s="58"/>
    <row r="610" ht="15.75" customHeight="1" s="58"/>
    <row r="611" ht="15.75" customHeight="1" s="58"/>
    <row r="612" ht="15.75" customHeight="1" s="58"/>
    <row r="613" ht="15.75" customHeight="1" s="58"/>
    <row r="614" ht="15.75" customHeight="1" s="58"/>
    <row r="615" ht="15.75" customHeight="1" s="58"/>
    <row r="616" ht="15.75" customHeight="1" s="58"/>
    <row r="617" ht="15.75" customHeight="1" s="58"/>
    <row r="618" ht="15.75" customHeight="1" s="58"/>
    <row r="619" ht="15.75" customHeight="1" s="58"/>
    <row r="620" ht="15.75" customHeight="1" s="58"/>
    <row r="621" ht="15.75" customHeight="1" s="58"/>
    <row r="622" ht="15.75" customHeight="1" s="58"/>
    <row r="623" ht="15.75" customHeight="1" s="58"/>
    <row r="624" ht="15.75" customHeight="1" s="58"/>
    <row r="625" ht="15.75" customHeight="1" s="58"/>
    <row r="626" ht="15.75" customHeight="1" s="58"/>
    <row r="627" ht="15.75" customHeight="1" s="58"/>
    <row r="628" ht="15.75" customHeight="1" s="58"/>
    <row r="629" ht="15.75" customHeight="1" s="58"/>
    <row r="630" ht="15.75" customHeight="1" s="58"/>
    <row r="631" ht="15.75" customHeight="1" s="58"/>
    <row r="632" ht="15.75" customHeight="1" s="58"/>
    <row r="633" ht="15.75" customHeight="1" s="58"/>
    <row r="634" ht="15.75" customHeight="1" s="58"/>
    <row r="635" ht="15.75" customHeight="1" s="58"/>
    <row r="636" ht="15.75" customHeight="1" s="58"/>
    <row r="637" ht="15.75" customHeight="1" s="58"/>
    <row r="638" ht="15.75" customHeight="1" s="58"/>
    <row r="639" ht="15.75" customHeight="1" s="58"/>
    <row r="640" ht="15.75" customHeight="1" s="58"/>
    <row r="641" ht="15.75" customHeight="1" s="58"/>
    <row r="642" ht="15.75" customHeight="1" s="58"/>
    <row r="643" ht="15.75" customHeight="1" s="58"/>
    <row r="644" ht="15.75" customHeight="1" s="58"/>
    <row r="645" ht="15.75" customHeight="1" s="58"/>
    <row r="646" ht="15.75" customHeight="1" s="58"/>
    <row r="647" ht="15.75" customHeight="1" s="58"/>
    <row r="648" ht="15.75" customHeight="1" s="58"/>
    <row r="649" ht="15.75" customHeight="1" s="58"/>
    <row r="650" ht="15.75" customHeight="1" s="58"/>
    <row r="651" ht="15.75" customHeight="1" s="58"/>
    <row r="652" ht="15.75" customHeight="1" s="58"/>
    <row r="653" ht="15.75" customHeight="1" s="58"/>
    <row r="654" ht="15.75" customHeight="1" s="58"/>
    <row r="655" ht="15.75" customHeight="1" s="58"/>
    <row r="656" ht="15.75" customHeight="1" s="58"/>
    <row r="657" ht="15.75" customHeight="1" s="58"/>
    <row r="658" ht="15.75" customHeight="1" s="58"/>
    <row r="659" ht="15.75" customHeight="1" s="58"/>
    <row r="660" ht="15.75" customHeight="1" s="58"/>
    <row r="661" ht="15.75" customHeight="1" s="58"/>
    <row r="662" ht="15.75" customHeight="1" s="58"/>
    <row r="663" ht="15.75" customHeight="1" s="58"/>
    <row r="664" ht="15.75" customHeight="1" s="58"/>
    <row r="665" ht="15.75" customHeight="1" s="58"/>
    <row r="666" ht="15.75" customHeight="1" s="58"/>
    <row r="667" ht="15.75" customHeight="1" s="58"/>
    <row r="668" ht="15.75" customHeight="1" s="58"/>
    <row r="669" ht="15.75" customHeight="1" s="58"/>
    <row r="670" ht="15.75" customHeight="1" s="58"/>
    <row r="671" ht="15.75" customHeight="1" s="58"/>
    <row r="672" ht="15.75" customHeight="1" s="58"/>
    <row r="673" ht="15.75" customHeight="1" s="58"/>
    <row r="674" ht="15.75" customHeight="1" s="58"/>
    <row r="675" ht="15.75" customHeight="1" s="58"/>
    <row r="676" ht="15.75" customHeight="1" s="58"/>
    <row r="677" ht="15.75" customHeight="1" s="58"/>
    <row r="678" ht="15.75" customHeight="1" s="58"/>
    <row r="679" ht="15.75" customHeight="1" s="58"/>
    <row r="680" ht="15.75" customHeight="1" s="58"/>
    <row r="681" ht="15.75" customHeight="1" s="58"/>
    <row r="682" ht="15.75" customHeight="1" s="58"/>
    <row r="683" ht="15.75" customHeight="1" s="58"/>
    <row r="684" ht="15.75" customHeight="1" s="58"/>
    <row r="685" ht="15.75" customHeight="1" s="58"/>
    <row r="686" ht="15.75" customHeight="1" s="58"/>
    <row r="687" ht="15.75" customHeight="1" s="58"/>
    <row r="688" ht="15.75" customHeight="1" s="58"/>
    <row r="689" ht="15.75" customHeight="1" s="58"/>
    <row r="690" ht="15.75" customHeight="1" s="58"/>
    <row r="691" ht="15.75" customHeight="1" s="58"/>
    <row r="692" ht="15.75" customHeight="1" s="58"/>
    <row r="693" ht="15.75" customHeight="1" s="58"/>
    <row r="694" ht="15.75" customHeight="1" s="58"/>
    <row r="695" ht="15.75" customHeight="1" s="58"/>
    <row r="696" ht="15.75" customHeight="1" s="58"/>
    <row r="697" ht="15.75" customHeight="1" s="58"/>
    <row r="698" ht="15.75" customHeight="1" s="58"/>
    <row r="699" ht="15.75" customHeight="1" s="58"/>
    <row r="700" ht="15.75" customHeight="1" s="58"/>
    <row r="701" ht="15.75" customHeight="1" s="58"/>
    <row r="702" ht="15.75" customHeight="1" s="58"/>
    <row r="703" ht="15.75" customHeight="1" s="58"/>
    <row r="704" ht="15.75" customHeight="1" s="58"/>
    <row r="705" ht="15.75" customHeight="1" s="58"/>
    <row r="706" ht="15.75" customHeight="1" s="58"/>
    <row r="707" ht="15.75" customHeight="1" s="58"/>
    <row r="708" ht="15.75" customHeight="1" s="58"/>
    <row r="709" ht="15.75" customHeight="1" s="58"/>
    <row r="710" ht="15.75" customHeight="1" s="58"/>
    <row r="711" ht="15.75" customHeight="1" s="58"/>
    <row r="712" ht="15.75" customHeight="1" s="58"/>
    <row r="713" ht="15.75" customHeight="1" s="58"/>
    <row r="714" ht="15.75" customHeight="1" s="58"/>
    <row r="715" ht="15.75" customHeight="1" s="58"/>
    <row r="716" ht="15.75" customHeight="1" s="58"/>
    <row r="717" ht="15.75" customHeight="1" s="58"/>
    <row r="718" ht="15.75" customHeight="1" s="58"/>
    <row r="719" ht="15.75" customHeight="1" s="58"/>
    <row r="720" ht="15.75" customHeight="1" s="58"/>
    <row r="721" ht="15.75" customHeight="1" s="58"/>
    <row r="722" ht="15.75" customHeight="1" s="58"/>
    <row r="723" ht="15.75" customHeight="1" s="58"/>
    <row r="724" ht="15.75" customHeight="1" s="58"/>
    <row r="725" ht="15.75" customHeight="1" s="58"/>
    <row r="726" ht="15.75" customHeight="1" s="58"/>
    <row r="727" ht="15.75" customHeight="1" s="58"/>
    <row r="728" ht="15.75" customHeight="1" s="58"/>
    <row r="729" ht="15.75" customHeight="1" s="58"/>
    <row r="730" ht="15.75" customHeight="1" s="58"/>
    <row r="731" ht="15.75" customHeight="1" s="58"/>
    <row r="732" ht="15.75" customHeight="1" s="58"/>
    <row r="733" ht="15.75" customHeight="1" s="58"/>
    <row r="734" ht="15.75" customHeight="1" s="58"/>
    <row r="735" ht="15.75" customHeight="1" s="58"/>
    <row r="736" ht="15.75" customHeight="1" s="58"/>
    <row r="737" ht="15.75" customHeight="1" s="58"/>
    <row r="738" ht="15.75" customHeight="1" s="58"/>
    <row r="739" ht="15.75" customHeight="1" s="58"/>
    <row r="740" ht="15.75" customHeight="1" s="58"/>
    <row r="741" ht="15.75" customHeight="1" s="58"/>
    <row r="742" ht="15.75" customHeight="1" s="58"/>
    <row r="743" ht="15.75" customHeight="1" s="58"/>
    <row r="744" ht="15.75" customHeight="1" s="58"/>
    <row r="745" ht="15.75" customHeight="1" s="58"/>
    <row r="746" ht="15.75" customHeight="1" s="58"/>
    <row r="747" ht="15.75" customHeight="1" s="58"/>
    <row r="748" ht="15.75" customHeight="1" s="58"/>
    <row r="749" ht="15.75" customHeight="1" s="58"/>
    <row r="750" ht="15.75" customHeight="1" s="58"/>
    <row r="751" ht="15.75" customHeight="1" s="58"/>
    <row r="752" ht="15.75" customHeight="1" s="58"/>
    <row r="753" ht="15.75" customHeight="1" s="58"/>
    <row r="754" ht="15.75" customHeight="1" s="58"/>
    <row r="755" ht="15.75" customHeight="1" s="58"/>
    <row r="756" ht="15.75" customHeight="1" s="58"/>
    <row r="757" ht="15.75" customHeight="1" s="58"/>
    <row r="758" ht="15.75" customHeight="1" s="58"/>
    <row r="759" ht="15.75" customHeight="1" s="58"/>
    <row r="760" ht="15.75" customHeight="1" s="58"/>
    <row r="761" ht="15.75" customHeight="1" s="58"/>
    <row r="762" ht="15.75" customHeight="1" s="58"/>
    <row r="763" ht="15.75" customHeight="1" s="58"/>
    <row r="764" ht="15.75" customHeight="1" s="58"/>
    <row r="765" ht="15.75" customHeight="1" s="58"/>
    <row r="766" ht="15.75" customHeight="1" s="58"/>
    <row r="767" ht="15.75" customHeight="1" s="58"/>
    <row r="768" ht="15.75" customHeight="1" s="58"/>
    <row r="769" ht="15.75" customHeight="1" s="58"/>
    <row r="770" ht="15.75" customHeight="1" s="58"/>
    <row r="771" ht="15.75" customHeight="1" s="58"/>
    <row r="772" ht="15.75" customHeight="1" s="58"/>
    <row r="773" ht="15.75" customHeight="1" s="58"/>
    <row r="774" ht="15.75" customHeight="1" s="58"/>
    <row r="775" ht="15.75" customHeight="1" s="58"/>
    <row r="776" ht="15.75" customHeight="1" s="58"/>
    <row r="777" ht="15.75" customHeight="1" s="58"/>
    <row r="778" ht="15.75" customHeight="1" s="58"/>
    <row r="779" ht="15.75" customHeight="1" s="58"/>
    <row r="780" ht="15.75" customHeight="1" s="58"/>
    <row r="781" ht="15.75" customHeight="1" s="58"/>
    <row r="782" ht="15.75" customHeight="1" s="58"/>
    <row r="783" ht="15.75" customHeight="1" s="58"/>
    <row r="784" ht="15.75" customHeight="1" s="58"/>
    <row r="785" ht="15.75" customHeight="1" s="58"/>
    <row r="786" ht="15.75" customHeight="1" s="58"/>
    <row r="787" ht="15.75" customHeight="1" s="58"/>
    <row r="788" ht="15.75" customHeight="1" s="58"/>
    <row r="789" ht="15.75" customHeight="1" s="58"/>
    <row r="790" ht="15.75" customHeight="1" s="58"/>
    <row r="791" ht="15.75" customHeight="1" s="58"/>
    <row r="792" ht="15.75" customHeight="1" s="58"/>
    <row r="793" ht="15.75" customHeight="1" s="58"/>
    <row r="794" ht="15.75" customHeight="1" s="58"/>
    <row r="795" ht="15.75" customHeight="1" s="58"/>
    <row r="796" ht="15.75" customHeight="1" s="58"/>
    <row r="797" ht="15.75" customHeight="1" s="58"/>
    <row r="798" ht="15.75" customHeight="1" s="58"/>
    <row r="799" ht="15.75" customHeight="1" s="58"/>
    <row r="800" ht="15.75" customHeight="1" s="58"/>
    <row r="801" ht="15.75" customHeight="1" s="58"/>
    <row r="802" ht="15.75" customHeight="1" s="58"/>
    <row r="803" ht="15.75" customHeight="1" s="58"/>
    <row r="804" ht="15.75" customHeight="1" s="58"/>
    <row r="805" ht="15.75" customHeight="1" s="58"/>
    <row r="806" ht="15.75" customHeight="1" s="58"/>
    <row r="807" ht="15.75" customHeight="1" s="58"/>
    <row r="808" ht="15.75" customHeight="1" s="58"/>
    <row r="809" ht="15.75" customHeight="1" s="58"/>
    <row r="810" ht="15.75" customHeight="1" s="58"/>
    <row r="811" ht="15.75" customHeight="1" s="58"/>
    <row r="812" ht="15.75" customHeight="1" s="58"/>
    <row r="813" ht="15.75" customHeight="1" s="58"/>
    <row r="814" ht="15.75" customHeight="1" s="58"/>
    <row r="815" ht="15.75" customHeight="1" s="58"/>
    <row r="816" ht="15.75" customHeight="1" s="58"/>
    <row r="817" ht="15.75" customHeight="1" s="58"/>
    <row r="818" ht="15.75" customHeight="1" s="58"/>
    <row r="819" ht="15.75" customHeight="1" s="58"/>
    <row r="820" ht="15.75" customHeight="1" s="58"/>
    <row r="821" ht="15.75" customHeight="1" s="58"/>
    <row r="822" ht="15.75" customHeight="1" s="58"/>
    <row r="823" ht="15.75" customHeight="1" s="58"/>
    <row r="824" ht="15.75" customHeight="1" s="58"/>
    <row r="825" ht="15.75" customHeight="1" s="58"/>
    <row r="826" ht="15.75" customHeight="1" s="58"/>
    <row r="827" ht="15.75" customHeight="1" s="58"/>
    <row r="828" ht="15.75" customHeight="1" s="58"/>
    <row r="829" ht="15.75" customHeight="1" s="58"/>
    <row r="830" ht="15.75" customHeight="1" s="58"/>
    <row r="831" ht="15.75" customHeight="1" s="58"/>
    <row r="832" ht="15.75" customHeight="1" s="58"/>
    <row r="833" ht="15.75" customHeight="1" s="58"/>
    <row r="834" ht="15.75" customHeight="1" s="58"/>
    <row r="835" ht="15.75" customHeight="1" s="58"/>
    <row r="836" ht="15.75" customHeight="1" s="58"/>
    <row r="837" ht="15.75" customHeight="1" s="58"/>
    <row r="838" ht="15.75" customHeight="1" s="58"/>
    <row r="839" ht="15.75" customHeight="1" s="58"/>
    <row r="840" ht="15.75" customHeight="1" s="58"/>
    <row r="841" ht="15.75" customHeight="1" s="58"/>
    <row r="842" ht="15.75" customHeight="1" s="58"/>
    <row r="843" ht="15.75" customHeight="1" s="58"/>
    <row r="844" ht="15.75" customHeight="1" s="58"/>
    <row r="845" ht="15.75" customHeight="1" s="58"/>
    <row r="846" ht="15.75" customHeight="1" s="58"/>
    <row r="847" ht="15.75" customHeight="1" s="58"/>
    <row r="848" ht="15.75" customHeight="1" s="58"/>
    <row r="849" ht="15.75" customHeight="1" s="58"/>
    <row r="850" ht="15.75" customHeight="1" s="58"/>
    <row r="851" ht="15.75" customHeight="1" s="58"/>
    <row r="852" ht="15.75" customHeight="1" s="58"/>
    <row r="853" ht="15.75" customHeight="1" s="58"/>
    <row r="854" ht="15.75" customHeight="1" s="58"/>
    <row r="855" ht="15.75" customHeight="1" s="58"/>
    <row r="856" ht="15.75" customHeight="1" s="58"/>
    <row r="857" ht="15.75" customHeight="1" s="58"/>
    <row r="858" ht="15.75" customHeight="1" s="58"/>
    <row r="859" ht="15.75" customHeight="1" s="58"/>
    <row r="860" ht="15.75" customHeight="1" s="58"/>
    <row r="861" ht="15.75" customHeight="1" s="58"/>
    <row r="862" ht="15.75" customHeight="1" s="58"/>
    <row r="863" ht="15.75" customHeight="1" s="58"/>
    <row r="864" ht="15.75" customHeight="1" s="58"/>
    <row r="865" ht="15.75" customHeight="1" s="58"/>
    <row r="866" ht="15.75" customHeight="1" s="58"/>
    <row r="867" ht="15.75" customHeight="1" s="58"/>
    <row r="868" ht="15.75" customHeight="1" s="58"/>
    <row r="869" ht="15.75" customHeight="1" s="58"/>
    <row r="870" ht="15.75" customHeight="1" s="58"/>
    <row r="871" ht="15.75" customHeight="1" s="58"/>
    <row r="872" ht="15.75" customHeight="1" s="58"/>
    <row r="873" ht="15.75" customHeight="1" s="58"/>
    <row r="874" ht="15.75" customHeight="1" s="58"/>
    <row r="875" ht="15.75" customHeight="1" s="58"/>
    <row r="876" ht="15.75" customHeight="1" s="58"/>
    <row r="877" ht="15.75" customHeight="1" s="58"/>
    <row r="878" ht="15.75" customHeight="1" s="58"/>
    <row r="879" ht="15.75" customHeight="1" s="58"/>
    <row r="880" ht="15.75" customHeight="1" s="58"/>
    <row r="881" ht="15.75" customHeight="1" s="58"/>
    <row r="882" ht="15.75" customHeight="1" s="58"/>
    <row r="883" ht="15.75" customHeight="1" s="58"/>
    <row r="884" ht="15.75" customHeight="1" s="58"/>
    <row r="885" ht="15.75" customHeight="1" s="58"/>
    <row r="886" ht="15.75" customHeight="1" s="58"/>
    <row r="887" ht="15.75" customHeight="1" s="58"/>
    <row r="888" ht="15.75" customHeight="1" s="58"/>
    <row r="889" ht="15.75" customHeight="1" s="58"/>
    <row r="890" ht="15.75" customHeight="1" s="58"/>
    <row r="891" ht="15.75" customHeight="1" s="58"/>
    <row r="892" ht="15.75" customHeight="1" s="58"/>
    <row r="893" ht="15.75" customHeight="1" s="58"/>
    <row r="894" ht="15.75" customHeight="1" s="58"/>
    <row r="895" ht="15.75" customHeight="1" s="58"/>
    <row r="896" ht="15.75" customHeight="1" s="58"/>
    <row r="897" ht="15.75" customHeight="1" s="58"/>
    <row r="898" ht="15.75" customHeight="1" s="58"/>
    <row r="899" ht="15.75" customHeight="1" s="58"/>
    <row r="900" ht="15.75" customHeight="1" s="58"/>
    <row r="901" ht="15.75" customHeight="1" s="58"/>
    <row r="902" ht="15.75" customHeight="1" s="58"/>
    <row r="903" ht="15.75" customHeight="1" s="58"/>
    <row r="904" ht="15.75" customHeight="1" s="58"/>
    <row r="905" ht="15.75" customHeight="1" s="58"/>
    <row r="906" ht="15.75" customHeight="1" s="58"/>
    <row r="907" ht="15.75" customHeight="1" s="58"/>
    <row r="908" ht="15.75" customHeight="1" s="58"/>
    <row r="909" ht="15.75" customHeight="1" s="58"/>
    <row r="910" ht="15.75" customHeight="1" s="58"/>
    <row r="911" ht="15.75" customHeight="1" s="58"/>
    <row r="912" ht="15.75" customHeight="1" s="58"/>
    <row r="913" ht="15.75" customHeight="1" s="58"/>
    <row r="914" ht="15.75" customHeight="1" s="58"/>
    <row r="915" ht="15.75" customHeight="1" s="58"/>
    <row r="916" ht="15.75" customHeight="1" s="58"/>
    <row r="917" ht="15.75" customHeight="1" s="58"/>
    <row r="918" ht="15.75" customHeight="1" s="58"/>
    <row r="919" ht="15.75" customHeight="1" s="58"/>
    <row r="920" ht="15.75" customHeight="1" s="58"/>
    <row r="921" ht="15.75" customHeight="1" s="58"/>
    <row r="922" ht="15.75" customHeight="1" s="58"/>
    <row r="923" ht="15.75" customHeight="1" s="58"/>
    <row r="924" ht="15.75" customHeight="1" s="58"/>
    <row r="925" ht="15.75" customHeight="1" s="58"/>
    <row r="926" ht="15.75" customHeight="1" s="58"/>
    <row r="927" ht="15.75" customHeight="1" s="58"/>
    <row r="928" ht="15.75" customHeight="1" s="58"/>
    <row r="929" ht="15.75" customHeight="1" s="58"/>
    <row r="930" ht="15.75" customHeight="1" s="58"/>
    <row r="931" ht="15.75" customHeight="1" s="58"/>
    <row r="932" ht="15.75" customHeight="1" s="58"/>
    <row r="933" ht="15.75" customHeight="1" s="58"/>
    <row r="934" ht="15.75" customHeight="1" s="58"/>
    <row r="935" ht="15.75" customHeight="1" s="58"/>
    <row r="936" ht="15.75" customHeight="1" s="58"/>
    <row r="937" ht="15.75" customHeight="1" s="58"/>
    <row r="938" ht="15.75" customHeight="1" s="58"/>
    <row r="939" ht="15.75" customHeight="1" s="58"/>
    <row r="940" ht="15.75" customHeight="1" s="58"/>
    <row r="941" ht="15.75" customHeight="1" s="58"/>
    <row r="942" ht="15.75" customHeight="1" s="58"/>
    <row r="943" ht="15.75" customHeight="1" s="58"/>
    <row r="944" ht="15.75" customHeight="1" s="58"/>
    <row r="945" ht="15.75" customHeight="1" s="58"/>
    <row r="946" ht="15.75" customHeight="1" s="58"/>
    <row r="947" ht="15.75" customHeight="1" s="58"/>
    <row r="948" ht="15.75" customHeight="1" s="58"/>
    <row r="949" ht="15.75" customHeight="1" s="58"/>
    <row r="950" ht="15.75" customHeight="1" s="58"/>
    <row r="951" ht="15.75" customHeight="1" s="58"/>
    <row r="952" ht="15.75" customHeight="1" s="58"/>
    <row r="953" ht="15.75" customHeight="1" s="58"/>
    <row r="954" ht="15.75" customHeight="1" s="58"/>
    <row r="955" ht="15.75" customHeight="1" s="58"/>
    <row r="956" ht="15.75" customHeight="1" s="58"/>
    <row r="957" ht="15.75" customHeight="1" s="58"/>
    <row r="958" ht="15.75" customHeight="1" s="58"/>
    <row r="959" ht="15.75" customHeight="1" s="58"/>
    <row r="960" ht="15.75" customHeight="1" s="58"/>
    <row r="961" ht="15.75" customHeight="1" s="58"/>
    <row r="962" ht="15.75" customHeight="1" s="58"/>
    <row r="963" ht="15.75" customHeight="1" s="58"/>
    <row r="964" ht="15.75" customHeight="1" s="58"/>
    <row r="965" ht="15.75" customHeight="1" s="58"/>
    <row r="966" ht="15.75" customHeight="1" s="58"/>
    <row r="967" ht="15.75" customHeight="1" s="58"/>
    <row r="968" ht="15.75" customHeight="1" s="58"/>
    <row r="969" ht="15.75" customHeight="1" s="58"/>
    <row r="970" ht="15.75" customHeight="1" s="58"/>
    <row r="971" ht="15.75" customHeight="1" s="58"/>
    <row r="972" ht="15.75" customHeight="1" s="58"/>
    <row r="973" ht="15.75" customHeight="1" s="58"/>
    <row r="974" ht="15.75" customHeight="1" s="58"/>
    <row r="975" ht="15.75" customHeight="1" s="58"/>
    <row r="976" ht="15.75" customHeight="1" s="58"/>
    <row r="977" ht="15.75" customHeight="1" s="58"/>
    <row r="978" ht="15.75" customHeight="1" s="58"/>
    <row r="979" ht="15.75" customHeight="1" s="58"/>
    <row r="980" ht="15.75" customHeight="1" s="58"/>
    <row r="981" ht="15.75" customHeight="1" s="58"/>
    <row r="982" ht="15.75" customHeight="1" s="58"/>
    <row r="983" ht="15.75" customHeight="1" s="58"/>
    <row r="984" ht="15.75" customHeight="1" s="58"/>
    <row r="985" ht="15.75" customHeight="1" s="58"/>
    <row r="986" ht="15.75" customHeight="1" s="58"/>
    <row r="987" ht="15.75" customHeight="1" s="58"/>
    <row r="988" ht="15.75" customHeight="1" s="58"/>
    <row r="989" ht="15.75" customHeight="1" s="58"/>
    <row r="990" ht="15.75" customHeight="1" s="58"/>
    <row r="991" ht="15.75" customHeight="1" s="58"/>
    <row r="992" ht="15.75" customHeight="1" s="58"/>
    <row r="993" ht="15.75" customHeight="1" s="58"/>
    <row r="994" ht="15.75" customHeight="1" s="58"/>
    <row r="995" ht="15.75" customHeight="1" s="58"/>
    <row r="996" ht="15.75" customHeight="1" s="58"/>
    <row r="997" ht="15.75" customHeight="1" s="58"/>
    <row r="998" ht="15.75" customHeight="1" s="58"/>
    <row r="999" ht="15.75" customHeight="1" s="58"/>
    <row r="1000" ht="15.75" customHeight="1" s="58"/>
  </sheetData>
  <dataValidations count="2">
    <dataValidation sqref="B23" showDropDown="0" showInputMessage="0" showErrorMessage="0" allowBlank="1" type="list">
      <formula1>'הזנה רכישה'!$C$6:$C$1505</formula1>
    </dataValidation>
    <dataValidation sqref="B4" showDropDown="0" showInputMessage="0" showErrorMessage="0" allowBlank="1" type="list">
      <formula1>'הזנה ב-ו'!$C$6:$C$1505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8"/>
  <sheetViews>
    <sheetView showGridLines="0" rightToLeft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baseColWidth="8" defaultColWidth="14.43" defaultRowHeight="15" customHeight="1"/>
  <cols>
    <col width="11" customWidth="1" style="58" min="1" max="1"/>
    <col width="10" customWidth="1" style="58" min="2" max="2"/>
    <col width="9" customWidth="1" style="58" min="3" max="7"/>
    <col width="11" customWidth="1" style="58" min="8" max="8"/>
    <col width="9" customWidth="1" style="58" min="9" max="12"/>
    <col width="11" customWidth="1" style="58" min="13" max="21"/>
    <col width="16" customWidth="1" style="58" min="22" max="26"/>
  </cols>
  <sheetData>
    <row r="1">
      <c r="A1" s="4" t="inlineStr">
        <is>
          <t>מבט בית-ספרי</t>
        </is>
      </c>
    </row>
    <row r="2">
      <c r="A2" s="7" t="inlineStr">
        <is>
          <t>מתעדכן אוטומטית משני גיליונות ההזנה.</t>
        </is>
      </c>
    </row>
    <row r="3"/>
    <row r="4">
      <c r="A4" s="10" t="inlineStr">
        <is>
          <t>שנה:</t>
        </is>
      </c>
      <c r="B4" s="46" t="inlineStr">
        <is>
          <t>תשפ"ז</t>
        </is>
      </c>
      <c r="C4" s="10" t="inlineStr">
        <is>
          <t>פעימה:</t>
        </is>
      </c>
      <c r="D4" s="46" t="inlineStr">
        <is>
          <t>תחילת שנה</t>
        </is>
      </c>
    </row>
    <row r="5"/>
    <row r="6">
      <c r="B6" s="10" t="inlineStr">
        <is>
          <t>תמונה נוכחית — לפי השנה והפעימה שנבחרו</t>
        </is>
      </c>
      <c r="M6" s="10" t="inlineStr">
        <is>
          <t>השוואת פעימות — לאורך השנה שנבחרה</t>
        </is>
      </c>
    </row>
    <row r="7" ht="43.5" customHeight="1" s="58">
      <c r="A7" s="19" t="inlineStr">
        <is>
          <t>כיתה</t>
        </is>
      </c>
      <c r="B7" s="19" t="inlineStr">
        <is>
          <t>הוזנו ב-ו</t>
        </is>
      </c>
      <c r="C7" s="19" t="inlineStr">
        <is>
          <t>רמה א'</t>
        </is>
      </c>
      <c r="D7" s="19" t="inlineStr">
        <is>
          <t>רמה ב'</t>
        </is>
      </c>
      <c r="E7" s="19" t="inlineStr">
        <is>
          <t>רמה ג'</t>
        </is>
      </c>
      <c r="F7" s="19" t="inlineStr">
        <is>
          <t>% רמה א'</t>
        </is>
      </c>
      <c r="G7" s="19" t="inlineStr">
        <is>
          <t>חסרים</t>
        </is>
      </c>
      <c r="H7" s="19" t="inlineStr">
        <is>
          <t>הוזנו ברכישה</t>
        </is>
      </c>
      <c r="I7" s="19" t="inlineStr">
        <is>
          <t>פרופיל 5</t>
        </is>
      </c>
      <c r="J7" s="19" t="inlineStr">
        <is>
          <t>פרופיל 4</t>
        </is>
      </c>
      <c r="K7" s="19" t="inlineStr">
        <is>
          <t>פרופיל 3</t>
        </is>
      </c>
      <c r="L7" s="19" t="inlineStr">
        <is>
          <t>פרופיל 2</t>
        </is>
      </c>
      <c r="M7" s="20" t="inlineStr">
        <is>
          <t>רמה א' תחילה</t>
        </is>
      </c>
      <c r="N7" s="20" t="inlineStr">
        <is>
          <t>רמה א' מחצית</t>
        </is>
      </c>
      <c r="O7" s="20" t="inlineStr">
        <is>
          <t>רמה א' סוף</t>
        </is>
      </c>
      <c r="P7" s="20" t="inlineStr">
        <is>
          <t>רמה ג' תחילה</t>
        </is>
      </c>
      <c r="Q7" s="20" t="inlineStr">
        <is>
          <t>רמה ג' מחצית</t>
        </is>
      </c>
      <c r="R7" s="20" t="inlineStr">
        <is>
          <t>רמה ג' סוף</t>
        </is>
      </c>
      <c r="S7" s="20" t="inlineStr">
        <is>
          <t>רכישה תחילה</t>
        </is>
      </c>
      <c r="T7" s="20" t="inlineStr">
        <is>
          <t>רכישה מחצית</t>
        </is>
      </c>
      <c r="U7" s="20" t="inlineStr">
        <is>
          <t>רכישה סוף</t>
        </is>
      </c>
      <c r="V7" s="20" t="inlineStr">
        <is>
          <t>עם קשיים רגשיים/התנהגותיים</t>
        </is>
      </c>
    </row>
    <row r="8">
      <c r="A8" s="48">
        <f>IF('רשימות'!$A5="","",'רשימות'!$A5)</f>
        <v/>
      </c>
      <c r="B8" s="49">
        <f>IF($A8="","",COUNTIFS('הזנה ב-ו'!$B$6:$B$1505,$A8,'הזנה ב-ו'!$A$6:$A$1505,$B$4,'הזנה ב-ו'!$F$6:$F$1505,$D$4))</f>
        <v/>
      </c>
      <c r="C8" s="49">
        <f>IF($A8="","",COUNTIFS('הזנה ב-ו'!$B$6:$B$1505,$A8,'הזנה ב-ו'!$A$6:$A$1505,$B$4,'הזנה ב-ו'!$F$6:$F$1505,$D$4,'הזנה ב-ו'!$AC$6:$AC$1505,"רמה א'"))</f>
        <v/>
      </c>
      <c r="D8" s="49">
        <f>IF($A8="","",COUNTIFS('הזנה ב-ו'!$B$6:$B$1505,$A8,'הזנה ב-ו'!$A$6:$A$1505,$B$4,'הזנה ב-ו'!$F$6:$F$1505,$D$4,'הזנה ב-ו'!$AC$6:$AC$1505,"רמה ב'"))</f>
        <v/>
      </c>
      <c r="E8" s="49">
        <f>IF($A8="","",COUNTIFS('הזנה ב-ו'!$B$6:$B$1505,$A8,'הזנה ב-ו'!$A$6:$A$1505,$B$4,'הזנה ב-ו'!$F$6:$F$1505,$D$4,'הזנה ב-ו'!$AC$6:$AC$1505,"רמה ג'"))</f>
        <v/>
      </c>
      <c r="F8" s="50">
        <f>IF(OR($A8="",SUM($C8:$E8)=0),"",$C8/SUM($C8:$E8))</f>
        <v/>
      </c>
      <c r="G8" s="49">
        <f>IF($A8="","",$B8-SUM($C8:$E8))</f>
        <v/>
      </c>
      <c r="H8" s="49">
        <f>IF($A8="","",COUNTIFS('הזנה רכישה'!$B$6:$B$1505,$A8,'הזנה רכישה'!$A$6:$A$1505,$B$4,'הזנה רכישה'!$F$6:$F$1505,$D$4))</f>
        <v/>
      </c>
      <c r="I8" s="49">
        <f>IF($A8="","",COUNTIFS('הזנה רכישה'!$B$6:$B$1505,$A8,'הזנה רכישה'!$A$6:$A$1505,$B$4,'הזנה רכישה'!$F$6:$F$1505,$D$4,'הזנה רכישה'!$Q$6:$Q$1505,"פרופיל 5"))</f>
        <v/>
      </c>
      <c r="J8" s="49">
        <f>IF($A8="","",COUNTIFS('הזנה רכישה'!$B$6:$B$1505,$A8,'הזנה רכישה'!$A$6:$A$1505,$B$4,'הזנה רכישה'!$F$6:$F$1505,$D$4,'הזנה רכישה'!$Q$6:$Q$1505,"פרופיל 4"))</f>
        <v/>
      </c>
      <c r="K8" s="49">
        <f>IF($A8="","",COUNTIFS('הזנה רכישה'!$B$6:$B$1505,$A8,'הזנה רכישה'!$A$6:$A$1505,$B$4,'הזנה רכישה'!$F$6:$F$1505,$D$4,'הזנה רכישה'!$Q$6:$Q$1505,"פרופיל 3"))</f>
        <v/>
      </c>
      <c r="L8" s="49">
        <f>IF($A8="","",COUNTIFS('הזנה רכישה'!$B$6:$B$1505,$A8,'הזנה רכישה'!$A$6:$A$1505,$B$4,'הזנה רכישה'!$F$6:$F$1505,$D$4,'הזנה רכישה'!$Q$6:$Q$1505,"פרופיל 2"))</f>
        <v/>
      </c>
      <c r="M8" s="49">
        <f>IF($A8="","",COUNTIFS('הזנה ב-ו'!$B$6:$B$1505,$A8,'הזנה ב-ו'!$A$6:$A$1505,$B$4,'הזנה ב-ו'!$F$6:$F$1505,"תחילת שנה",'הזנה ב-ו'!$AC$6:$AC$1505,"רמה א'"))</f>
        <v/>
      </c>
      <c r="N8" s="49">
        <f>IF($A8="","",COUNTIFS('הזנה ב-ו'!$B$6:$B$1505,$A8,'הזנה ב-ו'!$A$6:$A$1505,$B$4,'הזנה ב-ו'!$F$6:$F$1505,"מחצית שנה",'הזנה ב-ו'!$AC$6:$AC$1505,"רמה א'"))</f>
        <v/>
      </c>
      <c r="O8" s="49">
        <f>IF($A8="","",COUNTIFS('הזנה ב-ו'!$B$6:$B$1505,$A8,'הזנה ב-ו'!$A$6:$A$1505,$B$4,'הזנה ב-ו'!$F$6:$F$1505,"סוף השנה",'הזנה ב-ו'!$AC$6:$AC$1505,"רמה א'"))</f>
        <v/>
      </c>
      <c r="P8" s="49">
        <f>IF($A8="","",COUNTIFS('הזנה ב-ו'!$B$6:$B$1505,$A8,'הזנה ב-ו'!$A$6:$A$1505,$B$4,'הזנה ב-ו'!$F$6:$F$1505,"תחילת שנה",'הזנה ב-ו'!$AC$6:$AC$1505,"רמה ג'"))</f>
        <v/>
      </c>
      <c r="Q8" s="49">
        <f>IF($A8="","",COUNTIFS('הזנה ב-ו'!$B$6:$B$1505,$A8,'הזנה ב-ו'!$A$6:$A$1505,$B$4,'הזנה ב-ו'!$F$6:$F$1505,"מחצית שנה",'הזנה ב-ו'!$AC$6:$AC$1505,"רמה ג'"))</f>
        <v/>
      </c>
      <c r="R8" s="49">
        <f>IF($A8="","",COUNTIFS('הזנה ב-ו'!$B$6:$B$1505,$A8,'הזנה ב-ו'!$A$6:$A$1505,$B$4,'הזנה ב-ו'!$F$6:$F$1505,"סוף השנה",'הזנה ב-ו'!$AC$6:$AC$1505,"רמה ג'"))</f>
        <v/>
      </c>
      <c r="S8" s="49">
        <f>IF($A8="","",COUNTIFS('הזנה רכישה'!$B$6:$B$1505,$A8,'הזנה רכישה'!$A$6:$A$1505,$B$4,'הזנה רכישה'!$F$6:$F$1505,"תחילת שנה"))</f>
        <v/>
      </c>
      <c r="T8" s="49">
        <f>IF($A8="","",COUNTIFS('הזנה רכישה'!$B$6:$B$1505,$A8,'הזנה רכישה'!$A$6:$A$1505,$B$4,'הזנה רכישה'!$F$6:$F$1505,"מחצית שנה"))</f>
        <v/>
      </c>
      <c r="U8" s="49">
        <f>IF($A8="","",COUNTIFS('הזנה רכישה'!$B$6:$B$1505,$A8,'הזנה רכישה'!$A$6:$A$1505,$B$4,'הזנה רכישה'!$F$6:$F$1505,"סוף השנה"))</f>
        <v/>
      </c>
      <c r="V8" s="49">
        <f>IF($A8="","",SUMPRODUCT(('הזנה ב-ו'!$B$6:$B$1505=$A8)*('הזנה ב-ו'!$A$6:$A$1505=$B$4)*('הזנה ב-ו'!$F$6:$F$1505=$D$4)*(LEN('הזנה ב-ו'!$AK$6:$AK$1505)&gt;0)))</f>
        <v/>
      </c>
    </row>
    <row r="9">
      <c r="A9" s="48">
        <f>IF('רשימות'!$A6="","",'רשימות'!$A6)</f>
        <v/>
      </c>
      <c r="B9" s="49">
        <f>IF($A9="","",COUNTIFS('הזנה ב-ו'!$B$6:$B$1505,$A9,'הזנה ב-ו'!$A$6:$A$1505,$B$4,'הזנה ב-ו'!$F$6:$F$1505,$D$4))</f>
        <v/>
      </c>
      <c r="C9" s="49">
        <f>IF($A9="","",COUNTIFS('הזנה ב-ו'!$B$6:$B$1505,$A9,'הזנה ב-ו'!$A$6:$A$1505,$B$4,'הזנה ב-ו'!$F$6:$F$1505,$D$4,'הזנה ב-ו'!$AC$6:$AC$1505,"רמה א'"))</f>
        <v/>
      </c>
      <c r="D9" s="49">
        <f>IF($A9="","",COUNTIFS('הזנה ב-ו'!$B$6:$B$1505,$A9,'הזנה ב-ו'!$A$6:$A$1505,$B$4,'הזנה ב-ו'!$F$6:$F$1505,$D$4,'הזנה ב-ו'!$AC$6:$AC$1505,"רמה ב'"))</f>
        <v/>
      </c>
      <c r="E9" s="49">
        <f>IF($A9="","",COUNTIFS('הזנה ב-ו'!$B$6:$B$1505,$A9,'הזנה ב-ו'!$A$6:$A$1505,$B$4,'הזנה ב-ו'!$F$6:$F$1505,$D$4,'הזנה ב-ו'!$AC$6:$AC$1505,"רמה ג'"))</f>
        <v/>
      </c>
      <c r="F9" s="50">
        <f>IF(OR($A9="",SUM($C9:$E9)=0),"",$C9/SUM($C9:$E9))</f>
        <v/>
      </c>
      <c r="G9" s="49">
        <f>IF($A9="","",$B9-SUM($C9:$E9))</f>
        <v/>
      </c>
      <c r="H9" s="49">
        <f>IF($A9="","",COUNTIFS('הזנה רכישה'!$B$6:$B$1505,$A9,'הזנה רכישה'!$A$6:$A$1505,$B$4,'הזנה רכישה'!$F$6:$F$1505,$D$4))</f>
        <v/>
      </c>
      <c r="I9" s="49">
        <f>IF($A9="","",COUNTIFS('הזנה רכישה'!$B$6:$B$1505,$A9,'הזנה רכישה'!$A$6:$A$1505,$B$4,'הזנה רכישה'!$F$6:$F$1505,$D$4,'הזנה רכישה'!$Q$6:$Q$1505,"פרופיל 5"))</f>
        <v/>
      </c>
      <c r="J9" s="49">
        <f>IF($A9="","",COUNTIFS('הזנה רכישה'!$B$6:$B$1505,$A9,'הזנה רכישה'!$A$6:$A$1505,$B$4,'הזנה רכישה'!$F$6:$F$1505,$D$4,'הזנה רכישה'!$Q$6:$Q$1505,"פרופיל 4"))</f>
        <v/>
      </c>
      <c r="K9" s="49">
        <f>IF($A9="","",COUNTIFS('הזנה רכישה'!$B$6:$B$1505,$A9,'הזנה רכישה'!$A$6:$A$1505,$B$4,'הזנה רכישה'!$F$6:$F$1505,$D$4,'הזנה רכישה'!$Q$6:$Q$1505,"פרופיל 3"))</f>
        <v/>
      </c>
      <c r="L9" s="49">
        <f>IF($A9="","",COUNTIFS('הזנה רכישה'!$B$6:$B$1505,$A9,'הזנה רכישה'!$A$6:$A$1505,$B$4,'הזנה רכישה'!$F$6:$F$1505,$D$4,'הזנה רכישה'!$Q$6:$Q$1505,"פרופיל 2"))</f>
        <v/>
      </c>
      <c r="M9" s="49">
        <f>IF($A9="","",COUNTIFS('הזנה ב-ו'!$B$6:$B$1505,$A9,'הזנה ב-ו'!$A$6:$A$1505,$B$4,'הזנה ב-ו'!$F$6:$F$1505,"תחילת שנה",'הזנה ב-ו'!$AC$6:$AC$1505,"רמה א'"))</f>
        <v/>
      </c>
      <c r="N9" s="49">
        <f>IF($A9="","",COUNTIFS('הזנה ב-ו'!$B$6:$B$1505,$A9,'הזנה ב-ו'!$A$6:$A$1505,$B$4,'הזנה ב-ו'!$F$6:$F$1505,"מחצית שנה",'הזנה ב-ו'!$AC$6:$AC$1505,"רמה א'"))</f>
        <v/>
      </c>
      <c r="O9" s="49">
        <f>IF($A9="","",COUNTIFS('הזנה ב-ו'!$B$6:$B$1505,$A9,'הזנה ב-ו'!$A$6:$A$1505,$B$4,'הזנה ב-ו'!$F$6:$F$1505,"סוף השנה",'הזנה ב-ו'!$AC$6:$AC$1505,"רמה א'"))</f>
        <v/>
      </c>
      <c r="P9" s="49">
        <f>IF($A9="","",COUNTIFS('הזנה ב-ו'!$B$6:$B$1505,$A9,'הזנה ב-ו'!$A$6:$A$1505,$B$4,'הזנה ב-ו'!$F$6:$F$1505,"תחילת שנה",'הזנה ב-ו'!$AC$6:$AC$1505,"רמה ג'"))</f>
        <v/>
      </c>
      <c r="Q9" s="49">
        <f>IF($A9="","",COUNTIFS('הזנה ב-ו'!$B$6:$B$1505,$A9,'הזנה ב-ו'!$A$6:$A$1505,$B$4,'הזנה ב-ו'!$F$6:$F$1505,"מחצית שנה",'הזנה ב-ו'!$AC$6:$AC$1505,"רמה ג'"))</f>
        <v/>
      </c>
      <c r="R9" s="49">
        <f>IF($A9="","",COUNTIFS('הזנה ב-ו'!$B$6:$B$1505,$A9,'הזנה ב-ו'!$A$6:$A$1505,$B$4,'הזנה ב-ו'!$F$6:$F$1505,"סוף השנה",'הזנה ב-ו'!$AC$6:$AC$1505,"רמה ג'"))</f>
        <v/>
      </c>
      <c r="S9" s="49">
        <f>IF($A9="","",COUNTIFS('הזנה רכישה'!$B$6:$B$1505,$A9,'הזנה רכישה'!$A$6:$A$1505,$B$4,'הזנה רכישה'!$F$6:$F$1505,"תחילת שנה"))</f>
        <v/>
      </c>
      <c r="T9" s="49">
        <f>IF($A9="","",COUNTIFS('הזנה רכישה'!$B$6:$B$1505,$A9,'הזנה רכישה'!$A$6:$A$1505,$B$4,'הזנה רכישה'!$F$6:$F$1505,"מחצית שנה"))</f>
        <v/>
      </c>
      <c r="U9" s="49">
        <f>IF($A9="","",COUNTIFS('הזנה רכישה'!$B$6:$B$1505,$A9,'הזנה רכישה'!$A$6:$A$1505,$B$4,'הזנה רכישה'!$F$6:$F$1505,"סוף השנה"))</f>
        <v/>
      </c>
      <c r="V9" s="49">
        <f>IF($A9="","",SUMPRODUCT(('הזנה ב-ו'!$B$6:$B$1505=$A9)*('הזנה ב-ו'!$A$6:$A$1505=$B$4)*('הזנה ב-ו'!$F$6:$F$1505=$D$4)*(LEN('הזנה ב-ו'!$AK$6:$AK$1505)&gt;0)))</f>
        <v/>
      </c>
    </row>
    <row r="10">
      <c r="A10" s="48">
        <f>IF('רשימות'!$A7="","",'רשימות'!$A7)</f>
        <v/>
      </c>
      <c r="B10" s="49">
        <f>IF($A10="","",COUNTIFS('הזנה ב-ו'!$B$6:$B$1505,$A10,'הזנה ב-ו'!$A$6:$A$1505,$B$4,'הזנה ב-ו'!$F$6:$F$1505,$D$4))</f>
        <v/>
      </c>
      <c r="C10" s="49">
        <f>IF($A10="","",COUNTIFS('הזנה ב-ו'!$B$6:$B$1505,$A10,'הזנה ב-ו'!$A$6:$A$1505,$B$4,'הזנה ב-ו'!$F$6:$F$1505,$D$4,'הזנה ב-ו'!$AC$6:$AC$1505,"רמה א'"))</f>
        <v/>
      </c>
      <c r="D10" s="49">
        <f>IF($A10="","",COUNTIFS('הזנה ב-ו'!$B$6:$B$1505,$A10,'הזנה ב-ו'!$A$6:$A$1505,$B$4,'הזנה ב-ו'!$F$6:$F$1505,$D$4,'הזנה ב-ו'!$AC$6:$AC$1505,"רמה ב'"))</f>
        <v/>
      </c>
      <c r="E10" s="49">
        <f>IF($A10="","",COUNTIFS('הזנה ב-ו'!$B$6:$B$1505,$A10,'הזנה ב-ו'!$A$6:$A$1505,$B$4,'הזנה ב-ו'!$F$6:$F$1505,$D$4,'הזנה ב-ו'!$AC$6:$AC$1505,"רמה ג'"))</f>
        <v/>
      </c>
      <c r="F10" s="50">
        <f>IF(OR($A10="",SUM($C10:$E10)=0),"",$C10/SUM($C10:$E10))</f>
        <v/>
      </c>
      <c r="G10" s="49">
        <f>IF($A10="","",$B10-SUM($C10:$E10))</f>
        <v/>
      </c>
      <c r="H10" s="49">
        <f>IF($A10="","",COUNTIFS('הזנה רכישה'!$B$6:$B$1505,$A10,'הזנה רכישה'!$A$6:$A$1505,$B$4,'הזנה רכישה'!$F$6:$F$1505,$D$4))</f>
        <v/>
      </c>
      <c r="I10" s="49">
        <f>IF($A10="","",COUNTIFS('הזנה רכישה'!$B$6:$B$1505,$A10,'הזנה רכישה'!$A$6:$A$1505,$B$4,'הזנה רכישה'!$F$6:$F$1505,$D$4,'הזנה רכישה'!$Q$6:$Q$1505,"פרופיל 5"))</f>
        <v/>
      </c>
      <c r="J10" s="49">
        <f>IF($A10="","",COUNTIFS('הזנה רכישה'!$B$6:$B$1505,$A10,'הזנה רכישה'!$A$6:$A$1505,$B$4,'הזנה רכישה'!$F$6:$F$1505,$D$4,'הזנה רכישה'!$Q$6:$Q$1505,"פרופיל 4"))</f>
        <v/>
      </c>
      <c r="K10" s="49">
        <f>IF($A10="","",COUNTIFS('הזנה רכישה'!$B$6:$B$1505,$A10,'הזנה רכישה'!$A$6:$A$1505,$B$4,'הזנה רכישה'!$F$6:$F$1505,$D$4,'הזנה רכישה'!$Q$6:$Q$1505,"פרופיל 3"))</f>
        <v/>
      </c>
      <c r="L10" s="49">
        <f>IF($A10="","",COUNTIFS('הזנה רכישה'!$B$6:$B$1505,$A10,'הזנה רכישה'!$A$6:$A$1505,$B$4,'הזנה רכישה'!$F$6:$F$1505,$D$4,'הזנה רכישה'!$Q$6:$Q$1505,"פרופיל 2"))</f>
        <v/>
      </c>
      <c r="M10" s="49">
        <f>IF($A10="","",COUNTIFS('הזנה ב-ו'!$B$6:$B$1505,$A10,'הזנה ב-ו'!$A$6:$A$1505,$B$4,'הזנה ב-ו'!$F$6:$F$1505,"תחילת שנה",'הזנה ב-ו'!$AC$6:$AC$1505,"רמה א'"))</f>
        <v/>
      </c>
      <c r="N10" s="49">
        <f>IF($A10="","",COUNTIFS('הזנה ב-ו'!$B$6:$B$1505,$A10,'הזנה ב-ו'!$A$6:$A$1505,$B$4,'הזנה ב-ו'!$F$6:$F$1505,"מחצית שנה",'הזנה ב-ו'!$AC$6:$AC$1505,"רמה א'"))</f>
        <v/>
      </c>
      <c r="O10" s="49">
        <f>IF($A10="","",COUNTIFS('הזנה ב-ו'!$B$6:$B$1505,$A10,'הזנה ב-ו'!$A$6:$A$1505,$B$4,'הזנה ב-ו'!$F$6:$F$1505,"סוף השנה",'הזנה ב-ו'!$AC$6:$AC$1505,"רמה א'"))</f>
        <v/>
      </c>
      <c r="P10" s="49">
        <f>IF($A10="","",COUNTIFS('הזנה ב-ו'!$B$6:$B$1505,$A10,'הזנה ב-ו'!$A$6:$A$1505,$B$4,'הזנה ב-ו'!$F$6:$F$1505,"תחילת שנה",'הזנה ב-ו'!$AC$6:$AC$1505,"רמה ג'"))</f>
        <v/>
      </c>
      <c r="Q10" s="49">
        <f>IF($A10="","",COUNTIFS('הזנה ב-ו'!$B$6:$B$1505,$A10,'הזנה ב-ו'!$A$6:$A$1505,$B$4,'הזנה ב-ו'!$F$6:$F$1505,"מחצית שנה",'הזנה ב-ו'!$AC$6:$AC$1505,"רמה ג'"))</f>
        <v/>
      </c>
      <c r="R10" s="49">
        <f>IF($A10="","",COUNTIFS('הזנה ב-ו'!$B$6:$B$1505,$A10,'הזנה ב-ו'!$A$6:$A$1505,$B$4,'הזנה ב-ו'!$F$6:$F$1505,"סוף השנה",'הזנה ב-ו'!$AC$6:$AC$1505,"רמה ג'"))</f>
        <v/>
      </c>
      <c r="S10" s="49">
        <f>IF($A10="","",COUNTIFS('הזנה רכישה'!$B$6:$B$1505,$A10,'הזנה רכישה'!$A$6:$A$1505,$B$4,'הזנה רכישה'!$F$6:$F$1505,"תחילת שנה"))</f>
        <v/>
      </c>
      <c r="T10" s="49">
        <f>IF($A10="","",COUNTIFS('הזנה רכישה'!$B$6:$B$1505,$A10,'הזנה רכישה'!$A$6:$A$1505,$B$4,'הזנה רכישה'!$F$6:$F$1505,"מחצית שנה"))</f>
        <v/>
      </c>
      <c r="U10" s="49">
        <f>IF($A10="","",COUNTIFS('הזנה רכישה'!$B$6:$B$1505,$A10,'הזנה רכישה'!$A$6:$A$1505,$B$4,'הזנה רכישה'!$F$6:$F$1505,"סוף השנה"))</f>
        <v/>
      </c>
      <c r="V10" s="49">
        <f>IF($A10="","",SUMPRODUCT(('הזנה ב-ו'!$B$6:$B$1505=$A10)*('הזנה ב-ו'!$A$6:$A$1505=$B$4)*('הזנה ב-ו'!$F$6:$F$1505=$D$4)*(LEN('הזנה ב-ו'!$AK$6:$AK$1505)&gt;0)))</f>
        <v/>
      </c>
    </row>
    <row r="11">
      <c r="A11" s="48">
        <f>IF('רשימות'!$A8="","",'רשימות'!$A8)</f>
        <v/>
      </c>
      <c r="B11" s="49">
        <f>IF($A11="","",COUNTIFS('הזנה ב-ו'!$B$6:$B$1505,$A11,'הזנה ב-ו'!$A$6:$A$1505,$B$4,'הזנה ב-ו'!$F$6:$F$1505,$D$4))</f>
        <v/>
      </c>
      <c r="C11" s="49">
        <f>IF($A11="","",COUNTIFS('הזנה ב-ו'!$B$6:$B$1505,$A11,'הזנה ב-ו'!$A$6:$A$1505,$B$4,'הזנה ב-ו'!$F$6:$F$1505,$D$4,'הזנה ב-ו'!$AC$6:$AC$1505,"רמה א'"))</f>
        <v/>
      </c>
      <c r="D11" s="49">
        <f>IF($A11="","",COUNTIFS('הזנה ב-ו'!$B$6:$B$1505,$A11,'הזנה ב-ו'!$A$6:$A$1505,$B$4,'הזנה ב-ו'!$F$6:$F$1505,$D$4,'הזנה ב-ו'!$AC$6:$AC$1505,"רמה ב'"))</f>
        <v/>
      </c>
      <c r="E11" s="49">
        <f>IF($A11="","",COUNTIFS('הזנה ב-ו'!$B$6:$B$1505,$A11,'הזנה ב-ו'!$A$6:$A$1505,$B$4,'הזנה ב-ו'!$F$6:$F$1505,$D$4,'הזנה ב-ו'!$AC$6:$AC$1505,"רמה ג'"))</f>
        <v/>
      </c>
      <c r="F11" s="50">
        <f>IF(OR($A11="",SUM($C11:$E11)=0),"",$C11/SUM($C11:$E11))</f>
        <v/>
      </c>
      <c r="G11" s="49">
        <f>IF($A11="","",$B11-SUM($C11:$E11))</f>
        <v/>
      </c>
      <c r="H11" s="49">
        <f>IF($A11="","",COUNTIFS('הזנה רכישה'!$B$6:$B$1505,$A11,'הזנה רכישה'!$A$6:$A$1505,$B$4,'הזנה רכישה'!$F$6:$F$1505,$D$4))</f>
        <v/>
      </c>
      <c r="I11" s="49">
        <f>IF($A11="","",COUNTIFS('הזנה רכישה'!$B$6:$B$1505,$A11,'הזנה רכישה'!$A$6:$A$1505,$B$4,'הזנה רכישה'!$F$6:$F$1505,$D$4,'הזנה רכישה'!$Q$6:$Q$1505,"פרופיל 5"))</f>
        <v/>
      </c>
      <c r="J11" s="49">
        <f>IF($A11="","",COUNTIFS('הזנה רכישה'!$B$6:$B$1505,$A11,'הזנה רכישה'!$A$6:$A$1505,$B$4,'הזנה רכישה'!$F$6:$F$1505,$D$4,'הזנה רכישה'!$Q$6:$Q$1505,"פרופיל 4"))</f>
        <v/>
      </c>
      <c r="K11" s="49">
        <f>IF($A11="","",COUNTIFS('הזנה רכישה'!$B$6:$B$1505,$A11,'הזנה רכישה'!$A$6:$A$1505,$B$4,'הזנה רכישה'!$F$6:$F$1505,$D$4,'הזנה רכישה'!$Q$6:$Q$1505,"פרופיל 3"))</f>
        <v/>
      </c>
      <c r="L11" s="49">
        <f>IF($A11="","",COUNTIFS('הזנה רכישה'!$B$6:$B$1505,$A11,'הזנה רכישה'!$A$6:$A$1505,$B$4,'הזנה רכישה'!$F$6:$F$1505,$D$4,'הזנה רכישה'!$Q$6:$Q$1505,"פרופיל 2"))</f>
        <v/>
      </c>
      <c r="M11" s="49">
        <f>IF($A11="","",COUNTIFS('הזנה ב-ו'!$B$6:$B$1505,$A11,'הזנה ב-ו'!$A$6:$A$1505,$B$4,'הזנה ב-ו'!$F$6:$F$1505,"תחילת שנה",'הזנה ב-ו'!$AC$6:$AC$1505,"רמה א'"))</f>
        <v/>
      </c>
      <c r="N11" s="49">
        <f>IF($A11="","",COUNTIFS('הזנה ב-ו'!$B$6:$B$1505,$A11,'הזנה ב-ו'!$A$6:$A$1505,$B$4,'הזנה ב-ו'!$F$6:$F$1505,"מחצית שנה",'הזנה ב-ו'!$AC$6:$AC$1505,"רמה א'"))</f>
        <v/>
      </c>
      <c r="O11" s="49">
        <f>IF($A11="","",COUNTIFS('הזנה ב-ו'!$B$6:$B$1505,$A11,'הזנה ב-ו'!$A$6:$A$1505,$B$4,'הזנה ב-ו'!$F$6:$F$1505,"סוף השנה",'הזנה ב-ו'!$AC$6:$AC$1505,"רמה א'"))</f>
        <v/>
      </c>
      <c r="P11" s="49">
        <f>IF($A11="","",COUNTIFS('הזנה ב-ו'!$B$6:$B$1505,$A11,'הזנה ב-ו'!$A$6:$A$1505,$B$4,'הזנה ב-ו'!$F$6:$F$1505,"תחילת שנה",'הזנה ב-ו'!$AC$6:$AC$1505,"רמה ג'"))</f>
        <v/>
      </c>
      <c r="Q11" s="49">
        <f>IF($A11="","",COUNTIFS('הזנה ב-ו'!$B$6:$B$1505,$A11,'הזנה ב-ו'!$A$6:$A$1505,$B$4,'הזנה ב-ו'!$F$6:$F$1505,"מחצית שנה",'הזנה ב-ו'!$AC$6:$AC$1505,"רמה ג'"))</f>
        <v/>
      </c>
      <c r="R11" s="49">
        <f>IF($A11="","",COUNTIFS('הזנה ב-ו'!$B$6:$B$1505,$A11,'הזנה ב-ו'!$A$6:$A$1505,$B$4,'הזנה ב-ו'!$F$6:$F$1505,"סוף השנה",'הזנה ב-ו'!$AC$6:$AC$1505,"רמה ג'"))</f>
        <v/>
      </c>
      <c r="S11" s="49">
        <f>IF($A11="","",COUNTIFS('הזנה רכישה'!$B$6:$B$1505,$A11,'הזנה רכישה'!$A$6:$A$1505,$B$4,'הזנה רכישה'!$F$6:$F$1505,"תחילת שנה"))</f>
        <v/>
      </c>
      <c r="T11" s="49">
        <f>IF($A11="","",COUNTIFS('הזנה רכישה'!$B$6:$B$1505,$A11,'הזנה רכישה'!$A$6:$A$1505,$B$4,'הזנה רכישה'!$F$6:$F$1505,"מחצית שנה"))</f>
        <v/>
      </c>
      <c r="U11" s="49">
        <f>IF($A11="","",COUNTIFS('הזנה רכישה'!$B$6:$B$1505,$A11,'הזנה רכישה'!$A$6:$A$1505,$B$4,'הזנה רכישה'!$F$6:$F$1505,"סוף השנה"))</f>
        <v/>
      </c>
      <c r="V11" s="49">
        <f>IF($A11="","",SUMPRODUCT(('הזנה ב-ו'!$B$6:$B$1505=$A11)*('הזנה ב-ו'!$A$6:$A$1505=$B$4)*('הזנה ב-ו'!$F$6:$F$1505=$D$4)*(LEN('הזנה ב-ו'!$AK$6:$AK$1505)&gt;0)))</f>
        <v/>
      </c>
    </row>
    <row r="12">
      <c r="A12" s="48">
        <f>IF('רשימות'!$A9="","",'רשימות'!$A9)</f>
        <v/>
      </c>
      <c r="B12" s="49">
        <f>IF($A12="","",COUNTIFS('הזנה ב-ו'!$B$6:$B$1505,$A12,'הזנה ב-ו'!$A$6:$A$1505,$B$4,'הזנה ב-ו'!$F$6:$F$1505,$D$4))</f>
        <v/>
      </c>
      <c r="C12" s="49">
        <f>IF($A12="","",COUNTIFS('הזנה ב-ו'!$B$6:$B$1505,$A12,'הזנה ב-ו'!$A$6:$A$1505,$B$4,'הזנה ב-ו'!$F$6:$F$1505,$D$4,'הזנה ב-ו'!$AC$6:$AC$1505,"רמה א'"))</f>
        <v/>
      </c>
      <c r="D12" s="49">
        <f>IF($A12="","",COUNTIFS('הזנה ב-ו'!$B$6:$B$1505,$A12,'הזנה ב-ו'!$A$6:$A$1505,$B$4,'הזנה ב-ו'!$F$6:$F$1505,$D$4,'הזנה ב-ו'!$AC$6:$AC$1505,"רמה ב'"))</f>
        <v/>
      </c>
      <c r="E12" s="49">
        <f>IF($A12="","",COUNTIFS('הזנה ב-ו'!$B$6:$B$1505,$A12,'הזנה ב-ו'!$A$6:$A$1505,$B$4,'הזנה ב-ו'!$F$6:$F$1505,$D$4,'הזנה ב-ו'!$AC$6:$AC$1505,"רמה ג'"))</f>
        <v/>
      </c>
      <c r="F12" s="50">
        <f>IF(OR($A12="",SUM($C12:$E12)=0),"",$C12/SUM($C12:$E12))</f>
        <v/>
      </c>
      <c r="G12" s="49">
        <f>IF($A12="","",$B12-SUM($C12:$E12))</f>
        <v/>
      </c>
      <c r="H12" s="49">
        <f>IF($A12="","",COUNTIFS('הזנה רכישה'!$B$6:$B$1505,$A12,'הזנה רכישה'!$A$6:$A$1505,$B$4,'הזנה רכישה'!$F$6:$F$1505,$D$4))</f>
        <v/>
      </c>
      <c r="I12" s="49">
        <f>IF($A12="","",COUNTIFS('הזנה רכישה'!$B$6:$B$1505,$A12,'הזנה רכישה'!$A$6:$A$1505,$B$4,'הזנה רכישה'!$F$6:$F$1505,$D$4,'הזנה רכישה'!$Q$6:$Q$1505,"פרופיל 5"))</f>
        <v/>
      </c>
      <c r="J12" s="49">
        <f>IF($A12="","",COUNTIFS('הזנה רכישה'!$B$6:$B$1505,$A12,'הזנה רכישה'!$A$6:$A$1505,$B$4,'הזנה רכישה'!$F$6:$F$1505,$D$4,'הזנה רכישה'!$Q$6:$Q$1505,"פרופיל 4"))</f>
        <v/>
      </c>
      <c r="K12" s="49">
        <f>IF($A12="","",COUNTIFS('הזנה רכישה'!$B$6:$B$1505,$A12,'הזנה רכישה'!$A$6:$A$1505,$B$4,'הזנה רכישה'!$F$6:$F$1505,$D$4,'הזנה רכישה'!$Q$6:$Q$1505,"פרופיל 3"))</f>
        <v/>
      </c>
      <c r="L12" s="49">
        <f>IF($A12="","",COUNTIFS('הזנה רכישה'!$B$6:$B$1505,$A12,'הזנה רכישה'!$A$6:$A$1505,$B$4,'הזנה רכישה'!$F$6:$F$1505,$D$4,'הזנה רכישה'!$Q$6:$Q$1505,"פרופיל 2"))</f>
        <v/>
      </c>
      <c r="M12" s="49">
        <f>IF($A12="","",COUNTIFS('הזנה ב-ו'!$B$6:$B$1505,$A12,'הזנה ב-ו'!$A$6:$A$1505,$B$4,'הזנה ב-ו'!$F$6:$F$1505,"תחילת שנה",'הזנה ב-ו'!$AC$6:$AC$1505,"רמה א'"))</f>
        <v/>
      </c>
      <c r="N12" s="49">
        <f>IF($A12="","",COUNTIFS('הזנה ב-ו'!$B$6:$B$1505,$A12,'הזנה ב-ו'!$A$6:$A$1505,$B$4,'הזנה ב-ו'!$F$6:$F$1505,"מחצית שנה",'הזנה ב-ו'!$AC$6:$AC$1505,"רמה א'"))</f>
        <v/>
      </c>
      <c r="O12" s="49">
        <f>IF($A12="","",COUNTIFS('הזנה ב-ו'!$B$6:$B$1505,$A12,'הזנה ב-ו'!$A$6:$A$1505,$B$4,'הזנה ב-ו'!$F$6:$F$1505,"סוף השנה",'הזנה ב-ו'!$AC$6:$AC$1505,"רמה א'"))</f>
        <v/>
      </c>
      <c r="P12" s="49">
        <f>IF($A12="","",COUNTIFS('הזנה ב-ו'!$B$6:$B$1505,$A12,'הזנה ב-ו'!$A$6:$A$1505,$B$4,'הזנה ב-ו'!$F$6:$F$1505,"תחילת שנה",'הזנה ב-ו'!$AC$6:$AC$1505,"רמה ג'"))</f>
        <v/>
      </c>
      <c r="Q12" s="49">
        <f>IF($A12="","",COUNTIFS('הזנה ב-ו'!$B$6:$B$1505,$A12,'הזנה ב-ו'!$A$6:$A$1505,$B$4,'הזנה ב-ו'!$F$6:$F$1505,"מחצית שנה",'הזנה ב-ו'!$AC$6:$AC$1505,"רמה ג'"))</f>
        <v/>
      </c>
      <c r="R12" s="49">
        <f>IF($A12="","",COUNTIFS('הזנה ב-ו'!$B$6:$B$1505,$A12,'הזנה ב-ו'!$A$6:$A$1505,$B$4,'הזנה ב-ו'!$F$6:$F$1505,"סוף השנה",'הזנה ב-ו'!$AC$6:$AC$1505,"רמה ג'"))</f>
        <v/>
      </c>
      <c r="S12" s="49">
        <f>IF($A12="","",COUNTIFS('הזנה רכישה'!$B$6:$B$1505,$A12,'הזנה רכישה'!$A$6:$A$1505,$B$4,'הזנה רכישה'!$F$6:$F$1505,"תחילת שנה"))</f>
        <v/>
      </c>
      <c r="T12" s="49">
        <f>IF($A12="","",COUNTIFS('הזנה רכישה'!$B$6:$B$1505,$A12,'הזנה רכישה'!$A$6:$A$1505,$B$4,'הזנה רכישה'!$F$6:$F$1505,"מחצית שנה"))</f>
        <v/>
      </c>
      <c r="U12" s="49">
        <f>IF($A12="","",COUNTIFS('הזנה רכישה'!$B$6:$B$1505,$A12,'הזנה רכישה'!$A$6:$A$1505,$B$4,'הזנה רכישה'!$F$6:$F$1505,"סוף השנה"))</f>
        <v/>
      </c>
      <c r="V12" s="49">
        <f>IF($A12="","",SUMPRODUCT(('הזנה ב-ו'!$B$6:$B$1505=$A12)*('הזנה ב-ו'!$A$6:$A$1505=$B$4)*('הזנה ב-ו'!$F$6:$F$1505=$D$4)*(LEN('הזנה ב-ו'!$AK$6:$AK$1505)&gt;0)))</f>
        <v/>
      </c>
    </row>
    <row r="13">
      <c r="A13" s="48">
        <f>IF('רשימות'!$A10="","",'רשימות'!$A10)</f>
        <v/>
      </c>
      <c r="B13" s="49">
        <f>IF($A13="","",COUNTIFS('הזנה ב-ו'!$B$6:$B$1505,$A13,'הזנה ב-ו'!$A$6:$A$1505,$B$4,'הזנה ב-ו'!$F$6:$F$1505,$D$4))</f>
        <v/>
      </c>
      <c r="C13" s="49">
        <f>IF($A13="","",COUNTIFS('הזנה ב-ו'!$B$6:$B$1505,$A13,'הזנה ב-ו'!$A$6:$A$1505,$B$4,'הזנה ב-ו'!$F$6:$F$1505,$D$4,'הזנה ב-ו'!$AC$6:$AC$1505,"רמה א'"))</f>
        <v/>
      </c>
      <c r="D13" s="49">
        <f>IF($A13="","",COUNTIFS('הזנה ב-ו'!$B$6:$B$1505,$A13,'הזנה ב-ו'!$A$6:$A$1505,$B$4,'הזנה ב-ו'!$F$6:$F$1505,$D$4,'הזנה ב-ו'!$AC$6:$AC$1505,"רמה ב'"))</f>
        <v/>
      </c>
      <c r="E13" s="49">
        <f>IF($A13="","",COUNTIFS('הזנה ב-ו'!$B$6:$B$1505,$A13,'הזנה ב-ו'!$A$6:$A$1505,$B$4,'הזנה ב-ו'!$F$6:$F$1505,$D$4,'הזנה ב-ו'!$AC$6:$AC$1505,"רמה ג'"))</f>
        <v/>
      </c>
      <c r="F13" s="50">
        <f>IF(OR($A13="",SUM($C13:$E13)=0),"",$C13/SUM($C13:$E13))</f>
        <v/>
      </c>
      <c r="G13" s="49">
        <f>IF($A13="","",$B13-SUM($C13:$E13))</f>
        <v/>
      </c>
      <c r="H13" s="49">
        <f>IF($A13="","",COUNTIFS('הזנה רכישה'!$B$6:$B$1505,$A13,'הזנה רכישה'!$A$6:$A$1505,$B$4,'הזנה רכישה'!$F$6:$F$1505,$D$4))</f>
        <v/>
      </c>
      <c r="I13" s="49">
        <f>IF($A13="","",COUNTIFS('הזנה רכישה'!$B$6:$B$1505,$A13,'הזנה רכישה'!$A$6:$A$1505,$B$4,'הזנה רכישה'!$F$6:$F$1505,$D$4,'הזנה רכישה'!$Q$6:$Q$1505,"פרופיל 5"))</f>
        <v/>
      </c>
      <c r="J13" s="49">
        <f>IF($A13="","",COUNTIFS('הזנה רכישה'!$B$6:$B$1505,$A13,'הזנה רכישה'!$A$6:$A$1505,$B$4,'הזנה רכישה'!$F$6:$F$1505,$D$4,'הזנה רכישה'!$Q$6:$Q$1505,"פרופיל 4"))</f>
        <v/>
      </c>
      <c r="K13" s="49">
        <f>IF($A13="","",COUNTIFS('הזנה רכישה'!$B$6:$B$1505,$A13,'הזנה רכישה'!$A$6:$A$1505,$B$4,'הזנה רכישה'!$F$6:$F$1505,$D$4,'הזנה רכישה'!$Q$6:$Q$1505,"פרופיל 3"))</f>
        <v/>
      </c>
      <c r="L13" s="49">
        <f>IF($A13="","",COUNTIFS('הזנה רכישה'!$B$6:$B$1505,$A13,'הזנה רכישה'!$A$6:$A$1505,$B$4,'הזנה רכישה'!$F$6:$F$1505,$D$4,'הזנה רכישה'!$Q$6:$Q$1505,"פרופיל 2"))</f>
        <v/>
      </c>
      <c r="M13" s="49">
        <f>IF($A13="","",COUNTIFS('הזנה ב-ו'!$B$6:$B$1505,$A13,'הזנה ב-ו'!$A$6:$A$1505,$B$4,'הזנה ב-ו'!$F$6:$F$1505,"תחילת שנה",'הזנה ב-ו'!$AC$6:$AC$1505,"רמה א'"))</f>
        <v/>
      </c>
      <c r="N13" s="49">
        <f>IF($A13="","",COUNTIFS('הזנה ב-ו'!$B$6:$B$1505,$A13,'הזנה ב-ו'!$A$6:$A$1505,$B$4,'הזנה ב-ו'!$F$6:$F$1505,"מחצית שנה",'הזנה ב-ו'!$AC$6:$AC$1505,"רמה א'"))</f>
        <v/>
      </c>
      <c r="O13" s="49">
        <f>IF($A13="","",COUNTIFS('הזנה ב-ו'!$B$6:$B$1505,$A13,'הזנה ב-ו'!$A$6:$A$1505,$B$4,'הזנה ב-ו'!$F$6:$F$1505,"סוף השנה",'הזנה ב-ו'!$AC$6:$AC$1505,"רמה א'"))</f>
        <v/>
      </c>
      <c r="P13" s="49">
        <f>IF($A13="","",COUNTIFS('הזנה ב-ו'!$B$6:$B$1505,$A13,'הזנה ב-ו'!$A$6:$A$1505,$B$4,'הזנה ב-ו'!$F$6:$F$1505,"תחילת שנה",'הזנה ב-ו'!$AC$6:$AC$1505,"רמה ג'"))</f>
        <v/>
      </c>
      <c r="Q13" s="49">
        <f>IF($A13="","",COUNTIFS('הזנה ב-ו'!$B$6:$B$1505,$A13,'הזנה ב-ו'!$A$6:$A$1505,$B$4,'הזנה ב-ו'!$F$6:$F$1505,"מחצית שנה",'הזנה ב-ו'!$AC$6:$AC$1505,"רמה ג'"))</f>
        <v/>
      </c>
      <c r="R13" s="49">
        <f>IF($A13="","",COUNTIFS('הזנה ב-ו'!$B$6:$B$1505,$A13,'הזנה ב-ו'!$A$6:$A$1505,$B$4,'הזנה ב-ו'!$F$6:$F$1505,"סוף השנה",'הזנה ב-ו'!$AC$6:$AC$1505,"רמה ג'"))</f>
        <v/>
      </c>
      <c r="S13" s="49">
        <f>IF($A13="","",COUNTIFS('הזנה רכישה'!$B$6:$B$1505,$A13,'הזנה רכישה'!$A$6:$A$1505,$B$4,'הזנה רכישה'!$F$6:$F$1505,"תחילת שנה"))</f>
        <v/>
      </c>
      <c r="T13" s="49">
        <f>IF($A13="","",COUNTIFS('הזנה רכישה'!$B$6:$B$1505,$A13,'הזנה רכישה'!$A$6:$A$1505,$B$4,'הזנה רכישה'!$F$6:$F$1505,"מחצית שנה"))</f>
        <v/>
      </c>
      <c r="U13" s="49">
        <f>IF($A13="","",COUNTIFS('הזנה רכישה'!$B$6:$B$1505,$A13,'הזנה רכישה'!$A$6:$A$1505,$B$4,'הזנה רכישה'!$F$6:$F$1505,"סוף השנה"))</f>
        <v/>
      </c>
      <c r="V13" s="49">
        <f>IF($A13="","",SUMPRODUCT(('הזנה ב-ו'!$B$6:$B$1505=$A13)*('הזנה ב-ו'!$A$6:$A$1505=$B$4)*('הזנה ב-ו'!$F$6:$F$1505=$D$4)*(LEN('הזנה ב-ו'!$AK$6:$AK$1505)&gt;0)))</f>
        <v/>
      </c>
    </row>
    <row r="14">
      <c r="A14" s="48">
        <f>IF('רשימות'!$A11="","",'רשימות'!$A11)</f>
        <v/>
      </c>
      <c r="B14" s="49">
        <f>IF($A14="","",COUNTIFS('הזנה ב-ו'!$B$6:$B$1505,$A14,'הזנה ב-ו'!$A$6:$A$1505,$B$4,'הזנה ב-ו'!$F$6:$F$1505,$D$4))</f>
        <v/>
      </c>
      <c r="C14" s="49">
        <f>IF($A14="","",COUNTIFS('הזנה ב-ו'!$B$6:$B$1505,$A14,'הזנה ב-ו'!$A$6:$A$1505,$B$4,'הזנה ב-ו'!$F$6:$F$1505,$D$4,'הזנה ב-ו'!$AC$6:$AC$1505,"רמה א'"))</f>
        <v/>
      </c>
      <c r="D14" s="49">
        <f>IF($A14="","",COUNTIFS('הזנה ב-ו'!$B$6:$B$1505,$A14,'הזנה ב-ו'!$A$6:$A$1505,$B$4,'הזנה ב-ו'!$F$6:$F$1505,$D$4,'הזנה ב-ו'!$AC$6:$AC$1505,"רמה ב'"))</f>
        <v/>
      </c>
      <c r="E14" s="49">
        <f>IF($A14="","",COUNTIFS('הזנה ב-ו'!$B$6:$B$1505,$A14,'הזנה ב-ו'!$A$6:$A$1505,$B$4,'הזנה ב-ו'!$F$6:$F$1505,$D$4,'הזנה ב-ו'!$AC$6:$AC$1505,"רמה ג'"))</f>
        <v/>
      </c>
      <c r="F14" s="50">
        <f>IF(OR($A14="",SUM($C14:$E14)=0),"",$C14/SUM($C14:$E14))</f>
        <v/>
      </c>
      <c r="G14" s="49">
        <f>IF($A14="","",$B14-SUM($C14:$E14))</f>
        <v/>
      </c>
      <c r="H14" s="49">
        <f>IF($A14="","",COUNTIFS('הזנה רכישה'!$B$6:$B$1505,$A14,'הזנה רכישה'!$A$6:$A$1505,$B$4,'הזנה רכישה'!$F$6:$F$1505,$D$4))</f>
        <v/>
      </c>
      <c r="I14" s="49">
        <f>IF($A14="","",COUNTIFS('הזנה רכישה'!$B$6:$B$1505,$A14,'הזנה רכישה'!$A$6:$A$1505,$B$4,'הזנה רכישה'!$F$6:$F$1505,$D$4,'הזנה רכישה'!$Q$6:$Q$1505,"פרופיל 5"))</f>
        <v/>
      </c>
      <c r="J14" s="49">
        <f>IF($A14="","",COUNTIFS('הזנה רכישה'!$B$6:$B$1505,$A14,'הזנה רכישה'!$A$6:$A$1505,$B$4,'הזנה רכישה'!$F$6:$F$1505,$D$4,'הזנה רכישה'!$Q$6:$Q$1505,"פרופיל 4"))</f>
        <v/>
      </c>
      <c r="K14" s="49">
        <f>IF($A14="","",COUNTIFS('הזנה רכישה'!$B$6:$B$1505,$A14,'הזנה רכישה'!$A$6:$A$1505,$B$4,'הזנה רכישה'!$F$6:$F$1505,$D$4,'הזנה רכישה'!$Q$6:$Q$1505,"פרופיל 3"))</f>
        <v/>
      </c>
      <c r="L14" s="49">
        <f>IF($A14="","",COUNTIFS('הזנה רכישה'!$B$6:$B$1505,$A14,'הזנה רכישה'!$A$6:$A$1505,$B$4,'הזנה רכישה'!$F$6:$F$1505,$D$4,'הזנה רכישה'!$Q$6:$Q$1505,"פרופיל 2"))</f>
        <v/>
      </c>
      <c r="M14" s="49">
        <f>IF($A14="","",COUNTIFS('הזנה ב-ו'!$B$6:$B$1505,$A14,'הזנה ב-ו'!$A$6:$A$1505,$B$4,'הזנה ב-ו'!$F$6:$F$1505,"תחילת שנה",'הזנה ב-ו'!$AC$6:$AC$1505,"רמה א'"))</f>
        <v/>
      </c>
      <c r="N14" s="49">
        <f>IF($A14="","",COUNTIFS('הזנה ב-ו'!$B$6:$B$1505,$A14,'הזנה ב-ו'!$A$6:$A$1505,$B$4,'הזנה ב-ו'!$F$6:$F$1505,"מחצית שנה",'הזנה ב-ו'!$AC$6:$AC$1505,"רמה א'"))</f>
        <v/>
      </c>
      <c r="O14" s="49">
        <f>IF($A14="","",COUNTIFS('הזנה ב-ו'!$B$6:$B$1505,$A14,'הזנה ב-ו'!$A$6:$A$1505,$B$4,'הזנה ב-ו'!$F$6:$F$1505,"סוף השנה",'הזנה ב-ו'!$AC$6:$AC$1505,"רמה א'"))</f>
        <v/>
      </c>
      <c r="P14" s="49">
        <f>IF($A14="","",COUNTIFS('הזנה ב-ו'!$B$6:$B$1505,$A14,'הזנה ב-ו'!$A$6:$A$1505,$B$4,'הזנה ב-ו'!$F$6:$F$1505,"תחילת שנה",'הזנה ב-ו'!$AC$6:$AC$1505,"רמה ג'"))</f>
        <v/>
      </c>
      <c r="Q14" s="49">
        <f>IF($A14="","",COUNTIFS('הזנה ב-ו'!$B$6:$B$1505,$A14,'הזנה ב-ו'!$A$6:$A$1505,$B$4,'הזנה ב-ו'!$F$6:$F$1505,"מחצית שנה",'הזנה ב-ו'!$AC$6:$AC$1505,"רמה ג'"))</f>
        <v/>
      </c>
      <c r="R14" s="49">
        <f>IF($A14="","",COUNTIFS('הזנה ב-ו'!$B$6:$B$1505,$A14,'הזנה ב-ו'!$A$6:$A$1505,$B$4,'הזנה ב-ו'!$F$6:$F$1505,"סוף השנה",'הזנה ב-ו'!$AC$6:$AC$1505,"רמה ג'"))</f>
        <v/>
      </c>
      <c r="S14" s="49">
        <f>IF($A14="","",COUNTIFS('הזנה רכישה'!$B$6:$B$1505,$A14,'הזנה רכישה'!$A$6:$A$1505,$B$4,'הזנה רכישה'!$F$6:$F$1505,"תחילת שנה"))</f>
        <v/>
      </c>
      <c r="T14" s="49">
        <f>IF($A14="","",COUNTIFS('הזנה רכישה'!$B$6:$B$1505,$A14,'הזנה רכישה'!$A$6:$A$1505,$B$4,'הזנה רכישה'!$F$6:$F$1505,"מחצית שנה"))</f>
        <v/>
      </c>
      <c r="U14" s="49">
        <f>IF($A14="","",COUNTIFS('הזנה רכישה'!$B$6:$B$1505,$A14,'הזנה רכישה'!$A$6:$A$1505,$B$4,'הזנה רכישה'!$F$6:$F$1505,"סוף השנה"))</f>
        <v/>
      </c>
      <c r="V14" s="49">
        <f>IF($A14="","",SUMPRODUCT(('הזנה ב-ו'!$B$6:$B$1505=$A14)*('הזנה ב-ו'!$A$6:$A$1505=$B$4)*('הזנה ב-ו'!$F$6:$F$1505=$D$4)*(LEN('הזנה ב-ו'!$AK$6:$AK$1505)&gt;0)))</f>
        <v/>
      </c>
    </row>
    <row r="15">
      <c r="A15" s="48">
        <f>IF('רשימות'!$A12="","",'רשימות'!$A12)</f>
        <v/>
      </c>
      <c r="B15" s="49">
        <f>IF($A15="","",COUNTIFS('הזנה ב-ו'!$B$6:$B$1505,$A15,'הזנה ב-ו'!$A$6:$A$1505,$B$4,'הזנה ב-ו'!$F$6:$F$1505,$D$4))</f>
        <v/>
      </c>
      <c r="C15" s="49">
        <f>IF($A15="","",COUNTIFS('הזנה ב-ו'!$B$6:$B$1505,$A15,'הזנה ב-ו'!$A$6:$A$1505,$B$4,'הזנה ב-ו'!$F$6:$F$1505,$D$4,'הזנה ב-ו'!$AC$6:$AC$1505,"רמה א'"))</f>
        <v/>
      </c>
      <c r="D15" s="49">
        <f>IF($A15="","",COUNTIFS('הזנה ב-ו'!$B$6:$B$1505,$A15,'הזנה ב-ו'!$A$6:$A$1505,$B$4,'הזנה ב-ו'!$F$6:$F$1505,$D$4,'הזנה ב-ו'!$AC$6:$AC$1505,"רמה ב'"))</f>
        <v/>
      </c>
      <c r="E15" s="49">
        <f>IF($A15="","",COUNTIFS('הזנה ב-ו'!$B$6:$B$1505,$A15,'הזנה ב-ו'!$A$6:$A$1505,$B$4,'הזנה ב-ו'!$F$6:$F$1505,$D$4,'הזנה ב-ו'!$AC$6:$AC$1505,"רמה ג'"))</f>
        <v/>
      </c>
      <c r="F15" s="50">
        <f>IF(OR($A15="",SUM($C15:$E15)=0),"",$C15/SUM($C15:$E15))</f>
        <v/>
      </c>
      <c r="G15" s="49">
        <f>IF($A15="","",$B15-SUM($C15:$E15))</f>
        <v/>
      </c>
      <c r="H15" s="49">
        <f>IF($A15="","",COUNTIFS('הזנה רכישה'!$B$6:$B$1505,$A15,'הזנה רכישה'!$A$6:$A$1505,$B$4,'הזנה רכישה'!$F$6:$F$1505,$D$4))</f>
        <v/>
      </c>
      <c r="I15" s="49">
        <f>IF($A15="","",COUNTIFS('הזנה רכישה'!$B$6:$B$1505,$A15,'הזנה רכישה'!$A$6:$A$1505,$B$4,'הזנה רכישה'!$F$6:$F$1505,$D$4,'הזנה רכישה'!$Q$6:$Q$1505,"פרופיל 5"))</f>
        <v/>
      </c>
      <c r="J15" s="49">
        <f>IF($A15="","",COUNTIFS('הזנה רכישה'!$B$6:$B$1505,$A15,'הזנה רכישה'!$A$6:$A$1505,$B$4,'הזנה רכישה'!$F$6:$F$1505,$D$4,'הזנה רכישה'!$Q$6:$Q$1505,"פרופיל 4"))</f>
        <v/>
      </c>
      <c r="K15" s="49">
        <f>IF($A15="","",COUNTIFS('הזנה רכישה'!$B$6:$B$1505,$A15,'הזנה רכישה'!$A$6:$A$1505,$B$4,'הזנה רכישה'!$F$6:$F$1505,$D$4,'הזנה רכישה'!$Q$6:$Q$1505,"פרופיל 3"))</f>
        <v/>
      </c>
      <c r="L15" s="49">
        <f>IF($A15="","",COUNTIFS('הזנה רכישה'!$B$6:$B$1505,$A15,'הזנה רכישה'!$A$6:$A$1505,$B$4,'הזנה רכישה'!$F$6:$F$1505,$D$4,'הזנה רכישה'!$Q$6:$Q$1505,"פרופיל 2"))</f>
        <v/>
      </c>
      <c r="M15" s="49">
        <f>IF($A15="","",COUNTIFS('הזנה ב-ו'!$B$6:$B$1505,$A15,'הזנה ב-ו'!$A$6:$A$1505,$B$4,'הזנה ב-ו'!$F$6:$F$1505,"תחילת שנה",'הזנה ב-ו'!$AC$6:$AC$1505,"רמה א'"))</f>
        <v/>
      </c>
      <c r="N15" s="49">
        <f>IF($A15="","",COUNTIFS('הזנה ב-ו'!$B$6:$B$1505,$A15,'הזנה ב-ו'!$A$6:$A$1505,$B$4,'הזנה ב-ו'!$F$6:$F$1505,"מחצית שנה",'הזנה ב-ו'!$AC$6:$AC$1505,"רמה א'"))</f>
        <v/>
      </c>
      <c r="O15" s="49">
        <f>IF($A15="","",COUNTIFS('הזנה ב-ו'!$B$6:$B$1505,$A15,'הזנה ב-ו'!$A$6:$A$1505,$B$4,'הזנה ב-ו'!$F$6:$F$1505,"סוף השנה",'הזנה ב-ו'!$AC$6:$AC$1505,"רמה א'"))</f>
        <v/>
      </c>
      <c r="P15" s="49">
        <f>IF($A15="","",COUNTIFS('הזנה ב-ו'!$B$6:$B$1505,$A15,'הזנה ב-ו'!$A$6:$A$1505,$B$4,'הזנה ב-ו'!$F$6:$F$1505,"תחילת שנה",'הזנה ב-ו'!$AC$6:$AC$1505,"רמה ג'"))</f>
        <v/>
      </c>
      <c r="Q15" s="49">
        <f>IF($A15="","",COUNTIFS('הזנה ב-ו'!$B$6:$B$1505,$A15,'הזנה ב-ו'!$A$6:$A$1505,$B$4,'הזנה ב-ו'!$F$6:$F$1505,"מחצית שנה",'הזנה ב-ו'!$AC$6:$AC$1505,"רמה ג'"))</f>
        <v/>
      </c>
      <c r="R15" s="49">
        <f>IF($A15="","",COUNTIFS('הזנה ב-ו'!$B$6:$B$1505,$A15,'הזנה ב-ו'!$A$6:$A$1505,$B$4,'הזנה ב-ו'!$F$6:$F$1505,"סוף השנה",'הזנה ב-ו'!$AC$6:$AC$1505,"רמה ג'"))</f>
        <v/>
      </c>
      <c r="S15" s="49">
        <f>IF($A15="","",COUNTIFS('הזנה רכישה'!$B$6:$B$1505,$A15,'הזנה רכישה'!$A$6:$A$1505,$B$4,'הזנה רכישה'!$F$6:$F$1505,"תחילת שנה"))</f>
        <v/>
      </c>
      <c r="T15" s="49">
        <f>IF($A15="","",COUNTIFS('הזנה רכישה'!$B$6:$B$1505,$A15,'הזנה רכישה'!$A$6:$A$1505,$B$4,'הזנה רכישה'!$F$6:$F$1505,"מחצית שנה"))</f>
        <v/>
      </c>
      <c r="U15" s="49">
        <f>IF($A15="","",COUNTIFS('הזנה רכישה'!$B$6:$B$1505,$A15,'הזנה רכישה'!$A$6:$A$1505,$B$4,'הזנה רכישה'!$F$6:$F$1505,"סוף השנה"))</f>
        <v/>
      </c>
      <c r="V15" s="49">
        <f>IF($A15="","",SUMPRODUCT(('הזנה ב-ו'!$B$6:$B$1505=$A15)*('הזנה ב-ו'!$A$6:$A$1505=$B$4)*('הזנה ב-ו'!$F$6:$F$1505=$D$4)*(LEN('הזנה ב-ו'!$AK$6:$AK$1505)&gt;0)))</f>
        <v/>
      </c>
    </row>
    <row r="16">
      <c r="A16" s="48">
        <f>IF('רשימות'!$A13="","",'רשימות'!$A13)</f>
        <v/>
      </c>
      <c r="B16" s="49">
        <f>IF($A16="","",COUNTIFS('הזנה ב-ו'!$B$6:$B$1505,$A16,'הזנה ב-ו'!$A$6:$A$1505,$B$4,'הזנה ב-ו'!$F$6:$F$1505,$D$4))</f>
        <v/>
      </c>
      <c r="C16" s="49">
        <f>IF($A16="","",COUNTIFS('הזנה ב-ו'!$B$6:$B$1505,$A16,'הזנה ב-ו'!$A$6:$A$1505,$B$4,'הזנה ב-ו'!$F$6:$F$1505,$D$4,'הזנה ב-ו'!$AC$6:$AC$1505,"רמה א'"))</f>
        <v/>
      </c>
      <c r="D16" s="49">
        <f>IF($A16="","",COUNTIFS('הזנה ב-ו'!$B$6:$B$1505,$A16,'הזנה ב-ו'!$A$6:$A$1505,$B$4,'הזנה ב-ו'!$F$6:$F$1505,$D$4,'הזנה ב-ו'!$AC$6:$AC$1505,"רמה ב'"))</f>
        <v/>
      </c>
      <c r="E16" s="49">
        <f>IF($A16="","",COUNTIFS('הזנה ב-ו'!$B$6:$B$1505,$A16,'הזנה ב-ו'!$A$6:$A$1505,$B$4,'הזנה ב-ו'!$F$6:$F$1505,$D$4,'הזנה ב-ו'!$AC$6:$AC$1505,"רמה ג'"))</f>
        <v/>
      </c>
      <c r="F16" s="50">
        <f>IF(OR($A16="",SUM($C16:$E16)=0),"",$C16/SUM($C16:$E16))</f>
        <v/>
      </c>
      <c r="G16" s="49">
        <f>IF($A16="","",$B16-SUM($C16:$E16))</f>
        <v/>
      </c>
      <c r="H16" s="49">
        <f>IF($A16="","",COUNTIFS('הזנה רכישה'!$B$6:$B$1505,$A16,'הזנה רכישה'!$A$6:$A$1505,$B$4,'הזנה רכישה'!$F$6:$F$1505,$D$4))</f>
        <v/>
      </c>
      <c r="I16" s="49">
        <f>IF($A16="","",COUNTIFS('הזנה רכישה'!$B$6:$B$1505,$A16,'הזנה רכישה'!$A$6:$A$1505,$B$4,'הזנה רכישה'!$F$6:$F$1505,$D$4,'הזנה רכישה'!$Q$6:$Q$1505,"פרופיל 5"))</f>
        <v/>
      </c>
      <c r="J16" s="49">
        <f>IF($A16="","",COUNTIFS('הזנה רכישה'!$B$6:$B$1505,$A16,'הזנה רכישה'!$A$6:$A$1505,$B$4,'הזנה רכישה'!$F$6:$F$1505,$D$4,'הזנה רכישה'!$Q$6:$Q$1505,"פרופיל 4"))</f>
        <v/>
      </c>
      <c r="K16" s="49">
        <f>IF($A16="","",COUNTIFS('הזנה רכישה'!$B$6:$B$1505,$A16,'הזנה רכישה'!$A$6:$A$1505,$B$4,'הזנה רכישה'!$F$6:$F$1505,$D$4,'הזנה רכישה'!$Q$6:$Q$1505,"פרופיל 3"))</f>
        <v/>
      </c>
      <c r="L16" s="49">
        <f>IF($A16="","",COUNTIFS('הזנה רכישה'!$B$6:$B$1505,$A16,'הזנה רכישה'!$A$6:$A$1505,$B$4,'הזנה רכישה'!$F$6:$F$1505,$D$4,'הזנה רכישה'!$Q$6:$Q$1505,"פרופיל 2"))</f>
        <v/>
      </c>
      <c r="M16" s="49">
        <f>IF($A16="","",COUNTIFS('הזנה ב-ו'!$B$6:$B$1505,$A16,'הזנה ב-ו'!$A$6:$A$1505,$B$4,'הזנה ב-ו'!$F$6:$F$1505,"תחילת שנה",'הזנה ב-ו'!$AC$6:$AC$1505,"רמה א'"))</f>
        <v/>
      </c>
      <c r="N16" s="49">
        <f>IF($A16="","",COUNTIFS('הזנה ב-ו'!$B$6:$B$1505,$A16,'הזנה ב-ו'!$A$6:$A$1505,$B$4,'הזנה ב-ו'!$F$6:$F$1505,"מחצית שנה",'הזנה ב-ו'!$AC$6:$AC$1505,"רמה א'"))</f>
        <v/>
      </c>
      <c r="O16" s="49">
        <f>IF($A16="","",COUNTIFS('הזנה ב-ו'!$B$6:$B$1505,$A16,'הזנה ב-ו'!$A$6:$A$1505,$B$4,'הזנה ב-ו'!$F$6:$F$1505,"סוף השנה",'הזנה ב-ו'!$AC$6:$AC$1505,"רמה א'"))</f>
        <v/>
      </c>
      <c r="P16" s="49">
        <f>IF($A16="","",COUNTIFS('הזנה ב-ו'!$B$6:$B$1505,$A16,'הזנה ב-ו'!$A$6:$A$1505,$B$4,'הזנה ב-ו'!$F$6:$F$1505,"תחילת שנה",'הזנה ב-ו'!$AC$6:$AC$1505,"רמה ג'"))</f>
        <v/>
      </c>
      <c r="Q16" s="49">
        <f>IF($A16="","",COUNTIFS('הזנה ב-ו'!$B$6:$B$1505,$A16,'הזנה ב-ו'!$A$6:$A$1505,$B$4,'הזנה ב-ו'!$F$6:$F$1505,"מחצית שנה",'הזנה ב-ו'!$AC$6:$AC$1505,"רמה ג'"))</f>
        <v/>
      </c>
      <c r="R16" s="49">
        <f>IF($A16="","",COUNTIFS('הזנה ב-ו'!$B$6:$B$1505,$A16,'הזנה ב-ו'!$A$6:$A$1505,$B$4,'הזנה ב-ו'!$F$6:$F$1505,"סוף השנה",'הזנה ב-ו'!$AC$6:$AC$1505,"רמה ג'"))</f>
        <v/>
      </c>
      <c r="S16" s="49">
        <f>IF($A16="","",COUNTIFS('הזנה רכישה'!$B$6:$B$1505,$A16,'הזנה רכישה'!$A$6:$A$1505,$B$4,'הזנה רכישה'!$F$6:$F$1505,"תחילת שנה"))</f>
        <v/>
      </c>
      <c r="T16" s="49">
        <f>IF($A16="","",COUNTIFS('הזנה רכישה'!$B$6:$B$1505,$A16,'הזנה רכישה'!$A$6:$A$1505,$B$4,'הזנה רכישה'!$F$6:$F$1505,"מחצית שנה"))</f>
        <v/>
      </c>
      <c r="U16" s="49">
        <f>IF($A16="","",COUNTIFS('הזנה רכישה'!$B$6:$B$1505,$A16,'הזנה רכישה'!$A$6:$A$1505,$B$4,'הזנה רכישה'!$F$6:$F$1505,"סוף השנה"))</f>
        <v/>
      </c>
      <c r="V16" s="49">
        <f>IF($A16="","",SUMPRODUCT(('הזנה ב-ו'!$B$6:$B$1505=$A16)*('הזנה ב-ו'!$A$6:$A$1505=$B$4)*('הזנה ב-ו'!$F$6:$F$1505=$D$4)*(LEN('הזנה ב-ו'!$AK$6:$AK$1505)&gt;0)))</f>
        <v/>
      </c>
    </row>
    <row r="17">
      <c r="A17" s="48">
        <f>IF('רשימות'!$A14="","",'רשימות'!$A14)</f>
        <v/>
      </c>
      <c r="B17" s="49">
        <f>IF($A17="","",COUNTIFS('הזנה ב-ו'!$B$6:$B$1505,$A17,'הזנה ב-ו'!$A$6:$A$1505,$B$4,'הזנה ב-ו'!$F$6:$F$1505,$D$4))</f>
        <v/>
      </c>
      <c r="C17" s="49">
        <f>IF($A17="","",COUNTIFS('הזנה ב-ו'!$B$6:$B$1505,$A17,'הזנה ב-ו'!$A$6:$A$1505,$B$4,'הזנה ב-ו'!$F$6:$F$1505,$D$4,'הזנה ב-ו'!$AC$6:$AC$1505,"רמה א'"))</f>
        <v/>
      </c>
      <c r="D17" s="49">
        <f>IF($A17="","",COUNTIFS('הזנה ב-ו'!$B$6:$B$1505,$A17,'הזנה ב-ו'!$A$6:$A$1505,$B$4,'הזנה ב-ו'!$F$6:$F$1505,$D$4,'הזנה ב-ו'!$AC$6:$AC$1505,"רמה ב'"))</f>
        <v/>
      </c>
      <c r="E17" s="49">
        <f>IF($A17="","",COUNTIFS('הזנה ב-ו'!$B$6:$B$1505,$A17,'הזנה ב-ו'!$A$6:$A$1505,$B$4,'הזנה ב-ו'!$F$6:$F$1505,$D$4,'הזנה ב-ו'!$AC$6:$AC$1505,"רמה ג'"))</f>
        <v/>
      </c>
      <c r="F17" s="50">
        <f>IF(OR($A17="",SUM($C17:$E17)=0),"",$C17/SUM($C17:$E17))</f>
        <v/>
      </c>
      <c r="G17" s="49">
        <f>IF($A17="","",$B17-SUM($C17:$E17))</f>
        <v/>
      </c>
      <c r="H17" s="49">
        <f>IF($A17="","",COUNTIFS('הזנה רכישה'!$B$6:$B$1505,$A17,'הזנה רכישה'!$A$6:$A$1505,$B$4,'הזנה רכישה'!$F$6:$F$1505,$D$4))</f>
        <v/>
      </c>
      <c r="I17" s="49">
        <f>IF($A17="","",COUNTIFS('הזנה רכישה'!$B$6:$B$1505,$A17,'הזנה רכישה'!$A$6:$A$1505,$B$4,'הזנה רכישה'!$F$6:$F$1505,$D$4,'הזנה רכישה'!$Q$6:$Q$1505,"פרופיל 5"))</f>
        <v/>
      </c>
      <c r="J17" s="49">
        <f>IF($A17="","",COUNTIFS('הזנה רכישה'!$B$6:$B$1505,$A17,'הזנה רכישה'!$A$6:$A$1505,$B$4,'הזנה רכישה'!$F$6:$F$1505,$D$4,'הזנה רכישה'!$Q$6:$Q$1505,"פרופיל 4"))</f>
        <v/>
      </c>
      <c r="K17" s="49">
        <f>IF($A17="","",COUNTIFS('הזנה רכישה'!$B$6:$B$1505,$A17,'הזנה רכישה'!$A$6:$A$1505,$B$4,'הזנה רכישה'!$F$6:$F$1505,$D$4,'הזנה רכישה'!$Q$6:$Q$1505,"פרופיל 3"))</f>
        <v/>
      </c>
      <c r="L17" s="49">
        <f>IF($A17="","",COUNTIFS('הזנה רכישה'!$B$6:$B$1505,$A17,'הזנה רכישה'!$A$6:$A$1505,$B$4,'הזנה רכישה'!$F$6:$F$1505,$D$4,'הזנה רכישה'!$Q$6:$Q$1505,"פרופיל 2"))</f>
        <v/>
      </c>
      <c r="M17" s="49">
        <f>IF($A17="","",COUNTIFS('הזנה ב-ו'!$B$6:$B$1505,$A17,'הזנה ב-ו'!$A$6:$A$1505,$B$4,'הזנה ב-ו'!$F$6:$F$1505,"תחילת שנה",'הזנה ב-ו'!$AC$6:$AC$1505,"רמה א'"))</f>
        <v/>
      </c>
      <c r="N17" s="49">
        <f>IF($A17="","",COUNTIFS('הזנה ב-ו'!$B$6:$B$1505,$A17,'הזנה ב-ו'!$A$6:$A$1505,$B$4,'הזנה ב-ו'!$F$6:$F$1505,"מחצית שנה",'הזנה ב-ו'!$AC$6:$AC$1505,"רמה א'"))</f>
        <v/>
      </c>
      <c r="O17" s="49">
        <f>IF($A17="","",COUNTIFS('הזנה ב-ו'!$B$6:$B$1505,$A17,'הזנה ב-ו'!$A$6:$A$1505,$B$4,'הזנה ב-ו'!$F$6:$F$1505,"סוף השנה",'הזנה ב-ו'!$AC$6:$AC$1505,"רמה א'"))</f>
        <v/>
      </c>
      <c r="P17" s="49">
        <f>IF($A17="","",COUNTIFS('הזנה ב-ו'!$B$6:$B$1505,$A17,'הזנה ב-ו'!$A$6:$A$1505,$B$4,'הזנה ב-ו'!$F$6:$F$1505,"תחילת שנה",'הזנה ב-ו'!$AC$6:$AC$1505,"רמה ג'"))</f>
        <v/>
      </c>
      <c r="Q17" s="49">
        <f>IF($A17="","",COUNTIFS('הזנה ב-ו'!$B$6:$B$1505,$A17,'הזנה ב-ו'!$A$6:$A$1505,$B$4,'הזנה ב-ו'!$F$6:$F$1505,"מחצית שנה",'הזנה ב-ו'!$AC$6:$AC$1505,"רמה ג'"))</f>
        <v/>
      </c>
      <c r="R17" s="49">
        <f>IF($A17="","",COUNTIFS('הזנה ב-ו'!$B$6:$B$1505,$A17,'הזנה ב-ו'!$A$6:$A$1505,$B$4,'הזנה ב-ו'!$F$6:$F$1505,"סוף השנה",'הזנה ב-ו'!$AC$6:$AC$1505,"רמה ג'"))</f>
        <v/>
      </c>
      <c r="S17" s="49">
        <f>IF($A17="","",COUNTIFS('הזנה רכישה'!$B$6:$B$1505,$A17,'הזנה רכישה'!$A$6:$A$1505,$B$4,'הזנה רכישה'!$F$6:$F$1505,"תחילת שנה"))</f>
        <v/>
      </c>
      <c r="T17" s="49">
        <f>IF($A17="","",COUNTIFS('הזנה רכישה'!$B$6:$B$1505,$A17,'הזנה רכישה'!$A$6:$A$1505,$B$4,'הזנה רכישה'!$F$6:$F$1505,"מחצית שנה"))</f>
        <v/>
      </c>
      <c r="U17" s="49">
        <f>IF($A17="","",COUNTIFS('הזנה רכישה'!$B$6:$B$1505,$A17,'הזנה רכישה'!$A$6:$A$1505,$B$4,'הזנה רכישה'!$F$6:$F$1505,"סוף השנה"))</f>
        <v/>
      </c>
      <c r="V17" s="49">
        <f>IF($A17="","",SUMPRODUCT(('הזנה ב-ו'!$B$6:$B$1505=$A17)*('הזנה ב-ו'!$A$6:$A$1505=$B$4)*('הזנה ב-ו'!$F$6:$F$1505=$D$4)*(LEN('הזנה ב-ו'!$AK$6:$AK$1505)&gt;0)))</f>
        <v/>
      </c>
    </row>
    <row r="18">
      <c r="A18" s="48">
        <f>IF('רשימות'!$A15="","",'רשימות'!$A15)</f>
        <v/>
      </c>
      <c r="B18" s="49">
        <f>IF($A18="","",COUNTIFS('הזנה ב-ו'!$B$6:$B$1505,$A18,'הזנה ב-ו'!$A$6:$A$1505,$B$4,'הזנה ב-ו'!$F$6:$F$1505,$D$4))</f>
        <v/>
      </c>
      <c r="C18" s="49">
        <f>IF($A18="","",COUNTIFS('הזנה ב-ו'!$B$6:$B$1505,$A18,'הזנה ב-ו'!$A$6:$A$1505,$B$4,'הזנה ב-ו'!$F$6:$F$1505,$D$4,'הזנה ב-ו'!$AC$6:$AC$1505,"רמה א'"))</f>
        <v/>
      </c>
      <c r="D18" s="49">
        <f>IF($A18="","",COUNTIFS('הזנה ב-ו'!$B$6:$B$1505,$A18,'הזנה ב-ו'!$A$6:$A$1505,$B$4,'הזנה ב-ו'!$F$6:$F$1505,$D$4,'הזנה ב-ו'!$AC$6:$AC$1505,"רמה ב'"))</f>
        <v/>
      </c>
      <c r="E18" s="49">
        <f>IF($A18="","",COUNTIFS('הזנה ב-ו'!$B$6:$B$1505,$A18,'הזנה ב-ו'!$A$6:$A$1505,$B$4,'הזנה ב-ו'!$F$6:$F$1505,$D$4,'הזנה ב-ו'!$AC$6:$AC$1505,"רמה ג'"))</f>
        <v/>
      </c>
      <c r="F18" s="50">
        <f>IF(OR($A18="",SUM($C18:$E18)=0),"",$C18/SUM($C18:$E18))</f>
        <v/>
      </c>
      <c r="G18" s="49">
        <f>IF($A18="","",$B18-SUM($C18:$E18))</f>
        <v/>
      </c>
      <c r="H18" s="49">
        <f>IF($A18="","",COUNTIFS('הזנה רכישה'!$B$6:$B$1505,$A18,'הזנה רכישה'!$A$6:$A$1505,$B$4,'הזנה רכישה'!$F$6:$F$1505,$D$4))</f>
        <v/>
      </c>
      <c r="I18" s="49">
        <f>IF($A18="","",COUNTIFS('הזנה רכישה'!$B$6:$B$1505,$A18,'הזנה רכישה'!$A$6:$A$1505,$B$4,'הזנה רכישה'!$F$6:$F$1505,$D$4,'הזנה רכישה'!$Q$6:$Q$1505,"פרופיל 5"))</f>
        <v/>
      </c>
      <c r="J18" s="49">
        <f>IF($A18="","",COUNTIFS('הזנה רכישה'!$B$6:$B$1505,$A18,'הזנה רכישה'!$A$6:$A$1505,$B$4,'הזנה רכישה'!$F$6:$F$1505,$D$4,'הזנה רכישה'!$Q$6:$Q$1505,"פרופיל 4"))</f>
        <v/>
      </c>
      <c r="K18" s="49">
        <f>IF($A18="","",COUNTIFS('הזנה רכישה'!$B$6:$B$1505,$A18,'הזנה רכישה'!$A$6:$A$1505,$B$4,'הזנה רכישה'!$F$6:$F$1505,$D$4,'הזנה רכישה'!$Q$6:$Q$1505,"פרופיל 3"))</f>
        <v/>
      </c>
      <c r="L18" s="49">
        <f>IF($A18="","",COUNTIFS('הזנה רכישה'!$B$6:$B$1505,$A18,'הזנה רכישה'!$A$6:$A$1505,$B$4,'הזנה רכישה'!$F$6:$F$1505,$D$4,'הזנה רכישה'!$Q$6:$Q$1505,"פרופיל 2"))</f>
        <v/>
      </c>
      <c r="M18" s="49">
        <f>IF($A18="","",COUNTIFS('הזנה ב-ו'!$B$6:$B$1505,$A18,'הזנה ב-ו'!$A$6:$A$1505,$B$4,'הזנה ב-ו'!$F$6:$F$1505,"תחילת שנה",'הזנה ב-ו'!$AC$6:$AC$1505,"רמה א'"))</f>
        <v/>
      </c>
      <c r="N18" s="49">
        <f>IF($A18="","",COUNTIFS('הזנה ב-ו'!$B$6:$B$1505,$A18,'הזנה ב-ו'!$A$6:$A$1505,$B$4,'הזנה ב-ו'!$F$6:$F$1505,"מחצית שנה",'הזנה ב-ו'!$AC$6:$AC$1505,"רמה א'"))</f>
        <v/>
      </c>
      <c r="O18" s="49">
        <f>IF($A18="","",COUNTIFS('הזנה ב-ו'!$B$6:$B$1505,$A18,'הזנה ב-ו'!$A$6:$A$1505,$B$4,'הזנה ב-ו'!$F$6:$F$1505,"סוף השנה",'הזנה ב-ו'!$AC$6:$AC$1505,"רמה א'"))</f>
        <v/>
      </c>
      <c r="P18" s="49">
        <f>IF($A18="","",COUNTIFS('הזנה ב-ו'!$B$6:$B$1505,$A18,'הזנה ב-ו'!$A$6:$A$1505,$B$4,'הזנה ב-ו'!$F$6:$F$1505,"תחילת שנה",'הזנה ב-ו'!$AC$6:$AC$1505,"רמה ג'"))</f>
        <v/>
      </c>
      <c r="Q18" s="49">
        <f>IF($A18="","",COUNTIFS('הזנה ב-ו'!$B$6:$B$1505,$A18,'הזנה ב-ו'!$A$6:$A$1505,$B$4,'הזנה ב-ו'!$F$6:$F$1505,"מחצית שנה",'הזנה ב-ו'!$AC$6:$AC$1505,"רמה ג'"))</f>
        <v/>
      </c>
      <c r="R18" s="49">
        <f>IF($A18="","",COUNTIFS('הזנה ב-ו'!$B$6:$B$1505,$A18,'הזנה ב-ו'!$A$6:$A$1505,$B$4,'הזנה ב-ו'!$F$6:$F$1505,"סוף השנה",'הזנה ב-ו'!$AC$6:$AC$1505,"רמה ג'"))</f>
        <v/>
      </c>
      <c r="S18" s="49">
        <f>IF($A18="","",COUNTIFS('הזנה רכישה'!$B$6:$B$1505,$A18,'הזנה רכישה'!$A$6:$A$1505,$B$4,'הזנה רכישה'!$F$6:$F$1505,"תחילת שנה"))</f>
        <v/>
      </c>
      <c r="T18" s="49">
        <f>IF($A18="","",COUNTIFS('הזנה רכישה'!$B$6:$B$1505,$A18,'הזנה רכישה'!$A$6:$A$1505,$B$4,'הזנה רכישה'!$F$6:$F$1505,"מחצית שנה"))</f>
        <v/>
      </c>
      <c r="U18" s="49">
        <f>IF($A18="","",COUNTIFS('הזנה רכישה'!$B$6:$B$1505,$A18,'הזנה רכישה'!$A$6:$A$1505,$B$4,'הזנה רכישה'!$F$6:$F$1505,"סוף השנה"))</f>
        <v/>
      </c>
      <c r="V18" s="49">
        <f>IF($A18="","",SUMPRODUCT(('הזנה ב-ו'!$B$6:$B$1505=$A18)*('הזנה ב-ו'!$A$6:$A$1505=$B$4)*('הזנה ב-ו'!$F$6:$F$1505=$D$4)*(LEN('הזנה ב-ו'!$AK$6:$AK$1505)&gt;0)))</f>
        <v/>
      </c>
    </row>
    <row r="19">
      <c r="A19" s="48">
        <f>IF('רשימות'!$A16="","",'רשימות'!$A16)</f>
        <v/>
      </c>
      <c r="B19" s="49">
        <f>IF($A19="","",COUNTIFS('הזנה ב-ו'!$B$6:$B$1505,$A19,'הזנה ב-ו'!$A$6:$A$1505,$B$4,'הזנה ב-ו'!$F$6:$F$1505,$D$4))</f>
        <v/>
      </c>
      <c r="C19" s="49">
        <f>IF($A19="","",COUNTIFS('הזנה ב-ו'!$B$6:$B$1505,$A19,'הזנה ב-ו'!$A$6:$A$1505,$B$4,'הזנה ב-ו'!$F$6:$F$1505,$D$4,'הזנה ב-ו'!$AC$6:$AC$1505,"רמה א'"))</f>
        <v/>
      </c>
      <c r="D19" s="49">
        <f>IF($A19="","",COUNTIFS('הזנה ב-ו'!$B$6:$B$1505,$A19,'הזנה ב-ו'!$A$6:$A$1505,$B$4,'הזנה ב-ו'!$F$6:$F$1505,$D$4,'הזנה ב-ו'!$AC$6:$AC$1505,"רמה ב'"))</f>
        <v/>
      </c>
      <c r="E19" s="49">
        <f>IF($A19="","",COUNTIFS('הזנה ב-ו'!$B$6:$B$1505,$A19,'הזנה ב-ו'!$A$6:$A$1505,$B$4,'הזנה ב-ו'!$F$6:$F$1505,$D$4,'הזנה ב-ו'!$AC$6:$AC$1505,"רמה ג'"))</f>
        <v/>
      </c>
      <c r="F19" s="50">
        <f>IF(OR($A19="",SUM($C19:$E19)=0),"",$C19/SUM($C19:$E19))</f>
        <v/>
      </c>
      <c r="G19" s="49">
        <f>IF($A19="","",$B19-SUM($C19:$E19))</f>
        <v/>
      </c>
      <c r="H19" s="49">
        <f>IF($A19="","",COUNTIFS('הזנה רכישה'!$B$6:$B$1505,$A19,'הזנה רכישה'!$A$6:$A$1505,$B$4,'הזנה רכישה'!$F$6:$F$1505,$D$4))</f>
        <v/>
      </c>
      <c r="I19" s="49">
        <f>IF($A19="","",COUNTIFS('הזנה רכישה'!$B$6:$B$1505,$A19,'הזנה רכישה'!$A$6:$A$1505,$B$4,'הזנה רכישה'!$F$6:$F$1505,$D$4,'הזנה רכישה'!$Q$6:$Q$1505,"פרופיל 5"))</f>
        <v/>
      </c>
      <c r="J19" s="49">
        <f>IF($A19="","",COUNTIFS('הזנה רכישה'!$B$6:$B$1505,$A19,'הזנה רכישה'!$A$6:$A$1505,$B$4,'הזנה רכישה'!$F$6:$F$1505,$D$4,'הזנה רכישה'!$Q$6:$Q$1505,"פרופיל 4"))</f>
        <v/>
      </c>
      <c r="K19" s="49">
        <f>IF($A19="","",COUNTIFS('הזנה רכישה'!$B$6:$B$1505,$A19,'הזנה רכישה'!$A$6:$A$1505,$B$4,'הזנה רכישה'!$F$6:$F$1505,$D$4,'הזנה רכישה'!$Q$6:$Q$1505,"פרופיל 3"))</f>
        <v/>
      </c>
      <c r="L19" s="49">
        <f>IF($A19="","",COUNTIFS('הזנה רכישה'!$B$6:$B$1505,$A19,'הזנה רכישה'!$A$6:$A$1505,$B$4,'הזנה רכישה'!$F$6:$F$1505,$D$4,'הזנה רכישה'!$Q$6:$Q$1505,"פרופיל 2"))</f>
        <v/>
      </c>
      <c r="M19" s="49">
        <f>IF($A19="","",COUNTIFS('הזנה ב-ו'!$B$6:$B$1505,$A19,'הזנה ב-ו'!$A$6:$A$1505,$B$4,'הזנה ב-ו'!$F$6:$F$1505,"תחילת שנה",'הזנה ב-ו'!$AC$6:$AC$1505,"רמה א'"))</f>
        <v/>
      </c>
      <c r="N19" s="49">
        <f>IF($A19="","",COUNTIFS('הזנה ב-ו'!$B$6:$B$1505,$A19,'הזנה ב-ו'!$A$6:$A$1505,$B$4,'הזנה ב-ו'!$F$6:$F$1505,"מחצית שנה",'הזנה ב-ו'!$AC$6:$AC$1505,"רמה א'"))</f>
        <v/>
      </c>
      <c r="O19" s="49">
        <f>IF($A19="","",COUNTIFS('הזנה ב-ו'!$B$6:$B$1505,$A19,'הזנה ב-ו'!$A$6:$A$1505,$B$4,'הזנה ב-ו'!$F$6:$F$1505,"סוף השנה",'הזנה ב-ו'!$AC$6:$AC$1505,"רמה א'"))</f>
        <v/>
      </c>
      <c r="P19" s="49">
        <f>IF($A19="","",COUNTIFS('הזנה ב-ו'!$B$6:$B$1505,$A19,'הזנה ב-ו'!$A$6:$A$1505,$B$4,'הזנה ב-ו'!$F$6:$F$1505,"תחילת שנה",'הזנה ב-ו'!$AC$6:$AC$1505,"רמה ג'"))</f>
        <v/>
      </c>
      <c r="Q19" s="49">
        <f>IF($A19="","",COUNTIFS('הזנה ב-ו'!$B$6:$B$1505,$A19,'הזנה ב-ו'!$A$6:$A$1505,$B$4,'הזנה ב-ו'!$F$6:$F$1505,"מחצית שנה",'הזנה ב-ו'!$AC$6:$AC$1505,"רמה ג'"))</f>
        <v/>
      </c>
      <c r="R19" s="49">
        <f>IF($A19="","",COUNTIFS('הזנה ב-ו'!$B$6:$B$1505,$A19,'הזנה ב-ו'!$A$6:$A$1505,$B$4,'הזנה ב-ו'!$F$6:$F$1505,"סוף השנה",'הזנה ב-ו'!$AC$6:$AC$1505,"רמה ג'"))</f>
        <v/>
      </c>
      <c r="S19" s="49">
        <f>IF($A19="","",COUNTIFS('הזנה רכישה'!$B$6:$B$1505,$A19,'הזנה רכישה'!$A$6:$A$1505,$B$4,'הזנה רכישה'!$F$6:$F$1505,"תחילת שנה"))</f>
        <v/>
      </c>
      <c r="T19" s="49">
        <f>IF($A19="","",COUNTIFS('הזנה רכישה'!$B$6:$B$1505,$A19,'הזנה רכישה'!$A$6:$A$1505,$B$4,'הזנה רכישה'!$F$6:$F$1505,"מחצית שנה"))</f>
        <v/>
      </c>
      <c r="U19" s="49">
        <f>IF($A19="","",COUNTIFS('הזנה רכישה'!$B$6:$B$1505,$A19,'הזנה רכישה'!$A$6:$A$1505,$B$4,'הזנה רכישה'!$F$6:$F$1505,"סוף השנה"))</f>
        <v/>
      </c>
      <c r="V19" s="49">
        <f>IF($A19="","",SUMPRODUCT(('הזנה ב-ו'!$B$6:$B$1505=$A19)*('הזנה ב-ו'!$A$6:$A$1505=$B$4)*('הזנה ב-ו'!$F$6:$F$1505=$D$4)*(LEN('הזנה ב-ו'!$AK$6:$AK$1505)&gt;0)))</f>
        <v/>
      </c>
    </row>
    <row r="20">
      <c r="A20" s="48">
        <f>IF('רשימות'!$A17="","",'רשימות'!$A17)</f>
        <v/>
      </c>
      <c r="B20" s="49">
        <f>IF($A20="","",COUNTIFS('הזנה ב-ו'!$B$6:$B$1505,$A20,'הזנה ב-ו'!$A$6:$A$1505,$B$4,'הזנה ב-ו'!$F$6:$F$1505,$D$4))</f>
        <v/>
      </c>
      <c r="C20" s="49">
        <f>IF($A20="","",COUNTIFS('הזנה ב-ו'!$B$6:$B$1505,$A20,'הזנה ב-ו'!$A$6:$A$1505,$B$4,'הזנה ב-ו'!$F$6:$F$1505,$D$4,'הזנה ב-ו'!$AC$6:$AC$1505,"רמה א'"))</f>
        <v/>
      </c>
      <c r="D20" s="49">
        <f>IF($A20="","",COUNTIFS('הזנה ב-ו'!$B$6:$B$1505,$A20,'הזנה ב-ו'!$A$6:$A$1505,$B$4,'הזנה ב-ו'!$F$6:$F$1505,$D$4,'הזנה ב-ו'!$AC$6:$AC$1505,"רמה ב'"))</f>
        <v/>
      </c>
      <c r="E20" s="49">
        <f>IF($A20="","",COUNTIFS('הזנה ב-ו'!$B$6:$B$1505,$A20,'הזנה ב-ו'!$A$6:$A$1505,$B$4,'הזנה ב-ו'!$F$6:$F$1505,$D$4,'הזנה ב-ו'!$AC$6:$AC$1505,"רמה ג'"))</f>
        <v/>
      </c>
      <c r="F20" s="50">
        <f>IF(OR($A20="",SUM($C20:$E20)=0),"",$C20/SUM($C20:$E20))</f>
        <v/>
      </c>
      <c r="G20" s="49">
        <f>IF($A20="","",$B20-SUM($C20:$E20))</f>
        <v/>
      </c>
      <c r="H20" s="49">
        <f>IF($A20="","",COUNTIFS('הזנה רכישה'!$B$6:$B$1505,$A20,'הזנה רכישה'!$A$6:$A$1505,$B$4,'הזנה רכישה'!$F$6:$F$1505,$D$4))</f>
        <v/>
      </c>
      <c r="I20" s="49">
        <f>IF($A20="","",COUNTIFS('הזנה רכישה'!$B$6:$B$1505,$A20,'הזנה רכישה'!$A$6:$A$1505,$B$4,'הזנה רכישה'!$F$6:$F$1505,$D$4,'הזנה רכישה'!$Q$6:$Q$1505,"פרופיל 5"))</f>
        <v/>
      </c>
      <c r="J20" s="49">
        <f>IF($A20="","",COUNTIFS('הזנה רכישה'!$B$6:$B$1505,$A20,'הזנה רכישה'!$A$6:$A$1505,$B$4,'הזנה רכישה'!$F$6:$F$1505,$D$4,'הזנה רכישה'!$Q$6:$Q$1505,"פרופיל 4"))</f>
        <v/>
      </c>
      <c r="K20" s="49">
        <f>IF($A20="","",COUNTIFS('הזנה רכישה'!$B$6:$B$1505,$A20,'הזנה רכישה'!$A$6:$A$1505,$B$4,'הזנה רכישה'!$F$6:$F$1505,$D$4,'הזנה רכישה'!$Q$6:$Q$1505,"פרופיל 3"))</f>
        <v/>
      </c>
      <c r="L20" s="49">
        <f>IF($A20="","",COUNTIFS('הזנה רכישה'!$B$6:$B$1505,$A20,'הזנה רכישה'!$A$6:$A$1505,$B$4,'הזנה רכישה'!$F$6:$F$1505,$D$4,'הזנה רכישה'!$Q$6:$Q$1505,"פרופיל 2"))</f>
        <v/>
      </c>
      <c r="M20" s="49">
        <f>IF($A20="","",COUNTIFS('הזנה ב-ו'!$B$6:$B$1505,$A20,'הזנה ב-ו'!$A$6:$A$1505,$B$4,'הזנה ב-ו'!$F$6:$F$1505,"תחילת שנה",'הזנה ב-ו'!$AC$6:$AC$1505,"רמה א'"))</f>
        <v/>
      </c>
      <c r="N20" s="49">
        <f>IF($A20="","",COUNTIFS('הזנה ב-ו'!$B$6:$B$1505,$A20,'הזנה ב-ו'!$A$6:$A$1505,$B$4,'הזנה ב-ו'!$F$6:$F$1505,"מחצית שנה",'הזנה ב-ו'!$AC$6:$AC$1505,"רמה א'"))</f>
        <v/>
      </c>
      <c r="O20" s="49">
        <f>IF($A20="","",COUNTIFS('הזנה ב-ו'!$B$6:$B$1505,$A20,'הזנה ב-ו'!$A$6:$A$1505,$B$4,'הזנה ב-ו'!$F$6:$F$1505,"סוף השנה",'הזנה ב-ו'!$AC$6:$AC$1505,"רמה א'"))</f>
        <v/>
      </c>
      <c r="P20" s="49">
        <f>IF($A20="","",COUNTIFS('הזנה ב-ו'!$B$6:$B$1505,$A20,'הזנה ב-ו'!$A$6:$A$1505,$B$4,'הזנה ב-ו'!$F$6:$F$1505,"תחילת שנה",'הזנה ב-ו'!$AC$6:$AC$1505,"רמה ג'"))</f>
        <v/>
      </c>
      <c r="Q20" s="49">
        <f>IF($A20="","",COUNTIFS('הזנה ב-ו'!$B$6:$B$1505,$A20,'הזנה ב-ו'!$A$6:$A$1505,$B$4,'הזנה ב-ו'!$F$6:$F$1505,"מחצית שנה",'הזנה ב-ו'!$AC$6:$AC$1505,"רמה ג'"))</f>
        <v/>
      </c>
      <c r="R20" s="49">
        <f>IF($A20="","",COUNTIFS('הזנה ב-ו'!$B$6:$B$1505,$A20,'הזנה ב-ו'!$A$6:$A$1505,$B$4,'הזנה ב-ו'!$F$6:$F$1505,"סוף השנה",'הזנה ב-ו'!$AC$6:$AC$1505,"רמה ג'"))</f>
        <v/>
      </c>
      <c r="S20" s="49">
        <f>IF($A20="","",COUNTIFS('הזנה רכישה'!$B$6:$B$1505,$A20,'הזנה רכישה'!$A$6:$A$1505,$B$4,'הזנה רכישה'!$F$6:$F$1505,"תחילת שנה"))</f>
        <v/>
      </c>
      <c r="T20" s="49">
        <f>IF($A20="","",COUNTIFS('הזנה רכישה'!$B$6:$B$1505,$A20,'הזנה רכישה'!$A$6:$A$1505,$B$4,'הזנה רכישה'!$F$6:$F$1505,"מחצית שנה"))</f>
        <v/>
      </c>
      <c r="U20" s="49">
        <f>IF($A20="","",COUNTIFS('הזנה רכישה'!$B$6:$B$1505,$A20,'הזנה רכישה'!$A$6:$A$1505,$B$4,'הזנה רכישה'!$F$6:$F$1505,"סוף השנה"))</f>
        <v/>
      </c>
      <c r="V20" s="49">
        <f>IF($A20="","",SUMPRODUCT(('הזנה ב-ו'!$B$6:$B$1505=$A20)*('הזנה ב-ו'!$A$6:$A$1505=$B$4)*('הזנה ב-ו'!$F$6:$F$1505=$D$4)*(LEN('הזנה ב-ו'!$AK$6:$AK$1505)&gt;0)))</f>
        <v/>
      </c>
    </row>
    <row r="21" ht="15.75" customHeight="1" s="58">
      <c r="A21" s="48">
        <f>IF('רשימות'!$A18="","",'רשימות'!$A18)</f>
        <v/>
      </c>
      <c r="B21" s="49">
        <f>IF($A21="","",COUNTIFS('הזנה ב-ו'!$B$6:$B$1505,$A21,'הזנה ב-ו'!$A$6:$A$1505,$B$4,'הזנה ב-ו'!$F$6:$F$1505,$D$4))</f>
        <v/>
      </c>
      <c r="C21" s="49">
        <f>IF($A21="","",COUNTIFS('הזנה ב-ו'!$B$6:$B$1505,$A21,'הזנה ב-ו'!$A$6:$A$1505,$B$4,'הזנה ב-ו'!$F$6:$F$1505,$D$4,'הזנה ב-ו'!$AC$6:$AC$1505,"רמה א'"))</f>
        <v/>
      </c>
      <c r="D21" s="49">
        <f>IF($A21="","",COUNTIFS('הזנה ב-ו'!$B$6:$B$1505,$A21,'הזנה ב-ו'!$A$6:$A$1505,$B$4,'הזנה ב-ו'!$F$6:$F$1505,$D$4,'הזנה ב-ו'!$AC$6:$AC$1505,"רמה ב'"))</f>
        <v/>
      </c>
      <c r="E21" s="49">
        <f>IF($A21="","",COUNTIFS('הזנה ב-ו'!$B$6:$B$1505,$A21,'הזנה ב-ו'!$A$6:$A$1505,$B$4,'הזנה ב-ו'!$F$6:$F$1505,$D$4,'הזנה ב-ו'!$AC$6:$AC$1505,"רמה ג'"))</f>
        <v/>
      </c>
      <c r="F21" s="50">
        <f>IF(OR($A21="",SUM($C21:$E21)=0),"",$C21/SUM($C21:$E21))</f>
        <v/>
      </c>
      <c r="G21" s="49">
        <f>IF($A21="","",$B21-SUM($C21:$E21))</f>
        <v/>
      </c>
      <c r="H21" s="49">
        <f>IF($A21="","",COUNTIFS('הזנה רכישה'!$B$6:$B$1505,$A21,'הזנה רכישה'!$A$6:$A$1505,$B$4,'הזנה רכישה'!$F$6:$F$1505,$D$4))</f>
        <v/>
      </c>
      <c r="I21" s="49">
        <f>IF($A21="","",COUNTIFS('הזנה רכישה'!$B$6:$B$1505,$A21,'הזנה רכישה'!$A$6:$A$1505,$B$4,'הזנה רכישה'!$F$6:$F$1505,$D$4,'הזנה רכישה'!$Q$6:$Q$1505,"פרופיל 5"))</f>
        <v/>
      </c>
      <c r="J21" s="49">
        <f>IF($A21="","",COUNTIFS('הזנה רכישה'!$B$6:$B$1505,$A21,'הזנה רכישה'!$A$6:$A$1505,$B$4,'הזנה רכישה'!$F$6:$F$1505,$D$4,'הזנה רכישה'!$Q$6:$Q$1505,"פרופיל 4"))</f>
        <v/>
      </c>
      <c r="K21" s="49">
        <f>IF($A21="","",COUNTIFS('הזנה רכישה'!$B$6:$B$1505,$A21,'הזנה רכישה'!$A$6:$A$1505,$B$4,'הזנה רכישה'!$F$6:$F$1505,$D$4,'הזנה רכישה'!$Q$6:$Q$1505,"פרופיל 3"))</f>
        <v/>
      </c>
      <c r="L21" s="49">
        <f>IF($A21="","",COUNTIFS('הזנה רכישה'!$B$6:$B$1505,$A21,'הזנה רכישה'!$A$6:$A$1505,$B$4,'הזנה רכישה'!$F$6:$F$1505,$D$4,'הזנה רכישה'!$Q$6:$Q$1505,"פרופיל 2"))</f>
        <v/>
      </c>
      <c r="M21" s="49">
        <f>IF($A21="","",COUNTIFS('הזנה ב-ו'!$B$6:$B$1505,$A21,'הזנה ב-ו'!$A$6:$A$1505,$B$4,'הזנה ב-ו'!$F$6:$F$1505,"תחילת שנה",'הזנה ב-ו'!$AC$6:$AC$1505,"רמה א'"))</f>
        <v/>
      </c>
      <c r="N21" s="49">
        <f>IF($A21="","",COUNTIFS('הזנה ב-ו'!$B$6:$B$1505,$A21,'הזנה ב-ו'!$A$6:$A$1505,$B$4,'הזנה ב-ו'!$F$6:$F$1505,"מחצית שנה",'הזנה ב-ו'!$AC$6:$AC$1505,"רמה א'"))</f>
        <v/>
      </c>
      <c r="O21" s="49">
        <f>IF($A21="","",COUNTIFS('הזנה ב-ו'!$B$6:$B$1505,$A21,'הזנה ב-ו'!$A$6:$A$1505,$B$4,'הזנה ב-ו'!$F$6:$F$1505,"סוף השנה",'הזנה ב-ו'!$AC$6:$AC$1505,"רמה א'"))</f>
        <v/>
      </c>
      <c r="P21" s="49">
        <f>IF($A21="","",COUNTIFS('הזנה ב-ו'!$B$6:$B$1505,$A21,'הזנה ב-ו'!$A$6:$A$1505,$B$4,'הזנה ב-ו'!$F$6:$F$1505,"תחילת שנה",'הזנה ב-ו'!$AC$6:$AC$1505,"רמה ג'"))</f>
        <v/>
      </c>
      <c r="Q21" s="49">
        <f>IF($A21="","",COUNTIFS('הזנה ב-ו'!$B$6:$B$1505,$A21,'הזנה ב-ו'!$A$6:$A$1505,$B$4,'הזנה ב-ו'!$F$6:$F$1505,"מחצית שנה",'הזנה ב-ו'!$AC$6:$AC$1505,"רמה ג'"))</f>
        <v/>
      </c>
      <c r="R21" s="49">
        <f>IF($A21="","",COUNTIFS('הזנה ב-ו'!$B$6:$B$1505,$A21,'הזנה ב-ו'!$A$6:$A$1505,$B$4,'הזנה ב-ו'!$F$6:$F$1505,"סוף השנה",'הזנה ב-ו'!$AC$6:$AC$1505,"רמה ג'"))</f>
        <v/>
      </c>
      <c r="S21" s="49">
        <f>IF($A21="","",COUNTIFS('הזנה רכישה'!$B$6:$B$1505,$A21,'הזנה רכישה'!$A$6:$A$1505,$B$4,'הזנה רכישה'!$F$6:$F$1505,"תחילת שנה"))</f>
        <v/>
      </c>
      <c r="T21" s="49">
        <f>IF($A21="","",COUNTIFS('הזנה רכישה'!$B$6:$B$1505,$A21,'הזנה רכישה'!$A$6:$A$1505,$B$4,'הזנה רכישה'!$F$6:$F$1505,"מחצית שנה"))</f>
        <v/>
      </c>
      <c r="U21" s="49">
        <f>IF($A21="","",COUNTIFS('הזנה רכישה'!$B$6:$B$1505,$A21,'הזנה רכישה'!$A$6:$A$1505,$B$4,'הזנה רכישה'!$F$6:$F$1505,"סוף השנה"))</f>
        <v/>
      </c>
      <c r="V21" s="49">
        <f>IF($A21="","",SUMPRODUCT(('הזנה ב-ו'!$B$6:$B$1505=$A21)*('הזנה ב-ו'!$A$6:$A$1505=$B$4)*('הזנה ב-ו'!$F$6:$F$1505=$D$4)*(LEN('הזנה ב-ו'!$AK$6:$AK$1505)&gt;0)))</f>
        <v/>
      </c>
    </row>
    <row r="22" ht="15.75" customHeight="1" s="58">
      <c r="A22" s="48">
        <f>IF('רשימות'!$A19="","",'רשימות'!$A19)</f>
        <v/>
      </c>
      <c r="B22" s="49">
        <f>IF($A22="","",COUNTIFS('הזנה ב-ו'!$B$6:$B$1505,$A22,'הזנה ב-ו'!$A$6:$A$1505,$B$4,'הזנה ב-ו'!$F$6:$F$1505,$D$4))</f>
        <v/>
      </c>
      <c r="C22" s="49">
        <f>IF($A22="","",COUNTIFS('הזנה ב-ו'!$B$6:$B$1505,$A22,'הזנה ב-ו'!$A$6:$A$1505,$B$4,'הזנה ב-ו'!$F$6:$F$1505,$D$4,'הזנה ב-ו'!$AC$6:$AC$1505,"רמה א'"))</f>
        <v/>
      </c>
      <c r="D22" s="49">
        <f>IF($A22="","",COUNTIFS('הזנה ב-ו'!$B$6:$B$1505,$A22,'הזנה ב-ו'!$A$6:$A$1505,$B$4,'הזנה ב-ו'!$F$6:$F$1505,$D$4,'הזנה ב-ו'!$AC$6:$AC$1505,"רמה ב'"))</f>
        <v/>
      </c>
      <c r="E22" s="49">
        <f>IF($A22="","",COUNTIFS('הזנה ב-ו'!$B$6:$B$1505,$A22,'הזנה ב-ו'!$A$6:$A$1505,$B$4,'הזנה ב-ו'!$F$6:$F$1505,$D$4,'הזנה ב-ו'!$AC$6:$AC$1505,"רמה ג'"))</f>
        <v/>
      </c>
      <c r="F22" s="50">
        <f>IF(OR($A22="",SUM($C22:$E22)=0),"",$C22/SUM($C22:$E22))</f>
        <v/>
      </c>
      <c r="G22" s="49">
        <f>IF($A22="","",$B22-SUM($C22:$E22))</f>
        <v/>
      </c>
      <c r="H22" s="49">
        <f>IF($A22="","",COUNTIFS('הזנה רכישה'!$B$6:$B$1505,$A22,'הזנה רכישה'!$A$6:$A$1505,$B$4,'הזנה רכישה'!$F$6:$F$1505,$D$4))</f>
        <v/>
      </c>
      <c r="I22" s="49">
        <f>IF($A22="","",COUNTIFS('הזנה רכישה'!$B$6:$B$1505,$A22,'הזנה רכישה'!$A$6:$A$1505,$B$4,'הזנה רכישה'!$F$6:$F$1505,$D$4,'הזנה רכישה'!$Q$6:$Q$1505,"פרופיל 5"))</f>
        <v/>
      </c>
      <c r="J22" s="49">
        <f>IF($A22="","",COUNTIFS('הזנה רכישה'!$B$6:$B$1505,$A22,'הזנה רכישה'!$A$6:$A$1505,$B$4,'הזנה רכישה'!$F$6:$F$1505,$D$4,'הזנה רכישה'!$Q$6:$Q$1505,"פרופיל 4"))</f>
        <v/>
      </c>
      <c r="K22" s="49">
        <f>IF($A22="","",COUNTIFS('הזנה רכישה'!$B$6:$B$1505,$A22,'הזנה רכישה'!$A$6:$A$1505,$B$4,'הזנה רכישה'!$F$6:$F$1505,$D$4,'הזנה רכישה'!$Q$6:$Q$1505,"פרופיל 3"))</f>
        <v/>
      </c>
      <c r="L22" s="49">
        <f>IF($A22="","",COUNTIFS('הזנה רכישה'!$B$6:$B$1505,$A22,'הזנה רכישה'!$A$6:$A$1505,$B$4,'הזנה רכישה'!$F$6:$F$1505,$D$4,'הזנה רכישה'!$Q$6:$Q$1505,"פרופיל 2"))</f>
        <v/>
      </c>
      <c r="M22" s="49">
        <f>IF($A22="","",COUNTIFS('הזנה ב-ו'!$B$6:$B$1505,$A22,'הזנה ב-ו'!$A$6:$A$1505,$B$4,'הזנה ב-ו'!$F$6:$F$1505,"תחילת שנה",'הזנה ב-ו'!$AC$6:$AC$1505,"רמה א'"))</f>
        <v/>
      </c>
      <c r="N22" s="49">
        <f>IF($A22="","",COUNTIFS('הזנה ב-ו'!$B$6:$B$1505,$A22,'הזנה ב-ו'!$A$6:$A$1505,$B$4,'הזנה ב-ו'!$F$6:$F$1505,"מחצית שנה",'הזנה ב-ו'!$AC$6:$AC$1505,"רמה א'"))</f>
        <v/>
      </c>
      <c r="O22" s="49">
        <f>IF($A22="","",COUNTIFS('הזנה ב-ו'!$B$6:$B$1505,$A22,'הזנה ב-ו'!$A$6:$A$1505,$B$4,'הזנה ב-ו'!$F$6:$F$1505,"סוף השנה",'הזנה ב-ו'!$AC$6:$AC$1505,"רמה א'"))</f>
        <v/>
      </c>
      <c r="P22" s="49">
        <f>IF($A22="","",COUNTIFS('הזנה ב-ו'!$B$6:$B$1505,$A22,'הזנה ב-ו'!$A$6:$A$1505,$B$4,'הזנה ב-ו'!$F$6:$F$1505,"תחילת שנה",'הזנה ב-ו'!$AC$6:$AC$1505,"רמה ג'"))</f>
        <v/>
      </c>
      <c r="Q22" s="49">
        <f>IF($A22="","",COUNTIFS('הזנה ב-ו'!$B$6:$B$1505,$A22,'הזנה ב-ו'!$A$6:$A$1505,$B$4,'הזנה ב-ו'!$F$6:$F$1505,"מחצית שנה",'הזנה ב-ו'!$AC$6:$AC$1505,"רמה ג'"))</f>
        <v/>
      </c>
      <c r="R22" s="49">
        <f>IF($A22="","",COUNTIFS('הזנה ב-ו'!$B$6:$B$1505,$A22,'הזנה ב-ו'!$A$6:$A$1505,$B$4,'הזנה ב-ו'!$F$6:$F$1505,"סוף השנה",'הזנה ב-ו'!$AC$6:$AC$1505,"רמה ג'"))</f>
        <v/>
      </c>
      <c r="S22" s="49">
        <f>IF($A22="","",COUNTIFS('הזנה רכישה'!$B$6:$B$1505,$A22,'הזנה רכישה'!$A$6:$A$1505,$B$4,'הזנה רכישה'!$F$6:$F$1505,"תחילת שנה"))</f>
        <v/>
      </c>
      <c r="T22" s="49">
        <f>IF($A22="","",COUNTIFS('הזנה רכישה'!$B$6:$B$1505,$A22,'הזנה רכישה'!$A$6:$A$1505,$B$4,'הזנה רכישה'!$F$6:$F$1505,"מחצית שנה"))</f>
        <v/>
      </c>
      <c r="U22" s="49">
        <f>IF($A22="","",COUNTIFS('הזנה רכישה'!$B$6:$B$1505,$A22,'הזנה רכישה'!$A$6:$A$1505,$B$4,'הזנה רכישה'!$F$6:$F$1505,"סוף השנה"))</f>
        <v/>
      </c>
      <c r="V22" s="49">
        <f>IF($A22="","",SUMPRODUCT(('הזנה ב-ו'!$B$6:$B$1505=$A22)*('הזנה ב-ו'!$A$6:$A$1505=$B$4)*('הזנה ב-ו'!$F$6:$F$1505=$D$4)*(LEN('הזנה ב-ו'!$AK$6:$AK$1505)&gt;0)))</f>
        <v/>
      </c>
    </row>
    <row r="23" ht="15.75" customHeight="1" s="58">
      <c r="A23" s="48">
        <f>IF('רשימות'!$A20="","",'רשימות'!$A20)</f>
        <v/>
      </c>
      <c r="B23" s="49">
        <f>IF($A23="","",COUNTIFS('הזנה ב-ו'!$B$6:$B$1505,$A23,'הזנה ב-ו'!$A$6:$A$1505,$B$4,'הזנה ב-ו'!$F$6:$F$1505,$D$4))</f>
        <v/>
      </c>
      <c r="C23" s="49">
        <f>IF($A23="","",COUNTIFS('הזנה ב-ו'!$B$6:$B$1505,$A23,'הזנה ב-ו'!$A$6:$A$1505,$B$4,'הזנה ב-ו'!$F$6:$F$1505,$D$4,'הזנה ב-ו'!$AC$6:$AC$1505,"רמה א'"))</f>
        <v/>
      </c>
      <c r="D23" s="49">
        <f>IF($A23="","",COUNTIFS('הזנה ב-ו'!$B$6:$B$1505,$A23,'הזנה ב-ו'!$A$6:$A$1505,$B$4,'הזנה ב-ו'!$F$6:$F$1505,$D$4,'הזנה ב-ו'!$AC$6:$AC$1505,"רמה ב'"))</f>
        <v/>
      </c>
      <c r="E23" s="49">
        <f>IF($A23="","",COUNTIFS('הזנה ב-ו'!$B$6:$B$1505,$A23,'הזנה ב-ו'!$A$6:$A$1505,$B$4,'הזנה ב-ו'!$F$6:$F$1505,$D$4,'הזנה ב-ו'!$AC$6:$AC$1505,"רמה ג'"))</f>
        <v/>
      </c>
      <c r="F23" s="50">
        <f>IF(OR($A23="",SUM($C23:$E23)=0),"",$C23/SUM($C23:$E23))</f>
        <v/>
      </c>
      <c r="G23" s="49">
        <f>IF($A23="","",$B23-SUM($C23:$E23))</f>
        <v/>
      </c>
      <c r="H23" s="49">
        <f>IF($A23="","",COUNTIFS('הזנה רכישה'!$B$6:$B$1505,$A23,'הזנה רכישה'!$A$6:$A$1505,$B$4,'הזנה רכישה'!$F$6:$F$1505,$D$4))</f>
        <v/>
      </c>
      <c r="I23" s="49">
        <f>IF($A23="","",COUNTIFS('הזנה רכישה'!$B$6:$B$1505,$A23,'הזנה רכישה'!$A$6:$A$1505,$B$4,'הזנה רכישה'!$F$6:$F$1505,$D$4,'הזנה רכישה'!$Q$6:$Q$1505,"פרופיל 5"))</f>
        <v/>
      </c>
      <c r="J23" s="49">
        <f>IF($A23="","",COUNTIFS('הזנה רכישה'!$B$6:$B$1505,$A23,'הזנה רכישה'!$A$6:$A$1505,$B$4,'הזנה רכישה'!$F$6:$F$1505,$D$4,'הזנה רכישה'!$Q$6:$Q$1505,"פרופיל 4"))</f>
        <v/>
      </c>
      <c r="K23" s="49">
        <f>IF($A23="","",COUNTIFS('הזנה רכישה'!$B$6:$B$1505,$A23,'הזנה רכישה'!$A$6:$A$1505,$B$4,'הזנה רכישה'!$F$6:$F$1505,$D$4,'הזנה רכישה'!$Q$6:$Q$1505,"פרופיל 3"))</f>
        <v/>
      </c>
      <c r="L23" s="49">
        <f>IF($A23="","",COUNTIFS('הזנה רכישה'!$B$6:$B$1505,$A23,'הזנה רכישה'!$A$6:$A$1505,$B$4,'הזנה רכישה'!$F$6:$F$1505,$D$4,'הזנה רכישה'!$Q$6:$Q$1505,"פרופיל 2"))</f>
        <v/>
      </c>
      <c r="M23" s="49">
        <f>IF($A23="","",COUNTIFS('הזנה ב-ו'!$B$6:$B$1505,$A23,'הזנה ב-ו'!$A$6:$A$1505,$B$4,'הזנה ב-ו'!$F$6:$F$1505,"תחילת שנה",'הזנה ב-ו'!$AC$6:$AC$1505,"רמה א'"))</f>
        <v/>
      </c>
      <c r="N23" s="49">
        <f>IF($A23="","",COUNTIFS('הזנה ב-ו'!$B$6:$B$1505,$A23,'הזנה ב-ו'!$A$6:$A$1505,$B$4,'הזנה ב-ו'!$F$6:$F$1505,"מחצית שנה",'הזנה ב-ו'!$AC$6:$AC$1505,"רמה א'"))</f>
        <v/>
      </c>
      <c r="O23" s="49">
        <f>IF($A23="","",COUNTIFS('הזנה ב-ו'!$B$6:$B$1505,$A23,'הזנה ב-ו'!$A$6:$A$1505,$B$4,'הזנה ב-ו'!$F$6:$F$1505,"סוף השנה",'הזנה ב-ו'!$AC$6:$AC$1505,"רמה א'"))</f>
        <v/>
      </c>
      <c r="P23" s="49">
        <f>IF($A23="","",COUNTIFS('הזנה ב-ו'!$B$6:$B$1505,$A23,'הזנה ב-ו'!$A$6:$A$1505,$B$4,'הזנה ב-ו'!$F$6:$F$1505,"תחילת שנה",'הזנה ב-ו'!$AC$6:$AC$1505,"רמה ג'"))</f>
        <v/>
      </c>
      <c r="Q23" s="49">
        <f>IF($A23="","",COUNTIFS('הזנה ב-ו'!$B$6:$B$1505,$A23,'הזנה ב-ו'!$A$6:$A$1505,$B$4,'הזנה ב-ו'!$F$6:$F$1505,"מחצית שנה",'הזנה ב-ו'!$AC$6:$AC$1505,"רמה ג'"))</f>
        <v/>
      </c>
      <c r="R23" s="49">
        <f>IF($A23="","",COUNTIFS('הזנה ב-ו'!$B$6:$B$1505,$A23,'הזנה ב-ו'!$A$6:$A$1505,$B$4,'הזנה ב-ו'!$F$6:$F$1505,"סוף השנה",'הזנה ב-ו'!$AC$6:$AC$1505,"רמה ג'"))</f>
        <v/>
      </c>
      <c r="S23" s="49">
        <f>IF($A23="","",COUNTIFS('הזנה רכישה'!$B$6:$B$1505,$A23,'הזנה רכישה'!$A$6:$A$1505,$B$4,'הזנה רכישה'!$F$6:$F$1505,"תחילת שנה"))</f>
        <v/>
      </c>
      <c r="T23" s="49">
        <f>IF($A23="","",COUNTIFS('הזנה רכישה'!$B$6:$B$1505,$A23,'הזנה רכישה'!$A$6:$A$1505,$B$4,'הזנה רכישה'!$F$6:$F$1505,"מחצית שנה"))</f>
        <v/>
      </c>
      <c r="U23" s="49">
        <f>IF($A23="","",COUNTIFS('הזנה רכישה'!$B$6:$B$1505,$A23,'הזנה רכישה'!$A$6:$A$1505,$B$4,'הזנה רכישה'!$F$6:$F$1505,"סוף השנה"))</f>
        <v/>
      </c>
      <c r="V23" s="49">
        <f>IF($A23="","",SUMPRODUCT(('הזנה ב-ו'!$B$6:$B$1505=$A23)*('הזנה ב-ו'!$A$6:$A$1505=$B$4)*('הזנה ב-ו'!$F$6:$F$1505=$D$4)*(LEN('הזנה ב-ו'!$AK$6:$AK$1505)&gt;0)))</f>
        <v/>
      </c>
    </row>
    <row r="24" ht="15.75" customHeight="1" s="58">
      <c r="A24" s="48">
        <f>IF('רשימות'!$A21="","",'רשימות'!$A21)</f>
        <v/>
      </c>
      <c r="B24" s="49">
        <f>IF($A24="","",COUNTIFS('הזנה ב-ו'!$B$6:$B$1505,$A24,'הזנה ב-ו'!$A$6:$A$1505,$B$4,'הזנה ב-ו'!$F$6:$F$1505,$D$4))</f>
        <v/>
      </c>
      <c r="C24" s="49">
        <f>IF($A24="","",COUNTIFS('הזנה ב-ו'!$B$6:$B$1505,$A24,'הזנה ב-ו'!$A$6:$A$1505,$B$4,'הזנה ב-ו'!$F$6:$F$1505,$D$4,'הזנה ב-ו'!$AC$6:$AC$1505,"רמה א'"))</f>
        <v/>
      </c>
      <c r="D24" s="49">
        <f>IF($A24="","",COUNTIFS('הזנה ב-ו'!$B$6:$B$1505,$A24,'הזנה ב-ו'!$A$6:$A$1505,$B$4,'הזנה ב-ו'!$F$6:$F$1505,$D$4,'הזנה ב-ו'!$AC$6:$AC$1505,"רמה ב'"))</f>
        <v/>
      </c>
      <c r="E24" s="49">
        <f>IF($A24="","",COUNTIFS('הזנה ב-ו'!$B$6:$B$1505,$A24,'הזנה ב-ו'!$A$6:$A$1505,$B$4,'הזנה ב-ו'!$F$6:$F$1505,$D$4,'הזנה ב-ו'!$AC$6:$AC$1505,"רמה ג'"))</f>
        <v/>
      </c>
      <c r="F24" s="50">
        <f>IF(OR($A24="",SUM($C24:$E24)=0),"",$C24/SUM($C24:$E24))</f>
        <v/>
      </c>
      <c r="G24" s="49">
        <f>IF($A24="","",$B24-SUM($C24:$E24))</f>
        <v/>
      </c>
      <c r="H24" s="49">
        <f>IF($A24="","",COUNTIFS('הזנה רכישה'!$B$6:$B$1505,$A24,'הזנה רכישה'!$A$6:$A$1505,$B$4,'הזנה רכישה'!$F$6:$F$1505,$D$4))</f>
        <v/>
      </c>
      <c r="I24" s="49">
        <f>IF($A24="","",COUNTIFS('הזנה רכישה'!$B$6:$B$1505,$A24,'הזנה רכישה'!$A$6:$A$1505,$B$4,'הזנה רכישה'!$F$6:$F$1505,$D$4,'הזנה רכישה'!$Q$6:$Q$1505,"פרופיל 5"))</f>
        <v/>
      </c>
      <c r="J24" s="49">
        <f>IF($A24="","",COUNTIFS('הזנה רכישה'!$B$6:$B$1505,$A24,'הזנה רכישה'!$A$6:$A$1505,$B$4,'הזנה רכישה'!$F$6:$F$1505,$D$4,'הזנה רכישה'!$Q$6:$Q$1505,"פרופיל 4"))</f>
        <v/>
      </c>
      <c r="K24" s="49">
        <f>IF($A24="","",COUNTIFS('הזנה רכישה'!$B$6:$B$1505,$A24,'הזנה רכישה'!$A$6:$A$1505,$B$4,'הזנה רכישה'!$F$6:$F$1505,$D$4,'הזנה רכישה'!$Q$6:$Q$1505,"פרופיל 3"))</f>
        <v/>
      </c>
      <c r="L24" s="49">
        <f>IF($A24="","",COUNTIFS('הזנה רכישה'!$B$6:$B$1505,$A24,'הזנה רכישה'!$A$6:$A$1505,$B$4,'הזנה רכישה'!$F$6:$F$1505,$D$4,'הזנה רכישה'!$Q$6:$Q$1505,"פרופיל 2"))</f>
        <v/>
      </c>
      <c r="M24" s="49">
        <f>IF($A24="","",COUNTIFS('הזנה ב-ו'!$B$6:$B$1505,$A24,'הזנה ב-ו'!$A$6:$A$1505,$B$4,'הזנה ב-ו'!$F$6:$F$1505,"תחילת שנה",'הזנה ב-ו'!$AC$6:$AC$1505,"רמה א'"))</f>
        <v/>
      </c>
      <c r="N24" s="49">
        <f>IF($A24="","",COUNTIFS('הזנה ב-ו'!$B$6:$B$1505,$A24,'הזנה ב-ו'!$A$6:$A$1505,$B$4,'הזנה ב-ו'!$F$6:$F$1505,"מחצית שנה",'הזנה ב-ו'!$AC$6:$AC$1505,"רמה א'"))</f>
        <v/>
      </c>
      <c r="O24" s="49">
        <f>IF($A24="","",COUNTIFS('הזנה ב-ו'!$B$6:$B$1505,$A24,'הזנה ב-ו'!$A$6:$A$1505,$B$4,'הזנה ב-ו'!$F$6:$F$1505,"סוף השנה",'הזנה ב-ו'!$AC$6:$AC$1505,"רמה א'"))</f>
        <v/>
      </c>
      <c r="P24" s="49">
        <f>IF($A24="","",COUNTIFS('הזנה ב-ו'!$B$6:$B$1505,$A24,'הזנה ב-ו'!$A$6:$A$1505,$B$4,'הזנה ב-ו'!$F$6:$F$1505,"תחילת שנה",'הזנה ב-ו'!$AC$6:$AC$1505,"רמה ג'"))</f>
        <v/>
      </c>
      <c r="Q24" s="49">
        <f>IF($A24="","",COUNTIFS('הזנה ב-ו'!$B$6:$B$1505,$A24,'הזנה ב-ו'!$A$6:$A$1505,$B$4,'הזנה ב-ו'!$F$6:$F$1505,"מחצית שנה",'הזנה ב-ו'!$AC$6:$AC$1505,"רמה ג'"))</f>
        <v/>
      </c>
      <c r="R24" s="49">
        <f>IF($A24="","",COUNTIFS('הזנה ב-ו'!$B$6:$B$1505,$A24,'הזנה ב-ו'!$A$6:$A$1505,$B$4,'הזנה ב-ו'!$F$6:$F$1505,"סוף השנה",'הזנה ב-ו'!$AC$6:$AC$1505,"רמה ג'"))</f>
        <v/>
      </c>
      <c r="S24" s="49">
        <f>IF($A24="","",COUNTIFS('הזנה רכישה'!$B$6:$B$1505,$A24,'הזנה רכישה'!$A$6:$A$1505,$B$4,'הזנה רכישה'!$F$6:$F$1505,"תחילת שנה"))</f>
        <v/>
      </c>
      <c r="T24" s="49">
        <f>IF($A24="","",COUNTIFS('הזנה רכישה'!$B$6:$B$1505,$A24,'הזנה רכישה'!$A$6:$A$1505,$B$4,'הזנה רכישה'!$F$6:$F$1505,"מחצית שנה"))</f>
        <v/>
      </c>
      <c r="U24" s="49">
        <f>IF($A24="","",COUNTIFS('הזנה רכישה'!$B$6:$B$1505,$A24,'הזנה רכישה'!$A$6:$A$1505,$B$4,'הזנה רכישה'!$F$6:$F$1505,"סוף השנה"))</f>
        <v/>
      </c>
      <c r="V24" s="49">
        <f>IF($A24="","",SUMPRODUCT(('הזנה ב-ו'!$B$6:$B$1505=$A24)*('הזנה ב-ו'!$A$6:$A$1505=$B$4)*('הזנה ב-ו'!$F$6:$F$1505=$D$4)*(LEN('הזנה ב-ו'!$AK$6:$AK$1505)&gt;0)))</f>
        <v/>
      </c>
    </row>
    <row r="25" ht="15.75" customHeight="1" s="58">
      <c r="A25" s="48">
        <f>IF('רשימות'!$A22="","",'רשימות'!$A22)</f>
        <v/>
      </c>
      <c r="B25" s="49">
        <f>IF($A25="","",COUNTIFS('הזנה ב-ו'!$B$6:$B$1505,$A25,'הזנה ב-ו'!$A$6:$A$1505,$B$4,'הזנה ב-ו'!$F$6:$F$1505,$D$4))</f>
        <v/>
      </c>
      <c r="C25" s="49">
        <f>IF($A25="","",COUNTIFS('הזנה ב-ו'!$B$6:$B$1505,$A25,'הזנה ב-ו'!$A$6:$A$1505,$B$4,'הזנה ב-ו'!$F$6:$F$1505,$D$4,'הזנה ב-ו'!$AC$6:$AC$1505,"רמה א'"))</f>
        <v/>
      </c>
      <c r="D25" s="49">
        <f>IF($A25="","",COUNTIFS('הזנה ב-ו'!$B$6:$B$1505,$A25,'הזנה ב-ו'!$A$6:$A$1505,$B$4,'הזנה ב-ו'!$F$6:$F$1505,$D$4,'הזנה ב-ו'!$AC$6:$AC$1505,"רמה ב'"))</f>
        <v/>
      </c>
      <c r="E25" s="49">
        <f>IF($A25="","",COUNTIFS('הזנה ב-ו'!$B$6:$B$1505,$A25,'הזנה ב-ו'!$A$6:$A$1505,$B$4,'הזנה ב-ו'!$F$6:$F$1505,$D$4,'הזנה ב-ו'!$AC$6:$AC$1505,"רמה ג'"))</f>
        <v/>
      </c>
      <c r="F25" s="50">
        <f>IF(OR($A25="",SUM($C25:$E25)=0),"",$C25/SUM($C25:$E25))</f>
        <v/>
      </c>
      <c r="G25" s="49">
        <f>IF($A25="","",$B25-SUM($C25:$E25))</f>
        <v/>
      </c>
      <c r="H25" s="49">
        <f>IF($A25="","",COUNTIFS('הזנה רכישה'!$B$6:$B$1505,$A25,'הזנה רכישה'!$A$6:$A$1505,$B$4,'הזנה רכישה'!$F$6:$F$1505,$D$4))</f>
        <v/>
      </c>
      <c r="I25" s="49">
        <f>IF($A25="","",COUNTIFS('הזנה רכישה'!$B$6:$B$1505,$A25,'הזנה רכישה'!$A$6:$A$1505,$B$4,'הזנה רכישה'!$F$6:$F$1505,$D$4,'הזנה רכישה'!$Q$6:$Q$1505,"פרופיל 5"))</f>
        <v/>
      </c>
      <c r="J25" s="49">
        <f>IF($A25="","",COUNTIFS('הזנה רכישה'!$B$6:$B$1505,$A25,'הזנה רכישה'!$A$6:$A$1505,$B$4,'הזנה רכישה'!$F$6:$F$1505,$D$4,'הזנה רכישה'!$Q$6:$Q$1505,"פרופיל 4"))</f>
        <v/>
      </c>
      <c r="K25" s="49">
        <f>IF($A25="","",COUNTIFS('הזנה רכישה'!$B$6:$B$1505,$A25,'הזנה רכישה'!$A$6:$A$1505,$B$4,'הזנה רכישה'!$F$6:$F$1505,$D$4,'הזנה רכישה'!$Q$6:$Q$1505,"פרופיל 3"))</f>
        <v/>
      </c>
      <c r="L25" s="49">
        <f>IF($A25="","",COUNTIFS('הזנה רכישה'!$B$6:$B$1505,$A25,'הזנה רכישה'!$A$6:$A$1505,$B$4,'הזנה רכישה'!$F$6:$F$1505,$D$4,'הזנה רכישה'!$Q$6:$Q$1505,"פרופיל 2"))</f>
        <v/>
      </c>
      <c r="M25" s="49">
        <f>IF($A25="","",COUNTIFS('הזנה ב-ו'!$B$6:$B$1505,$A25,'הזנה ב-ו'!$A$6:$A$1505,$B$4,'הזנה ב-ו'!$F$6:$F$1505,"תחילת שנה",'הזנה ב-ו'!$AC$6:$AC$1505,"רמה א'"))</f>
        <v/>
      </c>
      <c r="N25" s="49">
        <f>IF($A25="","",COUNTIFS('הזנה ב-ו'!$B$6:$B$1505,$A25,'הזנה ב-ו'!$A$6:$A$1505,$B$4,'הזנה ב-ו'!$F$6:$F$1505,"מחצית שנה",'הזנה ב-ו'!$AC$6:$AC$1505,"רמה א'"))</f>
        <v/>
      </c>
      <c r="O25" s="49">
        <f>IF($A25="","",COUNTIFS('הזנה ב-ו'!$B$6:$B$1505,$A25,'הזנה ב-ו'!$A$6:$A$1505,$B$4,'הזנה ב-ו'!$F$6:$F$1505,"סוף השנה",'הזנה ב-ו'!$AC$6:$AC$1505,"רמה א'"))</f>
        <v/>
      </c>
      <c r="P25" s="49">
        <f>IF($A25="","",COUNTIFS('הזנה ב-ו'!$B$6:$B$1505,$A25,'הזנה ב-ו'!$A$6:$A$1505,$B$4,'הזנה ב-ו'!$F$6:$F$1505,"תחילת שנה",'הזנה ב-ו'!$AC$6:$AC$1505,"רמה ג'"))</f>
        <v/>
      </c>
      <c r="Q25" s="49">
        <f>IF($A25="","",COUNTIFS('הזנה ב-ו'!$B$6:$B$1505,$A25,'הזנה ב-ו'!$A$6:$A$1505,$B$4,'הזנה ב-ו'!$F$6:$F$1505,"מחצית שנה",'הזנה ב-ו'!$AC$6:$AC$1505,"רמה ג'"))</f>
        <v/>
      </c>
      <c r="R25" s="49">
        <f>IF($A25="","",COUNTIFS('הזנה ב-ו'!$B$6:$B$1505,$A25,'הזנה ב-ו'!$A$6:$A$1505,$B$4,'הזנה ב-ו'!$F$6:$F$1505,"סוף השנה",'הזנה ב-ו'!$AC$6:$AC$1505,"רמה ג'"))</f>
        <v/>
      </c>
      <c r="S25" s="49">
        <f>IF($A25="","",COUNTIFS('הזנה רכישה'!$B$6:$B$1505,$A25,'הזנה רכישה'!$A$6:$A$1505,$B$4,'הזנה רכישה'!$F$6:$F$1505,"תחילת שנה"))</f>
        <v/>
      </c>
      <c r="T25" s="49">
        <f>IF($A25="","",COUNTIFS('הזנה רכישה'!$B$6:$B$1505,$A25,'הזנה רכישה'!$A$6:$A$1505,$B$4,'הזנה רכישה'!$F$6:$F$1505,"מחצית שנה"))</f>
        <v/>
      </c>
      <c r="U25" s="49">
        <f>IF($A25="","",COUNTIFS('הזנה רכישה'!$B$6:$B$1505,$A25,'הזנה רכישה'!$A$6:$A$1505,$B$4,'הזנה רכישה'!$F$6:$F$1505,"סוף השנה"))</f>
        <v/>
      </c>
      <c r="V25" s="49">
        <f>IF($A25="","",SUMPRODUCT(('הזנה ב-ו'!$B$6:$B$1505=$A25)*('הזנה ב-ו'!$A$6:$A$1505=$B$4)*('הזנה ב-ו'!$F$6:$F$1505=$D$4)*(LEN('הזנה ב-ו'!$AK$6:$AK$1505)&gt;0)))</f>
        <v/>
      </c>
    </row>
    <row r="26" ht="15.75" customHeight="1" s="58">
      <c r="A26" s="48">
        <f>IF('רשימות'!$A23="","",'רשימות'!$A23)</f>
        <v/>
      </c>
      <c r="B26" s="49">
        <f>IF($A26="","",COUNTIFS('הזנה ב-ו'!$B$6:$B$1505,$A26,'הזנה ב-ו'!$A$6:$A$1505,$B$4,'הזנה ב-ו'!$F$6:$F$1505,$D$4))</f>
        <v/>
      </c>
      <c r="C26" s="49">
        <f>IF($A26="","",COUNTIFS('הזנה ב-ו'!$B$6:$B$1505,$A26,'הזנה ב-ו'!$A$6:$A$1505,$B$4,'הזנה ב-ו'!$F$6:$F$1505,$D$4,'הזנה ב-ו'!$AC$6:$AC$1505,"רמה א'"))</f>
        <v/>
      </c>
      <c r="D26" s="49">
        <f>IF($A26="","",COUNTIFS('הזנה ב-ו'!$B$6:$B$1505,$A26,'הזנה ב-ו'!$A$6:$A$1505,$B$4,'הזנה ב-ו'!$F$6:$F$1505,$D$4,'הזנה ב-ו'!$AC$6:$AC$1505,"רמה ב'"))</f>
        <v/>
      </c>
      <c r="E26" s="49">
        <f>IF($A26="","",COUNTIFS('הזנה ב-ו'!$B$6:$B$1505,$A26,'הזנה ב-ו'!$A$6:$A$1505,$B$4,'הזנה ב-ו'!$F$6:$F$1505,$D$4,'הזנה ב-ו'!$AC$6:$AC$1505,"רמה ג'"))</f>
        <v/>
      </c>
      <c r="F26" s="50">
        <f>IF(OR($A26="",SUM($C26:$E26)=0),"",$C26/SUM($C26:$E26))</f>
        <v/>
      </c>
      <c r="G26" s="49">
        <f>IF($A26="","",$B26-SUM($C26:$E26))</f>
        <v/>
      </c>
      <c r="H26" s="49">
        <f>IF($A26="","",COUNTIFS('הזנה רכישה'!$B$6:$B$1505,$A26,'הזנה רכישה'!$A$6:$A$1505,$B$4,'הזנה רכישה'!$F$6:$F$1505,$D$4))</f>
        <v/>
      </c>
      <c r="I26" s="49">
        <f>IF($A26="","",COUNTIFS('הזנה רכישה'!$B$6:$B$1505,$A26,'הזנה רכישה'!$A$6:$A$1505,$B$4,'הזנה רכישה'!$F$6:$F$1505,$D$4,'הזנה רכישה'!$Q$6:$Q$1505,"פרופיל 5"))</f>
        <v/>
      </c>
      <c r="J26" s="49">
        <f>IF($A26="","",COUNTIFS('הזנה רכישה'!$B$6:$B$1505,$A26,'הזנה רכישה'!$A$6:$A$1505,$B$4,'הזנה רכישה'!$F$6:$F$1505,$D$4,'הזנה רכישה'!$Q$6:$Q$1505,"פרופיל 4"))</f>
        <v/>
      </c>
      <c r="K26" s="49">
        <f>IF($A26="","",COUNTIFS('הזנה רכישה'!$B$6:$B$1505,$A26,'הזנה רכישה'!$A$6:$A$1505,$B$4,'הזנה רכישה'!$F$6:$F$1505,$D$4,'הזנה רכישה'!$Q$6:$Q$1505,"פרופיל 3"))</f>
        <v/>
      </c>
      <c r="L26" s="49">
        <f>IF($A26="","",COUNTIFS('הזנה רכישה'!$B$6:$B$1505,$A26,'הזנה רכישה'!$A$6:$A$1505,$B$4,'הזנה רכישה'!$F$6:$F$1505,$D$4,'הזנה רכישה'!$Q$6:$Q$1505,"פרופיל 2"))</f>
        <v/>
      </c>
      <c r="M26" s="49">
        <f>IF($A26="","",COUNTIFS('הזנה ב-ו'!$B$6:$B$1505,$A26,'הזנה ב-ו'!$A$6:$A$1505,$B$4,'הזנה ב-ו'!$F$6:$F$1505,"תחילת שנה",'הזנה ב-ו'!$AC$6:$AC$1505,"רמה א'"))</f>
        <v/>
      </c>
      <c r="N26" s="49">
        <f>IF($A26="","",COUNTIFS('הזנה ב-ו'!$B$6:$B$1505,$A26,'הזנה ב-ו'!$A$6:$A$1505,$B$4,'הזנה ב-ו'!$F$6:$F$1505,"מחצית שנה",'הזנה ב-ו'!$AC$6:$AC$1505,"רמה א'"))</f>
        <v/>
      </c>
      <c r="O26" s="49">
        <f>IF($A26="","",COUNTIFS('הזנה ב-ו'!$B$6:$B$1505,$A26,'הזנה ב-ו'!$A$6:$A$1505,$B$4,'הזנה ב-ו'!$F$6:$F$1505,"סוף השנה",'הזנה ב-ו'!$AC$6:$AC$1505,"רמה א'"))</f>
        <v/>
      </c>
      <c r="P26" s="49">
        <f>IF($A26="","",COUNTIFS('הזנה ב-ו'!$B$6:$B$1505,$A26,'הזנה ב-ו'!$A$6:$A$1505,$B$4,'הזנה ב-ו'!$F$6:$F$1505,"תחילת שנה",'הזנה ב-ו'!$AC$6:$AC$1505,"רמה ג'"))</f>
        <v/>
      </c>
      <c r="Q26" s="49">
        <f>IF($A26="","",COUNTIFS('הזנה ב-ו'!$B$6:$B$1505,$A26,'הזנה ב-ו'!$A$6:$A$1505,$B$4,'הזנה ב-ו'!$F$6:$F$1505,"מחצית שנה",'הזנה ב-ו'!$AC$6:$AC$1505,"רמה ג'"))</f>
        <v/>
      </c>
      <c r="R26" s="49">
        <f>IF($A26="","",COUNTIFS('הזנה ב-ו'!$B$6:$B$1505,$A26,'הזנה ב-ו'!$A$6:$A$1505,$B$4,'הזנה ב-ו'!$F$6:$F$1505,"סוף השנה",'הזנה ב-ו'!$AC$6:$AC$1505,"רמה ג'"))</f>
        <v/>
      </c>
      <c r="S26" s="49">
        <f>IF($A26="","",COUNTIFS('הזנה רכישה'!$B$6:$B$1505,$A26,'הזנה רכישה'!$A$6:$A$1505,$B$4,'הזנה רכישה'!$F$6:$F$1505,"תחילת שנה"))</f>
        <v/>
      </c>
      <c r="T26" s="49">
        <f>IF($A26="","",COUNTIFS('הזנה רכישה'!$B$6:$B$1505,$A26,'הזנה רכישה'!$A$6:$A$1505,$B$4,'הזנה רכישה'!$F$6:$F$1505,"מחצית שנה"))</f>
        <v/>
      </c>
      <c r="U26" s="49">
        <f>IF($A26="","",COUNTIFS('הזנה רכישה'!$B$6:$B$1505,$A26,'הזנה רכישה'!$A$6:$A$1505,$B$4,'הזנה רכישה'!$F$6:$F$1505,"סוף השנה"))</f>
        <v/>
      </c>
      <c r="V26" s="49">
        <f>IF($A26="","",SUMPRODUCT(('הזנה ב-ו'!$B$6:$B$1505=$A26)*('הזנה ב-ו'!$A$6:$A$1505=$B$4)*('הזנה ב-ו'!$F$6:$F$1505=$D$4)*(LEN('הזנה ב-ו'!$AK$6:$AK$1505)&gt;0)))</f>
        <v/>
      </c>
    </row>
    <row r="27" ht="15.75" customHeight="1" s="58">
      <c r="A27" s="48">
        <f>IF('רשימות'!$A24="","",'רשימות'!$A24)</f>
        <v/>
      </c>
      <c r="B27" s="49">
        <f>IF($A27="","",COUNTIFS('הזנה ב-ו'!$B$6:$B$1505,$A27,'הזנה ב-ו'!$A$6:$A$1505,$B$4,'הזנה ב-ו'!$F$6:$F$1505,$D$4))</f>
        <v/>
      </c>
      <c r="C27" s="49">
        <f>IF($A27="","",COUNTIFS('הזנה ב-ו'!$B$6:$B$1505,$A27,'הזנה ב-ו'!$A$6:$A$1505,$B$4,'הזנה ב-ו'!$F$6:$F$1505,$D$4,'הזנה ב-ו'!$AC$6:$AC$1505,"רמה א'"))</f>
        <v/>
      </c>
      <c r="D27" s="49">
        <f>IF($A27="","",COUNTIFS('הזנה ב-ו'!$B$6:$B$1505,$A27,'הזנה ב-ו'!$A$6:$A$1505,$B$4,'הזנה ב-ו'!$F$6:$F$1505,$D$4,'הזנה ב-ו'!$AC$6:$AC$1505,"רמה ב'"))</f>
        <v/>
      </c>
      <c r="E27" s="49">
        <f>IF($A27="","",COUNTIFS('הזנה ב-ו'!$B$6:$B$1505,$A27,'הזנה ב-ו'!$A$6:$A$1505,$B$4,'הזנה ב-ו'!$F$6:$F$1505,$D$4,'הזנה ב-ו'!$AC$6:$AC$1505,"רמה ג'"))</f>
        <v/>
      </c>
      <c r="F27" s="50">
        <f>IF(OR($A27="",SUM($C27:$E27)=0),"",$C27/SUM($C27:$E27))</f>
        <v/>
      </c>
      <c r="G27" s="49">
        <f>IF($A27="","",$B27-SUM($C27:$E27))</f>
        <v/>
      </c>
      <c r="H27" s="49">
        <f>IF($A27="","",COUNTIFS('הזנה רכישה'!$B$6:$B$1505,$A27,'הזנה רכישה'!$A$6:$A$1505,$B$4,'הזנה רכישה'!$F$6:$F$1505,$D$4))</f>
        <v/>
      </c>
      <c r="I27" s="49">
        <f>IF($A27="","",COUNTIFS('הזנה רכישה'!$B$6:$B$1505,$A27,'הזנה רכישה'!$A$6:$A$1505,$B$4,'הזנה רכישה'!$F$6:$F$1505,$D$4,'הזנה רכישה'!$Q$6:$Q$1505,"פרופיל 5"))</f>
        <v/>
      </c>
      <c r="J27" s="49">
        <f>IF($A27="","",COUNTIFS('הזנה רכישה'!$B$6:$B$1505,$A27,'הזנה רכישה'!$A$6:$A$1505,$B$4,'הזנה רכישה'!$F$6:$F$1505,$D$4,'הזנה רכישה'!$Q$6:$Q$1505,"פרופיל 4"))</f>
        <v/>
      </c>
      <c r="K27" s="49">
        <f>IF($A27="","",COUNTIFS('הזנה רכישה'!$B$6:$B$1505,$A27,'הזנה רכישה'!$A$6:$A$1505,$B$4,'הזנה רכישה'!$F$6:$F$1505,$D$4,'הזנה רכישה'!$Q$6:$Q$1505,"פרופיל 3"))</f>
        <v/>
      </c>
      <c r="L27" s="49">
        <f>IF($A27="","",COUNTIFS('הזנה רכישה'!$B$6:$B$1505,$A27,'הזנה רכישה'!$A$6:$A$1505,$B$4,'הזנה רכישה'!$F$6:$F$1505,$D$4,'הזנה רכישה'!$Q$6:$Q$1505,"פרופיל 2"))</f>
        <v/>
      </c>
      <c r="M27" s="49">
        <f>IF($A27="","",COUNTIFS('הזנה ב-ו'!$B$6:$B$1505,$A27,'הזנה ב-ו'!$A$6:$A$1505,$B$4,'הזנה ב-ו'!$F$6:$F$1505,"תחילת שנה",'הזנה ב-ו'!$AC$6:$AC$1505,"רמה א'"))</f>
        <v/>
      </c>
      <c r="N27" s="49">
        <f>IF($A27="","",COUNTIFS('הזנה ב-ו'!$B$6:$B$1505,$A27,'הזנה ב-ו'!$A$6:$A$1505,$B$4,'הזנה ב-ו'!$F$6:$F$1505,"מחצית שנה",'הזנה ב-ו'!$AC$6:$AC$1505,"רמה א'"))</f>
        <v/>
      </c>
      <c r="O27" s="49">
        <f>IF($A27="","",COUNTIFS('הזנה ב-ו'!$B$6:$B$1505,$A27,'הזנה ב-ו'!$A$6:$A$1505,$B$4,'הזנה ב-ו'!$F$6:$F$1505,"סוף השנה",'הזנה ב-ו'!$AC$6:$AC$1505,"רמה א'"))</f>
        <v/>
      </c>
      <c r="P27" s="49">
        <f>IF($A27="","",COUNTIFS('הזנה ב-ו'!$B$6:$B$1505,$A27,'הזנה ב-ו'!$A$6:$A$1505,$B$4,'הזנה ב-ו'!$F$6:$F$1505,"תחילת שנה",'הזנה ב-ו'!$AC$6:$AC$1505,"רמה ג'"))</f>
        <v/>
      </c>
      <c r="Q27" s="49">
        <f>IF($A27="","",COUNTIFS('הזנה ב-ו'!$B$6:$B$1505,$A27,'הזנה ב-ו'!$A$6:$A$1505,$B$4,'הזנה ב-ו'!$F$6:$F$1505,"מחצית שנה",'הזנה ב-ו'!$AC$6:$AC$1505,"רמה ג'"))</f>
        <v/>
      </c>
      <c r="R27" s="49">
        <f>IF($A27="","",COUNTIFS('הזנה ב-ו'!$B$6:$B$1505,$A27,'הזנה ב-ו'!$A$6:$A$1505,$B$4,'הזנה ב-ו'!$F$6:$F$1505,"סוף השנה",'הזנה ב-ו'!$AC$6:$AC$1505,"רמה ג'"))</f>
        <v/>
      </c>
      <c r="S27" s="49">
        <f>IF($A27="","",COUNTIFS('הזנה רכישה'!$B$6:$B$1505,$A27,'הזנה רכישה'!$A$6:$A$1505,$B$4,'הזנה רכישה'!$F$6:$F$1505,"תחילת שנה"))</f>
        <v/>
      </c>
      <c r="T27" s="49">
        <f>IF($A27="","",COUNTIFS('הזנה רכישה'!$B$6:$B$1505,$A27,'הזנה רכישה'!$A$6:$A$1505,$B$4,'הזנה רכישה'!$F$6:$F$1505,"מחצית שנה"))</f>
        <v/>
      </c>
      <c r="U27" s="49">
        <f>IF($A27="","",COUNTIFS('הזנה רכישה'!$B$6:$B$1505,$A27,'הזנה רכישה'!$A$6:$A$1505,$B$4,'הזנה רכישה'!$F$6:$F$1505,"סוף השנה"))</f>
        <v/>
      </c>
      <c r="V27" s="49">
        <f>IF($A27="","",SUMPRODUCT(('הזנה ב-ו'!$B$6:$B$1505=$A27)*('הזנה ב-ו'!$A$6:$A$1505=$B$4)*('הזנה ב-ו'!$F$6:$F$1505=$D$4)*(LEN('הזנה ב-ו'!$AK$6:$AK$1505)&gt;0)))</f>
        <v/>
      </c>
    </row>
    <row r="28" ht="15.75" customHeight="1" s="58">
      <c r="A28" s="48">
        <f>IF('רשימות'!$A25="","",'רשימות'!$A25)</f>
        <v/>
      </c>
      <c r="B28" s="49">
        <f>IF($A28="","",COUNTIFS('הזנה ב-ו'!$B$6:$B$1505,$A28,'הזנה ב-ו'!$A$6:$A$1505,$B$4,'הזנה ב-ו'!$F$6:$F$1505,$D$4))</f>
        <v/>
      </c>
      <c r="C28" s="49">
        <f>IF($A28="","",COUNTIFS('הזנה ב-ו'!$B$6:$B$1505,$A28,'הזנה ב-ו'!$A$6:$A$1505,$B$4,'הזנה ב-ו'!$F$6:$F$1505,$D$4,'הזנה ב-ו'!$AC$6:$AC$1505,"רמה א'"))</f>
        <v/>
      </c>
      <c r="D28" s="49">
        <f>IF($A28="","",COUNTIFS('הזנה ב-ו'!$B$6:$B$1505,$A28,'הזנה ב-ו'!$A$6:$A$1505,$B$4,'הזנה ב-ו'!$F$6:$F$1505,$D$4,'הזנה ב-ו'!$AC$6:$AC$1505,"רמה ב'"))</f>
        <v/>
      </c>
      <c r="E28" s="49">
        <f>IF($A28="","",COUNTIFS('הזנה ב-ו'!$B$6:$B$1505,$A28,'הזנה ב-ו'!$A$6:$A$1505,$B$4,'הזנה ב-ו'!$F$6:$F$1505,$D$4,'הזנה ב-ו'!$AC$6:$AC$1505,"רמה ג'"))</f>
        <v/>
      </c>
      <c r="F28" s="50">
        <f>IF(OR($A28="",SUM($C28:$E28)=0),"",$C28/SUM($C28:$E28))</f>
        <v/>
      </c>
      <c r="G28" s="49">
        <f>IF($A28="","",$B28-SUM($C28:$E28))</f>
        <v/>
      </c>
      <c r="H28" s="49">
        <f>IF($A28="","",COUNTIFS('הזנה רכישה'!$B$6:$B$1505,$A28,'הזנה רכישה'!$A$6:$A$1505,$B$4,'הזנה רכישה'!$F$6:$F$1505,$D$4))</f>
        <v/>
      </c>
      <c r="I28" s="49">
        <f>IF($A28="","",COUNTIFS('הזנה רכישה'!$B$6:$B$1505,$A28,'הזנה רכישה'!$A$6:$A$1505,$B$4,'הזנה רכישה'!$F$6:$F$1505,$D$4,'הזנה רכישה'!$Q$6:$Q$1505,"פרופיל 5"))</f>
        <v/>
      </c>
      <c r="J28" s="49">
        <f>IF($A28="","",COUNTIFS('הזנה רכישה'!$B$6:$B$1505,$A28,'הזנה רכישה'!$A$6:$A$1505,$B$4,'הזנה רכישה'!$F$6:$F$1505,$D$4,'הזנה רכישה'!$Q$6:$Q$1505,"פרופיל 4"))</f>
        <v/>
      </c>
      <c r="K28" s="49">
        <f>IF($A28="","",COUNTIFS('הזנה רכישה'!$B$6:$B$1505,$A28,'הזנה רכישה'!$A$6:$A$1505,$B$4,'הזנה רכישה'!$F$6:$F$1505,$D$4,'הזנה רכישה'!$Q$6:$Q$1505,"פרופיל 3"))</f>
        <v/>
      </c>
      <c r="L28" s="49">
        <f>IF($A28="","",COUNTIFS('הזנה רכישה'!$B$6:$B$1505,$A28,'הזנה רכישה'!$A$6:$A$1505,$B$4,'הזנה רכישה'!$F$6:$F$1505,$D$4,'הזנה רכישה'!$Q$6:$Q$1505,"פרופיל 2"))</f>
        <v/>
      </c>
      <c r="M28" s="49">
        <f>IF($A28="","",COUNTIFS('הזנה ב-ו'!$B$6:$B$1505,$A28,'הזנה ב-ו'!$A$6:$A$1505,$B$4,'הזנה ב-ו'!$F$6:$F$1505,"תחילת שנה",'הזנה ב-ו'!$AC$6:$AC$1505,"רמה א'"))</f>
        <v/>
      </c>
      <c r="N28" s="49">
        <f>IF($A28="","",COUNTIFS('הזנה ב-ו'!$B$6:$B$1505,$A28,'הזנה ב-ו'!$A$6:$A$1505,$B$4,'הזנה ב-ו'!$F$6:$F$1505,"מחצית שנה",'הזנה ב-ו'!$AC$6:$AC$1505,"רמה א'"))</f>
        <v/>
      </c>
      <c r="O28" s="49">
        <f>IF($A28="","",COUNTIFS('הזנה ב-ו'!$B$6:$B$1505,$A28,'הזנה ב-ו'!$A$6:$A$1505,$B$4,'הזנה ב-ו'!$F$6:$F$1505,"סוף השנה",'הזנה ב-ו'!$AC$6:$AC$1505,"רמה א'"))</f>
        <v/>
      </c>
      <c r="P28" s="49">
        <f>IF($A28="","",COUNTIFS('הזנה ב-ו'!$B$6:$B$1505,$A28,'הזנה ב-ו'!$A$6:$A$1505,$B$4,'הזנה ב-ו'!$F$6:$F$1505,"תחילת שנה",'הזנה ב-ו'!$AC$6:$AC$1505,"רמה ג'"))</f>
        <v/>
      </c>
      <c r="Q28" s="49">
        <f>IF($A28="","",COUNTIFS('הזנה ב-ו'!$B$6:$B$1505,$A28,'הזנה ב-ו'!$A$6:$A$1505,$B$4,'הזנה ב-ו'!$F$6:$F$1505,"מחצית שנה",'הזנה ב-ו'!$AC$6:$AC$1505,"רמה ג'"))</f>
        <v/>
      </c>
      <c r="R28" s="49">
        <f>IF($A28="","",COUNTIFS('הזנה ב-ו'!$B$6:$B$1505,$A28,'הזנה ב-ו'!$A$6:$A$1505,$B$4,'הזנה ב-ו'!$F$6:$F$1505,"סוף השנה",'הזנה ב-ו'!$AC$6:$AC$1505,"רמה ג'"))</f>
        <v/>
      </c>
      <c r="S28" s="49">
        <f>IF($A28="","",COUNTIFS('הזנה רכישה'!$B$6:$B$1505,$A28,'הזנה רכישה'!$A$6:$A$1505,$B$4,'הזנה רכישה'!$F$6:$F$1505,"תחילת שנה"))</f>
        <v/>
      </c>
      <c r="T28" s="49">
        <f>IF($A28="","",COUNTIFS('הזנה רכישה'!$B$6:$B$1505,$A28,'הזנה רכישה'!$A$6:$A$1505,$B$4,'הזנה רכישה'!$F$6:$F$1505,"מחצית שנה"))</f>
        <v/>
      </c>
      <c r="U28" s="49">
        <f>IF($A28="","",COUNTIFS('הזנה רכישה'!$B$6:$B$1505,$A28,'הזנה רכישה'!$A$6:$A$1505,$B$4,'הזנה רכישה'!$F$6:$F$1505,"סוף השנה"))</f>
        <v/>
      </c>
      <c r="V28" s="49">
        <f>IF($A28="","",SUMPRODUCT(('הזנה ב-ו'!$B$6:$B$1505=$A28)*('הזנה ב-ו'!$A$6:$A$1505=$B$4)*('הזנה ב-ו'!$F$6:$F$1505=$D$4)*(LEN('הזנה ב-ו'!$AK$6:$AK$1505)&gt;0)))</f>
        <v/>
      </c>
    </row>
    <row r="29" ht="15.75" customHeight="1" s="58">
      <c r="A29" s="48">
        <f>IF('רשימות'!$A26="","",'רשימות'!$A26)</f>
        <v/>
      </c>
      <c r="B29" s="49">
        <f>IF($A29="","",COUNTIFS('הזנה ב-ו'!$B$6:$B$1505,$A29,'הזנה ב-ו'!$A$6:$A$1505,$B$4,'הזנה ב-ו'!$F$6:$F$1505,$D$4))</f>
        <v/>
      </c>
      <c r="C29" s="49">
        <f>IF($A29="","",COUNTIFS('הזנה ב-ו'!$B$6:$B$1505,$A29,'הזנה ב-ו'!$A$6:$A$1505,$B$4,'הזנה ב-ו'!$F$6:$F$1505,$D$4,'הזנה ב-ו'!$AC$6:$AC$1505,"רמה א'"))</f>
        <v/>
      </c>
      <c r="D29" s="49">
        <f>IF($A29="","",COUNTIFS('הזנה ב-ו'!$B$6:$B$1505,$A29,'הזנה ב-ו'!$A$6:$A$1505,$B$4,'הזנה ב-ו'!$F$6:$F$1505,$D$4,'הזנה ב-ו'!$AC$6:$AC$1505,"רמה ב'"))</f>
        <v/>
      </c>
      <c r="E29" s="49">
        <f>IF($A29="","",COUNTIFS('הזנה ב-ו'!$B$6:$B$1505,$A29,'הזנה ב-ו'!$A$6:$A$1505,$B$4,'הזנה ב-ו'!$F$6:$F$1505,$D$4,'הזנה ב-ו'!$AC$6:$AC$1505,"רמה ג'"))</f>
        <v/>
      </c>
      <c r="F29" s="50">
        <f>IF(OR($A29="",SUM($C29:$E29)=0),"",$C29/SUM($C29:$E29))</f>
        <v/>
      </c>
      <c r="G29" s="49">
        <f>IF($A29="","",$B29-SUM($C29:$E29))</f>
        <v/>
      </c>
      <c r="H29" s="49">
        <f>IF($A29="","",COUNTIFS('הזנה רכישה'!$B$6:$B$1505,$A29,'הזנה רכישה'!$A$6:$A$1505,$B$4,'הזנה רכישה'!$F$6:$F$1505,$D$4))</f>
        <v/>
      </c>
      <c r="I29" s="49">
        <f>IF($A29="","",COUNTIFS('הזנה רכישה'!$B$6:$B$1505,$A29,'הזנה רכישה'!$A$6:$A$1505,$B$4,'הזנה רכישה'!$F$6:$F$1505,$D$4,'הזנה רכישה'!$Q$6:$Q$1505,"פרופיל 5"))</f>
        <v/>
      </c>
      <c r="J29" s="49">
        <f>IF($A29="","",COUNTIFS('הזנה רכישה'!$B$6:$B$1505,$A29,'הזנה רכישה'!$A$6:$A$1505,$B$4,'הזנה רכישה'!$F$6:$F$1505,$D$4,'הזנה רכישה'!$Q$6:$Q$1505,"פרופיל 4"))</f>
        <v/>
      </c>
      <c r="K29" s="49">
        <f>IF($A29="","",COUNTIFS('הזנה רכישה'!$B$6:$B$1505,$A29,'הזנה רכישה'!$A$6:$A$1505,$B$4,'הזנה רכישה'!$F$6:$F$1505,$D$4,'הזנה רכישה'!$Q$6:$Q$1505,"פרופיל 3"))</f>
        <v/>
      </c>
      <c r="L29" s="49">
        <f>IF($A29="","",COUNTIFS('הזנה רכישה'!$B$6:$B$1505,$A29,'הזנה רכישה'!$A$6:$A$1505,$B$4,'הזנה רכישה'!$F$6:$F$1505,$D$4,'הזנה רכישה'!$Q$6:$Q$1505,"פרופיל 2"))</f>
        <v/>
      </c>
      <c r="M29" s="49">
        <f>IF($A29="","",COUNTIFS('הזנה ב-ו'!$B$6:$B$1505,$A29,'הזנה ב-ו'!$A$6:$A$1505,$B$4,'הזנה ב-ו'!$F$6:$F$1505,"תחילת שנה",'הזנה ב-ו'!$AC$6:$AC$1505,"רמה א'"))</f>
        <v/>
      </c>
      <c r="N29" s="49">
        <f>IF($A29="","",COUNTIFS('הזנה ב-ו'!$B$6:$B$1505,$A29,'הזנה ב-ו'!$A$6:$A$1505,$B$4,'הזנה ב-ו'!$F$6:$F$1505,"מחצית שנה",'הזנה ב-ו'!$AC$6:$AC$1505,"רמה א'"))</f>
        <v/>
      </c>
      <c r="O29" s="49">
        <f>IF($A29="","",COUNTIFS('הזנה ב-ו'!$B$6:$B$1505,$A29,'הזנה ב-ו'!$A$6:$A$1505,$B$4,'הזנה ב-ו'!$F$6:$F$1505,"סוף השנה",'הזנה ב-ו'!$AC$6:$AC$1505,"רמה א'"))</f>
        <v/>
      </c>
      <c r="P29" s="49">
        <f>IF($A29="","",COUNTIFS('הזנה ב-ו'!$B$6:$B$1505,$A29,'הזנה ב-ו'!$A$6:$A$1505,$B$4,'הזנה ב-ו'!$F$6:$F$1505,"תחילת שנה",'הזנה ב-ו'!$AC$6:$AC$1505,"רמה ג'"))</f>
        <v/>
      </c>
      <c r="Q29" s="49">
        <f>IF($A29="","",COUNTIFS('הזנה ב-ו'!$B$6:$B$1505,$A29,'הזנה ב-ו'!$A$6:$A$1505,$B$4,'הזנה ב-ו'!$F$6:$F$1505,"מחצית שנה",'הזנה ב-ו'!$AC$6:$AC$1505,"רמה ג'"))</f>
        <v/>
      </c>
      <c r="R29" s="49">
        <f>IF($A29="","",COUNTIFS('הזנה ב-ו'!$B$6:$B$1505,$A29,'הזנה ב-ו'!$A$6:$A$1505,$B$4,'הזנה ב-ו'!$F$6:$F$1505,"סוף השנה",'הזנה ב-ו'!$AC$6:$AC$1505,"רמה ג'"))</f>
        <v/>
      </c>
      <c r="S29" s="49">
        <f>IF($A29="","",COUNTIFS('הזנה רכישה'!$B$6:$B$1505,$A29,'הזנה רכישה'!$A$6:$A$1505,$B$4,'הזנה רכישה'!$F$6:$F$1505,"תחילת שנה"))</f>
        <v/>
      </c>
      <c r="T29" s="49">
        <f>IF($A29="","",COUNTIFS('הזנה רכישה'!$B$6:$B$1505,$A29,'הזנה רכישה'!$A$6:$A$1505,$B$4,'הזנה רכישה'!$F$6:$F$1505,"מחצית שנה"))</f>
        <v/>
      </c>
      <c r="U29" s="49">
        <f>IF($A29="","",COUNTIFS('הזנה רכישה'!$B$6:$B$1505,$A29,'הזנה רכישה'!$A$6:$A$1505,$B$4,'הזנה רכישה'!$F$6:$F$1505,"סוף השנה"))</f>
        <v/>
      </c>
      <c r="V29" s="49">
        <f>IF($A29="","",SUMPRODUCT(('הזנה ב-ו'!$B$6:$B$1505=$A29)*('הזנה ב-ו'!$A$6:$A$1505=$B$4)*('הזנה ב-ו'!$F$6:$F$1505=$D$4)*(LEN('הזנה ב-ו'!$AK$6:$AK$1505)&gt;0)))</f>
        <v/>
      </c>
    </row>
    <row r="30" ht="15.75" customHeight="1" s="58">
      <c r="A30" s="48">
        <f>IF('רשימות'!$A27="","",'רשימות'!$A27)</f>
        <v/>
      </c>
      <c r="B30" s="49">
        <f>IF($A30="","",COUNTIFS('הזנה ב-ו'!$B$6:$B$1505,$A30,'הזנה ב-ו'!$A$6:$A$1505,$B$4,'הזנה ב-ו'!$F$6:$F$1505,$D$4))</f>
        <v/>
      </c>
      <c r="C30" s="49">
        <f>IF($A30="","",COUNTIFS('הזנה ב-ו'!$B$6:$B$1505,$A30,'הזנה ב-ו'!$A$6:$A$1505,$B$4,'הזנה ב-ו'!$F$6:$F$1505,$D$4,'הזנה ב-ו'!$AC$6:$AC$1505,"רמה א'"))</f>
        <v/>
      </c>
      <c r="D30" s="49">
        <f>IF($A30="","",COUNTIFS('הזנה ב-ו'!$B$6:$B$1505,$A30,'הזנה ב-ו'!$A$6:$A$1505,$B$4,'הזנה ב-ו'!$F$6:$F$1505,$D$4,'הזנה ב-ו'!$AC$6:$AC$1505,"רמה ב'"))</f>
        <v/>
      </c>
      <c r="E30" s="49">
        <f>IF($A30="","",COUNTIFS('הזנה ב-ו'!$B$6:$B$1505,$A30,'הזנה ב-ו'!$A$6:$A$1505,$B$4,'הזנה ב-ו'!$F$6:$F$1505,$D$4,'הזנה ב-ו'!$AC$6:$AC$1505,"רמה ג'"))</f>
        <v/>
      </c>
      <c r="F30" s="50">
        <f>IF(OR($A30="",SUM($C30:$E30)=0),"",$C30/SUM($C30:$E30))</f>
        <v/>
      </c>
      <c r="G30" s="49">
        <f>IF($A30="","",$B30-SUM($C30:$E30))</f>
        <v/>
      </c>
      <c r="H30" s="49">
        <f>IF($A30="","",COUNTIFS('הזנה רכישה'!$B$6:$B$1505,$A30,'הזנה רכישה'!$A$6:$A$1505,$B$4,'הזנה רכישה'!$F$6:$F$1505,$D$4))</f>
        <v/>
      </c>
      <c r="I30" s="49">
        <f>IF($A30="","",COUNTIFS('הזנה רכישה'!$B$6:$B$1505,$A30,'הזנה רכישה'!$A$6:$A$1505,$B$4,'הזנה רכישה'!$F$6:$F$1505,$D$4,'הזנה רכישה'!$Q$6:$Q$1505,"פרופיל 5"))</f>
        <v/>
      </c>
      <c r="J30" s="49">
        <f>IF($A30="","",COUNTIFS('הזנה רכישה'!$B$6:$B$1505,$A30,'הזנה רכישה'!$A$6:$A$1505,$B$4,'הזנה רכישה'!$F$6:$F$1505,$D$4,'הזנה רכישה'!$Q$6:$Q$1505,"פרופיל 4"))</f>
        <v/>
      </c>
      <c r="K30" s="49">
        <f>IF($A30="","",COUNTIFS('הזנה רכישה'!$B$6:$B$1505,$A30,'הזנה רכישה'!$A$6:$A$1505,$B$4,'הזנה רכישה'!$F$6:$F$1505,$D$4,'הזנה רכישה'!$Q$6:$Q$1505,"פרופיל 3"))</f>
        <v/>
      </c>
      <c r="L30" s="49">
        <f>IF($A30="","",COUNTIFS('הזנה רכישה'!$B$6:$B$1505,$A30,'הזנה רכישה'!$A$6:$A$1505,$B$4,'הזנה רכישה'!$F$6:$F$1505,$D$4,'הזנה רכישה'!$Q$6:$Q$1505,"פרופיל 2"))</f>
        <v/>
      </c>
      <c r="M30" s="49">
        <f>IF($A30="","",COUNTIFS('הזנה ב-ו'!$B$6:$B$1505,$A30,'הזנה ב-ו'!$A$6:$A$1505,$B$4,'הזנה ב-ו'!$F$6:$F$1505,"תחילת שנה",'הזנה ב-ו'!$AC$6:$AC$1505,"רמה א'"))</f>
        <v/>
      </c>
      <c r="N30" s="49">
        <f>IF($A30="","",COUNTIFS('הזנה ב-ו'!$B$6:$B$1505,$A30,'הזנה ב-ו'!$A$6:$A$1505,$B$4,'הזנה ב-ו'!$F$6:$F$1505,"מחצית שנה",'הזנה ב-ו'!$AC$6:$AC$1505,"רמה א'"))</f>
        <v/>
      </c>
      <c r="O30" s="49">
        <f>IF($A30="","",COUNTIFS('הזנה ב-ו'!$B$6:$B$1505,$A30,'הזנה ב-ו'!$A$6:$A$1505,$B$4,'הזנה ב-ו'!$F$6:$F$1505,"סוף השנה",'הזנה ב-ו'!$AC$6:$AC$1505,"רמה א'"))</f>
        <v/>
      </c>
      <c r="P30" s="49">
        <f>IF($A30="","",COUNTIFS('הזנה ב-ו'!$B$6:$B$1505,$A30,'הזנה ב-ו'!$A$6:$A$1505,$B$4,'הזנה ב-ו'!$F$6:$F$1505,"תחילת שנה",'הזנה ב-ו'!$AC$6:$AC$1505,"רמה ג'"))</f>
        <v/>
      </c>
      <c r="Q30" s="49">
        <f>IF($A30="","",COUNTIFS('הזנה ב-ו'!$B$6:$B$1505,$A30,'הזנה ב-ו'!$A$6:$A$1505,$B$4,'הזנה ב-ו'!$F$6:$F$1505,"מחצית שנה",'הזנה ב-ו'!$AC$6:$AC$1505,"רמה ג'"))</f>
        <v/>
      </c>
      <c r="R30" s="49">
        <f>IF($A30="","",COUNTIFS('הזנה ב-ו'!$B$6:$B$1505,$A30,'הזנה ב-ו'!$A$6:$A$1505,$B$4,'הזנה ב-ו'!$F$6:$F$1505,"סוף השנה",'הזנה ב-ו'!$AC$6:$AC$1505,"רמה ג'"))</f>
        <v/>
      </c>
      <c r="S30" s="49">
        <f>IF($A30="","",COUNTIFS('הזנה רכישה'!$B$6:$B$1505,$A30,'הזנה רכישה'!$A$6:$A$1505,$B$4,'הזנה רכישה'!$F$6:$F$1505,"תחילת שנה"))</f>
        <v/>
      </c>
      <c r="T30" s="49">
        <f>IF($A30="","",COUNTIFS('הזנה רכישה'!$B$6:$B$1505,$A30,'הזנה רכישה'!$A$6:$A$1505,$B$4,'הזנה רכישה'!$F$6:$F$1505,"מחצית שנה"))</f>
        <v/>
      </c>
      <c r="U30" s="49">
        <f>IF($A30="","",COUNTIFS('הזנה רכישה'!$B$6:$B$1505,$A30,'הזנה רכישה'!$A$6:$A$1505,$B$4,'הזנה רכישה'!$F$6:$F$1505,"סוף השנה"))</f>
        <v/>
      </c>
      <c r="V30" s="49">
        <f>IF($A30="","",SUMPRODUCT(('הזנה ב-ו'!$B$6:$B$1505=$A30)*('הזנה ב-ו'!$A$6:$A$1505=$B$4)*('הזנה ב-ו'!$F$6:$F$1505=$D$4)*(LEN('הזנה ב-ו'!$AK$6:$AK$1505)&gt;0)))</f>
        <v/>
      </c>
    </row>
    <row r="31" ht="15.75" customHeight="1" s="58">
      <c r="A31" s="48">
        <f>IF('רשימות'!$A28="","",'רשימות'!$A28)</f>
        <v/>
      </c>
      <c r="B31" s="49">
        <f>IF($A31="","",COUNTIFS('הזנה ב-ו'!$B$6:$B$1505,$A31,'הזנה ב-ו'!$A$6:$A$1505,$B$4,'הזנה ב-ו'!$F$6:$F$1505,$D$4))</f>
        <v/>
      </c>
      <c r="C31" s="49">
        <f>IF($A31="","",COUNTIFS('הזנה ב-ו'!$B$6:$B$1505,$A31,'הזנה ב-ו'!$A$6:$A$1505,$B$4,'הזנה ב-ו'!$F$6:$F$1505,$D$4,'הזנה ב-ו'!$AC$6:$AC$1505,"רמה א'"))</f>
        <v/>
      </c>
      <c r="D31" s="49">
        <f>IF($A31="","",COUNTIFS('הזנה ב-ו'!$B$6:$B$1505,$A31,'הזנה ב-ו'!$A$6:$A$1505,$B$4,'הזנה ב-ו'!$F$6:$F$1505,$D$4,'הזנה ב-ו'!$AC$6:$AC$1505,"רמה ב'"))</f>
        <v/>
      </c>
      <c r="E31" s="49">
        <f>IF($A31="","",COUNTIFS('הזנה ב-ו'!$B$6:$B$1505,$A31,'הזנה ב-ו'!$A$6:$A$1505,$B$4,'הזנה ב-ו'!$F$6:$F$1505,$D$4,'הזנה ב-ו'!$AC$6:$AC$1505,"רמה ג'"))</f>
        <v/>
      </c>
      <c r="F31" s="50">
        <f>IF(OR($A31="",SUM($C31:$E31)=0),"",$C31/SUM($C31:$E31))</f>
        <v/>
      </c>
      <c r="G31" s="49">
        <f>IF($A31="","",$B31-SUM($C31:$E31))</f>
        <v/>
      </c>
      <c r="H31" s="49">
        <f>IF($A31="","",COUNTIFS('הזנה רכישה'!$B$6:$B$1505,$A31,'הזנה רכישה'!$A$6:$A$1505,$B$4,'הזנה רכישה'!$F$6:$F$1505,$D$4))</f>
        <v/>
      </c>
      <c r="I31" s="49">
        <f>IF($A31="","",COUNTIFS('הזנה רכישה'!$B$6:$B$1505,$A31,'הזנה רכישה'!$A$6:$A$1505,$B$4,'הזנה רכישה'!$F$6:$F$1505,$D$4,'הזנה רכישה'!$Q$6:$Q$1505,"פרופיל 5"))</f>
        <v/>
      </c>
      <c r="J31" s="49">
        <f>IF($A31="","",COUNTIFS('הזנה רכישה'!$B$6:$B$1505,$A31,'הזנה רכישה'!$A$6:$A$1505,$B$4,'הזנה רכישה'!$F$6:$F$1505,$D$4,'הזנה רכישה'!$Q$6:$Q$1505,"פרופיל 4"))</f>
        <v/>
      </c>
      <c r="K31" s="49">
        <f>IF($A31="","",COUNTIFS('הזנה רכישה'!$B$6:$B$1505,$A31,'הזנה רכישה'!$A$6:$A$1505,$B$4,'הזנה רכישה'!$F$6:$F$1505,$D$4,'הזנה רכישה'!$Q$6:$Q$1505,"פרופיל 3"))</f>
        <v/>
      </c>
      <c r="L31" s="49">
        <f>IF($A31="","",COUNTIFS('הזנה רכישה'!$B$6:$B$1505,$A31,'הזנה רכישה'!$A$6:$A$1505,$B$4,'הזנה רכישה'!$F$6:$F$1505,$D$4,'הזנה רכישה'!$Q$6:$Q$1505,"פרופיל 2"))</f>
        <v/>
      </c>
      <c r="M31" s="49">
        <f>IF($A31="","",COUNTIFS('הזנה ב-ו'!$B$6:$B$1505,$A31,'הזנה ב-ו'!$A$6:$A$1505,$B$4,'הזנה ב-ו'!$F$6:$F$1505,"תחילת שנה",'הזנה ב-ו'!$AC$6:$AC$1505,"רמה א'"))</f>
        <v/>
      </c>
      <c r="N31" s="49">
        <f>IF($A31="","",COUNTIFS('הזנה ב-ו'!$B$6:$B$1505,$A31,'הזנה ב-ו'!$A$6:$A$1505,$B$4,'הזנה ב-ו'!$F$6:$F$1505,"מחצית שנה",'הזנה ב-ו'!$AC$6:$AC$1505,"רמה א'"))</f>
        <v/>
      </c>
      <c r="O31" s="49">
        <f>IF($A31="","",COUNTIFS('הזנה ב-ו'!$B$6:$B$1505,$A31,'הזנה ב-ו'!$A$6:$A$1505,$B$4,'הזנה ב-ו'!$F$6:$F$1505,"סוף השנה",'הזנה ב-ו'!$AC$6:$AC$1505,"רמה א'"))</f>
        <v/>
      </c>
      <c r="P31" s="49">
        <f>IF($A31="","",COUNTIFS('הזנה ב-ו'!$B$6:$B$1505,$A31,'הזנה ב-ו'!$A$6:$A$1505,$B$4,'הזנה ב-ו'!$F$6:$F$1505,"תחילת שנה",'הזנה ב-ו'!$AC$6:$AC$1505,"רמה ג'"))</f>
        <v/>
      </c>
      <c r="Q31" s="49">
        <f>IF($A31="","",COUNTIFS('הזנה ב-ו'!$B$6:$B$1505,$A31,'הזנה ב-ו'!$A$6:$A$1505,$B$4,'הזנה ב-ו'!$F$6:$F$1505,"מחצית שנה",'הזנה ב-ו'!$AC$6:$AC$1505,"רמה ג'"))</f>
        <v/>
      </c>
      <c r="R31" s="49">
        <f>IF($A31="","",COUNTIFS('הזנה ב-ו'!$B$6:$B$1505,$A31,'הזנה ב-ו'!$A$6:$A$1505,$B$4,'הזנה ב-ו'!$F$6:$F$1505,"סוף השנה",'הזנה ב-ו'!$AC$6:$AC$1505,"רמה ג'"))</f>
        <v/>
      </c>
      <c r="S31" s="49">
        <f>IF($A31="","",COUNTIFS('הזנה רכישה'!$B$6:$B$1505,$A31,'הזנה רכישה'!$A$6:$A$1505,$B$4,'הזנה רכישה'!$F$6:$F$1505,"תחילת שנה"))</f>
        <v/>
      </c>
      <c r="T31" s="49">
        <f>IF($A31="","",COUNTIFS('הזנה רכישה'!$B$6:$B$1505,$A31,'הזנה רכישה'!$A$6:$A$1505,$B$4,'הזנה רכישה'!$F$6:$F$1505,"מחצית שנה"))</f>
        <v/>
      </c>
      <c r="U31" s="49">
        <f>IF($A31="","",COUNTIFS('הזנה רכישה'!$B$6:$B$1505,$A31,'הזנה רכישה'!$A$6:$A$1505,$B$4,'הזנה רכישה'!$F$6:$F$1505,"סוף השנה"))</f>
        <v/>
      </c>
      <c r="V31" s="49">
        <f>IF($A31="","",SUMPRODUCT(('הזנה ב-ו'!$B$6:$B$1505=$A31)*('הזנה ב-ו'!$A$6:$A$1505=$B$4)*('הזנה ב-ו'!$F$6:$F$1505=$D$4)*(LEN('הזנה ב-ו'!$AK$6:$AK$1505)&gt;0)))</f>
        <v/>
      </c>
    </row>
    <row r="32" ht="15.75" customHeight="1" s="58">
      <c r="A32" s="48">
        <f>IF('רשימות'!$A29="","",'רשימות'!$A29)</f>
        <v/>
      </c>
      <c r="B32" s="49">
        <f>IF($A32="","",COUNTIFS('הזנה ב-ו'!$B$6:$B$1505,$A32,'הזנה ב-ו'!$A$6:$A$1505,$B$4,'הזנה ב-ו'!$F$6:$F$1505,$D$4))</f>
        <v/>
      </c>
      <c r="C32" s="49">
        <f>IF($A32="","",COUNTIFS('הזנה ב-ו'!$B$6:$B$1505,$A32,'הזנה ב-ו'!$A$6:$A$1505,$B$4,'הזנה ב-ו'!$F$6:$F$1505,$D$4,'הזנה ב-ו'!$AC$6:$AC$1505,"רמה א'"))</f>
        <v/>
      </c>
      <c r="D32" s="49">
        <f>IF($A32="","",COUNTIFS('הזנה ב-ו'!$B$6:$B$1505,$A32,'הזנה ב-ו'!$A$6:$A$1505,$B$4,'הזנה ב-ו'!$F$6:$F$1505,$D$4,'הזנה ב-ו'!$AC$6:$AC$1505,"רמה ב'"))</f>
        <v/>
      </c>
      <c r="E32" s="49">
        <f>IF($A32="","",COUNTIFS('הזנה ב-ו'!$B$6:$B$1505,$A32,'הזנה ב-ו'!$A$6:$A$1505,$B$4,'הזנה ב-ו'!$F$6:$F$1505,$D$4,'הזנה ב-ו'!$AC$6:$AC$1505,"רמה ג'"))</f>
        <v/>
      </c>
      <c r="F32" s="50">
        <f>IF(OR($A32="",SUM($C32:$E32)=0),"",$C32/SUM($C32:$E32))</f>
        <v/>
      </c>
      <c r="G32" s="49">
        <f>IF($A32="","",$B32-SUM($C32:$E32))</f>
        <v/>
      </c>
      <c r="H32" s="49">
        <f>IF($A32="","",COUNTIFS('הזנה רכישה'!$B$6:$B$1505,$A32,'הזנה רכישה'!$A$6:$A$1505,$B$4,'הזנה רכישה'!$F$6:$F$1505,$D$4))</f>
        <v/>
      </c>
      <c r="I32" s="49">
        <f>IF($A32="","",COUNTIFS('הזנה רכישה'!$B$6:$B$1505,$A32,'הזנה רכישה'!$A$6:$A$1505,$B$4,'הזנה רכישה'!$F$6:$F$1505,$D$4,'הזנה רכישה'!$Q$6:$Q$1505,"פרופיל 5"))</f>
        <v/>
      </c>
      <c r="J32" s="49">
        <f>IF($A32="","",COUNTIFS('הזנה רכישה'!$B$6:$B$1505,$A32,'הזנה רכישה'!$A$6:$A$1505,$B$4,'הזנה רכישה'!$F$6:$F$1505,$D$4,'הזנה רכישה'!$Q$6:$Q$1505,"פרופיל 4"))</f>
        <v/>
      </c>
      <c r="K32" s="49">
        <f>IF($A32="","",COUNTIFS('הזנה רכישה'!$B$6:$B$1505,$A32,'הזנה רכישה'!$A$6:$A$1505,$B$4,'הזנה רכישה'!$F$6:$F$1505,$D$4,'הזנה רכישה'!$Q$6:$Q$1505,"פרופיל 3"))</f>
        <v/>
      </c>
      <c r="L32" s="49">
        <f>IF($A32="","",COUNTIFS('הזנה רכישה'!$B$6:$B$1505,$A32,'הזנה רכישה'!$A$6:$A$1505,$B$4,'הזנה רכישה'!$F$6:$F$1505,$D$4,'הזנה רכישה'!$Q$6:$Q$1505,"פרופיל 2"))</f>
        <v/>
      </c>
      <c r="M32" s="49">
        <f>IF($A32="","",COUNTIFS('הזנה ב-ו'!$B$6:$B$1505,$A32,'הזנה ב-ו'!$A$6:$A$1505,$B$4,'הזנה ב-ו'!$F$6:$F$1505,"תחילת שנה",'הזנה ב-ו'!$AC$6:$AC$1505,"רמה א'"))</f>
        <v/>
      </c>
      <c r="N32" s="49">
        <f>IF($A32="","",COUNTIFS('הזנה ב-ו'!$B$6:$B$1505,$A32,'הזנה ב-ו'!$A$6:$A$1505,$B$4,'הזנה ב-ו'!$F$6:$F$1505,"מחצית שנה",'הזנה ב-ו'!$AC$6:$AC$1505,"רמה א'"))</f>
        <v/>
      </c>
      <c r="O32" s="49">
        <f>IF($A32="","",COUNTIFS('הזנה ב-ו'!$B$6:$B$1505,$A32,'הזנה ב-ו'!$A$6:$A$1505,$B$4,'הזנה ב-ו'!$F$6:$F$1505,"סוף השנה",'הזנה ב-ו'!$AC$6:$AC$1505,"רמה א'"))</f>
        <v/>
      </c>
      <c r="P32" s="49">
        <f>IF($A32="","",COUNTIFS('הזנה ב-ו'!$B$6:$B$1505,$A32,'הזנה ב-ו'!$A$6:$A$1505,$B$4,'הזנה ב-ו'!$F$6:$F$1505,"תחילת שנה",'הזנה ב-ו'!$AC$6:$AC$1505,"רמה ג'"))</f>
        <v/>
      </c>
      <c r="Q32" s="49">
        <f>IF($A32="","",COUNTIFS('הזנה ב-ו'!$B$6:$B$1505,$A32,'הזנה ב-ו'!$A$6:$A$1505,$B$4,'הזנה ב-ו'!$F$6:$F$1505,"מחצית שנה",'הזנה ב-ו'!$AC$6:$AC$1505,"רמה ג'"))</f>
        <v/>
      </c>
      <c r="R32" s="49">
        <f>IF($A32="","",COUNTIFS('הזנה ב-ו'!$B$6:$B$1505,$A32,'הזנה ב-ו'!$A$6:$A$1505,$B$4,'הזנה ב-ו'!$F$6:$F$1505,"סוף השנה",'הזנה ב-ו'!$AC$6:$AC$1505,"רמה ג'"))</f>
        <v/>
      </c>
      <c r="S32" s="49">
        <f>IF($A32="","",COUNTIFS('הזנה רכישה'!$B$6:$B$1505,$A32,'הזנה רכישה'!$A$6:$A$1505,$B$4,'הזנה רכישה'!$F$6:$F$1505,"תחילת שנה"))</f>
        <v/>
      </c>
      <c r="T32" s="49">
        <f>IF($A32="","",COUNTIFS('הזנה רכישה'!$B$6:$B$1505,$A32,'הזנה רכישה'!$A$6:$A$1505,$B$4,'הזנה רכישה'!$F$6:$F$1505,"מחצית שנה"))</f>
        <v/>
      </c>
      <c r="U32" s="49">
        <f>IF($A32="","",COUNTIFS('הזנה רכישה'!$B$6:$B$1505,$A32,'הזנה רכישה'!$A$6:$A$1505,$B$4,'הזנה רכישה'!$F$6:$F$1505,"סוף השנה"))</f>
        <v/>
      </c>
      <c r="V32" s="49">
        <f>IF($A32="","",SUMPRODUCT(('הזנה ב-ו'!$B$6:$B$1505=$A32)*('הזנה ב-ו'!$A$6:$A$1505=$B$4)*('הזנה ב-ו'!$F$6:$F$1505=$D$4)*(LEN('הזנה ב-ו'!$AK$6:$AK$1505)&gt;0)))</f>
        <v/>
      </c>
    </row>
    <row r="33" ht="15.75" customHeight="1" s="58">
      <c r="A33" s="48">
        <f>IF('רשימות'!$A30="","",'רשימות'!$A30)</f>
        <v/>
      </c>
      <c r="B33" s="49">
        <f>IF($A33="","",COUNTIFS('הזנה ב-ו'!$B$6:$B$1505,$A33,'הזנה ב-ו'!$A$6:$A$1505,$B$4,'הזנה ב-ו'!$F$6:$F$1505,$D$4))</f>
        <v/>
      </c>
      <c r="C33" s="49">
        <f>IF($A33="","",COUNTIFS('הזנה ב-ו'!$B$6:$B$1505,$A33,'הזנה ב-ו'!$A$6:$A$1505,$B$4,'הזנה ב-ו'!$F$6:$F$1505,$D$4,'הזנה ב-ו'!$AC$6:$AC$1505,"רמה א'"))</f>
        <v/>
      </c>
      <c r="D33" s="49">
        <f>IF($A33="","",COUNTIFS('הזנה ב-ו'!$B$6:$B$1505,$A33,'הזנה ב-ו'!$A$6:$A$1505,$B$4,'הזנה ב-ו'!$F$6:$F$1505,$D$4,'הזנה ב-ו'!$AC$6:$AC$1505,"רמה ב'"))</f>
        <v/>
      </c>
      <c r="E33" s="49">
        <f>IF($A33="","",COUNTIFS('הזנה ב-ו'!$B$6:$B$1505,$A33,'הזנה ב-ו'!$A$6:$A$1505,$B$4,'הזנה ב-ו'!$F$6:$F$1505,$D$4,'הזנה ב-ו'!$AC$6:$AC$1505,"רמה ג'"))</f>
        <v/>
      </c>
      <c r="F33" s="50">
        <f>IF(OR($A33="",SUM($C33:$E33)=0),"",$C33/SUM($C33:$E33))</f>
        <v/>
      </c>
      <c r="G33" s="49">
        <f>IF($A33="","",$B33-SUM($C33:$E33))</f>
        <v/>
      </c>
      <c r="H33" s="49">
        <f>IF($A33="","",COUNTIFS('הזנה רכישה'!$B$6:$B$1505,$A33,'הזנה רכישה'!$A$6:$A$1505,$B$4,'הזנה רכישה'!$F$6:$F$1505,$D$4))</f>
        <v/>
      </c>
      <c r="I33" s="49">
        <f>IF($A33="","",COUNTIFS('הזנה רכישה'!$B$6:$B$1505,$A33,'הזנה רכישה'!$A$6:$A$1505,$B$4,'הזנה רכישה'!$F$6:$F$1505,$D$4,'הזנה רכישה'!$Q$6:$Q$1505,"פרופיל 5"))</f>
        <v/>
      </c>
      <c r="J33" s="49">
        <f>IF($A33="","",COUNTIFS('הזנה רכישה'!$B$6:$B$1505,$A33,'הזנה רכישה'!$A$6:$A$1505,$B$4,'הזנה רכישה'!$F$6:$F$1505,$D$4,'הזנה רכישה'!$Q$6:$Q$1505,"פרופיל 4"))</f>
        <v/>
      </c>
      <c r="K33" s="49">
        <f>IF($A33="","",COUNTIFS('הזנה רכישה'!$B$6:$B$1505,$A33,'הזנה רכישה'!$A$6:$A$1505,$B$4,'הזנה רכישה'!$F$6:$F$1505,$D$4,'הזנה רכישה'!$Q$6:$Q$1505,"פרופיל 3"))</f>
        <v/>
      </c>
      <c r="L33" s="49">
        <f>IF($A33="","",COUNTIFS('הזנה רכישה'!$B$6:$B$1505,$A33,'הזנה רכישה'!$A$6:$A$1505,$B$4,'הזנה רכישה'!$F$6:$F$1505,$D$4,'הזנה רכישה'!$Q$6:$Q$1505,"פרופיל 2"))</f>
        <v/>
      </c>
      <c r="M33" s="49">
        <f>IF($A33="","",COUNTIFS('הזנה ב-ו'!$B$6:$B$1505,$A33,'הזנה ב-ו'!$A$6:$A$1505,$B$4,'הזנה ב-ו'!$F$6:$F$1505,"תחילת שנה",'הזנה ב-ו'!$AC$6:$AC$1505,"רמה א'"))</f>
        <v/>
      </c>
      <c r="N33" s="49">
        <f>IF($A33="","",COUNTIFS('הזנה ב-ו'!$B$6:$B$1505,$A33,'הזנה ב-ו'!$A$6:$A$1505,$B$4,'הזנה ב-ו'!$F$6:$F$1505,"מחצית שנה",'הזנה ב-ו'!$AC$6:$AC$1505,"רמה א'"))</f>
        <v/>
      </c>
      <c r="O33" s="49">
        <f>IF($A33="","",COUNTIFS('הזנה ב-ו'!$B$6:$B$1505,$A33,'הזנה ב-ו'!$A$6:$A$1505,$B$4,'הזנה ב-ו'!$F$6:$F$1505,"סוף השנה",'הזנה ב-ו'!$AC$6:$AC$1505,"רמה א'"))</f>
        <v/>
      </c>
      <c r="P33" s="49">
        <f>IF($A33="","",COUNTIFS('הזנה ב-ו'!$B$6:$B$1505,$A33,'הזנה ב-ו'!$A$6:$A$1505,$B$4,'הזנה ב-ו'!$F$6:$F$1505,"תחילת שנה",'הזנה ב-ו'!$AC$6:$AC$1505,"רמה ג'"))</f>
        <v/>
      </c>
      <c r="Q33" s="49">
        <f>IF($A33="","",COUNTIFS('הזנה ב-ו'!$B$6:$B$1505,$A33,'הזנה ב-ו'!$A$6:$A$1505,$B$4,'הזנה ב-ו'!$F$6:$F$1505,"מחצית שנה",'הזנה ב-ו'!$AC$6:$AC$1505,"רמה ג'"))</f>
        <v/>
      </c>
      <c r="R33" s="49">
        <f>IF($A33="","",COUNTIFS('הזנה ב-ו'!$B$6:$B$1505,$A33,'הזנה ב-ו'!$A$6:$A$1505,$B$4,'הזנה ב-ו'!$F$6:$F$1505,"סוף השנה",'הזנה ב-ו'!$AC$6:$AC$1505,"רמה ג'"))</f>
        <v/>
      </c>
      <c r="S33" s="49">
        <f>IF($A33="","",COUNTIFS('הזנה רכישה'!$B$6:$B$1505,$A33,'הזנה רכישה'!$A$6:$A$1505,$B$4,'הזנה רכישה'!$F$6:$F$1505,"תחילת שנה"))</f>
        <v/>
      </c>
      <c r="T33" s="49">
        <f>IF($A33="","",COUNTIFS('הזנה רכישה'!$B$6:$B$1505,$A33,'הזנה רכישה'!$A$6:$A$1505,$B$4,'הזנה רכישה'!$F$6:$F$1505,"מחצית שנה"))</f>
        <v/>
      </c>
      <c r="U33" s="49">
        <f>IF($A33="","",COUNTIFS('הזנה רכישה'!$B$6:$B$1505,$A33,'הזנה רכישה'!$A$6:$A$1505,$B$4,'הזנה רכישה'!$F$6:$F$1505,"סוף השנה"))</f>
        <v/>
      </c>
      <c r="V33" s="49">
        <f>IF($A33="","",SUMPRODUCT(('הזנה ב-ו'!$B$6:$B$1505=$A33)*('הזנה ב-ו'!$A$6:$A$1505=$B$4)*('הזנה ב-ו'!$F$6:$F$1505=$D$4)*(LEN('הזנה ב-ו'!$AK$6:$AK$1505)&gt;0)))</f>
        <v/>
      </c>
    </row>
    <row r="34" ht="15.75" customHeight="1" s="58">
      <c r="A34" s="48">
        <f>IF('רשימות'!$A31="","",'רשימות'!$A31)</f>
        <v/>
      </c>
      <c r="B34" s="49">
        <f>IF($A34="","",COUNTIFS('הזנה ב-ו'!$B$6:$B$1505,$A34,'הזנה ב-ו'!$A$6:$A$1505,$B$4,'הזנה ב-ו'!$F$6:$F$1505,$D$4))</f>
        <v/>
      </c>
      <c r="C34" s="49">
        <f>IF($A34="","",COUNTIFS('הזנה ב-ו'!$B$6:$B$1505,$A34,'הזנה ב-ו'!$A$6:$A$1505,$B$4,'הזנה ב-ו'!$F$6:$F$1505,$D$4,'הזנה ב-ו'!$AC$6:$AC$1505,"רמה א'"))</f>
        <v/>
      </c>
      <c r="D34" s="49">
        <f>IF($A34="","",COUNTIFS('הזנה ב-ו'!$B$6:$B$1505,$A34,'הזנה ב-ו'!$A$6:$A$1505,$B$4,'הזנה ב-ו'!$F$6:$F$1505,$D$4,'הזנה ב-ו'!$AC$6:$AC$1505,"רמה ב'"))</f>
        <v/>
      </c>
      <c r="E34" s="49">
        <f>IF($A34="","",COUNTIFS('הזנה ב-ו'!$B$6:$B$1505,$A34,'הזנה ב-ו'!$A$6:$A$1505,$B$4,'הזנה ב-ו'!$F$6:$F$1505,$D$4,'הזנה ב-ו'!$AC$6:$AC$1505,"רמה ג'"))</f>
        <v/>
      </c>
      <c r="F34" s="50">
        <f>IF(OR($A34="",SUM($C34:$E34)=0),"",$C34/SUM($C34:$E34))</f>
        <v/>
      </c>
      <c r="G34" s="49">
        <f>IF($A34="","",$B34-SUM($C34:$E34))</f>
        <v/>
      </c>
      <c r="H34" s="49">
        <f>IF($A34="","",COUNTIFS('הזנה רכישה'!$B$6:$B$1505,$A34,'הזנה רכישה'!$A$6:$A$1505,$B$4,'הזנה רכישה'!$F$6:$F$1505,$D$4))</f>
        <v/>
      </c>
      <c r="I34" s="49">
        <f>IF($A34="","",COUNTIFS('הזנה רכישה'!$B$6:$B$1505,$A34,'הזנה רכישה'!$A$6:$A$1505,$B$4,'הזנה רכישה'!$F$6:$F$1505,$D$4,'הזנה רכישה'!$Q$6:$Q$1505,"פרופיל 5"))</f>
        <v/>
      </c>
      <c r="J34" s="49">
        <f>IF($A34="","",COUNTIFS('הזנה רכישה'!$B$6:$B$1505,$A34,'הזנה רכישה'!$A$6:$A$1505,$B$4,'הזנה רכישה'!$F$6:$F$1505,$D$4,'הזנה רכישה'!$Q$6:$Q$1505,"פרופיל 4"))</f>
        <v/>
      </c>
      <c r="K34" s="49">
        <f>IF($A34="","",COUNTIFS('הזנה רכישה'!$B$6:$B$1505,$A34,'הזנה רכישה'!$A$6:$A$1505,$B$4,'הזנה רכישה'!$F$6:$F$1505,$D$4,'הזנה רכישה'!$Q$6:$Q$1505,"פרופיל 3"))</f>
        <v/>
      </c>
      <c r="L34" s="49">
        <f>IF($A34="","",COUNTIFS('הזנה רכישה'!$B$6:$B$1505,$A34,'הזנה רכישה'!$A$6:$A$1505,$B$4,'הזנה רכישה'!$F$6:$F$1505,$D$4,'הזנה רכישה'!$Q$6:$Q$1505,"פרופיל 2"))</f>
        <v/>
      </c>
      <c r="M34" s="49">
        <f>IF($A34="","",COUNTIFS('הזנה ב-ו'!$B$6:$B$1505,$A34,'הזנה ב-ו'!$A$6:$A$1505,$B$4,'הזנה ב-ו'!$F$6:$F$1505,"תחילת שנה",'הזנה ב-ו'!$AC$6:$AC$1505,"רמה א'"))</f>
        <v/>
      </c>
      <c r="N34" s="49">
        <f>IF($A34="","",COUNTIFS('הזנה ב-ו'!$B$6:$B$1505,$A34,'הזנה ב-ו'!$A$6:$A$1505,$B$4,'הזנה ב-ו'!$F$6:$F$1505,"מחצית שנה",'הזנה ב-ו'!$AC$6:$AC$1505,"רמה א'"))</f>
        <v/>
      </c>
      <c r="O34" s="49">
        <f>IF($A34="","",COUNTIFS('הזנה ב-ו'!$B$6:$B$1505,$A34,'הזנה ב-ו'!$A$6:$A$1505,$B$4,'הזנה ב-ו'!$F$6:$F$1505,"סוף השנה",'הזנה ב-ו'!$AC$6:$AC$1505,"רמה א'"))</f>
        <v/>
      </c>
      <c r="P34" s="49">
        <f>IF($A34="","",COUNTIFS('הזנה ב-ו'!$B$6:$B$1505,$A34,'הזנה ב-ו'!$A$6:$A$1505,$B$4,'הזנה ב-ו'!$F$6:$F$1505,"תחילת שנה",'הזנה ב-ו'!$AC$6:$AC$1505,"רמה ג'"))</f>
        <v/>
      </c>
      <c r="Q34" s="49">
        <f>IF($A34="","",COUNTIFS('הזנה ב-ו'!$B$6:$B$1505,$A34,'הזנה ב-ו'!$A$6:$A$1505,$B$4,'הזנה ב-ו'!$F$6:$F$1505,"מחצית שנה",'הזנה ב-ו'!$AC$6:$AC$1505,"רמה ג'"))</f>
        <v/>
      </c>
      <c r="R34" s="49">
        <f>IF($A34="","",COUNTIFS('הזנה ב-ו'!$B$6:$B$1505,$A34,'הזנה ב-ו'!$A$6:$A$1505,$B$4,'הזנה ב-ו'!$F$6:$F$1505,"סוף השנה",'הזנה ב-ו'!$AC$6:$AC$1505,"רמה ג'"))</f>
        <v/>
      </c>
      <c r="S34" s="49">
        <f>IF($A34="","",COUNTIFS('הזנה רכישה'!$B$6:$B$1505,$A34,'הזנה רכישה'!$A$6:$A$1505,$B$4,'הזנה רכישה'!$F$6:$F$1505,"תחילת שנה"))</f>
        <v/>
      </c>
      <c r="T34" s="49">
        <f>IF($A34="","",COUNTIFS('הזנה רכישה'!$B$6:$B$1505,$A34,'הזנה רכישה'!$A$6:$A$1505,$B$4,'הזנה רכישה'!$F$6:$F$1505,"מחצית שנה"))</f>
        <v/>
      </c>
      <c r="U34" s="49">
        <f>IF($A34="","",COUNTIFS('הזנה רכישה'!$B$6:$B$1505,$A34,'הזנה רכישה'!$A$6:$A$1505,$B$4,'הזנה רכישה'!$F$6:$F$1505,"סוף השנה"))</f>
        <v/>
      </c>
      <c r="V34" s="49">
        <f>IF($A34="","",SUMPRODUCT(('הזנה ב-ו'!$B$6:$B$1505=$A34)*('הזנה ב-ו'!$A$6:$A$1505=$B$4)*('הזנה ב-ו'!$F$6:$F$1505=$D$4)*(LEN('הזנה ב-ו'!$AK$6:$AK$1505)&gt;0)))</f>
        <v/>
      </c>
    </row>
    <row r="35" ht="15.75" customHeight="1" s="58">
      <c r="A35" s="48">
        <f>IF('רשימות'!$A32="","",'רשימות'!$A32)</f>
        <v/>
      </c>
      <c r="B35" s="49">
        <f>IF($A35="","",COUNTIFS('הזנה ב-ו'!$B$6:$B$1505,$A35,'הזנה ב-ו'!$A$6:$A$1505,$B$4,'הזנה ב-ו'!$F$6:$F$1505,$D$4))</f>
        <v/>
      </c>
      <c r="C35" s="49">
        <f>IF($A35="","",COUNTIFS('הזנה ב-ו'!$B$6:$B$1505,$A35,'הזנה ב-ו'!$A$6:$A$1505,$B$4,'הזנה ב-ו'!$F$6:$F$1505,$D$4,'הזנה ב-ו'!$AC$6:$AC$1505,"רמה א'"))</f>
        <v/>
      </c>
      <c r="D35" s="49">
        <f>IF($A35="","",COUNTIFS('הזנה ב-ו'!$B$6:$B$1505,$A35,'הזנה ב-ו'!$A$6:$A$1505,$B$4,'הזנה ב-ו'!$F$6:$F$1505,$D$4,'הזנה ב-ו'!$AC$6:$AC$1505,"רמה ב'"))</f>
        <v/>
      </c>
      <c r="E35" s="49">
        <f>IF($A35="","",COUNTIFS('הזנה ב-ו'!$B$6:$B$1505,$A35,'הזנה ב-ו'!$A$6:$A$1505,$B$4,'הזנה ב-ו'!$F$6:$F$1505,$D$4,'הזנה ב-ו'!$AC$6:$AC$1505,"רמה ג'"))</f>
        <v/>
      </c>
      <c r="F35" s="50">
        <f>IF(OR($A35="",SUM($C35:$E35)=0),"",$C35/SUM($C35:$E35))</f>
        <v/>
      </c>
      <c r="G35" s="49">
        <f>IF($A35="","",$B35-SUM($C35:$E35))</f>
        <v/>
      </c>
      <c r="H35" s="49">
        <f>IF($A35="","",COUNTIFS('הזנה רכישה'!$B$6:$B$1505,$A35,'הזנה רכישה'!$A$6:$A$1505,$B$4,'הזנה רכישה'!$F$6:$F$1505,$D$4))</f>
        <v/>
      </c>
      <c r="I35" s="49">
        <f>IF($A35="","",COUNTIFS('הזנה רכישה'!$B$6:$B$1505,$A35,'הזנה רכישה'!$A$6:$A$1505,$B$4,'הזנה רכישה'!$F$6:$F$1505,$D$4,'הזנה רכישה'!$Q$6:$Q$1505,"פרופיל 5"))</f>
        <v/>
      </c>
      <c r="J35" s="49">
        <f>IF($A35="","",COUNTIFS('הזנה רכישה'!$B$6:$B$1505,$A35,'הזנה רכישה'!$A$6:$A$1505,$B$4,'הזנה רכישה'!$F$6:$F$1505,$D$4,'הזנה רכישה'!$Q$6:$Q$1505,"פרופיל 4"))</f>
        <v/>
      </c>
      <c r="K35" s="49">
        <f>IF($A35="","",COUNTIFS('הזנה רכישה'!$B$6:$B$1505,$A35,'הזנה רכישה'!$A$6:$A$1505,$B$4,'הזנה רכישה'!$F$6:$F$1505,$D$4,'הזנה רכישה'!$Q$6:$Q$1505,"פרופיל 3"))</f>
        <v/>
      </c>
      <c r="L35" s="49">
        <f>IF($A35="","",COUNTIFS('הזנה רכישה'!$B$6:$B$1505,$A35,'הזנה רכישה'!$A$6:$A$1505,$B$4,'הזנה רכישה'!$F$6:$F$1505,$D$4,'הזנה רכישה'!$Q$6:$Q$1505,"פרופיל 2"))</f>
        <v/>
      </c>
      <c r="M35" s="49">
        <f>IF($A35="","",COUNTIFS('הזנה ב-ו'!$B$6:$B$1505,$A35,'הזנה ב-ו'!$A$6:$A$1505,$B$4,'הזנה ב-ו'!$F$6:$F$1505,"תחילת שנה",'הזנה ב-ו'!$AC$6:$AC$1505,"רמה א'"))</f>
        <v/>
      </c>
      <c r="N35" s="49">
        <f>IF($A35="","",COUNTIFS('הזנה ב-ו'!$B$6:$B$1505,$A35,'הזנה ב-ו'!$A$6:$A$1505,$B$4,'הזנה ב-ו'!$F$6:$F$1505,"מחצית שנה",'הזנה ב-ו'!$AC$6:$AC$1505,"רמה א'"))</f>
        <v/>
      </c>
      <c r="O35" s="49">
        <f>IF($A35="","",COUNTIFS('הזנה ב-ו'!$B$6:$B$1505,$A35,'הזנה ב-ו'!$A$6:$A$1505,$B$4,'הזנה ב-ו'!$F$6:$F$1505,"סוף השנה",'הזנה ב-ו'!$AC$6:$AC$1505,"רמה א'"))</f>
        <v/>
      </c>
      <c r="P35" s="49">
        <f>IF($A35="","",COUNTIFS('הזנה ב-ו'!$B$6:$B$1505,$A35,'הזנה ב-ו'!$A$6:$A$1505,$B$4,'הזנה ב-ו'!$F$6:$F$1505,"תחילת שנה",'הזנה ב-ו'!$AC$6:$AC$1505,"רמה ג'"))</f>
        <v/>
      </c>
      <c r="Q35" s="49">
        <f>IF($A35="","",COUNTIFS('הזנה ב-ו'!$B$6:$B$1505,$A35,'הזנה ב-ו'!$A$6:$A$1505,$B$4,'הזנה ב-ו'!$F$6:$F$1505,"מחצית שנה",'הזנה ב-ו'!$AC$6:$AC$1505,"רמה ג'"))</f>
        <v/>
      </c>
      <c r="R35" s="49">
        <f>IF($A35="","",COUNTIFS('הזנה ב-ו'!$B$6:$B$1505,$A35,'הזנה ב-ו'!$A$6:$A$1505,$B$4,'הזנה ב-ו'!$F$6:$F$1505,"סוף השנה",'הזנה ב-ו'!$AC$6:$AC$1505,"רמה ג'"))</f>
        <v/>
      </c>
      <c r="S35" s="49">
        <f>IF($A35="","",COUNTIFS('הזנה רכישה'!$B$6:$B$1505,$A35,'הזנה רכישה'!$A$6:$A$1505,$B$4,'הזנה רכישה'!$F$6:$F$1505,"תחילת שנה"))</f>
        <v/>
      </c>
      <c r="T35" s="49">
        <f>IF($A35="","",COUNTIFS('הזנה רכישה'!$B$6:$B$1505,$A35,'הזנה רכישה'!$A$6:$A$1505,$B$4,'הזנה רכישה'!$F$6:$F$1505,"מחצית שנה"))</f>
        <v/>
      </c>
      <c r="U35" s="49">
        <f>IF($A35="","",COUNTIFS('הזנה רכישה'!$B$6:$B$1505,$A35,'הזנה רכישה'!$A$6:$A$1505,$B$4,'הזנה רכישה'!$F$6:$F$1505,"סוף השנה"))</f>
        <v/>
      </c>
      <c r="V35" s="49">
        <f>IF($A35="","",SUMPRODUCT(('הזנה ב-ו'!$B$6:$B$1505=$A35)*('הזנה ב-ו'!$A$6:$A$1505=$B$4)*('הזנה ב-ו'!$F$6:$F$1505=$D$4)*(LEN('הזנה ב-ו'!$AK$6:$AK$1505)&gt;0)))</f>
        <v/>
      </c>
    </row>
    <row r="36" ht="15.75" customHeight="1" s="58">
      <c r="A36" s="48">
        <f>IF('רשימות'!$A33="","",'רשימות'!$A33)</f>
        <v/>
      </c>
      <c r="B36" s="49">
        <f>IF($A36="","",COUNTIFS('הזנה ב-ו'!$B$6:$B$1505,$A36,'הזנה ב-ו'!$A$6:$A$1505,$B$4,'הזנה ב-ו'!$F$6:$F$1505,$D$4))</f>
        <v/>
      </c>
      <c r="C36" s="49">
        <f>IF($A36="","",COUNTIFS('הזנה ב-ו'!$B$6:$B$1505,$A36,'הזנה ב-ו'!$A$6:$A$1505,$B$4,'הזנה ב-ו'!$F$6:$F$1505,$D$4,'הזנה ב-ו'!$AC$6:$AC$1505,"רמה א'"))</f>
        <v/>
      </c>
      <c r="D36" s="49">
        <f>IF($A36="","",COUNTIFS('הזנה ב-ו'!$B$6:$B$1505,$A36,'הזנה ב-ו'!$A$6:$A$1505,$B$4,'הזנה ב-ו'!$F$6:$F$1505,$D$4,'הזנה ב-ו'!$AC$6:$AC$1505,"רמה ב'"))</f>
        <v/>
      </c>
      <c r="E36" s="49">
        <f>IF($A36="","",COUNTIFS('הזנה ב-ו'!$B$6:$B$1505,$A36,'הזנה ב-ו'!$A$6:$A$1505,$B$4,'הזנה ב-ו'!$F$6:$F$1505,$D$4,'הזנה ב-ו'!$AC$6:$AC$1505,"רמה ג'"))</f>
        <v/>
      </c>
      <c r="F36" s="50">
        <f>IF(OR($A36="",SUM($C36:$E36)=0),"",$C36/SUM($C36:$E36))</f>
        <v/>
      </c>
      <c r="G36" s="49">
        <f>IF($A36="","",$B36-SUM($C36:$E36))</f>
        <v/>
      </c>
      <c r="H36" s="49">
        <f>IF($A36="","",COUNTIFS('הזנה רכישה'!$B$6:$B$1505,$A36,'הזנה רכישה'!$A$6:$A$1505,$B$4,'הזנה רכישה'!$F$6:$F$1505,$D$4))</f>
        <v/>
      </c>
      <c r="I36" s="49">
        <f>IF($A36="","",COUNTIFS('הזנה רכישה'!$B$6:$B$1505,$A36,'הזנה רכישה'!$A$6:$A$1505,$B$4,'הזנה רכישה'!$F$6:$F$1505,$D$4,'הזנה רכישה'!$Q$6:$Q$1505,"פרופיל 5"))</f>
        <v/>
      </c>
      <c r="J36" s="49">
        <f>IF($A36="","",COUNTIFS('הזנה רכישה'!$B$6:$B$1505,$A36,'הזנה רכישה'!$A$6:$A$1505,$B$4,'הזנה רכישה'!$F$6:$F$1505,$D$4,'הזנה רכישה'!$Q$6:$Q$1505,"פרופיל 4"))</f>
        <v/>
      </c>
      <c r="K36" s="49">
        <f>IF($A36="","",COUNTIFS('הזנה רכישה'!$B$6:$B$1505,$A36,'הזנה רכישה'!$A$6:$A$1505,$B$4,'הזנה רכישה'!$F$6:$F$1505,$D$4,'הזנה רכישה'!$Q$6:$Q$1505,"פרופיל 3"))</f>
        <v/>
      </c>
      <c r="L36" s="49">
        <f>IF($A36="","",COUNTIFS('הזנה רכישה'!$B$6:$B$1505,$A36,'הזנה רכישה'!$A$6:$A$1505,$B$4,'הזנה רכישה'!$F$6:$F$1505,$D$4,'הזנה רכישה'!$Q$6:$Q$1505,"פרופיל 2"))</f>
        <v/>
      </c>
      <c r="M36" s="49">
        <f>IF($A36="","",COUNTIFS('הזנה ב-ו'!$B$6:$B$1505,$A36,'הזנה ב-ו'!$A$6:$A$1505,$B$4,'הזנה ב-ו'!$F$6:$F$1505,"תחילת שנה",'הזנה ב-ו'!$AC$6:$AC$1505,"רמה א'"))</f>
        <v/>
      </c>
      <c r="N36" s="49">
        <f>IF($A36="","",COUNTIFS('הזנה ב-ו'!$B$6:$B$1505,$A36,'הזנה ב-ו'!$A$6:$A$1505,$B$4,'הזנה ב-ו'!$F$6:$F$1505,"מחצית שנה",'הזנה ב-ו'!$AC$6:$AC$1505,"רמה א'"))</f>
        <v/>
      </c>
      <c r="O36" s="49">
        <f>IF($A36="","",COUNTIFS('הזנה ב-ו'!$B$6:$B$1505,$A36,'הזנה ב-ו'!$A$6:$A$1505,$B$4,'הזנה ב-ו'!$F$6:$F$1505,"סוף השנה",'הזנה ב-ו'!$AC$6:$AC$1505,"רמה א'"))</f>
        <v/>
      </c>
      <c r="P36" s="49">
        <f>IF($A36="","",COUNTIFS('הזנה ב-ו'!$B$6:$B$1505,$A36,'הזנה ב-ו'!$A$6:$A$1505,$B$4,'הזנה ב-ו'!$F$6:$F$1505,"תחילת שנה",'הזנה ב-ו'!$AC$6:$AC$1505,"רמה ג'"))</f>
        <v/>
      </c>
      <c r="Q36" s="49">
        <f>IF($A36="","",COUNTIFS('הזנה ב-ו'!$B$6:$B$1505,$A36,'הזנה ב-ו'!$A$6:$A$1505,$B$4,'הזנה ב-ו'!$F$6:$F$1505,"מחצית שנה",'הזנה ב-ו'!$AC$6:$AC$1505,"רמה ג'"))</f>
        <v/>
      </c>
      <c r="R36" s="49">
        <f>IF($A36="","",COUNTIFS('הזנה ב-ו'!$B$6:$B$1505,$A36,'הזנה ב-ו'!$A$6:$A$1505,$B$4,'הזנה ב-ו'!$F$6:$F$1505,"סוף השנה",'הזנה ב-ו'!$AC$6:$AC$1505,"רמה ג'"))</f>
        <v/>
      </c>
      <c r="S36" s="49">
        <f>IF($A36="","",COUNTIFS('הזנה רכישה'!$B$6:$B$1505,$A36,'הזנה רכישה'!$A$6:$A$1505,$B$4,'הזנה רכישה'!$F$6:$F$1505,"תחילת שנה"))</f>
        <v/>
      </c>
      <c r="T36" s="49">
        <f>IF($A36="","",COUNTIFS('הזנה רכישה'!$B$6:$B$1505,$A36,'הזנה רכישה'!$A$6:$A$1505,$B$4,'הזנה רכישה'!$F$6:$F$1505,"מחצית שנה"))</f>
        <v/>
      </c>
      <c r="U36" s="49">
        <f>IF($A36="","",COUNTIFS('הזנה רכישה'!$B$6:$B$1505,$A36,'הזנה רכישה'!$A$6:$A$1505,$B$4,'הזנה רכישה'!$F$6:$F$1505,"סוף השנה"))</f>
        <v/>
      </c>
      <c r="V36" s="49">
        <f>IF($A36="","",SUMPRODUCT(('הזנה ב-ו'!$B$6:$B$1505=$A36)*('הזנה ב-ו'!$A$6:$A$1505=$B$4)*('הזנה ב-ו'!$F$6:$F$1505=$D$4)*(LEN('הזנה ב-ו'!$AK$6:$AK$1505)&gt;0)))</f>
        <v/>
      </c>
    </row>
    <row r="37" ht="15.75" customHeight="1" s="58">
      <c r="A37" s="48">
        <f>IF('רשימות'!$A34="","",'רשימות'!$A34)</f>
        <v/>
      </c>
      <c r="B37" s="49">
        <f>IF($A37="","",COUNTIFS('הזנה ב-ו'!$B$6:$B$1505,$A37,'הזנה ב-ו'!$A$6:$A$1505,$B$4,'הזנה ב-ו'!$F$6:$F$1505,$D$4))</f>
        <v/>
      </c>
      <c r="C37" s="49">
        <f>IF($A37="","",COUNTIFS('הזנה ב-ו'!$B$6:$B$1505,$A37,'הזנה ב-ו'!$A$6:$A$1505,$B$4,'הזנה ב-ו'!$F$6:$F$1505,$D$4,'הזנה ב-ו'!$AC$6:$AC$1505,"רמה א'"))</f>
        <v/>
      </c>
      <c r="D37" s="49">
        <f>IF($A37="","",COUNTIFS('הזנה ב-ו'!$B$6:$B$1505,$A37,'הזנה ב-ו'!$A$6:$A$1505,$B$4,'הזנה ב-ו'!$F$6:$F$1505,$D$4,'הזנה ב-ו'!$AC$6:$AC$1505,"רמה ב'"))</f>
        <v/>
      </c>
      <c r="E37" s="49">
        <f>IF($A37="","",COUNTIFS('הזנה ב-ו'!$B$6:$B$1505,$A37,'הזנה ב-ו'!$A$6:$A$1505,$B$4,'הזנה ב-ו'!$F$6:$F$1505,$D$4,'הזנה ב-ו'!$AC$6:$AC$1505,"רמה ג'"))</f>
        <v/>
      </c>
      <c r="F37" s="50">
        <f>IF(OR($A37="",SUM($C37:$E37)=0),"",$C37/SUM($C37:$E37))</f>
        <v/>
      </c>
      <c r="G37" s="49">
        <f>IF($A37="","",$B37-SUM($C37:$E37))</f>
        <v/>
      </c>
      <c r="H37" s="49">
        <f>IF($A37="","",COUNTIFS('הזנה רכישה'!$B$6:$B$1505,$A37,'הזנה רכישה'!$A$6:$A$1505,$B$4,'הזנה רכישה'!$F$6:$F$1505,$D$4))</f>
        <v/>
      </c>
      <c r="I37" s="49">
        <f>IF($A37="","",COUNTIFS('הזנה רכישה'!$B$6:$B$1505,$A37,'הזנה רכישה'!$A$6:$A$1505,$B$4,'הזנה רכישה'!$F$6:$F$1505,$D$4,'הזנה רכישה'!$Q$6:$Q$1505,"פרופיל 5"))</f>
        <v/>
      </c>
      <c r="J37" s="49">
        <f>IF($A37="","",COUNTIFS('הזנה רכישה'!$B$6:$B$1505,$A37,'הזנה רכישה'!$A$6:$A$1505,$B$4,'הזנה רכישה'!$F$6:$F$1505,$D$4,'הזנה רכישה'!$Q$6:$Q$1505,"פרופיל 4"))</f>
        <v/>
      </c>
      <c r="K37" s="49">
        <f>IF($A37="","",COUNTIFS('הזנה רכישה'!$B$6:$B$1505,$A37,'הזנה רכישה'!$A$6:$A$1505,$B$4,'הזנה רכישה'!$F$6:$F$1505,$D$4,'הזנה רכישה'!$Q$6:$Q$1505,"פרופיל 3"))</f>
        <v/>
      </c>
      <c r="L37" s="49">
        <f>IF($A37="","",COUNTIFS('הזנה רכישה'!$B$6:$B$1505,$A37,'הזנה רכישה'!$A$6:$A$1505,$B$4,'הזנה רכישה'!$F$6:$F$1505,$D$4,'הזנה רכישה'!$Q$6:$Q$1505,"פרופיל 2"))</f>
        <v/>
      </c>
      <c r="M37" s="49">
        <f>IF($A37="","",COUNTIFS('הזנה ב-ו'!$B$6:$B$1505,$A37,'הזנה ב-ו'!$A$6:$A$1505,$B$4,'הזנה ב-ו'!$F$6:$F$1505,"תחילת שנה",'הזנה ב-ו'!$AC$6:$AC$1505,"רמה א'"))</f>
        <v/>
      </c>
      <c r="N37" s="49">
        <f>IF($A37="","",COUNTIFS('הזנה ב-ו'!$B$6:$B$1505,$A37,'הזנה ב-ו'!$A$6:$A$1505,$B$4,'הזנה ב-ו'!$F$6:$F$1505,"מחצית שנה",'הזנה ב-ו'!$AC$6:$AC$1505,"רמה א'"))</f>
        <v/>
      </c>
      <c r="O37" s="49">
        <f>IF($A37="","",COUNTIFS('הזנה ב-ו'!$B$6:$B$1505,$A37,'הזנה ב-ו'!$A$6:$A$1505,$B$4,'הזנה ב-ו'!$F$6:$F$1505,"סוף השנה",'הזנה ב-ו'!$AC$6:$AC$1505,"רמה א'"))</f>
        <v/>
      </c>
      <c r="P37" s="49">
        <f>IF($A37="","",COUNTIFS('הזנה ב-ו'!$B$6:$B$1505,$A37,'הזנה ב-ו'!$A$6:$A$1505,$B$4,'הזנה ב-ו'!$F$6:$F$1505,"תחילת שנה",'הזנה ב-ו'!$AC$6:$AC$1505,"רמה ג'"))</f>
        <v/>
      </c>
      <c r="Q37" s="49">
        <f>IF($A37="","",COUNTIFS('הזנה ב-ו'!$B$6:$B$1505,$A37,'הזנה ב-ו'!$A$6:$A$1505,$B$4,'הזנה ב-ו'!$F$6:$F$1505,"מחצית שנה",'הזנה ב-ו'!$AC$6:$AC$1505,"רמה ג'"))</f>
        <v/>
      </c>
      <c r="R37" s="49">
        <f>IF($A37="","",COUNTIFS('הזנה ב-ו'!$B$6:$B$1505,$A37,'הזנה ב-ו'!$A$6:$A$1505,$B$4,'הזנה ב-ו'!$F$6:$F$1505,"סוף השנה",'הזנה ב-ו'!$AC$6:$AC$1505,"רמה ג'"))</f>
        <v/>
      </c>
      <c r="S37" s="49">
        <f>IF($A37="","",COUNTIFS('הזנה רכישה'!$B$6:$B$1505,$A37,'הזנה רכישה'!$A$6:$A$1505,$B$4,'הזנה רכישה'!$F$6:$F$1505,"תחילת שנה"))</f>
        <v/>
      </c>
      <c r="T37" s="49">
        <f>IF($A37="","",COUNTIFS('הזנה רכישה'!$B$6:$B$1505,$A37,'הזנה רכישה'!$A$6:$A$1505,$B$4,'הזנה רכישה'!$F$6:$F$1505,"מחצית שנה"))</f>
        <v/>
      </c>
      <c r="U37" s="49">
        <f>IF($A37="","",COUNTIFS('הזנה רכישה'!$B$6:$B$1505,$A37,'הזנה רכישה'!$A$6:$A$1505,$B$4,'הזנה רכישה'!$F$6:$F$1505,"סוף השנה"))</f>
        <v/>
      </c>
      <c r="V37" s="49">
        <f>IF($A37="","",SUMPRODUCT(('הזנה ב-ו'!$B$6:$B$1505=$A37)*('הזנה ב-ו'!$A$6:$A$1505=$B$4)*('הזנה ב-ו'!$F$6:$F$1505=$D$4)*(LEN('הזנה ב-ו'!$AK$6:$AK$1505)&gt;0)))</f>
        <v/>
      </c>
    </row>
    <row r="38" ht="15.75" customHeight="1" s="58">
      <c r="A38" s="55" t="inlineStr">
        <is>
          <t>סה"כ</t>
        </is>
      </c>
      <c r="B38" s="56">
        <f>SUM(B8:B37)</f>
        <v/>
      </c>
      <c r="C38" s="56">
        <f>SUM(C8:C37)</f>
        <v/>
      </c>
      <c r="D38" s="56">
        <f>SUM(D8:D37)</f>
        <v/>
      </c>
      <c r="E38" s="56">
        <f>SUM(E8:E37)</f>
        <v/>
      </c>
      <c r="F38" s="57">
        <f>IF(SUM(C38:E38)=0,"",C38/SUM(C38:E38))</f>
        <v/>
      </c>
      <c r="G38" s="56">
        <f>SUM(G8:G37)</f>
        <v/>
      </c>
      <c r="H38" s="56">
        <f>SUM(H8:H37)</f>
        <v/>
      </c>
      <c r="I38" s="56">
        <f>SUM(I8:I37)</f>
        <v/>
      </c>
      <c r="J38" s="56">
        <f>SUM(J8:J37)</f>
        <v/>
      </c>
      <c r="K38" s="56">
        <f>SUM(K8:K37)</f>
        <v/>
      </c>
      <c r="L38" s="56">
        <f>SUM(L8:L37)</f>
        <v/>
      </c>
      <c r="M38" s="56">
        <f>SUM(M8:M37)</f>
        <v/>
      </c>
      <c r="N38" s="56">
        <f>SUM(N8:N37)</f>
        <v/>
      </c>
      <c r="O38" s="56">
        <f>SUM(O8:O37)</f>
        <v/>
      </c>
      <c r="P38" s="56">
        <f>SUM(P8:P37)</f>
        <v/>
      </c>
      <c r="Q38" s="56">
        <f>SUM(Q8:Q37)</f>
        <v/>
      </c>
      <c r="R38" s="56">
        <f>SUM(R8:R37)</f>
        <v/>
      </c>
      <c r="S38" s="56">
        <f>SUM(S8:S37)</f>
        <v/>
      </c>
      <c r="T38" s="56">
        <f>SUM(T8:T37)</f>
        <v/>
      </c>
      <c r="U38" s="56">
        <f>SUM(U8:U37)</f>
        <v/>
      </c>
      <c r="V38" s="56">
        <f>SUM(V8:V37)</f>
        <v/>
      </c>
    </row>
    <row r="39" ht="15.75" customHeight="1" s="58"/>
    <row r="40" ht="15.75" customHeight="1" s="58"/>
    <row r="41" ht="15.75" customHeight="1" s="58"/>
    <row r="42" ht="15.75" customHeight="1" s="58"/>
    <row r="43" ht="15.75" customHeight="1" s="58"/>
    <row r="44" ht="15.75" customHeight="1" s="58"/>
    <row r="45" ht="15.75" customHeight="1" s="58"/>
    <row r="46" ht="15.75" customHeight="1" s="58"/>
    <row r="47" ht="15.75" customHeight="1" s="58"/>
    <row r="48" ht="15.75" customHeight="1" s="58"/>
    <row r="49" ht="15.75" customHeight="1" s="58"/>
    <row r="50" ht="15.75" customHeight="1" s="58"/>
    <row r="51" ht="15.75" customHeight="1" s="58"/>
    <row r="52" ht="15.75" customHeight="1" s="58"/>
    <row r="53" ht="15.75" customHeight="1" s="58"/>
    <row r="54" ht="15.75" customHeight="1" s="58"/>
    <row r="55" ht="15.75" customHeight="1" s="58"/>
    <row r="56" ht="15.75" customHeight="1" s="58"/>
    <row r="57" ht="15.75" customHeight="1" s="58"/>
    <row r="58" ht="15.75" customHeight="1" s="58"/>
    <row r="59" ht="15.75" customHeight="1" s="58"/>
    <row r="60" ht="15.75" customHeight="1" s="58"/>
    <row r="61" ht="15.75" customHeight="1" s="58"/>
    <row r="62" ht="15.75" customHeight="1" s="58"/>
    <row r="63" ht="15.75" customHeight="1" s="58"/>
    <row r="64" ht="15.75" customHeight="1" s="58"/>
    <row r="65" ht="15.75" customHeight="1" s="58"/>
    <row r="66" ht="15.75" customHeight="1" s="58"/>
    <row r="67" ht="15.75" customHeight="1" s="58"/>
    <row r="68" ht="15.75" customHeight="1" s="58"/>
    <row r="69" ht="15.75" customHeight="1" s="58"/>
    <row r="70" ht="15.75" customHeight="1" s="58"/>
    <row r="71" ht="15.75" customHeight="1" s="58"/>
    <row r="72" ht="15.75" customHeight="1" s="58"/>
    <row r="73" ht="15.75" customHeight="1" s="58"/>
    <row r="74" ht="15.75" customHeight="1" s="58"/>
    <row r="75" ht="15.75" customHeight="1" s="58"/>
    <row r="76" ht="15.75" customHeight="1" s="58"/>
    <row r="77" ht="15.75" customHeight="1" s="58"/>
    <row r="78" ht="15.75" customHeight="1" s="58"/>
    <row r="79" ht="15.75" customHeight="1" s="58"/>
    <row r="80" ht="15.75" customHeight="1" s="58"/>
    <row r="81" ht="15.75" customHeight="1" s="58"/>
    <row r="82" ht="15.75" customHeight="1" s="58"/>
    <row r="83" ht="15.75" customHeight="1" s="58"/>
    <row r="84" ht="15.75" customHeight="1" s="58"/>
    <row r="85" ht="15.75" customHeight="1" s="58"/>
    <row r="86" ht="15.75" customHeight="1" s="58"/>
    <row r="87" ht="15.75" customHeight="1" s="58"/>
    <row r="88" ht="15.75" customHeight="1" s="58"/>
    <row r="89" ht="15.75" customHeight="1" s="58"/>
    <row r="90" ht="15.75" customHeight="1" s="58"/>
    <row r="91" ht="15.75" customHeight="1" s="58"/>
    <row r="92" ht="15.75" customHeight="1" s="58"/>
    <row r="93" ht="15.75" customHeight="1" s="58"/>
    <row r="94" ht="15.75" customHeight="1" s="58"/>
    <row r="95" ht="15.75" customHeight="1" s="58"/>
    <row r="96" ht="15.75" customHeight="1" s="58"/>
    <row r="97" ht="15.75" customHeight="1" s="58"/>
    <row r="98" ht="15.75" customHeight="1" s="58"/>
    <row r="99" ht="15.75" customHeight="1" s="58"/>
    <row r="100" ht="15.75" customHeight="1" s="58"/>
    <row r="101" ht="15.75" customHeight="1" s="58"/>
    <row r="102" ht="15.75" customHeight="1" s="58"/>
    <row r="103" ht="15.75" customHeight="1" s="58"/>
    <row r="104" ht="15.75" customHeight="1" s="58"/>
    <row r="105" ht="15.75" customHeight="1" s="58"/>
    <row r="106" ht="15.75" customHeight="1" s="58"/>
    <row r="107" ht="15.75" customHeight="1" s="58"/>
    <row r="108" ht="15.75" customHeight="1" s="58"/>
    <row r="109" ht="15.75" customHeight="1" s="58"/>
    <row r="110" ht="15.75" customHeight="1" s="58"/>
    <row r="111" ht="15.75" customHeight="1" s="58"/>
    <row r="112" ht="15.75" customHeight="1" s="58"/>
    <row r="113" ht="15.75" customHeight="1" s="58"/>
    <row r="114" ht="15.75" customHeight="1" s="58"/>
    <row r="115" ht="15.75" customHeight="1" s="58"/>
    <row r="116" ht="15.75" customHeight="1" s="58"/>
    <row r="117" ht="15.75" customHeight="1" s="58"/>
    <row r="118" ht="15.75" customHeight="1" s="58"/>
    <row r="119" ht="15.75" customHeight="1" s="58"/>
    <row r="120" ht="15.75" customHeight="1" s="58"/>
    <row r="121" ht="15.75" customHeight="1" s="58"/>
    <row r="122" ht="15.75" customHeight="1" s="58"/>
    <row r="123" ht="15.75" customHeight="1" s="58"/>
    <row r="124" ht="15.75" customHeight="1" s="58"/>
    <row r="125" ht="15.75" customHeight="1" s="58"/>
    <row r="126" ht="15.75" customHeight="1" s="58"/>
    <row r="127" ht="15.75" customHeight="1" s="58"/>
    <row r="128" ht="15.75" customHeight="1" s="58"/>
    <row r="129" ht="15.75" customHeight="1" s="58"/>
    <row r="130" ht="15.75" customHeight="1" s="58"/>
    <row r="131" ht="15.75" customHeight="1" s="58"/>
    <row r="132" ht="15.75" customHeight="1" s="58"/>
    <row r="133" ht="15.75" customHeight="1" s="58"/>
    <row r="134" ht="15.75" customHeight="1" s="58"/>
    <row r="135" ht="15.75" customHeight="1" s="58"/>
    <row r="136" ht="15.75" customHeight="1" s="58"/>
    <row r="137" ht="15.75" customHeight="1" s="58"/>
    <row r="138" ht="15.75" customHeight="1" s="58"/>
    <row r="139" ht="15.75" customHeight="1" s="58"/>
    <row r="140" ht="15.75" customHeight="1" s="58"/>
    <row r="141" ht="15.75" customHeight="1" s="58"/>
    <row r="142" ht="15.75" customHeight="1" s="58"/>
    <row r="143" ht="15.75" customHeight="1" s="58"/>
    <row r="144" ht="15.75" customHeight="1" s="58"/>
    <row r="145" ht="15.75" customHeight="1" s="58"/>
    <row r="146" ht="15.75" customHeight="1" s="58"/>
    <row r="147" ht="15.75" customHeight="1" s="58"/>
    <row r="148" ht="15.75" customHeight="1" s="58"/>
    <row r="149" ht="15.75" customHeight="1" s="58"/>
    <row r="150" ht="15.75" customHeight="1" s="58"/>
    <row r="151" ht="15.75" customHeight="1" s="58"/>
    <row r="152" ht="15.75" customHeight="1" s="58"/>
    <row r="153" ht="15.75" customHeight="1" s="58"/>
    <row r="154" ht="15.75" customHeight="1" s="58"/>
    <row r="155" ht="15.75" customHeight="1" s="58"/>
    <row r="156" ht="15.75" customHeight="1" s="58"/>
    <row r="157" ht="15.75" customHeight="1" s="58"/>
    <row r="158" ht="15.75" customHeight="1" s="58"/>
    <row r="159" ht="15.75" customHeight="1" s="58"/>
    <row r="160" ht="15.75" customHeight="1" s="58"/>
    <row r="161" ht="15.75" customHeight="1" s="58"/>
    <row r="162" ht="15.75" customHeight="1" s="58"/>
    <row r="163" ht="15.75" customHeight="1" s="58"/>
    <row r="164" ht="15.75" customHeight="1" s="58"/>
    <row r="165" ht="15.75" customHeight="1" s="58"/>
    <row r="166" ht="15.75" customHeight="1" s="58"/>
    <row r="167" ht="15.75" customHeight="1" s="58"/>
    <row r="168" ht="15.75" customHeight="1" s="58"/>
    <row r="169" ht="15.75" customHeight="1" s="58"/>
    <row r="170" ht="15.75" customHeight="1" s="58"/>
    <row r="171" ht="15.75" customHeight="1" s="58"/>
    <row r="172" ht="15.75" customHeight="1" s="58"/>
    <row r="173" ht="15.75" customHeight="1" s="58"/>
    <row r="174" ht="15.75" customHeight="1" s="58"/>
    <row r="175" ht="15.75" customHeight="1" s="58"/>
    <row r="176" ht="15.75" customHeight="1" s="58"/>
    <row r="177" ht="15.75" customHeight="1" s="58"/>
    <row r="178" ht="15.75" customHeight="1" s="58"/>
    <row r="179" ht="15.75" customHeight="1" s="58"/>
    <row r="180" ht="15.75" customHeight="1" s="58"/>
    <row r="181" ht="15.75" customHeight="1" s="58"/>
    <row r="182" ht="15.75" customHeight="1" s="58"/>
    <row r="183" ht="15.75" customHeight="1" s="58"/>
    <row r="184" ht="15.75" customHeight="1" s="58"/>
    <row r="185" ht="15.75" customHeight="1" s="58"/>
    <row r="186" ht="15.75" customHeight="1" s="58"/>
    <row r="187" ht="15.75" customHeight="1" s="58"/>
    <row r="188" ht="15.75" customHeight="1" s="58"/>
    <row r="189" ht="15.75" customHeight="1" s="58"/>
    <row r="190" ht="15.75" customHeight="1" s="58"/>
    <row r="191" ht="15.75" customHeight="1" s="58"/>
    <row r="192" ht="15.75" customHeight="1" s="58"/>
    <row r="193" ht="15.75" customHeight="1" s="58"/>
    <row r="194" ht="15.75" customHeight="1" s="58"/>
    <row r="195" ht="15.75" customHeight="1" s="58"/>
    <row r="196" ht="15.75" customHeight="1" s="58"/>
    <row r="197" ht="15.75" customHeight="1" s="58"/>
    <row r="198" ht="15.75" customHeight="1" s="58"/>
    <row r="199" ht="15.75" customHeight="1" s="58"/>
    <row r="200" ht="15.75" customHeight="1" s="58"/>
    <row r="201" ht="15.75" customHeight="1" s="58"/>
    <row r="202" ht="15.75" customHeight="1" s="58"/>
    <row r="203" ht="15.75" customHeight="1" s="58"/>
    <row r="204" ht="15.75" customHeight="1" s="58"/>
    <row r="205" ht="15.75" customHeight="1" s="58"/>
    <row r="206" ht="15.75" customHeight="1" s="58"/>
    <row r="207" ht="15.75" customHeight="1" s="58"/>
    <row r="208" ht="15.75" customHeight="1" s="58"/>
    <row r="209" ht="15.75" customHeight="1" s="58"/>
    <row r="210" ht="15.75" customHeight="1" s="58"/>
    <row r="211" ht="15.75" customHeight="1" s="58"/>
    <row r="212" ht="15.75" customHeight="1" s="58"/>
    <row r="213" ht="15.75" customHeight="1" s="58"/>
    <row r="214" ht="15.75" customHeight="1" s="58"/>
    <row r="215" ht="15.75" customHeight="1" s="58"/>
    <row r="216" ht="15.75" customHeight="1" s="58"/>
    <row r="217" ht="15.75" customHeight="1" s="58"/>
    <row r="218" ht="15.75" customHeight="1" s="58"/>
    <row r="219" ht="15.75" customHeight="1" s="58"/>
    <row r="220" ht="15.75" customHeight="1" s="58"/>
    <row r="221" ht="15.75" customHeight="1" s="58"/>
    <row r="222" ht="15.75" customHeight="1" s="58"/>
    <row r="223" ht="15.75" customHeight="1" s="58"/>
    <row r="224" ht="15.75" customHeight="1" s="58"/>
    <row r="225" ht="15.75" customHeight="1" s="58"/>
    <row r="226" ht="15.75" customHeight="1" s="58"/>
    <row r="227" ht="15.75" customHeight="1" s="58"/>
    <row r="228" ht="15.75" customHeight="1" s="58"/>
    <row r="229" ht="15.75" customHeight="1" s="58"/>
    <row r="230" ht="15.75" customHeight="1" s="58"/>
    <row r="231" ht="15.75" customHeight="1" s="58"/>
    <row r="232" ht="15.75" customHeight="1" s="58"/>
    <row r="233" ht="15.75" customHeight="1" s="58"/>
    <row r="234" ht="15.75" customHeight="1" s="58"/>
    <row r="235" ht="15.75" customHeight="1" s="58"/>
    <row r="236" ht="15.75" customHeight="1" s="58"/>
    <row r="237" ht="15.75" customHeight="1" s="58"/>
    <row r="238" ht="15.75" customHeight="1" s="58"/>
    <row r="239" ht="15.75" customHeight="1" s="58"/>
    <row r="240" ht="15.75" customHeight="1" s="58"/>
    <row r="241" ht="15.75" customHeight="1" s="58"/>
    <row r="242" ht="15.75" customHeight="1" s="58"/>
    <row r="243" ht="15.75" customHeight="1" s="58"/>
    <row r="244" ht="15.75" customHeight="1" s="58"/>
    <row r="245" ht="15.75" customHeight="1" s="58"/>
    <row r="246" ht="15.75" customHeight="1" s="58"/>
    <row r="247" ht="15.75" customHeight="1" s="58"/>
    <row r="248" ht="15.75" customHeight="1" s="58"/>
    <row r="249" ht="15.75" customHeight="1" s="58"/>
    <row r="250" ht="15.75" customHeight="1" s="58"/>
    <row r="251" ht="15.75" customHeight="1" s="58"/>
    <row r="252" ht="15.75" customHeight="1" s="58"/>
    <row r="253" ht="15.75" customHeight="1" s="58"/>
    <row r="254" ht="15.75" customHeight="1" s="58"/>
    <row r="255" ht="15.75" customHeight="1" s="58"/>
    <row r="256" ht="15.75" customHeight="1" s="58"/>
    <row r="257" ht="15.75" customHeight="1" s="58"/>
    <row r="258" ht="15.75" customHeight="1" s="58"/>
    <row r="259" ht="15.75" customHeight="1" s="58"/>
    <row r="260" ht="15.75" customHeight="1" s="58"/>
    <row r="261" ht="15.75" customHeight="1" s="58"/>
    <row r="262" ht="15.75" customHeight="1" s="58"/>
    <row r="263" ht="15.75" customHeight="1" s="58"/>
    <row r="264" ht="15.75" customHeight="1" s="58"/>
    <row r="265" ht="15.75" customHeight="1" s="58"/>
    <row r="266" ht="15.75" customHeight="1" s="58"/>
    <row r="267" ht="15.75" customHeight="1" s="58"/>
    <row r="268" ht="15.75" customHeight="1" s="58"/>
    <row r="269" ht="15.75" customHeight="1" s="58"/>
    <row r="270" ht="15.75" customHeight="1" s="58"/>
    <row r="271" ht="15.75" customHeight="1" s="58"/>
    <row r="272" ht="15.75" customHeight="1" s="58"/>
    <row r="273" ht="15.75" customHeight="1" s="58"/>
    <row r="274" ht="15.75" customHeight="1" s="58"/>
    <row r="275" ht="15.75" customHeight="1" s="58"/>
    <row r="276" ht="15.75" customHeight="1" s="58"/>
    <row r="277" ht="15.75" customHeight="1" s="58"/>
    <row r="278" ht="15.75" customHeight="1" s="58"/>
    <row r="279" ht="15.75" customHeight="1" s="58"/>
    <row r="280" ht="15.75" customHeight="1" s="58"/>
    <row r="281" ht="15.75" customHeight="1" s="58"/>
    <row r="282" ht="15.75" customHeight="1" s="58"/>
    <row r="283" ht="15.75" customHeight="1" s="58"/>
    <row r="284" ht="15.75" customHeight="1" s="58"/>
    <row r="285" ht="15.75" customHeight="1" s="58"/>
    <row r="286" ht="15.75" customHeight="1" s="58"/>
    <row r="287" ht="15.75" customHeight="1" s="58"/>
    <row r="288" ht="15.75" customHeight="1" s="58"/>
    <row r="289" ht="15.75" customHeight="1" s="58"/>
    <row r="290" ht="15.75" customHeight="1" s="58"/>
    <row r="291" ht="15.75" customHeight="1" s="58"/>
    <row r="292" ht="15.75" customHeight="1" s="58"/>
    <row r="293" ht="15.75" customHeight="1" s="58"/>
    <row r="294" ht="15.75" customHeight="1" s="58"/>
    <row r="295" ht="15.75" customHeight="1" s="58"/>
    <row r="296" ht="15.75" customHeight="1" s="58"/>
    <row r="297" ht="15.75" customHeight="1" s="58"/>
    <row r="298" ht="15.75" customHeight="1" s="58"/>
    <row r="299" ht="15.75" customHeight="1" s="58"/>
    <row r="300" ht="15.75" customHeight="1" s="58"/>
    <row r="301" ht="15.75" customHeight="1" s="58"/>
    <row r="302" ht="15.75" customHeight="1" s="58"/>
    <row r="303" ht="15.75" customHeight="1" s="58"/>
    <row r="304" ht="15.75" customHeight="1" s="58"/>
    <row r="305" ht="15.75" customHeight="1" s="58"/>
    <row r="306" ht="15.75" customHeight="1" s="58"/>
    <row r="307" ht="15.75" customHeight="1" s="58"/>
    <row r="308" ht="15.75" customHeight="1" s="58"/>
    <row r="309" ht="15.75" customHeight="1" s="58"/>
    <row r="310" ht="15.75" customHeight="1" s="58"/>
    <row r="311" ht="15.75" customHeight="1" s="58"/>
    <row r="312" ht="15.75" customHeight="1" s="58"/>
    <row r="313" ht="15.75" customHeight="1" s="58"/>
    <row r="314" ht="15.75" customHeight="1" s="58"/>
    <row r="315" ht="15.75" customHeight="1" s="58"/>
    <row r="316" ht="15.75" customHeight="1" s="58"/>
    <row r="317" ht="15.75" customHeight="1" s="58"/>
    <row r="318" ht="15.75" customHeight="1" s="58"/>
    <row r="319" ht="15.75" customHeight="1" s="58"/>
    <row r="320" ht="15.75" customHeight="1" s="58"/>
    <row r="321" ht="15.75" customHeight="1" s="58"/>
    <row r="322" ht="15.75" customHeight="1" s="58"/>
    <row r="323" ht="15.75" customHeight="1" s="58"/>
    <row r="324" ht="15.75" customHeight="1" s="58"/>
    <row r="325" ht="15.75" customHeight="1" s="58"/>
    <row r="326" ht="15.75" customHeight="1" s="58"/>
    <row r="327" ht="15.75" customHeight="1" s="58"/>
    <row r="328" ht="15.75" customHeight="1" s="58"/>
    <row r="329" ht="15.75" customHeight="1" s="58"/>
    <row r="330" ht="15.75" customHeight="1" s="58"/>
    <row r="331" ht="15.75" customHeight="1" s="58"/>
    <row r="332" ht="15.75" customHeight="1" s="58"/>
    <row r="333" ht="15.75" customHeight="1" s="58"/>
    <row r="334" ht="15.75" customHeight="1" s="58"/>
    <row r="335" ht="15.75" customHeight="1" s="58"/>
    <row r="336" ht="15.75" customHeight="1" s="58"/>
    <row r="337" ht="15.75" customHeight="1" s="58"/>
    <row r="338" ht="15.75" customHeight="1" s="58"/>
    <row r="339" ht="15.75" customHeight="1" s="58"/>
    <row r="340" ht="15.75" customHeight="1" s="58"/>
    <row r="341" ht="15.75" customHeight="1" s="58"/>
    <row r="342" ht="15.75" customHeight="1" s="58"/>
    <row r="343" ht="15.75" customHeight="1" s="58"/>
    <row r="344" ht="15.75" customHeight="1" s="58"/>
    <row r="345" ht="15.75" customHeight="1" s="58"/>
    <row r="346" ht="15.75" customHeight="1" s="58"/>
    <row r="347" ht="15.75" customHeight="1" s="58"/>
    <row r="348" ht="15.75" customHeight="1" s="58"/>
    <row r="349" ht="15.75" customHeight="1" s="58"/>
    <row r="350" ht="15.75" customHeight="1" s="58"/>
    <row r="351" ht="15.75" customHeight="1" s="58"/>
    <row r="352" ht="15.75" customHeight="1" s="58"/>
    <row r="353" ht="15.75" customHeight="1" s="58"/>
    <row r="354" ht="15.75" customHeight="1" s="58"/>
    <row r="355" ht="15.75" customHeight="1" s="58"/>
    <row r="356" ht="15.75" customHeight="1" s="58"/>
    <row r="357" ht="15.75" customHeight="1" s="58"/>
    <row r="358" ht="15.75" customHeight="1" s="58"/>
    <row r="359" ht="15.75" customHeight="1" s="58"/>
    <row r="360" ht="15.75" customHeight="1" s="58"/>
    <row r="361" ht="15.75" customHeight="1" s="58"/>
    <row r="362" ht="15.75" customHeight="1" s="58"/>
    <row r="363" ht="15.75" customHeight="1" s="58"/>
    <row r="364" ht="15.75" customHeight="1" s="58"/>
    <row r="365" ht="15.75" customHeight="1" s="58"/>
    <row r="366" ht="15.75" customHeight="1" s="58"/>
    <row r="367" ht="15.75" customHeight="1" s="58"/>
    <row r="368" ht="15.75" customHeight="1" s="58"/>
    <row r="369" ht="15.75" customHeight="1" s="58"/>
    <row r="370" ht="15.75" customHeight="1" s="58"/>
    <row r="371" ht="15.75" customHeight="1" s="58"/>
    <row r="372" ht="15.75" customHeight="1" s="58"/>
    <row r="373" ht="15.75" customHeight="1" s="58"/>
    <row r="374" ht="15.75" customHeight="1" s="58"/>
    <row r="375" ht="15.75" customHeight="1" s="58"/>
    <row r="376" ht="15.75" customHeight="1" s="58"/>
    <row r="377" ht="15.75" customHeight="1" s="58"/>
    <row r="378" ht="15.75" customHeight="1" s="58"/>
    <row r="379" ht="15.75" customHeight="1" s="58"/>
    <row r="380" ht="15.75" customHeight="1" s="58"/>
    <row r="381" ht="15.75" customHeight="1" s="58"/>
    <row r="382" ht="15.75" customHeight="1" s="58"/>
    <row r="383" ht="15.75" customHeight="1" s="58"/>
    <row r="384" ht="15.75" customHeight="1" s="58"/>
    <row r="385" ht="15.75" customHeight="1" s="58"/>
    <row r="386" ht="15.75" customHeight="1" s="58"/>
    <row r="387" ht="15.75" customHeight="1" s="58"/>
    <row r="388" ht="15.75" customHeight="1" s="58"/>
    <row r="389" ht="15.75" customHeight="1" s="58"/>
    <row r="390" ht="15.75" customHeight="1" s="58"/>
    <row r="391" ht="15.75" customHeight="1" s="58"/>
    <row r="392" ht="15.75" customHeight="1" s="58"/>
    <row r="393" ht="15.75" customHeight="1" s="58"/>
    <row r="394" ht="15.75" customHeight="1" s="58"/>
    <row r="395" ht="15.75" customHeight="1" s="58"/>
    <row r="396" ht="15.75" customHeight="1" s="58"/>
    <row r="397" ht="15.75" customHeight="1" s="58"/>
    <row r="398" ht="15.75" customHeight="1" s="58"/>
    <row r="399" ht="15.75" customHeight="1" s="58"/>
    <row r="400" ht="15.75" customHeight="1" s="58"/>
    <row r="401" ht="15.75" customHeight="1" s="58"/>
    <row r="402" ht="15.75" customHeight="1" s="58"/>
    <row r="403" ht="15.75" customHeight="1" s="58"/>
    <row r="404" ht="15.75" customHeight="1" s="58"/>
    <row r="405" ht="15.75" customHeight="1" s="58"/>
    <row r="406" ht="15.75" customHeight="1" s="58"/>
    <row r="407" ht="15.75" customHeight="1" s="58"/>
    <row r="408" ht="15.75" customHeight="1" s="58"/>
    <row r="409" ht="15.75" customHeight="1" s="58"/>
    <row r="410" ht="15.75" customHeight="1" s="58"/>
    <row r="411" ht="15.75" customHeight="1" s="58"/>
    <row r="412" ht="15.75" customHeight="1" s="58"/>
    <row r="413" ht="15.75" customHeight="1" s="58"/>
    <row r="414" ht="15.75" customHeight="1" s="58"/>
    <row r="415" ht="15.75" customHeight="1" s="58"/>
    <row r="416" ht="15.75" customHeight="1" s="58"/>
    <row r="417" ht="15.75" customHeight="1" s="58"/>
    <row r="418" ht="15.75" customHeight="1" s="58"/>
    <row r="419" ht="15.75" customHeight="1" s="58"/>
    <row r="420" ht="15.75" customHeight="1" s="58"/>
    <row r="421" ht="15.75" customHeight="1" s="58"/>
    <row r="422" ht="15.75" customHeight="1" s="58"/>
    <row r="423" ht="15.75" customHeight="1" s="58"/>
    <row r="424" ht="15.75" customHeight="1" s="58"/>
    <row r="425" ht="15.75" customHeight="1" s="58"/>
    <row r="426" ht="15.75" customHeight="1" s="58"/>
    <row r="427" ht="15.75" customHeight="1" s="58"/>
    <row r="428" ht="15.75" customHeight="1" s="58"/>
    <row r="429" ht="15.75" customHeight="1" s="58"/>
    <row r="430" ht="15.75" customHeight="1" s="58"/>
    <row r="431" ht="15.75" customHeight="1" s="58"/>
    <row r="432" ht="15.75" customHeight="1" s="58"/>
    <row r="433" ht="15.75" customHeight="1" s="58"/>
    <row r="434" ht="15.75" customHeight="1" s="58"/>
    <row r="435" ht="15.75" customHeight="1" s="58"/>
    <row r="436" ht="15.75" customHeight="1" s="58"/>
    <row r="437" ht="15.75" customHeight="1" s="58"/>
    <row r="438" ht="15.75" customHeight="1" s="58"/>
    <row r="439" ht="15.75" customHeight="1" s="58"/>
    <row r="440" ht="15.75" customHeight="1" s="58"/>
    <row r="441" ht="15.75" customHeight="1" s="58"/>
    <row r="442" ht="15.75" customHeight="1" s="58"/>
    <row r="443" ht="15.75" customHeight="1" s="58"/>
    <row r="444" ht="15.75" customHeight="1" s="58"/>
    <row r="445" ht="15.75" customHeight="1" s="58"/>
    <row r="446" ht="15.75" customHeight="1" s="58"/>
    <row r="447" ht="15.75" customHeight="1" s="58"/>
    <row r="448" ht="15.75" customHeight="1" s="58"/>
    <row r="449" ht="15.75" customHeight="1" s="58"/>
    <row r="450" ht="15.75" customHeight="1" s="58"/>
    <row r="451" ht="15.75" customHeight="1" s="58"/>
    <row r="452" ht="15.75" customHeight="1" s="58"/>
    <row r="453" ht="15.75" customHeight="1" s="58"/>
    <row r="454" ht="15.75" customHeight="1" s="58"/>
    <row r="455" ht="15.75" customHeight="1" s="58"/>
    <row r="456" ht="15.75" customHeight="1" s="58"/>
    <row r="457" ht="15.75" customHeight="1" s="58"/>
    <row r="458" ht="15.75" customHeight="1" s="58"/>
    <row r="459" ht="15.75" customHeight="1" s="58"/>
    <row r="460" ht="15.75" customHeight="1" s="58"/>
    <row r="461" ht="15.75" customHeight="1" s="58"/>
    <row r="462" ht="15.75" customHeight="1" s="58"/>
    <row r="463" ht="15.75" customHeight="1" s="58"/>
    <row r="464" ht="15.75" customHeight="1" s="58"/>
    <row r="465" ht="15.75" customHeight="1" s="58"/>
    <row r="466" ht="15.75" customHeight="1" s="58"/>
    <row r="467" ht="15.75" customHeight="1" s="58"/>
    <row r="468" ht="15.75" customHeight="1" s="58"/>
    <row r="469" ht="15.75" customHeight="1" s="58"/>
    <row r="470" ht="15.75" customHeight="1" s="58"/>
    <row r="471" ht="15.75" customHeight="1" s="58"/>
    <row r="472" ht="15.75" customHeight="1" s="58"/>
    <row r="473" ht="15.75" customHeight="1" s="58"/>
    <row r="474" ht="15.75" customHeight="1" s="58"/>
    <row r="475" ht="15.75" customHeight="1" s="58"/>
    <row r="476" ht="15.75" customHeight="1" s="58"/>
    <row r="477" ht="15.75" customHeight="1" s="58"/>
    <row r="478" ht="15.75" customHeight="1" s="58"/>
    <row r="479" ht="15.75" customHeight="1" s="58"/>
    <row r="480" ht="15.75" customHeight="1" s="58"/>
    <row r="481" ht="15.75" customHeight="1" s="58"/>
    <row r="482" ht="15.75" customHeight="1" s="58"/>
    <row r="483" ht="15.75" customHeight="1" s="58"/>
    <row r="484" ht="15.75" customHeight="1" s="58"/>
    <row r="485" ht="15.75" customHeight="1" s="58"/>
    <row r="486" ht="15.75" customHeight="1" s="58"/>
    <row r="487" ht="15.75" customHeight="1" s="58"/>
    <row r="488" ht="15.75" customHeight="1" s="58"/>
    <row r="489" ht="15.75" customHeight="1" s="58"/>
    <row r="490" ht="15.75" customHeight="1" s="58"/>
    <row r="491" ht="15.75" customHeight="1" s="58"/>
    <row r="492" ht="15.75" customHeight="1" s="58"/>
    <row r="493" ht="15.75" customHeight="1" s="58"/>
    <row r="494" ht="15.75" customHeight="1" s="58"/>
    <row r="495" ht="15.75" customHeight="1" s="58"/>
    <row r="496" ht="15.75" customHeight="1" s="58"/>
    <row r="497" ht="15.75" customHeight="1" s="58"/>
    <row r="498" ht="15.75" customHeight="1" s="58"/>
    <row r="499" ht="15.75" customHeight="1" s="58"/>
    <row r="500" ht="15.75" customHeight="1" s="58"/>
    <row r="501" ht="15.75" customHeight="1" s="58"/>
    <row r="502" ht="15.75" customHeight="1" s="58"/>
    <row r="503" ht="15.75" customHeight="1" s="58"/>
    <row r="504" ht="15.75" customHeight="1" s="58"/>
    <row r="505" ht="15.75" customHeight="1" s="58"/>
    <row r="506" ht="15.75" customHeight="1" s="58"/>
    <row r="507" ht="15.75" customHeight="1" s="58"/>
    <row r="508" ht="15.75" customHeight="1" s="58"/>
    <row r="509" ht="15.75" customHeight="1" s="58"/>
    <row r="510" ht="15.75" customHeight="1" s="58"/>
    <row r="511" ht="15.75" customHeight="1" s="58"/>
    <row r="512" ht="15.75" customHeight="1" s="58"/>
    <row r="513" ht="15.75" customHeight="1" s="58"/>
    <row r="514" ht="15.75" customHeight="1" s="58"/>
    <row r="515" ht="15.75" customHeight="1" s="58"/>
    <row r="516" ht="15.75" customHeight="1" s="58"/>
    <row r="517" ht="15.75" customHeight="1" s="58"/>
    <row r="518" ht="15.75" customHeight="1" s="58"/>
    <row r="519" ht="15.75" customHeight="1" s="58"/>
    <row r="520" ht="15.75" customHeight="1" s="58"/>
    <row r="521" ht="15.75" customHeight="1" s="58"/>
    <row r="522" ht="15.75" customHeight="1" s="58"/>
    <row r="523" ht="15.75" customHeight="1" s="58"/>
    <row r="524" ht="15.75" customHeight="1" s="58"/>
    <row r="525" ht="15.75" customHeight="1" s="58"/>
    <row r="526" ht="15.75" customHeight="1" s="58"/>
    <row r="527" ht="15.75" customHeight="1" s="58"/>
    <row r="528" ht="15.75" customHeight="1" s="58"/>
    <row r="529" ht="15.75" customHeight="1" s="58"/>
    <row r="530" ht="15.75" customHeight="1" s="58"/>
    <row r="531" ht="15.75" customHeight="1" s="58"/>
    <row r="532" ht="15.75" customHeight="1" s="58"/>
    <row r="533" ht="15.75" customHeight="1" s="58"/>
    <row r="534" ht="15.75" customHeight="1" s="58"/>
    <row r="535" ht="15.75" customHeight="1" s="58"/>
    <row r="536" ht="15.75" customHeight="1" s="58"/>
    <row r="537" ht="15.75" customHeight="1" s="58"/>
    <row r="538" ht="15.75" customHeight="1" s="58"/>
    <row r="539" ht="15.75" customHeight="1" s="58"/>
    <row r="540" ht="15.75" customHeight="1" s="58"/>
    <row r="541" ht="15.75" customHeight="1" s="58"/>
    <row r="542" ht="15.75" customHeight="1" s="58"/>
    <row r="543" ht="15.75" customHeight="1" s="58"/>
    <row r="544" ht="15.75" customHeight="1" s="58"/>
    <row r="545" ht="15.75" customHeight="1" s="58"/>
    <row r="546" ht="15.75" customHeight="1" s="58"/>
    <row r="547" ht="15.75" customHeight="1" s="58"/>
    <row r="548" ht="15.75" customHeight="1" s="58"/>
    <row r="549" ht="15.75" customHeight="1" s="58"/>
    <row r="550" ht="15.75" customHeight="1" s="58"/>
    <row r="551" ht="15.75" customHeight="1" s="58"/>
    <row r="552" ht="15.75" customHeight="1" s="58"/>
    <row r="553" ht="15.75" customHeight="1" s="58"/>
    <row r="554" ht="15.75" customHeight="1" s="58"/>
    <row r="555" ht="15.75" customHeight="1" s="58"/>
    <row r="556" ht="15.75" customHeight="1" s="58"/>
    <row r="557" ht="15.75" customHeight="1" s="58"/>
    <row r="558" ht="15.75" customHeight="1" s="58"/>
    <row r="559" ht="15.75" customHeight="1" s="58"/>
    <row r="560" ht="15.75" customHeight="1" s="58"/>
    <row r="561" ht="15.75" customHeight="1" s="58"/>
    <row r="562" ht="15.75" customHeight="1" s="58"/>
    <row r="563" ht="15.75" customHeight="1" s="58"/>
    <row r="564" ht="15.75" customHeight="1" s="58"/>
    <row r="565" ht="15.75" customHeight="1" s="58"/>
    <row r="566" ht="15.75" customHeight="1" s="58"/>
    <row r="567" ht="15.75" customHeight="1" s="58"/>
    <row r="568" ht="15.75" customHeight="1" s="58"/>
    <row r="569" ht="15.75" customHeight="1" s="58"/>
    <row r="570" ht="15.75" customHeight="1" s="58"/>
    <row r="571" ht="15.75" customHeight="1" s="58"/>
    <row r="572" ht="15.75" customHeight="1" s="58"/>
    <row r="573" ht="15.75" customHeight="1" s="58"/>
    <row r="574" ht="15.75" customHeight="1" s="58"/>
    <row r="575" ht="15.75" customHeight="1" s="58"/>
    <row r="576" ht="15.75" customHeight="1" s="58"/>
    <row r="577" ht="15.75" customHeight="1" s="58"/>
    <row r="578" ht="15.75" customHeight="1" s="58"/>
    <row r="579" ht="15.75" customHeight="1" s="58"/>
    <row r="580" ht="15.75" customHeight="1" s="58"/>
    <row r="581" ht="15.75" customHeight="1" s="58"/>
    <row r="582" ht="15.75" customHeight="1" s="58"/>
    <row r="583" ht="15.75" customHeight="1" s="58"/>
    <row r="584" ht="15.75" customHeight="1" s="58"/>
    <row r="585" ht="15.75" customHeight="1" s="58"/>
    <row r="586" ht="15.75" customHeight="1" s="58"/>
    <row r="587" ht="15.75" customHeight="1" s="58"/>
    <row r="588" ht="15.75" customHeight="1" s="58"/>
    <row r="589" ht="15.75" customHeight="1" s="58"/>
    <row r="590" ht="15.75" customHeight="1" s="58"/>
    <row r="591" ht="15.75" customHeight="1" s="58"/>
    <row r="592" ht="15.75" customHeight="1" s="58"/>
    <row r="593" ht="15.75" customHeight="1" s="58"/>
    <row r="594" ht="15.75" customHeight="1" s="58"/>
    <row r="595" ht="15.75" customHeight="1" s="58"/>
    <row r="596" ht="15.75" customHeight="1" s="58"/>
    <row r="597" ht="15.75" customHeight="1" s="58"/>
    <row r="598" ht="15.75" customHeight="1" s="58"/>
    <row r="599" ht="15.75" customHeight="1" s="58"/>
    <row r="600" ht="15.75" customHeight="1" s="58"/>
    <row r="601" ht="15.75" customHeight="1" s="58"/>
    <row r="602" ht="15.75" customHeight="1" s="58"/>
    <row r="603" ht="15.75" customHeight="1" s="58"/>
    <row r="604" ht="15.75" customHeight="1" s="58"/>
    <row r="605" ht="15.75" customHeight="1" s="58"/>
    <row r="606" ht="15.75" customHeight="1" s="58"/>
    <row r="607" ht="15.75" customHeight="1" s="58"/>
    <row r="608" ht="15.75" customHeight="1" s="58"/>
    <row r="609" ht="15.75" customHeight="1" s="58"/>
    <row r="610" ht="15.75" customHeight="1" s="58"/>
    <row r="611" ht="15.75" customHeight="1" s="58"/>
    <row r="612" ht="15.75" customHeight="1" s="58"/>
    <row r="613" ht="15.75" customHeight="1" s="58"/>
    <row r="614" ht="15.75" customHeight="1" s="58"/>
    <row r="615" ht="15.75" customHeight="1" s="58"/>
    <row r="616" ht="15.75" customHeight="1" s="58"/>
    <row r="617" ht="15.75" customHeight="1" s="58"/>
    <row r="618" ht="15.75" customHeight="1" s="58"/>
    <row r="619" ht="15.75" customHeight="1" s="58"/>
    <row r="620" ht="15.75" customHeight="1" s="58"/>
    <row r="621" ht="15.75" customHeight="1" s="58"/>
    <row r="622" ht="15.75" customHeight="1" s="58"/>
    <row r="623" ht="15.75" customHeight="1" s="58"/>
    <row r="624" ht="15.75" customHeight="1" s="58"/>
    <row r="625" ht="15.75" customHeight="1" s="58"/>
    <row r="626" ht="15.75" customHeight="1" s="58"/>
    <row r="627" ht="15.75" customHeight="1" s="58"/>
    <row r="628" ht="15.75" customHeight="1" s="58"/>
    <row r="629" ht="15.75" customHeight="1" s="58"/>
    <row r="630" ht="15.75" customHeight="1" s="58"/>
    <row r="631" ht="15.75" customHeight="1" s="58"/>
    <row r="632" ht="15.75" customHeight="1" s="58"/>
    <row r="633" ht="15.75" customHeight="1" s="58"/>
    <row r="634" ht="15.75" customHeight="1" s="58"/>
    <row r="635" ht="15.75" customHeight="1" s="58"/>
    <row r="636" ht="15.75" customHeight="1" s="58"/>
    <row r="637" ht="15.75" customHeight="1" s="58"/>
    <row r="638" ht="15.75" customHeight="1" s="58"/>
    <row r="639" ht="15.75" customHeight="1" s="58"/>
    <row r="640" ht="15.75" customHeight="1" s="58"/>
    <row r="641" ht="15.75" customHeight="1" s="58"/>
    <row r="642" ht="15.75" customHeight="1" s="58"/>
    <row r="643" ht="15.75" customHeight="1" s="58"/>
    <row r="644" ht="15.75" customHeight="1" s="58"/>
    <row r="645" ht="15.75" customHeight="1" s="58"/>
    <row r="646" ht="15.75" customHeight="1" s="58"/>
    <row r="647" ht="15.75" customHeight="1" s="58"/>
    <row r="648" ht="15.75" customHeight="1" s="58"/>
    <row r="649" ht="15.75" customHeight="1" s="58"/>
    <row r="650" ht="15.75" customHeight="1" s="58"/>
    <row r="651" ht="15.75" customHeight="1" s="58"/>
    <row r="652" ht="15.75" customHeight="1" s="58"/>
    <row r="653" ht="15.75" customHeight="1" s="58"/>
    <row r="654" ht="15.75" customHeight="1" s="58"/>
    <row r="655" ht="15.75" customHeight="1" s="58"/>
    <row r="656" ht="15.75" customHeight="1" s="58"/>
    <row r="657" ht="15.75" customHeight="1" s="58"/>
    <row r="658" ht="15.75" customHeight="1" s="58"/>
    <row r="659" ht="15.75" customHeight="1" s="58"/>
    <row r="660" ht="15.75" customHeight="1" s="58"/>
    <row r="661" ht="15.75" customHeight="1" s="58"/>
    <row r="662" ht="15.75" customHeight="1" s="58"/>
    <row r="663" ht="15.75" customHeight="1" s="58"/>
    <row r="664" ht="15.75" customHeight="1" s="58"/>
    <row r="665" ht="15.75" customHeight="1" s="58"/>
    <row r="666" ht="15.75" customHeight="1" s="58"/>
    <row r="667" ht="15.75" customHeight="1" s="58"/>
    <row r="668" ht="15.75" customHeight="1" s="58"/>
    <row r="669" ht="15.75" customHeight="1" s="58"/>
    <row r="670" ht="15.75" customHeight="1" s="58"/>
    <row r="671" ht="15.75" customHeight="1" s="58"/>
    <row r="672" ht="15.75" customHeight="1" s="58"/>
    <row r="673" ht="15.75" customHeight="1" s="58"/>
    <row r="674" ht="15.75" customHeight="1" s="58"/>
    <row r="675" ht="15.75" customHeight="1" s="58"/>
    <row r="676" ht="15.75" customHeight="1" s="58"/>
    <row r="677" ht="15.75" customHeight="1" s="58"/>
    <row r="678" ht="15.75" customHeight="1" s="58"/>
    <row r="679" ht="15.75" customHeight="1" s="58"/>
    <row r="680" ht="15.75" customHeight="1" s="58"/>
    <row r="681" ht="15.75" customHeight="1" s="58"/>
    <row r="682" ht="15.75" customHeight="1" s="58"/>
    <row r="683" ht="15.75" customHeight="1" s="58"/>
    <row r="684" ht="15.75" customHeight="1" s="58"/>
    <row r="685" ht="15.75" customHeight="1" s="58"/>
    <row r="686" ht="15.75" customHeight="1" s="58"/>
    <row r="687" ht="15.75" customHeight="1" s="58"/>
    <row r="688" ht="15.75" customHeight="1" s="58"/>
    <row r="689" ht="15.75" customHeight="1" s="58"/>
    <row r="690" ht="15.75" customHeight="1" s="58"/>
    <row r="691" ht="15.75" customHeight="1" s="58"/>
    <row r="692" ht="15.75" customHeight="1" s="58"/>
    <row r="693" ht="15.75" customHeight="1" s="58"/>
    <row r="694" ht="15.75" customHeight="1" s="58"/>
    <row r="695" ht="15.75" customHeight="1" s="58"/>
    <row r="696" ht="15.75" customHeight="1" s="58"/>
    <row r="697" ht="15.75" customHeight="1" s="58"/>
    <row r="698" ht="15.75" customHeight="1" s="58"/>
    <row r="699" ht="15.75" customHeight="1" s="58"/>
    <row r="700" ht="15.75" customHeight="1" s="58"/>
    <row r="701" ht="15.75" customHeight="1" s="58"/>
    <row r="702" ht="15.75" customHeight="1" s="58"/>
    <row r="703" ht="15.75" customHeight="1" s="58"/>
    <row r="704" ht="15.75" customHeight="1" s="58"/>
    <row r="705" ht="15.75" customHeight="1" s="58"/>
    <row r="706" ht="15.75" customHeight="1" s="58"/>
    <row r="707" ht="15.75" customHeight="1" s="58"/>
    <row r="708" ht="15.75" customHeight="1" s="58"/>
    <row r="709" ht="15.75" customHeight="1" s="58"/>
    <row r="710" ht="15.75" customHeight="1" s="58"/>
    <row r="711" ht="15.75" customHeight="1" s="58"/>
    <row r="712" ht="15.75" customHeight="1" s="58"/>
    <row r="713" ht="15.75" customHeight="1" s="58"/>
    <row r="714" ht="15.75" customHeight="1" s="58"/>
    <row r="715" ht="15.75" customHeight="1" s="58"/>
    <row r="716" ht="15.75" customHeight="1" s="58"/>
    <row r="717" ht="15.75" customHeight="1" s="58"/>
    <row r="718" ht="15.75" customHeight="1" s="58"/>
    <row r="719" ht="15.75" customHeight="1" s="58"/>
    <row r="720" ht="15.75" customHeight="1" s="58"/>
    <row r="721" ht="15.75" customHeight="1" s="58"/>
    <row r="722" ht="15.75" customHeight="1" s="58"/>
    <row r="723" ht="15.75" customHeight="1" s="58"/>
    <row r="724" ht="15.75" customHeight="1" s="58"/>
    <row r="725" ht="15.75" customHeight="1" s="58"/>
    <row r="726" ht="15.75" customHeight="1" s="58"/>
    <row r="727" ht="15.75" customHeight="1" s="58"/>
    <row r="728" ht="15.75" customHeight="1" s="58"/>
    <row r="729" ht="15.75" customHeight="1" s="58"/>
    <row r="730" ht="15.75" customHeight="1" s="58"/>
    <row r="731" ht="15.75" customHeight="1" s="58"/>
    <row r="732" ht="15.75" customHeight="1" s="58"/>
    <row r="733" ht="15.75" customHeight="1" s="58"/>
    <row r="734" ht="15.75" customHeight="1" s="58"/>
    <row r="735" ht="15.75" customHeight="1" s="58"/>
    <row r="736" ht="15.75" customHeight="1" s="58"/>
    <row r="737" ht="15.75" customHeight="1" s="58"/>
    <row r="738" ht="15.75" customHeight="1" s="58"/>
    <row r="739" ht="15.75" customHeight="1" s="58"/>
    <row r="740" ht="15.75" customHeight="1" s="58"/>
    <row r="741" ht="15.75" customHeight="1" s="58"/>
    <row r="742" ht="15.75" customHeight="1" s="58"/>
    <row r="743" ht="15.75" customHeight="1" s="58"/>
    <row r="744" ht="15.75" customHeight="1" s="58"/>
    <row r="745" ht="15.75" customHeight="1" s="58"/>
    <row r="746" ht="15.75" customHeight="1" s="58"/>
    <row r="747" ht="15.75" customHeight="1" s="58"/>
    <row r="748" ht="15.75" customHeight="1" s="58"/>
    <row r="749" ht="15.75" customHeight="1" s="58"/>
    <row r="750" ht="15.75" customHeight="1" s="58"/>
    <row r="751" ht="15.75" customHeight="1" s="58"/>
    <row r="752" ht="15.75" customHeight="1" s="58"/>
    <row r="753" ht="15.75" customHeight="1" s="58"/>
    <row r="754" ht="15.75" customHeight="1" s="58"/>
    <row r="755" ht="15.75" customHeight="1" s="58"/>
    <row r="756" ht="15.75" customHeight="1" s="58"/>
    <row r="757" ht="15.75" customHeight="1" s="58"/>
    <row r="758" ht="15.75" customHeight="1" s="58"/>
    <row r="759" ht="15.75" customHeight="1" s="58"/>
    <row r="760" ht="15.75" customHeight="1" s="58"/>
    <row r="761" ht="15.75" customHeight="1" s="58"/>
    <row r="762" ht="15.75" customHeight="1" s="58"/>
    <row r="763" ht="15.75" customHeight="1" s="58"/>
    <row r="764" ht="15.75" customHeight="1" s="58"/>
    <row r="765" ht="15.75" customHeight="1" s="58"/>
    <row r="766" ht="15.75" customHeight="1" s="58"/>
    <row r="767" ht="15.75" customHeight="1" s="58"/>
    <row r="768" ht="15.75" customHeight="1" s="58"/>
    <row r="769" ht="15.75" customHeight="1" s="58"/>
    <row r="770" ht="15.75" customHeight="1" s="58"/>
    <row r="771" ht="15.75" customHeight="1" s="58"/>
    <row r="772" ht="15.75" customHeight="1" s="58"/>
    <row r="773" ht="15.75" customHeight="1" s="58"/>
    <row r="774" ht="15.75" customHeight="1" s="58"/>
    <row r="775" ht="15.75" customHeight="1" s="58"/>
    <row r="776" ht="15.75" customHeight="1" s="58"/>
    <row r="777" ht="15.75" customHeight="1" s="58"/>
    <row r="778" ht="15.75" customHeight="1" s="58"/>
    <row r="779" ht="15.75" customHeight="1" s="58"/>
    <row r="780" ht="15.75" customHeight="1" s="58"/>
    <row r="781" ht="15.75" customHeight="1" s="58"/>
    <row r="782" ht="15.75" customHeight="1" s="58"/>
    <row r="783" ht="15.75" customHeight="1" s="58"/>
    <row r="784" ht="15.75" customHeight="1" s="58"/>
    <row r="785" ht="15.75" customHeight="1" s="58"/>
    <row r="786" ht="15.75" customHeight="1" s="58"/>
    <row r="787" ht="15.75" customHeight="1" s="58"/>
    <row r="788" ht="15.75" customHeight="1" s="58"/>
    <row r="789" ht="15.75" customHeight="1" s="58"/>
    <row r="790" ht="15.75" customHeight="1" s="58"/>
    <row r="791" ht="15.75" customHeight="1" s="58"/>
    <row r="792" ht="15.75" customHeight="1" s="58"/>
    <row r="793" ht="15.75" customHeight="1" s="58"/>
    <row r="794" ht="15.75" customHeight="1" s="58"/>
    <row r="795" ht="15.75" customHeight="1" s="58"/>
    <row r="796" ht="15.75" customHeight="1" s="58"/>
    <row r="797" ht="15.75" customHeight="1" s="58"/>
    <row r="798" ht="15.75" customHeight="1" s="58"/>
    <row r="799" ht="15.75" customHeight="1" s="58"/>
    <row r="800" ht="15.75" customHeight="1" s="58"/>
    <row r="801" ht="15.75" customHeight="1" s="58"/>
    <row r="802" ht="15.75" customHeight="1" s="58"/>
    <row r="803" ht="15.75" customHeight="1" s="58"/>
    <row r="804" ht="15.75" customHeight="1" s="58"/>
    <row r="805" ht="15.75" customHeight="1" s="58"/>
    <row r="806" ht="15.75" customHeight="1" s="58"/>
    <row r="807" ht="15.75" customHeight="1" s="58"/>
    <row r="808" ht="15.75" customHeight="1" s="58"/>
    <row r="809" ht="15.75" customHeight="1" s="58"/>
    <row r="810" ht="15.75" customHeight="1" s="58"/>
    <row r="811" ht="15.75" customHeight="1" s="58"/>
    <row r="812" ht="15.75" customHeight="1" s="58"/>
    <row r="813" ht="15.75" customHeight="1" s="58"/>
    <row r="814" ht="15.75" customHeight="1" s="58"/>
    <row r="815" ht="15.75" customHeight="1" s="58"/>
    <row r="816" ht="15.75" customHeight="1" s="58"/>
    <row r="817" ht="15.75" customHeight="1" s="58"/>
    <row r="818" ht="15.75" customHeight="1" s="58"/>
    <row r="819" ht="15.75" customHeight="1" s="58"/>
    <row r="820" ht="15.75" customHeight="1" s="58"/>
    <row r="821" ht="15.75" customHeight="1" s="58"/>
    <row r="822" ht="15.75" customHeight="1" s="58"/>
    <row r="823" ht="15.75" customHeight="1" s="58"/>
    <row r="824" ht="15.75" customHeight="1" s="58"/>
    <row r="825" ht="15.75" customHeight="1" s="58"/>
    <row r="826" ht="15.75" customHeight="1" s="58"/>
    <row r="827" ht="15.75" customHeight="1" s="58"/>
    <row r="828" ht="15.75" customHeight="1" s="58"/>
    <row r="829" ht="15.75" customHeight="1" s="58"/>
    <row r="830" ht="15.75" customHeight="1" s="58"/>
    <row r="831" ht="15.75" customHeight="1" s="58"/>
    <row r="832" ht="15.75" customHeight="1" s="58"/>
    <row r="833" ht="15.75" customHeight="1" s="58"/>
    <row r="834" ht="15.75" customHeight="1" s="58"/>
    <row r="835" ht="15.75" customHeight="1" s="58"/>
    <row r="836" ht="15.75" customHeight="1" s="58"/>
    <row r="837" ht="15.75" customHeight="1" s="58"/>
    <row r="838" ht="15.75" customHeight="1" s="58"/>
    <row r="839" ht="15.75" customHeight="1" s="58"/>
    <row r="840" ht="15.75" customHeight="1" s="58"/>
    <row r="841" ht="15.75" customHeight="1" s="58"/>
    <row r="842" ht="15.75" customHeight="1" s="58"/>
    <row r="843" ht="15.75" customHeight="1" s="58"/>
    <row r="844" ht="15.75" customHeight="1" s="58"/>
    <row r="845" ht="15.75" customHeight="1" s="58"/>
    <row r="846" ht="15.75" customHeight="1" s="58"/>
    <row r="847" ht="15.75" customHeight="1" s="58"/>
    <row r="848" ht="15.75" customHeight="1" s="58"/>
    <row r="849" ht="15.75" customHeight="1" s="58"/>
    <row r="850" ht="15.75" customHeight="1" s="58"/>
    <row r="851" ht="15.75" customHeight="1" s="58"/>
    <row r="852" ht="15.75" customHeight="1" s="58"/>
    <row r="853" ht="15.75" customHeight="1" s="58"/>
    <row r="854" ht="15.75" customHeight="1" s="58"/>
    <row r="855" ht="15.75" customHeight="1" s="58"/>
    <row r="856" ht="15.75" customHeight="1" s="58"/>
    <row r="857" ht="15.75" customHeight="1" s="58"/>
    <row r="858" ht="15.75" customHeight="1" s="58"/>
    <row r="859" ht="15.75" customHeight="1" s="58"/>
    <row r="860" ht="15.75" customHeight="1" s="58"/>
    <row r="861" ht="15.75" customHeight="1" s="58"/>
    <row r="862" ht="15.75" customHeight="1" s="58"/>
    <row r="863" ht="15.75" customHeight="1" s="58"/>
    <row r="864" ht="15.75" customHeight="1" s="58"/>
    <row r="865" ht="15.75" customHeight="1" s="58"/>
    <row r="866" ht="15.75" customHeight="1" s="58"/>
    <row r="867" ht="15.75" customHeight="1" s="58"/>
    <row r="868" ht="15.75" customHeight="1" s="58"/>
    <row r="869" ht="15.75" customHeight="1" s="58"/>
    <row r="870" ht="15.75" customHeight="1" s="58"/>
    <row r="871" ht="15.75" customHeight="1" s="58"/>
    <row r="872" ht="15.75" customHeight="1" s="58"/>
    <row r="873" ht="15.75" customHeight="1" s="58"/>
    <row r="874" ht="15.75" customHeight="1" s="58"/>
    <row r="875" ht="15.75" customHeight="1" s="58"/>
    <row r="876" ht="15.75" customHeight="1" s="58"/>
    <row r="877" ht="15.75" customHeight="1" s="58"/>
    <row r="878" ht="15.75" customHeight="1" s="58"/>
    <row r="879" ht="15.75" customHeight="1" s="58"/>
    <row r="880" ht="15.75" customHeight="1" s="58"/>
    <row r="881" ht="15.75" customHeight="1" s="58"/>
    <row r="882" ht="15.75" customHeight="1" s="58"/>
    <row r="883" ht="15.75" customHeight="1" s="58"/>
    <row r="884" ht="15.75" customHeight="1" s="58"/>
    <row r="885" ht="15.75" customHeight="1" s="58"/>
    <row r="886" ht="15.75" customHeight="1" s="58"/>
    <row r="887" ht="15.75" customHeight="1" s="58"/>
    <row r="888" ht="15.75" customHeight="1" s="58"/>
    <row r="889" ht="15.75" customHeight="1" s="58"/>
    <row r="890" ht="15.75" customHeight="1" s="58"/>
    <row r="891" ht="15.75" customHeight="1" s="58"/>
    <row r="892" ht="15.75" customHeight="1" s="58"/>
    <row r="893" ht="15.75" customHeight="1" s="58"/>
    <row r="894" ht="15.75" customHeight="1" s="58"/>
    <row r="895" ht="15.75" customHeight="1" s="58"/>
    <row r="896" ht="15.75" customHeight="1" s="58"/>
    <row r="897" ht="15.75" customHeight="1" s="58"/>
    <row r="898" ht="15.75" customHeight="1" s="58"/>
    <row r="899" ht="15.75" customHeight="1" s="58"/>
    <row r="900" ht="15.75" customHeight="1" s="58"/>
    <row r="901" ht="15.75" customHeight="1" s="58"/>
    <row r="902" ht="15.75" customHeight="1" s="58"/>
    <row r="903" ht="15.75" customHeight="1" s="58"/>
    <row r="904" ht="15.75" customHeight="1" s="58"/>
    <row r="905" ht="15.75" customHeight="1" s="58"/>
    <row r="906" ht="15.75" customHeight="1" s="58"/>
    <row r="907" ht="15.75" customHeight="1" s="58"/>
    <row r="908" ht="15.75" customHeight="1" s="58"/>
    <row r="909" ht="15.75" customHeight="1" s="58"/>
    <row r="910" ht="15.75" customHeight="1" s="58"/>
    <row r="911" ht="15.75" customHeight="1" s="58"/>
    <row r="912" ht="15.75" customHeight="1" s="58"/>
    <row r="913" ht="15.75" customHeight="1" s="58"/>
    <row r="914" ht="15.75" customHeight="1" s="58"/>
    <row r="915" ht="15.75" customHeight="1" s="58"/>
    <row r="916" ht="15.75" customHeight="1" s="58"/>
    <row r="917" ht="15.75" customHeight="1" s="58"/>
    <row r="918" ht="15.75" customHeight="1" s="58"/>
    <row r="919" ht="15.75" customHeight="1" s="58"/>
    <row r="920" ht="15.75" customHeight="1" s="58"/>
    <row r="921" ht="15.75" customHeight="1" s="58"/>
    <row r="922" ht="15.75" customHeight="1" s="58"/>
    <row r="923" ht="15.75" customHeight="1" s="58"/>
    <row r="924" ht="15.75" customHeight="1" s="58"/>
    <row r="925" ht="15.75" customHeight="1" s="58"/>
    <row r="926" ht="15.75" customHeight="1" s="58"/>
    <row r="927" ht="15.75" customHeight="1" s="58"/>
    <row r="928" ht="15.75" customHeight="1" s="58"/>
    <row r="929" ht="15.75" customHeight="1" s="58"/>
    <row r="930" ht="15.75" customHeight="1" s="58"/>
    <row r="931" ht="15.75" customHeight="1" s="58"/>
    <row r="932" ht="15.75" customHeight="1" s="58"/>
    <row r="933" ht="15.75" customHeight="1" s="58"/>
    <row r="934" ht="15.75" customHeight="1" s="58"/>
    <row r="935" ht="15.75" customHeight="1" s="58"/>
    <row r="936" ht="15.75" customHeight="1" s="58"/>
    <row r="937" ht="15.75" customHeight="1" s="58"/>
    <row r="938" ht="15.75" customHeight="1" s="58"/>
    <row r="939" ht="15.75" customHeight="1" s="58"/>
    <row r="940" ht="15.75" customHeight="1" s="58"/>
    <row r="941" ht="15.75" customHeight="1" s="58"/>
    <row r="942" ht="15.75" customHeight="1" s="58"/>
    <row r="943" ht="15.75" customHeight="1" s="58"/>
    <row r="944" ht="15.75" customHeight="1" s="58"/>
    <row r="945" ht="15.75" customHeight="1" s="58"/>
    <row r="946" ht="15.75" customHeight="1" s="58"/>
    <row r="947" ht="15.75" customHeight="1" s="58"/>
    <row r="948" ht="15.75" customHeight="1" s="58"/>
    <row r="949" ht="15.75" customHeight="1" s="58"/>
    <row r="950" ht="15.75" customHeight="1" s="58"/>
    <row r="951" ht="15.75" customHeight="1" s="58"/>
    <row r="952" ht="15.75" customHeight="1" s="58"/>
    <row r="953" ht="15.75" customHeight="1" s="58"/>
    <row r="954" ht="15.75" customHeight="1" s="58"/>
    <row r="955" ht="15.75" customHeight="1" s="58"/>
    <row r="956" ht="15.75" customHeight="1" s="58"/>
    <row r="957" ht="15.75" customHeight="1" s="58"/>
    <row r="958" ht="15.75" customHeight="1" s="58"/>
    <row r="959" ht="15.75" customHeight="1" s="58"/>
    <row r="960" ht="15.75" customHeight="1" s="58"/>
    <row r="961" ht="15.75" customHeight="1" s="58"/>
    <row r="962" ht="15.75" customHeight="1" s="58"/>
    <row r="963" ht="15.75" customHeight="1" s="58"/>
    <row r="964" ht="15.75" customHeight="1" s="58"/>
    <row r="965" ht="15.75" customHeight="1" s="58"/>
    <row r="966" ht="15.75" customHeight="1" s="58"/>
    <row r="967" ht="15.75" customHeight="1" s="58"/>
    <row r="968" ht="15.75" customHeight="1" s="58"/>
    <row r="969" ht="15.75" customHeight="1" s="58"/>
    <row r="970" ht="15.75" customHeight="1" s="58"/>
    <row r="971" ht="15.75" customHeight="1" s="58"/>
    <row r="972" ht="15.75" customHeight="1" s="58"/>
    <row r="973" ht="15.75" customHeight="1" s="58"/>
    <row r="974" ht="15.75" customHeight="1" s="58"/>
    <row r="975" ht="15.75" customHeight="1" s="58"/>
    <row r="976" ht="15.75" customHeight="1" s="58"/>
    <row r="977" ht="15.75" customHeight="1" s="58"/>
    <row r="978" ht="15.75" customHeight="1" s="58"/>
    <row r="979" ht="15.75" customHeight="1" s="58"/>
    <row r="980" ht="15.75" customHeight="1" s="58"/>
    <row r="981" ht="15.75" customHeight="1" s="58"/>
    <row r="982" ht="15.75" customHeight="1" s="58"/>
    <row r="983" ht="15.75" customHeight="1" s="58"/>
    <row r="984" ht="15.75" customHeight="1" s="58"/>
    <row r="985" ht="15.75" customHeight="1" s="58"/>
    <row r="986" ht="15.75" customHeight="1" s="58"/>
    <row r="987" ht="15.75" customHeight="1" s="58"/>
    <row r="988" ht="15.75" customHeight="1" s="58"/>
    <row r="989" ht="15.75" customHeight="1" s="58"/>
    <row r="990" ht="15.75" customHeight="1" s="58"/>
    <row r="991" ht="15.75" customHeight="1" s="58"/>
    <row r="992" ht="15.75" customHeight="1" s="58"/>
    <row r="993" ht="15.75" customHeight="1" s="58"/>
    <row r="994" ht="15.75" customHeight="1" s="58"/>
    <row r="995" ht="15.75" customHeight="1" s="58"/>
    <row r="996" ht="15.75" customHeight="1" s="58"/>
    <row r="997" ht="15.75" customHeight="1" s="58"/>
    <row r="998" ht="15.75" customHeight="1" s="58"/>
    <row r="999" ht="15.75" customHeight="1" s="58"/>
    <row r="1000" ht="15.75" customHeight="1" s="58"/>
  </sheetData>
  <conditionalFormatting sqref="F8:F37">
    <cfRule type="cellIs" priority="1" operator="greaterThanOrEqual" dxfId="3">
      <formula>0.5</formula>
    </cfRule>
  </conditionalFormatting>
  <dataValidations count="2">
    <dataValidation sqref="D4" showDropDown="0" showInputMessage="0" showErrorMessage="0" allowBlank="1" type="list">
      <formula1>"תחילת שנה,מחצית שנה,סוף השנה"</formula1>
    </dataValidation>
    <dataValidation sqref="B4" showDropDown="0" showInputMessage="0" showErrorMessage="0" allowBlank="1" type="list">
      <formula1>'רשימות'!$E$5:$E$8</formula1>
    </dataValidation>
  </dataValidation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rightToLeft="1" workbookViewId="0">
      <selection activeCell="A1" sqref="A1"/>
    </sheetView>
  </sheetViews>
  <sheetFormatPr baseColWidth="8" defaultColWidth="14.43" defaultRowHeight="15" customHeight="1"/>
  <cols>
    <col width="14" customWidth="1" style="58" min="1" max="1"/>
    <col width="8.710000000000001" customWidth="1" style="58" min="2" max="2"/>
    <col width="30" customWidth="1" style="58" min="3" max="3"/>
    <col width="8.710000000000001" customWidth="1" style="58" min="4" max="4"/>
    <col width="16" customWidth="1" style="58" min="5" max="5"/>
    <col width="8.710000000000001" customWidth="1" style="58" min="6" max="26"/>
  </cols>
  <sheetData>
    <row r="1">
      <c r="A1" s="37" t="inlineStr">
        <is>
          <t>רשימות ערכים</t>
        </is>
      </c>
    </row>
    <row r="2">
      <c r="A2" s="7" t="inlineStr">
        <is>
          <t>עמודה A — רשימת הכיתות, ניתן לערוך. עמודות C ו-E משמשות רשימות נפתחות ואין לשנותן.</t>
        </is>
      </c>
    </row>
    <row r="3"/>
    <row r="4">
      <c r="A4" s="19" t="inlineStr">
        <is>
          <t>כיתות</t>
        </is>
      </c>
      <c r="C4" s="20" t="inlineStr">
        <is>
          <t>סימני ניקוד</t>
        </is>
      </c>
      <c r="E4" s="20" t="inlineStr">
        <is>
          <t>שנות לימודים</t>
        </is>
      </c>
    </row>
    <row r="5">
      <c r="A5" s="54" t="inlineStr">
        <is>
          <t>ז1</t>
        </is>
      </c>
      <c r="C5" s="52" t="inlineStr">
        <is>
          <t>כל סימני הניקוד</t>
        </is>
      </c>
      <c r="E5" s="53" t="inlineStr">
        <is>
          <t>תשפ"ז</t>
        </is>
      </c>
    </row>
    <row r="6">
      <c r="A6" s="54" t="inlineStr">
        <is>
          <t>ז2</t>
        </is>
      </c>
      <c r="C6" s="52" t="inlineStr">
        <is>
          <t>4-5 סימני ניקוד</t>
        </is>
      </c>
      <c r="E6" s="53" t="inlineStr">
        <is>
          <t>תשפ"ח</t>
        </is>
      </c>
    </row>
    <row r="7">
      <c r="A7" s="54" t="inlineStr">
        <is>
          <t>ח1</t>
        </is>
      </c>
      <c r="C7" s="52" t="inlineStr">
        <is>
          <t>2-3 סימני ניקוד</t>
        </is>
      </c>
      <c r="E7" s="53" t="inlineStr">
        <is>
          <t>תשפ"ט</t>
        </is>
      </c>
    </row>
    <row r="8">
      <c r="A8" s="54" t="inlineStr">
        <is>
          <t>ט1</t>
        </is>
      </c>
      <c r="C8" s="52" t="inlineStr">
        <is>
          <t>קמץ/פתח/חטף-פתח ושוואים</t>
        </is>
      </c>
      <c r="E8" s="53" t="inlineStr">
        <is>
          <t>תש"ץ</t>
        </is>
      </c>
    </row>
    <row r="9">
      <c r="A9" s="54" t="inlineStr">
        <is>
          <t>ט2</t>
        </is>
      </c>
      <c r="C9" s="52" t="inlineStr">
        <is>
          <t>טרם מפענח</t>
        </is>
      </c>
    </row>
    <row r="10">
      <c r="A10" s="54" t="inlineStr">
        <is>
          <t>י1</t>
        </is>
      </c>
    </row>
    <row r="11">
      <c r="A11" s="54" t="inlineStr">
        <is>
          <t>י2</t>
        </is>
      </c>
    </row>
    <row r="12">
      <c r="A12" s="54" t="inlineStr">
        <is>
          <t>י3</t>
        </is>
      </c>
    </row>
    <row r="13">
      <c r="A13" s="54" t="inlineStr">
        <is>
          <t>יא1</t>
        </is>
      </c>
    </row>
    <row r="14">
      <c r="A14" s="54" t="inlineStr">
        <is>
          <t>יא2</t>
        </is>
      </c>
    </row>
    <row r="15">
      <c r="A15" s="54" t="inlineStr">
        <is>
          <t>יב1</t>
        </is>
      </c>
    </row>
    <row r="16">
      <c r="A16" s="54" t="n"/>
    </row>
    <row r="17">
      <c r="A17" s="54" t="n"/>
    </row>
    <row r="18">
      <c r="A18" s="54" t="n"/>
    </row>
    <row r="19">
      <c r="A19" s="54" t="n"/>
    </row>
    <row r="20">
      <c r="A20" s="54" t="n"/>
    </row>
    <row r="21" ht="15.75" customHeight="1" s="58">
      <c r="A21" s="54" t="n"/>
    </row>
    <row r="22" ht="15.75" customHeight="1" s="58">
      <c r="A22" s="54" t="n"/>
    </row>
    <row r="23" ht="15.75" customHeight="1" s="58">
      <c r="A23" s="54" t="n"/>
    </row>
    <row r="24" ht="15.75" customHeight="1" s="58">
      <c r="A24" s="54" t="n"/>
    </row>
    <row r="25" ht="15.75" customHeight="1" s="58">
      <c r="A25" s="54" t="n"/>
    </row>
    <row r="26" ht="15.75" customHeight="1" s="58">
      <c r="A26" s="54" t="n"/>
    </row>
    <row r="27" ht="15.75" customHeight="1" s="58">
      <c r="A27" s="54" t="n"/>
    </row>
    <row r="28" ht="15.75" customHeight="1" s="58">
      <c r="A28" s="54" t="n"/>
    </row>
    <row r="29" ht="15.75" customHeight="1" s="58">
      <c r="A29" s="54" t="n"/>
    </row>
    <row r="30" ht="15.75" customHeight="1" s="58">
      <c r="A30" s="54" t="n"/>
    </row>
    <row r="31" ht="15.75" customHeight="1" s="58">
      <c r="A31" s="54" t="n"/>
    </row>
    <row r="32" ht="15.75" customHeight="1" s="58">
      <c r="A32" s="54" t="n"/>
    </row>
    <row r="33" ht="15.75" customHeight="1" s="58">
      <c r="A33" s="54" t="n"/>
    </row>
    <row r="34" ht="15.75" customHeight="1" s="58">
      <c r="A34" s="54" t="n"/>
    </row>
    <row r="35" ht="15.75" customHeight="1" s="58"/>
    <row r="36" ht="15.75" customHeight="1" s="58"/>
    <row r="37" ht="15.75" customHeight="1" s="58"/>
    <row r="38" ht="15.75" customHeight="1" s="58"/>
    <row r="39" ht="15.75" customHeight="1" s="58"/>
    <row r="40" ht="15.75" customHeight="1" s="58"/>
    <row r="41" ht="15.75" customHeight="1" s="58"/>
    <row r="42" ht="15.75" customHeight="1" s="58"/>
    <row r="43" ht="15.75" customHeight="1" s="58"/>
    <row r="44" ht="15.75" customHeight="1" s="58"/>
    <row r="45" ht="15.75" customHeight="1" s="58"/>
    <row r="46" ht="15.75" customHeight="1" s="58"/>
    <row r="47" ht="15.75" customHeight="1" s="58"/>
    <row r="48" ht="15.75" customHeight="1" s="58"/>
    <row r="49" ht="15.75" customHeight="1" s="58"/>
    <row r="50" ht="15.75" customHeight="1" s="58"/>
    <row r="51" ht="15.75" customHeight="1" s="58"/>
    <row r="52" ht="15.75" customHeight="1" s="58"/>
    <row r="53" ht="15.75" customHeight="1" s="58"/>
    <row r="54" ht="15.75" customHeight="1" s="58"/>
    <row r="55" ht="15.75" customHeight="1" s="58"/>
    <row r="56" ht="15.75" customHeight="1" s="58"/>
    <row r="57" ht="15.75" customHeight="1" s="58"/>
    <row r="58" ht="15.75" customHeight="1" s="58"/>
    <row r="59" ht="15.75" customHeight="1" s="58"/>
    <row r="60" ht="15.75" customHeight="1" s="58"/>
    <row r="61" ht="15.75" customHeight="1" s="58"/>
    <row r="62" ht="15.75" customHeight="1" s="58"/>
    <row r="63" ht="15.75" customHeight="1" s="58"/>
    <row r="64" ht="15.75" customHeight="1" s="58"/>
    <row r="65" ht="15.75" customHeight="1" s="58"/>
    <row r="66" ht="15.75" customHeight="1" s="58"/>
    <row r="67" ht="15.75" customHeight="1" s="58"/>
    <row r="68" ht="15.75" customHeight="1" s="58"/>
    <row r="69" ht="15.75" customHeight="1" s="58"/>
    <row r="70" ht="15.75" customHeight="1" s="58"/>
    <row r="71" ht="15.75" customHeight="1" s="58"/>
    <row r="72" ht="15.75" customHeight="1" s="58"/>
    <row r="73" ht="15.75" customHeight="1" s="58"/>
    <row r="74" ht="15.75" customHeight="1" s="58"/>
    <row r="75" ht="15.75" customHeight="1" s="58"/>
    <row r="76" ht="15.75" customHeight="1" s="58"/>
    <row r="77" ht="15.75" customHeight="1" s="58"/>
    <row r="78" ht="15.75" customHeight="1" s="58"/>
    <row r="79" ht="15.75" customHeight="1" s="58"/>
    <row r="80" ht="15.75" customHeight="1" s="58"/>
    <row r="81" ht="15.75" customHeight="1" s="58"/>
    <row r="82" ht="15.75" customHeight="1" s="58"/>
    <row r="83" ht="15.75" customHeight="1" s="58"/>
    <row r="84" ht="15.75" customHeight="1" s="58"/>
    <row r="85" ht="15.75" customHeight="1" s="58"/>
    <row r="86" ht="15.75" customHeight="1" s="58"/>
    <row r="87" ht="15.75" customHeight="1" s="58"/>
    <row r="88" ht="15.75" customHeight="1" s="58"/>
    <row r="89" ht="15.75" customHeight="1" s="58"/>
    <row r="90" ht="15.75" customHeight="1" s="58"/>
    <row r="91" ht="15.75" customHeight="1" s="58"/>
    <row r="92" ht="15.75" customHeight="1" s="58"/>
    <row r="93" ht="15.75" customHeight="1" s="58"/>
    <row r="94" ht="15.75" customHeight="1" s="58"/>
    <row r="95" ht="15.75" customHeight="1" s="58"/>
    <row r="96" ht="15.75" customHeight="1" s="58"/>
    <row r="97" ht="15.75" customHeight="1" s="58"/>
    <row r="98" ht="15.75" customHeight="1" s="58"/>
    <row r="99" ht="15.75" customHeight="1" s="58"/>
    <row r="100" ht="15.75" customHeight="1" s="58"/>
    <row r="101" ht="15.75" customHeight="1" s="58"/>
    <row r="102" ht="15.75" customHeight="1" s="58"/>
    <row r="103" ht="15.75" customHeight="1" s="58"/>
    <row r="104" ht="15.75" customHeight="1" s="58"/>
    <row r="105" ht="15.75" customHeight="1" s="58"/>
    <row r="106" ht="15.75" customHeight="1" s="58"/>
    <row r="107" ht="15.75" customHeight="1" s="58"/>
    <row r="108" ht="15.75" customHeight="1" s="58"/>
    <row r="109" ht="15.75" customHeight="1" s="58"/>
    <row r="110" ht="15.75" customHeight="1" s="58"/>
    <row r="111" ht="15.75" customHeight="1" s="58"/>
    <row r="112" ht="15.75" customHeight="1" s="58"/>
    <row r="113" ht="15.75" customHeight="1" s="58"/>
    <row r="114" ht="15.75" customHeight="1" s="58"/>
    <row r="115" ht="15.75" customHeight="1" s="58"/>
    <row r="116" ht="15.75" customHeight="1" s="58"/>
    <row r="117" ht="15.75" customHeight="1" s="58"/>
    <row r="118" ht="15.75" customHeight="1" s="58"/>
    <row r="119" ht="15.75" customHeight="1" s="58"/>
    <row r="120" ht="15.75" customHeight="1" s="58"/>
    <row r="121" ht="15.75" customHeight="1" s="58"/>
    <row r="122" ht="15.75" customHeight="1" s="58"/>
    <row r="123" ht="15.75" customHeight="1" s="58"/>
    <row r="124" ht="15.75" customHeight="1" s="58"/>
    <row r="125" ht="15.75" customHeight="1" s="58"/>
    <row r="126" ht="15.75" customHeight="1" s="58"/>
    <row r="127" ht="15.75" customHeight="1" s="58"/>
    <row r="128" ht="15.75" customHeight="1" s="58"/>
    <row r="129" ht="15.75" customHeight="1" s="58"/>
    <row r="130" ht="15.75" customHeight="1" s="58"/>
    <row r="131" ht="15.75" customHeight="1" s="58"/>
    <row r="132" ht="15.75" customHeight="1" s="58"/>
    <row r="133" ht="15.75" customHeight="1" s="58"/>
    <row r="134" ht="15.75" customHeight="1" s="58"/>
    <row r="135" ht="15.75" customHeight="1" s="58"/>
    <row r="136" ht="15.75" customHeight="1" s="58"/>
    <row r="137" ht="15.75" customHeight="1" s="58"/>
    <row r="138" ht="15.75" customHeight="1" s="58"/>
    <row r="139" ht="15.75" customHeight="1" s="58"/>
    <row r="140" ht="15.75" customHeight="1" s="58"/>
    <row r="141" ht="15.75" customHeight="1" s="58"/>
    <row r="142" ht="15.75" customHeight="1" s="58"/>
    <row r="143" ht="15.75" customHeight="1" s="58"/>
    <row r="144" ht="15.75" customHeight="1" s="58"/>
    <row r="145" ht="15.75" customHeight="1" s="58"/>
    <row r="146" ht="15.75" customHeight="1" s="58"/>
    <row r="147" ht="15.75" customHeight="1" s="58"/>
    <row r="148" ht="15.75" customHeight="1" s="58"/>
    <row r="149" ht="15.75" customHeight="1" s="58"/>
    <row r="150" ht="15.75" customHeight="1" s="58"/>
    <row r="151" ht="15.75" customHeight="1" s="58"/>
    <row r="152" ht="15.75" customHeight="1" s="58"/>
    <row r="153" ht="15.75" customHeight="1" s="58"/>
    <row r="154" ht="15.75" customHeight="1" s="58"/>
    <row r="155" ht="15.75" customHeight="1" s="58"/>
    <row r="156" ht="15.75" customHeight="1" s="58"/>
    <row r="157" ht="15.75" customHeight="1" s="58"/>
    <row r="158" ht="15.75" customHeight="1" s="58"/>
    <row r="159" ht="15.75" customHeight="1" s="58"/>
    <row r="160" ht="15.75" customHeight="1" s="58"/>
    <row r="161" ht="15.75" customHeight="1" s="58"/>
    <row r="162" ht="15.75" customHeight="1" s="58"/>
    <row r="163" ht="15.75" customHeight="1" s="58"/>
    <row r="164" ht="15.75" customHeight="1" s="58"/>
    <row r="165" ht="15.75" customHeight="1" s="58"/>
    <row r="166" ht="15.75" customHeight="1" s="58"/>
    <row r="167" ht="15.75" customHeight="1" s="58"/>
    <row r="168" ht="15.75" customHeight="1" s="58"/>
    <row r="169" ht="15.75" customHeight="1" s="58"/>
    <row r="170" ht="15.75" customHeight="1" s="58"/>
    <row r="171" ht="15.75" customHeight="1" s="58"/>
    <row r="172" ht="15.75" customHeight="1" s="58"/>
    <row r="173" ht="15.75" customHeight="1" s="58"/>
    <row r="174" ht="15.75" customHeight="1" s="58"/>
    <row r="175" ht="15.75" customHeight="1" s="58"/>
    <row r="176" ht="15.75" customHeight="1" s="58"/>
    <row r="177" ht="15.75" customHeight="1" s="58"/>
    <row r="178" ht="15.75" customHeight="1" s="58"/>
    <row r="179" ht="15.75" customHeight="1" s="58"/>
    <row r="180" ht="15.75" customHeight="1" s="58"/>
    <row r="181" ht="15.75" customHeight="1" s="58"/>
    <row r="182" ht="15.75" customHeight="1" s="58"/>
    <row r="183" ht="15.75" customHeight="1" s="58"/>
    <row r="184" ht="15.75" customHeight="1" s="58"/>
    <row r="185" ht="15.75" customHeight="1" s="58"/>
    <row r="186" ht="15.75" customHeight="1" s="58"/>
    <row r="187" ht="15.75" customHeight="1" s="58"/>
    <row r="188" ht="15.75" customHeight="1" s="58"/>
    <row r="189" ht="15.75" customHeight="1" s="58"/>
    <row r="190" ht="15.75" customHeight="1" s="58"/>
    <row r="191" ht="15.75" customHeight="1" s="58"/>
    <row r="192" ht="15.75" customHeight="1" s="58"/>
    <row r="193" ht="15.75" customHeight="1" s="58"/>
    <row r="194" ht="15.75" customHeight="1" s="58"/>
    <row r="195" ht="15.75" customHeight="1" s="58"/>
    <row r="196" ht="15.75" customHeight="1" s="58"/>
    <row r="197" ht="15.75" customHeight="1" s="58"/>
    <row r="198" ht="15.75" customHeight="1" s="58"/>
    <row r="199" ht="15.75" customHeight="1" s="58"/>
    <row r="200" ht="15.75" customHeight="1" s="58"/>
    <row r="201" ht="15.75" customHeight="1" s="58"/>
    <row r="202" ht="15.75" customHeight="1" s="58"/>
    <row r="203" ht="15.75" customHeight="1" s="58"/>
    <row r="204" ht="15.75" customHeight="1" s="58"/>
    <row r="205" ht="15.75" customHeight="1" s="58"/>
    <row r="206" ht="15.75" customHeight="1" s="58"/>
    <row r="207" ht="15.75" customHeight="1" s="58"/>
    <row r="208" ht="15.75" customHeight="1" s="58"/>
    <row r="209" ht="15.75" customHeight="1" s="58"/>
    <row r="210" ht="15.75" customHeight="1" s="58"/>
    <row r="211" ht="15.75" customHeight="1" s="58"/>
    <row r="212" ht="15.75" customHeight="1" s="58"/>
    <row r="213" ht="15.75" customHeight="1" s="58"/>
    <row r="214" ht="15.75" customHeight="1" s="58"/>
    <row r="215" ht="15.75" customHeight="1" s="58"/>
    <row r="216" ht="15.75" customHeight="1" s="58"/>
    <row r="217" ht="15.75" customHeight="1" s="58"/>
    <row r="218" ht="15.75" customHeight="1" s="58"/>
    <row r="219" ht="15.75" customHeight="1" s="58"/>
    <row r="220" ht="15.75" customHeight="1" s="58"/>
    <row r="221" ht="15.75" customHeight="1" s="58"/>
    <row r="222" ht="15.75" customHeight="1" s="58"/>
    <row r="223" ht="15.75" customHeight="1" s="58"/>
    <row r="224" ht="15.75" customHeight="1" s="58"/>
    <row r="225" ht="15.75" customHeight="1" s="58"/>
    <row r="226" ht="15.75" customHeight="1" s="58"/>
    <row r="227" ht="15.75" customHeight="1" s="58"/>
    <row r="228" ht="15.75" customHeight="1" s="58"/>
    <row r="229" ht="15.75" customHeight="1" s="58"/>
    <row r="230" ht="15.75" customHeight="1" s="58"/>
    <row r="231" ht="15.75" customHeight="1" s="58"/>
    <row r="232" ht="15.75" customHeight="1" s="58"/>
    <row r="233" ht="15.75" customHeight="1" s="58"/>
    <row r="234" ht="15.75" customHeight="1" s="58"/>
    <row r="235" ht="15.75" customHeight="1" s="58"/>
    <row r="236" ht="15.75" customHeight="1" s="58"/>
    <row r="237" ht="15.75" customHeight="1" s="58"/>
    <row r="238" ht="15.75" customHeight="1" s="58"/>
    <row r="239" ht="15.75" customHeight="1" s="58"/>
    <row r="240" ht="15.75" customHeight="1" s="58"/>
    <row r="241" ht="15.75" customHeight="1" s="58"/>
    <row r="242" ht="15.75" customHeight="1" s="58"/>
    <row r="243" ht="15.75" customHeight="1" s="58"/>
    <row r="244" ht="15.75" customHeight="1" s="58"/>
    <row r="245" ht="15.75" customHeight="1" s="58"/>
    <row r="246" ht="15.75" customHeight="1" s="58"/>
    <row r="247" ht="15.75" customHeight="1" s="58"/>
    <row r="248" ht="15.75" customHeight="1" s="58"/>
    <row r="249" ht="15.75" customHeight="1" s="58"/>
    <row r="250" ht="15.75" customHeight="1" s="58"/>
    <row r="251" ht="15.75" customHeight="1" s="58"/>
    <row r="252" ht="15.75" customHeight="1" s="58"/>
    <row r="253" ht="15.75" customHeight="1" s="58"/>
    <row r="254" ht="15.75" customHeight="1" s="58"/>
    <row r="255" ht="15.75" customHeight="1" s="58"/>
    <row r="256" ht="15.75" customHeight="1" s="58"/>
    <row r="257" ht="15.75" customHeight="1" s="58"/>
    <row r="258" ht="15.75" customHeight="1" s="58"/>
    <row r="259" ht="15.75" customHeight="1" s="58"/>
    <row r="260" ht="15.75" customHeight="1" s="58"/>
    <row r="261" ht="15.75" customHeight="1" s="58"/>
    <row r="262" ht="15.75" customHeight="1" s="58"/>
    <row r="263" ht="15.75" customHeight="1" s="58"/>
    <row r="264" ht="15.75" customHeight="1" s="58"/>
    <row r="265" ht="15.75" customHeight="1" s="58"/>
    <row r="266" ht="15.75" customHeight="1" s="58"/>
    <row r="267" ht="15.75" customHeight="1" s="58"/>
    <row r="268" ht="15.75" customHeight="1" s="58"/>
    <row r="269" ht="15.75" customHeight="1" s="58"/>
    <row r="270" ht="15.75" customHeight="1" s="58"/>
    <row r="271" ht="15.75" customHeight="1" s="58"/>
    <row r="272" ht="15.75" customHeight="1" s="58"/>
    <row r="273" ht="15.75" customHeight="1" s="58"/>
    <row r="274" ht="15.75" customHeight="1" s="58"/>
    <row r="275" ht="15.75" customHeight="1" s="58"/>
    <row r="276" ht="15.75" customHeight="1" s="58"/>
    <row r="277" ht="15.75" customHeight="1" s="58"/>
    <row r="278" ht="15.75" customHeight="1" s="58"/>
    <row r="279" ht="15.75" customHeight="1" s="58"/>
    <row r="280" ht="15.75" customHeight="1" s="58"/>
    <row r="281" ht="15.75" customHeight="1" s="58"/>
    <row r="282" ht="15.75" customHeight="1" s="58"/>
    <row r="283" ht="15.75" customHeight="1" s="58"/>
    <row r="284" ht="15.75" customHeight="1" s="58"/>
    <row r="285" ht="15.75" customHeight="1" s="58"/>
    <row r="286" ht="15.75" customHeight="1" s="58"/>
    <row r="287" ht="15.75" customHeight="1" s="58"/>
    <row r="288" ht="15.75" customHeight="1" s="58"/>
    <row r="289" ht="15.75" customHeight="1" s="58"/>
    <row r="290" ht="15.75" customHeight="1" s="58"/>
    <row r="291" ht="15.75" customHeight="1" s="58"/>
    <row r="292" ht="15.75" customHeight="1" s="58"/>
    <row r="293" ht="15.75" customHeight="1" s="58"/>
    <row r="294" ht="15.75" customHeight="1" s="58"/>
    <row r="295" ht="15.75" customHeight="1" s="58"/>
    <row r="296" ht="15.75" customHeight="1" s="58"/>
    <row r="297" ht="15.75" customHeight="1" s="58"/>
    <row r="298" ht="15.75" customHeight="1" s="58"/>
    <row r="299" ht="15.75" customHeight="1" s="58"/>
    <row r="300" ht="15.75" customHeight="1" s="58"/>
    <row r="301" ht="15.75" customHeight="1" s="58"/>
    <row r="302" ht="15.75" customHeight="1" s="58"/>
    <row r="303" ht="15.75" customHeight="1" s="58"/>
    <row r="304" ht="15.75" customHeight="1" s="58"/>
    <row r="305" ht="15.75" customHeight="1" s="58"/>
    <row r="306" ht="15.75" customHeight="1" s="58"/>
    <row r="307" ht="15.75" customHeight="1" s="58"/>
    <row r="308" ht="15.75" customHeight="1" s="58"/>
    <row r="309" ht="15.75" customHeight="1" s="58"/>
    <row r="310" ht="15.75" customHeight="1" s="58"/>
    <row r="311" ht="15.75" customHeight="1" s="58"/>
    <row r="312" ht="15.75" customHeight="1" s="58"/>
    <row r="313" ht="15.75" customHeight="1" s="58"/>
    <row r="314" ht="15.75" customHeight="1" s="58"/>
    <row r="315" ht="15.75" customHeight="1" s="58"/>
    <row r="316" ht="15.75" customHeight="1" s="58"/>
    <row r="317" ht="15.75" customHeight="1" s="58"/>
    <row r="318" ht="15.75" customHeight="1" s="58"/>
    <row r="319" ht="15.75" customHeight="1" s="58"/>
    <row r="320" ht="15.75" customHeight="1" s="58"/>
    <row r="321" ht="15.75" customHeight="1" s="58"/>
    <row r="322" ht="15.75" customHeight="1" s="58"/>
    <row r="323" ht="15.75" customHeight="1" s="58"/>
    <row r="324" ht="15.75" customHeight="1" s="58"/>
    <row r="325" ht="15.75" customHeight="1" s="58"/>
    <row r="326" ht="15.75" customHeight="1" s="58"/>
    <row r="327" ht="15.75" customHeight="1" s="58"/>
    <row r="328" ht="15.75" customHeight="1" s="58"/>
    <row r="329" ht="15.75" customHeight="1" s="58"/>
    <row r="330" ht="15.75" customHeight="1" s="58"/>
    <row r="331" ht="15.75" customHeight="1" s="58"/>
    <row r="332" ht="15.75" customHeight="1" s="58"/>
    <row r="333" ht="15.75" customHeight="1" s="58"/>
    <row r="334" ht="15.75" customHeight="1" s="58"/>
    <row r="335" ht="15.75" customHeight="1" s="58"/>
    <row r="336" ht="15.75" customHeight="1" s="58"/>
    <row r="337" ht="15.75" customHeight="1" s="58"/>
    <row r="338" ht="15.75" customHeight="1" s="58"/>
    <row r="339" ht="15.75" customHeight="1" s="58"/>
    <row r="340" ht="15.75" customHeight="1" s="58"/>
    <row r="341" ht="15.75" customHeight="1" s="58"/>
    <row r="342" ht="15.75" customHeight="1" s="58"/>
    <row r="343" ht="15.75" customHeight="1" s="58"/>
    <row r="344" ht="15.75" customHeight="1" s="58"/>
    <row r="345" ht="15.75" customHeight="1" s="58"/>
    <row r="346" ht="15.75" customHeight="1" s="58"/>
    <row r="347" ht="15.75" customHeight="1" s="58"/>
    <row r="348" ht="15.75" customHeight="1" s="58"/>
    <row r="349" ht="15.75" customHeight="1" s="58"/>
    <row r="350" ht="15.75" customHeight="1" s="58"/>
    <row r="351" ht="15.75" customHeight="1" s="58"/>
    <row r="352" ht="15.75" customHeight="1" s="58"/>
    <row r="353" ht="15.75" customHeight="1" s="58"/>
    <row r="354" ht="15.75" customHeight="1" s="58"/>
    <row r="355" ht="15.75" customHeight="1" s="58"/>
    <row r="356" ht="15.75" customHeight="1" s="58"/>
    <row r="357" ht="15.75" customHeight="1" s="58"/>
    <row r="358" ht="15.75" customHeight="1" s="58"/>
    <row r="359" ht="15.75" customHeight="1" s="58"/>
    <row r="360" ht="15.75" customHeight="1" s="58"/>
    <row r="361" ht="15.75" customHeight="1" s="58"/>
    <row r="362" ht="15.75" customHeight="1" s="58"/>
    <row r="363" ht="15.75" customHeight="1" s="58"/>
    <row r="364" ht="15.75" customHeight="1" s="58"/>
    <row r="365" ht="15.75" customHeight="1" s="58"/>
    <row r="366" ht="15.75" customHeight="1" s="58"/>
    <row r="367" ht="15.75" customHeight="1" s="58"/>
    <row r="368" ht="15.75" customHeight="1" s="58"/>
    <row r="369" ht="15.75" customHeight="1" s="58"/>
    <row r="370" ht="15.75" customHeight="1" s="58"/>
    <row r="371" ht="15.75" customHeight="1" s="58"/>
    <row r="372" ht="15.75" customHeight="1" s="58"/>
    <row r="373" ht="15.75" customHeight="1" s="58"/>
    <row r="374" ht="15.75" customHeight="1" s="58"/>
    <row r="375" ht="15.75" customHeight="1" s="58"/>
    <row r="376" ht="15.75" customHeight="1" s="58"/>
    <row r="377" ht="15.75" customHeight="1" s="58"/>
    <row r="378" ht="15.75" customHeight="1" s="58"/>
    <row r="379" ht="15.75" customHeight="1" s="58"/>
    <row r="380" ht="15.75" customHeight="1" s="58"/>
    <row r="381" ht="15.75" customHeight="1" s="58"/>
    <row r="382" ht="15.75" customHeight="1" s="58"/>
    <row r="383" ht="15.75" customHeight="1" s="58"/>
    <row r="384" ht="15.75" customHeight="1" s="58"/>
    <row r="385" ht="15.75" customHeight="1" s="58"/>
    <row r="386" ht="15.75" customHeight="1" s="58"/>
    <row r="387" ht="15.75" customHeight="1" s="58"/>
    <row r="388" ht="15.75" customHeight="1" s="58"/>
    <row r="389" ht="15.75" customHeight="1" s="58"/>
    <row r="390" ht="15.75" customHeight="1" s="58"/>
    <row r="391" ht="15.75" customHeight="1" s="58"/>
    <row r="392" ht="15.75" customHeight="1" s="58"/>
    <row r="393" ht="15.75" customHeight="1" s="58"/>
    <row r="394" ht="15.75" customHeight="1" s="58"/>
    <row r="395" ht="15.75" customHeight="1" s="58"/>
    <row r="396" ht="15.75" customHeight="1" s="58"/>
    <row r="397" ht="15.75" customHeight="1" s="58"/>
    <row r="398" ht="15.75" customHeight="1" s="58"/>
    <row r="399" ht="15.75" customHeight="1" s="58"/>
    <row r="400" ht="15.75" customHeight="1" s="58"/>
    <row r="401" ht="15.75" customHeight="1" s="58"/>
    <row r="402" ht="15.75" customHeight="1" s="58"/>
    <row r="403" ht="15.75" customHeight="1" s="58"/>
    <row r="404" ht="15.75" customHeight="1" s="58"/>
    <row r="405" ht="15.75" customHeight="1" s="58"/>
    <row r="406" ht="15.75" customHeight="1" s="58"/>
    <row r="407" ht="15.75" customHeight="1" s="58"/>
    <row r="408" ht="15.75" customHeight="1" s="58"/>
    <row r="409" ht="15.75" customHeight="1" s="58"/>
    <row r="410" ht="15.75" customHeight="1" s="58"/>
    <row r="411" ht="15.75" customHeight="1" s="58"/>
    <row r="412" ht="15.75" customHeight="1" s="58"/>
    <row r="413" ht="15.75" customHeight="1" s="58"/>
    <row r="414" ht="15.75" customHeight="1" s="58"/>
    <row r="415" ht="15.75" customHeight="1" s="58"/>
    <row r="416" ht="15.75" customHeight="1" s="58"/>
    <row r="417" ht="15.75" customHeight="1" s="58"/>
    <row r="418" ht="15.75" customHeight="1" s="58"/>
    <row r="419" ht="15.75" customHeight="1" s="58"/>
    <row r="420" ht="15.75" customHeight="1" s="58"/>
    <row r="421" ht="15.75" customHeight="1" s="58"/>
    <row r="422" ht="15.75" customHeight="1" s="58"/>
    <row r="423" ht="15.75" customHeight="1" s="58"/>
    <row r="424" ht="15.75" customHeight="1" s="58"/>
    <row r="425" ht="15.75" customHeight="1" s="58"/>
    <row r="426" ht="15.75" customHeight="1" s="58"/>
    <row r="427" ht="15.75" customHeight="1" s="58"/>
    <row r="428" ht="15.75" customHeight="1" s="58"/>
    <row r="429" ht="15.75" customHeight="1" s="58"/>
    <row r="430" ht="15.75" customHeight="1" s="58"/>
    <row r="431" ht="15.75" customHeight="1" s="58"/>
    <row r="432" ht="15.75" customHeight="1" s="58"/>
    <row r="433" ht="15.75" customHeight="1" s="58"/>
    <row r="434" ht="15.75" customHeight="1" s="58"/>
    <row r="435" ht="15.75" customHeight="1" s="58"/>
    <row r="436" ht="15.75" customHeight="1" s="58"/>
    <row r="437" ht="15.75" customHeight="1" s="58"/>
    <row r="438" ht="15.75" customHeight="1" s="58"/>
    <row r="439" ht="15.75" customHeight="1" s="58"/>
    <row r="440" ht="15.75" customHeight="1" s="58"/>
    <row r="441" ht="15.75" customHeight="1" s="58"/>
    <row r="442" ht="15.75" customHeight="1" s="58"/>
    <row r="443" ht="15.75" customHeight="1" s="58"/>
    <row r="444" ht="15.75" customHeight="1" s="58"/>
    <row r="445" ht="15.75" customHeight="1" s="58"/>
    <row r="446" ht="15.75" customHeight="1" s="58"/>
    <row r="447" ht="15.75" customHeight="1" s="58"/>
    <row r="448" ht="15.75" customHeight="1" s="58"/>
    <row r="449" ht="15.75" customHeight="1" s="58"/>
    <row r="450" ht="15.75" customHeight="1" s="58"/>
    <row r="451" ht="15.75" customHeight="1" s="58"/>
    <row r="452" ht="15.75" customHeight="1" s="58"/>
    <row r="453" ht="15.75" customHeight="1" s="58"/>
    <row r="454" ht="15.75" customHeight="1" s="58"/>
    <row r="455" ht="15.75" customHeight="1" s="58"/>
    <row r="456" ht="15.75" customHeight="1" s="58"/>
    <row r="457" ht="15.75" customHeight="1" s="58"/>
    <row r="458" ht="15.75" customHeight="1" s="58"/>
    <row r="459" ht="15.75" customHeight="1" s="58"/>
    <row r="460" ht="15.75" customHeight="1" s="58"/>
    <row r="461" ht="15.75" customHeight="1" s="58"/>
    <row r="462" ht="15.75" customHeight="1" s="58"/>
    <row r="463" ht="15.75" customHeight="1" s="58"/>
    <row r="464" ht="15.75" customHeight="1" s="58"/>
    <row r="465" ht="15.75" customHeight="1" s="58"/>
    <row r="466" ht="15.75" customHeight="1" s="58"/>
    <row r="467" ht="15.75" customHeight="1" s="58"/>
    <row r="468" ht="15.75" customHeight="1" s="58"/>
    <row r="469" ht="15.75" customHeight="1" s="58"/>
    <row r="470" ht="15.75" customHeight="1" s="58"/>
    <row r="471" ht="15.75" customHeight="1" s="58"/>
    <row r="472" ht="15.75" customHeight="1" s="58"/>
    <row r="473" ht="15.75" customHeight="1" s="58"/>
    <row r="474" ht="15.75" customHeight="1" s="58"/>
    <row r="475" ht="15.75" customHeight="1" s="58"/>
    <row r="476" ht="15.75" customHeight="1" s="58"/>
    <row r="477" ht="15.75" customHeight="1" s="58"/>
    <row r="478" ht="15.75" customHeight="1" s="58"/>
    <row r="479" ht="15.75" customHeight="1" s="58"/>
    <row r="480" ht="15.75" customHeight="1" s="58"/>
    <row r="481" ht="15.75" customHeight="1" s="58"/>
    <row r="482" ht="15.75" customHeight="1" s="58"/>
    <row r="483" ht="15.75" customHeight="1" s="58"/>
    <row r="484" ht="15.75" customHeight="1" s="58"/>
    <row r="485" ht="15.75" customHeight="1" s="58"/>
    <row r="486" ht="15.75" customHeight="1" s="58"/>
    <row r="487" ht="15.75" customHeight="1" s="58"/>
    <row r="488" ht="15.75" customHeight="1" s="58"/>
    <row r="489" ht="15.75" customHeight="1" s="58"/>
    <row r="490" ht="15.75" customHeight="1" s="58"/>
    <row r="491" ht="15.75" customHeight="1" s="58"/>
    <row r="492" ht="15.75" customHeight="1" s="58"/>
    <row r="493" ht="15.75" customHeight="1" s="58"/>
    <row r="494" ht="15.75" customHeight="1" s="58"/>
    <row r="495" ht="15.75" customHeight="1" s="58"/>
    <row r="496" ht="15.75" customHeight="1" s="58"/>
    <row r="497" ht="15.75" customHeight="1" s="58"/>
    <row r="498" ht="15.75" customHeight="1" s="58"/>
    <row r="499" ht="15.75" customHeight="1" s="58"/>
    <row r="500" ht="15.75" customHeight="1" s="58"/>
    <row r="501" ht="15.75" customHeight="1" s="58"/>
    <row r="502" ht="15.75" customHeight="1" s="58"/>
    <row r="503" ht="15.75" customHeight="1" s="58"/>
    <row r="504" ht="15.75" customHeight="1" s="58"/>
    <row r="505" ht="15.75" customHeight="1" s="58"/>
    <row r="506" ht="15.75" customHeight="1" s="58"/>
    <row r="507" ht="15.75" customHeight="1" s="58"/>
    <row r="508" ht="15.75" customHeight="1" s="58"/>
    <row r="509" ht="15.75" customHeight="1" s="58"/>
    <row r="510" ht="15.75" customHeight="1" s="58"/>
    <row r="511" ht="15.75" customHeight="1" s="58"/>
    <row r="512" ht="15.75" customHeight="1" s="58"/>
    <row r="513" ht="15.75" customHeight="1" s="58"/>
    <row r="514" ht="15.75" customHeight="1" s="58"/>
    <row r="515" ht="15.75" customHeight="1" s="58"/>
    <row r="516" ht="15.75" customHeight="1" s="58"/>
    <row r="517" ht="15.75" customHeight="1" s="58"/>
    <row r="518" ht="15.75" customHeight="1" s="58"/>
    <row r="519" ht="15.75" customHeight="1" s="58"/>
    <row r="520" ht="15.75" customHeight="1" s="58"/>
    <row r="521" ht="15.75" customHeight="1" s="58"/>
    <row r="522" ht="15.75" customHeight="1" s="58"/>
    <row r="523" ht="15.75" customHeight="1" s="58"/>
    <row r="524" ht="15.75" customHeight="1" s="58"/>
    <row r="525" ht="15.75" customHeight="1" s="58"/>
    <row r="526" ht="15.75" customHeight="1" s="58"/>
    <row r="527" ht="15.75" customHeight="1" s="58"/>
    <row r="528" ht="15.75" customHeight="1" s="58"/>
    <row r="529" ht="15.75" customHeight="1" s="58"/>
    <row r="530" ht="15.75" customHeight="1" s="58"/>
    <row r="531" ht="15.75" customHeight="1" s="58"/>
    <row r="532" ht="15.75" customHeight="1" s="58"/>
    <row r="533" ht="15.75" customHeight="1" s="58"/>
    <row r="534" ht="15.75" customHeight="1" s="58"/>
    <row r="535" ht="15.75" customHeight="1" s="58"/>
    <row r="536" ht="15.75" customHeight="1" s="58"/>
    <row r="537" ht="15.75" customHeight="1" s="58"/>
    <row r="538" ht="15.75" customHeight="1" s="58"/>
    <row r="539" ht="15.75" customHeight="1" s="58"/>
    <row r="540" ht="15.75" customHeight="1" s="58"/>
    <row r="541" ht="15.75" customHeight="1" s="58"/>
    <row r="542" ht="15.75" customHeight="1" s="58"/>
    <row r="543" ht="15.75" customHeight="1" s="58"/>
    <row r="544" ht="15.75" customHeight="1" s="58"/>
    <row r="545" ht="15.75" customHeight="1" s="58"/>
    <row r="546" ht="15.75" customHeight="1" s="58"/>
    <row r="547" ht="15.75" customHeight="1" s="58"/>
    <row r="548" ht="15.75" customHeight="1" s="58"/>
    <row r="549" ht="15.75" customHeight="1" s="58"/>
    <row r="550" ht="15.75" customHeight="1" s="58"/>
    <row r="551" ht="15.75" customHeight="1" s="58"/>
    <row r="552" ht="15.75" customHeight="1" s="58"/>
    <row r="553" ht="15.75" customHeight="1" s="58"/>
    <row r="554" ht="15.75" customHeight="1" s="58"/>
    <row r="555" ht="15.75" customHeight="1" s="58"/>
    <row r="556" ht="15.75" customHeight="1" s="58"/>
    <row r="557" ht="15.75" customHeight="1" s="58"/>
    <row r="558" ht="15.75" customHeight="1" s="58"/>
    <row r="559" ht="15.75" customHeight="1" s="58"/>
    <row r="560" ht="15.75" customHeight="1" s="58"/>
    <row r="561" ht="15.75" customHeight="1" s="58"/>
    <row r="562" ht="15.75" customHeight="1" s="58"/>
    <row r="563" ht="15.75" customHeight="1" s="58"/>
    <row r="564" ht="15.75" customHeight="1" s="58"/>
    <row r="565" ht="15.75" customHeight="1" s="58"/>
    <row r="566" ht="15.75" customHeight="1" s="58"/>
    <row r="567" ht="15.75" customHeight="1" s="58"/>
    <row r="568" ht="15.75" customHeight="1" s="58"/>
    <row r="569" ht="15.75" customHeight="1" s="58"/>
    <row r="570" ht="15.75" customHeight="1" s="58"/>
    <row r="571" ht="15.75" customHeight="1" s="58"/>
    <row r="572" ht="15.75" customHeight="1" s="58"/>
    <row r="573" ht="15.75" customHeight="1" s="58"/>
    <row r="574" ht="15.75" customHeight="1" s="58"/>
    <row r="575" ht="15.75" customHeight="1" s="58"/>
    <row r="576" ht="15.75" customHeight="1" s="58"/>
    <row r="577" ht="15.75" customHeight="1" s="58"/>
    <row r="578" ht="15.75" customHeight="1" s="58"/>
    <row r="579" ht="15.75" customHeight="1" s="58"/>
    <row r="580" ht="15.75" customHeight="1" s="58"/>
    <row r="581" ht="15.75" customHeight="1" s="58"/>
    <row r="582" ht="15.75" customHeight="1" s="58"/>
    <row r="583" ht="15.75" customHeight="1" s="58"/>
    <row r="584" ht="15.75" customHeight="1" s="58"/>
    <row r="585" ht="15.75" customHeight="1" s="58"/>
    <row r="586" ht="15.75" customHeight="1" s="58"/>
    <row r="587" ht="15.75" customHeight="1" s="58"/>
    <row r="588" ht="15.75" customHeight="1" s="58"/>
    <row r="589" ht="15.75" customHeight="1" s="58"/>
    <row r="590" ht="15.75" customHeight="1" s="58"/>
    <row r="591" ht="15.75" customHeight="1" s="58"/>
    <row r="592" ht="15.75" customHeight="1" s="58"/>
    <row r="593" ht="15.75" customHeight="1" s="58"/>
    <row r="594" ht="15.75" customHeight="1" s="58"/>
    <row r="595" ht="15.75" customHeight="1" s="58"/>
    <row r="596" ht="15.75" customHeight="1" s="58"/>
    <row r="597" ht="15.75" customHeight="1" s="58"/>
    <row r="598" ht="15.75" customHeight="1" s="58"/>
    <row r="599" ht="15.75" customHeight="1" s="58"/>
    <row r="600" ht="15.75" customHeight="1" s="58"/>
    <row r="601" ht="15.75" customHeight="1" s="58"/>
    <row r="602" ht="15.75" customHeight="1" s="58"/>
    <row r="603" ht="15.75" customHeight="1" s="58"/>
    <row r="604" ht="15.75" customHeight="1" s="58"/>
    <row r="605" ht="15.75" customHeight="1" s="58"/>
    <row r="606" ht="15.75" customHeight="1" s="58"/>
    <row r="607" ht="15.75" customHeight="1" s="58"/>
    <row r="608" ht="15.75" customHeight="1" s="58"/>
    <row r="609" ht="15.75" customHeight="1" s="58"/>
    <row r="610" ht="15.75" customHeight="1" s="58"/>
    <row r="611" ht="15.75" customHeight="1" s="58"/>
    <row r="612" ht="15.75" customHeight="1" s="58"/>
    <row r="613" ht="15.75" customHeight="1" s="58"/>
    <row r="614" ht="15.75" customHeight="1" s="58"/>
    <row r="615" ht="15.75" customHeight="1" s="58"/>
    <row r="616" ht="15.75" customHeight="1" s="58"/>
    <row r="617" ht="15.75" customHeight="1" s="58"/>
    <row r="618" ht="15.75" customHeight="1" s="58"/>
    <row r="619" ht="15.75" customHeight="1" s="58"/>
    <row r="620" ht="15.75" customHeight="1" s="58"/>
    <row r="621" ht="15.75" customHeight="1" s="58"/>
    <row r="622" ht="15.75" customHeight="1" s="58"/>
    <row r="623" ht="15.75" customHeight="1" s="58"/>
    <row r="624" ht="15.75" customHeight="1" s="58"/>
    <row r="625" ht="15.75" customHeight="1" s="58"/>
    <row r="626" ht="15.75" customHeight="1" s="58"/>
    <row r="627" ht="15.75" customHeight="1" s="58"/>
    <row r="628" ht="15.75" customHeight="1" s="58"/>
    <row r="629" ht="15.75" customHeight="1" s="58"/>
    <row r="630" ht="15.75" customHeight="1" s="58"/>
    <row r="631" ht="15.75" customHeight="1" s="58"/>
    <row r="632" ht="15.75" customHeight="1" s="58"/>
    <row r="633" ht="15.75" customHeight="1" s="58"/>
    <row r="634" ht="15.75" customHeight="1" s="58"/>
    <row r="635" ht="15.75" customHeight="1" s="58"/>
    <row r="636" ht="15.75" customHeight="1" s="58"/>
    <row r="637" ht="15.75" customHeight="1" s="58"/>
    <row r="638" ht="15.75" customHeight="1" s="58"/>
    <row r="639" ht="15.75" customHeight="1" s="58"/>
    <row r="640" ht="15.75" customHeight="1" s="58"/>
    <row r="641" ht="15.75" customHeight="1" s="58"/>
    <row r="642" ht="15.75" customHeight="1" s="58"/>
    <row r="643" ht="15.75" customHeight="1" s="58"/>
    <row r="644" ht="15.75" customHeight="1" s="58"/>
    <row r="645" ht="15.75" customHeight="1" s="58"/>
    <row r="646" ht="15.75" customHeight="1" s="58"/>
    <row r="647" ht="15.75" customHeight="1" s="58"/>
    <row r="648" ht="15.75" customHeight="1" s="58"/>
    <row r="649" ht="15.75" customHeight="1" s="58"/>
    <row r="650" ht="15.75" customHeight="1" s="58"/>
    <row r="651" ht="15.75" customHeight="1" s="58"/>
    <row r="652" ht="15.75" customHeight="1" s="58"/>
    <row r="653" ht="15.75" customHeight="1" s="58"/>
    <row r="654" ht="15.75" customHeight="1" s="58"/>
    <row r="655" ht="15.75" customHeight="1" s="58"/>
    <row r="656" ht="15.75" customHeight="1" s="58"/>
    <row r="657" ht="15.75" customHeight="1" s="58"/>
    <row r="658" ht="15.75" customHeight="1" s="58"/>
    <row r="659" ht="15.75" customHeight="1" s="58"/>
    <row r="660" ht="15.75" customHeight="1" s="58"/>
    <row r="661" ht="15.75" customHeight="1" s="58"/>
    <row r="662" ht="15.75" customHeight="1" s="58"/>
    <row r="663" ht="15.75" customHeight="1" s="58"/>
    <row r="664" ht="15.75" customHeight="1" s="58"/>
    <row r="665" ht="15.75" customHeight="1" s="58"/>
    <row r="666" ht="15.75" customHeight="1" s="58"/>
    <row r="667" ht="15.75" customHeight="1" s="58"/>
    <row r="668" ht="15.75" customHeight="1" s="58"/>
    <row r="669" ht="15.75" customHeight="1" s="58"/>
    <row r="670" ht="15.75" customHeight="1" s="58"/>
    <row r="671" ht="15.75" customHeight="1" s="58"/>
    <row r="672" ht="15.75" customHeight="1" s="58"/>
    <row r="673" ht="15.75" customHeight="1" s="58"/>
    <row r="674" ht="15.75" customHeight="1" s="58"/>
    <row r="675" ht="15.75" customHeight="1" s="58"/>
    <row r="676" ht="15.75" customHeight="1" s="58"/>
    <row r="677" ht="15.75" customHeight="1" s="58"/>
    <row r="678" ht="15.75" customHeight="1" s="58"/>
    <row r="679" ht="15.75" customHeight="1" s="58"/>
    <row r="680" ht="15.75" customHeight="1" s="58"/>
    <row r="681" ht="15.75" customHeight="1" s="58"/>
    <row r="682" ht="15.75" customHeight="1" s="58"/>
    <row r="683" ht="15.75" customHeight="1" s="58"/>
    <row r="684" ht="15.75" customHeight="1" s="58"/>
    <row r="685" ht="15.75" customHeight="1" s="58"/>
    <row r="686" ht="15.75" customHeight="1" s="58"/>
    <row r="687" ht="15.75" customHeight="1" s="58"/>
    <row r="688" ht="15.75" customHeight="1" s="58"/>
    <row r="689" ht="15.75" customHeight="1" s="58"/>
    <row r="690" ht="15.75" customHeight="1" s="58"/>
    <row r="691" ht="15.75" customHeight="1" s="58"/>
    <row r="692" ht="15.75" customHeight="1" s="58"/>
    <row r="693" ht="15.75" customHeight="1" s="58"/>
    <row r="694" ht="15.75" customHeight="1" s="58"/>
    <row r="695" ht="15.75" customHeight="1" s="58"/>
    <row r="696" ht="15.75" customHeight="1" s="58"/>
    <row r="697" ht="15.75" customHeight="1" s="58"/>
    <row r="698" ht="15.75" customHeight="1" s="58"/>
    <row r="699" ht="15.75" customHeight="1" s="58"/>
    <row r="700" ht="15.75" customHeight="1" s="58"/>
    <row r="701" ht="15.75" customHeight="1" s="58"/>
    <row r="702" ht="15.75" customHeight="1" s="58"/>
    <row r="703" ht="15.75" customHeight="1" s="58"/>
    <row r="704" ht="15.75" customHeight="1" s="58"/>
    <row r="705" ht="15.75" customHeight="1" s="58"/>
    <row r="706" ht="15.75" customHeight="1" s="58"/>
    <row r="707" ht="15.75" customHeight="1" s="58"/>
    <row r="708" ht="15.75" customHeight="1" s="58"/>
    <row r="709" ht="15.75" customHeight="1" s="58"/>
    <row r="710" ht="15.75" customHeight="1" s="58"/>
    <row r="711" ht="15.75" customHeight="1" s="58"/>
    <row r="712" ht="15.75" customHeight="1" s="58"/>
    <row r="713" ht="15.75" customHeight="1" s="58"/>
    <row r="714" ht="15.75" customHeight="1" s="58"/>
    <row r="715" ht="15.75" customHeight="1" s="58"/>
    <row r="716" ht="15.75" customHeight="1" s="58"/>
    <row r="717" ht="15.75" customHeight="1" s="58"/>
    <row r="718" ht="15.75" customHeight="1" s="58"/>
    <row r="719" ht="15.75" customHeight="1" s="58"/>
    <row r="720" ht="15.75" customHeight="1" s="58"/>
    <row r="721" ht="15.75" customHeight="1" s="58"/>
    <row r="722" ht="15.75" customHeight="1" s="58"/>
    <row r="723" ht="15.75" customHeight="1" s="58"/>
    <row r="724" ht="15.75" customHeight="1" s="58"/>
    <row r="725" ht="15.75" customHeight="1" s="58"/>
    <row r="726" ht="15.75" customHeight="1" s="58"/>
    <row r="727" ht="15.75" customHeight="1" s="58"/>
    <row r="728" ht="15.75" customHeight="1" s="58"/>
    <row r="729" ht="15.75" customHeight="1" s="58"/>
    <row r="730" ht="15.75" customHeight="1" s="58"/>
    <row r="731" ht="15.75" customHeight="1" s="58"/>
    <row r="732" ht="15.75" customHeight="1" s="58"/>
    <row r="733" ht="15.75" customHeight="1" s="58"/>
    <row r="734" ht="15.75" customHeight="1" s="58"/>
    <row r="735" ht="15.75" customHeight="1" s="58"/>
    <row r="736" ht="15.75" customHeight="1" s="58"/>
    <row r="737" ht="15.75" customHeight="1" s="58"/>
    <row r="738" ht="15.75" customHeight="1" s="58"/>
    <row r="739" ht="15.75" customHeight="1" s="58"/>
    <row r="740" ht="15.75" customHeight="1" s="58"/>
    <row r="741" ht="15.75" customHeight="1" s="58"/>
    <row r="742" ht="15.75" customHeight="1" s="58"/>
    <row r="743" ht="15.75" customHeight="1" s="58"/>
    <row r="744" ht="15.75" customHeight="1" s="58"/>
    <row r="745" ht="15.75" customHeight="1" s="58"/>
    <row r="746" ht="15.75" customHeight="1" s="58"/>
    <row r="747" ht="15.75" customHeight="1" s="58"/>
    <row r="748" ht="15.75" customHeight="1" s="58"/>
    <row r="749" ht="15.75" customHeight="1" s="58"/>
    <row r="750" ht="15.75" customHeight="1" s="58"/>
    <row r="751" ht="15.75" customHeight="1" s="58"/>
    <row r="752" ht="15.75" customHeight="1" s="58"/>
    <row r="753" ht="15.75" customHeight="1" s="58"/>
    <row r="754" ht="15.75" customHeight="1" s="58"/>
    <row r="755" ht="15.75" customHeight="1" s="58"/>
    <row r="756" ht="15.75" customHeight="1" s="58"/>
    <row r="757" ht="15.75" customHeight="1" s="58"/>
    <row r="758" ht="15.75" customHeight="1" s="58"/>
    <row r="759" ht="15.75" customHeight="1" s="58"/>
    <row r="760" ht="15.75" customHeight="1" s="58"/>
    <row r="761" ht="15.75" customHeight="1" s="58"/>
    <row r="762" ht="15.75" customHeight="1" s="58"/>
    <row r="763" ht="15.75" customHeight="1" s="58"/>
    <row r="764" ht="15.75" customHeight="1" s="58"/>
    <row r="765" ht="15.75" customHeight="1" s="58"/>
    <row r="766" ht="15.75" customHeight="1" s="58"/>
    <row r="767" ht="15.75" customHeight="1" s="58"/>
    <row r="768" ht="15.75" customHeight="1" s="58"/>
    <row r="769" ht="15.75" customHeight="1" s="58"/>
    <row r="770" ht="15.75" customHeight="1" s="58"/>
    <row r="771" ht="15.75" customHeight="1" s="58"/>
    <row r="772" ht="15.75" customHeight="1" s="58"/>
    <row r="773" ht="15.75" customHeight="1" s="58"/>
    <row r="774" ht="15.75" customHeight="1" s="58"/>
    <row r="775" ht="15.75" customHeight="1" s="58"/>
    <row r="776" ht="15.75" customHeight="1" s="58"/>
    <row r="777" ht="15.75" customHeight="1" s="58"/>
    <row r="778" ht="15.75" customHeight="1" s="58"/>
    <row r="779" ht="15.75" customHeight="1" s="58"/>
    <row r="780" ht="15.75" customHeight="1" s="58"/>
    <row r="781" ht="15.75" customHeight="1" s="58"/>
    <row r="782" ht="15.75" customHeight="1" s="58"/>
    <row r="783" ht="15.75" customHeight="1" s="58"/>
    <row r="784" ht="15.75" customHeight="1" s="58"/>
    <row r="785" ht="15.75" customHeight="1" s="58"/>
    <row r="786" ht="15.75" customHeight="1" s="58"/>
    <row r="787" ht="15.75" customHeight="1" s="58"/>
    <row r="788" ht="15.75" customHeight="1" s="58"/>
    <row r="789" ht="15.75" customHeight="1" s="58"/>
    <row r="790" ht="15.75" customHeight="1" s="58"/>
    <row r="791" ht="15.75" customHeight="1" s="58"/>
    <row r="792" ht="15.75" customHeight="1" s="58"/>
    <row r="793" ht="15.75" customHeight="1" s="58"/>
    <row r="794" ht="15.75" customHeight="1" s="58"/>
    <row r="795" ht="15.75" customHeight="1" s="58"/>
    <row r="796" ht="15.75" customHeight="1" s="58"/>
    <row r="797" ht="15.75" customHeight="1" s="58"/>
    <row r="798" ht="15.75" customHeight="1" s="58"/>
    <row r="799" ht="15.75" customHeight="1" s="58"/>
    <row r="800" ht="15.75" customHeight="1" s="58"/>
    <row r="801" ht="15.75" customHeight="1" s="58"/>
    <row r="802" ht="15.75" customHeight="1" s="58"/>
    <row r="803" ht="15.75" customHeight="1" s="58"/>
    <row r="804" ht="15.75" customHeight="1" s="58"/>
    <row r="805" ht="15.75" customHeight="1" s="58"/>
    <row r="806" ht="15.75" customHeight="1" s="58"/>
    <row r="807" ht="15.75" customHeight="1" s="58"/>
    <row r="808" ht="15.75" customHeight="1" s="58"/>
    <row r="809" ht="15.75" customHeight="1" s="58"/>
    <row r="810" ht="15.75" customHeight="1" s="58"/>
    <row r="811" ht="15.75" customHeight="1" s="58"/>
    <row r="812" ht="15.75" customHeight="1" s="58"/>
    <row r="813" ht="15.75" customHeight="1" s="58"/>
    <row r="814" ht="15.75" customHeight="1" s="58"/>
    <row r="815" ht="15.75" customHeight="1" s="58"/>
    <row r="816" ht="15.75" customHeight="1" s="58"/>
    <row r="817" ht="15.75" customHeight="1" s="58"/>
    <row r="818" ht="15.75" customHeight="1" s="58"/>
    <row r="819" ht="15.75" customHeight="1" s="58"/>
    <row r="820" ht="15.75" customHeight="1" s="58"/>
    <row r="821" ht="15.75" customHeight="1" s="58"/>
    <row r="822" ht="15.75" customHeight="1" s="58"/>
    <row r="823" ht="15.75" customHeight="1" s="58"/>
    <row r="824" ht="15.75" customHeight="1" s="58"/>
    <row r="825" ht="15.75" customHeight="1" s="58"/>
    <row r="826" ht="15.75" customHeight="1" s="58"/>
    <row r="827" ht="15.75" customHeight="1" s="58"/>
    <row r="828" ht="15.75" customHeight="1" s="58"/>
    <row r="829" ht="15.75" customHeight="1" s="58"/>
    <row r="830" ht="15.75" customHeight="1" s="58"/>
    <row r="831" ht="15.75" customHeight="1" s="58"/>
    <row r="832" ht="15.75" customHeight="1" s="58"/>
    <row r="833" ht="15.75" customHeight="1" s="58"/>
    <row r="834" ht="15.75" customHeight="1" s="58"/>
    <row r="835" ht="15.75" customHeight="1" s="58"/>
    <row r="836" ht="15.75" customHeight="1" s="58"/>
    <row r="837" ht="15.75" customHeight="1" s="58"/>
    <row r="838" ht="15.75" customHeight="1" s="58"/>
    <row r="839" ht="15.75" customHeight="1" s="58"/>
    <row r="840" ht="15.75" customHeight="1" s="58"/>
    <row r="841" ht="15.75" customHeight="1" s="58"/>
    <row r="842" ht="15.75" customHeight="1" s="58"/>
    <row r="843" ht="15.75" customHeight="1" s="58"/>
    <row r="844" ht="15.75" customHeight="1" s="58"/>
    <row r="845" ht="15.75" customHeight="1" s="58"/>
    <row r="846" ht="15.75" customHeight="1" s="58"/>
    <row r="847" ht="15.75" customHeight="1" s="58"/>
    <row r="848" ht="15.75" customHeight="1" s="58"/>
    <row r="849" ht="15.75" customHeight="1" s="58"/>
    <row r="850" ht="15.75" customHeight="1" s="58"/>
    <row r="851" ht="15.75" customHeight="1" s="58"/>
    <row r="852" ht="15.75" customHeight="1" s="58"/>
    <row r="853" ht="15.75" customHeight="1" s="58"/>
    <row r="854" ht="15.75" customHeight="1" s="58"/>
    <row r="855" ht="15.75" customHeight="1" s="58"/>
    <row r="856" ht="15.75" customHeight="1" s="58"/>
    <row r="857" ht="15.75" customHeight="1" s="58"/>
    <row r="858" ht="15.75" customHeight="1" s="58"/>
    <row r="859" ht="15.75" customHeight="1" s="58"/>
    <row r="860" ht="15.75" customHeight="1" s="58"/>
    <row r="861" ht="15.75" customHeight="1" s="58"/>
    <row r="862" ht="15.75" customHeight="1" s="58"/>
    <row r="863" ht="15.75" customHeight="1" s="58"/>
    <row r="864" ht="15.75" customHeight="1" s="58"/>
    <row r="865" ht="15.75" customHeight="1" s="58"/>
    <row r="866" ht="15.75" customHeight="1" s="58"/>
    <row r="867" ht="15.75" customHeight="1" s="58"/>
    <row r="868" ht="15.75" customHeight="1" s="58"/>
    <row r="869" ht="15.75" customHeight="1" s="58"/>
    <row r="870" ht="15.75" customHeight="1" s="58"/>
    <row r="871" ht="15.75" customHeight="1" s="58"/>
    <row r="872" ht="15.75" customHeight="1" s="58"/>
    <row r="873" ht="15.75" customHeight="1" s="58"/>
    <row r="874" ht="15.75" customHeight="1" s="58"/>
    <row r="875" ht="15.75" customHeight="1" s="58"/>
    <row r="876" ht="15.75" customHeight="1" s="58"/>
    <row r="877" ht="15.75" customHeight="1" s="58"/>
    <row r="878" ht="15.75" customHeight="1" s="58"/>
    <row r="879" ht="15.75" customHeight="1" s="58"/>
    <row r="880" ht="15.75" customHeight="1" s="58"/>
    <row r="881" ht="15.75" customHeight="1" s="58"/>
    <row r="882" ht="15.75" customHeight="1" s="58"/>
    <row r="883" ht="15.75" customHeight="1" s="58"/>
    <row r="884" ht="15.75" customHeight="1" s="58"/>
    <row r="885" ht="15.75" customHeight="1" s="58"/>
    <row r="886" ht="15.75" customHeight="1" s="58"/>
    <row r="887" ht="15.75" customHeight="1" s="58"/>
    <row r="888" ht="15.75" customHeight="1" s="58"/>
    <row r="889" ht="15.75" customHeight="1" s="58"/>
    <row r="890" ht="15.75" customHeight="1" s="58"/>
    <row r="891" ht="15.75" customHeight="1" s="58"/>
    <row r="892" ht="15.75" customHeight="1" s="58"/>
    <row r="893" ht="15.75" customHeight="1" s="58"/>
    <row r="894" ht="15.75" customHeight="1" s="58"/>
    <row r="895" ht="15.75" customHeight="1" s="58"/>
    <row r="896" ht="15.75" customHeight="1" s="58"/>
    <row r="897" ht="15.75" customHeight="1" s="58"/>
    <row r="898" ht="15.75" customHeight="1" s="58"/>
    <row r="899" ht="15.75" customHeight="1" s="58"/>
    <row r="900" ht="15.75" customHeight="1" s="58"/>
    <row r="901" ht="15.75" customHeight="1" s="58"/>
    <row r="902" ht="15.75" customHeight="1" s="58"/>
    <row r="903" ht="15.75" customHeight="1" s="58"/>
    <row r="904" ht="15.75" customHeight="1" s="58"/>
    <row r="905" ht="15.75" customHeight="1" s="58"/>
    <row r="906" ht="15.75" customHeight="1" s="58"/>
    <row r="907" ht="15.75" customHeight="1" s="58"/>
    <row r="908" ht="15.75" customHeight="1" s="58"/>
    <row r="909" ht="15.75" customHeight="1" s="58"/>
    <row r="910" ht="15.75" customHeight="1" s="58"/>
    <row r="911" ht="15.75" customHeight="1" s="58"/>
    <row r="912" ht="15.75" customHeight="1" s="58"/>
    <row r="913" ht="15.75" customHeight="1" s="58"/>
    <row r="914" ht="15.75" customHeight="1" s="58"/>
    <row r="915" ht="15.75" customHeight="1" s="58"/>
    <row r="916" ht="15.75" customHeight="1" s="58"/>
    <row r="917" ht="15.75" customHeight="1" s="58"/>
    <row r="918" ht="15.75" customHeight="1" s="58"/>
    <row r="919" ht="15.75" customHeight="1" s="58"/>
    <row r="920" ht="15.75" customHeight="1" s="58"/>
    <row r="921" ht="15.75" customHeight="1" s="58"/>
    <row r="922" ht="15.75" customHeight="1" s="58"/>
    <row r="923" ht="15.75" customHeight="1" s="58"/>
    <row r="924" ht="15.75" customHeight="1" s="58"/>
    <row r="925" ht="15.75" customHeight="1" s="58"/>
    <row r="926" ht="15.75" customHeight="1" s="58"/>
    <row r="927" ht="15.75" customHeight="1" s="58"/>
    <row r="928" ht="15.75" customHeight="1" s="58"/>
    <row r="929" ht="15.75" customHeight="1" s="58"/>
    <row r="930" ht="15.75" customHeight="1" s="58"/>
    <row r="931" ht="15.75" customHeight="1" s="58"/>
    <row r="932" ht="15.75" customHeight="1" s="58"/>
    <row r="933" ht="15.75" customHeight="1" s="58"/>
    <row r="934" ht="15.75" customHeight="1" s="58"/>
    <row r="935" ht="15.75" customHeight="1" s="58"/>
    <row r="936" ht="15.75" customHeight="1" s="58"/>
    <row r="937" ht="15.75" customHeight="1" s="58"/>
    <row r="938" ht="15.75" customHeight="1" s="58"/>
    <row r="939" ht="15.75" customHeight="1" s="58"/>
    <row r="940" ht="15.75" customHeight="1" s="58"/>
    <row r="941" ht="15.75" customHeight="1" s="58"/>
    <row r="942" ht="15.75" customHeight="1" s="58"/>
    <row r="943" ht="15.75" customHeight="1" s="58"/>
    <row r="944" ht="15.75" customHeight="1" s="58"/>
    <row r="945" ht="15.75" customHeight="1" s="58"/>
    <row r="946" ht="15.75" customHeight="1" s="58"/>
    <row r="947" ht="15.75" customHeight="1" s="58"/>
    <row r="948" ht="15.75" customHeight="1" s="58"/>
    <row r="949" ht="15.75" customHeight="1" s="58"/>
    <row r="950" ht="15.75" customHeight="1" s="58"/>
    <row r="951" ht="15.75" customHeight="1" s="58"/>
    <row r="952" ht="15.75" customHeight="1" s="58"/>
    <row r="953" ht="15.75" customHeight="1" s="58"/>
    <row r="954" ht="15.75" customHeight="1" s="58"/>
    <row r="955" ht="15.75" customHeight="1" s="58"/>
    <row r="956" ht="15.75" customHeight="1" s="58"/>
    <row r="957" ht="15.75" customHeight="1" s="58"/>
    <row r="958" ht="15.75" customHeight="1" s="58"/>
    <row r="959" ht="15.75" customHeight="1" s="58"/>
    <row r="960" ht="15.75" customHeight="1" s="58"/>
    <row r="961" ht="15.75" customHeight="1" s="58"/>
    <row r="962" ht="15.75" customHeight="1" s="58"/>
    <row r="963" ht="15.75" customHeight="1" s="58"/>
    <row r="964" ht="15.75" customHeight="1" s="58"/>
    <row r="965" ht="15.75" customHeight="1" s="58"/>
    <row r="966" ht="15.75" customHeight="1" s="58"/>
    <row r="967" ht="15.75" customHeight="1" s="58"/>
    <row r="968" ht="15.75" customHeight="1" s="58"/>
    <row r="969" ht="15.75" customHeight="1" s="58"/>
    <row r="970" ht="15.75" customHeight="1" s="58"/>
    <row r="971" ht="15.75" customHeight="1" s="58"/>
    <row r="972" ht="15.75" customHeight="1" s="58"/>
    <row r="973" ht="15.75" customHeight="1" s="58"/>
    <row r="974" ht="15.75" customHeight="1" s="58"/>
    <row r="975" ht="15.75" customHeight="1" s="58"/>
    <row r="976" ht="15.75" customHeight="1" s="58"/>
    <row r="977" ht="15.75" customHeight="1" s="58"/>
    <row r="978" ht="15.75" customHeight="1" s="58"/>
    <row r="979" ht="15.75" customHeight="1" s="58"/>
    <row r="980" ht="15.75" customHeight="1" s="58"/>
    <row r="981" ht="15.75" customHeight="1" s="58"/>
    <row r="982" ht="15.75" customHeight="1" s="58"/>
    <row r="983" ht="15.75" customHeight="1" s="58"/>
    <row r="984" ht="15.75" customHeight="1" s="58"/>
    <row r="985" ht="15.75" customHeight="1" s="58"/>
    <row r="986" ht="15.75" customHeight="1" s="58"/>
    <row r="987" ht="15.75" customHeight="1" s="58"/>
    <row r="988" ht="15.75" customHeight="1" s="58"/>
    <row r="989" ht="15.75" customHeight="1" s="58"/>
    <row r="990" ht="15.75" customHeight="1" s="58"/>
    <row r="991" ht="15.75" customHeight="1" s="58"/>
    <row r="992" ht="15.75" customHeight="1" s="58"/>
    <row r="993" ht="15.75" customHeight="1" s="58"/>
    <row r="994" ht="15.75" customHeight="1" s="58"/>
    <row r="995" ht="15.75" customHeight="1" s="58"/>
    <row r="996" ht="15.75" customHeight="1" s="58"/>
    <row r="997" ht="15.75" customHeight="1" s="58"/>
    <row r="998" ht="15.75" customHeight="1" s="58"/>
    <row r="999" ht="15.75" customHeight="1" s="58"/>
    <row r="1000" ht="15.75" customHeight="1" s="58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2026-10-10T20:54:01Z</dcterms:created>
  <dcterms:modified xsi:type="dcterms:W3CDTF">2026-10-10T20:54:06Z</dcterms:modified>
</cp:coreProperties>
</file>